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"/>
    </mc:Choice>
  </mc:AlternateContent>
  <xr:revisionPtr revIDLastSave="0" documentId="13_ncr:1_{D4D3CD52-C9DD-41E2-B4CB-755BB50C1F6B}" xr6:coauthVersionLast="47" xr6:coauthVersionMax="47" xr10:uidLastSave="{00000000-0000-0000-0000-000000000000}"/>
  <bookViews>
    <workbookView xWindow="-120" yWindow="-120" windowWidth="20730" windowHeight="11160" tabRatio="814" xr2:uid="{CC72415A-D2E5-4D77-82BF-05A7B4384BC9}"/>
  </bookViews>
  <sheets>
    <sheet name="COMPRAS" sheetId="19" r:id="rId1"/>
    <sheet name="STATS" sheetId="52" r:id="rId2"/>
    <sheet name="WATCH" sheetId="61" r:id="rId3"/>
    <sheet name="RESUMO" sheetId="60" r:id="rId4"/>
    <sheet name="COLEÇÃO" sheetId="66" r:id="rId5"/>
    <sheet name="Thrakiri" sheetId="20" state="hidden" r:id="rId6"/>
    <sheet name="Gitrog" sheetId="21" state="hidden" r:id="rId7"/>
    <sheet name="Elfos" sheetId="23" state="hidden" r:id="rId8"/>
    <sheet name="Jhoira" sheetId="24" state="hidden" r:id="rId9"/>
    <sheet name="Fractius" sheetId="32" state="hidden" r:id="rId10"/>
    <sheet name="Exaltado" sheetId="65" state="hidden" r:id="rId11"/>
    <sheet name="Inalla" sheetId="29" state="hidden" r:id="rId12"/>
    <sheet name="Modular" sheetId="63" r:id="rId13"/>
    <sheet name="Muzzio" sheetId="25" state="hidden" r:id="rId14"/>
    <sheet name="Rielle" sheetId="1" state="hidden" r:id="rId15"/>
    <sheet name="Alela" sheetId="26" state="hidden" r:id="rId16"/>
    <sheet name="Arcades" sheetId="28" state="hidden" r:id="rId17"/>
    <sheet name="VialIshai" sheetId="31" state="hidden" r:id="rId18"/>
    <sheet name="Yuriko" sheetId="30" state="hidden" r:id="rId19"/>
    <sheet name="Zedruu" sheetId="27" state="hidden" r:id="rId20"/>
    <sheet name="Carlos" sheetId="33" state="hidden" r:id="rId21"/>
    <sheet name="Oona" sheetId="40" state="hidden" r:id="rId22"/>
    <sheet name="Kresh" sheetId="34" state="hidden" r:id="rId23"/>
    <sheet name="Akiri" sheetId="35" state="hidden" r:id="rId24"/>
    <sheet name="Breya" sheetId="39" state="hidden" r:id="rId25"/>
    <sheet name="Rani" sheetId="57" state="hidden" r:id="rId26"/>
    <sheet name="Sisay" sheetId="44" state="hidden" r:id="rId27"/>
    <sheet name="OWA" sheetId="22" state="hidden" r:id="rId28"/>
    <sheet name="Narset" sheetId="46" state="hidden" r:id="rId29"/>
    <sheet name="Kumena" sheetId="47" state="hidden" r:id="rId30"/>
    <sheet name="Zimone" sheetId="49" state="hidden" r:id="rId31"/>
    <sheet name="Baylen" sheetId="51" state="hidden" r:id="rId32"/>
    <sheet name="Tayam" sheetId="53" r:id="rId33"/>
    <sheet name="Piratas" sheetId="59" state="hidden" r:id="rId34"/>
    <sheet name="JhoiraB" sheetId="58" state="hidden" r:id="rId35"/>
  </sheets>
  <definedNames>
    <definedName name="_xlnm._FilterDatabase" localSheetId="0" hidden="1">COMPRAS!$L$1:$N$1</definedName>
    <definedName name="_xlnm._FilterDatabase" localSheetId="3" hidden="1">RESUMO!$A$1:$G$451</definedName>
    <definedName name="_xlnm._FilterDatabase" localSheetId="5" hidden="1">Thrakiri!$A$2:$D$102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66" l="1" a="1"/>
  <c r="T3" i="66" s="1"/>
  <c r="AW3" i="66" a="1"/>
  <c r="AW3" i="66" s="1"/>
  <c r="AV3" i="66" a="1"/>
  <c r="AV3" i="66" s="1"/>
  <c r="AU3" i="66" a="1"/>
  <c r="AU3" i="66" s="1"/>
  <c r="AT3" i="66" a="1"/>
  <c r="AT3" i="66" s="1"/>
  <c r="AS3" i="66" a="1"/>
  <c r="AS3" i="66" s="1"/>
  <c r="AR3" i="66" a="1"/>
  <c r="AR3" i="66" s="1"/>
  <c r="AQ3" i="66" a="1"/>
  <c r="AQ3" i="66" s="1"/>
  <c r="AP3" i="66" a="1"/>
  <c r="AP3" i="66" s="1"/>
  <c r="AO3" i="66" a="1"/>
  <c r="AO3" i="66" s="1"/>
  <c r="AN3" i="66" a="1"/>
  <c r="AN3" i="66" s="1"/>
  <c r="AM3" i="66" a="1"/>
  <c r="AM3" i="66" s="1"/>
  <c r="AL3" i="66" a="1"/>
  <c r="AL3" i="66" s="1"/>
  <c r="AK3" i="66" a="1"/>
  <c r="AK3" i="66" s="1"/>
  <c r="AJ3" i="66" a="1"/>
  <c r="AJ3" i="66" s="1"/>
  <c r="AI3" i="66" a="1"/>
  <c r="AI3" i="66" s="1"/>
  <c r="AH3" i="66" a="1"/>
  <c r="AH3" i="66" s="1"/>
  <c r="AG3" i="66" a="1"/>
  <c r="AG3" i="66" s="1"/>
  <c r="AF3" i="66" a="1"/>
  <c r="AF3" i="66" s="1"/>
  <c r="AE3" i="66" a="1"/>
  <c r="AE3" i="66" s="1"/>
  <c r="AD3" i="66" a="1"/>
  <c r="AD3" i="66" s="1"/>
  <c r="AC3" i="66" a="1"/>
  <c r="AC3" i="66" s="1"/>
  <c r="AB3" i="66" a="1"/>
  <c r="AB3" i="66" s="1"/>
  <c r="AA3" i="66" a="1"/>
  <c r="AA3" i="66" s="1"/>
  <c r="Z3" i="66" a="1"/>
  <c r="Z3" i="66" s="1"/>
  <c r="Y3" i="66" a="1"/>
  <c r="Y3" i="66" s="1"/>
  <c r="X3" i="66" a="1"/>
  <c r="X3" i="66" s="1"/>
  <c r="W3" i="66" a="1"/>
  <c r="W3" i="66" s="1"/>
  <c r="V3" i="66" a="1"/>
  <c r="V3" i="66" s="1"/>
  <c r="U3" i="66" a="1"/>
  <c r="U3" i="66" s="1"/>
  <c r="G16" i="63"/>
  <c r="G15" i="63"/>
  <c r="G14" i="63"/>
  <c r="AW2" i="60" a="1"/>
  <c r="AW2" i="60" s="1"/>
  <c r="D102" i="65"/>
  <c r="D101" i="65"/>
  <c r="D100" i="65"/>
  <c r="D99" i="65"/>
  <c r="D98" i="65"/>
  <c r="D97" i="65"/>
  <c r="D96" i="65"/>
  <c r="D95" i="65"/>
  <c r="D94" i="65"/>
  <c r="D93" i="65"/>
  <c r="D92" i="65"/>
  <c r="D91" i="65"/>
  <c r="D90" i="65"/>
  <c r="D89" i="65"/>
  <c r="D88" i="65"/>
  <c r="D87" i="65"/>
  <c r="D86" i="65"/>
  <c r="D85" i="65"/>
  <c r="D84" i="65"/>
  <c r="D83" i="65"/>
  <c r="D82" i="65"/>
  <c r="D81" i="65"/>
  <c r="D80" i="65"/>
  <c r="D79" i="65"/>
  <c r="D78" i="65"/>
  <c r="D77" i="65"/>
  <c r="D76" i="65"/>
  <c r="D75" i="65"/>
  <c r="D74" i="65"/>
  <c r="D73" i="65"/>
  <c r="D72" i="65"/>
  <c r="D71" i="65"/>
  <c r="D70" i="65"/>
  <c r="D69" i="65"/>
  <c r="D68" i="65"/>
  <c r="D67" i="65"/>
  <c r="D66" i="65"/>
  <c r="D65" i="65"/>
  <c r="D64" i="65"/>
  <c r="D63" i="65"/>
  <c r="D62" i="65"/>
  <c r="D61" i="65"/>
  <c r="D60" i="65"/>
  <c r="D59" i="65"/>
  <c r="D58" i="65"/>
  <c r="D57" i="65"/>
  <c r="D56" i="65"/>
  <c r="D55" i="65"/>
  <c r="D54" i="65"/>
  <c r="D53" i="65"/>
  <c r="D52" i="65"/>
  <c r="D51" i="65"/>
  <c r="D50" i="65"/>
  <c r="D49" i="65"/>
  <c r="D48" i="65"/>
  <c r="D47" i="65"/>
  <c r="D46" i="65"/>
  <c r="D45" i="65"/>
  <c r="D44" i="65"/>
  <c r="D43" i="65"/>
  <c r="D42" i="65"/>
  <c r="D41" i="65"/>
  <c r="D40" i="65"/>
  <c r="D39" i="65"/>
  <c r="D38" i="65"/>
  <c r="D37" i="65"/>
  <c r="D36" i="65"/>
  <c r="D35" i="65"/>
  <c r="D34" i="65"/>
  <c r="D33" i="65"/>
  <c r="D32" i="65"/>
  <c r="D31" i="65"/>
  <c r="D30" i="65"/>
  <c r="D29" i="65"/>
  <c r="D28" i="65"/>
  <c r="D27" i="65"/>
  <c r="D26" i="65"/>
  <c r="D25" i="65"/>
  <c r="D24" i="65"/>
  <c r="D23" i="65"/>
  <c r="D22" i="65"/>
  <c r="D21" i="65"/>
  <c r="D20" i="65"/>
  <c r="D19" i="65"/>
  <c r="D18" i="65"/>
  <c r="D17" i="65"/>
  <c r="D16" i="65"/>
  <c r="D15" i="65"/>
  <c r="D14" i="65"/>
  <c r="G13" i="65"/>
  <c r="D13" i="65"/>
  <c r="G12" i="65"/>
  <c r="D12" i="65"/>
  <c r="G11" i="65"/>
  <c r="D11" i="65"/>
  <c r="G10" i="65"/>
  <c r="D10" i="65"/>
  <c r="G9" i="65"/>
  <c r="D9" i="65"/>
  <c r="G8" i="65"/>
  <c r="D8" i="65"/>
  <c r="G7" i="65"/>
  <c r="D7" i="65"/>
  <c r="G6" i="65"/>
  <c r="D6" i="65"/>
  <c r="D5" i="65"/>
  <c r="D4" i="65"/>
  <c r="D3" i="65"/>
  <c r="BD3" i="66" a="1"/>
  <c r="BM3" i="66" a="1"/>
  <c r="BK3" i="66" a="1"/>
  <c r="BN3" i="66" a="1"/>
  <c r="BB3" i="66" a="1"/>
  <c r="BG3" i="66" a="1"/>
  <c r="BA3" i="66" a="1"/>
  <c r="BH3" i="66" a="1"/>
  <c r="BE3" i="66" a="1"/>
  <c r="BL3" i="66" a="1"/>
  <c r="BO3" i="66" a="1"/>
  <c r="BQ2" i="60" a="1"/>
  <c r="BC3" i="66" a="1"/>
  <c r="BI3" i="66" a="1"/>
  <c r="BF3" i="66" a="1"/>
  <c r="BJ3" i="66" a="1"/>
  <c r="BP3" i="66" a="1"/>
  <c r="BQ2" i="60" l="1"/>
  <c r="BP3" i="66"/>
  <c r="BO3" i="66"/>
  <c r="BN3" i="66"/>
  <c r="BM3" i="66"/>
  <c r="BL3" i="66"/>
  <c r="BK3" i="66"/>
  <c r="BJ3" i="66"/>
  <c r="BI3" i="66"/>
  <c r="BH3" i="66"/>
  <c r="BG3" i="66"/>
  <c r="BF3" i="66"/>
  <c r="BE3" i="66"/>
  <c r="BD3" i="66"/>
  <c r="BC3" i="66"/>
  <c r="BB3" i="66"/>
  <c r="BA3" i="66"/>
  <c r="O452" i="66"/>
  <c r="O448" i="66"/>
  <c r="O444" i="66"/>
  <c r="O440" i="66"/>
  <c r="O436" i="66"/>
  <c r="O432" i="66"/>
  <c r="O428" i="66"/>
  <c r="O424" i="66"/>
  <c r="O420" i="66"/>
  <c r="O416" i="66"/>
  <c r="O412" i="66"/>
  <c r="O408" i="66"/>
  <c r="O404" i="66"/>
  <c r="O400" i="66"/>
  <c r="O451" i="66"/>
  <c r="O447" i="66"/>
  <c r="O443" i="66"/>
  <c r="O439" i="66"/>
  <c r="O435" i="66"/>
  <c r="O431" i="66"/>
  <c r="O427" i="66"/>
  <c r="O423" i="66"/>
  <c r="O419" i="66"/>
  <c r="O415" i="66"/>
  <c r="O411" i="66"/>
  <c r="O407" i="66"/>
  <c r="O403" i="66"/>
  <c r="O399" i="66"/>
  <c r="N451" i="66"/>
  <c r="O450" i="66"/>
  <c r="O446" i="66"/>
  <c r="O442" i="66"/>
  <c r="O438" i="66"/>
  <c r="O434" i="66"/>
  <c r="O430" i="66"/>
  <c r="O426" i="66"/>
  <c r="O422" i="66"/>
  <c r="O418" i="66"/>
  <c r="O414" i="66"/>
  <c r="O410" i="66"/>
  <c r="O406" i="66"/>
  <c r="O402" i="66"/>
  <c r="N450" i="66"/>
  <c r="O449" i="66"/>
  <c r="O445" i="66"/>
  <c r="O441" i="66"/>
  <c r="O437" i="66"/>
  <c r="O433" i="66"/>
  <c r="O429" i="66"/>
  <c r="O425" i="66"/>
  <c r="O421" i="66"/>
  <c r="O417" i="66"/>
  <c r="O413" i="66"/>
  <c r="O409" i="66"/>
  <c r="O405" i="66"/>
  <c r="O401" i="66"/>
  <c r="N452" i="66"/>
  <c r="N441" i="66"/>
  <c r="N431" i="66"/>
  <c r="N412" i="66"/>
  <c r="N402" i="66"/>
  <c r="N440" i="66"/>
  <c r="N449" i="66"/>
  <c r="N439" i="66"/>
  <c r="N420" i="66"/>
  <c r="N410" i="66"/>
  <c r="N401" i="66"/>
  <c r="N448" i="66"/>
  <c r="N438" i="66"/>
  <c r="N429" i="66"/>
  <c r="N419" i="66"/>
  <c r="N400" i="66"/>
  <c r="N447" i="66"/>
  <c r="N428" i="66"/>
  <c r="N418" i="66"/>
  <c r="N409" i="66"/>
  <c r="N399" i="66"/>
  <c r="N446" i="66"/>
  <c r="N437" i="66"/>
  <c r="N427" i="66"/>
  <c r="N408" i="66"/>
  <c r="N436" i="66"/>
  <c r="N426" i="66"/>
  <c r="N417" i="66"/>
  <c r="N407" i="66"/>
  <c r="N444" i="66"/>
  <c r="N434" i="66"/>
  <c r="N425" i="66"/>
  <c r="N415" i="66"/>
  <c r="N443" i="66"/>
  <c r="N424" i="66"/>
  <c r="N414" i="66"/>
  <c r="N405" i="66"/>
  <c r="N442" i="66"/>
  <c r="N433" i="66"/>
  <c r="N423" i="66"/>
  <c r="N404" i="66"/>
  <c r="N445" i="66"/>
  <c r="N403" i="66"/>
  <c r="N435" i="66"/>
  <c r="N432" i="66"/>
  <c r="N430" i="66"/>
  <c r="N422" i="66"/>
  <c r="N421" i="66"/>
  <c r="N416" i="66"/>
  <c r="N413" i="66"/>
  <c r="N411" i="66"/>
  <c r="N406" i="66"/>
  <c r="G3" i="65"/>
  <c r="G2" i="65"/>
  <c r="J32" i="60" s="1"/>
  <c r="S32" i="60" s="1"/>
  <c r="AX2" i="60" a="1"/>
  <c r="AX2" i="60" s="1"/>
  <c r="D102" i="63"/>
  <c r="D101" i="63"/>
  <c r="D100" i="63"/>
  <c r="D99" i="63"/>
  <c r="D98" i="63"/>
  <c r="D97" i="63"/>
  <c r="D96" i="63"/>
  <c r="D95" i="63"/>
  <c r="D94" i="63"/>
  <c r="D93" i="63"/>
  <c r="D92" i="63"/>
  <c r="D91" i="63"/>
  <c r="D90" i="63"/>
  <c r="D89" i="63"/>
  <c r="D88" i="63"/>
  <c r="D87" i="63"/>
  <c r="D86" i="63"/>
  <c r="D85" i="63"/>
  <c r="D84" i="63"/>
  <c r="D83" i="63"/>
  <c r="D82" i="63"/>
  <c r="D81" i="63"/>
  <c r="D80" i="63"/>
  <c r="D79" i="63"/>
  <c r="D78" i="63"/>
  <c r="D77" i="63"/>
  <c r="D76" i="63"/>
  <c r="D75" i="63"/>
  <c r="D74" i="63"/>
  <c r="D73" i="63"/>
  <c r="D72" i="63"/>
  <c r="D71" i="63"/>
  <c r="D70" i="63"/>
  <c r="D69" i="63"/>
  <c r="D68" i="63"/>
  <c r="D67" i="63"/>
  <c r="D66" i="63"/>
  <c r="D65" i="63"/>
  <c r="D64" i="63"/>
  <c r="D63" i="63"/>
  <c r="D62" i="63"/>
  <c r="D61" i="63"/>
  <c r="D60" i="63"/>
  <c r="D59" i="63"/>
  <c r="D58" i="63"/>
  <c r="D57" i="63"/>
  <c r="D56" i="63"/>
  <c r="D55" i="63"/>
  <c r="D54" i="63"/>
  <c r="D53" i="63"/>
  <c r="D52" i="63"/>
  <c r="D51" i="63"/>
  <c r="D50" i="63"/>
  <c r="D49" i="63"/>
  <c r="D48" i="63"/>
  <c r="D47" i="63"/>
  <c r="D46" i="63"/>
  <c r="D45" i="63"/>
  <c r="D44" i="63"/>
  <c r="D43" i="63"/>
  <c r="D42" i="63"/>
  <c r="D41" i="63"/>
  <c r="D40" i="63"/>
  <c r="D39" i="63"/>
  <c r="D38" i="63"/>
  <c r="D37" i="63"/>
  <c r="D36" i="63"/>
  <c r="D35" i="63"/>
  <c r="D34" i="63"/>
  <c r="D33" i="63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6" i="63"/>
  <c r="D15" i="63"/>
  <c r="D14" i="63"/>
  <c r="G13" i="63"/>
  <c r="D13" i="63"/>
  <c r="G12" i="63"/>
  <c r="D12" i="63"/>
  <c r="G11" i="63"/>
  <c r="D11" i="63"/>
  <c r="G10" i="63"/>
  <c r="D10" i="63"/>
  <c r="G9" i="63"/>
  <c r="D9" i="63"/>
  <c r="G8" i="63"/>
  <c r="D8" i="63"/>
  <c r="G7" i="63"/>
  <c r="D7" i="63"/>
  <c r="G6" i="63"/>
  <c r="D6" i="63"/>
  <c r="D5" i="63"/>
  <c r="D4" i="63"/>
  <c r="D3" i="63"/>
  <c r="BP2" i="60" a="1"/>
  <c r="BT3" i="66" a="1"/>
  <c r="BY3" i="66" a="1"/>
  <c r="BU3" i="66" a="1"/>
  <c r="BW3" i="66" a="1"/>
  <c r="BX3" i="66" a="1"/>
  <c r="BV3" i="66" a="1"/>
  <c r="BR3" i="66" a="1"/>
  <c r="BP2" i="60" l="1"/>
  <c r="BY3" i="66"/>
  <c r="BX3" i="66"/>
  <c r="BW3" i="66"/>
  <c r="BV3" i="66"/>
  <c r="BU3" i="66"/>
  <c r="BT3" i="66"/>
  <c r="BR3" i="66"/>
  <c r="G2" i="63"/>
  <c r="G3" i="63"/>
  <c r="BZ2" i="60" a="1"/>
  <c r="CD3" i="66" a="1"/>
  <c r="BS3" i="66" a="1"/>
  <c r="CB3" i="66" a="1"/>
  <c r="BZ2" i="60" l="1"/>
  <c r="CD3" i="66"/>
  <c r="CB3" i="66"/>
  <c r="BS3" i="66"/>
  <c r="J31" i="60"/>
  <c r="S31" i="60" s="1"/>
  <c r="P1" i="60"/>
  <c r="AD2" i="60" a="1"/>
  <c r="AD2" i="60" s="1"/>
  <c r="AV2" i="60" a="1"/>
  <c r="AV2" i="60" s="1"/>
  <c r="AU2" i="60" a="1"/>
  <c r="AU2" i="60" s="1"/>
  <c r="AT2" i="60" a="1"/>
  <c r="AT2" i="60" s="1"/>
  <c r="AS2" i="60" a="1"/>
  <c r="AS2" i="60" s="1"/>
  <c r="AR2" i="60" a="1"/>
  <c r="AR2" i="60" s="1"/>
  <c r="AQ2" i="60" a="1"/>
  <c r="AQ2" i="60" s="1"/>
  <c r="AP2" i="60" a="1"/>
  <c r="AP2" i="60" s="1"/>
  <c r="AO2" i="60" a="1"/>
  <c r="AO2" i="60" s="1"/>
  <c r="AN2" i="60" a="1"/>
  <c r="AN2" i="60" s="1"/>
  <c r="AM2" i="60" a="1"/>
  <c r="AM2" i="60" s="1"/>
  <c r="AL2" i="60" a="1"/>
  <c r="AL2" i="60" s="1"/>
  <c r="AK2" i="60" a="1"/>
  <c r="AK2" i="60" s="1"/>
  <c r="AJ2" i="60" a="1"/>
  <c r="AJ2" i="60" s="1"/>
  <c r="AI2" i="60" a="1"/>
  <c r="AI2" i="60" s="1"/>
  <c r="AH2" i="60" a="1"/>
  <c r="AH2" i="60" s="1"/>
  <c r="AG2" i="60" a="1"/>
  <c r="AG2" i="60" s="1"/>
  <c r="AF2" i="60" a="1"/>
  <c r="AF2" i="60" s="1"/>
  <c r="AE2" i="60" a="1"/>
  <c r="AE2" i="60" s="1"/>
  <c r="AC2" i="60" a="1"/>
  <c r="AC2" i="60" s="1"/>
  <c r="AB2" i="60" a="1"/>
  <c r="AB2" i="60" s="1"/>
  <c r="AA2" i="60" a="1"/>
  <c r="AA2" i="60" s="1"/>
  <c r="Z2" i="60" a="1"/>
  <c r="Z2" i="60" s="1"/>
  <c r="Y2" i="60" a="1"/>
  <c r="Y2" i="60" s="1"/>
  <c r="X2" i="60" a="1"/>
  <c r="X2" i="60" s="1"/>
  <c r="W2" i="60" a="1"/>
  <c r="W2" i="60" s="1"/>
  <c r="V2" i="60" a="1"/>
  <c r="V2" i="60" s="1"/>
  <c r="U2" i="60" a="1"/>
  <c r="U2" i="60" s="1"/>
  <c r="O2" i="60"/>
  <c r="M2" i="60"/>
  <c r="N2" i="60"/>
  <c r="L2" i="60"/>
  <c r="K2" i="60"/>
  <c r="BL2" i="60" a="1"/>
  <c r="BK2" i="60" a="1"/>
  <c r="BO2" i="60" a="1"/>
  <c r="BF2" i="60" a="1"/>
  <c r="BM2" i="60" a="1"/>
  <c r="CC3" i="66" a="1"/>
  <c r="BJ2" i="60" a="1"/>
  <c r="BG2" i="60" a="1"/>
  <c r="BI2" i="60" a="1"/>
  <c r="CA3" i="66" a="1"/>
  <c r="B400" i="60" l="1"/>
  <c r="B406" i="60"/>
  <c r="B412" i="60"/>
  <c r="B418" i="60"/>
  <c r="B424" i="60"/>
  <c r="C418" i="60"/>
  <c r="A418" i="60" s="1"/>
  <c r="C400" i="60"/>
  <c r="A400" i="60" s="1"/>
  <c r="C406" i="60"/>
  <c r="A406" i="60" s="1"/>
  <c r="C412" i="60"/>
  <c r="A412" i="60" s="1"/>
  <c r="C424" i="60"/>
  <c r="A424" i="60" s="1"/>
  <c r="B401" i="60"/>
  <c r="B407" i="60"/>
  <c r="B413" i="60"/>
  <c r="B419" i="60"/>
  <c r="B425" i="60"/>
  <c r="C425" i="60"/>
  <c r="A425" i="60" s="1"/>
  <c r="C401" i="60"/>
  <c r="A401" i="60" s="1"/>
  <c r="C407" i="60"/>
  <c r="A407" i="60" s="1"/>
  <c r="C413" i="60"/>
  <c r="A413" i="60" s="1"/>
  <c r="C419" i="60"/>
  <c r="A419" i="60" s="1"/>
  <c r="B402" i="60"/>
  <c r="B408" i="60"/>
  <c r="B414" i="60"/>
  <c r="B420" i="60"/>
  <c r="B426" i="60"/>
  <c r="C420" i="60"/>
  <c r="A420" i="60" s="1"/>
  <c r="C423" i="60"/>
  <c r="A423" i="60" s="1"/>
  <c r="C402" i="60"/>
  <c r="A402" i="60" s="1"/>
  <c r="C408" i="60"/>
  <c r="A408" i="60" s="1"/>
  <c r="C414" i="60"/>
  <c r="A414" i="60" s="1"/>
  <c r="C426" i="60"/>
  <c r="A426" i="60" s="1"/>
  <c r="B403" i="60"/>
  <c r="B409" i="60"/>
  <c r="B415" i="60"/>
  <c r="B421" i="60"/>
  <c r="C417" i="60"/>
  <c r="A417" i="60" s="1"/>
  <c r="C403" i="60"/>
  <c r="A403" i="60" s="1"/>
  <c r="C409" i="60"/>
  <c r="A409" i="60" s="1"/>
  <c r="C415" i="60"/>
  <c r="A415" i="60" s="1"/>
  <c r="C421" i="60"/>
  <c r="A421" i="60" s="1"/>
  <c r="B404" i="60"/>
  <c r="B410" i="60"/>
  <c r="B416" i="60"/>
  <c r="B422" i="60"/>
  <c r="C404" i="60"/>
  <c r="A404" i="60" s="1"/>
  <c r="C410" i="60"/>
  <c r="A410" i="60" s="1"/>
  <c r="C416" i="60"/>
  <c r="A416" i="60" s="1"/>
  <c r="C422" i="60"/>
  <c r="A422" i="60" s="1"/>
  <c r="B405" i="60"/>
  <c r="B411" i="60"/>
  <c r="B417" i="60"/>
  <c r="B423" i="60"/>
  <c r="C405" i="60"/>
  <c r="A405" i="60" s="1"/>
  <c r="C411" i="60"/>
  <c r="A411" i="60" s="1"/>
  <c r="BI2" i="60"/>
  <c r="BO2" i="60"/>
  <c r="BJ2" i="60"/>
  <c r="BK2" i="60"/>
  <c r="BL2" i="60"/>
  <c r="BF2" i="60"/>
  <c r="BG2" i="60"/>
  <c r="BM2" i="60"/>
  <c r="CC3" i="66"/>
  <c r="CA3" i="66"/>
  <c r="G10" i="53"/>
  <c r="G6" i="53"/>
  <c r="G15" i="35"/>
  <c r="G6" i="35"/>
  <c r="G6" i="44"/>
  <c r="G3" i="44" s="1"/>
  <c r="G6" i="47"/>
  <c r="G3" i="47" s="1"/>
  <c r="D3" i="35"/>
  <c r="D3" i="44"/>
  <c r="D3" i="47"/>
  <c r="G3" i="34"/>
  <c r="G6" i="34"/>
  <c r="D3" i="34"/>
  <c r="G3" i="40"/>
  <c r="G6" i="40"/>
  <c r="D3" i="40"/>
  <c r="G3" i="33"/>
  <c r="G6" i="33"/>
  <c r="D3" i="33"/>
  <c r="D3" i="29"/>
  <c r="G6" i="29"/>
  <c r="G3" i="27"/>
  <c r="G6" i="27"/>
  <c r="D3" i="27"/>
  <c r="G3" i="31"/>
  <c r="G6" i="31"/>
  <c r="D3" i="31"/>
  <c r="D4" i="31"/>
  <c r="G3" i="22"/>
  <c r="G6" i="22"/>
  <c r="D3" i="23"/>
  <c r="G3" i="23"/>
  <c r="G3" i="32"/>
  <c r="G3" i="57"/>
  <c r="D3" i="21"/>
  <c r="G7" i="20"/>
  <c r="G7" i="23"/>
  <c r="G7" i="24"/>
  <c r="G7" i="32"/>
  <c r="G7" i="59"/>
  <c r="G7" i="57"/>
  <c r="G7" i="58"/>
  <c r="G7" i="49"/>
  <c r="G7" i="46"/>
  <c r="G7" i="51"/>
  <c r="G7" i="39"/>
  <c r="G7" i="25"/>
  <c r="G7" i="1"/>
  <c r="G7" i="26"/>
  <c r="G7" i="28"/>
  <c r="G7" i="30"/>
  <c r="G6" i="21"/>
  <c r="D3" i="32"/>
  <c r="D3" i="49"/>
  <c r="D3" i="46"/>
  <c r="D3" i="51"/>
  <c r="D3" i="39"/>
  <c r="D3" i="25"/>
  <c r="D3" i="1"/>
  <c r="D3" i="26"/>
  <c r="D3" i="28"/>
  <c r="D3" i="30"/>
  <c r="G15" i="24"/>
  <c r="G16" i="23"/>
  <c r="D4" i="23"/>
  <c r="D3" i="22"/>
  <c r="D4" i="22"/>
  <c r="D3" i="57"/>
  <c r="D3" i="20"/>
  <c r="D4" i="20"/>
  <c r="D5" i="57"/>
  <c r="D6" i="57"/>
  <c r="D7" i="57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4" i="58"/>
  <c r="D5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51" i="58"/>
  <c r="D52" i="58"/>
  <c r="D53" i="58"/>
  <c r="D63" i="58"/>
  <c r="D54" i="58"/>
  <c r="D55" i="58"/>
  <c r="D56" i="58"/>
  <c r="D57" i="58"/>
  <c r="D58" i="58"/>
  <c r="D59" i="58"/>
  <c r="D60" i="58"/>
  <c r="D61" i="58"/>
  <c r="D62" i="58"/>
  <c r="D64" i="58"/>
  <c r="D65" i="58"/>
  <c r="D66" i="58"/>
  <c r="D67" i="58"/>
  <c r="D68" i="58"/>
  <c r="D69" i="58"/>
  <c r="D70" i="58"/>
  <c r="D71" i="58"/>
  <c r="D7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D90" i="58"/>
  <c r="D91" i="58"/>
  <c r="D92" i="58"/>
  <c r="D93" i="58"/>
  <c r="D94" i="58"/>
  <c r="D95" i="58"/>
  <c r="D96" i="58"/>
  <c r="D97" i="58"/>
  <c r="D98" i="58"/>
  <c r="D99" i="58"/>
  <c r="D100" i="58"/>
  <c r="D101" i="58"/>
  <c r="D102" i="58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5" i="46"/>
  <c r="D6" i="46"/>
  <c r="D7" i="46"/>
  <c r="D8" i="46"/>
  <c r="D9" i="46"/>
  <c r="D10" i="46"/>
  <c r="D11" i="46"/>
  <c r="D12" i="46"/>
  <c r="D13" i="46"/>
  <c r="D14" i="46"/>
  <c r="D15" i="46"/>
  <c r="D16" i="46"/>
  <c r="D17" i="46"/>
  <c r="D18" i="46"/>
  <c r="D19" i="46"/>
  <c r="D20" i="46"/>
  <c r="D21" i="46"/>
  <c r="D22" i="46"/>
  <c r="D23" i="46"/>
  <c r="D24" i="46"/>
  <c r="D25" i="46"/>
  <c r="D26" i="46"/>
  <c r="D27" i="46"/>
  <c r="D28" i="46"/>
  <c r="D29" i="46"/>
  <c r="D30" i="46"/>
  <c r="D31" i="46"/>
  <c r="D32" i="46"/>
  <c r="D33" i="46"/>
  <c r="D34" i="46"/>
  <c r="D35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8" i="46"/>
  <c r="D49" i="46"/>
  <c r="D50" i="46"/>
  <c r="D51" i="46"/>
  <c r="D52" i="46"/>
  <c r="D53" i="46"/>
  <c r="D54" i="46"/>
  <c r="D55" i="46"/>
  <c r="D56" i="46"/>
  <c r="D57" i="46"/>
  <c r="D58" i="46"/>
  <c r="D59" i="46"/>
  <c r="D60" i="46"/>
  <c r="D61" i="46"/>
  <c r="D62" i="46"/>
  <c r="D63" i="46"/>
  <c r="D64" i="46"/>
  <c r="D65" i="46"/>
  <c r="D66" i="46"/>
  <c r="D67" i="46"/>
  <c r="D68" i="46"/>
  <c r="D69" i="46"/>
  <c r="D70" i="46"/>
  <c r="D71" i="46"/>
  <c r="D72" i="46"/>
  <c r="D73" i="46"/>
  <c r="D74" i="46"/>
  <c r="D75" i="46"/>
  <c r="D76" i="46"/>
  <c r="D77" i="46"/>
  <c r="D78" i="46"/>
  <c r="D79" i="46"/>
  <c r="D80" i="46"/>
  <c r="D81" i="46"/>
  <c r="D82" i="46"/>
  <c r="D83" i="46"/>
  <c r="D84" i="46"/>
  <c r="D85" i="46"/>
  <c r="D86" i="46"/>
  <c r="D87" i="46"/>
  <c r="D88" i="46"/>
  <c r="D89" i="46"/>
  <c r="D90" i="46"/>
  <c r="D91" i="46"/>
  <c r="D92" i="46"/>
  <c r="D93" i="46"/>
  <c r="D94" i="46"/>
  <c r="D95" i="46"/>
  <c r="D96" i="46"/>
  <c r="D97" i="46"/>
  <c r="D98" i="46"/>
  <c r="D99" i="46"/>
  <c r="D100" i="46"/>
  <c r="D101" i="46"/>
  <c r="D102" i="46"/>
  <c r="D103" i="46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4" i="59"/>
  <c r="D5" i="59"/>
  <c r="D6" i="59"/>
  <c r="D7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D29" i="59"/>
  <c r="D30" i="59"/>
  <c r="D31" i="59"/>
  <c r="D32" i="59"/>
  <c r="D33" i="59"/>
  <c r="D34" i="59"/>
  <c r="D35" i="59"/>
  <c r="D36" i="59"/>
  <c r="D37" i="59"/>
  <c r="D38" i="59"/>
  <c r="D39" i="59"/>
  <c r="D40" i="59"/>
  <c r="D41" i="59"/>
  <c r="D42" i="59"/>
  <c r="D43" i="59"/>
  <c r="D44" i="59"/>
  <c r="D45" i="59"/>
  <c r="D46" i="59"/>
  <c r="D47" i="59"/>
  <c r="D48" i="59"/>
  <c r="D49" i="59"/>
  <c r="D50" i="59"/>
  <c r="D51" i="59"/>
  <c r="D52" i="59"/>
  <c r="D53" i="59"/>
  <c r="D54" i="59"/>
  <c r="D55" i="59"/>
  <c r="D56" i="59"/>
  <c r="D57" i="59"/>
  <c r="D58" i="59"/>
  <c r="D59" i="59"/>
  <c r="D60" i="59"/>
  <c r="D61" i="59"/>
  <c r="D62" i="59"/>
  <c r="D63" i="59"/>
  <c r="D64" i="59"/>
  <c r="D65" i="59"/>
  <c r="D66" i="59"/>
  <c r="D67" i="59"/>
  <c r="D68" i="59"/>
  <c r="D69" i="59"/>
  <c r="D70" i="59"/>
  <c r="D71" i="59"/>
  <c r="D72" i="59"/>
  <c r="D73" i="59"/>
  <c r="D74" i="59"/>
  <c r="D75" i="59"/>
  <c r="D76" i="59"/>
  <c r="D77" i="59"/>
  <c r="D78" i="59"/>
  <c r="D79" i="59"/>
  <c r="D80" i="59"/>
  <c r="D81" i="59"/>
  <c r="D82" i="59"/>
  <c r="D83" i="59"/>
  <c r="D84" i="59"/>
  <c r="D85" i="59"/>
  <c r="D86" i="59"/>
  <c r="D87" i="59"/>
  <c r="D88" i="59"/>
  <c r="D89" i="59"/>
  <c r="D90" i="59"/>
  <c r="D91" i="59"/>
  <c r="D92" i="59"/>
  <c r="D93" i="59"/>
  <c r="D94" i="59"/>
  <c r="D95" i="59"/>
  <c r="D96" i="59"/>
  <c r="D97" i="59"/>
  <c r="D98" i="59"/>
  <c r="D99" i="59"/>
  <c r="D100" i="59"/>
  <c r="D101" i="59"/>
  <c r="D102" i="59"/>
  <c r="D4" i="57"/>
  <c r="D3" i="58"/>
  <c r="D5" i="22"/>
  <c r="D4" i="49"/>
  <c r="D4" i="46"/>
  <c r="D4" i="51"/>
  <c r="D5" i="20"/>
  <c r="D3" i="59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5" i="39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4" i="53"/>
  <c r="D5" i="53"/>
  <c r="D6" i="53"/>
  <c r="D7" i="53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39" i="53"/>
  <c r="D40" i="53"/>
  <c r="D41" i="53"/>
  <c r="D42" i="53"/>
  <c r="D43" i="53"/>
  <c r="D44" i="53"/>
  <c r="D45" i="53"/>
  <c r="D46" i="53"/>
  <c r="D47" i="53"/>
  <c r="D48" i="53"/>
  <c r="D49" i="53"/>
  <c r="D50" i="53"/>
  <c r="D51" i="53"/>
  <c r="D52" i="53"/>
  <c r="D53" i="53"/>
  <c r="D54" i="53"/>
  <c r="D55" i="53"/>
  <c r="D56" i="53"/>
  <c r="D57" i="53"/>
  <c r="D58" i="53"/>
  <c r="D59" i="53"/>
  <c r="D60" i="53"/>
  <c r="D61" i="53"/>
  <c r="D62" i="53"/>
  <c r="D63" i="53"/>
  <c r="D64" i="53"/>
  <c r="D65" i="53"/>
  <c r="D66" i="53"/>
  <c r="D67" i="53"/>
  <c r="D68" i="53"/>
  <c r="D69" i="53"/>
  <c r="D70" i="53"/>
  <c r="D71" i="53"/>
  <c r="D72" i="53"/>
  <c r="D73" i="53"/>
  <c r="D74" i="53"/>
  <c r="D75" i="53"/>
  <c r="D76" i="53"/>
  <c r="D77" i="53"/>
  <c r="D78" i="53"/>
  <c r="D79" i="53"/>
  <c r="D80" i="53"/>
  <c r="D81" i="53"/>
  <c r="D82" i="53"/>
  <c r="D83" i="53"/>
  <c r="D84" i="53"/>
  <c r="D85" i="53"/>
  <c r="D86" i="53"/>
  <c r="D87" i="53"/>
  <c r="D88" i="53"/>
  <c r="D89" i="53"/>
  <c r="D90" i="53"/>
  <c r="D91" i="53"/>
  <c r="D92" i="53"/>
  <c r="D93" i="53"/>
  <c r="D94" i="53"/>
  <c r="D95" i="53"/>
  <c r="D96" i="53"/>
  <c r="D97" i="53"/>
  <c r="D98" i="53"/>
  <c r="D99" i="53"/>
  <c r="D100" i="53"/>
  <c r="D101" i="53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4" i="21"/>
  <c r="D5" i="23"/>
  <c r="D4" i="39"/>
  <c r="D4" i="32"/>
  <c r="D4" i="25"/>
  <c r="D4" i="1"/>
  <c r="D4" i="26"/>
  <c r="D4" i="28"/>
  <c r="D3" i="24"/>
  <c r="D4" i="30"/>
  <c r="D5" i="31"/>
  <c r="D3" i="53"/>
  <c r="D4" i="27"/>
  <c r="D4" i="29"/>
  <c r="D4" i="33"/>
  <c r="D4" i="34"/>
  <c r="D4" i="44"/>
  <c r="D4" i="35"/>
  <c r="D4" i="40"/>
  <c r="D4" i="47"/>
  <c r="BC2" i="60" a="1"/>
  <c r="BB2" i="60" a="1"/>
  <c r="BX2" i="60" a="1"/>
  <c r="CF3" i="66" a="1"/>
  <c r="BH2" i="60" a="1"/>
  <c r="BN2" i="60" a="1"/>
  <c r="BD2" i="60" a="1"/>
  <c r="BE2" i="60" a="1"/>
  <c r="BW2" i="60" a="1"/>
  <c r="CG3" i="66" a="1"/>
  <c r="BB2" i="60" l="1"/>
  <c r="BD2" i="60"/>
  <c r="BC2" i="60"/>
  <c r="BN2" i="60"/>
  <c r="BH2" i="60"/>
  <c r="BX2" i="60"/>
  <c r="BW2" i="60"/>
  <c r="BE2" i="60"/>
  <c r="CG3" i="66"/>
  <c r="CF3" i="66"/>
  <c r="G2" i="27"/>
  <c r="J30" i="60" s="1"/>
  <c r="S30" i="60" s="1"/>
  <c r="G2" i="59"/>
  <c r="J6" i="60" s="1"/>
  <c r="S6" i="60" s="1"/>
  <c r="G2" i="58"/>
  <c r="J11" i="60" s="1"/>
  <c r="S11" i="60" s="1"/>
  <c r="G2" i="51"/>
  <c r="J4" i="60" s="1"/>
  <c r="S4" i="60" s="1"/>
  <c r="G2" i="49"/>
  <c r="J10" i="60" s="1"/>
  <c r="S10" i="60" s="1"/>
  <c r="G2" i="47"/>
  <c r="J9" i="60" s="1"/>
  <c r="S9" i="60" s="1"/>
  <c r="G2" i="46"/>
  <c r="J3" i="60" s="1"/>
  <c r="S3" i="60" s="1"/>
  <c r="G2" i="22"/>
  <c r="J27" i="60" s="1"/>
  <c r="S27" i="60" s="1"/>
  <c r="G2" i="44"/>
  <c r="J18" i="60" s="1"/>
  <c r="S18" i="60" s="1"/>
  <c r="G2" i="57"/>
  <c r="J8" i="60" s="1"/>
  <c r="S8" i="60" s="1"/>
  <c r="G2" i="39"/>
  <c r="J26" i="60" s="1"/>
  <c r="S26" i="60" s="1"/>
  <c r="G2" i="35"/>
  <c r="J17" i="60" s="1"/>
  <c r="S17" i="60" s="1"/>
  <c r="G2" i="34"/>
  <c r="J25" i="60" s="1"/>
  <c r="S25" i="60" s="1"/>
  <c r="G2" i="40"/>
  <c r="J24" i="60" s="1"/>
  <c r="S24" i="60" s="1"/>
  <c r="G2" i="33"/>
  <c r="J7" i="60" s="1"/>
  <c r="S7" i="60" s="1"/>
  <c r="G2" i="29"/>
  <c r="J16" i="60" s="1"/>
  <c r="S16" i="60" s="1"/>
  <c r="G2" i="30"/>
  <c r="J15" i="60" s="1"/>
  <c r="S15" i="60" s="1"/>
  <c r="G2" i="31"/>
  <c r="J14" i="60" s="1"/>
  <c r="S14" i="60" s="1"/>
  <c r="G2" i="28"/>
  <c r="J29" i="60" s="1"/>
  <c r="S29" i="60" s="1"/>
  <c r="G2" i="26"/>
  <c r="J28" i="60" s="1"/>
  <c r="S28" i="60" s="1"/>
  <c r="G2" i="1"/>
  <c r="J23" i="60" s="1"/>
  <c r="S23" i="60" s="1"/>
  <c r="G2" i="25"/>
  <c r="J13" i="60" s="1"/>
  <c r="S13" i="60" s="1"/>
  <c r="G2" i="32"/>
  <c r="J22" i="60" s="1"/>
  <c r="S22" i="60" s="1"/>
  <c r="G2" i="23"/>
  <c r="J20" i="60" s="1"/>
  <c r="S20" i="60" s="1"/>
  <c r="G2" i="21"/>
  <c r="J12" i="60" s="1"/>
  <c r="S12" i="60" s="1"/>
  <c r="G2" i="20"/>
  <c r="J19" i="60" s="1"/>
  <c r="S19" i="60" s="1"/>
  <c r="G3" i="35"/>
  <c r="G16" i="59"/>
  <c r="G12" i="59"/>
  <c r="G13" i="59"/>
  <c r="G14" i="59"/>
  <c r="G15" i="59"/>
  <c r="G11" i="59"/>
  <c r="G10" i="59"/>
  <c r="G9" i="59"/>
  <c r="G8" i="59"/>
  <c r="G6" i="59"/>
  <c r="G3" i="59" s="1"/>
  <c r="R9" i="52"/>
  <c r="S9" i="52" s="1"/>
  <c r="N7" i="52"/>
  <c r="O7" i="52" s="1"/>
  <c r="N8" i="52"/>
  <c r="O8" i="52" s="1"/>
  <c r="N17" i="52"/>
  <c r="O17" i="52" s="1"/>
  <c r="G17" i="51"/>
  <c r="G15" i="22"/>
  <c r="G12" i="58"/>
  <c r="G11" i="58"/>
  <c r="G10" i="58"/>
  <c r="G9" i="58"/>
  <c r="G8" i="58"/>
  <c r="G6" i="58"/>
  <c r="G11" i="22"/>
  <c r="N10" i="52"/>
  <c r="O10" i="52" s="1"/>
  <c r="N25" i="52"/>
  <c r="O25" i="52" s="1"/>
  <c r="G6" i="57"/>
  <c r="G8" i="57"/>
  <c r="G9" i="57"/>
  <c r="G10" i="57"/>
  <c r="G11" i="57"/>
  <c r="G12" i="57"/>
  <c r="BV2" i="60" a="1"/>
  <c r="BU2" i="60" a="1"/>
  <c r="CI3" i="66" a="1"/>
  <c r="CD2" i="60" a="1"/>
  <c r="BT2" i="60" a="1"/>
  <c r="BY2" i="60" a="1"/>
  <c r="BT2" i="60" l="1"/>
  <c r="CD2" i="60"/>
  <c r="BV2" i="60"/>
  <c r="BY2" i="60"/>
  <c r="BU2" i="60"/>
  <c r="CI3" i="66"/>
  <c r="M3" i="66" s="1" a="1"/>
  <c r="M3" i="66" s="1"/>
  <c r="O388" i="66"/>
  <c r="P369" i="66" a="1"/>
  <c r="P369" i="66" s="1"/>
  <c r="P321" i="66" a="1"/>
  <c r="P321" i="66" s="1"/>
  <c r="Q378" i="66" a="1"/>
  <c r="Q378" i="66" s="1"/>
  <c r="P354" i="66" a="1"/>
  <c r="P354" i="66" s="1"/>
  <c r="O390" i="66"/>
  <c r="O385" i="66"/>
  <c r="P360" i="66" a="1"/>
  <c r="P360" i="66" s="1"/>
  <c r="P312" i="66" a="1"/>
  <c r="P312" i="66" s="1"/>
  <c r="Q355" i="66" a="1"/>
  <c r="Q355" i="66" s="1"/>
  <c r="Q323" i="66" a="1"/>
  <c r="Q323" i="66" s="1"/>
  <c r="Q292" i="66" a="1"/>
  <c r="Q292" i="66" s="1"/>
  <c r="O364" i="66"/>
  <c r="P323" i="66" a="1"/>
  <c r="P323" i="66" s="1"/>
  <c r="O346" i="66"/>
  <c r="Q342" i="66" a="1"/>
  <c r="Q342" i="66" s="1"/>
  <c r="R312" i="66" a="1"/>
  <c r="R312" i="66" s="1"/>
  <c r="O289" i="66"/>
  <c r="R347" i="66" a="1"/>
  <c r="R347" i="66" s="1"/>
  <c r="N311" i="66"/>
  <c r="O351" i="66"/>
  <c r="O319" i="66"/>
  <c r="Q361" i="66" a="1"/>
  <c r="Q361" i="66" s="1"/>
  <c r="O324" i="66"/>
  <c r="Q352" i="66" a="1"/>
  <c r="Q352" i="66" s="1"/>
  <c r="Q320" i="66" a="1"/>
  <c r="Q320" i="66" s="1"/>
  <c r="R364" i="66" a="1"/>
  <c r="R364" i="66" s="1"/>
  <c r="R332" i="66" a="1"/>
  <c r="R332" i="66" s="1"/>
  <c r="Q305" i="66" a="1"/>
  <c r="Q305" i="66" s="1"/>
  <c r="O298" i="66"/>
  <c r="N350" i="66"/>
  <c r="O349" i="66"/>
  <c r="Q315" i="66" a="1"/>
  <c r="Q315" i="66" s="1"/>
  <c r="R369" i="66" a="1"/>
  <c r="R369" i="66" s="1"/>
  <c r="N289" i="66"/>
  <c r="Q335" i="66" a="1"/>
  <c r="Q335" i="66" s="1"/>
  <c r="N309" i="66"/>
  <c r="Q291" i="66" a="1"/>
  <c r="Q291" i="66" s="1"/>
  <c r="R289" i="66" a="1"/>
  <c r="R289" i="66" s="1"/>
  <c r="N376" i="66"/>
  <c r="R301" i="66" a="1"/>
  <c r="R301" i="66" s="1"/>
  <c r="N316" i="66"/>
  <c r="O384" i="66"/>
  <c r="P365" i="66" a="1"/>
  <c r="P365" i="66" s="1"/>
  <c r="P317" i="66" a="1"/>
  <c r="P317" i="66" s="1"/>
  <c r="O377" i="66"/>
  <c r="P350" i="66" a="1"/>
  <c r="P350" i="66" s="1"/>
  <c r="O386" i="66"/>
  <c r="O381" i="66"/>
  <c r="P356" i="66" a="1"/>
  <c r="P356" i="66" s="1"/>
  <c r="P308" i="66" a="1"/>
  <c r="P308" i="66" s="1"/>
  <c r="N352" i="66"/>
  <c r="N320" i="66"/>
  <c r="P288" i="66" a="1"/>
  <c r="P288" i="66" s="1"/>
  <c r="N357" i="66"/>
  <c r="Q321" i="66" a="1"/>
  <c r="Q321" i="66" s="1"/>
  <c r="N390" i="66"/>
  <c r="N380" i="66"/>
  <c r="R340" i="66" a="1"/>
  <c r="R340" i="66" s="1"/>
  <c r="O311" i="66"/>
  <c r="N398" i="66"/>
  <c r="O344" i="66"/>
  <c r="R307" i="66" a="1"/>
  <c r="R307" i="66" s="1"/>
  <c r="Q347" i="66" a="1"/>
  <c r="Q347" i="66" s="1"/>
  <c r="N314" i="66"/>
  <c r="R359" i="66" a="1"/>
  <c r="R359" i="66" s="1"/>
  <c r="N317" i="66"/>
  <c r="R350" i="66" a="1"/>
  <c r="R350" i="66" s="1"/>
  <c r="R318" i="66" a="1"/>
  <c r="R318" i="66" s="1"/>
  <c r="N363" i="66"/>
  <c r="N331" i="66"/>
  <c r="P302" i="66" a="1"/>
  <c r="P302" i="66" s="1"/>
  <c r="O294" i="66"/>
  <c r="P343" i="66" a="1"/>
  <c r="P343" i="66" s="1"/>
  <c r="N343" i="66"/>
  <c r="R310" i="66" a="1"/>
  <c r="R310" i="66" s="1"/>
  <c r="R361" i="66" a="1"/>
  <c r="R361" i="66" s="1"/>
  <c r="O330" i="66"/>
  <c r="Q299" i="66" a="1"/>
  <c r="Q299" i="66" s="1"/>
  <c r="N378" i="66"/>
  <c r="O288" i="66"/>
  <c r="O380" i="66"/>
  <c r="P361" i="66" a="1"/>
  <c r="P361" i="66" s="1"/>
  <c r="P313" i="66" a="1"/>
  <c r="P313" i="66" s="1"/>
  <c r="Q374" i="66" a="1"/>
  <c r="Q374" i="66" s="1"/>
  <c r="P346" i="66" a="1"/>
  <c r="P346" i="66" s="1"/>
  <c r="O382" i="66"/>
  <c r="O379" i="66"/>
  <c r="P352" i="66" a="1"/>
  <c r="P352" i="66" s="1"/>
  <c r="P304" i="66" a="1"/>
  <c r="P304" i="66" s="1"/>
  <c r="O350" i="66"/>
  <c r="O318" i="66"/>
  <c r="P355" i="66" a="1"/>
  <c r="P355" i="66" s="1"/>
  <c r="R319" i="66" a="1"/>
  <c r="R319" i="66" s="1"/>
  <c r="N381" i="66"/>
  <c r="R376" i="66" a="1"/>
  <c r="R376" i="66" s="1"/>
  <c r="N339" i="66"/>
  <c r="Q309" i="66" a="1"/>
  <c r="Q309" i="66" s="1"/>
  <c r="N389" i="66"/>
  <c r="N337" i="66"/>
  <c r="O306" i="66"/>
  <c r="N344" i="66"/>
  <c r="Q312" i="66" a="1"/>
  <c r="Q312" i="66" s="1"/>
  <c r="O356" i="66"/>
  <c r="O312" i="66"/>
  <c r="O347" i="66"/>
  <c r="P315" i="66" a="1"/>
  <c r="P315" i="66" s="1"/>
  <c r="O361" i="66"/>
  <c r="O329" i="66"/>
  <c r="R300" i="66" a="1"/>
  <c r="R300" i="66" s="1"/>
  <c r="P327" i="66" a="1"/>
  <c r="P327" i="66" s="1"/>
  <c r="R337" i="66" a="1"/>
  <c r="R337" i="66" s="1"/>
  <c r="N301" i="66"/>
  <c r="Q354" i="66" a="1"/>
  <c r="Q354" i="66" s="1"/>
  <c r="Q319" i="66" a="1"/>
  <c r="Q319" i="66" s="1"/>
  <c r="Q295" i="66" a="1"/>
  <c r="Q295" i="66" s="1"/>
  <c r="Q366" i="66" a="1"/>
  <c r="Q366" i="66" s="1"/>
  <c r="Q377" i="66" a="1"/>
  <c r="Q377" i="66" s="1"/>
  <c r="P357" i="66" a="1"/>
  <c r="P357" i="66" s="1"/>
  <c r="P309" i="66" a="1"/>
  <c r="P309" i="66" s="1"/>
  <c r="O373" i="66"/>
  <c r="P342" i="66" a="1"/>
  <c r="P342" i="66" s="1"/>
  <c r="Q379" i="66" a="1"/>
  <c r="Q379" i="66" s="1"/>
  <c r="Q376" i="66" a="1"/>
  <c r="Q376" i="66" s="1"/>
  <c r="P348" i="66" a="1"/>
  <c r="P348" i="66" s="1"/>
  <c r="P300" i="66" a="1"/>
  <c r="P300" i="66" s="1"/>
  <c r="Q348" i="66" a="1"/>
  <c r="Q348" i="66" s="1"/>
  <c r="Q316" i="66" a="1"/>
  <c r="Q316" i="66" s="1"/>
  <c r="Q353" i="66" a="1"/>
  <c r="Q353" i="66" s="1"/>
  <c r="O316" i="66"/>
  <c r="N377" i="66"/>
  <c r="R373" i="66" a="1"/>
  <c r="R373" i="66" s="1"/>
  <c r="O337" i="66"/>
  <c r="P306" i="66" a="1"/>
  <c r="P306" i="66" s="1"/>
  <c r="R379" i="66" a="1"/>
  <c r="R379" i="66" s="1"/>
  <c r="P335" i="66" a="1"/>
  <c r="P335" i="66" s="1"/>
  <c r="N303" i="66"/>
  <c r="O342" i="66"/>
  <c r="O309" i="66"/>
  <c r="N349" i="66"/>
  <c r="Q310" i="66" a="1"/>
  <c r="Q310" i="66" s="1"/>
  <c r="Q343" i="66" a="1"/>
  <c r="Q343" i="66" s="1"/>
  <c r="R313" i="66" a="1"/>
  <c r="R313" i="66" s="1"/>
  <c r="R357" i="66" a="1"/>
  <c r="R357" i="66" s="1"/>
  <c r="R325" i="66" a="1"/>
  <c r="R325" i="66" s="1"/>
  <c r="O299" i="66"/>
  <c r="R311" i="66" a="1"/>
  <c r="R311" i="66" s="1"/>
  <c r="N327" i="66"/>
  <c r="N293" i="66"/>
  <c r="Q341" i="66" a="1"/>
  <c r="Q341" i="66" s="1"/>
  <c r="R309" i="66" a="1"/>
  <c r="R309" i="66" s="1"/>
  <c r="R291" i="66" a="1"/>
  <c r="R291" i="66" s="1"/>
  <c r="P359" i="66" a="1"/>
  <c r="P359" i="66" s="1"/>
  <c r="R344" i="66" a="1"/>
  <c r="R344" i="66" s="1"/>
  <c r="P303" i="66" a="1"/>
  <c r="P303" i="66" s="1"/>
  <c r="O376" i="66"/>
  <c r="P353" i="66" a="1"/>
  <c r="P353" i="66" s="1"/>
  <c r="P305" i="66" a="1"/>
  <c r="P305" i="66" s="1"/>
  <c r="Q370" i="66" a="1"/>
  <c r="Q370" i="66" s="1"/>
  <c r="P338" i="66" a="1"/>
  <c r="P338" i="66" s="1"/>
  <c r="O378" i="66"/>
  <c r="O375" i="66"/>
  <c r="P344" i="66" a="1"/>
  <c r="P344" i="66" s="1"/>
  <c r="P296" i="66" a="1"/>
  <c r="P296" i="66" s="1"/>
  <c r="R346" i="66" a="1"/>
  <c r="R346" i="66" s="1"/>
  <c r="O313" i="66"/>
  <c r="R351" i="66" a="1"/>
  <c r="R351" i="66" s="1"/>
  <c r="Q314" i="66" a="1"/>
  <c r="Q314" i="66" s="1"/>
  <c r="R370" i="66" a="1"/>
  <c r="R370" i="66" s="1"/>
  <c r="R367" i="66" a="1"/>
  <c r="R367" i="66" s="1"/>
  <c r="R333" i="66" a="1"/>
  <c r="R333" i="66" s="1"/>
  <c r="R304" i="66" a="1"/>
  <c r="R304" i="66" s="1"/>
  <c r="N370" i="66"/>
  <c r="Q333" i="66" a="1"/>
  <c r="Q333" i="66" s="1"/>
  <c r="R299" i="66" a="1"/>
  <c r="R299" i="66" s="1"/>
  <c r="Q340" i="66" a="1"/>
  <c r="Q340" i="66" s="1"/>
  <c r="N306" i="66"/>
  <c r="P347" i="66" a="1"/>
  <c r="P347" i="66" s="1"/>
  <c r="O304" i="66"/>
  <c r="N395" i="66"/>
  <c r="N340" i="66"/>
  <c r="N312" i="66"/>
  <c r="N354" i="66"/>
  <c r="N322" i="66"/>
  <c r="Q297" i="66" a="1"/>
  <c r="Q297" i="66" s="1"/>
  <c r="N375" i="66"/>
  <c r="N307" i="66"/>
  <c r="R321" i="66" a="1"/>
  <c r="R321" i="66" s="1"/>
  <c r="Q289" i="66" a="1"/>
  <c r="Q289" i="66" s="1"/>
  <c r="O336" i="66"/>
  <c r="N384" i="66"/>
  <c r="N300" i="66"/>
  <c r="O352" i="66"/>
  <c r="Q303" i="66" a="1"/>
  <c r="Q303" i="66" s="1"/>
  <c r="Q373" i="66" a="1"/>
  <c r="Q373" i="66" s="1"/>
  <c r="P349" i="66" a="1"/>
  <c r="P349" i="66" s="1"/>
  <c r="P301" i="66" a="1"/>
  <c r="P301" i="66" s="1"/>
  <c r="O369" i="66"/>
  <c r="P334" i="66" a="1"/>
  <c r="P334" i="66" s="1"/>
  <c r="Q375" i="66" a="1"/>
  <c r="Q375" i="66" s="1"/>
  <c r="Q372" i="66" a="1"/>
  <c r="Q372" i="66" s="1"/>
  <c r="P340" i="66" a="1"/>
  <c r="P340" i="66" s="1"/>
  <c r="P292" i="66" a="1"/>
  <c r="P292" i="66" s="1"/>
  <c r="O343" i="66"/>
  <c r="N310" i="66"/>
  <c r="O348" i="66"/>
  <c r="O308" i="66"/>
  <c r="N364" i="66"/>
  <c r="N362" i="66"/>
  <c r="N330" i="66"/>
  <c r="O303" i="66"/>
  <c r="Q367" i="66" a="1"/>
  <c r="Q367" i="66" s="1"/>
  <c r="R331" i="66" a="1"/>
  <c r="R331" i="66" s="1"/>
  <c r="N388" i="66"/>
  <c r="R338" i="66" a="1"/>
  <c r="R338" i="66" s="1"/>
  <c r="Q304" i="66" a="1"/>
  <c r="Q304" i="66" s="1"/>
  <c r="N396" i="66"/>
  <c r="Q345" i="66" a="1"/>
  <c r="Q345" i="66" s="1"/>
  <c r="Q302" i="66" a="1"/>
  <c r="Q302" i="66" s="1"/>
  <c r="R378" i="66" a="1"/>
  <c r="R378" i="66" s="1"/>
  <c r="O338" i="66"/>
  <c r="P307" i="66" a="1"/>
  <c r="P307" i="66" s="1"/>
  <c r="Q350" i="66" a="1"/>
  <c r="Q350" i="66" s="1"/>
  <c r="Q318" i="66" a="1"/>
  <c r="Q318" i="66" s="1"/>
  <c r="P294" i="66" a="1"/>
  <c r="P294" i="66" s="1"/>
  <c r="Q357" i="66" a="1"/>
  <c r="Q357" i="66" s="1"/>
  <c r="O302" i="66"/>
  <c r="Q311" i="66" a="1"/>
  <c r="Q311" i="66" s="1"/>
  <c r="N392" i="66"/>
  <c r="Q325" i="66" a="1"/>
  <c r="Q325" i="66" s="1"/>
  <c r="R368" i="66" a="1"/>
  <c r="R368" i="66" s="1"/>
  <c r="R295" i="66" a="1"/>
  <c r="R295" i="66" s="1"/>
  <c r="P379" i="66" a="1"/>
  <c r="P379" i="66" s="1"/>
  <c r="N345" i="66"/>
  <c r="O372" i="66"/>
  <c r="P345" i="66" a="1"/>
  <c r="P345" i="66" s="1"/>
  <c r="P297" i="66" a="1"/>
  <c r="P297" i="66" s="1"/>
  <c r="P378" i="66" a="1"/>
  <c r="P378" i="66" s="1"/>
  <c r="P330" i="66" a="1"/>
  <c r="P330" i="66" s="1"/>
  <c r="O374" i="66"/>
  <c r="O371" i="66"/>
  <c r="P336" i="66" a="1"/>
  <c r="P336" i="66" s="1"/>
  <c r="N393" i="66"/>
  <c r="Q339" i="66" a="1"/>
  <c r="Q339" i="66" s="1"/>
  <c r="Q308" i="66" a="1"/>
  <c r="Q308" i="66" s="1"/>
  <c r="N341" i="66"/>
  <c r="Q306" i="66" a="1"/>
  <c r="Q306" i="66" s="1"/>
  <c r="O362" i="66"/>
  <c r="Q358" i="66" a="1"/>
  <c r="Q358" i="66" s="1"/>
  <c r="Q326" i="66" a="1"/>
  <c r="Q326" i="66" s="1"/>
  <c r="Q301" i="66" a="1"/>
  <c r="Q301" i="66" s="1"/>
  <c r="R365" i="66" a="1"/>
  <c r="R365" i="66" s="1"/>
  <c r="O328" i="66"/>
  <c r="N373" i="66"/>
  <c r="O335" i="66"/>
  <c r="O301" i="66"/>
  <c r="N386" i="66"/>
  <c r="R343" i="66" a="1"/>
  <c r="R343" i="66" s="1"/>
  <c r="O296" i="66"/>
  <c r="N369" i="66"/>
  <c r="Q336" i="66" a="1"/>
  <c r="Q336" i="66" s="1"/>
  <c r="R305" i="66" a="1"/>
  <c r="R305" i="66" s="1"/>
  <c r="R348" i="66" a="1"/>
  <c r="R348" i="66" s="1"/>
  <c r="R316" i="66" a="1"/>
  <c r="R316" i="66" s="1"/>
  <c r="R292" i="66" a="1"/>
  <c r="R292" i="66" s="1"/>
  <c r="Q338" i="66" a="1"/>
  <c r="Q338" i="66" s="1"/>
  <c r="R306" i="66" a="1"/>
  <c r="R306" i="66" s="1"/>
  <c r="P371" i="66" a="1"/>
  <c r="P371" i="66" s="1"/>
  <c r="O320" i="66"/>
  <c r="N361" i="66"/>
  <c r="N292" i="66"/>
  <c r="P367" i="66" a="1"/>
  <c r="P367" i="66" s="1"/>
  <c r="R339" i="66" a="1"/>
  <c r="R339" i="66" s="1"/>
  <c r="Q369" i="66" a="1"/>
  <c r="Q369" i="66" s="1"/>
  <c r="P341" i="66" a="1"/>
  <c r="P341" i="66" s="1"/>
  <c r="P293" i="66" a="1"/>
  <c r="P293" i="66" s="1"/>
  <c r="P374" i="66" a="1"/>
  <c r="P374" i="66" s="1"/>
  <c r="P326" i="66" a="1"/>
  <c r="P326" i="66" s="1"/>
  <c r="Q371" i="66" a="1"/>
  <c r="Q371" i="66" s="1"/>
  <c r="Q368" i="66" a="1"/>
  <c r="Q368" i="66" s="1"/>
  <c r="P332" i="66" a="1"/>
  <c r="P332" i="66" s="1"/>
  <c r="N383" i="66"/>
  <c r="N336" i="66"/>
  <c r="O305" i="66"/>
  <c r="N391" i="66"/>
  <c r="P339" i="66" a="1"/>
  <c r="P339" i="66" s="1"/>
  <c r="O300" i="66"/>
  <c r="Q360" i="66" a="1"/>
  <c r="Q360" i="66" s="1"/>
  <c r="R356" i="66" a="1"/>
  <c r="R356" i="66" s="1"/>
  <c r="R324" i="66" a="1"/>
  <c r="R324" i="66" s="1"/>
  <c r="P298" i="66" a="1"/>
  <c r="P298" i="66" s="1"/>
  <c r="R363" i="66" a="1"/>
  <c r="R363" i="66" s="1"/>
  <c r="N321" i="66"/>
  <c r="Q363" i="66" a="1"/>
  <c r="Q363" i="66" s="1"/>
  <c r="Q331" i="66" a="1"/>
  <c r="Q331" i="66" s="1"/>
  <c r="N298" i="66"/>
  <c r="N379" i="66"/>
  <c r="O340" i="66"/>
  <c r="Q294" i="66" a="1"/>
  <c r="Q294" i="66" s="1"/>
  <c r="N367" i="66"/>
  <c r="R334" i="66" a="1"/>
  <c r="R334" i="66" s="1"/>
  <c r="N304" i="66"/>
  <c r="N394" i="66"/>
  <c r="N347" i="66"/>
  <c r="O315" i="66"/>
  <c r="O291" i="66"/>
  <c r="O333" i="66"/>
  <c r="R293" i="66" a="1"/>
  <c r="R293" i="66" s="1"/>
  <c r="Q362" i="66" a="1"/>
  <c r="Q362" i="66" s="1"/>
  <c r="N315" i="66"/>
  <c r="O341" i="66"/>
  <c r="R352" i="66" a="1"/>
  <c r="R352" i="66" s="1"/>
  <c r="O368" i="66"/>
  <c r="P337" i="66" a="1"/>
  <c r="P337" i="66" s="1"/>
  <c r="O395" i="66"/>
  <c r="P370" i="66" a="1"/>
  <c r="P370" i="66" s="1"/>
  <c r="P322" i="66" a="1"/>
  <c r="P322" i="66" s="1"/>
  <c r="O370" i="66"/>
  <c r="P376" i="66" a="1"/>
  <c r="P376" i="66" s="1"/>
  <c r="P328" i="66" a="1"/>
  <c r="P328" i="66" s="1"/>
  <c r="R374" i="66" a="1"/>
  <c r="R374" i="66" s="1"/>
  <c r="O334" i="66"/>
  <c r="N302" i="66"/>
  <c r="N374" i="66"/>
  <c r="Q337" i="66" a="1"/>
  <c r="Q337" i="66" s="1"/>
  <c r="Q298" i="66" a="1"/>
  <c r="Q298" i="66" s="1"/>
  <c r="R358" i="66" a="1"/>
  <c r="R358" i="66" s="1"/>
  <c r="N355" i="66"/>
  <c r="N323" i="66"/>
  <c r="R296" i="66" a="1"/>
  <c r="R296" i="66" s="1"/>
  <c r="O360" i="66"/>
  <c r="P319" i="66" a="1"/>
  <c r="P319" i="66" s="1"/>
  <c r="N360" i="66"/>
  <c r="N328" i="66"/>
  <c r="Q296" i="66" a="1"/>
  <c r="Q296" i="66" s="1"/>
  <c r="R375" i="66" a="1"/>
  <c r="R375" i="66" s="1"/>
  <c r="N333" i="66"/>
  <c r="N290" i="66"/>
  <c r="O363" i="66"/>
  <c r="O331" i="66"/>
  <c r="P299" i="66" a="1"/>
  <c r="P299" i="66" s="1"/>
  <c r="N385" i="66"/>
  <c r="O345" i="66"/>
  <c r="Q313" i="66" a="1"/>
  <c r="Q313" i="66" s="1"/>
  <c r="Q288" i="66" a="1"/>
  <c r="Q288" i="66" s="1"/>
  <c r="Q322" i="66" a="1"/>
  <c r="Q322" i="66" s="1"/>
  <c r="O290" i="66"/>
  <c r="N342" i="66"/>
  <c r="O310" i="66"/>
  <c r="Q330" i="66" a="1"/>
  <c r="Q330" i="66" s="1"/>
  <c r="N382" i="66"/>
  <c r="R345" i="66" a="1"/>
  <c r="R345" i="66" s="1"/>
  <c r="R323" i="66" a="1"/>
  <c r="R323" i="66" s="1"/>
  <c r="Q365" i="66" a="1"/>
  <c r="Q365" i="66" s="1"/>
  <c r="P333" i="66" a="1"/>
  <c r="P333" i="66" s="1"/>
  <c r="O391" i="66"/>
  <c r="P366" i="66" a="1"/>
  <c r="P366" i="66" s="1"/>
  <c r="P318" i="66" a="1"/>
  <c r="P318" i="66" s="1"/>
  <c r="O397" i="66"/>
  <c r="P372" i="66" a="1"/>
  <c r="P372" i="66" s="1"/>
  <c r="P324" i="66" a="1"/>
  <c r="P324" i="66" s="1"/>
  <c r="Q364" i="66" a="1"/>
  <c r="Q364" i="66" s="1"/>
  <c r="Q332" i="66" a="1"/>
  <c r="Q332" i="66" s="1"/>
  <c r="Q300" i="66" a="1"/>
  <c r="Q300" i="66" s="1"/>
  <c r="N371" i="66"/>
  <c r="R335" i="66" a="1"/>
  <c r="R335" i="66" s="1"/>
  <c r="O292" i="66"/>
  <c r="O355" i="66"/>
  <c r="O353" i="66"/>
  <c r="O321" i="66"/>
  <c r="O295" i="66"/>
  <c r="N353" i="66"/>
  <c r="Q317" i="66" a="1"/>
  <c r="Q317" i="66" s="1"/>
  <c r="O358" i="66"/>
  <c r="O326" i="66"/>
  <c r="O293" i="66"/>
  <c r="O367" i="66"/>
  <c r="P331" i="66" a="1"/>
  <c r="P331" i="66" s="1"/>
  <c r="R288" i="66" a="1"/>
  <c r="R288" i="66" s="1"/>
  <c r="Q359" i="66" a="1"/>
  <c r="Q359" i="66" s="1"/>
  <c r="Q327" i="66" a="1"/>
  <c r="Q327" i="66" s="1"/>
  <c r="R297" i="66" a="1"/>
  <c r="R297" i="66" s="1"/>
  <c r="P375" i="66" a="1"/>
  <c r="P375" i="66" s="1"/>
  <c r="R341" i="66" a="1"/>
  <c r="R341" i="66" s="1"/>
  <c r="P310" i="66" a="1"/>
  <c r="P310" i="66" s="1"/>
  <c r="O317" i="66"/>
  <c r="R336" i="66" a="1"/>
  <c r="R336" i="66" s="1"/>
  <c r="P289" i="66" a="1"/>
  <c r="P289" i="66" s="1"/>
  <c r="O325" i="66"/>
  <c r="R360" i="66" a="1"/>
  <c r="R360" i="66" s="1"/>
  <c r="N335" i="66"/>
  <c r="R303" i="66" a="1"/>
  <c r="R303" i="66" s="1"/>
  <c r="R328" i="66" a="1"/>
  <c r="R328" i="66" s="1"/>
  <c r="O396" i="66"/>
  <c r="P377" i="66" a="1"/>
  <c r="P377" i="66" s="1"/>
  <c r="P329" i="66" a="1"/>
  <c r="P329" i="66" s="1"/>
  <c r="O387" i="66"/>
  <c r="P362" i="66" a="1"/>
  <c r="P362" i="66" s="1"/>
  <c r="O398" i="66"/>
  <c r="O393" i="66"/>
  <c r="P368" i="66" a="1"/>
  <c r="P368" i="66" s="1"/>
  <c r="P320" i="66" a="1"/>
  <c r="P320" i="66" s="1"/>
  <c r="R362" i="66" a="1"/>
  <c r="R362" i="66" s="1"/>
  <c r="R330" i="66" a="1"/>
  <c r="R330" i="66" s="1"/>
  <c r="O297" i="66"/>
  <c r="N368" i="66"/>
  <c r="O332" i="66"/>
  <c r="R290" i="66" a="1"/>
  <c r="R290" i="66" s="1"/>
  <c r="Q351" i="66" a="1"/>
  <c r="Q351" i="66" s="1"/>
  <c r="R349" i="66" a="1"/>
  <c r="R349" i="66" s="1"/>
  <c r="R317" i="66" a="1"/>
  <c r="R317" i="66" s="1"/>
  <c r="Q293" i="66" a="1"/>
  <c r="Q293" i="66" s="1"/>
  <c r="P351" i="66" a="1"/>
  <c r="P351" i="66" s="1"/>
  <c r="R315" i="66" a="1"/>
  <c r="R315" i="66" s="1"/>
  <c r="Q356" i="66" a="1"/>
  <c r="Q356" i="66" s="1"/>
  <c r="Q324" i="66" a="1"/>
  <c r="Q324" i="66" s="1"/>
  <c r="P290" i="66" a="1"/>
  <c r="P290" i="66" s="1"/>
  <c r="N365" i="66"/>
  <c r="Q329" i="66" a="1"/>
  <c r="Q329" i="66" s="1"/>
  <c r="N356" i="66"/>
  <c r="N324" i="66"/>
  <c r="N296" i="66"/>
  <c r="N372" i="66"/>
  <c r="N338" i="66"/>
  <c r="R308" i="66" a="1"/>
  <c r="R308" i="66" s="1"/>
  <c r="Q307" i="66" a="1"/>
  <c r="Q307" i="66" s="1"/>
  <c r="N397" i="66"/>
  <c r="N326" i="66"/>
  <c r="R314" i="66" a="1"/>
  <c r="R314" i="66" s="1"/>
  <c r="R353" i="66" a="1"/>
  <c r="R353" i="66" s="1"/>
  <c r="R329" i="66" a="1"/>
  <c r="R329" i="66" s="1"/>
  <c r="N299" i="66"/>
  <c r="N291" i="66"/>
  <c r="R371" i="66" a="1"/>
  <c r="R371" i="66" s="1"/>
  <c r="O392" i="66"/>
  <c r="P373" i="66" a="1"/>
  <c r="P373" i="66" s="1"/>
  <c r="P325" i="66" a="1"/>
  <c r="P325" i="66" s="1"/>
  <c r="O383" i="66"/>
  <c r="P358" i="66" a="1"/>
  <c r="P358" i="66" s="1"/>
  <c r="O394" i="66"/>
  <c r="O389" i="66"/>
  <c r="P364" i="66" a="1"/>
  <c r="P364" i="66" s="1"/>
  <c r="P316" i="66" a="1"/>
  <c r="P316" i="66" s="1"/>
  <c r="O359" i="66"/>
  <c r="O327" i="66"/>
  <c r="N294" i="66"/>
  <c r="N366" i="66"/>
  <c r="N325" i="66"/>
  <c r="N288" i="66"/>
  <c r="N348" i="66"/>
  <c r="N346" i="66"/>
  <c r="P314" i="66" a="1"/>
  <c r="P314" i="66" s="1"/>
  <c r="Q290" i="66" a="1"/>
  <c r="Q290" i="66" s="1"/>
  <c r="Q349" i="66" a="1"/>
  <c r="Q349" i="66" s="1"/>
  <c r="O314" i="66"/>
  <c r="R354" i="66" a="1"/>
  <c r="R354" i="66" s="1"/>
  <c r="R322" i="66" a="1"/>
  <c r="R322" i="66" s="1"/>
  <c r="P363" i="66" a="1"/>
  <c r="P363" i="66" s="1"/>
  <c r="R327" i="66" a="1"/>
  <c r="R327" i="66" s="1"/>
  <c r="O354" i="66"/>
  <c r="O322" i="66"/>
  <c r="P291" i="66" a="1"/>
  <c r="P291" i="66" s="1"/>
  <c r="R366" i="66" a="1"/>
  <c r="R366" i="66" s="1"/>
  <c r="Q334" i="66" a="1"/>
  <c r="Q334" i="66" s="1"/>
  <c r="O307" i="66"/>
  <c r="R302" i="66" a="1"/>
  <c r="R302" i="66" s="1"/>
  <c r="O357" i="66"/>
  <c r="R372" i="66" a="1"/>
  <c r="R372" i="66" s="1"/>
  <c r="R320" i="66" a="1"/>
  <c r="R320" i="66" s="1"/>
  <c r="N387" i="66"/>
  <c r="N305" i="66"/>
  <c r="Q346" i="66" a="1"/>
  <c r="Q346" i="66" s="1"/>
  <c r="N319" i="66"/>
  <c r="P295" i="66" a="1"/>
  <c r="P295" i="66" s="1"/>
  <c r="R326" i="66" a="1"/>
  <c r="R326" i="66" s="1"/>
  <c r="R342" i="66" a="1"/>
  <c r="R342" i="66" s="1"/>
  <c r="N329" i="66"/>
  <c r="Q344" i="66" a="1"/>
  <c r="Q344" i="66" s="1"/>
  <c r="R298" i="66" a="1"/>
  <c r="R298" i="66" s="1"/>
  <c r="R355" i="66" a="1"/>
  <c r="R355" i="66" s="1"/>
  <c r="R377" i="66" a="1"/>
  <c r="R377" i="66" s="1"/>
  <c r="O323" i="66"/>
  <c r="N351" i="66"/>
  <c r="N359" i="66"/>
  <c r="N358" i="66"/>
  <c r="N332" i="66"/>
  <c r="Q328" i="66" a="1"/>
  <c r="Q328" i="66" s="1"/>
  <c r="O365" i="66"/>
  <c r="N297" i="66"/>
  <c r="N334" i="66"/>
  <c r="R294" i="66" a="1"/>
  <c r="R294" i="66" s="1"/>
  <c r="O339" i="66"/>
  <c r="N313" i="66"/>
  <c r="N295" i="66"/>
  <c r="P311" i="66" a="1"/>
  <c r="P311" i="66" s="1"/>
  <c r="O366" i="66"/>
  <c r="N318" i="66"/>
  <c r="N308" i="66"/>
  <c r="G3" i="58"/>
  <c r="BS2" i="60" a="1"/>
  <c r="CC2" i="60" a="1"/>
  <c r="E3" i="66" a="1"/>
  <c r="CE2" i="60" a="1"/>
  <c r="O287" i="66" l="1"/>
  <c r="Q287" i="66" a="1"/>
  <c r="Q287" i="66" s="1"/>
  <c r="R287" i="66" a="1"/>
  <c r="R287" i="66" s="1"/>
  <c r="P287" i="66" a="1"/>
  <c r="P287" i="66" s="1"/>
  <c r="N287" i="66"/>
  <c r="Q286" i="66" a="1"/>
  <c r="Q286" i="66" s="1"/>
  <c r="O286" i="66"/>
  <c r="R286" i="66" a="1"/>
  <c r="R286" i="66" s="1"/>
  <c r="P286" i="66" a="1"/>
  <c r="P286" i="66" s="1"/>
  <c r="N286" i="66"/>
  <c r="E3" i="66"/>
  <c r="F4" i="66"/>
  <c r="F16" i="66"/>
  <c r="F28" i="66"/>
  <c r="F40" i="66"/>
  <c r="F52" i="66"/>
  <c r="F64" i="66"/>
  <c r="F76" i="66"/>
  <c r="F88" i="66"/>
  <c r="F100" i="66"/>
  <c r="F112" i="66"/>
  <c r="F124" i="66"/>
  <c r="F136" i="66"/>
  <c r="F148" i="66"/>
  <c r="F160" i="66"/>
  <c r="F172" i="66"/>
  <c r="F184" i="66"/>
  <c r="F196" i="66"/>
  <c r="F232" i="66"/>
  <c r="F5" i="66"/>
  <c r="F17" i="66"/>
  <c r="F29" i="66"/>
  <c r="F41" i="66"/>
  <c r="F53" i="66"/>
  <c r="F65" i="66"/>
  <c r="F77" i="66"/>
  <c r="F89" i="66"/>
  <c r="F101" i="66"/>
  <c r="F113" i="66"/>
  <c r="F125" i="66"/>
  <c r="F137" i="66"/>
  <c r="F149" i="66"/>
  <c r="F161" i="66"/>
  <c r="F173" i="66"/>
  <c r="F185" i="66"/>
  <c r="F197" i="66"/>
  <c r="F209" i="66"/>
  <c r="F221" i="66"/>
  <c r="F233" i="66"/>
  <c r="F245" i="66"/>
  <c r="F257" i="66"/>
  <c r="F269" i="66"/>
  <c r="F281" i="66"/>
  <c r="F63" i="66"/>
  <c r="F219" i="66"/>
  <c r="F256" i="66"/>
  <c r="F6" i="66"/>
  <c r="F18" i="66"/>
  <c r="F30" i="66"/>
  <c r="F42" i="66"/>
  <c r="F54" i="66"/>
  <c r="F66" i="66"/>
  <c r="F78" i="66"/>
  <c r="F90" i="66"/>
  <c r="F102" i="66"/>
  <c r="F114" i="66"/>
  <c r="F126" i="66"/>
  <c r="F138" i="66"/>
  <c r="F150" i="66"/>
  <c r="F162" i="66"/>
  <c r="F174" i="66"/>
  <c r="F186" i="66"/>
  <c r="F198" i="66"/>
  <c r="F210" i="66"/>
  <c r="F222" i="66"/>
  <c r="F234" i="66"/>
  <c r="F246" i="66"/>
  <c r="F258" i="66"/>
  <c r="F270" i="66"/>
  <c r="F282" i="66"/>
  <c r="F75" i="66"/>
  <c r="F183" i="66"/>
  <c r="F244" i="66"/>
  <c r="F7" i="66"/>
  <c r="F19" i="66"/>
  <c r="F31" i="66"/>
  <c r="F43" i="66"/>
  <c r="F55" i="66"/>
  <c r="F67" i="66"/>
  <c r="F79" i="66"/>
  <c r="F91" i="66"/>
  <c r="F103" i="66"/>
  <c r="F115" i="66"/>
  <c r="F127" i="66"/>
  <c r="F139" i="66"/>
  <c r="F151" i="66"/>
  <c r="F163" i="66"/>
  <c r="F175" i="66"/>
  <c r="F187" i="66"/>
  <c r="F199" i="66"/>
  <c r="F211" i="66"/>
  <c r="F223" i="66"/>
  <c r="F235" i="66"/>
  <c r="F247" i="66"/>
  <c r="F259" i="66"/>
  <c r="F271" i="66"/>
  <c r="F283" i="66"/>
  <c r="F34" i="66"/>
  <c r="F58" i="66"/>
  <c r="F94" i="66"/>
  <c r="F106" i="66"/>
  <c r="F142" i="66"/>
  <c r="F190" i="66"/>
  <c r="F226" i="66"/>
  <c r="F266" i="66"/>
  <c r="F39" i="66"/>
  <c r="F171" i="66"/>
  <c r="F280" i="66"/>
  <c r="F8" i="66"/>
  <c r="F20" i="66"/>
  <c r="F32" i="66"/>
  <c r="F44" i="66"/>
  <c r="F56" i="66"/>
  <c r="F68" i="66"/>
  <c r="F80" i="66"/>
  <c r="F92" i="66"/>
  <c r="F104" i="66"/>
  <c r="F116" i="66"/>
  <c r="F128" i="66"/>
  <c r="F140" i="66"/>
  <c r="F152" i="66"/>
  <c r="F164" i="66"/>
  <c r="F176" i="66"/>
  <c r="F188" i="66"/>
  <c r="F200" i="66"/>
  <c r="F212" i="66"/>
  <c r="F224" i="66"/>
  <c r="F236" i="66"/>
  <c r="F248" i="66"/>
  <c r="F260" i="66"/>
  <c r="F272" i="66"/>
  <c r="F284" i="66"/>
  <c r="F10" i="66"/>
  <c r="F82" i="66"/>
  <c r="F130" i="66"/>
  <c r="F166" i="66"/>
  <c r="F202" i="66"/>
  <c r="F250" i="66"/>
  <c r="F254" i="66"/>
  <c r="F51" i="66"/>
  <c r="F159" i="66"/>
  <c r="F267" i="66"/>
  <c r="F9" i="66"/>
  <c r="F21" i="66"/>
  <c r="F33" i="66"/>
  <c r="F45" i="66"/>
  <c r="F57" i="66"/>
  <c r="F69" i="66"/>
  <c r="F81" i="66"/>
  <c r="F93" i="66"/>
  <c r="F105" i="66"/>
  <c r="F117" i="66"/>
  <c r="F129" i="66"/>
  <c r="F141" i="66"/>
  <c r="F153" i="66"/>
  <c r="F165" i="66"/>
  <c r="F177" i="66"/>
  <c r="F189" i="66"/>
  <c r="F201" i="66"/>
  <c r="F213" i="66"/>
  <c r="F225" i="66"/>
  <c r="F237" i="66"/>
  <c r="F249" i="66"/>
  <c r="F261" i="66"/>
  <c r="F273" i="66"/>
  <c r="F22" i="66"/>
  <c r="F70" i="66"/>
  <c r="F118" i="66"/>
  <c r="F154" i="66"/>
  <c r="F214" i="66"/>
  <c r="F238" i="66"/>
  <c r="F274" i="66"/>
  <c r="F242" i="66"/>
  <c r="F87" i="66"/>
  <c r="F147" i="66"/>
  <c r="F243" i="66"/>
  <c r="F46" i="66"/>
  <c r="F178" i="66"/>
  <c r="F262" i="66"/>
  <c r="F15" i="66"/>
  <c r="F123" i="66"/>
  <c r="F255" i="66"/>
  <c r="F11" i="66"/>
  <c r="F23" i="66"/>
  <c r="F35" i="66"/>
  <c r="F47" i="66"/>
  <c r="F59" i="66"/>
  <c r="F71" i="66"/>
  <c r="F83" i="66"/>
  <c r="F95" i="66"/>
  <c r="F107" i="66"/>
  <c r="F119" i="66"/>
  <c r="F131" i="66"/>
  <c r="F143" i="66"/>
  <c r="F155" i="66"/>
  <c r="F167" i="66"/>
  <c r="F179" i="66"/>
  <c r="F191" i="66"/>
  <c r="F203" i="66"/>
  <c r="F215" i="66"/>
  <c r="F227" i="66"/>
  <c r="F239" i="66"/>
  <c r="F251" i="66"/>
  <c r="F263" i="66"/>
  <c r="F275" i="66"/>
  <c r="F276" i="66"/>
  <c r="F26" i="66"/>
  <c r="F98" i="66"/>
  <c r="F146" i="66"/>
  <c r="F182" i="66"/>
  <c r="F230" i="66"/>
  <c r="F111" i="66"/>
  <c r="F135" i="66"/>
  <c r="F207" i="66"/>
  <c r="F279" i="66"/>
  <c r="F220" i="66"/>
  <c r="F12" i="66"/>
  <c r="F24" i="66"/>
  <c r="F36" i="66"/>
  <c r="F48" i="66"/>
  <c r="F60" i="66"/>
  <c r="F72" i="66"/>
  <c r="F84" i="66"/>
  <c r="F96" i="66"/>
  <c r="F108" i="66"/>
  <c r="F120" i="66"/>
  <c r="F132" i="66"/>
  <c r="F144" i="66"/>
  <c r="F156" i="66"/>
  <c r="F168" i="66"/>
  <c r="F180" i="66"/>
  <c r="F192" i="66"/>
  <c r="F204" i="66"/>
  <c r="F216" i="66"/>
  <c r="F228" i="66"/>
  <c r="F240" i="66"/>
  <c r="F252" i="66"/>
  <c r="F264" i="66"/>
  <c r="F38" i="66"/>
  <c r="F122" i="66"/>
  <c r="F170" i="66"/>
  <c r="F206" i="66"/>
  <c r="F99" i="66"/>
  <c r="F195" i="66"/>
  <c r="F208" i="66"/>
  <c r="F13" i="66"/>
  <c r="F25" i="66"/>
  <c r="F37" i="66"/>
  <c r="F49" i="66"/>
  <c r="F61" i="66"/>
  <c r="F73" i="66"/>
  <c r="F85" i="66"/>
  <c r="F97" i="66"/>
  <c r="F109" i="66"/>
  <c r="F121" i="66"/>
  <c r="F133" i="66"/>
  <c r="F145" i="66"/>
  <c r="F157" i="66"/>
  <c r="F169" i="66"/>
  <c r="F181" i="66"/>
  <c r="F193" i="66"/>
  <c r="F205" i="66"/>
  <c r="F217" i="66"/>
  <c r="F229" i="66"/>
  <c r="F241" i="66"/>
  <c r="F253" i="66"/>
  <c r="F265" i="66"/>
  <c r="F277" i="66"/>
  <c r="F14" i="66"/>
  <c r="F50" i="66"/>
  <c r="F62" i="66"/>
  <c r="F74" i="66"/>
  <c r="F86" i="66"/>
  <c r="F110" i="66"/>
  <c r="F134" i="66"/>
  <c r="F158" i="66"/>
  <c r="F194" i="66"/>
  <c r="F218" i="66"/>
  <c r="F278" i="66"/>
  <c r="F27" i="66"/>
  <c r="F231" i="66"/>
  <c r="F268" i="66"/>
  <c r="Q69" i="66" a="1"/>
  <c r="Q69" i="66" s="1"/>
  <c r="P37" i="66" a="1"/>
  <c r="P37" i="66" s="1"/>
  <c r="P32" i="66" a="1"/>
  <c r="P32" i="66" s="1"/>
  <c r="O94" i="66"/>
  <c r="Q36" i="66" a="1"/>
  <c r="Q36" i="66" s="1"/>
  <c r="Q50" i="66" a="1"/>
  <c r="Q50" i="66" s="1"/>
  <c r="N52" i="66"/>
  <c r="R38" i="66" a="1"/>
  <c r="R38" i="66" s="1"/>
  <c r="P204" i="66" a="1"/>
  <c r="P204" i="66" s="1"/>
  <c r="N128" i="66"/>
  <c r="N103" i="66"/>
  <c r="O123" i="66"/>
  <c r="O232" i="66"/>
  <c r="O146" i="66"/>
  <c r="P6" i="66" a="1"/>
  <c r="P6" i="66" s="1"/>
  <c r="P15" i="66" a="1"/>
  <c r="P15" i="66" s="1"/>
  <c r="Q39" i="66" a="1"/>
  <c r="Q39" i="66" s="1"/>
  <c r="N244" i="66"/>
  <c r="Q55" i="66" a="1"/>
  <c r="Q55" i="66" s="1"/>
  <c r="Q133" i="66" a="1"/>
  <c r="Q133" i="66" s="1"/>
  <c r="O160" i="66"/>
  <c r="P133" i="66" a="1"/>
  <c r="P133" i="66" s="1"/>
  <c r="O234" i="66"/>
  <c r="N278" i="66"/>
  <c r="Q26" i="66" a="1"/>
  <c r="Q26" i="66" s="1"/>
  <c r="O46" i="66"/>
  <c r="O92" i="66"/>
  <c r="O78" i="66"/>
  <c r="P168" i="66" a="1"/>
  <c r="P168" i="66" s="1"/>
  <c r="Q82" i="66" a="1"/>
  <c r="Q82" i="66" s="1"/>
  <c r="O6" i="66"/>
  <c r="P121" i="66" a="1"/>
  <c r="P121" i="66" s="1"/>
  <c r="P76" i="66" a="1"/>
  <c r="P76" i="66" s="1"/>
  <c r="Q152" i="66" a="1"/>
  <c r="Q152" i="66" s="1"/>
  <c r="R55" i="66" a="1"/>
  <c r="R55" i="66" s="1"/>
  <c r="O105" i="66"/>
  <c r="Q140" i="66" a="1"/>
  <c r="Q140" i="66" s="1"/>
  <c r="Q101" i="66" a="1"/>
  <c r="Q101" i="66" s="1"/>
  <c r="R95" i="66" a="1"/>
  <c r="R95" i="66" s="1"/>
  <c r="N37" i="66"/>
  <c r="P244" i="66" a="1"/>
  <c r="P244" i="66" s="1"/>
  <c r="O173" i="66"/>
  <c r="R105" i="66" a="1"/>
  <c r="R105" i="66" s="1"/>
  <c r="P92" i="66" a="1"/>
  <c r="P92" i="66" s="1"/>
  <c r="R127" i="66" a="1"/>
  <c r="R127" i="66" s="1"/>
  <c r="R207" i="66" a="1"/>
  <c r="R207" i="66" s="1"/>
  <c r="N61" i="66"/>
  <c r="Q19" i="66" a="1"/>
  <c r="Q19" i="66" s="1"/>
  <c r="Q59" i="66" a="1"/>
  <c r="Q59" i="66" s="1"/>
  <c r="Q178" i="66" a="1"/>
  <c r="Q178" i="66" s="1"/>
  <c r="P29" i="66" a="1"/>
  <c r="P29" i="66" s="1"/>
  <c r="R47" i="66" a="1"/>
  <c r="R47" i="66" s="1"/>
  <c r="N57" i="66"/>
  <c r="N42" i="66"/>
  <c r="Q117" i="66" a="1"/>
  <c r="Q117" i="66" s="1"/>
  <c r="R6" i="66" a="1"/>
  <c r="R6" i="66" s="1"/>
  <c r="P38" i="66" a="1"/>
  <c r="P38" i="66" s="1"/>
  <c r="O5" i="66"/>
  <c r="P19" i="66" a="1"/>
  <c r="P19" i="66" s="1"/>
  <c r="R91" i="66" a="1"/>
  <c r="R91" i="66" s="1"/>
  <c r="Q147" i="66" a="1"/>
  <c r="Q147" i="66" s="1"/>
  <c r="R94" i="66" a="1"/>
  <c r="R94" i="66" s="1"/>
  <c r="R46" i="66" a="1"/>
  <c r="R46" i="66" s="1"/>
  <c r="P46" i="66" a="1"/>
  <c r="P46" i="66" s="1"/>
  <c r="O73" i="66"/>
  <c r="O116" i="66"/>
  <c r="Q23" i="66" a="1"/>
  <c r="Q23" i="66" s="1"/>
  <c r="O44" i="66"/>
  <c r="Q78" i="66" a="1"/>
  <c r="Q78" i="66" s="1"/>
  <c r="R192" i="66" a="1"/>
  <c r="R192" i="66" s="1"/>
  <c r="Q48" i="66" a="1"/>
  <c r="Q48" i="66" s="1"/>
  <c r="O50" i="66"/>
  <c r="P17" i="66" a="1"/>
  <c r="P17" i="66" s="1"/>
  <c r="O195" i="66"/>
  <c r="O133" i="66"/>
  <c r="R21" i="66" a="1"/>
  <c r="R21" i="66" s="1"/>
  <c r="O53" i="66"/>
  <c r="O188" i="66"/>
  <c r="P79" i="66" a="1"/>
  <c r="P79" i="66" s="1"/>
  <c r="P221" i="66" a="1"/>
  <c r="P221" i="66" s="1"/>
  <c r="Q241" i="66" a="1"/>
  <c r="Q241" i="66" s="1"/>
  <c r="O86" i="66"/>
  <c r="N60" i="66"/>
  <c r="N207" i="66"/>
  <c r="P146" i="66" a="1"/>
  <c r="P146" i="66" s="1"/>
  <c r="Q129" i="66" a="1"/>
  <c r="Q129" i="66" s="1"/>
  <c r="O184" i="66"/>
  <c r="P88" i="66" a="1"/>
  <c r="P88" i="66" s="1"/>
  <c r="P103" i="66" a="1"/>
  <c r="P103" i="66" s="1"/>
  <c r="P141" i="66" a="1"/>
  <c r="P141" i="66" s="1"/>
  <c r="O238" i="66"/>
  <c r="O215" i="66"/>
  <c r="N226" i="66"/>
  <c r="Q111" i="66" a="1"/>
  <c r="Q111" i="66" s="1"/>
  <c r="N8" i="66"/>
  <c r="N84" i="66"/>
  <c r="O59" i="66"/>
  <c r="N45" i="66"/>
  <c r="N180" i="66"/>
  <c r="Q116" i="66" a="1"/>
  <c r="Q116" i="66" s="1"/>
  <c r="P30" i="66" a="1"/>
  <c r="P30" i="66" s="1"/>
  <c r="O29" i="66"/>
  <c r="P113" i="66" a="1"/>
  <c r="P113" i="66" s="1"/>
  <c r="Q132" i="66" a="1"/>
  <c r="Q132" i="66" s="1"/>
  <c r="O9" i="66"/>
  <c r="O64" i="66"/>
  <c r="R202" i="66" a="1"/>
  <c r="R202" i="66" s="1"/>
  <c r="R11" i="66" a="1"/>
  <c r="R11" i="66" s="1"/>
  <c r="R197" i="66" a="1"/>
  <c r="R197" i="66" s="1"/>
  <c r="R5" i="66" a="1"/>
  <c r="R5" i="66" s="1"/>
  <c r="P71" i="66" a="1"/>
  <c r="P71" i="66" s="1"/>
  <c r="N105" i="66"/>
  <c r="O197" i="66"/>
  <c r="O28" i="66"/>
  <c r="R35" i="66" a="1"/>
  <c r="R35" i="66" s="1"/>
  <c r="Q70" i="66" a="1"/>
  <c r="Q70" i="66" s="1"/>
  <c r="O21" i="66"/>
  <c r="Q121" i="66" a="1"/>
  <c r="Q121" i="66" s="1"/>
  <c r="N85" i="66"/>
  <c r="N17" i="66"/>
  <c r="Q103" i="66" a="1"/>
  <c r="Q103" i="66" s="1"/>
  <c r="O85" i="66"/>
  <c r="N36" i="66"/>
  <c r="R42" i="66" a="1"/>
  <c r="R42" i="66" s="1"/>
  <c r="Q21" i="66" a="1"/>
  <c r="Q21" i="66" s="1"/>
  <c r="R66" i="66" a="1"/>
  <c r="R66" i="66" s="1"/>
  <c r="Q123" i="66" a="1"/>
  <c r="Q123" i="66" s="1"/>
  <c r="Q7" i="66" a="1"/>
  <c r="Q7" i="66" s="1"/>
  <c r="Q97" i="66" a="1"/>
  <c r="Q97" i="66" s="1"/>
  <c r="O118" i="66"/>
  <c r="P60" i="66" a="1"/>
  <c r="P60" i="66" s="1"/>
  <c r="Q56" i="66" a="1"/>
  <c r="Q56" i="66" s="1"/>
  <c r="Q105" i="66" a="1"/>
  <c r="Q105" i="66" s="1"/>
  <c r="O63" i="66"/>
  <c r="P31" i="66" a="1"/>
  <c r="P31" i="66" s="1"/>
  <c r="R17" i="66" a="1"/>
  <c r="R17" i="66" s="1"/>
  <c r="O10" i="66"/>
  <c r="P184" i="66" a="1"/>
  <c r="P184" i="66" s="1"/>
  <c r="N125" i="66"/>
  <c r="O19" i="66"/>
  <c r="O48" i="66"/>
  <c r="Q93" i="66" a="1"/>
  <c r="Q93" i="66" s="1"/>
  <c r="P68" i="66" a="1"/>
  <c r="P68" i="66" s="1"/>
  <c r="Q127" i="66" a="1"/>
  <c r="Q127" i="66" s="1"/>
  <c r="R133" i="66" a="1"/>
  <c r="R133" i="66" s="1"/>
  <c r="Q13" i="66" a="1"/>
  <c r="Q13" i="66" s="1"/>
  <c r="O124" i="66"/>
  <c r="P25" i="66" a="1"/>
  <c r="P25" i="66" s="1"/>
  <c r="P83" i="66" a="1"/>
  <c r="P83" i="66" s="1"/>
  <c r="O62" i="66"/>
  <c r="Q72" i="66" a="1"/>
  <c r="Q72" i="66" s="1"/>
  <c r="R184" i="66" a="1"/>
  <c r="R184" i="66" s="1"/>
  <c r="Q138" i="66" a="1"/>
  <c r="Q138" i="66" s="1"/>
  <c r="Q282" i="66" a="1"/>
  <c r="Q282" i="66" s="1"/>
  <c r="Q119" i="66" a="1"/>
  <c r="Q119" i="66" s="1"/>
  <c r="N238" i="66"/>
  <c r="P177" i="66" a="1"/>
  <c r="P177" i="66" s="1"/>
  <c r="O258" i="66"/>
  <c r="O57" i="66"/>
  <c r="R78" i="66" a="1"/>
  <c r="R78" i="66" s="1"/>
  <c r="O74" i="66"/>
  <c r="P10" i="66" a="1"/>
  <c r="P10" i="66" s="1"/>
  <c r="R107" i="66" a="1"/>
  <c r="R107" i="66" s="1"/>
  <c r="O129" i="66"/>
  <c r="P9" i="66" a="1"/>
  <c r="P9" i="66" s="1"/>
  <c r="P142" i="66" a="1"/>
  <c r="P142" i="66" s="1"/>
  <c r="Q201" i="66" a="1"/>
  <c r="Q201" i="66" s="1"/>
  <c r="Q274" i="66" a="1"/>
  <c r="Q274" i="66" s="1"/>
  <c r="Q61" i="66" a="1"/>
  <c r="Q61" i="66" s="1"/>
  <c r="Q113" i="66" a="1"/>
  <c r="Q113" i="66" s="1"/>
  <c r="P50" i="66" a="1"/>
  <c r="P50" i="66" s="1"/>
  <c r="Q12" i="66" a="1"/>
  <c r="Q12" i="66" s="1"/>
  <c r="Q170" i="66" a="1"/>
  <c r="Q170" i="66" s="1"/>
  <c r="P26" i="66" a="1"/>
  <c r="P26" i="66" s="1"/>
  <c r="Q28" i="66" a="1"/>
  <c r="Q28" i="66" s="1"/>
  <c r="O89" i="66"/>
  <c r="N144" i="66"/>
  <c r="Q67" i="66" a="1"/>
  <c r="Q67" i="66" s="1"/>
  <c r="P167" i="66" a="1"/>
  <c r="P167" i="66" s="1"/>
  <c r="P159" i="66" a="1"/>
  <c r="P159" i="66" s="1"/>
  <c r="Q22" i="66" a="1"/>
  <c r="Q22" i="66" s="1"/>
  <c r="P35" i="66" a="1"/>
  <c r="P35" i="66" s="1"/>
  <c r="N104" i="66"/>
  <c r="Q54" i="66" a="1"/>
  <c r="Q54" i="66" s="1"/>
  <c r="R74" i="66" a="1"/>
  <c r="R74" i="66" s="1"/>
  <c r="R146" i="66" a="1"/>
  <c r="R146" i="66" s="1"/>
  <c r="R195" i="66" a="1"/>
  <c r="R195" i="66" s="1"/>
  <c r="O4" i="66"/>
  <c r="R111" i="66" a="1"/>
  <c r="R111" i="66" s="1"/>
  <c r="Q8" i="66" a="1"/>
  <c r="Q8" i="66" s="1"/>
  <c r="O20" i="66"/>
  <c r="O40" i="66"/>
  <c r="O54" i="66"/>
  <c r="P18" i="66" a="1"/>
  <c r="P18" i="66" s="1"/>
  <c r="R13" i="66" a="1"/>
  <c r="R13" i="66" s="1"/>
  <c r="R12" i="66" a="1"/>
  <c r="R12" i="66" s="1"/>
  <c r="O27" i="66"/>
  <c r="N33" i="66"/>
  <c r="R79" i="66" a="1"/>
  <c r="R79" i="66" s="1"/>
  <c r="P163" i="66" a="1"/>
  <c r="P163" i="66" s="1"/>
  <c r="P44" i="66" a="1"/>
  <c r="P44" i="66" s="1"/>
  <c r="P22" i="66" a="1"/>
  <c r="P22" i="66" s="1"/>
  <c r="O93" i="66"/>
  <c r="O45" i="66"/>
  <c r="N93" i="66"/>
  <c r="Q137" i="66" a="1"/>
  <c r="Q137" i="66" s="1"/>
  <c r="P116" i="66" a="1"/>
  <c r="P116" i="66" s="1"/>
  <c r="N58" i="66"/>
  <c r="R157" i="66" a="1"/>
  <c r="R157" i="66" s="1"/>
  <c r="P11" i="66" a="1"/>
  <c r="P11" i="66" s="1"/>
  <c r="N40" i="66"/>
  <c r="O68" i="66"/>
  <c r="R108" i="66" a="1"/>
  <c r="R108" i="66" s="1"/>
  <c r="R102" i="66" a="1"/>
  <c r="R102" i="66" s="1"/>
  <c r="P87" i="66" a="1"/>
  <c r="P87" i="66" s="1"/>
  <c r="O158" i="66"/>
  <c r="O194" i="66"/>
  <c r="P100" i="66" a="1"/>
  <c r="P100" i="66" s="1"/>
  <c r="Q175" i="66" a="1"/>
  <c r="Q175" i="66" s="1"/>
  <c r="N229" i="66"/>
  <c r="N269" i="66"/>
  <c r="N255" i="66"/>
  <c r="Q110" i="66" a="1"/>
  <c r="Q110" i="66" s="1"/>
  <c r="Q32" i="66" a="1"/>
  <c r="Q32" i="66" s="1"/>
  <c r="O34" i="66"/>
  <c r="R114" i="66" a="1"/>
  <c r="R114" i="66" s="1"/>
  <c r="R50" i="66" a="1"/>
  <c r="R50" i="66" s="1"/>
  <c r="P42" i="66" a="1"/>
  <c r="P42" i="66" s="1"/>
  <c r="Q174" i="66" a="1"/>
  <c r="Q174" i="66" s="1"/>
  <c r="Q186" i="66" a="1"/>
  <c r="Q186" i="66" s="1"/>
  <c r="Q109" i="66" a="1"/>
  <c r="Q109" i="66" s="1"/>
  <c r="Q182" i="66" a="1"/>
  <c r="Q182" i="66" s="1"/>
  <c r="R123" i="66" a="1"/>
  <c r="R123" i="66" s="1"/>
  <c r="N73" i="66"/>
  <c r="P65" i="66" a="1"/>
  <c r="P65" i="66" s="1"/>
  <c r="O17" i="66"/>
  <c r="N29" i="66"/>
  <c r="N15" i="66"/>
  <c r="N137" i="66"/>
  <c r="N28" i="66"/>
  <c r="N68" i="66"/>
  <c r="R67" i="66" a="1"/>
  <c r="R67" i="66" s="1"/>
  <c r="O31" i="66"/>
  <c r="R70" i="66" a="1"/>
  <c r="R70" i="66" s="1"/>
  <c r="N210" i="66"/>
  <c r="R97" i="66" a="1"/>
  <c r="R97" i="66" s="1"/>
  <c r="Q75" i="66" a="1"/>
  <c r="Q75" i="66" s="1"/>
  <c r="O102" i="66"/>
  <c r="P164" i="66" a="1"/>
  <c r="P164" i="66" s="1"/>
  <c r="O8" i="66"/>
  <c r="R33" i="66" a="1"/>
  <c r="R33" i="66" s="1"/>
  <c r="O36" i="66"/>
  <c r="N44" i="66"/>
  <c r="P5" i="66" a="1"/>
  <c r="P5" i="66" s="1"/>
  <c r="N49" i="66"/>
  <c r="Q99" i="66" a="1"/>
  <c r="Q99" i="66" s="1"/>
  <c r="O98" i="66"/>
  <c r="N48" i="66"/>
  <c r="R204" i="66" a="1"/>
  <c r="R204" i="66" s="1"/>
  <c r="O49" i="66"/>
  <c r="O125" i="66"/>
  <c r="N20" i="66"/>
  <c r="Q158" i="66" a="1"/>
  <c r="Q158" i="66" s="1"/>
  <c r="Q197" i="66" a="1"/>
  <c r="Q197" i="66" s="1"/>
  <c r="O88" i="66"/>
  <c r="Q154" i="66" a="1"/>
  <c r="Q154" i="66" s="1"/>
  <c r="Q94" i="66" a="1"/>
  <c r="Q94" i="66" s="1"/>
  <c r="Q85" i="66" a="1"/>
  <c r="Q85" i="66" s="1"/>
  <c r="O142" i="66"/>
  <c r="O24" i="66"/>
  <c r="R53" i="66" a="1"/>
  <c r="R53" i="66" s="1"/>
  <c r="N82" i="66"/>
  <c r="R181" i="66" a="1"/>
  <c r="R181" i="66" s="1"/>
  <c r="Q47" i="66" a="1"/>
  <c r="Q47" i="66" s="1"/>
  <c r="Q128" i="66" a="1"/>
  <c r="Q128" i="66" s="1"/>
  <c r="R106" i="66" a="1"/>
  <c r="R106" i="66" s="1"/>
  <c r="O139" i="66"/>
  <c r="O26" i="66"/>
  <c r="Q141" i="66" a="1"/>
  <c r="Q141" i="66" s="1"/>
  <c r="R85" i="66" a="1"/>
  <c r="R85" i="66" s="1"/>
  <c r="R68" i="66" a="1"/>
  <c r="R68" i="66" s="1"/>
  <c r="Q265" i="66" a="1"/>
  <c r="Q265" i="66" s="1"/>
  <c r="P251" i="66" a="1"/>
  <c r="P251" i="66" s="1"/>
  <c r="N53" i="66"/>
  <c r="O41" i="66"/>
  <c r="O109" i="66"/>
  <c r="P21" i="66" a="1"/>
  <c r="P21" i="66" s="1"/>
  <c r="Q41" i="66" a="1"/>
  <c r="Q41" i="66" s="1"/>
  <c r="P23" i="66" a="1"/>
  <c r="P23" i="66" s="1"/>
  <c r="P180" i="66" a="1"/>
  <c r="P180" i="66" s="1"/>
  <c r="O47" i="66"/>
  <c r="R110" i="66" a="1"/>
  <c r="R110" i="66" s="1"/>
  <c r="Q52" i="66" a="1"/>
  <c r="Q52" i="66" s="1"/>
  <c r="Q33" i="66" a="1"/>
  <c r="Q33" i="66" s="1"/>
  <c r="Q107" i="66" a="1"/>
  <c r="Q107" i="66" s="1"/>
  <c r="N108" i="66"/>
  <c r="O22" i="66"/>
  <c r="Q9" i="66" a="1"/>
  <c r="Q9" i="66" s="1"/>
  <c r="O55" i="66"/>
  <c r="R103" i="66" a="1"/>
  <c r="R103" i="66" s="1"/>
  <c r="R101" i="66" a="1"/>
  <c r="R101" i="66" s="1"/>
  <c r="R134" i="66" a="1"/>
  <c r="R134" i="66" s="1"/>
  <c r="Q164" i="66" a="1"/>
  <c r="Q164" i="66" s="1"/>
  <c r="O104" i="66"/>
  <c r="Q149" i="66" a="1"/>
  <c r="Q149" i="66" s="1"/>
  <c r="P125" i="66" a="1"/>
  <c r="P125" i="66" s="1"/>
  <c r="R205" i="66" a="1"/>
  <c r="R205" i="66" s="1"/>
  <c r="N100" i="66"/>
  <c r="R226" i="66" a="1"/>
  <c r="R226" i="66" s="1"/>
  <c r="N143" i="66"/>
  <c r="N116" i="66"/>
  <c r="P64" i="66" a="1"/>
  <c r="P64" i="66" s="1"/>
  <c r="R264" i="66" a="1"/>
  <c r="R264" i="66" s="1"/>
  <c r="Q168" i="66" a="1"/>
  <c r="Q168" i="66" s="1"/>
  <c r="P34" i="66" a="1"/>
  <c r="P34" i="66" s="1"/>
  <c r="Q83" i="66" a="1"/>
  <c r="Q83" i="66" s="1"/>
  <c r="Q37" i="66" a="1"/>
  <c r="Q37" i="66" s="1"/>
  <c r="N14" i="66"/>
  <c r="R9" i="66" a="1"/>
  <c r="R9" i="66" s="1"/>
  <c r="R22" i="66" a="1"/>
  <c r="R22" i="66" s="1"/>
  <c r="N124" i="66"/>
  <c r="R41" i="66" a="1"/>
  <c r="R41" i="66" s="1"/>
  <c r="P54" i="66" a="1"/>
  <c r="P54" i="66" s="1"/>
  <c r="Q102" i="66" a="1"/>
  <c r="Q102" i="66" s="1"/>
  <c r="O38" i="66"/>
  <c r="O30" i="66"/>
  <c r="Q15" i="66" a="1"/>
  <c r="Q15" i="66" s="1"/>
  <c r="P139" i="66" a="1"/>
  <c r="P139" i="66" s="1"/>
  <c r="O16" i="66"/>
  <c r="P40" i="66" a="1"/>
  <c r="P40" i="66" s="1"/>
  <c r="N19" i="66"/>
  <c r="N5" i="66"/>
  <c r="Q24" i="66" a="1"/>
  <c r="Q24" i="66" s="1"/>
  <c r="P41" i="66" a="1"/>
  <c r="P41" i="66" s="1"/>
  <c r="O96" i="66"/>
  <c r="P187" i="66" a="1"/>
  <c r="P187" i="66" s="1"/>
  <c r="R125" i="66" a="1"/>
  <c r="R125" i="66" s="1"/>
  <c r="P66" i="66" a="1"/>
  <c r="P66" i="66" s="1"/>
  <c r="Q221" i="66" a="1"/>
  <c r="Q221" i="66" s="1"/>
  <c r="Q11" i="66" a="1"/>
  <c r="Q11" i="66" s="1"/>
  <c r="Q18" i="66" a="1"/>
  <c r="Q18" i="66" s="1"/>
  <c r="P140" i="66" a="1"/>
  <c r="P140" i="66" s="1"/>
  <c r="R250" i="66" a="1"/>
  <c r="R250" i="66" s="1"/>
  <c r="O110" i="66"/>
  <c r="O175" i="66"/>
  <c r="N114" i="66"/>
  <c r="P189" i="66" a="1"/>
  <c r="P189" i="66" s="1"/>
  <c r="P96" i="66" a="1"/>
  <c r="P96" i="66" s="1"/>
  <c r="P123" i="66" a="1"/>
  <c r="P123" i="66" s="1"/>
  <c r="Q235" i="66" a="1"/>
  <c r="Q235" i="66" s="1"/>
  <c r="R54" i="66" a="1"/>
  <c r="R54" i="66" s="1"/>
  <c r="Q86" i="66" a="1"/>
  <c r="Q86" i="66" s="1"/>
  <c r="Q126" i="66" a="1"/>
  <c r="Q126" i="66" s="1"/>
  <c r="Q98" i="66" a="1"/>
  <c r="Q98" i="66" s="1"/>
  <c r="R24" i="66" a="1"/>
  <c r="R24" i="66" s="1"/>
  <c r="P16" i="66" a="1"/>
  <c r="P16" i="66" s="1"/>
  <c r="R77" i="66" a="1"/>
  <c r="R77" i="66" s="1"/>
  <c r="O66" i="66"/>
  <c r="N27" i="66"/>
  <c r="Q62" i="66" a="1"/>
  <c r="Q62" i="66" s="1"/>
  <c r="O202" i="66"/>
  <c r="Q231" i="66" a="1"/>
  <c r="Q231" i="66" s="1"/>
  <c r="O65" i="66"/>
  <c r="Q114" i="66" a="1"/>
  <c r="Q114" i="66" s="1"/>
  <c r="R75" i="66" a="1"/>
  <c r="R75" i="66" s="1"/>
  <c r="Q91" i="66" a="1"/>
  <c r="Q91" i="66" s="1"/>
  <c r="R31" i="66" a="1"/>
  <c r="R31" i="66" s="1"/>
  <c r="P7" i="66" a="1"/>
  <c r="P7" i="66" s="1"/>
  <c r="P155" i="66" a="1"/>
  <c r="P155" i="66" s="1"/>
  <c r="O135" i="66"/>
  <c r="Q34" i="66" a="1"/>
  <c r="Q34" i="66" s="1"/>
  <c r="R86" i="66" a="1"/>
  <c r="R86" i="66" s="1"/>
  <c r="Q125" i="66" a="1"/>
  <c r="Q125" i="66" s="1"/>
  <c r="N92" i="66"/>
  <c r="N69" i="66"/>
  <c r="N72" i="66"/>
  <c r="N32" i="66"/>
  <c r="Q43" i="66" a="1"/>
  <c r="Q43" i="66" s="1"/>
  <c r="O52" i="66"/>
  <c r="O58" i="66"/>
  <c r="O72" i="66"/>
  <c r="Q66" i="66" a="1"/>
  <c r="Q66" i="66" s="1"/>
  <c r="N7" i="66"/>
  <c r="Q31" i="66" a="1"/>
  <c r="Q31" i="66" s="1"/>
  <c r="Q38" i="66" a="1"/>
  <c r="Q38" i="66" s="1"/>
  <c r="N76" i="66"/>
  <c r="P27" i="66" a="1"/>
  <c r="P27" i="66" s="1"/>
  <c r="Q29" i="66" a="1"/>
  <c r="Q29" i="66" s="1"/>
  <c r="O97" i="66"/>
  <c r="N24" i="66"/>
  <c r="P156" i="66" a="1"/>
  <c r="P156" i="66" s="1"/>
  <c r="O35" i="66"/>
  <c r="Q10" i="66" a="1"/>
  <c r="Q10" i="66" s="1"/>
  <c r="N26" i="66"/>
  <c r="R27" i="66" a="1"/>
  <c r="R27" i="66" s="1"/>
  <c r="O76" i="66"/>
  <c r="O152" i="66"/>
  <c r="R25" i="66" a="1"/>
  <c r="R25" i="66" s="1"/>
  <c r="Q45" i="66" a="1"/>
  <c r="Q45" i="66" s="1"/>
  <c r="R29" i="66" a="1"/>
  <c r="R29" i="66" s="1"/>
  <c r="N101" i="66"/>
  <c r="Q64" i="66" a="1"/>
  <c r="Q64" i="66" s="1"/>
  <c r="Q63" i="66" a="1"/>
  <c r="Q63" i="66" s="1"/>
  <c r="R82" i="66" a="1"/>
  <c r="R82" i="66" s="1"/>
  <c r="O150" i="66"/>
  <c r="N34" i="66"/>
  <c r="O169" i="66"/>
  <c r="P114" i="66" a="1"/>
  <c r="P114" i="66" s="1"/>
  <c r="R39" i="66" a="1"/>
  <c r="R39" i="66" s="1"/>
  <c r="R59" i="66" a="1"/>
  <c r="R59" i="66" s="1"/>
  <c r="Q192" i="66" a="1"/>
  <c r="Q192" i="66" s="1"/>
  <c r="N183" i="66"/>
  <c r="N10" i="66"/>
  <c r="P85" i="66" a="1"/>
  <c r="P85" i="66" s="1"/>
  <c r="O154" i="66"/>
  <c r="Q73" i="66" a="1"/>
  <c r="Q73" i="66" s="1"/>
  <c r="P237" i="66" a="1"/>
  <c r="P237" i="66" s="1"/>
  <c r="N188" i="66"/>
  <c r="O223" i="66"/>
  <c r="R266" i="66" a="1"/>
  <c r="R266" i="66" s="1"/>
  <c r="R43" i="66" a="1"/>
  <c r="R43" i="66" s="1"/>
  <c r="N106" i="66"/>
  <c r="R36" i="66" a="1"/>
  <c r="R36" i="66" s="1"/>
  <c r="R109" i="66" a="1"/>
  <c r="R109" i="66" s="1"/>
  <c r="Q205" i="66" a="1"/>
  <c r="Q205" i="66" s="1"/>
  <c r="P277" i="66" a="1"/>
  <c r="P277" i="66" s="1"/>
  <c r="Q35" i="66" a="1"/>
  <c r="Q35" i="66" s="1"/>
  <c r="Q4" i="66" a="1"/>
  <c r="Q4" i="66" s="1"/>
  <c r="O82" i="66"/>
  <c r="R191" i="66" a="1"/>
  <c r="R191" i="66" s="1"/>
  <c r="R8" i="66" a="1"/>
  <c r="R8" i="66" s="1"/>
  <c r="R51" i="66" a="1"/>
  <c r="R51" i="66" s="1"/>
  <c r="Q57" i="66" a="1"/>
  <c r="Q57" i="66" s="1"/>
  <c r="R126" i="66" a="1"/>
  <c r="R126" i="66" s="1"/>
  <c r="Q79" i="66" a="1"/>
  <c r="Q79" i="66" s="1"/>
  <c r="O90" i="66"/>
  <c r="O106" i="66"/>
  <c r="O108" i="66"/>
  <c r="O117" i="66"/>
  <c r="Q166" i="66" a="1"/>
  <c r="Q166" i="66" s="1"/>
  <c r="N56" i="66"/>
  <c r="R98" i="66" a="1"/>
  <c r="R98" i="66" s="1"/>
  <c r="P58" i="66" a="1"/>
  <c r="P58" i="66" s="1"/>
  <c r="O32" i="66"/>
  <c r="P49" i="66" a="1"/>
  <c r="P49" i="66" s="1"/>
  <c r="N41" i="66"/>
  <c r="N77" i="66"/>
  <c r="O69" i="66"/>
  <c r="G69" i="66" s="1"/>
  <c r="N121" i="66"/>
  <c r="N12" i="66"/>
  <c r="R18" i="66" a="1"/>
  <c r="R18" i="66" s="1"/>
  <c r="R246" i="66" a="1"/>
  <c r="R246" i="66" s="1"/>
  <c r="Q25" i="66" a="1"/>
  <c r="Q25" i="66" s="1"/>
  <c r="R23" i="66" a="1"/>
  <c r="R23" i="66" s="1"/>
  <c r="N200" i="66"/>
  <c r="Q42" i="66" a="1"/>
  <c r="Q42" i="66" s="1"/>
  <c r="O112" i="66"/>
  <c r="R14" i="66" a="1"/>
  <c r="R14" i="66" s="1"/>
  <c r="P128" i="66" a="1"/>
  <c r="P128" i="66" s="1"/>
  <c r="P108" i="66" a="1"/>
  <c r="P108" i="66" s="1"/>
  <c r="R58" i="66" a="1"/>
  <c r="R58" i="66" s="1"/>
  <c r="N109" i="66"/>
  <c r="P12" i="66" a="1"/>
  <c r="P12" i="66" s="1"/>
  <c r="O114" i="66"/>
  <c r="O120" i="66"/>
  <c r="O101" i="66"/>
  <c r="O121" i="66"/>
  <c r="R19" i="66" a="1"/>
  <c r="R19" i="66" s="1"/>
  <c r="Q65" i="66" a="1"/>
  <c r="Q65" i="66" s="1"/>
  <c r="Q68" i="66" a="1"/>
  <c r="Q68" i="66" s="1"/>
  <c r="R162" i="66" a="1"/>
  <c r="R162" i="66" s="1"/>
  <c r="R172" i="66" a="1"/>
  <c r="R172" i="66" s="1"/>
  <c r="N140" i="66"/>
  <c r="P160" i="66" a="1"/>
  <c r="P160" i="66" s="1"/>
  <c r="N55" i="66"/>
  <c r="N224" i="66"/>
  <c r="O138" i="66"/>
  <c r="O140" i="66"/>
  <c r="Q188" i="66" a="1"/>
  <c r="Q188" i="66" s="1"/>
  <c r="Q74" i="66" a="1"/>
  <c r="Q74" i="66" s="1"/>
  <c r="N119" i="66"/>
  <c r="P213" i="66" a="1"/>
  <c r="P213" i="66" s="1"/>
  <c r="O274" i="66"/>
  <c r="P257" i="66" a="1"/>
  <c r="P257" i="66" s="1"/>
  <c r="N259" i="66"/>
  <c r="N261" i="66"/>
  <c r="P161" i="66" a="1"/>
  <c r="P161" i="66" s="1"/>
  <c r="Q280" i="66" a="1"/>
  <c r="Q280" i="66" s="1"/>
  <c r="O14" i="66"/>
  <c r="N4" i="66"/>
  <c r="N80" i="66"/>
  <c r="P8" i="66" a="1"/>
  <c r="P8" i="66" s="1"/>
  <c r="R15" i="66" a="1"/>
  <c r="R15" i="66" s="1"/>
  <c r="Q58" i="66" a="1"/>
  <c r="Q58" i="66" s="1"/>
  <c r="N64" i="66"/>
  <c r="N6" i="66"/>
  <c r="O42" i="66"/>
  <c r="R62" i="66" a="1"/>
  <c r="R62" i="66" s="1"/>
  <c r="R218" i="66" a="1"/>
  <c r="R218" i="66" s="1"/>
  <c r="P118" i="66" a="1"/>
  <c r="P118" i="66" s="1"/>
  <c r="P74" i="66" a="1"/>
  <c r="P74" i="66" s="1"/>
  <c r="Q90" i="66" a="1"/>
  <c r="Q90" i="66" s="1"/>
  <c r="R121" i="66" a="1"/>
  <c r="R121" i="66" s="1"/>
  <c r="Q115" i="66" a="1"/>
  <c r="Q115" i="66" s="1"/>
  <c r="R34" i="66" a="1"/>
  <c r="R34" i="66" s="1"/>
  <c r="P183" i="66" a="1"/>
  <c r="P183" i="66" s="1"/>
  <c r="N196" i="66"/>
  <c r="Q81" i="66" a="1"/>
  <c r="Q81" i="66" s="1"/>
  <c r="N21" i="66"/>
  <c r="Q87" i="66" a="1"/>
  <c r="Q87" i="66" s="1"/>
  <c r="O7" i="66"/>
  <c r="G7" i="66" s="1"/>
  <c r="R63" i="66" a="1"/>
  <c r="R63" i="66" s="1"/>
  <c r="P33" i="66" a="1"/>
  <c r="P33" i="66" s="1"/>
  <c r="O33" i="66"/>
  <c r="Q210" i="66" a="1"/>
  <c r="Q210" i="66" s="1"/>
  <c r="O161" i="66"/>
  <c r="O61" i="66"/>
  <c r="Q151" i="66" a="1"/>
  <c r="Q151" i="66" s="1"/>
  <c r="P179" i="66" a="1"/>
  <c r="P179" i="66" s="1"/>
  <c r="P171" i="66" a="1"/>
  <c r="P171" i="66" s="1"/>
  <c r="N88" i="66"/>
  <c r="O18" i="66"/>
  <c r="Q106" i="66" a="1"/>
  <c r="Q106" i="66" s="1"/>
  <c r="Q122" i="66" a="1"/>
  <c r="Q122" i="66" s="1"/>
  <c r="P191" i="66" a="1"/>
  <c r="P191" i="66" s="1"/>
  <c r="N9" i="66"/>
  <c r="O70" i="66"/>
  <c r="O113" i="66"/>
  <c r="Q95" i="66" a="1"/>
  <c r="Q95" i="66" s="1"/>
  <c r="N43" i="66"/>
  <c r="O56" i="66"/>
  <c r="Q20" i="66" a="1"/>
  <c r="Q20" i="66" s="1"/>
  <c r="O37" i="66"/>
  <c r="N18" i="66"/>
  <c r="P28" i="66" a="1"/>
  <c r="P28" i="66" s="1"/>
  <c r="R73" i="66" a="1"/>
  <c r="R73" i="66" s="1"/>
  <c r="N31" i="66"/>
  <c r="N30" i="66"/>
  <c r="N117" i="66"/>
  <c r="R10" i="66" a="1"/>
  <c r="R10" i="66" s="1"/>
  <c r="N47" i="66"/>
  <c r="P73" i="66" a="1"/>
  <c r="P73" i="66" s="1"/>
  <c r="Q92" i="66" a="1"/>
  <c r="Q92" i="66" s="1"/>
  <c r="Q153" i="66" a="1"/>
  <c r="Q153" i="66" s="1"/>
  <c r="P196" i="66" a="1"/>
  <c r="P196" i="66" s="1"/>
  <c r="N89" i="66"/>
  <c r="N25" i="66"/>
  <c r="N79" i="66"/>
  <c r="O224" i="66"/>
  <c r="P201" i="66" a="1"/>
  <c r="P201" i="66" s="1"/>
  <c r="O99" i="66"/>
  <c r="G99" i="66" s="1"/>
  <c r="N248" i="66"/>
  <c r="N113" i="66"/>
  <c r="P240" i="66" a="1"/>
  <c r="P240" i="66" s="1"/>
  <c r="Q244" i="66" a="1"/>
  <c r="Q244" i="66" s="1"/>
  <c r="O240" i="66"/>
  <c r="P256" i="66" a="1"/>
  <c r="P256" i="66" s="1"/>
  <c r="O119" i="66"/>
  <c r="O180" i="66"/>
  <c r="O276" i="66"/>
  <c r="R30" i="66" a="1"/>
  <c r="R30" i="66" s="1"/>
  <c r="R142" i="66" a="1"/>
  <c r="R142" i="66" s="1"/>
  <c r="N218" i="66"/>
  <c r="O207" i="66"/>
  <c r="N205" i="66"/>
  <c r="N59" i="66"/>
  <c r="R88" i="66" a="1"/>
  <c r="R88" i="66" s="1"/>
  <c r="N163" i="66"/>
  <c r="Q142" i="66" a="1"/>
  <c r="Q142" i="66" s="1"/>
  <c r="Q124" i="66" a="1"/>
  <c r="Q124" i="66" s="1"/>
  <c r="Q185" i="66" a="1"/>
  <c r="Q185" i="66" s="1"/>
  <c r="Q159" i="66" a="1"/>
  <c r="Q159" i="66" s="1"/>
  <c r="R44" i="66" a="1"/>
  <c r="R44" i="66" s="1"/>
  <c r="R193" i="66" a="1"/>
  <c r="R193" i="66" s="1"/>
  <c r="Q130" i="66" a="1"/>
  <c r="Q130" i="66" s="1"/>
  <c r="O285" i="66"/>
  <c r="R115" i="66" a="1"/>
  <c r="R115" i="66" s="1"/>
  <c r="R16" i="66" a="1"/>
  <c r="R16" i="66" s="1"/>
  <c r="Q145" i="66" a="1"/>
  <c r="Q145" i="66" s="1"/>
  <c r="P90" i="66" a="1"/>
  <c r="P90" i="66" s="1"/>
  <c r="N190" i="66"/>
  <c r="R7" i="66" a="1"/>
  <c r="R7" i="66" s="1"/>
  <c r="R48" i="66" a="1"/>
  <c r="R48" i="66" s="1"/>
  <c r="Q202" i="66" a="1"/>
  <c r="Q202" i="66" s="1"/>
  <c r="O144" i="66"/>
  <c r="N13" i="66"/>
  <c r="N50" i="66"/>
  <c r="Q217" i="66" a="1"/>
  <c r="Q217" i="66" s="1"/>
  <c r="Q146" i="66" a="1"/>
  <c r="Q146" i="66" s="1"/>
  <c r="R232" i="66" a="1"/>
  <c r="R232" i="66" s="1"/>
  <c r="N176" i="66"/>
  <c r="P67" i="66" a="1"/>
  <c r="P67" i="66" s="1"/>
  <c r="R234" i="66" a="1"/>
  <c r="R234" i="66" s="1"/>
  <c r="O256" i="66"/>
  <c r="O155" i="66"/>
  <c r="N136" i="66"/>
  <c r="R28" i="66" a="1"/>
  <c r="R28" i="66" s="1"/>
  <c r="O165" i="66"/>
  <c r="P110" i="66" a="1"/>
  <c r="P110" i="66" s="1"/>
  <c r="O216" i="66"/>
  <c r="P216" i="66" a="1"/>
  <c r="P216" i="66" s="1"/>
  <c r="R131" i="66" a="1"/>
  <c r="R131" i="66" s="1"/>
  <c r="N273" i="66"/>
  <c r="O246" i="66"/>
  <c r="R238" i="66" a="1"/>
  <c r="R238" i="66" s="1"/>
  <c r="P217" i="66" a="1"/>
  <c r="P217" i="66" s="1"/>
  <c r="Q223" i="66" a="1"/>
  <c r="Q223" i="66" s="1"/>
  <c r="P186" i="66" a="1"/>
  <c r="P186" i="66" s="1"/>
  <c r="O268" i="66"/>
  <c r="R222" i="66" a="1"/>
  <c r="R222" i="66" s="1"/>
  <c r="P258" i="66" a="1"/>
  <c r="P258" i="66" s="1"/>
  <c r="P242" i="66" a="1"/>
  <c r="P242" i="66" s="1"/>
  <c r="Q252" i="66" a="1"/>
  <c r="Q252" i="66" s="1"/>
  <c r="N237" i="66"/>
  <c r="O162" i="66"/>
  <c r="Q189" i="66" a="1"/>
  <c r="Q189" i="66" s="1"/>
  <c r="O231" i="66"/>
  <c r="R215" i="66" a="1"/>
  <c r="R215" i="66" s="1"/>
  <c r="R274" i="66" a="1"/>
  <c r="R274" i="66" s="1"/>
  <c r="Q163" i="66" a="1"/>
  <c r="Q163" i="66" s="1"/>
  <c r="P195" i="66" a="1"/>
  <c r="P195" i="66" s="1"/>
  <c r="Q232" i="66" a="1"/>
  <c r="Q232" i="66" s="1"/>
  <c r="N217" i="66"/>
  <c r="N276" i="66"/>
  <c r="O166" i="66"/>
  <c r="R196" i="66" a="1"/>
  <c r="R196" i="66" s="1"/>
  <c r="O235" i="66"/>
  <c r="R219" i="66" a="1"/>
  <c r="R219" i="66" s="1"/>
  <c r="R278" i="66" a="1"/>
  <c r="R278" i="66" s="1"/>
  <c r="O198" i="66"/>
  <c r="Q236" i="66" a="1"/>
  <c r="Q236" i="66" s="1"/>
  <c r="N221" i="66"/>
  <c r="N280" i="66"/>
  <c r="Q215" i="66" a="1"/>
  <c r="Q215" i="66" s="1"/>
  <c r="O269" i="66"/>
  <c r="R283" i="66" a="1"/>
  <c r="R283" i="66" s="1"/>
  <c r="Q263" i="66" a="1"/>
  <c r="Q263" i="66" s="1"/>
  <c r="R256" i="66" a="1"/>
  <c r="R256" i="66" s="1"/>
  <c r="R176" i="66" a="1"/>
  <c r="R176" i="66" s="1"/>
  <c r="P208" i="66" a="1"/>
  <c r="P208" i="66" s="1"/>
  <c r="N247" i="66"/>
  <c r="P226" i="66" a="1"/>
  <c r="P226" i="66" s="1"/>
  <c r="P254" i="66" a="1"/>
  <c r="P254" i="66" s="1"/>
  <c r="P166" i="66" a="1"/>
  <c r="P166" i="66" s="1"/>
  <c r="N83" i="66"/>
  <c r="R112" i="66" a="1"/>
  <c r="R112" i="66" s="1"/>
  <c r="N187" i="66"/>
  <c r="N156" i="66"/>
  <c r="O213" i="66"/>
  <c r="N208" i="66"/>
  <c r="P176" i="66" a="1"/>
  <c r="P176" i="66" s="1"/>
  <c r="O79" i="66"/>
  <c r="R182" i="66" a="1"/>
  <c r="R182" i="66" s="1"/>
  <c r="N146" i="66"/>
  <c r="Q5" i="66" a="1"/>
  <c r="Q5" i="66" s="1"/>
  <c r="N46" i="66"/>
  <c r="N198" i="66"/>
  <c r="Q139" i="66" a="1"/>
  <c r="Q139" i="66" s="1"/>
  <c r="R37" i="66" a="1"/>
  <c r="R37" i="66" s="1"/>
  <c r="P53" i="66" a="1"/>
  <c r="P53" i="66" s="1"/>
  <c r="O83" i="66"/>
  <c r="N191" i="66"/>
  <c r="N150" i="66"/>
  <c r="N39" i="66"/>
  <c r="P57" i="66" a="1"/>
  <c r="P57" i="66" s="1"/>
  <c r="Q84" i="66" a="1"/>
  <c r="Q84" i="66" s="1"/>
  <c r="O204" i="66"/>
  <c r="N158" i="66"/>
  <c r="P56" i="66" a="1"/>
  <c r="P56" i="66" s="1"/>
  <c r="P115" i="66" a="1"/>
  <c r="P115" i="66" s="1"/>
  <c r="P207" i="66" a="1"/>
  <c r="P207" i="66" s="1"/>
  <c r="Q246" i="66" a="1"/>
  <c r="Q246" i="66" s="1"/>
  <c r="P106" i="66" a="1"/>
  <c r="P106" i="66" s="1"/>
  <c r="N206" i="66"/>
  <c r="Q17" i="66" a="1"/>
  <c r="Q17" i="66" s="1"/>
  <c r="Q60" i="66" a="1"/>
  <c r="Q60" i="66" s="1"/>
  <c r="O67" i="66"/>
  <c r="R158" i="66" a="1"/>
  <c r="R158" i="66" s="1"/>
  <c r="N130" i="66"/>
  <c r="R155" i="66" a="1"/>
  <c r="R155" i="66" s="1"/>
  <c r="N279" i="66"/>
  <c r="P224" i="66" a="1"/>
  <c r="P224" i="66" s="1"/>
  <c r="N133" i="66"/>
  <c r="Q275" i="66" a="1"/>
  <c r="Q275" i="66" s="1"/>
  <c r="Q247" i="66" a="1"/>
  <c r="Q247" i="66" s="1"/>
  <c r="P225" i="66" a="1"/>
  <c r="P225" i="66" s="1"/>
  <c r="O226" i="66"/>
  <c r="P137" i="66" a="1"/>
  <c r="P137" i="66" s="1"/>
  <c r="Q279" i="66" a="1"/>
  <c r="Q279" i="66" s="1"/>
  <c r="N266" i="66"/>
  <c r="Q267" i="66" a="1"/>
  <c r="Q267" i="66" s="1"/>
  <c r="O186" i="66"/>
  <c r="P228" i="66" a="1"/>
  <c r="P228" i="66" s="1"/>
  <c r="Q255" i="66" a="1"/>
  <c r="Q255" i="66" s="1"/>
  <c r="R239" i="66" a="1"/>
  <c r="R239" i="66" s="1"/>
  <c r="Q187" i="66" a="1"/>
  <c r="Q187" i="66" s="1"/>
  <c r="Q234" i="66" a="1"/>
  <c r="Q234" i="66" s="1"/>
  <c r="P261" i="66" a="1"/>
  <c r="P261" i="66" s="1"/>
  <c r="N241" i="66"/>
  <c r="N189" i="66"/>
  <c r="R240" i="66" a="1"/>
  <c r="R240" i="66" s="1"/>
  <c r="Q264" i="66" a="1"/>
  <c r="Q264" i="66" s="1"/>
  <c r="R243" i="66" a="1"/>
  <c r="R243" i="66" s="1"/>
  <c r="Q250" i="66" a="1"/>
  <c r="Q250" i="66" s="1"/>
  <c r="Q266" i="66" a="1"/>
  <c r="Q266" i="66" s="1"/>
  <c r="N245" i="66"/>
  <c r="Q262" i="66" a="1"/>
  <c r="Q262" i="66" s="1"/>
  <c r="Q239" i="66" a="1"/>
  <c r="Q239" i="66" s="1"/>
  <c r="P165" i="66" a="1"/>
  <c r="P165" i="66" s="1"/>
  <c r="Q216" i="66" a="1"/>
  <c r="Q216" i="66" s="1"/>
  <c r="R280" i="66" a="1"/>
  <c r="R280" i="66" s="1"/>
  <c r="N214" i="66"/>
  <c r="O265" i="66"/>
  <c r="N258" i="66"/>
  <c r="Q134" i="66" a="1"/>
  <c r="Q134" i="66" s="1"/>
  <c r="Q238" i="66" a="1"/>
  <c r="Q238" i="66" s="1"/>
  <c r="N149" i="66"/>
  <c r="N107" i="66"/>
  <c r="P151" i="66" a="1"/>
  <c r="P151" i="66" s="1"/>
  <c r="O245" i="66"/>
  <c r="R228" i="66" a="1"/>
  <c r="R228" i="66" s="1"/>
  <c r="P95" i="66" a="1"/>
  <c r="P95" i="66" s="1"/>
  <c r="R263" i="66" a="1"/>
  <c r="R263" i="66" s="1"/>
  <c r="R187" i="66" a="1"/>
  <c r="R187" i="66" s="1"/>
  <c r="P93" i="66" a="1"/>
  <c r="P93" i="66" s="1"/>
  <c r="O103" i="66"/>
  <c r="O164" i="66"/>
  <c r="N199" i="66"/>
  <c r="N35" i="66"/>
  <c r="Q271" i="66" a="1"/>
  <c r="Q271" i="66" s="1"/>
  <c r="Q80" i="66" a="1"/>
  <c r="Q80" i="66" s="1"/>
  <c r="R186" i="66" a="1"/>
  <c r="R186" i="66" s="1"/>
  <c r="R148" i="66" a="1"/>
  <c r="R148" i="66" s="1"/>
  <c r="O130" i="66"/>
  <c r="P101" i="66" a="1"/>
  <c r="P101" i="66" s="1"/>
  <c r="O107" i="66"/>
  <c r="G107" i="66" s="1"/>
  <c r="O168" i="66"/>
  <c r="Q209" i="66" a="1"/>
  <c r="Q209" i="66" s="1"/>
  <c r="O137" i="66"/>
  <c r="P105" i="66" a="1"/>
  <c r="P105" i="66" s="1"/>
  <c r="Q108" i="66" a="1"/>
  <c r="Q108" i="66" s="1"/>
  <c r="Q169" i="66" a="1"/>
  <c r="Q169" i="66" s="1"/>
  <c r="R224" i="66" a="1"/>
  <c r="R224" i="66" s="1"/>
  <c r="P104" i="66" a="1"/>
  <c r="P104" i="66" s="1"/>
  <c r="R52" i="66" a="1"/>
  <c r="R52" i="66" s="1"/>
  <c r="N127" i="66"/>
  <c r="P220" i="66" a="1"/>
  <c r="P220" i="66" s="1"/>
  <c r="R154" i="66" a="1"/>
  <c r="R154" i="66" s="1"/>
  <c r="R248" i="66" a="1"/>
  <c r="R248" i="66" s="1"/>
  <c r="R45" i="66" a="1"/>
  <c r="R45" i="66" s="1"/>
  <c r="P69" i="66" a="1"/>
  <c r="P69" i="66" s="1"/>
  <c r="O91" i="66"/>
  <c r="N170" i="66"/>
  <c r="N154" i="66"/>
  <c r="R179" i="66" a="1"/>
  <c r="R179" i="66" s="1"/>
  <c r="R225" i="66" a="1"/>
  <c r="R225" i="66" s="1"/>
  <c r="R132" i="66" a="1"/>
  <c r="R132" i="66" s="1"/>
  <c r="N157" i="66"/>
  <c r="R281" i="66" a="1"/>
  <c r="R281" i="66" s="1"/>
  <c r="R135" i="66" a="1"/>
  <c r="R135" i="66" s="1"/>
  <c r="O278" i="66"/>
  <c r="O250" i="66"/>
  <c r="P185" i="66" a="1"/>
  <c r="P185" i="66" s="1"/>
  <c r="O227" i="66"/>
  <c r="R211" i="66" a="1"/>
  <c r="R211" i="66" s="1"/>
  <c r="R270" i="66" a="1"/>
  <c r="R270" i="66" s="1"/>
  <c r="P223" i="66" a="1"/>
  <c r="P223" i="66" s="1"/>
  <c r="N232" i="66"/>
  <c r="Q214" i="66" a="1"/>
  <c r="Q214" i="66" s="1"/>
  <c r="R265" i="66" a="1"/>
  <c r="R265" i="66" s="1"/>
  <c r="R269" i="66" a="1"/>
  <c r="R269" i="66" s="1"/>
  <c r="O217" i="66"/>
  <c r="Q272" i="66" a="1"/>
  <c r="Q272" i="66" s="1"/>
  <c r="N277" i="66"/>
  <c r="Q222" i="66" a="1"/>
  <c r="Q222" i="66" s="1"/>
  <c r="Q277" i="66" a="1"/>
  <c r="Q277" i="66" s="1"/>
  <c r="R279" i="66" a="1"/>
  <c r="R279" i="66" s="1"/>
  <c r="P266" i="66" a="1"/>
  <c r="P266" i="66" s="1"/>
  <c r="O280" i="66"/>
  <c r="N285" i="66"/>
  <c r="P270" i="66" a="1"/>
  <c r="P270" i="66" s="1"/>
  <c r="N267" i="66"/>
  <c r="P279" i="66" a="1"/>
  <c r="P279" i="66" s="1"/>
  <c r="O201" i="66"/>
  <c r="Q240" i="66" a="1"/>
  <c r="Q240" i="66" s="1"/>
  <c r="N225" i="66"/>
  <c r="N284" i="66"/>
  <c r="P169" i="66" a="1"/>
  <c r="P169" i="66" s="1"/>
  <c r="O219" i="66"/>
  <c r="N282" i="66"/>
  <c r="R262" i="66" a="1"/>
  <c r="R262" i="66" s="1"/>
  <c r="P20" i="66" a="1"/>
  <c r="P20" i="66" s="1"/>
  <c r="Q49" i="66" a="1"/>
  <c r="Q49" i="66" s="1"/>
  <c r="N97" i="66"/>
  <c r="P72" i="66" a="1"/>
  <c r="P72" i="66" s="1"/>
  <c r="O132" i="66"/>
  <c r="P229" i="66" a="1"/>
  <c r="P229" i="66" s="1"/>
  <c r="R139" i="66" a="1"/>
  <c r="R139" i="66" s="1"/>
  <c r="N152" i="66"/>
  <c r="P124" i="66" a="1"/>
  <c r="P124" i="66" s="1"/>
  <c r="N62" i="66"/>
  <c r="R137" i="66" a="1"/>
  <c r="R137" i="66" s="1"/>
  <c r="O11" i="66"/>
  <c r="P136" i="66" a="1"/>
  <c r="P136" i="66" s="1"/>
  <c r="P78" i="66" a="1"/>
  <c r="P78" i="66" s="1"/>
  <c r="Q176" i="66" a="1"/>
  <c r="Q176" i="66" s="1"/>
  <c r="P84" i="66" a="1"/>
  <c r="P84" i="66" s="1"/>
  <c r="P148" i="66" a="1"/>
  <c r="P148" i="66" s="1"/>
  <c r="R254" i="66" a="1"/>
  <c r="R254" i="66" s="1"/>
  <c r="R163" i="66" a="1"/>
  <c r="R163" i="66" s="1"/>
  <c r="P152" i="66" a="1"/>
  <c r="P152" i="66" s="1"/>
  <c r="P127" i="66" a="1"/>
  <c r="P127" i="66" s="1"/>
  <c r="P188" i="66" a="1"/>
  <c r="P188" i="66" s="1"/>
  <c r="Q167" i="66" a="1"/>
  <c r="Q167" i="66" s="1"/>
  <c r="N65" i="66"/>
  <c r="P97" i="66" a="1"/>
  <c r="P97" i="66" s="1"/>
  <c r="Q104" i="66" a="1"/>
  <c r="Q104" i="66" s="1"/>
  <c r="Q165" i="66" a="1"/>
  <c r="Q165" i="66" s="1"/>
  <c r="Q200" i="66" a="1"/>
  <c r="Q200" i="66" s="1"/>
  <c r="P14" i="66" a="1"/>
  <c r="P14" i="66" s="1"/>
  <c r="N201" i="66"/>
  <c r="O134" i="66"/>
  <c r="O191" i="66"/>
  <c r="Q171" i="66" a="1"/>
  <c r="Q171" i="66" s="1"/>
  <c r="Q16" i="66" a="1"/>
  <c r="Q16" i="66" s="1"/>
  <c r="O212" i="66"/>
  <c r="Q136" i="66" a="1"/>
  <c r="Q136" i="66" s="1"/>
  <c r="N194" i="66"/>
  <c r="Q179" i="66" a="1"/>
  <c r="Q179" i="66" s="1"/>
  <c r="O193" i="66"/>
  <c r="R76" i="66" a="1"/>
  <c r="R76" i="66" s="1"/>
  <c r="N151" i="66"/>
  <c r="Q88" i="66" a="1"/>
  <c r="Q88" i="66" s="1"/>
  <c r="N263" i="66"/>
  <c r="N162" i="66"/>
  <c r="Q162" i="66" a="1"/>
  <c r="Q162" i="66" s="1"/>
  <c r="P117" i="66" a="1"/>
  <c r="P117" i="66" s="1"/>
  <c r="O115" i="66"/>
  <c r="G115" i="66" s="1"/>
  <c r="O176" i="66"/>
  <c r="R255" i="66" a="1"/>
  <c r="R255" i="66" s="1"/>
  <c r="N178" i="66"/>
  <c r="N212" i="66"/>
  <c r="R249" i="66" a="1"/>
  <c r="R249" i="66" s="1"/>
  <c r="P230" i="66" a="1"/>
  <c r="P230" i="66" s="1"/>
  <c r="R156" i="66" a="1"/>
  <c r="R156" i="66" s="1"/>
  <c r="N181" i="66"/>
  <c r="N227" i="66"/>
  <c r="R159" i="66" a="1"/>
  <c r="R159" i="66" s="1"/>
  <c r="P212" i="66" a="1"/>
  <c r="P212" i="66" s="1"/>
  <c r="O251" i="66"/>
  <c r="G251" i="66" s="1"/>
  <c r="R235" i="66" a="1"/>
  <c r="R235" i="66" s="1"/>
  <c r="O271" i="66"/>
  <c r="Q156" i="66" a="1"/>
  <c r="Q156" i="66" s="1"/>
  <c r="Q260" i="66" a="1"/>
  <c r="Q260" i="66" s="1"/>
  <c r="P227" i="66" a="1"/>
  <c r="P227" i="66" s="1"/>
  <c r="P268" i="66" a="1"/>
  <c r="P268" i="66" s="1"/>
  <c r="O159" i="66"/>
  <c r="R267" i="66" a="1"/>
  <c r="R267" i="66" s="1"/>
  <c r="P231" i="66" a="1"/>
  <c r="P231" i="66" s="1"/>
  <c r="P272" i="66" a="1"/>
  <c r="P272" i="66" s="1"/>
  <c r="Q160" i="66" a="1"/>
  <c r="Q160" i="66" s="1"/>
  <c r="O277" i="66"/>
  <c r="P235" i="66" a="1"/>
  <c r="P235" i="66" s="1"/>
  <c r="P276" i="66" a="1"/>
  <c r="P276" i="66" s="1"/>
  <c r="P239" i="66" a="1"/>
  <c r="P239" i="66" s="1"/>
  <c r="O275" i="66"/>
  <c r="P280" i="66" a="1"/>
  <c r="P280" i="66" s="1"/>
  <c r="N173" i="66"/>
  <c r="N219" i="66"/>
  <c r="O257" i="66"/>
  <c r="P273" i="66" a="1"/>
  <c r="P273" i="66" s="1"/>
  <c r="N249" i="66"/>
  <c r="O174" i="66"/>
  <c r="N204" i="66"/>
  <c r="O243" i="66"/>
  <c r="R227" i="66" a="1"/>
  <c r="R227" i="66" s="1"/>
  <c r="P48" i="66" a="1"/>
  <c r="P48" i="66" s="1"/>
  <c r="Q46" i="66" a="1"/>
  <c r="Q46" i="66" s="1"/>
  <c r="N96" i="66"/>
  <c r="P144" i="66" a="1"/>
  <c r="P144" i="66" s="1"/>
  <c r="P120" i="66" a="1"/>
  <c r="P120" i="66" s="1"/>
  <c r="R60" i="66" a="1"/>
  <c r="R60" i="66" s="1"/>
  <c r="N135" i="66"/>
  <c r="N275" i="66"/>
  <c r="Q27" i="66" a="1"/>
  <c r="Q27" i="66" s="1"/>
  <c r="R57" i="66" a="1"/>
  <c r="R57" i="66" s="1"/>
  <c r="N86" i="66"/>
  <c r="R161" i="66" a="1"/>
  <c r="R161" i="66" s="1"/>
  <c r="R40" i="66" a="1"/>
  <c r="R40" i="66" s="1"/>
  <c r="O181" i="66"/>
  <c r="P126" i="66" a="1"/>
  <c r="P126" i="66" s="1"/>
  <c r="P245" i="66" a="1"/>
  <c r="P245" i="66" s="1"/>
  <c r="O136" i="66"/>
  <c r="N66" i="66"/>
  <c r="R141" i="66" a="1"/>
  <c r="R141" i="66" s="1"/>
  <c r="O39" i="66"/>
  <c r="G39" i="66" s="1"/>
  <c r="N160" i="66"/>
  <c r="P51" i="66" a="1"/>
  <c r="P51" i="66" s="1"/>
  <c r="Q218" i="66" a="1"/>
  <c r="Q218" i="66" s="1"/>
  <c r="O225" i="66"/>
  <c r="O13" i="66"/>
  <c r="P192" i="66" a="1"/>
  <c r="P192" i="66" s="1"/>
  <c r="N132" i="66"/>
  <c r="R189" i="66" a="1"/>
  <c r="R189" i="66" s="1"/>
  <c r="O170" i="66"/>
  <c r="G170" i="66" s="1"/>
  <c r="O43" i="66"/>
  <c r="G43" i="66" s="1"/>
  <c r="N168" i="66"/>
  <c r="P59" i="66" a="1"/>
  <c r="P59" i="66" s="1"/>
  <c r="Q226" i="66" a="1"/>
  <c r="Q226" i="66" s="1"/>
  <c r="P233" i="66" a="1"/>
  <c r="P233" i="66" s="1"/>
  <c r="Q44" i="66" a="1"/>
  <c r="Q44" i="66" s="1"/>
  <c r="N172" i="66"/>
  <c r="P63" i="66" a="1"/>
  <c r="P63" i="66" s="1"/>
  <c r="O229" i="66"/>
  <c r="G229" i="66" s="1"/>
  <c r="P252" i="66" a="1"/>
  <c r="P252" i="66" s="1"/>
  <c r="N71" i="66"/>
  <c r="R100" i="66" a="1"/>
  <c r="R100" i="66" s="1"/>
  <c r="N175" i="66"/>
  <c r="Q112" i="66" a="1"/>
  <c r="Q112" i="66" s="1"/>
  <c r="Q173" i="66" a="1"/>
  <c r="Q173" i="66" s="1"/>
  <c r="O233" i="66"/>
  <c r="O25" i="66"/>
  <c r="O131" i="66"/>
  <c r="O148" i="66"/>
  <c r="Q198" i="66" a="1"/>
  <c r="Q198" i="66" s="1"/>
  <c r="Q190" i="66" a="1"/>
  <c r="Q190" i="66" s="1"/>
  <c r="R216" i="66" a="1"/>
  <c r="R216" i="66" s="1"/>
  <c r="O267" i="66"/>
  <c r="R260" i="66" a="1"/>
  <c r="R260" i="66" s="1"/>
  <c r="R180" i="66" a="1"/>
  <c r="R180" i="66" s="1"/>
  <c r="R214" i="66" a="1"/>
  <c r="R214" i="66" s="1"/>
  <c r="N251" i="66"/>
  <c r="P234" i="66" a="1"/>
  <c r="P234" i="66" s="1"/>
  <c r="R183" i="66" a="1"/>
  <c r="R183" i="66" s="1"/>
  <c r="R229" i="66" a="1"/>
  <c r="R229" i="66" s="1"/>
  <c r="P190" i="66" a="1"/>
  <c r="P190" i="66" s="1"/>
  <c r="P259" i="66" a="1"/>
  <c r="P259" i="66" s="1"/>
  <c r="P265" i="66" a="1"/>
  <c r="P265" i="66" s="1"/>
  <c r="Q180" i="66" a="1"/>
  <c r="Q180" i="66" s="1"/>
  <c r="P150" i="66" a="1"/>
  <c r="P150" i="66" s="1"/>
  <c r="O244" i="66"/>
  <c r="Q273" i="66" a="1"/>
  <c r="Q273" i="66" s="1"/>
  <c r="O183" i="66"/>
  <c r="P154" i="66" a="1"/>
  <c r="P154" i="66" s="1"/>
  <c r="Q245" i="66" a="1"/>
  <c r="Q245" i="66" s="1"/>
  <c r="P281" i="66" a="1"/>
  <c r="P281" i="66" s="1"/>
  <c r="Q184" i="66" a="1"/>
  <c r="Q184" i="66" s="1"/>
  <c r="P158" i="66" a="1"/>
  <c r="P158" i="66" s="1"/>
  <c r="O248" i="66"/>
  <c r="P162" i="66" a="1"/>
  <c r="P162" i="66" s="1"/>
  <c r="Q249" i="66" a="1"/>
  <c r="Q249" i="66" s="1"/>
  <c r="P205" i="66" a="1"/>
  <c r="P205" i="66" s="1"/>
  <c r="N243" i="66"/>
  <c r="P218" i="66" a="1"/>
  <c r="P218" i="66" s="1"/>
  <c r="P278" i="66" a="1"/>
  <c r="P278" i="66" s="1"/>
  <c r="O199" i="66"/>
  <c r="O262" i="66"/>
  <c r="Q278" i="66" a="1"/>
  <c r="Q278" i="66" s="1"/>
  <c r="R251" i="66" a="1"/>
  <c r="R251" i="66" s="1"/>
  <c r="R84" i="66" a="1"/>
  <c r="R84" i="66" s="1"/>
  <c r="N159" i="66"/>
  <c r="R20" i="66" a="1"/>
  <c r="R20" i="66" s="1"/>
  <c r="R71" i="66" a="1"/>
  <c r="R71" i="66" s="1"/>
  <c r="R81" i="66" a="1"/>
  <c r="R81" i="66" s="1"/>
  <c r="N110" i="66"/>
  <c r="R185" i="66" a="1"/>
  <c r="R185" i="66" s="1"/>
  <c r="O145" i="66"/>
  <c r="G145" i="66" s="1"/>
  <c r="O75" i="66"/>
  <c r="G75" i="66" s="1"/>
  <c r="R174" i="66" a="1"/>
  <c r="R174" i="66" s="1"/>
  <c r="R136" i="66" a="1"/>
  <c r="R136" i="66" s="1"/>
  <c r="R61" i="66" a="1"/>
  <c r="R61" i="66" s="1"/>
  <c r="N90" i="66"/>
  <c r="R165" i="66" a="1"/>
  <c r="R165" i="66" s="1"/>
  <c r="Q71" i="66" a="1"/>
  <c r="Q71" i="66" s="1"/>
  <c r="Q281" i="66" a="1"/>
  <c r="Q281" i="66" s="1"/>
  <c r="P99" i="66" a="1"/>
  <c r="P99" i="66" s="1"/>
  <c r="O272" i="66"/>
  <c r="O189" i="66"/>
  <c r="Q40" i="66" a="1"/>
  <c r="Q40" i="66" s="1"/>
  <c r="N164" i="66"/>
  <c r="P55" i="66" a="1"/>
  <c r="P55" i="66" s="1"/>
  <c r="O221" i="66"/>
  <c r="G221" i="66" s="1"/>
  <c r="Q230" i="66" a="1"/>
  <c r="Q230" i="66" s="1"/>
  <c r="Q77" i="66" a="1"/>
  <c r="Q77" i="66" s="1"/>
  <c r="N250" i="66"/>
  <c r="P107" i="66" a="1"/>
  <c r="P107" i="66" s="1"/>
  <c r="R203" i="66" a="1"/>
  <c r="R203" i="66" s="1"/>
  <c r="N81" i="66"/>
  <c r="P52" i="66" a="1"/>
  <c r="P52" i="66" s="1"/>
  <c r="P111" i="66" a="1"/>
  <c r="P111" i="66" s="1"/>
  <c r="R236" i="66" a="1"/>
  <c r="R236" i="66" s="1"/>
  <c r="N95" i="66"/>
  <c r="R124" i="66" a="1"/>
  <c r="R124" i="66" s="1"/>
  <c r="Q204" i="66" a="1"/>
  <c r="Q204" i="66" s="1"/>
  <c r="P143" i="66" a="1"/>
  <c r="P143" i="66" s="1"/>
  <c r="N197" i="66"/>
  <c r="Q183" i="66" a="1"/>
  <c r="Q183" i="66" s="1"/>
  <c r="O51" i="66"/>
  <c r="G51" i="66" s="1"/>
  <c r="N184" i="66"/>
  <c r="P75" i="66" a="1"/>
  <c r="P75" i="66" s="1"/>
  <c r="P241" i="66" a="1"/>
  <c r="P241" i="66" s="1"/>
  <c r="P173" i="66" a="1"/>
  <c r="P173" i="66" s="1"/>
  <c r="Q220" i="66" a="1"/>
  <c r="Q220" i="66" s="1"/>
  <c r="R284" i="66" a="1"/>
  <c r="R284" i="66" s="1"/>
  <c r="N264" i="66"/>
  <c r="N222" i="66"/>
  <c r="P129" i="66" a="1"/>
  <c r="P129" i="66" s="1"/>
  <c r="Q269" i="66" a="1"/>
  <c r="Q269" i="66" s="1"/>
  <c r="N262" i="66"/>
  <c r="N220" i="66"/>
  <c r="P255" i="66" a="1"/>
  <c r="P255" i="66" s="1"/>
  <c r="P238" i="66" a="1"/>
  <c r="P238" i="66" s="1"/>
  <c r="P219" i="66" a="1"/>
  <c r="P219" i="66" s="1"/>
  <c r="O230" i="66"/>
  <c r="Q207" i="66" a="1"/>
  <c r="Q207" i="66" s="1"/>
  <c r="N192" i="66"/>
  <c r="R277" i="66" a="1"/>
  <c r="R277" i="66" s="1"/>
  <c r="P209" i="66" a="1"/>
  <c r="P209" i="66" s="1"/>
  <c r="Q193" i="66" a="1"/>
  <c r="Q193" i="66" s="1"/>
  <c r="N283" i="66"/>
  <c r="Q213" i="66" a="1"/>
  <c r="Q213" i="66" s="1"/>
  <c r="P199" i="66" a="1"/>
  <c r="P199" i="66" s="1"/>
  <c r="R285" i="66" a="1"/>
  <c r="R285" i="66" s="1"/>
  <c r="Q211" i="66" a="1"/>
  <c r="Q211" i="66" s="1"/>
  <c r="R200" i="66" a="1"/>
  <c r="R200" i="66" s="1"/>
  <c r="O214" i="66"/>
  <c r="Q261" i="66" a="1"/>
  <c r="Q261" i="66" s="1"/>
  <c r="N281" i="66"/>
  <c r="R261" i="66" a="1"/>
  <c r="R261" i="66" s="1"/>
  <c r="N254" i="66"/>
  <c r="P247" i="66" a="1"/>
  <c r="P247" i="66" s="1"/>
  <c r="O279" i="66"/>
  <c r="P236" i="66" a="1"/>
  <c r="P236" i="66" s="1"/>
  <c r="P282" i="66" a="1"/>
  <c r="P282" i="66" s="1"/>
  <c r="O220" i="66"/>
  <c r="N228" i="66"/>
  <c r="O12" i="66"/>
  <c r="G12" i="66" s="1"/>
  <c r="O153" i="66"/>
  <c r="R72" i="66" a="1"/>
  <c r="R72" i="66" s="1"/>
  <c r="N147" i="66"/>
  <c r="Q118" i="66" a="1"/>
  <c r="Q118" i="66" s="1"/>
  <c r="P13" i="66" a="1"/>
  <c r="P13" i="66" s="1"/>
  <c r="R188" i="66" a="1"/>
  <c r="R188" i="66" s="1"/>
  <c r="N74" i="66"/>
  <c r="R149" i="66" a="1"/>
  <c r="R149" i="66" s="1"/>
  <c r="P24" i="66" a="1"/>
  <c r="P24" i="66" s="1"/>
  <c r="O157" i="66"/>
  <c r="P102" i="66" a="1"/>
  <c r="P102" i="66" s="1"/>
  <c r="O203" i="66"/>
  <c r="P119" i="66" a="1"/>
  <c r="P119" i="66" s="1"/>
  <c r="R210" i="66" a="1"/>
  <c r="R210" i="66" s="1"/>
  <c r="R130" i="66" a="1"/>
  <c r="R130" i="66" s="1"/>
  <c r="P112" i="66" a="1"/>
  <c r="P112" i="66" s="1"/>
  <c r="R56" i="66" a="1"/>
  <c r="R56" i="66" s="1"/>
  <c r="N131" i="66"/>
  <c r="N202" i="66"/>
  <c r="O270" i="66"/>
  <c r="O281" i="66"/>
  <c r="O253" i="66"/>
  <c r="O178" i="66"/>
  <c r="Q208" i="66" a="1"/>
  <c r="Q208" i="66" s="1"/>
  <c r="O247" i="66"/>
  <c r="R231" i="66" a="1"/>
  <c r="R231" i="66" s="1"/>
  <c r="P181" i="66" a="1"/>
  <c r="P181" i="66" s="1"/>
  <c r="Q224" i="66" a="1"/>
  <c r="Q224" i="66" s="1"/>
  <c r="N209" i="66"/>
  <c r="N268" i="66"/>
  <c r="Q270" i="66" a="1"/>
  <c r="Q270" i="66" s="1"/>
  <c r="R209" i="66" a="1"/>
  <c r="R209" i="66" s="1"/>
  <c r="O255" i="66"/>
  <c r="N141" i="66"/>
  <c r="R258" i="66" a="1"/>
  <c r="R258" i="66" s="1"/>
  <c r="P263" i="66" a="1"/>
  <c r="P263" i="66" s="1"/>
  <c r="O259" i="66"/>
  <c r="R143" i="66" a="1"/>
  <c r="R143" i="66" s="1"/>
  <c r="O260" i="66"/>
  <c r="P267" i="66" a="1"/>
  <c r="P267" i="66" s="1"/>
  <c r="P285" i="66" a="1"/>
  <c r="P285" i="66" s="1"/>
  <c r="N145" i="66"/>
  <c r="O263" i="66"/>
  <c r="G263" i="66" s="1"/>
  <c r="P271" i="66" a="1"/>
  <c r="P271" i="66" s="1"/>
  <c r="R147" i="66" a="1"/>
  <c r="R147" i="66" s="1"/>
  <c r="N265" i="66"/>
  <c r="P275" i="66" a="1"/>
  <c r="P275" i="66" s="1"/>
  <c r="R199" i="66" a="1"/>
  <c r="R199" i="66" s="1"/>
  <c r="O239" i="66"/>
  <c r="R223" i="66" a="1"/>
  <c r="R223" i="66" s="1"/>
  <c r="R282" i="66" a="1"/>
  <c r="R282" i="66" s="1"/>
  <c r="O218" i="66"/>
  <c r="N193" i="66"/>
  <c r="P174" i="66" a="1"/>
  <c r="P174" i="66" s="1"/>
  <c r="Q256" i="66" a="1"/>
  <c r="Q256" i="66" s="1"/>
  <c r="R26" i="66" a="1"/>
  <c r="R26" i="66" s="1"/>
  <c r="P45" i="66" a="1"/>
  <c r="P45" i="66" s="1"/>
  <c r="R99" i="66" a="1"/>
  <c r="R99" i="66" s="1"/>
  <c r="R4" i="66" a="1"/>
  <c r="R4" i="66" s="1"/>
  <c r="O127" i="66"/>
  <c r="P70" i="66" a="1"/>
  <c r="P70" i="66" s="1"/>
  <c r="O167" i="66"/>
  <c r="P172" i="66" a="1"/>
  <c r="P172" i="66" s="1"/>
  <c r="N38" i="66"/>
  <c r="O177" i="66"/>
  <c r="P122" i="66" a="1"/>
  <c r="P122" i="66" s="1"/>
  <c r="N242" i="66"/>
  <c r="P147" i="66" a="1"/>
  <c r="P147" i="66" s="1"/>
  <c r="R253" i="66" a="1"/>
  <c r="R253" i="66" s="1"/>
  <c r="R208" i="66" a="1"/>
  <c r="R208" i="66" s="1"/>
  <c r="Q206" i="66" a="1"/>
  <c r="Q206" i="66" s="1"/>
  <c r="R138" i="66" a="1"/>
  <c r="R138" i="66" s="1"/>
  <c r="P82" i="66" a="1"/>
  <c r="P82" i="66" s="1"/>
  <c r="O179" i="66"/>
  <c r="P39" i="66" a="1"/>
  <c r="P39" i="66" s="1"/>
  <c r="N63" i="66"/>
  <c r="R92" i="66" a="1"/>
  <c r="R92" i="66" s="1"/>
  <c r="N167" i="66"/>
  <c r="N112" i="66"/>
  <c r="N11" i="66"/>
  <c r="Q150" i="66" a="1"/>
  <c r="Q150" i="66" s="1"/>
  <c r="N70" i="66"/>
  <c r="R145" i="66" a="1"/>
  <c r="R145" i="66" s="1"/>
  <c r="P4" i="66" a="1"/>
  <c r="P4" i="66" s="1"/>
  <c r="P47" i="66" a="1"/>
  <c r="P47" i="66" s="1"/>
  <c r="N67" i="66"/>
  <c r="R96" i="66" a="1"/>
  <c r="R96" i="66" s="1"/>
  <c r="N171" i="66"/>
  <c r="Q6" i="66" a="1"/>
  <c r="Q6" i="66" s="1"/>
  <c r="Q51" i="66" a="1"/>
  <c r="Q51" i="66" s="1"/>
  <c r="R69" i="66" a="1"/>
  <c r="R69" i="66" s="1"/>
  <c r="N98" i="66"/>
  <c r="R173" i="66" a="1"/>
  <c r="R173" i="66" s="1"/>
  <c r="Q53" i="66" a="1"/>
  <c r="Q53" i="66" s="1"/>
  <c r="N234" i="66"/>
  <c r="O149" i="66"/>
  <c r="Q242" i="66" a="1"/>
  <c r="Q242" i="66" s="1"/>
  <c r="N54" i="66"/>
  <c r="R129" i="66" a="1"/>
  <c r="R129" i="66" s="1"/>
  <c r="P262" i="66" a="1"/>
  <c r="P262" i="66" s="1"/>
  <c r="N23" i="66"/>
  <c r="O206" i="66"/>
  <c r="R80" i="66" a="1"/>
  <c r="R80" i="66" s="1"/>
  <c r="N155" i="66"/>
  <c r="O147" i="66"/>
  <c r="R242" i="66" a="1"/>
  <c r="R242" i="66" s="1"/>
  <c r="Q203" i="66" a="1"/>
  <c r="Q203" i="66" s="1"/>
  <c r="N256" i="66"/>
  <c r="O210" i="66"/>
  <c r="Q248" i="66" a="1"/>
  <c r="Q248" i="66" s="1"/>
  <c r="N233" i="66"/>
  <c r="Q227" i="66" a="1"/>
  <c r="Q227" i="66" s="1"/>
  <c r="R233" i="66" a="1"/>
  <c r="R233" i="66" s="1"/>
  <c r="P198" i="66" a="1"/>
  <c r="P198" i="66" s="1"/>
  <c r="R140" i="66" a="1"/>
  <c r="R140" i="66" s="1"/>
  <c r="N165" i="66"/>
  <c r="N211" i="66"/>
  <c r="N142" i="66"/>
  <c r="R167" i="66" a="1"/>
  <c r="R167" i="66" s="1"/>
  <c r="R213" i="66" a="1"/>
  <c r="R213" i="66" s="1"/>
  <c r="R144" i="66" a="1"/>
  <c r="R144" i="66" s="1"/>
  <c r="N169" i="66"/>
  <c r="N215" i="66"/>
  <c r="R171" i="66" a="1"/>
  <c r="R171" i="66" s="1"/>
  <c r="R217" i="66" a="1"/>
  <c r="R217" i="66" s="1"/>
  <c r="Q253" i="66" a="1"/>
  <c r="Q253" i="66" s="1"/>
  <c r="N271" i="66"/>
  <c r="R247" i="66" a="1"/>
  <c r="R247" i="66" s="1"/>
  <c r="P264" i="66" a="1"/>
  <c r="P264" i="66" s="1"/>
  <c r="O242" i="66"/>
  <c r="Q229" i="66" a="1"/>
  <c r="Q229" i="66" s="1"/>
  <c r="O205" i="66"/>
  <c r="Q219" i="66" a="1"/>
  <c r="Q219" i="66" s="1"/>
  <c r="R170" i="66" a="1"/>
  <c r="R170" i="66" s="1"/>
  <c r="N134" i="66"/>
  <c r="R212" i="66" a="1"/>
  <c r="R212" i="66" s="1"/>
  <c r="P91" i="66" a="1"/>
  <c r="P91" i="66" s="1"/>
  <c r="R257" i="66" a="1"/>
  <c r="R257" i="66" s="1"/>
  <c r="P170" i="66" a="1"/>
  <c r="P170" i="66" s="1"/>
  <c r="O185" i="66"/>
  <c r="G185" i="66" s="1"/>
  <c r="O128" i="66"/>
  <c r="P248" i="66" a="1"/>
  <c r="P248" i="66" s="1"/>
  <c r="O81" i="66"/>
  <c r="G81" i="66" s="1"/>
  <c r="N87" i="66"/>
  <c r="R116" i="66" a="1"/>
  <c r="R116" i="66" s="1"/>
  <c r="P197" i="66" a="1"/>
  <c r="P197" i="66" s="1"/>
  <c r="Q225" i="66" a="1"/>
  <c r="Q225" i="66" s="1"/>
  <c r="P43" i="66" a="1"/>
  <c r="P43" i="66" s="1"/>
  <c r="R65" i="66" a="1"/>
  <c r="R65" i="66" s="1"/>
  <c r="N94" i="66"/>
  <c r="R169" i="66" a="1"/>
  <c r="R169" i="66" s="1"/>
  <c r="R32" i="66" a="1"/>
  <c r="R32" i="66" s="1"/>
  <c r="R87" i="66" a="1"/>
  <c r="R87" i="66" s="1"/>
  <c r="N91" i="66"/>
  <c r="R120" i="66" a="1"/>
  <c r="R120" i="66" s="1"/>
  <c r="O200" i="66"/>
  <c r="P36" i="66" a="1"/>
  <c r="P36" i="66" s="1"/>
  <c r="R90" i="66" a="1"/>
  <c r="R90" i="66" s="1"/>
  <c r="R93" i="66" a="1"/>
  <c r="R93" i="66" s="1"/>
  <c r="N122" i="66"/>
  <c r="N203" i="66"/>
  <c r="P61" i="66" a="1"/>
  <c r="P61" i="66" s="1"/>
  <c r="O87" i="66"/>
  <c r="O241" i="66"/>
  <c r="R160" i="66" a="1"/>
  <c r="R160" i="66" s="1"/>
  <c r="N78" i="66"/>
  <c r="R153" i="66" a="1"/>
  <c r="R153" i="66" s="1"/>
  <c r="Q89" i="66" a="1"/>
  <c r="Q89" i="66" s="1"/>
  <c r="O60" i="66"/>
  <c r="G60" i="66" s="1"/>
  <c r="N75" i="66"/>
  <c r="R104" i="66" a="1"/>
  <c r="R104" i="66" s="1"/>
  <c r="N179" i="66"/>
  <c r="O171" i="66"/>
  <c r="P130" i="66" a="1"/>
  <c r="P130" i="66" s="1"/>
  <c r="Q233" i="66" a="1"/>
  <c r="Q233" i="66" s="1"/>
  <c r="O254" i="66"/>
  <c r="O283" i="66"/>
  <c r="Q148" i="66" a="1"/>
  <c r="Q148" i="66" s="1"/>
  <c r="N246" i="66"/>
  <c r="P211" i="66" a="1"/>
  <c r="P211" i="66" s="1"/>
  <c r="Q257" i="66" a="1"/>
  <c r="Q257" i="66" s="1"/>
  <c r="Q283" i="66" a="1"/>
  <c r="Q283" i="66" s="1"/>
  <c r="Q251" i="66" a="1"/>
  <c r="Q251" i="66" s="1"/>
  <c r="R259" i="66" a="1"/>
  <c r="R259" i="66" s="1"/>
  <c r="P246" i="66" a="1"/>
  <c r="P246" i="66" s="1"/>
  <c r="R164" i="66" a="1"/>
  <c r="R164" i="66" s="1"/>
  <c r="R190" i="66" a="1"/>
  <c r="R190" i="66" s="1"/>
  <c r="N235" i="66"/>
  <c r="P202" i="66" a="1"/>
  <c r="P202" i="66" s="1"/>
  <c r="N166" i="66"/>
  <c r="O192" i="66"/>
  <c r="R237" i="66" a="1"/>
  <c r="R237" i="66" s="1"/>
  <c r="P206" i="66" a="1"/>
  <c r="P206" i="66" s="1"/>
  <c r="R168" i="66" a="1"/>
  <c r="R168" i="66" s="1"/>
  <c r="N195" i="66"/>
  <c r="N239" i="66"/>
  <c r="P210" i="66" a="1"/>
  <c r="P210" i="66" s="1"/>
  <c r="Q196" i="66" a="1"/>
  <c r="Q196" i="66" s="1"/>
  <c r="R241" i="66" a="1"/>
  <c r="R241" i="66" s="1"/>
  <c r="P214" i="66" a="1"/>
  <c r="P214" i="66" s="1"/>
  <c r="Q285" i="66" a="1"/>
  <c r="Q285" i="66" s="1"/>
  <c r="P274" i="66" a="1"/>
  <c r="P274" i="66" s="1"/>
  <c r="P269" i="66" a="1"/>
  <c r="P269" i="66" s="1"/>
  <c r="P283" i="66" a="1"/>
  <c r="P283" i="66" s="1"/>
  <c r="O211" i="66"/>
  <c r="N129" i="66"/>
  <c r="O266" i="66"/>
  <c r="Q243" i="66" a="1"/>
  <c r="Q243" i="66" s="1"/>
  <c r="P131" i="66" a="1"/>
  <c r="P131" i="66" s="1"/>
  <c r="O71" i="66"/>
  <c r="G71" i="66" s="1"/>
  <c r="R166" i="66" a="1"/>
  <c r="R166" i="66" s="1"/>
  <c r="N51" i="66"/>
  <c r="P81" i="66" a="1"/>
  <c r="P81" i="66" s="1"/>
  <c r="Q96" i="66" a="1"/>
  <c r="Q96" i="66" s="1"/>
  <c r="Q157" i="66" a="1"/>
  <c r="Q157" i="66" s="1"/>
  <c r="N182" i="66"/>
  <c r="P80" i="66" a="1"/>
  <c r="P80" i="66" s="1"/>
  <c r="Q143" i="66" a="1"/>
  <c r="Q143" i="66" s="1"/>
  <c r="R244" i="66" a="1"/>
  <c r="R244" i="66" s="1"/>
  <c r="R151" i="66" a="1"/>
  <c r="R151" i="66" s="1"/>
  <c r="Q76" i="66" a="1"/>
  <c r="Q76" i="66" s="1"/>
  <c r="R178" i="66" a="1"/>
  <c r="R178" i="66" s="1"/>
  <c r="N138" i="66"/>
  <c r="R119" i="66" a="1"/>
  <c r="R119" i="66" s="1"/>
  <c r="N111" i="66"/>
  <c r="O190" i="66"/>
  <c r="R273" i="66" a="1"/>
  <c r="R273" i="66" s="1"/>
  <c r="Q30" i="66" a="1"/>
  <c r="Q30" i="66" s="1"/>
  <c r="O84" i="66"/>
  <c r="G84" i="66" s="1"/>
  <c r="R89" i="66" a="1"/>
  <c r="R89" i="66" s="1"/>
  <c r="N118" i="66"/>
  <c r="R198" i="66" a="1"/>
  <c r="R198" i="66" s="1"/>
  <c r="O80" i="66"/>
  <c r="O126" i="66"/>
  <c r="N115" i="66"/>
  <c r="R220" i="66" a="1"/>
  <c r="R220" i="66" s="1"/>
  <c r="R83" i="66" a="1"/>
  <c r="R83" i="66" s="1"/>
  <c r="Q144" i="66" a="1"/>
  <c r="Q144" i="66" s="1"/>
  <c r="R117" i="66" a="1"/>
  <c r="R117" i="66" s="1"/>
  <c r="O151" i="66"/>
  <c r="G151" i="66" s="1"/>
  <c r="P109" i="66" a="1"/>
  <c r="P109" i="66" s="1"/>
  <c r="O111" i="66"/>
  <c r="G111" i="66" s="1"/>
  <c r="O172" i="66"/>
  <c r="N230" i="66"/>
  <c r="N102" i="66"/>
  <c r="R177" i="66" a="1"/>
  <c r="R177" i="66" s="1"/>
  <c r="P135" i="66" a="1"/>
  <c r="P135" i="66" s="1"/>
  <c r="O100" i="66"/>
  <c r="N99" i="66"/>
  <c r="P132" i="66" a="1"/>
  <c r="P132" i="66" s="1"/>
  <c r="N216" i="66"/>
  <c r="Q194" i="66" a="1"/>
  <c r="Q194" i="66" s="1"/>
  <c r="P178" i="66" a="1"/>
  <c r="P178" i="66" s="1"/>
  <c r="Q259" i="66" a="1"/>
  <c r="Q259" i="66" s="1"/>
  <c r="Q172" i="66" a="1"/>
  <c r="Q172" i="66" s="1"/>
  <c r="P134" i="66" a="1"/>
  <c r="P134" i="66" s="1"/>
  <c r="O236" i="66"/>
  <c r="G236" i="66" s="1"/>
  <c r="N257" i="66"/>
  <c r="Q284" i="66" a="1"/>
  <c r="Q284" i="66" s="1"/>
  <c r="P249" i="66" a="1"/>
  <c r="P249" i="66" s="1"/>
  <c r="P215" i="66" a="1"/>
  <c r="P215" i="66" s="1"/>
  <c r="N161" i="66"/>
  <c r="O282" i="66"/>
  <c r="R268" i="66" a="1"/>
  <c r="R268" i="66" s="1"/>
  <c r="P193" i="66" a="1"/>
  <c r="P193" i="66" s="1"/>
  <c r="R230" i="66" a="1"/>
  <c r="R230" i="66" s="1"/>
  <c r="O261" i="66"/>
  <c r="P250" i="66" a="1"/>
  <c r="P250" i="66" s="1"/>
  <c r="R194" i="66" a="1"/>
  <c r="R194" i="66" s="1"/>
  <c r="O237" i="66"/>
  <c r="G237" i="66" s="1"/>
  <c r="Q268" i="66" a="1"/>
  <c r="Q268" i="66" s="1"/>
  <c r="N253" i="66"/>
  <c r="O196" i="66"/>
  <c r="G196" i="66" s="1"/>
  <c r="N240" i="66"/>
  <c r="O273" i="66"/>
  <c r="G273" i="66" s="1"/>
  <c r="Q254" i="66" a="1"/>
  <c r="Q254" i="66" s="1"/>
  <c r="P253" i="66" a="1"/>
  <c r="P253" i="66" s="1"/>
  <c r="R275" i="66" a="1"/>
  <c r="R275" i="66" s="1"/>
  <c r="P260" i="66" a="1"/>
  <c r="P260" i="66" s="1"/>
  <c r="R252" i="66" a="1"/>
  <c r="R252" i="66" s="1"/>
  <c r="P243" i="66" a="1"/>
  <c r="P243" i="66" s="1"/>
  <c r="Q276" i="66" a="1"/>
  <c r="Q276" i="66" s="1"/>
  <c r="P284" i="66" a="1"/>
  <c r="P284" i="66" s="1"/>
  <c r="R175" i="66" a="1"/>
  <c r="R175" i="66" s="1"/>
  <c r="R221" i="66" a="1"/>
  <c r="R221" i="66" s="1"/>
  <c r="R128" i="66" a="1"/>
  <c r="R128" i="66" s="1"/>
  <c r="N153" i="66"/>
  <c r="R271" i="66" a="1"/>
  <c r="R271" i="66" s="1"/>
  <c r="Q177" i="66" a="1"/>
  <c r="Q177" i="66" s="1"/>
  <c r="N260" i="66"/>
  <c r="N120" i="66"/>
  <c r="N16" i="66"/>
  <c r="R49" i="66" a="1"/>
  <c r="R49" i="66" s="1"/>
  <c r="P77" i="66" a="1"/>
  <c r="P77" i="66" s="1"/>
  <c r="O95" i="66"/>
  <c r="G95" i="66" s="1"/>
  <c r="O156" i="66"/>
  <c r="N174" i="66"/>
  <c r="Q199" i="66" a="1"/>
  <c r="Q199" i="66" s="1"/>
  <c r="Q135" i="66" a="1"/>
  <c r="Q135" i="66" s="1"/>
  <c r="Q120" i="66" a="1"/>
  <c r="Q120" i="66" s="1"/>
  <c r="Q181" i="66" a="1"/>
  <c r="Q181" i="66" s="1"/>
  <c r="Q155" i="66" a="1"/>
  <c r="Q155" i="66" s="1"/>
  <c r="Q131" i="66" a="1"/>
  <c r="Q131" i="66" s="1"/>
  <c r="R64" i="66" a="1"/>
  <c r="R64" i="66" s="1"/>
  <c r="N139" i="66"/>
  <c r="P89" i="66" a="1"/>
  <c r="P89" i="66" s="1"/>
  <c r="Q100" i="66" a="1"/>
  <c r="Q100" i="66" s="1"/>
  <c r="Q161" i="66" a="1"/>
  <c r="Q161" i="66" s="1"/>
  <c r="N186" i="66"/>
  <c r="Q14" i="66" a="1"/>
  <c r="Q14" i="66" s="1"/>
  <c r="O143" i="66"/>
  <c r="G143" i="66" s="1"/>
  <c r="P86" i="66" a="1"/>
  <c r="P86" i="66" s="1"/>
  <c r="O187" i="66"/>
  <c r="G187" i="66" s="1"/>
  <c r="O77" i="66"/>
  <c r="G77" i="66" s="1"/>
  <c r="R122" i="66" a="1"/>
  <c r="R122" i="66" s="1"/>
  <c r="R113" i="66" a="1"/>
  <c r="R113" i="66" s="1"/>
  <c r="P203" i="66" a="1"/>
  <c r="P203" i="66" s="1"/>
  <c r="O284" i="66"/>
  <c r="R118" i="66" a="1"/>
  <c r="R118" i="66" s="1"/>
  <c r="N22" i="66"/>
  <c r="N148" i="66"/>
  <c r="P94" i="66" a="1"/>
  <c r="P94" i="66" s="1"/>
  <c r="Q191" i="66" a="1"/>
  <c r="Q191" i="66" s="1"/>
  <c r="O122" i="66"/>
  <c r="O23" i="66"/>
  <c r="G23" i="66" s="1"/>
  <c r="R150" i="66" a="1"/>
  <c r="R150" i="66" s="1"/>
  <c r="P98" i="66" a="1"/>
  <c r="P98" i="66" s="1"/>
  <c r="R201" i="66" a="1"/>
  <c r="R201" i="66" s="1"/>
  <c r="O228" i="66"/>
  <c r="O141" i="66"/>
  <c r="G141" i="66" s="1"/>
  <c r="Q195" i="66" a="1"/>
  <c r="Q195" i="66" s="1"/>
  <c r="O182" i="66"/>
  <c r="G182" i="66" s="1"/>
  <c r="N126" i="66"/>
  <c r="O209" i="66"/>
  <c r="O15" i="66"/>
  <c r="G15" i="66" s="1"/>
  <c r="P175" i="66" a="1"/>
  <c r="P175" i="66" s="1"/>
  <c r="N123" i="66"/>
  <c r="P62" i="66" a="1"/>
  <c r="P62" i="66" s="1"/>
  <c r="O163" i="66"/>
  <c r="G163" i="66" s="1"/>
  <c r="P232" i="66" a="1"/>
  <c r="P232" i="66" s="1"/>
  <c r="O208" i="66"/>
  <c r="G208" i="66" s="1"/>
  <c r="O222" i="66"/>
  <c r="G222" i="66" s="1"/>
  <c r="P200" i="66" a="1"/>
  <c r="P200" i="66" s="1"/>
  <c r="P182" i="66" a="1"/>
  <c r="P182" i="66" s="1"/>
  <c r="O264" i="66"/>
  <c r="P138" i="66" a="1"/>
  <c r="P138" i="66" s="1"/>
  <c r="Q237" i="66" a="1"/>
  <c r="Q237" i="66" s="1"/>
  <c r="Q258" i="66" a="1"/>
  <c r="Q258" i="66" s="1"/>
  <c r="N185" i="66"/>
  <c r="N231" i="66"/>
  <c r="P194" i="66" a="1"/>
  <c r="P194" i="66" s="1"/>
  <c r="Q228" i="66" a="1"/>
  <c r="Q228" i="66" s="1"/>
  <c r="N213" i="66"/>
  <c r="N272" i="66"/>
  <c r="N236" i="66"/>
  <c r="P145" i="66" a="1"/>
  <c r="P145" i="66" s="1"/>
  <c r="N270" i="66"/>
  <c r="O249" i="66"/>
  <c r="G249" i="66" s="1"/>
  <c r="P149" i="66" a="1"/>
  <c r="P149" i="66" s="1"/>
  <c r="R272" i="66" a="1"/>
  <c r="R272" i="66" s="1"/>
  <c r="N252" i="66"/>
  <c r="P153" i="66" a="1"/>
  <c r="P153" i="66" s="1"/>
  <c r="N274" i="66"/>
  <c r="P157" i="66" a="1"/>
  <c r="P157" i="66" s="1"/>
  <c r="Q212" i="66" a="1"/>
  <c r="Q212" i="66" s="1"/>
  <c r="R276" i="66" a="1"/>
  <c r="R276" i="66" s="1"/>
  <c r="O252" i="66"/>
  <c r="R206" i="66" a="1"/>
  <c r="R206" i="66" s="1"/>
  <c r="R245" i="66" a="1"/>
  <c r="R245" i="66" s="1"/>
  <c r="P222" i="66" a="1"/>
  <c r="P222" i="66" s="1"/>
  <c r="R152" i="66" a="1"/>
  <c r="R152" i="66" s="1"/>
  <c r="N177" i="66"/>
  <c r="N223" i="66"/>
  <c r="BS2" i="60"/>
  <c r="CC2" i="60"/>
  <c r="CE2" i="60"/>
  <c r="Q3" i="66" a="1"/>
  <c r="Q3" i="66" s="1"/>
  <c r="N3" i="66"/>
  <c r="R3" i="66" a="1"/>
  <c r="R3" i="66" s="1"/>
  <c r="P3" i="66" a="1"/>
  <c r="P3" i="66" s="1"/>
  <c r="O3" i="66"/>
  <c r="G16" i="46"/>
  <c r="D102" i="53"/>
  <c r="G2" i="53" s="1"/>
  <c r="J5" i="60" s="1"/>
  <c r="S5" i="60" s="1"/>
  <c r="G14" i="53"/>
  <c r="G13" i="53"/>
  <c r="G12" i="53"/>
  <c r="G11" i="53"/>
  <c r="G9" i="53"/>
  <c r="G8" i="53"/>
  <c r="G7" i="53"/>
  <c r="N18" i="52"/>
  <c r="O18" i="52" s="1"/>
  <c r="N15" i="52"/>
  <c r="O15" i="52" s="1"/>
  <c r="N22" i="52"/>
  <c r="O22" i="52" s="1"/>
  <c r="N21" i="52"/>
  <c r="O21" i="52" s="1"/>
  <c r="N13" i="52"/>
  <c r="O13" i="52" s="1"/>
  <c r="N3" i="52"/>
  <c r="O3" i="52" s="1"/>
  <c r="N23" i="52"/>
  <c r="O23" i="52" s="1"/>
  <c r="N24" i="52"/>
  <c r="O24" i="52" s="1"/>
  <c r="N9" i="52"/>
  <c r="O9" i="52" s="1"/>
  <c r="N5" i="52"/>
  <c r="O5" i="52" s="1"/>
  <c r="N20" i="52"/>
  <c r="O20" i="52" s="1"/>
  <c r="N2" i="52"/>
  <c r="O2" i="52" s="1"/>
  <c r="N26" i="52"/>
  <c r="O26" i="52" s="1"/>
  <c r="N16" i="52"/>
  <c r="O16" i="52" s="1"/>
  <c r="N4" i="52"/>
  <c r="O4" i="52" s="1"/>
  <c r="N11" i="52"/>
  <c r="O11" i="52" s="1"/>
  <c r="N19" i="52"/>
  <c r="O19" i="52" s="1"/>
  <c r="N14" i="52"/>
  <c r="O14" i="52" s="1"/>
  <c r="N12" i="52"/>
  <c r="O12" i="52" s="1"/>
  <c r="N6" i="52"/>
  <c r="O6" i="52" s="1"/>
  <c r="R3" i="52"/>
  <c r="S3" i="52" s="1"/>
  <c r="R4" i="52"/>
  <c r="S4" i="52" s="1"/>
  <c r="R5" i="52"/>
  <c r="S5" i="52" s="1"/>
  <c r="R6" i="52"/>
  <c r="S6" i="52" s="1"/>
  <c r="R7" i="52"/>
  <c r="S7" i="52" s="1"/>
  <c r="R8" i="52"/>
  <c r="S8" i="52" s="1"/>
  <c r="R2" i="52"/>
  <c r="S2" i="52" s="1"/>
  <c r="G16" i="51"/>
  <c r="G15" i="51"/>
  <c r="G14" i="51"/>
  <c r="G13" i="51"/>
  <c r="G12" i="51"/>
  <c r="G11" i="51"/>
  <c r="G10" i="51"/>
  <c r="G9" i="51"/>
  <c r="G8" i="51"/>
  <c r="G6" i="51"/>
  <c r="G15" i="46"/>
  <c r="G10" i="49"/>
  <c r="G14" i="49"/>
  <c r="G13" i="49"/>
  <c r="G12" i="49"/>
  <c r="G11" i="49"/>
  <c r="G9" i="49"/>
  <c r="G8" i="49"/>
  <c r="G6" i="49"/>
  <c r="G3" i="49" s="1"/>
  <c r="CB2" i="60" a="1"/>
  <c r="CH2" i="60" a="1"/>
  <c r="G282" i="66" l="1"/>
  <c r="G114" i="66"/>
  <c r="G80" i="66"/>
  <c r="G171" i="66"/>
  <c r="G210" i="66"/>
  <c r="G130" i="66"/>
  <c r="G174" i="66"/>
  <c r="G199" i="66"/>
  <c r="G103" i="66"/>
  <c r="G211" i="66"/>
  <c r="G241" i="66"/>
  <c r="G144" i="66"/>
  <c r="G220" i="66"/>
  <c r="G91" i="66"/>
  <c r="G79" i="66"/>
  <c r="G68" i="66"/>
  <c r="G209" i="66"/>
  <c r="G179" i="66"/>
  <c r="G253" i="66"/>
  <c r="G55" i="66"/>
  <c r="G18" i="66"/>
  <c r="G122" i="66"/>
  <c r="G200" i="66"/>
  <c r="G218" i="66"/>
  <c r="G166" i="66"/>
  <c r="G22" i="66"/>
  <c r="G98" i="66"/>
  <c r="G281" i="66"/>
  <c r="G239" i="66"/>
  <c r="G259" i="66"/>
  <c r="G247" i="66"/>
  <c r="G153" i="66"/>
  <c r="G214" i="66"/>
  <c r="G230" i="66"/>
  <c r="G189" i="66"/>
  <c r="G257" i="66"/>
  <c r="G134" i="66"/>
  <c r="G250" i="66"/>
  <c r="G198" i="66"/>
  <c r="G256" i="66"/>
  <c r="G119" i="66"/>
  <c r="G149" i="66"/>
  <c r="G159" i="66"/>
  <c r="G283" i="66"/>
  <c r="G217" i="66"/>
  <c r="G90" i="66"/>
  <c r="G157" i="66"/>
  <c r="G128" i="66"/>
  <c r="G147" i="66"/>
  <c r="G156" i="66"/>
  <c r="G270" i="66"/>
  <c r="G248" i="66"/>
  <c r="G83" i="66"/>
  <c r="G202" i="66"/>
  <c r="G87" i="66"/>
  <c r="G245" i="66"/>
  <c r="G207" i="66"/>
  <c r="G45" i="66"/>
  <c r="G126" i="66"/>
  <c r="G206" i="66"/>
  <c r="G243" i="66"/>
  <c r="G228" i="66"/>
  <c r="G212" i="66"/>
  <c r="G165" i="66"/>
  <c r="G140" i="66"/>
  <c r="G101" i="66"/>
  <c r="G41" i="66"/>
  <c r="G58" i="66"/>
  <c r="G110" i="66"/>
  <c r="G49" i="66"/>
  <c r="G191" i="66"/>
  <c r="G155" i="66"/>
  <c r="G180" i="66"/>
  <c r="G67" i="66"/>
  <c r="G178" i="66"/>
  <c r="G193" i="66"/>
  <c r="G121" i="66"/>
  <c r="G64" i="66"/>
  <c r="G267" i="66"/>
  <c r="G190" i="66"/>
  <c r="G242" i="66"/>
  <c r="G226" i="66"/>
  <c r="G56" i="66"/>
  <c r="G274" i="66"/>
  <c r="G47" i="66"/>
  <c r="G57" i="66"/>
  <c r="G184" i="66"/>
  <c r="G133" i="66"/>
  <c r="G92" i="66"/>
  <c r="G172" i="66"/>
  <c r="G192" i="66"/>
  <c r="G132" i="66"/>
  <c r="G201" i="66"/>
  <c r="G246" i="66"/>
  <c r="G240" i="66"/>
  <c r="G104" i="66"/>
  <c r="G78" i="66"/>
  <c r="G94" i="66"/>
  <c r="G124" i="66"/>
  <c r="G264" i="66"/>
  <c r="G255" i="66"/>
  <c r="G181" i="66"/>
  <c r="G275" i="66"/>
  <c r="G258" i="66"/>
  <c r="G63" i="66"/>
  <c r="G85" i="66"/>
  <c r="G195" i="66"/>
  <c r="G46" i="66"/>
  <c r="G146" i="66"/>
  <c r="G100" i="66"/>
  <c r="G254" i="66"/>
  <c r="G213" i="66"/>
  <c r="G61" i="66"/>
  <c r="G112" i="66"/>
  <c r="G152" i="66"/>
  <c r="G38" i="66"/>
  <c r="G139" i="66"/>
  <c r="G88" i="66"/>
  <c r="G194" i="66"/>
  <c r="G54" i="66"/>
  <c r="G59" i="66"/>
  <c r="G232" i="66"/>
  <c r="G252" i="66"/>
  <c r="G279" i="66"/>
  <c r="G148" i="66"/>
  <c r="G225" i="66"/>
  <c r="G271" i="66"/>
  <c r="G216" i="66"/>
  <c r="G113" i="66"/>
  <c r="G161" i="66"/>
  <c r="G76" i="66"/>
  <c r="G158" i="66"/>
  <c r="G40" i="66"/>
  <c r="G50" i="66"/>
  <c r="G105" i="66"/>
  <c r="G123" i="66"/>
  <c r="G235" i="66"/>
  <c r="G131" i="66"/>
  <c r="G176" i="66"/>
  <c r="G280" i="66"/>
  <c r="G269" i="66"/>
  <c r="G70" i="66"/>
  <c r="G223" i="66"/>
  <c r="G169" i="66"/>
  <c r="G96" i="66"/>
  <c r="G93" i="66"/>
  <c r="G234" i="66"/>
  <c r="G177" i="66"/>
  <c r="G277" i="66"/>
  <c r="G135" i="66"/>
  <c r="G66" i="66"/>
  <c r="G109" i="66"/>
  <c r="G118" i="66"/>
  <c r="G86" i="66"/>
  <c r="G162" i="66"/>
  <c r="G262" i="66"/>
  <c r="G233" i="66"/>
  <c r="G219" i="66"/>
  <c r="G268" i="66"/>
  <c r="G224" i="66"/>
  <c r="G138" i="66"/>
  <c r="G120" i="66"/>
  <c r="G82" i="66"/>
  <c r="G150" i="66"/>
  <c r="G72" i="66"/>
  <c r="G175" i="66"/>
  <c r="G125" i="66"/>
  <c r="G48" i="66"/>
  <c r="G160" i="66"/>
  <c r="G65" i="66"/>
  <c r="G261" i="66"/>
  <c r="G266" i="66"/>
  <c r="G260" i="66"/>
  <c r="G227" i="66"/>
  <c r="G186" i="66"/>
  <c r="G276" i="66"/>
  <c r="G102" i="66"/>
  <c r="G89" i="66"/>
  <c r="G129" i="66"/>
  <c r="G215" i="66"/>
  <c r="G44" i="66"/>
  <c r="G167" i="66"/>
  <c r="G183" i="66"/>
  <c r="G137" i="66"/>
  <c r="G164" i="66"/>
  <c r="G204" i="66"/>
  <c r="G117" i="66"/>
  <c r="G154" i="66"/>
  <c r="G52" i="66"/>
  <c r="G238" i="66"/>
  <c r="G284" i="66"/>
  <c r="G108" i="66"/>
  <c r="G62" i="66"/>
  <c r="G188" i="66"/>
  <c r="G116" i="66"/>
  <c r="G173" i="66"/>
  <c r="G205" i="66"/>
  <c r="G127" i="66"/>
  <c r="G203" i="66"/>
  <c r="G272" i="66"/>
  <c r="G244" i="66"/>
  <c r="G136" i="66"/>
  <c r="G278" i="66"/>
  <c r="G168" i="66"/>
  <c r="G265" i="66"/>
  <c r="G231" i="66"/>
  <c r="G42" i="66"/>
  <c r="G106" i="66"/>
  <c r="G97" i="66"/>
  <c r="G142" i="66"/>
  <c r="G74" i="66"/>
  <c r="G197" i="66"/>
  <c r="G53" i="66"/>
  <c r="G73" i="66"/>
  <c r="G13" i="66"/>
  <c r="G8" i="66"/>
  <c r="G14" i="66"/>
  <c r="G37" i="66"/>
  <c r="G16" i="66"/>
  <c r="G27" i="66"/>
  <c r="G10" i="66"/>
  <c r="G31" i="66"/>
  <c r="G30" i="66"/>
  <c r="G26" i="66"/>
  <c r="G32" i="66"/>
  <c r="G36" i="66"/>
  <c r="G11" i="66"/>
  <c r="G20" i="66"/>
  <c r="G25" i="66"/>
  <c r="G33" i="66"/>
  <c r="G5" i="66"/>
  <c r="G34" i="66"/>
  <c r="G21" i="66"/>
  <c r="G9" i="66"/>
  <c r="G35" i="66"/>
  <c r="G17" i="66"/>
  <c r="G4" i="66"/>
  <c r="G19" i="66"/>
  <c r="G6" i="66"/>
  <c r="G24" i="66"/>
  <c r="G28" i="66"/>
  <c r="G29" i="66"/>
  <c r="G3" i="66"/>
  <c r="F3" i="66"/>
  <c r="CH2" i="60"/>
  <c r="CB2" i="60"/>
  <c r="G3" i="53"/>
  <c r="G3" i="51"/>
  <c r="G14" i="22"/>
  <c r="CG2" i="60" a="1"/>
  <c r="CG2" i="60" l="1"/>
  <c r="G12" i="47"/>
  <c r="G11" i="47"/>
  <c r="G10" i="47"/>
  <c r="G9" i="47"/>
  <c r="G8" i="47"/>
  <c r="G7" i="47"/>
  <c r="G14" i="46"/>
  <c r="G13" i="46"/>
  <c r="G12" i="46"/>
  <c r="G11" i="46"/>
  <c r="G10" i="46"/>
  <c r="G9" i="46"/>
  <c r="G8" i="46"/>
  <c r="G6" i="46"/>
  <c r="G3" i="46" s="1"/>
  <c r="CJ2" i="60" a="1"/>
  <c r="CJ2" i="60" l="1"/>
  <c r="C433" i="60"/>
  <c r="A433" i="60" s="1"/>
  <c r="C430" i="60"/>
  <c r="A430" i="60" s="1"/>
  <c r="B444" i="60"/>
  <c r="C443" i="60"/>
  <c r="A443" i="60" s="1"/>
  <c r="B439" i="60"/>
  <c r="C439" i="60"/>
  <c r="A439" i="60" s="1"/>
  <c r="C444" i="60"/>
  <c r="A444" i="60" s="1"/>
  <c r="B433" i="60"/>
  <c r="C448" i="60"/>
  <c r="A448" i="60" s="1"/>
  <c r="B431" i="60"/>
  <c r="B449" i="60"/>
  <c r="C429" i="60"/>
  <c r="A429" i="60" s="1"/>
  <c r="C437" i="60"/>
  <c r="A437" i="60" s="1"/>
  <c r="B451" i="60"/>
  <c r="B430" i="60"/>
  <c r="B432" i="60"/>
  <c r="B429" i="60"/>
  <c r="C436" i="60"/>
  <c r="A436" i="60" s="1"/>
  <c r="B436" i="60"/>
  <c r="C441" i="60"/>
  <c r="A441" i="60" s="1"/>
  <c r="B437" i="60"/>
  <c r="C447" i="60"/>
  <c r="A447" i="60" s="1"/>
  <c r="B438" i="60"/>
  <c r="B448" i="60"/>
  <c r="C434" i="60"/>
  <c r="A434" i="60" s="1"/>
  <c r="B434" i="60"/>
  <c r="C445" i="60"/>
  <c r="A445" i="60" s="1"/>
  <c r="B447" i="60"/>
  <c r="C449" i="60"/>
  <c r="A449" i="60" s="1"/>
  <c r="B442" i="60"/>
  <c r="B435" i="60"/>
  <c r="B428" i="60"/>
  <c r="C427" i="60"/>
  <c r="A427" i="60" s="1"/>
  <c r="B446" i="60"/>
  <c r="C428" i="60"/>
  <c r="A428" i="60" s="1"/>
  <c r="C435" i="60"/>
  <c r="A435" i="60" s="1"/>
  <c r="C440" i="60"/>
  <c r="A440" i="60" s="1"/>
  <c r="B440" i="60"/>
  <c r="B441" i="60"/>
  <c r="C446" i="60"/>
  <c r="A446" i="60" s="1"/>
  <c r="C450" i="60"/>
  <c r="A450" i="60" s="1"/>
  <c r="B427" i="60"/>
  <c r="C442" i="60"/>
  <c r="A442" i="60" s="1"/>
  <c r="C432" i="60"/>
  <c r="A432" i="60" s="1"/>
  <c r="B443" i="60"/>
  <c r="B450" i="60"/>
  <c r="C431" i="60"/>
  <c r="A431" i="60" s="1"/>
  <c r="B445" i="60"/>
  <c r="C438" i="60"/>
  <c r="A438" i="60" s="1"/>
  <c r="C451" i="60"/>
  <c r="A451" i="60" s="1"/>
  <c r="G2" i="60" l="1" a="1"/>
  <c r="F28" i="60" s="1" a="1"/>
  <c r="F28" i="60" s="1"/>
  <c r="G13" i="22"/>
  <c r="G12" i="22"/>
  <c r="E14" i="60" l="1" a="1"/>
  <c r="E14" i="60" s="1"/>
  <c r="E47" i="60" a="1"/>
  <c r="E47" i="60" s="1"/>
  <c r="E8" i="60" a="1"/>
  <c r="E8" i="60" s="1"/>
  <c r="F59" i="60" a="1"/>
  <c r="F59" i="60" s="1"/>
  <c r="D52" i="60" a="1"/>
  <c r="D52" i="60" s="1"/>
  <c r="B4" i="60"/>
  <c r="B8" i="60"/>
  <c r="B12" i="60"/>
  <c r="B16" i="60"/>
  <c r="B20" i="60"/>
  <c r="B24" i="60"/>
  <c r="B28" i="60"/>
  <c r="B32" i="60"/>
  <c r="B36" i="60"/>
  <c r="B40" i="60"/>
  <c r="B44" i="60"/>
  <c r="B48" i="60"/>
  <c r="B52" i="60"/>
  <c r="B56" i="60"/>
  <c r="B60" i="60"/>
  <c r="B64" i="60"/>
  <c r="B68" i="60"/>
  <c r="B72" i="60"/>
  <c r="B76" i="60"/>
  <c r="B80" i="60"/>
  <c r="B84" i="60"/>
  <c r="B88" i="60"/>
  <c r="B92" i="60"/>
  <c r="B96" i="60"/>
  <c r="B100" i="60"/>
  <c r="B104" i="60"/>
  <c r="B108" i="60"/>
  <c r="B112" i="60"/>
  <c r="B116" i="60"/>
  <c r="B120" i="60"/>
  <c r="B124" i="60"/>
  <c r="B128" i="60"/>
  <c r="B132" i="60"/>
  <c r="B136" i="60"/>
  <c r="B140" i="60"/>
  <c r="B144" i="60"/>
  <c r="B148" i="60"/>
  <c r="B152" i="60"/>
  <c r="B156" i="60"/>
  <c r="B160" i="60"/>
  <c r="B164" i="60"/>
  <c r="B168" i="60"/>
  <c r="B172" i="60"/>
  <c r="B176" i="60"/>
  <c r="B180" i="60"/>
  <c r="B184" i="60"/>
  <c r="B188" i="60"/>
  <c r="B192" i="60"/>
  <c r="B196" i="60"/>
  <c r="B200" i="60"/>
  <c r="B204" i="60"/>
  <c r="B208" i="60"/>
  <c r="B212" i="60"/>
  <c r="B216" i="60"/>
  <c r="B220" i="60"/>
  <c r="B224" i="60"/>
  <c r="B228" i="60"/>
  <c r="B232" i="60"/>
  <c r="B236" i="60"/>
  <c r="B240" i="60"/>
  <c r="B244" i="60"/>
  <c r="B248" i="60"/>
  <c r="B252" i="60"/>
  <c r="B256" i="60"/>
  <c r="B260" i="60"/>
  <c r="B264" i="60"/>
  <c r="B268" i="60"/>
  <c r="B272" i="60"/>
  <c r="B276" i="60"/>
  <c r="B280" i="60"/>
  <c r="B284" i="60"/>
  <c r="B288" i="60"/>
  <c r="B292" i="60"/>
  <c r="B296" i="60"/>
  <c r="B300" i="60"/>
  <c r="B304" i="60"/>
  <c r="B308" i="60"/>
  <c r="B312" i="60"/>
  <c r="B316" i="60"/>
  <c r="B320" i="60"/>
  <c r="B324" i="60"/>
  <c r="B328" i="60"/>
  <c r="B332" i="60"/>
  <c r="B336" i="60"/>
  <c r="B340" i="60"/>
  <c r="C5" i="60"/>
  <c r="C9" i="60"/>
  <c r="C13" i="60"/>
  <c r="C17" i="60"/>
  <c r="C21" i="60"/>
  <c r="C25" i="60"/>
  <c r="B6" i="60"/>
  <c r="B10" i="60"/>
  <c r="B14" i="60"/>
  <c r="B18" i="60"/>
  <c r="B22" i="60"/>
  <c r="B26" i="60"/>
  <c r="B30" i="60"/>
  <c r="B34" i="60"/>
  <c r="B38" i="60"/>
  <c r="B42" i="60"/>
  <c r="B46" i="60"/>
  <c r="B50" i="60"/>
  <c r="B54" i="60"/>
  <c r="B58" i="60"/>
  <c r="B62" i="60"/>
  <c r="B66" i="60"/>
  <c r="B70" i="60"/>
  <c r="B74" i="60"/>
  <c r="B78" i="60"/>
  <c r="B82" i="60"/>
  <c r="B86" i="60"/>
  <c r="B90" i="60"/>
  <c r="B94" i="60"/>
  <c r="B98" i="60"/>
  <c r="B102" i="60"/>
  <c r="B106" i="60"/>
  <c r="B110" i="60"/>
  <c r="B114" i="60"/>
  <c r="B118" i="60"/>
  <c r="B122" i="60"/>
  <c r="B126" i="60"/>
  <c r="B130" i="60"/>
  <c r="B134" i="60"/>
  <c r="B138" i="60"/>
  <c r="B142" i="60"/>
  <c r="B146" i="60"/>
  <c r="B150" i="60"/>
  <c r="B154" i="60"/>
  <c r="B158" i="60"/>
  <c r="B162" i="60"/>
  <c r="B166" i="60"/>
  <c r="B170" i="60"/>
  <c r="B174" i="60"/>
  <c r="B178" i="60"/>
  <c r="B182" i="60"/>
  <c r="B186" i="60"/>
  <c r="B190" i="60"/>
  <c r="B194" i="60"/>
  <c r="B198" i="60"/>
  <c r="B202" i="60"/>
  <c r="B206" i="60"/>
  <c r="B210" i="60"/>
  <c r="B214" i="60"/>
  <c r="B218" i="60"/>
  <c r="B222" i="60"/>
  <c r="B226" i="60"/>
  <c r="B230" i="60"/>
  <c r="B234" i="60"/>
  <c r="B238" i="60"/>
  <c r="B242" i="60"/>
  <c r="B246" i="60"/>
  <c r="B250" i="60"/>
  <c r="B254" i="60"/>
  <c r="B258" i="60"/>
  <c r="B262" i="60"/>
  <c r="B266" i="60"/>
  <c r="B270" i="60"/>
  <c r="B274" i="60"/>
  <c r="B278" i="60"/>
  <c r="B282" i="60"/>
  <c r="B286" i="60"/>
  <c r="B290" i="60"/>
  <c r="B294" i="60"/>
  <c r="B298" i="60"/>
  <c r="B302" i="60"/>
  <c r="B306" i="60"/>
  <c r="B310" i="60"/>
  <c r="B314" i="60"/>
  <c r="B318" i="60"/>
  <c r="B322" i="60"/>
  <c r="B326" i="60"/>
  <c r="B330" i="60"/>
  <c r="B334" i="60"/>
  <c r="B338" i="60"/>
  <c r="B342" i="60"/>
  <c r="B3" i="60"/>
  <c r="C16" i="60"/>
  <c r="C23" i="60"/>
  <c r="B346" i="60"/>
  <c r="B350" i="60"/>
  <c r="B354" i="60"/>
  <c r="B358" i="60"/>
  <c r="B362" i="60"/>
  <c r="B366" i="60"/>
  <c r="B370" i="60"/>
  <c r="B374" i="60"/>
  <c r="B378" i="60"/>
  <c r="B382" i="60"/>
  <c r="B386" i="60"/>
  <c r="B390" i="60"/>
  <c r="B394" i="60"/>
  <c r="B398" i="60"/>
  <c r="C3" i="60"/>
  <c r="C10" i="60"/>
  <c r="B17" i="60"/>
  <c r="C30" i="60"/>
  <c r="C36" i="60"/>
  <c r="C42" i="60"/>
  <c r="C48" i="60"/>
  <c r="C54" i="60"/>
  <c r="C60" i="60"/>
  <c r="C66" i="60"/>
  <c r="C72" i="60"/>
  <c r="B11" i="60"/>
  <c r="C24" i="60"/>
  <c r="B31" i="60"/>
  <c r="B37" i="60"/>
  <c r="B43" i="60"/>
  <c r="B49" i="60"/>
  <c r="B55" i="60"/>
  <c r="B61" i="60"/>
  <c r="B67" i="60"/>
  <c r="B73" i="60"/>
  <c r="B79" i="60"/>
  <c r="B85" i="60"/>
  <c r="B91" i="60"/>
  <c r="B97" i="60"/>
  <c r="B103" i="60"/>
  <c r="B109" i="60"/>
  <c r="B115" i="60"/>
  <c r="B121" i="60"/>
  <c r="B127" i="60"/>
  <c r="B133" i="60"/>
  <c r="B139" i="60"/>
  <c r="B145" i="60"/>
  <c r="B151" i="60"/>
  <c r="B157" i="60"/>
  <c r="B163" i="60"/>
  <c r="B169" i="60"/>
  <c r="B175" i="60"/>
  <c r="B181" i="60"/>
  <c r="B187" i="60"/>
  <c r="B193" i="60"/>
  <c r="B199" i="60"/>
  <c r="B205" i="60"/>
  <c r="B211" i="60"/>
  <c r="B217" i="60"/>
  <c r="B223" i="60"/>
  <c r="B229" i="60"/>
  <c r="B235" i="60"/>
  <c r="B241" i="60"/>
  <c r="B247" i="60"/>
  <c r="B253" i="60"/>
  <c r="B259" i="60"/>
  <c r="B265" i="60"/>
  <c r="B271" i="60"/>
  <c r="B277" i="60"/>
  <c r="B283" i="60"/>
  <c r="B289" i="60"/>
  <c r="B295" i="60"/>
  <c r="B301" i="60"/>
  <c r="B307" i="60"/>
  <c r="B313" i="60"/>
  <c r="B319" i="60"/>
  <c r="B325" i="60"/>
  <c r="B331" i="60"/>
  <c r="B337" i="60"/>
  <c r="C4" i="60"/>
  <c r="C11" i="60"/>
  <c r="C18" i="60"/>
  <c r="B25" i="60"/>
  <c r="C31" i="60"/>
  <c r="C43" i="60"/>
  <c r="C49" i="60"/>
  <c r="C55" i="60"/>
  <c r="C37" i="60"/>
  <c r="B5" i="60"/>
  <c r="B19" i="60"/>
  <c r="C343" i="60"/>
  <c r="C347" i="60"/>
  <c r="C351" i="60"/>
  <c r="C355" i="60"/>
  <c r="C359" i="60"/>
  <c r="C363" i="60"/>
  <c r="C367" i="60"/>
  <c r="C371" i="60"/>
  <c r="C375" i="60"/>
  <c r="C379" i="60"/>
  <c r="A379" i="60" s="1"/>
  <c r="C383" i="60"/>
  <c r="A383" i="60" s="1"/>
  <c r="C387" i="60"/>
  <c r="A387" i="60" s="1"/>
  <c r="C391" i="60"/>
  <c r="A391" i="60" s="1"/>
  <c r="C395" i="60"/>
  <c r="A395" i="60" s="1"/>
  <c r="C399" i="60"/>
  <c r="A399" i="60" s="1"/>
  <c r="C12" i="60"/>
  <c r="C19" i="60"/>
  <c r="C26" i="60"/>
  <c r="C32" i="60"/>
  <c r="C38" i="60"/>
  <c r="C44" i="60"/>
  <c r="C50" i="60"/>
  <c r="C56" i="60"/>
  <c r="C62" i="60"/>
  <c r="C68" i="60"/>
  <c r="C74" i="60"/>
  <c r="C80" i="60"/>
  <c r="C86" i="60"/>
  <c r="C92" i="60"/>
  <c r="C98" i="60"/>
  <c r="C104" i="60"/>
  <c r="C110" i="60"/>
  <c r="C116" i="60"/>
  <c r="C122" i="60"/>
  <c r="C128" i="60"/>
  <c r="C134" i="60"/>
  <c r="C6" i="60"/>
  <c r="B13" i="60"/>
  <c r="B27" i="60"/>
  <c r="B33" i="60"/>
  <c r="B39" i="60"/>
  <c r="B45" i="60"/>
  <c r="B51" i="60"/>
  <c r="B57" i="60"/>
  <c r="B63" i="60"/>
  <c r="B69" i="60"/>
  <c r="B75" i="60"/>
  <c r="B81" i="60"/>
  <c r="B87" i="60"/>
  <c r="B93" i="60"/>
  <c r="B99" i="60"/>
  <c r="B105" i="60"/>
  <c r="B111" i="60"/>
  <c r="B117" i="60"/>
  <c r="B123" i="60"/>
  <c r="B129" i="60"/>
  <c r="B135" i="60"/>
  <c r="B141" i="60"/>
  <c r="B147" i="60"/>
  <c r="B153" i="60"/>
  <c r="B159" i="60"/>
  <c r="B165" i="60"/>
  <c r="B171" i="60"/>
  <c r="B177" i="60"/>
  <c r="B183" i="60"/>
  <c r="B189" i="60"/>
  <c r="B195" i="60"/>
  <c r="B201" i="60"/>
  <c r="B207" i="60"/>
  <c r="B213" i="60"/>
  <c r="B219" i="60"/>
  <c r="B225" i="60"/>
  <c r="B231" i="60"/>
  <c r="B237" i="60"/>
  <c r="B243" i="60"/>
  <c r="B249" i="60"/>
  <c r="B255" i="60"/>
  <c r="B261" i="60"/>
  <c r="B267" i="60"/>
  <c r="B273" i="60"/>
  <c r="B279" i="60"/>
  <c r="B285" i="60"/>
  <c r="B291" i="60"/>
  <c r="B297" i="60"/>
  <c r="B303" i="60"/>
  <c r="B309" i="60"/>
  <c r="B315" i="60"/>
  <c r="B321" i="60"/>
  <c r="B327" i="60"/>
  <c r="B333" i="60"/>
  <c r="B339" i="60"/>
  <c r="B344" i="60"/>
  <c r="B348" i="60"/>
  <c r="B352" i="60"/>
  <c r="B356" i="60"/>
  <c r="B360" i="60"/>
  <c r="B364" i="60"/>
  <c r="B368" i="60"/>
  <c r="B372" i="60"/>
  <c r="B376" i="60"/>
  <c r="B380" i="60"/>
  <c r="B384" i="60"/>
  <c r="B388" i="60"/>
  <c r="B392" i="60"/>
  <c r="B396" i="60"/>
  <c r="B7" i="60"/>
  <c r="C20" i="60"/>
  <c r="C27" i="60"/>
  <c r="C33" i="60"/>
  <c r="C39" i="60"/>
  <c r="C45" i="60"/>
  <c r="C51" i="60"/>
  <c r="C57" i="60"/>
  <c r="C63" i="60"/>
  <c r="C69" i="60"/>
  <c r="C75" i="60"/>
  <c r="C7" i="60"/>
  <c r="C14" i="60"/>
  <c r="B21" i="60"/>
  <c r="C28" i="60"/>
  <c r="C34" i="60"/>
  <c r="B15" i="60"/>
  <c r="C8" i="60"/>
  <c r="C15" i="60"/>
  <c r="C22" i="60"/>
  <c r="B29" i="60"/>
  <c r="B35" i="60"/>
  <c r="B41" i="60"/>
  <c r="B47" i="60"/>
  <c r="B53" i="60"/>
  <c r="B59" i="60"/>
  <c r="B65" i="60"/>
  <c r="B71" i="60"/>
  <c r="B77" i="60"/>
  <c r="B83" i="60"/>
  <c r="B89" i="60"/>
  <c r="B95" i="60"/>
  <c r="B101" i="60"/>
  <c r="B107" i="60"/>
  <c r="B113" i="60"/>
  <c r="B119" i="60"/>
  <c r="B125" i="60"/>
  <c r="B131" i="60"/>
  <c r="B137" i="60"/>
  <c r="B143" i="60"/>
  <c r="B149" i="60"/>
  <c r="B155" i="60"/>
  <c r="B161" i="60"/>
  <c r="B167" i="60"/>
  <c r="B173" i="60"/>
  <c r="B179" i="60"/>
  <c r="B185" i="60"/>
  <c r="B191" i="60"/>
  <c r="B197" i="60"/>
  <c r="B203" i="60"/>
  <c r="B209" i="60"/>
  <c r="B215" i="60"/>
  <c r="B221" i="60"/>
  <c r="B227" i="60"/>
  <c r="B233" i="60"/>
  <c r="B239" i="60"/>
  <c r="B245" i="60"/>
  <c r="B251" i="60"/>
  <c r="B257" i="60"/>
  <c r="B263" i="60"/>
  <c r="B269" i="60"/>
  <c r="B275" i="60"/>
  <c r="B281" i="60"/>
  <c r="B287" i="60"/>
  <c r="B293" i="60"/>
  <c r="B299" i="60"/>
  <c r="B305" i="60"/>
  <c r="B311" i="60"/>
  <c r="B317" i="60"/>
  <c r="B323" i="60"/>
  <c r="B329" i="60"/>
  <c r="B335" i="60"/>
  <c r="B341" i="60"/>
  <c r="C345" i="60"/>
  <c r="C349" i="60"/>
  <c r="C353" i="60"/>
  <c r="C357" i="60"/>
  <c r="C361" i="60"/>
  <c r="C365" i="60"/>
  <c r="C369" i="60"/>
  <c r="C373" i="60"/>
  <c r="C377" i="60"/>
  <c r="A377" i="60" s="1"/>
  <c r="C381" i="60"/>
  <c r="A381" i="60" s="1"/>
  <c r="C385" i="60"/>
  <c r="A385" i="60" s="1"/>
  <c r="B9" i="60"/>
  <c r="C59" i="60"/>
  <c r="C81" i="60"/>
  <c r="C95" i="60"/>
  <c r="C109" i="60"/>
  <c r="C124" i="60"/>
  <c r="C138" i="60"/>
  <c r="C150" i="60"/>
  <c r="C162" i="60"/>
  <c r="C174" i="60"/>
  <c r="C186" i="60"/>
  <c r="C198" i="60"/>
  <c r="C210" i="60"/>
  <c r="C222" i="60"/>
  <c r="C234" i="60"/>
  <c r="C246" i="60"/>
  <c r="C258" i="60"/>
  <c r="C270" i="60"/>
  <c r="C282" i="60"/>
  <c r="C294" i="60"/>
  <c r="C306" i="60"/>
  <c r="C318" i="60"/>
  <c r="C330" i="60"/>
  <c r="C342" i="60"/>
  <c r="C350" i="60"/>
  <c r="C358" i="60"/>
  <c r="C366" i="60"/>
  <c r="C374" i="60"/>
  <c r="C382" i="60"/>
  <c r="A382" i="60" s="1"/>
  <c r="B397" i="60"/>
  <c r="C61" i="60"/>
  <c r="C82" i="60"/>
  <c r="C96" i="60"/>
  <c r="C111" i="60"/>
  <c r="C125" i="60"/>
  <c r="C139" i="60"/>
  <c r="C151" i="60"/>
  <c r="C163" i="60"/>
  <c r="C175" i="60"/>
  <c r="C187" i="60"/>
  <c r="C199" i="60"/>
  <c r="C211" i="60"/>
  <c r="C223" i="60"/>
  <c r="C235" i="60"/>
  <c r="C247" i="60"/>
  <c r="C259" i="60"/>
  <c r="C271" i="60"/>
  <c r="C283" i="60"/>
  <c r="C295" i="60"/>
  <c r="C307" i="60"/>
  <c r="C319" i="60"/>
  <c r="C331" i="60"/>
  <c r="B343" i="60"/>
  <c r="B351" i="60"/>
  <c r="B359" i="60"/>
  <c r="B367" i="60"/>
  <c r="B375" i="60"/>
  <c r="B383" i="60"/>
  <c r="C390" i="60"/>
  <c r="A390" i="60" s="1"/>
  <c r="C397" i="60"/>
  <c r="A397" i="60" s="1"/>
  <c r="C184" i="60"/>
  <c r="C280" i="60"/>
  <c r="C316" i="60"/>
  <c r="B349" i="60"/>
  <c r="B357" i="60"/>
  <c r="B365" i="60"/>
  <c r="B373" i="60"/>
  <c r="B381" i="60"/>
  <c r="B23" i="60"/>
  <c r="C64" i="60"/>
  <c r="C83" i="60"/>
  <c r="C97" i="60"/>
  <c r="C112" i="60"/>
  <c r="C126" i="60"/>
  <c r="C140" i="60"/>
  <c r="C152" i="60"/>
  <c r="C164" i="60"/>
  <c r="C176" i="60"/>
  <c r="C188" i="60"/>
  <c r="C200" i="60"/>
  <c r="C212" i="60"/>
  <c r="C224" i="60"/>
  <c r="C236" i="60"/>
  <c r="C248" i="60"/>
  <c r="C260" i="60"/>
  <c r="C272" i="60"/>
  <c r="C284" i="60"/>
  <c r="C296" i="60"/>
  <c r="C308" i="60"/>
  <c r="C320" i="60"/>
  <c r="C332" i="60"/>
  <c r="B391" i="60"/>
  <c r="C29" i="60"/>
  <c r="C65" i="60"/>
  <c r="C84" i="60"/>
  <c r="C99" i="60"/>
  <c r="C113" i="60"/>
  <c r="C127" i="60"/>
  <c r="C141" i="60"/>
  <c r="C153" i="60"/>
  <c r="C165" i="60"/>
  <c r="C177" i="60"/>
  <c r="C189" i="60"/>
  <c r="C201" i="60"/>
  <c r="C213" i="60"/>
  <c r="C225" i="60"/>
  <c r="C237" i="60"/>
  <c r="C249" i="60"/>
  <c r="C261" i="60"/>
  <c r="C273" i="60"/>
  <c r="C285" i="60"/>
  <c r="C297" i="60"/>
  <c r="C309" i="60"/>
  <c r="C321" i="60"/>
  <c r="C333" i="60"/>
  <c r="C344" i="60"/>
  <c r="C352" i="60"/>
  <c r="C360" i="60"/>
  <c r="C368" i="60"/>
  <c r="C376" i="60"/>
  <c r="C384" i="60"/>
  <c r="A384" i="60" s="1"/>
  <c r="C398" i="60"/>
  <c r="A398" i="60" s="1"/>
  <c r="C35" i="60"/>
  <c r="C67" i="60"/>
  <c r="C85" i="60"/>
  <c r="C100" i="60"/>
  <c r="C114" i="60"/>
  <c r="C129" i="60"/>
  <c r="C142" i="60"/>
  <c r="C154" i="60"/>
  <c r="C166" i="60"/>
  <c r="C178" i="60"/>
  <c r="C190" i="60"/>
  <c r="C202" i="60"/>
  <c r="C214" i="60"/>
  <c r="C226" i="60"/>
  <c r="C238" i="60"/>
  <c r="C250" i="60"/>
  <c r="C262" i="60"/>
  <c r="C274" i="60"/>
  <c r="C286" i="60"/>
  <c r="C298" i="60"/>
  <c r="C310" i="60"/>
  <c r="C322" i="60"/>
  <c r="C334" i="60"/>
  <c r="B345" i="60"/>
  <c r="B353" i="60"/>
  <c r="B361" i="60"/>
  <c r="B369" i="60"/>
  <c r="B377" i="60"/>
  <c r="B385" i="60"/>
  <c r="C392" i="60"/>
  <c r="A392" i="60" s="1"/>
  <c r="B399" i="60"/>
  <c r="C40" i="60"/>
  <c r="C70" i="60"/>
  <c r="C87" i="60"/>
  <c r="C101" i="60"/>
  <c r="C115" i="60"/>
  <c r="C130" i="60"/>
  <c r="C143" i="60"/>
  <c r="C155" i="60"/>
  <c r="C167" i="60"/>
  <c r="C179" i="60"/>
  <c r="C191" i="60"/>
  <c r="C203" i="60"/>
  <c r="C215" i="60"/>
  <c r="C227" i="60"/>
  <c r="C239" i="60"/>
  <c r="C251" i="60"/>
  <c r="C263" i="60"/>
  <c r="C275" i="60"/>
  <c r="C287" i="60"/>
  <c r="C299" i="60"/>
  <c r="C311" i="60"/>
  <c r="C323" i="60"/>
  <c r="C335" i="60"/>
  <c r="B393" i="60"/>
  <c r="C41" i="60"/>
  <c r="C71" i="60"/>
  <c r="C88" i="60"/>
  <c r="C102" i="60"/>
  <c r="C117" i="60"/>
  <c r="C131" i="60"/>
  <c r="C144" i="60"/>
  <c r="C156" i="60"/>
  <c r="C168" i="60"/>
  <c r="C180" i="60"/>
  <c r="C192" i="60"/>
  <c r="C204" i="60"/>
  <c r="C216" i="60"/>
  <c r="C228" i="60"/>
  <c r="C240" i="60"/>
  <c r="C252" i="60"/>
  <c r="C264" i="60"/>
  <c r="C276" i="60"/>
  <c r="C288" i="60"/>
  <c r="C300" i="60"/>
  <c r="C312" i="60"/>
  <c r="C324" i="60"/>
  <c r="C336" i="60"/>
  <c r="C346" i="60"/>
  <c r="C354" i="60"/>
  <c r="C362" i="60"/>
  <c r="C370" i="60"/>
  <c r="C378" i="60"/>
  <c r="A378" i="60" s="1"/>
  <c r="C386" i="60"/>
  <c r="A386" i="60" s="1"/>
  <c r="C393" i="60"/>
  <c r="A393" i="60" s="1"/>
  <c r="C148" i="60"/>
  <c r="C208" i="60"/>
  <c r="C232" i="60"/>
  <c r="C256" i="60"/>
  <c r="C292" i="60"/>
  <c r="C328" i="60"/>
  <c r="C46" i="60"/>
  <c r="C73" i="60"/>
  <c r="C89" i="60"/>
  <c r="C103" i="60"/>
  <c r="C118" i="60"/>
  <c r="C132" i="60"/>
  <c r="C145" i="60"/>
  <c r="C157" i="60"/>
  <c r="C169" i="60"/>
  <c r="C181" i="60"/>
  <c r="C193" i="60"/>
  <c r="C205" i="60"/>
  <c r="C217" i="60"/>
  <c r="C229" i="60"/>
  <c r="C241" i="60"/>
  <c r="C253" i="60"/>
  <c r="C265" i="60"/>
  <c r="C277" i="60"/>
  <c r="C289" i="60"/>
  <c r="C301" i="60"/>
  <c r="C313" i="60"/>
  <c r="C325" i="60"/>
  <c r="C337" i="60"/>
  <c r="B347" i="60"/>
  <c r="B355" i="60"/>
  <c r="B363" i="60"/>
  <c r="B371" i="60"/>
  <c r="B379" i="60"/>
  <c r="B387" i="60"/>
  <c r="C47" i="60"/>
  <c r="C76" i="60"/>
  <c r="C90" i="60"/>
  <c r="C105" i="60"/>
  <c r="C119" i="60"/>
  <c r="C133" i="60"/>
  <c r="C146" i="60"/>
  <c r="C158" i="60"/>
  <c r="C170" i="60"/>
  <c r="C182" i="60"/>
  <c r="C194" i="60"/>
  <c r="C206" i="60"/>
  <c r="C218" i="60"/>
  <c r="C230" i="60"/>
  <c r="C242" i="60"/>
  <c r="C254" i="60"/>
  <c r="C266" i="60"/>
  <c r="C278" i="60"/>
  <c r="C290" i="60"/>
  <c r="C302" i="60"/>
  <c r="C314" i="60"/>
  <c r="C326" i="60"/>
  <c r="C338" i="60"/>
  <c r="C394" i="60"/>
  <c r="A394" i="60" s="1"/>
  <c r="C53" i="60"/>
  <c r="C78" i="60"/>
  <c r="C93" i="60"/>
  <c r="C107" i="60"/>
  <c r="C121" i="60"/>
  <c r="C136" i="60"/>
  <c r="C160" i="60"/>
  <c r="C172" i="60"/>
  <c r="C196" i="60"/>
  <c r="C220" i="60"/>
  <c r="C244" i="60"/>
  <c r="C268" i="60"/>
  <c r="C304" i="60"/>
  <c r="C340" i="60"/>
  <c r="B389" i="60"/>
  <c r="C52" i="60"/>
  <c r="C77" i="60"/>
  <c r="C91" i="60"/>
  <c r="C106" i="60"/>
  <c r="C120" i="60"/>
  <c r="C135" i="60"/>
  <c r="C147" i="60"/>
  <c r="C159" i="60"/>
  <c r="C171" i="60"/>
  <c r="C183" i="60"/>
  <c r="C195" i="60"/>
  <c r="C207" i="60"/>
  <c r="C219" i="60"/>
  <c r="C231" i="60"/>
  <c r="C243" i="60"/>
  <c r="C255" i="60"/>
  <c r="C267" i="60"/>
  <c r="C279" i="60"/>
  <c r="C291" i="60"/>
  <c r="C303" i="60"/>
  <c r="C315" i="60"/>
  <c r="C327" i="60"/>
  <c r="C339" i="60"/>
  <c r="C348" i="60"/>
  <c r="C356" i="60"/>
  <c r="C364" i="60"/>
  <c r="C372" i="60"/>
  <c r="C380" i="60"/>
  <c r="A380" i="60" s="1"/>
  <c r="C388" i="60"/>
  <c r="A388" i="60" s="1"/>
  <c r="B395" i="60"/>
  <c r="C58" i="60"/>
  <c r="C79" i="60"/>
  <c r="C94" i="60"/>
  <c r="C108" i="60"/>
  <c r="C123" i="60"/>
  <c r="C137" i="60"/>
  <c r="C149" i="60"/>
  <c r="C161" i="60"/>
  <c r="C173" i="60"/>
  <c r="C185" i="60"/>
  <c r="C197" i="60"/>
  <c r="C209" i="60"/>
  <c r="C221" i="60"/>
  <c r="C233" i="60"/>
  <c r="B234" i="66" s="1" a="1"/>
  <c r="B234" i="66" s="1"/>
  <c r="C245" i="60"/>
  <c r="C257" i="60"/>
  <c r="C269" i="60"/>
  <c r="C281" i="60"/>
  <c r="C293" i="60"/>
  <c r="C305" i="60"/>
  <c r="C317" i="60"/>
  <c r="C329" i="60"/>
  <c r="C341" i="60"/>
  <c r="C389" i="60"/>
  <c r="A389" i="60" s="1"/>
  <c r="C396" i="60"/>
  <c r="A396" i="60" s="1"/>
  <c r="D39" i="60" a="1"/>
  <c r="D39" i="60" s="1"/>
  <c r="F42" i="60" a="1"/>
  <c r="F42" i="60" s="1"/>
  <c r="F10" i="60" a="1"/>
  <c r="F10" i="60" s="1"/>
  <c r="E69" i="60" a="1"/>
  <c r="E69" i="60" s="1"/>
  <c r="F44" i="60" a="1"/>
  <c r="F44" i="60" s="1"/>
  <c r="E30" i="60" a="1"/>
  <c r="E30" i="60" s="1"/>
  <c r="E10" i="60" a="1"/>
  <c r="E10" i="60" s="1"/>
  <c r="E63" i="60" a="1"/>
  <c r="E63" i="60" s="1"/>
  <c r="D18" i="60" a="1"/>
  <c r="D18" i="60" s="1"/>
  <c r="F51" i="60" a="1"/>
  <c r="F51" i="60" s="1"/>
  <c r="D55" i="60" a="1"/>
  <c r="D55" i="60" s="1"/>
  <c r="D56" i="60" a="1"/>
  <c r="D56" i="60" s="1"/>
  <c r="F58" i="60" a="1"/>
  <c r="F58" i="60" s="1"/>
  <c r="F35" i="60" a="1"/>
  <c r="F35" i="60" s="1"/>
  <c r="E46" i="60" a="1"/>
  <c r="E46" i="60" s="1"/>
  <c r="F12" i="60" a="1"/>
  <c r="F12" i="60" s="1"/>
  <c r="E71" i="60" a="1"/>
  <c r="E71" i="60" s="1"/>
  <c r="D11" i="60" a="1"/>
  <c r="D11" i="60" s="1"/>
  <c r="D34" i="60" a="1"/>
  <c r="D34" i="60" s="1"/>
  <c r="E12" i="60" a="1"/>
  <c r="E12" i="60" s="1"/>
  <c r="E65" i="60" a="1"/>
  <c r="E65" i="60" s="1"/>
  <c r="F20" i="60" a="1"/>
  <c r="F20" i="60" s="1"/>
  <c r="E22" i="60" a="1"/>
  <c r="E22" i="60" s="1"/>
  <c r="D25" i="60" a="1"/>
  <c r="D25" i="60" s="1"/>
  <c r="E52" i="60" a="1"/>
  <c r="E52" i="60" s="1"/>
  <c r="F60" i="60" a="1"/>
  <c r="F60" i="60" s="1"/>
  <c r="F39" i="60" a="1"/>
  <c r="F39" i="60" s="1"/>
  <c r="F82" i="60" a="1"/>
  <c r="F82" i="60" s="1"/>
  <c r="E11" i="60" a="1"/>
  <c r="E11" i="60" s="1"/>
  <c r="D70" i="60" a="1"/>
  <c r="D70" i="60" s="1"/>
  <c r="F9" i="60" a="1"/>
  <c r="F9" i="60" s="1"/>
  <c r="E62" i="60" a="1"/>
  <c r="E62" i="60" s="1"/>
  <c r="E27" i="60" a="1"/>
  <c r="E27" i="60" s="1"/>
  <c r="D44" i="60" a="1"/>
  <c r="D44" i="60" s="1"/>
  <c r="E13" i="60" a="1"/>
  <c r="E13" i="60" s="1"/>
  <c r="D50" i="60" a="1"/>
  <c r="D50" i="60" s="1"/>
  <c r="F15" i="60" a="1"/>
  <c r="F15" i="60" s="1"/>
  <c r="E73" i="60" a="1"/>
  <c r="E73" i="60" s="1"/>
  <c r="F36" i="60" a="1"/>
  <c r="F36" i="60" s="1"/>
  <c r="E38" i="60" a="1"/>
  <c r="E38" i="60" s="1"/>
  <c r="D41" i="60" a="1"/>
  <c r="D41" i="60" s="1"/>
  <c r="D40" i="60" a="1"/>
  <c r="D40" i="60" s="1"/>
  <c r="D9" i="60" a="1"/>
  <c r="D9" i="60" s="1"/>
  <c r="F55" i="60" a="1"/>
  <c r="F55" i="60" s="1"/>
  <c r="F98" i="60" a="1"/>
  <c r="F98" i="60" s="1"/>
  <c r="F24" i="60" a="1"/>
  <c r="F24" i="60" s="1"/>
  <c r="E33" i="60" a="1"/>
  <c r="E33" i="60" s="1"/>
  <c r="D12" i="60" a="1"/>
  <c r="D12" i="60" s="1"/>
  <c r="F70" i="60" a="1"/>
  <c r="F70" i="60" s="1"/>
  <c r="E43" i="60" a="1"/>
  <c r="E43" i="60" s="1"/>
  <c r="D87" i="60" a="1"/>
  <c r="D87" i="60" s="1"/>
  <c r="D29" i="60" a="1"/>
  <c r="D29" i="60" s="1"/>
  <c r="F11" i="60" a="1"/>
  <c r="F11" i="60" s="1"/>
  <c r="F64" i="60" a="1"/>
  <c r="F64" i="60" s="1"/>
  <c r="F31" i="60" a="1"/>
  <c r="F31" i="60" s="1"/>
  <c r="F61" i="60" a="1"/>
  <c r="F61" i="60" s="1"/>
  <c r="F52" i="60" a="1"/>
  <c r="F52" i="60" s="1"/>
  <c r="E54" i="60" a="1"/>
  <c r="E54" i="60" s="1"/>
  <c r="D7" i="60" a="1"/>
  <c r="D7" i="60" s="1"/>
  <c r="D57" i="60" a="1"/>
  <c r="D57" i="60" s="1"/>
  <c r="F23" i="60" a="1"/>
  <c r="F23" i="60" s="1"/>
  <c r="F67" i="60" a="1"/>
  <c r="F67" i="60" s="1"/>
  <c r="F114" i="60" a="1"/>
  <c r="F114" i="60" s="1"/>
  <c r="F40" i="60" a="1"/>
  <c r="F40" i="60" s="1"/>
  <c r="E84" i="60" a="1"/>
  <c r="E84" i="60" s="1"/>
  <c r="E26" i="60" a="1"/>
  <c r="E26" i="60" s="1"/>
  <c r="E40" i="60" a="1"/>
  <c r="E40" i="60" s="1"/>
  <c r="E59" i="60" a="1"/>
  <c r="E59" i="60" s="1"/>
  <c r="D103" i="60" a="1"/>
  <c r="D103" i="60" s="1"/>
  <c r="D45" i="60" a="1"/>
  <c r="D45" i="60" s="1"/>
  <c r="D14" i="60" a="1"/>
  <c r="D14" i="60" s="1"/>
  <c r="F72" i="60" a="1"/>
  <c r="F72" i="60" s="1"/>
  <c r="F47" i="60" a="1"/>
  <c r="F47" i="60" s="1"/>
  <c r="F90" i="60" a="1"/>
  <c r="F90" i="60" s="1"/>
  <c r="E7" i="60" a="1"/>
  <c r="E7" i="60" s="1"/>
  <c r="D66" i="60" a="1"/>
  <c r="D66" i="60" s="1"/>
  <c r="D8" i="60" a="1"/>
  <c r="D8" i="60" s="1"/>
  <c r="F66" i="60" a="1"/>
  <c r="F66" i="60" s="1"/>
  <c r="E9" i="60" a="1"/>
  <c r="E9" i="60" s="1"/>
  <c r="D68" i="60" a="1"/>
  <c r="D68" i="60" s="1"/>
  <c r="F29" i="60" a="1"/>
  <c r="F29" i="60" s="1"/>
  <c r="D13" i="60" a="1"/>
  <c r="D13" i="60" s="1"/>
  <c r="F130" i="60" a="1"/>
  <c r="F130" i="60" s="1"/>
  <c r="F56" i="60" a="1"/>
  <c r="F56" i="60" s="1"/>
  <c r="E100" i="60" a="1"/>
  <c r="E100" i="60" s="1"/>
  <c r="E42" i="60" a="1"/>
  <c r="E42" i="60" s="1"/>
  <c r="E85" i="60" a="1"/>
  <c r="E85" i="60" s="1"/>
  <c r="F69" i="60" a="1"/>
  <c r="F69" i="60" s="1"/>
  <c r="D119" i="60" a="1"/>
  <c r="D119" i="60" s="1"/>
  <c r="D61" i="60" a="1"/>
  <c r="D61" i="60" s="1"/>
  <c r="D30" i="60" a="1"/>
  <c r="D30" i="60" s="1"/>
  <c r="F54" i="60" a="1"/>
  <c r="F54" i="60" s="1"/>
  <c r="F63" i="60" a="1"/>
  <c r="F63" i="60" s="1"/>
  <c r="F106" i="60" a="1"/>
  <c r="F106" i="60" s="1"/>
  <c r="F16" i="60" a="1"/>
  <c r="F16" i="60" s="1"/>
  <c r="D74" i="60" a="1"/>
  <c r="D74" i="60" s="1"/>
  <c r="E18" i="60" a="1"/>
  <c r="E18" i="60" s="1"/>
  <c r="F74" i="60" a="1"/>
  <c r="F74" i="60" s="1"/>
  <c r="D21" i="60" a="1"/>
  <c r="D21" i="60" s="1"/>
  <c r="D19" i="60" a="1"/>
  <c r="D19" i="60" s="1"/>
  <c r="E116" i="60" a="1"/>
  <c r="E116" i="60" s="1"/>
  <c r="E58" i="60" a="1"/>
  <c r="E58" i="60" s="1"/>
  <c r="E101" i="60" a="1"/>
  <c r="E101" i="60" s="1"/>
  <c r="F17" i="60" a="1"/>
  <c r="F17" i="60" s="1"/>
  <c r="E16" i="60" a="1"/>
  <c r="E16" i="60" s="1"/>
  <c r="E70" i="60" a="1"/>
  <c r="E70" i="60" s="1"/>
  <c r="D46" i="60" a="1"/>
  <c r="D46" i="60" s="1"/>
  <c r="F89" i="60" a="1"/>
  <c r="F89" i="60" s="1"/>
  <c r="F71" i="60" a="1"/>
  <c r="F71" i="60" s="1"/>
  <c r="F122" i="60" a="1"/>
  <c r="F122" i="60" s="1"/>
  <c r="F32" i="60" a="1"/>
  <c r="F32" i="60" s="1"/>
  <c r="E76" i="60" a="1"/>
  <c r="E76" i="60" s="1"/>
  <c r="E34" i="60" a="1"/>
  <c r="E34" i="60" s="1"/>
  <c r="E77" i="60" a="1"/>
  <c r="E77" i="60" s="1"/>
  <c r="D37" i="60" a="1"/>
  <c r="D37" i="60" s="1"/>
  <c r="D80" i="60" a="1"/>
  <c r="D80" i="60" s="1"/>
  <c r="E29" i="60" a="1"/>
  <c r="E29" i="60" s="1"/>
  <c r="D15" i="60" a="1"/>
  <c r="D15" i="60" s="1"/>
  <c r="D69" i="60" a="1"/>
  <c r="D69" i="60" s="1"/>
  <c r="E117" i="60" a="1"/>
  <c r="E117" i="60" s="1"/>
  <c r="F33" i="60" a="1"/>
  <c r="F33" i="60" s="1"/>
  <c r="E78" i="60" a="1"/>
  <c r="E78" i="60" s="1"/>
  <c r="D62" i="60" a="1"/>
  <c r="D62" i="60" s="1"/>
  <c r="F105" i="60" a="1"/>
  <c r="F105" i="60" s="1"/>
  <c r="E21" i="60" a="1"/>
  <c r="E21" i="60" s="1"/>
  <c r="F30" i="60" a="1"/>
  <c r="F30" i="60" s="1"/>
  <c r="F48" i="60" a="1"/>
  <c r="F48" i="60" s="1"/>
  <c r="E92" i="60" a="1"/>
  <c r="E92" i="60" s="1"/>
  <c r="E50" i="60" a="1"/>
  <c r="E50" i="60" s="1"/>
  <c r="E93" i="60" a="1"/>
  <c r="E93" i="60" s="1"/>
  <c r="D53" i="60" a="1"/>
  <c r="D53" i="60" s="1"/>
  <c r="D96" i="60" a="1"/>
  <c r="D96" i="60" s="1"/>
  <c r="D16" i="60" a="1"/>
  <c r="D16" i="60" s="1"/>
  <c r="F49" i="60" a="1"/>
  <c r="F49" i="60" s="1"/>
  <c r="E94" i="60" a="1"/>
  <c r="E94" i="60" s="1"/>
  <c r="D71" i="60" a="1"/>
  <c r="D71" i="60" s="1"/>
  <c r="E37" i="60" a="1"/>
  <c r="E37" i="60" s="1"/>
  <c r="D82" i="60" a="1"/>
  <c r="D82" i="60" s="1"/>
  <c r="E64" i="60" a="1"/>
  <c r="E64" i="60" s="1"/>
  <c r="E108" i="60" a="1"/>
  <c r="E108" i="60" s="1"/>
  <c r="D65" i="60" a="1"/>
  <c r="D65" i="60" s="1"/>
  <c r="E109" i="60" a="1"/>
  <c r="E109" i="60" s="1"/>
  <c r="E66" i="60" a="1"/>
  <c r="E66" i="60" s="1"/>
  <c r="D112" i="60" a="1"/>
  <c r="D112" i="60" s="1"/>
  <c r="E61" i="60" a="1"/>
  <c r="E61" i="60" s="1"/>
  <c r="F27" i="60" a="1"/>
  <c r="F27" i="60" s="1"/>
  <c r="D47" i="60" a="1"/>
  <c r="D47" i="60" s="1"/>
  <c r="D32" i="60" a="1"/>
  <c r="D32" i="60" s="1"/>
  <c r="E15" i="60" a="1"/>
  <c r="E15" i="60" s="1"/>
  <c r="E20" i="60" a="1"/>
  <c r="E20" i="60" s="1"/>
  <c r="E53" i="60" a="1"/>
  <c r="E53" i="60" s="1"/>
  <c r="E72" i="60" a="1"/>
  <c r="E72" i="60" s="1"/>
  <c r="D73" i="60" a="1"/>
  <c r="D73" i="60" s="1"/>
  <c r="E125" i="60" a="1"/>
  <c r="E125" i="60" s="1"/>
  <c r="E74" i="60" a="1"/>
  <c r="E74" i="60" s="1"/>
  <c r="D128" i="60" a="1"/>
  <c r="D128" i="60" s="1"/>
  <c r="E68" i="60" a="1"/>
  <c r="E68" i="60" s="1"/>
  <c r="E45" i="60" a="1"/>
  <c r="E45" i="60" s="1"/>
  <c r="D31" i="60" a="1"/>
  <c r="D31" i="60" s="1"/>
  <c r="F43" i="60" a="1"/>
  <c r="F43" i="60" s="1"/>
  <c r="D63" i="60" a="1"/>
  <c r="D63" i="60" s="1"/>
  <c r="D48" i="60" a="1"/>
  <c r="D48" i="60" s="1"/>
  <c r="E31" i="60" a="1"/>
  <c r="E31" i="60" s="1"/>
  <c r="E36" i="60" a="1"/>
  <c r="E36" i="60" s="1"/>
  <c r="F19" i="60" a="1"/>
  <c r="F19" i="60" s="1"/>
  <c r="D23" i="60" a="1"/>
  <c r="D23" i="60" s="1"/>
  <c r="D24" i="60" a="1"/>
  <c r="D24" i="60" s="1"/>
  <c r="F26" i="60" a="1"/>
  <c r="F26" i="60" s="1"/>
  <c r="G2" i="60"/>
  <c r="F8" i="60" a="1"/>
  <c r="F8" i="60" s="1"/>
  <c r="F18" i="60" a="1"/>
  <c r="F18" i="60" s="1"/>
  <c r="D33" i="60" a="1"/>
  <c r="D33" i="60" s="1"/>
  <c r="D51" i="60" a="1"/>
  <c r="D51" i="60" s="1"/>
  <c r="D127" i="60" a="1"/>
  <c r="D127" i="60" s="1"/>
  <c r="F76" i="60" a="1"/>
  <c r="F76" i="60" s="1"/>
  <c r="D97" i="60" a="1"/>
  <c r="D97" i="60" s="1"/>
  <c r="D113" i="60" a="1"/>
  <c r="D113" i="60" s="1"/>
  <c r="D129" i="60" a="1"/>
  <c r="D129" i="60" s="1"/>
  <c r="E56" i="60" a="1"/>
  <c r="E56" i="60" s="1"/>
  <c r="E89" i="60" a="1"/>
  <c r="E89" i="60" s="1"/>
  <c r="E105" i="60" a="1"/>
  <c r="E105" i="60" s="1"/>
  <c r="E121" i="60" a="1"/>
  <c r="E121" i="60" s="1"/>
  <c r="E57" i="60" a="1"/>
  <c r="E57" i="60" s="1"/>
  <c r="F134" i="60" a="1"/>
  <c r="F134" i="60" s="1"/>
  <c r="D144" i="60" a="1"/>
  <c r="D144" i="60" s="1"/>
  <c r="D152" i="60" a="1"/>
  <c r="D152" i="60" s="1"/>
  <c r="D160" i="60" a="1"/>
  <c r="D160" i="60" s="1"/>
  <c r="E99" i="60" a="1"/>
  <c r="E99" i="60" s="1"/>
  <c r="E82" i="60" a="1"/>
  <c r="E82" i="60" s="1"/>
  <c r="F137" i="60" a="1"/>
  <c r="F137" i="60" s="1"/>
  <c r="F145" i="60" a="1"/>
  <c r="F145" i="60" s="1"/>
  <c r="F153" i="60" a="1"/>
  <c r="F153" i="60" s="1"/>
  <c r="F161" i="60" a="1"/>
  <c r="F161" i="60" s="1"/>
  <c r="E166" i="60" a="1"/>
  <c r="E166" i="60" s="1"/>
  <c r="E182" i="60" a="1"/>
  <c r="E182" i="60" s="1"/>
  <c r="E198" i="60" a="1"/>
  <c r="E198" i="60" s="1"/>
  <c r="E214" i="60" a="1"/>
  <c r="E214" i="60" s="1"/>
  <c r="E230" i="60" a="1"/>
  <c r="E230" i="60" s="1"/>
  <c r="E246" i="60" a="1"/>
  <c r="E246" i="60" s="1"/>
  <c r="E262" i="60" a="1"/>
  <c r="E262" i="60" s="1"/>
  <c r="E278" i="60" a="1"/>
  <c r="E278" i="60" s="1"/>
  <c r="E294" i="60" a="1"/>
  <c r="E294" i="60" s="1"/>
  <c r="E168" i="60" a="1"/>
  <c r="E168" i="60" s="1"/>
  <c r="E184" i="60" a="1"/>
  <c r="E184" i="60" s="1"/>
  <c r="E200" i="60" a="1"/>
  <c r="E200" i="60" s="1"/>
  <c r="E216" i="60" a="1"/>
  <c r="E216" i="60" s="1"/>
  <c r="E232" i="60" a="1"/>
  <c r="E232" i="60" s="1"/>
  <c r="E248" i="60" a="1"/>
  <c r="E248" i="60" s="1"/>
  <c r="E264" i="60" a="1"/>
  <c r="E264" i="60" s="1"/>
  <c r="E280" i="60" a="1"/>
  <c r="E280" i="60" s="1"/>
  <c r="E296" i="60" a="1"/>
  <c r="E296" i="60" s="1"/>
  <c r="E169" i="60" a="1"/>
  <c r="E169" i="60" s="1"/>
  <c r="E185" i="60" a="1"/>
  <c r="E185" i="60" s="1"/>
  <c r="E201" i="60" a="1"/>
  <c r="E201" i="60" s="1"/>
  <c r="E217" i="60" a="1"/>
  <c r="E217" i="60" s="1"/>
  <c r="E233" i="60" a="1"/>
  <c r="E233" i="60" s="1"/>
  <c r="E249" i="60" a="1"/>
  <c r="E249" i="60" s="1"/>
  <c r="E265" i="60" a="1"/>
  <c r="E265" i="60" s="1"/>
  <c r="E281" i="60" a="1"/>
  <c r="E281" i="60" s="1"/>
  <c r="E297" i="60" a="1"/>
  <c r="E297" i="60" s="1"/>
  <c r="E204" i="60" a="1"/>
  <c r="E204" i="60" s="1"/>
  <c r="E268" i="60" a="1"/>
  <c r="E268" i="60" s="1"/>
  <c r="D309" i="60" a="1"/>
  <c r="D309" i="60" s="1"/>
  <c r="D325" i="60" a="1"/>
  <c r="D325" i="60" s="1"/>
  <c r="D341" i="60" a="1"/>
  <c r="D341" i="60" s="1"/>
  <c r="F249" i="60" a="1"/>
  <c r="F249" i="60" s="1"/>
  <c r="D339" i="60" a="1"/>
  <c r="D339" i="60" s="1"/>
  <c r="E212" i="60" a="1"/>
  <c r="E212" i="60" s="1"/>
  <c r="E276" i="60" a="1"/>
  <c r="E276" i="60" s="1"/>
  <c r="D311" i="60" a="1"/>
  <c r="D311" i="60" s="1"/>
  <c r="D327" i="60" a="1"/>
  <c r="D327" i="60" s="1"/>
  <c r="D343" i="60" a="1"/>
  <c r="D343" i="60" s="1"/>
  <c r="F288" i="60" a="1"/>
  <c r="F288" i="60" s="1"/>
  <c r="D346" i="60" a="1"/>
  <c r="D346" i="60" s="1"/>
  <c r="E220" i="60" a="1"/>
  <c r="E220" i="60" s="1"/>
  <c r="E284" i="60" a="1"/>
  <c r="E284" i="60" s="1"/>
  <c r="F314" i="60" a="1"/>
  <c r="F314" i="60" s="1"/>
  <c r="F330" i="60" a="1"/>
  <c r="F330" i="60" s="1"/>
  <c r="F346" i="60" a="1"/>
  <c r="F346" i="60" s="1"/>
  <c r="D278" i="60" a="1"/>
  <c r="D278" i="60" s="1"/>
  <c r="F340" i="60" a="1"/>
  <c r="F340" i="60" s="1"/>
  <c r="D6" i="60" a="1"/>
  <c r="D6" i="60" s="1"/>
  <c r="D10" i="60" a="1"/>
  <c r="D10" i="60" s="1"/>
  <c r="F25" i="60" a="1"/>
  <c r="F25" i="60" s="1"/>
  <c r="E39" i="60" a="1"/>
  <c r="E39" i="60" s="1"/>
  <c r="D79" i="60" a="1"/>
  <c r="D79" i="60" s="1"/>
  <c r="F129" i="60" a="1"/>
  <c r="F129" i="60" s="1"/>
  <c r="E79" i="60" a="1"/>
  <c r="E79" i="60" s="1"/>
  <c r="D98" i="60" a="1"/>
  <c r="D98" i="60" s="1"/>
  <c r="D114" i="60" a="1"/>
  <c r="D114" i="60" s="1"/>
  <c r="D130" i="60" a="1"/>
  <c r="D130" i="60" s="1"/>
  <c r="D60" i="60" a="1"/>
  <c r="D60" i="60" s="1"/>
  <c r="D91" i="60" a="1"/>
  <c r="D91" i="60" s="1"/>
  <c r="D107" i="60" a="1"/>
  <c r="D107" i="60" s="1"/>
  <c r="D123" i="60" a="1"/>
  <c r="D123" i="60" s="1"/>
  <c r="D77" i="60" a="1"/>
  <c r="D77" i="60" s="1"/>
  <c r="E136" i="60" a="1"/>
  <c r="E136" i="60" s="1"/>
  <c r="F144" i="60" a="1"/>
  <c r="F144" i="60" s="1"/>
  <c r="F152" i="60" a="1"/>
  <c r="F152" i="60" s="1"/>
  <c r="F160" i="60" a="1"/>
  <c r="F160" i="60" s="1"/>
  <c r="E106" i="60" a="1"/>
  <c r="E106" i="60" s="1"/>
  <c r="D86" i="60" a="1"/>
  <c r="D86" i="60" s="1"/>
  <c r="E138" i="60" a="1"/>
  <c r="E138" i="60" s="1"/>
  <c r="E146" i="60" a="1"/>
  <c r="E146" i="60" s="1"/>
  <c r="E154" i="60" a="1"/>
  <c r="E154" i="60" s="1"/>
  <c r="E162" i="60" a="1"/>
  <c r="E162" i="60" s="1"/>
  <c r="D168" i="60" a="1"/>
  <c r="D168" i="60" s="1"/>
  <c r="D184" i="60" a="1"/>
  <c r="D184" i="60" s="1"/>
  <c r="D200" i="60" a="1"/>
  <c r="D200" i="60" s="1"/>
  <c r="D216" i="60" a="1"/>
  <c r="D216" i="60" s="1"/>
  <c r="D232" i="60" a="1"/>
  <c r="D232" i="60" s="1"/>
  <c r="D248" i="60" a="1"/>
  <c r="D248" i="60" s="1"/>
  <c r="D264" i="60" a="1"/>
  <c r="D264" i="60" s="1"/>
  <c r="D280" i="60" a="1"/>
  <c r="D280" i="60" s="1"/>
  <c r="D296" i="60" a="1"/>
  <c r="D296" i="60" s="1"/>
  <c r="D170" i="60" a="1"/>
  <c r="D170" i="60" s="1"/>
  <c r="D186" i="60" a="1"/>
  <c r="D186" i="60" s="1"/>
  <c r="D202" i="60" a="1"/>
  <c r="D202" i="60" s="1"/>
  <c r="D218" i="60" a="1"/>
  <c r="D218" i="60" s="1"/>
  <c r="D234" i="60" a="1"/>
  <c r="D234" i="60" s="1"/>
  <c r="D250" i="60" a="1"/>
  <c r="D250" i="60" s="1"/>
  <c r="D266" i="60" a="1"/>
  <c r="D266" i="60" s="1"/>
  <c r="D282" i="60" a="1"/>
  <c r="D282" i="60" s="1"/>
  <c r="D298" i="60" a="1"/>
  <c r="D298" i="60" s="1"/>
  <c r="E170" i="60" a="1"/>
  <c r="E170" i="60" s="1"/>
  <c r="E186" i="60" a="1"/>
  <c r="E186" i="60" s="1"/>
  <c r="E202" i="60" a="1"/>
  <c r="E202" i="60" s="1"/>
  <c r="E218" i="60" a="1"/>
  <c r="E218" i="60" s="1"/>
  <c r="E234" i="60" a="1"/>
  <c r="E234" i="60" s="1"/>
  <c r="E250" i="60" a="1"/>
  <c r="E250" i="60" s="1"/>
  <c r="E266" i="60" a="1"/>
  <c r="E266" i="60" s="1"/>
  <c r="E282" i="60" a="1"/>
  <c r="E282" i="60" s="1"/>
  <c r="E298" i="60" a="1"/>
  <c r="E298" i="60" s="1"/>
  <c r="E211" i="60" a="1"/>
  <c r="E211" i="60" s="1"/>
  <c r="E275" i="60" a="1"/>
  <c r="E275" i="60" s="1"/>
  <c r="F310" i="60" a="1"/>
  <c r="F310" i="60" s="1"/>
  <c r="F326" i="60" a="1"/>
  <c r="F326" i="60" s="1"/>
  <c r="F342" i="60" a="1"/>
  <c r="F342" i="60" s="1"/>
  <c r="E267" i="60" a="1"/>
  <c r="E267" i="60" s="1"/>
  <c r="F341" i="60" a="1"/>
  <c r="F341" i="60" s="1"/>
  <c r="E219" i="60" a="1"/>
  <c r="E219" i="60" s="1"/>
  <c r="E19" i="60" a="1"/>
  <c r="E19" i="60" s="1"/>
  <c r="E28" i="60" a="1"/>
  <c r="E28" i="60" s="1"/>
  <c r="D42" i="60" a="1"/>
  <c r="D42" i="60" s="1"/>
  <c r="F81" i="60" a="1"/>
  <c r="F81" i="60" s="1"/>
  <c r="E132" i="60" a="1"/>
  <c r="E132" i="60" s="1"/>
  <c r="D81" i="60" a="1"/>
  <c r="D81" i="60" s="1"/>
  <c r="F99" i="60" a="1"/>
  <c r="F99" i="60" s="1"/>
  <c r="F115" i="60" a="1"/>
  <c r="F115" i="60" s="1"/>
  <c r="F131" i="60" a="1"/>
  <c r="F131" i="60" s="1"/>
  <c r="D76" i="60" a="1"/>
  <c r="D76" i="60" s="1"/>
  <c r="D92" i="60" a="1"/>
  <c r="D92" i="60" s="1"/>
  <c r="D108" i="60" a="1"/>
  <c r="D108" i="60" s="1"/>
  <c r="D124" i="60" a="1"/>
  <c r="D124" i="60" s="1"/>
  <c r="F80" i="60" a="1"/>
  <c r="F80" i="60" s="1"/>
  <c r="E137" i="60" a="1"/>
  <c r="E137" i="60" s="1"/>
  <c r="E145" i="60" a="1"/>
  <c r="E145" i="60" s="1"/>
  <c r="E153" i="60" a="1"/>
  <c r="E153" i="60" s="1"/>
  <c r="E161" i="60" a="1"/>
  <c r="E161" i="60" s="1"/>
  <c r="D110" i="60" a="1"/>
  <c r="D110" i="60" s="1"/>
  <c r="D93" i="60" a="1"/>
  <c r="D93" i="60" s="1"/>
  <c r="D139" i="60" a="1"/>
  <c r="D139" i="60" s="1"/>
  <c r="D147" i="60" a="1"/>
  <c r="D147" i="60" s="1"/>
  <c r="D155" i="60" a="1"/>
  <c r="D155" i="60" s="1"/>
  <c r="D163" i="60" a="1"/>
  <c r="D163" i="60" s="1"/>
  <c r="D169" i="60" a="1"/>
  <c r="D169" i="60" s="1"/>
  <c r="D185" i="60" a="1"/>
  <c r="D185" i="60" s="1"/>
  <c r="D201" i="60" a="1"/>
  <c r="D201" i="60" s="1"/>
  <c r="D217" i="60" a="1"/>
  <c r="D217" i="60" s="1"/>
  <c r="D233" i="60" a="1"/>
  <c r="D233" i="60" s="1"/>
  <c r="D249" i="60" a="1"/>
  <c r="D249" i="60" s="1"/>
  <c r="D265" i="60" a="1"/>
  <c r="D265" i="60" s="1"/>
  <c r="D281" i="60" a="1"/>
  <c r="D281" i="60" s="1"/>
  <c r="D297" i="60" a="1"/>
  <c r="D297" i="60" s="1"/>
  <c r="D171" i="60" a="1"/>
  <c r="D171" i="60" s="1"/>
  <c r="D187" i="60" a="1"/>
  <c r="D187" i="60" s="1"/>
  <c r="D203" i="60" a="1"/>
  <c r="D203" i="60" s="1"/>
  <c r="D219" i="60" a="1"/>
  <c r="D219" i="60" s="1"/>
  <c r="D235" i="60" a="1"/>
  <c r="D235" i="60" s="1"/>
  <c r="D251" i="60" a="1"/>
  <c r="D251" i="60" s="1"/>
  <c r="D267" i="60" a="1"/>
  <c r="D267" i="60" s="1"/>
  <c r="D283" i="60" a="1"/>
  <c r="D283" i="60" s="1"/>
  <c r="D299" i="60" a="1"/>
  <c r="D299" i="60" s="1"/>
  <c r="D172" i="60" a="1"/>
  <c r="D172" i="60" s="1"/>
  <c r="D188" i="60" a="1"/>
  <c r="D188" i="60" s="1"/>
  <c r="D204" i="60" a="1"/>
  <c r="D204" i="60" s="1"/>
  <c r="D220" i="60" a="1"/>
  <c r="D220" i="60" s="1"/>
  <c r="D236" i="60" a="1"/>
  <c r="D236" i="60" s="1"/>
  <c r="D252" i="60" a="1"/>
  <c r="D252" i="60" s="1"/>
  <c r="D268" i="60" a="1"/>
  <c r="D268" i="60" s="1"/>
  <c r="D284" i="60" a="1"/>
  <c r="D284" i="60" s="1"/>
  <c r="D300" i="60" a="1"/>
  <c r="D300" i="60" s="1"/>
  <c r="D215" i="60" a="1"/>
  <c r="D215" i="60" s="1"/>
  <c r="D279" i="60" a="1"/>
  <c r="D279" i="60" s="1"/>
  <c r="F311" i="60" a="1"/>
  <c r="F311" i="60" s="1"/>
  <c r="F327" i="60" a="1"/>
  <c r="F327" i="60" s="1"/>
  <c r="F343" i="60" a="1"/>
  <c r="F343" i="60" s="1"/>
  <c r="F281" i="60" a="1"/>
  <c r="F281" i="60" s="1"/>
  <c r="D347" i="60" a="1"/>
  <c r="D347" i="60" s="1"/>
  <c r="D223" i="60" a="1"/>
  <c r="D223" i="60" s="1"/>
  <c r="D287" i="60" a="1"/>
  <c r="D287" i="60" s="1"/>
  <c r="F313" i="60" a="1"/>
  <c r="F313" i="60" s="1"/>
  <c r="F329" i="60" a="1"/>
  <c r="F329" i="60" s="1"/>
  <c r="F345" i="60" a="1"/>
  <c r="F345" i="60" s="1"/>
  <c r="D307" i="60" a="1"/>
  <c r="D307" i="60" s="1"/>
  <c r="D22" i="60" a="1"/>
  <c r="D22" i="60" s="1"/>
  <c r="F34" i="60" a="1"/>
  <c r="F34" i="60" s="1"/>
  <c r="D49" i="60" a="1"/>
  <c r="D49" i="60" s="1"/>
  <c r="D88" i="60" a="1"/>
  <c r="D88" i="60" s="1"/>
  <c r="E133" i="60" a="1"/>
  <c r="E133" i="60" s="1"/>
  <c r="F83" i="60" a="1"/>
  <c r="F83" i="60" s="1"/>
  <c r="F100" i="60" a="1"/>
  <c r="F100" i="60" s="1"/>
  <c r="F116" i="60" a="1"/>
  <c r="F116" i="60" s="1"/>
  <c r="F132" i="60" a="1"/>
  <c r="F132" i="60" s="1"/>
  <c r="F77" i="60" a="1"/>
  <c r="F77" i="60" s="1"/>
  <c r="F93" i="60" a="1"/>
  <c r="F93" i="60" s="1"/>
  <c r="F109" i="60" a="1"/>
  <c r="F109" i="60" s="1"/>
  <c r="F125" i="60" a="1"/>
  <c r="F125" i="60" s="1"/>
  <c r="F87" i="60" a="1"/>
  <c r="F87" i="60" s="1"/>
  <c r="D138" i="60" a="1"/>
  <c r="D138" i="60" s="1"/>
  <c r="D146" i="60" a="1"/>
  <c r="D146" i="60" s="1"/>
  <c r="D154" i="60" a="1"/>
  <c r="D154" i="60" s="1"/>
  <c r="D162" i="60" a="1"/>
  <c r="D162" i="60" s="1"/>
  <c r="D117" i="60" a="1"/>
  <c r="D117" i="60" s="1"/>
  <c r="F96" i="60" a="1"/>
  <c r="F96" i="60" s="1"/>
  <c r="F139" i="60" a="1"/>
  <c r="F139" i="60" s="1"/>
  <c r="F147" i="60" a="1"/>
  <c r="F147" i="60" s="1"/>
  <c r="F155" i="60" a="1"/>
  <c r="F155" i="60" s="1"/>
  <c r="F163" i="60" a="1"/>
  <c r="F163" i="60" s="1"/>
  <c r="F170" i="60" a="1"/>
  <c r="F170" i="60" s="1"/>
  <c r="F186" i="60" a="1"/>
  <c r="F186" i="60" s="1"/>
  <c r="F202" i="60" a="1"/>
  <c r="F202" i="60" s="1"/>
  <c r="F218" i="60" a="1"/>
  <c r="F218" i="60" s="1"/>
  <c r="F234" i="60" a="1"/>
  <c r="F234" i="60" s="1"/>
  <c r="F250" i="60" a="1"/>
  <c r="F250" i="60" s="1"/>
  <c r="F266" i="60" a="1"/>
  <c r="F266" i="60" s="1"/>
  <c r="F282" i="60" a="1"/>
  <c r="F282" i="60" s="1"/>
  <c r="F298" i="60" a="1"/>
  <c r="F298" i="60" s="1"/>
  <c r="F172" i="60" a="1"/>
  <c r="F172" i="60" s="1"/>
  <c r="F188" i="60" a="1"/>
  <c r="F188" i="60" s="1"/>
  <c r="F204" i="60" a="1"/>
  <c r="F204" i="60" s="1"/>
  <c r="F220" i="60" a="1"/>
  <c r="F220" i="60" s="1"/>
  <c r="F236" i="60" a="1"/>
  <c r="F236" i="60" s="1"/>
  <c r="F252" i="60" a="1"/>
  <c r="F252" i="60" s="1"/>
  <c r="F268" i="60" a="1"/>
  <c r="F268" i="60" s="1"/>
  <c r="F284" i="60" a="1"/>
  <c r="F284" i="60" s="1"/>
  <c r="F300" i="60" a="1"/>
  <c r="F300" i="60" s="1"/>
  <c r="D173" i="60" a="1"/>
  <c r="D173" i="60" s="1"/>
  <c r="D189" i="60" a="1"/>
  <c r="D189" i="60" s="1"/>
  <c r="D205" i="60" a="1"/>
  <c r="D205" i="60" s="1"/>
  <c r="D221" i="60" a="1"/>
  <c r="D221" i="60" s="1"/>
  <c r="D237" i="60" a="1"/>
  <c r="D237" i="60" s="1"/>
  <c r="D253" i="60" a="1"/>
  <c r="D253" i="60" s="1"/>
  <c r="D269" i="60" a="1"/>
  <c r="D269" i="60" s="1"/>
  <c r="D285" i="60" a="1"/>
  <c r="D285" i="60" s="1"/>
  <c r="D301" i="60" a="1"/>
  <c r="D301" i="60" s="1"/>
  <c r="D222" i="60" a="1"/>
  <c r="D222" i="60" s="1"/>
  <c r="D286" i="60" a="1"/>
  <c r="D286" i="60" s="1"/>
  <c r="E313" i="60" a="1"/>
  <c r="E313" i="60" s="1"/>
  <c r="E329" i="60" a="1"/>
  <c r="E329" i="60" s="1"/>
  <c r="E345" i="60" a="1"/>
  <c r="E345" i="60" s="1"/>
  <c r="E303" i="60" a="1"/>
  <c r="E303" i="60" s="1"/>
  <c r="D166" i="60" a="1"/>
  <c r="D166" i="60" s="1"/>
  <c r="D230" i="60" a="1"/>
  <c r="D230" i="60" s="1"/>
  <c r="D294" i="60" a="1"/>
  <c r="D294" i="60" s="1"/>
  <c r="E35" i="60" a="1"/>
  <c r="E35" i="60" s="1"/>
  <c r="F41" i="60" a="1"/>
  <c r="F41" i="60" s="1"/>
  <c r="E55" i="60" a="1"/>
  <c r="E55" i="60" s="1"/>
  <c r="D95" i="60" a="1"/>
  <c r="D95" i="60" s="1"/>
  <c r="D20" i="60" a="1"/>
  <c r="D20" i="60" s="1"/>
  <c r="F84" i="60" a="1"/>
  <c r="F84" i="60" s="1"/>
  <c r="E102" i="60" a="1"/>
  <c r="E102" i="60" s="1"/>
  <c r="E118" i="60" a="1"/>
  <c r="E118" i="60" s="1"/>
  <c r="F13" i="60" a="1"/>
  <c r="F13" i="60" s="1"/>
  <c r="F78" i="60" a="1"/>
  <c r="F78" i="60" s="1"/>
  <c r="F94" i="60" a="1"/>
  <c r="F94" i="60" s="1"/>
  <c r="F110" i="60" a="1"/>
  <c r="F110" i="60" s="1"/>
  <c r="F126" i="60" a="1"/>
  <c r="F126" i="60" s="1"/>
  <c r="E91" i="60" a="1"/>
  <c r="E91" i="60" s="1"/>
  <c r="F138" i="60" a="1"/>
  <c r="F138" i="60" s="1"/>
  <c r="F146" i="60" a="1"/>
  <c r="F146" i="60" s="1"/>
  <c r="F154" i="60" a="1"/>
  <c r="F154" i="60" s="1"/>
  <c r="F162" i="60" a="1"/>
  <c r="F162" i="60" s="1"/>
  <c r="F120" i="60" a="1"/>
  <c r="F120" i="60" s="1"/>
  <c r="F103" i="60" a="1"/>
  <c r="F103" i="60" s="1"/>
  <c r="E140" i="60" a="1"/>
  <c r="E140" i="60" s="1"/>
  <c r="E148" i="60" a="1"/>
  <c r="E148" i="60" s="1"/>
  <c r="E156" i="60" a="1"/>
  <c r="E156" i="60" s="1"/>
  <c r="E164" i="60" a="1"/>
  <c r="E164" i="60" s="1"/>
  <c r="F171" i="60" a="1"/>
  <c r="F171" i="60" s="1"/>
  <c r="F187" i="60" a="1"/>
  <c r="F187" i="60" s="1"/>
  <c r="F203" i="60" a="1"/>
  <c r="F203" i="60" s="1"/>
  <c r="F219" i="60" a="1"/>
  <c r="F219" i="60" s="1"/>
  <c r="F235" i="60" a="1"/>
  <c r="F235" i="60" s="1"/>
  <c r="F251" i="60" a="1"/>
  <c r="F251" i="60" s="1"/>
  <c r="F267" i="60" a="1"/>
  <c r="F267" i="60" s="1"/>
  <c r="F283" i="60" a="1"/>
  <c r="F283" i="60" s="1"/>
  <c r="F299" i="60" a="1"/>
  <c r="F299" i="60" s="1"/>
  <c r="F173" i="60" a="1"/>
  <c r="F173" i="60" s="1"/>
  <c r="F189" i="60" a="1"/>
  <c r="F189" i="60" s="1"/>
  <c r="F205" i="60" a="1"/>
  <c r="F205" i="60" s="1"/>
  <c r="F221" i="60" a="1"/>
  <c r="F221" i="60" s="1"/>
  <c r="F237" i="60" a="1"/>
  <c r="F237" i="60" s="1"/>
  <c r="F253" i="60" a="1"/>
  <c r="F253" i="60" s="1"/>
  <c r="F269" i="60" a="1"/>
  <c r="F269" i="60" s="1"/>
  <c r="F285" i="60" a="1"/>
  <c r="F285" i="60" s="1"/>
  <c r="F301" i="60" a="1"/>
  <c r="F301" i="60" s="1"/>
  <c r="F174" i="60" a="1"/>
  <c r="F174" i="60" s="1"/>
  <c r="F190" i="60" a="1"/>
  <c r="F190" i="60" s="1"/>
  <c r="F206" i="60" a="1"/>
  <c r="F206" i="60" s="1"/>
  <c r="F222" i="60" a="1"/>
  <c r="F222" i="60" s="1"/>
  <c r="F238" i="60" a="1"/>
  <c r="F238" i="60" s="1"/>
  <c r="F254" i="60" a="1"/>
  <c r="F254" i="60" s="1"/>
  <c r="F270" i="60" a="1"/>
  <c r="F270" i="60" s="1"/>
  <c r="F286" i="60" a="1"/>
  <c r="F286" i="60" s="1"/>
  <c r="F164" i="60" a="1"/>
  <c r="F164" i="60" s="1"/>
  <c r="F225" i="60" a="1"/>
  <c r="F225" i="60" s="1"/>
  <c r="F289" i="60" a="1"/>
  <c r="F289" i="60" s="1"/>
  <c r="E314" i="60" a="1"/>
  <c r="E314" i="60" s="1"/>
  <c r="E330" i="60" a="1"/>
  <c r="E330" i="60" s="1"/>
  <c r="E346" i="60" a="1"/>
  <c r="E346" i="60" s="1"/>
  <c r="D306" i="60" a="1"/>
  <c r="D306" i="60" s="1"/>
  <c r="F169" i="60" a="1"/>
  <c r="F169" i="60" s="1"/>
  <c r="F233" i="60" a="1"/>
  <c r="F233" i="60" s="1"/>
  <c r="F297" i="60" a="1"/>
  <c r="F297" i="60" s="1"/>
  <c r="E316" i="60" a="1"/>
  <c r="E316" i="60" s="1"/>
  <c r="E332" i="60" a="1"/>
  <c r="E332" i="60" s="1"/>
  <c r="E171" i="60" a="1"/>
  <c r="E171" i="60" s="1"/>
  <c r="D315" i="60" a="1"/>
  <c r="D315" i="60" s="1"/>
  <c r="F177" i="60" a="1"/>
  <c r="F177" i="60" s="1"/>
  <c r="F241" i="60" a="1"/>
  <c r="F241" i="60" s="1"/>
  <c r="D304" i="60" a="1"/>
  <c r="D304" i="60" s="1"/>
  <c r="D320" i="60" a="1"/>
  <c r="D320" i="60" s="1"/>
  <c r="D336" i="60" a="1"/>
  <c r="D336" i="60" s="1"/>
  <c r="F349" i="60" a="1"/>
  <c r="F349" i="60" s="1"/>
  <c r="F308" i="60" a="1"/>
  <c r="F308" i="60" s="1"/>
  <c r="E4" i="60" a="1"/>
  <c r="E4" i="60" s="1"/>
  <c r="F354" i="60" a="1"/>
  <c r="F354" i="60" s="1"/>
  <c r="D38" i="60" a="1"/>
  <c r="D38" i="60" s="1"/>
  <c r="E44" i="60" a="1"/>
  <c r="E44" i="60" s="1"/>
  <c r="D58" i="60" a="1"/>
  <c r="D58" i="60" s="1"/>
  <c r="F97" i="60" a="1"/>
  <c r="F97" i="60" s="1"/>
  <c r="D27" i="60" a="1"/>
  <c r="D27" i="60" s="1"/>
  <c r="E86" i="60" a="1"/>
  <c r="E86" i="60" s="1"/>
  <c r="E103" i="60" a="1"/>
  <c r="E103" i="60" s="1"/>
  <c r="E119" i="60" a="1"/>
  <c r="E119" i="60" s="1"/>
  <c r="E17" i="60" a="1"/>
  <c r="E17" i="60" s="1"/>
  <c r="E80" i="60" a="1"/>
  <c r="E80" i="60" s="1"/>
  <c r="E96" i="60" a="1"/>
  <c r="E96" i="60" s="1"/>
  <c r="E112" i="60" a="1"/>
  <c r="E112" i="60" s="1"/>
  <c r="E128" i="60" a="1"/>
  <c r="E128" i="60" s="1"/>
  <c r="E98" i="60" a="1"/>
  <c r="E98" i="60" s="1"/>
  <c r="E139" i="60" a="1"/>
  <c r="E139" i="60" s="1"/>
  <c r="E147" i="60" a="1"/>
  <c r="E147" i="60" s="1"/>
  <c r="E155" i="60" a="1"/>
  <c r="E155" i="60" s="1"/>
  <c r="E163" i="60" a="1"/>
  <c r="E163" i="60" s="1"/>
  <c r="F127" i="60" a="1"/>
  <c r="F127" i="60" s="1"/>
  <c r="E107" i="60" a="1"/>
  <c r="E107" i="60" s="1"/>
  <c r="D141" i="60" a="1"/>
  <c r="D141" i="60" s="1"/>
  <c r="D149" i="60" a="1"/>
  <c r="D149" i="60" s="1"/>
  <c r="D157" i="60" a="1"/>
  <c r="D157" i="60" s="1"/>
  <c r="D165" i="60" a="1"/>
  <c r="D165" i="60" s="1"/>
  <c r="E173" i="60" a="1"/>
  <c r="E173" i="60" s="1"/>
  <c r="E189" i="60" a="1"/>
  <c r="E189" i="60" s="1"/>
  <c r="E205" i="60" a="1"/>
  <c r="E205" i="60" s="1"/>
  <c r="E221" i="60" a="1"/>
  <c r="E221" i="60" s="1"/>
  <c r="E237" i="60" a="1"/>
  <c r="E237" i="60" s="1"/>
  <c r="E253" i="60" a="1"/>
  <c r="E253" i="60" s="1"/>
  <c r="E269" i="60" a="1"/>
  <c r="E269" i="60" s="1"/>
  <c r="E285" i="60" a="1"/>
  <c r="E285" i="60" s="1"/>
  <c r="F79" i="60" a="1"/>
  <c r="F79" i="60" s="1"/>
  <c r="E175" i="60" a="1"/>
  <c r="E175" i="60" s="1"/>
  <c r="E191" i="60" a="1"/>
  <c r="E191" i="60" s="1"/>
  <c r="E207" i="60" a="1"/>
  <c r="E207" i="60" s="1"/>
  <c r="E223" i="60" a="1"/>
  <c r="E223" i="60" s="1"/>
  <c r="E239" i="60" a="1"/>
  <c r="E239" i="60" s="1"/>
  <c r="E255" i="60" a="1"/>
  <c r="E255" i="60" s="1"/>
  <c r="E271" i="60" a="1"/>
  <c r="E271" i="60" s="1"/>
  <c r="E287" i="60" a="1"/>
  <c r="E287" i="60" s="1"/>
  <c r="F53" i="60" a="1"/>
  <c r="F53" i="60" s="1"/>
  <c r="F175" i="60" a="1"/>
  <c r="F175" i="60" s="1"/>
  <c r="F191" i="60" a="1"/>
  <c r="F191" i="60" s="1"/>
  <c r="F207" i="60" a="1"/>
  <c r="F207" i="60" s="1"/>
  <c r="F223" i="60" a="1"/>
  <c r="F223" i="60" s="1"/>
  <c r="F239" i="60" a="1"/>
  <c r="F239" i="60" s="1"/>
  <c r="F255" i="60" a="1"/>
  <c r="F255" i="60" s="1"/>
  <c r="F271" i="60" a="1"/>
  <c r="F271" i="60" s="1"/>
  <c r="F287" i="60" a="1"/>
  <c r="F287" i="60" s="1"/>
  <c r="F168" i="60" a="1"/>
  <c r="F168" i="60" s="1"/>
  <c r="F232" i="60" a="1"/>
  <c r="F232" i="60" s="1"/>
  <c r="F296" i="60" a="1"/>
  <c r="F296" i="60" s="1"/>
  <c r="D316" i="60" a="1"/>
  <c r="D316" i="60" s="1"/>
  <c r="D332" i="60" a="1"/>
  <c r="D332" i="60" s="1"/>
  <c r="D348" i="60" a="1"/>
  <c r="D348" i="60" s="1"/>
  <c r="F309" i="60" a="1"/>
  <c r="F309" i="60" s="1"/>
  <c r="F176" i="60" a="1"/>
  <c r="F176" i="60" s="1"/>
  <c r="F240" i="60" a="1"/>
  <c r="F240" i="60" s="1"/>
  <c r="D302" i="60" a="1"/>
  <c r="D302" i="60" s="1"/>
  <c r="D318" i="60" a="1"/>
  <c r="D318" i="60" s="1"/>
  <c r="D334" i="60" a="1"/>
  <c r="D334" i="60" s="1"/>
  <c r="D182" i="60" a="1"/>
  <c r="D182" i="60" s="1"/>
  <c r="E319" i="60" a="1"/>
  <c r="E319" i="60" s="1"/>
  <c r="F184" i="60" a="1"/>
  <c r="F184" i="60" s="1"/>
  <c r="F248" i="60" a="1"/>
  <c r="F248" i="60" s="1"/>
  <c r="D305" i="60" a="1"/>
  <c r="D305" i="60" s="1"/>
  <c r="D321" i="60" a="1"/>
  <c r="D321" i="60" s="1"/>
  <c r="D337" i="60" a="1"/>
  <c r="D337" i="60" s="1"/>
  <c r="E115" i="60" a="1"/>
  <c r="E115" i="60" s="1"/>
  <c r="E312" i="60" a="1"/>
  <c r="E312" i="60" s="1"/>
  <c r="D5" i="60" a="1"/>
  <c r="D5" i="60" s="1"/>
  <c r="F366" i="60" a="1"/>
  <c r="F366" i="60" s="1"/>
  <c r="E51" i="60" a="1"/>
  <c r="E51" i="60" s="1"/>
  <c r="F50" i="60" a="1"/>
  <c r="F50" i="60" s="1"/>
  <c r="D64" i="60" a="1"/>
  <c r="D64" i="60" s="1"/>
  <c r="D104" i="60" a="1"/>
  <c r="D104" i="60" s="1"/>
  <c r="F37" i="60" a="1"/>
  <c r="F37" i="60" s="1"/>
  <c r="E87" i="60" a="1"/>
  <c r="E87" i="60" s="1"/>
  <c r="D105" i="60" a="1"/>
  <c r="D105" i="60" s="1"/>
  <c r="D121" i="60" a="1"/>
  <c r="D121" i="60" s="1"/>
  <c r="E24" i="60" a="1"/>
  <c r="E24" i="60" s="1"/>
  <c r="E81" i="60" a="1"/>
  <c r="E81" i="60" s="1"/>
  <c r="E97" i="60" a="1"/>
  <c r="E97" i="60" s="1"/>
  <c r="E113" i="60" a="1"/>
  <c r="E113" i="60" s="1"/>
  <c r="E129" i="60" a="1"/>
  <c r="E129" i="60" s="1"/>
  <c r="D102" i="60" a="1"/>
  <c r="D102" i="60" s="1"/>
  <c r="D140" i="60" a="1"/>
  <c r="D140" i="60" s="1"/>
  <c r="D148" i="60" a="1"/>
  <c r="D148" i="60" s="1"/>
  <c r="D156" i="60" a="1"/>
  <c r="D156" i="60" s="1"/>
  <c r="E32" i="60" a="1"/>
  <c r="E32" i="60" s="1"/>
  <c r="E131" i="60" a="1"/>
  <c r="E131" i="60" s="1"/>
  <c r="E114" i="60" a="1"/>
  <c r="E114" i="60" s="1"/>
  <c r="F141" i="60" a="1"/>
  <c r="F141" i="60" s="1"/>
  <c r="F149" i="60" a="1"/>
  <c r="F149" i="60" s="1"/>
  <c r="F157" i="60" a="1"/>
  <c r="F157" i="60" s="1"/>
  <c r="F165" i="60" a="1"/>
  <c r="F165" i="60" s="1"/>
  <c r="E174" i="60" a="1"/>
  <c r="E174" i="60" s="1"/>
  <c r="E190" i="60" a="1"/>
  <c r="E190" i="60" s="1"/>
  <c r="E206" i="60" a="1"/>
  <c r="E206" i="60" s="1"/>
  <c r="E222" i="60" a="1"/>
  <c r="E222" i="60" s="1"/>
  <c r="E238" i="60" a="1"/>
  <c r="E238" i="60" s="1"/>
  <c r="E254" i="60" a="1"/>
  <c r="E254" i="60" s="1"/>
  <c r="E270" i="60" a="1"/>
  <c r="E270" i="60" s="1"/>
  <c r="E286" i="60" a="1"/>
  <c r="E286" i="60" s="1"/>
  <c r="D94" i="60" a="1"/>
  <c r="D94" i="60" s="1"/>
  <c r="E176" i="60" a="1"/>
  <c r="E176" i="60" s="1"/>
  <c r="E192" i="60" a="1"/>
  <c r="E192" i="60" s="1"/>
  <c r="E208" i="60" a="1"/>
  <c r="E208" i="60" s="1"/>
  <c r="E224" i="60" a="1"/>
  <c r="E224" i="60" s="1"/>
  <c r="E240" i="60" a="1"/>
  <c r="E240" i="60" s="1"/>
  <c r="E256" i="60" a="1"/>
  <c r="E256" i="60" s="1"/>
  <c r="E272" i="60" a="1"/>
  <c r="E272" i="60" s="1"/>
  <c r="E288" i="60" a="1"/>
  <c r="E288" i="60" s="1"/>
  <c r="E83" i="60" a="1"/>
  <c r="E83" i="60" s="1"/>
  <c r="E177" i="60" a="1"/>
  <c r="E177" i="60" s="1"/>
  <c r="E193" i="60" a="1"/>
  <c r="E193" i="60" s="1"/>
  <c r="E209" i="60" a="1"/>
  <c r="E209" i="60" s="1"/>
  <c r="E225" i="60" a="1"/>
  <c r="E225" i="60" s="1"/>
  <c r="E241" i="60" a="1"/>
  <c r="E241" i="60" s="1"/>
  <c r="E257" i="60" a="1"/>
  <c r="E257" i="60" s="1"/>
  <c r="E273" i="60" a="1"/>
  <c r="E273" i="60" s="1"/>
  <c r="E289" i="60" a="1"/>
  <c r="E289" i="60" s="1"/>
  <c r="E172" i="60" a="1"/>
  <c r="E172" i="60" s="1"/>
  <c r="E236" i="60" a="1"/>
  <c r="E236" i="60" s="1"/>
  <c r="E300" i="60" a="1"/>
  <c r="E300" i="60" s="1"/>
  <c r="D317" i="60" a="1"/>
  <c r="D317" i="60" s="1"/>
  <c r="D54" i="60" a="1"/>
  <c r="D54" i="60" s="1"/>
  <c r="F57" i="60" a="1"/>
  <c r="F57" i="60" s="1"/>
  <c r="E67" i="60" a="1"/>
  <c r="E67" i="60" s="1"/>
  <c r="D111" i="60" a="1"/>
  <c r="D111" i="60" s="1"/>
  <c r="E41" i="60" a="1"/>
  <c r="E41" i="60" s="1"/>
  <c r="D89" i="60" a="1"/>
  <c r="D89" i="60" s="1"/>
  <c r="D106" i="60" a="1"/>
  <c r="D106" i="60" s="1"/>
  <c r="D122" i="60" a="1"/>
  <c r="D122" i="60" s="1"/>
  <c r="D28" i="60" a="1"/>
  <c r="D28" i="60" s="1"/>
  <c r="D83" i="60" a="1"/>
  <c r="D83" i="60" s="1"/>
  <c r="D99" i="60" a="1"/>
  <c r="D99" i="60" s="1"/>
  <c r="D115" i="60" a="1"/>
  <c r="D115" i="60" s="1"/>
  <c r="D131" i="60" a="1"/>
  <c r="D131" i="60" s="1"/>
  <c r="D109" i="60" a="1"/>
  <c r="D109" i="60" s="1"/>
  <c r="F140" i="60" a="1"/>
  <c r="F140" i="60" s="1"/>
  <c r="F148" i="60" a="1"/>
  <c r="F148" i="60" s="1"/>
  <c r="F156" i="60" a="1"/>
  <c r="F156" i="60" s="1"/>
  <c r="F46" i="60" a="1"/>
  <c r="F46" i="60" s="1"/>
  <c r="D134" i="60" a="1"/>
  <c r="D134" i="60" s="1"/>
  <c r="D118" i="60" a="1"/>
  <c r="D118" i="60" s="1"/>
  <c r="E142" i="60" a="1"/>
  <c r="E142" i="60" s="1"/>
  <c r="E150" i="60" a="1"/>
  <c r="E150" i="60" s="1"/>
  <c r="E158" i="60" a="1"/>
  <c r="E158" i="60" s="1"/>
  <c r="E25" i="60" a="1"/>
  <c r="E25" i="60" s="1"/>
  <c r="D176" i="60" a="1"/>
  <c r="D176" i="60" s="1"/>
  <c r="D192" i="60" a="1"/>
  <c r="D192" i="60" s="1"/>
  <c r="D208" i="60" a="1"/>
  <c r="D208" i="60" s="1"/>
  <c r="D224" i="60" a="1"/>
  <c r="D224" i="60" s="1"/>
  <c r="D240" i="60" a="1"/>
  <c r="D240" i="60" s="1"/>
  <c r="D256" i="60" a="1"/>
  <c r="D256" i="60" s="1"/>
  <c r="D272" i="60" a="1"/>
  <c r="D272" i="60" s="1"/>
  <c r="D288" i="60" a="1"/>
  <c r="D288" i="60" s="1"/>
  <c r="E122" i="60" a="1"/>
  <c r="E122" i="60" s="1"/>
  <c r="D178" i="60" a="1"/>
  <c r="D178" i="60" s="1"/>
  <c r="D194" i="60" a="1"/>
  <c r="D194" i="60" s="1"/>
  <c r="D210" i="60" a="1"/>
  <c r="D210" i="60" s="1"/>
  <c r="D226" i="60" a="1"/>
  <c r="D226" i="60" s="1"/>
  <c r="D242" i="60" a="1"/>
  <c r="D242" i="60" s="1"/>
  <c r="D258" i="60" a="1"/>
  <c r="D258" i="60" s="1"/>
  <c r="D274" i="60" a="1"/>
  <c r="D274" i="60" s="1"/>
  <c r="D290" i="60" a="1"/>
  <c r="D290" i="60" s="1"/>
  <c r="F111" i="60" a="1"/>
  <c r="F111" i="60" s="1"/>
  <c r="E178" i="60" a="1"/>
  <c r="E178" i="60" s="1"/>
  <c r="E194" i="60" a="1"/>
  <c r="E194" i="60" s="1"/>
  <c r="E210" i="60" a="1"/>
  <c r="E210" i="60" s="1"/>
  <c r="E226" i="60" a="1"/>
  <c r="E226" i="60" s="1"/>
  <c r="E242" i="60" a="1"/>
  <c r="E242" i="60" s="1"/>
  <c r="E258" i="60" a="1"/>
  <c r="E258" i="60" s="1"/>
  <c r="E274" i="60" a="1"/>
  <c r="E274" i="60" s="1"/>
  <c r="E290" i="60" a="1"/>
  <c r="E290" i="60" s="1"/>
  <c r="E179" i="60" a="1"/>
  <c r="E179" i="60" s="1"/>
  <c r="E243" i="60" a="1"/>
  <c r="E243" i="60" s="1"/>
  <c r="F302" i="60" a="1"/>
  <c r="F302" i="60" s="1"/>
  <c r="F318" i="60" a="1"/>
  <c r="F318" i="60" s="1"/>
  <c r="F334" i="60" a="1"/>
  <c r="F334" i="60" s="1"/>
  <c r="E349" i="60" a="1"/>
  <c r="E349" i="60" s="1"/>
  <c r="F317" i="60" a="1"/>
  <c r="F317" i="60" s="1"/>
  <c r="E187" i="60" a="1"/>
  <c r="E187" i="60" s="1"/>
  <c r="E251" i="60" a="1"/>
  <c r="E251" i="60" s="1"/>
  <c r="F304" i="60" a="1"/>
  <c r="F304" i="60" s="1"/>
  <c r="F320" i="60" a="1"/>
  <c r="F320" i="60" s="1"/>
  <c r="F336" i="60" a="1"/>
  <c r="F336" i="60" s="1"/>
  <c r="D214" i="60" a="1"/>
  <c r="D214" i="60" s="1"/>
  <c r="E327" i="60" a="1"/>
  <c r="E327" i="60" s="1"/>
  <c r="E195" i="60" a="1"/>
  <c r="E195" i="60" s="1"/>
  <c r="E259" i="60" a="1"/>
  <c r="E259" i="60" s="1"/>
  <c r="F307" i="60" a="1"/>
  <c r="F307" i="60" s="1"/>
  <c r="F323" i="60" a="1"/>
  <c r="F323" i="60" s="1"/>
  <c r="F339" i="60" a="1"/>
  <c r="F339" i="60" s="1"/>
  <c r="F192" i="60" a="1"/>
  <c r="F192" i="60" s="1"/>
  <c r="E320" i="60" a="1"/>
  <c r="E320" i="60" s="1"/>
  <c r="E6" i="60" a="1"/>
  <c r="E6" i="60" s="1"/>
  <c r="F361" i="60" a="1"/>
  <c r="F361" i="60" s="1"/>
  <c r="F65" i="60" a="1"/>
  <c r="F65" i="60" s="1"/>
  <c r="E60" i="60" a="1"/>
  <c r="E60" i="60" s="1"/>
  <c r="F68" i="60" a="1"/>
  <c r="F68" i="60" s="1"/>
  <c r="F113" i="60" a="1"/>
  <c r="F113" i="60" s="1"/>
  <c r="E48" i="60" a="1"/>
  <c r="E48" i="60" s="1"/>
  <c r="D90" i="60" a="1"/>
  <c r="D90" i="60" s="1"/>
  <c r="F107" i="60" a="1"/>
  <c r="F107" i="60" s="1"/>
  <c r="F123" i="60" a="1"/>
  <c r="F123" i="60" s="1"/>
  <c r="D35" i="60" a="1"/>
  <c r="D35" i="60" s="1"/>
  <c r="D84" i="60" a="1"/>
  <c r="D84" i="60" s="1"/>
  <c r="D100" i="60" a="1"/>
  <c r="D100" i="60" s="1"/>
  <c r="D116" i="60" a="1"/>
  <c r="D116" i="60" s="1"/>
  <c r="D132" i="60" a="1"/>
  <c r="D132" i="60" s="1"/>
  <c r="F112" i="60" a="1"/>
  <c r="F112" i="60" s="1"/>
  <c r="E141" i="60" a="1"/>
  <c r="E141" i="60" s="1"/>
  <c r="E149" i="60" a="1"/>
  <c r="E149" i="60" s="1"/>
  <c r="E157" i="60" a="1"/>
  <c r="E157" i="60" s="1"/>
  <c r="D78" i="60" a="1"/>
  <c r="D78" i="60" s="1"/>
  <c r="F135" i="60" a="1"/>
  <c r="F135" i="60" s="1"/>
  <c r="D125" i="60" a="1"/>
  <c r="D125" i="60" s="1"/>
  <c r="D143" i="60" a="1"/>
  <c r="D143" i="60" s="1"/>
  <c r="D151" i="60" a="1"/>
  <c r="D151" i="60" s="1"/>
  <c r="D159" i="60" a="1"/>
  <c r="D159" i="60" s="1"/>
  <c r="E90" i="60" a="1"/>
  <c r="E90" i="60" s="1"/>
  <c r="D177" i="60" a="1"/>
  <c r="D177" i="60" s="1"/>
  <c r="D193" i="60" a="1"/>
  <c r="D193" i="60" s="1"/>
  <c r="D209" i="60" a="1"/>
  <c r="D209" i="60" s="1"/>
  <c r="D225" i="60" a="1"/>
  <c r="D225" i="60" s="1"/>
  <c r="D241" i="60" a="1"/>
  <c r="D241" i="60" s="1"/>
  <c r="D257" i="60" a="1"/>
  <c r="D257" i="60" s="1"/>
  <c r="D273" i="60" a="1"/>
  <c r="D273" i="60" s="1"/>
  <c r="D289" i="60" a="1"/>
  <c r="D289" i="60" s="1"/>
  <c r="E134" i="60" a="1"/>
  <c r="E134" i="60" s="1"/>
  <c r="D179" i="60" a="1"/>
  <c r="D179" i="60" s="1"/>
  <c r="D195" i="60" a="1"/>
  <c r="D195" i="60" s="1"/>
  <c r="D211" i="60" a="1"/>
  <c r="D211" i="60" s="1"/>
  <c r="D227" i="60" a="1"/>
  <c r="D227" i="60" s="1"/>
  <c r="D243" i="60" a="1"/>
  <c r="D243" i="60" s="1"/>
  <c r="D259" i="60" a="1"/>
  <c r="D259" i="60" s="1"/>
  <c r="D275" i="60" a="1"/>
  <c r="D275" i="60" s="1"/>
  <c r="D291" i="60" a="1"/>
  <c r="D291" i="60" s="1"/>
  <c r="D126" i="60" a="1"/>
  <c r="D126" i="60" s="1"/>
  <c r="D180" i="60" a="1"/>
  <c r="D180" i="60" s="1"/>
  <c r="D196" i="60" a="1"/>
  <c r="D196" i="60" s="1"/>
  <c r="D212" i="60" a="1"/>
  <c r="D212" i="60" s="1"/>
  <c r="D228" i="60" a="1"/>
  <c r="D228" i="60" s="1"/>
  <c r="D244" i="60" a="1"/>
  <c r="D244" i="60" s="1"/>
  <c r="D260" i="60" a="1"/>
  <c r="D260" i="60" s="1"/>
  <c r="D276" i="60" a="1"/>
  <c r="D276" i="60" s="1"/>
  <c r="D292" i="60" a="1"/>
  <c r="D292" i="60" s="1"/>
  <c r="D183" i="60" a="1"/>
  <c r="D183" i="60" s="1"/>
  <c r="D247" i="60" a="1"/>
  <c r="D247" i="60" s="1"/>
  <c r="F303" i="60" a="1"/>
  <c r="F303" i="60" s="1"/>
  <c r="F319" i="60" a="1"/>
  <c r="F319" i="60" s="1"/>
  <c r="F335" i="60" a="1"/>
  <c r="F335" i="60" s="1"/>
  <c r="F185" i="60" a="1"/>
  <c r="F185" i="60" s="1"/>
  <c r="D322" i="60" a="1"/>
  <c r="D322" i="60" s="1"/>
  <c r="D191" i="60" a="1"/>
  <c r="D191" i="60" s="1"/>
  <c r="D255" i="60" a="1"/>
  <c r="D255" i="60" s="1"/>
  <c r="F305" i="60" a="1"/>
  <c r="F305" i="60" s="1"/>
  <c r="F321" i="60" a="1"/>
  <c r="F321" i="60" s="1"/>
  <c r="F337" i="60" a="1"/>
  <c r="F337" i="60" s="1"/>
  <c r="D67" i="60" a="1"/>
  <c r="D67" i="60" s="1"/>
  <c r="D17" i="60" a="1"/>
  <c r="D17" i="60" s="1"/>
  <c r="D72" i="60" a="1"/>
  <c r="D72" i="60" s="1"/>
  <c r="D120" i="60" a="1"/>
  <c r="D120" i="60" s="1"/>
  <c r="D59" i="60" a="1"/>
  <c r="D59" i="60" s="1"/>
  <c r="F91" i="60" a="1"/>
  <c r="F91" i="60" s="1"/>
  <c r="F108" i="60" a="1"/>
  <c r="F108" i="60" s="1"/>
  <c r="F124" i="60" a="1"/>
  <c r="F124" i="60" s="1"/>
  <c r="F38" i="60" a="1"/>
  <c r="F38" i="60" s="1"/>
  <c r="F85" i="60" a="1"/>
  <c r="F85" i="60" s="1"/>
  <c r="F101" i="60" a="1"/>
  <c r="F101" i="60" s="1"/>
  <c r="F117" i="60" a="1"/>
  <c r="F117" i="60" s="1"/>
  <c r="F133" i="60" a="1"/>
  <c r="F133" i="60" s="1"/>
  <c r="F119" i="60" a="1"/>
  <c r="F119" i="60" s="1"/>
  <c r="D142" i="60" a="1"/>
  <c r="D142" i="60" s="1"/>
  <c r="D150" i="60" a="1"/>
  <c r="D150" i="60" s="1"/>
  <c r="D158" i="60" a="1"/>
  <c r="D158" i="60" s="1"/>
  <c r="D85" i="60" a="1"/>
  <c r="D85" i="60" s="1"/>
  <c r="F136" i="60" a="1"/>
  <c r="F136" i="60" s="1"/>
  <c r="F128" i="60" a="1"/>
  <c r="F128" i="60" s="1"/>
  <c r="F143" i="60" a="1"/>
  <c r="F143" i="60" s="1"/>
  <c r="F151" i="60" a="1"/>
  <c r="F151" i="60" s="1"/>
  <c r="F159" i="60" a="1"/>
  <c r="F159" i="60" s="1"/>
  <c r="F104" i="60" a="1"/>
  <c r="F104" i="60" s="1"/>
  <c r="F178" i="60" a="1"/>
  <c r="F178" i="60" s="1"/>
  <c r="F194" i="60" a="1"/>
  <c r="F194" i="60" s="1"/>
  <c r="F210" i="60" a="1"/>
  <c r="F210" i="60" s="1"/>
  <c r="F226" i="60" a="1"/>
  <c r="F226" i="60" s="1"/>
  <c r="F242" i="60" a="1"/>
  <c r="F242" i="60" s="1"/>
  <c r="F258" i="60" a="1"/>
  <c r="F258" i="60" s="1"/>
  <c r="F274" i="60" a="1"/>
  <c r="F274" i="60" s="1"/>
  <c r="F290" i="60" a="1"/>
  <c r="F290" i="60" s="1"/>
  <c r="D164" i="60" a="1"/>
  <c r="D164" i="60" s="1"/>
  <c r="F180" i="60" a="1"/>
  <c r="F180" i="60" s="1"/>
  <c r="F196" i="60" a="1"/>
  <c r="F196" i="60" s="1"/>
  <c r="F212" i="60" a="1"/>
  <c r="F212" i="60" s="1"/>
  <c r="F228" i="60" a="1"/>
  <c r="F228" i="60" s="1"/>
  <c r="F244" i="60" a="1"/>
  <c r="F244" i="60" s="1"/>
  <c r="F260" i="60" a="1"/>
  <c r="F260" i="60" s="1"/>
  <c r="F276" i="60" a="1"/>
  <c r="F276" i="60" s="1"/>
  <c r="F292" i="60" a="1"/>
  <c r="F292" i="60" s="1"/>
  <c r="E135" i="60" a="1"/>
  <c r="E135" i="60" s="1"/>
  <c r="D181" i="60" a="1"/>
  <c r="D181" i="60" s="1"/>
  <c r="D197" i="60" a="1"/>
  <c r="D197" i="60" s="1"/>
  <c r="D213" i="60" a="1"/>
  <c r="D213" i="60" s="1"/>
  <c r="D229" i="60" a="1"/>
  <c r="D229" i="60" s="1"/>
  <c r="D245" i="60" a="1"/>
  <c r="D245" i="60" s="1"/>
  <c r="D261" i="60" a="1"/>
  <c r="D261" i="60" s="1"/>
  <c r="D277" i="60" a="1"/>
  <c r="D277" i="60" s="1"/>
  <c r="D293" i="60" a="1"/>
  <c r="D293" i="60" s="1"/>
  <c r="D190" i="60" a="1"/>
  <c r="D190" i="60" s="1"/>
  <c r="D254" i="60" a="1"/>
  <c r="D254" i="60" s="1"/>
  <c r="E305" i="60" a="1"/>
  <c r="E305" i="60" s="1"/>
  <c r="E321" i="60" a="1"/>
  <c r="E321" i="60" s="1"/>
  <c r="E337" i="60" a="1"/>
  <c r="E337" i="60" s="1"/>
  <c r="E203" i="60" a="1"/>
  <c r="E203" i="60" s="1"/>
  <c r="F325" i="60" a="1"/>
  <c r="F325" i="60" s="1"/>
  <c r="D198" i="60" a="1"/>
  <c r="D198" i="60" s="1"/>
  <c r="F7" i="60" a="1"/>
  <c r="F7" i="60" s="1"/>
  <c r="D75" i="60" a="1"/>
  <c r="D75" i="60" s="1"/>
  <c r="D26" i="60" a="1"/>
  <c r="D26" i="60" s="1"/>
  <c r="F22" i="60" a="1"/>
  <c r="F22" i="60" s="1"/>
  <c r="E124" i="60" a="1"/>
  <c r="E124" i="60" s="1"/>
  <c r="F75" i="60" a="1"/>
  <c r="F75" i="60" s="1"/>
  <c r="E95" i="60" a="1"/>
  <c r="E95" i="60" s="1"/>
  <c r="E111" i="60" a="1"/>
  <c r="E111" i="60" s="1"/>
  <c r="E127" i="60" a="1"/>
  <c r="E127" i="60" s="1"/>
  <c r="E49" i="60" a="1"/>
  <c r="E49" i="60" s="1"/>
  <c r="E88" i="60" a="1"/>
  <c r="E88" i="60" s="1"/>
  <c r="E104" i="60" a="1"/>
  <c r="E104" i="60" s="1"/>
  <c r="E120" i="60" a="1"/>
  <c r="E120" i="60" s="1"/>
  <c r="D43" i="60" a="1"/>
  <c r="D43" i="60" s="1"/>
  <c r="E130" i="60" a="1"/>
  <c r="E130" i="60" s="1"/>
  <c r="E143" i="60" a="1"/>
  <c r="E143" i="60" s="1"/>
  <c r="E151" i="60" a="1"/>
  <c r="E151" i="60" s="1"/>
  <c r="E159" i="60" a="1"/>
  <c r="E159" i="60" s="1"/>
  <c r="F95" i="60" a="1"/>
  <c r="F95" i="60" s="1"/>
  <c r="D36" i="60" a="1"/>
  <c r="D36" i="60" s="1"/>
  <c r="D136" i="60" a="1"/>
  <c r="D136" i="60" s="1"/>
  <c r="D145" i="60" a="1"/>
  <c r="D145" i="60" s="1"/>
  <c r="D153" i="60" a="1"/>
  <c r="D153" i="60" s="1"/>
  <c r="D161" i="60" a="1"/>
  <c r="D161" i="60" s="1"/>
  <c r="D137" i="60" a="1"/>
  <c r="D137" i="60" s="1"/>
  <c r="E181" i="60" a="1"/>
  <c r="E181" i="60" s="1"/>
  <c r="E197" i="60" a="1"/>
  <c r="E197" i="60" s="1"/>
  <c r="E213" i="60" a="1"/>
  <c r="E213" i="60" s="1"/>
  <c r="E229" i="60" a="1"/>
  <c r="E229" i="60" s="1"/>
  <c r="E245" i="60" a="1"/>
  <c r="E245" i="60" s="1"/>
  <c r="E261" i="60" a="1"/>
  <c r="E261" i="60" s="1"/>
  <c r="E277" i="60" a="1"/>
  <c r="E277" i="60" s="1"/>
  <c r="E293" i="60" a="1"/>
  <c r="E293" i="60" s="1"/>
  <c r="E167" i="60" a="1"/>
  <c r="E167" i="60" s="1"/>
  <c r="E183" i="60" a="1"/>
  <c r="E183" i="60" s="1"/>
  <c r="E199" i="60" a="1"/>
  <c r="E199" i="60" s="1"/>
  <c r="E215" i="60" a="1"/>
  <c r="E215" i="60" s="1"/>
  <c r="E231" i="60" a="1"/>
  <c r="E231" i="60" s="1"/>
  <c r="E247" i="60" a="1"/>
  <c r="E247" i="60" s="1"/>
  <c r="E263" i="60" a="1"/>
  <c r="E263" i="60" s="1"/>
  <c r="E279" i="60" a="1"/>
  <c r="E279" i="60" s="1"/>
  <c r="E295" i="60" a="1"/>
  <c r="E295" i="60" s="1"/>
  <c r="F167" i="60" a="1"/>
  <c r="F167" i="60" s="1"/>
  <c r="F183" i="60" a="1"/>
  <c r="F183" i="60" s="1"/>
  <c r="F199" i="60" a="1"/>
  <c r="F199" i="60" s="1"/>
  <c r="F215" i="60" a="1"/>
  <c r="F215" i="60" s="1"/>
  <c r="F231" i="60" a="1"/>
  <c r="F231" i="60" s="1"/>
  <c r="F247" i="60" a="1"/>
  <c r="F247" i="60" s="1"/>
  <c r="F263" i="60" a="1"/>
  <c r="F263" i="60" s="1"/>
  <c r="F279" i="60" a="1"/>
  <c r="F279" i="60" s="1"/>
  <c r="F295" i="60" a="1"/>
  <c r="F295" i="60" s="1"/>
  <c r="F200" i="60" a="1"/>
  <c r="F200" i="60" s="1"/>
  <c r="F264" i="60" a="1"/>
  <c r="F264" i="60" s="1"/>
  <c r="D308" i="60" a="1"/>
  <c r="D308" i="60" s="1"/>
  <c r="D324" i="60" a="1"/>
  <c r="D324" i="60" s="1"/>
  <c r="D340" i="60" a="1"/>
  <c r="D340" i="60" s="1"/>
  <c r="E235" i="60" a="1"/>
  <c r="E235" i="60" s="1"/>
  <c r="F333" i="60" a="1"/>
  <c r="F333" i="60" s="1"/>
  <c r="F208" i="60" a="1"/>
  <c r="F208" i="60" s="1"/>
  <c r="F272" i="60" a="1"/>
  <c r="F272" i="60" s="1"/>
  <c r="D310" i="60" a="1"/>
  <c r="D310" i="60" s="1"/>
  <c r="D326" i="60" a="1"/>
  <c r="D326" i="60" s="1"/>
  <c r="D342" i="60" a="1"/>
  <c r="D342" i="60" s="1"/>
  <c r="D271" i="60" a="1"/>
  <c r="D271" i="60" s="1"/>
  <c r="E343" i="60" a="1"/>
  <c r="E343" i="60" s="1"/>
  <c r="F216" i="60" a="1"/>
  <c r="F216" i="60" s="1"/>
  <c r="F280" i="60" a="1"/>
  <c r="F280" i="60" s="1"/>
  <c r="D313" i="60" a="1"/>
  <c r="D313" i="60" s="1"/>
  <c r="D329" i="60" a="1"/>
  <c r="D329" i="60" s="1"/>
  <c r="D345" i="60" a="1"/>
  <c r="D345" i="60" s="1"/>
  <c r="E260" i="60" a="1"/>
  <c r="E260" i="60" s="1"/>
  <c r="E336" i="60" a="1"/>
  <c r="E336" i="60" s="1"/>
  <c r="E5" i="60" a="1"/>
  <c r="E5" i="60" s="1"/>
  <c r="F62" i="60" a="1"/>
  <c r="F62" i="60" s="1"/>
  <c r="F158" i="60" a="1"/>
  <c r="F158" i="60" s="1"/>
  <c r="F243" i="60" a="1"/>
  <c r="F243" i="60" s="1"/>
  <c r="F293" i="60" a="1"/>
  <c r="F293" i="60" s="1"/>
  <c r="E306" i="60" a="1"/>
  <c r="E306" i="60" s="1"/>
  <c r="F265" i="60" a="1"/>
  <c r="F265" i="60" s="1"/>
  <c r="D335" i="60" a="1"/>
  <c r="D335" i="60" s="1"/>
  <c r="D331" i="60" a="1"/>
  <c r="D331" i="60" s="1"/>
  <c r="D238" i="60" a="1"/>
  <c r="D238" i="60" s="1"/>
  <c r="F315" i="60" a="1"/>
  <c r="F315" i="60" s="1"/>
  <c r="E342" i="60" a="1"/>
  <c r="E342" i="60" s="1"/>
  <c r="F316" i="60" a="1"/>
  <c r="F316" i="60" s="1"/>
  <c r="F360" i="60" a="1"/>
  <c r="F360" i="60" s="1"/>
  <c r="F375" i="60" a="1"/>
  <c r="F375" i="60" s="1"/>
  <c r="F369" i="60" a="1"/>
  <c r="F369" i="60" s="1"/>
  <c r="E352" i="60" a="1"/>
  <c r="E352" i="60" s="1"/>
  <c r="E368" i="60" a="1"/>
  <c r="E368" i="60" s="1"/>
  <c r="D354" i="60" a="1"/>
  <c r="D354" i="60" s="1"/>
  <c r="D350" i="60" a="1"/>
  <c r="D350" i="60" s="1"/>
  <c r="F376" i="60" a="1"/>
  <c r="F376" i="60" s="1"/>
  <c r="E372" i="60" a="1"/>
  <c r="E372" i="60" s="1"/>
  <c r="E357" i="60" a="1"/>
  <c r="E357" i="60" s="1"/>
  <c r="F367" i="60" a="1"/>
  <c r="F367" i="60" s="1"/>
  <c r="F92" i="60" a="1"/>
  <c r="F92" i="60" s="1"/>
  <c r="F88" i="60" a="1"/>
  <c r="F88" i="60" s="1"/>
  <c r="F259" i="60" a="1"/>
  <c r="F259" i="60" s="1"/>
  <c r="F166" i="60" a="1"/>
  <c r="F166" i="60" s="1"/>
  <c r="E322" i="60" a="1"/>
  <c r="E322" i="60" s="1"/>
  <c r="E283" i="60" a="1"/>
  <c r="E283" i="60" s="1"/>
  <c r="E339" i="60" a="1"/>
  <c r="E339" i="60" s="1"/>
  <c r="E335" i="60" a="1"/>
  <c r="E335" i="60" s="1"/>
  <c r="E252" i="60" a="1"/>
  <c r="E252" i="60" s="1"/>
  <c r="E317" i="60" a="1"/>
  <c r="E317" i="60" s="1"/>
  <c r="D344" i="60" a="1"/>
  <c r="D344" i="60" s="1"/>
  <c r="F324" i="60" a="1"/>
  <c r="F324" i="60" s="1"/>
  <c r="F378" i="60" a="1"/>
  <c r="F378" i="60" s="1"/>
  <c r="F352" i="60" a="1"/>
  <c r="F352" i="60" s="1"/>
  <c r="F370" i="60" a="1"/>
  <c r="F370" i="60" s="1"/>
  <c r="E376" i="60" a="1"/>
  <c r="E376" i="60" s="1"/>
  <c r="E358" i="60" a="1"/>
  <c r="E358" i="60" s="1"/>
  <c r="D363" i="60" a="1"/>
  <c r="D363" i="60" s="1"/>
  <c r="D358" i="60" a="1"/>
  <c r="D358" i="60" s="1"/>
  <c r="E350" i="60" a="1"/>
  <c r="E350" i="60" s="1"/>
  <c r="D378" i="60" a="1"/>
  <c r="D378" i="60" s="1"/>
  <c r="D374" i="60" a="1"/>
  <c r="D374" i="60" s="1"/>
  <c r="F355" i="60" a="1"/>
  <c r="F355" i="60" s="1"/>
  <c r="E359" i="60" a="1"/>
  <c r="E359" i="60" s="1"/>
  <c r="E371" i="60" a="1"/>
  <c r="E371" i="60" s="1"/>
  <c r="E110" i="60" a="1"/>
  <c r="E110" i="60" s="1"/>
  <c r="F21" i="60" a="1"/>
  <c r="F21" i="60" s="1"/>
  <c r="F275" i="60" a="1"/>
  <c r="F275" i="60" s="1"/>
  <c r="F182" i="60" a="1"/>
  <c r="F182" i="60" s="1"/>
  <c r="D333" i="60" a="1"/>
  <c r="D333" i="60" s="1"/>
  <c r="D303" i="60" a="1"/>
  <c r="D303" i="60" s="1"/>
  <c r="E340" i="60" a="1"/>
  <c r="E340" i="60" s="1"/>
  <c r="D338" i="60" a="1"/>
  <c r="D338" i="60" s="1"/>
  <c r="D263" i="60" a="1"/>
  <c r="D263" i="60" s="1"/>
  <c r="E318" i="60" a="1"/>
  <c r="E318" i="60" s="1"/>
  <c r="F347" i="60" a="1"/>
  <c r="F347" i="60" s="1"/>
  <c r="E328" i="60" a="1"/>
  <c r="E328" i="60" s="1"/>
  <c r="F372" i="60" a="1"/>
  <c r="F372" i="60" s="1"/>
  <c r="E377" i="60" a="1"/>
  <c r="E377" i="60" s="1"/>
  <c r="E362" i="60" a="1"/>
  <c r="E362" i="60" s="1"/>
  <c r="D355" i="60" a="1"/>
  <c r="D355" i="60" s="1"/>
  <c r="E374" i="60" a="1"/>
  <c r="E374" i="60" s="1"/>
  <c r="E126" i="60" a="1"/>
  <c r="E126" i="60" s="1"/>
  <c r="D135" i="60" a="1"/>
  <c r="D135" i="60" s="1"/>
  <c r="F291" i="60" a="1"/>
  <c r="F291" i="60" s="1"/>
  <c r="F198" i="60" a="1"/>
  <c r="F198" i="60" s="1"/>
  <c r="E338" i="60" a="1"/>
  <c r="E338" i="60" s="1"/>
  <c r="E307" i="60" a="1"/>
  <c r="E307" i="60" s="1"/>
  <c r="F344" i="60" a="1"/>
  <c r="F344" i="60" s="1"/>
  <c r="D101" i="60" a="1"/>
  <c r="D101" i="60" s="1"/>
  <c r="D270" i="60" a="1"/>
  <c r="D270" i="60" s="1"/>
  <c r="F322" i="60" a="1"/>
  <c r="F322" i="60" s="1"/>
  <c r="E348" i="60" a="1"/>
  <c r="E348" i="60" s="1"/>
  <c r="F332" i="60" a="1"/>
  <c r="F332" i="60" s="1"/>
  <c r="F353" i="60" a="1"/>
  <c r="F353" i="60" s="1"/>
  <c r="D351" i="60" a="1"/>
  <c r="D351" i="60" s="1"/>
  <c r="E365" i="60" a="1"/>
  <c r="E365" i="60" s="1"/>
  <c r="F45" i="60" a="1"/>
  <c r="F45" i="60" s="1"/>
  <c r="E144" i="60" a="1"/>
  <c r="E144" i="60" s="1"/>
  <c r="E165" i="60" a="1"/>
  <c r="E165" i="60" s="1"/>
  <c r="F214" i="60" a="1"/>
  <c r="F214" i="60" s="1"/>
  <c r="F348" i="60" a="1"/>
  <c r="F348" i="60" s="1"/>
  <c r="E308" i="60" a="1"/>
  <c r="E308" i="60" s="1"/>
  <c r="E347" i="60" a="1"/>
  <c r="E347" i="60" s="1"/>
  <c r="D167" i="60" a="1"/>
  <c r="D167" i="60" s="1"/>
  <c r="F273" i="60" a="1"/>
  <c r="F273" i="60" s="1"/>
  <c r="E325" i="60" a="1"/>
  <c r="E325" i="60" s="1"/>
  <c r="D349" i="60" a="1"/>
  <c r="D349" i="60" s="1"/>
  <c r="E344" i="60" a="1"/>
  <c r="E344" i="60" s="1"/>
  <c r="F377" i="60" a="1"/>
  <c r="F377" i="60" s="1"/>
  <c r="F86" i="60" a="1"/>
  <c r="F86" i="60" s="1"/>
  <c r="E152" i="60" a="1"/>
  <c r="E152" i="60" s="1"/>
  <c r="F181" i="60" a="1"/>
  <c r="F181" i="60" s="1"/>
  <c r="F230" i="60" a="1"/>
  <c r="F230" i="60" s="1"/>
  <c r="F217" i="60" a="1"/>
  <c r="F217" i="60" s="1"/>
  <c r="F312" i="60" a="1"/>
  <c r="F312" i="60" s="1"/>
  <c r="E196" i="60" a="1"/>
  <c r="E196" i="60" s="1"/>
  <c r="D174" i="60" a="1"/>
  <c r="D174" i="60" s="1"/>
  <c r="E291" i="60" a="1"/>
  <c r="E291" i="60" s="1"/>
  <c r="E326" i="60" a="1"/>
  <c r="E326" i="60" s="1"/>
  <c r="D175" i="60" a="1"/>
  <c r="D175" i="60" s="1"/>
  <c r="D3" i="60" a="1"/>
  <c r="D3" i="60" s="1"/>
  <c r="F373" i="60" a="1"/>
  <c r="F373" i="60" s="1"/>
  <c r="F363" i="60" a="1"/>
  <c r="F363" i="60" s="1"/>
  <c r="E375" i="60" a="1"/>
  <c r="E375" i="60" s="1"/>
  <c r="E367" i="60" a="1"/>
  <c r="E367" i="60" s="1"/>
  <c r="E360" i="60" a="1"/>
  <c r="E360" i="60" s="1"/>
  <c r="D356" i="60" a="1"/>
  <c r="D356" i="60" s="1"/>
  <c r="D375" i="60" a="1"/>
  <c r="D375" i="60" s="1"/>
  <c r="F358" i="60" a="1"/>
  <c r="F358" i="60" s="1"/>
  <c r="E361" i="60" a="1"/>
  <c r="E361" i="60" s="1"/>
  <c r="E354" i="60" a="1"/>
  <c r="E354" i="60" s="1"/>
  <c r="E366" i="60" a="1"/>
  <c r="E366" i="60" s="1"/>
  <c r="D365" i="60" a="1"/>
  <c r="D365" i="60" s="1"/>
  <c r="F102" i="60" a="1"/>
  <c r="F102" i="60" s="1"/>
  <c r="E160" i="60" a="1"/>
  <c r="E160" i="60" s="1"/>
  <c r="F197" i="60" a="1"/>
  <c r="F197" i="60" s="1"/>
  <c r="F246" i="60" a="1"/>
  <c r="F246" i="60" s="1"/>
  <c r="D314" i="60" a="1"/>
  <c r="D314" i="60" s="1"/>
  <c r="E315" i="60" a="1"/>
  <c r="E315" i="60" s="1"/>
  <c r="F224" i="60" a="1"/>
  <c r="F224" i="60" s="1"/>
  <c r="E188" i="60" a="1"/>
  <c r="E188" i="60" s="1"/>
  <c r="D295" i="60" a="1"/>
  <c r="D295" i="60" s="1"/>
  <c r="D328" i="60" a="1"/>
  <c r="D328" i="60" s="1"/>
  <c r="D207" i="60" a="1"/>
  <c r="D207" i="60" s="1"/>
  <c r="F3" i="60" a="1"/>
  <c r="F3" i="60" s="1"/>
  <c r="F356" i="60" a="1"/>
  <c r="F356" i="60" s="1"/>
  <c r="F357" i="60" a="1"/>
  <c r="F357" i="60" s="1"/>
  <c r="E355" i="60" a="1"/>
  <c r="E355" i="60" s="1"/>
  <c r="E369" i="60" a="1"/>
  <c r="E369" i="60" s="1"/>
  <c r="E373" i="60" a="1"/>
  <c r="E373" i="60" s="1"/>
  <c r="D357" i="60" a="1"/>
  <c r="D357" i="60" s="1"/>
  <c r="D367" i="60" a="1"/>
  <c r="D367" i="60" s="1"/>
  <c r="E351" i="60" a="1"/>
  <c r="E351" i="60" s="1"/>
  <c r="D373" i="60" a="1"/>
  <c r="D373" i="60" s="1"/>
  <c r="D352" i="60" a="1"/>
  <c r="D352" i="60" s="1"/>
  <c r="D377" i="60" a="1"/>
  <c r="D377" i="60" s="1"/>
  <c r="D359" i="60" a="1"/>
  <c r="D359" i="60" s="1"/>
  <c r="F365" i="60" a="1"/>
  <c r="F365" i="60" s="1"/>
  <c r="D376" i="60" a="1"/>
  <c r="D376" i="60" s="1"/>
  <c r="F118" i="60" a="1"/>
  <c r="F118" i="60" s="1"/>
  <c r="D133" i="60" a="1"/>
  <c r="D133" i="60" s="1"/>
  <c r="F213" i="60" a="1"/>
  <c r="F213" i="60" s="1"/>
  <c r="F262" i="60" a="1"/>
  <c r="F262" i="60" s="1"/>
  <c r="D330" i="60" a="1"/>
  <c r="D330" i="60" s="1"/>
  <c r="D319" i="60" a="1"/>
  <c r="D319" i="60" s="1"/>
  <c r="D239" i="60" a="1"/>
  <c r="D239" i="60" s="1"/>
  <c r="D199" i="60" a="1"/>
  <c r="D199" i="60" s="1"/>
  <c r="E302" i="60" a="1"/>
  <c r="E302" i="60" s="1"/>
  <c r="F331" i="60" a="1"/>
  <c r="F331" i="60" s="1"/>
  <c r="E228" i="60" a="1"/>
  <c r="E228" i="60" s="1"/>
  <c r="F5" i="60" a="1"/>
  <c r="F5" i="60" s="1"/>
  <c r="F374" i="60" a="1"/>
  <c r="F374" i="60" s="1"/>
  <c r="D353" i="60" a="1"/>
  <c r="D353" i="60" s="1"/>
  <c r="E363" i="60" a="1"/>
  <c r="E363" i="60" s="1"/>
  <c r="D368" i="60" a="1"/>
  <c r="D368" i="60" s="1"/>
  <c r="D364" i="60" a="1"/>
  <c r="D364" i="60" s="1"/>
  <c r="E356" i="60" a="1"/>
  <c r="E356" i="60" s="1"/>
  <c r="F73" i="60" a="1"/>
  <c r="F73" i="60" s="1"/>
  <c r="F14" i="60" a="1"/>
  <c r="F14" i="60" s="1"/>
  <c r="F179" i="60" a="1"/>
  <c r="F179" i="60" s="1"/>
  <c r="F229" i="60" a="1"/>
  <c r="F229" i="60" s="1"/>
  <c r="F278" i="60" a="1"/>
  <c r="F278" i="60" s="1"/>
  <c r="E180" i="60" a="1"/>
  <c r="E180" i="60" s="1"/>
  <c r="E323" i="60" a="1"/>
  <c r="E323" i="60" s="1"/>
  <c r="F256" i="60" a="1"/>
  <c r="F256" i="60" s="1"/>
  <c r="D206" i="60" a="1"/>
  <c r="D206" i="60" s="1"/>
  <c r="F306" i="60" a="1"/>
  <c r="F306" i="60" s="1"/>
  <c r="E333" i="60" a="1"/>
  <c r="E333" i="60" s="1"/>
  <c r="D246" i="60" a="1"/>
  <c r="D246" i="60" s="1"/>
  <c r="E3" i="60" a="1"/>
  <c r="E3" i="60" s="1"/>
  <c r="F350" i="60" a="1"/>
  <c r="F350" i="60" s="1"/>
  <c r="F359" i="60" a="1"/>
  <c r="F359" i="60" s="1"/>
  <c r="D360" i="60" a="1"/>
  <c r="D360" i="60" s="1"/>
  <c r="D369" i="60" a="1"/>
  <c r="D369" i="60" s="1"/>
  <c r="E370" i="60" a="1"/>
  <c r="E370" i="60" s="1"/>
  <c r="E23" i="60" a="1"/>
  <c r="E23" i="60" s="1"/>
  <c r="E123" i="60" a="1"/>
  <c r="E123" i="60" s="1"/>
  <c r="F195" i="60" a="1"/>
  <c r="F195" i="60" s="1"/>
  <c r="F245" i="60" a="1"/>
  <c r="F245" i="60" s="1"/>
  <c r="F294" i="60" a="1"/>
  <c r="F294" i="60" s="1"/>
  <c r="F201" i="60" a="1"/>
  <c r="F201" i="60" s="1"/>
  <c r="E324" i="60" a="1"/>
  <c r="E324" i="60" s="1"/>
  <c r="E301" i="60" a="1"/>
  <c r="E301" i="60" s="1"/>
  <c r="F209" i="60" a="1"/>
  <c r="F209" i="60" s="1"/>
  <c r="E309" i="60" a="1"/>
  <c r="E309" i="60" s="1"/>
  <c r="E334" i="60" a="1"/>
  <c r="E334" i="60" s="1"/>
  <c r="E292" i="60" a="1"/>
  <c r="E292" i="60" s="1"/>
  <c r="D4" i="60" a="1"/>
  <c r="D4" i="60" s="1"/>
  <c r="F362" i="60" a="1"/>
  <c r="F362" i="60" s="1"/>
  <c r="E364" i="60" a="1"/>
  <c r="E364" i="60" s="1"/>
  <c r="D371" i="60" a="1"/>
  <c r="D371" i="60" s="1"/>
  <c r="E75" i="60" a="1"/>
  <c r="E75" i="60" s="1"/>
  <c r="F142" i="60" a="1"/>
  <c r="F142" i="60" s="1"/>
  <c r="F211" i="60" a="1"/>
  <c r="F211" i="60" s="1"/>
  <c r="F261" i="60" a="1"/>
  <c r="F261" i="60" s="1"/>
  <c r="F193" i="60" a="1"/>
  <c r="F193" i="60" s="1"/>
  <c r="E244" i="60" a="1"/>
  <c r="E244" i="60" s="1"/>
  <c r="F328" i="60" a="1"/>
  <c r="F328" i="60" s="1"/>
  <c r="E311" i="60" a="1"/>
  <c r="E311" i="60" s="1"/>
  <c r="E227" i="60" a="1"/>
  <c r="E227" i="60" s="1"/>
  <c r="E310" i="60" a="1"/>
  <c r="E310" i="60" s="1"/>
  <c r="F338" i="60" a="1"/>
  <c r="F338" i="60" s="1"/>
  <c r="E299" i="60" a="1"/>
  <c r="E299" i="60" s="1"/>
  <c r="F4" i="60" a="1"/>
  <c r="F4" i="60" s="1"/>
  <c r="F368" i="60" a="1"/>
  <c r="F368" i="60" s="1"/>
  <c r="F364" i="60" a="1"/>
  <c r="F364" i="60" s="1"/>
  <c r="E353" i="60" a="1"/>
  <c r="E353" i="60" s="1"/>
  <c r="E378" i="60" a="1"/>
  <c r="E378" i="60" s="1"/>
  <c r="D362" i="60" a="1"/>
  <c r="D362" i="60" s="1"/>
  <c r="D372" i="60" a="1"/>
  <c r="D372" i="60" s="1"/>
  <c r="D361" i="60" a="1"/>
  <c r="D361" i="60" s="1"/>
  <c r="F121" i="60" a="1"/>
  <c r="F121" i="60" s="1"/>
  <c r="F150" i="60" a="1"/>
  <c r="F150" i="60" s="1"/>
  <c r="F227" i="60" a="1"/>
  <c r="F227" i="60" s="1"/>
  <c r="F257" i="60" a="1"/>
  <c r="F257" i="60" s="1"/>
  <c r="D262" i="60" a="1"/>
  <c r="D262" i="60" s="1"/>
  <c r="E331" i="60" a="1"/>
  <c r="E331" i="60" s="1"/>
  <c r="D323" i="60" a="1"/>
  <c r="D323" i="60" s="1"/>
  <c r="D312" i="60" a="1"/>
  <c r="D312" i="60" s="1"/>
  <c r="E341" i="60" a="1"/>
  <c r="E341" i="60" s="1"/>
  <c r="F6" i="60" a="1"/>
  <c r="F6" i="60" s="1"/>
  <c r="F371" i="60" a="1"/>
  <c r="F371" i="60" s="1"/>
  <c r="D370" i="60" a="1"/>
  <c r="D370" i="60" s="1"/>
  <c r="F277" i="60" a="1"/>
  <c r="F277" i="60" s="1"/>
  <c r="D231" i="60" a="1"/>
  <c r="D231" i="60" s="1"/>
  <c r="E304" i="60" a="1"/>
  <c r="E304" i="60" s="1"/>
  <c r="F351" i="60" a="1"/>
  <c r="F351" i="60" s="1"/>
  <c r="D366" i="60" a="1"/>
  <c r="D366" i="60" s="1"/>
  <c r="F2" i="60" a="1"/>
  <c r="F2" i="60" s="1"/>
  <c r="D2" i="60" a="1"/>
  <c r="D2" i="60" s="1"/>
  <c r="C2" i="60"/>
  <c r="E2" i="60" a="1"/>
  <c r="E2" i="60" s="1"/>
  <c r="B2" i="60"/>
  <c r="A281" i="60" l="1"/>
  <c r="B282" i="66" a="1"/>
  <c r="B282" i="66" s="1"/>
  <c r="A137" i="60"/>
  <c r="B138" i="66" a="1"/>
  <c r="B138" i="66" s="1"/>
  <c r="A348" i="60"/>
  <c r="B349" i="66" a="1"/>
  <c r="B349" i="66" s="1"/>
  <c r="A207" i="60"/>
  <c r="B208" i="66" a="1"/>
  <c r="B208" i="66" s="1"/>
  <c r="A93" i="60"/>
  <c r="B94" i="66" a="1"/>
  <c r="B94" i="66" s="1"/>
  <c r="A242" i="60"/>
  <c r="B243" i="66" a="1"/>
  <c r="B243" i="66" s="1"/>
  <c r="A90" i="60"/>
  <c r="B91" i="66" a="1"/>
  <c r="B91" i="66" s="1"/>
  <c r="A301" i="60"/>
  <c r="B302" i="66" a="1"/>
  <c r="B302" i="66" s="1"/>
  <c r="A157" i="60"/>
  <c r="B158" i="66" a="1"/>
  <c r="B158" i="66" s="1"/>
  <c r="A208" i="60"/>
  <c r="B209" i="66" a="1"/>
  <c r="B209" i="66" s="1"/>
  <c r="A300" i="60"/>
  <c r="B301" i="66" a="1"/>
  <c r="B301" i="66" s="1"/>
  <c r="A156" i="60"/>
  <c r="B157" i="66" a="1"/>
  <c r="B157" i="66" s="1"/>
  <c r="A299" i="60"/>
  <c r="B300" i="66" a="1"/>
  <c r="B300" i="66" s="1"/>
  <c r="A155" i="60"/>
  <c r="B156" i="66" a="1"/>
  <c r="B156" i="66" s="1"/>
  <c r="A238" i="60"/>
  <c r="B239" i="66" a="1"/>
  <c r="B239" i="66" s="1"/>
  <c r="A85" i="60"/>
  <c r="B86" i="66" a="1"/>
  <c r="B86" i="66" s="1"/>
  <c r="A309" i="60"/>
  <c r="B310" i="66" a="1"/>
  <c r="B310" i="66" s="1"/>
  <c r="A165" i="60"/>
  <c r="B166" i="66" a="1"/>
  <c r="B166" i="66" s="1"/>
  <c r="A308" i="60"/>
  <c r="B309" i="66" a="1"/>
  <c r="B309" i="66" s="1"/>
  <c r="A164" i="60"/>
  <c r="B165" i="66" a="1"/>
  <c r="B165" i="66" s="1"/>
  <c r="A199" i="60"/>
  <c r="B200" i="66" a="1"/>
  <c r="B200" i="66" s="1"/>
  <c r="A258" i="60"/>
  <c r="B259" i="66" a="1"/>
  <c r="B259" i="66" s="1"/>
  <c r="A109" i="60"/>
  <c r="B110" i="66" a="1"/>
  <c r="B110" i="66" s="1"/>
  <c r="A357" i="60"/>
  <c r="B358" i="66" a="1"/>
  <c r="B358" i="66" s="1"/>
  <c r="A39" i="60"/>
  <c r="B40" i="66" a="1"/>
  <c r="B40" i="66" s="1"/>
  <c r="A74" i="60"/>
  <c r="B75" i="66" a="1"/>
  <c r="B75" i="66" s="1"/>
  <c r="A347" i="60"/>
  <c r="B348" i="66" a="1"/>
  <c r="B348" i="66" s="1"/>
  <c r="A4" i="60"/>
  <c r="B5" i="66" a="1"/>
  <c r="B5" i="66" s="1"/>
  <c r="A42" i="60"/>
  <c r="B43" i="66" a="1"/>
  <c r="B43" i="66" s="1"/>
  <c r="A25" i="60"/>
  <c r="B26" i="66" a="1"/>
  <c r="B26" i="66" s="1"/>
  <c r="A269" i="60"/>
  <c r="B270" i="66" a="1"/>
  <c r="B270" i="66" s="1"/>
  <c r="A123" i="60"/>
  <c r="B124" i="66" a="1"/>
  <c r="B124" i="66" s="1"/>
  <c r="A339" i="60"/>
  <c r="B340" i="66" a="1"/>
  <c r="B340" i="66" s="1"/>
  <c r="A195" i="60"/>
  <c r="B196" i="66" a="1"/>
  <c r="B196" i="66" s="1"/>
  <c r="A340" i="60"/>
  <c r="B341" i="66" a="1"/>
  <c r="B341" i="66" s="1"/>
  <c r="A78" i="60"/>
  <c r="B79" i="66" a="1"/>
  <c r="B79" i="66" s="1"/>
  <c r="A230" i="60"/>
  <c r="B231" i="66" a="1"/>
  <c r="B231" i="66" s="1"/>
  <c r="A76" i="60"/>
  <c r="B77" i="66" a="1"/>
  <c r="B77" i="66" s="1"/>
  <c r="A289" i="60"/>
  <c r="B290" i="66" a="1"/>
  <c r="B290" i="66" s="1"/>
  <c r="A145" i="60"/>
  <c r="B146" i="66" a="1"/>
  <c r="B146" i="66" s="1"/>
  <c r="A148" i="60"/>
  <c r="B149" i="66" a="1"/>
  <c r="B149" i="66" s="1"/>
  <c r="A288" i="60"/>
  <c r="B289" i="66" a="1"/>
  <c r="B289" i="66" s="1"/>
  <c r="A144" i="60"/>
  <c r="B145" i="66" a="1"/>
  <c r="B145" i="66" s="1"/>
  <c r="A287" i="60"/>
  <c r="B288" i="66" a="1"/>
  <c r="B288" i="66" s="1"/>
  <c r="A143" i="60"/>
  <c r="B144" i="66" a="1"/>
  <c r="B144" i="66" s="1"/>
  <c r="A226" i="60"/>
  <c r="B227" i="66" a="1"/>
  <c r="B227" i="66" s="1"/>
  <c r="A67" i="60"/>
  <c r="B68" i="66" a="1"/>
  <c r="B68" i="66" s="1"/>
  <c r="A297" i="60"/>
  <c r="B298" i="66" a="1"/>
  <c r="B298" i="66" s="1"/>
  <c r="A153" i="60"/>
  <c r="B154" i="66" a="1"/>
  <c r="B154" i="66" s="1"/>
  <c r="A296" i="60"/>
  <c r="B297" i="66" a="1"/>
  <c r="B297" i="66" s="1"/>
  <c r="A152" i="60"/>
  <c r="B153" i="66" a="1"/>
  <c r="B153" i="66" s="1"/>
  <c r="A331" i="60"/>
  <c r="B332" i="66" a="1"/>
  <c r="B332" i="66" s="1"/>
  <c r="A187" i="60"/>
  <c r="B188" i="66" a="1"/>
  <c r="B188" i="66" s="1"/>
  <c r="A374" i="60"/>
  <c r="B375" i="66" a="1"/>
  <c r="B375" i="66" s="1"/>
  <c r="A246" i="60"/>
  <c r="B247" i="66" a="1"/>
  <c r="B247" i="66" s="1"/>
  <c r="A95" i="60"/>
  <c r="B96" i="66" a="1"/>
  <c r="B96" i="66" s="1"/>
  <c r="A353" i="60"/>
  <c r="B354" i="66" a="1"/>
  <c r="B354" i="66" s="1"/>
  <c r="A34" i="60"/>
  <c r="B35" i="66" a="1"/>
  <c r="B35" i="66" s="1"/>
  <c r="A33" i="60"/>
  <c r="B34" i="66" a="1"/>
  <c r="B34" i="66" s="1"/>
  <c r="A6" i="60"/>
  <c r="B7" i="66" a="1"/>
  <c r="B7" i="66" s="1"/>
  <c r="A68" i="60"/>
  <c r="B69" i="66" a="1"/>
  <c r="B69" i="66" s="1"/>
  <c r="A343" i="60"/>
  <c r="B344" i="66" a="1"/>
  <c r="B344" i="66" s="1"/>
  <c r="A36" i="60"/>
  <c r="B37" i="66" a="1"/>
  <c r="B37" i="66" s="1"/>
  <c r="A21" i="60"/>
  <c r="B22" i="66" a="1"/>
  <c r="B22" i="66" s="1"/>
  <c r="A257" i="60"/>
  <c r="B258" i="66" a="1"/>
  <c r="B258" i="66" s="1"/>
  <c r="A108" i="60"/>
  <c r="B109" i="66" a="1"/>
  <c r="B109" i="66" s="1"/>
  <c r="A327" i="60"/>
  <c r="B328" i="66" a="1"/>
  <c r="B328" i="66" s="1"/>
  <c r="A183" i="60"/>
  <c r="B184" i="66" a="1"/>
  <c r="B184" i="66" s="1"/>
  <c r="A304" i="60"/>
  <c r="B305" i="66" a="1"/>
  <c r="B305" i="66" s="1"/>
  <c r="A53" i="60"/>
  <c r="B54" i="66" a="1"/>
  <c r="B54" i="66" s="1"/>
  <c r="A218" i="60"/>
  <c r="B219" i="66" a="1"/>
  <c r="B219" i="66" s="1"/>
  <c r="A47" i="60"/>
  <c r="B48" i="66" a="1"/>
  <c r="B48" i="66" s="1"/>
  <c r="A277" i="60"/>
  <c r="B278" i="66" a="1"/>
  <c r="B278" i="66" s="1"/>
  <c r="A132" i="60"/>
  <c r="B133" i="66" a="1"/>
  <c r="B133" i="66" s="1"/>
  <c r="A276" i="60"/>
  <c r="B277" i="66" a="1"/>
  <c r="B277" i="66" s="1"/>
  <c r="A131" i="60"/>
  <c r="B132" i="66" a="1"/>
  <c r="B132" i="66" s="1"/>
  <c r="A275" i="60"/>
  <c r="B276" i="66" a="1"/>
  <c r="B276" i="66" s="1"/>
  <c r="A130" i="60"/>
  <c r="B131" i="66" a="1"/>
  <c r="B131" i="66" s="1"/>
  <c r="A214" i="60"/>
  <c r="B215" i="66" a="1"/>
  <c r="B215" i="66" s="1"/>
  <c r="A35" i="60"/>
  <c r="B36" i="66" a="1"/>
  <c r="B36" i="66" s="1"/>
  <c r="A285" i="60"/>
  <c r="B286" i="66" a="1"/>
  <c r="B286" i="66" s="1"/>
  <c r="A141" i="60"/>
  <c r="B142" i="66" a="1"/>
  <c r="B142" i="66" s="1"/>
  <c r="A284" i="60"/>
  <c r="B285" i="66" a="1"/>
  <c r="B285" i="66" s="1"/>
  <c r="A140" i="60"/>
  <c r="B141" i="66" a="1"/>
  <c r="B141" i="66" s="1"/>
  <c r="A316" i="60"/>
  <c r="B317" i="66" a="1"/>
  <c r="B317" i="66" s="1"/>
  <c r="A319" i="60"/>
  <c r="B320" i="66" a="1"/>
  <c r="B320" i="66" s="1"/>
  <c r="A175" i="60"/>
  <c r="B176" i="66" a="1"/>
  <c r="B176" i="66" s="1"/>
  <c r="A366" i="60"/>
  <c r="B367" i="66" a="1"/>
  <c r="B367" i="66" s="1"/>
  <c r="A234" i="60"/>
  <c r="B235" i="66" a="1"/>
  <c r="B235" i="66" s="1"/>
  <c r="A81" i="60"/>
  <c r="B82" i="66" a="1"/>
  <c r="B82" i="66" s="1"/>
  <c r="A349" i="60"/>
  <c r="B350" i="66" a="1"/>
  <c r="B350" i="66" s="1"/>
  <c r="A28" i="60"/>
  <c r="B29" i="66" a="1"/>
  <c r="B29" i="66" s="1"/>
  <c r="A27" i="60"/>
  <c r="B28" i="66" a="1"/>
  <c r="B28" i="66" s="1"/>
  <c r="A134" i="60"/>
  <c r="B135" i="66" a="1"/>
  <c r="B135" i="66" s="1"/>
  <c r="A62" i="60"/>
  <c r="B63" i="66" a="1"/>
  <c r="B63" i="66" s="1"/>
  <c r="A30" i="60"/>
  <c r="B31" i="66" a="1"/>
  <c r="B31" i="66" s="1"/>
  <c r="A17" i="60"/>
  <c r="B18" i="66" a="1"/>
  <c r="B18" i="66" s="1"/>
  <c r="A245" i="60"/>
  <c r="B246" i="66" a="1"/>
  <c r="B246" i="66" s="1"/>
  <c r="A94" i="60"/>
  <c r="B95" i="66" a="1"/>
  <c r="B95" i="66" s="1"/>
  <c r="A315" i="60"/>
  <c r="B316" i="66" a="1"/>
  <c r="B316" i="66" s="1"/>
  <c r="A171" i="60"/>
  <c r="B172" i="66" a="1"/>
  <c r="B172" i="66" s="1"/>
  <c r="A268" i="60"/>
  <c r="B269" i="66" a="1"/>
  <c r="B269" i="66" s="1"/>
  <c r="A206" i="60"/>
  <c r="B207" i="66" a="1"/>
  <c r="B207" i="66" s="1"/>
  <c r="A265" i="60"/>
  <c r="B266" i="66" a="1"/>
  <c r="B266" i="66" s="1"/>
  <c r="A118" i="60"/>
  <c r="B119" i="66" a="1"/>
  <c r="B119" i="66" s="1"/>
  <c r="A264" i="60"/>
  <c r="B265" i="66" a="1"/>
  <c r="B265" i="66" s="1"/>
  <c r="A117" i="60"/>
  <c r="B118" i="66" a="1"/>
  <c r="B118" i="66" s="1"/>
  <c r="A263" i="60"/>
  <c r="B264" i="66" a="1"/>
  <c r="B264" i="66" s="1"/>
  <c r="A115" i="60"/>
  <c r="B116" i="66" a="1"/>
  <c r="B116" i="66" s="1"/>
  <c r="A202" i="60"/>
  <c r="B203" i="66" a="1"/>
  <c r="B203" i="66" s="1"/>
  <c r="A273" i="60"/>
  <c r="B274" i="66" a="1"/>
  <c r="B274" i="66" s="1"/>
  <c r="A127" i="60"/>
  <c r="B128" i="66" a="1"/>
  <c r="B128" i="66" s="1"/>
  <c r="A272" i="60"/>
  <c r="B273" i="66" a="1"/>
  <c r="B273" i="66" s="1"/>
  <c r="A126" i="60"/>
  <c r="B127" i="66" a="1"/>
  <c r="B127" i="66" s="1"/>
  <c r="A280" i="60"/>
  <c r="B281" i="66" a="1"/>
  <c r="B281" i="66" s="1"/>
  <c r="A307" i="60"/>
  <c r="B308" i="66" a="1"/>
  <c r="B308" i="66" s="1"/>
  <c r="A163" i="60"/>
  <c r="B164" i="66" a="1"/>
  <c r="B164" i="66" s="1"/>
  <c r="A358" i="60"/>
  <c r="B359" i="66" a="1"/>
  <c r="B359" i="66" s="1"/>
  <c r="A222" i="60"/>
  <c r="B223" i="66" a="1"/>
  <c r="B223" i="66" s="1"/>
  <c r="A59" i="60"/>
  <c r="B60" i="66" a="1"/>
  <c r="B60" i="66" s="1"/>
  <c r="A345" i="60"/>
  <c r="B346" i="66" a="1"/>
  <c r="B346" i="66" s="1"/>
  <c r="A20" i="60"/>
  <c r="B21" i="66" a="1"/>
  <c r="B21" i="66" s="1"/>
  <c r="A128" i="60"/>
  <c r="B129" i="66" a="1"/>
  <c r="B129" i="66" s="1"/>
  <c r="A56" i="60"/>
  <c r="B57" i="66" a="1"/>
  <c r="B57" i="66" s="1"/>
  <c r="A13" i="60"/>
  <c r="B14" i="66" a="1"/>
  <c r="B14" i="66" s="1"/>
  <c r="A79" i="60"/>
  <c r="B80" i="66" a="1"/>
  <c r="B80" i="66" s="1"/>
  <c r="A303" i="60"/>
  <c r="B304" i="66" a="1"/>
  <c r="B304" i="66" s="1"/>
  <c r="A159" i="60"/>
  <c r="B160" i="66" a="1"/>
  <c r="B160" i="66" s="1"/>
  <c r="A244" i="60"/>
  <c r="B245" i="66" a="1"/>
  <c r="B245" i="66" s="1"/>
  <c r="A338" i="60"/>
  <c r="B339" i="66" a="1"/>
  <c r="B339" i="66" s="1"/>
  <c r="A194" i="60"/>
  <c r="B195" i="66" a="1"/>
  <c r="B195" i="66" s="1"/>
  <c r="A253" i="60"/>
  <c r="B254" i="66" a="1"/>
  <c r="B254" i="66" s="1"/>
  <c r="A103" i="60"/>
  <c r="B104" i="66" a="1"/>
  <c r="B104" i="66" s="1"/>
  <c r="A252" i="60"/>
  <c r="B253" i="66" a="1"/>
  <c r="B253" i="66" s="1"/>
  <c r="A102" i="60"/>
  <c r="B103" i="66" a="1"/>
  <c r="B103" i="66" s="1"/>
  <c r="A251" i="60"/>
  <c r="B252" i="66" a="1"/>
  <c r="B252" i="66" s="1"/>
  <c r="A101" i="60"/>
  <c r="B102" i="66" a="1"/>
  <c r="B102" i="66" s="1"/>
  <c r="A334" i="60"/>
  <c r="B335" i="66" a="1"/>
  <c r="B335" i="66" s="1"/>
  <c r="A190" i="60"/>
  <c r="B191" i="66" a="1"/>
  <c r="B191" i="66" s="1"/>
  <c r="A261" i="60"/>
  <c r="B262" i="66" a="1"/>
  <c r="B262" i="66" s="1"/>
  <c r="A113" i="60"/>
  <c r="B114" i="66" a="1"/>
  <c r="B114" i="66" s="1"/>
  <c r="A260" i="60"/>
  <c r="B261" i="66" a="1"/>
  <c r="B261" i="66" s="1"/>
  <c r="A112" i="60"/>
  <c r="B113" i="66" a="1"/>
  <c r="B113" i="66" s="1"/>
  <c r="A184" i="60"/>
  <c r="B185" i="66" a="1"/>
  <c r="B185" i="66" s="1"/>
  <c r="A295" i="60"/>
  <c r="B296" i="66" a="1"/>
  <c r="B296" i="66" s="1"/>
  <c r="A151" i="60"/>
  <c r="B152" i="66" a="1"/>
  <c r="B152" i="66" s="1"/>
  <c r="A350" i="60"/>
  <c r="B351" i="66" a="1"/>
  <c r="B351" i="66" s="1"/>
  <c r="A210" i="60"/>
  <c r="B211" i="66" a="1"/>
  <c r="B211" i="66" s="1"/>
  <c r="A14" i="60"/>
  <c r="B15" i="66" a="1"/>
  <c r="B15" i="66" s="1"/>
  <c r="A122" i="60"/>
  <c r="B123" i="66" a="1"/>
  <c r="B123" i="66" s="1"/>
  <c r="A50" i="60"/>
  <c r="B51" i="66" a="1"/>
  <c r="B51" i="66" s="1"/>
  <c r="A37" i="60"/>
  <c r="B38" i="66" a="1"/>
  <c r="B38" i="66" s="1"/>
  <c r="A10" i="60"/>
  <c r="B11" i="66" a="1"/>
  <c r="B11" i="66" s="1"/>
  <c r="A9" i="60"/>
  <c r="B10" i="66" a="1"/>
  <c r="B10" i="66" s="1"/>
  <c r="A221" i="60"/>
  <c r="B222" i="66" a="1"/>
  <c r="B222" i="66" s="1"/>
  <c r="A58" i="60"/>
  <c r="B59" i="66" a="1"/>
  <c r="B59" i="66" s="1"/>
  <c r="A291" i="60"/>
  <c r="B292" i="66" a="1"/>
  <c r="B292" i="66" s="1"/>
  <c r="A147" i="60"/>
  <c r="B148" i="66" a="1"/>
  <c r="B148" i="66" s="1"/>
  <c r="A220" i="60"/>
  <c r="B221" i="66" a="1"/>
  <c r="B221" i="66" s="1"/>
  <c r="A326" i="60"/>
  <c r="B327" i="66" a="1"/>
  <c r="B327" i="66" s="1"/>
  <c r="A182" i="60"/>
  <c r="B183" i="66" a="1"/>
  <c r="B183" i="66" s="1"/>
  <c r="A241" i="60"/>
  <c r="B242" i="66" a="1"/>
  <c r="B242" i="66" s="1"/>
  <c r="A89" i="60"/>
  <c r="B90" i="66" a="1"/>
  <c r="B90" i="66" s="1"/>
  <c r="A370" i="60"/>
  <c r="B371" i="66" a="1"/>
  <c r="B371" i="66" s="1"/>
  <c r="A240" i="60"/>
  <c r="B241" i="66" a="1"/>
  <c r="B241" i="66" s="1"/>
  <c r="A88" i="60"/>
  <c r="B89" i="66" a="1"/>
  <c r="B89" i="66" s="1"/>
  <c r="A239" i="60"/>
  <c r="B240" i="66" a="1"/>
  <c r="B240" i="66" s="1"/>
  <c r="A87" i="60"/>
  <c r="B88" i="66" a="1"/>
  <c r="B88" i="66" s="1"/>
  <c r="A322" i="60"/>
  <c r="B323" i="66" a="1"/>
  <c r="B323" i="66" s="1"/>
  <c r="A178" i="60"/>
  <c r="B179" i="66" a="1"/>
  <c r="B179" i="66" s="1"/>
  <c r="A376" i="60"/>
  <c r="B377" i="66" a="1"/>
  <c r="B377" i="66" s="1"/>
  <c r="A249" i="60"/>
  <c r="B250" i="66" a="1"/>
  <c r="B250" i="66" s="1"/>
  <c r="A99" i="60"/>
  <c r="B100" i="66" a="1"/>
  <c r="B100" i="66" s="1"/>
  <c r="A248" i="60"/>
  <c r="B249" i="66" a="1"/>
  <c r="B249" i="66" s="1"/>
  <c r="A97" i="60"/>
  <c r="B98" i="66" a="1"/>
  <c r="B98" i="66" s="1"/>
  <c r="A283" i="60"/>
  <c r="B284" i="66" a="1"/>
  <c r="B284" i="66" s="1"/>
  <c r="A139" i="60"/>
  <c r="B140" i="66" a="1"/>
  <c r="B140" i="66" s="1"/>
  <c r="A342" i="60"/>
  <c r="B343" i="66" a="1"/>
  <c r="B343" i="66" s="1"/>
  <c r="A198" i="60"/>
  <c r="B199" i="66" a="1"/>
  <c r="B199" i="66" s="1"/>
  <c r="A7" i="60"/>
  <c r="B8" i="66" a="1"/>
  <c r="B8" i="66" s="1"/>
  <c r="A116" i="60"/>
  <c r="B117" i="66" a="1"/>
  <c r="B117" i="66" s="1"/>
  <c r="A44" i="60"/>
  <c r="B45" i="66" a="1"/>
  <c r="B45" i="66" s="1"/>
  <c r="A375" i="60"/>
  <c r="B376" i="66" a="1"/>
  <c r="B376" i="66" s="1"/>
  <c r="A55" i="60"/>
  <c r="B56" i="66" a="1"/>
  <c r="B56" i="66" s="1"/>
  <c r="A24" i="60"/>
  <c r="B25" i="66" a="1"/>
  <c r="B25" i="66" s="1"/>
  <c r="A3" i="60"/>
  <c r="B4" i="66" a="1"/>
  <c r="B4" i="66" s="1"/>
  <c r="A5" i="60"/>
  <c r="B6" i="66" a="1"/>
  <c r="B6" i="66" s="1"/>
  <c r="A209" i="60"/>
  <c r="B210" i="66" a="1"/>
  <c r="B210" i="66" s="1"/>
  <c r="A279" i="60"/>
  <c r="B280" i="66" a="1"/>
  <c r="B280" i="66" s="1"/>
  <c r="A135" i="60"/>
  <c r="B136" i="66" a="1"/>
  <c r="B136" i="66" s="1"/>
  <c r="A196" i="60"/>
  <c r="B197" i="66" a="1"/>
  <c r="B197" i="66" s="1"/>
  <c r="A314" i="60"/>
  <c r="B315" i="66" a="1"/>
  <c r="B315" i="66" s="1"/>
  <c r="A170" i="60"/>
  <c r="B171" i="66" a="1"/>
  <c r="B171" i="66" s="1"/>
  <c r="A229" i="60"/>
  <c r="B230" i="66" a="1"/>
  <c r="B230" i="66" s="1"/>
  <c r="A73" i="60"/>
  <c r="B74" i="66" a="1"/>
  <c r="B74" i="66" s="1"/>
  <c r="A362" i="60"/>
  <c r="B363" i="66" a="1"/>
  <c r="B363" i="66" s="1"/>
  <c r="A228" i="60"/>
  <c r="B229" i="66" a="1"/>
  <c r="B229" i="66" s="1"/>
  <c r="A71" i="60"/>
  <c r="B72" i="66" a="1"/>
  <c r="B72" i="66" s="1"/>
  <c r="A227" i="60"/>
  <c r="B228" i="66" a="1"/>
  <c r="B228" i="66" s="1"/>
  <c r="A70" i="60"/>
  <c r="B71" i="66" a="1"/>
  <c r="B71" i="66" s="1"/>
  <c r="A310" i="60"/>
  <c r="B311" i="66" a="1"/>
  <c r="B311" i="66" s="1"/>
  <c r="A166" i="60"/>
  <c r="B167" i="66" a="1"/>
  <c r="B167" i="66" s="1"/>
  <c r="A368" i="60"/>
  <c r="B369" i="66" a="1"/>
  <c r="B369" i="66" s="1"/>
  <c r="A237" i="60"/>
  <c r="B238" i="66" a="1"/>
  <c r="B238" i="66" s="1"/>
  <c r="A84" i="60"/>
  <c r="B85" i="66" a="1"/>
  <c r="B85" i="66" s="1"/>
  <c r="A236" i="60"/>
  <c r="B237" i="66" a="1"/>
  <c r="B237" i="66" s="1"/>
  <c r="A83" i="60"/>
  <c r="B84" i="66" a="1"/>
  <c r="B84" i="66" s="1"/>
  <c r="A271" i="60"/>
  <c r="B272" i="66" a="1"/>
  <c r="B272" i="66" s="1"/>
  <c r="A125" i="60"/>
  <c r="B126" i="66" a="1"/>
  <c r="B126" i="66" s="1"/>
  <c r="A330" i="60"/>
  <c r="B331" i="66" a="1"/>
  <c r="B331" i="66" s="1"/>
  <c r="A186" i="60"/>
  <c r="B187" i="66" a="1"/>
  <c r="B187" i="66" s="1"/>
  <c r="A75" i="60"/>
  <c r="B76" i="66" a="1"/>
  <c r="B76" i="66" s="1"/>
  <c r="A110" i="60"/>
  <c r="B111" i="66" a="1"/>
  <c r="B111" i="66" s="1"/>
  <c r="A38" i="60"/>
  <c r="B39" i="66" a="1"/>
  <c r="B39" i="66" s="1"/>
  <c r="A371" i="60"/>
  <c r="B372" i="66" a="1"/>
  <c r="B372" i="66" s="1"/>
  <c r="A49" i="60"/>
  <c r="B50" i="66" a="1"/>
  <c r="B50" i="66" s="1"/>
  <c r="A341" i="60"/>
  <c r="B342" i="66" a="1"/>
  <c r="B342" i="66" s="1"/>
  <c r="A197" i="60"/>
  <c r="B198" i="66" a="1"/>
  <c r="B198" i="66" s="1"/>
  <c r="A267" i="60"/>
  <c r="B268" i="66" a="1"/>
  <c r="B268" i="66" s="1"/>
  <c r="A120" i="60"/>
  <c r="B121" i="66" a="1"/>
  <c r="B121" i="66" s="1"/>
  <c r="A172" i="60"/>
  <c r="B173" i="66" a="1"/>
  <c r="B173" i="66" s="1"/>
  <c r="A302" i="60"/>
  <c r="B303" i="66" a="1"/>
  <c r="B303" i="66" s="1"/>
  <c r="A158" i="60"/>
  <c r="B159" i="66" a="1"/>
  <c r="B159" i="66" s="1"/>
  <c r="A217" i="60"/>
  <c r="B218" i="66" a="1"/>
  <c r="B218" i="66" s="1"/>
  <c r="A46" i="60"/>
  <c r="B47" i="66" a="1"/>
  <c r="B47" i="66" s="1"/>
  <c r="A354" i="60"/>
  <c r="B355" i="66" a="1"/>
  <c r="B355" i="66" s="1"/>
  <c r="A216" i="60"/>
  <c r="B217" i="66" a="1"/>
  <c r="B217" i="66" s="1"/>
  <c r="A41" i="60"/>
  <c r="B42" i="66" a="1"/>
  <c r="B42" i="66" s="1"/>
  <c r="A215" i="60"/>
  <c r="B216" i="66" a="1"/>
  <c r="B216" i="66" s="1"/>
  <c r="A40" i="60"/>
  <c r="B41" i="66" a="1"/>
  <c r="B41" i="66" s="1"/>
  <c r="A298" i="60"/>
  <c r="B299" i="66" a="1"/>
  <c r="B299" i="66" s="1"/>
  <c r="A154" i="60"/>
  <c r="B155" i="66" a="1"/>
  <c r="B155" i="66" s="1"/>
  <c r="A360" i="60"/>
  <c r="B361" i="66" a="1"/>
  <c r="B361" i="66" s="1"/>
  <c r="A225" i="60"/>
  <c r="B226" i="66" a="1"/>
  <c r="B226" i="66" s="1"/>
  <c r="A65" i="60"/>
  <c r="B66" i="66" a="1"/>
  <c r="B66" i="66" s="1"/>
  <c r="A224" i="60"/>
  <c r="B225" i="66" a="1"/>
  <c r="B225" i="66" s="1"/>
  <c r="A64" i="60"/>
  <c r="B65" i="66" a="1"/>
  <c r="B65" i="66" s="1"/>
  <c r="A259" i="60"/>
  <c r="B260" i="66" a="1"/>
  <c r="B260" i="66" s="1"/>
  <c r="A111" i="60"/>
  <c r="B112" i="66" a="1"/>
  <c r="B112" i="66" s="1"/>
  <c r="A318" i="60"/>
  <c r="B319" i="66" a="1"/>
  <c r="B319" i="66" s="1"/>
  <c r="A174" i="60"/>
  <c r="B175" i="66" a="1"/>
  <c r="B175" i="66" s="1"/>
  <c r="A69" i="60"/>
  <c r="B70" i="66" a="1"/>
  <c r="B70" i="66" s="1"/>
  <c r="A104" i="60"/>
  <c r="B105" i="66" a="1"/>
  <c r="B105" i="66" s="1"/>
  <c r="A32" i="60"/>
  <c r="B33" i="66" a="1"/>
  <c r="B33" i="66" s="1"/>
  <c r="A367" i="60"/>
  <c r="B368" i="66" a="1"/>
  <c r="B368" i="66" s="1"/>
  <c r="A43" i="60"/>
  <c r="B44" i="66" a="1"/>
  <c r="B44" i="66" s="1"/>
  <c r="A72" i="60"/>
  <c r="B73" i="66" a="1"/>
  <c r="B73" i="66" s="1"/>
  <c r="A329" i="60"/>
  <c r="B330" i="66" a="1"/>
  <c r="B330" i="66" s="1"/>
  <c r="A185" i="60"/>
  <c r="B186" i="66" a="1"/>
  <c r="B186" i="66" s="1"/>
  <c r="A255" i="60"/>
  <c r="B256" i="66" a="1"/>
  <c r="B256" i="66" s="1"/>
  <c r="A106" i="60"/>
  <c r="B107" i="66" a="1"/>
  <c r="B107" i="66" s="1"/>
  <c r="A160" i="60"/>
  <c r="B161" i="66" a="1"/>
  <c r="B161" i="66" s="1"/>
  <c r="A290" i="60"/>
  <c r="B291" i="66" a="1"/>
  <c r="B291" i="66" s="1"/>
  <c r="A146" i="60"/>
  <c r="B147" i="66" a="1"/>
  <c r="B147" i="66" s="1"/>
  <c r="A205" i="60"/>
  <c r="B206" i="66" a="1"/>
  <c r="B206" i="66" s="1"/>
  <c r="A328" i="60"/>
  <c r="B329" i="66" a="1"/>
  <c r="B329" i="66" s="1"/>
  <c r="A346" i="60"/>
  <c r="B347" i="66" a="1"/>
  <c r="B347" i="66" s="1"/>
  <c r="A204" i="60"/>
  <c r="B205" i="66" a="1"/>
  <c r="B205" i="66" s="1"/>
  <c r="A203" i="60"/>
  <c r="B204" i="66" a="1"/>
  <c r="B204" i="66" s="1"/>
  <c r="A286" i="60"/>
  <c r="B287" i="66" a="1"/>
  <c r="B287" i="66" s="1"/>
  <c r="A142" i="60"/>
  <c r="B143" i="66" a="1"/>
  <c r="B143" i="66" s="1"/>
  <c r="A352" i="60"/>
  <c r="B353" i="66" a="1"/>
  <c r="B353" i="66" s="1"/>
  <c r="A213" i="60"/>
  <c r="B214" i="66" a="1"/>
  <c r="B214" i="66" s="1"/>
  <c r="A29" i="60"/>
  <c r="B30" i="66" a="1"/>
  <c r="B30" i="66" s="1"/>
  <c r="A212" i="60"/>
  <c r="B213" i="66" a="1"/>
  <c r="B213" i="66" s="1"/>
  <c r="A247" i="60"/>
  <c r="B248" i="66" a="1"/>
  <c r="B248" i="66" s="1"/>
  <c r="A96" i="60"/>
  <c r="B97" i="66" a="1"/>
  <c r="B97" i="66" s="1"/>
  <c r="A306" i="60"/>
  <c r="B307" i="66" a="1"/>
  <c r="B307" i="66" s="1"/>
  <c r="A162" i="60"/>
  <c r="B163" i="66" a="1"/>
  <c r="B163" i="66" s="1"/>
  <c r="A373" i="60"/>
  <c r="B374" i="66" a="1"/>
  <c r="B374" i="66" s="1"/>
  <c r="A63" i="60"/>
  <c r="B64" i="66" a="1"/>
  <c r="B64" i="66" s="1"/>
  <c r="A98" i="60"/>
  <c r="B99" i="66" a="1"/>
  <c r="B99" i="66" s="1"/>
  <c r="A26" i="60"/>
  <c r="B27" i="66" a="1"/>
  <c r="B27" i="66" s="1"/>
  <c r="A363" i="60"/>
  <c r="B364" i="66" a="1"/>
  <c r="B364" i="66" s="1"/>
  <c r="A31" i="60"/>
  <c r="B32" i="66" a="1"/>
  <c r="B32" i="66" s="1"/>
  <c r="A66" i="60"/>
  <c r="B67" i="66" a="1"/>
  <c r="B67" i="66" s="1"/>
  <c r="A23" i="60"/>
  <c r="B24" i="66" a="1"/>
  <c r="B24" i="66" s="1"/>
  <c r="A317" i="60"/>
  <c r="B318" i="66" a="1"/>
  <c r="B318" i="66" s="1"/>
  <c r="A173" i="60"/>
  <c r="B174" i="66" a="1"/>
  <c r="B174" i="66" s="1"/>
  <c r="A372" i="60"/>
  <c r="B373" i="66" a="1"/>
  <c r="B373" i="66" s="1"/>
  <c r="A243" i="60"/>
  <c r="B244" i="66" a="1"/>
  <c r="B244" i="66" s="1"/>
  <c r="A91" i="60"/>
  <c r="B92" i="66" a="1"/>
  <c r="B92" i="66" s="1"/>
  <c r="A136" i="60"/>
  <c r="B137" i="66" a="1"/>
  <c r="B137" i="66" s="1"/>
  <c r="A278" i="60"/>
  <c r="B279" i="66" a="1"/>
  <c r="B279" i="66" s="1"/>
  <c r="A133" i="60"/>
  <c r="B134" i="66" a="1"/>
  <c r="B134" i="66" s="1"/>
  <c r="A337" i="60"/>
  <c r="B338" i="66" a="1"/>
  <c r="B338" i="66" s="1"/>
  <c r="A193" i="60"/>
  <c r="B194" i="66" a="1"/>
  <c r="B194" i="66" s="1"/>
  <c r="A292" i="60"/>
  <c r="B293" i="66" a="1"/>
  <c r="B293" i="66" s="1"/>
  <c r="A336" i="60"/>
  <c r="B337" i="66" a="1"/>
  <c r="B337" i="66" s="1"/>
  <c r="A192" i="60"/>
  <c r="B193" i="66" a="1"/>
  <c r="B193" i="66" s="1"/>
  <c r="A335" i="60"/>
  <c r="B336" i="66" a="1"/>
  <c r="B336" i="66" s="1"/>
  <c r="A191" i="60"/>
  <c r="B192" i="66" a="1"/>
  <c r="B192" i="66" s="1"/>
  <c r="A274" i="60"/>
  <c r="B275" i="66" a="1"/>
  <c r="B275" i="66" s="1"/>
  <c r="A129" i="60"/>
  <c r="B130" i="66" a="1"/>
  <c r="B130" i="66" s="1"/>
  <c r="A344" i="60"/>
  <c r="B345" i="66" a="1"/>
  <c r="B345" i="66" s="1"/>
  <c r="A201" i="60"/>
  <c r="B202" i="66" a="1"/>
  <c r="B202" i="66" s="1"/>
  <c r="A200" i="60"/>
  <c r="B201" i="66" a="1"/>
  <c r="B201" i="66" s="1"/>
  <c r="A235" i="60"/>
  <c r="B236" i="66" a="1"/>
  <c r="B236" i="66" s="1"/>
  <c r="A82" i="60"/>
  <c r="B83" i="66" a="1"/>
  <c r="B83" i="66" s="1"/>
  <c r="A294" i="60"/>
  <c r="B295" i="66" a="1"/>
  <c r="B295" i="66" s="1"/>
  <c r="A150" i="60"/>
  <c r="B151" i="66" a="1"/>
  <c r="B151" i="66" s="1"/>
  <c r="A369" i="60"/>
  <c r="B370" i="66" a="1"/>
  <c r="B370" i="66" s="1"/>
  <c r="A22" i="60"/>
  <c r="B23" i="66" a="1"/>
  <c r="B23" i="66" s="1"/>
  <c r="A57" i="60"/>
  <c r="B58" i="66" a="1"/>
  <c r="B58" i="66" s="1"/>
  <c r="A92" i="60"/>
  <c r="B93" i="66" a="1"/>
  <c r="B93" i="66" s="1"/>
  <c r="A19" i="60"/>
  <c r="B20" i="66" a="1"/>
  <c r="B20" i="66" s="1"/>
  <c r="A359" i="60"/>
  <c r="B360" i="66" a="1"/>
  <c r="B360" i="66" s="1"/>
  <c r="A60" i="60"/>
  <c r="B61" i="66" a="1"/>
  <c r="B61" i="66" s="1"/>
  <c r="A16" i="60"/>
  <c r="B17" i="66" a="1"/>
  <c r="B17" i="66" s="1"/>
  <c r="A305" i="60"/>
  <c r="B306" i="66" a="1"/>
  <c r="B306" i="66" s="1"/>
  <c r="A161" i="60"/>
  <c r="B162" i="66" a="1"/>
  <c r="B162" i="66" s="1"/>
  <c r="A364" i="60"/>
  <c r="B365" i="66" a="1"/>
  <c r="B365" i="66" s="1"/>
  <c r="A231" i="60"/>
  <c r="B232" i="66" a="1"/>
  <c r="B232" i="66" s="1"/>
  <c r="A77" i="60"/>
  <c r="B78" i="66" a="1"/>
  <c r="B78" i="66" s="1"/>
  <c r="A121" i="60"/>
  <c r="B122" i="66" a="1"/>
  <c r="B122" i="66" s="1"/>
  <c r="A266" i="60"/>
  <c r="B267" i="66" a="1"/>
  <c r="B267" i="66" s="1"/>
  <c r="A119" i="60"/>
  <c r="B120" i="66" a="1"/>
  <c r="B120" i="66" s="1"/>
  <c r="A325" i="60"/>
  <c r="B326" i="66" a="1"/>
  <c r="B326" i="66" s="1"/>
  <c r="A181" i="60"/>
  <c r="B182" i="66" a="1"/>
  <c r="B182" i="66" s="1"/>
  <c r="A256" i="60"/>
  <c r="B257" i="66" a="1"/>
  <c r="B257" i="66" s="1"/>
  <c r="A324" i="60"/>
  <c r="B325" i="66" a="1"/>
  <c r="B325" i="66" s="1"/>
  <c r="A180" i="60"/>
  <c r="B181" i="66" a="1"/>
  <c r="B181" i="66" s="1"/>
  <c r="A323" i="60"/>
  <c r="B324" i="66" a="1"/>
  <c r="B324" i="66" s="1"/>
  <c r="A179" i="60"/>
  <c r="B180" i="66" a="1"/>
  <c r="B180" i="66" s="1"/>
  <c r="A262" i="60"/>
  <c r="B263" i="66" a="1"/>
  <c r="B263" i="66" s="1"/>
  <c r="A114" i="60"/>
  <c r="B115" i="66" a="1"/>
  <c r="B115" i="66" s="1"/>
  <c r="A333" i="60"/>
  <c r="B334" i="66" a="1"/>
  <c r="B334" i="66" s="1"/>
  <c r="A189" i="60"/>
  <c r="B190" i="66" a="1"/>
  <c r="B190" i="66" s="1"/>
  <c r="A332" i="60"/>
  <c r="B333" i="66" a="1"/>
  <c r="B333" i="66" s="1"/>
  <c r="A188" i="60"/>
  <c r="B189" i="66" a="1"/>
  <c r="B189" i="66" s="1"/>
  <c r="A223" i="60"/>
  <c r="B224" i="66" a="1"/>
  <c r="B224" i="66" s="1"/>
  <c r="A61" i="60"/>
  <c r="B62" i="66" a="1"/>
  <c r="B62" i="66" s="1"/>
  <c r="A282" i="60"/>
  <c r="B283" i="66" a="1"/>
  <c r="B283" i="66" s="1"/>
  <c r="A138" i="60"/>
  <c r="B139" i="66" a="1"/>
  <c r="B139" i="66" s="1"/>
  <c r="A365" i="60"/>
  <c r="B366" i="66" a="1"/>
  <c r="B366" i="66" s="1"/>
  <c r="A15" i="60"/>
  <c r="B16" i="66" a="1"/>
  <c r="B16" i="66" s="1"/>
  <c r="A51" i="60"/>
  <c r="B52" i="66" a="1"/>
  <c r="B52" i="66" s="1"/>
  <c r="A86" i="60"/>
  <c r="B87" i="66" a="1"/>
  <c r="B87" i="66" s="1"/>
  <c r="A12" i="60"/>
  <c r="B13" i="66" a="1"/>
  <c r="B13" i="66" s="1"/>
  <c r="A355" i="60"/>
  <c r="B356" i="66" a="1"/>
  <c r="B356" i="66" s="1"/>
  <c r="A18" i="60"/>
  <c r="B19" i="66" a="1"/>
  <c r="B19" i="66" s="1"/>
  <c r="A54" i="60"/>
  <c r="B55" i="66" a="1"/>
  <c r="B55" i="66" s="1"/>
  <c r="A293" i="60"/>
  <c r="B294" i="66" a="1"/>
  <c r="B294" i="66" s="1"/>
  <c r="A149" i="60"/>
  <c r="B150" i="66" a="1"/>
  <c r="B150" i="66" s="1"/>
  <c r="A356" i="60"/>
  <c r="B357" i="66" a="1"/>
  <c r="B357" i="66" s="1"/>
  <c r="B220" i="66" a="1"/>
  <c r="B220" i="66" s="1"/>
  <c r="A52" i="60"/>
  <c r="B53" i="66" a="1"/>
  <c r="B53" i="66" s="1"/>
  <c r="A107" i="60"/>
  <c r="B108" i="66" a="1"/>
  <c r="B108" i="66" s="1"/>
  <c r="A254" i="60"/>
  <c r="B255" i="66" a="1"/>
  <c r="B255" i="66" s="1"/>
  <c r="A105" i="60"/>
  <c r="B106" i="66" a="1"/>
  <c r="B106" i="66" s="1"/>
  <c r="A313" i="60"/>
  <c r="B314" i="66" a="1"/>
  <c r="B314" i="66" s="1"/>
  <c r="A169" i="60"/>
  <c r="B170" i="66" a="1"/>
  <c r="B170" i="66" s="1"/>
  <c r="A232" i="60"/>
  <c r="B233" i="66" a="1"/>
  <c r="B233" i="66" s="1"/>
  <c r="A312" i="60"/>
  <c r="B313" i="66" a="1"/>
  <c r="B313" i="66" s="1"/>
  <c r="A168" i="60"/>
  <c r="B169" i="66" a="1"/>
  <c r="B169" i="66" s="1"/>
  <c r="A311" i="60"/>
  <c r="B312" i="66" a="1"/>
  <c r="B312" i="66" s="1"/>
  <c r="A167" i="60"/>
  <c r="B168" i="66" a="1"/>
  <c r="B168" i="66" s="1"/>
  <c r="A250" i="60"/>
  <c r="B251" i="66" a="1"/>
  <c r="B251" i="66" s="1"/>
  <c r="A100" i="60"/>
  <c r="B101" i="66" a="1"/>
  <c r="B101" i="66" s="1"/>
  <c r="A321" i="60"/>
  <c r="B322" i="66" a="1"/>
  <c r="B322" i="66" s="1"/>
  <c r="A177" i="60"/>
  <c r="B178" i="66" a="1"/>
  <c r="B178" i="66" s="1"/>
  <c r="A320" i="60"/>
  <c r="B321" i="66" a="1"/>
  <c r="B321" i="66" s="1"/>
  <c r="A176" i="60"/>
  <c r="B177" i="66" a="1"/>
  <c r="B177" i="66" s="1"/>
  <c r="A211" i="60"/>
  <c r="B212" i="66" a="1"/>
  <c r="B212" i="66" s="1"/>
  <c r="A270" i="60"/>
  <c r="B271" i="66" a="1"/>
  <c r="B271" i="66" s="1"/>
  <c r="A124" i="60"/>
  <c r="B125" i="66" a="1"/>
  <c r="B125" i="66" s="1"/>
  <c r="A361" i="60"/>
  <c r="B362" i="66" a="1"/>
  <c r="B362" i="66" s="1"/>
  <c r="A8" i="60"/>
  <c r="B9" i="66" a="1"/>
  <c r="B9" i="66" s="1"/>
  <c r="A45" i="60"/>
  <c r="B46" i="66" a="1"/>
  <c r="B46" i="66" s="1"/>
  <c r="A80" i="60"/>
  <c r="B81" i="66" a="1"/>
  <c r="B81" i="66" s="1"/>
  <c r="A351" i="60"/>
  <c r="B352" i="66" a="1"/>
  <c r="B352" i="66" s="1"/>
  <c r="A11" i="60"/>
  <c r="B12" i="66" a="1"/>
  <c r="B12" i="66" s="1"/>
  <c r="A48" i="60"/>
  <c r="B49" i="66" a="1"/>
  <c r="B49" i="66" s="1"/>
  <c r="A2" i="60"/>
  <c r="B3" i="66" a="1"/>
  <c r="B3" i="66" s="1"/>
  <c r="A3" i="66" a="1"/>
  <c r="C300" i="66" s="1"/>
  <c r="A3" i="66" l="1"/>
  <c r="C3" i="66" s="1"/>
  <c r="C4" i="66"/>
  <c r="C16" i="66"/>
  <c r="C28" i="66"/>
  <c r="C40" i="66"/>
  <c r="C52" i="66"/>
  <c r="C64" i="66"/>
  <c r="C76" i="66"/>
  <c r="C88" i="66"/>
  <c r="C100" i="66"/>
  <c r="C112" i="66"/>
  <c r="C124" i="66"/>
  <c r="C136" i="66"/>
  <c r="C148" i="66"/>
  <c r="C160" i="66"/>
  <c r="C172" i="66"/>
  <c r="C184" i="66"/>
  <c r="C196" i="66"/>
  <c r="C208" i="66"/>
  <c r="C220" i="66"/>
  <c r="C232" i="66"/>
  <c r="C244" i="66"/>
  <c r="C256" i="66"/>
  <c r="C268" i="66"/>
  <c r="C280" i="66"/>
  <c r="C292" i="66"/>
  <c r="C304" i="66"/>
  <c r="C316" i="66"/>
  <c r="C328" i="66"/>
  <c r="C340" i="66"/>
  <c r="C352" i="66"/>
  <c r="C364" i="66"/>
  <c r="C353" i="66"/>
  <c r="C5" i="66"/>
  <c r="C17" i="66"/>
  <c r="C29" i="66"/>
  <c r="C41" i="66"/>
  <c r="C53" i="66"/>
  <c r="C65" i="66"/>
  <c r="C77" i="66"/>
  <c r="C89" i="66"/>
  <c r="C101" i="66"/>
  <c r="C113" i="66"/>
  <c r="C125" i="66"/>
  <c r="C137" i="66"/>
  <c r="C149" i="66"/>
  <c r="C161" i="66"/>
  <c r="C173" i="66"/>
  <c r="C185" i="66"/>
  <c r="C197" i="66"/>
  <c r="C209" i="66"/>
  <c r="C221" i="66"/>
  <c r="C233" i="66"/>
  <c r="C245" i="66"/>
  <c r="C257" i="66"/>
  <c r="C269" i="66"/>
  <c r="C281" i="66"/>
  <c r="C293" i="66"/>
  <c r="C305" i="66"/>
  <c r="C317" i="66"/>
  <c r="C329" i="66"/>
  <c r="C341" i="66"/>
  <c r="C365" i="66"/>
  <c r="C6" i="66"/>
  <c r="C18" i="66"/>
  <c r="C30" i="66"/>
  <c r="C42" i="66"/>
  <c r="C54" i="66"/>
  <c r="C66" i="66"/>
  <c r="C78" i="66"/>
  <c r="C90" i="66"/>
  <c r="C102" i="66"/>
  <c r="C114" i="66"/>
  <c r="C126" i="66"/>
  <c r="C138" i="66"/>
  <c r="C150" i="66"/>
  <c r="C162" i="66"/>
  <c r="C174" i="66"/>
  <c r="C186" i="66"/>
  <c r="C198" i="66"/>
  <c r="C210" i="66"/>
  <c r="C222" i="66"/>
  <c r="C234" i="66"/>
  <c r="C246" i="66"/>
  <c r="C258" i="66"/>
  <c r="C270" i="66"/>
  <c r="C282" i="66"/>
  <c r="C294" i="66"/>
  <c r="C306" i="66"/>
  <c r="C318" i="66"/>
  <c r="C330" i="66"/>
  <c r="C342" i="66"/>
  <c r="C354" i="66"/>
  <c r="C366" i="66"/>
  <c r="C166" i="66"/>
  <c r="C238" i="66"/>
  <c r="C298" i="66"/>
  <c r="C156" i="66"/>
  <c r="C252" i="66"/>
  <c r="C324" i="66"/>
  <c r="C314" i="66"/>
  <c r="C374" i="66"/>
  <c r="C7" i="66"/>
  <c r="C19" i="66"/>
  <c r="C31" i="66"/>
  <c r="C43" i="66"/>
  <c r="C55" i="66"/>
  <c r="C67" i="66"/>
  <c r="C79" i="66"/>
  <c r="C91" i="66"/>
  <c r="C103" i="66"/>
  <c r="C115" i="66"/>
  <c r="C127" i="66"/>
  <c r="C139" i="66"/>
  <c r="C151" i="66"/>
  <c r="C163" i="66"/>
  <c r="C175" i="66"/>
  <c r="C187" i="66"/>
  <c r="C199" i="66"/>
  <c r="C211" i="66"/>
  <c r="C223" i="66"/>
  <c r="C235" i="66"/>
  <c r="C247" i="66"/>
  <c r="C259" i="66"/>
  <c r="C271" i="66"/>
  <c r="C283" i="66"/>
  <c r="C295" i="66"/>
  <c r="C307" i="66"/>
  <c r="C319" i="66"/>
  <c r="C331" i="66"/>
  <c r="C343" i="66"/>
  <c r="C355" i="66"/>
  <c r="C367" i="66"/>
  <c r="C142" i="66"/>
  <c r="C214" i="66"/>
  <c r="C262" i="66"/>
  <c r="C310" i="66"/>
  <c r="C358" i="66"/>
  <c r="C108" i="66"/>
  <c r="C240" i="66"/>
  <c r="C312" i="66"/>
  <c r="C362" i="66"/>
  <c r="C8" i="66"/>
  <c r="C20" i="66"/>
  <c r="C32" i="66"/>
  <c r="C44" i="66"/>
  <c r="C56" i="66"/>
  <c r="C68" i="66"/>
  <c r="C80" i="66"/>
  <c r="C92" i="66"/>
  <c r="C104" i="66"/>
  <c r="C116" i="66"/>
  <c r="C128" i="66"/>
  <c r="C140" i="66"/>
  <c r="C152" i="66"/>
  <c r="C164" i="66"/>
  <c r="C176" i="66"/>
  <c r="C188" i="66"/>
  <c r="C200" i="66"/>
  <c r="C212" i="66"/>
  <c r="C224" i="66"/>
  <c r="C236" i="66"/>
  <c r="C248" i="66"/>
  <c r="C260" i="66"/>
  <c r="C272" i="66"/>
  <c r="C284" i="66"/>
  <c r="C296" i="66"/>
  <c r="C308" i="66"/>
  <c r="C320" i="66"/>
  <c r="C332" i="66"/>
  <c r="C344" i="66"/>
  <c r="C356" i="66"/>
  <c r="C368" i="66"/>
  <c r="C130" i="66"/>
  <c r="C226" i="66"/>
  <c r="C286" i="66"/>
  <c r="C346" i="66"/>
  <c r="C120" i="66"/>
  <c r="C204" i="66"/>
  <c r="C288" i="66"/>
  <c r="C360" i="66"/>
  <c r="C302" i="66"/>
  <c r="C338" i="66"/>
  <c r="C9" i="66"/>
  <c r="C21" i="66"/>
  <c r="C33" i="66"/>
  <c r="C45" i="66"/>
  <c r="C57" i="66"/>
  <c r="C69" i="66"/>
  <c r="C81" i="66"/>
  <c r="C93" i="66"/>
  <c r="C105" i="66"/>
  <c r="C117" i="66"/>
  <c r="C129" i="66"/>
  <c r="C141" i="66"/>
  <c r="C153" i="66"/>
  <c r="C165" i="66"/>
  <c r="C177" i="66"/>
  <c r="C189" i="66"/>
  <c r="C201" i="66"/>
  <c r="C213" i="66"/>
  <c r="C225" i="66"/>
  <c r="C237" i="66"/>
  <c r="C249" i="66"/>
  <c r="C261" i="66"/>
  <c r="C273" i="66"/>
  <c r="C285" i="66"/>
  <c r="C297" i="66"/>
  <c r="C309" i="66"/>
  <c r="C321" i="66"/>
  <c r="C333" i="66"/>
  <c r="C345" i="66"/>
  <c r="C357" i="66"/>
  <c r="C369" i="66"/>
  <c r="C118" i="66"/>
  <c r="C202" i="66"/>
  <c r="C274" i="66"/>
  <c r="C334" i="66"/>
  <c r="C370" i="66"/>
  <c r="C144" i="66"/>
  <c r="C228" i="66"/>
  <c r="C372" i="66"/>
  <c r="C254" i="66"/>
  <c r="C10" i="66"/>
  <c r="C22" i="66"/>
  <c r="C34" i="66"/>
  <c r="C46" i="66"/>
  <c r="C58" i="66"/>
  <c r="C70" i="66"/>
  <c r="C82" i="66"/>
  <c r="C94" i="66"/>
  <c r="C106" i="66"/>
  <c r="C154" i="66"/>
  <c r="C178" i="66"/>
  <c r="C190" i="66"/>
  <c r="C250" i="66"/>
  <c r="C322" i="66"/>
  <c r="C180" i="66"/>
  <c r="C264" i="66"/>
  <c r="C336" i="66"/>
  <c r="C290" i="66"/>
  <c r="C11" i="66"/>
  <c r="C23" i="66"/>
  <c r="C35" i="66"/>
  <c r="C47" i="66"/>
  <c r="C59" i="66"/>
  <c r="C71" i="66"/>
  <c r="C83" i="66"/>
  <c r="C95" i="66"/>
  <c r="C107" i="66"/>
  <c r="C119" i="66"/>
  <c r="C131" i="66"/>
  <c r="C143" i="66"/>
  <c r="C155" i="66"/>
  <c r="C167" i="66"/>
  <c r="C179" i="66"/>
  <c r="C191" i="66"/>
  <c r="C203" i="66"/>
  <c r="C215" i="66"/>
  <c r="C227" i="66"/>
  <c r="C239" i="66"/>
  <c r="C251" i="66"/>
  <c r="C263" i="66"/>
  <c r="C275" i="66"/>
  <c r="C287" i="66"/>
  <c r="C299" i="66"/>
  <c r="C311" i="66"/>
  <c r="C323" i="66"/>
  <c r="C335" i="66"/>
  <c r="C347" i="66"/>
  <c r="C359" i="66"/>
  <c r="C371" i="66"/>
  <c r="C12" i="66"/>
  <c r="C24" i="66"/>
  <c r="C36" i="66"/>
  <c r="C48" i="66"/>
  <c r="C60" i="66"/>
  <c r="C72" i="66"/>
  <c r="C84" i="66"/>
  <c r="C96" i="66"/>
  <c r="C132" i="66"/>
  <c r="C168" i="66"/>
  <c r="C192" i="66"/>
  <c r="C216" i="66"/>
  <c r="C276" i="66"/>
  <c r="C348" i="66"/>
  <c r="C266" i="66"/>
  <c r="C13" i="66"/>
  <c r="C25" i="66"/>
  <c r="C37" i="66"/>
  <c r="C49" i="66"/>
  <c r="C61" i="66"/>
  <c r="C73" i="66"/>
  <c r="C85" i="66"/>
  <c r="C97" i="66"/>
  <c r="C109" i="66"/>
  <c r="C121" i="66"/>
  <c r="C133" i="66"/>
  <c r="C145" i="66"/>
  <c r="C157" i="66"/>
  <c r="C169" i="66"/>
  <c r="C181" i="66"/>
  <c r="C193" i="66"/>
  <c r="C205" i="66"/>
  <c r="C217" i="66"/>
  <c r="C229" i="66"/>
  <c r="C241" i="66"/>
  <c r="C253" i="66"/>
  <c r="C265" i="66"/>
  <c r="C277" i="66"/>
  <c r="C289" i="66"/>
  <c r="C301" i="66"/>
  <c r="C313" i="66"/>
  <c r="C325" i="66"/>
  <c r="C337" i="66"/>
  <c r="C349" i="66"/>
  <c r="C361" i="66"/>
  <c r="C373" i="66"/>
  <c r="C14" i="66"/>
  <c r="C26" i="66"/>
  <c r="C38" i="66"/>
  <c r="C50" i="66"/>
  <c r="C62" i="66"/>
  <c r="C74" i="66"/>
  <c r="C86" i="66"/>
  <c r="C98" i="66"/>
  <c r="C110" i="66"/>
  <c r="C122" i="66"/>
  <c r="C134" i="66"/>
  <c r="C146" i="66"/>
  <c r="C158" i="66"/>
  <c r="C170" i="66"/>
  <c r="C182" i="66"/>
  <c r="C194" i="66"/>
  <c r="C206" i="66"/>
  <c r="C218" i="66"/>
  <c r="C230" i="66"/>
  <c r="C242" i="66"/>
  <c r="C278" i="66"/>
  <c r="C326" i="66"/>
  <c r="C350" i="66"/>
  <c r="C15" i="66"/>
  <c r="C27" i="66"/>
  <c r="C39" i="66"/>
  <c r="C51" i="66"/>
  <c r="C63" i="66"/>
  <c r="C75" i="66"/>
  <c r="C87" i="66"/>
  <c r="C99" i="66"/>
  <c r="C111" i="66"/>
  <c r="C123" i="66"/>
  <c r="C135" i="66"/>
  <c r="C147" i="66"/>
  <c r="C159" i="66"/>
  <c r="C171" i="66"/>
  <c r="C183" i="66"/>
  <c r="C195" i="66"/>
  <c r="C207" i="66"/>
  <c r="C219" i="66"/>
  <c r="C231" i="66"/>
  <c r="C243" i="66"/>
  <c r="C255" i="66"/>
  <c r="C267" i="66"/>
  <c r="C279" i="66"/>
  <c r="C291" i="66"/>
  <c r="C303" i="66"/>
  <c r="C315" i="66"/>
  <c r="C327" i="66"/>
  <c r="C339" i="66"/>
  <c r="C351" i="66"/>
  <c r="C363" i="66"/>
  <c r="C375" i="66"/>
  <c r="G14" i="44"/>
  <c r="G13" i="44"/>
  <c r="G12" i="44"/>
  <c r="G11" i="44"/>
  <c r="G10" i="44"/>
  <c r="G9" i="44"/>
  <c r="G8" i="44"/>
  <c r="G7" i="44"/>
  <c r="G14" i="31"/>
  <c r="J1" i="19"/>
  <c r="C6" i="19" s="1"/>
  <c r="I1" i="19"/>
  <c r="C5" i="19" s="1"/>
  <c r="F1" i="19"/>
  <c r="D102" i="24"/>
  <c r="G2" i="24" s="1"/>
  <c r="J21" i="60" s="1"/>
  <c r="G12" i="40"/>
  <c r="G11" i="40"/>
  <c r="G10" i="40"/>
  <c r="G9" i="40"/>
  <c r="G8" i="40"/>
  <c r="G7" i="40"/>
  <c r="G14" i="39"/>
  <c r="G13" i="39"/>
  <c r="G12" i="39"/>
  <c r="G11" i="39"/>
  <c r="G10" i="39"/>
  <c r="G9" i="39"/>
  <c r="G8" i="39"/>
  <c r="G6" i="39"/>
  <c r="G3" i="39" s="1"/>
  <c r="G15" i="30"/>
  <c r="H1" i="19"/>
  <c r="C4" i="19" s="1"/>
  <c r="G1" i="19"/>
  <c r="C3" i="19" s="1"/>
  <c r="G14" i="35"/>
  <c r="G13" i="35"/>
  <c r="G12" i="35"/>
  <c r="G11" i="35"/>
  <c r="G10" i="35"/>
  <c r="G9" i="35"/>
  <c r="G8" i="35"/>
  <c r="G7" i="35"/>
  <c r="G15" i="34"/>
  <c r="G14" i="34"/>
  <c r="G13" i="34"/>
  <c r="G12" i="34"/>
  <c r="G11" i="34"/>
  <c r="G10" i="34"/>
  <c r="G9" i="34"/>
  <c r="G8" i="34"/>
  <c r="G7" i="34"/>
  <c r="G13" i="32"/>
  <c r="G14" i="33"/>
  <c r="G13" i="33"/>
  <c r="G12" i="33"/>
  <c r="G11" i="33"/>
  <c r="G10" i="33"/>
  <c r="G9" i="33"/>
  <c r="G8" i="33"/>
  <c r="G7" i="33"/>
  <c r="G12" i="32"/>
  <c r="G11" i="32"/>
  <c r="G10" i="32"/>
  <c r="G9" i="32"/>
  <c r="G8" i="32"/>
  <c r="G6" i="32"/>
  <c r="G13" i="31"/>
  <c r="G12" i="31"/>
  <c r="G11" i="31"/>
  <c r="G10" i="31"/>
  <c r="G9" i="31"/>
  <c r="G8" i="31"/>
  <c r="G7" i="31"/>
  <c r="G8" i="30"/>
  <c r="G14" i="29"/>
  <c r="G14" i="30"/>
  <c r="G13" i="30"/>
  <c r="G12" i="30"/>
  <c r="G11" i="30"/>
  <c r="G10" i="30"/>
  <c r="G9" i="30"/>
  <c r="G6" i="30"/>
  <c r="G13" i="29"/>
  <c r="G12" i="29"/>
  <c r="G11" i="29"/>
  <c r="G10" i="29"/>
  <c r="G9" i="29"/>
  <c r="G8" i="29"/>
  <c r="G7" i="29"/>
  <c r="G15" i="28"/>
  <c r="G14" i="28"/>
  <c r="G13" i="28"/>
  <c r="G12" i="28"/>
  <c r="G11" i="28"/>
  <c r="G10" i="28"/>
  <c r="G9" i="28"/>
  <c r="G8" i="28"/>
  <c r="G6" i="28"/>
  <c r="G3" i="28" s="1"/>
  <c r="G15" i="27"/>
  <c r="G14" i="27"/>
  <c r="G13" i="27"/>
  <c r="G12" i="27"/>
  <c r="G11" i="27"/>
  <c r="G10" i="27"/>
  <c r="G9" i="27"/>
  <c r="G8" i="27"/>
  <c r="G7" i="27"/>
  <c r="G14" i="26"/>
  <c r="G13" i="26"/>
  <c r="G12" i="26"/>
  <c r="G11" i="26"/>
  <c r="G10" i="26"/>
  <c r="G9" i="26"/>
  <c r="G8" i="26"/>
  <c r="G6" i="26"/>
  <c r="G3" i="26" s="1"/>
  <c r="G12" i="25"/>
  <c r="G11" i="25"/>
  <c r="G10" i="25"/>
  <c r="G9" i="25"/>
  <c r="G8" i="25"/>
  <c r="G6" i="25"/>
  <c r="G3" i="25" s="1"/>
  <c r="G14" i="24"/>
  <c r="G13" i="24"/>
  <c r="G12" i="24"/>
  <c r="G11" i="24"/>
  <c r="G10" i="24"/>
  <c r="G9" i="24"/>
  <c r="G8" i="24"/>
  <c r="G6" i="24"/>
  <c r="G3" i="24" s="1"/>
  <c r="G13" i="21"/>
  <c r="G12" i="21"/>
  <c r="G11" i="21"/>
  <c r="G10" i="21"/>
  <c r="G9" i="21"/>
  <c r="G8" i="21"/>
  <c r="G7" i="21"/>
  <c r="G13" i="1"/>
  <c r="G12" i="1"/>
  <c r="G11" i="1"/>
  <c r="G10" i="1"/>
  <c r="G9" i="1"/>
  <c r="G8" i="1"/>
  <c r="G6" i="1"/>
  <c r="G3" i="1" s="1"/>
  <c r="G13" i="20"/>
  <c r="G12" i="20"/>
  <c r="G11" i="20"/>
  <c r="G10" i="20"/>
  <c r="G9" i="20"/>
  <c r="G8" i="20"/>
  <c r="G6" i="20"/>
  <c r="G10" i="22"/>
  <c r="G9" i="22"/>
  <c r="G8" i="22"/>
  <c r="G7" i="22"/>
  <c r="G15" i="23"/>
  <c r="G8" i="23"/>
  <c r="G9" i="23"/>
  <c r="G10" i="23"/>
  <c r="G11" i="23"/>
  <c r="G12" i="23"/>
  <c r="G13" i="23"/>
  <c r="G14" i="23"/>
  <c r="G6" i="23"/>
  <c r="J2" i="60" l="1"/>
  <c r="S21" i="60"/>
  <c r="G3" i="20"/>
  <c r="G3" i="29"/>
  <c r="G3" i="30"/>
  <c r="G3" i="21"/>
  <c r="C2" i="19"/>
  <c r="A233" i="60" l="1"/>
  <c r="A219" i="60"/>
  <c r="B1" i="19"/>
  <c r="A3" i="1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<sst xmlns="http://schemas.openxmlformats.org/spreadsheetml/2006/main" count="10290" uniqueCount="2334">
  <si>
    <t>Total:</t>
  </si>
  <si>
    <t>Deck</t>
  </si>
  <si>
    <t>Marcelo</t>
  </si>
  <si>
    <t>Total Lojas:</t>
  </si>
  <si>
    <t>Liga</t>
  </si>
  <si>
    <t>Valor</t>
  </si>
  <si>
    <t>Player 3</t>
  </si>
  <si>
    <t>Player 4</t>
  </si>
  <si>
    <t>Thrakiri</t>
  </si>
  <si>
    <t>Elfos</t>
  </si>
  <si>
    <t>Jhoira</t>
  </si>
  <si>
    <t>Fractius</t>
  </si>
  <si>
    <t>Muzzio</t>
  </si>
  <si>
    <t>Rielle</t>
  </si>
  <si>
    <t>Alela</t>
  </si>
  <si>
    <t>Arcades</t>
  </si>
  <si>
    <t>Yuriko</t>
  </si>
  <si>
    <t>Zedruu</t>
  </si>
  <si>
    <t>Inalla</t>
  </si>
  <si>
    <t>Carlos</t>
  </si>
  <si>
    <t>Oona</t>
  </si>
  <si>
    <t>Kresh</t>
  </si>
  <si>
    <t>Akiri</t>
  </si>
  <si>
    <t>Breya</t>
  </si>
  <si>
    <t>Função</t>
  </si>
  <si>
    <t>Carta Atual</t>
  </si>
  <si>
    <t>Carta Ideal</t>
  </si>
  <si>
    <t>Carta Final</t>
  </si>
  <si>
    <t>Terreno</t>
  </si>
  <si>
    <t>Mudanças Faltando</t>
  </si>
  <si>
    <t>Total de Cartas</t>
  </si>
  <si>
    <t>Ancient Ziggurat</t>
  </si>
  <si>
    <t>Funções</t>
  </si>
  <si>
    <t>Command Tower</t>
  </si>
  <si>
    <t>Ramp</t>
  </si>
  <si>
    <t>Draw</t>
  </si>
  <si>
    <t>Remoção</t>
  </si>
  <si>
    <t>Planície</t>
  </si>
  <si>
    <t>Ilha</t>
  </si>
  <si>
    <t>Montanha</t>
  </si>
  <si>
    <t>Pântano</t>
  </si>
  <si>
    <t>Floresta</t>
  </si>
  <si>
    <t>Anule</t>
  </si>
  <si>
    <t>Global</t>
  </si>
  <si>
    <t>Blink</t>
  </si>
  <si>
    <t>Thantis</t>
  </si>
  <si>
    <t>Sisay</t>
  </si>
  <si>
    <t>Narset Mill</t>
  </si>
  <si>
    <t>Kumena</t>
  </si>
  <si>
    <t>Zimone e Dinah</t>
  </si>
  <si>
    <t>Field of the Dead</t>
  </si>
  <si>
    <t>Reliquary Tower</t>
  </si>
  <si>
    <t>Khalni Garden</t>
  </si>
  <si>
    <t>Simic Growth Chamber</t>
  </si>
  <si>
    <t>Golgari Rot Farm</t>
  </si>
  <si>
    <t>Dimir Aqueduct</t>
  </si>
  <si>
    <t>Fabled Passage</t>
  </si>
  <si>
    <t>Bala Ged Recovery</t>
  </si>
  <si>
    <t>Value</t>
  </si>
  <si>
    <t>Proteção</t>
  </si>
  <si>
    <t>Exotic Orchard</t>
  </si>
  <si>
    <t>Controle</t>
  </si>
  <si>
    <t>Bojuka Bog</t>
  </si>
  <si>
    <t>Tokens</t>
  </si>
  <si>
    <t>Zagoth Triome</t>
  </si>
  <si>
    <t>Watery Grave</t>
  </si>
  <si>
    <t>Breeding Pool</t>
  </si>
  <si>
    <t>Overgrown Tomb</t>
  </si>
  <si>
    <t>Bloodstained Mire</t>
  </si>
  <si>
    <t>Scalding Tarn</t>
  </si>
  <si>
    <t>Polluted Delta</t>
  </si>
  <si>
    <t>Windswept Heath</t>
  </si>
  <si>
    <t>Marsh Flats</t>
  </si>
  <si>
    <t>Wooded Foothills</t>
  </si>
  <si>
    <t>Flooded Strand</t>
  </si>
  <si>
    <t>Verdant Catacombs</t>
  </si>
  <si>
    <t>Misty Rainforest</t>
  </si>
  <si>
    <t>Island</t>
  </si>
  <si>
    <t>Swamp</t>
  </si>
  <si>
    <t>Forest</t>
  </si>
  <si>
    <t>Nature's Lore</t>
  </si>
  <si>
    <t>Rampant Growth</t>
  </si>
  <si>
    <t>Entish Restoration</t>
  </si>
  <si>
    <t>Lotus Cobra</t>
  </si>
  <si>
    <t>Tireless Provisioner</t>
  </si>
  <si>
    <t>Morbid Opportunist</t>
  </si>
  <si>
    <t>Tatyova, Benthic Druid</t>
  </si>
  <si>
    <t>Tireless Tracker</t>
  </si>
  <si>
    <t>A Ascensão da Onda Faminta</t>
  </si>
  <si>
    <t>Deathreap Ritual</t>
  </si>
  <si>
    <t>Phyrexian Arena</t>
  </si>
  <si>
    <t>Teferi's Ageless Insight</t>
  </si>
  <si>
    <t>Chord of Calling</t>
  </si>
  <si>
    <t>Wight of the Reliquary</t>
  </si>
  <si>
    <t>Chasm Skulker</t>
  </si>
  <si>
    <t>Beledros Witherbloom</t>
  </si>
  <si>
    <t>Emrakul's Messenger</t>
  </si>
  <si>
    <t>Tendershoot Dryad</t>
  </si>
  <si>
    <t>Invasion of Tolvada</t>
  </si>
  <si>
    <t>Minn, Wily Illusionist</t>
  </si>
  <si>
    <t>Pawn of Ulamog</t>
  </si>
  <si>
    <t>Chatterfang, Squirrel General</t>
  </si>
  <si>
    <t>Alandra, Sky Dreamer</t>
  </si>
  <si>
    <t>Nemata, Primeval Warden</t>
  </si>
  <si>
    <t>Pitiless Plunderer</t>
  </si>
  <si>
    <t>Jolrael, Mwonvuli Recluse</t>
  </si>
  <si>
    <t>Springheart Nantuko</t>
  </si>
  <si>
    <t>Scute Swarm</t>
  </si>
  <si>
    <t>Illusionist's Bracers</t>
  </si>
  <si>
    <t>Retreat to Coralhelm</t>
  </si>
  <si>
    <t>Freestrider Lookout</t>
  </si>
  <si>
    <t>Quirion Ranger</t>
  </si>
  <si>
    <t>Reassembling Skeleton</t>
  </si>
  <si>
    <t>Woe Strider</t>
  </si>
  <si>
    <t>Amulet of Vigor</t>
  </si>
  <si>
    <t>Ancient Greenwarden</t>
  </si>
  <si>
    <t>Eternal Witness</t>
  </si>
  <si>
    <t>Swiftfoot Boots</t>
  </si>
  <si>
    <t>Lightning Greaves</t>
  </si>
  <si>
    <t>Countersquall</t>
  </si>
  <si>
    <t>Negate</t>
  </si>
  <si>
    <t>Beast Within</t>
  </si>
  <si>
    <t>Assassin's Trophy</t>
  </si>
  <si>
    <t>Torment of Hailfire</t>
  </si>
  <si>
    <t>Toxic Deluge</t>
  </si>
  <si>
    <t>Sultai Charm</t>
  </si>
  <si>
    <t>An Offer you Can't Refuse</t>
  </si>
  <si>
    <t>Abrupt Decay</t>
  </si>
  <si>
    <t>Mirkwood Bats</t>
  </si>
  <si>
    <t>Exsanguinate</t>
  </si>
  <si>
    <t>Nadier's Nightblade</t>
  </si>
  <si>
    <t>Kazuul's Fury</t>
  </si>
  <si>
    <t>Rogue's Passage</t>
  </si>
  <si>
    <t>Skarrg, the Rage Pits</t>
  </si>
  <si>
    <t>Kessig Wolf Run</t>
  </si>
  <si>
    <t>High Market</t>
  </si>
  <si>
    <t>Mosswort Bridge</t>
  </si>
  <si>
    <t>Llanowar Wastes</t>
  </si>
  <si>
    <t>Khalni Territory</t>
  </si>
  <si>
    <t>War</t>
  </si>
  <si>
    <t>Rootbound Crag</t>
  </si>
  <si>
    <t>Floresta Karplusana</t>
  </si>
  <si>
    <t>Evolving Wilds</t>
  </si>
  <si>
    <t>Suporte</t>
  </si>
  <si>
    <t>Paisagem Infinita</t>
  </si>
  <si>
    <t>Mountain</t>
  </si>
  <si>
    <t>Edge of Autumn</t>
  </si>
  <si>
    <t>Gruul Signet</t>
  </si>
  <si>
    <t>Golgari Signet</t>
  </si>
  <si>
    <t>Rakdos Signet</t>
  </si>
  <si>
    <t>Mind Stone</t>
  </si>
  <si>
    <t>Cultivate</t>
  </si>
  <si>
    <t>Prismatic Lens</t>
  </si>
  <si>
    <t>Kodama's Reach</t>
  </si>
  <si>
    <t>Brazen Cannonade</t>
  </si>
  <si>
    <t>Emberwilde Captain</t>
  </si>
  <si>
    <t>Marchesa's Decree</t>
  </si>
  <si>
    <t>Clackbridge Troll</t>
  </si>
  <si>
    <t>Karazikar, the Eye Tyrant</t>
  </si>
  <si>
    <t>Kardur, Doomscourge</t>
  </si>
  <si>
    <t>Agitator Ant</t>
  </si>
  <si>
    <t>Vengeful Ancestor</t>
  </si>
  <si>
    <t>Rite of the Raging Storm</t>
  </si>
  <si>
    <t>Geode Rager</t>
  </si>
  <si>
    <t>Disrupt Decorum</t>
  </si>
  <si>
    <t>Royal Assassin</t>
  </si>
  <si>
    <t>Tragic Slip</t>
  </si>
  <si>
    <t>Golgari Charm</t>
  </si>
  <si>
    <t>Terminate</t>
  </si>
  <si>
    <t>Sudden Spoiling</t>
  </si>
  <si>
    <t>Nature's Claim</t>
  </si>
  <si>
    <t>Rakdos Charm</t>
  </si>
  <si>
    <t>Kazuul, Tyrant of the Cliffs</t>
  </si>
  <si>
    <t>Curse of Disturbance</t>
  </si>
  <si>
    <t>Revenge of Ravens</t>
  </si>
  <si>
    <t>Hissing Miasma</t>
  </si>
  <si>
    <t>Opal Palace</t>
  </si>
  <si>
    <t>Sokenzan, Crucible of Defiance</t>
  </si>
  <si>
    <t>Slayers' Stronghold</t>
  </si>
  <si>
    <t>Sea of Clouds</t>
  </si>
  <si>
    <t>Training Center</t>
  </si>
  <si>
    <t>Wheel</t>
  </si>
  <si>
    <t>Spectator Seating</t>
  </si>
  <si>
    <t>Mill</t>
  </si>
  <si>
    <t>Sulfur Falls</t>
  </si>
  <si>
    <t>Utility</t>
  </si>
  <si>
    <t>Clifftop Retreat</t>
  </si>
  <si>
    <t>Protection</t>
  </si>
  <si>
    <t>Glacial Fortress</t>
  </si>
  <si>
    <t>Pump</t>
  </si>
  <si>
    <t>Shivan Reef</t>
  </si>
  <si>
    <t>Battlefield Forge</t>
  </si>
  <si>
    <t>Adarkar Wastes</t>
  </si>
  <si>
    <t>Azorius Chancery</t>
  </si>
  <si>
    <t>Boros Garrison</t>
  </si>
  <si>
    <t>Izzet Boilerworks</t>
  </si>
  <si>
    <t>Myriad Landscape</t>
  </si>
  <si>
    <t>Plains</t>
  </si>
  <si>
    <t>Sol Ring</t>
  </si>
  <si>
    <t>Arcane Signet</t>
  </si>
  <si>
    <t>Azorius Signet</t>
  </si>
  <si>
    <t>Boros Signet</t>
  </si>
  <si>
    <t>Izzet Signet</t>
  </si>
  <si>
    <t>Fellwar Stone</t>
  </si>
  <si>
    <t>Thought Vessel</t>
  </si>
  <si>
    <t>Realmbreaker, the Invasion Tree</t>
  </si>
  <si>
    <t>Sword of the Animist</t>
  </si>
  <si>
    <t>Faithless Looting</t>
  </si>
  <si>
    <t>Frantic Search</t>
  </si>
  <si>
    <t>Thrilling Discovery</t>
  </si>
  <si>
    <t>Sanctum of Calm Waters</t>
  </si>
  <si>
    <t>Shorikai, Genesis Engine</t>
  </si>
  <si>
    <t>Monastery Siege</t>
  </si>
  <si>
    <t>Treasure Cruise</t>
  </si>
  <si>
    <t>Whirlwind of Thought</t>
  </si>
  <si>
    <t>Heartwarming Redemption</t>
  </si>
  <si>
    <t>Mirrodin Besieged</t>
  </si>
  <si>
    <t>Windfall</t>
  </si>
  <si>
    <t>Collective Defiance</t>
  </si>
  <si>
    <t>Incendiary Command</t>
  </si>
  <si>
    <t>Khorvath's Fury</t>
  </si>
  <si>
    <t>Reforge the Soul</t>
  </si>
  <si>
    <t>Wheel of Fate</t>
  </si>
  <si>
    <t>Jace's Erasure</t>
  </si>
  <si>
    <t>Teferi's Tutelage</t>
  </si>
  <si>
    <t>Fraying Sanity</t>
  </si>
  <si>
    <t>Sphinx's Tutelage</t>
  </si>
  <si>
    <t>Mesmeric Orb</t>
  </si>
  <si>
    <t>Memory Erosion</t>
  </si>
  <si>
    <t>Tasha's Hideous Laughter</t>
  </si>
  <si>
    <t>Cut your Losses</t>
  </si>
  <si>
    <t>Traumatize</t>
  </si>
  <si>
    <t>Psychic Corrosion</t>
  </si>
  <si>
    <t>Ruin Crab</t>
  </si>
  <si>
    <t>Mindcrank</t>
  </si>
  <si>
    <t>Maddening Cacophony</t>
  </si>
  <si>
    <t>Fractured Sanity</t>
  </si>
  <si>
    <t>Mystic Redaction</t>
  </si>
  <si>
    <t>Spark Double</t>
  </si>
  <si>
    <t>Ominous Seas</t>
  </si>
  <si>
    <t>Strionic Resonator</t>
  </si>
  <si>
    <t>Irenicus's Vile Duplication</t>
  </si>
  <si>
    <t>Batida da Meia-Noite</t>
  </si>
  <si>
    <t>Tormod's Crypt</t>
  </si>
  <si>
    <t>Dovin's Veto</t>
  </si>
  <si>
    <t>Presente Generoso</t>
  </si>
  <si>
    <t>Time Wipe</t>
  </si>
  <si>
    <t>Propaganda</t>
  </si>
  <si>
    <t>Ghostly Prison</t>
  </si>
  <si>
    <t>Mask of the Schemer</t>
  </si>
  <si>
    <t>Whispersilk Cloak</t>
  </si>
  <si>
    <t>Othelm e Wernog</t>
  </si>
  <si>
    <t>Castle Ardenvale</t>
  </si>
  <si>
    <t>Gavony Township</t>
  </si>
  <si>
    <t>Westvale Abbey</t>
  </si>
  <si>
    <t>Vitu-Ghazi, the City-Tree</t>
  </si>
  <si>
    <t>Grove of the Guardian</t>
  </si>
  <si>
    <t>Havengul Laboratory</t>
  </si>
  <si>
    <t>Canopy Vista</t>
  </si>
  <si>
    <t>Portão da Guilda Orzhov</t>
  </si>
  <si>
    <t>Scattered Groves</t>
  </si>
  <si>
    <t>Vida</t>
  </si>
  <si>
    <t>Isolated Chapel</t>
  </si>
  <si>
    <t>Untap</t>
  </si>
  <si>
    <t>Woodland Cemetery</t>
  </si>
  <si>
    <t>Sunpetal Grove</t>
  </si>
  <si>
    <t>Sacrifício</t>
  </si>
  <si>
    <t>Brushland</t>
  </si>
  <si>
    <t>Caves of Koilos</t>
  </si>
  <si>
    <t>Recursão</t>
  </si>
  <si>
    <t>Mirrodin's Core</t>
  </si>
  <si>
    <t>Temple of Plenty</t>
  </si>
  <si>
    <t>Temple of Malady</t>
  </si>
  <si>
    <t>Temple of Silence</t>
  </si>
  <si>
    <t>Recuperação de Bala Ged</t>
  </si>
  <si>
    <t>Mirrex</t>
  </si>
  <si>
    <t>Elvish Mystic</t>
  </si>
  <si>
    <t>Llanowar Elves</t>
  </si>
  <si>
    <t>Fyndhorn Elves</t>
  </si>
  <si>
    <t>Sakura-Tribe Elder</t>
  </si>
  <si>
    <t>Elves of Deep Shadow</t>
  </si>
  <si>
    <t>Cryptolith Rite</t>
  </si>
  <si>
    <t>Jaheira, Friend of the Forest</t>
  </si>
  <si>
    <t>Birds of Paradise</t>
  </si>
  <si>
    <t>Inspiring Statuary</t>
  </si>
  <si>
    <t>Oketra's Monument</t>
  </si>
  <si>
    <t>Insidious Roots</t>
  </si>
  <si>
    <t>Tocasia's Welcome</t>
  </si>
  <si>
    <t>Weatherlight Compleated</t>
  </si>
  <si>
    <t>Ulvenwald Mysteries</t>
  </si>
  <si>
    <t>Elven Chorus</t>
  </si>
  <si>
    <t>Elas il-Kor, Sadistic Pilgrim</t>
  </si>
  <si>
    <t>Commissar Severina Raine</t>
  </si>
  <si>
    <t>Kambal, Prefeito Especulador</t>
  </si>
  <si>
    <t>Ashnod's Altar</t>
  </si>
  <si>
    <t>Spawning Pit</t>
  </si>
  <si>
    <t>Martyr's Cause</t>
  </si>
  <si>
    <t>Twilight Drover</t>
  </si>
  <si>
    <t>Wolverine Riders</t>
  </si>
  <si>
    <t>Bramble Sovereign</t>
  </si>
  <si>
    <t>Academy Manufactor</t>
  </si>
  <si>
    <t>Ogre Slumlord</t>
  </si>
  <si>
    <t>Lotho, Corrupt Shirriff</t>
  </si>
  <si>
    <t>Queen Allenal of Ruadach</t>
  </si>
  <si>
    <t>Samwise Gamgee</t>
  </si>
  <si>
    <t>Preston, the Vanisher</t>
  </si>
  <si>
    <t>Thalisse, Reverent Medium</t>
  </si>
  <si>
    <t>Mondrak, Glory Dominus</t>
  </si>
  <si>
    <t>Doubling Season</t>
  </si>
  <si>
    <t>Nantuko do Coração Primaveril</t>
  </si>
  <si>
    <t>Halo Fountain</t>
  </si>
  <si>
    <t>Journey to Eternity</t>
  </si>
  <si>
    <t>Honest Rutstein</t>
  </si>
  <si>
    <t>Altar Argentado</t>
  </si>
  <si>
    <t>Cavalier of Night</t>
  </si>
  <si>
    <t>Living Death</t>
  </si>
  <si>
    <t>The Battle of Bywater</t>
  </si>
  <si>
    <t>Thrasios e Akiri</t>
  </si>
  <si>
    <t>Great Furnace</t>
  </si>
  <si>
    <t>Ancient Den</t>
  </si>
  <si>
    <t>Seat of the Synod</t>
  </si>
  <si>
    <t>Tree of Tales</t>
  </si>
  <si>
    <t>Darksteel Citadel</t>
  </si>
  <si>
    <t>Feira dos Inventores</t>
  </si>
  <si>
    <t>Urza's Saga</t>
  </si>
  <si>
    <t>Engine</t>
  </si>
  <si>
    <t>Ruína Enterrada</t>
  </si>
  <si>
    <t>Combo</t>
  </si>
  <si>
    <t>Pomar Exótico</t>
  </si>
  <si>
    <t>Utilidade</t>
  </si>
  <si>
    <t>Alchemist's Refuge</t>
  </si>
  <si>
    <t>Tutor</t>
  </si>
  <si>
    <t>Cidade de Bronze</t>
  </si>
  <si>
    <t>Torre do Relicário</t>
  </si>
  <si>
    <t>Ruínas da Academia</t>
  </si>
  <si>
    <t>Spire Garden</t>
  </si>
  <si>
    <t>Hinterland Harbor</t>
  </si>
  <si>
    <t>Hallowed Fountain</t>
  </si>
  <si>
    <t>Temple Garden</t>
  </si>
  <si>
    <t>Stomping Ground</t>
  </si>
  <si>
    <t>Steam Vents</t>
  </si>
  <si>
    <t>Sacred Foundry</t>
  </si>
  <si>
    <t>Spire of Industry</t>
  </si>
  <si>
    <t>The Mycosynth Gardens</t>
  </si>
  <si>
    <t>Selesnya Signet</t>
  </si>
  <si>
    <t>Simic Signet</t>
  </si>
  <si>
    <t>Basalt Monolith</t>
  </si>
  <si>
    <t>Urza, Lord Protector</t>
  </si>
  <si>
    <t>Lanterna Cromática</t>
  </si>
  <si>
    <t>Liquimetal Torque</t>
  </si>
  <si>
    <t>Gilded Lotus</t>
  </si>
  <si>
    <t>Thran Dynamo</t>
  </si>
  <si>
    <t>The Mightstone and Weakstone</t>
  </si>
  <si>
    <t>Guild Artisan</t>
  </si>
  <si>
    <t>Anciã de Toca das Fadas</t>
  </si>
  <si>
    <t>Swords to Plowshares</t>
  </si>
  <si>
    <t>Dispeller's Capsule</t>
  </si>
  <si>
    <t>Generous Gift</t>
  </si>
  <si>
    <t>Medalhão de Naya</t>
  </si>
  <si>
    <t>Magibomba de Éter</t>
  </si>
  <si>
    <t>Medalhão de Bant</t>
  </si>
  <si>
    <t>Hindering Light</t>
  </si>
  <si>
    <t>An Offer You Can't Refuse</t>
  </si>
  <si>
    <t>Silêncio</t>
  </si>
  <si>
    <t>Endless Detour</t>
  </si>
  <si>
    <t>Conqueror's Flail</t>
  </si>
  <si>
    <t>Seedborn Muse</t>
  </si>
  <si>
    <t>Zirda, the Dawnwaker</t>
  </si>
  <si>
    <t>Reconquista da Natureza</t>
  </si>
  <si>
    <t>Engenhoqueira Forense</t>
  </si>
  <si>
    <t>Espelho das Miragens</t>
  </si>
  <si>
    <t>Galadriel of Lothlórien</t>
  </si>
  <si>
    <t>Training Grounds</t>
  </si>
  <si>
    <t>Meria, Erudita da Antiguidade</t>
  </si>
  <si>
    <t>Sarinth Greatwurm</t>
  </si>
  <si>
    <t>Clock of Omens</t>
  </si>
  <si>
    <t>Relógio Reversor</t>
  </si>
  <si>
    <t>Familiar do Biomante</t>
  </si>
  <si>
    <t>Anéis dos Lareiluz</t>
  </si>
  <si>
    <t>Saheeli, Sublime Artificer</t>
  </si>
  <si>
    <t>Tezzeret, o Perseguidor</t>
  </si>
  <si>
    <t>Whir of Invention</t>
  </si>
  <si>
    <t>Bagunçar a Mistura</t>
  </si>
  <si>
    <t>Mago das Quinquilharias</t>
  </si>
  <si>
    <t>Maga dos Tributos</t>
  </si>
  <si>
    <t>Oswald Fiddlebender</t>
  </si>
  <si>
    <t>Wargate</t>
  </si>
  <si>
    <t>Reshape</t>
  </si>
  <si>
    <t>Isochron Scepter</t>
  </si>
  <si>
    <t>Reversão Dramática</t>
  </si>
  <si>
    <t>Walking Ballista</t>
  </si>
  <si>
    <t>Boros Charm</t>
  </si>
  <si>
    <t>Invadir a Câmara</t>
  </si>
  <si>
    <t>Encroaching Mycosynth</t>
  </si>
  <si>
    <t>Saheeli Rai</t>
  </si>
  <si>
    <t>The Gitrog Monster</t>
  </si>
  <si>
    <t>Argoth, Sanctum of Nature</t>
  </si>
  <si>
    <t>Tainted Wood</t>
  </si>
  <si>
    <t>Crystal Vein</t>
  </si>
  <si>
    <t>Dakmor Salvage</t>
  </si>
  <si>
    <t>Phyrexian Tower</t>
  </si>
  <si>
    <t>Descarte</t>
  </si>
  <si>
    <t>Peat Bog</t>
  </si>
  <si>
    <t>Hickory Woodlot</t>
  </si>
  <si>
    <t>Ash Barrens</t>
  </si>
  <si>
    <t>Petrified Field</t>
  </si>
  <si>
    <t>Ancient Tomb</t>
  </si>
  <si>
    <t>Demolition Field</t>
  </si>
  <si>
    <t>Ghost Quarter</t>
  </si>
  <si>
    <t>Strip Mine</t>
  </si>
  <si>
    <t>Blasted Landscape</t>
  </si>
  <si>
    <t>Wall of Roots</t>
  </si>
  <si>
    <t>Takenuma, Charco Abandonado</t>
  </si>
  <si>
    <t>Dryad Arbor</t>
  </si>
  <si>
    <t>Deathrite Shaman</t>
  </si>
  <si>
    <t>Priest of Titania</t>
  </si>
  <si>
    <t>Gilded Goose</t>
  </si>
  <si>
    <t>A Pedra Fellwar</t>
  </si>
  <si>
    <t>Mana Crypt</t>
  </si>
  <si>
    <t>Sinete Golgari</t>
  </si>
  <si>
    <t>Delighted Halfling</t>
  </si>
  <si>
    <t>Elvish Spirit Guide</t>
  </si>
  <si>
    <t>Tear Asunder</t>
  </si>
  <si>
    <t>Krosan Grip</t>
  </si>
  <si>
    <t>Darkblast</t>
  </si>
  <si>
    <t>Noose Constrictor</t>
  </si>
  <si>
    <t>Oblivion Crown</t>
  </si>
  <si>
    <t>Wild Mongrel</t>
  </si>
  <si>
    <t>Putrid Imp</t>
  </si>
  <si>
    <t>Dark Ritual</t>
  </si>
  <si>
    <t>Restituir</t>
  </si>
  <si>
    <t>Ulamog, the Infinite Gyre</t>
  </si>
  <si>
    <t>Gaea's Blessing</t>
  </si>
  <si>
    <t>Lotus Petal</t>
  </si>
  <si>
    <t>Geth's Verdict</t>
  </si>
  <si>
    <t>Cabal Ritual</t>
  </si>
  <si>
    <t>Seis</t>
  </si>
  <si>
    <t>Cemetery Tampering</t>
  </si>
  <si>
    <t>Life from the Loam</t>
  </si>
  <si>
    <t>Nyx Weaver</t>
  </si>
  <si>
    <t>Blessed Respite</t>
  </si>
  <si>
    <t>Riftsweeper</t>
  </si>
  <si>
    <t>Crawling Infestation</t>
  </si>
  <si>
    <t>Conduit of Worlds</t>
  </si>
  <si>
    <t>Nostalgic Dreams</t>
  </si>
  <si>
    <t>Salvamento Macabro</t>
  </si>
  <si>
    <t>Titania, Voice of Gaea</t>
  </si>
  <si>
    <t>Autumn's Veil</t>
  </si>
  <si>
    <t>Shigeki, Visionário Jukai</t>
  </si>
  <si>
    <t>Splendid Reclamation</t>
  </si>
  <si>
    <t>Grimório Silvestre</t>
  </si>
  <si>
    <t>Ramunap Excavator</t>
  </si>
  <si>
    <t>Molda-mundo</t>
  </si>
  <si>
    <t>Crisol dos Mundos</t>
  </si>
  <si>
    <t>Worldly Tutor</t>
  </si>
  <si>
    <t>Crop Rotation</t>
  </si>
  <si>
    <t>Demonic Tutor</t>
  </si>
  <si>
    <t>Unmarked Grave</t>
  </si>
  <si>
    <t>Invasion of Ikoria</t>
  </si>
  <si>
    <t>Sylvan Scrying</t>
  </si>
  <si>
    <t>Buried Alive</t>
  </si>
  <si>
    <t>Entomb</t>
  </si>
  <si>
    <t>Green Sun's Zenith</t>
  </si>
  <si>
    <t>Eldritch Evolution</t>
  </si>
  <si>
    <t>Elfos - Thrasios e Miara</t>
  </si>
  <si>
    <t>Wirewood Lodge</t>
  </si>
  <si>
    <t>Path of Ancestry</t>
  </si>
  <si>
    <t>Yavimaya Coast</t>
  </si>
  <si>
    <t>Mortuary Mire</t>
  </si>
  <si>
    <t>Bala Ged Sanctuary</t>
  </si>
  <si>
    <t>Terras em Desenvolvimento</t>
  </si>
  <si>
    <t>Interação</t>
  </si>
  <si>
    <t>Port of Karfell</t>
  </si>
  <si>
    <t>Vastidão Morfoterrena</t>
  </si>
  <si>
    <t>Token</t>
  </si>
  <si>
    <t>Campos de Lótus</t>
  </si>
  <si>
    <t>Haste</t>
  </si>
  <si>
    <t>Nykthos, Shrine to Nyx</t>
  </si>
  <si>
    <t>Tumba Abandonada</t>
  </si>
  <si>
    <t>Circle of Dreams Druid</t>
  </si>
  <si>
    <t>Elvish Guidance</t>
  </si>
  <si>
    <t>Elvish Harbinger</t>
  </si>
  <si>
    <t>Marwyn, the Nurturer</t>
  </si>
  <si>
    <t>Elvish Archdruid</t>
  </si>
  <si>
    <t>Birchlore Rangers</t>
  </si>
  <si>
    <t>Wirewood Channeler</t>
  </si>
  <si>
    <t>Farhaven Elf</t>
  </si>
  <si>
    <t>Devoted Druid</t>
  </si>
  <si>
    <t>Wood Elves</t>
  </si>
  <si>
    <t>Springbloom Druid</t>
  </si>
  <si>
    <t>Arbor Elf</t>
  </si>
  <si>
    <t>Beastcaller Savant</t>
  </si>
  <si>
    <t>Joraga Treespeaker</t>
  </si>
  <si>
    <t>Rishkar, Renegado de Peema</t>
  </si>
  <si>
    <t>Llanowar Loamspeaker</t>
  </si>
  <si>
    <t>Tyvar Kell</t>
  </si>
  <si>
    <t>Rito do Criptólito</t>
  </si>
  <si>
    <t>Jaspera Sentinel</t>
  </si>
  <si>
    <t>Gwenna, Eyes of Gaea</t>
  </si>
  <si>
    <t>Imperious Perfect</t>
  </si>
  <si>
    <t>Lys Alana Huntmaster</t>
  </si>
  <si>
    <t>Riqueza Abominável</t>
  </si>
  <si>
    <t>Ezuri, Renegade Leader</t>
  </si>
  <si>
    <t>Apreciação Ecológica</t>
  </si>
  <si>
    <t>Evolutionary Leap</t>
  </si>
  <si>
    <t>Fauna Shaman</t>
  </si>
  <si>
    <t>Skyshroud Poacher</t>
  </si>
  <si>
    <t>Prime Speaker Vannifar</t>
  </si>
  <si>
    <t>Yisan, the Wanderer Bard</t>
  </si>
  <si>
    <t>Elvish Lyrist</t>
  </si>
  <si>
    <t>Elvish Scrapper</t>
  </si>
  <si>
    <t>Freyalise, Llanowar's Fury</t>
  </si>
  <si>
    <t>Reclamation Sage</t>
  </si>
  <si>
    <t>Masked Vandal</t>
  </si>
  <si>
    <t>Mirage Mirror</t>
  </si>
  <si>
    <t>Yeva, Nature's Herald</t>
  </si>
  <si>
    <t>Simic Charm</t>
  </si>
  <si>
    <t>Nissa, Resurgent Animist</t>
  </si>
  <si>
    <t>Wellwisher</t>
  </si>
  <si>
    <t>Intruder Alarm</t>
  </si>
  <si>
    <t>Seeker of Skybreak</t>
  </si>
  <si>
    <t>Copperhorn Scout</t>
  </si>
  <si>
    <t>Quest for Renewal</t>
  </si>
  <si>
    <t>Faces of the Past</t>
  </si>
  <si>
    <t>Teferi, Temporal Archmage</t>
  </si>
  <si>
    <t>Murkfiend Liege</t>
  </si>
  <si>
    <t>Kiora's Follower</t>
  </si>
  <si>
    <t>Wirewood Symbiote</t>
  </si>
  <si>
    <t>Nissa, Genesis Mage</t>
  </si>
  <si>
    <t>Elvish Soultiller</t>
  </si>
  <si>
    <t>Tyvar, Jubilant Brawler</t>
  </si>
  <si>
    <t>Thousand-Year Elixir</t>
  </si>
  <si>
    <t>Breya Foundry</t>
  </si>
  <si>
    <t>Vault of Whispers</t>
  </si>
  <si>
    <t>Buried Ruin</t>
  </si>
  <si>
    <t>Power Depot</t>
  </si>
  <si>
    <t>Foundry</t>
  </si>
  <si>
    <t>Fundição dos Cônsules</t>
  </si>
  <si>
    <t>Reflecting Pool</t>
  </si>
  <si>
    <t>Goldmire Bridge</t>
  </si>
  <si>
    <t>Razortide Bridge</t>
  </si>
  <si>
    <t>Drossforge Bridge</t>
  </si>
  <si>
    <t>Win</t>
  </si>
  <si>
    <t>Rustvale Bridge</t>
  </si>
  <si>
    <t>Mistvault Bridge</t>
  </si>
  <si>
    <t>Silverbluff Bridge</t>
  </si>
  <si>
    <t>Castle Embereth</t>
  </si>
  <si>
    <t>Sulfurous Springs</t>
  </si>
  <si>
    <t>Underground River</t>
  </si>
  <si>
    <t>Orzhov Signet</t>
  </si>
  <si>
    <t>Dimir Signet</t>
  </si>
  <si>
    <t>Grand Architect</t>
  </si>
  <si>
    <t>Prosperous Partnership</t>
  </si>
  <si>
    <t>Chief Engineer</t>
  </si>
  <si>
    <t>Arcum Dagsson</t>
  </si>
  <si>
    <t>Aetherworks Marvel</t>
  </si>
  <si>
    <t>Skullclamp</t>
  </si>
  <si>
    <t>Grazilaxx, Illithid Scholar</t>
  </si>
  <si>
    <t>Losheel, Clockwork Scholar</t>
  </si>
  <si>
    <t>Kindred Discovery</t>
  </si>
  <si>
    <t>Curiosity Crafter</t>
  </si>
  <si>
    <t>Thopter Spy Network</t>
  </si>
  <si>
    <t>Bident of Thassa</t>
  </si>
  <si>
    <t>Loyal Apprentice</t>
  </si>
  <si>
    <t>Forja dos Mil Luas</t>
  </si>
  <si>
    <t>Elmo de Giramundo</t>
  </si>
  <si>
    <t>Pia and Kiran Nalaar</t>
  </si>
  <si>
    <t>Jan Jansen, Chaos Crafter</t>
  </si>
  <si>
    <t>Urza, Grão-lorde Artífice</t>
  </si>
  <si>
    <t>Skrelv's Hive</t>
  </si>
  <si>
    <t>Summoning Station</t>
  </si>
  <si>
    <t>Sharding Sphinx</t>
  </si>
  <si>
    <t>Biotransference</t>
  </si>
  <si>
    <t>Saheeli, the Gifted</t>
  </si>
  <si>
    <t>Hangarback Walker</t>
  </si>
  <si>
    <t>Brudiclad, Telchor Engineer</t>
  </si>
  <si>
    <t>Saheeli, Filigree Master</t>
  </si>
  <si>
    <t>Daretti, Ingenious Iconoclast</t>
  </si>
  <si>
    <t>Fundição Modificadora</t>
  </si>
  <si>
    <t>Spiteful Banditry</t>
  </si>
  <si>
    <t>Apropriação Abstrusa</t>
  </si>
  <si>
    <t>Anguished Unmaking</t>
  </si>
  <si>
    <t>Legislador Impiedoso</t>
  </si>
  <si>
    <t>Eldrazi Displacer</t>
  </si>
  <si>
    <t>Thassa, Deep-Dwelling</t>
  </si>
  <si>
    <t>Soulherder</t>
  </si>
  <si>
    <t>Nahiri's Resolve</t>
  </si>
  <si>
    <t>Teleportation Circle</t>
  </si>
  <si>
    <t>Venser, the Sojourner</t>
  </si>
  <si>
    <t>Mayhem Devil</t>
  </si>
  <si>
    <t>Time Sieve</t>
  </si>
  <si>
    <t>Tezzeret, Master of the Bridge</t>
  </si>
  <si>
    <t>Krark-Clan Ironworks</t>
  </si>
  <si>
    <t>The First Sliver</t>
  </si>
  <si>
    <t>Trioma de Ketria</t>
  </si>
  <si>
    <t>Palácio Opulento</t>
  </si>
  <si>
    <t>Trioma de Indatha</t>
  </si>
  <si>
    <t>Cidadela da Estepe Arenosa</t>
  </si>
  <si>
    <t>Trioma de Zagoth</t>
  </si>
  <si>
    <t>Panorama de Naya</t>
  </si>
  <si>
    <t>Trioma de Raugrin</t>
  </si>
  <si>
    <t>Trioma de Savai</t>
  </si>
  <si>
    <t>Raffine's Tower</t>
  </si>
  <si>
    <t>Xander's Lounge</t>
  </si>
  <si>
    <t>Ziatora's Proving Ground</t>
  </si>
  <si>
    <t>Jungle Shrine</t>
  </si>
  <si>
    <t>Jetmir's Garden</t>
  </si>
  <si>
    <t>Spara's Headquarters</t>
  </si>
  <si>
    <t>Caverna das Almas</t>
  </si>
  <si>
    <t>Terramorphic Expanse</t>
  </si>
  <si>
    <t>Desolação Fumegante</t>
  </si>
  <si>
    <t>Unclaimed Territory</t>
  </si>
  <si>
    <t>Sliver Hive</t>
  </si>
  <si>
    <t>Mina de Cristal</t>
  </si>
  <si>
    <t>Caminho da Ascendência</t>
  </si>
  <si>
    <t>Pátio Reservado</t>
  </si>
  <si>
    <t>Sliver Queen</t>
  </si>
  <si>
    <t>Sliver Hivelord</t>
  </si>
  <si>
    <t>Sliver Overlord</t>
  </si>
  <si>
    <t>Sliver Legion</t>
  </si>
  <si>
    <t>Sinew Sliver</t>
  </si>
  <si>
    <t>Sliver Gravemother</t>
  </si>
  <si>
    <t>Hibernation Sliver</t>
  </si>
  <si>
    <t>Necrotic Sliver</t>
  </si>
  <si>
    <t>Cloudshredder Sliver</t>
  </si>
  <si>
    <t>Dormant Sliver</t>
  </si>
  <si>
    <t>Harmonic Sliver</t>
  </si>
  <si>
    <t>Darkheart Sliver</t>
  </si>
  <si>
    <t>Lavabelly Sliver</t>
  </si>
  <si>
    <t>Sentinel Sliver</t>
  </si>
  <si>
    <t>Constricting Sliver</t>
  </si>
  <si>
    <t>Quilled Sliver</t>
  </si>
  <si>
    <t>Bonescythe Sliver</t>
  </si>
  <si>
    <t>Gemhide Sliver</t>
  </si>
  <si>
    <t>Venom Sliver</t>
  </si>
  <si>
    <t>Brood Sliver</t>
  </si>
  <si>
    <t>Manaweft Sliver</t>
  </si>
  <si>
    <t>Quick Sliver</t>
  </si>
  <si>
    <t>Root Sliver</t>
  </si>
  <si>
    <t>Basal Sliver</t>
  </si>
  <si>
    <t>Crypt Sliver</t>
  </si>
  <si>
    <t>Syphon Sliver</t>
  </si>
  <si>
    <t>Dregscape Sliver</t>
  </si>
  <si>
    <t>Heart Sliver</t>
  </si>
  <si>
    <t>Homing Sliver</t>
  </si>
  <si>
    <t>Blur Sliver</t>
  </si>
  <si>
    <t>Spiteful Sliver</t>
  </si>
  <si>
    <t>Magma Sliver</t>
  </si>
  <si>
    <t>Thorncaster Sliver</t>
  </si>
  <si>
    <t>Striking Sliver</t>
  </si>
  <si>
    <t>Opaline Sliver</t>
  </si>
  <si>
    <t>Diffusion Sliver</t>
  </si>
  <si>
    <t>Ward Sliver</t>
  </si>
  <si>
    <t>Winged Sliver</t>
  </si>
  <si>
    <t>Essence Sliver</t>
  </si>
  <si>
    <t>Galerider Sliver</t>
  </si>
  <si>
    <t>Crystalline Sliver</t>
  </si>
  <si>
    <t>Shifting Sliver</t>
  </si>
  <si>
    <t>Hatchery Sliver</t>
  </si>
  <si>
    <t>Taunting Sliver</t>
  </si>
  <si>
    <t>Eladamri's Call</t>
  </si>
  <si>
    <t>Signal the Clans</t>
  </si>
  <si>
    <t>Realmwalker</t>
  </si>
  <si>
    <t>Haunted Crossroads</t>
  </si>
  <si>
    <t>Rogues' Gallery</t>
  </si>
  <si>
    <t>Caminho dos Descendentes</t>
  </si>
  <si>
    <t>Marinheiro Instável</t>
  </si>
  <si>
    <t>Call to the Kindred</t>
  </si>
  <si>
    <t>Farseek</t>
  </si>
  <si>
    <t>Inventors' Fair</t>
  </si>
  <si>
    <t>Santuário Místico</t>
  </si>
  <si>
    <t>Minamo, School at Water's Edge</t>
  </si>
  <si>
    <t>Assento do Sínodo</t>
  </si>
  <si>
    <t>Rede dos Anéis de Mago</t>
  </si>
  <si>
    <t>Academy Ruins</t>
  </si>
  <si>
    <t>Arco da Inovação</t>
  </si>
  <si>
    <t>Everflowing Chalice</t>
  </si>
  <si>
    <t>Manoplas do Poder</t>
  </si>
  <si>
    <t>Urna de Mosco-lumes</t>
  </si>
  <si>
    <t>Autogerador Carregado</t>
  </si>
  <si>
    <t>Caged Sun</t>
  </si>
  <si>
    <t>Coldsteel Heart</t>
  </si>
  <si>
    <t>Worn Powerstone</t>
  </si>
  <si>
    <t>Relógio da Meia-Noite</t>
  </si>
  <si>
    <t>Planar Atlas</t>
  </si>
  <si>
    <t>Dreamstone Hedron</t>
  </si>
  <si>
    <t>Stonespeaker Crystal</t>
  </si>
  <si>
    <t>Patriar's Seal</t>
  </si>
  <si>
    <t>Sky Diamond</t>
  </si>
  <si>
    <t>Padeem, Consul of Innovation</t>
  </si>
  <si>
    <t>Herdeiro de Draco</t>
  </si>
  <si>
    <t>Master Transmuter</t>
  </si>
  <si>
    <t>Argivian Restoration</t>
  </si>
  <si>
    <t>Platinum Angel</t>
  </si>
  <si>
    <t>Spellskite</t>
  </si>
  <si>
    <t>The Stasis Coffin</t>
  </si>
  <si>
    <t>Brainstorm</t>
  </si>
  <si>
    <t>Brainstone</t>
  </si>
  <si>
    <t>Meteor Golem</t>
  </si>
  <si>
    <t>Counterspell</t>
  </si>
  <si>
    <t>Orbes de Proteção</t>
  </si>
  <si>
    <t>Spine of Ish Sah</t>
  </si>
  <si>
    <t>Duplicant</t>
  </si>
  <si>
    <t>Eterificar</t>
  </si>
  <si>
    <t>Portal to Phyrexia</t>
  </si>
  <si>
    <t>Rewind</t>
  </si>
  <si>
    <t>Desenrolar</t>
  </si>
  <si>
    <t>All is Dust</t>
  </si>
  <si>
    <t>Reality Shift</t>
  </si>
  <si>
    <t>Stoic Rebuttal</t>
  </si>
  <si>
    <t>Entreposto</t>
  </si>
  <si>
    <t>Mycosynth Golem</t>
  </si>
  <si>
    <t>Imposter Mech</t>
  </si>
  <si>
    <t>Colosso de Serralheria</t>
  </si>
  <si>
    <t>Filigree Sages</t>
  </si>
  <si>
    <t>Darksteel Forge</t>
  </si>
  <si>
    <t>Unwinding Clock</t>
  </si>
  <si>
    <t>Elixir da Imortalidade</t>
  </si>
  <si>
    <t>Magewright's Stone</t>
  </si>
  <si>
    <t>Nevinyrral's Disk</t>
  </si>
  <si>
    <t>Pentavus</t>
  </si>
  <si>
    <t>Phyrexian Metamorph</t>
  </si>
  <si>
    <t>Campos de Treinamento</t>
  </si>
  <si>
    <t>Chave Múltipla</t>
  </si>
  <si>
    <t>Memnarch</t>
  </si>
  <si>
    <t>Voltaic Key</t>
  </si>
  <si>
    <t>Mycosynth Lattice</t>
  </si>
  <si>
    <t>Chimil, o Sol Interior</t>
  </si>
  <si>
    <t>Thran Temporal Gateway</t>
  </si>
  <si>
    <t>Rielle, the Everwise</t>
  </si>
  <si>
    <t>Mystic Sanctuary</t>
  </si>
  <si>
    <t>Lonely Sandbar</t>
  </si>
  <si>
    <t>Forgotten Cave</t>
  </si>
  <si>
    <t>Desolate Lighthouse</t>
  </si>
  <si>
    <t>Remote Isle</t>
  </si>
  <si>
    <t>Smoldering Crater</t>
  </si>
  <si>
    <t>Desert of the Mindful</t>
  </si>
  <si>
    <t>Desert of the Fervent</t>
  </si>
  <si>
    <t>Combate</t>
  </si>
  <si>
    <t>Temple of the False God</t>
  </si>
  <si>
    <t>Terraço do Condado</t>
  </si>
  <si>
    <t>Sokenzan, Crisol da Afronta</t>
  </si>
  <si>
    <t>Riptide Laboratory</t>
  </si>
  <si>
    <t>Afundar em Estupor</t>
  </si>
  <si>
    <t>The Celestus</t>
  </si>
  <si>
    <t>Diamond Lion</t>
  </si>
  <si>
    <t>Anger</t>
  </si>
  <si>
    <t>Ataque Flamejante</t>
  </si>
  <si>
    <t>Archmage Ascension</t>
  </si>
  <si>
    <t>Ledger Shredder</t>
  </si>
  <si>
    <t>Magmatic Insight</t>
  </si>
  <si>
    <t>Tolarian Winds</t>
  </si>
  <si>
    <t>Breakthrough</t>
  </si>
  <si>
    <t>Careful Study</t>
  </si>
  <si>
    <t>Desperate Ravings</t>
  </si>
  <si>
    <t>Burning Inquiry</t>
  </si>
  <si>
    <t>Cathartic Reunion</t>
  </si>
  <si>
    <t>Dangerous Wager</t>
  </si>
  <si>
    <t>Thrill of Possibility</t>
  </si>
  <si>
    <t>Thirst for Meaning</t>
  </si>
  <si>
    <t>Scuttletide</t>
  </si>
  <si>
    <t>Read the Runes</t>
  </si>
  <si>
    <t>Reforma Tectônica</t>
  </si>
  <si>
    <t>Muralha da Academia</t>
  </si>
  <si>
    <t>Pensamento Sombrio</t>
  </si>
  <si>
    <t>Tatuzão da Bronze</t>
  </si>
  <si>
    <t>Gravar // Memória</t>
  </si>
  <si>
    <t>Defabricate</t>
  </si>
  <si>
    <t>Forbid</t>
  </si>
  <si>
    <t>Rites of Refusal</t>
  </si>
  <si>
    <t>Izzet Charm</t>
  </si>
  <si>
    <t>Whirlwind Denial</t>
  </si>
  <si>
    <t>Nimble Obstructionist</t>
  </si>
  <si>
    <t>Serenata das Estriges</t>
  </si>
  <si>
    <t>Foil</t>
  </si>
  <si>
    <t>Arcane Denial</t>
  </si>
  <si>
    <t>Wizard's Retort</t>
  </si>
  <si>
    <t>Turn Aside</t>
  </si>
  <si>
    <t>Stubborn Denial</t>
  </si>
  <si>
    <t>Delay</t>
  </si>
  <si>
    <t>Glorious Gale</t>
  </si>
  <si>
    <t>Unwind</t>
  </si>
  <si>
    <t>Perfurar Mágica</t>
  </si>
  <si>
    <t>Counterflux</t>
  </si>
  <si>
    <t>Chandra's Ignition</t>
  </si>
  <si>
    <t>Nahiri's Wrath</t>
  </si>
  <si>
    <t>Chaos Warp</t>
  </si>
  <si>
    <t>Fateful Showdown</t>
  </si>
  <si>
    <t>Turbulent Dreams</t>
  </si>
  <si>
    <t>Divide by Zero</t>
  </si>
  <si>
    <t>Aliança Impensável</t>
  </si>
  <si>
    <t>Ojer Pakpatiq, Era Profunda</t>
  </si>
  <si>
    <t>Storm-Kiln Artist</t>
  </si>
  <si>
    <t>Collector's Vault</t>
  </si>
  <si>
    <t>Hot Soup</t>
  </si>
  <si>
    <t>Wings of Hubris</t>
  </si>
  <si>
    <t>Invasion of Segovia</t>
  </si>
  <si>
    <t>Key to the City</t>
  </si>
  <si>
    <t>Currency Converter</t>
  </si>
  <si>
    <t>Mares Ameaçadores</t>
  </si>
  <si>
    <t>Surly Badgersaur</t>
  </si>
  <si>
    <t>Hall of Heliod's Generosity</t>
  </si>
  <si>
    <t>Godless Shrine</t>
  </si>
  <si>
    <t>Stax</t>
  </si>
  <si>
    <t>Drowned Catacomb</t>
  </si>
  <si>
    <t>Fort</t>
  </si>
  <si>
    <t>Castelo do Vale Arden</t>
  </si>
  <si>
    <t>Manto do Crepúsculo, Casa das Sombras</t>
  </si>
  <si>
    <t>Panorama de Esper</t>
  </si>
  <si>
    <t>Morphic Pool</t>
  </si>
  <si>
    <t>Urborg, Tumba de Yawgmoth</t>
  </si>
  <si>
    <t>Poças Calciformes</t>
  </si>
  <si>
    <t>Dreadship Reef</t>
  </si>
  <si>
    <t>Passagem Fabulosa</t>
  </si>
  <si>
    <t>Lagoa Espelhada</t>
  </si>
  <si>
    <t>Strixhaven Stadium</t>
  </si>
  <si>
    <t>Heraldic Banner</t>
  </si>
  <si>
    <t>Smothering Tithe</t>
  </si>
  <si>
    <t>Rhystic Study</t>
  </si>
  <si>
    <t>Enlightened Tutor</t>
  </si>
  <si>
    <t>Descoberta da Estirpe</t>
  </si>
  <si>
    <t>Tutor Idílico</t>
  </si>
  <si>
    <t>Bidente de Tassa</t>
  </si>
  <si>
    <t>Missão de Reconhecimento</t>
  </si>
  <si>
    <t>Artífice de Curiosidades</t>
  </si>
  <si>
    <t>Wedding Ring</t>
  </si>
  <si>
    <t>Profeta do Crepúsculo</t>
  </si>
  <si>
    <t>Obediência Cega</t>
  </si>
  <si>
    <t>Torpor Orb</t>
  </si>
  <si>
    <t>Mana Web</t>
  </si>
  <si>
    <t>Matriz Amortecedora</t>
  </si>
  <si>
    <t>The Immortal Sun</t>
  </si>
  <si>
    <t>Rest in Peace</t>
  </si>
  <si>
    <t>Gossamer Chains</t>
  </si>
  <si>
    <t>Eidolon of Rhetoric</t>
  </si>
  <si>
    <t>Frozen Aether</t>
  </si>
  <si>
    <t>Fora do Tempo</t>
  </si>
  <si>
    <t>Oubliette</t>
  </si>
  <si>
    <t>Aura of Silence</t>
  </si>
  <si>
    <t>Seal of Cleansing</t>
  </si>
  <si>
    <t>Capsula do Dispersor</t>
  </si>
  <si>
    <t>Seal of Doom</t>
  </si>
  <si>
    <t>Darksteel Mutation</t>
  </si>
  <si>
    <t>Imprisoned in the Moon</t>
  </si>
  <si>
    <t>Detention Sphere</t>
  </si>
  <si>
    <t>Grasp of Fate</t>
  </si>
  <si>
    <t>Steal Enchantment</t>
  </si>
  <si>
    <t>Scion of Oona</t>
  </si>
  <si>
    <t>Brave the Sands</t>
  </si>
  <si>
    <t>Intangible Virtue</t>
  </si>
  <si>
    <t>Divine Visitation</t>
  </si>
  <si>
    <t>Archetype of Courage</t>
  </si>
  <si>
    <t>Etchings of the Chosen</t>
  </si>
  <si>
    <t>Gravitational Shift</t>
  </si>
  <si>
    <t>Radiant Destiny</t>
  </si>
  <si>
    <t>Corte da Graça</t>
  </si>
  <si>
    <t>Luminarch Ascension</t>
  </si>
  <si>
    <t>Heliod, the Radiant Dawn</t>
  </si>
  <si>
    <t>Copy Enchantment</t>
  </si>
  <si>
    <t>Kabira Takedown</t>
  </si>
  <si>
    <t>Panorama de Bant</t>
  </si>
  <si>
    <t>Windbrisk Heights</t>
  </si>
  <si>
    <t>Calciform Pools</t>
  </si>
  <si>
    <t>Irrigated Farmland</t>
  </si>
  <si>
    <t>Nimbus Maze</t>
  </si>
  <si>
    <t>Orla Krosana</t>
  </si>
  <si>
    <t>Saltcrusted Steppe</t>
  </si>
  <si>
    <t>Access Tunnel</t>
  </si>
  <si>
    <t>Wall of Denial</t>
  </si>
  <si>
    <t>Tree of Redemption</t>
  </si>
  <si>
    <t>Barreira de Estilhaços</t>
  </si>
  <si>
    <t>Hover Barrier</t>
  </si>
  <si>
    <t>Cobaia de Ludevic</t>
  </si>
  <si>
    <t>Drift of Phantasms</t>
  </si>
  <si>
    <t>Barreira Angelical</t>
  </si>
  <si>
    <t>Teyo, Geometric Tactician</t>
  </si>
  <si>
    <t>Stalwart Shield-Bearers</t>
  </si>
  <si>
    <t>Barreira de Identidade Roubada</t>
  </si>
  <si>
    <t>Wall of Reverence</t>
  </si>
  <si>
    <t>The Pride of Hull Clade</t>
  </si>
  <si>
    <t>Orador de Ojutai</t>
  </si>
  <si>
    <t>Tetsuko Umezawa, Fugitive</t>
  </si>
  <si>
    <t>Mother of Runes</t>
  </si>
  <si>
    <t>Traproot Kami</t>
  </si>
  <si>
    <t>Midnight Pathlighter</t>
  </si>
  <si>
    <t>Weathered Sentinels</t>
  </si>
  <si>
    <t>Ponte Levadiça Esmagadora</t>
  </si>
  <si>
    <t>Overgrown Battlement</t>
  </si>
  <si>
    <t>Axebane Guardian</t>
  </si>
  <si>
    <t>Sunscape Familiar</t>
  </si>
  <si>
    <t>Muro do Luto</t>
  </si>
  <si>
    <t>Teyo, Mago dos Escudos</t>
  </si>
  <si>
    <t>Resolute Watchdog</t>
  </si>
  <si>
    <t>Jeskai Barricade</t>
  </si>
  <si>
    <t>Soulsworn Jury</t>
  </si>
  <si>
    <t>Barreira de Flores</t>
  </si>
  <si>
    <t>Wall of Omens</t>
  </si>
  <si>
    <t>Sentinela da Barreira de Escudos</t>
  </si>
  <si>
    <t>Mirari's Wake</t>
  </si>
  <si>
    <t>Sylvan Caryatid</t>
  </si>
  <si>
    <t>Slaughter the Strong</t>
  </si>
  <si>
    <t>Dusk // Dawn</t>
  </si>
  <si>
    <t>Vaga de Retribuição</t>
  </si>
  <si>
    <t>Ventos do Abandono</t>
  </si>
  <si>
    <t>True Conviction</t>
  </si>
  <si>
    <t>Stoneskin</t>
  </si>
  <si>
    <t>Concerted Effort</t>
  </si>
  <si>
    <t>Path to Exile</t>
  </si>
  <si>
    <t>Aura Shards</t>
  </si>
  <si>
    <t>Invasão de Ikoria</t>
  </si>
  <si>
    <t>Tamiyo, Pesquisadora de Campo</t>
  </si>
  <si>
    <t>Rigo, Streetwise Mentor</t>
  </si>
  <si>
    <t>Projeto Guardião</t>
  </si>
  <si>
    <t>Duplicata de Centelha</t>
  </si>
  <si>
    <t>Vivien, Campeã da Natureza</t>
  </si>
  <si>
    <t>Lae'zel's Acrobatics</t>
  </si>
  <si>
    <t>Amuleto Simic</t>
  </si>
  <si>
    <t>High Alert</t>
  </si>
  <si>
    <t>Assault Formation</t>
  </si>
  <si>
    <t>Jhoira of the Ghitu</t>
  </si>
  <si>
    <t>Colina da Rocha Espinhosa</t>
  </si>
  <si>
    <t>Silundi Vision</t>
  </si>
  <si>
    <t>Valfenda</t>
  </si>
  <si>
    <t>Bichão</t>
  </si>
  <si>
    <t>Final</t>
  </si>
  <si>
    <t>Emrakul, the Promised End</t>
  </si>
  <si>
    <t>Consecrated Sphinx</t>
  </si>
  <si>
    <t>Emrakul, um Novo Mundo</t>
  </si>
  <si>
    <t>Kozilek, Butcher of Truth</t>
  </si>
  <si>
    <t>Kozilek, the Great Distortion</t>
  </si>
  <si>
    <t>Ulamog, the Ceaseless Hunger</t>
  </si>
  <si>
    <t>Nezahal, Maré Primordial</t>
  </si>
  <si>
    <t>Ulamog, o Profanador</t>
  </si>
  <si>
    <t>Etali, Tormenta Primordial</t>
  </si>
  <si>
    <t>Blightsteel Colossus</t>
  </si>
  <si>
    <t>Pathrazer of Ulamog</t>
  </si>
  <si>
    <t>Void Winnower</t>
  </si>
  <si>
    <t>Jin-Gitaxias, Core Augur</t>
  </si>
  <si>
    <t>It That Betrays</t>
  </si>
  <si>
    <t>Omniscience</t>
  </si>
  <si>
    <t>Aminatou's Augury</t>
  </si>
  <si>
    <t>Dilatação da Mente</t>
  </si>
  <si>
    <t>Obliterate</t>
  </si>
  <si>
    <t>Worldfire</t>
  </si>
  <si>
    <t>Apocalipse</t>
  </si>
  <si>
    <t>Jokulhaups</t>
  </si>
  <si>
    <t>Decree of Annihilation</t>
  </si>
  <si>
    <t>Consuming Tide</t>
  </si>
  <si>
    <t>Whelming Wave</t>
  </si>
  <si>
    <t>Evacuação</t>
  </si>
  <si>
    <t>Chain Reaction</t>
  </si>
  <si>
    <t>Blasphemous Act</t>
  </si>
  <si>
    <t>Devastation Tide</t>
  </si>
  <si>
    <t>Inundação de Lágrimas</t>
  </si>
  <si>
    <t>Curse of Opulence</t>
  </si>
  <si>
    <t>Wibbly-Wobbly, Timey-wimey</t>
  </si>
  <si>
    <t>Elemental da Fenda</t>
  </si>
  <si>
    <t>Medalhão da Fúria</t>
  </si>
  <si>
    <t>Clockspinning</t>
  </si>
  <si>
    <t>Timecrafting</t>
  </si>
  <si>
    <t>Jhoira's Timebug</t>
  </si>
  <si>
    <t>Negação Vorticosa</t>
  </si>
  <si>
    <t>Anular</t>
  </si>
  <si>
    <t>Verdade Reverberante</t>
  </si>
  <si>
    <t>Desvio de Realidade</t>
  </si>
  <si>
    <t>Rapid Hybridization</t>
  </si>
  <si>
    <t>Mana Leak</t>
  </si>
  <si>
    <t>Cyber Conversion</t>
  </si>
  <si>
    <t>Pongify</t>
  </si>
  <si>
    <t>Suspend</t>
  </si>
  <si>
    <t>Atrasar</t>
  </si>
  <si>
    <t>Swan Song</t>
  </si>
  <si>
    <t>Crawlspace</t>
  </si>
  <si>
    <t>Solve the Equation</t>
  </si>
  <si>
    <t>Preordain</t>
  </si>
  <si>
    <t>Mystical Tutor</t>
  </si>
  <si>
    <t>Telling Time</t>
  </si>
  <si>
    <t>Academy Loremaster</t>
  </si>
  <si>
    <t>Visões do Soro</t>
  </si>
  <si>
    <t>Antecipar</t>
  </si>
  <si>
    <t>Impulso</t>
  </si>
  <si>
    <t>Castle Vantress</t>
  </si>
  <si>
    <t>Shizo, Death's Storehouse</t>
  </si>
  <si>
    <t>Sea Gate Restoration</t>
  </si>
  <si>
    <t>Zof Bloodbog</t>
  </si>
  <si>
    <t>Halimar Depths</t>
  </si>
  <si>
    <t>Batedor</t>
  </si>
  <si>
    <t>Creeping Tar Pit</t>
  </si>
  <si>
    <t>Tolaria West</t>
  </si>
  <si>
    <t>Turns</t>
  </si>
  <si>
    <t>Faerie Conclave</t>
  </si>
  <si>
    <t>Unb</t>
  </si>
  <si>
    <t>Mutavault</t>
  </si>
  <si>
    <t>Temple of Deceit</t>
  </si>
  <si>
    <t>Simetria Subterfugiosa</t>
  </si>
  <si>
    <t>Protection Racket</t>
  </si>
  <si>
    <t>Varragoth, Bloodsky Sire</t>
  </si>
  <si>
    <t>Personal Tutor</t>
  </si>
  <si>
    <t>Dig Through Time</t>
  </si>
  <si>
    <t>Changeling Outcast</t>
  </si>
  <si>
    <t>Slither Blade</t>
  </si>
  <si>
    <t>Thalakos Seer</t>
  </si>
  <si>
    <t>Siren Stormtamer</t>
  </si>
  <si>
    <t>Tormented Soul</t>
  </si>
  <si>
    <t>Gengibruto</t>
  </si>
  <si>
    <t>Sombra de Mil Faces</t>
  </si>
  <si>
    <t>Convocadora da Brisa de Oboro</t>
  </si>
  <si>
    <t>Mothdust Changeling</t>
  </si>
  <si>
    <t>Faerie Seer</t>
  </si>
  <si>
    <t>Thieves' Tools</t>
  </si>
  <si>
    <t>Asas da Arrogância</t>
  </si>
  <si>
    <t>Wingcrafter</t>
  </si>
  <si>
    <t>Sword Coast Sailor</t>
  </si>
  <si>
    <t>Smoke Shroud</t>
  </si>
  <si>
    <t>Faerie Slumber Party</t>
  </si>
  <si>
    <t>Inundar</t>
  </si>
  <si>
    <t>Coastal Breach</t>
  </si>
  <si>
    <t>Abraço dos Tentáculos</t>
  </si>
  <si>
    <t>Crotalus Mortífero</t>
  </si>
  <si>
    <t>Familiar's Ruse</t>
  </si>
  <si>
    <t>Comido Vivo</t>
  </si>
  <si>
    <t>Spark Harvest</t>
  </si>
  <si>
    <t>Bone Shards</t>
  </si>
  <si>
    <t>Dismember</t>
  </si>
  <si>
    <t>Murderous Cut</t>
  </si>
  <si>
    <t>Abjure</t>
  </si>
  <si>
    <t>Despedaçamento Temporal de Jarn</t>
  </si>
  <si>
    <t>Temporal Trespass</t>
  </si>
  <si>
    <t>Temporal Mastery</t>
  </si>
  <si>
    <t>Time Warp</t>
  </si>
  <si>
    <t>Repartir o Véu D'Água</t>
  </si>
  <si>
    <t>Walk the Aeons</t>
  </si>
  <si>
    <t>Temporal Manipulation</t>
  </si>
  <si>
    <t>Conspiracy</t>
  </si>
  <si>
    <t>Maskwood Nexus</t>
  </si>
  <si>
    <t>Arcane Adaptation</t>
  </si>
  <si>
    <t>Vile Consumption</t>
  </si>
  <si>
    <t>Prosperous Thief</t>
  </si>
  <si>
    <t>Nashi, Herdeiro da Sábia da Lua</t>
  </si>
  <si>
    <t>Call of the Ring</t>
  </si>
  <si>
    <t>Thassa, God of the Sea</t>
  </si>
  <si>
    <t>Tampo de Adivinhação do Sensei</t>
  </si>
  <si>
    <t>Amoeboid Changeling</t>
  </si>
  <si>
    <t>Scroll Rack</t>
  </si>
  <si>
    <t>Homeward Path</t>
  </si>
  <si>
    <t>Mystic Monastery</t>
  </si>
  <si>
    <t>Madness</t>
  </si>
  <si>
    <t>Improve</t>
  </si>
  <si>
    <t>AutoPass</t>
  </si>
  <si>
    <t>Discerning Financier</t>
  </si>
  <si>
    <t>Garrafa da Água Infinita</t>
  </si>
  <si>
    <t>Pacto de Negação</t>
  </si>
  <si>
    <t>Acorrentado as Rochas</t>
  </si>
  <si>
    <t>Slash the Ranks</t>
  </si>
  <si>
    <t>Queda Solar</t>
  </si>
  <si>
    <t>Fumigate</t>
  </si>
  <si>
    <t>Cair sobre os Pecadores</t>
  </si>
  <si>
    <t>Out of Time</t>
  </si>
  <si>
    <t>One with the Stars</t>
  </si>
  <si>
    <t>Swift Reconfiguration</t>
  </si>
  <si>
    <t>Hithlain Rope</t>
  </si>
  <si>
    <t>Role Reversal</t>
  </si>
  <si>
    <t>Dragolâmpago Volátil</t>
  </si>
  <si>
    <t>Cavalo de Ácros</t>
  </si>
  <si>
    <t>Solitary Confinement</t>
  </si>
  <si>
    <t>Aether Flash</t>
  </si>
  <si>
    <t>Lightmine Field</t>
  </si>
  <si>
    <t>Divine Presence</t>
  </si>
  <si>
    <t>Pramikon, Ameias Celestes</t>
  </si>
  <si>
    <t>Reins of Power</t>
  </si>
  <si>
    <t>Words of War</t>
  </si>
  <si>
    <t>Aetherflux Reservoir</t>
  </si>
  <si>
    <t>Descent into Avernus</t>
  </si>
  <si>
    <t>Hive Mind</t>
  </si>
  <si>
    <t>Shared Fate</t>
  </si>
  <si>
    <t>Possibility Storm</t>
  </si>
  <si>
    <t>Conjured Currency</t>
  </si>
  <si>
    <t>Share the Spoils</t>
  </si>
  <si>
    <t>Knowledge Pool</t>
  </si>
  <si>
    <t>Perplexing Chimera</t>
  </si>
  <si>
    <t>Puca's Mischief</t>
  </si>
  <si>
    <t>Plargg and Nassari</t>
  </si>
  <si>
    <t>Custody Battle</t>
  </si>
  <si>
    <t>Confusão nas Fileiras</t>
  </si>
  <si>
    <t>Manabarbs</t>
  </si>
  <si>
    <t>Imunidade Diplomática</t>
  </si>
  <si>
    <t>Nove Vidas</t>
  </si>
  <si>
    <t>Venser's Journal</t>
  </si>
  <si>
    <t>Alhammarret's Archive</t>
  </si>
  <si>
    <t>Paradox Haze</t>
  </si>
  <si>
    <t>Archmage Inalla</t>
  </si>
  <si>
    <t>Casebre da Bruxa</t>
  </si>
  <si>
    <t>Grixis Panorama</t>
  </si>
  <si>
    <t>Recurso</t>
  </si>
  <si>
    <t>Escória Fundida</t>
  </si>
  <si>
    <t>Grande Fornalha</t>
  </si>
  <si>
    <t>Vivid Marsh</t>
  </si>
  <si>
    <t>Arcane Lighthouse</t>
  </si>
  <si>
    <t>Núcleo de Mirrodin</t>
  </si>
  <si>
    <t>Glasspool Mimic</t>
  </si>
  <si>
    <t>Porto de Karfell</t>
  </si>
  <si>
    <t>Azami, Lady of Scrolls</t>
  </si>
  <si>
    <t>Sea Gate Oracle</t>
  </si>
  <si>
    <t>Master of Death</t>
  </si>
  <si>
    <t>Trinket Mage</t>
  </si>
  <si>
    <t>Discípulo de Nicol Bolas</t>
  </si>
  <si>
    <t>Riverwise Augur</t>
  </si>
  <si>
    <t>Trophy Mage</t>
  </si>
  <si>
    <t>Bloodline Necromancer</t>
  </si>
  <si>
    <t>Archaeomancer</t>
  </si>
  <si>
    <t>Visionário do Soro</t>
  </si>
  <si>
    <t>Tumbamorfo</t>
  </si>
  <si>
    <t>Vigia do Amanhã</t>
  </si>
  <si>
    <t>Vidente Nubígena</t>
  </si>
  <si>
    <t>Fiel de Sidisi</t>
  </si>
  <si>
    <t>Devastador de Basalto</t>
  </si>
  <si>
    <t>Winter Eladrin</t>
  </si>
  <si>
    <t>Aether Channeler</t>
  </si>
  <si>
    <t>Galecaster Colossus</t>
  </si>
  <si>
    <t>Exclusion Mage</t>
  </si>
  <si>
    <t>Barrin, Arquimago Tolariano</t>
  </si>
  <si>
    <t>Aether Adept</t>
  </si>
  <si>
    <t>Venser, Shaper Savant</t>
  </si>
  <si>
    <t>Aprendiz de Mago de Centelhas</t>
  </si>
  <si>
    <t>Ruthless Technomancer</t>
  </si>
  <si>
    <t>Naban, Dean of Iteration</t>
  </si>
  <si>
    <t>Harmonic Prodigy</t>
  </si>
  <si>
    <t>Teferi, Mage of Zhalfir</t>
  </si>
  <si>
    <t>Dualcaster Mage</t>
  </si>
  <si>
    <t>Quasiduplicata</t>
  </si>
  <si>
    <t>Amoque Morfolóide</t>
  </si>
  <si>
    <t>Specimen Collector</t>
  </si>
  <si>
    <t>Wanderwine Prophets</t>
  </si>
  <si>
    <t>Alferes de Riacho Rochoso</t>
  </si>
  <si>
    <t>Corneta do Arauto</t>
  </si>
  <si>
    <t>Portão Enigmático</t>
  </si>
  <si>
    <t>Oversold Cemetery</t>
  </si>
  <si>
    <t>Industrial Advancement</t>
  </si>
  <si>
    <t>Tremores de Impacto</t>
  </si>
  <si>
    <t>Panharmonicon</t>
  </si>
  <si>
    <t>Goblin Bombardment</t>
  </si>
  <si>
    <t>Cackling Counterpart</t>
  </si>
  <si>
    <t>Crystal Shard</t>
  </si>
  <si>
    <t>Persistir</t>
  </si>
  <si>
    <t>Ghostly Flicker</t>
  </si>
  <si>
    <t>Comando do Patriarca</t>
  </si>
  <si>
    <t>Diário de Tarrian</t>
  </si>
  <si>
    <t>Radiant Fountain</t>
  </si>
  <si>
    <t>Kabira Crossroads</t>
  </si>
  <si>
    <t>Shambling Vent</t>
  </si>
  <si>
    <t>Scoured Barrens</t>
  </si>
  <si>
    <t>Malakir Rebirth</t>
  </si>
  <si>
    <t>Memorial to Folly</t>
  </si>
  <si>
    <t>Japaland</t>
  </si>
  <si>
    <t>Vault of the Archangel</t>
  </si>
  <si>
    <t>Morte</t>
  </si>
  <si>
    <t>Retorno</t>
  </si>
  <si>
    <t>Obscura Storefront</t>
  </si>
  <si>
    <t>Campo Contaminado</t>
  </si>
  <si>
    <t>Necropotence</t>
  </si>
  <si>
    <t>Dark Confidant</t>
  </si>
  <si>
    <t>Guardiã da Aurora de Gavony</t>
  </si>
  <si>
    <t>Ranger of Eos</t>
  </si>
  <si>
    <t>Dark Tutelage</t>
  </si>
  <si>
    <t>Welcoming Vampire</t>
  </si>
  <si>
    <t>Sanctuary Warden</t>
  </si>
  <si>
    <t>Tymaret, Chosen from Death</t>
  </si>
  <si>
    <t>Ayli, Eternal Pilgrim</t>
  </si>
  <si>
    <t>High Priest of Penance</t>
  </si>
  <si>
    <t>Dawnbringer Cleric</t>
  </si>
  <si>
    <t>Iniciado Esperançoso</t>
  </si>
  <si>
    <t>Callous Bloodmage</t>
  </si>
  <si>
    <t>Soul Warden</t>
  </si>
  <si>
    <t>Soul's Attendant</t>
  </si>
  <si>
    <t>Suture Priest</t>
  </si>
  <si>
    <t>Kambal, Consul of Allocation</t>
  </si>
  <si>
    <t>Veterano Lunarca</t>
  </si>
  <si>
    <t>Reaper's Talisman</t>
  </si>
  <si>
    <t>Guia das Almas</t>
  </si>
  <si>
    <t>Daxos, Blessed by the Sun</t>
  </si>
  <si>
    <t>Distinguished Conjurer</t>
  </si>
  <si>
    <t>Orim's Prayer</t>
  </si>
  <si>
    <t>Boas-vindas de Ajani</t>
  </si>
  <si>
    <t>Sorin da Casa Markov</t>
  </si>
  <si>
    <t>Skyclave Cleric</t>
  </si>
  <si>
    <t>Autoridade dos Cônsules</t>
  </si>
  <si>
    <t>Deathgreeter</t>
  </si>
  <si>
    <t>Sun Droplet</t>
  </si>
  <si>
    <t>Elas il-Kor, Peregrina Sádica</t>
  </si>
  <si>
    <t>Ashes of the Abhorrent</t>
  </si>
  <si>
    <t>Spectrum Sentinel</t>
  </si>
  <si>
    <t>Case of the Uneaten Feast</t>
  </si>
  <si>
    <t>Speaker of the Heavens</t>
  </si>
  <si>
    <t>Vito, Thorn of the Dusk Rose</t>
  </si>
  <si>
    <t>Marauding Blight-Priest</t>
  </si>
  <si>
    <t>Redemption Choir</t>
  </si>
  <si>
    <t>Phyrexian Reclamation</t>
  </si>
  <si>
    <t>Veinwitch Coven</t>
  </si>
  <si>
    <t>Sorin, Vengeful Bloodlord</t>
  </si>
  <si>
    <t>Corte do Vale Arden</t>
  </si>
  <si>
    <t>Servidão Imortal</t>
  </si>
  <si>
    <t>Lurrus da Toca Onírica</t>
  </si>
  <si>
    <t>Sun Titan</t>
  </si>
  <si>
    <t>Extraction Specialist</t>
  </si>
  <si>
    <t>Nutridor de Heliósporo</t>
  </si>
  <si>
    <t>Vizkopa Guildmage</t>
  </si>
  <si>
    <t>Cleric Class</t>
  </si>
  <si>
    <t>Athreos, God of Passage</t>
  </si>
  <si>
    <t>Pega</t>
  </si>
  <si>
    <t>Revitalizing Repast</t>
  </si>
  <si>
    <t>Solemn Simulacrum</t>
  </si>
  <si>
    <t>Dawntreader Elk</t>
  </si>
  <si>
    <t>Sabedoria da Natureza</t>
  </si>
  <si>
    <t>Asceticism</t>
  </si>
  <si>
    <t>Ritmo dos Selvagens</t>
  </si>
  <si>
    <t>Shriekmaw</t>
  </si>
  <si>
    <t>Ravenous Chupacabra</t>
  </si>
  <si>
    <t>Magus of the Abyss</t>
  </si>
  <si>
    <t>Libertadora Forasteira</t>
  </si>
  <si>
    <t>Ginete Homicida</t>
  </si>
  <si>
    <t>Caustic Caterpillar</t>
  </si>
  <si>
    <t>Ingot Chewer</t>
  </si>
  <si>
    <t>Thrashing Brontodon</t>
  </si>
  <si>
    <t>Deadly Brew</t>
  </si>
  <si>
    <t>Plaguecrafter</t>
  </si>
  <si>
    <t>Ascensão do Rei-bruxo</t>
  </si>
  <si>
    <t>Fleshbag Marauder</t>
  </si>
  <si>
    <t>Merciless Executioner</t>
  </si>
  <si>
    <t>Tumulume</t>
  </si>
  <si>
    <t>Saqueador Amaldiçoado</t>
  </si>
  <si>
    <t>Demon's Disciple</t>
  </si>
  <si>
    <t>Soul Shatter</t>
  </si>
  <si>
    <t>Mogis, God of Slaughter</t>
  </si>
  <si>
    <t>Archfiend of Depravity</t>
  </si>
  <si>
    <t>Storm's Wrath</t>
  </si>
  <si>
    <t>Bane of Progress</t>
  </si>
  <si>
    <t>Ritual da Fuligem</t>
  </si>
  <si>
    <t>Savage Twister</t>
  </si>
  <si>
    <t>Pestilence</t>
  </si>
  <si>
    <t>Volcanic Fallout</t>
  </si>
  <si>
    <t>Incite Rebellion</t>
  </si>
  <si>
    <t>Colossal Majesty</t>
  </si>
  <si>
    <t>Jarad's Orders</t>
  </si>
  <si>
    <t>Trol da Ponte Ribombante</t>
  </si>
  <si>
    <t>Drumhunter</t>
  </si>
  <si>
    <t>Life's Legacy</t>
  </si>
  <si>
    <t>Soul's Majesty</t>
  </si>
  <si>
    <t>Oportunista Mórbida</t>
  </si>
  <si>
    <t>Rancor</t>
  </si>
  <si>
    <t>Procissão de Carniçais</t>
  </si>
  <si>
    <t>Feldon of the Third Path</t>
  </si>
  <si>
    <t>Loxodon Warhammer</t>
  </si>
  <si>
    <t>Brawn</t>
  </si>
  <si>
    <t>Arcbond</t>
  </si>
  <si>
    <t>Jarad, Golgari Lich Lord</t>
  </si>
  <si>
    <t>Mage Slayer</t>
  </si>
  <si>
    <t>Soul's Fire</t>
  </si>
  <si>
    <t>Thud</t>
  </si>
  <si>
    <t>Rite of Consumption</t>
  </si>
  <si>
    <t>Essence Harvest</t>
  </si>
  <si>
    <t>Fling</t>
  </si>
  <si>
    <t>Arcane Sanctum</t>
  </si>
  <si>
    <t>Seaside Citadel</t>
  </si>
  <si>
    <t>Crumbling Necropolis</t>
  </si>
  <si>
    <t>Savage Lands</t>
  </si>
  <si>
    <t>Nomad Outpost</t>
  </si>
  <si>
    <t>Draw PW</t>
  </si>
  <si>
    <t>Sandsteppe Citadel</t>
  </si>
  <si>
    <t>Remoção PW</t>
  </si>
  <si>
    <t>Opulent Palace</t>
  </si>
  <si>
    <t>Valor PW</t>
  </si>
  <si>
    <t>Frontier Bivouac</t>
  </si>
  <si>
    <t>Vitória PW</t>
  </si>
  <si>
    <t>Temple of Enlightenment</t>
  </si>
  <si>
    <t>Temple of Malice</t>
  </si>
  <si>
    <t>Temple of Abandon</t>
  </si>
  <si>
    <t>Temple of Epiphany</t>
  </si>
  <si>
    <t>Temple of Triumph</t>
  </si>
  <si>
    <t>Temple of Mystery</t>
  </si>
  <si>
    <t>Karn's Bastion</t>
  </si>
  <si>
    <t>Seguro de Vida</t>
  </si>
  <si>
    <t>Lolth, Rainha Aranha</t>
  </si>
  <si>
    <t>Sorin, Grim Nemesis</t>
  </si>
  <si>
    <t>Elminster</t>
  </si>
  <si>
    <t>Ajani Unyielding</t>
  </si>
  <si>
    <t>Liliana Vess</t>
  </si>
  <si>
    <t>Kasmina, Enigma Sage</t>
  </si>
  <si>
    <t>Commodore Guff</t>
  </si>
  <si>
    <t>Jace, Unraveler of Secrets</t>
  </si>
  <si>
    <t>Tasha, the Witch Queen</t>
  </si>
  <si>
    <t>Tamiyo, the Moon Sage</t>
  </si>
  <si>
    <t>Ob Nixilis Reignited</t>
  </si>
  <si>
    <t>Dihada, Binder of Wills</t>
  </si>
  <si>
    <t>Kaya the Inexorable</t>
  </si>
  <si>
    <t>O Ancião Renascido</t>
  </si>
  <si>
    <t>Elspeth, Sun's Champion</t>
  </si>
  <si>
    <t>Vraska the Unseen</t>
  </si>
  <si>
    <t>Ral Zarek</t>
  </si>
  <si>
    <t>The Wanderer</t>
  </si>
  <si>
    <t>Garruk, Cursed Huntsman</t>
  </si>
  <si>
    <t>Angrath, the Flame-Chained</t>
  </si>
  <si>
    <t>Dakkon, Shadow Slayer</t>
  </si>
  <si>
    <t>Ugin, the Ineffable</t>
  </si>
  <si>
    <t>Explosão Ruinosa de Urza</t>
  </si>
  <si>
    <t>Oko, Thief of Crowns</t>
  </si>
  <si>
    <t>Nicol Bolas, Dragon-God</t>
  </si>
  <si>
    <t>Supreme Verdict</t>
  </si>
  <si>
    <t>Vronos, Masked Inquisitor</t>
  </si>
  <si>
    <t>Venser, o Visitante</t>
  </si>
  <si>
    <t>Dovin, Hand of Control</t>
  </si>
  <si>
    <t>Karn Liberated</t>
  </si>
  <si>
    <t>Wrenn and Realmbreaker</t>
  </si>
  <si>
    <t>Aminatou, the Fateshifter</t>
  </si>
  <si>
    <t>Ashiok, Dream Render</t>
  </si>
  <si>
    <t>Narset, Parter of Veils</t>
  </si>
  <si>
    <t>Sarkhan the Masterless</t>
  </si>
  <si>
    <t>Chandra, Awakened Inferno</t>
  </si>
  <si>
    <t>Djeru, With Eyes Open</t>
  </si>
  <si>
    <t>Jodah, the Unifier</t>
  </si>
  <si>
    <t>Rings of Brighthearth</t>
  </si>
  <si>
    <t>Canalizadora de Fluxos</t>
  </si>
  <si>
    <t>Ripples of Potential</t>
  </si>
  <si>
    <t>Urza Assembles the Titans</t>
  </si>
  <si>
    <t>Carth the Lion</t>
  </si>
  <si>
    <t>Mila, Crafty Companion</t>
  </si>
  <si>
    <t>Brokers Ascendancy</t>
  </si>
  <si>
    <t>Gold-Forged Thopteryx</t>
  </si>
  <si>
    <t>Kethis, the Hidden Hand</t>
  </si>
  <si>
    <t>Oath of Chandra</t>
  </si>
  <si>
    <t>Oath of Ajani</t>
  </si>
  <si>
    <t>Oath of Nissa</t>
  </si>
  <si>
    <t>Oath of Teferi</t>
  </si>
  <si>
    <t>Oath of Gideon</t>
  </si>
  <si>
    <t>Oath of Kaya</t>
  </si>
  <si>
    <t>Oath of Jace</t>
  </si>
  <si>
    <t>Oath of Liliana</t>
  </si>
  <si>
    <t>Fearless Akiri</t>
  </si>
  <si>
    <t>Fúria de Kazuul</t>
  </si>
  <si>
    <t>Axgard Armory</t>
  </si>
  <si>
    <t>Redutor</t>
  </si>
  <si>
    <t>Agressivo</t>
  </si>
  <si>
    <t>Defensivo</t>
  </si>
  <si>
    <t>Bruenor Battlehammer</t>
  </si>
  <si>
    <t>Forge Anew</t>
  </si>
  <si>
    <t>Danitha Capashen, Paragon</t>
  </si>
  <si>
    <t>Chicote de Guerra de Bladehold</t>
  </si>
  <si>
    <t>Puresteel Paladin</t>
  </si>
  <si>
    <t>Ardenn, Arqueólogo Intrépido</t>
  </si>
  <si>
    <t>Brass Squire</t>
  </si>
  <si>
    <t>Auriok Steelshaper</t>
  </si>
  <si>
    <t>Open the Armory</t>
  </si>
  <si>
    <t>Caçadora Celeste Armadurada</t>
  </si>
  <si>
    <t>Forja Mística</t>
  </si>
  <si>
    <t>Sram, Senior Edificer</t>
  </si>
  <si>
    <t>Fighter Class</t>
  </si>
  <si>
    <t>A Forja da Espada de Tyrita</t>
  </si>
  <si>
    <t>Sombra Mutável</t>
  </si>
  <si>
    <t>Kellan, the Fae-Blooded // Birthright Boon</t>
  </si>
  <si>
    <t>Leonin Shikari</t>
  </si>
  <si>
    <t xml:space="preserve">Engenheira do Sítio de Escavação </t>
  </si>
  <si>
    <t>Astor, Portador das Lâminas</t>
  </si>
  <si>
    <t>Horn of Valhalla</t>
  </si>
  <si>
    <t>Lightning Spear</t>
  </si>
  <si>
    <t>Lion Sash</t>
  </si>
  <si>
    <t>Citizen's Crowbar</t>
  </si>
  <si>
    <t>Dispatch</t>
  </si>
  <si>
    <t>Wrath of God</t>
  </si>
  <si>
    <t>Vanquish the Horde</t>
  </si>
  <si>
    <t>Shatter the Sky</t>
  </si>
  <si>
    <t>Day of Judgment</t>
  </si>
  <si>
    <t>Fell the Mighty</t>
  </si>
  <si>
    <t>Winds of Rath</t>
  </si>
  <si>
    <t>Garras do Capitão</t>
  </si>
  <si>
    <t>Espada de Verdade e Justiça</t>
  </si>
  <si>
    <t>Kusari-Gama</t>
  </si>
  <si>
    <t>Espada de Passado e Futuro</t>
  </si>
  <si>
    <t>Tenza, Godo's Maul</t>
  </si>
  <si>
    <t>Espada de Fogo e Gelo</t>
  </si>
  <si>
    <t>Espada de Banquete e Fome</t>
  </si>
  <si>
    <t>Espada de Forja e Fronteira</t>
  </si>
  <si>
    <t>Espada de Lar e Morada</t>
  </si>
  <si>
    <t>Espada de Guerra e Paz</t>
  </si>
  <si>
    <t>Espada de Corpo e Mente</t>
  </si>
  <si>
    <t>Espada de Aço e Tendão</t>
  </si>
  <si>
    <t>Umezawa's Jitte</t>
  </si>
  <si>
    <t>Lizard Blades</t>
  </si>
  <si>
    <t>Jitte Perdida</t>
  </si>
  <si>
    <t>Barbed Spike</t>
  </si>
  <si>
    <t>Espada da Riqueza e do Poder</t>
  </si>
  <si>
    <t>Estrela da Manhã dos Goblins</t>
  </si>
  <si>
    <t>Armadura de Placas</t>
  </si>
  <si>
    <t>Leather Armor</t>
  </si>
  <si>
    <t>Glimmer Lens</t>
  </si>
  <si>
    <t>Mask of Memory</t>
  </si>
  <si>
    <t>Infiltration Lens</t>
  </si>
  <si>
    <t>Beamtown Beatstick</t>
  </si>
  <si>
    <t>Komainu Battle Armor</t>
  </si>
  <si>
    <t>Goldvein Pick</t>
  </si>
  <si>
    <t>Basilisk Collar</t>
  </si>
  <si>
    <t>Prying Blade</t>
  </si>
  <si>
    <t>Explorer's Scope</t>
  </si>
  <si>
    <t>Vial Smasher e Ishai</t>
  </si>
  <si>
    <t>Cascading Cataracts</t>
  </si>
  <si>
    <t>Grande Coliseu</t>
  </si>
  <si>
    <t>Arid Mesa</t>
  </si>
  <si>
    <t>Blood Crypt</t>
  </si>
  <si>
    <t>Ondu Inversion</t>
  </si>
  <si>
    <t>Archivist of Oghma</t>
  </si>
  <si>
    <t>Sygg, River Cutthroat</t>
  </si>
  <si>
    <t>Tandem Lookout</t>
  </si>
  <si>
    <t>Inspiring Refrain</t>
  </si>
  <si>
    <t>Cruzeiro do Tesouro</t>
  </si>
  <si>
    <t>Sphinx's Revelation</t>
  </si>
  <si>
    <t>Crackling Doom</t>
  </si>
  <si>
    <t>Pile On</t>
  </si>
  <si>
    <t>Void Rend</t>
  </si>
  <si>
    <t>Mystic Reflection</t>
  </si>
  <si>
    <t>Sculpted Sunburst</t>
  </si>
  <si>
    <t>Subjugar a Horda</t>
  </si>
  <si>
    <t>Terminus</t>
  </si>
  <si>
    <t>Mito de Snapdax</t>
  </si>
  <si>
    <t>Exquisite Blood</t>
  </si>
  <si>
    <t>Pain Magnification</t>
  </si>
  <si>
    <t>Keranos, God of Storms</t>
  </si>
  <si>
    <t>Coisa no Gelo</t>
  </si>
  <si>
    <t>Ascensão do Grão-Vampiro</t>
  </si>
  <si>
    <t>Settle the Wreckage</t>
  </si>
  <si>
    <t>Aetherize</t>
  </si>
  <si>
    <t>Lagoas Fétidas</t>
  </si>
  <si>
    <t>Hall of Tagsin</t>
  </si>
  <si>
    <t>Mirror</t>
  </si>
  <si>
    <t>Sol Talisman</t>
  </si>
  <si>
    <t>Charcoal Diamond</t>
  </si>
  <si>
    <t>Ur-Golem's Eye</t>
  </si>
  <si>
    <t>Sisay's Ring</t>
  </si>
  <si>
    <t>Lotus-de-Nyx</t>
  </si>
  <si>
    <t>Estandarte Heráldico</t>
  </si>
  <si>
    <t>Midnight Clock</t>
  </si>
  <si>
    <t>Blinkmoth Urn</t>
  </si>
  <si>
    <t>Fragmento de Pedra de Energia</t>
  </si>
  <si>
    <t>Liliana dos Reinos Sombrios</t>
  </si>
  <si>
    <t>Karn, Living Legacy</t>
  </si>
  <si>
    <t>Gagueira Mágica</t>
  </si>
  <si>
    <t>Três Passos à Frente</t>
  </si>
  <si>
    <t>Resculpt</t>
  </si>
  <si>
    <t>Terisiare's Devastation</t>
  </si>
  <si>
    <t>Repreensão Metálica</t>
  </si>
  <si>
    <t>Redirecionamento de Gale</t>
  </si>
  <si>
    <t>Mirrormade</t>
  </si>
  <si>
    <t>Técnica de Replicação</t>
  </si>
  <si>
    <t>Sculpting Steel</t>
  </si>
  <si>
    <t>Clever Impersonator</t>
  </si>
  <si>
    <t>Masterful Replication</t>
  </si>
  <si>
    <t>Chave Voltaica</t>
  </si>
  <si>
    <t>Piscar de Olhos</t>
  </si>
  <si>
    <t>Oblivion Sower</t>
  </si>
  <si>
    <t>Notorious Throng</t>
  </si>
  <si>
    <t>Mind Grind</t>
  </si>
  <si>
    <t>Fabricate</t>
  </si>
  <si>
    <t>Dire Undercurrents</t>
  </si>
  <si>
    <t>Gerador da Estagnação</t>
  </si>
  <si>
    <t>Ayara, First of Locthwain</t>
  </si>
  <si>
    <t>Merfolk</t>
  </si>
  <si>
    <t>Harvest Season</t>
  </si>
  <si>
    <t>Vanquisher's Banner</t>
  </si>
  <si>
    <t>Bred for the Hunt</t>
  </si>
  <si>
    <t>Reconnaissance Mission</t>
  </si>
  <si>
    <t>Lifecrafter's Bestiary</t>
  </si>
  <si>
    <t>Seahunter</t>
  </si>
  <si>
    <t>Zegana, Utopian Speaker</t>
  </si>
  <si>
    <t>Prime Speaker Zegana</t>
  </si>
  <si>
    <t>Thada Adel, Acquisitor</t>
  </si>
  <si>
    <t>Svyelun of Sea and Sky</t>
  </si>
  <si>
    <t>Kopala, Warden of Waves</t>
  </si>
  <si>
    <t>Tishana, Voice of Thunder</t>
  </si>
  <si>
    <t>Emperor Mihail II</t>
  </si>
  <si>
    <t>Coralhelm Commander</t>
  </si>
  <si>
    <t>Hakbal da Alma Crescente</t>
  </si>
  <si>
    <t>Master of the Pearl Trident</t>
  </si>
  <si>
    <t>Vodalian Hexcatcher</t>
  </si>
  <si>
    <t>Merrow Reejerey</t>
  </si>
  <si>
    <t>Merfolk Mistbinder</t>
  </si>
  <si>
    <t>Lord of Atlantis</t>
  </si>
  <si>
    <t>Metallic Mimic</t>
  </si>
  <si>
    <t>Adaptive Automaton</t>
  </si>
  <si>
    <t>Lullmage Mentor</t>
  </si>
  <si>
    <t>Deeproot Waters</t>
  </si>
  <si>
    <t>Seafloor Oracle</t>
  </si>
  <si>
    <t>Stonybrook Banneret</t>
  </si>
  <si>
    <t>Peregrinação a Raiz Profunda</t>
  </si>
  <si>
    <t>Herald of Secret Streams</t>
  </si>
  <si>
    <t>Forerunner of the Heralds</t>
  </si>
  <si>
    <t>Merrow Harbinger</t>
  </si>
  <si>
    <t>Merfolk Sovereign</t>
  </si>
  <si>
    <t>Cold-Eyed Selkie</t>
  </si>
  <si>
    <t>Wake Thrasher</t>
  </si>
  <si>
    <t>Deeproot Historian</t>
  </si>
  <si>
    <t>Surgespanner</t>
  </si>
  <si>
    <t>Singer of Swift Rivers</t>
  </si>
  <si>
    <t>Icon of Ancestry</t>
  </si>
  <si>
    <t>Throne of the God-Pharaoh</t>
  </si>
  <si>
    <t>Door of Destinies</t>
  </si>
  <si>
    <t>Merrow Commerce</t>
  </si>
  <si>
    <t>Filter Out</t>
  </si>
  <si>
    <t>Ashaya, Soul of the Wild</t>
  </si>
  <si>
    <t>Falcão Cobiçado</t>
  </si>
  <si>
    <t>Invasão de Segóvia</t>
  </si>
  <si>
    <t>Floresta Flagelada</t>
  </si>
  <si>
    <t>Espada de Luz e Sombra</t>
  </si>
  <si>
    <t>Army</t>
  </si>
  <si>
    <t>Mentor do Monastério</t>
  </si>
  <si>
    <t>Saheeli, Artífice Sublime</t>
  </si>
  <si>
    <t>Kykar, Fúria do Vento</t>
  </si>
  <si>
    <t>Iconoclasta da Terceira Via</t>
  </si>
  <si>
    <t>Young Pyromancer</t>
  </si>
  <si>
    <t>Resposta // Ressurgimento</t>
  </si>
  <si>
    <t>Ascendência Jeskai</t>
  </si>
  <si>
    <t>Tought Vessel</t>
  </si>
  <si>
    <t>Alfinetador de Pecados</t>
  </si>
  <si>
    <t>Optar</t>
  </si>
  <si>
    <t>Omen of the Sea</t>
  </si>
  <si>
    <t>Inferno Duplo</t>
  </si>
  <si>
    <t>Botas do Desbravador</t>
  </si>
  <si>
    <t>Surto da Salvação</t>
  </si>
  <si>
    <t>Artist's Talent</t>
  </si>
  <si>
    <t>Lifecreed Duo</t>
  </si>
  <si>
    <t>Darkstar Augur</t>
  </si>
  <si>
    <t>Gossip's Talent</t>
  </si>
  <si>
    <t>Dour Port-Mage</t>
  </si>
  <si>
    <t>Season of Weaving</t>
  </si>
  <si>
    <t>Presságio da Calamidade</t>
  </si>
  <si>
    <t>Baylen</t>
  </si>
  <si>
    <t>HighTokens</t>
  </si>
  <si>
    <t>Starscape Cleric</t>
  </si>
  <si>
    <t>For the Common Good</t>
  </si>
  <si>
    <t>Farmer Cotton</t>
  </si>
  <si>
    <t>Artifact Mutation</t>
  </si>
  <si>
    <t>Aura Mutation</t>
  </si>
  <si>
    <t>Peregrin Took</t>
  </si>
  <si>
    <t>Cadira, Caller of the Small</t>
  </si>
  <si>
    <t>March of the Multitudes</t>
  </si>
  <si>
    <t>Second Harvest</t>
  </si>
  <si>
    <t>Rosie Cotton of South Lane</t>
  </si>
  <si>
    <t>DoubleTokens</t>
  </si>
  <si>
    <t>AlwaysTokens</t>
  </si>
  <si>
    <t>InstaTokens</t>
  </si>
  <si>
    <t>Jacked Rabbit</t>
  </si>
  <si>
    <t>Arasta of the Endless Web</t>
  </si>
  <si>
    <t>Samwise Gangee</t>
  </si>
  <si>
    <t>Secure the Wastes</t>
  </si>
  <si>
    <t>Teferi's Protection</t>
  </si>
  <si>
    <t>Sundering Growth</t>
  </si>
  <si>
    <t>Crash the Party</t>
  </si>
  <si>
    <t>Cabaretti Charm</t>
  </si>
  <si>
    <t>Rootborn Defenses</t>
  </si>
  <si>
    <t>Pest Infestation</t>
  </si>
  <si>
    <t>Wildfire Awakener</t>
  </si>
  <si>
    <t>KillMachine</t>
  </si>
  <si>
    <t>Impact Tremors</t>
  </si>
  <si>
    <t>Warleader's Call</t>
  </si>
  <si>
    <t>Rabble Rousing</t>
  </si>
  <si>
    <t>Jetmir, Nexus of Revels</t>
  </si>
  <si>
    <t>Purphoros, God of the Forge</t>
  </si>
  <si>
    <t>Gala Greeters</t>
  </si>
  <si>
    <t>Many Partings</t>
  </si>
  <si>
    <t>The Shire</t>
  </si>
  <si>
    <t>Kher Keep</t>
  </si>
  <si>
    <t>Sheltering Landscape</t>
  </si>
  <si>
    <t>Mossfire Valley</t>
  </si>
  <si>
    <t>Sungrass Prairie</t>
  </si>
  <si>
    <t>Cinder Glade</t>
  </si>
  <si>
    <t>Sunscorched Divide</t>
  </si>
  <si>
    <t>Oltec Matterweaver</t>
  </si>
  <si>
    <t>Comando de Kayla</t>
  </si>
  <si>
    <t>Especialidade de Sram</t>
  </si>
  <si>
    <t>Illustrious Wanderglyph</t>
  </si>
  <si>
    <t>Mina dos Anões</t>
  </si>
  <si>
    <t>Casinha de Doces</t>
  </si>
  <si>
    <t>Ghired, Mirror of the Wilds</t>
  </si>
  <si>
    <t>Tempestade Serelepe</t>
  </si>
  <si>
    <t>Horda Germinal</t>
  </si>
  <si>
    <t>Horn of Valhalla // Ysgard's Call</t>
  </si>
  <si>
    <t>Ophiomancer</t>
  </si>
  <si>
    <t>Thirst for Knowledge</t>
  </si>
  <si>
    <t>Baylen, o  Coelho</t>
  </si>
  <si>
    <t>Pedra de Erech</t>
  </si>
  <si>
    <t>Hidetsugu, o Grande Devorador</t>
  </si>
  <si>
    <t>Teysa, Oligarca Opulenta</t>
  </si>
  <si>
    <t>Cephalid Coliseum</t>
  </si>
  <si>
    <t>Enduring Innocence</t>
  </si>
  <si>
    <t>Leyline of Hope</t>
  </si>
  <si>
    <t>Unholy Annex // Ritual Chamber</t>
  </si>
  <si>
    <t>Dazzling Theater // Prop Room</t>
  </si>
  <si>
    <t>Dollmaker's Shop // Porcelain Gallery</t>
  </si>
  <si>
    <t>Enduring Curiosity</t>
  </si>
  <si>
    <t>Marvin, Murderous Mimic</t>
  </si>
  <si>
    <t>Hedge Shredder</t>
  </si>
  <si>
    <t>Leyline of Transformation</t>
  </si>
  <si>
    <t>Silent Hallcreeper</t>
  </si>
  <si>
    <t>The Mindskinner</t>
  </si>
  <si>
    <t>Sokrates, Atheinan Teacher</t>
  </si>
  <si>
    <t>Three Tree City</t>
  </si>
  <si>
    <t>Time of Need</t>
  </si>
  <si>
    <t>Powerbalance</t>
  </si>
  <si>
    <t>Midnight Guard</t>
  </si>
  <si>
    <t>Insidious Fungus</t>
  </si>
  <si>
    <t>Restricted Office // Lecture Hall</t>
  </si>
  <si>
    <t>Zimone, Mystery Unraveler</t>
  </si>
  <si>
    <t>Crib Swap</t>
  </si>
  <si>
    <t>Scavenging Ooze</t>
  </si>
  <si>
    <t>Garra Krosana</t>
  </si>
  <si>
    <t>Scurry Oak</t>
  </si>
  <si>
    <t>Estorrar</t>
  </si>
  <si>
    <t>Noite da Vingança dos Doces</t>
  </si>
  <si>
    <t>Bolsa de Nobre</t>
  </si>
  <si>
    <t>Titanic Ultimatum</t>
  </si>
  <si>
    <t>Revive the Shire</t>
  </si>
  <si>
    <t>Saciar</t>
  </si>
  <si>
    <t>Augúrio do Sol</t>
  </si>
  <si>
    <t>Trilha de Migalhas</t>
  </si>
  <si>
    <t>Investigação Minuciosa</t>
  </si>
  <si>
    <t>Forno da Bruxa</t>
  </si>
  <si>
    <t>Taverneiro Prospero</t>
  </si>
  <si>
    <t>Contrabandear Gado</t>
  </si>
  <si>
    <t>Vitu-Ghazi, a Árvore-cidade</t>
  </si>
  <si>
    <t>Praia Inundada</t>
  </si>
  <si>
    <t>Selesnya Sanctuary</t>
  </si>
  <si>
    <t>Gleba Gruul</t>
  </si>
  <si>
    <t>Presença de Gond</t>
  </si>
  <si>
    <t>Dia</t>
  </si>
  <si>
    <t>Player 1</t>
  </si>
  <si>
    <t>Deck 1</t>
  </si>
  <si>
    <t>Player 2</t>
  </si>
  <si>
    <t>Deck 2</t>
  </si>
  <si>
    <t>Deck 3</t>
  </si>
  <si>
    <t>Deck 4</t>
  </si>
  <si>
    <t>Vitória</t>
  </si>
  <si>
    <t>Vivian</t>
  </si>
  <si>
    <t>Zimone</t>
  </si>
  <si>
    <t>Renato</t>
  </si>
  <si>
    <t>Dexter</t>
  </si>
  <si>
    <t>Kaalia</t>
  </si>
  <si>
    <t>Raffine</t>
  </si>
  <si>
    <t>Tovolar</t>
  </si>
  <si>
    <t>Hamster</t>
  </si>
  <si>
    <t>Trakiri</t>
  </si>
  <si>
    <t>Partidas</t>
  </si>
  <si>
    <t>Winrate</t>
  </si>
  <si>
    <t>Player</t>
  </si>
  <si>
    <t>Talita</t>
  </si>
  <si>
    <t>João</t>
  </si>
  <si>
    <t>Bloodghast</t>
  </si>
  <si>
    <t>Scryb Ranger</t>
  </si>
  <si>
    <t>Jadar, Ghoulcaller of Nephalia</t>
  </si>
  <si>
    <t>Nether Traitor</t>
  </si>
  <si>
    <t>Oathsworn Vampire</t>
  </si>
  <si>
    <t>Winota</t>
  </si>
  <si>
    <t>Ladinos</t>
  </si>
  <si>
    <t>Who Time</t>
  </si>
  <si>
    <t>Who Villains</t>
  </si>
  <si>
    <t>Narset</t>
  </si>
  <si>
    <t>High-Society Hunter</t>
  </si>
  <si>
    <t>Homunculus Horde</t>
  </si>
  <si>
    <t>Crystal Barricade</t>
  </si>
  <si>
    <t>Scrawling Crawler</t>
  </si>
  <si>
    <t>Rev, Tithe Extractor</t>
  </si>
  <si>
    <t>Dionus, Elvish Archdruid</t>
  </si>
  <si>
    <t>Elvish Regrower</t>
  </si>
  <si>
    <t>Protection Magic</t>
  </si>
  <si>
    <t>Sphere Grid</t>
  </si>
  <si>
    <t>Maester Seymour</t>
  </si>
  <si>
    <t>Tromell, Seymour's Butler</t>
  </si>
  <si>
    <t>Ardbert, Warrior of Darkness</t>
  </si>
  <si>
    <t>Shelinda, Yevon Acolyte</t>
  </si>
  <si>
    <t>Luminous Broodmoth</t>
  </si>
  <si>
    <t>Resourceful Defense</t>
  </si>
  <si>
    <t>Scholar of New Horizons</t>
  </si>
  <si>
    <t>Inspiring Call</t>
  </si>
  <si>
    <t>Gyre Sage</t>
  </si>
  <si>
    <t>Incubation Druid</t>
  </si>
  <si>
    <t>Dever Além da Morte</t>
  </si>
  <si>
    <t>Muldrotha, the Gravetide</t>
  </si>
  <si>
    <t>Grave Pact</t>
  </si>
  <si>
    <t>Elvish Reclaimer</t>
  </si>
  <si>
    <t>Dictate of Erebos</t>
  </si>
  <si>
    <t>Ecological Appreciation</t>
  </si>
  <si>
    <t>Return</t>
  </si>
  <si>
    <t>Hollowmurk Siege</t>
  </si>
  <si>
    <t>Bulwark Ox</t>
  </si>
  <si>
    <t>Zack Fair</t>
  </si>
  <si>
    <t>Fog</t>
  </si>
  <si>
    <t>The Emperor of Palamecia</t>
  </si>
  <si>
    <t>Luxury Suite</t>
  </si>
  <si>
    <t>Inevitable Defeat</t>
  </si>
  <si>
    <t>Mangara, the Diplomat</t>
  </si>
  <si>
    <t>Comeuppance</t>
  </si>
  <si>
    <t>Take the Bait</t>
  </si>
  <si>
    <t>Blind Obedience</t>
  </si>
  <si>
    <t>Dawn Charm</t>
  </si>
  <si>
    <t>Batwing Brume</t>
  </si>
  <si>
    <t>Riot Control</t>
  </si>
  <si>
    <t>Deflecting Palm</t>
  </si>
  <si>
    <t>Mandate of Peace</t>
  </si>
  <si>
    <t>Prismatic Strands</t>
  </si>
  <si>
    <t>Promise of Loyalty</t>
  </si>
  <si>
    <t>Ever-Watching Threshold</t>
  </si>
  <si>
    <t>Amphibian Downpour</t>
  </si>
  <si>
    <t>Matoya, Archon Elder</t>
  </si>
  <si>
    <t>Champions from Beyond</t>
  </si>
  <si>
    <t>Cid, Freeflier Pilot</t>
  </si>
  <si>
    <t>Firion, Wild Rose Warrior</t>
  </si>
  <si>
    <t>Bureau Headmaster</t>
  </si>
  <si>
    <t>Cloud, Midgar Mercenary</t>
  </si>
  <si>
    <t>Dragonfire Blade</t>
  </si>
  <si>
    <t>Stiltzkin, Moogle Merchant</t>
  </si>
  <si>
    <t>Yes Man, Personal Securitron</t>
  </si>
  <si>
    <t>The Second Doctor</t>
  </si>
  <si>
    <t>Treasure Nabber</t>
  </si>
  <si>
    <t>Árbitro Silencioso</t>
  </si>
  <si>
    <t>Genji Glove</t>
  </si>
  <si>
    <t>The Water Crystal</t>
  </si>
  <si>
    <t>Aligned Heart</t>
  </si>
  <si>
    <t>Windcrag Siege</t>
  </si>
  <si>
    <t>Riverchurn Monument</t>
  </si>
  <si>
    <t>Full Throttle</t>
  </si>
  <si>
    <t>Relentless Assault</t>
  </si>
  <si>
    <t>World at War</t>
  </si>
  <si>
    <t>Broodheart Engine</t>
  </si>
  <si>
    <t>Tegwyll, Duke of Splendor</t>
  </si>
  <si>
    <t>Renewed Solidarity</t>
  </si>
  <si>
    <t>Baral, Chief of Compliance</t>
  </si>
  <si>
    <t>Gogo, Master of Mimicry</t>
  </si>
  <si>
    <t>Repurposing Bay</t>
  </si>
  <si>
    <t>Sonic Screwdriver</t>
  </si>
  <si>
    <t>Unstoppable Plan</t>
  </si>
  <si>
    <t>Jidoor, Aristocratic Capital // Overture</t>
  </si>
  <si>
    <t>Obyra, Dreaming Duelist</t>
  </si>
  <si>
    <t>Mistrise Village</t>
  </si>
  <si>
    <t>Louisoix's Sacrifice</t>
  </si>
  <si>
    <t>Satoru, the Infiltrator</t>
  </si>
  <si>
    <t>Ingenious Prodigy</t>
  </si>
  <si>
    <t>Mausoleum Wanderer</t>
  </si>
  <si>
    <t>Golbez, Crystal Collector</t>
  </si>
  <si>
    <t>Mahadi, Emporium Master</t>
  </si>
  <si>
    <t>Marionette Apprentice</t>
  </si>
  <si>
    <t>Stridehangar Automaton</t>
  </si>
  <si>
    <t>Cayth, Famed Mechanist</t>
  </si>
  <si>
    <t>Frostcliff Siege</t>
  </si>
  <si>
    <t>Adventurer's Inn</t>
  </si>
  <si>
    <t>Mother of runes</t>
  </si>
  <si>
    <t>Giver of Runes</t>
  </si>
  <si>
    <t>Exemplar of Light</t>
  </si>
  <si>
    <t>Hierofante de Elenda</t>
  </si>
  <si>
    <t>Hinterland Sanctifier</t>
  </si>
  <si>
    <t>Bugenhagen, Wise Elder</t>
  </si>
  <si>
    <t>Red XIII, Proud Warrior</t>
  </si>
  <si>
    <t>Nibelheim Aflame</t>
  </si>
  <si>
    <t>The Masamune</t>
  </si>
  <si>
    <t>Jenova, Ancient Calamity</t>
  </si>
  <si>
    <t>Ironwill Forger</t>
  </si>
  <si>
    <t>Taigam, Master Opportunist</t>
  </si>
  <si>
    <t>Bedrock Tortoise</t>
  </si>
  <si>
    <t>Quina, Qu Gourmet</t>
  </si>
  <si>
    <t>Spinner of Souls</t>
  </si>
  <si>
    <t>Fanatical Devotion</t>
  </si>
  <si>
    <t>Warren Soultrader</t>
  </si>
  <si>
    <t>Sidisi, Regent of the Mire</t>
  </si>
  <si>
    <t>Grow</t>
  </si>
  <si>
    <t>Control</t>
  </si>
  <si>
    <t>Together Forever</t>
  </si>
  <si>
    <t>Summon: Ixion</t>
  </si>
  <si>
    <t>Summon: Fenrir</t>
  </si>
  <si>
    <t>Rishkar, Peema Renegade</t>
  </si>
  <si>
    <t>Managorger Hydra</t>
  </si>
  <si>
    <t>Winding Constrictor</t>
  </si>
  <si>
    <t>Cankerbloom</t>
  </si>
  <si>
    <t>Hardened Scales</t>
  </si>
  <si>
    <t>Warden of the Grove</t>
  </si>
  <si>
    <t>Knight of Autumn</t>
  </si>
  <si>
    <t>Champion of Lambholt</t>
  </si>
  <si>
    <t>Kami of Whispered Hopes</t>
  </si>
  <si>
    <t>Basking Broodscale</t>
  </si>
  <si>
    <t>Metastatic Evangel</t>
  </si>
  <si>
    <t>Anafenza, Kin-Tree Spirit</t>
  </si>
  <si>
    <t>Lae'zel, Vlaakith's Champion</t>
  </si>
  <si>
    <t>Conclave Mentor</t>
  </si>
  <si>
    <t>Felothar, Dawn of the Abzan</t>
  </si>
  <si>
    <t>Abzan Falconer</t>
  </si>
  <si>
    <t>Breena, the Demagogue</t>
  </si>
  <si>
    <t>Botanical Brawler</t>
  </si>
  <si>
    <t>Skyclave Apparition</t>
  </si>
  <si>
    <t>Unbreakable Formation</t>
  </si>
  <si>
    <t>Damn</t>
  </si>
  <si>
    <t>Ozolith, the Shattered Spire</t>
  </si>
  <si>
    <t>Master Chef</t>
  </si>
  <si>
    <t>Branching Evolution</t>
  </si>
  <si>
    <t>Vraska Joins Up</t>
  </si>
  <si>
    <t>Thran Vigil</t>
  </si>
  <si>
    <t>Song of Freyalise</t>
  </si>
  <si>
    <t>Retribution of the Ancients</t>
  </si>
  <si>
    <t>Llanowar Reborn</t>
  </si>
  <si>
    <t>Duskshell Crawler</t>
  </si>
  <si>
    <t>Reyhan, Last of the Abzan</t>
  </si>
  <si>
    <t>Stocking the Pantry</t>
  </si>
  <si>
    <t>Deceptive Landscape</t>
  </si>
  <si>
    <t>Arwen, Weaver of Hope</t>
  </si>
  <si>
    <t>Illusionist's Gambit</t>
  </si>
  <si>
    <t>Dissipation Field</t>
  </si>
  <si>
    <t>Tayam</t>
  </si>
  <si>
    <t>Bruma Etérea</t>
  </si>
  <si>
    <t>Haywire Mite</t>
  </si>
  <si>
    <t>The Rani's Force</t>
  </si>
  <si>
    <t>Rani</t>
  </si>
  <si>
    <t>Curse of Verbosity</t>
  </si>
  <si>
    <t>Eye of Nidhogg</t>
  </si>
  <si>
    <t>Bothersome Quasit</t>
  </si>
  <si>
    <t>Firkraag, Cunning Instigator</t>
  </si>
  <si>
    <t>Bloodthirsty Blade</t>
  </si>
  <si>
    <t>Ghoulish Impetus</t>
  </si>
  <si>
    <t>Hot Pursuit</t>
  </si>
  <si>
    <t>Renegade Silent</t>
  </si>
  <si>
    <t>Red Death, Shipwrecker</t>
  </si>
  <si>
    <t>Bjorna, Nightfall Alchemist</t>
  </si>
  <si>
    <t>Hateful Eidolon</t>
  </si>
  <si>
    <t>Life of the Party</t>
  </si>
  <si>
    <t>Grenzo, Havoc Raiser</t>
  </si>
  <si>
    <t>Sly Instigator</t>
  </si>
  <si>
    <t>Erdwal Illuminator</t>
  </si>
  <si>
    <t>Martha Jones</t>
  </si>
  <si>
    <t>Xantcha, Agente Adormecida</t>
  </si>
  <si>
    <t>Laurine, the Diversion</t>
  </si>
  <si>
    <t>Sontaran General</t>
  </si>
  <si>
    <t>Marchesa, Dealer of Death</t>
  </si>
  <si>
    <t>Coronation of Chaos</t>
  </si>
  <si>
    <t>Maestros Confluence</t>
  </si>
  <si>
    <t>Day of the Moon</t>
  </si>
  <si>
    <t>Archway of Innovation</t>
  </si>
  <si>
    <t>Trenzalore Clocktower</t>
  </si>
  <si>
    <t>Laser Screwdriver</t>
  </si>
  <si>
    <t>Dragonskull Summit</t>
  </si>
  <si>
    <t>Gallifrey Council Chamber</t>
  </si>
  <si>
    <t>Frenzied Gorespawn</t>
  </si>
  <si>
    <t>Jhoira Bichão</t>
  </si>
  <si>
    <t>Kozilek, the Broken Reality</t>
  </si>
  <si>
    <t>Time Beetle</t>
  </si>
  <si>
    <t>The Tenth Doctor</t>
  </si>
  <si>
    <t>Nezahal, Primal Tide</t>
  </si>
  <si>
    <t>Ulamog's Dreadsire</t>
  </si>
  <si>
    <t>Sibylline Soothsayer</t>
  </si>
  <si>
    <t>Inevitable Betrayal</t>
  </si>
  <si>
    <t>Rise of the Eldrazi</t>
  </si>
  <si>
    <t>Hit the Mother Lode</t>
  </si>
  <si>
    <t>Rotating Fireplace</t>
  </si>
  <si>
    <t>Mox Tantalite</t>
  </si>
  <si>
    <t>Three Visits</t>
  </si>
  <si>
    <t>Mestre de Cerimonias</t>
  </si>
  <si>
    <t>Utilidades</t>
  </si>
  <si>
    <t>Elesh Norn</t>
  </si>
  <si>
    <t>Ganso Dourado</t>
  </si>
  <si>
    <t>Drumbellower</t>
  </si>
  <si>
    <t>River's Rebuke</t>
  </si>
  <si>
    <t>Horror Quebra-Casco</t>
  </si>
  <si>
    <t>Esmoecer</t>
  </si>
  <si>
    <t>Imagem Espelhada</t>
  </si>
  <si>
    <t>Mergulhadora Celeste Ladra</t>
  </si>
  <si>
    <t>Espiral de Crescimento</t>
  </si>
  <si>
    <t>Eureka Moment</t>
  </si>
  <si>
    <t>Espelho dos Antepassados</t>
  </si>
  <si>
    <t>Distant Melody</t>
  </si>
  <si>
    <t>Reversão de Narset</t>
  </si>
  <si>
    <t>Elrond, Lord of Rivendell</t>
  </si>
  <si>
    <t>Repudiar // Replicar</t>
  </si>
  <si>
    <t>Barreira Psíquica</t>
  </si>
  <si>
    <t>Lonis, Cryptozoologist</t>
  </si>
  <si>
    <t>Garrafa de Água Infinita</t>
  </si>
  <si>
    <t>Aether Spellbomb</t>
  </si>
  <si>
    <t>Summon: Leviathan</t>
  </si>
  <si>
    <t>Keen Duelist</t>
  </si>
  <si>
    <t>Stoneforge Mystic</t>
  </si>
  <si>
    <t>Angelic Renewal</t>
  </si>
  <si>
    <t>Molten Echoes</t>
  </si>
  <si>
    <t>Burnt Offering</t>
  </si>
  <si>
    <t>Saw in Half</t>
  </si>
  <si>
    <t>Mistbind Clique</t>
  </si>
  <si>
    <t>Altar Phyrexiano</t>
  </si>
  <si>
    <t>Saffi Eriksdotter</t>
  </si>
  <si>
    <t>Tribute Mage</t>
  </si>
  <si>
    <t>Merchant of Secrets</t>
  </si>
  <si>
    <t>Mana Echoes</t>
  </si>
  <si>
    <t>Detective's Satchel</t>
  </si>
  <si>
    <t>Fumiko, the Lowblood</t>
  </si>
  <si>
    <t>Espião-mestre Goblin</t>
  </si>
  <si>
    <t>Ginete Bronco Exaltado</t>
  </si>
  <si>
    <t>Horizon Explorer</t>
  </si>
  <si>
    <t>Sothera, the Supervoid</t>
  </si>
  <si>
    <t>Thrumming Hivepool</t>
  </si>
  <si>
    <t>Dúplice Debochada</t>
  </si>
  <si>
    <t>Long-Range Sensor</t>
  </si>
  <si>
    <t>Pain for All</t>
  </si>
  <si>
    <t>Adagia, Windswept Bastion</t>
  </si>
  <si>
    <t>Weapons Manufacturing</t>
  </si>
  <si>
    <t>Patrolling Peacemaker</t>
  </si>
  <si>
    <t>Vontade Dominadora</t>
  </si>
  <si>
    <t>Chronomantic Escape</t>
  </si>
  <si>
    <t>Planetary Annihilation</t>
  </si>
  <si>
    <t>Evendo, Waking Haven</t>
  </si>
  <si>
    <t>Susur Secundi, Void Altar</t>
  </si>
  <si>
    <t>Olho de Ojer Taq</t>
  </si>
  <si>
    <t>Marcha dos Canonizados</t>
  </si>
  <si>
    <t>Karplusan Forest</t>
  </si>
  <si>
    <t>Uthros, Titanic Godcore</t>
  </si>
  <si>
    <t>The Eternity Elevator</t>
  </si>
  <si>
    <t>Obelisco de Obsidiana</t>
  </si>
  <si>
    <t>Shaku da Honra Desgastada</t>
  </si>
  <si>
    <t>Exalted Sunborn</t>
  </si>
  <si>
    <t>Kutzil, Malamet Exemplar</t>
  </si>
  <si>
    <t>Terrasymbiosis</t>
  </si>
  <si>
    <t>Starter</t>
  </si>
  <si>
    <t>Syr Vondam, Sunstar Exemplar</t>
  </si>
  <si>
    <t>Philips</t>
  </si>
  <si>
    <t>Hashaton</t>
  </si>
  <si>
    <t>FF Counters</t>
  </si>
  <si>
    <t>Moonlit Meditation</t>
  </si>
  <si>
    <t>Scour for Scrap</t>
  </si>
  <si>
    <t>Haliya, Guided by Light</t>
  </si>
  <si>
    <t>Ascensão do Avernus</t>
  </si>
  <si>
    <t>Extinguisher Battleship</t>
  </si>
  <si>
    <t>Dauntless Scrapbot</t>
  </si>
  <si>
    <t>A Joia do Enigma</t>
  </si>
  <si>
    <t>O Dínamo Peregrino</t>
  </si>
  <si>
    <t>Nicol Bolas, God-Pharaoh</t>
  </si>
  <si>
    <t>Enlistamento</t>
  </si>
  <si>
    <t>Pirataria</t>
  </si>
  <si>
    <t>Vaan, Street Thief</t>
  </si>
  <si>
    <t>Lightning-Rig Crew</t>
  </si>
  <si>
    <t>Spectral Sailor</t>
  </si>
  <si>
    <t>Breeches, Eager Pillager</t>
  </si>
  <si>
    <t>Glint-Horn Buccaneer</t>
  </si>
  <si>
    <t>Revel in Riches</t>
  </si>
  <si>
    <t>Forerunner of the Coalition</t>
  </si>
  <si>
    <t>Warkite Marauder</t>
  </si>
  <si>
    <t>Breeches, Brazen Plunderer</t>
  </si>
  <si>
    <t>Hostage Taker</t>
  </si>
  <si>
    <t>Coercive Recruiter</t>
  </si>
  <si>
    <t>Ramirez DePietro, Pillager</t>
  </si>
  <si>
    <t>Kitesail Larcenist</t>
  </si>
  <si>
    <t>Captain Storm, Cosmium Raider</t>
  </si>
  <si>
    <t>Professional Face-Breaker</t>
  </si>
  <si>
    <t>Departed Deckhand</t>
  </si>
  <si>
    <t>Admiral Beckett Brass</t>
  </si>
  <si>
    <t>Gemcutter Buccaneer</t>
  </si>
  <si>
    <t>Reckless Fireweaver</t>
  </si>
  <si>
    <t>Spyglass Siren</t>
  </si>
  <si>
    <t>Timestream Navigator</t>
  </si>
  <si>
    <t>Xorn</t>
  </si>
  <si>
    <t>Breeches, the Blastmaker</t>
  </si>
  <si>
    <t>Kitesail Freebooter</t>
  </si>
  <si>
    <t>Broadside Bombardiers</t>
  </si>
  <si>
    <t>Captain Vargus Wrath</t>
  </si>
  <si>
    <t>Cutthroat Negotiator</t>
  </si>
  <si>
    <t>Storm Fleet Negotiator</t>
  </si>
  <si>
    <t>Deadeye Tracker</t>
  </si>
  <si>
    <t>Planejamento</t>
  </si>
  <si>
    <t>Marujo</t>
  </si>
  <si>
    <t>Todo Mundo é Pirata</t>
  </si>
  <si>
    <t>Prancha</t>
  </si>
  <si>
    <t>Boa Vida</t>
  </si>
  <si>
    <t>Recruta</t>
  </si>
  <si>
    <t>Coastline Marauders</t>
  </si>
  <si>
    <t>Invert Polarity</t>
  </si>
  <si>
    <t>Walk the Plank</t>
  </si>
  <si>
    <t>Back in Town</t>
  </si>
  <si>
    <t>The Indomitable</t>
  </si>
  <si>
    <t>Treasure Map</t>
  </si>
  <si>
    <t>Captain's Hook</t>
  </si>
  <si>
    <t>Coastal Piracy</t>
  </si>
  <si>
    <t>Storm the Vault</t>
  </si>
  <si>
    <t>Rain of Riches</t>
  </si>
  <si>
    <t>Treasure Vault</t>
  </si>
  <si>
    <t>Mines of Moria</t>
  </si>
  <si>
    <t>Lavagem</t>
  </si>
  <si>
    <t>Malcolm, Alluring Scoundrel</t>
  </si>
  <si>
    <t>Bucaneiro</t>
  </si>
  <si>
    <t>Tesouros</t>
  </si>
  <si>
    <t>Dano</t>
  </si>
  <si>
    <t>Piratas pra Bater</t>
  </si>
  <si>
    <t>Piratas pra Putaria</t>
  </si>
  <si>
    <t>Oficial</t>
  </si>
  <si>
    <t>Malcolm, the Eyes</t>
  </si>
  <si>
    <t>Amphin Mutineer</t>
  </si>
  <si>
    <t>Laughing Jasper Flint</t>
  </si>
  <si>
    <t>Hedron Detonator</t>
  </si>
  <si>
    <t>Weftstalker Ardent</t>
  </si>
  <si>
    <t>Secluded Courtyard</t>
  </si>
  <si>
    <t>Seething Landscape</t>
  </si>
  <si>
    <t>Go for the Throat</t>
  </si>
  <si>
    <t>Shoot the Sheriff</t>
  </si>
  <si>
    <t>Evolution Sage</t>
  </si>
  <si>
    <t>Zellix, Sanity Flayer</t>
  </si>
  <si>
    <t>Emergency Eject</t>
  </si>
  <si>
    <t>Smuggler's Share</t>
  </si>
  <si>
    <t>Piratas</t>
  </si>
  <si>
    <t>Commander</t>
  </si>
  <si>
    <t>Deprive</t>
  </si>
  <si>
    <t>Zona de Emergência</t>
  </si>
  <si>
    <t>Recifes de Nau-Terror</t>
  </si>
  <si>
    <t>Charneca Estéril</t>
  </si>
  <si>
    <t>Panorama de Grixis</t>
  </si>
  <si>
    <t>Afogar no Lago</t>
  </si>
  <si>
    <t>Arcanis, o Onipotente</t>
  </si>
  <si>
    <t>Akal Pakal, First Among Equals</t>
  </si>
  <si>
    <t>Ameoboid Changeling</t>
  </si>
  <si>
    <t>Diamante R</t>
  </si>
  <si>
    <t>Diamante U</t>
  </si>
  <si>
    <t>Diamante B</t>
  </si>
  <si>
    <t>Brumas do Paradoxo</t>
  </si>
  <si>
    <t>Visão Transbordante</t>
  </si>
  <si>
    <t>Flagelo do Vale de Skola</t>
  </si>
  <si>
    <t>Rogues Class</t>
  </si>
  <si>
    <t>Vial Smasher the Fierce</t>
  </si>
  <si>
    <t>Blood Artist</t>
  </si>
  <si>
    <t>Carta</t>
  </si>
  <si>
    <t>Gritrog</t>
  </si>
  <si>
    <t>VialIshai</t>
  </si>
  <si>
    <t>Thrasios, Triton Hero</t>
  </si>
  <si>
    <t>Akiri, Line-Slinger</t>
  </si>
  <si>
    <t>Trocar</t>
  </si>
  <si>
    <t>The Rani</t>
  </si>
  <si>
    <t xml:space="preserve"> </t>
  </si>
  <si>
    <t>Commnader</t>
  </si>
  <si>
    <t>OWA</t>
  </si>
  <si>
    <t>JhoiraB</t>
  </si>
  <si>
    <t>Muzzio, Visionary Architect</t>
  </si>
  <si>
    <t>Miara, Thorn of the Glade</t>
  </si>
  <si>
    <t>Alela, Artful Provocateur</t>
  </si>
  <si>
    <t>Arcades, the Strategist</t>
  </si>
  <si>
    <t>Ishai, Ojutai Dragonspeaker</t>
  </si>
  <si>
    <t>Yuriko, the Tiger's Shadow</t>
  </si>
  <si>
    <t>Zedruu the Greathearted</t>
  </si>
  <si>
    <t>Inalla, Archmage Ritualist</t>
  </si>
  <si>
    <t>Karlov of the Ghost Council</t>
  </si>
  <si>
    <t>Oona, Queen of the Fae</t>
  </si>
  <si>
    <t>Kresh the Bloodbraided</t>
  </si>
  <si>
    <t>Akiri, Fearless Voyager</t>
  </si>
  <si>
    <t>Breya, Etherium Shaper</t>
  </si>
  <si>
    <t>Sisay, Weatherlight Captain</t>
  </si>
  <si>
    <t>Othelm, Sigardian Outcast</t>
  </si>
  <si>
    <t>Wernog, Rider's Chaplain</t>
  </si>
  <si>
    <t>Narset, Enlightened Exile</t>
  </si>
  <si>
    <t>Kumena, Tyrant of Orazca</t>
  </si>
  <si>
    <t>Zimone and Dina</t>
  </si>
  <si>
    <t>Baylen, the Haymaker</t>
  </si>
  <si>
    <t>Tayam, Luminous Enigma</t>
  </si>
  <si>
    <t>Alterações</t>
  </si>
  <si>
    <t>Cores</t>
  </si>
  <si>
    <t>Wincon</t>
  </si>
  <si>
    <t>Sim</t>
  </si>
  <si>
    <t>Não</t>
  </si>
  <si>
    <t>Faltam</t>
  </si>
  <si>
    <t>Total</t>
  </si>
  <si>
    <t>Prioridade</t>
  </si>
  <si>
    <t>Gerrard's Hourglass Pendant</t>
  </si>
  <si>
    <t>Vexing Puzzlebox</t>
  </si>
  <si>
    <t>Promise of Aclazotz // Foul Rebirth</t>
  </si>
  <si>
    <t>Ripples of Undeath</t>
  </si>
  <si>
    <t>Virtue of Loyalty // Ardenvale Fealty</t>
  </si>
  <si>
    <t>Malcolm, Keen-Eyed Navigator</t>
  </si>
  <si>
    <t>Categoria</t>
  </si>
  <si>
    <t>Weathered Runestone</t>
  </si>
  <si>
    <t>Artefato</t>
  </si>
  <si>
    <t>Shivan Harvest</t>
  </si>
  <si>
    <t>Classe</t>
  </si>
  <si>
    <t>Tipo</t>
  </si>
  <si>
    <t>Encantamento</t>
  </si>
  <si>
    <t>Cemitério</t>
  </si>
  <si>
    <t>Scouting Trek</t>
  </si>
  <si>
    <t>Feitiço</t>
  </si>
  <si>
    <t>Overabundance</t>
  </si>
  <si>
    <t>Punição</t>
  </si>
  <si>
    <t>Spreading Plague</t>
  </si>
  <si>
    <t>Criaturas</t>
  </si>
  <si>
    <t>Explosão da Alma</t>
  </si>
  <si>
    <t>Instantânea</t>
  </si>
  <si>
    <t>Obsidian Fireheat</t>
  </si>
  <si>
    <t>Criatura</t>
  </si>
  <si>
    <t>Interdict</t>
  </si>
  <si>
    <t>Habilidade</t>
  </si>
  <si>
    <t>Mogg Infestation</t>
  </si>
  <si>
    <t>Life // Death</t>
  </si>
  <si>
    <t>Debt of Loyalt</t>
  </si>
  <si>
    <t>Roubo</t>
  </si>
  <si>
    <t>Yavimaya Hollow</t>
  </si>
  <si>
    <t>Identidade</t>
  </si>
  <si>
    <t>Dreams of the Dead</t>
  </si>
  <si>
    <t>Wrap in Vigor</t>
  </si>
  <si>
    <t>Tangleroot</t>
  </si>
  <si>
    <t>Porphyry Nodes</t>
  </si>
  <si>
    <t>Endless Whispers</t>
  </si>
  <si>
    <t>Chaos</t>
  </si>
  <si>
    <t>Hua Tuo, Honored Physician</t>
  </si>
  <si>
    <t>Kamber, the Plunderer</t>
  </si>
  <si>
    <t>Lifegain</t>
  </si>
  <si>
    <t>Cold Storage</t>
  </si>
  <si>
    <t>Poção da Benfeitora</t>
  </si>
  <si>
    <t>Preferência de Cineréia</t>
  </si>
  <si>
    <t>Base</t>
  </si>
  <si>
    <t>Overrun</t>
  </si>
  <si>
    <t>Voltron</t>
  </si>
  <si>
    <t>Sub Plan</t>
  </si>
  <si>
    <t>Ping</t>
  </si>
  <si>
    <t>-</t>
  </si>
  <si>
    <t>Dano Direto</t>
  </si>
  <si>
    <t>Descrição</t>
  </si>
  <si>
    <t>Mill e Tokens</t>
  </si>
  <si>
    <t>Muitos Tokens</t>
  </si>
  <si>
    <t>Tesouros e Roubos</t>
  </si>
  <si>
    <t>Ganhar Vida e Reanimate</t>
  </si>
  <si>
    <t>Counters, tudo drop 3-</t>
  </si>
  <si>
    <t>Atiçar e Investigar</t>
  </si>
  <si>
    <t>Tribal de Tritões</t>
  </si>
  <si>
    <t>Terrenos e Valor</t>
  </si>
  <si>
    <t>Destruição em Massa</t>
  </si>
  <si>
    <t>Big Mana</t>
  </si>
  <si>
    <t>Fast Combo</t>
  </si>
  <si>
    <t>Engrenagens para Combar</t>
  </si>
  <si>
    <t>Controlar e Punir</t>
  </si>
  <si>
    <t>Turnos Extras</t>
  </si>
  <si>
    <t>Magos e Combos</t>
  </si>
  <si>
    <t>Equipamentos</t>
  </si>
  <si>
    <t>Super-Amigos</t>
  </si>
  <si>
    <t>Muita Mana</t>
  </si>
  <si>
    <t>Tribal de Fractius</t>
  </si>
  <si>
    <t>Controle Voltron</t>
  </si>
  <si>
    <t>Thopteros e Blink</t>
  </si>
  <si>
    <t>Tokens e Reanimate</t>
  </si>
  <si>
    <t>Stax e Tokens</t>
  </si>
  <si>
    <t>Bater sem Apanhar</t>
  </si>
  <si>
    <t>Caos</t>
  </si>
  <si>
    <t>Spellslinger?</t>
  </si>
  <si>
    <t>Aristocratas?</t>
  </si>
  <si>
    <t>Reanimate?</t>
  </si>
  <si>
    <t>Encantamentos?</t>
  </si>
  <si>
    <t>Burn?</t>
  </si>
  <si>
    <t>Infect?</t>
  </si>
  <si>
    <t>Blink?</t>
  </si>
  <si>
    <t>Hatebears?</t>
  </si>
  <si>
    <t>Humans?</t>
  </si>
  <si>
    <t>Energy?</t>
  </si>
  <si>
    <t>Mutate?</t>
  </si>
  <si>
    <t>Guildgate?</t>
  </si>
  <si>
    <t>Atractions?</t>
  </si>
  <si>
    <t>Coin Flip?</t>
  </si>
  <si>
    <t>Rafiq of the Many</t>
  </si>
  <si>
    <t>Toph, the First Metalbender</t>
  </si>
  <si>
    <t>Exílio e Comidas</t>
  </si>
  <si>
    <t>Modular</t>
  </si>
  <si>
    <t>Hidden Volcano</t>
  </si>
  <si>
    <t>Hidden Nursery</t>
  </si>
  <si>
    <t>Hidden Courtyard</t>
  </si>
  <si>
    <t>Toph Modular</t>
  </si>
  <si>
    <t>Crescer</t>
  </si>
  <si>
    <t>Surge Conductor</t>
  </si>
  <si>
    <t>Evendo Brushrazer</t>
  </si>
  <si>
    <t>Kodama of the West Tree</t>
  </si>
  <si>
    <t>Arcbound Ravager</t>
  </si>
  <si>
    <t>Marketback Walker</t>
  </si>
  <si>
    <t>Arcbound Shikari</t>
  </si>
  <si>
    <t>Moraug, Fury of Akoum</t>
  </si>
  <si>
    <t>Filigree Vector</t>
  </si>
  <si>
    <t>Arcbound Crusher</t>
  </si>
  <si>
    <t>Scrapyard Recombiner</t>
  </si>
  <si>
    <t>Steel Overseer</t>
  </si>
  <si>
    <t>Throne of Geth</t>
  </si>
  <si>
    <t>Mystic Forge</t>
  </si>
  <si>
    <t>The Ozolith</t>
  </si>
  <si>
    <t>Exaltado</t>
  </si>
  <si>
    <t>Rafiq Exaltado</t>
  </si>
  <si>
    <t>Niv-Mizzet, Parun</t>
  </si>
  <si>
    <t>Jiang Yanguu, Wildcrafter</t>
  </si>
  <si>
    <t>Watertrap Wizard</t>
  </si>
  <si>
    <t>Deeprooot Wayfinder</t>
  </si>
  <si>
    <t>Aquatic Incursion</t>
  </si>
  <si>
    <t>Mascara da Longevisão</t>
  </si>
  <si>
    <t>Retorno a Natureza</t>
  </si>
  <si>
    <t>Encontro de Mentes</t>
  </si>
  <si>
    <t>Zabaz, the Glimmerwasp</t>
  </si>
  <si>
    <t>The Jolly Balloon Man</t>
  </si>
  <si>
    <t>Osgir, the Reconstructor</t>
  </si>
  <si>
    <t>Arcbound Mouser</t>
  </si>
  <si>
    <t>Arcbound Tracker</t>
  </si>
  <si>
    <t>Arcbound Javelineer</t>
  </si>
  <si>
    <t>Arcbound Reclaimer</t>
  </si>
  <si>
    <t>Arcbound Stinger</t>
  </si>
  <si>
    <t>Arcbound Slith</t>
  </si>
  <si>
    <t>Arcbound Whelp</t>
  </si>
  <si>
    <t>Esper Sentinel</t>
  </si>
  <si>
    <t>Arcbound Overseer</t>
  </si>
  <si>
    <t>Arcbound Fiend</t>
  </si>
  <si>
    <t>Goblin Welder</t>
  </si>
  <si>
    <t>Mindless Automaton</t>
  </si>
  <si>
    <t>Duty Beyond Death</t>
  </si>
  <si>
    <t>The Great Henge</t>
  </si>
  <si>
    <t>Trading Post</t>
  </si>
  <si>
    <t>Monumental Henge</t>
  </si>
  <si>
    <t>Phyrexia's Core</t>
  </si>
  <si>
    <t>Inkmoth Nexus</t>
  </si>
  <si>
    <t>Tannuk, Memorial Ensign</t>
  </si>
  <si>
    <t>Annie Joins Up</t>
  </si>
  <si>
    <t>Terra Eternal</t>
  </si>
  <si>
    <t>Sacred Ground</t>
  </si>
  <si>
    <t>Lotus Field</t>
  </si>
  <si>
    <t>Slagwoods Bridge</t>
  </si>
  <si>
    <t>Thornglint Bridge</t>
  </si>
  <si>
    <t>Scrap Welder</t>
  </si>
  <si>
    <t>Earthbending Student</t>
  </si>
  <si>
    <t>Badgermole</t>
  </si>
  <si>
    <t>Haru, Hidden Talent</t>
  </si>
  <si>
    <t>Earth Rumble</t>
  </si>
  <si>
    <t>Lithoform Engine</t>
  </si>
  <si>
    <t>Toph, the Blind Bandit</t>
  </si>
  <si>
    <t>Bender</t>
  </si>
  <si>
    <t>Soldador</t>
  </si>
  <si>
    <t>Pilar das Origens</t>
  </si>
  <si>
    <t>Cervo Brunido</t>
  </si>
  <si>
    <t>Gwenna, Olhos de Gaia</t>
  </si>
  <si>
    <t>Runadi, Behemoth Caller</t>
  </si>
  <si>
    <t>Retreat to Kazandu</t>
  </si>
  <si>
    <t>Wilderness Reclamation</t>
  </si>
  <si>
    <t>Solidariedade dos Heróis</t>
  </si>
  <si>
    <t>Tuskguard Captain</t>
  </si>
  <si>
    <t>Santuário dos Moldadores</t>
  </si>
  <si>
    <t>Cultivar</t>
  </si>
  <si>
    <t>Rampant Grow</t>
  </si>
  <si>
    <t>Polimorfismo em Massa</t>
  </si>
  <si>
    <t>Kraken do Mar Profundo</t>
  </si>
  <si>
    <t>Leviatã de Kederekt</t>
  </si>
  <si>
    <t>Flagelo das Frotas</t>
  </si>
  <si>
    <t>Leviatã da Tormenta Marinha</t>
  </si>
  <si>
    <t>Aeon Chronicler</t>
  </si>
  <si>
    <t>Executor Impiedoso</t>
  </si>
  <si>
    <t>Discipulo do Demônio</t>
  </si>
  <si>
    <t>Saqueador Saco-de-Carne</t>
  </si>
  <si>
    <t>Animate Dead</t>
  </si>
  <si>
    <t>Morbid Oportunist</t>
  </si>
  <si>
    <t>Ceifador da Meia-Noite</t>
  </si>
  <si>
    <t>Rumor Gatherer</t>
  </si>
  <si>
    <t>Culling Dais</t>
  </si>
  <si>
    <t>Luta Encenada</t>
  </si>
  <si>
    <t>Transformações Divergentes</t>
  </si>
  <si>
    <t>Urzal Ventoso</t>
  </si>
  <si>
    <t>Ponte Musgomosto</t>
  </si>
  <si>
    <t>Emboscada de Khalni</t>
  </si>
  <si>
    <t>Lulu, Halofante Leal</t>
  </si>
  <si>
    <t>Lanterna Fantasma</t>
  </si>
  <si>
    <t>Invasão da Horda Medonha</t>
  </si>
  <si>
    <t>Mestre das Feras Abzan</t>
  </si>
  <si>
    <t>Ascendência Nobre</t>
  </si>
  <si>
    <t>Exarca Progenitor</t>
  </si>
  <si>
    <t>Thought Reflection</t>
  </si>
  <si>
    <t>Arauto Flamíneo</t>
  </si>
  <si>
    <t>Vigor</t>
  </si>
  <si>
    <t>Sábio Primordial</t>
  </si>
  <si>
    <t>Cultivadora de Lâminas</t>
  </si>
  <si>
    <t>Arco Bestial de Vivien</t>
  </si>
  <si>
    <t>Scute Mob</t>
  </si>
  <si>
    <t>Rebento de Halaster</t>
  </si>
  <si>
    <t>Câmara do Oráculo</t>
  </si>
  <si>
    <t>Dire Fleet Poisoner</t>
  </si>
  <si>
    <t>Grumgully, o Generoso</t>
  </si>
  <si>
    <t>Yavimaya, Cradle of Growth</t>
  </si>
  <si>
    <t>Nadir Kraken</t>
  </si>
  <si>
    <t>Spelunking</t>
  </si>
  <si>
    <t>Campos de Demolição</t>
  </si>
  <si>
    <t>Vale Afundado</t>
  </si>
  <si>
    <t>Teatro dos Maestros</t>
  </si>
  <si>
    <t>Paisagem Agourenta</t>
  </si>
  <si>
    <t>The Hunger Tide Rises</t>
  </si>
  <si>
    <t>Recrecimento Turbilhonante</t>
  </si>
  <si>
    <t>Altar de Bhaal</t>
  </si>
  <si>
    <t>Recuperação das Gavinhas Bolorentas</t>
  </si>
  <si>
    <t>Harrow</t>
  </si>
  <si>
    <t>Hamza, Guardian of Arashin</t>
  </si>
  <si>
    <t>Holder 1</t>
  </si>
  <si>
    <t>Holder 2</t>
  </si>
  <si>
    <t>Cópias</t>
  </si>
  <si>
    <t>Hydra's Growth</t>
  </si>
  <si>
    <t>Cartas</t>
  </si>
  <si>
    <t>Disponível</t>
  </si>
  <si>
    <t>Onde?</t>
  </si>
  <si>
    <t>Guardadas</t>
  </si>
  <si>
    <t>Onde</t>
  </si>
  <si>
    <t>Em Uso</t>
  </si>
  <si>
    <t>Coleção Completa</t>
  </si>
  <si>
    <t>Montador</t>
  </si>
  <si>
    <t>Sunhome, Fortress of the Legion</t>
  </si>
  <si>
    <t>Ressonador Estriônico</t>
  </si>
  <si>
    <t>Aguaceiro Anfíbio</t>
  </si>
  <si>
    <t>Reyhan, Última dos Abzan</t>
  </si>
  <si>
    <t>Defesa Engenhosa</t>
  </si>
  <si>
    <t>Os Jardins Micossintéticos</t>
  </si>
  <si>
    <t>Hidra Devoradora de Mana</t>
  </si>
  <si>
    <t>Druida Devotado</t>
  </si>
  <si>
    <t>Comando Incendiário</t>
  </si>
  <si>
    <t>Entra</t>
  </si>
  <si>
    <t>Sai</t>
  </si>
  <si>
    <t>Dour-Port Mage</t>
  </si>
  <si>
    <t>Scholar of new Horizons</t>
  </si>
  <si>
    <t>Malcoln, Alluring Scoundrel</t>
  </si>
  <si>
    <t>Alma da Colheita</t>
  </si>
  <si>
    <t>Vatidão Morfoterrena</t>
  </si>
  <si>
    <t>Gitrog</t>
  </si>
  <si>
    <t>Shrine of the Forsaken Gods</t>
  </si>
  <si>
    <t>Foundry of the Consuls</t>
  </si>
  <si>
    <t>Mage-Ring Network</t>
  </si>
  <si>
    <t>Zhalfirin Void</t>
  </si>
  <si>
    <t>Arboria</t>
  </si>
  <si>
    <t>Coleção</t>
  </si>
  <si>
    <t>Cordões Prismáticos</t>
  </si>
  <si>
    <t>Imskir Papa-Ferro</t>
  </si>
  <si>
    <t>Syr Vondam, Sunlight Exemplar</t>
  </si>
  <si>
    <t>Archway of Inovation</t>
  </si>
  <si>
    <t>Legacy</t>
  </si>
  <si>
    <t>Felipe</t>
  </si>
  <si>
    <t>Fonte</t>
  </si>
  <si>
    <t>Equilíbrio de Poderes</t>
  </si>
  <si>
    <t>Alexsander</t>
  </si>
  <si>
    <t>Azure Beastbinder</t>
  </si>
  <si>
    <t>Sevinne's Reclamation</t>
  </si>
  <si>
    <t>Inquisitive Glimmer</t>
  </si>
  <si>
    <t>Spymaster's Vault</t>
  </si>
  <si>
    <t xml:space="preserve">Reality Shift </t>
  </si>
  <si>
    <t>Aminatou, Veil Piercer</t>
  </si>
  <si>
    <t xml:space="preserve">Darkstar Augur </t>
  </si>
  <si>
    <t>Francati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</si>
</sst>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 &quot;#,##0.00;[Red]&quot;R$ &quot;#,##0.00"/>
    <numFmt numFmtId="166" formatCode="&quot;R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1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/>
    <xf numFmtId="166" fontId="0" fillId="0" borderId="0" xfId="0" applyNumberFormat="1"/>
    <xf numFmtId="166" fontId="0" fillId="2" borderId="0" xfId="0" applyNumberFormat="1" applyFill="1"/>
    <xf numFmtId="0" fontId="3" fillId="0" borderId="0" xfId="0" applyFont="1"/>
    <xf numFmtId="164" fontId="0" fillId="0" borderId="0" xfId="1" applyFont="1"/>
    <xf numFmtId="0" fontId="0" fillId="0" borderId="0" xfId="0" quotePrefix="1"/>
    <xf numFmtId="164" fontId="0" fillId="0" borderId="0" xfId="1" applyFont="1" applyFill="1"/>
    <xf numFmtId="164" fontId="0" fillId="0" borderId="0" xfId="1" applyFont="1" applyFill="1" applyAlignment="1">
      <alignment horizontal="left"/>
    </xf>
    <xf numFmtId="164" fontId="0" fillId="0" borderId="0" xfId="1" applyFont="1" applyAlignment="1">
      <alignment horizontal="left"/>
    </xf>
    <xf numFmtId="14" fontId="0" fillId="0" borderId="0" xfId="0" applyNumberFormat="1"/>
    <xf numFmtId="9" fontId="0" fillId="0" borderId="0" xfId="2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3" applyNumberFormat="1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7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9"/>
      </font>
      <fill>
        <patternFill>
          <bgColor theme="9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8"/>
      </font>
      <fill>
        <patternFill>
          <bgColor theme="8"/>
        </patternFill>
      </fill>
    </dxf>
    <dxf>
      <font>
        <color theme="0"/>
      </font>
      <fill>
        <patternFill patternType="lightTrellis">
          <bgColor theme="0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  <dxf>
      <font>
        <color theme="9"/>
      </font>
      <fill>
        <patternFill>
          <bgColor theme="9"/>
        </patternFill>
      </fill>
    </dxf>
    <dxf>
      <font>
        <color theme="1"/>
      </font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8"/>
      </font>
      <fill>
        <patternFill>
          <bgColor theme="8"/>
        </patternFill>
      </fill>
    </dxf>
    <dxf>
      <font>
        <color theme="0"/>
      </font>
      <fill>
        <patternFill patternType="lightTrellis">
          <bgColor theme="0"/>
        </patternFill>
      </fill>
    </dxf>
    <dxf>
      <font>
        <color theme="0" tint="-0.14996795556505021"/>
      </font>
      <fill>
        <patternFill>
          <fgColor theme="0" tint="-0.14993743705557422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9C2-80EC-490F-B169-A635168C3A31}">
  <sheetPr codeName="Planilha1"/>
  <dimension ref="A1:P262"/>
  <sheetViews>
    <sheetView tabSelected="1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L3" sqref="L3"/>
    </sheetView>
  </sheetViews>
  <sheetFormatPr defaultRowHeight="15" x14ac:dyDescent="0.25"/>
  <cols>
    <col min="1" max="1" width="11.42578125" bestFit="1" customWidth="1"/>
    <col min="2" max="2" width="16" bestFit="1" customWidth="1"/>
    <col min="3" max="3" width="11.7109375" style="12" bestFit="1" customWidth="1"/>
    <col min="4" max="4" width="3.7109375" style="8" customWidth="1"/>
    <col min="5" max="5" width="8.5703125" bestFit="1" customWidth="1"/>
    <col min="6" max="6" width="37.28515625" bestFit="1" customWidth="1"/>
    <col min="7" max="7" width="10.140625" style="12" customWidth="1"/>
    <col min="8" max="8" width="9.140625" style="12" customWidth="1"/>
    <col min="9" max="9" width="9.140625" style="12"/>
    <col min="10" max="10" width="10.140625" style="12" bestFit="1" customWidth="1"/>
    <col min="11" max="11" width="3.7109375" style="8" customWidth="1"/>
    <col min="13" max="13" width="29.140625" bestFit="1" customWidth="1"/>
    <col min="14" max="14" width="20.5703125" bestFit="1" customWidth="1"/>
  </cols>
  <sheetData>
    <row r="1" spans="1:16" x14ac:dyDescent="0.25">
      <c r="A1" t="s">
        <v>0</v>
      </c>
      <c r="B1" s="9">
        <f>C2+C8+C13+C18+C23+C28+C32+C34+C38+C50</f>
        <v>0</v>
      </c>
      <c r="E1" t="s">
        <v>1</v>
      </c>
      <c r="F1" t="str">
        <f>A2</f>
        <v>Marcelo</v>
      </c>
      <c r="G1" s="15" t="str">
        <f>B3</f>
        <v>Overrun</v>
      </c>
      <c r="H1" s="14" t="str">
        <f>B4</f>
        <v>Base</v>
      </c>
      <c r="I1" s="14">
        <f>B5</f>
        <v>0</v>
      </c>
      <c r="J1" s="14" t="str">
        <f>B6</f>
        <v>Liga</v>
      </c>
      <c r="L1" t="s">
        <v>1</v>
      </c>
      <c r="M1" s="3" t="s">
        <v>2303</v>
      </c>
      <c r="N1" s="3" t="s">
        <v>2304</v>
      </c>
      <c r="O1" s="27" t="s">
        <v>2323</v>
      </c>
      <c r="P1" s="27"/>
    </row>
    <row r="2" spans="1:16" x14ac:dyDescent="0.25">
      <c r="A2" s="3" t="s">
        <v>2</v>
      </c>
      <c r="B2" t="s">
        <v>3</v>
      </c>
      <c r="C2" s="12">
        <f>SUM(C3:C6)</f>
        <v>0</v>
      </c>
      <c r="F2" t="s">
        <v>2298</v>
      </c>
      <c r="L2" s="13" t="s">
        <v>2316</v>
      </c>
      <c r="M2" t="s">
        <v>33</v>
      </c>
    </row>
    <row r="3" spans="1:16" x14ac:dyDescent="0.25">
      <c r="A3" s="3">
        <f>COUNTA(F2:F216)</f>
        <v>12</v>
      </c>
      <c r="B3" s="13" t="s">
        <v>2106</v>
      </c>
      <c r="C3" s="12">
        <f>SUM(G:G)</f>
        <v>0</v>
      </c>
      <c r="F3" t="s">
        <v>1893</v>
      </c>
      <c r="K3" s="10"/>
      <c r="L3" t="s">
        <v>1531</v>
      </c>
      <c r="M3" t="s">
        <v>258</v>
      </c>
      <c r="N3" t="s">
        <v>39</v>
      </c>
    </row>
    <row r="4" spans="1:16" x14ac:dyDescent="0.25">
      <c r="A4" s="3"/>
      <c r="B4" s="13" t="s">
        <v>2105</v>
      </c>
      <c r="C4" s="12">
        <f>SUM(H:H)</f>
        <v>0</v>
      </c>
      <c r="F4" t="s">
        <v>2296</v>
      </c>
      <c r="K4" s="10"/>
      <c r="L4" t="s">
        <v>1531</v>
      </c>
      <c r="M4" t="s">
        <v>1570</v>
      </c>
      <c r="N4" t="s">
        <v>37</v>
      </c>
    </row>
    <row r="5" spans="1:16" x14ac:dyDescent="0.25">
      <c r="A5" s="3"/>
      <c r="B5" s="13"/>
      <c r="C5" s="12">
        <f>SUM(I:I)</f>
        <v>0</v>
      </c>
      <c r="F5" t="s">
        <v>1680</v>
      </c>
      <c r="J5" s="16"/>
      <c r="K5" s="10"/>
      <c r="L5" t="s">
        <v>1531</v>
      </c>
      <c r="M5" t="s">
        <v>1568</v>
      </c>
      <c r="N5" t="s">
        <v>2309</v>
      </c>
    </row>
    <row r="6" spans="1:16" x14ac:dyDescent="0.25">
      <c r="A6" s="3"/>
      <c r="B6" s="13" t="s">
        <v>4</v>
      </c>
      <c r="C6" s="12">
        <f>SUM(J:J)</f>
        <v>0</v>
      </c>
      <c r="F6" t="s">
        <v>2302</v>
      </c>
      <c r="L6" t="s">
        <v>2310</v>
      </c>
      <c r="M6" t="s">
        <v>1727</v>
      </c>
      <c r="N6" t="s">
        <v>439</v>
      </c>
    </row>
    <row r="7" spans="1:16" x14ac:dyDescent="0.25">
      <c r="A7" s="3"/>
      <c r="B7" s="13"/>
      <c r="F7" t="s">
        <v>2297</v>
      </c>
      <c r="L7" t="s">
        <v>2310</v>
      </c>
      <c r="M7" t="s">
        <v>1596</v>
      </c>
      <c r="N7" t="s">
        <v>437</v>
      </c>
    </row>
    <row r="8" spans="1:16" x14ac:dyDescent="0.25">
      <c r="A8" s="3"/>
      <c r="F8" t="s">
        <v>2301</v>
      </c>
      <c r="K8" s="10"/>
      <c r="L8" t="s">
        <v>18</v>
      </c>
      <c r="M8" t="s">
        <v>2305</v>
      </c>
      <c r="N8" t="s">
        <v>1106</v>
      </c>
    </row>
    <row r="9" spans="1:16" x14ac:dyDescent="0.25">
      <c r="A9" s="3"/>
      <c r="B9" s="13"/>
      <c r="F9" t="s">
        <v>2300</v>
      </c>
      <c r="K9" s="10"/>
      <c r="L9" t="s">
        <v>2155</v>
      </c>
      <c r="M9" t="s">
        <v>2169</v>
      </c>
    </row>
    <row r="10" spans="1:16" x14ac:dyDescent="0.25">
      <c r="A10" s="3"/>
      <c r="B10" s="13"/>
      <c r="F10" t="s">
        <v>615</v>
      </c>
      <c r="J10" s="16"/>
      <c r="L10" t="s">
        <v>2155</v>
      </c>
      <c r="M10" t="s">
        <v>2190</v>
      </c>
    </row>
    <row r="11" spans="1:16" x14ac:dyDescent="0.25">
      <c r="A11" s="3"/>
      <c r="B11" s="13"/>
      <c r="F11" t="s">
        <v>2299</v>
      </c>
      <c r="L11" t="s">
        <v>2155</v>
      </c>
      <c r="M11" t="s">
        <v>2188</v>
      </c>
    </row>
    <row r="12" spans="1:16" x14ac:dyDescent="0.25">
      <c r="A12" s="3"/>
      <c r="F12" t="s">
        <v>1898</v>
      </c>
      <c r="K12" s="10"/>
      <c r="L12" t="s">
        <v>2155</v>
      </c>
      <c r="M12" t="s">
        <v>2164</v>
      </c>
    </row>
    <row r="13" spans="1:16" x14ac:dyDescent="0.25">
      <c r="A13" s="3"/>
      <c r="F13" t="s">
        <v>2295</v>
      </c>
      <c r="K13" s="10"/>
      <c r="L13" t="s">
        <v>2155</v>
      </c>
      <c r="M13" t="s">
        <v>2191</v>
      </c>
    </row>
    <row r="14" spans="1:16" x14ac:dyDescent="0.25">
      <c r="A14" s="3"/>
      <c r="B14" s="13"/>
      <c r="G14" s="16"/>
      <c r="K14" s="10"/>
      <c r="L14" t="s">
        <v>2155</v>
      </c>
      <c r="M14" t="s">
        <v>2166</v>
      </c>
    </row>
    <row r="15" spans="1:16" x14ac:dyDescent="0.25">
      <c r="A15" s="3"/>
      <c r="B15" s="13"/>
      <c r="K15" s="10"/>
      <c r="L15" t="s">
        <v>2155</v>
      </c>
      <c r="M15" t="s">
        <v>2193</v>
      </c>
    </row>
    <row r="16" spans="1:16" x14ac:dyDescent="0.25">
      <c r="A16" s="3"/>
      <c r="B16" s="13"/>
      <c r="K16" s="10"/>
      <c r="L16" t="s">
        <v>2155</v>
      </c>
      <c r="M16" t="s">
        <v>2192</v>
      </c>
    </row>
    <row r="17" spans="1:13" x14ac:dyDescent="0.25">
      <c r="A17" s="3"/>
      <c r="K17" s="10"/>
      <c r="L17" t="s">
        <v>2155</v>
      </c>
      <c r="M17" t="s">
        <v>2189</v>
      </c>
    </row>
    <row r="18" spans="1:13" x14ac:dyDescent="0.25">
      <c r="A18" s="3"/>
      <c r="L18" t="s">
        <v>2155</v>
      </c>
      <c r="M18" t="s">
        <v>2194</v>
      </c>
    </row>
    <row r="19" spans="1:13" x14ac:dyDescent="0.25">
      <c r="A19" s="3"/>
      <c r="B19" s="13"/>
      <c r="I19" s="16"/>
      <c r="L19" t="s">
        <v>2155</v>
      </c>
      <c r="M19" t="s">
        <v>201</v>
      </c>
    </row>
    <row r="20" spans="1:13" x14ac:dyDescent="0.25">
      <c r="A20" s="3"/>
      <c r="B20" s="13"/>
      <c r="H20" s="16"/>
      <c r="K20" s="10"/>
      <c r="L20" t="s">
        <v>2155</v>
      </c>
      <c r="M20" t="s">
        <v>33</v>
      </c>
    </row>
    <row r="21" spans="1:13" x14ac:dyDescent="0.25">
      <c r="A21" s="3"/>
      <c r="B21" s="13"/>
      <c r="L21" t="s">
        <v>2155</v>
      </c>
      <c r="M21" t="s">
        <v>322</v>
      </c>
    </row>
    <row r="22" spans="1:13" ht="15" customHeight="1" x14ac:dyDescent="0.25">
      <c r="A22" s="3"/>
      <c r="L22" t="s">
        <v>2155</v>
      </c>
      <c r="M22" s="5" t="s">
        <v>2281</v>
      </c>
    </row>
    <row r="23" spans="1:13" ht="15" customHeight="1" x14ac:dyDescent="0.25">
      <c r="A23" s="3"/>
      <c r="L23" t="s">
        <v>2155</v>
      </c>
      <c r="M23" t="s">
        <v>574</v>
      </c>
    </row>
    <row r="24" spans="1:13" x14ac:dyDescent="0.25">
      <c r="A24" s="3"/>
      <c r="B24" s="13"/>
      <c r="H24" s="16"/>
      <c r="L24" t="s">
        <v>2155</v>
      </c>
      <c r="M24" t="s">
        <v>1897</v>
      </c>
    </row>
    <row r="25" spans="1:13" x14ac:dyDescent="0.25">
      <c r="A25" s="3"/>
      <c r="B25" s="13"/>
      <c r="K25" s="10"/>
      <c r="L25" t="s">
        <v>2155</v>
      </c>
      <c r="M25" t="s">
        <v>2165</v>
      </c>
    </row>
    <row r="26" spans="1:13" x14ac:dyDescent="0.25">
      <c r="A26" s="3"/>
      <c r="B26" s="13"/>
      <c r="L26" t="s">
        <v>2155</v>
      </c>
      <c r="M26" t="s">
        <v>2199</v>
      </c>
    </row>
    <row r="27" spans="1:13" x14ac:dyDescent="0.25">
      <c r="A27" s="3"/>
      <c r="L27" t="s">
        <v>2155</v>
      </c>
      <c r="M27" t="s">
        <v>1793</v>
      </c>
    </row>
    <row r="28" spans="1:13" x14ac:dyDescent="0.25">
      <c r="A28" s="3"/>
      <c r="L28" t="s">
        <v>2155</v>
      </c>
      <c r="M28" t="s">
        <v>1901</v>
      </c>
    </row>
    <row r="29" spans="1:13" x14ac:dyDescent="0.25">
      <c r="A29" s="3"/>
      <c r="B29" s="13"/>
      <c r="L29" t="s">
        <v>2155</v>
      </c>
      <c r="M29" t="s">
        <v>132</v>
      </c>
    </row>
    <row r="30" spans="1:13" x14ac:dyDescent="0.25">
      <c r="B30" s="13"/>
      <c r="L30" t="s">
        <v>2155</v>
      </c>
      <c r="M30" t="s">
        <v>344</v>
      </c>
    </row>
    <row r="31" spans="1:13" x14ac:dyDescent="0.25">
      <c r="B31" s="13"/>
      <c r="K31" s="10"/>
      <c r="L31" t="s">
        <v>2155</v>
      </c>
      <c r="M31" t="s">
        <v>1210</v>
      </c>
    </row>
    <row r="32" spans="1:13" x14ac:dyDescent="0.25">
      <c r="H32" s="16"/>
      <c r="K32" s="10"/>
      <c r="L32" t="s">
        <v>2155</v>
      </c>
      <c r="M32" t="s">
        <v>2171</v>
      </c>
    </row>
    <row r="33" spans="11:14" x14ac:dyDescent="0.25">
      <c r="K33" s="10"/>
      <c r="L33" t="s">
        <v>2155</v>
      </c>
      <c r="M33" t="s">
        <v>2161</v>
      </c>
    </row>
    <row r="34" spans="11:14" x14ac:dyDescent="0.25">
      <c r="K34" s="10"/>
      <c r="L34" t="s">
        <v>2155</v>
      </c>
      <c r="M34" t="s">
        <v>695</v>
      </c>
    </row>
    <row r="35" spans="11:14" x14ac:dyDescent="0.25">
      <c r="L35" t="s">
        <v>2155</v>
      </c>
      <c r="M35" t="s">
        <v>2172</v>
      </c>
    </row>
    <row r="36" spans="11:14" x14ac:dyDescent="0.25">
      <c r="L36" t="s">
        <v>2155</v>
      </c>
      <c r="M36" t="s">
        <v>2202</v>
      </c>
    </row>
    <row r="37" spans="11:14" x14ac:dyDescent="0.25">
      <c r="K37" s="10"/>
      <c r="L37" t="s">
        <v>12</v>
      </c>
      <c r="M37" t="s">
        <v>674</v>
      </c>
      <c r="N37" t="s">
        <v>38</v>
      </c>
    </row>
    <row r="38" spans="11:14" x14ac:dyDescent="0.25">
      <c r="K38" s="10"/>
      <c r="L38" t="s">
        <v>1660</v>
      </c>
      <c r="M38" t="s">
        <v>238</v>
      </c>
      <c r="N38" t="s">
        <v>249</v>
      </c>
    </row>
    <row r="39" spans="11:14" x14ac:dyDescent="0.25">
      <c r="K39" s="10"/>
      <c r="L39" t="s">
        <v>2001</v>
      </c>
      <c r="M39" t="s">
        <v>562</v>
      </c>
    </row>
    <row r="40" spans="11:14" x14ac:dyDescent="0.25">
      <c r="K40" s="10"/>
      <c r="L40" t="s">
        <v>2001</v>
      </c>
      <c r="M40" t="s">
        <v>1968</v>
      </c>
    </row>
    <row r="41" spans="11:14" x14ac:dyDescent="0.25">
      <c r="K41" s="10"/>
      <c r="L41" t="s">
        <v>2001</v>
      </c>
      <c r="M41" t="s">
        <v>1961</v>
      </c>
    </row>
    <row r="42" spans="11:14" x14ac:dyDescent="0.25">
      <c r="K42" s="10"/>
      <c r="L42" t="s">
        <v>2001</v>
      </c>
      <c r="M42" t="s">
        <v>1939</v>
      </c>
    </row>
    <row r="43" spans="11:14" x14ac:dyDescent="0.25">
      <c r="L43" t="s">
        <v>2001</v>
      </c>
      <c r="M43" t="s">
        <v>2307</v>
      </c>
    </row>
    <row r="44" spans="11:14" x14ac:dyDescent="0.25">
      <c r="K44" s="10"/>
      <c r="L44" t="s">
        <v>2001</v>
      </c>
      <c r="M44" t="s">
        <v>1951</v>
      </c>
    </row>
    <row r="45" spans="11:14" x14ac:dyDescent="0.25">
      <c r="K45" s="10"/>
      <c r="L45" t="s">
        <v>2001</v>
      </c>
      <c r="M45" t="s">
        <v>1994</v>
      </c>
    </row>
    <row r="46" spans="11:14" x14ac:dyDescent="0.25">
      <c r="K46" s="10"/>
      <c r="L46" t="s">
        <v>2001</v>
      </c>
      <c r="M46" t="s">
        <v>1002</v>
      </c>
    </row>
    <row r="47" spans="11:14" x14ac:dyDescent="0.25">
      <c r="K47" s="10"/>
      <c r="L47" t="s">
        <v>2001</v>
      </c>
      <c r="M47" t="s">
        <v>1952</v>
      </c>
    </row>
    <row r="48" spans="11:14" x14ac:dyDescent="0.25">
      <c r="K48" s="10"/>
      <c r="L48" t="s">
        <v>2001</v>
      </c>
      <c r="M48" t="s">
        <v>1940</v>
      </c>
    </row>
    <row r="49" spans="10:14" x14ac:dyDescent="0.25">
      <c r="L49" t="s">
        <v>2001</v>
      </c>
      <c r="M49" t="s">
        <v>1954</v>
      </c>
    </row>
    <row r="50" spans="10:14" x14ac:dyDescent="0.25">
      <c r="L50" t="s">
        <v>1812</v>
      </c>
      <c r="M50" t="s">
        <v>1603</v>
      </c>
      <c r="N50" t="s">
        <v>2008</v>
      </c>
    </row>
    <row r="51" spans="10:14" x14ac:dyDescent="0.25">
      <c r="J51" s="16"/>
      <c r="K51" s="10"/>
      <c r="L51" t="s">
        <v>1808</v>
      </c>
      <c r="M51" t="s">
        <v>1789</v>
      </c>
    </row>
    <row r="52" spans="10:14" x14ac:dyDescent="0.25">
      <c r="K52" s="10"/>
      <c r="L52" t="s">
        <v>1808</v>
      </c>
      <c r="M52" t="s">
        <v>1795</v>
      </c>
    </row>
    <row r="53" spans="10:14" x14ac:dyDescent="0.25">
      <c r="K53" s="10"/>
      <c r="L53" t="s">
        <v>1808</v>
      </c>
      <c r="M53" t="s">
        <v>1688</v>
      </c>
    </row>
    <row r="54" spans="10:14" x14ac:dyDescent="0.25">
      <c r="K54" s="10"/>
      <c r="L54" t="s">
        <v>1808</v>
      </c>
      <c r="M54" t="s">
        <v>1785</v>
      </c>
    </row>
    <row r="55" spans="10:14" x14ac:dyDescent="0.25">
      <c r="K55" s="10"/>
      <c r="L55" t="s">
        <v>1808</v>
      </c>
      <c r="M55" t="s">
        <v>60</v>
      </c>
    </row>
    <row r="56" spans="10:14" x14ac:dyDescent="0.25">
      <c r="J56" s="16"/>
      <c r="K56" s="10"/>
      <c r="L56" t="s">
        <v>1808</v>
      </c>
      <c r="M56" t="s">
        <v>1800</v>
      </c>
    </row>
    <row r="57" spans="10:14" x14ac:dyDescent="0.25">
      <c r="K57" s="10"/>
      <c r="L57" t="s">
        <v>1808</v>
      </c>
      <c r="M57" t="s">
        <v>1799</v>
      </c>
    </row>
    <row r="58" spans="10:14" x14ac:dyDescent="0.25">
      <c r="K58" s="10"/>
      <c r="L58" t="s">
        <v>1808</v>
      </c>
      <c r="M58" t="s">
        <v>1772</v>
      </c>
    </row>
    <row r="59" spans="10:14" x14ac:dyDescent="0.25">
      <c r="K59" s="10"/>
      <c r="L59" t="s">
        <v>1808</v>
      </c>
      <c r="M59" t="s">
        <v>279</v>
      </c>
    </row>
    <row r="60" spans="10:14" x14ac:dyDescent="0.25">
      <c r="K60" s="10"/>
      <c r="L60" t="s">
        <v>1808</v>
      </c>
      <c r="M60" t="s">
        <v>2306</v>
      </c>
    </row>
    <row r="61" spans="10:14" x14ac:dyDescent="0.25">
      <c r="K61" s="10"/>
      <c r="L61" t="s">
        <v>1808</v>
      </c>
      <c r="M61" t="s">
        <v>1803</v>
      </c>
    </row>
    <row r="62" spans="10:14" x14ac:dyDescent="0.25">
      <c r="K62" s="10"/>
      <c r="L62" t="s">
        <v>1808</v>
      </c>
      <c r="M62" t="s">
        <v>1777</v>
      </c>
    </row>
    <row r="63" spans="10:14" x14ac:dyDescent="0.25">
      <c r="K63" s="10"/>
      <c r="L63" t="s">
        <v>1808</v>
      </c>
      <c r="M63" t="s">
        <v>1774</v>
      </c>
    </row>
    <row r="64" spans="10:14" x14ac:dyDescent="0.25">
      <c r="K64" s="10"/>
      <c r="L64" t="s">
        <v>1638</v>
      </c>
      <c r="M64" t="s">
        <v>68</v>
      </c>
      <c r="N64" t="s">
        <v>196</v>
      </c>
    </row>
    <row r="65" spans="11:16" x14ac:dyDescent="0.25">
      <c r="K65" s="10"/>
      <c r="L65" t="s">
        <v>1638</v>
      </c>
      <c r="M65" t="s">
        <v>56</v>
      </c>
      <c r="N65" t="s">
        <v>2272</v>
      </c>
    </row>
    <row r="66" spans="11:16" x14ac:dyDescent="0.25">
      <c r="K66" s="10"/>
      <c r="L66" t="s">
        <v>2001</v>
      </c>
      <c r="M66" t="s">
        <v>38</v>
      </c>
    </row>
    <row r="67" spans="11:16" x14ac:dyDescent="0.25">
      <c r="K67" s="10"/>
      <c r="L67" t="s">
        <v>2001</v>
      </c>
      <c r="M67" t="s">
        <v>39</v>
      </c>
    </row>
    <row r="68" spans="11:16" x14ac:dyDescent="0.25">
      <c r="K68" s="10"/>
      <c r="L68" t="s">
        <v>2316</v>
      </c>
      <c r="M68" t="s">
        <v>2315</v>
      </c>
      <c r="O68" t="s">
        <v>2321</v>
      </c>
      <c r="P68" t="s">
        <v>2322</v>
      </c>
    </row>
    <row r="69" spans="11:16" x14ac:dyDescent="0.25">
      <c r="K69" s="10"/>
      <c r="L69" t="s">
        <v>20</v>
      </c>
      <c r="M69" t="s">
        <v>675</v>
      </c>
      <c r="N69" t="s">
        <v>38</v>
      </c>
      <c r="O69" t="s">
        <v>2321</v>
      </c>
      <c r="P69" t="s">
        <v>2322</v>
      </c>
    </row>
    <row r="70" spans="11:16" x14ac:dyDescent="0.25">
      <c r="K70" s="10"/>
      <c r="L70" t="s">
        <v>2023</v>
      </c>
      <c r="M70" t="s">
        <v>2317</v>
      </c>
      <c r="N70" t="s">
        <v>2324</v>
      </c>
      <c r="O70" t="s">
        <v>2321</v>
      </c>
      <c r="P70" t="s">
        <v>2322</v>
      </c>
    </row>
    <row r="71" spans="11:16" x14ac:dyDescent="0.25">
      <c r="K71" s="10"/>
      <c r="L71" t="s">
        <v>2316</v>
      </c>
      <c r="M71" t="s">
        <v>2318</v>
      </c>
      <c r="O71" t="s">
        <v>2321</v>
      </c>
      <c r="P71" t="s">
        <v>2322</v>
      </c>
    </row>
    <row r="72" spans="11:16" x14ac:dyDescent="0.25">
      <c r="K72" s="10"/>
      <c r="L72" t="s">
        <v>1531</v>
      </c>
      <c r="M72" t="s">
        <v>1212</v>
      </c>
      <c r="N72" t="s">
        <v>41</v>
      </c>
      <c r="O72" t="s">
        <v>2321</v>
      </c>
      <c r="P72" t="s">
        <v>2322</v>
      </c>
    </row>
    <row r="73" spans="11:16" x14ac:dyDescent="0.25">
      <c r="K73" s="10"/>
      <c r="L73" t="s">
        <v>19</v>
      </c>
      <c r="M73" t="s">
        <v>1183</v>
      </c>
      <c r="N73" t="s">
        <v>1182</v>
      </c>
      <c r="O73" t="s">
        <v>2321</v>
      </c>
      <c r="P73" t="s">
        <v>2322</v>
      </c>
    </row>
    <row r="74" spans="11:16" x14ac:dyDescent="0.25">
      <c r="L74" t="s">
        <v>1808</v>
      </c>
      <c r="M74" t="s">
        <v>2319</v>
      </c>
      <c r="O74" t="s">
        <v>2321</v>
      </c>
      <c r="P74" t="s">
        <v>2322</v>
      </c>
    </row>
    <row r="75" spans="11:16" x14ac:dyDescent="0.25">
      <c r="L75" t="s">
        <v>9</v>
      </c>
      <c r="M75" t="s">
        <v>66</v>
      </c>
      <c r="N75" t="s">
        <v>41</v>
      </c>
      <c r="O75" t="s">
        <v>2321</v>
      </c>
      <c r="P75" t="s">
        <v>2325</v>
      </c>
    </row>
    <row r="76" spans="11:16" x14ac:dyDescent="0.25">
      <c r="M76" t="s">
        <v>2331</v>
      </c>
    </row>
    <row r="77" spans="11:16" x14ac:dyDescent="0.25">
      <c r="M77" t="s">
        <v>198</v>
      </c>
    </row>
    <row r="78" spans="11:16" x14ac:dyDescent="0.25">
      <c r="L78" t="s">
        <v>1640</v>
      </c>
      <c r="M78" t="s">
        <v>2326</v>
      </c>
    </row>
    <row r="79" spans="11:16" x14ac:dyDescent="0.25">
      <c r="L79" t="s">
        <v>1808</v>
      </c>
      <c r="M79" t="s">
        <v>2329</v>
      </c>
    </row>
    <row r="80" spans="11:16" x14ac:dyDescent="0.25">
      <c r="L80" t="s">
        <v>2155</v>
      </c>
      <c r="M80" t="s">
        <v>199</v>
      </c>
    </row>
    <row r="81" spans="12:15" x14ac:dyDescent="0.25">
      <c r="L81" t="s">
        <v>1808</v>
      </c>
      <c r="M81" t="s">
        <v>1804</v>
      </c>
    </row>
    <row r="82" spans="12:15" x14ac:dyDescent="0.25">
      <c r="M82" t="s">
        <v>203</v>
      </c>
    </row>
    <row r="83" spans="12:15" x14ac:dyDescent="0.25">
      <c r="M83" t="s">
        <v>357</v>
      </c>
    </row>
    <row r="84" spans="12:15" x14ac:dyDescent="0.25">
      <c r="M84" t="s">
        <v>2203</v>
      </c>
    </row>
    <row r="85" spans="12:15" x14ac:dyDescent="0.25">
      <c r="M85" t="s">
        <v>1702</v>
      </c>
    </row>
    <row r="86" spans="12:15" x14ac:dyDescent="0.25">
      <c r="M86" t="s">
        <v>132</v>
      </c>
    </row>
    <row r="87" spans="12:15" x14ac:dyDescent="0.25">
      <c r="M87" t="s">
        <v>1923</v>
      </c>
    </row>
    <row r="88" spans="12:15" x14ac:dyDescent="0.25">
      <c r="M88" t="s">
        <v>204</v>
      </c>
    </row>
    <row r="89" spans="12:15" x14ac:dyDescent="0.25">
      <c r="M89" t="s">
        <v>2327</v>
      </c>
    </row>
    <row r="90" spans="12:15" x14ac:dyDescent="0.25">
      <c r="L90" t="s">
        <v>1640</v>
      </c>
      <c r="M90" t="s">
        <v>2328</v>
      </c>
      <c r="N90" s="13" t="s">
        <v>2110</v>
      </c>
    </row>
    <row r="91" spans="12:15" x14ac:dyDescent="0.25">
      <c r="M91" t="s">
        <v>2330</v>
      </c>
    </row>
    <row r="92" spans="12:15" x14ac:dyDescent="0.25">
      <c r="L92" t="s">
        <v>19</v>
      </c>
      <c r="M92" t="s">
        <v>2332</v>
      </c>
      <c r="N92" t="s">
        <v>1526</v>
      </c>
    </row>
    <row r="93" spans="12:15" x14ac:dyDescent="0.25">
      <c r="M93" t="s">
        <v>62</v>
      </c>
    </row>
    <row r="94" spans="12:15" x14ac:dyDescent="0.25">
      <c r="M94" t="s">
        <v>198</v>
      </c>
    </row>
    <row r="95" spans="12:15" x14ac:dyDescent="0.25">
      <c r="M95" t="s">
        <v>199</v>
      </c>
    </row>
    <row r="96" spans="12:15" x14ac:dyDescent="0.25">
      <c r="L96" t="s">
        <v>2155</v>
      </c>
      <c r="M96" t="s">
        <v>2207</v>
      </c>
      <c r="N96" s="13" t="s">
        <v>2110</v>
      </c>
      <c r="O96" t="s">
        <v>2333</v>
      </c>
    </row>
    <row r="97" spans="7:15" x14ac:dyDescent="0.25">
      <c r="L97" t="s">
        <v>2155</v>
      </c>
      <c r="M97" t="s">
        <v>2213</v>
      </c>
      <c r="N97" s="13" t="s">
        <v>2110</v>
      </c>
    </row>
    <row r="98" spans="7:15" x14ac:dyDescent="0.25">
      <c r="L98" t="s">
        <v>2155</v>
      </c>
      <c r="M98" t="s">
        <v>2187</v>
      </c>
      <c r="N98" s="13" t="s">
        <v>2110</v>
      </c>
      <c r="O98" t="s">
        <v>2333</v>
      </c>
    </row>
    <row r="99" spans="7:15" x14ac:dyDescent="0.25">
      <c r="L99" t="s">
        <v>2155</v>
      </c>
      <c r="M99" t="s">
        <v>2186</v>
      </c>
      <c r="N99" s="13" t="s">
        <v>2110</v>
      </c>
    </row>
    <row r="105" spans="7:15" x14ac:dyDescent="0.25">
      <c r="G105" s="16"/>
      <c r="H105" s="16"/>
    </row>
    <row r="106" spans="7:15" x14ac:dyDescent="0.25">
      <c r="G106" s="16"/>
      <c r="H106" s="16"/>
    </row>
    <row r="107" spans="7:15" x14ac:dyDescent="0.25">
      <c r="G107" s="16"/>
      <c r="H107" s="16"/>
    </row>
    <row r="109" spans="7:15" x14ac:dyDescent="0.25">
      <c r="I109" s="16"/>
      <c r="J109" s="16"/>
    </row>
    <row r="147" spans="9:10" x14ac:dyDescent="0.25">
      <c r="I147" s="16"/>
      <c r="J147" s="16"/>
    </row>
    <row r="150" spans="9:10" x14ac:dyDescent="0.25">
      <c r="I150" s="16"/>
      <c r="J150" s="16"/>
    </row>
    <row r="151" spans="9:10" x14ac:dyDescent="0.25">
      <c r="I151" s="16"/>
      <c r="J151" s="16"/>
    </row>
    <row r="152" spans="9:10" x14ac:dyDescent="0.25">
      <c r="I152" s="16"/>
      <c r="J152" s="16"/>
    </row>
    <row r="153" spans="9:10" x14ac:dyDescent="0.25">
      <c r="I153" s="16"/>
      <c r="J153" s="16"/>
    </row>
    <row r="154" spans="9:10" x14ac:dyDescent="0.25">
      <c r="I154" s="16"/>
      <c r="J154" s="16"/>
    </row>
    <row r="168" spans="9:10" x14ac:dyDescent="0.25">
      <c r="I168" s="16"/>
      <c r="J168" s="16"/>
    </row>
    <row r="249" spans="7:10" x14ac:dyDescent="0.25">
      <c r="G249" s="16"/>
    </row>
    <row r="250" spans="7:10" x14ac:dyDescent="0.25">
      <c r="G250" s="16"/>
      <c r="H250" s="16"/>
      <c r="I250" s="16"/>
      <c r="J250" s="16"/>
    </row>
    <row r="251" spans="7:10" x14ac:dyDescent="0.25">
      <c r="G251" s="16"/>
      <c r="H251" s="16"/>
      <c r="I251" s="16"/>
      <c r="J251" s="16"/>
    </row>
    <row r="252" spans="7:10" x14ac:dyDescent="0.25">
      <c r="G252" s="16"/>
      <c r="H252" s="16"/>
      <c r="I252" s="16"/>
      <c r="J252" s="16"/>
    </row>
    <row r="253" spans="7:10" x14ac:dyDescent="0.25">
      <c r="G253" s="16"/>
      <c r="H253" s="16"/>
      <c r="I253" s="16"/>
      <c r="J253" s="16"/>
    </row>
    <row r="254" spans="7:10" x14ac:dyDescent="0.25">
      <c r="G254" s="16"/>
      <c r="H254" s="16"/>
      <c r="I254" s="16"/>
      <c r="J254" s="16"/>
    </row>
    <row r="255" spans="7:10" x14ac:dyDescent="0.25">
      <c r="G255" s="16"/>
      <c r="H255" s="16"/>
      <c r="I255" s="16"/>
      <c r="J255" s="16"/>
    </row>
    <row r="256" spans="7:10" x14ac:dyDescent="0.25">
      <c r="G256" s="16"/>
      <c r="H256" s="16"/>
      <c r="I256" s="16"/>
      <c r="J256" s="16"/>
    </row>
    <row r="257" spans="7:10" x14ac:dyDescent="0.25">
      <c r="G257" s="16"/>
      <c r="H257" s="16"/>
      <c r="I257" s="16"/>
      <c r="J257" s="16"/>
    </row>
    <row r="258" spans="7:10" x14ac:dyDescent="0.25">
      <c r="G258" s="16"/>
      <c r="H258" s="16"/>
      <c r="I258" s="16"/>
      <c r="J258" s="16"/>
    </row>
    <row r="259" spans="7:10" x14ac:dyDescent="0.25">
      <c r="H259" s="16"/>
      <c r="I259" s="16"/>
      <c r="J259" s="16"/>
    </row>
    <row r="260" spans="7:10" x14ac:dyDescent="0.25">
      <c r="H260" s="16"/>
      <c r="I260" s="16"/>
      <c r="J260" s="16"/>
    </row>
    <row r="261" spans="7:10" x14ac:dyDescent="0.25">
      <c r="G261" s="16"/>
      <c r="H261" s="16"/>
      <c r="I261" s="16"/>
      <c r="J261" s="16"/>
    </row>
    <row r="262" spans="7:10" x14ac:dyDescent="0.25">
      <c r="H262" s="16"/>
      <c r="I262" s="16"/>
      <c r="J262" s="16"/>
    </row>
  </sheetData>
  <autoFilter ref="L1:N1" xr:uid="{ECA3C9C2-80EC-490F-B169-A635168C3A31}">
    <sortState xmlns:xlrd2="http://schemas.microsoft.com/office/spreadsheetml/2017/richdata2" ref="L2:N65">
      <sortCondition ref="L1"/>
    </sortState>
  </autoFilter>
  <sortState xmlns:xlrd2="http://schemas.microsoft.com/office/spreadsheetml/2017/richdata2" ref="F3:F65">
    <sortCondition ref="F2:F65"/>
  </sortState>
  <mergeCells count="1">
    <mergeCell ref="O1:P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D4F7-4D99-4EC2-9D24-FABB22B75A9C}">
  <dimension ref="A1:S27"/>
  <sheetViews>
    <sheetView workbookViewId="0">
      <selection activeCell="G21" sqref="G21"/>
    </sheetView>
  </sheetViews>
  <sheetFormatPr defaultRowHeight="15" x14ac:dyDescent="0.25"/>
  <cols>
    <col min="1" max="1" width="10.7109375" bestFit="1" customWidth="1"/>
    <col min="2" max="9" width="11.28515625" customWidth="1"/>
    <col min="10" max="10" width="11" style="3" customWidth="1"/>
    <col min="11" max="11" width="12.140625" style="3" bestFit="1" customWidth="1"/>
    <col min="13" max="13" width="12.140625" bestFit="1" customWidth="1"/>
    <col min="15" max="15" width="11.5703125" style="18" bestFit="1" customWidth="1"/>
    <col min="19" max="19" width="11.5703125" style="3" bestFit="1" customWidth="1"/>
  </cols>
  <sheetData>
    <row r="1" spans="1:19" s="3" customFormat="1" x14ac:dyDescent="0.25">
      <c r="A1" s="3" t="s">
        <v>1629</v>
      </c>
      <c r="B1" s="3" t="s">
        <v>1630</v>
      </c>
      <c r="C1" s="3" t="s">
        <v>1631</v>
      </c>
      <c r="D1" s="3" t="s">
        <v>1632</v>
      </c>
      <c r="E1" s="3" t="s">
        <v>1633</v>
      </c>
      <c r="F1" s="3" t="s">
        <v>6</v>
      </c>
      <c r="G1" s="3" t="s">
        <v>1634</v>
      </c>
      <c r="H1" s="3" t="s">
        <v>7</v>
      </c>
      <c r="I1" s="3" t="s">
        <v>1635</v>
      </c>
      <c r="J1" s="27" t="s">
        <v>1636</v>
      </c>
      <c r="K1" s="27"/>
      <c r="M1" s="3" t="s">
        <v>1</v>
      </c>
      <c r="N1" s="3" t="s">
        <v>1646</v>
      </c>
      <c r="O1" s="18" t="s">
        <v>1647</v>
      </c>
      <c r="Q1" s="3" t="s">
        <v>1648</v>
      </c>
      <c r="R1" s="3" t="s">
        <v>1646</v>
      </c>
      <c r="S1" s="3" t="s">
        <v>1647</v>
      </c>
    </row>
    <row r="2" spans="1:19" x14ac:dyDescent="0.25">
      <c r="A2" s="17">
        <v>45587</v>
      </c>
      <c r="B2" t="s">
        <v>2</v>
      </c>
      <c r="C2" t="s">
        <v>9</v>
      </c>
      <c r="D2" t="s">
        <v>1637</v>
      </c>
      <c r="E2" t="s">
        <v>1638</v>
      </c>
      <c r="F2" t="s">
        <v>1639</v>
      </c>
      <c r="G2" t="s">
        <v>1642</v>
      </c>
      <c r="H2" t="s">
        <v>1640</v>
      </c>
      <c r="I2" t="s">
        <v>1641</v>
      </c>
      <c r="J2" s="3" t="s">
        <v>2</v>
      </c>
      <c r="K2" s="3" t="s">
        <v>9</v>
      </c>
      <c r="M2" t="s">
        <v>22</v>
      </c>
      <c r="N2" s="3">
        <f t="shared" ref="N2:N26" si="0">COUNTIF(C:C,M2)+COUNTIF(E:E,M2)+COUNTIF(G:G,M2)+COUNTIF(I:I,M2)</f>
        <v>2</v>
      </c>
      <c r="O2" s="18" t="str">
        <f t="shared" ref="O2:O26" si="1">IF(N2&gt;=10,(COUNTIF(K:K,M2)/N2),"Insuficiente")</f>
        <v>Insuficiente</v>
      </c>
      <c r="Q2" t="s">
        <v>2</v>
      </c>
      <c r="R2" s="3">
        <f>COUNTIF(B:B,Q2)+COUNTIF(D:D,Q2)+COUNTIF(F:F,Q2)+COUNTIF(H:H,Q2)</f>
        <v>11</v>
      </c>
      <c r="S2" s="18">
        <f>IF(R2&gt;=10, (COUNTIF(J:J,Q2)/R2), "Insuficiente")</f>
        <v>0.36363636363636365</v>
      </c>
    </row>
    <row r="3" spans="1:19" x14ac:dyDescent="0.25">
      <c r="A3" s="17">
        <v>45594</v>
      </c>
      <c r="B3" t="s">
        <v>2</v>
      </c>
      <c r="C3" t="s">
        <v>23</v>
      </c>
      <c r="D3" t="s">
        <v>1637</v>
      </c>
      <c r="E3" t="s">
        <v>1638</v>
      </c>
      <c r="F3" t="s">
        <v>1639</v>
      </c>
      <c r="G3" t="s">
        <v>1642</v>
      </c>
      <c r="H3" t="s">
        <v>1640</v>
      </c>
      <c r="I3" t="s">
        <v>1643</v>
      </c>
      <c r="J3" s="3" t="s">
        <v>1637</v>
      </c>
      <c r="K3" s="3" t="s">
        <v>1638</v>
      </c>
      <c r="M3" t="s">
        <v>15</v>
      </c>
      <c r="N3" s="3">
        <f t="shared" si="0"/>
        <v>1</v>
      </c>
      <c r="O3" s="18" t="str">
        <f t="shared" si="1"/>
        <v>Insuficiente</v>
      </c>
      <c r="Q3" t="s">
        <v>1637</v>
      </c>
      <c r="R3" s="3">
        <f t="shared" ref="R3:R9" si="2">COUNTIF(B:B,Q3)+COUNTIF(D:D,Q3)+COUNTIF(F:F,Q3)+COUNTIF(H:H,Q3)</f>
        <v>11</v>
      </c>
      <c r="S3" s="18">
        <f t="shared" ref="S3:S9" si="3">IF(R3&gt;=10, (COUNTIF(J:J,Q3)/R3), "Insuficiente")</f>
        <v>0.27272727272727271</v>
      </c>
    </row>
    <row r="4" spans="1:19" x14ac:dyDescent="0.25">
      <c r="A4" s="17">
        <v>45594</v>
      </c>
      <c r="B4" t="s">
        <v>2</v>
      </c>
      <c r="C4" t="s">
        <v>1645</v>
      </c>
      <c r="D4" t="s">
        <v>1637</v>
      </c>
      <c r="E4" t="s">
        <v>1638</v>
      </c>
      <c r="F4" t="s">
        <v>1639</v>
      </c>
      <c r="G4" t="s">
        <v>1642</v>
      </c>
      <c r="H4" t="s">
        <v>1644</v>
      </c>
      <c r="I4" t="s">
        <v>12</v>
      </c>
      <c r="J4" s="3" t="s">
        <v>2</v>
      </c>
      <c r="K4" s="3" t="s">
        <v>1645</v>
      </c>
      <c r="M4" t="s">
        <v>1531</v>
      </c>
      <c r="N4" s="3">
        <f t="shared" si="0"/>
        <v>1</v>
      </c>
      <c r="O4" s="18" t="str">
        <f t="shared" si="1"/>
        <v>Insuficiente</v>
      </c>
      <c r="Q4" t="s">
        <v>1639</v>
      </c>
      <c r="R4" s="3">
        <f t="shared" si="2"/>
        <v>6</v>
      </c>
      <c r="S4" s="18" t="str">
        <f t="shared" si="3"/>
        <v>Insuficiente</v>
      </c>
    </row>
    <row r="5" spans="1:19" x14ac:dyDescent="0.25">
      <c r="A5" s="17">
        <v>45594</v>
      </c>
      <c r="B5" t="s">
        <v>2</v>
      </c>
      <c r="C5" t="s">
        <v>22</v>
      </c>
      <c r="D5" t="s">
        <v>1637</v>
      </c>
      <c r="E5" t="s">
        <v>1638</v>
      </c>
      <c r="F5" t="s">
        <v>1639</v>
      </c>
      <c r="G5" t="s">
        <v>1531</v>
      </c>
      <c r="H5" t="s">
        <v>1644</v>
      </c>
      <c r="I5" t="s">
        <v>48</v>
      </c>
      <c r="J5" s="3" t="s">
        <v>2</v>
      </c>
      <c r="K5" s="3" t="s">
        <v>22</v>
      </c>
      <c r="M5" t="s">
        <v>23</v>
      </c>
      <c r="N5" s="3">
        <f t="shared" si="0"/>
        <v>1</v>
      </c>
      <c r="O5" s="18" t="str">
        <f t="shared" si="1"/>
        <v>Insuficiente</v>
      </c>
      <c r="Q5" t="s">
        <v>1640</v>
      </c>
      <c r="R5" s="3">
        <f t="shared" si="2"/>
        <v>5</v>
      </c>
      <c r="S5" s="18" t="str">
        <f t="shared" si="3"/>
        <v>Insuficiente</v>
      </c>
    </row>
    <row r="6" spans="1:19" x14ac:dyDescent="0.25">
      <c r="A6" s="17">
        <v>45597</v>
      </c>
      <c r="B6" t="s">
        <v>2</v>
      </c>
      <c r="C6" t="s">
        <v>18</v>
      </c>
      <c r="D6" t="s">
        <v>1637</v>
      </c>
      <c r="E6" t="s">
        <v>1638</v>
      </c>
      <c r="F6" t="s">
        <v>1639</v>
      </c>
      <c r="G6" t="s">
        <v>1642</v>
      </c>
      <c r="H6" t="s">
        <v>1650</v>
      </c>
      <c r="I6" t="s">
        <v>1656</v>
      </c>
      <c r="J6" s="3" t="s">
        <v>1650</v>
      </c>
      <c r="K6" s="3" t="s">
        <v>1656</v>
      </c>
      <c r="M6" t="s">
        <v>9</v>
      </c>
      <c r="N6" s="3">
        <f t="shared" si="0"/>
        <v>1</v>
      </c>
      <c r="O6" s="18" t="str">
        <f t="shared" si="1"/>
        <v>Insuficiente</v>
      </c>
      <c r="Q6" t="s">
        <v>1644</v>
      </c>
      <c r="R6" s="3">
        <f t="shared" si="2"/>
        <v>2</v>
      </c>
      <c r="S6" s="18" t="str">
        <f t="shared" si="3"/>
        <v>Insuficiente</v>
      </c>
    </row>
    <row r="7" spans="1:19" x14ac:dyDescent="0.25">
      <c r="A7" s="17">
        <v>45597</v>
      </c>
      <c r="B7" t="s">
        <v>2</v>
      </c>
      <c r="C7" t="s">
        <v>16</v>
      </c>
      <c r="D7" t="s">
        <v>1637</v>
      </c>
      <c r="E7" t="s">
        <v>1638</v>
      </c>
      <c r="F7" t="s">
        <v>1639</v>
      </c>
      <c r="G7" t="s">
        <v>1642</v>
      </c>
      <c r="H7" t="s">
        <v>1650</v>
      </c>
      <c r="I7" t="s">
        <v>1656</v>
      </c>
      <c r="J7" s="3" t="s">
        <v>1637</v>
      </c>
      <c r="K7" s="3" t="s">
        <v>1638</v>
      </c>
      <c r="M7" t="s">
        <v>1921</v>
      </c>
      <c r="N7" s="3">
        <f t="shared" si="0"/>
        <v>2</v>
      </c>
      <c r="O7" s="18" t="str">
        <f t="shared" si="1"/>
        <v>Insuficiente</v>
      </c>
      <c r="Q7" t="s">
        <v>1649</v>
      </c>
      <c r="R7" s="3">
        <f t="shared" si="2"/>
        <v>3</v>
      </c>
      <c r="S7" s="18" t="str">
        <f t="shared" si="3"/>
        <v>Insuficiente</v>
      </c>
    </row>
    <row r="8" spans="1:19" x14ac:dyDescent="0.25">
      <c r="A8" s="17">
        <v>45599</v>
      </c>
      <c r="B8" t="s">
        <v>2</v>
      </c>
      <c r="C8" t="s">
        <v>1660</v>
      </c>
      <c r="D8" t="s">
        <v>1637</v>
      </c>
      <c r="E8" t="s">
        <v>15</v>
      </c>
      <c r="F8" t="s">
        <v>1640</v>
      </c>
      <c r="G8" t="s">
        <v>1659</v>
      </c>
      <c r="H8" t="s">
        <v>1649</v>
      </c>
      <c r="I8" t="s">
        <v>1658</v>
      </c>
      <c r="J8" s="3" t="s">
        <v>1637</v>
      </c>
      <c r="K8" s="3" t="s">
        <v>15</v>
      </c>
      <c r="M8" t="s">
        <v>1920</v>
      </c>
      <c r="N8" s="3">
        <f t="shared" si="0"/>
        <v>1</v>
      </c>
      <c r="O8" s="18" t="str">
        <f t="shared" si="1"/>
        <v>Insuficiente</v>
      </c>
      <c r="Q8" t="s">
        <v>1650</v>
      </c>
      <c r="R8" s="3">
        <f t="shared" si="2"/>
        <v>4</v>
      </c>
      <c r="S8" s="18" t="str">
        <f t="shared" si="3"/>
        <v>Insuficiente</v>
      </c>
    </row>
    <row r="9" spans="1:19" x14ac:dyDescent="0.25">
      <c r="A9" s="17">
        <v>45599</v>
      </c>
      <c r="B9" t="s">
        <v>2</v>
      </c>
      <c r="C9" t="s">
        <v>45</v>
      </c>
      <c r="D9" t="s">
        <v>1637</v>
      </c>
      <c r="E9" t="s">
        <v>22</v>
      </c>
      <c r="F9" t="s">
        <v>1640</v>
      </c>
      <c r="G9" t="s">
        <v>1659</v>
      </c>
      <c r="H9" t="s">
        <v>1649</v>
      </c>
      <c r="I9" t="s">
        <v>1657</v>
      </c>
      <c r="J9" s="3" t="s">
        <v>1649</v>
      </c>
      <c r="K9" s="3" t="s">
        <v>1657</v>
      </c>
      <c r="M9" t="s">
        <v>18</v>
      </c>
      <c r="N9" s="3">
        <f t="shared" si="0"/>
        <v>1</v>
      </c>
      <c r="O9" s="18" t="str">
        <f t="shared" si="1"/>
        <v>Insuficiente</v>
      </c>
      <c r="Q9" t="s">
        <v>1919</v>
      </c>
      <c r="R9" s="3">
        <f t="shared" si="2"/>
        <v>2</v>
      </c>
      <c r="S9" s="3" t="str">
        <f t="shared" si="3"/>
        <v>Insuficiente</v>
      </c>
    </row>
    <row r="10" spans="1:19" x14ac:dyDescent="0.25">
      <c r="A10" s="17">
        <v>45835</v>
      </c>
      <c r="B10" t="s">
        <v>2</v>
      </c>
      <c r="C10" t="s">
        <v>17</v>
      </c>
      <c r="D10" t="s">
        <v>1637</v>
      </c>
      <c r="E10" t="s">
        <v>10</v>
      </c>
      <c r="F10" t="s">
        <v>1640</v>
      </c>
      <c r="G10" t="s">
        <v>1659</v>
      </c>
      <c r="H10" t="s">
        <v>1649</v>
      </c>
      <c r="I10" t="s">
        <v>1658</v>
      </c>
      <c r="J10" s="3" t="s">
        <v>1640</v>
      </c>
      <c r="K10" s="3" t="s">
        <v>1659</v>
      </c>
      <c r="M10" t="s">
        <v>10</v>
      </c>
      <c r="N10" s="3">
        <f t="shared" si="0"/>
        <v>1</v>
      </c>
      <c r="O10" s="18" t="str">
        <f t="shared" si="1"/>
        <v>Insuficiente</v>
      </c>
    </row>
    <row r="11" spans="1:19" x14ac:dyDescent="0.25">
      <c r="A11" s="17">
        <v>45864</v>
      </c>
      <c r="B11" t="s">
        <v>2</v>
      </c>
      <c r="C11" t="s">
        <v>12</v>
      </c>
      <c r="D11" t="s">
        <v>1637</v>
      </c>
      <c r="E11" t="s">
        <v>1638</v>
      </c>
      <c r="F11" t="s">
        <v>1919</v>
      </c>
      <c r="G11" t="s">
        <v>1920</v>
      </c>
      <c r="H11" t="s">
        <v>1650</v>
      </c>
      <c r="I11" t="s">
        <v>1921</v>
      </c>
      <c r="J11" s="3" t="s">
        <v>2</v>
      </c>
      <c r="K11" s="3" t="s">
        <v>12</v>
      </c>
      <c r="M11" t="s">
        <v>1641</v>
      </c>
      <c r="N11" s="3">
        <f t="shared" si="0"/>
        <v>2</v>
      </c>
      <c r="O11" s="18" t="str">
        <f t="shared" si="1"/>
        <v>Insuficiente</v>
      </c>
    </row>
    <row r="12" spans="1:19" x14ac:dyDescent="0.25">
      <c r="A12" s="17">
        <v>45864</v>
      </c>
      <c r="B12" t="s">
        <v>2</v>
      </c>
      <c r="C12" t="s">
        <v>46</v>
      </c>
      <c r="D12" t="s">
        <v>1637</v>
      </c>
      <c r="E12" t="s">
        <v>1638</v>
      </c>
      <c r="F12" t="s">
        <v>1919</v>
      </c>
      <c r="G12" t="s">
        <v>1641</v>
      </c>
      <c r="H12" t="s">
        <v>1650</v>
      </c>
      <c r="I12" t="s">
        <v>1921</v>
      </c>
      <c r="J12" s="3" t="s">
        <v>1919</v>
      </c>
      <c r="K12" s="3" t="s">
        <v>1641</v>
      </c>
      <c r="M12" t="s">
        <v>48</v>
      </c>
      <c r="N12" s="3">
        <f t="shared" si="0"/>
        <v>1</v>
      </c>
      <c r="O12" s="18" t="str">
        <f t="shared" si="1"/>
        <v>Insuficiente</v>
      </c>
    </row>
    <row r="13" spans="1:19" x14ac:dyDescent="0.25">
      <c r="M13" t="s">
        <v>1657</v>
      </c>
      <c r="N13" s="3">
        <f t="shared" si="0"/>
        <v>1</v>
      </c>
      <c r="O13" s="18" t="str">
        <f t="shared" si="1"/>
        <v>Insuficiente</v>
      </c>
    </row>
    <row r="14" spans="1:19" x14ac:dyDescent="0.25">
      <c r="M14" t="s">
        <v>12</v>
      </c>
      <c r="N14" s="3">
        <f t="shared" si="0"/>
        <v>2</v>
      </c>
      <c r="O14" s="18" t="str">
        <f t="shared" si="1"/>
        <v>Insuficiente</v>
      </c>
    </row>
    <row r="15" spans="1:19" x14ac:dyDescent="0.25">
      <c r="M15" t="s">
        <v>1660</v>
      </c>
      <c r="N15" s="3">
        <f t="shared" si="0"/>
        <v>1</v>
      </c>
      <c r="O15" s="18" t="str">
        <f t="shared" si="1"/>
        <v>Insuficiente</v>
      </c>
    </row>
    <row r="16" spans="1:19" x14ac:dyDescent="0.25">
      <c r="M16" t="s">
        <v>1642</v>
      </c>
      <c r="N16" s="3">
        <f t="shared" si="0"/>
        <v>5</v>
      </c>
      <c r="O16" s="18" t="str">
        <f t="shared" si="1"/>
        <v>Insuficiente</v>
      </c>
    </row>
    <row r="17" spans="13:15" x14ac:dyDescent="0.25">
      <c r="M17" t="s">
        <v>46</v>
      </c>
      <c r="N17" s="3">
        <f t="shared" si="0"/>
        <v>1</v>
      </c>
      <c r="O17" s="18" t="str">
        <f t="shared" si="1"/>
        <v>Insuficiente</v>
      </c>
    </row>
    <row r="18" spans="13:15" x14ac:dyDescent="0.25">
      <c r="M18" t="s">
        <v>45</v>
      </c>
      <c r="N18" s="3">
        <f t="shared" si="0"/>
        <v>1</v>
      </c>
      <c r="O18" s="18" t="str">
        <f t="shared" si="1"/>
        <v>Insuficiente</v>
      </c>
    </row>
    <row r="19" spans="13:15" x14ac:dyDescent="0.25">
      <c r="M19" t="s">
        <v>1643</v>
      </c>
      <c r="N19" s="3">
        <f t="shared" si="0"/>
        <v>1</v>
      </c>
      <c r="O19" s="18" t="str">
        <f t="shared" si="1"/>
        <v>Insuficiente</v>
      </c>
    </row>
    <row r="20" spans="13:15" x14ac:dyDescent="0.25">
      <c r="M20" t="s">
        <v>1645</v>
      </c>
      <c r="N20" s="3">
        <f t="shared" si="0"/>
        <v>1</v>
      </c>
      <c r="O20" s="18" t="str">
        <f t="shared" si="1"/>
        <v>Insuficiente</v>
      </c>
    </row>
    <row r="21" spans="13:15" x14ac:dyDescent="0.25">
      <c r="M21" t="s">
        <v>1658</v>
      </c>
      <c r="N21" s="3">
        <f t="shared" si="0"/>
        <v>2</v>
      </c>
      <c r="O21" s="18" t="str">
        <f t="shared" si="1"/>
        <v>Insuficiente</v>
      </c>
    </row>
    <row r="22" spans="13:15" x14ac:dyDescent="0.25">
      <c r="M22" t="s">
        <v>1659</v>
      </c>
      <c r="N22" s="3">
        <f t="shared" si="0"/>
        <v>3</v>
      </c>
      <c r="O22" s="18" t="str">
        <f t="shared" si="1"/>
        <v>Insuficiente</v>
      </c>
    </row>
    <row r="23" spans="13:15" x14ac:dyDescent="0.25">
      <c r="M23" t="s">
        <v>1656</v>
      </c>
      <c r="N23" s="3">
        <f t="shared" si="0"/>
        <v>2</v>
      </c>
      <c r="O23" s="18" t="str">
        <f t="shared" si="1"/>
        <v>Insuficiente</v>
      </c>
    </row>
    <row r="24" spans="13:15" x14ac:dyDescent="0.25">
      <c r="M24" t="s">
        <v>16</v>
      </c>
      <c r="N24" s="3">
        <f t="shared" si="0"/>
        <v>1</v>
      </c>
      <c r="O24" s="18" t="str">
        <f t="shared" si="1"/>
        <v>Insuficiente</v>
      </c>
    </row>
    <row r="25" spans="13:15" x14ac:dyDescent="0.25">
      <c r="M25" t="s">
        <v>17</v>
      </c>
      <c r="N25" s="3">
        <f t="shared" si="0"/>
        <v>1</v>
      </c>
      <c r="O25" s="18" t="str">
        <f t="shared" si="1"/>
        <v>Insuficiente</v>
      </c>
    </row>
    <row r="26" spans="13:15" x14ac:dyDescent="0.25">
      <c r="M26" t="s">
        <v>1638</v>
      </c>
      <c r="N26" s="3">
        <f t="shared" si="0"/>
        <v>8</v>
      </c>
      <c r="O26" s="18" t="str">
        <f t="shared" si="1"/>
        <v>Insuficiente</v>
      </c>
    </row>
    <row r="27" spans="13:15" x14ac:dyDescent="0.25">
      <c r="N27" s="3"/>
    </row>
  </sheetData>
  <sortState xmlns:xlrd2="http://schemas.microsoft.com/office/spreadsheetml/2017/richdata2" ref="M2:O26">
    <sortCondition ref="M2:M26"/>
  </sortState>
  <mergeCells count="1">
    <mergeCell ref="J1:K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EB1C-DCE3-4F2D-B794-A24A226AB0B1}">
  <dimension ref="A1:I23"/>
  <sheetViews>
    <sheetView workbookViewId="0">
      <selection activeCell="K27" sqref="K27"/>
    </sheetView>
  </sheetViews>
  <sheetFormatPr defaultRowHeight="15" x14ac:dyDescent="0.25"/>
  <cols>
    <col min="1" max="1" width="26.140625" bestFit="1" customWidth="1"/>
    <col min="2" max="6" width="4.140625" style="3" customWidth="1"/>
    <col min="7" max="7" width="13.85546875" bestFit="1" customWidth="1"/>
    <col min="8" max="8" width="9.42578125" style="5" bestFit="1" customWidth="1"/>
    <col min="9" max="9" width="10.5703125" bestFit="1" customWidth="1"/>
  </cols>
  <sheetData>
    <row r="1" spans="1:9" s="4" customFormat="1" x14ac:dyDescent="0.25">
      <c r="A1" s="4" t="s">
        <v>2021</v>
      </c>
      <c r="B1" s="28" t="s">
        <v>2092</v>
      </c>
      <c r="C1" s="28"/>
      <c r="D1" s="28"/>
      <c r="E1" s="28"/>
      <c r="F1" s="28"/>
      <c r="G1" s="4" t="s">
        <v>2072</v>
      </c>
      <c r="H1" s="4" t="s">
        <v>2067</v>
      </c>
      <c r="I1" s="4" t="s">
        <v>2071</v>
      </c>
    </row>
    <row r="2" spans="1:9" x14ac:dyDescent="0.25">
      <c r="A2" t="s">
        <v>2068</v>
      </c>
      <c r="B2" s="3" t="s">
        <v>2057</v>
      </c>
      <c r="C2" s="3" t="s">
        <v>2057</v>
      </c>
      <c r="D2" s="3" t="s">
        <v>2057</v>
      </c>
      <c r="E2" s="3" t="s">
        <v>2057</v>
      </c>
      <c r="F2" s="3" t="s">
        <v>2057</v>
      </c>
      <c r="G2" t="s">
        <v>2069</v>
      </c>
      <c r="H2" s="5" t="s">
        <v>803</v>
      </c>
      <c r="I2" t="s">
        <v>2074</v>
      </c>
    </row>
    <row r="3" spans="1:9" x14ac:dyDescent="0.25">
      <c r="A3" t="s">
        <v>2070</v>
      </c>
      <c r="B3" s="3" t="s">
        <v>2057</v>
      </c>
      <c r="C3" s="3" t="s">
        <v>2057</v>
      </c>
      <c r="D3" s="3" t="s">
        <v>2056</v>
      </c>
      <c r="E3" s="3" t="s">
        <v>2057</v>
      </c>
      <c r="F3" s="3" t="s">
        <v>2057</v>
      </c>
      <c r="G3" t="s">
        <v>2073</v>
      </c>
      <c r="H3" s="5" t="s">
        <v>36</v>
      </c>
      <c r="I3" t="s">
        <v>28</v>
      </c>
    </row>
    <row r="4" spans="1:9" x14ac:dyDescent="0.25">
      <c r="A4" t="s">
        <v>2075</v>
      </c>
      <c r="B4" s="3" t="s">
        <v>2057</v>
      </c>
      <c r="C4" s="3" t="s">
        <v>2057</v>
      </c>
      <c r="D4" s="3" t="s">
        <v>2057</v>
      </c>
      <c r="E4" s="3" t="s">
        <v>2057</v>
      </c>
      <c r="F4" s="3" t="s">
        <v>2056</v>
      </c>
      <c r="G4" t="s">
        <v>2076</v>
      </c>
      <c r="H4" s="5" t="s">
        <v>327</v>
      </c>
      <c r="I4" t="s">
        <v>331</v>
      </c>
    </row>
    <row r="5" spans="1:9" x14ac:dyDescent="0.25">
      <c r="A5" t="s">
        <v>2077</v>
      </c>
      <c r="B5" s="3" t="s">
        <v>2057</v>
      </c>
      <c r="C5" s="3" t="s">
        <v>2057</v>
      </c>
      <c r="D5" s="3" t="s">
        <v>2056</v>
      </c>
      <c r="E5" s="3" t="s">
        <v>2057</v>
      </c>
      <c r="F5" s="3" t="s">
        <v>2057</v>
      </c>
      <c r="G5" t="s">
        <v>2073</v>
      </c>
      <c r="H5" s="5" t="s">
        <v>34</v>
      </c>
      <c r="I5" t="s">
        <v>2078</v>
      </c>
    </row>
    <row r="6" spans="1:9" x14ac:dyDescent="0.25">
      <c r="A6" t="s">
        <v>2079</v>
      </c>
      <c r="B6" s="3" t="s">
        <v>2057</v>
      </c>
      <c r="C6" s="3" t="s">
        <v>2057</v>
      </c>
      <c r="D6" s="3" t="s">
        <v>2057</v>
      </c>
      <c r="E6" s="3" t="s">
        <v>2056</v>
      </c>
      <c r="F6" s="3" t="s">
        <v>2057</v>
      </c>
      <c r="G6" t="s">
        <v>2073</v>
      </c>
      <c r="H6" s="5" t="s">
        <v>803</v>
      </c>
      <c r="I6" t="s">
        <v>2080</v>
      </c>
    </row>
    <row r="7" spans="1:9" x14ac:dyDescent="0.25">
      <c r="A7" t="s">
        <v>2081</v>
      </c>
      <c r="B7" s="3" t="s">
        <v>2057</v>
      </c>
      <c r="C7" s="3" t="s">
        <v>2057</v>
      </c>
      <c r="D7" s="3" t="s">
        <v>2056</v>
      </c>
      <c r="E7" s="3" t="s">
        <v>2057</v>
      </c>
      <c r="F7" s="3" t="s">
        <v>2057</v>
      </c>
      <c r="G7" t="s">
        <v>2082</v>
      </c>
      <c r="H7" s="5" t="s">
        <v>2055</v>
      </c>
      <c r="I7" t="s">
        <v>1984</v>
      </c>
    </row>
    <row r="8" spans="1:9" x14ac:dyDescent="0.25">
      <c r="A8" t="s">
        <v>2083</v>
      </c>
      <c r="B8" s="3" t="s">
        <v>2057</v>
      </c>
      <c r="C8" s="3" t="s">
        <v>2057</v>
      </c>
      <c r="D8" s="3" t="s">
        <v>2056</v>
      </c>
      <c r="E8" s="3" t="s">
        <v>2057</v>
      </c>
      <c r="F8" s="3" t="s">
        <v>2057</v>
      </c>
      <c r="G8" t="s">
        <v>2084</v>
      </c>
      <c r="H8" s="5" t="s">
        <v>2055</v>
      </c>
      <c r="I8" t="s">
        <v>2078</v>
      </c>
    </row>
    <row r="9" spans="1:9" x14ac:dyDescent="0.25">
      <c r="A9" t="s">
        <v>2085</v>
      </c>
      <c r="B9" s="3" t="s">
        <v>2057</v>
      </c>
      <c r="C9" s="3" t="s">
        <v>2056</v>
      </c>
      <c r="D9" s="3" t="s">
        <v>2057</v>
      </c>
      <c r="E9" s="3" t="s">
        <v>2057</v>
      </c>
      <c r="F9" s="3" t="s">
        <v>2057</v>
      </c>
      <c r="G9" t="s">
        <v>2082</v>
      </c>
      <c r="H9" s="5" t="s">
        <v>42</v>
      </c>
      <c r="I9" t="s">
        <v>2086</v>
      </c>
    </row>
    <row r="10" spans="1:9" x14ac:dyDescent="0.25">
      <c r="A10" t="s">
        <v>2087</v>
      </c>
      <c r="B10" s="3" t="s">
        <v>2057</v>
      </c>
      <c r="C10" s="3" t="s">
        <v>2057</v>
      </c>
      <c r="D10" s="3" t="s">
        <v>2056</v>
      </c>
      <c r="E10" s="3" t="s">
        <v>2057</v>
      </c>
      <c r="F10" s="3" t="s">
        <v>2057</v>
      </c>
      <c r="G10" t="s">
        <v>2076</v>
      </c>
      <c r="H10" s="5" t="s">
        <v>36</v>
      </c>
      <c r="I10" t="s">
        <v>2080</v>
      </c>
    </row>
    <row r="11" spans="1:9" x14ac:dyDescent="0.25">
      <c r="A11" t="s">
        <v>2088</v>
      </c>
      <c r="B11" s="3" t="s">
        <v>2057</v>
      </c>
      <c r="C11" s="3" t="s">
        <v>2057</v>
      </c>
      <c r="D11" s="3" t="s">
        <v>2057</v>
      </c>
      <c r="E11" s="3" t="s">
        <v>2057</v>
      </c>
      <c r="F11" s="3" t="s">
        <v>2056</v>
      </c>
      <c r="G11" t="s">
        <v>2076</v>
      </c>
      <c r="H11" s="5" t="s">
        <v>327</v>
      </c>
      <c r="I11" t="s">
        <v>28</v>
      </c>
    </row>
    <row r="12" spans="1:9" x14ac:dyDescent="0.25">
      <c r="A12" t="s">
        <v>2089</v>
      </c>
      <c r="B12" s="3" t="s">
        <v>2056</v>
      </c>
      <c r="C12" s="3" t="s">
        <v>2057</v>
      </c>
      <c r="D12" s="3" t="s">
        <v>2057</v>
      </c>
      <c r="E12" s="3" t="s">
        <v>2057</v>
      </c>
      <c r="F12" s="3" t="s">
        <v>2057</v>
      </c>
      <c r="G12" t="s">
        <v>2082</v>
      </c>
      <c r="H12" s="5" t="s">
        <v>36</v>
      </c>
      <c r="I12" t="s">
        <v>2090</v>
      </c>
    </row>
    <row r="13" spans="1:9" x14ac:dyDescent="0.25">
      <c r="A13" t="s">
        <v>2091</v>
      </c>
      <c r="B13" s="3" t="s">
        <v>2057</v>
      </c>
      <c r="C13" s="3" t="s">
        <v>2057</v>
      </c>
      <c r="D13" s="3" t="s">
        <v>2057</v>
      </c>
      <c r="E13" s="3" t="s">
        <v>2057</v>
      </c>
      <c r="F13" s="3" t="s">
        <v>2056</v>
      </c>
      <c r="G13" t="s">
        <v>28</v>
      </c>
      <c r="H13" s="5" t="s">
        <v>59</v>
      </c>
      <c r="I13" t="s">
        <v>2080</v>
      </c>
    </row>
    <row r="14" spans="1:9" x14ac:dyDescent="0.25">
      <c r="A14" t="s">
        <v>2093</v>
      </c>
      <c r="B14" s="3" t="s">
        <v>2057</v>
      </c>
      <c r="C14" s="3" t="s">
        <v>2056</v>
      </c>
      <c r="D14" s="3" t="s">
        <v>2057</v>
      </c>
      <c r="E14" s="3" t="s">
        <v>2057</v>
      </c>
      <c r="F14" s="3" t="s">
        <v>2057</v>
      </c>
      <c r="G14" t="s">
        <v>2073</v>
      </c>
      <c r="H14" s="5" t="s">
        <v>327</v>
      </c>
      <c r="I14" t="s">
        <v>2074</v>
      </c>
    </row>
    <row r="15" spans="1:9" x14ac:dyDescent="0.25">
      <c r="A15" t="s">
        <v>2094</v>
      </c>
      <c r="B15" s="3" t="s">
        <v>2057</v>
      </c>
      <c r="C15" s="3" t="s">
        <v>2057</v>
      </c>
      <c r="D15" s="3" t="s">
        <v>2057</v>
      </c>
      <c r="E15" s="3" t="s">
        <v>2057</v>
      </c>
      <c r="F15" s="3" t="s">
        <v>2056</v>
      </c>
      <c r="G15" t="s">
        <v>2082</v>
      </c>
      <c r="H15" s="5" t="s">
        <v>59</v>
      </c>
      <c r="I15" t="s">
        <v>2080</v>
      </c>
    </row>
    <row r="16" spans="1:9" x14ac:dyDescent="0.25">
      <c r="A16" t="s">
        <v>2095</v>
      </c>
      <c r="B16" s="3" t="s">
        <v>2057</v>
      </c>
      <c r="C16" s="3" t="s">
        <v>2057</v>
      </c>
      <c r="D16" s="3" t="s">
        <v>2057</v>
      </c>
      <c r="E16" s="3" t="s">
        <v>2057</v>
      </c>
      <c r="F16" s="3" t="s">
        <v>2056</v>
      </c>
      <c r="G16" t="s">
        <v>2069</v>
      </c>
      <c r="H16" s="5" t="s">
        <v>327</v>
      </c>
      <c r="I16" t="s">
        <v>2080</v>
      </c>
    </row>
    <row r="17" spans="1:9" x14ac:dyDescent="0.25">
      <c r="A17" t="s">
        <v>2096</v>
      </c>
      <c r="B17" s="3" t="s">
        <v>2056</v>
      </c>
      <c r="C17" s="3" t="s">
        <v>2057</v>
      </c>
      <c r="D17" s="3" t="s">
        <v>2057</v>
      </c>
      <c r="E17" s="3" t="s">
        <v>2057</v>
      </c>
      <c r="F17" s="3" t="s">
        <v>2057</v>
      </c>
      <c r="G17" t="s">
        <v>2073</v>
      </c>
      <c r="H17" s="5" t="s">
        <v>803</v>
      </c>
      <c r="I17" t="s">
        <v>2080</v>
      </c>
    </row>
    <row r="18" spans="1:9" x14ac:dyDescent="0.25">
      <c r="A18" t="s">
        <v>2097</v>
      </c>
      <c r="B18" s="3" t="s">
        <v>2057</v>
      </c>
      <c r="C18" s="3" t="s">
        <v>2057</v>
      </c>
      <c r="D18" s="3" t="s">
        <v>2057</v>
      </c>
      <c r="E18" s="3" t="s">
        <v>2056</v>
      </c>
      <c r="F18" s="3" t="s">
        <v>2057</v>
      </c>
      <c r="G18" t="s">
        <v>2073</v>
      </c>
      <c r="H18" s="5" t="s">
        <v>2098</v>
      </c>
      <c r="I18" t="s">
        <v>2080</v>
      </c>
    </row>
    <row r="19" spans="1:9" x14ac:dyDescent="0.25">
      <c r="A19" t="s">
        <v>2099</v>
      </c>
      <c r="B19" s="3" t="s">
        <v>2057</v>
      </c>
      <c r="C19" s="3" t="s">
        <v>2057</v>
      </c>
      <c r="D19" s="3" t="s">
        <v>2057</v>
      </c>
      <c r="E19" s="3" t="s">
        <v>2057</v>
      </c>
      <c r="F19" s="3" t="s">
        <v>2056</v>
      </c>
      <c r="G19" t="s">
        <v>2084</v>
      </c>
      <c r="H19" s="5" t="s">
        <v>269</v>
      </c>
      <c r="I19" t="s">
        <v>2080</v>
      </c>
    </row>
    <row r="20" spans="1:9" x14ac:dyDescent="0.25">
      <c r="A20" t="s">
        <v>2100</v>
      </c>
      <c r="B20" s="3" t="s">
        <v>2057</v>
      </c>
      <c r="C20" s="3" t="s">
        <v>2057</v>
      </c>
      <c r="D20" s="3" t="s">
        <v>2057</v>
      </c>
      <c r="E20" s="3" t="s">
        <v>2056</v>
      </c>
      <c r="F20" s="3" t="s">
        <v>2057</v>
      </c>
      <c r="G20" t="s">
        <v>2084</v>
      </c>
      <c r="H20" s="5" t="s">
        <v>143</v>
      </c>
      <c r="I20" t="s">
        <v>2101</v>
      </c>
    </row>
    <row r="21" spans="1:9" x14ac:dyDescent="0.25">
      <c r="A21" t="s">
        <v>2102</v>
      </c>
      <c r="B21" s="3" t="s">
        <v>2057</v>
      </c>
      <c r="C21" s="3" t="s">
        <v>2057</v>
      </c>
      <c r="D21" s="3" t="s">
        <v>2057</v>
      </c>
      <c r="E21" s="3" t="s">
        <v>2057</v>
      </c>
      <c r="F21" s="3" t="s">
        <v>2057</v>
      </c>
      <c r="G21" t="s">
        <v>2069</v>
      </c>
      <c r="H21" s="5" t="s">
        <v>59</v>
      </c>
      <c r="I21" t="s">
        <v>44</v>
      </c>
    </row>
    <row r="22" spans="1:9" x14ac:dyDescent="0.25">
      <c r="A22" t="s">
        <v>2103</v>
      </c>
      <c r="B22" s="3" t="s">
        <v>2057</v>
      </c>
      <c r="C22" s="3" t="s">
        <v>2057</v>
      </c>
      <c r="D22" s="3" t="s">
        <v>2057</v>
      </c>
      <c r="E22" s="3" t="s">
        <v>2057</v>
      </c>
      <c r="F22" s="3" t="s">
        <v>2056</v>
      </c>
      <c r="G22" t="s">
        <v>2082</v>
      </c>
      <c r="H22" s="5" t="s">
        <v>35</v>
      </c>
      <c r="I22" t="s">
        <v>263</v>
      </c>
    </row>
    <row r="23" spans="1:9" x14ac:dyDescent="0.25">
      <c r="A23" t="s">
        <v>2104</v>
      </c>
      <c r="B23" s="3" t="s">
        <v>2057</v>
      </c>
      <c r="C23" s="3" t="s">
        <v>2057</v>
      </c>
      <c r="D23" s="3" t="s">
        <v>2056</v>
      </c>
      <c r="E23" s="3" t="s">
        <v>2057</v>
      </c>
      <c r="F23" s="3" t="s">
        <v>2057</v>
      </c>
      <c r="G23" t="s">
        <v>2073</v>
      </c>
      <c r="H23" s="5" t="s">
        <v>803</v>
      </c>
      <c r="I23" t="s">
        <v>2080</v>
      </c>
    </row>
  </sheetData>
  <mergeCells count="1">
    <mergeCell ref="B1:F1"/>
  </mergeCells>
  <conditionalFormatting sqref="B1:B1048576">
    <cfRule type="containsText" dxfId="72" priority="6" operator="containsText" text="Sim">
      <formula>NOT(ISERROR(SEARCH("Sim",B1)))</formula>
    </cfRule>
  </conditionalFormatting>
  <conditionalFormatting sqref="B1:F1048576 H5">
    <cfRule type="containsText" dxfId="71" priority="1" operator="containsText" text="Não">
      <formula>NOT(ISERROR(SEARCH("Não",B1)))</formula>
    </cfRule>
  </conditionalFormatting>
  <conditionalFormatting sqref="B2:F30 H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1048576">
    <cfRule type="containsText" dxfId="70" priority="5" operator="containsText" text="Sim">
      <formula>NOT(ISERROR(SEARCH("Sim",C1)))</formula>
    </cfRule>
  </conditionalFormatting>
  <conditionalFormatting sqref="D1:D1048576">
    <cfRule type="containsText" dxfId="69" priority="2" operator="containsText" text="Sim">
      <formula>NOT(ISERROR(SEARCH("Sim",D1)))</formula>
    </cfRule>
  </conditionalFormatting>
  <conditionalFormatting sqref="E1:E1048576">
    <cfRule type="containsText" dxfId="68" priority="3" operator="containsText" text="Sim">
      <formula>NOT(ISERROR(SEARCH("Sim",E1)))</formula>
    </cfRule>
  </conditionalFormatting>
  <conditionalFormatting sqref="F1:F1048576 H5">
    <cfRule type="containsText" dxfId="67" priority="4" operator="containsText" text="Sim">
      <formula>NOT(ISERROR(SEARCH("Sim",F1)))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5595-9915-4BE6-A12D-A938ACD47CCD}">
  <dimension ref="A1:CJ451"/>
  <sheetViews>
    <sheetView workbookViewId="0">
      <selection activeCell="G15" sqref="G15"/>
    </sheetView>
  </sheetViews>
  <sheetFormatPr defaultColWidth="9.140625" defaultRowHeight="15" x14ac:dyDescent="0.25"/>
  <cols>
    <col min="1" max="1" width="14.85546875" style="3" bestFit="1" customWidth="1"/>
    <col min="2" max="2" width="11.5703125" style="3" bestFit="1" customWidth="1"/>
    <col min="3" max="3" width="11.7109375" style="3" customWidth="1"/>
    <col min="4" max="6" width="11.7109375" style="3" hidden="1" customWidth="1"/>
    <col min="7" max="7" width="39.28515625" bestFit="1" customWidth="1"/>
    <col min="8" max="8" width="4.140625" style="8" customWidth="1"/>
    <col min="9" max="9" width="9.140625" customWidth="1"/>
    <col min="10" max="10" width="10.42578125" style="3" bestFit="1" customWidth="1"/>
    <col min="11" max="15" width="4.140625" style="3" customWidth="1"/>
    <col min="16" max="17" width="11.5703125" style="3" bestFit="1" customWidth="1"/>
    <col min="18" max="18" width="24.28515625" style="3" bestFit="1" customWidth="1"/>
    <col min="19" max="19" width="10.28515625" style="3" bestFit="1" customWidth="1"/>
    <col min="20" max="20" width="4.140625" style="8" customWidth="1"/>
    <col min="21" max="21" width="26.42578125" bestFit="1" customWidth="1"/>
    <col min="22" max="22" width="34" bestFit="1" customWidth="1"/>
    <col min="23" max="23" width="35.42578125" bestFit="1" customWidth="1"/>
    <col min="24" max="24" width="28.42578125" bestFit="1" customWidth="1"/>
    <col min="25" max="25" width="30.28515625" bestFit="1" customWidth="1"/>
    <col min="26" max="26" width="27.140625" bestFit="1" customWidth="1"/>
    <col min="27" max="27" width="25.5703125" bestFit="1" customWidth="1"/>
    <col min="28" max="28" width="28" bestFit="1" customWidth="1"/>
    <col min="29" max="29" width="25.140625" bestFit="1" customWidth="1"/>
    <col min="30" max="30" width="29.42578125" bestFit="1" customWidth="1"/>
    <col min="31" max="31" width="26.42578125" bestFit="1" customWidth="1"/>
    <col min="32" max="32" width="20.7109375" bestFit="1" customWidth="1"/>
    <col min="33" max="33" width="24.28515625" bestFit="1" customWidth="1"/>
    <col min="34" max="34" width="17.5703125" bestFit="1" customWidth="1"/>
    <col min="35" max="35" width="39.28515625" bestFit="1" customWidth="1"/>
    <col min="36" max="36" width="24.5703125" bestFit="1" customWidth="1"/>
    <col min="37" max="37" width="25.5703125" bestFit="1" customWidth="1"/>
    <col min="38" max="38" width="23.42578125" bestFit="1" customWidth="1"/>
    <col min="39" max="39" width="24.28515625" bestFit="1" customWidth="1"/>
    <col min="40" max="40" width="19.85546875" bestFit="1" customWidth="1"/>
    <col min="41" max="41" width="25.85546875" bestFit="1" customWidth="1"/>
    <col min="42" max="42" width="35.42578125" bestFit="1" customWidth="1"/>
    <col min="43" max="43" width="23.5703125" bestFit="1" customWidth="1"/>
    <col min="44" max="44" width="26.7109375" bestFit="1" customWidth="1"/>
    <col min="45" max="45" width="34.7109375" bestFit="1" customWidth="1"/>
    <col min="46" max="46" width="25.7109375" bestFit="1" customWidth="1"/>
    <col min="47" max="47" width="24.140625" bestFit="1" customWidth="1"/>
    <col min="48" max="48" width="16.85546875" bestFit="1" customWidth="1"/>
    <col min="49" max="49" width="8.5703125" bestFit="1" customWidth="1"/>
    <col min="50" max="50" width="30.28515625" bestFit="1" customWidth="1"/>
    <col min="51" max="52" width="8.42578125" bestFit="1" customWidth="1"/>
    <col min="53" max="53" width="4.140625" style="8" customWidth="1"/>
    <col min="54" max="66" width="9.140625" customWidth="1"/>
    <col min="67" max="67" width="8.7109375" customWidth="1"/>
    <col min="68" max="69" width="9.140625" customWidth="1"/>
    <col min="70" max="70" width="4.140625" style="8" customWidth="1"/>
    <col min="71" max="78" width="9.140625" customWidth="1"/>
    <col min="79" max="79" width="4.140625" style="8" customWidth="1"/>
    <col min="80" max="83" width="9.140625" customWidth="1"/>
    <col min="84" max="84" width="4.140625" style="8" customWidth="1"/>
    <col min="85" max="86" width="9.140625" customWidth="1"/>
    <col min="87" max="87" width="4.140625" style="8" customWidth="1"/>
    <col min="88" max="89" width="9.140625" customWidth="1"/>
  </cols>
  <sheetData>
    <row r="1" spans="1:88" s="4" customFormat="1" x14ac:dyDescent="0.25">
      <c r="A1" s="4" t="s">
        <v>2060</v>
      </c>
      <c r="B1" s="4" t="s">
        <v>2058</v>
      </c>
      <c r="C1" s="4" t="s">
        <v>1631</v>
      </c>
      <c r="D1" s="4" t="s">
        <v>1633</v>
      </c>
      <c r="E1" s="4" t="s">
        <v>1634</v>
      </c>
      <c r="F1" s="4" t="s">
        <v>1635</v>
      </c>
      <c r="G1" s="4" t="s">
        <v>2021</v>
      </c>
      <c r="H1" s="24"/>
      <c r="J1" s="4" t="s">
        <v>2053</v>
      </c>
      <c r="K1" s="28" t="s">
        <v>2054</v>
      </c>
      <c r="L1" s="28"/>
      <c r="M1" s="28"/>
      <c r="N1" s="28"/>
      <c r="O1" s="28"/>
      <c r="P1" s="4" t="str">
        <f>COUNTA(I3:I5000) &amp; " Decks"</f>
        <v>30 Decks</v>
      </c>
      <c r="Q1" s="3"/>
      <c r="T1" s="24"/>
      <c r="U1" s="23" t="s">
        <v>2001</v>
      </c>
      <c r="V1" s="23" t="s">
        <v>1531</v>
      </c>
      <c r="W1" s="23" t="s">
        <v>1660</v>
      </c>
      <c r="X1" s="23" t="s">
        <v>1808</v>
      </c>
      <c r="Y1" s="23" t="s">
        <v>19</v>
      </c>
      <c r="Z1" s="23" t="s">
        <v>1812</v>
      </c>
      <c r="AA1" s="23" t="s">
        <v>48</v>
      </c>
      <c r="AB1" s="23" t="s">
        <v>1638</v>
      </c>
      <c r="AC1" s="23" t="s">
        <v>2031</v>
      </c>
      <c r="AD1" s="23" t="s">
        <v>2022</v>
      </c>
      <c r="AE1" s="23" t="s">
        <v>12</v>
      </c>
      <c r="AF1" s="23" t="s">
        <v>2023</v>
      </c>
      <c r="AG1" s="23" t="s">
        <v>16</v>
      </c>
      <c r="AH1" s="23" t="s">
        <v>18</v>
      </c>
      <c r="AI1" s="23" t="s">
        <v>22</v>
      </c>
      <c r="AJ1" s="23" t="s">
        <v>46</v>
      </c>
      <c r="AK1" s="23" t="s">
        <v>8</v>
      </c>
      <c r="AL1" s="23" t="s">
        <v>9</v>
      </c>
      <c r="AM1" s="23" t="s">
        <v>10</v>
      </c>
      <c r="AN1" s="23" t="s">
        <v>11</v>
      </c>
      <c r="AO1" s="23" t="s">
        <v>13</v>
      </c>
      <c r="AP1" s="23" t="s">
        <v>20</v>
      </c>
      <c r="AQ1" s="23" t="s">
        <v>21</v>
      </c>
      <c r="AR1" s="23" t="s">
        <v>23</v>
      </c>
      <c r="AS1" s="23" t="s">
        <v>2030</v>
      </c>
      <c r="AT1" s="23" t="s">
        <v>14</v>
      </c>
      <c r="AU1" s="23" t="s">
        <v>15</v>
      </c>
      <c r="AV1" s="23" t="s">
        <v>17</v>
      </c>
      <c r="AW1" s="23" t="s">
        <v>2175</v>
      </c>
      <c r="AX1" s="23" t="s">
        <v>2155</v>
      </c>
      <c r="AY1" s="23" t="s">
        <v>2282</v>
      </c>
      <c r="AZ1" s="23" t="s">
        <v>2283</v>
      </c>
      <c r="BA1" s="24"/>
      <c r="BR1" s="24"/>
      <c r="CA1" s="24"/>
      <c r="CF1" s="24"/>
      <c r="CI1" s="24"/>
    </row>
    <row r="2" spans="1:88" x14ac:dyDescent="0.25">
      <c r="A2" s="3" t="str">
        <f ca="1">IFERROR(INDEX($S$3:$S$200, MATCH($C2, $I$3:$I$200, 0)), "")</f>
        <v>3</v>
      </c>
      <c r="B2" s="3">
        <f ca="1">COUNTIF(U:AX,G2)</f>
        <v>1</v>
      </c>
      <c r="C2" s="3" t="str">
        <f ca="1">IFERROR(
 INDEX($U$1:$AX$1,
  MATCH(TRUE,
   CHOOSE({1;2;3;4;5;6;7;8;9;10;11;12;13;14;15;16;17;18;19;20;21;22;23;24;25;26;27;28;29;30;31;32},
    COUNTIFS($U$2:$U$200,$G2)&gt;0,
    COUNTIFS($V$2:$V$200,$G2)&gt;0,
    COUNTIFS($W$2:$W$200,$G2)&gt;0,
    COUNTIFS($X$2:$X$200,$G2)&gt;0,
    COUNTIFS($Y$2:$Y$200,$G2)&gt;0,
    COUNTIFS($Z$2:$Z$200,$G2)&gt;0,
    COUNTIFS($AA$2:$AA$200,$G2)&gt;0,
    COUNTIFS($AB$2:$AB$200,$G2)&gt;0,
    COUNTIFS($AC$2:$AC$200,$G2)&gt;0,
    COUNTIFS($AD$2:$AD$200,$G2)&gt;0,
    COUNTIFS($AE$2:$AE$200,$G2)&gt;0,
    COUNTIFS($AF$2:$AF$200,$G2)&gt;0,
    COUNTIFS($AG$2:$AG$200,$G2)&gt;0,
    COUNTIFS($AH$2:$AH$200,$G2)&gt;0,
    COUNTIFS($AI$2:$AI$200,$G2)&gt;0,
    COUNTIFS($AJ$2:$AJ$200,$G2)&gt;0,
    COUNTIFS($AK$2:$AK$200,$G2)&gt;0,
    COUNTIFS($AL$2:$AL$200,$G2)&gt;0,
    COUNTIFS($AM$2:$AM$200,$G2)&gt;0,
    COUNTIFS($AN$2:$AN$200,$G2)&gt;0,
    COUNTIFS($AO$2:$AO$200,$G2)&gt;0,
    COUNTIFS($AP$2:$AP$200,$G2)&gt;0,
    COUNTIFS($AQ$2:$AQ$200,$G2)&gt;0,
    COUNTIFS($AR$2:$AR$200,$G2)&gt;0,
    COUNTIFS($AS$2:$AS$200,$G2)&gt;0,
    COUNTIFS($AT$2:$AT$200,$G2)&gt;0,
    COUNTIFS($AU$2:$AU$200,$G2)&gt;0,
    COUNTIFS($AV$2:$AV$200,$G2)&gt;0,
    COUNTIFS($AW$2:$AW$200,$G2)&gt;0,
    COUNTIFS($AX$2:$AX$200,$G2)&gt;0
   ),
  0)
 ),
"")</f>
        <v>Muzzio</v>
      </c>
      <c r="D2" s="3" t="str" cm="1">
        <f t="array" aca="1" ref="D2" ca="1">IFERROR(
 INDEX(
  _xlfn._xlws.FILTER($U$1:$AX$1,
   TRANSPOSE(
    CHOOSE({1;2;3;4;5;6;7;8;9;10;11;12;13;14;15;16;17;18;19;20;21;22;23;24;25;26;27;28;29;30},
     COUNTIFS($U$2:$U$200,$G2)&gt;0,
     COUNTIFS($V$2:$V$200,$G2)&gt;0,
     COUNTIFS($W$2:$W$200,$G2)&gt;0,
     COUNTIFS($X$2:$X$200,$G2)&gt;0,
     COUNTIFS($Y$2:$Y$200,$G2)&gt;0,
     COUNTIFS($Z$2:$Z$200,$G2)&gt;0,
     COUNTIFS($AA$2:$AA$200,$G2)&gt;0,
     COUNTIFS($AB$2:$AB$200,$G2)&gt;0,
     COUNTIFS($AC$2:$AC$200,$G2)&gt;0,
     COUNTIFS($AD$2:$AD$200,$G2)&gt;0,
     COUNTIFS($AE$2:$AE$200,$G2)&gt;0,
     COUNTIFS($AF$2:$AF$200,$G2)&gt;0,
     COUNTIFS($AG$2:$AG$200,$G2)&gt;0,
     COUNTIFS($AH$2:$AH$200,$G2)&gt;0,
     COUNTIFS($AI$2:$AI$200,$G2)&gt;0,
     COUNTIFS($AJ$2:$AJ$200,$G2)&gt;0,
     COUNTIFS($AK$2:$AK$200,$G2)&gt;0,
     COUNTIFS($AL$2:$AL$200,$G2)&gt;0,
     COUNTIFS($AM$2:$AM$200,$G2)&gt;0,
     COUNTIFS($AN$2:$AN$200,$G2)&gt;0,
     COUNTIFS($AO$2:$AO$200,$G2)&gt;0,
     COUNTIFS($AP$2:$AP$200,$G2)&gt;0,
     COUNTIFS($AQ$2:$AQ$200,$G2)&gt;0,
     COUNTIFS($AR$2:$AR$200,$G2)&gt;0,
     COUNTIFS($AS$2:$AS$200,$G2)&gt;0,
     COUNTIFS($AT$2:$AT$200,$G2)&gt;0,
     COUNTIFS($AU$2:$AU$200,$G2)&gt;0,
     COUNTIFS($AV$2:$AV$200,$G2)&gt;0,
     COUNTIFS($AW$2:$AW$200,$G2)&gt;0,
     COUNTIFS($AX$2:$AX$200,$G2)&gt;0
   )),
  ),
  2
 ),
"")</f>
        <v/>
      </c>
      <c r="E2" s="3" t="str" cm="1">
        <f t="array" aca="1" ref="E2" ca="1">IFERROR(
 INDEX(
  _xlfn._xlws.FILTER($U$1:$AX$1,
   TRANSPOSE(
    CHOOSE({1;2;3;4;5;6;7;8;9;10;11;12;13;14;15;16;17;18;19;20;21;22;23;24;25;26;27;28;29;30},
     COUNTIFS($U$2:$U$200,$G2)&gt;0,
     COUNTIFS($V$2:$V$200,$G2)&gt;0,
     COUNTIFS($W$2:$W$200,$G2)&gt;0,
     COUNTIFS($X$2:$X$200,$G2)&gt;0,
     COUNTIFS($Y$2:$Y$200,$G2)&gt;0,
     COUNTIFS($Z$2:$Z$200,$G2)&gt;0,
     COUNTIFS($AA$2:$AA$200,$G2)&gt;0,
     COUNTIFS($AB$2:$AB$200,$G2)&gt;0,
     COUNTIFS($AC$2:$AC$200,$G2)&gt;0,
     COUNTIFS($AD$2:$AD$200,$G2)&gt;0,
     COUNTIFS($AE$2:$AE$200,$G2)&gt;0,
     COUNTIFS($AF$2:$AF$200,$G2)&gt;0,
     COUNTIFS($AG$2:$AG$200,$G2)&gt;0,
     COUNTIFS($AH$2:$AH$200,$G2)&gt;0,
     COUNTIFS($AI$2:$AI$200,$G2)&gt;0,
     COUNTIFS($AJ$2:$AJ$200,$G2)&gt;0,
     COUNTIFS($AK$2:$AK$200,$G2)&gt;0,
     COUNTIFS($AL$2:$AL$200,$G2)&gt;0,
     COUNTIFS($AM$2:$AM$200,$G2)&gt;0,
     COUNTIFS($AN$2:$AN$200,$G2)&gt;0,
     COUNTIFS($AO$2:$AO$200,$G2)&gt;0,
     COUNTIFS($AP$2:$AP$200,$G2)&gt;0,
     COUNTIFS($AQ$2:$AQ$200,$G2)&gt;0,
     COUNTIFS($AR$2:$AR$200,$G2)&gt;0,
     COUNTIFS($AS$2:$AS$200,$G2)&gt;0,
     COUNTIFS($AT$2:$AT$200,$G2)&gt;0,
     COUNTIFS($AU$2:$AU$200,$G2)&gt;0,
     COUNTIFS($AV$2:$AV$200,$G2)&gt;0,
     COUNTIFS($AW$2:$AW$200,$G2)&gt;0,
     COUNTIFS($AX$2:$AX$200,$G2)&gt;0
   )),
  ),
  3
 ),
"")</f>
        <v/>
      </c>
      <c r="F2" s="3" t="str" cm="1">
        <f t="array" aca="1" ref="F2" ca="1">IFERROR(
 INDEX(
  _xlfn._xlws.FILTER($U$1:$AX$1,
   TRANSPOSE(
    CHOOSE({1;2;3;4;5;6;7;8;9;10;11;12;13;14;15;16;17;18;19;20;21;22;23;24;25;26;27;28;29;30},
     COUNTIFS($U$2:$U$200,$G2)&gt;0,
     COUNTIFS($V$2:$V$200,$G2)&gt;0,
     COUNTIFS($W$2:$W$200,$G2)&gt;0,
     COUNTIFS($X$2:$X$200,$G2)&gt;0,
     COUNTIFS($Y$2:$Y$200,$G2)&gt;0,
     COUNTIFS($Z$2:$Z$200,$G2)&gt;0,
     COUNTIFS($AA$2:$AA$200,$G2)&gt;0,
     COUNTIFS($AB$2:$AB$200,$G2)&gt;0,
     COUNTIFS($AC$2:$AC$200,$G2)&gt;0,
     COUNTIFS($AD$2:$AD$200,$G2)&gt;0,
     COUNTIFS($AE$2:$AE$200,$G2)&gt;0,
     COUNTIFS($AF$2:$AF$200,$G2)&gt;0,
     COUNTIFS($AG$2:$AG$200,$G2)&gt;0,
     COUNTIFS($AH$2:$AH$200,$G2)&gt;0,
     COUNTIFS($AI$2:$AI$200,$G2)&gt;0,
     COUNTIFS($AJ$2:$AJ$200,$G2)&gt;0,
     COUNTIFS($AK$2:$AK$200,$G2)&gt;0,
     COUNTIFS($AL$2:$AL$200,$G2)&gt;0,
     COUNTIFS($AM$2:$AM$200,$G2)&gt;0,
     COUNTIFS($AN$2:$AN$200,$G2)&gt;0,
     COUNTIFS($AO$2:$AO$200,$G2)&gt;0,
     COUNTIFS($AP$2:$AP$200,$G2)&gt;0,
     COUNTIFS($AQ$2:$AQ$200,$G2)&gt;0,
     COUNTIFS($AR$2:$AR$200,$G2)&gt;0,
     COUNTIFS($AS$2:$AS$200,$G2)&gt;0,
     COUNTIFS($AT$2:$AT$200,$G2)&gt;0,
     COUNTIFS($AU$2:$AU$200,$G2)&gt;0,
     COUNTIFS($AV$2:$AV$200,$G2)&gt;0,
     COUNTIFS($AW$2:$AW$200,$G2)&gt;0,
     COUNTIFS($AX$2:$AX$200,$G2)&gt;0
   )),
  ),
  4
 ),
"")</f>
        <v/>
      </c>
      <c r="G2" t="str" cm="1">
        <f t="array" aca="1" ref="G2:G340" ca="1">IF(COUNTA(_xlfn.ANCHORARRAY($CJ$2))=0,"",_xlfn._xlws.SORT(_xlfn.UNIQUE(_xlfn.ANCHORARRAY($CJ$2)),1,1))</f>
        <v>A Joia do Enigma</v>
      </c>
      <c r="I2" t="s">
        <v>2059</v>
      </c>
      <c r="J2" s="3">
        <f>SUM(J3:J30)</f>
        <v>327</v>
      </c>
      <c r="K2" s="3">
        <f>COUNTIF(K3:K5000,"Sim")</f>
        <v>16</v>
      </c>
      <c r="L2" s="3">
        <f>COUNTIF(L3:L5000,"Sim")</f>
        <v>22</v>
      </c>
      <c r="M2" s="3">
        <f>COUNTIF(M3:M5000,"Sim")</f>
        <v>17</v>
      </c>
      <c r="N2" s="3">
        <f>COUNTIF(N3:N5000,"Sim")</f>
        <v>17</v>
      </c>
      <c r="O2" s="3">
        <f>COUNTIF(O3:O5000,"Sim")</f>
        <v>14</v>
      </c>
      <c r="P2" s="4" t="s">
        <v>2055</v>
      </c>
      <c r="Q2" s="4" t="s">
        <v>2108</v>
      </c>
      <c r="R2" s="4" t="s">
        <v>2112</v>
      </c>
      <c r="S2" s="4" t="s">
        <v>2060</v>
      </c>
      <c r="U2" t="str" cm="1">
        <f t="array" ref="U2:U18">IF(COUNTA(_xlfn._xlws.FILTER(Piratas!C3:C200,(Piratas!B3:B200&lt;&gt;Piratas!C3:C200)*(Piratas!C3:C200&lt;&gt;"")))=0,"",_xlfn._xlws.SORT(_xlfn._xlws.FILTER(Piratas!C3:C200,(Piratas!B3:B200&lt;&gt;Piratas!C3:C200)*(Piratas!C3:C200&lt;&gt;"")),1,1))</f>
        <v>Back in Town</v>
      </c>
      <c r="V2" t="str" cm="1">
        <f t="array" ref="V2:V28">IF(COUNTA(_xlfn._xlws.FILTER(Baylen!C3:C200,(Baylen!B3:B200&lt;&gt;Baylen!C3:C200)*(Baylen!C3:C200&lt;&gt;"")))=0,"",_xlfn._xlws.SORT(_xlfn._xlws.FILTER(Baylen!C3:C200,(Baylen!B3:B200&lt;&gt;Baylen!C3:C200)*(Baylen!C3:C200&lt;&gt;"")),1,1))</f>
        <v>Artifact Mutation</v>
      </c>
      <c r="W2" t="str" cm="1">
        <f t="array" ref="W2:W30">IF(COUNTA(_xlfn._xlws.FILTER(Narset!C3:C200,(Narset!B3:B200&lt;&gt;Narset!C3:C200)*(Narset!C3:C200&lt;&gt;"")))=0,"",_xlfn._xlws.SORT(_xlfn._xlws.FILTER(Narset!C3:C200,(Narset!B3:B200&lt;&gt;Narset!C3:C200)*(Narset!C3:C200&lt;&gt;"")),1,1))</f>
        <v>Adarkar Wastes</v>
      </c>
      <c r="X2" t="str" cm="1">
        <f t="array" ref="X2:X33">IF(COUNTA(_xlfn._xlws.FILTER(Tayam!C3:C200,(Tayam!B3:B200&lt;&gt;Tayam!C3:C200)*(Tayam!C3:C200&lt;&gt;"")))=0,"",_xlfn._xlws.SORT(_xlfn._xlws.FILTER(Tayam!C3:C200,(Tayam!B3:B200&lt;&gt;Tayam!C3:C200)*(Tayam!C3:C200&lt;&gt;"")),1,1))</f>
        <v>Ardbert, Warrior of Darkness</v>
      </c>
      <c r="Y2" t="str" cm="1">
        <f t="array" ref="Y2:Y15">IF(COUNTA(_xlfn._xlws.FILTER(Carlos!C3:C200,(Carlos!B3:B200&lt;&gt;Carlos!C3:C200)*(Carlos!C3:C200&lt;&gt;"")))=0,"",_xlfn._xlws.SORT(_xlfn._xlws.FILTER(Carlos!C3:C200,(Carlos!B3:B200&lt;&gt;Carlos!C3:C200)*(Carlos!C3:C200&lt;&gt;"")),1,1))</f>
        <v>Ascensão do Avernus</v>
      </c>
      <c r="Z2" t="str" cm="1">
        <f t="array" ref="Z2:Z22">IF(COUNTA(_xlfn._xlws.FILTER(Rani!C3:C200,(Rani!B3:B200&lt;&gt;Rani!C3:C200)*(Rani!C3:C200&lt;&gt;"")))=0,"",_xlfn._xlws.SORT(_xlfn._xlws.FILTER(Rani!C3:C200,(Rani!B3:B200&lt;&gt;Rani!C3:C200)*(Rani!C3:C200&lt;&gt;"")),1,1))</f>
        <v>Access Tunnel</v>
      </c>
      <c r="AA2" t="str" cm="1">
        <f t="array" ref="AA2:AA22">IF(COUNTA(_xlfn._xlws.FILTER(Kumena!C3:C200,(Kumena!B3:B200&lt;&gt;Kumena!C3:C200)*(Kumena!C3:C200&lt;&gt;"")))=0,"",_xlfn._xlws.SORT(_xlfn._xlws.FILTER(Kumena!C3:C200,(Kumena!B3:B200&lt;&gt;Kumena!C3:C200)*(Kumena!C3:C200&lt;&gt;"")),1,1))</f>
        <v>Beast Within</v>
      </c>
      <c r="AB2" t="str" cm="1">
        <f t="array" ref="AB2:AB12">IF(COUNTA(_xlfn._xlws.FILTER(Zimone!C3:C200,(Zimone!B3:B200&lt;&gt;Zimone!C3:C200)*(Zimone!C3:C200&lt;&gt;"")))=0,"",_xlfn._xlws.SORT(_xlfn._xlws.FILTER(Zimone!C3:C200,(Zimone!B3:B200&lt;&gt;Zimone!C3:C200)*(Zimone!C3:C200&lt;&gt;"")),1,1))</f>
        <v>Ancient Greenwarden</v>
      </c>
      <c r="AC2" t="str" cm="1">
        <f t="array" ref="AC2:AC13">IF(COUNTA(_xlfn._xlws.FILTER(JhoiraB!C3:C200,(JhoiraB!B3:B200&lt;&gt;JhoiraB!C3:C200)*(JhoiraB!C3:C200&lt;&gt;"")))=0,"",_xlfn._xlws.SORT(_xlfn._xlws.FILTER(JhoiraB!C3:C200,(JhoiraB!B3:B200&lt;&gt;JhoiraB!C3:C200)*(JhoiraB!C3:C200&lt;&gt;"")),1,1))</f>
        <v>Emrakul, um Novo Mundo</v>
      </c>
      <c r="AD2" t="str" cm="1">
        <f t="array" ref="AD2:AD12">IF(COUNTA(_xlfn._xlws.FILTER(Gitrog!C3:C200,(Gitrog!B3:B200&lt;&gt;Gitrog!C3:C200)*(Gitrog!C3:C200&lt;&gt;"")))=0,"",_xlfn._xlws.SORT(_xlfn._xlws.FILTER(Gitrog!C3:C200,(Gitrog!B3:B200&lt;&gt;Gitrog!C3:C200)*(Gitrog!C3:C200&lt;&gt;"")),1,1))</f>
        <v>Ancient Tomb</v>
      </c>
      <c r="AE2" t="str" cm="1">
        <f t="array" ref="AE2:AE12">IF(COUNTA(_xlfn._xlws.FILTER(Muzzio!C3:C200,(Muzzio!B3:B200&lt;&gt;Muzzio!C3:C200)*(Muzzio!C3:C200&lt;&gt;"")))=0,"",_xlfn._xlws.SORT(_xlfn._xlws.FILTER(Muzzio!C3:C200,(Muzzio!B3:B200&lt;&gt;Muzzio!C3:C200)*(Muzzio!C3:C200&lt;&gt;"")),1,1))</f>
        <v>A Joia do Enigma</v>
      </c>
      <c r="AF2" t="str" cm="1">
        <f t="array" ref="AF2:AF10">IF(COUNTA(_xlfn._xlws.FILTER(VialIshai!C3:C200,(VialIshai!B3:B200&lt;&gt;VialIshai!C3:C200)*(VialIshai!C3:C200&lt;&gt;"")))=0,"",_xlfn._xlws.SORT(_xlfn._xlws.FILTER(VialIshai!C3:C200,(VialIshai!B3:B200&lt;&gt;VialIshai!C3:C200)*(VialIshai!C3:C200&lt;&gt;"")),1,1))</f>
        <v>Amphibian Downpour</v>
      </c>
      <c r="AG2" t="str" cm="1">
        <f t="array" ref="AG2:AG13">IF(COUNTA(_xlfn._xlws.FILTER(Yuriko!C3:C200,(Yuriko!B3:B200&lt;&gt;Yuriko!C3:C200)*(Yuriko!C3:C200&lt;&gt;"")))=0,"",_xlfn._xlws.SORT(_xlfn._xlws.FILTER(Yuriko!C3:C200,(Yuriko!B3:B200&lt;&gt;Yuriko!C3:C200)*(Yuriko!C3:C200&lt;&gt;"")),1,1))</f>
        <v>Creeping Tar Pit</v>
      </c>
      <c r="AH2" t="str" cm="1">
        <f t="array" ref="AH2:AH11">IF(COUNTA(_xlfn._xlws.FILTER(Inalla!C3:C200,(Inalla!B3:B200&lt;&gt;Inalla!C3:C200)*(Inalla!C3:C200&lt;&gt;"")))=0,"",_xlfn._xlws.SORT(_xlfn._xlws.FILTER(Inalla!C3:C200,(Inalla!B3:B200&lt;&gt;Inalla!C3:C200)*(Inalla!C3:C200&lt;&gt;"")),1,1))</f>
        <v>Arcane Lighthouse</v>
      </c>
      <c r="AI2" t="str" cm="1">
        <f t="array" ref="AI2:AI13">IF(COUNTA(_xlfn._xlws.FILTER(Akiri!C3:C200,(Akiri!B3:B200&lt;&gt;Akiri!C3:C200)*(Akiri!C3:C200&lt;&gt;"")))=0,"",_xlfn._xlws.SORT(_xlfn._xlws.FILTER(Akiri!C3:C200,(Akiri!B3:B200&lt;&gt;Akiri!C3:C200)*(Akiri!C3:C200&lt;&gt;"")),1,1))</f>
        <v>Cid, Freeflier Pilot</v>
      </c>
      <c r="AJ2" t="str" cm="1">
        <f t="array" ref="AJ2:AJ12">IF(COUNTA(_xlfn._xlws.FILTER(Sisay!C3:C200,(Sisay!B3:B200&lt;&gt;Sisay!C3:C200)*(Sisay!C3:C200&lt;&gt;"")))=0,"",_xlfn._xlws.SORT(_xlfn._xlws.FILTER(Sisay!C3:C200,(Sisay!B3:B200&lt;&gt;Sisay!C3:C200)*(Sisay!C3:C200&lt;&gt;"")),1,1))</f>
        <v>Commodore Guff</v>
      </c>
      <c r="AK2" t="str" cm="1">
        <f t="array" ref="AK2:AK5">IF(COUNTA(_xlfn._xlws.FILTER(Thrakiri!C3:C200,(Thrakiri!B3:B200&lt;&gt;Thrakiri!C3:C200)*(Thrakiri!C3:C200&lt;&gt;"")))=0,"",_xlfn._xlws.SORT(_xlfn._xlws.FILTER(Thrakiri!C3:C200,(Thrakiri!B3:B200&lt;&gt;Thrakiri!C3:C200)*(Thrakiri!C3:C200&lt;&gt;"")),1,1))</f>
        <v>Matoya, Archon Elder</v>
      </c>
      <c r="AL2" t="str" cm="1">
        <f t="array" ref="AL2:AL10">IF(COUNTA(_xlfn._xlws.FILTER(Elfos!C3:C200,(Elfos!B3:B200&lt;&gt;Elfos!C3:C200)*(Elfos!C3:C200&lt;&gt;"")))=0,"",_xlfn._xlws.SORT(_xlfn._xlws.FILTER(Elfos!C3:C200,(Elfos!B3:B200&lt;&gt;Elfos!C3:C200)*(Elfos!C3:C200&lt;&gt;"")),1,1))</f>
        <v>Alchemist's Refuge</v>
      </c>
      <c r="AM2" t="str" cm="1">
        <f t="array" ref="AM2:AM6">IF(COUNTA(_xlfn._xlws.FILTER(Jhoira!C3:C200,(Jhoira!B3:B200&lt;&gt;Jhoira!C3:C200)*(Jhoira!C3:C200&lt;&gt;"")))=0,"",_xlfn._xlws.SORT(_xlfn._xlws.FILTER(Jhoira!C3:C200,(Jhoira!B3:B200&lt;&gt;Jhoira!C3:C200)*(Jhoira!C3:C200&lt;&gt;"")),1,1))</f>
        <v>Emrakul, um Novo Mundo</v>
      </c>
      <c r="AN2" t="str" cm="1">
        <f t="array" ref="AN2:AN9">IF(COUNTA(_xlfn._xlws.FILTER(Fractius!C3:C200,(Fractius!B3:B200&lt;&gt;Fractius!C3:C200)*(Fractius!C3:C200&lt;&gt;"")))=0,"",_xlfn._xlws.SORT(_xlfn._xlws.FILTER(Fractius!C3:C200,(Fractius!B3:B200&lt;&gt;Fractius!C3:C200)*(Fractius!C3:C200&lt;&gt;"")),1,1))</f>
        <v>Caverna das Almas</v>
      </c>
      <c r="AO2" t="str" cm="1">
        <f t="array" ref="AO2:AO8">IF(COUNTA(_xlfn._xlws.FILTER(Rielle!C3:C200,(Rielle!B3:B200&lt;&gt;Rielle!C3:C200)*(Rielle!C3:C200&lt;&gt;"")))=0,"",_xlfn._xlws.SORT(_xlfn._xlws.FILTER(Rielle!C3:C200,(Rielle!B3:B200&lt;&gt;Rielle!C3:C200)*(Rielle!C3:C200&lt;&gt;"")),1,1))</f>
        <v>Afundar em Estupor</v>
      </c>
      <c r="AP2" t="str" cm="1">
        <f t="array" ref="AP2:AP8">IF(COUNTA(_xlfn._xlws.FILTER(Oona!C3:C200,(Oona!B3:B200&lt;&gt;Oona!C3:C200)*(Oona!C3:C200&lt;&gt;"")))=0,"",_xlfn._xlws.SORT(_xlfn._xlws.FILTER(Oona!C3:C200,(Oona!B3:B200&lt;&gt;Oona!C3:C200)*(Oona!C3:C200&lt;&gt;"")),1,1))</f>
        <v>Invasion of Segovia</v>
      </c>
      <c r="AQ2" t="str" cm="1">
        <f t="array" ref="AQ2:AQ10">IF(COUNTA(_xlfn._xlws.FILTER(Kresh!C3:C200,(Kresh!B3:B200&lt;&gt;Kresh!C3:C200)*(Kresh!C3:C200&lt;&gt;"")))=0,"",_xlfn._xlws.SORT(_xlfn._xlws.FILTER(Kresh!C3:C200,(Kresh!B3:B200&lt;&gt;Kresh!C3:C200)*(Kresh!C3:C200&lt;&gt;"")),1,1))</f>
        <v>Bugenhagen, Wise Elder</v>
      </c>
      <c r="AR2" t="str" cm="1">
        <f t="array" ref="AR2:AR4">IF(COUNTA(_xlfn._xlws.FILTER(Breya!C3:C200,(Breya!B3:B200&lt;&gt;Breya!C3:C200)*(Breya!C3:C200&lt;&gt;"")))=0,"",_xlfn._xlws.SORT(_xlfn._xlws.FILTER(Breya!C3:C200,(Breya!B3:B200&lt;&gt;Breya!C3:C200)*(Breya!C3:C200&lt;&gt;"")),1,1))</f>
        <v>Adagia, Windswept Bastion</v>
      </c>
      <c r="AS2" t="str" cm="1">
        <f t="array" ref="AS2:AS7">IF(COUNTA(_xlfn._xlws.FILTER(OWA!C3:C200,(OWA!B3:B200&lt;&gt;OWA!C3:C200)*(OWA!C3:C200&lt;&gt;"")))=0,"",_xlfn._xlws.SORT(_xlfn._xlws.FILTER(OWA!C3:C200,(OWA!B3:B200&lt;&gt;OWA!C3:C200)*(OWA!C3:C200&lt;&gt;"")),1,1))</f>
        <v>Dollmaker's Shop // Porcelain Gallery</v>
      </c>
      <c r="AT2" t="str" cm="1">
        <f t="array" ref="AT2:AT6">IF(COUNTA(_xlfn._xlws.FILTER(Alela!C3:C200,(Alela!B3:B200&lt;&gt;Alela!C3:C200)*(Alela!C3:C200&lt;&gt;"")))=0,"",_xlfn._xlws.SORT(_xlfn._xlws.FILTER(Alela!C3:C200,(Alela!B3:B200&lt;&gt;Alela!C3:C200)*(Alela!C3:C200&lt;&gt;"")),1,1))</f>
        <v>Adagia, Windswept Bastion</v>
      </c>
      <c r="AU2" t="str" cm="1">
        <f t="array" ref="AU2:AU3">IF(COUNTA(_xlfn._xlws.FILTER(Arcades!C3:C200,(Arcades!B3:B200&lt;&gt;Arcades!C3:C200)*(Arcades!C3:C200&lt;&gt;"")))=0,"",_xlfn._xlws.SORT(_xlfn._xlws.FILTER(Arcades!C3:C200,(Arcades!B3:B200&lt;&gt;Arcades!C3:C200)*(Arcades!C3:C200&lt;&gt;"")),1,1))</f>
        <v>Alchemist's Refuge</v>
      </c>
      <c r="AV2" t="str" cm="1">
        <f t="array" ref="AV2:AV4">IF(COUNTA(_xlfn._xlws.FILTER(Zedruu!C3:C200,(Zedruu!B3:B200&lt;&gt;Zedruu!C3:C200)*(Zedruu!C3:C200&lt;&gt;"")))=0,"",_xlfn._xlws.SORT(_xlfn._xlws.FILTER(Zedruu!C3:C200,(Zedruu!B3:B200&lt;&gt;Zedruu!C3:C200)*(Zedruu!C3:C200&lt;&gt;"")),1,1))</f>
        <v>Árbitro Silencioso</v>
      </c>
      <c r="AW2" t="e" cm="1" vm="1">
        <f t="array" ref="AW2">IF(COUNTA(_xlfn._xlws.FILTER(Exaltado!C3:C200,(Exaltado!B3:B200&lt;&gt;Exaltado!C3:C200)*(Exaltado!C3:C200&lt;&gt;"")))=0,"",_xlfn._xlws.SORT(_xlfn._xlws.FILTER(Exaltado!C3:C200,(Exaltado!B3:B200&lt;&gt;Exaltado!C3:C200)*(Exaltado!C3:C200&lt;&gt;"")),1,1))</f>
        <v>#VALUE!</v>
      </c>
      <c r="AX2" t="str" cm="1">
        <f t="array" ref="AX2:AX44">IF(COUNTA(_xlfn._xlws.FILTER(Modular!C3:C200,(Modular!B3:B200&lt;&gt;Modular!C3:C200)*(Modular!C3:C200&lt;&gt;"")))=0,"",_xlfn._xlws.SORT(_xlfn._xlws.FILTER(Modular!C3:C200,(Modular!B3:B200&lt;&gt;Modular!C3:C200)*(Modular!C3:C200&lt;&gt;"")),1,1))</f>
        <v>Adagia, Windswept Bastion</v>
      </c>
      <c r="BB2" t="str" cm="1">
        <f t="array" aca="1" ref="BB2:BB45" ca="1">IF(COUNTA(_xlfn.ANCHORARRAY($U$2))+COUNTA(_xlfn.ANCHORARRAY($V$2))=0,"",_xlfn._xlws.SORT(_xlfn.UNIQUE(IF(ROW(INDIRECT("1:"&amp;(COUNTA(_xlfn.ANCHORARRAY($U$2))+COUNTA(_xlfn.ANCHORARRAY($V$2)))))&lt;=COUNTA(_xlfn.ANCHORARRAY($U$2)),INDEX(_xlfn.ANCHORARRAY($U$2),ROW(INDIRECT("1:"&amp;(COUNTA(_xlfn.ANCHORARRAY($U$2))+COUNTA(_xlfn.ANCHORARRAY($V$2)))))),INDEX(_xlfn.ANCHORARRAY($V$2),ROW(INDIRECT("1:"&amp;(COUNTA(_xlfn.ANCHORARRAY($U$2))+COUNTA(_xlfn.ANCHORARRAY($V$2)))))-COUNTA(_xlfn.ANCHORARRAY($U$2))))),1,1))</f>
        <v>Artifact Mutation</v>
      </c>
      <c r="BC2" t="str" cm="1">
        <f t="array" aca="1" ref="BC2:BC62" ca="1">IF(COUNTA(_xlfn.ANCHORARRAY($W$2))+COUNTA(_xlfn.ANCHORARRAY($X$2))=0,"",_xlfn._xlws.SORT(_xlfn.UNIQUE(IF(ROW(INDIRECT("1:"&amp;(COUNTA(_xlfn.ANCHORARRAY($W$2))+COUNTA(_xlfn.ANCHORARRAY($X$2)))))&lt;=COUNTA(_xlfn.ANCHORARRAY($W$2)),INDEX(_xlfn.ANCHORARRAY($W$2),ROW(INDIRECT("1:"&amp;(COUNTA(_xlfn.ANCHORARRAY($W$2))+COUNTA(_xlfn.ANCHORARRAY($X$2)))))),INDEX(_xlfn.ANCHORARRAY($X$2),ROW(INDIRECT("1:"&amp;(COUNTA(_xlfn.ANCHORARRAY($W$2))+COUNTA(_xlfn.ANCHORARRAY($X$2)))))-COUNTA(_xlfn.ANCHORARRAY($W$2))))),1,1))</f>
        <v>Adarkar Wastes</v>
      </c>
      <c r="BD2" t="str" cm="1">
        <f t="array" aca="1" ref="BD2:BD35" ca="1">IF(COUNTA(_xlfn.ANCHORARRAY($Y$2))+COUNTA(_xlfn.ANCHORARRAY($Z$2))=0,"",_xlfn._xlws.SORT(_xlfn.UNIQUE(IF(ROW(INDIRECT("1:"&amp;(COUNTA(_xlfn.ANCHORARRAY($Y$2))+COUNTA(_xlfn.ANCHORARRAY($Z$2)))))&lt;=COUNTA(_xlfn.ANCHORARRAY($Y$2)),INDEX(_xlfn.ANCHORARRAY($Y$2),ROW(INDIRECT("1:"&amp;(COUNTA(_xlfn.ANCHORARRAY($Y$2))+COUNTA(_xlfn.ANCHORARRAY($Z$2)))))),INDEX(_xlfn.ANCHORARRAY($Z$2),ROW(INDIRECT("1:"&amp;(COUNTA(_xlfn.ANCHORARRAY($Y$2))+COUNTA(_xlfn.ANCHORARRAY($Z$2)))))-COUNTA(_xlfn.ANCHORARRAY($Y$2))))),1,1))</f>
        <v>Access Tunnel</v>
      </c>
      <c r="BE2" t="str" cm="1">
        <f t="array" aca="1" ref="BE2:BE33" ca="1">IF(COUNTA(_xlfn.ANCHORARRAY($AA$2))+COUNTA(_xlfn.ANCHORARRAY($AB$2))=0,"",_xlfn._xlws.SORT(_xlfn.UNIQUE(IF(ROW(INDIRECT("1:"&amp;(COUNTA(_xlfn.ANCHORARRAY($AA$2))+COUNTA(_xlfn.ANCHORARRAY($AB$2)))))&lt;=COUNTA(_xlfn.ANCHORARRAY($AA$2)),INDEX(_xlfn.ANCHORARRAY($AA$2),ROW(INDIRECT("1:"&amp;(COUNTA(_xlfn.ANCHORARRAY($AA$2))+COUNTA(_xlfn.ANCHORARRAY($AB$2)))))),INDEX(_xlfn.ANCHORARRAY($AB$2),ROW(INDIRECT("1:"&amp;(COUNTA(_xlfn.ANCHORARRAY($AA$2))+COUNTA(_xlfn.ANCHORARRAY($AB$2)))))-COUNTA(_xlfn.ANCHORARRAY($AA$2))))),1,1))</f>
        <v>Ancient Greenwarden</v>
      </c>
      <c r="BF2" t="str" cm="1">
        <f t="array" aca="1" ref="BF2:BF24" ca="1">IF(COUNTA(_xlfn.ANCHORARRAY($AC$2))+COUNTA(_xlfn.ANCHORARRAY($AD$2))=0,"",_xlfn._xlws.SORT(_xlfn.UNIQUE(IF(ROW(INDIRECT("1:"&amp;(COUNTA(_xlfn.ANCHORARRAY($AC$2))+COUNTA(_xlfn.ANCHORARRAY($AD$2)))))&lt;=COUNTA(_xlfn.ANCHORARRAY($AC$2)),INDEX(_xlfn.ANCHORARRAY($AC$2),ROW(INDIRECT("1:"&amp;(COUNTA(_xlfn.ANCHORARRAY($AC$2))+COUNTA(_xlfn.ANCHORARRAY($AD$2)))))),INDEX(_xlfn.ANCHORARRAY($AD$2),ROW(INDIRECT("1:"&amp;(COUNTA(_xlfn.ANCHORARRAY($AC$2))+COUNTA(_xlfn.ANCHORARRAY($AD$2)))))-COUNTA(_xlfn.ANCHORARRAY($AC$2))))),1,1))</f>
        <v>Ancient Tomb</v>
      </c>
      <c r="BG2" t="str" cm="1">
        <f t="array" aca="1" ref="BG2:BG21" ca="1">IF(COUNTA(_xlfn.ANCHORARRAY($AE$2))+COUNTA(_xlfn.ANCHORARRAY($AF$2))=0,"",_xlfn._xlws.SORT(_xlfn.UNIQUE(IF(ROW(INDIRECT("1:"&amp;(COUNTA(_xlfn.ANCHORARRAY($AE$2))+COUNTA(_xlfn.ANCHORARRAY($AF$2)))))&lt;=COUNTA(_xlfn.ANCHORARRAY($AE$2)),INDEX(_xlfn.ANCHORARRAY($AE$2),ROW(INDIRECT("1:"&amp;(COUNTA(_xlfn.ANCHORARRAY($AE$2))+COUNTA(_xlfn.ANCHORARRAY($AF$2)))))),INDEX(_xlfn.ANCHORARRAY($AF$2),ROW(INDIRECT("1:"&amp;(COUNTA(_xlfn.ANCHORARRAY($AE$2))+COUNTA(_xlfn.ANCHORARRAY($AF$2)))))-COUNTA(_xlfn.ANCHORARRAY($AE$2))))),1,1))</f>
        <v>A Joia do Enigma</v>
      </c>
      <c r="BH2" t="str" cm="1">
        <f t="array" aca="1" ref="BH2:BH23" ca="1">IF(COUNTA(_xlfn.ANCHORARRAY($AG$2))+COUNTA(_xlfn.ANCHORARRAY($AH$2))=0,"",_xlfn._xlws.SORT(_xlfn.UNIQUE(IF(ROW(INDIRECT("1:"&amp;(COUNTA(_xlfn.ANCHORARRAY($AG$2))+COUNTA(_xlfn.ANCHORARRAY($AH$2)))))&lt;=COUNTA(_xlfn.ANCHORARRAY($AG$2)),INDEX(_xlfn.ANCHORARRAY($AG$2),ROW(INDIRECT("1:"&amp;(COUNTA(_xlfn.ANCHORARRAY($AG$2))+COUNTA(_xlfn.ANCHORARRAY($AH$2)))))),INDEX(_xlfn.ANCHORARRAY($AH$2),ROW(INDIRECT("1:"&amp;(COUNTA(_xlfn.ANCHORARRAY($AG$2))+COUNTA(_xlfn.ANCHORARRAY($AH$2)))))-COUNTA(_xlfn.ANCHORARRAY($AG$2))))),1,1))</f>
        <v>Arcane Lighthouse</v>
      </c>
      <c r="BI2" t="str" cm="1">
        <f t="array" aca="1" ref="BI2:BI24" ca="1">IF(COUNTA(_xlfn.ANCHORARRAY($AI$2))+COUNTA(_xlfn.ANCHORARRAY($AJ$2))=0,"",_xlfn._xlws.SORT(_xlfn.UNIQUE(IF(ROW(INDIRECT("1:"&amp;(COUNTA(_xlfn.ANCHORARRAY($AI$2))+COUNTA(_xlfn.ANCHORARRAY($AJ$2)))))&lt;=COUNTA(_xlfn.ANCHORARRAY($AI$2)),INDEX(_xlfn.ANCHORARRAY($AI$2),ROW(INDIRECT("1:"&amp;(COUNTA(_xlfn.ANCHORARRAY($AI$2))+COUNTA(_xlfn.ANCHORARRAY($AJ$2)))))),INDEX(_xlfn.ANCHORARRAY($AJ$2),ROW(INDIRECT("1:"&amp;(COUNTA(_xlfn.ANCHORARRAY($AI$2))+COUNTA(_xlfn.ANCHORARRAY($AJ$2)))))-COUNTA(_xlfn.ANCHORARRAY($AI$2))))),1,1))</f>
        <v>Cid, Freeflier Pilot</v>
      </c>
      <c r="BJ2" t="str" cm="1">
        <f t="array" aca="1" ref="BJ2:BJ14" ca="1">IF(COUNTA(_xlfn.ANCHORARRAY($AK$2))+COUNTA(_xlfn.ANCHORARRAY($AL$2))=0,"",_xlfn._xlws.SORT(_xlfn.UNIQUE(IF(ROW(INDIRECT("1:"&amp;(COUNTA(_xlfn.ANCHORARRAY($AK$2))+COUNTA(_xlfn.ANCHORARRAY($AL$2)))))&lt;=COUNTA(_xlfn.ANCHORARRAY($AK$2)),INDEX(_xlfn.ANCHORARRAY($AK$2),ROW(INDIRECT("1:"&amp;(COUNTA(_xlfn.ANCHORARRAY($AK$2))+COUNTA(_xlfn.ANCHORARRAY($AL$2)))))),INDEX(_xlfn.ANCHORARRAY($AL$2),ROW(INDIRECT("1:"&amp;(COUNTA(_xlfn.ANCHORARRAY($AK$2))+COUNTA(_xlfn.ANCHORARRAY($AL$2)))))-COUNTA(_xlfn.ANCHORARRAY($AK$2))))),1,1))</f>
        <v>Alchemist's Refuge</v>
      </c>
      <c r="BK2" t="str" cm="1">
        <f t="array" aca="1" ref="BK2:BK14" ca="1">IF(COUNTA(_xlfn.ANCHORARRAY($AM$2))+COUNTA(_xlfn.ANCHORARRAY($AN$2))=0,"",_xlfn._xlws.SORT(_xlfn.UNIQUE(IF(ROW(INDIRECT("1:"&amp;(COUNTA(_xlfn.ANCHORARRAY($AM$2))+COUNTA(_xlfn.ANCHORARRAY($AN$2)))))&lt;=COUNTA(_xlfn.ANCHORARRAY($AM$2)),INDEX(_xlfn.ANCHORARRAY($AM$2),ROW(INDIRECT("1:"&amp;(COUNTA(_xlfn.ANCHORARRAY($AM$2))+COUNTA(_xlfn.ANCHORARRAY($AN$2)))))),INDEX(_xlfn.ANCHORARRAY($AN$2),ROW(INDIRECT("1:"&amp;(COUNTA(_xlfn.ANCHORARRAY($AM$2))+COUNTA(_xlfn.ANCHORARRAY($AN$2)))))-COUNTA(_xlfn.ANCHORARRAY($AM$2))))),1,1))</f>
        <v>Caverna das Almas</v>
      </c>
      <c r="BL2" t="str" cm="1">
        <f t="array" aca="1" ref="BL2:BL15" ca="1">IF(COUNTA(_xlfn.ANCHORARRAY($AO$2))+COUNTA(_xlfn.ANCHORARRAY($AP$2))=0,"",_xlfn._xlws.SORT(_xlfn.UNIQUE(IF(ROW(INDIRECT("1:"&amp;(COUNTA(_xlfn.ANCHORARRAY($AO$2))+COUNTA(_xlfn.ANCHORARRAY($AP$2)))))&lt;=COUNTA(_xlfn.ANCHORARRAY($AO$2)),INDEX(_xlfn.ANCHORARRAY($AO$2),ROW(INDIRECT("1:"&amp;(COUNTA(_xlfn.ANCHORARRAY($AO$2))+COUNTA(_xlfn.ANCHORARRAY($AP$2)))))),INDEX(_xlfn.ANCHORARRAY($AP$2),ROW(INDIRECT("1:"&amp;(COUNTA(_xlfn.ANCHORARRAY($AO$2))+COUNTA(_xlfn.ANCHORARRAY($AP$2)))))-COUNTA(_xlfn.ANCHORARRAY($AO$2))))),1,1))</f>
        <v>Afundar em Estupor</v>
      </c>
      <c r="BM2" t="str" cm="1">
        <f t="array" aca="1" ref="BM2:BM13" ca="1">IF(COUNTA(_xlfn.ANCHORARRAY($AQ$2))+COUNTA(_xlfn.ANCHORARRAY($AR$2))=0,"",_xlfn._xlws.SORT(_xlfn.UNIQUE(IF(ROW(INDIRECT("1:"&amp;(COUNTA(_xlfn.ANCHORARRAY($AQ$2))+COUNTA(_xlfn.ANCHORARRAY($AR$2)))))&lt;=COUNTA(_xlfn.ANCHORARRAY($AQ$2)),INDEX(_xlfn.ANCHORARRAY($AQ$2),ROW(INDIRECT("1:"&amp;(COUNTA(_xlfn.ANCHORARRAY($AQ$2))+COUNTA(_xlfn.ANCHORARRAY($AR$2)))))),INDEX(_xlfn.ANCHORARRAY($AR$2),ROW(INDIRECT("1:"&amp;(COUNTA(_xlfn.ANCHORARRAY($AQ$2))+COUNTA(_xlfn.ANCHORARRAY($AR$2)))))-COUNTA(_xlfn.ANCHORARRAY($AQ$2))))),1,1))</f>
        <v>Adagia, Windswept Bastion</v>
      </c>
      <c r="BN2" t="str" cm="1">
        <f t="array" aca="1" ref="BN2:BN12" ca="1">IF(COUNTA(_xlfn.ANCHORARRAY($AS$2))+COUNTA(_xlfn.ANCHORARRAY($AT$2))=0,"",_xlfn._xlws.SORT(_xlfn.UNIQUE(IF(ROW(INDIRECT("1:"&amp;(COUNTA(_xlfn.ANCHORARRAY($AS$2))+COUNTA(_xlfn.ANCHORARRAY($AT$2)))))&lt;=COUNTA(_xlfn.ANCHORARRAY($AS$2)),INDEX(_xlfn.ANCHORARRAY($AS$2),ROW(INDIRECT("1:"&amp;(COUNTA(_xlfn.ANCHORARRAY($AS$2))+COUNTA(_xlfn.ANCHORARRAY($AT$2)))))),INDEX(_xlfn.ANCHORARRAY($AT$2),ROW(INDIRECT("1:"&amp;(COUNTA(_xlfn.ANCHORARRAY($AS$2))+COUNTA(_xlfn.ANCHORARRAY($AT$2)))))-COUNTA(_xlfn.ANCHORARRAY($AS$2))))),1,1))</f>
        <v>Adagia, Windswept Bastion</v>
      </c>
      <c r="BO2" t="str" cm="1">
        <f t="array" aca="1" ref="BO2:BO6" ca="1">IF(COUNTA(_xlfn.ANCHORARRAY($AU$2))+COUNTA(_xlfn.ANCHORARRAY($AV$2))=0,"",_xlfn._xlws.SORT(_xlfn.UNIQUE(IF(ROW(INDIRECT("1:"&amp;(COUNTA(_xlfn.ANCHORARRAY($AU$2))+COUNTA(_xlfn.ANCHORARRAY($AV$2)))))&lt;=COUNTA(_xlfn.ANCHORARRAY($AU$2)),INDEX(_xlfn.ANCHORARRAY($AU$2),ROW(INDIRECT("1:"&amp;(COUNTA(_xlfn.ANCHORARRAY($AU$2))+COUNTA(_xlfn.ANCHORARRAY($AV$2)))))),INDEX(_xlfn.ANCHORARRAY($AV$2),ROW(INDIRECT("1:"&amp;(COUNTA(_xlfn.ANCHORARRAY($AU$2))+COUNTA(_xlfn.ANCHORARRAY($AV$2)))))-COUNTA(_xlfn.ANCHORARRAY($AU$2))))),1,1))</f>
        <v>Alchemist's Refuge</v>
      </c>
      <c r="BP2" t="str" cm="1">
        <f t="array" aca="1" ref="BP2:BP45" ca="1">IF(COUNTA(_xlfn.ANCHORARRAY($AW$2))+COUNTA(_xlfn.ANCHORARRAY($AX$2))=0,"",_xlfn._xlws.SORT(_xlfn.UNIQUE(IF(ROW(INDIRECT("1:"&amp;(COUNTA(_xlfn.ANCHORARRAY($AW$2))+COUNTA(_xlfn.ANCHORARRAY($AX$2)))))&lt;=COUNTA(_xlfn.ANCHORARRAY($AW$2)),INDEX(_xlfn.ANCHORARRAY($AW$2),ROW(INDIRECT("1:"&amp;(COUNTA(_xlfn.ANCHORARRAY($AW$2))+COUNTA(_xlfn.ANCHORARRAY($AX$2)))))),INDEX(_xlfn.ANCHORARRAY($AX$2),ROW(INDIRECT("1:"&amp;(COUNTA(_xlfn.ANCHORARRAY($AW$2))+COUNTA(_xlfn.ANCHORARRAY($AX$2)))))-COUNTA(_xlfn.ANCHORARRAY($AW$2))))),1,1))</f>
        <v>Adagia, Windswept Bastion</v>
      </c>
      <c r="BQ2" t="e" cm="1">
        <f t="array" aca="1" ref="BQ2" ca="1">IF(COUNTA(_xlfn.ANCHORARRAY($AY$2))+COUNTA(_xlfn.ANCHORARRAY($AZ$2))=0,"",_xlfn._xlws.SORT(_xlfn.UNIQUE(IF(ROW(INDIRECT("1:"&amp;(COUNTA(_xlfn.ANCHORARRAY($AY$2))+COUNTA(_xlfn.ANCHORARRAY($AZ$2)))))&lt;=COUNTA(_xlfn.ANCHORARRAY($AY$2)),INDEX(_xlfn.ANCHORARRAY($AY$2),ROW(INDIRECT("1:"&amp;(COUNTA(_xlfn.ANCHORARRAY($AY$2))+COUNTA(_xlfn.ANCHORARRAY($AZ$2)))))),INDEX(_xlfn.ANCHORARRAY($AZ$2),ROW(INDIRECT("1:"&amp;(COUNTA(_xlfn.ANCHORARRAY($AY$2))+COUNTA(_xlfn.ANCHORARRAY($AZ$2)))))-COUNTA(_xlfn.ANCHORARRAY($AY$2))))),1,1))</f>
        <v>#REF!</v>
      </c>
      <c r="BS2" t="str" cm="1">
        <f t="array" aca="1" ref="BS2:BS104" ca="1">IF(COUNTA(_xlfn.ANCHORARRAY($BB$2))+COUNTA(_xlfn.ANCHORARRAY($BC$2))=0,"",_xlfn._xlws.SORT(_xlfn.UNIQUE(IF(ROW(INDIRECT("1:"&amp;(COUNTA(_xlfn.ANCHORARRAY($BB$2))+COUNTA(_xlfn.ANCHORARRAY($BC$2)))))&lt;=COUNTA(_xlfn.ANCHORARRAY($BB$2)),INDEX(_xlfn.ANCHORARRAY($BB$2),ROW(INDIRECT("1:"&amp;(COUNTA(_xlfn.ANCHORARRAY($BB$2))+COUNTA(_xlfn.ANCHORARRAY($BC$2)))))),INDEX(_xlfn.ANCHORARRAY($BC$2),ROW(INDIRECT("1:"&amp;(COUNTA(_xlfn.ANCHORARRAY($BB$2))+COUNTA(_xlfn.ANCHORARRAY($BC$2)))))-COUNTA(_xlfn.ANCHORARRAY($BB$2))))),1,1))</f>
        <v>Adarkar Wastes</v>
      </c>
      <c r="BT2" t="str" cm="1">
        <f t="array" aca="1" ref="BT2:BT65" ca="1">IF(COUNTA(_xlfn.ANCHORARRAY($BD$2))+COUNTA(_xlfn.ANCHORARRAY($BE$2))=0,"",_xlfn._xlws.SORT(_xlfn.UNIQUE(IF(ROW(INDIRECT("1:"&amp;(COUNTA(_xlfn.ANCHORARRAY($BD$2))+COUNTA(_xlfn.ANCHORARRAY($BE$2)))))&lt;=COUNTA(_xlfn.ANCHORARRAY($BD$2)),INDEX(_xlfn.ANCHORARRAY($BD$2),ROW(INDIRECT("1:"&amp;(COUNTA(_xlfn.ANCHORARRAY($BD$2))+COUNTA(_xlfn.ANCHORARRAY($BE$2)))))),INDEX(_xlfn.ANCHORARRAY($BE$2),ROW(INDIRECT("1:"&amp;(COUNTA(_xlfn.ANCHORARRAY($BD$2))+COUNTA(_xlfn.ANCHORARRAY($BE$2)))))-COUNTA(_xlfn.ANCHORARRAY($BD$2))))),1,1))</f>
        <v>Access Tunnel</v>
      </c>
      <c r="BU2" t="str" cm="1">
        <f t="array" aca="1" ref="BU2:BU44" ca="1">IF(COUNTA(_xlfn.ANCHORARRAY($BF$2))+COUNTA(_xlfn.ANCHORARRAY($BG$2))=0,"",_xlfn._xlws.SORT(_xlfn.UNIQUE(IF(ROW(INDIRECT("1:"&amp;(COUNTA(_xlfn.ANCHORARRAY($BF$2))+COUNTA(_xlfn.ANCHORARRAY($BG$2)))))&lt;=COUNTA(_xlfn.ANCHORARRAY($BF$2)),INDEX(_xlfn.ANCHORARRAY($BF$2),ROW(INDIRECT("1:"&amp;(COUNTA(_xlfn.ANCHORARRAY($BF$2))+COUNTA(_xlfn.ANCHORARRAY($BG$2)))))),INDEX(_xlfn.ANCHORARRAY($BG$2),ROW(INDIRECT("1:"&amp;(COUNTA(_xlfn.ANCHORARRAY($BF$2))+COUNTA(_xlfn.ANCHORARRAY($BG$2)))))-COUNTA(_xlfn.ANCHORARRAY($BF$2))))),1,1))</f>
        <v>A Joia do Enigma</v>
      </c>
      <c r="BV2" t="str" cm="1">
        <f t="array" aca="1" ref="BV2:BV46" ca="1">IF(COUNTA(_xlfn.ANCHORARRAY($BH$2))+COUNTA(_xlfn.ANCHORARRAY($BI$2))=0,"",_xlfn._xlws.SORT(_xlfn.UNIQUE(IF(ROW(INDIRECT("1:"&amp;(COUNTA(_xlfn.ANCHORARRAY($BH$2))+COUNTA(_xlfn.ANCHORARRAY($BI$2)))))&lt;=COUNTA(_xlfn.ANCHORARRAY($BH$2)),INDEX(_xlfn.ANCHORARRAY($BH$2),ROW(INDIRECT("1:"&amp;(COUNTA(_xlfn.ANCHORARRAY($BH$2))+COUNTA(_xlfn.ANCHORARRAY($BI$2)))))),INDEX(_xlfn.ANCHORARRAY($BI$2),ROW(INDIRECT("1:"&amp;(COUNTA(_xlfn.ANCHORARRAY($BH$2))+COUNTA(_xlfn.ANCHORARRAY($BI$2)))))-COUNTA(_xlfn.ANCHORARRAY($BH$2))))),1,1))</f>
        <v>Arcane Lighthouse</v>
      </c>
      <c r="BW2" t="str" cm="1">
        <f t="array" aca="1" ref="BW2:BW27" ca="1">IF(COUNTA(_xlfn.ANCHORARRAY($BJ$2))+COUNTA(_xlfn.ANCHORARRAY($BK$2))=0,"",_xlfn._xlws.SORT(_xlfn.UNIQUE(IF(ROW(INDIRECT("1:"&amp;(COUNTA(_xlfn.ANCHORARRAY($BJ$2))+COUNTA(_xlfn.ANCHORARRAY($BK$2)))))&lt;=COUNTA(_xlfn.ANCHORARRAY($BJ$2)),INDEX(_xlfn.ANCHORARRAY($BJ$2),ROW(INDIRECT("1:"&amp;(COUNTA(_xlfn.ANCHORARRAY($BJ$2))+COUNTA(_xlfn.ANCHORARRAY($BK$2)))))),INDEX(_xlfn.ANCHORARRAY($BK$2),ROW(INDIRECT("1:"&amp;(COUNTA(_xlfn.ANCHORARRAY($BJ$2))+COUNTA(_xlfn.ANCHORARRAY($BK$2)))))-COUNTA(_xlfn.ANCHORARRAY($BJ$2))))),1,1))</f>
        <v>Alchemist's Refuge</v>
      </c>
      <c r="BX2" t="str" cm="1">
        <f t="array" aca="1" ref="BX2:BX27" ca="1">IF(COUNTA(_xlfn.ANCHORARRAY($BL$2))+COUNTA(_xlfn.ANCHORARRAY($BM$2))=0,"",_xlfn._xlws.SORT(_xlfn.UNIQUE(IF(ROW(INDIRECT("1:"&amp;(COUNTA(_xlfn.ANCHORARRAY($BL$2))+COUNTA(_xlfn.ANCHORARRAY($BM$2)))))&lt;=COUNTA(_xlfn.ANCHORARRAY($BL$2)),INDEX(_xlfn.ANCHORARRAY($BL$2),ROW(INDIRECT("1:"&amp;(COUNTA(_xlfn.ANCHORARRAY($BL$2))+COUNTA(_xlfn.ANCHORARRAY($BM$2)))))),INDEX(_xlfn.ANCHORARRAY($BM$2),ROW(INDIRECT("1:"&amp;(COUNTA(_xlfn.ANCHORARRAY($BL$2))+COUNTA(_xlfn.ANCHORARRAY($BM$2)))))-COUNTA(_xlfn.ANCHORARRAY($BL$2))))),1,1))</f>
        <v>Adagia, Windswept Bastion</v>
      </c>
      <c r="BY2" t="str" cm="1">
        <f t="array" aca="1" ref="BY2:BY17" ca="1">IF(COUNTA(_xlfn.ANCHORARRAY($BN$2))+COUNTA(_xlfn.ANCHORARRAY($BO$2))=0,"",_xlfn._xlws.SORT(_xlfn.UNIQUE(IF(ROW(INDIRECT("1:"&amp;(COUNTA(_xlfn.ANCHORARRAY($BN$2))+COUNTA(_xlfn.ANCHORARRAY($BO$2)))))&lt;=COUNTA(_xlfn.ANCHORARRAY($BN$2)),INDEX(_xlfn.ANCHORARRAY($BN$2),ROW(INDIRECT("1:"&amp;(COUNTA(_xlfn.ANCHORARRAY($BN$2))+COUNTA(_xlfn.ANCHORARRAY($BO$2)))))),INDEX(_xlfn.ANCHORARRAY($BO$2),ROW(INDIRECT("1:"&amp;(COUNTA(_xlfn.ANCHORARRAY($BN$2))+COUNTA(_xlfn.ANCHORARRAY($BO$2)))))-COUNTA(_xlfn.ANCHORARRAY($BN$2))))),1,1))</f>
        <v>Adagia, Windswept Bastion</v>
      </c>
      <c r="BZ2" t="str" cm="1">
        <f t="array" aca="1" ref="BZ2:BZ46" ca="1">IF(COUNTA(_xlfn.ANCHORARRAY($BP$2))+COUNTA(_xlfn.ANCHORARRAY($BQ$2))=0,"",_xlfn._xlws.SORT(_xlfn.UNIQUE(IF(ROW(INDIRECT("1:"&amp;(COUNTA(_xlfn.ANCHORARRAY($BP$2))+COUNTA(_xlfn.ANCHORARRAY($BQ$2)))))&lt;=COUNTA(_xlfn.ANCHORARRAY($BP$2)),INDEX(_xlfn.ANCHORARRAY($BP$2),ROW(INDIRECT("1:"&amp;(COUNTA(_xlfn.ANCHORARRAY($BP$2))+COUNTA(_xlfn.ANCHORARRAY($BQ$2)))))),INDEX(_xlfn.ANCHORARRAY($BQ$2),ROW(INDIRECT("1:"&amp;(COUNTA(_xlfn.ANCHORARRAY($BP$2))+COUNTA(_xlfn.ANCHORARRAY($BQ$2)))))-COUNTA(_xlfn.ANCHORARRAY($BP$2))))),1,1))</f>
        <v>Adagia, Windswept Bastion</v>
      </c>
      <c r="CB2" t="str" cm="1">
        <f t="array" aca="1" ref="CB2:CB164" ca="1">IF(COUNTA(_xlfn.ANCHORARRAY($BS$2))+COUNTA(_xlfn.ANCHORARRAY($BT$2))=0,"",_xlfn._xlws.SORT(_xlfn.UNIQUE(IF(ROW(INDIRECT("1:"&amp;(COUNTA(_xlfn.ANCHORARRAY($BS$2))+COUNTA(_xlfn.ANCHORARRAY($BT$2)))))&lt;=COUNTA(_xlfn.ANCHORARRAY($BS$2)),INDEX(_xlfn.ANCHORARRAY($BS$2),ROW(INDIRECT("1:"&amp;(COUNTA(_xlfn.ANCHORARRAY($BS$2))+COUNTA(_xlfn.ANCHORARRAY($BT$2)))))),INDEX(_xlfn.ANCHORARRAY($BT$2),ROW(INDIRECT("1:"&amp;(COUNTA(_xlfn.ANCHORARRAY($BS$2))+COUNTA(_xlfn.ANCHORARRAY($BT$2)))))-COUNTA(_xlfn.ANCHORARRAY($BS$2))))),1,1))</f>
        <v>Access Tunnel</v>
      </c>
      <c r="CC2" t="str" cm="1">
        <f t="array" aca="1" ref="CC2:CC87" ca="1">IF(COUNTA(_xlfn.ANCHORARRAY($BU$2))+COUNTA(_xlfn.ANCHORARRAY($BV$2))=0,"",_xlfn._xlws.SORT(_xlfn.UNIQUE(IF(ROW(INDIRECT("1:"&amp;(COUNTA(_xlfn.ANCHORARRAY($BU$2))+COUNTA(_xlfn.ANCHORARRAY($BV$2)))))&lt;=COUNTA(_xlfn.ANCHORARRAY($BU$2)),INDEX(_xlfn.ANCHORARRAY($BU$2),ROW(INDIRECT("1:"&amp;(COUNTA(_xlfn.ANCHORARRAY($BU$2))+COUNTA(_xlfn.ANCHORARRAY($BV$2)))))),INDEX(_xlfn.ANCHORARRAY($BV$2),ROW(INDIRECT("1:"&amp;(COUNTA(_xlfn.ANCHORARRAY($BU$2))+COUNTA(_xlfn.ANCHORARRAY($BV$2)))))-COUNTA(_xlfn.ANCHORARRAY($BU$2))))),1,1))</f>
        <v>A Joia do Enigma</v>
      </c>
      <c r="CD2" t="str" cm="1">
        <f t="array" aca="1" ref="CD2:CD53" ca="1">IF(COUNTA(_xlfn.ANCHORARRAY($BW$2))+COUNTA(_xlfn.ANCHORARRAY($BX$2))=0,"",_xlfn._xlws.SORT(_xlfn.UNIQUE(IF(ROW(INDIRECT("1:"&amp;(COUNTA(_xlfn.ANCHORARRAY($BW$2))+COUNTA(_xlfn.ANCHORARRAY($BX$2)))))&lt;=COUNTA(_xlfn.ANCHORARRAY($BW$2)),INDEX(_xlfn.ANCHORARRAY($BW$2),ROW(INDIRECT("1:"&amp;(COUNTA(_xlfn.ANCHORARRAY($BW$2))+COUNTA(_xlfn.ANCHORARRAY($BX$2)))))),INDEX(_xlfn.ANCHORARRAY($BX$2),ROW(INDIRECT("1:"&amp;(COUNTA(_xlfn.ANCHORARRAY($BW$2))+COUNTA(_xlfn.ANCHORARRAY($BX$2)))))-COUNTA(_xlfn.ANCHORARRAY($BW$2))))),1,1))</f>
        <v>Adagia, Windswept Bastion</v>
      </c>
      <c r="CE2" t="str" cm="1">
        <f t="array" aca="1" ref="CE2:CE61" ca="1">IF(COUNTA(_xlfn.ANCHORARRAY($BY$2))+COUNTA(_xlfn.ANCHORARRAY($BZ$2))=0,"",_xlfn._xlws.SORT(_xlfn.UNIQUE(IF(ROW(INDIRECT("1:"&amp;(COUNTA(_xlfn.ANCHORARRAY($BY$2))+COUNTA(_xlfn.ANCHORARRAY($BZ$2)))))&lt;=COUNTA(_xlfn.ANCHORARRAY($BY$2)),INDEX(_xlfn.ANCHORARRAY($BY$2),ROW(INDIRECT("1:"&amp;(COUNTA(_xlfn.ANCHORARRAY($BY$2))+COUNTA(_xlfn.ANCHORARRAY($BZ$2)))))),INDEX(_xlfn.ANCHORARRAY($BZ$2),ROW(INDIRECT("1:"&amp;(COUNTA(_xlfn.ANCHORARRAY($BY$2))+COUNTA(_xlfn.ANCHORARRAY($BZ$2)))))-COUNTA(_xlfn.ANCHORARRAY($BY$2))))),1,1))</f>
        <v>Adagia, Windswept Bastion</v>
      </c>
      <c r="CG2" t="str" cm="1">
        <f t="array" aca="1" ref="CG2:CG243" ca="1">IF(COUNTA(_xlfn.ANCHORARRAY($CB$2))+COUNTA(_xlfn.ANCHORARRAY($CC$2))=0,"",_xlfn._xlws.SORT(_xlfn.UNIQUE(IF(ROW(INDIRECT("1:"&amp;(COUNTA(_xlfn.ANCHORARRAY($CB$2))+COUNTA(_xlfn.ANCHORARRAY($CC$2)))))&lt;=COUNTA(_xlfn.ANCHORARRAY($CB$2)),INDEX(_xlfn.ANCHORARRAY($CB$2),ROW(INDIRECT("1:"&amp;(COUNTA(_xlfn.ANCHORARRAY($CB$2))+COUNTA(_xlfn.ANCHORARRAY($CC$2)))))),INDEX(_xlfn.ANCHORARRAY($CC$2),ROW(INDIRECT("1:"&amp;(COUNTA(_xlfn.ANCHORARRAY($CB$2))+COUNTA(_xlfn.ANCHORARRAY($CC$2)))))-COUNTA(_xlfn.ANCHORARRAY($CB$2))))),1,1))</f>
        <v>A Joia do Enigma</v>
      </c>
      <c r="CH2" t="str" cm="1">
        <f t="array" aca="1" ref="CH2:CH111" ca="1">IF(COUNTA(_xlfn.ANCHORARRAY($CD$2))+COUNTA(_xlfn.ANCHORARRAY($CE$2))=0,"",_xlfn._xlws.SORT(_xlfn.UNIQUE(IF(ROW(INDIRECT("1:"&amp;(COUNTA(_xlfn.ANCHORARRAY($CD$2))+COUNTA(_xlfn.ANCHORARRAY($CE$2)))))&lt;=COUNTA(_xlfn.ANCHORARRAY($CD$2)),INDEX(_xlfn.ANCHORARRAY($CD$2),ROW(INDIRECT("1:"&amp;(COUNTA(_xlfn.ANCHORARRAY($CD$2))+COUNTA(_xlfn.ANCHORARRAY($CE$2)))))),INDEX(_xlfn.ANCHORARRAY($CE$2),ROW(INDIRECT("1:"&amp;(COUNTA(_xlfn.ANCHORARRAY($CD$2))+COUNTA(_xlfn.ANCHORARRAY($CE$2)))))-COUNTA(_xlfn.ANCHORARRAY($CD$2))))),1,1))</f>
        <v>Adagia, Windswept Bastion</v>
      </c>
      <c r="CJ2" t="str" cm="1">
        <f t="array" aca="1" ref="CJ2:CJ340" ca="1">IF(COUNTA(_xlfn.ANCHORARRAY($CG$2))+COUNTA(_xlfn.ANCHORARRAY($CH$2))=0,"",_xlfn._xlws.SORT(_xlfn.UNIQUE(IF(ROW(INDIRECT("1:"&amp;(COUNTA(_xlfn.ANCHORARRAY($CG$2))+COUNTA(_xlfn.ANCHORARRAY($CH$2)))))&lt;=COUNTA(_xlfn.ANCHORARRAY($CG$2)),INDEX(_xlfn.ANCHORARRAY($CG$2),ROW(INDIRECT("1:"&amp;(COUNTA(_xlfn.ANCHORARRAY($CG$2))+COUNTA(_xlfn.ANCHORARRAY($CH$2)))))),INDEX(_xlfn.ANCHORARRAY($CH$2),ROW(INDIRECT("1:"&amp;(COUNTA(_xlfn.ANCHORARRAY($CG$2))+COUNTA(_xlfn.ANCHORARRAY($CH$2)))))-COUNTA(_xlfn.ANCHORARRAY($CG$2))))),1,1))</f>
        <v>A Joia do Enigma</v>
      </c>
    </row>
    <row r="3" spans="1:88" x14ac:dyDescent="0.25">
      <c r="A3" s="3" t="str">
        <f t="shared" ref="A3:A66" ca="1" si="0">IFERROR(INDEX($S$3:$S$200, MATCH($C3, $I$3:$I$200, 0)), "")</f>
        <v>2</v>
      </c>
      <c r="B3" s="3">
        <f t="shared" ref="B3:B66" ca="1" si="1">COUNTIF(U:AX,G3)</f>
        <v>1</v>
      </c>
      <c r="C3" s="3" t="str">
        <f ca="1">IFERROR(
 INDEX($U$1:$AX$1,
  MATCH(TRUE,
   CHOOSE({1;2;3;4;5;6;7;8;9;10;11;12;13;14;15;16;17;18;19;20;21;22;23;24;25;26;27;28;29;30;31;32},
    COUNTIFS($U$2:$U$200,$G3)&gt;0,
    COUNTIFS($V$2:$V$200,$G3)&gt;0,
    COUNTIFS($W$2:$W$200,$G3)&gt;0,
    COUNTIFS($X$2:$X$200,$G3)&gt;0,
    COUNTIFS($Y$2:$Y$200,$G3)&gt;0,
    COUNTIFS($Z$2:$Z$200,$G3)&gt;0,
    COUNTIFS($AA$2:$AA$200,$G3)&gt;0,
    COUNTIFS($AB$2:$AB$200,$G3)&gt;0,
    COUNTIFS($AC$2:$AC$200,$G3)&gt;0,
    COUNTIFS($AD$2:$AD$200,$G3)&gt;0,
    COUNTIFS($AE$2:$AE$200,$G3)&gt;0,
    COUNTIFS($AF$2:$AF$200,$G3)&gt;0,
    COUNTIFS($AG$2:$AG$200,$G3)&gt;0,
    COUNTIFS($AH$2:$AH$200,$G3)&gt;0,
    COUNTIFS($AI$2:$AI$200,$G3)&gt;0,
    COUNTIFS($AJ$2:$AJ$200,$G3)&gt;0,
    COUNTIFS($AK$2:$AK$200,$G3)&gt;0,
    COUNTIFS($AL$2:$AL$200,$G3)&gt;0,
    COUNTIFS($AM$2:$AM$200,$G3)&gt;0,
    COUNTIFS($AN$2:$AN$200,$G3)&gt;0,
    COUNTIFS($AO$2:$AO$200,$G3)&gt;0,
    COUNTIFS($AP$2:$AP$200,$G3)&gt;0,
    COUNTIFS($AQ$2:$AQ$200,$G3)&gt;0,
    COUNTIFS($AR$2:$AR$200,$G3)&gt;0,
    COUNTIFS($AS$2:$AS$200,$G3)&gt;0,
    COUNTIFS($AT$2:$AT$200,$G3)&gt;0,
    COUNTIFS($AU$2:$AU$200,$G3)&gt;0,
    COUNTIFS($AV$2:$AV$200,$G3)&gt;0,
    COUNTIFS($AW$2:$AW$200,$G3)&gt;0,
    COUNTIFS($AX$2:$AX$200,$G3)&gt;0
   ),
  0)
 ),
"")</f>
        <v>Rani</v>
      </c>
      <c r="D3" s="3" t="str" cm="1">
        <f t="array" aca="1" ref="D3" ca="1">IFERROR(
 INDEX(
  _xlfn._xlws.FILTER($U$1:$AX$1,
   TRANSPOSE(
    CHOOSE({1;2;3;4;5;6;7;8;9;10;11;12;13;14;15;16;17;18;19;20;21;22;23;24;25;26;27;28;29;30},
     COUNTIFS($U$2:$U$200,$G3)&gt;0,
     COUNTIFS($V$2:$V$200,$G3)&gt;0,
     COUNTIFS($W$2:$W$200,$G3)&gt;0,
     COUNTIFS($X$2:$X$200,$G3)&gt;0,
     COUNTIFS($Y$2:$Y$200,$G3)&gt;0,
     COUNTIFS($Z$2:$Z$200,$G3)&gt;0,
     COUNTIFS($AA$2:$AA$200,$G3)&gt;0,
     COUNTIFS($AB$2:$AB$200,$G3)&gt;0,
     COUNTIFS($AC$2:$AC$200,$G3)&gt;0,
     COUNTIFS($AD$2:$AD$200,$G3)&gt;0,
     COUNTIFS($AE$2:$AE$200,$G3)&gt;0,
     COUNTIFS($AF$2:$AF$200,$G3)&gt;0,
     COUNTIFS($AG$2:$AG$200,$G3)&gt;0,
     COUNTIFS($AH$2:$AH$200,$G3)&gt;0,
     COUNTIFS($AI$2:$AI$200,$G3)&gt;0,
     COUNTIFS($AJ$2:$AJ$200,$G3)&gt;0,
     COUNTIFS($AK$2:$AK$200,$G3)&gt;0,
     COUNTIFS($AL$2:$AL$200,$G3)&gt;0,
     COUNTIFS($AM$2:$AM$200,$G3)&gt;0,
     COUNTIFS($AN$2:$AN$200,$G3)&gt;0,
     COUNTIFS($AO$2:$AO$200,$G3)&gt;0,
     COUNTIFS($AP$2:$AP$200,$G3)&gt;0,
     COUNTIFS($AQ$2:$AQ$200,$G3)&gt;0,
     COUNTIFS($AR$2:$AR$200,$G3)&gt;0,
     COUNTIFS($AS$2:$AS$200,$G3)&gt;0,
     COUNTIFS($AT$2:$AT$200,$G3)&gt;0,
     COUNTIFS($AU$2:$AU$200,$G3)&gt;0,
     COUNTIFS($AV$2:$AV$200,$G3)&gt;0,
     COUNTIFS($AW$2:$AW$200,$G3)&gt;0,
     COUNTIFS($AX$2:$AX$200,$G3)&gt;0
   )),
  ),
  2
 ),
"")</f>
        <v/>
      </c>
      <c r="E3" s="3" t="str" cm="1">
        <f t="array" aca="1" ref="E3" ca="1">IFERROR(
 INDEX(
  _xlfn._xlws.FILTER($U$1:$AX$1,
   TRANSPOSE(
    CHOOSE({1;2;3;4;5;6;7;8;9;10;11;12;13;14;15;16;17;18;19;20;21;22;23;24;25;26;27;28;29;30},
     COUNTIFS($U$2:$U$200,$G3)&gt;0,
     COUNTIFS($V$2:$V$200,$G3)&gt;0,
     COUNTIFS($W$2:$W$200,$G3)&gt;0,
     COUNTIFS($X$2:$X$200,$G3)&gt;0,
     COUNTIFS($Y$2:$Y$200,$G3)&gt;0,
     COUNTIFS($Z$2:$Z$200,$G3)&gt;0,
     COUNTIFS($AA$2:$AA$200,$G3)&gt;0,
     COUNTIFS($AB$2:$AB$200,$G3)&gt;0,
     COUNTIFS($AC$2:$AC$200,$G3)&gt;0,
     COUNTIFS($AD$2:$AD$200,$G3)&gt;0,
     COUNTIFS($AE$2:$AE$200,$G3)&gt;0,
     COUNTIFS($AF$2:$AF$200,$G3)&gt;0,
     COUNTIFS($AG$2:$AG$200,$G3)&gt;0,
     COUNTIFS($AH$2:$AH$200,$G3)&gt;0,
     COUNTIFS($AI$2:$AI$200,$G3)&gt;0,
     COUNTIFS($AJ$2:$AJ$200,$G3)&gt;0,
     COUNTIFS($AK$2:$AK$200,$G3)&gt;0,
     COUNTIFS($AL$2:$AL$200,$G3)&gt;0,
     COUNTIFS($AM$2:$AM$200,$G3)&gt;0,
     COUNTIFS($AN$2:$AN$200,$G3)&gt;0,
     COUNTIFS($AO$2:$AO$200,$G3)&gt;0,
     COUNTIFS($AP$2:$AP$200,$G3)&gt;0,
     COUNTIFS($AQ$2:$AQ$200,$G3)&gt;0,
     COUNTIFS($AR$2:$AR$200,$G3)&gt;0,
     COUNTIFS($AS$2:$AS$200,$G3)&gt;0,
     COUNTIFS($AT$2:$AT$200,$G3)&gt;0,
     COUNTIFS($AU$2:$AU$200,$G3)&gt;0,
     COUNTIFS($AV$2:$AV$200,$G3)&gt;0,
     COUNTIFS($AW$2:$AW$200,$G3)&gt;0,
     COUNTIFS($AX$2:$AX$200,$G3)&gt;0
   )),
  ),
  3
 ),
"")</f>
        <v/>
      </c>
      <c r="F3" s="3" t="str" cm="1">
        <f t="array" aca="1" ref="F3" ca="1">IFERROR(
 INDEX(
  _xlfn._xlws.FILTER($U$1:$AX$1,
   TRANSPOSE(
    CHOOSE({1;2;3;4;5;6;7;8;9;10;11;12;13;14;15;16;17;18;19;20;21;22;23;24;25;26;27;28;29;30},
     COUNTIFS($U$2:$U$200,$G3)&gt;0,
     COUNTIFS($V$2:$V$200,$G3)&gt;0,
     COUNTIFS($W$2:$W$200,$G3)&gt;0,
     COUNTIFS($X$2:$X$200,$G3)&gt;0,
     COUNTIFS($Y$2:$Y$200,$G3)&gt;0,
     COUNTIFS($Z$2:$Z$200,$G3)&gt;0,
     COUNTIFS($AA$2:$AA$200,$G3)&gt;0,
     COUNTIFS($AB$2:$AB$200,$G3)&gt;0,
     COUNTIFS($AC$2:$AC$200,$G3)&gt;0,
     COUNTIFS($AD$2:$AD$200,$G3)&gt;0,
     COUNTIFS($AE$2:$AE$200,$G3)&gt;0,
     COUNTIFS($AF$2:$AF$200,$G3)&gt;0,
     COUNTIFS($AG$2:$AG$200,$G3)&gt;0,
     COUNTIFS($AH$2:$AH$200,$G3)&gt;0,
     COUNTIFS($AI$2:$AI$200,$G3)&gt;0,
     COUNTIFS($AJ$2:$AJ$200,$G3)&gt;0,
     COUNTIFS($AK$2:$AK$200,$G3)&gt;0,
     COUNTIFS($AL$2:$AL$200,$G3)&gt;0,
     COUNTIFS($AM$2:$AM$200,$G3)&gt;0,
     COUNTIFS($AN$2:$AN$200,$G3)&gt;0,
     COUNTIFS($AO$2:$AO$200,$G3)&gt;0,
     COUNTIFS($AP$2:$AP$200,$G3)&gt;0,
     COUNTIFS($AQ$2:$AQ$200,$G3)&gt;0,
     COUNTIFS($AR$2:$AR$200,$G3)&gt;0,
     COUNTIFS($AS$2:$AS$200,$G3)&gt;0,
     COUNTIFS($AT$2:$AT$200,$G3)&gt;0,
     COUNTIFS($AU$2:$AU$200,$G3)&gt;0,
     COUNTIFS($AV$2:$AV$200,$G3)&gt;0,
     COUNTIFS($AW$2:$AW$200,$G3)&gt;0,
     COUNTIFS($AX$2:$AX$200,$G3)&gt;0
   )),
  ),
  4
 ),
"")</f>
        <v/>
      </c>
      <c r="G3" t="str">
        <f ca="1"/>
        <v>Access Tunnel</v>
      </c>
      <c r="I3" t="s">
        <v>1660</v>
      </c>
      <c r="J3" s="3">
        <f>Narset!G2</f>
        <v>29</v>
      </c>
      <c r="K3" s="3" t="s">
        <v>2056</v>
      </c>
      <c r="L3" s="3" t="s">
        <v>2056</v>
      </c>
      <c r="M3" s="3" t="s">
        <v>2056</v>
      </c>
      <c r="N3" s="3" t="s">
        <v>2057</v>
      </c>
      <c r="O3" s="3" t="s">
        <v>2057</v>
      </c>
      <c r="P3" s="3" t="s">
        <v>183</v>
      </c>
      <c r="Q3" s="3" t="s">
        <v>738</v>
      </c>
      <c r="R3" s="3" t="s">
        <v>2113</v>
      </c>
      <c r="S3" s="3" t="str">
        <f t="shared" ref="S3:S30" si="2">IF(J3&lt;6,"5",IF(J3&lt;11,"4",IF(J3&lt;16,"3",IF(J3&lt;31,"2","1"))))</f>
        <v>2</v>
      </c>
      <c r="U3" t="str">
        <v>Bojuka Bog</v>
      </c>
      <c r="V3" t="str">
        <v>Aura Mutation</v>
      </c>
      <c r="W3" t="str">
        <v>Aligned Heart</v>
      </c>
      <c r="X3" t="str">
        <v>Arwen, Weaver of Hope</v>
      </c>
      <c r="Y3" t="str">
        <v>Autoridade dos Cônsules</v>
      </c>
      <c r="Z3" t="str">
        <v>Bojuka Bog</v>
      </c>
      <c r="AA3" t="str">
        <v>Call to the Kindred</v>
      </c>
      <c r="AB3" t="str">
        <v>Grave Pact</v>
      </c>
      <c r="AC3" t="str">
        <v>Kozilek, the Broken Reality</v>
      </c>
      <c r="AD3" t="str">
        <v>Crisol dos Mundos</v>
      </c>
      <c r="AE3" t="str">
        <v>Chimil, o Sol Interior</v>
      </c>
      <c r="AF3" t="str">
        <v>Arid Mesa</v>
      </c>
      <c r="AG3" t="str">
        <v>Drowned Catacomb</v>
      </c>
      <c r="AH3" t="str">
        <v>Bojuka Bog</v>
      </c>
      <c r="AI3" t="str">
        <v>Cloud, Midgar Mercenary</v>
      </c>
      <c r="AJ3" t="str">
        <v>Elspeth, Sun's Champion</v>
      </c>
      <c r="AK3" t="str">
        <v>Obelisco de Obsidiana</v>
      </c>
      <c r="AL3" t="str">
        <v>Dionus, Elvish Archdruid</v>
      </c>
      <c r="AM3" t="str">
        <v>Mistrise Village</v>
      </c>
      <c r="AN3" t="str">
        <v>Jetmir's Garden</v>
      </c>
      <c r="AO3" t="str">
        <v>Baral, Chief of Compliance</v>
      </c>
      <c r="AP3" t="str">
        <v>Jidoor, Aristocratic Capital // Overture</v>
      </c>
      <c r="AQ3" t="str">
        <v>Chandra's Ignition</v>
      </c>
      <c r="AR3" t="str">
        <v>Daretti, Ingenious Iconoclast</v>
      </c>
      <c r="AS3" t="str">
        <v>Illustrious Wanderglyph</v>
      </c>
      <c r="AT3" t="str">
        <v>Lagoa Espelhada</v>
      </c>
      <c r="AU3" t="str">
        <v>Teyo, Geometric Tactician</v>
      </c>
      <c r="AV3" t="str">
        <v>Emergency Eject</v>
      </c>
      <c r="AX3" t="str">
        <v>Ancient Den</v>
      </c>
      <c r="BB3" t="str">
        <f ca="1"/>
        <v>Aura Mutation</v>
      </c>
      <c r="BC3" t="str">
        <f ca="1"/>
        <v>Aligned Heart</v>
      </c>
      <c r="BD3" t="str">
        <f ca="1"/>
        <v>Ascensão do Avernus</v>
      </c>
      <c r="BE3" t="str">
        <f ca="1"/>
        <v>Beast Within</v>
      </c>
      <c r="BF3" t="str">
        <f ca="1"/>
        <v>Crisol dos Mundos</v>
      </c>
      <c r="BG3" t="str">
        <f ca="1"/>
        <v>Amphibian Downpour</v>
      </c>
      <c r="BH3" t="str">
        <f ca="1"/>
        <v>Bojuka Bog</v>
      </c>
      <c r="BI3" t="str">
        <f ca="1"/>
        <v>Cloud, Midgar Mercenary</v>
      </c>
      <c r="BJ3" t="str">
        <f ca="1"/>
        <v>Dionus, Elvish Archdruid</v>
      </c>
      <c r="BK3" t="str">
        <f ca="1"/>
        <v>Emrakul, um Novo Mundo</v>
      </c>
      <c r="BL3" t="str">
        <f ca="1"/>
        <v>Baral, Chief of Compliance</v>
      </c>
      <c r="BM3" t="str">
        <f ca="1"/>
        <v>Bugenhagen, Wise Elder</v>
      </c>
      <c r="BN3" t="str">
        <f ca="1"/>
        <v>Dollmaker's Shop // Porcelain Gallery</v>
      </c>
      <c r="BO3" t="str">
        <f ca="1"/>
        <v>Árbitro Silencioso</v>
      </c>
      <c r="BP3" t="str">
        <f ca="1"/>
        <v>Ancient Den</v>
      </c>
      <c r="BS3" t="str">
        <f ca="1"/>
        <v>Aligned Heart</v>
      </c>
      <c r="BT3" t="str">
        <f ca="1"/>
        <v>Ancient Greenwarden</v>
      </c>
      <c r="BU3" t="str">
        <f ca="1"/>
        <v>Amphibian Downpour</v>
      </c>
      <c r="BV3" t="str">
        <f ca="1"/>
        <v>Bojuka Bog</v>
      </c>
      <c r="BW3" t="str">
        <f ca="1"/>
        <v>Caverna das Almas</v>
      </c>
      <c r="BX3" t="str">
        <f ca="1"/>
        <v>Afundar em Estupor</v>
      </c>
      <c r="BY3" t="str">
        <f ca="1"/>
        <v>Alchemist's Refuge</v>
      </c>
      <c r="BZ3" t="str">
        <f ca="1"/>
        <v>Ancient Den</v>
      </c>
      <c r="CB3" t="str">
        <f ca="1"/>
        <v>Adarkar Wastes</v>
      </c>
      <c r="CC3" t="str">
        <f ca="1"/>
        <v>Amphibian Downpour</v>
      </c>
      <c r="CD3" t="str">
        <f ca="1"/>
        <v>Afundar em Estupor</v>
      </c>
      <c r="CE3" t="str">
        <f ca="1"/>
        <v>Alchemist's Refuge</v>
      </c>
      <c r="CG3" t="str">
        <f ca="1"/>
        <v>Access Tunnel</v>
      </c>
      <c r="CH3" t="str">
        <f ca="1"/>
        <v>Afundar em Estupor</v>
      </c>
      <c r="CJ3" t="str">
        <f ca="1"/>
        <v>Access Tunnel</v>
      </c>
    </row>
    <row r="4" spans="1:88" x14ac:dyDescent="0.25">
      <c r="A4" s="3" t="str">
        <f t="shared" ca="1" si="0"/>
        <v>5</v>
      </c>
      <c r="B4" s="3">
        <f t="shared" ca="1" si="1"/>
        <v>3</v>
      </c>
      <c r="C4" s="3" t="str">
        <f ca="1">IFERROR(
 INDEX($U$1:$AX$1,
  MATCH(TRUE,
   CHOOSE({1;2;3;4;5;6;7;8;9;10;11;12;13;14;15;16;17;18;19;20;21;22;23;24;25;26;27;28;29;30;31;32},
    COUNTIFS($U$2:$U$200,$G4)&gt;0,
    COUNTIFS($V$2:$V$200,$G4)&gt;0,
    COUNTIFS($W$2:$W$200,$G4)&gt;0,
    COUNTIFS($X$2:$X$200,$G4)&gt;0,
    COUNTIFS($Y$2:$Y$200,$G4)&gt;0,
    COUNTIFS($Z$2:$Z$200,$G4)&gt;0,
    COUNTIFS($AA$2:$AA$200,$G4)&gt;0,
    COUNTIFS($AB$2:$AB$200,$G4)&gt;0,
    COUNTIFS($AC$2:$AC$200,$G4)&gt;0,
    COUNTIFS($AD$2:$AD$200,$G4)&gt;0,
    COUNTIFS($AE$2:$AE$200,$G4)&gt;0,
    COUNTIFS($AF$2:$AF$200,$G4)&gt;0,
    COUNTIFS($AG$2:$AG$200,$G4)&gt;0,
    COUNTIFS($AH$2:$AH$200,$G4)&gt;0,
    COUNTIFS($AI$2:$AI$200,$G4)&gt;0,
    COUNTIFS($AJ$2:$AJ$200,$G4)&gt;0,
    COUNTIFS($AK$2:$AK$200,$G4)&gt;0,
    COUNTIFS($AL$2:$AL$200,$G4)&gt;0,
    COUNTIFS($AM$2:$AM$200,$G4)&gt;0,
    COUNTIFS($AN$2:$AN$200,$G4)&gt;0,
    COUNTIFS($AO$2:$AO$200,$G4)&gt;0,
    COUNTIFS($AP$2:$AP$200,$G4)&gt;0,
    COUNTIFS($AQ$2:$AQ$200,$G4)&gt;0,
    COUNTIFS($AR$2:$AR$200,$G4)&gt;0,
    COUNTIFS($AS$2:$AS$200,$G4)&gt;0,
    COUNTIFS($AT$2:$AT$200,$G4)&gt;0,
    COUNTIFS($AU$2:$AU$200,$G4)&gt;0,
    COUNTIFS($AV$2:$AV$200,$G4)&gt;0,
    COUNTIFS($AW$2:$AW$200,$G4)&gt;0,
    COUNTIFS($AX$2:$AX$200,$G4)&gt;0
   ),
  0)
 ),
"")</f>
        <v>Breya</v>
      </c>
      <c r="D4" s="3" t="str" cm="1">
        <f t="array" aca="1" ref="D4" ca="1">IFERROR(
 INDEX(
  _xlfn._xlws.FILTER($U$1:$AX$1,
   TRANSPOSE(
    CHOOSE({1;2;3;4;5;6;7;8;9;10;11;12;13;14;15;16;17;18;19;20;21;22;23;24;25;26;27;28;29;30},
     COUNTIFS($U$2:$U$200,$G4)&gt;0,
     COUNTIFS($V$2:$V$200,$G4)&gt;0,
     COUNTIFS($W$2:$W$200,$G4)&gt;0,
     COUNTIFS($X$2:$X$200,$G4)&gt;0,
     COUNTIFS($Y$2:$Y$200,$G4)&gt;0,
     COUNTIFS($Z$2:$Z$200,$G4)&gt;0,
     COUNTIFS($AA$2:$AA$200,$G4)&gt;0,
     COUNTIFS($AB$2:$AB$200,$G4)&gt;0,
     COUNTIFS($AC$2:$AC$200,$G4)&gt;0,
     COUNTIFS($AD$2:$AD$200,$G4)&gt;0,
     COUNTIFS($AE$2:$AE$200,$G4)&gt;0,
     COUNTIFS($AF$2:$AF$200,$G4)&gt;0,
     COUNTIFS($AG$2:$AG$200,$G4)&gt;0,
     COUNTIFS($AH$2:$AH$200,$G4)&gt;0,
     COUNTIFS($AI$2:$AI$200,$G4)&gt;0,
     COUNTIFS($AJ$2:$AJ$200,$G4)&gt;0,
     COUNTIFS($AK$2:$AK$200,$G4)&gt;0,
     COUNTIFS($AL$2:$AL$200,$G4)&gt;0,
     COUNTIFS($AM$2:$AM$200,$G4)&gt;0,
     COUNTIFS($AN$2:$AN$200,$G4)&gt;0,
     COUNTIFS($AO$2:$AO$200,$G4)&gt;0,
     COUNTIFS($AP$2:$AP$200,$G4)&gt;0,
     COUNTIFS($AQ$2:$AQ$200,$G4)&gt;0,
     COUNTIFS($AR$2:$AR$200,$G4)&gt;0,
     COUNTIFS($AS$2:$AS$200,$G4)&gt;0,
     COUNTIFS($AT$2:$AT$200,$G4)&gt;0,
     COUNTIFS($AU$2:$AU$200,$G4)&gt;0,
     COUNTIFS($AV$2:$AV$200,$G4)&gt;0,
     COUNTIFS($AW$2:$AW$200,$G4)&gt;0,
     COUNTIFS($AX$2:$AX$200,$G4)&gt;0
   )),
  ),
  2
 ),
"")</f>
        <v>Alela</v>
      </c>
      <c r="E4" s="3" t="str" cm="1">
        <f t="array" aca="1" ref="E4" ca="1">IFERROR(
 INDEX(
  _xlfn._xlws.FILTER($U$1:$AX$1,
   TRANSPOSE(
    CHOOSE({1;2;3;4;5;6;7;8;9;10;11;12;13;14;15;16;17;18;19;20;21;22;23;24;25;26;27;28;29;30},
     COUNTIFS($U$2:$U$200,$G4)&gt;0,
     COUNTIFS($V$2:$V$200,$G4)&gt;0,
     COUNTIFS($W$2:$W$200,$G4)&gt;0,
     COUNTIFS($X$2:$X$200,$G4)&gt;0,
     COUNTIFS($Y$2:$Y$200,$G4)&gt;0,
     COUNTIFS($Z$2:$Z$200,$G4)&gt;0,
     COUNTIFS($AA$2:$AA$200,$G4)&gt;0,
     COUNTIFS($AB$2:$AB$200,$G4)&gt;0,
     COUNTIFS($AC$2:$AC$200,$G4)&gt;0,
     COUNTIFS($AD$2:$AD$200,$G4)&gt;0,
     COUNTIFS($AE$2:$AE$200,$G4)&gt;0,
     COUNTIFS($AF$2:$AF$200,$G4)&gt;0,
     COUNTIFS($AG$2:$AG$200,$G4)&gt;0,
     COUNTIFS($AH$2:$AH$200,$G4)&gt;0,
     COUNTIFS($AI$2:$AI$200,$G4)&gt;0,
     COUNTIFS($AJ$2:$AJ$200,$G4)&gt;0,
     COUNTIFS($AK$2:$AK$200,$G4)&gt;0,
     COUNTIFS($AL$2:$AL$200,$G4)&gt;0,
     COUNTIFS($AM$2:$AM$200,$G4)&gt;0,
     COUNTIFS($AN$2:$AN$200,$G4)&gt;0,
     COUNTIFS($AO$2:$AO$200,$G4)&gt;0,
     COUNTIFS($AP$2:$AP$200,$G4)&gt;0,
     COUNTIFS($AQ$2:$AQ$200,$G4)&gt;0,
     COUNTIFS($AR$2:$AR$200,$G4)&gt;0,
     COUNTIFS($AS$2:$AS$200,$G4)&gt;0,
     COUNTIFS($AT$2:$AT$200,$G4)&gt;0,
     COUNTIFS($AU$2:$AU$200,$G4)&gt;0,
     COUNTIFS($AV$2:$AV$200,$G4)&gt;0,
     COUNTIFS($AW$2:$AW$200,$G4)&gt;0,
     COUNTIFS($AX$2:$AX$200,$G4)&gt;0
   )),
  ),
  3
 ),
"")</f>
        <v>Modular</v>
      </c>
      <c r="F4" s="3" t="str" cm="1">
        <f t="array" aca="1" ref="F4" ca="1">IFERROR(
 INDEX(
  _xlfn._xlws.FILTER($U$1:$AX$1,
   TRANSPOSE(
    CHOOSE({1;2;3;4;5;6;7;8;9;10;11;12;13;14;15;16;17;18;19;20;21;22;23;24;25;26;27;28;29;30},
     COUNTIFS($U$2:$U$200,$G4)&gt;0,
     COUNTIFS($V$2:$V$200,$G4)&gt;0,
     COUNTIFS($W$2:$W$200,$G4)&gt;0,
     COUNTIFS($X$2:$X$200,$G4)&gt;0,
     COUNTIFS($Y$2:$Y$200,$G4)&gt;0,
     COUNTIFS($Z$2:$Z$200,$G4)&gt;0,
     COUNTIFS($AA$2:$AA$200,$G4)&gt;0,
     COUNTIFS($AB$2:$AB$200,$G4)&gt;0,
     COUNTIFS($AC$2:$AC$200,$G4)&gt;0,
     COUNTIFS($AD$2:$AD$200,$G4)&gt;0,
     COUNTIFS($AE$2:$AE$200,$G4)&gt;0,
     COUNTIFS($AF$2:$AF$200,$G4)&gt;0,
     COUNTIFS($AG$2:$AG$200,$G4)&gt;0,
     COUNTIFS($AH$2:$AH$200,$G4)&gt;0,
     COUNTIFS($AI$2:$AI$200,$G4)&gt;0,
     COUNTIFS($AJ$2:$AJ$200,$G4)&gt;0,
     COUNTIFS($AK$2:$AK$200,$G4)&gt;0,
     COUNTIFS($AL$2:$AL$200,$G4)&gt;0,
     COUNTIFS($AM$2:$AM$200,$G4)&gt;0,
     COUNTIFS($AN$2:$AN$200,$G4)&gt;0,
     COUNTIFS($AO$2:$AO$200,$G4)&gt;0,
     COUNTIFS($AP$2:$AP$200,$G4)&gt;0,
     COUNTIFS($AQ$2:$AQ$200,$G4)&gt;0,
     COUNTIFS($AR$2:$AR$200,$G4)&gt;0,
     COUNTIFS($AS$2:$AS$200,$G4)&gt;0,
     COUNTIFS($AT$2:$AT$200,$G4)&gt;0,
     COUNTIFS($AU$2:$AU$200,$G4)&gt;0,
     COUNTIFS($AV$2:$AV$200,$G4)&gt;0,
     COUNTIFS($AW$2:$AW$200,$G4)&gt;0,
     COUNTIFS($AX$2:$AX$200,$G4)&gt;0
   )),
  ),
  4
 ),
"")</f>
        <v/>
      </c>
      <c r="G4" t="str">
        <f ca="1"/>
        <v>Adagia, Windswept Bastion</v>
      </c>
      <c r="I4" t="s">
        <v>1531</v>
      </c>
      <c r="J4" s="3">
        <f>Baylen!G2</f>
        <v>27</v>
      </c>
      <c r="K4" s="3" t="s">
        <v>2056</v>
      </c>
      <c r="L4" s="3" t="s">
        <v>2057</v>
      </c>
      <c r="M4" s="3" t="s">
        <v>2056</v>
      </c>
      <c r="N4" s="3" t="s">
        <v>2057</v>
      </c>
      <c r="O4" s="3" t="s">
        <v>2056</v>
      </c>
      <c r="P4" s="3" t="s">
        <v>2107</v>
      </c>
      <c r="Q4" s="3" t="s">
        <v>738</v>
      </c>
      <c r="R4" s="3" t="s">
        <v>2114</v>
      </c>
      <c r="S4" s="3" t="str">
        <f t="shared" si="2"/>
        <v>2</v>
      </c>
      <c r="U4" t="str">
        <v>Broadside Bombardiers</v>
      </c>
      <c r="V4" t="str">
        <v>Boros Charm</v>
      </c>
      <c r="W4" t="str">
        <v>Clifftop Retreat</v>
      </c>
      <c r="X4" t="str">
        <v>Cankerbloom</v>
      </c>
      <c r="Y4" t="str">
        <v>Bojuka Bog</v>
      </c>
      <c r="Z4" t="str">
        <v>Bothersome Quasit</v>
      </c>
      <c r="AA4" t="str">
        <v>Deeproot Historian</v>
      </c>
      <c r="AB4" t="str">
        <v>Horizon Explorer</v>
      </c>
      <c r="AC4" t="str">
        <v>Mistrise Village</v>
      </c>
      <c r="AD4" t="str">
        <v>Delighted Halfling</v>
      </c>
      <c r="AE4" t="str">
        <v>Extinguisher Battleship</v>
      </c>
      <c r="AF4" t="str">
        <v>Batwing Brume</v>
      </c>
      <c r="AG4" t="str">
        <v>Faerie Slumber Party</v>
      </c>
      <c r="AH4" t="str">
        <v>Burnt Offering</v>
      </c>
      <c r="AI4" t="str">
        <v>Espada da Riqueza e do Poder</v>
      </c>
      <c r="AJ4" t="str">
        <v>Freyalise, Llanowar's Fury</v>
      </c>
      <c r="AK4" t="str">
        <v>Shaku da Honra Desgastada</v>
      </c>
      <c r="AL4" t="str">
        <v>Evendo, Waking Haven</v>
      </c>
      <c r="AM4" t="str">
        <v>Planetary Annihilation</v>
      </c>
      <c r="AN4" t="str">
        <v>Raffine's Tower</v>
      </c>
      <c r="AO4" t="str">
        <v>Careful Study</v>
      </c>
      <c r="AP4" t="str">
        <v>Scour for Scrap</v>
      </c>
      <c r="AQ4" t="str">
        <v>High-Society Hunter</v>
      </c>
      <c r="AR4" t="str">
        <v>Reflecting Pool</v>
      </c>
      <c r="AS4" t="str">
        <v>Scattered Groves</v>
      </c>
      <c r="AT4" t="str">
        <v>Olho de Ojer Taq</v>
      </c>
      <c r="AV4" t="str">
        <v>Homeward Path</v>
      </c>
      <c r="AX4" t="str">
        <v>Arcbound Fiend</v>
      </c>
      <c r="BB4" t="str">
        <f ca="1"/>
        <v>Back in Town</v>
      </c>
      <c r="BC4" t="str">
        <f ca="1"/>
        <v>Ardbert, Warrior of Darkness</v>
      </c>
      <c r="BD4" t="str">
        <f ca="1"/>
        <v>Autoridade dos Cônsules</v>
      </c>
      <c r="BE4" t="str">
        <f ca="1"/>
        <v>Call to the Kindred</v>
      </c>
      <c r="BF4" t="str">
        <f ca="1"/>
        <v>Delighted Halfling</v>
      </c>
      <c r="BG4" t="str">
        <f ca="1"/>
        <v>Arid Mesa</v>
      </c>
      <c r="BH4" t="str">
        <f ca="1"/>
        <v>Burnt Offering</v>
      </c>
      <c r="BI4" t="str">
        <f ca="1"/>
        <v>Commodore Guff</v>
      </c>
      <c r="BJ4" t="str">
        <f ca="1"/>
        <v>Evendo, Waking Haven</v>
      </c>
      <c r="BK4" t="str">
        <f ca="1"/>
        <v>Jetmir's Garden</v>
      </c>
      <c r="BL4" t="str">
        <f ca="1"/>
        <v>Careful Study</v>
      </c>
      <c r="BM4" t="str">
        <f ca="1"/>
        <v>Chandra's Ignition</v>
      </c>
      <c r="BN4" t="str">
        <f ca="1"/>
        <v>Illustrious Wanderglyph</v>
      </c>
      <c r="BO4" t="str">
        <f ca="1"/>
        <v>Emergency Eject</v>
      </c>
      <c r="BP4" t="str">
        <f ca="1"/>
        <v>Arcbound Fiend</v>
      </c>
      <c r="BS4" t="str">
        <f ca="1"/>
        <v>Ardbert, Warrior of Darkness</v>
      </c>
      <c r="BT4" t="str">
        <f ca="1"/>
        <v>Ascensão do Avernus</v>
      </c>
      <c r="BU4" t="str">
        <f ca="1"/>
        <v>Ancient Tomb</v>
      </c>
      <c r="BV4" t="str">
        <f ca="1"/>
        <v>Burnt Offering</v>
      </c>
      <c r="BW4" t="str">
        <f ca="1"/>
        <v>Dionus, Elvish Archdruid</v>
      </c>
      <c r="BX4" t="str">
        <f ca="1"/>
        <v>Baral, Chief of Compliance</v>
      </c>
      <c r="BY4" t="str">
        <f ca="1"/>
        <v>Árbitro Silencioso</v>
      </c>
      <c r="BZ4" t="str">
        <f ca="1"/>
        <v>Arcbound Fiend</v>
      </c>
      <c r="CB4" t="str">
        <f ca="1"/>
        <v>Aligned Heart</v>
      </c>
      <c r="CC4" t="str">
        <f ca="1"/>
        <v>Ancient Tomb</v>
      </c>
      <c r="CD4" t="str">
        <f ca="1"/>
        <v>Alchemist's Refuge</v>
      </c>
      <c r="CE4" t="str">
        <f ca="1"/>
        <v>Ancient Den</v>
      </c>
      <c r="CG4" t="str">
        <f ca="1"/>
        <v>Adarkar Wastes</v>
      </c>
      <c r="CH4" t="str">
        <f ca="1"/>
        <v>Alchemist's Refuge</v>
      </c>
      <c r="CJ4" t="str">
        <f ca="1"/>
        <v>Adagia, Windswept Bastion</v>
      </c>
    </row>
    <row r="5" spans="1:88" x14ac:dyDescent="0.25">
      <c r="A5" s="3" t="str">
        <f t="shared" ca="1" si="0"/>
        <v>2</v>
      </c>
      <c r="B5" s="3">
        <f t="shared" ca="1" si="1"/>
        <v>1</v>
      </c>
      <c r="C5" s="3" t="str">
        <f ca="1">IFERROR(
 INDEX($U$1:$AX$1,
  MATCH(TRUE,
   CHOOSE({1;2;3;4;5;6;7;8;9;10;11;12;13;14;15;16;17;18;19;20;21;22;23;24;25;26;27;28;29;30;31;32},
    COUNTIFS($U$2:$U$200,$G5)&gt;0,
    COUNTIFS($V$2:$V$200,$G5)&gt;0,
    COUNTIFS($W$2:$W$200,$G5)&gt;0,
    COUNTIFS($X$2:$X$200,$G5)&gt;0,
    COUNTIFS($Y$2:$Y$200,$G5)&gt;0,
    COUNTIFS($Z$2:$Z$200,$G5)&gt;0,
    COUNTIFS($AA$2:$AA$200,$G5)&gt;0,
    COUNTIFS($AB$2:$AB$200,$G5)&gt;0,
    COUNTIFS($AC$2:$AC$200,$G5)&gt;0,
    COUNTIFS($AD$2:$AD$200,$G5)&gt;0,
    COUNTIFS($AE$2:$AE$200,$G5)&gt;0,
    COUNTIFS($AF$2:$AF$200,$G5)&gt;0,
    COUNTIFS($AG$2:$AG$200,$G5)&gt;0,
    COUNTIFS($AH$2:$AH$200,$G5)&gt;0,
    COUNTIFS($AI$2:$AI$200,$G5)&gt;0,
    COUNTIFS($AJ$2:$AJ$200,$G5)&gt;0,
    COUNTIFS($AK$2:$AK$200,$G5)&gt;0,
    COUNTIFS($AL$2:$AL$200,$G5)&gt;0,
    COUNTIFS($AM$2:$AM$200,$G5)&gt;0,
    COUNTIFS($AN$2:$AN$200,$G5)&gt;0,
    COUNTIFS($AO$2:$AO$200,$G5)&gt;0,
    COUNTIFS($AP$2:$AP$200,$G5)&gt;0,
    COUNTIFS($AQ$2:$AQ$200,$G5)&gt;0,
    COUNTIFS($AR$2:$AR$200,$G5)&gt;0,
    COUNTIFS($AS$2:$AS$200,$G5)&gt;0,
    COUNTIFS($AT$2:$AT$200,$G5)&gt;0,
    COUNTIFS($AU$2:$AU$200,$G5)&gt;0,
    COUNTIFS($AV$2:$AV$200,$G5)&gt;0,
    COUNTIFS($AW$2:$AW$200,$G5)&gt;0,
    COUNTIFS($AX$2:$AX$200,$G5)&gt;0
   ),
  0)
 ),
"")</f>
        <v>Narset</v>
      </c>
      <c r="D5" s="3" t="str" cm="1">
        <f t="array" aca="1" ref="D5" ca="1">IFERROR(
 INDEX(
  _xlfn._xlws.FILTER($U$1:$AX$1,
   TRANSPOSE(
    CHOOSE({1;2;3;4;5;6;7;8;9;10;11;12;13;14;15;16;17;18;19;20;21;22;23;24;25;26;27;28;29;30},
     COUNTIFS($U$2:$U$200,$G5)&gt;0,
     COUNTIFS($V$2:$V$200,$G5)&gt;0,
     COUNTIFS($W$2:$W$200,$G5)&gt;0,
     COUNTIFS($X$2:$X$200,$G5)&gt;0,
     COUNTIFS($Y$2:$Y$200,$G5)&gt;0,
     COUNTIFS($Z$2:$Z$200,$G5)&gt;0,
     COUNTIFS($AA$2:$AA$200,$G5)&gt;0,
     COUNTIFS($AB$2:$AB$200,$G5)&gt;0,
     COUNTIFS($AC$2:$AC$200,$G5)&gt;0,
     COUNTIFS($AD$2:$AD$200,$G5)&gt;0,
     COUNTIFS($AE$2:$AE$200,$G5)&gt;0,
     COUNTIFS($AF$2:$AF$200,$G5)&gt;0,
     COUNTIFS($AG$2:$AG$200,$G5)&gt;0,
     COUNTIFS($AH$2:$AH$200,$G5)&gt;0,
     COUNTIFS($AI$2:$AI$200,$G5)&gt;0,
     COUNTIFS($AJ$2:$AJ$200,$G5)&gt;0,
     COUNTIFS($AK$2:$AK$200,$G5)&gt;0,
     COUNTIFS($AL$2:$AL$200,$G5)&gt;0,
     COUNTIFS($AM$2:$AM$200,$G5)&gt;0,
     COUNTIFS($AN$2:$AN$200,$G5)&gt;0,
     COUNTIFS($AO$2:$AO$200,$G5)&gt;0,
     COUNTIFS($AP$2:$AP$200,$G5)&gt;0,
     COUNTIFS($AQ$2:$AQ$200,$G5)&gt;0,
     COUNTIFS($AR$2:$AR$200,$G5)&gt;0,
     COUNTIFS($AS$2:$AS$200,$G5)&gt;0,
     COUNTIFS($AT$2:$AT$200,$G5)&gt;0,
     COUNTIFS($AU$2:$AU$200,$G5)&gt;0,
     COUNTIFS($AV$2:$AV$200,$G5)&gt;0,
     COUNTIFS($AW$2:$AW$200,$G5)&gt;0,
     COUNTIFS($AX$2:$AX$200,$G5)&gt;0
   )),
  ),
  2
 ),
"")</f>
        <v/>
      </c>
      <c r="E5" s="3" t="str" cm="1">
        <f t="array" aca="1" ref="E5" ca="1">IFERROR(
 INDEX(
  _xlfn._xlws.FILTER($U$1:$AX$1,
   TRANSPOSE(
    CHOOSE({1;2;3;4;5;6;7;8;9;10;11;12;13;14;15;16;17;18;19;20;21;22;23;24;25;26;27;28;29;30},
     COUNTIFS($U$2:$U$200,$G5)&gt;0,
     COUNTIFS($V$2:$V$200,$G5)&gt;0,
     COUNTIFS($W$2:$W$200,$G5)&gt;0,
     COUNTIFS($X$2:$X$200,$G5)&gt;0,
     COUNTIFS($Y$2:$Y$200,$G5)&gt;0,
     COUNTIFS($Z$2:$Z$200,$G5)&gt;0,
     COUNTIFS($AA$2:$AA$200,$G5)&gt;0,
     COUNTIFS($AB$2:$AB$200,$G5)&gt;0,
     COUNTIFS($AC$2:$AC$200,$G5)&gt;0,
     COUNTIFS($AD$2:$AD$200,$G5)&gt;0,
     COUNTIFS($AE$2:$AE$200,$G5)&gt;0,
     COUNTIFS($AF$2:$AF$200,$G5)&gt;0,
     COUNTIFS($AG$2:$AG$200,$G5)&gt;0,
     COUNTIFS($AH$2:$AH$200,$G5)&gt;0,
     COUNTIFS($AI$2:$AI$200,$G5)&gt;0,
     COUNTIFS($AJ$2:$AJ$200,$G5)&gt;0,
     COUNTIFS($AK$2:$AK$200,$G5)&gt;0,
     COUNTIFS($AL$2:$AL$200,$G5)&gt;0,
     COUNTIFS($AM$2:$AM$200,$G5)&gt;0,
     COUNTIFS($AN$2:$AN$200,$G5)&gt;0,
     COUNTIFS($AO$2:$AO$200,$G5)&gt;0,
     COUNTIFS($AP$2:$AP$200,$G5)&gt;0,
     COUNTIFS($AQ$2:$AQ$200,$G5)&gt;0,
     COUNTIFS($AR$2:$AR$200,$G5)&gt;0,
     COUNTIFS($AS$2:$AS$200,$G5)&gt;0,
     COUNTIFS($AT$2:$AT$200,$G5)&gt;0,
     COUNTIFS($AU$2:$AU$200,$G5)&gt;0,
     COUNTIFS($AV$2:$AV$200,$G5)&gt;0,
     COUNTIFS($AW$2:$AW$200,$G5)&gt;0,
     COUNTIFS($AX$2:$AX$200,$G5)&gt;0
   )),
  ),
  3
 ),
"")</f>
        <v/>
      </c>
      <c r="F5" s="3" t="str" cm="1">
        <f t="array" aca="1" ref="F5" ca="1">IFERROR(
 INDEX(
  _xlfn._xlws.FILTER($U$1:$AX$1,
   TRANSPOSE(
    CHOOSE({1;2;3;4;5;6;7;8;9;10;11;12;13;14;15;16;17;18;19;20;21;22;23;24;25;26;27;28;29;30},
     COUNTIFS($U$2:$U$200,$G5)&gt;0,
     COUNTIFS($V$2:$V$200,$G5)&gt;0,
     COUNTIFS($W$2:$W$200,$G5)&gt;0,
     COUNTIFS($X$2:$X$200,$G5)&gt;0,
     COUNTIFS($Y$2:$Y$200,$G5)&gt;0,
     COUNTIFS($Z$2:$Z$200,$G5)&gt;0,
     COUNTIFS($AA$2:$AA$200,$G5)&gt;0,
     COUNTIFS($AB$2:$AB$200,$G5)&gt;0,
     COUNTIFS($AC$2:$AC$200,$G5)&gt;0,
     COUNTIFS($AD$2:$AD$200,$G5)&gt;0,
     COUNTIFS($AE$2:$AE$200,$G5)&gt;0,
     COUNTIFS($AF$2:$AF$200,$G5)&gt;0,
     COUNTIFS($AG$2:$AG$200,$G5)&gt;0,
     COUNTIFS($AH$2:$AH$200,$G5)&gt;0,
     COUNTIFS($AI$2:$AI$200,$G5)&gt;0,
     COUNTIFS($AJ$2:$AJ$200,$G5)&gt;0,
     COUNTIFS($AK$2:$AK$200,$G5)&gt;0,
     COUNTIFS($AL$2:$AL$200,$G5)&gt;0,
     COUNTIFS($AM$2:$AM$200,$G5)&gt;0,
     COUNTIFS($AN$2:$AN$200,$G5)&gt;0,
     COUNTIFS($AO$2:$AO$200,$G5)&gt;0,
     COUNTIFS($AP$2:$AP$200,$G5)&gt;0,
     COUNTIFS($AQ$2:$AQ$200,$G5)&gt;0,
     COUNTIFS($AR$2:$AR$200,$G5)&gt;0,
     COUNTIFS($AS$2:$AS$200,$G5)&gt;0,
     COUNTIFS($AT$2:$AT$200,$G5)&gt;0,
     COUNTIFS($AU$2:$AU$200,$G5)&gt;0,
     COUNTIFS($AV$2:$AV$200,$G5)&gt;0,
     COUNTIFS($AW$2:$AW$200,$G5)&gt;0,
     COUNTIFS($AX$2:$AX$200,$G5)&gt;0
   )),
  ),
  4
 ),
"")</f>
        <v/>
      </c>
      <c r="G5" t="str">
        <f ca="1"/>
        <v>Adarkar Wastes</v>
      </c>
      <c r="I5" t="s">
        <v>1808</v>
      </c>
      <c r="J5" s="3">
        <f>Tayam!G2</f>
        <v>31</v>
      </c>
      <c r="K5" s="3" t="s">
        <v>2056</v>
      </c>
      <c r="L5" s="3" t="s">
        <v>2057</v>
      </c>
      <c r="M5" s="3" t="s">
        <v>2057</v>
      </c>
      <c r="N5" s="3" t="s">
        <v>2056</v>
      </c>
      <c r="O5" s="3" t="s">
        <v>2056</v>
      </c>
      <c r="P5" s="3" t="s">
        <v>738</v>
      </c>
      <c r="Q5" s="3" t="s">
        <v>327</v>
      </c>
      <c r="R5" s="3" t="s">
        <v>2117</v>
      </c>
      <c r="S5" s="3" t="str">
        <f t="shared" si="2"/>
        <v>1</v>
      </c>
      <c r="U5" t="str">
        <v>Emberwilde Captain</v>
      </c>
      <c r="V5" t="str">
        <v>Brushland</v>
      </c>
      <c r="W5" t="str">
        <v>Full Throttle</v>
      </c>
      <c r="X5" t="str">
        <v>Canopy Vista</v>
      </c>
      <c r="Y5" t="str">
        <v>Enduring Innocence</v>
      </c>
      <c r="Z5" t="str">
        <v>Counterspell</v>
      </c>
      <c r="AA5" t="str">
        <v>Harvest Season</v>
      </c>
      <c r="AB5" t="str">
        <v>Jadar, Ghoulcaller of Nephalia</v>
      </c>
      <c r="AC5" t="str">
        <v>Mox Tantalite</v>
      </c>
      <c r="AD5" t="str">
        <v>Entomb</v>
      </c>
      <c r="AE5" t="str">
        <v>Gerrard's Hourglass Pendant</v>
      </c>
      <c r="AF5" t="str">
        <v>Luxury Suite</v>
      </c>
      <c r="AG5" t="str">
        <v>Louisoix's Sacrifice</v>
      </c>
      <c r="AH5" t="str">
        <v>Diário de Tarrian</v>
      </c>
      <c r="AI5" t="str">
        <v>Espada de Banquete e Fome</v>
      </c>
      <c r="AJ5" t="str">
        <v>Karn Liberated</v>
      </c>
      <c r="AK5" t="str">
        <v>Uthros, Titanic Godcore</v>
      </c>
      <c r="AL5" t="str">
        <v>Nissa, Resurgent Animist</v>
      </c>
      <c r="AM5" t="str">
        <v>Ulamog, o Profanador</v>
      </c>
      <c r="AN5" t="str">
        <v>Sliver Gravemother</v>
      </c>
      <c r="AO5" t="str">
        <v>Collector's Vault</v>
      </c>
      <c r="AP5" t="str">
        <v>Season of Weaving</v>
      </c>
      <c r="AQ5" t="str">
        <v>Jenova, Ancient Calamity</v>
      </c>
      <c r="AS5" t="str">
        <v>Stridehangar Automaton</v>
      </c>
      <c r="AT5" t="str">
        <v>Renewed Solidarity</v>
      </c>
      <c r="AX5" t="str">
        <v>Arcbound Overseer</v>
      </c>
      <c r="BB5" t="str">
        <f ca="1"/>
        <v>Bojuka Bog</v>
      </c>
      <c r="BC5" t="str">
        <f ca="1"/>
        <v>Arwen, Weaver of Hope</v>
      </c>
      <c r="BD5" t="str">
        <f ca="1"/>
        <v>Bojuka Bog</v>
      </c>
      <c r="BE5" t="str">
        <f ca="1"/>
        <v>Deeproot Historian</v>
      </c>
      <c r="BF5" t="str">
        <f ca="1"/>
        <v>Emrakul, um Novo Mundo</v>
      </c>
      <c r="BG5" t="str">
        <f ca="1"/>
        <v>Batwing Brume</v>
      </c>
      <c r="BH5" t="str">
        <f ca="1"/>
        <v>Creeping Tar Pit</v>
      </c>
      <c r="BI5" t="str">
        <f ca="1"/>
        <v>Elspeth, Sun's Champion</v>
      </c>
      <c r="BJ5" t="str">
        <f ca="1"/>
        <v>Matoya, Archon Elder</v>
      </c>
      <c r="BK5" t="str">
        <f ca="1"/>
        <v>Mistrise Village</v>
      </c>
      <c r="BL5" t="str">
        <f ca="1"/>
        <v>Collector's Vault</v>
      </c>
      <c r="BM5" t="str">
        <f ca="1"/>
        <v>Daretti, Ingenious Iconoclast</v>
      </c>
      <c r="BN5" t="str">
        <f ca="1"/>
        <v>Lagoa Espelhada</v>
      </c>
      <c r="BO5" t="str">
        <f ca="1"/>
        <v>Homeward Path</v>
      </c>
      <c r="BP5" t="str">
        <f ca="1"/>
        <v>Arcbound Overseer</v>
      </c>
      <c r="BS5" t="str">
        <f ca="1"/>
        <v>Artifact Mutation</v>
      </c>
      <c r="BT5" t="str">
        <f ca="1"/>
        <v>Autoridade dos Cônsules</v>
      </c>
      <c r="BU5" t="str">
        <f ca="1"/>
        <v>Arid Mesa</v>
      </c>
      <c r="BV5" t="str">
        <f ca="1"/>
        <v>Cid, Freeflier Pilot</v>
      </c>
      <c r="BW5" t="str">
        <f ca="1"/>
        <v>Emrakul, um Novo Mundo</v>
      </c>
      <c r="BX5" t="str">
        <f ca="1"/>
        <v>Bugenhagen, Wise Elder</v>
      </c>
      <c r="BY5" t="str">
        <f ca="1"/>
        <v>Dollmaker's Shop // Porcelain Gallery</v>
      </c>
      <c r="BZ5" t="str">
        <f ca="1"/>
        <v>Arcbound Overseer</v>
      </c>
      <c r="CB5" t="str">
        <f ca="1"/>
        <v>Ancient Greenwarden</v>
      </c>
      <c r="CC5" t="str">
        <f ca="1"/>
        <v>Arcane Lighthouse</v>
      </c>
      <c r="CD5" t="str">
        <f ca="1"/>
        <v>Baral, Chief of Compliance</v>
      </c>
      <c r="CE5" t="str">
        <f ca="1"/>
        <v>Árbitro Silencioso</v>
      </c>
      <c r="CG5" t="str">
        <f ca="1"/>
        <v>Aligned Heart</v>
      </c>
      <c r="CH5" t="str">
        <f ca="1"/>
        <v>Ancient Den</v>
      </c>
      <c r="CJ5" t="str">
        <f ca="1"/>
        <v>Adarkar Wastes</v>
      </c>
    </row>
    <row r="6" spans="1:88" x14ac:dyDescent="0.25">
      <c r="A6" s="3" t="str">
        <f t="shared" ca="1" si="0"/>
        <v>4</v>
      </c>
      <c r="B6" s="3">
        <f t="shared" ca="1" si="1"/>
        <v>1</v>
      </c>
      <c r="C6" s="3" t="str">
        <f ca="1">IFERROR(
 INDEX($U$1:$AX$1,
  MATCH(TRUE,
   CHOOSE({1;2;3;4;5;6;7;8;9;10;11;12;13;14;15;16;17;18;19;20;21;22;23;24;25;26;27;28;29;30;31;32},
    COUNTIFS($U$2:$U$200,$G6)&gt;0,
    COUNTIFS($V$2:$V$200,$G6)&gt;0,
    COUNTIFS($W$2:$W$200,$G6)&gt;0,
    COUNTIFS($X$2:$X$200,$G6)&gt;0,
    COUNTIFS($Y$2:$Y$200,$G6)&gt;0,
    COUNTIFS($Z$2:$Z$200,$G6)&gt;0,
    COUNTIFS($AA$2:$AA$200,$G6)&gt;0,
    COUNTIFS($AB$2:$AB$200,$G6)&gt;0,
    COUNTIFS($AC$2:$AC$200,$G6)&gt;0,
    COUNTIFS($AD$2:$AD$200,$G6)&gt;0,
    COUNTIFS($AE$2:$AE$200,$G6)&gt;0,
    COUNTIFS($AF$2:$AF$200,$G6)&gt;0,
    COUNTIFS($AG$2:$AG$200,$G6)&gt;0,
    COUNTIFS($AH$2:$AH$200,$G6)&gt;0,
    COUNTIFS($AI$2:$AI$200,$G6)&gt;0,
    COUNTIFS($AJ$2:$AJ$200,$G6)&gt;0,
    COUNTIFS($AK$2:$AK$200,$G6)&gt;0,
    COUNTIFS($AL$2:$AL$200,$G6)&gt;0,
    COUNTIFS($AM$2:$AM$200,$G6)&gt;0,
    COUNTIFS($AN$2:$AN$200,$G6)&gt;0,
    COUNTIFS($AO$2:$AO$200,$G6)&gt;0,
    COUNTIFS($AP$2:$AP$200,$G6)&gt;0,
    COUNTIFS($AQ$2:$AQ$200,$G6)&gt;0,
    COUNTIFS($AR$2:$AR$200,$G6)&gt;0,
    COUNTIFS($AS$2:$AS$200,$G6)&gt;0,
    COUNTIFS($AT$2:$AT$200,$G6)&gt;0,
    COUNTIFS($AU$2:$AU$200,$G6)&gt;0,
    COUNTIFS($AV$2:$AV$200,$G6)&gt;0,
    COUNTIFS($AW$2:$AW$200,$G6)&gt;0,
    COUNTIFS($AX$2:$AX$200,$G6)&gt;0
   ),
  0)
 ),
"")</f>
        <v>Rielle</v>
      </c>
      <c r="D6" s="3" t="str" cm="1">
        <f t="array" aca="1" ref="D6" ca="1">IFERROR(
 INDEX(
  _xlfn._xlws.FILTER($U$1:$AX$1,
   TRANSPOSE(
    CHOOSE({1;2;3;4;5;6;7;8;9;10;11;12;13;14;15;16;17;18;19;20;21;22;23;24;25;26;27;28;29;30},
     COUNTIFS($U$2:$U$200,$G6)&gt;0,
     COUNTIFS($V$2:$V$200,$G6)&gt;0,
     COUNTIFS($W$2:$W$200,$G6)&gt;0,
     COUNTIFS($X$2:$X$200,$G6)&gt;0,
     COUNTIFS($Y$2:$Y$200,$G6)&gt;0,
     COUNTIFS($Z$2:$Z$200,$G6)&gt;0,
     COUNTIFS($AA$2:$AA$200,$G6)&gt;0,
     COUNTIFS($AB$2:$AB$200,$G6)&gt;0,
     COUNTIFS($AC$2:$AC$200,$G6)&gt;0,
     COUNTIFS($AD$2:$AD$200,$G6)&gt;0,
     COUNTIFS($AE$2:$AE$200,$G6)&gt;0,
     COUNTIFS($AF$2:$AF$200,$G6)&gt;0,
     COUNTIFS($AG$2:$AG$200,$G6)&gt;0,
     COUNTIFS($AH$2:$AH$200,$G6)&gt;0,
     COUNTIFS($AI$2:$AI$200,$G6)&gt;0,
     COUNTIFS($AJ$2:$AJ$200,$G6)&gt;0,
     COUNTIFS($AK$2:$AK$200,$G6)&gt;0,
     COUNTIFS($AL$2:$AL$200,$G6)&gt;0,
     COUNTIFS($AM$2:$AM$200,$G6)&gt;0,
     COUNTIFS($AN$2:$AN$200,$G6)&gt;0,
     COUNTIFS($AO$2:$AO$200,$G6)&gt;0,
     COUNTIFS($AP$2:$AP$200,$G6)&gt;0,
     COUNTIFS($AQ$2:$AQ$200,$G6)&gt;0,
     COUNTIFS($AR$2:$AR$200,$G6)&gt;0,
     COUNTIFS($AS$2:$AS$200,$G6)&gt;0,
     COUNTIFS($AT$2:$AT$200,$G6)&gt;0,
     COUNTIFS($AU$2:$AU$200,$G6)&gt;0,
     COUNTIFS($AV$2:$AV$200,$G6)&gt;0,
     COUNTIFS($AW$2:$AW$200,$G6)&gt;0,
     COUNTIFS($AX$2:$AX$200,$G6)&gt;0
   )),
  ),
  2
 ),
"")</f>
        <v/>
      </c>
      <c r="E6" s="3" t="str" cm="1">
        <f t="array" aca="1" ref="E6" ca="1">IFERROR(
 INDEX(
  _xlfn._xlws.FILTER($U$1:$AX$1,
   TRANSPOSE(
    CHOOSE({1;2;3;4;5;6;7;8;9;10;11;12;13;14;15;16;17;18;19;20;21;22;23;24;25;26;27;28;29;30},
     COUNTIFS($U$2:$U$200,$G6)&gt;0,
     COUNTIFS($V$2:$V$200,$G6)&gt;0,
     COUNTIFS($W$2:$W$200,$G6)&gt;0,
     COUNTIFS($X$2:$X$200,$G6)&gt;0,
     COUNTIFS($Y$2:$Y$200,$G6)&gt;0,
     COUNTIFS($Z$2:$Z$200,$G6)&gt;0,
     COUNTIFS($AA$2:$AA$200,$G6)&gt;0,
     COUNTIFS($AB$2:$AB$200,$G6)&gt;0,
     COUNTIFS($AC$2:$AC$200,$G6)&gt;0,
     COUNTIFS($AD$2:$AD$200,$G6)&gt;0,
     COUNTIFS($AE$2:$AE$200,$G6)&gt;0,
     COUNTIFS($AF$2:$AF$200,$G6)&gt;0,
     COUNTIFS($AG$2:$AG$200,$G6)&gt;0,
     COUNTIFS($AH$2:$AH$200,$G6)&gt;0,
     COUNTIFS($AI$2:$AI$200,$G6)&gt;0,
     COUNTIFS($AJ$2:$AJ$200,$G6)&gt;0,
     COUNTIFS($AK$2:$AK$200,$G6)&gt;0,
     COUNTIFS($AL$2:$AL$200,$G6)&gt;0,
     COUNTIFS($AM$2:$AM$200,$G6)&gt;0,
     COUNTIFS($AN$2:$AN$200,$G6)&gt;0,
     COUNTIFS($AO$2:$AO$200,$G6)&gt;0,
     COUNTIFS($AP$2:$AP$200,$G6)&gt;0,
     COUNTIFS($AQ$2:$AQ$200,$G6)&gt;0,
     COUNTIFS($AR$2:$AR$200,$G6)&gt;0,
     COUNTIFS($AS$2:$AS$200,$G6)&gt;0,
     COUNTIFS($AT$2:$AT$200,$G6)&gt;0,
     COUNTIFS($AU$2:$AU$200,$G6)&gt;0,
     COUNTIFS($AV$2:$AV$200,$G6)&gt;0,
     COUNTIFS($AW$2:$AW$200,$G6)&gt;0,
     COUNTIFS($AX$2:$AX$200,$G6)&gt;0
   )),
  ),
  3
 ),
"")</f>
        <v/>
      </c>
      <c r="F6" s="3" t="str" cm="1">
        <f t="array" aca="1" ref="F6" ca="1">IFERROR(
 INDEX(
  _xlfn._xlws.FILTER($U$1:$AX$1,
   TRANSPOSE(
    CHOOSE({1;2;3;4;5;6;7;8;9;10;11;12;13;14;15;16;17;18;19;20;21;22;23;24;25;26;27;28;29;30},
     COUNTIFS($U$2:$U$200,$G6)&gt;0,
     COUNTIFS($V$2:$V$200,$G6)&gt;0,
     COUNTIFS($W$2:$W$200,$G6)&gt;0,
     COUNTIFS($X$2:$X$200,$G6)&gt;0,
     COUNTIFS($Y$2:$Y$200,$G6)&gt;0,
     COUNTIFS($Z$2:$Z$200,$G6)&gt;0,
     COUNTIFS($AA$2:$AA$200,$G6)&gt;0,
     COUNTIFS($AB$2:$AB$200,$G6)&gt;0,
     COUNTIFS($AC$2:$AC$200,$G6)&gt;0,
     COUNTIFS($AD$2:$AD$200,$G6)&gt;0,
     COUNTIFS($AE$2:$AE$200,$G6)&gt;0,
     COUNTIFS($AF$2:$AF$200,$G6)&gt;0,
     COUNTIFS($AG$2:$AG$200,$G6)&gt;0,
     COUNTIFS($AH$2:$AH$200,$G6)&gt;0,
     COUNTIFS($AI$2:$AI$200,$G6)&gt;0,
     COUNTIFS($AJ$2:$AJ$200,$G6)&gt;0,
     COUNTIFS($AK$2:$AK$200,$G6)&gt;0,
     COUNTIFS($AL$2:$AL$200,$G6)&gt;0,
     COUNTIFS($AM$2:$AM$200,$G6)&gt;0,
     COUNTIFS($AN$2:$AN$200,$G6)&gt;0,
     COUNTIFS($AO$2:$AO$200,$G6)&gt;0,
     COUNTIFS($AP$2:$AP$200,$G6)&gt;0,
     COUNTIFS($AQ$2:$AQ$200,$G6)&gt;0,
     COUNTIFS($AR$2:$AR$200,$G6)&gt;0,
     COUNTIFS($AS$2:$AS$200,$G6)&gt;0,
     COUNTIFS($AT$2:$AT$200,$G6)&gt;0,
     COUNTIFS($AU$2:$AU$200,$G6)&gt;0,
     COUNTIFS($AV$2:$AV$200,$G6)&gt;0,
     COUNTIFS($AW$2:$AW$200,$G6)&gt;0,
     COUNTIFS($AX$2:$AX$200,$G6)&gt;0
   )),
  ),
  4
 ),
"")</f>
        <v/>
      </c>
      <c r="G6" t="str">
        <f ca="1"/>
        <v>Afundar em Estupor</v>
      </c>
      <c r="I6" t="s">
        <v>2001</v>
      </c>
      <c r="J6" s="3">
        <f>Piratas!G2</f>
        <v>17</v>
      </c>
      <c r="K6" s="3" t="s">
        <v>2057</v>
      </c>
      <c r="L6" s="3" t="s">
        <v>2056</v>
      </c>
      <c r="M6" s="3" t="s">
        <v>2056</v>
      </c>
      <c r="N6" s="3" t="s">
        <v>2056</v>
      </c>
      <c r="O6" s="3" t="s">
        <v>2057</v>
      </c>
      <c r="P6" s="3" t="s">
        <v>738</v>
      </c>
      <c r="Q6" s="3" t="s">
        <v>327</v>
      </c>
      <c r="R6" s="3" t="s">
        <v>2115</v>
      </c>
      <c r="S6" s="3" t="str">
        <f t="shared" si="2"/>
        <v>2</v>
      </c>
      <c r="U6" t="str">
        <v>Fabled Passage</v>
      </c>
      <c r="V6" t="str">
        <v>Castle Ardenvale</v>
      </c>
      <c r="W6" t="str">
        <v>Genji Glove</v>
      </c>
      <c r="X6" t="str">
        <v>Champion of Lambholt</v>
      </c>
      <c r="Y6" t="str">
        <v>Exemplar of Light</v>
      </c>
      <c r="Z6" t="str">
        <v>Cyber Conversion</v>
      </c>
      <c r="AA6" t="str">
        <v>Herald of Secret Streams</v>
      </c>
      <c r="AB6" t="str">
        <v>Misty Rainforest</v>
      </c>
      <c r="AC6" t="str">
        <v>Rise of the Eldrazi</v>
      </c>
      <c r="AD6" t="str">
        <v>Hedge Shredder</v>
      </c>
      <c r="AE6" t="str">
        <v>Inventors' Fair</v>
      </c>
      <c r="AF6" t="str">
        <v>Mandate of Peace</v>
      </c>
      <c r="AG6" t="str">
        <v>Morphic Pool</v>
      </c>
      <c r="AH6" t="str">
        <v>Glasspool Mimic</v>
      </c>
      <c r="AI6" t="str">
        <v>Espada de Fogo e Gelo</v>
      </c>
      <c r="AJ6" t="str">
        <v>Kaya the Inexorable</v>
      </c>
      <c r="AL6" t="str">
        <v>Overgrown Tomb</v>
      </c>
      <c r="AM6" t="str">
        <v>Valfenda</v>
      </c>
      <c r="AN6" t="str">
        <v>Thrumming Hivepool</v>
      </c>
      <c r="AO6" t="str">
        <v>Ojer Pakpatiq, Era Profunda</v>
      </c>
      <c r="AP6" t="str">
        <v>Sonic Screwdriver</v>
      </c>
      <c r="AQ6" t="str">
        <v>Nibelheim Aflame</v>
      </c>
      <c r="AS6" t="str">
        <v>Susur Secundi, Void Altar</v>
      </c>
      <c r="AT6" t="str">
        <v>Westvale Abbey</v>
      </c>
      <c r="AX6" t="str">
        <v>Badgermole</v>
      </c>
      <c r="BB6" t="str">
        <f ca="1"/>
        <v>Boros Charm</v>
      </c>
      <c r="BC6" t="str">
        <f ca="1"/>
        <v>Cankerbloom</v>
      </c>
      <c r="BD6" t="str">
        <f ca="1"/>
        <v>Bothersome Quasit</v>
      </c>
      <c r="BE6" t="str">
        <f ca="1"/>
        <v>Grave Pact</v>
      </c>
      <c r="BF6" t="str">
        <f ca="1"/>
        <v>Entomb</v>
      </c>
      <c r="BG6" t="str">
        <f ca="1"/>
        <v>Chimil, o Sol Interior</v>
      </c>
      <c r="BH6" t="str">
        <f ca="1"/>
        <v>Diário de Tarrian</v>
      </c>
      <c r="BI6" t="str">
        <f ca="1"/>
        <v>Espada da Riqueza e do Poder</v>
      </c>
      <c r="BJ6" t="str">
        <f ca="1"/>
        <v>Nissa, Resurgent Animist</v>
      </c>
      <c r="BK6" t="str">
        <f ca="1"/>
        <v>Planetary Annihilation</v>
      </c>
      <c r="BL6" t="str">
        <f ca="1"/>
        <v>Invasion of Segovia</v>
      </c>
      <c r="BM6" t="str">
        <f ca="1"/>
        <v>High-Society Hunter</v>
      </c>
      <c r="BN6" t="str">
        <f ca="1"/>
        <v>Olho de Ojer Taq</v>
      </c>
      <c r="BO6" t="str">
        <f ca="1"/>
        <v>Teyo, Geometric Tactician</v>
      </c>
      <c r="BP6" t="str">
        <f ca="1"/>
        <v>Badgermole</v>
      </c>
      <c r="BS6" t="str">
        <f ca="1"/>
        <v>Arwen, Weaver of Hope</v>
      </c>
      <c r="BT6" t="str">
        <f ca="1"/>
        <v>Beast Within</v>
      </c>
      <c r="BU6" t="str">
        <f ca="1"/>
        <v>Batwing Brume</v>
      </c>
      <c r="BV6" t="str">
        <f ca="1"/>
        <v>Cloud, Midgar Mercenary</v>
      </c>
      <c r="BW6" t="str">
        <f ca="1"/>
        <v>Evendo, Waking Haven</v>
      </c>
      <c r="BX6" t="str">
        <f ca="1"/>
        <v>Careful Study</v>
      </c>
      <c r="BY6" t="str">
        <f ca="1"/>
        <v>Emergency Eject</v>
      </c>
      <c r="BZ6" t="str">
        <f ca="1"/>
        <v>Badgermole</v>
      </c>
      <c r="CB6" t="str">
        <f ca="1"/>
        <v>Ardbert, Warrior of Darkness</v>
      </c>
      <c r="CC6" t="str">
        <f ca="1"/>
        <v>Arid Mesa</v>
      </c>
      <c r="CD6" t="str">
        <f ca="1"/>
        <v>Bugenhagen, Wise Elder</v>
      </c>
      <c r="CE6" t="str">
        <f ca="1"/>
        <v>Arcbound Fiend</v>
      </c>
      <c r="CG6" t="str">
        <f ca="1"/>
        <v>Amphibian Downpour</v>
      </c>
      <c r="CH6" t="str">
        <f ca="1"/>
        <v>Árbitro Silencioso</v>
      </c>
      <c r="CJ6" t="str">
        <f ca="1"/>
        <v>Afundar em Estupor</v>
      </c>
    </row>
    <row r="7" spans="1:88" x14ac:dyDescent="0.25">
      <c r="A7" s="3" t="str">
        <f t="shared" ca="1" si="0"/>
        <v>4</v>
      </c>
      <c r="B7" s="3">
        <f t="shared" ca="1" si="1"/>
        <v>2</v>
      </c>
      <c r="C7" s="3" t="str">
        <f ca="1">IFERROR(
 INDEX($U$1:$AX$1,
  MATCH(TRUE,
   CHOOSE({1;2;3;4;5;6;7;8;9;10;11;12;13;14;15;16;17;18;19;20;21;22;23;24;25;26;27;28;29;30;31;32},
    COUNTIFS($U$2:$U$200,$G7)&gt;0,
    COUNTIFS($V$2:$V$200,$G7)&gt;0,
    COUNTIFS($W$2:$W$200,$G7)&gt;0,
    COUNTIFS($X$2:$X$200,$G7)&gt;0,
    COUNTIFS($Y$2:$Y$200,$G7)&gt;0,
    COUNTIFS($Z$2:$Z$200,$G7)&gt;0,
    COUNTIFS($AA$2:$AA$200,$G7)&gt;0,
    COUNTIFS($AB$2:$AB$200,$G7)&gt;0,
    COUNTIFS($AC$2:$AC$200,$G7)&gt;0,
    COUNTIFS($AD$2:$AD$200,$G7)&gt;0,
    COUNTIFS($AE$2:$AE$200,$G7)&gt;0,
    COUNTIFS($AF$2:$AF$200,$G7)&gt;0,
    COUNTIFS($AG$2:$AG$200,$G7)&gt;0,
    COUNTIFS($AH$2:$AH$200,$G7)&gt;0,
    COUNTIFS($AI$2:$AI$200,$G7)&gt;0,
    COUNTIFS($AJ$2:$AJ$200,$G7)&gt;0,
    COUNTIFS($AK$2:$AK$200,$G7)&gt;0,
    COUNTIFS($AL$2:$AL$200,$G7)&gt;0,
    COUNTIFS($AM$2:$AM$200,$G7)&gt;0,
    COUNTIFS($AN$2:$AN$200,$G7)&gt;0,
    COUNTIFS($AO$2:$AO$200,$G7)&gt;0,
    COUNTIFS($AP$2:$AP$200,$G7)&gt;0,
    COUNTIFS($AQ$2:$AQ$200,$G7)&gt;0,
    COUNTIFS($AR$2:$AR$200,$G7)&gt;0,
    COUNTIFS($AS$2:$AS$200,$G7)&gt;0,
    COUNTIFS($AT$2:$AT$200,$G7)&gt;0,
    COUNTIFS($AU$2:$AU$200,$G7)&gt;0,
    COUNTIFS($AV$2:$AV$200,$G7)&gt;0,
    COUNTIFS($AW$2:$AW$200,$G7)&gt;0,
    COUNTIFS($AX$2:$AX$200,$G7)&gt;0
   ),
  0)
 ),
"")</f>
        <v>Elfos</v>
      </c>
      <c r="D7" s="3" t="str" cm="1">
        <f t="array" aca="1" ref="D7" ca="1">IFERROR(
 INDEX(
  _xlfn._xlws.FILTER($U$1:$AX$1,
   TRANSPOSE(
    CHOOSE({1;2;3;4;5;6;7;8;9;10;11;12;13;14;15;16;17;18;19;20;21;22;23;24;25;26;27;28;29;30},
     COUNTIFS($U$2:$U$200,$G7)&gt;0,
     COUNTIFS($V$2:$V$200,$G7)&gt;0,
     COUNTIFS($W$2:$W$200,$G7)&gt;0,
     COUNTIFS($X$2:$X$200,$G7)&gt;0,
     COUNTIFS($Y$2:$Y$200,$G7)&gt;0,
     COUNTIFS($Z$2:$Z$200,$G7)&gt;0,
     COUNTIFS($AA$2:$AA$200,$G7)&gt;0,
     COUNTIFS($AB$2:$AB$200,$G7)&gt;0,
     COUNTIFS($AC$2:$AC$200,$G7)&gt;0,
     COUNTIFS($AD$2:$AD$200,$G7)&gt;0,
     COUNTIFS($AE$2:$AE$200,$G7)&gt;0,
     COUNTIFS($AF$2:$AF$200,$G7)&gt;0,
     COUNTIFS($AG$2:$AG$200,$G7)&gt;0,
     COUNTIFS($AH$2:$AH$200,$G7)&gt;0,
     COUNTIFS($AI$2:$AI$200,$G7)&gt;0,
     COUNTIFS($AJ$2:$AJ$200,$G7)&gt;0,
     COUNTIFS($AK$2:$AK$200,$G7)&gt;0,
     COUNTIFS($AL$2:$AL$200,$G7)&gt;0,
     COUNTIFS($AM$2:$AM$200,$G7)&gt;0,
     COUNTIFS($AN$2:$AN$200,$G7)&gt;0,
     COUNTIFS($AO$2:$AO$200,$G7)&gt;0,
     COUNTIFS($AP$2:$AP$200,$G7)&gt;0,
     COUNTIFS($AQ$2:$AQ$200,$G7)&gt;0,
     COUNTIFS($AR$2:$AR$200,$G7)&gt;0,
     COUNTIFS($AS$2:$AS$200,$G7)&gt;0,
     COUNTIFS($AT$2:$AT$200,$G7)&gt;0,
     COUNTIFS($AU$2:$AU$200,$G7)&gt;0,
     COUNTIFS($AV$2:$AV$200,$G7)&gt;0,
     COUNTIFS($AW$2:$AW$200,$G7)&gt;0,
     COUNTIFS($AX$2:$AX$200,$G7)&gt;0
   )),
  ),
  2
 ),
"")</f>
        <v>Arcades</v>
      </c>
      <c r="E7" s="3" t="str" cm="1">
        <f t="array" aca="1" ref="E7" ca="1">IFERROR(
 INDEX(
  _xlfn._xlws.FILTER($U$1:$AX$1,
   TRANSPOSE(
    CHOOSE({1;2;3;4;5;6;7;8;9;10;11;12;13;14;15;16;17;18;19;20;21;22;23;24;25;26;27;28;29;30},
     COUNTIFS($U$2:$U$200,$G7)&gt;0,
     COUNTIFS($V$2:$V$200,$G7)&gt;0,
     COUNTIFS($W$2:$W$200,$G7)&gt;0,
     COUNTIFS($X$2:$X$200,$G7)&gt;0,
     COUNTIFS($Y$2:$Y$200,$G7)&gt;0,
     COUNTIFS($Z$2:$Z$200,$G7)&gt;0,
     COUNTIFS($AA$2:$AA$200,$G7)&gt;0,
     COUNTIFS($AB$2:$AB$200,$G7)&gt;0,
     COUNTIFS($AC$2:$AC$200,$G7)&gt;0,
     COUNTIFS($AD$2:$AD$200,$G7)&gt;0,
     COUNTIFS($AE$2:$AE$200,$G7)&gt;0,
     COUNTIFS($AF$2:$AF$200,$G7)&gt;0,
     COUNTIFS($AG$2:$AG$200,$G7)&gt;0,
     COUNTIFS($AH$2:$AH$200,$G7)&gt;0,
     COUNTIFS($AI$2:$AI$200,$G7)&gt;0,
     COUNTIFS($AJ$2:$AJ$200,$G7)&gt;0,
     COUNTIFS($AK$2:$AK$200,$G7)&gt;0,
     COUNTIFS($AL$2:$AL$200,$G7)&gt;0,
     COUNTIFS($AM$2:$AM$200,$G7)&gt;0,
     COUNTIFS($AN$2:$AN$200,$G7)&gt;0,
     COUNTIFS($AO$2:$AO$200,$G7)&gt;0,
     COUNTIFS($AP$2:$AP$200,$G7)&gt;0,
     COUNTIFS($AQ$2:$AQ$200,$G7)&gt;0,
     COUNTIFS($AR$2:$AR$200,$G7)&gt;0,
     COUNTIFS($AS$2:$AS$200,$G7)&gt;0,
     COUNTIFS($AT$2:$AT$200,$G7)&gt;0,
     COUNTIFS($AU$2:$AU$200,$G7)&gt;0,
     COUNTIFS($AV$2:$AV$200,$G7)&gt;0,
     COUNTIFS($AW$2:$AW$200,$G7)&gt;0,
     COUNTIFS($AX$2:$AX$200,$G7)&gt;0
   )),
  ),
  3
 ),
"")</f>
        <v/>
      </c>
      <c r="F7" s="3" t="str" cm="1">
        <f t="array" aca="1" ref="F7" ca="1">IFERROR(
 INDEX(
  _xlfn._xlws.FILTER($U$1:$AX$1,
   TRANSPOSE(
    CHOOSE({1;2;3;4;5;6;7;8;9;10;11;12;13;14;15;16;17;18;19;20;21;22;23;24;25;26;27;28;29;30},
     COUNTIFS($U$2:$U$200,$G7)&gt;0,
     COUNTIFS($V$2:$V$200,$G7)&gt;0,
     COUNTIFS($W$2:$W$200,$G7)&gt;0,
     COUNTIFS($X$2:$X$200,$G7)&gt;0,
     COUNTIFS($Y$2:$Y$200,$G7)&gt;0,
     COUNTIFS($Z$2:$Z$200,$G7)&gt;0,
     COUNTIFS($AA$2:$AA$200,$G7)&gt;0,
     COUNTIFS($AB$2:$AB$200,$G7)&gt;0,
     COUNTIFS($AC$2:$AC$200,$G7)&gt;0,
     COUNTIFS($AD$2:$AD$200,$G7)&gt;0,
     COUNTIFS($AE$2:$AE$200,$G7)&gt;0,
     COUNTIFS($AF$2:$AF$200,$G7)&gt;0,
     COUNTIFS($AG$2:$AG$200,$G7)&gt;0,
     COUNTIFS($AH$2:$AH$200,$G7)&gt;0,
     COUNTIFS($AI$2:$AI$200,$G7)&gt;0,
     COUNTIFS($AJ$2:$AJ$200,$G7)&gt;0,
     COUNTIFS($AK$2:$AK$200,$G7)&gt;0,
     COUNTIFS($AL$2:$AL$200,$G7)&gt;0,
     COUNTIFS($AM$2:$AM$200,$G7)&gt;0,
     COUNTIFS($AN$2:$AN$200,$G7)&gt;0,
     COUNTIFS($AO$2:$AO$200,$G7)&gt;0,
     COUNTIFS($AP$2:$AP$200,$G7)&gt;0,
     COUNTIFS($AQ$2:$AQ$200,$G7)&gt;0,
     COUNTIFS($AR$2:$AR$200,$G7)&gt;0,
     COUNTIFS($AS$2:$AS$200,$G7)&gt;0,
     COUNTIFS($AT$2:$AT$200,$G7)&gt;0,
     COUNTIFS($AU$2:$AU$200,$G7)&gt;0,
     COUNTIFS($AV$2:$AV$200,$G7)&gt;0,
     COUNTIFS($AW$2:$AW$200,$G7)&gt;0,
     COUNTIFS($AX$2:$AX$200,$G7)&gt;0
   )),
  ),
  4
 ),
"")</f>
        <v/>
      </c>
      <c r="G7" t="str">
        <f ca="1"/>
        <v>Alchemist's Refuge</v>
      </c>
      <c r="I7" t="s">
        <v>19</v>
      </c>
      <c r="J7" s="3">
        <f>Carlos!G2</f>
        <v>14</v>
      </c>
      <c r="K7" s="3" t="s">
        <v>2056</v>
      </c>
      <c r="L7" s="3" t="s">
        <v>2057</v>
      </c>
      <c r="M7" s="3" t="s">
        <v>2057</v>
      </c>
      <c r="N7" s="3" t="s">
        <v>2056</v>
      </c>
      <c r="O7" s="3" t="s">
        <v>2057</v>
      </c>
      <c r="P7" s="3" t="s">
        <v>2107</v>
      </c>
      <c r="Q7" s="3" t="s">
        <v>2111</v>
      </c>
      <c r="R7" s="3" t="s">
        <v>2116</v>
      </c>
      <c r="S7" s="3" t="str">
        <f t="shared" si="2"/>
        <v>3</v>
      </c>
      <c r="U7" t="str">
        <v>Glint-Horn Buccaneer</v>
      </c>
      <c r="V7" t="str">
        <v>Champions from Beyond</v>
      </c>
      <c r="W7" t="str">
        <v>Ghostly Prison</v>
      </c>
      <c r="X7" t="str">
        <v>Dever Além da Morte</v>
      </c>
      <c r="Y7" t="str">
        <v>Giver of Runes</v>
      </c>
      <c r="Z7" t="str">
        <v>Drowned Catacomb</v>
      </c>
      <c r="AA7" t="str">
        <v>Kodama's Reach</v>
      </c>
      <c r="AB7" t="str">
        <v>Scalding Tarn</v>
      </c>
      <c r="AC7" t="str">
        <v>Rotating Fireplace</v>
      </c>
      <c r="AD7" t="str">
        <v>Petrified Field</v>
      </c>
      <c r="AE7" t="str">
        <v>Mirrex</v>
      </c>
      <c r="AF7" t="str">
        <v>Polluted Delta</v>
      </c>
      <c r="AG7" t="str">
        <v>Satoru, the Infiltrator</v>
      </c>
      <c r="AH7" t="str">
        <v>Mistbind Clique</v>
      </c>
      <c r="AI7" t="str">
        <v>Espada de Luz e Sombra</v>
      </c>
      <c r="AJ7" t="str">
        <v>Lolth, Rainha Aranha</v>
      </c>
      <c r="AL7" t="str">
        <v>Swamp</v>
      </c>
      <c r="AN7" t="str">
        <v>Trioma de Indatha</v>
      </c>
      <c r="AO7" t="str">
        <v>Serenata das Estriges</v>
      </c>
      <c r="AP7" t="str">
        <v>Três Passos à Frente</v>
      </c>
      <c r="AQ7" t="str">
        <v>Pain for All</v>
      </c>
      <c r="AS7" t="str">
        <v>Warren Soultrader</v>
      </c>
      <c r="AX7" t="str">
        <v>Beast Within</v>
      </c>
      <c r="BB7" t="str">
        <f ca="1"/>
        <v>Broadside Bombardiers</v>
      </c>
      <c r="BC7" t="str">
        <f ca="1"/>
        <v>Canopy Vista</v>
      </c>
      <c r="BD7" t="str">
        <f ca="1"/>
        <v>Counterspell</v>
      </c>
      <c r="BE7" t="str">
        <f ca="1"/>
        <v>Harvest Season</v>
      </c>
      <c r="BF7" t="str">
        <f ca="1"/>
        <v>Hedge Shredder</v>
      </c>
      <c r="BG7" t="str">
        <f ca="1"/>
        <v>Extinguisher Battleship</v>
      </c>
      <c r="BH7" t="str">
        <f ca="1"/>
        <v>Drowned Catacomb</v>
      </c>
      <c r="BI7" t="str">
        <f ca="1"/>
        <v>Espada de Banquete e Fome</v>
      </c>
      <c r="BJ7" t="str">
        <f ca="1"/>
        <v>Obelisco de Obsidiana</v>
      </c>
      <c r="BK7" t="str">
        <f ca="1"/>
        <v>Raffine's Tower</v>
      </c>
      <c r="BL7" t="str">
        <f ca="1"/>
        <v>Jidoor, Aristocratic Capital // Overture</v>
      </c>
      <c r="BM7" t="str">
        <f ca="1"/>
        <v>Jenova, Ancient Calamity</v>
      </c>
      <c r="BN7" t="str">
        <f ca="1"/>
        <v>Renewed Solidarity</v>
      </c>
      <c r="BP7" t="str">
        <f ca="1"/>
        <v>Beast Within</v>
      </c>
      <c r="BS7" t="str">
        <f ca="1"/>
        <v>Aura Mutation</v>
      </c>
      <c r="BT7" t="str">
        <f ca="1"/>
        <v>Bojuka Bog</v>
      </c>
      <c r="BU7" t="str">
        <f ca="1"/>
        <v>Chimil, o Sol Interior</v>
      </c>
      <c r="BV7" t="str">
        <f ca="1"/>
        <v>Commodore Guff</v>
      </c>
      <c r="BW7" t="str">
        <f ca="1"/>
        <v>Jetmir's Garden</v>
      </c>
      <c r="BX7" t="str">
        <f ca="1"/>
        <v>Chandra's Ignition</v>
      </c>
      <c r="BY7" t="str">
        <f ca="1"/>
        <v>Homeward Path</v>
      </c>
      <c r="BZ7" t="str">
        <f ca="1"/>
        <v>Beast Within</v>
      </c>
      <c r="CB7" t="str">
        <f ca="1"/>
        <v>Artifact Mutation</v>
      </c>
      <c r="CC7" t="str">
        <f ca="1"/>
        <v>Batwing Brume</v>
      </c>
      <c r="CD7" t="str">
        <f ca="1"/>
        <v>Careful Study</v>
      </c>
      <c r="CE7" t="str">
        <f ca="1"/>
        <v>Arcbound Overseer</v>
      </c>
      <c r="CG7" t="str">
        <f ca="1"/>
        <v>Ancient Greenwarden</v>
      </c>
      <c r="CH7" t="str">
        <f ca="1"/>
        <v>Arcbound Fiend</v>
      </c>
      <c r="CJ7" t="str">
        <f ca="1"/>
        <v>Alchemist's Refuge</v>
      </c>
    </row>
    <row r="8" spans="1:88" x14ac:dyDescent="0.25">
      <c r="A8" s="3" t="str">
        <f t="shared" ca="1" si="0"/>
        <v>2</v>
      </c>
      <c r="B8" s="3">
        <f t="shared" ca="1" si="1"/>
        <v>1</v>
      </c>
      <c r="C8" s="3" t="str">
        <f ca="1">IFERROR(
 INDEX($U$1:$AX$1,
  MATCH(TRUE,
   CHOOSE({1;2;3;4;5;6;7;8;9;10;11;12;13;14;15;16;17;18;19;20;21;22;23;24;25;26;27;28;29;30;31;32},
    COUNTIFS($U$2:$U$200,$G8)&gt;0,
    COUNTIFS($V$2:$V$200,$G8)&gt;0,
    COUNTIFS($W$2:$W$200,$G8)&gt;0,
    COUNTIFS($X$2:$X$200,$G8)&gt;0,
    COUNTIFS($Y$2:$Y$200,$G8)&gt;0,
    COUNTIFS($Z$2:$Z$200,$G8)&gt;0,
    COUNTIFS($AA$2:$AA$200,$G8)&gt;0,
    COUNTIFS($AB$2:$AB$200,$G8)&gt;0,
    COUNTIFS($AC$2:$AC$200,$G8)&gt;0,
    COUNTIFS($AD$2:$AD$200,$G8)&gt;0,
    COUNTIFS($AE$2:$AE$200,$G8)&gt;0,
    COUNTIFS($AF$2:$AF$200,$G8)&gt;0,
    COUNTIFS($AG$2:$AG$200,$G8)&gt;0,
    COUNTIFS($AH$2:$AH$200,$G8)&gt;0,
    COUNTIFS($AI$2:$AI$200,$G8)&gt;0,
    COUNTIFS($AJ$2:$AJ$200,$G8)&gt;0,
    COUNTIFS($AK$2:$AK$200,$G8)&gt;0,
    COUNTIFS($AL$2:$AL$200,$G8)&gt;0,
    COUNTIFS($AM$2:$AM$200,$G8)&gt;0,
    COUNTIFS($AN$2:$AN$200,$G8)&gt;0,
    COUNTIFS($AO$2:$AO$200,$G8)&gt;0,
    COUNTIFS($AP$2:$AP$200,$G8)&gt;0,
    COUNTIFS($AQ$2:$AQ$200,$G8)&gt;0,
    COUNTIFS($AR$2:$AR$200,$G8)&gt;0,
    COUNTIFS($AS$2:$AS$200,$G8)&gt;0,
    COUNTIFS($AT$2:$AT$200,$G8)&gt;0,
    COUNTIFS($AU$2:$AU$200,$G8)&gt;0,
    COUNTIFS($AV$2:$AV$200,$G8)&gt;0,
    COUNTIFS($AW$2:$AW$200,$G8)&gt;0,
    COUNTIFS($AX$2:$AX$200,$G8)&gt;0
   ),
  0)
 ),
"")</f>
        <v>Narset</v>
      </c>
      <c r="D8" s="3" t="str" cm="1">
        <f t="array" aca="1" ref="D8" ca="1">IFERROR(
 INDEX(
  _xlfn._xlws.FILTER($U$1:$AX$1,
   TRANSPOSE(
    CHOOSE({1;2;3;4;5;6;7;8;9;10;11;12;13;14;15;16;17;18;19;20;21;22;23;24;25;26;27;28;29;30},
     COUNTIFS($U$2:$U$200,$G8)&gt;0,
     COUNTIFS($V$2:$V$200,$G8)&gt;0,
     COUNTIFS($W$2:$W$200,$G8)&gt;0,
     COUNTIFS($X$2:$X$200,$G8)&gt;0,
     COUNTIFS($Y$2:$Y$200,$G8)&gt;0,
     COUNTIFS($Z$2:$Z$200,$G8)&gt;0,
     COUNTIFS($AA$2:$AA$200,$G8)&gt;0,
     COUNTIFS($AB$2:$AB$200,$G8)&gt;0,
     COUNTIFS($AC$2:$AC$200,$G8)&gt;0,
     COUNTIFS($AD$2:$AD$200,$G8)&gt;0,
     COUNTIFS($AE$2:$AE$200,$G8)&gt;0,
     COUNTIFS($AF$2:$AF$200,$G8)&gt;0,
     COUNTIFS($AG$2:$AG$200,$G8)&gt;0,
     COUNTIFS($AH$2:$AH$200,$G8)&gt;0,
     COUNTIFS($AI$2:$AI$200,$G8)&gt;0,
     COUNTIFS($AJ$2:$AJ$200,$G8)&gt;0,
     COUNTIFS($AK$2:$AK$200,$G8)&gt;0,
     COUNTIFS($AL$2:$AL$200,$G8)&gt;0,
     COUNTIFS($AM$2:$AM$200,$G8)&gt;0,
     COUNTIFS($AN$2:$AN$200,$G8)&gt;0,
     COUNTIFS($AO$2:$AO$200,$G8)&gt;0,
     COUNTIFS($AP$2:$AP$200,$G8)&gt;0,
     COUNTIFS($AQ$2:$AQ$200,$G8)&gt;0,
     COUNTIFS($AR$2:$AR$200,$G8)&gt;0,
     COUNTIFS($AS$2:$AS$200,$G8)&gt;0,
     COUNTIFS($AT$2:$AT$200,$G8)&gt;0,
     COUNTIFS($AU$2:$AU$200,$G8)&gt;0,
     COUNTIFS($AV$2:$AV$200,$G8)&gt;0,
     COUNTIFS($AW$2:$AW$200,$G8)&gt;0,
     COUNTIFS($AX$2:$AX$200,$G8)&gt;0
   )),
  ),
  2
 ),
"")</f>
        <v/>
      </c>
      <c r="E8" s="3" t="str" cm="1">
        <f t="array" aca="1" ref="E8" ca="1">IFERROR(
 INDEX(
  _xlfn._xlws.FILTER($U$1:$AX$1,
   TRANSPOSE(
    CHOOSE({1;2;3;4;5;6;7;8;9;10;11;12;13;14;15;16;17;18;19;20;21;22;23;24;25;26;27;28;29;30},
     COUNTIFS($U$2:$U$200,$G8)&gt;0,
     COUNTIFS($V$2:$V$200,$G8)&gt;0,
     COUNTIFS($W$2:$W$200,$G8)&gt;0,
     COUNTIFS($X$2:$X$200,$G8)&gt;0,
     COUNTIFS($Y$2:$Y$200,$G8)&gt;0,
     COUNTIFS($Z$2:$Z$200,$G8)&gt;0,
     COUNTIFS($AA$2:$AA$200,$G8)&gt;0,
     COUNTIFS($AB$2:$AB$200,$G8)&gt;0,
     COUNTIFS($AC$2:$AC$200,$G8)&gt;0,
     COUNTIFS($AD$2:$AD$200,$G8)&gt;0,
     COUNTIFS($AE$2:$AE$200,$G8)&gt;0,
     COUNTIFS($AF$2:$AF$200,$G8)&gt;0,
     COUNTIFS($AG$2:$AG$200,$G8)&gt;0,
     COUNTIFS($AH$2:$AH$200,$G8)&gt;0,
     COUNTIFS($AI$2:$AI$200,$G8)&gt;0,
     COUNTIFS($AJ$2:$AJ$200,$G8)&gt;0,
     COUNTIFS($AK$2:$AK$200,$G8)&gt;0,
     COUNTIFS($AL$2:$AL$200,$G8)&gt;0,
     COUNTIFS($AM$2:$AM$200,$G8)&gt;0,
     COUNTIFS($AN$2:$AN$200,$G8)&gt;0,
     COUNTIFS($AO$2:$AO$200,$G8)&gt;0,
     COUNTIFS($AP$2:$AP$200,$G8)&gt;0,
     COUNTIFS($AQ$2:$AQ$200,$G8)&gt;0,
     COUNTIFS($AR$2:$AR$200,$G8)&gt;0,
     COUNTIFS($AS$2:$AS$200,$G8)&gt;0,
     COUNTIFS($AT$2:$AT$200,$G8)&gt;0,
     COUNTIFS($AU$2:$AU$200,$G8)&gt;0,
     COUNTIFS($AV$2:$AV$200,$G8)&gt;0,
     COUNTIFS($AW$2:$AW$200,$G8)&gt;0,
     COUNTIFS($AX$2:$AX$200,$G8)&gt;0
   )),
  ),
  3
 ),
"")</f>
        <v/>
      </c>
      <c r="F8" s="3" t="str" cm="1">
        <f t="array" aca="1" ref="F8" ca="1">IFERROR(
 INDEX(
  _xlfn._xlws.FILTER($U$1:$AX$1,
   TRANSPOSE(
    CHOOSE({1;2;3;4;5;6;7;8;9;10;11;12;13;14;15;16;17;18;19;20;21;22;23;24;25;26;27;28;29;30},
     COUNTIFS($U$2:$U$200,$G8)&gt;0,
     COUNTIFS($V$2:$V$200,$G8)&gt;0,
     COUNTIFS($W$2:$W$200,$G8)&gt;0,
     COUNTIFS($X$2:$X$200,$G8)&gt;0,
     COUNTIFS($Y$2:$Y$200,$G8)&gt;0,
     COUNTIFS($Z$2:$Z$200,$G8)&gt;0,
     COUNTIFS($AA$2:$AA$200,$G8)&gt;0,
     COUNTIFS($AB$2:$AB$200,$G8)&gt;0,
     COUNTIFS($AC$2:$AC$200,$G8)&gt;0,
     COUNTIFS($AD$2:$AD$200,$G8)&gt;0,
     COUNTIFS($AE$2:$AE$200,$G8)&gt;0,
     COUNTIFS($AF$2:$AF$200,$G8)&gt;0,
     COUNTIFS($AG$2:$AG$200,$G8)&gt;0,
     COUNTIFS($AH$2:$AH$200,$G8)&gt;0,
     COUNTIFS($AI$2:$AI$200,$G8)&gt;0,
     COUNTIFS($AJ$2:$AJ$200,$G8)&gt;0,
     COUNTIFS($AK$2:$AK$200,$G8)&gt;0,
     COUNTIFS($AL$2:$AL$200,$G8)&gt;0,
     COUNTIFS($AM$2:$AM$200,$G8)&gt;0,
     COUNTIFS($AN$2:$AN$200,$G8)&gt;0,
     COUNTIFS($AO$2:$AO$200,$G8)&gt;0,
     COUNTIFS($AP$2:$AP$200,$G8)&gt;0,
     COUNTIFS($AQ$2:$AQ$200,$G8)&gt;0,
     COUNTIFS($AR$2:$AR$200,$G8)&gt;0,
     COUNTIFS($AS$2:$AS$200,$G8)&gt;0,
     COUNTIFS($AT$2:$AT$200,$G8)&gt;0,
     COUNTIFS($AU$2:$AU$200,$G8)&gt;0,
     COUNTIFS($AV$2:$AV$200,$G8)&gt;0,
     COUNTIFS($AW$2:$AW$200,$G8)&gt;0,
     COUNTIFS($AX$2:$AX$200,$G8)&gt;0
   )),
  ),
  4
 ),
"")</f>
        <v/>
      </c>
      <c r="G8" t="str">
        <f ca="1"/>
        <v>Aligned Heart</v>
      </c>
      <c r="I8" t="s">
        <v>1812</v>
      </c>
      <c r="J8" s="3">
        <f>Rani!G2</f>
        <v>21</v>
      </c>
      <c r="K8" s="3" t="s">
        <v>2057</v>
      </c>
      <c r="L8" s="3" t="s">
        <v>2056</v>
      </c>
      <c r="M8" s="3" t="s">
        <v>2056</v>
      </c>
      <c r="N8" s="3" t="s">
        <v>2056</v>
      </c>
      <c r="O8" s="3" t="s">
        <v>2057</v>
      </c>
      <c r="P8" s="3" t="s">
        <v>738</v>
      </c>
      <c r="Q8" s="3" t="s">
        <v>2107</v>
      </c>
      <c r="R8" s="3" t="s">
        <v>2118</v>
      </c>
      <c r="S8" s="3" t="str">
        <f t="shared" si="2"/>
        <v>2</v>
      </c>
      <c r="U8" t="str">
        <v>Hedron Detonator</v>
      </c>
      <c r="V8" t="str">
        <v>Exalted Sunborn</v>
      </c>
      <c r="W8" t="str">
        <v>Incendiary Command</v>
      </c>
      <c r="X8" t="str">
        <v>Devoted Druid</v>
      </c>
      <c r="Y8" t="str">
        <v>Guia das Almas</v>
      </c>
      <c r="Z8" t="str">
        <v>Dúplice Debochada</v>
      </c>
      <c r="AA8" t="str">
        <v>Lord of Atlantis</v>
      </c>
      <c r="AB8" t="str">
        <v>Sothera, the Supervoid</v>
      </c>
      <c r="AC8" t="str">
        <v>The Tenth Doctor</v>
      </c>
      <c r="AD8" t="str">
        <v>Phyrexian Tower</v>
      </c>
      <c r="AE8" t="str">
        <v>Portal to Phyrexia</v>
      </c>
      <c r="AF8" t="str">
        <v>Spectator Seating</v>
      </c>
      <c r="AG8" t="str">
        <v>Sea Gate Restoration</v>
      </c>
      <c r="AH8" t="str">
        <v>Molten Echoes</v>
      </c>
      <c r="AI8" t="str">
        <v>Espada de Verdade e Justiça</v>
      </c>
      <c r="AJ8" t="str">
        <v>Nicol Bolas, God-Pharaoh</v>
      </c>
      <c r="AL8" t="str">
        <v>Three Tree City</v>
      </c>
      <c r="AN8" t="str">
        <v>Trioma de Raugrin</v>
      </c>
      <c r="AO8" t="str">
        <v>Sokenzan, Crisol da Afronta</v>
      </c>
      <c r="AP8" t="str">
        <v>Unstoppable Plan</v>
      </c>
      <c r="AQ8" t="str">
        <v>Red XIII, Proud Warrior</v>
      </c>
      <c r="AX8" t="str">
        <v>Dispatch</v>
      </c>
      <c r="BB8" t="str">
        <f ca="1"/>
        <v>Brushland</v>
      </c>
      <c r="BC8" t="str">
        <f ca="1"/>
        <v>Champion of Lambholt</v>
      </c>
      <c r="BD8" t="str">
        <f ca="1"/>
        <v>Cyber Conversion</v>
      </c>
      <c r="BE8" t="str">
        <f ca="1"/>
        <v>Herald of Secret Streams</v>
      </c>
      <c r="BF8" t="str">
        <f ca="1"/>
        <v>Kozilek, the Broken Reality</v>
      </c>
      <c r="BG8" t="str">
        <f ca="1"/>
        <v>Gerrard's Hourglass Pendant</v>
      </c>
      <c r="BH8" t="str">
        <f ca="1"/>
        <v>Faerie Slumber Party</v>
      </c>
      <c r="BI8" t="str">
        <f ca="1"/>
        <v>Espada de Fogo e Gelo</v>
      </c>
      <c r="BJ8" t="str">
        <f ca="1"/>
        <v>Overgrown Tomb</v>
      </c>
      <c r="BK8" t="str">
        <f ca="1"/>
        <v>Sliver Gravemother</v>
      </c>
      <c r="BL8" t="str">
        <f ca="1"/>
        <v>Ojer Pakpatiq, Era Profunda</v>
      </c>
      <c r="BM8" t="str">
        <f ca="1"/>
        <v>Nibelheim Aflame</v>
      </c>
      <c r="BN8" t="str">
        <f ca="1"/>
        <v>Scattered Groves</v>
      </c>
      <c r="BP8" t="str">
        <f ca="1"/>
        <v>Dispatch</v>
      </c>
      <c r="BS8" t="str">
        <f ca="1"/>
        <v>Back in Town</v>
      </c>
      <c r="BT8" t="str">
        <f ca="1"/>
        <v>Bothersome Quasit</v>
      </c>
      <c r="BU8" t="str">
        <f ca="1"/>
        <v>Crisol dos Mundos</v>
      </c>
      <c r="BV8" t="str">
        <f ca="1"/>
        <v>Creeping Tar Pit</v>
      </c>
      <c r="BW8" t="str">
        <f ca="1"/>
        <v>Matoya, Archon Elder</v>
      </c>
      <c r="BX8" t="str">
        <f ca="1"/>
        <v>Collector's Vault</v>
      </c>
      <c r="BY8" t="str">
        <f ca="1"/>
        <v>Illustrious Wanderglyph</v>
      </c>
      <c r="BZ8" t="str">
        <f ca="1"/>
        <v>Dispatch</v>
      </c>
      <c r="CB8" t="str">
        <f ca="1"/>
        <v>Arwen, Weaver of Hope</v>
      </c>
      <c r="CC8" t="str">
        <f ca="1"/>
        <v>Bojuka Bog</v>
      </c>
      <c r="CD8" t="str">
        <f ca="1"/>
        <v>Caverna das Almas</v>
      </c>
      <c r="CE8" t="str">
        <f ca="1"/>
        <v>Badgermole</v>
      </c>
      <c r="CG8" t="str">
        <f ca="1"/>
        <v>Ancient Tomb</v>
      </c>
      <c r="CH8" t="str">
        <f ca="1"/>
        <v>Arcbound Overseer</v>
      </c>
      <c r="CJ8" t="str">
        <f ca="1"/>
        <v>Aligned Heart</v>
      </c>
    </row>
    <row r="9" spans="1:88" x14ac:dyDescent="0.25">
      <c r="A9" s="3" t="str">
        <f t="shared" ca="1" si="0"/>
        <v>4</v>
      </c>
      <c r="B9" s="3">
        <f t="shared" ca="1" si="1"/>
        <v>1</v>
      </c>
      <c r="C9" s="3" t="str">
        <f ca="1">IFERROR(
 INDEX($U$1:$AX$1,
  MATCH(TRUE,
   CHOOSE({1;2;3;4;5;6;7;8;9;10;11;12;13;14;15;16;17;18;19;20;21;22;23;24;25;26;27;28;29;30;31;32},
    COUNTIFS($U$2:$U$200,$G9)&gt;0,
    COUNTIFS($V$2:$V$200,$G9)&gt;0,
    COUNTIFS($W$2:$W$200,$G9)&gt;0,
    COUNTIFS($X$2:$X$200,$G9)&gt;0,
    COUNTIFS($Y$2:$Y$200,$G9)&gt;0,
    COUNTIFS($Z$2:$Z$200,$G9)&gt;0,
    COUNTIFS($AA$2:$AA$200,$G9)&gt;0,
    COUNTIFS($AB$2:$AB$200,$G9)&gt;0,
    COUNTIFS($AC$2:$AC$200,$G9)&gt;0,
    COUNTIFS($AD$2:$AD$200,$G9)&gt;0,
    COUNTIFS($AE$2:$AE$200,$G9)&gt;0,
    COUNTIFS($AF$2:$AF$200,$G9)&gt;0,
    COUNTIFS($AG$2:$AG$200,$G9)&gt;0,
    COUNTIFS($AH$2:$AH$200,$G9)&gt;0,
    COUNTIFS($AI$2:$AI$200,$G9)&gt;0,
    COUNTIFS($AJ$2:$AJ$200,$G9)&gt;0,
    COUNTIFS($AK$2:$AK$200,$G9)&gt;0,
    COUNTIFS($AL$2:$AL$200,$G9)&gt;0,
    COUNTIFS($AM$2:$AM$200,$G9)&gt;0,
    COUNTIFS($AN$2:$AN$200,$G9)&gt;0,
    COUNTIFS($AO$2:$AO$200,$G9)&gt;0,
    COUNTIFS($AP$2:$AP$200,$G9)&gt;0,
    COUNTIFS($AQ$2:$AQ$200,$G9)&gt;0,
    COUNTIFS($AR$2:$AR$200,$G9)&gt;0,
    COUNTIFS($AS$2:$AS$200,$G9)&gt;0,
    COUNTIFS($AT$2:$AT$200,$G9)&gt;0,
    COUNTIFS($AU$2:$AU$200,$G9)&gt;0,
    COUNTIFS($AV$2:$AV$200,$G9)&gt;0,
    COUNTIFS($AW$2:$AW$200,$G9)&gt;0,
    COUNTIFS($AX$2:$AX$200,$G9)&gt;0
   ),
  0)
 ),
"")</f>
        <v>VialIshai</v>
      </c>
      <c r="D9" s="3" t="str" cm="1">
        <f t="array" aca="1" ref="D9" ca="1">IFERROR(
 INDEX(
  _xlfn._xlws.FILTER($U$1:$AX$1,
   TRANSPOSE(
    CHOOSE({1;2;3;4;5;6;7;8;9;10;11;12;13;14;15;16;17;18;19;20;21;22;23;24;25;26;27;28;29;30},
     COUNTIFS($U$2:$U$200,$G9)&gt;0,
     COUNTIFS($V$2:$V$200,$G9)&gt;0,
     COUNTIFS($W$2:$W$200,$G9)&gt;0,
     COUNTIFS($X$2:$X$200,$G9)&gt;0,
     COUNTIFS($Y$2:$Y$200,$G9)&gt;0,
     COUNTIFS($Z$2:$Z$200,$G9)&gt;0,
     COUNTIFS($AA$2:$AA$200,$G9)&gt;0,
     COUNTIFS($AB$2:$AB$200,$G9)&gt;0,
     COUNTIFS($AC$2:$AC$200,$G9)&gt;0,
     COUNTIFS($AD$2:$AD$200,$G9)&gt;0,
     COUNTIFS($AE$2:$AE$200,$G9)&gt;0,
     COUNTIFS($AF$2:$AF$200,$G9)&gt;0,
     COUNTIFS($AG$2:$AG$200,$G9)&gt;0,
     COUNTIFS($AH$2:$AH$200,$G9)&gt;0,
     COUNTIFS($AI$2:$AI$200,$G9)&gt;0,
     COUNTIFS($AJ$2:$AJ$200,$G9)&gt;0,
     COUNTIFS($AK$2:$AK$200,$G9)&gt;0,
     COUNTIFS($AL$2:$AL$200,$G9)&gt;0,
     COUNTIFS($AM$2:$AM$200,$G9)&gt;0,
     COUNTIFS($AN$2:$AN$200,$G9)&gt;0,
     COUNTIFS($AO$2:$AO$200,$G9)&gt;0,
     COUNTIFS($AP$2:$AP$200,$G9)&gt;0,
     COUNTIFS($AQ$2:$AQ$200,$G9)&gt;0,
     COUNTIFS($AR$2:$AR$200,$G9)&gt;0,
     COUNTIFS($AS$2:$AS$200,$G9)&gt;0,
     COUNTIFS($AT$2:$AT$200,$G9)&gt;0,
     COUNTIFS($AU$2:$AU$200,$G9)&gt;0,
     COUNTIFS($AV$2:$AV$200,$G9)&gt;0,
     COUNTIFS($AW$2:$AW$200,$G9)&gt;0,
     COUNTIFS($AX$2:$AX$200,$G9)&gt;0
   )),
  ),
  2
 ),
"")</f>
        <v/>
      </c>
      <c r="E9" s="3" t="str" cm="1">
        <f t="array" aca="1" ref="E9" ca="1">IFERROR(
 INDEX(
  _xlfn._xlws.FILTER($U$1:$AX$1,
   TRANSPOSE(
    CHOOSE({1;2;3;4;5;6;7;8;9;10;11;12;13;14;15;16;17;18;19;20;21;22;23;24;25;26;27;28;29;30},
     COUNTIFS($U$2:$U$200,$G9)&gt;0,
     COUNTIFS($V$2:$V$200,$G9)&gt;0,
     COUNTIFS($W$2:$W$200,$G9)&gt;0,
     COUNTIFS($X$2:$X$200,$G9)&gt;0,
     COUNTIFS($Y$2:$Y$200,$G9)&gt;0,
     COUNTIFS($Z$2:$Z$200,$G9)&gt;0,
     COUNTIFS($AA$2:$AA$200,$G9)&gt;0,
     COUNTIFS($AB$2:$AB$200,$G9)&gt;0,
     COUNTIFS($AC$2:$AC$200,$G9)&gt;0,
     COUNTIFS($AD$2:$AD$200,$G9)&gt;0,
     COUNTIFS($AE$2:$AE$200,$G9)&gt;0,
     COUNTIFS($AF$2:$AF$200,$G9)&gt;0,
     COUNTIFS($AG$2:$AG$200,$G9)&gt;0,
     COUNTIFS($AH$2:$AH$200,$G9)&gt;0,
     COUNTIFS($AI$2:$AI$200,$G9)&gt;0,
     COUNTIFS($AJ$2:$AJ$200,$G9)&gt;0,
     COUNTIFS($AK$2:$AK$200,$G9)&gt;0,
     COUNTIFS($AL$2:$AL$200,$G9)&gt;0,
     COUNTIFS($AM$2:$AM$200,$G9)&gt;0,
     COUNTIFS($AN$2:$AN$200,$G9)&gt;0,
     COUNTIFS($AO$2:$AO$200,$G9)&gt;0,
     COUNTIFS($AP$2:$AP$200,$G9)&gt;0,
     COUNTIFS($AQ$2:$AQ$200,$G9)&gt;0,
     COUNTIFS($AR$2:$AR$200,$G9)&gt;0,
     COUNTIFS($AS$2:$AS$200,$G9)&gt;0,
     COUNTIFS($AT$2:$AT$200,$G9)&gt;0,
     COUNTIFS($AU$2:$AU$200,$G9)&gt;0,
     COUNTIFS($AV$2:$AV$200,$G9)&gt;0,
     COUNTIFS($AW$2:$AW$200,$G9)&gt;0,
     COUNTIFS($AX$2:$AX$200,$G9)&gt;0
   )),
  ),
  3
 ),
"")</f>
        <v/>
      </c>
      <c r="F9" s="3" t="str" cm="1">
        <f t="array" aca="1" ref="F9" ca="1">IFERROR(
 INDEX(
  _xlfn._xlws.FILTER($U$1:$AX$1,
   TRANSPOSE(
    CHOOSE({1;2;3;4;5;6;7;8;9;10;11;12;13;14;15;16;17;18;19;20;21;22;23;24;25;26;27;28;29;30},
     COUNTIFS($U$2:$U$200,$G9)&gt;0,
     COUNTIFS($V$2:$V$200,$G9)&gt;0,
     COUNTIFS($W$2:$W$200,$G9)&gt;0,
     COUNTIFS($X$2:$X$200,$G9)&gt;0,
     COUNTIFS($Y$2:$Y$200,$G9)&gt;0,
     COUNTIFS($Z$2:$Z$200,$G9)&gt;0,
     COUNTIFS($AA$2:$AA$200,$G9)&gt;0,
     COUNTIFS($AB$2:$AB$200,$G9)&gt;0,
     COUNTIFS($AC$2:$AC$200,$G9)&gt;0,
     COUNTIFS($AD$2:$AD$200,$G9)&gt;0,
     COUNTIFS($AE$2:$AE$200,$G9)&gt;0,
     COUNTIFS($AF$2:$AF$200,$G9)&gt;0,
     COUNTIFS($AG$2:$AG$200,$G9)&gt;0,
     COUNTIFS($AH$2:$AH$200,$G9)&gt;0,
     COUNTIFS($AI$2:$AI$200,$G9)&gt;0,
     COUNTIFS($AJ$2:$AJ$200,$G9)&gt;0,
     COUNTIFS($AK$2:$AK$200,$G9)&gt;0,
     COUNTIFS($AL$2:$AL$200,$G9)&gt;0,
     COUNTIFS($AM$2:$AM$200,$G9)&gt;0,
     COUNTIFS($AN$2:$AN$200,$G9)&gt;0,
     COUNTIFS($AO$2:$AO$200,$G9)&gt;0,
     COUNTIFS($AP$2:$AP$200,$G9)&gt;0,
     COUNTIFS($AQ$2:$AQ$200,$G9)&gt;0,
     COUNTIFS($AR$2:$AR$200,$G9)&gt;0,
     COUNTIFS($AS$2:$AS$200,$G9)&gt;0,
     COUNTIFS($AT$2:$AT$200,$G9)&gt;0,
     COUNTIFS($AU$2:$AU$200,$G9)&gt;0,
     COUNTIFS($AV$2:$AV$200,$G9)&gt;0,
     COUNTIFS($AW$2:$AW$200,$G9)&gt;0,
     COUNTIFS($AX$2:$AX$200,$G9)&gt;0
   )),
  ),
  4
 ),
"")</f>
        <v/>
      </c>
      <c r="G9" t="str">
        <f ca="1"/>
        <v>Amphibian Downpour</v>
      </c>
      <c r="I9" t="s">
        <v>48</v>
      </c>
      <c r="J9" s="3">
        <f>Kumena!G2</f>
        <v>21</v>
      </c>
      <c r="K9" s="3" t="s">
        <v>2057</v>
      </c>
      <c r="L9" s="3" t="s">
        <v>2056</v>
      </c>
      <c r="M9" s="3" t="s">
        <v>2057</v>
      </c>
      <c r="N9" s="3" t="s">
        <v>2057</v>
      </c>
      <c r="O9" s="3" t="s">
        <v>2056</v>
      </c>
      <c r="P9" s="3" t="s">
        <v>738</v>
      </c>
      <c r="Q9" s="3" t="s">
        <v>2107</v>
      </c>
      <c r="R9" s="3" t="s">
        <v>2119</v>
      </c>
      <c r="S9" s="3" t="str">
        <f t="shared" si="2"/>
        <v>2</v>
      </c>
      <c r="U9" t="str">
        <v>Mines of Moria</v>
      </c>
      <c r="V9" t="str">
        <v>Farmer Cotton</v>
      </c>
      <c r="W9" t="str">
        <v>Irenicus's Vile Duplication</v>
      </c>
      <c r="X9" t="str">
        <v>Forest</v>
      </c>
      <c r="Y9" t="str">
        <v>Hierofante de Elenda</v>
      </c>
      <c r="Z9" t="str">
        <v>Fellwar Stone</v>
      </c>
      <c r="AA9" t="str">
        <v>Lullmage Mentor</v>
      </c>
      <c r="AB9" t="str">
        <v>Teferi's Ageless Insight</v>
      </c>
      <c r="AC9" t="str">
        <v>Thought Vessel</v>
      </c>
      <c r="AD9" t="str">
        <v>Ripples of Undeath</v>
      </c>
      <c r="AE9" t="str">
        <v>Rings of Brighthearth</v>
      </c>
      <c r="AF9" t="str">
        <v>Vontade Dominadora</v>
      </c>
      <c r="AG9" t="str">
        <v>Shizo, Death's Storehouse</v>
      </c>
      <c r="AH9" t="str">
        <v>Reliquary Tower</v>
      </c>
      <c r="AI9" t="str">
        <v>Firion, Wild Rose Warrior</v>
      </c>
      <c r="AJ9" t="str">
        <v>O Dínamo Peregrino</v>
      </c>
      <c r="AL9" t="str">
        <v>Watery Grave</v>
      </c>
      <c r="AN9" t="str">
        <v>Trioma de Zagoth</v>
      </c>
      <c r="AQ9" t="str">
        <v>Saqueador Amaldiçoado</v>
      </c>
      <c r="AX9" t="str">
        <v>Duty Beyond Death</v>
      </c>
      <c r="BB9" t="str">
        <f ca="1"/>
        <v>Castle Ardenvale</v>
      </c>
      <c r="BC9" t="str">
        <f ca="1"/>
        <v>Clifftop Retreat</v>
      </c>
      <c r="BD9" t="str">
        <f ca="1"/>
        <v>Drowned Catacomb</v>
      </c>
      <c r="BE9" t="str">
        <f ca="1"/>
        <v>Horizon Explorer</v>
      </c>
      <c r="BF9" t="str">
        <f ca="1"/>
        <v>Mistrise Village</v>
      </c>
      <c r="BG9" t="str">
        <f ca="1"/>
        <v>Inventors' Fair</v>
      </c>
      <c r="BH9" t="str">
        <f ca="1"/>
        <v>Glasspool Mimic</v>
      </c>
      <c r="BI9" t="str">
        <f ca="1"/>
        <v>Espada de Luz e Sombra</v>
      </c>
      <c r="BJ9" t="str">
        <f ca="1"/>
        <v>Shaku da Honra Desgastada</v>
      </c>
      <c r="BK9" t="str">
        <f ca="1"/>
        <v>Thrumming Hivepool</v>
      </c>
      <c r="BL9" t="str">
        <f ca="1"/>
        <v>Scour for Scrap</v>
      </c>
      <c r="BM9" t="str">
        <f ca="1"/>
        <v>Pain for All</v>
      </c>
      <c r="BN9" t="str">
        <f ca="1"/>
        <v>Stridehangar Automaton</v>
      </c>
      <c r="BP9" t="str">
        <f ca="1"/>
        <v>Duty Beyond Death</v>
      </c>
      <c r="BS9" t="str">
        <f ca="1"/>
        <v>Bojuka Bog</v>
      </c>
      <c r="BT9" t="str">
        <f ca="1"/>
        <v>Call to the Kindred</v>
      </c>
      <c r="BU9" t="str">
        <f ca="1"/>
        <v>Delighted Halfling</v>
      </c>
      <c r="BV9" t="str">
        <f ca="1"/>
        <v>Diário de Tarrian</v>
      </c>
      <c r="BW9" t="str">
        <f ca="1"/>
        <v>Mistrise Village</v>
      </c>
      <c r="BX9" t="str">
        <f ca="1"/>
        <v>Daretti, Ingenious Iconoclast</v>
      </c>
      <c r="BY9" t="str">
        <f ca="1"/>
        <v>Lagoa Espelhada</v>
      </c>
      <c r="BZ9" t="str">
        <f ca="1"/>
        <v>Duty Beyond Death</v>
      </c>
      <c r="CB9" t="str">
        <f ca="1"/>
        <v>Ascensão do Avernus</v>
      </c>
      <c r="CC9" t="str">
        <f ca="1"/>
        <v>Burnt Offering</v>
      </c>
      <c r="CD9" t="str">
        <f ca="1"/>
        <v>Chandra's Ignition</v>
      </c>
      <c r="CE9" t="str">
        <f ca="1"/>
        <v>Beast Within</v>
      </c>
      <c r="CG9" t="str">
        <f ca="1"/>
        <v>Arcane Lighthouse</v>
      </c>
      <c r="CH9" t="str">
        <f ca="1"/>
        <v>Badgermole</v>
      </c>
      <c r="CJ9" t="str">
        <f ca="1"/>
        <v>Amphibian Downpour</v>
      </c>
    </row>
    <row r="10" spans="1:88" x14ac:dyDescent="0.25">
      <c r="A10" s="3" t="str">
        <f t="shared" ca="1" si="0"/>
        <v>1</v>
      </c>
      <c r="B10" s="3">
        <f t="shared" ca="1" si="1"/>
        <v>1</v>
      </c>
      <c r="C10" s="3" t="str">
        <f ca="1">IFERROR(
 INDEX($U$1:$AX$1,
  MATCH(TRUE,
   CHOOSE({1;2;3;4;5;6;7;8;9;10;11;12;13;14;15;16;17;18;19;20;21;22;23;24;25;26;27;28;29;30;31;32},
    COUNTIFS($U$2:$U$200,$G10)&gt;0,
    COUNTIFS($V$2:$V$200,$G10)&gt;0,
    COUNTIFS($W$2:$W$200,$G10)&gt;0,
    COUNTIFS($X$2:$X$200,$G10)&gt;0,
    COUNTIFS($Y$2:$Y$200,$G10)&gt;0,
    COUNTIFS($Z$2:$Z$200,$G10)&gt;0,
    COUNTIFS($AA$2:$AA$200,$G10)&gt;0,
    COUNTIFS($AB$2:$AB$200,$G10)&gt;0,
    COUNTIFS($AC$2:$AC$200,$G10)&gt;0,
    COUNTIFS($AD$2:$AD$200,$G10)&gt;0,
    COUNTIFS($AE$2:$AE$200,$G10)&gt;0,
    COUNTIFS($AF$2:$AF$200,$G10)&gt;0,
    COUNTIFS($AG$2:$AG$200,$G10)&gt;0,
    COUNTIFS($AH$2:$AH$200,$G10)&gt;0,
    COUNTIFS($AI$2:$AI$200,$G10)&gt;0,
    COUNTIFS($AJ$2:$AJ$200,$G10)&gt;0,
    COUNTIFS($AK$2:$AK$200,$G10)&gt;0,
    COUNTIFS($AL$2:$AL$200,$G10)&gt;0,
    COUNTIFS($AM$2:$AM$200,$G10)&gt;0,
    COUNTIFS($AN$2:$AN$200,$G10)&gt;0,
    COUNTIFS($AO$2:$AO$200,$G10)&gt;0,
    COUNTIFS($AP$2:$AP$200,$G10)&gt;0,
    COUNTIFS($AQ$2:$AQ$200,$G10)&gt;0,
    COUNTIFS($AR$2:$AR$200,$G10)&gt;0,
    COUNTIFS($AS$2:$AS$200,$G10)&gt;0,
    COUNTIFS($AT$2:$AT$200,$G10)&gt;0,
    COUNTIFS($AU$2:$AU$200,$G10)&gt;0,
    COUNTIFS($AV$2:$AV$200,$G10)&gt;0,
    COUNTIFS($AW$2:$AW$200,$G10)&gt;0,
    COUNTIFS($AX$2:$AX$200,$G10)&gt;0
   ),
  0)
 ),
"")</f>
        <v>Modular</v>
      </c>
      <c r="D10" s="3" t="str" cm="1">
        <f t="array" aca="1" ref="D10" ca="1">IFERROR(
 INDEX(
  _xlfn._xlws.FILTER($U$1:$AX$1,
   TRANSPOSE(
    CHOOSE({1;2;3;4;5;6;7;8;9;10;11;12;13;14;15;16;17;18;19;20;21;22;23;24;25;26;27;28;29;30},
     COUNTIFS($U$2:$U$200,$G10)&gt;0,
     COUNTIFS($V$2:$V$200,$G10)&gt;0,
     COUNTIFS($W$2:$W$200,$G10)&gt;0,
     COUNTIFS($X$2:$X$200,$G10)&gt;0,
     COUNTIFS($Y$2:$Y$200,$G10)&gt;0,
     COUNTIFS($Z$2:$Z$200,$G10)&gt;0,
     COUNTIFS($AA$2:$AA$200,$G10)&gt;0,
     COUNTIFS($AB$2:$AB$200,$G10)&gt;0,
     COUNTIFS($AC$2:$AC$200,$G10)&gt;0,
     COUNTIFS($AD$2:$AD$200,$G10)&gt;0,
     COUNTIFS($AE$2:$AE$200,$G10)&gt;0,
     COUNTIFS($AF$2:$AF$200,$G10)&gt;0,
     COUNTIFS($AG$2:$AG$200,$G10)&gt;0,
     COUNTIFS($AH$2:$AH$200,$G10)&gt;0,
     COUNTIFS($AI$2:$AI$200,$G10)&gt;0,
     COUNTIFS($AJ$2:$AJ$200,$G10)&gt;0,
     COUNTIFS($AK$2:$AK$200,$G10)&gt;0,
     COUNTIFS($AL$2:$AL$200,$G10)&gt;0,
     COUNTIFS($AM$2:$AM$200,$G10)&gt;0,
     COUNTIFS($AN$2:$AN$200,$G10)&gt;0,
     COUNTIFS($AO$2:$AO$200,$G10)&gt;0,
     COUNTIFS($AP$2:$AP$200,$G10)&gt;0,
     COUNTIFS($AQ$2:$AQ$200,$G10)&gt;0,
     COUNTIFS($AR$2:$AR$200,$G10)&gt;0,
     COUNTIFS($AS$2:$AS$200,$G10)&gt;0,
     COUNTIFS($AT$2:$AT$200,$G10)&gt;0,
     COUNTIFS($AU$2:$AU$200,$G10)&gt;0,
     COUNTIFS($AV$2:$AV$200,$G10)&gt;0,
     COUNTIFS($AW$2:$AW$200,$G10)&gt;0,
     COUNTIFS($AX$2:$AX$200,$G10)&gt;0
   )),
  ),
  2
 ),
"")</f>
        <v/>
      </c>
      <c r="E10" s="3" t="str" cm="1">
        <f t="array" aca="1" ref="E10" ca="1">IFERROR(
 INDEX(
  _xlfn._xlws.FILTER($U$1:$AX$1,
   TRANSPOSE(
    CHOOSE({1;2;3;4;5;6;7;8;9;10;11;12;13;14;15;16;17;18;19;20;21;22;23;24;25;26;27;28;29;30},
     COUNTIFS($U$2:$U$200,$G10)&gt;0,
     COUNTIFS($V$2:$V$200,$G10)&gt;0,
     COUNTIFS($W$2:$W$200,$G10)&gt;0,
     COUNTIFS($X$2:$X$200,$G10)&gt;0,
     COUNTIFS($Y$2:$Y$200,$G10)&gt;0,
     COUNTIFS($Z$2:$Z$200,$G10)&gt;0,
     COUNTIFS($AA$2:$AA$200,$G10)&gt;0,
     COUNTIFS($AB$2:$AB$200,$G10)&gt;0,
     COUNTIFS($AC$2:$AC$200,$G10)&gt;0,
     COUNTIFS($AD$2:$AD$200,$G10)&gt;0,
     COUNTIFS($AE$2:$AE$200,$G10)&gt;0,
     COUNTIFS($AF$2:$AF$200,$G10)&gt;0,
     COUNTIFS($AG$2:$AG$200,$G10)&gt;0,
     COUNTIFS($AH$2:$AH$200,$G10)&gt;0,
     COUNTIFS($AI$2:$AI$200,$G10)&gt;0,
     COUNTIFS($AJ$2:$AJ$200,$G10)&gt;0,
     COUNTIFS($AK$2:$AK$200,$G10)&gt;0,
     COUNTIFS($AL$2:$AL$200,$G10)&gt;0,
     COUNTIFS($AM$2:$AM$200,$G10)&gt;0,
     COUNTIFS($AN$2:$AN$200,$G10)&gt;0,
     COUNTIFS($AO$2:$AO$200,$G10)&gt;0,
     COUNTIFS($AP$2:$AP$200,$G10)&gt;0,
     COUNTIFS($AQ$2:$AQ$200,$G10)&gt;0,
     COUNTIFS($AR$2:$AR$200,$G10)&gt;0,
     COUNTIFS($AS$2:$AS$200,$G10)&gt;0,
     COUNTIFS($AT$2:$AT$200,$G10)&gt;0,
     COUNTIFS($AU$2:$AU$200,$G10)&gt;0,
     COUNTIFS($AV$2:$AV$200,$G10)&gt;0,
     COUNTIFS($AW$2:$AW$200,$G10)&gt;0,
     COUNTIFS($AX$2:$AX$200,$G10)&gt;0
   )),
  ),
  3
 ),
"")</f>
        <v/>
      </c>
      <c r="F10" s="3" t="str" cm="1">
        <f t="array" aca="1" ref="F10" ca="1">IFERROR(
 INDEX(
  _xlfn._xlws.FILTER($U$1:$AX$1,
   TRANSPOSE(
    CHOOSE({1;2;3;4;5;6;7;8;9;10;11;12;13;14;15;16;17;18;19;20;21;22;23;24;25;26;27;28;29;30},
     COUNTIFS($U$2:$U$200,$G10)&gt;0,
     COUNTIFS($V$2:$V$200,$G10)&gt;0,
     COUNTIFS($W$2:$W$200,$G10)&gt;0,
     COUNTIFS($X$2:$X$200,$G10)&gt;0,
     COUNTIFS($Y$2:$Y$200,$G10)&gt;0,
     COUNTIFS($Z$2:$Z$200,$G10)&gt;0,
     COUNTIFS($AA$2:$AA$200,$G10)&gt;0,
     COUNTIFS($AB$2:$AB$200,$G10)&gt;0,
     COUNTIFS($AC$2:$AC$200,$G10)&gt;0,
     COUNTIFS($AD$2:$AD$200,$G10)&gt;0,
     COUNTIFS($AE$2:$AE$200,$G10)&gt;0,
     COUNTIFS($AF$2:$AF$200,$G10)&gt;0,
     COUNTIFS($AG$2:$AG$200,$G10)&gt;0,
     COUNTIFS($AH$2:$AH$200,$G10)&gt;0,
     COUNTIFS($AI$2:$AI$200,$G10)&gt;0,
     COUNTIFS($AJ$2:$AJ$200,$G10)&gt;0,
     COUNTIFS($AK$2:$AK$200,$G10)&gt;0,
     COUNTIFS($AL$2:$AL$200,$G10)&gt;0,
     COUNTIFS($AM$2:$AM$200,$G10)&gt;0,
     COUNTIFS($AN$2:$AN$200,$G10)&gt;0,
     COUNTIFS($AO$2:$AO$200,$G10)&gt;0,
     COUNTIFS($AP$2:$AP$200,$G10)&gt;0,
     COUNTIFS($AQ$2:$AQ$200,$G10)&gt;0,
     COUNTIFS($AR$2:$AR$200,$G10)&gt;0,
     COUNTIFS($AS$2:$AS$200,$G10)&gt;0,
     COUNTIFS($AT$2:$AT$200,$G10)&gt;0,
     COUNTIFS($AU$2:$AU$200,$G10)&gt;0,
     COUNTIFS($AV$2:$AV$200,$G10)&gt;0,
     COUNTIFS($AW$2:$AW$200,$G10)&gt;0,
     COUNTIFS($AX$2:$AX$200,$G10)&gt;0
   )),
  ),
  4
 ),
"")</f>
        <v/>
      </c>
      <c r="G10" t="str">
        <f ca="1"/>
        <v>Ancient Den</v>
      </c>
      <c r="I10" t="s">
        <v>1638</v>
      </c>
      <c r="J10" s="3">
        <f>Zimone!G2</f>
        <v>11</v>
      </c>
      <c r="K10" s="3" t="s">
        <v>2057</v>
      </c>
      <c r="L10" s="3" t="s">
        <v>2056</v>
      </c>
      <c r="M10" s="3" t="s">
        <v>2057</v>
      </c>
      <c r="N10" s="3" t="s">
        <v>2056</v>
      </c>
      <c r="O10" s="3" t="s">
        <v>2056</v>
      </c>
      <c r="P10" s="3" t="s">
        <v>738</v>
      </c>
      <c r="Q10" s="3" t="s">
        <v>2111</v>
      </c>
      <c r="R10" s="3" t="s">
        <v>2120</v>
      </c>
      <c r="S10" s="3" t="str">
        <f t="shared" si="2"/>
        <v>3</v>
      </c>
      <c r="U10" t="str">
        <v>Reliquary Tower</v>
      </c>
      <c r="V10" t="str">
        <v>Farseek</v>
      </c>
      <c r="W10" t="str">
        <v>Jidoor, Aristocratic Capital // Overture</v>
      </c>
      <c r="X10" t="str">
        <v>Gavony Township</v>
      </c>
      <c r="Y10" t="str">
        <v>Keen Duelist</v>
      </c>
      <c r="Z10" t="str">
        <v>Firkraag, Cunning Instigator</v>
      </c>
      <c r="AA10" t="str">
        <v>Merrow Commerce</v>
      </c>
      <c r="AB10" t="str">
        <v>Thousand-Year Elixir</v>
      </c>
      <c r="AC10" t="str">
        <v>Thran Dynamo</v>
      </c>
      <c r="AD10" t="str">
        <v>Takenuma, Charco Abandonado</v>
      </c>
      <c r="AE10" t="str">
        <v>Sonic Screwdriver</v>
      </c>
      <c r="AF10" t="str">
        <v>Watery Grave</v>
      </c>
      <c r="AG10" t="str">
        <v>Temporal Manipulation</v>
      </c>
      <c r="AH10" t="str">
        <v>Saw in Half</v>
      </c>
      <c r="AI10" t="str">
        <v>Jitte Perdida</v>
      </c>
      <c r="AJ10" t="str">
        <v>Oko, Thief of Crowns</v>
      </c>
      <c r="AL10" t="str">
        <v>Zagoth Triome</v>
      </c>
      <c r="AQ10" t="str">
        <v>The Masamune</v>
      </c>
      <c r="AX10" t="str">
        <v>Earth Rumble</v>
      </c>
      <c r="BB10" t="str">
        <f ca="1"/>
        <v>Champions from Beyond</v>
      </c>
      <c r="BC10" t="str">
        <f ca="1"/>
        <v>Dever Além da Morte</v>
      </c>
      <c r="BD10" t="str">
        <f ca="1"/>
        <v>Dúplice Debochada</v>
      </c>
      <c r="BE10" t="str">
        <f ca="1"/>
        <v>Jadar, Ghoulcaller of Nephalia</v>
      </c>
      <c r="BF10" t="str">
        <f ca="1"/>
        <v>Mox Tantalite</v>
      </c>
      <c r="BG10" t="str">
        <f ca="1"/>
        <v>Luxury Suite</v>
      </c>
      <c r="BH10" t="str">
        <f ca="1"/>
        <v>Louisoix's Sacrifice</v>
      </c>
      <c r="BI10" t="str">
        <f ca="1"/>
        <v>Espada de Verdade e Justiça</v>
      </c>
      <c r="BJ10" t="str">
        <f ca="1"/>
        <v>Swamp</v>
      </c>
      <c r="BK10" t="str">
        <f ca="1"/>
        <v>Trioma de Indatha</v>
      </c>
      <c r="BL10" t="str">
        <f ca="1"/>
        <v>Season of Weaving</v>
      </c>
      <c r="BM10" t="str">
        <f ca="1"/>
        <v>Red XIII, Proud Warrior</v>
      </c>
      <c r="BN10" t="str">
        <f ca="1"/>
        <v>Susur Secundi, Void Altar</v>
      </c>
      <c r="BP10" t="str">
        <f ca="1"/>
        <v>Earth Rumble</v>
      </c>
      <c r="BS10" t="str">
        <f ca="1"/>
        <v>Boros Charm</v>
      </c>
      <c r="BT10" t="str">
        <f ca="1"/>
        <v>Counterspell</v>
      </c>
      <c r="BU10" t="str">
        <f ca="1"/>
        <v>Emrakul, um Novo Mundo</v>
      </c>
      <c r="BV10" t="str">
        <f ca="1"/>
        <v>Drowned Catacomb</v>
      </c>
      <c r="BW10" t="str">
        <f ca="1"/>
        <v>Nissa, Resurgent Animist</v>
      </c>
      <c r="BX10" t="str">
        <f ca="1"/>
        <v>High-Society Hunter</v>
      </c>
      <c r="BY10" t="str">
        <f ca="1"/>
        <v>Olho de Ojer Taq</v>
      </c>
      <c r="BZ10" t="str">
        <f ca="1"/>
        <v>Earth Rumble</v>
      </c>
      <c r="CB10" t="str">
        <f ca="1"/>
        <v>Aura Mutation</v>
      </c>
      <c r="CC10" t="str">
        <f ca="1"/>
        <v>Chimil, o Sol Interior</v>
      </c>
      <c r="CD10" t="str">
        <f ca="1"/>
        <v>Collector's Vault</v>
      </c>
      <c r="CE10" t="str">
        <f ca="1"/>
        <v>Dispatch</v>
      </c>
      <c r="CG10" t="str">
        <f ca="1"/>
        <v>Ardbert, Warrior of Darkness</v>
      </c>
      <c r="CH10" t="str">
        <f ca="1"/>
        <v>Baral, Chief of Compliance</v>
      </c>
      <c r="CJ10" t="str">
        <f ca="1"/>
        <v>Ancient Den</v>
      </c>
    </row>
    <row r="11" spans="1:88" x14ac:dyDescent="0.25">
      <c r="A11" s="3" t="str">
        <f t="shared" ca="1" si="0"/>
        <v>3</v>
      </c>
      <c r="B11" s="3">
        <f t="shared" ca="1" si="1"/>
        <v>1</v>
      </c>
      <c r="C11" s="3" t="str">
        <f ca="1">IFERROR(
 INDEX($U$1:$AX$1,
  MATCH(TRUE,
   CHOOSE({1;2;3;4;5;6;7;8;9;10;11;12;13;14;15;16;17;18;19;20;21;22;23;24;25;26;27;28;29;30;31;32},
    COUNTIFS($U$2:$U$200,$G11)&gt;0,
    COUNTIFS($V$2:$V$200,$G11)&gt;0,
    COUNTIFS($W$2:$W$200,$G11)&gt;0,
    COUNTIFS($X$2:$X$200,$G11)&gt;0,
    COUNTIFS($Y$2:$Y$200,$G11)&gt;0,
    COUNTIFS($Z$2:$Z$200,$G11)&gt;0,
    COUNTIFS($AA$2:$AA$200,$G11)&gt;0,
    COUNTIFS($AB$2:$AB$200,$G11)&gt;0,
    COUNTIFS($AC$2:$AC$200,$G11)&gt;0,
    COUNTIFS($AD$2:$AD$200,$G11)&gt;0,
    COUNTIFS($AE$2:$AE$200,$G11)&gt;0,
    COUNTIFS($AF$2:$AF$200,$G11)&gt;0,
    COUNTIFS($AG$2:$AG$200,$G11)&gt;0,
    COUNTIFS($AH$2:$AH$200,$G11)&gt;0,
    COUNTIFS($AI$2:$AI$200,$G11)&gt;0,
    COUNTIFS($AJ$2:$AJ$200,$G11)&gt;0,
    COUNTIFS($AK$2:$AK$200,$G11)&gt;0,
    COUNTIFS($AL$2:$AL$200,$G11)&gt;0,
    COUNTIFS($AM$2:$AM$200,$G11)&gt;0,
    COUNTIFS($AN$2:$AN$200,$G11)&gt;0,
    COUNTIFS($AO$2:$AO$200,$G11)&gt;0,
    COUNTIFS($AP$2:$AP$200,$G11)&gt;0,
    COUNTIFS($AQ$2:$AQ$200,$G11)&gt;0,
    COUNTIFS($AR$2:$AR$200,$G11)&gt;0,
    COUNTIFS($AS$2:$AS$200,$G11)&gt;0,
    COUNTIFS($AT$2:$AT$200,$G11)&gt;0,
    COUNTIFS($AU$2:$AU$200,$G11)&gt;0,
    COUNTIFS($AV$2:$AV$200,$G11)&gt;0,
    COUNTIFS($AW$2:$AW$200,$G11)&gt;0,
    COUNTIFS($AX$2:$AX$200,$G11)&gt;0
   ),
  0)
 ),
"")</f>
        <v>Zimone</v>
      </c>
      <c r="D11" s="3" t="str" cm="1">
        <f t="array" aca="1" ref="D11" ca="1">IFERROR(
 INDEX(
  _xlfn._xlws.FILTER($U$1:$AX$1,
   TRANSPOSE(
    CHOOSE({1;2;3;4;5;6;7;8;9;10;11;12;13;14;15;16;17;18;19;20;21;22;23;24;25;26;27;28;29;30},
     COUNTIFS($U$2:$U$200,$G11)&gt;0,
     COUNTIFS($V$2:$V$200,$G11)&gt;0,
     COUNTIFS($W$2:$W$200,$G11)&gt;0,
     COUNTIFS($X$2:$X$200,$G11)&gt;0,
     COUNTIFS($Y$2:$Y$200,$G11)&gt;0,
     COUNTIFS($Z$2:$Z$200,$G11)&gt;0,
     COUNTIFS($AA$2:$AA$200,$G11)&gt;0,
     COUNTIFS($AB$2:$AB$200,$G11)&gt;0,
     COUNTIFS($AC$2:$AC$200,$G11)&gt;0,
     COUNTIFS($AD$2:$AD$200,$G11)&gt;0,
     COUNTIFS($AE$2:$AE$200,$G11)&gt;0,
     COUNTIFS($AF$2:$AF$200,$G11)&gt;0,
     COUNTIFS($AG$2:$AG$200,$G11)&gt;0,
     COUNTIFS($AH$2:$AH$200,$G11)&gt;0,
     COUNTIFS($AI$2:$AI$200,$G11)&gt;0,
     COUNTIFS($AJ$2:$AJ$200,$G11)&gt;0,
     COUNTIFS($AK$2:$AK$200,$G11)&gt;0,
     COUNTIFS($AL$2:$AL$200,$G11)&gt;0,
     COUNTIFS($AM$2:$AM$200,$G11)&gt;0,
     COUNTIFS($AN$2:$AN$200,$G11)&gt;0,
     COUNTIFS($AO$2:$AO$200,$G11)&gt;0,
     COUNTIFS($AP$2:$AP$200,$G11)&gt;0,
     COUNTIFS($AQ$2:$AQ$200,$G11)&gt;0,
     COUNTIFS($AR$2:$AR$200,$G11)&gt;0,
     COUNTIFS($AS$2:$AS$200,$G11)&gt;0,
     COUNTIFS($AT$2:$AT$200,$G11)&gt;0,
     COUNTIFS($AU$2:$AU$200,$G11)&gt;0,
     COUNTIFS($AV$2:$AV$200,$G11)&gt;0,
     COUNTIFS($AW$2:$AW$200,$G11)&gt;0,
     COUNTIFS($AX$2:$AX$200,$G11)&gt;0
   )),
  ),
  2
 ),
"")</f>
        <v/>
      </c>
      <c r="E11" s="3" t="str" cm="1">
        <f t="array" aca="1" ref="E11" ca="1">IFERROR(
 INDEX(
  _xlfn._xlws.FILTER($U$1:$AX$1,
   TRANSPOSE(
    CHOOSE({1;2;3;4;5;6;7;8;9;10;11;12;13;14;15;16;17;18;19;20;21;22;23;24;25;26;27;28;29;30},
     COUNTIFS($U$2:$U$200,$G11)&gt;0,
     COUNTIFS($V$2:$V$200,$G11)&gt;0,
     COUNTIFS($W$2:$W$200,$G11)&gt;0,
     COUNTIFS($X$2:$X$200,$G11)&gt;0,
     COUNTIFS($Y$2:$Y$200,$G11)&gt;0,
     COUNTIFS($Z$2:$Z$200,$G11)&gt;0,
     COUNTIFS($AA$2:$AA$200,$G11)&gt;0,
     COUNTIFS($AB$2:$AB$200,$G11)&gt;0,
     COUNTIFS($AC$2:$AC$200,$G11)&gt;0,
     COUNTIFS($AD$2:$AD$200,$G11)&gt;0,
     COUNTIFS($AE$2:$AE$200,$G11)&gt;0,
     COUNTIFS($AF$2:$AF$200,$G11)&gt;0,
     COUNTIFS($AG$2:$AG$200,$G11)&gt;0,
     COUNTIFS($AH$2:$AH$200,$G11)&gt;0,
     COUNTIFS($AI$2:$AI$200,$G11)&gt;0,
     COUNTIFS($AJ$2:$AJ$200,$G11)&gt;0,
     COUNTIFS($AK$2:$AK$200,$G11)&gt;0,
     COUNTIFS($AL$2:$AL$200,$G11)&gt;0,
     COUNTIFS($AM$2:$AM$200,$G11)&gt;0,
     COUNTIFS($AN$2:$AN$200,$G11)&gt;0,
     COUNTIFS($AO$2:$AO$200,$G11)&gt;0,
     COUNTIFS($AP$2:$AP$200,$G11)&gt;0,
     COUNTIFS($AQ$2:$AQ$200,$G11)&gt;0,
     COUNTIFS($AR$2:$AR$200,$G11)&gt;0,
     COUNTIFS($AS$2:$AS$200,$G11)&gt;0,
     COUNTIFS($AT$2:$AT$200,$G11)&gt;0,
     COUNTIFS($AU$2:$AU$200,$G11)&gt;0,
     COUNTIFS($AV$2:$AV$200,$G11)&gt;0,
     COUNTIFS($AW$2:$AW$200,$G11)&gt;0,
     COUNTIFS($AX$2:$AX$200,$G11)&gt;0
   )),
  ),
  3
 ),
"")</f>
        <v/>
      </c>
      <c r="F11" s="3" t="str" cm="1">
        <f t="array" aca="1" ref="F11" ca="1">IFERROR(
 INDEX(
  _xlfn._xlws.FILTER($U$1:$AX$1,
   TRANSPOSE(
    CHOOSE({1;2;3;4;5;6;7;8;9;10;11;12;13;14;15;16;17;18;19;20;21;22;23;24;25;26;27;28;29;30},
     COUNTIFS($U$2:$U$200,$G11)&gt;0,
     COUNTIFS($V$2:$V$200,$G11)&gt;0,
     COUNTIFS($W$2:$W$200,$G11)&gt;0,
     COUNTIFS($X$2:$X$200,$G11)&gt;0,
     COUNTIFS($Y$2:$Y$200,$G11)&gt;0,
     COUNTIFS($Z$2:$Z$200,$G11)&gt;0,
     COUNTIFS($AA$2:$AA$200,$G11)&gt;0,
     COUNTIFS($AB$2:$AB$200,$G11)&gt;0,
     COUNTIFS($AC$2:$AC$200,$G11)&gt;0,
     COUNTIFS($AD$2:$AD$200,$G11)&gt;0,
     COUNTIFS($AE$2:$AE$200,$G11)&gt;0,
     COUNTIFS($AF$2:$AF$200,$G11)&gt;0,
     COUNTIFS($AG$2:$AG$200,$G11)&gt;0,
     COUNTIFS($AH$2:$AH$200,$G11)&gt;0,
     COUNTIFS($AI$2:$AI$200,$G11)&gt;0,
     COUNTIFS($AJ$2:$AJ$200,$G11)&gt;0,
     COUNTIFS($AK$2:$AK$200,$G11)&gt;0,
     COUNTIFS($AL$2:$AL$200,$G11)&gt;0,
     COUNTIFS($AM$2:$AM$200,$G11)&gt;0,
     COUNTIFS($AN$2:$AN$200,$G11)&gt;0,
     COUNTIFS($AO$2:$AO$200,$G11)&gt;0,
     COUNTIFS($AP$2:$AP$200,$G11)&gt;0,
     COUNTIFS($AQ$2:$AQ$200,$G11)&gt;0,
     COUNTIFS($AR$2:$AR$200,$G11)&gt;0,
     COUNTIFS($AS$2:$AS$200,$G11)&gt;0,
     COUNTIFS($AT$2:$AT$200,$G11)&gt;0,
     COUNTIFS($AU$2:$AU$200,$G11)&gt;0,
     COUNTIFS($AV$2:$AV$200,$G11)&gt;0,
     COUNTIFS($AW$2:$AW$200,$G11)&gt;0,
     COUNTIFS($AX$2:$AX$200,$G11)&gt;0
   )),
  ),
  4
 ),
"")</f>
        <v/>
      </c>
      <c r="G11" t="str">
        <f ca="1"/>
        <v>Ancient Greenwarden</v>
      </c>
      <c r="I11" t="s">
        <v>2031</v>
      </c>
      <c r="J11" s="3">
        <f>JhoiraB!G2</f>
        <v>12</v>
      </c>
      <c r="K11" s="3" t="s">
        <v>2057</v>
      </c>
      <c r="L11" s="3" t="s">
        <v>2056</v>
      </c>
      <c r="M11" s="3" t="s">
        <v>2056</v>
      </c>
      <c r="N11" s="3" t="s">
        <v>2057</v>
      </c>
      <c r="O11" s="3" t="s">
        <v>2057</v>
      </c>
      <c r="P11" s="3" t="s">
        <v>327</v>
      </c>
      <c r="Q11" s="25" t="s">
        <v>738</v>
      </c>
      <c r="R11" s="3" t="s">
        <v>2122</v>
      </c>
      <c r="S11" s="3" t="str">
        <f t="shared" si="2"/>
        <v>3</v>
      </c>
      <c r="U11" t="str">
        <v>Secluded Courtyard</v>
      </c>
      <c r="V11" t="str">
        <v>Gavony Township</v>
      </c>
      <c r="W11" t="str">
        <v>Khorvath's Fury</v>
      </c>
      <c r="X11" t="str">
        <v>Gyre Sage</v>
      </c>
      <c r="Y11" t="str">
        <v>Mother of runes</v>
      </c>
      <c r="Z11" t="str">
        <v>Frenzied Gorespawn</v>
      </c>
      <c r="AA11" t="str">
        <v>Merrow Harbinger</v>
      </c>
      <c r="AB11" t="str">
        <v>Three Visits</v>
      </c>
      <c r="AC11" t="str">
        <v>Ulamog, o Profanador</v>
      </c>
      <c r="AD11" t="str">
        <v>Titania, Voice of Gaea</v>
      </c>
      <c r="AE11" t="str">
        <v>The Mycosynth Gardens</v>
      </c>
      <c r="AG11" t="str">
        <v>Temporal Trespass</v>
      </c>
      <c r="AH11" t="str">
        <v>Warren Soultrader</v>
      </c>
      <c r="AI11" t="str">
        <v>Kellan, the Fae-Blooded // Birthright Boon</v>
      </c>
      <c r="AJ11" t="str">
        <v>Ripples of Potential</v>
      </c>
      <c r="AX11" t="str">
        <v>Earthbending Student</v>
      </c>
      <c r="BB11" t="str">
        <f ca="1"/>
        <v>Emberwilde Captain</v>
      </c>
      <c r="BC11" t="str">
        <f ca="1"/>
        <v>Devoted Druid</v>
      </c>
      <c r="BD11" t="str">
        <f ca="1"/>
        <v>Enduring Innocence</v>
      </c>
      <c r="BE11" t="str">
        <f ca="1"/>
        <v>Kodama's Reach</v>
      </c>
      <c r="BF11" t="str">
        <f ca="1"/>
        <v>Petrified Field</v>
      </c>
      <c r="BG11" t="str">
        <f ca="1"/>
        <v>Mandate of Peace</v>
      </c>
      <c r="BH11" t="str">
        <f ca="1"/>
        <v>Mistbind Clique</v>
      </c>
      <c r="BI11" t="str">
        <f ca="1"/>
        <v>Firion, Wild Rose Warrior</v>
      </c>
      <c r="BJ11" t="str">
        <f ca="1"/>
        <v>Three Tree City</v>
      </c>
      <c r="BK11" t="str">
        <f ca="1"/>
        <v>Trioma de Raugrin</v>
      </c>
      <c r="BL11" t="str">
        <f ca="1"/>
        <v>Serenata das Estriges</v>
      </c>
      <c r="BM11" t="str">
        <f ca="1"/>
        <v>Reflecting Pool</v>
      </c>
      <c r="BN11" t="str">
        <f ca="1"/>
        <v>Warren Soultrader</v>
      </c>
      <c r="BP11" t="str">
        <f ca="1"/>
        <v>Earthbending Student</v>
      </c>
      <c r="BS11" t="str">
        <f ca="1"/>
        <v>Broadside Bombardiers</v>
      </c>
      <c r="BT11" t="str">
        <f ca="1"/>
        <v>Cyber Conversion</v>
      </c>
      <c r="BU11" t="str">
        <f ca="1"/>
        <v>Entomb</v>
      </c>
      <c r="BV11" t="str">
        <f ca="1"/>
        <v>Elspeth, Sun's Champion</v>
      </c>
      <c r="BW11" t="str">
        <f ca="1"/>
        <v>Obelisco de Obsidiana</v>
      </c>
      <c r="BX11" t="str">
        <f ca="1"/>
        <v>Invasion of Segovia</v>
      </c>
      <c r="BY11" t="str">
        <f ca="1"/>
        <v>Renewed Solidarity</v>
      </c>
      <c r="BZ11" t="str">
        <f ca="1"/>
        <v>Earthbending Student</v>
      </c>
      <c r="CB11" t="str">
        <f ca="1"/>
        <v>Autoridade dos Cônsules</v>
      </c>
      <c r="CC11" t="str">
        <f ca="1"/>
        <v>Cid, Freeflier Pilot</v>
      </c>
      <c r="CD11" t="str">
        <f ca="1"/>
        <v>Daretti, Ingenious Iconoclast</v>
      </c>
      <c r="CE11" t="str">
        <f ca="1"/>
        <v>Dollmaker's Shop // Porcelain Gallery</v>
      </c>
      <c r="CG11" t="str">
        <f ca="1"/>
        <v>Arid Mesa</v>
      </c>
      <c r="CH11" t="str">
        <f ca="1"/>
        <v>Beast Within</v>
      </c>
      <c r="CJ11" t="str">
        <f ca="1"/>
        <v>Ancient Greenwarden</v>
      </c>
    </row>
    <row r="12" spans="1:88" x14ac:dyDescent="0.25">
      <c r="A12" s="3" t="str">
        <f t="shared" ca="1" si="0"/>
        <v>3</v>
      </c>
      <c r="B12" s="3">
        <f t="shared" ca="1" si="1"/>
        <v>1</v>
      </c>
      <c r="C12" s="3" t="str">
        <f ca="1">IFERROR(
 INDEX($U$1:$AX$1,
  MATCH(TRUE,
   CHOOSE({1;2;3;4;5;6;7;8;9;10;11;12;13;14;15;16;17;18;19;20;21;22;23;24;25;26;27;28;29;30;31;32},
    COUNTIFS($U$2:$U$200,$G12)&gt;0,
    COUNTIFS($V$2:$V$200,$G12)&gt;0,
    COUNTIFS($W$2:$W$200,$G12)&gt;0,
    COUNTIFS($X$2:$X$200,$G12)&gt;0,
    COUNTIFS($Y$2:$Y$200,$G12)&gt;0,
    COUNTIFS($Z$2:$Z$200,$G12)&gt;0,
    COUNTIFS($AA$2:$AA$200,$G12)&gt;0,
    COUNTIFS($AB$2:$AB$200,$G12)&gt;0,
    COUNTIFS($AC$2:$AC$200,$G12)&gt;0,
    COUNTIFS($AD$2:$AD$200,$G12)&gt;0,
    COUNTIFS($AE$2:$AE$200,$G12)&gt;0,
    COUNTIFS($AF$2:$AF$200,$G12)&gt;0,
    COUNTIFS($AG$2:$AG$200,$G12)&gt;0,
    COUNTIFS($AH$2:$AH$200,$G12)&gt;0,
    COUNTIFS($AI$2:$AI$200,$G12)&gt;0,
    COUNTIFS($AJ$2:$AJ$200,$G12)&gt;0,
    COUNTIFS($AK$2:$AK$200,$G12)&gt;0,
    COUNTIFS($AL$2:$AL$200,$G12)&gt;0,
    COUNTIFS($AM$2:$AM$200,$G12)&gt;0,
    COUNTIFS($AN$2:$AN$200,$G12)&gt;0,
    COUNTIFS($AO$2:$AO$200,$G12)&gt;0,
    COUNTIFS($AP$2:$AP$200,$G12)&gt;0,
    COUNTIFS($AQ$2:$AQ$200,$G12)&gt;0,
    COUNTIFS($AR$2:$AR$200,$G12)&gt;0,
    COUNTIFS($AS$2:$AS$200,$G12)&gt;0,
    COUNTIFS($AT$2:$AT$200,$G12)&gt;0,
    COUNTIFS($AU$2:$AU$200,$G12)&gt;0,
    COUNTIFS($AV$2:$AV$200,$G12)&gt;0,
    COUNTIFS($AW$2:$AW$200,$G12)&gt;0,
    COUNTIFS($AX$2:$AX$200,$G12)&gt;0
   ),
  0)
 ),
"")</f>
        <v>Gritrog</v>
      </c>
      <c r="D12" s="3" t="str" cm="1">
        <f t="array" aca="1" ref="D12" ca="1">IFERROR(
 INDEX(
  _xlfn._xlws.FILTER($U$1:$AX$1,
   TRANSPOSE(
    CHOOSE({1;2;3;4;5;6;7;8;9;10;11;12;13;14;15;16;17;18;19;20;21;22;23;24;25;26;27;28;29;30},
     COUNTIFS($U$2:$U$200,$G12)&gt;0,
     COUNTIFS($V$2:$V$200,$G12)&gt;0,
     COUNTIFS($W$2:$W$200,$G12)&gt;0,
     COUNTIFS($X$2:$X$200,$G12)&gt;0,
     COUNTIFS($Y$2:$Y$200,$G12)&gt;0,
     COUNTIFS($Z$2:$Z$200,$G12)&gt;0,
     COUNTIFS($AA$2:$AA$200,$G12)&gt;0,
     COUNTIFS($AB$2:$AB$200,$G12)&gt;0,
     COUNTIFS($AC$2:$AC$200,$G12)&gt;0,
     COUNTIFS($AD$2:$AD$200,$G12)&gt;0,
     COUNTIFS($AE$2:$AE$200,$G12)&gt;0,
     COUNTIFS($AF$2:$AF$200,$G12)&gt;0,
     COUNTIFS($AG$2:$AG$200,$G12)&gt;0,
     COUNTIFS($AH$2:$AH$200,$G12)&gt;0,
     COUNTIFS($AI$2:$AI$200,$G12)&gt;0,
     COUNTIFS($AJ$2:$AJ$200,$G12)&gt;0,
     COUNTIFS($AK$2:$AK$200,$G12)&gt;0,
     COUNTIFS($AL$2:$AL$200,$G12)&gt;0,
     COUNTIFS($AM$2:$AM$200,$G12)&gt;0,
     COUNTIFS($AN$2:$AN$200,$G12)&gt;0,
     COUNTIFS($AO$2:$AO$200,$G12)&gt;0,
     COUNTIFS($AP$2:$AP$200,$G12)&gt;0,
     COUNTIFS($AQ$2:$AQ$200,$G12)&gt;0,
     COUNTIFS($AR$2:$AR$200,$G12)&gt;0,
     COUNTIFS($AS$2:$AS$200,$G12)&gt;0,
     COUNTIFS($AT$2:$AT$200,$G12)&gt;0,
     COUNTIFS($AU$2:$AU$200,$G12)&gt;0,
     COUNTIFS($AV$2:$AV$200,$G12)&gt;0,
     COUNTIFS($AW$2:$AW$200,$G12)&gt;0,
     COUNTIFS($AX$2:$AX$200,$G12)&gt;0
   )),
  ),
  2
 ),
"")</f>
        <v/>
      </c>
      <c r="E12" s="3" t="str" cm="1">
        <f t="array" aca="1" ref="E12" ca="1">IFERROR(
 INDEX(
  _xlfn._xlws.FILTER($U$1:$AX$1,
   TRANSPOSE(
    CHOOSE({1;2;3;4;5;6;7;8;9;10;11;12;13;14;15;16;17;18;19;20;21;22;23;24;25;26;27;28;29;30},
     COUNTIFS($U$2:$U$200,$G12)&gt;0,
     COUNTIFS($V$2:$V$200,$G12)&gt;0,
     COUNTIFS($W$2:$W$200,$G12)&gt;0,
     COUNTIFS($X$2:$X$200,$G12)&gt;0,
     COUNTIFS($Y$2:$Y$200,$G12)&gt;0,
     COUNTIFS($Z$2:$Z$200,$G12)&gt;0,
     COUNTIFS($AA$2:$AA$200,$G12)&gt;0,
     COUNTIFS($AB$2:$AB$200,$G12)&gt;0,
     COUNTIFS($AC$2:$AC$200,$G12)&gt;0,
     COUNTIFS($AD$2:$AD$200,$G12)&gt;0,
     COUNTIFS($AE$2:$AE$200,$G12)&gt;0,
     COUNTIFS($AF$2:$AF$200,$G12)&gt;0,
     COUNTIFS($AG$2:$AG$200,$G12)&gt;0,
     COUNTIFS($AH$2:$AH$200,$G12)&gt;0,
     COUNTIFS($AI$2:$AI$200,$G12)&gt;0,
     COUNTIFS($AJ$2:$AJ$200,$G12)&gt;0,
     COUNTIFS($AK$2:$AK$200,$G12)&gt;0,
     COUNTIFS($AL$2:$AL$200,$G12)&gt;0,
     COUNTIFS($AM$2:$AM$200,$G12)&gt;0,
     COUNTIFS($AN$2:$AN$200,$G12)&gt;0,
     COUNTIFS($AO$2:$AO$200,$G12)&gt;0,
     COUNTIFS($AP$2:$AP$200,$G12)&gt;0,
     COUNTIFS($AQ$2:$AQ$200,$G12)&gt;0,
     COUNTIFS($AR$2:$AR$200,$G12)&gt;0,
     COUNTIFS($AS$2:$AS$200,$G12)&gt;0,
     COUNTIFS($AT$2:$AT$200,$G12)&gt;0,
     COUNTIFS($AU$2:$AU$200,$G12)&gt;0,
     COUNTIFS($AV$2:$AV$200,$G12)&gt;0,
     COUNTIFS($AW$2:$AW$200,$G12)&gt;0,
     COUNTIFS($AX$2:$AX$200,$G12)&gt;0
   )),
  ),
  3
 ),
"")</f>
        <v/>
      </c>
      <c r="F12" s="3" t="str" cm="1">
        <f t="array" aca="1" ref="F12" ca="1">IFERROR(
 INDEX(
  _xlfn._xlws.FILTER($U$1:$AX$1,
   TRANSPOSE(
    CHOOSE({1;2;3;4;5;6;7;8;9;10;11;12;13;14;15;16;17;18;19;20;21;22;23;24;25;26;27;28;29;30},
     COUNTIFS($U$2:$U$200,$G12)&gt;0,
     COUNTIFS($V$2:$V$200,$G12)&gt;0,
     COUNTIFS($W$2:$W$200,$G12)&gt;0,
     COUNTIFS($X$2:$X$200,$G12)&gt;0,
     COUNTIFS($Y$2:$Y$200,$G12)&gt;0,
     COUNTIFS($Z$2:$Z$200,$G12)&gt;0,
     COUNTIFS($AA$2:$AA$200,$G12)&gt;0,
     COUNTIFS($AB$2:$AB$200,$G12)&gt;0,
     COUNTIFS($AC$2:$AC$200,$G12)&gt;0,
     COUNTIFS($AD$2:$AD$200,$G12)&gt;0,
     COUNTIFS($AE$2:$AE$200,$G12)&gt;0,
     COUNTIFS($AF$2:$AF$200,$G12)&gt;0,
     COUNTIFS($AG$2:$AG$200,$G12)&gt;0,
     COUNTIFS($AH$2:$AH$200,$G12)&gt;0,
     COUNTIFS($AI$2:$AI$200,$G12)&gt;0,
     COUNTIFS($AJ$2:$AJ$200,$G12)&gt;0,
     COUNTIFS($AK$2:$AK$200,$G12)&gt;0,
     COUNTIFS($AL$2:$AL$200,$G12)&gt;0,
     COUNTIFS($AM$2:$AM$200,$G12)&gt;0,
     COUNTIFS($AN$2:$AN$200,$G12)&gt;0,
     COUNTIFS($AO$2:$AO$200,$G12)&gt;0,
     COUNTIFS($AP$2:$AP$200,$G12)&gt;0,
     COUNTIFS($AQ$2:$AQ$200,$G12)&gt;0,
     COUNTIFS($AR$2:$AR$200,$G12)&gt;0,
     COUNTIFS($AS$2:$AS$200,$G12)&gt;0,
     COUNTIFS($AT$2:$AT$200,$G12)&gt;0,
     COUNTIFS($AU$2:$AU$200,$G12)&gt;0,
     COUNTIFS($AV$2:$AV$200,$G12)&gt;0,
     COUNTIFS($AW$2:$AW$200,$G12)&gt;0,
     COUNTIFS($AX$2:$AX$200,$G12)&gt;0
   )),
  ),
  4
 ),
"")</f>
        <v/>
      </c>
      <c r="G12" t="str">
        <f ca="1"/>
        <v>Ancient Tomb</v>
      </c>
      <c r="I12" t="s">
        <v>2022</v>
      </c>
      <c r="J12" s="3">
        <f>Gitrog!G2</f>
        <v>11</v>
      </c>
      <c r="K12" s="3" t="s">
        <v>2057</v>
      </c>
      <c r="L12" s="3" t="s">
        <v>2057</v>
      </c>
      <c r="M12" s="3" t="s">
        <v>2057</v>
      </c>
      <c r="N12" s="3" t="s">
        <v>2056</v>
      </c>
      <c r="O12" s="3" t="s">
        <v>2056</v>
      </c>
      <c r="P12" s="3" t="s">
        <v>327</v>
      </c>
      <c r="Q12" s="25" t="s">
        <v>2110</v>
      </c>
      <c r="R12" s="3" t="s">
        <v>2123</v>
      </c>
      <c r="S12" s="3" t="str">
        <f t="shared" si="2"/>
        <v>3</v>
      </c>
      <c r="U12" t="str">
        <v>Shoot the Sheriff</v>
      </c>
      <c r="V12" t="str">
        <v>Generous Gift</v>
      </c>
      <c r="W12" t="str">
        <v>Lightning Greaves</v>
      </c>
      <c r="X12" t="str">
        <v>Hydra's Growth</v>
      </c>
      <c r="Y12" t="str">
        <v>Sevinne's Reclamation</v>
      </c>
      <c r="Z12" t="str">
        <v>Gallifrey Council Chamber</v>
      </c>
      <c r="AA12" t="str">
        <v>Reliquary Tower</v>
      </c>
      <c r="AB12" t="str">
        <v>Zagoth Triome</v>
      </c>
      <c r="AC12" t="str">
        <v>Ulamog's Dreadsire</v>
      </c>
      <c r="AD12" t="str">
        <v>Ulamog, the Infinite Gyre</v>
      </c>
      <c r="AE12" t="str">
        <v>Vexing Puzzlebox</v>
      </c>
      <c r="AG12" t="str">
        <v>Valfenda</v>
      </c>
      <c r="AI12" t="str">
        <v>Lightning Greaves</v>
      </c>
      <c r="AJ12" t="str">
        <v>Vronos, Masked Inquisitor</v>
      </c>
      <c r="AX12" t="str">
        <v>Elvish Reclaimer</v>
      </c>
      <c r="BB12" t="str">
        <f ca="1"/>
        <v>Exalted Sunborn</v>
      </c>
      <c r="BC12" t="str">
        <f ca="1"/>
        <v>Forest</v>
      </c>
      <c r="BD12" t="str">
        <f ca="1"/>
        <v>Exemplar of Light</v>
      </c>
      <c r="BE12" t="str">
        <f ca="1"/>
        <v>Lord of Atlantis</v>
      </c>
      <c r="BF12" t="str">
        <f ca="1"/>
        <v>Phyrexian Tower</v>
      </c>
      <c r="BG12" t="str">
        <f ca="1"/>
        <v>Mirrex</v>
      </c>
      <c r="BH12" t="str">
        <f ca="1"/>
        <v>Molten Echoes</v>
      </c>
      <c r="BI12" t="str">
        <f ca="1"/>
        <v>Freyalise, Llanowar's Fury</v>
      </c>
      <c r="BJ12" t="str">
        <f ca="1"/>
        <v>Uthros, Titanic Godcore</v>
      </c>
      <c r="BK12" t="str">
        <f ca="1"/>
        <v>Trioma de Zagoth</v>
      </c>
      <c r="BL12" t="str">
        <f ca="1"/>
        <v>Sokenzan, Crisol da Afronta</v>
      </c>
      <c r="BM12" t="str">
        <f ca="1"/>
        <v>Saqueador Amaldiçoado</v>
      </c>
      <c r="BN12" t="str">
        <f ca="1"/>
        <v>Westvale Abbey</v>
      </c>
      <c r="BP12" t="str">
        <f ca="1"/>
        <v>Elvish Reclaimer</v>
      </c>
      <c r="BS12" t="str">
        <f ca="1"/>
        <v>Brushland</v>
      </c>
      <c r="BT12" t="str">
        <f ca="1"/>
        <v>Deeproot Historian</v>
      </c>
      <c r="BU12" t="str">
        <f ca="1"/>
        <v>Extinguisher Battleship</v>
      </c>
      <c r="BV12" t="str">
        <f ca="1"/>
        <v>Espada da Riqueza e do Poder</v>
      </c>
      <c r="BW12" t="str">
        <f ca="1"/>
        <v>Overgrown Tomb</v>
      </c>
      <c r="BX12" t="str">
        <f ca="1"/>
        <v>Jenova, Ancient Calamity</v>
      </c>
      <c r="BY12" t="str">
        <f ca="1"/>
        <v>Scattered Groves</v>
      </c>
      <c r="BZ12" t="str">
        <f ca="1"/>
        <v>Elvish Reclaimer</v>
      </c>
      <c r="CB12" t="str">
        <f ca="1"/>
        <v>Back in Town</v>
      </c>
      <c r="CC12" t="str">
        <f ca="1"/>
        <v>Cloud, Midgar Mercenary</v>
      </c>
      <c r="CD12" t="str">
        <f ca="1"/>
        <v>Dionus, Elvish Archdruid</v>
      </c>
      <c r="CE12" t="str">
        <f ca="1"/>
        <v>Duty Beyond Death</v>
      </c>
      <c r="CG12" t="str">
        <f ca="1"/>
        <v>Artifact Mutation</v>
      </c>
      <c r="CH12" t="str">
        <f ca="1"/>
        <v>Bugenhagen, Wise Elder</v>
      </c>
      <c r="CJ12" t="str">
        <f ca="1"/>
        <v>Ancient Tomb</v>
      </c>
    </row>
    <row r="13" spans="1:88" x14ac:dyDescent="0.25">
      <c r="A13" s="3" t="str">
        <f t="shared" ca="1" si="0"/>
        <v>5</v>
      </c>
      <c r="B13" s="3">
        <f t="shared" ca="1" si="1"/>
        <v>1</v>
      </c>
      <c r="C13" s="3" t="str">
        <f ca="1">IFERROR(
 INDEX($U$1:$AX$1,
  MATCH(TRUE,
   CHOOSE({1;2;3;4;5;6;7;8;9;10;11;12;13;14;15;16;17;18;19;20;21;22;23;24;25;26;27;28;29;30;31;32},
    COUNTIFS($U$2:$U$200,$G13)&gt;0,
    COUNTIFS($V$2:$V$200,$G13)&gt;0,
    COUNTIFS($W$2:$W$200,$G13)&gt;0,
    COUNTIFS($X$2:$X$200,$G13)&gt;0,
    COUNTIFS($Y$2:$Y$200,$G13)&gt;0,
    COUNTIFS($Z$2:$Z$200,$G13)&gt;0,
    COUNTIFS($AA$2:$AA$200,$G13)&gt;0,
    COUNTIFS($AB$2:$AB$200,$G13)&gt;0,
    COUNTIFS($AC$2:$AC$200,$G13)&gt;0,
    COUNTIFS($AD$2:$AD$200,$G13)&gt;0,
    COUNTIFS($AE$2:$AE$200,$G13)&gt;0,
    COUNTIFS($AF$2:$AF$200,$G13)&gt;0,
    COUNTIFS($AG$2:$AG$200,$G13)&gt;0,
    COUNTIFS($AH$2:$AH$200,$G13)&gt;0,
    COUNTIFS($AI$2:$AI$200,$G13)&gt;0,
    COUNTIFS($AJ$2:$AJ$200,$G13)&gt;0,
    COUNTIFS($AK$2:$AK$200,$G13)&gt;0,
    COUNTIFS($AL$2:$AL$200,$G13)&gt;0,
    COUNTIFS($AM$2:$AM$200,$G13)&gt;0,
    COUNTIFS($AN$2:$AN$200,$G13)&gt;0,
    COUNTIFS($AO$2:$AO$200,$G13)&gt;0,
    COUNTIFS($AP$2:$AP$200,$G13)&gt;0,
    COUNTIFS($AQ$2:$AQ$200,$G13)&gt;0,
    COUNTIFS($AR$2:$AR$200,$G13)&gt;0,
    COUNTIFS($AS$2:$AS$200,$G13)&gt;0,
    COUNTIFS($AT$2:$AT$200,$G13)&gt;0,
    COUNTIFS($AU$2:$AU$200,$G13)&gt;0,
    COUNTIFS($AV$2:$AV$200,$G13)&gt;0,
    COUNTIFS($AW$2:$AW$200,$G13)&gt;0,
    COUNTIFS($AX$2:$AX$200,$G13)&gt;0
   ),
  0)
 ),
"")</f>
        <v>Zedruu</v>
      </c>
      <c r="D13" s="3" t="str" cm="1">
        <f t="array" aca="1" ref="D13" ca="1">IFERROR(
 INDEX(
  _xlfn._xlws.FILTER($U$1:$AX$1,
   TRANSPOSE(
    CHOOSE({1;2;3;4;5;6;7;8;9;10;11;12;13;14;15;16;17;18;19;20;21;22;23;24;25;26;27;28;29;30},
     COUNTIFS($U$2:$U$200,$G13)&gt;0,
     COUNTIFS($V$2:$V$200,$G13)&gt;0,
     COUNTIFS($W$2:$W$200,$G13)&gt;0,
     COUNTIFS($X$2:$X$200,$G13)&gt;0,
     COUNTIFS($Y$2:$Y$200,$G13)&gt;0,
     COUNTIFS($Z$2:$Z$200,$G13)&gt;0,
     COUNTIFS($AA$2:$AA$200,$G13)&gt;0,
     COUNTIFS($AB$2:$AB$200,$G13)&gt;0,
     COUNTIFS($AC$2:$AC$200,$G13)&gt;0,
     COUNTIFS($AD$2:$AD$200,$G13)&gt;0,
     COUNTIFS($AE$2:$AE$200,$G13)&gt;0,
     COUNTIFS($AF$2:$AF$200,$G13)&gt;0,
     COUNTIFS($AG$2:$AG$200,$G13)&gt;0,
     COUNTIFS($AH$2:$AH$200,$G13)&gt;0,
     COUNTIFS($AI$2:$AI$200,$G13)&gt;0,
     COUNTIFS($AJ$2:$AJ$200,$G13)&gt;0,
     COUNTIFS($AK$2:$AK$200,$G13)&gt;0,
     COUNTIFS($AL$2:$AL$200,$G13)&gt;0,
     COUNTIFS($AM$2:$AM$200,$G13)&gt;0,
     COUNTIFS($AN$2:$AN$200,$G13)&gt;0,
     COUNTIFS($AO$2:$AO$200,$G13)&gt;0,
     COUNTIFS($AP$2:$AP$200,$G13)&gt;0,
     COUNTIFS($AQ$2:$AQ$200,$G13)&gt;0,
     COUNTIFS($AR$2:$AR$200,$G13)&gt;0,
     COUNTIFS($AS$2:$AS$200,$G13)&gt;0,
     COUNTIFS($AT$2:$AT$200,$G13)&gt;0,
     COUNTIFS($AU$2:$AU$200,$G13)&gt;0,
     COUNTIFS($AV$2:$AV$200,$G13)&gt;0,
     COUNTIFS($AW$2:$AW$200,$G13)&gt;0,
     COUNTIFS($AX$2:$AX$200,$G13)&gt;0
   )),
  ),
  2
 ),
"")</f>
        <v/>
      </c>
      <c r="E13" s="3" t="str" cm="1">
        <f t="array" aca="1" ref="E13" ca="1">IFERROR(
 INDEX(
  _xlfn._xlws.FILTER($U$1:$AX$1,
   TRANSPOSE(
    CHOOSE({1;2;3;4;5;6;7;8;9;10;11;12;13;14;15;16;17;18;19;20;21;22;23;24;25;26;27;28;29;30},
     COUNTIFS($U$2:$U$200,$G13)&gt;0,
     COUNTIFS($V$2:$V$200,$G13)&gt;0,
     COUNTIFS($W$2:$W$200,$G13)&gt;0,
     COUNTIFS($X$2:$X$200,$G13)&gt;0,
     COUNTIFS($Y$2:$Y$200,$G13)&gt;0,
     COUNTIFS($Z$2:$Z$200,$G13)&gt;0,
     COUNTIFS($AA$2:$AA$200,$G13)&gt;0,
     COUNTIFS($AB$2:$AB$200,$G13)&gt;0,
     COUNTIFS($AC$2:$AC$200,$G13)&gt;0,
     COUNTIFS($AD$2:$AD$200,$G13)&gt;0,
     COUNTIFS($AE$2:$AE$200,$G13)&gt;0,
     COUNTIFS($AF$2:$AF$200,$G13)&gt;0,
     COUNTIFS($AG$2:$AG$200,$G13)&gt;0,
     COUNTIFS($AH$2:$AH$200,$G13)&gt;0,
     COUNTIFS($AI$2:$AI$200,$G13)&gt;0,
     COUNTIFS($AJ$2:$AJ$200,$G13)&gt;0,
     COUNTIFS($AK$2:$AK$200,$G13)&gt;0,
     COUNTIFS($AL$2:$AL$200,$G13)&gt;0,
     COUNTIFS($AM$2:$AM$200,$G13)&gt;0,
     COUNTIFS($AN$2:$AN$200,$G13)&gt;0,
     COUNTIFS($AO$2:$AO$200,$G13)&gt;0,
     COUNTIFS($AP$2:$AP$200,$G13)&gt;0,
     COUNTIFS($AQ$2:$AQ$200,$G13)&gt;0,
     COUNTIFS($AR$2:$AR$200,$G13)&gt;0,
     COUNTIFS($AS$2:$AS$200,$G13)&gt;0,
     COUNTIFS($AT$2:$AT$200,$G13)&gt;0,
     COUNTIFS($AU$2:$AU$200,$G13)&gt;0,
     COUNTIFS($AV$2:$AV$200,$G13)&gt;0,
     COUNTIFS($AW$2:$AW$200,$G13)&gt;0,
     COUNTIFS($AX$2:$AX$200,$G13)&gt;0
   )),
  ),
  3
 ),
"")</f>
        <v/>
      </c>
      <c r="F13" s="3" t="str" cm="1">
        <f t="array" aca="1" ref="F13" ca="1">IFERROR(
 INDEX(
  _xlfn._xlws.FILTER($U$1:$AX$1,
   TRANSPOSE(
    CHOOSE({1;2;3;4;5;6;7;8;9;10;11;12;13;14;15;16;17;18;19;20;21;22;23;24;25;26;27;28;29;30},
     COUNTIFS($U$2:$U$200,$G13)&gt;0,
     COUNTIFS($V$2:$V$200,$G13)&gt;0,
     COUNTIFS($W$2:$W$200,$G13)&gt;0,
     COUNTIFS($X$2:$X$200,$G13)&gt;0,
     COUNTIFS($Y$2:$Y$200,$G13)&gt;0,
     COUNTIFS($Z$2:$Z$200,$G13)&gt;0,
     COUNTIFS($AA$2:$AA$200,$G13)&gt;0,
     COUNTIFS($AB$2:$AB$200,$G13)&gt;0,
     COUNTIFS($AC$2:$AC$200,$G13)&gt;0,
     COUNTIFS($AD$2:$AD$200,$G13)&gt;0,
     COUNTIFS($AE$2:$AE$200,$G13)&gt;0,
     COUNTIFS($AF$2:$AF$200,$G13)&gt;0,
     COUNTIFS($AG$2:$AG$200,$G13)&gt;0,
     COUNTIFS($AH$2:$AH$200,$G13)&gt;0,
     COUNTIFS($AI$2:$AI$200,$G13)&gt;0,
     COUNTIFS($AJ$2:$AJ$200,$G13)&gt;0,
     COUNTIFS($AK$2:$AK$200,$G13)&gt;0,
     COUNTIFS($AL$2:$AL$200,$G13)&gt;0,
     COUNTIFS($AM$2:$AM$200,$G13)&gt;0,
     COUNTIFS($AN$2:$AN$200,$G13)&gt;0,
     COUNTIFS($AO$2:$AO$200,$G13)&gt;0,
     COUNTIFS($AP$2:$AP$200,$G13)&gt;0,
     COUNTIFS($AQ$2:$AQ$200,$G13)&gt;0,
     COUNTIFS($AR$2:$AR$200,$G13)&gt;0,
     COUNTIFS($AS$2:$AS$200,$G13)&gt;0,
     COUNTIFS($AT$2:$AT$200,$G13)&gt;0,
     COUNTIFS($AU$2:$AU$200,$G13)&gt;0,
     COUNTIFS($AV$2:$AV$200,$G13)&gt;0,
     COUNTIFS($AW$2:$AW$200,$G13)&gt;0,
     COUNTIFS($AX$2:$AX$200,$G13)&gt;0
   )),
  ),
  4
 ),
"")</f>
        <v/>
      </c>
      <c r="G13" t="str">
        <f ca="1"/>
        <v>Árbitro Silencioso</v>
      </c>
      <c r="I13" t="s">
        <v>12</v>
      </c>
      <c r="J13" s="3">
        <f>Muzzio!G2</f>
        <v>11</v>
      </c>
      <c r="K13" s="3" t="s">
        <v>2057</v>
      </c>
      <c r="L13" s="3" t="s">
        <v>2056</v>
      </c>
      <c r="M13" s="3" t="s">
        <v>2057</v>
      </c>
      <c r="N13" s="3" t="s">
        <v>2057</v>
      </c>
      <c r="O13" s="3" t="s">
        <v>2057</v>
      </c>
      <c r="P13" s="3" t="s">
        <v>327</v>
      </c>
      <c r="Q13" s="25" t="s">
        <v>2110</v>
      </c>
      <c r="R13" s="3" t="s">
        <v>2124</v>
      </c>
      <c r="S13" s="3" t="str">
        <f t="shared" si="2"/>
        <v>3</v>
      </c>
      <c r="U13" t="str">
        <v>Storm the Vault</v>
      </c>
      <c r="V13" t="str">
        <v>Jacked Rabbit</v>
      </c>
      <c r="W13" t="str">
        <v>Maddening Cacophony</v>
      </c>
      <c r="X13" t="str">
        <v>Incubation Druid</v>
      </c>
      <c r="Y13" t="str">
        <v>Takenuma, Charco Abandonado</v>
      </c>
      <c r="Z13" t="str">
        <v>Ghoulish Impetus</v>
      </c>
      <c r="AA13" t="str">
        <v>Seahunter</v>
      </c>
      <c r="AC13" t="str">
        <v>Valfenda</v>
      </c>
      <c r="AG13" t="str">
        <v>Watery Grave</v>
      </c>
      <c r="AI13" t="str">
        <v>Stoneforge Mystic</v>
      </c>
      <c r="AX13" t="str">
        <v>Esper Sentinel</v>
      </c>
      <c r="BB13" t="str">
        <f ca="1"/>
        <v>Fabled Passage</v>
      </c>
      <c r="BC13" t="str">
        <f ca="1"/>
        <v>Full Throttle</v>
      </c>
      <c r="BD13" t="str">
        <f ca="1"/>
        <v>Fellwar Stone</v>
      </c>
      <c r="BE13" t="str">
        <f ca="1"/>
        <v>Lullmage Mentor</v>
      </c>
      <c r="BF13" t="str">
        <f ca="1"/>
        <v>Ripples of Undeath</v>
      </c>
      <c r="BG13" t="str">
        <f ca="1"/>
        <v>Polluted Delta</v>
      </c>
      <c r="BH13" t="str">
        <f ca="1"/>
        <v>Morphic Pool</v>
      </c>
      <c r="BI13" t="str">
        <f ca="1"/>
        <v>Jitte Perdida</v>
      </c>
      <c r="BJ13" t="str">
        <f ca="1"/>
        <v>Watery Grave</v>
      </c>
      <c r="BK13" t="str">
        <f ca="1"/>
        <v>Ulamog, o Profanador</v>
      </c>
      <c r="BL13" t="str">
        <f ca="1"/>
        <v>Sonic Screwdriver</v>
      </c>
      <c r="BM13" t="str">
        <f ca="1"/>
        <v>The Masamune</v>
      </c>
      <c r="BP13" t="str">
        <f ca="1"/>
        <v>Esper Sentinel</v>
      </c>
      <c r="BS13" t="str">
        <f ca="1"/>
        <v>Cankerbloom</v>
      </c>
      <c r="BT13" t="str">
        <f ca="1"/>
        <v>Drowned Catacomb</v>
      </c>
      <c r="BU13" t="str">
        <f ca="1"/>
        <v>Gerrard's Hourglass Pendant</v>
      </c>
      <c r="BV13" t="str">
        <f ca="1"/>
        <v>Espada de Banquete e Fome</v>
      </c>
      <c r="BW13" t="str">
        <f ca="1"/>
        <v>Planetary Annihilation</v>
      </c>
      <c r="BX13" t="str">
        <f ca="1"/>
        <v>Jidoor, Aristocratic Capital // Overture</v>
      </c>
      <c r="BY13" t="str">
        <f ca="1"/>
        <v>Stridehangar Automaton</v>
      </c>
      <c r="BZ13" t="str">
        <f ca="1"/>
        <v>Esper Sentinel</v>
      </c>
      <c r="CB13" t="str">
        <f ca="1"/>
        <v>Beast Within</v>
      </c>
      <c r="CC13" t="str">
        <f ca="1"/>
        <v>Commodore Guff</v>
      </c>
      <c r="CD13" t="str">
        <f ca="1"/>
        <v>Emrakul, um Novo Mundo</v>
      </c>
      <c r="CE13" t="str">
        <f ca="1"/>
        <v>Earth Rumble</v>
      </c>
      <c r="CG13" t="str">
        <f ca="1"/>
        <v>Arwen, Weaver of Hope</v>
      </c>
      <c r="CH13" t="str">
        <f ca="1"/>
        <v>Careful Study</v>
      </c>
      <c r="CJ13" t="str">
        <f ca="1"/>
        <v>Árbitro Silencioso</v>
      </c>
    </row>
    <row r="14" spans="1:88" x14ac:dyDescent="0.25">
      <c r="A14" s="3" t="str">
        <f t="shared" ca="1" si="0"/>
        <v>4</v>
      </c>
      <c r="B14" s="3">
        <f t="shared" ca="1" si="1"/>
        <v>1</v>
      </c>
      <c r="C14" s="3" t="str">
        <f ca="1">IFERROR(
 INDEX($U$1:$AX$1,
  MATCH(TRUE,
   CHOOSE({1;2;3;4;5;6;7;8;9;10;11;12;13;14;15;16;17;18;19;20;21;22;23;24;25;26;27;28;29;30;31;32},
    COUNTIFS($U$2:$U$200,$G14)&gt;0,
    COUNTIFS($V$2:$V$200,$G14)&gt;0,
    COUNTIFS($W$2:$W$200,$G14)&gt;0,
    COUNTIFS($X$2:$X$200,$G14)&gt;0,
    COUNTIFS($Y$2:$Y$200,$G14)&gt;0,
    COUNTIFS($Z$2:$Z$200,$G14)&gt;0,
    COUNTIFS($AA$2:$AA$200,$G14)&gt;0,
    COUNTIFS($AB$2:$AB$200,$G14)&gt;0,
    COUNTIFS($AC$2:$AC$200,$G14)&gt;0,
    COUNTIFS($AD$2:$AD$200,$G14)&gt;0,
    COUNTIFS($AE$2:$AE$200,$G14)&gt;0,
    COUNTIFS($AF$2:$AF$200,$G14)&gt;0,
    COUNTIFS($AG$2:$AG$200,$G14)&gt;0,
    COUNTIFS($AH$2:$AH$200,$G14)&gt;0,
    COUNTIFS($AI$2:$AI$200,$G14)&gt;0,
    COUNTIFS($AJ$2:$AJ$200,$G14)&gt;0,
    COUNTIFS($AK$2:$AK$200,$G14)&gt;0,
    COUNTIFS($AL$2:$AL$200,$G14)&gt;0,
    COUNTIFS($AM$2:$AM$200,$G14)&gt;0,
    COUNTIFS($AN$2:$AN$200,$G14)&gt;0,
    COUNTIFS($AO$2:$AO$200,$G14)&gt;0,
    COUNTIFS($AP$2:$AP$200,$G14)&gt;0,
    COUNTIFS($AQ$2:$AQ$200,$G14)&gt;0,
    COUNTIFS($AR$2:$AR$200,$G14)&gt;0,
    COUNTIFS($AS$2:$AS$200,$G14)&gt;0,
    COUNTIFS($AT$2:$AT$200,$G14)&gt;0,
    COUNTIFS($AU$2:$AU$200,$G14)&gt;0,
    COUNTIFS($AV$2:$AV$200,$G14)&gt;0,
    COUNTIFS($AW$2:$AW$200,$G14)&gt;0,
    COUNTIFS($AX$2:$AX$200,$G14)&gt;0
   ),
  0)
 ),
"")</f>
        <v>Inalla</v>
      </c>
      <c r="D14" s="3" t="str" cm="1">
        <f t="array" aca="1" ref="D14" ca="1">IFERROR(
 INDEX(
  _xlfn._xlws.FILTER($U$1:$AX$1,
   TRANSPOSE(
    CHOOSE({1;2;3;4;5;6;7;8;9;10;11;12;13;14;15;16;17;18;19;20;21;22;23;24;25;26;27;28;29;30},
     COUNTIFS($U$2:$U$200,$G14)&gt;0,
     COUNTIFS($V$2:$V$200,$G14)&gt;0,
     COUNTIFS($W$2:$W$200,$G14)&gt;0,
     COUNTIFS($X$2:$X$200,$G14)&gt;0,
     COUNTIFS($Y$2:$Y$200,$G14)&gt;0,
     COUNTIFS($Z$2:$Z$200,$G14)&gt;0,
     COUNTIFS($AA$2:$AA$200,$G14)&gt;0,
     COUNTIFS($AB$2:$AB$200,$G14)&gt;0,
     COUNTIFS($AC$2:$AC$200,$G14)&gt;0,
     COUNTIFS($AD$2:$AD$200,$G14)&gt;0,
     COUNTIFS($AE$2:$AE$200,$G14)&gt;0,
     COUNTIFS($AF$2:$AF$200,$G14)&gt;0,
     COUNTIFS($AG$2:$AG$200,$G14)&gt;0,
     COUNTIFS($AH$2:$AH$200,$G14)&gt;0,
     COUNTIFS($AI$2:$AI$200,$G14)&gt;0,
     COUNTIFS($AJ$2:$AJ$200,$G14)&gt;0,
     COUNTIFS($AK$2:$AK$200,$G14)&gt;0,
     COUNTIFS($AL$2:$AL$200,$G14)&gt;0,
     COUNTIFS($AM$2:$AM$200,$G14)&gt;0,
     COUNTIFS($AN$2:$AN$200,$G14)&gt;0,
     COUNTIFS($AO$2:$AO$200,$G14)&gt;0,
     COUNTIFS($AP$2:$AP$200,$G14)&gt;0,
     COUNTIFS($AQ$2:$AQ$200,$G14)&gt;0,
     COUNTIFS($AR$2:$AR$200,$G14)&gt;0,
     COUNTIFS($AS$2:$AS$200,$G14)&gt;0,
     COUNTIFS($AT$2:$AT$200,$G14)&gt;0,
     COUNTIFS($AU$2:$AU$200,$G14)&gt;0,
     COUNTIFS($AV$2:$AV$200,$G14)&gt;0,
     COUNTIFS($AW$2:$AW$200,$G14)&gt;0,
     COUNTIFS($AX$2:$AX$200,$G14)&gt;0
   )),
  ),
  2
 ),
"")</f>
        <v/>
      </c>
      <c r="E14" s="3" t="str" cm="1">
        <f t="array" aca="1" ref="E14" ca="1">IFERROR(
 INDEX(
  _xlfn._xlws.FILTER($U$1:$AX$1,
   TRANSPOSE(
    CHOOSE({1;2;3;4;5;6;7;8;9;10;11;12;13;14;15;16;17;18;19;20;21;22;23;24;25;26;27;28;29;30},
     COUNTIFS($U$2:$U$200,$G14)&gt;0,
     COUNTIFS($V$2:$V$200,$G14)&gt;0,
     COUNTIFS($W$2:$W$200,$G14)&gt;0,
     COUNTIFS($X$2:$X$200,$G14)&gt;0,
     COUNTIFS($Y$2:$Y$200,$G14)&gt;0,
     COUNTIFS($Z$2:$Z$200,$G14)&gt;0,
     COUNTIFS($AA$2:$AA$200,$G14)&gt;0,
     COUNTIFS($AB$2:$AB$200,$G14)&gt;0,
     COUNTIFS($AC$2:$AC$200,$G14)&gt;0,
     COUNTIFS($AD$2:$AD$200,$G14)&gt;0,
     COUNTIFS($AE$2:$AE$200,$G14)&gt;0,
     COUNTIFS($AF$2:$AF$200,$G14)&gt;0,
     COUNTIFS($AG$2:$AG$200,$G14)&gt;0,
     COUNTIFS($AH$2:$AH$200,$G14)&gt;0,
     COUNTIFS($AI$2:$AI$200,$G14)&gt;0,
     COUNTIFS($AJ$2:$AJ$200,$G14)&gt;0,
     COUNTIFS($AK$2:$AK$200,$G14)&gt;0,
     COUNTIFS($AL$2:$AL$200,$G14)&gt;0,
     COUNTIFS($AM$2:$AM$200,$G14)&gt;0,
     COUNTIFS($AN$2:$AN$200,$G14)&gt;0,
     COUNTIFS($AO$2:$AO$200,$G14)&gt;0,
     COUNTIFS($AP$2:$AP$200,$G14)&gt;0,
     COUNTIFS($AQ$2:$AQ$200,$G14)&gt;0,
     COUNTIFS($AR$2:$AR$200,$G14)&gt;0,
     COUNTIFS($AS$2:$AS$200,$G14)&gt;0,
     COUNTIFS($AT$2:$AT$200,$G14)&gt;0,
     COUNTIFS($AU$2:$AU$200,$G14)&gt;0,
     COUNTIFS($AV$2:$AV$200,$G14)&gt;0,
     COUNTIFS($AW$2:$AW$200,$G14)&gt;0,
     COUNTIFS($AX$2:$AX$200,$G14)&gt;0
   )),
  ),
  3
 ),
"")</f>
        <v/>
      </c>
      <c r="F14" s="3" t="str" cm="1">
        <f t="array" aca="1" ref="F14" ca="1">IFERROR(
 INDEX(
  _xlfn._xlws.FILTER($U$1:$AX$1,
   TRANSPOSE(
    CHOOSE({1;2;3;4;5;6;7;8;9;10;11;12;13;14;15;16;17;18;19;20;21;22;23;24;25;26;27;28;29;30},
     COUNTIFS($U$2:$U$200,$G14)&gt;0,
     COUNTIFS($V$2:$V$200,$G14)&gt;0,
     COUNTIFS($W$2:$W$200,$G14)&gt;0,
     COUNTIFS($X$2:$X$200,$G14)&gt;0,
     COUNTIFS($Y$2:$Y$200,$G14)&gt;0,
     COUNTIFS($Z$2:$Z$200,$G14)&gt;0,
     COUNTIFS($AA$2:$AA$200,$G14)&gt;0,
     COUNTIFS($AB$2:$AB$200,$G14)&gt;0,
     COUNTIFS($AC$2:$AC$200,$G14)&gt;0,
     COUNTIFS($AD$2:$AD$200,$G14)&gt;0,
     COUNTIFS($AE$2:$AE$200,$G14)&gt;0,
     COUNTIFS($AF$2:$AF$200,$G14)&gt;0,
     COUNTIFS($AG$2:$AG$200,$G14)&gt;0,
     COUNTIFS($AH$2:$AH$200,$G14)&gt;0,
     COUNTIFS($AI$2:$AI$200,$G14)&gt;0,
     COUNTIFS($AJ$2:$AJ$200,$G14)&gt;0,
     COUNTIFS($AK$2:$AK$200,$G14)&gt;0,
     COUNTIFS($AL$2:$AL$200,$G14)&gt;0,
     COUNTIFS($AM$2:$AM$200,$G14)&gt;0,
     COUNTIFS($AN$2:$AN$200,$G14)&gt;0,
     COUNTIFS($AO$2:$AO$200,$G14)&gt;0,
     COUNTIFS($AP$2:$AP$200,$G14)&gt;0,
     COUNTIFS($AQ$2:$AQ$200,$G14)&gt;0,
     COUNTIFS($AR$2:$AR$200,$G14)&gt;0,
     COUNTIFS($AS$2:$AS$200,$G14)&gt;0,
     COUNTIFS($AT$2:$AT$200,$G14)&gt;0,
     COUNTIFS($AU$2:$AU$200,$G14)&gt;0,
     COUNTIFS($AV$2:$AV$200,$G14)&gt;0,
     COUNTIFS($AW$2:$AW$200,$G14)&gt;0,
     COUNTIFS($AX$2:$AX$200,$G14)&gt;0
   )),
  ),
  4
 ),
"")</f>
        <v/>
      </c>
      <c r="G14" t="str">
        <f ca="1"/>
        <v>Arcane Lighthouse</v>
      </c>
      <c r="I14" t="s">
        <v>2023</v>
      </c>
      <c r="J14" s="3">
        <f>VialIshai!G2</f>
        <v>9</v>
      </c>
      <c r="K14" s="3" t="s">
        <v>2056</v>
      </c>
      <c r="L14" s="3" t="s">
        <v>2056</v>
      </c>
      <c r="M14" s="3" t="s">
        <v>2056</v>
      </c>
      <c r="N14" s="3" t="s">
        <v>2056</v>
      </c>
      <c r="O14" s="3" t="s">
        <v>2057</v>
      </c>
      <c r="P14" s="3" t="s">
        <v>2109</v>
      </c>
      <c r="Q14" s="3" t="s">
        <v>2107</v>
      </c>
      <c r="R14" s="3" t="s">
        <v>2125</v>
      </c>
      <c r="S14" s="3" t="str">
        <f t="shared" si="2"/>
        <v>4</v>
      </c>
      <c r="U14" t="str">
        <v>Temple of Malice</v>
      </c>
      <c r="V14" t="str">
        <v>Jetmir, Nexus of Revels</v>
      </c>
      <c r="W14" t="str">
        <v>Memory Erosion</v>
      </c>
      <c r="X14" t="str">
        <v>Kutzil, Malamet Exemplar</v>
      </c>
      <c r="Y14" t="str">
        <v>Unholy Annex // Ritual Chamber</v>
      </c>
      <c r="Z14" t="str">
        <v>Havengul Laboratory</v>
      </c>
      <c r="AA14" t="str">
        <v>Simic Charm</v>
      </c>
      <c r="AX14" t="str">
        <v>Evendo Brushrazer</v>
      </c>
      <c r="BB14" t="str">
        <f ca="1"/>
        <v>Farmer Cotton</v>
      </c>
      <c r="BC14" t="str">
        <f ca="1"/>
        <v>Gavony Township</v>
      </c>
      <c r="BD14" t="str">
        <f ca="1"/>
        <v>Firkraag, Cunning Instigator</v>
      </c>
      <c r="BE14" t="str">
        <f ca="1"/>
        <v>Merrow Commerce</v>
      </c>
      <c r="BF14" t="str">
        <f ca="1"/>
        <v>Rise of the Eldrazi</v>
      </c>
      <c r="BG14" t="str">
        <f ca="1"/>
        <v>Portal to Phyrexia</v>
      </c>
      <c r="BH14" t="str">
        <f ca="1"/>
        <v>Reliquary Tower</v>
      </c>
      <c r="BI14" t="str">
        <f ca="1"/>
        <v>Karn Liberated</v>
      </c>
      <c r="BJ14" t="str">
        <f ca="1"/>
        <v>Zagoth Triome</v>
      </c>
      <c r="BK14" t="str">
        <f ca="1"/>
        <v>Valfenda</v>
      </c>
      <c r="BL14" t="str">
        <f ca="1"/>
        <v>Três Passos à Frente</v>
      </c>
      <c r="BP14" t="str">
        <f ca="1"/>
        <v>Evendo Brushrazer</v>
      </c>
      <c r="BS14" t="str">
        <f ca="1"/>
        <v>Canopy Vista</v>
      </c>
      <c r="BT14" t="str">
        <f ca="1"/>
        <v>Dúplice Debochada</v>
      </c>
      <c r="BU14" t="str">
        <f ca="1"/>
        <v>Hedge Shredder</v>
      </c>
      <c r="BV14" t="str">
        <f ca="1"/>
        <v>Espada de Fogo e Gelo</v>
      </c>
      <c r="BW14" t="str">
        <f ca="1"/>
        <v>Raffine's Tower</v>
      </c>
      <c r="BX14" t="str">
        <f ca="1"/>
        <v>Nibelheim Aflame</v>
      </c>
      <c r="BY14" t="str">
        <f ca="1"/>
        <v>Susur Secundi, Void Altar</v>
      </c>
      <c r="BZ14" t="str">
        <f ca="1"/>
        <v>Evendo Brushrazer</v>
      </c>
      <c r="CB14" t="str">
        <f ca="1"/>
        <v>Bojuka Bog</v>
      </c>
      <c r="CC14" t="str">
        <f ca="1"/>
        <v>Creeping Tar Pit</v>
      </c>
      <c r="CD14" t="str">
        <f ca="1"/>
        <v>Evendo, Waking Haven</v>
      </c>
      <c r="CE14" t="str">
        <f ca="1"/>
        <v>Earthbending Student</v>
      </c>
      <c r="CG14" t="str">
        <f ca="1"/>
        <v>Ascensão do Avernus</v>
      </c>
      <c r="CH14" t="str">
        <f ca="1"/>
        <v>Caverna das Almas</v>
      </c>
      <c r="CJ14" t="str">
        <f ca="1"/>
        <v>Arcane Lighthouse</v>
      </c>
    </row>
    <row r="15" spans="1:88" x14ac:dyDescent="0.25">
      <c r="A15" s="3" t="str">
        <f t="shared" ca="1" si="0"/>
        <v>1</v>
      </c>
      <c r="B15" s="3">
        <f t="shared" ca="1" si="1"/>
        <v>1</v>
      </c>
      <c r="C15" s="3" t="str">
        <f ca="1">IFERROR(
 INDEX($U$1:$AX$1,
  MATCH(TRUE,
   CHOOSE({1;2;3;4;5;6;7;8;9;10;11;12;13;14;15;16;17;18;19;20;21;22;23;24;25;26;27;28;29;30;31;32},
    COUNTIFS($U$2:$U$200,$G15)&gt;0,
    COUNTIFS($V$2:$V$200,$G15)&gt;0,
    COUNTIFS($W$2:$W$200,$G15)&gt;0,
    COUNTIFS($X$2:$X$200,$G15)&gt;0,
    COUNTIFS($Y$2:$Y$200,$G15)&gt;0,
    COUNTIFS($Z$2:$Z$200,$G15)&gt;0,
    COUNTIFS($AA$2:$AA$200,$G15)&gt;0,
    COUNTIFS($AB$2:$AB$200,$G15)&gt;0,
    COUNTIFS($AC$2:$AC$200,$G15)&gt;0,
    COUNTIFS($AD$2:$AD$200,$G15)&gt;0,
    COUNTIFS($AE$2:$AE$200,$G15)&gt;0,
    COUNTIFS($AF$2:$AF$200,$G15)&gt;0,
    COUNTIFS($AG$2:$AG$200,$G15)&gt;0,
    COUNTIFS($AH$2:$AH$200,$G15)&gt;0,
    COUNTIFS($AI$2:$AI$200,$G15)&gt;0,
    COUNTIFS($AJ$2:$AJ$200,$G15)&gt;0,
    COUNTIFS($AK$2:$AK$200,$G15)&gt;0,
    COUNTIFS($AL$2:$AL$200,$G15)&gt;0,
    COUNTIFS($AM$2:$AM$200,$G15)&gt;0,
    COUNTIFS($AN$2:$AN$200,$G15)&gt;0,
    COUNTIFS($AO$2:$AO$200,$G15)&gt;0,
    COUNTIFS($AP$2:$AP$200,$G15)&gt;0,
    COUNTIFS($AQ$2:$AQ$200,$G15)&gt;0,
    COUNTIFS($AR$2:$AR$200,$G15)&gt;0,
    COUNTIFS($AS$2:$AS$200,$G15)&gt;0,
    COUNTIFS($AT$2:$AT$200,$G15)&gt;0,
    COUNTIFS($AU$2:$AU$200,$G15)&gt;0,
    COUNTIFS($AV$2:$AV$200,$G15)&gt;0,
    COUNTIFS($AW$2:$AW$200,$G15)&gt;0,
    COUNTIFS($AX$2:$AX$200,$G15)&gt;0
   ),
  0)
 ),
"")</f>
        <v>Modular</v>
      </c>
      <c r="D15" s="3" t="str" cm="1">
        <f t="array" aca="1" ref="D15" ca="1">IFERROR(
 INDEX(
  _xlfn._xlws.FILTER($U$1:$AX$1,
   TRANSPOSE(
    CHOOSE({1;2;3;4;5;6;7;8;9;10;11;12;13;14;15;16;17;18;19;20;21;22;23;24;25;26;27;28;29;30},
     COUNTIFS($U$2:$U$200,$G15)&gt;0,
     COUNTIFS($V$2:$V$200,$G15)&gt;0,
     COUNTIFS($W$2:$W$200,$G15)&gt;0,
     COUNTIFS($X$2:$X$200,$G15)&gt;0,
     COUNTIFS($Y$2:$Y$200,$G15)&gt;0,
     COUNTIFS($Z$2:$Z$200,$G15)&gt;0,
     COUNTIFS($AA$2:$AA$200,$G15)&gt;0,
     COUNTIFS($AB$2:$AB$200,$G15)&gt;0,
     COUNTIFS($AC$2:$AC$200,$G15)&gt;0,
     COUNTIFS($AD$2:$AD$200,$G15)&gt;0,
     COUNTIFS($AE$2:$AE$200,$G15)&gt;0,
     COUNTIFS($AF$2:$AF$200,$G15)&gt;0,
     COUNTIFS($AG$2:$AG$200,$G15)&gt;0,
     COUNTIFS($AH$2:$AH$200,$G15)&gt;0,
     COUNTIFS($AI$2:$AI$200,$G15)&gt;0,
     COUNTIFS($AJ$2:$AJ$200,$G15)&gt;0,
     COUNTIFS($AK$2:$AK$200,$G15)&gt;0,
     COUNTIFS($AL$2:$AL$200,$G15)&gt;0,
     COUNTIFS($AM$2:$AM$200,$G15)&gt;0,
     COUNTIFS($AN$2:$AN$200,$G15)&gt;0,
     COUNTIFS($AO$2:$AO$200,$G15)&gt;0,
     COUNTIFS($AP$2:$AP$200,$G15)&gt;0,
     COUNTIFS($AQ$2:$AQ$200,$G15)&gt;0,
     COUNTIFS($AR$2:$AR$200,$G15)&gt;0,
     COUNTIFS($AS$2:$AS$200,$G15)&gt;0,
     COUNTIFS($AT$2:$AT$200,$G15)&gt;0,
     COUNTIFS($AU$2:$AU$200,$G15)&gt;0,
     COUNTIFS($AV$2:$AV$200,$G15)&gt;0,
     COUNTIFS($AW$2:$AW$200,$G15)&gt;0,
     COUNTIFS($AX$2:$AX$200,$G15)&gt;0
   )),
  ),
  2
 ),
"")</f>
        <v/>
      </c>
      <c r="E15" s="3" t="str" cm="1">
        <f t="array" aca="1" ref="E15" ca="1">IFERROR(
 INDEX(
  _xlfn._xlws.FILTER($U$1:$AX$1,
   TRANSPOSE(
    CHOOSE({1;2;3;4;5;6;7;8;9;10;11;12;13;14;15;16;17;18;19;20;21;22;23;24;25;26;27;28;29;30},
     COUNTIFS($U$2:$U$200,$G15)&gt;0,
     COUNTIFS($V$2:$V$200,$G15)&gt;0,
     COUNTIFS($W$2:$W$200,$G15)&gt;0,
     COUNTIFS($X$2:$X$200,$G15)&gt;0,
     COUNTIFS($Y$2:$Y$200,$G15)&gt;0,
     COUNTIFS($Z$2:$Z$200,$G15)&gt;0,
     COUNTIFS($AA$2:$AA$200,$G15)&gt;0,
     COUNTIFS($AB$2:$AB$200,$G15)&gt;0,
     COUNTIFS($AC$2:$AC$200,$G15)&gt;0,
     COUNTIFS($AD$2:$AD$200,$G15)&gt;0,
     COUNTIFS($AE$2:$AE$200,$G15)&gt;0,
     COUNTIFS($AF$2:$AF$200,$G15)&gt;0,
     COUNTIFS($AG$2:$AG$200,$G15)&gt;0,
     COUNTIFS($AH$2:$AH$200,$G15)&gt;0,
     COUNTIFS($AI$2:$AI$200,$G15)&gt;0,
     COUNTIFS($AJ$2:$AJ$200,$G15)&gt;0,
     COUNTIFS($AK$2:$AK$200,$G15)&gt;0,
     COUNTIFS($AL$2:$AL$200,$G15)&gt;0,
     COUNTIFS($AM$2:$AM$200,$G15)&gt;0,
     COUNTIFS($AN$2:$AN$200,$G15)&gt;0,
     COUNTIFS($AO$2:$AO$200,$G15)&gt;0,
     COUNTIFS($AP$2:$AP$200,$G15)&gt;0,
     COUNTIFS($AQ$2:$AQ$200,$G15)&gt;0,
     COUNTIFS($AR$2:$AR$200,$G15)&gt;0,
     COUNTIFS($AS$2:$AS$200,$G15)&gt;0,
     COUNTIFS($AT$2:$AT$200,$G15)&gt;0,
     COUNTIFS($AU$2:$AU$200,$G15)&gt;0,
     COUNTIFS($AV$2:$AV$200,$G15)&gt;0,
     COUNTIFS($AW$2:$AW$200,$G15)&gt;0,
     COUNTIFS($AX$2:$AX$200,$G15)&gt;0
   )),
  ),
  3
 ),
"")</f>
        <v/>
      </c>
      <c r="F15" s="3" t="str" cm="1">
        <f t="array" aca="1" ref="F15" ca="1">IFERROR(
 INDEX(
  _xlfn._xlws.FILTER($U$1:$AX$1,
   TRANSPOSE(
    CHOOSE({1;2;3;4;5;6;7;8;9;10;11;12;13;14;15;16;17;18;19;20;21;22;23;24;25;26;27;28;29;30},
     COUNTIFS($U$2:$U$200,$G15)&gt;0,
     COUNTIFS($V$2:$V$200,$G15)&gt;0,
     COUNTIFS($W$2:$W$200,$G15)&gt;0,
     COUNTIFS($X$2:$X$200,$G15)&gt;0,
     COUNTIFS($Y$2:$Y$200,$G15)&gt;0,
     COUNTIFS($Z$2:$Z$200,$G15)&gt;0,
     COUNTIFS($AA$2:$AA$200,$G15)&gt;0,
     COUNTIFS($AB$2:$AB$200,$G15)&gt;0,
     COUNTIFS($AC$2:$AC$200,$G15)&gt;0,
     COUNTIFS($AD$2:$AD$200,$G15)&gt;0,
     COUNTIFS($AE$2:$AE$200,$G15)&gt;0,
     COUNTIFS($AF$2:$AF$200,$G15)&gt;0,
     COUNTIFS($AG$2:$AG$200,$G15)&gt;0,
     COUNTIFS($AH$2:$AH$200,$G15)&gt;0,
     COUNTIFS($AI$2:$AI$200,$G15)&gt;0,
     COUNTIFS($AJ$2:$AJ$200,$G15)&gt;0,
     COUNTIFS($AK$2:$AK$200,$G15)&gt;0,
     COUNTIFS($AL$2:$AL$200,$G15)&gt;0,
     COUNTIFS($AM$2:$AM$200,$G15)&gt;0,
     COUNTIFS($AN$2:$AN$200,$G15)&gt;0,
     COUNTIFS($AO$2:$AO$200,$G15)&gt;0,
     COUNTIFS($AP$2:$AP$200,$G15)&gt;0,
     COUNTIFS($AQ$2:$AQ$200,$G15)&gt;0,
     COUNTIFS($AR$2:$AR$200,$G15)&gt;0,
     COUNTIFS($AS$2:$AS$200,$G15)&gt;0,
     COUNTIFS($AT$2:$AT$200,$G15)&gt;0,
     COUNTIFS($AU$2:$AU$200,$G15)&gt;0,
     COUNTIFS($AV$2:$AV$200,$G15)&gt;0,
     COUNTIFS($AW$2:$AW$200,$G15)&gt;0,
     COUNTIFS($AX$2:$AX$200,$G15)&gt;0
   )),
  ),
  4
 ),
"")</f>
        <v/>
      </c>
      <c r="G15" t="str">
        <f ca="1"/>
        <v>Arcbound Fiend</v>
      </c>
      <c r="I15" t="s">
        <v>16</v>
      </c>
      <c r="J15" s="3">
        <f>Yuriko!G2</f>
        <v>12</v>
      </c>
      <c r="K15" s="3" t="s">
        <v>2057</v>
      </c>
      <c r="L15" s="3" t="s">
        <v>2056</v>
      </c>
      <c r="M15" s="3" t="s">
        <v>2057</v>
      </c>
      <c r="N15" s="3" t="s">
        <v>2056</v>
      </c>
      <c r="O15" s="3" t="s">
        <v>2057</v>
      </c>
      <c r="P15" s="3" t="s">
        <v>2109</v>
      </c>
      <c r="Q15" s="25" t="s">
        <v>2110</v>
      </c>
      <c r="R15" s="3" t="s">
        <v>2126</v>
      </c>
      <c r="S15" s="3" t="str">
        <f t="shared" si="2"/>
        <v>3</v>
      </c>
      <c r="U15" t="str">
        <v>The Indomitable</v>
      </c>
      <c r="V15" t="str">
        <v>Karplusan Forest</v>
      </c>
      <c r="W15" t="str">
        <v>Monastery Siege</v>
      </c>
      <c r="X15" t="str">
        <v>Lae'zel, Vlaakith's Champion</v>
      </c>
      <c r="Y15" t="str">
        <v>Vault of the Archangel</v>
      </c>
      <c r="Z15" t="str">
        <v>Life of the Party</v>
      </c>
      <c r="AA15" t="str">
        <v>Singer of Swift Rivers</v>
      </c>
      <c r="AX15" t="str">
        <v>Filigree Vector</v>
      </c>
      <c r="BB15" t="str">
        <f ca="1"/>
        <v>Farseek</v>
      </c>
      <c r="BC15" t="str">
        <f ca="1"/>
        <v>Genji Glove</v>
      </c>
      <c r="BD15" t="str">
        <f ca="1"/>
        <v>Frenzied Gorespawn</v>
      </c>
      <c r="BE15" t="str">
        <f ca="1"/>
        <v>Merrow Harbinger</v>
      </c>
      <c r="BF15" t="str">
        <f ca="1"/>
        <v>Rotating Fireplace</v>
      </c>
      <c r="BG15" t="str">
        <f ca="1"/>
        <v>Rings of Brighthearth</v>
      </c>
      <c r="BH15" t="str">
        <f ca="1"/>
        <v>Satoru, the Infiltrator</v>
      </c>
      <c r="BI15" t="str">
        <f ca="1"/>
        <v>Kaya the Inexorable</v>
      </c>
      <c r="BL15" t="str">
        <f ca="1"/>
        <v>Unstoppable Plan</v>
      </c>
      <c r="BP15" t="str">
        <f ca="1"/>
        <v>Filigree Vector</v>
      </c>
      <c r="BS15" t="str">
        <f ca="1"/>
        <v>Castle Ardenvale</v>
      </c>
      <c r="BT15" t="str">
        <f ca="1"/>
        <v>Enduring Innocence</v>
      </c>
      <c r="BU15" t="str">
        <f ca="1"/>
        <v>Inventors' Fair</v>
      </c>
      <c r="BV15" t="str">
        <f ca="1"/>
        <v>Espada de Luz e Sombra</v>
      </c>
      <c r="BW15" t="str">
        <f ca="1"/>
        <v>Shaku da Honra Desgastada</v>
      </c>
      <c r="BX15" t="str">
        <f ca="1"/>
        <v>Ojer Pakpatiq, Era Profunda</v>
      </c>
      <c r="BY15" t="str">
        <f ca="1"/>
        <v>Teyo, Geometric Tactician</v>
      </c>
      <c r="BZ15" t="str">
        <f ca="1"/>
        <v>Filigree Vector</v>
      </c>
      <c r="CB15" t="str">
        <f ca="1"/>
        <v>Boros Charm</v>
      </c>
      <c r="CC15" t="str">
        <f ca="1"/>
        <v>Crisol dos Mundos</v>
      </c>
      <c r="CD15" t="str">
        <f ca="1"/>
        <v>High-Society Hunter</v>
      </c>
      <c r="CE15" t="str">
        <f ca="1"/>
        <v>Elvish Reclaimer</v>
      </c>
      <c r="CG15" t="str">
        <f ca="1"/>
        <v>Aura Mutation</v>
      </c>
      <c r="CH15" t="str">
        <f ca="1"/>
        <v>Chandra's Ignition</v>
      </c>
      <c r="CJ15" t="str">
        <f ca="1"/>
        <v>Arcbound Fiend</v>
      </c>
    </row>
    <row r="16" spans="1:88" x14ac:dyDescent="0.25">
      <c r="A16" s="3" t="str">
        <f t="shared" ca="1" si="0"/>
        <v>1</v>
      </c>
      <c r="B16" s="3">
        <f t="shared" ca="1" si="1"/>
        <v>1</v>
      </c>
      <c r="C16" s="3" t="str">
        <f ca="1">IFERROR(
 INDEX($U$1:$AX$1,
  MATCH(TRUE,
   CHOOSE({1;2;3;4;5;6;7;8;9;10;11;12;13;14;15;16;17;18;19;20;21;22;23;24;25;26;27;28;29;30;31;32},
    COUNTIFS($U$2:$U$200,$G16)&gt;0,
    COUNTIFS($V$2:$V$200,$G16)&gt;0,
    COUNTIFS($W$2:$W$200,$G16)&gt;0,
    COUNTIFS($X$2:$X$200,$G16)&gt;0,
    COUNTIFS($Y$2:$Y$200,$G16)&gt;0,
    COUNTIFS($Z$2:$Z$200,$G16)&gt;0,
    COUNTIFS($AA$2:$AA$200,$G16)&gt;0,
    COUNTIFS($AB$2:$AB$200,$G16)&gt;0,
    COUNTIFS($AC$2:$AC$200,$G16)&gt;0,
    COUNTIFS($AD$2:$AD$200,$G16)&gt;0,
    COUNTIFS($AE$2:$AE$200,$G16)&gt;0,
    COUNTIFS($AF$2:$AF$200,$G16)&gt;0,
    COUNTIFS($AG$2:$AG$200,$G16)&gt;0,
    COUNTIFS($AH$2:$AH$200,$G16)&gt;0,
    COUNTIFS($AI$2:$AI$200,$G16)&gt;0,
    COUNTIFS($AJ$2:$AJ$200,$G16)&gt;0,
    COUNTIFS($AK$2:$AK$200,$G16)&gt;0,
    COUNTIFS($AL$2:$AL$200,$G16)&gt;0,
    COUNTIFS($AM$2:$AM$200,$G16)&gt;0,
    COUNTIFS($AN$2:$AN$200,$G16)&gt;0,
    COUNTIFS($AO$2:$AO$200,$G16)&gt;0,
    COUNTIFS($AP$2:$AP$200,$G16)&gt;0,
    COUNTIFS($AQ$2:$AQ$200,$G16)&gt;0,
    COUNTIFS($AR$2:$AR$200,$G16)&gt;0,
    COUNTIFS($AS$2:$AS$200,$G16)&gt;0,
    COUNTIFS($AT$2:$AT$200,$G16)&gt;0,
    COUNTIFS($AU$2:$AU$200,$G16)&gt;0,
    COUNTIFS($AV$2:$AV$200,$G16)&gt;0,
    COUNTIFS($AW$2:$AW$200,$G16)&gt;0,
    COUNTIFS($AX$2:$AX$200,$G16)&gt;0
   ),
  0)
 ),
"")</f>
        <v>Modular</v>
      </c>
      <c r="D16" s="3" t="str" cm="1">
        <f t="array" aca="1" ref="D16" ca="1">IFERROR(
 INDEX(
  _xlfn._xlws.FILTER($U$1:$AX$1,
   TRANSPOSE(
    CHOOSE({1;2;3;4;5;6;7;8;9;10;11;12;13;14;15;16;17;18;19;20;21;22;23;24;25;26;27;28;29;30},
     COUNTIFS($U$2:$U$200,$G16)&gt;0,
     COUNTIFS($V$2:$V$200,$G16)&gt;0,
     COUNTIFS($W$2:$W$200,$G16)&gt;0,
     COUNTIFS($X$2:$X$200,$G16)&gt;0,
     COUNTIFS($Y$2:$Y$200,$G16)&gt;0,
     COUNTIFS($Z$2:$Z$200,$G16)&gt;0,
     COUNTIFS($AA$2:$AA$200,$G16)&gt;0,
     COUNTIFS($AB$2:$AB$200,$G16)&gt;0,
     COUNTIFS($AC$2:$AC$200,$G16)&gt;0,
     COUNTIFS($AD$2:$AD$200,$G16)&gt;0,
     COUNTIFS($AE$2:$AE$200,$G16)&gt;0,
     COUNTIFS($AF$2:$AF$200,$G16)&gt;0,
     COUNTIFS($AG$2:$AG$200,$G16)&gt;0,
     COUNTIFS($AH$2:$AH$200,$G16)&gt;0,
     COUNTIFS($AI$2:$AI$200,$G16)&gt;0,
     COUNTIFS($AJ$2:$AJ$200,$G16)&gt;0,
     COUNTIFS($AK$2:$AK$200,$G16)&gt;0,
     COUNTIFS($AL$2:$AL$200,$G16)&gt;0,
     COUNTIFS($AM$2:$AM$200,$G16)&gt;0,
     COUNTIFS($AN$2:$AN$200,$G16)&gt;0,
     COUNTIFS($AO$2:$AO$200,$G16)&gt;0,
     COUNTIFS($AP$2:$AP$200,$G16)&gt;0,
     COUNTIFS($AQ$2:$AQ$200,$G16)&gt;0,
     COUNTIFS($AR$2:$AR$200,$G16)&gt;0,
     COUNTIFS($AS$2:$AS$200,$G16)&gt;0,
     COUNTIFS($AT$2:$AT$200,$G16)&gt;0,
     COUNTIFS($AU$2:$AU$200,$G16)&gt;0,
     COUNTIFS($AV$2:$AV$200,$G16)&gt;0,
     COUNTIFS($AW$2:$AW$200,$G16)&gt;0,
     COUNTIFS($AX$2:$AX$200,$G16)&gt;0
   )),
  ),
  2
 ),
"")</f>
        <v/>
      </c>
      <c r="E16" s="3" t="str" cm="1">
        <f t="array" aca="1" ref="E16" ca="1">IFERROR(
 INDEX(
  _xlfn._xlws.FILTER($U$1:$AX$1,
   TRANSPOSE(
    CHOOSE({1;2;3;4;5;6;7;8;9;10;11;12;13;14;15;16;17;18;19;20;21;22;23;24;25;26;27;28;29;30},
     COUNTIFS($U$2:$U$200,$G16)&gt;0,
     COUNTIFS($V$2:$V$200,$G16)&gt;0,
     COUNTIFS($W$2:$W$200,$G16)&gt;0,
     COUNTIFS($X$2:$X$200,$G16)&gt;0,
     COUNTIFS($Y$2:$Y$200,$G16)&gt;0,
     COUNTIFS($Z$2:$Z$200,$G16)&gt;0,
     COUNTIFS($AA$2:$AA$200,$G16)&gt;0,
     COUNTIFS($AB$2:$AB$200,$G16)&gt;0,
     COUNTIFS($AC$2:$AC$200,$G16)&gt;0,
     COUNTIFS($AD$2:$AD$200,$G16)&gt;0,
     COUNTIFS($AE$2:$AE$200,$G16)&gt;0,
     COUNTIFS($AF$2:$AF$200,$G16)&gt;0,
     COUNTIFS($AG$2:$AG$200,$G16)&gt;0,
     COUNTIFS($AH$2:$AH$200,$G16)&gt;0,
     COUNTIFS($AI$2:$AI$200,$G16)&gt;0,
     COUNTIFS($AJ$2:$AJ$200,$G16)&gt;0,
     COUNTIFS($AK$2:$AK$200,$G16)&gt;0,
     COUNTIFS($AL$2:$AL$200,$G16)&gt;0,
     COUNTIFS($AM$2:$AM$200,$G16)&gt;0,
     COUNTIFS($AN$2:$AN$200,$G16)&gt;0,
     COUNTIFS($AO$2:$AO$200,$G16)&gt;0,
     COUNTIFS($AP$2:$AP$200,$G16)&gt;0,
     COUNTIFS($AQ$2:$AQ$200,$G16)&gt;0,
     COUNTIFS($AR$2:$AR$200,$G16)&gt;0,
     COUNTIFS($AS$2:$AS$200,$G16)&gt;0,
     COUNTIFS($AT$2:$AT$200,$G16)&gt;0,
     COUNTIFS($AU$2:$AU$200,$G16)&gt;0,
     COUNTIFS($AV$2:$AV$200,$G16)&gt;0,
     COUNTIFS($AW$2:$AW$200,$G16)&gt;0,
     COUNTIFS($AX$2:$AX$200,$G16)&gt;0
   )),
  ),
  3
 ),
"")</f>
        <v/>
      </c>
      <c r="F16" s="3" t="str" cm="1">
        <f t="array" aca="1" ref="F16" ca="1">IFERROR(
 INDEX(
  _xlfn._xlws.FILTER($U$1:$AX$1,
   TRANSPOSE(
    CHOOSE({1;2;3;4;5;6;7;8;9;10;11;12;13;14;15;16;17;18;19;20;21;22;23;24;25;26;27;28;29;30},
     COUNTIFS($U$2:$U$200,$G16)&gt;0,
     COUNTIFS($V$2:$V$200,$G16)&gt;0,
     COUNTIFS($W$2:$W$200,$G16)&gt;0,
     COUNTIFS($X$2:$X$200,$G16)&gt;0,
     COUNTIFS($Y$2:$Y$200,$G16)&gt;0,
     COUNTIFS($Z$2:$Z$200,$G16)&gt;0,
     COUNTIFS($AA$2:$AA$200,$G16)&gt;0,
     COUNTIFS($AB$2:$AB$200,$G16)&gt;0,
     COUNTIFS($AC$2:$AC$200,$G16)&gt;0,
     COUNTIFS($AD$2:$AD$200,$G16)&gt;0,
     COUNTIFS($AE$2:$AE$200,$G16)&gt;0,
     COUNTIFS($AF$2:$AF$200,$G16)&gt;0,
     COUNTIFS($AG$2:$AG$200,$G16)&gt;0,
     COUNTIFS($AH$2:$AH$200,$G16)&gt;0,
     COUNTIFS($AI$2:$AI$200,$G16)&gt;0,
     COUNTIFS($AJ$2:$AJ$200,$G16)&gt;0,
     COUNTIFS($AK$2:$AK$200,$G16)&gt;0,
     COUNTIFS($AL$2:$AL$200,$G16)&gt;0,
     COUNTIFS($AM$2:$AM$200,$G16)&gt;0,
     COUNTIFS($AN$2:$AN$200,$G16)&gt;0,
     COUNTIFS($AO$2:$AO$200,$G16)&gt;0,
     COUNTIFS($AP$2:$AP$200,$G16)&gt;0,
     COUNTIFS($AQ$2:$AQ$200,$G16)&gt;0,
     COUNTIFS($AR$2:$AR$200,$G16)&gt;0,
     COUNTIFS($AS$2:$AS$200,$G16)&gt;0,
     COUNTIFS($AT$2:$AT$200,$G16)&gt;0,
     COUNTIFS($AU$2:$AU$200,$G16)&gt;0,
     COUNTIFS($AV$2:$AV$200,$G16)&gt;0,
     COUNTIFS($AW$2:$AW$200,$G16)&gt;0,
     COUNTIFS($AX$2:$AX$200,$G16)&gt;0
   )),
  ),
  4
 ),
"")</f>
        <v/>
      </c>
      <c r="G16" t="str">
        <f ca="1"/>
        <v>Arcbound Overseer</v>
      </c>
      <c r="I16" t="s">
        <v>18</v>
      </c>
      <c r="J16" s="3">
        <f>Inalla!G2</f>
        <v>10</v>
      </c>
      <c r="K16" s="3" t="s">
        <v>2057</v>
      </c>
      <c r="L16" s="3" t="s">
        <v>2056</v>
      </c>
      <c r="M16" s="3" t="s">
        <v>2056</v>
      </c>
      <c r="N16" s="3" t="s">
        <v>2056</v>
      </c>
      <c r="O16" s="3" t="s">
        <v>2057</v>
      </c>
      <c r="P16" s="3" t="s">
        <v>327</v>
      </c>
      <c r="Q16" s="3" t="s">
        <v>2111</v>
      </c>
      <c r="R16" s="3" t="s">
        <v>2127</v>
      </c>
      <c r="S16" s="3" t="str">
        <f t="shared" si="2"/>
        <v>4</v>
      </c>
      <c r="U16" t="str">
        <v>Time Sieve</v>
      </c>
      <c r="V16" t="str">
        <v>Lightning Greaves</v>
      </c>
      <c r="W16" t="str">
        <v>Psychic Corrosion</v>
      </c>
      <c r="X16" t="str">
        <v>Llanowar Wastes</v>
      </c>
      <c r="Z16" t="str">
        <v>Reliquary Tower</v>
      </c>
      <c r="AA16" t="str">
        <v>Sol Ring</v>
      </c>
      <c r="AX16" t="str">
        <v>Gavony Township</v>
      </c>
      <c r="BB16" t="str">
        <f ca="1"/>
        <v>Gavony Township</v>
      </c>
      <c r="BC16" t="str">
        <f ca="1"/>
        <v>Ghostly Prison</v>
      </c>
      <c r="BD16" t="str">
        <f ca="1"/>
        <v>Gallifrey Council Chamber</v>
      </c>
      <c r="BE16" t="str">
        <f ca="1"/>
        <v>Misty Rainforest</v>
      </c>
      <c r="BF16" t="str">
        <f ca="1"/>
        <v>Takenuma, Charco Abandonado</v>
      </c>
      <c r="BG16" t="str">
        <f ca="1"/>
        <v>Sonic Screwdriver</v>
      </c>
      <c r="BH16" t="str">
        <f ca="1"/>
        <v>Saw in Half</v>
      </c>
      <c r="BI16" t="str">
        <f ca="1"/>
        <v>Kellan, the Fae-Blooded // Birthright Boon</v>
      </c>
      <c r="BP16" t="str">
        <f ca="1"/>
        <v>Gavony Township</v>
      </c>
      <c r="BS16" t="str">
        <f ca="1"/>
        <v>Champion of Lambholt</v>
      </c>
      <c r="BT16" t="str">
        <f ca="1"/>
        <v>Exemplar of Light</v>
      </c>
      <c r="BU16" t="str">
        <f ca="1"/>
        <v>Kozilek, the Broken Reality</v>
      </c>
      <c r="BV16" t="str">
        <f ca="1"/>
        <v>Espada de Verdade e Justiça</v>
      </c>
      <c r="BW16" t="str">
        <f ca="1"/>
        <v>Sliver Gravemother</v>
      </c>
      <c r="BX16" t="str">
        <f ca="1"/>
        <v>Pain for All</v>
      </c>
      <c r="BY16" t="str">
        <f ca="1"/>
        <v>Warren Soultrader</v>
      </c>
      <c r="BZ16" t="str">
        <f ca="1"/>
        <v>Gavony Township</v>
      </c>
      <c r="CB16" t="str">
        <f ca="1"/>
        <v>Bothersome Quasit</v>
      </c>
      <c r="CC16" t="str">
        <f ca="1"/>
        <v>Delighted Halfling</v>
      </c>
      <c r="CD16" t="str">
        <f ca="1"/>
        <v>Invasion of Segovia</v>
      </c>
      <c r="CE16" t="str">
        <f ca="1"/>
        <v>Emergency Eject</v>
      </c>
      <c r="CG16" t="str">
        <f ca="1"/>
        <v>Autoridade dos Cônsules</v>
      </c>
      <c r="CH16" t="str">
        <f ca="1"/>
        <v>Collector's Vault</v>
      </c>
      <c r="CJ16" t="str">
        <f ca="1"/>
        <v>Arcbound Overseer</v>
      </c>
    </row>
    <row r="17" spans="1:88" x14ac:dyDescent="0.25">
      <c r="A17" s="3" t="str">
        <f t="shared" ca="1" si="0"/>
        <v>1</v>
      </c>
      <c r="B17" s="3">
        <f t="shared" ca="1" si="1"/>
        <v>1</v>
      </c>
      <c r="C17" s="3" t="str">
        <f ca="1">IFERROR(
 INDEX($U$1:$AX$1,
  MATCH(TRUE,
   CHOOSE({1;2;3;4;5;6;7;8;9;10;11;12;13;14;15;16;17;18;19;20;21;22;23;24;25;26;27;28;29;30;31;32},
    COUNTIFS($U$2:$U$200,$G17)&gt;0,
    COUNTIFS($V$2:$V$200,$G17)&gt;0,
    COUNTIFS($W$2:$W$200,$G17)&gt;0,
    COUNTIFS($X$2:$X$200,$G17)&gt;0,
    COUNTIFS($Y$2:$Y$200,$G17)&gt;0,
    COUNTIFS($Z$2:$Z$200,$G17)&gt;0,
    COUNTIFS($AA$2:$AA$200,$G17)&gt;0,
    COUNTIFS($AB$2:$AB$200,$G17)&gt;0,
    COUNTIFS($AC$2:$AC$200,$G17)&gt;0,
    COUNTIFS($AD$2:$AD$200,$G17)&gt;0,
    COUNTIFS($AE$2:$AE$200,$G17)&gt;0,
    COUNTIFS($AF$2:$AF$200,$G17)&gt;0,
    COUNTIFS($AG$2:$AG$200,$G17)&gt;0,
    COUNTIFS($AH$2:$AH$200,$G17)&gt;0,
    COUNTIFS($AI$2:$AI$200,$G17)&gt;0,
    COUNTIFS($AJ$2:$AJ$200,$G17)&gt;0,
    COUNTIFS($AK$2:$AK$200,$G17)&gt;0,
    COUNTIFS($AL$2:$AL$200,$G17)&gt;0,
    COUNTIFS($AM$2:$AM$200,$G17)&gt;0,
    COUNTIFS($AN$2:$AN$200,$G17)&gt;0,
    COUNTIFS($AO$2:$AO$200,$G17)&gt;0,
    COUNTIFS($AP$2:$AP$200,$G17)&gt;0,
    COUNTIFS($AQ$2:$AQ$200,$G17)&gt;0,
    COUNTIFS($AR$2:$AR$200,$G17)&gt;0,
    COUNTIFS($AS$2:$AS$200,$G17)&gt;0,
    COUNTIFS($AT$2:$AT$200,$G17)&gt;0,
    COUNTIFS($AU$2:$AU$200,$G17)&gt;0,
    COUNTIFS($AV$2:$AV$200,$G17)&gt;0,
    COUNTIFS($AW$2:$AW$200,$G17)&gt;0,
    COUNTIFS($AX$2:$AX$200,$G17)&gt;0
   ),
  0)
 ),
"")</f>
        <v>Tayam</v>
      </c>
      <c r="D17" s="3" t="str" cm="1">
        <f t="array" aca="1" ref="D17" ca="1">IFERROR(
 INDEX(
  _xlfn._xlws.FILTER($U$1:$AX$1,
   TRANSPOSE(
    CHOOSE({1;2;3;4;5;6;7;8;9;10;11;12;13;14;15;16;17;18;19;20;21;22;23;24;25;26;27;28;29;30},
     COUNTIFS($U$2:$U$200,$G17)&gt;0,
     COUNTIFS($V$2:$V$200,$G17)&gt;0,
     COUNTIFS($W$2:$W$200,$G17)&gt;0,
     COUNTIFS($X$2:$X$200,$G17)&gt;0,
     COUNTIFS($Y$2:$Y$200,$G17)&gt;0,
     COUNTIFS($Z$2:$Z$200,$G17)&gt;0,
     COUNTIFS($AA$2:$AA$200,$G17)&gt;0,
     COUNTIFS($AB$2:$AB$200,$G17)&gt;0,
     COUNTIFS($AC$2:$AC$200,$G17)&gt;0,
     COUNTIFS($AD$2:$AD$200,$G17)&gt;0,
     COUNTIFS($AE$2:$AE$200,$G17)&gt;0,
     COUNTIFS($AF$2:$AF$200,$G17)&gt;0,
     COUNTIFS($AG$2:$AG$200,$G17)&gt;0,
     COUNTIFS($AH$2:$AH$200,$G17)&gt;0,
     COUNTIFS($AI$2:$AI$200,$G17)&gt;0,
     COUNTIFS($AJ$2:$AJ$200,$G17)&gt;0,
     COUNTIFS($AK$2:$AK$200,$G17)&gt;0,
     COUNTIFS($AL$2:$AL$200,$G17)&gt;0,
     COUNTIFS($AM$2:$AM$200,$G17)&gt;0,
     COUNTIFS($AN$2:$AN$200,$G17)&gt;0,
     COUNTIFS($AO$2:$AO$200,$G17)&gt;0,
     COUNTIFS($AP$2:$AP$200,$G17)&gt;0,
     COUNTIFS($AQ$2:$AQ$200,$G17)&gt;0,
     COUNTIFS($AR$2:$AR$200,$G17)&gt;0,
     COUNTIFS($AS$2:$AS$200,$G17)&gt;0,
     COUNTIFS($AT$2:$AT$200,$G17)&gt;0,
     COUNTIFS($AU$2:$AU$200,$G17)&gt;0,
     COUNTIFS($AV$2:$AV$200,$G17)&gt;0,
     COUNTIFS($AW$2:$AW$200,$G17)&gt;0,
     COUNTIFS($AX$2:$AX$200,$G17)&gt;0
   )),
  ),
  2
 ),
"")</f>
        <v/>
      </c>
      <c r="E17" s="3" t="str" cm="1">
        <f t="array" aca="1" ref="E17" ca="1">IFERROR(
 INDEX(
  _xlfn._xlws.FILTER($U$1:$AX$1,
   TRANSPOSE(
    CHOOSE({1;2;3;4;5;6;7;8;9;10;11;12;13;14;15;16;17;18;19;20;21;22;23;24;25;26;27;28;29;30},
     COUNTIFS($U$2:$U$200,$G17)&gt;0,
     COUNTIFS($V$2:$V$200,$G17)&gt;0,
     COUNTIFS($W$2:$W$200,$G17)&gt;0,
     COUNTIFS($X$2:$X$200,$G17)&gt;0,
     COUNTIFS($Y$2:$Y$200,$G17)&gt;0,
     COUNTIFS($Z$2:$Z$200,$G17)&gt;0,
     COUNTIFS($AA$2:$AA$200,$G17)&gt;0,
     COUNTIFS($AB$2:$AB$200,$G17)&gt;0,
     COUNTIFS($AC$2:$AC$200,$G17)&gt;0,
     COUNTIFS($AD$2:$AD$200,$G17)&gt;0,
     COUNTIFS($AE$2:$AE$200,$G17)&gt;0,
     COUNTIFS($AF$2:$AF$200,$G17)&gt;0,
     COUNTIFS($AG$2:$AG$200,$G17)&gt;0,
     COUNTIFS($AH$2:$AH$200,$G17)&gt;0,
     COUNTIFS($AI$2:$AI$200,$G17)&gt;0,
     COUNTIFS($AJ$2:$AJ$200,$G17)&gt;0,
     COUNTIFS($AK$2:$AK$200,$G17)&gt;0,
     COUNTIFS($AL$2:$AL$200,$G17)&gt;0,
     COUNTIFS($AM$2:$AM$200,$G17)&gt;0,
     COUNTIFS($AN$2:$AN$200,$G17)&gt;0,
     COUNTIFS($AO$2:$AO$200,$G17)&gt;0,
     COUNTIFS($AP$2:$AP$200,$G17)&gt;0,
     COUNTIFS($AQ$2:$AQ$200,$G17)&gt;0,
     COUNTIFS($AR$2:$AR$200,$G17)&gt;0,
     COUNTIFS($AS$2:$AS$200,$G17)&gt;0,
     COUNTIFS($AT$2:$AT$200,$G17)&gt;0,
     COUNTIFS($AU$2:$AU$200,$G17)&gt;0,
     COUNTIFS($AV$2:$AV$200,$G17)&gt;0,
     COUNTIFS($AW$2:$AW$200,$G17)&gt;0,
     COUNTIFS($AX$2:$AX$200,$G17)&gt;0
   )),
  ),
  3
 ),
"")</f>
        <v/>
      </c>
      <c r="F17" s="3" t="str" cm="1">
        <f t="array" aca="1" ref="F17" ca="1">IFERROR(
 INDEX(
  _xlfn._xlws.FILTER($U$1:$AX$1,
   TRANSPOSE(
    CHOOSE({1;2;3;4;5;6;7;8;9;10;11;12;13;14;15;16;17;18;19;20;21;22;23;24;25;26;27;28;29;30},
     COUNTIFS($U$2:$U$200,$G17)&gt;0,
     COUNTIFS($V$2:$V$200,$G17)&gt;0,
     COUNTIFS($W$2:$W$200,$G17)&gt;0,
     COUNTIFS($X$2:$X$200,$G17)&gt;0,
     COUNTIFS($Y$2:$Y$200,$G17)&gt;0,
     COUNTIFS($Z$2:$Z$200,$G17)&gt;0,
     COUNTIFS($AA$2:$AA$200,$G17)&gt;0,
     COUNTIFS($AB$2:$AB$200,$G17)&gt;0,
     COUNTIFS($AC$2:$AC$200,$G17)&gt;0,
     COUNTIFS($AD$2:$AD$200,$G17)&gt;0,
     COUNTIFS($AE$2:$AE$200,$G17)&gt;0,
     COUNTIFS($AF$2:$AF$200,$G17)&gt;0,
     COUNTIFS($AG$2:$AG$200,$G17)&gt;0,
     COUNTIFS($AH$2:$AH$200,$G17)&gt;0,
     COUNTIFS($AI$2:$AI$200,$G17)&gt;0,
     COUNTIFS($AJ$2:$AJ$200,$G17)&gt;0,
     COUNTIFS($AK$2:$AK$200,$G17)&gt;0,
     COUNTIFS($AL$2:$AL$200,$G17)&gt;0,
     COUNTIFS($AM$2:$AM$200,$G17)&gt;0,
     COUNTIFS($AN$2:$AN$200,$G17)&gt;0,
     COUNTIFS($AO$2:$AO$200,$G17)&gt;0,
     COUNTIFS($AP$2:$AP$200,$G17)&gt;0,
     COUNTIFS($AQ$2:$AQ$200,$G17)&gt;0,
     COUNTIFS($AR$2:$AR$200,$G17)&gt;0,
     COUNTIFS($AS$2:$AS$200,$G17)&gt;0,
     COUNTIFS($AT$2:$AT$200,$G17)&gt;0,
     COUNTIFS($AU$2:$AU$200,$G17)&gt;0,
     COUNTIFS($AV$2:$AV$200,$G17)&gt;0,
     COUNTIFS($AW$2:$AW$200,$G17)&gt;0,
     COUNTIFS($AX$2:$AX$200,$G17)&gt;0
   )),
  ),
  4
 ),
"")</f>
        <v/>
      </c>
      <c r="G17" t="str">
        <f ca="1"/>
        <v>Ardbert, Warrior of Darkness</v>
      </c>
      <c r="I17" t="s">
        <v>22</v>
      </c>
      <c r="J17" s="3">
        <f>Akiri!G2</f>
        <v>12</v>
      </c>
      <c r="K17" s="3" t="s">
        <v>2056</v>
      </c>
      <c r="L17" s="3" t="s">
        <v>2057</v>
      </c>
      <c r="M17" s="3" t="s">
        <v>2056</v>
      </c>
      <c r="N17" s="3" t="s">
        <v>2057</v>
      </c>
      <c r="O17" s="3" t="s">
        <v>2057</v>
      </c>
      <c r="P17" s="3" t="s">
        <v>738</v>
      </c>
      <c r="Q17" s="3" t="s">
        <v>2107</v>
      </c>
      <c r="R17" s="3" t="s">
        <v>2128</v>
      </c>
      <c r="S17" s="3" t="str">
        <f t="shared" si="2"/>
        <v>3</v>
      </c>
      <c r="U17" t="str">
        <v>Timestream Navigator</v>
      </c>
      <c r="V17" t="str">
        <v>Marcha dos Canonizados</v>
      </c>
      <c r="W17" t="str">
        <v>Reforge the Soul</v>
      </c>
      <c r="X17" t="str">
        <v>Maester Seymour</v>
      </c>
      <c r="Z17" t="str">
        <v>Rogue's Passage</v>
      </c>
      <c r="AA17" t="str">
        <v>Stonybrook Banneret</v>
      </c>
      <c r="AX17" t="str">
        <v>Great Furnace</v>
      </c>
      <c r="BB17" t="str">
        <f ca="1"/>
        <v>Generous Gift</v>
      </c>
      <c r="BC17" t="str">
        <f ca="1"/>
        <v>Gyre Sage</v>
      </c>
      <c r="BD17" t="str">
        <f ca="1"/>
        <v>Ghoulish Impetus</v>
      </c>
      <c r="BE17" t="str">
        <f ca="1"/>
        <v>Reliquary Tower</v>
      </c>
      <c r="BF17" t="str">
        <f ca="1"/>
        <v>The Tenth Doctor</v>
      </c>
      <c r="BG17" t="str">
        <f ca="1"/>
        <v>Spectator Seating</v>
      </c>
      <c r="BH17" t="str">
        <f ca="1"/>
        <v>Sea Gate Restoration</v>
      </c>
      <c r="BI17" t="str">
        <f ca="1"/>
        <v>Lightning Greaves</v>
      </c>
      <c r="BP17" t="str">
        <f ca="1"/>
        <v>Great Furnace</v>
      </c>
      <c r="BS17" t="str">
        <f ca="1"/>
        <v>Champions from Beyond</v>
      </c>
      <c r="BT17" t="str">
        <f ca="1"/>
        <v>Fellwar Stone</v>
      </c>
      <c r="BU17" t="str">
        <f ca="1"/>
        <v>Luxury Suite</v>
      </c>
      <c r="BV17" t="str">
        <f ca="1"/>
        <v>Faerie Slumber Party</v>
      </c>
      <c r="BW17" t="str">
        <f ca="1"/>
        <v>Swamp</v>
      </c>
      <c r="BX17" t="str">
        <f ca="1"/>
        <v>Red XIII, Proud Warrior</v>
      </c>
      <c r="BY17" t="str">
        <f ca="1"/>
        <v>Westvale Abbey</v>
      </c>
      <c r="BZ17" t="str">
        <f ca="1"/>
        <v>Great Furnace</v>
      </c>
      <c r="CB17" t="str">
        <f ca="1"/>
        <v>Broadside Bombardiers</v>
      </c>
      <c r="CC17" t="str">
        <f ca="1"/>
        <v>Diário de Tarrian</v>
      </c>
      <c r="CD17" t="str">
        <f ca="1"/>
        <v>Jenova, Ancient Calamity</v>
      </c>
      <c r="CE17" t="str">
        <f ca="1"/>
        <v>Esper Sentinel</v>
      </c>
      <c r="CG17" t="str">
        <f ca="1"/>
        <v>Back in Town</v>
      </c>
      <c r="CH17" t="str">
        <f ca="1"/>
        <v>Daretti, Ingenious Iconoclast</v>
      </c>
      <c r="CJ17" t="str">
        <f ca="1"/>
        <v>Ardbert, Warrior of Darkness</v>
      </c>
    </row>
    <row r="18" spans="1:88" x14ac:dyDescent="0.25">
      <c r="A18" s="3" t="str">
        <f t="shared" ca="1" si="0"/>
        <v>4</v>
      </c>
      <c r="B18" s="3">
        <f t="shared" ca="1" si="1"/>
        <v>1</v>
      </c>
      <c r="C18" s="3" t="str">
        <f ca="1">IFERROR(
 INDEX($U$1:$AX$1,
  MATCH(TRUE,
   CHOOSE({1;2;3;4;5;6;7;8;9;10;11;12;13;14;15;16;17;18;19;20;21;22;23;24;25;26;27;28;29;30;31;32},
    COUNTIFS($U$2:$U$200,$G18)&gt;0,
    COUNTIFS($V$2:$V$200,$G18)&gt;0,
    COUNTIFS($W$2:$W$200,$G18)&gt;0,
    COUNTIFS($X$2:$X$200,$G18)&gt;0,
    COUNTIFS($Y$2:$Y$200,$G18)&gt;0,
    COUNTIFS($Z$2:$Z$200,$G18)&gt;0,
    COUNTIFS($AA$2:$AA$200,$G18)&gt;0,
    COUNTIFS($AB$2:$AB$200,$G18)&gt;0,
    COUNTIFS($AC$2:$AC$200,$G18)&gt;0,
    COUNTIFS($AD$2:$AD$200,$G18)&gt;0,
    COUNTIFS($AE$2:$AE$200,$G18)&gt;0,
    COUNTIFS($AF$2:$AF$200,$G18)&gt;0,
    COUNTIFS($AG$2:$AG$200,$G18)&gt;0,
    COUNTIFS($AH$2:$AH$200,$G18)&gt;0,
    COUNTIFS($AI$2:$AI$200,$G18)&gt;0,
    COUNTIFS($AJ$2:$AJ$200,$G18)&gt;0,
    COUNTIFS($AK$2:$AK$200,$G18)&gt;0,
    COUNTIFS($AL$2:$AL$200,$G18)&gt;0,
    COUNTIFS($AM$2:$AM$200,$G18)&gt;0,
    COUNTIFS($AN$2:$AN$200,$G18)&gt;0,
    COUNTIFS($AO$2:$AO$200,$G18)&gt;0,
    COUNTIFS($AP$2:$AP$200,$G18)&gt;0,
    COUNTIFS($AQ$2:$AQ$200,$G18)&gt;0,
    COUNTIFS($AR$2:$AR$200,$G18)&gt;0,
    COUNTIFS($AS$2:$AS$200,$G18)&gt;0,
    COUNTIFS($AT$2:$AT$200,$G18)&gt;0,
    COUNTIFS($AU$2:$AU$200,$G18)&gt;0,
    COUNTIFS($AV$2:$AV$200,$G18)&gt;0,
    COUNTIFS($AW$2:$AW$200,$G18)&gt;0,
    COUNTIFS($AX$2:$AX$200,$G18)&gt;0
   ),
  0)
 ),
"")</f>
        <v>VialIshai</v>
      </c>
      <c r="D18" s="3" t="str" cm="1">
        <f t="array" aca="1" ref="D18" ca="1">IFERROR(
 INDEX(
  _xlfn._xlws.FILTER($U$1:$AX$1,
   TRANSPOSE(
    CHOOSE({1;2;3;4;5;6;7;8;9;10;11;12;13;14;15;16;17;18;19;20;21;22;23;24;25;26;27;28;29;30},
     COUNTIFS($U$2:$U$200,$G18)&gt;0,
     COUNTIFS($V$2:$V$200,$G18)&gt;0,
     COUNTIFS($W$2:$W$200,$G18)&gt;0,
     COUNTIFS($X$2:$X$200,$G18)&gt;0,
     COUNTIFS($Y$2:$Y$200,$G18)&gt;0,
     COUNTIFS($Z$2:$Z$200,$G18)&gt;0,
     COUNTIFS($AA$2:$AA$200,$G18)&gt;0,
     COUNTIFS($AB$2:$AB$200,$G18)&gt;0,
     COUNTIFS($AC$2:$AC$200,$G18)&gt;0,
     COUNTIFS($AD$2:$AD$200,$G18)&gt;0,
     COUNTIFS($AE$2:$AE$200,$G18)&gt;0,
     COUNTIFS($AF$2:$AF$200,$G18)&gt;0,
     COUNTIFS($AG$2:$AG$200,$G18)&gt;0,
     COUNTIFS($AH$2:$AH$200,$G18)&gt;0,
     COUNTIFS($AI$2:$AI$200,$G18)&gt;0,
     COUNTIFS($AJ$2:$AJ$200,$G18)&gt;0,
     COUNTIFS($AK$2:$AK$200,$G18)&gt;0,
     COUNTIFS($AL$2:$AL$200,$G18)&gt;0,
     COUNTIFS($AM$2:$AM$200,$G18)&gt;0,
     COUNTIFS($AN$2:$AN$200,$G18)&gt;0,
     COUNTIFS($AO$2:$AO$200,$G18)&gt;0,
     COUNTIFS($AP$2:$AP$200,$G18)&gt;0,
     COUNTIFS($AQ$2:$AQ$200,$G18)&gt;0,
     COUNTIFS($AR$2:$AR$200,$G18)&gt;0,
     COUNTIFS($AS$2:$AS$200,$G18)&gt;0,
     COUNTIFS($AT$2:$AT$200,$G18)&gt;0,
     COUNTIFS($AU$2:$AU$200,$G18)&gt;0,
     COUNTIFS($AV$2:$AV$200,$G18)&gt;0,
     COUNTIFS($AW$2:$AW$200,$G18)&gt;0,
     COUNTIFS($AX$2:$AX$200,$G18)&gt;0
   )),
  ),
  2
 ),
"")</f>
        <v/>
      </c>
      <c r="E18" s="3" t="str" cm="1">
        <f t="array" aca="1" ref="E18" ca="1">IFERROR(
 INDEX(
  _xlfn._xlws.FILTER($U$1:$AX$1,
   TRANSPOSE(
    CHOOSE({1;2;3;4;5;6;7;8;9;10;11;12;13;14;15;16;17;18;19;20;21;22;23;24;25;26;27;28;29;30},
     COUNTIFS($U$2:$U$200,$G18)&gt;0,
     COUNTIFS($V$2:$V$200,$G18)&gt;0,
     COUNTIFS($W$2:$W$200,$G18)&gt;0,
     COUNTIFS($X$2:$X$200,$G18)&gt;0,
     COUNTIFS($Y$2:$Y$200,$G18)&gt;0,
     COUNTIFS($Z$2:$Z$200,$G18)&gt;0,
     COUNTIFS($AA$2:$AA$200,$G18)&gt;0,
     COUNTIFS($AB$2:$AB$200,$G18)&gt;0,
     COUNTIFS($AC$2:$AC$200,$G18)&gt;0,
     COUNTIFS($AD$2:$AD$200,$G18)&gt;0,
     COUNTIFS($AE$2:$AE$200,$G18)&gt;0,
     COUNTIFS($AF$2:$AF$200,$G18)&gt;0,
     COUNTIFS($AG$2:$AG$200,$G18)&gt;0,
     COUNTIFS($AH$2:$AH$200,$G18)&gt;0,
     COUNTIFS($AI$2:$AI$200,$G18)&gt;0,
     COUNTIFS($AJ$2:$AJ$200,$G18)&gt;0,
     COUNTIFS($AK$2:$AK$200,$G18)&gt;0,
     COUNTIFS($AL$2:$AL$200,$G18)&gt;0,
     COUNTIFS($AM$2:$AM$200,$G18)&gt;0,
     COUNTIFS($AN$2:$AN$200,$G18)&gt;0,
     COUNTIFS($AO$2:$AO$200,$G18)&gt;0,
     COUNTIFS($AP$2:$AP$200,$G18)&gt;0,
     COUNTIFS($AQ$2:$AQ$200,$G18)&gt;0,
     COUNTIFS($AR$2:$AR$200,$G18)&gt;0,
     COUNTIFS($AS$2:$AS$200,$G18)&gt;0,
     COUNTIFS($AT$2:$AT$200,$G18)&gt;0,
     COUNTIFS($AU$2:$AU$200,$G18)&gt;0,
     COUNTIFS($AV$2:$AV$200,$G18)&gt;0,
     COUNTIFS($AW$2:$AW$200,$G18)&gt;0,
     COUNTIFS($AX$2:$AX$200,$G18)&gt;0
   )),
  ),
  3
 ),
"")</f>
        <v/>
      </c>
      <c r="F18" s="3" t="str" cm="1">
        <f t="array" aca="1" ref="F18" ca="1">IFERROR(
 INDEX(
  _xlfn._xlws.FILTER($U$1:$AX$1,
   TRANSPOSE(
    CHOOSE({1;2;3;4;5;6;7;8;9;10;11;12;13;14;15;16;17;18;19;20;21;22;23;24;25;26;27;28;29;30},
     COUNTIFS($U$2:$U$200,$G18)&gt;0,
     COUNTIFS($V$2:$V$200,$G18)&gt;0,
     COUNTIFS($W$2:$W$200,$G18)&gt;0,
     COUNTIFS($X$2:$X$200,$G18)&gt;0,
     COUNTIFS($Y$2:$Y$200,$G18)&gt;0,
     COUNTIFS($Z$2:$Z$200,$G18)&gt;0,
     COUNTIFS($AA$2:$AA$200,$G18)&gt;0,
     COUNTIFS($AB$2:$AB$200,$G18)&gt;0,
     COUNTIFS($AC$2:$AC$200,$G18)&gt;0,
     COUNTIFS($AD$2:$AD$200,$G18)&gt;0,
     COUNTIFS($AE$2:$AE$200,$G18)&gt;0,
     COUNTIFS($AF$2:$AF$200,$G18)&gt;0,
     COUNTIFS($AG$2:$AG$200,$G18)&gt;0,
     COUNTIFS($AH$2:$AH$200,$G18)&gt;0,
     COUNTIFS($AI$2:$AI$200,$G18)&gt;0,
     COUNTIFS($AJ$2:$AJ$200,$G18)&gt;0,
     COUNTIFS($AK$2:$AK$200,$G18)&gt;0,
     COUNTIFS($AL$2:$AL$200,$G18)&gt;0,
     COUNTIFS($AM$2:$AM$200,$G18)&gt;0,
     COUNTIFS($AN$2:$AN$200,$G18)&gt;0,
     COUNTIFS($AO$2:$AO$200,$G18)&gt;0,
     COUNTIFS($AP$2:$AP$200,$G18)&gt;0,
     COUNTIFS($AQ$2:$AQ$200,$G18)&gt;0,
     COUNTIFS($AR$2:$AR$200,$G18)&gt;0,
     COUNTIFS($AS$2:$AS$200,$G18)&gt;0,
     COUNTIFS($AT$2:$AT$200,$G18)&gt;0,
     COUNTIFS($AU$2:$AU$200,$G18)&gt;0,
     COUNTIFS($AV$2:$AV$200,$G18)&gt;0,
     COUNTIFS($AW$2:$AW$200,$G18)&gt;0,
     COUNTIFS($AX$2:$AX$200,$G18)&gt;0
   )),
  ),
  4
 ),
"")</f>
        <v/>
      </c>
      <c r="G18" t="str">
        <f ca="1"/>
        <v>Arid Mesa</v>
      </c>
      <c r="I18" t="s">
        <v>46</v>
      </c>
      <c r="J18" s="3">
        <f>Sisay!G2</f>
        <v>11</v>
      </c>
      <c r="K18" s="3" t="s">
        <v>2056</v>
      </c>
      <c r="L18" s="3" t="s">
        <v>2056</v>
      </c>
      <c r="M18" s="3" t="s">
        <v>2056</v>
      </c>
      <c r="N18" s="3" t="s">
        <v>2056</v>
      </c>
      <c r="O18" s="3" t="s">
        <v>2056</v>
      </c>
      <c r="P18" s="3" t="s">
        <v>738</v>
      </c>
      <c r="Q18" s="3" t="s">
        <v>2111</v>
      </c>
      <c r="R18" s="3" t="s">
        <v>2129</v>
      </c>
      <c r="S18" s="3" t="str">
        <f t="shared" si="2"/>
        <v>3</v>
      </c>
      <c r="U18" t="str">
        <v>Treasure Vault</v>
      </c>
      <c r="V18" t="str">
        <v>Prosperous Partnership</v>
      </c>
      <c r="W18" t="str">
        <v>Relentless Assault</v>
      </c>
      <c r="X18" t="str">
        <v>Managorger Hydra</v>
      </c>
      <c r="Z18" t="str">
        <v>Sol Ring</v>
      </c>
      <c r="AA18" t="str">
        <v>Summon: Leviathan</v>
      </c>
      <c r="AX18" t="str">
        <v>Haru, Hidden Talent</v>
      </c>
      <c r="BB18" t="str">
        <f ca="1"/>
        <v>Glint-Horn Buccaneer</v>
      </c>
      <c r="BC18" t="str">
        <f ca="1"/>
        <v>Hydra's Growth</v>
      </c>
      <c r="BD18" t="str">
        <f ca="1"/>
        <v>Giver of Runes</v>
      </c>
      <c r="BE18" t="str">
        <f ca="1"/>
        <v>Scalding Tarn</v>
      </c>
      <c r="BF18" t="str">
        <f ca="1"/>
        <v>Thought Vessel</v>
      </c>
      <c r="BG18" t="str">
        <f ca="1"/>
        <v>The Mycosynth Gardens</v>
      </c>
      <c r="BH18" t="str">
        <f ca="1"/>
        <v>Shizo, Death's Storehouse</v>
      </c>
      <c r="BI18" t="str">
        <f ca="1"/>
        <v>Lolth, Rainha Aranha</v>
      </c>
      <c r="BP18" t="str">
        <f ca="1"/>
        <v>Haru, Hidden Talent</v>
      </c>
      <c r="BS18" t="str">
        <f ca="1"/>
        <v>Clifftop Retreat</v>
      </c>
      <c r="BT18" t="str">
        <f ca="1"/>
        <v>Firkraag, Cunning Instigator</v>
      </c>
      <c r="BU18" t="str">
        <f ca="1"/>
        <v>Mandate of Peace</v>
      </c>
      <c r="BV18" t="str">
        <f ca="1"/>
        <v>Firion, Wild Rose Warrior</v>
      </c>
      <c r="BW18" t="str">
        <f ca="1"/>
        <v>Three Tree City</v>
      </c>
      <c r="BX18" t="str">
        <f ca="1"/>
        <v>Reflecting Pool</v>
      </c>
      <c r="BZ18" t="str">
        <f ca="1"/>
        <v>Haru, Hidden Talent</v>
      </c>
      <c r="CB18" t="str">
        <f ca="1"/>
        <v>Brushland</v>
      </c>
      <c r="CC18" t="str">
        <f ca="1"/>
        <v>Drowned Catacomb</v>
      </c>
      <c r="CD18" t="str">
        <f ca="1"/>
        <v>Jetmir's Garden</v>
      </c>
      <c r="CE18" t="str">
        <f ca="1"/>
        <v>Evendo Brushrazer</v>
      </c>
      <c r="CG18" t="str">
        <f ca="1"/>
        <v>Batwing Brume</v>
      </c>
      <c r="CH18" t="str">
        <f ca="1"/>
        <v>Dionus, Elvish Archdruid</v>
      </c>
      <c r="CJ18" t="str">
        <f ca="1"/>
        <v>Arid Mesa</v>
      </c>
    </row>
    <row r="19" spans="1:88" x14ac:dyDescent="0.25">
      <c r="A19" s="3" t="str">
        <f t="shared" ca="1" si="0"/>
        <v>2</v>
      </c>
      <c r="B19" s="3">
        <f t="shared" ca="1" si="1"/>
        <v>1</v>
      </c>
      <c r="C19" s="3" t="str">
        <f ca="1">IFERROR(
 INDEX($U$1:$AX$1,
  MATCH(TRUE,
   CHOOSE({1;2;3;4;5;6;7;8;9;10;11;12;13;14;15;16;17;18;19;20;21;22;23;24;25;26;27;28;29;30;31;32},
    COUNTIFS($U$2:$U$200,$G19)&gt;0,
    COUNTIFS($V$2:$V$200,$G19)&gt;0,
    COUNTIFS($W$2:$W$200,$G19)&gt;0,
    COUNTIFS($X$2:$X$200,$G19)&gt;0,
    COUNTIFS($Y$2:$Y$200,$G19)&gt;0,
    COUNTIFS($Z$2:$Z$200,$G19)&gt;0,
    COUNTIFS($AA$2:$AA$200,$G19)&gt;0,
    COUNTIFS($AB$2:$AB$200,$G19)&gt;0,
    COUNTIFS($AC$2:$AC$200,$G19)&gt;0,
    COUNTIFS($AD$2:$AD$200,$G19)&gt;0,
    COUNTIFS($AE$2:$AE$200,$G19)&gt;0,
    COUNTIFS($AF$2:$AF$200,$G19)&gt;0,
    COUNTIFS($AG$2:$AG$200,$G19)&gt;0,
    COUNTIFS($AH$2:$AH$200,$G19)&gt;0,
    COUNTIFS($AI$2:$AI$200,$G19)&gt;0,
    COUNTIFS($AJ$2:$AJ$200,$G19)&gt;0,
    COUNTIFS($AK$2:$AK$200,$G19)&gt;0,
    COUNTIFS($AL$2:$AL$200,$G19)&gt;0,
    COUNTIFS($AM$2:$AM$200,$G19)&gt;0,
    COUNTIFS($AN$2:$AN$200,$G19)&gt;0,
    COUNTIFS($AO$2:$AO$200,$G19)&gt;0,
    COUNTIFS($AP$2:$AP$200,$G19)&gt;0,
    COUNTIFS($AQ$2:$AQ$200,$G19)&gt;0,
    COUNTIFS($AR$2:$AR$200,$G19)&gt;0,
    COUNTIFS($AS$2:$AS$200,$G19)&gt;0,
    COUNTIFS($AT$2:$AT$200,$G19)&gt;0,
    COUNTIFS($AU$2:$AU$200,$G19)&gt;0,
    COUNTIFS($AV$2:$AV$200,$G19)&gt;0,
    COUNTIFS($AW$2:$AW$200,$G19)&gt;0,
    COUNTIFS($AX$2:$AX$200,$G19)&gt;0
   ),
  0)
 ),
"")</f>
        <v>Baylen</v>
      </c>
      <c r="D19" s="3" t="str" cm="1">
        <f t="array" aca="1" ref="D19" ca="1">IFERROR(
 INDEX(
  _xlfn._xlws.FILTER($U$1:$AX$1,
   TRANSPOSE(
    CHOOSE({1;2;3;4;5;6;7;8;9;10;11;12;13;14;15;16;17;18;19;20;21;22;23;24;25;26;27;28;29;30},
     COUNTIFS($U$2:$U$200,$G19)&gt;0,
     COUNTIFS($V$2:$V$200,$G19)&gt;0,
     COUNTIFS($W$2:$W$200,$G19)&gt;0,
     COUNTIFS($X$2:$X$200,$G19)&gt;0,
     COUNTIFS($Y$2:$Y$200,$G19)&gt;0,
     COUNTIFS($Z$2:$Z$200,$G19)&gt;0,
     COUNTIFS($AA$2:$AA$200,$G19)&gt;0,
     COUNTIFS($AB$2:$AB$200,$G19)&gt;0,
     COUNTIFS($AC$2:$AC$200,$G19)&gt;0,
     COUNTIFS($AD$2:$AD$200,$G19)&gt;0,
     COUNTIFS($AE$2:$AE$200,$G19)&gt;0,
     COUNTIFS($AF$2:$AF$200,$G19)&gt;0,
     COUNTIFS($AG$2:$AG$200,$G19)&gt;0,
     COUNTIFS($AH$2:$AH$200,$G19)&gt;0,
     COUNTIFS($AI$2:$AI$200,$G19)&gt;0,
     COUNTIFS($AJ$2:$AJ$200,$G19)&gt;0,
     COUNTIFS($AK$2:$AK$200,$G19)&gt;0,
     COUNTIFS($AL$2:$AL$200,$G19)&gt;0,
     COUNTIFS($AM$2:$AM$200,$G19)&gt;0,
     COUNTIFS($AN$2:$AN$200,$G19)&gt;0,
     COUNTIFS($AO$2:$AO$200,$G19)&gt;0,
     COUNTIFS($AP$2:$AP$200,$G19)&gt;0,
     COUNTIFS($AQ$2:$AQ$200,$G19)&gt;0,
     COUNTIFS($AR$2:$AR$200,$G19)&gt;0,
     COUNTIFS($AS$2:$AS$200,$G19)&gt;0,
     COUNTIFS($AT$2:$AT$200,$G19)&gt;0,
     COUNTIFS($AU$2:$AU$200,$G19)&gt;0,
     COUNTIFS($AV$2:$AV$200,$G19)&gt;0,
     COUNTIFS($AW$2:$AW$200,$G19)&gt;0,
     COUNTIFS($AX$2:$AX$200,$G19)&gt;0
   )),
  ),
  2
 ),
"")</f>
        <v/>
      </c>
      <c r="E19" s="3" t="str" cm="1">
        <f t="array" aca="1" ref="E19" ca="1">IFERROR(
 INDEX(
  _xlfn._xlws.FILTER($U$1:$AX$1,
   TRANSPOSE(
    CHOOSE({1;2;3;4;5;6;7;8;9;10;11;12;13;14;15;16;17;18;19;20;21;22;23;24;25;26;27;28;29;30},
     COUNTIFS($U$2:$U$200,$G19)&gt;0,
     COUNTIFS($V$2:$V$200,$G19)&gt;0,
     COUNTIFS($W$2:$W$200,$G19)&gt;0,
     COUNTIFS($X$2:$X$200,$G19)&gt;0,
     COUNTIFS($Y$2:$Y$200,$G19)&gt;0,
     COUNTIFS($Z$2:$Z$200,$G19)&gt;0,
     COUNTIFS($AA$2:$AA$200,$G19)&gt;0,
     COUNTIFS($AB$2:$AB$200,$G19)&gt;0,
     COUNTIFS($AC$2:$AC$200,$G19)&gt;0,
     COUNTIFS($AD$2:$AD$200,$G19)&gt;0,
     COUNTIFS($AE$2:$AE$200,$G19)&gt;0,
     COUNTIFS($AF$2:$AF$200,$G19)&gt;0,
     COUNTIFS($AG$2:$AG$200,$G19)&gt;0,
     COUNTIFS($AH$2:$AH$200,$G19)&gt;0,
     COUNTIFS($AI$2:$AI$200,$G19)&gt;0,
     COUNTIFS($AJ$2:$AJ$200,$G19)&gt;0,
     COUNTIFS($AK$2:$AK$200,$G19)&gt;0,
     COUNTIFS($AL$2:$AL$200,$G19)&gt;0,
     COUNTIFS($AM$2:$AM$200,$G19)&gt;0,
     COUNTIFS($AN$2:$AN$200,$G19)&gt;0,
     COUNTIFS($AO$2:$AO$200,$G19)&gt;0,
     COUNTIFS($AP$2:$AP$200,$G19)&gt;0,
     COUNTIFS($AQ$2:$AQ$200,$G19)&gt;0,
     COUNTIFS($AR$2:$AR$200,$G19)&gt;0,
     COUNTIFS($AS$2:$AS$200,$G19)&gt;0,
     COUNTIFS($AT$2:$AT$200,$G19)&gt;0,
     COUNTIFS($AU$2:$AU$200,$G19)&gt;0,
     COUNTIFS($AV$2:$AV$200,$G19)&gt;0,
     COUNTIFS($AW$2:$AW$200,$G19)&gt;0,
     COUNTIFS($AX$2:$AX$200,$G19)&gt;0
   )),
  ),
  3
 ),
"")</f>
        <v/>
      </c>
      <c r="F19" s="3" t="str" cm="1">
        <f t="array" aca="1" ref="F19" ca="1">IFERROR(
 INDEX(
  _xlfn._xlws.FILTER($U$1:$AX$1,
   TRANSPOSE(
    CHOOSE({1;2;3;4;5;6;7;8;9;10;11;12;13;14;15;16;17;18;19;20;21;22;23;24;25;26;27;28;29;30},
     COUNTIFS($U$2:$U$200,$G19)&gt;0,
     COUNTIFS($V$2:$V$200,$G19)&gt;0,
     COUNTIFS($W$2:$W$200,$G19)&gt;0,
     COUNTIFS($X$2:$X$200,$G19)&gt;0,
     COUNTIFS($Y$2:$Y$200,$G19)&gt;0,
     COUNTIFS($Z$2:$Z$200,$G19)&gt;0,
     COUNTIFS($AA$2:$AA$200,$G19)&gt;0,
     COUNTIFS($AB$2:$AB$200,$G19)&gt;0,
     COUNTIFS($AC$2:$AC$200,$G19)&gt;0,
     COUNTIFS($AD$2:$AD$200,$G19)&gt;0,
     COUNTIFS($AE$2:$AE$200,$G19)&gt;0,
     COUNTIFS($AF$2:$AF$200,$G19)&gt;0,
     COUNTIFS($AG$2:$AG$200,$G19)&gt;0,
     COUNTIFS($AH$2:$AH$200,$G19)&gt;0,
     COUNTIFS($AI$2:$AI$200,$G19)&gt;0,
     COUNTIFS($AJ$2:$AJ$200,$G19)&gt;0,
     COUNTIFS($AK$2:$AK$200,$G19)&gt;0,
     COUNTIFS($AL$2:$AL$200,$G19)&gt;0,
     COUNTIFS($AM$2:$AM$200,$G19)&gt;0,
     COUNTIFS($AN$2:$AN$200,$G19)&gt;0,
     COUNTIFS($AO$2:$AO$200,$G19)&gt;0,
     COUNTIFS($AP$2:$AP$200,$G19)&gt;0,
     COUNTIFS($AQ$2:$AQ$200,$G19)&gt;0,
     COUNTIFS($AR$2:$AR$200,$G19)&gt;0,
     COUNTIFS($AS$2:$AS$200,$G19)&gt;0,
     COUNTIFS($AT$2:$AT$200,$G19)&gt;0,
     COUNTIFS($AU$2:$AU$200,$G19)&gt;0,
     COUNTIFS($AV$2:$AV$200,$G19)&gt;0,
     COUNTIFS($AW$2:$AW$200,$G19)&gt;0,
     COUNTIFS($AX$2:$AX$200,$G19)&gt;0
   )),
  ),
  4
 ),
"")</f>
        <v/>
      </c>
      <c r="G19" t="str">
        <f ca="1"/>
        <v>Artifact Mutation</v>
      </c>
      <c r="I19" t="s">
        <v>8</v>
      </c>
      <c r="J19" s="3">
        <f>Thrakiri!G2</f>
        <v>4</v>
      </c>
      <c r="K19" s="3" t="s">
        <v>2056</v>
      </c>
      <c r="L19" s="3" t="s">
        <v>2056</v>
      </c>
      <c r="M19" s="3" t="s">
        <v>2056</v>
      </c>
      <c r="N19" s="3" t="s">
        <v>2057</v>
      </c>
      <c r="O19" s="3" t="s">
        <v>2056</v>
      </c>
      <c r="P19" s="3" t="s">
        <v>327</v>
      </c>
      <c r="Q19" s="3" t="s">
        <v>2107</v>
      </c>
      <c r="R19" s="3" t="s">
        <v>2124</v>
      </c>
      <c r="S19" s="3" t="str">
        <f t="shared" si="2"/>
        <v>5</v>
      </c>
      <c r="V19" t="str">
        <v>Purphoros, God of the Forge</v>
      </c>
      <c r="W19" t="str">
        <v>Sea of Clouds</v>
      </c>
      <c r="X19" t="str">
        <v>Ozolith, the Shattered Spire</v>
      </c>
      <c r="Z19" t="str">
        <v>Sulfur Falls</v>
      </c>
      <c r="AA19" t="str">
        <v>Surgespanner</v>
      </c>
      <c r="AX19" t="str">
        <v>Haywire Mite</v>
      </c>
      <c r="BB19" t="str">
        <f ca="1"/>
        <v>Hedron Detonator</v>
      </c>
      <c r="BC19" t="str">
        <f ca="1"/>
        <v>Incendiary Command</v>
      </c>
      <c r="BD19" t="str">
        <f ca="1"/>
        <v>Guia das Almas</v>
      </c>
      <c r="BE19" t="str">
        <f ca="1"/>
        <v>Seahunter</v>
      </c>
      <c r="BF19" t="str">
        <f ca="1"/>
        <v>Thran Dynamo</v>
      </c>
      <c r="BG19" t="str">
        <f ca="1"/>
        <v>Vexing Puzzlebox</v>
      </c>
      <c r="BH19" t="str">
        <f ca="1"/>
        <v>Temporal Manipulation</v>
      </c>
      <c r="BI19" t="str">
        <f ca="1"/>
        <v>Nicol Bolas, God-Pharaoh</v>
      </c>
      <c r="BP19" t="str">
        <f ca="1"/>
        <v>Haywire Mite</v>
      </c>
      <c r="BS19" t="str">
        <f ca="1"/>
        <v>Dever Além da Morte</v>
      </c>
      <c r="BT19" t="str">
        <f ca="1"/>
        <v>Frenzied Gorespawn</v>
      </c>
      <c r="BU19" t="str">
        <f ca="1"/>
        <v>Mirrex</v>
      </c>
      <c r="BV19" t="str">
        <f ca="1"/>
        <v>Freyalise, Llanowar's Fury</v>
      </c>
      <c r="BW19" t="str">
        <f ca="1"/>
        <v>Thrumming Hivepool</v>
      </c>
      <c r="BX19" t="str">
        <f ca="1"/>
        <v>Saqueador Amaldiçoado</v>
      </c>
      <c r="BZ19" t="str">
        <f ca="1"/>
        <v>Haywire Mite</v>
      </c>
      <c r="CB19" t="str">
        <f ca="1"/>
        <v>Call to the Kindred</v>
      </c>
      <c r="CC19" t="str">
        <f ca="1"/>
        <v>Elspeth, Sun's Champion</v>
      </c>
      <c r="CD19" t="str">
        <f ca="1"/>
        <v>Jidoor, Aristocratic Capital // Overture</v>
      </c>
      <c r="CE19" t="str">
        <f ca="1"/>
        <v>Filigree Vector</v>
      </c>
      <c r="CG19" t="str">
        <f ca="1"/>
        <v>Beast Within</v>
      </c>
      <c r="CH19" t="str">
        <f ca="1"/>
        <v>Dispatch</v>
      </c>
      <c r="CJ19" t="str">
        <f ca="1"/>
        <v>Artifact Mutation</v>
      </c>
    </row>
    <row r="20" spans="1:88" x14ac:dyDescent="0.25">
      <c r="A20" s="3" t="str">
        <f t="shared" ca="1" si="0"/>
        <v>1</v>
      </c>
      <c r="B20" s="3">
        <f t="shared" ca="1" si="1"/>
        <v>1</v>
      </c>
      <c r="C20" s="3" t="str">
        <f ca="1">IFERROR(
 INDEX($U$1:$AX$1,
  MATCH(TRUE,
   CHOOSE({1;2;3;4;5;6;7;8;9;10;11;12;13;14;15;16;17;18;19;20;21;22;23;24;25;26;27;28;29;30;31;32},
    COUNTIFS($U$2:$U$200,$G20)&gt;0,
    COUNTIFS($V$2:$V$200,$G20)&gt;0,
    COUNTIFS($W$2:$W$200,$G20)&gt;0,
    COUNTIFS($X$2:$X$200,$G20)&gt;0,
    COUNTIFS($Y$2:$Y$200,$G20)&gt;0,
    COUNTIFS($Z$2:$Z$200,$G20)&gt;0,
    COUNTIFS($AA$2:$AA$200,$G20)&gt;0,
    COUNTIFS($AB$2:$AB$200,$G20)&gt;0,
    COUNTIFS($AC$2:$AC$200,$G20)&gt;0,
    COUNTIFS($AD$2:$AD$200,$G20)&gt;0,
    COUNTIFS($AE$2:$AE$200,$G20)&gt;0,
    COUNTIFS($AF$2:$AF$200,$G20)&gt;0,
    COUNTIFS($AG$2:$AG$200,$G20)&gt;0,
    COUNTIFS($AH$2:$AH$200,$G20)&gt;0,
    COUNTIFS($AI$2:$AI$200,$G20)&gt;0,
    COUNTIFS($AJ$2:$AJ$200,$G20)&gt;0,
    COUNTIFS($AK$2:$AK$200,$G20)&gt;0,
    COUNTIFS($AL$2:$AL$200,$G20)&gt;0,
    COUNTIFS($AM$2:$AM$200,$G20)&gt;0,
    COUNTIFS($AN$2:$AN$200,$G20)&gt;0,
    COUNTIFS($AO$2:$AO$200,$G20)&gt;0,
    COUNTIFS($AP$2:$AP$200,$G20)&gt;0,
    COUNTIFS($AQ$2:$AQ$200,$G20)&gt;0,
    COUNTIFS($AR$2:$AR$200,$G20)&gt;0,
    COUNTIFS($AS$2:$AS$200,$G20)&gt;0,
    COUNTIFS($AT$2:$AT$200,$G20)&gt;0,
    COUNTIFS($AU$2:$AU$200,$G20)&gt;0,
    COUNTIFS($AV$2:$AV$200,$G20)&gt;0,
    COUNTIFS($AW$2:$AW$200,$G20)&gt;0,
    COUNTIFS($AX$2:$AX$200,$G20)&gt;0
   ),
  0)
 ),
"")</f>
        <v>Tayam</v>
      </c>
      <c r="D20" s="3" t="str" cm="1">
        <f t="array" aca="1" ref="D20" ca="1">IFERROR(
 INDEX(
  _xlfn._xlws.FILTER($U$1:$AX$1,
   TRANSPOSE(
    CHOOSE({1;2;3;4;5;6;7;8;9;10;11;12;13;14;15;16;17;18;19;20;21;22;23;24;25;26;27;28;29;30},
     COUNTIFS($U$2:$U$200,$G20)&gt;0,
     COUNTIFS($V$2:$V$200,$G20)&gt;0,
     COUNTIFS($W$2:$W$200,$G20)&gt;0,
     COUNTIFS($X$2:$X$200,$G20)&gt;0,
     COUNTIFS($Y$2:$Y$200,$G20)&gt;0,
     COUNTIFS($Z$2:$Z$200,$G20)&gt;0,
     COUNTIFS($AA$2:$AA$200,$G20)&gt;0,
     COUNTIFS($AB$2:$AB$200,$G20)&gt;0,
     COUNTIFS($AC$2:$AC$200,$G20)&gt;0,
     COUNTIFS($AD$2:$AD$200,$G20)&gt;0,
     COUNTIFS($AE$2:$AE$200,$G20)&gt;0,
     COUNTIFS($AF$2:$AF$200,$G20)&gt;0,
     COUNTIFS($AG$2:$AG$200,$G20)&gt;0,
     COUNTIFS($AH$2:$AH$200,$G20)&gt;0,
     COUNTIFS($AI$2:$AI$200,$G20)&gt;0,
     COUNTIFS($AJ$2:$AJ$200,$G20)&gt;0,
     COUNTIFS($AK$2:$AK$200,$G20)&gt;0,
     COUNTIFS($AL$2:$AL$200,$G20)&gt;0,
     COUNTIFS($AM$2:$AM$200,$G20)&gt;0,
     COUNTIFS($AN$2:$AN$200,$G20)&gt;0,
     COUNTIFS($AO$2:$AO$200,$G20)&gt;0,
     COUNTIFS($AP$2:$AP$200,$G20)&gt;0,
     COUNTIFS($AQ$2:$AQ$200,$G20)&gt;0,
     COUNTIFS($AR$2:$AR$200,$G20)&gt;0,
     COUNTIFS($AS$2:$AS$200,$G20)&gt;0,
     COUNTIFS($AT$2:$AT$200,$G20)&gt;0,
     COUNTIFS($AU$2:$AU$200,$G20)&gt;0,
     COUNTIFS($AV$2:$AV$200,$G20)&gt;0,
     COUNTIFS($AW$2:$AW$200,$G20)&gt;0,
     COUNTIFS($AX$2:$AX$200,$G20)&gt;0
   )),
  ),
  2
 ),
"")</f>
        <v/>
      </c>
      <c r="E20" s="3" t="str" cm="1">
        <f t="array" aca="1" ref="E20" ca="1">IFERROR(
 INDEX(
  _xlfn._xlws.FILTER($U$1:$AX$1,
   TRANSPOSE(
    CHOOSE({1;2;3;4;5;6;7;8;9;10;11;12;13;14;15;16;17;18;19;20;21;22;23;24;25;26;27;28;29;30},
     COUNTIFS($U$2:$U$200,$G20)&gt;0,
     COUNTIFS($V$2:$V$200,$G20)&gt;0,
     COUNTIFS($W$2:$W$200,$G20)&gt;0,
     COUNTIFS($X$2:$X$200,$G20)&gt;0,
     COUNTIFS($Y$2:$Y$200,$G20)&gt;0,
     COUNTIFS($Z$2:$Z$200,$G20)&gt;0,
     COUNTIFS($AA$2:$AA$200,$G20)&gt;0,
     COUNTIFS($AB$2:$AB$200,$G20)&gt;0,
     COUNTIFS($AC$2:$AC$200,$G20)&gt;0,
     COUNTIFS($AD$2:$AD$200,$G20)&gt;0,
     COUNTIFS($AE$2:$AE$200,$G20)&gt;0,
     COUNTIFS($AF$2:$AF$200,$G20)&gt;0,
     COUNTIFS($AG$2:$AG$200,$G20)&gt;0,
     COUNTIFS($AH$2:$AH$200,$G20)&gt;0,
     COUNTIFS($AI$2:$AI$200,$G20)&gt;0,
     COUNTIFS($AJ$2:$AJ$200,$G20)&gt;0,
     COUNTIFS($AK$2:$AK$200,$G20)&gt;0,
     COUNTIFS($AL$2:$AL$200,$G20)&gt;0,
     COUNTIFS($AM$2:$AM$200,$G20)&gt;0,
     COUNTIFS($AN$2:$AN$200,$G20)&gt;0,
     COUNTIFS($AO$2:$AO$200,$G20)&gt;0,
     COUNTIFS($AP$2:$AP$200,$G20)&gt;0,
     COUNTIFS($AQ$2:$AQ$200,$G20)&gt;0,
     COUNTIFS($AR$2:$AR$200,$G20)&gt;0,
     COUNTIFS($AS$2:$AS$200,$G20)&gt;0,
     COUNTIFS($AT$2:$AT$200,$G20)&gt;0,
     COUNTIFS($AU$2:$AU$200,$G20)&gt;0,
     COUNTIFS($AV$2:$AV$200,$G20)&gt;0,
     COUNTIFS($AW$2:$AW$200,$G20)&gt;0,
     COUNTIFS($AX$2:$AX$200,$G20)&gt;0
   )),
  ),
  3
 ),
"")</f>
        <v/>
      </c>
      <c r="F20" s="3" t="str" cm="1">
        <f t="array" aca="1" ref="F20" ca="1">IFERROR(
 INDEX(
  _xlfn._xlws.FILTER($U$1:$AX$1,
   TRANSPOSE(
    CHOOSE({1;2;3;4;5;6;7;8;9;10;11;12;13;14;15;16;17;18;19;20;21;22;23;24;25;26;27;28;29;30},
     COUNTIFS($U$2:$U$200,$G20)&gt;0,
     COUNTIFS($V$2:$V$200,$G20)&gt;0,
     COUNTIFS($W$2:$W$200,$G20)&gt;0,
     COUNTIFS($X$2:$X$200,$G20)&gt;0,
     COUNTIFS($Y$2:$Y$200,$G20)&gt;0,
     COUNTIFS($Z$2:$Z$200,$G20)&gt;0,
     COUNTIFS($AA$2:$AA$200,$G20)&gt;0,
     COUNTIFS($AB$2:$AB$200,$G20)&gt;0,
     COUNTIFS($AC$2:$AC$200,$G20)&gt;0,
     COUNTIFS($AD$2:$AD$200,$G20)&gt;0,
     COUNTIFS($AE$2:$AE$200,$G20)&gt;0,
     COUNTIFS($AF$2:$AF$200,$G20)&gt;0,
     COUNTIFS($AG$2:$AG$200,$G20)&gt;0,
     COUNTIFS($AH$2:$AH$200,$G20)&gt;0,
     COUNTIFS($AI$2:$AI$200,$G20)&gt;0,
     COUNTIFS($AJ$2:$AJ$200,$G20)&gt;0,
     COUNTIFS($AK$2:$AK$200,$G20)&gt;0,
     COUNTIFS($AL$2:$AL$200,$G20)&gt;0,
     COUNTIFS($AM$2:$AM$200,$G20)&gt;0,
     COUNTIFS($AN$2:$AN$200,$G20)&gt;0,
     COUNTIFS($AO$2:$AO$200,$G20)&gt;0,
     COUNTIFS($AP$2:$AP$200,$G20)&gt;0,
     COUNTIFS($AQ$2:$AQ$200,$G20)&gt;0,
     COUNTIFS($AR$2:$AR$200,$G20)&gt;0,
     COUNTIFS($AS$2:$AS$200,$G20)&gt;0,
     COUNTIFS($AT$2:$AT$200,$G20)&gt;0,
     COUNTIFS($AU$2:$AU$200,$G20)&gt;0,
     COUNTIFS($AV$2:$AV$200,$G20)&gt;0,
     COUNTIFS($AW$2:$AW$200,$G20)&gt;0,
     COUNTIFS($AX$2:$AX$200,$G20)&gt;0
   )),
  ),
  4
 ),
"")</f>
        <v/>
      </c>
      <c r="G20" t="str">
        <f ca="1"/>
        <v>Arwen, Weaver of Hope</v>
      </c>
      <c r="I20" t="s">
        <v>9</v>
      </c>
      <c r="J20" s="3">
        <f>Elfos!G2</f>
        <v>9</v>
      </c>
      <c r="K20" s="3" t="s">
        <v>2057</v>
      </c>
      <c r="L20" s="3" t="s">
        <v>2056</v>
      </c>
      <c r="M20" s="3" t="s">
        <v>2057</v>
      </c>
      <c r="N20" s="3" t="s">
        <v>2056</v>
      </c>
      <c r="O20" s="3" t="s">
        <v>2056</v>
      </c>
      <c r="P20" s="3" t="s">
        <v>327</v>
      </c>
      <c r="Q20" s="3" t="s">
        <v>738</v>
      </c>
      <c r="R20" s="3" t="s">
        <v>2130</v>
      </c>
      <c r="S20" s="3" t="str">
        <f t="shared" si="2"/>
        <v>4</v>
      </c>
      <c r="V20" t="str">
        <v>Rogue's Passage</v>
      </c>
      <c r="W20" t="str">
        <v>Slash the Ranks</v>
      </c>
      <c r="X20" t="str">
        <v>Patrolling Peacemaker</v>
      </c>
      <c r="Z20" t="str">
        <v>Thought Vessel</v>
      </c>
      <c r="AA20" t="str">
        <v>Throne of the God-Pharaoh</v>
      </c>
      <c r="AX20" t="str">
        <v>High Market</v>
      </c>
      <c r="BB20" t="str">
        <f ca="1"/>
        <v>Jacked Rabbit</v>
      </c>
      <c r="BC20" t="str">
        <f ca="1"/>
        <v>Incubation Druid</v>
      </c>
      <c r="BD20" t="str">
        <f ca="1"/>
        <v>Havengul Laboratory</v>
      </c>
      <c r="BE20" t="str">
        <f ca="1"/>
        <v>Simic Charm</v>
      </c>
      <c r="BF20" t="str">
        <f ca="1"/>
        <v>Titania, Voice of Gaea</v>
      </c>
      <c r="BG20" t="str">
        <f ca="1"/>
        <v>Vontade Dominadora</v>
      </c>
      <c r="BH20" t="str">
        <f ca="1"/>
        <v>Temporal Trespass</v>
      </c>
      <c r="BI20" t="str">
        <f ca="1"/>
        <v>O Dínamo Peregrino</v>
      </c>
      <c r="BP20" t="str">
        <f ca="1"/>
        <v>High Market</v>
      </c>
      <c r="BS20" t="str">
        <f ca="1"/>
        <v>Devoted Druid</v>
      </c>
      <c r="BT20" t="str">
        <f ca="1"/>
        <v>Gallifrey Council Chamber</v>
      </c>
      <c r="BU20" t="str">
        <f ca="1"/>
        <v>Mistrise Village</v>
      </c>
      <c r="BV20" t="str">
        <f ca="1"/>
        <v>Glasspool Mimic</v>
      </c>
      <c r="BW20" t="str">
        <f ca="1"/>
        <v>Trioma de Indatha</v>
      </c>
      <c r="BX20" t="str">
        <f ca="1"/>
        <v>Scour for Scrap</v>
      </c>
      <c r="BZ20" t="str">
        <f ca="1"/>
        <v>High Market</v>
      </c>
      <c r="CB20" t="str">
        <f ca="1"/>
        <v>Cankerbloom</v>
      </c>
      <c r="CC20" t="str">
        <f ca="1"/>
        <v>Emrakul, um Novo Mundo</v>
      </c>
      <c r="CD20" t="str">
        <f ca="1"/>
        <v>Matoya, Archon Elder</v>
      </c>
      <c r="CE20" t="str">
        <f ca="1"/>
        <v>Gavony Township</v>
      </c>
      <c r="CG20" t="str">
        <f ca="1"/>
        <v>Bojuka Bog</v>
      </c>
      <c r="CH20" t="str">
        <f ca="1"/>
        <v>Dollmaker's Shop // Porcelain Gallery</v>
      </c>
      <c r="CJ20" t="str">
        <f ca="1"/>
        <v>Arwen, Weaver of Hope</v>
      </c>
    </row>
    <row r="21" spans="1:88" x14ac:dyDescent="0.25">
      <c r="A21" s="3" t="str">
        <f t="shared" ca="1" si="0"/>
        <v>3</v>
      </c>
      <c r="B21" s="3">
        <f t="shared" ca="1" si="1"/>
        <v>1</v>
      </c>
      <c r="C21" s="3" t="str">
        <f ca="1">IFERROR(
 INDEX($U$1:$AX$1,
  MATCH(TRUE,
   CHOOSE({1;2;3;4;5;6;7;8;9;10;11;12;13;14;15;16;17;18;19;20;21;22;23;24;25;26;27;28;29;30;31;32},
    COUNTIFS($U$2:$U$200,$G21)&gt;0,
    COUNTIFS($V$2:$V$200,$G21)&gt;0,
    COUNTIFS($W$2:$W$200,$G21)&gt;0,
    COUNTIFS($X$2:$X$200,$G21)&gt;0,
    COUNTIFS($Y$2:$Y$200,$G21)&gt;0,
    COUNTIFS($Z$2:$Z$200,$G21)&gt;0,
    COUNTIFS($AA$2:$AA$200,$G21)&gt;0,
    COUNTIFS($AB$2:$AB$200,$G21)&gt;0,
    COUNTIFS($AC$2:$AC$200,$G21)&gt;0,
    COUNTIFS($AD$2:$AD$200,$G21)&gt;0,
    COUNTIFS($AE$2:$AE$200,$G21)&gt;0,
    COUNTIFS($AF$2:$AF$200,$G21)&gt;0,
    COUNTIFS($AG$2:$AG$200,$G21)&gt;0,
    COUNTIFS($AH$2:$AH$200,$G21)&gt;0,
    COUNTIFS($AI$2:$AI$200,$G21)&gt;0,
    COUNTIFS($AJ$2:$AJ$200,$G21)&gt;0,
    COUNTIFS($AK$2:$AK$200,$G21)&gt;0,
    COUNTIFS($AL$2:$AL$200,$G21)&gt;0,
    COUNTIFS($AM$2:$AM$200,$G21)&gt;0,
    COUNTIFS($AN$2:$AN$200,$G21)&gt;0,
    COUNTIFS($AO$2:$AO$200,$G21)&gt;0,
    COUNTIFS($AP$2:$AP$200,$G21)&gt;0,
    COUNTIFS($AQ$2:$AQ$200,$G21)&gt;0,
    COUNTIFS($AR$2:$AR$200,$G21)&gt;0,
    COUNTIFS($AS$2:$AS$200,$G21)&gt;0,
    COUNTIFS($AT$2:$AT$200,$G21)&gt;0,
    COUNTIFS($AU$2:$AU$200,$G21)&gt;0,
    COUNTIFS($AV$2:$AV$200,$G21)&gt;0,
    COUNTIFS($AW$2:$AW$200,$G21)&gt;0,
    COUNTIFS($AX$2:$AX$200,$G21)&gt;0
   ),
  0)
 ),
"")</f>
        <v>Carlos</v>
      </c>
      <c r="D21" s="3" t="str" cm="1">
        <f t="array" aca="1" ref="D21" ca="1">IFERROR(
 INDEX(
  _xlfn._xlws.FILTER($U$1:$AX$1,
   TRANSPOSE(
    CHOOSE({1;2;3;4;5;6;7;8;9;10;11;12;13;14;15;16;17;18;19;20;21;22;23;24;25;26;27;28;29;30},
     COUNTIFS($U$2:$U$200,$G21)&gt;0,
     COUNTIFS($V$2:$V$200,$G21)&gt;0,
     COUNTIFS($W$2:$W$200,$G21)&gt;0,
     COUNTIFS($X$2:$X$200,$G21)&gt;0,
     COUNTIFS($Y$2:$Y$200,$G21)&gt;0,
     COUNTIFS($Z$2:$Z$200,$G21)&gt;0,
     COUNTIFS($AA$2:$AA$200,$G21)&gt;0,
     COUNTIFS($AB$2:$AB$200,$G21)&gt;0,
     COUNTIFS($AC$2:$AC$200,$G21)&gt;0,
     COUNTIFS($AD$2:$AD$200,$G21)&gt;0,
     COUNTIFS($AE$2:$AE$200,$G21)&gt;0,
     COUNTIFS($AF$2:$AF$200,$G21)&gt;0,
     COUNTIFS($AG$2:$AG$200,$G21)&gt;0,
     COUNTIFS($AH$2:$AH$200,$G21)&gt;0,
     COUNTIFS($AI$2:$AI$200,$G21)&gt;0,
     COUNTIFS($AJ$2:$AJ$200,$G21)&gt;0,
     COUNTIFS($AK$2:$AK$200,$G21)&gt;0,
     COUNTIFS($AL$2:$AL$200,$G21)&gt;0,
     COUNTIFS($AM$2:$AM$200,$G21)&gt;0,
     COUNTIFS($AN$2:$AN$200,$G21)&gt;0,
     COUNTIFS($AO$2:$AO$200,$G21)&gt;0,
     COUNTIFS($AP$2:$AP$200,$G21)&gt;0,
     COUNTIFS($AQ$2:$AQ$200,$G21)&gt;0,
     COUNTIFS($AR$2:$AR$200,$G21)&gt;0,
     COUNTIFS($AS$2:$AS$200,$G21)&gt;0,
     COUNTIFS($AT$2:$AT$200,$G21)&gt;0,
     COUNTIFS($AU$2:$AU$200,$G21)&gt;0,
     COUNTIFS($AV$2:$AV$200,$G21)&gt;0,
     COUNTIFS($AW$2:$AW$200,$G21)&gt;0,
     COUNTIFS($AX$2:$AX$200,$G21)&gt;0
   )),
  ),
  2
 ),
"")</f>
        <v/>
      </c>
      <c r="E21" s="3" t="str" cm="1">
        <f t="array" aca="1" ref="E21" ca="1">IFERROR(
 INDEX(
  _xlfn._xlws.FILTER($U$1:$AX$1,
   TRANSPOSE(
    CHOOSE({1;2;3;4;5;6;7;8;9;10;11;12;13;14;15;16;17;18;19;20;21;22;23;24;25;26;27;28;29;30},
     COUNTIFS($U$2:$U$200,$G21)&gt;0,
     COUNTIFS($V$2:$V$200,$G21)&gt;0,
     COUNTIFS($W$2:$W$200,$G21)&gt;0,
     COUNTIFS($X$2:$X$200,$G21)&gt;0,
     COUNTIFS($Y$2:$Y$200,$G21)&gt;0,
     COUNTIFS($Z$2:$Z$200,$G21)&gt;0,
     COUNTIFS($AA$2:$AA$200,$G21)&gt;0,
     COUNTIFS($AB$2:$AB$200,$G21)&gt;0,
     COUNTIFS($AC$2:$AC$200,$G21)&gt;0,
     COUNTIFS($AD$2:$AD$200,$G21)&gt;0,
     COUNTIFS($AE$2:$AE$200,$G21)&gt;0,
     COUNTIFS($AF$2:$AF$200,$G21)&gt;0,
     COUNTIFS($AG$2:$AG$200,$G21)&gt;0,
     COUNTIFS($AH$2:$AH$200,$G21)&gt;0,
     COUNTIFS($AI$2:$AI$200,$G21)&gt;0,
     COUNTIFS($AJ$2:$AJ$200,$G21)&gt;0,
     COUNTIFS($AK$2:$AK$200,$G21)&gt;0,
     COUNTIFS($AL$2:$AL$200,$G21)&gt;0,
     COUNTIFS($AM$2:$AM$200,$G21)&gt;0,
     COUNTIFS($AN$2:$AN$200,$G21)&gt;0,
     COUNTIFS($AO$2:$AO$200,$G21)&gt;0,
     COUNTIFS($AP$2:$AP$200,$G21)&gt;0,
     COUNTIFS($AQ$2:$AQ$200,$G21)&gt;0,
     COUNTIFS($AR$2:$AR$200,$G21)&gt;0,
     COUNTIFS($AS$2:$AS$200,$G21)&gt;0,
     COUNTIFS($AT$2:$AT$200,$G21)&gt;0,
     COUNTIFS($AU$2:$AU$200,$G21)&gt;0,
     COUNTIFS($AV$2:$AV$200,$G21)&gt;0,
     COUNTIFS($AW$2:$AW$200,$G21)&gt;0,
     COUNTIFS($AX$2:$AX$200,$G21)&gt;0
   )),
  ),
  3
 ),
"")</f>
        <v/>
      </c>
      <c r="F21" s="3" t="str" cm="1">
        <f t="array" aca="1" ref="F21" ca="1">IFERROR(
 INDEX(
  _xlfn._xlws.FILTER($U$1:$AX$1,
   TRANSPOSE(
    CHOOSE({1;2;3;4;5;6;7;8;9;10;11;12;13;14;15;16;17;18;19;20;21;22;23;24;25;26;27;28;29;30},
     COUNTIFS($U$2:$U$200,$G21)&gt;0,
     COUNTIFS($V$2:$V$200,$G21)&gt;0,
     COUNTIFS($W$2:$W$200,$G21)&gt;0,
     COUNTIFS($X$2:$X$200,$G21)&gt;0,
     COUNTIFS($Y$2:$Y$200,$G21)&gt;0,
     COUNTIFS($Z$2:$Z$200,$G21)&gt;0,
     COUNTIFS($AA$2:$AA$200,$G21)&gt;0,
     COUNTIFS($AB$2:$AB$200,$G21)&gt;0,
     COUNTIFS($AC$2:$AC$200,$G21)&gt;0,
     COUNTIFS($AD$2:$AD$200,$G21)&gt;0,
     COUNTIFS($AE$2:$AE$200,$G21)&gt;0,
     COUNTIFS($AF$2:$AF$200,$G21)&gt;0,
     COUNTIFS($AG$2:$AG$200,$G21)&gt;0,
     COUNTIFS($AH$2:$AH$200,$G21)&gt;0,
     COUNTIFS($AI$2:$AI$200,$G21)&gt;0,
     COUNTIFS($AJ$2:$AJ$200,$G21)&gt;0,
     COUNTIFS($AK$2:$AK$200,$G21)&gt;0,
     COUNTIFS($AL$2:$AL$200,$G21)&gt;0,
     COUNTIFS($AM$2:$AM$200,$G21)&gt;0,
     COUNTIFS($AN$2:$AN$200,$G21)&gt;0,
     COUNTIFS($AO$2:$AO$200,$G21)&gt;0,
     COUNTIFS($AP$2:$AP$200,$G21)&gt;0,
     COUNTIFS($AQ$2:$AQ$200,$G21)&gt;0,
     COUNTIFS($AR$2:$AR$200,$G21)&gt;0,
     COUNTIFS($AS$2:$AS$200,$G21)&gt;0,
     COUNTIFS($AT$2:$AT$200,$G21)&gt;0,
     COUNTIFS($AU$2:$AU$200,$G21)&gt;0,
     COUNTIFS($AV$2:$AV$200,$G21)&gt;0,
     COUNTIFS($AW$2:$AW$200,$G21)&gt;0,
     COUNTIFS($AX$2:$AX$200,$G21)&gt;0
   )),
  ),
  4
 ),
"")</f>
        <v/>
      </c>
      <c r="G21" t="str">
        <f ca="1"/>
        <v>Ascensão do Avernus</v>
      </c>
      <c r="I21" t="s">
        <v>10</v>
      </c>
      <c r="J21" s="3">
        <f>Jhoira!G2</f>
        <v>5</v>
      </c>
      <c r="K21" s="3" t="s">
        <v>2057</v>
      </c>
      <c r="L21" s="3" t="s">
        <v>2056</v>
      </c>
      <c r="M21" s="3" t="s">
        <v>2056</v>
      </c>
      <c r="N21" s="3" t="s">
        <v>2057</v>
      </c>
      <c r="O21" s="3" t="s">
        <v>2057</v>
      </c>
      <c r="P21" s="3" t="s">
        <v>327</v>
      </c>
      <c r="Q21" s="3" t="s">
        <v>738</v>
      </c>
      <c r="R21" s="3" t="s">
        <v>2121</v>
      </c>
      <c r="S21" s="3" t="str">
        <f t="shared" si="2"/>
        <v>5</v>
      </c>
      <c r="V21" t="str">
        <v>Second Harvest</v>
      </c>
      <c r="W21" t="str">
        <v>Slayers' Stronghold</v>
      </c>
      <c r="X21" t="str">
        <v>Protection Magic</v>
      </c>
      <c r="Z21" t="str">
        <v>Trenzalore Clocktower</v>
      </c>
      <c r="AA21" t="str">
        <v>Tishana, Voice of Thunder</v>
      </c>
      <c r="AX21" t="str">
        <v>Inkmoth Nexus</v>
      </c>
      <c r="BB21" t="str">
        <f ca="1"/>
        <v>Jetmir, Nexus of Revels</v>
      </c>
      <c r="BC21" t="str">
        <f ca="1"/>
        <v>Irenicus's Vile Duplication</v>
      </c>
      <c r="BD21" t="str">
        <f ca="1"/>
        <v>Hierofante de Elenda</v>
      </c>
      <c r="BE21" t="str">
        <f ca="1"/>
        <v>Singer of Swift Rivers</v>
      </c>
      <c r="BF21" t="str">
        <f ca="1"/>
        <v>Ulamog, o Profanador</v>
      </c>
      <c r="BG21" t="str">
        <f ca="1"/>
        <v>Watery Grave</v>
      </c>
      <c r="BH21" t="str">
        <f ca="1"/>
        <v>Valfenda</v>
      </c>
      <c r="BI21" t="str">
        <f ca="1"/>
        <v>Oko, Thief of Crowns</v>
      </c>
      <c r="BP21" t="str">
        <f ca="1"/>
        <v>Inkmoth Nexus</v>
      </c>
      <c r="BS21" t="str">
        <f ca="1"/>
        <v>Emberwilde Captain</v>
      </c>
      <c r="BT21" t="str">
        <f ca="1"/>
        <v>Ghoulish Impetus</v>
      </c>
      <c r="BU21" t="str">
        <f ca="1"/>
        <v>Mox Tantalite</v>
      </c>
      <c r="BV21" t="str">
        <f ca="1"/>
        <v>Jitte Perdida</v>
      </c>
      <c r="BW21" t="str">
        <f ca="1"/>
        <v>Trioma de Raugrin</v>
      </c>
      <c r="BX21" t="str">
        <f ca="1"/>
        <v>Season of Weaving</v>
      </c>
      <c r="BZ21" t="str">
        <f ca="1"/>
        <v>Inkmoth Nexus</v>
      </c>
      <c r="CB21" t="str">
        <f ca="1"/>
        <v>Canopy Vista</v>
      </c>
      <c r="CC21" t="str">
        <f ca="1"/>
        <v>Entomb</v>
      </c>
      <c r="CD21" t="str">
        <f ca="1"/>
        <v>Mistrise Village</v>
      </c>
      <c r="CE21" t="str">
        <f ca="1"/>
        <v>Great Furnace</v>
      </c>
      <c r="CG21" t="str">
        <f ca="1"/>
        <v>Boros Charm</v>
      </c>
      <c r="CH21" t="str">
        <f ca="1"/>
        <v>Duty Beyond Death</v>
      </c>
      <c r="CJ21" t="str">
        <f ca="1"/>
        <v>Ascensão do Avernus</v>
      </c>
    </row>
    <row r="22" spans="1:88" x14ac:dyDescent="0.25">
      <c r="A22" s="3" t="str">
        <f t="shared" ca="1" si="0"/>
        <v>2</v>
      </c>
      <c r="B22" s="3">
        <f t="shared" ca="1" si="1"/>
        <v>1</v>
      </c>
      <c r="C22" s="3" t="str">
        <f ca="1">IFERROR(
 INDEX($U$1:$AX$1,
  MATCH(TRUE,
   CHOOSE({1;2;3;4;5;6;7;8;9;10;11;12;13;14;15;16;17;18;19;20;21;22;23;24;25;26;27;28;29;30;31;32},
    COUNTIFS($U$2:$U$200,$G22)&gt;0,
    COUNTIFS($V$2:$V$200,$G22)&gt;0,
    COUNTIFS($W$2:$W$200,$G22)&gt;0,
    COUNTIFS($X$2:$X$200,$G22)&gt;0,
    COUNTIFS($Y$2:$Y$200,$G22)&gt;0,
    COUNTIFS($Z$2:$Z$200,$G22)&gt;0,
    COUNTIFS($AA$2:$AA$200,$G22)&gt;0,
    COUNTIFS($AB$2:$AB$200,$G22)&gt;0,
    COUNTIFS($AC$2:$AC$200,$G22)&gt;0,
    COUNTIFS($AD$2:$AD$200,$G22)&gt;0,
    COUNTIFS($AE$2:$AE$200,$G22)&gt;0,
    COUNTIFS($AF$2:$AF$200,$G22)&gt;0,
    COUNTIFS($AG$2:$AG$200,$G22)&gt;0,
    COUNTIFS($AH$2:$AH$200,$G22)&gt;0,
    COUNTIFS($AI$2:$AI$200,$G22)&gt;0,
    COUNTIFS($AJ$2:$AJ$200,$G22)&gt;0,
    COUNTIFS($AK$2:$AK$200,$G22)&gt;0,
    COUNTIFS($AL$2:$AL$200,$G22)&gt;0,
    COUNTIFS($AM$2:$AM$200,$G22)&gt;0,
    COUNTIFS($AN$2:$AN$200,$G22)&gt;0,
    COUNTIFS($AO$2:$AO$200,$G22)&gt;0,
    COUNTIFS($AP$2:$AP$200,$G22)&gt;0,
    COUNTIFS($AQ$2:$AQ$200,$G22)&gt;0,
    COUNTIFS($AR$2:$AR$200,$G22)&gt;0,
    COUNTIFS($AS$2:$AS$200,$G22)&gt;0,
    COUNTIFS($AT$2:$AT$200,$G22)&gt;0,
    COUNTIFS($AU$2:$AU$200,$G22)&gt;0,
    COUNTIFS($AV$2:$AV$200,$G22)&gt;0,
    COUNTIFS($AW$2:$AW$200,$G22)&gt;0,
    COUNTIFS($AX$2:$AX$200,$G22)&gt;0
   ),
  0)
 ),
"")</f>
        <v>Baylen</v>
      </c>
      <c r="D22" s="3" t="str" cm="1">
        <f t="array" aca="1" ref="D22" ca="1">IFERROR(
 INDEX(
  _xlfn._xlws.FILTER($U$1:$AX$1,
   TRANSPOSE(
    CHOOSE({1;2;3;4;5;6;7;8;9;10;11;12;13;14;15;16;17;18;19;20;21;22;23;24;25;26;27;28;29;30},
     COUNTIFS($U$2:$U$200,$G22)&gt;0,
     COUNTIFS($V$2:$V$200,$G22)&gt;0,
     COUNTIFS($W$2:$W$200,$G22)&gt;0,
     COUNTIFS($X$2:$X$200,$G22)&gt;0,
     COUNTIFS($Y$2:$Y$200,$G22)&gt;0,
     COUNTIFS($Z$2:$Z$200,$G22)&gt;0,
     COUNTIFS($AA$2:$AA$200,$G22)&gt;0,
     COUNTIFS($AB$2:$AB$200,$G22)&gt;0,
     COUNTIFS($AC$2:$AC$200,$G22)&gt;0,
     COUNTIFS($AD$2:$AD$200,$G22)&gt;0,
     COUNTIFS($AE$2:$AE$200,$G22)&gt;0,
     COUNTIFS($AF$2:$AF$200,$G22)&gt;0,
     COUNTIFS($AG$2:$AG$200,$G22)&gt;0,
     COUNTIFS($AH$2:$AH$200,$G22)&gt;0,
     COUNTIFS($AI$2:$AI$200,$G22)&gt;0,
     COUNTIFS($AJ$2:$AJ$200,$G22)&gt;0,
     COUNTIFS($AK$2:$AK$200,$G22)&gt;0,
     COUNTIFS($AL$2:$AL$200,$G22)&gt;0,
     COUNTIFS($AM$2:$AM$200,$G22)&gt;0,
     COUNTIFS($AN$2:$AN$200,$G22)&gt;0,
     COUNTIFS($AO$2:$AO$200,$G22)&gt;0,
     COUNTIFS($AP$2:$AP$200,$G22)&gt;0,
     COUNTIFS($AQ$2:$AQ$200,$G22)&gt;0,
     COUNTIFS($AR$2:$AR$200,$G22)&gt;0,
     COUNTIFS($AS$2:$AS$200,$G22)&gt;0,
     COUNTIFS($AT$2:$AT$200,$G22)&gt;0,
     COUNTIFS($AU$2:$AU$200,$G22)&gt;0,
     COUNTIFS($AV$2:$AV$200,$G22)&gt;0,
     COUNTIFS($AW$2:$AW$200,$G22)&gt;0,
     COUNTIFS($AX$2:$AX$200,$G22)&gt;0
   )),
  ),
  2
 ),
"")</f>
        <v/>
      </c>
      <c r="E22" s="3" t="str" cm="1">
        <f t="array" aca="1" ref="E22" ca="1">IFERROR(
 INDEX(
  _xlfn._xlws.FILTER($U$1:$AX$1,
   TRANSPOSE(
    CHOOSE({1;2;3;4;5;6;7;8;9;10;11;12;13;14;15;16;17;18;19;20;21;22;23;24;25;26;27;28;29;30},
     COUNTIFS($U$2:$U$200,$G22)&gt;0,
     COUNTIFS($V$2:$V$200,$G22)&gt;0,
     COUNTIFS($W$2:$W$200,$G22)&gt;0,
     COUNTIFS($X$2:$X$200,$G22)&gt;0,
     COUNTIFS($Y$2:$Y$200,$G22)&gt;0,
     COUNTIFS($Z$2:$Z$200,$G22)&gt;0,
     COUNTIFS($AA$2:$AA$200,$G22)&gt;0,
     COUNTIFS($AB$2:$AB$200,$G22)&gt;0,
     COUNTIFS($AC$2:$AC$200,$G22)&gt;0,
     COUNTIFS($AD$2:$AD$200,$G22)&gt;0,
     COUNTIFS($AE$2:$AE$200,$G22)&gt;0,
     COUNTIFS($AF$2:$AF$200,$G22)&gt;0,
     COUNTIFS($AG$2:$AG$200,$G22)&gt;0,
     COUNTIFS($AH$2:$AH$200,$G22)&gt;0,
     COUNTIFS($AI$2:$AI$200,$G22)&gt;0,
     COUNTIFS($AJ$2:$AJ$200,$G22)&gt;0,
     COUNTIFS($AK$2:$AK$200,$G22)&gt;0,
     COUNTIFS($AL$2:$AL$200,$G22)&gt;0,
     COUNTIFS($AM$2:$AM$200,$G22)&gt;0,
     COUNTIFS($AN$2:$AN$200,$G22)&gt;0,
     COUNTIFS($AO$2:$AO$200,$G22)&gt;0,
     COUNTIFS($AP$2:$AP$200,$G22)&gt;0,
     COUNTIFS($AQ$2:$AQ$200,$G22)&gt;0,
     COUNTIFS($AR$2:$AR$200,$G22)&gt;0,
     COUNTIFS($AS$2:$AS$200,$G22)&gt;0,
     COUNTIFS($AT$2:$AT$200,$G22)&gt;0,
     COUNTIFS($AU$2:$AU$200,$G22)&gt;0,
     COUNTIFS($AV$2:$AV$200,$G22)&gt;0,
     COUNTIFS($AW$2:$AW$200,$G22)&gt;0,
     COUNTIFS($AX$2:$AX$200,$G22)&gt;0
   )),
  ),
  3
 ),
"")</f>
        <v/>
      </c>
      <c r="F22" s="3" t="str" cm="1">
        <f t="array" aca="1" ref="F22" ca="1">IFERROR(
 INDEX(
  _xlfn._xlws.FILTER($U$1:$AX$1,
   TRANSPOSE(
    CHOOSE({1;2;3;4;5;6;7;8;9;10;11;12;13;14;15;16;17;18;19;20;21;22;23;24;25;26;27;28;29;30},
     COUNTIFS($U$2:$U$200,$G22)&gt;0,
     COUNTIFS($V$2:$V$200,$G22)&gt;0,
     COUNTIFS($W$2:$W$200,$G22)&gt;0,
     COUNTIFS($X$2:$X$200,$G22)&gt;0,
     COUNTIFS($Y$2:$Y$200,$G22)&gt;0,
     COUNTIFS($Z$2:$Z$200,$G22)&gt;0,
     COUNTIFS($AA$2:$AA$200,$G22)&gt;0,
     COUNTIFS($AB$2:$AB$200,$G22)&gt;0,
     COUNTIFS($AC$2:$AC$200,$G22)&gt;0,
     COUNTIFS($AD$2:$AD$200,$G22)&gt;0,
     COUNTIFS($AE$2:$AE$200,$G22)&gt;0,
     COUNTIFS($AF$2:$AF$200,$G22)&gt;0,
     COUNTIFS($AG$2:$AG$200,$G22)&gt;0,
     COUNTIFS($AH$2:$AH$200,$G22)&gt;0,
     COUNTIFS($AI$2:$AI$200,$G22)&gt;0,
     COUNTIFS($AJ$2:$AJ$200,$G22)&gt;0,
     COUNTIFS($AK$2:$AK$200,$G22)&gt;0,
     COUNTIFS($AL$2:$AL$200,$G22)&gt;0,
     COUNTIFS($AM$2:$AM$200,$G22)&gt;0,
     COUNTIFS($AN$2:$AN$200,$G22)&gt;0,
     COUNTIFS($AO$2:$AO$200,$G22)&gt;0,
     COUNTIFS($AP$2:$AP$200,$G22)&gt;0,
     COUNTIFS($AQ$2:$AQ$200,$G22)&gt;0,
     COUNTIFS($AR$2:$AR$200,$G22)&gt;0,
     COUNTIFS($AS$2:$AS$200,$G22)&gt;0,
     COUNTIFS($AT$2:$AT$200,$G22)&gt;0,
     COUNTIFS($AU$2:$AU$200,$G22)&gt;0,
     COUNTIFS($AV$2:$AV$200,$G22)&gt;0,
     COUNTIFS($AW$2:$AW$200,$G22)&gt;0,
     COUNTIFS($AX$2:$AX$200,$G22)&gt;0
   )),
  ),
  4
 ),
"")</f>
        <v/>
      </c>
      <c r="G22" t="str">
        <f ca="1"/>
        <v>Aura Mutation</v>
      </c>
      <c r="I22" t="s">
        <v>11</v>
      </c>
      <c r="J22" s="3">
        <f>Fractius!G2</f>
        <v>8</v>
      </c>
      <c r="K22" s="3" t="s">
        <v>2056</v>
      </c>
      <c r="L22" s="3" t="s">
        <v>2056</v>
      </c>
      <c r="M22" s="3" t="s">
        <v>2056</v>
      </c>
      <c r="N22" s="3" t="s">
        <v>2056</v>
      </c>
      <c r="O22" s="3" t="s">
        <v>2056</v>
      </c>
      <c r="P22" s="3" t="s">
        <v>738</v>
      </c>
      <c r="Q22" s="3" t="s">
        <v>2107</v>
      </c>
      <c r="R22" s="3" t="s">
        <v>2131</v>
      </c>
      <c r="S22" s="3" t="str">
        <f t="shared" si="2"/>
        <v>4</v>
      </c>
      <c r="V22" t="str">
        <v>Seedborn Muse</v>
      </c>
      <c r="W22" t="str">
        <v>Smuggler's Share</v>
      </c>
      <c r="X22" t="str">
        <v>Resourceful Defense</v>
      </c>
      <c r="Z22" t="str">
        <v>Xantcha, Agente Adormecida</v>
      </c>
      <c r="AA22" t="str">
        <v>Vanquisher's Banner</v>
      </c>
      <c r="AX22" t="str">
        <v>Karn's Bastion</v>
      </c>
      <c r="BB22" t="str">
        <f ca="1"/>
        <v>Karplusan Forest</v>
      </c>
      <c r="BC22" t="str">
        <f ca="1"/>
        <v>Jidoor, Aristocratic Capital // Overture</v>
      </c>
      <c r="BD22" t="str">
        <f ca="1"/>
        <v>Keen Duelist</v>
      </c>
      <c r="BE22" t="str">
        <f ca="1"/>
        <v>Sol Ring</v>
      </c>
      <c r="BF22" t="str">
        <f ca="1"/>
        <v>Ulamog, the Infinite Gyre</v>
      </c>
      <c r="BH22" t="str">
        <f ca="1"/>
        <v>Warren Soultrader</v>
      </c>
      <c r="BI22" t="str">
        <f ca="1"/>
        <v>Ripples of Potential</v>
      </c>
      <c r="BP22" t="str">
        <f ca="1"/>
        <v>Karn's Bastion</v>
      </c>
      <c r="BS22" t="str">
        <f ca="1"/>
        <v>Exalted Sunborn</v>
      </c>
      <c r="BT22" t="str">
        <f ca="1"/>
        <v>Giver of Runes</v>
      </c>
      <c r="BU22" t="str">
        <f ca="1"/>
        <v>Petrified Field</v>
      </c>
      <c r="BV22" t="str">
        <f ca="1"/>
        <v>Karn Liberated</v>
      </c>
      <c r="BW22" t="str">
        <f ca="1"/>
        <v>Trioma de Zagoth</v>
      </c>
      <c r="BX22" t="str">
        <f ca="1"/>
        <v>Serenata das Estriges</v>
      </c>
      <c r="BZ22" t="str">
        <f ca="1"/>
        <v>Karn's Bastion</v>
      </c>
      <c r="CB22" t="str">
        <f ca="1"/>
        <v>Castle Ardenvale</v>
      </c>
      <c r="CC22" t="str">
        <f ca="1"/>
        <v>Espada da Riqueza e do Poder</v>
      </c>
      <c r="CD22" t="str">
        <f ca="1"/>
        <v>Nibelheim Aflame</v>
      </c>
      <c r="CE22" t="str">
        <f ca="1"/>
        <v>Haru, Hidden Talent</v>
      </c>
      <c r="CG22" t="str">
        <f ca="1"/>
        <v>Bothersome Quasit</v>
      </c>
      <c r="CH22" t="str">
        <f ca="1"/>
        <v>Earth Rumble</v>
      </c>
      <c r="CJ22" t="str">
        <f ca="1"/>
        <v>Aura Mutation</v>
      </c>
    </row>
    <row r="23" spans="1:88" x14ac:dyDescent="0.25">
      <c r="A23" s="3" t="str">
        <f t="shared" ca="1" si="0"/>
        <v>3</v>
      </c>
      <c r="B23" s="3">
        <f t="shared" ca="1" si="1"/>
        <v>1</v>
      </c>
      <c r="C23" s="3" t="str">
        <f ca="1">IFERROR(
 INDEX($U$1:$AX$1,
  MATCH(TRUE,
   CHOOSE({1;2;3;4;5;6;7;8;9;10;11;12;13;14;15;16;17;18;19;20;21;22;23;24;25;26;27;28;29;30;31;32},
    COUNTIFS($U$2:$U$200,$G23)&gt;0,
    COUNTIFS($V$2:$V$200,$G23)&gt;0,
    COUNTIFS($W$2:$W$200,$G23)&gt;0,
    COUNTIFS($X$2:$X$200,$G23)&gt;0,
    COUNTIFS($Y$2:$Y$200,$G23)&gt;0,
    COUNTIFS($Z$2:$Z$200,$G23)&gt;0,
    COUNTIFS($AA$2:$AA$200,$G23)&gt;0,
    COUNTIFS($AB$2:$AB$200,$G23)&gt;0,
    COUNTIFS($AC$2:$AC$200,$G23)&gt;0,
    COUNTIFS($AD$2:$AD$200,$G23)&gt;0,
    COUNTIFS($AE$2:$AE$200,$G23)&gt;0,
    COUNTIFS($AF$2:$AF$200,$G23)&gt;0,
    COUNTIFS($AG$2:$AG$200,$G23)&gt;0,
    COUNTIFS($AH$2:$AH$200,$G23)&gt;0,
    COUNTIFS($AI$2:$AI$200,$G23)&gt;0,
    COUNTIFS($AJ$2:$AJ$200,$G23)&gt;0,
    COUNTIFS($AK$2:$AK$200,$G23)&gt;0,
    COUNTIFS($AL$2:$AL$200,$G23)&gt;0,
    COUNTIFS($AM$2:$AM$200,$G23)&gt;0,
    COUNTIFS($AN$2:$AN$200,$G23)&gt;0,
    COUNTIFS($AO$2:$AO$200,$G23)&gt;0,
    COUNTIFS($AP$2:$AP$200,$G23)&gt;0,
    COUNTIFS($AQ$2:$AQ$200,$G23)&gt;0,
    COUNTIFS($AR$2:$AR$200,$G23)&gt;0,
    COUNTIFS($AS$2:$AS$200,$G23)&gt;0,
    COUNTIFS($AT$2:$AT$200,$G23)&gt;0,
    COUNTIFS($AU$2:$AU$200,$G23)&gt;0,
    COUNTIFS($AV$2:$AV$200,$G23)&gt;0,
    COUNTIFS($AW$2:$AW$200,$G23)&gt;0,
    COUNTIFS($AX$2:$AX$200,$G23)&gt;0
   ),
  0)
 ),
"")</f>
        <v>Carlos</v>
      </c>
      <c r="D23" s="3" t="str" cm="1">
        <f t="array" aca="1" ref="D23" ca="1">IFERROR(
 INDEX(
  _xlfn._xlws.FILTER($U$1:$AX$1,
   TRANSPOSE(
    CHOOSE({1;2;3;4;5;6;7;8;9;10;11;12;13;14;15;16;17;18;19;20;21;22;23;24;25;26;27;28;29;30},
     COUNTIFS($U$2:$U$200,$G23)&gt;0,
     COUNTIFS($V$2:$V$200,$G23)&gt;0,
     COUNTIFS($W$2:$W$200,$G23)&gt;0,
     COUNTIFS($X$2:$X$200,$G23)&gt;0,
     COUNTIFS($Y$2:$Y$200,$G23)&gt;0,
     COUNTIFS($Z$2:$Z$200,$G23)&gt;0,
     COUNTIFS($AA$2:$AA$200,$G23)&gt;0,
     COUNTIFS($AB$2:$AB$200,$G23)&gt;0,
     COUNTIFS($AC$2:$AC$200,$G23)&gt;0,
     COUNTIFS($AD$2:$AD$200,$G23)&gt;0,
     COUNTIFS($AE$2:$AE$200,$G23)&gt;0,
     COUNTIFS($AF$2:$AF$200,$G23)&gt;0,
     COUNTIFS($AG$2:$AG$200,$G23)&gt;0,
     COUNTIFS($AH$2:$AH$200,$G23)&gt;0,
     COUNTIFS($AI$2:$AI$200,$G23)&gt;0,
     COUNTIFS($AJ$2:$AJ$200,$G23)&gt;0,
     COUNTIFS($AK$2:$AK$200,$G23)&gt;0,
     COUNTIFS($AL$2:$AL$200,$G23)&gt;0,
     COUNTIFS($AM$2:$AM$200,$G23)&gt;0,
     COUNTIFS($AN$2:$AN$200,$G23)&gt;0,
     COUNTIFS($AO$2:$AO$200,$G23)&gt;0,
     COUNTIFS($AP$2:$AP$200,$G23)&gt;0,
     COUNTIFS($AQ$2:$AQ$200,$G23)&gt;0,
     COUNTIFS($AR$2:$AR$200,$G23)&gt;0,
     COUNTIFS($AS$2:$AS$200,$G23)&gt;0,
     COUNTIFS($AT$2:$AT$200,$G23)&gt;0,
     COUNTIFS($AU$2:$AU$200,$G23)&gt;0,
     COUNTIFS($AV$2:$AV$200,$G23)&gt;0,
     COUNTIFS($AW$2:$AW$200,$G23)&gt;0,
     COUNTIFS($AX$2:$AX$200,$G23)&gt;0
   )),
  ),
  2
 ),
"")</f>
        <v/>
      </c>
      <c r="E23" s="3" t="str" cm="1">
        <f t="array" aca="1" ref="E23" ca="1">IFERROR(
 INDEX(
  _xlfn._xlws.FILTER($U$1:$AX$1,
   TRANSPOSE(
    CHOOSE({1;2;3;4;5;6;7;8;9;10;11;12;13;14;15;16;17;18;19;20;21;22;23;24;25;26;27;28;29;30},
     COUNTIFS($U$2:$U$200,$G23)&gt;0,
     COUNTIFS($V$2:$V$200,$G23)&gt;0,
     COUNTIFS($W$2:$W$200,$G23)&gt;0,
     COUNTIFS($X$2:$X$200,$G23)&gt;0,
     COUNTIFS($Y$2:$Y$200,$G23)&gt;0,
     COUNTIFS($Z$2:$Z$200,$G23)&gt;0,
     COUNTIFS($AA$2:$AA$200,$G23)&gt;0,
     COUNTIFS($AB$2:$AB$200,$G23)&gt;0,
     COUNTIFS($AC$2:$AC$200,$G23)&gt;0,
     COUNTIFS($AD$2:$AD$200,$G23)&gt;0,
     COUNTIFS($AE$2:$AE$200,$G23)&gt;0,
     COUNTIFS($AF$2:$AF$200,$G23)&gt;0,
     COUNTIFS($AG$2:$AG$200,$G23)&gt;0,
     COUNTIFS($AH$2:$AH$200,$G23)&gt;0,
     COUNTIFS($AI$2:$AI$200,$G23)&gt;0,
     COUNTIFS($AJ$2:$AJ$200,$G23)&gt;0,
     COUNTIFS($AK$2:$AK$200,$G23)&gt;0,
     COUNTIFS($AL$2:$AL$200,$G23)&gt;0,
     COUNTIFS($AM$2:$AM$200,$G23)&gt;0,
     COUNTIFS($AN$2:$AN$200,$G23)&gt;0,
     COUNTIFS($AO$2:$AO$200,$G23)&gt;0,
     COUNTIFS($AP$2:$AP$200,$G23)&gt;0,
     COUNTIFS($AQ$2:$AQ$200,$G23)&gt;0,
     COUNTIFS($AR$2:$AR$200,$G23)&gt;0,
     COUNTIFS($AS$2:$AS$200,$G23)&gt;0,
     COUNTIFS($AT$2:$AT$200,$G23)&gt;0,
     COUNTIFS($AU$2:$AU$200,$G23)&gt;0,
     COUNTIFS($AV$2:$AV$200,$G23)&gt;0,
     COUNTIFS($AW$2:$AW$200,$G23)&gt;0,
     COUNTIFS($AX$2:$AX$200,$G23)&gt;0
   )),
  ),
  3
 ),
"")</f>
        <v/>
      </c>
      <c r="F23" s="3" t="str" cm="1">
        <f t="array" aca="1" ref="F23" ca="1">IFERROR(
 INDEX(
  _xlfn._xlws.FILTER($U$1:$AX$1,
   TRANSPOSE(
    CHOOSE({1;2;3;4;5;6;7;8;9;10;11;12;13;14;15;16;17;18;19;20;21;22;23;24;25;26;27;28;29;30},
     COUNTIFS($U$2:$U$200,$G23)&gt;0,
     COUNTIFS($V$2:$V$200,$G23)&gt;0,
     COUNTIFS($W$2:$W$200,$G23)&gt;0,
     COUNTIFS($X$2:$X$200,$G23)&gt;0,
     COUNTIFS($Y$2:$Y$200,$G23)&gt;0,
     COUNTIFS($Z$2:$Z$200,$G23)&gt;0,
     COUNTIFS($AA$2:$AA$200,$G23)&gt;0,
     COUNTIFS($AB$2:$AB$200,$G23)&gt;0,
     COUNTIFS($AC$2:$AC$200,$G23)&gt;0,
     COUNTIFS($AD$2:$AD$200,$G23)&gt;0,
     COUNTIFS($AE$2:$AE$200,$G23)&gt;0,
     COUNTIFS($AF$2:$AF$200,$G23)&gt;0,
     COUNTIFS($AG$2:$AG$200,$G23)&gt;0,
     COUNTIFS($AH$2:$AH$200,$G23)&gt;0,
     COUNTIFS($AI$2:$AI$200,$G23)&gt;0,
     COUNTIFS($AJ$2:$AJ$200,$G23)&gt;0,
     COUNTIFS($AK$2:$AK$200,$G23)&gt;0,
     COUNTIFS($AL$2:$AL$200,$G23)&gt;0,
     COUNTIFS($AM$2:$AM$200,$G23)&gt;0,
     COUNTIFS($AN$2:$AN$200,$G23)&gt;0,
     COUNTIFS($AO$2:$AO$200,$G23)&gt;0,
     COUNTIFS($AP$2:$AP$200,$G23)&gt;0,
     COUNTIFS($AQ$2:$AQ$200,$G23)&gt;0,
     COUNTIFS($AR$2:$AR$200,$G23)&gt;0,
     COUNTIFS($AS$2:$AS$200,$G23)&gt;0,
     COUNTIFS($AT$2:$AT$200,$G23)&gt;0,
     COUNTIFS($AU$2:$AU$200,$G23)&gt;0,
     COUNTIFS($AV$2:$AV$200,$G23)&gt;0,
     COUNTIFS($AW$2:$AW$200,$G23)&gt;0,
     COUNTIFS($AX$2:$AX$200,$G23)&gt;0
   )),
  ),
  4
 ),
"")</f>
        <v/>
      </c>
      <c r="G23" t="str">
        <f ca="1"/>
        <v>Autoridade dos Cônsules</v>
      </c>
      <c r="I23" t="s">
        <v>13</v>
      </c>
      <c r="J23" s="3">
        <f>Rielle!G2</f>
        <v>7</v>
      </c>
      <c r="K23" s="3" t="s">
        <v>2057</v>
      </c>
      <c r="L23" s="3" t="s">
        <v>2056</v>
      </c>
      <c r="M23" s="3" t="s">
        <v>2056</v>
      </c>
      <c r="N23" s="3" t="s">
        <v>2057</v>
      </c>
      <c r="O23" s="3" t="s">
        <v>2057</v>
      </c>
      <c r="P23" s="3" t="s">
        <v>2107</v>
      </c>
      <c r="Q23" s="3" t="s">
        <v>2111</v>
      </c>
      <c r="R23" s="3" t="s">
        <v>2132</v>
      </c>
      <c r="S23" s="3" t="str">
        <f t="shared" si="2"/>
        <v>4</v>
      </c>
      <c r="V23" t="str">
        <v>Sunscorched Divide</v>
      </c>
      <c r="W23" t="str">
        <v>Sokenzan, Crucible of Defiance</v>
      </c>
      <c r="X23" t="str">
        <v>Reyhan, Last of the Abzan</v>
      </c>
      <c r="AX23" t="str">
        <v>Kodama of the West Tree</v>
      </c>
      <c r="BB23" t="str">
        <f ca="1"/>
        <v>Lightning Greaves</v>
      </c>
      <c r="BC23" t="str">
        <f ca="1"/>
        <v>Khorvath's Fury</v>
      </c>
      <c r="BD23" t="str">
        <f ca="1"/>
        <v>Life of the Party</v>
      </c>
      <c r="BE23" t="str">
        <f ca="1"/>
        <v>Sothera, the Supervoid</v>
      </c>
      <c r="BF23" t="str">
        <f ca="1"/>
        <v>Ulamog's Dreadsire</v>
      </c>
      <c r="BH23" t="str">
        <f ca="1"/>
        <v>Watery Grave</v>
      </c>
      <c r="BI23" t="str">
        <f ca="1"/>
        <v>Stoneforge Mystic</v>
      </c>
      <c r="BP23" t="str">
        <f ca="1"/>
        <v>Kodama of the West Tree</v>
      </c>
      <c r="BS23" t="str">
        <f ca="1"/>
        <v>Fabled Passage</v>
      </c>
      <c r="BT23" t="str">
        <f ca="1"/>
        <v>Grave Pact</v>
      </c>
      <c r="BU23" t="str">
        <f ca="1"/>
        <v>Phyrexian Tower</v>
      </c>
      <c r="BV23" t="str">
        <f ca="1"/>
        <v>Kaya the Inexorable</v>
      </c>
      <c r="BW23" t="str">
        <f ca="1"/>
        <v>Ulamog, o Profanador</v>
      </c>
      <c r="BX23" t="str">
        <f ca="1"/>
        <v>Sokenzan, Crisol da Afronta</v>
      </c>
      <c r="BZ23" t="str">
        <f ca="1"/>
        <v>Kodama of the West Tree</v>
      </c>
      <c r="CB23" t="str">
        <f ca="1"/>
        <v>Champion of Lambholt</v>
      </c>
      <c r="CC23" t="str">
        <f ca="1"/>
        <v>Espada de Banquete e Fome</v>
      </c>
      <c r="CD23" t="str">
        <f ca="1"/>
        <v>Nissa, Resurgent Animist</v>
      </c>
      <c r="CE23" t="str">
        <f ca="1"/>
        <v>Haywire Mite</v>
      </c>
      <c r="CG23" t="str">
        <f ca="1"/>
        <v>Broadside Bombardiers</v>
      </c>
      <c r="CH23" t="str">
        <f ca="1"/>
        <v>Earthbending Student</v>
      </c>
      <c r="CJ23" t="str">
        <f ca="1"/>
        <v>Autoridade dos Cônsules</v>
      </c>
    </row>
    <row r="24" spans="1:88" x14ac:dyDescent="0.25">
      <c r="A24" s="3" t="str">
        <f t="shared" ca="1" si="0"/>
        <v>2</v>
      </c>
      <c r="B24" s="3">
        <f t="shared" ca="1" si="1"/>
        <v>1</v>
      </c>
      <c r="C24" s="3" t="str">
        <f ca="1">IFERROR(
 INDEX($U$1:$AX$1,
  MATCH(TRUE,
   CHOOSE({1;2;3;4;5;6;7;8;9;10;11;12;13;14;15;16;17;18;19;20;21;22;23;24;25;26;27;28;29;30;31;32},
    COUNTIFS($U$2:$U$200,$G24)&gt;0,
    COUNTIFS($V$2:$V$200,$G24)&gt;0,
    COUNTIFS($W$2:$W$200,$G24)&gt;0,
    COUNTIFS($X$2:$X$200,$G24)&gt;0,
    COUNTIFS($Y$2:$Y$200,$G24)&gt;0,
    COUNTIFS($Z$2:$Z$200,$G24)&gt;0,
    COUNTIFS($AA$2:$AA$200,$G24)&gt;0,
    COUNTIFS($AB$2:$AB$200,$G24)&gt;0,
    COUNTIFS($AC$2:$AC$200,$G24)&gt;0,
    COUNTIFS($AD$2:$AD$200,$G24)&gt;0,
    COUNTIFS($AE$2:$AE$200,$G24)&gt;0,
    COUNTIFS($AF$2:$AF$200,$G24)&gt;0,
    COUNTIFS($AG$2:$AG$200,$G24)&gt;0,
    COUNTIFS($AH$2:$AH$200,$G24)&gt;0,
    COUNTIFS($AI$2:$AI$200,$G24)&gt;0,
    COUNTIFS($AJ$2:$AJ$200,$G24)&gt;0,
    COUNTIFS($AK$2:$AK$200,$G24)&gt;0,
    COUNTIFS($AL$2:$AL$200,$G24)&gt;0,
    COUNTIFS($AM$2:$AM$200,$G24)&gt;0,
    COUNTIFS($AN$2:$AN$200,$G24)&gt;0,
    COUNTIFS($AO$2:$AO$200,$G24)&gt;0,
    COUNTIFS($AP$2:$AP$200,$G24)&gt;0,
    COUNTIFS($AQ$2:$AQ$200,$G24)&gt;0,
    COUNTIFS($AR$2:$AR$200,$G24)&gt;0,
    COUNTIFS($AS$2:$AS$200,$G24)&gt;0,
    COUNTIFS($AT$2:$AT$200,$G24)&gt;0,
    COUNTIFS($AU$2:$AU$200,$G24)&gt;0,
    COUNTIFS($AV$2:$AV$200,$G24)&gt;0,
    COUNTIFS($AW$2:$AW$200,$G24)&gt;0,
    COUNTIFS($AX$2:$AX$200,$G24)&gt;0
   ),
  0)
 ),
"")</f>
        <v>Piratas</v>
      </c>
      <c r="D24" s="3" t="str" cm="1">
        <f t="array" aca="1" ref="D24" ca="1">IFERROR(
 INDEX(
  _xlfn._xlws.FILTER($U$1:$AX$1,
   TRANSPOSE(
    CHOOSE({1;2;3;4;5;6;7;8;9;10;11;12;13;14;15;16;17;18;19;20;21;22;23;24;25;26;27;28;29;30},
     COUNTIFS($U$2:$U$200,$G24)&gt;0,
     COUNTIFS($V$2:$V$200,$G24)&gt;0,
     COUNTIFS($W$2:$W$200,$G24)&gt;0,
     COUNTIFS($X$2:$X$200,$G24)&gt;0,
     COUNTIFS($Y$2:$Y$200,$G24)&gt;0,
     COUNTIFS($Z$2:$Z$200,$G24)&gt;0,
     COUNTIFS($AA$2:$AA$200,$G24)&gt;0,
     COUNTIFS($AB$2:$AB$200,$G24)&gt;0,
     COUNTIFS($AC$2:$AC$200,$G24)&gt;0,
     COUNTIFS($AD$2:$AD$200,$G24)&gt;0,
     COUNTIFS($AE$2:$AE$200,$G24)&gt;0,
     COUNTIFS($AF$2:$AF$200,$G24)&gt;0,
     COUNTIFS($AG$2:$AG$200,$G24)&gt;0,
     COUNTIFS($AH$2:$AH$200,$G24)&gt;0,
     COUNTIFS($AI$2:$AI$200,$G24)&gt;0,
     COUNTIFS($AJ$2:$AJ$200,$G24)&gt;0,
     COUNTIFS($AK$2:$AK$200,$G24)&gt;0,
     COUNTIFS($AL$2:$AL$200,$G24)&gt;0,
     COUNTIFS($AM$2:$AM$200,$G24)&gt;0,
     COUNTIFS($AN$2:$AN$200,$G24)&gt;0,
     COUNTIFS($AO$2:$AO$200,$G24)&gt;0,
     COUNTIFS($AP$2:$AP$200,$G24)&gt;0,
     COUNTIFS($AQ$2:$AQ$200,$G24)&gt;0,
     COUNTIFS($AR$2:$AR$200,$G24)&gt;0,
     COUNTIFS($AS$2:$AS$200,$G24)&gt;0,
     COUNTIFS($AT$2:$AT$200,$G24)&gt;0,
     COUNTIFS($AU$2:$AU$200,$G24)&gt;0,
     COUNTIFS($AV$2:$AV$200,$G24)&gt;0,
     COUNTIFS($AW$2:$AW$200,$G24)&gt;0,
     COUNTIFS($AX$2:$AX$200,$G24)&gt;0
   )),
  ),
  2
 ),
"")</f>
        <v/>
      </c>
      <c r="E24" s="3" t="str" cm="1">
        <f t="array" aca="1" ref="E24" ca="1">IFERROR(
 INDEX(
  _xlfn._xlws.FILTER($U$1:$AX$1,
   TRANSPOSE(
    CHOOSE({1;2;3;4;5;6;7;8;9;10;11;12;13;14;15;16;17;18;19;20;21;22;23;24;25;26;27;28;29;30},
     COUNTIFS($U$2:$U$200,$G24)&gt;0,
     COUNTIFS($V$2:$V$200,$G24)&gt;0,
     COUNTIFS($W$2:$W$200,$G24)&gt;0,
     COUNTIFS($X$2:$X$200,$G24)&gt;0,
     COUNTIFS($Y$2:$Y$200,$G24)&gt;0,
     COUNTIFS($Z$2:$Z$200,$G24)&gt;0,
     COUNTIFS($AA$2:$AA$200,$G24)&gt;0,
     COUNTIFS($AB$2:$AB$200,$G24)&gt;0,
     COUNTIFS($AC$2:$AC$200,$G24)&gt;0,
     COUNTIFS($AD$2:$AD$200,$G24)&gt;0,
     COUNTIFS($AE$2:$AE$200,$G24)&gt;0,
     COUNTIFS($AF$2:$AF$200,$G24)&gt;0,
     COUNTIFS($AG$2:$AG$200,$G24)&gt;0,
     COUNTIFS($AH$2:$AH$200,$G24)&gt;0,
     COUNTIFS($AI$2:$AI$200,$G24)&gt;0,
     COUNTIFS($AJ$2:$AJ$200,$G24)&gt;0,
     COUNTIFS($AK$2:$AK$200,$G24)&gt;0,
     COUNTIFS($AL$2:$AL$200,$G24)&gt;0,
     COUNTIFS($AM$2:$AM$200,$G24)&gt;0,
     COUNTIFS($AN$2:$AN$200,$G24)&gt;0,
     COUNTIFS($AO$2:$AO$200,$G24)&gt;0,
     COUNTIFS($AP$2:$AP$200,$G24)&gt;0,
     COUNTIFS($AQ$2:$AQ$200,$G24)&gt;0,
     COUNTIFS($AR$2:$AR$200,$G24)&gt;0,
     COUNTIFS($AS$2:$AS$200,$G24)&gt;0,
     COUNTIFS($AT$2:$AT$200,$G24)&gt;0,
     COUNTIFS($AU$2:$AU$200,$G24)&gt;0,
     COUNTIFS($AV$2:$AV$200,$G24)&gt;0,
     COUNTIFS($AW$2:$AW$200,$G24)&gt;0,
     COUNTIFS($AX$2:$AX$200,$G24)&gt;0
   )),
  ),
  3
 ),
"")</f>
        <v/>
      </c>
      <c r="F24" s="3" t="str" cm="1">
        <f t="array" aca="1" ref="F24" ca="1">IFERROR(
 INDEX(
  _xlfn._xlws.FILTER($U$1:$AX$1,
   TRANSPOSE(
    CHOOSE({1;2;3;4;5;6;7;8;9;10;11;12;13;14;15;16;17;18;19;20;21;22;23;24;25;26;27;28;29;30},
     COUNTIFS($U$2:$U$200,$G24)&gt;0,
     COUNTIFS($V$2:$V$200,$G24)&gt;0,
     COUNTIFS($W$2:$W$200,$G24)&gt;0,
     COUNTIFS($X$2:$X$200,$G24)&gt;0,
     COUNTIFS($Y$2:$Y$200,$G24)&gt;0,
     COUNTIFS($Z$2:$Z$200,$G24)&gt;0,
     COUNTIFS($AA$2:$AA$200,$G24)&gt;0,
     COUNTIFS($AB$2:$AB$200,$G24)&gt;0,
     COUNTIFS($AC$2:$AC$200,$G24)&gt;0,
     COUNTIFS($AD$2:$AD$200,$G24)&gt;0,
     COUNTIFS($AE$2:$AE$200,$G24)&gt;0,
     COUNTIFS($AF$2:$AF$200,$G24)&gt;0,
     COUNTIFS($AG$2:$AG$200,$G24)&gt;0,
     COUNTIFS($AH$2:$AH$200,$G24)&gt;0,
     COUNTIFS($AI$2:$AI$200,$G24)&gt;0,
     COUNTIFS($AJ$2:$AJ$200,$G24)&gt;0,
     COUNTIFS($AK$2:$AK$200,$G24)&gt;0,
     COUNTIFS($AL$2:$AL$200,$G24)&gt;0,
     COUNTIFS($AM$2:$AM$200,$G24)&gt;0,
     COUNTIFS($AN$2:$AN$200,$G24)&gt;0,
     COUNTIFS($AO$2:$AO$200,$G24)&gt;0,
     COUNTIFS($AP$2:$AP$200,$G24)&gt;0,
     COUNTIFS($AQ$2:$AQ$200,$G24)&gt;0,
     COUNTIFS($AR$2:$AR$200,$G24)&gt;0,
     COUNTIFS($AS$2:$AS$200,$G24)&gt;0,
     COUNTIFS($AT$2:$AT$200,$G24)&gt;0,
     COUNTIFS($AU$2:$AU$200,$G24)&gt;0,
     COUNTIFS($AV$2:$AV$200,$G24)&gt;0,
     COUNTIFS($AW$2:$AW$200,$G24)&gt;0,
     COUNTIFS($AX$2:$AX$200,$G24)&gt;0
   )),
  ),
  4
 ),
"")</f>
        <v/>
      </c>
      <c r="G24" t="str">
        <f ca="1"/>
        <v>Back in Town</v>
      </c>
      <c r="I24" t="s">
        <v>20</v>
      </c>
      <c r="J24" s="3">
        <f>Oona!G2</f>
        <v>7</v>
      </c>
      <c r="K24" s="3" t="s">
        <v>2057</v>
      </c>
      <c r="L24" s="3" t="s">
        <v>2056</v>
      </c>
      <c r="M24" s="3" t="s">
        <v>2057</v>
      </c>
      <c r="N24" s="3" t="s">
        <v>2056</v>
      </c>
      <c r="O24" s="3" t="s">
        <v>2057</v>
      </c>
      <c r="P24" s="3" t="s">
        <v>183</v>
      </c>
      <c r="Q24" s="3" t="s">
        <v>738</v>
      </c>
      <c r="R24" s="3" t="s">
        <v>2113</v>
      </c>
      <c r="S24" s="3" t="str">
        <f t="shared" si="2"/>
        <v>4</v>
      </c>
      <c r="V24" t="str">
        <v>Teferi's Protection</v>
      </c>
      <c r="W24" t="str">
        <v>Sol Ring</v>
      </c>
      <c r="X24" t="str">
        <v>Shelinda, Yevon Acolyte</v>
      </c>
      <c r="AX24" t="str">
        <v>Lithoform Engine</v>
      </c>
      <c r="BB24" t="str">
        <f ca="1"/>
        <v>Marcha dos Canonizados</v>
      </c>
      <c r="BC24" t="str">
        <f ca="1"/>
        <v>Kutzil, Malamet Exemplar</v>
      </c>
      <c r="BD24" t="str">
        <f ca="1"/>
        <v>Mother of runes</v>
      </c>
      <c r="BE24" t="str">
        <f ca="1"/>
        <v>Stonybrook Banneret</v>
      </c>
      <c r="BF24" t="str">
        <f ca="1"/>
        <v>Valfenda</v>
      </c>
      <c r="BI24" t="str">
        <f ca="1"/>
        <v>Vronos, Masked Inquisitor</v>
      </c>
      <c r="BP24" t="str">
        <f ca="1"/>
        <v>Lithoform Engine</v>
      </c>
      <c r="BS24" t="str">
        <f ca="1"/>
        <v>Farmer Cotton</v>
      </c>
      <c r="BT24" t="str">
        <f ca="1"/>
        <v>Guia das Almas</v>
      </c>
      <c r="BU24" t="str">
        <f ca="1"/>
        <v>Polluted Delta</v>
      </c>
      <c r="BV24" t="str">
        <f ca="1"/>
        <v>Kellan, the Fae-Blooded // Birthright Boon</v>
      </c>
      <c r="BW24" t="str">
        <f ca="1"/>
        <v>Uthros, Titanic Godcore</v>
      </c>
      <c r="BX24" t="str">
        <f ca="1"/>
        <v>Sonic Screwdriver</v>
      </c>
      <c r="BZ24" t="str">
        <f ca="1"/>
        <v>Lithoform Engine</v>
      </c>
      <c r="CB24" t="str">
        <f ca="1"/>
        <v>Champions from Beyond</v>
      </c>
      <c r="CC24" t="str">
        <f ca="1"/>
        <v>Espada de Fogo e Gelo</v>
      </c>
      <c r="CD24" t="str">
        <f ca="1"/>
        <v>Obelisco de Obsidiana</v>
      </c>
      <c r="CE24" t="str">
        <f ca="1"/>
        <v>High Market</v>
      </c>
      <c r="CG24" t="str">
        <f ca="1"/>
        <v>Brushland</v>
      </c>
      <c r="CH24" t="str">
        <f ca="1"/>
        <v>Elvish Reclaimer</v>
      </c>
      <c r="CJ24" t="str">
        <f ca="1"/>
        <v>Back in Town</v>
      </c>
    </row>
    <row r="25" spans="1:88" x14ac:dyDescent="0.25">
      <c r="A25" s="3" t="str">
        <f t="shared" ca="1" si="0"/>
        <v>1</v>
      </c>
      <c r="B25" s="3">
        <f t="shared" ca="1" si="1"/>
        <v>1</v>
      </c>
      <c r="C25" s="3" t="str">
        <f ca="1">IFERROR(
 INDEX($U$1:$AX$1,
  MATCH(TRUE,
   CHOOSE({1;2;3;4;5;6;7;8;9;10;11;12;13;14;15;16;17;18;19;20;21;22;23;24;25;26;27;28;29;30;31;32},
    COUNTIFS($U$2:$U$200,$G25)&gt;0,
    COUNTIFS($V$2:$V$200,$G25)&gt;0,
    COUNTIFS($W$2:$W$200,$G25)&gt;0,
    COUNTIFS($X$2:$X$200,$G25)&gt;0,
    COUNTIFS($Y$2:$Y$200,$G25)&gt;0,
    COUNTIFS($Z$2:$Z$200,$G25)&gt;0,
    COUNTIFS($AA$2:$AA$200,$G25)&gt;0,
    COUNTIFS($AB$2:$AB$200,$G25)&gt;0,
    COUNTIFS($AC$2:$AC$200,$G25)&gt;0,
    COUNTIFS($AD$2:$AD$200,$G25)&gt;0,
    COUNTIFS($AE$2:$AE$200,$G25)&gt;0,
    COUNTIFS($AF$2:$AF$200,$G25)&gt;0,
    COUNTIFS($AG$2:$AG$200,$G25)&gt;0,
    COUNTIFS($AH$2:$AH$200,$G25)&gt;0,
    COUNTIFS($AI$2:$AI$200,$G25)&gt;0,
    COUNTIFS($AJ$2:$AJ$200,$G25)&gt;0,
    COUNTIFS($AK$2:$AK$200,$G25)&gt;0,
    COUNTIFS($AL$2:$AL$200,$G25)&gt;0,
    COUNTIFS($AM$2:$AM$200,$G25)&gt;0,
    COUNTIFS($AN$2:$AN$200,$G25)&gt;0,
    COUNTIFS($AO$2:$AO$200,$G25)&gt;0,
    COUNTIFS($AP$2:$AP$200,$G25)&gt;0,
    COUNTIFS($AQ$2:$AQ$200,$G25)&gt;0,
    COUNTIFS($AR$2:$AR$200,$G25)&gt;0,
    COUNTIFS($AS$2:$AS$200,$G25)&gt;0,
    COUNTIFS($AT$2:$AT$200,$G25)&gt;0,
    COUNTIFS($AU$2:$AU$200,$G25)&gt;0,
    COUNTIFS($AV$2:$AV$200,$G25)&gt;0,
    COUNTIFS($AW$2:$AW$200,$G25)&gt;0,
    COUNTIFS($AX$2:$AX$200,$G25)&gt;0
   ),
  0)
 ),
"")</f>
        <v>Modular</v>
      </c>
      <c r="D25" s="3" t="str" cm="1">
        <f t="array" aca="1" ref="D25" ca="1">IFERROR(
 INDEX(
  _xlfn._xlws.FILTER($U$1:$AX$1,
   TRANSPOSE(
    CHOOSE({1;2;3;4;5;6;7;8;9;10;11;12;13;14;15;16;17;18;19;20;21;22;23;24;25;26;27;28;29;30},
     COUNTIFS($U$2:$U$200,$G25)&gt;0,
     COUNTIFS($V$2:$V$200,$G25)&gt;0,
     COUNTIFS($W$2:$W$200,$G25)&gt;0,
     COUNTIFS($X$2:$X$200,$G25)&gt;0,
     COUNTIFS($Y$2:$Y$200,$G25)&gt;0,
     COUNTIFS($Z$2:$Z$200,$G25)&gt;0,
     COUNTIFS($AA$2:$AA$200,$G25)&gt;0,
     COUNTIFS($AB$2:$AB$200,$G25)&gt;0,
     COUNTIFS($AC$2:$AC$200,$G25)&gt;0,
     COUNTIFS($AD$2:$AD$200,$G25)&gt;0,
     COUNTIFS($AE$2:$AE$200,$G25)&gt;0,
     COUNTIFS($AF$2:$AF$200,$G25)&gt;0,
     COUNTIFS($AG$2:$AG$200,$G25)&gt;0,
     COUNTIFS($AH$2:$AH$200,$G25)&gt;0,
     COUNTIFS($AI$2:$AI$200,$G25)&gt;0,
     COUNTIFS($AJ$2:$AJ$200,$G25)&gt;0,
     COUNTIFS($AK$2:$AK$200,$G25)&gt;0,
     COUNTIFS($AL$2:$AL$200,$G25)&gt;0,
     COUNTIFS($AM$2:$AM$200,$G25)&gt;0,
     COUNTIFS($AN$2:$AN$200,$G25)&gt;0,
     COUNTIFS($AO$2:$AO$200,$G25)&gt;0,
     COUNTIFS($AP$2:$AP$200,$G25)&gt;0,
     COUNTIFS($AQ$2:$AQ$200,$G25)&gt;0,
     COUNTIFS($AR$2:$AR$200,$G25)&gt;0,
     COUNTIFS($AS$2:$AS$200,$G25)&gt;0,
     COUNTIFS($AT$2:$AT$200,$G25)&gt;0,
     COUNTIFS($AU$2:$AU$200,$G25)&gt;0,
     COUNTIFS($AV$2:$AV$200,$G25)&gt;0,
     COUNTIFS($AW$2:$AW$200,$G25)&gt;0,
     COUNTIFS($AX$2:$AX$200,$G25)&gt;0
   )),
  ),
  2
 ),
"")</f>
        <v/>
      </c>
      <c r="E25" s="3" t="str" cm="1">
        <f t="array" aca="1" ref="E25" ca="1">IFERROR(
 INDEX(
  _xlfn._xlws.FILTER($U$1:$AX$1,
   TRANSPOSE(
    CHOOSE({1;2;3;4;5;6;7;8;9;10;11;12;13;14;15;16;17;18;19;20;21;22;23;24;25;26;27;28;29;30},
     COUNTIFS($U$2:$U$200,$G25)&gt;0,
     COUNTIFS($V$2:$V$200,$G25)&gt;0,
     COUNTIFS($W$2:$W$200,$G25)&gt;0,
     COUNTIFS($X$2:$X$200,$G25)&gt;0,
     COUNTIFS($Y$2:$Y$200,$G25)&gt;0,
     COUNTIFS($Z$2:$Z$200,$G25)&gt;0,
     COUNTIFS($AA$2:$AA$200,$G25)&gt;0,
     COUNTIFS($AB$2:$AB$200,$G25)&gt;0,
     COUNTIFS($AC$2:$AC$200,$G25)&gt;0,
     COUNTIFS($AD$2:$AD$200,$G25)&gt;0,
     COUNTIFS($AE$2:$AE$200,$G25)&gt;0,
     COUNTIFS($AF$2:$AF$200,$G25)&gt;0,
     COUNTIFS($AG$2:$AG$200,$G25)&gt;0,
     COUNTIFS($AH$2:$AH$200,$G25)&gt;0,
     COUNTIFS($AI$2:$AI$200,$G25)&gt;0,
     COUNTIFS($AJ$2:$AJ$200,$G25)&gt;0,
     COUNTIFS($AK$2:$AK$200,$G25)&gt;0,
     COUNTIFS($AL$2:$AL$200,$G25)&gt;0,
     COUNTIFS($AM$2:$AM$200,$G25)&gt;0,
     COUNTIFS($AN$2:$AN$200,$G25)&gt;0,
     COUNTIFS($AO$2:$AO$200,$G25)&gt;0,
     COUNTIFS($AP$2:$AP$200,$G25)&gt;0,
     COUNTIFS($AQ$2:$AQ$200,$G25)&gt;0,
     COUNTIFS($AR$2:$AR$200,$G25)&gt;0,
     COUNTIFS($AS$2:$AS$200,$G25)&gt;0,
     COUNTIFS($AT$2:$AT$200,$G25)&gt;0,
     COUNTIFS($AU$2:$AU$200,$G25)&gt;0,
     COUNTIFS($AV$2:$AV$200,$G25)&gt;0,
     COUNTIFS($AW$2:$AW$200,$G25)&gt;0,
     COUNTIFS($AX$2:$AX$200,$G25)&gt;0
   )),
  ),
  3
 ),
"")</f>
        <v/>
      </c>
      <c r="F25" s="3" t="str" cm="1">
        <f t="array" aca="1" ref="F25" ca="1">IFERROR(
 INDEX(
  _xlfn._xlws.FILTER($U$1:$AX$1,
   TRANSPOSE(
    CHOOSE({1;2;3;4;5;6;7;8;9;10;11;12;13;14;15;16;17;18;19;20;21;22;23;24;25;26;27;28;29;30},
     COUNTIFS($U$2:$U$200,$G25)&gt;0,
     COUNTIFS($V$2:$V$200,$G25)&gt;0,
     COUNTIFS($W$2:$W$200,$G25)&gt;0,
     COUNTIFS($X$2:$X$200,$G25)&gt;0,
     COUNTIFS($Y$2:$Y$200,$G25)&gt;0,
     COUNTIFS($Z$2:$Z$200,$G25)&gt;0,
     COUNTIFS($AA$2:$AA$200,$G25)&gt;0,
     COUNTIFS($AB$2:$AB$200,$G25)&gt;0,
     COUNTIFS($AC$2:$AC$200,$G25)&gt;0,
     COUNTIFS($AD$2:$AD$200,$G25)&gt;0,
     COUNTIFS($AE$2:$AE$200,$G25)&gt;0,
     COUNTIFS($AF$2:$AF$200,$G25)&gt;0,
     COUNTIFS($AG$2:$AG$200,$G25)&gt;0,
     COUNTIFS($AH$2:$AH$200,$G25)&gt;0,
     COUNTIFS($AI$2:$AI$200,$G25)&gt;0,
     COUNTIFS($AJ$2:$AJ$200,$G25)&gt;0,
     COUNTIFS($AK$2:$AK$200,$G25)&gt;0,
     COUNTIFS($AL$2:$AL$200,$G25)&gt;0,
     COUNTIFS($AM$2:$AM$200,$G25)&gt;0,
     COUNTIFS($AN$2:$AN$200,$G25)&gt;0,
     COUNTIFS($AO$2:$AO$200,$G25)&gt;0,
     COUNTIFS($AP$2:$AP$200,$G25)&gt;0,
     COUNTIFS($AQ$2:$AQ$200,$G25)&gt;0,
     COUNTIFS($AR$2:$AR$200,$G25)&gt;0,
     COUNTIFS($AS$2:$AS$200,$G25)&gt;0,
     COUNTIFS($AT$2:$AT$200,$G25)&gt;0,
     COUNTIFS($AU$2:$AU$200,$G25)&gt;0,
     COUNTIFS($AV$2:$AV$200,$G25)&gt;0,
     COUNTIFS($AW$2:$AW$200,$G25)&gt;0,
     COUNTIFS($AX$2:$AX$200,$G25)&gt;0
   )),
  ),
  4
 ),
"")</f>
        <v/>
      </c>
      <c r="G25" t="str">
        <f ca="1"/>
        <v>Badgermole</v>
      </c>
      <c r="I25" t="s">
        <v>21</v>
      </c>
      <c r="J25" s="3">
        <f>Kresh!G2</f>
        <v>9</v>
      </c>
      <c r="K25" s="3" t="s">
        <v>2057</v>
      </c>
      <c r="L25" s="3" t="s">
        <v>2057</v>
      </c>
      <c r="M25" s="3" t="s">
        <v>2056</v>
      </c>
      <c r="N25" s="3" t="s">
        <v>2056</v>
      </c>
      <c r="O25" s="3" t="s">
        <v>2056</v>
      </c>
      <c r="P25" s="3" t="s">
        <v>2107</v>
      </c>
      <c r="Q25" s="3" t="s">
        <v>2111</v>
      </c>
      <c r="R25" s="3" t="s">
        <v>2132</v>
      </c>
      <c r="S25" s="3" t="str">
        <f t="shared" si="2"/>
        <v>4</v>
      </c>
      <c r="V25" t="str">
        <v>The Shire</v>
      </c>
      <c r="W25" t="str">
        <v>Spectator Seating</v>
      </c>
      <c r="X25" t="str">
        <v>Song of Freyalise</v>
      </c>
      <c r="AX25" t="str">
        <v>Lotus Field</v>
      </c>
      <c r="BB25" t="str">
        <f ca="1"/>
        <v>Mines of Moria</v>
      </c>
      <c r="BC25" t="str">
        <f ca="1"/>
        <v>Lae'zel, Vlaakith's Champion</v>
      </c>
      <c r="BD25" t="str">
        <f ca="1"/>
        <v>Reliquary Tower</v>
      </c>
      <c r="BE25" t="str">
        <f ca="1"/>
        <v>Summon: Leviathan</v>
      </c>
      <c r="BP25" t="str">
        <f ca="1"/>
        <v>Lotus Field</v>
      </c>
      <c r="BS25" t="str">
        <f ca="1"/>
        <v>Farseek</v>
      </c>
      <c r="BT25" t="str">
        <f ca="1"/>
        <v>Harvest Season</v>
      </c>
      <c r="BU25" t="str">
        <f ca="1"/>
        <v>Portal to Phyrexia</v>
      </c>
      <c r="BV25" t="str">
        <f ca="1"/>
        <v>Lightning Greaves</v>
      </c>
      <c r="BW25" t="str">
        <f ca="1"/>
        <v>Valfenda</v>
      </c>
      <c r="BX25" t="str">
        <f ca="1"/>
        <v>The Masamune</v>
      </c>
      <c r="BZ25" t="str">
        <f ca="1"/>
        <v>Lotus Field</v>
      </c>
      <c r="CB25" t="str">
        <f ca="1"/>
        <v>Clifftop Retreat</v>
      </c>
      <c r="CC25" t="str">
        <f ca="1"/>
        <v>Espada de Luz e Sombra</v>
      </c>
      <c r="CD25" t="str">
        <f ca="1"/>
        <v>Ojer Pakpatiq, Era Profunda</v>
      </c>
      <c r="CE25" t="str">
        <f ca="1"/>
        <v>Homeward Path</v>
      </c>
      <c r="CG25" t="str">
        <f ca="1"/>
        <v>Burnt Offering</v>
      </c>
      <c r="CH25" t="str">
        <f ca="1"/>
        <v>Emergency Eject</v>
      </c>
      <c r="CJ25" t="str">
        <f ca="1"/>
        <v>Badgermole</v>
      </c>
    </row>
    <row r="26" spans="1:88" x14ac:dyDescent="0.25">
      <c r="A26" s="3" t="str">
        <f t="shared" ca="1" si="0"/>
        <v>4</v>
      </c>
      <c r="B26" s="3">
        <f t="shared" ca="1" si="1"/>
        <v>1</v>
      </c>
      <c r="C26" s="3" t="str">
        <f ca="1">IFERROR(
 INDEX($U$1:$AX$1,
  MATCH(TRUE,
   CHOOSE({1;2;3;4;5;6;7;8;9;10;11;12;13;14;15;16;17;18;19;20;21;22;23;24;25;26;27;28;29;30;31;32},
    COUNTIFS($U$2:$U$200,$G26)&gt;0,
    COUNTIFS($V$2:$V$200,$G26)&gt;0,
    COUNTIFS($W$2:$W$200,$G26)&gt;0,
    COUNTIFS($X$2:$X$200,$G26)&gt;0,
    COUNTIFS($Y$2:$Y$200,$G26)&gt;0,
    COUNTIFS($Z$2:$Z$200,$G26)&gt;0,
    COUNTIFS($AA$2:$AA$200,$G26)&gt;0,
    COUNTIFS($AB$2:$AB$200,$G26)&gt;0,
    COUNTIFS($AC$2:$AC$200,$G26)&gt;0,
    COUNTIFS($AD$2:$AD$200,$G26)&gt;0,
    COUNTIFS($AE$2:$AE$200,$G26)&gt;0,
    COUNTIFS($AF$2:$AF$200,$G26)&gt;0,
    COUNTIFS($AG$2:$AG$200,$G26)&gt;0,
    COUNTIFS($AH$2:$AH$200,$G26)&gt;0,
    COUNTIFS($AI$2:$AI$200,$G26)&gt;0,
    COUNTIFS($AJ$2:$AJ$200,$G26)&gt;0,
    COUNTIFS($AK$2:$AK$200,$G26)&gt;0,
    COUNTIFS($AL$2:$AL$200,$G26)&gt;0,
    COUNTIFS($AM$2:$AM$200,$G26)&gt;0,
    COUNTIFS($AN$2:$AN$200,$G26)&gt;0,
    COUNTIFS($AO$2:$AO$200,$G26)&gt;0,
    COUNTIFS($AP$2:$AP$200,$G26)&gt;0,
    COUNTIFS($AQ$2:$AQ$200,$G26)&gt;0,
    COUNTIFS($AR$2:$AR$200,$G26)&gt;0,
    COUNTIFS($AS$2:$AS$200,$G26)&gt;0,
    COUNTIFS($AT$2:$AT$200,$G26)&gt;0,
    COUNTIFS($AU$2:$AU$200,$G26)&gt;0,
    COUNTIFS($AV$2:$AV$200,$G26)&gt;0,
    COUNTIFS($AW$2:$AW$200,$G26)&gt;0,
    COUNTIFS($AX$2:$AX$200,$G26)&gt;0
   ),
  0)
 ),
"")</f>
        <v>Rielle</v>
      </c>
      <c r="D26" s="3" t="str" cm="1">
        <f t="array" aca="1" ref="D26" ca="1">IFERROR(
 INDEX(
  _xlfn._xlws.FILTER($U$1:$AX$1,
   TRANSPOSE(
    CHOOSE({1;2;3;4;5;6;7;8;9;10;11;12;13;14;15;16;17;18;19;20;21;22;23;24;25;26;27;28;29;30},
     COUNTIFS($U$2:$U$200,$G26)&gt;0,
     COUNTIFS($V$2:$V$200,$G26)&gt;0,
     COUNTIFS($W$2:$W$200,$G26)&gt;0,
     COUNTIFS($X$2:$X$200,$G26)&gt;0,
     COUNTIFS($Y$2:$Y$200,$G26)&gt;0,
     COUNTIFS($Z$2:$Z$200,$G26)&gt;0,
     COUNTIFS($AA$2:$AA$200,$G26)&gt;0,
     COUNTIFS($AB$2:$AB$200,$G26)&gt;0,
     COUNTIFS($AC$2:$AC$200,$G26)&gt;0,
     COUNTIFS($AD$2:$AD$200,$G26)&gt;0,
     COUNTIFS($AE$2:$AE$200,$G26)&gt;0,
     COUNTIFS($AF$2:$AF$200,$G26)&gt;0,
     COUNTIFS($AG$2:$AG$200,$G26)&gt;0,
     COUNTIFS($AH$2:$AH$200,$G26)&gt;0,
     COUNTIFS($AI$2:$AI$200,$G26)&gt;0,
     COUNTIFS($AJ$2:$AJ$200,$G26)&gt;0,
     COUNTIFS($AK$2:$AK$200,$G26)&gt;0,
     COUNTIFS($AL$2:$AL$200,$G26)&gt;0,
     COUNTIFS($AM$2:$AM$200,$G26)&gt;0,
     COUNTIFS($AN$2:$AN$200,$G26)&gt;0,
     COUNTIFS($AO$2:$AO$200,$G26)&gt;0,
     COUNTIFS($AP$2:$AP$200,$G26)&gt;0,
     COUNTIFS($AQ$2:$AQ$200,$G26)&gt;0,
     COUNTIFS($AR$2:$AR$200,$G26)&gt;0,
     COUNTIFS($AS$2:$AS$200,$G26)&gt;0,
     COUNTIFS($AT$2:$AT$200,$G26)&gt;0,
     COUNTIFS($AU$2:$AU$200,$G26)&gt;0,
     COUNTIFS($AV$2:$AV$200,$G26)&gt;0,
     COUNTIFS($AW$2:$AW$200,$G26)&gt;0,
     COUNTIFS($AX$2:$AX$200,$G26)&gt;0
   )),
  ),
  2
 ),
"")</f>
        <v/>
      </c>
      <c r="E26" s="3" t="str" cm="1">
        <f t="array" aca="1" ref="E26" ca="1">IFERROR(
 INDEX(
  _xlfn._xlws.FILTER($U$1:$AX$1,
   TRANSPOSE(
    CHOOSE({1;2;3;4;5;6;7;8;9;10;11;12;13;14;15;16;17;18;19;20;21;22;23;24;25;26;27;28;29;30},
     COUNTIFS($U$2:$U$200,$G26)&gt;0,
     COUNTIFS($V$2:$V$200,$G26)&gt;0,
     COUNTIFS($W$2:$W$200,$G26)&gt;0,
     COUNTIFS($X$2:$X$200,$G26)&gt;0,
     COUNTIFS($Y$2:$Y$200,$G26)&gt;0,
     COUNTIFS($Z$2:$Z$200,$G26)&gt;0,
     COUNTIFS($AA$2:$AA$200,$G26)&gt;0,
     COUNTIFS($AB$2:$AB$200,$G26)&gt;0,
     COUNTIFS($AC$2:$AC$200,$G26)&gt;0,
     COUNTIFS($AD$2:$AD$200,$G26)&gt;0,
     COUNTIFS($AE$2:$AE$200,$G26)&gt;0,
     COUNTIFS($AF$2:$AF$200,$G26)&gt;0,
     COUNTIFS($AG$2:$AG$200,$G26)&gt;0,
     COUNTIFS($AH$2:$AH$200,$G26)&gt;0,
     COUNTIFS($AI$2:$AI$200,$G26)&gt;0,
     COUNTIFS($AJ$2:$AJ$200,$G26)&gt;0,
     COUNTIFS($AK$2:$AK$200,$G26)&gt;0,
     COUNTIFS($AL$2:$AL$200,$G26)&gt;0,
     COUNTIFS($AM$2:$AM$200,$G26)&gt;0,
     COUNTIFS($AN$2:$AN$200,$G26)&gt;0,
     COUNTIFS($AO$2:$AO$200,$G26)&gt;0,
     COUNTIFS($AP$2:$AP$200,$G26)&gt;0,
     COUNTIFS($AQ$2:$AQ$200,$G26)&gt;0,
     COUNTIFS($AR$2:$AR$200,$G26)&gt;0,
     COUNTIFS($AS$2:$AS$200,$G26)&gt;0,
     COUNTIFS($AT$2:$AT$200,$G26)&gt;0,
     COUNTIFS($AU$2:$AU$200,$G26)&gt;0,
     COUNTIFS($AV$2:$AV$200,$G26)&gt;0,
     COUNTIFS($AW$2:$AW$200,$G26)&gt;0,
     COUNTIFS($AX$2:$AX$200,$G26)&gt;0
   )),
  ),
  3
 ),
"")</f>
        <v/>
      </c>
      <c r="F26" s="3" t="str" cm="1">
        <f t="array" aca="1" ref="F26" ca="1">IFERROR(
 INDEX(
  _xlfn._xlws.FILTER($U$1:$AX$1,
   TRANSPOSE(
    CHOOSE({1;2;3;4;5;6;7;8;9;10;11;12;13;14;15;16;17;18;19;20;21;22;23;24;25;26;27;28;29;30},
     COUNTIFS($U$2:$U$200,$G26)&gt;0,
     COUNTIFS($V$2:$V$200,$G26)&gt;0,
     COUNTIFS($W$2:$W$200,$G26)&gt;0,
     COUNTIFS($X$2:$X$200,$G26)&gt;0,
     COUNTIFS($Y$2:$Y$200,$G26)&gt;0,
     COUNTIFS($Z$2:$Z$200,$G26)&gt;0,
     COUNTIFS($AA$2:$AA$200,$G26)&gt;0,
     COUNTIFS($AB$2:$AB$200,$G26)&gt;0,
     COUNTIFS($AC$2:$AC$200,$G26)&gt;0,
     COUNTIFS($AD$2:$AD$200,$G26)&gt;0,
     COUNTIFS($AE$2:$AE$200,$G26)&gt;0,
     COUNTIFS($AF$2:$AF$200,$G26)&gt;0,
     COUNTIFS($AG$2:$AG$200,$G26)&gt;0,
     COUNTIFS($AH$2:$AH$200,$G26)&gt;0,
     COUNTIFS($AI$2:$AI$200,$G26)&gt;0,
     COUNTIFS($AJ$2:$AJ$200,$G26)&gt;0,
     COUNTIFS($AK$2:$AK$200,$G26)&gt;0,
     COUNTIFS($AL$2:$AL$200,$G26)&gt;0,
     COUNTIFS($AM$2:$AM$200,$G26)&gt;0,
     COUNTIFS($AN$2:$AN$200,$G26)&gt;0,
     COUNTIFS($AO$2:$AO$200,$G26)&gt;0,
     COUNTIFS($AP$2:$AP$200,$G26)&gt;0,
     COUNTIFS($AQ$2:$AQ$200,$G26)&gt;0,
     COUNTIFS($AR$2:$AR$200,$G26)&gt;0,
     COUNTIFS($AS$2:$AS$200,$G26)&gt;0,
     COUNTIFS($AT$2:$AT$200,$G26)&gt;0,
     COUNTIFS($AU$2:$AU$200,$G26)&gt;0,
     COUNTIFS($AV$2:$AV$200,$G26)&gt;0,
     COUNTIFS($AW$2:$AW$200,$G26)&gt;0,
     COUNTIFS($AX$2:$AX$200,$G26)&gt;0
   )),
  ),
  4
 ),
"")</f>
        <v/>
      </c>
      <c r="G26" t="str">
        <f ca="1"/>
        <v>Baral, Chief of Compliance</v>
      </c>
      <c r="I26" t="s">
        <v>23</v>
      </c>
      <c r="J26" s="3">
        <f>Breya!G2</f>
        <v>3</v>
      </c>
      <c r="K26" s="3" t="s">
        <v>2056</v>
      </c>
      <c r="L26" s="3" t="s">
        <v>2056</v>
      </c>
      <c r="M26" s="3" t="s">
        <v>2056</v>
      </c>
      <c r="N26" s="3" t="s">
        <v>2056</v>
      </c>
      <c r="O26" s="3" t="s">
        <v>2057</v>
      </c>
      <c r="P26" s="3" t="s">
        <v>738</v>
      </c>
      <c r="Q26" s="3" t="s">
        <v>2111</v>
      </c>
      <c r="R26" s="3" t="s">
        <v>2133</v>
      </c>
      <c r="S26" s="3" t="str">
        <f t="shared" si="2"/>
        <v>5</v>
      </c>
      <c r="V26" t="str">
        <v>Time of Need</v>
      </c>
      <c r="W26" t="str">
        <v>The Water Crystal</v>
      </c>
      <c r="X26" t="str">
        <v>Sphere Grid</v>
      </c>
      <c r="AX26" t="str">
        <v>Monumental Henge</v>
      </c>
      <c r="BB26" t="str">
        <f ca="1"/>
        <v>Prosperous Partnership</v>
      </c>
      <c r="BC26" t="str">
        <f ca="1"/>
        <v>Lightning Greaves</v>
      </c>
      <c r="BD26" t="str">
        <f ca="1"/>
        <v>Rogue's Passage</v>
      </c>
      <c r="BE26" t="str">
        <f ca="1"/>
        <v>Surgespanner</v>
      </c>
      <c r="BP26" t="str">
        <f ca="1"/>
        <v>Monumental Henge</v>
      </c>
      <c r="BS26" t="str">
        <f ca="1"/>
        <v>Forest</v>
      </c>
      <c r="BT26" t="str">
        <f ca="1"/>
        <v>Havengul Laboratory</v>
      </c>
      <c r="BU26" t="str">
        <f ca="1"/>
        <v>Rings of Brighthearth</v>
      </c>
      <c r="BV26" t="str">
        <f ca="1"/>
        <v>Lolth, Rainha Aranha</v>
      </c>
      <c r="BW26" t="str">
        <f ca="1"/>
        <v>Watery Grave</v>
      </c>
      <c r="BX26" t="str">
        <f ca="1"/>
        <v>Três Passos à Frente</v>
      </c>
      <c r="BZ26" t="str">
        <f ca="1"/>
        <v>Monumental Henge</v>
      </c>
      <c r="CB26" t="str">
        <f ca="1"/>
        <v>Counterspell</v>
      </c>
      <c r="CC26" t="str">
        <f ca="1"/>
        <v>Espada de Verdade e Justiça</v>
      </c>
      <c r="CD26" t="str">
        <f ca="1"/>
        <v>Overgrown Tomb</v>
      </c>
      <c r="CE26" t="str">
        <f ca="1"/>
        <v>Illustrious Wanderglyph</v>
      </c>
      <c r="CG26" t="str">
        <f ca="1"/>
        <v>Call to the Kindred</v>
      </c>
      <c r="CH26" t="str">
        <f ca="1"/>
        <v>Emrakul, um Novo Mundo</v>
      </c>
      <c r="CJ26" t="str">
        <f ca="1"/>
        <v>Baral, Chief of Compliance</v>
      </c>
    </row>
    <row r="27" spans="1:88" x14ac:dyDescent="0.25">
      <c r="A27" s="3" t="str">
        <f t="shared" ca="1" si="0"/>
        <v>4</v>
      </c>
      <c r="B27" s="3">
        <f t="shared" ca="1" si="1"/>
        <v>1</v>
      </c>
      <c r="C27" s="3" t="str">
        <f ca="1">IFERROR(
 INDEX($U$1:$AX$1,
  MATCH(TRUE,
   CHOOSE({1;2;3;4;5;6;7;8;9;10;11;12;13;14;15;16;17;18;19;20;21;22;23;24;25;26;27;28;29;30;31;32},
    COUNTIFS($U$2:$U$200,$G27)&gt;0,
    COUNTIFS($V$2:$V$200,$G27)&gt;0,
    COUNTIFS($W$2:$W$200,$G27)&gt;0,
    COUNTIFS($X$2:$X$200,$G27)&gt;0,
    COUNTIFS($Y$2:$Y$200,$G27)&gt;0,
    COUNTIFS($Z$2:$Z$200,$G27)&gt;0,
    COUNTIFS($AA$2:$AA$200,$G27)&gt;0,
    COUNTIFS($AB$2:$AB$200,$G27)&gt;0,
    COUNTIFS($AC$2:$AC$200,$G27)&gt;0,
    COUNTIFS($AD$2:$AD$200,$G27)&gt;0,
    COUNTIFS($AE$2:$AE$200,$G27)&gt;0,
    COUNTIFS($AF$2:$AF$200,$G27)&gt;0,
    COUNTIFS($AG$2:$AG$200,$G27)&gt;0,
    COUNTIFS($AH$2:$AH$200,$G27)&gt;0,
    COUNTIFS($AI$2:$AI$200,$G27)&gt;0,
    COUNTIFS($AJ$2:$AJ$200,$G27)&gt;0,
    COUNTIFS($AK$2:$AK$200,$G27)&gt;0,
    COUNTIFS($AL$2:$AL$200,$G27)&gt;0,
    COUNTIFS($AM$2:$AM$200,$G27)&gt;0,
    COUNTIFS($AN$2:$AN$200,$G27)&gt;0,
    COUNTIFS($AO$2:$AO$200,$G27)&gt;0,
    COUNTIFS($AP$2:$AP$200,$G27)&gt;0,
    COUNTIFS($AQ$2:$AQ$200,$G27)&gt;0,
    COUNTIFS($AR$2:$AR$200,$G27)&gt;0,
    COUNTIFS($AS$2:$AS$200,$G27)&gt;0,
    COUNTIFS($AT$2:$AT$200,$G27)&gt;0,
    COUNTIFS($AU$2:$AU$200,$G27)&gt;0,
    COUNTIFS($AV$2:$AV$200,$G27)&gt;0,
    COUNTIFS($AW$2:$AW$200,$G27)&gt;0,
    COUNTIFS($AX$2:$AX$200,$G27)&gt;0
   ),
  0)
 ),
"")</f>
        <v>VialIshai</v>
      </c>
      <c r="D27" s="3" t="str" cm="1">
        <f t="array" aca="1" ref="D27" ca="1">IFERROR(
 INDEX(
  _xlfn._xlws.FILTER($U$1:$AX$1,
   TRANSPOSE(
    CHOOSE({1;2;3;4;5;6;7;8;9;10;11;12;13;14;15;16;17;18;19;20;21;22;23;24;25;26;27;28;29;30},
     COUNTIFS($U$2:$U$200,$G27)&gt;0,
     COUNTIFS($V$2:$V$200,$G27)&gt;0,
     COUNTIFS($W$2:$W$200,$G27)&gt;0,
     COUNTIFS($X$2:$X$200,$G27)&gt;0,
     COUNTIFS($Y$2:$Y$200,$G27)&gt;0,
     COUNTIFS($Z$2:$Z$200,$G27)&gt;0,
     COUNTIFS($AA$2:$AA$200,$G27)&gt;0,
     COUNTIFS($AB$2:$AB$200,$G27)&gt;0,
     COUNTIFS($AC$2:$AC$200,$G27)&gt;0,
     COUNTIFS($AD$2:$AD$200,$G27)&gt;0,
     COUNTIFS($AE$2:$AE$200,$G27)&gt;0,
     COUNTIFS($AF$2:$AF$200,$G27)&gt;0,
     COUNTIFS($AG$2:$AG$200,$G27)&gt;0,
     COUNTIFS($AH$2:$AH$200,$G27)&gt;0,
     COUNTIFS($AI$2:$AI$200,$G27)&gt;0,
     COUNTIFS($AJ$2:$AJ$200,$G27)&gt;0,
     COUNTIFS($AK$2:$AK$200,$G27)&gt;0,
     COUNTIFS($AL$2:$AL$200,$G27)&gt;0,
     COUNTIFS($AM$2:$AM$200,$G27)&gt;0,
     COUNTIFS($AN$2:$AN$200,$G27)&gt;0,
     COUNTIFS($AO$2:$AO$200,$G27)&gt;0,
     COUNTIFS($AP$2:$AP$200,$G27)&gt;0,
     COUNTIFS($AQ$2:$AQ$200,$G27)&gt;0,
     COUNTIFS($AR$2:$AR$200,$G27)&gt;0,
     COUNTIFS($AS$2:$AS$200,$G27)&gt;0,
     COUNTIFS($AT$2:$AT$200,$G27)&gt;0,
     COUNTIFS($AU$2:$AU$200,$G27)&gt;0,
     COUNTIFS($AV$2:$AV$200,$G27)&gt;0,
     COUNTIFS($AW$2:$AW$200,$G27)&gt;0,
     COUNTIFS($AX$2:$AX$200,$G27)&gt;0
   )),
  ),
  2
 ),
"")</f>
        <v/>
      </c>
      <c r="E27" s="3" t="str" cm="1">
        <f t="array" aca="1" ref="E27" ca="1">IFERROR(
 INDEX(
  _xlfn._xlws.FILTER($U$1:$AX$1,
   TRANSPOSE(
    CHOOSE({1;2;3;4;5;6;7;8;9;10;11;12;13;14;15;16;17;18;19;20;21;22;23;24;25;26;27;28;29;30},
     COUNTIFS($U$2:$U$200,$G27)&gt;0,
     COUNTIFS($V$2:$V$200,$G27)&gt;0,
     COUNTIFS($W$2:$W$200,$G27)&gt;0,
     COUNTIFS($X$2:$X$200,$G27)&gt;0,
     COUNTIFS($Y$2:$Y$200,$G27)&gt;0,
     COUNTIFS($Z$2:$Z$200,$G27)&gt;0,
     COUNTIFS($AA$2:$AA$200,$G27)&gt;0,
     COUNTIFS($AB$2:$AB$200,$G27)&gt;0,
     COUNTIFS($AC$2:$AC$200,$G27)&gt;0,
     COUNTIFS($AD$2:$AD$200,$G27)&gt;0,
     COUNTIFS($AE$2:$AE$200,$G27)&gt;0,
     COUNTIFS($AF$2:$AF$200,$G27)&gt;0,
     COUNTIFS($AG$2:$AG$200,$G27)&gt;0,
     COUNTIFS($AH$2:$AH$200,$G27)&gt;0,
     COUNTIFS($AI$2:$AI$200,$G27)&gt;0,
     COUNTIFS($AJ$2:$AJ$200,$G27)&gt;0,
     COUNTIFS($AK$2:$AK$200,$G27)&gt;0,
     COUNTIFS($AL$2:$AL$200,$G27)&gt;0,
     COUNTIFS($AM$2:$AM$200,$G27)&gt;0,
     COUNTIFS($AN$2:$AN$200,$G27)&gt;0,
     COUNTIFS($AO$2:$AO$200,$G27)&gt;0,
     COUNTIFS($AP$2:$AP$200,$G27)&gt;0,
     COUNTIFS($AQ$2:$AQ$200,$G27)&gt;0,
     COUNTIFS($AR$2:$AR$200,$G27)&gt;0,
     COUNTIFS($AS$2:$AS$200,$G27)&gt;0,
     COUNTIFS($AT$2:$AT$200,$G27)&gt;0,
     COUNTIFS($AU$2:$AU$200,$G27)&gt;0,
     COUNTIFS($AV$2:$AV$200,$G27)&gt;0,
     COUNTIFS($AW$2:$AW$200,$G27)&gt;0,
     COUNTIFS($AX$2:$AX$200,$G27)&gt;0
   )),
  ),
  3
 ),
"")</f>
        <v/>
      </c>
      <c r="F27" s="3" t="str" cm="1">
        <f t="array" aca="1" ref="F27" ca="1">IFERROR(
 INDEX(
  _xlfn._xlws.FILTER($U$1:$AX$1,
   TRANSPOSE(
    CHOOSE({1;2;3;4;5;6;7;8;9;10;11;12;13;14;15;16;17;18;19;20;21;22;23;24;25;26;27;28;29;30},
     COUNTIFS($U$2:$U$200,$G27)&gt;0,
     COUNTIFS($V$2:$V$200,$G27)&gt;0,
     COUNTIFS($W$2:$W$200,$G27)&gt;0,
     COUNTIFS($X$2:$X$200,$G27)&gt;0,
     COUNTIFS($Y$2:$Y$200,$G27)&gt;0,
     COUNTIFS($Z$2:$Z$200,$G27)&gt;0,
     COUNTIFS($AA$2:$AA$200,$G27)&gt;0,
     COUNTIFS($AB$2:$AB$200,$G27)&gt;0,
     COUNTIFS($AC$2:$AC$200,$G27)&gt;0,
     COUNTIFS($AD$2:$AD$200,$G27)&gt;0,
     COUNTIFS($AE$2:$AE$200,$G27)&gt;0,
     COUNTIFS($AF$2:$AF$200,$G27)&gt;0,
     COUNTIFS($AG$2:$AG$200,$G27)&gt;0,
     COUNTIFS($AH$2:$AH$200,$G27)&gt;0,
     COUNTIFS($AI$2:$AI$200,$G27)&gt;0,
     COUNTIFS($AJ$2:$AJ$200,$G27)&gt;0,
     COUNTIFS($AK$2:$AK$200,$G27)&gt;0,
     COUNTIFS($AL$2:$AL$200,$G27)&gt;0,
     COUNTIFS($AM$2:$AM$200,$G27)&gt;0,
     COUNTIFS($AN$2:$AN$200,$G27)&gt;0,
     COUNTIFS($AO$2:$AO$200,$G27)&gt;0,
     COUNTIFS($AP$2:$AP$200,$G27)&gt;0,
     COUNTIFS($AQ$2:$AQ$200,$G27)&gt;0,
     COUNTIFS($AR$2:$AR$200,$G27)&gt;0,
     COUNTIFS($AS$2:$AS$200,$G27)&gt;0,
     COUNTIFS($AT$2:$AT$200,$G27)&gt;0,
     COUNTIFS($AU$2:$AU$200,$G27)&gt;0,
     COUNTIFS($AV$2:$AV$200,$G27)&gt;0,
     COUNTIFS($AW$2:$AW$200,$G27)&gt;0,
     COUNTIFS($AX$2:$AX$200,$G27)&gt;0
   )),
  ),
  4
 ),
"")</f>
        <v/>
      </c>
      <c r="G27" t="str">
        <f ca="1"/>
        <v>Batwing Brume</v>
      </c>
      <c r="I27" t="s">
        <v>2030</v>
      </c>
      <c r="J27" s="3">
        <f>OWA!G2</f>
        <v>6</v>
      </c>
      <c r="K27" s="3" t="s">
        <v>2056</v>
      </c>
      <c r="L27" s="3" t="s">
        <v>2057</v>
      </c>
      <c r="M27" s="3" t="s">
        <v>2057</v>
      </c>
      <c r="N27" s="3" t="s">
        <v>2056</v>
      </c>
      <c r="O27" s="3" t="s">
        <v>2056</v>
      </c>
      <c r="P27" s="3" t="s">
        <v>738</v>
      </c>
      <c r="Q27" s="3" t="s">
        <v>2111</v>
      </c>
      <c r="R27" s="3" t="s">
        <v>2134</v>
      </c>
      <c r="S27" s="3" t="str">
        <f t="shared" si="2"/>
        <v>4</v>
      </c>
      <c r="V27" t="str">
        <v>Virtue of Loyalty // Ardenvale Fealty</v>
      </c>
      <c r="W27" t="str">
        <v>Training Center</v>
      </c>
      <c r="X27" t="str">
        <v>Summon: Fenrir</v>
      </c>
      <c r="AX27" t="str">
        <v>Mystic Forge</v>
      </c>
      <c r="BB27" t="str">
        <f ca="1"/>
        <v>Purphoros, God of the Forge</v>
      </c>
      <c r="BC27" t="str">
        <f ca="1"/>
        <v>Llanowar Wastes</v>
      </c>
      <c r="BD27" t="str">
        <f ca="1"/>
        <v>Sevinne's Reclamation</v>
      </c>
      <c r="BE27" t="str">
        <f ca="1"/>
        <v>Teferi's Ageless Insight</v>
      </c>
      <c r="BP27" t="str">
        <f ca="1"/>
        <v>Mystic Forge</v>
      </c>
      <c r="BS27" t="str">
        <f ca="1"/>
        <v>Full Throttle</v>
      </c>
      <c r="BT27" t="str">
        <f ca="1"/>
        <v>Herald of Secret Streams</v>
      </c>
      <c r="BU27" t="str">
        <f ca="1"/>
        <v>Ripples of Undeath</v>
      </c>
      <c r="BV27" t="str">
        <f ca="1"/>
        <v>Louisoix's Sacrifice</v>
      </c>
      <c r="BW27" t="str">
        <f ca="1"/>
        <v>Zagoth Triome</v>
      </c>
      <c r="BX27" t="str">
        <f ca="1"/>
        <v>Unstoppable Plan</v>
      </c>
      <c r="BZ27" t="str">
        <f ca="1"/>
        <v>Mystic Forge</v>
      </c>
      <c r="CB27" t="str">
        <f ca="1"/>
        <v>Cyber Conversion</v>
      </c>
      <c r="CC27" t="str">
        <f ca="1"/>
        <v>Extinguisher Battleship</v>
      </c>
      <c r="CD27" t="str">
        <f ca="1"/>
        <v>Pain for All</v>
      </c>
      <c r="CE27" t="str">
        <f ca="1"/>
        <v>Inkmoth Nexus</v>
      </c>
      <c r="CG27" t="str">
        <f ca="1"/>
        <v>Cankerbloom</v>
      </c>
      <c r="CH27" t="str">
        <f ca="1"/>
        <v>Esper Sentinel</v>
      </c>
      <c r="CJ27" t="str">
        <f ca="1"/>
        <v>Batwing Brume</v>
      </c>
    </row>
    <row r="28" spans="1:88" x14ac:dyDescent="0.25">
      <c r="A28" s="3" t="str">
        <f t="shared" ca="1" si="0"/>
        <v>2</v>
      </c>
      <c r="B28" s="3">
        <f t="shared" ca="1" si="1"/>
        <v>2</v>
      </c>
      <c r="C28" s="3" t="str">
        <f ca="1">IFERROR(
 INDEX($U$1:$AX$1,
  MATCH(TRUE,
   CHOOSE({1;2;3;4;5;6;7;8;9;10;11;12;13;14;15;16;17;18;19;20;21;22;23;24;25;26;27;28;29;30;31;32},
    COUNTIFS($U$2:$U$200,$G28)&gt;0,
    COUNTIFS($V$2:$V$200,$G28)&gt;0,
    COUNTIFS($W$2:$W$200,$G28)&gt;0,
    COUNTIFS($X$2:$X$200,$G28)&gt;0,
    COUNTIFS($Y$2:$Y$200,$G28)&gt;0,
    COUNTIFS($Z$2:$Z$200,$G28)&gt;0,
    COUNTIFS($AA$2:$AA$200,$G28)&gt;0,
    COUNTIFS($AB$2:$AB$200,$G28)&gt;0,
    COUNTIFS($AC$2:$AC$200,$G28)&gt;0,
    COUNTIFS($AD$2:$AD$200,$G28)&gt;0,
    COUNTIFS($AE$2:$AE$200,$G28)&gt;0,
    COUNTIFS($AF$2:$AF$200,$G28)&gt;0,
    COUNTIFS($AG$2:$AG$200,$G28)&gt;0,
    COUNTIFS($AH$2:$AH$200,$G28)&gt;0,
    COUNTIFS($AI$2:$AI$200,$G28)&gt;0,
    COUNTIFS($AJ$2:$AJ$200,$G28)&gt;0,
    COUNTIFS($AK$2:$AK$200,$G28)&gt;0,
    COUNTIFS($AL$2:$AL$200,$G28)&gt;0,
    COUNTIFS($AM$2:$AM$200,$G28)&gt;0,
    COUNTIFS($AN$2:$AN$200,$G28)&gt;0,
    COUNTIFS($AO$2:$AO$200,$G28)&gt;0,
    COUNTIFS($AP$2:$AP$200,$G28)&gt;0,
    COUNTIFS($AQ$2:$AQ$200,$G28)&gt;0,
    COUNTIFS($AR$2:$AR$200,$G28)&gt;0,
    COUNTIFS($AS$2:$AS$200,$G28)&gt;0,
    COUNTIFS($AT$2:$AT$200,$G28)&gt;0,
    COUNTIFS($AU$2:$AU$200,$G28)&gt;0,
    COUNTIFS($AV$2:$AV$200,$G28)&gt;0,
    COUNTIFS($AW$2:$AW$200,$G28)&gt;0,
    COUNTIFS($AX$2:$AX$200,$G28)&gt;0
   ),
  0)
 ),
"")</f>
        <v>Kumena</v>
      </c>
      <c r="D28" s="3" t="str" cm="1">
        <f t="array" aca="1" ref="D28" ca="1">IFERROR(
 INDEX(
  _xlfn._xlws.FILTER($U$1:$AX$1,
   TRANSPOSE(
    CHOOSE({1;2;3;4;5;6;7;8;9;10;11;12;13;14;15;16;17;18;19;20;21;22;23;24;25;26;27;28;29;30},
     COUNTIFS($U$2:$U$200,$G28)&gt;0,
     COUNTIFS($V$2:$V$200,$G28)&gt;0,
     COUNTIFS($W$2:$W$200,$G28)&gt;0,
     COUNTIFS($X$2:$X$200,$G28)&gt;0,
     COUNTIFS($Y$2:$Y$200,$G28)&gt;0,
     COUNTIFS($Z$2:$Z$200,$G28)&gt;0,
     COUNTIFS($AA$2:$AA$200,$G28)&gt;0,
     COUNTIFS($AB$2:$AB$200,$G28)&gt;0,
     COUNTIFS($AC$2:$AC$200,$G28)&gt;0,
     COUNTIFS($AD$2:$AD$200,$G28)&gt;0,
     COUNTIFS($AE$2:$AE$200,$G28)&gt;0,
     COUNTIFS($AF$2:$AF$200,$G28)&gt;0,
     COUNTIFS($AG$2:$AG$200,$G28)&gt;0,
     COUNTIFS($AH$2:$AH$200,$G28)&gt;0,
     COUNTIFS($AI$2:$AI$200,$G28)&gt;0,
     COUNTIFS($AJ$2:$AJ$200,$G28)&gt;0,
     COUNTIFS($AK$2:$AK$200,$G28)&gt;0,
     COUNTIFS($AL$2:$AL$200,$G28)&gt;0,
     COUNTIFS($AM$2:$AM$200,$G28)&gt;0,
     COUNTIFS($AN$2:$AN$200,$G28)&gt;0,
     COUNTIFS($AO$2:$AO$200,$G28)&gt;0,
     COUNTIFS($AP$2:$AP$200,$G28)&gt;0,
     COUNTIFS($AQ$2:$AQ$200,$G28)&gt;0,
     COUNTIFS($AR$2:$AR$200,$G28)&gt;0,
     COUNTIFS($AS$2:$AS$200,$G28)&gt;0,
     COUNTIFS($AT$2:$AT$200,$G28)&gt;0,
     COUNTIFS($AU$2:$AU$200,$G28)&gt;0,
     COUNTIFS($AV$2:$AV$200,$G28)&gt;0,
     COUNTIFS($AW$2:$AW$200,$G28)&gt;0,
     COUNTIFS($AX$2:$AX$200,$G28)&gt;0
   )),
  ),
  2
 ),
"")</f>
        <v>Modular</v>
      </c>
      <c r="E28" s="3" t="str" cm="1">
        <f t="array" aca="1" ref="E28" ca="1">IFERROR(
 INDEX(
  _xlfn._xlws.FILTER($U$1:$AX$1,
   TRANSPOSE(
    CHOOSE({1;2;3;4;5;6;7;8;9;10;11;12;13;14;15;16;17;18;19;20;21;22;23;24;25;26;27;28;29;30},
     COUNTIFS($U$2:$U$200,$G28)&gt;0,
     COUNTIFS($V$2:$V$200,$G28)&gt;0,
     COUNTIFS($W$2:$W$200,$G28)&gt;0,
     COUNTIFS($X$2:$X$200,$G28)&gt;0,
     COUNTIFS($Y$2:$Y$200,$G28)&gt;0,
     COUNTIFS($Z$2:$Z$200,$G28)&gt;0,
     COUNTIFS($AA$2:$AA$200,$G28)&gt;0,
     COUNTIFS($AB$2:$AB$200,$G28)&gt;0,
     COUNTIFS($AC$2:$AC$200,$G28)&gt;0,
     COUNTIFS($AD$2:$AD$200,$G28)&gt;0,
     COUNTIFS($AE$2:$AE$200,$G28)&gt;0,
     COUNTIFS($AF$2:$AF$200,$G28)&gt;0,
     COUNTIFS($AG$2:$AG$200,$G28)&gt;0,
     COUNTIFS($AH$2:$AH$200,$G28)&gt;0,
     COUNTIFS($AI$2:$AI$200,$G28)&gt;0,
     COUNTIFS($AJ$2:$AJ$200,$G28)&gt;0,
     COUNTIFS($AK$2:$AK$200,$G28)&gt;0,
     COUNTIFS($AL$2:$AL$200,$G28)&gt;0,
     COUNTIFS($AM$2:$AM$200,$G28)&gt;0,
     COUNTIFS($AN$2:$AN$200,$G28)&gt;0,
     COUNTIFS($AO$2:$AO$200,$G28)&gt;0,
     COUNTIFS($AP$2:$AP$200,$G28)&gt;0,
     COUNTIFS($AQ$2:$AQ$200,$G28)&gt;0,
     COUNTIFS($AR$2:$AR$200,$G28)&gt;0,
     COUNTIFS($AS$2:$AS$200,$G28)&gt;0,
     COUNTIFS($AT$2:$AT$200,$G28)&gt;0,
     COUNTIFS($AU$2:$AU$200,$G28)&gt;0,
     COUNTIFS($AV$2:$AV$200,$G28)&gt;0,
     COUNTIFS($AW$2:$AW$200,$G28)&gt;0,
     COUNTIFS($AX$2:$AX$200,$G28)&gt;0
   )),
  ),
  3
 ),
"")</f>
        <v/>
      </c>
      <c r="F28" s="3" t="str" cm="1">
        <f t="array" aca="1" ref="F28" ca="1">IFERROR(
 INDEX(
  _xlfn._xlws.FILTER($U$1:$AX$1,
   TRANSPOSE(
    CHOOSE({1;2;3;4;5;6;7;8;9;10;11;12;13;14;15;16;17;18;19;20;21;22;23;24;25;26;27;28;29;30},
     COUNTIFS($U$2:$U$200,$G28)&gt;0,
     COUNTIFS($V$2:$V$200,$G28)&gt;0,
     COUNTIFS($W$2:$W$200,$G28)&gt;0,
     COUNTIFS($X$2:$X$200,$G28)&gt;0,
     COUNTIFS($Y$2:$Y$200,$G28)&gt;0,
     COUNTIFS($Z$2:$Z$200,$G28)&gt;0,
     COUNTIFS($AA$2:$AA$200,$G28)&gt;0,
     COUNTIFS($AB$2:$AB$200,$G28)&gt;0,
     COUNTIFS($AC$2:$AC$200,$G28)&gt;0,
     COUNTIFS($AD$2:$AD$200,$G28)&gt;0,
     COUNTIFS($AE$2:$AE$200,$G28)&gt;0,
     COUNTIFS($AF$2:$AF$200,$G28)&gt;0,
     COUNTIFS($AG$2:$AG$200,$G28)&gt;0,
     COUNTIFS($AH$2:$AH$200,$G28)&gt;0,
     COUNTIFS($AI$2:$AI$200,$G28)&gt;0,
     COUNTIFS($AJ$2:$AJ$200,$G28)&gt;0,
     COUNTIFS($AK$2:$AK$200,$G28)&gt;0,
     COUNTIFS($AL$2:$AL$200,$G28)&gt;0,
     COUNTIFS($AM$2:$AM$200,$G28)&gt;0,
     COUNTIFS($AN$2:$AN$200,$G28)&gt;0,
     COUNTIFS($AO$2:$AO$200,$G28)&gt;0,
     COUNTIFS($AP$2:$AP$200,$G28)&gt;0,
     COUNTIFS($AQ$2:$AQ$200,$G28)&gt;0,
     COUNTIFS($AR$2:$AR$200,$G28)&gt;0,
     COUNTIFS($AS$2:$AS$200,$G28)&gt;0,
     COUNTIFS($AT$2:$AT$200,$G28)&gt;0,
     COUNTIFS($AU$2:$AU$200,$G28)&gt;0,
     COUNTIFS($AV$2:$AV$200,$G28)&gt;0,
     COUNTIFS($AW$2:$AW$200,$G28)&gt;0,
     COUNTIFS($AX$2:$AX$200,$G28)&gt;0
   )),
  ),
  4
 ),
"")</f>
        <v/>
      </c>
      <c r="G28" t="str">
        <f ca="1"/>
        <v>Beast Within</v>
      </c>
      <c r="I28" t="s">
        <v>14</v>
      </c>
      <c r="J28" s="3">
        <f>Alela!G2</f>
        <v>5</v>
      </c>
      <c r="K28" s="3" t="s">
        <v>2056</v>
      </c>
      <c r="L28" s="3" t="s">
        <v>2056</v>
      </c>
      <c r="M28" s="3" t="s">
        <v>2057</v>
      </c>
      <c r="N28" s="3" t="s">
        <v>2056</v>
      </c>
      <c r="O28" s="3" t="s">
        <v>2057</v>
      </c>
      <c r="P28" s="3" t="s">
        <v>738</v>
      </c>
      <c r="Q28" s="3" t="s">
        <v>2107</v>
      </c>
      <c r="R28" s="3" t="s">
        <v>2135</v>
      </c>
      <c r="S28" s="3" t="str">
        <f t="shared" si="2"/>
        <v>5</v>
      </c>
      <c r="V28" t="str">
        <v>Warleader's Call</v>
      </c>
      <c r="W28" t="str">
        <v>Windcrag Siege</v>
      </c>
      <c r="X28" t="str">
        <v>Summon: Ixion</v>
      </c>
      <c r="AX28" t="str">
        <v>Rustvale Bridge</v>
      </c>
      <c r="BB28" t="str">
        <f ca="1"/>
        <v>Reliquary Tower</v>
      </c>
      <c r="BC28" t="str">
        <f ca="1"/>
        <v>Maddening Cacophony</v>
      </c>
      <c r="BD28" t="str">
        <f ca="1"/>
        <v>Sol Ring</v>
      </c>
      <c r="BE28" t="str">
        <f ca="1"/>
        <v>Thousand-Year Elixir</v>
      </c>
      <c r="BP28" t="str">
        <f ca="1"/>
        <v>Rustvale Bridge</v>
      </c>
      <c r="BS28" t="str">
        <f ca="1"/>
        <v>Gavony Township</v>
      </c>
      <c r="BT28" t="str">
        <f ca="1"/>
        <v>Hierofante de Elenda</v>
      </c>
      <c r="BU28" t="str">
        <f ca="1"/>
        <v>Rise of the Eldrazi</v>
      </c>
      <c r="BV28" t="str">
        <f ca="1"/>
        <v>Mistbind Clique</v>
      </c>
      <c r="BZ28" t="str">
        <f ca="1"/>
        <v>Rustvale Bridge</v>
      </c>
      <c r="CB28" t="str">
        <f ca="1"/>
        <v>Deeproot Historian</v>
      </c>
      <c r="CC28" t="str">
        <f ca="1"/>
        <v>Faerie Slumber Party</v>
      </c>
      <c r="CD28" t="str">
        <f ca="1"/>
        <v>Planetary Annihilation</v>
      </c>
      <c r="CE28" t="str">
        <f ca="1"/>
        <v>Karn's Bastion</v>
      </c>
      <c r="CG28" t="str">
        <f ca="1"/>
        <v>Canopy Vista</v>
      </c>
      <c r="CH28" t="str">
        <f ca="1"/>
        <v>Evendo Brushrazer</v>
      </c>
      <c r="CJ28" t="str">
        <f ca="1"/>
        <v>Beast Within</v>
      </c>
    </row>
    <row r="29" spans="1:88" x14ac:dyDescent="0.25">
      <c r="A29" s="3" t="str">
        <f t="shared" ca="1" si="0"/>
        <v>2</v>
      </c>
      <c r="B29" s="3">
        <f t="shared" ca="1" si="1"/>
        <v>4</v>
      </c>
      <c r="C29" s="3" t="str">
        <f ca="1">IFERROR(
 INDEX($U$1:$AX$1,
  MATCH(TRUE,
   CHOOSE({1;2;3;4;5;6;7;8;9;10;11;12;13;14;15;16;17;18;19;20;21;22;23;24;25;26;27;28;29;30;31;32},
    COUNTIFS($U$2:$U$200,$G29)&gt;0,
    COUNTIFS($V$2:$V$200,$G29)&gt;0,
    COUNTIFS($W$2:$W$200,$G29)&gt;0,
    COUNTIFS($X$2:$X$200,$G29)&gt;0,
    COUNTIFS($Y$2:$Y$200,$G29)&gt;0,
    COUNTIFS($Z$2:$Z$200,$G29)&gt;0,
    COUNTIFS($AA$2:$AA$200,$G29)&gt;0,
    COUNTIFS($AB$2:$AB$200,$G29)&gt;0,
    COUNTIFS($AC$2:$AC$200,$G29)&gt;0,
    COUNTIFS($AD$2:$AD$200,$G29)&gt;0,
    COUNTIFS($AE$2:$AE$200,$G29)&gt;0,
    COUNTIFS($AF$2:$AF$200,$G29)&gt;0,
    COUNTIFS($AG$2:$AG$200,$G29)&gt;0,
    COUNTIFS($AH$2:$AH$200,$G29)&gt;0,
    COUNTIFS($AI$2:$AI$200,$G29)&gt;0,
    COUNTIFS($AJ$2:$AJ$200,$G29)&gt;0,
    COUNTIFS($AK$2:$AK$200,$G29)&gt;0,
    COUNTIFS($AL$2:$AL$200,$G29)&gt;0,
    COUNTIFS($AM$2:$AM$200,$G29)&gt;0,
    COUNTIFS($AN$2:$AN$200,$G29)&gt;0,
    COUNTIFS($AO$2:$AO$200,$G29)&gt;0,
    COUNTIFS($AP$2:$AP$200,$G29)&gt;0,
    COUNTIFS($AQ$2:$AQ$200,$G29)&gt;0,
    COUNTIFS($AR$2:$AR$200,$G29)&gt;0,
    COUNTIFS($AS$2:$AS$200,$G29)&gt;0,
    COUNTIFS($AT$2:$AT$200,$G29)&gt;0,
    COUNTIFS($AU$2:$AU$200,$G29)&gt;0,
    COUNTIFS($AV$2:$AV$200,$G29)&gt;0,
    COUNTIFS($AW$2:$AW$200,$G29)&gt;0,
    COUNTIFS($AX$2:$AX$200,$G29)&gt;0
   ),
  0)
 ),
"")</f>
        <v>Piratas</v>
      </c>
      <c r="D29" s="3" t="str" cm="1">
        <f t="array" aca="1" ref="D29" ca="1">IFERROR(
 INDEX(
  _xlfn._xlws.FILTER($U$1:$AX$1,
   TRANSPOSE(
    CHOOSE({1;2;3;4;5;6;7;8;9;10;11;12;13;14;15;16;17;18;19;20;21;22;23;24;25;26;27;28;29;30},
     COUNTIFS($U$2:$U$200,$G29)&gt;0,
     COUNTIFS($V$2:$V$200,$G29)&gt;0,
     COUNTIFS($W$2:$W$200,$G29)&gt;0,
     COUNTIFS($X$2:$X$200,$G29)&gt;0,
     COUNTIFS($Y$2:$Y$200,$G29)&gt;0,
     COUNTIFS($Z$2:$Z$200,$G29)&gt;0,
     COUNTIFS($AA$2:$AA$200,$G29)&gt;0,
     COUNTIFS($AB$2:$AB$200,$G29)&gt;0,
     COUNTIFS($AC$2:$AC$200,$G29)&gt;0,
     COUNTIFS($AD$2:$AD$200,$G29)&gt;0,
     COUNTIFS($AE$2:$AE$200,$G29)&gt;0,
     COUNTIFS($AF$2:$AF$200,$G29)&gt;0,
     COUNTIFS($AG$2:$AG$200,$G29)&gt;0,
     COUNTIFS($AH$2:$AH$200,$G29)&gt;0,
     COUNTIFS($AI$2:$AI$200,$G29)&gt;0,
     COUNTIFS($AJ$2:$AJ$200,$G29)&gt;0,
     COUNTIFS($AK$2:$AK$200,$G29)&gt;0,
     COUNTIFS($AL$2:$AL$200,$G29)&gt;0,
     COUNTIFS($AM$2:$AM$200,$G29)&gt;0,
     COUNTIFS($AN$2:$AN$200,$G29)&gt;0,
     COUNTIFS($AO$2:$AO$200,$G29)&gt;0,
     COUNTIFS($AP$2:$AP$200,$G29)&gt;0,
     COUNTIFS($AQ$2:$AQ$200,$G29)&gt;0,
     COUNTIFS($AR$2:$AR$200,$G29)&gt;0,
     COUNTIFS($AS$2:$AS$200,$G29)&gt;0,
     COUNTIFS($AT$2:$AT$200,$G29)&gt;0,
     COUNTIFS($AU$2:$AU$200,$G29)&gt;0,
     COUNTIFS($AV$2:$AV$200,$G29)&gt;0,
     COUNTIFS($AW$2:$AW$200,$G29)&gt;0,
     COUNTIFS($AX$2:$AX$200,$G29)&gt;0
   )),
  ),
  2
 ),
"")</f>
        <v>Carlos</v>
      </c>
      <c r="E29" s="3" t="str" cm="1">
        <f t="array" aca="1" ref="E29" ca="1">IFERROR(
 INDEX(
  _xlfn._xlws.FILTER($U$1:$AX$1,
   TRANSPOSE(
    CHOOSE({1;2;3;4;5;6;7;8;9;10;11;12;13;14;15;16;17;18;19;20;21;22;23;24;25;26;27;28;29;30},
     COUNTIFS($U$2:$U$200,$G29)&gt;0,
     COUNTIFS($V$2:$V$200,$G29)&gt;0,
     COUNTIFS($W$2:$W$200,$G29)&gt;0,
     COUNTIFS($X$2:$X$200,$G29)&gt;0,
     COUNTIFS($Y$2:$Y$200,$G29)&gt;0,
     COUNTIFS($Z$2:$Z$200,$G29)&gt;0,
     COUNTIFS($AA$2:$AA$200,$G29)&gt;0,
     COUNTIFS($AB$2:$AB$200,$G29)&gt;0,
     COUNTIFS($AC$2:$AC$200,$G29)&gt;0,
     COUNTIFS($AD$2:$AD$200,$G29)&gt;0,
     COUNTIFS($AE$2:$AE$200,$G29)&gt;0,
     COUNTIFS($AF$2:$AF$200,$G29)&gt;0,
     COUNTIFS($AG$2:$AG$200,$G29)&gt;0,
     COUNTIFS($AH$2:$AH$200,$G29)&gt;0,
     COUNTIFS($AI$2:$AI$200,$G29)&gt;0,
     COUNTIFS($AJ$2:$AJ$200,$G29)&gt;0,
     COUNTIFS($AK$2:$AK$200,$G29)&gt;0,
     COUNTIFS($AL$2:$AL$200,$G29)&gt;0,
     COUNTIFS($AM$2:$AM$200,$G29)&gt;0,
     COUNTIFS($AN$2:$AN$200,$G29)&gt;0,
     COUNTIFS($AO$2:$AO$200,$G29)&gt;0,
     COUNTIFS($AP$2:$AP$200,$G29)&gt;0,
     COUNTIFS($AQ$2:$AQ$200,$G29)&gt;0,
     COUNTIFS($AR$2:$AR$200,$G29)&gt;0,
     COUNTIFS($AS$2:$AS$200,$G29)&gt;0,
     COUNTIFS($AT$2:$AT$200,$G29)&gt;0,
     COUNTIFS($AU$2:$AU$200,$G29)&gt;0,
     COUNTIFS($AV$2:$AV$200,$G29)&gt;0,
     COUNTIFS($AW$2:$AW$200,$G29)&gt;0,
     COUNTIFS($AX$2:$AX$200,$G29)&gt;0
   )),
  ),
  3
 ),
"")</f>
        <v>Rani</v>
      </c>
      <c r="F29" s="3" t="str" cm="1">
        <f t="array" aca="1" ref="F29" ca="1">IFERROR(
 INDEX(
  _xlfn._xlws.FILTER($U$1:$AX$1,
   TRANSPOSE(
    CHOOSE({1;2;3;4;5;6;7;8;9;10;11;12;13;14;15;16;17;18;19;20;21;22;23;24;25;26;27;28;29;30},
     COUNTIFS($U$2:$U$200,$G29)&gt;0,
     COUNTIFS($V$2:$V$200,$G29)&gt;0,
     COUNTIFS($W$2:$W$200,$G29)&gt;0,
     COUNTIFS($X$2:$X$200,$G29)&gt;0,
     COUNTIFS($Y$2:$Y$200,$G29)&gt;0,
     COUNTIFS($Z$2:$Z$200,$G29)&gt;0,
     COUNTIFS($AA$2:$AA$200,$G29)&gt;0,
     COUNTIFS($AB$2:$AB$200,$G29)&gt;0,
     COUNTIFS($AC$2:$AC$200,$G29)&gt;0,
     COUNTIFS($AD$2:$AD$200,$G29)&gt;0,
     COUNTIFS($AE$2:$AE$200,$G29)&gt;0,
     COUNTIFS($AF$2:$AF$200,$G29)&gt;0,
     COUNTIFS($AG$2:$AG$200,$G29)&gt;0,
     COUNTIFS($AH$2:$AH$200,$G29)&gt;0,
     COUNTIFS($AI$2:$AI$200,$G29)&gt;0,
     COUNTIFS($AJ$2:$AJ$200,$G29)&gt;0,
     COUNTIFS($AK$2:$AK$200,$G29)&gt;0,
     COUNTIFS($AL$2:$AL$200,$G29)&gt;0,
     COUNTIFS($AM$2:$AM$200,$G29)&gt;0,
     COUNTIFS($AN$2:$AN$200,$G29)&gt;0,
     COUNTIFS($AO$2:$AO$200,$G29)&gt;0,
     COUNTIFS($AP$2:$AP$200,$G29)&gt;0,
     COUNTIFS($AQ$2:$AQ$200,$G29)&gt;0,
     COUNTIFS($AR$2:$AR$200,$G29)&gt;0,
     COUNTIFS($AS$2:$AS$200,$G29)&gt;0,
     COUNTIFS($AT$2:$AT$200,$G29)&gt;0,
     COUNTIFS($AU$2:$AU$200,$G29)&gt;0,
     COUNTIFS($AV$2:$AV$200,$G29)&gt;0,
     COUNTIFS($AW$2:$AW$200,$G29)&gt;0,
     COUNTIFS($AX$2:$AX$200,$G29)&gt;0
   )),
  ),
  4
 ),
"")</f>
        <v>Inalla</v>
      </c>
      <c r="G29" t="str">
        <f ca="1"/>
        <v>Bojuka Bog</v>
      </c>
      <c r="I29" t="s">
        <v>15</v>
      </c>
      <c r="J29" s="3">
        <f>Arcades!G2</f>
        <v>2</v>
      </c>
      <c r="K29" s="3" t="s">
        <v>2056</v>
      </c>
      <c r="L29" s="3" t="s">
        <v>2056</v>
      </c>
      <c r="M29" s="3" t="s">
        <v>2057</v>
      </c>
      <c r="N29" s="3" t="s">
        <v>2057</v>
      </c>
      <c r="O29" s="3" t="s">
        <v>2056</v>
      </c>
      <c r="P29" s="3" t="s">
        <v>738</v>
      </c>
      <c r="Q29" s="3" t="s">
        <v>2107</v>
      </c>
      <c r="R29" s="3" t="s">
        <v>2136</v>
      </c>
      <c r="S29" s="3" t="str">
        <f t="shared" si="2"/>
        <v>5</v>
      </c>
      <c r="W29" t="str">
        <v>World at War</v>
      </c>
      <c r="X29" t="str">
        <v>Tayam, Luminous Enigma</v>
      </c>
      <c r="AX29" t="str">
        <v>Sacred Ground</v>
      </c>
      <c r="BB29" t="str">
        <f ca="1"/>
        <v>Rogue's Passage</v>
      </c>
      <c r="BC29" t="str">
        <f ca="1"/>
        <v>Maester Seymour</v>
      </c>
      <c r="BD29" t="str">
        <f ca="1"/>
        <v>Sulfur Falls</v>
      </c>
      <c r="BE29" t="str">
        <f ca="1"/>
        <v>Three Visits</v>
      </c>
      <c r="BP29" t="str">
        <f ca="1"/>
        <v>Sacred Ground</v>
      </c>
      <c r="BS29" t="str">
        <f ca="1"/>
        <v>Generous Gift</v>
      </c>
      <c r="BT29" t="str">
        <f ca="1"/>
        <v>Horizon Explorer</v>
      </c>
      <c r="BU29" t="str">
        <f ca="1"/>
        <v>Rotating Fireplace</v>
      </c>
      <c r="BV29" t="str">
        <f ca="1"/>
        <v>Molten Echoes</v>
      </c>
      <c r="BZ29" t="str">
        <f ca="1"/>
        <v>Sacred Ground</v>
      </c>
      <c r="CB29" t="str">
        <f ca="1"/>
        <v>Dever Além da Morte</v>
      </c>
      <c r="CC29" t="str">
        <f ca="1"/>
        <v>Firion, Wild Rose Warrior</v>
      </c>
      <c r="CD29" t="str">
        <f ca="1"/>
        <v>Raffine's Tower</v>
      </c>
      <c r="CE29" t="str">
        <f ca="1"/>
        <v>Kodama of the West Tree</v>
      </c>
      <c r="CG29" t="str">
        <f ca="1"/>
        <v>Castle Ardenvale</v>
      </c>
      <c r="CH29" t="str">
        <f ca="1"/>
        <v>Evendo, Waking Haven</v>
      </c>
      <c r="CJ29" t="str">
        <f ca="1"/>
        <v>Bojuka Bog</v>
      </c>
    </row>
    <row r="30" spans="1:88" x14ac:dyDescent="0.25">
      <c r="A30" s="3" t="str">
        <f t="shared" ca="1" si="0"/>
        <v>2</v>
      </c>
      <c r="B30" s="3">
        <f t="shared" ca="1" si="1"/>
        <v>1</v>
      </c>
      <c r="C30" s="3" t="str">
        <f ca="1">IFERROR(
 INDEX($U$1:$AX$1,
  MATCH(TRUE,
   CHOOSE({1;2;3;4;5;6;7;8;9;10;11;12;13;14;15;16;17;18;19;20;21;22;23;24;25;26;27;28;29;30;31;32},
    COUNTIFS($U$2:$U$200,$G30)&gt;0,
    COUNTIFS($V$2:$V$200,$G30)&gt;0,
    COUNTIFS($W$2:$W$200,$G30)&gt;0,
    COUNTIFS($X$2:$X$200,$G30)&gt;0,
    COUNTIFS($Y$2:$Y$200,$G30)&gt;0,
    COUNTIFS($Z$2:$Z$200,$G30)&gt;0,
    COUNTIFS($AA$2:$AA$200,$G30)&gt;0,
    COUNTIFS($AB$2:$AB$200,$G30)&gt;0,
    COUNTIFS($AC$2:$AC$200,$G30)&gt;0,
    COUNTIFS($AD$2:$AD$200,$G30)&gt;0,
    COUNTIFS($AE$2:$AE$200,$G30)&gt;0,
    COUNTIFS($AF$2:$AF$200,$G30)&gt;0,
    COUNTIFS($AG$2:$AG$200,$G30)&gt;0,
    COUNTIFS($AH$2:$AH$200,$G30)&gt;0,
    COUNTIFS($AI$2:$AI$200,$G30)&gt;0,
    COUNTIFS($AJ$2:$AJ$200,$G30)&gt;0,
    COUNTIFS($AK$2:$AK$200,$G30)&gt;0,
    COUNTIFS($AL$2:$AL$200,$G30)&gt;0,
    COUNTIFS($AM$2:$AM$200,$G30)&gt;0,
    COUNTIFS($AN$2:$AN$200,$G30)&gt;0,
    COUNTIFS($AO$2:$AO$200,$G30)&gt;0,
    COUNTIFS($AP$2:$AP$200,$G30)&gt;0,
    COUNTIFS($AQ$2:$AQ$200,$G30)&gt;0,
    COUNTIFS($AR$2:$AR$200,$G30)&gt;0,
    COUNTIFS($AS$2:$AS$200,$G30)&gt;0,
    COUNTIFS($AT$2:$AT$200,$G30)&gt;0,
    COUNTIFS($AU$2:$AU$200,$G30)&gt;0,
    COUNTIFS($AV$2:$AV$200,$G30)&gt;0,
    COUNTIFS($AW$2:$AW$200,$G30)&gt;0,
    COUNTIFS($AX$2:$AX$200,$G30)&gt;0
   ),
  0)
 ),
"")</f>
        <v>Baylen</v>
      </c>
      <c r="D30" s="3" t="str" cm="1">
        <f t="array" aca="1" ref="D30" ca="1">IFERROR(
 INDEX(
  _xlfn._xlws.FILTER($U$1:$AX$1,
   TRANSPOSE(
    CHOOSE({1;2;3;4;5;6;7;8;9;10;11;12;13;14;15;16;17;18;19;20;21;22;23;24;25;26;27;28;29;30},
     COUNTIFS($U$2:$U$200,$G30)&gt;0,
     COUNTIFS($V$2:$V$200,$G30)&gt;0,
     COUNTIFS($W$2:$W$200,$G30)&gt;0,
     COUNTIFS($X$2:$X$200,$G30)&gt;0,
     COUNTIFS($Y$2:$Y$200,$G30)&gt;0,
     COUNTIFS($Z$2:$Z$200,$G30)&gt;0,
     COUNTIFS($AA$2:$AA$200,$G30)&gt;0,
     COUNTIFS($AB$2:$AB$200,$G30)&gt;0,
     COUNTIFS($AC$2:$AC$200,$G30)&gt;0,
     COUNTIFS($AD$2:$AD$200,$G30)&gt;0,
     COUNTIFS($AE$2:$AE$200,$G30)&gt;0,
     COUNTIFS($AF$2:$AF$200,$G30)&gt;0,
     COUNTIFS($AG$2:$AG$200,$G30)&gt;0,
     COUNTIFS($AH$2:$AH$200,$G30)&gt;0,
     COUNTIFS($AI$2:$AI$200,$G30)&gt;0,
     COUNTIFS($AJ$2:$AJ$200,$G30)&gt;0,
     COUNTIFS($AK$2:$AK$200,$G30)&gt;0,
     COUNTIFS($AL$2:$AL$200,$G30)&gt;0,
     COUNTIFS($AM$2:$AM$200,$G30)&gt;0,
     COUNTIFS($AN$2:$AN$200,$G30)&gt;0,
     COUNTIFS($AO$2:$AO$200,$G30)&gt;0,
     COUNTIFS($AP$2:$AP$200,$G30)&gt;0,
     COUNTIFS($AQ$2:$AQ$200,$G30)&gt;0,
     COUNTIFS($AR$2:$AR$200,$G30)&gt;0,
     COUNTIFS($AS$2:$AS$200,$G30)&gt;0,
     COUNTIFS($AT$2:$AT$200,$G30)&gt;0,
     COUNTIFS($AU$2:$AU$200,$G30)&gt;0,
     COUNTIFS($AV$2:$AV$200,$G30)&gt;0,
     COUNTIFS($AW$2:$AW$200,$G30)&gt;0,
     COUNTIFS($AX$2:$AX$200,$G30)&gt;0
   )),
  ),
  2
 ),
"")</f>
        <v/>
      </c>
      <c r="E30" s="3" t="str" cm="1">
        <f t="array" aca="1" ref="E30" ca="1">IFERROR(
 INDEX(
  _xlfn._xlws.FILTER($U$1:$AX$1,
   TRANSPOSE(
    CHOOSE({1;2;3;4;5;6;7;8;9;10;11;12;13;14;15;16;17;18;19;20;21;22;23;24;25;26;27;28;29;30},
     COUNTIFS($U$2:$U$200,$G30)&gt;0,
     COUNTIFS($V$2:$V$200,$G30)&gt;0,
     COUNTIFS($W$2:$W$200,$G30)&gt;0,
     COUNTIFS($X$2:$X$200,$G30)&gt;0,
     COUNTIFS($Y$2:$Y$200,$G30)&gt;0,
     COUNTIFS($Z$2:$Z$200,$G30)&gt;0,
     COUNTIFS($AA$2:$AA$200,$G30)&gt;0,
     COUNTIFS($AB$2:$AB$200,$G30)&gt;0,
     COUNTIFS($AC$2:$AC$200,$G30)&gt;0,
     COUNTIFS($AD$2:$AD$200,$G30)&gt;0,
     COUNTIFS($AE$2:$AE$200,$G30)&gt;0,
     COUNTIFS($AF$2:$AF$200,$G30)&gt;0,
     COUNTIFS($AG$2:$AG$200,$G30)&gt;0,
     COUNTIFS($AH$2:$AH$200,$G30)&gt;0,
     COUNTIFS($AI$2:$AI$200,$G30)&gt;0,
     COUNTIFS($AJ$2:$AJ$200,$G30)&gt;0,
     COUNTIFS($AK$2:$AK$200,$G30)&gt;0,
     COUNTIFS($AL$2:$AL$200,$G30)&gt;0,
     COUNTIFS($AM$2:$AM$200,$G30)&gt;0,
     COUNTIFS($AN$2:$AN$200,$G30)&gt;0,
     COUNTIFS($AO$2:$AO$200,$G30)&gt;0,
     COUNTIFS($AP$2:$AP$200,$G30)&gt;0,
     COUNTIFS($AQ$2:$AQ$200,$G30)&gt;0,
     COUNTIFS($AR$2:$AR$200,$G30)&gt;0,
     COUNTIFS($AS$2:$AS$200,$G30)&gt;0,
     COUNTIFS($AT$2:$AT$200,$G30)&gt;0,
     COUNTIFS($AU$2:$AU$200,$G30)&gt;0,
     COUNTIFS($AV$2:$AV$200,$G30)&gt;0,
     COUNTIFS($AW$2:$AW$200,$G30)&gt;0,
     COUNTIFS($AX$2:$AX$200,$G30)&gt;0
   )),
  ),
  3
 ),
"")</f>
        <v/>
      </c>
      <c r="F30" s="3" t="str" cm="1">
        <f t="array" aca="1" ref="F30" ca="1">IFERROR(
 INDEX(
  _xlfn._xlws.FILTER($U$1:$AX$1,
   TRANSPOSE(
    CHOOSE({1;2;3;4;5;6;7;8;9;10;11;12;13;14;15;16;17;18;19;20;21;22;23;24;25;26;27;28;29;30},
     COUNTIFS($U$2:$U$200,$G30)&gt;0,
     COUNTIFS($V$2:$V$200,$G30)&gt;0,
     COUNTIFS($W$2:$W$200,$G30)&gt;0,
     COUNTIFS($X$2:$X$200,$G30)&gt;0,
     COUNTIFS($Y$2:$Y$200,$G30)&gt;0,
     COUNTIFS($Z$2:$Z$200,$G30)&gt;0,
     COUNTIFS($AA$2:$AA$200,$G30)&gt;0,
     COUNTIFS($AB$2:$AB$200,$G30)&gt;0,
     COUNTIFS($AC$2:$AC$200,$G30)&gt;0,
     COUNTIFS($AD$2:$AD$200,$G30)&gt;0,
     COUNTIFS($AE$2:$AE$200,$G30)&gt;0,
     COUNTIFS($AF$2:$AF$200,$G30)&gt;0,
     COUNTIFS($AG$2:$AG$200,$G30)&gt;0,
     COUNTIFS($AH$2:$AH$200,$G30)&gt;0,
     COUNTIFS($AI$2:$AI$200,$G30)&gt;0,
     COUNTIFS($AJ$2:$AJ$200,$G30)&gt;0,
     COUNTIFS($AK$2:$AK$200,$G30)&gt;0,
     COUNTIFS($AL$2:$AL$200,$G30)&gt;0,
     COUNTIFS($AM$2:$AM$200,$G30)&gt;0,
     COUNTIFS($AN$2:$AN$200,$G30)&gt;0,
     COUNTIFS($AO$2:$AO$200,$G30)&gt;0,
     COUNTIFS($AP$2:$AP$200,$G30)&gt;0,
     COUNTIFS($AQ$2:$AQ$200,$G30)&gt;0,
     COUNTIFS($AR$2:$AR$200,$G30)&gt;0,
     COUNTIFS($AS$2:$AS$200,$G30)&gt;0,
     COUNTIFS($AT$2:$AT$200,$G30)&gt;0,
     COUNTIFS($AU$2:$AU$200,$G30)&gt;0,
     COUNTIFS($AV$2:$AV$200,$G30)&gt;0,
     COUNTIFS($AW$2:$AW$200,$G30)&gt;0,
     COUNTIFS($AX$2:$AX$200,$G30)&gt;0
   )),
  ),
  4
 ),
"")</f>
        <v/>
      </c>
      <c r="G30" t="str">
        <f ca="1"/>
        <v>Boros Charm</v>
      </c>
      <c r="I30" t="s">
        <v>17</v>
      </c>
      <c r="J30" s="3">
        <f>Zedruu!G2</f>
        <v>3</v>
      </c>
      <c r="K30" s="3" t="s">
        <v>2056</v>
      </c>
      <c r="L30" s="3" t="s">
        <v>2056</v>
      </c>
      <c r="M30" s="3" t="s">
        <v>2056</v>
      </c>
      <c r="N30" s="3" t="s">
        <v>2057</v>
      </c>
      <c r="O30" s="3" t="s">
        <v>2057</v>
      </c>
      <c r="P30" s="3" t="s">
        <v>2111</v>
      </c>
      <c r="Q30" s="3" t="s">
        <v>327</v>
      </c>
      <c r="R30" s="3" t="s">
        <v>2137</v>
      </c>
      <c r="S30" s="3" t="str">
        <f t="shared" si="2"/>
        <v>5</v>
      </c>
      <c r="W30" t="str">
        <v>Zellix, Sanity Flayer</v>
      </c>
      <c r="X30" t="str">
        <v>Terrasymbiosis</v>
      </c>
      <c r="AX30" t="str">
        <v>Slagwoods Bridge</v>
      </c>
      <c r="BB30" t="str">
        <f ca="1"/>
        <v>Secluded Courtyard</v>
      </c>
      <c r="BC30" t="str">
        <f ca="1"/>
        <v>Managorger Hydra</v>
      </c>
      <c r="BD30" t="str">
        <f ca="1"/>
        <v>Takenuma, Charco Abandonado</v>
      </c>
      <c r="BE30" t="str">
        <f ca="1"/>
        <v>Throne of the God-Pharaoh</v>
      </c>
      <c r="BP30" t="str">
        <f ca="1"/>
        <v>Slagwoods Bridge</v>
      </c>
      <c r="BS30" t="str">
        <f ca="1"/>
        <v>Genji Glove</v>
      </c>
      <c r="BT30" t="str">
        <f ca="1"/>
        <v>Jadar, Ghoulcaller of Nephalia</v>
      </c>
      <c r="BU30" t="str">
        <f ca="1"/>
        <v>Sonic Screwdriver</v>
      </c>
      <c r="BV30" t="str">
        <f ca="1"/>
        <v>Morphic Pool</v>
      </c>
      <c r="BZ30" t="str">
        <f ca="1"/>
        <v>Slagwoods Bridge</v>
      </c>
      <c r="CB30" t="str">
        <f ca="1"/>
        <v>Devoted Druid</v>
      </c>
      <c r="CC30" t="str">
        <f ca="1"/>
        <v>Freyalise, Llanowar's Fury</v>
      </c>
      <c r="CD30" t="str">
        <f ca="1"/>
        <v>Red XIII, Proud Warrior</v>
      </c>
      <c r="CE30" t="str">
        <f ca="1"/>
        <v>Lagoa Espelhada</v>
      </c>
      <c r="CG30" t="str">
        <f ca="1"/>
        <v>Champion of Lambholt</v>
      </c>
      <c r="CH30" t="str">
        <f ca="1"/>
        <v>Filigree Vector</v>
      </c>
      <c r="CJ30" t="str">
        <f ca="1"/>
        <v>Boros Charm</v>
      </c>
    </row>
    <row r="31" spans="1:88" x14ac:dyDescent="0.25">
      <c r="A31" s="3" t="str">
        <f t="shared" ca="1" si="0"/>
        <v>2</v>
      </c>
      <c r="B31" s="3">
        <f t="shared" ca="1" si="1"/>
        <v>1</v>
      </c>
      <c r="C31" s="3" t="str">
        <f ca="1">IFERROR(
 INDEX($U$1:$AX$1,
  MATCH(TRUE,
   CHOOSE({1;2;3;4;5;6;7;8;9;10;11;12;13;14;15;16;17;18;19;20;21;22;23;24;25;26;27;28;29;30;31;32},
    COUNTIFS($U$2:$U$200,$G31)&gt;0,
    COUNTIFS($V$2:$V$200,$G31)&gt;0,
    COUNTIFS($W$2:$W$200,$G31)&gt;0,
    COUNTIFS($X$2:$X$200,$G31)&gt;0,
    COUNTIFS($Y$2:$Y$200,$G31)&gt;0,
    COUNTIFS($Z$2:$Z$200,$G31)&gt;0,
    COUNTIFS($AA$2:$AA$200,$G31)&gt;0,
    COUNTIFS($AB$2:$AB$200,$G31)&gt;0,
    COUNTIFS($AC$2:$AC$200,$G31)&gt;0,
    COUNTIFS($AD$2:$AD$200,$G31)&gt;0,
    COUNTIFS($AE$2:$AE$200,$G31)&gt;0,
    COUNTIFS($AF$2:$AF$200,$G31)&gt;0,
    COUNTIFS($AG$2:$AG$200,$G31)&gt;0,
    COUNTIFS($AH$2:$AH$200,$G31)&gt;0,
    COUNTIFS($AI$2:$AI$200,$G31)&gt;0,
    COUNTIFS($AJ$2:$AJ$200,$G31)&gt;0,
    COUNTIFS($AK$2:$AK$200,$G31)&gt;0,
    COUNTIFS($AL$2:$AL$200,$G31)&gt;0,
    COUNTIFS($AM$2:$AM$200,$G31)&gt;0,
    COUNTIFS($AN$2:$AN$200,$G31)&gt;0,
    COUNTIFS($AO$2:$AO$200,$G31)&gt;0,
    COUNTIFS($AP$2:$AP$200,$G31)&gt;0,
    COUNTIFS($AQ$2:$AQ$200,$G31)&gt;0,
    COUNTIFS($AR$2:$AR$200,$G31)&gt;0,
    COUNTIFS($AS$2:$AS$200,$G31)&gt;0,
    COUNTIFS($AT$2:$AT$200,$G31)&gt;0,
    COUNTIFS($AU$2:$AU$200,$G31)&gt;0,
    COUNTIFS($AV$2:$AV$200,$G31)&gt;0,
    COUNTIFS($AW$2:$AW$200,$G31)&gt;0,
    COUNTIFS($AX$2:$AX$200,$G31)&gt;0
   ),
  0)
 ),
"")</f>
        <v>Rani</v>
      </c>
      <c r="D31" s="3" t="str" cm="1">
        <f t="array" aca="1" ref="D31" ca="1">IFERROR(
 INDEX(
  _xlfn._xlws.FILTER($U$1:$AX$1,
   TRANSPOSE(
    CHOOSE({1;2;3;4;5;6;7;8;9;10;11;12;13;14;15;16;17;18;19;20;21;22;23;24;25;26;27;28;29;30},
     COUNTIFS($U$2:$U$200,$G31)&gt;0,
     COUNTIFS($V$2:$V$200,$G31)&gt;0,
     COUNTIFS($W$2:$W$200,$G31)&gt;0,
     COUNTIFS($X$2:$X$200,$G31)&gt;0,
     COUNTIFS($Y$2:$Y$200,$G31)&gt;0,
     COUNTIFS($Z$2:$Z$200,$G31)&gt;0,
     COUNTIFS($AA$2:$AA$200,$G31)&gt;0,
     COUNTIFS($AB$2:$AB$200,$G31)&gt;0,
     COUNTIFS($AC$2:$AC$200,$G31)&gt;0,
     COUNTIFS($AD$2:$AD$200,$G31)&gt;0,
     COUNTIFS($AE$2:$AE$200,$G31)&gt;0,
     COUNTIFS($AF$2:$AF$200,$G31)&gt;0,
     COUNTIFS($AG$2:$AG$200,$G31)&gt;0,
     COUNTIFS($AH$2:$AH$200,$G31)&gt;0,
     COUNTIFS($AI$2:$AI$200,$G31)&gt;0,
     COUNTIFS($AJ$2:$AJ$200,$G31)&gt;0,
     COUNTIFS($AK$2:$AK$200,$G31)&gt;0,
     COUNTIFS($AL$2:$AL$200,$G31)&gt;0,
     COUNTIFS($AM$2:$AM$200,$G31)&gt;0,
     COUNTIFS($AN$2:$AN$200,$G31)&gt;0,
     COUNTIFS($AO$2:$AO$200,$G31)&gt;0,
     COUNTIFS($AP$2:$AP$200,$G31)&gt;0,
     COUNTIFS($AQ$2:$AQ$200,$G31)&gt;0,
     COUNTIFS($AR$2:$AR$200,$G31)&gt;0,
     COUNTIFS($AS$2:$AS$200,$G31)&gt;0,
     COUNTIFS($AT$2:$AT$200,$G31)&gt;0,
     COUNTIFS($AU$2:$AU$200,$G31)&gt;0,
     COUNTIFS($AV$2:$AV$200,$G31)&gt;0,
     COUNTIFS($AW$2:$AW$200,$G31)&gt;0,
     COUNTIFS($AX$2:$AX$200,$G31)&gt;0
   )),
  ),
  2
 ),
"")</f>
        <v/>
      </c>
      <c r="E31" s="3" t="str" cm="1">
        <f t="array" aca="1" ref="E31" ca="1">IFERROR(
 INDEX(
  _xlfn._xlws.FILTER($U$1:$AX$1,
   TRANSPOSE(
    CHOOSE({1;2;3;4;5;6;7;8;9;10;11;12;13;14;15;16;17;18;19;20;21;22;23;24;25;26;27;28;29;30},
     COUNTIFS($U$2:$U$200,$G31)&gt;0,
     COUNTIFS($V$2:$V$200,$G31)&gt;0,
     COUNTIFS($W$2:$W$200,$G31)&gt;0,
     COUNTIFS($X$2:$X$200,$G31)&gt;0,
     COUNTIFS($Y$2:$Y$200,$G31)&gt;0,
     COUNTIFS($Z$2:$Z$200,$G31)&gt;0,
     COUNTIFS($AA$2:$AA$200,$G31)&gt;0,
     COUNTIFS($AB$2:$AB$200,$G31)&gt;0,
     COUNTIFS($AC$2:$AC$200,$G31)&gt;0,
     COUNTIFS($AD$2:$AD$200,$G31)&gt;0,
     COUNTIFS($AE$2:$AE$200,$G31)&gt;0,
     COUNTIFS($AF$2:$AF$200,$G31)&gt;0,
     COUNTIFS($AG$2:$AG$200,$G31)&gt;0,
     COUNTIFS($AH$2:$AH$200,$G31)&gt;0,
     COUNTIFS($AI$2:$AI$200,$G31)&gt;0,
     COUNTIFS($AJ$2:$AJ$200,$G31)&gt;0,
     COUNTIFS($AK$2:$AK$200,$G31)&gt;0,
     COUNTIFS($AL$2:$AL$200,$G31)&gt;0,
     COUNTIFS($AM$2:$AM$200,$G31)&gt;0,
     COUNTIFS($AN$2:$AN$200,$G31)&gt;0,
     COUNTIFS($AO$2:$AO$200,$G31)&gt;0,
     COUNTIFS($AP$2:$AP$200,$G31)&gt;0,
     COUNTIFS($AQ$2:$AQ$200,$G31)&gt;0,
     COUNTIFS($AR$2:$AR$200,$G31)&gt;0,
     COUNTIFS($AS$2:$AS$200,$G31)&gt;0,
     COUNTIFS($AT$2:$AT$200,$G31)&gt;0,
     COUNTIFS($AU$2:$AU$200,$G31)&gt;0,
     COUNTIFS($AV$2:$AV$200,$G31)&gt;0,
     COUNTIFS($AW$2:$AW$200,$G31)&gt;0,
     COUNTIFS($AX$2:$AX$200,$G31)&gt;0
   )),
  ),
  3
 ),
"")</f>
        <v/>
      </c>
      <c r="F31" s="3" t="str" cm="1">
        <f t="array" aca="1" ref="F31" ca="1">IFERROR(
 INDEX(
  _xlfn._xlws.FILTER($U$1:$AX$1,
   TRANSPOSE(
    CHOOSE({1;2;3;4;5;6;7;8;9;10;11;12;13;14;15;16;17;18;19;20;21;22;23;24;25;26;27;28;29;30},
     COUNTIFS($U$2:$U$200,$G31)&gt;0,
     COUNTIFS($V$2:$V$200,$G31)&gt;0,
     COUNTIFS($W$2:$W$200,$G31)&gt;0,
     COUNTIFS($X$2:$X$200,$G31)&gt;0,
     COUNTIFS($Y$2:$Y$200,$G31)&gt;0,
     COUNTIFS($Z$2:$Z$200,$G31)&gt;0,
     COUNTIFS($AA$2:$AA$200,$G31)&gt;0,
     COUNTIFS($AB$2:$AB$200,$G31)&gt;0,
     COUNTIFS($AC$2:$AC$200,$G31)&gt;0,
     COUNTIFS($AD$2:$AD$200,$G31)&gt;0,
     COUNTIFS($AE$2:$AE$200,$G31)&gt;0,
     COUNTIFS($AF$2:$AF$200,$G31)&gt;0,
     COUNTIFS($AG$2:$AG$200,$G31)&gt;0,
     COUNTIFS($AH$2:$AH$200,$G31)&gt;0,
     COUNTIFS($AI$2:$AI$200,$G31)&gt;0,
     COUNTIFS($AJ$2:$AJ$200,$G31)&gt;0,
     COUNTIFS($AK$2:$AK$200,$G31)&gt;0,
     COUNTIFS($AL$2:$AL$200,$G31)&gt;0,
     COUNTIFS($AM$2:$AM$200,$G31)&gt;0,
     COUNTIFS($AN$2:$AN$200,$G31)&gt;0,
     COUNTIFS($AO$2:$AO$200,$G31)&gt;0,
     COUNTIFS($AP$2:$AP$200,$G31)&gt;0,
     COUNTIFS($AQ$2:$AQ$200,$G31)&gt;0,
     COUNTIFS($AR$2:$AR$200,$G31)&gt;0,
     COUNTIFS($AS$2:$AS$200,$G31)&gt;0,
     COUNTIFS($AT$2:$AT$200,$G31)&gt;0,
     COUNTIFS($AU$2:$AU$200,$G31)&gt;0,
     COUNTIFS($AV$2:$AV$200,$G31)&gt;0,
     COUNTIFS($AW$2:$AW$200,$G31)&gt;0,
     COUNTIFS($AX$2:$AX$200,$G31)&gt;0
   )),
  ),
  4
 ),
"")</f>
        <v/>
      </c>
      <c r="G31" t="str">
        <f ca="1"/>
        <v>Bothersome Quasit</v>
      </c>
      <c r="I31" t="s">
        <v>2155</v>
      </c>
      <c r="J31" s="3">
        <f>Modular!G2</f>
        <v>45</v>
      </c>
      <c r="K31" s="3" t="s">
        <v>2056</v>
      </c>
      <c r="L31" s="3" t="s">
        <v>2057</v>
      </c>
      <c r="M31" s="3" t="s">
        <v>2056</v>
      </c>
      <c r="N31" s="3" t="s">
        <v>2057</v>
      </c>
      <c r="O31" s="3" t="s">
        <v>2056</v>
      </c>
      <c r="P31" s="3" t="s">
        <v>738</v>
      </c>
      <c r="Q31" s="25" t="s">
        <v>2111</v>
      </c>
      <c r="R31" s="3" t="s">
        <v>2154</v>
      </c>
      <c r="S31" s="3" t="str">
        <f t="shared" ref="S31:S32" si="3">IF(J31&lt;6,"5",IF(J31&lt;11,"4",IF(J31&lt;16,"3",IF(J31&lt;31,"2","1"))))</f>
        <v>1</v>
      </c>
      <c r="X31" t="str">
        <v>Tromell, Seymour's Butler</v>
      </c>
      <c r="AX31" t="str">
        <v>Sol Ring</v>
      </c>
      <c r="BB31" t="str">
        <f ca="1"/>
        <v>Second Harvest</v>
      </c>
      <c r="BC31" t="str">
        <f ca="1"/>
        <v>Memory Erosion</v>
      </c>
      <c r="BD31" t="str">
        <f ca="1"/>
        <v>Thought Vessel</v>
      </c>
      <c r="BE31" t="str">
        <f ca="1"/>
        <v>Tishana, Voice of Thunder</v>
      </c>
      <c r="BP31" t="str">
        <f ca="1"/>
        <v>Sol Ring</v>
      </c>
      <c r="BS31" t="str">
        <f ca="1"/>
        <v>Ghostly Prison</v>
      </c>
      <c r="BT31" t="str">
        <f ca="1"/>
        <v>Keen Duelist</v>
      </c>
      <c r="BU31" t="str">
        <f ca="1"/>
        <v>Spectator Seating</v>
      </c>
      <c r="BV31" t="str">
        <f ca="1"/>
        <v>Nicol Bolas, God-Pharaoh</v>
      </c>
      <c r="BZ31" t="str">
        <f ca="1"/>
        <v>Sol Ring</v>
      </c>
      <c r="CB31" t="str">
        <f ca="1"/>
        <v>Drowned Catacomb</v>
      </c>
      <c r="CC31" t="str">
        <f ca="1"/>
        <v>Gerrard's Hourglass Pendant</v>
      </c>
      <c r="CD31" t="str">
        <f ca="1"/>
        <v>Reflecting Pool</v>
      </c>
      <c r="CE31" t="str">
        <f ca="1"/>
        <v>Lithoform Engine</v>
      </c>
      <c r="CG31" t="str">
        <f ca="1"/>
        <v>Champions from Beyond</v>
      </c>
      <c r="CH31" t="str">
        <f ca="1"/>
        <v>Gavony Township</v>
      </c>
      <c r="CJ31" t="str">
        <f ca="1"/>
        <v>Bothersome Quasit</v>
      </c>
    </row>
    <row r="32" spans="1:88" x14ac:dyDescent="0.25">
      <c r="A32" s="3" t="str">
        <f t="shared" ca="1" si="0"/>
        <v>2</v>
      </c>
      <c r="B32" s="3">
        <f t="shared" ca="1" si="1"/>
        <v>1</v>
      </c>
      <c r="C32" s="3" t="str">
        <f ca="1">IFERROR(
 INDEX($U$1:$AX$1,
  MATCH(TRUE,
   CHOOSE({1;2;3;4;5;6;7;8;9;10;11;12;13;14;15;16;17;18;19;20;21;22;23;24;25;26;27;28;29;30;31;32},
    COUNTIFS($U$2:$U$200,$G32)&gt;0,
    COUNTIFS($V$2:$V$200,$G32)&gt;0,
    COUNTIFS($W$2:$W$200,$G32)&gt;0,
    COUNTIFS($X$2:$X$200,$G32)&gt;0,
    COUNTIFS($Y$2:$Y$200,$G32)&gt;0,
    COUNTIFS($Z$2:$Z$200,$G32)&gt;0,
    COUNTIFS($AA$2:$AA$200,$G32)&gt;0,
    COUNTIFS($AB$2:$AB$200,$G32)&gt;0,
    COUNTIFS($AC$2:$AC$200,$G32)&gt;0,
    COUNTIFS($AD$2:$AD$200,$G32)&gt;0,
    COUNTIFS($AE$2:$AE$200,$G32)&gt;0,
    COUNTIFS($AF$2:$AF$200,$G32)&gt;0,
    COUNTIFS($AG$2:$AG$200,$G32)&gt;0,
    COUNTIFS($AH$2:$AH$200,$G32)&gt;0,
    COUNTIFS($AI$2:$AI$200,$G32)&gt;0,
    COUNTIFS($AJ$2:$AJ$200,$G32)&gt;0,
    COUNTIFS($AK$2:$AK$200,$G32)&gt;0,
    COUNTIFS($AL$2:$AL$200,$G32)&gt;0,
    COUNTIFS($AM$2:$AM$200,$G32)&gt;0,
    COUNTIFS($AN$2:$AN$200,$G32)&gt;0,
    COUNTIFS($AO$2:$AO$200,$G32)&gt;0,
    COUNTIFS($AP$2:$AP$200,$G32)&gt;0,
    COUNTIFS($AQ$2:$AQ$200,$G32)&gt;0,
    COUNTIFS($AR$2:$AR$200,$G32)&gt;0,
    COUNTIFS($AS$2:$AS$200,$G32)&gt;0,
    COUNTIFS($AT$2:$AT$200,$G32)&gt;0,
    COUNTIFS($AU$2:$AU$200,$G32)&gt;0,
    COUNTIFS($AV$2:$AV$200,$G32)&gt;0,
    COUNTIFS($AW$2:$AW$200,$G32)&gt;0,
    COUNTIFS($AX$2:$AX$200,$G32)&gt;0
   ),
  0)
 ),
"")</f>
        <v>Piratas</v>
      </c>
      <c r="D32" s="3" t="str" cm="1">
        <f t="array" aca="1" ref="D32" ca="1">IFERROR(
 INDEX(
  _xlfn._xlws.FILTER($U$1:$AX$1,
   TRANSPOSE(
    CHOOSE({1;2;3;4;5;6;7;8;9;10;11;12;13;14;15;16;17;18;19;20;21;22;23;24;25;26;27;28;29;30},
     COUNTIFS($U$2:$U$200,$G32)&gt;0,
     COUNTIFS($V$2:$V$200,$G32)&gt;0,
     COUNTIFS($W$2:$W$200,$G32)&gt;0,
     COUNTIFS($X$2:$X$200,$G32)&gt;0,
     COUNTIFS($Y$2:$Y$200,$G32)&gt;0,
     COUNTIFS($Z$2:$Z$200,$G32)&gt;0,
     COUNTIFS($AA$2:$AA$200,$G32)&gt;0,
     COUNTIFS($AB$2:$AB$200,$G32)&gt;0,
     COUNTIFS($AC$2:$AC$200,$G32)&gt;0,
     COUNTIFS($AD$2:$AD$200,$G32)&gt;0,
     COUNTIFS($AE$2:$AE$200,$G32)&gt;0,
     COUNTIFS($AF$2:$AF$200,$G32)&gt;0,
     COUNTIFS($AG$2:$AG$200,$G32)&gt;0,
     COUNTIFS($AH$2:$AH$200,$G32)&gt;0,
     COUNTIFS($AI$2:$AI$200,$G32)&gt;0,
     COUNTIFS($AJ$2:$AJ$200,$G32)&gt;0,
     COUNTIFS($AK$2:$AK$200,$G32)&gt;0,
     COUNTIFS($AL$2:$AL$200,$G32)&gt;0,
     COUNTIFS($AM$2:$AM$200,$G32)&gt;0,
     COUNTIFS($AN$2:$AN$200,$G32)&gt;0,
     COUNTIFS($AO$2:$AO$200,$G32)&gt;0,
     COUNTIFS($AP$2:$AP$200,$G32)&gt;0,
     COUNTIFS($AQ$2:$AQ$200,$G32)&gt;0,
     COUNTIFS($AR$2:$AR$200,$G32)&gt;0,
     COUNTIFS($AS$2:$AS$200,$G32)&gt;0,
     COUNTIFS($AT$2:$AT$200,$G32)&gt;0,
     COUNTIFS($AU$2:$AU$200,$G32)&gt;0,
     COUNTIFS($AV$2:$AV$200,$G32)&gt;0,
     COUNTIFS($AW$2:$AW$200,$G32)&gt;0,
     COUNTIFS($AX$2:$AX$200,$G32)&gt;0
   )),
  ),
  2
 ),
"")</f>
        <v/>
      </c>
      <c r="E32" s="3" t="str" cm="1">
        <f t="array" aca="1" ref="E32" ca="1">IFERROR(
 INDEX(
  _xlfn._xlws.FILTER($U$1:$AX$1,
   TRANSPOSE(
    CHOOSE({1;2;3;4;5;6;7;8;9;10;11;12;13;14;15;16;17;18;19;20;21;22;23;24;25;26;27;28;29;30},
     COUNTIFS($U$2:$U$200,$G32)&gt;0,
     COUNTIFS($V$2:$V$200,$G32)&gt;0,
     COUNTIFS($W$2:$W$200,$G32)&gt;0,
     COUNTIFS($X$2:$X$200,$G32)&gt;0,
     COUNTIFS($Y$2:$Y$200,$G32)&gt;0,
     COUNTIFS($Z$2:$Z$200,$G32)&gt;0,
     COUNTIFS($AA$2:$AA$200,$G32)&gt;0,
     COUNTIFS($AB$2:$AB$200,$G32)&gt;0,
     COUNTIFS($AC$2:$AC$200,$G32)&gt;0,
     COUNTIFS($AD$2:$AD$200,$G32)&gt;0,
     COUNTIFS($AE$2:$AE$200,$G32)&gt;0,
     COUNTIFS($AF$2:$AF$200,$G32)&gt;0,
     COUNTIFS($AG$2:$AG$200,$G32)&gt;0,
     COUNTIFS($AH$2:$AH$200,$G32)&gt;0,
     COUNTIFS($AI$2:$AI$200,$G32)&gt;0,
     COUNTIFS($AJ$2:$AJ$200,$G32)&gt;0,
     COUNTIFS($AK$2:$AK$200,$G32)&gt;0,
     COUNTIFS($AL$2:$AL$200,$G32)&gt;0,
     COUNTIFS($AM$2:$AM$200,$G32)&gt;0,
     COUNTIFS($AN$2:$AN$200,$G32)&gt;0,
     COUNTIFS($AO$2:$AO$200,$G32)&gt;0,
     COUNTIFS($AP$2:$AP$200,$G32)&gt;0,
     COUNTIFS($AQ$2:$AQ$200,$G32)&gt;0,
     COUNTIFS($AR$2:$AR$200,$G32)&gt;0,
     COUNTIFS($AS$2:$AS$200,$G32)&gt;0,
     COUNTIFS($AT$2:$AT$200,$G32)&gt;0,
     COUNTIFS($AU$2:$AU$200,$G32)&gt;0,
     COUNTIFS($AV$2:$AV$200,$G32)&gt;0,
     COUNTIFS($AW$2:$AW$200,$G32)&gt;0,
     COUNTIFS($AX$2:$AX$200,$G32)&gt;0
   )),
  ),
  3
 ),
"")</f>
        <v/>
      </c>
      <c r="F32" s="3" t="str" cm="1">
        <f t="array" aca="1" ref="F32" ca="1">IFERROR(
 INDEX(
  _xlfn._xlws.FILTER($U$1:$AX$1,
   TRANSPOSE(
    CHOOSE({1;2;3;4;5;6;7;8;9;10;11;12;13;14;15;16;17;18;19;20;21;22;23;24;25;26;27;28;29;30},
     COUNTIFS($U$2:$U$200,$G32)&gt;0,
     COUNTIFS($V$2:$V$200,$G32)&gt;0,
     COUNTIFS($W$2:$W$200,$G32)&gt;0,
     COUNTIFS($X$2:$X$200,$G32)&gt;0,
     COUNTIFS($Y$2:$Y$200,$G32)&gt;0,
     COUNTIFS($Z$2:$Z$200,$G32)&gt;0,
     COUNTIFS($AA$2:$AA$200,$G32)&gt;0,
     COUNTIFS($AB$2:$AB$200,$G32)&gt;0,
     COUNTIFS($AC$2:$AC$200,$G32)&gt;0,
     COUNTIFS($AD$2:$AD$200,$G32)&gt;0,
     COUNTIFS($AE$2:$AE$200,$G32)&gt;0,
     COUNTIFS($AF$2:$AF$200,$G32)&gt;0,
     COUNTIFS($AG$2:$AG$200,$G32)&gt;0,
     COUNTIFS($AH$2:$AH$200,$G32)&gt;0,
     COUNTIFS($AI$2:$AI$200,$G32)&gt;0,
     COUNTIFS($AJ$2:$AJ$200,$G32)&gt;0,
     COUNTIFS($AK$2:$AK$200,$G32)&gt;0,
     COUNTIFS($AL$2:$AL$200,$G32)&gt;0,
     COUNTIFS($AM$2:$AM$200,$G32)&gt;0,
     COUNTIFS($AN$2:$AN$200,$G32)&gt;0,
     COUNTIFS($AO$2:$AO$200,$G32)&gt;0,
     COUNTIFS($AP$2:$AP$200,$G32)&gt;0,
     COUNTIFS($AQ$2:$AQ$200,$G32)&gt;0,
     COUNTIFS($AR$2:$AR$200,$G32)&gt;0,
     COUNTIFS($AS$2:$AS$200,$G32)&gt;0,
     COUNTIFS($AT$2:$AT$200,$G32)&gt;0,
     COUNTIFS($AU$2:$AU$200,$G32)&gt;0,
     COUNTIFS($AV$2:$AV$200,$G32)&gt;0,
     COUNTIFS($AW$2:$AW$200,$G32)&gt;0,
     COUNTIFS($AX$2:$AX$200,$G32)&gt;0
   )),
  ),
  4
 ),
"")</f>
        <v/>
      </c>
      <c r="G32" t="str">
        <f ca="1"/>
        <v>Broadside Bombardiers</v>
      </c>
      <c r="I32" s="19" t="s">
        <v>2175</v>
      </c>
      <c r="J32" s="3">
        <f>Exaltado!G2</f>
        <v>0</v>
      </c>
      <c r="K32" s="3" t="s">
        <v>2056</v>
      </c>
      <c r="L32" s="3" t="s">
        <v>2056</v>
      </c>
      <c r="M32" s="3" t="s">
        <v>2057</v>
      </c>
      <c r="N32" s="3" t="s">
        <v>2057</v>
      </c>
      <c r="O32" s="3" t="s">
        <v>2056</v>
      </c>
      <c r="P32" s="3" t="s">
        <v>2107</v>
      </c>
      <c r="Q32" s="3" t="s">
        <v>738</v>
      </c>
      <c r="R32" s="3" t="s">
        <v>2107</v>
      </c>
      <c r="S32" s="3" t="str">
        <f t="shared" si="3"/>
        <v>5</v>
      </c>
      <c r="X32" t="str">
        <v>Unbreakable Formation</v>
      </c>
      <c r="AX32" t="str">
        <v>Strionic Resonator</v>
      </c>
      <c r="BB32" t="str">
        <f ca="1"/>
        <v>Seedborn Muse</v>
      </c>
      <c r="BC32" t="str">
        <f ca="1"/>
        <v>Monastery Siege</v>
      </c>
      <c r="BD32" t="str">
        <f ca="1"/>
        <v>Trenzalore Clocktower</v>
      </c>
      <c r="BE32" t="str">
        <f ca="1"/>
        <v>Vanquisher's Banner</v>
      </c>
      <c r="BP32" t="str">
        <f ca="1"/>
        <v>Strionic Resonator</v>
      </c>
      <c r="BS32" t="str">
        <f ca="1"/>
        <v>Glint-Horn Buccaneer</v>
      </c>
      <c r="BT32" t="str">
        <f ca="1"/>
        <v>Kodama's Reach</v>
      </c>
      <c r="BU32" t="str">
        <f ca="1"/>
        <v>Takenuma, Charco Abandonado</v>
      </c>
      <c r="BV32" t="str">
        <f ca="1"/>
        <v>O Dínamo Peregrino</v>
      </c>
      <c r="BZ32" t="str">
        <f ca="1"/>
        <v>Strionic Resonator</v>
      </c>
      <c r="CB32" t="str">
        <f ca="1"/>
        <v>Dúplice Debochada</v>
      </c>
      <c r="CC32" t="str">
        <f ca="1"/>
        <v>Glasspool Mimic</v>
      </c>
      <c r="CD32" t="str">
        <f ca="1"/>
        <v>Saqueador Amaldiçoado</v>
      </c>
      <c r="CE32" t="str">
        <f ca="1"/>
        <v>Lotus Field</v>
      </c>
      <c r="CG32" t="str">
        <f ca="1"/>
        <v>Chimil, o Sol Interior</v>
      </c>
      <c r="CH32" t="str">
        <f ca="1"/>
        <v>Great Furnace</v>
      </c>
      <c r="CJ32" t="str">
        <f ca="1"/>
        <v>Broadside Bombardiers</v>
      </c>
    </row>
    <row r="33" spans="1:88" x14ac:dyDescent="0.25">
      <c r="A33" s="3" t="str">
        <f t="shared" ca="1" si="0"/>
        <v>2</v>
      </c>
      <c r="B33" s="3">
        <f t="shared" ca="1" si="1"/>
        <v>1</v>
      </c>
      <c r="C33" s="3" t="str">
        <f ca="1">IFERROR(
 INDEX($U$1:$AX$1,
  MATCH(TRUE,
   CHOOSE({1;2;3;4;5;6;7;8;9;10;11;12;13;14;15;16;17;18;19;20;21;22;23;24;25;26;27;28;29;30;31;32},
    COUNTIFS($U$2:$U$200,$G33)&gt;0,
    COUNTIFS($V$2:$V$200,$G33)&gt;0,
    COUNTIFS($W$2:$W$200,$G33)&gt;0,
    COUNTIFS($X$2:$X$200,$G33)&gt;0,
    COUNTIFS($Y$2:$Y$200,$G33)&gt;0,
    COUNTIFS($Z$2:$Z$200,$G33)&gt;0,
    COUNTIFS($AA$2:$AA$200,$G33)&gt;0,
    COUNTIFS($AB$2:$AB$200,$G33)&gt;0,
    COUNTIFS($AC$2:$AC$200,$G33)&gt;0,
    COUNTIFS($AD$2:$AD$200,$G33)&gt;0,
    COUNTIFS($AE$2:$AE$200,$G33)&gt;0,
    COUNTIFS($AF$2:$AF$200,$G33)&gt;0,
    COUNTIFS($AG$2:$AG$200,$G33)&gt;0,
    COUNTIFS($AH$2:$AH$200,$G33)&gt;0,
    COUNTIFS($AI$2:$AI$200,$G33)&gt;0,
    COUNTIFS($AJ$2:$AJ$200,$G33)&gt;0,
    COUNTIFS($AK$2:$AK$200,$G33)&gt;0,
    COUNTIFS($AL$2:$AL$200,$G33)&gt;0,
    COUNTIFS($AM$2:$AM$200,$G33)&gt;0,
    COUNTIFS($AN$2:$AN$200,$G33)&gt;0,
    COUNTIFS($AO$2:$AO$200,$G33)&gt;0,
    COUNTIFS($AP$2:$AP$200,$G33)&gt;0,
    COUNTIFS($AQ$2:$AQ$200,$G33)&gt;0,
    COUNTIFS($AR$2:$AR$200,$G33)&gt;0,
    COUNTIFS($AS$2:$AS$200,$G33)&gt;0,
    COUNTIFS($AT$2:$AT$200,$G33)&gt;0,
    COUNTIFS($AU$2:$AU$200,$G33)&gt;0,
    COUNTIFS($AV$2:$AV$200,$G33)&gt;0,
    COUNTIFS($AW$2:$AW$200,$G33)&gt;0,
    COUNTIFS($AX$2:$AX$200,$G33)&gt;0
   ),
  0)
 ),
"")</f>
        <v>Baylen</v>
      </c>
      <c r="D33" s="3" t="str" cm="1">
        <f t="array" aca="1" ref="D33" ca="1">IFERROR(
 INDEX(
  _xlfn._xlws.FILTER($U$1:$AX$1,
   TRANSPOSE(
    CHOOSE({1;2;3;4;5;6;7;8;9;10;11;12;13;14;15;16;17;18;19;20;21;22;23;24;25;26;27;28;29;30},
     COUNTIFS($U$2:$U$200,$G33)&gt;0,
     COUNTIFS($V$2:$V$200,$G33)&gt;0,
     COUNTIFS($W$2:$W$200,$G33)&gt;0,
     COUNTIFS($X$2:$X$200,$G33)&gt;0,
     COUNTIFS($Y$2:$Y$200,$G33)&gt;0,
     COUNTIFS($Z$2:$Z$200,$G33)&gt;0,
     COUNTIFS($AA$2:$AA$200,$G33)&gt;0,
     COUNTIFS($AB$2:$AB$200,$G33)&gt;0,
     COUNTIFS($AC$2:$AC$200,$G33)&gt;0,
     COUNTIFS($AD$2:$AD$200,$G33)&gt;0,
     COUNTIFS($AE$2:$AE$200,$G33)&gt;0,
     COUNTIFS($AF$2:$AF$200,$G33)&gt;0,
     COUNTIFS($AG$2:$AG$200,$G33)&gt;0,
     COUNTIFS($AH$2:$AH$200,$G33)&gt;0,
     COUNTIFS($AI$2:$AI$200,$G33)&gt;0,
     COUNTIFS($AJ$2:$AJ$200,$G33)&gt;0,
     COUNTIFS($AK$2:$AK$200,$G33)&gt;0,
     COUNTIFS($AL$2:$AL$200,$G33)&gt;0,
     COUNTIFS($AM$2:$AM$200,$G33)&gt;0,
     COUNTIFS($AN$2:$AN$200,$G33)&gt;0,
     COUNTIFS($AO$2:$AO$200,$G33)&gt;0,
     COUNTIFS($AP$2:$AP$200,$G33)&gt;0,
     COUNTIFS($AQ$2:$AQ$200,$G33)&gt;0,
     COUNTIFS($AR$2:$AR$200,$G33)&gt;0,
     COUNTIFS($AS$2:$AS$200,$G33)&gt;0,
     COUNTIFS($AT$2:$AT$200,$G33)&gt;0,
     COUNTIFS($AU$2:$AU$200,$G33)&gt;0,
     COUNTIFS($AV$2:$AV$200,$G33)&gt;0,
     COUNTIFS($AW$2:$AW$200,$G33)&gt;0,
     COUNTIFS($AX$2:$AX$200,$G33)&gt;0
   )),
  ),
  2
 ),
"")</f>
        <v/>
      </c>
      <c r="E33" s="3" t="str" cm="1">
        <f t="array" aca="1" ref="E33" ca="1">IFERROR(
 INDEX(
  _xlfn._xlws.FILTER($U$1:$AX$1,
   TRANSPOSE(
    CHOOSE({1;2;3;4;5;6;7;8;9;10;11;12;13;14;15;16;17;18;19;20;21;22;23;24;25;26;27;28;29;30},
     COUNTIFS($U$2:$U$200,$G33)&gt;0,
     COUNTIFS($V$2:$V$200,$G33)&gt;0,
     COUNTIFS($W$2:$W$200,$G33)&gt;0,
     COUNTIFS($X$2:$X$200,$G33)&gt;0,
     COUNTIFS($Y$2:$Y$200,$G33)&gt;0,
     COUNTIFS($Z$2:$Z$200,$G33)&gt;0,
     COUNTIFS($AA$2:$AA$200,$G33)&gt;0,
     COUNTIFS($AB$2:$AB$200,$G33)&gt;0,
     COUNTIFS($AC$2:$AC$200,$G33)&gt;0,
     COUNTIFS($AD$2:$AD$200,$G33)&gt;0,
     COUNTIFS($AE$2:$AE$200,$G33)&gt;0,
     COUNTIFS($AF$2:$AF$200,$G33)&gt;0,
     COUNTIFS($AG$2:$AG$200,$G33)&gt;0,
     COUNTIFS($AH$2:$AH$200,$G33)&gt;0,
     COUNTIFS($AI$2:$AI$200,$G33)&gt;0,
     COUNTIFS($AJ$2:$AJ$200,$G33)&gt;0,
     COUNTIFS($AK$2:$AK$200,$G33)&gt;0,
     COUNTIFS($AL$2:$AL$200,$G33)&gt;0,
     COUNTIFS($AM$2:$AM$200,$G33)&gt;0,
     COUNTIFS($AN$2:$AN$200,$G33)&gt;0,
     COUNTIFS($AO$2:$AO$200,$G33)&gt;0,
     COUNTIFS($AP$2:$AP$200,$G33)&gt;0,
     COUNTIFS($AQ$2:$AQ$200,$G33)&gt;0,
     COUNTIFS($AR$2:$AR$200,$G33)&gt;0,
     COUNTIFS($AS$2:$AS$200,$G33)&gt;0,
     COUNTIFS($AT$2:$AT$200,$G33)&gt;0,
     COUNTIFS($AU$2:$AU$200,$G33)&gt;0,
     COUNTIFS($AV$2:$AV$200,$G33)&gt;0,
     COUNTIFS($AW$2:$AW$200,$G33)&gt;0,
     COUNTIFS($AX$2:$AX$200,$G33)&gt;0
   )),
  ),
  3
 ),
"")</f>
        <v/>
      </c>
      <c r="F33" s="3" t="str" cm="1">
        <f t="array" aca="1" ref="F33" ca="1">IFERROR(
 INDEX(
  _xlfn._xlws.FILTER($U$1:$AX$1,
   TRANSPOSE(
    CHOOSE({1;2;3;4;5;6;7;8;9;10;11;12;13;14;15;16;17;18;19;20;21;22;23;24;25;26;27;28;29;30},
     COUNTIFS($U$2:$U$200,$G33)&gt;0,
     COUNTIFS($V$2:$V$200,$G33)&gt;0,
     COUNTIFS($W$2:$W$200,$G33)&gt;0,
     COUNTIFS($X$2:$X$200,$G33)&gt;0,
     COUNTIFS($Y$2:$Y$200,$G33)&gt;0,
     COUNTIFS($Z$2:$Z$200,$G33)&gt;0,
     COUNTIFS($AA$2:$AA$200,$G33)&gt;0,
     COUNTIFS($AB$2:$AB$200,$G33)&gt;0,
     COUNTIFS($AC$2:$AC$200,$G33)&gt;0,
     COUNTIFS($AD$2:$AD$200,$G33)&gt;0,
     COUNTIFS($AE$2:$AE$200,$G33)&gt;0,
     COUNTIFS($AF$2:$AF$200,$G33)&gt;0,
     COUNTIFS($AG$2:$AG$200,$G33)&gt;0,
     COUNTIFS($AH$2:$AH$200,$G33)&gt;0,
     COUNTIFS($AI$2:$AI$200,$G33)&gt;0,
     COUNTIFS($AJ$2:$AJ$200,$G33)&gt;0,
     COUNTIFS($AK$2:$AK$200,$G33)&gt;0,
     COUNTIFS($AL$2:$AL$200,$G33)&gt;0,
     COUNTIFS($AM$2:$AM$200,$G33)&gt;0,
     COUNTIFS($AN$2:$AN$200,$G33)&gt;0,
     COUNTIFS($AO$2:$AO$200,$G33)&gt;0,
     COUNTIFS($AP$2:$AP$200,$G33)&gt;0,
     COUNTIFS($AQ$2:$AQ$200,$G33)&gt;0,
     COUNTIFS($AR$2:$AR$200,$G33)&gt;0,
     COUNTIFS($AS$2:$AS$200,$G33)&gt;0,
     COUNTIFS($AT$2:$AT$200,$G33)&gt;0,
     COUNTIFS($AU$2:$AU$200,$G33)&gt;0,
     COUNTIFS($AV$2:$AV$200,$G33)&gt;0,
     COUNTIFS($AW$2:$AW$200,$G33)&gt;0,
     COUNTIFS($AX$2:$AX$200,$G33)&gt;0
   )),
  ),
  4
 ),
"")</f>
        <v/>
      </c>
      <c r="G33" t="str">
        <f ca="1"/>
        <v>Brushland</v>
      </c>
      <c r="X33" t="str">
        <v>Zack Fair</v>
      </c>
      <c r="AX33" t="str">
        <v>Sunhome, Fortress of the Legion</v>
      </c>
      <c r="BB33" t="str">
        <f ca="1"/>
        <v>Shoot the Sheriff</v>
      </c>
      <c r="BC33" t="str">
        <f ca="1"/>
        <v>Ozolith, the Shattered Spire</v>
      </c>
      <c r="BD33" t="str">
        <f ca="1"/>
        <v>Unholy Annex // Ritual Chamber</v>
      </c>
      <c r="BE33" t="str">
        <f ca="1"/>
        <v>Zagoth Triome</v>
      </c>
      <c r="BP33" t="str">
        <f ca="1"/>
        <v>Sunhome, Fortress of the Legion</v>
      </c>
      <c r="BS33" t="str">
        <f ca="1"/>
        <v>Gyre Sage</v>
      </c>
      <c r="BT33" t="str">
        <f ca="1"/>
        <v>Life of the Party</v>
      </c>
      <c r="BU33" t="str">
        <f ca="1"/>
        <v>The Mycosynth Gardens</v>
      </c>
      <c r="BV33" t="str">
        <f ca="1"/>
        <v>Oko, Thief of Crowns</v>
      </c>
      <c r="BZ33" t="str">
        <f ca="1"/>
        <v>Sunhome, Fortress of the Legion</v>
      </c>
      <c r="CB33" t="str">
        <f ca="1"/>
        <v>Emberwilde Captain</v>
      </c>
      <c r="CC33" t="str">
        <f ca="1"/>
        <v>Hedge Shredder</v>
      </c>
      <c r="CD33" t="str">
        <f ca="1"/>
        <v>Scour for Scrap</v>
      </c>
      <c r="CE33" t="str">
        <f ca="1"/>
        <v>Monumental Henge</v>
      </c>
      <c r="CG33" t="str">
        <f ca="1"/>
        <v>Cid, Freeflier Pilot</v>
      </c>
      <c r="CH33" t="str">
        <f ca="1"/>
        <v>Haru, Hidden Talent</v>
      </c>
      <c r="CJ33" t="str">
        <f ca="1"/>
        <v>Brushland</v>
      </c>
    </row>
    <row r="34" spans="1:88" x14ac:dyDescent="0.25">
      <c r="A34" s="3" t="str">
        <f t="shared" ca="1" si="0"/>
        <v>4</v>
      </c>
      <c r="B34" s="3">
        <f t="shared" ca="1" si="1"/>
        <v>1</v>
      </c>
      <c r="C34" s="3" t="str">
        <f ca="1">IFERROR(
 INDEX($U$1:$AX$1,
  MATCH(TRUE,
   CHOOSE({1;2;3;4;5;6;7;8;9;10;11;12;13;14;15;16;17;18;19;20;21;22;23;24;25;26;27;28;29;30;31;32},
    COUNTIFS($U$2:$U$200,$G34)&gt;0,
    COUNTIFS($V$2:$V$200,$G34)&gt;0,
    COUNTIFS($W$2:$W$200,$G34)&gt;0,
    COUNTIFS($X$2:$X$200,$G34)&gt;0,
    COUNTIFS($Y$2:$Y$200,$G34)&gt;0,
    COUNTIFS($Z$2:$Z$200,$G34)&gt;0,
    COUNTIFS($AA$2:$AA$200,$G34)&gt;0,
    COUNTIFS($AB$2:$AB$200,$G34)&gt;0,
    COUNTIFS($AC$2:$AC$200,$G34)&gt;0,
    COUNTIFS($AD$2:$AD$200,$G34)&gt;0,
    COUNTIFS($AE$2:$AE$200,$G34)&gt;0,
    COUNTIFS($AF$2:$AF$200,$G34)&gt;0,
    COUNTIFS($AG$2:$AG$200,$G34)&gt;0,
    COUNTIFS($AH$2:$AH$200,$G34)&gt;0,
    COUNTIFS($AI$2:$AI$200,$G34)&gt;0,
    COUNTIFS($AJ$2:$AJ$200,$G34)&gt;0,
    COUNTIFS($AK$2:$AK$200,$G34)&gt;0,
    COUNTIFS($AL$2:$AL$200,$G34)&gt;0,
    COUNTIFS($AM$2:$AM$200,$G34)&gt;0,
    COUNTIFS($AN$2:$AN$200,$G34)&gt;0,
    COUNTIFS($AO$2:$AO$200,$G34)&gt;0,
    COUNTIFS($AP$2:$AP$200,$G34)&gt;0,
    COUNTIFS($AQ$2:$AQ$200,$G34)&gt;0,
    COUNTIFS($AR$2:$AR$200,$G34)&gt;0,
    COUNTIFS($AS$2:$AS$200,$G34)&gt;0,
    COUNTIFS($AT$2:$AT$200,$G34)&gt;0,
    COUNTIFS($AU$2:$AU$200,$G34)&gt;0,
    COUNTIFS($AV$2:$AV$200,$G34)&gt;0,
    COUNTIFS($AW$2:$AW$200,$G34)&gt;0,
    COUNTIFS($AX$2:$AX$200,$G34)&gt;0
   ),
  0)
 ),
"")</f>
        <v>Kresh</v>
      </c>
      <c r="D34" s="3" t="str" cm="1">
        <f t="array" aca="1" ref="D34" ca="1">IFERROR(
 INDEX(
  _xlfn._xlws.FILTER($U$1:$AX$1,
   TRANSPOSE(
    CHOOSE({1;2;3;4;5;6;7;8;9;10;11;12;13;14;15;16;17;18;19;20;21;22;23;24;25;26;27;28;29;30},
     COUNTIFS($U$2:$U$200,$G34)&gt;0,
     COUNTIFS($V$2:$V$200,$G34)&gt;0,
     COUNTIFS($W$2:$W$200,$G34)&gt;0,
     COUNTIFS($X$2:$X$200,$G34)&gt;0,
     COUNTIFS($Y$2:$Y$200,$G34)&gt;0,
     COUNTIFS($Z$2:$Z$200,$G34)&gt;0,
     COUNTIFS($AA$2:$AA$200,$G34)&gt;0,
     COUNTIFS($AB$2:$AB$200,$G34)&gt;0,
     COUNTIFS($AC$2:$AC$200,$G34)&gt;0,
     COUNTIFS($AD$2:$AD$200,$G34)&gt;0,
     COUNTIFS($AE$2:$AE$200,$G34)&gt;0,
     COUNTIFS($AF$2:$AF$200,$G34)&gt;0,
     COUNTIFS($AG$2:$AG$200,$G34)&gt;0,
     COUNTIFS($AH$2:$AH$200,$G34)&gt;0,
     COUNTIFS($AI$2:$AI$200,$G34)&gt;0,
     COUNTIFS($AJ$2:$AJ$200,$G34)&gt;0,
     COUNTIFS($AK$2:$AK$200,$G34)&gt;0,
     COUNTIFS($AL$2:$AL$200,$G34)&gt;0,
     COUNTIFS($AM$2:$AM$200,$G34)&gt;0,
     COUNTIFS($AN$2:$AN$200,$G34)&gt;0,
     COUNTIFS($AO$2:$AO$200,$G34)&gt;0,
     COUNTIFS($AP$2:$AP$200,$G34)&gt;0,
     COUNTIFS($AQ$2:$AQ$200,$G34)&gt;0,
     COUNTIFS($AR$2:$AR$200,$G34)&gt;0,
     COUNTIFS($AS$2:$AS$200,$G34)&gt;0,
     COUNTIFS($AT$2:$AT$200,$G34)&gt;0,
     COUNTIFS($AU$2:$AU$200,$G34)&gt;0,
     COUNTIFS($AV$2:$AV$200,$G34)&gt;0,
     COUNTIFS($AW$2:$AW$200,$G34)&gt;0,
     COUNTIFS($AX$2:$AX$200,$G34)&gt;0
   )),
  ),
  2
 ),
"")</f>
        <v/>
      </c>
      <c r="E34" s="3" t="str" cm="1">
        <f t="array" aca="1" ref="E34" ca="1">IFERROR(
 INDEX(
  _xlfn._xlws.FILTER($U$1:$AX$1,
   TRANSPOSE(
    CHOOSE({1;2;3;4;5;6;7;8;9;10;11;12;13;14;15;16;17;18;19;20;21;22;23;24;25;26;27;28;29;30},
     COUNTIFS($U$2:$U$200,$G34)&gt;0,
     COUNTIFS($V$2:$V$200,$G34)&gt;0,
     COUNTIFS($W$2:$W$200,$G34)&gt;0,
     COUNTIFS($X$2:$X$200,$G34)&gt;0,
     COUNTIFS($Y$2:$Y$200,$G34)&gt;0,
     COUNTIFS($Z$2:$Z$200,$G34)&gt;0,
     COUNTIFS($AA$2:$AA$200,$G34)&gt;0,
     COUNTIFS($AB$2:$AB$200,$G34)&gt;0,
     COUNTIFS($AC$2:$AC$200,$G34)&gt;0,
     COUNTIFS($AD$2:$AD$200,$G34)&gt;0,
     COUNTIFS($AE$2:$AE$200,$G34)&gt;0,
     COUNTIFS($AF$2:$AF$200,$G34)&gt;0,
     COUNTIFS($AG$2:$AG$200,$G34)&gt;0,
     COUNTIFS($AH$2:$AH$200,$G34)&gt;0,
     COUNTIFS($AI$2:$AI$200,$G34)&gt;0,
     COUNTIFS($AJ$2:$AJ$200,$G34)&gt;0,
     COUNTIFS($AK$2:$AK$200,$G34)&gt;0,
     COUNTIFS($AL$2:$AL$200,$G34)&gt;0,
     COUNTIFS($AM$2:$AM$200,$G34)&gt;0,
     COUNTIFS($AN$2:$AN$200,$G34)&gt;0,
     COUNTIFS($AO$2:$AO$200,$G34)&gt;0,
     COUNTIFS($AP$2:$AP$200,$G34)&gt;0,
     COUNTIFS($AQ$2:$AQ$200,$G34)&gt;0,
     COUNTIFS($AR$2:$AR$200,$G34)&gt;0,
     COUNTIFS($AS$2:$AS$200,$G34)&gt;0,
     COUNTIFS($AT$2:$AT$200,$G34)&gt;0,
     COUNTIFS($AU$2:$AU$200,$G34)&gt;0,
     COUNTIFS($AV$2:$AV$200,$G34)&gt;0,
     COUNTIFS($AW$2:$AW$200,$G34)&gt;0,
     COUNTIFS($AX$2:$AX$200,$G34)&gt;0
   )),
  ),
  3
 ),
"")</f>
        <v/>
      </c>
      <c r="F34" s="3" t="str" cm="1">
        <f t="array" aca="1" ref="F34" ca="1">IFERROR(
 INDEX(
  _xlfn._xlws.FILTER($U$1:$AX$1,
   TRANSPOSE(
    CHOOSE({1;2;3;4;5;6;7;8;9;10;11;12;13;14;15;16;17;18;19;20;21;22;23;24;25;26;27;28;29;30},
     COUNTIFS($U$2:$U$200,$G34)&gt;0,
     COUNTIFS($V$2:$V$200,$G34)&gt;0,
     COUNTIFS($W$2:$W$200,$G34)&gt;0,
     COUNTIFS($X$2:$X$200,$G34)&gt;0,
     COUNTIFS($Y$2:$Y$200,$G34)&gt;0,
     COUNTIFS($Z$2:$Z$200,$G34)&gt;0,
     COUNTIFS($AA$2:$AA$200,$G34)&gt;0,
     COUNTIFS($AB$2:$AB$200,$G34)&gt;0,
     COUNTIFS($AC$2:$AC$200,$G34)&gt;0,
     COUNTIFS($AD$2:$AD$200,$G34)&gt;0,
     COUNTIFS($AE$2:$AE$200,$G34)&gt;0,
     COUNTIFS($AF$2:$AF$200,$G34)&gt;0,
     COUNTIFS($AG$2:$AG$200,$G34)&gt;0,
     COUNTIFS($AH$2:$AH$200,$G34)&gt;0,
     COUNTIFS($AI$2:$AI$200,$G34)&gt;0,
     COUNTIFS($AJ$2:$AJ$200,$G34)&gt;0,
     COUNTIFS($AK$2:$AK$200,$G34)&gt;0,
     COUNTIFS($AL$2:$AL$200,$G34)&gt;0,
     COUNTIFS($AM$2:$AM$200,$G34)&gt;0,
     COUNTIFS($AN$2:$AN$200,$G34)&gt;0,
     COUNTIFS($AO$2:$AO$200,$G34)&gt;0,
     COUNTIFS($AP$2:$AP$200,$G34)&gt;0,
     COUNTIFS($AQ$2:$AQ$200,$G34)&gt;0,
     COUNTIFS($AR$2:$AR$200,$G34)&gt;0,
     COUNTIFS($AS$2:$AS$200,$G34)&gt;0,
     COUNTIFS($AT$2:$AT$200,$G34)&gt;0,
     COUNTIFS($AU$2:$AU$200,$G34)&gt;0,
     COUNTIFS($AV$2:$AV$200,$G34)&gt;0,
     COUNTIFS($AW$2:$AW$200,$G34)&gt;0,
     COUNTIFS($AX$2:$AX$200,$G34)&gt;0
   )),
  ),
  4
 ),
"")</f>
        <v/>
      </c>
      <c r="G34" t="str">
        <f ca="1"/>
        <v>Bugenhagen, Wise Elder</v>
      </c>
      <c r="AX34" t="str">
        <v>Swords to Plowshares</v>
      </c>
      <c r="BB34" t="str">
        <f ca="1"/>
        <v>Storm the Vault</v>
      </c>
      <c r="BC34" t="str">
        <f ca="1"/>
        <v>Patrolling Peacemaker</v>
      </c>
      <c r="BD34" t="str">
        <f ca="1"/>
        <v>Vault of the Archangel</v>
      </c>
      <c r="BP34" t="str">
        <f ca="1"/>
        <v>Swords to Plowshares</v>
      </c>
      <c r="BS34" t="str">
        <f ca="1"/>
        <v>Hedron Detonator</v>
      </c>
      <c r="BT34" t="str">
        <f ca="1"/>
        <v>Lord of Atlantis</v>
      </c>
      <c r="BU34" t="str">
        <f ca="1"/>
        <v>The Tenth Doctor</v>
      </c>
      <c r="BV34" t="str">
        <f ca="1"/>
        <v>Reliquary Tower</v>
      </c>
      <c r="BZ34" t="str">
        <f ca="1"/>
        <v>Swords to Plowshares</v>
      </c>
      <c r="CB34" t="str">
        <f ca="1"/>
        <v>Enduring Innocence</v>
      </c>
      <c r="CC34" t="str">
        <f ca="1"/>
        <v>Inventors' Fair</v>
      </c>
      <c r="CD34" t="str">
        <f ca="1"/>
        <v>Season of Weaving</v>
      </c>
      <c r="CE34" t="str">
        <f ca="1"/>
        <v>Mystic Forge</v>
      </c>
      <c r="CG34" t="str">
        <f ca="1"/>
        <v>Clifftop Retreat</v>
      </c>
      <c r="CH34" t="str">
        <f ca="1"/>
        <v>Haywire Mite</v>
      </c>
      <c r="CJ34" t="str">
        <f ca="1"/>
        <v>Bugenhagen, Wise Elder</v>
      </c>
    </row>
    <row r="35" spans="1:88" x14ac:dyDescent="0.25">
      <c r="A35" s="3" t="str">
        <f t="shared" ca="1" si="0"/>
        <v>4</v>
      </c>
      <c r="B35" s="3">
        <f t="shared" ca="1" si="1"/>
        <v>1</v>
      </c>
      <c r="C35" s="3" t="str">
        <f ca="1">IFERROR(
 INDEX($U$1:$AX$1,
  MATCH(TRUE,
   CHOOSE({1;2;3;4;5;6;7;8;9;10;11;12;13;14;15;16;17;18;19;20;21;22;23;24;25;26;27;28;29;30;31;32},
    COUNTIFS($U$2:$U$200,$G35)&gt;0,
    COUNTIFS($V$2:$V$200,$G35)&gt;0,
    COUNTIFS($W$2:$W$200,$G35)&gt;0,
    COUNTIFS($X$2:$X$200,$G35)&gt;0,
    COUNTIFS($Y$2:$Y$200,$G35)&gt;0,
    COUNTIFS($Z$2:$Z$200,$G35)&gt;0,
    COUNTIFS($AA$2:$AA$200,$G35)&gt;0,
    COUNTIFS($AB$2:$AB$200,$G35)&gt;0,
    COUNTIFS($AC$2:$AC$200,$G35)&gt;0,
    COUNTIFS($AD$2:$AD$200,$G35)&gt;0,
    COUNTIFS($AE$2:$AE$200,$G35)&gt;0,
    COUNTIFS($AF$2:$AF$200,$G35)&gt;0,
    COUNTIFS($AG$2:$AG$200,$G35)&gt;0,
    COUNTIFS($AH$2:$AH$200,$G35)&gt;0,
    COUNTIFS($AI$2:$AI$200,$G35)&gt;0,
    COUNTIFS($AJ$2:$AJ$200,$G35)&gt;0,
    COUNTIFS($AK$2:$AK$200,$G35)&gt;0,
    COUNTIFS($AL$2:$AL$200,$G35)&gt;0,
    COUNTIFS($AM$2:$AM$200,$G35)&gt;0,
    COUNTIFS($AN$2:$AN$200,$G35)&gt;0,
    COUNTIFS($AO$2:$AO$200,$G35)&gt;0,
    COUNTIFS($AP$2:$AP$200,$G35)&gt;0,
    COUNTIFS($AQ$2:$AQ$200,$G35)&gt;0,
    COUNTIFS($AR$2:$AR$200,$G35)&gt;0,
    COUNTIFS($AS$2:$AS$200,$G35)&gt;0,
    COUNTIFS($AT$2:$AT$200,$G35)&gt;0,
    COUNTIFS($AU$2:$AU$200,$G35)&gt;0,
    COUNTIFS($AV$2:$AV$200,$G35)&gt;0,
    COUNTIFS($AW$2:$AW$200,$G35)&gt;0,
    COUNTIFS($AX$2:$AX$200,$G35)&gt;0
   ),
  0)
 ),
"")</f>
        <v>Inalla</v>
      </c>
      <c r="D35" s="3" t="str" cm="1">
        <f t="array" aca="1" ref="D35" ca="1">IFERROR(
 INDEX(
  _xlfn._xlws.FILTER($U$1:$AX$1,
   TRANSPOSE(
    CHOOSE({1;2;3;4;5;6;7;8;9;10;11;12;13;14;15;16;17;18;19;20;21;22;23;24;25;26;27;28;29;30},
     COUNTIFS($U$2:$U$200,$G35)&gt;0,
     COUNTIFS($V$2:$V$200,$G35)&gt;0,
     COUNTIFS($W$2:$W$200,$G35)&gt;0,
     COUNTIFS($X$2:$X$200,$G35)&gt;0,
     COUNTIFS($Y$2:$Y$200,$G35)&gt;0,
     COUNTIFS($Z$2:$Z$200,$G35)&gt;0,
     COUNTIFS($AA$2:$AA$200,$G35)&gt;0,
     COUNTIFS($AB$2:$AB$200,$G35)&gt;0,
     COUNTIFS($AC$2:$AC$200,$G35)&gt;0,
     COUNTIFS($AD$2:$AD$200,$G35)&gt;0,
     COUNTIFS($AE$2:$AE$200,$G35)&gt;0,
     COUNTIFS($AF$2:$AF$200,$G35)&gt;0,
     COUNTIFS($AG$2:$AG$200,$G35)&gt;0,
     COUNTIFS($AH$2:$AH$200,$G35)&gt;0,
     COUNTIFS($AI$2:$AI$200,$G35)&gt;0,
     COUNTIFS($AJ$2:$AJ$200,$G35)&gt;0,
     COUNTIFS($AK$2:$AK$200,$G35)&gt;0,
     COUNTIFS($AL$2:$AL$200,$G35)&gt;0,
     COUNTIFS($AM$2:$AM$200,$G35)&gt;0,
     COUNTIFS($AN$2:$AN$200,$G35)&gt;0,
     COUNTIFS($AO$2:$AO$200,$G35)&gt;0,
     COUNTIFS($AP$2:$AP$200,$G35)&gt;0,
     COUNTIFS($AQ$2:$AQ$200,$G35)&gt;0,
     COUNTIFS($AR$2:$AR$200,$G35)&gt;0,
     COUNTIFS($AS$2:$AS$200,$G35)&gt;0,
     COUNTIFS($AT$2:$AT$200,$G35)&gt;0,
     COUNTIFS($AU$2:$AU$200,$G35)&gt;0,
     COUNTIFS($AV$2:$AV$200,$G35)&gt;0,
     COUNTIFS($AW$2:$AW$200,$G35)&gt;0,
     COUNTIFS($AX$2:$AX$200,$G35)&gt;0
   )),
  ),
  2
 ),
"")</f>
        <v/>
      </c>
      <c r="E35" s="3" t="str" cm="1">
        <f t="array" aca="1" ref="E35" ca="1">IFERROR(
 INDEX(
  _xlfn._xlws.FILTER($U$1:$AX$1,
   TRANSPOSE(
    CHOOSE({1;2;3;4;5;6;7;8;9;10;11;12;13;14;15;16;17;18;19;20;21;22;23;24;25;26;27;28;29;30},
     COUNTIFS($U$2:$U$200,$G35)&gt;0,
     COUNTIFS($V$2:$V$200,$G35)&gt;0,
     COUNTIFS($W$2:$W$200,$G35)&gt;0,
     COUNTIFS($X$2:$X$200,$G35)&gt;0,
     COUNTIFS($Y$2:$Y$200,$G35)&gt;0,
     COUNTIFS($Z$2:$Z$200,$G35)&gt;0,
     COUNTIFS($AA$2:$AA$200,$G35)&gt;0,
     COUNTIFS($AB$2:$AB$200,$G35)&gt;0,
     COUNTIFS($AC$2:$AC$200,$G35)&gt;0,
     COUNTIFS($AD$2:$AD$200,$G35)&gt;0,
     COUNTIFS($AE$2:$AE$200,$G35)&gt;0,
     COUNTIFS($AF$2:$AF$200,$G35)&gt;0,
     COUNTIFS($AG$2:$AG$200,$G35)&gt;0,
     COUNTIFS($AH$2:$AH$200,$G35)&gt;0,
     COUNTIFS($AI$2:$AI$200,$G35)&gt;0,
     COUNTIFS($AJ$2:$AJ$200,$G35)&gt;0,
     COUNTIFS($AK$2:$AK$200,$G35)&gt;0,
     COUNTIFS($AL$2:$AL$200,$G35)&gt;0,
     COUNTIFS($AM$2:$AM$200,$G35)&gt;0,
     COUNTIFS($AN$2:$AN$200,$G35)&gt;0,
     COUNTIFS($AO$2:$AO$200,$G35)&gt;0,
     COUNTIFS($AP$2:$AP$200,$G35)&gt;0,
     COUNTIFS($AQ$2:$AQ$200,$G35)&gt;0,
     COUNTIFS($AR$2:$AR$200,$G35)&gt;0,
     COUNTIFS($AS$2:$AS$200,$G35)&gt;0,
     COUNTIFS($AT$2:$AT$200,$G35)&gt;0,
     COUNTIFS($AU$2:$AU$200,$G35)&gt;0,
     COUNTIFS($AV$2:$AV$200,$G35)&gt;0,
     COUNTIFS($AW$2:$AW$200,$G35)&gt;0,
     COUNTIFS($AX$2:$AX$200,$G35)&gt;0
   )),
  ),
  3
 ),
"")</f>
        <v/>
      </c>
      <c r="F35" s="3" t="str" cm="1">
        <f t="array" aca="1" ref="F35" ca="1">IFERROR(
 INDEX(
  _xlfn._xlws.FILTER($U$1:$AX$1,
   TRANSPOSE(
    CHOOSE({1;2;3;4;5;6;7;8;9;10;11;12;13;14;15;16;17;18;19;20;21;22;23;24;25;26;27;28;29;30},
     COUNTIFS($U$2:$U$200,$G35)&gt;0,
     COUNTIFS($V$2:$V$200,$G35)&gt;0,
     COUNTIFS($W$2:$W$200,$G35)&gt;0,
     COUNTIFS($X$2:$X$200,$G35)&gt;0,
     COUNTIFS($Y$2:$Y$200,$G35)&gt;0,
     COUNTIFS($Z$2:$Z$200,$G35)&gt;0,
     COUNTIFS($AA$2:$AA$200,$G35)&gt;0,
     COUNTIFS($AB$2:$AB$200,$G35)&gt;0,
     COUNTIFS($AC$2:$AC$200,$G35)&gt;0,
     COUNTIFS($AD$2:$AD$200,$G35)&gt;0,
     COUNTIFS($AE$2:$AE$200,$G35)&gt;0,
     COUNTIFS($AF$2:$AF$200,$G35)&gt;0,
     COUNTIFS($AG$2:$AG$200,$G35)&gt;0,
     COUNTIFS($AH$2:$AH$200,$G35)&gt;0,
     COUNTIFS($AI$2:$AI$200,$G35)&gt;0,
     COUNTIFS($AJ$2:$AJ$200,$G35)&gt;0,
     COUNTIFS($AK$2:$AK$200,$G35)&gt;0,
     COUNTIFS($AL$2:$AL$200,$G35)&gt;0,
     COUNTIFS($AM$2:$AM$200,$G35)&gt;0,
     COUNTIFS($AN$2:$AN$200,$G35)&gt;0,
     COUNTIFS($AO$2:$AO$200,$G35)&gt;0,
     COUNTIFS($AP$2:$AP$200,$G35)&gt;0,
     COUNTIFS($AQ$2:$AQ$200,$G35)&gt;0,
     COUNTIFS($AR$2:$AR$200,$G35)&gt;0,
     COUNTIFS($AS$2:$AS$200,$G35)&gt;0,
     COUNTIFS($AT$2:$AT$200,$G35)&gt;0,
     COUNTIFS($AU$2:$AU$200,$G35)&gt;0,
     COUNTIFS($AV$2:$AV$200,$G35)&gt;0,
     COUNTIFS($AW$2:$AW$200,$G35)&gt;0,
     COUNTIFS($AX$2:$AX$200,$G35)&gt;0
   )),
  ),
  4
 ),
"")</f>
        <v/>
      </c>
      <c r="G35" t="str">
        <f ca="1"/>
        <v>Burnt Offering</v>
      </c>
      <c r="AX35" t="str">
        <v>Tannuk, Memorial Ensign</v>
      </c>
      <c r="BB35" t="str">
        <f ca="1"/>
        <v>Sunscorched Divide</v>
      </c>
      <c r="BC35" t="str">
        <f ca="1"/>
        <v>Protection Magic</v>
      </c>
      <c r="BD35" t="str">
        <f ca="1"/>
        <v>Xantcha, Agente Adormecida</v>
      </c>
      <c r="BP35" t="str">
        <f ca="1"/>
        <v>Tannuk, Memorial Ensign</v>
      </c>
      <c r="BS35" t="str">
        <f ca="1"/>
        <v>Hydra's Growth</v>
      </c>
      <c r="BT35" t="str">
        <f ca="1"/>
        <v>Lullmage Mentor</v>
      </c>
      <c r="BU35" t="str">
        <f ca="1"/>
        <v>Thought Vessel</v>
      </c>
      <c r="BV35" t="str">
        <f ca="1"/>
        <v>Ripples of Potential</v>
      </c>
      <c r="BZ35" t="str">
        <f ca="1"/>
        <v>Tannuk, Memorial Ensign</v>
      </c>
      <c r="CB35" t="str">
        <f ca="1"/>
        <v>Exalted Sunborn</v>
      </c>
      <c r="CC35" t="str">
        <f ca="1"/>
        <v>Jitte Perdida</v>
      </c>
      <c r="CD35" t="str">
        <f ca="1"/>
        <v>Serenata das Estriges</v>
      </c>
      <c r="CE35" t="str">
        <f ca="1"/>
        <v>Olho de Ojer Taq</v>
      </c>
      <c r="CG35" t="str">
        <f ca="1"/>
        <v>Cloud, Midgar Mercenary</v>
      </c>
      <c r="CH35" t="str">
        <f ca="1"/>
        <v>High Market</v>
      </c>
      <c r="CJ35" t="str">
        <f ca="1"/>
        <v>Burnt Offering</v>
      </c>
    </row>
    <row r="36" spans="1:88" x14ac:dyDescent="0.25">
      <c r="A36" s="3" t="str">
        <f t="shared" ca="1" si="0"/>
        <v>2</v>
      </c>
      <c r="B36" s="3">
        <f t="shared" ca="1" si="1"/>
        <v>1</v>
      </c>
      <c r="C36" s="3" t="str">
        <f ca="1">IFERROR(
 INDEX($U$1:$AX$1,
  MATCH(TRUE,
   CHOOSE({1;2;3;4;5;6;7;8;9;10;11;12;13;14;15;16;17;18;19;20;21;22;23;24;25;26;27;28;29;30;31;32},
    COUNTIFS($U$2:$U$200,$G36)&gt;0,
    COUNTIFS($V$2:$V$200,$G36)&gt;0,
    COUNTIFS($W$2:$W$200,$G36)&gt;0,
    COUNTIFS($X$2:$X$200,$G36)&gt;0,
    COUNTIFS($Y$2:$Y$200,$G36)&gt;0,
    COUNTIFS($Z$2:$Z$200,$G36)&gt;0,
    COUNTIFS($AA$2:$AA$200,$G36)&gt;0,
    COUNTIFS($AB$2:$AB$200,$G36)&gt;0,
    COUNTIFS($AC$2:$AC$200,$G36)&gt;0,
    COUNTIFS($AD$2:$AD$200,$G36)&gt;0,
    COUNTIFS($AE$2:$AE$200,$G36)&gt;0,
    COUNTIFS($AF$2:$AF$200,$G36)&gt;0,
    COUNTIFS($AG$2:$AG$200,$G36)&gt;0,
    COUNTIFS($AH$2:$AH$200,$G36)&gt;0,
    COUNTIFS($AI$2:$AI$200,$G36)&gt;0,
    COUNTIFS($AJ$2:$AJ$200,$G36)&gt;0,
    COUNTIFS($AK$2:$AK$200,$G36)&gt;0,
    COUNTIFS($AL$2:$AL$200,$G36)&gt;0,
    COUNTIFS($AM$2:$AM$200,$G36)&gt;0,
    COUNTIFS($AN$2:$AN$200,$G36)&gt;0,
    COUNTIFS($AO$2:$AO$200,$G36)&gt;0,
    COUNTIFS($AP$2:$AP$200,$G36)&gt;0,
    COUNTIFS($AQ$2:$AQ$200,$G36)&gt;0,
    COUNTIFS($AR$2:$AR$200,$G36)&gt;0,
    COUNTIFS($AS$2:$AS$200,$G36)&gt;0,
    COUNTIFS($AT$2:$AT$200,$G36)&gt;0,
    COUNTIFS($AU$2:$AU$200,$G36)&gt;0,
    COUNTIFS($AV$2:$AV$200,$G36)&gt;0,
    COUNTIFS($AW$2:$AW$200,$G36)&gt;0,
    COUNTIFS($AX$2:$AX$200,$G36)&gt;0
   ),
  0)
 ),
"")</f>
        <v>Kumena</v>
      </c>
      <c r="D36" s="3" t="str" cm="1">
        <f t="array" aca="1" ref="D36" ca="1">IFERROR(
 INDEX(
  _xlfn._xlws.FILTER($U$1:$AX$1,
   TRANSPOSE(
    CHOOSE({1;2;3;4;5;6;7;8;9;10;11;12;13;14;15;16;17;18;19;20;21;22;23;24;25;26;27;28;29;30},
     COUNTIFS($U$2:$U$200,$G36)&gt;0,
     COUNTIFS($V$2:$V$200,$G36)&gt;0,
     COUNTIFS($W$2:$W$200,$G36)&gt;0,
     COUNTIFS($X$2:$X$200,$G36)&gt;0,
     COUNTIFS($Y$2:$Y$200,$G36)&gt;0,
     COUNTIFS($Z$2:$Z$200,$G36)&gt;0,
     COUNTIFS($AA$2:$AA$200,$G36)&gt;0,
     COUNTIFS($AB$2:$AB$200,$G36)&gt;0,
     COUNTIFS($AC$2:$AC$200,$G36)&gt;0,
     COUNTIFS($AD$2:$AD$200,$G36)&gt;0,
     COUNTIFS($AE$2:$AE$200,$G36)&gt;0,
     COUNTIFS($AF$2:$AF$200,$G36)&gt;0,
     COUNTIFS($AG$2:$AG$200,$G36)&gt;0,
     COUNTIFS($AH$2:$AH$200,$G36)&gt;0,
     COUNTIFS($AI$2:$AI$200,$G36)&gt;0,
     COUNTIFS($AJ$2:$AJ$200,$G36)&gt;0,
     COUNTIFS($AK$2:$AK$200,$G36)&gt;0,
     COUNTIFS($AL$2:$AL$200,$G36)&gt;0,
     COUNTIFS($AM$2:$AM$200,$G36)&gt;0,
     COUNTIFS($AN$2:$AN$200,$G36)&gt;0,
     COUNTIFS($AO$2:$AO$200,$G36)&gt;0,
     COUNTIFS($AP$2:$AP$200,$G36)&gt;0,
     COUNTIFS($AQ$2:$AQ$200,$G36)&gt;0,
     COUNTIFS($AR$2:$AR$200,$G36)&gt;0,
     COUNTIFS($AS$2:$AS$200,$G36)&gt;0,
     COUNTIFS($AT$2:$AT$200,$G36)&gt;0,
     COUNTIFS($AU$2:$AU$200,$G36)&gt;0,
     COUNTIFS($AV$2:$AV$200,$G36)&gt;0,
     COUNTIFS($AW$2:$AW$200,$G36)&gt;0,
     COUNTIFS($AX$2:$AX$200,$G36)&gt;0
   )),
  ),
  2
 ),
"")</f>
        <v/>
      </c>
      <c r="E36" s="3" t="str" cm="1">
        <f t="array" aca="1" ref="E36" ca="1">IFERROR(
 INDEX(
  _xlfn._xlws.FILTER($U$1:$AX$1,
   TRANSPOSE(
    CHOOSE({1;2;3;4;5;6;7;8;9;10;11;12;13;14;15;16;17;18;19;20;21;22;23;24;25;26;27;28;29;30},
     COUNTIFS($U$2:$U$200,$G36)&gt;0,
     COUNTIFS($V$2:$V$200,$G36)&gt;0,
     COUNTIFS($W$2:$W$200,$G36)&gt;0,
     COUNTIFS($X$2:$X$200,$G36)&gt;0,
     COUNTIFS($Y$2:$Y$200,$G36)&gt;0,
     COUNTIFS($Z$2:$Z$200,$G36)&gt;0,
     COUNTIFS($AA$2:$AA$200,$G36)&gt;0,
     COUNTIFS($AB$2:$AB$200,$G36)&gt;0,
     COUNTIFS($AC$2:$AC$200,$G36)&gt;0,
     COUNTIFS($AD$2:$AD$200,$G36)&gt;0,
     COUNTIFS($AE$2:$AE$200,$G36)&gt;0,
     COUNTIFS($AF$2:$AF$200,$G36)&gt;0,
     COUNTIFS($AG$2:$AG$200,$G36)&gt;0,
     COUNTIFS($AH$2:$AH$200,$G36)&gt;0,
     COUNTIFS($AI$2:$AI$200,$G36)&gt;0,
     COUNTIFS($AJ$2:$AJ$200,$G36)&gt;0,
     COUNTIFS($AK$2:$AK$200,$G36)&gt;0,
     COUNTIFS($AL$2:$AL$200,$G36)&gt;0,
     COUNTIFS($AM$2:$AM$200,$G36)&gt;0,
     COUNTIFS($AN$2:$AN$200,$G36)&gt;0,
     COUNTIFS($AO$2:$AO$200,$G36)&gt;0,
     COUNTIFS($AP$2:$AP$200,$G36)&gt;0,
     COUNTIFS($AQ$2:$AQ$200,$G36)&gt;0,
     COUNTIFS($AR$2:$AR$200,$G36)&gt;0,
     COUNTIFS($AS$2:$AS$200,$G36)&gt;0,
     COUNTIFS($AT$2:$AT$200,$G36)&gt;0,
     COUNTIFS($AU$2:$AU$200,$G36)&gt;0,
     COUNTIFS($AV$2:$AV$200,$G36)&gt;0,
     COUNTIFS($AW$2:$AW$200,$G36)&gt;0,
     COUNTIFS($AX$2:$AX$200,$G36)&gt;0
   )),
  ),
  3
 ),
"")</f>
        <v/>
      </c>
      <c r="F36" s="3" t="str" cm="1">
        <f t="array" aca="1" ref="F36" ca="1">IFERROR(
 INDEX(
  _xlfn._xlws.FILTER($U$1:$AX$1,
   TRANSPOSE(
    CHOOSE({1;2;3;4;5;6;7;8;9;10;11;12;13;14;15;16;17;18;19;20;21;22;23;24;25;26;27;28;29;30},
     COUNTIFS($U$2:$U$200,$G36)&gt;0,
     COUNTIFS($V$2:$V$200,$G36)&gt;0,
     COUNTIFS($W$2:$W$200,$G36)&gt;0,
     COUNTIFS($X$2:$X$200,$G36)&gt;0,
     COUNTIFS($Y$2:$Y$200,$G36)&gt;0,
     COUNTIFS($Z$2:$Z$200,$G36)&gt;0,
     COUNTIFS($AA$2:$AA$200,$G36)&gt;0,
     COUNTIFS($AB$2:$AB$200,$G36)&gt;0,
     COUNTIFS($AC$2:$AC$200,$G36)&gt;0,
     COUNTIFS($AD$2:$AD$200,$G36)&gt;0,
     COUNTIFS($AE$2:$AE$200,$G36)&gt;0,
     COUNTIFS($AF$2:$AF$200,$G36)&gt;0,
     COUNTIFS($AG$2:$AG$200,$G36)&gt;0,
     COUNTIFS($AH$2:$AH$200,$G36)&gt;0,
     COUNTIFS($AI$2:$AI$200,$G36)&gt;0,
     COUNTIFS($AJ$2:$AJ$200,$G36)&gt;0,
     COUNTIFS($AK$2:$AK$200,$G36)&gt;0,
     COUNTIFS($AL$2:$AL$200,$G36)&gt;0,
     COUNTIFS($AM$2:$AM$200,$G36)&gt;0,
     COUNTIFS($AN$2:$AN$200,$G36)&gt;0,
     COUNTIFS($AO$2:$AO$200,$G36)&gt;0,
     COUNTIFS($AP$2:$AP$200,$G36)&gt;0,
     COUNTIFS($AQ$2:$AQ$200,$G36)&gt;0,
     COUNTIFS($AR$2:$AR$200,$G36)&gt;0,
     COUNTIFS($AS$2:$AS$200,$G36)&gt;0,
     COUNTIFS($AT$2:$AT$200,$G36)&gt;0,
     COUNTIFS($AU$2:$AU$200,$G36)&gt;0,
     COUNTIFS($AV$2:$AV$200,$G36)&gt;0,
     COUNTIFS($AW$2:$AW$200,$G36)&gt;0,
     COUNTIFS($AX$2:$AX$200,$G36)&gt;0
   )),
  ),
  4
 ),
"")</f>
        <v/>
      </c>
      <c r="G36" t="str">
        <f ca="1"/>
        <v>Call to the Kindred</v>
      </c>
      <c r="R36" s="3" t="s">
        <v>2138</v>
      </c>
      <c r="AX36" t="str">
        <v>Terra Eternal</v>
      </c>
      <c r="BB36" t="str">
        <f ca="1"/>
        <v>Teferi's Protection</v>
      </c>
      <c r="BC36" t="str">
        <f ca="1"/>
        <v>Psychic Corrosion</v>
      </c>
      <c r="BP36" t="str">
        <f ca="1"/>
        <v>Terra Eternal</v>
      </c>
      <c r="BS36" t="str">
        <f ca="1"/>
        <v>Incendiary Command</v>
      </c>
      <c r="BT36" t="str">
        <f ca="1"/>
        <v>Merrow Commerce</v>
      </c>
      <c r="BU36" t="str">
        <f ca="1"/>
        <v>Thran Dynamo</v>
      </c>
      <c r="BV36" t="str">
        <f ca="1"/>
        <v>Satoru, the Infiltrator</v>
      </c>
      <c r="BZ36" t="str">
        <f ca="1"/>
        <v>Terra Eternal</v>
      </c>
      <c r="CB36" t="str">
        <f ca="1"/>
        <v>Exemplar of Light</v>
      </c>
      <c r="CC36" t="str">
        <f ca="1"/>
        <v>Karn Liberated</v>
      </c>
      <c r="CD36" t="str">
        <f ca="1"/>
        <v>Shaku da Honra Desgastada</v>
      </c>
      <c r="CE36" t="str">
        <f ca="1"/>
        <v>Renewed Solidarity</v>
      </c>
      <c r="CG36" t="str">
        <f ca="1"/>
        <v>Commodore Guff</v>
      </c>
      <c r="CH36" t="str">
        <f ca="1"/>
        <v>High-Society Hunter</v>
      </c>
      <c r="CJ36" t="str">
        <f ca="1"/>
        <v>Call to the Kindred</v>
      </c>
    </row>
    <row r="37" spans="1:88" x14ac:dyDescent="0.25">
      <c r="A37" s="3" t="str">
        <f t="shared" ca="1" si="0"/>
        <v>1</v>
      </c>
      <c r="B37" s="3">
        <f t="shared" ca="1" si="1"/>
        <v>1</v>
      </c>
      <c r="C37" s="3" t="str">
        <f ca="1">IFERROR(
 INDEX($U$1:$AX$1,
  MATCH(TRUE,
   CHOOSE({1;2;3;4;5;6;7;8;9;10;11;12;13;14;15;16;17;18;19;20;21;22;23;24;25;26;27;28;29;30;31;32},
    COUNTIFS($U$2:$U$200,$G37)&gt;0,
    COUNTIFS($V$2:$V$200,$G37)&gt;0,
    COUNTIFS($W$2:$W$200,$G37)&gt;0,
    COUNTIFS($X$2:$X$200,$G37)&gt;0,
    COUNTIFS($Y$2:$Y$200,$G37)&gt;0,
    COUNTIFS($Z$2:$Z$200,$G37)&gt;0,
    COUNTIFS($AA$2:$AA$200,$G37)&gt;0,
    COUNTIFS($AB$2:$AB$200,$G37)&gt;0,
    COUNTIFS($AC$2:$AC$200,$G37)&gt;0,
    COUNTIFS($AD$2:$AD$200,$G37)&gt;0,
    COUNTIFS($AE$2:$AE$200,$G37)&gt;0,
    COUNTIFS($AF$2:$AF$200,$G37)&gt;0,
    COUNTIFS($AG$2:$AG$200,$G37)&gt;0,
    COUNTIFS($AH$2:$AH$200,$G37)&gt;0,
    COUNTIFS($AI$2:$AI$200,$G37)&gt;0,
    COUNTIFS($AJ$2:$AJ$200,$G37)&gt;0,
    COUNTIFS($AK$2:$AK$200,$G37)&gt;0,
    COUNTIFS($AL$2:$AL$200,$G37)&gt;0,
    COUNTIFS($AM$2:$AM$200,$G37)&gt;0,
    COUNTIFS($AN$2:$AN$200,$G37)&gt;0,
    COUNTIFS($AO$2:$AO$200,$G37)&gt;0,
    COUNTIFS($AP$2:$AP$200,$G37)&gt;0,
    COUNTIFS($AQ$2:$AQ$200,$G37)&gt;0,
    COUNTIFS($AR$2:$AR$200,$G37)&gt;0,
    COUNTIFS($AS$2:$AS$200,$G37)&gt;0,
    COUNTIFS($AT$2:$AT$200,$G37)&gt;0,
    COUNTIFS($AU$2:$AU$200,$G37)&gt;0,
    COUNTIFS($AV$2:$AV$200,$G37)&gt;0,
    COUNTIFS($AW$2:$AW$200,$G37)&gt;0,
    COUNTIFS($AX$2:$AX$200,$G37)&gt;0
   ),
  0)
 ),
"")</f>
        <v>Tayam</v>
      </c>
      <c r="D37" s="3" t="str" cm="1">
        <f t="array" aca="1" ref="D37" ca="1">IFERROR(
 INDEX(
  _xlfn._xlws.FILTER($U$1:$AX$1,
   TRANSPOSE(
    CHOOSE({1;2;3;4;5;6;7;8;9;10;11;12;13;14;15;16;17;18;19;20;21;22;23;24;25;26;27;28;29;30},
     COUNTIFS($U$2:$U$200,$G37)&gt;0,
     COUNTIFS($V$2:$V$200,$G37)&gt;0,
     COUNTIFS($W$2:$W$200,$G37)&gt;0,
     COUNTIFS($X$2:$X$200,$G37)&gt;0,
     COUNTIFS($Y$2:$Y$200,$G37)&gt;0,
     COUNTIFS($Z$2:$Z$200,$G37)&gt;0,
     COUNTIFS($AA$2:$AA$200,$G37)&gt;0,
     COUNTIFS($AB$2:$AB$200,$G37)&gt;0,
     COUNTIFS($AC$2:$AC$200,$G37)&gt;0,
     COUNTIFS($AD$2:$AD$200,$G37)&gt;0,
     COUNTIFS($AE$2:$AE$200,$G37)&gt;0,
     COUNTIFS($AF$2:$AF$200,$G37)&gt;0,
     COUNTIFS($AG$2:$AG$200,$G37)&gt;0,
     COUNTIFS($AH$2:$AH$200,$G37)&gt;0,
     COUNTIFS($AI$2:$AI$200,$G37)&gt;0,
     COUNTIFS($AJ$2:$AJ$200,$G37)&gt;0,
     COUNTIFS($AK$2:$AK$200,$G37)&gt;0,
     COUNTIFS($AL$2:$AL$200,$G37)&gt;0,
     COUNTIFS($AM$2:$AM$200,$G37)&gt;0,
     COUNTIFS($AN$2:$AN$200,$G37)&gt;0,
     COUNTIFS($AO$2:$AO$200,$G37)&gt;0,
     COUNTIFS($AP$2:$AP$200,$G37)&gt;0,
     COUNTIFS($AQ$2:$AQ$200,$G37)&gt;0,
     COUNTIFS($AR$2:$AR$200,$G37)&gt;0,
     COUNTIFS($AS$2:$AS$200,$G37)&gt;0,
     COUNTIFS($AT$2:$AT$200,$G37)&gt;0,
     COUNTIFS($AU$2:$AU$200,$G37)&gt;0,
     COUNTIFS($AV$2:$AV$200,$G37)&gt;0,
     COUNTIFS($AW$2:$AW$200,$G37)&gt;0,
     COUNTIFS($AX$2:$AX$200,$G37)&gt;0
   )),
  ),
  2
 ),
"")</f>
        <v/>
      </c>
      <c r="E37" s="3" t="str" cm="1">
        <f t="array" aca="1" ref="E37" ca="1">IFERROR(
 INDEX(
  _xlfn._xlws.FILTER($U$1:$AX$1,
   TRANSPOSE(
    CHOOSE({1;2;3;4;5;6;7;8;9;10;11;12;13;14;15;16;17;18;19;20;21;22;23;24;25;26;27;28;29;30},
     COUNTIFS($U$2:$U$200,$G37)&gt;0,
     COUNTIFS($V$2:$V$200,$G37)&gt;0,
     COUNTIFS($W$2:$W$200,$G37)&gt;0,
     COUNTIFS($X$2:$X$200,$G37)&gt;0,
     COUNTIFS($Y$2:$Y$200,$G37)&gt;0,
     COUNTIFS($Z$2:$Z$200,$G37)&gt;0,
     COUNTIFS($AA$2:$AA$200,$G37)&gt;0,
     COUNTIFS($AB$2:$AB$200,$G37)&gt;0,
     COUNTIFS($AC$2:$AC$200,$G37)&gt;0,
     COUNTIFS($AD$2:$AD$200,$G37)&gt;0,
     COUNTIFS($AE$2:$AE$200,$G37)&gt;0,
     COUNTIFS($AF$2:$AF$200,$G37)&gt;0,
     COUNTIFS($AG$2:$AG$200,$G37)&gt;0,
     COUNTIFS($AH$2:$AH$200,$G37)&gt;0,
     COUNTIFS($AI$2:$AI$200,$G37)&gt;0,
     COUNTIFS($AJ$2:$AJ$200,$G37)&gt;0,
     COUNTIFS($AK$2:$AK$200,$G37)&gt;0,
     COUNTIFS($AL$2:$AL$200,$G37)&gt;0,
     COUNTIFS($AM$2:$AM$200,$G37)&gt;0,
     COUNTIFS($AN$2:$AN$200,$G37)&gt;0,
     COUNTIFS($AO$2:$AO$200,$G37)&gt;0,
     COUNTIFS($AP$2:$AP$200,$G37)&gt;0,
     COUNTIFS($AQ$2:$AQ$200,$G37)&gt;0,
     COUNTIFS($AR$2:$AR$200,$G37)&gt;0,
     COUNTIFS($AS$2:$AS$200,$G37)&gt;0,
     COUNTIFS($AT$2:$AT$200,$G37)&gt;0,
     COUNTIFS($AU$2:$AU$200,$G37)&gt;0,
     COUNTIFS($AV$2:$AV$200,$G37)&gt;0,
     COUNTIFS($AW$2:$AW$200,$G37)&gt;0,
     COUNTIFS($AX$2:$AX$200,$G37)&gt;0
   )),
  ),
  3
 ),
"")</f>
        <v/>
      </c>
      <c r="F37" s="3" t="str" cm="1">
        <f t="array" aca="1" ref="F37" ca="1">IFERROR(
 INDEX(
  _xlfn._xlws.FILTER($U$1:$AX$1,
   TRANSPOSE(
    CHOOSE({1;2;3;4;5;6;7;8;9;10;11;12;13;14;15;16;17;18;19;20;21;22;23;24;25;26;27;28;29;30},
     COUNTIFS($U$2:$U$200,$G37)&gt;0,
     COUNTIFS($V$2:$V$200,$G37)&gt;0,
     COUNTIFS($W$2:$W$200,$G37)&gt;0,
     COUNTIFS($X$2:$X$200,$G37)&gt;0,
     COUNTIFS($Y$2:$Y$200,$G37)&gt;0,
     COUNTIFS($Z$2:$Z$200,$G37)&gt;0,
     COUNTIFS($AA$2:$AA$200,$G37)&gt;0,
     COUNTIFS($AB$2:$AB$200,$G37)&gt;0,
     COUNTIFS($AC$2:$AC$200,$G37)&gt;0,
     COUNTIFS($AD$2:$AD$200,$G37)&gt;0,
     COUNTIFS($AE$2:$AE$200,$G37)&gt;0,
     COUNTIFS($AF$2:$AF$200,$G37)&gt;0,
     COUNTIFS($AG$2:$AG$200,$G37)&gt;0,
     COUNTIFS($AH$2:$AH$200,$G37)&gt;0,
     COUNTIFS($AI$2:$AI$200,$G37)&gt;0,
     COUNTIFS($AJ$2:$AJ$200,$G37)&gt;0,
     COUNTIFS($AK$2:$AK$200,$G37)&gt;0,
     COUNTIFS($AL$2:$AL$200,$G37)&gt;0,
     COUNTIFS($AM$2:$AM$200,$G37)&gt;0,
     COUNTIFS($AN$2:$AN$200,$G37)&gt;0,
     COUNTIFS($AO$2:$AO$200,$G37)&gt;0,
     COUNTIFS($AP$2:$AP$200,$G37)&gt;0,
     COUNTIFS($AQ$2:$AQ$200,$G37)&gt;0,
     COUNTIFS($AR$2:$AR$200,$G37)&gt;0,
     COUNTIFS($AS$2:$AS$200,$G37)&gt;0,
     COUNTIFS($AT$2:$AT$200,$G37)&gt;0,
     COUNTIFS($AU$2:$AU$200,$G37)&gt;0,
     COUNTIFS($AV$2:$AV$200,$G37)&gt;0,
     COUNTIFS($AW$2:$AW$200,$G37)&gt;0,
     COUNTIFS($AX$2:$AX$200,$G37)&gt;0
   )),
  ),
  4
 ),
"")</f>
        <v/>
      </c>
      <c r="G37" t="str">
        <f ca="1"/>
        <v>Cankerbloom</v>
      </c>
      <c r="R37" s="3" t="s">
        <v>2139</v>
      </c>
      <c r="AX37" t="str">
        <v>Terrasymbiosis</v>
      </c>
      <c r="BB37" t="str">
        <f ca="1"/>
        <v>Temple of Malice</v>
      </c>
      <c r="BC37" t="str">
        <f ca="1"/>
        <v>Reforge the Soul</v>
      </c>
      <c r="BP37" t="str">
        <f ca="1"/>
        <v>Terrasymbiosis</v>
      </c>
      <c r="BS37" t="str">
        <f ca="1"/>
        <v>Incubation Druid</v>
      </c>
      <c r="BT37" t="str">
        <f ca="1"/>
        <v>Merrow Harbinger</v>
      </c>
      <c r="BU37" t="str">
        <f ca="1"/>
        <v>Titania, Voice of Gaea</v>
      </c>
      <c r="BV37" t="str">
        <f ca="1"/>
        <v>Saw in Half</v>
      </c>
      <c r="BZ37" t="str">
        <f ca="1"/>
        <v>Terrasymbiosis</v>
      </c>
      <c r="CB37" t="str">
        <f ca="1"/>
        <v>Fabled Passage</v>
      </c>
      <c r="CC37" t="str">
        <f ca="1"/>
        <v>Kaya the Inexorable</v>
      </c>
      <c r="CD37" t="str">
        <f ca="1"/>
        <v>Sliver Gravemother</v>
      </c>
      <c r="CE37" t="str">
        <f ca="1"/>
        <v>Rustvale Bridge</v>
      </c>
      <c r="CG37" t="str">
        <f ca="1"/>
        <v>Counterspell</v>
      </c>
      <c r="CH37" t="str">
        <f ca="1"/>
        <v>Homeward Path</v>
      </c>
      <c r="CJ37" t="str">
        <f ca="1"/>
        <v>Cankerbloom</v>
      </c>
    </row>
    <row r="38" spans="1:88" x14ac:dyDescent="0.25">
      <c r="A38" s="3" t="str">
        <f t="shared" ca="1" si="0"/>
        <v>1</v>
      </c>
      <c r="B38" s="3">
        <f t="shared" ca="1" si="1"/>
        <v>1</v>
      </c>
      <c r="C38" s="3" t="str">
        <f ca="1">IFERROR(
 INDEX($U$1:$AX$1,
  MATCH(TRUE,
   CHOOSE({1;2;3;4;5;6;7;8;9;10;11;12;13;14;15;16;17;18;19;20;21;22;23;24;25;26;27;28;29;30;31;32},
    COUNTIFS($U$2:$U$200,$G38)&gt;0,
    COUNTIFS($V$2:$V$200,$G38)&gt;0,
    COUNTIFS($W$2:$W$200,$G38)&gt;0,
    COUNTIFS($X$2:$X$200,$G38)&gt;0,
    COUNTIFS($Y$2:$Y$200,$G38)&gt;0,
    COUNTIFS($Z$2:$Z$200,$G38)&gt;0,
    COUNTIFS($AA$2:$AA$200,$G38)&gt;0,
    COUNTIFS($AB$2:$AB$200,$G38)&gt;0,
    COUNTIFS($AC$2:$AC$200,$G38)&gt;0,
    COUNTIFS($AD$2:$AD$200,$G38)&gt;0,
    COUNTIFS($AE$2:$AE$200,$G38)&gt;0,
    COUNTIFS($AF$2:$AF$200,$G38)&gt;0,
    COUNTIFS($AG$2:$AG$200,$G38)&gt;0,
    COUNTIFS($AH$2:$AH$200,$G38)&gt;0,
    COUNTIFS($AI$2:$AI$200,$G38)&gt;0,
    COUNTIFS($AJ$2:$AJ$200,$G38)&gt;0,
    COUNTIFS($AK$2:$AK$200,$G38)&gt;0,
    COUNTIFS($AL$2:$AL$200,$G38)&gt;0,
    COUNTIFS($AM$2:$AM$200,$G38)&gt;0,
    COUNTIFS($AN$2:$AN$200,$G38)&gt;0,
    COUNTIFS($AO$2:$AO$200,$G38)&gt;0,
    COUNTIFS($AP$2:$AP$200,$G38)&gt;0,
    COUNTIFS($AQ$2:$AQ$200,$G38)&gt;0,
    COUNTIFS($AR$2:$AR$200,$G38)&gt;0,
    COUNTIFS($AS$2:$AS$200,$G38)&gt;0,
    COUNTIFS($AT$2:$AT$200,$G38)&gt;0,
    COUNTIFS($AU$2:$AU$200,$G38)&gt;0,
    COUNTIFS($AV$2:$AV$200,$G38)&gt;0,
    COUNTIFS($AW$2:$AW$200,$G38)&gt;0,
    COUNTIFS($AX$2:$AX$200,$G38)&gt;0
   ),
  0)
 ),
"")</f>
        <v>Tayam</v>
      </c>
      <c r="D38" s="3" t="str" cm="1">
        <f t="array" aca="1" ref="D38" ca="1">IFERROR(
 INDEX(
  _xlfn._xlws.FILTER($U$1:$AX$1,
   TRANSPOSE(
    CHOOSE({1;2;3;4;5;6;7;8;9;10;11;12;13;14;15;16;17;18;19;20;21;22;23;24;25;26;27;28;29;30},
     COUNTIFS($U$2:$U$200,$G38)&gt;0,
     COUNTIFS($V$2:$V$200,$G38)&gt;0,
     COUNTIFS($W$2:$W$200,$G38)&gt;0,
     COUNTIFS($X$2:$X$200,$G38)&gt;0,
     COUNTIFS($Y$2:$Y$200,$G38)&gt;0,
     COUNTIFS($Z$2:$Z$200,$G38)&gt;0,
     COUNTIFS($AA$2:$AA$200,$G38)&gt;0,
     COUNTIFS($AB$2:$AB$200,$G38)&gt;0,
     COUNTIFS($AC$2:$AC$200,$G38)&gt;0,
     COUNTIFS($AD$2:$AD$200,$G38)&gt;0,
     COUNTIFS($AE$2:$AE$200,$G38)&gt;0,
     COUNTIFS($AF$2:$AF$200,$G38)&gt;0,
     COUNTIFS($AG$2:$AG$200,$G38)&gt;0,
     COUNTIFS($AH$2:$AH$200,$G38)&gt;0,
     COUNTIFS($AI$2:$AI$200,$G38)&gt;0,
     COUNTIFS($AJ$2:$AJ$200,$G38)&gt;0,
     COUNTIFS($AK$2:$AK$200,$G38)&gt;0,
     COUNTIFS($AL$2:$AL$200,$G38)&gt;0,
     COUNTIFS($AM$2:$AM$200,$G38)&gt;0,
     COUNTIFS($AN$2:$AN$200,$G38)&gt;0,
     COUNTIFS($AO$2:$AO$200,$G38)&gt;0,
     COUNTIFS($AP$2:$AP$200,$G38)&gt;0,
     COUNTIFS($AQ$2:$AQ$200,$G38)&gt;0,
     COUNTIFS($AR$2:$AR$200,$G38)&gt;0,
     COUNTIFS($AS$2:$AS$200,$G38)&gt;0,
     COUNTIFS($AT$2:$AT$200,$G38)&gt;0,
     COUNTIFS($AU$2:$AU$200,$G38)&gt;0,
     COUNTIFS($AV$2:$AV$200,$G38)&gt;0,
     COUNTIFS($AW$2:$AW$200,$G38)&gt;0,
     COUNTIFS($AX$2:$AX$200,$G38)&gt;0
   )),
  ),
  2
 ),
"")</f>
        <v/>
      </c>
      <c r="E38" s="3" t="str" cm="1">
        <f t="array" aca="1" ref="E38" ca="1">IFERROR(
 INDEX(
  _xlfn._xlws.FILTER($U$1:$AX$1,
   TRANSPOSE(
    CHOOSE({1;2;3;4;5;6;7;8;9;10;11;12;13;14;15;16;17;18;19;20;21;22;23;24;25;26;27;28;29;30},
     COUNTIFS($U$2:$U$200,$G38)&gt;0,
     COUNTIFS($V$2:$V$200,$G38)&gt;0,
     COUNTIFS($W$2:$W$200,$G38)&gt;0,
     COUNTIFS($X$2:$X$200,$G38)&gt;0,
     COUNTIFS($Y$2:$Y$200,$G38)&gt;0,
     COUNTIFS($Z$2:$Z$200,$G38)&gt;0,
     COUNTIFS($AA$2:$AA$200,$G38)&gt;0,
     COUNTIFS($AB$2:$AB$200,$G38)&gt;0,
     COUNTIFS($AC$2:$AC$200,$G38)&gt;0,
     COUNTIFS($AD$2:$AD$200,$G38)&gt;0,
     COUNTIFS($AE$2:$AE$200,$G38)&gt;0,
     COUNTIFS($AF$2:$AF$200,$G38)&gt;0,
     COUNTIFS($AG$2:$AG$200,$G38)&gt;0,
     COUNTIFS($AH$2:$AH$200,$G38)&gt;0,
     COUNTIFS($AI$2:$AI$200,$G38)&gt;0,
     COUNTIFS($AJ$2:$AJ$200,$G38)&gt;0,
     COUNTIFS($AK$2:$AK$200,$G38)&gt;0,
     COUNTIFS($AL$2:$AL$200,$G38)&gt;0,
     COUNTIFS($AM$2:$AM$200,$G38)&gt;0,
     COUNTIFS($AN$2:$AN$200,$G38)&gt;0,
     COUNTIFS($AO$2:$AO$200,$G38)&gt;0,
     COUNTIFS($AP$2:$AP$200,$G38)&gt;0,
     COUNTIFS($AQ$2:$AQ$200,$G38)&gt;0,
     COUNTIFS($AR$2:$AR$200,$G38)&gt;0,
     COUNTIFS($AS$2:$AS$200,$G38)&gt;0,
     COUNTIFS($AT$2:$AT$200,$G38)&gt;0,
     COUNTIFS($AU$2:$AU$200,$G38)&gt;0,
     COUNTIFS($AV$2:$AV$200,$G38)&gt;0,
     COUNTIFS($AW$2:$AW$200,$G38)&gt;0,
     COUNTIFS($AX$2:$AX$200,$G38)&gt;0
   )),
  ),
  3
 ),
"")</f>
        <v/>
      </c>
      <c r="F38" s="3" t="str" cm="1">
        <f t="array" aca="1" ref="F38" ca="1">IFERROR(
 INDEX(
  _xlfn._xlws.FILTER($U$1:$AX$1,
   TRANSPOSE(
    CHOOSE({1;2;3;4;5;6;7;8;9;10;11;12;13;14;15;16;17;18;19;20;21;22;23;24;25;26;27;28;29;30},
     COUNTIFS($U$2:$U$200,$G38)&gt;0,
     COUNTIFS($V$2:$V$200,$G38)&gt;0,
     COUNTIFS($W$2:$W$200,$G38)&gt;0,
     COUNTIFS($X$2:$X$200,$G38)&gt;0,
     COUNTIFS($Y$2:$Y$200,$G38)&gt;0,
     COUNTIFS($Z$2:$Z$200,$G38)&gt;0,
     COUNTIFS($AA$2:$AA$200,$G38)&gt;0,
     COUNTIFS($AB$2:$AB$200,$G38)&gt;0,
     COUNTIFS($AC$2:$AC$200,$G38)&gt;0,
     COUNTIFS($AD$2:$AD$200,$G38)&gt;0,
     COUNTIFS($AE$2:$AE$200,$G38)&gt;0,
     COUNTIFS($AF$2:$AF$200,$G38)&gt;0,
     COUNTIFS($AG$2:$AG$200,$G38)&gt;0,
     COUNTIFS($AH$2:$AH$200,$G38)&gt;0,
     COUNTIFS($AI$2:$AI$200,$G38)&gt;0,
     COUNTIFS($AJ$2:$AJ$200,$G38)&gt;0,
     COUNTIFS($AK$2:$AK$200,$G38)&gt;0,
     COUNTIFS($AL$2:$AL$200,$G38)&gt;0,
     COUNTIFS($AM$2:$AM$200,$G38)&gt;0,
     COUNTIFS($AN$2:$AN$200,$G38)&gt;0,
     COUNTIFS($AO$2:$AO$200,$G38)&gt;0,
     COUNTIFS($AP$2:$AP$200,$G38)&gt;0,
     COUNTIFS($AQ$2:$AQ$200,$G38)&gt;0,
     COUNTIFS($AR$2:$AR$200,$G38)&gt;0,
     COUNTIFS($AS$2:$AS$200,$G38)&gt;0,
     COUNTIFS($AT$2:$AT$200,$G38)&gt;0,
     COUNTIFS($AU$2:$AU$200,$G38)&gt;0,
     COUNTIFS($AV$2:$AV$200,$G38)&gt;0,
     COUNTIFS($AW$2:$AW$200,$G38)&gt;0,
     COUNTIFS($AX$2:$AX$200,$G38)&gt;0
   )),
  ),
  4
 ),
"")</f>
        <v/>
      </c>
      <c r="G38" t="str">
        <f ca="1"/>
        <v>Canopy Vista</v>
      </c>
      <c r="R38" s="3" t="s">
        <v>2140</v>
      </c>
      <c r="AX38" t="str">
        <v>The Great Henge</v>
      </c>
      <c r="BB38" t="str">
        <f ca="1"/>
        <v>The Indomitable</v>
      </c>
      <c r="BC38" t="str">
        <f ca="1"/>
        <v>Relentless Assault</v>
      </c>
      <c r="BP38" t="str">
        <f ca="1"/>
        <v>The Great Henge</v>
      </c>
      <c r="BS38" t="str">
        <f ca="1"/>
        <v>Irenicus's Vile Duplication</v>
      </c>
      <c r="BT38" t="str">
        <f ca="1"/>
        <v>Misty Rainforest</v>
      </c>
      <c r="BU38" t="str">
        <f ca="1"/>
        <v>Ulamog, o Profanador</v>
      </c>
      <c r="BV38" t="str">
        <f ca="1"/>
        <v>Sea Gate Restoration</v>
      </c>
      <c r="BZ38" t="str">
        <f ca="1"/>
        <v>The Great Henge</v>
      </c>
      <c r="CB38" t="str">
        <f ca="1"/>
        <v>Farmer Cotton</v>
      </c>
      <c r="CC38" t="str">
        <f ca="1"/>
        <v>Kellan, the Fae-Blooded // Birthright Boon</v>
      </c>
      <c r="CD38" t="str">
        <f ca="1"/>
        <v>Sokenzan, Crisol da Afronta</v>
      </c>
      <c r="CE38" t="str">
        <f ca="1"/>
        <v>Sacred Ground</v>
      </c>
      <c r="CG38" t="str">
        <f ca="1"/>
        <v>Creeping Tar Pit</v>
      </c>
      <c r="CH38" t="str">
        <f ca="1"/>
        <v>Illustrious Wanderglyph</v>
      </c>
      <c r="CJ38" t="str">
        <f ca="1"/>
        <v>Canopy Vista</v>
      </c>
    </row>
    <row r="39" spans="1:88" x14ac:dyDescent="0.25">
      <c r="A39" s="3" t="str">
        <f t="shared" ca="1" si="0"/>
        <v>4</v>
      </c>
      <c r="B39" s="3">
        <f t="shared" ca="1" si="1"/>
        <v>1</v>
      </c>
      <c r="C39" s="3" t="str">
        <f ca="1">IFERROR(
 INDEX($U$1:$AX$1,
  MATCH(TRUE,
   CHOOSE({1;2;3;4;5;6;7;8;9;10;11;12;13;14;15;16;17;18;19;20;21;22;23;24;25;26;27;28;29;30;31;32},
    COUNTIFS($U$2:$U$200,$G39)&gt;0,
    COUNTIFS($V$2:$V$200,$G39)&gt;0,
    COUNTIFS($W$2:$W$200,$G39)&gt;0,
    COUNTIFS($X$2:$X$200,$G39)&gt;0,
    COUNTIFS($Y$2:$Y$200,$G39)&gt;0,
    COUNTIFS($Z$2:$Z$200,$G39)&gt;0,
    COUNTIFS($AA$2:$AA$200,$G39)&gt;0,
    COUNTIFS($AB$2:$AB$200,$G39)&gt;0,
    COUNTIFS($AC$2:$AC$200,$G39)&gt;0,
    COUNTIFS($AD$2:$AD$200,$G39)&gt;0,
    COUNTIFS($AE$2:$AE$200,$G39)&gt;0,
    COUNTIFS($AF$2:$AF$200,$G39)&gt;0,
    COUNTIFS($AG$2:$AG$200,$G39)&gt;0,
    COUNTIFS($AH$2:$AH$200,$G39)&gt;0,
    COUNTIFS($AI$2:$AI$200,$G39)&gt;0,
    COUNTIFS($AJ$2:$AJ$200,$G39)&gt;0,
    COUNTIFS($AK$2:$AK$200,$G39)&gt;0,
    COUNTIFS($AL$2:$AL$200,$G39)&gt;0,
    COUNTIFS($AM$2:$AM$200,$G39)&gt;0,
    COUNTIFS($AN$2:$AN$200,$G39)&gt;0,
    COUNTIFS($AO$2:$AO$200,$G39)&gt;0,
    COUNTIFS($AP$2:$AP$200,$G39)&gt;0,
    COUNTIFS($AQ$2:$AQ$200,$G39)&gt;0,
    COUNTIFS($AR$2:$AR$200,$G39)&gt;0,
    COUNTIFS($AS$2:$AS$200,$G39)&gt;0,
    COUNTIFS($AT$2:$AT$200,$G39)&gt;0,
    COUNTIFS($AU$2:$AU$200,$G39)&gt;0,
    COUNTIFS($AV$2:$AV$200,$G39)&gt;0,
    COUNTIFS($AW$2:$AW$200,$G39)&gt;0,
    COUNTIFS($AX$2:$AX$200,$G39)&gt;0
   ),
  0)
 ),
"")</f>
        <v>Rielle</v>
      </c>
      <c r="D39" s="3" t="str" cm="1">
        <f t="array" aca="1" ref="D39" ca="1">IFERROR(
 INDEX(
  _xlfn._xlws.FILTER($U$1:$AX$1,
   TRANSPOSE(
    CHOOSE({1;2;3;4;5;6;7;8;9;10;11;12;13;14;15;16;17;18;19;20;21;22;23;24;25;26;27;28;29;30},
     COUNTIFS($U$2:$U$200,$G39)&gt;0,
     COUNTIFS($V$2:$V$200,$G39)&gt;0,
     COUNTIFS($W$2:$W$200,$G39)&gt;0,
     COUNTIFS($X$2:$X$200,$G39)&gt;0,
     COUNTIFS($Y$2:$Y$200,$G39)&gt;0,
     COUNTIFS($Z$2:$Z$200,$G39)&gt;0,
     COUNTIFS($AA$2:$AA$200,$G39)&gt;0,
     COUNTIFS($AB$2:$AB$200,$G39)&gt;0,
     COUNTIFS($AC$2:$AC$200,$G39)&gt;0,
     COUNTIFS($AD$2:$AD$200,$G39)&gt;0,
     COUNTIFS($AE$2:$AE$200,$G39)&gt;0,
     COUNTIFS($AF$2:$AF$200,$G39)&gt;0,
     COUNTIFS($AG$2:$AG$200,$G39)&gt;0,
     COUNTIFS($AH$2:$AH$200,$G39)&gt;0,
     COUNTIFS($AI$2:$AI$200,$G39)&gt;0,
     COUNTIFS($AJ$2:$AJ$200,$G39)&gt;0,
     COUNTIFS($AK$2:$AK$200,$G39)&gt;0,
     COUNTIFS($AL$2:$AL$200,$G39)&gt;0,
     COUNTIFS($AM$2:$AM$200,$G39)&gt;0,
     COUNTIFS($AN$2:$AN$200,$G39)&gt;0,
     COUNTIFS($AO$2:$AO$200,$G39)&gt;0,
     COUNTIFS($AP$2:$AP$200,$G39)&gt;0,
     COUNTIFS($AQ$2:$AQ$200,$G39)&gt;0,
     COUNTIFS($AR$2:$AR$200,$G39)&gt;0,
     COUNTIFS($AS$2:$AS$200,$G39)&gt;0,
     COUNTIFS($AT$2:$AT$200,$G39)&gt;0,
     COUNTIFS($AU$2:$AU$200,$G39)&gt;0,
     COUNTIFS($AV$2:$AV$200,$G39)&gt;0,
     COUNTIFS($AW$2:$AW$200,$G39)&gt;0,
     COUNTIFS($AX$2:$AX$200,$G39)&gt;0
   )),
  ),
  2
 ),
"")</f>
        <v/>
      </c>
      <c r="E39" s="3" t="str" cm="1">
        <f t="array" aca="1" ref="E39" ca="1">IFERROR(
 INDEX(
  _xlfn._xlws.FILTER($U$1:$AX$1,
   TRANSPOSE(
    CHOOSE({1;2;3;4;5;6;7;8;9;10;11;12;13;14;15;16;17;18;19;20;21;22;23;24;25;26;27;28;29;30},
     COUNTIFS($U$2:$U$200,$G39)&gt;0,
     COUNTIFS($V$2:$V$200,$G39)&gt;0,
     COUNTIFS($W$2:$W$200,$G39)&gt;0,
     COUNTIFS($X$2:$X$200,$G39)&gt;0,
     COUNTIFS($Y$2:$Y$200,$G39)&gt;0,
     COUNTIFS($Z$2:$Z$200,$G39)&gt;0,
     COUNTIFS($AA$2:$AA$200,$G39)&gt;0,
     COUNTIFS($AB$2:$AB$200,$G39)&gt;0,
     COUNTIFS($AC$2:$AC$200,$G39)&gt;0,
     COUNTIFS($AD$2:$AD$200,$G39)&gt;0,
     COUNTIFS($AE$2:$AE$200,$G39)&gt;0,
     COUNTIFS($AF$2:$AF$200,$G39)&gt;0,
     COUNTIFS($AG$2:$AG$200,$G39)&gt;0,
     COUNTIFS($AH$2:$AH$200,$G39)&gt;0,
     COUNTIFS($AI$2:$AI$200,$G39)&gt;0,
     COUNTIFS($AJ$2:$AJ$200,$G39)&gt;0,
     COUNTIFS($AK$2:$AK$200,$G39)&gt;0,
     COUNTIFS($AL$2:$AL$200,$G39)&gt;0,
     COUNTIFS($AM$2:$AM$200,$G39)&gt;0,
     COUNTIFS($AN$2:$AN$200,$G39)&gt;0,
     COUNTIFS($AO$2:$AO$200,$G39)&gt;0,
     COUNTIFS($AP$2:$AP$200,$G39)&gt;0,
     COUNTIFS($AQ$2:$AQ$200,$G39)&gt;0,
     COUNTIFS($AR$2:$AR$200,$G39)&gt;0,
     COUNTIFS($AS$2:$AS$200,$G39)&gt;0,
     COUNTIFS($AT$2:$AT$200,$G39)&gt;0,
     COUNTIFS($AU$2:$AU$200,$G39)&gt;0,
     COUNTIFS($AV$2:$AV$200,$G39)&gt;0,
     COUNTIFS($AW$2:$AW$200,$G39)&gt;0,
     COUNTIFS($AX$2:$AX$200,$G39)&gt;0
   )),
  ),
  3
 ),
"")</f>
        <v/>
      </c>
      <c r="F39" s="3" t="str" cm="1">
        <f t="array" aca="1" ref="F39" ca="1">IFERROR(
 INDEX(
  _xlfn._xlws.FILTER($U$1:$AX$1,
   TRANSPOSE(
    CHOOSE({1;2;3;4;5;6;7;8;9;10;11;12;13;14;15;16;17;18;19;20;21;22;23;24;25;26;27;28;29;30},
     COUNTIFS($U$2:$U$200,$G39)&gt;0,
     COUNTIFS($V$2:$V$200,$G39)&gt;0,
     COUNTIFS($W$2:$W$200,$G39)&gt;0,
     COUNTIFS($X$2:$X$200,$G39)&gt;0,
     COUNTIFS($Y$2:$Y$200,$G39)&gt;0,
     COUNTIFS($Z$2:$Z$200,$G39)&gt;0,
     COUNTIFS($AA$2:$AA$200,$G39)&gt;0,
     COUNTIFS($AB$2:$AB$200,$G39)&gt;0,
     COUNTIFS($AC$2:$AC$200,$G39)&gt;0,
     COUNTIFS($AD$2:$AD$200,$G39)&gt;0,
     COUNTIFS($AE$2:$AE$200,$G39)&gt;0,
     COUNTIFS($AF$2:$AF$200,$G39)&gt;0,
     COUNTIFS($AG$2:$AG$200,$G39)&gt;0,
     COUNTIFS($AH$2:$AH$200,$G39)&gt;0,
     COUNTIFS($AI$2:$AI$200,$G39)&gt;0,
     COUNTIFS($AJ$2:$AJ$200,$G39)&gt;0,
     COUNTIFS($AK$2:$AK$200,$G39)&gt;0,
     COUNTIFS($AL$2:$AL$200,$G39)&gt;0,
     COUNTIFS($AM$2:$AM$200,$G39)&gt;0,
     COUNTIFS($AN$2:$AN$200,$G39)&gt;0,
     COUNTIFS($AO$2:$AO$200,$G39)&gt;0,
     COUNTIFS($AP$2:$AP$200,$G39)&gt;0,
     COUNTIFS($AQ$2:$AQ$200,$G39)&gt;0,
     COUNTIFS($AR$2:$AR$200,$G39)&gt;0,
     COUNTIFS($AS$2:$AS$200,$G39)&gt;0,
     COUNTIFS($AT$2:$AT$200,$G39)&gt;0,
     COUNTIFS($AU$2:$AU$200,$G39)&gt;0,
     COUNTIFS($AV$2:$AV$200,$G39)&gt;0,
     COUNTIFS($AW$2:$AW$200,$G39)&gt;0,
     COUNTIFS($AX$2:$AX$200,$G39)&gt;0
   )),
  ),
  4
 ),
"")</f>
        <v/>
      </c>
      <c r="G39" t="str">
        <f ca="1"/>
        <v>Careful Study</v>
      </c>
      <c r="R39" s="3" t="s">
        <v>2141</v>
      </c>
      <c r="AX39" t="str">
        <v>The Ozolith</v>
      </c>
      <c r="BB39" t="str">
        <f ca="1"/>
        <v>The Shire</v>
      </c>
      <c r="BC39" t="str">
        <f ca="1"/>
        <v>Resourceful Defense</v>
      </c>
      <c r="BP39" t="str">
        <f ca="1"/>
        <v>The Ozolith</v>
      </c>
      <c r="BS39" t="str">
        <f ca="1"/>
        <v>Jacked Rabbit</v>
      </c>
      <c r="BT39" t="str">
        <f ca="1"/>
        <v>Mother of runes</v>
      </c>
      <c r="BU39" t="str">
        <f ca="1"/>
        <v>Ulamog, the Infinite Gyre</v>
      </c>
      <c r="BV39" t="str">
        <f ca="1"/>
        <v>Shizo, Death's Storehouse</v>
      </c>
      <c r="BZ39" t="str">
        <f ca="1"/>
        <v>The Ozolith</v>
      </c>
      <c r="CB39" t="str">
        <f ca="1"/>
        <v>Farseek</v>
      </c>
      <c r="CC39" t="str">
        <f ca="1"/>
        <v>Kozilek, the Broken Reality</v>
      </c>
      <c r="CD39" t="str">
        <f ca="1"/>
        <v>Sonic Screwdriver</v>
      </c>
      <c r="CE39" t="str">
        <f ca="1"/>
        <v>Scattered Groves</v>
      </c>
      <c r="CG39" t="str">
        <f ca="1"/>
        <v>Crisol dos Mundos</v>
      </c>
      <c r="CH39" t="str">
        <f ca="1"/>
        <v>Inkmoth Nexus</v>
      </c>
      <c r="CJ39" t="str">
        <f ca="1"/>
        <v>Careful Study</v>
      </c>
    </row>
    <row r="40" spans="1:88" x14ac:dyDescent="0.25">
      <c r="A40" s="3" t="str">
        <f t="shared" ca="1" si="0"/>
        <v>2</v>
      </c>
      <c r="B40" s="3">
        <f t="shared" ca="1" si="1"/>
        <v>1</v>
      </c>
      <c r="C40" s="3" t="str">
        <f ca="1">IFERROR(
 INDEX($U$1:$AX$1,
  MATCH(TRUE,
   CHOOSE({1;2;3;4;5;6;7;8;9;10;11;12;13;14;15;16;17;18;19;20;21;22;23;24;25;26;27;28;29;30;31;32},
    COUNTIFS($U$2:$U$200,$G40)&gt;0,
    COUNTIFS($V$2:$V$200,$G40)&gt;0,
    COUNTIFS($W$2:$W$200,$G40)&gt;0,
    COUNTIFS($X$2:$X$200,$G40)&gt;0,
    COUNTIFS($Y$2:$Y$200,$G40)&gt;0,
    COUNTIFS($Z$2:$Z$200,$G40)&gt;0,
    COUNTIFS($AA$2:$AA$200,$G40)&gt;0,
    COUNTIFS($AB$2:$AB$200,$G40)&gt;0,
    COUNTIFS($AC$2:$AC$200,$G40)&gt;0,
    COUNTIFS($AD$2:$AD$200,$G40)&gt;0,
    COUNTIFS($AE$2:$AE$200,$G40)&gt;0,
    COUNTIFS($AF$2:$AF$200,$G40)&gt;0,
    COUNTIFS($AG$2:$AG$200,$G40)&gt;0,
    COUNTIFS($AH$2:$AH$200,$G40)&gt;0,
    COUNTIFS($AI$2:$AI$200,$G40)&gt;0,
    COUNTIFS($AJ$2:$AJ$200,$G40)&gt;0,
    COUNTIFS($AK$2:$AK$200,$G40)&gt;0,
    COUNTIFS($AL$2:$AL$200,$G40)&gt;0,
    COUNTIFS($AM$2:$AM$200,$G40)&gt;0,
    COUNTIFS($AN$2:$AN$200,$G40)&gt;0,
    COUNTIFS($AO$2:$AO$200,$G40)&gt;0,
    COUNTIFS($AP$2:$AP$200,$G40)&gt;0,
    COUNTIFS($AQ$2:$AQ$200,$G40)&gt;0,
    COUNTIFS($AR$2:$AR$200,$G40)&gt;0,
    COUNTIFS($AS$2:$AS$200,$G40)&gt;0,
    COUNTIFS($AT$2:$AT$200,$G40)&gt;0,
    COUNTIFS($AU$2:$AU$200,$G40)&gt;0,
    COUNTIFS($AV$2:$AV$200,$G40)&gt;0,
    COUNTIFS($AW$2:$AW$200,$G40)&gt;0,
    COUNTIFS($AX$2:$AX$200,$G40)&gt;0
   ),
  0)
 ),
"")</f>
        <v>Baylen</v>
      </c>
      <c r="D40" s="3" t="str" cm="1">
        <f t="array" aca="1" ref="D40" ca="1">IFERROR(
 INDEX(
  _xlfn._xlws.FILTER($U$1:$AX$1,
   TRANSPOSE(
    CHOOSE({1;2;3;4;5;6;7;8;9;10;11;12;13;14;15;16;17;18;19;20;21;22;23;24;25;26;27;28;29;30},
     COUNTIFS($U$2:$U$200,$G40)&gt;0,
     COUNTIFS($V$2:$V$200,$G40)&gt;0,
     COUNTIFS($W$2:$W$200,$G40)&gt;0,
     COUNTIFS($X$2:$X$200,$G40)&gt;0,
     COUNTIFS($Y$2:$Y$200,$G40)&gt;0,
     COUNTIFS($Z$2:$Z$200,$G40)&gt;0,
     COUNTIFS($AA$2:$AA$200,$G40)&gt;0,
     COUNTIFS($AB$2:$AB$200,$G40)&gt;0,
     COUNTIFS($AC$2:$AC$200,$G40)&gt;0,
     COUNTIFS($AD$2:$AD$200,$G40)&gt;0,
     COUNTIFS($AE$2:$AE$200,$G40)&gt;0,
     COUNTIFS($AF$2:$AF$200,$G40)&gt;0,
     COUNTIFS($AG$2:$AG$200,$G40)&gt;0,
     COUNTIFS($AH$2:$AH$200,$G40)&gt;0,
     COUNTIFS($AI$2:$AI$200,$G40)&gt;0,
     COUNTIFS($AJ$2:$AJ$200,$G40)&gt;0,
     COUNTIFS($AK$2:$AK$200,$G40)&gt;0,
     COUNTIFS($AL$2:$AL$200,$G40)&gt;0,
     COUNTIFS($AM$2:$AM$200,$G40)&gt;0,
     COUNTIFS($AN$2:$AN$200,$G40)&gt;0,
     COUNTIFS($AO$2:$AO$200,$G40)&gt;0,
     COUNTIFS($AP$2:$AP$200,$G40)&gt;0,
     COUNTIFS($AQ$2:$AQ$200,$G40)&gt;0,
     COUNTIFS($AR$2:$AR$200,$G40)&gt;0,
     COUNTIFS($AS$2:$AS$200,$G40)&gt;0,
     COUNTIFS($AT$2:$AT$200,$G40)&gt;0,
     COUNTIFS($AU$2:$AU$200,$G40)&gt;0,
     COUNTIFS($AV$2:$AV$200,$G40)&gt;0,
     COUNTIFS($AW$2:$AW$200,$G40)&gt;0,
     COUNTIFS($AX$2:$AX$200,$G40)&gt;0
   )),
  ),
  2
 ),
"")</f>
        <v/>
      </c>
      <c r="E40" s="3" t="str" cm="1">
        <f t="array" aca="1" ref="E40" ca="1">IFERROR(
 INDEX(
  _xlfn._xlws.FILTER($U$1:$AX$1,
   TRANSPOSE(
    CHOOSE({1;2;3;4;5;6;7;8;9;10;11;12;13;14;15;16;17;18;19;20;21;22;23;24;25;26;27;28;29;30},
     COUNTIFS($U$2:$U$200,$G40)&gt;0,
     COUNTIFS($V$2:$V$200,$G40)&gt;0,
     COUNTIFS($W$2:$W$200,$G40)&gt;0,
     COUNTIFS($X$2:$X$200,$G40)&gt;0,
     COUNTIFS($Y$2:$Y$200,$G40)&gt;0,
     COUNTIFS($Z$2:$Z$200,$G40)&gt;0,
     COUNTIFS($AA$2:$AA$200,$G40)&gt;0,
     COUNTIFS($AB$2:$AB$200,$G40)&gt;0,
     COUNTIFS($AC$2:$AC$200,$G40)&gt;0,
     COUNTIFS($AD$2:$AD$200,$G40)&gt;0,
     COUNTIFS($AE$2:$AE$200,$G40)&gt;0,
     COUNTIFS($AF$2:$AF$200,$G40)&gt;0,
     COUNTIFS($AG$2:$AG$200,$G40)&gt;0,
     COUNTIFS($AH$2:$AH$200,$G40)&gt;0,
     COUNTIFS($AI$2:$AI$200,$G40)&gt;0,
     COUNTIFS($AJ$2:$AJ$200,$G40)&gt;0,
     COUNTIFS($AK$2:$AK$200,$G40)&gt;0,
     COUNTIFS($AL$2:$AL$200,$G40)&gt;0,
     COUNTIFS($AM$2:$AM$200,$G40)&gt;0,
     COUNTIFS($AN$2:$AN$200,$G40)&gt;0,
     COUNTIFS($AO$2:$AO$200,$G40)&gt;0,
     COUNTIFS($AP$2:$AP$200,$G40)&gt;0,
     COUNTIFS($AQ$2:$AQ$200,$G40)&gt;0,
     COUNTIFS($AR$2:$AR$200,$G40)&gt;0,
     COUNTIFS($AS$2:$AS$200,$G40)&gt;0,
     COUNTIFS($AT$2:$AT$200,$G40)&gt;0,
     COUNTIFS($AU$2:$AU$200,$G40)&gt;0,
     COUNTIFS($AV$2:$AV$200,$G40)&gt;0,
     COUNTIFS($AW$2:$AW$200,$G40)&gt;0,
     COUNTIFS($AX$2:$AX$200,$G40)&gt;0
   )),
  ),
  3
 ),
"")</f>
        <v/>
      </c>
      <c r="F40" s="3" t="str" cm="1">
        <f t="array" aca="1" ref="F40" ca="1">IFERROR(
 INDEX(
  _xlfn._xlws.FILTER($U$1:$AX$1,
   TRANSPOSE(
    CHOOSE({1;2;3;4;5;6;7;8;9;10;11;12;13;14;15;16;17;18;19;20;21;22;23;24;25;26;27;28;29;30},
     COUNTIFS($U$2:$U$200,$G40)&gt;0,
     COUNTIFS($V$2:$V$200,$G40)&gt;0,
     COUNTIFS($W$2:$W$200,$G40)&gt;0,
     COUNTIFS($X$2:$X$200,$G40)&gt;0,
     COUNTIFS($Y$2:$Y$200,$G40)&gt;0,
     COUNTIFS($Z$2:$Z$200,$G40)&gt;0,
     COUNTIFS($AA$2:$AA$200,$G40)&gt;0,
     COUNTIFS($AB$2:$AB$200,$G40)&gt;0,
     COUNTIFS($AC$2:$AC$200,$G40)&gt;0,
     COUNTIFS($AD$2:$AD$200,$G40)&gt;0,
     COUNTIFS($AE$2:$AE$200,$G40)&gt;0,
     COUNTIFS($AF$2:$AF$200,$G40)&gt;0,
     COUNTIFS($AG$2:$AG$200,$G40)&gt;0,
     COUNTIFS($AH$2:$AH$200,$G40)&gt;0,
     COUNTIFS($AI$2:$AI$200,$G40)&gt;0,
     COUNTIFS($AJ$2:$AJ$200,$G40)&gt;0,
     COUNTIFS($AK$2:$AK$200,$G40)&gt;0,
     COUNTIFS($AL$2:$AL$200,$G40)&gt;0,
     COUNTIFS($AM$2:$AM$200,$G40)&gt;0,
     COUNTIFS($AN$2:$AN$200,$G40)&gt;0,
     COUNTIFS($AO$2:$AO$200,$G40)&gt;0,
     COUNTIFS($AP$2:$AP$200,$G40)&gt;0,
     COUNTIFS($AQ$2:$AQ$200,$G40)&gt;0,
     COUNTIFS($AR$2:$AR$200,$G40)&gt;0,
     COUNTIFS($AS$2:$AS$200,$G40)&gt;0,
     COUNTIFS($AT$2:$AT$200,$G40)&gt;0,
     COUNTIFS($AU$2:$AU$200,$G40)&gt;0,
     COUNTIFS($AV$2:$AV$200,$G40)&gt;0,
     COUNTIFS($AW$2:$AW$200,$G40)&gt;0,
     COUNTIFS($AX$2:$AX$200,$G40)&gt;0
   )),
  ),
  4
 ),
"")</f>
        <v/>
      </c>
      <c r="G40" t="str">
        <f ca="1"/>
        <v>Castle Ardenvale</v>
      </c>
      <c r="R40" s="3" t="s">
        <v>2142</v>
      </c>
      <c r="AX40" t="str">
        <v>Thornglint Bridge</v>
      </c>
      <c r="BB40" t="str">
        <f ca="1"/>
        <v>Time of Need</v>
      </c>
      <c r="BC40" t="str">
        <f ca="1"/>
        <v>Reyhan, Last of the Abzan</v>
      </c>
      <c r="BP40" t="str">
        <f ca="1"/>
        <v>Thornglint Bridge</v>
      </c>
      <c r="BS40" t="str">
        <f ca="1"/>
        <v>Jetmir, Nexus of Revels</v>
      </c>
      <c r="BT40" t="str">
        <f ca="1"/>
        <v>Reliquary Tower</v>
      </c>
      <c r="BU40" t="str">
        <f ca="1"/>
        <v>Ulamog's Dreadsire</v>
      </c>
      <c r="BV40" t="str">
        <f ca="1"/>
        <v>Stoneforge Mystic</v>
      </c>
      <c r="BZ40" t="str">
        <f ca="1"/>
        <v>Thornglint Bridge</v>
      </c>
      <c r="CB40" t="str">
        <f ca="1"/>
        <v>Fellwar Stone</v>
      </c>
      <c r="CC40" t="str">
        <f ca="1"/>
        <v>Lightning Greaves</v>
      </c>
      <c r="CD40" t="str">
        <f ca="1"/>
        <v>Swamp</v>
      </c>
      <c r="CE40" t="str">
        <f ca="1"/>
        <v>Slagwoods Bridge</v>
      </c>
      <c r="CG40" t="str">
        <f ca="1"/>
        <v>Cyber Conversion</v>
      </c>
      <c r="CH40" t="str">
        <f ca="1"/>
        <v>Invasion of Segovia</v>
      </c>
      <c r="CJ40" t="str">
        <f ca="1"/>
        <v>Castle Ardenvale</v>
      </c>
    </row>
    <row r="41" spans="1:88" x14ac:dyDescent="0.25">
      <c r="A41" s="3" t="str">
        <f t="shared" ca="1" si="0"/>
        <v>4</v>
      </c>
      <c r="B41" s="3">
        <f t="shared" ca="1" si="1"/>
        <v>1</v>
      </c>
      <c r="C41" s="3" t="str">
        <f ca="1">IFERROR(
 INDEX($U$1:$AX$1,
  MATCH(TRUE,
   CHOOSE({1;2;3;4;5;6;7;8;9;10;11;12;13;14;15;16;17;18;19;20;21;22;23;24;25;26;27;28;29;30;31;32},
    COUNTIFS($U$2:$U$200,$G41)&gt;0,
    COUNTIFS($V$2:$V$200,$G41)&gt;0,
    COUNTIFS($W$2:$W$200,$G41)&gt;0,
    COUNTIFS($X$2:$X$200,$G41)&gt;0,
    COUNTIFS($Y$2:$Y$200,$G41)&gt;0,
    COUNTIFS($Z$2:$Z$200,$G41)&gt;0,
    COUNTIFS($AA$2:$AA$200,$G41)&gt;0,
    COUNTIFS($AB$2:$AB$200,$G41)&gt;0,
    COUNTIFS($AC$2:$AC$200,$G41)&gt;0,
    COUNTIFS($AD$2:$AD$200,$G41)&gt;0,
    COUNTIFS($AE$2:$AE$200,$G41)&gt;0,
    COUNTIFS($AF$2:$AF$200,$G41)&gt;0,
    COUNTIFS($AG$2:$AG$200,$G41)&gt;0,
    COUNTIFS($AH$2:$AH$200,$G41)&gt;0,
    COUNTIFS($AI$2:$AI$200,$G41)&gt;0,
    COUNTIFS($AJ$2:$AJ$200,$G41)&gt;0,
    COUNTIFS($AK$2:$AK$200,$G41)&gt;0,
    COUNTIFS($AL$2:$AL$200,$G41)&gt;0,
    COUNTIFS($AM$2:$AM$200,$G41)&gt;0,
    COUNTIFS($AN$2:$AN$200,$G41)&gt;0,
    COUNTIFS($AO$2:$AO$200,$G41)&gt;0,
    COUNTIFS($AP$2:$AP$200,$G41)&gt;0,
    COUNTIFS($AQ$2:$AQ$200,$G41)&gt;0,
    COUNTIFS($AR$2:$AR$200,$G41)&gt;0,
    COUNTIFS($AS$2:$AS$200,$G41)&gt;0,
    COUNTIFS($AT$2:$AT$200,$G41)&gt;0,
    COUNTIFS($AU$2:$AU$200,$G41)&gt;0,
    COUNTIFS($AV$2:$AV$200,$G41)&gt;0,
    COUNTIFS($AW$2:$AW$200,$G41)&gt;0,
    COUNTIFS($AX$2:$AX$200,$G41)&gt;0
   ),
  0)
 ),
"")</f>
        <v>Fractius</v>
      </c>
      <c r="D41" s="3" t="str" cm="1">
        <f t="array" aca="1" ref="D41" ca="1">IFERROR(
 INDEX(
  _xlfn._xlws.FILTER($U$1:$AX$1,
   TRANSPOSE(
    CHOOSE({1;2;3;4;5;6;7;8;9;10;11;12;13;14;15;16;17;18;19;20;21;22;23;24;25;26;27;28;29;30},
     COUNTIFS($U$2:$U$200,$G41)&gt;0,
     COUNTIFS($V$2:$V$200,$G41)&gt;0,
     COUNTIFS($W$2:$W$200,$G41)&gt;0,
     COUNTIFS($X$2:$X$200,$G41)&gt;0,
     COUNTIFS($Y$2:$Y$200,$G41)&gt;0,
     COUNTIFS($Z$2:$Z$200,$G41)&gt;0,
     COUNTIFS($AA$2:$AA$200,$G41)&gt;0,
     COUNTIFS($AB$2:$AB$200,$G41)&gt;0,
     COUNTIFS($AC$2:$AC$200,$G41)&gt;0,
     COUNTIFS($AD$2:$AD$200,$G41)&gt;0,
     COUNTIFS($AE$2:$AE$200,$G41)&gt;0,
     COUNTIFS($AF$2:$AF$200,$G41)&gt;0,
     COUNTIFS($AG$2:$AG$200,$G41)&gt;0,
     COUNTIFS($AH$2:$AH$200,$G41)&gt;0,
     COUNTIFS($AI$2:$AI$200,$G41)&gt;0,
     COUNTIFS($AJ$2:$AJ$200,$G41)&gt;0,
     COUNTIFS($AK$2:$AK$200,$G41)&gt;0,
     COUNTIFS($AL$2:$AL$200,$G41)&gt;0,
     COUNTIFS($AM$2:$AM$200,$G41)&gt;0,
     COUNTIFS($AN$2:$AN$200,$G41)&gt;0,
     COUNTIFS($AO$2:$AO$200,$G41)&gt;0,
     COUNTIFS($AP$2:$AP$200,$G41)&gt;0,
     COUNTIFS($AQ$2:$AQ$200,$G41)&gt;0,
     COUNTIFS($AR$2:$AR$200,$G41)&gt;0,
     COUNTIFS($AS$2:$AS$200,$G41)&gt;0,
     COUNTIFS($AT$2:$AT$200,$G41)&gt;0,
     COUNTIFS($AU$2:$AU$200,$G41)&gt;0,
     COUNTIFS($AV$2:$AV$200,$G41)&gt;0,
     COUNTIFS($AW$2:$AW$200,$G41)&gt;0,
     COUNTIFS($AX$2:$AX$200,$G41)&gt;0
   )),
  ),
  2
 ),
"")</f>
        <v/>
      </c>
      <c r="E41" s="3" t="str" cm="1">
        <f t="array" aca="1" ref="E41" ca="1">IFERROR(
 INDEX(
  _xlfn._xlws.FILTER($U$1:$AX$1,
   TRANSPOSE(
    CHOOSE({1;2;3;4;5;6;7;8;9;10;11;12;13;14;15;16;17;18;19;20;21;22;23;24;25;26;27;28;29;30},
     COUNTIFS($U$2:$U$200,$G41)&gt;0,
     COUNTIFS($V$2:$V$200,$G41)&gt;0,
     COUNTIFS($W$2:$W$200,$G41)&gt;0,
     COUNTIFS($X$2:$X$200,$G41)&gt;0,
     COUNTIFS($Y$2:$Y$200,$G41)&gt;0,
     COUNTIFS($Z$2:$Z$200,$G41)&gt;0,
     COUNTIFS($AA$2:$AA$200,$G41)&gt;0,
     COUNTIFS($AB$2:$AB$200,$G41)&gt;0,
     COUNTIFS($AC$2:$AC$200,$G41)&gt;0,
     COUNTIFS($AD$2:$AD$200,$G41)&gt;0,
     COUNTIFS($AE$2:$AE$200,$G41)&gt;0,
     COUNTIFS($AF$2:$AF$200,$G41)&gt;0,
     COUNTIFS($AG$2:$AG$200,$G41)&gt;0,
     COUNTIFS($AH$2:$AH$200,$G41)&gt;0,
     COUNTIFS($AI$2:$AI$200,$G41)&gt;0,
     COUNTIFS($AJ$2:$AJ$200,$G41)&gt;0,
     COUNTIFS($AK$2:$AK$200,$G41)&gt;0,
     COUNTIFS($AL$2:$AL$200,$G41)&gt;0,
     COUNTIFS($AM$2:$AM$200,$G41)&gt;0,
     COUNTIFS($AN$2:$AN$200,$G41)&gt;0,
     COUNTIFS($AO$2:$AO$200,$G41)&gt;0,
     COUNTIFS($AP$2:$AP$200,$G41)&gt;0,
     COUNTIFS($AQ$2:$AQ$200,$G41)&gt;0,
     COUNTIFS($AR$2:$AR$200,$G41)&gt;0,
     COUNTIFS($AS$2:$AS$200,$G41)&gt;0,
     COUNTIFS($AT$2:$AT$200,$G41)&gt;0,
     COUNTIFS($AU$2:$AU$200,$G41)&gt;0,
     COUNTIFS($AV$2:$AV$200,$G41)&gt;0,
     COUNTIFS($AW$2:$AW$200,$G41)&gt;0,
     COUNTIFS($AX$2:$AX$200,$G41)&gt;0
   )),
  ),
  3
 ),
"")</f>
        <v/>
      </c>
      <c r="F41" s="3" t="str" cm="1">
        <f t="array" aca="1" ref="F41" ca="1">IFERROR(
 INDEX(
  _xlfn._xlws.FILTER($U$1:$AX$1,
   TRANSPOSE(
    CHOOSE({1;2;3;4;5;6;7;8;9;10;11;12;13;14;15;16;17;18;19;20;21;22;23;24;25;26;27;28;29;30},
     COUNTIFS($U$2:$U$200,$G41)&gt;0,
     COUNTIFS($V$2:$V$200,$G41)&gt;0,
     COUNTIFS($W$2:$W$200,$G41)&gt;0,
     COUNTIFS($X$2:$X$200,$G41)&gt;0,
     COUNTIFS($Y$2:$Y$200,$G41)&gt;0,
     COUNTIFS($Z$2:$Z$200,$G41)&gt;0,
     COUNTIFS($AA$2:$AA$200,$G41)&gt;0,
     COUNTIFS($AB$2:$AB$200,$G41)&gt;0,
     COUNTIFS($AC$2:$AC$200,$G41)&gt;0,
     COUNTIFS($AD$2:$AD$200,$G41)&gt;0,
     COUNTIFS($AE$2:$AE$200,$G41)&gt;0,
     COUNTIFS($AF$2:$AF$200,$G41)&gt;0,
     COUNTIFS($AG$2:$AG$200,$G41)&gt;0,
     COUNTIFS($AH$2:$AH$200,$G41)&gt;0,
     COUNTIFS($AI$2:$AI$200,$G41)&gt;0,
     COUNTIFS($AJ$2:$AJ$200,$G41)&gt;0,
     COUNTIFS($AK$2:$AK$200,$G41)&gt;0,
     COUNTIFS($AL$2:$AL$200,$G41)&gt;0,
     COUNTIFS($AM$2:$AM$200,$G41)&gt;0,
     COUNTIFS($AN$2:$AN$200,$G41)&gt;0,
     COUNTIFS($AO$2:$AO$200,$G41)&gt;0,
     COUNTIFS($AP$2:$AP$200,$G41)&gt;0,
     COUNTIFS($AQ$2:$AQ$200,$G41)&gt;0,
     COUNTIFS($AR$2:$AR$200,$G41)&gt;0,
     COUNTIFS($AS$2:$AS$200,$G41)&gt;0,
     COUNTIFS($AT$2:$AT$200,$G41)&gt;0,
     COUNTIFS($AU$2:$AU$200,$G41)&gt;0,
     COUNTIFS($AV$2:$AV$200,$G41)&gt;0,
     COUNTIFS($AW$2:$AW$200,$G41)&gt;0,
     COUNTIFS($AX$2:$AX$200,$G41)&gt;0
   )),
  ),
  4
 ),
"")</f>
        <v/>
      </c>
      <c r="G41" t="str">
        <f ca="1"/>
        <v>Caverna das Almas</v>
      </c>
      <c r="R41" s="3" t="s">
        <v>2151</v>
      </c>
      <c r="AX41" t="str">
        <v>Tireless Provisioner</v>
      </c>
      <c r="BB41" t="str">
        <f ca="1"/>
        <v>Time Sieve</v>
      </c>
      <c r="BC41" t="str">
        <f ca="1"/>
        <v>Sea of Clouds</v>
      </c>
      <c r="BP41" t="str">
        <f ca="1"/>
        <v>Tireless Provisioner</v>
      </c>
      <c r="BS41" t="str">
        <f ca="1"/>
        <v>Jidoor, Aristocratic Capital // Overture</v>
      </c>
      <c r="BT41" t="str">
        <f ca="1"/>
        <v>Rogue's Passage</v>
      </c>
      <c r="BU41" t="str">
        <f ca="1"/>
        <v>Valfenda</v>
      </c>
      <c r="BV41" t="str">
        <f ca="1"/>
        <v>Temporal Manipulation</v>
      </c>
      <c r="BZ41" t="str">
        <f ca="1"/>
        <v>Tireless Provisioner</v>
      </c>
      <c r="CB41" t="str">
        <f ca="1"/>
        <v>Firkraag, Cunning Instigator</v>
      </c>
      <c r="CC41" t="str">
        <f ca="1"/>
        <v>Lolth, Rainha Aranha</v>
      </c>
      <c r="CD41" t="str">
        <f ca="1"/>
        <v>The Masamune</v>
      </c>
      <c r="CE41" t="str">
        <f ca="1"/>
        <v>Sol Ring</v>
      </c>
      <c r="CG41" t="str">
        <f ca="1"/>
        <v>Deeproot Historian</v>
      </c>
      <c r="CH41" t="str">
        <f ca="1"/>
        <v>Jenova, Ancient Calamity</v>
      </c>
      <c r="CJ41" t="str">
        <f ca="1"/>
        <v>Caverna das Almas</v>
      </c>
    </row>
    <row r="42" spans="1:88" x14ac:dyDescent="0.25">
      <c r="A42" s="3" t="str">
        <f t="shared" ca="1" si="0"/>
        <v>1</v>
      </c>
      <c r="B42" s="3">
        <f t="shared" ca="1" si="1"/>
        <v>1</v>
      </c>
      <c r="C42" s="3" t="str">
        <f ca="1">IFERROR(
 INDEX($U$1:$AX$1,
  MATCH(TRUE,
   CHOOSE({1;2;3;4;5;6;7;8;9;10;11;12;13;14;15;16;17;18;19;20;21;22;23;24;25;26;27;28;29;30;31;32},
    COUNTIFS($U$2:$U$200,$G42)&gt;0,
    COUNTIFS($V$2:$V$200,$G42)&gt;0,
    COUNTIFS($W$2:$W$200,$G42)&gt;0,
    COUNTIFS($X$2:$X$200,$G42)&gt;0,
    COUNTIFS($Y$2:$Y$200,$G42)&gt;0,
    COUNTIFS($Z$2:$Z$200,$G42)&gt;0,
    COUNTIFS($AA$2:$AA$200,$G42)&gt;0,
    COUNTIFS($AB$2:$AB$200,$G42)&gt;0,
    COUNTIFS($AC$2:$AC$200,$G42)&gt;0,
    COUNTIFS($AD$2:$AD$200,$G42)&gt;0,
    COUNTIFS($AE$2:$AE$200,$G42)&gt;0,
    COUNTIFS($AF$2:$AF$200,$G42)&gt;0,
    COUNTIFS($AG$2:$AG$200,$G42)&gt;0,
    COUNTIFS($AH$2:$AH$200,$G42)&gt;0,
    COUNTIFS($AI$2:$AI$200,$G42)&gt;0,
    COUNTIFS($AJ$2:$AJ$200,$G42)&gt;0,
    COUNTIFS($AK$2:$AK$200,$G42)&gt;0,
    COUNTIFS($AL$2:$AL$200,$G42)&gt;0,
    COUNTIFS($AM$2:$AM$200,$G42)&gt;0,
    COUNTIFS($AN$2:$AN$200,$G42)&gt;0,
    COUNTIFS($AO$2:$AO$200,$G42)&gt;0,
    COUNTIFS($AP$2:$AP$200,$G42)&gt;0,
    COUNTIFS($AQ$2:$AQ$200,$G42)&gt;0,
    COUNTIFS($AR$2:$AR$200,$G42)&gt;0,
    COUNTIFS($AS$2:$AS$200,$G42)&gt;0,
    COUNTIFS($AT$2:$AT$200,$G42)&gt;0,
    COUNTIFS($AU$2:$AU$200,$G42)&gt;0,
    COUNTIFS($AV$2:$AV$200,$G42)&gt;0,
    COUNTIFS($AW$2:$AW$200,$G42)&gt;0,
    COUNTIFS($AX$2:$AX$200,$G42)&gt;0
   ),
  0)
 ),
"")</f>
        <v>Tayam</v>
      </c>
      <c r="D42" s="3" t="str" cm="1">
        <f t="array" aca="1" ref="D42" ca="1">IFERROR(
 INDEX(
  _xlfn._xlws.FILTER($U$1:$AX$1,
   TRANSPOSE(
    CHOOSE({1;2;3;4;5;6;7;8;9;10;11;12;13;14;15;16;17;18;19;20;21;22;23;24;25;26;27;28;29;30},
     COUNTIFS($U$2:$U$200,$G42)&gt;0,
     COUNTIFS($V$2:$V$200,$G42)&gt;0,
     COUNTIFS($W$2:$W$200,$G42)&gt;0,
     COUNTIFS($X$2:$X$200,$G42)&gt;0,
     COUNTIFS($Y$2:$Y$200,$G42)&gt;0,
     COUNTIFS($Z$2:$Z$200,$G42)&gt;0,
     COUNTIFS($AA$2:$AA$200,$G42)&gt;0,
     COUNTIFS($AB$2:$AB$200,$G42)&gt;0,
     COUNTIFS($AC$2:$AC$200,$G42)&gt;0,
     COUNTIFS($AD$2:$AD$200,$G42)&gt;0,
     COUNTIFS($AE$2:$AE$200,$G42)&gt;0,
     COUNTIFS($AF$2:$AF$200,$G42)&gt;0,
     COUNTIFS($AG$2:$AG$200,$G42)&gt;0,
     COUNTIFS($AH$2:$AH$200,$G42)&gt;0,
     COUNTIFS($AI$2:$AI$200,$G42)&gt;0,
     COUNTIFS($AJ$2:$AJ$200,$G42)&gt;0,
     COUNTIFS($AK$2:$AK$200,$G42)&gt;0,
     COUNTIFS($AL$2:$AL$200,$G42)&gt;0,
     COUNTIFS($AM$2:$AM$200,$G42)&gt;0,
     COUNTIFS($AN$2:$AN$200,$G42)&gt;0,
     COUNTIFS($AO$2:$AO$200,$G42)&gt;0,
     COUNTIFS($AP$2:$AP$200,$G42)&gt;0,
     COUNTIFS($AQ$2:$AQ$200,$G42)&gt;0,
     COUNTIFS($AR$2:$AR$200,$G42)&gt;0,
     COUNTIFS($AS$2:$AS$200,$G42)&gt;0,
     COUNTIFS($AT$2:$AT$200,$G42)&gt;0,
     COUNTIFS($AU$2:$AU$200,$G42)&gt;0,
     COUNTIFS($AV$2:$AV$200,$G42)&gt;0,
     COUNTIFS($AW$2:$AW$200,$G42)&gt;0,
     COUNTIFS($AX$2:$AX$200,$G42)&gt;0
   )),
  ),
  2
 ),
"")</f>
        <v/>
      </c>
      <c r="E42" s="3" t="str" cm="1">
        <f t="array" aca="1" ref="E42" ca="1">IFERROR(
 INDEX(
  _xlfn._xlws.FILTER($U$1:$AX$1,
   TRANSPOSE(
    CHOOSE({1;2;3;4;5;6;7;8;9;10;11;12;13;14;15;16;17;18;19;20;21;22;23;24;25;26;27;28;29;30},
     COUNTIFS($U$2:$U$200,$G42)&gt;0,
     COUNTIFS($V$2:$V$200,$G42)&gt;0,
     COUNTIFS($W$2:$W$200,$G42)&gt;0,
     COUNTIFS($X$2:$X$200,$G42)&gt;0,
     COUNTIFS($Y$2:$Y$200,$G42)&gt;0,
     COUNTIFS($Z$2:$Z$200,$G42)&gt;0,
     COUNTIFS($AA$2:$AA$200,$G42)&gt;0,
     COUNTIFS($AB$2:$AB$200,$G42)&gt;0,
     COUNTIFS($AC$2:$AC$200,$G42)&gt;0,
     COUNTIFS($AD$2:$AD$200,$G42)&gt;0,
     COUNTIFS($AE$2:$AE$200,$G42)&gt;0,
     COUNTIFS($AF$2:$AF$200,$G42)&gt;0,
     COUNTIFS($AG$2:$AG$200,$G42)&gt;0,
     COUNTIFS($AH$2:$AH$200,$G42)&gt;0,
     COUNTIFS($AI$2:$AI$200,$G42)&gt;0,
     COUNTIFS($AJ$2:$AJ$200,$G42)&gt;0,
     COUNTIFS($AK$2:$AK$200,$G42)&gt;0,
     COUNTIFS($AL$2:$AL$200,$G42)&gt;0,
     COUNTIFS($AM$2:$AM$200,$G42)&gt;0,
     COUNTIFS($AN$2:$AN$200,$G42)&gt;0,
     COUNTIFS($AO$2:$AO$200,$G42)&gt;0,
     COUNTIFS($AP$2:$AP$200,$G42)&gt;0,
     COUNTIFS($AQ$2:$AQ$200,$G42)&gt;0,
     COUNTIFS($AR$2:$AR$200,$G42)&gt;0,
     COUNTIFS($AS$2:$AS$200,$G42)&gt;0,
     COUNTIFS($AT$2:$AT$200,$G42)&gt;0,
     COUNTIFS($AU$2:$AU$200,$G42)&gt;0,
     COUNTIFS($AV$2:$AV$200,$G42)&gt;0,
     COUNTIFS($AW$2:$AW$200,$G42)&gt;0,
     COUNTIFS($AX$2:$AX$200,$G42)&gt;0
   )),
  ),
  3
 ),
"")</f>
        <v/>
      </c>
      <c r="F42" s="3" t="str" cm="1">
        <f t="array" aca="1" ref="F42" ca="1">IFERROR(
 INDEX(
  _xlfn._xlws.FILTER($U$1:$AX$1,
   TRANSPOSE(
    CHOOSE({1;2;3;4;5;6;7;8;9;10;11;12;13;14;15;16;17;18;19;20;21;22;23;24;25;26;27;28;29;30},
     COUNTIFS($U$2:$U$200,$G42)&gt;0,
     COUNTIFS($V$2:$V$200,$G42)&gt;0,
     COUNTIFS($W$2:$W$200,$G42)&gt;0,
     COUNTIFS($X$2:$X$200,$G42)&gt;0,
     COUNTIFS($Y$2:$Y$200,$G42)&gt;0,
     COUNTIFS($Z$2:$Z$200,$G42)&gt;0,
     COUNTIFS($AA$2:$AA$200,$G42)&gt;0,
     COUNTIFS($AB$2:$AB$200,$G42)&gt;0,
     COUNTIFS($AC$2:$AC$200,$G42)&gt;0,
     COUNTIFS($AD$2:$AD$200,$G42)&gt;0,
     COUNTIFS($AE$2:$AE$200,$G42)&gt;0,
     COUNTIFS($AF$2:$AF$200,$G42)&gt;0,
     COUNTIFS($AG$2:$AG$200,$G42)&gt;0,
     COUNTIFS($AH$2:$AH$200,$G42)&gt;0,
     COUNTIFS($AI$2:$AI$200,$G42)&gt;0,
     COUNTIFS($AJ$2:$AJ$200,$G42)&gt;0,
     COUNTIFS($AK$2:$AK$200,$G42)&gt;0,
     COUNTIFS($AL$2:$AL$200,$G42)&gt;0,
     COUNTIFS($AM$2:$AM$200,$G42)&gt;0,
     COUNTIFS($AN$2:$AN$200,$G42)&gt;0,
     COUNTIFS($AO$2:$AO$200,$G42)&gt;0,
     COUNTIFS($AP$2:$AP$200,$G42)&gt;0,
     COUNTIFS($AQ$2:$AQ$200,$G42)&gt;0,
     COUNTIFS($AR$2:$AR$200,$G42)&gt;0,
     COUNTIFS($AS$2:$AS$200,$G42)&gt;0,
     COUNTIFS($AT$2:$AT$200,$G42)&gt;0,
     COUNTIFS($AU$2:$AU$200,$G42)&gt;0,
     COUNTIFS($AV$2:$AV$200,$G42)&gt;0,
     COUNTIFS($AW$2:$AW$200,$G42)&gt;0,
     COUNTIFS($AX$2:$AX$200,$G42)&gt;0
   )),
  ),
  4
 ),
"")</f>
        <v/>
      </c>
      <c r="G42" t="str">
        <f ca="1"/>
        <v>Champion of Lambholt</v>
      </c>
      <c r="R42" s="3" t="s">
        <v>2143</v>
      </c>
      <c r="AX42" t="str">
        <v>Toph, the Blind Bandit</v>
      </c>
      <c r="BB42" t="str">
        <f ca="1"/>
        <v>Timestream Navigator</v>
      </c>
      <c r="BC42" t="str">
        <f ca="1"/>
        <v>Shelinda, Yevon Acolyte</v>
      </c>
      <c r="BP42" t="str">
        <f ca="1"/>
        <v>Toph, the Blind Bandit</v>
      </c>
      <c r="BS42" t="str">
        <f ca="1"/>
        <v>Karplusan Forest</v>
      </c>
      <c r="BT42" t="str">
        <f ca="1"/>
        <v>Scalding Tarn</v>
      </c>
      <c r="BU42" t="str">
        <f ca="1"/>
        <v>Vexing Puzzlebox</v>
      </c>
      <c r="BV42" t="str">
        <f ca="1"/>
        <v>Temporal Trespass</v>
      </c>
      <c r="BZ42" t="str">
        <f ca="1"/>
        <v>Toph, the Blind Bandit</v>
      </c>
      <c r="CB42" t="str">
        <f ca="1"/>
        <v>Forest</v>
      </c>
      <c r="CC42" t="str">
        <f ca="1"/>
        <v>Louisoix's Sacrifice</v>
      </c>
      <c r="CD42" t="str">
        <f ca="1"/>
        <v>Three Tree City</v>
      </c>
      <c r="CE42" t="str">
        <f ca="1"/>
        <v>Stridehangar Automaton</v>
      </c>
      <c r="CG42" t="str">
        <f ca="1"/>
        <v>Delighted Halfling</v>
      </c>
      <c r="CH42" t="str">
        <f ca="1"/>
        <v>Jetmir's Garden</v>
      </c>
      <c r="CJ42" t="str">
        <f ca="1"/>
        <v>Champion of Lambholt</v>
      </c>
    </row>
    <row r="43" spans="1:88" x14ac:dyDescent="0.25">
      <c r="A43" s="3" t="str">
        <f t="shared" ca="1" si="0"/>
        <v>2</v>
      </c>
      <c r="B43" s="3">
        <f t="shared" ca="1" si="1"/>
        <v>1</v>
      </c>
      <c r="C43" s="3" t="str">
        <f ca="1">IFERROR(
 INDEX($U$1:$AX$1,
  MATCH(TRUE,
   CHOOSE({1;2;3;4;5;6;7;8;9;10;11;12;13;14;15;16;17;18;19;20;21;22;23;24;25;26;27;28;29;30;31;32},
    COUNTIFS($U$2:$U$200,$G43)&gt;0,
    COUNTIFS($V$2:$V$200,$G43)&gt;0,
    COUNTIFS($W$2:$W$200,$G43)&gt;0,
    COUNTIFS($X$2:$X$200,$G43)&gt;0,
    COUNTIFS($Y$2:$Y$200,$G43)&gt;0,
    COUNTIFS($Z$2:$Z$200,$G43)&gt;0,
    COUNTIFS($AA$2:$AA$200,$G43)&gt;0,
    COUNTIFS($AB$2:$AB$200,$G43)&gt;0,
    COUNTIFS($AC$2:$AC$200,$G43)&gt;0,
    COUNTIFS($AD$2:$AD$200,$G43)&gt;0,
    COUNTIFS($AE$2:$AE$200,$G43)&gt;0,
    COUNTIFS($AF$2:$AF$200,$G43)&gt;0,
    COUNTIFS($AG$2:$AG$200,$G43)&gt;0,
    COUNTIFS($AH$2:$AH$200,$G43)&gt;0,
    COUNTIFS($AI$2:$AI$200,$G43)&gt;0,
    COUNTIFS($AJ$2:$AJ$200,$G43)&gt;0,
    COUNTIFS($AK$2:$AK$200,$G43)&gt;0,
    COUNTIFS($AL$2:$AL$200,$G43)&gt;0,
    COUNTIFS($AM$2:$AM$200,$G43)&gt;0,
    COUNTIFS($AN$2:$AN$200,$G43)&gt;0,
    COUNTIFS($AO$2:$AO$200,$G43)&gt;0,
    COUNTIFS($AP$2:$AP$200,$G43)&gt;0,
    COUNTIFS($AQ$2:$AQ$200,$G43)&gt;0,
    COUNTIFS($AR$2:$AR$200,$G43)&gt;0,
    COUNTIFS($AS$2:$AS$200,$G43)&gt;0,
    COUNTIFS($AT$2:$AT$200,$G43)&gt;0,
    COUNTIFS($AU$2:$AU$200,$G43)&gt;0,
    COUNTIFS($AV$2:$AV$200,$G43)&gt;0,
    COUNTIFS($AW$2:$AW$200,$G43)&gt;0,
    COUNTIFS($AX$2:$AX$200,$G43)&gt;0
   ),
  0)
 ),
"")</f>
        <v>Baylen</v>
      </c>
      <c r="D43" s="3" t="str" cm="1">
        <f t="array" aca="1" ref="D43" ca="1">IFERROR(
 INDEX(
  _xlfn._xlws.FILTER($U$1:$AX$1,
   TRANSPOSE(
    CHOOSE({1;2;3;4;5;6;7;8;9;10;11;12;13;14;15;16;17;18;19;20;21;22;23;24;25;26;27;28;29;30},
     COUNTIFS($U$2:$U$200,$G43)&gt;0,
     COUNTIFS($V$2:$V$200,$G43)&gt;0,
     COUNTIFS($W$2:$W$200,$G43)&gt;0,
     COUNTIFS($X$2:$X$200,$G43)&gt;0,
     COUNTIFS($Y$2:$Y$200,$G43)&gt;0,
     COUNTIFS($Z$2:$Z$200,$G43)&gt;0,
     COUNTIFS($AA$2:$AA$200,$G43)&gt;0,
     COUNTIFS($AB$2:$AB$200,$G43)&gt;0,
     COUNTIFS($AC$2:$AC$200,$G43)&gt;0,
     COUNTIFS($AD$2:$AD$200,$G43)&gt;0,
     COUNTIFS($AE$2:$AE$200,$G43)&gt;0,
     COUNTIFS($AF$2:$AF$200,$G43)&gt;0,
     COUNTIFS($AG$2:$AG$200,$G43)&gt;0,
     COUNTIFS($AH$2:$AH$200,$G43)&gt;0,
     COUNTIFS($AI$2:$AI$200,$G43)&gt;0,
     COUNTIFS($AJ$2:$AJ$200,$G43)&gt;0,
     COUNTIFS($AK$2:$AK$200,$G43)&gt;0,
     COUNTIFS($AL$2:$AL$200,$G43)&gt;0,
     COUNTIFS($AM$2:$AM$200,$G43)&gt;0,
     COUNTIFS($AN$2:$AN$200,$G43)&gt;0,
     COUNTIFS($AO$2:$AO$200,$G43)&gt;0,
     COUNTIFS($AP$2:$AP$200,$G43)&gt;0,
     COUNTIFS($AQ$2:$AQ$200,$G43)&gt;0,
     COUNTIFS($AR$2:$AR$200,$G43)&gt;0,
     COUNTIFS($AS$2:$AS$200,$G43)&gt;0,
     COUNTIFS($AT$2:$AT$200,$G43)&gt;0,
     COUNTIFS($AU$2:$AU$200,$G43)&gt;0,
     COUNTIFS($AV$2:$AV$200,$G43)&gt;0,
     COUNTIFS($AW$2:$AW$200,$G43)&gt;0,
     COUNTIFS($AX$2:$AX$200,$G43)&gt;0
   )),
  ),
  2
 ),
"")</f>
        <v/>
      </c>
      <c r="E43" s="3" t="str" cm="1">
        <f t="array" aca="1" ref="E43" ca="1">IFERROR(
 INDEX(
  _xlfn._xlws.FILTER($U$1:$AX$1,
   TRANSPOSE(
    CHOOSE({1;2;3;4;5;6;7;8;9;10;11;12;13;14;15;16;17;18;19;20;21;22;23;24;25;26;27;28;29;30},
     COUNTIFS($U$2:$U$200,$G43)&gt;0,
     COUNTIFS($V$2:$V$200,$G43)&gt;0,
     COUNTIFS($W$2:$W$200,$G43)&gt;0,
     COUNTIFS($X$2:$X$200,$G43)&gt;0,
     COUNTIFS($Y$2:$Y$200,$G43)&gt;0,
     COUNTIFS($Z$2:$Z$200,$G43)&gt;0,
     COUNTIFS($AA$2:$AA$200,$G43)&gt;0,
     COUNTIFS($AB$2:$AB$200,$G43)&gt;0,
     COUNTIFS($AC$2:$AC$200,$G43)&gt;0,
     COUNTIFS($AD$2:$AD$200,$G43)&gt;0,
     COUNTIFS($AE$2:$AE$200,$G43)&gt;0,
     COUNTIFS($AF$2:$AF$200,$G43)&gt;0,
     COUNTIFS($AG$2:$AG$200,$G43)&gt;0,
     COUNTIFS($AH$2:$AH$200,$G43)&gt;0,
     COUNTIFS($AI$2:$AI$200,$G43)&gt;0,
     COUNTIFS($AJ$2:$AJ$200,$G43)&gt;0,
     COUNTIFS($AK$2:$AK$200,$G43)&gt;0,
     COUNTIFS($AL$2:$AL$200,$G43)&gt;0,
     COUNTIFS($AM$2:$AM$200,$G43)&gt;0,
     COUNTIFS($AN$2:$AN$200,$G43)&gt;0,
     COUNTIFS($AO$2:$AO$200,$G43)&gt;0,
     COUNTIFS($AP$2:$AP$200,$G43)&gt;0,
     COUNTIFS($AQ$2:$AQ$200,$G43)&gt;0,
     COUNTIFS($AR$2:$AR$200,$G43)&gt;0,
     COUNTIFS($AS$2:$AS$200,$G43)&gt;0,
     COUNTIFS($AT$2:$AT$200,$G43)&gt;0,
     COUNTIFS($AU$2:$AU$200,$G43)&gt;0,
     COUNTIFS($AV$2:$AV$200,$G43)&gt;0,
     COUNTIFS($AW$2:$AW$200,$G43)&gt;0,
     COUNTIFS($AX$2:$AX$200,$G43)&gt;0
   )),
  ),
  3
 ),
"")</f>
        <v/>
      </c>
      <c r="F43" s="3" t="str" cm="1">
        <f t="array" aca="1" ref="F43" ca="1">IFERROR(
 INDEX(
  _xlfn._xlws.FILTER($U$1:$AX$1,
   TRANSPOSE(
    CHOOSE({1;2;3;4;5;6;7;8;9;10;11;12;13;14;15;16;17;18;19;20;21;22;23;24;25;26;27;28;29;30},
     COUNTIFS($U$2:$U$200,$G43)&gt;0,
     COUNTIFS($V$2:$V$200,$G43)&gt;0,
     COUNTIFS($W$2:$W$200,$G43)&gt;0,
     COUNTIFS($X$2:$X$200,$G43)&gt;0,
     COUNTIFS($Y$2:$Y$200,$G43)&gt;0,
     COUNTIFS($Z$2:$Z$200,$G43)&gt;0,
     COUNTIFS($AA$2:$AA$200,$G43)&gt;0,
     COUNTIFS($AB$2:$AB$200,$G43)&gt;0,
     COUNTIFS($AC$2:$AC$200,$G43)&gt;0,
     COUNTIFS($AD$2:$AD$200,$G43)&gt;0,
     COUNTIFS($AE$2:$AE$200,$G43)&gt;0,
     COUNTIFS($AF$2:$AF$200,$G43)&gt;0,
     COUNTIFS($AG$2:$AG$200,$G43)&gt;0,
     COUNTIFS($AH$2:$AH$200,$G43)&gt;0,
     COUNTIFS($AI$2:$AI$200,$G43)&gt;0,
     COUNTIFS($AJ$2:$AJ$200,$G43)&gt;0,
     COUNTIFS($AK$2:$AK$200,$G43)&gt;0,
     COUNTIFS($AL$2:$AL$200,$G43)&gt;0,
     COUNTIFS($AM$2:$AM$200,$G43)&gt;0,
     COUNTIFS($AN$2:$AN$200,$G43)&gt;0,
     COUNTIFS($AO$2:$AO$200,$G43)&gt;0,
     COUNTIFS($AP$2:$AP$200,$G43)&gt;0,
     COUNTIFS($AQ$2:$AQ$200,$G43)&gt;0,
     COUNTIFS($AR$2:$AR$200,$G43)&gt;0,
     COUNTIFS($AS$2:$AS$200,$G43)&gt;0,
     COUNTIFS($AT$2:$AT$200,$G43)&gt;0,
     COUNTIFS($AU$2:$AU$200,$G43)&gt;0,
     COUNTIFS($AV$2:$AV$200,$G43)&gt;0,
     COUNTIFS($AW$2:$AW$200,$G43)&gt;0,
     COUNTIFS($AX$2:$AX$200,$G43)&gt;0
   )),
  ),
  4
 ),
"")</f>
        <v/>
      </c>
      <c r="G43" t="str">
        <f ca="1"/>
        <v>Champions from Beyond</v>
      </c>
      <c r="R43" s="3" t="s">
        <v>2144</v>
      </c>
      <c r="AX43" t="str">
        <v>Toph, the First Metalbender</v>
      </c>
      <c r="BB43" t="str">
        <f ca="1"/>
        <v>Treasure Vault</v>
      </c>
      <c r="BC43" t="str">
        <f ca="1"/>
        <v>Slash the Ranks</v>
      </c>
      <c r="BP43" t="str">
        <f ca="1"/>
        <v>Toph, the First Metalbender</v>
      </c>
      <c r="BS43" t="str">
        <f ca="1"/>
        <v>Khorvath's Fury</v>
      </c>
      <c r="BT43" t="str">
        <f ca="1"/>
        <v>Seahunter</v>
      </c>
      <c r="BU43" t="str">
        <f ca="1"/>
        <v>Vontade Dominadora</v>
      </c>
      <c r="BV43" t="str">
        <f ca="1"/>
        <v>Valfenda</v>
      </c>
      <c r="BZ43" t="str">
        <f ca="1"/>
        <v>Toph, the First Metalbender</v>
      </c>
      <c r="CB43" t="str">
        <f ca="1"/>
        <v>Frenzied Gorespawn</v>
      </c>
      <c r="CC43" t="str">
        <f ca="1"/>
        <v>Luxury Suite</v>
      </c>
      <c r="CD43" t="str">
        <f ca="1"/>
        <v>Thrumming Hivepool</v>
      </c>
      <c r="CE43" t="str">
        <f ca="1"/>
        <v>Strionic Resonator</v>
      </c>
      <c r="CG43" t="str">
        <f ca="1"/>
        <v>Dever Além da Morte</v>
      </c>
      <c r="CH43" t="str">
        <f ca="1"/>
        <v>Jidoor, Aristocratic Capital // Overture</v>
      </c>
      <c r="CJ43" t="str">
        <f ca="1"/>
        <v>Champions from Beyond</v>
      </c>
    </row>
    <row r="44" spans="1:88" x14ac:dyDescent="0.25">
      <c r="A44" s="3" t="str">
        <f t="shared" ca="1" si="0"/>
        <v>4</v>
      </c>
      <c r="B44" s="3">
        <f t="shared" ca="1" si="1"/>
        <v>1</v>
      </c>
      <c r="C44" s="3" t="str">
        <f ca="1">IFERROR(
 INDEX($U$1:$AX$1,
  MATCH(TRUE,
   CHOOSE({1;2;3;4;5;6;7;8;9;10;11;12;13;14;15;16;17;18;19;20;21;22;23;24;25;26;27;28;29;30;31;32},
    COUNTIFS($U$2:$U$200,$G44)&gt;0,
    COUNTIFS($V$2:$V$200,$G44)&gt;0,
    COUNTIFS($W$2:$W$200,$G44)&gt;0,
    COUNTIFS($X$2:$X$200,$G44)&gt;0,
    COUNTIFS($Y$2:$Y$200,$G44)&gt;0,
    COUNTIFS($Z$2:$Z$200,$G44)&gt;0,
    COUNTIFS($AA$2:$AA$200,$G44)&gt;0,
    COUNTIFS($AB$2:$AB$200,$G44)&gt;0,
    COUNTIFS($AC$2:$AC$200,$G44)&gt;0,
    COUNTIFS($AD$2:$AD$200,$G44)&gt;0,
    COUNTIFS($AE$2:$AE$200,$G44)&gt;0,
    COUNTIFS($AF$2:$AF$200,$G44)&gt;0,
    COUNTIFS($AG$2:$AG$200,$G44)&gt;0,
    COUNTIFS($AH$2:$AH$200,$G44)&gt;0,
    COUNTIFS($AI$2:$AI$200,$G44)&gt;0,
    COUNTIFS($AJ$2:$AJ$200,$G44)&gt;0,
    COUNTIFS($AK$2:$AK$200,$G44)&gt;0,
    COUNTIFS($AL$2:$AL$200,$G44)&gt;0,
    COUNTIFS($AM$2:$AM$200,$G44)&gt;0,
    COUNTIFS($AN$2:$AN$200,$G44)&gt;0,
    COUNTIFS($AO$2:$AO$200,$G44)&gt;0,
    COUNTIFS($AP$2:$AP$200,$G44)&gt;0,
    COUNTIFS($AQ$2:$AQ$200,$G44)&gt;0,
    COUNTIFS($AR$2:$AR$200,$G44)&gt;0,
    COUNTIFS($AS$2:$AS$200,$G44)&gt;0,
    COUNTIFS($AT$2:$AT$200,$G44)&gt;0,
    COUNTIFS($AU$2:$AU$200,$G44)&gt;0,
    COUNTIFS($AV$2:$AV$200,$G44)&gt;0,
    COUNTIFS($AW$2:$AW$200,$G44)&gt;0,
    COUNTIFS($AX$2:$AX$200,$G44)&gt;0
   ),
  0)
 ),
"")</f>
        <v>Kresh</v>
      </c>
      <c r="D44" s="3" t="str" cm="1">
        <f t="array" aca="1" ref="D44" ca="1">IFERROR(
 INDEX(
  _xlfn._xlws.FILTER($U$1:$AX$1,
   TRANSPOSE(
    CHOOSE({1;2;3;4;5;6;7;8;9;10;11;12;13;14;15;16;17;18;19;20;21;22;23;24;25;26;27;28;29;30},
     COUNTIFS($U$2:$U$200,$G44)&gt;0,
     COUNTIFS($V$2:$V$200,$G44)&gt;0,
     COUNTIFS($W$2:$W$200,$G44)&gt;0,
     COUNTIFS($X$2:$X$200,$G44)&gt;0,
     COUNTIFS($Y$2:$Y$200,$G44)&gt;0,
     COUNTIFS($Z$2:$Z$200,$G44)&gt;0,
     COUNTIFS($AA$2:$AA$200,$G44)&gt;0,
     COUNTIFS($AB$2:$AB$200,$G44)&gt;0,
     COUNTIFS($AC$2:$AC$200,$G44)&gt;0,
     COUNTIFS($AD$2:$AD$200,$G44)&gt;0,
     COUNTIFS($AE$2:$AE$200,$G44)&gt;0,
     COUNTIFS($AF$2:$AF$200,$G44)&gt;0,
     COUNTIFS($AG$2:$AG$200,$G44)&gt;0,
     COUNTIFS($AH$2:$AH$200,$G44)&gt;0,
     COUNTIFS($AI$2:$AI$200,$G44)&gt;0,
     COUNTIFS($AJ$2:$AJ$200,$G44)&gt;0,
     COUNTIFS($AK$2:$AK$200,$G44)&gt;0,
     COUNTIFS($AL$2:$AL$200,$G44)&gt;0,
     COUNTIFS($AM$2:$AM$200,$G44)&gt;0,
     COUNTIFS($AN$2:$AN$200,$G44)&gt;0,
     COUNTIFS($AO$2:$AO$200,$G44)&gt;0,
     COUNTIFS($AP$2:$AP$200,$G44)&gt;0,
     COUNTIFS($AQ$2:$AQ$200,$G44)&gt;0,
     COUNTIFS($AR$2:$AR$200,$G44)&gt;0,
     COUNTIFS($AS$2:$AS$200,$G44)&gt;0,
     COUNTIFS($AT$2:$AT$200,$G44)&gt;0,
     COUNTIFS($AU$2:$AU$200,$G44)&gt;0,
     COUNTIFS($AV$2:$AV$200,$G44)&gt;0,
     COUNTIFS($AW$2:$AW$200,$G44)&gt;0,
     COUNTIFS($AX$2:$AX$200,$G44)&gt;0
   )),
  ),
  2
 ),
"")</f>
        <v/>
      </c>
      <c r="E44" s="3" t="str" cm="1">
        <f t="array" aca="1" ref="E44" ca="1">IFERROR(
 INDEX(
  _xlfn._xlws.FILTER($U$1:$AX$1,
   TRANSPOSE(
    CHOOSE({1;2;3;4;5;6;7;8;9;10;11;12;13;14;15;16;17;18;19;20;21;22;23;24;25;26;27;28;29;30},
     COUNTIFS($U$2:$U$200,$G44)&gt;0,
     COUNTIFS($V$2:$V$200,$G44)&gt;0,
     COUNTIFS($W$2:$W$200,$G44)&gt;0,
     COUNTIFS($X$2:$X$200,$G44)&gt;0,
     COUNTIFS($Y$2:$Y$200,$G44)&gt;0,
     COUNTIFS($Z$2:$Z$200,$G44)&gt;0,
     COUNTIFS($AA$2:$AA$200,$G44)&gt;0,
     COUNTIFS($AB$2:$AB$200,$G44)&gt;0,
     COUNTIFS($AC$2:$AC$200,$G44)&gt;0,
     COUNTIFS($AD$2:$AD$200,$G44)&gt;0,
     COUNTIFS($AE$2:$AE$200,$G44)&gt;0,
     COUNTIFS($AF$2:$AF$200,$G44)&gt;0,
     COUNTIFS($AG$2:$AG$200,$G44)&gt;0,
     COUNTIFS($AH$2:$AH$200,$G44)&gt;0,
     COUNTIFS($AI$2:$AI$200,$G44)&gt;0,
     COUNTIFS($AJ$2:$AJ$200,$G44)&gt;0,
     COUNTIFS($AK$2:$AK$200,$G44)&gt;0,
     COUNTIFS($AL$2:$AL$200,$G44)&gt;0,
     COUNTIFS($AM$2:$AM$200,$G44)&gt;0,
     COUNTIFS($AN$2:$AN$200,$G44)&gt;0,
     COUNTIFS($AO$2:$AO$200,$G44)&gt;0,
     COUNTIFS($AP$2:$AP$200,$G44)&gt;0,
     COUNTIFS($AQ$2:$AQ$200,$G44)&gt;0,
     COUNTIFS($AR$2:$AR$200,$G44)&gt;0,
     COUNTIFS($AS$2:$AS$200,$G44)&gt;0,
     COUNTIFS($AT$2:$AT$200,$G44)&gt;0,
     COUNTIFS($AU$2:$AU$200,$G44)&gt;0,
     COUNTIFS($AV$2:$AV$200,$G44)&gt;0,
     COUNTIFS($AW$2:$AW$200,$G44)&gt;0,
     COUNTIFS($AX$2:$AX$200,$G44)&gt;0
   )),
  ),
  3
 ),
"")</f>
        <v/>
      </c>
      <c r="F44" s="3" t="str" cm="1">
        <f t="array" aca="1" ref="F44" ca="1">IFERROR(
 INDEX(
  _xlfn._xlws.FILTER($U$1:$AX$1,
   TRANSPOSE(
    CHOOSE({1;2;3;4;5;6;7;8;9;10;11;12;13;14;15;16;17;18;19;20;21;22;23;24;25;26;27;28;29;30},
     COUNTIFS($U$2:$U$200,$G44)&gt;0,
     COUNTIFS($V$2:$V$200,$G44)&gt;0,
     COUNTIFS($W$2:$W$200,$G44)&gt;0,
     COUNTIFS($X$2:$X$200,$G44)&gt;0,
     COUNTIFS($Y$2:$Y$200,$G44)&gt;0,
     COUNTIFS($Z$2:$Z$200,$G44)&gt;0,
     COUNTIFS($AA$2:$AA$200,$G44)&gt;0,
     COUNTIFS($AB$2:$AB$200,$G44)&gt;0,
     COUNTIFS($AC$2:$AC$200,$G44)&gt;0,
     COUNTIFS($AD$2:$AD$200,$G44)&gt;0,
     COUNTIFS($AE$2:$AE$200,$G44)&gt;0,
     COUNTIFS($AF$2:$AF$200,$G44)&gt;0,
     COUNTIFS($AG$2:$AG$200,$G44)&gt;0,
     COUNTIFS($AH$2:$AH$200,$G44)&gt;0,
     COUNTIFS($AI$2:$AI$200,$G44)&gt;0,
     COUNTIFS($AJ$2:$AJ$200,$G44)&gt;0,
     COUNTIFS($AK$2:$AK$200,$G44)&gt;0,
     COUNTIFS($AL$2:$AL$200,$G44)&gt;0,
     COUNTIFS($AM$2:$AM$200,$G44)&gt;0,
     COUNTIFS($AN$2:$AN$200,$G44)&gt;0,
     COUNTIFS($AO$2:$AO$200,$G44)&gt;0,
     COUNTIFS($AP$2:$AP$200,$G44)&gt;0,
     COUNTIFS($AQ$2:$AQ$200,$G44)&gt;0,
     COUNTIFS($AR$2:$AR$200,$G44)&gt;0,
     COUNTIFS($AS$2:$AS$200,$G44)&gt;0,
     COUNTIFS($AT$2:$AT$200,$G44)&gt;0,
     COUNTIFS($AU$2:$AU$200,$G44)&gt;0,
     COUNTIFS($AV$2:$AV$200,$G44)&gt;0,
     COUNTIFS($AW$2:$AW$200,$G44)&gt;0,
     COUNTIFS($AX$2:$AX$200,$G44)&gt;0
   )),
  ),
  4
 ),
"")</f>
        <v/>
      </c>
      <c r="G44" t="str">
        <f ca="1"/>
        <v>Chandra's Ignition</v>
      </c>
      <c r="R44" s="3" t="s">
        <v>2145</v>
      </c>
      <c r="AX44" t="str">
        <v>Tree of Tales</v>
      </c>
      <c r="BB44" t="str">
        <f ca="1"/>
        <v>Virtue of Loyalty // Ardenvale Fealty</v>
      </c>
      <c r="BC44" t="str">
        <f ca="1"/>
        <v>Slayers' Stronghold</v>
      </c>
      <c r="BP44" t="str">
        <f ca="1"/>
        <v>Tree of Tales</v>
      </c>
      <c r="BS44" t="str">
        <f ca="1"/>
        <v>Kutzil, Malamet Exemplar</v>
      </c>
      <c r="BT44" t="str">
        <f ca="1"/>
        <v>Sevinne's Reclamation</v>
      </c>
      <c r="BU44" t="str">
        <f ca="1"/>
        <v>Watery Grave</v>
      </c>
      <c r="BV44" t="str">
        <f ca="1"/>
        <v>Vronos, Masked Inquisitor</v>
      </c>
      <c r="BZ44" t="str">
        <f ca="1"/>
        <v>Tree of Tales</v>
      </c>
      <c r="CB44" t="str">
        <f ca="1"/>
        <v>Full Throttle</v>
      </c>
      <c r="CC44" t="str">
        <f ca="1"/>
        <v>Mandate of Peace</v>
      </c>
      <c r="CD44" t="str">
        <f ca="1"/>
        <v>Três Passos à Frente</v>
      </c>
      <c r="CE44" t="str">
        <f ca="1"/>
        <v>Sunhome, Fortress of the Legion</v>
      </c>
      <c r="CG44" t="str">
        <f ca="1"/>
        <v>Devoted Druid</v>
      </c>
      <c r="CH44" t="str">
        <f ca="1"/>
        <v>Karn's Bastion</v>
      </c>
      <c r="CJ44" t="str">
        <f ca="1"/>
        <v>Chandra's Ignition</v>
      </c>
    </row>
    <row r="45" spans="1:88" x14ac:dyDescent="0.25">
      <c r="A45" s="3" t="str">
        <f t="shared" ca="1" si="0"/>
        <v>3</v>
      </c>
      <c r="B45" s="3">
        <f t="shared" ca="1" si="1"/>
        <v>1</v>
      </c>
      <c r="C45" s="3" t="str">
        <f ca="1">IFERROR(
 INDEX($U$1:$AX$1,
  MATCH(TRUE,
   CHOOSE({1;2;3;4;5;6;7;8;9;10;11;12;13;14;15;16;17;18;19;20;21;22;23;24;25;26;27;28;29;30;31;32},
    COUNTIFS($U$2:$U$200,$G45)&gt;0,
    COUNTIFS($V$2:$V$200,$G45)&gt;0,
    COUNTIFS($W$2:$W$200,$G45)&gt;0,
    COUNTIFS($X$2:$X$200,$G45)&gt;0,
    COUNTIFS($Y$2:$Y$200,$G45)&gt;0,
    COUNTIFS($Z$2:$Z$200,$G45)&gt;0,
    COUNTIFS($AA$2:$AA$200,$G45)&gt;0,
    COUNTIFS($AB$2:$AB$200,$G45)&gt;0,
    COUNTIFS($AC$2:$AC$200,$G45)&gt;0,
    COUNTIFS($AD$2:$AD$200,$G45)&gt;0,
    COUNTIFS($AE$2:$AE$200,$G45)&gt;0,
    COUNTIFS($AF$2:$AF$200,$G45)&gt;0,
    COUNTIFS($AG$2:$AG$200,$G45)&gt;0,
    COUNTIFS($AH$2:$AH$200,$G45)&gt;0,
    COUNTIFS($AI$2:$AI$200,$G45)&gt;0,
    COUNTIFS($AJ$2:$AJ$200,$G45)&gt;0,
    COUNTIFS($AK$2:$AK$200,$G45)&gt;0,
    COUNTIFS($AL$2:$AL$200,$G45)&gt;0,
    COUNTIFS($AM$2:$AM$200,$G45)&gt;0,
    COUNTIFS($AN$2:$AN$200,$G45)&gt;0,
    COUNTIFS($AO$2:$AO$200,$G45)&gt;0,
    COUNTIFS($AP$2:$AP$200,$G45)&gt;0,
    COUNTIFS($AQ$2:$AQ$200,$G45)&gt;0,
    COUNTIFS($AR$2:$AR$200,$G45)&gt;0,
    COUNTIFS($AS$2:$AS$200,$G45)&gt;0,
    COUNTIFS($AT$2:$AT$200,$G45)&gt;0,
    COUNTIFS($AU$2:$AU$200,$G45)&gt;0,
    COUNTIFS($AV$2:$AV$200,$G45)&gt;0,
    COUNTIFS($AW$2:$AW$200,$G45)&gt;0,
    COUNTIFS($AX$2:$AX$200,$G45)&gt;0
   ),
  0)
 ),
"")</f>
        <v>Muzzio</v>
      </c>
      <c r="D45" s="3" t="str" cm="1">
        <f t="array" aca="1" ref="D45" ca="1">IFERROR(
 INDEX(
  _xlfn._xlws.FILTER($U$1:$AX$1,
   TRANSPOSE(
    CHOOSE({1;2;3;4;5;6;7;8;9;10;11;12;13;14;15;16;17;18;19;20;21;22;23;24;25;26;27;28;29;30},
     COUNTIFS($U$2:$U$200,$G45)&gt;0,
     COUNTIFS($V$2:$V$200,$G45)&gt;0,
     COUNTIFS($W$2:$W$200,$G45)&gt;0,
     COUNTIFS($X$2:$X$200,$G45)&gt;0,
     COUNTIFS($Y$2:$Y$200,$G45)&gt;0,
     COUNTIFS($Z$2:$Z$200,$G45)&gt;0,
     COUNTIFS($AA$2:$AA$200,$G45)&gt;0,
     COUNTIFS($AB$2:$AB$200,$G45)&gt;0,
     COUNTIFS($AC$2:$AC$200,$G45)&gt;0,
     COUNTIFS($AD$2:$AD$200,$G45)&gt;0,
     COUNTIFS($AE$2:$AE$200,$G45)&gt;0,
     COUNTIFS($AF$2:$AF$200,$G45)&gt;0,
     COUNTIFS($AG$2:$AG$200,$G45)&gt;0,
     COUNTIFS($AH$2:$AH$200,$G45)&gt;0,
     COUNTIFS($AI$2:$AI$200,$G45)&gt;0,
     COUNTIFS($AJ$2:$AJ$200,$G45)&gt;0,
     COUNTIFS($AK$2:$AK$200,$G45)&gt;0,
     COUNTIFS($AL$2:$AL$200,$G45)&gt;0,
     COUNTIFS($AM$2:$AM$200,$G45)&gt;0,
     COUNTIFS($AN$2:$AN$200,$G45)&gt;0,
     COUNTIFS($AO$2:$AO$200,$G45)&gt;0,
     COUNTIFS($AP$2:$AP$200,$G45)&gt;0,
     COUNTIFS($AQ$2:$AQ$200,$G45)&gt;0,
     COUNTIFS($AR$2:$AR$200,$G45)&gt;0,
     COUNTIFS($AS$2:$AS$200,$G45)&gt;0,
     COUNTIFS($AT$2:$AT$200,$G45)&gt;0,
     COUNTIFS($AU$2:$AU$200,$G45)&gt;0,
     COUNTIFS($AV$2:$AV$200,$G45)&gt;0,
     COUNTIFS($AW$2:$AW$200,$G45)&gt;0,
     COUNTIFS($AX$2:$AX$200,$G45)&gt;0
   )),
  ),
  2
 ),
"")</f>
        <v/>
      </c>
      <c r="E45" s="3" t="str" cm="1">
        <f t="array" aca="1" ref="E45" ca="1">IFERROR(
 INDEX(
  _xlfn._xlws.FILTER($U$1:$AX$1,
   TRANSPOSE(
    CHOOSE({1;2;3;4;5;6;7;8;9;10;11;12;13;14;15;16;17;18;19;20;21;22;23;24;25;26;27;28;29;30},
     COUNTIFS($U$2:$U$200,$G45)&gt;0,
     COUNTIFS($V$2:$V$200,$G45)&gt;0,
     COUNTIFS($W$2:$W$200,$G45)&gt;0,
     COUNTIFS($X$2:$X$200,$G45)&gt;0,
     COUNTIFS($Y$2:$Y$200,$G45)&gt;0,
     COUNTIFS($Z$2:$Z$200,$G45)&gt;0,
     COUNTIFS($AA$2:$AA$200,$G45)&gt;0,
     COUNTIFS($AB$2:$AB$200,$G45)&gt;0,
     COUNTIFS($AC$2:$AC$200,$G45)&gt;0,
     COUNTIFS($AD$2:$AD$200,$G45)&gt;0,
     COUNTIFS($AE$2:$AE$200,$G45)&gt;0,
     COUNTIFS($AF$2:$AF$200,$G45)&gt;0,
     COUNTIFS($AG$2:$AG$200,$G45)&gt;0,
     COUNTIFS($AH$2:$AH$200,$G45)&gt;0,
     COUNTIFS($AI$2:$AI$200,$G45)&gt;0,
     COUNTIFS($AJ$2:$AJ$200,$G45)&gt;0,
     COUNTIFS($AK$2:$AK$200,$G45)&gt;0,
     COUNTIFS($AL$2:$AL$200,$G45)&gt;0,
     COUNTIFS($AM$2:$AM$200,$G45)&gt;0,
     COUNTIFS($AN$2:$AN$200,$G45)&gt;0,
     COUNTIFS($AO$2:$AO$200,$G45)&gt;0,
     COUNTIFS($AP$2:$AP$200,$G45)&gt;0,
     COUNTIFS($AQ$2:$AQ$200,$G45)&gt;0,
     COUNTIFS($AR$2:$AR$200,$G45)&gt;0,
     COUNTIFS($AS$2:$AS$200,$G45)&gt;0,
     COUNTIFS($AT$2:$AT$200,$G45)&gt;0,
     COUNTIFS($AU$2:$AU$200,$G45)&gt;0,
     COUNTIFS($AV$2:$AV$200,$G45)&gt;0,
     COUNTIFS($AW$2:$AW$200,$G45)&gt;0,
     COUNTIFS($AX$2:$AX$200,$G45)&gt;0
   )),
  ),
  3
 ),
"")</f>
        <v/>
      </c>
      <c r="F45" s="3" t="str" cm="1">
        <f t="array" aca="1" ref="F45" ca="1">IFERROR(
 INDEX(
  _xlfn._xlws.FILTER($U$1:$AX$1,
   TRANSPOSE(
    CHOOSE({1;2;3;4;5;6;7;8;9;10;11;12;13;14;15;16;17;18;19;20;21;22;23;24;25;26;27;28;29;30},
     COUNTIFS($U$2:$U$200,$G45)&gt;0,
     COUNTIFS($V$2:$V$200,$G45)&gt;0,
     COUNTIFS($W$2:$W$200,$G45)&gt;0,
     COUNTIFS($X$2:$X$200,$G45)&gt;0,
     COUNTIFS($Y$2:$Y$200,$G45)&gt;0,
     COUNTIFS($Z$2:$Z$200,$G45)&gt;0,
     COUNTIFS($AA$2:$AA$200,$G45)&gt;0,
     COUNTIFS($AB$2:$AB$200,$G45)&gt;0,
     COUNTIFS($AC$2:$AC$200,$G45)&gt;0,
     COUNTIFS($AD$2:$AD$200,$G45)&gt;0,
     COUNTIFS($AE$2:$AE$200,$G45)&gt;0,
     COUNTIFS($AF$2:$AF$200,$G45)&gt;0,
     COUNTIFS($AG$2:$AG$200,$G45)&gt;0,
     COUNTIFS($AH$2:$AH$200,$G45)&gt;0,
     COUNTIFS($AI$2:$AI$200,$G45)&gt;0,
     COUNTIFS($AJ$2:$AJ$200,$G45)&gt;0,
     COUNTIFS($AK$2:$AK$200,$G45)&gt;0,
     COUNTIFS($AL$2:$AL$200,$G45)&gt;0,
     COUNTIFS($AM$2:$AM$200,$G45)&gt;0,
     COUNTIFS($AN$2:$AN$200,$G45)&gt;0,
     COUNTIFS($AO$2:$AO$200,$G45)&gt;0,
     COUNTIFS($AP$2:$AP$200,$G45)&gt;0,
     COUNTIFS($AQ$2:$AQ$200,$G45)&gt;0,
     COUNTIFS($AR$2:$AR$200,$G45)&gt;0,
     COUNTIFS($AS$2:$AS$200,$G45)&gt;0,
     COUNTIFS($AT$2:$AT$200,$G45)&gt;0,
     COUNTIFS($AU$2:$AU$200,$G45)&gt;0,
     COUNTIFS($AV$2:$AV$200,$G45)&gt;0,
     COUNTIFS($AW$2:$AW$200,$G45)&gt;0,
     COUNTIFS($AX$2:$AX$200,$G45)&gt;0
   )),
  ),
  4
 ),
"")</f>
        <v/>
      </c>
      <c r="G45" t="str">
        <f ca="1"/>
        <v>Chimil, o Sol Interior</v>
      </c>
      <c r="R45" s="3" t="s">
        <v>2146</v>
      </c>
      <c r="BB45" t="str">
        <f ca="1"/>
        <v>Warleader's Call</v>
      </c>
      <c r="BC45" t="str">
        <f ca="1"/>
        <v>Smuggler's Share</v>
      </c>
      <c r="BP45" t="e" vm="2">
        <f ca="1"/>
        <v>#VALUE!</v>
      </c>
      <c r="BS45" t="str">
        <f ca="1"/>
        <v>Lae'zel, Vlaakith's Champion</v>
      </c>
      <c r="BT45" t="str">
        <f ca="1"/>
        <v>Simic Charm</v>
      </c>
      <c r="BV45" t="str">
        <f ca="1"/>
        <v>Warren Soultrader</v>
      </c>
      <c r="BZ45" t="e">
        <f ca="1"/>
        <v>#REF!</v>
      </c>
      <c r="CB45" t="str">
        <f ca="1"/>
        <v>Gallifrey Council Chamber</v>
      </c>
      <c r="CC45" t="str">
        <f ca="1"/>
        <v>Mirrex</v>
      </c>
      <c r="CD45" t="str">
        <f ca="1"/>
        <v>Trioma de Indatha</v>
      </c>
      <c r="CE45" t="str">
        <f ca="1"/>
        <v>Susur Secundi, Void Altar</v>
      </c>
      <c r="CG45" t="str">
        <f ca="1"/>
        <v>Diário de Tarrian</v>
      </c>
      <c r="CH45" t="str">
        <f ca="1"/>
        <v>Kodama of the West Tree</v>
      </c>
      <c r="CJ45" t="str">
        <f ca="1"/>
        <v>Chimil, o Sol Interior</v>
      </c>
    </row>
    <row r="46" spans="1:88" x14ac:dyDescent="0.25">
      <c r="A46" s="3" t="str">
        <f t="shared" ca="1" si="0"/>
        <v>3</v>
      </c>
      <c r="B46" s="3">
        <f t="shared" ca="1" si="1"/>
        <v>1</v>
      </c>
      <c r="C46" s="3" t="str">
        <f ca="1">IFERROR(
 INDEX($U$1:$AX$1,
  MATCH(TRUE,
   CHOOSE({1;2;3;4;5;6;7;8;9;10;11;12;13;14;15;16;17;18;19;20;21;22;23;24;25;26;27;28;29;30;31;32},
    COUNTIFS($U$2:$U$200,$G46)&gt;0,
    COUNTIFS($V$2:$V$200,$G46)&gt;0,
    COUNTIFS($W$2:$W$200,$G46)&gt;0,
    COUNTIFS($X$2:$X$200,$G46)&gt;0,
    COUNTIFS($Y$2:$Y$200,$G46)&gt;0,
    COUNTIFS($Z$2:$Z$200,$G46)&gt;0,
    COUNTIFS($AA$2:$AA$200,$G46)&gt;0,
    COUNTIFS($AB$2:$AB$200,$G46)&gt;0,
    COUNTIFS($AC$2:$AC$200,$G46)&gt;0,
    COUNTIFS($AD$2:$AD$200,$G46)&gt;0,
    COUNTIFS($AE$2:$AE$200,$G46)&gt;0,
    COUNTIFS($AF$2:$AF$200,$G46)&gt;0,
    COUNTIFS($AG$2:$AG$200,$G46)&gt;0,
    COUNTIFS($AH$2:$AH$200,$G46)&gt;0,
    COUNTIFS($AI$2:$AI$200,$G46)&gt;0,
    COUNTIFS($AJ$2:$AJ$200,$G46)&gt;0,
    COUNTIFS($AK$2:$AK$200,$G46)&gt;0,
    COUNTIFS($AL$2:$AL$200,$G46)&gt;0,
    COUNTIFS($AM$2:$AM$200,$G46)&gt;0,
    COUNTIFS($AN$2:$AN$200,$G46)&gt;0,
    COUNTIFS($AO$2:$AO$200,$G46)&gt;0,
    COUNTIFS($AP$2:$AP$200,$G46)&gt;0,
    COUNTIFS($AQ$2:$AQ$200,$G46)&gt;0,
    COUNTIFS($AR$2:$AR$200,$G46)&gt;0,
    COUNTIFS($AS$2:$AS$200,$G46)&gt;0,
    COUNTIFS($AT$2:$AT$200,$G46)&gt;0,
    COUNTIFS($AU$2:$AU$200,$G46)&gt;0,
    COUNTIFS($AV$2:$AV$200,$G46)&gt;0,
    COUNTIFS($AW$2:$AW$200,$G46)&gt;0,
    COUNTIFS($AX$2:$AX$200,$G46)&gt;0
   ),
  0)
 ),
"")</f>
        <v>Akiri</v>
      </c>
      <c r="D46" s="3" t="str" cm="1">
        <f t="array" aca="1" ref="D46" ca="1">IFERROR(
 INDEX(
  _xlfn._xlws.FILTER($U$1:$AX$1,
   TRANSPOSE(
    CHOOSE({1;2;3;4;5;6;7;8;9;10;11;12;13;14;15;16;17;18;19;20;21;22;23;24;25;26;27;28;29;30},
     COUNTIFS($U$2:$U$200,$G46)&gt;0,
     COUNTIFS($V$2:$V$200,$G46)&gt;0,
     COUNTIFS($W$2:$W$200,$G46)&gt;0,
     COUNTIFS($X$2:$X$200,$G46)&gt;0,
     COUNTIFS($Y$2:$Y$200,$G46)&gt;0,
     COUNTIFS($Z$2:$Z$200,$G46)&gt;0,
     COUNTIFS($AA$2:$AA$200,$G46)&gt;0,
     COUNTIFS($AB$2:$AB$200,$G46)&gt;0,
     COUNTIFS($AC$2:$AC$200,$G46)&gt;0,
     COUNTIFS($AD$2:$AD$200,$G46)&gt;0,
     COUNTIFS($AE$2:$AE$200,$G46)&gt;0,
     COUNTIFS($AF$2:$AF$200,$G46)&gt;0,
     COUNTIFS($AG$2:$AG$200,$G46)&gt;0,
     COUNTIFS($AH$2:$AH$200,$G46)&gt;0,
     COUNTIFS($AI$2:$AI$200,$G46)&gt;0,
     COUNTIFS($AJ$2:$AJ$200,$G46)&gt;0,
     COUNTIFS($AK$2:$AK$200,$G46)&gt;0,
     COUNTIFS($AL$2:$AL$200,$G46)&gt;0,
     COUNTIFS($AM$2:$AM$200,$G46)&gt;0,
     COUNTIFS($AN$2:$AN$200,$G46)&gt;0,
     COUNTIFS($AO$2:$AO$200,$G46)&gt;0,
     COUNTIFS($AP$2:$AP$200,$G46)&gt;0,
     COUNTIFS($AQ$2:$AQ$200,$G46)&gt;0,
     COUNTIFS($AR$2:$AR$200,$G46)&gt;0,
     COUNTIFS($AS$2:$AS$200,$G46)&gt;0,
     COUNTIFS($AT$2:$AT$200,$G46)&gt;0,
     COUNTIFS($AU$2:$AU$200,$G46)&gt;0,
     COUNTIFS($AV$2:$AV$200,$G46)&gt;0,
     COUNTIFS($AW$2:$AW$200,$G46)&gt;0,
     COUNTIFS($AX$2:$AX$200,$G46)&gt;0
   )),
  ),
  2
 ),
"")</f>
        <v/>
      </c>
      <c r="E46" s="3" t="str" cm="1">
        <f t="array" aca="1" ref="E46" ca="1">IFERROR(
 INDEX(
  _xlfn._xlws.FILTER($U$1:$AX$1,
   TRANSPOSE(
    CHOOSE({1;2;3;4;5;6;7;8;9;10;11;12;13;14;15;16;17;18;19;20;21;22;23;24;25;26;27;28;29;30},
     COUNTIFS($U$2:$U$200,$G46)&gt;0,
     COUNTIFS($V$2:$V$200,$G46)&gt;0,
     COUNTIFS($W$2:$W$200,$G46)&gt;0,
     COUNTIFS($X$2:$X$200,$G46)&gt;0,
     COUNTIFS($Y$2:$Y$200,$G46)&gt;0,
     COUNTIFS($Z$2:$Z$200,$G46)&gt;0,
     COUNTIFS($AA$2:$AA$200,$G46)&gt;0,
     COUNTIFS($AB$2:$AB$200,$G46)&gt;0,
     COUNTIFS($AC$2:$AC$200,$G46)&gt;0,
     COUNTIFS($AD$2:$AD$200,$G46)&gt;0,
     COUNTIFS($AE$2:$AE$200,$G46)&gt;0,
     COUNTIFS($AF$2:$AF$200,$G46)&gt;0,
     COUNTIFS($AG$2:$AG$200,$G46)&gt;0,
     COUNTIFS($AH$2:$AH$200,$G46)&gt;0,
     COUNTIFS($AI$2:$AI$200,$G46)&gt;0,
     COUNTIFS($AJ$2:$AJ$200,$G46)&gt;0,
     COUNTIFS($AK$2:$AK$200,$G46)&gt;0,
     COUNTIFS($AL$2:$AL$200,$G46)&gt;0,
     COUNTIFS($AM$2:$AM$200,$G46)&gt;0,
     COUNTIFS($AN$2:$AN$200,$G46)&gt;0,
     COUNTIFS($AO$2:$AO$200,$G46)&gt;0,
     COUNTIFS($AP$2:$AP$200,$G46)&gt;0,
     COUNTIFS($AQ$2:$AQ$200,$G46)&gt;0,
     COUNTIFS($AR$2:$AR$200,$G46)&gt;0,
     COUNTIFS($AS$2:$AS$200,$G46)&gt;0,
     COUNTIFS($AT$2:$AT$200,$G46)&gt;0,
     COUNTIFS($AU$2:$AU$200,$G46)&gt;0,
     COUNTIFS($AV$2:$AV$200,$G46)&gt;0,
     COUNTIFS($AW$2:$AW$200,$G46)&gt;0,
     COUNTIFS($AX$2:$AX$200,$G46)&gt;0
   )),
  ),
  3
 ),
"")</f>
        <v/>
      </c>
      <c r="F46" s="3" t="str" cm="1">
        <f t="array" aca="1" ref="F46" ca="1">IFERROR(
 INDEX(
  _xlfn._xlws.FILTER($U$1:$AX$1,
   TRANSPOSE(
    CHOOSE({1;2;3;4;5;6;7;8;9;10;11;12;13;14;15;16;17;18;19;20;21;22;23;24;25;26;27;28;29;30},
     COUNTIFS($U$2:$U$200,$G46)&gt;0,
     COUNTIFS($V$2:$V$200,$G46)&gt;0,
     COUNTIFS($W$2:$W$200,$G46)&gt;0,
     COUNTIFS($X$2:$X$200,$G46)&gt;0,
     COUNTIFS($Y$2:$Y$200,$G46)&gt;0,
     COUNTIFS($Z$2:$Z$200,$G46)&gt;0,
     COUNTIFS($AA$2:$AA$200,$G46)&gt;0,
     COUNTIFS($AB$2:$AB$200,$G46)&gt;0,
     COUNTIFS($AC$2:$AC$200,$G46)&gt;0,
     COUNTIFS($AD$2:$AD$200,$G46)&gt;0,
     COUNTIFS($AE$2:$AE$200,$G46)&gt;0,
     COUNTIFS($AF$2:$AF$200,$G46)&gt;0,
     COUNTIFS($AG$2:$AG$200,$G46)&gt;0,
     COUNTIFS($AH$2:$AH$200,$G46)&gt;0,
     COUNTIFS($AI$2:$AI$200,$G46)&gt;0,
     COUNTIFS($AJ$2:$AJ$200,$G46)&gt;0,
     COUNTIFS($AK$2:$AK$200,$G46)&gt;0,
     COUNTIFS($AL$2:$AL$200,$G46)&gt;0,
     COUNTIFS($AM$2:$AM$200,$G46)&gt;0,
     COUNTIFS($AN$2:$AN$200,$G46)&gt;0,
     COUNTIFS($AO$2:$AO$200,$G46)&gt;0,
     COUNTIFS($AP$2:$AP$200,$G46)&gt;0,
     COUNTIFS($AQ$2:$AQ$200,$G46)&gt;0,
     COUNTIFS($AR$2:$AR$200,$G46)&gt;0,
     COUNTIFS($AS$2:$AS$200,$G46)&gt;0,
     COUNTIFS($AT$2:$AT$200,$G46)&gt;0,
     COUNTIFS($AU$2:$AU$200,$G46)&gt;0,
     COUNTIFS($AV$2:$AV$200,$G46)&gt;0,
     COUNTIFS($AW$2:$AW$200,$G46)&gt;0,
     COUNTIFS($AX$2:$AX$200,$G46)&gt;0
   )),
  ),
  4
 ),
"")</f>
        <v/>
      </c>
      <c r="G46" t="str">
        <f ca="1"/>
        <v>Cid, Freeflier Pilot</v>
      </c>
      <c r="R46" s="3" t="s">
        <v>2147</v>
      </c>
      <c r="BC46" t="str">
        <f ca="1"/>
        <v>Sokenzan, Crucible of Defiance</v>
      </c>
      <c r="BS46" t="str">
        <f ca="1"/>
        <v>Lightning Greaves</v>
      </c>
      <c r="BT46" t="str">
        <f ca="1"/>
        <v>Singer of Swift Rivers</v>
      </c>
      <c r="BV46" t="str">
        <f ca="1"/>
        <v>Watery Grave</v>
      </c>
      <c r="BZ46" t="e" vm="2">
        <f ca="1"/>
        <v>#VALUE!</v>
      </c>
      <c r="CB46" t="str">
        <f ca="1"/>
        <v>Gavony Township</v>
      </c>
      <c r="CC46" t="str">
        <f ca="1"/>
        <v>Mistbind Clique</v>
      </c>
      <c r="CD46" t="str">
        <f ca="1"/>
        <v>Trioma de Raugrin</v>
      </c>
      <c r="CE46" t="str">
        <f ca="1"/>
        <v>Swords to Plowshares</v>
      </c>
      <c r="CG46" t="str">
        <f ca="1"/>
        <v>Drowned Catacomb</v>
      </c>
      <c r="CH46" t="str">
        <f ca="1"/>
        <v>Lagoa Espelhada</v>
      </c>
      <c r="CJ46" t="str">
        <f ca="1"/>
        <v>Cid, Freeflier Pilot</v>
      </c>
    </row>
    <row r="47" spans="1:88" x14ac:dyDescent="0.25">
      <c r="A47" s="3" t="str">
        <f t="shared" ca="1" si="0"/>
        <v>2</v>
      </c>
      <c r="B47" s="3">
        <f t="shared" ca="1" si="1"/>
        <v>1</v>
      </c>
      <c r="C47" s="3" t="str">
        <f ca="1">IFERROR(
 INDEX($U$1:$AX$1,
  MATCH(TRUE,
   CHOOSE({1;2;3;4;5;6;7;8;9;10;11;12;13;14;15;16;17;18;19;20;21;22;23;24;25;26;27;28;29;30;31;32},
    COUNTIFS($U$2:$U$200,$G47)&gt;0,
    COUNTIFS($V$2:$V$200,$G47)&gt;0,
    COUNTIFS($W$2:$W$200,$G47)&gt;0,
    COUNTIFS($X$2:$X$200,$G47)&gt;0,
    COUNTIFS($Y$2:$Y$200,$G47)&gt;0,
    COUNTIFS($Z$2:$Z$200,$G47)&gt;0,
    COUNTIFS($AA$2:$AA$200,$G47)&gt;0,
    COUNTIFS($AB$2:$AB$200,$G47)&gt;0,
    COUNTIFS($AC$2:$AC$200,$G47)&gt;0,
    COUNTIFS($AD$2:$AD$200,$G47)&gt;0,
    COUNTIFS($AE$2:$AE$200,$G47)&gt;0,
    COUNTIFS($AF$2:$AF$200,$G47)&gt;0,
    COUNTIFS($AG$2:$AG$200,$G47)&gt;0,
    COUNTIFS($AH$2:$AH$200,$G47)&gt;0,
    COUNTIFS($AI$2:$AI$200,$G47)&gt;0,
    COUNTIFS($AJ$2:$AJ$200,$G47)&gt;0,
    COUNTIFS($AK$2:$AK$200,$G47)&gt;0,
    COUNTIFS($AL$2:$AL$200,$G47)&gt;0,
    COUNTIFS($AM$2:$AM$200,$G47)&gt;0,
    COUNTIFS($AN$2:$AN$200,$G47)&gt;0,
    COUNTIFS($AO$2:$AO$200,$G47)&gt;0,
    COUNTIFS($AP$2:$AP$200,$G47)&gt;0,
    COUNTIFS($AQ$2:$AQ$200,$G47)&gt;0,
    COUNTIFS($AR$2:$AR$200,$G47)&gt;0,
    COUNTIFS($AS$2:$AS$200,$G47)&gt;0,
    COUNTIFS($AT$2:$AT$200,$G47)&gt;0,
    COUNTIFS($AU$2:$AU$200,$G47)&gt;0,
    COUNTIFS($AV$2:$AV$200,$G47)&gt;0,
    COUNTIFS($AW$2:$AW$200,$G47)&gt;0,
    COUNTIFS($AX$2:$AX$200,$G47)&gt;0
   ),
  0)
 ),
"")</f>
        <v>Narset</v>
      </c>
      <c r="D47" s="3" t="str" cm="1">
        <f t="array" aca="1" ref="D47" ca="1">IFERROR(
 INDEX(
  _xlfn._xlws.FILTER($U$1:$AX$1,
   TRANSPOSE(
    CHOOSE({1;2;3;4;5;6;7;8;9;10;11;12;13;14;15;16;17;18;19;20;21;22;23;24;25;26;27;28;29;30},
     COUNTIFS($U$2:$U$200,$G47)&gt;0,
     COUNTIFS($V$2:$V$200,$G47)&gt;0,
     COUNTIFS($W$2:$W$200,$G47)&gt;0,
     COUNTIFS($X$2:$X$200,$G47)&gt;0,
     COUNTIFS($Y$2:$Y$200,$G47)&gt;0,
     COUNTIFS($Z$2:$Z$200,$G47)&gt;0,
     COUNTIFS($AA$2:$AA$200,$G47)&gt;0,
     COUNTIFS($AB$2:$AB$200,$G47)&gt;0,
     COUNTIFS($AC$2:$AC$200,$G47)&gt;0,
     COUNTIFS($AD$2:$AD$200,$G47)&gt;0,
     COUNTIFS($AE$2:$AE$200,$G47)&gt;0,
     COUNTIFS($AF$2:$AF$200,$G47)&gt;0,
     COUNTIFS($AG$2:$AG$200,$G47)&gt;0,
     COUNTIFS($AH$2:$AH$200,$G47)&gt;0,
     COUNTIFS($AI$2:$AI$200,$G47)&gt;0,
     COUNTIFS($AJ$2:$AJ$200,$G47)&gt;0,
     COUNTIFS($AK$2:$AK$200,$G47)&gt;0,
     COUNTIFS($AL$2:$AL$200,$G47)&gt;0,
     COUNTIFS($AM$2:$AM$200,$G47)&gt;0,
     COUNTIFS($AN$2:$AN$200,$G47)&gt;0,
     COUNTIFS($AO$2:$AO$200,$G47)&gt;0,
     COUNTIFS($AP$2:$AP$200,$G47)&gt;0,
     COUNTIFS($AQ$2:$AQ$200,$G47)&gt;0,
     COUNTIFS($AR$2:$AR$200,$G47)&gt;0,
     COUNTIFS($AS$2:$AS$200,$G47)&gt;0,
     COUNTIFS($AT$2:$AT$200,$G47)&gt;0,
     COUNTIFS($AU$2:$AU$200,$G47)&gt;0,
     COUNTIFS($AV$2:$AV$200,$G47)&gt;0,
     COUNTIFS($AW$2:$AW$200,$G47)&gt;0,
     COUNTIFS($AX$2:$AX$200,$G47)&gt;0
   )),
  ),
  2
 ),
"")</f>
        <v/>
      </c>
      <c r="E47" s="3" t="str" cm="1">
        <f t="array" aca="1" ref="E47" ca="1">IFERROR(
 INDEX(
  _xlfn._xlws.FILTER($U$1:$AX$1,
   TRANSPOSE(
    CHOOSE({1;2;3;4;5;6;7;8;9;10;11;12;13;14;15;16;17;18;19;20;21;22;23;24;25;26;27;28;29;30},
     COUNTIFS($U$2:$U$200,$G47)&gt;0,
     COUNTIFS($V$2:$V$200,$G47)&gt;0,
     COUNTIFS($W$2:$W$200,$G47)&gt;0,
     COUNTIFS($X$2:$X$200,$G47)&gt;0,
     COUNTIFS($Y$2:$Y$200,$G47)&gt;0,
     COUNTIFS($Z$2:$Z$200,$G47)&gt;0,
     COUNTIFS($AA$2:$AA$200,$G47)&gt;0,
     COUNTIFS($AB$2:$AB$200,$G47)&gt;0,
     COUNTIFS($AC$2:$AC$200,$G47)&gt;0,
     COUNTIFS($AD$2:$AD$200,$G47)&gt;0,
     COUNTIFS($AE$2:$AE$200,$G47)&gt;0,
     COUNTIFS($AF$2:$AF$200,$G47)&gt;0,
     COUNTIFS($AG$2:$AG$200,$G47)&gt;0,
     COUNTIFS($AH$2:$AH$200,$G47)&gt;0,
     COUNTIFS($AI$2:$AI$200,$G47)&gt;0,
     COUNTIFS($AJ$2:$AJ$200,$G47)&gt;0,
     COUNTIFS($AK$2:$AK$200,$G47)&gt;0,
     COUNTIFS($AL$2:$AL$200,$G47)&gt;0,
     COUNTIFS($AM$2:$AM$200,$G47)&gt;0,
     COUNTIFS($AN$2:$AN$200,$G47)&gt;0,
     COUNTIFS($AO$2:$AO$200,$G47)&gt;0,
     COUNTIFS($AP$2:$AP$200,$G47)&gt;0,
     COUNTIFS($AQ$2:$AQ$200,$G47)&gt;0,
     COUNTIFS($AR$2:$AR$200,$G47)&gt;0,
     COUNTIFS($AS$2:$AS$200,$G47)&gt;0,
     COUNTIFS($AT$2:$AT$200,$G47)&gt;0,
     COUNTIFS($AU$2:$AU$200,$G47)&gt;0,
     COUNTIFS($AV$2:$AV$200,$G47)&gt;0,
     COUNTIFS($AW$2:$AW$200,$G47)&gt;0,
     COUNTIFS($AX$2:$AX$200,$G47)&gt;0
   )),
  ),
  3
 ),
"")</f>
        <v/>
      </c>
      <c r="F47" s="3" t="str" cm="1">
        <f t="array" aca="1" ref="F47" ca="1">IFERROR(
 INDEX(
  _xlfn._xlws.FILTER($U$1:$AX$1,
   TRANSPOSE(
    CHOOSE({1;2;3;4;5;6;7;8;9;10;11;12;13;14;15;16;17;18;19;20;21;22;23;24;25;26;27;28;29;30},
     COUNTIFS($U$2:$U$200,$G47)&gt;0,
     COUNTIFS($V$2:$V$200,$G47)&gt;0,
     COUNTIFS($W$2:$W$200,$G47)&gt;0,
     COUNTIFS($X$2:$X$200,$G47)&gt;0,
     COUNTIFS($Y$2:$Y$200,$G47)&gt;0,
     COUNTIFS($Z$2:$Z$200,$G47)&gt;0,
     COUNTIFS($AA$2:$AA$200,$G47)&gt;0,
     COUNTIFS($AB$2:$AB$200,$G47)&gt;0,
     COUNTIFS($AC$2:$AC$200,$G47)&gt;0,
     COUNTIFS($AD$2:$AD$200,$G47)&gt;0,
     COUNTIFS($AE$2:$AE$200,$G47)&gt;0,
     COUNTIFS($AF$2:$AF$200,$G47)&gt;0,
     COUNTIFS($AG$2:$AG$200,$G47)&gt;0,
     COUNTIFS($AH$2:$AH$200,$G47)&gt;0,
     COUNTIFS($AI$2:$AI$200,$G47)&gt;0,
     COUNTIFS($AJ$2:$AJ$200,$G47)&gt;0,
     COUNTIFS($AK$2:$AK$200,$G47)&gt;0,
     COUNTIFS($AL$2:$AL$200,$G47)&gt;0,
     COUNTIFS($AM$2:$AM$200,$G47)&gt;0,
     COUNTIFS($AN$2:$AN$200,$G47)&gt;0,
     COUNTIFS($AO$2:$AO$200,$G47)&gt;0,
     COUNTIFS($AP$2:$AP$200,$G47)&gt;0,
     COUNTIFS($AQ$2:$AQ$200,$G47)&gt;0,
     COUNTIFS($AR$2:$AR$200,$G47)&gt;0,
     COUNTIFS($AS$2:$AS$200,$G47)&gt;0,
     COUNTIFS($AT$2:$AT$200,$G47)&gt;0,
     COUNTIFS($AU$2:$AU$200,$G47)&gt;0,
     COUNTIFS($AV$2:$AV$200,$G47)&gt;0,
     COUNTIFS($AW$2:$AW$200,$G47)&gt;0,
     COUNTIFS($AX$2:$AX$200,$G47)&gt;0
   )),
  ),
  4
 ),
"")</f>
        <v/>
      </c>
      <c r="G47" t="str">
        <f ca="1"/>
        <v>Clifftop Retreat</v>
      </c>
      <c r="R47" s="3" t="s">
        <v>2148</v>
      </c>
      <c r="BC47" t="str">
        <f ca="1"/>
        <v>Sol Ring</v>
      </c>
      <c r="BS47" t="str">
        <f ca="1"/>
        <v>Llanowar Wastes</v>
      </c>
      <c r="BT47" t="str">
        <f ca="1"/>
        <v>Sol Ring</v>
      </c>
      <c r="CB47" t="str">
        <f ca="1"/>
        <v>Generous Gift</v>
      </c>
      <c r="CC47" t="str">
        <f ca="1"/>
        <v>Mistrise Village</v>
      </c>
      <c r="CD47" t="str">
        <f ca="1"/>
        <v>Trioma de Zagoth</v>
      </c>
      <c r="CE47" t="str">
        <f ca="1"/>
        <v>Tannuk, Memorial Ensign</v>
      </c>
      <c r="CG47" t="str">
        <f ca="1"/>
        <v>Dúplice Debochada</v>
      </c>
      <c r="CH47" t="str">
        <f ca="1"/>
        <v>Lithoform Engine</v>
      </c>
      <c r="CJ47" t="str">
        <f ca="1"/>
        <v>Clifftop Retreat</v>
      </c>
    </row>
    <row r="48" spans="1:88" x14ac:dyDescent="0.25">
      <c r="A48" s="3" t="str">
        <f t="shared" ca="1" si="0"/>
        <v>3</v>
      </c>
      <c r="B48" s="3">
        <f t="shared" ca="1" si="1"/>
        <v>1</v>
      </c>
      <c r="C48" s="3" t="str">
        <f ca="1">IFERROR(
 INDEX($U$1:$AX$1,
  MATCH(TRUE,
   CHOOSE({1;2;3;4;5;6;7;8;9;10;11;12;13;14;15;16;17;18;19;20;21;22;23;24;25;26;27;28;29;30;31;32},
    COUNTIFS($U$2:$U$200,$G48)&gt;0,
    COUNTIFS($V$2:$V$200,$G48)&gt;0,
    COUNTIFS($W$2:$W$200,$G48)&gt;0,
    COUNTIFS($X$2:$X$200,$G48)&gt;0,
    COUNTIFS($Y$2:$Y$200,$G48)&gt;0,
    COUNTIFS($Z$2:$Z$200,$G48)&gt;0,
    COUNTIFS($AA$2:$AA$200,$G48)&gt;0,
    COUNTIFS($AB$2:$AB$200,$G48)&gt;0,
    COUNTIFS($AC$2:$AC$200,$G48)&gt;0,
    COUNTIFS($AD$2:$AD$200,$G48)&gt;0,
    COUNTIFS($AE$2:$AE$200,$G48)&gt;0,
    COUNTIFS($AF$2:$AF$200,$G48)&gt;0,
    COUNTIFS($AG$2:$AG$200,$G48)&gt;0,
    COUNTIFS($AH$2:$AH$200,$G48)&gt;0,
    COUNTIFS($AI$2:$AI$200,$G48)&gt;0,
    COUNTIFS($AJ$2:$AJ$200,$G48)&gt;0,
    COUNTIFS($AK$2:$AK$200,$G48)&gt;0,
    COUNTIFS($AL$2:$AL$200,$G48)&gt;0,
    COUNTIFS($AM$2:$AM$200,$G48)&gt;0,
    COUNTIFS($AN$2:$AN$200,$G48)&gt;0,
    COUNTIFS($AO$2:$AO$200,$G48)&gt;0,
    COUNTIFS($AP$2:$AP$200,$G48)&gt;0,
    COUNTIFS($AQ$2:$AQ$200,$G48)&gt;0,
    COUNTIFS($AR$2:$AR$200,$G48)&gt;0,
    COUNTIFS($AS$2:$AS$200,$G48)&gt;0,
    COUNTIFS($AT$2:$AT$200,$G48)&gt;0,
    COUNTIFS($AU$2:$AU$200,$G48)&gt;0,
    COUNTIFS($AV$2:$AV$200,$G48)&gt;0,
    COUNTIFS($AW$2:$AW$200,$G48)&gt;0,
    COUNTIFS($AX$2:$AX$200,$G48)&gt;0
   ),
  0)
 ),
"")</f>
        <v>Akiri</v>
      </c>
      <c r="D48" s="3" t="str" cm="1">
        <f t="array" aca="1" ref="D48" ca="1">IFERROR(
 INDEX(
  _xlfn._xlws.FILTER($U$1:$AX$1,
   TRANSPOSE(
    CHOOSE({1;2;3;4;5;6;7;8;9;10;11;12;13;14;15;16;17;18;19;20;21;22;23;24;25;26;27;28;29;30},
     COUNTIFS($U$2:$U$200,$G48)&gt;0,
     COUNTIFS($V$2:$V$200,$G48)&gt;0,
     COUNTIFS($W$2:$W$200,$G48)&gt;0,
     COUNTIFS($X$2:$X$200,$G48)&gt;0,
     COUNTIFS($Y$2:$Y$200,$G48)&gt;0,
     COUNTIFS($Z$2:$Z$200,$G48)&gt;0,
     COUNTIFS($AA$2:$AA$200,$G48)&gt;0,
     COUNTIFS($AB$2:$AB$200,$G48)&gt;0,
     COUNTIFS($AC$2:$AC$200,$G48)&gt;0,
     COUNTIFS($AD$2:$AD$200,$G48)&gt;0,
     COUNTIFS($AE$2:$AE$200,$G48)&gt;0,
     COUNTIFS($AF$2:$AF$200,$G48)&gt;0,
     COUNTIFS($AG$2:$AG$200,$G48)&gt;0,
     COUNTIFS($AH$2:$AH$200,$G48)&gt;0,
     COUNTIFS($AI$2:$AI$200,$G48)&gt;0,
     COUNTIFS($AJ$2:$AJ$200,$G48)&gt;0,
     COUNTIFS($AK$2:$AK$200,$G48)&gt;0,
     COUNTIFS($AL$2:$AL$200,$G48)&gt;0,
     COUNTIFS($AM$2:$AM$200,$G48)&gt;0,
     COUNTIFS($AN$2:$AN$200,$G48)&gt;0,
     COUNTIFS($AO$2:$AO$200,$G48)&gt;0,
     COUNTIFS($AP$2:$AP$200,$G48)&gt;0,
     COUNTIFS($AQ$2:$AQ$200,$G48)&gt;0,
     COUNTIFS($AR$2:$AR$200,$G48)&gt;0,
     COUNTIFS($AS$2:$AS$200,$G48)&gt;0,
     COUNTIFS($AT$2:$AT$200,$G48)&gt;0,
     COUNTIFS($AU$2:$AU$200,$G48)&gt;0,
     COUNTIFS($AV$2:$AV$200,$G48)&gt;0,
     COUNTIFS($AW$2:$AW$200,$G48)&gt;0,
     COUNTIFS($AX$2:$AX$200,$G48)&gt;0
   )),
  ),
  2
 ),
"")</f>
        <v/>
      </c>
      <c r="E48" s="3" t="str" cm="1">
        <f t="array" aca="1" ref="E48" ca="1">IFERROR(
 INDEX(
  _xlfn._xlws.FILTER($U$1:$AX$1,
   TRANSPOSE(
    CHOOSE({1;2;3;4;5;6;7;8;9;10;11;12;13;14;15;16;17;18;19;20;21;22;23;24;25;26;27;28;29;30},
     COUNTIFS($U$2:$U$200,$G48)&gt;0,
     COUNTIFS($V$2:$V$200,$G48)&gt;0,
     COUNTIFS($W$2:$W$200,$G48)&gt;0,
     COUNTIFS($X$2:$X$200,$G48)&gt;0,
     COUNTIFS($Y$2:$Y$200,$G48)&gt;0,
     COUNTIFS($Z$2:$Z$200,$G48)&gt;0,
     COUNTIFS($AA$2:$AA$200,$G48)&gt;0,
     COUNTIFS($AB$2:$AB$200,$G48)&gt;0,
     COUNTIFS($AC$2:$AC$200,$G48)&gt;0,
     COUNTIFS($AD$2:$AD$200,$G48)&gt;0,
     COUNTIFS($AE$2:$AE$200,$G48)&gt;0,
     COUNTIFS($AF$2:$AF$200,$G48)&gt;0,
     COUNTIFS($AG$2:$AG$200,$G48)&gt;0,
     COUNTIFS($AH$2:$AH$200,$G48)&gt;0,
     COUNTIFS($AI$2:$AI$200,$G48)&gt;0,
     COUNTIFS($AJ$2:$AJ$200,$G48)&gt;0,
     COUNTIFS($AK$2:$AK$200,$G48)&gt;0,
     COUNTIFS($AL$2:$AL$200,$G48)&gt;0,
     COUNTIFS($AM$2:$AM$200,$G48)&gt;0,
     COUNTIFS($AN$2:$AN$200,$G48)&gt;0,
     COUNTIFS($AO$2:$AO$200,$G48)&gt;0,
     COUNTIFS($AP$2:$AP$200,$G48)&gt;0,
     COUNTIFS($AQ$2:$AQ$200,$G48)&gt;0,
     COUNTIFS($AR$2:$AR$200,$G48)&gt;0,
     COUNTIFS($AS$2:$AS$200,$G48)&gt;0,
     COUNTIFS($AT$2:$AT$200,$G48)&gt;0,
     COUNTIFS($AU$2:$AU$200,$G48)&gt;0,
     COUNTIFS($AV$2:$AV$200,$G48)&gt;0,
     COUNTIFS($AW$2:$AW$200,$G48)&gt;0,
     COUNTIFS($AX$2:$AX$200,$G48)&gt;0
   )),
  ),
  3
 ),
"")</f>
        <v/>
      </c>
      <c r="F48" s="3" t="str" cm="1">
        <f t="array" aca="1" ref="F48" ca="1">IFERROR(
 INDEX(
  _xlfn._xlws.FILTER($U$1:$AX$1,
   TRANSPOSE(
    CHOOSE({1;2;3;4;5;6;7;8;9;10;11;12;13;14;15;16;17;18;19;20;21;22;23;24;25;26;27;28;29;30},
     COUNTIFS($U$2:$U$200,$G48)&gt;0,
     COUNTIFS($V$2:$V$200,$G48)&gt;0,
     COUNTIFS($W$2:$W$200,$G48)&gt;0,
     COUNTIFS($X$2:$X$200,$G48)&gt;0,
     COUNTIFS($Y$2:$Y$200,$G48)&gt;0,
     COUNTIFS($Z$2:$Z$200,$G48)&gt;0,
     COUNTIFS($AA$2:$AA$200,$G48)&gt;0,
     COUNTIFS($AB$2:$AB$200,$G48)&gt;0,
     COUNTIFS($AC$2:$AC$200,$G48)&gt;0,
     COUNTIFS($AD$2:$AD$200,$G48)&gt;0,
     COUNTIFS($AE$2:$AE$200,$G48)&gt;0,
     COUNTIFS($AF$2:$AF$200,$G48)&gt;0,
     COUNTIFS($AG$2:$AG$200,$G48)&gt;0,
     COUNTIFS($AH$2:$AH$200,$G48)&gt;0,
     COUNTIFS($AI$2:$AI$200,$G48)&gt;0,
     COUNTIFS($AJ$2:$AJ$200,$G48)&gt;0,
     COUNTIFS($AK$2:$AK$200,$G48)&gt;0,
     COUNTIFS($AL$2:$AL$200,$G48)&gt;0,
     COUNTIFS($AM$2:$AM$200,$G48)&gt;0,
     COUNTIFS($AN$2:$AN$200,$G48)&gt;0,
     COUNTIFS($AO$2:$AO$200,$G48)&gt;0,
     COUNTIFS($AP$2:$AP$200,$G48)&gt;0,
     COUNTIFS($AQ$2:$AQ$200,$G48)&gt;0,
     COUNTIFS($AR$2:$AR$200,$G48)&gt;0,
     COUNTIFS($AS$2:$AS$200,$G48)&gt;0,
     COUNTIFS($AT$2:$AT$200,$G48)&gt;0,
     COUNTIFS($AU$2:$AU$200,$G48)&gt;0,
     COUNTIFS($AV$2:$AV$200,$G48)&gt;0,
     COUNTIFS($AW$2:$AW$200,$G48)&gt;0,
     COUNTIFS($AX$2:$AX$200,$G48)&gt;0
   )),
  ),
  4
 ),
"")</f>
        <v/>
      </c>
      <c r="G48" t="str">
        <f ca="1"/>
        <v>Cloud, Midgar Mercenary</v>
      </c>
      <c r="R48" s="3" t="s">
        <v>2150</v>
      </c>
      <c r="BC48" t="str">
        <f ca="1"/>
        <v>Song of Freyalise</v>
      </c>
      <c r="BS48" t="str">
        <f ca="1"/>
        <v>Maddening Cacophony</v>
      </c>
      <c r="BT48" t="str">
        <f ca="1"/>
        <v>Sothera, the Supervoid</v>
      </c>
      <c r="CB48" t="str">
        <f ca="1"/>
        <v>Genji Glove</v>
      </c>
      <c r="CC48" t="str">
        <f ca="1"/>
        <v>Molten Echoes</v>
      </c>
      <c r="CD48" t="str">
        <f ca="1"/>
        <v>Ulamog, o Profanador</v>
      </c>
      <c r="CE48" t="str">
        <f ca="1"/>
        <v>Terra Eternal</v>
      </c>
      <c r="CG48" t="str">
        <f ca="1"/>
        <v>Elspeth, Sun's Champion</v>
      </c>
      <c r="CH48" t="str">
        <f ca="1"/>
        <v>Lotus Field</v>
      </c>
      <c r="CJ48" t="str">
        <f ca="1"/>
        <v>Cloud, Midgar Mercenary</v>
      </c>
    </row>
    <row r="49" spans="1:88" x14ac:dyDescent="0.25">
      <c r="A49" s="3" t="str">
        <f t="shared" ca="1" si="0"/>
        <v>4</v>
      </c>
      <c r="B49" s="3">
        <f t="shared" ca="1" si="1"/>
        <v>1</v>
      </c>
      <c r="C49" s="3" t="str">
        <f ca="1">IFERROR(
 INDEX($U$1:$AX$1,
  MATCH(TRUE,
   CHOOSE({1;2;3;4;5;6;7;8;9;10;11;12;13;14;15;16;17;18;19;20;21;22;23;24;25;26;27;28;29;30;31;32},
    COUNTIFS($U$2:$U$200,$G49)&gt;0,
    COUNTIFS($V$2:$V$200,$G49)&gt;0,
    COUNTIFS($W$2:$W$200,$G49)&gt;0,
    COUNTIFS($X$2:$X$200,$G49)&gt;0,
    COUNTIFS($Y$2:$Y$200,$G49)&gt;0,
    COUNTIFS($Z$2:$Z$200,$G49)&gt;0,
    COUNTIFS($AA$2:$AA$200,$G49)&gt;0,
    COUNTIFS($AB$2:$AB$200,$G49)&gt;0,
    COUNTIFS($AC$2:$AC$200,$G49)&gt;0,
    COUNTIFS($AD$2:$AD$200,$G49)&gt;0,
    COUNTIFS($AE$2:$AE$200,$G49)&gt;0,
    COUNTIFS($AF$2:$AF$200,$G49)&gt;0,
    COUNTIFS($AG$2:$AG$200,$G49)&gt;0,
    COUNTIFS($AH$2:$AH$200,$G49)&gt;0,
    COUNTIFS($AI$2:$AI$200,$G49)&gt;0,
    COUNTIFS($AJ$2:$AJ$200,$G49)&gt;0,
    COUNTIFS($AK$2:$AK$200,$G49)&gt;0,
    COUNTIFS($AL$2:$AL$200,$G49)&gt;0,
    COUNTIFS($AM$2:$AM$200,$G49)&gt;0,
    COUNTIFS($AN$2:$AN$200,$G49)&gt;0,
    COUNTIFS($AO$2:$AO$200,$G49)&gt;0,
    COUNTIFS($AP$2:$AP$200,$G49)&gt;0,
    COUNTIFS($AQ$2:$AQ$200,$G49)&gt;0,
    COUNTIFS($AR$2:$AR$200,$G49)&gt;0,
    COUNTIFS($AS$2:$AS$200,$G49)&gt;0,
    COUNTIFS($AT$2:$AT$200,$G49)&gt;0,
    COUNTIFS($AU$2:$AU$200,$G49)&gt;0,
    COUNTIFS($AV$2:$AV$200,$G49)&gt;0,
    COUNTIFS($AW$2:$AW$200,$G49)&gt;0,
    COUNTIFS($AX$2:$AX$200,$G49)&gt;0
   ),
  0)
 ),
"")</f>
        <v>Rielle</v>
      </c>
      <c r="D49" s="3" t="str" cm="1">
        <f t="array" aca="1" ref="D49" ca="1">IFERROR(
 INDEX(
  _xlfn._xlws.FILTER($U$1:$AX$1,
   TRANSPOSE(
    CHOOSE({1;2;3;4;5;6;7;8;9;10;11;12;13;14;15;16;17;18;19;20;21;22;23;24;25;26;27;28;29;30},
     COUNTIFS($U$2:$U$200,$G49)&gt;0,
     COUNTIFS($V$2:$V$200,$G49)&gt;0,
     COUNTIFS($W$2:$W$200,$G49)&gt;0,
     COUNTIFS($X$2:$X$200,$G49)&gt;0,
     COUNTIFS($Y$2:$Y$200,$G49)&gt;0,
     COUNTIFS($Z$2:$Z$200,$G49)&gt;0,
     COUNTIFS($AA$2:$AA$200,$G49)&gt;0,
     COUNTIFS($AB$2:$AB$200,$G49)&gt;0,
     COUNTIFS($AC$2:$AC$200,$G49)&gt;0,
     COUNTIFS($AD$2:$AD$200,$G49)&gt;0,
     COUNTIFS($AE$2:$AE$200,$G49)&gt;0,
     COUNTIFS($AF$2:$AF$200,$G49)&gt;0,
     COUNTIFS($AG$2:$AG$200,$G49)&gt;0,
     COUNTIFS($AH$2:$AH$200,$G49)&gt;0,
     COUNTIFS($AI$2:$AI$200,$G49)&gt;0,
     COUNTIFS($AJ$2:$AJ$200,$G49)&gt;0,
     COUNTIFS($AK$2:$AK$200,$G49)&gt;0,
     COUNTIFS($AL$2:$AL$200,$G49)&gt;0,
     COUNTIFS($AM$2:$AM$200,$G49)&gt;0,
     COUNTIFS($AN$2:$AN$200,$G49)&gt;0,
     COUNTIFS($AO$2:$AO$200,$G49)&gt;0,
     COUNTIFS($AP$2:$AP$200,$G49)&gt;0,
     COUNTIFS($AQ$2:$AQ$200,$G49)&gt;0,
     COUNTIFS($AR$2:$AR$200,$G49)&gt;0,
     COUNTIFS($AS$2:$AS$200,$G49)&gt;0,
     COUNTIFS($AT$2:$AT$200,$G49)&gt;0,
     COUNTIFS($AU$2:$AU$200,$G49)&gt;0,
     COUNTIFS($AV$2:$AV$200,$G49)&gt;0,
     COUNTIFS($AW$2:$AW$200,$G49)&gt;0,
     COUNTIFS($AX$2:$AX$200,$G49)&gt;0
   )),
  ),
  2
 ),
"")</f>
        <v/>
      </c>
      <c r="E49" s="3" t="str" cm="1">
        <f t="array" aca="1" ref="E49" ca="1">IFERROR(
 INDEX(
  _xlfn._xlws.FILTER($U$1:$AX$1,
   TRANSPOSE(
    CHOOSE({1;2;3;4;5;6;7;8;9;10;11;12;13;14;15;16;17;18;19;20;21;22;23;24;25;26;27;28;29;30},
     COUNTIFS($U$2:$U$200,$G49)&gt;0,
     COUNTIFS($V$2:$V$200,$G49)&gt;0,
     COUNTIFS($W$2:$W$200,$G49)&gt;0,
     COUNTIFS($X$2:$X$200,$G49)&gt;0,
     COUNTIFS($Y$2:$Y$200,$G49)&gt;0,
     COUNTIFS($Z$2:$Z$200,$G49)&gt;0,
     COUNTIFS($AA$2:$AA$200,$G49)&gt;0,
     COUNTIFS($AB$2:$AB$200,$G49)&gt;0,
     COUNTIFS($AC$2:$AC$200,$G49)&gt;0,
     COUNTIFS($AD$2:$AD$200,$G49)&gt;0,
     COUNTIFS($AE$2:$AE$200,$G49)&gt;0,
     COUNTIFS($AF$2:$AF$200,$G49)&gt;0,
     COUNTIFS($AG$2:$AG$200,$G49)&gt;0,
     COUNTIFS($AH$2:$AH$200,$G49)&gt;0,
     COUNTIFS($AI$2:$AI$200,$G49)&gt;0,
     COUNTIFS($AJ$2:$AJ$200,$G49)&gt;0,
     COUNTIFS($AK$2:$AK$200,$G49)&gt;0,
     COUNTIFS($AL$2:$AL$200,$G49)&gt;0,
     COUNTIFS($AM$2:$AM$200,$G49)&gt;0,
     COUNTIFS($AN$2:$AN$200,$G49)&gt;0,
     COUNTIFS($AO$2:$AO$200,$G49)&gt;0,
     COUNTIFS($AP$2:$AP$200,$G49)&gt;0,
     COUNTIFS($AQ$2:$AQ$200,$G49)&gt;0,
     COUNTIFS($AR$2:$AR$200,$G49)&gt;0,
     COUNTIFS($AS$2:$AS$200,$G49)&gt;0,
     COUNTIFS($AT$2:$AT$200,$G49)&gt;0,
     COUNTIFS($AU$2:$AU$200,$G49)&gt;0,
     COUNTIFS($AV$2:$AV$200,$G49)&gt;0,
     COUNTIFS($AW$2:$AW$200,$G49)&gt;0,
     COUNTIFS($AX$2:$AX$200,$G49)&gt;0
   )),
  ),
  3
 ),
"")</f>
        <v/>
      </c>
      <c r="F49" s="3" t="str" cm="1">
        <f t="array" aca="1" ref="F49" ca="1">IFERROR(
 INDEX(
  _xlfn._xlws.FILTER($U$1:$AX$1,
   TRANSPOSE(
    CHOOSE({1;2;3;4;5;6;7;8;9;10;11;12;13;14;15;16;17;18;19;20;21;22;23;24;25;26;27;28;29;30},
     COUNTIFS($U$2:$U$200,$G49)&gt;0,
     COUNTIFS($V$2:$V$200,$G49)&gt;0,
     COUNTIFS($W$2:$W$200,$G49)&gt;0,
     COUNTIFS($X$2:$X$200,$G49)&gt;0,
     COUNTIFS($Y$2:$Y$200,$G49)&gt;0,
     COUNTIFS($Z$2:$Z$200,$G49)&gt;0,
     COUNTIFS($AA$2:$AA$200,$G49)&gt;0,
     COUNTIFS($AB$2:$AB$200,$G49)&gt;0,
     COUNTIFS($AC$2:$AC$200,$G49)&gt;0,
     COUNTIFS($AD$2:$AD$200,$G49)&gt;0,
     COUNTIFS($AE$2:$AE$200,$G49)&gt;0,
     COUNTIFS($AF$2:$AF$200,$G49)&gt;0,
     COUNTIFS($AG$2:$AG$200,$G49)&gt;0,
     COUNTIFS($AH$2:$AH$200,$G49)&gt;0,
     COUNTIFS($AI$2:$AI$200,$G49)&gt;0,
     COUNTIFS($AJ$2:$AJ$200,$G49)&gt;0,
     COUNTIFS($AK$2:$AK$200,$G49)&gt;0,
     COUNTIFS($AL$2:$AL$200,$G49)&gt;0,
     COUNTIFS($AM$2:$AM$200,$G49)&gt;0,
     COUNTIFS($AN$2:$AN$200,$G49)&gt;0,
     COUNTIFS($AO$2:$AO$200,$G49)&gt;0,
     COUNTIFS($AP$2:$AP$200,$G49)&gt;0,
     COUNTIFS($AQ$2:$AQ$200,$G49)&gt;0,
     COUNTIFS($AR$2:$AR$200,$G49)&gt;0,
     COUNTIFS($AS$2:$AS$200,$G49)&gt;0,
     COUNTIFS($AT$2:$AT$200,$G49)&gt;0,
     COUNTIFS($AU$2:$AU$200,$G49)&gt;0,
     COUNTIFS($AV$2:$AV$200,$G49)&gt;0,
     COUNTIFS($AW$2:$AW$200,$G49)&gt;0,
     COUNTIFS($AX$2:$AX$200,$G49)&gt;0
   )),
  ),
  4
 ),
"")</f>
        <v/>
      </c>
      <c r="G49" t="str">
        <f ca="1"/>
        <v>Collector's Vault</v>
      </c>
      <c r="R49" s="3" t="s">
        <v>2151</v>
      </c>
      <c r="BC49" t="str">
        <f ca="1"/>
        <v>Spectator Seating</v>
      </c>
      <c r="BS49" t="str">
        <f ca="1"/>
        <v>Maester Seymour</v>
      </c>
      <c r="BT49" t="str">
        <f ca="1"/>
        <v>Stonybrook Banneret</v>
      </c>
      <c r="CB49" t="str">
        <f ca="1"/>
        <v>Ghostly Prison</v>
      </c>
      <c r="CC49" t="str">
        <f ca="1"/>
        <v>Morphic Pool</v>
      </c>
      <c r="CD49" t="str">
        <f ca="1"/>
        <v>Unstoppable Plan</v>
      </c>
      <c r="CE49" t="str">
        <f ca="1"/>
        <v>Terrasymbiosis</v>
      </c>
      <c r="CG49" t="str">
        <f ca="1"/>
        <v>Emberwilde Captain</v>
      </c>
      <c r="CH49" t="str">
        <f ca="1"/>
        <v>Matoya, Archon Elder</v>
      </c>
      <c r="CJ49" t="str">
        <f ca="1"/>
        <v>Collector's Vault</v>
      </c>
    </row>
    <row r="50" spans="1:88" x14ac:dyDescent="0.25">
      <c r="A50" s="3" t="str">
        <f t="shared" ca="1" si="0"/>
        <v>3</v>
      </c>
      <c r="B50" s="3">
        <f t="shared" ca="1" si="1"/>
        <v>1</v>
      </c>
      <c r="C50" s="3" t="str">
        <f ca="1">IFERROR(
 INDEX($U$1:$AX$1,
  MATCH(TRUE,
   CHOOSE({1;2;3;4;5;6;7;8;9;10;11;12;13;14;15;16;17;18;19;20;21;22;23;24;25;26;27;28;29;30;31;32},
    COUNTIFS($U$2:$U$200,$G50)&gt;0,
    COUNTIFS($V$2:$V$200,$G50)&gt;0,
    COUNTIFS($W$2:$W$200,$G50)&gt;0,
    COUNTIFS($X$2:$X$200,$G50)&gt;0,
    COUNTIFS($Y$2:$Y$200,$G50)&gt;0,
    COUNTIFS($Z$2:$Z$200,$G50)&gt;0,
    COUNTIFS($AA$2:$AA$200,$G50)&gt;0,
    COUNTIFS($AB$2:$AB$200,$G50)&gt;0,
    COUNTIFS($AC$2:$AC$200,$G50)&gt;0,
    COUNTIFS($AD$2:$AD$200,$G50)&gt;0,
    COUNTIFS($AE$2:$AE$200,$G50)&gt;0,
    COUNTIFS($AF$2:$AF$200,$G50)&gt;0,
    COUNTIFS($AG$2:$AG$200,$G50)&gt;0,
    COUNTIFS($AH$2:$AH$200,$G50)&gt;0,
    COUNTIFS($AI$2:$AI$200,$G50)&gt;0,
    COUNTIFS($AJ$2:$AJ$200,$G50)&gt;0,
    COUNTIFS($AK$2:$AK$200,$G50)&gt;0,
    COUNTIFS($AL$2:$AL$200,$G50)&gt;0,
    COUNTIFS($AM$2:$AM$200,$G50)&gt;0,
    COUNTIFS($AN$2:$AN$200,$G50)&gt;0,
    COUNTIFS($AO$2:$AO$200,$G50)&gt;0,
    COUNTIFS($AP$2:$AP$200,$G50)&gt;0,
    COUNTIFS($AQ$2:$AQ$200,$G50)&gt;0,
    COUNTIFS($AR$2:$AR$200,$G50)&gt;0,
    COUNTIFS($AS$2:$AS$200,$G50)&gt;0,
    COUNTIFS($AT$2:$AT$200,$G50)&gt;0,
    COUNTIFS($AU$2:$AU$200,$G50)&gt;0,
    COUNTIFS($AV$2:$AV$200,$G50)&gt;0,
    COUNTIFS($AW$2:$AW$200,$G50)&gt;0,
    COUNTIFS($AX$2:$AX$200,$G50)&gt;0
   ),
  0)
 ),
"")</f>
        <v>Sisay</v>
      </c>
      <c r="D50" s="3" t="str" cm="1">
        <f t="array" aca="1" ref="D50" ca="1">IFERROR(
 INDEX(
  _xlfn._xlws.FILTER($U$1:$AX$1,
   TRANSPOSE(
    CHOOSE({1;2;3;4;5;6;7;8;9;10;11;12;13;14;15;16;17;18;19;20;21;22;23;24;25;26;27;28;29;30},
     COUNTIFS($U$2:$U$200,$G50)&gt;0,
     COUNTIFS($V$2:$V$200,$G50)&gt;0,
     COUNTIFS($W$2:$W$200,$G50)&gt;0,
     COUNTIFS($X$2:$X$200,$G50)&gt;0,
     COUNTIFS($Y$2:$Y$200,$G50)&gt;0,
     COUNTIFS($Z$2:$Z$200,$G50)&gt;0,
     COUNTIFS($AA$2:$AA$200,$G50)&gt;0,
     COUNTIFS($AB$2:$AB$200,$G50)&gt;0,
     COUNTIFS($AC$2:$AC$200,$G50)&gt;0,
     COUNTIFS($AD$2:$AD$200,$G50)&gt;0,
     COUNTIFS($AE$2:$AE$200,$G50)&gt;0,
     COUNTIFS($AF$2:$AF$200,$G50)&gt;0,
     COUNTIFS($AG$2:$AG$200,$G50)&gt;0,
     COUNTIFS($AH$2:$AH$200,$G50)&gt;0,
     COUNTIFS($AI$2:$AI$200,$G50)&gt;0,
     COUNTIFS($AJ$2:$AJ$200,$G50)&gt;0,
     COUNTIFS($AK$2:$AK$200,$G50)&gt;0,
     COUNTIFS($AL$2:$AL$200,$G50)&gt;0,
     COUNTIFS($AM$2:$AM$200,$G50)&gt;0,
     COUNTIFS($AN$2:$AN$200,$G50)&gt;0,
     COUNTIFS($AO$2:$AO$200,$G50)&gt;0,
     COUNTIFS($AP$2:$AP$200,$G50)&gt;0,
     COUNTIFS($AQ$2:$AQ$200,$G50)&gt;0,
     COUNTIFS($AR$2:$AR$200,$G50)&gt;0,
     COUNTIFS($AS$2:$AS$200,$G50)&gt;0,
     COUNTIFS($AT$2:$AT$200,$G50)&gt;0,
     COUNTIFS($AU$2:$AU$200,$G50)&gt;0,
     COUNTIFS($AV$2:$AV$200,$G50)&gt;0,
     COUNTIFS($AW$2:$AW$200,$G50)&gt;0,
     COUNTIFS($AX$2:$AX$200,$G50)&gt;0
   )),
  ),
  2
 ),
"")</f>
        <v/>
      </c>
      <c r="E50" s="3" t="str" cm="1">
        <f t="array" aca="1" ref="E50" ca="1">IFERROR(
 INDEX(
  _xlfn._xlws.FILTER($U$1:$AX$1,
   TRANSPOSE(
    CHOOSE({1;2;3;4;5;6;7;8;9;10;11;12;13;14;15;16;17;18;19;20;21;22;23;24;25;26;27;28;29;30},
     COUNTIFS($U$2:$U$200,$G50)&gt;0,
     COUNTIFS($V$2:$V$200,$G50)&gt;0,
     COUNTIFS($W$2:$W$200,$G50)&gt;0,
     COUNTIFS($X$2:$X$200,$G50)&gt;0,
     COUNTIFS($Y$2:$Y$200,$G50)&gt;0,
     COUNTIFS($Z$2:$Z$200,$G50)&gt;0,
     COUNTIFS($AA$2:$AA$200,$G50)&gt;0,
     COUNTIFS($AB$2:$AB$200,$G50)&gt;0,
     COUNTIFS($AC$2:$AC$200,$G50)&gt;0,
     COUNTIFS($AD$2:$AD$200,$G50)&gt;0,
     COUNTIFS($AE$2:$AE$200,$G50)&gt;0,
     COUNTIFS($AF$2:$AF$200,$G50)&gt;0,
     COUNTIFS($AG$2:$AG$200,$G50)&gt;0,
     COUNTIFS($AH$2:$AH$200,$G50)&gt;0,
     COUNTIFS($AI$2:$AI$200,$G50)&gt;0,
     COUNTIFS($AJ$2:$AJ$200,$G50)&gt;0,
     COUNTIFS($AK$2:$AK$200,$G50)&gt;0,
     COUNTIFS($AL$2:$AL$200,$G50)&gt;0,
     COUNTIFS($AM$2:$AM$200,$G50)&gt;0,
     COUNTIFS($AN$2:$AN$200,$G50)&gt;0,
     COUNTIFS($AO$2:$AO$200,$G50)&gt;0,
     COUNTIFS($AP$2:$AP$200,$G50)&gt;0,
     COUNTIFS($AQ$2:$AQ$200,$G50)&gt;0,
     COUNTIFS($AR$2:$AR$200,$G50)&gt;0,
     COUNTIFS($AS$2:$AS$200,$G50)&gt;0,
     COUNTIFS($AT$2:$AT$200,$G50)&gt;0,
     COUNTIFS($AU$2:$AU$200,$G50)&gt;0,
     COUNTIFS($AV$2:$AV$200,$G50)&gt;0,
     COUNTIFS($AW$2:$AW$200,$G50)&gt;0,
     COUNTIFS($AX$2:$AX$200,$G50)&gt;0
   )),
  ),
  3
 ),
"")</f>
        <v/>
      </c>
      <c r="F50" s="3" t="str" cm="1">
        <f t="array" aca="1" ref="F50" ca="1">IFERROR(
 INDEX(
  _xlfn._xlws.FILTER($U$1:$AX$1,
   TRANSPOSE(
    CHOOSE({1;2;3;4;5;6;7;8;9;10;11;12;13;14;15;16;17;18;19;20;21;22;23;24;25;26;27;28;29;30},
     COUNTIFS($U$2:$U$200,$G50)&gt;0,
     COUNTIFS($V$2:$V$200,$G50)&gt;0,
     COUNTIFS($W$2:$W$200,$G50)&gt;0,
     COUNTIFS($X$2:$X$200,$G50)&gt;0,
     COUNTIFS($Y$2:$Y$200,$G50)&gt;0,
     COUNTIFS($Z$2:$Z$200,$G50)&gt;0,
     COUNTIFS($AA$2:$AA$200,$G50)&gt;0,
     COUNTIFS($AB$2:$AB$200,$G50)&gt;0,
     COUNTIFS($AC$2:$AC$200,$G50)&gt;0,
     COUNTIFS($AD$2:$AD$200,$G50)&gt;0,
     COUNTIFS($AE$2:$AE$200,$G50)&gt;0,
     COUNTIFS($AF$2:$AF$200,$G50)&gt;0,
     COUNTIFS($AG$2:$AG$200,$G50)&gt;0,
     COUNTIFS($AH$2:$AH$200,$G50)&gt;0,
     COUNTIFS($AI$2:$AI$200,$G50)&gt;0,
     COUNTIFS($AJ$2:$AJ$200,$G50)&gt;0,
     COUNTIFS($AK$2:$AK$200,$G50)&gt;0,
     COUNTIFS($AL$2:$AL$200,$G50)&gt;0,
     COUNTIFS($AM$2:$AM$200,$G50)&gt;0,
     COUNTIFS($AN$2:$AN$200,$G50)&gt;0,
     COUNTIFS($AO$2:$AO$200,$G50)&gt;0,
     COUNTIFS($AP$2:$AP$200,$G50)&gt;0,
     COUNTIFS($AQ$2:$AQ$200,$G50)&gt;0,
     COUNTIFS($AR$2:$AR$200,$G50)&gt;0,
     COUNTIFS($AS$2:$AS$200,$G50)&gt;0,
     COUNTIFS($AT$2:$AT$200,$G50)&gt;0,
     COUNTIFS($AU$2:$AU$200,$G50)&gt;0,
     COUNTIFS($AV$2:$AV$200,$G50)&gt;0,
     COUNTIFS($AW$2:$AW$200,$G50)&gt;0,
     COUNTIFS($AX$2:$AX$200,$G50)&gt;0
   )),
  ),
  4
 ),
"")</f>
        <v/>
      </c>
      <c r="G50" t="str">
        <f ca="1"/>
        <v>Commodore Guff</v>
      </c>
      <c r="R50" s="3" t="s">
        <v>2149</v>
      </c>
      <c r="BC50" t="str">
        <f ca="1"/>
        <v>Sphere Grid</v>
      </c>
      <c r="BS50" t="str">
        <f ca="1"/>
        <v>Managorger Hydra</v>
      </c>
      <c r="BT50" t="str">
        <f ca="1"/>
        <v>Sulfur Falls</v>
      </c>
      <c r="CB50" t="str">
        <f ca="1"/>
        <v>Ghoulish Impetus</v>
      </c>
      <c r="CC50" t="str">
        <f ca="1"/>
        <v>Mox Tantalite</v>
      </c>
      <c r="CD50" t="str">
        <f ca="1"/>
        <v>Uthros, Titanic Godcore</v>
      </c>
      <c r="CE50" t="str">
        <f ca="1"/>
        <v>Teyo, Geometric Tactician</v>
      </c>
      <c r="CG50" t="str">
        <f ca="1"/>
        <v>Emrakul, um Novo Mundo</v>
      </c>
      <c r="CH50" t="str">
        <f ca="1"/>
        <v>Mistrise Village</v>
      </c>
      <c r="CJ50" t="str">
        <f ca="1"/>
        <v>Commodore Guff</v>
      </c>
    </row>
    <row r="51" spans="1:88" x14ac:dyDescent="0.25">
      <c r="A51" s="3" t="str">
        <f t="shared" ca="1" si="0"/>
        <v>2</v>
      </c>
      <c r="B51" s="3">
        <f t="shared" ca="1" si="1"/>
        <v>1</v>
      </c>
      <c r="C51" s="3" t="str">
        <f ca="1">IFERROR(
 INDEX($U$1:$AX$1,
  MATCH(TRUE,
   CHOOSE({1;2;3;4;5;6;7;8;9;10;11;12;13;14;15;16;17;18;19;20;21;22;23;24;25;26;27;28;29;30;31;32},
    COUNTIFS($U$2:$U$200,$G51)&gt;0,
    COUNTIFS($V$2:$V$200,$G51)&gt;0,
    COUNTIFS($W$2:$W$200,$G51)&gt;0,
    COUNTIFS($X$2:$X$200,$G51)&gt;0,
    COUNTIFS($Y$2:$Y$200,$G51)&gt;0,
    COUNTIFS($Z$2:$Z$200,$G51)&gt;0,
    COUNTIFS($AA$2:$AA$200,$G51)&gt;0,
    COUNTIFS($AB$2:$AB$200,$G51)&gt;0,
    COUNTIFS($AC$2:$AC$200,$G51)&gt;0,
    COUNTIFS($AD$2:$AD$200,$G51)&gt;0,
    COUNTIFS($AE$2:$AE$200,$G51)&gt;0,
    COUNTIFS($AF$2:$AF$200,$G51)&gt;0,
    COUNTIFS($AG$2:$AG$200,$G51)&gt;0,
    COUNTIFS($AH$2:$AH$200,$G51)&gt;0,
    COUNTIFS($AI$2:$AI$200,$G51)&gt;0,
    COUNTIFS($AJ$2:$AJ$200,$G51)&gt;0,
    COUNTIFS($AK$2:$AK$200,$G51)&gt;0,
    COUNTIFS($AL$2:$AL$200,$G51)&gt;0,
    COUNTIFS($AM$2:$AM$200,$G51)&gt;0,
    COUNTIFS($AN$2:$AN$200,$G51)&gt;0,
    COUNTIFS($AO$2:$AO$200,$G51)&gt;0,
    COUNTIFS($AP$2:$AP$200,$G51)&gt;0,
    COUNTIFS($AQ$2:$AQ$200,$G51)&gt;0,
    COUNTIFS($AR$2:$AR$200,$G51)&gt;0,
    COUNTIFS($AS$2:$AS$200,$G51)&gt;0,
    COUNTIFS($AT$2:$AT$200,$G51)&gt;0,
    COUNTIFS($AU$2:$AU$200,$G51)&gt;0,
    COUNTIFS($AV$2:$AV$200,$G51)&gt;0,
    COUNTIFS($AW$2:$AW$200,$G51)&gt;0,
    COUNTIFS($AX$2:$AX$200,$G51)&gt;0
   ),
  0)
 ),
"")</f>
        <v>Rani</v>
      </c>
      <c r="D51" s="3" t="str" cm="1">
        <f t="array" aca="1" ref="D51" ca="1">IFERROR(
 INDEX(
  _xlfn._xlws.FILTER($U$1:$AX$1,
   TRANSPOSE(
    CHOOSE({1;2;3;4;5;6;7;8;9;10;11;12;13;14;15;16;17;18;19;20;21;22;23;24;25;26;27;28;29;30},
     COUNTIFS($U$2:$U$200,$G51)&gt;0,
     COUNTIFS($V$2:$V$200,$G51)&gt;0,
     COUNTIFS($W$2:$W$200,$G51)&gt;0,
     COUNTIFS($X$2:$X$200,$G51)&gt;0,
     COUNTIFS($Y$2:$Y$200,$G51)&gt;0,
     COUNTIFS($Z$2:$Z$200,$G51)&gt;0,
     COUNTIFS($AA$2:$AA$200,$G51)&gt;0,
     COUNTIFS($AB$2:$AB$200,$G51)&gt;0,
     COUNTIFS($AC$2:$AC$200,$G51)&gt;0,
     COUNTIFS($AD$2:$AD$200,$G51)&gt;0,
     COUNTIFS($AE$2:$AE$200,$G51)&gt;0,
     COUNTIFS($AF$2:$AF$200,$G51)&gt;0,
     COUNTIFS($AG$2:$AG$200,$G51)&gt;0,
     COUNTIFS($AH$2:$AH$200,$G51)&gt;0,
     COUNTIFS($AI$2:$AI$200,$G51)&gt;0,
     COUNTIFS($AJ$2:$AJ$200,$G51)&gt;0,
     COUNTIFS($AK$2:$AK$200,$G51)&gt;0,
     COUNTIFS($AL$2:$AL$200,$G51)&gt;0,
     COUNTIFS($AM$2:$AM$200,$G51)&gt;0,
     COUNTIFS($AN$2:$AN$200,$G51)&gt;0,
     COUNTIFS($AO$2:$AO$200,$G51)&gt;0,
     COUNTIFS($AP$2:$AP$200,$G51)&gt;0,
     COUNTIFS($AQ$2:$AQ$200,$G51)&gt;0,
     COUNTIFS($AR$2:$AR$200,$G51)&gt;0,
     COUNTIFS($AS$2:$AS$200,$G51)&gt;0,
     COUNTIFS($AT$2:$AT$200,$G51)&gt;0,
     COUNTIFS($AU$2:$AU$200,$G51)&gt;0,
     COUNTIFS($AV$2:$AV$200,$G51)&gt;0,
     COUNTIFS($AW$2:$AW$200,$G51)&gt;0,
     COUNTIFS($AX$2:$AX$200,$G51)&gt;0
   )),
  ),
  2
 ),
"")</f>
        <v/>
      </c>
      <c r="E51" s="3" t="str" cm="1">
        <f t="array" aca="1" ref="E51" ca="1">IFERROR(
 INDEX(
  _xlfn._xlws.FILTER($U$1:$AX$1,
   TRANSPOSE(
    CHOOSE({1;2;3;4;5;6;7;8;9;10;11;12;13;14;15;16;17;18;19;20;21;22;23;24;25;26;27;28;29;30},
     COUNTIFS($U$2:$U$200,$G51)&gt;0,
     COUNTIFS($V$2:$V$200,$G51)&gt;0,
     COUNTIFS($W$2:$W$200,$G51)&gt;0,
     COUNTIFS($X$2:$X$200,$G51)&gt;0,
     COUNTIFS($Y$2:$Y$200,$G51)&gt;0,
     COUNTIFS($Z$2:$Z$200,$G51)&gt;0,
     COUNTIFS($AA$2:$AA$200,$G51)&gt;0,
     COUNTIFS($AB$2:$AB$200,$G51)&gt;0,
     COUNTIFS($AC$2:$AC$200,$G51)&gt;0,
     COUNTIFS($AD$2:$AD$200,$G51)&gt;0,
     COUNTIFS($AE$2:$AE$200,$G51)&gt;0,
     COUNTIFS($AF$2:$AF$200,$G51)&gt;0,
     COUNTIFS($AG$2:$AG$200,$G51)&gt;0,
     COUNTIFS($AH$2:$AH$200,$G51)&gt;0,
     COUNTIFS($AI$2:$AI$200,$G51)&gt;0,
     COUNTIFS($AJ$2:$AJ$200,$G51)&gt;0,
     COUNTIFS($AK$2:$AK$200,$G51)&gt;0,
     COUNTIFS($AL$2:$AL$200,$G51)&gt;0,
     COUNTIFS($AM$2:$AM$200,$G51)&gt;0,
     COUNTIFS($AN$2:$AN$200,$G51)&gt;0,
     COUNTIFS($AO$2:$AO$200,$G51)&gt;0,
     COUNTIFS($AP$2:$AP$200,$G51)&gt;0,
     COUNTIFS($AQ$2:$AQ$200,$G51)&gt;0,
     COUNTIFS($AR$2:$AR$200,$G51)&gt;0,
     COUNTIFS($AS$2:$AS$200,$G51)&gt;0,
     COUNTIFS($AT$2:$AT$200,$G51)&gt;0,
     COUNTIFS($AU$2:$AU$200,$G51)&gt;0,
     COUNTIFS($AV$2:$AV$200,$G51)&gt;0,
     COUNTIFS($AW$2:$AW$200,$G51)&gt;0,
     COUNTIFS($AX$2:$AX$200,$G51)&gt;0
   )),
  ),
  3
 ),
"")</f>
        <v/>
      </c>
      <c r="F51" s="3" t="str" cm="1">
        <f t="array" aca="1" ref="F51" ca="1">IFERROR(
 INDEX(
  _xlfn._xlws.FILTER($U$1:$AX$1,
   TRANSPOSE(
    CHOOSE({1;2;3;4;5;6;7;8;9;10;11;12;13;14;15;16;17;18;19;20;21;22;23;24;25;26;27;28;29;30},
     COUNTIFS($U$2:$U$200,$G51)&gt;0,
     COUNTIFS($V$2:$V$200,$G51)&gt;0,
     COUNTIFS($W$2:$W$200,$G51)&gt;0,
     COUNTIFS($X$2:$X$200,$G51)&gt;0,
     COUNTIFS($Y$2:$Y$200,$G51)&gt;0,
     COUNTIFS($Z$2:$Z$200,$G51)&gt;0,
     COUNTIFS($AA$2:$AA$200,$G51)&gt;0,
     COUNTIFS($AB$2:$AB$200,$G51)&gt;0,
     COUNTIFS($AC$2:$AC$200,$G51)&gt;0,
     COUNTIFS($AD$2:$AD$200,$G51)&gt;0,
     COUNTIFS($AE$2:$AE$200,$G51)&gt;0,
     COUNTIFS($AF$2:$AF$200,$G51)&gt;0,
     COUNTIFS($AG$2:$AG$200,$G51)&gt;0,
     COUNTIFS($AH$2:$AH$200,$G51)&gt;0,
     COUNTIFS($AI$2:$AI$200,$G51)&gt;0,
     COUNTIFS($AJ$2:$AJ$200,$G51)&gt;0,
     COUNTIFS($AK$2:$AK$200,$G51)&gt;0,
     COUNTIFS($AL$2:$AL$200,$G51)&gt;0,
     COUNTIFS($AM$2:$AM$200,$G51)&gt;0,
     COUNTIFS($AN$2:$AN$200,$G51)&gt;0,
     COUNTIFS($AO$2:$AO$200,$G51)&gt;0,
     COUNTIFS($AP$2:$AP$200,$G51)&gt;0,
     COUNTIFS($AQ$2:$AQ$200,$G51)&gt;0,
     COUNTIFS($AR$2:$AR$200,$G51)&gt;0,
     COUNTIFS($AS$2:$AS$200,$G51)&gt;0,
     COUNTIFS($AT$2:$AT$200,$G51)&gt;0,
     COUNTIFS($AU$2:$AU$200,$G51)&gt;0,
     COUNTIFS($AV$2:$AV$200,$G51)&gt;0,
     COUNTIFS($AW$2:$AW$200,$G51)&gt;0,
     COUNTIFS($AX$2:$AX$200,$G51)&gt;0
   )),
  ),
  4
 ),
"")</f>
        <v/>
      </c>
      <c r="G51" t="str">
        <f ca="1"/>
        <v>Counterspell</v>
      </c>
      <c r="BC51" t="str">
        <f ca="1"/>
        <v>Summon: Fenrir</v>
      </c>
      <c r="BS51" t="str">
        <f ca="1"/>
        <v>Marcha dos Canonizados</v>
      </c>
      <c r="BT51" t="str">
        <f ca="1"/>
        <v>Summon: Leviathan</v>
      </c>
      <c r="CB51" t="str">
        <f ca="1"/>
        <v>Giver of Runes</v>
      </c>
      <c r="CC51" t="str">
        <f ca="1"/>
        <v>Nicol Bolas, God-Pharaoh</v>
      </c>
      <c r="CD51" t="str">
        <f ca="1"/>
        <v>Valfenda</v>
      </c>
      <c r="CE51" t="str">
        <f ca="1"/>
        <v>The Great Henge</v>
      </c>
      <c r="CG51" t="str">
        <f ca="1"/>
        <v>Enduring Innocence</v>
      </c>
      <c r="CH51" t="str">
        <f ca="1"/>
        <v>Monumental Henge</v>
      </c>
      <c r="CJ51" t="str">
        <f ca="1"/>
        <v>Counterspell</v>
      </c>
    </row>
    <row r="52" spans="1:88" x14ac:dyDescent="0.25">
      <c r="A52" s="3" t="str">
        <f t="shared" ca="1" si="0"/>
        <v>3</v>
      </c>
      <c r="B52" s="3">
        <f t="shared" ca="1" si="1"/>
        <v>1</v>
      </c>
      <c r="C52" s="3" t="str">
        <f ca="1">IFERROR(
 INDEX($U$1:$AX$1,
  MATCH(TRUE,
   CHOOSE({1;2;3;4;5;6;7;8;9;10;11;12;13;14;15;16;17;18;19;20;21;22;23;24;25;26;27;28;29;30;31;32},
    COUNTIFS($U$2:$U$200,$G52)&gt;0,
    COUNTIFS($V$2:$V$200,$G52)&gt;0,
    COUNTIFS($W$2:$W$200,$G52)&gt;0,
    COUNTIFS($X$2:$X$200,$G52)&gt;0,
    COUNTIFS($Y$2:$Y$200,$G52)&gt;0,
    COUNTIFS($Z$2:$Z$200,$G52)&gt;0,
    COUNTIFS($AA$2:$AA$200,$G52)&gt;0,
    COUNTIFS($AB$2:$AB$200,$G52)&gt;0,
    COUNTIFS($AC$2:$AC$200,$G52)&gt;0,
    COUNTIFS($AD$2:$AD$200,$G52)&gt;0,
    COUNTIFS($AE$2:$AE$200,$G52)&gt;0,
    COUNTIFS($AF$2:$AF$200,$G52)&gt;0,
    COUNTIFS($AG$2:$AG$200,$G52)&gt;0,
    COUNTIFS($AH$2:$AH$200,$G52)&gt;0,
    COUNTIFS($AI$2:$AI$200,$G52)&gt;0,
    COUNTIFS($AJ$2:$AJ$200,$G52)&gt;0,
    COUNTIFS($AK$2:$AK$200,$G52)&gt;0,
    COUNTIFS($AL$2:$AL$200,$G52)&gt;0,
    COUNTIFS($AM$2:$AM$200,$G52)&gt;0,
    COUNTIFS($AN$2:$AN$200,$G52)&gt;0,
    COUNTIFS($AO$2:$AO$200,$G52)&gt;0,
    COUNTIFS($AP$2:$AP$200,$G52)&gt;0,
    COUNTIFS($AQ$2:$AQ$200,$G52)&gt;0,
    COUNTIFS($AR$2:$AR$200,$G52)&gt;0,
    COUNTIFS($AS$2:$AS$200,$G52)&gt;0,
    COUNTIFS($AT$2:$AT$200,$G52)&gt;0,
    COUNTIFS($AU$2:$AU$200,$G52)&gt;0,
    COUNTIFS($AV$2:$AV$200,$G52)&gt;0,
    COUNTIFS($AW$2:$AW$200,$G52)&gt;0,
    COUNTIFS($AX$2:$AX$200,$G52)&gt;0
   ),
  0)
 ),
"")</f>
        <v>Yuriko</v>
      </c>
      <c r="D52" s="3" t="str" cm="1">
        <f t="array" aca="1" ref="D52" ca="1">IFERROR(
 INDEX(
  _xlfn._xlws.FILTER($U$1:$AX$1,
   TRANSPOSE(
    CHOOSE({1;2;3;4;5;6;7;8;9;10;11;12;13;14;15;16;17;18;19;20;21;22;23;24;25;26;27;28;29;30},
     COUNTIFS($U$2:$U$200,$G52)&gt;0,
     COUNTIFS($V$2:$V$200,$G52)&gt;0,
     COUNTIFS($W$2:$W$200,$G52)&gt;0,
     COUNTIFS($X$2:$X$200,$G52)&gt;0,
     COUNTIFS($Y$2:$Y$200,$G52)&gt;0,
     COUNTIFS($Z$2:$Z$200,$G52)&gt;0,
     COUNTIFS($AA$2:$AA$200,$G52)&gt;0,
     COUNTIFS($AB$2:$AB$200,$G52)&gt;0,
     COUNTIFS($AC$2:$AC$200,$G52)&gt;0,
     COUNTIFS($AD$2:$AD$200,$G52)&gt;0,
     COUNTIFS($AE$2:$AE$200,$G52)&gt;0,
     COUNTIFS($AF$2:$AF$200,$G52)&gt;0,
     COUNTIFS($AG$2:$AG$200,$G52)&gt;0,
     COUNTIFS($AH$2:$AH$200,$G52)&gt;0,
     COUNTIFS($AI$2:$AI$200,$G52)&gt;0,
     COUNTIFS($AJ$2:$AJ$200,$G52)&gt;0,
     COUNTIFS($AK$2:$AK$200,$G52)&gt;0,
     COUNTIFS($AL$2:$AL$200,$G52)&gt;0,
     COUNTIFS($AM$2:$AM$200,$G52)&gt;0,
     COUNTIFS($AN$2:$AN$200,$G52)&gt;0,
     COUNTIFS($AO$2:$AO$200,$G52)&gt;0,
     COUNTIFS($AP$2:$AP$200,$G52)&gt;0,
     COUNTIFS($AQ$2:$AQ$200,$G52)&gt;0,
     COUNTIFS($AR$2:$AR$200,$G52)&gt;0,
     COUNTIFS($AS$2:$AS$200,$G52)&gt;0,
     COUNTIFS($AT$2:$AT$200,$G52)&gt;0,
     COUNTIFS($AU$2:$AU$200,$G52)&gt;0,
     COUNTIFS($AV$2:$AV$200,$G52)&gt;0,
     COUNTIFS($AW$2:$AW$200,$G52)&gt;0,
     COUNTIFS($AX$2:$AX$200,$G52)&gt;0
   )),
  ),
  2
 ),
"")</f>
        <v/>
      </c>
      <c r="E52" s="3" t="str" cm="1">
        <f t="array" aca="1" ref="E52" ca="1">IFERROR(
 INDEX(
  _xlfn._xlws.FILTER($U$1:$AX$1,
   TRANSPOSE(
    CHOOSE({1;2;3;4;5;6;7;8;9;10;11;12;13;14;15;16;17;18;19;20;21;22;23;24;25;26;27;28;29;30},
     COUNTIFS($U$2:$U$200,$G52)&gt;0,
     COUNTIFS($V$2:$V$200,$G52)&gt;0,
     COUNTIFS($W$2:$W$200,$G52)&gt;0,
     COUNTIFS($X$2:$X$200,$G52)&gt;0,
     COUNTIFS($Y$2:$Y$200,$G52)&gt;0,
     COUNTIFS($Z$2:$Z$200,$G52)&gt;0,
     COUNTIFS($AA$2:$AA$200,$G52)&gt;0,
     COUNTIFS($AB$2:$AB$200,$G52)&gt;0,
     COUNTIFS($AC$2:$AC$200,$G52)&gt;0,
     COUNTIFS($AD$2:$AD$200,$G52)&gt;0,
     COUNTIFS($AE$2:$AE$200,$G52)&gt;0,
     COUNTIFS($AF$2:$AF$200,$G52)&gt;0,
     COUNTIFS($AG$2:$AG$200,$G52)&gt;0,
     COUNTIFS($AH$2:$AH$200,$G52)&gt;0,
     COUNTIFS($AI$2:$AI$200,$G52)&gt;0,
     COUNTIFS($AJ$2:$AJ$200,$G52)&gt;0,
     COUNTIFS($AK$2:$AK$200,$G52)&gt;0,
     COUNTIFS($AL$2:$AL$200,$G52)&gt;0,
     COUNTIFS($AM$2:$AM$200,$G52)&gt;0,
     COUNTIFS($AN$2:$AN$200,$G52)&gt;0,
     COUNTIFS($AO$2:$AO$200,$G52)&gt;0,
     COUNTIFS($AP$2:$AP$200,$G52)&gt;0,
     COUNTIFS($AQ$2:$AQ$200,$G52)&gt;0,
     COUNTIFS($AR$2:$AR$200,$G52)&gt;0,
     COUNTIFS($AS$2:$AS$200,$G52)&gt;0,
     COUNTIFS($AT$2:$AT$200,$G52)&gt;0,
     COUNTIFS($AU$2:$AU$200,$G52)&gt;0,
     COUNTIFS($AV$2:$AV$200,$G52)&gt;0,
     COUNTIFS($AW$2:$AW$200,$G52)&gt;0,
     COUNTIFS($AX$2:$AX$200,$G52)&gt;0
   )),
  ),
  3
 ),
"")</f>
        <v/>
      </c>
      <c r="F52" s="3" t="str" cm="1">
        <f t="array" aca="1" ref="F52" ca="1">IFERROR(
 INDEX(
  _xlfn._xlws.FILTER($U$1:$AX$1,
   TRANSPOSE(
    CHOOSE({1;2;3;4;5;6;7;8;9;10;11;12;13;14;15;16;17;18;19;20;21;22;23;24;25;26;27;28;29;30},
     COUNTIFS($U$2:$U$200,$G52)&gt;0,
     COUNTIFS($V$2:$V$200,$G52)&gt;0,
     COUNTIFS($W$2:$W$200,$G52)&gt;0,
     COUNTIFS($X$2:$X$200,$G52)&gt;0,
     COUNTIFS($Y$2:$Y$200,$G52)&gt;0,
     COUNTIFS($Z$2:$Z$200,$G52)&gt;0,
     COUNTIFS($AA$2:$AA$200,$G52)&gt;0,
     COUNTIFS($AB$2:$AB$200,$G52)&gt;0,
     COUNTIFS($AC$2:$AC$200,$G52)&gt;0,
     COUNTIFS($AD$2:$AD$200,$G52)&gt;0,
     COUNTIFS($AE$2:$AE$200,$G52)&gt;0,
     COUNTIFS($AF$2:$AF$200,$G52)&gt;0,
     COUNTIFS($AG$2:$AG$200,$G52)&gt;0,
     COUNTIFS($AH$2:$AH$200,$G52)&gt;0,
     COUNTIFS($AI$2:$AI$200,$G52)&gt;0,
     COUNTIFS($AJ$2:$AJ$200,$G52)&gt;0,
     COUNTIFS($AK$2:$AK$200,$G52)&gt;0,
     COUNTIFS($AL$2:$AL$200,$G52)&gt;0,
     COUNTIFS($AM$2:$AM$200,$G52)&gt;0,
     COUNTIFS($AN$2:$AN$200,$G52)&gt;0,
     COUNTIFS($AO$2:$AO$200,$G52)&gt;0,
     COUNTIFS($AP$2:$AP$200,$G52)&gt;0,
     COUNTIFS($AQ$2:$AQ$200,$G52)&gt;0,
     COUNTIFS($AR$2:$AR$200,$G52)&gt;0,
     COUNTIFS($AS$2:$AS$200,$G52)&gt;0,
     COUNTIFS($AT$2:$AT$200,$G52)&gt;0,
     COUNTIFS($AU$2:$AU$200,$G52)&gt;0,
     COUNTIFS($AV$2:$AV$200,$G52)&gt;0,
     COUNTIFS($AW$2:$AW$200,$G52)&gt;0,
     COUNTIFS($AX$2:$AX$200,$G52)&gt;0
   )),
  ),
  4
 ),
"")</f>
        <v/>
      </c>
      <c r="G52" t="str">
        <f ca="1"/>
        <v>Creeping Tar Pit</v>
      </c>
      <c r="BC52" t="str">
        <f ca="1"/>
        <v>Summon: Ixion</v>
      </c>
      <c r="BS52" t="str">
        <f ca="1"/>
        <v>Memory Erosion</v>
      </c>
      <c r="BT52" t="str">
        <f ca="1"/>
        <v>Surgespanner</v>
      </c>
      <c r="CB52" t="str">
        <f ca="1"/>
        <v>Glint-Horn Buccaneer</v>
      </c>
      <c r="CC52" t="str">
        <f ca="1"/>
        <v>O Dínamo Peregrino</v>
      </c>
      <c r="CD52" t="str">
        <f ca="1"/>
        <v>Watery Grave</v>
      </c>
      <c r="CE52" t="str">
        <f ca="1"/>
        <v>The Ozolith</v>
      </c>
      <c r="CG52" t="str">
        <f ca="1"/>
        <v>Entomb</v>
      </c>
      <c r="CH52" t="str">
        <f ca="1"/>
        <v>Mystic Forge</v>
      </c>
      <c r="CJ52" t="str">
        <f ca="1"/>
        <v>Creeping Tar Pit</v>
      </c>
    </row>
    <row r="53" spans="1:88" x14ac:dyDescent="0.25">
      <c r="A53" s="3" t="str">
        <f t="shared" ca="1" si="0"/>
        <v>3</v>
      </c>
      <c r="B53" s="3">
        <f t="shared" ca="1" si="1"/>
        <v>1</v>
      </c>
      <c r="C53" s="3" t="str">
        <f ca="1">IFERROR(
 INDEX($U$1:$AX$1,
  MATCH(TRUE,
   CHOOSE({1;2;3;4;5;6;7;8;9;10;11;12;13;14;15;16;17;18;19;20;21;22;23;24;25;26;27;28;29;30;31;32},
    COUNTIFS($U$2:$U$200,$G53)&gt;0,
    COUNTIFS($V$2:$V$200,$G53)&gt;0,
    COUNTIFS($W$2:$W$200,$G53)&gt;0,
    COUNTIFS($X$2:$X$200,$G53)&gt;0,
    COUNTIFS($Y$2:$Y$200,$G53)&gt;0,
    COUNTIFS($Z$2:$Z$200,$G53)&gt;0,
    COUNTIFS($AA$2:$AA$200,$G53)&gt;0,
    COUNTIFS($AB$2:$AB$200,$G53)&gt;0,
    COUNTIFS($AC$2:$AC$200,$G53)&gt;0,
    COUNTIFS($AD$2:$AD$200,$G53)&gt;0,
    COUNTIFS($AE$2:$AE$200,$G53)&gt;0,
    COUNTIFS($AF$2:$AF$200,$G53)&gt;0,
    COUNTIFS($AG$2:$AG$200,$G53)&gt;0,
    COUNTIFS($AH$2:$AH$200,$G53)&gt;0,
    COUNTIFS($AI$2:$AI$200,$G53)&gt;0,
    COUNTIFS($AJ$2:$AJ$200,$G53)&gt;0,
    COUNTIFS($AK$2:$AK$200,$G53)&gt;0,
    COUNTIFS($AL$2:$AL$200,$G53)&gt;0,
    COUNTIFS($AM$2:$AM$200,$G53)&gt;0,
    COUNTIFS($AN$2:$AN$200,$G53)&gt;0,
    COUNTIFS($AO$2:$AO$200,$G53)&gt;0,
    COUNTIFS($AP$2:$AP$200,$G53)&gt;0,
    COUNTIFS($AQ$2:$AQ$200,$G53)&gt;0,
    COUNTIFS($AR$2:$AR$200,$G53)&gt;0,
    COUNTIFS($AS$2:$AS$200,$G53)&gt;0,
    COUNTIFS($AT$2:$AT$200,$G53)&gt;0,
    COUNTIFS($AU$2:$AU$200,$G53)&gt;0,
    COUNTIFS($AV$2:$AV$200,$G53)&gt;0,
    COUNTIFS($AW$2:$AW$200,$G53)&gt;0,
    COUNTIFS($AX$2:$AX$200,$G53)&gt;0
   ),
  0)
 ),
"")</f>
        <v>Gritrog</v>
      </c>
      <c r="D53" s="3" t="str" cm="1">
        <f t="array" aca="1" ref="D53" ca="1">IFERROR(
 INDEX(
  _xlfn._xlws.FILTER($U$1:$AX$1,
   TRANSPOSE(
    CHOOSE({1;2;3;4;5;6;7;8;9;10;11;12;13;14;15;16;17;18;19;20;21;22;23;24;25;26;27;28;29;30},
     COUNTIFS($U$2:$U$200,$G53)&gt;0,
     COUNTIFS($V$2:$V$200,$G53)&gt;0,
     COUNTIFS($W$2:$W$200,$G53)&gt;0,
     COUNTIFS($X$2:$X$200,$G53)&gt;0,
     COUNTIFS($Y$2:$Y$200,$G53)&gt;0,
     COUNTIFS($Z$2:$Z$200,$G53)&gt;0,
     COUNTIFS($AA$2:$AA$200,$G53)&gt;0,
     COUNTIFS($AB$2:$AB$200,$G53)&gt;0,
     COUNTIFS($AC$2:$AC$200,$G53)&gt;0,
     COUNTIFS($AD$2:$AD$200,$G53)&gt;0,
     COUNTIFS($AE$2:$AE$200,$G53)&gt;0,
     COUNTIFS($AF$2:$AF$200,$G53)&gt;0,
     COUNTIFS($AG$2:$AG$200,$G53)&gt;0,
     COUNTIFS($AH$2:$AH$200,$G53)&gt;0,
     COUNTIFS($AI$2:$AI$200,$G53)&gt;0,
     COUNTIFS($AJ$2:$AJ$200,$G53)&gt;0,
     COUNTIFS($AK$2:$AK$200,$G53)&gt;0,
     COUNTIFS($AL$2:$AL$200,$G53)&gt;0,
     COUNTIFS($AM$2:$AM$200,$G53)&gt;0,
     COUNTIFS($AN$2:$AN$200,$G53)&gt;0,
     COUNTIFS($AO$2:$AO$200,$G53)&gt;0,
     COUNTIFS($AP$2:$AP$200,$G53)&gt;0,
     COUNTIFS($AQ$2:$AQ$200,$G53)&gt;0,
     COUNTIFS($AR$2:$AR$200,$G53)&gt;0,
     COUNTIFS($AS$2:$AS$200,$G53)&gt;0,
     COUNTIFS($AT$2:$AT$200,$G53)&gt;0,
     COUNTIFS($AU$2:$AU$200,$G53)&gt;0,
     COUNTIFS($AV$2:$AV$200,$G53)&gt;0,
     COUNTIFS($AW$2:$AW$200,$G53)&gt;0,
     COUNTIFS($AX$2:$AX$200,$G53)&gt;0
   )),
  ),
  2
 ),
"")</f>
        <v/>
      </c>
      <c r="E53" s="3" t="str" cm="1">
        <f t="array" aca="1" ref="E53" ca="1">IFERROR(
 INDEX(
  _xlfn._xlws.FILTER($U$1:$AX$1,
   TRANSPOSE(
    CHOOSE({1;2;3;4;5;6;7;8;9;10;11;12;13;14;15;16;17;18;19;20;21;22;23;24;25;26;27;28;29;30},
     COUNTIFS($U$2:$U$200,$G53)&gt;0,
     COUNTIFS($V$2:$V$200,$G53)&gt;0,
     COUNTIFS($W$2:$W$200,$G53)&gt;0,
     COUNTIFS($X$2:$X$200,$G53)&gt;0,
     COUNTIFS($Y$2:$Y$200,$G53)&gt;0,
     COUNTIFS($Z$2:$Z$200,$G53)&gt;0,
     COUNTIFS($AA$2:$AA$200,$G53)&gt;0,
     COUNTIFS($AB$2:$AB$200,$G53)&gt;0,
     COUNTIFS($AC$2:$AC$200,$G53)&gt;0,
     COUNTIFS($AD$2:$AD$200,$G53)&gt;0,
     COUNTIFS($AE$2:$AE$200,$G53)&gt;0,
     COUNTIFS($AF$2:$AF$200,$G53)&gt;0,
     COUNTIFS($AG$2:$AG$200,$G53)&gt;0,
     COUNTIFS($AH$2:$AH$200,$G53)&gt;0,
     COUNTIFS($AI$2:$AI$200,$G53)&gt;0,
     COUNTIFS($AJ$2:$AJ$200,$G53)&gt;0,
     COUNTIFS($AK$2:$AK$200,$G53)&gt;0,
     COUNTIFS($AL$2:$AL$200,$G53)&gt;0,
     COUNTIFS($AM$2:$AM$200,$G53)&gt;0,
     COUNTIFS($AN$2:$AN$200,$G53)&gt;0,
     COUNTIFS($AO$2:$AO$200,$G53)&gt;0,
     COUNTIFS($AP$2:$AP$200,$G53)&gt;0,
     COUNTIFS($AQ$2:$AQ$200,$G53)&gt;0,
     COUNTIFS($AR$2:$AR$200,$G53)&gt;0,
     COUNTIFS($AS$2:$AS$200,$G53)&gt;0,
     COUNTIFS($AT$2:$AT$200,$G53)&gt;0,
     COUNTIFS($AU$2:$AU$200,$G53)&gt;0,
     COUNTIFS($AV$2:$AV$200,$G53)&gt;0,
     COUNTIFS($AW$2:$AW$200,$G53)&gt;0,
     COUNTIFS($AX$2:$AX$200,$G53)&gt;0
   )),
  ),
  3
 ),
"")</f>
        <v/>
      </c>
      <c r="F53" s="3" t="str" cm="1">
        <f t="array" aca="1" ref="F53" ca="1">IFERROR(
 INDEX(
  _xlfn._xlws.FILTER($U$1:$AX$1,
   TRANSPOSE(
    CHOOSE({1;2;3;4;5;6;7;8;9;10;11;12;13;14;15;16;17;18;19;20;21;22;23;24;25;26;27;28;29;30},
     COUNTIFS($U$2:$U$200,$G53)&gt;0,
     COUNTIFS($V$2:$V$200,$G53)&gt;0,
     COUNTIFS($W$2:$W$200,$G53)&gt;0,
     COUNTIFS($X$2:$X$200,$G53)&gt;0,
     COUNTIFS($Y$2:$Y$200,$G53)&gt;0,
     COUNTIFS($Z$2:$Z$200,$G53)&gt;0,
     COUNTIFS($AA$2:$AA$200,$G53)&gt;0,
     COUNTIFS($AB$2:$AB$200,$G53)&gt;0,
     COUNTIFS($AC$2:$AC$200,$G53)&gt;0,
     COUNTIFS($AD$2:$AD$200,$G53)&gt;0,
     COUNTIFS($AE$2:$AE$200,$G53)&gt;0,
     COUNTIFS($AF$2:$AF$200,$G53)&gt;0,
     COUNTIFS($AG$2:$AG$200,$G53)&gt;0,
     COUNTIFS($AH$2:$AH$200,$G53)&gt;0,
     COUNTIFS($AI$2:$AI$200,$G53)&gt;0,
     COUNTIFS($AJ$2:$AJ$200,$G53)&gt;0,
     COUNTIFS($AK$2:$AK$200,$G53)&gt;0,
     COUNTIFS($AL$2:$AL$200,$G53)&gt;0,
     COUNTIFS($AM$2:$AM$200,$G53)&gt;0,
     COUNTIFS($AN$2:$AN$200,$G53)&gt;0,
     COUNTIFS($AO$2:$AO$200,$G53)&gt;0,
     COUNTIFS($AP$2:$AP$200,$G53)&gt;0,
     COUNTIFS($AQ$2:$AQ$200,$G53)&gt;0,
     COUNTIFS($AR$2:$AR$200,$G53)&gt;0,
     COUNTIFS($AS$2:$AS$200,$G53)&gt;0,
     COUNTIFS($AT$2:$AT$200,$G53)&gt;0,
     COUNTIFS($AU$2:$AU$200,$G53)&gt;0,
     COUNTIFS($AV$2:$AV$200,$G53)&gt;0,
     COUNTIFS($AW$2:$AW$200,$G53)&gt;0,
     COUNTIFS($AX$2:$AX$200,$G53)&gt;0
   )),
  ),
  4
 ),
"")</f>
        <v/>
      </c>
      <c r="G53" t="str">
        <f ca="1"/>
        <v>Crisol dos Mundos</v>
      </c>
      <c r="BC53" t="str">
        <f ca="1"/>
        <v>Tayam, Luminous Enigma</v>
      </c>
      <c r="BS53" t="str">
        <f ca="1"/>
        <v>Mines of Moria</v>
      </c>
      <c r="BT53" t="str">
        <f ca="1"/>
        <v>Takenuma, Charco Abandonado</v>
      </c>
      <c r="CB53" t="str">
        <f ca="1"/>
        <v>Grave Pact</v>
      </c>
      <c r="CC53" t="str">
        <f ca="1"/>
        <v>Oko, Thief of Crowns</v>
      </c>
      <c r="CD53" t="str">
        <f ca="1"/>
        <v>Zagoth Triome</v>
      </c>
      <c r="CE53" t="str">
        <f ca="1"/>
        <v>Thornglint Bridge</v>
      </c>
      <c r="CG53" t="str">
        <f ca="1"/>
        <v>Espada da Riqueza e do Poder</v>
      </c>
      <c r="CH53" t="str">
        <f ca="1"/>
        <v>Nibelheim Aflame</v>
      </c>
      <c r="CJ53" t="str">
        <f ca="1"/>
        <v>Crisol dos Mundos</v>
      </c>
    </row>
    <row r="54" spans="1:88" x14ac:dyDescent="0.25">
      <c r="A54" s="3" t="str">
        <f t="shared" ca="1" si="0"/>
        <v>2</v>
      </c>
      <c r="B54" s="3">
        <f t="shared" ca="1" si="1"/>
        <v>1</v>
      </c>
      <c r="C54" s="3" t="str">
        <f ca="1">IFERROR(
 INDEX($U$1:$AX$1,
  MATCH(TRUE,
   CHOOSE({1;2;3;4;5;6;7;8;9;10;11;12;13;14;15;16;17;18;19;20;21;22;23;24;25;26;27;28;29;30;31;32},
    COUNTIFS($U$2:$U$200,$G54)&gt;0,
    COUNTIFS($V$2:$V$200,$G54)&gt;0,
    COUNTIFS($W$2:$W$200,$G54)&gt;0,
    COUNTIFS($X$2:$X$200,$G54)&gt;0,
    COUNTIFS($Y$2:$Y$200,$G54)&gt;0,
    COUNTIFS($Z$2:$Z$200,$G54)&gt;0,
    COUNTIFS($AA$2:$AA$200,$G54)&gt;0,
    COUNTIFS($AB$2:$AB$200,$G54)&gt;0,
    COUNTIFS($AC$2:$AC$200,$G54)&gt;0,
    COUNTIFS($AD$2:$AD$200,$G54)&gt;0,
    COUNTIFS($AE$2:$AE$200,$G54)&gt;0,
    COUNTIFS($AF$2:$AF$200,$G54)&gt;0,
    COUNTIFS($AG$2:$AG$200,$G54)&gt;0,
    COUNTIFS($AH$2:$AH$200,$G54)&gt;0,
    COUNTIFS($AI$2:$AI$200,$G54)&gt;0,
    COUNTIFS($AJ$2:$AJ$200,$G54)&gt;0,
    COUNTIFS($AK$2:$AK$200,$G54)&gt;0,
    COUNTIFS($AL$2:$AL$200,$G54)&gt;0,
    COUNTIFS($AM$2:$AM$200,$G54)&gt;0,
    COUNTIFS($AN$2:$AN$200,$G54)&gt;0,
    COUNTIFS($AO$2:$AO$200,$G54)&gt;0,
    COUNTIFS($AP$2:$AP$200,$G54)&gt;0,
    COUNTIFS($AQ$2:$AQ$200,$G54)&gt;0,
    COUNTIFS($AR$2:$AR$200,$G54)&gt;0,
    COUNTIFS($AS$2:$AS$200,$G54)&gt;0,
    COUNTIFS($AT$2:$AT$200,$G54)&gt;0,
    COUNTIFS($AU$2:$AU$200,$G54)&gt;0,
    COUNTIFS($AV$2:$AV$200,$G54)&gt;0,
    COUNTIFS($AW$2:$AW$200,$G54)&gt;0,
    COUNTIFS($AX$2:$AX$200,$G54)&gt;0
   ),
  0)
 ),
"")</f>
        <v>Rani</v>
      </c>
      <c r="D54" s="3" t="str" cm="1">
        <f t="array" aca="1" ref="D54" ca="1">IFERROR(
 INDEX(
  _xlfn._xlws.FILTER($U$1:$AX$1,
   TRANSPOSE(
    CHOOSE({1;2;3;4;5;6;7;8;9;10;11;12;13;14;15;16;17;18;19;20;21;22;23;24;25;26;27;28;29;30},
     COUNTIFS($U$2:$U$200,$G54)&gt;0,
     COUNTIFS($V$2:$V$200,$G54)&gt;0,
     COUNTIFS($W$2:$W$200,$G54)&gt;0,
     COUNTIFS($X$2:$X$200,$G54)&gt;0,
     COUNTIFS($Y$2:$Y$200,$G54)&gt;0,
     COUNTIFS($Z$2:$Z$200,$G54)&gt;0,
     COUNTIFS($AA$2:$AA$200,$G54)&gt;0,
     COUNTIFS($AB$2:$AB$200,$G54)&gt;0,
     COUNTIFS($AC$2:$AC$200,$G54)&gt;0,
     COUNTIFS($AD$2:$AD$200,$G54)&gt;0,
     COUNTIFS($AE$2:$AE$200,$G54)&gt;0,
     COUNTIFS($AF$2:$AF$200,$G54)&gt;0,
     COUNTIFS($AG$2:$AG$200,$G54)&gt;0,
     COUNTIFS($AH$2:$AH$200,$G54)&gt;0,
     COUNTIFS($AI$2:$AI$200,$G54)&gt;0,
     COUNTIFS($AJ$2:$AJ$200,$G54)&gt;0,
     COUNTIFS($AK$2:$AK$200,$G54)&gt;0,
     COUNTIFS($AL$2:$AL$200,$G54)&gt;0,
     COUNTIFS($AM$2:$AM$200,$G54)&gt;0,
     COUNTIFS($AN$2:$AN$200,$G54)&gt;0,
     COUNTIFS($AO$2:$AO$200,$G54)&gt;0,
     COUNTIFS($AP$2:$AP$200,$G54)&gt;0,
     COUNTIFS($AQ$2:$AQ$200,$G54)&gt;0,
     COUNTIFS($AR$2:$AR$200,$G54)&gt;0,
     COUNTIFS($AS$2:$AS$200,$G54)&gt;0,
     COUNTIFS($AT$2:$AT$200,$G54)&gt;0,
     COUNTIFS($AU$2:$AU$200,$G54)&gt;0,
     COUNTIFS($AV$2:$AV$200,$G54)&gt;0,
     COUNTIFS($AW$2:$AW$200,$G54)&gt;0,
     COUNTIFS($AX$2:$AX$200,$G54)&gt;0
   )),
  ),
  2
 ),
"")</f>
        <v/>
      </c>
      <c r="E54" s="3" t="str" cm="1">
        <f t="array" aca="1" ref="E54" ca="1">IFERROR(
 INDEX(
  _xlfn._xlws.FILTER($U$1:$AX$1,
   TRANSPOSE(
    CHOOSE({1;2;3;4;5;6;7;8;9;10;11;12;13;14;15;16;17;18;19;20;21;22;23;24;25;26;27;28;29;30},
     COUNTIFS($U$2:$U$200,$G54)&gt;0,
     COUNTIFS($V$2:$V$200,$G54)&gt;0,
     COUNTIFS($W$2:$W$200,$G54)&gt;0,
     COUNTIFS($X$2:$X$200,$G54)&gt;0,
     COUNTIFS($Y$2:$Y$200,$G54)&gt;0,
     COUNTIFS($Z$2:$Z$200,$G54)&gt;0,
     COUNTIFS($AA$2:$AA$200,$G54)&gt;0,
     COUNTIFS($AB$2:$AB$200,$G54)&gt;0,
     COUNTIFS($AC$2:$AC$200,$G54)&gt;0,
     COUNTIFS($AD$2:$AD$200,$G54)&gt;0,
     COUNTIFS($AE$2:$AE$200,$G54)&gt;0,
     COUNTIFS($AF$2:$AF$200,$G54)&gt;0,
     COUNTIFS($AG$2:$AG$200,$G54)&gt;0,
     COUNTIFS($AH$2:$AH$200,$G54)&gt;0,
     COUNTIFS($AI$2:$AI$200,$G54)&gt;0,
     COUNTIFS($AJ$2:$AJ$200,$G54)&gt;0,
     COUNTIFS($AK$2:$AK$200,$G54)&gt;0,
     COUNTIFS($AL$2:$AL$200,$G54)&gt;0,
     COUNTIFS($AM$2:$AM$200,$G54)&gt;0,
     COUNTIFS($AN$2:$AN$200,$G54)&gt;0,
     COUNTIFS($AO$2:$AO$200,$G54)&gt;0,
     COUNTIFS($AP$2:$AP$200,$G54)&gt;0,
     COUNTIFS($AQ$2:$AQ$200,$G54)&gt;0,
     COUNTIFS($AR$2:$AR$200,$G54)&gt;0,
     COUNTIFS($AS$2:$AS$200,$G54)&gt;0,
     COUNTIFS($AT$2:$AT$200,$G54)&gt;0,
     COUNTIFS($AU$2:$AU$200,$G54)&gt;0,
     COUNTIFS($AV$2:$AV$200,$G54)&gt;0,
     COUNTIFS($AW$2:$AW$200,$G54)&gt;0,
     COUNTIFS($AX$2:$AX$200,$G54)&gt;0
   )),
  ),
  3
 ),
"")</f>
        <v/>
      </c>
      <c r="F54" s="3" t="str" cm="1">
        <f t="array" aca="1" ref="F54" ca="1">IFERROR(
 INDEX(
  _xlfn._xlws.FILTER($U$1:$AX$1,
   TRANSPOSE(
    CHOOSE({1;2;3;4;5;6;7;8;9;10;11;12;13;14;15;16;17;18;19;20;21;22;23;24;25;26;27;28;29;30},
     COUNTIFS($U$2:$U$200,$G54)&gt;0,
     COUNTIFS($V$2:$V$200,$G54)&gt;0,
     COUNTIFS($W$2:$W$200,$G54)&gt;0,
     COUNTIFS($X$2:$X$200,$G54)&gt;0,
     COUNTIFS($Y$2:$Y$200,$G54)&gt;0,
     COUNTIFS($Z$2:$Z$200,$G54)&gt;0,
     COUNTIFS($AA$2:$AA$200,$G54)&gt;0,
     COUNTIFS($AB$2:$AB$200,$G54)&gt;0,
     COUNTIFS($AC$2:$AC$200,$G54)&gt;0,
     COUNTIFS($AD$2:$AD$200,$G54)&gt;0,
     COUNTIFS($AE$2:$AE$200,$G54)&gt;0,
     COUNTIFS($AF$2:$AF$200,$G54)&gt;0,
     COUNTIFS($AG$2:$AG$200,$G54)&gt;0,
     COUNTIFS($AH$2:$AH$200,$G54)&gt;0,
     COUNTIFS($AI$2:$AI$200,$G54)&gt;0,
     COUNTIFS($AJ$2:$AJ$200,$G54)&gt;0,
     COUNTIFS($AK$2:$AK$200,$G54)&gt;0,
     COUNTIFS($AL$2:$AL$200,$G54)&gt;0,
     COUNTIFS($AM$2:$AM$200,$G54)&gt;0,
     COUNTIFS($AN$2:$AN$200,$G54)&gt;0,
     COUNTIFS($AO$2:$AO$200,$G54)&gt;0,
     COUNTIFS($AP$2:$AP$200,$G54)&gt;0,
     COUNTIFS($AQ$2:$AQ$200,$G54)&gt;0,
     COUNTIFS($AR$2:$AR$200,$G54)&gt;0,
     COUNTIFS($AS$2:$AS$200,$G54)&gt;0,
     COUNTIFS($AT$2:$AT$200,$G54)&gt;0,
     COUNTIFS($AU$2:$AU$200,$G54)&gt;0,
     COUNTIFS($AV$2:$AV$200,$G54)&gt;0,
     COUNTIFS($AW$2:$AW$200,$G54)&gt;0,
     COUNTIFS($AX$2:$AX$200,$G54)&gt;0
   )),
  ),
  4
 ),
"")</f>
        <v/>
      </c>
      <c r="G54" t="str">
        <f ca="1"/>
        <v>Cyber Conversion</v>
      </c>
      <c r="BC54" t="str">
        <f ca="1"/>
        <v>Terrasymbiosis</v>
      </c>
      <c r="BS54" t="str">
        <f ca="1"/>
        <v>Monastery Siege</v>
      </c>
      <c r="BT54" t="str">
        <f ca="1"/>
        <v>Teferi's Ageless Insight</v>
      </c>
      <c r="CB54" t="str">
        <f ca="1"/>
        <v>Guia das Almas</v>
      </c>
      <c r="CC54" t="str">
        <f ca="1"/>
        <v>Petrified Field</v>
      </c>
      <c r="CE54" t="str">
        <f ca="1"/>
        <v>Tireless Provisioner</v>
      </c>
      <c r="CG54" t="str">
        <f ca="1"/>
        <v>Espada de Banquete e Fome</v>
      </c>
      <c r="CH54" t="str">
        <f ca="1"/>
        <v>Nissa, Resurgent Animist</v>
      </c>
      <c r="CJ54" t="str">
        <f ca="1"/>
        <v>Cyber Conversion</v>
      </c>
    </row>
    <row r="55" spans="1:88" x14ac:dyDescent="0.25">
      <c r="A55" s="3" t="str">
        <f t="shared" ca="1" si="0"/>
        <v>5</v>
      </c>
      <c r="B55" s="3">
        <f t="shared" ca="1" si="1"/>
        <v>1</v>
      </c>
      <c r="C55" s="3" t="str">
        <f ca="1">IFERROR(
 INDEX($U$1:$AX$1,
  MATCH(TRUE,
   CHOOSE({1;2;3;4;5;6;7;8;9;10;11;12;13;14;15;16;17;18;19;20;21;22;23;24;25;26;27;28;29;30;31;32},
    COUNTIFS($U$2:$U$200,$G55)&gt;0,
    COUNTIFS($V$2:$V$200,$G55)&gt;0,
    COUNTIFS($W$2:$W$200,$G55)&gt;0,
    COUNTIFS($X$2:$X$200,$G55)&gt;0,
    COUNTIFS($Y$2:$Y$200,$G55)&gt;0,
    COUNTIFS($Z$2:$Z$200,$G55)&gt;0,
    COUNTIFS($AA$2:$AA$200,$G55)&gt;0,
    COUNTIFS($AB$2:$AB$200,$G55)&gt;0,
    COUNTIFS($AC$2:$AC$200,$G55)&gt;0,
    COUNTIFS($AD$2:$AD$200,$G55)&gt;0,
    COUNTIFS($AE$2:$AE$200,$G55)&gt;0,
    COUNTIFS($AF$2:$AF$200,$G55)&gt;0,
    COUNTIFS($AG$2:$AG$200,$G55)&gt;0,
    COUNTIFS($AH$2:$AH$200,$G55)&gt;0,
    COUNTIFS($AI$2:$AI$200,$G55)&gt;0,
    COUNTIFS($AJ$2:$AJ$200,$G55)&gt;0,
    COUNTIFS($AK$2:$AK$200,$G55)&gt;0,
    COUNTIFS($AL$2:$AL$200,$G55)&gt;0,
    COUNTIFS($AM$2:$AM$200,$G55)&gt;0,
    COUNTIFS($AN$2:$AN$200,$G55)&gt;0,
    COUNTIFS($AO$2:$AO$200,$G55)&gt;0,
    COUNTIFS($AP$2:$AP$200,$G55)&gt;0,
    COUNTIFS($AQ$2:$AQ$200,$G55)&gt;0,
    COUNTIFS($AR$2:$AR$200,$G55)&gt;0,
    COUNTIFS($AS$2:$AS$200,$G55)&gt;0,
    COUNTIFS($AT$2:$AT$200,$G55)&gt;0,
    COUNTIFS($AU$2:$AU$200,$G55)&gt;0,
    COUNTIFS($AV$2:$AV$200,$G55)&gt;0,
    COUNTIFS($AW$2:$AW$200,$G55)&gt;0,
    COUNTIFS($AX$2:$AX$200,$G55)&gt;0
   ),
  0)
 ),
"")</f>
        <v>Breya</v>
      </c>
      <c r="D55" s="3" t="str" cm="1">
        <f t="array" aca="1" ref="D55" ca="1">IFERROR(
 INDEX(
  _xlfn._xlws.FILTER($U$1:$AX$1,
   TRANSPOSE(
    CHOOSE({1;2;3;4;5;6;7;8;9;10;11;12;13;14;15;16;17;18;19;20;21;22;23;24;25;26;27;28;29;30},
     COUNTIFS($U$2:$U$200,$G55)&gt;0,
     COUNTIFS($V$2:$V$200,$G55)&gt;0,
     COUNTIFS($W$2:$W$200,$G55)&gt;0,
     COUNTIFS($X$2:$X$200,$G55)&gt;0,
     COUNTIFS($Y$2:$Y$200,$G55)&gt;0,
     COUNTIFS($Z$2:$Z$200,$G55)&gt;0,
     COUNTIFS($AA$2:$AA$200,$G55)&gt;0,
     COUNTIFS($AB$2:$AB$200,$G55)&gt;0,
     COUNTIFS($AC$2:$AC$200,$G55)&gt;0,
     COUNTIFS($AD$2:$AD$200,$G55)&gt;0,
     COUNTIFS($AE$2:$AE$200,$G55)&gt;0,
     COUNTIFS($AF$2:$AF$200,$G55)&gt;0,
     COUNTIFS($AG$2:$AG$200,$G55)&gt;0,
     COUNTIFS($AH$2:$AH$200,$G55)&gt;0,
     COUNTIFS($AI$2:$AI$200,$G55)&gt;0,
     COUNTIFS($AJ$2:$AJ$200,$G55)&gt;0,
     COUNTIFS($AK$2:$AK$200,$G55)&gt;0,
     COUNTIFS($AL$2:$AL$200,$G55)&gt;0,
     COUNTIFS($AM$2:$AM$200,$G55)&gt;0,
     COUNTIFS($AN$2:$AN$200,$G55)&gt;0,
     COUNTIFS($AO$2:$AO$200,$G55)&gt;0,
     COUNTIFS($AP$2:$AP$200,$G55)&gt;0,
     COUNTIFS($AQ$2:$AQ$200,$G55)&gt;0,
     COUNTIFS($AR$2:$AR$200,$G55)&gt;0,
     COUNTIFS($AS$2:$AS$200,$G55)&gt;0,
     COUNTIFS($AT$2:$AT$200,$G55)&gt;0,
     COUNTIFS($AU$2:$AU$200,$G55)&gt;0,
     COUNTIFS($AV$2:$AV$200,$G55)&gt;0,
     COUNTIFS($AW$2:$AW$200,$G55)&gt;0,
     COUNTIFS($AX$2:$AX$200,$G55)&gt;0
   )),
  ),
  2
 ),
"")</f>
        <v/>
      </c>
      <c r="E55" s="3" t="str" cm="1">
        <f t="array" aca="1" ref="E55" ca="1">IFERROR(
 INDEX(
  _xlfn._xlws.FILTER($U$1:$AX$1,
   TRANSPOSE(
    CHOOSE({1;2;3;4;5;6;7;8;9;10;11;12;13;14;15;16;17;18;19;20;21;22;23;24;25;26;27;28;29;30},
     COUNTIFS($U$2:$U$200,$G55)&gt;0,
     COUNTIFS($V$2:$V$200,$G55)&gt;0,
     COUNTIFS($W$2:$W$200,$G55)&gt;0,
     COUNTIFS($X$2:$X$200,$G55)&gt;0,
     COUNTIFS($Y$2:$Y$200,$G55)&gt;0,
     COUNTIFS($Z$2:$Z$200,$G55)&gt;0,
     COUNTIFS($AA$2:$AA$200,$G55)&gt;0,
     COUNTIFS($AB$2:$AB$200,$G55)&gt;0,
     COUNTIFS($AC$2:$AC$200,$G55)&gt;0,
     COUNTIFS($AD$2:$AD$200,$G55)&gt;0,
     COUNTIFS($AE$2:$AE$200,$G55)&gt;0,
     COUNTIFS($AF$2:$AF$200,$G55)&gt;0,
     COUNTIFS($AG$2:$AG$200,$G55)&gt;0,
     COUNTIFS($AH$2:$AH$200,$G55)&gt;0,
     COUNTIFS($AI$2:$AI$200,$G55)&gt;0,
     COUNTIFS($AJ$2:$AJ$200,$G55)&gt;0,
     COUNTIFS($AK$2:$AK$200,$G55)&gt;0,
     COUNTIFS($AL$2:$AL$200,$G55)&gt;0,
     COUNTIFS($AM$2:$AM$200,$G55)&gt;0,
     COUNTIFS($AN$2:$AN$200,$G55)&gt;0,
     COUNTIFS($AO$2:$AO$200,$G55)&gt;0,
     COUNTIFS($AP$2:$AP$200,$G55)&gt;0,
     COUNTIFS($AQ$2:$AQ$200,$G55)&gt;0,
     COUNTIFS($AR$2:$AR$200,$G55)&gt;0,
     COUNTIFS($AS$2:$AS$200,$G55)&gt;0,
     COUNTIFS($AT$2:$AT$200,$G55)&gt;0,
     COUNTIFS($AU$2:$AU$200,$G55)&gt;0,
     COUNTIFS($AV$2:$AV$200,$G55)&gt;0,
     COUNTIFS($AW$2:$AW$200,$G55)&gt;0,
     COUNTIFS($AX$2:$AX$200,$G55)&gt;0
   )),
  ),
  3
 ),
"")</f>
        <v/>
      </c>
      <c r="F55" s="3" t="str" cm="1">
        <f t="array" aca="1" ref="F55" ca="1">IFERROR(
 INDEX(
  _xlfn._xlws.FILTER($U$1:$AX$1,
   TRANSPOSE(
    CHOOSE({1;2;3;4;5;6;7;8;9;10;11;12;13;14;15;16;17;18;19;20;21;22;23;24;25;26;27;28;29;30},
     COUNTIFS($U$2:$U$200,$G55)&gt;0,
     COUNTIFS($V$2:$V$200,$G55)&gt;0,
     COUNTIFS($W$2:$W$200,$G55)&gt;0,
     COUNTIFS($X$2:$X$200,$G55)&gt;0,
     COUNTIFS($Y$2:$Y$200,$G55)&gt;0,
     COUNTIFS($Z$2:$Z$200,$G55)&gt;0,
     COUNTIFS($AA$2:$AA$200,$G55)&gt;0,
     COUNTIFS($AB$2:$AB$200,$G55)&gt;0,
     COUNTIFS($AC$2:$AC$200,$G55)&gt;0,
     COUNTIFS($AD$2:$AD$200,$G55)&gt;0,
     COUNTIFS($AE$2:$AE$200,$G55)&gt;0,
     COUNTIFS($AF$2:$AF$200,$G55)&gt;0,
     COUNTIFS($AG$2:$AG$200,$G55)&gt;0,
     COUNTIFS($AH$2:$AH$200,$G55)&gt;0,
     COUNTIFS($AI$2:$AI$200,$G55)&gt;0,
     COUNTIFS($AJ$2:$AJ$200,$G55)&gt;0,
     COUNTIFS($AK$2:$AK$200,$G55)&gt;0,
     COUNTIFS($AL$2:$AL$200,$G55)&gt;0,
     COUNTIFS($AM$2:$AM$200,$G55)&gt;0,
     COUNTIFS($AN$2:$AN$200,$G55)&gt;0,
     COUNTIFS($AO$2:$AO$200,$G55)&gt;0,
     COUNTIFS($AP$2:$AP$200,$G55)&gt;0,
     COUNTIFS($AQ$2:$AQ$200,$G55)&gt;0,
     COUNTIFS($AR$2:$AR$200,$G55)&gt;0,
     COUNTIFS($AS$2:$AS$200,$G55)&gt;0,
     COUNTIFS($AT$2:$AT$200,$G55)&gt;0,
     COUNTIFS($AU$2:$AU$200,$G55)&gt;0,
     COUNTIFS($AV$2:$AV$200,$G55)&gt;0,
     COUNTIFS($AW$2:$AW$200,$G55)&gt;0,
     COUNTIFS($AX$2:$AX$200,$G55)&gt;0
   )),
  ),
  4
 ),
"")</f>
        <v/>
      </c>
      <c r="G55" t="str">
        <f ca="1"/>
        <v>Daretti, Ingenious Iconoclast</v>
      </c>
      <c r="BC55" t="str">
        <f ca="1"/>
        <v>The Water Crystal</v>
      </c>
      <c r="BS55" t="str">
        <f ca="1"/>
        <v>Ozolith, the Shattered Spire</v>
      </c>
      <c r="BT55" t="str">
        <f ca="1"/>
        <v>Thought Vessel</v>
      </c>
      <c r="CB55" t="str">
        <f ca="1"/>
        <v>Gyre Sage</v>
      </c>
      <c r="CC55" t="str">
        <f ca="1"/>
        <v>Phyrexian Tower</v>
      </c>
      <c r="CE55" t="str">
        <f ca="1"/>
        <v>Toph, the Blind Bandit</v>
      </c>
      <c r="CG55" t="str">
        <f ca="1"/>
        <v>Espada de Fogo e Gelo</v>
      </c>
      <c r="CH55" t="str">
        <f ca="1"/>
        <v>Obelisco de Obsidiana</v>
      </c>
      <c r="CJ55" t="str">
        <f ca="1"/>
        <v>Daretti, Ingenious Iconoclast</v>
      </c>
    </row>
    <row r="56" spans="1:88" x14ac:dyDescent="0.25">
      <c r="A56" s="3" t="str">
        <f t="shared" ca="1" si="0"/>
        <v>2</v>
      </c>
      <c r="B56" s="3">
        <f t="shared" ca="1" si="1"/>
        <v>1</v>
      </c>
      <c r="C56" s="3" t="str">
        <f ca="1">IFERROR(
 INDEX($U$1:$AX$1,
  MATCH(TRUE,
   CHOOSE({1;2;3;4;5;6;7;8;9;10;11;12;13;14;15;16;17;18;19;20;21;22;23;24;25;26;27;28;29;30;31;32},
    COUNTIFS($U$2:$U$200,$G56)&gt;0,
    COUNTIFS($V$2:$V$200,$G56)&gt;0,
    COUNTIFS($W$2:$W$200,$G56)&gt;0,
    COUNTIFS($X$2:$X$200,$G56)&gt;0,
    COUNTIFS($Y$2:$Y$200,$G56)&gt;0,
    COUNTIFS($Z$2:$Z$200,$G56)&gt;0,
    COUNTIFS($AA$2:$AA$200,$G56)&gt;0,
    COUNTIFS($AB$2:$AB$200,$G56)&gt;0,
    COUNTIFS($AC$2:$AC$200,$G56)&gt;0,
    COUNTIFS($AD$2:$AD$200,$G56)&gt;0,
    COUNTIFS($AE$2:$AE$200,$G56)&gt;0,
    COUNTIFS($AF$2:$AF$200,$G56)&gt;0,
    COUNTIFS($AG$2:$AG$200,$G56)&gt;0,
    COUNTIFS($AH$2:$AH$200,$G56)&gt;0,
    COUNTIFS($AI$2:$AI$200,$G56)&gt;0,
    COUNTIFS($AJ$2:$AJ$200,$G56)&gt;0,
    COUNTIFS($AK$2:$AK$200,$G56)&gt;0,
    COUNTIFS($AL$2:$AL$200,$G56)&gt;0,
    COUNTIFS($AM$2:$AM$200,$G56)&gt;0,
    COUNTIFS($AN$2:$AN$200,$G56)&gt;0,
    COUNTIFS($AO$2:$AO$200,$G56)&gt;0,
    COUNTIFS($AP$2:$AP$200,$G56)&gt;0,
    COUNTIFS($AQ$2:$AQ$200,$G56)&gt;0,
    COUNTIFS($AR$2:$AR$200,$G56)&gt;0,
    COUNTIFS($AS$2:$AS$200,$G56)&gt;0,
    COUNTIFS($AT$2:$AT$200,$G56)&gt;0,
    COUNTIFS($AU$2:$AU$200,$G56)&gt;0,
    COUNTIFS($AV$2:$AV$200,$G56)&gt;0,
    COUNTIFS($AW$2:$AW$200,$G56)&gt;0,
    COUNTIFS($AX$2:$AX$200,$G56)&gt;0
   ),
  0)
 ),
"")</f>
        <v>Kumena</v>
      </c>
      <c r="D56" s="3" t="str" cm="1">
        <f t="array" aca="1" ref="D56" ca="1">IFERROR(
 INDEX(
  _xlfn._xlws.FILTER($U$1:$AX$1,
   TRANSPOSE(
    CHOOSE({1;2;3;4;5;6;7;8;9;10;11;12;13;14;15;16;17;18;19;20;21;22;23;24;25;26;27;28;29;30},
     COUNTIFS($U$2:$U$200,$G56)&gt;0,
     COUNTIFS($V$2:$V$200,$G56)&gt;0,
     COUNTIFS($W$2:$W$200,$G56)&gt;0,
     COUNTIFS($X$2:$X$200,$G56)&gt;0,
     COUNTIFS($Y$2:$Y$200,$G56)&gt;0,
     COUNTIFS($Z$2:$Z$200,$G56)&gt;0,
     COUNTIFS($AA$2:$AA$200,$G56)&gt;0,
     COUNTIFS($AB$2:$AB$200,$G56)&gt;0,
     COUNTIFS($AC$2:$AC$200,$G56)&gt;0,
     COUNTIFS($AD$2:$AD$200,$G56)&gt;0,
     COUNTIFS($AE$2:$AE$200,$G56)&gt;0,
     COUNTIFS($AF$2:$AF$200,$G56)&gt;0,
     COUNTIFS($AG$2:$AG$200,$G56)&gt;0,
     COUNTIFS($AH$2:$AH$200,$G56)&gt;0,
     COUNTIFS($AI$2:$AI$200,$G56)&gt;0,
     COUNTIFS($AJ$2:$AJ$200,$G56)&gt;0,
     COUNTIFS($AK$2:$AK$200,$G56)&gt;0,
     COUNTIFS($AL$2:$AL$200,$G56)&gt;0,
     COUNTIFS($AM$2:$AM$200,$G56)&gt;0,
     COUNTIFS($AN$2:$AN$200,$G56)&gt;0,
     COUNTIFS($AO$2:$AO$200,$G56)&gt;0,
     COUNTIFS($AP$2:$AP$200,$G56)&gt;0,
     COUNTIFS($AQ$2:$AQ$200,$G56)&gt;0,
     COUNTIFS($AR$2:$AR$200,$G56)&gt;0,
     COUNTIFS($AS$2:$AS$200,$G56)&gt;0,
     COUNTIFS($AT$2:$AT$200,$G56)&gt;0,
     COUNTIFS($AU$2:$AU$200,$G56)&gt;0,
     COUNTIFS($AV$2:$AV$200,$G56)&gt;0,
     COUNTIFS($AW$2:$AW$200,$G56)&gt;0,
     COUNTIFS($AX$2:$AX$200,$G56)&gt;0
   )),
  ),
  2
 ),
"")</f>
        <v/>
      </c>
      <c r="E56" s="3" t="str" cm="1">
        <f t="array" aca="1" ref="E56" ca="1">IFERROR(
 INDEX(
  _xlfn._xlws.FILTER($U$1:$AX$1,
   TRANSPOSE(
    CHOOSE({1;2;3;4;5;6;7;8;9;10;11;12;13;14;15;16;17;18;19;20;21;22;23;24;25;26;27;28;29;30},
     COUNTIFS($U$2:$U$200,$G56)&gt;0,
     COUNTIFS($V$2:$V$200,$G56)&gt;0,
     COUNTIFS($W$2:$W$200,$G56)&gt;0,
     COUNTIFS($X$2:$X$200,$G56)&gt;0,
     COUNTIFS($Y$2:$Y$200,$G56)&gt;0,
     COUNTIFS($Z$2:$Z$200,$G56)&gt;0,
     COUNTIFS($AA$2:$AA$200,$G56)&gt;0,
     COUNTIFS($AB$2:$AB$200,$G56)&gt;0,
     COUNTIFS($AC$2:$AC$200,$G56)&gt;0,
     COUNTIFS($AD$2:$AD$200,$G56)&gt;0,
     COUNTIFS($AE$2:$AE$200,$G56)&gt;0,
     COUNTIFS($AF$2:$AF$200,$G56)&gt;0,
     COUNTIFS($AG$2:$AG$200,$G56)&gt;0,
     COUNTIFS($AH$2:$AH$200,$G56)&gt;0,
     COUNTIFS($AI$2:$AI$200,$G56)&gt;0,
     COUNTIFS($AJ$2:$AJ$200,$G56)&gt;0,
     COUNTIFS($AK$2:$AK$200,$G56)&gt;0,
     COUNTIFS($AL$2:$AL$200,$G56)&gt;0,
     COUNTIFS($AM$2:$AM$200,$G56)&gt;0,
     COUNTIFS($AN$2:$AN$200,$G56)&gt;0,
     COUNTIFS($AO$2:$AO$200,$G56)&gt;0,
     COUNTIFS($AP$2:$AP$200,$G56)&gt;0,
     COUNTIFS($AQ$2:$AQ$200,$G56)&gt;0,
     COUNTIFS($AR$2:$AR$200,$G56)&gt;0,
     COUNTIFS($AS$2:$AS$200,$G56)&gt;0,
     COUNTIFS($AT$2:$AT$200,$G56)&gt;0,
     COUNTIFS($AU$2:$AU$200,$G56)&gt;0,
     COUNTIFS($AV$2:$AV$200,$G56)&gt;0,
     COUNTIFS($AW$2:$AW$200,$G56)&gt;0,
     COUNTIFS($AX$2:$AX$200,$G56)&gt;0
   )),
  ),
  3
 ),
"")</f>
        <v/>
      </c>
      <c r="F56" s="3" t="str" cm="1">
        <f t="array" aca="1" ref="F56" ca="1">IFERROR(
 INDEX(
  _xlfn._xlws.FILTER($U$1:$AX$1,
   TRANSPOSE(
    CHOOSE({1;2;3;4;5;6;7;8;9;10;11;12;13;14;15;16;17;18;19;20;21;22;23;24;25;26;27;28;29;30},
     COUNTIFS($U$2:$U$200,$G56)&gt;0,
     COUNTIFS($V$2:$V$200,$G56)&gt;0,
     COUNTIFS($W$2:$W$200,$G56)&gt;0,
     COUNTIFS($X$2:$X$200,$G56)&gt;0,
     COUNTIFS($Y$2:$Y$200,$G56)&gt;0,
     COUNTIFS($Z$2:$Z$200,$G56)&gt;0,
     COUNTIFS($AA$2:$AA$200,$G56)&gt;0,
     COUNTIFS($AB$2:$AB$200,$G56)&gt;0,
     COUNTIFS($AC$2:$AC$200,$G56)&gt;0,
     COUNTIFS($AD$2:$AD$200,$G56)&gt;0,
     COUNTIFS($AE$2:$AE$200,$G56)&gt;0,
     COUNTIFS($AF$2:$AF$200,$G56)&gt;0,
     COUNTIFS($AG$2:$AG$200,$G56)&gt;0,
     COUNTIFS($AH$2:$AH$200,$G56)&gt;0,
     COUNTIFS($AI$2:$AI$200,$G56)&gt;0,
     COUNTIFS($AJ$2:$AJ$200,$G56)&gt;0,
     COUNTIFS($AK$2:$AK$200,$G56)&gt;0,
     COUNTIFS($AL$2:$AL$200,$G56)&gt;0,
     COUNTIFS($AM$2:$AM$200,$G56)&gt;0,
     COUNTIFS($AN$2:$AN$200,$G56)&gt;0,
     COUNTIFS($AO$2:$AO$200,$G56)&gt;0,
     COUNTIFS($AP$2:$AP$200,$G56)&gt;0,
     COUNTIFS($AQ$2:$AQ$200,$G56)&gt;0,
     COUNTIFS($AR$2:$AR$200,$G56)&gt;0,
     COUNTIFS($AS$2:$AS$200,$G56)&gt;0,
     COUNTIFS($AT$2:$AT$200,$G56)&gt;0,
     COUNTIFS($AU$2:$AU$200,$G56)&gt;0,
     COUNTIFS($AV$2:$AV$200,$G56)&gt;0,
     COUNTIFS($AW$2:$AW$200,$G56)&gt;0,
     COUNTIFS($AX$2:$AX$200,$G56)&gt;0
   )),
  ),
  4
 ),
"")</f>
        <v/>
      </c>
      <c r="G56" t="str">
        <f ca="1"/>
        <v>Deeproot Historian</v>
      </c>
      <c r="BC56" t="str">
        <f ca="1"/>
        <v>Training Center</v>
      </c>
      <c r="BS56" t="str">
        <f ca="1"/>
        <v>Patrolling Peacemaker</v>
      </c>
      <c r="BT56" t="str">
        <f ca="1"/>
        <v>Thousand-Year Elixir</v>
      </c>
      <c r="CB56" t="str">
        <f ca="1"/>
        <v>Harvest Season</v>
      </c>
      <c r="CC56" t="str">
        <f ca="1"/>
        <v>Polluted Delta</v>
      </c>
      <c r="CE56" t="str">
        <f ca="1"/>
        <v>Toph, the First Metalbender</v>
      </c>
      <c r="CG56" t="str">
        <f ca="1"/>
        <v>Espada de Luz e Sombra</v>
      </c>
      <c r="CH56" t="str">
        <f ca="1"/>
        <v>Ojer Pakpatiq, Era Profunda</v>
      </c>
      <c r="CJ56" t="str">
        <f ca="1"/>
        <v>Deeproot Historian</v>
      </c>
    </row>
    <row r="57" spans="1:88" x14ac:dyDescent="0.25">
      <c r="A57" s="3" t="str">
        <f t="shared" ca="1" si="0"/>
        <v>3</v>
      </c>
      <c r="B57" s="3">
        <f t="shared" ca="1" si="1"/>
        <v>1</v>
      </c>
      <c r="C57" s="3" t="str">
        <f ca="1">IFERROR(
 INDEX($U$1:$AX$1,
  MATCH(TRUE,
   CHOOSE({1;2;3;4;5;6;7;8;9;10;11;12;13;14;15;16;17;18;19;20;21;22;23;24;25;26;27;28;29;30;31;32},
    COUNTIFS($U$2:$U$200,$G57)&gt;0,
    COUNTIFS($V$2:$V$200,$G57)&gt;0,
    COUNTIFS($W$2:$W$200,$G57)&gt;0,
    COUNTIFS($X$2:$X$200,$G57)&gt;0,
    COUNTIFS($Y$2:$Y$200,$G57)&gt;0,
    COUNTIFS($Z$2:$Z$200,$G57)&gt;0,
    COUNTIFS($AA$2:$AA$200,$G57)&gt;0,
    COUNTIFS($AB$2:$AB$200,$G57)&gt;0,
    COUNTIFS($AC$2:$AC$200,$G57)&gt;0,
    COUNTIFS($AD$2:$AD$200,$G57)&gt;0,
    COUNTIFS($AE$2:$AE$200,$G57)&gt;0,
    COUNTIFS($AF$2:$AF$200,$G57)&gt;0,
    COUNTIFS($AG$2:$AG$200,$G57)&gt;0,
    COUNTIFS($AH$2:$AH$200,$G57)&gt;0,
    COUNTIFS($AI$2:$AI$200,$G57)&gt;0,
    COUNTIFS($AJ$2:$AJ$200,$G57)&gt;0,
    COUNTIFS($AK$2:$AK$200,$G57)&gt;0,
    COUNTIFS($AL$2:$AL$200,$G57)&gt;0,
    COUNTIFS($AM$2:$AM$200,$G57)&gt;0,
    COUNTIFS($AN$2:$AN$200,$G57)&gt;0,
    COUNTIFS($AO$2:$AO$200,$G57)&gt;0,
    COUNTIFS($AP$2:$AP$200,$G57)&gt;0,
    COUNTIFS($AQ$2:$AQ$200,$G57)&gt;0,
    COUNTIFS($AR$2:$AR$200,$G57)&gt;0,
    COUNTIFS($AS$2:$AS$200,$G57)&gt;0,
    COUNTIFS($AT$2:$AT$200,$G57)&gt;0,
    COUNTIFS($AU$2:$AU$200,$G57)&gt;0,
    COUNTIFS($AV$2:$AV$200,$G57)&gt;0,
    COUNTIFS($AW$2:$AW$200,$G57)&gt;0,
    COUNTIFS($AX$2:$AX$200,$G57)&gt;0
   ),
  0)
 ),
"")</f>
        <v>Gritrog</v>
      </c>
      <c r="D57" s="3" t="str" cm="1">
        <f t="array" aca="1" ref="D57" ca="1">IFERROR(
 INDEX(
  _xlfn._xlws.FILTER($U$1:$AX$1,
   TRANSPOSE(
    CHOOSE({1;2;3;4;5;6;7;8;9;10;11;12;13;14;15;16;17;18;19;20;21;22;23;24;25;26;27;28;29;30},
     COUNTIFS($U$2:$U$200,$G57)&gt;0,
     COUNTIFS($V$2:$V$200,$G57)&gt;0,
     COUNTIFS($W$2:$W$200,$G57)&gt;0,
     COUNTIFS($X$2:$X$200,$G57)&gt;0,
     COUNTIFS($Y$2:$Y$200,$G57)&gt;0,
     COUNTIFS($Z$2:$Z$200,$G57)&gt;0,
     COUNTIFS($AA$2:$AA$200,$G57)&gt;0,
     COUNTIFS($AB$2:$AB$200,$G57)&gt;0,
     COUNTIFS($AC$2:$AC$200,$G57)&gt;0,
     COUNTIFS($AD$2:$AD$200,$G57)&gt;0,
     COUNTIFS($AE$2:$AE$200,$G57)&gt;0,
     COUNTIFS($AF$2:$AF$200,$G57)&gt;0,
     COUNTIFS($AG$2:$AG$200,$G57)&gt;0,
     COUNTIFS($AH$2:$AH$200,$G57)&gt;0,
     COUNTIFS($AI$2:$AI$200,$G57)&gt;0,
     COUNTIFS($AJ$2:$AJ$200,$G57)&gt;0,
     COUNTIFS($AK$2:$AK$200,$G57)&gt;0,
     COUNTIFS($AL$2:$AL$200,$G57)&gt;0,
     COUNTIFS($AM$2:$AM$200,$G57)&gt;0,
     COUNTIFS($AN$2:$AN$200,$G57)&gt;0,
     COUNTIFS($AO$2:$AO$200,$G57)&gt;0,
     COUNTIFS($AP$2:$AP$200,$G57)&gt;0,
     COUNTIFS($AQ$2:$AQ$200,$G57)&gt;0,
     COUNTIFS($AR$2:$AR$200,$G57)&gt;0,
     COUNTIFS($AS$2:$AS$200,$G57)&gt;0,
     COUNTIFS($AT$2:$AT$200,$G57)&gt;0,
     COUNTIFS($AU$2:$AU$200,$G57)&gt;0,
     COUNTIFS($AV$2:$AV$200,$G57)&gt;0,
     COUNTIFS($AW$2:$AW$200,$G57)&gt;0,
     COUNTIFS($AX$2:$AX$200,$G57)&gt;0
   )),
  ),
  2
 ),
"")</f>
        <v/>
      </c>
      <c r="E57" s="3" t="str" cm="1">
        <f t="array" aca="1" ref="E57" ca="1">IFERROR(
 INDEX(
  _xlfn._xlws.FILTER($U$1:$AX$1,
   TRANSPOSE(
    CHOOSE({1;2;3;4;5;6;7;8;9;10;11;12;13;14;15;16;17;18;19;20;21;22;23;24;25;26;27;28;29;30},
     COUNTIFS($U$2:$U$200,$G57)&gt;0,
     COUNTIFS($V$2:$V$200,$G57)&gt;0,
     COUNTIFS($W$2:$W$200,$G57)&gt;0,
     COUNTIFS($X$2:$X$200,$G57)&gt;0,
     COUNTIFS($Y$2:$Y$200,$G57)&gt;0,
     COUNTIFS($Z$2:$Z$200,$G57)&gt;0,
     COUNTIFS($AA$2:$AA$200,$G57)&gt;0,
     COUNTIFS($AB$2:$AB$200,$G57)&gt;0,
     COUNTIFS($AC$2:$AC$200,$G57)&gt;0,
     COUNTIFS($AD$2:$AD$200,$G57)&gt;0,
     COUNTIFS($AE$2:$AE$200,$G57)&gt;0,
     COUNTIFS($AF$2:$AF$200,$G57)&gt;0,
     COUNTIFS($AG$2:$AG$200,$G57)&gt;0,
     COUNTIFS($AH$2:$AH$200,$G57)&gt;0,
     COUNTIFS($AI$2:$AI$200,$G57)&gt;0,
     COUNTIFS($AJ$2:$AJ$200,$G57)&gt;0,
     COUNTIFS($AK$2:$AK$200,$G57)&gt;0,
     COUNTIFS($AL$2:$AL$200,$G57)&gt;0,
     COUNTIFS($AM$2:$AM$200,$G57)&gt;0,
     COUNTIFS($AN$2:$AN$200,$G57)&gt;0,
     COUNTIFS($AO$2:$AO$200,$G57)&gt;0,
     COUNTIFS($AP$2:$AP$200,$G57)&gt;0,
     COUNTIFS($AQ$2:$AQ$200,$G57)&gt;0,
     COUNTIFS($AR$2:$AR$200,$G57)&gt;0,
     COUNTIFS($AS$2:$AS$200,$G57)&gt;0,
     COUNTIFS($AT$2:$AT$200,$G57)&gt;0,
     COUNTIFS($AU$2:$AU$200,$G57)&gt;0,
     COUNTIFS($AV$2:$AV$200,$G57)&gt;0,
     COUNTIFS($AW$2:$AW$200,$G57)&gt;0,
     COUNTIFS($AX$2:$AX$200,$G57)&gt;0
   )),
  ),
  3
 ),
"")</f>
        <v/>
      </c>
      <c r="F57" s="3" t="str" cm="1">
        <f t="array" aca="1" ref="F57" ca="1">IFERROR(
 INDEX(
  _xlfn._xlws.FILTER($U$1:$AX$1,
   TRANSPOSE(
    CHOOSE({1;2;3;4;5;6;7;8;9;10;11;12;13;14;15;16;17;18;19;20;21;22;23;24;25;26;27;28;29;30},
     COUNTIFS($U$2:$U$200,$G57)&gt;0,
     COUNTIFS($V$2:$V$200,$G57)&gt;0,
     COUNTIFS($W$2:$W$200,$G57)&gt;0,
     COUNTIFS($X$2:$X$200,$G57)&gt;0,
     COUNTIFS($Y$2:$Y$200,$G57)&gt;0,
     COUNTIFS($Z$2:$Z$200,$G57)&gt;0,
     COUNTIFS($AA$2:$AA$200,$G57)&gt;0,
     COUNTIFS($AB$2:$AB$200,$G57)&gt;0,
     COUNTIFS($AC$2:$AC$200,$G57)&gt;0,
     COUNTIFS($AD$2:$AD$200,$G57)&gt;0,
     COUNTIFS($AE$2:$AE$200,$G57)&gt;0,
     COUNTIFS($AF$2:$AF$200,$G57)&gt;0,
     COUNTIFS($AG$2:$AG$200,$G57)&gt;0,
     COUNTIFS($AH$2:$AH$200,$G57)&gt;0,
     COUNTIFS($AI$2:$AI$200,$G57)&gt;0,
     COUNTIFS($AJ$2:$AJ$200,$G57)&gt;0,
     COUNTIFS($AK$2:$AK$200,$G57)&gt;0,
     COUNTIFS($AL$2:$AL$200,$G57)&gt;0,
     COUNTIFS($AM$2:$AM$200,$G57)&gt;0,
     COUNTIFS($AN$2:$AN$200,$G57)&gt;0,
     COUNTIFS($AO$2:$AO$200,$G57)&gt;0,
     COUNTIFS($AP$2:$AP$200,$G57)&gt;0,
     COUNTIFS($AQ$2:$AQ$200,$G57)&gt;0,
     COUNTIFS($AR$2:$AR$200,$G57)&gt;0,
     COUNTIFS($AS$2:$AS$200,$G57)&gt;0,
     COUNTIFS($AT$2:$AT$200,$G57)&gt;0,
     COUNTIFS($AU$2:$AU$200,$G57)&gt;0,
     COUNTIFS($AV$2:$AV$200,$G57)&gt;0,
     COUNTIFS($AW$2:$AW$200,$G57)&gt;0,
     COUNTIFS($AX$2:$AX$200,$G57)&gt;0
   )),
  ),
  4
 ),
"")</f>
        <v/>
      </c>
      <c r="G57" t="str">
        <f ca="1"/>
        <v>Delighted Halfling</v>
      </c>
      <c r="BC57" t="str">
        <f ca="1"/>
        <v>Tromell, Seymour's Butler</v>
      </c>
      <c r="BS57" t="str">
        <f ca="1"/>
        <v>Prosperous Partnership</v>
      </c>
      <c r="BT57" t="str">
        <f ca="1"/>
        <v>Three Visits</v>
      </c>
      <c r="CB57" t="str">
        <f ca="1"/>
        <v>Havengul Laboratory</v>
      </c>
      <c r="CC57" t="str">
        <f ca="1"/>
        <v>Portal to Phyrexia</v>
      </c>
      <c r="CE57" t="str">
        <f ca="1"/>
        <v>Tree of Tales</v>
      </c>
      <c r="CG57" t="str">
        <f ca="1"/>
        <v>Espada de Verdade e Justiça</v>
      </c>
      <c r="CH57" t="str">
        <f ca="1"/>
        <v>Olho de Ojer Taq</v>
      </c>
      <c r="CJ57" t="str">
        <f ca="1"/>
        <v>Delighted Halfling</v>
      </c>
    </row>
    <row r="58" spans="1:88" x14ac:dyDescent="0.25">
      <c r="A58" s="3" t="str">
        <f t="shared" ca="1" si="0"/>
        <v>1</v>
      </c>
      <c r="B58" s="3">
        <f t="shared" ca="1" si="1"/>
        <v>1</v>
      </c>
      <c r="C58" s="3" t="str">
        <f ca="1">IFERROR(
 INDEX($U$1:$AX$1,
  MATCH(TRUE,
   CHOOSE({1;2;3;4;5;6;7;8;9;10;11;12;13;14;15;16;17;18;19;20;21;22;23;24;25;26;27;28;29;30;31;32},
    COUNTIFS($U$2:$U$200,$G58)&gt;0,
    COUNTIFS($V$2:$V$200,$G58)&gt;0,
    COUNTIFS($W$2:$W$200,$G58)&gt;0,
    COUNTIFS($X$2:$X$200,$G58)&gt;0,
    COUNTIFS($Y$2:$Y$200,$G58)&gt;0,
    COUNTIFS($Z$2:$Z$200,$G58)&gt;0,
    COUNTIFS($AA$2:$AA$200,$G58)&gt;0,
    COUNTIFS($AB$2:$AB$200,$G58)&gt;0,
    COUNTIFS($AC$2:$AC$200,$G58)&gt;0,
    COUNTIFS($AD$2:$AD$200,$G58)&gt;0,
    COUNTIFS($AE$2:$AE$200,$G58)&gt;0,
    COUNTIFS($AF$2:$AF$200,$G58)&gt;0,
    COUNTIFS($AG$2:$AG$200,$G58)&gt;0,
    COUNTIFS($AH$2:$AH$200,$G58)&gt;0,
    COUNTIFS($AI$2:$AI$200,$G58)&gt;0,
    COUNTIFS($AJ$2:$AJ$200,$G58)&gt;0,
    COUNTIFS($AK$2:$AK$200,$G58)&gt;0,
    COUNTIFS($AL$2:$AL$200,$G58)&gt;0,
    COUNTIFS($AM$2:$AM$200,$G58)&gt;0,
    COUNTIFS($AN$2:$AN$200,$G58)&gt;0,
    COUNTIFS($AO$2:$AO$200,$G58)&gt;0,
    COUNTIFS($AP$2:$AP$200,$G58)&gt;0,
    COUNTIFS($AQ$2:$AQ$200,$G58)&gt;0,
    COUNTIFS($AR$2:$AR$200,$G58)&gt;0,
    COUNTIFS($AS$2:$AS$200,$G58)&gt;0,
    COUNTIFS($AT$2:$AT$200,$G58)&gt;0,
    COUNTIFS($AU$2:$AU$200,$G58)&gt;0,
    COUNTIFS($AV$2:$AV$200,$G58)&gt;0,
    COUNTIFS($AW$2:$AW$200,$G58)&gt;0,
    COUNTIFS($AX$2:$AX$200,$G58)&gt;0
   ),
  0)
 ),
"")</f>
        <v>Tayam</v>
      </c>
      <c r="D58" s="3" t="str" cm="1">
        <f t="array" aca="1" ref="D58" ca="1">IFERROR(
 INDEX(
  _xlfn._xlws.FILTER($U$1:$AX$1,
   TRANSPOSE(
    CHOOSE({1;2;3;4;5;6;7;8;9;10;11;12;13;14;15;16;17;18;19;20;21;22;23;24;25;26;27;28;29;30},
     COUNTIFS($U$2:$U$200,$G58)&gt;0,
     COUNTIFS($V$2:$V$200,$G58)&gt;0,
     COUNTIFS($W$2:$W$200,$G58)&gt;0,
     COUNTIFS($X$2:$X$200,$G58)&gt;0,
     COUNTIFS($Y$2:$Y$200,$G58)&gt;0,
     COUNTIFS($Z$2:$Z$200,$G58)&gt;0,
     COUNTIFS($AA$2:$AA$200,$G58)&gt;0,
     COUNTIFS($AB$2:$AB$200,$G58)&gt;0,
     COUNTIFS($AC$2:$AC$200,$G58)&gt;0,
     COUNTIFS($AD$2:$AD$200,$G58)&gt;0,
     COUNTIFS($AE$2:$AE$200,$G58)&gt;0,
     COUNTIFS($AF$2:$AF$200,$G58)&gt;0,
     COUNTIFS($AG$2:$AG$200,$G58)&gt;0,
     COUNTIFS($AH$2:$AH$200,$G58)&gt;0,
     COUNTIFS($AI$2:$AI$200,$G58)&gt;0,
     COUNTIFS($AJ$2:$AJ$200,$G58)&gt;0,
     COUNTIFS($AK$2:$AK$200,$G58)&gt;0,
     COUNTIFS($AL$2:$AL$200,$G58)&gt;0,
     COUNTIFS($AM$2:$AM$200,$G58)&gt;0,
     COUNTIFS($AN$2:$AN$200,$G58)&gt;0,
     COUNTIFS($AO$2:$AO$200,$G58)&gt;0,
     COUNTIFS($AP$2:$AP$200,$G58)&gt;0,
     COUNTIFS($AQ$2:$AQ$200,$G58)&gt;0,
     COUNTIFS($AR$2:$AR$200,$G58)&gt;0,
     COUNTIFS($AS$2:$AS$200,$G58)&gt;0,
     COUNTIFS($AT$2:$AT$200,$G58)&gt;0,
     COUNTIFS($AU$2:$AU$200,$G58)&gt;0,
     COUNTIFS($AV$2:$AV$200,$G58)&gt;0,
     COUNTIFS($AW$2:$AW$200,$G58)&gt;0,
     COUNTIFS($AX$2:$AX$200,$G58)&gt;0
   )),
  ),
  2
 ),
"")</f>
        <v/>
      </c>
      <c r="E58" s="3" t="str" cm="1">
        <f t="array" aca="1" ref="E58" ca="1">IFERROR(
 INDEX(
  _xlfn._xlws.FILTER($U$1:$AX$1,
   TRANSPOSE(
    CHOOSE({1;2;3;4;5;6;7;8;9;10;11;12;13;14;15;16;17;18;19;20;21;22;23;24;25;26;27;28;29;30},
     COUNTIFS($U$2:$U$200,$G58)&gt;0,
     COUNTIFS($V$2:$V$200,$G58)&gt;0,
     COUNTIFS($W$2:$W$200,$G58)&gt;0,
     COUNTIFS($X$2:$X$200,$G58)&gt;0,
     COUNTIFS($Y$2:$Y$200,$G58)&gt;0,
     COUNTIFS($Z$2:$Z$200,$G58)&gt;0,
     COUNTIFS($AA$2:$AA$200,$G58)&gt;0,
     COUNTIFS($AB$2:$AB$200,$G58)&gt;0,
     COUNTIFS($AC$2:$AC$200,$G58)&gt;0,
     COUNTIFS($AD$2:$AD$200,$G58)&gt;0,
     COUNTIFS($AE$2:$AE$200,$G58)&gt;0,
     COUNTIFS($AF$2:$AF$200,$G58)&gt;0,
     COUNTIFS($AG$2:$AG$200,$G58)&gt;0,
     COUNTIFS($AH$2:$AH$200,$G58)&gt;0,
     COUNTIFS($AI$2:$AI$200,$G58)&gt;0,
     COUNTIFS($AJ$2:$AJ$200,$G58)&gt;0,
     COUNTIFS($AK$2:$AK$200,$G58)&gt;0,
     COUNTIFS($AL$2:$AL$200,$G58)&gt;0,
     COUNTIFS($AM$2:$AM$200,$G58)&gt;0,
     COUNTIFS($AN$2:$AN$200,$G58)&gt;0,
     COUNTIFS($AO$2:$AO$200,$G58)&gt;0,
     COUNTIFS($AP$2:$AP$200,$G58)&gt;0,
     COUNTIFS($AQ$2:$AQ$200,$G58)&gt;0,
     COUNTIFS($AR$2:$AR$200,$G58)&gt;0,
     COUNTIFS($AS$2:$AS$200,$G58)&gt;0,
     COUNTIFS($AT$2:$AT$200,$G58)&gt;0,
     COUNTIFS($AU$2:$AU$200,$G58)&gt;0,
     COUNTIFS($AV$2:$AV$200,$G58)&gt;0,
     COUNTIFS($AW$2:$AW$200,$G58)&gt;0,
     COUNTIFS($AX$2:$AX$200,$G58)&gt;0
   )),
  ),
  3
 ),
"")</f>
        <v/>
      </c>
      <c r="F58" s="3" t="str" cm="1">
        <f t="array" aca="1" ref="F58" ca="1">IFERROR(
 INDEX(
  _xlfn._xlws.FILTER($U$1:$AX$1,
   TRANSPOSE(
    CHOOSE({1;2;3;4;5;6;7;8;9;10;11;12;13;14;15;16;17;18;19;20;21;22;23;24;25;26;27;28;29;30},
     COUNTIFS($U$2:$U$200,$G58)&gt;0,
     COUNTIFS($V$2:$V$200,$G58)&gt;0,
     COUNTIFS($W$2:$W$200,$G58)&gt;0,
     COUNTIFS($X$2:$X$200,$G58)&gt;0,
     COUNTIFS($Y$2:$Y$200,$G58)&gt;0,
     COUNTIFS($Z$2:$Z$200,$G58)&gt;0,
     COUNTIFS($AA$2:$AA$200,$G58)&gt;0,
     COUNTIFS($AB$2:$AB$200,$G58)&gt;0,
     COUNTIFS($AC$2:$AC$200,$G58)&gt;0,
     COUNTIFS($AD$2:$AD$200,$G58)&gt;0,
     COUNTIFS($AE$2:$AE$200,$G58)&gt;0,
     COUNTIFS($AF$2:$AF$200,$G58)&gt;0,
     COUNTIFS($AG$2:$AG$200,$G58)&gt;0,
     COUNTIFS($AH$2:$AH$200,$G58)&gt;0,
     COUNTIFS($AI$2:$AI$200,$G58)&gt;0,
     COUNTIFS($AJ$2:$AJ$200,$G58)&gt;0,
     COUNTIFS($AK$2:$AK$200,$G58)&gt;0,
     COUNTIFS($AL$2:$AL$200,$G58)&gt;0,
     COUNTIFS($AM$2:$AM$200,$G58)&gt;0,
     COUNTIFS($AN$2:$AN$200,$G58)&gt;0,
     COUNTIFS($AO$2:$AO$200,$G58)&gt;0,
     COUNTIFS($AP$2:$AP$200,$G58)&gt;0,
     COUNTIFS($AQ$2:$AQ$200,$G58)&gt;0,
     COUNTIFS($AR$2:$AR$200,$G58)&gt;0,
     COUNTIFS($AS$2:$AS$200,$G58)&gt;0,
     COUNTIFS($AT$2:$AT$200,$G58)&gt;0,
     COUNTIFS($AU$2:$AU$200,$G58)&gt;0,
     COUNTIFS($AV$2:$AV$200,$G58)&gt;0,
     COUNTIFS($AW$2:$AW$200,$G58)&gt;0,
     COUNTIFS($AX$2:$AX$200,$G58)&gt;0
   )),
  ),
  4
 ),
"")</f>
        <v/>
      </c>
      <c r="G58" t="str">
        <f ca="1"/>
        <v>Dever Além da Morte</v>
      </c>
      <c r="BC58" t="str">
        <f ca="1"/>
        <v>Unbreakable Formation</v>
      </c>
      <c r="BS58" t="str">
        <f ca="1"/>
        <v>Protection Magic</v>
      </c>
      <c r="BT58" t="str">
        <f ca="1"/>
        <v>Throne of the God-Pharaoh</v>
      </c>
      <c r="CB58" t="str">
        <f ca="1"/>
        <v>Hedron Detonator</v>
      </c>
      <c r="CC58" t="str">
        <f ca="1"/>
        <v>Reliquary Tower</v>
      </c>
      <c r="CE58" t="str">
        <f ca="1"/>
        <v>Warren Soultrader</v>
      </c>
      <c r="CG58" t="str">
        <f ca="1"/>
        <v>Exalted Sunborn</v>
      </c>
      <c r="CH58" t="str">
        <f ca="1"/>
        <v>Overgrown Tomb</v>
      </c>
      <c r="CJ58" t="str">
        <f ca="1"/>
        <v>Dever Além da Morte</v>
      </c>
    </row>
    <row r="59" spans="1:88" x14ac:dyDescent="0.25">
      <c r="A59" s="3" t="str">
        <f t="shared" ca="1" si="0"/>
        <v>1</v>
      </c>
      <c r="B59" s="3">
        <f t="shared" ca="1" si="1"/>
        <v>1</v>
      </c>
      <c r="C59" s="3" t="str">
        <f ca="1">IFERROR(
 INDEX($U$1:$AX$1,
  MATCH(TRUE,
   CHOOSE({1;2;3;4;5;6;7;8;9;10;11;12;13;14;15;16;17;18;19;20;21;22;23;24;25;26;27;28;29;30;31;32},
    COUNTIFS($U$2:$U$200,$G59)&gt;0,
    COUNTIFS($V$2:$V$200,$G59)&gt;0,
    COUNTIFS($W$2:$W$200,$G59)&gt;0,
    COUNTIFS($X$2:$X$200,$G59)&gt;0,
    COUNTIFS($Y$2:$Y$200,$G59)&gt;0,
    COUNTIFS($Z$2:$Z$200,$G59)&gt;0,
    COUNTIFS($AA$2:$AA$200,$G59)&gt;0,
    COUNTIFS($AB$2:$AB$200,$G59)&gt;0,
    COUNTIFS($AC$2:$AC$200,$G59)&gt;0,
    COUNTIFS($AD$2:$AD$200,$G59)&gt;0,
    COUNTIFS($AE$2:$AE$200,$G59)&gt;0,
    COUNTIFS($AF$2:$AF$200,$G59)&gt;0,
    COUNTIFS($AG$2:$AG$200,$G59)&gt;0,
    COUNTIFS($AH$2:$AH$200,$G59)&gt;0,
    COUNTIFS($AI$2:$AI$200,$G59)&gt;0,
    COUNTIFS($AJ$2:$AJ$200,$G59)&gt;0,
    COUNTIFS($AK$2:$AK$200,$G59)&gt;0,
    COUNTIFS($AL$2:$AL$200,$G59)&gt;0,
    COUNTIFS($AM$2:$AM$200,$G59)&gt;0,
    COUNTIFS($AN$2:$AN$200,$G59)&gt;0,
    COUNTIFS($AO$2:$AO$200,$G59)&gt;0,
    COUNTIFS($AP$2:$AP$200,$G59)&gt;0,
    COUNTIFS($AQ$2:$AQ$200,$G59)&gt;0,
    COUNTIFS($AR$2:$AR$200,$G59)&gt;0,
    COUNTIFS($AS$2:$AS$200,$G59)&gt;0,
    COUNTIFS($AT$2:$AT$200,$G59)&gt;0,
    COUNTIFS($AU$2:$AU$200,$G59)&gt;0,
    COUNTIFS($AV$2:$AV$200,$G59)&gt;0,
    COUNTIFS($AW$2:$AW$200,$G59)&gt;0,
    COUNTIFS($AX$2:$AX$200,$G59)&gt;0
   ),
  0)
 ),
"")</f>
        <v>Tayam</v>
      </c>
      <c r="D59" s="3" t="str" cm="1">
        <f t="array" aca="1" ref="D59" ca="1">IFERROR(
 INDEX(
  _xlfn._xlws.FILTER($U$1:$AX$1,
   TRANSPOSE(
    CHOOSE({1;2;3;4;5;6;7;8;9;10;11;12;13;14;15;16;17;18;19;20;21;22;23;24;25;26;27;28;29;30},
     COUNTIFS($U$2:$U$200,$G59)&gt;0,
     COUNTIFS($V$2:$V$200,$G59)&gt;0,
     COUNTIFS($W$2:$W$200,$G59)&gt;0,
     COUNTIFS($X$2:$X$200,$G59)&gt;0,
     COUNTIFS($Y$2:$Y$200,$G59)&gt;0,
     COUNTIFS($Z$2:$Z$200,$G59)&gt;0,
     COUNTIFS($AA$2:$AA$200,$G59)&gt;0,
     COUNTIFS($AB$2:$AB$200,$G59)&gt;0,
     COUNTIFS($AC$2:$AC$200,$G59)&gt;0,
     COUNTIFS($AD$2:$AD$200,$G59)&gt;0,
     COUNTIFS($AE$2:$AE$200,$G59)&gt;0,
     COUNTIFS($AF$2:$AF$200,$G59)&gt;0,
     COUNTIFS($AG$2:$AG$200,$G59)&gt;0,
     COUNTIFS($AH$2:$AH$200,$G59)&gt;0,
     COUNTIFS($AI$2:$AI$200,$G59)&gt;0,
     COUNTIFS($AJ$2:$AJ$200,$G59)&gt;0,
     COUNTIFS($AK$2:$AK$200,$G59)&gt;0,
     COUNTIFS($AL$2:$AL$200,$G59)&gt;0,
     COUNTIFS($AM$2:$AM$200,$G59)&gt;0,
     COUNTIFS($AN$2:$AN$200,$G59)&gt;0,
     COUNTIFS($AO$2:$AO$200,$G59)&gt;0,
     COUNTIFS($AP$2:$AP$200,$G59)&gt;0,
     COUNTIFS($AQ$2:$AQ$200,$G59)&gt;0,
     COUNTIFS($AR$2:$AR$200,$G59)&gt;0,
     COUNTIFS($AS$2:$AS$200,$G59)&gt;0,
     COUNTIFS($AT$2:$AT$200,$G59)&gt;0,
     COUNTIFS($AU$2:$AU$200,$G59)&gt;0,
     COUNTIFS($AV$2:$AV$200,$G59)&gt;0,
     COUNTIFS($AW$2:$AW$200,$G59)&gt;0,
     COUNTIFS($AX$2:$AX$200,$G59)&gt;0
   )),
  ),
  2
 ),
"")</f>
        <v/>
      </c>
      <c r="E59" s="3" t="str" cm="1">
        <f t="array" aca="1" ref="E59" ca="1">IFERROR(
 INDEX(
  _xlfn._xlws.FILTER($U$1:$AX$1,
   TRANSPOSE(
    CHOOSE({1;2;3;4;5;6;7;8;9;10;11;12;13;14;15;16;17;18;19;20;21;22;23;24;25;26;27;28;29;30},
     COUNTIFS($U$2:$U$200,$G59)&gt;0,
     COUNTIFS($V$2:$V$200,$G59)&gt;0,
     COUNTIFS($W$2:$W$200,$G59)&gt;0,
     COUNTIFS($X$2:$X$200,$G59)&gt;0,
     COUNTIFS($Y$2:$Y$200,$G59)&gt;0,
     COUNTIFS($Z$2:$Z$200,$G59)&gt;0,
     COUNTIFS($AA$2:$AA$200,$G59)&gt;0,
     COUNTIFS($AB$2:$AB$200,$G59)&gt;0,
     COUNTIFS($AC$2:$AC$200,$G59)&gt;0,
     COUNTIFS($AD$2:$AD$200,$G59)&gt;0,
     COUNTIFS($AE$2:$AE$200,$G59)&gt;0,
     COUNTIFS($AF$2:$AF$200,$G59)&gt;0,
     COUNTIFS($AG$2:$AG$200,$G59)&gt;0,
     COUNTIFS($AH$2:$AH$200,$G59)&gt;0,
     COUNTIFS($AI$2:$AI$200,$G59)&gt;0,
     COUNTIFS($AJ$2:$AJ$200,$G59)&gt;0,
     COUNTIFS($AK$2:$AK$200,$G59)&gt;0,
     COUNTIFS($AL$2:$AL$200,$G59)&gt;0,
     COUNTIFS($AM$2:$AM$200,$G59)&gt;0,
     COUNTIFS($AN$2:$AN$200,$G59)&gt;0,
     COUNTIFS($AO$2:$AO$200,$G59)&gt;0,
     COUNTIFS($AP$2:$AP$200,$G59)&gt;0,
     COUNTIFS($AQ$2:$AQ$200,$G59)&gt;0,
     COUNTIFS($AR$2:$AR$200,$G59)&gt;0,
     COUNTIFS($AS$2:$AS$200,$G59)&gt;0,
     COUNTIFS($AT$2:$AT$200,$G59)&gt;0,
     COUNTIFS($AU$2:$AU$200,$G59)&gt;0,
     COUNTIFS($AV$2:$AV$200,$G59)&gt;0,
     COUNTIFS($AW$2:$AW$200,$G59)&gt;0,
     COUNTIFS($AX$2:$AX$200,$G59)&gt;0
   )),
  ),
  3
 ),
"")</f>
        <v/>
      </c>
      <c r="F59" s="3" t="str" cm="1">
        <f t="array" aca="1" ref="F59" ca="1">IFERROR(
 INDEX(
  _xlfn._xlws.FILTER($U$1:$AX$1,
   TRANSPOSE(
    CHOOSE({1;2;3;4;5;6;7;8;9;10;11;12;13;14;15;16;17;18;19;20;21;22;23;24;25;26;27;28;29;30},
     COUNTIFS($U$2:$U$200,$G59)&gt;0,
     COUNTIFS($V$2:$V$200,$G59)&gt;0,
     COUNTIFS($W$2:$W$200,$G59)&gt;0,
     COUNTIFS($X$2:$X$200,$G59)&gt;0,
     COUNTIFS($Y$2:$Y$200,$G59)&gt;0,
     COUNTIFS($Z$2:$Z$200,$G59)&gt;0,
     COUNTIFS($AA$2:$AA$200,$G59)&gt;0,
     COUNTIFS($AB$2:$AB$200,$G59)&gt;0,
     COUNTIFS($AC$2:$AC$200,$G59)&gt;0,
     COUNTIFS($AD$2:$AD$200,$G59)&gt;0,
     COUNTIFS($AE$2:$AE$200,$G59)&gt;0,
     COUNTIFS($AF$2:$AF$200,$G59)&gt;0,
     COUNTIFS($AG$2:$AG$200,$G59)&gt;0,
     COUNTIFS($AH$2:$AH$200,$G59)&gt;0,
     COUNTIFS($AI$2:$AI$200,$G59)&gt;0,
     COUNTIFS($AJ$2:$AJ$200,$G59)&gt;0,
     COUNTIFS($AK$2:$AK$200,$G59)&gt;0,
     COUNTIFS($AL$2:$AL$200,$G59)&gt;0,
     COUNTIFS($AM$2:$AM$200,$G59)&gt;0,
     COUNTIFS($AN$2:$AN$200,$G59)&gt;0,
     COUNTIFS($AO$2:$AO$200,$G59)&gt;0,
     COUNTIFS($AP$2:$AP$200,$G59)&gt;0,
     COUNTIFS($AQ$2:$AQ$200,$G59)&gt;0,
     COUNTIFS($AR$2:$AR$200,$G59)&gt;0,
     COUNTIFS($AS$2:$AS$200,$G59)&gt;0,
     COUNTIFS($AT$2:$AT$200,$G59)&gt;0,
     COUNTIFS($AU$2:$AU$200,$G59)&gt;0,
     COUNTIFS($AV$2:$AV$200,$G59)&gt;0,
     COUNTIFS($AW$2:$AW$200,$G59)&gt;0,
     COUNTIFS($AX$2:$AX$200,$G59)&gt;0
   )),
  ),
  4
 ),
"")</f>
        <v/>
      </c>
      <c r="G59" t="str">
        <f ca="1"/>
        <v>Devoted Druid</v>
      </c>
      <c r="BC59" t="str">
        <f ca="1"/>
        <v>Windcrag Siege</v>
      </c>
      <c r="BS59" t="str">
        <f ca="1"/>
        <v>Psychic Corrosion</v>
      </c>
      <c r="BT59" t="str">
        <f ca="1"/>
        <v>Tishana, Voice of Thunder</v>
      </c>
      <c r="CB59" t="str">
        <f ca="1"/>
        <v>Herald of Secret Streams</v>
      </c>
      <c r="CC59" t="str">
        <f ca="1"/>
        <v>Rings of Brighthearth</v>
      </c>
      <c r="CE59" t="str">
        <f ca="1"/>
        <v>Westvale Abbey</v>
      </c>
      <c r="CG59" t="str">
        <f ca="1"/>
        <v>Exemplar of Light</v>
      </c>
      <c r="CH59" t="str">
        <f ca="1"/>
        <v>Pain for All</v>
      </c>
      <c r="CJ59" t="str">
        <f ca="1"/>
        <v>Devoted Druid</v>
      </c>
    </row>
    <row r="60" spans="1:88" x14ac:dyDescent="0.25">
      <c r="A60" s="3" t="str">
        <f t="shared" ca="1" si="0"/>
        <v>4</v>
      </c>
      <c r="B60" s="3">
        <f t="shared" ca="1" si="1"/>
        <v>1</v>
      </c>
      <c r="C60" s="3" t="str">
        <f ca="1">IFERROR(
 INDEX($U$1:$AX$1,
  MATCH(TRUE,
   CHOOSE({1;2;3;4;5;6;7;8;9;10;11;12;13;14;15;16;17;18;19;20;21;22;23;24;25;26;27;28;29;30;31;32},
    COUNTIFS($U$2:$U$200,$G60)&gt;0,
    COUNTIFS($V$2:$V$200,$G60)&gt;0,
    COUNTIFS($W$2:$W$200,$G60)&gt;0,
    COUNTIFS($X$2:$X$200,$G60)&gt;0,
    COUNTIFS($Y$2:$Y$200,$G60)&gt;0,
    COUNTIFS($Z$2:$Z$200,$G60)&gt;0,
    COUNTIFS($AA$2:$AA$200,$G60)&gt;0,
    COUNTIFS($AB$2:$AB$200,$G60)&gt;0,
    COUNTIFS($AC$2:$AC$200,$G60)&gt;0,
    COUNTIFS($AD$2:$AD$200,$G60)&gt;0,
    COUNTIFS($AE$2:$AE$200,$G60)&gt;0,
    COUNTIFS($AF$2:$AF$200,$G60)&gt;0,
    COUNTIFS($AG$2:$AG$200,$G60)&gt;0,
    COUNTIFS($AH$2:$AH$200,$G60)&gt;0,
    COUNTIFS($AI$2:$AI$200,$G60)&gt;0,
    COUNTIFS($AJ$2:$AJ$200,$G60)&gt;0,
    COUNTIFS($AK$2:$AK$200,$G60)&gt;0,
    COUNTIFS($AL$2:$AL$200,$G60)&gt;0,
    COUNTIFS($AM$2:$AM$200,$G60)&gt;0,
    COUNTIFS($AN$2:$AN$200,$G60)&gt;0,
    COUNTIFS($AO$2:$AO$200,$G60)&gt;0,
    COUNTIFS($AP$2:$AP$200,$G60)&gt;0,
    COUNTIFS($AQ$2:$AQ$200,$G60)&gt;0,
    COUNTIFS($AR$2:$AR$200,$G60)&gt;0,
    COUNTIFS($AS$2:$AS$200,$G60)&gt;0,
    COUNTIFS($AT$2:$AT$200,$G60)&gt;0,
    COUNTIFS($AU$2:$AU$200,$G60)&gt;0,
    COUNTIFS($AV$2:$AV$200,$G60)&gt;0,
    COUNTIFS($AW$2:$AW$200,$G60)&gt;0,
    COUNTIFS($AX$2:$AX$200,$G60)&gt;0
   ),
  0)
 ),
"")</f>
        <v>Inalla</v>
      </c>
      <c r="D60" s="3" t="str" cm="1">
        <f t="array" aca="1" ref="D60" ca="1">IFERROR(
 INDEX(
  _xlfn._xlws.FILTER($U$1:$AX$1,
   TRANSPOSE(
    CHOOSE({1;2;3;4;5;6;7;8;9;10;11;12;13;14;15;16;17;18;19;20;21;22;23;24;25;26;27;28;29;30},
     COUNTIFS($U$2:$U$200,$G60)&gt;0,
     COUNTIFS($V$2:$V$200,$G60)&gt;0,
     COUNTIFS($W$2:$W$200,$G60)&gt;0,
     COUNTIFS($X$2:$X$200,$G60)&gt;0,
     COUNTIFS($Y$2:$Y$200,$G60)&gt;0,
     COUNTIFS($Z$2:$Z$200,$G60)&gt;0,
     COUNTIFS($AA$2:$AA$200,$G60)&gt;0,
     COUNTIFS($AB$2:$AB$200,$G60)&gt;0,
     COUNTIFS($AC$2:$AC$200,$G60)&gt;0,
     COUNTIFS($AD$2:$AD$200,$G60)&gt;0,
     COUNTIFS($AE$2:$AE$200,$G60)&gt;0,
     COUNTIFS($AF$2:$AF$200,$G60)&gt;0,
     COUNTIFS($AG$2:$AG$200,$G60)&gt;0,
     COUNTIFS($AH$2:$AH$200,$G60)&gt;0,
     COUNTIFS($AI$2:$AI$200,$G60)&gt;0,
     COUNTIFS($AJ$2:$AJ$200,$G60)&gt;0,
     COUNTIFS($AK$2:$AK$200,$G60)&gt;0,
     COUNTIFS($AL$2:$AL$200,$G60)&gt;0,
     COUNTIFS($AM$2:$AM$200,$G60)&gt;0,
     COUNTIFS($AN$2:$AN$200,$G60)&gt;0,
     COUNTIFS($AO$2:$AO$200,$G60)&gt;0,
     COUNTIFS($AP$2:$AP$200,$G60)&gt;0,
     COUNTIFS($AQ$2:$AQ$200,$G60)&gt;0,
     COUNTIFS($AR$2:$AR$200,$G60)&gt;0,
     COUNTIFS($AS$2:$AS$200,$G60)&gt;0,
     COUNTIFS($AT$2:$AT$200,$G60)&gt;0,
     COUNTIFS($AU$2:$AU$200,$G60)&gt;0,
     COUNTIFS($AV$2:$AV$200,$G60)&gt;0,
     COUNTIFS($AW$2:$AW$200,$G60)&gt;0,
     COUNTIFS($AX$2:$AX$200,$G60)&gt;0
   )),
  ),
  2
 ),
"")</f>
        <v/>
      </c>
      <c r="E60" s="3" t="str" cm="1">
        <f t="array" aca="1" ref="E60" ca="1">IFERROR(
 INDEX(
  _xlfn._xlws.FILTER($U$1:$AX$1,
   TRANSPOSE(
    CHOOSE({1;2;3;4;5;6;7;8;9;10;11;12;13;14;15;16;17;18;19;20;21;22;23;24;25;26;27;28;29;30},
     COUNTIFS($U$2:$U$200,$G60)&gt;0,
     COUNTIFS($V$2:$V$200,$G60)&gt;0,
     COUNTIFS($W$2:$W$200,$G60)&gt;0,
     COUNTIFS($X$2:$X$200,$G60)&gt;0,
     COUNTIFS($Y$2:$Y$200,$G60)&gt;0,
     COUNTIFS($Z$2:$Z$200,$G60)&gt;0,
     COUNTIFS($AA$2:$AA$200,$G60)&gt;0,
     COUNTIFS($AB$2:$AB$200,$G60)&gt;0,
     COUNTIFS($AC$2:$AC$200,$G60)&gt;0,
     COUNTIFS($AD$2:$AD$200,$G60)&gt;0,
     COUNTIFS($AE$2:$AE$200,$G60)&gt;0,
     COUNTIFS($AF$2:$AF$200,$G60)&gt;0,
     COUNTIFS($AG$2:$AG$200,$G60)&gt;0,
     COUNTIFS($AH$2:$AH$200,$G60)&gt;0,
     COUNTIFS($AI$2:$AI$200,$G60)&gt;0,
     COUNTIFS($AJ$2:$AJ$200,$G60)&gt;0,
     COUNTIFS($AK$2:$AK$200,$G60)&gt;0,
     COUNTIFS($AL$2:$AL$200,$G60)&gt;0,
     COUNTIFS($AM$2:$AM$200,$G60)&gt;0,
     COUNTIFS($AN$2:$AN$200,$G60)&gt;0,
     COUNTIFS($AO$2:$AO$200,$G60)&gt;0,
     COUNTIFS($AP$2:$AP$200,$G60)&gt;0,
     COUNTIFS($AQ$2:$AQ$200,$G60)&gt;0,
     COUNTIFS($AR$2:$AR$200,$G60)&gt;0,
     COUNTIFS($AS$2:$AS$200,$G60)&gt;0,
     COUNTIFS($AT$2:$AT$200,$G60)&gt;0,
     COUNTIFS($AU$2:$AU$200,$G60)&gt;0,
     COUNTIFS($AV$2:$AV$200,$G60)&gt;0,
     COUNTIFS($AW$2:$AW$200,$G60)&gt;0,
     COUNTIFS($AX$2:$AX$200,$G60)&gt;0
   )),
  ),
  3
 ),
"")</f>
        <v/>
      </c>
      <c r="F60" s="3" t="str" cm="1">
        <f t="array" aca="1" ref="F60" ca="1">IFERROR(
 INDEX(
  _xlfn._xlws.FILTER($U$1:$AX$1,
   TRANSPOSE(
    CHOOSE({1;2;3;4;5;6;7;8;9;10;11;12;13;14;15;16;17;18;19;20;21;22;23;24;25;26;27;28;29;30},
     COUNTIFS($U$2:$U$200,$G60)&gt;0,
     COUNTIFS($V$2:$V$200,$G60)&gt;0,
     COUNTIFS($W$2:$W$200,$G60)&gt;0,
     COUNTIFS($X$2:$X$200,$G60)&gt;0,
     COUNTIFS($Y$2:$Y$200,$G60)&gt;0,
     COUNTIFS($Z$2:$Z$200,$G60)&gt;0,
     COUNTIFS($AA$2:$AA$200,$G60)&gt;0,
     COUNTIFS($AB$2:$AB$200,$G60)&gt;0,
     COUNTIFS($AC$2:$AC$200,$G60)&gt;0,
     COUNTIFS($AD$2:$AD$200,$G60)&gt;0,
     COUNTIFS($AE$2:$AE$200,$G60)&gt;0,
     COUNTIFS($AF$2:$AF$200,$G60)&gt;0,
     COUNTIFS($AG$2:$AG$200,$G60)&gt;0,
     COUNTIFS($AH$2:$AH$200,$G60)&gt;0,
     COUNTIFS($AI$2:$AI$200,$G60)&gt;0,
     COUNTIFS($AJ$2:$AJ$200,$G60)&gt;0,
     COUNTIFS($AK$2:$AK$200,$G60)&gt;0,
     COUNTIFS($AL$2:$AL$200,$G60)&gt;0,
     COUNTIFS($AM$2:$AM$200,$G60)&gt;0,
     COUNTIFS($AN$2:$AN$200,$G60)&gt;0,
     COUNTIFS($AO$2:$AO$200,$G60)&gt;0,
     COUNTIFS($AP$2:$AP$200,$G60)&gt;0,
     COUNTIFS($AQ$2:$AQ$200,$G60)&gt;0,
     COUNTIFS($AR$2:$AR$200,$G60)&gt;0,
     COUNTIFS($AS$2:$AS$200,$G60)&gt;0,
     COUNTIFS($AT$2:$AT$200,$G60)&gt;0,
     COUNTIFS($AU$2:$AU$200,$G60)&gt;0,
     COUNTIFS($AV$2:$AV$200,$G60)&gt;0,
     COUNTIFS($AW$2:$AW$200,$G60)&gt;0,
     COUNTIFS($AX$2:$AX$200,$G60)&gt;0
   )),
  ),
  4
 ),
"")</f>
        <v/>
      </c>
      <c r="G60" t="str">
        <f ca="1"/>
        <v>Diário de Tarrian</v>
      </c>
      <c r="BC60" t="str">
        <f ca="1"/>
        <v>World at War</v>
      </c>
      <c r="BS60" t="str">
        <f ca="1"/>
        <v>Purphoros, God of the Forge</v>
      </c>
      <c r="BT60" t="str">
        <f ca="1"/>
        <v>Trenzalore Clocktower</v>
      </c>
      <c r="CB60" t="str">
        <f ca="1"/>
        <v>Hierofante de Elenda</v>
      </c>
      <c r="CC60" t="str">
        <f ca="1"/>
        <v>Ripples of Potential</v>
      </c>
      <c r="CE60" t="e">
        <f ca="1"/>
        <v>#REF!</v>
      </c>
      <c r="CG60" t="str">
        <f ca="1"/>
        <v>Extinguisher Battleship</v>
      </c>
      <c r="CH60" t="str">
        <f ca="1"/>
        <v>Planetary Annihilation</v>
      </c>
      <c r="CJ60" t="str">
        <f ca="1"/>
        <v>Diário de Tarrian</v>
      </c>
    </row>
    <row r="61" spans="1:88" x14ac:dyDescent="0.25">
      <c r="A61" s="3" t="str">
        <f t="shared" ca="1" si="0"/>
        <v>4</v>
      </c>
      <c r="B61" s="3">
        <f t="shared" ca="1" si="1"/>
        <v>1</v>
      </c>
      <c r="C61" s="3" t="str">
        <f ca="1">IFERROR(
 INDEX($U$1:$AX$1,
  MATCH(TRUE,
   CHOOSE({1;2;3;4;5;6;7;8;9;10;11;12;13;14;15;16;17;18;19;20;21;22;23;24;25;26;27;28;29;30;31;32},
    COUNTIFS($U$2:$U$200,$G61)&gt;0,
    COUNTIFS($V$2:$V$200,$G61)&gt;0,
    COUNTIFS($W$2:$W$200,$G61)&gt;0,
    COUNTIFS($X$2:$X$200,$G61)&gt;0,
    COUNTIFS($Y$2:$Y$200,$G61)&gt;0,
    COUNTIFS($Z$2:$Z$200,$G61)&gt;0,
    COUNTIFS($AA$2:$AA$200,$G61)&gt;0,
    COUNTIFS($AB$2:$AB$200,$G61)&gt;0,
    COUNTIFS($AC$2:$AC$200,$G61)&gt;0,
    COUNTIFS($AD$2:$AD$200,$G61)&gt;0,
    COUNTIFS($AE$2:$AE$200,$G61)&gt;0,
    COUNTIFS($AF$2:$AF$200,$G61)&gt;0,
    COUNTIFS($AG$2:$AG$200,$G61)&gt;0,
    COUNTIFS($AH$2:$AH$200,$G61)&gt;0,
    COUNTIFS($AI$2:$AI$200,$G61)&gt;0,
    COUNTIFS($AJ$2:$AJ$200,$G61)&gt;0,
    COUNTIFS($AK$2:$AK$200,$G61)&gt;0,
    COUNTIFS($AL$2:$AL$200,$G61)&gt;0,
    COUNTIFS($AM$2:$AM$200,$G61)&gt;0,
    COUNTIFS($AN$2:$AN$200,$G61)&gt;0,
    COUNTIFS($AO$2:$AO$200,$G61)&gt;0,
    COUNTIFS($AP$2:$AP$200,$G61)&gt;0,
    COUNTIFS($AQ$2:$AQ$200,$G61)&gt;0,
    COUNTIFS($AR$2:$AR$200,$G61)&gt;0,
    COUNTIFS($AS$2:$AS$200,$G61)&gt;0,
    COUNTIFS($AT$2:$AT$200,$G61)&gt;0,
    COUNTIFS($AU$2:$AU$200,$G61)&gt;0,
    COUNTIFS($AV$2:$AV$200,$G61)&gt;0,
    COUNTIFS($AW$2:$AW$200,$G61)&gt;0,
    COUNTIFS($AX$2:$AX$200,$G61)&gt;0
   ),
  0)
 ),
"")</f>
        <v>Elfos</v>
      </c>
      <c r="D61" s="3" t="str" cm="1">
        <f t="array" aca="1" ref="D61" ca="1">IFERROR(
 INDEX(
  _xlfn._xlws.FILTER($U$1:$AX$1,
   TRANSPOSE(
    CHOOSE({1;2;3;4;5;6;7;8;9;10;11;12;13;14;15;16;17;18;19;20;21;22;23;24;25;26;27;28;29;30},
     COUNTIFS($U$2:$U$200,$G61)&gt;0,
     COUNTIFS($V$2:$V$200,$G61)&gt;0,
     COUNTIFS($W$2:$W$200,$G61)&gt;0,
     COUNTIFS($X$2:$X$200,$G61)&gt;0,
     COUNTIFS($Y$2:$Y$200,$G61)&gt;0,
     COUNTIFS($Z$2:$Z$200,$G61)&gt;0,
     COUNTIFS($AA$2:$AA$200,$G61)&gt;0,
     COUNTIFS($AB$2:$AB$200,$G61)&gt;0,
     COUNTIFS($AC$2:$AC$200,$G61)&gt;0,
     COUNTIFS($AD$2:$AD$200,$G61)&gt;0,
     COUNTIFS($AE$2:$AE$200,$G61)&gt;0,
     COUNTIFS($AF$2:$AF$200,$G61)&gt;0,
     COUNTIFS($AG$2:$AG$200,$G61)&gt;0,
     COUNTIFS($AH$2:$AH$200,$G61)&gt;0,
     COUNTIFS($AI$2:$AI$200,$G61)&gt;0,
     COUNTIFS($AJ$2:$AJ$200,$G61)&gt;0,
     COUNTIFS($AK$2:$AK$200,$G61)&gt;0,
     COUNTIFS($AL$2:$AL$200,$G61)&gt;0,
     COUNTIFS($AM$2:$AM$200,$G61)&gt;0,
     COUNTIFS($AN$2:$AN$200,$G61)&gt;0,
     COUNTIFS($AO$2:$AO$200,$G61)&gt;0,
     COUNTIFS($AP$2:$AP$200,$G61)&gt;0,
     COUNTIFS($AQ$2:$AQ$200,$G61)&gt;0,
     COUNTIFS($AR$2:$AR$200,$G61)&gt;0,
     COUNTIFS($AS$2:$AS$200,$G61)&gt;0,
     COUNTIFS($AT$2:$AT$200,$G61)&gt;0,
     COUNTIFS($AU$2:$AU$200,$G61)&gt;0,
     COUNTIFS($AV$2:$AV$200,$G61)&gt;0,
     COUNTIFS($AW$2:$AW$200,$G61)&gt;0,
     COUNTIFS($AX$2:$AX$200,$G61)&gt;0
   )),
  ),
  2
 ),
"")</f>
        <v/>
      </c>
      <c r="E61" s="3" t="str" cm="1">
        <f t="array" aca="1" ref="E61" ca="1">IFERROR(
 INDEX(
  _xlfn._xlws.FILTER($U$1:$AX$1,
   TRANSPOSE(
    CHOOSE({1;2;3;4;5;6;7;8;9;10;11;12;13;14;15;16;17;18;19;20;21;22;23;24;25;26;27;28;29;30},
     COUNTIFS($U$2:$U$200,$G61)&gt;0,
     COUNTIFS($V$2:$V$200,$G61)&gt;0,
     COUNTIFS($W$2:$W$200,$G61)&gt;0,
     COUNTIFS($X$2:$X$200,$G61)&gt;0,
     COUNTIFS($Y$2:$Y$200,$G61)&gt;0,
     COUNTIFS($Z$2:$Z$200,$G61)&gt;0,
     COUNTIFS($AA$2:$AA$200,$G61)&gt;0,
     COUNTIFS($AB$2:$AB$200,$G61)&gt;0,
     COUNTIFS($AC$2:$AC$200,$G61)&gt;0,
     COUNTIFS($AD$2:$AD$200,$G61)&gt;0,
     COUNTIFS($AE$2:$AE$200,$G61)&gt;0,
     COUNTIFS($AF$2:$AF$200,$G61)&gt;0,
     COUNTIFS($AG$2:$AG$200,$G61)&gt;0,
     COUNTIFS($AH$2:$AH$200,$G61)&gt;0,
     COUNTIFS($AI$2:$AI$200,$G61)&gt;0,
     COUNTIFS($AJ$2:$AJ$200,$G61)&gt;0,
     COUNTIFS($AK$2:$AK$200,$G61)&gt;0,
     COUNTIFS($AL$2:$AL$200,$G61)&gt;0,
     COUNTIFS($AM$2:$AM$200,$G61)&gt;0,
     COUNTIFS($AN$2:$AN$200,$G61)&gt;0,
     COUNTIFS($AO$2:$AO$200,$G61)&gt;0,
     COUNTIFS($AP$2:$AP$200,$G61)&gt;0,
     COUNTIFS($AQ$2:$AQ$200,$G61)&gt;0,
     COUNTIFS($AR$2:$AR$200,$G61)&gt;0,
     COUNTIFS($AS$2:$AS$200,$G61)&gt;0,
     COUNTIFS($AT$2:$AT$200,$G61)&gt;0,
     COUNTIFS($AU$2:$AU$200,$G61)&gt;0,
     COUNTIFS($AV$2:$AV$200,$G61)&gt;0,
     COUNTIFS($AW$2:$AW$200,$G61)&gt;0,
     COUNTIFS($AX$2:$AX$200,$G61)&gt;0
   )),
  ),
  3
 ),
"")</f>
        <v/>
      </c>
      <c r="F61" s="3" t="str" cm="1">
        <f t="array" aca="1" ref="F61" ca="1">IFERROR(
 INDEX(
  _xlfn._xlws.FILTER($U$1:$AX$1,
   TRANSPOSE(
    CHOOSE({1;2;3;4;5;6;7;8;9;10;11;12;13;14;15;16;17;18;19;20;21;22;23;24;25;26;27;28;29;30},
     COUNTIFS($U$2:$U$200,$G61)&gt;0,
     COUNTIFS($V$2:$V$200,$G61)&gt;0,
     COUNTIFS($W$2:$W$200,$G61)&gt;0,
     COUNTIFS($X$2:$X$200,$G61)&gt;0,
     COUNTIFS($Y$2:$Y$200,$G61)&gt;0,
     COUNTIFS($Z$2:$Z$200,$G61)&gt;0,
     COUNTIFS($AA$2:$AA$200,$G61)&gt;0,
     COUNTIFS($AB$2:$AB$200,$G61)&gt;0,
     COUNTIFS($AC$2:$AC$200,$G61)&gt;0,
     COUNTIFS($AD$2:$AD$200,$G61)&gt;0,
     COUNTIFS($AE$2:$AE$200,$G61)&gt;0,
     COUNTIFS($AF$2:$AF$200,$G61)&gt;0,
     COUNTIFS($AG$2:$AG$200,$G61)&gt;0,
     COUNTIFS($AH$2:$AH$200,$G61)&gt;0,
     COUNTIFS($AI$2:$AI$200,$G61)&gt;0,
     COUNTIFS($AJ$2:$AJ$200,$G61)&gt;0,
     COUNTIFS($AK$2:$AK$200,$G61)&gt;0,
     COUNTIFS($AL$2:$AL$200,$G61)&gt;0,
     COUNTIFS($AM$2:$AM$200,$G61)&gt;0,
     COUNTIFS($AN$2:$AN$200,$G61)&gt;0,
     COUNTIFS($AO$2:$AO$200,$G61)&gt;0,
     COUNTIFS($AP$2:$AP$200,$G61)&gt;0,
     COUNTIFS($AQ$2:$AQ$200,$G61)&gt;0,
     COUNTIFS($AR$2:$AR$200,$G61)&gt;0,
     COUNTIFS($AS$2:$AS$200,$G61)&gt;0,
     COUNTIFS($AT$2:$AT$200,$G61)&gt;0,
     COUNTIFS($AU$2:$AU$200,$G61)&gt;0,
     COUNTIFS($AV$2:$AV$200,$G61)&gt;0,
     COUNTIFS($AW$2:$AW$200,$G61)&gt;0,
     COUNTIFS($AX$2:$AX$200,$G61)&gt;0
   )),
  ),
  4
 ),
"")</f>
        <v/>
      </c>
      <c r="G61" t="str">
        <f ca="1"/>
        <v>Dionus, Elvish Archdruid</v>
      </c>
      <c r="BC61" t="str">
        <f ca="1"/>
        <v>Zack Fair</v>
      </c>
      <c r="BS61" t="str">
        <f ca="1"/>
        <v>Reforge the Soul</v>
      </c>
      <c r="BT61" t="str">
        <f ca="1"/>
        <v>Unholy Annex // Ritual Chamber</v>
      </c>
      <c r="CB61" t="str">
        <f ca="1"/>
        <v>Horizon Explorer</v>
      </c>
      <c r="CC61" t="str">
        <f ca="1"/>
        <v>Ripples of Undeath</v>
      </c>
      <c r="CE61" t="e" vm="2">
        <f ca="1"/>
        <v>#VALUE!</v>
      </c>
      <c r="CG61" t="str">
        <f ca="1"/>
        <v>Fabled Passage</v>
      </c>
      <c r="CH61" t="str">
        <f ca="1"/>
        <v>Raffine's Tower</v>
      </c>
      <c r="CJ61" t="str">
        <f ca="1"/>
        <v>Dionus, Elvish Archdruid</v>
      </c>
    </row>
    <row r="62" spans="1:88" x14ac:dyDescent="0.25">
      <c r="A62" s="3" t="str">
        <f t="shared" ca="1" si="0"/>
        <v>1</v>
      </c>
      <c r="B62" s="3">
        <f t="shared" ca="1" si="1"/>
        <v>1</v>
      </c>
      <c r="C62" s="3" t="str">
        <f ca="1">IFERROR(
 INDEX($U$1:$AX$1,
  MATCH(TRUE,
   CHOOSE({1;2;3;4;5;6;7;8;9;10;11;12;13;14;15;16;17;18;19;20;21;22;23;24;25;26;27;28;29;30;31;32},
    COUNTIFS($U$2:$U$200,$G62)&gt;0,
    COUNTIFS($V$2:$V$200,$G62)&gt;0,
    COUNTIFS($W$2:$W$200,$G62)&gt;0,
    COUNTIFS($X$2:$X$200,$G62)&gt;0,
    COUNTIFS($Y$2:$Y$200,$G62)&gt;0,
    COUNTIFS($Z$2:$Z$200,$G62)&gt;0,
    COUNTIFS($AA$2:$AA$200,$G62)&gt;0,
    COUNTIFS($AB$2:$AB$200,$G62)&gt;0,
    COUNTIFS($AC$2:$AC$200,$G62)&gt;0,
    COUNTIFS($AD$2:$AD$200,$G62)&gt;0,
    COUNTIFS($AE$2:$AE$200,$G62)&gt;0,
    COUNTIFS($AF$2:$AF$200,$G62)&gt;0,
    COUNTIFS($AG$2:$AG$200,$G62)&gt;0,
    COUNTIFS($AH$2:$AH$200,$G62)&gt;0,
    COUNTIFS($AI$2:$AI$200,$G62)&gt;0,
    COUNTIFS($AJ$2:$AJ$200,$G62)&gt;0,
    COUNTIFS($AK$2:$AK$200,$G62)&gt;0,
    COUNTIFS($AL$2:$AL$200,$G62)&gt;0,
    COUNTIFS($AM$2:$AM$200,$G62)&gt;0,
    COUNTIFS($AN$2:$AN$200,$G62)&gt;0,
    COUNTIFS($AO$2:$AO$200,$G62)&gt;0,
    COUNTIFS($AP$2:$AP$200,$G62)&gt;0,
    COUNTIFS($AQ$2:$AQ$200,$G62)&gt;0,
    COUNTIFS($AR$2:$AR$200,$G62)&gt;0,
    COUNTIFS($AS$2:$AS$200,$G62)&gt;0,
    COUNTIFS($AT$2:$AT$200,$G62)&gt;0,
    COUNTIFS($AU$2:$AU$200,$G62)&gt;0,
    COUNTIFS($AV$2:$AV$200,$G62)&gt;0,
    COUNTIFS($AW$2:$AW$200,$G62)&gt;0,
    COUNTIFS($AX$2:$AX$200,$G62)&gt;0
   ),
  0)
 ),
"")</f>
        <v>Modular</v>
      </c>
      <c r="D62" s="3" t="str" cm="1">
        <f t="array" aca="1" ref="D62" ca="1">IFERROR(
 INDEX(
  _xlfn._xlws.FILTER($U$1:$AX$1,
   TRANSPOSE(
    CHOOSE({1;2;3;4;5;6;7;8;9;10;11;12;13;14;15;16;17;18;19;20;21;22;23;24;25;26;27;28;29;30},
     COUNTIFS($U$2:$U$200,$G62)&gt;0,
     COUNTIFS($V$2:$V$200,$G62)&gt;0,
     COUNTIFS($W$2:$W$200,$G62)&gt;0,
     COUNTIFS($X$2:$X$200,$G62)&gt;0,
     COUNTIFS($Y$2:$Y$200,$G62)&gt;0,
     COUNTIFS($Z$2:$Z$200,$G62)&gt;0,
     COUNTIFS($AA$2:$AA$200,$G62)&gt;0,
     COUNTIFS($AB$2:$AB$200,$G62)&gt;0,
     COUNTIFS($AC$2:$AC$200,$G62)&gt;0,
     COUNTIFS($AD$2:$AD$200,$G62)&gt;0,
     COUNTIFS($AE$2:$AE$200,$G62)&gt;0,
     COUNTIFS($AF$2:$AF$200,$G62)&gt;0,
     COUNTIFS($AG$2:$AG$200,$G62)&gt;0,
     COUNTIFS($AH$2:$AH$200,$G62)&gt;0,
     COUNTIFS($AI$2:$AI$200,$G62)&gt;0,
     COUNTIFS($AJ$2:$AJ$200,$G62)&gt;0,
     COUNTIFS($AK$2:$AK$200,$G62)&gt;0,
     COUNTIFS($AL$2:$AL$200,$G62)&gt;0,
     COUNTIFS($AM$2:$AM$200,$G62)&gt;0,
     COUNTIFS($AN$2:$AN$200,$G62)&gt;0,
     COUNTIFS($AO$2:$AO$200,$G62)&gt;0,
     COUNTIFS($AP$2:$AP$200,$G62)&gt;0,
     COUNTIFS($AQ$2:$AQ$200,$G62)&gt;0,
     COUNTIFS($AR$2:$AR$200,$G62)&gt;0,
     COUNTIFS($AS$2:$AS$200,$G62)&gt;0,
     COUNTIFS($AT$2:$AT$200,$G62)&gt;0,
     COUNTIFS($AU$2:$AU$200,$G62)&gt;0,
     COUNTIFS($AV$2:$AV$200,$G62)&gt;0,
     COUNTIFS($AW$2:$AW$200,$G62)&gt;0,
     COUNTIFS($AX$2:$AX$200,$G62)&gt;0
   )),
  ),
  2
 ),
"")</f>
        <v/>
      </c>
      <c r="E62" s="3" t="str" cm="1">
        <f t="array" aca="1" ref="E62" ca="1">IFERROR(
 INDEX(
  _xlfn._xlws.FILTER($U$1:$AX$1,
   TRANSPOSE(
    CHOOSE({1;2;3;4;5;6;7;8;9;10;11;12;13;14;15;16;17;18;19;20;21;22;23;24;25;26;27;28;29;30},
     COUNTIFS($U$2:$U$200,$G62)&gt;0,
     COUNTIFS($V$2:$V$200,$G62)&gt;0,
     COUNTIFS($W$2:$W$200,$G62)&gt;0,
     COUNTIFS($X$2:$X$200,$G62)&gt;0,
     COUNTIFS($Y$2:$Y$200,$G62)&gt;0,
     COUNTIFS($Z$2:$Z$200,$G62)&gt;0,
     COUNTIFS($AA$2:$AA$200,$G62)&gt;0,
     COUNTIFS($AB$2:$AB$200,$G62)&gt;0,
     COUNTIFS($AC$2:$AC$200,$G62)&gt;0,
     COUNTIFS($AD$2:$AD$200,$G62)&gt;0,
     COUNTIFS($AE$2:$AE$200,$G62)&gt;0,
     COUNTIFS($AF$2:$AF$200,$G62)&gt;0,
     COUNTIFS($AG$2:$AG$200,$G62)&gt;0,
     COUNTIFS($AH$2:$AH$200,$G62)&gt;0,
     COUNTIFS($AI$2:$AI$200,$G62)&gt;0,
     COUNTIFS($AJ$2:$AJ$200,$G62)&gt;0,
     COUNTIFS($AK$2:$AK$200,$G62)&gt;0,
     COUNTIFS($AL$2:$AL$200,$G62)&gt;0,
     COUNTIFS($AM$2:$AM$200,$G62)&gt;0,
     COUNTIFS($AN$2:$AN$200,$G62)&gt;0,
     COUNTIFS($AO$2:$AO$200,$G62)&gt;0,
     COUNTIFS($AP$2:$AP$200,$G62)&gt;0,
     COUNTIFS($AQ$2:$AQ$200,$G62)&gt;0,
     COUNTIFS($AR$2:$AR$200,$G62)&gt;0,
     COUNTIFS($AS$2:$AS$200,$G62)&gt;0,
     COUNTIFS($AT$2:$AT$200,$G62)&gt;0,
     COUNTIFS($AU$2:$AU$200,$G62)&gt;0,
     COUNTIFS($AV$2:$AV$200,$G62)&gt;0,
     COUNTIFS($AW$2:$AW$200,$G62)&gt;0,
     COUNTIFS($AX$2:$AX$200,$G62)&gt;0
   )),
  ),
  3
 ),
"")</f>
        <v/>
      </c>
      <c r="F62" s="3" t="str" cm="1">
        <f t="array" aca="1" ref="F62" ca="1">IFERROR(
 INDEX(
  _xlfn._xlws.FILTER($U$1:$AX$1,
   TRANSPOSE(
    CHOOSE({1;2;3;4;5;6;7;8;9;10;11;12;13;14;15;16;17;18;19;20;21;22;23;24;25;26;27;28;29;30},
     COUNTIFS($U$2:$U$200,$G62)&gt;0,
     COUNTIFS($V$2:$V$200,$G62)&gt;0,
     COUNTIFS($W$2:$W$200,$G62)&gt;0,
     COUNTIFS($X$2:$X$200,$G62)&gt;0,
     COUNTIFS($Y$2:$Y$200,$G62)&gt;0,
     COUNTIFS($Z$2:$Z$200,$G62)&gt;0,
     COUNTIFS($AA$2:$AA$200,$G62)&gt;0,
     COUNTIFS($AB$2:$AB$200,$G62)&gt;0,
     COUNTIFS($AC$2:$AC$200,$G62)&gt;0,
     COUNTIFS($AD$2:$AD$200,$G62)&gt;0,
     COUNTIFS($AE$2:$AE$200,$G62)&gt;0,
     COUNTIFS($AF$2:$AF$200,$G62)&gt;0,
     COUNTIFS($AG$2:$AG$200,$G62)&gt;0,
     COUNTIFS($AH$2:$AH$200,$G62)&gt;0,
     COUNTIFS($AI$2:$AI$200,$G62)&gt;0,
     COUNTIFS($AJ$2:$AJ$200,$G62)&gt;0,
     COUNTIFS($AK$2:$AK$200,$G62)&gt;0,
     COUNTIFS($AL$2:$AL$200,$G62)&gt;0,
     COUNTIFS($AM$2:$AM$200,$G62)&gt;0,
     COUNTIFS($AN$2:$AN$200,$G62)&gt;0,
     COUNTIFS($AO$2:$AO$200,$G62)&gt;0,
     COUNTIFS($AP$2:$AP$200,$G62)&gt;0,
     COUNTIFS($AQ$2:$AQ$200,$G62)&gt;0,
     COUNTIFS($AR$2:$AR$200,$G62)&gt;0,
     COUNTIFS($AS$2:$AS$200,$G62)&gt;0,
     COUNTIFS($AT$2:$AT$200,$G62)&gt;0,
     COUNTIFS($AU$2:$AU$200,$G62)&gt;0,
     COUNTIFS($AV$2:$AV$200,$G62)&gt;0,
     COUNTIFS($AW$2:$AW$200,$G62)&gt;0,
     COUNTIFS($AX$2:$AX$200,$G62)&gt;0
   )),
  ),
  4
 ),
"")</f>
        <v/>
      </c>
      <c r="G62" t="str">
        <f ca="1"/>
        <v>Dispatch</v>
      </c>
      <c r="BC62" t="str">
        <f ca="1"/>
        <v>Zellix, Sanity Flayer</v>
      </c>
      <c r="BS62" t="str">
        <f ca="1"/>
        <v>Relentless Assault</v>
      </c>
      <c r="BT62" t="str">
        <f ca="1"/>
        <v>Vanquisher's Banner</v>
      </c>
      <c r="CB62" t="str">
        <f ca="1"/>
        <v>Hydra's Growth</v>
      </c>
      <c r="CC62" t="str">
        <f ca="1"/>
        <v>Rise of the Eldrazi</v>
      </c>
      <c r="CG62" t="str">
        <f ca="1"/>
        <v>Faerie Slumber Party</v>
      </c>
      <c r="CH62" t="str">
        <f ca="1"/>
        <v>Red XIII, Proud Warrior</v>
      </c>
      <c r="CJ62" t="str">
        <f ca="1"/>
        <v>Dispatch</v>
      </c>
    </row>
    <row r="63" spans="1:88" x14ac:dyDescent="0.25">
      <c r="A63" s="3" t="str">
        <f t="shared" ca="1" si="0"/>
        <v>4</v>
      </c>
      <c r="B63" s="3">
        <f t="shared" ca="1" si="1"/>
        <v>1</v>
      </c>
      <c r="C63" s="3" t="str">
        <f ca="1">IFERROR(
 INDEX($U$1:$AX$1,
  MATCH(TRUE,
   CHOOSE({1;2;3;4;5;6;7;8;9;10;11;12;13;14;15;16;17;18;19;20;21;22;23;24;25;26;27;28;29;30;31;32},
    COUNTIFS($U$2:$U$200,$G63)&gt;0,
    COUNTIFS($V$2:$V$200,$G63)&gt;0,
    COUNTIFS($W$2:$W$200,$G63)&gt;0,
    COUNTIFS($X$2:$X$200,$G63)&gt;0,
    COUNTIFS($Y$2:$Y$200,$G63)&gt;0,
    COUNTIFS($Z$2:$Z$200,$G63)&gt;0,
    COUNTIFS($AA$2:$AA$200,$G63)&gt;0,
    COUNTIFS($AB$2:$AB$200,$G63)&gt;0,
    COUNTIFS($AC$2:$AC$200,$G63)&gt;0,
    COUNTIFS($AD$2:$AD$200,$G63)&gt;0,
    COUNTIFS($AE$2:$AE$200,$G63)&gt;0,
    COUNTIFS($AF$2:$AF$200,$G63)&gt;0,
    COUNTIFS($AG$2:$AG$200,$G63)&gt;0,
    COUNTIFS($AH$2:$AH$200,$G63)&gt;0,
    COUNTIFS($AI$2:$AI$200,$G63)&gt;0,
    COUNTIFS($AJ$2:$AJ$200,$G63)&gt;0,
    COUNTIFS($AK$2:$AK$200,$G63)&gt;0,
    COUNTIFS($AL$2:$AL$200,$G63)&gt;0,
    COUNTIFS($AM$2:$AM$200,$G63)&gt;0,
    COUNTIFS($AN$2:$AN$200,$G63)&gt;0,
    COUNTIFS($AO$2:$AO$200,$G63)&gt;0,
    COUNTIFS($AP$2:$AP$200,$G63)&gt;0,
    COUNTIFS($AQ$2:$AQ$200,$G63)&gt;0,
    COUNTIFS($AR$2:$AR$200,$G63)&gt;0,
    COUNTIFS($AS$2:$AS$200,$G63)&gt;0,
    COUNTIFS($AT$2:$AT$200,$G63)&gt;0,
    COUNTIFS($AU$2:$AU$200,$G63)&gt;0,
    COUNTIFS($AV$2:$AV$200,$G63)&gt;0,
    COUNTIFS($AW$2:$AW$200,$G63)&gt;0,
    COUNTIFS($AX$2:$AX$200,$G63)&gt;0
   ),
  0)
 ),
"")</f>
        <v>OWA</v>
      </c>
      <c r="D63" s="3" t="str" cm="1">
        <f t="array" aca="1" ref="D63" ca="1">IFERROR(
 INDEX(
  _xlfn._xlws.FILTER($U$1:$AX$1,
   TRANSPOSE(
    CHOOSE({1;2;3;4;5;6;7;8;9;10;11;12;13;14;15;16;17;18;19;20;21;22;23;24;25;26;27;28;29;30},
     COUNTIFS($U$2:$U$200,$G63)&gt;0,
     COUNTIFS($V$2:$V$200,$G63)&gt;0,
     COUNTIFS($W$2:$W$200,$G63)&gt;0,
     COUNTIFS($X$2:$X$200,$G63)&gt;0,
     COUNTIFS($Y$2:$Y$200,$G63)&gt;0,
     COUNTIFS($Z$2:$Z$200,$G63)&gt;0,
     COUNTIFS($AA$2:$AA$200,$G63)&gt;0,
     COUNTIFS($AB$2:$AB$200,$G63)&gt;0,
     COUNTIFS($AC$2:$AC$200,$G63)&gt;0,
     COUNTIFS($AD$2:$AD$200,$G63)&gt;0,
     COUNTIFS($AE$2:$AE$200,$G63)&gt;0,
     COUNTIFS($AF$2:$AF$200,$G63)&gt;0,
     COUNTIFS($AG$2:$AG$200,$G63)&gt;0,
     COUNTIFS($AH$2:$AH$200,$G63)&gt;0,
     COUNTIFS($AI$2:$AI$200,$G63)&gt;0,
     COUNTIFS($AJ$2:$AJ$200,$G63)&gt;0,
     COUNTIFS($AK$2:$AK$200,$G63)&gt;0,
     COUNTIFS($AL$2:$AL$200,$G63)&gt;0,
     COUNTIFS($AM$2:$AM$200,$G63)&gt;0,
     COUNTIFS($AN$2:$AN$200,$G63)&gt;0,
     COUNTIFS($AO$2:$AO$200,$G63)&gt;0,
     COUNTIFS($AP$2:$AP$200,$G63)&gt;0,
     COUNTIFS($AQ$2:$AQ$200,$G63)&gt;0,
     COUNTIFS($AR$2:$AR$200,$G63)&gt;0,
     COUNTIFS($AS$2:$AS$200,$G63)&gt;0,
     COUNTIFS($AT$2:$AT$200,$G63)&gt;0,
     COUNTIFS($AU$2:$AU$200,$G63)&gt;0,
     COUNTIFS($AV$2:$AV$200,$G63)&gt;0,
     COUNTIFS($AW$2:$AW$200,$G63)&gt;0,
     COUNTIFS($AX$2:$AX$200,$G63)&gt;0
   )),
  ),
  2
 ),
"")</f>
        <v/>
      </c>
      <c r="E63" s="3" t="str" cm="1">
        <f t="array" aca="1" ref="E63" ca="1">IFERROR(
 INDEX(
  _xlfn._xlws.FILTER($U$1:$AX$1,
   TRANSPOSE(
    CHOOSE({1;2;3;4;5;6;7;8;9;10;11;12;13;14;15;16;17;18;19;20;21;22;23;24;25;26;27;28;29;30},
     COUNTIFS($U$2:$U$200,$G63)&gt;0,
     COUNTIFS($V$2:$V$200,$G63)&gt;0,
     COUNTIFS($W$2:$W$200,$G63)&gt;0,
     COUNTIFS($X$2:$X$200,$G63)&gt;0,
     COUNTIFS($Y$2:$Y$200,$G63)&gt;0,
     COUNTIFS($Z$2:$Z$200,$G63)&gt;0,
     COUNTIFS($AA$2:$AA$200,$G63)&gt;0,
     COUNTIFS($AB$2:$AB$200,$G63)&gt;0,
     COUNTIFS($AC$2:$AC$200,$G63)&gt;0,
     COUNTIFS($AD$2:$AD$200,$G63)&gt;0,
     COUNTIFS($AE$2:$AE$200,$G63)&gt;0,
     COUNTIFS($AF$2:$AF$200,$G63)&gt;0,
     COUNTIFS($AG$2:$AG$200,$G63)&gt;0,
     COUNTIFS($AH$2:$AH$200,$G63)&gt;0,
     COUNTIFS($AI$2:$AI$200,$G63)&gt;0,
     COUNTIFS($AJ$2:$AJ$200,$G63)&gt;0,
     COUNTIFS($AK$2:$AK$200,$G63)&gt;0,
     COUNTIFS($AL$2:$AL$200,$G63)&gt;0,
     COUNTIFS($AM$2:$AM$200,$G63)&gt;0,
     COUNTIFS($AN$2:$AN$200,$G63)&gt;0,
     COUNTIFS($AO$2:$AO$200,$G63)&gt;0,
     COUNTIFS($AP$2:$AP$200,$G63)&gt;0,
     COUNTIFS($AQ$2:$AQ$200,$G63)&gt;0,
     COUNTIFS($AR$2:$AR$200,$G63)&gt;0,
     COUNTIFS($AS$2:$AS$200,$G63)&gt;0,
     COUNTIFS($AT$2:$AT$200,$G63)&gt;0,
     COUNTIFS($AU$2:$AU$200,$G63)&gt;0,
     COUNTIFS($AV$2:$AV$200,$G63)&gt;0,
     COUNTIFS($AW$2:$AW$200,$G63)&gt;0,
     COUNTIFS($AX$2:$AX$200,$G63)&gt;0
   )),
  ),
  3
 ),
"")</f>
        <v/>
      </c>
      <c r="F63" s="3" t="str" cm="1">
        <f t="array" aca="1" ref="F63" ca="1">IFERROR(
 INDEX(
  _xlfn._xlws.FILTER($U$1:$AX$1,
   TRANSPOSE(
    CHOOSE({1;2;3;4;5;6;7;8;9;10;11;12;13;14;15;16;17;18;19;20;21;22;23;24;25;26;27;28;29;30},
     COUNTIFS($U$2:$U$200,$G63)&gt;0,
     COUNTIFS($V$2:$V$200,$G63)&gt;0,
     COUNTIFS($W$2:$W$200,$G63)&gt;0,
     COUNTIFS($X$2:$X$200,$G63)&gt;0,
     COUNTIFS($Y$2:$Y$200,$G63)&gt;0,
     COUNTIFS($Z$2:$Z$200,$G63)&gt;0,
     COUNTIFS($AA$2:$AA$200,$G63)&gt;0,
     COUNTIFS($AB$2:$AB$200,$G63)&gt;0,
     COUNTIFS($AC$2:$AC$200,$G63)&gt;0,
     COUNTIFS($AD$2:$AD$200,$G63)&gt;0,
     COUNTIFS($AE$2:$AE$200,$G63)&gt;0,
     COUNTIFS($AF$2:$AF$200,$G63)&gt;0,
     COUNTIFS($AG$2:$AG$200,$G63)&gt;0,
     COUNTIFS($AH$2:$AH$200,$G63)&gt;0,
     COUNTIFS($AI$2:$AI$200,$G63)&gt;0,
     COUNTIFS($AJ$2:$AJ$200,$G63)&gt;0,
     COUNTIFS($AK$2:$AK$200,$G63)&gt;0,
     COUNTIFS($AL$2:$AL$200,$G63)&gt;0,
     COUNTIFS($AM$2:$AM$200,$G63)&gt;0,
     COUNTIFS($AN$2:$AN$200,$G63)&gt;0,
     COUNTIFS($AO$2:$AO$200,$G63)&gt;0,
     COUNTIFS($AP$2:$AP$200,$G63)&gt;0,
     COUNTIFS($AQ$2:$AQ$200,$G63)&gt;0,
     COUNTIFS($AR$2:$AR$200,$G63)&gt;0,
     COUNTIFS($AS$2:$AS$200,$G63)&gt;0,
     COUNTIFS($AT$2:$AT$200,$G63)&gt;0,
     COUNTIFS($AU$2:$AU$200,$G63)&gt;0,
     COUNTIFS($AV$2:$AV$200,$G63)&gt;0,
     COUNTIFS($AW$2:$AW$200,$G63)&gt;0,
     COUNTIFS($AX$2:$AX$200,$G63)&gt;0
   )),
  ),
  4
 ),
"")</f>
        <v/>
      </c>
      <c r="G63" t="str">
        <f ca="1"/>
        <v>Dollmaker's Shop // Porcelain Gallery</v>
      </c>
      <c r="BS63" t="str">
        <f ca="1"/>
        <v>Reliquary Tower</v>
      </c>
      <c r="BT63" t="str">
        <f ca="1"/>
        <v>Vault of the Archangel</v>
      </c>
      <c r="CB63" t="str">
        <f ca="1"/>
        <v>Incendiary Command</v>
      </c>
      <c r="CC63" t="str">
        <f ca="1"/>
        <v>Rotating Fireplace</v>
      </c>
      <c r="CG63" t="str">
        <f ca="1"/>
        <v>Farmer Cotton</v>
      </c>
      <c r="CH63" t="str">
        <f ca="1"/>
        <v>Reflecting Pool</v>
      </c>
      <c r="CJ63" t="str">
        <f ca="1"/>
        <v>Dollmaker's Shop // Porcelain Gallery</v>
      </c>
    </row>
    <row r="64" spans="1:88" x14ac:dyDescent="0.25">
      <c r="A64" s="3" t="str">
        <f t="shared" ca="1" si="0"/>
        <v>2</v>
      </c>
      <c r="B64" s="3">
        <f t="shared" ca="1" si="1"/>
        <v>2</v>
      </c>
      <c r="C64" s="3" t="str">
        <f ca="1">IFERROR(
 INDEX($U$1:$AX$1,
  MATCH(TRUE,
   CHOOSE({1;2;3;4;5;6;7;8;9;10;11;12;13;14;15;16;17;18;19;20;21;22;23;24;25;26;27;28;29;30;31;32},
    COUNTIFS($U$2:$U$200,$G64)&gt;0,
    COUNTIFS($V$2:$V$200,$G64)&gt;0,
    COUNTIFS($W$2:$W$200,$G64)&gt;0,
    COUNTIFS($X$2:$X$200,$G64)&gt;0,
    COUNTIFS($Y$2:$Y$200,$G64)&gt;0,
    COUNTIFS($Z$2:$Z$200,$G64)&gt;0,
    COUNTIFS($AA$2:$AA$200,$G64)&gt;0,
    COUNTIFS($AB$2:$AB$200,$G64)&gt;0,
    COUNTIFS($AC$2:$AC$200,$G64)&gt;0,
    COUNTIFS($AD$2:$AD$200,$G64)&gt;0,
    COUNTIFS($AE$2:$AE$200,$G64)&gt;0,
    COUNTIFS($AF$2:$AF$200,$G64)&gt;0,
    COUNTIFS($AG$2:$AG$200,$G64)&gt;0,
    COUNTIFS($AH$2:$AH$200,$G64)&gt;0,
    COUNTIFS($AI$2:$AI$200,$G64)&gt;0,
    COUNTIFS($AJ$2:$AJ$200,$G64)&gt;0,
    COUNTIFS($AK$2:$AK$200,$G64)&gt;0,
    COUNTIFS($AL$2:$AL$200,$G64)&gt;0,
    COUNTIFS($AM$2:$AM$200,$G64)&gt;0,
    COUNTIFS($AN$2:$AN$200,$G64)&gt;0,
    COUNTIFS($AO$2:$AO$200,$G64)&gt;0,
    COUNTIFS($AP$2:$AP$200,$G64)&gt;0,
    COUNTIFS($AQ$2:$AQ$200,$G64)&gt;0,
    COUNTIFS($AR$2:$AR$200,$G64)&gt;0,
    COUNTIFS($AS$2:$AS$200,$G64)&gt;0,
    COUNTIFS($AT$2:$AT$200,$G64)&gt;0,
    COUNTIFS($AU$2:$AU$200,$G64)&gt;0,
    COUNTIFS($AV$2:$AV$200,$G64)&gt;0,
    COUNTIFS($AW$2:$AW$200,$G64)&gt;0,
    COUNTIFS($AX$2:$AX$200,$G64)&gt;0
   ),
  0)
 ),
"")</f>
        <v>Rani</v>
      </c>
      <c r="D64" s="3" t="str" cm="1">
        <f t="array" aca="1" ref="D64" ca="1">IFERROR(
 INDEX(
  _xlfn._xlws.FILTER($U$1:$AX$1,
   TRANSPOSE(
    CHOOSE({1;2;3;4;5;6;7;8;9;10;11;12;13;14;15;16;17;18;19;20;21;22;23;24;25;26;27;28;29;30},
     COUNTIFS($U$2:$U$200,$G64)&gt;0,
     COUNTIFS($V$2:$V$200,$G64)&gt;0,
     COUNTIFS($W$2:$W$200,$G64)&gt;0,
     COUNTIFS($X$2:$X$200,$G64)&gt;0,
     COUNTIFS($Y$2:$Y$200,$G64)&gt;0,
     COUNTIFS($Z$2:$Z$200,$G64)&gt;0,
     COUNTIFS($AA$2:$AA$200,$G64)&gt;0,
     COUNTIFS($AB$2:$AB$200,$G64)&gt;0,
     COUNTIFS($AC$2:$AC$200,$G64)&gt;0,
     COUNTIFS($AD$2:$AD$200,$G64)&gt;0,
     COUNTIFS($AE$2:$AE$200,$G64)&gt;0,
     COUNTIFS($AF$2:$AF$200,$G64)&gt;0,
     COUNTIFS($AG$2:$AG$200,$G64)&gt;0,
     COUNTIFS($AH$2:$AH$200,$G64)&gt;0,
     COUNTIFS($AI$2:$AI$200,$G64)&gt;0,
     COUNTIFS($AJ$2:$AJ$200,$G64)&gt;0,
     COUNTIFS($AK$2:$AK$200,$G64)&gt;0,
     COUNTIFS($AL$2:$AL$200,$G64)&gt;0,
     COUNTIFS($AM$2:$AM$200,$G64)&gt;0,
     COUNTIFS($AN$2:$AN$200,$G64)&gt;0,
     COUNTIFS($AO$2:$AO$200,$G64)&gt;0,
     COUNTIFS($AP$2:$AP$200,$G64)&gt;0,
     COUNTIFS($AQ$2:$AQ$200,$G64)&gt;0,
     COUNTIFS($AR$2:$AR$200,$G64)&gt;0,
     COUNTIFS($AS$2:$AS$200,$G64)&gt;0,
     COUNTIFS($AT$2:$AT$200,$G64)&gt;0,
     COUNTIFS($AU$2:$AU$200,$G64)&gt;0,
     COUNTIFS($AV$2:$AV$200,$G64)&gt;0,
     COUNTIFS($AW$2:$AW$200,$G64)&gt;0,
     COUNTIFS($AX$2:$AX$200,$G64)&gt;0
   )),
  ),
  2
 ),
"")</f>
        <v>Yuriko</v>
      </c>
      <c r="E64" s="3" t="str" cm="1">
        <f t="array" aca="1" ref="E64" ca="1">IFERROR(
 INDEX(
  _xlfn._xlws.FILTER($U$1:$AX$1,
   TRANSPOSE(
    CHOOSE({1;2;3;4;5;6;7;8;9;10;11;12;13;14;15;16;17;18;19;20;21;22;23;24;25;26;27;28;29;30},
     COUNTIFS($U$2:$U$200,$G64)&gt;0,
     COUNTIFS($V$2:$V$200,$G64)&gt;0,
     COUNTIFS($W$2:$W$200,$G64)&gt;0,
     COUNTIFS($X$2:$X$200,$G64)&gt;0,
     COUNTIFS($Y$2:$Y$200,$G64)&gt;0,
     COUNTIFS($Z$2:$Z$200,$G64)&gt;0,
     COUNTIFS($AA$2:$AA$200,$G64)&gt;0,
     COUNTIFS($AB$2:$AB$200,$G64)&gt;0,
     COUNTIFS($AC$2:$AC$200,$G64)&gt;0,
     COUNTIFS($AD$2:$AD$200,$G64)&gt;0,
     COUNTIFS($AE$2:$AE$200,$G64)&gt;0,
     COUNTIFS($AF$2:$AF$200,$G64)&gt;0,
     COUNTIFS($AG$2:$AG$200,$G64)&gt;0,
     COUNTIFS($AH$2:$AH$200,$G64)&gt;0,
     COUNTIFS($AI$2:$AI$200,$G64)&gt;0,
     COUNTIFS($AJ$2:$AJ$200,$G64)&gt;0,
     COUNTIFS($AK$2:$AK$200,$G64)&gt;0,
     COUNTIFS($AL$2:$AL$200,$G64)&gt;0,
     COUNTIFS($AM$2:$AM$200,$G64)&gt;0,
     COUNTIFS($AN$2:$AN$200,$G64)&gt;0,
     COUNTIFS($AO$2:$AO$200,$G64)&gt;0,
     COUNTIFS($AP$2:$AP$200,$G64)&gt;0,
     COUNTIFS($AQ$2:$AQ$200,$G64)&gt;0,
     COUNTIFS($AR$2:$AR$200,$G64)&gt;0,
     COUNTIFS($AS$2:$AS$200,$G64)&gt;0,
     COUNTIFS($AT$2:$AT$200,$G64)&gt;0,
     COUNTIFS($AU$2:$AU$200,$G64)&gt;0,
     COUNTIFS($AV$2:$AV$200,$G64)&gt;0,
     COUNTIFS($AW$2:$AW$200,$G64)&gt;0,
     COUNTIFS($AX$2:$AX$200,$G64)&gt;0
   )),
  ),
  3
 ),
"")</f>
        <v/>
      </c>
      <c r="F64" s="3" t="str" cm="1">
        <f t="array" aca="1" ref="F64" ca="1">IFERROR(
 INDEX(
  _xlfn._xlws.FILTER($U$1:$AX$1,
   TRANSPOSE(
    CHOOSE({1;2;3;4;5;6;7;8;9;10;11;12;13;14;15;16;17;18;19;20;21;22;23;24;25;26;27;28;29;30},
     COUNTIFS($U$2:$U$200,$G64)&gt;0,
     COUNTIFS($V$2:$V$200,$G64)&gt;0,
     COUNTIFS($W$2:$W$200,$G64)&gt;0,
     COUNTIFS($X$2:$X$200,$G64)&gt;0,
     COUNTIFS($Y$2:$Y$200,$G64)&gt;0,
     COUNTIFS($Z$2:$Z$200,$G64)&gt;0,
     COUNTIFS($AA$2:$AA$200,$G64)&gt;0,
     COUNTIFS($AB$2:$AB$200,$G64)&gt;0,
     COUNTIFS($AC$2:$AC$200,$G64)&gt;0,
     COUNTIFS($AD$2:$AD$200,$G64)&gt;0,
     COUNTIFS($AE$2:$AE$200,$G64)&gt;0,
     COUNTIFS($AF$2:$AF$200,$G64)&gt;0,
     COUNTIFS($AG$2:$AG$200,$G64)&gt;0,
     COUNTIFS($AH$2:$AH$200,$G64)&gt;0,
     COUNTIFS($AI$2:$AI$200,$G64)&gt;0,
     COUNTIFS($AJ$2:$AJ$200,$G64)&gt;0,
     COUNTIFS($AK$2:$AK$200,$G64)&gt;0,
     COUNTIFS($AL$2:$AL$200,$G64)&gt;0,
     COUNTIFS($AM$2:$AM$200,$G64)&gt;0,
     COUNTIFS($AN$2:$AN$200,$G64)&gt;0,
     COUNTIFS($AO$2:$AO$200,$G64)&gt;0,
     COUNTIFS($AP$2:$AP$200,$G64)&gt;0,
     COUNTIFS($AQ$2:$AQ$200,$G64)&gt;0,
     COUNTIFS($AR$2:$AR$200,$G64)&gt;0,
     COUNTIFS($AS$2:$AS$200,$G64)&gt;0,
     COUNTIFS($AT$2:$AT$200,$G64)&gt;0,
     COUNTIFS($AU$2:$AU$200,$G64)&gt;0,
     COUNTIFS($AV$2:$AV$200,$G64)&gt;0,
     COUNTIFS($AW$2:$AW$200,$G64)&gt;0,
     COUNTIFS($AX$2:$AX$200,$G64)&gt;0
   )),
  ),
  4
 ),
"")</f>
        <v/>
      </c>
      <c r="G64" t="str">
        <f ca="1"/>
        <v>Drowned Catacomb</v>
      </c>
      <c r="BS64" t="str">
        <f ca="1"/>
        <v>Resourceful Defense</v>
      </c>
      <c r="BT64" t="str">
        <f ca="1"/>
        <v>Xantcha, Agente Adormecida</v>
      </c>
      <c r="CB64" t="str">
        <f ca="1"/>
        <v>Incubation Druid</v>
      </c>
      <c r="CC64" t="str">
        <f ca="1"/>
        <v>Satoru, the Infiltrator</v>
      </c>
      <c r="CG64" t="str">
        <f ca="1"/>
        <v>Farseek</v>
      </c>
      <c r="CH64" t="str">
        <f ca="1"/>
        <v>Renewed Solidarity</v>
      </c>
      <c r="CJ64" t="str">
        <f ca="1"/>
        <v>Drowned Catacomb</v>
      </c>
    </row>
    <row r="65" spans="1:88" x14ac:dyDescent="0.25">
      <c r="A65" s="3" t="str">
        <f t="shared" ca="1" si="0"/>
        <v>2</v>
      </c>
      <c r="B65" s="3">
        <f t="shared" ca="1" si="1"/>
        <v>1</v>
      </c>
      <c r="C65" s="3" t="str">
        <f ca="1">IFERROR(
 INDEX($U$1:$AX$1,
  MATCH(TRUE,
   CHOOSE({1;2;3;4;5;6;7;8;9;10;11;12;13;14;15;16;17;18;19;20;21;22;23;24;25;26;27;28;29;30;31;32},
    COUNTIFS($U$2:$U$200,$G65)&gt;0,
    COUNTIFS($V$2:$V$200,$G65)&gt;0,
    COUNTIFS($W$2:$W$200,$G65)&gt;0,
    COUNTIFS($X$2:$X$200,$G65)&gt;0,
    COUNTIFS($Y$2:$Y$200,$G65)&gt;0,
    COUNTIFS($Z$2:$Z$200,$G65)&gt;0,
    COUNTIFS($AA$2:$AA$200,$G65)&gt;0,
    COUNTIFS($AB$2:$AB$200,$G65)&gt;0,
    COUNTIFS($AC$2:$AC$200,$G65)&gt;0,
    COUNTIFS($AD$2:$AD$200,$G65)&gt;0,
    COUNTIFS($AE$2:$AE$200,$G65)&gt;0,
    COUNTIFS($AF$2:$AF$200,$G65)&gt;0,
    COUNTIFS($AG$2:$AG$200,$G65)&gt;0,
    COUNTIFS($AH$2:$AH$200,$G65)&gt;0,
    COUNTIFS($AI$2:$AI$200,$G65)&gt;0,
    COUNTIFS($AJ$2:$AJ$200,$G65)&gt;0,
    COUNTIFS($AK$2:$AK$200,$G65)&gt;0,
    COUNTIFS($AL$2:$AL$200,$G65)&gt;0,
    COUNTIFS($AM$2:$AM$200,$G65)&gt;0,
    COUNTIFS($AN$2:$AN$200,$G65)&gt;0,
    COUNTIFS($AO$2:$AO$200,$G65)&gt;0,
    COUNTIFS($AP$2:$AP$200,$G65)&gt;0,
    COUNTIFS($AQ$2:$AQ$200,$G65)&gt;0,
    COUNTIFS($AR$2:$AR$200,$G65)&gt;0,
    COUNTIFS($AS$2:$AS$200,$G65)&gt;0,
    COUNTIFS($AT$2:$AT$200,$G65)&gt;0,
    COUNTIFS($AU$2:$AU$200,$G65)&gt;0,
    COUNTIFS($AV$2:$AV$200,$G65)&gt;0,
    COUNTIFS($AW$2:$AW$200,$G65)&gt;0,
    COUNTIFS($AX$2:$AX$200,$G65)&gt;0
   ),
  0)
 ),
"")</f>
        <v>Rani</v>
      </c>
      <c r="D65" s="3" t="str" cm="1">
        <f t="array" aca="1" ref="D65" ca="1">IFERROR(
 INDEX(
  _xlfn._xlws.FILTER($U$1:$AX$1,
   TRANSPOSE(
    CHOOSE({1;2;3;4;5;6;7;8;9;10;11;12;13;14;15;16;17;18;19;20;21;22;23;24;25;26;27;28;29;30},
     COUNTIFS($U$2:$U$200,$G65)&gt;0,
     COUNTIFS($V$2:$V$200,$G65)&gt;0,
     COUNTIFS($W$2:$W$200,$G65)&gt;0,
     COUNTIFS($X$2:$X$200,$G65)&gt;0,
     COUNTIFS($Y$2:$Y$200,$G65)&gt;0,
     COUNTIFS($Z$2:$Z$200,$G65)&gt;0,
     COUNTIFS($AA$2:$AA$200,$G65)&gt;0,
     COUNTIFS($AB$2:$AB$200,$G65)&gt;0,
     COUNTIFS($AC$2:$AC$200,$G65)&gt;0,
     COUNTIFS($AD$2:$AD$200,$G65)&gt;0,
     COUNTIFS($AE$2:$AE$200,$G65)&gt;0,
     COUNTIFS($AF$2:$AF$200,$G65)&gt;0,
     COUNTIFS($AG$2:$AG$200,$G65)&gt;0,
     COUNTIFS($AH$2:$AH$200,$G65)&gt;0,
     COUNTIFS($AI$2:$AI$200,$G65)&gt;0,
     COUNTIFS($AJ$2:$AJ$200,$G65)&gt;0,
     COUNTIFS($AK$2:$AK$200,$G65)&gt;0,
     COUNTIFS($AL$2:$AL$200,$G65)&gt;0,
     COUNTIFS($AM$2:$AM$200,$G65)&gt;0,
     COUNTIFS($AN$2:$AN$200,$G65)&gt;0,
     COUNTIFS($AO$2:$AO$200,$G65)&gt;0,
     COUNTIFS($AP$2:$AP$200,$G65)&gt;0,
     COUNTIFS($AQ$2:$AQ$200,$G65)&gt;0,
     COUNTIFS($AR$2:$AR$200,$G65)&gt;0,
     COUNTIFS($AS$2:$AS$200,$G65)&gt;0,
     COUNTIFS($AT$2:$AT$200,$G65)&gt;0,
     COUNTIFS($AU$2:$AU$200,$G65)&gt;0,
     COUNTIFS($AV$2:$AV$200,$G65)&gt;0,
     COUNTIFS($AW$2:$AW$200,$G65)&gt;0,
     COUNTIFS($AX$2:$AX$200,$G65)&gt;0
   )),
  ),
  2
 ),
"")</f>
        <v/>
      </c>
      <c r="E65" s="3" t="str" cm="1">
        <f t="array" aca="1" ref="E65" ca="1">IFERROR(
 INDEX(
  _xlfn._xlws.FILTER($U$1:$AX$1,
   TRANSPOSE(
    CHOOSE({1;2;3;4;5;6;7;8;9;10;11;12;13;14;15;16;17;18;19;20;21;22;23;24;25;26;27;28;29;30},
     COUNTIFS($U$2:$U$200,$G65)&gt;0,
     COUNTIFS($V$2:$V$200,$G65)&gt;0,
     COUNTIFS($W$2:$W$200,$G65)&gt;0,
     COUNTIFS($X$2:$X$200,$G65)&gt;0,
     COUNTIFS($Y$2:$Y$200,$G65)&gt;0,
     COUNTIFS($Z$2:$Z$200,$G65)&gt;0,
     COUNTIFS($AA$2:$AA$200,$G65)&gt;0,
     COUNTIFS($AB$2:$AB$200,$G65)&gt;0,
     COUNTIFS($AC$2:$AC$200,$G65)&gt;0,
     COUNTIFS($AD$2:$AD$200,$G65)&gt;0,
     COUNTIFS($AE$2:$AE$200,$G65)&gt;0,
     COUNTIFS($AF$2:$AF$200,$G65)&gt;0,
     COUNTIFS($AG$2:$AG$200,$G65)&gt;0,
     COUNTIFS($AH$2:$AH$200,$G65)&gt;0,
     COUNTIFS($AI$2:$AI$200,$G65)&gt;0,
     COUNTIFS($AJ$2:$AJ$200,$G65)&gt;0,
     COUNTIFS($AK$2:$AK$200,$G65)&gt;0,
     COUNTIFS($AL$2:$AL$200,$G65)&gt;0,
     COUNTIFS($AM$2:$AM$200,$G65)&gt;0,
     COUNTIFS($AN$2:$AN$200,$G65)&gt;0,
     COUNTIFS($AO$2:$AO$200,$G65)&gt;0,
     COUNTIFS($AP$2:$AP$200,$G65)&gt;0,
     COUNTIFS($AQ$2:$AQ$200,$G65)&gt;0,
     COUNTIFS($AR$2:$AR$200,$G65)&gt;0,
     COUNTIFS($AS$2:$AS$200,$G65)&gt;0,
     COUNTIFS($AT$2:$AT$200,$G65)&gt;0,
     COUNTIFS($AU$2:$AU$200,$G65)&gt;0,
     COUNTIFS($AV$2:$AV$200,$G65)&gt;0,
     COUNTIFS($AW$2:$AW$200,$G65)&gt;0,
     COUNTIFS($AX$2:$AX$200,$G65)&gt;0
   )),
  ),
  3
 ),
"")</f>
        <v/>
      </c>
      <c r="F65" s="3" t="str" cm="1">
        <f t="array" aca="1" ref="F65" ca="1">IFERROR(
 INDEX(
  _xlfn._xlws.FILTER($U$1:$AX$1,
   TRANSPOSE(
    CHOOSE({1;2;3;4;5;6;7;8;9;10;11;12;13;14;15;16;17;18;19;20;21;22;23;24;25;26;27;28;29;30},
     COUNTIFS($U$2:$U$200,$G65)&gt;0,
     COUNTIFS($V$2:$V$200,$G65)&gt;0,
     COUNTIFS($W$2:$W$200,$G65)&gt;0,
     COUNTIFS($X$2:$X$200,$G65)&gt;0,
     COUNTIFS($Y$2:$Y$200,$G65)&gt;0,
     COUNTIFS($Z$2:$Z$200,$G65)&gt;0,
     COUNTIFS($AA$2:$AA$200,$G65)&gt;0,
     COUNTIFS($AB$2:$AB$200,$G65)&gt;0,
     COUNTIFS($AC$2:$AC$200,$G65)&gt;0,
     COUNTIFS($AD$2:$AD$200,$G65)&gt;0,
     COUNTIFS($AE$2:$AE$200,$G65)&gt;0,
     COUNTIFS($AF$2:$AF$200,$G65)&gt;0,
     COUNTIFS($AG$2:$AG$200,$G65)&gt;0,
     COUNTIFS($AH$2:$AH$200,$G65)&gt;0,
     COUNTIFS($AI$2:$AI$200,$G65)&gt;0,
     COUNTIFS($AJ$2:$AJ$200,$G65)&gt;0,
     COUNTIFS($AK$2:$AK$200,$G65)&gt;0,
     COUNTIFS($AL$2:$AL$200,$G65)&gt;0,
     COUNTIFS($AM$2:$AM$200,$G65)&gt;0,
     COUNTIFS($AN$2:$AN$200,$G65)&gt;0,
     COUNTIFS($AO$2:$AO$200,$G65)&gt;0,
     COUNTIFS($AP$2:$AP$200,$G65)&gt;0,
     COUNTIFS($AQ$2:$AQ$200,$G65)&gt;0,
     COUNTIFS($AR$2:$AR$200,$G65)&gt;0,
     COUNTIFS($AS$2:$AS$200,$G65)&gt;0,
     COUNTIFS($AT$2:$AT$200,$G65)&gt;0,
     COUNTIFS($AU$2:$AU$200,$G65)&gt;0,
     COUNTIFS($AV$2:$AV$200,$G65)&gt;0,
     COUNTIFS($AW$2:$AW$200,$G65)&gt;0,
     COUNTIFS($AX$2:$AX$200,$G65)&gt;0
   )),
  ),
  4
 ),
"")</f>
        <v/>
      </c>
      <c r="G65" t="str">
        <f ca="1"/>
        <v>Dúplice Debochada</v>
      </c>
      <c r="BS65" t="str">
        <f ca="1"/>
        <v>Reyhan, Last of the Abzan</v>
      </c>
      <c r="BT65" t="str">
        <f ca="1"/>
        <v>Zagoth Triome</v>
      </c>
      <c r="CB65" t="str">
        <f ca="1"/>
        <v>Irenicus's Vile Duplication</v>
      </c>
      <c r="CC65" t="str">
        <f ca="1"/>
        <v>Saw in Half</v>
      </c>
      <c r="CG65" t="str">
        <f ca="1"/>
        <v>Fellwar Stone</v>
      </c>
      <c r="CH65" t="str">
        <f ca="1"/>
        <v>Rustvale Bridge</v>
      </c>
      <c r="CJ65" t="str">
        <f ca="1"/>
        <v>Dúplice Debochada</v>
      </c>
    </row>
    <row r="66" spans="1:88" x14ac:dyDescent="0.25">
      <c r="A66" s="3" t="str">
        <f t="shared" ca="1" si="0"/>
        <v>1</v>
      </c>
      <c r="B66" s="3">
        <f t="shared" ca="1" si="1"/>
        <v>1</v>
      </c>
      <c r="C66" s="3" t="str">
        <f ca="1">IFERROR(
 INDEX($U$1:$AX$1,
  MATCH(TRUE,
   CHOOSE({1;2;3;4;5;6;7;8;9;10;11;12;13;14;15;16;17;18;19;20;21;22;23;24;25;26;27;28;29;30;31;32},
    COUNTIFS($U$2:$U$200,$G66)&gt;0,
    COUNTIFS($V$2:$V$200,$G66)&gt;0,
    COUNTIFS($W$2:$W$200,$G66)&gt;0,
    COUNTIFS($X$2:$X$200,$G66)&gt;0,
    COUNTIFS($Y$2:$Y$200,$G66)&gt;0,
    COUNTIFS($Z$2:$Z$200,$G66)&gt;0,
    COUNTIFS($AA$2:$AA$200,$G66)&gt;0,
    COUNTIFS($AB$2:$AB$200,$G66)&gt;0,
    COUNTIFS($AC$2:$AC$200,$G66)&gt;0,
    COUNTIFS($AD$2:$AD$200,$G66)&gt;0,
    COUNTIFS($AE$2:$AE$200,$G66)&gt;0,
    COUNTIFS($AF$2:$AF$200,$G66)&gt;0,
    COUNTIFS($AG$2:$AG$200,$G66)&gt;0,
    COUNTIFS($AH$2:$AH$200,$G66)&gt;0,
    COUNTIFS($AI$2:$AI$200,$G66)&gt;0,
    COUNTIFS($AJ$2:$AJ$200,$G66)&gt;0,
    COUNTIFS($AK$2:$AK$200,$G66)&gt;0,
    COUNTIFS($AL$2:$AL$200,$G66)&gt;0,
    COUNTIFS($AM$2:$AM$200,$G66)&gt;0,
    COUNTIFS($AN$2:$AN$200,$G66)&gt;0,
    COUNTIFS($AO$2:$AO$200,$G66)&gt;0,
    COUNTIFS($AP$2:$AP$200,$G66)&gt;0,
    COUNTIFS($AQ$2:$AQ$200,$G66)&gt;0,
    COUNTIFS($AR$2:$AR$200,$G66)&gt;0,
    COUNTIFS($AS$2:$AS$200,$G66)&gt;0,
    COUNTIFS($AT$2:$AT$200,$G66)&gt;0,
    COUNTIFS($AU$2:$AU$200,$G66)&gt;0,
    COUNTIFS($AV$2:$AV$200,$G66)&gt;0,
    COUNTIFS($AW$2:$AW$200,$G66)&gt;0,
    COUNTIFS($AX$2:$AX$200,$G66)&gt;0
   ),
  0)
 ),
"")</f>
        <v>Modular</v>
      </c>
      <c r="D66" s="3" t="str" cm="1">
        <f t="array" aca="1" ref="D66" ca="1">IFERROR(
 INDEX(
  _xlfn._xlws.FILTER($U$1:$AX$1,
   TRANSPOSE(
    CHOOSE({1;2;3;4;5;6;7;8;9;10;11;12;13;14;15;16;17;18;19;20;21;22;23;24;25;26;27;28;29;30},
     COUNTIFS($U$2:$U$200,$G66)&gt;0,
     COUNTIFS($V$2:$V$200,$G66)&gt;0,
     COUNTIFS($W$2:$W$200,$G66)&gt;0,
     COUNTIFS($X$2:$X$200,$G66)&gt;0,
     COUNTIFS($Y$2:$Y$200,$G66)&gt;0,
     COUNTIFS($Z$2:$Z$200,$G66)&gt;0,
     COUNTIFS($AA$2:$AA$200,$G66)&gt;0,
     COUNTIFS($AB$2:$AB$200,$G66)&gt;0,
     COUNTIFS($AC$2:$AC$200,$G66)&gt;0,
     COUNTIFS($AD$2:$AD$200,$G66)&gt;0,
     COUNTIFS($AE$2:$AE$200,$G66)&gt;0,
     COUNTIFS($AF$2:$AF$200,$G66)&gt;0,
     COUNTIFS($AG$2:$AG$200,$G66)&gt;0,
     COUNTIFS($AH$2:$AH$200,$G66)&gt;0,
     COUNTIFS($AI$2:$AI$200,$G66)&gt;0,
     COUNTIFS($AJ$2:$AJ$200,$G66)&gt;0,
     COUNTIFS($AK$2:$AK$200,$G66)&gt;0,
     COUNTIFS($AL$2:$AL$200,$G66)&gt;0,
     COUNTIFS($AM$2:$AM$200,$G66)&gt;0,
     COUNTIFS($AN$2:$AN$200,$G66)&gt;0,
     COUNTIFS($AO$2:$AO$200,$G66)&gt;0,
     COUNTIFS($AP$2:$AP$200,$G66)&gt;0,
     COUNTIFS($AQ$2:$AQ$200,$G66)&gt;0,
     COUNTIFS($AR$2:$AR$200,$G66)&gt;0,
     COUNTIFS($AS$2:$AS$200,$G66)&gt;0,
     COUNTIFS($AT$2:$AT$200,$G66)&gt;0,
     COUNTIFS($AU$2:$AU$200,$G66)&gt;0,
     COUNTIFS($AV$2:$AV$200,$G66)&gt;0,
     COUNTIFS($AW$2:$AW$200,$G66)&gt;0,
     COUNTIFS($AX$2:$AX$200,$G66)&gt;0
   )),
  ),
  2
 ),
"")</f>
        <v/>
      </c>
      <c r="E66" s="3" t="str" cm="1">
        <f t="array" aca="1" ref="E66" ca="1">IFERROR(
 INDEX(
  _xlfn._xlws.FILTER($U$1:$AX$1,
   TRANSPOSE(
    CHOOSE({1;2;3;4;5;6;7;8;9;10;11;12;13;14;15;16;17;18;19;20;21;22;23;24;25;26;27;28;29;30},
     COUNTIFS($U$2:$U$200,$G66)&gt;0,
     COUNTIFS($V$2:$V$200,$G66)&gt;0,
     COUNTIFS($W$2:$W$200,$G66)&gt;0,
     COUNTIFS($X$2:$X$200,$G66)&gt;0,
     COUNTIFS($Y$2:$Y$200,$G66)&gt;0,
     COUNTIFS($Z$2:$Z$200,$G66)&gt;0,
     COUNTIFS($AA$2:$AA$200,$G66)&gt;0,
     COUNTIFS($AB$2:$AB$200,$G66)&gt;0,
     COUNTIFS($AC$2:$AC$200,$G66)&gt;0,
     COUNTIFS($AD$2:$AD$200,$G66)&gt;0,
     COUNTIFS($AE$2:$AE$200,$G66)&gt;0,
     COUNTIFS($AF$2:$AF$200,$G66)&gt;0,
     COUNTIFS($AG$2:$AG$200,$G66)&gt;0,
     COUNTIFS($AH$2:$AH$200,$G66)&gt;0,
     COUNTIFS($AI$2:$AI$200,$G66)&gt;0,
     COUNTIFS($AJ$2:$AJ$200,$G66)&gt;0,
     COUNTIFS($AK$2:$AK$200,$G66)&gt;0,
     COUNTIFS($AL$2:$AL$200,$G66)&gt;0,
     COUNTIFS($AM$2:$AM$200,$G66)&gt;0,
     COUNTIFS($AN$2:$AN$200,$G66)&gt;0,
     COUNTIFS($AO$2:$AO$200,$G66)&gt;0,
     COUNTIFS($AP$2:$AP$200,$G66)&gt;0,
     COUNTIFS($AQ$2:$AQ$200,$G66)&gt;0,
     COUNTIFS($AR$2:$AR$200,$G66)&gt;0,
     COUNTIFS($AS$2:$AS$200,$G66)&gt;0,
     COUNTIFS($AT$2:$AT$200,$G66)&gt;0,
     COUNTIFS($AU$2:$AU$200,$G66)&gt;0,
     COUNTIFS($AV$2:$AV$200,$G66)&gt;0,
     COUNTIFS($AW$2:$AW$200,$G66)&gt;0,
     COUNTIFS($AX$2:$AX$200,$G66)&gt;0
   )),
  ),
  3
 ),
"")</f>
        <v/>
      </c>
      <c r="F66" s="3" t="str" cm="1">
        <f t="array" aca="1" ref="F66" ca="1">IFERROR(
 INDEX(
  _xlfn._xlws.FILTER($U$1:$AX$1,
   TRANSPOSE(
    CHOOSE({1;2;3;4;5;6;7;8;9;10;11;12;13;14;15;16;17;18;19;20;21;22;23;24;25;26;27;28;29;30},
     COUNTIFS($U$2:$U$200,$G66)&gt;0,
     COUNTIFS($V$2:$V$200,$G66)&gt;0,
     COUNTIFS($W$2:$W$200,$G66)&gt;0,
     COUNTIFS($X$2:$X$200,$G66)&gt;0,
     COUNTIFS($Y$2:$Y$200,$G66)&gt;0,
     COUNTIFS($Z$2:$Z$200,$G66)&gt;0,
     COUNTIFS($AA$2:$AA$200,$G66)&gt;0,
     COUNTIFS($AB$2:$AB$200,$G66)&gt;0,
     COUNTIFS($AC$2:$AC$200,$G66)&gt;0,
     COUNTIFS($AD$2:$AD$200,$G66)&gt;0,
     COUNTIFS($AE$2:$AE$200,$G66)&gt;0,
     COUNTIFS($AF$2:$AF$200,$G66)&gt;0,
     COUNTIFS($AG$2:$AG$200,$G66)&gt;0,
     COUNTIFS($AH$2:$AH$200,$G66)&gt;0,
     COUNTIFS($AI$2:$AI$200,$G66)&gt;0,
     COUNTIFS($AJ$2:$AJ$200,$G66)&gt;0,
     COUNTIFS($AK$2:$AK$200,$G66)&gt;0,
     COUNTIFS($AL$2:$AL$200,$G66)&gt;0,
     COUNTIFS($AM$2:$AM$200,$G66)&gt;0,
     COUNTIFS($AN$2:$AN$200,$G66)&gt;0,
     COUNTIFS($AO$2:$AO$200,$G66)&gt;0,
     COUNTIFS($AP$2:$AP$200,$G66)&gt;0,
     COUNTIFS($AQ$2:$AQ$200,$G66)&gt;0,
     COUNTIFS($AR$2:$AR$200,$G66)&gt;0,
     COUNTIFS($AS$2:$AS$200,$G66)&gt;0,
     COUNTIFS($AT$2:$AT$200,$G66)&gt;0,
     COUNTIFS($AU$2:$AU$200,$G66)&gt;0,
     COUNTIFS($AV$2:$AV$200,$G66)&gt;0,
     COUNTIFS($AW$2:$AW$200,$G66)&gt;0,
     COUNTIFS($AX$2:$AX$200,$G66)&gt;0
   )),
  ),
  4
 ),
"")</f>
        <v/>
      </c>
      <c r="G66" t="str">
        <f ca="1"/>
        <v>Duty Beyond Death</v>
      </c>
      <c r="BS66" t="str">
        <f ca="1"/>
        <v>Rogue's Passage</v>
      </c>
      <c r="CB66" t="str">
        <f ca="1"/>
        <v>Jacked Rabbit</v>
      </c>
      <c r="CC66" t="str">
        <f ca="1"/>
        <v>Sea Gate Restoration</v>
      </c>
      <c r="CG66" t="str">
        <f ca="1"/>
        <v>Firion, Wild Rose Warrior</v>
      </c>
      <c r="CH66" t="str">
        <f ca="1"/>
        <v>Sacred Ground</v>
      </c>
      <c r="CJ66" t="str">
        <f ca="1"/>
        <v>Duty Beyond Death</v>
      </c>
    </row>
    <row r="67" spans="1:88" x14ac:dyDescent="0.25">
      <c r="A67" s="3" t="str">
        <f t="shared" ref="A67:A130" ca="1" si="4">IFERROR(INDEX($S$3:$S$200, MATCH($C67, $I$3:$I$200, 0)), "")</f>
        <v>1</v>
      </c>
      <c r="B67" s="3">
        <f t="shared" ref="B67:B130" ca="1" si="5">COUNTIF(U:AX,G67)</f>
        <v>1</v>
      </c>
      <c r="C67" s="3" t="str">
        <f ca="1">IFERROR(
 INDEX($U$1:$AX$1,
  MATCH(TRUE,
   CHOOSE({1;2;3;4;5;6;7;8;9;10;11;12;13;14;15;16;17;18;19;20;21;22;23;24;25;26;27;28;29;30;31;32},
    COUNTIFS($U$2:$U$200,$G67)&gt;0,
    COUNTIFS($V$2:$V$200,$G67)&gt;0,
    COUNTIFS($W$2:$W$200,$G67)&gt;0,
    COUNTIFS($X$2:$X$200,$G67)&gt;0,
    COUNTIFS($Y$2:$Y$200,$G67)&gt;0,
    COUNTIFS($Z$2:$Z$200,$G67)&gt;0,
    COUNTIFS($AA$2:$AA$200,$G67)&gt;0,
    COUNTIFS($AB$2:$AB$200,$G67)&gt;0,
    COUNTIFS($AC$2:$AC$200,$G67)&gt;0,
    COUNTIFS($AD$2:$AD$200,$G67)&gt;0,
    COUNTIFS($AE$2:$AE$200,$G67)&gt;0,
    COUNTIFS($AF$2:$AF$200,$G67)&gt;0,
    COUNTIFS($AG$2:$AG$200,$G67)&gt;0,
    COUNTIFS($AH$2:$AH$200,$G67)&gt;0,
    COUNTIFS($AI$2:$AI$200,$G67)&gt;0,
    COUNTIFS($AJ$2:$AJ$200,$G67)&gt;0,
    COUNTIFS($AK$2:$AK$200,$G67)&gt;0,
    COUNTIFS($AL$2:$AL$200,$G67)&gt;0,
    COUNTIFS($AM$2:$AM$200,$G67)&gt;0,
    COUNTIFS($AN$2:$AN$200,$G67)&gt;0,
    COUNTIFS($AO$2:$AO$200,$G67)&gt;0,
    COUNTIFS($AP$2:$AP$200,$G67)&gt;0,
    COUNTIFS($AQ$2:$AQ$200,$G67)&gt;0,
    COUNTIFS($AR$2:$AR$200,$G67)&gt;0,
    COUNTIFS($AS$2:$AS$200,$G67)&gt;0,
    COUNTIFS($AT$2:$AT$200,$G67)&gt;0,
    COUNTIFS($AU$2:$AU$200,$G67)&gt;0,
    COUNTIFS($AV$2:$AV$200,$G67)&gt;0,
    COUNTIFS($AW$2:$AW$200,$G67)&gt;0,
    COUNTIFS($AX$2:$AX$200,$G67)&gt;0
   ),
  0)
 ),
"")</f>
        <v>Modular</v>
      </c>
      <c r="D67" s="3" t="str" cm="1">
        <f t="array" aca="1" ref="D67" ca="1">IFERROR(
 INDEX(
  _xlfn._xlws.FILTER($U$1:$AX$1,
   TRANSPOSE(
    CHOOSE({1;2;3;4;5;6;7;8;9;10;11;12;13;14;15;16;17;18;19;20;21;22;23;24;25;26;27;28;29;30},
     COUNTIFS($U$2:$U$200,$G67)&gt;0,
     COUNTIFS($V$2:$V$200,$G67)&gt;0,
     COUNTIFS($W$2:$W$200,$G67)&gt;0,
     COUNTIFS($X$2:$X$200,$G67)&gt;0,
     COUNTIFS($Y$2:$Y$200,$G67)&gt;0,
     COUNTIFS($Z$2:$Z$200,$G67)&gt;0,
     COUNTIFS($AA$2:$AA$200,$G67)&gt;0,
     COUNTIFS($AB$2:$AB$200,$G67)&gt;0,
     COUNTIFS($AC$2:$AC$200,$G67)&gt;0,
     COUNTIFS($AD$2:$AD$200,$G67)&gt;0,
     COUNTIFS($AE$2:$AE$200,$G67)&gt;0,
     COUNTIFS($AF$2:$AF$200,$G67)&gt;0,
     COUNTIFS($AG$2:$AG$200,$G67)&gt;0,
     COUNTIFS($AH$2:$AH$200,$G67)&gt;0,
     COUNTIFS($AI$2:$AI$200,$G67)&gt;0,
     COUNTIFS($AJ$2:$AJ$200,$G67)&gt;0,
     COUNTIFS($AK$2:$AK$200,$G67)&gt;0,
     COUNTIFS($AL$2:$AL$200,$G67)&gt;0,
     COUNTIFS($AM$2:$AM$200,$G67)&gt;0,
     COUNTIFS($AN$2:$AN$200,$G67)&gt;0,
     COUNTIFS($AO$2:$AO$200,$G67)&gt;0,
     COUNTIFS($AP$2:$AP$200,$G67)&gt;0,
     COUNTIFS($AQ$2:$AQ$200,$G67)&gt;0,
     COUNTIFS($AR$2:$AR$200,$G67)&gt;0,
     COUNTIFS($AS$2:$AS$200,$G67)&gt;0,
     COUNTIFS($AT$2:$AT$200,$G67)&gt;0,
     COUNTIFS($AU$2:$AU$200,$G67)&gt;0,
     COUNTIFS($AV$2:$AV$200,$G67)&gt;0,
     COUNTIFS($AW$2:$AW$200,$G67)&gt;0,
     COUNTIFS($AX$2:$AX$200,$G67)&gt;0
   )),
  ),
  2
 ),
"")</f>
        <v/>
      </c>
      <c r="E67" s="3" t="str" cm="1">
        <f t="array" aca="1" ref="E67" ca="1">IFERROR(
 INDEX(
  _xlfn._xlws.FILTER($U$1:$AX$1,
   TRANSPOSE(
    CHOOSE({1;2;3;4;5;6;7;8;9;10;11;12;13;14;15;16;17;18;19;20;21;22;23;24;25;26;27;28;29;30},
     COUNTIFS($U$2:$U$200,$G67)&gt;0,
     COUNTIFS($V$2:$V$200,$G67)&gt;0,
     COUNTIFS($W$2:$W$200,$G67)&gt;0,
     COUNTIFS($X$2:$X$200,$G67)&gt;0,
     COUNTIFS($Y$2:$Y$200,$G67)&gt;0,
     COUNTIFS($Z$2:$Z$200,$G67)&gt;0,
     COUNTIFS($AA$2:$AA$200,$G67)&gt;0,
     COUNTIFS($AB$2:$AB$200,$G67)&gt;0,
     COUNTIFS($AC$2:$AC$200,$G67)&gt;0,
     COUNTIFS($AD$2:$AD$200,$G67)&gt;0,
     COUNTIFS($AE$2:$AE$200,$G67)&gt;0,
     COUNTIFS($AF$2:$AF$200,$G67)&gt;0,
     COUNTIFS($AG$2:$AG$200,$G67)&gt;0,
     COUNTIFS($AH$2:$AH$200,$G67)&gt;0,
     COUNTIFS($AI$2:$AI$200,$G67)&gt;0,
     COUNTIFS($AJ$2:$AJ$200,$G67)&gt;0,
     COUNTIFS($AK$2:$AK$200,$G67)&gt;0,
     COUNTIFS($AL$2:$AL$200,$G67)&gt;0,
     COUNTIFS($AM$2:$AM$200,$G67)&gt;0,
     COUNTIFS($AN$2:$AN$200,$G67)&gt;0,
     COUNTIFS($AO$2:$AO$200,$G67)&gt;0,
     COUNTIFS($AP$2:$AP$200,$G67)&gt;0,
     COUNTIFS($AQ$2:$AQ$200,$G67)&gt;0,
     COUNTIFS($AR$2:$AR$200,$G67)&gt;0,
     COUNTIFS($AS$2:$AS$200,$G67)&gt;0,
     COUNTIFS($AT$2:$AT$200,$G67)&gt;0,
     COUNTIFS($AU$2:$AU$200,$G67)&gt;0,
     COUNTIFS($AV$2:$AV$200,$G67)&gt;0,
     COUNTIFS($AW$2:$AW$200,$G67)&gt;0,
     COUNTIFS($AX$2:$AX$200,$G67)&gt;0
   )),
  ),
  3
 ),
"")</f>
        <v/>
      </c>
      <c r="F67" s="3" t="str" cm="1">
        <f t="array" aca="1" ref="F67" ca="1">IFERROR(
 INDEX(
  _xlfn._xlws.FILTER($U$1:$AX$1,
   TRANSPOSE(
    CHOOSE({1;2;3;4;5;6;7;8;9;10;11;12;13;14;15;16;17;18;19;20;21;22;23;24;25;26;27;28;29;30},
     COUNTIFS($U$2:$U$200,$G67)&gt;0,
     COUNTIFS($V$2:$V$200,$G67)&gt;0,
     COUNTIFS($W$2:$W$200,$G67)&gt;0,
     COUNTIFS($X$2:$X$200,$G67)&gt;0,
     COUNTIFS($Y$2:$Y$200,$G67)&gt;0,
     COUNTIFS($Z$2:$Z$200,$G67)&gt;0,
     COUNTIFS($AA$2:$AA$200,$G67)&gt;0,
     COUNTIFS($AB$2:$AB$200,$G67)&gt;0,
     COUNTIFS($AC$2:$AC$200,$G67)&gt;0,
     COUNTIFS($AD$2:$AD$200,$G67)&gt;0,
     COUNTIFS($AE$2:$AE$200,$G67)&gt;0,
     COUNTIFS($AF$2:$AF$200,$G67)&gt;0,
     COUNTIFS($AG$2:$AG$200,$G67)&gt;0,
     COUNTIFS($AH$2:$AH$200,$G67)&gt;0,
     COUNTIFS($AI$2:$AI$200,$G67)&gt;0,
     COUNTIFS($AJ$2:$AJ$200,$G67)&gt;0,
     COUNTIFS($AK$2:$AK$200,$G67)&gt;0,
     COUNTIFS($AL$2:$AL$200,$G67)&gt;0,
     COUNTIFS($AM$2:$AM$200,$G67)&gt;0,
     COUNTIFS($AN$2:$AN$200,$G67)&gt;0,
     COUNTIFS($AO$2:$AO$200,$G67)&gt;0,
     COUNTIFS($AP$2:$AP$200,$G67)&gt;0,
     COUNTIFS($AQ$2:$AQ$200,$G67)&gt;0,
     COUNTIFS($AR$2:$AR$200,$G67)&gt;0,
     COUNTIFS($AS$2:$AS$200,$G67)&gt;0,
     COUNTIFS($AT$2:$AT$200,$G67)&gt;0,
     COUNTIFS($AU$2:$AU$200,$G67)&gt;0,
     COUNTIFS($AV$2:$AV$200,$G67)&gt;0,
     COUNTIFS($AW$2:$AW$200,$G67)&gt;0,
     COUNTIFS($AX$2:$AX$200,$G67)&gt;0
   )),
  ),
  4
 ),
"")</f>
        <v/>
      </c>
      <c r="G67" t="str">
        <f ca="1"/>
        <v>Earth Rumble</v>
      </c>
      <c r="BS67" t="str">
        <f ca="1"/>
        <v>Sea of Clouds</v>
      </c>
      <c r="CB67" t="str">
        <f ca="1"/>
        <v>Jadar, Ghoulcaller of Nephalia</v>
      </c>
      <c r="CC67" t="str">
        <f ca="1"/>
        <v>Shizo, Death's Storehouse</v>
      </c>
      <c r="CG67" t="str">
        <f ca="1"/>
        <v>Firkraag, Cunning Instigator</v>
      </c>
      <c r="CH67" t="str">
        <f ca="1"/>
        <v>Saqueador Amaldiçoado</v>
      </c>
      <c r="CJ67" t="str">
        <f ca="1"/>
        <v>Earth Rumble</v>
      </c>
    </row>
    <row r="68" spans="1:88" x14ac:dyDescent="0.25">
      <c r="A68" s="3" t="str">
        <f t="shared" ca="1" si="4"/>
        <v>1</v>
      </c>
      <c r="B68" s="3">
        <f t="shared" ca="1" si="5"/>
        <v>1</v>
      </c>
      <c r="C68" s="3" t="str">
        <f ca="1">IFERROR(
 INDEX($U$1:$AX$1,
  MATCH(TRUE,
   CHOOSE({1;2;3;4;5;6;7;8;9;10;11;12;13;14;15;16;17;18;19;20;21;22;23;24;25;26;27;28;29;30;31;32},
    COUNTIFS($U$2:$U$200,$G68)&gt;0,
    COUNTIFS($V$2:$V$200,$G68)&gt;0,
    COUNTIFS($W$2:$W$200,$G68)&gt;0,
    COUNTIFS($X$2:$X$200,$G68)&gt;0,
    COUNTIFS($Y$2:$Y$200,$G68)&gt;0,
    COUNTIFS($Z$2:$Z$200,$G68)&gt;0,
    COUNTIFS($AA$2:$AA$200,$G68)&gt;0,
    COUNTIFS($AB$2:$AB$200,$G68)&gt;0,
    COUNTIFS($AC$2:$AC$200,$G68)&gt;0,
    COUNTIFS($AD$2:$AD$200,$G68)&gt;0,
    COUNTIFS($AE$2:$AE$200,$G68)&gt;0,
    COUNTIFS($AF$2:$AF$200,$G68)&gt;0,
    COUNTIFS($AG$2:$AG$200,$G68)&gt;0,
    COUNTIFS($AH$2:$AH$200,$G68)&gt;0,
    COUNTIFS($AI$2:$AI$200,$G68)&gt;0,
    COUNTIFS($AJ$2:$AJ$200,$G68)&gt;0,
    COUNTIFS($AK$2:$AK$200,$G68)&gt;0,
    COUNTIFS($AL$2:$AL$200,$G68)&gt;0,
    COUNTIFS($AM$2:$AM$200,$G68)&gt;0,
    COUNTIFS($AN$2:$AN$200,$G68)&gt;0,
    COUNTIFS($AO$2:$AO$200,$G68)&gt;0,
    COUNTIFS($AP$2:$AP$200,$G68)&gt;0,
    COUNTIFS($AQ$2:$AQ$200,$G68)&gt;0,
    COUNTIFS($AR$2:$AR$200,$G68)&gt;0,
    COUNTIFS($AS$2:$AS$200,$G68)&gt;0,
    COUNTIFS($AT$2:$AT$200,$G68)&gt;0,
    COUNTIFS($AU$2:$AU$200,$G68)&gt;0,
    COUNTIFS($AV$2:$AV$200,$G68)&gt;0,
    COUNTIFS($AW$2:$AW$200,$G68)&gt;0,
    COUNTIFS($AX$2:$AX$200,$G68)&gt;0
   ),
  0)
 ),
"")</f>
        <v>Modular</v>
      </c>
      <c r="D68" s="3" t="str" cm="1">
        <f t="array" aca="1" ref="D68" ca="1">IFERROR(
 INDEX(
  _xlfn._xlws.FILTER($U$1:$AX$1,
   TRANSPOSE(
    CHOOSE({1;2;3;4;5;6;7;8;9;10;11;12;13;14;15;16;17;18;19;20;21;22;23;24;25;26;27;28;29;30},
     COUNTIFS($U$2:$U$200,$G68)&gt;0,
     COUNTIFS($V$2:$V$200,$G68)&gt;0,
     COUNTIFS($W$2:$W$200,$G68)&gt;0,
     COUNTIFS($X$2:$X$200,$G68)&gt;0,
     COUNTIFS($Y$2:$Y$200,$G68)&gt;0,
     COUNTIFS($Z$2:$Z$200,$G68)&gt;0,
     COUNTIFS($AA$2:$AA$200,$G68)&gt;0,
     COUNTIFS($AB$2:$AB$200,$G68)&gt;0,
     COUNTIFS($AC$2:$AC$200,$G68)&gt;0,
     COUNTIFS($AD$2:$AD$200,$G68)&gt;0,
     COUNTIFS($AE$2:$AE$200,$G68)&gt;0,
     COUNTIFS($AF$2:$AF$200,$G68)&gt;0,
     COUNTIFS($AG$2:$AG$200,$G68)&gt;0,
     COUNTIFS($AH$2:$AH$200,$G68)&gt;0,
     COUNTIFS($AI$2:$AI$200,$G68)&gt;0,
     COUNTIFS($AJ$2:$AJ$200,$G68)&gt;0,
     COUNTIFS($AK$2:$AK$200,$G68)&gt;0,
     COUNTIFS($AL$2:$AL$200,$G68)&gt;0,
     COUNTIFS($AM$2:$AM$200,$G68)&gt;0,
     COUNTIFS($AN$2:$AN$200,$G68)&gt;0,
     COUNTIFS($AO$2:$AO$200,$G68)&gt;0,
     COUNTIFS($AP$2:$AP$200,$G68)&gt;0,
     COUNTIFS($AQ$2:$AQ$200,$G68)&gt;0,
     COUNTIFS($AR$2:$AR$200,$G68)&gt;0,
     COUNTIFS($AS$2:$AS$200,$G68)&gt;0,
     COUNTIFS($AT$2:$AT$200,$G68)&gt;0,
     COUNTIFS($AU$2:$AU$200,$G68)&gt;0,
     COUNTIFS($AV$2:$AV$200,$G68)&gt;0,
     COUNTIFS($AW$2:$AW$200,$G68)&gt;0,
     COUNTIFS($AX$2:$AX$200,$G68)&gt;0
   )),
  ),
  2
 ),
"")</f>
        <v/>
      </c>
      <c r="E68" s="3" t="str" cm="1">
        <f t="array" aca="1" ref="E68" ca="1">IFERROR(
 INDEX(
  _xlfn._xlws.FILTER($U$1:$AX$1,
   TRANSPOSE(
    CHOOSE({1;2;3;4;5;6;7;8;9;10;11;12;13;14;15;16;17;18;19;20;21;22;23;24;25;26;27;28;29;30},
     COUNTIFS($U$2:$U$200,$G68)&gt;0,
     COUNTIFS($V$2:$V$200,$G68)&gt;0,
     COUNTIFS($W$2:$W$200,$G68)&gt;0,
     COUNTIFS($X$2:$X$200,$G68)&gt;0,
     COUNTIFS($Y$2:$Y$200,$G68)&gt;0,
     COUNTIFS($Z$2:$Z$200,$G68)&gt;0,
     COUNTIFS($AA$2:$AA$200,$G68)&gt;0,
     COUNTIFS($AB$2:$AB$200,$G68)&gt;0,
     COUNTIFS($AC$2:$AC$200,$G68)&gt;0,
     COUNTIFS($AD$2:$AD$200,$G68)&gt;0,
     COUNTIFS($AE$2:$AE$200,$G68)&gt;0,
     COUNTIFS($AF$2:$AF$200,$G68)&gt;0,
     COUNTIFS($AG$2:$AG$200,$G68)&gt;0,
     COUNTIFS($AH$2:$AH$200,$G68)&gt;0,
     COUNTIFS($AI$2:$AI$200,$G68)&gt;0,
     COUNTIFS($AJ$2:$AJ$200,$G68)&gt;0,
     COUNTIFS($AK$2:$AK$200,$G68)&gt;0,
     COUNTIFS($AL$2:$AL$200,$G68)&gt;0,
     COUNTIFS($AM$2:$AM$200,$G68)&gt;0,
     COUNTIFS($AN$2:$AN$200,$G68)&gt;0,
     COUNTIFS($AO$2:$AO$200,$G68)&gt;0,
     COUNTIFS($AP$2:$AP$200,$G68)&gt;0,
     COUNTIFS($AQ$2:$AQ$200,$G68)&gt;0,
     COUNTIFS($AR$2:$AR$200,$G68)&gt;0,
     COUNTIFS($AS$2:$AS$200,$G68)&gt;0,
     COUNTIFS($AT$2:$AT$200,$G68)&gt;0,
     COUNTIFS($AU$2:$AU$200,$G68)&gt;0,
     COUNTIFS($AV$2:$AV$200,$G68)&gt;0,
     COUNTIFS($AW$2:$AW$200,$G68)&gt;0,
     COUNTIFS($AX$2:$AX$200,$G68)&gt;0
   )),
  ),
  3
 ),
"")</f>
        <v/>
      </c>
      <c r="F68" s="3" t="str" cm="1">
        <f t="array" aca="1" ref="F68" ca="1">IFERROR(
 INDEX(
  _xlfn._xlws.FILTER($U$1:$AX$1,
   TRANSPOSE(
    CHOOSE({1;2;3;4;5;6;7;8;9;10;11;12;13;14;15;16;17;18;19;20;21;22;23;24;25;26;27;28;29;30},
     COUNTIFS($U$2:$U$200,$G68)&gt;0,
     COUNTIFS($V$2:$V$200,$G68)&gt;0,
     COUNTIFS($W$2:$W$200,$G68)&gt;0,
     COUNTIFS($X$2:$X$200,$G68)&gt;0,
     COUNTIFS($Y$2:$Y$200,$G68)&gt;0,
     COUNTIFS($Z$2:$Z$200,$G68)&gt;0,
     COUNTIFS($AA$2:$AA$200,$G68)&gt;0,
     COUNTIFS($AB$2:$AB$200,$G68)&gt;0,
     COUNTIFS($AC$2:$AC$200,$G68)&gt;0,
     COUNTIFS($AD$2:$AD$200,$G68)&gt;0,
     COUNTIFS($AE$2:$AE$200,$G68)&gt;0,
     COUNTIFS($AF$2:$AF$200,$G68)&gt;0,
     COUNTIFS($AG$2:$AG$200,$G68)&gt;0,
     COUNTIFS($AH$2:$AH$200,$G68)&gt;0,
     COUNTIFS($AI$2:$AI$200,$G68)&gt;0,
     COUNTIFS($AJ$2:$AJ$200,$G68)&gt;0,
     COUNTIFS($AK$2:$AK$200,$G68)&gt;0,
     COUNTIFS($AL$2:$AL$200,$G68)&gt;0,
     COUNTIFS($AM$2:$AM$200,$G68)&gt;0,
     COUNTIFS($AN$2:$AN$200,$G68)&gt;0,
     COUNTIFS($AO$2:$AO$200,$G68)&gt;0,
     COUNTIFS($AP$2:$AP$200,$G68)&gt;0,
     COUNTIFS($AQ$2:$AQ$200,$G68)&gt;0,
     COUNTIFS($AR$2:$AR$200,$G68)&gt;0,
     COUNTIFS($AS$2:$AS$200,$G68)&gt;0,
     COUNTIFS($AT$2:$AT$200,$G68)&gt;0,
     COUNTIFS($AU$2:$AU$200,$G68)&gt;0,
     COUNTIFS($AV$2:$AV$200,$G68)&gt;0,
     COUNTIFS($AW$2:$AW$200,$G68)&gt;0,
     COUNTIFS($AX$2:$AX$200,$G68)&gt;0
   )),
  ),
  4
 ),
"")</f>
        <v/>
      </c>
      <c r="G68" t="str">
        <f ca="1"/>
        <v>Earthbending Student</v>
      </c>
      <c r="BS68" t="str">
        <f ca="1"/>
        <v>Secluded Courtyard</v>
      </c>
      <c r="CB68" t="str">
        <f ca="1"/>
        <v>Jetmir, Nexus of Revels</v>
      </c>
      <c r="CC68" t="str">
        <f ca="1"/>
        <v>Sonic Screwdriver</v>
      </c>
      <c r="CG68" t="str">
        <f ca="1"/>
        <v>Forest</v>
      </c>
      <c r="CH68" t="str">
        <f ca="1"/>
        <v>Scattered Groves</v>
      </c>
      <c r="CJ68" t="str">
        <f ca="1"/>
        <v>Earthbending Student</v>
      </c>
    </row>
    <row r="69" spans="1:88" x14ac:dyDescent="0.25">
      <c r="A69" s="3" t="str">
        <f t="shared" ca="1" si="4"/>
        <v>3</v>
      </c>
      <c r="B69" s="3">
        <f t="shared" ca="1" si="5"/>
        <v>1</v>
      </c>
      <c r="C69" s="3" t="str">
        <f ca="1">IFERROR(
 INDEX($U$1:$AX$1,
  MATCH(TRUE,
   CHOOSE({1;2;3;4;5;6;7;8;9;10;11;12;13;14;15;16;17;18;19;20;21;22;23;24;25;26;27;28;29;30;31;32},
    COUNTIFS($U$2:$U$200,$G69)&gt;0,
    COUNTIFS($V$2:$V$200,$G69)&gt;0,
    COUNTIFS($W$2:$W$200,$G69)&gt;0,
    COUNTIFS($X$2:$X$200,$G69)&gt;0,
    COUNTIFS($Y$2:$Y$200,$G69)&gt;0,
    COUNTIFS($Z$2:$Z$200,$G69)&gt;0,
    COUNTIFS($AA$2:$AA$200,$G69)&gt;0,
    COUNTIFS($AB$2:$AB$200,$G69)&gt;0,
    COUNTIFS($AC$2:$AC$200,$G69)&gt;0,
    COUNTIFS($AD$2:$AD$200,$G69)&gt;0,
    COUNTIFS($AE$2:$AE$200,$G69)&gt;0,
    COUNTIFS($AF$2:$AF$200,$G69)&gt;0,
    COUNTIFS($AG$2:$AG$200,$G69)&gt;0,
    COUNTIFS($AH$2:$AH$200,$G69)&gt;0,
    COUNTIFS($AI$2:$AI$200,$G69)&gt;0,
    COUNTIFS($AJ$2:$AJ$200,$G69)&gt;0,
    COUNTIFS($AK$2:$AK$200,$G69)&gt;0,
    COUNTIFS($AL$2:$AL$200,$G69)&gt;0,
    COUNTIFS($AM$2:$AM$200,$G69)&gt;0,
    COUNTIFS($AN$2:$AN$200,$G69)&gt;0,
    COUNTIFS($AO$2:$AO$200,$G69)&gt;0,
    COUNTIFS($AP$2:$AP$200,$G69)&gt;0,
    COUNTIFS($AQ$2:$AQ$200,$G69)&gt;0,
    COUNTIFS($AR$2:$AR$200,$G69)&gt;0,
    COUNTIFS($AS$2:$AS$200,$G69)&gt;0,
    COUNTIFS($AT$2:$AT$200,$G69)&gt;0,
    COUNTIFS($AU$2:$AU$200,$G69)&gt;0,
    COUNTIFS($AV$2:$AV$200,$G69)&gt;0,
    COUNTIFS($AW$2:$AW$200,$G69)&gt;0,
    COUNTIFS($AX$2:$AX$200,$G69)&gt;0
   ),
  0)
 ),
"")</f>
        <v>Sisay</v>
      </c>
      <c r="D69" s="3" t="str" cm="1">
        <f t="array" aca="1" ref="D69" ca="1">IFERROR(
 INDEX(
  _xlfn._xlws.FILTER($U$1:$AX$1,
   TRANSPOSE(
    CHOOSE({1;2;3;4;5;6;7;8;9;10;11;12;13;14;15;16;17;18;19;20;21;22;23;24;25;26;27;28;29;30},
     COUNTIFS($U$2:$U$200,$G69)&gt;0,
     COUNTIFS($V$2:$V$200,$G69)&gt;0,
     COUNTIFS($W$2:$W$200,$G69)&gt;0,
     COUNTIFS($X$2:$X$200,$G69)&gt;0,
     COUNTIFS($Y$2:$Y$200,$G69)&gt;0,
     COUNTIFS($Z$2:$Z$200,$G69)&gt;0,
     COUNTIFS($AA$2:$AA$200,$G69)&gt;0,
     COUNTIFS($AB$2:$AB$200,$G69)&gt;0,
     COUNTIFS($AC$2:$AC$200,$G69)&gt;0,
     COUNTIFS($AD$2:$AD$200,$G69)&gt;0,
     COUNTIFS($AE$2:$AE$200,$G69)&gt;0,
     COUNTIFS($AF$2:$AF$200,$G69)&gt;0,
     COUNTIFS($AG$2:$AG$200,$G69)&gt;0,
     COUNTIFS($AH$2:$AH$200,$G69)&gt;0,
     COUNTIFS($AI$2:$AI$200,$G69)&gt;0,
     COUNTIFS($AJ$2:$AJ$200,$G69)&gt;0,
     COUNTIFS($AK$2:$AK$200,$G69)&gt;0,
     COUNTIFS($AL$2:$AL$200,$G69)&gt;0,
     COUNTIFS($AM$2:$AM$200,$G69)&gt;0,
     COUNTIFS($AN$2:$AN$200,$G69)&gt;0,
     COUNTIFS($AO$2:$AO$200,$G69)&gt;0,
     COUNTIFS($AP$2:$AP$200,$G69)&gt;0,
     COUNTIFS($AQ$2:$AQ$200,$G69)&gt;0,
     COUNTIFS($AR$2:$AR$200,$G69)&gt;0,
     COUNTIFS($AS$2:$AS$200,$G69)&gt;0,
     COUNTIFS($AT$2:$AT$200,$G69)&gt;0,
     COUNTIFS($AU$2:$AU$200,$G69)&gt;0,
     COUNTIFS($AV$2:$AV$200,$G69)&gt;0,
     COUNTIFS($AW$2:$AW$200,$G69)&gt;0,
     COUNTIFS($AX$2:$AX$200,$G69)&gt;0
   )),
  ),
  2
 ),
"")</f>
        <v/>
      </c>
      <c r="E69" s="3" t="str" cm="1">
        <f t="array" aca="1" ref="E69" ca="1">IFERROR(
 INDEX(
  _xlfn._xlws.FILTER($U$1:$AX$1,
   TRANSPOSE(
    CHOOSE({1;2;3;4;5;6;7;8;9;10;11;12;13;14;15;16;17;18;19;20;21;22;23;24;25;26;27;28;29;30},
     COUNTIFS($U$2:$U$200,$G69)&gt;0,
     COUNTIFS($V$2:$V$200,$G69)&gt;0,
     COUNTIFS($W$2:$W$200,$G69)&gt;0,
     COUNTIFS($X$2:$X$200,$G69)&gt;0,
     COUNTIFS($Y$2:$Y$200,$G69)&gt;0,
     COUNTIFS($Z$2:$Z$200,$G69)&gt;0,
     COUNTIFS($AA$2:$AA$200,$G69)&gt;0,
     COUNTIFS($AB$2:$AB$200,$G69)&gt;0,
     COUNTIFS($AC$2:$AC$200,$G69)&gt;0,
     COUNTIFS($AD$2:$AD$200,$G69)&gt;0,
     COUNTIFS($AE$2:$AE$200,$G69)&gt;0,
     COUNTIFS($AF$2:$AF$200,$G69)&gt;0,
     COUNTIFS($AG$2:$AG$200,$G69)&gt;0,
     COUNTIFS($AH$2:$AH$200,$G69)&gt;0,
     COUNTIFS($AI$2:$AI$200,$G69)&gt;0,
     COUNTIFS($AJ$2:$AJ$200,$G69)&gt;0,
     COUNTIFS($AK$2:$AK$200,$G69)&gt;0,
     COUNTIFS($AL$2:$AL$200,$G69)&gt;0,
     COUNTIFS($AM$2:$AM$200,$G69)&gt;0,
     COUNTIFS($AN$2:$AN$200,$G69)&gt;0,
     COUNTIFS($AO$2:$AO$200,$G69)&gt;0,
     COUNTIFS($AP$2:$AP$200,$G69)&gt;0,
     COUNTIFS($AQ$2:$AQ$200,$G69)&gt;0,
     COUNTIFS($AR$2:$AR$200,$G69)&gt;0,
     COUNTIFS($AS$2:$AS$200,$G69)&gt;0,
     COUNTIFS($AT$2:$AT$200,$G69)&gt;0,
     COUNTIFS($AU$2:$AU$200,$G69)&gt;0,
     COUNTIFS($AV$2:$AV$200,$G69)&gt;0,
     COUNTIFS($AW$2:$AW$200,$G69)&gt;0,
     COUNTIFS($AX$2:$AX$200,$G69)&gt;0
   )),
  ),
  3
 ),
"")</f>
        <v/>
      </c>
      <c r="F69" s="3" t="str" cm="1">
        <f t="array" aca="1" ref="F69" ca="1">IFERROR(
 INDEX(
  _xlfn._xlws.FILTER($U$1:$AX$1,
   TRANSPOSE(
    CHOOSE({1;2;3;4;5;6;7;8;9;10;11;12;13;14;15;16;17;18;19;20;21;22;23;24;25;26;27;28;29;30},
     COUNTIFS($U$2:$U$200,$G69)&gt;0,
     COUNTIFS($V$2:$V$200,$G69)&gt;0,
     COUNTIFS($W$2:$W$200,$G69)&gt;0,
     COUNTIFS($X$2:$X$200,$G69)&gt;0,
     COUNTIFS($Y$2:$Y$200,$G69)&gt;0,
     COUNTIFS($Z$2:$Z$200,$G69)&gt;0,
     COUNTIFS($AA$2:$AA$200,$G69)&gt;0,
     COUNTIFS($AB$2:$AB$200,$G69)&gt;0,
     COUNTIFS($AC$2:$AC$200,$G69)&gt;0,
     COUNTIFS($AD$2:$AD$200,$G69)&gt;0,
     COUNTIFS($AE$2:$AE$200,$G69)&gt;0,
     COUNTIFS($AF$2:$AF$200,$G69)&gt;0,
     COUNTIFS($AG$2:$AG$200,$G69)&gt;0,
     COUNTIFS($AH$2:$AH$200,$G69)&gt;0,
     COUNTIFS($AI$2:$AI$200,$G69)&gt;0,
     COUNTIFS($AJ$2:$AJ$200,$G69)&gt;0,
     COUNTIFS($AK$2:$AK$200,$G69)&gt;0,
     COUNTIFS($AL$2:$AL$200,$G69)&gt;0,
     COUNTIFS($AM$2:$AM$200,$G69)&gt;0,
     COUNTIFS($AN$2:$AN$200,$G69)&gt;0,
     COUNTIFS($AO$2:$AO$200,$G69)&gt;0,
     COUNTIFS($AP$2:$AP$200,$G69)&gt;0,
     COUNTIFS($AQ$2:$AQ$200,$G69)&gt;0,
     COUNTIFS($AR$2:$AR$200,$G69)&gt;0,
     COUNTIFS($AS$2:$AS$200,$G69)&gt;0,
     COUNTIFS($AT$2:$AT$200,$G69)&gt;0,
     COUNTIFS($AU$2:$AU$200,$G69)&gt;0,
     COUNTIFS($AV$2:$AV$200,$G69)&gt;0,
     COUNTIFS($AW$2:$AW$200,$G69)&gt;0,
     COUNTIFS($AX$2:$AX$200,$G69)&gt;0
   )),
  ),
  4
 ),
"")</f>
        <v/>
      </c>
      <c r="G69" t="str">
        <f ca="1"/>
        <v>Elspeth, Sun's Champion</v>
      </c>
      <c r="BS69" t="str">
        <f ca="1"/>
        <v>Second Harvest</v>
      </c>
      <c r="CB69" t="str">
        <f ca="1"/>
        <v>Jidoor, Aristocratic Capital // Overture</v>
      </c>
      <c r="CC69" t="str">
        <f ca="1"/>
        <v>Spectator Seating</v>
      </c>
      <c r="CG69" t="str">
        <f ca="1"/>
        <v>Frenzied Gorespawn</v>
      </c>
      <c r="CH69" t="str">
        <f ca="1"/>
        <v>Scour for Scrap</v>
      </c>
      <c r="CJ69" t="str">
        <f ca="1"/>
        <v>Elspeth, Sun's Champion</v>
      </c>
    </row>
    <row r="70" spans="1:88" x14ac:dyDescent="0.25">
      <c r="A70" s="3" t="str">
        <f t="shared" ca="1" si="4"/>
        <v>1</v>
      </c>
      <c r="B70" s="3">
        <f t="shared" ca="1" si="5"/>
        <v>1</v>
      </c>
      <c r="C70" s="3" t="str">
        <f ca="1">IFERROR(
 INDEX($U$1:$AX$1,
  MATCH(TRUE,
   CHOOSE({1;2;3;4;5;6;7;8;9;10;11;12;13;14;15;16;17;18;19;20;21;22;23;24;25;26;27;28;29;30;31;32},
    COUNTIFS($U$2:$U$200,$G70)&gt;0,
    COUNTIFS($V$2:$V$200,$G70)&gt;0,
    COUNTIFS($W$2:$W$200,$G70)&gt;0,
    COUNTIFS($X$2:$X$200,$G70)&gt;0,
    COUNTIFS($Y$2:$Y$200,$G70)&gt;0,
    COUNTIFS($Z$2:$Z$200,$G70)&gt;0,
    COUNTIFS($AA$2:$AA$200,$G70)&gt;0,
    COUNTIFS($AB$2:$AB$200,$G70)&gt;0,
    COUNTIFS($AC$2:$AC$200,$G70)&gt;0,
    COUNTIFS($AD$2:$AD$200,$G70)&gt;0,
    COUNTIFS($AE$2:$AE$200,$G70)&gt;0,
    COUNTIFS($AF$2:$AF$200,$G70)&gt;0,
    COUNTIFS($AG$2:$AG$200,$G70)&gt;0,
    COUNTIFS($AH$2:$AH$200,$G70)&gt;0,
    COUNTIFS($AI$2:$AI$200,$G70)&gt;0,
    COUNTIFS($AJ$2:$AJ$200,$G70)&gt;0,
    COUNTIFS($AK$2:$AK$200,$G70)&gt;0,
    COUNTIFS($AL$2:$AL$200,$G70)&gt;0,
    COUNTIFS($AM$2:$AM$200,$G70)&gt;0,
    COUNTIFS($AN$2:$AN$200,$G70)&gt;0,
    COUNTIFS($AO$2:$AO$200,$G70)&gt;0,
    COUNTIFS($AP$2:$AP$200,$G70)&gt;0,
    COUNTIFS($AQ$2:$AQ$200,$G70)&gt;0,
    COUNTIFS($AR$2:$AR$200,$G70)&gt;0,
    COUNTIFS($AS$2:$AS$200,$G70)&gt;0,
    COUNTIFS($AT$2:$AT$200,$G70)&gt;0,
    COUNTIFS($AU$2:$AU$200,$G70)&gt;0,
    COUNTIFS($AV$2:$AV$200,$G70)&gt;0,
    COUNTIFS($AW$2:$AW$200,$G70)&gt;0,
    COUNTIFS($AX$2:$AX$200,$G70)&gt;0
   ),
  0)
 ),
"")</f>
        <v>Modular</v>
      </c>
      <c r="D70" s="3" t="str" cm="1">
        <f t="array" aca="1" ref="D70" ca="1">IFERROR(
 INDEX(
  _xlfn._xlws.FILTER($U$1:$AX$1,
   TRANSPOSE(
    CHOOSE({1;2;3;4;5;6;7;8;9;10;11;12;13;14;15;16;17;18;19;20;21;22;23;24;25;26;27;28;29;30},
     COUNTIFS($U$2:$U$200,$G70)&gt;0,
     COUNTIFS($V$2:$V$200,$G70)&gt;0,
     COUNTIFS($W$2:$W$200,$G70)&gt;0,
     COUNTIFS($X$2:$X$200,$G70)&gt;0,
     COUNTIFS($Y$2:$Y$200,$G70)&gt;0,
     COUNTIFS($Z$2:$Z$200,$G70)&gt;0,
     COUNTIFS($AA$2:$AA$200,$G70)&gt;0,
     COUNTIFS($AB$2:$AB$200,$G70)&gt;0,
     COUNTIFS($AC$2:$AC$200,$G70)&gt;0,
     COUNTIFS($AD$2:$AD$200,$G70)&gt;0,
     COUNTIFS($AE$2:$AE$200,$G70)&gt;0,
     COUNTIFS($AF$2:$AF$200,$G70)&gt;0,
     COUNTIFS($AG$2:$AG$200,$G70)&gt;0,
     COUNTIFS($AH$2:$AH$200,$G70)&gt;0,
     COUNTIFS($AI$2:$AI$200,$G70)&gt;0,
     COUNTIFS($AJ$2:$AJ$200,$G70)&gt;0,
     COUNTIFS($AK$2:$AK$200,$G70)&gt;0,
     COUNTIFS($AL$2:$AL$200,$G70)&gt;0,
     COUNTIFS($AM$2:$AM$200,$G70)&gt;0,
     COUNTIFS($AN$2:$AN$200,$G70)&gt;0,
     COUNTIFS($AO$2:$AO$200,$G70)&gt;0,
     COUNTIFS($AP$2:$AP$200,$G70)&gt;0,
     COUNTIFS($AQ$2:$AQ$200,$G70)&gt;0,
     COUNTIFS($AR$2:$AR$200,$G70)&gt;0,
     COUNTIFS($AS$2:$AS$200,$G70)&gt;0,
     COUNTIFS($AT$2:$AT$200,$G70)&gt;0,
     COUNTIFS($AU$2:$AU$200,$G70)&gt;0,
     COUNTIFS($AV$2:$AV$200,$G70)&gt;0,
     COUNTIFS($AW$2:$AW$200,$G70)&gt;0,
     COUNTIFS($AX$2:$AX$200,$G70)&gt;0
   )),
  ),
  2
 ),
"")</f>
        <v/>
      </c>
      <c r="E70" s="3" t="str" cm="1">
        <f t="array" aca="1" ref="E70" ca="1">IFERROR(
 INDEX(
  _xlfn._xlws.FILTER($U$1:$AX$1,
   TRANSPOSE(
    CHOOSE({1;2;3;4;5;6;7;8;9;10;11;12;13;14;15;16;17;18;19;20;21;22;23;24;25;26;27;28;29;30},
     COUNTIFS($U$2:$U$200,$G70)&gt;0,
     COUNTIFS($V$2:$V$200,$G70)&gt;0,
     COUNTIFS($W$2:$W$200,$G70)&gt;0,
     COUNTIFS($X$2:$X$200,$G70)&gt;0,
     COUNTIFS($Y$2:$Y$200,$G70)&gt;0,
     COUNTIFS($Z$2:$Z$200,$G70)&gt;0,
     COUNTIFS($AA$2:$AA$200,$G70)&gt;0,
     COUNTIFS($AB$2:$AB$200,$G70)&gt;0,
     COUNTIFS($AC$2:$AC$200,$G70)&gt;0,
     COUNTIFS($AD$2:$AD$200,$G70)&gt;0,
     COUNTIFS($AE$2:$AE$200,$G70)&gt;0,
     COUNTIFS($AF$2:$AF$200,$G70)&gt;0,
     COUNTIFS($AG$2:$AG$200,$G70)&gt;0,
     COUNTIFS($AH$2:$AH$200,$G70)&gt;0,
     COUNTIFS($AI$2:$AI$200,$G70)&gt;0,
     COUNTIFS($AJ$2:$AJ$200,$G70)&gt;0,
     COUNTIFS($AK$2:$AK$200,$G70)&gt;0,
     COUNTIFS($AL$2:$AL$200,$G70)&gt;0,
     COUNTIFS($AM$2:$AM$200,$G70)&gt;0,
     COUNTIFS($AN$2:$AN$200,$G70)&gt;0,
     COUNTIFS($AO$2:$AO$200,$G70)&gt;0,
     COUNTIFS($AP$2:$AP$200,$G70)&gt;0,
     COUNTIFS($AQ$2:$AQ$200,$G70)&gt;0,
     COUNTIFS($AR$2:$AR$200,$G70)&gt;0,
     COUNTIFS($AS$2:$AS$200,$G70)&gt;0,
     COUNTIFS($AT$2:$AT$200,$G70)&gt;0,
     COUNTIFS($AU$2:$AU$200,$G70)&gt;0,
     COUNTIFS($AV$2:$AV$200,$G70)&gt;0,
     COUNTIFS($AW$2:$AW$200,$G70)&gt;0,
     COUNTIFS($AX$2:$AX$200,$G70)&gt;0
   )),
  ),
  3
 ),
"")</f>
        <v/>
      </c>
      <c r="F70" s="3" t="str" cm="1">
        <f t="array" aca="1" ref="F70" ca="1">IFERROR(
 INDEX(
  _xlfn._xlws.FILTER($U$1:$AX$1,
   TRANSPOSE(
    CHOOSE({1;2;3;4;5;6;7;8;9;10;11;12;13;14;15;16;17;18;19;20;21;22;23;24;25;26;27;28;29;30},
     COUNTIFS($U$2:$U$200,$G70)&gt;0,
     COUNTIFS($V$2:$V$200,$G70)&gt;0,
     COUNTIFS($W$2:$W$200,$G70)&gt;0,
     COUNTIFS($X$2:$X$200,$G70)&gt;0,
     COUNTIFS($Y$2:$Y$200,$G70)&gt;0,
     COUNTIFS($Z$2:$Z$200,$G70)&gt;0,
     COUNTIFS($AA$2:$AA$200,$G70)&gt;0,
     COUNTIFS($AB$2:$AB$200,$G70)&gt;0,
     COUNTIFS($AC$2:$AC$200,$G70)&gt;0,
     COUNTIFS($AD$2:$AD$200,$G70)&gt;0,
     COUNTIFS($AE$2:$AE$200,$G70)&gt;0,
     COUNTIFS($AF$2:$AF$200,$G70)&gt;0,
     COUNTIFS($AG$2:$AG$200,$G70)&gt;0,
     COUNTIFS($AH$2:$AH$200,$G70)&gt;0,
     COUNTIFS($AI$2:$AI$200,$G70)&gt;0,
     COUNTIFS($AJ$2:$AJ$200,$G70)&gt;0,
     COUNTIFS($AK$2:$AK$200,$G70)&gt;0,
     COUNTIFS($AL$2:$AL$200,$G70)&gt;0,
     COUNTIFS($AM$2:$AM$200,$G70)&gt;0,
     COUNTIFS($AN$2:$AN$200,$G70)&gt;0,
     COUNTIFS($AO$2:$AO$200,$G70)&gt;0,
     COUNTIFS($AP$2:$AP$200,$G70)&gt;0,
     COUNTIFS($AQ$2:$AQ$200,$G70)&gt;0,
     COUNTIFS($AR$2:$AR$200,$G70)&gt;0,
     COUNTIFS($AS$2:$AS$200,$G70)&gt;0,
     COUNTIFS($AT$2:$AT$200,$G70)&gt;0,
     COUNTIFS($AU$2:$AU$200,$G70)&gt;0,
     COUNTIFS($AV$2:$AV$200,$G70)&gt;0,
     COUNTIFS($AW$2:$AW$200,$G70)&gt;0,
     COUNTIFS($AX$2:$AX$200,$G70)&gt;0
   )),
  ),
  4
 ),
"")</f>
        <v/>
      </c>
      <c r="G70" t="str">
        <f ca="1"/>
        <v>Elvish Reclaimer</v>
      </c>
      <c r="BS70" t="str">
        <f ca="1"/>
        <v>Seedborn Muse</v>
      </c>
      <c r="CB70" t="str">
        <f ca="1"/>
        <v>Karplusan Forest</v>
      </c>
      <c r="CC70" t="str">
        <f ca="1"/>
        <v>Stoneforge Mystic</v>
      </c>
      <c r="CG70" t="str">
        <f ca="1"/>
        <v>Freyalise, Llanowar's Fury</v>
      </c>
      <c r="CH70" t="str">
        <f ca="1"/>
        <v>Season of Weaving</v>
      </c>
      <c r="CJ70" t="str">
        <f ca="1"/>
        <v>Elvish Reclaimer</v>
      </c>
    </row>
    <row r="71" spans="1:88" x14ac:dyDescent="0.25">
      <c r="A71" s="3" t="str">
        <f t="shared" ca="1" si="4"/>
        <v>2</v>
      </c>
      <c r="B71" s="3">
        <f t="shared" ca="1" si="5"/>
        <v>1</v>
      </c>
      <c r="C71" s="3" t="str">
        <f ca="1">IFERROR(
 INDEX($U$1:$AX$1,
  MATCH(TRUE,
   CHOOSE({1;2;3;4;5;6;7;8;9;10;11;12;13;14;15;16;17;18;19;20;21;22;23;24;25;26;27;28;29;30;31;32},
    COUNTIFS($U$2:$U$200,$G71)&gt;0,
    COUNTIFS($V$2:$V$200,$G71)&gt;0,
    COUNTIFS($W$2:$W$200,$G71)&gt;0,
    COUNTIFS($X$2:$X$200,$G71)&gt;0,
    COUNTIFS($Y$2:$Y$200,$G71)&gt;0,
    COUNTIFS($Z$2:$Z$200,$G71)&gt;0,
    COUNTIFS($AA$2:$AA$200,$G71)&gt;0,
    COUNTIFS($AB$2:$AB$200,$G71)&gt;0,
    COUNTIFS($AC$2:$AC$200,$G71)&gt;0,
    COUNTIFS($AD$2:$AD$200,$G71)&gt;0,
    COUNTIFS($AE$2:$AE$200,$G71)&gt;0,
    COUNTIFS($AF$2:$AF$200,$G71)&gt;0,
    COUNTIFS($AG$2:$AG$200,$G71)&gt;0,
    COUNTIFS($AH$2:$AH$200,$G71)&gt;0,
    COUNTIFS($AI$2:$AI$200,$G71)&gt;0,
    COUNTIFS($AJ$2:$AJ$200,$G71)&gt;0,
    COUNTIFS($AK$2:$AK$200,$G71)&gt;0,
    COUNTIFS($AL$2:$AL$200,$G71)&gt;0,
    COUNTIFS($AM$2:$AM$200,$G71)&gt;0,
    COUNTIFS($AN$2:$AN$200,$G71)&gt;0,
    COUNTIFS($AO$2:$AO$200,$G71)&gt;0,
    COUNTIFS($AP$2:$AP$200,$G71)&gt;0,
    COUNTIFS($AQ$2:$AQ$200,$G71)&gt;0,
    COUNTIFS($AR$2:$AR$200,$G71)&gt;0,
    COUNTIFS($AS$2:$AS$200,$G71)&gt;0,
    COUNTIFS($AT$2:$AT$200,$G71)&gt;0,
    COUNTIFS($AU$2:$AU$200,$G71)&gt;0,
    COUNTIFS($AV$2:$AV$200,$G71)&gt;0,
    COUNTIFS($AW$2:$AW$200,$G71)&gt;0,
    COUNTIFS($AX$2:$AX$200,$G71)&gt;0
   ),
  0)
 ),
"")</f>
        <v>Piratas</v>
      </c>
      <c r="D71" s="3" t="str" cm="1">
        <f t="array" aca="1" ref="D71" ca="1">IFERROR(
 INDEX(
  _xlfn._xlws.FILTER($U$1:$AX$1,
   TRANSPOSE(
    CHOOSE({1;2;3;4;5;6;7;8;9;10;11;12;13;14;15;16;17;18;19;20;21;22;23;24;25;26;27;28;29;30},
     COUNTIFS($U$2:$U$200,$G71)&gt;0,
     COUNTIFS($V$2:$V$200,$G71)&gt;0,
     COUNTIFS($W$2:$W$200,$G71)&gt;0,
     COUNTIFS($X$2:$X$200,$G71)&gt;0,
     COUNTIFS($Y$2:$Y$200,$G71)&gt;0,
     COUNTIFS($Z$2:$Z$200,$G71)&gt;0,
     COUNTIFS($AA$2:$AA$200,$G71)&gt;0,
     COUNTIFS($AB$2:$AB$200,$G71)&gt;0,
     COUNTIFS($AC$2:$AC$200,$G71)&gt;0,
     COUNTIFS($AD$2:$AD$200,$G71)&gt;0,
     COUNTIFS($AE$2:$AE$200,$G71)&gt;0,
     COUNTIFS($AF$2:$AF$200,$G71)&gt;0,
     COUNTIFS($AG$2:$AG$200,$G71)&gt;0,
     COUNTIFS($AH$2:$AH$200,$G71)&gt;0,
     COUNTIFS($AI$2:$AI$200,$G71)&gt;0,
     COUNTIFS($AJ$2:$AJ$200,$G71)&gt;0,
     COUNTIFS($AK$2:$AK$200,$G71)&gt;0,
     COUNTIFS($AL$2:$AL$200,$G71)&gt;0,
     COUNTIFS($AM$2:$AM$200,$G71)&gt;0,
     COUNTIFS($AN$2:$AN$200,$G71)&gt;0,
     COUNTIFS($AO$2:$AO$200,$G71)&gt;0,
     COUNTIFS($AP$2:$AP$200,$G71)&gt;0,
     COUNTIFS($AQ$2:$AQ$200,$G71)&gt;0,
     COUNTIFS($AR$2:$AR$200,$G71)&gt;0,
     COUNTIFS($AS$2:$AS$200,$G71)&gt;0,
     COUNTIFS($AT$2:$AT$200,$G71)&gt;0,
     COUNTIFS($AU$2:$AU$200,$G71)&gt;0,
     COUNTIFS($AV$2:$AV$200,$G71)&gt;0,
     COUNTIFS($AW$2:$AW$200,$G71)&gt;0,
     COUNTIFS($AX$2:$AX$200,$G71)&gt;0
   )),
  ),
  2
 ),
"")</f>
        <v/>
      </c>
      <c r="E71" s="3" t="str" cm="1">
        <f t="array" aca="1" ref="E71" ca="1">IFERROR(
 INDEX(
  _xlfn._xlws.FILTER($U$1:$AX$1,
   TRANSPOSE(
    CHOOSE({1;2;3;4;5;6;7;8;9;10;11;12;13;14;15;16;17;18;19;20;21;22;23;24;25;26;27;28;29;30},
     COUNTIFS($U$2:$U$200,$G71)&gt;0,
     COUNTIFS($V$2:$V$200,$G71)&gt;0,
     COUNTIFS($W$2:$W$200,$G71)&gt;0,
     COUNTIFS($X$2:$X$200,$G71)&gt;0,
     COUNTIFS($Y$2:$Y$200,$G71)&gt;0,
     COUNTIFS($Z$2:$Z$200,$G71)&gt;0,
     COUNTIFS($AA$2:$AA$200,$G71)&gt;0,
     COUNTIFS($AB$2:$AB$200,$G71)&gt;0,
     COUNTIFS($AC$2:$AC$200,$G71)&gt;0,
     COUNTIFS($AD$2:$AD$200,$G71)&gt;0,
     COUNTIFS($AE$2:$AE$200,$G71)&gt;0,
     COUNTIFS($AF$2:$AF$200,$G71)&gt;0,
     COUNTIFS($AG$2:$AG$200,$G71)&gt;0,
     COUNTIFS($AH$2:$AH$200,$G71)&gt;0,
     COUNTIFS($AI$2:$AI$200,$G71)&gt;0,
     COUNTIFS($AJ$2:$AJ$200,$G71)&gt;0,
     COUNTIFS($AK$2:$AK$200,$G71)&gt;0,
     COUNTIFS($AL$2:$AL$200,$G71)&gt;0,
     COUNTIFS($AM$2:$AM$200,$G71)&gt;0,
     COUNTIFS($AN$2:$AN$200,$G71)&gt;0,
     COUNTIFS($AO$2:$AO$200,$G71)&gt;0,
     COUNTIFS($AP$2:$AP$200,$G71)&gt;0,
     COUNTIFS($AQ$2:$AQ$200,$G71)&gt;0,
     COUNTIFS($AR$2:$AR$200,$G71)&gt;0,
     COUNTIFS($AS$2:$AS$200,$G71)&gt;0,
     COUNTIFS($AT$2:$AT$200,$G71)&gt;0,
     COUNTIFS($AU$2:$AU$200,$G71)&gt;0,
     COUNTIFS($AV$2:$AV$200,$G71)&gt;0,
     COUNTIFS($AW$2:$AW$200,$G71)&gt;0,
     COUNTIFS($AX$2:$AX$200,$G71)&gt;0
   )),
  ),
  3
 ),
"")</f>
        <v/>
      </c>
      <c r="F71" s="3" t="str" cm="1">
        <f t="array" aca="1" ref="F71" ca="1">IFERROR(
 INDEX(
  _xlfn._xlws.FILTER($U$1:$AX$1,
   TRANSPOSE(
    CHOOSE({1;2;3;4;5;6;7;8;9;10;11;12;13;14;15;16;17;18;19;20;21;22;23;24;25;26;27;28;29;30},
     COUNTIFS($U$2:$U$200,$G71)&gt;0,
     COUNTIFS($V$2:$V$200,$G71)&gt;0,
     COUNTIFS($W$2:$W$200,$G71)&gt;0,
     COUNTIFS($X$2:$X$200,$G71)&gt;0,
     COUNTIFS($Y$2:$Y$200,$G71)&gt;0,
     COUNTIFS($Z$2:$Z$200,$G71)&gt;0,
     COUNTIFS($AA$2:$AA$200,$G71)&gt;0,
     COUNTIFS($AB$2:$AB$200,$G71)&gt;0,
     COUNTIFS($AC$2:$AC$200,$G71)&gt;0,
     COUNTIFS($AD$2:$AD$200,$G71)&gt;0,
     COUNTIFS($AE$2:$AE$200,$G71)&gt;0,
     COUNTIFS($AF$2:$AF$200,$G71)&gt;0,
     COUNTIFS($AG$2:$AG$200,$G71)&gt;0,
     COUNTIFS($AH$2:$AH$200,$G71)&gt;0,
     COUNTIFS($AI$2:$AI$200,$G71)&gt;0,
     COUNTIFS($AJ$2:$AJ$200,$G71)&gt;0,
     COUNTIFS($AK$2:$AK$200,$G71)&gt;0,
     COUNTIFS($AL$2:$AL$200,$G71)&gt;0,
     COUNTIFS($AM$2:$AM$200,$G71)&gt;0,
     COUNTIFS($AN$2:$AN$200,$G71)&gt;0,
     COUNTIFS($AO$2:$AO$200,$G71)&gt;0,
     COUNTIFS($AP$2:$AP$200,$G71)&gt;0,
     COUNTIFS($AQ$2:$AQ$200,$G71)&gt;0,
     COUNTIFS($AR$2:$AR$200,$G71)&gt;0,
     COUNTIFS($AS$2:$AS$200,$G71)&gt;0,
     COUNTIFS($AT$2:$AT$200,$G71)&gt;0,
     COUNTIFS($AU$2:$AU$200,$G71)&gt;0,
     COUNTIFS($AV$2:$AV$200,$G71)&gt;0,
     COUNTIFS($AW$2:$AW$200,$G71)&gt;0,
     COUNTIFS($AX$2:$AX$200,$G71)&gt;0
   )),
  ),
  4
 ),
"")</f>
        <v/>
      </c>
      <c r="G71" t="str">
        <f ca="1"/>
        <v>Emberwilde Captain</v>
      </c>
      <c r="BS71" t="str">
        <f ca="1"/>
        <v>Shelinda, Yevon Acolyte</v>
      </c>
      <c r="CB71" t="str">
        <f ca="1"/>
        <v>Keen Duelist</v>
      </c>
      <c r="CC71" t="str">
        <f ca="1"/>
        <v>Takenuma, Charco Abandonado</v>
      </c>
      <c r="CG71" t="str">
        <f ca="1"/>
        <v>Full Throttle</v>
      </c>
      <c r="CH71" t="str">
        <f ca="1"/>
        <v>Serenata das Estriges</v>
      </c>
      <c r="CJ71" t="str">
        <f ca="1"/>
        <v>Emberwilde Captain</v>
      </c>
    </row>
    <row r="72" spans="1:88" x14ac:dyDescent="0.25">
      <c r="A72" s="3" t="str">
        <f t="shared" ca="1" si="4"/>
        <v>5</v>
      </c>
      <c r="B72" s="3">
        <f t="shared" ca="1" si="5"/>
        <v>1</v>
      </c>
      <c r="C72" s="3" t="str">
        <f ca="1">IFERROR(
 INDEX($U$1:$AX$1,
  MATCH(TRUE,
   CHOOSE({1;2;3;4;5;6;7;8;9;10;11;12;13;14;15;16;17;18;19;20;21;22;23;24;25;26;27;28;29;30;31;32},
    COUNTIFS($U$2:$U$200,$G72)&gt;0,
    COUNTIFS($V$2:$V$200,$G72)&gt;0,
    COUNTIFS($W$2:$W$200,$G72)&gt;0,
    COUNTIFS($X$2:$X$200,$G72)&gt;0,
    COUNTIFS($Y$2:$Y$200,$G72)&gt;0,
    COUNTIFS($Z$2:$Z$200,$G72)&gt;0,
    COUNTIFS($AA$2:$AA$200,$G72)&gt;0,
    COUNTIFS($AB$2:$AB$200,$G72)&gt;0,
    COUNTIFS($AC$2:$AC$200,$G72)&gt;0,
    COUNTIFS($AD$2:$AD$200,$G72)&gt;0,
    COUNTIFS($AE$2:$AE$200,$G72)&gt;0,
    COUNTIFS($AF$2:$AF$200,$G72)&gt;0,
    COUNTIFS($AG$2:$AG$200,$G72)&gt;0,
    COUNTIFS($AH$2:$AH$200,$G72)&gt;0,
    COUNTIFS($AI$2:$AI$200,$G72)&gt;0,
    COUNTIFS($AJ$2:$AJ$200,$G72)&gt;0,
    COUNTIFS($AK$2:$AK$200,$G72)&gt;0,
    COUNTIFS($AL$2:$AL$200,$G72)&gt;0,
    COUNTIFS($AM$2:$AM$200,$G72)&gt;0,
    COUNTIFS($AN$2:$AN$200,$G72)&gt;0,
    COUNTIFS($AO$2:$AO$200,$G72)&gt;0,
    COUNTIFS($AP$2:$AP$200,$G72)&gt;0,
    COUNTIFS($AQ$2:$AQ$200,$G72)&gt;0,
    COUNTIFS($AR$2:$AR$200,$G72)&gt;0,
    COUNTIFS($AS$2:$AS$200,$G72)&gt;0,
    COUNTIFS($AT$2:$AT$200,$G72)&gt;0,
    COUNTIFS($AU$2:$AU$200,$G72)&gt;0,
    COUNTIFS($AV$2:$AV$200,$G72)&gt;0,
    COUNTIFS($AW$2:$AW$200,$G72)&gt;0,
    COUNTIFS($AX$2:$AX$200,$G72)&gt;0
   ),
  0)
 ),
"")</f>
        <v>Zedruu</v>
      </c>
      <c r="D72" s="3" t="str" cm="1">
        <f t="array" aca="1" ref="D72" ca="1">IFERROR(
 INDEX(
  _xlfn._xlws.FILTER($U$1:$AX$1,
   TRANSPOSE(
    CHOOSE({1;2;3;4;5;6;7;8;9;10;11;12;13;14;15;16;17;18;19;20;21;22;23;24;25;26;27;28;29;30},
     COUNTIFS($U$2:$U$200,$G72)&gt;0,
     COUNTIFS($V$2:$V$200,$G72)&gt;0,
     COUNTIFS($W$2:$W$200,$G72)&gt;0,
     COUNTIFS($X$2:$X$200,$G72)&gt;0,
     COUNTIFS($Y$2:$Y$200,$G72)&gt;0,
     COUNTIFS($Z$2:$Z$200,$G72)&gt;0,
     COUNTIFS($AA$2:$AA$200,$G72)&gt;0,
     COUNTIFS($AB$2:$AB$200,$G72)&gt;0,
     COUNTIFS($AC$2:$AC$200,$G72)&gt;0,
     COUNTIFS($AD$2:$AD$200,$G72)&gt;0,
     COUNTIFS($AE$2:$AE$200,$G72)&gt;0,
     COUNTIFS($AF$2:$AF$200,$G72)&gt;0,
     COUNTIFS($AG$2:$AG$200,$G72)&gt;0,
     COUNTIFS($AH$2:$AH$200,$G72)&gt;0,
     COUNTIFS($AI$2:$AI$200,$G72)&gt;0,
     COUNTIFS($AJ$2:$AJ$200,$G72)&gt;0,
     COUNTIFS($AK$2:$AK$200,$G72)&gt;0,
     COUNTIFS($AL$2:$AL$200,$G72)&gt;0,
     COUNTIFS($AM$2:$AM$200,$G72)&gt;0,
     COUNTIFS($AN$2:$AN$200,$G72)&gt;0,
     COUNTIFS($AO$2:$AO$200,$G72)&gt;0,
     COUNTIFS($AP$2:$AP$200,$G72)&gt;0,
     COUNTIFS($AQ$2:$AQ$200,$G72)&gt;0,
     COUNTIFS($AR$2:$AR$200,$G72)&gt;0,
     COUNTIFS($AS$2:$AS$200,$G72)&gt;0,
     COUNTIFS($AT$2:$AT$200,$G72)&gt;0,
     COUNTIFS($AU$2:$AU$200,$G72)&gt;0,
     COUNTIFS($AV$2:$AV$200,$G72)&gt;0,
     COUNTIFS($AW$2:$AW$200,$G72)&gt;0,
     COUNTIFS($AX$2:$AX$200,$G72)&gt;0
   )),
  ),
  2
 ),
"")</f>
        <v/>
      </c>
      <c r="E72" s="3" t="str" cm="1">
        <f t="array" aca="1" ref="E72" ca="1">IFERROR(
 INDEX(
  _xlfn._xlws.FILTER($U$1:$AX$1,
   TRANSPOSE(
    CHOOSE({1;2;3;4;5;6;7;8;9;10;11;12;13;14;15;16;17;18;19;20;21;22;23;24;25;26;27;28;29;30},
     COUNTIFS($U$2:$U$200,$G72)&gt;0,
     COUNTIFS($V$2:$V$200,$G72)&gt;0,
     COUNTIFS($W$2:$W$200,$G72)&gt;0,
     COUNTIFS($X$2:$X$200,$G72)&gt;0,
     COUNTIFS($Y$2:$Y$200,$G72)&gt;0,
     COUNTIFS($Z$2:$Z$200,$G72)&gt;0,
     COUNTIFS($AA$2:$AA$200,$G72)&gt;0,
     COUNTIFS($AB$2:$AB$200,$G72)&gt;0,
     COUNTIFS($AC$2:$AC$200,$G72)&gt;0,
     COUNTIFS($AD$2:$AD$200,$G72)&gt;0,
     COUNTIFS($AE$2:$AE$200,$G72)&gt;0,
     COUNTIFS($AF$2:$AF$200,$G72)&gt;0,
     COUNTIFS($AG$2:$AG$200,$G72)&gt;0,
     COUNTIFS($AH$2:$AH$200,$G72)&gt;0,
     COUNTIFS($AI$2:$AI$200,$G72)&gt;0,
     COUNTIFS($AJ$2:$AJ$200,$G72)&gt;0,
     COUNTIFS($AK$2:$AK$200,$G72)&gt;0,
     COUNTIFS($AL$2:$AL$200,$G72)&gt;0,
     COUNTIFS($AM$2:$AM$200,$G72)&gt;0,
     COUNTIFS($AN$2:$AN$200,$G72)&gt;0,
     COUNTIFS($AO$2:$AO$200,$G72)&gt;0,
     COUNTIFS($AP$2:$AP$200,$G72)&gt;0,
     COUNTIFS($AQ$2:$AQ$200,$G72)&gt;0,
     COUNTIFS($AR$2:$AR$200,$G72)&gt;0,
     COUNTIFS($AS$2:$AS$200,$G72)&gt;0,
     COUNTIFS($AT$2:$AT$200,$G72)&gt;0,
     COUNTIFS($AU$2:$AU$200,$G72)&gt;0,
     COUNTIFS($AV$2:$AV$200,$G72)&gt;0,
     COUNTIFS($AW$2:$AW$200,$G72)&gt;0,
     COUNTIFS($AX$2:$AX$200,$G72)&gt;0
   )),
  ),
  3
 ),
"")</f>
        <v/>
      </c>
      <c r="F72" s="3" t="str" cm="1">
        <f t="array" aca="1" ref="F72" ca="1">IFERROR(
 INDEX(
  _xlfn._xlws.FILTER($U$1:$AX$1,
   TRANSPOSE(
    CHOOSE({1;2;3;4;5;6;7;8;9;10;11;12;13;14;15;16;17;18;19;20;21;22;23;24;25;26;27;28;29;30},
     COUNTIFS($U$2:$U$200,$G72)&gt;0,
     COUNTIFS($V$2:$V$200,$G72)&gt;0,
     COUNTIFS($W$2:$W$200,$G72)&gt;0,
     COUNTIFS($X$2:$X$200,$G72)&gt;0,
     COUNTIFS($Y$2:$Y$200,$G72)&gt;0,
     COUNTIFS($Z$2:$Z$200,$G72)&gt;0,
     COUNTIFS($AA$2:$AA$200,$G72)&gt;0,
     COUNTIFS($AB$2:$AB$200,$G72)&gt;0,
     COUNTIFS($AC$2:$AC$200,$G72)&gt;0,
     COUNTIFS($AD$2:$AD$200,$G72)&gt;0,
     COUNTIFS($AE$2:$AE$200,$G72)&gt;0,
     COUNTIFS($AF$2:$AF$200,$G72)&gt;0,
     COUNTIFS($AG$2:$AG$200,$G72)&gt;0,
     COUNTIFS($AH$2:$AH$200,$G72)&gt;0,
     COUNTIFS($AI$2:$AI$200,$G72)&gt;0,
     COUNTIFS($AJ$2:$AJ$200,$G72)&gt;0,
     COUNTIFS($AK$2:$AK$200,$G72)&gt;0,
     COUNTIFS($AL$2:$AL$200,$G72)&gt;0,
     COUNTIFS($AM$2:$AM$200,$G72)&gt;0,
     COUNTIFS($AN$2:$AN$200,$G72)&gt;0,
     COUNTIFS($AO$2:$AO$200,$G72)&gt;0,
     COUNTIFS($AP$2:$AP$200,$G72)&gt;0,
     COUNTIFS($AQ$2:$AQ$200,$G72)&gt;0,
     COUNTIFS($AR$2:$AR$200,$G72)&gt;0,
     COUNTIFS($AS$2:$AS$200,$G72)&gt;0,
     COUNTIFS($AT$2:$AT$200,$G72)&gt;0,
     COUNTIFS($AU$2:$AU$200,$G72)&gt;0,
     COUNTIFS($AV$2:$AV$200,$G72)&gt;0,
     COUNTIFS($AW$2:$AW$200,$G72)&gt;0,
     COUNTIFS($AX$2:$AX$200,$G72)&gt;0
   )),
  ),
  4
 ),
"")</f>
        <v/>
      </c>
      <c r="G72" t="str">
        <f ca="1"/>
        <v>Emergency Eject</v>
      </c>
      <c r="BS72" t="str">
        <f ca="1"/>
        <v>Shoot the Sheriff</v>
      </c>
      <c r="CB72" t="str">
        <f ca="1"/>
        <v>Khorvath's Fury</v>
      </c>
      <c r="CC72" t="str">
        <f ca="1"/>
        <v>Temporal Manipulation</v>
      </c>
      <c r="CG72" t="str">
        <f ca="1"/>
        <v>Gallifrey Council Chamber</v>
      </c>
      <c r="CH72" t="str">
        <f ca="1"/>
        <v>Shaku da Honra Desgastada</v>
      </c>
      <c r="CJ72" t="str">
        <f ca="1"/>
        <v>Emergency Eject</v>
      </c>
    </row>
    <row r="73" spans="1:88" x14ac:dyDescent="0.25">
      <c r="A73" s="3" t="str">
        <f t="shared" ca="1" si="4"/>
        <v>3</v>
      </c>
      <c r="B73" s="3">
        <f t="shared" ca="1" si="5"/>
        <v>2</v>
      </c>
      <c r="C73" s="3" t="str">
        <f ca="1">IFERROR(
 INDEX($U$1:$AX$1,
  MATCH(TRUE,
   CHOOSE({1;2;3;4;5;6;7;8;9;10;11;12;13;14;15;16;17;18;19;20;21;22;23;24;25;26;27;28;29;30;31;32},
    COUNTIFS($U$2:$U$200,$G73)&gt;0,
    COUNTIFS($V$2:$V$200,$G73)&gt;0,
    COUNTIFS($W$2:$W$200,$G73)&gt;0,
    COUNTIFS($X$2:$X$200,$G73)&gt;0,
    COUNTIFS($Y$2:$Y$200,$G73)&gt;0,
    COUNTIFS($Z$2:$Z$200,$G73)&gt;0,
    COUNTIFS($AA$2:$AA$200,$G73)&gt;0,
    COUNTIFS($AB$2:$AB$200,$G73)&gt;0,
    COUNTIFS($AC$2:$AC$200,$G73)&gt;0,
    COUNTIFS($AD$2:$AD$200,$G73)&gt;0,
    COUNTIFS($AE$2:$AE$200,$G73)&gt;0,
    COUNTIFS($AF$2:$AF$200,$G73)&gt;0,
    COUNTIFS($AG$2:$AG$200,$G73)&gt;0,
    COUNTIFS($AH$2:$AH$200,$G73)&gt;0,
    COUNTIFS($AI$2:$AI$200,$G73)&gt;0,
    COUNTIFS($AJ$2:$AJ$200,$G73)&gt;0,
    COUNTIFS($AK$2:$AK$200,$G73)&gt;0,
    COUNTIFS($AL$2:$AL$200,$G73)&gt;0,
    COUNTIFS($AM$2:$AM$200,$G73)&gt;0,
    COUNTIFS($AN$2:$AN$200,$G73)&gt;0,
    COUNTIFS($AO$2:$AO$200,$G73)&gt;0,
    COUNTIFS($AP$2:$AP$200,$G73)&gt;0,
    COUNTIFS($AQ$2:$AQ$200,$G73)&gt;0,
    COUNTIFS($AR$2:$AR$200,$G73)&gt;0,
    COUNTIFS($AS$2:$AS$200,$G73)&gt;0,
    COUNTIFS($AT$2:$AT$200,$G73)&gt;0,
    COUNTIFS($AU$2:$AU$200,$G73)&gt;0,
    COUNTIFS($AV$2:$AV$200,$G73)&gt;0,
    COUNTIFS($AW$2:$AW$200,$G73)&gt;0,
    COUNTIFS($AX$2:$AX$200,$G73)&gt;0
   ),
  0)
 ),
"")</f>
        <v>JhoiraB</v>
      </c>
      <c r="D73" s="3" t="str" cm="1">
        <f t="array" aca="1" ref="D73" ca="1">IFERROR(
 INDEX(
  _xlfn._xlws.FILTER($U$1:$AX$1,
   TRANSPOSE(
    CHOOSE({1;2;3;4;5;6;7;8;9;10;11;12;13;14;15;16;17;18;19;20;21;22;23;24;25;26;27;28;29;30},
     COUNTIFS($U$2:$U$200,$G73)&gt;0,
     COUNTIFS($V$2:$V$200,$G73)&gt;0,
     COUNTIFS($W$2:$W$200,$G73)&gt;0,
     COUNTIFS($X$2:$X$200,$G73)&gt;0,
     COUNTIFS($Y$2:$Y$200,$G73)&gt;0,
     COUNTIFS($Z$2:$Z$200,$G73)&gt;0,
     COUNTIFS($AA$2:$AA$200,$G73)&gt;0,
     COUNTIFS($AB$2:$AB$200,$G73)&gt;0,
     COUNTIFS($AC$2:$AC$200,$G73)&gt;0,
     COUNTIFS($AD$2:$AD$200,$G73)&gt;0,
     COUNTIFS($AE$2:$AE$200,$G73)&gt;0,
     COUNTIFS($AF$2:$AF$200,$G73)&gt;0,
     COUNTIFS($AG$2:$AG$200,$G73)&gt;0,
     COUNTIFS($AH$2:$AH$200,$G73)&gt;0,
     COUNTIFS($AI$2:$AI$200,$G73)&gt;0,
     COUNTIFS($AJ$2:$AJ$200,$G73)&gt;0,
     COUNTIFS($AK$2:$AK$200,$G73)&gt;0,
     COUNTIFS($AL$2:$AL$200,$G73)&gt;0,
     COUNTIFS($AM$2:$AM$200,$G73)&gt;0,
     COUNTIFS($AN$2:$AN$200,$G73)&gt;0,
     COUNTIFS($AO$2:$AO$200,$G73)&gt;0,
     COUNTIFS($AP$2:$AP$200,$G73)&gt;0,
     COUNTIFS($AQ$2:$AQ$200,$G73)&gt;0,
     COUNTIFS($AR$2:$AR$200,$G73)&gt;0,
     COUNTIFS($AS$2:$AS$200,$G73)&gt;0,
     COUNTIFS($AT$2:$AT$200,$G73)&gt;0,
     COUNTIFS($AU$2:$AU$200,$G73)&gt;0,
     COUNTIFS($AV$2:$AV$200,$G73)&gt;0,
     COUNTIFS($AW$2:$AW$200,$G73)&gt;0,
     COUNTIFS($AX$2:$AX$200,$G73)&gt;0
   )),
  ),
  2
 ),
"")</f>
        <v>Jhoira</v>
      </c>
      <c r="E73" s="3" t="str" cm="1">
        <f t="array" aca="1" ref="E73" ca="1">IFERROR(
 INDEX(
  _xlfn._xlws.FILTER($U$1:$AX$1,
   TRANSPOSE(
    CHOOSE({1;2;3;4;5;6;7;8;9;10;11;12;13;14;15;16;17;18;19;20;21;22;23;24;25;26;27;28;29;30},
     COUNTIFS($U$2:$U$200,$G73)&gt;0,
     COUNTIFS($V$2:$V$200,$G73)&gt;0,
     COUNTIFS($W$2:$W$200,$G73)&gt;0,
     COUNTIFS($X$2:$X$200,$G73)&gt;0,
     COUNTIFS($Y$2:$Y$200,$G73)&gt;0,
     COUNTIFS($Z$2:$Z$200,$G73)&gt;0,
     COUNTIFS($AA$2:$AA$200,$G73)&gt;0,
     COUNTIFS($AB$2:$AB$200,$G73)&gt;0,
     COUNTIFS($AC$2:$AC$200,$G73)&gt;0,
     COUNTIFS($AD$2:$AD$200,$G73)&gt;0,
     COUNTIFS($AE$2:$AE$200,$G73)&gt;0,
     COUNTIFS($AF$2:$AF$200,$G73)&gt;0,
     COUNTIFS($AG$2:$AG$200,$G73)&gt;0,
     COUNTIFS($AH$2:$AH$200,$G73)&gt;0,
     COUNTIFS($AI$2:$AI$200,$G73)&gt;0,
     COUNTIFS($AJ$2:$AJ$200,$G73)&gt;0,
     COUNTIFS($AK$2:$AK$200,$G73)&gt;0,
     COUNTIFS($AL$2:$AL$200,$G73)&gt;0,
     COUNTIFS($AM$2:$AM$200,$G73)&gt;0,
     COUNTIFS($AN$2:$AN$200,$G73)&gt;0,
     COUNTIFS($AO$2:$AO$200,$G73)&gt;0,
     COUNTIFS($AP$2:$AP$200,$G73)&gt;0,
     COUNTIFS($AQ$2:$AQ$200,$G73)&gt;0,
     COUNTIFS($AR$2:$AR$200,$G73)&gt;0,
     COUNTIFS($AS$2:$AS$200,$G73)&gt;0,
     COUNTIFS($AT$2:$AT$200,$G73)&gt;0,
     COUNTIFS($AU$2:$AU$200,$G73)&gt;0,
     COUNTIFS($AV$2:$AV$200,$G73)&gt;0,
     COUNTIFS($AW$2:$AW$200,$G73)&gt;0,
     COUNTIFS($AX$2:$AX$200,$G73)&gt;0
   )),
  ),
  3
 ),
"")</f>
        <v/>
      </c>
      <c r="F73" s="3" t="str" cm="1">
        <f t="array" aca="1" ref="F73" ca="1">IFERROR(
 INDEX(
  _xlfn._xlws.FILTER($U$1:$AX$1,
   TRANSPOSE(
    CHOOSE({1;2;3;4;5;6;7;8;9;10;11;12;13;14;15;16;17;18;19;20;21;22;23;24;25;26;27;28;29;30},
     COUNTIFS($U$2:$U$200,$G73)&gt;0,
     COUNTIFS($V$2:$V$200,$G73)&gt;0,
     COUNTIFS($W$2:$W$200,$G73)&gt;0,
     COUNTIFS($X$2:$X$200,$G73)&gt;0,
     COUNTIFS($Y$2:$Y$200,$G73)&gt;0,
     COUNTIFS($Z$2:$Z$200,$G73)&gt;0,
     COUNTIFS($AA$2:$AA$200,$G73)&gt;0,
     COUNTIFS($AB$2:$AB$200,$G73)&gt;0,
     COUNTIFS($AC$2:$AC$200,$G73)&gt;0,
     COUNTIFS($AD$2:$AD$200,$G73)&gt;0,
     COUNTIFS($AE$2:$AE$200,$G73)&gt;0,
     COUNTIFS($AF$2:$AF$200,$G73)&gt;0,
     COUNTIFS($AG$2:$AG$200,$G73)&gt;0,
     COUNTIFS($AH$2:$AH$200,$G73)&gt;0,
     COUNTIFS($AI$2:$AI$200,$G73)&gt;0,
     COUNTIFS($AJ$2:$AJ$200,$G73)&gt;0,
     COUNTIFS($AK$2:$AK$200,$G73)&gt;0,
     COUNTIFS($AL$2:$AL$200,$G73)&gt;0,
     COUNTIFS($AM$2:$AM$200,$G73)&gt;0,
     COUNTIFS($AN$2:$AN$200,$G73)&gt;0,
     COUNTIFS($AO$2:$AO$200,$G73)&gt;0,
     COUNTIFS($AP$2:$AP$200,$G73)&gt;0,
     COUNTIFS($AQ$2:$AQ$200,$G73)&gt;0,
     COUNTIFS($AR$2:$AR$200,$G73)&gt;0,
     COUNTIFS($AS$2:$AS$200,$G73)&gt;0,
     COUNTIFS($AT$2:$AT$200,$G73)&gt;0,
     COUNTIFS($AU$2:$AU$200,$G73)&gt;0,
     COUNTIFS($AV$2:$AV$200,$G73)&gt;0,
     COUNTIFS($AW$2:$AW$200,$G73)&gt;0,
     COUNTIFS($AX$2:$AX$200,$G73)&gt;0
   )),
  ),
  4
 ),
"")</f>
        <v/>
      </c>
      <c r="G73" t="str">
        <f ca="1"/>
        <v>Emrakul, um Novo Mundo</v>
      </c>
      <c r="BS73" t="str">
        <f ca="1"/>
        <v>Slash the Ranks</v>
      </c>
      <c r="CB73" t="str">
        <f ca="1"/>
        <v>Kodama's Reach</v>
      </c>
      <c r="CC73" t="str">
        <f ca="1"/>
        <v>Temporal Trespass</v>
      </c>
      <c r="CG73" t="str">
        <f ca="1"/>
        <v>Gavony Township</v>
      </c>
      <c r="CH73" t="str">
        <f ca="1"/>
        <v>Slagwoods Bridge</v>
      </c>
      <c r="CJ73" t="str">
        <f ca="1"/>
        <v>Emrakul, um Novo Mundo</v>
      </c>
    </row>
    <row r="74" spans="1:88" x14ac:dyDescent="0.25">
      <c r="A74" s="3" t="str">
        <f t="shared" ca="1" si="4"/>
        <v>3</v>
      </c>
      <c r="B74" s="3">
        <f t="shared" ca="1" si="5"/>
        <v>1</v>
      </c>
      <c r="C74" s="3" t="str">
        <f ca="1">IFERROR(
 INDEX($U$1:$AX$1,
  MATCH(TRUE,
   CHOOSE({1;2;3;4;5;6;7;8;9;10;11;12;13;14;15;16;17;18;19;20;21;22;23;24;25;26;27;28;29;30;31;32},
    COUNTIFS($U$2:$U$200,$G74)&gt;0,
    COUNTIFS($V$2:$V$200,$G74)&gt;0,
    COUNTIFS($W$2:$W$200,$G74)&gt;0,
    COUNTIFS($X$2:$X$200,$G74)&gt;0,
    COUNTIFS($Y$2:$Y$200,$G74)&gt;0,
    COUNTIFS($Z$2:$Z$200,$G74)&gt;0,
    COUNTIFS($AA$2:$AA$200,$G74)&gt;0,
    COUNTIFS($AB$2:$AB$200,$G74)&gt;0,
    COUNTIFS($AC$2:$AC$200,$G74)&gt;0,
    COUNTIFS($AD$2:$AD$200,$G74)&gt;0,
    COUNTIFS($AE$2:$AE$200,$G74)&gt;0,
    COUNTIFS($AF$2:$AF$200,$G74)&gt;0,
    COUNTIFS($AG$2:$AG$200,$G74)&gt;0,
    COUNTIFS($AH$2:$AH$200,$G74)&gt;0,
    COUNTIFS($AI$2:$AI$200,$G74)&gt;0,
    COUNTIFS($AJ$2:$AJ$200,$G74)&gt;0,
    COUNTIFS($AK$2:$AK$200,$G74)&gt;0,
    COUNTIFS($AL$2:$AL$200,$G74)&gt;0,
    COUNTIFS($AM$2:$AM$200,$G74)&gt;0,
    COUNTIFS($AN$2:$AN$200,$G74)&gt;0,
    COUNTIFS($AO$2:$AO$200,$G74)&gt;0,
    COUNTIFS($AP$2:$AP$200,$G74)&gt;0,
    COUNTIFS($AQ$2:$AQ$200,$G74)&gt;0,
    COUNTIFS($AR$2:$AR$200,$G74)&gt;0,
    COUNTIFS($AS$2:$AS$200,$G74)&gt;0,
    COUNTIFS($AT$2:$AT$200,$G74)&gt;0,
    COUNTIFS($AU$2:$AU$200,$G74)&gt;0,
    COUNTIFS($AV$2:$AV$200,$G74)&gt;0,
    COUNTIFS($AW$2:$AW$200,$G74)&gt;0,
    COUNTIFS($AX$2:$AX$200,$G74)&gt;0
   ),
  0)
 ),
"")</f>
        <v>Carlos</v>
      </c>
      <c r="D74" s="3" t="str" cm="1">
        <f t="array" aca="1" ref="D74" ca="1">IFERROR(
 INDEX(
  _xlfn._xlws.FILTER($U$1:$AX$1,
   TRANSPOSE(
    CHOOSE({1;2;3;4;5;6;7;8;9;10;11;12;13;14;15;16;17;18;19;20;21;22;23;24;25;26;27;28;29;30},
     COUNTIFS($U$2:$U$200,$G74)&gt;0,
     COUNTIFS($V$2:$V$200,$G74)&gt;0,
     COUNTIFS($W$2:$W$200,$G74)&gt;0,
     COUNTIFS($X$2:$X$200,$G74)&gt;0,
     COUNTIFS($Y$2:$Y$200,$G74)&gt;0,
     COUNTIFS($Z$2:$Z$200,$G74)&gt;0,
     COUNTIFS($AA$2:$AA$200,$G74)&gt;0,
     COUNTIFS($AB$2:$AB$200,$G74)&gt;0,
     COUNTIFS($AC$2:$AC$200,$G74)&gt;0,
     COUNTIFS($AD$2:$AD$200,$G74)&gt;0,
     COUNTIFS($AE$2:$AE$200,$G74)&gt;0,
     COUNTIFS($AF$2:$AF$200,$G74)&gt;0,
     COUNTIFS($AG$2:$AG$200,$G74)&gt;0,
     COUNTIFS($AH$2:$AH$200,$G74)&gt;0,
     COUNTIFS($AI$2:$AI$200,$G74)&gt;0,
     COUNTIFS($AJ$2:$AJ$200,$G74)&gt;0,
     COUNTIFS($AK$2:$AK$200,$G74)&gt;0,
     COUNTIFS($AL$2:$AL$200,$G74)&gt;0,
     COUNTIFS($AM$2:$AM$200,$G74)&gt;0,
     COUNTIFS($AN$2:$AN$200,$G74)&gt;0,
     COUNTIFS($AO$2:$AO$200,$G74)&gt;0,
     COUNTIFS($AP$2:$AP$200,$G74)&gt;0,
     COUNTIFS($AQ$2:$AQ$200,$G74)&gt;0,
     COUNTIFS($AR$2:$AR$200,$G74)&gt;0,
     COUNTIFS($AS$2:$AS$200,$G74)&gt;0,
     COUNTIFS($AT$2:$AT$200,$G74)&gt;0,
     COUNTIFS($AU$2:$AU$200,$G74)&gt;0,
     COUNTIFS($AV$2:$AV$200,$G74)&gt;0,
     COUNTIFS($AW$2:$AW$200,$G74)&gt;0,
     COUNTIFS($AX$2:$AX$200,$G74)&gt;0
   )),
  ),
  2
 ),
"")</f>
        <v/>
      </c>
      <c r="E74" s="3" t="str" cm="1">
        <f t="array" aca="1" ref="E74" ca="1">IFERROR(
 INDEX(
  _xlfn._xlws.FILTER($U$1:$AX$1,
   TRANSPOSE(
    CHOOSE({1;2;3;4;5;6;7;8;9;10;11;12;13;14;15;16;17;18;19;20;21;22;23;24;25;26;27;28;29;30},
     COUNTIFS($U$2:$U$200,$G74)&gt;0,
     COUNTIFS($V$2:$V$200,$G74)&gt;0,
     COUNTIFS($W$2:$W$200,$G74)&gt;0,
     COUNTIFS($X$2:$X$200,$G74)&gt;0,
     COUNTIFS($Y$2:$Y$200,$G74)&gt;0,
     COUNTIFS($Z$2:$Z$200,$G74)&gt;0,
     COUNTIFS($AA$2:$AA$200,$G74)&gt;0,
     COUNTIFS($AB$2:$AB$200,$G74)&gt;0,
     COUNTIFS($AC$2:$AC$200,$G74)&gt;0,
     COUNTIFS($AD$2:$AD$200,$G74)&gt;0,
     COUNTIFS($AE$2:$AE$200,$G74)&gt;0,
     COUNTIFS($AF$2:$AF$200,$G74)&gt;0,
     COUNTIFS($AG$2:$AG$200,$G74)&gt;0,
     COUNTIFS($AH$2:$AH$200,$G74)&gt;0,
     COUNTIFS($AI$2:$AI$200,$G74)&gt;0,
     COUNTIFS($AJ$2:$AJ$200,$G74)&gt;0,
     COUNTIFS($AK$2:$AK$200,$G74)&gt;0,
     COUNTIFS($AL$2:$AL$200,$G74)&gt;0,
     COUNTIFS($AM$2:$AM$200,$G74)&gt;0,
     COUNTIFS($AN$2:$AN$200,$G74)&gt;0,
     COUNTIFS($AO$2:$AO$200,$G74)&gt;0,
     COUNTIFS($AP$2:$AP$200,$G74)&gt;0,
     COUNTIFS($AQ$2:$AQ$200,$G74)&gt;0,
     COUNTIFS($AR$2:$AR$200,$G74)&gt;0,
     COUNTIFS($AS$2:$AS$200,$G74)&gt;0,
     COUNTIFS($AT$2:$AT$200,$G74)&gt;0,
     COUNTIFS($AU$2:$AU$200,$G74)&gt;0,
     COUNTIFS($AV$2:$AV$200,$G74)&gt;0,
     COUNTIFS($AW$2:$AW$200,$G74)&gt;0,
     COUNTIFS($AX$2:$AX$200,$G74)&gt;0
   )),
  ),
  3
 ),
"")</f>
        <v/>
      </c>
      <c r="F74" s="3" t="str" cm="1">
        <f t="array" aca="1" ref="F74" ca="1">IFERROR(
 INDEX(
  _xlfn._xlws.FILTER($U$1:$AX$1,
   TRANSPOSE(
    CHOOSE({1;2;3;4;5;6;7;8;9;10;11;12;13;14;15;16;17;18;19;20;21;22;23;24;25;26;27;28;29;30},
     COUNTIFS($U$2:$U$200,$G74)&gt;0,
     COUNTIFS($V$2:$V$200,$G74)&gt;0,
     COUNTIFS($W$2:$W$200,$G74)&gt;0,
     COUNTIFS($X$2:$X$200,$G74)&gt;0,
     COUNTIFS($Y$2:$Y$200,$G74)&gt;0,
     COUNTIFS($Z$2:$Z$200,$G74)&gt;0,
     COUNTIFS($AA$2:$AA$200,$G74)&gt;0,
     COUNTIFS($AB$2:$AB$200,$G74)&gt;0,
     COUNTIFS($AC$2:$AC$200,$G74)&gt;0,
     COUNTIFS($AD$2:$AD$200,$G74)&gt;0,
     COUNTIFS($AE$2:$AE$200,$G74)&gt;0,
     COUNTIFS($AF$2:$AF$200,$G74)&gt;0,
     COUNTIFS($AG$2:$AG$200,$G74)&gt;0,
     COUNTIFS($AH$2:$AH$200,$G74)&gt;0,
     COUNTIFS($AI$2:$AI$200,$G74)&gt;0,
     COUNTIFS($AJ$2:$AJ$200,$G74)&gt;0,
     COUNTIFS($AK$2:$AK$200,$G74)&gt;0,
     COUNTIFS($AL$2:$AL$200,$G74)&gt;0,
     COUNTIFS($AM$2:$AM$200,$G74)&gt;0,
     COUNTIFS($AN$2:$AN$200,$G74)&gt;0,
     COUNTIFS($AO$2:$AO$200,$G74)&gt;0,
     COUNTIFS($AP$2:$AP$200,$G74)&gt;0,
     COUNTIFS($AQ$2:$AQ$200,$G74)&gt;0,
     COUNTIFS($AR$2:$AR$200,$G74)&gt;0,
     COUNTIFS($AS$2:$AS$200,$G74)&gt;0,
     COUNTIFS($AT$2:$AT$200,$G74)&gt;0,
     COUNTIFS($AU$2:$AU$200,$G74)&gt;0,
     COUNTIFS($AV$2:$AV$200,$G74)&gt;0,
     COUNTIFS($AW$2:$AW$200,$G74)&gt;0,
     COUNTIFS($AX$2:$AX$200,$G74)&gt;0
   )),
  ),
  4
 ),
"")</f>
        <v/>
      </c>
      <c r="G74" t="str">
        <f ca="1"/>
        <v>Enduring Innocence</v>
      </c>
      <c r="BS74" t="str">
        <f ca="1"/>
        <v>Slayers' Stronghold</v>
      </c>
      <c r="CB74" t="str">
        <f ca="1"/>
        <v>Kutzil, Malamet Exemplar</v>
      </c>
      <c r="CC74" t="str">
        <f ca="1"/>
        <v>The Mycosynth Gardens</v>
      </c>
      <c r="CG74" t="str">
        <f ca="1"/>
        <v>Generous Gift</v>
      </c>
      <c r="CH74" t="str">
        <f ca="1"/>
        <v>Sliver Gravemother</v>
      </c>
      <c r="CJ74" t="str">
        <f ca="1"/>
        <v>Enduring Innocence</v>
      </c>
    </row>
    <row r="75" spans="1:88" x14ac:dyDescent="0.25">
      <c r="A75" s="3" t="str">
        <f t="shared" ca="1" si="4"/>
        <v>3</v>
      </c>
      <c r="B75" s="3">
        <f t="shared" ca="1" si="5"/>
        <v>1</v>
      </c>
      <c r="C75" s="3" t="str">
        <f ca="1">IFERROR(
 INDEX($U$1:$AX$1,
  MATCH(TRUE,
   CHOOSE({1;2;3;4;5;6;7;8;9;10;11;12;13;14;15;16;17;18;19;20;21;22;23;24;25;26;27;28;29;30;31;32},
    COUNTIFS($U$2:$U$200,$G75)&gt;0,
    COUNTIFS($V$2:$V$200,$G75)&gt;0,
    COUNTIFS($W$2:$W$200,$G75)&gt;0,
    COUNTIFS($X$2:$X$200,$G75)&gt;0,
    COUNTIFS($Y$2:$Y$200,$G75)&gt;0,
    COUNTIFS($Z$2:$Z$200,$G75)&gt;0,
    COUNTIFS($AA$2:$AA$200,$G75)&gt;0,
    COUNTIFS($AB$2:$AB$200,$G75)&gt;0,
    COUNTIFS($AC$2:$AC$200,$G75)&gt;0,
    COUNTIFS($AD$2:$AD$200,$G75)&gt;0,
    COUNTIFS($AE$2:$AE$200,$G75)&gt;0,
    COUNTIFS($AF$2:$AF$200,$G75)&gt;0,
    COUNTIFS($AG$2:$AG$200,$G75)&gt;0,
    COUNTIFS($AH$2:$AH$200,$G75)&gt;0,
    COUNTIFS($AI$2:$AI$200,$G75)&gt;0,
    COUNTIFS($AJ$2:$AJ$200,$G75)&gt;0,
    COUNTIFS($AK$2:$AK$200,$G75)&gt;0,
    COUNTIFS($AL$2:$AL$200,$G75)&gt;0,
    COUNTIFS($AM$2:$AM$200,$G75)&gt;0,
    COUNTIFS($AN$2:$AN$200,$G75)&gt;0,
    COUNTIFS($AO$2:$AO$200,$G75)&gt;0,
    COUNTIFS($AP$2:$AP$200,$G75)&gt;0,
    COUNTIFS($AQ$2:$AQ$200,$G75)&gt;0,
    COUNTIFS($AR$2:$AR$200,$G75)&gt;0,
    COUNTIFS($AS$2:$AS$200,$G75)&gt;0,
    COUNTIFS($AT$2:$AT$200,$G75)&gt;0,
    COUNTIFS($AU$2:$AU$200,$G75)&gt;0,
    COUNTIFS($AV$2:$AV$200,$G75)&gt;0,
    COUNTIFS($AW$2:$AW$200,$G75)&gt;0,
    COUNTIFS($AX$2:$AX$200,$G75)&gt;0
   ),
  0)
 ),
"")</f>
        <v>Gritrog</v>
      </c>
      <c r="D75" s="3" t="str" cm="1">
        <f t="array" aca="1" ref="D75" ca="1">IFERROR(
 INDEX(
  _xlfn._xlws.FILTER($U$1:$AX$1,
   TRANSPOSE(
    CHOOSE({1;2;3;4;5;6;7;8;9;10;11;12;13;14;15;16;17;18;19;20;21;22;23;24;25;26;27;28;29;30},
     COUNTIFS($U$2:$U$200,$G75)&gt;0,
     COUNTIFS($V$2:$V$200,$G75)&gt;0,
     COUNTIFS($W$2:$W$200,$G75)&gt;0,
     COUNTIFS($X$2:$X$200,$G75)&gt;0,
     COUNTIFS($Y$2:$Y$200,$G75)&gt;0,
     COUNTIFS($Z$2:$Z$200,$G75)&gt;0,
     COUNTIFS($AA$2:$AA$200,$G75)&gt;0,
     COUNTIFS($AB$2:$AB$200,$G75)&gt;0,
     COUNTIFS($AC$2:$AC$200,$G75)&gt;0,
     COUNTIFS($AD$2:$AD$200,$G75)&gt;0,
     COUNTIFS($AE$2:$AE$200,$G75)&gt;0,
     COUNTIFS($AF$2:$AF$200,$G75)&gt;0,
     COUNTIFS($AG$2:$AG$200,$G75)&gt;0,
     COUNTIFS($AH$2:$AH$200,$G75)&gt;0,
     COUNTIFS($AI$2:$AI$200,$G75)&gt;0,
     COUNTIFS($AJ$2:$AJ$200,$G75)&gt;0,
     COUNTIFS($AK$2:$AK$200,$G75)&gt;0,
     COUNTIFS($AL$2:$AL$200,$G75)&gt;0,
     COUNTIFS($AM$2:$AM$200,$G75)&gt;0,
     COUNTIFS($AN$2:$AN$200,$G75)&gt;0,
     COUNTIFS($AO$2:$AO$200,$G75)&gt;0,
     COUNTIFS($AP$2:$AP$200,$G75)&gt;0,
     COUNTIFS($AQ$2:$AQ$200,$G75)&gt;0,
     COUNTIFS($AR$2:$AR$200,$G75)&gt;0,
     COUNTIFS($AS$2:$AS$200,$G75)&gt;0,
     COUNTIFS($AT$2:$AT$200,$G75)&gt;0,
     COUNTIFS($AU$2:$AU$200,$G75)&gt;0,
     COUNTIFS($AV$2:$AV$200,$G75)&gt;0,
     COUNTIFS($AW$2:$AW$200,$G75)&gt;0,
     COUNTIFS($AX$2:$AX$200,$G75)&gt;0
   )),
  ),
  2
 ),
"")</f>
        <v/>
      </c>
      <c r="E75" s="3" t="str" cm="1">
        <f t="array" aca="1" ref="E75" ca="1">IFERROR(
 INDEX(
  _xlfn._xlws.FILTER($U$1:$AX$1,
   TRANSPOSE(
    CHOOSE({1;2;3;4;5;6;7;8;9;10;11;12;13;14;15;16;17;18;19;20;21;22;23;24;25;26;27;28;29;30},
     COUNTIFS($U$2:$U$200,$G75)&gt;0,
     COUNTIFS($V$2:$V$200,$G75)&gt;0,
     COUNTIFS($W$2:$W$200,$G75)&gt;0,
     COUNTIFS($X$2:$X$200,$G75)&gt;0,
     COUNTIFS($Y$2:$Y$200,$G75)&gt;0,
     COUNTIFS($Z$2:$Z$200,$G75)&gt;0,
     COUNTIFS($AA$2:$AA$200,$G75)&gt;0,
     COUNTIFS($AB$2:$AB$200,$G75)&gt;0,
     COUNTIFS($AC$2:$AC$200,$G75)&gt;0,
     COUNTIFS($AD$2:$AD$200,$G75)&gt;0,
     COUNTIFS($AE$2:$AE$200,$G75)&gt;0,
     COUNTIFS($AF$2:$AF$200,$G75)&gt;0,
     COUNTIFS($AG$2:$AG$200,$G75)&gt;0,
     COUNTIFS($AH$2:$AH$200,$G75)&gt;0,
     COUNTIFS($AI$2:$AI$200,$G75)&gt;0,
     COUNTIFS($AJ$2:$AJ$200,$G75)&gt;0,
     COUNTIFS($AK$2:$AK$200,$G75)&gt;0,
     COUNTIFS($AL$2:$AL$200,$G75)&gt;0,
     COUNTIFS($AM$2:$AM$200,$G75)&gt;0,
     COUNTIFS($AN$2:$AN$200,$G75)&gt;0,
     COUNTIFS($AO$2:$AO$200,$G75)&gt;0,
     COUNTIFS($AP$2:$AP$200,$G75)&gt;0,
     COUNTIFS($AQ$2:$AQ$200,$G75)&gt;0,
     COUNTIFS($AR$2:$AR$200,$G75)&gt;0,
     COUNTIFS($AS$2:$AS$200,$G75)&gt;0,
     COUNTIFS($AT$2:$AT$200,$G75)&gt;0,
     COUNTIFS($AU$2:$AU$200,$G75)&gt;0,
     COUNTIFS($AV$2:$AV$200,$G75)&gt;0,
     COUNTIFS($AW$2:$AW$200,$G75)&gt;0,
     COUNTIFS($AX$2:$AX$200,$G75)&gt;0
   )),
  ),
  3
 ),
"")</f>
        <v/>
      </c>
      <c r="F75" s="3" t="str" cm="1">
        <f t="array" aca="1" ref="F75" ca="1">IFERROR(
 INDEX(
  _xlfn._xlws.FILTER($U$1:$AX$1,
   TRANSPOSE(
    CHOOSE({1;2;3;4;5;6;7;8;9;10;11;12;13;14;15;16;17;18;19;20;21;22;23;24;25;26;27;28;29;30},
     COUNTIFS($U$2:$U$200,$G75)&gt;0,
     COUNTIFS($V$2:$V$200,$G75)&gt;0,
     COUNTIFS($W$2:$W$200,$G75)&gt;0,
     COUNTIFS($X$2:$X$200,$G75)&gt;0,
     COUNTIFS($Y$2:$Y$200,$G75)&gt;0,
     COUNTIFS($Z$2:$Z$200,$G75)&gt;0,
     COUNTIFS($AA$2:$AA$200,$G75)&gt;0,
     COUNTIFS($AB$2:$AB$200,$G75)&gt;0,
     COUNTIFS($AC$2:$AC$200,$G75)&gt;0,
     COUNTIFS($AD$2:$AD$200,$G75)&gt;0,
     COUNTIFS($AE$2:$AE$200,$G75)&gt;0,
     COUNTIFS($AF$2:$AF$200,$G75)&gt;0,
     COUNTIFS($AG$2:$AG$200,$G75)&gt;0,
     COUNTIFS($AH$2:$AH$200,$G75)&gt;0,
     COUNTIFS($AI$2:$AI$200,$G75)&gt;0,
     COUNTIFS($AJ$2:$AJ$200,$G75)&gt;0,
     COUNTIFS($AK$2:$AK$200,$G75)&gt;0,
     COUNTIFS($AL$2:$AL$200,$G75)&gt;0,
     COUNTIFS($AM$2:$AM$200,$G75)&gt;0,
     COUNTIFS($AN$2:$AN$200,$G75)&gt;0,
     COUNTIFS($AO$2:$AO$200,$G75)&gt;0,
     COUNTIFS($AP$2:$AP$200,$G75)&gt;0,
     COUNTIFS($AQ$2:$AQ$200,$G75)&gt;0,
     COUNTIFS($AR$2:$AR$200,$G75)&gt;0,
     COUNTIFS($AS$2:$AS$200,$G75)&gt;0,
     COUNTIFS($AT$2:$AT$200,$G75)&gt;0,
     COUNTIFS($AU$2:$AU$200,$G75)&gt;0,
     COUNTIFS($AV$2:$AV$200,$G75)&gt;0,
     COUNTIFS($AW$2:$AW$200,$G75)&gt;0,
     COUNTIFS($AX$2:$AX$200,$G75)&gt;0
   )),
  ),
  4
 ),
"")</f>
        <v/>
      </c>
      <c r="G75" t="str">
        <f ca="1"/>
        <v>Entomb</v>
      </c>
      <c r="BS75" t="str">
        <f ca="1"/>
        <v>Smuggler's Share</v>
      </c>
      <c r="CB75" t="str">
        <f ca="1"/>
        <v>Lae'zel, Vlaakith's Champion</v>
      </c>
      <c r="CC75" t="str">
        <f ca="1"/>
        <v>The Tenth Doctor</v>
      </c>
      <c r="CG75" t="str">
        <f ca="1"/>
        <v>Genji Glove</v>
      </c>
      <c r="CH75" t="str">
        <f ca="1"/>
        <v>Sokenzan, Crisol da Afronta</v>
      </c>
      <c r="CJ75" t="str">
        <f ca="1"/>
        <v>Entomb</v>
      </c>
    </row>
    <row r="76" spans="1:88" x14ac:dyDescent="0.25">
      <c r="A76" s="3" t="str">
        <f t="shared" ca="1" si="4"/>
        <v>3</v>
      </c>
      <c r="B76" s="3">
        <f t="shared" ca="1" si="5"/>
        <v>1</v>
      </c>
      <c r="C76" s="3" t="str">
        <f ca="1">IFERROR(
 INDEX($U$1:$AX$1,
  MATCH(TRUE,
   CHOOSE({1;2;3;4;5;6;7;8;9;10;11;12;13;14;15;16;17;18;19;20;21;22;23;24;25;26;27;28;29;30;31;32},
    COUNTIFS($U$2:$U$200,$G76)&gt;0,
    COUNTIFS($V$2:$V$200,$G76)&gt;0,
    COUNTIFS($W$2:$W$200,$G76)&gt;0,
    COUNTIFS($X$2:$X$200,$G76)&gt;0,
    COUNTIFS($Y$2:$Y$200,$G76)&gt;0,
    COUNTIFS($Z$2:$Z$200,$G76)&gt;0,
    COUNTIFS($AA$2:$AA$200,$G76)&gt;0,
    COUNTIFS($AB$2:$AB$200,$G76)&gt;0,
    COUNTIFS($AC$2:$AC$200,$G76)&gt;0,
    COUNTIFS($AD$2:$AD$200,$G76)&gt;0,
    COUNTIFS($AE$2:$AE$200,$G76)&gt;0,
    COUNTIFS($AF$2:$AF$200,$G76)&gt;0,
    COUNTIFS($AG$2:$AG$200,$G76)&gt;0,
    COUNTIFS($AH$2:$AH$200,$G76)&gt;0,
    COUNTIFS($AI$2:$AI$200,$G76)&gt;0,
    COUNTIFS($AJ$2:$AJ$200,$G76)&gt;0,
    COUNTIFS($AK$2:$AK$200,$G76)&gt;0,
    COUNTIFS($AL$2:$AL$200,$G76)&gt;0,
    COUNTIFS($AM$2:$AM$200,$G76)&gt;0,
    COUNTIFS($AN$2:$AN$200,$G76)&gt;0,
    COUNTIFS($AO$2:$AO$200,$G76)&gt;0,
    COUNTIFS($AP$2:$AP$200,$G76)&gt;0,
    COUNTIFS($AQ$2:$AQ$200,$G76)&gt;0,
    COUNTIFS($AR$2:$AR$200,$G76)&gt;0,
    COUNTIFS($AS$2:$AS$200,$G76)&gt;0,
    COUNTIFS($AT$2:$AT$200,$G76)&gt;0,
    COUNTIFS($AU$2:$AU$200,$G76)&gt;0,
    COUNTIFS($AV$2:$AV$200,$G76)&gt;0,
    COUNTIFS($AW$2:$AW$200,$G76)&gt;0,
    COUNTIFS($AX$2:$AX$200,$G76)&gt;0
   ),
  0)
 ),
"")</f>
        <v>Akiri</v>
      </c>
      <c r="D76" s="3" t="str" cm="1">
        <f t="array" aca="1" ref="D76" ca="1">IFERROR(
 INDEX(
  _xlfn._xlws.FILTER($U$1:$AX$1,
   TRANSPOSE(
    CHOOSE({1;2;3;4;5;6;7;8;9;10;11;12;13;14;15;16;17;18;19;20;21;22;23;24;25;26;27;28;29;30},
     COUNTIFS($U$2:$U$200,$G76)&gt;0,
     COUNTIFS($V$2:$V$200,$G76)&gt;0,
     COUNTIFS($W$2:$W$200,$G76)&gt;0,
     COUNTIFS($X$2:$X$200,$G76)&gt;0,
     COUNTIFS($Y$2:$Y$200,$G76)&gt;0,
     COUNTIFS($Z$2:$Z$200,$G76)&gt;0,
     COUNTIFS($AA$2:$AA$200,$G76)&gt;0,
     COUNTIFS($AB$2:$AB$200,$G76)&gt;0,
     COUNTIFS($AC$2:$AC$200,$G76)&gt;0,
     COUNTIFS($AD$2:$AD$200,$G76)&gt;0,
     COUNTIFS($AE$2:$AE$200,$G76)&gt;0,
     COUNTIFS($AF$2:$AF$200,$G76)&gt;0,
     COUNTIFS($AG$2:$AG$200,$G76)&gt;0,
     COUNTIFS($AH$2:$AH$200,$G76)&gt;0,
     COUNTIFS($AI$2:$AI$200,$G76)&gt;0,
     COUNTIFS($AJ$2:$AJ$200,$G76)&gt;0,
     COUNTIFS($AK$2:$AK$200,$G76)&gt;0,
     COUNTIFS($AL$2:$AL$200,$G76)&gt;0,
     COUNTIFS($AM$2:$AM$200,$G76)&gt;0,
     COUNTIFS($AN$2:$AN$200,$G76)&gt;0,
     COUNTIFS($AO$2:$AO$200,$G76)&gt;0,
     COUNTIFS($AP$2:$AP$200,$G76)&gt;0,
     COUNTIFS($AQ$2:$AQ$200,$G76)&gt;0,
     COUNTIFS($AR$2:$AR$200,$G76)&gt;0,
     COUNTIFS($AS$2:$AS$200,$G76)&gt;0,
     COUNTIFS($AT$2:$AT$200,$G76)&gt;0,
     COUNTIFS($AU$2:$AU$200,$G76)&gt;0,
     COUNTIFS($AV$2:$AV$200,$G76)&gt;0,
     COUNTIFS($AW$2:$AW$200,$G76)&gt;0,
     COUNTIFS($AX$2:$AX$200,$G76)&gt;0
   )),
  ),
  2
 ),
"")</f>
        <v/>
      </c>
      <c r="E76" s="3" t="str" cm="1">
        <f t="array" aca="1" ref="E76" ca="1">IFERROR(
 INDEX(
  _xlfn._xlws.FILTER($U$1:$AX$1,
   TRANSPOSE(
    CHOOSE({1;2;3;4;5;6;7;8;9;10;11;12;13;14;15;16;17;18;19;20;21;22;23;24;25;26;27;28;29;30},
     COUNTIFS($U$2:$U$200,$G76)&gt;0,
     COUNTIFS($V$2:$V$200,$G76)&gt;0,
     COUNTIFS($W$2:$W$200,$G76)&gt;0,
     COUNTIFS($X$2:$X$200,$G76)&gt;0,
     COUNTIFS($Y$2:$Y$200,$G76)&gt;0,
     COUNTIFS($Z$2:$Z$200,$G76)&gt;0,
     COUNTIFS($AA$2:$AA$200,$G76)&gt;0,
     COUNTIFS($AB$2:$AB$200,$G76)&gt;0,
     COUNTIFS($AC$2:$AC$200,$G76)&gt;0,
     COUNTIFS($AD$2:$AD$200,$G76)&gt;0,
     COUNTIFS($AE$2:$AE$200,$G76)&gt;0,
     COUNTIFS($AF$2:$AF$200,$G76)&gt;0,
     COUNTIFS($AG$2:$AG$200,$G76)&gt;0,
     COUNTIFS($AH$2:$AH$200,$G76)&gt;0,
     COUNTIFS($AI$2:$AI$200,$G76)&gt;0,
     COUNTIFS($AJ$2:$AJ$200,$G76)&gt;0,
     COUNTIFS($AK$2:$AK$200,$G76)&gt;0,
     COUNTIFS($AL$2:$AL$200,$G76)&gt;0,
     COUNTIFS($AM$2:$AM$200,$G76)&gt;0,
     COUNTIFS($AN$2:$AN$200,$G76)&gt;0,
     COUNTIFS($AO$2:$AO$200,$G76)&gt;0,
     COUNTIFS($AP$2:$AP$200,$G76)&gt;0,
     COUNTIFS($AQ$2:$AQ$200,$G76)&gt;0,
     COUNTIFS($AR$2:$AR$200,$G76)&gt;0,
     COUNTIFS($AS$2:$AS$200,$G76)&gt;0,
     COUNTIFS($AT$2:$AT$200,$G76)&gt;0,
     COUNTIFS($AU$2:$AU$200,$G76)&gt;0,
     COUNTIFS($AV$2:$AV$200,$G76)&gt;0,
     COUNTIFS($AW$2:$AW$200,$G76)&gt;0,
     COUNTIFS($AX$2:$AX$200,$G76)&gt;0
   )),
  ),
  3
 ),
"")</f>
        <v/>
      </c>
      <c r="F76" s="3" t="str" cm="1">
        <f t="array" aca="1" ref="F76" ca="1">IFERROR(
 INDEX(
  _xlfn._xlws.FILTER($U$1:$AX$1,
   TRANSPOSE(
    CHOOSE({1;2;3;4;5;6;7;8;9;10;11;12;13;14;15;16;17;18;19;20;21;22;23;24;25;26;27;28;29;30},
     COUNTIFS($U$2:$U$200,$G76)&gt;0,
     COUNTIFS($V$2:$V$200,$G76)&gt;0,
     COUNTIFS($W$2:$W$200,$G76)&gt;0,
     COUNTIFS($X$2:$X$200,$G76)&gt;0,
     COUNTIFS($Y$2:$Y$200,$G76)&gt;0,
     COUNTIFS($Z$2:$Z$200,$G76)&gt;0,
     COUNTIFS($AA$2:$AA$200,$G76)&gt;0,
     COUNTIFS($AB$2:$AB$200,$G76)&gt;0,
     COUNTIFS($AC$2:$AC$200,$G76)&gt;0,
     COUNTIFS($AD$2:$AD$200,$G76)&gt;0,
     COUNTIFS($AE$2:$AE$200,$G76)&gt;0,
     COUNTIFS($AF$2:$AF$200,$G76)&gt;0,
     COUNTIFS($AG$2:$AG$200,$G76)&gt;0,
     COUNTIFS($AH$2:$AH$200,$G76)&gt;0,
     COUNTIFS($AI$2:$AI$200,$G76)&gt;0,
     COUNTIFS($AJ$2:$AJ$200,$G76)&gt;0,
     COUNTIFS($AK$2:$AK$200,$G76)&gt;0,
     COUNTIFS($AL$2:$AL$200,$G76)&gt;0,
     COUNTIFS($AM$2:$AM$200,$G76)&gt;0,
     COUNTIFS($AN$2:$AN$200,$G76)&gt;0,
     COUNTIFS($AO$2:$AO$200,$G76)&gt;0,
     COUNTIFS($AP$2:$AP$200,$G76)&gt;0,
     COUNTIFS($AQ$2:$AQ$200,$G76)&gt;0,
     COUNTIFS($AR$2:$AR$200,$G76)&gt;0,
     COUNTIFS($AS$2:$AS$200,$G76)&gt;0,
     COUNTIFS($AT$2:$AT$200,$G76)&gt;0,
     COUNTIFS($AU$2:$AU$200,$G76)&gt;0,
     COUNTIFS($AV$2:$AV$200,$G76)&gt;0,
     COUNTIFS($AW$2:$AW$200,$G76)&gt;0,
     COUNTIFS($AX$2:$AX$200,$G76)&gt;0
   )),
  ),
  4
 ),
"")</f>
        <v/>
      </c>
      <c r="G76" t="str">
        <f ca="1"/>
        <v>Espada da Riqueza e do Poder</v>
      </c>
      <c r="BS76" t="str">
        <f ca="1"/>
        <v>Sokenzan, Crucible of Defiance</v>
      </c>
      <c r="CB76" t="str">
        <f ca="1"/>
        <v>Life of the Party</v>
      </c>
      <c r="CC76" t="str">
        <f ca="1"/>
        <v>Thought Vessel</v>
      </c>
      <c r="CG76" t="str">
        <f ca="1"/>
        <v>Gerrard's Hourglass Pendant</v>
      </c>
      <c r="CH76" t="str">
        <f ca="1"/>
        <v>Sol Ring</v>
      </c>
      <c r="CJ76" t="str">
        <f ca="1"/>
        <v>Espada da Riqueza e do Poder</v>
      </c>
    </row>
    <row r="77" spans="1:88" x14ac:dyDescent="0.25">
      <c r="A77" s="3" t="str">
        <f t="shared" ca="1" si="4"/>
        <v>3</v>
      </c>
      <c r="B77" s="3">
        <f t="shared" ca="1" si="5"/>
        <v>1</v>
      </c>
      <c r="C77" s="3" t="str">
        <f ca="1">IFERROR(
 INDEX($U$1:$AX$1,
  MATCH(TRUE,
   CHOOSE({1;2;3;4;5;6;7;8;9;10;11;12;13;14;15;16;17;18;19;20;21;22;23;24;25;26;27;28;29;30;31;32},
    COUNTIFS($U$2:$U$200,$G77)&gt;0,
    COUNTIFS($V$2:$V$200,$G77)&gt;0,
    COUNTIFS($W$2:$W$200,$G77)&gt;0,
    COUNTIFS($X$2:$X$200,$G77)&gt;0,
    COUNTIFS($Y$2:$Y$200,$G77)&gt;0,
    COUNTIFS($Z$2:$Z$200,$G77)&gt;0,
    COUNTIFS($AA$2:$AA$200,$G77)&gt;0,
    COUNTIFS($AB$2:$AB$200,$G77)&gt;0,
    COUNTIFS($AC$2:$AC$200,$G77)&gt;0,
    COUNTIFS($AD$2:$AD$200,$G77)&gt;0,
    COUNTIFS($AE$2:$AE$200,$G77)&gt;0,
    COUNTIFS($AF$2:$AF$200,$G77)&gt;0,
    COUNTIFS($AG$2:$AG$200,$G77)&gt;0,
    COUNTIFS($AH$2:$AH$200,$G77)&gt;0,
    COUNTIFS($AI$2:$AI$200,$G77)&gt;0,
    COUNTIFS($AJ$2:$AJ$200,$G77)&gt;0,
    COUNTIFS($AK$2:$AK$200,$G77)&gt;0,
    COUNTIFS($AL$2:$AL$200,$G77)&gt;0,
    COUNTIFS($AM$2:$AM$200,$G77)&gt;0,
    COUNTIFS($AN$2:$AN$200,$G77)&gt;0,
    COUNTIFS($AO$2:$AO$200,$G77)&gt;0,
    COUNTIFS($AP$2:$AP$200,$G77)&gt;0,
    COUNTIFS($AQ$2:$AQ$200,$G77)&gt;0,
    COUNTIFS($AR$2:$AR$200,$G77)&gt;0,
    COUNTIFS($AS$2:$AS$200,$G77)&gt;0,
    COUNTIFS($AT$2:$AT$200,$G77)&gt;0,
    COUNTIFS($AU$2:$AU$200,$G77)&gt;0,
    COUNTIFS($AV$2:$AV$200,$G77)&gt;0,
    COUNTIFS($AW$2:$AW$200,$G77)&gt;0,
    COUNTIFS($AX$2:$AX$200,$G77)&gt;0
   ),
  0)
 ),
"")</f>
        <v>Akiri</v>
      </c>
      <c r="D77" s="3" t="str" cm="1">
        <f t="array" aca="1" ref="D77" ca="1">IFERROR(
 INDEX(
  _xlfn._xlws.FILTER($U$1:$AX$1,
   TRANSPOSE(
    CHOOSE({1;2;3;4;5;6;7;8;9;10;11;12;13;14;15;16;17;18;19;20;21;22;23;24;25;26;27;28;29;30},
     COUNTIFS($U$2:$U$200,$G77)&gt;0,
     COUNTIFS($V$2:$V$200,$G77)&gt;0,
     COUNTIFS($W$2:$W$200,$G77)&gt;0,
     COUNTIFS($X$2:$X$200,$G77)&gt;0,
     COUNTIFS($Y$2:$Y$200,$G77)&gt;0,
     COUNTIFS($Z$2:$Z$200,$G77)&gt;0,
     COUNTIFS($AA$2:$AA$200,$G77)&gt;0,
     COUNTIFS($AB$2:$AB$200,$G77)&gt;0,
     COUNTIFS($AC$2:$AC$200,$G77)&gt;0,
     COUNTIFS($AD$2:$AD$200,$G77)&gt;0,
     COUNTIFS($AE$2:$AE$200,$G77)&gt;0,
     COUNTIFS($AF$2:$AF$200,$G77)&gt;0,
     COUNTIFS($AG$2:$AG$200,$G77)&gt;0,
     COUNTIFS($AH$2:$AH$200,$G77)&gt;0,
     COUNTIFS($AI$2:$AI$200,$G77)&gt;0,
     COUNTIFS($AJ$2:$AJ$200,$G77)&gt;0,
     COUNTIFS($AK$2:$AK$200,$G77)&gt;0,
     COUNTIFS($AL$2:$AL$200,$G77)&gt;0,
     COUNTIFS($AM$2:$AM$200,$G77)&gt;0,
     COUNTIFS($AN$2:$AN$200,$G77)&gt;0,
     COUNTIFS($AO$2:$AO$200,$G77)&gt;0,
     COUNTIFS($AP$2:$AP$200,$G77)&gt;0,
     COUNTIFS($AQ$2:$AQ$200,$G77)&gt;0,
     COUNTIFS($AR$2:$AR$200,$G77)&gt;0,
     COUNTIFS($AS$2:$AS$200,$G77)&gt;0,
     COUNTIFS($AT$2:$AT$200,$G77)&gt;0,
     COUNTIFS($AU$2:$AU$200,$G77)&gt;0,
     COUNTIFS($AV$2:$AV$200,$G77)&gt;0,
     COUNTIFS($AW$2:$AW$200,$G77)&gt;0,
     COUNTIFS($AX$2:$AX$200,$G77)&gt;0
   )),
  ),
  2
 ),
"")</f>
        <v/>
      </c>
      <c r="E77" s="3" t="str" cm="1">
        <f t="array" aca="1" ref="E77" ca="1">IFERROR(
 INDEX(
  _xlfn._xlws.FILTER($U$1:$AX$1,
   TRANSPOSE(
    CHOOSE({1;2;3;4;5;6;7;8;9;10;11;12;13;14;15;16;17;18;19;20;21;22;23;24;25;26;27;28;29;30},
     COUNTIFS($U$2:$U$200,$G77)&gt;0,
     COUNTIFS($V$2:$V$200,$G77)&gt;0,
     COUNTIFS($W$2:$W$200,$G77)&gt;0,
     COUNTIFS($X$2:$X$200,$G77)&gt;0,
     COUNTIFS($Y$2:$Y$200,$G77)&gt;0,
     COUNTIFS($Z$2:$Z$200,$G77)&gt;0,
     COUNTIFS($AA$2:$AA$200,$G77)&gt;0,
     COUNTIFS($AB$2:$AB$200,$G77)&gt;0,
     COUNTIFS($AC$2:$AC$200,$G77)&gt;0,
     COUNTIFS($AD$2:$AD$200,$G77)&gt;0,
     COUNTIFS($AE$2:$AE$200,$G77)&gt;0,
     COUNTIFS($AF$2:$AF$200,$G77)&gt;0,
     COUNTIFS($AG$2:$AG$200,$G77)&gt;0,
     COUNTIFS($AH$2:$AH$200,$G77)&gt;0,
     COUNTIFS($AI$2:$AI$200,$G77)&gt;0,
     COUNTIFS($AJ$2:$AJ$200,$G77)&gt;0,
     COUNTIFS($AK$2:$AK$200,$G77)&gt;0,
     COUNTIFS($AL$2:$AL$200,$G77)&gt;0,
     COUNTIFS($AM$2:$AM$200,$G77)&gt;0,
     COUNTIFS($AN$2:$AN$200,$G77)&gt;0,
     COUNTIFS($AO$2:$AO$200,$G77)&gt;0,
     COUNTIFS($AP$2:$AP$200,$G77)&gt;0,
     COUNTIFS($AQ$2:$AQ$200,$G77)&gt;0,
     COUNTIFS($AR$2:$AR$200,$G77)&gt;0,
     COUNTIFS($AS$2:$AS$200,$G77)&gt;0,
     COUNTIFS($AT$2:$AT$200,$G77)&gt;0,
     COUNTIFS($AU$2:$AU$200,$G77)&gt;0,
     COUNTIFS($AV$2:$AV$200,$G77)&gt;0,
     COUNTIFS($AW$2:$AW$200,$G77)&gt;0,
     COUNTIFS($AX$2:$AX$200,$G77)&gt;0
   )),
  ),
  3
 ),
"")</f>
        <v/>
      </c>
      <c r="F77" s="3" t="str" cm="1">
        <f t="array" aca="1" ref="F77" ca="1">IFERROR(
 INDEX(
  _xlfn._xlws.FILTER($U$1:$AX$1,
   TRANSPOSE(
    CHOOSE({1;2;3;4;5;6;7;8;9;10;11;12;13;14;15;16;17;18;19;20;21;22;23;24;25;26;27;28;29;30},
     COUNTIFS($U$2:$U$200,$G77)&gt;0,
     COUNTIFS($V$2:$V$200,$G77)&gt;0,
     COUNTIFS($W$2:$W$200,$G77)&gt;0,
     COUNTIFS($X$2:$X$200,$G77)&gt;0,
     COUNTIFS($Y$2:$Y$200,$G77)&gt;0,
     COUNTIFS($Z$2:$Z$200,$G77)&gt;0,
     COUNTIFS($AA$2:$AA$200,$G77)&gt;0,
     COUNTIFS($AB$2:$AB$200,$G77)&gt;0,
     COUNTIFS($AC$2:$AC$200,$G77)&gt;0,
     COUNTIFS($AD$2:$AD$200,$G77)&gt;0,
     COUNTIFS($AE$2:$AE$200,$G77)&gt;0,
     COUNTIFS($AF$2:$AF$200,$G77)&gt;0,
     COUNTIFS($AG$2:$AG$200,$G77)&gt;0,
     COUNTIFS($AH$2:$AH$200,$G77)&gt;0,
     COUNTIFS($AI$2:$AI$200,$G77)&gt;0,
     COUNTIFS($AJ$2:$AJ$200,$G77)&gt;0,
     COUNTIFS($AK$2:$AK$200,$G77)&gt;0,
     COUNTIFS($AL$2:$AL$200,$G77)&gt;0,
     COUNTIFS($AM$2:$AM$200,$G77)&gt;0,
     COUNTIFS($AN$2:$AN$200,$G77)&gt;0,
     COUNTIFS($AO$2:$AO$200,$G77)&gt;0,
     COUNTIFS($AP$2:$AP$200,$G77)&gt;0,
     COUNTIFS($AQ$2:$AQ$200,$G77)&gt;0,
     COUNTIFS($AR$2:$AR$200,$G77)&gt;0,
     COUNTIFS($AS$2:$AS$200,$G77)&gt;0,
     COUNTIFS($AT$2:$AT$200,$G77)&gt;0,
     COUNTIFS($AU$2:$AU$200,$G77)&gt;0,
     COUNTIFS($AV$2:$AV$200,$G77)&gt;0,
     COUNTIFS($AW$2:$AW$200,$G77)&gt;0,
     COUNTIFS($AX$2:$AX$200,$G77)&gt;0
   )),
  ),
  4
 ),
"")</f>
        <v/>
      </c>
      <c r="G77" t="str">
        <f ca="1"/>
        <v>Espada de Banquete e Fome</v>
      </c>
      <c r="BS77" t="str">
        <f ca="1"/>
        <v>Sol Ring</v>
      </c>
      <c r="CB77" t="str">
        <f ca="1"/>
        <v>Lightning Greaves</v>
      </c>
      <c r="CC77" t="str">
        <f ca="1"/>
        <v>Thran Dynamo</v>
      </c>
      <c r="CG77" t="str">
        <f ca="1"/>
        <v>Ghostly Prison</v>
      </c>
      <c r="CH77" t="str">
        <f ca="1"/>
        <v>Sonic Screwdriver</v>
      </c>
      <c r="CJ77" t="str">
        <f ca="1"/>
        <v>Espada de Banquete e Fome</v>
      </c>
    </row>
    <row r="78" spans="1:88" x14ac:dyDescent="0.25">
      <c r="A78" s="3" t="str">
        <f t="shared" ca="1" si="4"/>
        <v>3</v>
      </c>
      <c r="B78" s="3">
        <f t="shared" ca="1" si="5"/>
        <v>1</v>
      </c>
      <c r="C78" s="3" t="str">
        <f ca="1">IFERROR(
 INDEX($U$1:$AX$1,
  MATCH(TRUE,
   CHOOSE({1;2;3;4;5;6;7;8;9;10;11;12;13;14;15;16;17;18;19;20;21;22;23;24;25;26;27;28;29;30;31;32},
    COUNTIFS($U$2:$U$200,$G78)&gt;0,
    COUNTIFS($V$2:$V$200,$G78)&gt;0,
    COUNTIFS($W$2:$W$200,$G78)&gt;0,
    COUNTIFS($X$2:$X$200,$G78)&gt;0,
    COUNTIFS($Y$2:$Y$200,$G78)&gt;0,
    COUNTIFS($Z$2:$Z$200,$G78)&gt;0,
    COUNTIFS($AA$2:$AA$200,$G78)&gt;0,
    COUNTIFS($AB$2:$AB$200,$G78)&gt;0,
    COUNTIFS($AC$2:$AC$200,$G78)&gt;0,
    COUNTIFS($AD$2:$AD$200,$G78)&gt;0,
    COUNTIFS($AE$2:$AE$200,$G78)&gt;0,
    COUNTIFS($AF$2:$AF$200,$G78)&gt;0,
    COUNTIFS($AG$2:$AG$200,$G78)&gt;0,
    COUNTIFS($AH$2:$AH$200,$G78)&gt;0,
    COUNTIFS($AI$2:$AI$200,$G78)&gt;0,
    COUNTIFS($AJ$2:$AJ$200,$G78)&gt;0,
    COUNTIFS($AK$2:$AK$200,$G78)&gt;0,
    COUNTIFS($AL$2:$AL$200,$G78)&gt;0,
    COUNTIFS($AM$2:$AM$200,$G78)&gt;0,
    COUNTIFS($AN$2:$AN$200,$G78)&gt;0,
    COUNTIFS($AO$2:$AO$200,$G78)&gt;0,
    COUNTIFS($AP$2:$AP$200,$G78)&gt;0,
    COUNTIFS($AQ$2:$AQ$200,$G78)&gt;0,
    COUNTIFS($AR$2:$AR$200,$G78)&gt;0,
    COUNTIFS($AS$2:$AS$200,$G78)&gt;0,
    COUNTIFS($AT$2:$AT$200,$G78)&gt;0,
    COUNTIFS($AU$2:$AU$200,$G78)&gt;0,
    COUNTIFS($AV$2:$AV$200,$G78)&gt;0,
    COUNTIFS($AW$2:$AW$200,$G78)&gt;0,
    COUNTIFS($AX$2:$AX$200,$G78)&gt;0
   ),
  0)
 ),
"")</f>
        <v>Akiri</v>
      </c>
      <c r="D78" s="3" t="str" cm="1">
        <f t="array" aca="1" ref="D78" ca="1">IFERROR(
 INDEX(
  _xlfn._xlws.FILTER($U$1:$AX$1,
   TRANSPOSE(
    CHOOSE({1;2;3;4;5;6;7;8;9;10;11;12;13;14;15;16;17;18;19;20;21;22;23;24;25;26;27;28;29;30},
     COUNTIFS($U$2:$U$200,$G78)&gt;0,
     COUNTIFS($V$2:$V$200,$G78)&gt;0,
     COUNTIFS($W$2:$W$200,$G78)&gt;0,
     COUNTIFS($X$2:$X$200,$G78)&gt;0,
     COUNTIFS($Y$2:$Y$200,$G78)&gt;0,
     COUNTIFS($Z$2:$Z$200,$G78)&gt;0,
     COUNTIFS($AA$2:$AA$200,$G78)&gt;0,
     COUNTIFS($AB$2:$AB$200,$G78)&gt;0,
     COUNTIFS($AC$2:$AC$200,$G78)&gt;0,
     COUNTIFS($AD$2:$AD$200,$G78)&gt;0,
     COUNTIFS($AE$2:$AE$200,$G78)&gt;0,
     COUNTIFS($AF$2:$AF$200,$G78)&gt;0,
     COUNTIFS($AG$2:$AG$200,$G78)&gt;0,
     COUNTIFS($AH$2:$AH$200,$G78)&gt;0,
     COUNTIFS($AI$2:$AI$200,$G78)&gt;0,
     COUNTIFS($AJ$2:$AJ$200,$G78)&gt;0,
     COUNTIFS($AK$2:$AK$200,$G78)&gt;0,
     COUNTIFS($AL$2:$AL$200,$G78)&gt;0,
     COUNTIFS($AM$2:$AM$200,$G78)&gt;0,
     COUNTIFS($AN$2:$AN$200,$G78)&gt;0,
     COUNTIFS($AO$2:$AO$200,$G78)&gt;0,
     COUNTIFS($AP$2:$AP$200,$G78)&gt;0,
     COUNTIFS($AQ$2:$AQ$200,$G78)&gt;0,
     COUNTIFS($AR$2:$AR$200,$G78)&gt;0,
     COUNTIFS($AS$2:$AS$200,$G78)&gt;0,
     COUNTIFS($AT$2:$AT$200,$G78)&gt;0,
     COUNTIFS($AU$2:$AU$200,$G78)&gt;0,
     COUNTIFS($AV$2:$AV$200,$G78)&gt;0,
     COUNTIFS($AW$2:$AW$200,$G78)&gt;0,
     COUNTIFS($AX$2:$AX$200,$G78)&gt;0
   )),
  ),
  2
 ),
"")</f>
        <v/>
      </c>
      <c r="E78" s="3" t="str" cm="1">
        <f t="array" aca="1" ref="E78" ca="1">IFERROR(
 INDEX(
  _xlfn._xlws.FILTER($U$1:$AX$1,
   TRANSPOSE(
    CHOOSE({1;2;3;4;5;6;7;8;9;10;11;12;13;14;15;16;17;18;19;20;21;22;23;24;25;26;27;28;29;30},
     COUNTIFS($U$2:$U$200,$G78)&gt;0,
     COUNTIFS($V$2:$V$200,$G78)&gt;0,
     COUNTIFS($W$2:$W$200,$G78)&gt;0,
     COUNTIFS($X$2:$X$200,$G78)&gt;0,
     COUNTIFS($Y$2:$Y$200,$G78)&gt;0,
     COUNTIFS($Z$2:$Z$200,$G78)&gt;0,
     COUNTIFS($AA$2:$AA$200,$G78)&gt;0,
     COUNTIFS($AB$2:$AB$200,$G78)&gt;0,
     COUNTIFS($AC$2:$AC$200,$G78)&gt;0,
     COUNTIFS($AD$2:$AD$200,$G78)&gt;0,
     COUNTIFS($AE$2:$AE$200,$G78)&gt;0,
     COUNTIFS($AF$2:$AF$200,$G78)&gt;0,
     COUNTIFS($AG$2:$AG$200,$G78)&gt;0,
     COUNTIFS($AH$2:$AH$200,$G78)&gt;0,
     COUNTIFS($AI$2:$AI$200,$G78)&gt;0,
     COUNTIFS($AJ$2:$AJ$200,$G78)&gt;0,
     COUNTIFS($AK$2:$AK$200,$G78)&gt;0,
     COUNTIFS($AL$2:$AL$200,$G78)&gt;0,
     COUNTIFS($AM$2:$AM$200,$G78)&gt;0,
     COUNTIFS($AN$2:$AN$200,$G78)&gt;0,
     COUNTIFS($AO$2:$AO$200,$G78)&gt;0,
     COUNTIFS($AP$2:$AP$200,$G78)&gt;0,
     COUNTIFS($AQ$2:$AQ$200,$G78)&gt;0,
     COUNTIFS($AR$2:$AR$200,$G78)&gt;0,
     COUNTIFS($AS$2:$AS$200,$G78)&gt;0,
     COUNTIFS($AT$2:$AT$200,$G78)&gt;0,
     COUNTIFS($AU$2:$AU$200,$G78)&gt;0,
     COUNTIFS($AV$2:$AV$200,$G78)&gt;0,
     COUNTIFS($AW$2:$AW$200,$G78)&gt;0,
     COUNTIFS($AX$2:$AX$200,$G78)&gt;0
   )),
  ),
  3
 ),
"")</f>
        <v/>
      </c>
      <c r="F78" s="3" t="str" cm="1">
        <f t="array" aca="1" ref="F78" ca="1">IFERROR(
 INDEX(
  _xlfn._xlws.FILTER($U$1:$AX$1,
   TRANSPOSE(
    CHOOSE({1;2;3;4;5;6;7;8;9;10;11;12;13;14;15;16;17;18;19;20;21;22;23;24;25;26;27;28;29;30},
     COUNTIFS($U$2:$U$200,$G78)&gt;0,
     COUNTIFS($V$2:$V$200,$G78)&gt;0,
     COUNTIFS($W$2:$W$200,$G78)&gt;0,
     COUNTIFS($X$2:$X$200,$G78)&gt;0,
     COUNTIFS($Y$2:$Y$200,$G78)&gt;0,
     COUNTIFS($Z$2:$Z$200,$G78)&gt;0,
     COUNTIFS($AA$2:$AA$200,$G78)&gt;0,
     COUNTIFS($AB$2:$AB$200,$G78)&gt;0,
     COUNTIFS($AC$2:$AC$200,$G78)&gt;0,
     COUNTIFS($AD$2:$AD$200,$G78)&gt;0,
     COUNTIFS($AE$2:$AE$200,$G78)&gt;0,
     COUNTIFS($AF$2:$AF$200,$G78)&gt;0,
     COUNTIFS($AG$2:$AG$200,$G78)&gt;0,
     COUNTIFS($AH$2:$AH$200,$G78)&gt;0,
     COUNTIFS($AI$2:$AI$200,$G78)&gt;0,
     COUNTIFS($AJ$2:$AJ$200,$G78)&gt;0,
     COUNTIFS($AK$2:$AK$200,$G78)&gt;0,
     COUNTIFS($AL$2:$AL$200,$G78)&gt;0,
     COUNTIFS($AM$2:$AM$200,$G78)&gt;0,
     COUNTIFS($AN$2:$AN$200,$G78)&gt;0,
     COUNTIFS($AO$2:$AO$200,$G78)&gt;0,
     COUNTIFS($AP$2:$AP$200,$G78)&gt;0,
     COUNTIFS($AQ$2:$AQ$200,$G78)&gt;0,
     COUNTIFS($AR$2:$AR$200,$G78)&gt;0,
     COUNTIFS($AS$2:$AS$200,$G78)&gt;0,
     COUNTIFS($AT$2:$AT$200,$G78)&gt;0,
     COUNTIFS($AU$2:$AU$200,$G78)&gt;0,
     COUNTIFS($AV$2:$AV$200,$G78)&gt;0,
     COUNTIFS($AW$2:$AW$200,$G78)&gt;0,
     COUNTIFS($AX$2:$AX$200,$G78)&gt;0
   )),
  ),
  4
 ),
"")</f>
        <v/>
      </c>
      <c r="G78" t="str">
        <f ca="1"/>
        <v>Espada de Fogo e Gelo</v>
      </c>
      <c r="BS78" t="str">
        <f ca="1"/>
        <v>Song of Freyalise</v>
      </c>
      <c r="CB78" t="str">
        <f ca="1"/>
        <v>Llanowar Wastes</v>
      </c>
      <c r="CC78" t="str">
        <f ca="1"/>
        <v>Titania, Voice of Gaea</v>
      </c>
      <c r="CG78" t="str">
        <f ca="1"/>
        <v>Ghoulish Impetus</v>
      </c>
      <c r="CH78" t="str">
        <f ca="1"/>
        <v>Stridehangar Automaton</v>
      </c>
      <c r="CJ78" t="str">
        <f ca="1"/>
        <v>Espada de Fogo e Gelo</v>
      </c>
    </row>
    <row r="79" spans="1:88" x14ac:dyDescent="0.25">
      <c r="A79" s="3" t="str">
        <f t="shared" ca="1" si="4"/>
        <v>3</v>
      </c>
      <c r="B79" s="3">
        <f t="shared" ca="1" si="5"/>
        <v>1</v>
      </c>
      <c r="C79" s="3" t="str">
        <f ca="1">IFERROR(
 INDEX($U$1:$AX$1,
  MATCH(TRUE,
   CHOOSE({1;2;3;4;5;6;7;8;9;10;11;12;13;14;15;16;17;18;19;20;21;22;23;24;25;26;27;28;29;30;31;32},
    COUNTIFS($U$2:$U$200,$G79)&gt;0,
    COUNTIFS($V$2:$V$200,$G79)&gt;0,
    COUNTIFS($W$2:$W$200,$G79)&gt;0,
    COUNTIFS($X$2:$X$200,$G79)&gt;0,
    COUNTIFS($Y$2:$Y$200,$G79)&gt;0,
    COUNTIFS($Z$2:$Z$200,$G79)&gt;0,
    COUNTIFS($AA$2:$AA$200,$G79)&gt;0,
    COUNTIFS($AB$2:$AB$200,$G79)&gt;0,
    COUNTIFS($AC$2:$AC$200,$G79)&gt;0,
    COUNTIFS($AD$2:$AD$200,$G79)&gt;0,
    COUNTIFS($AE$2:$AE$200,$G79)&gt;0,
    COUNTIFS($AF$2:$AF$200,$G79)&gt;0,
    COUNTIFS($AG$2:$AG$200,$G79)&gt;0,
    COUNTIFS($AH$2:$AH$200,$G79)&gt;0,
    COUNTIFS($AI$2:$AI$200,$G79)&gt;0,
    COUNTIFS($AJ$2:$AJ$200,$G79)&gt;0,
    COUNTIFS($AK$2:$AK$200,$G79)&gt;0,
    COUNTIFS($AL$2:$AL$200,$G79)&gt;0,
    COUNTIFS($AM$2:$AM$200,$G79)&gt;0,
    COUNTIFS($AN$2:$AN$200,$G79)&gt;0,
    COUNTIFS($AO$2:$AO$200,$G79)&gt;0,
    COUNTIFS($AP$2:$AP$200,$G79)&gt;0,
    COUNTIFS($AQ$2:$AQ$200,$G79)&gt;0,
    COUNTIFS($AR$2:$AR$200,$G79)&gt;0,
    COUNTIFS($AS$2:$AS$200,$G79)&gt;0,
    COUNTIFS($AT$2:$AT$200,$G79)&gt;0,
    COUNTIFS($AU$2:$AU$200,$G79)&gt;0,
    COUNTIFS($AV$2:$AV$200,$G79)&gt;0,
    COUNTIFS($AW$2:$AW$200,$G79)&gt;0,
    COUNTIFS($AX$2:$AX$200,$G79)&gt;0
   ),
  0)
 ),
"")</f>
        <v>Akiri</v>
      </c>
      <c r="D79" s="3" t="str" cm="1">
        <f t="array" aca="1" ref="D79" ca="1">IFERROR(
 INDEX(
  _xlfn._xlws.FILTER($U$1:$AX$1,
   TRANSPOSE(
    CHOOSE({1;2;3;4;5;6;7;8;9;10;11;12;13;14;15;16;17;18;19;20;21;22;23;24;25;26;27;28;29;30},
     COUNTIFS($U$2:$U$200,$G79)&gt;0,
     COUNTIFS($V$2:$V$200,$G79)&gt;0,
     COUNTIFS($W$2:$W$200,$G79)&gt;0,
     COUNTIFS($X$2:$X$200,$G79)&gt;0,
     COUNTIFS($Y$2:$Y$200,$G79)&gt;0,
     COUNTIFS($Z$2:$Z$200,$G79)&gt;0,
     COUNTIFS($AA$2:$AA$200,$G79)&gt;0,
     COUNTIFS($AB$2:$AB$200,$G79)&gt;0,
     COUNTIFS($AC$2:$AC$200,$G79)&gt;0,
     COUNTIFS($AD$2:$AD$200,$G79)&gt;0,
     COUNTIFS($AE$2:$AE$200,$G79)&gt;0,
     COUNTIFS($AF$2:$AF$200,$G79)&gt;0,
     COUNTIFS($AG$2:$AG$200,$G79)&gt;0,
     COUNTIFS($AH$2:$AH$200,$G79)&gt;0,
     COUNTIFS($AI$2:$AI$200,$G79)&gt;0,
     COUNTIFS($AJ$2:$AJ$200,$G79)&gt;0,
     COUNTIFS($AK$2:$AK$200,$G79)&gt;0,
     COUNTIFS($AL$2:$AL$200,$G79)&gt;0,
     COUNTIFS($AM$2:$AM$200,$G79)&gt;0,
     COUNTIFS($AN$2:$AN$200,$G79)&gt;0,
     COUNTIFS($AO$2:$AO$200,$G79)&gt;0,
     COUNTIFS($AP$2:$AP$200,$G79)&gt;0,
     COUNTIFS($AQ$2:$AQ$200,$G79)&gt;0,
     COUNTIFS($AR$2:$AR$200,$G79)&gt;0,
     COUNTIFS($AS$2:$AS$200,$G79)&gt;0,
     COUNTIFS($AT$2:$AT$200,$G79)&gt;0,
     COUNTIFS($AU$2:$AU$200,$G79)&gt;0,
     COUNTIFS($AV$2:$AV$200,$G79)&gt;0,
     COUNTIFS($AW$2:$AW$200,$G79)&gt;0,
     COUNTIFS($AX$2:$AX$200,$G79)&gt;0
   )),
  ),
  2
 ),
"")</f>
        <v/>
      </c>
      <c r="E79" s="3" t="str" cm="1">
        <f t="array" aca="1" ref="E79" ca="1">IFERROR(
 INDEX(
  _xlfn._xlws.FILTER($U$1:$AX$1,
   TRANSPOSE(
    CHOOSE({1;2;3;4;5;6;7;8;9;10;11;12;13;14;15;16;17;18;19;20;21;22;23;24;25;26;27;28;29;30},
     COUNTIFS($U$2:$U$200,$G79)&gt;0,
     COUNTIFS($V$2:$V$200,$G79)&gt;0,
     COUNTIFS($W$2:$W$200,$G79)&gt;0,
     COUNTIFS($X$2:$X$200,$G79)&gt;0,
     COUNTIFS($Y$2:$Y$200,$G79)&gt;0,
     COUNTIFS($Z$2:$Z$200,$G79)&gt;0,
     COUNTIFS($AA$2:$AA$200,$G79)&gt;0,
     COUNTIFS($AB$2:$AB$200,$G79)&gt;0,
     COUNTIFS($AC$2:$AC$200,$G79)&gt;0,
     COUNTIFS($AD$2:$AD$200,$G79)&gt;0,
     COUNTIFS($AE$2:$AE$200,$G79)&gt;0,
     COUNTIFS($AF$2:$AF$200,$G79)&gt;0,
     COUNTIFS($AG$2:$AG$200,$G79)&gt;0,
     COUNTIFS($AH$2:$AH$200,$G79)&gt;0,
     COUNTIFS($AI$2:$AI$200,$G79)&gt;0,
     COUNTIFS($AJ$2:$AJ$200,$G79)&gt;0,
     COUNTIFS($AK$2:$AK$200,$G79)&gt;0,
     COUNTIFS($AL$2:$AL$200,$G79)&gt;0,
     COUNTIFS($AM$2:$AM$200,$G79)&gt;0,
     COUNTIFS($AN$2:$AN$200,$G79)&gt;0,
     COUNTIFS($AO$2:$AO$200,$G79)&gt;0,
     COUNTIFS($AP$2:$AP$200,$G79)&gt;0,
     COUNTIFS($AQ$2:$AQ$200,$G79)&gt;0,
     COUNTIFS($AR$2:$AR$200,$G79)&gt;0,
     COUNTIFS($AS$2:$AS$200,$G79)&gt;0,
     COUNTIFS($AT$2:$AT$200,$G79)&gt;0,
     COUNTIFS($AU$2:$AU$200,$G79)&gt;0,
     COUNTIFS($AV$2:$AV$200,$G79)&gt;0,
     COUNTIFS($AW$2:$AW$200,$G79)&gt;0,
     COUNTIFS($AX$2:$AX$200,$G79)&gt;0
   )),
  ),
  3
 ),
"")</f>
        <v/>
      </c>
      <c r="F79" s="3" t="str" cm="1">
        <f t="array" aca="1" ref="F79" ca="1">IFERROR(
 INDEX(
  _xlfn._xlws.FILTER($U$1:$AX$1,
   TRANSPOSE(
    CHOOSE({1;2;3;4;5;6;7;8;9;10;11;12;13;14;15;16;17;18;19;20;21;22;23;24;25;26;27;28;29;30},
     COUNTIFS($U$2:$U$200,$G79)&gt;0,
     COUNTIFS($V$2:$V$200,$G79)&gt;0,
     COUNTIFS($W$2:$W$200,$G79)&gt;0,
     COUNTIFS($X$2:$X$200,$G79)&gt;0,
     COUNTIFS($Y$2:$Y$200,$G79)&gt;0,
     COUNTIFS($Z$2:$Z$200,$G79)&gt;0,
     COUNTIFS($AA$2:$AA$200,$G79)&gt;0,
     COUNTIFS($AB$2:$AB$200,$G79)&gt;0,
     COUNTIFS($AC$2:$AC$200,$G79)&gt;0,
     COUNTIFS($AD$2:$AD$200,$G79)&gt;0,
     COUNTIFS($AE$2:$AE$200,$G79)&gt;0,
     COUNTIFS($AF$2:$AF$200,$G79)&gt;0,
     COUNTIFS($AG$2:$AG$200,$G79)&gt;0,
     COUNTIFS($AH$2:$AH$200,$G79)&gt;0,
     COUNTIFS($AI$2:$AI$200,$G79)&gt;0,
     COUNTIFS($AJ$2:$AJ$200,$G79)&gt;0,
     COUNTIFS($AK$2:$AK$200,$G79)&gt;0,
     COUNTIFS($AL$2:$AL$200,$G79)&gt;0,
     COUNTIFS($AM$2:$AM$200,$G79)&gt;0,
     COUNTIFS($AN$2:$AN$200,$G79)&gt;0,
     COUNTIFS($AO$2:$AO$200,$G79)&gt;0,
     COUNTIFS($AP$2:$AP$200,$G79)&gt;0,
     COUNTIFS($AQ$2:$AQ$200,$G79)&gt;0,
     COUNTIFS($AR$2:$AR$200,$G79)&gt;0,
     COUNTIFS($AS$2:$AS$200,$G79)&gt;0,
     COUNTIFS($AT$2:$AT$200,$G79)&gt;0,
     COUNTIFS($AU$2:$AU$200,$G79)&gt;0,
     COUNTIFS($AV$2:$AV$200,$G79)&gt;0,
     COUNTIFS($AW$2:$AW$200,$G79)&gt;0,
     COUNTIFS($AX$2:$AX$200,$G79)&gt;0
   )),
  ),
  4
 ),
"")</f>
        <v/>
      </c>
      <c r="G79" t="str">
        <f ca="1"/>
        <v>Espada de Luz e Sombra</v>
      </c>
      <c r="BS79" t="str">
        <f ca="1"/>
        <v>Spectator Seating</v>
      </c>
      <c r="CB79" t="str">
        <f ca="1"/>
        <v>Lord of Atlantis</v>
      </c>
      <c r="CC79" t="str">
        <f ca="1"/>
        <v>Ulamog, o Profanador</v>
      </c>
      <c r="CG79" t="str">
        <f ca="1"/>
        <v>Giver of Runes</v>
      </c>
      <c r="CH79" t="str">
        <f ca="1"/>
        <v>Strionic Resonator</v>
      </c>
      <c r="CJ79" t="str">
        <f ca="1"/>
        <v>Espada de Luz e Sombra</v>
      </c>
    </row>
    <row r="80" spans="1:88" x14ac:dyDescent="0.25">
      <c r="A80" s="3" t="str">
        <f t="shared" ca="1" si="4"/>
        <v>3</v>
      </c>
      <c r="B80" s="3">
        <f t="shared" ca="1" si="5"/>
        <v>1</v>
      </c>
      <c r="C80" s="3" t="str">
        <f ca="1">IFERROR(
 INDEX($U$1:$AX$1,
  MATCH(TRUE,
   CHOOSE({1;2;3;4;5;6;7;8;9;10;11;12;13;14;15;16;17;18;19;20;21;22;23;24;25;26;27;28;29;30;31;32},
    COUNTIFS($U$2:$U$200,$G80)&gt;0,
    COUNTIFS($V$2:$V$200,$G80)&gt;0,
    COUNTIFS($W$2:$W$200,$G80)&gt;0,
    COUNTIFS($X$2:$X$200,$G80)&gt;0,
    COUNTIFS($Y$2:$Y$200,$G80)&gt;0,
    COUNTIFS($Z$2:$Z$200,$G80)&gt;0,
    COUNTIFS($AA$2:$AA$200,$G80)&gt;0,
    COUNTIFS($AB$2:$AB$200,$G80)&gt;0,
    COUNTIFS($AC$2:$AC$200,$G80)&gt;0,
    COUNTIFS($AD$2:$AD$200,$G80)&gt;0,
    COUNTIFS($AE$2:$AE$200,$G80)&gt;0,
    COUNTIFS($AF$2:$AF$200,$G80)&gt;0,
    COUNTIFS($AG$2:$AG$200,$G80)&gt;0,
    COUNTIFS($AH$2:$AH$200,$G80)&gt;0,
    COUNTIFS($AI$2:$AI$200,$G80)&gt;0,
    COUNTIFS($AJ$2:$AJ$200,$G80)&gt;0,
    COUNTIFS($AK$2:$AK$200,$G80)&gt;0,
    COUNTIFS($AL$2:$AL$200,$G80)&gt;0,
    COUNTIFS($AM$2:$AM$200,$G80)&gt;0,
    COUNTIFS($AN$2:$AN$200,$G80)&gt;0,
    COUNTIFS($AO$2:$AO$200,$G80)&gt;0,
    COUNTIFS($AP$2:$AP$200,$G80)&gt;0,
    COUNTIFS($AQ$2:$AQ$200,$G80)&gt;0,
    COUNTIFS($AR$2:$AR$200,$G80)&gt;0,
    COUNTIFS($AS$2:$AS$200,$G80)&gt;0,
    COUNTIFS($AT$2:$AT$200,$G80)&gt;0,
    COUNTIFS($AU$2:$AU$200,$G80)&gt;0,
    COUNTIFS($AV$2:$AV$200,$G80)&gt;0,
    COUNTIFS($AW$2:$AW$200,$G80)&gt;0,
    COUNTIFS($AX$2:$AX$200,$G80)&gt;0
   ),
  0)
 ),
"")</f>
        <v>Akiri</v>
      </c>
      <c r="D80" s="3" t="str" cm="1">
        <f t="array" aca="1" ref="D80" ca="1">IFERROR(
 INDEX(
  _xlfn._xlws.FILTER($U$1:$AX$1,
   TRANSPOSE(
    CHOOSE({1;2;3;4;5;6;7;8;9;10;11;12;13;14;15;16;17;18;19;20;21;22;23;24;25;26;27;28;29;30},
     COUNTIFS($U$2:$U$200,$G80)&gt;0,
     COUNTIFS($V$2:$V$200,$G80)&gt;0,
     COUNTIFS($W$2:$W$200,$G80)&gt;0,
     COUNTIFS($X$2:$X$200,$G80)&gt;0,
     COUNTIFS($Y$2:$Y$200,$G80)&gt;0,
     COUNTIFS($Z$2:$Z$200,$G80)&gt;0,
     COUNTIFS($AA$2:$AA$200,$G80)&gt;0,
     COUNTIFS($AB$2:$AB$200,$G80)&gt;0,
     COUNTIFS($AC$2:$AC$200,$G80)&gt;0,
     COUNTIFS($AD$2:$AD$200,$G80)&gt;0,
     COUNTIFS($AE$2:$AE$200,$G80)&gt;0,
     COUNTIFS($AF$2:$AF$200,$G80)&gt;0,
     COUNTIFS($AG$2:$AG$200,$G80)&gt;0,
     COUNTIFS($AH$2:$AH$200,$G80)&gt;0,
     COUNTIFS($AI$2:$AI$200,$G80)&gt;0,
     COUNTIFS($AJ$2:$AJ$200,$G80)&gt;0,
     COUNTIFS($AK$2:$AK$200,$G80)&gt;0,
     COUNTIFS($AL$2:$AL$200,$G80)&gt;0,
     COUNTIFS($AM$2:$AM$200,$G80)&gt;0,
     COUNTIFS($AN$2:$AN$200,$G80)&gt;0,
     COUNTIFS($AO$2:$AO$200,$G80)&gt;0,
     COUNTIFS($AP$2:$AP$200,$G80)&gt;0,
     COUNTIFS($AQ$2:$AQ$200,$G80)&gt;0,
     COUNTIFS($AR$2:$AR$200,$G80)&gt;0,
     COUNTIFS($AS$2:$AS$200,$G80)&gt;0,
     COUNTIFS($AT$2:$AT$200,$G80)&gt;0,
     COUNTIFS($AU$2:$AU$200,$G80)&gt;0,
     COUNTIFS($AV$2:$AV$200,$G80)&gt;0,
     COUNTIFS($AW$2:$AW$200,$G80)&gt;0,
     COUNTIFS($AX$2:$AX$200,$G80)&gt;0
   )),
  ),
  2
 ),
"")</f>
        <v/>
      </c>
      <c r="E80" s="3" t="str" cm="1">
        <f t="array" aca="1" ref="E80" ca="1">IFERROR(
 INDEX(
  _xlfn._xlws.FILTER($U$1:$AX$1,
   TRANSPOSE(
    CHOOSE({1;2;3;4;5;6;7;8;9;10;11;12;13;14;15;16;17;18;19;20;21;22;23;24;25;26;27;28;29;30},
     COUNTIFS($U$2:$U$200,$G80)&gt;0,
     COUNTIFS($V$2:$V$200,$G80)&gt;0,
     COUNTIFS($W$2:$W$200,$G80)&gt;0,
     COUNTIFS($X$2:$X$200,$G80)&gt;0,
     COUNTIFS($Y$2:$Y$200,$G80)&gt;0,
     COUNTIFS($Z$2:$Z$200,$G80)&gt;0,
     COUNTIFS($AA$2:$AA$200,$G80)&gt;0,
     COUNTIFS($AB$2:$AB$200,$G80)&gt;0,
     COUNTIFS($AC$2:$AC$200,$G80)&gt;0,
     COUNTIFS($AD$2:$AD$200,$G80)&gt;0,
     COUNTIFS($AE$2:$AE$200,$G80)&gt;0,
     COUNTIFS($AF$2:$AF$200,$G80)&gt;0,
     COUNTIFS($AG$2:$AG$200,$G80)&gt;0,
     COUNTIFS($AH$2:$AH$200,$G80)&gt;0,
     COUNTIFS($AI$2:$AI$200,$G80)&gt;0,
     COUNTIFS($AJ$2:$AJ$200,$G80)&gt;0,
     COUNTIFS($AK$2:$AK$200,$G80)&gt;0,
     COUNTIFS($AL$2:$AL$200,$G80)&gt;0,
     COUNTIFS($AM$2:$AM$200,$G80)&gt;0,
     COUNTIFS($AN$2:$AN$200,$G80)&gt;0,
     COUNTIFS($AO$2:$AO$200,$G80)&gt;0,
     COUNTIFS($AP$2:$AP$200,$G80)&gt;0,
     COUNTIFS($AQ$2:$AQ$200,$G80)&gt;0,
     COUNTIFS($AR$2:$AR$200,$G80)&gt;0,
     COUNTIFS($AS$2:$AS$200,$G80)&gt;0,
     COUNTIFS($AT$2:$AT$200,$G80)&gt;0,
     COUNTIFS($AU$2:$AU$200,$G80)&gt;0,
     COUNTIFS($AV$2:$AV$200,$G80)&gt;0,
     COUNTIFS($AW$2:$AW$200,$G80)&gt;0,
     COUNTIFS($AX$2:$AX$200,$G80)&gt;0
   )),
  ),
  3
 ),
"")</f>
        <v/>
      </c>
      <c r="F80" s="3" t="str" cm="1">
        <f t="array" aca="1" ref="F80" ca="1">IFERROR(
 INDEX(
  _xlfn._xlws.FILTER($U$1:$AX$1,
   TRANSPOSE(
    CHOOSE({1;2;3;4;5;6;7;8;9;10;11;12;13;14;15;16;17;18;19;20;21;22;23;24;25;26;27;28;29;30},
     COUNTIFS($U$2:$U$200,$G80)&gt;0,
     COUNTIFS($V$2:$V$200,$G80)&gt;0,
     COUNTIFS($W$2:$W$200,$G80)&gt;0,
     COUNTIFS($X$2:$X$200,$G80)&gt;0,
     COUNTIFS($Y$2:$Y$200,$G80)&gt;0,
     COUNTIFS($Z$2:$Z$200,$G80)&gt;0,
     COUNTIFS($AA$2:$AA$200,$G80)&gt;0,
     COUNTIFS($AB$2:$AB$200,$G80)&gt;0,
     COUNTIFS($AC$2:$AC$200,$G80)&gt;0,
     COUNTIFS($AD$2:$AD$200,$G80)&gt;0,
     COUNTIFS($AE$2:$AE$200,$G80)&gt;0,
     COUNTIFS($AF$2:$AF$200,$G80)&gt;0,
     COUNTIFS($AG$2:$AG$200,$G80)&gt;0,
     COUNTIFS($AH$2:$AH$200,$G80)&gt;0,
     COUNTIFS($AI$2:$AI$200,$G80)&gt;0,
     COUNTIFS($AJ$2:$AJ$200,$G80)&gt;0,
     COUNTIFS($AK$2:$AK$200,$G80)&gt;0,
     COUNTIFS($AL$2:$AL$200,$G80)&gt;0,
     COUNTIFS($AM$2:$AM$200,$G80)&gt;0,
     COUNTIFS($AN$2:$AN$200,$G80)&gt;0,
     COUNTIFS($AO$2:$AO$200,$G80)&gt;0,
     COUNTIFS($AP$2:$AP$200,$G80)&gt;0,
     COUNTIFS($AQ$2:$AQ$200,$G80)&gt;0,
     COUNTIFS($AR$2:$AR$200,$G80)&gt;0,
     COUNTIFS($AS$2:$AS$200,$G80)&gt;0,
     COUNTIFS($AT$2:$AT$200,$G80)&gt;0,
     COUNTIFS($AU$2:$AU$200,$G80)&gt;0,
     COUNTIFS($AV$2:$AV$200,$G80)&gt;0,
     COUNTIFS($AW$2:$AW$200,$G80)&gt;0,
     COUNTIFS($AX$2:$AX$200,$G80)&gt;0
   )),
  ),
  4
 ),
"")</f>
        <v/>
      </c>
      <c r="G80" t="str">
        <f ca="1"/>
        <v>Espada de Verdade e Justiça</v>
      </c>
      <c r="BS80" t="str">
        <f ca="1"/>
        <v>Sphere Grid</v>
      </c>
      <c r="CB80" t="str">
        <f ca="1"/>
        <v>Lullmage Mentor</v>
      </c>
      <c r="CC80" t="str">
        <f ca="1"/>
        <v>Ulamog, the Infinite Gyre</v>
      </c>
      <c r="CG80" t="str">
        <f ca="1"/>
        <v>Glasspool Mimic</v>
      </c>
      <c r="CH80" t="str">
        <f ca="1"/>
        <v>Sunhome, Fortress of the Legion</v>
      </c>
      <c r="CJ80" t="str">
        <f ca="1"/>
        <v>Espada de Verdade e Justiça</v>
      </c>
    </row>
    <row r="81" spans="1:88" x14ac:dyDescent="0.25">
      <c r="A81" s="3" t="str">
        <f t="shared" ca="1" si="4"/>
        <v>1</v>
      </c>
      <c r="B81" s="3">
        <f t="shared" ca="1" si="5"/>
        <v>1</v>
      </c>
      <c r="C81" s="3" t="str">
        <f ca="1">IFERROR(
 INDEX($U$1:$AX$1,
  MATCH(TRUE,
   CHOOSE({1;2;3;4;5;6;7;8;9;10;11;12;13;14;15;16;17;18;19;20;21;22;23;24;25;26;27;28;29;30;31;32},
    COUNTIFS($U$2:$U$200,$G81)&gt;0,
    COUNTIFS($V$2:$V$200,$G81)&gt;0,
    COUNTIFS($W$2:$W$200,$G81)&gt;0,
    COUNTIFS($X$2:$X$200,$G81)&gt;0,
    COUNTIFS($Y$2:$Y$200,$G81)&gt;0,
    COUNTIFS($Z$2:$Z$200,$G81)&gt;0,
    COUNTIFS($AA$2:$AA$200,$G81)&gt;0,
    COUNTIFS($AB$2:$AB$200,$G81)&gt;0,
    COUNTIFS($AC$2:$AC$200,$G81)&gt;0,
    COUNTIFS($AD$2:$AD$200,$G81)&gt;0,
    COUNTIFS($AE$2:$AE$200,$G81)&gt;0,
    COUNTIFS($AF$2:$AF$200,$G81)&gt;0,
    COUNTIFS($AG$2:$AG$200,$G81)&gt;0,
    COUNTIFS($AH$2:$AH$200,$G81)&gt;0,
    COUNTIFS($AI$2:$AI$200,$G81)&gt;0,
    COUNTIFS($AJ$2:$AJ$200,$G81)&gt;0,
    COUNTIFS($AK$2:$AK$200,$G81)&gt;0,
    COUNTIFS($AL$2:$AL$200,$G81)&gt;0,
    COUNTIFS($AM$2:$AM$200,$G81)&gt;0,
    COUNTIFS($AN$2:$AN$200,$G81)&gt;0,
    COUNTIFS($AO$2:$AO$200,$G81)&gt;0,
    COUNTIFS($AP$2:$AP$200,$G81)&gt;0,
    COUNTIFS($AQ$2:$AQ$200,$G81)&gt;0,
    COUNTIFS($AR$2:$AR$200,$G81)&gt;0,
    COUNTIFS($AS$2:$AS$200,$G81)&gt;0,
    COUNTIFS($AT$2:$AT$200,$G81)&gt;0,
    COUNTIFS($AU$2:$AU$200,$G81)&gt;0,
    COUNTIFS($AV$2:$AV$200,$G81)&gt;0,
    COUNTIFS($AW$2:$AW$200,$G81)&gt;0,
    COUNTIFS($AX$2:$AX$200,$G81)&gt;0
   ),
  0)
 ),
"")</f>
        <v>Modular</v>
      </c>
      <c r="D81" s="3" t="str" cm="1">
        <f t="array" aca="1" ref="D81" ca="1">IFERROR(
 INDEX(
  _xlfn._xlws.FILTER($U$1:$AX$1,
   TRANSPOSE(
    CHOOSE({1;2;3;4;5;6;7;8;9;10;11;12;13;14;15;16;17;18;19;20;21;22;23;24;25;26;27;28;29;30},
     COUNTIFS($U$2:$U$200,$G81)&gt;0,
     COUNTIFS($V$2:$V$200,$G81)&gt;0,
     COUNTIFS($W$2:$W$200,$G81)&gt;0,
     COUNTIFS($X$2:$X$200,$G81)&gt;0,
     COUNTIFS($Y$2:$Y$200,$G81)&gt;0,
     COUNTIFS($Z$2:$Z$200,$G81)&gt;0,
     COUNTIFS($AA$2:$AA$200,$G81)&gt;0,
     COUNTIFS($AB$2:$AB$200,$G81)&gt;0,
     COUNTIFS($AC$2:$AC$200,$G81)&gt;0,
     COUNTIFS($AD$2:$AD$200,$G81)&gt;0,
     COUNTIFS($AE$2:$AE$200,$G81)&gt;0,
     COUNTIFS($AF$2:$AF$200,$G81)&gt;0,
     COUNTIFS($AG$2:$AG$200,$G81)&gt;0,
     COUNTIFS($AH$2:$AH$200,$G81)&gt;0,
     COUNTIFS($AI$2:$AI$200,$G81)&gt;0,
     COUNTIFS($AJ$2:$AJ$200,$G81)&gt;0,
     COUNTIFS($AK$2:$AK$200,$G81)&gt;0,
     COUNTIFS($AL$2:$AL$200,$G81)&gt;0,
     COUNTIFS($AM$2:$AM$200,$G81)&gt;0,
     COUNTIFS($AN$2:$AN$200,$G81)&gt;0,
     COUNTIFS($AO$2:$AO$200,$G81)&gt;0,
     COUNTIFS($AP$2:$AP$200,$G81)&gt;0,
     COUNTIFS($AQ$2:$AQ$200,$G81)&gt;0,
     COUNTIFS($AR$2:$AR$200,$G81)&gt;0,
     COUNTIFS($AS$2:$AS$200,$G81)&gt;0,
     COUNTIFS($AT$2:$AT$200,$G81)&gt;0,
     COUNTIFS($AU$2:$AU$200,$G81)&gt;0,
     COUNTIFS($AV$2:$AV$200,$G81)&gt;0,
     COUNTIFS($AW$2:$AW$200,$G81)&gt;0,
     COUNTIFS($AX$2:$AX$200,$G81)&gt;0
   )),
  ),
  2
 ),
"")</f>
        <v/>
      </c>
      <c r="E81" s="3" t="str" cm="1">
        <f t="array" aca="1" ref="E81" ca="1">IFERROR(
 INDEX(
  _xlfn._xlws.FILTER($U$1:$AX$1,
   TRANSPOSE(
    CHOOSE({1;2;3;4;5;6;7;8;9;10;11;12;13;14;15;16;17;18;19;20;21;22;23;24;25;26;27;28;29;30},
     COUNTIFS($U$2:$U$200,$G81)&gt;0,
     COUNTIFS($V$2:$V$200,$G81)&gt;0,
     COUNTIFS($W$2:$W$200,$G81)&gt;0,
     COUNTIFS($X$2:$X$200,$G81)&gt;0,
     COUNTIFS($Y$2:$Y$200,$G81)&gt;0,
     COUNTIFS($Z$2:$Z$200,$G81)&gt;0,
     COUNTIFS($AA$2:$AA$200,$G81)&gt;0,
     COUNTIFS($AB$2:$AB$200,$G81)&gt;0,
     COUNTIFS($AC$2:$AC$200,$G81)&gt;0,
     COUNTIFS($AD$2:$AD$200,$G81)&gt;0,
     COUNTIFS($AE$2:$AE$200,$G81)&gt;0,
     COUNTIFS($AF$2:$AF$200,$G81)&gt;0,
     COUNTIFS($AG$2:$AG$200,$G81)&gt;0,
     COUNTIFS($AH$2:$AH$200,$G81)&gt;0,
     COUNTIFS($AI$2:$AI$200,$G81)&gt;0,
     COUNTIFS($AJ$2:$AJ$200,$G81)&gt;0,
     COUNTIFS($AK$2:$AK$200,$G81)&gt;0,
     COUNTIFS($AL$2:$AL$200,$G81)&gt;0,
     COUNTIFS($AM$2:$AM$200,$G81)&gt;0,
     COUNTIFS($AN$2:$AN$200,$G81)&gt;0,
     COUNTIFS($AO$2:$AO$200,$G81)&gt;0,
     COUNTIFS($AP$2:$AP$200,$G81)&gt;0,
     COUNTIFS($AQ$2:$AQ$200,$G81)&gt;0,
     COUNTIFS($AR$2:$AR$200,$G81)&gt;0,
     COUNTIFS($AS$2:$AS$200,$G81)&gt;0,
     COUNTIFS($AT$2:$AT$200,$G81)&gt;0,
     COUNTIFS($AU$2:$AU$200,$G81)&gt;0,
     COUNTIFS($AV$2:$AV$200,$G81)&gt;0,
     COUNTIFS($AW$2:$AW$200,$G81)&gt;0,
     COUNTIFS($AX$2:$AX$200,$G81)&gt;0
   )),
  ),
  3
 ),
"")</f>
        <v/>
      </c>
      <c r="F81" s="3" t="str" cm="1">
        <f t="array" aca="1" ref="F81" ca="1">IFERROR(
 INDEX(
  _xlfn._xlws.FILTER($U$1:$AX$1,
   TRANSPOSE(
    CHOOSE({1;2;3;4;5;6;7;8;9;10;11;12;13;14;15;16;17;18;19;20;21;22;23;24;25;26;27;28;29;30},
     COUNTIFS($U$2:$U$200,$G81)&gt;0,
     COUNTIFS($V$2:$V$200,$G81)&gt;0,
     COUNTIFS($W$2:$W$200,$G81)&gt;0,
     COUNTIFS($X$2:$X$200,$G81)&gt;0,
     COUNTIFS($Y$2:$Y$200,$G81)&gt;0,
     COUNTIFS($Z$2:$Z$200,$G81)&gt;0,
     COUNTIFS($AA$2:$AA$200,$G81)&gt;0,
     COUNTIFS($AB$2:$AB$200,$G81)&gt;0,
     COUNTIFS($AC$2:$AC$200,$G81)&gt;0,
     COUNTIFS($AD$2:$AD$200,$G81)&gt;0,
     COUNTIFS($AE$2:$AE$200,$G81)&gt;0,
     COUNTIFS($AF$2:$AF$200,$G81)&gt;0,
     COUNTIFS($AG$2:$AG$200,$G81)&gt;0,
     COUNTIFS($AH$2:$AH$200,$G81)&gt;0,
     COUNTIFS($AI$2:$AI$200,$G81)&gt;0,
     COUNTIFS($AJ$2:$AJ$200,$G81)&gt;0,
     COUNTIFS($AK$2:$AK$200,$G81)&gt;0,
     COUNTIFS($AL$2:$AL$200,$G81)&gt;0,
     COUNTIFS($AM$2:$AM$200,$G81)&gt;0,
     COUNTIFS($AN$2:$AN$200,$G81)&gt;0,
     COUNTIFS($AO$2:$AO$200,$G81)&gt;0,
     COUNTIFS($AP$2:$AP$200,$G81)&gt;0,
     COUNTIFS($AQ$2:$AQ$200,$G81)&gt;0,
     COUNTIFS($AR$2:$AR$200,$G81)&gt;0,
     COUNTIFS($AS$2:$AS$200,$G81)&gt;0,
     COUNTIFS($AT$2:$AT$200,$G81)&gt;0,
     COUNTIFS($AU$2:$AU$200,$G81)&gt;0,
     COUNTIFS($AV$2:$AV$200,$G81)&gt;0,
     COUNTIFS($AW$2:$AW$200,$G81)&gt;0,
     COUNTIFS($AX$2:$AX$200,$G81)&gt;0
   )),
  ),
  4
 ),
"")</f>
        <v/>
      </c>
      <c r="G81" t="str">
        <f ca="1"/>
        <v>Esper Sentinel</v>
      </c>
      <c r="BS81" t="str">
        <f ca="1"/>
        <v>Storm the Vault</v>
      </c>
      <c r="CB81" t="str">
        <f ca="1"/>
        <v>Maddening Cacophony</v>
      </c>
      <c r="CC81" t="str">
        <f ca="1"/>
        <v>Ulamog's Dreadsire</v>
      </c>
      <c r="CG81" t="str">
        <f ca="1"/>
        <v>Glint-Horn Buccaneer</v>
      </c>
      <c r="CH81" t="str">
        <f ca="1"/>
        <v>Susur Secundi, Void Altar</v>
      </c>
      <c r="CJ81" t="str">
        <f ca="1"/>
        <v>Esper Sentinel</v>
      </c>
    </row>
    <row r="82" spans="1:88" x14ac:dyDescent="0.25">
      <c r="A82" s="3" t="str">
        <f t="shared" ca="1" si="4"/>
        <v>1</v>
      </c>
      <c r="B82" s="3">
        <f t="shared" ca="1" si="5"/>
        <v>1</v>
      </c>
      <c r="C82" s="3" t="str">
        <f ca="1">IFERROR(
 INDEX($U$1:$AX$1,
  MATCH(TRUE,
   CHOOSE({1;2;3;4;5;6;7;8;9;10;11;12;13;14;15;16;17;18;19;20;21;22;23;24;25;26;27;28;29;30;31;32},
    COUNTIFS($U$2:$U$200,$G82)&gt;0,
    COUNTIFS($V$2:$V$200,$G82)&gt;0,
    COUNTIFS($W$2:$W$200,$G82)&gt;0,
    COUNTIFS($X$2:$X$200,$G82)&gt;0,
    COUNTIFS($Y$2:$Y$200,$G82)&gt;0,
    COUNTIFS($Z$2:$Z$200,$G82)&gt;0,
    COUNTIFS($AA$2:$AA$200,$G82)&gt;0,
    COUNTIFS($AB$2:$AB$200,$G82)&gt;0,
    COUNTIFS($AC$2:$AC$200,$G82)&gt;0,
    COUNTIFS($AD$2:$AD$200,$G82)&gt;0,
    COUNTIFS($AE$2:$AE$200,$G82)&gt;0,
    COUNTIFS($AF$2:$AF$200,$G82)&gt;0,
    COUNTIFS($AG$2:$AG$200,$G82)&gt;0,
    COUNTIFS($AH$2:$AH$200,$G82)&gt;0,
    COUNTIFS($AI$2:$AI$200,$G82)&gt;0,
    COUNTIFS($AJ$2:$AJ$200,$G82)&gt;0,
    COUNTIFS($AK$2:$AK$200,$G82)&gt;0,
    COUNTIFS($AL$2:$AL$200,$G82)&gt;0,
    COUNTIFS($AM$2:$AM$200,$G82)&gt;0,
    COUNTIFS($AN$2:$AN$200,$G82)&gt;0,
    COUNTIFS($AO$2:$AO$200,$G82)&gt;0,
    COUNTIFS($AP$2:$AP$200,$G82)&gt;0,
    COUNTIFS($AQ$2:$AQ$200,$G82)&gt;0,
    COUNTIFS($AR$2:$AR$200,$G82)&gt;0,
    COUNTIFS($AS$2:$AS$200,$G82)&gt;0,
    COUNTIFS($AT$2:$AT$200,$G82)&gt;0,
    COUNTIFS($AU$2:$AU$200,$G82)&gt;0,
    COUNTIFS($AV$2:$AV$200,$G82)&gt;0,
    COUNTIFS($AW$2:$AW$200,$G82)&gt;0,
    COUNTIFS($AX$2:$AX$200,$G82)&gt;0
   ),
  0)
 ),
"")</f>
        <v>Modular</v>
      </c>
      <c r="D82" s="3" t="str" cm="1">
        <f t="array" aca="1" ref="D82" ca="1">IFERROR(
 INDEX(
  _xlfn._xlws.FILTER($U$1:$AX$1,
   TRANSPOSE(
    CHOOSE({1;2;3;4;5;6;7;8;9;10;11;12;13;14;15;16;17;18;19;20;21;22;23;24;25;26;27;28;29;30},
     COUNTIFS($U$2:$U$200,$G82)&gt;0,
     COUNTIFS($V$2:$V$200,$G82)&gt;0,
     COUNTIFS($W$2:$W$200,$G82)&gt;0,
     COUNTIFS($X$2:$X$200,$G82)&gt;0,
     COUNTIFS($Y$2:$Y$200,$G82)&gt;0,
     COUNTIFS($Z$2:$Z$200,$G82)&gt;0,
     COUNTIFS($AA$2:$AA$200,$G82)&gt;0,
     COUNTIFS($AB$2:$AB$200,$G82)&gt;0,
     COUNTIFS($AC$2:$AC$200,$G82)&gt;0,
     COUNTIFS($AD$2:$AD$200,$G82)&gt;0,
     COUNTIFS($AE$2:$AE$200,$G82)&gt;0,
     COUNTIFS($AF$2:$AF$200,$G82)&gt;0,
     COUNTIFS($AG$2:$AG$200,$G82)&gt;0,
     COUNTIFS($AH$2:$AH$200,$G82)&gt;0,
     COUNTIFS($AI$2:$AI$200,$G82)&gt;0,
     COUNTIFS($AJ$2:$AJ$200,$G82)&gt;0,
     COUNTIFS($AK$2:$AK$200,$G82)&gt;0,
     COUNTIFS($AL$2:$AL$200,$G82)&gt;0,
     COUNTIFS($AM$2:$AM$200,$G82)&gt;0,
     COUNTIFS($AN$2:$AN$200,$G82)&gt;0,
     COUNTIFS($AO$2:$AO$200,$G82)&gt;0,
     COUNTIFS($AP$2:$AP$200,$G82)&gt;0,
     COUNTIFS($AQ$2:$AQ$200,$G82)&gt;0,
     COUNTIFS($AR$2:$AR$200,$G82)&gt;0,
     COUNTIFS($AS$2:$AS$200,$G82)&gt;0,
     COUNTIFS($AT$2:$AT$200,$G82)&gt;0,
     COUNTIFS($AU$2:$AU$200,$G82)&gt;0,
     COUNTIFS($AV$2:$AV$200,$G82)&gt;0,
     COUNTIFS($AW$2:$AW$200,$G82)&gt;0,
     COUNTIFS($AX$2:$AX$200,$G82)&gt;0
   )),
  ),
  2
 ),
"")</f>
        <v/>
      </c>
      <c r="E82" s="3" t="str" cm="1">
        <f t="array" aca="1" ref="E82" ca="1">IFERROR(
 INDEX(
  _xlfn._xlws.FILTER($U$1:$AX$1,
   TRANSPOSE(
    CHOOSE({1;2;3;4;5;6;7;8;9;10;11;12;13;14;15;16;17;18;19;20;21;22;23;24;25;26;27;28;29;30},
     COUNTIFS($U$2:$U$200,$G82)&gt;0,
     COUNTIFS($V$2:$V$200,$G82)&gt;0,
     COUNTIFS($W$2:$W$200,$G82)&gt;0,
     COUNTIFS($X$2:$X$200,$G82)&gt;0,
     COUNTIFS($Y$2:$Y$200,$G82)&gt;0,
     COUNTIFS($Z$2:$Z$200,$G82)&gt;0,
     COUNTIFS($AA$2:$AA$200,$G82)&gt;0,
     COUNTIFS($AB$2:$AB$200,$G82)&gt;0,
     COUNTIFS($AC$2:$AC$200,$G82)&gt;0,
     COUNTIFS($AD$2:$AD$200,$G82)&gt;0,
     COUNTIFS($AE$2:$AE$200,$G82)&gt;0,
     COUNTIFS($AF$2:$AF$200,$G82)&gt;0,
     COUNTIFS($AG$2:$AG$200,$G82)&gt;0,
     COUNTIFS($AH$2:$AH$200,$G82)&gt;0,
     COUNTIFS($AI$2:$AI$200,$G82)&gt;0,
     COUNTIFS($AJ$2:$AJ$200,$G82)&gt;0,
     COUNTIFS($AK$2:$AK$200,$G82)&gt;0,
     COUNTIFS($AL$2:$AL$200,$G82)&gt;0,
     COUNTIFS($AM$2:$AM$200,$G82)&gt;0,
     COUNTIFS($AN$2:$AN$200,$G82)&gt;0,
     COUNTIFS($AO$2:$AO$200,$G82)&gt;0,
     COUNTIFS($AP$2:$AP$200,$G82)&gt;0,
     COUNTIFS($AQ$2:$AQ$200,$G82)&gt;0,
     COUNTIFS($AR$2:$AR$200,$G82)&gt;0,
     COUNTIFS($AS$2:$AS$200,$G82)&gt;0,
     COUNTIFS($AT$2:$AT$200,$G82)&gt;0,
     COUNTIFS($AU$2:$AU$200,$G82)&gt;0,
     COUNTIFS($AV$2:$AV$200,$G82)&gt;0,
     COUNTIFS($AW$2:$AW$200,$G82)&gt;0,
     COUNTIFS($AX$2:$AX$200,$G82)&gt;0
   )),
  ),
  3
 ),
"")</f>
        <v/>
      </c>
      <c r="F82" s="3" t="str" cm="1">
        <f t="array" aca="1" ref="F82" ca="1">IFERROR(
 INDEX(
  _xlfn._xlws.FILTER($U$1:$AX$1,
   TRANSPOSE(
    CHOOSE({1;2;3;4;5;6;7;8;9;10;11;12;13;14;15;16;17;18;19;20;21;22;23;24;25;26;27;28;29;30},
     COUNTIFS($U$2:$U$200,$G82)&gt;0,
     COUNTIFS($V$2:$V$200,$G82)&gt;0,
     COUNTIFS($W$2:$W$200,$G82)&gt;0,
     COUNTIFS($X$2:$X$200,$G82)&gt;0,
     COUNTIFS($Y$2:$Y$200,$G82)&gt;0,
     COUNTIFS($Z$2:$Z$200,$G82)&gt;0,
     COUNTIFS($AA$2:$AA$200,$G82)&gt;0,
     COUNTIFS($AB$2:$AB$200,$G82)&gt;0,
     COUNTIFS($AC$2:$AC$200,$G82)&gt;0,
     COUNTIFS($AD$2:$AD$200,$G82)&gt;0,
     COUNTIFS($AE$2:$AE$200,$G82)&gt;0,
     COUNTIFS($AF$2:$AF$200,$G82)&gt;0,
     COUNTIFS($AG$2:$AG$200,$G82)&gt;0,
     COUNTIFS($AH$2:$AH$200,$G82)&gt;0,
     COUNTIFS($AI$2:$AI$200,$G82)&gt;0,
     COUNTIFS($AJ$2:$AJ$200,$G82)&gt;0,
     COUNTIFS($AK$2:$AK$200,$G82)&gt;0,
     COUNTIFS($AL$2:$AL$200,$G82)&gt;0,
     COUNTIFS($AM$2:$AM$200,$G82)&gt;0,
     COUNTIFS($AN$2:$AN$200,$G82)&gt;0,
     COUNTIFS($AO$2:$AO$200,$G82)&gt;0,
     COUNTIFS($AP$2:$AP$200,$G82)&gt;0,
     COUNTIFS($AQ$2:$AQ$200,$G82)&gt;0,
     COUNTIFS($AR$2:$AR$200,$G82)&gt;0,
     COUNTIFS($AS$2:$AS$200,$G82)&gt;0,
     COUNTIFS($AT$2:$AT$200,$G82)&gt;0,
     COUNTIFS($AU$2:$AU$200,$G82)&gt;0,
     COUNTIFS($AV$2:$AV$200,$G82)&gt;0,
     COUNTIFS($AW$2:$AW$200,$G82)&gt;0,
     COUNTIFS($AX$2:$AX$200,$G82)&gt;0
   )),
  ),
  4
 ),
"")</f>
        <v/>
      </c>
      <c r="G82" t="str">
        <f ca="1"/>
        <v>Evendo Brushrazer</v>
      </c>
      <c r="BS82" t="str">
        <f ca="1"/>
        <v>Summon: Fenrir</v>
      </c>
      <c r="CB82" t="str">
        <f ca="1"/>
        <v>Maester Seymour</v>
      </c>
      <c r="CC82" t="str">
        <f ca="1"/>
        <v>Valfenda</v>
      </c>
      <c r="CG82" t="str">
        <f ca="1"/>
        <v>Grave Pact</v>
      </c>
      <c r="CH82" t="str">
        <f ca="1"/>
        <v>Swamp</v>
      </c>
      <c r="CJ82" t="str">
        <f ca="1"/>
        <v>Evendo Brushrazer</v>
      </c>
    </row>
    <row r="83" spans="1:88" x14ac:dyDescent="0.25">
      <c r="A83" s="3" t="str">
        <f t="shared" ca="1" si="4"/>
        <v>4</v>
      </c>
      <c r="B83" s="3">
        <f t="shared" ca="1" si="5"/>
        <v>1</v>
      </c>
      <c r="C83" s="3" t="str">
        <f ca="1">IFERROR(
 INDEX($U$1:$AX$1,
  MATCH(TRUE,
   CHOOSE({1;2;3;4;5;6;7;8;9;10;11;12;13;14;15;16;17;18;19;20;21;22;23;24;25;26;27;28;29;30;31;32},
    COUNTIFS($U$2:$U$200,$G83)&gt;0,
    COUNTIFS($V$2:$V$200,$G83)&gt;0,
    COUNTIFS($W$2:$W$200,$G83)&gt;0,
    COUNTIFS($X$2:$X$200,$G83)&gt;0,
    COUNTIFS($Y$2:$Y$200,$G83)&gt;0,
    COUNTIFS($Z$2:$Z$200,$G83)&gt;0,
    COUNTIFS($AA$2:$AA$200,$G83)&gt;0,
    COUNTIFS($AB$2:$AB$200,$G83)&gt;0,
    COUNTIFS($AC$2:$AC$200,$G83)&gt;0,
    COUNTIFS($AD$2:$AD$200,$G83)&gt;0,
    COUNTIFS($AE$2:$AE$200,$G83)&gt;0,
    COUNTIFS($AF$2:$AF$200,$G83)&gt;0,
    COUNTIFS($AG$2:$AG$200,$G83)&gt;0,
    COUNTIFS($AH$2:$AH$200,$G83)&gt;0,
    COUNTIFS($AI$2:$AI$200,$G83)&gt;0,
    COUNTIFS($AJ$2:$AJ$200,$G83)&gt;0,
    COUNTIFS($AK$2:$AK$200,$G83)&gt;0,
    COUNTIFS($AL$2:$AL$200,$G83)&gt;0,
    COUNTIFS($AM$2:$AM$200,$G83)&gt;0,
    COUNTIFS($AN$2:$AN$200,$G83)&gt;0,
    COUNTIFS($AO$2:$AO$200,$G83)&gt;0,
    COUNTIFS($AP$2:$AP$200,$G83)&gt;0,
    COUNTIFS($AQ$2:$AQ$200,$G83)&gt;0,
    COUNTIFS($AR$2:$AR$200,$G83)&gt;0,
    COUNTIFS($AS$2:$AS$200,$G83)&gt;0,
    COUNTIFS($AT$2:$AT$200,$G83)&gt;0,
    COUNTIFS($AU$2:$AU$200,$G83)&gt;0,
    COUNTIFS($AV$2:$AV$200,$G83)&gt;0,
    COUNTIFS($AW$2:$AW$200,$G83)&gt;0,
    COUNTIFS($AX$2:$AX$200,$G83)&gt;0
   ),
  0)
 ),
"")</f>
        <v>Elfos</v>
      </c>
      <c r="D83" s="3" t="str" cm="1">
        <f t="array" aca="1" ref="D83" ca="1">IFERROR(
 INDEX(
  _xlfn._xlws.FILTER($U$1:$AX$1,
   TRANSPOSE(
    CHOOSE({1;2;3;4;5;6;7;8;9;10;11;12;13;14;15;16;17;18;19;20;21;22;23;24;25;26;27;28;29;30},
     COUNTIFS($U$2:$U$200,$G83)&gt;0,
     COUNTIFS($V$2:$V$200,$G83)&gt;0,
     COUNTIFS($W$2:$W$200,$G83)&gt;0,
     COUNTIFS($X$2:$X$200,$G83)&gt;0,
     COUNTIFS($Y$2:$Y$200,$G83)&gt;0,
     COUNTIFS($Z$2:$Z$200,$G83)&gt;0,
     COUNTIFS($AA$2:$AA$200,$G83)&gt;0,
     COUNTIFS($AB$2:$AB$200,$G83)&gt;0,
     COUNTIFS($AC$2:$AC$200,$G83)&gt;0,
     COUNTIFS($AD$2:$AD$200,$G83)&gt;0,
     COUNTIFS($AE$2:$AE$200,$G83)&gt;0,
     COUNTIFS($AF$2:$AF$200,$G83)&gt;0,
     COUNTIFS($AG$2:$AG$200,$G83)&gt;0,
     COUNTIFS($AH$2:$AH$200,$G83)&gt;0,
     COUNTIFS($AI$2:$AI$200,$G83)&gt;0,
     COUNTIFS($AJ$2:$AJ$200,$G83)&gt;0,
     COUNTIFS($AK$2:$AK$200,$G83)&gt;0,
     COUNTIFS($AL$2:$AL$200,$G83)&gt;0,
     COUNTIFS($AM$2:$AM$200,$G83)&gt;0,
     COUNTIFS($AN$2:$AN$200,$G83)&gt;0,
     COUNTIFS($AO$2:$AO$200,$G83)&gt;0,
     COUNTIFS($AP$2:$AP$200,$G83)&gt;0,
     COUNTIFS($AQ$2:$AQ$200,$G83)&gt;0,
     COUNTIFS($AR$2:$AR$200,$G83)&gt;0,
     COUNTIFS($AS$2:$AS$200,$G83)&gt;0,
     COUNTIFS($AT$2:$AT$200,$G83)&gt;0,
     COUNTIFS($AU$2:$AU$200,$G83)&gt;0,
     COUNTIFS($AV$2:$AV$200,$G83)&gt;0,
     COUNTIFS($AW$2:$AW$200,$G83)&gt;0,
     COUNTIFS($AX$2:$AX$200,$G83)&gt;0
   )),
  ),
  2
 ),
"")</f>
        <v/>
      </c>
      <c r="E83" s="3" t="str" cm="1">
        <f t="array" aca="1" ref="E83" ca="1">IFERROR(
 INDEX(
  _xlfn._xlws.FILTER($U$1:$AX$1,
   TRANSPOSE(
    CHOOSE({1;2;3;4;5;6;7;8;9;10;11;12;13;14;15;16;17;18;19;20;21;22;23;24;25;26;27;28;29;30},
     COUNTIFS($U$2:$U$200,$G83)&gt;0,
     COUNTIFS($V$2:$V$200,$G83)&gt;0,
     COUNTIFS($W$2:$W$200,$G83)&gt;0,
     COUNTIFS($X$2:$X$200,$G83)&gt;0,
     COUNTIFS($Y$2:$Y$200,$G83)&gt;0,
     COUNTIFS($Z$2:$Z$200,$G83)&gt;0,
     COUNTIFS($AA$2:$AA$200,$G83)&gt;0,
     COUNTIFS($AB$2:$AB$200,$G83)&gt;0,
     COUNTIFS($AC$2:$AC$200,$G83)&gt;0,
     COUNTIFS($AD$2:$AD$200,$G83)&gt;0,
     COUNTIFS($AE$2:$AE$200,$G83)&gt;0,
     COUNTIFS($AF$2:$AF$200,$G83)&gt;0,
     COUNTIFS($AG$2:$AG$200,$G83)&gt;0,
     COUNTIFS($AH$2:$AH$200,$G83)&gt;0,
     COUNTIFS($AI$2:$AI$200,$G83)&gt;0,
     COUNTIFS($AJ$2:$AJ$200,$G83)&gt;0,
     COUNTIFS($AK$2:$AK$200,$G83)&gt;0,
     COUNTIFS($AL$2:$AL$200,$G83)&gt;0,
     COUNTIFS($AM$2:$AM$200,$G83)&gt;0,
     COUNTIFS($AN$2:$AN$200,$G83)&gt;0,
     COUNTIFS($AO$2:$AO$200,$G83)&gt;0,
     COUNTIFS($AP$2:$AP$200,$G83)&gt;0,
     COUNTIFS($AQ$2:$AQ$200,$G83)&gt;0,
     COUNTIFS($AR$2:$AR$200,$G83)&gt;0,
     COUNTIFS($AS$2:$AS$200,$G83)&gt;0,
     COUNTIFS($AT$2:$AT$200,$G83)&gt;0,
     COUNTIFS($AU$2:$AU$200,$G83)&gt;0,
     COUNTIFS($AV$2:$AV$200,$G83)&gt;0,
     COUNTIFS($AW$2:$AW$200,$G83)&gt;0,
     COUNTIFS($AX$2:$AX$200,$G83)&gt;0
   )),
  ),
  3
 ),
"")</f>
        <v/>
      </c>
      <c r="F83" s="3" t="str" cm="1">
        <f t="array" aca="1" ref="F83" ca="1">IFERROR(
 INDEX(
  _xlfn._xlws.FILTER($U$1:$AX$1,
   TRANSPOSE(
    CHOOSE({1;2;3;4;5;6;7;8;9;10;11;12;13;14;15;16;17;18;19;20;21;22;23;24;25;26;27;28;29;30},
     COUNTIFS($U$2:$U$200,$G83)&gt;0,
     COUNTIFS($V$2:$V$200,$G83)&gt;0,
     COUNTIFS($W$2:$W$200,$G83)&gt;0,
     COUNTIFS($X$2:$X$200,$G83)&gt;0,
     COUNTIFS($Y$2:$Y$200,$G83)&gt;0,
     COUNTIFS($Z$2:$Z$200,$G83)&gt;0,
     COUNTIFS($AA$2:$AA$200,$G83)&gt;0,
     COUNTIFS($AB$2:$AB$200,$G83)&gt;0,
     COUNTIFS($AC$2:$AC$200,$G83)&gt;0,
     COUNTIFS($AD$2:$AD$200,$G83)&gt;0,
     COUNTIFS($AE$2:$AE$200,$G83)&gt;0,
     COUNTIFS($AF$2:$AF$200,$G83)&gt;0,
     COUNTIFS($AG$2:$AG$200,$G83)&gt;0,
     COUNTIFS($AH$2:$AH$200,$G83)&gt;0,
     COUNTIFS($AI$2:$AI$200,$G83)&gt;0,
     COUNTIFS($AJ$2:$AJ$200,$G83)&gt;0,
     COUNTIFS($AK$2:$AK$200,$G83)&gt;0,
     COUNTIFS($AL$2:$AL$200,$G83)&gt;0,
     COUNTIFS($AM$2:$AM$200,$G83)&gt;0,
     COUNTIFS($AN$2:$AN$200,$G83)&gt;0,
     COUNTIFS($AO$2:$AO$200,$G83)&gt;0,
     COUNTIFS($AP$2:$AP$200,$G83)&gt;0,
     COUNTIFS($AQ$2:$AQ$200,$G83)&gt;0,
     COUNTIFS($AR$2:$AR$200,$G83)&gt;0,
     COUNTIFS($AS$2:$AS$200,$G83)&gt;0,
     COUNTIFS($AT$2:$AT$200,$G83)&gt;0,
     COUNTIFS($AU$2:$AU$200,$G83)&gt;0,
     COUNTIFS($AV$2:$AV$200,$G83)&gt;0,
     COUNTIFS($AW$2:$AW$200,$G83)&gt;0,
     COUNTIFS($AX$2:$AX$200,$G83)&gt;0
   )),
  ),
  4
 ),
"")</f>
        <v/>
      </c>
      <c r="G83" t="str">
        <f ca="1"/>
        <v>Evendo, Waking Haven</v>
      </c>
      <c r="BS83" t="str">
        <f ca="1"/>
        <v>Summon: Ixion</v>
      </c>
      <c r="CB83" t="str">
        <f ca="1"/>
        <v>Managorger Hydra</v>
      </c>
      <c r="CC83" t="str">
        <f ca="1"/>
        <v>Vexing Puzzlebox</v>
      </c>
      <c r="CG83" t="str">
        <f ca="1"/>
        <v>Guia das Almas</v>
      </c>
      <c r="CH83" t="str">
        <f ca="1"/>
        <v>Swords to Plowshares</v>
      </c>
      <c r="CJ83" t="str">
        <f ca="1"/>
        <v>Evendo, Waking Haven</v>
      </c>
    </row>
    <row r="84" spans="1:88" x14ac:dyDescent="0.25">
      <c r="A84" s="3" t="str">
        <f t="shared" ca="1" si="4"/>
        <v>2</v>
      </c>
      <c r="B84" s="3">
        <f t="shared" ca="1" si="5"/>
        <v>1</v>
      </c>
      <c r="C84" s="3" t="str">
        <f ca="1">IFERROR(
 INDEX($U$1:$AX$1,
  MATCH(TRUE,
   CHOOSE({1;2;3;4;5;6;7;8;9;10;11;12;13;14;15;16;17;18;19;20;21;22;23;24;25;26;27;28;29;30;31;32},
    COUNTIFS($U$2:$U$200,$G84)&gt;0,
    COUNTIFS($V$2:$V$200,$G84)&gt;0,
    COUNTIFS($W$2:$W$200,$G84)&gt;0,
    COUNTIFS($X$2:$X$200,$G84)&gt;0,
    COUNTIFS($Y$2:$Y$200,$G84)&gt;0,
    COUNTIFS($Z$2:$Z$200,$G84)&gt;0,
    COUNTIFS($AA$2:$AA$200,$G84)&gt;0,
    COUNTIFS($AB$2:$AB$200,$G84)&gt;0,
    COUNTIFS($AC$2:$AC$200,$G84)&gt;0,
    COUNTIFS($AD$2:$AD$200,$G84)&gt;0,
    COUNTIFS($AE$2:$AE$200,$G84)&gt;0,
    COUNTIFS($AF$2:$AF$200,$G84)&gt;0,
    COUNTIFS($AG$2:$AG$200,$G84)&gt;0,
    COUNTIFS($AH$2:$AH$200,$G84)&gt;0,
    COUNTIFS($AI$2:$AI$200,$G84)&gt;0,
    COUNTIFS($AJ$2:$AJ$200,$G84)&gt;0,
    COUNTIFS($AK$2:$AK$200,$G84)&gt;0,
    COUNTIFS($AL$2:$AL$200,$G84)&gt;0,
    COUNTIFS($AM$2:$AM$200,$G84)&gt;0,
    COUNTIFS($AN$2:$AN$200,$G84)&gt;0,
    COUNTIFS($AO$2:$AO$200,$G84)&gt;0,
    COUNTIFS($AP$2:$AP$200,$G84)&gt;0,
    COUNTIFS($AQ$2:$AQ$200,$G84)&gt;0,
    COUNTIFS($AR$2:$AR$200,$G84)&gt;0,
    COUNTIFS($AS$2:$AS$200,$G84)&gt;0,
    COUNTIFS($AT$2:$AT$200,$G84)&gt;0,
    COUNTIFS($AU$2:$AU$200,$G84)&gt;0,
    COUNTIFS($AV$2:$AV$200,$G84)&gt;0,
    COUNTIFS($AW$2:$AW$200,$G84)&gt;0,
    COUNTIFS($AX$2:$AX$200,$G84)&gt;0
   ),
  0)
 ),
"")</f>
        <v>Baylen</v>
      </c>
      <c r="D84" s="3" t="str" cm="1">
        <f t="array" aca="1" ref="D84" ca="1">IFERROR(
 INDEX(
  _xlfn._xlws.FILTER($U$1:$AX$1,
   TRANSPOSE(
    CHOOSE({1;2;3;4;5;6;7;8;9;10;11;12;13;14;15;16;17;18;19;20;21;22;23;24;25;26;27;28;29;30},
     COUNTIFS($U$2:$U$200,$G84)&gt;0,
     COUNTIFS($V$2:$V$200,$G84)&gt;0,
     COUNTIFS($W$2:$W$200,$G84)&gt;0,
     COUNTIFS($X$2:$X$200,$G84)&gt;0,
     COUNTIFS($Y$2:$Y$200,$G84)&gt;0,
     COUNTIFS($Z$2:$Z$200,$G84)&gt;0,
     COUNTIFS($AA$2:$AA$200,$G84)&gt;0,
     COUNTIFS($AB$2:$AB$200,$G84)&gt;0,
     COUNTIFS($AC$2:$AC$200,$G84)&gt;0,
     COUNTIFS($AD$2:$AD$200,$G84)&gt;0,
     COUNTIFS($AE$2:$AE$200,$G84)&gt;0,
     COUNTIFS($AF$2:$AF$200,$G84)&gt;0,
     COUNTIFS($AG$2:$AG$200,$G84)&gt;0,
     COUNTIFS($AH$2:$AH$200,$G84)&gt;0,
     COUNTIFS($AI$2:$AI$200,$G84)&gt;0,
     COUNTIFS($AJ$2:$AJ$200,$G84)&gt;0,
     COUNTIFS($AK$2:$AK$200,$G84)&gt;0,
     COUNTIFS($AL$2:$AL$200,$G84)&gt;0,
     COUNTIFS($AM$2:$AM$200,$G84)&gt;0,
     COUNTIFS($AN$2:$AN$200,$G84)&gt;0,
     COUNTIFS($AO$2:$AO$200,$G84)&gt;0,
     COUNTIFS($AP$2:$AP$200,$G84)&gt;0,
     COUNTIFS($AQ$2:$AQ$200,$G84)&gt;0,
     COUNTIFS($AR$2:$AR$200,$G84)&gt;0,
     COUNTIFS($AS$2:$AS$200,$G84)&gt;0,
     COUNTIFS($AT$2:$AT$200,$G84)&gt;0,
     COUNTIFS($AU$2:$AU$200,$G84)&gt;0,
     COUNTIFS($AV$2:$AV$200,$G84)&gt;0,
     COUNTIFS($AW$2:$AW$200,$G84)&gt;0,
     COUNTIFS($AX$2:$AX$200,$G84)&gt;0
   )),
  ),
  2
 ),
"")</f>
        <v/>
      </c>
      <c r="E84" s="3" t="str" cm="1">
        <f t="array" aca="1" ref="E84" ca="1">IFERROR(
 INDEX(
  _xlfn._xlws.FILTER($U$1:$AX$1,
   TRANSPOSE(
    CHOOSE({1;2;3;4;5;6;7;8;9;10;11;12;13;14;15;16;17;18;19;20;21;22;23;24;25;26;27;28;29;30},
     COUNTIFS($U$2:$U$200,$G84)&gt;0,
     COUNTIFS($V$2:$V$200,$G84)&gt;0,
     COUNTIFS($W$2:$W$200,$G84)&gt;0,
     COUNTIFS($X$2:$X$200,$G84)&gt;0,
     COUNTIFS($Y$2:$Y$200,$G84)&gt;0,
     COUNTIFS($Z$2:$Z$200,$G84)&gt;0,
     COUNTIFS($AA$2:$AA$200,$G84)&gt;0,
     COUNTIFS($AB$2:$AB$200,$G84)&gt;0,
     COUNTIFS($AC$2:$AC$200,$G84)&gt;0,
     COUNTIFS($AD$2:$AD$200,$G84)&gt;0,
     COUNTIFS($AE$2:$AE$200,$G84)&gt;0,
     COUNTIFS($AF$2:$AF$200,$G84)&gt;0,
     COUNTIFS($AG$2:$AG$200,$G84)&gt;0,
     COUNTIFS($AH$2:$AH$200,$G84)&gt;0,
     COUNTIFS($AI$2:$AI$200,$G84)&gt;0,
     COUNTIFS($AJ$2:$AJ$200,$G84)&gt;0,
     COUNTIFS($AK$2:$AK$200,$G84)&gt;0,
     COUNTIFS($AL$2:$AL$200,$G84)&gt;0,
     COUNTIFS($AM$2:$AM$200,$G84)&gt;0,
     COUNTIFS($AN$2:$AN$200,$G84)&gt;0,
     COUNTIFS($AO$2:$AO$200,$G84)&gt;0,
     COUNTIFS($AP$2:$AP$200,$G84)&gt;0,
     COUNTIFS($AQ$2:$AQ$200,$G84)&gt;0,
     COUNTIFS($AR$2:$AR$200,$G84)&gt;0,
     COUNTIFS($AS$2:$AS$200,$G84)&gt;0,
     COUNTIFS($AT$2:$AT$200,$G84)&gt;0,
     COUNTIFS($AU$2:$AU$200,$G84)&gt;0,
     COUNTIFS($AV$2:$AV$200,$G84)&gt;0,
     COUNTIFS($AW$2:$AW$200,$G84)&gt;0,
     COUNTIFS($AX$2:$AX$200,$G84)&gt;0
   )),
  ),
  3
 ),
"")</f>
        <v/>
      </c>
      <c r="F84" s="3" t="str" cm="1">
        <f t="array" aca="1" ref="F84" ca="1">IFERROR(
 INDEX(
  _xlfn._xlws.FILTER($U$1:$AX$1,
   TRANSPOSE(
    CHOOSE({1;2;3;4;5;6;7;8;9;10;11;12;13;14;15;16;17;18;19;20;21;22;23;24;25;26;27;28;29;30},
     COUNTIFS($U$2:$U$200,$G84)&gt;0,
     COUNTIFS($V$2:$V$200,$G84)&gt;0,
     COUNTIFS($W$2:$W$200,$G84)&gt;0,
     COUNTIFS($X$2:$X$200,$G84)&gt;0,
     COUNTIFS($Y$2:$Y$200,$G84)&gt;0,
     COUNTIFS($Z$2:$Z$200,$G84)&gt;0,
     COUNTIFS($AA$2:$AA$200,$G84)&gt;0,
     COUNTIFS($AB$2:$AB$200,$G84)&gt;0,
     COUNTIFS($AC$2:$AC$200,$G84)&gt;0,
     COUNTIFS($AD$2:$AD$200,$G84)&gt;0,
     COUNTIFS($AE$2:$AE$200,$G84)&gt;0,
     COUNTIFS($AF$2:$AF$200,$G84)&gt;0,
     COUNTIFS($AG$2:$AG$200,$G84)&gt;0,
     COUNTIFS($AH$2:$AH$200,$G84)&gt;0,
     COUNTIFS($AI$2:$AI$200,$G84)&gt;0,
     COUNTIFS($AJ$2:$AJ$200,$G84)&gt;0,
     COUNTIFS($AK$2:$AK$200,$G84)&gt;0,
     COUNTIFS($AL$2:$AL$200,$G84)&gt;0,
     COUNTIFS($AM$2:$AM$200,$G84)&gt;0,
     COUNTIFS($AN$2:$AN$200,$G84)&gt;0,
     COUNTIFS($AO$2:$AO$200,$G84)&gt;0,
     COUNTIFS($AP$2:$AP$200,$G84)&gt;0,
     COUNTIFS($AQ$2:$AQ$200,$G84)&gt;0,
     COUNTIFS($AR$2:$AR$200,$G84)&gt;0,
     COUNTIFS($AS$2:$AS$200,$G84)&gt;0,
     COUNTIFS($AT$2:$AT$200,$G84)&gt;0,
     COUNTIFS($AU$2:$AU$200,$G84)&gt;0,
     COUNTIFS($AV$2:$AV$200,$G84)&gt;0,
     COUNTIFS($AW$2:$AW$200,$G84)&gt;0,
     COUNTIFS($AX$2:$AX$200,$G84)&gt;0
   )),
  ),
  4
 ),
"")</f>
        <v/>
      </c>
      <c r="G84" t="str">
        <f ca="1"/>
        <v>Exalted Sunborn</v>
      </c>
      <c r="BS84" t="str">
        <f ca="1"/>
        <v>Sunscorched Divide</v>
      </c>
      <c r="CB84" t="str">
        <f ca="1"/>
        <v>Marcha dos Canonizados</v>
      </c>
      <c r="CC84" t="str">
        <f ca="1"/>
        <v>Vontade Dominadora</v>
      </c>
      <c r="CG84" t="str">
        <f ca="1"/>
        <v>Gyre Sage</v>
      </c>
      <c r="CH84" t="str">
        <f ca="1"/>
        <v>Tannuk, Memorial Ensign</v>
      </c>
      <c r="CJ84" t="str">
        <f ca="1"/>
        <v>Exalted Sunborn</v>
      </c>
    </row>
    <row r="85" spans="1:88" x14ac:dyDescent="0.25">
      <c r="A85" s="3" t="str">
        <f t="shared" ca="1" si="4"/>
        <v>3</v>
      </c>
      <c r="B85" s="3">
        <f t="shared" ca="1" si="5"/>
        <v>1</v>
      </c>
      <c r="C85" s="3" t="str">
        <f ca="1">IFERROR(
 INDEX($U$1:$AX$1,
  MATCH(TRUE,
   CHOOSE({1;2;3;4;5;6;7;8;9;10;11;12;13;14;15;16;17;18;19;20;21;22;23;24;25;26;27;28;29;30;31;32},
    COUNTIFS($U$2:$U$200,$G85)&gt;0,
    COUNTIFS($V$2:$V$200,$G85)&gt;0,
    COUNTIFS($W$2:$W$200,$G85)&gt;0,
    COUNTIFS($X$2:$X$200,$G85)&gt;0,
    COUNTIFS($Y$2:$Y$200,$G85)&gt;0,
    COUNTIFS($Z$2:$Z$200,$G85)&gt;0,
    COUNTIFS($AA$2:$AA$200,$G85)&gt;0,
    COUNTIFS($AB$2:$AB$200,$G85)&gt;0,
    COUNTIFS($AC$2:$AC$200,$G85)&gt;0,
    COUNTIFS($AD$2:$AD$200,$G85)&gt;0,
    COUNTIFS($AE$2:$AE$200,$G85)&gt;0,
    COUNTIFS($AF$2:$AF$200,$G85)&gt;0,
    COUNTIFS($AG$2:$AG$200,$G85)&gt;0,
    COUNTIFS($AH$2:$AH$200,$G85)&gt;0,
    COUNTIFS($AI$2:$AI$200,$G85)&gt;0,
    COUNTIFS($AJ$2:$AJ$200,$G85)&gt;0,
    COUNTIFS($AK$2:$AK$200,$G85)&gt;0,
    COUNTIFS($AL$2:$AL$200,$G85)&gt;0,
    COUNTIFS($AM$2:$AM$200,$G85)&gt;0,
    COUNTIFS($AN$2:$AN$200,$G85)&gt;0,
    COUNTIFS($AO$2:$AO$200,$G85)&gt;0,
    COUNTIFS($AP$2:$AP$200,$G85)&gt;0,
    COUNTIFS($AQ$2:$AQ$200,$G85)&gt;0,
    COUNTIFS($AR$2:$AR$200,$G85)&gt;0,
    COUNTIFS($AS$2:$AS$200,$G85)&gt;0,
    COUNTIFS($AT$2:$AT$200,$G85)&gt;0,
    COUNTIFS($AU$2:$AU$200,$G85)&gt;0,
    COUNTIFS($AV$2:$AV$200,$G85)&gt;0,
    COUNTIFS($AW$2:$AW$200,$G85)&gt;0,
    COUNTIFS($AX$2:$AX$200,$G85)&gt;0
   ),
  0)
 ),
"")</f>
        <v>Carlos</v>
      </c>
      <c r="D85" s="3" t="str" cm="1">
        <f t="array" aca="1" ref="D85" ca="1">IFERROR(
 INDEX(
  _xlfn._xlws.FILTER($U$1:$AX$1,
   TRANSPOSE(
    CHOOSE({1;2;3;4;5;6;7;8;9;10;11;12;13;14;15;16;17;18;19;20;21;22;23;24;25;26;27;28;29;30},
     COUNTIFS($U$2:$U$200,$G85)&gt;0,
     COUNTIFS($V$2:$V$200,$G85)&gt;0,
     COUNTIFS($W$2:$W$200,$G85)&gt;0,
     COUNTIFS($X$2:$X$200,$G85)&gt;0,
     COUNTIFS($Y$2:$Y$200,$G85)&gt;0,
     COUNTIFS($Z$2:$Z$200,$G85)&gt;0,
     COUNTIFS($AA$2:$AA$200,$G85)&gt;0,
     COUNTIFS($AB$2:$AB$200,$G85)&gt;0,
     COUNTIFS($AC$2:$AC$200,$G85)&gt;0,
     COUNTIFS($AD$2:$AD$200,$G85)&gt;0,
     COUNTIFS($AE$2:$AE$200,$G85)&gt;0,
     COUNTIFS($AF$2:$AF$200,$G85)&gt;0,
     COUNTIFS($AG$2:$AG$200,$G85)&gt;0,
     COUNTIFS($AH$2:$AH$200,$G85)&gt;0,
     COUNTIFS($AI$2:$AI$200,$G85)&gt;0,
     COUNTIFS($AJ$2:$AJ$200,$G85)&gt;0,
     COUNTIFS($AK$2:$AK$200,$G85)&gt;0,
     COUNTIFS($AL$2:$AL$200,$G85)&gt;0,
     COUNTIFS($AM$2:$AM$200,$G85)&gt;0,
     COUNTIFS($AN$2:$AN$200,$G85)&gt;0,
     COUNTIFS($AO$2:$AO$200,$G85)&gt;0,
     COUNTIFS($AP$2:$AP$200,$G85)&gt;0,
     COUNTIFS($AQ$2:$AQ$200,$G85)&gt;0,
     COUNTIFS($AR$2:$AR$200,$G85)&gt;0,
     COUNTIFS($AS$2:$AS$200,$G85)&gt;0,
     COUNTIFS($AT$2:$AT$200,$G85)&gt;0,
     COUNTIFS($AU$2:$AU$200,$G85)&gt;0,
     COUNTIFS($AV$2:$AV$200,$G85)&gt;0,
     COUNTIFS($AW$2:$AW$200,$G85)&gt;0,
     COUNTIFS($AX$2:$AX$200,$G85)&gt;0
   )),
  ),
  2
 ),
"")</f>
        <v/>
      </c>
      <c r="E85" s="3" t="str" cm="1">
        <f t="array" aca="1" ref="E85" ca="1">IFERROR(
 INDEX(
  _xlfn._xlws.FILTER($U$1:$AX$1,
   TRANSPOSE(
    CHOOSE({1;2;3;4;5;6;7;8;9;10;11;12;13;14;15;16;17;18;19;20;21;22;23;24;25;26;27;28;29;30},
     COUNTIFS($U$2:$U$200,$G85)&gt;0,
     COUNTIFS($V$2:$V$200,$G85)&gt;0,
     COUNTIFS($W$2:$W$200,$G85)&gt;0,
     COUNTIFS($X$2:$X$200,$G85)&gt;0,
     COUNTIFS($Y$2:$Y$200,$G85)&gt;0,
     COUNTIFS($Z$2:$Z$200,$G85)&gt;0,
     COUNTIFS($AA$2:$AA$200,$G85)&gt;0,
     COUNTIFS($AB$2:$AB$200,$G85)&gt;0,
     COUNTIFS($AC$2:$AC$200,$G85)&gt;0,
     COUNTIFS($AD$2:$AD$200,$G85)&gt;0,
     COUNTIFS($AE$2:$AE$200,$G85)&gt;0,
     COUNTIFS($AF$2:$AF$200,$G85)&gt;0,
     COUNTIFS($AG$2:$AG$200,$G85)&gt;0,
     COUNTIFS($AH$2:$AH$200,$G85)&gt;0,
     COUNTIFS($AI$2:$AI$200,$G85)&gt;0,
     COUNTIFS($AJ$2:$AJ$200,$G85)&gt;0,
     COUNTIFS($AK$2:$AK$200,$G85)&gt;0,
     COUNTIFS($AL$2:$AL$200,$G85)&gt;0,
     COUNTIFS($AM$2:$AM$200,$G85)&gt;0,
     COUNTIFS($AN$2:$AN$200,$G85)&gt;0,
     COUNTIFS($AO$2:$AO$200,$G85)&gt;0,
     COUNTIFS($AP$2:$AP$200,$G85)&gt;0,
     COUNTIFS($AQ$2:$AQ$200,$G85)&gt;0,
     COUNTIFS($AR$2:$AR$200,$G85)&gt;0,
     COUNTIFS($AS$2:$AS$200,$G85)&gt;0,
     COUNTIFS($AT$2:$AT$200,$G85)&gt;0,
     COUNTIFS($AU$2:$AU$200,$G85)&gt;0,
     COUNTIFS($AV$2:$AV$200,$G85)&gt;0,
     COUNTIFS($AW$2:$AW$200,$G85)&gt;0,
     COUNTIFS($AX$2:$AX$200,$G85)&gt;0
   )),
  ),
  3
 ),
"")</f>
        <v/>
      </c>
      <c r="F85" s="3" t="str" cm="1">
        <f t="array" aca="1" ref="F85" ca="1">IFERROR(
 INDEX(
  _xlfn._xlws.FILTER($U$1:$AX$1,
   TRANSPOSE(
    CHOOSE({1;2;3;4;5;6;7;8;9;10;11;12;13;14;15;16;17;18;19;20;21;22;23;24;25;26;27;28;29;30},
     COUNTIFS($U$2:$U$200,$G85)&gt;0,
     COUNTIFS($V$2:$V$200,$G85)&gt;0,
     COUNTIFS($W$2:$W$200,$G85)&gt;0,
     COUNTIFS($X$2:$X$200,$G85)&gt;0,
     COUNTIFS($Y$2:$Y$200,$G85)&gt;0,
     COUNTIFS($Z$2:$Z$200,$G85)&gt;0,
     COUNTIFS($AA$2:$AA$200,$G85)&gt;0,
     COUNTIFS($AB$2:$AB$200,$G85)&gt;0,
     COUNTIFS($AC$2:$AC$200,$G85)&gt;0,
     COUNTIFS($AD$2:$AD$200,$G85)&gt;0,
     COUNTIFS($AE$2:$AE$200,$G85)&gt;0,
     COUNTIFS($AF$2:$AF$200,$G85)&gt;0,
     COUNTIFS($AG$2:$AG$200,$G85)&gt;0,
     COUNTIFS($AH$2:$AH$200,$G85)&gt;0,
     COUNTIFS($AI$2:$AI$200,$G85)&gt;0,
     COUNTIFS($AJ$2:$AJ$200,$G85)&gt;0,
     COUNTIFS($AK$2:$AK$200,$G85)&gt;0,
     COUNTIFS($AL$2:$AL$200,$G85)&gt;0,
     COUNTIFS($AM$2:$AM$200,$G85)&gt;0,
     COUNTIFS($AN$2:$AN$200,$G85)&gt;0,
     COUNTIFS($AO$2:$AO$200,$G85)&gt;0,
     COUNTIFS($AP$2:$AP$200,$G85)&gt;0,
     COUNTIFS($AQ$2:$AQ$200,$G85)&gt;0,
     COUNTIFS($AR$2:$AR$200,$G85)&gt;0,
     COUNTIFS($AS$2:$AS$200,$G85)&gt;0,
     COUNTIFS($AT$2:$AT$200,$G85)&gt;0,
     COUNTIFS($AU$2:$AU$200,$G85)&gt;0,
     COUNTIFS($AV$2:$AV$200,$G85)&gt;0,
     COUNTIFS($AW$2:$AW$200,$G85)&gt;0,
     COUNTIFS($AX$2:$AX$200,$G85)&gt;0
   )),
  ),
  4
 ),
"")</f>
        <v/>
      </c>
      <c r="G85" t="str">
        <f ca="1"/>
        <v>Exemplar of Light</v>
      </c>
      <c r="BS85" t="str">
        <f ca="1"/>
        <v>Tayam, Luminous Enigma</v>
      </c>
      <c r="CB85" t="str">
        <f ca="1"/>
        <v>Memory Erosion</v>
      </c>
      <c r="CC85" t="str">
        <f ca="1"/>
        <v>Vronos, Masked Inquisitor</v>
      </c>
      <c r="CG85" t="str">
        <f ca="1"/>
        <v>Harvest Season</v>
      </c>
      <c r="CH85" t="str">
        <f ca="1"/>
        <v>Terra Eternal</v>
      </c>
      <c r="CJ85" t="str">
        <f ca="1"/>
        <v>Exemplar of Light</v>
      </c>
    </row>
    <row r="86" spans="1:88" x14ac:dyDescent="0.25">
      <c r="A86" s="3" t="str">
        <f t="shared" ca="1" si="4"/>
        <v>3</v>
      </c>
      <c r="B86" s="3">
        <f t="shared" ca="1" si="5"/>
        <v>1</v>
      </c>
      <c r="C86" s="3" t="str">
        <f ca="1">IFERROR(
 INDEX($U$1:$AX$1,
  MATCH(TRUE,
   CHOOSE({1;2;3;4;5;6;7;8;9;10;11;12;13;14;15;16;17;18;19;20;21;22;23;24;25;26;27;28;29;30;31;32},
    COUNTIFS($U$2:$U$200,$G86)&gt;0,
    COUNTIFS($V$2:$V$200,$G86)&gt;0,
    COUNTIFS($W$2:$W$200,$G86)&gt;0,
    COUNTIFS($X$2:$X$200,$G86)&gt;0,
    COUNTIFS($Y$2:$Y$200,$G86)&gt;0,
    COUNTIFS($Z$2:$Z$200,$G86)&gt;0,
    COUNTIFS($AA$2:$AA$200,$G86)&gt;0,
    COUNTIFS($AB$2:$AB$200,$G86)&gt;0,
    COUNTIFS($AC$2:$AC$200,$G86)&gt;0,
    COUNTIFS($AD$2:$AD$200,$G86)&gt;0,
    COUNTIFS($AE$2:$AE$200,$G86)&gt;0,
    COUNTIFS($AF$2:$AF$200,$G86)&gt;0,
    COUNTIFS($AG$2:$AG$200,$G86)&gt;0,
    COUNTIFS($AH$2:$AH$200,$G86)&gt;0,
    COUNTIFS($AI$2:$AI$200,$G86)&gt;0,
    COUNTIFS($AJ$2:$AJ$200,$G86)&gt;0,
    COUNTIFS($AK$2:$AK$200,$G86)&gt;0,
    COUNTIFS($AL$2:$AL$200,$G86)&gt;0,
    COUNTIFS($AM$2:$AM$200,$G86)&gt;0,
    COUNTIFS($AN$2:$AN$200,$G86)&gt;0,
    COUNTIFS($AO$2:$AO$200,$G86)&gt;0,
    COUNTIFS($AP$2:$AP$200,$G86)&gt;0,
    COUNTIFS($AQ$2:$AQ$200,$G86)&gt;0,
    COUNTIFS($AR$2:$AR$200,$G86)&gt;0,
    COUNTIFS($AS$2:$AS$200,$G86)&gt;0,
    COUNTIFS($AT$2:$AT$200,$G86)&gt;0,
    COUNTIFS($AU$2:$AU$200,$G86)&gt;0,
    COUNTIFS($AV$2:$AV$200,$G86)&gt;0,
    COUNTIFS($AW$2:$AW$200,$G86)&gt;0,
    COUNTIFS($AX$2:$AX$200,$G86)&gt;0
   ),
  0)
 ),
"")</f>
        <v>Muzzio</v>
      </c>
      <c r="D86" s="3" t="str" cm="1">
        <f t="array" aca="1" ref="D86" ca="1">IFERROR(
 INDEX(
  _xlfn._xlws.FILTER($U$1:$AX$1,
   TRANSPOSE(
    CHOOSE({1;2;3;4;5;6;7;8;9;10;11;12;13;14;15;16;17;18;19;20;21;22;23;24;25;26;27;28;29;30},
     COUNTIFS($U$2:$U$200,$G86)&gt;0,
     COUNTIFS($V$2:$V$200,$G86)&gt;0,
     COUNTIFS($W$2:$W$200,$G86)&gt;0,
     COUNTIFS($X$2:$X$200,$G86)&gt;0,
     COUNTIFS($Y$2:$Y$200,$G86)&gt;0,
     COUNTIFS($Z$2:$Z$200,$G86)&gt;0,
     COUNTIFS($AA$2:$AA$200,$G86)&gt;0,
     COUNTIFS($AB$2:$AB$200,$G86)&gt;0,
     COUNTIFS($AC$2:$AC$200,$G86)&gt;0,
     COUNTIFS($AD$2:$AD$200,$G86)&gt;0,
     COUNTIFS($AE$2:$AE$200,$G86)&gt;0,
     COUNTIFS($AF$2:$AF$200,$G86)&gt;0,
     COUNTIFS($AG$2:$AG$200,$G86)&gt;0,
     COUNTIFS($AH$2:$AH$200,$G86)&gt;0,
     COUNTIFS($AI$2:$AI$200,$G86)&gt;0,
     COUNTIFS($AJ$2:$AJ$200,$G86)&gt;0,
     COUNTIFS($AK$2:$AK$200,$G86)&gt;0,
     COUNTIFS($AL$2:$AL$200,$G86)&gt;0,
     COUNTIFS($AM$2:$AM$200,$G86)&gt;0,
     COUNTIFS($AN$2:$AN$200,$G86)&gt;0,
     COUNTIFS($AO$2:$AO$200,$G86)&gt;0,
     COUNTIFS($AP$2:$AP$200,$G86)&gt;0,
     COUNTIFS($AQ$2:$AQ$200,$G86)&gt;0,
     COUNTIFS($AR$2:$AR$200,$G86)&gt;0,
     COUNTIFS($AS$2:$AS$200,$G86)&gt;0,
     COUNTIFS($AT$2:$AT$200,$G86)&gt;0,
     COUNTIFS($AU$2:$AU$200,$G86)&gt;0,
     COUNTIFS($AV$2:$AV$200,$G86)&gt;0,
     COUNTIFS($AW$2:$AW$200,$G86)&gt;0,
     COUNTIFS($AX$2:$AX$200,$G86)&gt;0
   )),
  ),
  2
 ),
"")</f>
        <v/>
      </c>
      <c r="E86" s="3" t="str" cm="1">
        <f t="array" aca="1" ref="E86" ca="1">IFERROR(
 INDEX(
  _xlfn._xlws.FILTER($U$1:$AX$1,
   TRANSPOSE(
    CHOOSE({1;2;3;4;5;6;7;8;9;10;11;12;13;14;15;16;17;18;19;20;21;22;23;24;25;26;27;28;29;30},
     COUNTIFS($U$2:$U$200,$G86)&gt;0,
     COUNTIFS($V$2:$V$200,$G86)&gt;0,
     COUNTIFS($W$2:$W$200,$G86)&gt;0,
     COUNTIFS($X$2:$X$200,$G86)&gt;0,
     COUNTIFS($Y$2:$Y$200,$G86)&gt;0,
     COUNTIFS($Z$2:$Z$200,$G86)&gt;0,
     COUNTIFS($AA$2:$AA$200,$G86)&gt;0,
     COUNTIFS($AB$2:$AB$200,$G86)&gt;0,
     COUNTIFS($AC$2:$AC$200,$G86)&gt;0,
     COUNTIFS($AD$2:$AD$200,$G86)&gt;0,
     COUNTIFS($AE$2:$AE$200,$G86)&gt;0,
     COUNTIFS($AF$2:$AF$200,$G86)&gt;0,
     COUNTIFS($AG$2:$AG$200,$G86)&gt;0,
     COUNTIFS($AH$2:$AH$200,$G86)&gt;0,
     COUNTIFS($AI$2:$AI$200,$G86)&gt;0,
     COUNTIFS($AJ$2:$AJ$200,$G86)&gt;0,
     COUNTIFS($AK$2:$AK$200,$G86)&gt;0,
     COUNTIFS($AL$2:$AL$200,$G86)&gt;0,
     COUNTIFS($AM$2:$AM$200,$G86)&gt;0,
     COUNTIFS($AN$2:$AN$200,$G86)&gt;0,
     COUNTIFS($AO$2:$AO$200,$G86)&gt;0,
     COUNTIFS($AP$2:$AP$200,$G86)&gt;0,
     COUNTIFS($AQ$2:$AQ$200,$G86)&gt;0,
     COUNTIFS($AR$2:$AR$200,$G86)&gt;0,
     COUNTIFS($AS$2:$AS$200,$G86)&gt;0,
     COUNTIFS($AT$2:$AT$200,$G86)&gt;0,
     COUNTIFS($AU$2:$AU$200,$G86)&gt;0,
     COUNTIFS($AV$2:$AV$200,$G86)&gt;0,
     COUNTIFS($AW$2:$AW$200,$G86)&gt;0,
     COUNTIFS($AX$2:$AX$200,$G86)&gt;0
   )),
  ),
  3
 ),
"")</f>
        <v/>
      </c>
      <c r="F86" s="3" t="str" cm="1">
        <f t="array" aca="1" ref="F86" ca="1">IFERROR(
 INDEX(
  _xlfn._xlws.FILTER($U$1:$AX$1,
   TRANSPOSE(
    CHOOSE({1;2;3;4;5;6;7;8;9;10;11;12;13;14;15;16;17;18;19;20;21;22;23;24;25;26;27;28;29;30},
     COUNTIFS($U$2:$U$200,$G86)&gt;0,
     COUNTIFS($V$2:$V$200,$G86)&gt;0,
     COUNTIFS($W$2:$W$200,$G86)&gt;0,
     COUNTIFS($X$2:$X$200,$G86)&gt;0,
     COUNTIFS($Y$2:$Y$200,$G86)&gt;0,
     COUNTIFS($Z$2:$Z$200,$G86)&gt;0,
     COUNTIFS($AA$2:$AA$200,$G86)&gt;0,
     COUNTIFS($AB$2:$AB$200,$G86)&gt;0,
     COUNTIFS($AC$2:$AC$200,$G86)&gt;0,
     COUNTIFS($AD$2:$AD$200,$G86)&gt;0,
     COUNTIFS($AE$2:$AE$200,$G86)&gt;0,
     COUNTIFS($AF$2:$AF$200,$G86)&gt;0,
     COUNTIFS($AG$2:$AG$200,$G86)&gt;0,
     COUNTIFS($AH$2:$AH$200,$G86)&gt;0,
     COUNTIFS($AI$2:$AI$200,$G86)&gt;0,
     COUNTIFS($AJ$2:$AJ$200,$G86)&gt;0,
     COUNTIFS($AK$2:$AK$200,$G86)&gt;0,
     COUNTIFS($AL$2:$AL$200,$G86)&gt;0,
     COUNTIFS($AM$2:$AM$200,$G86)&gt;0,
     COUNTIFS($AN$2:$AN$200,$G86)&gt;0,
     COUNTIFS($AO$2:$AO$200,$G86)&gt;0,
     COUNTIFS($AP$2:$AP$200,$G86)&gt;0,
     COUNTIFS($AQ$2:$AQ$200,$G86)&gt;0,
     COUNTIFS($AR$2:$AR$200,$G86)&gt;0,
     COUNTIFS($AS$2:$AS$200,$G86)&gt;0,
     COUNTIFS($AT$2:$AT$200,$G86)&gt;0,
     COUNTIFS($AU$2:$AU$200,$G86)&gt;0,
     COUNTIFS($AV$2:$AV$200,$G86)&gt;0,
     COUNTIFS($AW$2:$AW$200,$G86)&gt;0,
     COUNTIFS($AX$2:$AX$200,$G86)&gt;0
   )),
  ),
  4
 ),
"")</f>
        <v/>
      </c>
      <c r="G86" t="str">
        <f ca="1"/>
        <v>Extinguisher Battleship</v>
      </c>
      <c r="BS86" t="str">
        <f ca="1"/>
        <v>Teferi's Protection</v>
      </c>
      <c r="CB86" t="str">
        <f ca="1"/>
        <v>Merrow Commerce</v>
      </c>
      <c r="CC86" t="str">
        <f ca="1"/>
        <v>Warren Soultrader</v>
      </c>
      <c r="CG86" t="str">
        <f ca="1"/>
        <v>Havengul Laboratory</v>
      </c>
      <c r="CH86" t="str">
        <f ca="1"/>
        <v>Terrasymbiosis</v>
      </c>
      <c r="CJ86" t="str">
        <f ca="1"/>
        <v>Extinguisher Battleship</v>
      </c>
    </row>
    <row r="87" spans="1:88" x14ac:dyDescent="0.25">
      <c r="A87" s="3" t="str">
        <f t="shared" ca="1" si="4"/>
        <v>2</v>
      </c>
      <c r="B87" s="3">
        <f t="shared" ca="1" si="5"/>
        <v>1</v>
      </c>
      <c r="C87" s="3" t="str">
        <f ca="1">IFERROR(
 INDEX($U$1:$AX$1,
  MATCH(TRUE,
   CHOOSE({1;2;3;4;5;6;7;8;9;10;11;12;13;14;15;16;17;18;19;20;21;22;23;24;25;26;27;28;29;30;31;32},
    COUNTIFS($U$2:$U$200,$G87)&gt;0,
    COUNTIFS($V$2:$V$200,$G87)&gt;0,
    COUNTIFS($W$2:$W$200,$G87)&gt;0,
    COUNTIFS($X$2:$X$200,$G87)&gt;0,
    COUNTIFS($Y$2:$Y$200,$G87)&gt;0,
    COUNTIFS($Z$2:$Z$200,$G87)&gt;0,
    COUNTIFS($AA$2:$AA$200,$G87)&gt;0,
    COUNTIFS($AB$2:$AB$200,$G87)&gt;0,
    COUNTIFS($AC$2:$AC$200,$G87)&gt;0,
    COUNTIFS($AD$2:$AD$200,$G87)&gt;0,
    COUNTIFS($AE$2:$AE$200,$G87)&gt;0,
    COUNTIFS($AF$2:$AF$200,$G87)&gt;0,
    COUNTIFS($AG$2:$AG$200,$G87)&gt;0,
    COUNTIFS($AH$2:$AH$200,$G87)&gt;0,
    COUNTIFS($AI$2:$AI$200,$G87)&gt;0,
    COUNTIFS($AJ$2:$AJ$200,$G87)&gt;0,
    COUNTIFS($AK$2:$AK$200,$G87)&gt;0,
    COUNTIFS($AL$2:$AL$200,$G87)&gt;0,
    COUNTIFS($AM$2:$AM$200,$G87)&gt;0,
    COUNTIFS($AN$2:$AN$200,$G87)&gt;0,
    COUNTIFS($AO$2:$AO$200,$G87)&gt;0,
    COUNTIFS($AP$2:$AP$200,$G87)&gt;0,
    COUNTIFS($AQ$2:$AQ$200,$G87)&gt;0,
    COUNTIFS($AR$2:$AR$200,$G87)&gt;0,
    COUNTIFS($AS$2:$AS$200,$G87)&gt;0,
    COUNTIFS($AT$2:$AT$200,$G87)&gt;0,
    COUNTIFS($AU$2:$AU$200,$G87)&gt;0,
    COUNTIFS($AV$2:$AV$200,$G87)&gt;0,
    COUNTIFS($AW$2:$AW$200,$G87)&gt;0,
    COUNTIFS($AX$2:$AX$200,$G87)&gt;0
   ),
  0)
 ),
"")</f>
        <v>Piratas</v>
      </c>
      <c r="D87" s="3" t="str" cm="1">
        <f t="array" aca="1" ref="D87" ca="1">IFERROR(
 INDEX(
  _xlfn._xlws.FILTER($U$1:$AX$1,
   TRANSPOSE(
    CHOOSE({1;2;3;4;5;6;7;8;9;10;11;12;13;14;15;16;17;18;19;20;21;22;23;24;25;26;27;28;29;30},
     COUNTIFS($U$2:$U$200,$G87)&gt;0,
     COUNTIFS($V$2:$V$200,$G87)&gt;0,
     COUNTIFS($W$2:$W$200,$G87)&gt;0,
     COUNTIFS($X$2:$X$200,$G87)&gt;0,
     COUNTIFS($Y$2:$Y$200,$G87)&gt;0,
     COUNTIFS($Z$2:$Z$200,$G87)&gt;0,
     COUNTIFS($AA$2:$AA$200,$G87)&gt;0,
     COUNTIFS($AB$2:$AB$200,$G87)&gt;0,
     COUNTIFS($AC$2:$AC$200,$G87)&gt;0,
     COUNTIFS($AD$2:$AD$200,$G87)&gt;0,
     COUNTIFS($AE$2:$AE$200,$G87)&gt;0,
     COUNTIFS($AF$2:$AF$200,$G87)&gt;0,
     COUNTIFS($AG$2:$AG$200,$G87)&gt;0,
     COUNTIFS($AH$2:$AH$200,$G87)&gt;0,
     COUNTIFS($AI$2:$AI$200,$G87)&gt;0,
     COUNTIFS($AJ$2:$AJ$200,$G87)&gt;0,
     COUNTIFS($AK$2:$AK$200,$G87)&gt;0,
     COUNTIFS($AL$2:$AL$200,$G87)&gt;0,
     COUNTIFS($AM$2:$AM$200,$G87)&gt;0,
     COUNTIFS($AN$2:$AN$200,$G87)&gt;0,
     COUNTIFS($AO$2:$AO$200,$G87)&gt;0,
     COUNTIFS($AP$2:$AP$200,$G87)&gt;0,
     COUNTIFS($AQ$2:$AQ$200,$G87)&gt;0,
     COUNTIFS($AR$2:$AR$200,$G87)&gt;0,
     COUNTIFS($AS$2:$AS$200,$G87)&gt;0,
     COUNTIFS($AT$2:$AT$200,$G87)&gt;0,
     COUNTIFS($AU$2:$AU$200,$G87)&gt;0,
     COUNTIFS($AV$2:$AV$200,$G87)&gt;0,
     COUNTIFS($AW$2:$AW$200,$G87)&gt;0,
     COUNTIFS($AX$2:$AX$200,$G87)&gt;0
   )),
  ),
  2
 ),
"")</f>
        <v/>
      </c>
      <c r="E87" s="3" t="str" cm="1">
        <f t="array" aca="1" ref="E87" ca="1">IFERROR(
 INDEX(
  _xlfn._xlws.FILTER($U$1:$AX$1,
   TRANSPOSE(
    CHOOSE({1;2;3;4;5;6;7;8;9;10;11;12;13;14;15;16;17;18;19;20;21;22;23;24;25;26;27;28;29;30},
     COUNTIFS($U$2:$U$200,$G87)&gt;0,
     COUNTIFS($V$2:$V$200,$G87)&gt;0,
     COUNTIFS($W$2:$W$200,$G87)&gt;0,
     COUNTIFS($X$2:$X$200,$G87)&gt;0,
     COUNTIFS($Y$2:$Y$200,$G87)&gt;0,
     COUNTIFS($Z$2:$Z$200,$G87)&gt;0,
     COUNTIFS($AA$2:$AA$200,$G87)&gt;0,
     COUNTIFS($AB$2:$AB$200,$G87)&gt;0,
     COUNTIFS($AC$2:$AC$200,$G87)&gt;0,
     COUNTIFS($AD$2:$AD$200,$G87)&gt;0,
     COUNTIFS($AE$2:$AE$200,$G87)&gt;0,
     COUNTIFS($AF$2:$AF$200,$G87)&gt;0,
     COUNTIFS($AG$2:$AG$200,$G87)&gt;0,
     COUNTIFS($AH$2:$AH$200,$G87)&gt;0,
     COUNTIFS($AI$2:$AI$200,$G87)&gt;0,
     COUNTIFS($AJ$2:$AJ$200,$G87)&gt;0,
     COUNTIFS($AK$2:$AK$200,$G87)&gt;0,
     COUNTIFS($AL$2:$AL$200,$G87)&gt;0,
     COUNTIFS($AM$2:$AM$200,$G87)&gt;0,
     COUNTIFS($AN$2:$AN$200,$G87)&gt;0,
     COUNTIFS($AO$2:$AO$200,$G87)&gt;0,
     COUNTIFS($AP$2:$AP$200,$G87)&gt;0,
     COUNTIFS($AQ$2:$AQ$200,$G87)&gt;0,
     COUNTIFS($AR$2:$AR$200,$G87)&gt;0,
     COUNTIFS($AS$2:$AS$200,$G87)&gt;0,
     COUNTIFS($AT$2:$AT$200,$G87)&gt;0,
     COUNTIFS($AU$2:$AU$200,$G87)&gt;0,
     COUNTIFS($AV$2:$AV$200,$G87)&gt;0,
     COUNTIFS($AW$2:$AW$200,$G87)&gt;0,
     COUNTIFS($AX$2:$AX$200,$G87)&gt;0
   )),
  ),
  3
 ),
"")</f>
        <v/>
      </c>
      <c r="F87" s="3" t="str" cm="1">
        <f t="array" aca="1" ref="F87" ca="1">IFERROR(
 INDEX(
  _xlfn._xlws.FILTER($U$1:$AX$1,
   TRANSPOSE(
    CHOOSE({1;2;3;4;5;6;7;8;9;10;11;12;13;14;15;16;17;18;19;20;21;22;23;24;25;26;27;28;29;30},
     COUNTIFS($U$2:$U$200,$G87)&gt;0,
     COUNTIFS($V$2:$V$200,$G87)&gt;0,
     COUNTIFS($W$2:$W$200,$G87)&gt;0,
     COUNTIFS($X$2:$X$200,$G87)&gt;0,
     COUNTIFS($Y$2:$Y$200,$G87)&gt;0,
     COUNTIFS($Z$2:$Z$200,$G87)&gt;0,
     COUNTIFS($AA$2:$AA$200,$G87)&gt;0,
     COUNTIFS($AB$2:$AB$200,$G87)&gt;0,
     COUNTIFS($AC$2:$AC$200,$G87)&gt;0,
     COUNTIFS($AD$2:$AD$200,$G87)&gt;0,
     COUNTIFS($AE$2:$AE$200,$G87)&gt;0,
     COUNTIFS($AF$2:$AF$200,$G87)&gt;0,
     COUNTIFS($AG$2:$AG$200,$G87)&gt;0,
     COUNTIFS($AH$2:$AH$200,$G87)&gt;0,
     COUNTIFS($AI$2:$AI$200,$G87)&gt;0,
     COUNTIFS($AJ$2:$AJ$200,$G87)&gt;0,
     COUNTIFS($AK$2:$AK$200,$G87)&gt;0,
     COUNTIFS($AL$2:$AL$200,$G87)&gt;0,
     COUNTIFS($AM$2:$AM$200,$G87)&gt;0,
     COUNTIFS($AN$2:$AN$200,$G87)&gt;0,
     COUNTIFS($AO$2:$AO$200,$G87)&gt;0,
     COUNTIFS($AP$2:$AP$200,$G87)&gt;0,
     COUNTIFS($AQ$2:$AQ$200,$G87)&gt;0,
     COUNTIFS($AR$2:$AR$200,$G87)&gt;0,
     COUNTIFS($AS$2:$AS$200,$G87)&gt;0,
     COUNTIFS($AT$2:$AT$200,$G87)&gt;0,
     COUNTIFS($AU$2:$AU$200,$G87)&gt;0,
     COUNTIFS($AV$2:$AV$200,$G87)&gt;0,
     COUNTIFS($AW$2:$AW$200,$G87)&gt;0,
     COUNTIFS($AX$2:$AX$200,$G87)&gt;0
   )),
  ),
  4
 ),
"")</f>
        <v/>
      </c>
      <c r="G87" t="str">
        <f ca="1"/>
        <v>Fabled Passage</v>
      </c>
      <c r="BS87" t="str">
        <f ca="1"/>
        <v>Temple of Malice</v>
      </c>
      <c r="CB87" t="str">
        <f ca="1"/>
        <v>Merrow Harbinger</v>
      </c>
      <c r="CC87" t="str">
        <f ca="1"/>
        <v>Watery Grave</v>
      </c>
      <c r="CG87" t="str">
        <f ca="1"/>
        <v>Hedge Shredder</v>
      </c>
      <c r="CH87" t="str">
        <f ca="1"/>
        <v>Teyo, Geometric Tactician</v>
      </c>
      <c r="CJ87" t="str">
        <f ca="1"/>
        <v>Fabled Passage</v>
      </c>
    </row>
    <row r="88" spans="1:88" x14ac:dyDescent="0.25">
      <c r="A88" s="3" t="str">
        <f t="shared" ca="1" si="4"/>
        <v>3</v>
      </c>
      <c r="B88" s="3">
        <f t="shared" ca="1" si="5"/>
        <v>1</v>
      </c>
      <c r="C88" s="3" t="str">
        <f ca="1">IFERROR(
 INDEX($U$1:$AX$1,
  MATCH(TRUE,
   CHOOSE({1;2;3;4;5;6;7;8;9;10;11;12;13;14;15;16;17;18;19;20;21;22;23;24;25;26;27;28;29;30;31;32},
    COUNTIFS($U$2:$U$200,$G88)&gt;0,
    COUNTIFS($V$2:$V$200,$G88)&gt;0,
    COUNTIFS($W$2:$W$200,$G88)&gt;0,
    COUNTIFS($X$2:$X$200,$G88)&gt;0,
    COUNTIFS($Y$2:$Y$200,$G88)&gt;0,
    COUNTIFS($Z$2:$Z$200,$G88)&gt;0,
    COUNTIFS($AA$2:$AA$200,$G88)&gt;0,
    COUNTIFS($AB$2:$AB$200,$G88)&gt;0,
    COUNTIFS($AC$2:$AC$200,$G88)&gt;0,
    COUNTIFS($AD$2:$AD$200,$G88)&gt;0,
    COUNTIFS($AE$2:$AE$200,$G88)&gt;0,
    COUNTIFS($AF$2:$AF$200,$G88)&gt;0,
    COUNTIFS($AG$2:$AG$200,$G88)&gt;0,
    COUNTIFS($AH$2:$AH$200,$G88)&gt;0,
    COUNTIFS($AI$2:$AI$200,$G88)&gt;0,
    COUNTIFS($AJ$2:$AJ$200,$G88)&gt;0,
    COUNTIFS($AK$2:$AK$200,$G88)&gt;0,
    COUNTIFS($AL$2:$AL$200,$G88)&gt;0,
    COUNTIFS($AM$2:$AM$200,$G88)&gt;0,
    COUNTIFS($AN$2:$AN$200,$G88)&gt;0,
    COUNTIFS($AO$2:$AO$200,$G88)&gt;0,
    COUNTIFS($AP$2:$AP$200,$G88)&gt;0,
    COUNTIFS($AQ$2:$AQ$200,$G88)&gt;0,
    COUNTIFS($AR$2:$AR$200,$G88)&gt;0,
    COUNTIFS($AS$2:$AS$200,$G88)&gt;0,
    COUNTIFS($AT$2:$AT$200,$G88)&gt;0,
    COUNTIFS($AU$2:$AU$200,$G88)&gt;0,
    COUNTIFS($AV$2:$AV$200,$G88)&gt;0,
    COUNTIFS($AW$2:$AW$200,$G88)&gt;0,
    COUNTIFS($AX$2:$AX$200,$G88)&gt;0
   ),
  0)
 ),
"")</f>
        <v>Yuriko</v>
      </c>
      <c r="D88" s="3" t="str" cm="1">
        <f t="array" aca="1" ref="D88" ca="1">IFERROR(
 INDEX(
  _xlfn._xlws.FILTER($U$1:$AX$1,
   TRANSPOSE(
    CHOOSE({1;2;3;4;5;6;7;8;9;10;11;12;13;14;15;16;17;18;19;20;21;22;23;24;25;26;27;28;29;30},
     COUNTIFS($U$2:$U$200,$G88)&gt;0,
     COUNTIFS($V$2:$V$200,$G88)&gt;0,
     COUNTIFS($W$2:$W$200,$G88)&gt;0,
     COUNTIFS($X$2:$X$200,$G88)&gt;0,
     COUNTIFS($Y$2:$Y$200,$G88)&gt;0,
     COUNTIFS($Z$2:$Z$200,$G88)&gt;0,
     COUNTIFS($AA$2:$AA$200,$G88)&gt;0,
     COUNTIFS($AB$2:$AB$200,$G88)&gt;0,
     COUNTIFS($AC$2:$AC$200,$G88)&gt;0,
     COUNTIFS($AD$2:$AD$200,$G88)&gt;0,
     COUNTIFS($AE$2:$AE$200,$G88)&gt;0,
     COUNTIFS($AF$2:$AF$200,$G88)&gt;0,
     COUNTIFS($AG$2:$AG$200,$G88)&gt;0,
     COUNTIFS($AH$2:$AH$200,$G88)&gt;0,
     COUNTIFS($AI$2:$AI$200,$G88)&gt;0,
     COUNTIFS($AJ$2:$AJ$200,$G88)&gt;0,
     COUNTIFS($AK$2:$AK$200,$G88)&gt;0,
     COUNTIFS($AL$2:$AL$200,$G88)&gt;0,
     COUNTIFS($AM$2:$AM$200,$G88)&gt;0,
     COUNTIFS($AN$2:$AN$200,$G88)&gt;0,
     COUNTIFS($AO$2:$AO$200,$G88)&gt;0,
     COUNTIFS($AP$2:$AP$200,$G88)&gt;0,
     COUNTIFS($AQ$2:$AQ$200,$G88)&gt;0,
     COUNTIFS($AR$2:$AR$200,$G88)&gt;0,
     COUNTIFS($AS$2:$AS$200,$G88)&gt;0,
     COUNTIFS($AT$2:$AT$200,$G88)&gt;0,
     COUNTIFS($AU$2:$AU$200,$G88)&gt;0,
     COUNTIFS($AV$2:$AV$200,$G88)&gt;0,
     COUNTIFS($AW$2:$AW$200,$G88)&gt;0,
     COUNTIFS($AX$2:$AX$200,$G88)&gt;0
   )),
  ),
  2
 ),
"")</f>
        <v/>
      </c>
      <c r="E88" s="3" t="str" cm="1">
        <f t="array" aca="1" ref="E88" ca="1">IFERROR(
 INDEX(
  _xlfn._xlws.FILTER($U$1:$AX$1,
   TRANSPOSE(
    CHOOSE({1;2;3;4;5;6;7;8;9;10;11;12;13;14;15;16;17;18;19;20;21;22;23;24;25;26;27;28;29;30},
     COUNTIFS($U$2:$U$200,$G88)&gt;0,
     COUNTIFS($V$2:$V$200,$G88)&gt;0,
     COUNTIFS($W$2:$W$200,$G88)&gt;0,
     COUNTIFS($X$2:$X$200,$G88)&gt;0,
     COUNTIFS($Y$2:$Y$200,$G88)&gt;0,
     COUNTIFS($Z$2:$Z$200,$G88)&gt;0,
     COUNTIFS($AA$2:$AA$200,$G88)&gt;0,
     COUNTIFS($AB$2:$AB$200,$G88)&gt;0,
     COUNTIFS($AC$2:$AC$200,$G88)&gt;0,
     COUNTIFS($AD$2:$AD$200,$G88)&gt;0,
     COUNTIFS($AE$2:$AE$200,$G88)&gt;0,
     COUNTIFS($AF$2:$AF$200,$G88)&gt;0,
     COUNTIFS($AG$2:$AG$200,$G88)&gt;0,
     COUNTIFS($AH$2:$AH$200,$G88)&gt;0,
     COUNTIFS($AI$2:$AI$200,$G88)&gt;0,
     COUNTIFS($AJ$2:$AJ$200,$G88)&gt;0,
     COUNTIFS($AK$2:$AK$200,$G88)&gt;0,
     COUNTIFS($AL$2:$AL$200,$G88)&gt;0,
     COUNTIFS($AM$2:$AM$200,$G88)&gt;0,
     COUNTIFS($AN$2:$AN$200,$G88)&gt;0,
     COUNTIFS($AO$2:$AO$200,$G88)&gt;0,
     COUNTIFS($AP$2:$AP$200,$G88)&gt;0,
     COUNTIFS($AQ$2:$AQ$200,$G88)&gt;0,
     COUNTIFS($AR$2:$AR$200,$G88)&gt;0,
     COUNTIFS($AS$2:$AS$200,$G88)&gt;0,
     COUNTIFS($AT$2:$AT$200,$G88)&gt;0,
     COUNTIFS($AU$2:$AU$200,$G88)&gt;0,
     COUNTIFS($AV$2:$AV$200,$G88)&gt;0,
     COUNTIFS($AW$2:$AW$200,$G88)&gt;0,
     COUNTIFS($AX$2:$AX$200,$G88)&gt;0
   )),
  ),
  3
 ),
"")</f>
        <v/>
      </c>
      <c r="F88" s="3" t="str" cm="1">
        <f t="array" aca="1" ref="F88" ca="1">IFERROR(
 INDEX(
  _xlfn._xlws.FILTER($U$1:$AX$1,
   TRANSPOSE(
    CHOOSE({1;2;3;4;5;6;7;8;9;10;11;12;13;14;15;16;17;18;19;20;21;22;23;24;25;26;27;28;29;30},
     COUNTIFS($U$2:$U$200,$G88)&gt;0,
     COUNTIFS($V$2:$V$200,$G88)&gt;0,
     COUNTIFS($W$2:$W$200,$G88)&gt;0,
     COUNTIFS($X$2:$X$200,$G88)&gt;0,
     COUNTIFS($Y$2:$Y$200,$G88)&gt;0,
     COUNTIFS($Z$2:$Z$200,$G88)&gt;0,
     COUNTIFS($AA$2:$AA$200,$G88)&gt;0,
     COUNTIFS($AB$2:$AB$200,$G88)&gt;0,
     COUNTIFS($AC$2:$AC$200,$G88)&gt;0,
     COUNTIFS($AD$2:$AD$200,$G88)&gt;0,
     COUNTIFS($AE$2:$AE$200,$G88)&gt;0,
     COUNTIFS($AF$2:$AF$200,$G88)&gt;0,
     COUNTIFS($AG$2:$AG$200,$G88)&gt;0,
     COUNTIFS($AH$2:$AH$200,$G88)&gt;0,
     COUNTIFS($AI$2:$AI$200,$G88)&gt;0,
     COUNTIFS($AJ$2:$AJ$200,$G88)&gt;0,
     COUNTIFS($AK$2:$AK$200,$G88)&gt;0,
     COUNTIFS($AL$2:$AL$200,$G88)&gt;0,
     COUNTIFS($AM$2:$AM$200,$G88)&gt;0,
     COUNTIFS($AN$2:$AN$200,$G88)&gt;0,
     COUNTIFS($AO$2:$AO$200,$G88)&gt;0,
     COUNTIFS($AP$2:$AP$200,$G88)&gt;0,
     COUNTIFS($AQ$2:$AQ$200,$G88)&gt;0,
     COUNTIFS($AR$2:$AR$200,$G88)&gt;0,
     COUNTIFS($AS$2:$AS$200,$G88)&gt;0,
     COUNTIFS($AT$2:$AT$200,$G88)&gt;0,
     COUNTIFS($AU$2:$AU$200,$G88)&gt;0,
     COUNTIFS($AV$2:$AV$200,$G88)&gt;0,
     COUNTIFS($AW$2:$AW$200,$G88)&gt;0,
     COUNTIFS($AX$2:$AX$200,$G88)&gt;0
   )),
  ),
  4
 ),
"")</f>
        <v/>
      </c>
      <c r="G88" t="str">
        <f ca="1"/>
        <v>Faerie Slumber Party</v>
      </c>
      <c r="BS88" t="str">
        <f ca="1"/>
        <v>Terrasymbiosis</v>
      </c>
      <c r="CB88" t="str">
        <f ca="1"/>
        <v>Mines of Moria</v>
      </c>
      <c r="CG88" t="str">
        <f ca="1"/>
        <v>Hedron Detonator</v>
      </c>
      <c r="CH88" t="str">
        <f ca="1"/>
        <v>The Great Henge</v>
      </c>
      <c r="CJ88" t="str">
        <f ca="1"/>
        <v>Faerie Slumber Party</v>
      </c>
    </row>
    <row r="89" spans="1:88" x14ac:dyDescent="0.25">
      <c r="A89" s="3" t="str">
        <f t="shared" ca="1" si="4"/>
        <v>2</v>
      </c>
      <c r="B89" s="3">
        <f t="shared" ca="1" si="5"/>
        <v>1</v>
      </c>
      <c r="C89" s="3" t="str">
        <f ca="1">IFERROR(
 INDEX($U$1:$AX$1,
  MATCH(TRUE,
   CHOOSE({1;2;3;4;5;6;7;8;9;10;11;12;13;14;15;16;17;18;19;20;21;22;23;24;25;26;27;28;29;30;31;32},
    COUNTIFS($U$2:$U$200,$G89)&gt;0,
    COUNTIFS($V$2:$V$200,$G89)&gt;0,
    COUNTIFS($W$2:$W$200,$G89)&gt;0,
    COUNTIFS($X$2:$X$200,$G89)&gt;0,
    COUNTIFS($Y$2:$Y$200,$G89)&gt;0,
    COUNTIFS($Z$2:$Z$200,$G89)&gt;0,
    COUNTIFS($AA$2:$AA$200,$G89)&gt;0,
    COUNTIFS($AB$2:$AB$200,$G89)&gt;0,
    COUNTIFS($AC$2:$AC$200,$G89)&gt;0,
    COUNTIFS($AD$2:$AD$200,$G89)&gt;0,
    COUNTIFS($AE$2:$AE$200,$G89)&gt;0,
    COUNTIFS($AF$2:$AF$200,$G89)&gt;0,
    COUNTIFS($AG$2:$AG$200,$G89)&gt;0,
    COUNTIFS($AH$2:$AH$200,$G89)&gt;0,
    COUNTIFS($AI$2:$AI$200,$G89)&gt;0,
    COUNTIFS($AJ$2:$AJ$200,$G89)&gt;0,
    COUNTIFS($AK$2:$AK$200,$G89)&gt;0,
    COUNTIFS($AL$2:$AL$200,$G89)&gt;0,
    COUNTIFS($AM$2:$AM$200,$G89)&gt;0,
    COUNTIFS($AN$2:$AN$200,$G89)&gt;0,
    COUNTIFS($AO$2:$AO$200,$G89)&gt;0,
    COUNTIFS($AP$2:$AP$200,$G89)&gt;0,
    COUNTIFS($AQ$2:$AQ$200,$G89)&gt;0,
    COUNTIFS($AR$2:$AR$200,$G89)&gt;0,
    COUNTIFS($AS$2:$AS$200,$G89)&gt;0,
    COUNTIFS($AT$2:$AT$200,$G89)&gt;0,
    COUNTIFS($AU$2:$AU$200,$G89)&gt;0,
    COUNTIFS($AV$2:$AV$200,$G89)&gt;0,
    COUNTIFS($AW$2:$AW$200,$G89)&gt;0,
    COUNTIFS($AX$2:$AX$200,$G89)&gt;0
   ),
  0)
 ),
"")</f>
        <v>Baylen</v>
      </c>
      <c r="D89" s="3" t="str" cm="1">
        <f t="array" aca="1" ref="D89" ca="1">IFERROR(
 INDEX(
  _xlfn._xlws.FILTER($U$1:$AX$1,
   TRANSPOSE(
    CHOOSE({1;2;3;4;5;6;7;8;9;10;11;12;13;14;15;16;17;18;19;20;21;22;23;24;25;26;27;28;29;30},
     COUNTIFS($U$2:$U$200,$G89)&gt;0,
     COUNTIFS($V$2:$V$200,$G89)&gt;0,
     COUNTIFS($W$2:$W$200,$G89)&gt;0,
     COUNTIFS($X$2:$X$200,$G89)&gt;0,
     COUNTIFS($Y$2:$Y$200,$G89)&gt;0,
     COUNTIFS($Z$2:$Z$200,$G89)&gt;0,
     COUNTIFS($AA$2:$AA$200,$G89)&gt;0,
     COUNTIFS($AB$2:$AB$200,$G89)&gt;0,
     COUNTIFS($AC$2:$AC$200,$G89)&gt;0,
     COUNTIFS($AD$2:$AD$200,$G89)&gt;0,
     COUNTIFS($AE$2:$AE$200,$G89)&gt;0,
     COUNTIFS($AF$2:$AF$200,$G89)&gt;0,
     COUNTIFS($AG$2:$AG$200,$G89)&gt;0,
     COUNTIFS($AH$2:$AH$200,$G89)&gt;0,
     COUNTIFS($AI$2:$AI$200,$G89)&gt;0,
     COUNTIFS($AJ$2:$AJ$200,$G89)&gt;0,
     COUNTIFS($AK$2:$AK$200,$G89)&gt;0,
     COUNTIFS($AL$2:$AL$200,$G89)&gt;0,
     COUNTIFS($AM$2:$AM$200,$G89)&gt;0,
     COUNTIFS($AN$2:$AN$200,$G89)&gt;0,
     COUNTIFS($AO$2:$AO$200,$G89)&gt;0,
     COUNTIFS($AP$2:$AP$200,$G89)&gt;0,
     COUNTIFS($AQ$2:$AQ$200,$G89)&gt;0,
     COUNTIFS($AR$2:$AR$200,$G89)&gt;0,
     COUNTIFS($AS$2:$AS$200,$G89)&gt;0,
     COUNTIFS($AT$2:$AT$200,$G89)&gt;0,
     COUNTIFS($AU$2:$AU$200,$G89)&gt;0,
     COUNTIFS($AV$2:$AV$200,$G89)&gt;0,
     COUNTIFS($AW$2:$AW$200,$G89)&gt;0,
     COUNTIFS($AX$2:$AX$200,$G89)&gt;0
   )),
  ),
  2
 ),
"")</f>
        <v/>
      </c>
      <c r="E89" s="3" t="str" cm="1">
        <f t="array" aca="1" ref="E89" ca="1">IFERROR(
 INDEX(
  _xlfn._xlws.FILTER($U$1:$AX$1,
   TRANSPOSE(
    CHOOSE({1;2;3;4;5;6;7;8;9;10;11;12;13;14;15;16;17;18;19;20;21;22;23;24;25;26;27;28;29;30},
     COUNTIFS($U$2:$U$200,$G89)&gt;0,
     COUNTIFS($V$2:$V$200,$G89)&gt;0,
     COUNTIFS($W$2:$W$200,$G89)&gt;0,
     COUNTIFS($X$2:$X$200,$G89)&gt;0,
     COUNTIFS($Y$2:$Y$200,$G89)&gt;0,
     COUNTIFS($Z$2:$Z$200,$G89)&gt;0,
     COUNTIFS($AA$2:$AA$200,$G89)&gt;0,
     COUNTIFS($AB$2:$AB$200,$G89)&gt;0,
     COUNTIFS($AC$2:$AC$200,$G89)&gt;0,
     COUNTIFS($AD$2:$AD$200,$G89)&gt;0,
     COUNTIFS($AE$2:$AE$200,$G89)&gt;0,
     COUNTIFS($AF$2:$AF$200,$G89)&gt;0,
     COUNTIFS($AG$2:$AG$200,$G89)&gt;0,
     COUNTIFS($AH$2:$AH$200,$G89)&gt;0,
     COUNTIFS($AI$2:$AI$200,$G89)&gt;0,
     COUNTIFS($AJ$2:$AJ$200,$G89)&gt;0,
     COUNTIFS($AK$2:$AK$200,$G89)&gt;0,
     COUNTIFS($AL$2:$AL$200,$G89)&gt;0,
     COUNTIFS($AM$2:$AM$200,$G89)&gt;0,
     COUNTIFS($AN$2:$AN$200,$G89)&gt;0,
     COUNTIFS($AO$2:$AO$200,$G89)&gt;0,
     COUNTIFS($AP$2:$AP$200,$G89)&gt;0,
     COUNTIFS($AQ$2:$AQ$200,$G89)&gt;0,
     COUNTIFS($AR$2:$AR$200,$G89)&gt;0,
     COUNTIFS($AS$2:$AS$200,$G89)&gt;0,
     COUNTIFS($AT$2:$AT$200,$G89)&gt;0,
     COUNTIFS($AU$2:$AU$200,$G89)&gt;0,
     COUNTIFS($AV$2:$AV$200,$G89)&gt;0,
     COUNTIFS($AW$2:$AW$200,$G89)&gt;0,
     COUNTIFS($AX$2:$AX$200,$G89)&gt;0
   )),
  ),
  3
 ),
"")</f>
        <v/>
      </c>
      <c r="F89" s="3" t="str" cm="1">
        <f t="array" aca="1" ref="F89" ca="1">IFERROR(
 INDEX(
  _xlfn._xlws.FILTER($U$1:$AX$1,
   TRANSPOSE(
    CHOOSE({1;2;3;4;5;6;7;8;9;10;11;12;13;14;15;16;17;18;19;20;21;22;23;24;25;26;27;28;29;30},
     COUNTIFS($U$2:$U$200,$G89)&gt;0,
     COUNTIFS($V$2:$V$200,$G89)&gt;0,
     COUNTIFS($W$2:$W$200,$G89)&gt;0,
     COUNTIFS($X$2:$X$200,$G89)&gt;0,
     COUNTIFS($Y$2:$Y$200,$G89)&gt;0,
     COUNTIFS($Z$2:$Z$200,$G89)&gt;0,
     COUNTIFS($AA$2:$AA$200,$G89)&gt;0,
     COUNTIFS($AB$2:$AB$200,$G89)&gt;0,
     COUNTIFS($AC$2:$AC$200,$G89)&gt;0,
     COUNTIFS($AD$2:$AD$200,$G89)&gt;0,
     COUNTIFS($AE$2:$AE$200,$G89)&gt;0,
     COUNTIFS($AF$2:$AF$200,$G89)&gt;0,
     COUNTIFS($AG$2:$AG$200,$G89)&gt;0,
     COUNTIFS($AH$2:$AH$200,$G89)&gt;0,
     COUNTIFS($AI$2:$AI$200,$G89)&gt;0,
     COUNTIFS($AJ$2:$AJ$200,$G89)&gt;0,
     COUNTIFS($AK$2:$AK$200,$G89)&gt;0,
     COUNTIFS($AL$2:$AL$200,$G89)&gt;0,
     COUNTIFS($AM$2:$AM$200,$G89)&gt;0,
     COUNTIFS($AN$2:$AN$200,$G89)&gt;0,
     COUNTIFS($AO$2:$AO$200,$G89)&gt;0,
     COUNTIFS($AP$2:$AP$200,$G89)&gt;0,
     COUNTIFS($AQ$2:$AQ$200,$G89)&gt;0,
     COUNTIFS($AR$2:$AR$200,$G89)&gt;0,
     COUNTIFS($AS$2:$AS$200,$G89)&gt;0,
     COUNTIFS($AT$2:$AT$200,$G89)&gt;0,
     COUNTIFS($AU$2:$AU$200,$G89)&gt;0,
     COUNTIFS($AV$2:$AV$200,$G89)&gt;0,
     COUNTIFS($AW$2:$AW$200,$G89)&gt;0,
     COUNTIFS($AX$2:$AX$200,$G89)&gt;0
   )),
  ),
  4
 ),
"")</f>
        <v/>
      </c>
      <c r="G89" t="str">
        <f ca="1"/>
        <v>Farmer Cotton</v>
      </c>
      <c r="BS89" t="str">
        <f ca="1"/>
        <v>The Indomitable</v>
      </c>
      <c r="CB89" t="str">
        <f ca="1"/>
        <v>Misty Rainforest</v>
      </c>
      <c r="CG89" t="str">
        <f ca="1"/>
        <v>Herald of Secret Streams</v>
      </c>
      <c r="CH89" t="str">
        <f ca="1"/>
        <v>The Masamune</v>
      </c>
      <c r="CJ89" t="str">
        <f ca="1"/>
        <v>Farmer Cotton</v>
      </c>
    </row>
    <row r="90" spans="1:88" x14ac:dyDescent="0.25">
      <c r="A90" s="3" t="str">
        <f t="shared" ca="1" si="4"/>
        <v>2</v>
      </c>
      <c r="B90" s="3">
        <f t="shared" ca="1" si="5"/>
        <v>1</v>
      </c>
      <c r="C90" s="3" t="str">
        <f ca="1">IFERROR(
 INDEX($U$1:$AX$1,
  MATCH(TRUE,
   CHOOSE({1;2;3;4;5;6;7;8;9;10;11;12;13;14;15;16;17;18;19;20;21;22;23;24;25;26;27;28;29;30;31;32},
    COUNTIFS($U$2:$U$200,$G90)&gt;0,
    COUNTIFS($V$2:$V$200,$G90)&gt;0,
    COUNTIFS($W$2:$W$200,$G90)&gt;0,
    COUNTIFS($X$2:$X$200,$G90)&gt;0,
    COUNTIFS($Y$2:$Y$200,$G90)&gt;0,
    COUNTIFS($Z$2:$Z$200,$G90)&gt;0,
    COUNTIFS($AA$2:$AA$200,$G90)&gt;0,
    COUNTIFS($AB$2:$AB$200,$G90)&gt;0,
    COUNTIFS($AC$2:$AC$200,$G90)&gt;0,
    COUNTIFS($AD$2:$AD$200,$G90)&gt;0,
    COUNTIFS($AE$2:$AE$200,$G90)&gt;0,
    COUNTIFS($AF$2:$AF$200,$G90)&gt;0,
    COUNTIFS($AG$2:$AG$200,$G90)&gt;0,
    COUNTIFS($AH$2:$AH$200,$G90)&gt;0,
    COUNTIFS($AI$2:$AI$200,$G90)&gt;0,
    COUNTIFS($AJ$2:$AJ$200,$G90)&gt;0,
    COUNTIFS($AK$2:$AK$200,$G90)&gt;0,
    COUNTIFS($AL$2:$AL$200,$G90)&gt;0,
    COUNTIFS($AM$2:$AM$200,$G90)&gt;0,
    COUNTIFS($AN$2:$AN$200,$G90)&gt;0,
    COUNTIFS($AO$2:$AO$200,$G90)&gt;0,
    COUNTIFS($AP$2:$AP$200,$G90)&gt;0,
    COUNTIFS($AQ$2:$AQ$200,$G90)&gt;0,
    COUNTIFS($AR$2:$AR$200,$G90)&gt;0,
    COUNTIFS($AS$2:$AS$200,$G90)&gt;0,
    COUNTIFS($AT$2:$AT$200,$G90)&gt;0,
    COUNTIFS($AU$2:$AU$200,$G90)&gt;0,
    COUNTIFS($AV$2:$AV$200,$G90)&gt;0,
    COUNTIFS($AW$2:$AW$200,$G90)&gt;0,
    COUNTIFS($AX$2:$AX$200,$G90)&gt;0
   ),
  0)
 ),
"")</f>
        <v>Baylen</v>
      </c>
      <c r="D90" s="3" t="str" cm="1">
        <f t="array" aca="1" ref="D90" ca="1">IFERROR(
 INDEX(
  _xlfn._xlws.FILTER($U$1:$AX$1,
   TRANSPOSE(
    CHOOSE({1;2;3;4;5;6;7;8;9;10;11;12;13;14;15;16;17;18;19;20;21;22;23;24;25;26;27;28;29;30},
     COUNTIFS($U$2:$U$200,$G90)&gt;0,
     COUNTIFS($V$2:$V$200,$G90)&gt;0,
     COUNTIFS($W$2:$W$200,$G90)&gt;0,
     COUNTIFS($X$2:$X$200,$G90)&gt;0,
     COUNTIFS($Y$2:$Y$200,$G90)&gt;0,
     COUNTIFS($Z$2:$Z$200,$G90)&gt;0,
     COUNTIFS($AA$2:$AA$200,$G90)&gt;0,
     COUNTIFS($AB$2:$AB$200,$G90)&gt;0,
     COUNTIFS($AC$2:$AC$200,$G90)&gt;0,
     COUNTIFS($AD$2:$AD$200,$G90)&gt;0,
     COUNTIFS($AE$2:$AE$200,$G90)&gt;0,
     COUNTIFS($AF$2:$AF$200,$G90)&gt;0,
     COUNTIFS($AG$2:$AG$200,$G90)&gt;0,
     COUNTIFS($AH$2:$AH$200,$G90)&gt;0,
     COUNTIFS($AI$2:$AI$200,$G90)&gt;0,
     COUNTIFS($AJ$2:$AJ$200,$G90)&gt;0,
     COUNTIFS($AK$2:$AK$200,$G90)&gt;0,
     COUNTIFS($AL$2:$AL$200,$G90)&gt;0,
     COUNTIFS($AM$2:$AM$200,$G90)&gt;0,
     COUNTIFS($AN$2:$AN$200,$G90)&gt;0,
     COUNTIFS($AO$2:$AO$200,$G90)&gt;0,
     COUNTIFS($AP$2:$AP$200,$G90)&gt;0,
     COUNTIFS($AQ$2:$AQ$200,$G90)&gt;0,
     COUNTIFS($AR$2:$AR$200,$G90)&gt;0,
     COUNTIFS($AS$2:$AS$200,$G90)&gt;0,
     COUNTIFS($AT$2:$AT$200,$G90)&gt;0,
     COUNTIFS($AU$2:$AU$200,$G90)&gt;0,
     COUNTIFS($AV$2:$AV$200,$G90)&gt;0,
     COUNTIFS($AW$2:$AW$200,$G90)&gt;0,
     COUNTIFS($AX$2:$AX$200,$G90)&gt;0
   )),
  ),
  2
 ),
"")</f>
        <v/>
      </c>
      <c r="E90" s="3" t="str" cm="1">
        <f t="array" aca="1" ref="E90" ca="1">IFERROR(
 INDEX(
  _xlfn._xlws.FILTER($U$1:$AX$1,
   TRANSPOSE(
    CHOOSE({1;2;3;4;5;6;7;8;9;10;11;12;13;14;15;16;17;18;19;20;21;22;23;24;25;26;27;28;29;30},
     COUNTIFS($U$2:$U$200,$G90)&gt;0,
     COUNTIFS($V$2:$V$200,$G90)&gt;0,
     COUNTIFS($W$2:$W$200,$G90)&gt;0,
     COUNTIFS($X$2:$X$200,$G90)&gt;0,
     COUNTIFS($Y$2:$Y$200,$G90)&gt;0,
     COUNTIFS($Z$2:$Z$200,$G90)&gt;0,
     COUNTIFS($AA$2:$AA$200,$G90)&gt;0,
     COUNTIFS($AB$2:$AB$200,$G90)&gt;0,
     COUNTIFS($AC$2:$AC$200,$G90)&gt;0,
     COUNTIFS($AD$2:$AD$200,$G90)&gt;0,
     COUNTIFS($AE$2:$AE$200,$G90)&gt;0,
     COUNTIFS($AF$2:$AF$200,$G90)&gt;0,
     COUNTIFS($AG$2:$AG$200,$G90)&gt;0,
     COUNTIFS($AH$2:$AH$200,$G90)&gt;0,
     COUNTIFS($AI$2:$AI$200,$G90)&gt;0,
     COUNTIFS($AJ$2:$AJ$200,$G90)&gt;0,
     COUNTIFS($AK$2:$AK$200,$G90)&gt;0,
     COUNTIFS($AL$2:$AL$200,$G90)&gt;0,
     COUNTIFS($AM$2:$AM$200,$G90)&gt;0,
     COUNTIFS($AN$2:$AN$200,$G90)&gt;0,
     COUNTIFS($AO$2:$AO$200,$G90)&gt;0,
     COUNTIFS($AP$2:$AP$200,$G90)&gt;0,
     COUNTIFS($AQ$2:$AQ$200,$G90)&gt;0,
     COUNTIFS($AR$2:$AR$200,$G90)&gt;0,
     COUNTIFS($AS$2:$AS$200,$G90)&gt;0,
     COUNTIFS($AT$2:$AT$200,$G90)&gt;0,
     COUNTIFS($AU$2:$AU$200,$G90)&gt;0,
     COUNTIFS($AV$2:$AV$200,$G90)&gt;0,
     COUNTIFS($AW$2:$AW$200,$G90)&gt;0,
     COUNTIFS($AX$2:$AX$200,$G90)&gt;0
   )),
  ),
  3
 ),
"")</f>
        <v/>
      </c>
      <c r="F90" s="3" t="str" cm="1">
        <f t="array" aca="1" ref="F90" ca="1">IFERROR(
 INDEX(
  _xlfn._xlws.FILTER($U$1:$AX$1,
   TRANSPOSE(
    CHOOSE({1;2;3;4;5;6;7;8;9;10;11;12;13;14;15;16;17;18;19;20;21;22;23;24;25;26;27;28;29;30},
     COUNTIFS($U$2:$U$200,$G90)&gt;0,
     COUNTIFS($V$2:$V$200,$G90)&gt;0,
     COUNTIFS($W$2:$W$200,$G90)&gt;0,
     COUNTIFS($X$2:$X$200,$G90)&gt;0,
     COUNTIFS($Y$2:$Y$200,$G90)&gt;0,
     COUNTIFS($Z$2:$Z$200,$G90)&gt;0,
     COUNTIFS($AA$2:$AA$200,$G90)&gt;0,
     COUNTIFS($AB$2:$AB$200,$G90)&gt;0,
     COUNTIFS($AC$2:$AC$200,$G90)&gt;0,
     COUNTIFS($AD$2:$AD$200,$G90)&gt;0,
     COUNTIFS($AE$2:$AE$200,$G90)&gt;0,
     COUNTIFS($AF$2:$AF$200,$G90)&gt;0,
     COUNTIFS($AG$2:$AG$200,$G90)&gt;0,
     COUNTIFS($AH$2:$AH$200,$G90)&gt;0,
     COUNTIFS($AI$2:$AI$200,$G90)&gt;0,
     COUNTIFS($AJ$2:$AJ$200,$G90)&gt;0,
     COUNTIFS($AK$2:$AK$200,$G90)&gt;0,
     COUNTIFS($AL$2:$AL$200,$G90)&gt;0,
     COUNTIFS($AM$2:$AM$200,$G90)&gt;0,
     COUNTIFS($AN$2:$AN$200,$G90)&gt;0,
     COUNTIFS($AO$2:$AO$200,$G90)&gt;0,
     COUNTIFS($AP$2:$AP$200,$G90)&gt;0,
     COUNTIFS($AQ$2:$AQ$200,$G90)&gt;0,
     COUNTIFS($AR$2:$AR$200,$G90)&gt;0,
     COUNTIFS($AS$2:$AS$200,$G90)&gt;0,
     COUNTIFS($AT$2:$AT$200,$G90)&gt;0,
     COUNTIFS($AU$2:$AU$200,$G90)&gt;0,
     COUNTIFS($AV$2:$AV$200,$G90)&gt;0,
     COUNTIFS($AW$2:$AW$200,$G90)&gt;0,
     COUNTIFS($AX$2:$AX$200,$G90)&gt;0
   )),
  ),
  4
 ),
"")</f>
        <v/>
      </c>
      <c r="G90" t="str">
        <f ca="1"/>
        <v>Farseek</v>
      </c>
      <c r="BS90" t="str">
        <f ca="1"/>
        <v>The Shire</v>
      </c>
      <c r="CB90" t="str">
        <f ca="1"/>
        <v>Monastery Siege</v>
      </c>
      <c r="CG90" t="str">
        <f ca="1"/>
        <v>Hierofante de Elenda</v>
      </c>
      <c r="CH90" t="str">
        <f ca="1"/>
        <v>The Ozolith</v>
      </c>
      <c r="CJ90" t="str">
        <f ca="1"/>
        <v>Farseek</v>
      </c>
    </row>
    <row r="91" spans="1:88" x14ac:dyDescent="0.25">
      <c r="A91" s="3" t="str">
        <f t="shared" ca="1" si="4"/>
        <v>2</v>
      </c>
      <c r="B91" s="3">
        <f t="shared" ca="1" si="5"/>
        <v>1</v>
      </c>
      <c r="C91" s="3" t="str">
        <f ca="1">IFERROR(
 INDEX($U$1:$AX$1,
  MATCH(TRUE,
   CHOOSE({1;2;3;4;5;6;7;8;9;10;11;12;13;14;15;16;17;18;19;20;21;22;23;24;25;26;27;28;29;30;31;32},
    COUNTIFS($U$2:$U$200,$G91)&gt;0,
    COUNTIFS($V$2:$V$200,$G91)&gt;0,
    COUNTIFS($W$2:$W$200,$G91)&gt;0,
    COUNTIFS($X$2:$X$200,$G91)&gt;0,
    COUNTIFS($Y$2:$Y$200,$G91)&gt;0,
    COUNTIFS($Z$2:$Z$200,$G91)&gt;0,
    COUNTIFS($AA$2:$AA$200,$G91)&gt;0,
    COUNTIFS($AB$2:$AB$200,$G91)&gt;0,
    COUNTIFS($AC$2:$AC$200,$G91)&gt;0,
    COUNTIFS($AD$2:$AD$200,$G91)&gt;0,
    COUNTIFS($AE$2:$AE$200,$G91)&gt;0,
    COUNTIFS($AF$2:$AF$200,$G91)&gt;0,
    COUNTIFS($AG$2:$AG$200,$G91)&gt;0,
    COUNTIFS($AH$2:$AH$200,$G91)&gt;0,
    COUNTIFS($AI$2:$AI$200,$G91)&gt;0,
    COUNTIFS($AJ$2:$AJ$200,$G91)&gt;0,
    COUNTIFS($AK$2:$AK$200,$G91)&gt;0,
    COUNTIFS($AL$2:$AL$200,$G91)&gt;0,
    COUNTIFS($AM$2:$AM$200,$G91)&gt;0,
    COUNTIFS($AN$2:$AN$200,$G91)&gt;0,
    COUNTIFS($AO$2:$AO$200,$G91)&gt;0,
    COUNTIFS($AP$2:$AP$200,$G91)&gt;0,
    COUNTIFS($AQ$2:$AQ$200,$G91)&gt;0,
    COUNTIFS($AR$2:$AR$200,$G91)&gt;0,
    COUNTIFS($AS$2:$AS$200,$G91)&gt;0,
    COUNTIFS($AT$2:$AT$200,$G91)&gt;0,
    COUNTIFS($AU$2:$AU$200,$G91)&gt;0,
    COUNTIFS($AV$2:$AV$200,$G91)&gt;0,
    COUNTIFS($AW$2:$AW$200,$G91)&gt;0,
    COUNTIFS($AX$2:$AX$200,$G91)&gt;0
   ),
  0)
 ),
"")</f>
        <v>Rani</v>
      </c>
      <c r="D91" s="3" t="str" cm="1">
        <f t="array" aca="1" ref="D91" ca="1">IFERROR(
 INDEX(
  _xlfn._xlws.FILTER($U$1:$AX$1,
   TRANSPOSE(
    CHOOSE({1;2;3;4;5;6;7;8;9;10;11;12;13;14;15;16;17;18;19;20;21;22;23;24;25;26;27;28;29;30},
     COUNTIFS($U$2:$U$200,$G91)&gt;0,
     COUNTIFS($V$2:$V$200,$G91)&gt;0,
     COUNTIFS($W$2:$W$200,$G91)&gt;0,
     COUNTIFS($X$2:$X$200,$G91)&gt;0,
     COUNTIFS($Y$2:$Y$200,$G91)&gt;0,
     COUNTIFS($Z$2:$Z$200,$G91)&gt;0,
     COUNTIFS($AA$2:$AA$200,$G91)&gt;0,
     COUNTIFS($AB$2:$AB$200,$G91)&gt;0,
     COUNTIFS($AC$2:$AC$200,$G91)&gt;0,
     COUNTIFS($AD$2:$AD$200,$G91)&gt;0,
     COUNTIFS($AE$2:$AE$200,$G91)&gt;0,
     COUNTIFS($AF$2:$AF$200,$G91)&gt;0,
     COUNTIFS($AG$2:$AG$200,$G91)&gt;0,
     COUNTIFS($AH$2:$AH$200,$G91)&gt;0,
     COUNTIFS($AI$2:$AI$200,$G91)&gt;0,
     COUNTIFS($AJ$2:$AJ$200,$G91)&gt;0,
     COUNTIFS($AK$2:$AK$200,$G91)&gt;0,
     COUNTIFS($AL$2:$AL$200,$G91)&gt;0,
     COUNTIFS($AM$2:$AM$200,$G91)&gt;0,
     COUNTIFS($AN$2:$AN$200,$G91)&gt;0,
     COUNTIFS($AO$2:$AO$200,$G91)&gt;0,
     COUNTIFS($AP$2:$AP$200,$G91)&gt;0,
     COUNTIFS($AQ$2:$AQ$200,$G91)&gt;0,
     COUNTIFS($AR$2:$AR$200,$G91)&gt;0,
     COUNTIFS($AS$2:$AS$200,$G91)&gt;0,
     COUNTIFS($AT$2:$AT$200,$G91)&gt;0,
     COUNTIFS($AU$2:$AU$200,$G91)&gt;0,
     COUNTIFS($AV$2:$AV$200,$G91)&gt;0,
     COUNTIFS($AW$2:$AW$200,$G91)&gt;0,
     COUNTIFS($AX$2:$AX$200,$G91)&gt;0
   )),
  ),
  2
 ),
"")</f>
        <v/>
      </c>
      <c r="E91" s="3" t="str" cm="1">
        <f t="array" aca="1" ref="E91" ca="1">IFERROR(
 INDEX(
  _xlfn._xlws.FILTER($U$1:$AX$1,
   TRANSPOSE(
    CHOOSE({1;2;3;4;5;6;7;8;9;10;11;12;13;14;15;16;17;18;19;20;21;22;23;24;25;26;27;28;29;30},
     COUNTIFS($U$2:$U$200,$G91)&gt;0,
     COUNTIFS($V$2:$V$200,$G91)&gt;0,
     COUNTIFS($W$2:$W$200,$G91)&gt;0,
     COUNTIFS($X$2:$X$200,$G91)&gt;0,
     COUNTIFS($Y$2:$Y$200,$G91)&gt;0,
     COUNTIFS($Z$2:$Z$200,$G91)&gt;0,
     COUNTIFS($AA$2:$AA$200,$G91)&gt;0,
     COUNTIFS($AB$2:$AB$200,$G91)&gt;0,
     COUNTIFS($AC$2:$AC$200,$G91)&gt;0,
     COUNTIFS($AD$2:$AD$200,$G91)&gt;0,
     COUNTIFS($AE$2:$AE$200,$G91)&gt;0,
     COUNTIFS($AF$2:$AF$200,$G91)&gt;0,
     COUNTIFS($AG$2:$AG$200,$G91)&gt;0,
     COUNTIFS($AH$2:$AH$200,$G91)&gt;0,
     COUNTIFS($AI$2:$AI$200,$G91)&gt;0,
     COUNTIFS($AJ$2:$AJ$200,$G91)&gt;0,
     COUNTIFS($AK$2:$AK$200,$G91)&gt;0,
     COUNTIFS($AL$2:$AL$200,$G91)&gt;0,
     COUNTIFS($AM$2:$AM$200,$G91)&gt;0,
     COUNTIFS($AN$2:$AN$200,$G91)&gt;0,
     COUNTIFS($AO$2:$AO$200,$G91)&gt;0,
     COUNTIFS($AP$2:$AP$200,$G91)&gt;0,
     COUNTIFS($AQ$2:$AQ$200,$G91)&gt;0,
     COUNTIFS($AR$2:$AR$200,$G91)&gt;0,
     COUNTIFS($AS$2:$AS$200,$G91)&gt;0,
     COUNTIFS($AT$2:$AT$200,$G91)&gt;0,
     COUNTIFS($AU$2:$AU$200,$G91)&gt;0,
     COUNTIFS($AV$2:$AV$200,$G91)&gt;0,
     COUNTIFS($AW$2:$AW$200,$G91)&gt;0,
     COUNTIFS($AX$2:$AX$200,$G91)&gt;0
   )),
  ),
  3
 ),
"")</f>
        <v/>
      </c>
      <c r="F91" s="3" t="str" cm="1">
        <f t="array" aca="1" ref="F91" ca="1">IFERROR(
 INDEX(
  _xlfn._xlws.FILTER($U$1:$AX$1,
   TRANSPOSE(
    CHOOSE({1;2;3;4;5;6;7;8;9;10;11;12;13;14;15;16;17;18;19;20;21;22;23;24;25;26;27;28;29;30},
     COUNTIFS($U$2:$U$200,$G91)&gt;0,
     COUNTIFS($V$2:$V$200,$G91)&gt;0,
     COUNTIFS($W$2:$W$200,$G91)&gt;0,
     COUNTIFS($X$2:$X$200,$G91)&gt;0,
     COUNTIFS($Y$2:$Y$200,$G91)&gt;0,
     COUNTIFS($Z$2:$Z$200,$G91)&gt;0,
     COUNTIFS($AA$2:$AA$200,$G91)&gt;0,
     COUNTIFS($AB$2:$AB$200,$G91)&gt;0,
     COUNTIFS($AC$2:$AC$200,$G91)&gt;0,
     COUNTIFS($AD$2:$AD$200,$G91)&gt;0,
     COUNTIFS($AE$2:$AE$200,$G91)&gt;0,
     COUNTIFS($AF$2:$AF$200,$G91)&gt;0,
     COUNTIFS($AG$2:$AG$200,$G91)&gt;0,
     COUNTIFS($AH$2:$AH$200,$G91)&gt;0,
     COUNTIFS($AI$2:$AI$200,$G91)&gt;0,
     COUNTIFS($AJ$2:$AJ$200,$G91)&gt;0,
     COUNTIFS($AK$2:$AK$200,$G91)&gt;0,
     COUNTIFS($AL$2:$AL$200,$G91)&gt;0,
     COUNTIFS($AM$2:$AM$200,$G91)&gt;0,
     COUNTIFS($AN$2:$AN$200,$G91)&gt;0,
     COUNTIFS($AO$2:$AO$200,$G91)&gt;0,
     COUNTIFS($AP$2:$AP$200,$G91)&gt;0,
     COUNTIFS($AQ$2:$AQ$200,$G91)&gt;0,
     COUNTIFS($AR$2:$AR$200,$G91)&gt;0,
     COUNTIFS($AS$2:$AS$200,$G91)&gt;0,
     COUNTIFS($AT$2:$AT$200,$G91)&gt;0,
     COUNTIFS($AU$2:$AU$200,$G91)&gt;0,
     COUNTIFS($AV$2:$AV$200,$G91)&gt;0,
     COUNTIFS($AW$2:$AW$200,$G91)&gt;0,
     COUNTIFS($AX$2:$AX$200,$G91)&gt;0
   )),
  ),
  4
 ),
"")</f>
        <v/>
      </c>
      <c r="G91" t="str">
        <f ca="1"/>
        <v>Fellwar Stone</v>
      </c>
      <c r="BS91" t="str">
        <f ca="1"/>
        <v>The Water Crystal</v>
      </c>
      <c r="CB91" t="str">
        <f ca="1"/>
        <v>Mother of runes</v>
      </c>
      <c r="CG91" t="str">
        <f ca="1"/>
        <v>Horizon Explorer</v>
      </c>
      <c r="CH91" t="str">
        <f ca="1"/>
        <v>Thornglint Bridge</v>
      </c>
      <c r="CJ91" t="str">
        <f ca="1"/>
        <v>Fellwar Stone</v>
      </c>
    </row>
    <row r="92" spans="1:88" x14ac:dyDescent="0.25">
      <c r="A92" s="3" t="str">
        <f t="shared" ca="1" si="4"/>
        <v>1</v>
      </c>
      <c r="B92" s="3">
        <f t="shared" ca="1" si="5"/>
        <v>1</v>
      </c>
      <c r="C92" s="3" t="str">
        <f ca="1">IFERROR(
 INDEX($U$1:$AX$1,
  MATCH(TRUE,
   CHOOSE({1;2;3;4;5;6;7;8;9;10;11;12;13;14;15;16;17;18;19;20;21;22;23;24;25;26;27;28;29;30;31;32},
    COUNTIFS($U$2:$U$200,$G92)&gt;0,
    COUNTIFS($V$2:$V$200,$G92)&gt;0,
    COUNTIFS($W$2:$W$200,$G92)&gt;0,
    COUNTIFS($X$2:$X$200,$G92)&gt;0,
    COUNTIFS($Y$2:$Y$200,$G92)&gt;0,
    COUNTIFS($Z$2:$Z$200,$G92)&gt;0,
    COUNTIFS($AA$2:$AA$200,$G92)&gt;0,
    COUNTIFS($AB$2:$AB$200,$G92)&gt;0,
    COUNTIFS($AC$2:$AC$200,$G92)&gt;0,
    COUNTIFS($AD$2:$AD$200,$G92)&gt;0,
    COUNTIFS($AE$2:$AE$200,$G92)&gt;0,
    COUNTIFS($AF$2:$AF$200,$G92)&gt;0,
    COUNTIFS($AG$2:$AG$200,$G92)&gt;0,
    COUNTIFS($AH$2:$AH$200,$G92)&gt;0,
    COUNTIFS($AI$2:$AI$200,$G92)&gt;0,
    COUNTIFS($AJ$2:$AJ$200,$G92)&gt;0,
    COUNTIFS($AK$2:$AK$200,$G92)&gt;0,
    COUNTIFS($AL$2:$AL$200,$G92)&gt;0,
    COUNTIFS($AM$2:$AM$200,$G92)&gt;0,
    COUNTIFS($AN$2:$AN$200,$G92)&gt;0,
    COUNTIFS($AO$2:$AO$200,$G92)&gt;0,
    COUNTIFS($AP$2:$AP$200,$G92)&gt;0,
    COUNTIFS($AQ$2:$AQ$200,$G92)&gt;0,
    COUNTIFS($AR$2:$AR$200,$G92)&gt;0,
    COUNTIFS($AS$2:$AS$200,$G92)&gt;0,
    COUNTIFS($AT$2:$AT$200,$G92)&gt;0,
    COUNTIFS($AU$2:$AU$200,$G92)&gt;0,
    COUNTIFS($AV$2:$AV$200,$G92)&gt;0,
    COUNTIFS($AW$2:$AW$200,$G92)&gt;0,
    COUNTIFS($AX$2:$AX$200,$G92)&gt;0
   ),
  0)
 ),
"")</f>
        <v>Modular</v>
      </c>
      <c r="D92" s="3" t="str" cm="1">
        <f t="array" aca="1" ref="D92" ca="1">IFERROR(
 INDEX(
  _xlfn._xlws.FILTER($U$1:$AX$1,
   TRANSPOSE(
    CHOOSE({1;2;3;4;5;6;7;8;9;10;11;12;13;14;15;16;17;18;19;20;21;22;23;24;25;26;27;28;29;30},
     COUNTIFS($U$2:$U$200,$G92)&gt;0,
     COUNTIFS($V$2:$V$200,$G92)&gt;0,
     COUNTIFS($W$2:$W$200,$G92)&gt;0,
     COUNTIFS($X$2:$X$200,$G92)&gt;0,
     COUNTIFS($Y$2:$Y$200,$G92)&gt;0,
     COUNTIFS($Z$2:$Z$200,$G92)&gt;0,
     COUNTIFS($AA$2:$AA$200,$G92)&gt;0,
     COUNTIFS($AB$2:$AB$200,$G92)&gt;0,
     COUNTIFS($AC$2:$AC$200,$G92)&gt;0,
     COUNTIFS($AD$2:$AD$200,$G92)&gt;0,
     COUNTIFS($AE$2:$AE$200,$G92)&gt;0,
     COUNTIFS($AF$2:$AF$200,$G92)&gt;0,
     COUNTIFS($AG$2:$AG$200,$G92)&gt;0,
     COUNTIFS($AH$2:$AH$200,$G92)&gt;0,
     COUNTIFS($AI$2:$AI$200,$G92)&gt;0,
     COUNTIFS($AJ$2:$AJ$200,$G92)&gt;0,
     COUNTIFS($AK$2:$AK$200,$G92)&gt;0,
     COUNTIFS($AL$2:$AL$200,$G92)&gt;0,
     COUNTIFS($AM$2:$AM$200,$G92)&gt;0,
     COUNTIFS($AN$2:$AN$200,$G92)&gt;0,
     COUNTIFS($AO$2:$AO$200,$G92)&gt;0,
     COUNTIFS($AP$2:$AP$200,$G92)&gt;0,
     COUNTIFS($AQ$2:$AQ$200,$G92)&gt;0,
     COUNTIFS($AR$2:$AR$200,$G92)&gt;0,
     COUNTIFS($AS$2:$AS$200,$G92)&gt;0,
     COUNTIFS($AT$2:$AT$200,$G92)&gt;0,
     COUNTIFS($AU$2:$AU$200,$G92)&gt;0,
     COUNTIFS($AV$2:$AV$200,$G92)&gt;0,
     COUNTIFS($AW$2:$AW$200,$G92)&gt;0,
     COUNTIFS($AX$2:$AX$200,$G92)&gt;0
   )),
  ),
  2
 ),
"")</f>
        <v/>
      </c>
      <c r="E92" s="3" t="str" cm="1">
        <f t="array" aca="1" ref="E92" ca="1">IFERROR(
 INDEX(
  _xlfn._xlws.FILTER($U$1:$AX$1,
   TRANSPOSE(
    CHOOSE({1;2;3;4;5;6;7;8;9;10;11;12;13;14;15;16;17;18;19;20;21;22;23;24;25;26;27;28;29;30},
     COUNTIFS($U$2:$U$200,$G92)&gt;0,
     COUNTIFS($V$2:$V$200,$G92)&gt;0,
     COUNTIFS($W$2:$W$200,$G92)&gt;0,
     COUNTIFS($X$2:$X$200,$G92)&gt;0,
     COUNTIFS($Y$2:$Y$200,$G92)&gt;0,
     COUNTIFS($Z$2:$Z$200,$G92)&gt;0,
     COUNTIFS($AA$2:$AA$200,$G92)&gt;0,
     COUNTIFS($AB$2:$AB$200,$G92)&gt;0,
     COUNTIFS($AC$2:$AC$200,$G92)&gt;0,
     COUNTIFS($AD$2:$AD$200,$G92)&gt;0,
     COUNTIFS($AE$2:$AE$200,$G92)&gt;0,
     COUNTIFS($AF$2:$AF$200,$G92)&gt;0,
     COUNTIFS($AG$2:$AG$200,$G92)&gt;0,
     COUNTIFS($AH$2:$AH$200,$G92)&gt;0,
     COUNTIFS($AI$2:$AI$200,$G92)&gt;0,
     COUNTIFS($AJ$2:$AJ$200,$G92)&gt;0,
     COUNTIFS($AK$2:$AK$200,$G92)&gt;0,
     COUNTIFS($AL$2:$AL$200,$G92)&gt;0,
     COUNTIFS($AM$2:$AM$200,$G92)&gt;0,
     COUNTIFS($AN$2:$AN$200,$G92)&gt;0,
     COUNTIFS($AO$2:$AO$200,$G92)&gt;0,
     COUNTIFS($AP$2:$AP$200,$G92)&gt;0,
     COUNTIFS($AQ$2:$AQ$200,$G92)&gt;0,
     COUNTIFS($AR$2:$AR$200,$G92)&gt;0,
     COUNTIFS($AS$2:$AS$200,$G92)&gt;0,
     COUNTIFS($AT$2:$AT$200,$G92)&gt;0,
     COUNTIFS($AU$2:$AU$200,$G92)&gt;0,
     COUNTIFS($AV$2:$AV$200,$G92)&gt;0,
     COUNTIFS($AW$2:$AW$200,$G92)&gt;0,
     COUNTIFS($AX$2:$AX$200,$G92)&gt;0
   )),
  ),
  3
 ),
"")</f>
        <v/>
      </c>
      <c r="F92" s="3" t="str" cm="1">
        <f t="array" aca="1" ref="F92" ca="1">IFERROR(
 INDEX(
  _xlfn._xlws.FILTER($U$1:$AX$1,
   TRANSPOSE(
    CHOOSE({1;2;3;4;5;6;7;8;9;10;11;12;13;14;15;16;17;18;19;20;21;22;23;24;25;26;27;28;29;30},
     COUNTIFS($U$2:$U$200,$G92)&gt;0,
     COUNTIFS($V$2:$V$200,$G92)&gt;0,
     COUNTIFS($W$2:$W$200,$G92)&gt;0,
     COUNTIFS($X$2:$X$200,$G92)&gt;0,
     COUNTIFS($Y$2:$Y$200,$G92)&gt;0,
     COUNTIFS($Z$2:$Z$200,$G92)&gt;0,
     COUNTIFS($AA$2:$AA$200,$G92)&gt;0,
     COUNTIFS($AB$2:$AB$200,$G92)&gt;0,
     COUNTIFS($AC$2:$AC$200,$G92)&gt;0,
     COUNTIFS($AD$2:$AD$200,$G92)&gt;0,
     COUNTIFS($AE$2:$AE$200,$G92)&gt;0,
     COUNTIFS($AF$2:$AF$200,$G92)&gt;0,
     COUNTIFS($AG$2:$AG$200,$G92)&gt;0,
     COUNTIFS($AH$2:$AH$200,$G92)&gt;0,
     COUNTIFS($AI$2:$AI$200,$G92)&gt;0,
     COUNTIFS($AJ$2:$AJ$200,$G92)&gt;0,
     COUNTIFS($AK$2:$AK$200,$G92)&gt;0,
     COUNTIFS($AL$2:$AL$200,$G92)&gt;0,
     COUNTIFS($AM$2:$AM$200,$G92)&gt;0,
     COUNTIFS($AN$2:$AN$200,$G92)&gt;0,
     COUNTIFS($AO$2:$AO$200,$G92)&gt;0,
     COUNTIFS($AP$2:$AP$200,$G92)&gt;0,
     COUNTIFS($AQ$2:$AQ$200,$G92)&gt;0,
     COUNTIFS($AR$2:$AR$200,$G92)&gt;0,
     COUNTIFS($AS$2:$AS$200,$G92)&gt;0,
     COUNTIFS($AT$2:$AT$200,$G92)&gt;0,
     COUNTIFS($AU$2:$AU$200,$G92)&gt;0,
     COUNTIFS($AV$2:$AV$200,$G92)&gt;0,
     COUNTIFS($AW$2:$AW$200,$G92)&gt;0,
     COUNTIFS($AX$2:$AX$200,$G92)&gt;0
   )),
  ),
  4
 ),
"")</f>
        <v/>
      </c>
      <c r="G92" t="str">
        <f ca="1"/>
        <v>Filigree Vector</v>
      </c>
      <c r="BS92" t="str">
        <f ca="1"/>
        <v>Time of Need</v>
      </c>
      <c r="CB92" t="str">
        <f ca="1"/>
        <v>Ozolith, the Shattered Spire</v>
      </c>
      <c r="CG92" t="str">
        <f ca="1"/>
        <v>Hydra's Growth</v>
      </c>
      <c r="CH92" t="str">
        <f ca="1"/>
        <v>Three Tree City</v>
      </c>
      <c r="CJ92" t="str">
        <f ca="1"/>
        <v>Filigree Vector</v>
      </c>
    </row>
    <row r="93" spans="1:88" x14ac:dyDescent="0.25">
      <c r="A93" s="3" t="str">
        <f t="shared" ca="1" si="4"/>
        <v>3</v>
      </c>
      <c r="B93" s="3">
        <f t="shared" ca="1" si="5"/>
        <v>1</v>
      </c>
      <c r="C93" s="3" t="str">
        <f ca="1">IFERROR(
 INDEX($U$1:$AX$1,
  MATCH(TRUE,
   CHOOSE({1;2;3;4;5;6;7;8;9;10;11;12;13;14;15;16;17;18;19;20;21;22;23;24;25;26;27;28;29;30;31;32},
    COUNTIFS($U$2:$U$200,$G93)&gt;0,
    COUNTIFS($V$2:$V$200,$G93)&gt;0,
    COUNTIFS($W$2:$W$200,$G93)&gt;0,
    COUNTIFS($X$2:$X$200,$G93)&gt;0,
    COUNTIFS($Y$2:$Y$200,$G93)&gt;0,
    COUNTIFS($Z$2:$Z$200,$G93)&gt;0,
    COUNTIFS($AA$2:$AA$200,$G93)&gt;0,
    COUNTIFS($AB$2:$AB$200,$G93)&gt;0,
    COUNTIFS($AC$2:$AC$200,$G93)&gt;0,
    COUNTIFS($AD$2:$AD$200,$G93)&gt;0,
    COUNTIFS($AE$2:$AE$200,$G93)&gt;0,
    COUNTIFS($AF$2:$AF$200,$G93)&gt;0,
    COUNTIFS($AG$2:$AG$200,$G93)&gt;0,
    COUNTIFS($AH$2:$AH$200,$G93)&gt;0,
    COUNTIFS($AI$2:$AI$200,$G93)&gt;0,
    COUNTIFS($AJ$2:$AJ$200,$G93)&gt;0,
    COUNTIFS($AK$2:$AK$200,$G93)&gt;0,
    COUNTIFS($AL$2:$AL$200,$G93)&gt;0,
    COUNTIFS($AM$2:$AM$200,$G93)&gt;0,
    COUNTIFS($AN$2:$AN$200,$G93)&gt;0,
    COUNTIFS($AO$2:$AO$200,$G93)&gt;0,
    COUNTIFS($AP$2:$AP$200,$G93)&gt;0,
    COUNTIFS($AQ$2:$AQ$200,$G93)&gt;0,
    COUNTIFS($AR$2:$AR$200,$G93)&gt;0,
    COUNTIFS($AS$2:$AS$200,$G93)&gt;0,
    COUNTIFS($AT$2:$AT$200,$G93)&gt;0,
    COUNTIFS($AU$2:$AU$200,$G93)&gt;0,
    COUNTIFS($AV$2:$AV$200,$G93)&gt;0,
    COUNTIFS($AW$2:$AW$200,$G93)&gt;0,
    COUNTIFS($AX$2:$AX$200,$G93)&gt;0
   ),
  0)
 ),
"")</f>
        <v>Akiri</v>
      </c>
      <c r="D93" s="3" t="str" cm="1">
        <f t="array" aca="1" ref="D93" ca="1">IFERROR(
 INDEX(
  _xlfn._xlws.FILTER($U$1:$AX$1,
   TRANSPOSE(
    CHOOSE({1;2;3;4;5;6;7;8;9;10;11;12;13;14;15;16;17;18;19;20;21;22;23;24;25;26;27;28;29;30},
     COUNTIFS($U$2:$U$200,$G93)&gt;0,
     COUNTIFS($V$2:$V$200,$G93)&gt;0,
     COUNTIFS($W$2:$W$200,$G93)&gt;0,
     COUNTIFS($X$2:$X$200,$G93)&gt;0,
     COUNTIFS($Y$2:$Y$200,$G93)&gt;0,
     COUNTIFS($Z$2:$Z$200,$G93)&gt;0,
     COUNTIFS($AA$2:$AA$200,$G93)&gt;0,
     COUNTIFS($AB$2:$AB$200,$G93)&gt;0,
     COUNTIFS($AC$2:$AC$200,$G93)&gt;0,
     COUNTIFS($AD$2:$AD$200,$G93)&gt;0,
     COUNTIFS($AE$2:$AE$200,$G93)&gt;0,
     COUNTIFS($AF$2:$AF$200,$G93)&gt;0,
     COUNTIFS($AG$2:$AG$200,$G93)&gt;0,
     COUNTIFS($AH$2:$AH$200,$G93)&gt;0,
     COUNTIFS($AI$2:$AI$200,$G93)&gt;0,
     COUNTIFS($AJ$2:$AJ$200,$G93)&gt;0,
     COUNTIFS($AK$2:$AK$200,$G93)&gt;0,
     COUNTIFS($AL$2:$AL$200,$G93)&gt;0,
     COUNTIFS($AM$2:$AM$200,$G93)&gt;0,
     COUNTIFS($AN$2:$AN$200,$G93)&gt;0,
     COUNTIFS($AO$2:$AO$200,$G93)&gt;0,
     COUNTIFS($AP$2:$AP$200,$G93)&gt;0,
     COUNTIFS($AQ$2:$AQ$200,$G93)&gt;0,
     COUNTIFS($AR$2:$AR$200,$G93)&gt;0,
     COUNTIFS($AS$2:$AS$200,$G93)&gt;0,
     COUNTIFS($AT$2:$AT$200,$G93)&gt;0,
     COUNTIFS($AU$2:$AU$200,$G93)&gt;0,
     COUNTIFS($AV$2:$AV$200,$G93)&gt;0,
     COUNTIFS($AW$2:$AW$200,$G93)&gt;0,
     COUNTIFS($AX$2:$AX$200,$G93)&gt;0
   )),
  ),
  2
 ),
"")</f>
        <v/>
      </c>
      <c r="E93" s="3" t="str" cm="1">
        <f t="array" aca="1" ref="E93" ca="1">IFERROR(
 INDEX(
  _xlfn._xlws.FILTER($U$1:$AX$1,
   TRANSPOSE(
    CHOOSE({1;2;3;4;5;6;7;8;9;10;11;12;13;14;15;16;17;18;19;20;21;22;23;24;25;26;27;28;29;30},
     COUNTIFS($U$2:$U$200,$G93)&gt;0,
     COUNTIFS($V$2:$V$200,$G93)&gt;0,
     COUNTIFS($W$2:$W$200,$G93)&gt;0,
     COUNTIFS($X$2:$X$200,$G93)&gt;0,
     COUNTIFS($Y$2:$Y$200,$G93)&gt;0,
     COUNTIFS($Z$2:$Z$200,$G93)&gt;0,
     COUNTIFS($AA$2:$AA$200,$G93)&gt;0,
     COUNTIFS($AB$2:$AB$200,$G93)&gt;0,
     COUNTIFS($AC$2:$AC$200,$G93)&gt;0,
     COUNTIFS($AD$2:$AD$200,$G93)&gt;0,
     COUNTIFS($AE$2:$AE$200,$G93)&gt;0,
     COUNTIFS($AF$2:$AF$200,$G93)&gt;0,
     COUNTIFS($AG$2:$AG$200,$G93)&gt;0,
     COUNTIFS($AH$2:$AH$200,$G93)&gt;0,
     COUNTIFS($AI$2:$AI$200,$G93)&gt;0,
     COUNTIFS($AJ$2:$AJ$200,$G93)&gt;0,
     COUNTIFS($AK$2:$AK$200,$G93)&gt;0,
     COUNTIFS($AL$2:$AL$200,$G93)&gt;0,
     COUNTIFS($AM$2:$AM$200,$G93)&gt;0,
     COUNTIFS($AN$2:$AN$200,$G93)&gt;0,
     COUNTIFS($AO$2:$AO$200,$G93)&gt;0,
     COUNTIFS($AP$2:$AP$200,$G93)&gt;0,
     COUNTIFS($AQ$2:$AQ$200,$G93)&gt;0,
     COUNTIFS($AR$2:$AR$200,$G93)&gt;0,
     COUNTIFS($AS$2:$AS$200,$G93)&gt;0,
     COUNTIFS($AT$2:$AT$200,$G93)&gt;0,
     COUNTIFS($AU$2:$AU$200,$G93)&gt;0,
     COUNTIFS($AV$2:$AV$200,$G93)&gt;0,
     COUNTIFS($AW$2:$AW$200,$G93)&gt;0,
     COUNTIFS($AX$2:$AX$200,$G93)&gt;0
   )),
  ),
  3
 ),
"")</f>
        <v/>
      </c>
      <c r="F93" s="3" t="str" cm="1">
        <f t="array" aca="1" ref="F93" ca="1">IFERROR(
 INDEX(
  _xlfn._xlws.FILTER($U$1:$AX$1,
   TRANSPOSE(
    CHOOSE({1;2;3;4;5;6;7;8;9;10;11;12;13;14;15;16;17;18;19;20;21;22;23;24;25;26;27;28;29;30},
     COUNTIFS($U$2:$U$200,$G93)&gt;0,
     COUNTIFS($V$2:$V$200,$G93)&gt;0,
     COUNTIFS($W$2:$W$200,$G93)&gt;0,
     COUNTIFS($X$2:$X$200,$G93)&gt;0,
     COUNTIFS($Y$2:$Y$200,$G93)&gt;0,
     COUNTIFS($Z$2:$Z$200,$G93)&gt;0,
     COUNTIFS($AA$2:$AA$200,$G93)&gt;0,
     COUNTIFS($AB$2:$AB$200,$G93)&gt;0,
     COUNTIFS($AC$2:$AC$200,$G93)&gt;0,
     COUNTIFS($AD$2:$AD$200,$G93)&gt;0,
     COUNTIFS($AE$2:$AE$200,$G93)&gt;0,
     COUNTIFS($AF$2:$AF$200,$G93)&gt;0,
     COUNTIFS($AG$2:$AG$200,$G93)&gt;0,
     COUNTIFS($AH$2:$AH$200,$G93)&gt;0,
     COUNTIFS($AI$2:$AI$200,$G93)&gt;0,
     COUNTIFS($AJ$2:$AJ$200,$G93)&gt;0,
     COUNTIFS($AK$2:$AK$200,$G93)&gt;0,
     COUNTIFS($AL$2:$AL$200,$G93)&gt;0,
     COUNTIFS($AM$2:$AM$200,$G93)&gt;0,
     COUNTIFS($AN$2:$AN$200,$G93)&gt;0,
     COUNTIFS($AO$2:$AO$200,$G93)&gt;0,
     COUNTIFS($AP$2:$AP$200,$G93)&gt;0,
     COUNTIFS($AQ$2:$AQ$200,$G93)&gt;0,
     COUNTIFS($AR$2:$AR$200,$G93)&gt;0,
     COUNTIFS($AS$2:$AS$200,$G93)&gt;0,
     COUNTIFS($AT$2:$AT$200,$G93)&gt;0,
     COUNTIFS($AU$2:$AU$200,$G93)&gt;0,
     COUNTIFS($AV$2:$AV$200,$G93)&gt;0,
     COUNTIFS($AW$2:$AW$200,$G93)&gt;0,
     COUNTIFS($AX$2:$AX$200,$G93)&gt;0
   )),
  ),
  4
 ),
"")</f>
        <v/>
      </c>
      <c r="G93" t="str">
        <f ca="1"/>
        <v>Firion, Wild Rose Warrior</v>
      </c>
      <c r="BS93" t="str">
        <f ca="1"/>
        <v>Time Sieve</v>
      </c>
      <c r="CB93" t="str">
        <f ca="1"/>
        <v>Patrolling Peacemaker</v>
      </c>
      <c r="CG93" t="str">
        <f ca="1"/>
        <v>Incendiary Command</v>
      </c>
      <c r="CH93" t="str">
        <f ca="1"/>
        <v>Thrumming Hivepool</v>
      </c>
      <c r="CJ93" t="str">
        <f ca="1"/>
        <v>Firion, Wild Rose Warrior</v>
      </c>
    </row>
    <row r="94" spans="1:88" x14ac:dyDescent="0.25">
      <c r="A94" s="3" t="str">
        <f t="shared" ca="1" si="4"/>
        <v>2</v>
      </c>
      <c r="B94" s="3">
        <f t="shared" ca="1" si="5"/>
        <v>1</v>
      </c>
      <c r="C94" s="3" t="str">
        <f ca="1">IFERROR(
 INDEX($U$1:$AX$1,
  MATCH(TRUE,
   CHOOSE({1;2;3;4;5;6;7;8;9;10;11;12;13;14;15;16;17;18;19;20;21;22;23;24;25;26;27;28;29;30;31;32},
    COUNTIFS($U$2:$U$200,$G94)&gt;0,
    COUNTIFS($V$2:$V$200,$G94)&gt;0,
    COUNTIFS($W$2:$W$200,$G94)&gt;0,
    COUNTIFS($X$2:$X$200,$G94)&gt;0,
    COUNTIFS($Y$2:$Y$200,$G94)&gt;0,
    COUNTIFS($Z$2:$Z$200,$G94)&gt;0,
    COUNTIFS($AA$2:$AA$200,$G94)&gt;0,
    COUNTIFS($AB$2:$AB$200,$G94)&gt;0,
    COUNTIFS($AC$2:$AC$200,$G94)&gt;0,
    COUNTIFS($AD$2:$AD$200,$G94)&gt;0,
    COUNTIFS($AE$2:$AE$200,$G94)&gt;0,
    COUNTIFS($AF$2:$AF$200,$G94)&gt;0,
    COUNTIFS($AG$2:$AG$200,$G94)&gt;0,
    COUNTIFS($AH$2:$AH$200,$G94)&gt;0,
    COUNTIFS($AI$2:$AI$200,$G94)&gt;0,
    COUNTIFS($AJ$2:$AJ$200,$G94)&gt;0,
    COUNTIFS($AK$2:$AK$200,$G94)&gt;0,
    COUNTIFS($AL$2:$AL$200,$G94)&gt;0,
    COUNTIFS($AM$2:$AM$200,$G94)&gt;0,
    COUNTIFS($AN$2:$AN$200,$G94)&gt;0,
    COUNTIFS($AO$2:$AO$200,$G94)&gt;0,
    COUNTIFS($AP$2:$AP$200,$G94)&gt;0,
    COUNTIFS($AQ$2:$AQ$200,$G94)&gt;0,
    COUNTIFS($AR$2:$AR$200,$G94)&gt;0,
    COUNTIFS($AS$2:$AS$200,$G94)&gt;0,
    COUNTIFS($AT$2:$AT$200,$G94)&gt;0,
    COUNTIFS($AU$2:$AU$200,$G94)&gt;0,
    COUNTIFS($AV$2:$AV$200,$G94)&gt;0,
    COUNTIFS($AW$2:$AW$200,$G94)&gt;0,
    COUNTIFS($AX$2:$AX$200,$G94)&gt;0
   ),
  0)
 ),
"")</f>
        <v>Rani</v>
      </c>
      <c r="D94" s="3" t="str" cm="1">
        <f t="array" aca="1" ref="D94" ca="1">IFERROR(
 INDEX(
  _xlfn._xlws.FILTER($U$1:$AX$1,
   TRANSPOSE(
    CHOOSE({1;2;3;4;5;6;7;8;9;10;11;12;13;14;15;16;17;18;19;20;21;22;23;24;25;26;27;28;29;30},
     COUNTIFS($U$2:$U$200,$G94)&gt;0,
     COUNTIFS($V$2:$V$200,$G94)&gt;0,
     COUNTIFS($W$2:$W$200,$G94)&gt;0,
     COUNTIFS($X$2:$X$200,$G94)&gt;0,
     COUNTIFS($Y$2:$Y$200,$G94)&gt;0,
     COUNTIFS($Z$2:$Z$200,$G94)&gt;0,
     COUNTIFS($AA$2:$AA$200,$G94)&gt;0,
     COUNTIFS($AB$2:$AB$200,$G94)&gt;0,
     COUNTIFS($AC$2:$AC$200,$G94)&gt;0,
     COUNTIFS($AD$2:$AD$200,$G94)&gt;0,
     COUNTIFS($AE$2:$AE$200,$G94)&gt;0,
     COUNTIFS($AF$2:$AF$200,$G94)&gt;0,
     COUNTIFS($AG$2:$AG$200,$G94)&gt;0,
     COUNTIFS($AH$2:$AH$200,$G94)&gt;0,
     COUNTIFS($AI$2:$AI$200,$G94)&gt;0,
     COUNTIFS($AJ$2:$AJ$200,$G94)&gt;0,
     COUNTIFS($AK$2:$AK$200,$G94)&gt;0,
     COUNTIFS($AL$2:$AL$200,$G94)&gt;0,
     COUNTIFS($AM$2:$AM$200,$G94)&gt;0,
     COUNTIFS($AN$2:$AN$200,$G94)&gt;0,
     COUNTIFS($AO$2:$AO$200,$G94)&gt;0,
     COUNTIFS($AP$2:$AP$200,$G94)&gt;0,
     COUNTIFS($AQ$2:$AQ$200,$G94)&gt;0,
     COUNTIFS($AR$2:$AR$200,$G94)&gt;0,
     COUNTIFS($AS$2:$AS$200,$G94)&gt;0,
     COUNTIFS($AT$2:$AT$200,$G94)&gt;0,
     COUNTIFS($AU$2:$AU$200,$G94)&gt;0,
     COUNTIFS($AV$2:$AV$200,$G94)&gt;0,
     COUNTIFS($AW$2:$AW$200,$G94)&gt;0,
     COUNTIFS($AX$2:$AX$200,$G94)&gt;0
   )),
  ),
  2
 ),
"")</f>
        <v/>
      </c>
      <c r="E94" s="3" t="str" cm="1">
        <f t="array" aca="1" ref="E94" ca="1">IFERROR(
 INDEX(
  _xlfn._xlws.FILTER($U$1:$AX$1,
   TRANSPOSE(
    CHOOSE({1;2;3;4;5;6;7;8;9;10;11;12;13;14;15;16;17;18;19;20;21;22;23;24;25;26;27;28;29;30},
     COUNTIFS($U$2:$U$200,$G94)&gt;0,
     COUNTIFS($V$2:$V$200,$G94)&gt;0,
     COUNTIFS($W$2:$W$200,$G94)&gt;0,
     COUNTIFS($X$2:$X$200,$G94)&gt;0,
     COUNTIFS($Y$2:$Y$200,$G94)&gt;0,
     COUNTIFS($Z$2:$Z$200,$G94)&gt;0,
     COUNTIFS($AA$2:$AA$200,$G94)&gt;0,
     COUNTIFS($AB$2:$AB$200,$G94)&gt;0,
     COUNTIFS($AC$2:$AC$200,$G94)&gt;0,
     COUNTIFS($AD$2:$AD$200,$G94)&gt;0,
     COUNTIFS($AE$2:$AE$200,$G94)&gt;0,
     COUNTIFS($AF$2:$AF$200,$G94)&gt;0,
     COUNTIFS($AG$2:$AG$200,$G94)&gt;0,
     COUNTIFS($AH$2:$AH$200,$G94)&gt;0,
     COUNTIFS($AI$2:$AI$200,$G94)&gt;0,
     COUNTIFS($AJ$2:$AJ$200,$G94)&gt;0,
     COUNTIFS($AK$2:$AK$200,$G94)&gt;0,
     COUNTIFS($AL$2:$AL$200,$G94)&gt;0,
     COUNTIFS($AM$2:$AM$200,$G94)&gt;0,
     COUNTIFS($AN$2:$AN$200,$G94)&gt;0,
     COUNTIFS($AO$2:$AO$200,$G94)&gt;0,
     COUNTIFS($AP$2:$AP$200,$G94)&gt;0,
     COUNTIFS($AQ$2:$AQ$200,$G94)&gt;0,
     COUNTIFS($AR$2:$AR$200,$G94)&gt;0,
     COUNTIFS($AS$2:$AS$200,$G94)&gt;0,
     COUNTIFS($AT$2:$AT$200,$G94)&gt;0,
     COUNTIFS($AU$2:$AU$200,$G94)&gt;0,
     COUNTIFS($AV$2:$AV$200,$G94)&gt;0,
     COUNTIFS($AW$2:$AW$200,$G94)&gt;0,
     COUNTIFS($AX$2:$AX$200,$G94)&gt;0
   )),
  ),
  3
 ),
"")</f>
        <v/>
      </c>
      <c r="F94" s="3" t="str" cm="1">
        <f t="array" aca="1" ref="F94" ca="1">IFERROR(
 INDEX(
  _xlfn._xlws.FILTER($U$1:$AX$1,
   TRANSPOSE(
    CHOOSE({1;2;3;4;5;6;7;8;9;10;11;12;13;14;15;16;17;18;19;20;21;22;23;24;25;26;27;28;29;30},
     COUNTIFS($U$2:$U$200,$G94)&gt;0,
     COUNTIFS($V$2:$V$200,$G94)&gt;0,
     COUNTIFS($W$2:$W$200,$G94)&gt;0,
     COUNTIFS($X$2:$X$200,$G94)&gt;0,
     COUNTIFS($Y$2:$Y$200,$G94)&gt;0,
     COUNTIFS($Z$2:$Z$200,$G94)&gt;0,
     COUNTIFS($AA$2:$AA$200,$G94)&gt;0,
     COUNTIFS($AB$2:$AB$200,$G94)&gt;0,
     COUNTIFS($AC$2:$AC$200,$G94)&gt;0,
     COUNTIFS($AD$2:$AD$200,$G94)&gt;0,
     COUNTIFS($AE$2:$AE$200,$G94)&gt;0,
     COUNTIFS($AF$2:$AF$200,$G94)&gt;0,
     COUNTIFS($AG$2:$AG$200,$G94)&gt;0,
     COUNTIFS($AH$2:$AH$200,$G94)&gt;0,
     COUNTIFS($AI$2:$AI$200,$G94)&gt;0,
     COUNTIFS($AJ$2:$AJ$200,$G94)&gt;0,
     COUNTIFS($AK$2:$AK$200,$G94)&gt;0,
     COUNTIFS($AL$2:$AL$200,$G94)&gt;0,
     COUNTIFS($AM$2:$AM$200,$G94)&gt;0,
     COUNTIFS($AN$2:$AN$200,$G94)&gt;0,
     COUNTIFS($AO$2:$AO$200,$G94)&gt;0,
     COUNTIFS($AP$2:$AP$200,$G94)&gt;0,
     COUNTIFS($AQ$2:$AQ$200,$G94)&gt;0,
     COUNTIFS($AR$2:$AR$200,$G94)&gt;0,
     COUNTIFS($AS$2:$AS$200,$G94)&gt;0,
     COUNTIFS($AT$2:$AT$200,$G94)&gt;0,
     COUNTIFS($AU$2:$AU$200,$G94)&gt;0,
     COUNTIFS($AV$2:$AV$200,$G94)&gt;0,
     COUNTIFS($AW$2:$AW$200,$G94)&gt;0,
     COUNTIFS($AX$2:$AX$200,$G94)&gt;0
   )),
  ),
  4
 ),
"")</f>
        <v/>
      </c>
      <c r="G94" t="str">
        <f ca="1"/>
        <v>Firkraag, Cunning Instigator</v>
      </c>
      <c r="BS94" t="str">
        <f ca="1"/>
        <v>Timestream Navigator</v>
      </c>
      <c r="CB94" t="str">
        <f ca="1"/>
        <v>Prosperous Partnership</v>
      </c>
      <c r="CG94" t="str">
        <f ca="1"/>
        <v>Incubation Druid</v>
      </c>
      <c r="CH94" t="str">
        <f ca="1"/>
        <v>Tireless Provisioner</v>
      </c>
      <c r="CJ94" t="str">
        <f ca="1"/>
        <v>Firkraag, Cunning Instigator</v>
      </c>
    </row>
    <row r="95" spans="1:88" x14ac:dyDescent="0.25">
      <c r="A95" s="3" t="str">
        <f t="shared" ca="1" si="4"/>
        <v>1</v>
      </c>
      <c r="B95" s="3">
        <f t="shared" ca="1" si="5"/>
        <v>1</v>
      </c>
      <c r="C95" s="3" t="str">
        <f ca="1">IFERROR(
 INDEX($U$1:$AX$1,
  MATCH(TRUE,
   CHOOSE({1;2;3;4;5;6;7;8;9;10;11;12;13;14;15;16;17;18;19;20;21;22;23;24;25;26;27;28;29;30;31;32},
    COUNTIFS($U$2:$U$200,$G95)&gt;0,
    COUNTIFS($V$2:$V$200,$G95)&gt;0,
    COUNTIFS($W$2:$W$200,$G95)&gt;0,
    COUNTIFS($X$2:$X$200,$G95)&gt;0,
    COUNTIFS($Y$2:$Y$200,$G95)&gt;0,
    COUNTIFS($Z$2:$Z$200,$G95)&gt;0,
    COUNTIFS($AA$2:$AA$200,$G95)&gt;0,
    COUNTIFS($AB$2:$AB$200,$G95)&gt;0,
    COUNTIFS($AC$2:$AC$200,$G95)&gt;0,
    COUNTIFS($AD$2:$AD$200,$G95)&gt;0,
    COUNTIFS($AE$2:$AE$200,$G95)&gt;0,
    COUNTIFS($AF$2:$AF$200,$G95)&gt;0,
    COUNTIFS($AG$2:$AG$200,$G95)&gt;0,
    COUNTIFS($AH$2:$AH$200,$G95)&gt;0,
    COUNTIFS($AI$2:$AI$200,$G95)&gt;0,
    COUNTIFS($AJ$2:$AJ$200,$G95)&gt;0,
    COUNTIFS($AK$2:$AK$200,$G95)&gt;0,
    COUNTIFS($AL$2:$AL$200,$G95)&gt;0,
    COUNTIFS($AM$2:$AM$200,$G95)&gt;0,
    COUNTIFS($AN$2:$AN$200,$G95)&gt;0,
    COUNTIFS($AO$2:$AO$200,$G95)&gt;0,
    COUNTIFS($AP$2:$AP$200,$G95)&gt;0,
    COUNTIFS($AQ$2:$AQ$200,$G95)&gt;0,
    COUNTIFS($AR$2:$AR$200,$G95)&gt;0,
    COUNTIFS($AS$2:$AS$200,$G95)&gt;0,
    COUNTIFS($AT$2:$AT$200,$G95)&gt;0,
    COUNTIFS($AU$2:$AU$200,$G95)&gt;0,
    COUNTIFS($AV$2:$AV$200,$G95)&gt;0,
    COUNTIFS($AW$2:$AW$200,$G95)&gt;0,
    COUNTIFS($AX$2:$AX$200,$G95)&gt;0
   ),
  0)
 ),
"")</f>
        <v>Tayam</v>
      </c>
      <c r="D95" s="3" t="str" cm="1">
        <f t="array" aca="1" ref="D95" ca="1">IFERROR(
 INDEX(
  _xlfn._xlws.FILTER($U$1:$AX$1,
   TRANSPOSE(
    CHOOSE({1;2;3;4;5;6;7;8;9;10;11;12;13;14;15;16;17;18;19;20;21;22;23;24;25;26;27;28;29;30},
     COUNTIFS($U$2:$U$200,$G95)&gt;0,
     COUNTIFS($V$2:$V$200,$G95)&gt;0,
     COUNTIFS($W$2:$W$200,$G95)&gt;0,
     COUNTIFS($X$2:$X$200,$G95)&gt;0,
     COUNTIFS($Y$2:$Y$200,$G95)&gt;0,
     COUNTIFS($Z$2:$Z$200,$G95)&gt;0,
     COUNTIFS($AA$2:$AA$200,$G95)&gt;0,
     COUNTIFS($AB$2:$AB$200,$G95)&gt;0,
     COUNTIFS($AC$2:$AC$200,$G95)&gt;0,
     COUNTIFS($AD$2:$AD$200,$G95)&gt;0,
     COUNTIFS($AE$2:$AE$200,$G95)&gt;0,
     COUNTIFS($AF$2:$AF$200,$G95)&gt;0,
     COUNTIFS($AG$2:$AG$200,$G95)&gt;0,
     COUNTIFS($AH$2:$AH$200,$G95)&gt;0,
     COUNTIFS($AI$2:$AI$200,$G95)&gt;0,
     COUNTIFS($AJ$2:$AJ$200,$G95)&gt;0,
     COUNTIFS($AK$2:$AK$200,$G95)&gt;0,
     COUNTIFS($AL$2:$AL$200,$G95)&gt;0,
     COUNTIFS($AM$2:$AM$200,$G95)&gt;0,
     COUNTIFS($AN$2:$AN$200,$G95)&gt;0,
     COUNTIFS($AO$2:$AO$200,$G95)&gt;0,
     COUNTIFS($AP$2:$AP$200,$G95)&gt;0,
     COUNTIFS($AQ$2:$AQ$200,$G95)&gt;0,
     COUNTIFS($AR$2:$AR$200,$G95)&gt;0,
     COUNTIFS($AS$2:$AS$200,$G95)&gt;0,
     COUNTIFS($AT$2:$AT$200,$G95)&gt;0,
     COUNTIFS($AU$2:$AU$200,$G95)&gt;0,
     COUNTIFS($AV$2:$AV$200,$G95)&gt;0,
     COUNTIFS($AW$2:$AW$200,$G95)&gt;0,
     COUNTIFS($AX$2:$AX$200,$G95)&gt;0
   )),
  ),
  2
 ),
"")</f>
        <v/>
      </c>
      <c r="E95" s="3" t="str" cm="1">
        <f t="array" aca="1" ref="E95" ca="1">IFERROR(
 INDEX(
  _xlfn._xlws.FILTER($U$1:$AX$1,
   TRANSPOSE(
    CHOOSE({1;2;3;4;5;6;7;8;9;10;11;12;13;14;15;16;17;18;19;20;21;22;23;24;25;26;27;28;29;30},
     COUNTIFS($U$2:$U$200,$G95)&gt;0,
     COUNTIFS($V$2:$V$200,$G95)&gt;0,
     COUNTIFS($W$2:$W$200,$G95)&gt;0,
     COUNTIFS($X$2:$X$200,$G95)&gt;0,
     COUNTIFS($Y$2:$Y$200,$G95)&gt;0,
     COUNTIFS($Z$2:$Z$200,$G95)&gt;0,
     COUNTIFS($AA$2:$AA$200,$G95)&gt;0,
     COUNTIFS($AB$2:$AB$200,$G95)&gt;0,
     COUNTIFS($AC$2:$AC$200,$G95)&gt;0,
     COUNTIFS($AD$2:$AD$200,$G95)&gt;0,
     COUNTIFS($AE$2:$AE$200,$G95)&gt;0,
     COUNTIFS($AF$2:$AF$200,$G95)&gt;0,
     COUNTIFS($AG$2:$AG$200,$G95)&gt;0,
     COUNTIFS($AH$2:$AH$200,$G95)&gt;0,
     COUNTIFS($AI$2:$AI$200,$G95)&gt;0,
     COUNTIFS($AJ$2:$AJ$200,$G95)&gt;0,
     COUNTIFS($AK$2:$AK$200,$G95)&gt;0,
     COUNTIFS($AL$2:$AL$200,$G95)&gt;0,
     COUNTIFS($AM$2:$AM$200,$G95)&gt;0,
     COUNTIFS($AN$2:$AN$200,$G95)&gt;0,
     COUNTIFS($AO$2:$AO$200,$G95)&gt;0,
     COUNTIFS($AP$2:$AP$200,$G95)&gt;0,
     COUNTIFS($AQ$2:$AQ$200,$G95)&gt;0,
     COUNTIFS($AR$2:$AR$200,$G95)&gt;0,
     COUNTIFS($AS$2:$AS$200,$G95)&gt;0,
     COUNTIFS($AT$2:$AT$200,$G95)&gt;0,
     COUNTIFS($AU$2:$AU$200,$G95)&gt;0,
     COUNTIFS($AV$2:$AV$200,$G95)&gt;0,
     COUNTIFS($AW$2:$AW$200,$G95)&gt;0,
     COUNTIFS($AX$2:$AX$200,$G95)&gt;0
   )),
  ),
  3
 ),
"")</f>
        <v/>
      </c>
      <c r="F95" s="3" t="str" cm="1">
        <f t="array" aca="1" ref="F95" ca="1">IFERROR(
 INDEX(
  _xlfn._xlws.FILTER($U$1:$AX$1,
   TRANSPOSE(
    CHOOSE({1;2;3;4;5;6;7;8;9;10;11;12;13;14;15;16;17;18;19;20;21;22;23;24;25;26;27;28;29;30},
     COUNTIFS($U$2:$U$200,$G95)&gt;0,
     COUNTIFS($V$2:$V$200,$G95)&gt;0,
     COUNTIFS($W$2:$W$200,$G95)&gt;0,
     COUNTIFS($X$2:$X$200,$G95)&gt;0,
     COUNTIFS($Y$2:$Y$200,$G95)&gt;0,
     COUNTIFS($Z$2:$Z$200,$G95)&gt;0,
     COUNTIFS($AA$2:$AA$200,$G95)&gt;0,
     COUNTIFS($AB$2:$AB$200,$G95)&gt;0,
     COUNTIFS($AC$2:$AC$200,$G95)&gt;0,
     COUNTIFS($AD$2:$AD$200,$G95)&gt;0,
     COUNTIFS($AE$2:$AE$200,$G95)&gt;0,
     COUNTIFS($AF$2:$AF$200,$G95)&gt;0,
     COUNTIFS($AG$2:$AG$200,$G95)&gt;0,
     COUNTIFS($AH$2:$AH$200,$G95)&gt;0,
     COUNTIFS($AI$2:$AI$200,$G95)&gt;0,
     COUNTIFS($AJ$2:$AJ$200,$G95)&gt;0,
     COUNTIFS($AK$2:$AK$200,$G95)&gt;0,
     COUNTIFS($AL$2:$AL$200,$G95)&gt;0,
     COUNTIFS($AM$2:$AM$200,$G95)&gt;0,
     COUNTIFS($AN$2:$AN$200,$G95)&gt;0,
     COUNTIFS($AO$2:$AO$200,$G95)&gt;0,
     COUNTIFS($AP$2:$AP$200,$G95)&gt;0,
     COUNTIFS($AQ$2:$AQ$200,$G95)&gt;0,
     COUNTIFS($AR$2:$AR$200,$G95)&gt;0,
     COUNTIFS($AS$2:$AS$200,$G95)&gt;0,
     COUNTIFS($AT$2:$AT$200,$G95)&gt;0,
     COUNTIFS($AU$2:$AU$200,$G95)&gt;0,
     COUNTIFS($AV$2:$AV$200,$G95)&gt;0,
     COUNTIFS($AW$2:$AW$200,$G95)&gt;0,
     COUNTIFS($AX$2:$AX$200,$G95)&gt;0
   )),
  ),
  4
 ),
"")</f>
        <v/>
      </c>
      <c r="G95" t="str">
        <f ca="1"/>
        <v>Forest</v>
      </c>
      <c r="BS95" t="str">
        <f ca="1"/>
        <v>Training Center</v>
      </c>
      <c r="CB95" t="str">
        <f ca="1"/>
        <v>Protection Magic</v>
      </c>
      <c r="CG95" t="str">
        <f ca="1"/>
        <v>Inventors' Fair</v>
      </c>
      <c r="CH95" t="str">
        <f ca="1"/>
        <v>Toph, the Blind Bandit</v>
      </c>
      <c r="CJ95" t="str">
        <f ca="1"/>
        <v>Forest</v>
      </c>
    </row>
    <row r="96" spans="1:88" x14ac:dyDescent="0.25">
      <c r="A96" s="3" t="str">
        <f t="shared" ca="1" si="4"/>
        <v>2</v>
      </c>
      <c r="B96" s="3">
        <f t="shared" ca="1" si="5"/>
        <v>1</v>
      </c>
      <c r="C96" s="3" t="str">
        <f ca="1">IFERROR(
 INDEX($U$1:$AX$1,
  MATCH(TRUE,
   CHOOSE({1;2;3;4;5;6;7;8;9;10;11;12;13;14;15;16;17;18;19;20;21;22;23;24;25;26;27;28;29;30;31;32},
    COUNTIFS($U$2:$U$200,$G96)&gt;0,
    COUNTIFS($V$2:$V$200,$G96)&gt;0,
    COUNTIFS($W$2:$W$200,$G96)&gt;0,
    COUNTIFS($X$2:$X$200,$G96)&gt;0,
    COUNTIFS($Y$2:$Y$200,$G96)&gt;0,
    COUNTIFS($Z$2:$Z$200,$G96)&gt;0,
    COUNTIFS($AA$2:$AA$200,$G96)&gt;0,
    COUNTIFS($AB$2:$AB$200,$G96)&gt;0,
    COUNTIFS($AC$2:$AC$200,$G96)&gt;0,
    COUNTIFS($AD$2:$AD$200,$G96)&gt;0,
    COUNTIFS($AE$2:$AE$200,$G96)&gt;0,
    COUNTIFS($AF$2:$AF$200,$G96)&gt;0,
    COUNTIFS($AG$2:$AG$200,$G96)&gt;0,
    COUNTIFS($AH$2:$AH$200,$G96)&gt;0,
    COUNTIFS($AI$2:$AI$200,$G96)&gt;0,
    COUNTIFS($AJ$2:$AJ$200,$G96)&gt;0,
    COUNTIFS($AK$2:$AK$200,$G96)&gt;0,
    COUNTIFS($AL$2:$AL$200,$G96)&gt;0,
    COUNTIFS($AM$2:$AM$200,$G96)&gt;0,
    COUNTIFS($AN$2:$AN$200,$G96)&gt;0,
    COUNTIFS($AO$2:$AO$200,$G96)&gt;0,
    COUNTIFS($AP$2:$AP$200,$G96)&gt;0,
    COUNTIFS($AQ$2:$AQ$200,$G96)&gt;0,
    COUNTIFS($AR$2:$AR$200,$G96)&gt;0,
    COUNTIFS($AS$2:$AS$200,$G96)&gt;0,
    COUNTIFS($AT$2:$AT$200,$G96)&gt;0,
    COUNTIFS($AU$2:$AU$200,$G96)&gt;0,
    COUNTIFS($AV$2:$AV$200,$G96)&gt;0,
    COUNTIFS($AW$2:$AW$200,$G96)&gt;0,
    COUNTIFS($AX$2:$AX$200,$G96)&gt;0
   ),
  0)
 ),
"")</f>
        <v>Rani</v>
      </c>
      <c r="D96" s="3" t="str" cm="1">
        <f t="array" aca="1" ref="D96" ca="1">IFERROR(
 INDEX(
  _xlfn._xlws.FILTER($U$1:$AX$1,
   TRANSPOSE(
    CHOOSE({1;2;3;4;5;6;7;8;9;10;11;12;13;14;15;16;17;18;19;20;21;22;23;24;25;26;27;28;29;30},
     COUNTIFS($U$2:$U$200,$G96)&gt;0,
     COUNTIFS($V$2:$V$200,$G96)&gt;0,
     COUNTIFS($W$2:$W$200,$G96)&gt;0,
     COUNTIFS($X$2:$X$200,$G96)&gt;0,
     COUNTIFS($Y$2:$Y$200,$G96)&gt;0,
     COUNTIFS($Z$2:$Z$200,$G96)&gt;0,
     COUNTIFS($AA$2:$AA$200,$G96)&gt;0,
     COUNTIFS($AB$2:$AB$200,$G96)&gt;0,
     COUNTIFS($AC$2:$AC$200,$G96)&gt;0,
     COUNTIFS($AD$2:$AD$200,$G96)&gt;0,
     COUNTIFS($AE$2:$AE$200,$G96)&gt;0,
     COUNTIFS($AF$2:$AF$200,$G96)&gt;0,
     COUNTIFS($AG$2:$AG$200,$G96)&gt;0,
     COUNTIFS($AH$2:$AH$200,$G96)&gt;0,
     COUNTIFS($AI$2:$AI$200,$G96)&gt;0,
     COUNTIFS($AJ$2:$AJ$200,$G96)&gt;0,
     COUNTIFS($AK$2:$AK$200,$G96)&gt;0,
     COUNTIFS($AL$2:$AL$200,$G96)&gt;0,
     COUNTIFS($AM$2:$AM$200,$G96)&gt;0,
     COUNTIFS($AN$2:$AN$200,$G96)&gt;0,
     COUNTIFS($AO$2:$AO$200,$G96)&gt;0,
     COUNTIFS($AP$2:$AP$200,$G96)&gt;0,
     COUNTIFS($AQ$2:$AQ$200,$G96)&gt;0,
     COUNTIFS($AR$2:$AR$200,$G96)&gt;0,
     COUNTIFS($AS$2:$AS$200,$G96)&gt;0,
     COUNTIFS($AT$2:$AT$200,$G96)&gt;0,
     COUNTIFS($AU$2:$AU$200,$G96)&gt;0,
     COUNTIFS($AV$2:$AV$200,$G96)&gt;0,
     COUNTIFS($AW$2:$AW$200,$G96)&gt;0,
     COUNTIFS($AX$2:$AX$200,$G96)&gt;0
   )),
  ),
  2
 ),
"")</f>
        <v/>
      </c>
      <c r="E96" s="3" t="str" cm="1">
        <f t="array" aca="1" ref="E96" ca="1">IFERROR(
 INDEX(
  _xlfn._xlws.FILTER($U$1:$AX$1,
   TRANSPOSE(
    CHOOSE({1;2;3;4;5;6;7;8;9;10;11;12;13;14;15;16;17;18;19;20;21;22;23;24;25;26;27;28;29;30},
     COUNTIFS($U$2:$U$200,$G96)&gt;0,
     COUNTIFS($V$2:$V$200,$G96)&gt;0,
     COUNTIFS($W$2:$W$200,$G96)&gt;0,
     COUNTIFS($X$2:$X$200,$G96)&gt;0,
     COUNTIFS($Y$2:$Y$200,$G96)&gt;0,
     COUNTIFS($Z$2:$Z$200,$G96)&gt;0,
     COUNTIFS($AA$2:$AA$200,$G96)&gt;0,
     COUNTIFS($AB$2:$AB$200,$G96)&gt;0,
     COUNTIFS($AC$2:$AC$200,$G96)&gt;0,
     COUNTIFS($AD$2:$AD$200,$G96)&gt;0,
     COUNTIFS($AE$2:$AE$200,$G96)&gt;0,
     COUNTIFS($AF$2:$AF$200,$G96)&gt;0,
     COUNTIFS($AG$2:$AG$200,$G96)&gt;0,
     COUNTIFS($AH$2:$AH$200,$G96)&gt;0,
     COUNTIFS($AI$2:$AI$200,$G96)&gt;0,
     COUNTIFS($AJ$2:$AJ$200,$G96)&gt;0,
     COUNTIFS($AK$2:$AK$200,$G96)&gt;0,
     COUNTIFS($AL$2:$AL$200,$G96)&gt;0,
     COUNTIFS($AM$2:$AM$200,$G96)&gt;0,
     COUNTIFS($AN$2:$AN$200,$G96)&gt;0,
     COUNTIFS($AO$2:$AO$200,$G96)&gt;0,
     COUNTIFS($AP$2:$AP$200,$G96)&gt;0,
     COUNTIFS($AQ$2:$AQ$200,$G96)&gt;0,
     COUNTIFS($AR$2:$AR$200,$G96)&gt;0,
     COUNTIFS($AS$2:$AS$200,$G96)&gt;0,
     COUNTIFS($AT$2:$AT$200,$G96)&gt;0,
     COUNTIFS($AU$2:$AU$200,$G96)&gt;0,
     COUNTIFS($AV$2:$AV$200,$G96)&gt;0,
     COUNTIFS($AW$2:$AW$200,$G96)&gt;0,
     COUNTIFS($AX$2:$AX$200,$G96)&gt;0
   )),
  ),
  3
 ),
"")</f>
        <v/>
      </c>
      <c r="F96" s="3" t="str" cm="1">
        <f t="array" aca="1" ref="F96" ca="1">IFERROR(
 INDEX(
  _xlfn._xlws.FILTER($U$1:$AX$1,
   TRANSPOSE(
    CHOOSE({1;2;3;4;5;6;7;8;9;10;11;12;13;14;15;16;17;18;19;20;21;22;23;24;25;26;27;28;29;30},
     COUNTIFS($U$2:$U$200,$G96)&gt;0,
     COUNTIFS($V$2:$V$200,$G96)&gt;0,
     COUNTIFS($W$2:$W$200,$G96)&gt;0,
     COUNTIFS($X$2:$X$200,$G96)&gt;0,
     COUNTIFS($Y$2:$Y$200,$G96)&gt;0,
     COUNTIFS($Z$2:$Z$200,$G96)&gt;0,
     COUNTIFS($AA$2:$AA$200,$G96)&gt;0,
     COUNTIFS($AB$2:$AB$200,$G96)&gt;0,
     COUNTIFS($AC$2:$AC$200,$G96)&gt;0,
     COUNTIFS($AD$2:$AD$200,$G96)&gt;0,
     COUNTIFS($AE$2:$AE$200,$G96)&gt;0,
     COUNTIFS($AF$2:$AF$200,$G96)&gt;0,
     COUNTIFS($AG$2:$AG$200,$G96)&gt;0,
     COUNTIFS($AH$2:$AH$200,$G96)&gt;0,
     COUNTIFS($AI$2:$AI$200,$G96)&gt;0,
     COUNTIFS($AJ$2:$AJ$200,$G96)&gt;0,
     COUNTIFS($AK$2:$AK$200,$G96)&gt;0,
     COUNTIFS($AL$2:$AL$200,$G96)&gt;0,
     COUNTIFS($AM$2:$AM$200,$G96)&gt;0,
     COUNTIFS($AN$2:$AN$200,$G96)&gt;0,
     COUNTIFS($AO$2:$AO$200,$G96)&gt;0,
     COUNTIFS($AP$2:$AP$200,$G96)&gt;0,
     COUNTIFS($AQ$2:$AQ$200,$G96)&gt;0,
     COUNTIFS($AR$2:$AR$200,$G96)&gt;0,
     COUNTIFS($AS$2:$AS$200,$G96)&gt;0,
     COUNTIFS($AT$2:$AT$200,$G96)&gt;0,
     COUNTIFS($AU$2:$AU$200,$G96)&gt;0,
     COUNTIFS($AV$2:$AV$200,$G96)&gt;0,
     COUNTIFS($AW$2:$AW$200,$G96)&gt;0,
     COUNTIFS($AX$2:$AX$200,$G96)&gt;0
   )),
  ),
  4
 ),
"")</f>
        <v/>
      </c>
      <c r="G96" t="str">
        <f ca="1"/>
        <v>Frenzied Gorespawn</v>
      </c>
      <c r="BS96" t="str">
        <f ca="1"/>
        <v>Treasure Vault</v>
      </c>
      <c r="CB96" t="str">
        <f ca="1"/>
        <v>Psychic Corrosion</v>
      </c>
      <c r="CG96" t="str">
        <f ca="1"/>
        <v>Irenicus's Vile Duplication</v>
      </c>
      <c r="CH96" t="str">
        <f ca="1"/>
        <v>Toph, the First Metalbender</v>
      </c>
      <c r="CJ96" t="str">
        <f ca="1"/>
        <v>Frenzied Gorespawn</v>
      </c>
    </row>
    <row r="97" spans="1:88" x14ac:dyDescent="0.25">
      <c r="A97" s="3" t="str">
        <f t="shared" ca="1" si="4"/>
        <v>3</v>
      </c>
      <c r="B97" s="3">
        <f t="shared" ca="1" si="5"/>
        <v>1</v>
      </c>
      <c r="C97" s="3" t="str">
        <f ca="1">IFERROR(
 INDEX($U$1:$AX$1,
  MATCH(TRUE,
   CHOOSE({1;2;3;4;5;6;7;8;9;10;11;12;13;14;15;16;17;18;19;20;21;22;23;24;25;26;27;28;29;30;31;32},
    COUNTIFS($U$2:$U$200,$G97)&gt;0,
    COUNTIFS($V$2:$V$200,$G97)&gt;0,
    COUNTIFS($W$2:$W$200,$G97)&gt;0,
    COUNTIFS($X$2:$X$200,$G97)&gt;0,
    COUNTIFS($Y$2:$Y$200,$G97)&gt;0,
    COUNTIFS($Z$2:$Z$200,$G97)&gt;0,
    COUNTIFS($AA$2:$AA$200,$G97)&gt;0,
    COUNTIFS($AB$2:$AB$200,$G97)&gt;0,
    COUNTIFS($AC$2:$AC$200,$G97)&gt;0,
    COUNTIFS($AD$2:$AD$200,$G97)&gt;0,
    COUNTIFS($AE$2:$AE$200,$G97)&gt;0,
    COUNTIFS($AF$2:$AF$200,$G97)&gt;0,
    COUNTIFS($AG$2:$AG$200,$G97)&gt;0,
    COUNTIFS($AH$2:$AH$200,$G97)&gt;0,
    COUNTIFS($AI$2:$AI$200,$G97)&gt;0,
    COUNTIFS($AJ$2:$AJ$200,$G97)&gt;0,
    COUNTIFS($AK$2:$AK$200,$G97)&gt;0,
    COUNTIFS($AL$2:$AL$200,$G97)&gt;0,
    COUNTIFS($AM$2:$AM$200,$G97)&gt;0,
    COUNTIFS($AN$2:$AN$200,$G97)&gt;0,
    COUNTIFS($AO$2:$AO$200,$G97)&gt;0,
    COUNTIFS($AP$2:$AP$200,$G97)&gt;0,
    COUNTIFS($AQ$2:$AQ$200,$G97)&gt;0,
    COUNTIFS($AR$2:$AR$200,$G97)&gt;0,
    COUNTIFS($AS$2:$AS$200,$G97)&gt;0,
    COUNTIFS($AT$2:$AT$200,$G97)&gt;0,
    COUNTIFS($AU$2:$AU$200,$G97)&gt;0,
    COUNTIFS($AV$2:$AV$200,$G97)&gt;0,
    COUNTIFS($AW$2:$AW$200,$G97)&gt;0,
    COUNTIFS($AX$2:$AX$200,$G97)&gt;0
   ),
  0)
 ),
"")</f>
        <v>Sisay</v>
      </c>
      <c r="D97" s="3" t="str" cm="1">
        <f t="array" aca="1" ref="D97" ca="1">IFERROR(
 INDEX(
  _xlfn._xlws.FILTER($U$1:$AX$1,
   TRANSPOSE(
    CHOOSE({1;2;3;4;5;6;7;8;9;10;11;12;13;14;15;16;17;18;19;20;21;22;23;24;25;26;27;28;29;30},
     COUNTIFS($U$2:$U$200,$G97)&gt;0,
     COUNTIFS($V$2:$V$200,$G97)&gt;0,
     COUNTIFS($W$2:$W$200,$G97)&gt;0,
     COUNTIFS($X$2:$X$200,$G97)&gt;0,
     COUNTIFS($Y$2:$Y$200,$G97)&gt;0,
     COUNTIFS($Z$2:$Z$200,$G97)&gt;0,
     COUNTIFS($AA$2:$AA$200,$G97)&gt;0,
     COUNTIFS($AB$2:$AB$200,$G97)&gt;0,
     COUNTIFS($AC$2:$AC$200,$G97)&gt;0,
     COUNTIFS($AD$2:$AD$200,$G97)&gt;0,
     COUNTIFS($AE$2:$AE$200,$G97)&gt;0,
     COUNTIFS($AF$2:$AF$200,$G97)&gt;0,
     COUNTIFS($AG$2:$AG$200,$G97)&gt;0,
     COUNTIFS($AH$2:$AH$200,$G97)&gt;0,
     COUNTIFS($AI$2:$AI$200,$G97)&gt;0,
     COUNTIFS($AJ$2:$AJ$200,$G97)&gt;0,
     COUNTIFS($AK$2:$AK$200,$G97)&gt;0,
     COUNTIFS($AL$2:$AL$200,$G97)&gt;0,
     COUNTIFS($AM$2:$AM$200,$G97)&gt;0,
     COUNTIFS($AN$2:$AN$200,$G97)&gt;0,
     COUNTIFS($AO$2:$AO$200,$G97)&gt;0,
     COUNTIFS($AP$2:$AP$200,$G97)&gt;0,
     COUNTIFS($AQ$2:$AQ$200,$G97)&gt;0,
     COUNTIFS($AR$2:$AR$200,$G97)&gt;0,
     COUNTIFS($AS$2:$AS$200,$G97)&gt;0,
     COUNTIFS($AT$2:$AT$200,$G97)&gt;0,
     COUNTIFS($AU$2:$AU$200,$G97)&gt;0,
     COUNTIFS($AV$2:$AV$200,$G97)&gt;0,
     COUNTIFS($AW$2:$AW$200,$G97)&gt;0,
     COUNTIFS($AX$2:$AX$200,$G97)&gt;0
   )),
  ),
  2
 ),
"")</f>
        <v/>
      </c>
      <c r="E97" s="3" t="str" cm="1">
        <f t="array" aca="1" ref="E97" ca="1">IFERROR(
 INDEX(
  _xlfn._xlws.FILTER($U$1:$AX$1,
   TRANSPOSE(
    CHOOSE({1;2;3;4;5;6;7;8;9;10;11;12;13;14;15;16;17;18;19;20;21;22;23;24;25;26;27;28;29;30},
     COUNTIFS($U$2:$U$200,$G97)&gt;0,
     COUNTIFS($V$2:$V$200,$G97)&gt;0,
     COUNTIFS($W$2:$W$200,$G97)&gt;0,
     COUNTIFS($X$2:$X$200,$G97)&gt;0,
     COUNTIFS($Y$2:$Y$200,$G97)&gt;0,
     COUNTIFS($Z$2:$Z$200,$G97)&gt;0,
     COUNTIFS($AA$2:$AA$200,$G97)&gt;0,
     COUNTIFS($AB$2:$AB$200,$G97)&gt;0,
     COUNTIFS($AC$2:$AC$200,$G97)&gt;0,
     COUNTIFS($AD$2:$AD$200,$G97)&gt;0,
     COUNTIFS($AE$2:$AE$200,$G97)&gt;0,
     COUNTIFS($AF$2:$AF$200,$G97)&gt;0,
     COUNTIFS($AG$2:$AG$200,$G97)&gt;0,
     COUNTIFS($AH$2:$AH$200,$G97)&gt;0,
     COUNTIFS($AI$2:$AI$200,$G97)&gt;0,
     COUNTIFS($AJ$2:$AJ$200,$G97)&gt;0,
     COUNTIFS($AK$2:$AK$200,$G97)&gt;0,
     COUNTIFS($AL$2:$AL$200,$G97)&gt;0,
     COUNTIFS($AM$2:$AM$200,$G97)&gt;0,
     COUNTIFS($AN$2:$AN$200,$G97)&gt;0,
     COUNTIFS($AO$2:$AO$200,$G97)&gt;0,
     COUNTIFS($AP$2:$AP$200,$G97)&gt;0,
     COUNTIFS($AQ$2:$AQ$200,$G97)&gt;0,
     COUNTIFS($AR$2:$AR$200,$G97)&gt;0,
     COUNTIFS($AS$2:$AS$200,$G97)&gt;0,
     COUNTIFS($AT$2:$AT$200,$G97)&gt;0,
     COUNTIFS($AU$2:$AU$200,$G97)&gt;0,
     COUNTIFS($AV$2:$AV$200,$G97)&gt;0,
     COUNTIFS($AW$2:$AW$200,$G97)&gt;0,
     COUNTIFS($AX$2:$AX$200,$G97)&gt;0
   )),
  ),
  3
 ),
"")</f>
        <v/>
      </c>
      <c r="F97" s="3" t="str" cm="1">
        <f t="array" aca="1" ref="F97" ca="1">IFERROR(
 INDEX(
  _xlfn._xlws.FILTER($U$1:$AX$1,
   TRANSPOSE(
    CHOOSE({1;2;3;4;5;6;7;8;9;10;11;12;13;14;15;16;17;18;19;20;21;22;23;24;25;26;27;28;29;30},
     COUNTIFS($U$2:$U$200,$G97)&gt;0,
     COUNTIFS($V$2:$V$200,$G97)&gt;0,
     COUNTIFS($W$2:$W$200,$G97)&gt;0,
     COUNTIFS($X$2:$X$200,$G97)&gt;0,
     COUNTIFS($Y$2:$Y$200,$G97)&gt;0,
     COUNTIFS($Z$2:$Z$200,$G97)&gt;0,
     COUNTIFS($AA$2:$AA$200,$G97)&gt;0,
     COUNTIFS($AB$2:$AB$200,$G97)&gt;0,
     COUNTIFS($AC$2:$AC$200,$G97)&gt;0,
     COUNTIFS($AD$2:$AD$200,$G97)&gt;0,
     COUNTIFS($AE$2:$AE$200,$G97)&gt;0,
     COUNTIFS($AF$2:$AF$200,$G97)&gt;0,
     COUNTIFS($AG$2:$AG$200,$G97)&gt;0,
     COUNTIFS($AH$2:$AH$200,$G97)&gt;0,
     COUNTIFS($AI$2:$AI$200,$G97)&gt;0,
     COUNTIFS($AJ$2:$AJ$200,$G97)&gt;0,
     COUNTIFS($AK$2:$AK$200,$G97)&gt;0,
     COUNTIFS($AL$2:$AL$200,$G97)&gt;0,
     COUNTIFS($AM$2:$AM$200,$G97)&gt;0,
     COUNTIFS($AN$2:$AN$200,$G97)&gt;0,
     COUNTIFS($AO$2:$AO$200,$G97)&gt;0,
     COUNTIFS($AP$2:$AP$200,$G97)&gt;0,
     COUNTIFS($AQ$2:$AQ$200,$G97)&gt;0,
     COUNTIFS($AR$2:$AR$200,$G97)&gt;0,
     COUNTIFS($AS$2:$AS$200,$G97)&gt;0,
     COUNTIFS($AT$2:$AT$200,$G97)&gt;0,
     COUNTIFS($AU$2:$AU$200,$G97)&gt;0,
     COUNTIFS($AV$2:$AV$200,$G97)&gt;0,
     COUNTIFS($AW$2:$AW$200,$G97)&gt;0,
     COUNTIFS($AX$2:$AX$200,$G97)&gt;0
   )),
  ),
  4
 ),
"")</f>
        <v/>
      </c>
      <c r="G97" t="str">
        <f ca="1"/>
        <v>Freyalise, Llanowar's Fury</v>
      </c>
      <c r="BS97" t="str">
        <f ca="1"/>
        <v>Tromell, Seymour's Butler</v>
      </c>
      <c r="CB97" t="str">
        <f ca="1"/>
        <v>Purphoros, God of the Forge</v>
      </c>
      <c r="CG97" t="str">
        <f ca="1"/>
        <v>Jacked Rabbit</v>
      </c>
      <c r="CH97" t="str">
        <f ca="1"/>
        <v>Tree of Tales</v>
      </c>
      <c r="CJ97" t="str">
        <f ca="1"/>
        <v>Freyalise, Llanowar's Fury</v>
      </c>
    </row>
    <row r="98" spans="1:88" x14ac:dyDescent="0.25">
      <c r="A98" s="3" t="str">
        <f t="shared" ca="1" si="4"/>
        <v>2</v>
      </c>
      <c r="B98" s="3">
        <f t="shared" ca="1" si="5"/>
        <v>1</v>
      </c>
      <c r="C98" s="3" t="str">
        <f ca="1">IFERROR(
 INDEX($U$1:$AX$1,
  MATCH(TRUE,
   CHOOSE({1;2;3;4;5;6;7;8;9;10;11;12;13;14;15;16;17;18;19;20;21;22;23;24;25;26;27;28;29;30;31;32},
    COUNTIFS($U$2:$U$200,$G98)&gt;0,
    COUNTIFS($V$2:$V$200,$G98)&gt;0,
    COUNTIFS($W$2:$W$200,$G98)&gt;0,
    COUNTIFS($X$2:$X$200,$G98)&gt;0,
    COUNTIFS($Y$2:$Y$200,$G98)&gt;0,
    COUNTIFS($Z$2:$Z$200,$G98)&gt;0,
    COUNTIFS($AA$2:$AA$200,$G98)&gt;0,
    COUNTIFS($AB$2:$AB$200,$G98)&gt;0,
    COUNTIFS($AC$2:$AC$200,$G98)&gt;0,
    COUNTIFS($AD$2:$AD$200,$G98)&gt;0,
    COUNTIFS($AE$2:$AE$200,$G98)&gt;0,
    COUNTIFS($AF$2:$AF$200,$G98)&gt;0,
    COUNTIFS($AG$2:$AG$200,$G98)&gt;0,
    COUNTIFS($AH$2:$AH$200,$G98)&gt;0,
    COUNTIFS($AI$2:$AI$200,$G98)&gt;0,
    COUNTIFS($AJ$2:$AJ$200,$G98)&gt;0,
    COUNTIFS($AK$2:$AK$200,$G98)&gt;0,
    COUNTIFS($AL$2:$AL$200,$G98)&gt;0,
    COUNTIFS($AM$2:$AM$200,$G98)&gt;0,
    COUNTIFS($AN$2:$AN$200,$G98)&gt;0,
    COUNTIFS($AO$2:$AO$200,$G98)&gt;0,
    COUNTIFS($AP$2:$AP$200,$G98)&gt;0,
    COUNTIFS($AQ$2:$AQ$200,$G98)&gt;0,
    COUNTIFS($AR$2:$AR$200,$G98)&gt;0,
    COUNTIFS($AS$2:$AS$200,$G98)&gt;0,
    COUNTIFS($AT$2:$AT$200,$G98)&gt;0,
    COUNTIFS($AU$2:$AU$200,$G98)&gt;0,
    COUNTIFS($AV$2:$AV$200,$G98)&gt;0,
    COUNTIFS($AW$2:$AW$200,$G98)&gt;0,
    COUNTIFS($AX$2:$AX$200,$G98)&gt;0
   ),
  0)
 ),
"")</f>
        <v>Narset</v>
      </c>
      <c r="D98" s="3" t="str" cm="1">
        <f t="array" aca="1" ref="D98" ca="1">IFERROR(
 INDEX(
  _xlfn._xlws.FILTER($U$1:$AX$1,
   TRANSPOSE(
    CHOOSE({1;2;3;4;5;6;7;8;9;10;11;12;13;14;15;16;17;18;19;20;21;22;23;24;25;26;27;28;29;30},
     COUNTIFS($U$2:$U$200,$G98)&gt;0,
     COUNTIFS($V$2:$V$200,$G98)&gt;0,
     COUNTIFS($W$2:$W$200,$G98)&gt;0,
     COUNTIFS($X$2:$X$200,$G98)&gt;0,
     COUNTIFS($Y$2:$Y$200,$G98)&gt;0,
     COUNTIFS($Z$2:$Z$200,$G98)&gt;0,
     COUNTIFS($AA$2:$AA$200,$G98)&gt;0,
     COUNTIFS($AB$2:$AB$200,$G98)&gt;0,
     COUNTIFS($AC$2:$AC$200,$G98)&gt;0,
     COUNTIFS($AD$2:$AD$200,$G98)&gt;0,
     COUNTIFS($AE$2:$AE$200,$G98)&gt;0,
     COUNTIFS($AF$2:$AF$200,$G98)&gt;0,
     COUNTIFS($AG$2:$AG$200,$G98)&gt;0,
     COUNTIFS($AH$2:$AH$200,$G98)&gt;0,
     COUNTIFS($AI$2:$AI$200,$G98)&gt;0,
     COUNTIFS($AJ$2:$AJ$200,$G98)&gt;0,
     COUNTIFS($AK$2:$AK$200,$G98)&gt;0,
     COUNTIFS($AL$2:$AL$200,$G98)&gt;0,
     COUNTIFS($AM$2:$AM$200,$G98)&gt;0,
     COUNTIFS($AN$2:$AN$200,$G98)&gt;0,
     COUNTIFS($AO$2:$AO$200,$G98)&gt;0,
     COUNTIFS($AP$2:$AP$200,$G98)&gt;0,
     COUNTIFS($AQ$2:$AQ$200,$G98)&gt;0,
     COUNTIFS($AR$2:$AR$200,$G98)&gt;0,
     COUNTIFS($AS$2:$AS$200,$G98)&gt;0,
     COUNTIFS($AT$2:$AT$200,$G98)&gt;0,
     COUNTIFS($AU$2:$AU$200,$G98)&gt;0,
     COUNTIFS($AV$2:$AV$200,$G98)&gt;0,
     COUNTIFS($AW$2:$AW$200,$G98)&gt;0,
     COUNTIFS($AX$2:$AX$200,$G98)&gt;0
   )),
  ),
  2
 ),
"")</f>
        <v/>
      </c>
      <c r="E98" s="3" t="str" cm="1">
        <f t="array" aca="1" ref="E98" ca="1">IFERROR(
 INDEX(
  _xlfn._xlws.FILTER($U$1:$AX$1,
   TRANSPOSE(
    CHOOSE({1;2;3;4;5;6;7;8;9;10;11;12;13;14;15;16;17;18;19;20;21;22;23;24;25;26;27;28;29;30},
     COUNTIFS($U$2:$U$200,$G98)&gt;0,
     COUNTIFS($V$2:$V$200,$G98)&gt;0,
     COUNTIFS($W$2:$W$200,$G98)&gt;0,
     COUNTIFS($X$2:$X$200,$G98)&gt;0,
     COUNTIFS($Y$2:$Y$200,$G98)&gt;0,
     COUNTIFS($Z$2:$Z$200,$G98)&gt;0,
     COUNTIFS($AA$2:$AA$200,$G98)&gt;0,
     COUNTIFS($AB$2:$AB$200,$G98)&gt;0,
     COUNTIFS($AC$2:$AC$200,$G98)&gt;0,
     COUNTIFS($AD$2:$AD$200,$G98)&gt;0,
     COUNTIFS($AE$2:$AE$200,$G98)&gt;0,
     COUNTIFS($AF$2:$AF$200,$G98)&gt;0,
     COUNTIFS($AG$2:$AG$200,$G98)&gt;0,
     COUNTIFS($AH$2:$AH$200,$G98)&gt;0,
     COUNTIFS($AI$2:$AI$200,$G98)&gt;0,
     COUNTIFS($AJ$2:$AJ$200,$G98)&gt;0,
     COUNTIFS($AK$2:$AK$200,$G98)&gt;0,
     COUNTIFS($AL$2:$AL$200,$G98)&gt;0,
     COUNTIFS($AM$2:$AM$200,$G98)&gt;0,
     COUNTIFS($AN$2:$AN$200,$G98)&gt;0,
     COUNTIFS($AO$2:$AO$200,$G98)&gt;0,
     COUNTIFS($AP$2:$AP$200,$G98)&gt;0,
     COUNTIFS($AQ$2:$AQ$200,$G98)&gt;0,
     COUNTIFS($AR$2:$AR$200,$G98)&gt;0,
     COUNTIFS($AS$2:$AS$200,$G98)&gt;0,
     COUNTIFS($AT$2:$AT$200,$G98)&gt;0,
     COUNTIFS($AU$2:$AU$200,$G98)&gt;0,
     COUNTIFS($AV$2:$AV$200,$G98)&gt;0,
     COUNTIFS($AW$2:$AW$200,$G98)&gt;0,
     COUNTIFS($AX$2:$AX$200,$G98)&gt;0
   )),
  ),
  3
 ),
"")</f>
        <v/>
      </c>
      <c r="F98" s="3" t="str" cm="1">
        <f t="array" aca="1" ref="F98" ca="1">IFERROR(
 INDEX(
  _xlfn._xlws.FILTER($U$1:$AX$1,
   TRANSPOSE(
    CHOOSE({1;2;3;4;5;6;7;8;9;10;11;12;13;14;15;16;17;18;19;20;21;22;23;24;25;26;27;28;29;30},
     COUNTIFS($U$2:$U$200,$G98)&gt;0,
     COUNTIFS($V$2:$V$200,$G98)&gt;0,
     COUNTIFS($W$2:$W$200,$G98)&gt;0,
     COUNTIFS($X$2:$X$200,$G98)&gt;0,
     COUNTIFS($Y$2:$Y$200,$G98)&gt;0,
     COUNTIFS($Z$2:$Z$200,$G98)&gt;0,
     COUNTIFS($AA$2:$AA$200,$G98)&gt;0,
     COUNTIFS($AB$2:$AB$200,$G98)&gt;0,
     COUNTIFS($AC$2:$AC$200,$G98)&gt;0,
     COUNTIFS($AD$2:$AD$200,$G98)&gt;0,
     COUNTIFS($AE$2:$AE$200,$G98)&gt;0,
     COUNTIFS($AF$2:$AF$200,$G98)&gt;0,
     COUNTIFS($AG$2:$AG$200,$G98)&gt;0,
     COUNTIFS($AH$2:$AH$200,$G98)&gt;0,
     COUNTIFS($AI$2:$AI$200,$G98)&gt;0,
     COUNTIFS($AJ$2:$AJ$200,$G98)&gt;0,
     COUNTIFS($AK$2:$AK$200,$G98)&gt;0,
     COUNTIFS($AL$2:$AL$200,$G98)&gt;0,
     COUNTIFS($AM$2:$AM$200,$G98)&gt;0,
     COUNTIFS($AN$2:$AN$200,$G98)&gt;0,
     COUNTIFS($AO$2:$AO$200,$G98)&gt;0,
     COUNTIFS($AP$2:$AP$200,$G98)&gt;0,
     COUNTIFS($AQ$2:$AQ$200,$G98)&gt;0,
     COUNTIFS($AR$2:$AR$200,$G98)&gt;0,
     COUNTIFS($AS$2:$AS$200,$G98)&gt;0,
     COUNTIFS($AT$2:$AT$200,$G98)&gt;0,
     COUNTIFS($AU$2:$AU$200,$G98)&gt;0,
     COUNTIFS($AV$2:$AV$200,$G98)&gt;0,
     COUNTIFS($AW$2:$AW$200,$G98)&gt;0,
     COUNTIFS($AX$2:$AX$200,$G98)&gt;0
   )),
  ),
  4
 ),
"")</f>
        <v/>
      </c>
      <c r="G98" t="str">
        <f ca="1"/>
        <v>Full Throttle</v>
      </c>
      <c r="BS98" t="str">
        <f ca="1"/>
        <v>Unbreakable Formation</v>
      </c>
      <c r="CB98" t="str">
        <f ca="1"/>
        <v>Reforge the Soul</v>
      </c>
      <c r="CG98" t="str">
        <f ca="1"/>
        <v>Jadar, Ghoulcaller of Nephalia</v>
      </c>
      <c r="CH98" t="str">
        <f ca="1"/>
        <v>Três Passos à Frente</v>
      </c>
      <c r="CJ98" t="str">
        <f ca="1"/>
        <v>Full Throttle</v>
      </c>
    </row>
    <row r="99" spans="1:88" x14ac:dyDescent="0.25">
      <c r="A99" s="3" t="str">
        <f t="shared" ca="1" si="4"/>
        <v>2</v>
      </c>
      <c r="B99" s="3">
        <f t="shared" ca="1" si="5"/>
        <v>1</v>
      </c>
      <c r="C99" s="3" t="str">
        <f ca="1">IFERROR(
 INDEX($U$1:$AX$1,
  MATCH(TRUE,
   CHOOSE({1;2;3;4;5;6;7;8;9;10;11;12;13;14;15;16;17;18;19;20;21;22;23;24;25;26;27;28;29;30;31;32},
    COUNTIFS($U$2:$U$200,$G99)&gt;0,
    COUNTIFS($V$2:$V$200,$G99)&gt;0,
    COUNTIFS($W$2:$W$200,$G99)&gt;0,
    COUNTIFS($X$2:$X$200,$G99)&gt;0,
    COUNTIFS($Y$2:$Y$200,$G99)&gt;0,
    COUNTIFS($Z$2:$Z$200,$G99)&gt;0,
    COUNTIFS($AA$2:$AA$200,$G99)&gt;0,
    COUNTIFS($AB$2:$AB$200,$G99)&gt;0,
    COUNTIFS($AC$2:$AC$200,$G99)&gt;0,
    COUNTIFS($AD$2:$AD$200,$G99)&gt;0,
    COUNTIFS($AE$2:$AE$200,$G99)&gt;0,
    COUNTIFS($AF$2:$AF$200,$G99)&gt;0,
    COUNTIFS($AG$2:$AG$200,$G99)&gt;0,
    COUNTIFS($AH$2:$AH$200,$G99)&gt;0,
    COUNTIFS($AI$2:$AI$200,$G99)&gt;0,
    COUNTIFS($AJ$2:$AJ$200,$G99)&gt;0,
    COUNTIFS($AK$2:$AK$200,$G99)&gt;0,
    COUNTIFS($AL$2:$AL$200,$G99)&gt;0,
    COUNTIFS($AM$2:$AM$200,$G99)&gt;0,
    COUNTIFS($AN$2:$AN$200,$G99)&gt;0,
    COUNTIFS($AO$2:$AO$200,$G99)&gt;0,
    COUNTIFS($AP$2:$AP$200,$G99)&gt;0,
    COUNTIFS($AQ$2:$AQ$200,$G99)&gt;0,
    COUNTIFS($AR$2:$AR$200,$G99)&gt;0,
    COUNTIFS($AS$2:$AS$200,$G99)&gt;0,
    COUNTIFS($AT$2:$AT$200,$G99)&gt;0,
    COUNTIFS($AU$2:$AU$200,$G99)&gt;0,
    COUNTIFS($AV$2:$AV$200,$G99)&gt;0,
    COUNTIFS($AW$2:$AW$200,$G99)&gt;0,
    COUNTIFS($AX$2:$AX$200,$G99)&gt;0
   ),
  0)
 ),
"")</f>
        <v>Rani</v>
      </c>
      <c r="D99" s="3" t="str" cm="1">
        <f t="array" aca="1" ref="D99" ca="1">IFERROR(
 INDEX(
  _xlfn._xlws.FILTER($U$1:$AX$1,
   TRANSPOSE(
    CHOOSE({1;2;3;4;5;6;7;8;9;10;11;12;13;14;15;16;17;18;19;20;21;22;23;24;25;26;27;28;29;30},
     COUNTIFS($U$2:$U$200,$G99)&gt;0,
     COUNTIFS($V$2:$V$200,$G99)&gt;0,
     COUNTIFS($W$2:$W$200,$G99)&gt;0,
     COUNTIFS($X$2:$X$200,$G99)&gt;0,
     COUNTIFS($Y$2:$Y$200,$G99)&gt;0,
     COUNTIFS($Z$2:$Z$200,$G99)&gt;0,
     COUNTIFS($AA$2:$AA$200,$G99)&gt;0,
     COUNTIFS($AB$2:$AB$200,$G99)&gt;0,
     COUNTIFS($AC$2:$AC$200,$G99)&gt;0,
     COUNTIFS($AD$2:$AD$200,$G99)&gt;0,
     COUNTIFS($AE$2:$AE$200,$G99)&gt;0,
     COUNTIFS($AF$2:$AF$200,$G99)&gt;0,
     COUNTIFS($AG$2:$AG$200,$G99)&gt;0,
     COUNTIFS($AH$2:$AH$200,$G99)&gt;0,
     COUNTIFS($AI$2:$AI$200,$G99)&gt;0,
     COUNTIFS($AJ$2:$AJ$200,$G99)&gt;0,
     COUNTIFS($AK$2:$AK$200,$G99)&gt;0,
     COUNTIFS($AL$2:$AL$200,$G99)&gt;0,
     COUNTIFS($AM$2:$AM$200,$G99)&gt;0,
     COUNTIFS($AN$2:$AN$200,$G99)&gt;0,
     COUNTIFS($AO$2:$AO$200,$G99)&gt;0,
     COUNTIFS($AP$2:$AP$200,$G99)&gt;0,
     COUNTIFS($AQ$2:$AQ$200,$G99)&gt;0,
     COUNTIFS($AR$2:$AR$200,$G99)&gt;0,
     COUNTIFS($AS$2:$AS$200,$G99)&gt;0,
     COUNTIFS($AT$2:$AT$200,$G99)&gt;0,
     COUNTIFS($AU$2:$AU$200,$G99)&gt;0,
     COUNTIFS($AV$2:$AV$200,$G99)&gt;0,
     COUNTIFS($AW$2:$AW$200,$G99)&gt;0,
     COUNTIFS($AX$2:$AX$200,$G99)&gt;0
   )),
  ),
  2
 ),
"")</f>
        <v/>
      </c>
      <c r="E99" s="3" t="str" cm="1">
        <f t="array" aca="1" ref="E99" ca="1">IFERROR(
 INDEX(
  _xlfn._xlws.FILTER($U$1:$AX$1,
   TRANSPOSE(
    CHOOSE({1;2;3;4;5;6;7;8;9;10;11;12;13;14;15;16;17;18;19;20;21;22;23;24;25;26;27;28;29;30},
     COUNTIFS($U$2:$U$200,$G99)&gt;0,
     COUNTIFS($V$2:$V$200,$G99)&gt;0,
     COUNTIFS($W$2:$W$200,$G99)&gt;0,
     COUNTIFS($X$2:$X$200,$G99)&gt;0,
     COUNTIFS($Y$2:$Y$200,$G99)&gt;0,
     COUNTIFS($Z$2:$Z$200,$G99)&gt;0,
     COUNTIFS($AA$2:$AA$200,$G99)&gt;0,
     COUNTIFS($AB$2:$AB$200,$G99)&gt;0,
     COUNTIFS($AC$2:$AC$200,$G99)&gt;0,
     COUNTIFS($AD$2:$AD$200,$G99)&gt;0,
     COUNTIFS($AE$2:$AE$200,$G99)&gt;0,
     COUNTIFS($AF$2:$AF$200,$G99)&gt;0,
     COUNTIFS($AG$2:$AG$200,$G99)&gt;0,
     COUNTIFS($AH$2:$AH$200,$G99)&gt;0,
     COUNTIFS($AI$2:$AI$200,$G99)&gt;0,
     COUNTIFS($AJ$2:$AJ$200,$G99)&gt;0,
     COUNTIFS($AK$2:$AK$200,$G99)&gt;0,
     COUNTIFS($AL$2:$AL$200,$G99)&gt;0,
     COUNTIFS($AM$2:$AM$200,$G99)&gt;0,
     COUNTIFS($AN$2:$AN$200,$G99)&gt;0,
     COUNTIFS($AO$2:$AO$200,$G99)&gt;0,
     COUNTIFS($AP$2:$AP$200,$G99)&gt;0,
     COUNTIFS($AQ$2:$AQ$200,$G99)&gt;0,
     COUNTIFS($AR$2:$AR$200,$G99)&gt;0,
     COUNTIFS($AS$2:$AS$200,$G99)&gt;0,
     COUNTIFS($AT$2:$AT$200,$G99)&gt;0,
     COUNTIFS($AU$2:$AU$200,$G99)&gt;0,
     COUNTIFS($AV$2:$AV$200,$G99)&gt;0,
     COUNTIFS($AW$2:$AW$200,$G99)&gt;0,
     COUNTIFS($AX$2:$AX$200,$G99)&gt;0
   )),
  ),
  3
 ),
"")</f>
        <v/>
      </c>
      <c r="F99" s="3" t="str" cm="1">
        <f t="array" aca="1" ref="F99" ca="1">IFERROR(
 INDEX(
  _xlfn._xlws.FILTER($U$1:$AX$1,
   TRANSPOSE(
    CHOOSE({1;2;3;4;5;6;7;8;9;10;11;12;13;14;15;16;17;18;19;20;21;22;23;24;25;26;27;28;29;30},
     COUNTIFS($U$2:$U$200,$G99)&gt;0,
     COUNTIFS($V$2:$V$200,$G99)&gt;0,
     COUNTIFS($W$2:$W$200,$G99)&gt;0,
     COUNTIFS($X$2:$X$200,$G99)&gt;0,
     COUNTIFS($Y$2:$Y$200,$G99)&gt;0,
     COUNTIFS($Z$2:$Z$200,$G99)&gt;0,
     COUNTIFS($AA$2:$AA$200,$G99)&gt;0,
     COUNTIFS($AB$2:$AB$200,$G99)&gt;0,
     COUNTIFS($AC$2:$AC$200,$G99)&gt;0,
     COUNTIFS($AD$2:$AD$200,$G99)&gt;0,
     COUNTIFS($AE$2:$AE$200,$G99)&gt;0,
     COUNTIFS($AF$2:$AF$200,$G99)&gt;0,
     COUNTIFS($AG$2:$AG$200,$G99)&gt;0,
     COUNTIFS($AH$2:$AH$200,$G99)&gt;0,
     COUNTIFS($AI$2:$AI$200,$G99)&gt;0,
     COUNTIFS($AJ$2:$AJ$200,$G99)&gt;0,
     COUNTIFS($AK$2:$AK$200,$G99)&gt;0,
     COUNTIFS($AL$2:$AL$200,$G99)&gt;0,
     COUNTIFS($AM$2:$AM$200,$G99)&gt;0,
     COUNTIFS($AN$2:$AN$200,$G99)&gt;0,
     COUNTIFS($AO$2:$AO$200,$G99)&gt;0,
     COUNTIFS($AP$2:$AP$200,$G99)&gt;0,
     COUNTIFS($AQ$2:$AQ$200,$G99)&gt;0,
     COUNTIFS($AR$2:$AR$200,$G99)&gt;0,
     COUNTIFS($AS$2:$AS$200,$G99)&gt;0,
     COUNTIFS($AT$2:$AT$200,$G99)&gt;0,
     COUNTIFS($AU$2:$AU$200,$G99)&gt;0,
     COUNTIFS($AV$2:$AV$200,$G99)&gt;0,
     COUNTIFS($AW$2:$AW$200,$G99)&gt;0,
     COUNTIFS($AX$2:$AX$200,$G99)&gt;0
   )),
  ),
  4
 ),
"")</f>
        <v/>
      </c>
      <c r="G99" t="str">
        <f ca="1"/>
        <v>Gallifrey Council Chamber</v>
      </c>
      <c r="BS99" t="str">
        <f ca="1"/>
        <v>Virtue of Loyalty // Ardenvale Fealty</v>
      </c>
      <c r="CB99" t="str">
        <f ca="1"/>
        <v>Relentless Assault</v>
      </c>
      <c r="CG99" t="str">
        <f ca="1"/>
        <v>Jetmir, Nexus of Revels</v>
      </c>
      <c r="CH99" t="str">
        <f ca="1"/>
        <v>Trioma de Indatha</v>
      </c>
      <c r="CJ99" t="str">
        <f ca="1"/>
        <v>Gallifrey Council Chamber</v>
      </c>
    </row>
    <row r="100" spans="1:88" x14ac:dyDescent="0.25">
      <c r="A100" s="3" t="str">
        <f t="shared" ca="1" si="4"/>
        <v>2</v>
      </c>
      <c r="B100" s="3">
        <f t="shared" ca="1" si="5"/>
        <v>3</v>
      </c>
      <c r="C100" s="3" t="str">
        <f ca="1">IFERROR(
 INDEX($U$1:$AX$1,
  MATCH(TRUE,
   CHOOSE({1;2;3;4;5;6;7;8;9;10;11;12;13;14;15;16;17;18;19;20;21;22;23;24;25;26;27;28;29;30;31;32},
    COUNTIFS($U$2:$U$200,$G100)&gt;0,
    COUNTIFS($V$2:$V$200,$G100)&gt;0,
    COUNTIFS($W$2:$W$200,$G100)&gt;0,
    COUNTIFS($X$2:$X$200,$G100)&gt;0,
    COUNTIFS($Y$2:$Y$200,$G100)&gt;0,
    COUNTIFS($Z$2:$Z$200,$G100)&gt;0,
    COUNTIFS($AA$2:$AA$200,$G100)&gt;0,
    COUNTIFS($AB$2:$AB$200,$G100)&gt;0,
    COUNTIFS($AC$2:$AC$200,$G100)&gt;0,
    COUNTIFS($AD$2:$AD$200,$G100)&gt;0,
    COUNTIFS($AE$2:$AE$200,$G100)&gt;0,
    COUNTIFS($AF$2:$AF$200,$G100)&gt;0,
    COUNTIFS($AG$2:$AG$200,$G100)&gt;0,
    COUNTIFS($AH$2:$AH$200,$G100)&gt;0,
    COUNTIFS($AI$2:$AI$200,$G100)&gt;0,
    COUNTIFS($AJ$2:$AJ$200,$G100)&gt;0,
    COUNTIFS($AK$2:$AK$200,$G100)&gt;0,
    COUNTIFS($AL$2:$AL$200,$G100)&gt;0,
    COUNTIFS($AM$2:$AM$200,$G100)&gt;0,
    COUNTIFS($AN$2:$AN$200,$G100)&gt;0,
    COUNTIFS($AO$2:$AO$200,$G100)&gt;0,
    COUNTIFS($AP$2:$AP$200,$G100)&gt;0,
    COUNTIFS($AQ$2:$AQ$200,$G100)&gt;0,
    COUNTIFS($AR$2:$AR$200,$G100)&gt;0,
    COUNTIFS($AS$2:$AS$200,$G100)&gt;0,
    COUNTIFS($AT$2:$AT$200,$G100)&gt;0,
    COUNTIFS($AU$2:$AU$200,$G100)&gt;0,
    COUNTIFS($AV$2:$AV$200,$G100)&gt;0,
    COUNTIFS($AW$2:$AW$200,$G100)&gt;0,
    COUNTIFS($AX$2:$AX$200,$G100)&gt;0
   ),
  0)
 ),
"")</f>
        <v>Baylen</v>
      </c>
      <c r="D100" s="3" t="str" cm="1">
        <f t="array" aca="1" ref="D100" ca="1">IFERROR(
 INDEX(
  _xlfn._xlws.FILTER($U$1:$AX$1,
   TRANSPOSE(
    CHOOSE({1;2;3;4;5;6;7;8;9;10;11;12;13;14;15;16;17;18;19;20;21;22;23;24;25;26;27;28;29;30},
     COUNTIFS($U$2:$U$200,$G100)&gt;0,
     COUNTIFS($V$2:$V$200,$G100)&gt;0,
     COUNTIFS($W$2:$W$200,$G100)&gt;0,
     COUNTIFS($X$2:$X$200,$G100)&gt;0,
     COUNTIFS($Y$2:$Y$200,$G100)&gt;0,
     COUNTIFS($Z$2:$Z$200,$G100)&gt;0,
     COUNTIFS($AA$2:$AA$200,$G100)&gt;0,
     COUNTIFS($AB$2:$AB$200,$G100)&gt;0,
     COUNTIFS($AC$2:$AC$200,$G100)&gt;0,
     COUNTIFS($AD$2:$AD$200,$G100)&gt;0,
     COUNTIFS($AE$2:$AE$200,$G100)&gt;0,
     COUNTIFS($AF$2:$AF$200,$G100)&gt;0,
     COUNTIFS($AG$2:$AG$200,$G100)&gt;0,
     COUNTIFS($AH$2:$AH$200,$G100)&gt;0,
     COUNTIFS($AI$2:$AI$200,$G100)&gt;0,
     COUNTIFS($AJ$2:$AJ$200,$G100)&gt;0,
     COUNTIFS($AK$2:$AK$200,$G100)&gt;0,
     COUNTIFS($AL$2:$AL$200,$G100)&gt;0,
     COUNTIFS($AM$2:$AM$200,$G100)&gt;0,
     COUNTIFS($AN$2:$AN$200,$G100)&gt;0,
     COUNTIFS($AO$2:$AO$200,$G100)&gt;0,
     COUNTIFS($AP$2:$AP$200,$G100)&gt;0,
     COUNTIFS($AQ$2:$AQ$200,$G100)&gt;0,
     COUNTIFS($AR$2:$AR$200,$G100)&gt;0,
     COUNTIFS($AS$2:$AS$200,$G100)&gt;0,
     COUNTIFS($AT$2:$AT$200,$G100)&gt;0,
     COUNTIFS($AU$2:$AU$200,$G100)&gt;0,
     COUNTIFS($AV$2:$AV$200,$G100)&gt;0,
     COUNTIFS($AW$2:$AW$200,$G100)&gt;0,
     COUNTIFS($AX$2:$AX$200,$G100)&gt;0
   )),
  ),
  2
 ),
"")</f>
        <v>Tayam</v>
      </c>
      <c r="E100" s="3" t="str" cm="1">
        <f t="array" aca="1" ref="E100" ca="1">IFERROR(
 INDEX(
  _xlfn._xlws.FILTER($U$1:$AX$1,
   TRANSPOSE(
    CHOOSE({1;2;3;4;5;6;7;8;9;10;11;12;13;14;15;16;17;18;19;20;21;22;23;24;25;26;27;28;29;30},
     COUNTIFS($U$2:$U$200,$G100)&gt;0,
     COUNTIFS($V$2:$V$200,$G100)&gt;0,
     COUNTIFS($W$2:$W$200,$G100)&gt;0,
     COUNTIFS($X$2:$X$200,$G100)&gt;0,
     COUNTIFS($Y$2:$Y$200,$G100)&gt;0,
     COUNTIFS($Z$2:$Z$200,$G100)&gt;0,
     COUNTIFS($AA$2:$AA$200,$G100)&gt;0,
     COUNTIFS($AB$2:$AB$200,$G100)&gt;0,
     COUNTIFS($AC$2:$AC$200,$G100)&gt;0,
     COUNTIFS($AD$2:$AD$200,$G100)&gt;0,
     COUNTIFS($AE$2:$AE$200,$G100)&gt;0,
     COUNTIFS($AF$2:$AF$200,$G100)&gt;0,
     COUNTIFS($AG$2:$AG$200,$G100)&gt;0,
     COUNTIFS($AH$2:$AH$200,$G100)&gt;0,
     COUNTIFS($AI$2:$AI$200,$G100)&gt;0,
     COUNTIFS($AJ$2:$AJ$200,$G100)&gt;0,
     COUNTIFS($AK$2:$AK$200,$G100)&gt;0,
     COUNTIFS($AL$2:$AL$200,$G100)&gt;0,
     COUNTIFS($AM$2:$AM$200,$G100)&gt;0,
     COUNTIFS($AN$2:$AN$200,$G100)&gt;0,
     COUNTIFS($AO$2:$AO$200,$G100)&gt;0,
     COUNTIFS($AP$2:$AP$200,$G100)&gt;0,
     COUNTIFS($AQ$2:$AQ$200,$G100)&gt;0,
     COUNTIFS($AR$2:$AR$200,$G100)&gt;0,
     COUNTIFS($AS$2:$AS$200,$G100)&gt;0,
     COUNTIFS($AT$2:$AT$200,$G100)&gt;0,
     COUNTIFS($AU$2:$AU$200,$G100)&gt;0,
     COUNTIFS($AV$2:$AV$200,$G100)&gt;0,
     COUNTIFS($AW$2:$AW$200,$G100)&gt;0,
     COUNTIFS($AX$2:$AX$200,$G100)&gt;0
   )),
  ),
  3
 ),
"")</f>
        <v>Modular</v>
      </c>
      <c r="F100" s="3" t="str" cm="1">
        <f t="array" aca="1" ref="F100" ca="1">IFERROR(
 INDEX(
  _xlfn._xlws.FILTER($U$1:$AX$1,
   TRANSPOSE(
    CHOOSE({1;2;3;4;5;6;7;8;9;10;11;12;13;14;15;16;17;18;19;20;21;22;23;24;25;26;27;28;29;30},
     COUNTIFS($U$2:$U$200,$G100)&gt;0,
     COUNTIFS($V$2:$V$200,$G100)&gt;0,
     COUNTIFS($W$2:$W$200,$G100)&gt;0,
     COUNTIFS($X$2:$X$200,$G100)&gt;0,
     COUNTIFS($Y$2:$Y$200,$G100)&gt;0,
     COUNTIFS($Z$2:$Z$200,$G100)&gt;0,
     COUNTIFS($AA$2:$AA$200,$G100)&gt;0,
     COUNTIFS($AB$2:$AB$200,$G100)&gt;0,
     COUNTIFS($AC$2:$AC$200,$G100)&gt;0,
     COUNTIFS($AD$2:$AD$200,$G100)&gt;0,
     COUNTIFS($AE$2:$AE$200,$G100)&gt;0,
     COUNTIFS($AF$2:$AF$200,$G100)&gt;0,
     COUNTIFS($AG$2:$AG$200,$G100)&gt;0,
     COUNTIFS($AH$2:$AH$200,$G100)&gt;0,
     COUNTIFS($AI$2:$AI$200,$G100)&gt;0,
     COUNTIFS($AJ$2:$AJ$200,$G100)&gt;0,
     COUNTIFS($AK$2:$AK$200,$G100)&gt;0,
     COUNTIFS($AL$2:$AL$200,$G100)&gt;0,
     COUNTIFS($AM$2:$AM$200,$G100)&gt;0,
     COUNTIFS($AN$2:$AN$200,$G100)&gt;0,
     COUNTIFS($AO$2:$AO$200,$G100)&gt;0,
     COUNTIFS($AP$2:$AP$200,$G100)&gt;0,
     COUNTIFS($AQ$2:$AQ$200,$G100)&gt;0,
     COUNTIFS($AR$2:$AR$200,$G100)&gt;0,
     COUNTIFS($AS$2:$AS$200,$G100)&gt;0,
     COUNTIFS($AT$2:$AT$200,$G100)&gt;0,
     COUNTIFS($AU$2:$AU$200,$G100)&gt;0,
     COUNTIFS($AV$2:$AV$200,$G100)&gt;0,
     COUNTIFS($AW$2:$AW$200,$G100)&gt;0,
     COUNTIFS($AX$2:$AX$200,$G100)&gt;0
   )),
  ),
  4
 ),
"")</f>
        <v/>
      </c>
      <c r="G100" t="str">
        <f ca="1"/>
        <v>Gavony Township</v>
      </c>
      <c r="BS100" t="str">
        <f ca="1"/>
        <v>Warleader's Call</v>
      </c>
      <c r="CB100" t="str">
        <f ca="1"/>
        <v>Reliquary Tower</v>
      </c>
      <c r="CG100" t="str">
        <f ca="1"/>
        <v>Jidoor, Aristocratic Capital // Overture</v>
      </c>
      <c r="CH100" t="str">
        <f ca="1"/>
        <v>Trioma de Raugrin</v>
      </c>
      <c r="CJ100" t="str">
        <f ca="1"/>
        <v>Gavony Township</v>
      </c>
    </row>
    <row r="101" spans="1:88" x14ac:dyDescent="0.25">
      <c r="A101" s="3" t="str">
        <f t="shared" ca="1" si="4"/>
        <v>2</v>
      </c>
      <c r="B101" s="3">
        <f t="shared" ca="1" si="5"/>
        <v>1</v>
      </c>
      <c r="C101" s="3" t="str">
        <f ca="1">IFERROR(
 INDEX($U$1:$AX$1,
  MATCH(TRUE,
   CHOOSE({1;2;3;4;5;6;7;8;9;10;11;12;13;14;15;16;17;18;19;20;21;22;23;24;25;26;27;28;29;30;31;32},
    COUNTIFS($U$2:$U$200,$G101)&gt;0,
    COUNTIFS($V$2:$V$200,$G101)&gt;0,
    COUNTIFS($W$2:$W$200,$G101)&gt;0,
    COUNTIFS($X$2:$X$200,$G101)&gt;0,
    COUNTIFS($Y$2:$Y$200,$G101)&gt;0,
    COUNTIFS($Z$2:$Z$200,$G101)&gt;0,
    COUNTIFS($AA$2:$AA$200,$G101)&gt;0,
    COUNTIFS($AB$2:$AB$200,$G101)&gt;0,
    COUNTIFS($AC$2:$AC$200,$G101)&gt;0,
    COUNTIFS($AD$2:$AD$200,$G101)&gt;0,
    COUNTIFS($AE$2:$AE$200,$G101)&gt;0,
    COUNTIFS($AF$2:$AF$200,$G101)&gt;0,
    COUNTIFS($AG$2:$AG$200,$G101)&gt;0,
    COUNTIFS($AH$2:$AH$200,$G101)&gt;0,
    COUNTIFS($AI$2:$AI$200,$G101)&gt;0,
    COUNTIFS($AJ$2:$AJ$200,$G101)&gt;0,
    COUNTIFS($AK$2:$AK$200,$G101)&gt;0,
    COUNTIFS($AL$2:$AL$200,$G101)&gt;0,
    COUNTIFS($AM$2:$AM$200,$G101)&gt;0,
    COUNTIFS($AN$2:$AN$200,$G101)&gt;0,
    COUNTIFS($AO$2:$AO$200,$G101)&gt;0,
    COUNTIFS($AP$2:$AP$200,$G101)&gt;0,
    COUNTIFS($AQ$2:$AQ$200,$G101)&gt;0,
    COUNTIFS($AR$2:$AR$200,$G101)&gt;0,
    COUNTIFS($AS$2:$AS$200,$G101)&gt;0,
    COUNTIFS($AT$2:$AT$200,$G101)&gt;0,
    COUNTIFS($AU$2:$AU$200,$G101)&gt;0,
    COUNTIFS($AV$2:$AV$200,$G101)&gt;0,
    COUNTIFS($AW$2:$AW$200,$G101)&gt;0,
    COUNTIFS($AX$2:$AX$200,$G101)&gt;0
   ),
  0)
 ),
"")</f>
        <v>Baylen</v>
      </c>
      <c r="D101" s="3" t="str" cm="1">
        <f t="array" aca="1" ref="D101" ca="1">IFERROR(
 INDEX(
  _xlfn._xlws.FILTER($U$1:$AX$1,
   TRANSPOSE(
    CHOOSE({1;2;3;4;5;6;7;8;9;10;11;12;13;14;15;16;17;18;19;20;21;22;23;24;25;26;27;28;29;30},
     COUNTIFS($U$2:$U$200,$G101)&gt;0,
     COUNTIFS($V$2:$V$200,$G101)&gt;0,
     COUNTIFS($W$2:$W$200,$G101)&gt;0,
     COUNTIFS($X$2:$X$200,$G101)&gt;0,
     COUNTIFS($Y$2:$Y$200,$G101)&gt;0,
     COUNTIFS($Z$2:$Z$200,$G101)&gt;0,
     COUNTIFS($AA$2:$AA$200,$G101)&gt;0,
     COUNTIFS($AB$2:$AB$200,$G101)&gt;0,
     COUNTIFS($AC$2:$AC$200,$G101)&gt;0,
     COUNTIFS($AD$2:$AD$200,$G101)&gt;0,
     COUNTIFS($AE$2:$AE$200,$G101)&gt;0,
     COUNTIFS($AF$2:$AF$200,$G101)&gt;0,
     COUNTIFS($AG$2:$AG$200,$G101)&gt;0,
     COUNTIFS($AH$2:$AH$200,$G101)&gt;0,
     COUNTIFS($AI$2:$AI$200,$G101)&gt;0,
     COUNTIFS($AJ$2:$AJ$200,$G101)&gt;0,
     COUNTIFS($AK$2:$AK$200,$G101)&gt;0,
     COUNTIFS($AL$2:$AL$200,$G101)&gt;0,
     COUNTIFS($AM$2:$AM$200,$G101)&gt;0,
     COUNTIFS($AN$2:$AN$200,$G101)&gt;0,
     COUNTIFS($AO$2:$AO$200,$G101)&gt;0,
     COUNTIFS($AP$2:$AP$200,$G101)&gt;0,
     COUNTIFS($AQ$2:$AQ$200,$G101)&gt;0,
     COUNTIFS($AR$2:$AR$200,$G101)&gt;0,
     COUNTIFS($AS$2:$AS$200,$G101)&gt;0,
     COUNTIFS($AT$2:$AT$200,$G101)&gt;0,
     COUNTIFS($AU$2:$AU$200,$G101)&gt;0,
     COUNTIFS($AV$2:$AV$200,$G101)&gt;0,
     COUNTIFS($AW$2:$AW$200,$G101)&gt;0,
     COUNTIFS($AX$2:$AX$200,$G101)&gt;0
   )),
  ),
  2
 ),
"")</f>
        <v/>
      </c>
      <c r="E101" s="3" t="str" cm="1">
        <f t="array" aca="1" ref="E101" ca="1">IFERROR(
 INDEX(
  _xlfn._xlws.FILTER($U$1:$AX$1,
   TRANSPOSE(
    CHOOSE({1;2;3;4;5;6;7;8;9;10;11;12;13;14;15;16;17;18;19;20;21;22;23;24;25;26;27;28;29;30},
     COUNTIFS($U$2:$U$200,$G101)&gt;0,
     COUNTIFS($V$2:$V$200,$G101)&gt;0,
     COUNTIFS($W$2:$W$200,$G101)&gt;0,
     COUNTIFS($X$2:$X$200,$G101)&gt;0,
     COUNTIFS($Y$2:$Y$200,$G101)&gt;0,
     COUNTIFS($Z$2:$Z$200,$G101)&gt;0,
     COUNTIFS($AA$2:$AA$200,$G101)&gt;0,
     COUNTIFS($AB$2:$AB$200,$G101)&gt;0,
     COUNTIFS($AC$2:$AC$200,$G101)&gt;0,
     COUNTIFS($AD$2:$AD$200,$G101)&gt;0,
     COUNTIFS($AE$2:$AE$200,$G101)&gt;0,
     COUNTIFS($AF$2:$AF$200,$G101)&gt;0,
     COUNTIFS($AG$2:$AG$200,$G101)&gt;0,
     COUNTIFS($AH$2:$AH$200,$G101)&gt;0,
     COUNTIFS($AI$2:$AI$200,$G101)&gt;0,
     COUNTIFS($AJ$2:$AJ$200,$G101)&gt;0,
     COUNTIFS($AK$2:$AK$200,$G101)&gt;0,
     COUNTIFS($AL$2:$AL$200,$G101)&gt;0,
     COUNTIFS($AM$2:$AM$200,$G101)&gt;0,
     COUNTIFS($AN$2:$AN$200,$G101)&gt;0,
     COUNTIFS($AO$2:$AO$200,$G101)&gt;0,
     COUNTIFS($AP$2:$AP$200,$G101)&gt;0,
     COUNTIFS($AQ$2:$AQ$200,$G101)&gt;0,
     COUNTIFS($AR$2:$AR$200,$G101)&gt;0,
     COUNTIFS($AS$2:$AS$200,$G101)&gt;0,
     COUNTIFS($AT$2:$AT$200,$G101)&gt;0,
     COUNTIFS($AU$2:$AU$200,$G101)&gt;0,
     COUNTIFS($AV$2:$AV$200,$G101)&gt;0,
     COUNTIFS($AW$2:$AW$200,$G101)&gt;0,
     COUNTIFS($AX$2:$AX$200,$G101)&gt;0
   )),
  ),
  3
 ),
"")</f>
        <v/>
      </c>
      <c r="F101" s="3" t="str" cm="1">
        <f t="array" aca="1" ref="F101" ca="1">IFERROR(
 INDEX(
  _xlfn._xlws.FILTER($U$1:$AX$1,
   TRANSPOSE(
    CHOOSE({1;2;3;4;5;6;7;8;9;10;11;12;13;14;15;16;17;18;19;20;21;22;23;24;25;26;27;28;29;30},
     COUNTIFS($U$2:$U$200,$G101)&gt;0,
     COUNTIFS($V$2:$V$200,$G101)&gt;0,
     COUNTIFS($W$2:$W$200,$G101)&gt;0,
     COUNTIFS($X$2:$X$200,$G101)&gt;0,
     COUNTIFS($Y$2:$Y$200,$G101)&gt;0,
     COUNTIFS($Z$2:$Z$200,$G101)&gt;0,
     COUNTIFS($AA$2:$AA$200,$G101)&gt;0,
     COUNTIFS($AB$2:$AB$200,$G101)&gt;0,
     COUNTIFS($AC$2:$AC$200,$G101)&gt;0,
     COUNTIFS($AD$2:$AD$200,$G101)&gt;0,
     COUNTIFS($AE$2:$AE$200,$G101)&gt;0,
     COUNTIFS($AF$2:$AF$200,$G101)&gt;0,
     COUNTIFS($AG$2:$AG$200,$G101)&gt;0,
     COUNTIFS($AH$2:$AH$200,$G101)&gt;0,
     COUNTIFS($AI$2:$AI$200,$G101)&gt;0,
     COUNTIFS($AJ$2:$AJ$200,$G101)&gt;0,
     COUNTIFS($AK$2:$AK$200,$G101)&gt;0,
     COUNTIFS($AL$2:$AL$200,$G101)&gt;0,
     COUNTIFS($AM$2:$AM$200,$G101)&gt;0,
     COUNTIFS($AN$2:$AN$200,$G101)&gt;0,
     COUNTIFS($AO$2:$AO$200,$G101)&gt;0,
     COUNTIFS($AP$2:$AP$200,$G101)&gt;0,
     COUNTIFS($AQ$2:$AQ$200,$G101)&gt;0,
     COUNTIFS($AR$2:$AR$200,$G101)&gt;0,
     COUNTIFS($AS$2:$AS$200,$G101)&gt;0,
     COUNTIFS($AT$2:$AT$200,$G101)&gt;0,
     COUNTIFS($AU$2:$AU$200,$G101)&gt;0,
     COUNTIFS($AV$2:$AV$200,$G101)&gt;0,
     COUNTIFS($AW$2:$AW$200,$G101)&gt;0,
     COUNTIFS($AX$2:$AX$200,$G101)&gt;0
   )),
  ),
  4
 ),
"")</f>
        <v/>
      </c>
      <c r="G101" t="str">
        <f ca="1"/>
        <v>Generous Gift</v>
      </c>
      <c r="BS101" t="str">
        <f ca="1"/>
        <v>Windcrag Siege</v>
      </c>
      <c r="CB101" t="str">
        <f ca="1"/>
        <v>Resourceful Defense</v>
      </c>
      <c r="CG101" t="str">
        <f ca="1"/>
        <v>Jitte Perdida</v>
      </c>
      <c r="CH101" t="str">
        <f ca="1"/>
        <v>Trioma de Zagoth</v>
      </c>
      <c r="CJ101" t="str">
        <f ca="1"/>
        <v>Generous Gift</v>
      </c>
    </row>
    <row r="102" spans="1:88" x14ac:dyDescent="0.25">
      <c r="A102" s="3" t="str">
        <f t="shared" ca="1" si="4"/>
        <v>2</v>
      </c>
      <c r="B102" s="3">
        <f t="shared" ca="1" si="5"/>
        <v>1</v>
      </c>
      <c r="C102" s="3" t="str">
        <f ca="1">IFERROR(
 INDEX($U$1:$AX$1,
  MATCH(TRUE,
   CHOOSE({1;2;3;4;5;6;7;8;9;10;11;12;13;14;15;16;17;18;19;20;21;22;23;24;25;26;27;28;29;30;31;32},
    COUNTIFS($U$2:$U$200,$G102)&gt;0,
    COUNTIFS($V$2:$V$200,$G102)&gt;0,
    COUNTIFS($W$2:$W$200,$G102)&gt;0,
    COUNTIFS($X$2:$X$200,$G102)&gt;0,
    COUNTIFS($Y$2:$Y$200,$G102)&gt;0,
    COUNTIFS($Z$2:$Z$200,$G102)&gt;0,
    COUNTIFS($AA$2:$AA$200,$G102)&gt;0,
    COUNTIFS($AB$2:$AB$200,$G102)&gt;0,
    COUNTIFS($AC$2:$AC$200,$G102)&gt;0,
    COUNTIFS($AD$2:$AD$200,$G102)&gt;0,
    COUNTIFS($AE$2:$AE$200,$G102)&gt;0,
    COUNTIFS($AF$2:$AF$200,$G102)&gt;0,
    COUNTIFS($AG$2:$AG$200,$G102)&gt;0,
    COUNTIFS($AH$2:$AH$200,$G102)&gt;0,
    COUNTIFS($AI$2:$AI$200,$G102)&gt;0,
    COUNTIFS($AJ$2:$AJ$200,$G102)&gt;0,
    COUNTIFS($AK$2:$AK$200,$G102)&gt;0,
    COUNTIFS($AL$2:$AL$200,$G102)&gt;0,
    COUNTIFS($AM$2:$AM$200,$G102)&gt;0,
    COUNTIFS($AN$2:$AN$200,$G102)&gt;0,
    COUNTIFS($AO$2:$AO$200,$G102)&gt;0,
    COUNTIFS($AP$2:$AP$200,$G102)&gt;0,
    COUNTIFS($AQ$2:$AQ$200,$G102)&gt;0,
    COUNTIFS($AR$2:$AR$200,$G102)&gt;0,
    COUNTIFS($AS$2:$AS$200,$G102)&gt;0,
    COUNTIFS($AT$2:$AT$200,$G102)&gt;0,
    COUNTIFS($AU$2:$AU$200,$G102)&gt;0,
    COUNTIFS($AV$2:$AV$200,$G102)&gt;0,
    COUNTIFS($AW$2:$AW$200,$G102)&gt;0,
    COUNTIFS($AX$2:$AX$200,$G102)&gt;0
   ),
  0)
 ),
"")</f>
        <v>Narset</v>
      </c>
      <c r="D102" s="3" t="str" cm="1">
        <f t="array" aca="1" ref="D102" ca="1">IFERROR(
 INDEX(
  _xlfn._xlws.FILTER($U$1:$AX$1,
   TRANSPOSE(
    CHOOSE({1;2;3;4;5;6;7;8;9;10;11;12;13;14;15;16;17;18;19;20;21;22;23;24;25;26;27;28;29;30},
     COUNTIFS($U$2:$U$200,$G102)&gt;0,
     COUNTIFS($V$2:$V$200,$G102)&gt;0,
     COUNTIFS($W$2:$W$200,$G102)&gt;0,
     COUNTIFS($X$2:$X$200,$G102)&gt;0,
     COUNTIFS($Y$2:$Y$200,$G102)&gt;0,
     COUNTIFS($Z$2:$Z$200,$G102)&gt;0,
     COUNTIFS($AA$2:$AA$200,$G102)&gt;0,
     COUNTIFS($AB$2:$AB$200,$G102)&gt;0,
     COUNTIFS($AC$2:$AC$200,$G102)&gt;0,
     COUNTIFS($AD$2:$AD$200,$G102)&gt;0,
     COUNTIFS($AE$2:$AE$200,$G102)&gt;0,
     COUNTIFS($AF$2:$AF$200,$G102)&gt;0,
     COUNTIFS($AG$2:$AG$200,$G102)&gt;0,
     COUNTIFS($AH$2:$AH$200,$G102)&gt;0,
     COUNTIFS($AI$2:$AI$200,$G102)&gt;0,
     COUNTIFS($AJ$2:$AJ$200,$G102)&gt;0,
     COUNTIFS($AK$2:$AK$200,$G102)&gt;0,
     COUNTIFS($AL$2:$AL$200,$G102)&gt;0,
     COUNTIFS($AM$2:$AM$200,$G102)&gt;0,
     COUNTIFS($AN$2:$AN$200,$G102)&gt;0,
     COUNTIFS($AO$2:$AO$200,$G102)&gt;0,
     COUNTIFS($AP$2:$AP$200,$G102)&gt;0,
     COUNTIFS($AQ$2:$AQ$200,$G102)&gt;0,
     COUNTIFS($AR$2:$AR$200,$G102)&gt;0,
     COUNTIFS($AS$2:$AS$200,$G102)&gt;0,
     COUNTIFS($AT$2:$AT$200,$G102)&gt;0,
     COUNTIFS($AU$2:$AU$200,$G102)&gt;0,
     COUNTIFS($AV$2:$AV$200,$G102)&gt;0,
     COUNTIFS($AW$2:$AW$200,$G102)&gt;0,
     COUNTIFS($AX$2:$AX$200,$G102)&gt;0
   )),
  ),
  2
 ),
"")</f>
        <v/>
      </c>
      <c r="E102" s="3" t="str" cm="1">
        <f t="array" aca="1" ref="E102" ca="1">IFERROR(
 INDEX(
  _xlfn._xlws.FILTER($U$1:$AX$1,
   TRANSPOSE(
    CHOOSE({1;2;3;4;5;6;7;8;9;10;11;12;13;14;15;16;17;18;19;20;21;22;23;24;25;26;27;28;29;30},
     COUNTIFS($U$2:$U$200,$G102)&gt;0,
     COUNTIFS($V$2:$V$200,$G102)&gt;0,
     COUNTIFS($W$2:$W$200,$G102)&gt;0,
     COUNTIFS($X$2:$X$200,$G102)&gt;0,
     COUNTIFS($Y$2:$Y$200,$G102)&gt;0,
     COUNTIFS($Z$2:$Z$200,$G102)&gt;0,
     COUNTIFS($AA$2:$AA$200,$G102)&gt;0,
     COUNTIFS($AB$2:$AB$200,$G102)&gt;0,
     COUNTIFS($AC$2:$AC$200,$G102)&gt;0,
     COUNTIFS($AD$2:$AD$200,$G102)&gt;0,
     COUNTIFS($AE$2:$AE$200,$G102)&gt;0,
     COUNTIFS($AF$2:$AF$200,$G102)&gt;0,
     COUNTIFS($AG$2:$AG$200,$G102)&gt;0,
     COUNTIFS($AH$2:$AH$200,$G102)&gt;0,
     COUNTIFS($AI$2:$AI$200,$G102)&gt;0,
     COUNTIFS($AJ$2:$AJ$200,$G102)&gt;0,
     COUNTIFS($AK$2:$AK$200,$G102)&gt;0,
     COUNTIFS($AL$2:$AL$200,$G102)&gt;0,
     COUNTIFS($AM$2:$AM$200,$G102)&gt;0,
     COUNTIFS($AN$2:$AN$200,$G102)&gt;0,
     COUNTIFS($AO$2:$AO$200,$G102)&gt;0,
     COUNTIFS($AP$2:$AP$200,$G102)&gt;0,
     COUNTIFS($AQ$2:$AQ$200,$G102)&gt;0,
     COUNTIFS($AR$2:$AR$200,$G102)&gt;0,
     COUNTIFS($AS$2:$AS$200,$G102)&gt;0,
     COUNTIFS($AT$2:$AT$200,$G102)&gt;0,
     COUNTIFS($AU$2:$AU$200,$G102)&gt;0,
     COUNTIFS($AV$2:$AV$200,$G102)&gt;0,
     COUNTIFS($AW$2:$AW$200,$G102)&gt;0,
     COUNTIFS($AX$2:$AX$200,$G102)&gt;0
   )),
  ),
  3
 ),
"")</f>
        <v/>
      </c>
      <c r="F102" s="3" t="str" cm="1">
        <f t="array" aca="1" ref="F102" ca="1">IFERROR(
 INDEX(
  _xlfn._xlws.FILTER($U$1:$AX$1,
   TRANSPOSE(
    CHOOSE({1;2;3;4;5;6;7;8;9;10;11;12;13;14;15;16;17;18;19;20;21;22;23;24;25;26;27;28;29;30},
     COUNTIFS($U$2:$U$200,$G102)&gt;0,
     COUNTIFS($V$2:$V$200,$G102)&gt;0,
     COUNTIFS($W$2:$W$200,$G102)&gt;0,
     COUNTIFS($X$2:$X$200,$G102)&gt;0,
     COUNTIFS($Y$2:$Y$200,$G102)&gt;0,
     COUNTIFS($Z$2:$Z$200,$G102)&gt;0,
     COUNTIFS($AA$2:$AA$200,$G102)&gt;0,
     COUNTIFS($AB$2:$AB$200,$G102)&gt;0,
     COUNTIFS($AC$2:$AC$200,$G102)&gt;0,
     COUNTIFS($AD$2:$AD$200,$G102)&gt;0,
     COUNTIFS($AE$2:$AE$200,$G102)&gt;0,
     COUNTIFS($AF$2:$AF$200,$G102)&gt;0,
     COUNTIFS($AG$2:$AG$200,$G102)&gt;0,
     COUNTIFS($AH$2:$AH$200,$G102)&gt;0,
     COUNTIFS($AI$2:$AI$200,$G102)&gt;0,
     COUNTIFS($AJ$2:$AJ$200,$G102)&gt;0,
     COUNTIFS($AK$2:$AK$200,$G102)&gt;0,
     COUNTIFS($AL$2:$AL$200,$G102)&gt;0,
     COUNTIFS($AM$2:$AM$200,$G102)&gt;0,
     COUNTIFS($AN$2:$AN$200,$G102)&gt;0,
     COUNTIFS($AO$2:$AO$200,$G102)&gt;0,
     COUNTIFS($AP$2:$AP$200,$G102)&gt;0,
     COUNTIFS($AQ$2:$AQ$200,$G102)&gt;0,
     COUNTIFS($AR$2:$AR$200,$G102)&gt;0,
     COUNTIFS($AS$2:$AS$200,$G102)&gt;0,
     COUNTIFS($AT$2:$AT$200,$G102)&gt;0,
     COUNTIFS($AU$2:$AU$200,$G102)&gt;0,
     COUNTIFS($AV$2:$AV$200,$G102)&gt;0,
     COUNTIFS($AW$2:$AW$200,$G102)&gt;0,
     COUNTIFS($AX$2:$AX$200,$G102)&gt;0
   )),
  ),
  4
 ),
"")</f>
        <v/>
      </c>
      <c r="G102" t="str">
        <f ca="1"/>
        <v>Genji Glove</v>
      </c>
      <c r="BS102" t="str">
        <f ca="1"/>
        <v>World at War</v>
      </c>
      <c r="CB102" t="str">
        <f ca="1"/>
        <v>Reyhan, Last of the Abzan</v>
      </c>
      <c r="CG102" t="str">
        <f ca="1"/>
        <v>Karn Liberated</v>
      </c>
      <c r="CH102" t="str">
        <f ca="1"/>
        <v>Ulamog, o Profanador</v>
      </c>
      <c r="CJ102" t="str">
        <f ca="1"/>
        <v>Genji Glove</v>
      </c>
    </row>
    <row r="103" spans="1:88" x14ac:dyDescent="0.25">
      <c r="A103" s="3" t="str">
        <f t="shared" ca="1" si="4"/>
        <v>3</v>
      </c>
      <c r="B103" s="3">
        <f t="shared" ca="1" si="5"/>
        <v>1</v>
      </c>
      <c r="C103" s="3" t="str">
        <f ca="1">IFERROR(
 INDEX($U$1:$AX$1,
  MATCH(TRUE,
   CHOOSE({1;2;3;4;5;6;7;8;9;10;11;12;13;14;15;16;17;18;19;20;21;22;23;24;25;26;27;28;29;30;31;32},
    COUNTIFS($U$2:$U$200,$G103)&gt;0,
    COUNTIFS($V$2:$V$200,$G103)&gt;0,
    COUNTIFS($W$2:$W$200,$G103)&gt;0,
    COUNTIFS($X$2:$X$200,$G103)&gt;0,
    COUNTIFS($Y$2:$Y$200,$G103)&gt;0,
    COUNTIFS($Z$2:$Z$200,$G103)&gt;0,
    COUNTIFS($AA$2:$AA$200,$G103)&gt;0,
    COUNTIFS($AB$2:$AB$200,$G103)&gt;0,
    COUNTIFS($AC$2:$AC$200,$G103)&gt;0,
    COUNTIFS($AD$2:$AD$200,$G103)&gt;0,
    COUNTIFS($AE$2:$AE$200,$G103)&gt;0,
    COUNTIFS($AF$2:$AF$200,$G103)&gt;0,
    COUNTIFS($AG$2:$AG$200,$G103)&gt;0,
    COUNTIFS($AH$2:$AH$200,$G103)&gt;0,
    COUNTIFS($AI$2:$AI$200,$G103)&gt;0,
    COUNTIFS($AJ$2:$AJ$200,$G103)&gt;0,
    COUNTIFS($AK$2:$AK$200,$G103)&gt;0,
    COUNTIFS($AL$2:$AL$200,$G103)&gt;0,
    COUNTIFS($AM$2:$AM$200,$G103)&gt;0,
    COUNTIFS($AN$2:$AN$200,$G103)&gt;0,
    COUNTIFS($AO$2:$AO$200,$G103)&gt;0,
    COUNTIFS($AP$2:$AP$200,$G103)&gt;0,
    COUNTIFS($AQ$2:$AQ$200,$G103)&gt;0,
    COUNTIFS($AR$2:$AR$200,$G103)&gt;0,
    COUNTIFS($AS$2:$AS$200,$G103)&gt;0,
    COUNTIFS($AT$2:$AT$200,$G103)&gt;0,
    COUNTIFS($AU$2:$AU$200,$G103)&gt;0,
    COUNTIFS($AV$2:$AV$200,$G103)&gt;0,
    COUNTIFS($AW$2:$AW$200,$G103)&gt;0,
    COUNTIFS($AX$2:$AX$200,$G103)&gt;0
   ),
  0)
 ),
"")</f>
        <v>Muzzio</v>
      </c>
      <c r="D103" s="3" t="str" cm="1">
        <f t="array" aca="1" ref="D103" ca="1">IFERROR(
 INDEX(
  _xlfn._xlws.FILTER($U$1:$AX$1,
   TRANSPOSE(
    CHOOSE({1;2;3;4;5;6;7;8;9;10;11;12;13;14;15;16;17;18;19;20;21;22;23;24;25;26;27;28;29;30},
     COUNTIFS($U$2:$U$200,$G103)&gt;0,
     COUNTIFS($V$2:$V$200,$G103)&gt;0,
     COUNTIFS($W$2:$W$200,$G103)&gt;0,
     COUNTIFS($X$2:$X$200,$G103)&gt;0,
     COUNTIFS($Y$2:$Y$200,$G103)&gt;0,
     COUNTIFS($Z$2:$Z$200,$G103)&gt;0,
     COUNTIFS($AA$2:$AA$200,$G103)&gt;0,
     COUNTIFS($AB$2:$AB$200,$G103)&gt;0,
     COUNTIFS($AC$2:$AC$200,$G103)&gt;0,
     COUNTIFS($AD$2:$AD$200,$G103)&gt;0,
     COUNTIFS($AE$2:$AE$200,$G103)&gt;0,
     COUNTIFS($AF$2:$AF$200,$G103)&gt;0,
     COUNTIFS($AG$2:$AG$200,$G103)&gt;0,
     COUNTIFS($AH$2:$AH$200,$G103)&gt;0,
     COUNTIFS($AI$2:$AI$200,$G103)&gt;0,
     COUNTIFS($AJ$2:$AJ$200,$G103)&gt;0,
     COUNTIFS($AK$2:$AK$200,$G103)&gt;0,
     COUNTIFS($AL$2:$AL$200,$G103)&gt;0,
     COUNTIFS($AM$2:$AM$200,$G103)&gt;0,
     COUNTIFS($AN$2:$AN$200,$G103)&gt;0,
     COUNTIFS($AO$2:$AO$200,$G103)&gt;0,
     COUNTIFS($AP$2:$AP$200,$G103)&gt;0,
     COUNTIFS($AQ$2:$AQ$200,$G103)&gt;0,
     COUNTIFS($AR$2:$AR$200,$G103)&gt;0,
     COUNTIFS($AS$2:$AS$200,$G103)&gt;0,
     COUNTIFS($AT$2:$AT$200,$G103)&gt;0,
     COUNTIFS($AU$2:$AU$200,$G103)&gt;0,
     COUNTIFS($AV$2:$AV$200,$G103)&gt;0,
     COUNTIFS($AW$2:$AW$200,$G103)&gt;0,
     COUNTIFS($AX$2:$AX$200,$G103)&gt;0
   )),
  ),
  2
 ),
"")</f>
        <v/>
      </c>
      <c r="E103" s="3" t="str" cm="1">
        <f t="array" aca="1" ref="E103" ca="1">IFERROR(
 INDEX(
  _xlfn._xlws.FILTER($U$1:$AX$1,
   TRANSPOSE(
    CHOOSE({1;2;3;4;5;6;7;8;9;10;11;12;13;14;15;16;17;18;19;20;21;22;23;24;25;26;27;28;29;30},
     COUNTIFS($U$2:$U$200,$G103)&gt;0,
     COUNTIFS($V$2:$V$200,$G103)&gt;0,
     COUNTIFS($W$2:$W$200,$G103)&gt;0,
     COUNTIFS($X$2:$X$200,$G103)&gt;0,
     COUNTIFS($Y$2:$Y$200,$G103)&gt;0,
     COUNTIFS($Z$2:$Z$200,$G103)&gt;0,
     COUNTIFS($AA$2:$AA$200,$G103)&gt;0,
     COUNTIFS($AB$2:$AB$200,$G103)&gt;0,
     COUNTIFS($AC$2:$AC$200,$G103)&gt;0,
     COUNTIFS($AD$2:$AD$200,$G103)&gt;0,
     COUNTIFS($AE$2:$AE$200,$G103)&gt;0,
     COUNTIFS($AF$2:$AF$200,$G103)&gt;0,
     COUNTIFS($AG$2:$AG$200,$G103)&gt;0,
     COUNTIFS($AH$2:$AH$200,$G103)&gt;0,
     COUNTIFS($AI$2:$AI$200,$G103)&gt;0,
     COUNTIFS($AJ$2:$AJ$200,$G103)&gt;0,
     COUNTIFS($AK$2:$AK$200,$G103)&gt;0,
     COUNTIFS($AL$2:$AL$200,$G103)&gt;0,
     COUNTIFS($AM$2:$AM$200,$G103)&gt;0,
     COUNTIFS($AN$2:$AN$200,$G103)&gt;0,
     COUNTIFS($AO$2:$AO$200,$G103)&gt;0,
     COUNTIFS($AP$2:$AP$200,$G103)&gt;0,
     COUNTIFS($AQ$2:$AQ$200,$G103)&gt;0,
     COUNTIFS($AR$2:$AR$200,$G103)&gt;0,
     COUNTIFS($AS$2:$AS$200,$G103)&gt;0,
     COUNTIFS($AT$2:$AT$200,$G103)&gt;0,
     COUNTIFS($AU$2:$AU$200,$G103)&gt;0,
     COUNTIFS($AV$2:$AV$200,$G103)&gt;0,
     COUNTIFS($AW$2:$AW$200,$G103)&gt;0,
     COUNTIFS($AX$2:$AX$200,$G103)&gt;0
   )),
  ),
  3
 ),
"")</f>
        <v/>
      </c>
      <c r="F103" s="3" t="str" cm="1">
        <f t="array" aca="1" ref="F103" ca="1">IFERROR(
 INDEX(
  _xlfn._xlws.FILTER($U$1:$AX$1,
   TRANSPOSE(
    CHOOSE({1;2;3;4;5;6;7;8;9;10;11;12;13;14;15;16;17;18;19;20;21;22;23;24;25;26;27;28;29;30},
     COUNTIFS($U$2:$U$200,$G103)&gt;0,
     COUNTIFS($V$2:$V$200,$G103)&gt;0,
     COUNTIFS($W$2:$W$200,$G103)&gt;0,
     COUNTIFS($X$2:$X$200,$G103)&gt;0,
     COUNTIFS($Y$2:$Y$200,$G103)&gt;0,
     COUNTIFS($Z$2:$Z$200,$G103)&gt;0,
     COUNTIFS($AA$2:$AA$200,$G103)&gt;0,
     COUNTIFS($AB$2:$AB$200,$G103)&gt;0,
     COUNTIFS($AC$2:$AC$200,$G103)&gt;0,
     COUNTIFS($AD$2:$AD$200,$G103)&gt;0,
     COUNTIFS($AE$2:$AE$200,$G103)&gt;0,
     COUNTIFS($AF$2:$AF$200,$G103)&gt;0,
     COUNTIFS($AG$2:$AG$200,$G103)&gt;0,
     COUNTIFS($AH$2:$AH$200,$G103)&gt;0,
     COUNTIFS($AI$2:$AI$200,$G103)&gt;0,
     COUNTIFS($AJ$2:$AJ$200,$G103)&gt;0,
     COUNTIFS($AK$2:$AK$200,$G103)&gt;0,
     COUNTIFS($AL$2:$AL$200,$G103)&gt;0,
     COUNTIFS($AM$2:$AM$200,$G103)&gt;0,
     COUNTIFS($AN$2:$AN$200,$G103)&gt;0,
     COUNTIFS($AO$2:$AO$200,$G103)&gt;0,
     COUNTIFS($AP$2:$AP$200,$G103)&gt;0,
     COUNTIFS($AQ$2:$AQ$200,$G103)&gt;0,
     COUNTIFS($AR$2:$AR$200,$G103)&gt;0,
     COUNTIFS($AS$2:$AS$200,$G103)&gt;0,
     COUNTIFS($AT$2:$AT$200,$G103)&gt;0,
     COUNTIFS($AU$2:$AU$200,$G103)&gt;0,
     COUNTIFS($AV$2:$AV$200,$G103)&gt;0,
     COUNTIFS($AW$2:$AW$200,$G103)&gt;0,
     COUNTIFS($AX$2:$AX$200,$G103)&gt;0
   )),
  ),
  4
 ),
"")</f>
        <v/>
      </c>
      <c r="G103" t="str">
        <f ca="1"/>
        <v>Gerrard's Hourglass Pendant</v>
      </c>
      <c r="BS103" t="str">
        <f ca="1"/>
        <v>Zack Fair</v>
      </c>
      <c r="CB103" t="str">
        <f ca="1"/>
        <v>Rogue's Passage</v>
      </c>
      <c r="CG103" t="str">
        <f ca="1"/>
        <v>Karplusan Forest</v>
      </c>
      <c r="CH103" t="str">
        <f ca="1"/>
        <v>Unstoppable Plan</v>
      </c>
      <c r="CJ103" t="str">
        <f ca="1"/>
        <v>Gerrard's Hourglass Pendant</v>
      </c>
    </row>
    <row r="104" spans="1:88" x14ac:dyDescent="0.25">
      <c r="A104" s="3" t="str">
        <f t="shared" ca="1" si="4"/>
        <v>2</v>
      </c>
      <c r="B104" s="3">
        <f t="shared" ca="1" si="5"/>
        <v>1</v>
      </c>
      <c r="C104" s="3" t="str">
        <f ca="1">IFERROR(
 INDEX($U$1:$AX$1,
  MATCH(TRUE,
   CHOOSE({1;2;3;4;5;6;7;8;9;10;11;12;13;14;15;16;17;18;19;20;21;22;23;24;25;26;27;28;29;30;31;32},
    COUNTIFS($U$2:$U$200,$G104)&gt;0,
    COUNTIFS($V$2:$V$200,$G104)&gt;0,
    COUNTIFS($W$2:$W$200,$G104)&gt;0,
    COUNTIFS($X$2:$X$200,$G104)&gt;0,
    COUNTIFS($Y$2:$Y$200,$G104)&gt;0,
    COUNTIFS($Z$2:$Z$200,$G104)&gt;0,
    COUNTIFS($AA$2:$AA$200,$G104)&gt;0,
    COUNTIFS($AB$2:$AB$200,$G104)&gt;0,
    COUNTIFS($AC$2:$AC$200,$G104)&gt;0,
    COUNTIFS($AD$2:$AD$200,$G104)&gt;0,
    COUNTIFS($AE$2:$AE$200,$G104)&gt;0,
    COUNTIFS($AF$2:$AF$200,$G104)&gt;0,
    COUNTIFS($AG$2:$AG$200,$G104)&gt;0,
    COUNTIFS($AH$2:$AH$200,$G104)&gt;0,
    COUNTIFS($AI$2:$AI$200,$G104)&gt;0,
    COUNTIFS($AJ$2:$AJ$200,$G104)&gt;0,
    COUNTIFS($AK$2:$AK$200,$G104)&gt;0,
    COUNTIFS($AL$2:$AL$200,$G104)&gt;0,
    COUNTIFS($AM$2:$AM$200,$G104)&gt;0,
    COUNTIFS($AN$2:$AN$200,$G104)&gt;0,
    COUNTIFS($AO$2:$AO$200,$G104)&gt;0,
    COUNTIFS($AP$2:$AP$200,$G104)&gt;0,
    COUNTIFS($AQ$2:$AQ$200,$G104)&gt;0,
    COUNTIFS($AR$2:$AR$200,$G104)&gt;0,
    COUNTIFS($AS$2:$AS$200,$G104)&gt;0,
    COUNTIFS($AT$2:$AT$200,$G104)&gt;0,
    COUNTIFS($AU$2:$AU$200,$G104)&gt;0,
    COUNTIFS($AV$2:$AV$200,$G104)&gt;0,
    COUNTIFS($AW$2:$AW$200,$G104)&gt;0,
    COUNTIFS($AX$2:$AX$200,$G104)&gt;0
   ),
  0)
 ),
"")</f>
        <v>Narset</v>
      </c>
      <c r="D104" s="3" t="str" cm="1">
        <f t="array" aca="1" ref="D104" ca="1">IFERROR(
 INDEX(
  _xlfn._xlws.FILTER($U$1:$AX$1,
   TRANSPOSE(
    CHOOSE({1;2;3;4;5;6;7;8;9;10;11;12;13;14;15;16;17;18;19;20;21;22;23;24;25;26;27;28;29;30},
     COUNTIFS($U$2:$U$200,$G104)&gt;0,
     COUNTIFS($V$2:$V$200,$G104)&gt;0,
     COUNTIFS($W$2:$W$200,$G104)&gt;0,
     COUNTIFS($X$2:$X$200,$G104)&gt;0,
     COUNTIFS($Y$2:$Y$200,$G104)&gt;0,
     COUNTIFS($Z$2:$Z$200,$G104)&gt;0,
     COUNTIFS($AA$2:$AA$200,$G104)&gt;0,
     COUNTIFS($AB$2:$AB$200,$G104)&gt;0,
     COUNTIFS($AC$2:$AC$200,$G104)&gt;0,
     COUNTIFS($AD$2:$AD$200,$G104)&gt;0,
     COUNTIFS($AE$2:$AE$200,$G104)&gt;0,
     COUNTIFS($AF$2:$AF$200,$G104)&gt;0,
     COUNTIFS($AG$2:$AG$200,$G104)&gt;0,
     COUNTIFS($AH$2:$AH$200,$G104)&gt;0,
     COUNTIFS($AI$2:$AI$200,$G104)&gt;0,
     COUNTIFS($AJ$2:$AJ$200,$G104)&gt;0,
     COUNTIFS($AK$2:$AK$200,$G104)&gt;0,
     COUNTIFS($AL$2:$AL$200,$G104)&gt;0,
     COUNTIFS($AM$2:$AM$200,$G104)&gt;0,
     COUNTIFS($AN$2:$AN$200,$G104)&gt;0,
     COUNTIFS($AO$2:$AO$200,$G104)&gt;0,
     COUNTIFS($AP$2:$AP$200,$G104)&gt;0,
     COUNTIFS($AQ$2:$AQ$200,$G104)&gt;0,
     COUNTIFS($AR$2:$AR$200,$G104)&gt;0,
     COUNTIFS($AS$2:$AS$200,$G104)&gt;0,
     COUNTIFS($AT$2:$AT$200,$G104)&gt;0,
     COUNTIFS($AU$2:$AU$200,$G104)&gt;0,
     COUNTIFS($AV$2:$AV$200,$G104)&gt;0,
     COUNTIFS($AW$2:$AW$200,$G104)&gt;0,
     COUNTIFS($AX$2:$AX$200,$G104)&gt;0
   )),
  ),
  2
 ),
"")</f>
        <v/>
      </c>
      <c r="E104" s="3" t="str" cm="1">
        <f t="array" aca="1" ref="E104" ca="1">IFERROR(
 INDEX(
  _xlfn._xlws.FILTER($U$1:$AX$1,
   TRANSPOSE(
    CHOOSE({1;2;3;4;5;6;7;8;9;10;11;12;13;14;15;16;17;18;19;20;21;22;23;24;25;26;27;28;29;30},
     COUNTIFS($U$2:$U$200,$G104)&gt;0,
     COUNTIFS($V$2:$V$200,$G104)&gt;0,
     COUNTIFS($W$2:$W$200,$G104)&gt;0,
     COUNTIFS($X$2:$X$200,$G104)&gt;0,
     COUNTIFS($Y$2:$Y$200,$G104)&gt;0,
     COUNTIFS($Z$2:$Z$200,$G104)&gt;0,
     COUNTIFS($AA$2:$AA$200,$G104)&gt;0,
     COUNTIFS($AB$2:$AB$200,$G104)&gt;0,
     COUNTIFS($AC$2:$AC$200,$G104)&gt;0,
     COUNTIFS($AD$2:$AD$200,$G104)&gt;0,
     COUNTIFS($AE$2:$AE$200,$G104)&gt;0,
     COUNTIFS($AF$2:$AF$200,$G104)&gt;0,
     COUNTIFS($AG$2:$AG$200,$G104)&gt;0,
     COUNTIFS($AH$2:$AH$200,$G104)&gt;0,
     COUNTIFS($AI$2:$AI$200,$G104)&gt;0,
     COUNTIFS($AJ$2:$AJ$200,$G104)&gt;0,
     COUNTIFS($AK$2:$AK$200,$G104)&gt;0,
     COUNTIFS($AL$2:$AL$200,$G104)&gt;0,
     COUNTIFS($AM$2:$AM$200,$G104)&gt;0,
     COUNTIFS($AN$2:$AN$200,$G104)&gt;0,
     COUNTIFS($AO$2:$AO$200,$G104)&gt;0,
     COUNTIFS($AP$2:$AP$200,$G104)&gt;0,
     COUNTIFS($AQ$2:$AQ$200,$G104)&gt;0,
     COUNTIFS($AR$2:$AR$200,$G104)&gt;0,
     COUNTIFS($AS$2:$AS$200,$G104)&gt;0,
     COUNTIFS($AT$2:$AT$200,$G104)&gt;0,
     COUNTIFS($AU$2:$AU$200,$G104)&gt;0,
     COUNTIFS($AV$2:$AV$200,$G104)&gt;0,
     COUNTIFS($AW$2:$AW$200,$G104)&gt;0,
     COUNTIFS($AX$2:$AX$200,$G104)&gt;0
   )),
  ),
  3
 ),
"")</f>
        <v/>
      </c>
      <c r="F104" s="3" t="str" cm="1">
        <f t="array" aca="1" ref="F104" ca="1">IFERROR(
 INDEX(
  _xlfn._xlws.FILTER($U$1:$AX$1,
   TRANSPOSE(
    CHOOSE({1;2;3;4;5;6;7;8;9;10;11;12;13;14;15;16;17;18;19;20;21;22;23;24;25;26;27;28;29;30},
     COUNTIFS($U$2:$U$200,$G104)&gt;0,
     COUNTIFS($V$2:$V$200,$G104)&gt;0,
     COUNTIFS($W$2:$W$200,$G104)&gt;0,
     COUNTIFS($X$2:$X$200,$G104)&gt;0,
     COUNTIFS($Y$2:$Y$200,$G104)&gt;0,
     COUNTIFS($Z$2:$Z$200,$G104)&gt;0,
     COUNTIFS($AA$2:$AA$200,$G104)&gt;0,
     COUNTIFS($AB$2:$AB$200,$G104)&gt;0,
     COUNTIFS($AC$2:$AC$200,$G104)&gt;0,
     COUNTIFS($AD$2:$AD$200,$G104)&gt;0,
     COUNTIFS($AE$2:$AE$200,$G104)&gt;0,
     COUNTIFS($AF$2:$AF$200,$G104)&gt;0,
     COUNTIFS($AG$2:$AG$200,$G104)&gt;0,
     COUNTIFS($AH$2:$AH$200,$G104)&gt;0,
     COUNTIFS($AI$2:$AI$200,$G104)&gt;0,
     COUNTIFS($AJ$2:$AJ$200,$G104)&gt;0,
     COUNTIFS($AK$2:$AK$200,$G104)&gt;0,
     COUNTIFS($AL$2:$AL$200,$G104)&gt;0,
     COUNTIFS($AM$2:$AM$200,$G104)&gt;0,
     COUNTIFS($AN$2:$AN$200,$G104)&gt;0,
     COUNTIFS($AO$2:$AO$200,$G104)&gt;0,
     COUNTIFS($AP$2:$AP$200,$G104)&gt;0,
     COUNTIFS($AQ$2:$AQ$200,$G104)&gt;0,
     COUNTIFS($AR$2:$AR$200,$G104)&gt;0,
     COUNTIFS($AS$2:$AS$200,$G104)&gt;0,
     COUNTIFS($AT$2:$AT$200,$G104)&gt;0,
     COUNTIFS($AU$2:$AU$200,$G104)&gt;0,
     COUNTIFS($AV$2:$AV$200,$G104)&gt;0,
     COUNTIFS($AW$2:$AW$200,$G104)&gt;0,
     COUNTIFS($AX$2:$AX$200,$G104)&gt;0
   )),
  ),
  4
 ),
"")</f>
        <v/>
      </c>
      <c r="G104" t="str">
        <f ca="1"/>
        <v>Ghostly Prison</v>
      </c>
      <c r="BS104" t="str">
        <f ca="1"/>
        <v>Zellix, Sanity Flayer</v>
      </c>
      <c r="CB104" t="str">
        <f ca="1"/>
        <v>Scalding Tarn</v>
      </c>
      <c r="CG104" t="str">
        <f ca="1"/>
        <v>Kaya the Inexorable</v>
      </c>
      <c r="CH104" t="str">
        <f ca="1"/>
        <v>Uthros, Titanic Godcore</v>
      </c>
      <c r="CJ104" t="str">
        <f ca="1"/>
        <v>Ghostly Prison</v>
      </c>
    </row>
    <row r="105" spans="1:88" x14ac:dyDescent="0.25">
      <c r="A105" s="3" t="str">
        <f t="shared" ca="1" si="4"/>
        <v>2</v>
      </c>
      <c r="B105" s="3">
        <f t="shared" ca="1" si="5"/>
        <v>1</v>
      </c>
      <c r="C105" s="3" t="str">
        <f ca="1">IFERROR(
 INDEX($U$1:$AX$1,
  MATCH(TRUE,
   CHOOSE({1;2;3;4;5;6;7;8;9;10;11;12;13;14;15;16;17;18;19;20;21;22;23;24;25;26;27;28;29;30;31;32},
    COUNTIFS($U$2:$U$200,$G105)&gt;0,
    COUNTIFS($V$2:$V$200,$G105)&gt;0,
    COUNTIFS($W$2:$W$200,$G105)&gt;0,
    COUNTIFS($X$2:$X$200,$G105)&gt;0,
    COUNTIFS($Y$2:$Y$200,$G105)&gt;0,
    COUNTIFS($Z$2:$Z$200,$G105)&gt;0,
    COUNTIFS($AA$2:$AA$200,$G105)&gt;0,
    COUNTIFS($AB$2:$AB$200,$G105)&gt;0,
    COUNTIFS($AC$2:$AC$200,$G105)&gt;0,
    COUNTIFS($AD$2:$AD$200,$G105)&gt;0,
    COUNTIFS($AE$2:$AE$200,$G105)&gt;0,
    COUNTIFS($AF$2:$AF$200,$G105)&gt;0,
    COUNTIFS($AG$2:$AG$200,$G105)&gt;0,
    COUNTIFS($AH$2:$AH$200,$G105)&gt;0,
    COUNTIFS($AI$2:$AI$200,$G105)&gt;0,
    COUNTIFS($AJ$2:$AJ$200,$G105)&gt;0,
    COUNTIFS($AK$2:$AK$200,$G105)&gt;0,
    COUNTIFS($AL$2:$AL$200,$G105)&gt;0,
    COUNTIFS($AM$2:$AM$200,$G105)&gt;0,
    COUNTIFS($AN$2:$AN$200,$G105)&gt;0,
    COUNTIFS($AO$2:$AO$200,$G105)&gt;0,
    COUNTIFS($AP$2:$AP$200,$G105)&gt;0,
    COUNTIFS($AQ$2:$AQ$200,$G105)&gt;0,
    COUNTIFS($AR$2:$AR$200,$G105)&gt;0,
    COUNTIFS($AS$2:$AS$200,$G105)&gt;0,
    COUNTIFS($AT$2:$AT$200,$G105)&gt;0,
    COUNTIFS($AU$2:$AU$200,$G105)&gt;0,
    COUNTIFS($AV$2:$AV$200,$G105)&gt;0,
    COUNTIFS($AW$2:$AW$200,$G105)&gt;0,
    COUNTIFS($AX$2:$AX$200,$G105)&gt;0
   ),
  0)
 ),
"")</f>
        <v>Rani</v>
      </c>
      <c r="D105" s="3" t="str" cm="1">
        <f t="array" aca="1" ref="D105" ca="1">IFERROR(
 INDEX(
  _xlfn._xlws.FILTER($U$1:$AX$1,
   TRANSPOSE(
    CHOOSE({1;2;3;4;5;6;7;8;9;10;11;12;13;14;15;16;17;18;19;20;21;22;23;24;25;26;27;28;29;30},
     COUNTIFS($U$2:$U$200,$G105)&gt;0,
     COUNTIFS($V$2:$V$200,$G105)&gt;0,
     COUNTIFS($W$2:$W$200,$G105)&gt;0,
     COUNTIFS($X$2:$X$200,$G105)&gt;0,
     COUNTIFS($Y$2:$Y$200,$G105)&gt;0,
     COUNTIFS($Z$2:$Z$200,$G105)&gt;0,
     COUNTIFS($AA$2:$AA$200,$G105)&gt;0,
     COUNTIFS($AB$2:$AB$200,$G105)&gt;0,
     COUNTIFS($AC$2:$AC$200,$G105)&gt;0,
     COUNTIFS($AD$2:$AD$200,$G105)&gt;0,
     COUNTIFS($AE$2:$AE$200,$G105)&gt;0,
     COUNTIFS($AF$2:$AF$200,$G105)&gt;0,
     COUNTIFS($AG$2:$AG$200,$G105)&gt;0,
     COUNTIFS($AH$2:$AH$200,$G105)&gt;0,
     COUNTIFS($AI$2:$AI$200,$G105)&gt;0,
     COUNTIFS($AJ$2:$AJ$200,$G105)&gt;0,
     COUNTIFS($AK$2:$AK$200,$G105)&gt;0,
     COUNTIFS($AL$2:$AL$200,$G105)&gt;0,
     COUNTIFS($AM$2:$AM$200,$G105)&gt;0,
     COUNTIFS($AN$2:$AN$200,$G105)&gt;0,
     COUNTIFS($AO$2:$AO$200,$G105)&gt;0,
     COUNTIFS($AP$2:$AP$200,$G105)&gt;0,
     COUNTIFS($AQ$2:$AQ$200,$G105)&gt;0,
     COUNTIFS($AR$2:$AR$200,$G105)&gt;0,
     COUNTIFS($AS$2:$AS$200,$G105)&gt;0,
     COUNTIFS($AT$2:$AT$200,$G105)&gt;0,
     COUNTIFS($AU$2:$AU$200,$G105)&gt;0,
     COUNTIFS($AV$2:$AV$200,$G105)&gt;0,
     COUNTIFS($AW$2:$AW$200,$G105)&gt;0,
     COUNTIFS($AX$2:$AX$200,$G105)&gt;0
   )),
  ),
  2
 ),
"")</f>
        <v/>
      </c>
      <c r="E105" s="3" t="str" cm="1">
        <f t="array" aca="1" ref="E105" ca="1">IFERROR(
 INDEX(
  _xlfn._xlws.FILTER($U$1:$AX$1,
   TRANSPOSE(
    CHOOSE({1;2;3;4;5;6;7;8;9;10;11;12;13;14;15;16;17;18;19;20;21;22;23;24;25;26;27;28;29;30},
     COUNTIFS($U$2:$U$200,$G105)&gt;0,
     COUNTIFS($V$2:$V$200,$G105)&gt;0,
     COUNTIFS($W$2:$W$200,$G105)&gt;0,
     COUNTIFS($X$2:$X$200,$G105)&gt;0,
     COUNTIFS($Y$2:$Y$200,$G105)&gt;0,
     COUNTIFS($Z$2:$Z$200,$G105)&gt;0,
     COUNTIFS($AA$2:$AA$200,$G105)&gt;0,
     COUNTIFS($AB$2:$AB$200,$G105)&gt;0,
     COUNTIFS($AC$2:$AC$200,$G105)&gt;0,
     COUNTIFS($AD$2:$AD$200,$G105)&gt;0,
     COUNTIFS($AE$2:$AE$200,$G105)&gt;0,
     COUNTIFS($AF$2:$AF$200,$G105)&gt;0,
     COUNTIFS($AG$2:$AG$200,$G105)&gt;0,
     COUNTIFS($AH$2:$AH$200,$G105)&gt;0,
     COUNTIFS($AI$2:$AI$200,$G105)&gt;0,
     COUNTIFS($AJ$2:$AJ$200,$G105)&gt;0,
     COUNTIFS($AK$2:$AK$200,$G105)&gt;0,
     COUNTIFS($AL$2:$AL$200,$G105)&gt;0,
     COUNTIFS($AM$2:$AM$200,$G105)&gt;0,
     COUNTIFS($AN$2:$AN$200,$G105)&gt;0,
     COUNTIFS($AO$2:$AO$200,$G105)&gt;0,
     COUNTIFS($AP$2:$AP$200,$G105)&gt;0,
     COUNTIFS($AQ$2:$AQ$200,$G105)&gt;0,
     COUNTIFS($AR$2:$AR$200,$G105)&gt;0,
     COUNTIFS($AS$2:$AS$200,$G105)&gt;0,
     COUNTIFS($AT$2:$AT$200,$G105)&gt;0,
     COUNTIFS($AU$2:$AU$200,$G105)&gt;0,
     COUNTIFS($AV$2:$AV$200,$G105)&gt;0,
     COUNTIFS($AW$2:$AW$200,$G105)&gt;0,
     COUNTIFS($AX$2:$AX$200,$G105)&gt;0
   )),
  ),
  3
 ),
"")</f>
        <v/>
      </c>
      <c r="F105" s="3" t="str" cm="1">
        <f t="array" aca="1" ref="F105" ca="1">IFERROR(
 INDEX(
  _xlfn._xlws.FILTER($U$1:$AX$1,
   TRANSPOSE(
    CHOOSE({1;2;3;4;5;6;7;8;9;10;11;12;13;14;15;16;17;18;19;20;21;22;23;24;25;26;27;28;29;30},
     COUNTIFS($U$2:$U$200,$G105)&gt;0,
     COUNTIFS($V$2:$V$200,$G105)&gt;0,
     COUNTIFS($W$2:$W$200,$G105)&gt;0,
     COUNTIFS($X$2:$X$200,$G105)&gt;0,
     COUNTIFS($Y$2:$Y$200,$G105)&gt;0,
     COUNTIFS($Z$2:$Z$200,$G105)&gt;0,
     COUNTIFS($AA$2:$AA$200,$G105)&gt;0,
     COUNTIFS($AB$2:$AB$200,$G105)&gt;0,
     COUNTIFS($AC$2:$AC$200,$G105)&gt;0,
     COUNTIFS($AD$2:$AD$200,$G105)&gt;0,
     COUNTIFS($AE$2:$AE$200,$G105)&gt;0,
     COUNTIFS($AF$2:$AF$200,$G105)&gt;0,
     COUNTIFS($AG$2:$AG$200,$G105)&gt;0,
     COUNTIFS($AH$2:$AH$200,$G105)&gt;0,
     COUNTIFS($AI$2:$AI$200,$G105)&gt;0,
     COUNTIFS($AJ$2:$AJ$200,$G105)&gt;0,
     COUNTIFS($AK$2:$AK$200,$G105)&gt;0,
     COUNTIFS($AL$2:$AL$200,$G105)&gt;0,
     COUNTIFS($AM$2:$AM$200,$G105)&gt;0,
     COUNTIFS($AN$2:$AN$200,$G105)&gt;0,
     COUNTIFS($AO$2:$AO$200,$G105)&gt;0,
     COUNTIFS($AP$2:$AP$200,$G105)&gt;0,
     COUNTIFS($AQ$2:$AQ$200,$G105)&gt;0,
     COUNTIFS($AR$2:$AR$200,$G105)&gt;0,
     COUNTIFS($AS$2:$AS$200,$G105)&gt;0,
     COUNTIFS($AT$2:$AT$200,$G105)&gt;0,
     COUNTIFS($AU$2:$AU$200,$G105)&gt;0,
     COUNTIFS($AV$2:$AV$200,$G105)&gt;0,
     COUNTIFS($AW$2:$AW$200,$G105)&gt;0,
     COUNTIFS($AX$2:$AX$200,$G105)&gt;0
   )),
  ),
  4
 ),
"")</f>
        <v/>
      </c>
      <c r="G105" t="str">
        <f ca="1"/>
        <v>Ghoulish Impetus</v>
      </c>
      <c r="CB105" t="str">
        <f ca="1"/>
        <v>Sea of Clouds</v>
      </c>
      <c r="CG105" t="str">
        <f ca="1"/>
        <v>Keen Duelist</v>
      </c>
      <c r="CH105" t="str">
        <f ca="1"/>
        <v>Valfenda</v>
      </c>
      <c r="CJ105" t="str">
        <f ca="1"/>
        <v>Ghoulish Impetus</v>
      </c>
    </row>
    <row r="106" spans="1:88" x14ac:dyDescent="0.25">
      <c r="A106" s="3" t="str">
        <f t="shared" ca="1" si="4"/>
        <v>3</v>
      </c>
      <c r="B106" s="3">
        <f t="shared" ca="1" si="5"/>
        <v>1</v>
      </c>
      <c r="C106" s="3" t="str">
        <f ca="1">IFERROR(
 INDEX($U$1:$AX$1,
  MATCH(TRUE,
   CHOOSE({1;2;3;4;5;6;7;8;9;10;11;12;13;14;15;16;17;18;19;20;21;22;23;24;25;26;27;28;29;30;31;32},
    COUNTIFS($U$2:$U$200,$G106)&gt;0,
    COUNTIFS($V$2:$V$200,$G106)&gt;0,
    COUNTIFS($W$2:$W$200,$G106)&gt;0,
    COUNTIFS($X$2:$X$200,$G106)&gt;0,
    COUNTIFS($Y$2:$Y$200,$G106)&gt;0,
    COUNTIFS($Z$2:$Z$200,$G106)&gt;0,
    COUNTIFS($AA$2:$AA$200,$G106)&gt;0,
    COUNTIFS($AB$2:$AB$200,$G106)&gt;0,
    COUNTIFS($AC$2:$AC$200,$G106)&gt;0,
    COUNTIFS($AD$2:$AD$200,$G106)&gt;0,
    COUNTIFS($AE$2:$AE$200,$G106)&gt;0,
    COUNTIFS($AF$2:$AF$200,$G106)&gt;0,
    COUNTIFS($AG$2:$AG$200,$G106)&gt;0,
    COUNTIFS($AH$2:$AH$200,$G106)&gt;0,
    COUNTIFS($AI$2:$AI$200,$G106)&gt;0,
    COUNTIFS($AJ$2:$AJ$200,$G106)&gt;0,
    COUNTIFS($AK$2:$AK$200,$G106)&gt;0,
    COUNTIFS($AL$2:$AL$200,$G106)&gt;0,
    COUNTIFS($AM$2:$AM$200,$G106)&gt;0,
    COUNTIFS($AN$2:$AN$200,$G106)&gt;0,
    COUNTIFS($AO$2:$AO$200,$G106)&gt;0,
    COUNTIFS($AP$2:$AP$200,$G106)&gt;0,
    COUNTIFS($AQ$2:$AQ$200,$G106)&gt;0,
    COUNTIFS($AR$2:$AR$200,$G106)&gt;0,
    COUNTIFS($AS$2:$AS$200,$G106)&gt;0,
    COUNTIFS($AT$2:$AT$200,$G106)&gt;0,
    COUNTIFS($AU$2:$AU$200,$G106)&gt;0,
    COUNTIFS($AV$2:$AV$200,$G106)&gt;0,
    COUNTIFS($AW$2:$AW$200,$G106)&gt;0,
    COUNTIFS($AX$2:$AX$200,$G106)&gt;0
   ),
  0)
 ),
"")</f>
        <v>Carlos</v>
      </c>
      <c r="D106" s="3" t="str" cm="1">
        <f t="array" aca="1" ref="D106" ca="1">IFERROR(
 INDEX(
  _xlfn._xlws.FILTER($U$1:$AX$1,
   TRANSPOSE(
    CHOOSE({1;2;3;4;5;6;7;8;9;10;11;12;13;14;15;16;17;18;19;20;21;22;23;24;25;26;27;28;29;30},
     COUNTIFS($U$2:$U$200,$G106)&gt;0,
     COUNTIFS($V$2:$V$200,$G106)&gt;0,
     COUNTIFS($W$2:$W$200,$G106)&gt;0,
     COUNTIFS($X$2:$X$200,$G106)&gt;0,
     COUNTIFS($Y$2:$Y$200,$G106)&gt;0,
     COUNTIFS($Z$2:$Z$200,$G106)&gt;0,
     COUNTIFS($AA$2:$AA$200,$G106)&gt;0,
     COUNTIFS($AB$2:$AB$200,$G106)&gt;0,
     COUNTIFS($AC$2:$AC$200,$G106)&gt;0,
     COUNTIFS($AD$2:$AD$200,$G106)&gt;0,
     COUNTIFS($AE$2:$AE$200,$G106)&gt;0,
     COUNTIFS($AF$2:$AF$200,$G106)&gt;0,
     COUNTIFS($AG$2:$AG$200,$G106)&gt;0,
     COUNTIFS($AH$2:$AH$200,$G106)&gt;0,
     COUNTIFS($AI$2:$AI$200,$G106)&gt;0,
     COUNTIFS($AJ$2:$AJ$200,$G106)&gt;0,
     COUNTIFS($AK$2:$AK$200,$G106)&gt;0,
     COUNTIFS($AL$2:$AL$200,$G106)&gt;0,
     COUNTIFS($AM$2:$AM$200,$G106)&gt;0,
     COUNTIFS($AN$2:$AN$200,$G106)&gt;0,
     COUNTIFS($AO$2:$AO$200,$G106)&gt;0,
     COUNTIFS($AP$2:$AP$200,$G106)&gt;0,
     COUNTIFS($AQ$2:$AQ$200,$G106)&gt;0,
     COUNTIFS($AR$2:$AR$200,$G106)&gt;0,
     COUNTIFS($AS$2:$AS$200,$G106)&gt;0,
     COUNTIFS($AT$2:$AT$200,$G106)&gt;0,
     COUNTIFS($AU$2:$AU$200,$G106)&gt;0,
     COUNTIFS($AV$2:$AV$200,$G106)&gt;0,
     COUNTIFS($AW$2:$AW$200,$G106)&gt;0,
     COUNTIFS($AX$2:$AX$200,$G106)&gt;0
   )),
  ),
  2
 ),
"")</f>
        <v/>
      </c>
      <c r="E106" s="3" t="str" cm="1">
        <f t="array" aca="1" ref="E106" ca="1">IFERROR(
 INDEX(
  _xlfn._xlws.FILTER($U$1:$AX$1,
   TRANSPOSE(
    CHOOSE({1;2;3;4;5;6;7;8;9;10;11;12;13;14;15;16;17;18;19;20;21;22;23;24;25;26;27;28;29;30},
     COUNTIFS($U$2:$U$200,$G106)&gt;0,
     COUNTIFS($V$2:$V$200,$G106)&gt;0,
     COUNTIFS($W$2:$W$200,$G106)&gt;0,
     COUNTIFS($X$2:$X$200,$G106)&gt;0,
     COUNTIFS($Y$2:$Y$200,$G106)&gt;0,
     COUNTIFS($Z$2:$Z$200,$G106)&gt;0,
     COUNTIFS($AA$2:$AA$200,$G106)&gt;0,
     COUNTIFS($AB$2:$AB$200,$G106)&gt;0,
     COUNTIFS($AC$2:$AC$200,$G106)&gt;0,
     COUNTIFS($AD$2:$AD$200,$G106)&gt;0,
     COUNTIFS($AE$2:$AE$200,$G106)&gt;0,
     COUNTIFS($AF$2:$AF$200,$G106)&gt;0,
     COUNTIFS($AG$2:$AG$200,$G106)&gt;0,
     COUNTIFS($AH$2:$AH$200,$G106)&gt;0,
     COUNTIFS($AI$2:$AI$200,$G106)&gt;0,
     COUNTIFS($AJ$2:$AJ$200,$G106)&gt;0,
     COUNTIFS($AK$2:$AK$200,$G106)&gt;0,
     COUNTIFS($AL$2:$AL$200,$G106)&gt;0,
     COUNTIFS($AM$2:$AM$200,$G106)&gt;0,
     COUNTIFS($AN$2:$AN$200,$G106)&gt;0,
     COUNTIFS($AO$2:$AO$200,$G106)&gt;0,
     COUNTIFS($AP$2:$AP$200,$G106)&gt;0,
     COUNTIFS($AQ$2:$AQ$200,$G106)&gt;0,
     COUNTIFS($AR$2:$AR$200,$G106)&gt;0,
     COUNTIFS($AS$2:$AS$200,$G106)&gt;0,
     COUNTIFS($AT$2:$AT$200,$G106)&gt;0,
     COUNTIFS($AU$2:$AU$200,$G106)&gt;0,
     COUNTIFS($AV$2:$AV$200,$G106)&gt;0,
     COUNTIFS($AW$2:$AW$200,$G106)&gt;0,
     COUNTIFS($AX$2:$AX$200,$G106)&gt;0
   )),
  ),
  3
 ),
"")</f>
        <v/>
      </c>
      <c r="F106" s="3" t="str" cm="1">
        <f t="array" aca="1" ref="F106" ca="1">IFERROR(
 INDEX(
  _xlfn._xlws.FILTER($U$1:$AX$1,
   TRANSPOSE(
    CHOOSE({1;2;3;4;5;6;7;8;9;10;11;12;13;14;15;16;17;18;19;20;21;22;23;24;25;26;27;28;29;30},
     COUNTIFS($U$2:$U$200,$G106)&gt;0,
     COUNTIFS($V$2:$V$200,$G106)&gt;0,
     COUNTIFS($W$2:$W$200,$G106)&gt;0,
     COUNTIFS($X$2:$X$200,$G106)&gt;0,
     COUNTIFS($Y$2:$Y$200,$G106)&gt;0,
     COUNTIFS($Z$2:$Z$200,$G106)&gt;0,
     COUNTIFS($AA$2:$AA$200,$G106)&gt;0,
     COUNTIFS($AB$2:$AB$200,$G106)&gt;0,
     COUNTIFS($AC$2:$AC$200,$G106)&gt;0,
     COUNTIFS($AD$2:$AD$200,$G106)&gt;0,
     COUNTIFS($AE$2:$AE$200,$G106)&gt;0,
     COUNTIFS($AF$2:$AF$200,$G106)&gt;0,
     COUNTIFS($AG$2:$AG$200,$G106)&gt;0,
     COUNTIFS($AH$2:$AH$200,$G106)&gt;0,
     COUNTIFS($AI$2:$AI$200,$G106)&gt;0,
     COUNTIFS($AJ$2:$AJ$200,$G106)&gt;0,
     COUNTIFS($AK$2:$AK$200,$G106)&gt;0,
     COUNTIFS($AL$2:$AL$200,$G106)&gt;0,
     COUNTIFS($AM$2:$AM$200,$G106)&gt;0,
     COUNTIFS($AN$2:$AN$200,$G106)&gt;0,
     COUNTIFS($AO$2:$AO$200,$G106)&gt;0,
     COUNTIFS($AP$2:$AP$200,$G106)&gt;0,
     COUNTIFS($AQ$2:$AQ$200,$G106)&gt;0,
     COUNTIFS($AR$2:$AR$200,$G106)&gt;0,
     COUNTIFS($AS$2:$AS$200,$G106)&gt;0,
     COUNTIFS($AT$2:$AT$200,$G106)&gt;0,
     COUNTIFS($AU$2:$AU$200,$G106)&gt;0,
     COUNTIFS($AV$2:$AV$200,$G106)&gt;0,
     COUNTIFS($AW$2:$AW$200,$G106)&gt;0,
     COUNTIFS($AX$2:$AX$200,$G106)&gt;0
   )),
  ),
  4
 ),
"")</f>
        <v/>
      </c>
      <c r="G106" t="str">
        <f ca="1"/>
        <v>Giver of Runes</v>
      </c>
      <c r="CB106" t="str">
        <f ca="1"/>
        <v>Seahunter</v>
      </c>
      <c r="CG106" t="str">
        <f ca="1"/>
        <v>Kellan, the Fae-Blooded // Birthright Boon</v>
      </c>
      <c r="CH106" t="str">
        <f ca="1"/>
        <v>Warren Soultrader</v>
      </c>
      <c r="CJ106" t="str">
        <f ca="1"/>
        <v>Giver of Runes</v>
      </c>
    </row>
    <row r="107" spans="1:88" x14ac:dyDescent="0.25">
      <c r="A107" s="3" t="str">
        <f t="shared" ca="1" si="4"/>
        <v>4</v>
      </c>
      <c r="B107" s="3">
        <f t="shared" ca="1" si="5"/>
        <v>1</v>
      </c>
      <c r="C107" s="3" t="str">
        <f ca="1">IFERROR(
 INDEX($U$1:$AX$1,
  MATCH(TRUE,
   CHOOSE({1;2;3;4;5;6;7;8;9;10;11;12;13;14;15;16;17;18;19;20;21;22;23;24;25;26;27;28;29;30;31;32},
    COUNTIFS($U$2:$U$200,$G107)&gt;0,
    COUNTIFS($V$2:$V$200,$G107)&gt;0,
    COUNTIFS($W$2:$W$200,$G107)&gt;0,
    COUNTIFS($X$2:$X$200,$G107)&gt;0,
    COUNTIFS($Y$2:$Y$200,$G107)&gt;0,
    COUNTIFS($Z$2:$Z$200,$G107)&gt;0,
    COUNTIFS($AA$2:$AA$200,$G107)&gt;0,
    COUNTIFS($AB$2:$AB$200,$G107)&gt;0,
    COUNTIFS($AC$2:$AC$200,$G107)&gt;0,
    COUNTIFS($AD$2:$AD$200,$G107)&gt;0,
    COUNTIFS($AE$2:$AE$200,$G107)&gt;0,
    COUNTIFS($AF$2:$AF$200,$G107)&gt;0,
    COUNTIFS($AG$2:$AG$200,$G107)&gt;0,
    COUNTIFS($AH$2:$AH$200,$G107)&gt;0,
    COUNTIFS($AI$2:$AI$200,$G107)&gt;0,
    COUNTIFS($AJ$2:$AJ$200,$G107)&gt;0,
    COUNTIFS($AK$2:$AK$200,$G107)&gt;0,
    COUNTIFS($AL$2:$AL$200,$G107)&gt;0,
    COUNTIFS($AM$2:$AM$200,$G107)&gt;0,
    COUNTIFS($AN$2:$AN$200,$G107)&gt;0,
    COUNTIFS($AO$2:$AO$200,$G107)&gt;0,
    COUNTIFS($AP$2:$AP$200,$G107)&gt;0,
    COUNTIFS($AQ$2:$AQ$200,$G107)&gt;0,
    COUNTIFS($AR$2:$AR$200,$G107)&gt;0,
    COUNTIFS($AS$2:$AS$200,$G107)&gt;0,
    COUNTIFS($AT$2:$AT$200,$G107)&gt;0,
    COUNTIFS($AU$2:$AU$200,$G107)&gt;0,
    COUNTIFS($AV$2:$AV$200,$G107)&gt;0,
    COUNTIFS($AW$2:$AW$200,$G107)&gt;0,
    COUNTIFS($AX$2:$AX$200,$G107)&gt;0
   ),
  0)
 ),
"")</f>
        <v>Inalla</v>
      </c>
      <c r="D107" s="3" t="str" cm="1">
        <f t="array" aca="1" ref="D107" ca="1">IFERROR(
 INDEX(
  _xlfn._xlws.FILTER($U$1:$AX$1,
   TRANSPOSE(
    CHOOSE({1;2;3;4;5;6;7;8;9;10;11;12;13;14;15;16;17;18;19;20;21;22;23;24;25;26;27;28;29;30},
     COUNTIFS($U$2:$U$200,$G107)&gt;0,
     COUNTIFS($V$2:$V$200,$G107)&gt;0,
     COUNTIFS($W$2:$W$200,$G107)&gt;0,
     COUNTIFS($X$2:$X$200,$G107)&gt;0,
     COUNTIFS($Y$2:$Y$200,$G107)&gt;0,
     COUNTIFS($Z$2:$Z$200,$G107)&gt;0,
     COUNTIFS($AA$2:$AA$200,$G107)&gt;0,
     COUNTIFS($AB$2:$AB$200,$G107)&gt;0,
     COUNTIFS($AC$2:$AC$200,$G107)&gt;0,
     COUNTIFS($AD$2:$AD$200,$G107)&gt;0,
     COUNTIFS($AE$2:$AE$200,$G107)&gt;0,
     COUNTIFS($AF$2:$AF$200,$G107)&gt;0,
     COUNTIFS($AG$2:$AG$200,$G107)&gt;0,
     COUNTIFS($AH$2:$AH$200,$G107)&gt;0,
     COUNTIFS($AI$2:$AI$200,$G107)&gt;0,
     COUNTIFS($AJ$2:$AJ$200,$G107)&gt;0,
     COUNTIFS($AK$2:$AK$200,$G107)&gt;0,
     COUNTIFS($AL$2:$AL$200,$G107)&gt;0,
     COUNTIFS($AM$2:$AM$200,$G107)&gt;0,
     COUNTIFS($AN$2:$AN$200,$G107)&gt;0,
     COUNTIFS($AO$2:$AO$200,$G107)&gt;0,
     COUNTIFS($AP$2:$AP$200,$G107)&gt;0,
     COUNTIFS($AQ$2:$AQ$200,$G107)&gt;0,
     COUNTIFS($AR$2:$AR$200,$G107)&gt;0,
     COUNTIFS($AS$2:$AS$200,$G107)&gt;0,
     COUNTIFS($AT$2:$AT$200,$G107)&gt;0,
     COUNTIFS($AU$2:$AU$200,$G107)&gt;0,
     COUNTIFS($AV$2:$AV$200,$G107)&gt;0,
     COUNTIFS($AW$2:$AW$200,$G107)&gt;0,
     COUNTIFS($AX$2:$AX$200,$G107)&gt;0
   )),
  ),
  2
 ),
"")</f>
        <v/>
      </c>
      <c r="E107" s="3" t="str" cm="1">
        <f t="array" aca="1" ref="E107" ca="1">IFERROR(
 INDEX(
  _xlfn._xlws.FILTER($U$1:$AX$1,
   TRANSPOSE(
    CHOOSE({1;2;3;4;5;6;7;8;9;10;11;12;13;14;15;16;17;18;19;20;21;22;23;24;25;26;27;28;29;30},
     COUNTIFS($U$2:$U$200,$G107)&gt;0,
     COUNTIFS($V$2:$V$200,$G107)&gt;0,
     COUNTIFS($W$2:$W$200,$G107)&gt;0,
     COUNTIFS($X$2:$X$200,$G107)&gt;0,
     COUNTIFS($Y$2:$Y$200,$G107)&gt;0,
     COUNTIFS($Z$2:$Z$200,$G107)&gt;0,
     COUNTIFS($AA$2:$AA$200,$G107)&gt;0,
     COUNTIFS($AB$2:$AB$200,$G107)&gt;0,
     COUNTIFS($AC$2:$AC$200,$G107)&gt;0,
     COUNTIFS($AD$2:$AD$200,$G107)&gt;0,
     COUNTIFS($AE$2:$AE$200,$G107)&gt;0,
     COUNTIFS($AF$2:$AF$200,$G107)&gt;0,
     COUNTIFS($AG$2:$AG$200,$G107)&gt;0,
     COUNTIFS($AH$2:$AH$200,$G107)&gt;0,
     COUNTIFS($AI$2:$AI$200,$G107)&gt;0,
     COUNTIFS($AJ$2:$AJ$200,$G107)&gt;0,
     COUNTIFS($AK$2:$AK$200,$G107)&gt;0,
     COUNTIFS($AL$2:$AL$200,$G107)&gt;0,
     COUNTIFS($AM$2:$AM$200,$G107)&gt;0,
     COUNTIFS($AN$2:$AN$200,$G107)&gt;0,
     COUNTIFS($AO$2:$AO$200,$G107)&gt;0,
     COUNTIFS($AP$2:$AP$200,$G107)&gt;0,
     COUNTIFS($AQ$2:$AQ$200,$G107)&gt;0,
     COUNTIFS($AR$2:$AR$200,$G107)&gt;0,
     COUNTIFS($AS$2:$AS$200,$G107)&gt;0,
     COUNTIFS($AT$2:$AT$200,$G107)&gt;0,
     COUNTIFS($AU$2:$AU$200,$G107)&gt;0,
     COUNTIFS($AV$2:$AV$200,$G107)&gt;0,
     COUNTIFS($AW$2:$AW$200,$G107)&gt;0,
     COUNTIFS($AX$2:$AX$200,$G107)&gt;0
   )),
  ),
  3
 ),
"")</f>
        <v/>
      </c>
      <c r="F107" s="3" t="str" cm="1">
        <f t="array" aca="1" ref="F107" ca="1">IFERROR(
 INDEX(
  _xlfn._xlws.FILTER($U$1:$AX$1,
   TRANSPOSE(
    CHOOSE({1;2;3;4;5;6;7;8;9;10;11;12;13;14;15;16;17;18;19;20;21;22;23;24;25;26;27;28;29;30},
     COUNTIFS($U$2:$U$200,$G107)&gt;0,
     COUNTIFS($V$2:$V$200,$G107)&gt;0,
     COUNTIFS($W$2:$W$200,$G107)&gt;0,
     COUNTIFS($X$2:$X$200,$G107)&gt;0,
     COUNTIFS($Y$2:$Y$200,$G107)&gt;0,
     COUNTIFS($Z$2:$Z$200,$G107)&gt;0,
     COUNTIFS($AA$2:$AA$200,$G107)&gt;0,
     COUNTIFS($AB$2:$AB$200,$G107)&gt;0,
     COUNTIFS($AC$2:$AC$200,$G107)&gt;0,
     COUNTIFS($AD$2:$AD$200,$G107)&gt;0,
     COUNTIFS($AE$2:$AE$200,$G107)&gt;0,
     COUNTIFS($AF$2:$AF$200,$G107)&gt;0,
     COUNTIFS($AG$2:$AG$200,$G107)&gt;0,
     COUNTIFS($AH$2:$AH$200,$G107)&gt;0,
     COUNTIFS($AI$2:$AI$200,$G107)&gt;0,
     COUNTIFS($AJ$2:$AJ$200,$G107)&gt;0,
     COUNTIFS($AK$2:$AK$200,$G107)&gt;0,
     COUNTIFS($AL$2:$AL$200,$G107)&gt;0,
     COUNTIFS($AM$2:$AM$200,$G107)&gt;0,
     COUNTIFS($AN$2:$AN$200,$G107)&gt;0,
     COUNTIFS($AO$2:$AO$200,$G107)&gt;0,
     COUNTIFS($AP$2:$AP$200,$G107)&gt;0,
     COUNTIFS($AQ$2:$AQ$200,$G107)&gt;0,
     COUNTIFS($AR$2:$AR$200,$G107)&gt;0,
     COUNTIFS($AS$2:$AS$200,$G107)&gt;0,
     COUNTIFS($AT$2:$AT$200,$G107)&gt;0,
     COUNTIFS($AU$2:$AU$200,$G107)&gt;0,
     COUNTIFS($AV$2:$AV$200,$G107)&gt;0,
     COUNTIFS($AW$2:$AW$200,$G107)&gt;0,
     COUNTIFS($AX$2:$AX$200,$G107)&gt;0
   )),
  ),
  4
 ),
"")</f>
        <v/>
      </c>
      <c r="G107" t="str">
        <f ca="1"/>
        <v>Glasspool Mimic</v>
      </c>
      <c r="CB107" t="str">
        <f ca="1"/>
        <v>Secluded Courtyard</v>
      </c>
      <c r="CG107" t="str">
        <f ca="1"/>
        <v>Khorvath's Fury</v>
      </c>
      <c r="CH107" t="str">
        <f ca="1"/>
        <v>Watery Grave</v>
      </c>
      <c r="CJ107" t="str">
        <f ca="1"/>
        <v>Glasspool Mimic</v>
      </c>
    </row>
    <row r="108" spans="1:88" x14ac:dyDescent="0.25">
      <c r="A108" s="3" t="str">
        <f t="shared" ca="1" si="4"/>
        <v>2</v>
      </c>
      <c r="B108" s="3">
        <f t="shared" ca="1" si="5"/>
        <v>1</v>
      </c>
      <c r="C108" s="3" t="str">
        <f ca="1">IFERROR(
 INDEX($U$1:$AX$1,
  MATCH(TRUE,
   CHOOSE({1;2;3;4;5;6;7;8;9;10;11;12;13;14;15;16;17;18;19;20;21;22;23;24;25;26;27;28;29;30;31;32},
    COUNTIFS($U$2:$U$200,$G108)&gt;0,
    COUNTIFS($V$2:$V$200,$G108)&gt;0,
    COUNTIFS($W$2:$W$200,$G108)&gt;0,
    COUNTIFS($X$2:$X$200,$G108)&gt;0,
    COUNTIFS($Y$2:$Y$200,$G108)&gt;0,
    COUNTIFS($Z$2:$Z$200,$G108)&gt;0,
    COUNTIFS($AA$2:$AA$200,$G108)&gt;0,
    COUNTIFS($AB$2:$AB$200,$G108)&gt;0,
    COUNTIFS($AC$2:$AC$200,$G108)&gt;0,
    COUNTIFS($AD$2:$AD$200,$G108)&gt;0,
    COUNTIFS($AE$2:$AE$200,$G108)&gt;0,
    COUNTIFS($AF$2:$AF$200,$G108)&gt;0,
    COUNTIFS($AG$2:$AG$200,$G108)&gt;0,
    COUNTIFS($AH$2:$AH$200,$G108)&gt;0,
    COUNTIFS($AI$2:$AI$200,$G108)&gt;0,
    COUNTIFS($AJ$2:$AJ$200,$G108)&gt;0,
    COUNTIFS($AK$2:$AK$200,$G108)&gt;0,
    COUNTIFS($AL$2:$AL$200,$G108)&gt;0,
    COUNTIFS($AM$2:$AM$200,$G108)&gt;0,
    COUNTIFS($AN$2:$AN$200,$G108)&gt;0,
    COUNTIFS($AO$2:$AO$200,$G108)&gt;0,
    COUNTIFS($AP$2:$AP$200,$G108)&gt;0,
    COUNTIFS($AQ$2:$AQ$200,$G108)&gt;0,
    COUNTIFS($AR$2:$AR$200,$G108)&gt;0,
    COUNTIFS($AS$2:$AS$200,$G108)&gt;0,
    COUNTIFS($AT$2:$AT$200,$G108)&gt;0,
    COUNTIFS($AU$2:$AU$200,$G108)&gt;0,
    COUNTIFS($AV$2:$AV$200,$G108)&gt;0,
    COUNTIFS($AW$2:$AW$200,$G108)&gt;0,
    COUNTIFS($AX$2:$AX$200,$G108)&gt;0
   ),
  0)
 ),
"")</f>
        <v>Piratas</v>
      </c>
      <c r="D108" s="3" t="str" cm="1">
        <f t="array" aca="1" ref="D108" ca="1">IFERROR(
 INDEX(
  _xlfn._xlws.FILTER($U$1:$AX$1,
   TRANSPOSE(
    CHOOSE({1;2;3;4;5;6;7;8;9;10;11;12;13;14;15;16;17;18;19;20;21;22;23;24;25;26;27;28;29;30},
     COUNTIFS($U$2:$U$200,$G108)&gt;0,
     COUNTIFS($V$2:$V$200,$G108)&gt;0,
     COUNTIFS($W$2:$W$200,$G108)&gt;0,
     COUNTIFS($X$2:$X$200,$G108)&gt;0,
     COUNTIFS($Y$2:$Y$200,$G108)&gt;0,
     COUNTIFS($Z$2:$Z$200,$G108)&gt;0,
     COUNTIFS($AA$2:$AA$200,$G108)&gt;0,
     COUNTIFS($AB$2:$AB$200,$G108)&gt;0,
     COUNTIFS($AC$2:$AC$200,$G108)&gt;0,
     COUNTIFS($AD$2:$AD$200,$G108)&gt;0,
     COUNTIFS($AE$2:$AE$200,$G108)&gt;0,
     COUNTIFS($AF$2:$AF$200,$G108)&gt;0,
     COUNTIFS($AG$2:$AG$200,$G108)&gt;0,
     COUNTIFS($AH$2:$AH$200,$G108)&gt;0,
     COUNTIFS($AI$2:$AI$200,$G108)&gt;0,
     COUNTIFS($AJ$2:$AJ$200,$G108)&gt;0,
     COUNTIFS($AK$2:$AK$200,$G108)&gt;0,
     COUNTIFS($AL$2:$AL$200,$G108)&gt;0,
     COUNTIFS($AM$2:$AM$200,$G108)&gt;0,
     COUNTIFS($AN$2:$AN$200,$G108)&gt;0,
     COUNTIFS($AO$2:$AO$200,$G108)&gt;0,
     COUNTIFS($AP$2:$AP$200,$G108)&gt;0,
     COUNTIFS($AQ$2:$AQ$200,$G108)&gt;0,
     COUNTIFS($AR$2:$AR$200,$G108)&gt;0,
     COUNTIFS($AS$2:$AS$200,$G108)&gt;0,
     COUNTIFS($AT$2:$AT$200,$G108)&gt;0,
     COUNTIFS($AU$2:$AU$200,$G108)&gt;0,
     COUNTIFS($AV$2:$AV$200,$G108)&gt;0,
     COUNTIFS($AW$2:$AW$200,$G108)&gt;0,
     COUNTIFS($AX$2:$AX$200,$G108)&gt;0
   )),
  ),
  2
 ),
"")</f>
        <v/>
      </c>
      <c r="E108" s="3" t="str" cm="1">
        <f t="array" aca="1" ref="E108" ca="1">IFERROR(
 INDEX(
  _xlfn._xlws.FILTER($U$1:$AX$1,
   TRANSPOSE(
    CHOOSE({1;2;3;4;5;6;7;8;9;10;11;12;13;14;15;16;17;18;19;20;21;22;23;24;25;26;27;28;29;30},
     COUNTIFS($U$2:$U$200,$G108)&gt;0,
     COUNTIFS($V$2:$V$200,$G108)&gt;0,
     COUNTIFS($W$2:$W$200,$G108)&gt;0,
     COUNTIFS($X$2:$X$200,$G108)&gt;0,
     COUNTIFS($Y$2:$Y$200,$G108)&gt;0,
     COUNTIFS($Z$2:$Z$200,$G108)&gt;0,
     COUNTIFS($AA$2:$AA$200,$G108)&gt;0,
     COUNTIFS($AB$2:$AB$200,$G108)&gt;0,
     COUNTIFS($AC$2:$AC$200,$G108)&gt;0,
     COUNTIFS($AD$2:$AD$200,$G108)&gt;0,
     COUNTIFS($AE$2:$AE$200,$G108)&gt;0,
     COUNTIFS($AF$2:$AF$200,$G108)&gt;0,
     COUNTIFS($AG$2:$AG$200,$G108)&gt;0,
     COUNTIFS($AH$2:$AH$200,$G108)&gt;0,
     COUNTIFS($AI$2:$AI$200,$G108)&gt;0,
     COUNTIFS($AJ$2:$AJ$200,$G108)&gt;0,
     COUNTIFS($AK$2:$AK$200,$G108)&gt;0,
     COUNTIFS($AL$2:$AL$200,$G108)&gt;0,
     COUNTIFS($AM$2:$AM$200,$G108)&gt;0,
     COUNTIFS($AN$2:$AN$200,$G108)&gt;0,
     COUNTIFS($AO$2:$AO$200,$G108)&gt;0,
     COUNTIFS($AP$2:$AP$200,$G108)&gt;0,
     COUNTIFS($AQ$2:$AQ$200,$G108)&gt;0,
     COUNTIFS($AR$2:$AR$200,$G108)&gt;0,
     COUNTIFS($AS$2:$AS$200,$G108)&gt;0,
     COUNTIFS($AT$2:$AT$200,$G108)&gt;0,
     COUNTIFS($AU$2:$AU$200,$G108)&gt;0,
     COUNTIFS($AV$2:$AV$200,$G108)&gt;0,
     COUNTIFS($AW$2:$AW$200,$G108)&gt;0,
     COUNTIFS($AX$2:$AX$200,$G108)&gt;0
   )),
  ),
  3
 ),
"")</f>
        <v/>
      </c>
      <c r="F108" s="3" t="str" cm="1">
        <f t="array" aca="1" ref="F108" ca="1">IFERROR(
 INDEX(
  _xlfn._xlws.FILTER($U$1:$AX$1,
   TRANSPOSE(
    CHOOSE({1;2;3;4;5;6;7;8;9;10;11;12;13;14;15;16;17;18;19;20;21;22;23;24;25;26;27;28;29;30},
     COUNTIFS($U$2:$U$200,$G108)&gt;0,
     COUNTIFS($V$2:$V$200,$G108)&gt;0,
     COUNTIFS($W$2:$W$200,$G108)&gt;0,
     COUNTIFS($X$2:$X$200,$G108)&gt;0,
     COUNTIFS($Y$2:$Y$200,$G108)&gt;0,
     COUNTIFS($Z$2:$Z$200,$G108)&gt;0,
     COUNTIFS($AA$2:$AA$200,$G108)&gt;0,
     COUNTIFS($AB$2:$AB$200,$G108)&gt;0,
     COUNTIFS($AC$2:$AC$200,$G108)&gt;0,
     COUNTIFS($AD$2:$AD$200,$G108)&gt;0,
     COUNTIFS($AE$2:$AE$200,$G108)&gt;0,
     COUNTIFS($AF$2:$AF$200,$G108)&gt;0,
     COUNTIFS($AG$2:$AG$200,$G108)&gt;0,
     COUNTIFS($AH$2:$AH$200,$G108)&gt;0,
     COUNTIFS($AI$2:$AI$200,$G108)&gt;0,
     COUNTIFS($AJ$2:$AJ$200,$G108)&gt;0,
     COUNTIFS($AK$2:$AK$200,$G108)&gt;0,
     COUNTIFS($AL$2:$AL$200,$G108)&gt;0,
     COUNTIFS($AM$2:$AM$200,$G108)&gt;0,
     COUNTIFS($AN$2:$AN$200,$G108)&gt;0,
     COUNTIFS($AO$2:$AO$200,$G108)&gt;0,
     COUNTIFS($AP$2:$AP$200,$G108)&gt;0,
     COUNTIFS($AQ$2:$AQ$200,$G108)&gt;0,
     COUNTIFS($AR$2:$AR$200,$G108)&gt;0,
     COUNTIFS($AS$2:$AS$200,$G108)&gt;0,
     COUNTIFS($AT$2:$AT$200,$G108)&gt;0,
     COUNTIFS($AU$2:$AU$200,$G108)&gt;0,
     COUNTIFS($AV$2:$AV$200,$G108)&gt;0,
     COUNTIFS($AW$2:$AW$200,$G108)&gt;0,
     COUNTIFS($AX$2:$AX$200,$G108)&gt;0
   )),
  ),
  4
 ),
"")</f>
        <v/>
      </c>
      <c r="G108" t="str">
        <f ca="1"/>
        <v>Glint-Horn Buccaneer</v>
      </c>
      <c r="CB108" t="str">
        <f ca="1"/>
        <v>Second Harvest</v>
      </c>
      <c r="CG108" t="str">
        <f ca="1"/>
        <v>Kodama's Reach</v>
      </c>
      <c r="CH108" t="str">
        <f ca="1"/>
        <v>Westvale Abbey</v>
      </c>
      <c r="CJ108" t="str">
        <f ca="1"/>
        <v>Glint-Horn Buccaneer</v>
      </c>
    </row>
    <row r="109" spans="1:88" x14ac:dyDescent="0.25">
      <c r="A109" s="3" t="str">
        <f t="shared" ca="1" si="4"/>
        <v>3</v>
      </c>
      <c r="B109" s="3">
        <f t="shared" ca="1" si="5"/>
        <v>1</v>
      </c>
      <c r="C109" s="3" t="str">
        <f ca="1">IFERROR(
 INDEX($U$1:$AX$1,
  MATCH(TRUE,
   CHOOSE({1;2;3;4;5;6;7;8;9;10;11;12;13;14;15;16;17;18;19;20;21;22;23;24;25;26;27;28;29;30;31;32},
    COUNTIFS($U$2:$U$200,$G109)&gt;0,
    COUNTIFS($V$2:$V$200,$G109)&gt;0,
    COUNTIFS($W$2:$W$200,$G109)&gt;0,
    COUNTIFS($X$2:$X$200,$G109)&gt;0,
    COUNTIFS($Y$2:$Y$200,$G109)&gt;0,
    COUNTIFS($Z$2:$Z$200,$G109)&gt;0,
    COUNTIFS($AA$2:$AA$200,$G109)&gt;0,
    COUNTIFS($AB$2:$AB$200,$G109)&gt;0,
    COUNTIFS($AC$2:$AC$200,$G109)&gt;0,
    COUNTIFS($AD$2:$AD$200,$G109)&gt;0,
    COUNTIFS($AE$2:$AE$200,$G109)&gt;0,
    COUNTIFS($AF$2:$AF$200,$G109)&gt;0,
    COUNTIFS($AG$2:$AG$200,$G109)&gt;0,
    COUNTIFS($AH$2:$AH$200,$G109)&gt;0,
    COUNTIFS($AI$2:$AI$200,$G109)&gt;0,
    COUNTIFS($AJ$2:$AJ$200,$G109)&gt;0,
    COUNTIFS($AK$2:$AK$200,$G109)&gt;0,
    COUNTIFS($AL$2:$AL$200,$G109)&gt;0,
    COUNTIFS($AM$2:$AM$200,$G109)&gt;0,
    COUNTIFS($AN$2:$AN$200,$G109)&gt;0,
    COUNTIFS($AO$2:$AO$200,$G109)&gt;0,
    COUNTIFS($AP$2:$AP$200,$G109)&gt;0,
    COUNTIFS($AQ$2:$AQ$200,$G109)&gt;0,
    COUNTIFS($AR$2:$AR$200,$G109)&gt;0,
    COUNTIFS($AS$2:$AS$200,$G109)&gt;0,
    COUNTIFS($AT$2:$AT$200,$G109)&gt;0,
    COUNTIFS($AU$2:$AU$200,$G109)&gt;0,
    COUNTIFS($AV$2:$AV$200,$G109)&gt;0,
    COUNTIFS($AW$2:$AW$200,$G109)&gt;0,
    COUNTIFS($AX$2:$AX$200,$G109)&gt;0
   ),
  0)
 ),
"")</f>
        <v>Zimone</v>
      </c>
      <c r="D109" s="3" t="str" cm="1">
        <f t="array" aca="1" ref="D109" ca="1">IFERROR(
 INDEX(
  _xlfn._xlws.FILTER($U$1:$AX$1,
   TRANSPOSE(
    CHOOSE({1;2;3;4;5;6;7;8;9;10;11;12;13;14;15;16;17;18;19;20;21;22;23;24;25;26;27;28;29;30},
     COUNTIFS($U$2:$U$200,$G109)&gt;0,
     COUNTIFS($V$2:$V$200,$G109)&gt;0,
     COUNTIFS($W$2:$W$200,$G109)&gt;0,
     COUNTIFS($X$2:$X$200,$G109)&gt;0,
     COUNTIFS($Y$2:$Y$200,$G109)&gt;0,
     COUNTIFS($Z$2:$Z$200,$G109)&gt;0,
     COUNTIFS($AA$2:$AA$200,$G109)&gt;0,
     COUNTIFS($AB$2:$AB$200,$G109)&gt;0,
     COUNTIFS($AC$2:$AC$200,$G109)&gt;0,
     COUNTIFS($AD$2:$AD$200,$G109)&gt;0,
     COUNTIFS($AE$2:$AE$200,$G109)&gt;0,
     COUNTIFS($AF$2:$AF$200,$G109)&gt;0,
     COUNTIFS($AG$2:$AG$200,$G109)&gt;0,
     COUNTIFS($AH$2:$AH$200,$G109)&gt;0,
     COUNTIFS($AI$2:$AI$200,$G109)&gt;0,
     COUNTIFS($AJ$2:$AJ$200,$G109)&gt;0,
     COUNTIFS($AK$2:$AK$200,$G109)&gt;0,
     COUNTIFS($AL$2:$AL$200,$G109)&gt;0,
     COUNTIFS($AM$2:$AM$200,$G109)&gt;0,
     COUNTIFS($AN$2:$AN$200,$G109)&gt;0,
     COUNTIFS($AO$2:$AO$200,$G109)&gt;0,
     COUNTIFS($AP$2:$AP$200,$G109)&gt;0,
     COUNTIFS($AQ$2:$AQ$200,$G109)&gt;0,
     COUNTIFS($AR$2:$AR$200,$G109)&gt;0,
     COUNTIFS($AS$2:$AS$200,$G109)&gt;0,
     COUNTIFS($AT$2:$AT$200,$G109)&gt;0,
     COUNTIFS($AU$2:$AU$200,$G109)&gt;0,
     COUNTIFS($AV$2:$AV$200,$G109)&gt;0,
     COUNTIFS($AW$2:$AW$200,$G109)&gt;0,
     COUNTIFS($AX$2:$AX$200,$G109)&gt;0
   )),
  ),
  2
 ),
"")</f>
        <v/>
      </c>
      <c r="E109" s="3" t="str" cm="1">
        <f t="array" aca="1" ref="E109" ca="1">IFERROR(
 INDEX(
  _xlfn._xlws.FILTER($U$1:$AX$1,
   TRANSPOSE(
    CHOOSE({1;2;3;4;5;6;7;8;9;10;11;12;13;14;15;16;17;18;19;20;21;22;23;24;25;26;27;28;29;30},
     COUNTIFS($U$2:$U$200,$G109)&gt;0,
     COUNTIFS($V$2:$V$200,$G109)&gt;0,
     COUNTIFS($W$2:$W$200,$G109)&gt;0,
     COUNTIFS($X$2:$X$200,$G109)&gt;0,
     COUNTIFS($Y$2:$Y$200,$G109)&gt;0,
     COUNTIFS($Z$2:$Z$200,$G109)&gt;0,
     COUNTIFS($AA$2:$AA$200,$G109)&gt;0,
     COUNTIFS($AB$2:$AB$200,$G109)&gt;0,
     COUNTIFS($AC$2:$AC$200,$G109)&gt;0,
     COUNTIFS($AD$2:$AD$200,$G109)&gt;0,
     COUNTIFS($AE$2:$AE$200,$G109)&gt;0,
     COUNTIFS($AF$2:$AF$200,$G109)&gt;0,
     COUNTIFS($AG$2:$AG$200,$G109)&gt;0,
     COUNTIFS($AH$2:$AH$200,$G109)&gt;0,
     COUNTIFS($AI$2:$AI$200,$G109)&gt;0,
     COUNTIFS($AJ$2:$AJ$200,$G109)&gt;0,
     COUNTIFS($AK$2:$AK$200,$G109)&gt;0,
     COUNTIFS($AL$2:$AL$200,$G109)&gt;0,
     COUNTIFS($AM$2:$AM$200,$G109)&gt;0,
     COUNTIFS($AN$2:$AN$200,$G109)&gt;0,
     COUNTIFS($AO$2:$AO$200,$G109)&gt;0,
     COUNTIFS($AP$2:$AP$200,$G109)&gt;0,
     COUNTIFS($AQ$2:$AQ$200,$G109)&gt;0,
     COUNTIFS($AR$2:$AR$200,$G109)&gt;0,
     COUNTIFS($AS$2:$AS$200,$G109)&gt;0,
     COUNTIFS($AT$2:$AT$200,$G109)&gt;0,
     COUNTIFS($AU$2:$AU$200,$G109)&gt;0,
     COUNTIFS($AV$2:$AV$200,$G109)&gt;0,
     COUNTIFS($AW$2:$AW$200,$G109)&gt;0,
     COUNTIFS($AX$2:$AX$200,$G109)&gt;0
   )),
  ),
  3
 ),
"")</f>
        <v/>
      </c>
      <c r="F109" s="3" t="str" cm="1">
        <f t="array" aca="1" ref="F109" ca="1">IFERROR(
 INDEX(
  _xlfn._xlws.FILTER($U$1:$AX$1,
   TRANSPOSE(
    CHOOSE({1;2;3;4;5;6;7;8;9;10;11;12;13;14;15;16;17;18;19;20;21;22;23;24;25;26;27;28;29;30},
     COUNTIFS($U$2:$U$200,$G109)&gt;0,
     COUNTIFS($V$2:$V$200,$G109)&gt;0,
     COUNTIFS($W$2:$W$200,$G109)&gt;0,
     COUNTIFS($X$2:$X$200,$G109)&gt;0,
     COUNTIFS($Y$2:$Y$200,$G109)&gt;0,
     COUNTIFS($Z$2:$Z$200,$G109)&gt;0,
     COUNTIFS($AA$2:$AA$200,$G109)&gt;0,
     COUNTIFS($AB$2:$AB$200,$G109)&gt;0,
     COUNTIFS($AC$2:$AC$200,$G109)&gt;0,
     COUNTIFS($AD$2:$AD$200,$G109)&gt;0,
     COUNTIFS($AE$2:$AE$200,$G109)&gt;0,
     COUNTIFS($AF$2:$AF$200,$G109)&gt;0,
     COUNTIFS($AG$2:$AG$200,$G109)&gt;0,
     COUNTIFS($AH$2:$AH$200,$G109)&gt;0,
     COUNTIFS($AI$2:$AI$200,$G109)&gt;0,
     COUNTIFS($AJ$2:$AJ$200,$G109)&gt;0,
     COUNTIFS($AK$2:$AK$200,$G109)&gt;0,
     COUNTIFS($AL$2:$AL$200,$G109)&gt;0,
     COUNTIFS($AM$2:$AM$200,$G109)&gt;0,
     COUNTIFS($AN$2:$AN$200,$G109)&gt;0,
     COUNTIFS($AO$2:$AO$200,$G109)&gt;0,
     COUNTIFS($AP$2:$AP$200,$G109)&gt;0,
     COUNTIFS($AQ$2:$AQ$200,$G109)&gt;0,
     COUNTIFS($AR$2:$AR$200,$G109)&gt;0,
     COUNTIFS($AS$2:$AS$200,$G109)&gt;0,
     COUNTIFS($AT$2:$AT$200,$G109)&gt;0,
     COUNTIFS($AU$2:$AU$200,$G109)&gt;0,
     COUNTIFS($AV$2:$AV$200,$G109)&gt;0,
     COUNTIFS($AW$2:$AW$200,$G109)&gt;0,
     COUNTIFS($AX$2:$AX$200,$G109)&gt;0
   )),
  ),
  4
 ),
"")</f>
        <v/>
      </c>
      <c r="G109" t="str">
        <f ca="1"/>
        <v>Grave Pact</v>
      </c>
      <c r="CB109" t="str">
        <f ca="1"/>
        <v>Seedborn Muse</v>
      </c>
      <c r="CG109" t="str">
        <f ca="1"/>
        <v>Kozilek, the Broken Reality</v>
      </c>
      <c r="CH109" t="str">
        <f ca="1"/>
        <v>Zagoth Triome</v>
      </c>
      <c r="CJ109" t="str">
        <f ca="1"/>
        <v>Grave Pact</v>
      </c>
    </row>
    <row r="110" spans="1:88" x14ac:dyDescent="0.25">
      <c r="A110" s="3" t="str">
        <f t="shared" ca="1" si="4"/>
        <v>1</v>
      </c>
      <c r="B110" s="3">
        <f t="shared" ca="1" si="5"/>
        <v>1</v>
      </c>
      <c r="C110" s="3" t="str">
        <f ca="1">IFERROR(
 INDEX($U$1:$AX$1,
  MATCH(TRUE,
   CHOOSE({1;2;3;4;5;6;7;8;9;10;11;12;13;14;15;16;17;18;19;20;21;22;23;24;25;26;27;28;29;30;31;32},
    COUNTIFS($U$2:$U$200,$G110)&gt;0,
    COUNTIFS($V$2:$V$200,$G110)&gt;0,
    COUNTIFS($W$2:$W$200,$G110)&gt;0,
    COUNTIFS($X$2:$X$200,$G110)&gt;0,
    COUNTIFS($Y$2:$Y$200,$G110)&gt;0,
    COUNTIFS($Z$2:$Z$200,$G110)&gt;0,
    COUNTIFS($AA$2:$AA$200,$G110)&gt;0,
    COUNTIFS($AB$2:$AB$200,$G110)&gt;0,
    COUNTIFS($AC$2:$AC$200,$G110)&gt;0,
    COUNTIFS($AD$2:$AD$200,$G110)&gt;0,
    COUNTIFS($AE$2:$AE$200,$G110)&gt;0,
    COUNTIFS($AF$2:$AF$200,$G110)&gt;0,
    COUNTIFS($AG$2:$AG$200,$G110)&gt;0,
    COUNTIFS($AH$2:$AH$200,$G110)&gt;0,
    COUNTIFS($AI$2:$AI$200,$G110)&gt;0,
    COUNTIFS($AJ$2:$AJ$200,$G110)&gt;0,
    COUNTIFS($AK$2:$AK$200,$G110)&gt;0,
    COUNTIFS($AL$2:$AL$200,$G110)&gt;0,
    COUNTIFS($AM$2:$AM$200,$G110)&gt;0,
    COUNTIFS($AN$2:$AN$200,$G110)&gt;0,
    COUNTIFS($AO$2:$AO$200,$G110)&gt;0,
    COUNTIFS($AP$2:$AP$200,$G110)&gt;0,
    COUNTIFS($AQ$2:$AQ$200,$G110)&gt;0,
    COUNTIFS($AR$2:$AR$200,$G110)&gt;0,
    COUNTIFS($AS$2:$AS$200,$G110)&gt;0,
    COUNTIFS($AT$2:$AT$200,$G110)&gt;0,
    COUNTIFS($AU$2:$AU$200,$G110)&gt;0,
    COUNTIFS($AV$2:$AV$200,$G110)&gt;0,
    COUNTIFS($AW$2:$AW$200,$G110)&gt;0,
    COUNTIFS($AX$2:$AX$200,$G110)&gt;0
   ),
  0)
 ),
"")</f>
        <v>Modular</v>
      </c>
      <c r="D110" s="3" t="str" cm="1">
        <f t="array" aca="1" ref="D110" ca="1">IFERROR(
 INDEX(
  _xlfn._xlws.FILTER($U$1:$AX$1,
   TRANSPOSE(
    CHOOSE({1;2;3;4;5;6;7;8;9;10;11;12;13;14;15;16;17;18;19;20;21;22;23;24;25;26;27;28;29;30},
     COUNTIFS($U$2:$U$200,$G110)&gt;0,
     COUNTIFS($V$2:$V$200,$G110)&gt;0,
     COUNTIFS($W$2:$W$200,$G110)&gt;0,
     COUNTIFS($X$2:$X$200,$G110)&gt;0,
     COUNTIFS($Y$2:$Y$200,$G110)&gt;0,
     COUNTIFS($Z$2:$Z$200,$G110)&gt;0,
     COUNTIFS($AA$2:$AA$200,$G110)&gt;0,
     COUNTIFS($AB$2:$AB$200,$G110)&gt;0,
     COUNTIFS($AC$2:$AC$200,$G110)&gt;0,
     COUNTIFS($AD$2:$AD$200,$G110)&gt;0,
     COUNTIFS($AE$2:$AE$200,$G110)&gt;0,
     COUNTIFS($AF$2:$AF$200,$G110)&gt;0,
     COUNTIFS($AG$2:$AG$200,$G110)&gt;0,
     COUNTIFS($AH$2:$AH$200,$G110)&gt;0,
     COUNTIFS($AI$2:$AI$200,$G110)&gt;0,
     COUNTIFS($AJ$2:$AJ$200,$G110)&gt;0,
     COUNTIFS($AK$2:$AK$200,$G110)&gt;0,
     COUNTIFS($AL$2:$AL$200,$G110)&gt;0,
     COUNTIFS($AM$2:$AM$200,$G110)&gt;0,
     COUNTIFS($AN$2:$AN$200,$G110)&gt;0,
     COUNTIFS($AO$2:$AO$200,$G110)&gt;0,
     COUNTIFS($AP$2:$AP$200,$G110)&gt;0,
     COUNTIFS($AQ$2:$AQ$200,$G110)&gt;0,
     COUNTIFS($AR$2:$AR$200,$G110)&gt;0,
     COUNTIFS($AS$2:$AS$200,$G110)&gt;0,
     COUNTIFS($AT$2:$AT$200,$G110)&gt;0,
     COUNTIFS($AU$2:$AU$200,$G110)&gt;0,
     COUNTIFS($AV$2:$AV$200,$G110)&gt;0,
     COUNTIFS($AW$2:$AW$200,$G110)&gt;0,
     COUNTIFS($AX$2:$AX$200,$G110)&gt;0
   )),
  ),
  2
 ),
"")</f>
        <v/>
      </c>
      <c r="E110" s="3" t="str" cm="1">
        <f t="array" aca="1" ref="E110" ca="1">IFERROR(
 INDEX(
  _xlfn._xlws.FILTER($U$1:$AX$1,
   TRANSPOSE(
    CHOOSE({1;2;3;4;5;6;7;8;9;10;11;12;13;14;15;16;17;18;19;20;21;22;23;24;25;26;27;28;29;30},
     COUNTIFS($U$2:$U$200,$G110)&gt;0,
     COUNTIFS($V$2:$V$200,$G110)&gt;0,
     COUNTIFS($W$2:$W$200,$G110)&gt;0,
     COUNTIFS($X$2:$X$200,$G110)&gt;0,
     COUNTIFS($Y$2:$Y$200,$G110)&gt;0,
     COUNTIFS($Z$2:$Z$200,$G110)&gt;0,
     COUNTIFS($AA$2:$AA$200,$G110)&gt;0,
     COUNTIFS($AB$2:$AB$200,$G110)&gt;0,
     COUNTIFS($AC$2:$AC$200,$G110)&gt;0,
     COUNTIFS($AD$2:$AD$200,$G110)&gt;0,
     COUNTIFS($AE$2:$AE$200,$G110)&gt;0,
     COUNTIFS($AF$2:$AF$200,$G110)&gt;0,
     COUNTIFS($AG$2:$AG$200,$G110)&gt;0,
     COUNTIFS($AH$2:$AH$200,$G110)&gt;0,
     COUNTIFS($AI$2:$AI$200,$G110)&gt;0,
     COUNTIFS($AJ$2:$AJ$200,$G110)&gt;0,
     COUNTIFS($AK$2:$AK$200,$G110)&gt;0,
     COUNTIFS($AL$2:$AL$200,$G110)&gt;0,
     COUNTIFS($AM$2:$AM$200,$G110)&gt;0,
     COUNTIFS($AN$2:$AN$200,$G110)&gt;0,
     COUNTIFS($AO$2:$AO$200,$G110)&gt;0,
     COUNTIFS($AP$2:$AP$200,$G110)&gt;0,
     COUNTIFS($AQ$2:$AQ$200,$G110)&gt;0,
     COUNTIFS($AR$2:$AR$200,$G110)&gt;0,
     COUNTIFS($AS$2:$AS$200,$G110)&gt;0,
     COUNTIFS($AT$2:$AT$200,$G110)&gt;0,
     COUNTIFS($AU$2:$AU$200,$G110)&gt;0,
     COUNTIFS($AV$2:$AV$200,$G110)&gt;0,
     COUNTIFS($AW$2:$AW$200,$G110)&gt;0,
     COUNTIFS($AX$2:$AX$200,$G110)&gt;0
   )),
  ),
  3
 ),
"")</f>
        <v/>
      </c>
      <c r="F110" s="3" t="str" cm="1">
        <f t="array" aca="1" ref="F110" ca="1">IFERROR(
 INDEX(
  _xlfn._xlws.FILTER($U$1:$AX$1,
   TRANSPOSE(
    CHOOSE({1;2;3;4;5;6;7;8;9;10;11;12;13;14;15;16;17;18;19;20;21;22;23;24;25;26;27;28;29;30},
     COUNTIFS($U$2:$U$200,$G110)&gt;0,
     COUNTIFS($V$2:$V$200,$G110)&gt;0,
     COUNTIFS($W$2:$W$200,$G110)&gt;0,
     COUNTIFS($X$2:$X$200,$G110)&gt;0,
     COUNTIFS($Y$2:$Y$200,$G110)&gt;0,
     COUNTIFS($Z$2:$Z$200,$G110)&gt;0,
     COUNTIFS($AA$2:$AA$200,$G110)&gt;0,
     COUNTIFS($AB$2:$AB$200,$G110)&gt;0,
     COUNTIFS($AC$2:$AC$200,$G110)&gt;0,
     COUNTIFS($AD$2:$AD$200,$G110)&gt;0,
     COUNTIFS($AE$2:$AE$200,$G110)&gt;0,
     COUNTIFS($AF$2:$AF$200,$G110)&gt;0,
     COUNTIFS($AG$2:$AG$200,$G110)&gt;0,
     COUNTIFS($AH$2:$AH$200,$G110)&gt;0,
     COUNTIFS($AI$2:$AI$200,$G110)&gt;0,
     COUNTIFS($AJ$2:$AJ$200,$G110)&gt;0,
     COUNTIFS($AK$2:$AK$200,$G110)&gt;0,
     COUNTIFS($AL$2:$AL$200,$G110)&gt;0,
     COUNTIFS($AM$2:$AM$200,$G110)&gt;0,
     COUNTIFS($AN$2:$AN$200,$G110)&gt;0,
     COUNTIFS($AO$2:$AO$200,$G110)&gt;0,
     COUNTIFS($AP$2:$AP$200,$G110)&gt;0,
     COUNTIFS($AQ$2:$AQ$200,$G110)&gt;0,
     COUNTIFS($AR$2:$AR$200,$G110)&gt;0,
     COUNTIFS($AS$2:$AS$200,$G110)&gt;0,
     COUNTIFS($AT$2:$AT$200,$G110)&gt;0,
     COUNTIFS($AU$2:$AU$200,$G110)&gt;0,
     COUNTIFS($AV$2:$AV$200,$G110)&gt;0,
     COUNTIFS($AW$2:$AW$200,$G110)&gt;0,
     COUNTIFS($AX$2:$AX$200,$G110)&gt;0
   )),
  ),
  4
 ),
"")</f>
        <v/>
      </c>
      <c r="G110" t="str">
        <f ca="1"/>
        <v>Great Furnace</v>
      </c>
      <c r="CB110" t="str">
        <f ca="1"/>
        <v>Sevinne's Reclamation</v>
      </c>
      <c r="CG110" t="str">
        <f ca="1"/>
        <v>Kutzil, Malamet Exemplar</v>
      </c>
      <c r="CH110" t="e">
        <f ca="1"/>
        <v>#REF!</v>
      </c>
      <c r="CJ110" t="str">
        <f ca="1"/>
        <v>Great Furnace</v>
      </c>
    </row>
    <row r="111" spans="1:88" x14ac:dyDescent="0.25">
      <c r="A111" s="3" t="str">
        <f t="shared" ca="1" si="4"/>
        <v>3</v>
      </c>
      <c r="B111" s="3">
        <f t="shared" ca="1" si="5"/>
        <v>1</v>
      </c>
      <c r="C111" s="3" t="str">
        <f ca="1">IFERROR(
 INDEX($U$1:$AX$1,
  MATCH(TRUE,
   CHOOSE({1;2;3;4;5;6;7;8;9;10;11;12;13;14;15;16;17;18;19;20;21;22;23;24;25;26;27;28;29;30;31;32},
    COUNTIFS($U$2:$U$200,$G111)&gt;0,
    COUNTIFS($V$2:$V$200,$G111)&gt;0,
    COUNTIFS($W$2:$W$200,$G111)&gt;0,
    COUNTIFS($X$2:$X$200,$G111)&gt;0,
    COUNTIFS($Y$2:$Y$200,$G111)&gt;0,
    COUNTIFS($Z$2:$Z$200,$G111)&gt;0,
    COUNTIFS($AA$2:$AA$200,$G111)&gt;0,
    COUNTIFS($AB$2:$AB$200,$G111)&gt;0,
    COUNTIFS($AC$2:$AC$200,$G111)&gt;0,
    COUNTIFS($AD$2:$AD$200,$G111)&gt;0,
    COUNTIFS($AE$2:$AE$200,$G111)&gt;0,
    COUNTIFS($AF$2:$AF$200,$G111)&gt;0,
    COUNTIFS($AG$2:$AG$200,$G111)&gt;0,
    COUNTIFS($AH$2:$AH$200,$G111)&gt;0,
    COUNTIFS($AI$2:$AI$200,$G111)&gt;0,
    COUNTIFS($AJ$2:$AJ$200,$G111)&gt;0,
    COUNTIFS($AK$2:$AK$200,$G111)&gt;0,
    COUNTIFS($AL$2:$AL$200,$G111)&gt;0,
    COUNTIFS($AM$2:$AM$200,$G111)&gt;0,
    COUNTIFS($AN$2:$AN$200,$G111)&gt;0,
    COUNTIFS($AO$2:$AO$200,$G111)&gt;0,
    COUNTIFS($AP$2:$AP$200,$G111)&gt;0,
    COUNTIFS($AQ$2:$AQ$200,$G111)&gt;0,
    COUNTIFS($AR$2:$AR$200,$G111)&gt;0,
    COUNTIFS($AS$2:$AS$200,$G111)&gt;0,
    COUNTIFS($AT$2:$AT$200,$G111)&gt;0,
    COUNTIFS($AU$2:$AU$200,$G111)&gt;0,
    COUNTIFS($AV$2:$AV$200,$G111)&gt;0,
    COUNTIFS($AW$2:$AW$200,$G111)&gt;0,
    COUNTIFS($AX$2:$AX$200,$G111)&gt;0
   ),
  0)
 ),
"")</f>
        <v>Carlos</v>
      </c>
      <c r="D111" s="3" t="str" cm="1">
        <f t="array" aca="1" ref="D111" ca="1">IFERROR(
 INDEX(
  _xlfn._xlws.FILTER($U$1:$AX$1,
   TRANSPOSE(
    CHOOSE({1;2;3;4;5;6;7;8;9;10;11;12;13;14;15;16;17;18;19;20;21;22;23;24;25;26;27;28;29;30},
     COUNTIFS($U$2:$U$200,$G111)&gt;0,
     COUNTIFS($V$2:$V$200,$G111)&gt;0,
     COUNTIFS($W$2:$W$200,$G111)&gt;0,
     COUNTIFS($X$2:$X$200,$G111)&gt;0,
     COUNTIFS($Y$2:$Y$200,$G111)&gt;0,
     COUNTIFS($Z$2:$Z$200,$G111)&gt;0,
     COUNTIFS($AA$2:$AA$200,$G111)&gt;0,
     COUNTIFS($AB$2:$AB$200,$G111)&gt;0,
     COUNTIFS($AC$2:$AC$200,$G111)&gt;0,
     COUNTIFS($AD$2:$AD$200,$G111)&gt;0,
     COUNTIFS($AE$2:$AE$200,$G111)&gt;0,
     COUNTIFS($AF$2:$AF$200,$G111)&gt;0,
     COUNTIFS($AG$2:$AG$200,$G111)&gt;0,
     COUNTIFS($AH$2:$AH$200,$G111)&gt;0,
     COUNTIFS($AI$2:$AI$200,$G111)&gt;0,
     COUNTIFS($AJ$2:$AJ$200,$G111)&gt;0,
     COUNTIFS($AK$2:$AK$200,$G111)&gt;0,
     COUNTIFS($AL$2:$AL$200,$G111)&gt;0,
     COUNTIFS($AM$2:$AM$200,$G111)&gt;0,
     COUNTIFS($AN$2:$AN$200,$G111)&gt;0,
     COUNTIFS($AO$2:$AO$200,$G111)&gt;0,
     COUNTIFS($AP$2:$AP$200,$G111)&gt;0,
     COUNTIFS($AQ$2:$AQ$200,$G111)&gt;0,
     COUNTIFS($AR$2:$AR$200,$G111)&gt;0,
     COUNTIFS($AS$2:$AS$200,$G111)&gt;0,
     COUNTIFS($AT$2:$AT$200,$G111)&gt;0,
     COUNTIFS($AU$2:$AU$200,$G111)&gt;0,
     COUNTIFS($AV$2:$AV$200,$G111)&gt;0,
     COUNTIFS($AW$2:$AW$200,$G111)&gt;0,
     COUNTIFS($AX$2:$AX$200,$G111)&gt;0
   )),
  ),
  2
 ),
"")</f>
        <v/>
      </c>
      <c r="E111" s="3" t="str" cm="1">
        <f t="array" aca="1" ref="E111" ca="1">IFERROR(
 INDEX(
  _xlfn._xlws.FILTER($U$1:$AX$1,
   TRANSPOSE(
    CHOOSE({1;2;3;4;5;6;7;8;9;10;11;12;13;14;15;16;17;18;19;20;21;22;23;24;25;26;27;28;29;30},
     COUNTIFS($U$2:$U$200,$G111)&gt;0,
     COUNTIFS($V$2:$V$200,$G111)&gt;0,
     COUNTIFS($W$2:$W$200,$G111)&gt;0,
     COUNTIFS($X$2:$X$200,$G111)&gt;0,
     COUNTIFS($Y$2:$Y$200,$G111)&gt;0,
     COUNTIFS($Z$2:$Z$200,$G111)&gt;0,
     COUNTIFS($AA$2:$AA$200,$G111)&gt;0,
     COUNTIFS($AB$2:$AB$200,$G111)&gt;0,
     COUNTIFS($AC$2:$AC$200,$G111)&gt;0,
     COUNTIFS($AD$2:$AD$200,$G111)&gt;0,
     COUNTIFS($AE$2:$AE$200,$G111)&gt;0,
     COUNTIFS($AF$2:$AF$200,$G111)&gt;0,
     COUNTIFS($AG$2:$AG$200,$G111)&gt;0,
     COUNTIFS($AH$2:$AH$200,$G111)&gt;0,
     COUNTIFS($AI$2:$AI$200,$G111)&gt;0,
     COUNTIFS($AJ$2:$AJ$200,$G111)&gt;0,
     COUNTIFS($AK$2:$AK$200,$G111)&gt;0,
     COUNTIFS($AL$2:$AL$200,$G111)&gt;0,
     COUNTIFS($AM$2:$AM$200,$G111)&gt;0,
     COUNTIFS($AN$2:$AN$200,$G111)&gt;0,
     COUNTIFS($AO$2:$AO$200,$G111)&gt;0,
     COUNTIFS($AP$2:$AP$200,$G111)&gt;0,
     COUNTIFS($AQ$2:$AQ$200,$G111)&gt;0,
     COUNTIFS($AR$2:$AR$200,$G111)&gt;0,
     COUNTIFS($AS$2:$AS$200,$G111)&gt;0,
     COUNTIFS($AT$2:$AT$200,$G111)&gt;0,
     COUNTIFS($AU$2:$AU$200,$G111)&gt;0,
     COUNTIFS($AV$2:$AV$200,$G111)&gt;0,
     COUNTIFS($AW$2:$AW$200,$G111)&gt;0,
     COUNTIFS($AX$2:$AX$200,$G111)&gt;0
   )),
  ),
  3
 ),
"")</f>
        <v/>
      </c>
      <c r="F111" s="3" t="str" cm="1">
        <f t="array" aca="1" ref="F111" ca="1">IFERROR(
 INDEX(
  _xlfn._xlws.FILTER($U$1:$AX$1,
   TRANSPOSE(
    CHOOSE({1;2;3;4;5;6;7;8;9;10;11;12;13;14;15;16;17;18;19;20;21;22;23;24;25;26;27;28;29;30},
     COUNTIFS($U$2:$U$200,$G111)&gt;0,
     COUNTIFS($V$2:$V$200,$G111)&gt;0,
     COUNTIFS($W$2:$W$200,$G111)&gt;0,
     COUNTIFS($X$2:$X$200,$G111)&gt;0,
     COUNTIFS($Y$2:$Y$200,$G111)&gt;0,
     COUNTIFS($Z$2:$Z$200,$G111)&gt;0,
     COUNTIFS($AA$2:$AA$200,$G111)&gt;0,
     COUNTIFS($AB$2:$AB$200,$G111)&gt;0,
     COUNTIFS($AC$2:$AC$200,$G111)&gt;0,
     COUNTIFS($AD$2:$AD$200,$G111)&gt;0,
     COUNTIFS($AE$2:$AE$200,$G111)&gt;0,
     COUNTIFS($AF$2:$AF$200,$G111)&gt;0,
     COUNTIFS($AG$2:$AG$200,$G111)&gt;0,
     COUNTIFS($AH$2:$AH$200,$G111)&gt;0,
     COUNTIFS($AI$2:$AI$200,$G111)&gt;0,
     COUNTIFS($AJ$2:$AJ$200,$G111)&gt;0,
     COUNTIFS($AK$2:$AK$200,$G111)&gt;0,
     COUNTIFS($AL$2:$AL$200,$G111)&gt;0,
     COUNTIFS($AM$2:$AM$200,$G111)&gt;0,
     COUNTIFS($AN$2:$AN$200,$G111)&gt;0,
     COUNTIFS($AO$2:$AO$200,$G111)&gt;0,
     COUNTIFS($AP$2:$AP$200,$G111)&gt;0,
     COUNTIFS($AQ$2:$AQ$200,$G111)&gt;0,
     COUNTIFS($AR$2:$AR$200,$G111)&gt;0,
     COUNTIFS($AS$2:$AS$200,$G111)&gt;0,
     COUNTIFS($AT$2:$AT$200,$G111)&gt;0,
     COUNTIFS($AU$2:$AU$200,$G111)&gt;0,
     COUNTIFS($AV$2:$AV$200,$G111)&gt;0,
     COUNTIFS($AW$2:$AW$200,$G111)&gt;0,
     COUNTIFS($AX$2:$AX$200,$G111)&gt;0
   )),
  ),
  4
 ),
"")</f>
        <v/>
      </c>
      <c r="G111" t="str">
        <f ca="1"/>
        <v>Guia das Almas</v>
      </c>
      <c r="CB111" t="str">
        <f ca="1"/>
        <v>Shelinda, Yevon Acolyte</v>
      </c>
      <c r="CG111" t="str">
        <f ca="1"/>
        <v>Lae'zel, Vlaakith's Champion</v>
      </c>
      <c r="CH111" t="e" vm="2">
        <f ca="1"/>
        <v>#VALUE!</v>
      </c>
      <c r="CJ111" t="str">
        <f ca="1"/>
        <v>Guia das Almas</v>
      </c>
    </row>
    <row r="112" spans="1:88" x14ac:dyDescent="0.25">
      <c r="A112" s="3" t="str">
        <f t="shared" ca="1" si="4"/>
        <v>1</v>
      </c>
      <c r="B112" s="3">
        <f t="shared" ca="1" si="5"/>
        <v>1</v>
      </c>
      <c r="C112" s="3" t="str">
        <f ca="1">IFERROR(
 INDEX($U$1:$AX$1,
  MATCH(TRUE,
   CHOOSE({1;2;3;4;5;6;7;8;9;10;11;12;13;14;15;16;17;18;19;20;21;22;23;24;25;26;27;28;29;30;31;32},
    COUNTIFS($U$2:$U$200,$G112)&gt;0,
    COUNTIFS($V$2:$V$200,$G112)&gt;0,
    COUNTIFS($W$2:$W$200,$G112)&gt;0,
    COUNTIFS($X$2:$X$200,$G112)&gt;0,
    COUNTIFS($Y$2:$Y$200,$G112)&gt;0,
    COUNTIFS($Z$2:$Z$200,$G112)&gt;0,
    COUNTIFS($AA$2:$AA$200,$G112)&gt;0,
    COUNTIFS($AB$2:$AB$200,$G112)&gt;0,
    COUNTIFS($AC$2:$AC$200,$G112)&gt;0,
    COUNTIFS($AD$2:$AD$200,$G112)&gt;0,
    COUNTIFS($AE$2:$AE$200,$G112)&gt;0,
    COUNTIFS($AF$2:$AF$200,$G112)&gt;0,
    COUNTIFS($AG$2:$AG$200,$G112)&gt;0,
    COUNTIFS($AH$2:$AH$200,$G112)&gt;0,
    COUNTIFS($AI$2:$AI$200,$G112)&gt;0,
    COUNTIFS($AJ$2:$AJ$200,$G112)&gt;0,
    COUNTIFS($AK$2:$AK$200,$G112)&gt;0,
    COUNTIFS($AL$2:$AL$200,$G112)&gt;0,
    COUNTIFS($AM$2:$AM$200,$G112)&gt;0,
    COUNTIFS($AN$2:$AN$200,$G112)&gt;0,
    COUNTIFS($AO$2:$AO$200,$G112)&gt;0,
    COUNTIFS($AP$2:$AP$200,$G112)&gt;0,
    COUNTIFS($AQ$2:$AQ$200,$G112)&gt;0,
    COUNTIFS($AR$2:$AR$200,$G112)&gt;0,
    COUNTIFS($AS$2:$AS$200,$G112)&gt;0,
    COUNTIFS($AT$2:$AT$200,$G112)&gt;0,
    COUNTIFS($AU$2:$AU$200,$G112)&gt;0,
    COUNTIFS($AV$2:$AV$200,$G112)&gt;0,
    COUNTIFS($AW$2:$AW$200,$G112)&gt;0,
    COUNTIFS($AX$2:$AX$200,$G112)&gt;0
   ),
  0)
 ),
"")</f>
        <v>Tayam</v>
      </c>
      <c r="D112" s="3" t="str" cm="1">
        <f t="array" aca="1" ref="D112" ca="1">IFERROR(
 INDEX(
  _xlfn._xlws.FILTER($U$1:$AX$1,
   TRANSPOSE(
    CHOOSE({1;2;3;4;5;6;7;8;9;10;11;12;13;14;15;16;17;18;19;20;21;22;23;24;25;26;27;28;29;30},
     COUNTIFS($U$2:$U$200,$G112)&gt;0,
     COUNTIFS($V$2:$V$200,$G112)&gt;0,
     COUNTIFS($W$2:$W$200,$G112)&gt;0,
     COUNTIFS($X$2:$X$200,$G112)&gt;0,
     COUNTIFS($Y$2:$Y$200,$G112)&gt;0,
     COUNTIFS($Z$2:$Z$200,$G112)&gt;0,
     COUNTIFS($AA$2:$AA$200,$G112)&gt;0,
     COUNTIFS($AB$2:$AB$200,$G112)&gt;0,
     COUNTIFS($AC$2:$AC$200,$G112)&gt;0,
     COUNTIFS($AD$2:$AD$200,$G112)&gt;0,
     COUNTIFS($AE$2:$AE$200,$G112)&gt;0,
     COUNTIFS($AF$2:$AF$200,$G112)&gt;0,
     COUNTIFS($AG$2:$AG$200,$G112)&gt;0,
     COUNTIFS($AH$2:$AH$200,$G112)&gt;0,
     COUNTIFS($AI$2:$AI$200,$G112)&gt;0,
     COUNTIFS($AJ$2:$AJ$200,$G112)&gt;0,
     COUNTIFS($AK$2:$AK$200,$G112)&gt;0,
     COUNTIFS($AL$2:$AL$200,$G112)&gt;0,
     COUNTIFS($AM$2:$AM$200,$G112)&gt;0,
     COUNTIFS($AN$2:$AN$200,$G112)&gt;0,
     COUNTIFS($AO$2:$AO$200,$G112)&gt;0,
     COUNTIFS($AP$2:$AP$200,$G112)&gt;0,
     COUNTIFS($AQ$2:$AQ$200,$G112)&gt;0,
     COUNTIFS($AR$2:$AR$200,$G112)&gt;0,
     COUNTIFS($AS$2:$AS$200,$G112)&gt;0,
     COUNTIFS($AT$2:$AT$200,$G112)&gt;0,
     COUNTIFS($AU$2:$AU$200,$G112)&gt;0,
     COUNTIFS($AV$2:$AV$200,$G112)&gt;0,
     COUNTIFS($AW$2:$AW$200,$G112)&gt;0,
     COUNTIFS($AX$2:$AX$200,$G112)&gt;0
   )),
  ),
  2
 ),
"")</f>
        <v/>
      </c>
      <c r="E112" s="3" t="str" cm="1">
        <f t="array" aca="1" ref="E112" ca="1">IFERROR(
 INDEX(
  _xlfn._xlws.FILTER($U$1:$AX$1,
   TRANSPOSE(
    CHOOSE({1;2;3;4;5;6;7;8;9;10;11;12;13;14;15;16;17;18;19;20;21;22;23;24;25;26;27;28;29;30},
     COUNTIFS($U$2:$U$200,$G112)&gt;0,
     COUNTIFS($V$2:$V$200,$G112)&gt;0,
     COUNTIFS($W$2:$W$200,$G112)&gt;0,
     COUNTIFS($X$2:$X$200,$G112)&gt;0,
     COUNTIFS($Y$2:$Y$200,$G112)&gt;0,
     COUNTIFS($Z$2:$Z$200,$G112)&gt;0,
     COUNTIFS($AA$2:$AA$200,$G112)&gt;0,
     COUNTIFS($AB$2:$AB$200,$G112)&gt;0,
     COUNTIFS($AC$2:$AC$200,$G112)&gt;0,
     COUNTIFS($AD$2:$AD$200,$G112)&gt;0,
     COUNTIFS($AE$2:$AE$200,$G112)&gt;0,
     COUNTIFS($AF$2:$AF$200,$G112)&gt;0,
     COUNTIFS($AG$2:$AG$200,$G112)&gt;0,
     COUNTIFS($AH$2:$AH$200,$G112)&gt;0,
     COUNTIFS($AI$2:$AI$200,$G112)&gt;0,
     COUNTIFS($AJ$2:$AJ$200,$G112)&gt;0,
     COUNTIFS($AK$2:$AK$200,$G112)&gt;0,
     COUNTIFS($AL$2:$AL$200,$G112)&gt;0,
     COUNTIFS($AM$2:$AM$200,$G112)&gt;0,
     COUNTIFS($AN$2:$AN$200,$G112)&gt;0,
     COUNTIFS($AO$2:$AO$200,$G112)&gt;0,
     COUNTIFS($AP$2:$AP$200,$G112)&gt;0,
     COUNTIFS($AQ$2:$AQ$200,$G112)&gt;0,
     COUNTIFS($AR$2:$AR$200,$G112)&gt;0,
     COUNTIFS($AS$2:$AS$200,$G112)&gt;0,
     COUNTIFS($AT$2:$AT$200,$G112)&gt;0,
     COUNTIFS($AU$2:$AU$200,$G112)&gt;0,
     COUNTIFS($AV$2:$AV$200,$G112)&gt;0,
     COUNTIFS($AW$2:$AW$200,$G112)&gt;0,
     COUNTIFS($AX$2:$AX$200,$G112)&gt;0
   )),
  ),
  3
 ),
"")</f>
        <v/>
      </c>
      <c r="F112" s="3" t="str" cm="1">
        <f t="array" aca="1" ref="F112" ca="1">IFERROR(
 INDEX(
  _xlfn._xlws.FILTER($U$1:$AX$1,
   TRANSPOSE(
    CHOOSE({1;2;3;4;5;6;7;8;9;10;11;12;13;14;15;16;17;18;19;20;21;22;23;24;25;26;27;28;29;30},
     COUNTIFS($U$2:$U$200,$G112)&gt;0,
     COUNTIFS($V$2:$V$200,$G112)&gt;0,
     COUNTIFS($W$2:$W$200,$G112)&gt;0,
     COUNTIFS($X$2:$X$200,$G112)&gt;0,
     COUNTIFS($Y$2:$Y$200,$G112)&gt;0,
     COUNTIFS($Z$2:$Z$200,$G112)&gt;0,
     COUNTIFS($AA$2:$AA$200,$G112)&gt;0,
     COUNTIFS($AB$2:$AB$200,$G112)&gt;0,
     COUNTIFS($AC$2:$AC$200,$G112)&gt;0,
     COUNTIFS($AD$2:$AD$200,$G112)&gt;0,
     COUNTIFS($AE$2:$AE$200,$G112)&gt;0,
     COUNTIFS($AF$2:$AF$200,$G112)&gt;0,
     COUNTIFS($AG$2:$AG$200,$G112)&gt;0,
     COUNTIFS($AH$2:$AH$200,$G112)&gt;0,
     COUNTIFS($AI$2:$AI$200,$G112)&gt;0,
     COUNTIFS($AJ$2:$AJ$200,$G112)&gt;0,
     COUNTIFS($AK$2:$AK$200,$G112)&gt;0,
     COUNTIFS($AL$2:$AL$200,$G112)&gt;0,
     COUNTIFS($AM$2:$AM$200,$G112)&gt;0,
     COUNTIFS($AN$2:$AN$200,$G112)&gt;0,
     COUNTIFS($AO$2:$AO$200,$G112)&gt;0,
     COUNTIFS($AP$2:$AP$200,$G112)&gt;0,
     COUNTIFS($AQ$2:$AQ$200,$G112)&gt;0,
     COUNTIFS($AR$2:$AR$200,$G112)&gt;0,
     COUNTIFS($AS$2:$AS$200,$G112)&gt;0,
     COUNTIFS($AT$2:$AT$200,$G112)&gt;0,
     COUNTIFS($AU$2:$AU$200,$G112)&gt;0,
     COUNTIFS($AV$2:$AV$200,$G112)&gt;0,
     COUNTIFS($AW$2:$AW$200,$G112)&gt;0,
     COUNTIFS($AX$2:$AX$200,$G112)&gt;0
   )),
  ),
  4
 ),
"")</f>
        <v/>
      </c>
      <c r="G112" t="str">
        <f ca="1"/>
        <v>Gyre Sage</v>
      </c>
      <c r="CB112" t="str">
        <f ca="1"/>
        <v>Shoot the Sheriff</v>
      </c>
      <c r="CG112" t="str">
        <f ca="1"/>
        <v>Life of the Party</v>
      </c>
      <c r="CJ112" t="str">
        <f ca="1"/>
        <v>Gyre Sage</v>
      </c>
    </row>
    <row r="113" spans="1:88" x14ac:dyDescent="0.25">
      <c r="A113" s="3" t="str">
        <f t="shared" ca="1" si="4"/>
        <v>1</v>
      </c>
      <c r="B113" s="3">
        <f t="shared" ca="1" si="5"/>
        <v>1</v>
      </c>
      <c r="C113" s="3" t="str">
        <f ca="1">IFERROR(
 INDEX($U$1:$AX$1,
  MATCH(TRUE,
   CHOOSE({1;2;3;4;5;6;7;8;9;10;11;12;13;14;15;16;17;18;19;20;21;22;23;24;25;26;27;28;29;30;31;32},
    COUNTIFS($U$2:$U$200,$G113)&gt;0,
    COUNTIFS($V$2:$V$200,$G113)&gt;0,
    COUNTIFS($W$2:$W$200,$G113)&gt;0,
    COUNTIFS($X$2:$X$200,$G113)&gt;0,
    COUNTIFS($Y$2:$Y$200,$G113)&gt;0,
    COUNTIFS($Z$2:$Z$200,$G113)&gt;0,
    COUNTIFS($AA$2:$AA$200,$G113)&gt;0,
    COUNTIFS($AB$2:$AB$200,$G113)&gt;0,
    COUNTIFS($AC$2:$AC$200,$G113)&gt;0,
    COUNTIFS($AD$2:$AD$200,$G113)&gt;0,
    COUNTIFS($AE$2:$AE$200,$G113)&gt;0,
    COUNTIFS($AF$2:$AF$200,$G113)&gt;0,
    COUNTIFS($AG$2:$AG$200,$G113)&gt;0,
    COUNTIFS($AH$2:$AH$200,$G113)&gt;0,
    COUNTIFS($AI$2:$AI$200,$G113)&gt;0,
    COUNTIFS($AJ$2:$AJ$200,$G113)&gt;0,
    COUNTIFS($AK$2:$AK$200,$G113)&gt;0,
    COUNTIFS($AL$2:$AL$200,$G113)&gt;0,
    COUNTIFS($AM$2:$AM$200,$G113)&gt;0,
    COUNTIFS($AN$2:$AN$200,$G113)&gt;0,
    COUNTIFS($AO$2:$AO$200,$G113)&gt;0,
    COUNTIFS($AP$2:$AP$200,$G113)&gt;0,
    COUNTIFS($AQ$2:$AQ$200,$G113)&gt;0,
    COUNTIFS($AR$2:$AR$200,$G113)&gt;0,
    COUNTIFS($AS$2:$AS$200,$G113)&gt;0,
    COUNTIFS($AT$2:$AT$200,$G113)&gt;0,
    COUNTIFS($AU$2:$AU$200,$G113)&gt;0,
    COUNTIFS($AV$2:$AV$200,$G113)&gt;0,
    COUNTIFS($AW$2:$AW$200,$G113)&gt;0,
    COUNTIFS($AX$2:$AX$200,$G113)&gt;0
   ),
  0)
 ),
"")</f>
        <v>Modular</v>
      </c>
      <c r="D113" s="3" t="str" cm="1">
        <f t="array" aca="1" ref="D113" ca="1">IFERROR(
 INDEX(
  _xlfn._xlws.FILTER($U$1:$AX$1,
   TRANSPOSE(
    CHOOSE({1;2;3;4;5;6;7;8;9;10;11;12;13;14;15;16;17;18;19;20;21;22;23;24;25;26;27;28;29;30},
     COUNTIFS($U$2:$U$200,$G113)&gt;0,
     COUNTIFS($V$2:$V$200,$G113)&gt;0,
     COUNTIFS($W$2:$W$200,$G113)&gt;0,
     COUNTIFS($X$2:$X$200,$G113)&gt;0,
     COUNTIFS($Y$2:$Y$200,$G113)&gt;0,
     COUNTIFS($Z$2:$Z$200,$G113)&gt;0,
     COUNTIFS($AA$2:$AA$200,$G113)&gt;0,
     COUNTIFS($AB$2:$AB$200,$G113)&gt;0,
     COUNTIFS($AC$2:$AC$200,$G113)&gt;0,
     COUNTIFS($AD$2:$AD$200,$G113)&gt;0,
     COUNTIFS($AE$2:$AE$200,$G113)&gt;0,
     COUNTIFS($AF$2:$AF$200,$G113)&gt;0,
     COUNTIFS($AG$2:$AG$200,$G113)&gt;0,
     COUNTIFS($AH$2:$AH$200,$G113)&gt;0,
     COUNTIFS($AI$2:$AI$200,$G113)&gt;0,
     COUNTIFS($AJ$2:$AJ$200,$G113)&gt;0,
     COUNTIFS($AK$2:$AK$200,$G113)&gt;0,
     COUNTIFS($AL$2:$AL$200,$G113)&gt;0,
     COUNTIFS($AM$2:$AM$200,$G113)&gt;0,
     COUNTIFS($AN$2:$AN$200,$G113)&gt;0,
     COUNTIFS($AO$2:$AO$200,$G113)&gt;0,
     COUNTIFS($AP$2:$AP$200,$G113)&gt;0,
     COUNTIFS($AQ$2:$AQ$200,$G113)&gt;0,
     COUNTIFS($AR$2:$AR$200,$G113)&gt;0,
     COUNTIFS($AS$2:$AS$200,$G113)&gt;0,
     COUNTIFS($AT$2:$AT$200,$G113)&gt;0,
     COUNTIFS($AU$2:$AU$200,$G113)&gt;0,
     COUNTIFS($AV$2:$AV$200,$G113)&gt;0,
     COUNTIFS($AW$2:$AW$200,$G113)&gt;0,
     COUNTIFS($AX$2:$AX$200,$G113)&gt;0
   )),
  ),
  2
 ),
"")</f>
        <v/>
      </c>
      <c r="E113" s="3" t="str" cm="1">
        <f t="array" aca="1" ref="E113" ca="1">IFERROR(
 INDEX(
  _xlfn._xlws.FILTER($U$1:$AX$1,
   TRANSPOSE(
    CHOOSE({1;2;3;4;5;6;7;8;9;10;11;12;13;14;15;16;17;18;19;20;21;22;23;24;25;26;27;28;29;30},
     COUNTIFS($U$2:$U$200,$G113)&gt;0,
     COUNTIFS($V$2:$V$200,$G113)&gt;0,
     COUNTIFS($W$2:$W$200,$G113)&gt;0,
     COUNTIFS($X$2:$X$200,$G113)&gt;0,
     COUNTIFS($Y$2:$Y$200,$G113)&gt;0,
     COUNTIFS($Z$2:$Z$200,$G113)&gt;0,
     COUNTIFS($AA$2:$AA$200,$G113)&gt;0,
     COUNTIFS($AB$2:$AB$200,$G113)&gt;0,
     COUNTIFS($AC$2:$AC$200,$G113)&gt;0,
     COUNTIFS($AD$2:$AD$200,$G113)&gt;0,
     COUNTIFS($AE$2:$AE$200,$G113)&gt;0,
     COUNTIFS($AF$2:$AF$200,$G113)&gt;0,
     COUNTIFS($AG$2:$AG$200,$G113)&gt;0,
     COUNTIFS($AH$2:$AH$200,$G113)&gt;0,
     COUNTIFS($AI$2:$AI$200,$G113)&gt;0,
     COUNTIFS($AJ$2:$AJ$200,$G113)&gt;0,
     COUNTIFS($AK$2:$AK$200,$G113)&gt;0,
     COUNTIFS($AL$2:$AL$200,$G113)&gt;0,
     COUNTIFS($AM$2:$AM$200,$G113)&gt;0,
     COUNTIFS($AN$2:$AN$200,$G113)&gt;0,
     COUNTIFS($AO$2:$AO$200,$G113)&gt;0,
     COUNTIFS($AP$2:$AP$200,$G113)&gt;0,
     COUNTIFS($AQ$2:$AQ$200,$G113)&gt;0,
     COUNTIFS($AR$2:$AR$200,$G113)&gt;0,
     COUNTIFS($AS$2:$AS$200,$G113)&gt;0,
     COUNTIFS($AT$2:$AT$200,$G113)&gt;0,
     COUNTIFS($AU$2:$AU$200,$G113)&gt;0,
     COUNTIFS($AV$2:$AV$200,$G113)&gt;0,
     COUNTIFS($AW$2:$AW$200,$G113)&gt;0,
     COUNTIFS($AX$2:$AX$200,$G113)&gt;0
   )),
  ),
  3
 ),
"")</f>
        <v/>
      </c>
      <c r="F113" s="3" t="str" cm="1">
        <f t="array" aca="1" ref="F113" ca="1">IFERROR(
 INDEX(
  _xlfn._xlws.FILTER($U$1:$AX$1,
   TRANSPOSE(
    CHOOSE({1;2;3;4;5;6;7;8;9;10;11;12;13;14;15;16;17;18;19;20;21;22;23;24;25;26;27;28;29;30},
     COUNTIFS($U$2:$U$200,$G113)&gt;0,
     COUNTIFS($V$2:$V$200,$G113)&gt;0,
     COUNTIFS($W$2:$W$200,$G113)&gt;0,
     COUNTIFS($X$2:$X$200,$G113)&gt;0,
     COUNTIFS($Y$2:$Y$200,$G113)&gt;0,
     COUNTIFS($Z$2:$Z$200,$G113)&gt;0,
     COUNTIFS($AA$2:$AA$200,$G113)&gt;0,
     COUNTIFS($AB$2:$AB$200,$G113)&gt;0,
     COUNTIFS($AC$2:$AC$200,$G113)&gt;0,
     COUNTIFS($AD$2:$AD$200,$G113)&gt;0,
     COUNTIFS($AE$2:$AE$200,$G113)&gt;0,
     COUNTIFS($AF$2:$AF$200,$G113)&gt;0,
     COUNTIFS($AG$2:$AG$200,$G113)&gt;0,
     COUNTIFS($AH$2:$AH$200,$G113)&gt;0,
     COUNTIFS($AI$2:$AI$200,$G113)&gt;0,
     COUNTIFS($AJ$2:$AJ$200,$G113)&gt;0,
     COUNTIFS($AK$2:$AK$200,$G113)&gt;0,
     COUNTIFS($AL$2:$AL$200,$G113)&gt;0,
     COUNTIFS($AM$2:$AM$200,$G113)&gt;0,
     COUNTIFS($AN$2:$AN$200,$G113)&gt;0,
     COUNTIFS($AO$2:$AO$200,$G113)&gt;0,
     COUNTIFS($AP$2:$AP$200,$G113)&gt;0,
     COUNTIFS($AQ$2:$AQ$200,$G113)&gt;0,
     COUNTIFS($AR$2:$AR$200,$G113)&gt;0,
     COUNTIFS($AS$2:$AS$200,$G113)&gt;0,
     COUNTIFS($AT$2:$AT$200,$G113)&gt;0,
     COUNTIFS($AU$2:$AU$200,$G113)&gt;0,
     COUNTIFS($AV$2:$AV$200,$G113)&gt;0,
     COUNTIFS($AW$2:$AW$200,$G113)&gt;0,
     COUNTIFS($AX$2:$AX$200,$G113)&gt;0
   )),
  ),
  4
 ),
"")</f>
        <v/>
      </c>
      <c r="G113" t="str">
        <f ca="1"/>
        <v>Haru, Hidden Talent</v>
      </c>
      <c r="CB113" t="str">
        <f ca="1"/>
        <v>Simic Charm</v>
      </c>
      <c r="CG113" t="str">
        <f ca="1"/>
        <v>Lightning Greaves</v>
      </c>
      <c r="CJ113" t="str">
        <f ca="1"/>
        <v>Haru, Hidden Talent</v>
      </c>
    </row>
    <row r="114" spans="1:88" x14ac:dyDescent="0.25">
      <c r="A114" s="3" t="str">
        <f t="shared" ca="1" si="4"/>
        <v>2</v>
      </c>
      <c r="B114" s="3">
        <f t="shared" ca="1" si="5"/>
        <v>1</v>
      </c>
      <c r="C114" s="3" t="str">
        <f ca="1">IFERROR(
 INDEX($U$1:$AX$1,
  MATCH(TRUE,
   CHOOSE({1;2;3;4;5;6;7;8;9;10;11;12;13;14;15;16;17;18;19;20;21;22;23;24;25;26;27;28;29;30;31;32},
    COUNTIFS($U$2:$U$200,$G114)&gt;0,
    COUNTIFS($V$2:$V$200,$G114)&gt;0,
    COUNTIFS($W$2:$W$200,$G114)&gt;0,
    COUNTIFS($X$2:$X$200,$G114)&gt;0,
    COUNTIFS($Y$2:$Y$200,$G114)&gt;0,
    COUNTIFS($Z$2:$Z$200,$G114)&gt;0,
    COUNTIFS($AA$2:$AA$200,$G114)&gt;0,
    COUNTIFS($AB$2:$AB$200,$G114)&gt;0,
    COUNTIFS($AC$2:$AC$200,$G114)&gt;0,
    COUNTIFS($AD$2:$AD$200,$G114)&gt;0,
    COUNTIFS($AE$2:$AE$200,$G114)&gt;0,
    COUNTIFS($AF$2:$AF$200,$G114)&gt;0,
    COUNTIFS($AG$2:$AG$200,$G114)&gt;0,
    COUNTIFS($AH$2:$AH$200,$G114)&gt;0,
    COUNTIFS($AI$2:$AI$200,$G114)&gt;0,
    COUNTIFS($AJ$2:$AJ$200,$G114)&gt;0,
    COUNTIFS($AK$2:$AK$200,$G114)&gt;0,
    COUNTIFS($AL$2:$AL$200,$G114)&gt;0,
    COUNTIFS($AM$2:$AM$200,$G114)&gt;0,
    COUNTIFS($AN$2:$AN$200,$G114)&gt;0,
    COUNTIFS($AO$2:$AO$200,$G114)&gt;0,
    COUNTIFS($AP$2:$AP$200,$G114)&gt;0,
    COUNTIFS($AQ$2:$AQ$200,$G114)&gt;0,
    COUNTIFS($AR$2:$AR$200,$G114)&gt;0,
    COUNTIFS($AS$2:$AS$200,$G114)&gt;0,
    COUNTIFS($AT$2:$AT$200,$G114)&gt;0,
    COUNTIFS($AU$2:$AU$200,$G114)&gt;0,
    COUNTIFS($AV$2:$AV$200,$G114)&gt;0,
    COUNTIFS($AW$2:$AW$200,$G114)&gt;0,
    COUNTIFS($AX$2:$AX$200,$G114)&gt;0
   ),
  0)
 ),
"")</f>
        <v>Kumena</v>
      </c>
      <c r="D114" s="3" t="str" cm="1">
        <f t="array" aca="1" ref="D114" ca="1">IFERROR(
 INDEX(
  _xlfn._xlws.FILTER($U$1:$AX$1,
   TRANSPOSE(
    CHOOSE({1;2;3;4;5;6;7;8;9;10;11;12;13;14;15;16;17;18;19;20;21;22;23;24;25;26;27;28;29;30},
     COUNTIFS($U$2:$U$200,$G114)&gt;0,
     COUNTIFS($V$2:$V$200,$G114)&gt;0,
     COUNTIFS($W$2:$W$200,$G114)&gt;0,
     COUNTIFS($X$2:$X$200,$G114)&gt;0,
     COUNTIFS($Y$2:$Y$200,$G114)&gt;0,
     COUNTIFS($Z$2:$Z$200,$G114)&gt;0,
     COUNTIFS($AA$2:$AA$200,$G114)&gt;0,
     COUNTIFS($AB$2:$AB$200,$G114)&gt;0,
     COUNTIFS($AC$2:$AC$200,$G114)&gt;0,
     COUNTIFS($AD$2:$AD$200,$G114)&gt;0,
     COUNTIFS($AE$2:$AE$200,$G114)&gt;0,
     COUNTIFS($AF$2:$AF$200,$G114)&gt;0,
     COUNTIFS($AG$2:$AG$200,$G114)&gt;0,
     COUNTIFS($AH$2:$AH$200,$G114)&gt;0,
     COUNTIFS($AI$2:$AI$200,$G114)&gt;0,
     COUNTIFS($AJ$2:$AJ$200,$G114)&gt;0,
     COUNTIFS($AK$2:$AK$200,$G114)&gt;0,
     COUNTIFS($AL$2:$AL$200,$G114)&gt;0,
     COUNTIFS($AM$2:$AM$200,$G114)&gt;0,
     COUNTIFS($AN$2:$AN$200,$G114)&gt;0,
     COUNTIFS($AO$2:$AO$200,$G114)&gt;0,
     COUNTIFS($AP$2:$AP$200,$G114)&gt;0,
     COUNTIFS($AQ$2:$AQ$200,$G114)&gt;0,
     COUNTIFS($AR$2:$AR$200,$G114)&gt;0,
     COUNTIFS($AS$2:$AS$200,$G114)&gt;0,
     COUNTIFS($AT$2:$AT$200,$G114)&gt;0,
     COUNTIFS($AU$2:$AU$200,$G114)&gt;0,
     COUNTIFS($AV$2:$AV$200,$G114)&gt;0,
     COUNTIFS($AW$2:$AW$200,$G114)&gt;0,
     COUNTIFS($AX$2:$AX$200,$G114)&gt;0
   )),
  ),
  2
 ),
"")</f>
        <v/>
      </c>
      <c r="E114" s="3" t="str" cm="1">
        <f t="array" aca="1" ref="E114" ca="1">IFERROR(
 INDEX(
  _xlfn._xlws.FILTER($U$1:$AX$1,
   TRANSPOSE(
    CHOOSE({1;2;3;4;5;6;7;8;9;10;11;12;13;14;15;16;17;18;19;20;21;22;23;24;25;26;27;28;29;30},
     COUNTIFS($U$2:$U$200,$G114)&gt;0,
     COUNTIFS($V$2:$V$200,$G114)&gt;0,
     COUNTIFS($W$2:$W$200,$G114)&gt;0,
     COUNTIFS($X$2:$X$200,$G114)&gt;0,
     COUNTIFS($Y$2:$Y$200,$G114)&gt;0,
     COUNTIFS($Z$2:$Z$200,$G114)&gt;0,
     COUNTIFS($AA$2:$AA$200,$G114)&gt;0,
     COUNTIFS($AB$2:$AB$200,$G114)&gt;0,
     COUNTIFS($AC$2:$AC$200,$G114)&gt;0,
     COUNTIFS($AD$2:$AD$200,$G114)&gt;0,
     COUNTIFS($AE$2:$AE$200,$G114)&gt;0,
     COUNTIFS($AF$2:$AF$200,$G114)&gt;0,
     COUNTIFS($AG$2:$AG$200,$G114)&gt;0,
     COUNTIFS($AH$2:$AH$200,$G114)&gt;0,
     COUNTIFS($AI$2:$AI$200,$G114)&gt;0,
     COUNTIFS($AJ$2:$AJ$200,$G114)&gt;0,
     COUNTIFS($AK$2:$AK$200,$G114)&gt;0,
     COUNTIFS($AL$2:$AL$200,$G114)&gt;0,
     COUNTIFS($AM$2:$AM$200,$G114)&gt;0,
     COUNTIFS($AN$2:$AN$200,$G114)&gt;0,
     COUNTIFS($AO$2:$AO$200,$G114)&gt;0,
     COUNTIFS($AP$2:$AP$200,$G114)&gt;0,
     COUNTIFS($AQ$2:$AQ$200,$G114)&gt;0,
     COUNTIFS($AR$2:$AR$200,$G114)&gt;0,
     COUNTIFS($AS$2:$AS$200,$G114)&gt;0,
     COUNTIFS($AT$2:$AT$200,$G114)&gt;0,
     COUNTIFS($AU$2:$AU$200,$G114)&gt;0,
     COUNTIFS($AV$2:$AV$200,$G114)&gt;0,
     COUNTIFS($AW$2:$AW$200,$G114)&gt;0,
     COUNTIFS($AX$2:$AX$200,$G114)&gt;0
   )),
  ),
  3
 ),
"")</f>
        <v/>
      </c>
      <c r="F114" s="3" t="str" cm="1">
        <f t="array" aca="1" ref="F114" ca="1">IFERROR(
 INDEX(
  _xlfn._xlws.FILTER($U$1:$AX$1,
   TRANSPOSE(
    CHOOSE({1;2;3;4;5;6;7;8;9;10;11;12;13;14;15;16;17;18;19;20;21;22;23;24;25;26;27;28;29;30},
     COUNTIFS($U$2:$U$200,$G114)&gt;0,
     COUNTIFS($V$2:$V$200,$G114)&gt;0,
     COUNTIFS($W$2:$W$200,$G114)&gt;0,
     COUNTIFS($X$2:$X$200,$G114)&gt;0,
     COUNTIFS($Y$2:$Y$200,$G114)&gt;0,
     COUNTIFS($Z$2:$Z$200,$G114)&gt;0,
     COUNTIFS($AA$2:$AA$200,$G114)&gt;0,
     COUNTIFS($AB$2:$AB$200,$G114)&gt;0,
     COUNTIFS($AC$2:$AC$200,$G114)&gt;0,
     COUNTIFS($AD$2:$AD$200,$G114)&gt;0,
     COUNTIFS($AE$2:$AE$200,$G114)&gt;0,
     COUNTIFS($AF$2:$AF$200,$G114)&gt;0,
     COUNTIFS($AG$2:$AG$200,$G114)&gt;0,
     COUNTIFS($AH$2:$AH$200,$G114)&gt;0,
     COUNTIFS($AI$2:$AI$200,$G114)&gt;0,
     COUNTIFS($AJ$2:$AJ$200,$G114)&gt;0,
     COUNTIFS($AK$2:$AK$200,$G114)&gt;0,
     COUNTIFS($AL$2:$AL$200,$G114)&gt;0,
     COUNTIFS($AM$2:$AM$200,$G114)&gt;0,
     COUNTIFS($AN$2:$AN$200,$G114)&gt;0,
     COUNTIFS($AO$2:$AO$200,$G114)&gt;0,
     COUNTIFS($AP$2:$AP$200,$G114)&gt;0,
     COUNTIFS($AQ$2:$AQ$200,$G114)&gt;0,
     COUNTIFS($AR$2:$AR$200,$G114)&gt;0,
     COUNTIFS($AS$2:$AS$200,$G114)&gt;0,
     COUNTIFS($AT$2:$AT$200,$G114)&gt;0,
     COUNTIFS($AU$2:$AU$200,$G114)&gt;0,
     COUNTIFS($AV$2:$AV$200,$G114)&gt;0,
     COUNTIFS($AW$2:$AW$200,$G114)&gt;0,
     COUNTIFS($AX$2:$AX$200,$G114)&gt;0
   )),
  ),
  4
 ),
"")</f>
        <v/>
      </c>
      <c r="G114" t="str">
        <f ca="1"/>
        <v>Harvest Season</v>
      </c>
      <c r="CB114" t="str">
        <f ca="1"/>
        <v>Singer of Swift Rivers</v>
      </c>
      <c r="CG114" t="str">
        <f ca="1"/>
        <v>Llanowar Wastes</v>
      </c>
      <c r="CJ114" t="str">
        <f ca="1"/>
        <v>Harvest Season</v>
      </c>
    </row>
    <row r="115" spans="1:88" x14ac:dyDescent="0.25">
      <c r="A115" s="3" t="str">
        <f t="shared" ca="1" si="4"/>
        <v>2</v>
      </c>
      <c r="B115" s="3">
        <f t="shared" ca="1" si="5"/>
        <v>1</v>
      </c>
      <c r="C115" s="3" t="str">
        <f ca="1">IFERROR(
 INDEX($U$1:$AX$1,
  MATCH(TRUE,
   CHOOSE({1;2;3;4;5;6;7;8;9;10;11;12;13;14;15;16;17;18;19;20;21;22;23;24;25;26;27;28;29;30;31;32},
    COUNTIFS($U$2:$U$200,$G115)&gt;0,
    COUNTIFS($V$2:$V$200,$G115)&gt;0,
    COUNTIFS($W$2:$W$200,$G115)&gt;0,
    COUNTIFS($X$2:$X$200,$G115)&gt;0,
    COUNTIFS($Y$2:$Y$200,$G115)&gt;0,
    COUNTIFS($Z$2:$Z$200,$G115)&gt;0,
    COUNTIFS($AA$2:$AA$200,$G115)&gt;0,
    COUNTIFS($AB$2:$AB$200,$G115)&gt;0,
    COUNTIFS($AC$2:$AC$200,$G115)&gt;0,
    COUNTIFS($AD$2:$AD$200,$G115)&gt;0,
    COUNTIFS($AE$2:$AE$200,$G115)&gt;0,
    COUNTIFS($AF$2:$AF$200,$G115)&gt;0,
    COUNTIFS($AG$2:$AG$200,$G115)&gt;0,
    COUNTIFS($AH$2:$AH$200,$G115)&gt;0,
    COUNTIFS($AI$2:$AI$200,$G115)&gt;0,
    COUNTIFS($AJ$2:$AJ$200,$G115)&gt;0,
    COUNTIFS($AK$2:$AK$200,$G115)&gt;0,
    COUNTIFS($AL$2:$AL$200,$G115)&gt;0,
    COUNTIFS($AM$2:$AM$200,$G115)&gt;0,
    COUNTIFS($AN$2:$AN$200,$G115)&gt;0,
    COUNTIFS($AO$2:$AO$200,$G115)&gt;0,
    COUNTIFS($AP$2:$AP$200,$G115)&gt;0,
    COUNTIFS($AQ$2:$AQ$200,$G115)&gt;0,
    COUNTIFS($AR$2:$AR$200,$G115)&gt;0,
    COUNTIFS($AS$2:$AS$200,$G115)&gt;0,
    COUNTIFS($AT$2:$AT$200,$G115)&gt;0,
    COUNTIFS($AU$2:$AU$200,$G115)&gt;0,
    COUNTIFS($AV$2:$AV$200,$G115)&gt;0,
    COUNTIFS($AW$2:$AW$200,$G115)&gt;0,
    COUNTIFS($AX$2:$AX$200,$G115)&gt;0
   ),
  0)
 ),
"")</f>
        <v>Rani</v>
      </c>
      <c r="D115" s="3" t="str" cm="1">
        <f t="array" aca="1" ref="D115" ca="1">IFERROR(
 INDEX(
  _xlfn._xlws.FILTER($U$1:$AX$1,
   TRANSPOSE(
    CHOOSE({1;2;3;4;5;6;7;8;9;10;11;12;13;14;15;16;17;18;19;20;21;22;23;24;25;26;27;28;29;30},
     COUNTIFS($U$2:$U$200,$G115)&gt;0,
     COUNTIFS($V$2:$V$200,$G115)&gt;0,
     COUNTIFS($W$2:$W$200,$G115)&gt;0,
     COUNTIFS($X$2:$X$200,$G115)&gt;0,
     COUNTIFS($Y$2:$Y$200,$G115)&gt;0,
     COUNTIFS($Z$2:$Z$200,$G115)&gt;0,
     COUNTIFS($AA$2:$AA$200,$G115)&gt;0,
     COUNTIFS($AB$2:$AB$200,$G115)&gt;0,
     COUNTIFS($AC$2:$AC$200,$G115)&gt;0,
     COUNTIFS($AD$2:$AD$200,$G115)&gt;0,
     COUNTIFS($AE$2:$AE$200,$G115)&gt;0,
     COUNTIFS($AF$2:$AF$200,$G115)&gt;0,
     COUNTIFS($AG$2:$AG$200,$G115)&gt;0,
     COUNTIFS($AH$2:$AH$200,$G115)&gt;0,
     COUNTIFS($AI$2:$AI$200,$G115)&gt;0,
     COUNTIFS($AJ$2:$AJ$200,$G115)&gt;0,
     COUNTIFS($AK$2:$AK$200,$G115)&gt;0,
     COUNTIFS($AL$2:$AL$200,$G115)&gt;0,
     COUNTIFS($AM$2:$AM$200,$G115)&gt;0,
     COUNTIFS($AN$2:$AN$200,$G115)&gt;0,
     COUNTIFS($AO$2:$AO$200,$G115)&gt;0,
     COUNTIFS($AP$2:$AP$200,$G115)&gt;0,
     COUNTIFS($AQ$2:$AQ$200,$G115)&gt;0,
     COUNTIFS($AR$2:$AR$200,$G115)&gt;0,
     COUNTIFS($AS$2:$AS$200,$G115)&gt;0,
     COUNTIFS($AT$2:$AT$200,$G115)&gt;0,
     COUNTIFS($AU$2:$AU$200,$G115)&gt;0,
     COUNTIFS($AV$2:$AV$200,$G115)&gt;0,
     COUNTIFS($AW$2:$AW$200,$G115)&gt;0,
     COUNTIFS($AX$2:$AX$200,$G115)&gt;0
   )),
  ),
  2
 ),
"")</f>
        <v/>
      </c>
      <c r="E115" s="3" t="str" cm="1">
        <f t="array" aca="1" ref="E115" ca="1">IFERROR(
 INDEX(
  _xlfn._xlws.FILTER($U$1:$AX$1,
   TRANSPOSE(
    CHOOSE({1;2;3;4;5;6;7;8;9;10;11;12;13;14;15;16;17;18;19;20;21;22;23;24;25;26;27;28;29;30},
     COUNTIFS($U$2:$U$200,$G115)&gt;0,
     COUNTIFS($V$2:$V$200,$G115)&gt;0,
     COUNTIFS($W$2:$W$200,$G115)&gt;0,
     COUNTIFS($X$2:$X$200,$G115)&gt;0,
     COUNTIFS($Y$2:$Y$200,$G115)&gt;0,
     COUNTIFS($Z$2:$Z$200,$G115)&gt;0,
     COUNTIFS($AA$2:$AA$200,$G115)&gt;0,
     COUNTIFS($AB$2:$AB$200,$G115)&gt;0,
     COUNTIFS($AC$2:$AC$200,$G115)&gt;0,
     COUNTIFS($AD$2:$AD$200,$G115)&gt;0,
     COUNTIFS($AE$2:$AE$200,$G115)&gt;0,
     COUNTIFS($AF$2:$AF$200,$G115)&gt;0,
     COUNTIFS($AG$2:$AG$200,$G115)&gt;0,
     COUNTIFS($AH$2:$AH$200,$G115)&gt;0,
     COUNTIFS($AI$2:$AI$200,$G115)&gt;0,
     COUNTIFS($AJ$2:$AJ$200,$G115)&gt;0,
     COUNTIFS($AK$2:$AK$200,$G115)&gt;0,
     COUNTIFS($AL$2:$AL$200,$G115)&gt;0,
     COUNTIFS($AM$2:$AM$200,$G115)&gt;0,
     COUNTIFS($AN$2:$AN$200,$G115)&gt;0,
     COUNTIFS($AO$2:$AO$200,$G115)&gt;0,
     COUNTIFS($AP$2:$AP$200,$G115)&gt;0,
     COUNTIFS($AQ$2:$AQ$200,$G115)&gt;0,
     COUNTIFS($AR$2:$AR$200,$G115)&gt;0,
     COUNTIFS($AS$2:$AS$200,$G115)&gt;0,
     COUNTIFS($AT$2:$AT$200,$G115)&gt;0,
     COUNTIFS($AU$2:$AU$200,$G115)&gt;0,
     COUNTIFS($AV$2:$AV$200,$G115)&gt;0,
     COUNTIFS($AW$2:$AW$200,$G115)&gt;0,
     COUNTIFS($AX$2:$AX$200,$G115)&gt;0
   )),
  ),
  3
 ),
"")</f>
        <v/>
      </c>
      <c r="F115" s="3" t="str" cm="1">
        <f t="array" aca="1" ref="F115" ca="1">IFERROR(
 INDEX(
  _xlfn._xlws.FILTER($U$1:$AX$1,
   TRANSPOSE(
    CHOOSE({1;2;3;4;5;6;7;8;9;10;11;12;13;14;15;16;17;18;19;20;21;22;23;24;25;26;27;28;29;30},
     COUNTIFS($U$2:$U$200,$G115)&gt;0,
     COUNTIFS($V$2:$V$200,$G115)&gt;0,
     COUNTIFS($W$2:$W$200,$G115)&gt;0,
     COUNTIFS($X$2:$X$200,$G115)&gt;0,
     COUNTIFS($Y$2:$Y$200,$G115)&gt;0,
     COUNTIFS($Z$2:$Z$200,$G115)&gt;0,
     COUNTIFS($AA$2:$AA$200,$G115)&gt;0,
     COUNTIFS($AB$2:$AB$200,$G115)&gt;0,
     COUNTIFS($AC$2:$AC$200,$G115)&gt;0,
     COUNTIFS($AD$2:$AD$200,$G115)&gt;0,
     COUNTIFS($AE$2:$AE$200,$G115)&gt;0,
     COUNTIFS($AF$2:$AF$200,$G115)&gt;0,
     COUNTIFS($AG$2:$AG$200,$G115)&gt;0,
     COUNTIFS($AH$2:$AH$200,$G115)&gt;0,
     COUNTIFS($AI$2:$AI$200,$G115)&gt;0,
     COUNTIFS($AJ$2:$AJ$200,$G115)&gt;0,
     COUNTIFS($AK$2:$AK$200,$G115)&gt;0,
     COUNTIFS($AL$2:$AL$200,$G115)&gt;0,
     COUNTIFS($AM$2:$AM$200,$G115)&gt;0,
     COUNTIFS($AN$2:$AN$200,$G115)&gt;0,
     COUNTIFS($AO$2:$AO$200,$G115)&gt;0,
     COUNTIFS($AP$2:$AP$200,$G115)&gt;0,
     COUNTIFS($AQ$2:$AQ$200,$G115)&gt;0,
     COUNTIFS($AR$2:$AR$200,$G115)&gt;0,
     COUNTIFS($AS$2:$AS$200,$G115)&gt;0,
     COUNTIFS($AT$2:$AT$200,$G115)&gt;0,
     COUNTIFS($AU$2:$AU$200,$G115)&gt;0,
     COUNTIFS($AV$2:$AV$200,$G115)&gt;0,
     COUNTIFS($AW$2:$AW$200,$G115)&gt;0,
     COUNTIFS($AX$2:$AX$200,$G115)&gt;0
   )),
  ),
  4
 ),
"")</f>
        <v/>
      </c>
      <c r="G115" t="str">
        <f ca="1"/>
        <v>Havengul Laboratory</v>
      </c>
      <c r="CB115" t="str">
        <f ca="1"/>
        <v>Slash the Ranks</v>
      </c>
      <c r="CG115" t="str">
        <f ca="1"/>
        <v>Lolth, Rainha Aranha</v>
      </c>
      <c r="CJ115" t="str">
        <f ca="1"/>
        <v>Havengul Laboratory</v>
      </c>
    </row>
    <row r="116" spans="1:88" x14ac:dyDescent="0.25">
      <c r="A116" s="3" t="str">
        <f t="shared" ca="1" si="4"/>
        <v>1</v>
      </c>
      <c r="B116" s="3">
        <f t="shared" ca="1" si="5"/>
        <v>1</v>
      </c>
      <c r="C116" s="3" t="str">
        <f ca="1">IFERROR(
 INDEX($U$1:$AX$1,
  MATCH(TRUE,
   CHOOSE({1;2;3;4;5;6;7;8;9;10;11;12;13;14;15;16;17;18;19;20;21;22;23;24;25;26;27;28;29;30;31;32},
    COUNTIFS($U$2:$U$200,$G116)&gt;0,
    COUNTIFS($V$2:$V$200,$G116)&gt;0,
    COUNTIFS($W$2:$W$200,$G116)&gt;0,
    COUNTIFS($X$2:$X$200,$G116)&gt;0,
    COUNTIFS($Y$2:$Y$200,$G116)&gt;0,
    COUNTIFS($Z$2:$Z$200,$G116)&gt;0,
    COUNTIFS($AA$2:$AA$200,$G116)&gt;0,
    COUNTIFS($AB$2:$AB$200,$G116)&gt;0,
    COUNTIFS($AC$2:$AC$200,$G116)&gt;0,
    COUNTIFS($AD$2:$AD$200,$G116)&gt;0,
    COUNTIFS($AE$2:$AE$200,$G116)&gt;0,
    COUNTIFS($AF$2:$AF$200,$G116)&gt;0,
    COUNTIFS($AG$2:$AG$200,$G116)&gt;0,
    COUNTIFS($AH$2:$AH$200,$G116)&gt;0,
    COUNTIFS($AI$2:$AI$200,$G116)&gt;0,
    COUNTIFS($AJ$2:$AJ$200,$G116)&gt;0,
    COUNTIFS($AK$2:$AK$200,$G116)&gt;0,
    COUNTIFS($AL$2:$AL$200,$G116)&gt;0,
    COUNTIFS($AM$2:$AM$200,$G116)&gt;0,
    COUNTIFS($AN$2:$AN$200,$G116)&gt;0,
    COUNTIFS($AO$2:$AO$200,$G116)&gt;0,
    COUNTIFS($AP$2:$AP$200,$G116)&gt;0,
    COUNTIFS($AQ$2:$AQ$200,$G116)&gt;0,
    COUNTIFS($AR$2:$AR$200,$G116)&gt;0,
    COUNTIFS($AS$2:$AS$200,$G116)&gt;0,
    COUNTIFS($AT$2:$AT$200,$G116)&gt;0,
    COUNTIFS($AU$2:$AU$200,$G116)&gt;0,
    COUNTIFS($AV$2:$AV$200,$G116)&gt;0,
    COUNTIFS($AW$2:$AW$200,$G116)&gt;0,
    COUNTIFS($AX$2:$AX$200,$G116)&gt;0
   ),
  0)
 ),
"")</f>
        <v>Modular</v>
      </c>
      <c r="D116" s="3" t="str" cm="1">
        <f t="array" aca="1" ref="D116" ca="1">IFERROR(
 INDEX(
  _xlfn._xlws.FILTER($U$1:$AX$1,
   TRANSPOSE(
    CHOOSE({1;2;3;4;5;6;7;8;9;10;11;12;13;14;15;16;17;18;19;20;21;22;23;24;25;26;27;28;29;30},
     COUNTIFS($U$2:$U$200,$G116)&gt;0,
     COUNTIFS($V$2:$V$200,$G116)&gt;0,
     COUNTIFS($W$2:$W$200,$G116)&gt;0,
     COUNTIFS($X$2:$X$200,$G116)&gt;0,
     COUNTIFS($Y$2:$Y$200,$G116)&gt;0,
     COUNTIFS($Z$2:$Z$200,$G116)&gt;0,
     COUNTIFS($AA$2:$AA$200,$G116)&gt;0,
     COUNTIFS($AB$2:$AB$200,$G116)&gt;0,
     COUNTIFS($AC$2:$AC$200,$G116)&gt;0,
     COUNTIFS($AD$2:$AD$200,$G116)&gt;0,
     COUNTIFS($AE$2:$AE$200,$G116)&gt;0,
     COUNTIFS($AF$2:$AF$200,$G116)&gt;0,
     COUNTIFS($AG$2:$AG$200,$G116)&gt;0,
     COUNTIFS($AH$2:$AH$200,$G116)&gt;0,
     COUNTIFS($AI$2:$AI$200,$G116)&gt;0,
     COUNTIFS($AJ$2:$AJ$200,$G116)&gt;0,
     COUNTIFS($AK$2:$AK$200,$G116)&gt;0,
     COUNTIFS($AL$2:$AL$200,$G116)&gt;0,
     COUNTIFS($AM$2:$AM$200,$G116)&gt;0,
     COUNTIFS($AN$2:$AN$200,$G116)&gt;0,
     COUNTIFS($AO$2:$AO$200,$G116)&gt;0,
     COUNTIFS($AP$2:$AP$200,$G116)&gt;0,
     COUNTIFS($AQ$2:$AQ$200,$G116)&gt;0,
     COUNTIFS($AR$2:$AR$200,$G116)&gt;0,
     COUNTIFS($AS$2:$AS$200,$G116)&gt;0,
     COUNTIFS($AT$2:$AT$200,$G116)&gt;0,
     COUNTIFS($AU$2:$AU$200,$G116)&gt;0,
     COUNTIFS($AV$2:$AV$200,$G116)&gt;0,
     COUNTIFS($AW$2:$AW$200,$G116)&gt;0,
     COUNTIFS($AX$2:$AX$200,$G116)&gt;0
   )),
  ),
  2
 ),
"")</f>
        <v/>
      </c>
      <c r="E116" s="3" t="str" cm="1">
        <f t="array" aca="1" ref="E116" ca="1">IFERROR(
 INDEX(
  _xlfn._xlws.FILTER($U$1:$AX$1,
   TRANSPOSE(
    CHOOSE({1;2;3;4;5;6;7;8;9;10;11;12;13;14;15;16;17;18;19;20;21;22;23;24;25;26;27;28;29;30},
     COUNTIFS($U$2:$U$200,$G116)&gt;0,
     COUNTIFS($V$2:$V$200,$G116)&gt;0,
     COUNTIFS($W$2:$W$200,$G116)&gt;0,
     COUNTIFS($X$2:$X$200,$G116)&gt;0,
     COUNTIFS($Y$2:$Y$200,$G116)&gt;0,
     COUNTIFS($Z$2:$Z$200,$G116)&gt;0,
     COUNTIFS($AA$2:$AA$200,$G116)&gt;0,
     COUNTIFS($AB$2:$AB$200,$G116)&gt;0,
     COUNTIFS($AC$2:$AC$200,$G116)&gt;0,
     COUNTIFS($AD$2:$AD$200,$G116)&gt;0,
     COUNTIFS($AE$2:$AE$200,$G116)&gt;0,
     COUNTIFS($AF$2:$AF$200,$G116)&gt;0,
     COUNTIFS($AG$2:$AG$200,$G116)&gt;0,
     COUNTIFS($AH$2:$AH$200,$G116)&gt;0,
     COUNTIFS($AI$2:$AI$200,$G116)&gt;0,
     COUNTIFS($AJ$2:$AJ$200,$G116)&gt;0,
     COUNTIFS($AK$2:$AK$200,$G116)&gt;0,
     COUNTIFS($AL$2:$AL$200,$G116)&gt;0,
     COUNTIFS($AM$2:$AM$200,$G116)&gt;0,
     COUNTIFS($AN$2:$AN$200,$G116)&gt;0,
     COUNTIFS($AO$2:$AO$200,$G116)&gt;0,
     COUNTIFS($AP$2:$AP$200,$G116)&gt;0,
     COUNTIFS($AQ$2:$AQ$200,$G116)&gt;0,
     COUNTIFS($AR$2:$AR$200,$G116)&gt;0,
     COUNTIFS($AS$2:$AS$200,$G116)&gt;0,
     COUNTIFS($AT$2:$AT$200,$G116)&gt;0,
     COUNTIFS($AU$2:$AU$200,$G116)&gt;0,
     COUNTIFS($AV$2:$AV$200,$G116)&gt;0,
     COUNTIFS($AW$2:$AW$200,$G116)&gt;0,
     COUNTIFS($AX$2:$AX$200,$G116)&gt;0
   )),
  ),
  3
 ),
"")</f>
        <v/>
      </c>
      <c r="F116" s="3" t="str" cm="1">
        <f t="array" aca="1" ref="F116" ca="1">IFERROR(
 INDEX(
  _xlfn._xlws.FILTER($U$1:$AX$1,
   TRANSPOSE(
    CHOOSE({1;2;3;4;5;6;7;8;9;10;11;12;13;14;15;16;17;18;19;20;21;22;23;24;25;26;27;28;29;30},
     COUNTIFS($U$2:$U$200,$G116)&gt;0,
     COUNTIFS($V$2:$V$200,$G116)&gt;0,
     COUNTIFS($W$2:$W$200,$G116)&gt;0,
     COUNTIFS($X$2:$X$200,$G116)&gt;0,
     COUNTIFS($Y$2:$Y$200,$G116)&gt;0,
     COUNTIFS($Z$2:$Z$200,$G116)&gt;0,
     COUNTIFS($AA$2:$AA$200,$G116)&gt;0,
     COUNTIFS($AB$2:$AB$200,$G116)&gt;0,
     COUNTIFS($AC$2:$AC$200,$G116)&gt;0,
     COUNTIFS($AD$2:$AD$200,$G116)&gt;0,
     COUNTIFS($AE$2:$AE$200,$G116)&gt;0,
     COUNTIFS($AF$2:$AF$200,$G116)&gt;0,
     COUNTIFS($AG$2:$AG$200,$G116)&gt;0,
     COUNTIFS($AH$2:$AH$200,$G116)&gt;0,
     COUNTIFS($AI$2:$AI$200,$G116)&gt;0,
     COUNTIFS($AJ$2:$AJ$200,$G116)&gt;0,
     COUNTIFS($AK$2:$AK$200,$G116)&gt;0,
     COUNTIFS($AL$2:$AL$200,$G116)&gt;0,
     COUNTIFS($AM$2:$AM$200,$G116)&gt;0,
     COUNTIFS($AN$2:$AN$200,$G116)&gt;0,
     COUNTIFS($AO$2:$AO$200,$G116)&gt;0,
     COUNTIFS($AP$2:$AP$200,$G116)&gt;0,
     COUNTIFS($AQ$2:$AQ$200,$G116)&gt;0,
     COUNTIFS($AR$2:$AR$200,$G116)&gt;0,
     COUNTIFS($AS$2:$AS$200,$G116)&gt;0,
     COUNTIFS($AT$2:$AT$200,$G116)&gt;0,
     COUNTIFS($AU$2:$AU$200,$G116)&gt;0,
     COUNTIFS($AV$2:$AV$200,$G116)&gt;0,
     COUNTIFS($AW$2:$AW$200,$G116)&gt;0,
     COUNTIFS($AX$2:$AX$200,$G116)&gt;0
   )),
  ),
  4
 ),
"")</f>
        <v/>
      </c>
      <c r="G116" t="str">
        <f ca="1"/>
        <v>Haywire Mite</v>
      </c>
      <c r="CB116" t="str">
        <f ca="1"/>
        <v>Slayers' Stronghold</v>
      </c>
      <c r="CG116" t="str">
        <f ca="1"/>
        <v>Lord of Atlantis</v>
      </c>
      <c r="CJ116" t="str">
        <f ca="1"/>
        <v>Haywire Mite</v>
      </c>
    </row>
    <row r="117" spans="1:88" x14ac:dyDescent="0.25">
      <c r="A117" s="3" t="str">
        <f t="shared" ca="1" si="4"/>
        <v>3</v>
      </c>
      <c r="B117" s="3">
        <f t="shared" ca="1" si="5"/>
        <v>1</v>
      </c>
      <c r="C117" s="3" t="str">
        <f ca="1">IFERROR(
 INDEX($U$1:$AX$1,
  MATCH(TRUE,
   CHOOSE({1;2;3;4;5;6;7;8;9;10;11;12;13;14;15;16;17;18;19;20;21;22;23;24;25;26;27;28;29;30;31;32},
    COUNTIFS($U$2:$U$200,$G117)&gt;0,
    COUNTIFS($V$2:$V$200,$G117)&gt;0,
    COUNTIFS($W$2:$W$200,$G117)&gt;0,
    COUNTIFS($X$2:$X$200,$G117)&gt;0,
    COUNTIFS($Y$2:$Y$200,$G117)&gt;0,
    COUNTIFS($Z$2:$Z$200,$G117)&gt;0,
    COUNTIFS($AA$2:$AA$200,$G117)&gt;0,
    COUNTIFS($AB$2:$AB$200,$G117)&gt;0,
    COUNTIFS($AC$2:$AC$200,$G117)&gt;0,
    COUNTIFS($AD$2:$AD$200,$G117)&gt;0,
    COUNTIFS($AE$2:$AE$200,$G117)&gt;0,
    COUNTIFS($AF$2:$AF$200,$G117)&gt;0,
    COUNTIFS($AG$2:$AG$200,$G117)&gt;0,
    COUNTIFS($AH$2:$AH$200,$G117)&gt;0,
    COUNTIFS($AI$2:$AI$200,$G117)&gt;0,
    COUNTIFS($AJ$2:$AJ$200,$G117)&gt;0,
    COUNTIFS($AK$2:$AK$200,$G117)&gt;0,
    COUNTIFS($AL$2:$AL$200,$G117)&gt;0,
    COUNTIFS($AM$2:$AM$200,$G117)&gt;0,
    COUNTIFS($AN$2:$AN$200,$G117)&gt;0,
    COUNTIFS($AO$2:$AO$200,$G117)&gt;0,
    COUNTIFS($AP$2:$AP$200,$G117)&gt;0,
    COUNTIFS($AQ$2:$AQ$200,$G117)&gt;0,
    COUNTIFS($AR$2:$AR$200,$G117)&gt;0,
    COUNTIFS($AS$2:$AS$200,$G117)&gt;0,
    COUNTIFS($AT$2:$AT$200,$G117)&gt;0,
    COUNTIFS($AU$2:$AU$200,$G117)&gt;0,
    COUNTIFS($AV$2:$AV$200,$G117)&gt;0,
    COUNTIFS($AW$2:$AW$200,$G117)&gt;0,
    COUNTIFS($AX$2:$AX$200,$G117)&gt;0
   ),
  0)
 ),
"")</f>
        <v>Gritrog</v>
      </c>
      <c r="D117" s="3" t="str" cm="1">
        <f t="array" aca="1" ref="D117" ca="1">IFERROR(
 INDEX(
  _xlfn._xlws.FILTER($U$1:$AX$1,
   TRANSPOSE(
    CHOOSE({1;2;3;4;5;6;7;8;9;10;11;12;13;14;15;16;17;18;19;20;21;22;23;24;25;26;27;28;29;30},
     COUNTIFS($U$2:$U$200,$G117)&gt;0,
     COUNTIFS($V$2:$V$200,$G117)&gt;0,
     COUNTIFS($W$2:$W$200,$G117)&gt;0,
     COUNTIFS($X$2:$X$200,$G117)&gt;0,
     COUNTIFS($Y$2:$Y$200,$G117)&gt;0,
     COUNTIFS($Z$2:$Z$200,$G117)&gt;0,
     COUNTIFS($AA$2:$AA$200,$G117)&gt;0,
     COUNTIFS($AB$2:$AB$200,$G117)&gt;0,
     COUNTIFS($AC$2:$AC$200,$G117)&gt;0,
     COUNTIFS($AD$2:$AD$200,$G117)&gt;0,
     COUNTIFS($AE$2:$AE$200,$G117)&gt;0,
     COUNTIFS($AF$2:$AF$200,$G117)&gt;0,
     COUNTIFS($AG$2:$AG$200,$G117)&gt;0,
     COUNTIFS($AH$2:$AH$200,$G117)&gt;0,
     COUNTIFS($AI$2:$AI$200,$G117)&gt;0,
     COUNTIFS($AJ$2:$AJ$200,$G117)&gt;0,
     COUNTIFS($AK$2:$AK$200,$G117)&gt;0,
     COUNTIFS($AL$2:$AL$200,$G117)&gt;0,
     COUNTIFS($AM$2:$AM$200,$G117)&gt;0,
     COUNTIFS($AN$2:$AN$200,$G117)&gt;0,
     COUNTIFS($AO$2:$AO$200,$G117)&gt;0,
     COUNTIFS($AP$2:$AP$200,$G117)&gt;0,
     COUNTIFS($AQ$2:$AQ$200,$G117)&gt;0,
     COUNTIFS($AR$2:$AR$200,$G117)&gt;0,
     COUNTIFS($AS$2:$AS$200,$G117)&gt;0,
     COUNTIFS($AT$2:$AT$200,$G117)&gt;0,
     COUNTIFS($AU$2:$AU$200,$G117)&gt;0,
     COUNTIFS($AV$2:$AV$200,$G117)&gt;0,
     COUNTIFS($AW$2:$AW$200,$G117)&gt;0,
     COUNTIFS($AX$2:$AX$200,$G117)&gt;0
   )),
  ),
  2
 ),
"")</f>
        <v/>
      </c>
      <c r="E117" s="3" t="str" cm="1">
        <f t="array" aca="1" ref="E117" ca="1">IFERROR(
 INDEX(
  _xlfn._xlws.FILTER($U$1:$AX$1,
   TRANSPOSE(
    CHOOSE({1;2;3;4;5;6;7;8;9;10;11;12;13;14;15;16;17;18;19;20;21;22;23;24;25;26;27;28;29;30},
     COUNTIFS($U$2:$U$200,$G117)&gt;0,
     COUNTIFS($V$2:$V$200,$G117)&gt;0,
     COUNTIFS($W$2:$W$200,$G117)&gt;0,
     COUNTIFS($X$2:$X$200,$G117)&gt;0,
     COUNTIFS($Y$2:$Y$200,$G117)&gt;0,
     COUNTIFS($Z$2:$Z$200,$G117)&gt;0,
     COUNTIFS($AA$2:$AA$200,$G117)&gt;0,
     COUNTIFS($AB$2:$AB$200,$G117)&gt;0,
     COUNTIFS($AC$2:$AC$200,$G117)&gt;0,
     COUNTIFS($AD$2:$AD$200,$G117)&gt;0,
     COUNTIFS($AE$2:$AE$200,$G117)&gt;0,
     COUNTIFS($AF$2:$AF$200,$G117)&gt;0,
     COUNTIFS($AG$2:$AG$200,$G117)&gt;0,
     COUNTIFS($AH$2:$AH$200,$G117)&gt;0,
     COUNTIFS($AI$2:$AI$200,$G117)&gt;0,
     COUNTIFS($AJ$2:$AJ$200,$G117)&gt;0,
     COUNTIFS($AK$2:$AK$200,$G117)&gt;0,
     COUNTIFS($AL$2:$AL$200,$G117)&gt;0,
     COUNTIFS($AM$2:$AM$200,$G117)&gt;0,
     COUNTIFS($AN$2:$AN$200,$G117)&gt;0,
     COUNTIFS($AO$2:$AO$200,$G117)&gt;0,
     COUNTIFS($AP$2:$AP$200,$G117)&gt;0,
     COUNTIFS($AQ$2:$AQ$200,$G117)&gt;0,
     COUNTIFS($AR$2:$AR$200,$G117)&gt;0,
     COUNTIFS($AS$2:$AS$200,$G117)&gt;0,
     COUNTIFS($AT$2:$AT$200,$G117)&gt;0,
     COUNTIFS($AU$2:$AU$200,$G117)&gt;0,
     COUNTIFS($AV$2:$AV$200,$G117)&gt;0,
     COUNTIFS($AW$2:$AW$200,$G117)&gt;0,
     COUNTIFS($AX$2:$AX$200,$G117)&gt;0
   )),
  ),
  3
 ),
"")</f>
        <v/>
      </c>
      <c r="F117" s="3" t="str" cm="1">
        <f t="array" aca="1" ref="F117" ca="1">IFERROR(
 INDEX(
  _xlfn._xlws.FILTER($U$1:$AX$1,
   TRANSPOSE(
    CHOOSE({1;2;3;4;5;6;7;8;9;10;11;12;13;14;15;16;17;18;19;20;21;22;23;24;25;26;27;28;29;30},
     COUNTIFS($U$2:$U$200,$G117)&gt;0,
     COUNTIFS($V$2:$V$200,$G117)&gt;0,
     COUNTIFS($W$2:$W$200,$G117)&gt;0,
     COUNTIFS($X$2:$X$200,$G117)&gt;0,
     COUNTIFS($Y$2:$Y$200,$G117)&gt;0,
     COUNTIFS($Z$2:$Z$200,$G117)&gt;0,
     COUNTIFS($AA$2:$AA$200,$G117)&gt;0,
     COUNTIFS($AB$2:$AB$200,$G117)&gt;0,
     COUNTIFS($AC$2:$AC$200,$G117)&gt;0,
     COUNTIFS($AD$2:$AD$200,$G117)&gt;0,
     COUNTIFS($AE$2:$AE$200,$G117)&gt;0,
     COUNTIFS($AF$2:$AF$200,$G117)&gt;0,
     COUNTIFS($AG$2:$AG$200,$G117)&gt;0,
     COUNTIFS($AH$2:$AH$200,$G117)&gt;0,
     COUNTIFS($AI$2:$AI$200,$G117)&gt;0,
     COUNTIFS($AJ$2:$AJ$200,$G117)&gt;0,
     COUNTIFS($AK$2:$AK$200,$G117)&gt;0,
     COUNTIFS($AL$2:$AL$200,$G117)&gt;0,
     COUNTIFS($AM$2:$AM$200,$G117)&gt;0,
     COUNTIFS($AN$2:$AN$200,$G117)&gt;0,
     COUNTIFS($AO$2:$AO$200,$G117)&gt;0,
     COUNTIFS($AP$2:$AP$200,$G117)&gt;0,
     COUNTIFS($AQ$2:$AQ$200,$G117)&gt;0,
     COUNTIFS($AR$2:$AR$200,$G117)&gt;0,
     COUNTIFS($AS$2:$AS$200,$G117)&gt;0,
     COUNTIFS($AT$2:$AT$200,$G117)&gt;0,
     COUNTIFS($AU$2:$AU$200,$G117)&gt;0,
     COUNTIFS($AV$2:$AV$200,$G117)&gt;0,
     COUNTIFS($AW$2:$AW$200,$G117)&gt;0,
     COUNTIFS($AX$2:$AX$200,$G117)&gt;0
   )),
  ),
  4
 ),
"")</f>
        <v/>
      </c>
      <c r="G117" t="str">
        <f ca="1"/>
        <v>Hedge Shredder</v>
      </c>
      <c r="CB117" t="str">
        <f ca="1"/>
        <v>Smuggler's Share</v>
      </c>
      <c r="CG117" t="str">
        <f ca="1"/>
        <v>Louisoix's Sacrifice</v>
      </c>
      <c r="CJ117" t="str">
        <f ca="1"/>
        <v>Hedge Shredder</v>
      </c>
    </row>
    <row r="118" spans="1:88" x14ac:dyDescent="0.25">
      <c r="A118" s="3" t="str">
        <f t="shared" ca="1" si="4"/>
        <v>2</v>
      </c>
      <c r="B118" s="3">
        <f t="shared" ca="1" si="5"/>
        <v>1</v>
      </c>
      <c r="C118" s="3" t="str">
        <f ca="1">IFERROR(
 INDEX($U$1:$AX$1,
  MATCH(TRUE,
   CHOOSE({1;2;3;4;5;6;7;8;9;10;11;12;13;14;15;16;17;18;19;20;21;22;23;24;25;26;27;28;29;30;31;32},
    COUNTIFS($U$2:$U$200,$G118)&gt;0,
    COUNTIFS($V$2:$V$200,$G118)&gt;0,
    COUNTIFS($W$2:$W$200,$G118)&gt;0,
    COUNTIFS($X$2:$X$200,$G118)&gt;0,
    COUNTIFS($Y$2:$Y$200,$G118)&gt;0,
    COUNTIFS($Z$2:$Z$200,$G118)&gt;0,
    COUNTIFS($AA$2:$AA$200,$G118)&gt;0,
    COUNTIFS($AB$2:$AB$200,$G118)&gt;0,
    COUNTIFS($AC$2:$AC$200,$G118)&gt;0,
    COUNTIFS($AD$2:$AD$200,$G118)&gt;0,
    COUNTIFS($AE$2:$AE$200,$G118)&gt;0,
    COUNTIFS($AF$2:$AF$200,$G118)&gt;0,
    COUNTIFS($AG$2:$AG$200,$G118)&gt;0,
    COUNTIFS($AH$2:$AH$200,$G118)&gt;0,
    COUNTIFS($AI$2:$AI$200,$G118)&gt;0,
    COUNTIFS($AJ$2:$AJ$200,$G118)&gt;0,
    COUNTIFS($AK$2:$AK$200,$G118)&gt;0,
    COUNTIFS($AL$2:$AL$200,$G118)&gt;0,
    COUNTIFS($AM$2:$AM$200,$G118)&gt;0,
    COUNTIFS($AN$2:$AN$200,$G118)&gt;0,
    COUNTIFS($AO$2:$AO$200,$G118)&gt;0,
    COUNTIFS($AP$2:$AP$200,$G118)&gt;0,
    COUNTIFS($AQ$2:$AQ$200,$G118)&gt;0,
    COUNTIFS($AR$2:$AR$200,$G118)&gt;0,
    COUNTIFS($AS$2:$AS$200,$G118)&gt;0,
    COUNTIFS($AT$2:$AT$200,$G118)&gt;0,
    COUNTIFS($AU$2:$AU$200,$G118)&gt;0,
    COUNTIFS($AV$2:$AV$200,$G118)&gt;0,
    COUNTIFS($AW$2:$AW$200,$G118)&gt;0,
    COUNTIFS($AX$2:$AX$200,$G118)&gt;0
   ),
  0)
 ),
"")</f>
        <v>Piratas</v>
      </c>
      <c r="D118" s="3" t="str" cm="1">
        <f t="array" aca="1" ref="D118" ca="1">IFERROR(
 INDEX(
  _xlfn._xlws.FILTER($U$1:$AX$1,
   TRANSPOSE(
    CHOOSE({1;2;3;4;5;6;7;8;9;10;11;12;13;14;15;16;17;18;19;20;21;22;23;24;25;26;27;28;29;30},
     COUNTIFS($U$2:$U$200,$G118)&gt;0,
     COUNTIFS($V$2:$V$200,$G118)&gt;0,
     COUNTIFS($W$2:$W$200,$G118)&gt;0,
     COUNTIFS($X$2:$X$200,$G118)&gt;0,
     COUNTIFS($Y$2:$Y$200,$G118)&gt;0,
     COUNTIFS($Z$2:$Z$200,$G118)&gt;0,
     COUNTIFS($AA$2:$AA$200,$G118)&gt;0,
     COUNTIFS($AB$2:$AB$200,$G118)&gt;0,
     COUNTIFS($AC$2:$AC$200,$G118)&gt;0,
     COUNTIFS($AD$2:$AD$200,$G118)&gt;0,
     COUNTIFS($AE$2:$AE$200,$G118)&gt;0,
     COUNTIFS($AF$2:$AF$200,$G118)&gt;0,
     COUNTIFS($AG$2:$AG$200,$G118)&gt;0,
     COUNTIFS($AH$2:$AH$200,$G118)&gt;0,
     COUNTIFS($AI$2:$AI$200,$G118)&gt;0,
     COUNTIFS($AJ$2:$AJ$200,$G118)&gt;0,
     COUNTIFS($AK$2:$AK$200,$G118)&gt;0,
     COUNTIFS($AL$2:$AL$200,$G118)&gt;0,
     COUNTIFS($AM$2:$AM$200,$G118)&gt;0,
     COUNTIFS($AN$2:$AN$200,$G118)&gt;0,
     COUNTIFS($AO$2:$AO$200,$G118)&gt;0,
     COUNTIFS($AP$2:$AP$200,$G118)&gt;0,
     COUNTIFS($AQ$2:$AQ$200,$G118)&gt;0,
     COUNTIFS($AR$2:$AR$200,$G118)&gt;0,
     COUNTIFS($AS$2:$AS$200,$G118)&gt;0,
     COUNTIFS($AT$2:$AT$200,$G118)&gt;0,
     COUNTIFS($AU$2:$AU$200,$G118)&gt;0,
     COUNTIFS($AV$2:$AV$200,$G118)&gt;0,
     COUNTIFS($AW$2:$AW$200,$G118)&gt;0,
     COUNTIFS($AX$2:$AX$200,$G118)&gt;0
   )),
  ),
  2
 ),
"")</f>
        <v/>
      </c>
      <c r="E118" s="3" t="str" cm="1">
        <f t="array" aca="1" ref="E118" ca="1">IFERROR(
 INDEX(
  _xlfn._xlws.FILTER($U$1:$AX$1,
   TRANSPOSE(
    CHOOSE({1;2;3;4;5;6;7;8;9;10;11;12;13;14;15;16;17;18;19;20;21;22;23;24;25;26;27;28;29;30},
     COUNTIFS($U$2:$U$200,$G118)&gt;0,
     COUNTIFS($V$2:$V$200,$G118)&gt;0,
     COUNTIFS($W$2:$W$200,$G118)&gt;0,
     COUNTIFS($X$2:$X$200,$G118)&gt;0,
     COUNTIFS($Y$2:$Y$200,$G118)&gt;0,
     COUNTIFS($Z$2:$Z$200,$G118)&gt;0,
     COUNTIFS($AA$2:$AA$200,$G118)&gt;0,
     COUNTIFS($AB$2:$AB$200,$G118)&gt;0,
     COUNTIFS($AC$2:$AC$200,$G118)&gt;0,
     COUNTIFS($AD$2:$AD$200,$G118)&gt;0,
     COUNTIFS($AE$2:$AE$200,$G118)&gt;0,
     COUNTIFS($AF$2:$AF$200,$G118)&gt;0,
     COUNTIFS($AG$2:$AG$200,$G118)&gt;0,
     COUNTIFS($AH$2:$AH$200,$G118)&gt;0,
     COUNTIFS($AI$2:$AI$200,$G118)&gt;0,
     COUNTIFS($AJ$2:$AJ$200,$G118)&gt;0,
     COUNTIFS($AK$2:$AK$200,$G118)&gt;0,
     COUNTIFS($AL$2:$AL$200,$G118)&gt;0,
     COUNTIFS($AM$2:$AM$200,$G118)&gt;0,
     COUNTIFS($AN$2:$AN$200,$G118)&gt;0,
     COUNTIFS($AO$2:$AO$200,$G118)&gt;0,
     COUNTIFS($AP$2:$AP$200,$G118)&gt;0,
     COUNTIFS($AQ$2:$AQ$200,$G118)&gt;0,
     COUNTIFS($AR$2:$AR$200,$G118)&gt;0,
     COUNTIFS($AS$2:$AS$200,$G118)&gt;0,
     COUNTIFS($AT$2:$AT$200,$G118)&gt;0,
     COUNTIFS($AU$2:$AU$200,$G118)&gt;0,
     COUNTIFS($AV$2:$AV$200,$G118)&gt;0,
     COUNTIFS($AW$2:$AW$200,$G118)&gt;0,
     COUNTIFS($AX$2:$AX$200,$G118)&gt;0
   )),
  ),
  3
 ),
"")</f>
        <v/>
      </c>
      <c r="F118" s="3" t="str" cm="1">
        <f t="array" aca="1" ref="F118" ca="1">IFERROR(
 INDEX(
  _xlfn._xlws.FILTER($U$1:$AX$1,
   TRANSPOSE(
    CHOOSE({1;2;3;4;5;6;7;8;9;10;11;12;13;14;15;16;17;18;19;20;21;22;23;24;25;26;27;28;29;30},
     COUNTIFS($U$2:$U$200,$G118)&gt;0,
     COUNTIFS($V$2:$V$200,$G118)&gt;0,
     COUNTIFS($W$2:$W$200,$G118)&gt;0,
     COUNTIFS($X$2:$X$200,$G118)&gt;0,
     COUNTIFS($Y$2:$Y$200,$G118)&gt;0,
     COUNTIFS($Z$2:$Z$200,$G118)&gt;0,
     COUNTIFS($AA$2:$AA$200,$G118)&gt;0,
     COUNTIFS($AB$2:$AB$200,$G118)&gt;0,
     COUNTIFS($AC$2:$AC$200,$G118)&gt;0,
     COUNTIFS($AD$2:$AD$200,$G118)&gt;0,
     COUNTIFS($AE$2:$AE$200,$G118)&gt;0,
     COUNTIFS($AF$2:$AF$200,$G118)&gt;0,
     COUNTIFS($AG$2:$AG$200,$G118)&gt;0,
     COUNTIFS($AH$2:$AH$200,$G118)&gt;0,
     COUNTIFS($AI$2:$AI$200,$G118)&gt;0,
     COUNTIFS($AJ$2:$AJ$200,$G118)&gt;0,
     COUNTIFS($AK$2:$AK$200,$G118)&gt;0,
     COUNTIFS($AL$2:$AL$200,$G118)&gt;0,
     COUNTIFS($AM$2:$AM$200,$G118)&gt;0,
     COUNTIFS($AN$2:$AN$200,$G118)&gt;0,
     COUNTIFS($AO$2:$AO$200,$G118)&gt;0,
     COUNTIFS($AP$2:$AP$200,$G118)&gt;0,
     COUNTIFS($AQ$2:$AQ$200,$G118)&gt;0,
     COUNTIFS($AR$2:$AR$200,$G118)&gt;0,
     COUNTIFS($AS$2:$AS$200,$G118)&gt;0,
     COUNTIFS($AT$2:$AT$200,$G118)&gt;0,
     COUNTIFS($AU$2:$AU$200,$G118)&gt;0,
     COUNTIFS($AV$2:$AV$200,$G118)&gt;0,
     COUNTIFS($AW$2:$AW$200,$G118)&gt;0,
     COUNTIFS($AX$2:$AX$200,$G118)&gt;0
   )),
  ),
  4
 ),
"")</f>
        <v/>
      </c>
      <c r="G118" t="str">
        <f ca="1"/>
        <v>Hedron Detonator</v>
      </c>
      <c r="CB118" t="str">
        <f ca="1"/>
        <v>Sokenzan, Crucible of Defiance</v>
      </c>
      <c r="CG118" t="str">
        <f ca="1"/>
        <v>Lullmage Mentor</v>
      </c>
      <c r="CJ118" t="str">
        <f ca="1"/>
        <v>Hedron Detonator</v>
      </c>
    </row>
    <row r="119" spans="1:88" x14ac:dyDescent="0.25">
      <c r="A119" s="3" t="str">
        <f t="shared" ca="1" si="4"/>
        <v>2</v>
      </c>
      <c r="B119" s="3">
        <f t="shared" ca="1" si="5"/>
        <v>1</v>
      </c>
      <c r="C119" s="3" t="str">
        <f ca="1">IFERROR(
 INDEX($U$1:$AX$1,
  MATCH(TRUE,
   CHOOSE({1;2;3;4;5;6;7;8;9;10;11;12;13;14;15;16;17;18;19;20;21;22;23;24;25;26;27;28;29;30;31;32},
    COUNTIFS($U$2:$U$200,$G119)&gt;0,
    COUNTIFS($V$2:$V$200,$G119)&gt;0,
    COUNTIFS($W$2:$W$200,$G119)&gt;0,
    COUNTIFS($X$2:$X$200,$G119)&gt;0,
    COUNTIFS($Y$2:$Y$200,$G119)&gt;0,
    COUNTIFS($Z$2:$Z$200,$G119)&gt;0,
    COUNTIFS($AA$2:$AA$200,$G119)&gt;0,
    COUNTIFS($AB$2:$AB$200,$G119)&gt;0,
    COUNTIFS($AC$2:$AC$200,$G119)&gt;0,
    COUNTIFS($AD$2:$AD$200,$G119)&gt;0,
    COUNTIFS($AE$2:$AE$200,$G119)&gt;0,
    COUNTIFS($AF$2:$AF$200,$G119)&gt;0,
    COUNTIFS($AG$2:$AG$200,$G119)&gt;0,
    COUNTIFS($AH$2:$AH$200,$G119)&gt;0,
    COUNTIFS($AI$2:$AI$200,$G119)&gt;0,
    COUNTIFS($AJ$2:$AJ$200,$G119)&gt;0,
    COUNTIFS($AK$2:$AK$200,$G119)&gt;0,
    COUNTIFS($AL$2:$AL$200,$G119)&gt;0,
    COUNTIFS($AM$2:$AM$200,$G119)&gt;0,
    COUNTIFS($AN$2:$AN$200,$G119)&gt;0,
    COUNTIFS($AO$2:$AO$200,$G119)&gt;0,
    COUNTIFS($AP$2:$AP$200,$G119)&gt;0,
    COUNTIFS($AQ$2:$AQ$200,$G119)&gt;0,
    COUNTIFS($AR$2:$AR$200,$G119)&gt;0,
    COUNTIFS($AS$2:$AS$200,$G119)&gt;0,
    COUNTIFS($AT$2:$AT$200,$G119)&gt;0,
    COUNTIFS($AU$2:$AU$200,$G119)&gt;0,
    COUNTIFS($AV$2:$AV$200,$G119)&gt;0,
    COUNTIFS($AW$2:$AW$200,$G119)&gt;0,
    COUNTIFS($AX$2:$AX$200,$G119)&gt;0
   ),
  0)
 ),
"")</f>
        <v>Kumena</v>
      </c>
      <c r="D119" s="3" t="str" cm="1">
        <f t="array" aca="1" ref="D119" ca="1">IFERROR(
 INDEX(
  _xlfn._xlws.FILTER($U$1:$AX$1,
   TRANSPOSE(
    CHOOSE({1;2;3;4;5;6;7;8;9;10;11;12;13;14;15;16;17;18;19;20;21;22;23;24;25;26;27;28;29;30},
     COUNTIFS($U$2:$U$200,$G119)&gt;0,
     COUNTIFS($V$2:$V$200,$G119)&gt;0,
     COUNTIFS($W$2:$W$200,$G119)&gt;0,
     COUNTIFS($X$2:$X$200,$G119)&gt;0,
     COUNTIFS($Y$2:$Y$200,$G119)&gt;0,
     COUNTIFS($Z$2:$Z$200,$G119)&gt;0,
     COUNTIFS($AA$2:$AA$200,$G119)&gt;0,
     COUNTIFS($AB$2:$AB$200,$G119)&gt;0,
     COUNTIFS($AC$2:$AC$200,$G119)&gt;0,
     COUNTIFS($AD$2:$AD$200,$G119)&gt;0,
     COUNTIFS($AE$2:$AE$200,$G119)&gt;0,
     COUNTIFS($AF$2:$AF$200,$G119)&gt;0,
     COUNTIFS($AG$2:$AG$200,$G119)&gt;0,
     COUNTIFS($AH$2:$AH$200,$G119)&gt;0,
     COUNTIFS($AI$2:$AI$200,$G119)&gt;0,
     COUNTIFS($AJ$2:$AJ$200,$G119)&gt;0,
     COUNTIFS($AK$2:$AK$200,$G119)&gt;0,
     COUNTIFS($AL$2:$AL$200,$G119)&gt;0,
     COUNTIFS($AM$2:$AM$200,$G119)&gt;0,
     COUNTIFS($AN$2:$AN$200,$G119)&gt;0,
     COUNTIFS($AO$2:$AO$200,$G119)&gt;0,
     COUNTIFS($AP$2:$AP$200,$G119)&gt;0,
     COUNTIFS($AQ$2:$AQ$200,$G119)&gt;0,
     COUNTIFS($AR$2:$AR$200,$G119)&gt;0,
     COUNTIFS($AS$2:$AS$200,$G119)&gt;0,
     COUNTIFS($AT$2:$AT$200,$G119)&gt;0,
     COUNTIFS($AU$2:$AU$200,$G119)&gt;0,
     COUNTIFS($AV$2:$AV$200,$G119)&gt;0,
     COUNTIFS($AW$2:$AW$200,$G119)&gt;0,
     COUNTIFS($AX$2:$AX$200,$G119)&gt;0
   )),
  ),
  2
 ),
"")</f>
        <v/>
      </c>
      <c r="E119" s="3" t="str" cm="1">
        <f t="array" aca="1" ref="E119" ca="1">IFERROR(
 INDEX(
  _xlfn._xlws.FILTER($U$1:$AX$1,
   TRANSPOSE(
    CHOOSE({1;2;3;4;5;6;7;8;9;10;11;12;13;14;15;16;17;18;19;20;21;22;23;24;25;26;27;28;29;30},
     COUNTIFS($U$2:$U$200,$G119)&gt;0,
     COUNTIFS($V$2:$V$200,$G119)&gt;0,
     COUNTIFS($W$2:$W$200,$G119)&gt;0,
     COUNTIFS($X$2:$X$200,$G119)&gt;0,
     COUNTIFS($Y$2:$Y$200,$G119)&gt;0,
     COUNTIFS($Z$2:$Z$200,$G119)&gt;0,
     COUNTIFS($AA$2:$AA$200,$G119)&gt;0,
     COUNTIFS($AB$2:$AB$200,$G119)&gt;0,
     COUNTIFS($AC$2:$AC$200,$G119)&gt;0,
     COUNTIFS($AD$2:$AD$200,$G119)&gt;0,
     COUNTIFS($AE$2:$AE$200,$G119)&gt;0,
     COUNTIFS($AF$2:$AF$200,$G119)&gt;0,
     COUNTIFS($AG$2:$AG$200,$G119)&gt;0,
     COUNTIFS($AH$2:$AH$200,$G119)&gt;0,
     COUNTIFS($AI$2:$AI$200,$G119)&gt;0,
     COUNTIFS($AJ$2:$AJ$200,$G119)&gt;0,
     COUNTIFS($AK$2:$AK$200,$G119)&gt;0,
     COUNTIFS($AL$2:$AL$200,$G119)&gt;0,
     COUNTIFS($AM$2:$AM$200,$G119)&gt;0,
     COUNTIFS($AN$2:$AN$200,$G119)&gt;0,
     COUNTIFS($AO$2:$AO$200,$G119)&gt;0,
     COUNTIFS($AP$2:$AP$200,$G119)&gt;0,
     COUNTIFS($AQ$2:$AQ$200,$G119)&gt;0,
     COUNTIFS($AR$2:$AR$200,$G119)&gt;0,
     COUNTIFS($AS$2:$AS$200,$G119)&gt;0,
     COUNTIFS($AT$2:$AT$200,$G119)&gt;0,
     COUNTIFS($AU$2:$AU$200,$G119)&gt;0,
     COUNTIFS($AV$2:$AV$200,$G119)&gt;0,
     COUNTIFS($AW$2:$AW$200,$G119)&gt;0,
     COUNTIFS($AX$2:$AX$200,$G119)&gt;0
   )),
  ),
  3
 ),
"")</f>
        <v/>
      </c>
      <c r="F119" s="3" t="str" cm="1">
        <f t="array" aca="1" ref="F119" ca="1">IFERROR(
 INDEX(
  _xlfn._xlws.FILTER($U$1:$AX$1,
   TRANSPOSE(
    CHOOSE({1;2;3;4;5;6;7;8;9;10;11;12;13;14;15;16;17;18;19;20;21;22;23;24;25;26;27;28;29;30},
     COUNTIFS($U$2:$U$200,$G119)&gt;0,
     COUNTIFS($V$2:$V$200,$G119)&gt;0,
     COUNTIFS($W$2:$W$200,$G119)&gt;0,
     COUNTIFS($X$2:$X$200,$G119)&gt;0,
     COUNTIFS($Y$2:$Y$200,$G119)&gt;0,
     COUNTIFS($Z$2:$Z$200,$G119)&gt;0,
     COUNTIFS($AA$2:$AA$200,$G119)&gt;0,
     COUNTIFS($AB$2:$AB$200,$G119)&gt;0,
     COUNTIFS($AC$2:$AC$200,$G119)&gt;0,
     COUNTIFS($AD$2:$AD$200,$G119)&gt;0,
     COUNTIFS($AE$2:$AE$200,$G119)&gt;0,
     COUNTIFS($AF$2:$AF$200,$G119)&gt;0,
     COUNTIFS($AG$2:$AG$200,$G119)&gt;0,
     COUNTIFS($AH$2:$AH$200,$G119)&gt;0,
     COUNTIFS($AI$2:$AI$200,$G119)&gt;0,
     COUNTIFS($AJ$2:$AJ$200,$G119)&gt;0,
     COUNTIFS($AK$2:$AK$200,$G119)&gt;0,
     COUNTIFS($AL$2:$AL$200,$G119)&gt;0,
     COUNTIFS($AM$2:$AM$200,$G119)&gt;0,
     COUNTIFS($AN$2:$AN$200,$G119)&gt;0,
     COUNTIFS($AO$2:$AO$200,$G119)&gt;0,
     COUNTIFS($AP$2:$AP$200,$G119)&gt;0,
     COUNTIFS($AQ$2:$AQ$200,$G119)&gt;0,
     COUNTIFS($AR$2:$AR$200,$G119)&gt;0,
     COUNTIFS($AS$2:$AS$200,$G119)&gt;0,
     COUNTIFS($AT$2:$AT$200,$G119)&gt;0,
     COUNTIFS($AU$2:$AU$200,$G119)&gt;0,
     COUNTIFS($AV$2:$AV$200,$G119)&gt;0,
     COUNTIFS($AW$2:$AW$200,$G119)&gt;0,
     COUNTIFS($AX$2:$AX$200,$G119)&gt;0
   )),
  ),
  4
 ),
"")</f>
        <v/>
      </c>
      <c r="G119" t="str">
        <f ca="1"/>
        <v>Herald of Secret Streams</v>
      </c>
      <c r="CB119" t="str">
        <f ca="1"/>
        <v>Sol Ring</v>
      </c>
      <c r="CG119" t="str">
        <f ca="1"/>
        <v>Luxury Suite</v>
      </c>
      <c r="CJ119" t="str">
        <f ca="1"/>
        <v>Herald of Secret Streams</v>
      </c>
    </row>
    <row r="120" spans="1:88" x14ac:dyDescent="0.25">
      <c r="A120" s="3" t="str">
        <f t="shared" ca="1" si="4"/>
        <v>3</v>
      </c>
      <c r="B120" s="3">
        <f t="shared" ca="1" si="5"/>
        <v>1</v>
      </c>
      <c r="C120" s="3" t="str">
        <f ca="1">IFERROR(
 INDEX($U$1:$AX$1,
  MATCH(TRUE,
   CHOOSE({1;2;3;4;5;6;7;8;9;10;11;12;13;14;15;16;17;18;19;20;21;22;23;24;25;26;27;28;29;30;31;32},
    COUNTIFS($U$2:$U$200,$G120)&gt;0,
    COUNTIFS($V$2:$V$200,$G120)&gt;0,
    COUNTIFS($W$2:$W$200,$G120)&gt;0,
    COUNTIFS($X$2:$X$200,$G120)&gt;0,
    COUNTIFS($Y$2:$Y$200,$G120)&gt;0,
    COUNTIFS($Z$2:$Z$200,$G120)&gt;0,
    COUNTIFS($AA$2:$AA$200,$G120)&gt;0,
    COUNTIFS($AB$2:$AB$200,$G120)&gt;0,
    COUNTIFS($AC$2:$AC$200,$G120)&gt;0,
    COUNTIFS($AD$2:$AD$200,$G120)&gt;0,
    COUNTIFS($AE$2:$AE$200,$G120)&gt;0,
    COUNTIFS($AF$2:$AF$200,$G120)&gt;0,
    COUNTIFS($AG$2:$AG$200,$G120)&gt;0,
    COUNTIFS($AH$2:$AH$200,$G120)&gt;0,
    COUNTIFS($AI$2:$AI$200,$G120)&gt;0,
    COUNTIFS($AJ$2:$AJ$200,$G120)&gt;0,
    COUNTIFS($AK$2:$AK$200,$G120)&gt;0,
    COUNTIFS($AL$2:$AL$200,$G120)&gt;0,
    COUNTIFS($AM$2:$AM$200,$G120)&gt;0,
    COUNTIFS($AN$2:$AN$200,$G120)&gt;0,
    COUNTIFS($AO$2:$AO$200,$G120)&gt;0,
    COUNTIFS($AP$2:$AP$200,$G120)&gt;0,
    COUNTIFS($AQ$2:$AQ$200,$G120)&gt;0,
    COUNTIFS($AR$2:$AR$200,$G120)&gt;0,
    COUNTIFS($AS$2:$AS$200,$G120)&gt;0,
    COUNTIFS($AT$2:$AT$200,$G120)&gt;0,
    COUNTIFS($AU$2:$AU$200,$G120)&gt;0,
    COUNTIFS($AV$2:$AV$200,$G120)&gt;0,
    COUNTIFS($AW$2:$AW$200,$G120)&gt;0,
    COUNTIFS($AX$2:$AX$200,$G120)&gt;0
   ),
  0)
 ),
"")</f>
        <v>Carlos</v>
      </c>
      <c r="D120" s="3" t="str" cm="1">
        <f t="array" aca="1" ref="D120" ca="1">IFERROR(
 INDEX(
  _xlfn._xlws.FILTER($U$1:$AX$1,
   TRANSPOSE(
    CHOOSE({1;2;3;4;5;6;7;8;9;10;11;12;13;14;15;16;17;18;19;20;21;22;23;24;25;26;27;28;29;30},
     COUNTIFS($U$2:$U$200,$G120)&gt;0,
     COUNTIFS($V$2:$V$200,$G120)&gt;0,
     COUNTIFS($W$2:$W$200,$G120)&gt;0,
     COUNTIFS($X$2:$X$200,$G120)&gt;0,
     COUNTIFS($Y$2:$Y$200,$G120)&gt;0,
     COUNTIFS($Z$2:$Z$200,$G120)&gt;0,
     COUNTIFS($AA$2:$AA$200,$G120)&gt;0,
     COUNTIFS($AB$2:$AB$200,$G120)&gt;0,
     COUNTIFS($AC$2:$AC$200,$G120)&gt;0,
     COUNTIFS($AD$2:$AD$200,$G120)&gt;0,
     COUNTIFS($AE$2:$AE$200,$G120)&gt;0,
     COUNTIFS($AF$2:$AF$200,$G120)&gt;0,
     COUNTIFS($AG$2:$AG$200,$G120)&gt;0,
     COUNTIFS($AH$2:$AH$200,$G120)&gt;0,
     COUNTIFS($AI$2:$AI$200,$G120)&gt;0,
     COUNTIFS($AJ$2:$AJ$200,$G120)&gt;0,
     COUNTIFS($AK$2:$AK$200,$G120)&gt;0,
     COUNTIFS($AL$2:$AL$200,$G120)&gt;0,
     COUNTIFS($AM$2:$AM$200,$G120)&gt;0,
     COUNTIFS($AN$2:$AN$200,$G120)&gt;0,
     COUNTIFS($AO$2:$AO$200,$G120)&gt;0,
     COUNTIFS($AP$2:$AP$200,$G120)&gt;0,
     COUNTIFS($AQ$2:$AQ$200,$G120)&gt;0,
     COUNTIFS($AR$2:$AR$200,$G120)&gt;0,
     COUNTIFS($AS$2:$AS$200,$G120)&gt;0,
     COUNTIFS($AT$2:$AT$200,$G120)&gt;0,
     COUNTIFS($AU$2:$AU$200,$G120)&gt;0,
     COUNTIFS($AV$2:$AV$200,$G120)&gt;0,
     COUNTIFS($AW$2:$AW$200,$G120)&gt;0,
     COUNTIFS($AX$2:$AX$200,$G120)&gt;0
   )),
  ),
  2
 ),
"")</f>
        <v/>
      </c>
      <c r="E120" s="3" t="str" cm="1">
        <f t="array" aca="1" ref="E120" ca="1">IFERROR(
 INDEX(
  _xlfn._xlws.FILTER($U$1:$AX$1,
   TRANSPOSE(
    CHOOSE({1;2;3;4;5;6;7;8;9;10;11;12;13;14;15;16;17;18;19;20;21;22;23;24;25;26;27;28;29;30},
     COUNTIFS($U$2:$U$200,$G120)&gt;0,
     COUNTIFS($V$2:$V$200,$G120)&gt;0,
     COUNTIFS($W$2:$W$200,$G120)&gt;0,
     COUNTIFS($X$2:$X$200,$G120)&gt;0,
     COUNTIFS($Y$2:$Y$200,$G120)&gt;0,
     COUNTIFS($Z$2:$Z$200,$G120)&gt;0,
     COUNTIFS($AA$2:$AA$200,$G120)&gt;0,
     COUNTIFS($AB$2:$AB$200,$G120)&gt;0,
     COUNTIFS($AC$2:$AC$200,$G120)&gt;0,
     COUNTIFS($AD$2:$AD$200,$G120)&gt;0,
     COUNTIFS($AE$2:$AE$200,$G120)&gt;0,
     COUNTIFS($AF$2:$AF$200,$G120)&gt;0,
     COUNTIFS($AG$2:$AG$200,$G120)&gt;0,
     COUNTIFS($AH$2:$AH$200,$G120)&gt;0,
     COUNTIFS($AI$2:$AI$200,$G120)&gt;0,
     COUNTIFS($AJ$2:$AJ$200,$G120)&gt;0,
     COUNTIFS($AK$2:$AK$200,$G120)&gt;0,
     COUNTIFS($AL$2:$AL$200,$G120)&gt;0,
     COUNTIFS($AM$2:$AM$200,$G120)&gt;0,
     COUNTIFS($AN$2:$AN$200,$G120)&gt;0,
     COUNTIFS($AO$2:$AO$200,$G120)&gt;0,
     COUNTIFS($AP$2:$AP$200,$G120)&gt;0,
     COUNTIFS($AQ$2:$AQ$200,$G120)&gt;0,
     COUNTIFS($AR$2:$AR$200,$G120)&gt;0,
     COUNTIFS($AS$2:$AS$200,$G120)&gt;0,
     COUNTIFS($AT$2:$AT$200,$G120)&gt;0,
     COUNTIFS($AU$2:$AU$200,$G120)&gt;0,
     COUNTIFS($AV$2:$AV$200,$G120)&gt;0,
     COUNTIFS($AW$2:$AW$200,$G120)&gt;0,
     COUNTIFS($AX$2:$AX$200,$G120)&gt;0
   )),
  ),
  3
 ),
"")</f>
        <v/>
      </c>
      <c r="F120" s="3" t="str" cm="1">
        <f t="array" aca="1" ref="F120" ca="1">IFERROR(
 INDEX(
  _xlfn._xlws.FILTER($U$1:$AX$1,
   TRANSPOSE(
    CHOOSE({1;2;3;4;5;6;7;8;9;10;11;12;13;14;15;16;17;18;19;20;21;22;23;24;25;26;27;28;29;30},
     COUNTIFS($U$2:$U$200,$G120)&gt;0,
     COUNTIFS($V$2:$V$200,$G120)&gt;0,
     COUNTIFS($W$2:$W$200,$G120)&gt;0,
     COUNTIFS($X$2:$X$200,$G120)&gt;0,
     COUNTIFS($Y$2:$Y$200,$G120)&gt;0,
     COUNTIFS($Z$2:$Z$200,$G120)&gt;0,
     COUNTIFS($AA$2:$AA$200,$G120)&gt;0,
     COUNTIFS($AB$2:$AB$200,$G120)&gt;0,
     COUNTIFS($AC$2:$AC$200,$G120)&gt;0,
     COUNTIFS($AD$2:$AD$200,$G120)&gt;0,
     COUNTIFS($AE$2:$AE$200,$G120)&gt;0,
     COUNTIFS($AF$2:$AF$200,$G120)&gt;0,
     COUNTIFS($AG$2:$AG$200,$G120)&gt;0,
     COUNTIFS($AH$2:$AH$200,$G120)&gt;0,
     COUNTIFS($AI$2:$AI$200,$G120)&gt;0,
     COUNTIFS($AJ$2:$AJ$200,$G120)&gt;0,
     COUNTIFS($AK$2:$AK$200,$G120)&gt;0,
     COUNTIFS($AL$2:$AL$200,$G120)&gt;0,
     COUNTIFS($AM$2:$AM$200,$G120)&gt;0,
     COUNTIFS($AN$2:$AN$200,$G120)&gt;0,
     COUNTIFS($AO$2:$AO$200,$G120)&gt;0,
     COUNTIFS($AP$2:$AP$200,$G120)&gt;0,
     COUNTIFS($AQ$2:$AQ$200,$G120)&gt;0,
     COUNTIFS($AR$2:$AR$200,$G120)&gt;0,
     COUNTIFS($AS$2:$AS$200,$G120)&gt;0,
     COUNTIFS($AT$2:$AT$200,$G120)&gt;0,
     COUNTIFS($AU$2:$AU$200,$G120)&gt;0,
     COUNTIFS($AV$2:$AV$200,$G120)&gt;0,
     COUNTIFS($AW$2:$AW$200,$G120)&gt;0,
     COUNTIFS($AX$2:$AX$200,$G120)&gt;0
   )),
  ),
  4
 ),
"")</f>
        <v/>
      </c>
      <c r="G120" t="str">
        <f ca="1"/>
        <v>Hierofante de Elenda</v>
      </c>
      <c r="CB120" t="str">
        <f ca="1"/>
        <v>Song of Freyalise</v>
      </c>
      <c r="CG120" t="str">
        <f ca="1"/>
        <v>Maddening Cacophony</v>
      </c>
      <c r="CJ120" t="str">
        <f ca="1"/>
        <v>Hierofante de Elenda</v>
      </c>
    </row>
    <row r="121" spans="1:88" x14ac:dyDescent="0.25">
      <c r="A121" s="3" t="str">
        <f t="shared" ca="1" si="4"/>
        <v>1</v>
      </c>
      <c r="B121" s="3">
        <f t="shared" ca="1" si="5"/>
        <v>1</v>
      </c>
      <c r="C121" s="3" t="str">
        <f ca="1">IFERROR(
 INDEX($U$1:$AX$1,
  MATCH(TRUE,
   CHOOSE({1;2;3;4;5;6;7;8;9;10;11;12;13;14;15;16;17;18;19;20;21;22;23;24;25;26;27;28;29;30;31;32},
    COUNTIFS($U$2:$U$200,$G121)&gt;0,
    COUNTIFS($V$2:$V$200,$G121)&gt;0,
    COUNTIFS($W$2:$W$200,$G121)&gt;0,
    COUNTIFS($X$2:$X$200,$G121)&gt;0,
    COUNTIFS($Y$2:$Y$200,$G121)&gt;0,
    COUNTIFS($Z$2:$Z$200,$G121)&gt;0,
    COUNTIFS($AA$2:$AA$200,$G121)&gt;0,
    COUNTIFS($AB$2:$AB$200,$G121)&gt;0,
    COUNTIFS($AC$2:$AC$200,$G121)&gt;0,
    COUNTIFS($AD$2:$AD$200,$G121)&gt;0,
    COUNTIFS($AE$2:$AE$200,$G121)&gt;0,
    COUNTIFS($AF$2:$AF$200,$G121)&gt;0,
    COUNTIFS($AG$2:$AG$200,$G121)&gt;0,
    COUNTIFS($AH$2:$AH$200,$G121)&gt;0,
    COUNTIFS($AI$2:$AI$200,$G121)&gt;0,
    COUNTIFS($AJ$2:$AJ$200,$G121)&gt;0,
    COUNTIFS($AK$2:$AK$200,$G121)&gt;0,
    COUNTIFS($AL$2:$AL$200,$G121)&gt;0,
    COUNTIFS($AM$2:$AM$200,$G121)&gt;0,
    COUNTIFS($AN$2:$AN$200,$G121)&gt;0,
    COUNTIFS($AO$2:$AO$200,$G121)&gt;0,
    COUNTIFS($AP$2:$AP$200,$G121)&gt;0,
    COUNTIFS($AQ$2:$AQ$200,$G121)&gt;0,
    COUNTIFS($AR$2:$AR$200,$G121)&gt;0,
    COUNTIFS($AS$2:$AS$200,$G121)&gt;0,
    COUNTIFS($AT$2:$AT$200,$G121)&gt;0,
    COUNTIFS($AU$2:$AU$200,$G121)&gt;0,
    COUNTIFS($AV$2:$AV$200,$G121)&gt;0,
    COUNTIFS($AW$2:$AW$200,$G121)&gt;0,
    COUNTIFS($AX$2:$AX$200,$G121)&gt;0
   ),
  0)
 ),
"")</f>
        <v>Modular</v>
      </c>
      <c r="D121" s="3" t="str" cm="1">
        <f t="array" aca="1" ref="D121" ca="1">IFERROR(
 INDEX(
  _xlfn._xlws.FILTER($U$1:$AX$1,
   TRANSPOSE(
    CHOOSE({1;2;3;4;5;6;7;8;9;10;11;12;13;14;15;16;17;18;19;20;21;22;23;24;25;26;27;28;29;30},
     COUNTIFS($U$2:$U$200,$G121)&gt;0,
     COUNTIFS($V$2:$V$200,$G121)&gt;0,
     COUNTIFS($W$2:$W$200,$G121)&gt;0,
     COUNTIFS($X$2:$X$200,$G121)&gt;0,
     COUNTIFS($Y$2:$Y$200,$G121)&gt;0,
     COUNTIFS($Z$2:$Z$200,$G121)&gt;0,
     COUNTIFS($AA$2:$AA$200,$G121)&gt;0,
     COUNTIFS($AB$2:$AB$200,$G121)&gt;0,
     COUNTIFS($AC$2:$AC$200,$G121)&gt;0,
     COUNTIFS($AD$2:$AD$200,$G121)&gt;0,
     COUNTIFS($AE$2:$AE$200,$G121)&gt;0,
     COUNTIFS($AF$2:$AF$200,$G121)&gt;0,
     COUNTIFS($AG$2:$AG$200,$G121)&gt;0,
     COUNTIFS($AH$2:$AH$200,$G121)&gt;0,
     COUNTIFS($AI$2:$AI$200,$G121)&gt;0,
     COUNTIFS($AJ$2:$AJ$200,$G121)&gt;0,
     COUNTIFS($AK$2:$AK$200,$G121)&gt;0,
     COUNTIFS($AL$2:$AL$200,$G121)&gt;0,
     COUNTIFS($AM$2:$AM$200,$G121)&gt;0,
     COUNTIFS($AN$2:$AN$200,$G121)&gt;0,
     COUNTIFS($AO$2:$AO$200,$G121)&gt;0,
     COUNTIFS($AP$2:$AP$200,$G121)&gt;0,
     COUNTIFS($AQ$2:$AQ$200,$G121)&gt;0,
     COUNTIFS($AR$2:$AR$200,$G121)&gt;0,
     COUNTIFS($AS$2:$AS$200,$G121)&gt;0,
     COUNTIFS($AT$2:$AT$200,$G121)&gt;0,
     COUNTIFS($AU$2:$AU$200,$G121)&gt;0,
     COUNTIFS($AV$2:$AV$200,$G121)&gt;0,
     COUNTIFS($AW$2:$AW$200,$G121)&gt;0,
     COUNTIFS($AX$2:$AX$200,$G121)&gt;0
   )),
  ),
  2
 ),
"")</f>
        <v/>
      </c>
      <c r="E121" s="3" t="str" cm="1">
        <f t="array" aca="1" ref="E121" ca="1">IFERROR(
 INDEX(
  _xlfn._xlws.FILTER($U$1:$AX$1,
   TRANSPOSE(
    CHOOSE({1;2;3;4;5;6;7;8;9;10;11;12;13;14;15;16;17;18;19;20;21;22;23;24;25;26;27;28;29;30},
     COUNTIFS($U$2:$U$200,$G121)&gt;0,
     COUNTIFS($V$2:$V$200,$G121)&gt;0,
     COUNTIFS($W$2:$W$200,$G121)&gt;0,
     COUNTIFS($X$2:$X$200,$G121)&gt;0,
     COUNTIFS($Y$2:$Y$200,$G121)&gt;0,
     COUNTIFS($Z$2:$Z$200,$G121)&gt;0,
     COUNTIFS($AA$2:$AA$200,$G121)&gt;0,
     COUNTIFS($AB$2:$AB$200,$G121)&gt;0,
     COUNTIFS($AC$2:$AC$200,$G121)&gt;0,
     COUNTIFS($AD$2:$AD$200,$G121)&gt;0,
     COUNTIFS($AE$2:$AE$200,$G121)&gt;0,
     COUNTIFS($AF$2:$AF$200,$G121)&gt;0,
     COUNTIFS($AG$2:$AG$200,$G121)&gt;0,
     COUNTIFS($AH$2:$AH$200,$G121)&gt;0,
     COUNTIFS($AI$2:$AI$200,$G121)&gt;0,
     COUNTIFS($AJ$2:$AJ$200,$G121)&gt;0,
     COUNTIFS($AK$2:$AK$200,$G121)&gt;0,
     COUNTIFS($AL$2:$AL$200,$G121)&gt;0,
     COUNTIFS($AM$2:$AM$200,$G121)&gt;0,
     COUNTIFS($AN$2:$AN$200,$G121)&gt;0,
     COUNTIFS($AO$2:$AO$200,$G121)&gt;0,
     COUNTIFS($AP$2:$AP$200,$G121)&gt;0,
     COUNTIFS($AQ$2:$AQ$200,$G121)&gt;0,
     COUNTIFS($AR$2:$AR$200,$G121)&gt;0,
     COUNTIFS($AS$2:$AS$200,$G121)&gt;0,
     COUNTIFS($AT$2:$AT$200,$G121)&gt;0,
     COUNTIFS($AU$2:$AU$200,$G121)&gt;0,
     COUNTIFS($AV$2:$AV$200,$G121)&gt;0,
     COUNTIFS($AW$2:$AW$200,$G121)&gt;0,
     COUNTIFS($AX$2:$AX$200,$G121)&gt;0
   )),
  ),
  3
 ),
"")</f>
        <v/>
      </c>
      <c r="F121" s="3" t="str" cm="1">
        <f t="array" aca="1" ref="F121" ca="1">IFERROR(
 INDEX(
  _xlfn._xlws.FILTER($U$1:$AX$1,
   TRANSPOSE(
    CHOOSE({1;2;3;4;5;6;7;8;9;10;11;12;13;14;15;16;17;18;19;20;21;22;23;24;25;26;27;28;29;30},
     COUNTIFS($U$2:$U$200,$G121)&gt;0,
     COUNTIFS($V$2:$V$200,$G121)&gt;0,
     COUNTIFS($W$2:$W$200,$G121)&gt;0,
     COUNTIFS($X$2:$X$200,$G121)&gt;0,
     COUNTIFS($Y$2:$Y$200,$G121)&gt;0,
     COUNTIFS($Z$2:$Z$200,$G121)&gt;0,
     COUNTIFS($AA$2:$AA$200,$G121)&gt;0,
     COUNTIFS($AB$2:$AB$200,$G121)&gt;0,
     COUNTIFS($AC$2:$AC$200,$G121)&gt;0,
     COUNTIFS($AD$2:$AD$200,$G121)&gt;0,
     COUNTIFS($AE$2:$AE$200,$G121)&gt;0,
     COUNTIFS($AF$2:$AF$200,$G121)&gt;0,
     COUNTIFS($AG$2:$AG$200,$G121)&gt;0,
     COUNTIFS($AH$2:$AH$200,$G121)&gt;0,
     COUNTIFS($AI$2:$AI$200,$G121)&gt;0,
     COUNTIFS($AJ$2:$AJ$200,$G121)&gt;0,
     COUNTIFS($AK$2:$AK$200,$G121)&gt;0,
     COUNTIFS($AL$2:$AL$200,$G121)&gt;0,
     COUNTIFS($AM$2:$AM$200,$G121)&gt;0,
     COUNTIFS($AN$2:$AN$200,$G121)&gt;0,
     COUNTIFS($AO$2:$AO$200,$G121)&gt;0,
     COUNTIFS($AP$2:$AP$200,$G121)&gt;0,
     COUNTIFS($AQ$2:$AQ$200,$G121)&gt;0,
     COUNTIFS($AR$2:$AR$200,$G121)&gt;0,
     COUNTIFS($AS$2:$AS$200,$G121)&gt;0,
     COUNTIFS($AT$2:$AT$200,$G121)&gt;0,
     COUNTIFS($AU$2:$AU$200,$G121)&gt;0,
     COUNTIFS($AV$2:$AV$200,$G121)&gt;0,
     COUNTIFS($AW$2:$AW$200,$G121)&gt;0,
     COUNTIFS($AX$2:$AX$200,$G121)&gt;0
   )),
  ),
  4
 ),
"")</f>
        <v/>
      </c>
      <c r="G121" t="str">
        <f ca="1"/>
        <v>High Market</v>
      </c>
      <c r="CB121" t="str">
        <f ca="1"/>
        <v>Sothera, the Supervoid</v>
      </c>
      <c r="CG121" t="str">
        <f ca="1"/>
        <v>Maester Seymour</v>
      </c>
      <c r="CJ121" t="str">
        <f ca="1"/>
        <v>High Market</v>
      </c>
    </row>
    <row r="122" spans="1:88" x14ac:dyDescent="0.25">
      <c r="A122" s="3" t="str">
        <f t="shared" ca="1" si="4"/>
        <v>4</v>
      </c>
      <c r="B122" s="3">
        <f t="shared" ca="1" si="5"/>
        <v>1</v>
      </c>
      <c r="C122" s="3" t="str">
        <f ca="1">IFERROR(
 INDEX($U$1:$AX$1,
  MATCH(TRUE,
   CHOOSE({1;2;3;4;5;6;7;8;9;10;11;12;13;14;15;16;17;18;19;20;21;22;23;24;25;26;27;28;29;30;31;32},
    COUNTIFS($U$2:$U$200,$G122)&gt;0,
    COUNTIFS($V$2:$V$200,$G122)&gt;0,
    COUNTIFS($W$2:$W$200,$G122)&gt;0,
    COUNTIFS($X$2:$X$200,$G122)&gt;0,
    COUNTIFS($Y$2:$Y$200,$G122)&gt;0,
    COUNTIFS($Z$2:$Z$200,$G122)&gt;0,
    COUNTIFS($AA$2:$AA$200,$G122)&gt;0,
    COUNTIFS($AB$2:$AB$200,$G122)&gt;0,
    COUNTIFS($AC$2:$AC$200,$G122)&gt;0,
    COUNTIFS($AD$2:$AD$200,$G122)&gt;0,
    COUNTIFS($AE$2:$AE$200,$G122)&gt;0,
    COUNTIFS($AF$2:$AF$200,$G122)&gt;0,
    COUNTIFS($AG$2:$AG$200,$G122)&gt;0,
    COUNTIFS($AH$2:$AH$200,$G122)&gt;0,
    COUNTIFS($AI$2:$AI$200,$G122)&gt;0,
    COUNTIFS($AJ$2:$AJ$200,$G122)&gt;0,
    COUNTIFS($AK$2:$AK$200,$G122)&gt;0,
    COUNTIFS($AL$2:$AL$200,$G122)&gt;0,
    COUNTIFS($AM$2:$AM$200,$G122)&gt;0,
    COUNTIFS($AN$2:$AN$200,$G122)&gt;0,
    COUNTIFS($AO$2:$AO$200,$G122)&gt;0,
    COUNTIFS($AP$2:$AP$200,$G122)&gt;0,
    COUNTIFS($AQ$2:$AQ$200,$G122)&gt;0,
    COUNTIFS($AR$2:$AR$200,$G122)&gt;0,
    COUNTIFS($AS$2:$AS$200,$G122)&gt;0,
    COUNTIFS($AT$2:$AT$200,$G122)&gt;0,
    COUNTIFS($AU$2:$AU$200,$G122)&gt;0,
    COUNTIFS($AV$2:$AV$200,$G122)&gt;0,
    COUNTIFS($AW$2:$AW$200,$G122)&gt;0,
    COUNTIFS($AX$2:$AX$200,$G122)&gt;0
   ),
  0)
 ),
"")</f>
        <v>Kresh</v>
      </c>
      <c r="D122" s="3" t="str" cm="1">
        <f t="array" aca="1" ref="D122" ca="1">IFERROR(
 INDEX(
  _xlfn._xlws.FILTER($U$1:$AX$1,
   TRANSPOSE(
    CHOOSE({1;2;3;4;5;6;7;8;9;10;11;12;13;14;15;16;17;18;19;20;21;22;23;24;25;26;27;28;29;30},
     COUNTIFS($U$2:$U$200,$G122)&gt;0,
     COUNTIFS($V$2:$V$200,$G122)&gt;0,
     COUNTIFS($W$2:$W$200,$G122)&gt;0,
     COUNTIFS($X$2:$X$200,$G122)&gt;0,
     COUNTIFS($Y$2:$Y$200,$G122)&gt;0,
     COUNTIFS($Z$2:$Z$200,$G122)&gt;0,
     COUNTIFS($AA$2:$AA$200,$G122)&gt;0,
     COUNTIFS($AB$2:$AB$200,$G122)&gt;0,
     COUNTIFS($AC$2:$AC$200,$G122)&gt;0,
     COUNTIFS($AD$2:$AD$200,$G122)&gt;0,
     COUNTIFS($AE$2:$AE$200,$G122)&gt;0,
     COUNTIFS($AF$2:$AF$200,$G122)&gt;0,
     COUNTIFS($AG$2:$AG$200,$G122)&gt;0,
     COUNTIFS($AH$2:$AH$200,$G122)&gt;0,
     COUNTIFS($AI$2:$AI$200,$G122)&gt;0,
     COUNTIFS($AJ$2:$AJ$200,$G122)&gt;0,
     COUNTIFS($AK$2:$AK$200,$G122)&gt;0,
     COUNTIFS($AL$2:$AL$200,$G122)&gt;0,
     COUNTIFS($AM$2:$AM$200,$G122)&gt;0,
     COUNTIFS($AN$2:$AN$200,$G122)&gt;0,
     COUNTIFS($AO$2:$AO$200,$G122)&gt;0,
     COUNTIFS($AP$2:$AP$200,$G122)&gt;0,
     COUNTIFS($AQ$2:$AQ$200,$G122)&gt;0,
     COUNTIFS($AR$2:$AR$200,$G122)&gt;0,
     COUNTIFS($AS$2:$AS$200,$G122)&gt;0,
     COUNTIFS($AT$2:$AT$200,$G122)&gt;0,
     COUNTIFS($AU$2:$AU$200,$G122)&gt;0,
     COUNTIFS($AV$2:$AV$200,$G122)&gt;0,
     COUNTIFS($AW$2:$AW$200,$G122)&gt;0,
     COUNTIFS($AX$2:$AX$200,$G122)&gt;0
   )),
  ),
  2
 ),
"")</f>
        <v/>
      </c>
      <c r="E122" s="3" t="str" cm="1">
        <f t="array" aca="1" ref="E122" ca="1">IFERROR(
 INDEX(
  _xlfn._xlws.FILTER($U$1:$AX$1,
   TRANSPOSE(
    CHOOSE({1;2;3;4;5;6;7;8;9;10;11;12;13;14;15;16;17;18;19;20;21;22;23;24;25;26;27;28;29;30},
     COUNTIFS($U$2:$U$200,$G122)&gt;0,
     COUNTIFS($V$2:$V$200,$G122)&gt;0,
     COUNTIFS($W$2:$W$200,$G122)&gt;0,
     COUNTIFS($X$2:$X$200,$G122)&gt;0,
     COUNTIFS($Y$2:$Y$200,$G122)&gt;0,
     COUNTIFS($Z$2:$Z$200,$G122)&gt;0,
     COUNTIFS($AA$2:$AA$200,$G122)&gt;0,
     COUNTIFS($AB$2:$AB$200,$G122)&gt;0,
     COUNTIFS($AC$2:$AC$200,$G122)&gt;0,
     COUNTIFS($AD$2:$AD$200,$G122)&gt;0,
     COUNTIFS($AE$2:$AE$200,$G122)&gt;0,
     COUNTIFS($AF$2:$AF$200,$G122)&gt;0,
     COUNTIFS($AG$2:$AG$200,$G122)&gt;0,
     COUNTIFS($AH$2:$AH$200,$G122)&gt;0,
     COUNTIFS($AI$2:$AI$200,$G122)&gt;0,
     COUNTIFS($AJ$2:$AJ$200,$G122)&gt;0,
     COUNTIFS($AK$2:$AK$200,$G122)&gt;0,
     COUNTIFS($AL$2:$AL$200,$G122)&gt;0,
     COUNTIFS($AM$2:$AM$200,$G122)&gt;0,
     COUNTIFS($AN$2:$AN$200,$G122)&gt;0,
     COUNTIFS($AO$2:$AO$200,$G122)&gt;0,
     COUNTIFS($AP$2:$AP$200,$G122)&gt;0,
     COUNTIFS($AQ$2:$AQ$200,$G122)&gt;0,
     COUNTIFS($AR$2:$AR$200,$G122)&gt;0,
     COUNTIFS($AS$2:$AS$200,$G122)&gt;0,
     COUNTIFS($AT$2:$AT$200,$G122)&gt;0,
     COUNTIFS($AU$2:$AU$200,$G122)&gt;0,
     COUNTIFS($AV$2:$AV$200,$G122)&gt;0,
     COUNTIFS($AW$2:$AW$200,$G122)&gt;0,
     COUNTIFS($AX$2:$AX$200,$G122)&gt;0
   )),
  ),
  3
 ),
"")</f>
        <v/>
      </c>
      <c r="F122" s="3" t="str" cm="1">
        <f t="array" aca="1" ref="F122" ca="1">IFERROR(
 INDEX(
  _xlfn._xlws.FILTER($U$1:$AX$1,
   TRANSPOSE(
    CHOOSE({1;2;3;4;5;6;7;8;9;10;11;12;13;14;15;16;17;18;19;20;21;22;23;24;25;26;27;28;29;30},
     COUNTIFS($U$2:$U$200,$G122)&gt;0,
     COUNTIFS($V$2:$V$200,$G122)&gt;0,
     COUNTIFS($W$2:$W$200,$G122)&gt;0,
     COUNTIFS($X$2:$X$200,$G122)&gt;0,
     COUNTIFS($Y$2:$Y$200,$G122)&gt;0,
     COUNTIFS($Z$2:$Z$200,$G122)&gt;0,
     COUNTIFS($AA$2:$AA$200,$G122)&gt;0,
     COUNTIFS($AB$2:$AB$200,$G122)&gt;0,
     COUNTIFS($AC$2:$AC$200,$G122)&gt;0,
     COUNTIFS($AD$2:$AD$200,$G122)&gt;0,
     COUNTIFS($AE$2:$AE$200,$G122)&gt;0,
     COUNTIFS($AF$2:$AF$200,$G122)&gt;0,
     COUNTIFS($AG$2:$AG$200,$G122)&gt;0,
     COUNTIFS($AH$2:$AH$200,$G122)&gt;0,
     COUNTIFS($AI$2:$AI$200,$G122)&gt;0,
     COUNTIFS($AJ$2:$AJ$200,$G122)&gt;0,
     COUNTIFS($AK$2:$AK$200,$G122)&gt;0,
     COUNTIFS($AL$2:$AL$200,$G122)&gt;0,
     COUNTIFS($AM$2:$AM$200,$G122)&gt;0,
     COUNTIFS($AN$2:$AN$200,$G122)&gt;0,
     COUNTIFS($AO$2:$AO$200,$G122)&gt;0,
     COUNTIFS($AP$2:$AP$200,$G122)&gt;0,
     COUNTIFS($AQ$2:$AQ$200,$G122)&gt;0,
     COUNTIFS($AR$2:$AR$200,$G122)&gt;0,
     COUNTIFS($AS$2:$AS$200,$G122)&gt;0,
     COUNTIFS($AT$2:$AT$200,$G122)&gt;0,
     COUNTIFS($AU$2:$AU$200,$G122)&gt;0,
     COUNTIFS($AV$2:$AV$200,$G122)&gt;0,
     COUNTIFS($AW$2:$AW$200,$G122)&gt;0,
     COUNTIFS($AX$2:$AX$200,$G122)&gt;0
   )),
  ),
  4
 ),
"")</f>
        <v/>
      </c>
      <c r="G122" t="str">
        <f ca="1"/>
        <v>High-Society Hunter</v>
      </c>
      <c r="CB122" t="str">
        <f ca="1"/>
        <v>Spectator Seating</v>
      </c>
      <c r="CG122" t="str">
        <f ca="1"/>
        <v>Managorger Hydra</v>
      </c>
      <c r="CJ122" t="str">
        <f ca="1"/>
        <v>High-Society Hunter</v>
      </c>
    </row>
    <row r="123" spans="1:88" x14ac:dyDescent="0.25">
      <c r="A123" s="3" t="str">
        <f t="shared" ca="1" si="4"/>
        <v>5</v>
      </c>
      <c r="B123" s="3">
        <f t="shared" ca="1" si="5"/>
        <v>1</v>
      </c>
      <c r="C123" s="3" t="str">
        <f ca="1">IFERROR(
 INDEX($U$1:$AX$1,
  MATCH(TRUE,
   CHOOSE({1;2;3;4;5;6;7;8;9;10;11;12;13;14;15;16;17;18;19;20;21;22;23;24;25;26;27;28;29;30;31;32},
    COUNTIFS($U$2:$U$200,$G123)&gt;0,
    COUNTIFS($V$2:$V$200,$G123)&gt;0,
    COUNTIFS($W$2:$W$200,$G123)&gt;0,
    COUNTIFS($X$2:$X$200,$G123)&gt;0,
    COUNTIFS($Y$2:$Y$200,$G123)&gt;0,
    COUNTIFS($Z$2:$Z$200,$G123)&gt;0,
    COUNTIFS($AA$2:$AA$200,$G123)&gt;0,
    COUNTIFS($AB$2:$AB$200,$G123)&gt;0,
    COUNTIFS($AC$2:$AC$200,$G123)&gt;0,
    COUNTIFS($AD$2:$AD$200,$G123)&gt;0,
    COUNTIFS($AE$2:$AE$200,$G123)&gt;0,
    COUNTIFS($AF$2:$AF$200,$G123)&gt;0,
    COUNTIFS($AG$2:$AG$200,$G123)&gt;0,
    COUNTIFS($AH$2:$AH$200,$G123)&gt;0,
    COUNTIFS($AI$2:$AI$200,$G123)&gt;0,
    COUNTIFS($AJ$2:$AJ$200,$G123)&gt;0,
    COUNTIFS($AK$2:$AK$200,$G123)&gt;0,
    COUNTIFS($AL$2:$AL$200,$G123)&gt;0,
    COUNTIFS($AM$2:$AM$200,$G123)&gt;0,
    COUNTIFS($AN$2:$AN$200,$G123)&gt;0,
    COUNTIFS($AO$2:$AO$200,$G123)&gt;0,
    COUNTIFS($AP$2:$AP$200,$G123)&gt;0,
    COUNTIFS($AQ$2:$AQ$200,$G123)&gt;0,
    COUNTIFS($AR$2:$AR$200,$G123)&gt;0,
    COUNTIFS($AS$2:$AS$200,$G123)&gt;0,
    COUNTIFS($AT$2:$AT$200,$G123)&gt;0,
    COUNTIFS($AU$2:$AU$200,$G123)&gt;0,
    COUNTIFS($AV$2:$AV$200,$G123)&gt;0,
    COUNTIFS($AW$2:$AW$200,$G123)&gt;0,
    COUNTIFS($AX$2:$AX$200,$G123)&gt;0
   ),
  0)
 ),
"")</f>
        <v>Zedruu</v>
      </c>
      <c r="D123" s="3" t="str" cm="1">
        <f t="array" aca="1" ref="D123" ca="1">IFERROR(
 INDEX(
  _xlfn._xlws.FILTER($U$1:$AX$1,
   TRANSPOSE(
    CHOOSE({1;2;3;4;5;6;7;8;9;10;11;12;13;14;15;16;17;18;19;20;21;22;23;24;25;26;27;28;29;30},
     COUNTIFS($U$2:$U$200,$G123)&gt;0,
     COUNTIFS($V$2:$V$200,$G123)&gt;0,
     COUNTIFS($W$2:$W$200,$G123)&gt;0,
     COUNTIFS($X$2:$X$200,$G123)&gt;0,
     COUNTIFS($Y$2:$Y$200,$G123)&gt;0,
     COUNTIFS($Z$2:$Z$200,$G123)&gt;0,
     COUNTIFS($AA$2:$AA$200,$G123)&gt;0,
     COUNTIFS($AB$2:$AB$200,$G123)&gt;0,
     COUNTIFS($AC$2:$AC$200,$G123)&gt;0,
     COUNTIFS($AD$2:$AD$200,$G123)&gt;0,
     COUNTIFS($AE$2:$AE$200,$G123)&gt;0,
     COUNTIFS($AF$2:$AF$200,$G123)&gt;0,
     COUNTIFS($AG$2:$AG$200,$G123)&gt;0,
     COUNTIFS($AH$2:$AH$200,$G123)&gt;0,
     COUNTIFS($AI$2:$AI$200,$G123)&gt;0,
     COUNTIFS($AJ$2:$AJ$200,$G123)&gt;0,
     COUNTIFS($AK$2:$AK$200,$G123)&gt;0,
     COUNTIFS($AL$2:$AL$200,$G123)&gt;0,
     COUNTIFS($AM$2:$AM$200,$G123)&gt;0,
     COUNTIFS($AN$2:$AN$200,$G123)&gt;0,
     COUNTIFS($AO$2:$AO$200,$G123)&gt;0,
     COUNTIFS($AP$2:$AP$200,$G123)&gt;0,
     COUNTIFS($AQ$2:$AQ$200,$G123)&gt;0,
     COUNTIFS($AR$2:$AR$200,$G123)&gt;0,
     COUNTIFS($AS$2:$AS$200,$G123)&gt;0,
     COUNTIFS($AT$2:$AT$200,$G123)&gt;0,
     COUNTIFS($AU$2:$AU$200,$G123)&gt;0,
     COUNTIFS($AV$2:$AV$200,$G123)&gt;0,
     COUNTIFS($AW$2:$AW$200,$G123)&gt;0,
     COUNTIFS($AX$2:$AX$200,$G123)&gt;0
   )),
  ),
  2
 ),
"")</f>
        <v/>
      </c>
      <c r="E123" s="3" t="str" cm="1">
        <f t="array" aca="1" ref="E123" ca="1">IFERROR(
 INDEX(
  _xlfn._xlws.FILTER($U$1:$AX$1,
   TRANSPOSE(
    CHOOSE({1;2;3;4;5;6;7;8;9;10;11;12;13;14;15;16;17;18;19;20;21;22;23;24;25;26;27;28;29;30},
     COUNTIFS($U$2:$U$200,$G123)&gt;0,
     COUNTIFS($V$2:$V$200,$G123)&gt;0,
     COUNTIFS($W$2:$W$200,$G123)&gt;0,
     COUNTIFS($X$2:$X$200,$G123)&gt;0,
     COUNTIFS($Y$2:$Y$200,$G123)&gt;0,
     COUNTIFS($Z$2:$Z$200,$G123)&gt;0,
     COUNTIFS($AA$2:$AA$200,$G123)&gt;0,
     COUNTIFS($AB$2:$AB$200,$G123)&gt;0,
     COUNTIFS($AC$2:$AC$200,$G123)&gt;0,
     COUNTIFS($AD$2:$AD$200,$G123)&gt;0,
     COUNTIFS($AE$2:$AE$200,$G123)&gt;0,
     COUNTIFS($AF$2:$AF$200,$G123)&gt;0,
     COUNTIFS($AG$2:$AG$200,$G123)&gt;0,
     COUNTIFS($AH$2:$AH$200,$G123)&gt;0,
     COUNTIFS($AI$2:$AI$200,$G123)&gt;0,
     COUNTIFS($AJ$2:$AJ$200,$G123)&gt;0,
     COUNTIFS($AK$2:$AK$200,$G123)&gt;0,
     COUNTIFS($AL$2:$AL$200,$G123)&gt;0,
     COUNTIFS($AM$2:$AM$200,$G123)&gt;0,
     COUNTIFS($AN$2:$AN$200,$G123)&gt;0,
     COUNTIFS($AO$2:$AO$200,$G123)&gt;0,
     COUNTIFS($AP$2:$AP$200,$G123)&gt;0,
     COUNTIFS($AQ$2:$AQ$200,$G123)&gt;0,
     COUNTIFS($AR$2:$AR$200,$G123)&gt;0,
     COUNTIFS($AS$2:$AS$200,$G123)&gt;0,
     COUNTIFS($AT$2:$AT$200,$G123)&gt;0,
     COUNTIFS($AU$2:$AU$200,$G123)&gt;0,
     COUNTIFS($AV$2:$AV$200,$G123)&gt;0,
     COUNTIFS($AW$2:$AW$200,$G123)&gt;0,
     COUNTIFS($AX$2:$AX$200,$G123)&gt;0
   )),
  ),
  3
 ),
"")</f>
        <v/>
      </c>
      <c r="F123" s="3" t="str" cm="1">
        <f t="array" aca="1" ref="F123" ca="1">IFERROR(
 INDEX(
  _xlfn._xlws.FILTER($U$1:$AX$1,
   TRANSPOSE(
    CHOOSE({1;2;3;4;5;6;7;8;9;10;11;12;13;14;15;16;17;18;19;20;21;22;23;24;25;26;27;28;29;30},
     COUNTIFS($U$2:$U$200,$G123)&gt;0,
     COUNTIFS($V$2:$V$200,$G123)&gt;0,
     COUNTIFS($W$2:$W$200,$G123)&gt;0,
     COUNTIFS($X$2:$X$200,$G123)&gt;0,
     COUNTIFS($Y$2:$Y$200,$G123)&gt;0,
     COUNTIFS($Z$2:$Z$200,$G123)&gt;0,
     COUNTIFS($AA$2:$AA$200,$G123)&gt;0,
     COUNTIFS($AB$2:$AB$200,$G123)&gt;0,
     COUNTIFS($AC$2:$AC$200,$G123)&gt;0,
     COUNTIFS($AD$2:$AD$200,$G123)&gt;0,
     COUNTIFS($AE$2:$AE$200,$G123)&gt;0,
     COUNTIFS($AF$2:$AF$200,$G123)&gt;0,
     COUNTIFS($AG$2:$AG$200,$G123)&gt;0,
     COUNTIFS($AH$2:$AH$200,$G123)&gt;0,
     COUNTIFS($AI$2:$AI$200,$G123)&gt;0,
     COUNTIFS($AJ$2:$AJ$200,$G123)&gt;0,
     COUNTIFS($AK$2:$AK$200,$G123)&gt;0,
     COUNTIFS($AL$2:$AL$200,$G123)&gt;0,
     COUNTIFS($AM$2:$AM$200,$G123)&gt;0,
     COUNTIFS($AN$2:$AN$200,$G123)&gt;0,
     COUNTIFS($AO$2:$AO$200,$G123)&gt;0,
     COUNTIFS($AP$2:$AP$200,$G123)&gt;0,
     COUNTIFS($AQ$2:$AQ$200,$G123)&gt;0,
     COUNTIFS($AR$2:$AR$200,$G123)&gt;0,
     COUNTIFS($AS$2:$AS$200,$G123)&gt;0,
     COUNTIFS($AT$2:$AT$200,$G123)&gt;0,
     COUNTIFS($AU$2:$AU$200,$G123)&gt;0,
     COUNTIFS($AV$2:$AV$200,$G123)&gt;0,
     COUNTIFS($AW$2:$AW$200,$G123)&gt;0,
     COUNTIFS($AX$2:$AX$200,$G123)&gt;0
   )),
  ),
  4
 ),
"")</f>
        <v/>
      </c>
      <c r="G123" t="str">
        <f ca="1"/>
        <v>Homeward Path</v>
      </c>
      <c r="CB123" t="str">
        <f ca="1"/>
        <v>Sphere Grid</v>
      </c>
      <c r="CG123" t="str">
        <f ca="1"/>
        <v>Mandate of Peace</v>
      </c>
      <c r="CJ123" t="str">
        <f ca="1"/>
        <v>Homeward Path</v>
      </c>
    </row>
    <row r="124" spans="1:88" x14ac:dyDescent="0.25">
      <c r="A124" s="3" t="str">
        <f t="shared" ca="1" si="4"/>
        <v>3</v>
      </c>
      <c r="B124" s="3">
        <f t="shared" ca="1" si="5"/>
        <v>1</v>
      </c>
      <c r="C124" s="3" t="str">
        <f ca="1">IFERROR(
 INDEX($U$1:$AX$1,
  MATCH(TRUE,
   CHOOSE({1;2;3;4;5;6;7;8;9;10;11;12;13;14;15;16;17;18;19;20;21;22;23;24;25;26;27;28;29;30;31;32},
    COUNTIFS($U$2:$U$200,$G124)&gt;0,
    COUNTIFS($V$2:$V$200,$G124)&gt;0,
    COUNTIFS($W$2:$W$200,$G124)&gt;0,
    COUNTIFS($X$2:$X$200,$G124)&gt;0,
    COUNTIFS($Y$2:$Y$200,$G124)&gt;0,
    COUNTIFS($Z$2:$Z$200,$G124)&gt;0,
    COUNTIFS($AA$2:$AA$200,$G124)&gt;0,
    COUNTIFS($AB$2:$AB$200,$G124)&gt;0,
    COUNTIFS($AC$2:$AC$200,$G124)&gt;0,
    COUNTIFS($AD$2:$AD$200,$G124)&gt;0,
    COUNTIFS($AE$2:$AE$200,$G124)&gt;0,
    COUNTIFS($AF$2:$AF$200,$G124)&gt;0,
    COUNTIFS($AG$2:$AG$200,$G124)&gt;0,
    COUNTIFS($AH$2:$AH$200,$G124)&gt;0,
    COUNTIFS($AI$2:$AI$200,$G124)&gt;0,
    COUNTIFS($AJ$2:$AJ$200,$G124)&gt;0,
    COUNTIFS($AK$2:$AK$200,$G124)&gt;0,
    COUNTIFS($AL$2:$AL$200,$G124)&gt;0,
    COUNTIFS($AM$2:$AM$200,$G124)&gt;0,
    COUNTIFS($AN$2:$AN$200,$G124)&gt;0,
    COUNTIFS($AO$2:$AO$200,$G124)&gt;0,
    COUNTIFS($AP$2:$AP$200,$G124)&gt;0,
    COUNTIFS($AQ$2:$AQ$200,$G124)&gt;0,
    COUNTIFS($AR$2:$AR$200,$G124)&gt;0,
    COUNTIFS($AS$2:$AS$200,$G124)&gt;0,
    COUNTIFS($AT$2:$AT$200,$G124)&gt;0,
    COUNTIFS($AU$2:$AU$200,$G124)&gt;0,
    COUNTIFS($AV$2:$AV$200,$G124)&gt;0,
    COUNTIFS($AW$2:$AW$200,$G124)&gt;0,
    COUNTIFS($AX$2:$AX$200,$G124)&gt;0
   ),
  0)
 ),
"")</f>
        <v>Zimone</v>
      </c>
      <c r="D124" s="3" t="str" cm="1">
        <f t="array" aca="1" ref="D124" ca="1">IFERROR(
 INDEX(
  _xlfn._xlws.FILTER($U$1:$AX$1,
   TRANSPOSE(
    CHOOSE({1;2;3;4;5;6;7;8;9;10;11;12;13;14;15;16;17;18;19;20;21;22;23;24;25;26;27;28;29;30},
     COUNTIFS($U$2:$U$200,$G124)&gt;0,
     COUNTIFS($V$2:$V$200,$G124)&gt;0,
     COUNTIFS($W$2:$W$200,$G124)&gt;0,
     COUNTIFS($X$2:$X$200,$G124)&gt;0,
     COUNTIFS($Y$2:$Y$200,$G124)&gt;0,
     COUNTIFS($Z$2:$Z$200,$G124)&gt;0,
     COUNTIFS($AA$2:$AA$200,$G124)&gt;0,
     COUNTIFS($AB$2:$AB$200,$G124)&gt;0,
     COUNTIFS($AC$2:$AC$200,$G124)&gt;0,
     COUNTIFS($AD$2:$AD$200,$G124)&gt;0,
     COUNTIFS($AE$2:$AE$200,$G124)&gt;0,
     COUNTIFS($AF$2:$AF$200,$G124)&gt;0,
     COUNTIFS($AG$2:$AG$200,$G124)&gt;0,
     COUNTIFS($AH$2:$AH$200,$G124)&gt;0,
     COUNTIFS($AI$2:$AI$200,$G124)&gt;0,
     COUNTIFS($AJ$2:$AJ$200,$G124)&gt;0,
     COUNTIFS($AK$2:$AK$200,$G124)&gt;0,
     COUNTIFS($AL$2:$AL$200,$G124)&gt;0,
     COUNTIFS($AM$2:$AM$200,$G124)&gt;0,
     COUNTIFS($AN$2:$AN$200,$G124)&gt;0,
     COUNTIFS($AO$2:$AO$200,$G124)&gt;0,
     COUNTIFS($AP$2:$AP$200,$G124)&gt;0,
     COUNTIFS($AQ$2:$AQ$200,$G124)&gt;0,
     COUNTIFS($AR$2:$AR$200,$G124)&gt;0,
     COUNTIFS($AS$2:$AS$200,$G124)&gt;0,
     COUNTIFS($AT$2:$AT$200,$G124)&gt;0,
     COUNTIFS($AU$2:$AU$200,$G124)&gt;0,
     COUNTIFS($AV$2:$AV$200,$G124)&gt;0,
     COUNTIFS($AW$2:$AW$200,$G124)&gt;0,
     COUNTIFS($AX$2:$AX$200,$G124)&gt;0
   )),
  ),
  2
 ),
"")</f>
        <v/>
      </c>
      <c r="E124" s="3" t="str" cm="1">
        <f t="array" aca="1" ref="E124" ca="1">IFERROR(
 INDEX(
  _xlfn._xlws.FILTER($U$1:$AX$1,
   TRANSPOSE(
    CHOOSE({1;2;3;4;5;6;7;8;9;10;11;12;13;14;15;16;17;18;19;20;21;22;23;24;25;26;27;28;29;30},
     COUNTIFS($U$2:$U$200,$G124)&gt;0,
     COUNTIFS($V$2:$V$200,$G124)&gt;0,
     COUNTIFS($W$2:$W$200,$G124)&gt;0,
     COUNTIFS($X$2:$X$200,$G124)&gt;0,
     COUNTIFS($Y$2:$Y$200,$G124)&gt;0,
     COUNTIFS($Z$2:$Z$200,$G124)&gt;0,
     COUNTIFS($AA$2:$AA$200,$G124)&gt;0,
     COUNTIFS($AB$2:$AB$200,$G124)&gt;0,
     COUNTIFS($AC$2:$AC$200,$G124)&gt;0,
     COUNTIFS($AD$2:$AD$200,$G124)&gt;0,
     COUNTIFS($AE$2:$AE$200,$G124)&gt;0,
     COUNTIFS($AF$2:$AF$200,$G124)&gt;0,
     COUNTIFS($AG$2:$AG$200,$G124)&gt;0,
     COUNTIFS($AH$2:$AH$200,$G124)&gt;0,
     COUNTIFS($AI$2:$AI$200,$G124)&gt;0,
     COUNTIFS($AJ$2:$AJ$200,$G124)&gt;0,
     COUNTIFS($AK$2:$AK$200,$G124)&gt;0,
     COUNTIFS($AL$2:$AL$200,$G124)&gt;0,
     COUNTIFS($AM$2:$AM$200,$G124)&gt;0,
     COUNTIFS($AN$2:$AN$200,$G124)&gt;0,
     COUNTIFS($AO$2:$AO$200,$G124)&gt;0,
     COUNTIFS($AP$2:$AP$200,$G124)&gt;0,
     COUNTIFS($AQ$2:$AQ$200,$G124)&gt;0,
     COUNTIFS($AR$2:$AR$200,$G124)&gt;0,
     COUNTIFS($AS$2:$AS$200,$G124)&gt;0,
     COUNTIFS($AT$2:$AT$200,$G124)&gt;0,
     COUNTIFS($AU$2:$AU$200,$G124)&gt;0,
     COUNTIFS($AV$2:$AV$200,$G124)&gt;0,
     COUNTIFS($AW$2:$AW$200,$G124)&gt;0,
     COUNTIFS($AX$2:$AX$200,$G124)&gt;0
   )),
  ),
  3
 ),
"")</f>
        <v/>
      </c>
      <c r="F124" s="3" t="str" cm="1">
        <f t="array" aca="1" ref="F124" ca="1">IFERROR(
 INDEX(
  _xlfn._xlws.FILTER($U$1:$AX$1,
   TRANSPOSE(
    CHOOSE({1;2;3;4;5;6;7;8;9;10;11;12;13;14;15;16;17;18;19;20;21;22;23;24;25;26;27;28;29;30},
     COUNTIFS($U$2:$U$200,$G124)&gt;0,
     COUNTIFS($V$2:$V$200,$G124)&gt;0,
     COUNTIFS($W$2:$W$200,$G124)&gt;0,
     COUNTIFS($X$2:$X$200,$G124)&gt;0,
     COUNTIFS($Y$2:$Y$200,$G124)&gt;0,
     COUNTIFS($Z$2:$Z$200,$G124)&gt;0,
     COUNTIFS($AA$2:$AA$200,$G124)&gt;0,
     COUNTIFS($AB$2:$AB$200,$G124)&gt;0,
     COUNTIFS($AC$2:$AC$200,$G124)&gt;0,
     COUNTIFS($AD$2:$AD$200,$G124)&gt;0,
     COUNTIFS($AE$2:$AE$200,$G124)&gt;0,
     COUNTIFS($AF$2:$AF$200,$G124)&gt;0,
     COUNTIFS($AG$2:$AG$200,$G124)&gt;0,
     COUNTIFS($AH$2:$AH$200,$G124)&gt;0,
     COUNTIFS($AI$2:$AI$200,$G124)&gt;0,
     COUNTIFS($AJ$2:$AJ$200,$G124)&gt;0,
     COUNTIFS($AK$2:$AK$200,$G124)&gt;0,
     COUNTIFS($AL$2:$AL$200,$G124)&gt;0,
     COUNTIFS($AM$2:$AM$200,$G124)&gt;0,
     COUNTIFS($AN$2:$AN$200,$G124)&gt;0,
     COUNTIFS($AO$2:$AO$200,$G124)&gt;0,
     COUNTIFS($AP$2:$AP$200,$G124)&gt;0,
     COUNTIFS($AQ$2:$AQ$200,$G124)&gt;0,
     COUNTIFS($AR$2:$AR$200,$G124)&gt;0,
     COUNTIFS($AS$2:$AS$200,$G124)&gt;0,
     COUNTIFS($AT$2:$AT$200,$G124)&gt;0,
     COUNTIFS($AU$2:$AU$200,$G124)&gt;0,
     COUNTIFS($AV$2:$AV$200,$G124)&gt;0,
     COUNTIFS($AW$2:$AW$200,$G124)&gt;0,
     COUNTIFS($AX$2:$AX$200,$G124)&gt;0
   )),
  ),
  4
 ),
"")</f>
        <v/>
      </c>
      <c r="G124" t="str">
        <f ca="1"/>
        <v>Horizon Explorer</v>
      </c>
      <c r="CB124" t="str">
        <f ca="1"/>
        <v>Stonybrook Banneret</v>
      </c>
      <c r="CG124" t="str">
        <f ca="1"/>
        <v>Marcha dos Canonizados</v>
      </c>
      <c r="CJ124" t="str">
        <f ca="1"/>
        <v>Horizon Explorer</v>
      </c>
    </row>
    <row r="125" spans="1:88" x14ac:dyDescent="0.25">
      <c r="A125" s="3" t="str">
        <f t="shared" ca="1" si="4"/>
        <v>1</v>
      </c>
      <c r="B125" s="3">
        <f t="shared" ca="1" si="5"/>
        <v>1</v>
      </c>
      <c r="C125" s="3" t="str">
        <f ca="1">IFERROR(
 INDEX($U$1:$AX$1,
  MATCH(TRUE,
   CHOOSE({1;2;3;4;5;6;7;8;9;10;11;12;13;14;15;16;17;18;19;20;21;22;23;24;25;26;27;28;29;30;31;32},
    COUNTIFS($U$2:$U$200,$G125)&gt;0,
    COUNTIFS($V$2:$V$200,$G125)&gt;0,
    COUNTIFS($W$2:$W$200,$G125)&gt;0,
    COUNTIFS($X$2:$X$200,$G125)&gt;0,
    COUNTIFS($Y$2:$Y$200,$G125)&gt;0,
    COUNTIFS($Z$2:$Z$200,$G125)&gt;0,
    COUNTIFS($AA$2:$AA$200,$G125)&gt;0,
    COUNTIFS($AB$2:$AB$200,$G125)&gt;0,
    COUNTIFS($AC$2:$AC$200,$G125)&gt;0,
    COUNTIFS($AD$2:$AD$200,$G125)&gt;0,
    COUNTIFS($AE$2:$AE$200,$G125)&gt;0,
    COUNTIFS($AF$2:$AF$200,$G125)&gt;0,
    COUNTIFS($AG$2:$AG$200,$G125)&gt;0,
    COUNTIFS($AH$2:$AH$200,$G125)&gt;0,
    COUNTIFS($AI$2:$AI$200,$G125)&gt;0,
    COUNTIFS($AJ$2:$AJ$200,$G125)&gt;0,
    COUNTIFS($AK$2:$AK$200,$G125)&gt;0,
    COUNTIFS($AL$2:$AL$200,$G125)&gt;0,
    COUNTIFS($AM$2:$AM$200,$G125)&gt;0,
    COUNTIFS($AN$2:$AN$200,$G125)&gt;0,
    COUNTIFS($AO$2:$AO$200,$G125)&gt;0,
    COUNTIFS($AP$2:$AP$200,$G125)&gt;0,
    COUNTIFS($AQ$2:$AQ$200,$G125)&gt;0,
    COUNTIFS($AR$2:$AR$200,$G125)&gt;0,
    COUNTIFS($AS$2:$AS$200,$G125)&gt;0,
    COUNTIFS($AT$2:$AT$200,$G125)&gt;0,
    COUNTIFS($AU$2:$AU$200,$G125)&gt;0,
    COUNTIFS($AV$2:$AV$200,$G125)&gt;0,
    COUNTIFS($AW$2:$AW$200,$G125)&gt;0,
    COUNTIFS($AX$2:$AX$200,$G125)&gt;0
   ),
  0)
 ),
"")</f>
        <v>Tayam</v>
      </c>
      <c r="D125" s="3" t="str" cm="1">
        <f t="array" aca="1" ref="D125" ca="1">IFERROR(
 INDEX(
  _xlfn._xlws.FILTER($U$1:$AX$1,
   TRANSPOSE(
    CHOOSE({1;2;3;4;5;6;7;8;9;10;11;12;13;14;15;16;17;18;19;20;21;22;23;24;25;26;27;28;29;30},
     COUNTIFS($U$2:$U$200,$G125)&gt;0,
     COUNTIFS($V$2:$V$200,$G125)&gt;0,
     COUNTIFS($W$2:$W$200,$G125)&gt;0,
     COUNTIFS($X$2:$X$200,$G125)&gt;0,
     COUNTIFS($Y$2:$Y$200,$G125)&gt;0,
     COUNTIFS($Z$2:$Z$200,$G125)&gt;0,
     COUNTIFS($AA$2:$AA$200,$G125)&gt;0,
     COUNTIFS($AB$2:$AB$200,$G125)&gt;0,
     COUNTIFS($AC$2:$AC$200,$G125)&gt;0,
     COUNTIFS($AD$2:$AD$200,$G125)&gt;0,
     COUNTIFS($AE$2:$AE$200,$G125)&gt;0,
     COUNTIFS($AF$2:$AF$200,$G125)&gt;0,
     COUNTIFS($AG$2:$AG$200,$G125)&gt;0,
     COUNTIFS($AH$2:$AH$200,$G125)&gt;0,
     COUNTIFS($AI$2:$AI$200,$G125)&gt;0,
     COUNTIFS($AJ$2:$AJ$200,$G125)&gt;0,
     COUNTIFS($AK$2:$AK$200,$G125)&gt;0,
     COUNTIFS($AL$2:$AL$200,$G125)&gt;0,
     COUNTIFS($AM$2:$AM$200,$G125)&gt;0,
     COUNTIFS($AN$2:$AN$200,$G125)&gt;0,
     COUNTIFS($AO$2:$AO$200,$G125)&gt;0,
     COUNTIFS($AP$2:$AP$200,$G125)&gt;0,
     COUNTIFS($AQ$2:$AQ$200,$G125)&gt;0,
     COUNTIFS($AR$2:$AR$200,$G125)&gt;0,
     COUNTIFS($AS$2:$AS$200,$G125)&gt;0,
     COUNTIFS($AT$2:$AT$200,$G125)&gt;0,
     COUNTIFS($AU$2:$AU$200,$G125)&gt;0,
     COUNTIFS($AV$2:$AV$200,$G125)&gt;0,
     COUNTIFS($AW$2:$AW$200,$G125)&gt;0,
     COUNTIFS($AX$2:$AX$200,$G125)&gt;0
   )),
  ),
  2
 ),
"")</f>
        <v/>
      </c>
      <c r="E125" s="3" t="str" cm="1">
        <f t="array" aca="1" ref="E125" ca="1">IFERROR(
 INDEX(
  _xlfn._xlws.FILTER($U$1:$AX$1,
   TRANSPOSE(
    CHOOSE({1;2;3;4;5;6;7;8;9;10;11;12;13;14;15;16;17;18;19;20;21;22;23;24;25;26;27;28;29;30},
     COUNTIFS($U$2:$U$200,$G125)&gt;0,
     COUNTIFS($V$2:$V$200,$G125)&gt;0,
     COUNTIFS($W$2:$W$200,$G125)&gt;0,
     COUNTIFS($X$2:$X$200,$G125)&gt;0,
     COUNTIFS($Y$2:$Y$200,$G125)&gt;0,
     COUNTIFS($Z$2:$Z$200,$G125)&gt;0,
     COUNTIFS($AA$2:$AA$200,$G125)&gt;0,
     COUNTIFS($AB$2:$AB$200,$G125)&gt;0,
     COUNTIFS($AC$2:$AC$200,$G125)&gt;0,
     COUNTIFS($AD$2:$AD$200,$G125)&gt;0,
     COUNTIFS($AE$2:$AE$200,$G125)&gt;0,
     COUNTIFS($AF$2:$AF$200,$G125)&gt;0,
     COUNTIFS($AG$2:$AG$200,$G125)&gt;0,
     COUNTIFS($AH$2:$AH$200,$G125)&gt;0,
     COUNTIFS($AI$2:$AI$200,$G125)&gt;0,
     COUNTIFS($AJ$2:$AJ$200,$G125)&gt;0,
     COUNTIFS($AK$2:$AK$200,$G125)&gt;0,
     COUNTIFS($AL$2:$AL$200,$G125)&gt;0,
     COUNTIFS($AM$2:$AM$200,$G125)&gt;0,
     COUNTIFS($AN$2:$AN$200,$G125)&gt;0,
     COUNTIFS($AO$2:$AO$200,$G125)&gt;0,
     COUNTIFS($AP$2:$AP$200,$G125)&gt;0,
     COUNTIFS($AQ$2:$AQ$200,$G125)&gt;0,
     COUNTIFS($AR$2:$AR$200,$G125)&gt;0,
     COUNTIFS($AS$2:$AS$200,$G125)&gt;0,
     COUNTIFS($AT$2:$AT$200,$G125)&gt;0,
     COUNTIFS($AU$2:$AU$200,$G125)&gt;0,
     COUNTIFS($AV$2:$AV$200,$G125)&gt;0,
     COUNTIFS($AW$2:$AW$200,$G125)&gt;0,
     COUNTIFS($AX$2:$AX$200,$G125)&gt;0
   )),
  ),
  3
 ),
"")</f>
        <v/>
      </c>
      <c r="F125" s="3" t="str" cm="1">
        <f t="array" aca="1" ref="F125" ca="1">IFERROR(
 INDEX(
  _xlfn._xlws.FILTER($U$1:$AX$1,
   TRANSPOSE(
    CHOOSE({1;2;3;4;5;6;7;8;9;10;11;12;13;14;15;16;17;18;19;20;21;22;23;24;25;26;27;28;29;30},
     COUNTIFS($U$2:$U$200,$G125)&gt;0,
     COUNTIFS($V$2:$V$200,$G125)&gt;0,
     COUNTIFS($W$2:$W$200,$G125)&gt;0,
     COUNTIFS($X$2:$X$200,$G125)&gt;0,
     COUNTIFS($Y$2:$Y$200,$G125)&gt;0,
     COUNTIFS($Z$2:$Z$200,$G125)&gt;0,
     COUNTIFS($AA$2:$AA$200,$G125)&gt;0,
     COUNTIFS($AB$2:$AB$200,$G125)&gt;0,
     COUNTIFS($AC$2:$AC$200,$G125)&gt;0,
     COUNTIFS($AD$2:$AD$200,$G125)&gt;0,
     COUNTIFS($AE$2:$AE$200,$G125)&gt;0,
     COUNTIFS($AF$2:$AF$200,$G125)&gt;0,
     COUNTIFS($AG$2:$AG$200,$G125)&gt;0,
     COUNTIFS($AH$2:$AH$200,$G125)&gt;0,
     COUNTIFS($AI$2:$AI$200,$G125)&gt;0,
     COUNTIFS($AJ$2:$AJ$200,$G125)&gt;0,
     COUNTIFS($AK$2:$AK$200,$G125)&gt;0,
     COUNTIFS($AL$2:$AL$200,$G125)&gt;0,
     COUNTIFS($AM$2:$AM$200,$G125)&gt;0,
     COUNTIFS($AN$2:$AN$200,$G125)&gt;0,
     COUNTIFS($AO$2:$AO$200,$G125)&gt;0,
     COUNTIFS($AP$2:$AP$200,$G125)&gt;0,
     COUNTIFS($AQ$2:$AQ$200,$G125)&gt;0,
     COUNTIFS($AR$2:$AR$200,$G125)&gt;0,
     COUNTIFS($AS$2:$AS$200,$G125)&gt;0,
     COUNTIFS($AT$2:$AT$200,$G125)&gt;0,
     COUNTIFS($AU$2:$AU$200,$G125)&gt;0,
     COUNTIFS($AV$2:$AV$200,$G125)&gt;0,
     COUNTIFS($AW$2:$AW$200,$G125)&gt;0,
     COUNTIFS($AX$2:$AX$200,$G125)&gt;0
   )),
  ),
  4
 ),
"")</f>
        <v/>
      </c>
      <c r="G125" t="str">
        <f ca="1"/>
        <v>Hydra's Growth</v>
      </c>
      <c r="CB125" t="str">
        <f ca="1"/>
        <v>Storm the Vault</v>
      </c>
      <c r="CG125" t="str">
        <f ca="1"/>
        <v>Memory Erosion</v>
      </c>
      <c r="CJ125" t="str">
        <f ca="1"/>
        <v>Hydra's Growth</v>
      </c>
    </row>
    <row r="126" spans="1:88" x14ac:dyDescent="0.25">
      <c r="A126" s="3" t="str">
        <f t="shared" ca="1" si="4"/>
        <v>4</v>
      </c>
      <c r="B126" s="3">
        <f t="shared" ca="1" si="5"/>
        <v>1</v>
      </c>
      <c r="C126" s="3" t="str">
        <f ca="1">IFERROR(
 INDEX($U$1:$AX$1,
  MATCH(TRUE,
   CHOOSE({1;2;3;4;5;6;7;8;9;10;11;12;13;14;15;16;17;18;19;20;21;22;23;24;25;26;27;28;29;30;31;32},
    COUNTIFS($U$2:$U$200,$G126)&gt;0,
    COUNTIFS($V$2:$V$200,$G126)&gt;0,
    COUNTIFS($W$2:$W$200,$G126)&gt;0,
    COUNTIFS($X$2:$X$200,$G126)&gt;0,
    COUNTIFS($Y$2:$Y$200,$G126)&gt;0,
    COUNTIFS($Z$2:$Z$200,$G126)&gt;0,
    COUNTIFS($AA$2:$AA$200,$G126)&gt;0,
    COUNTIFS($AB$2:$AB$200,$G126)&gt;0,
    COUNTIFS($AC$2:$AC$200,$G126)&gt;0,
    COUNTIFS($AD$2:$AD$200,$G126)&gt;0,
    COUNTIFS($AE$2:$AE$200,$G126)&gt;0,
    COUNTIFS($AF$2:$AF$200,$G126)&gt;0,
    COUNTIFS($AG$2:$AG$200,$G126)&gt;0,
    COUNTIFS($AH$2:$AH$200,$G126)&gt;0,
    COUNTIFS($AI$2:$AI$200,$G126)&gt;0,
    COUNTIFS($AJ$2:$AJ$200,$G126)&gt;0,
    COUNTIFS($AK$2:$AK$200,$G126)&gt;0,
    COUNTIFS($AL$2:$AL$200,$G126)&gt;0,
    COUNTIFS($AM$2:$AM$200,$G126)&gt;0,
    COUNTIFS($AN$2:$AN$200,$G126)&gt;0,
    COUNTIFS($AO$2:$AO$200,$G126)&gt;0,
    COUNTIFS($AP$2:$AP$200,$G126)&gt;0,
    COUNTIFS($AQ$2:$AQ$200,$G126)&gt;0,
    COUNTIFS($AR$2:$AR$200,$G126)&gt;0,
    COUNTIFS($AS$2:$AS$200,$G126)&gt;0,
    COUNTIFS($AT$2:$AT$200,$G126)&gt;0,
    COUNTIFS($AU$2:$AU$200,$G126)&gt;0,
    COUNTIFS($AV$2:$AV$200,$G126)&gt;0,
    COUNTIFS($AW$2:$AW$200,$G126)&gt;0,
    COUNTIFS($AX$2:$AX$200,$G126)&gt;0
   ),
  0)
 ),
"")</f>
        <v>OWA</v>
      </c>
      <c r="D126" s="3" t="str" cm="1">
        <f t="array" aca="1" ref="D126" ca="1">IFERROR(
 INDEX(
  _xlfn._xlws.FILTER($U$1:$AX$1,
   TRANSPOSE(
    CHOOSE({1;2;3;4;5;6;7;8;9;10;11;12;13;14;15;16;17;18;19;20;21;22;23;24;25;26;27;28;29;30},
     COUNTIFS($U$2:$U$200,$G126)&gt;0,
     COUNTIFS($V$2:$V$200,$G126)&gt;0,
     COUNTIFS($W$2:$W$200,$G126)&gt;0,
     COUNTIFS($X$2:$X$200,$G126)&gt;0,
     COUNTIFS($Y$2:$Y$200,$G126)&gt;0,
     COUNTIFS($Z$2:$Z$200,$G126)&gt;0,
     COUNTIFS($AA$2:$AA$200,$G126)&gt;0,
     COUNTIFS($AB$2:$AB$200,$G126)&gt;0,
     COUNTIFS($AC$2:$AC$200,$G126)&gt;0,
     COUNTIFS($AD$2:$AD$200,$G126)&gt;0,
     COUNTIFS($AE$2:$AE$200,$G126)&gt;0,
     COUNTIFS($AF$2:$AF$200,$G126)&gt;0,
     COUNTIFS($AG$2:$AG$200,$G126)&gt;0,
     COUNTIFS($AH$2:$AH$200,$G126)&gt;0,
     COUNTIFS($AI$2:$AI$200,$G126)&gt;0,
     COUNTIFS($AJ$2:$AJ$200,$G126)&gt;0,
     COUNTIFS($AK$2:$AK$200,$G126)&gt;0,
     COUNTIFS($AL$2:$AL$200,$G126)&gt;0,
     COUNTIFS($AM$2:$AM$200,$G126)&gt;0,
     COUNTIFS($AN$2:$AN$200,$G126)&gt;0,
     COUNTIFS($AO$2:$AO$200,$G126)&gt;0,
     COUNTIFS($AP$2:$AP$200,$G126)&gt;0,
     COUNTIFS($AQ$2:$AQ$200,$G126)&gt;0,
     COUNTIFS($AR$2:$AR$200,$G126)&gt;0,
     COUNTIFS($AS$2:$AS$200,$G126)&gt;0,
     COUNTIFS($AT$2:$AT$200,$G126)&gt;0,
     COUNTIFS($AU$2:$AU$200,$G126)&gt;0,
     COUNTIFS($AV$2:$AV$200,$G126)&gt;0,
     COUNTIFS($AW$2:$AW$200,$G126)&gt;0,
     COUNTIFS($AX$2:$AX$200,$G126)&gt;0
   )),
  ),
  2
 ),
"")</f>
        <v/>
      </c>
      <c r="E126" s="3" t="str" cm="1">
        <f t="array" aca="1" ref="E126" ca="1">IFERROR(
 INDEX(
  _xlfn._xlws.FILTER($U$1:$AX$1,
   TRANSPOSE(
    CHOOSE({1;2;3;4;5;6;7;8;9;10;11;12;13;14;15;16;17;18;19;20;21;22;23;24;25;26;27;28;29;30},
     COUNTIFS($U$2:$U$200,$G126)&gt;0,
     COUNTIFS($V$2:$V$200,$G126)&gt;0,
     COUNTIFS($W$2:$W$200,$G126)&gt;0,
     COUNTIFS($X$2:$X$200,$G126)&gt;0,
     COUNTIFS($Y$2:$Y$200,$G126)&gt;0,
     COUNTIFS($Z$2:$Z$200,$G126)&gt;0,
     COUNTIFS($AA$2:$AA$200,$G126)&gt;0,
     COUNTIFS($AB$2:$AB$200,$G126)&gt;0,
     COUNTIFS($AC$2:$AC$200,$G126)&gt;0,
     COUNTIFS($AD$2:$AD$200,$G126)&gt;0,
     COUNTIFS($AE$2:$AE$200,$G126)&gt;0,
     COUNTIFS($AF$2:$AF$200,$G126)&gt;0,
     COUNTIFS($AG$2:$AG$200,$G126)&gt;0,
     COUNTIFS($AH$2:$AH$200,$G126)&gt;0,
     COUNTIFS($AI$2:$AI$200,$G126)&gt;0,
     COUNTIFS($AJ$2:$AJ$200,$G126)&gt;0,
     COUNTIFS($AK$2:$AK$200,$G126)&gt;0,
     COUNTIFS($AL$2:$AL$200,$G126)&gt;0,
     COUNTIFS($AM$2:$AM$200,$G126)&gt;0,
     COUNTIFS($AN$2:$AN$200,$G126)&gt;0,
     COUNTIFS($AO$2:$AO$200,$G126)&gt;0,
     COUNTIFS($AP$2:$AP$200,$G126)&gt;0,
     COUNTIFS($AQ$2:$AQ$200,$G126)&gt;0,
     COUNTIFS($AR$2:$AR$200,$G126)&gt;0,
     COUNTIFS($AS$2:$AS$200,$G126)&gt;0,
     COUNTIFS($AT$2:$AT$200,$G126)&gt;0,
     COUNTIFS($AU$2:$AU$200,$G126)&gt;0,
     COUNTIFS($AV$2:$AV$200,$G126)&gt;0,
     COUNTIFS($AW$2:$AW$200,$G126)&gt;0,
     COUNTIFS($AX$2:$AX$200,$G126)&gt;0
   )),
  ),
  3
 ),
"")</f>
        <v/>
      </c>
      <c r="F126" s="3" t="str" cm="1">
        <f t="array" aca="1" ref="F126" ca="1">IFERROR(
 INDEX(
  _xlfn._xlws.FILTER($U$1:$AX$1,
   TRANSPOSE(
    CHOOSE({1;2;3;4;5;6;7;8;9;10;11;12;13;14;15;16;17;18;19;20;21;22;23;24;25;26;27;28;29;30},
     COUNTIFS($U$2:$U$200,$G126)&gt;0,
     COUNTIFS($V$2:$V$200,$G126)&gt;0,
     COUNTIFS($W$2:$W$200,$G126)&gt;0,
     COUNTIFS($X$2:$X$200,$G126)&gt;0,
     COUNTIFS($Y$2:$Y$200,$G126)&gt;0,
     COUNTIFS($Z$2:$Z$200,$G126)&gt;0,
     COUNTIFS($AA$2:$AA$200,$G126)&gt;0,
     COUNTIFS($AB$2:$AB$200,$G126)&gt;0,
     COUNTIFS($AC$2:$AC$200,$G126)&gt;0,
     COUNTIFS($AD$2:$AD$200,$G126)&gt;0,
     COUNTIFS($AE$2:$AE$200,$G126)&gt;0,
     COUNTIFS($AF$2:$AF$200,$G126)&gt;0,
     COUNTIFS($AG$2:$AG$200,$G126)&gt;0,
     COUNTIFS($AH$2:$AH$200,$G126)&gt;0,
     COUNTIFS($AI$2:$AI$200,$G126)&gt;0,
     COUNTIFS($AJ$2:$AJ$200,$G126)&gt;0,
     COUNTIFS($AK$2:$AK$200,$G126)&gt;0,
     COUNTIFS($AL$2:$AL$200,$G126)&gt;0,
     COUNTIFS($AM$2:$AM$200,$G126)&gt;0,
     COUNTIFS($AN$2:$AN$200,$G126)&gt;0,
     COUNTIFS($AO$2:$AO$200,$G126)&gt;0,
     COUNTIFS($AP$2:$AP$200,$G126)&gt;0,
     COUNTIFS($AQ$2:$AQ$200,$G126)&gt;0,
     COUNTIFS($AR$2:$AR$200,$G126)&gt;0,
     COUNTIFS($AS$2:$AS$200,$G126)&gt;0,
     COUNTIFS($AT$2:$AT$200,$G126)&gt;0,
     COUNTIFS($AU$2:$AU$200,$G126)&gt;0,
     COUNTIFS($AV$2:$AV$200,$G126)&gt;0,
     COUNTIFS($AW$2:$AW$200,$G126)&gt;0,
     COUNTIFS($AX$2:$AX$200,$G126)&gt;0
   )),
  ),
  4
 ),
"")</f>
        <v/>
      </c>
      <c r="G126" t="str">
        <f ca="1"/>
        <v>Illustrious Wanderglyph</v>
      </c>
      <c r="CB126" t="str">
        <f ca="1"/>
        <v>Sulfur Falls</v>
      </c>
      <c r="CG126" t="str">
        <f ca="1"/>
        <v>Merrow Commerce</v>
      </c>
      <c r="CJ126" t="str">
        <f ca="1"/>
        <v>Illustrious Wanderglyph</v>
      </c>
    </row>
    <row r="127" spans="1:88" x14ac:dyDescent="0.25">
      <c r="A127" s="3" t="str">
        <f t="shared" ca="1" si="4"/>
        <v>2</v>
      </c>
      <c r="B127" s="3">
        <f t="shared" ca="1" si="5"/>
        <v>1</v>
      </c>
      <c r="C127" s="3" t="str">
        <f ca="1">IFERROR(
 INDEX($U$1:$AX$1,
  MATCH(TRUE,
   CHOOSE({1;2;3;4;5;6;7;8;9;10;11;12;13;14;15;16;17;18;19;20;21;22;23;24;25;26;27;28;29;30;31;32},
    COUNTIFS($U$2:$U$200,$G127)&gt;0,
    COUNTIFS($V$2:$V$200,$G127)&gt;0,
    COUNTIFS($W$2:$W$200,$G127)&gt;0,
    COUNTIFS($X$2:$X$200,$G127)&gt;0,
    COUNTIFS($Y$2:$Y$200,$G127)&gt;0,
    COUNTIFS($Z$2:$Z$200,$G127)&gt;0,
    COUNTIFS($AA$2:$AA$200,$G127)&gt;0,
    COUNTIFS($AB$2:$AB$200,$G127)&gt;0,
    COUNTIFS($AC$2:$AC$200,$G127)&gt;0,
    COUNTIFS($AD$2:$AD$200,$G127)&gt;0,
    COUNTIFS($AE$2:$AE$200,$G127)&gt;0,
    COUNTIFS($AF$2:$AF$200,$G127)&gt;0,
    COUNTIFS($AG$2:$AG$200,$G127)&gt;0,
    COUNTIFS($AH$2:$AH$200,$G127)&gt;0,
    COUNTIFS($AI$2:$AI$200,$G127)&gt;0,
    COUNTIFS($AJ$2:$AJ$200,$G127)&gt;0,
    COUNTIFS($AK$2:$AK$200,$G127)&gt;0,
    COUNTIFS($AL$2:$AL$200,$G127)&gt;0,
    COUNTIFS($AM$2:$AM$200,$G127)&gt;0,
    COUNTIFS($AN$2:$AN$200,$G127)&gt;0,
    COUNTIFS($AO$2:$AO$200,$G127)&gt;0,
    COUNTIFS($AP$2:$AP$200,$G127)&gt;0,
    COUNTIFS($AQ$2:$AQ$200,$G127)&gt;0,
    COUNTIFS($AR$2:$AR$200,$G127)&gt;0,
    COUNTIFS($AS$2:$AS$200,$G127)&gt;0,
    COUNTIFS($AT$2:$AT$200,$G127)&gt;0,
    COUNTIFS($AU$2:$AU$200,$G127)&gt;0,
    COUNTIFS($AV$2:$AV$200,$G127)&gt;0,
    COUNTIFS($AW$2:$AW$200,$G127)&gt;0,
    COUNTIFS($AX$2:$AX$200,$G127)&gt;0
   ),
  0)
 ),
"")</f>
        <v>Narset</v>
      </c>
      <c r="D127" s="3" t="str" cm="1">
        <f t="array" aca="1" ref="D127" ca="1">IFERROR(
 INDEX(
  _xlfn._xlws.FILTER($U$1:$AX$1,
   TRANSPOSE(
    CHOOSE({1;2;3;4;5;6;7;8;9;10;11;12;13;14;15;16;17;18;19;20;21;22;23;24;25;26;27;28;29;30},
     COUNTIFS($U$2:$U$200,$G127)&gt;0,
     COUNTIFS($V$2:$V$200,$G127)&gt;0,
     COUNTIFS($W$2:$W$200,$G127)&gt;0,
     COUNTIFS($X$2:$X$200,$G127)&gt;0,
     COUNTIFS($Y$2:$Y$200,$G127)&gt;0,
     COUNTIFS($Z$2:$Z$200,$G127)&gt;0,
     COUNTIFS($AA$2:$AA$200,$G127)&gt;0,
     COUNTIFS($AB$2:$AB$200,$G127)&gt;0,
     COUNTIFS($AC$2:$AC$200,$G127)&gt;0,
     COUNTIFS($AD$2:$AD$200,$G127)&gt;0,
     COUNTIFS($AE$2:$AE$200,$G127)&gt;0,
     COUNTIFS($AF$2:$AF$200,$G127)&gt;0,
     COUNTIFS($AG$2:$AG$200,$G127)&gt;0,
     COUNTIFS($AH$2:$AH$200,$G127)&gt;0,
     COUNTIFS($AI$2:$AI$200,$G127)&gt;0,
     COUNTIFS($AJ$2:$AJ$200,$G127)&gt;0,
     COUNTIFS($AK$2:$AK$200,$G127)&gt;0,
     COUNTIFS($AL$2:$AL$200,$G127)&gt;0,
     COUNTIFS($AM$2:$AM$200,$G127)&gt;0,
     COUNTIFS($AN$2:$AN$200,$G127)&gt;0,
     COUNTIFS($AO$2:$AO$200,$G127)&gt;0,
     COUNTIFS($AP$2:$AP$200,$G127)&gt;0,
     COUNTIFS($AQ$2:$AQ$200,$G127)&gt;0,
     COUNTIFS($AR$2:$AR$200,$G127)&gt;0,
     COUNTIFS($AS$2:$AS$200,$G127)&gt;0,
     COUNTIFS($AT$2:$AT$200,$G127)&gt;0,
     COUNTIFS($AU$2:$AU$200,$G127)&gt;0,
     COUNTIFS($AV$2:$AV$200,$G127)&gt;0,
     COUNTIFS($AW$2:$AW$200,$G127)&gt;0,
     COUNTIFS($AX$2:$AX$200,$G127)&gt;0
   )),
  ),
  2
 ),
"")</f>
        <v/>
      </c>
      <c r="E127" s="3" t="str" cm="1">
        <f t="array" aca="1" ref="E127" ca="1">IFERROR(
 INDEX(
  _xlfn._xlws.FILTER($U$1:$AX$1,
   TRANSPOSE(
    CHOOSE({1;2;3;4;5;6;7;8;9;10;11;12;13;14;15;16;17;18;19;20;21;22;23;24;25;26;27;28;29;30},
     COUNTIFS($U$2:$U$200,$G127)&gt;0,
     COUNTIFS($V$2:$V$200,$G127)&gt;0,
     COUNTIFS($W$2:$W$200,$G127)&gt;0,
     COUNTIFS($X$2:$X$200,$G127)&gt;0,
     COUNTIFS($Y$2:$Y$200,$G127)&gt;0,
     COUNTIFS($Z$2:$Z$200,$G127)&gt;0,
     COUNTIFS($AA$2:$AA$200,$G127)&gt;0,
     COUNTIFS($AB$2:$AB$200,$G127)&gt;0,
     COUNTIFS($AC$2:$AC$200,$G127)&gt;0,
     COUNTIFS($AD$2:$AD$200,$G127)&gt;0,
     COUNTIFS($AE$2:$AE$200,$G127)&gt;0,
     COUNTIFS($AF$2:$AF$200,$G127)&gt;0,
     COUNTIFS($AG$2:$AG$200,$G127)&gt;0,
     COUNTIFS($AH$2:$AH$200,$G127)&gt;0,
     COUNTIFS($AI$2:$AI$200,$G127)&gt;0,
     COUNTIFS($AJ$2:$AJ$200,$G127)&gt;0,
     COUNTIFS($AK$2:$AK$200,$G127)&gt;0,
     COUNTIFS($AL$2:$AL$200,$G127)&gt;0,
     COUNTIFS($AM$2:$AM$200,$G127)&gt;0,
     COUNTIFS($AN$2:$AN$200,$G127)&gt;0,
     COUNTIFS($AO$2:$AO$200,$G127)&gt;0,
     COUNTIFS($AP$2:$AP$200,$G127)&gt;0,
     COUNTIFS($AQ$2:$AQ$200,$G127)&gt;0,
     COUNTIFS($AR$2:$AR$200,$G127)&gt;0,
     COUNTIFS($AS$2:$AS$200,$G127)&gt;0,
     COUNTIFS($AT$2:$AT$200,$G127)&gt;0,
     COUNTIFS($AU$2:$AU$200,$G127)&gt;0,
     COUNTIFS($AV$2:$AV$200,$G127)&gt;0,
     COUNTIFS($AW$2:$AW$200,$G127)&gt;0,
     COUNTIFS($AX$2:$AX$200,$G127)&gt;0
   )),
  ),
  3
 ),
"")</f>
        <v/>
      </c>
      <c r="F127" s="3" t="str" cm="1">
        <f t="array" aca="1" ref="F127" ca="1">IFERROR(
 INDEX(
  _xlfn._xlws.FILTER($U$1:$AX$1,
   TRANSPOSE(
    CHOOSE({1;2;3;4;5;6;7;8;9;10;11;12;13;14;15;16;17;18;19;20;21;22;23;24;25;26;27;28;29;30},
     COUNTIFS($U$2:$U$200,$G127)&gt;0,
     COUNTIFS($V$2:$V$200,$G127)&gt;0,
     COUNTIFS($W$2:$W$200,$G127)&gt;0,
     COUNTIFS($X$2:$X$200,$G127)&gt;0,
     COUNTIFS($Y$2:$Y$200,$G127)&gt;0,
     COUNTIFS($Z$2:$Z$200,$G127)&gt;0,
     COUNTIFS($AA$2:$AA$200,$G127)&gt;0,
     COUNTIFS($AB$2:$AB$200,$G127)&gt;0,
     COUNTIFS($AC$2:$AC$200,$G127)&gt;0,
     COUNTIFS($AD$2:$AD$200,$G127)&gt;0,
     COUNTIFS($AE$2:$AE$200,$G127)&gt;0,
     COUNTIFS($AF$2:$AF$200,$G127)&gt;0,
     COUNTIFS($AG$2:$AG$200,$G127)&gt;0,
     COUNTIFS($AH$2:$AH$200,$G127)&gt;0,
     COUNTIFS($AI$2:$AI$200,$G127)&gt;0,
     COUNTIFS($AJ$2:$AJ$200,$G127)&gt;0,
     COUNTIFS($AK$2:$AK$200,$G127)&gt;0,
     COUNTIFS($AL$2:$AL$200,$G127)&gt;0,
     COUNTIFS($AM$2:$AM$200,$G127)&gt;0,
     COUNTIFS($AN$2:$AN$200,$G127)&gt;0,
     COUNTIFS($AO$2:$AO$200,$G127)&gt;0,
     COUNTIFS($AP$2:$AP$200,$G127)&gt;0,
     COUNTIFS($AQ$2:$AQ$200,$G127)&gt;0,
     COUNTIFS($AR$2:$AR$200,$G127)&gt;0,
     COUNTIFS($AS$2:$AS$200,$G127)&gt;0,
     COUNTIFS($AT$2:$AT$200,$G127)&gt;0,
     COUNTIFS($AU$2:$AU$200,$G127)&gt;0,
     COUNTIFS($AV$2:$AV$200,$G127)&gt;0,
     COUNTIFS($AW$2:$AW$200,$G127)&gt;0,
     COUNTIFS($AX$2:$AX$200,$G127)&gt;0
   )),
  ),
  4
 ),
"")</f>
        <v/>
      </c>
      <c r="G127" t="str">
        <f ca="1"/>
        <v>Incendiary Command</v>
      </c>
      <c r="CB127" t="str">
        <f ca="1"/>
        <v>Summon: Fenrir</v>
      </c>
      <c r="CG127" t="str">
        <f ca="1"/>
        <v>Merrow Harbinger</v>
      </c>
      <c r="CJ127" t="str">
        <f ca="1"/>
        <v>Incendiary Command</v>
      </c>
    </row>
    <row r="128" spans="1:88" x14ac:dyDescent="0.25">
      <c r="A128" s="3" t="str">
        <f t="shared" ca="1" si="4"/>
        <v>1</v>
      </c>
      <c r="B128" s="3">
        <f t="shared" ca="1" si="5"/>
        <v>1</v>
      </c>
      <c r="C128" s="3" t="str">
        <f ca="1">IFERROR(
 INDEX($U$1:$AX$1,
  MATCH(TRUE,
   CHOOSE({1;2;3;4;5;6;7;8;9;10;11;12;13;14;15;16;17;18;19;20;21;22;23;24;25;26;27;28;29;30;31;32},
    COUNTIFS($U$2:$U$200,$G128)&gt;0,
    COUNTIFS($V$2:$V$200,$G128)&gt;0,
    COUNTIFS($W$2:$W$200,$G128)&gt;0,
    COUNTIFS($X$2:$X$200,$G128)&gt;0,
    COUNTIFS($Y$2:$Y$200,$G128)&gt;0,
    COUNTIFS($Z$2:$Z$200,$G128)&gt;0,
    COUNTIFS($AA$2:$AA$200,$G128)&gt;0,
    COUNTIFS($AB$2:$AB$200,$G128)&gt;0,
    COUNTIFS($AC$2:$AC$200,$G128)&gt;0,
    COUNTIFS($AD$2:$AD$200,$G128)&gt;0,
    COUNTIFS($AE$2:$AE$200,$G128)&gt;0,
    COUNTIFS($AF$2:$AF$200,$G128)&gt;0,
    COUNTIFS($AG$2:$AG$200,$G128)&gt;0,
    COUNTIFS($AH$2:$AH$200,$G128)&gt;0,
    COUNTIFS($AI$2:$AI$200,$G128)&gt;0,
    COUNTIFS($AJ$2:$AJ$200,$G128)&gt;0,
    COUNTIFS($AK$2:$AK$200,$G128)&gt;0,
    COUNTIFS($AL$2:$AL$200,$G128)&gt;0,
    COUNTIFS($AM$2:$AM$200,$G128)&gt;0,
    COUNTIFS($AN$2:$AN$200,$G128)&gt;0,
    COUNTIFS($AO$2:$AO$200,$G128)&gt;0,
    COUNTIFS($AP$2:$AP$200,$G128)&gt;0,
    COUNTIFS($AQ$2:$AQ$200,$G128)&gt;0,
    COUNTIFS($AR$2:$AR$200,$G128)&gt;0,
    COUNTIFS($AS$2:$AS$200,$G128)&gt;0,
    COUNTIFS($AT$2:$AT$200,$G128)&gt;0,
    COUNTIFS($AU$2:$AU$200,$G128)&gt;0,
    COUNTIFS($AV$2:$AV$200,$G128)&gt;0,
    COUNTIFS($AW$2:$AW$200,$G128)&gt;0,
    COUNTIFS($AX$2:$AX$200,$G128)&gt;0
   ),
  0)
 ),
"")</f>
        <v>Tayam</v>
      </c>
      <c r="D128" s="3" t="str" cm="1">
        <f t="array" aca="1" ref="D128" ca="1">IFERROR(
 INDEX(
  _xlfn._xlws.FILTER($U$1:$AX$1,
   TRANSPOSE(
    CHOOSE({1;2;3;4;5;6;7;8;9;10;11;12;13;14;15;16;17;18;19;20;21;22;23;24;25;26;27;28;29;30},
     COUNTIFS($U$2:$U$200,$G128)&gt;0,
     COUNTIFS($V$2:$V$200,$G128)&gt;0,
     COUNTIFS($W$2:$W$200,$G128)&gt;0,
     COUNTIFS($X$2:$X$200,$G128)&gt;0,
     COUNTIFS($Y$2:$Y$200,$G128)&gt;0,
     COUNTIFS($Z$2:$Z$200,$G128)&gt;0,
     COUNTIFS($AA$2:$AA$200,$G128)&gt;0,
     COUNTIFS($AB$2:$AB$200,$G128)&gt;0,
     COUNTIFS($AC$2:$AC$200,$G128)&gt;0,
     COUNTIFS($AD$2:$AD$200,$G128)&gt;0,
     COUNTIFS($AE$2:$AE$200,$G128)&gt;0,
     COUNTIFS($AF$2:$AF$200,$G128)&gt;0,
     COUNTIFS($AG$2:$AG$200,$G128)&gt;0,
     COUNTIFS($AH$2:$AH$200,$G128)&gt;0,
     COUNTIFS($AI$2:$AI$200,$G128)&gt;0,
     COUNTIFS($AJ$2:$AJ$200,$G128)&gt;0,
     COUNTIFS($AK$2:$AK$200,$G128)&gt;0,
     COUNTIFS($AL$2:$AL$200,$G128)&gt;0,
     COUNTIFS($AM$2:$AM$200,$G128)&gt;0,
     COUNTIFS($AN$2:$AN$200,$G128)&gt;0,
     COUNTIFS($AO$2:$AO$200,$G128)&gt;0,
     COUNTIFS($AP$2:$AP$200,$G128)&gt;0,
     COUNTIFS($AQ$2:$AQ$200,$G128)&gt;0,
     COUNTIFS($AR$2:$AR$200,$G128)&gt;0,
     COUNTIFS($AS$2:$AS$200,$G128)&gt;0,
     COUNTIFS($AT$2:$AT$200,$G128)&gt;0,
     COUNTIFS($AU$2:$AU$200,$G128)&gt;0,
     COUNTIFS($AV$2:$AV$200,$G128)&gt;0,
     COUNTIFS($AW$2:$AW$200,$G128)&gt;0,
     COUNTIFS($AX$2:$AX$200,$G128)&gt;0
   )),
  ),
  2
 ),
"")</f>
        <v/>
      </c>
      <c r="E128" s="3" t="str" cm="1">
        <f t="array" aca="1" ref="E128" ca="1">IFERROR(
 INDEX(
  _xlfn._xlws.FILTER($U$1:$AX$1,
   TRANSPOSE(
    CHOOSE({1;2;3;4;5;6;7;8;9;10;11;12;13;14;15;16;17;18;19;20;21;22;23;24;25;26;27;28;29;30},
     COUNTIFS($U$2:$U$200,$G128)&gt;0,
     COUNTIFS($V$2:$V$200,$G128)&gt;0,
     COUNTIFS($W$2:$W$200,$G128)&gt;0,
     COUNTIFS($X$2:$X$200,$G128)&gt;0,
     COUNTIFS($Y$2:$Y$200,$G128)&gt;0,
     COUNTIFS($Z$2:$Z$200,$G128)&gt;0,
     COUNTIFS($AA$2:$AA$200,$G128)&gt;0,
     COUNTIFS($AB$2:$AB$200,$G128)&gt;0,
     COUNTIFS($AC$2:$AC$200,$G128)&gt;0,
     COUNTIFS($AD$2:$AD$200,$G128)&gt;0,
     COUNTIFS($AE$2:$AE$200,$G128)&gt;0,
     COUNTIFS($AF$2:$AF$200,$G128)&gt;0,
     COUNTIFS($AG$2:$AG$200,$G128)&gt;0,
     COUNTIFS($AH$2:$AH$200,$G128)&gt;0,
     COUNTIFS($AI$2:$AI$200,$G128)&gt;0,
     COUNTIFS($AJ$2:$AJ$200,$G128)&gt;0,
     COUNTIFS($AK$2:$AK$200,$G128)&gt;0,
     COUNTIFS($AL$2:$AL$200,$G128)&gt;0,
     COUNTIFS($AM$2:$AM$200,$G128)&gt;0,
     COUNTIFS($AN$2:$AN$200,$G128)&gt;0,
     COUNTIFS($AO$2:$AO$200,$G128)&gt;0,
     COUNTIFS($AP$2:$AP$200,$G128)&gt;0,
     COUNTIFS($AQ$2:$AQ$200,$G128)&gt;0,
     COUNTIFS($AR$2:$AR$200,$G128)&gt;0,
     COUNTIFS($AS$2:$AS$200,$G128)&gt;0,
     COUNTIFS($AT$2:$AT$200,$G128)&gt;0,
     COUNTIFS($AU$2:$AU$200,$G128)&gt;0,
     COUNTIFS($AV$2:$AV$200,$G128)&gt;0,
     COUNTIFS($AW$2:$AW$200,$G128)&gt;0,
     COUNTIFS($AX$2:$AX$200,$G128)&gt;0
   )),
  ),
  3
 ),
"")</f>
        <v/>
      </c>
      <c r="F128" s="3" t="str" cm="1">
        <f t="array" aca="1" ref="F128" ca="1">IFERROR(
 INDEX(
  _xlfn._xlws.FILTER($U$1:$AX$1,
   TRANSPOSE(
    CHOOSE({1;2;3;4;5;6;7;8;9;10;11;12;13;14;15;16;17;18;19;20;21;22;23;24;25;26;27;28;29;30},
     COUNTIFS($U$2:$U$200,$G128)&gt;0,
     COUNTIFS($V$2:$V$200,$G128)&gt;0,
     COUNTIFS($W$2:$W$200,$G128)&gt;0,
     COUNTIFS($X$2:$X$200,$G128)&gt;0,
     COUNTIFS($Y$2:$Y$200,$G128)&gt;0,
     COUNTIFS($Z$2:$Z$200,$G128)&gt;0,
     COUNTIFS($AA$2:$AA$200,$G128)&gt;0,
     COUNTIFS($AB$2:$AB$200,$G128)&gt;0,
     COUNTIFS($AC$2:$AC$200,$G128)&gt;0,
     COUNTIFS($AD$2:$AD$200,$G128)&gt;0,
     COUNTIFS($AE$2:$AE$200,$G128)&gt;0,
     COUNTIFS($AF$2:$AF$200,$G128)&gt;0,
     COUNTIFS($AG$2:$AG$200,$G128)&gt;0,
     COUNTIFS($AH$2:$AH$200,$G128)&gt;0,
     COUNTIFS($AI$2:$AI$200,$G128)&gt;0,
     COUNTIFS($AJ$2:$AJ$200,$G128)&gt;0,
     COUNTIFS($AK$2:$AK$200,$G128)&gt;0,
     COUNTIFS($AL$2:$AL$200,$G128)&gt;0,
     COUNTIFS($AM$2:$AM$200,$G128)&gt;0,
     COUNTIFS($AN$2:$AN$200,$G128)&gt;0,
     COUNTIFS($AO$2:$AO$200,$G128)&gt;0,
     COUNTIFS($AP$2:$AP$200,$G128)&gt;0,
     COUNTIFS($AQ$2:$AQ$200,$G128)&gt;0,
     COUNTIFS($AR$2:$AR$200,$G128)&gt;0,
     COUNTIFS($AS$2:$AS$200,$G128)&gt;0,
     COUNTIFS($AT$2:$AT$200,$G128)&gt;0,
     COUNTIFS($AU$2:$AU$200,$G128)&gt;0,
     COUNTIFS($AV$2:$AV$200,$G128)&gt;0,
     COUNTIFS($AW$2:$AW$200,$G128)&gt;0,
     COUNTIFS($AX$2:$AX$200,$G128)&gt;0
   )),
  ),
  4
 ),
"")</f>
        <v/>
      </c>
      <c r="G128" t="str">
        <f ca="1"/>
        <v>Incubation Druid</v>
      </c>
      <c r="CB128" t="str">
        <f ca="1"/>
        <v>Summon: Ixion</v>
      </c>
      <c r="CG128" t="str">
        <f ca="1"/>
        <v>Mines of Moria</v>
      </c>
      <c r="CJ128" t="str">
        <f ca="1"/>
        <v>Incubation Druid</v>
      </c>
    </row>
    <row r="129" spans="1:88" x14ac:dyDescent="0.25">
      <c r="A129" s="3" t="str">
        <f t="shared" ca="1" si="4"/>
        <v>1</v>
      </c>
      <c r="B129" s="3">
        <f t="shared" ca="1" si="5"/>
        <v>1</v>
      </c>
      <c r="C129" s="3" t="str">
        <f ca="1">IFERROR(
 INDEX($U$1:$AX$1,
  MATCH(TRUE,
   CHOOSE({1;2;3;4;5;6;7;8;9;10;11;12;13;14;15;16;17;18;19;20;21;22;23;24;25;26;27;28;29;30;31;32},
    COUNTIFS($U$2:$U$200,$G129)&gt;0,
    COUNTIFS($V$2:$V$200,$G129)&gt;0,
    COUNTIFS($W$2:$W$200,$G129)&gt;0,
    COUNTIFS($X$2:$X$200,$G129)&gt;0,
    COUNTIFS($Y$2:$Y$200,$G129)&gt;0,
    COUNTIFS($Z$2:$Z$200,$G129)&gt;0,
    COUNTIFS($AA$2:$AA$200,$G129)&gt;0,
    COUNTIFS($AB$2:$AB$200,$G129)&gt;0,
    COUNTIFS($AC$2:$AC$200,$G129)&gt;0,
    COUNTIFS($AD$2:$AD$200,$G129)&gt;0,
    COUNTIFS($AE$2:$AE$200,$G129)&gt;0,
    COUNTIFS($AF$2:$AF$200,$G129)&gt;0,
    COUNTIFS($AG$2:$AG$200,$G129)&gt;0,
    COUNTIFS($AH$2:$AH$200,$G129)&gt;0,
    COUNTIFS($AI$2:$AI$200,$G129)&gt;0,
    COUNTIFS($AJ$2:$AJ$200,$G129)&gt;0,
    COUNTIFS($AK$2:$AK$200,$G129)&gt;0,
    COUNTIFS($AL$2:$AL$200,$G129)&gt;0,
    COUNTIFS($AM$2:$AM$200,$G129)&gt;0,
    COUNTIFS($AN$2:$AN$200,$G129)&gt;0,
    COUNTIFS($AO$2:$AO$200,$G129)&gt;0,
    COUNTIFS($AP$2:$AP$200,$G129)&gt;0,
    COUNTIFS($AQ$2:$AQ$200,$G129)&gt;0,
    COUNTIFS($AR$2:$AR$200,$G129)&gt;0,
    COUNTIFS($AS$2:$AS$200,$G129)&gt;0,
    COUNTIFS($AT$2:$AT$200,$G129)&gt;0,
    COUNTIFS($AU$2:$AU$200,$G129)&gt;0,
    COUNTIFS($AV$2:$AV$200,$G129)&gt;0,
    COUNTIFS($AW$2:$AW$200,$G129)&gt;0,
    COUNTIFS($AX$2:$AX$200,$G129)&gt;0
   ),
  0)
 ),
"")</f>
        <v>Modular</v>
      </c>
      <c r="D129" s="3" t="str" cm="1">
        <f t="array" aca="1" ref="D129" ca="1">IFERROR(
 INDEX(
  _xlfn._xlws.FILTER($U$1:$AX$1,
   TRANSPOSE(
    CHOOSE({1;2;3;4;5;6;7;8;9;10;11;12;13;14;15;16;17;18;19;20;21;22;23;24;25;26;27;28;29;30},
     COUNTIFS($U$2:$U$200,$G129)&gt;0,
     COUNTIFS($V$2:$V$200,$G129)&gt;0,
     COUNTIFS($W$2:$W$200,$G129)&gt;0,
     COUNTIFS($X$2:$X$200,$G129)&gt;0,
     COUNTIFS($Y$2:$Y$200,$G129)&gt;0,
     COUNTIFS($Z$2:$Z$200,$G129)&gt;0,
     COUNTIFS($AA$2:$AA$200,$G129)&gt;0,
     COUNTIFS($AB$2:$AB$200,$G129)&gt;0,
     COUNTIFS($AC$2:$AC$200,$G129)&gt;0,
     COUNTIFS($AD$2:$AD$200,$G129)&gt;0,
     COUNTIFS($AE$2:$AE$200,$G129)&gt;0,
     COUNTIFS($AF$2:$AF$200,$G129)&gt;0,
     COUNTIFS($AG$2:$AG$200,$G129)&gt;0,
     COUNTIFS($AH$2:$AH$200,$G129)&gt;0,
     COUNTIFS($AI$2:$AI$200,$G129)&gt;0,
     COUNTIFS($AJ$2:$AJ$200,$G129)&gt;0,
     COUNTIFS($AK$2:$AK$200,$G129)&gt;0,
     COUNTIFS($AL$2:$AL$200,$G129)&gt;0,
     COUNTIFS($AM$2:$AM$200,$G129)&gt;0,
     COUNTIFS($AN$2:$AN$200,$G129)&gt;0,
     COUNTIFS($AO$2:$AO$200,$G129)&gt;0,
     COUNTIFS($AP$2:$AP$200,$G129)&gt;0,
     COUNTIFS($AQ$2:$AQ$200,$G129)&gt;0,
     COUNTIFS($AR$2:$AR$200,$G129)&gt;0,
     COUNTIFS($AS$2:$AS$200,$G129)&gt;0,
     COUNTIFS($AT$2:$AT$200,$G129)&gt;0,
     COUNTIFS($AU$2:$AU$200,$G129)&gt;0,
     COUNTIFS($AV$2:$AV$200,$G129)&gt;0,
     COUNTIFS($AW$2:$AW$200,$G129)&gt;0,
     COUNTIFS($AX$2:$AX$200,$G129)&gt;0
   )),
  ),
  2
 ),
"")</f>
        <v/>
      </c>
      <c r="E129" s="3" t="str" cm="1">
        <f t="array" aca="1" ref="E129" ca="1">IFERROR(
 INDEX(
  _xlfn._xlws.FILTER($U$1:$AX$1,
   TRANSPOSE(
    CHOOSE({1;2;3;4;5;6;7;8;9;10;11;12;13;14;15;16;17;18;19;20;21;22;23;24;25;26;27;28;29;30},
     COUNTIFS($U$2:$U$200,$G129)&gt;0,
     COUNTIFS($V$2:$V$200,$G129)&gt;0,
     COUNTIFS($W$2:$W$200,$G129)&gt;0,
     COUNTIFS($X$2:$X$200,$G129)&gt;0,
     COUNTIFS($Y$2:$Y$200,$G129)&gt;0,
     COUNTIFS($Z$2:$Z$200,$G129)&gt;0,
     COUNTIFS($AA$2:$AA$200,$G129)&gt;0,
     COUNTIFS($AB$2:$AB$200,$G129)&gt;0,
     COUNTIFS($AC$2:$AC$200,$G129)&gt;0,
     COUNTIFS($AD$2:$AD$200,$G129)&gt;0,
     COUNTIFS($AE$2:$AE$200,$G129)&gt;0,
     COUNTIFS($AF$2:$AF$200,$G129)&gt;0,
     COUNTIFS($AG$2:$AG$200,$G129)&gt;0,
     COUNTIFS($AH$2:$AH$200,$G129)&gt;0,
     COUNTIFS($AI$2:$AI$200,$G129)&gt;0,
     COUNTIFS($AJ$2:$AJ$200,$G129)&gt;0,
     COUNTIFS($AK$2:$AK$200,$G129)&gt;0,
     COUNTIFS($AL$2:$AL$200,$G129)&gt;0,
     COUNTIFS($AM$2:$AM$200,$G129)&gt;0,
     COUNTIFS($AN$2:$AN$200,$G129)&gt;0,
     COUNTIFS($AO$2:$AO$200,$G129)&gt;0,
     COUNTIFS($AP$2:$AP$200,$G129)&gt;0,
     COUNTIFS($AQ$2:$AQ$200,$G129)&gt;0,
     COUNTIFS($AR$2:$AR$200,$G129)&gt;0,
     COUNTIFS($AS$2:$AS$200,$G129)&gt;0,
     COUNTIFS($AT$2:$AT$200,$G129)&gt;0,
     COUNTIFS($AU$2:$AU$200,$G129)&gt;0,
     COUNTIFS($AV$2:$AV$200,$G129)&gt;0,
     COUNTIFS($AW$2:$AW$200,$G129)&gt;0,
     COUNTIFS($AX$2:$AX$200,$G129)&gt;0
   )),
  ),
  3
 ),
"")</f>
        <v/>
      </c>
      <c r="F129" s="3" t="str" cm="1">
        <f t="array" aca="1" ref="F129" ca="1">IFERROR(
 INDEX(
  _xlfn._xlws.FILTER($U$1:$AX$1,
   TRANSPOSE(
    CHOOSE({1;2;3;4;5;6;7;8;9;10;11;12;13;14;15;16;17;18;19;20;21;22;23;24;25;26;27;28;29;30},
     COUNTIFS($U$2:$U$200,$G129)&gt;0,
     COUNTIFS($V$2:$V$200,$G129)&gt;0,
     COUNTIFS($W$2:$W$200,$G129)&gt;0,
     COUNTIFS($X$2:$X$200,$G129)&gt;0,
     COUNTIFS($Y$2:$Y$200,$G129)&gt;0,
     COUNTIFS($Z$2:$Z$200,$G129)&gt;0,
     COUNTIFS($AA$2:$AA$200,$G129)&gt;0,
     COUNTIFS($AB$2:$AB$200,$G129)&gt;0,
     COUNTIFS($AC$2:$AC$200,$G129)&gt;0,
     COUNTIFS($AD$2:$AD$200,$G129)&gt;0,
     COUNTIFS($AE$2:$AE$200,$G129)&gt;0,
     COUNTIFS($AF$2:$AF$200,$G129)&gt;0,
     COUNTIFS($AG$2:$AG$200,$G129)&gt;0,
     COUNTIFS($AH$2:$AH$200,$G129)&gt;0,
     COUNTIFS($AI$2:$AI$200,$G129)&gt;0,
     COUNTIFS($AJ$2:$AJ$200,$G129)&gt;0,
     COUNTIFS($AK$2:$AK$200,$G129)&gt;0,
     COUNTIFS($AL$2:$AL$200,$G129)&gt;0,
     COUNTIFS($AM$2:$AM$200,$G129)&gt;0,
     COUNTIFS($AN$2:$AN$200,$G129)&gt;0,
     COUNTIFS($AO$2:$AO$200,$G129)&gt;0,
     COUNTIFS($AP$2:$AP$200,$G129)&gt;0,
     COUNTIFS($AQ$2:$AQ$200,$G129)&gt;0,
     COUNTIFS($AR$2:$AR$200,$G129)&gt;0,
     COUNTIFS($AS$2:$AS$200,$G129)&gt;0,
     COUNTIFS($AT$2:$AT$200,$G129)&gt;0,
     COUNTIFS($AU$2:$AU$200,$G129)&gt;0,
     COUNTIFS($AV$2:$AV$200,$G129)&gt;0,
     COUNTIFS($AW$2:$AW$200,$G129)&gt;0,
     COUNTIFS($AX$2:$AX$200,$G129)&gt;0
   )),
  ),
  4
 ),
"")</f>
        <v/>
      </c>
      <c r="G129" t="str">
        <f ca="1"/>
        <v>Inkmoth Nexus</v>
      </c>
      <c r="CB129" t="str">
        <f ca="1"/>
        <v>Summon: Leviathan</v>
      </c>
      <c r="CG129" t="str">
        <f ca="1"/>
        <v>Mirrex</v>
      </c>
      <c r="CJ129" t="str">
        <f ca="1"/>
        <v>Inkmoth Nexus</v>
      </c>
    </row>
    <row r="130" spans="1:88" x14ac:dyDescent="0.25">
      <c r="A130" s="3" t="str">
        <f t="shared" ca="1" si="4"/>
        <v>4</v>
      </c>
      <c r="B130" s="3">
        <f t="shared" ca="1" si="5"/>
        <v>1</v>
      </c>
      <c r="C130" s="3" t="str">
        <f ca="1">IFERROR(
 INDEX($U$1:$AX$1,
  MATCH(TRUE,
   CHOOSE({1;2;3;4;5;6;7;8;9;10;11;12;13;14;15;16;17;18;19;20;21;22;23;24;25;26;27;28;29;30;31;32},
    COUNTIFS($U$2:$U$200,$G130)&gt;0,
    COUNTIFS($V$2:$V$200,$G130)&gt;0,
    COUNTIFS($W$2:$W$200,$G130)&gt;0,
    COUNTIFS($X$2:$X$200,$G130)&gt;0,
    COUNTIFS($Y$2:$Y$200,$G130)&gt;0,
    COUNTIFS($Z$2:$Z$200,$G130)&gt;0,
    COUNTIFS($AA$2:$AA$200,$G130)&gt;0,
    COUNTIFS($AB$2:$AB$200,$G130)&gt;0,
    COUNTIFS($AC$2:$AC$200,$G130)&gt;0,
    COUNTIFS($AD$2:$AD$200,$G130)&gt;0,
    COUNTIFS($AE$2:$AE$200,$G130)&gt;0,
    COUNTIFS($AF$2:$AF$200,$G130)&gt;0,
    COUNTIFS($AG$2:$AG$200,$G130)&gt;0,
    COUNTIFS($AH$2:$AH$200,$G130)&gt;0,
    COUNTIFS($AI$2:$AI$200,$G130)&gt;0,
    COUNTIFS($AJ$2:$AJ$200,$G130)&gt;0,
    COUNTIFS($AK$2:$AK$200,$G130)&gt;0,
    COUNTIFS($AL$2:$AL$200,$G130)&gt;0,
    COUNTIFS($AM$2:$AM$200,$G130)&gt;0,
    COUNTIFS($AN$2:$AN$200,$G130)&gt;0,
    COUNTIFS($AO$2:$AO$200,$G130)&gt;0,
    COUNTIFS($AP$2:$AP$200,$G130)&gt;0,
    COUNTIFS($AQ$2:$AQ$200,$G130)&gt;0,
    COUNTIFS($AR$2:$AR$200,$G130)&gt;0,
    COUNTIFS($AS$2:$AS$200,$G130)&gt;0,
    COUNTIFS($AT$2:$AT$200,$G130)&gt;0,
    COUNTIFS($AU$2:$AU$200,$G130)&gt;0,
    COUNTIFS($AV$2:$AV$200,$G130)&gt;0,
    COUNTIFS($AW$2:$AW$200,$G130)&gt;0,
    COUNTIFS($AX$2:$AX$200,$G130)&gt;0
   ),
  0)
 ),
"")</f>
        <v>Oona</v>
      </c>
      <c r="D130" s="3" t="str" cm="1">
        <f t="array" aca="1" ref="D130" ca="1">IFERROR(
 INDEX(
  _xlfn._xlws.FILTER($U$1:$AX$1,
   TRANSPOSE(
    CHOOSE({1;2;3;4;5;6;7;8;9;10;11;12;13;14;15;16;17;18;19;20;21;22;23;24;25;26;27;28;29;30},
     COUNTIFS($U$2:$U$200,$G130)&gt;0,
     COUNTIFS($V$2:$V$200,$G130)&gt;0,
     COUNTIFS($W$2:$W$200,$G130)&gt;0,
     COUNTIFS($X$2:$X$200,$G130)&gt;0,
     COUNTIFS($Y$2:$Y$200,$G130)&gt;0,
     COUNTIFS($Z$2:$Z$200,$G130)&gt;0,
     COUNTIFS($AA$2:$AA$200,$G130)&gt;0,
     COUNTIFS($AB$2:$AB$200,$G130)&gt;0,
     COUNTIFS($AC$2:$AC$200,$G130)&gt;0,
     COUNTIFS($AD$2:$AD$200,$G130)&gt;0,
     COUNTIFS($AE$2:$AE$200,$G130)&gt;0,
     COUNTIFS($AF$2:$AF$200,$G130)&gt;0,
     COUNTIFS($AG$2:$AG$200,$G130)&gt;0,
     COUNTIFS($AH$2:$AH$200,$G130)&gt;0,
     COUNTIFS($AI$2:$AI$200,$G130)&gt;0,
     COUNTIFS($AJ$2:$AJ$200,$G130)&gt;0,
     COUNTIFS($AK$2:$AK$200,$G130)&gt;0,
     COUNTIFS($AL$2:$AL$200,$G130)&gt;0,
     COUNTIFS($AM$2:$AM$200,$G130)&gt;0,
     COUNTIFS($AN$2:$AN$200,$G130)&gt;0,
     COUNTIFS($AO$2:$AO$200,$G130)&gt;0,
     COUNTIFS($AP$2:$AP$200,$G130)&gt;0,
     COUNTIFS($AQ$2:$AQ$200,$G130)&gt;0,
     COUNTIFS($AR$2:$AR$200,$G130)&gt;0,
     COUNTIFS($AS$2:$AS$200,$G130)&gt;0,
     COUNTIFS($AT$2:$AT$200,$G130)&gt;0,
     COUNTIFS($AU$2:$AU$200,$G130)&gt;0,
     COUNTIFS($AV$2:$AV$200,$G130)&gt;0,
     COUNTIFS($AW$2:$AW$200,$G130)&gt;0,
     COUNTIFS($AX$2:$AX$200,$G130)&gt;0
   )),
  ),
  2
 ),
"")</f>
        <v/>
      </c>
      <c r="E130" s="3" t="str" cm="1">
        <f t="array" aca="1" ref="E130" ca="1">IFERROR(
 INDEX(
  _xlfn._xlws.FILTER($U$1:$AX$1,
   TRANSPOSE(
    CHOOSE({1;2;3;4;5;6;7;8;9;10;11;12;13;14;15;16;17;18;19;20;21;22;23;24;25;26;27;28;29;30},
     COUNTIFS($U$2:$U$200,$G130)&gt;0,
     COUNTIFS($V$2:$V$200,$G130)&gt;0,
     COUNTIFS($W$2:$W$200,$G130)&gt;0,
     COUNTIFS($X$2:$X$200,$G130)&gt;0,
     COUNTIFS($Y$2:$Y$200,$G130)&gt;0,
     COUNTIFS($Z$2:$Z$200,$G130)&gt;0,
     COUNTIFS($AA$2:$AA$200,$G130)&gt;0,
     COUNTIFS($AB$2:$AB$200,$G130)&gt;0,
     COUNTIFS($AC$2:$AC$200,$G130)&gt;0,
     COUNTIFS($AD$2:$AD$200,$G130)&gt;0,
     COUNTIFS($AE$2:$AE$200,$G130)&gt;0,
     COUNTIFS($AF$2:$AF$200,$G130)&gt;0,
     COUNTIFS($AG$2:$AG$200,$G130)&gt;0,
     COUNTIFS($AH$2:$AH$200,$G130)&gt;0,
     COUNTIFS($AI$2:$AI$200,$G130)&gt;0,
     COUNTIFS($AJ$2:$AJ$200,$G130)&gt;0,
     COUNTIFS($AK$2:$AK$200,$G130)&gt;0,
     COUNTIFS($AL$2:$AL$200,$G130)&gt;0,
     COUNTIFS($AM$2:$AM$200,$G130)&gt;0,
     COUNTIFS($AN$2:$AN$200,$G130)&gt;0,
     COUNTIFS($AO$2:$AO$200,$G130)&gt;0,
     COUNTIFS($AP$2:$AP$200,$G130)&gt;0,
     COUNTIFS($AQ$2:$AQ$200,$G130)&gt;0,
     COUNTIFS($AR$2:$AR$200,$G130)&gt;0,
     COUNTIFS($AS$2:$AS$200,$G130)&gt;0,
     COUNTIFS($AT$2:$AT$200,$G130)&gt;0,
     COUNTIFS($AU$2:$AU$200,$G130)&gt;0,
     COUNTIFS($AV$2:$AV$200,$G130)&gt;0,
     COUNTIFS($AW$2:$AW$200,$G130)&gt;0,
     COUNTIFS($AX$2:$AX$200,$G130)&gt;0
   )),
  ),
  3
 ),
"")</f>
        <v/>
      </c>
      <c r="F130" s="3" t="str" cm="1">
        <f t="array" aca="1" ref="F130" ca="1">IFERROR(
 INDEX(
  _xlfn._xlws.FILTER($U$1:$AX$1,
   TRANSPOSE(
    CHOOSE({1;2;3;4;5;6;7;8;9;10;11;12;13;14;15;16;17;18;19;20;21;22;23;24;25;26;27;28;29;30},
     COUNTIFS($U$2:$U$200,$G130)&gt;0,
     COUNTIFS($V$2:$V$200,$G130)&gt;0,
     COUNTIFS($W$2:$W$200,$G130)&gt;0,
     COUNTIFS($X$2:$X$200,$G130)&gt;0,
     COUNTIFS($Y$2:$Y$200,$G130)&gt;0,
     COUNTIFS($Z$2:$Z$200,$G130)&gt;0,
     COUNTIFS($AA$2:$AA$200,$G130)&gt;0,
     COUNTIFS($AB$2:$AB$200,$G130)&gt;0,
     COUNTIFS($AC$2:$AC$200,$G130)&gt;0,
     COUNTIFS($AD$2:$AD$200,$G130)&gt;0,
     COUNTIFS($AE$2:$AE$200,$G130)&gt;0,
     COUNTIFS($AF$2:$AF$200,$G130)&gt;0,
     COUNTIFS($AG$2:$AG$200,$G130)&gt;0,
     COUNTIFS($AH$2:$AH$200,$G130)&gt;0,
     COUNTIFS($AI$2:$AI$200,$G130)&gt;0,
     COUNTIFS($AJ$2:$AJ$200,$G130)&gt;0,
     COUNTIFS($AK$2:$AK$200,$G130)&gt;0,
     COUNTIFS($AL$2:$AL$200,$G130)&gt;0,
     COUNTIFS($AM$2:$AM$200,$G130)&gt;0,
     COUNTIFS($AN$2:$AN$200,$G130)&gt;0,
     COUNTIFS($AO$2:$AO$200,$G130)&gt;0,
     COUNTIFS($AP$2:$AP$200,$G130)&gt;0,
     COUNTIFS($AQ$2:$AQ$200,$G130)&gt;0,
     COUNTIFS($AR$2:$AR$200,$G130)&gt;0,
     COUNTIFS($AS$2:$AS$200,$G130)&gt;0,
     COUNTIFS($AT$2:$AT$200,$G130)&gt;0,
     COUNTIFS($AU$2:$AU$200,$G130)&gt;0,
     COUNTIFS($AV$2:$AV$200,$G130)&gt;0,
     COUNTIFS($AW$2:$AW$200,$G130)&gt;0,
     COUNTIFS($AX$2:$AX$200,$G130)&gt;0
   )),
  ),
  4
 ),
"")</f>
        <v/>
      </c>
      <c r="G130" t="str">
        <f ca="1"/>
        <v>Invasion of Segovia</v>
      </c>
      <c r="CB130" t="str">
        <f ca="1"/>
        <v>Sunscorched Divide</v>
      </c>
      <c r="CG130" t="str">
        <f ca="1"/>
        <v>Mistbind Clique</v>
      </c>
      <c r="CJ130" t="str">
        <f ca="1"/>
        <v>Invasion of Segovia</v>
      </c>
    </row>
    <row r="131" spans="1:88" x14ac:dyDescent="0.25">
      <c r="A131" s="3" t="str">
        <f t="shared" ref="A131:A194" ca="1" si="6">IFERROR(INDEX($S$3:$S$200, MATCH($C131, $I$3:$I$200, 0)), "")</f>
        <v>3</v>
      </c>
      <c r="B131" s="3">
        <f t="shared" ref="B131:B194" ca="1" si="7">COUNTIF(U:AX,G131)</f>
        <v>1</v>
      </c>
      <c r="C131" s="3" t="str">
        <f ca="1">IFERROR(
 INDEX($U$1:$AX$1,
  MATCH(TRUE,
   CHOOSE({1;2;3;4;5;6;7;8;9;10;11;12;13;14;15;16;17;18;19;20;21;22;23;24;25;26;27;28;29;30;31;32},
    COUNTIFS($U$2:$U$200,$G131)&gt;0,
    COUNTIFS($V$2:$V$200,$G131)&gt;0,
    COUNTIFS($W$2:$W$200,$G131)&gt;0,
    COUNTIFS($X$2:$X$200,$G131)&gt;0,
    COUNTIFS($Y$2:$Y$200,$G131)&gt;0,
    COUNTIFS($Z$2:$Z$200,$G131)&gt;0,
    COUNTIFS($AA$2:$AA$200,$G131)&gt;0,
    COUNTIFS($AB$2:$AB$200,$G131)&gt;0,
    COUNTIFS($AC$2:$AC$200,$G131)&gt;0,
    COUNTIFS($AD$2:$AD$200,$G131)&gt;0,
    COUNTIFS($AE$2:$AE$200,$G131)&gt;0,
    COUNTIFS($AF$2:$AF$200,$G131)&gt;0,
    COUNTIFS($AG$2:$AG$200,$G131)&gt;0,
    COUNTIFS($AH$2:$AH$200,$G131)&gt;0,
    COUNTIFS($AI$2:$AI$200,$G131)&gt;0,
    COUNTIFS($AJ$2:$AJ$200,$G131)&gt;0,
    COUNTIFS($AK$2:$AK$200,$G131)&gt;0,
    COUNTIFS($AL$2:$AL$200,$G131)&gt;0,
    COUNTIFS($AM$2:$AM$200,$G131)&gt;0,
    COUNTIFS($AN$2:$AN$200,$G131)&gt;0,
    COUNTIFS($AO$2:$AO$200,$G131)&gt;0,
    COUNTIFS($AP$2:$AP$200,$G131)&gt;0,
    COUNTIFS($AQ$2:$AQ$200,$G131)&gt;0,
    COUNTIFS($AR$2:$AR$200,$G131)&gt;0,
    COUNTIFS($AS$2:$AS$200,$G131)&gt;0,
    COUNTIFS($AT$2:$AT$200,$G131)&gt;0,
    COUNTIFS($AU$2:$AU$200,$G131)&gt;0,
    COUNTIFS($AV$2:$AV$200,$G131)&gt;0,
    COUNTIFS($AW$2:$AW$200,$G131)&gt;0,
    COUNTIFS($AX$2:$AX$200,$G131)&gt;0
   ),
  0)
 ),
"")</f>
        <v>Muzzio</v>
      </c>
      <c r="D131" s="3" t="str" cm="1">
        <f t="array" aca="1" ref="D131" ca="1">IFERROR(
 INDEX(
  _xlfn._xlws.FILTER($U$1:$AX$1,
   TRANSPOSE(
    CHOOSE({1;2;3;4;5;6;7;8;9;10;11;12;13;14;15;16;17;18;19;20;21;22;23;24;25;26;27;28;29;30},
     COUNTIFS($U$2:$U$200,$G131)&gt;0,
     COUNTIFS($V$2:$V$200,$G131)&gt;0,
     COUNTIFS($W$2:$W$200,$G131)&gt;0,
     COUNTIFS($X$2:$X$200,$G131)&gt;0,
     COUNTIFS($Y$2:$Y$200,$G131)&gt;0,
     COUNTIFS($Z$2:$Z$200,$G131)&gt;0,
     COUNTIFS($AA$2:$AA$200,$G131)&gt;0,
     COUNTIFS($AB$2:$AB$200,$G131)&gt;0,
     COUNTIFS($AC$2:$AC$200,$G131)&gt;0,
     COUNTIFS($AD$2:$AD$200,$G131)&gt;0,
     COUNTIFS($AE$2:$AE$200,$G131)&gt;0,
     COUNTIFS($AF$2:$AF$200,$G131)&gt;0,
     COUNTIFS($AG$2:$AG$200,$G131)&gt;0,
     COUNTIFS($AH$2:$AH$200,$G131)&gt;0,
     COUNTIFS($AI$2:$AI$200,$G131)&gt;0,
     COUNTIFS($AJ$2:$AJ$200,$G131)&gt;0,
     COUNTIFS($AK$2:$AK$200,$G131)&gt;0,
     COUNTIFS($AL$2:$AL$200,$G131)&gt;0,
     COUNTIFS($AM$2:$AM$200,$G131)&gt;0,
     COUNTIFS($AN$2:$AN$200,$G131)&gt;0,
     COUNTIFS($AO$2:$AO$200,$G131)&gt;0,
     COUNTIFS($AP$2:$AP$200,$G131)&gt;0,
     COUNTIFS($AQ$2:$AQ$200,$G131)&gt;0,
     COUNTIFS($AR$2:$AR$200,$G131)&gt;0,
     COUNTIFS($AS$2:$AS$200,$G131)&gt;0,
     COUNTIFS($AT$2:$AT$200,$G131)&gt;0,
     COUNTIFS($AU$2:$AU$200,$G131)&gt;0,
     COUNTIFS($AV$2:$AV$200,$G131)&gt;0,
     COUNTIFS($AW$2:$AW$200,$G131)&gt;0,
     COUNTIFS($AX$2:$AX$200,$G131)&gt;0
   )),
  ),
  2
 ),
"")</f>
        <v/>
      </c>
      <c r="E131" s="3" t="str" cm="1">
        <f t="array" aca="1" ref="E131" ca="1">IFERROR(
 INDEX(
  _xlfn._xlws.FILTER($U$1:$AX$1,
   TRANSPOSE(
    CHOOSE({1;2;3;4;5;6;7;8;9;10;11;12;13;14;15;16;17;18;19;20;21;22;23;24;25;26;27;28;29;30},
     COUNTIFS($U$2:$U$200,$G131)&gt;0,
     COUNTIFS($V$2:$V$200,$G131)&gt;0,
     COUNTIFS($W$2:$W$200,$G131)&gt;0,
     COUNTIFS($X$2:$X$200,$G131)&gt;0,
     COUNTIFS($Y$2:$Y$200,$G131)&gt;0,
     COUNTIFS($Z$2:$Z$200,$G131)&gt;0,
     COUNTIFS($AA$2:$AA$200,$G131)&gt;0,
     COUNTIFS($AB$2:$AB$200,$G131)&gt;0,
     COUNTIFS($AC$2:$AC$200,$G131)&gt;0,
     COUNTIFS($AD$2:$AD$200,$G131)&gt;0,
     COUNTIFS($AE$2:$AE$200,$G131)&gt;0,
     COUNTIFS($AF$2:$AF$200,$G131)&gt;0,
     COUNTIFS($AG$2:$AG$200,$G131)&gt;0,
     COUNTIFS($AH$2:$AH$200,$G131)&gt;0,
     COUNTIFS($AI$2:$AI$200,$G131)&gt;0,
     COUNTIFS($AJ$2:$AJ$200,$G131)&gt;0,
     COUNTIFS($AK$2:$AK$200,$G131)&gt;0,
     COUNTIFS($AL$2:$AL$200,$G131)&gt;0,
     COUNTIFS($AM$2:$AM$200,$G131)&gt;0,
     COUNTIFS($AN$2:$AN$200,$G131)&gt;0,
     COUNTIFS($AO$2:$AO$200,$G131)&gt;0,
     COUNTIFS($AP$2:$AP$200,$G131)&gt;0,
     COUNTIFS($AQ$2:$AQ$200,$G131)&gt;0,
     COUNTIFS($AR$2:$AR$200,$G131)&gt;0,
     COUNTIFS($AS$2:$AS$200,$G131)&gt;0,
     COUNTIFS($AT$2:$AT$200,$G131)&gt;0,
     COUNTIFS($AU$2:$AU$200,$G131)&gt;0,
     COUNTIFS($AV$2:$AV$200,$G131)&gt;0,
     COUNTIFS($AW$2:$AW$200,$G131)&gt;0,
     COUNTIFS($AX$2:$AX$200,$G131)&gt;0
   )),
  ),
  3
 ),
"")</f>
        <v/>
      </c>
      <c r="F131" s="3" t="str" cm="1">
        <f t="array" aca="1" ref="F131" ca="1">IFERROR(
 INDEX(
  _xlfn._xlws.FILTER($U$1:$AX$1,
   TRANSPOSE(
    CHOOSE({1;2;3;4;5;6;7;8;9;10;11;12;13;14;15;16;17;18;19;20;21;22;23;24;25;26;27;28;29;30},
     COUNTIFS($U$2:$U$200,$G131)&gt;0,
     COUNTIFS($V$2:$V$200,$G131)&gt;0,
     COUNTIFS($W$2:$W$200,$G131)&gt;0,
     COUNTIFS($X$2:$X$200,$G131)&gt;0,
     COUNTIFS($Y$2:$Y$200,$G131)&gt;0,
     COUNTIFS($Z$2:$Z$200,$G131)&gt;0,
     COUNTIFS($AA$2:$AA$200,$G131)&gt;0,
     COUNTIFS($AB$2:$AB$200,$G131)&gt;0,
     COUNTIFS($AC$2:$AC$200,$G131)&gt;0,
     COUNTIFS($AD$2:$AD$200,$G131)&gt;0,
     COUNTIFS($AE$2:$AE$200,$G131)&gt;0,
     COUNTIFS($AF$2:$AF$200,$G131)&gt;0,
     COUNTIFS($AG$2:$AG$200,$G131)&gt;0,
     COUNTIFS($AH$2:$AH$200,$G131)&gt;0,
     COUNTIFS($AI$2:$AI$200,$G131)&gt;0,
     COUNTIFS($AJ$2:$AJ$200,$G131)&gt;0,
     COUNTIFS($AK$2:$AK$200,$G131)&gt;0,
     COUNTIFS($AL$2:$AL$200,$G131)&gt;0,
     COUNTIFS($AM$2:$AM$200,$G131)&gt;0,
     COUNTIFS($AN$2:$AN$200,$G131)&gt;0,
     COUNTIFS($AO$2:$AO$200,$G131)&gt;0,
     COUNTIFS($AP$2:$AP$200,$G131)&gt;0,
     COUNTIFS($AQ$2:$AQ$200,$G131)&gt;0,
     COUNTIFS($AR$2:$AR$200,$G131)&gt;0,
     COUNTIFS($AS$2:$AS$200,$G131)&gt;0,
     COUNTIFS($AT$2:$AT$200,$G131)&gt;0,
     COUNTIFS($AU$2:$AU$200,$G131)&gt;0,
     COUNTIFS($AV$2:$AV$200,$G131)&gt;0,
     COUNTIFS($AW$2:$AW$200,$G131)&gt;0,
     COUNTIFS($AX$2:$AX$200,$G131)&gt;0
   )),
  ),
  4
 ),
"")</f>
        <v/>
      </c>
      <c r="G131" t="str">
        <f ca="1"/>
        <v>Inventors' Fair</v>
      </c>
      <c r="CB131" t="str">
        <f ca="1"/>
        <v>Surgespanner</v>
      </c>
      <c r="CG131" t="str">
        <f ca="1"/>
        <v>Mistrise Village</v>
      </c>
      <c r="CJ131" t="str">
        <f ca="1"/>
        <v>Inventors' Fair</v>
      </c>
    </row>
    <row r="132" spans="1:88" x14ac:dyDescent="0.25">
      <c r="A132" s="3" t="str">
        <f t="shared" ca="1" si="6"/>
        <v>2</v>
      </c>
      <c r="B132" s="3">
        <f t="shared" ca="1" si="7"/>
        <v>1</v>
      </c>
      <c r="C132" s="3" t="str">
        <f ca="1">IFERROR(
 INDEX($U$1:$AX$1,
  MATCH(TRUE,
   CHOOSE({1;2;3;4;5;6;7;8;9;10;11;12;13;14;15;16;17;18;19;20;21;22;23;24;25;26;27;28;29;30;31;32},
    COUNTIFS($U$2:$U$200,$G132)&gt;0,
    COUNTIFS($V$2:$V$200,$G132)&gt;0,
    COUNTIFS($W$2:$W$200,$G132)&gt;0,
    COUNTIFS($X$2:$X$200,$G132)&gt;0,
    COUNTIFS($Y$2:$Y$200,$G132)&gt;0,
    COUNTIFS($Z$2:$Z$200,$G132)&gt;0,
    COUNTIFS($AA$2:$AA$200,$G132)&gt;0,
    COUNTIFS($AB$2:$AB$200,$G132)&gt;0,
    COUNTIFS($AC$2:$AC$200,$G132)&gt;0,
    COUNTIFS($AD$2:$AD$200,$G132)&gt;0,
    COUNTIFS($AE$2:$AE$200,$G132)&gt;0,
    COUNTIFS($AF$2:$AF$200,$G132)&gt;0,
    COUNTIFS($AG$2:$AG$200,$G132)&gt;0,
    COUNTIFS($AH$2:$AH$200,$G132)&gt;0,
    COUNTIFS($AI$2:$AI$200,$G132)&gt;0,
    COUNTIFS($AJ$2:$AJ$200,$G132)&gt;0,
    COUNTIFS($AK$2:$AK$200,$G132)&gt;0,
    COUNTIFS($AL$2:$AL$200,$G132)&gt;0,
    COUNTIFS($AM$2:$AM$200,$G132)&gt;0,
    COUNTIFS($AN$2:$AN$200,$G132)&gt;0,
    COUNTIFS($AO$2:$AO$200,$G132)&gt;0,
    COUNTIFS($AP$2:$AP$200,$G132)&gt;0,
    COUNTIFS($AQ$2:$AQ$200,$G132)&gt;0,
    COUNTIFS($AR$2:$AR$200,$G132)&gt;0,
    COUNTIFS($AS$2:$AS$200,$G132)&gt;0,
    COUNTIFS($AT$2:$AT$200,$G132)&gt;0,
    COUNTIFS($AU$2:$AU$200,$G132)&gt;0,
    COUNTIFS($AV$2:$AV$200,$G132)&gt;0,
    COUNTIFS($AW$2:$AW$200,$G132)&gt;0,
    COUNTIFS($AX$2:$AX$200,$G132)&gt;0
   ),
  0)
 ),
"")</f>
        <v>Narset</v>
      </c>
      <c r="D132" s="3" t="str" cm="1">
        <f t="array" aca="1" ref="D132" ca="1">IFERROR(
 INDEX(
  _xlfn._xlws.FILTER($U$1:$AX$1,
   TRANSPOSE(
    CHOOSE({1;2;3;4;5;6;7;8;9;10;11;12;13;14;15;16;17;18;19;20;21;22;23;24;25;26;27;28;29;30},
     COUNTIFS($U$2:$U$200,$G132)&gt;0,
     COUNTIFS($V$2:$V$200,$G132)&gt;0,
     COUNTIFS($W$2:$W$200,$G132)&gt;0,
     COUNTIFS($X$2:$X$200,$G132)&gt;0,
     COUNTIFS($Y$2:$Y$200,$G132)&gt;0,
     COUNTIFS($Z$2:$Z$200,$G132)&gt;0,
     COUNTIFS($AA$2:$AA$200,$G132)&gt;0,
     COUNTIFS($AB$2:$AB$200,$G132)&gt;0,
     COUNTIFS($AC$2:$AC$200,$G132)&gt;0,
     COUNTIFS($AD$2:$AD$200,$G132)&gt;0,
     COUNTIFS($AE$2:$AE$200,$G132)&gt;0,
     COUNTIFS($AF$2:$AF$200,$G132)&gt;0,
     COUNTIFS($AG$2:$AG$200,$G132)&gt;0,
     COUNTIFS($AH$2:$AH$200,$G132)&gt;0,
     COUNTIFS($AI$2:$AI$200,$G132)&gt;0,
     COUNTIFS($AJ$2:$AJ$200,$G132)&gt;0,
     COUNTIFS($AK$2:$AK$200,$G132)&gt;0,
     COUNTIFS($AL$2:$AL$200,$G132)&gt;0,
     COUNTIFS($AM$2:$AM$200,$G132)&gt;0,
     COUNTIFS($AN$2:$AN$200,$G132)&gt;0,
     COUNTIFS($AO$2:$AO$200,$G132)&gt;0,
     COUNTIFS($AP$2:$AP$200,$G132)&gt;0,
     COUNTIFS($AQ$2:$AQ$200,$G132)&gt;0,
     COUNTIFS($AR$2:$AR$200,$G132)&gt;0,
     COUNTIFS($AS$2:$AS$200,$G132)&gt;0,
     COUNTIFS($AT$2:$AT$200,$G132)&gt;0,
     COUNTIFS($AU$2:$AU$200,$G132)&gt;0,
     COUNTIFS($AV$2:$AV$200,$G132)&gt;0,
     COUNTIFS($AW$2:$AW$200,$G132)&gt;0,
     COUNTIFS($AX$2:$AX$200,$G132)&gt;0
   )),
  ),
  2
 ),
"")</f>
        <v/>
      </c>
      <c r="E132" s="3" t="str" cm="1">
        <f t="array" aca="1" ref="E132" ca="1">IFERROR(
 INDEX(
  _xlfn._xlws.FILTER($U$1:$AX$1,
   TRANSPOSE(
    CHOOSE({1;2;3;4;5;6;7;8;9;10;11;12;13;14;15;16;17;18;19;20;21;22;23;24;25;26;27;28;29;30},
     COUNTIFS($U$2:$U$200,$G132)&gt;0,
     COUNTIFS($V$2:$V$200,$G132)&gt;0,
     COUNTIFS($W$2:$W$200,$G132)&gt;0,
     COUNTIFS($X$2:$X$200,$G132)&gt;0,
     COUNTIFS($Y$2:$Y$200,$G132)&gt;0,
     COUNTIFS($Z$2:$Z$200,$G132)&gt;0,
     COUNTIFS($AA$2:$AA$200,$G132)&gt;0,
     COUNTIFS($AB$2:$AB$200,$G132)&gt;0,
     COUNTIFS($AC$2:$AC$200,$G132)&gt;0,
     COUNTIFS($AD$2:$AD$200,$G132)&gt;0,
     COUNTIFS($AE$2:$AE$200,$G132)&gt;0,
     COUNTIFS($AF$2:$AF$200,$G132)&gt;0,
     COUNTIFS($AG$2:$AG$200,$G132)&gt;0,
     COUNTIFS($AH$2:$AH$200,$G132)&gt;0,
     COUNTIFS($AI$2:$AI$200,$G132)&gt;0,
     COUNTIFS($AJ$2:$AJ$200,$G132)&gt;0,
     COUNTIFS($AK$2:$AK$200,$G132)&gt;0,
     COUNTIFS($AL$2:$AL$200,$G132)&gt;0,
     COUNTIFS($AM$2:$AM$200,$G132)&gt;0,
     COUNTIFS($AN$2:$AN$200,$G132)&gt;0,
     COUNTIFS($AO$2:$AO$200,$G132)&gt;0,
     COUNTIFS($AP$2:$AP$200,$G132)&gt;0,
     COUNTIFS($AQ$2:$AQ$200,$G132)&gt;0,
     COUNTIFS($AR$2:$AR$200,$G132)&gt;0,
     COUNTIFS($AS$2:$AS$200,$G132)&gt;0,
     COUNTIFS($AT$2:$AT$200,$G132)&gt;0,
     COUNTIFS($AU$2:$AU$200,$G132)&gt;0,
     COUNTIFS($AV$2:$AV$200,$G132)&gt;0,
     COUNTIFS($AW$2:$AW$200,$G132)&gt;0,
     COUNTIFS($AX$2:$AX$200,$G132)&gt;0
   )),
  ),
  3
 ),
"")</f>
        <v/>
      </c>
      <c r="F132" s="3" t="str" cm="1">
        <f t="array" aca="1" ref="F132" ca="1">IFERROR(
 INDEX(
  _xlfn._xlws.FILTER($U$1:$AX$1,
   TRANSPOSE(
    CHOOSE({1;2;3;4;5;6;7;8;9;10;11;12;13;14;15;16;17;18;19;20;21;22;23;24;25;26;27;28;29;30},
     COUNTIFS($U$2:$U$200,$G132)&gt;0,
     COUNTIFS($V$2:$V$200,$G132)&gt;0,
     COUNTIFS($W$2:$W$200,$G132)&gt;0,
     COUNTIFS($X$2:$X$200,$G132)&gt;0,
     COUNTIFS($Y$2:$Y$200,$G132)&gt;0,
     COUNTIFS($Z$2:$Z$200,$G132)&gt;0,
     COUNTIFS($AA$2:$AA$200,$G132)&gt;0,
     COUNTIFS($AB$2:$AB$200,$G132)&gt;0,
     COUNTIFS($AC$2:$AC$200,$G132)&gt;0,
     COUNTIFS($AD$2:$AD$200,$G132)&gt;0,
     COUNTIFS($AE$2:$AE$200,$G132)&gt;0,
     COUNTIFS($AF$2:$AF$200,$G132)&gt;0,
     COUNTIFS($AG$2:$AG$200,$G132)&gt;0,
     COUNTIFS($AH$2:$AH$200,$G132)&gt;0,
     COUNTIFS($AI$2:$AI$200,$G132)&gt;0,
     COUNTIFS($AJ$2:$AJ$200,$G132)&gt;0,
     COUNTIFS($AK$2:$AK$200,$G132)&gt;0,
     COUNTIFS($AL$2:$AL$200,$G132)&gt;0,
     COUNTIFS($AM$2:$AM$200,$G132)&gt;0,
     COUNTIFS($AN$2:$AN$200,$G132)&gt;0,
     COUNTIFS($AO$2:$AO$200,$G132)&gt;0,
     COUNTIFS($AP$2:$AP$200,$G132)&gt;0,
     COUNTIFS($AQ$2:$AQ$200,$G132)&gt;0,
     COUNTIFS($AR$2:$AR$200,$G132)&gt;0,
     COUNTIFS($AS$2:$AS$200,$G132)&gt;0,
     COUNTIFS($AT$2:$AT$200,$G132)&gt;0,
     COUNTIFS($AU$2:$AU$200,$G132)&gt;0,
     COUNTIFS($AV$2:$AV$200,$G132)&gt;0,
     COUNTIFS($AW$2:$AW$200,$G132)&gt;0,
     COUNTIFS($AX$2:$AX$200,$G132)&gt;0
   )),
  ),
  4
 ),
"")</f>
        <v/>
      </c>
      <c r="G132" t="str">
        <f ca="1"/>
        <v>Irenicus's Vile Duplication</v>
      </c>
      <c r="CB132" t="str">
        <f ca="1"/>
        <v>Takenuma, Charco Abandonado</v>
      </c>
      <c r="CG132" t="str">
        <f ca="1"/>
        <v>Misty Rainforest</v>
      </c>
      <c r="CJ132" t="str">
        <f ca="1"/>
        <v>Irenicus's Vile Duplication</v>
      </c>
    </row>
    <row r="133" spans="1:88" x14ac:dyDescent="0.25">
      <c r="A133" s="3" t="str">
        <f t="shared" ca="1" si="6"/>
        <v>2</v>
      </c>
      <c r="B133" s="3">
        <f t="shared" ca="1" si="7"/>
        <v>1</v>
      </c>
      <c r="C133" s="3" t="str">
        <f ca="1">IFERROR(
 INDEX($U$1:$AX$1,
  MATCH(TRUE,
   CHOOSE({1;2;3;4;5;6;7;8;9;10;11;12;13;14;15;16;17;18;19;20;21;22;23;24;25;26;27;28;29;30;31;32},
    COUNTIFS($U$2:$U$200,$G133)&gt;0,
    COUNTIFS($V$2:$V$200,$G133)&gt;0,
    COUNTIFS($W$2:$W$200,$G133)&gt;0,
    COUNTIFS($X$2:$X$200,$G133)&gt;0,
    COUNTIFS($Y$2:$Y$200,$G133)&gt;0,
    COUNTIFS($Z$2:$Z$200,$G133)&gt;0,
    COUNTIFS($AA$2:$AA$200,$G133)&gt;0,
    COUNTIFS($AB$2:$AB$200,$G133)&gt;0,
    COUNTIFS($AC$2:$AC$200,$G133)&gt;0,
    COUNTIFS($AD$2:$AD$200,$G133)&gt;0,
    COUNTIFS($AE$2:$AE$200,$G133)&gt;0,
    COUNTIFS($AF$2:$AF$200,$G133)&gt;0,
    COUNTIFS($AG$2:$AG$200,$G133)&gt;0,
    COUNTIFS($AH$2:$AH$200,$G133)&gt;0,
    COUNTIFS($AI$2:$AI$200,$G133)&gt;0,
    COUNTIFS($AJ$2:$AJ$200,$G133)&gt;0,
    COUNTIFS($AK$2:$AK$200,$G133)&gt;0,
    COUNTIFS($AL$2:$AL$200,$G133)&gt;0,
    COUNTIFS($AM$2:$AM$200,$G133)&gt;0,
    COUNTIFS($AN$2:$AN$200,$G133)&gt;0,
    COUNTIFS($AO$2:$AO$200,$G133)&gt;0,
    COUNTIFS($AP$2:$AP$200,$G133)&gt;0,
    COUNTIFS($AQ$2:$AQ$200,$G133)&gt;0,
    COUNTIFS($AR$2:$AR$200,$G133)&gt;0,
    COUNTIFS($AS$2:$AS$200,$G133)&gt;0,
    COUNTIFS($AT$2:$AT$200,$G133)&gt;0,
    COUNTIFS($AU$2:$AU$200,$G133)&gt;0,
    COUNTIFS($AV$2:$AV$200,$G133)&gt;0,
    COUNTIFS($AW$2:$AW$200,$G133)&gt;0,
    COUNTIFS($AX$2:$AX$200,$G133)&gt;0
   ),
  0)
 ),
"")</f>
        <v>Baylen</v>
      </c>
      <c r="D133" s="3" t="str" cm="1">
        <f t="array" aca="1" ref="D133" ca="1">IFERROR(
 INDEX(
  _xlfn._xlws.FILTER($U$1:$AX$1,
   TRANSPOSE(
    CHOOSE({1;2;3;4;5;6;7;8;9;10;11;12;13;14;15;16;17;18;19;20;21;22;23;24;25;26;27;28;29;30},
     COUNTIFS($U$2:$U$200,$G133)&gt;0,
     COUNTIFS($V$2:$V$200,$G133)&gt;0,
     COUNTIFS($W$2:$W$200,$G133)&gt;0,
     COUNTIFS($X$2:$X$200,$G133)&gt;0,
     COUNTIFS($Y$2:$Y$200,$G133)&gt;0,
     COUNTIFS($Z$2:$Z$200,$G133)&gt;0,
     COUNTIFS($AA$2:$AA$200,$G133)&gt;0,
     COUNTIFS($AB$2:$AB$200,$G133)&gt;0,
     COUNTIFS($AC$2:$AC$200,$G133)&gt;0,
     COUNTIFS($AD$2:$AD$200,$G133)&gt;0,
     COUNTIFS($AE$2:$AE$200,$G133)&gt;0,
     COUNTIFS($AF$2:$AF$200,$G133)&gt;0,
     COUNTIFS($AG$2:$AG$200,$G133)&gt;0,
     COUNTIFS($AH$2:$AH$200,$G133)&gt;0,
     COUNTIFS($AI$2:$AI$200,$G133)&gt;0,
     COUNTIFS($AJ$2:$AJ$200,$G133)&gt;0,
     COUNTIFS($AK$2:$AK$200,$G133)&gt;0,
     COUNTIFS($AL$2:$AL$200,$G133)&gt;0,
     COUNTIFS($AM$2:$AM$200,$G133)&gt;0,
     COUNTIFS($AN$2:$AN$200,$G133)&gt;0,
     COUNTIFS($AO$2:$AO$200,$G133)&gt;0,
     COUNTIFS($AP$2:$AP$200,$G133)&gt;0,
     COUNTIFS($AQ$2:$AQ$200,$G133)&gt;0,
     COUNTIFS($AR$2:$AR$200,$G133)&gt;0,
     COUNTIFS($AS$2:$AS$200,$G133)&gt;0,
     COUNTIFS($AT$2:$AT$200,$G133)&gt;0,
     COUNTIFS($AU$2:$AU$200,$G133)&gt;0,
     COUNTIFS($AV$2:$AV$200,$G133)&gt;0,
     COUNTIFS($AW$2:$AW$200,$G133)&gt;0,
     COUNTIFS($AX$2:$AX$200,$G133)&gt;0
   )),
  ),
  2
 ),
"")</f>
        <v/>
      </c>
      <c r="E133" s="3" t="str" cm="1">
        <f t="array" aca="1" ref="E133" ca="1">IFERROR(
 INDEX(
  _xlfn._xlws.FILTER($U$1:$AX$1,
   TRANSPOSE(
    CHOOSE({1;2;3;4;5;6;7;8;9;10;11;12;13;14;15;16;17;18;19;20;21;22;23;24;25;26;27;28;29;30},
     COUNTIFS($U$2:$U$200,$G133)&gt;0,
     COUNTIFS($V$2:$V$200,$G133)&gt;0,
     COUNTIFS($W$2:$W$200,$G133)&gt;0,
     COUNTIFS($X$2:$X$200,$G133)&gt;0,
     COUNTIFS($Y$2:$Y$200,$G133)&gt;0,
     COUNTIFS($Z$2:$Z$200,$G133)&gt;0,
     COUNTIFS($AA$2:$AA$200,$G133)&gt;0,
     COUNTIFS($AB$2:$AB$200,$G133)&gt;0,
     COUNTIFS($AC$2:$AC$200,$G133)&gt;0,
     COUNTIFS($AD$2:$AD$200,$G133)&gt;0,
     COUNTIFS($AE$2:$AE$200,$G133)&gt;0,
     COUNTIFS($AF$2:$AF$200,$G133)&gt;0,
     COUNTIFS($AG$2:$AG$200,$G133)&gt;0,
     COUNTIFS($AH$2:$AH$200,$G133)&gt;0,
     COUNTIFS($AI$2:$AI$200,$G133)&gt;0,
     COUNTIFS($AJ$2:$AJ$200,$G133)&gt;0,
     COUNTIFS($AK$2:$AK$200,$G133)&gt;0,
     COUNTIFS($AL$2:$AL$200,$G133)&gt;0,
     COUNTIFS($AM$2:$AM$200,$G133)&gt;0,
     COUNTIFS($AN$2:$AN$200,$G133)&gt;0,
     COUNTIFS($AO$2:$AO$200,$G133)&gt;0,
     COUNTIFS($AP$2:$AP$200,$G133)&gt;0,
     COUNTIFS($AQ$2:$AQ$200,$G133)&gt;0,
     COUNTIFS($AR$2:$AR$200,$G133)&gt;0,
     COUNTIFS($AS$2:$AS$200,$G133)&gt;0,
     COUNTIFS($AT$2:$AT$200,$G133)&gt;0,
     COUNTIFS($AU$2:$AU$200,$G133)&gt;0,
     COUNTIFS($AV$2:$AV$200,$G133)&gt;0,
     COUNTIFS($AW$2:$AW$200,$G133)&gt;0,
     COUNTIFS($AX$2:$AX$200,$G133)&gt;0
   )),
  ),
  3
 ),
"")</f>
        <v/>
      </c>
      <c r="F133" s="3" t="str" cm="1">
        <f t="array" aca="1" ref="F133" ca="1">IFERROR(
 INDEX(
  _xlfn._xlws.FILTER($U$1:$AX$1,
   TRANSPOSE(
    CHOOSE({1;2;3;4;5;6;7;8;9;10;11;12;13;14;15;16;17;18;19;20;21;22;23;24;25;26;27;28;29;30},
     COUNTIFS($U$2:$U$200,$G133)&gt;0,
     COUNTIFS($V$2:$V$200,$G133)&gt;0,
     COUNTIFS($W$2:$W$200,$G133)&gt;0,
     COUNTIFS($X$2:$X$200,$G133)&gt;0,
     COUNTIFS($Y$2:$Y$200,$G133)&gt;0,
     COUNTIFS($Z$2:$Z$200,$G133)&gt;0,
     COUNTIFS($AA$2:$AA$200,$G133)&gt;0,
     COUNTIFS($AB$2:$AB$200,$G133)&gt;0,
     COUNTIFS($AC$2:$AC$200,$G133)&gt;0,
     COUNTIFS($AD$2:$AD$200,$G133)&gt;0,
     COUNTIFS($AE$2:$AE$200,$G133)&gt;0,
     COUNTIFS($AF$2:$AF$200,$G133)&gt;0,
     COUNTIFS($AG$2:$AG$200,$G133)&gt;0,
     COUNTIFS($AH$2:$AH$200,$G133)&gt;0,
     COUNTIFS($AI$2:$AI$200,$G133)&gt;0,
     COUNTIFS($AJ$2:$AJ$200,$G133)&gt;0,
     COUNTIFS($AK$2:$AK$200,$G133)&gt;0,
     COUNTIFS($AL$2:$AL$200,$G133)&gt;0,
     COUNTIFS($AM$2:$AM$200,$G133)&gt;0,
     COUNTIFS($AN$2:$AN$200,$G133)&gt;0,
     COUNTIFS($AO$2:$AO$200,$G133)&gt;0,
     COUNTIFS($AP$2:$AP$200,$G133)&gt;0,
     COUNTIFS($AQ$2:$AQ$200,$G133)&gt;0,
     COUNTIFS($AR$2:$AR$200,$G133)&gt;0,
     COUNTIFS($AS$2:$AS$200,$G133)&gt;0,
     COUNTIFS($AT$2:$AT$200,$G133)&gt;0,
     COUNTIFS($AU$2:$AU$200,$G133)&gt;0,
     COUNTIFS($AV$2:$AV$200,$G133)&gt;0,
     COUNTIFS($AW$2:$AW$200,$G133)&gt;0,
     COUNTIFS($AX$2:$AX$200,$G133)&gt;0
   )),
  ),
  4
 ),
"")</f>
        <v/>
      </c>
      <c r="G133" t="str">
        <f ca="1"/>
        <v>Jacked Rabbit</v>
      </c>
      <c r="CB133" t="str">
        <f ca="1"/>
        <v>Tayam, Luminous Enigma</v>
      </c>
      <c r="CG133" t="str">
        <f ca="1"/>
        <v>Molten Echoes</v>
      </c>
      <c r="CJ133" t="str">
        <f ca="1"/>
        <v>Jacked Rabbit</v>
      </c>
    </row>
    <row r="134" spans="1:88" x14ac:dyDescent="0.25">
      <c r="A134" s="3" t="str">
        <f t="shared" ca="1" si="6"/>
        <v>3</v>
      </c>
      <c r="B134" s="3">
        <f t="shared" ca="1" si="7"/>
        <v>1</v>
      </c>
      <c r="C134" s="3" t="str">
        <f ca="1">IFERROR(
 INDEX($U$1:$AX$1,
  MATCH(TRUE,
   CHOOSE({1;2;3;4;5;6;7;8;9;10;11;12;13;14;15;16;17;18;19;20;21;22;23;24;25;26;27;28;29;30;31;32},
    COUNTIFS($U$2:$U$200,$G134)&gt;0,
    COUNTIFS($V$2:$V$200,$G134)&gt;0,
    COUNTIFS($W$2:$W$200,$G134)&gt;0,
    COUNTIFS($X$2:$X$200,$G134)&gt;0,
    COUNTIFS($Y$2:$Y$200,$G134)&gt;0,
    COUNTIFS($Z$2:$Z$200,$G134)&gt;0,
    COUNTIFS($AA$2:$AA$200,$G134)&gt;0,
    COUNTIFS($AB$2:$AB$200,$G134)&gt;0,
    COUNTIFS($AC$2:$AC$200,$G134)&gt;0,
    COUNTIFS($AD$2:$AD$200,$G134)&gt;0,
    COUNTIFS($AE$2:$AE$200,$G134)&gt;0,
    COUNTIFS($AF$2:$AF$200,$G134)&gt;0,
    COUNTIFS($AG$2:$AG$200,$G134)&gt;0,
    COUNTIFS($AH$2:$AH$200,$G134)&gt;0,
    COUNTIFS($AI$2:$AI$200,$G134)&gt;0,
    COUNTIFS($AJ$2:$AJ$200,$G134)&gt;0,
    COUNTIFS($AK$2:$AK$200,$G134)&gt;0,
    COUNTIFS($AL$2:$AL$200,$G134)&gt;0,
    COUNTIFS($AM$2:$AM$200,$G134)&gt;0,
    COUNTIFS($AN$2:$AN$200,$G134)&gt;0,
    COUNTIFS($AO$2:$AO$200,$G134)&gt;0,
    COUNTIFS($AP$2:$AP$200,$G134)&gt;0,
    COUNTIFS($AQ$2:$AQ$200,$G134)&gt;0,
    COUNTIFS($AR$2:$AR$200,$G134)&gt;0,
    COUNTIFS($AS$2:$AS$200,$G134)&gt;0,
    COUNTIFS($AT$2:$AT$200,$G134)&gt;0,
    COUNTIFS($AU$2:$AU$200,$G134)&gt;0,
    COUNTIFS($AV$2:$AV$200,$G134)&gt;0,
    COUNTIFS($AW$2:$AW$200,$G134)&gt;0,
    COUNTIFS($AX$2:$AX$200,$G134)&gt;0
   ),
  0)
 ),
"")</f>
        <v>Zimone</v>
      </c>
      <c r="D134" s="3" t="str" cm="1">
        <f t="array" aca="1" ref="D134" ca="1">IFERROR(
 INDEX(
  _xlfn._xlws.FILTER($U$1:$AX$1,
   TRANSPOSE(
    CHOOSE({1;2;3;4;5;6;7;8;9;10;11;12;13;14;15;16;17;18;19;20;21;22;23;24;25;26;27;28;29;30},
     COUNTIFS($U$2:$U$200,$G134)&gt;0,
     COUNTIFS($V$2:$V$200,$G134)&gt;0,
     COUNTIFS($W$2:$W$200,$G134)&gt;0,
     COUNTIFS($X$2:$X$200,$G134)&gt;0,
     COUNTIFS($Y$2:$Y$200,$G134)&gt;0,
     COUNTIFS($Z$2:$Z$200,$G134)&gt;0,
     COUNTIFS($AA$2:$AA$200,$G134)&gt;0,
     COUNTIFS($AB$2:$AB$200,$G134)&gt;0,
     COUNTIFS($AC$2:$AC$200,$G134)&gt;0,
     COUNTIFS($AD$2:$AD$200,$G134)&gt;0,
     COUNTIFS($AE$2:$AE$200,$G134)&gt;0,
     COUNTIFS($AF$2:$AF$200,$G134)&gt;0,
     COUNTIFS($AG$2:$AG$200,$G134)&gt;0,
     COUNTIFS($AH$2:$AH$200,$G134)&gt;0,
     COUNTIFS($AI$2:$AI$200,$G134)&gt;0,
     COUNTIFS($AJ$2:$AJ$200,$G134)&gt;0,
     COUNTIFS($AK$2:$AK$200,$G134)&gt;0,
     COUNTIFS($AL$2:$AL$200,$G134)&gt;0,
     COUNTIFS($AM$2:$AM$200,$G134)&gt;0,
     COUNTIFS($AN$2:$AN$200,$G134)&gt;0,
     COUNTIFS($AO$2:$AO$200,$G134)&gt;0,
     COUNTIFS($AP$2:$AP$200,$G134)&gt;0,
     COUNTIFS($AQ$2:$AQ$200,$G134)&gt;0,
     COUNTIFS($AR$2:$AR$200,$G134)&gt;0,
     COUNTIFS($AS$2:$AS$200,$G134)&gt;0,
     COUNTIFS($AT$2:$AT$200,$G134)&gt;0,
     COUNTIFS($AU$2:$AU$200,$G134)&gt;0,
     COUNTIFS($AV$2:$AV$200,$G134)&gt;0,
     COUNTIFS($AW$2:$AW$200,$G134)&gt;0,
     COUNTIFS($AX$2:$AX$200,$G134)&gt;0
   )),
  ),
  2
 ),
"")</f>
        <v/>
      </c>
      <c r="E134" s="3" t="str" cm="1">
        <f t="array" aca="1" ref="E134" ca="1">IFERROR(
 INDEX(
  _xlfn._xlws.FILTER($U$1:$AX$1,
   TRANSPOSE(
    CHOOSE({1;2;3;4;5;6;7;8;9;10;11;12;13;14;15;16;17;18;19;20;21;22;23;24;25;26;27;28;29;30},
     COUNTIFS($U$2:$U$200,$G134)&gt;0,
     COUNTIFS($V$2:$V$200,$G134)&gt;0,
     COUNTIFS($W$2:$W$200,$G134)&gt;0,
     COUNTIFS($X$2:$X$200,$G134)&gt;0,
     COUNTIFS($Y$2:$Y$200,$G134)&gt;0,
     COUNTIFS($Z$2:$Z$200,$G134)&gt;0,
     COUNTIFS($AA$2:$AA$200,$G134)&gt;0,
     COUNTIFS($AB$2:$AB$200,$G134)&gt;0,
     COUNTIFS($AC$2:$AC$200,$G134)&gt;0,
     COUNTIFS($AD$2:$AD$200,$G134)&gt;0,
     COUNTIFS($AE$2:$AE$200,$G134)&gt;0,
     COUNTIFS($AF$2:$AF$200,$G134)&gt;0,
     COUNTIFS($AG$2:$AG$200,$G134)&gt;0,
     COUNTIFS($AH$2:$AH$200,$G134)&gt;0,
     COUNTIFS($AI$2:$AI$200,$G134)&gt;0,
     COUNTIFS($AJ$2:$AJ$200,$G134)&gt;0,
     COUNTIFS($AK$2:$AK$200,$G134)&gt;0,
     COUNTIFS($AL$2:$AL$200,$G134)&gt;0,
     COUNTIFS($AM$2:$AM$200,$G134)&gt;0,
     COUNTIFS($AN$2:$AN$200,$G134)&gt;0,
     COUNTIFS($AO$2:$AO$200,$G134)&gt;0,
     COUNTIFS($AP$2:$AP$200,$G134)&gt;0,
     COUNTIFS($AQ$2:$AQ$200,$G134)&gt;0,
     COUNTIFS($AR$2:$AR$200,$G134)&gt;0,
     COUNTIFS($AS$2:$AS$200,$G134)&gt;0,
     COUNTIFS($AT$2:$AT$200,$G134)&gt;0,
     COUNTIFS($AU$2:$AU$200,$G134)&gt;0,
     COUNTIFS($AV$2:$AV$200,$G134)&gt;0,
     COUNTIFS($AW$2:$AW$200,$G134)&gt;0,
     COUNTIFS($AX$2:$AX$200,$G134)&gt;0
   )),
  ),
  3
 ),
"")</f>
        <v/>
      </c>
      <c r="F134" s="3" t="str" cm="1">
        <f t="array" aca="1" ref="F134" ca="1">IFERROR(
 INDEX(
  _xlfn._xlws.FILTER($U$1:$AX$1,
   TRANSPOSE(
    CHOOSE({1;2;3;4;5;6;7;8;9;10;11;12;13;14;15;16;17;18;19;20;21;22;23;24;25;26;27;28;29;30},
     COUNTIFS($U$2:$U$200,$G134)&gt;0,
     COUNTIFS($V$2:$V$200,$G134)&gt;0,
     COUNTIFS($W$2:$W$200,$G134)&gt;0,
     COUNTIFS($X$2:$X$200,$G134)&gt;0,
     COUNTIFS($Y$2:$Y$200,$G134)&gt;0,
     COUNTIFS($Z$2:$Z$200,$G134)&gt;0,
     COUNTIFS($AA$2:$AA$200,$G134)&gt;0,
     COUNTIFS($AB$2:$AB$200,$G134)&gt;0,
     COUNTIFS($AC$2:$AC$200,$G134)&gt;0,
     COUNTIFS($AD$2:$AD$200,$G134)&gt;0,
     COUNTIFS($AE$2:$AE$200,$G134)&gt;0,
     COUNTIFS($AF$2:$AF$200,$G134)&gt;0,
     COUNTIFS($AG$2:$AG$200,$G134)&gt;0,
     COUNTIFS($AH$2:$AH$200,$G134)&gt;0,
     COUNTIFS($AI$2:$AI$200,$G134)&gt;0,
     COUNTIFS($AJ$2:$AJ$200,$G134)&gt;0,
     COUNTIFS($AK$2:$AK$200,$G134)&gt;0,
     COUNTIFS($AL$2:$AL$200,$G134)&gt;0,
     COUNTIFS($AM$2:$AM$200,$G134)&gt;0,
     COUNTIFS($AN$2:$AN$200,$G134)&gt;0,
     COUNTIFS($AO$2:$AO$200,$G134)&gt;0,
     COUNTIFS($AP$2:$AP$200,$G134)&gt;0,
     COUNTIFS($AQ$2:$AQ$200,$G134)&gt;0,
     COUNTIFS($AR$2:$AR$200,$G134)&gt;0,
     COUNTIFS($AS$2:$AS$200,$G134)&gt;0,
     COUNTIFS($AT$2:$AT$200,$G134)&gt;0,
     COUNTIFS($AU$2:$AU$200,$G134)&gt;0,
     COUNTIFS($AV$2:$AV$200,$G134)&gt;0,
     COUNTIFS($AW$2:$AW$200,$G134)&gt;0,
     COUNTIFS($AX$2:$AX$200,$G134)&gt;0
   )),
  ),
  4
 ),
"")</f>
        <v/>
      </c>
      <c r="G134" t="str">
        <f ca="1"/>
        <v>Jadar, Ghoulcaller of Nephalia</v>
      </c>
      <c r="CB134" t="str">
        <f ca="1"/>
        <v>Teferi's Ageless Insight</v>
      </c>
      <c r="CG134" t="str">
        <f ca="1"/>
        <v>Monastery Siege</v>
      </c>
      <c r="CJ134" t="str">
        <f ca="1"/>
        <v>Jadar, Ghoulcaller of Nephalia</v>
      </c>
    </row>
    <row r="135" spans="1:88" x14ac:dyDescent="0.25">
      <c r="A135" s="3" t="str">
        <f t="shared" ca="1" si="6"/>
        <v>4</v>
      </c>
      <c r="B135" s="3">
        <f t="shared" ca="1" si="7"/>
        <v>1</v>
      </c>
      <c r="C135" s="3" t="str">
        <f ca="1">IFERROR(
 INDEX($U$1:$AX$1,
  MATCH(TRUE,
   CHOOSE({1;2;3;4;5;6;7;8;9;10;11;12;13;14;15;16;17;18;19;20;21;22;23;24;25;26;27;28;29;30;31;32},
    COUNTIFS($U$2:$U$200,$G135)&gt;0,
    COUNTIFS($V$2:$V$200,$G135)&gt;0,
    COUNTIFS($W$2:$W$200,$G135)&gt;0,
    COUNTIFS($X$2:$X$200,$G135)&gt;0,
    COUNTIFS($Y$2:$Y$200,$G135)&gt;0,
    COUNTIFS($Z$2:$Z$200,$G135)&gt;0,
    COUNTIFS($AA$2:$AA$200,$G135)&gt;0,
    COUNTIFS($AB$2:$AB$200,$G135)&gt;0,
    COUNTIFS($AC$2:$AC$200,$G135)&gt;0,
    COUNTIFS($AD$2:$AD$200,$G135)&gt;0,
    COUNTIFS($AE$2:$AE$200,$G135)&gt;0,
    COUNTIFS($AF$2:$AF$200,$G135)&gt;0,
    COUNTIFS($AG$2:$AG$200,$G135)&gt;0,
    COUNTIFS($AH$2:$AH$200,$G135)&gt;0,
    COUNTIFS($AI$2:$AI$200,$G135)&gt;0,
    COUNTIFS($AJ$2:$AJ$200,$G135)&gt;0,
    COUNTIFS($AK$2:$AK$200,$G135)&gt;0,
    COUNTIFS($AL$2:$AL$200,$G135)&gt;0,
    COUNTIFS($AM$2:$AM$200,$G135)&gt;0,
    COUNTIFS($AN$2:$AN$200,$G135)&gt;0,
    COUNTIFS($AO$2:$AO$200,$G135)&gt;0,
    COUNTIFS($AP$2:$AP$200,$G135)&gt;0,
    COUNTIFS($AQ$2:$AQ$200,$G135)&gt;0,
    COUNTIFS($AR$2:$AR$200,$G135)&gt;0,
    COUNTIFS($AS$2:$AS$200,$G135)&gt;0,
    COUNTIFS($AT$2:$AT$200,$G135)&gt;0,
    COUNTIFS($AU$2:$AU$200,$G135)&gt;0,
    COUNTIFS($AV$2:$AV$200,$G135)&gt;0,
    COUNTIFS($AW$2:$AW$200,$G135)&gt;0,
    COUNTIFS($AX$2:$AX$200,$G135)&gt;0
   ),
  0)
 ),
"")</f>
        <v>Kresh</v>
      </c>
      <c r="D135" s="3" t="str" cm="1">
        <f t="array" aca="1" ref="D135" ca="1">IFERROR(
 INDEX(
  _xlfn._xlws.FILTER($U$1:$AX$1,
   TRANSPOSE(
    CHOOSE({1;2;3;4;5;6;7;8;9;10;11;12;13;14;15;16;17;18;19;20;21;22;23;24;25;26;27;28;29;30},
     COUNTIFS($U$2:$U$200,$G135)&gt;0,
     COUNTIFS($V$2:$V$200,$G135)&gt;0,
     COUNTIFS($W$2:$W$200,$G135)&gt;0,
     COUNTIFS($X$2:$X$200,$G135)&gt;0,
     COUNTIFS($Y$2:$Y$200,$G135)&gt;0,
     COUNTIFS($Z$2:$Z$200,$G135)&gt;0,
     COUNTIFS($AA$2:$AA$200,$G135)&gt;0,
     COUNTIFS($AB$2:$AB$200,$G135)&gt;0,
     COUNTIFS($AC$2:$AC$200,$G135)&gt;0,
     COUNTIFS($AD$2:$AD$200,$G135)&gt;0,
     COUNTIFS($AE$2:$AE$200,$G135)&gt;0,
     COUNTIFS($AF$2:$AF$200,$G135)&gt;0,
     COUNTIFS($AG$2:$AG$200,$G135)&gt;0,
     COUNTIFS($AH$2:$AH$200,$G135)&gt;0,
     COUNTIFS($AI$2:$AI$200,$G135)&gt;0,
     COUNTIFS($AJ$2:$AJ$200,$G135)&gt;0,
     COUNTIFS($AK$2:$AK$200,$G135)&gt;0,
     COUNTIFS($AL$2:$AL$200,$G135)&gt;0,
     COUNTIFS($AM$2:$AM$200,$G135)&gt;0,
     COUNTIFS($AN$2:$AN$200,$G135)&gt;0,
     COUNTIFS($AO$2:$AO$200,$G135)&gt;0,
     COUNTIFS($AP$2:$AP$200,$G135)&gt;0,
     COUNTIFS($AQ$2:$AQ$200,$G135)&gt;0,
     COUNTIFS($AR$2:$AR$200,$G135)&gt;0,
     COUNTIFS($AS$2:$AS$200,$G135)&gt;0,
     COUNTIFS($AT$2:$AT$200,$G135)&gt;0,
     COUNTIFS($AU$2:$AU$200,$G135)&gt;0,
     COUNTIFS($AV$2:$AV$200,$G135)&gt;0,
     COUNTIFS($AW$2:$AW$200,$G135)&gt;0,
     COUNTIFS($AX$2:$AX$200,$G135)&gt;0
   )),
  ),
  2
 ),
"")</f>
        <v/>
      </c>
      <c r="E135" s="3" t="str" cm="1">
        <f t="array" aca="1" ref="E135" ca="1">IFERROR(
 INDEX(
  _xlfn._xlws.FILTER($U$1:$AX$1,
   TRANSPOSE(
    CHOOSE({1;2;3;4;5;6;7;8;9;10;11;12;13;14;15;16;17;18;19;20;21;22;23;24;25;26;27;28;29;30},
     COUNTIFS($U$2:$U$200,$G135)&gt;0,
     COUNTIFS($V$2:$V$200,$G135)&gt;0,
     COUNTIFS($W$2:$W$200,$G135)&gt;0,
     COUNTIFS($X$2:$X$200,$G135)&gt;0,
     COUNTIFS($Y$2:$Y$200,$G135)&gt;0,
     COUNTIFS($Z$2:$Z$200,$G135)&gt;0,
     COUNTIFS($AA$2:$AA$200,$G135)&gt;0,
     COUNTIFS($AB$2:$AB$200,$G135)&gt;0,
     COUNTIFS($AC$2:$AC$200,$G135)&gt;0,
     COUNTIFS($AD$2:$AD$200,$G135)&gt;0,
     COUNTIFS($AE$2:$AE$200,$G135)&gt;0,
     COUNTIFS($AF$2:$AF$200,$G135)&gt;0,
     COUNTIFS($AG$2:$AG$200,$G135)&gt;0,
     COUNTIFS($AH$2:$AH$200,$G135)&gt;0,
     COUNTIFS($AI$2:$AI$200,$G135)&gt;0,
     COUNTIFS($AJ$2:$AJ$200,$G135)&gt;0,
     COUNTIFS($AK$2:$AK$200,$G135)&gt;0,
     COUNTIFS($AL$2:$AL$200,$G135)&gt;0,
     COUNTIFS($AM$2:$AM$200,$G135)&gt;0,
     COUNTIFS($AN$2:$AN$200,$G135)&gt;0,
     COUNTIFS($AO$2:$AO$200,$G135)&gt;0,
     COUNTIFS($AP$2:$AP$200,$G135)&gt;0,
     COUNTIFS($AQ$2:$AQ$200,$G135)&gt;0,
     COUNTIFS($AR$2:$AR$200,$G135)&gt;0,
     COUNTIFS($AS$2:$AS$200,$G135)&gt;0,
     COUNTIFS($AT$2:$AT$200,$G135)&gt;0,
     COUNTIFS($AU$2:$AU$200,$G135)&gt;0,
     COUNTIFS($AV$2:$AV$200,$G135)&gt;0,
     COUNTIFS($AW$2:$AW$200,$G135)&gt;0,
     COUNTIFS($AX$2:$AX$200,$G135)&gt;0
   )),
  ),
  3
 ),
"")</f>
        <v/>
      </c>
      <c r="F135" s="3" t="str" cm="1">
        <f t="array" aca="1" ref="F135" ca="1">IFERROR(
 INDEX(
  _xlfn._xlws.FILTER($U$1:$AX$1,
   TRANSPOSE(
    CHOOSE({1;2;3;4;5;6;7;8;9;10;11;12;13;14;15;16;17;18;19;20;21;22;23;24;25;26;27;28;29;30},
     COUNTIFS($U$2:$U$200,$G135)&gt;0,
     COUNTIFS($V$2:$V$200,$G135)&gt;0,
     COUNTIFS($W$2:$W$200,$G135)&gt;0,
     COUNTIFS($X$2:$X$200,$G135)&gt;0,
     COUNTIFS($Y$2:$Y$200,$G135)&gt;0,
     COUNTIFS($Z$2:$Z$200,$G135)&gt;0,
     COUNTIFS($AA$2:$AA$200,$G135)&gt;0,
     COUNTIFS($AB$2:$AB$200,$G135)&gt;0,
     COUNTIFS($AC$2:$AC$200,$G135)&gt;0,
     COUNTIFS($AD$2:$AD$200,$G135)&gt;0,
     COUNTIFS($AE$2:$AE$200,$G135)&gt;0,
     COUNTIFS($AF$2:$AF$200,$G135)&gt;0,
     COUNTIFS($AG$2:$AG$200,$G135)&gt;0,
     COUNTIFS($AH$2:$AH$200,$G135)&gt;0,
     COUNTIFS($AI$2:$AI$200,$G135)&gt;0,
     COUNTIFS($AJ$2:$AJ$200,$G135)&gt;0,
     COUNTIFS($AK$2:$AK$200,$G135)&gt;0,
     COUNTIFS($AL$2:$AL$200,$G135)&gt;0,
     COUNTIFS($AM$2:$AM$200,$G135)&gt;0,
     COUNTIFS($AN$2:$AN$200,$G135)&gt;0,
     COUNTIFS($AO$2:$AO$200,$G135)&gt;0,
     COUNTIFS($AP$2:$AP$200,$G135)&gt;0,
     COUNTIFS($AQ$2:$AQ$200,$G135)&gt;0,
     COUNTIFS($AR$2:$AR$200,$G135)&gt;0,
     COUNTIFS($AS$2:$AS$200,$G135)&gt;0,
     COUNTIFS($AT$2:$AT$200,$G135)&gt;0,
     COUNTIFS($AU$2:$AU$200,$G135)&gt;0,
     COUNTIFS($AV$2:$AV$200,$G135)&gt;0,
     COUNTIFS($AW$2:$AW$200,$G135)&gt;0,
     COUNTIFS($AX$2:$AX$200,$G135)&gt;0
   )),
  ),
  4
 ),
"")</f>
        <v/>
      </c>
      <c r="G135" t="str">
        <f ca="1"/>
        <v>Jenova, Ancient Calamity</v>
      </c>
      <c r="CB135" t="str">
        <f ca="1"/>
        <v>Teferi's Protection</v>
      </c>
      <c r="CG135" t="str">
        <f ca="1"/>
        <v>Morphic Pool</v>
      </c>
      <c r="CJ135" t="str">
        <f ca="1"/>
        <v>Jenova, Ancient Calamity</v>
      </c>
    </row>
    <row r="136" spans="1:88" x14ac:dyDescent="0.25">
      <c r="A136" s="3" t="str">
        <f t="shared" ca="1" si="6"/>
        <v>2</v>
      </c>
      <c r="B136" s="3">
        <f t="shared" ca="1" si="7"/>
        <v>1</v>
      </c>
      <c r="C136" s="3" t="str">
        <f ca="1">IFERROR(
 INDEX($U$1:$AX$1,
  MATCH(TRUE,
   CHOOSE({1;2;3;4;5;6;7;8;9;10;11;12;13;14;15;16;17;18;19;20;21;22;23;24;25;26;27;28;29;30;31;32},
    COUNTIFS($U$2:$U$200,$G136)&gt;0,
    COUNTIFS($V$2:$V$200,$G136)&gt;0,
    COUNTIFS($W$2:$W$200,$G136)&gt;0,
    COUNTIFS($X$2:$X$200,$G136)&gt;0,
    COUNTIFS($Y$2:$Y$200,$G136)&gt;0,
    COUNTIFS($Z$2:$Z$200,$G136)&gt;0,
    COUNTIFS($AA$2:$AA$200,$G136)&gt;0,
    COUNTIFS($AB$2:$AB$200,$G136)&gt;0,
    COUNTIFS($AC$2:$AC$200,$G136)&gt;0,
    COUNTIFS($AD$2:$AD$200,$G136)&gt;0,
    COUNTIFS($AE$2:$AE$200,$G136)&gt;0,
    COUNTIFS($AF$2:$AF$200,$G136)&gt;0,
    COUNTIFS($AG$2:$AG$200,$G136)&gt;0,
    COUNTIFS($AH$2:$AH$200,$G136)&gt;0,
    COUNTIFS($AI$2:$AI$200,$G136)&gt;0,
    COUNTIFS($AJ$2:$AJ$200,$G136)&gt;0,
    COUNTIFS($AK$2:$AK$200,$G136)&gt;0,
    COUNTIFS($AL$2:$AL$200,$G136)&gt;0,
    COUNTIFS($AM$2:$AM$200,$G136)&gt;0,
    COUNTIFS($AN$2:$AN$200,$G136)&gt;0,
    COUNTIFS($AO$2:$AO$200,$G136)&gt;0,
    COUNTIFS($AP$2:$AP$200,$G136)&gt;0,
    COUNTIFS($AQ$2:$AQ$200,$G136)&gt;0,
    COUNTIFS($AR$2:$AR$200,$G136)&gt;0,
    COUNTIFS($AS$2:$AS$200,$G136)&gt;0,
    COUNTIFS($AT$2:$AT$200,$G136)&gt;0,
    COUNTIFS($AU$2:$AU$200,$G136)&gt;0,
    COUNTIFS($AV$2:$AV$200,$G136)&gt;0,
    COUNTIFS($AW$2:$AW$200,$G136)&gt;0,
    COUNTIFS($AX$2:$AX$200,$G136)&gt;0
   ),
  0)
 ),
"")</f>
        <v>Baylen</v>
      </c>
      <c r="D136" s="3" t="str" cm="1">
        <f t="array" aca="1" ref="D136" ca="1">IFERROR(
 INDEX(
  _xlfn._xlws.FILTER($U$1:$AX$1,
   TRANSPOSE(
    CHOOSE({1;2;3;4;5;6;7;8;9;10;11;12;13;14;15;16;17;18;19;20;21;22;23;24;25;26;27;28;29;30},
     COUNTIFS($U$2:$U$200,$G136)&gt;0,
     COUNTIFS($V$2:$V$200,$G136)&gt;0,
     COUNTIFS($W$2:$W$200,$G136)&gt;0,
     COUNTIFS($X$2:$X$200,$G136)&gt;0,
     COUNTIFS($Y$2:$Y$200,$G136)&gt;0,
     COUNTIFS($Z$2:$Z$200,$G136)&gt;0,
     COUNTIFS($AA$2:$AA$200,$G136)&gt;0,
     COUNTIFS($AB$2:$AB$200,$G136)&gt;0,
     COUNTIFS($AC$2:$AC$200,$G136)&gt;0,
     COUNTIFS($AD$2:$AD$200,$G136)&gt;0,
     COUNTIFS($AE$2:$AE$200,$G136)&gt;0,
     COUNTIFS($AF$2:$AF$200,$G136)&gt;0,
     COUNTIFS($AG$2:$AG$200,$G136)&gt;0,
     COUNTIFS($AH$2:$AH$200,$G136)&gt;0,
     COUNTIFS($AI$2:$AI$200,$G136)&gt;0,
     COUNTIFS($AJ$2:$AJ$200,$G136)&gt;0,
     COUNTIFS($AK$2:$AK$200,$G136)&gt;0,
     COUNTIFS($AL$2:$AL$200,$G136)&gt;0,
     COUNTIFS($AM$2:$AM$200,$G136)&gt;0,
     COUNTIFS($AN$2:$AN$200,$G136)&gt;0,
     COUNTIFS($AO$2:$AO$200,$G136)&gt;0,
     COUNTIFS($AP$2:$AP$200,$G136)&gt;0,
     COUNTIFS($AQ$2:$AQ$200,$G136)&gt;0,
     COUNTIFS($AR$2:$AR$200,$G136)&gt;0,
     COUNTIFS($AS$2:$AS$200,$G136)&gt;0,
     COUNTIFS($AT$2:$AT$200,$G136)&gt;0,
     COUNTIFS($AU$2:$AU$200,$G136)&gt;0,
     COUNTIFS($AV$2:$AV$200,$G136)&gt;0,
     COUNTIFS($AW$2:$AW$200,$G136)&gt;0,
     COUNTIFS($AX$2:$AX$200,$G136)&gt;0
   )),
  ),
  2
 ),
"")</f>
        <v/>
      </c>
      <c r="E136" s="3" t="str" cm="1">
        <f t="array" aca="1" ref="E136" ca="1">IFERROR(
 INDEX(
  _xlfn._xlws.FILTER($U$1:$AX$1,
   TRANSPOSE(
    CHOOSE({1;2;3;4;5;6;7;8;9;10;11;12;13;14;15;16;17;18;19;20;21;22;23;24;25;26;27;28;29;30},
     COUNTIFS($U$2:$U$200,$G136)&gt;0,
     COUNTIFS($V$2:$V$200,$G136)&gt;0,
     COUNTIFS($W$2:$W$200,$G136)&gt;0,
     COUNTIFS($X$2:$X$200,$G136)&gt;0,
     COUNTIFS($Y$2:$Y$200,$G136)&gt;0,
     COUNTIFS($Z$2:$Z$200,$G136)&gt;0,
     COUNTIFS($AA$2:$AA$200,$G136)&gt;0,
     COUNTIFS($AB$2:$AB$200,$G136)&gt;0,
     COUNTIFS($AC$2:$AC$200,$G136)&gt;0,
     COUNTIFS($AD$2:$AD$200,$G136)&gt;0,
     COUNTIFS($AE$2:$AE$200,$G136)&gt;0,
     COUNTIFS($AF$2:$AF$200,$G136)&gt;0,
     COUNTIFS($AG$2:$AG$200,$G136)&gt;0,
     COUNTIFS($AH$2:$AH$200,$G136)&gt;0,
     COUNTIFS($AI$2:$AI$200,$G136)&gt;0,
     COUNTIFS($AJ$2:$AJ$200,$G136)&gt;0,
     COUNTIFS($AK$2:$AK$200,$G136)&gt;0,
     COUNTIFS($AL$2:$AL$200,$G136)&gt;0,
     COUNTIFS($AM$2:$AM$200,$G136)&gt;0,
     COUNTIFS($AN$2:$AN$200,$G136)&gt;0,
     COUNTIFS($AO$2:$AO$200,$G136)&gt;0,
     COUNTIFS($AP$2:$AP$200,$G136)&gt;0,
     COUNTIFS($AQ$2:$AQ$200,$G136)&gt;0,
     COUNTIFS($AR$2:$AR$200,$G136)&gt;0,
     COUNTIFS($AS$2:$AS$200,$G136)&gt;0,
     COUNTIFS($AT$2:$AT$200,$G136)&gt;0,
     COUNTIFS($AU$2:$AU$200,$G136)&gt;0,
     COUNTIFS($AV$2:$AV$200,$G136)&gt;0,
     COUNTIFS($AW$2:$AW$200,$G136)&gt;0,
     COUNTIFS($AX$2:$AX$200,$G136)&gt;0
   )),
  ),
  3
 ),
"")</f>
        <v/>
      </c>
      <c r="F136" s="3" t="str" cm="1">
        <f t="array" aca="1" ref="F136" ca="1">IFERROR(
 INDEX(
  _xlfn._xlws.FILTER($U$1:$AX$1,
   TRANSPOSE(
    CHOOSE({1;2;3;4;5;6;7;8;9;10;11;12;13;14;15;16;17;18;19;20;21;22;23;24;25;26;27;28;29;30},
     COUNTIFS($U$2:$U$200,$G136)&gt;0,
     COUNTIFS($V$2:$V$200,$G136)&gt;0,
     COUNTIFS($W$2:$W$200,$G136)&gt;0,
     COUNTIFS($X$2:$X$200,$G136)&gt;0,
     COUNTIFS($Y$2:$Y$200,$G136)&gt;0,
     COUNTIFS($Z$2:$Z$200,$G136)&gt;0,
     COUNTIFS($AA$2:$AA$200,$G136)&gt;0,
     COUNTIFS($AB$2:$AB$200,$G136)&gt;0,
     COUNTIFS($AC$2:$AC$200,$G136)&gt;0,
     COUNTIFS($AD$2:$AD$200,$G136)&gt;0,
     COUNTIFS($AE$2:$AE$200,$G136)&gt;0,
     COUNTIFS($AF$2:$AF$200,$G136)&gt;0,
     COUNTIFS($AG$2:$AG$200,$G136)&gt;0,
     COUNTIFS($AH$2:$AH$200,$G136)&gt;0,
     COUNTIFS($AI$2:$AI$200,$G136)&gt;0,
     COUNTIFS($AJ$2:$AJ$200,$G136)&gt;0,
     COUNTIFS($AK$2:$AK$200,$G136)&gt;0,
     COUNTIFS($AL$2:$AL$200,$G136)&gt;0,
     COUNTIFS($AM$2:$AM$200,$G136)&gt;0,
     COUNTIFS($AN$2:$AN$200,$G136)&gt;0,
     COUNTIFS($AO$2:$AO$200,$G136)&gt;0,
     COUNTIFS($AP$2:$AP$200,$G136)&gt;0,
     COUNTIFS($AQ$2:$AQ$200,$G136)&gt;0,
     COUNTIFS($AR$2:$AR$200,$G136)&gt;0,
     COUNTIFS($AS$2:$AS$200,$G136)&gt;0,
     COUNTIFS($AT$2:$AT$200,$G136)&gt;0,
     COUNTIFS($AU$2:$AU$200,$G136)&gt;0,
     COUNTIFS($AV$2:$AV$200,$G136)&gt;0,
     COUNTIFS($AW$2:$AW$200,$G136)&gt;0,
     COUNTIFS($AX$2:$AX$200,$G136)&gt;0
   )),
  ),
  4
 ),
"")</f>
        <v/>
      </c>
      <c r="G136" t="str">
        <f ca="1"/>
        <v>Jetmir, Nexus of Revels</v>
      </c>
      <c r="CB136" t="str">
        <f ca="1"/>
        <v>Temple of Malice</v>
      </c>
      <c r="CG136" t="str">
        <f ca="1"/>
        <v>Mother of runes</v>
      </c>
      <c r="CJ136" t="str">
        <f ca="1"/>
        <v>Jetmir, Nexus of Revels</v>
      </c>
    </row>
    <row r="137" spans="1:88" x14ac:dyDescent="0.25">
      <c r="A137" s="3" t="str">
        <f t="shared" ca="1" si="6"/>
        <v>4</v>
      </c>
      <c r="B137" s="3">
        <f t="shared" ca="1" si="7"/>
        <v>1</v>
      </c>
      <c r="C137" s="3" t="str">
        <f ca="1">IFERROR(
 INDEX($U$1:$AX$1,
  MATCH(TRUE,
   CHOOSE({1;2;3;4;5;6;7;8;9;10;11;12;13;14;15;16;17;18;19;20;21;22;23;24;25;26;27;28;29;30;31;32},
    COUNTIFS($U$2:$U$200,$G137)&gt;0,
    COUNTIFS($V$2:$V$200,$G137)&gt;0,
    COUNTIFS($W$2:$W$200,$G137)&gt;0,
    COUNTIFS($X$2:$X$200,$G137)&gt;0,
    COUNTIFS($Y$2:$Y$200,$G137)&gt;0,
    COUNTIFS($Z$2:$Z$200,$G137)&gt;0,
    COUNTIFS($AA$2:$AA$200,$G137)&gt;0,
    COUNTIFS($AB$2:$AB$200,$G137)&gt;0,
    COUNTIFS($AC$2:$AC$200,$G137)&gt;0,
    COUNTIFS($AD$2:$AD$200,$G137)&gt;0,
    COUNTIFS($AE$2:$AE$200,$G137)&gt;0,
    COUNTIFS($AF$2:$AF$200,$G137)&gt;0,
    COUNTIFS($AG$2:$AG$200,$G137)&gt;0,
    COUNTIFS($AH$2:$AH$200,$G137)&gt;0,
    COUNTIFS($AI$2:$AI$200,$G137)&gt;0,
    COUNTIFS($AJ$2:$AJ$200,$G137)&gt;0,
    COUNTIFS($AK$2:$AK$200,$G137)&gt;0,
    COUNTIFS($AL$2:$AL$200,$G137)&gt;0,
    COUNTIFS($AM$2:$AM$200,$G137)&gt;0,
    COUNTIFS($AN$2:$AN$200,$G137)&gt;0,
    COUNTIFS($AO$2:$AO$200,$G137)&gt;0,
    COUNTIFS($AP$2:$AP$200,$G137)&gt;0,
    COUNTIFS($AQ$2:$AQ$200,$G137)&gt;0,
    COUNTIFS($AR$2:$AR$200,$G137)&gt;0,
    COUNTIFS($AS$2:$AS$200,$G137)&gt;0,
    COUNTIFS($AT$2:$AT$200,$G137)&gt;0,
    COUNTIFS($AU$2:$AU$200,$G137)&gt;0,
    COUNTIFS($AV$2:$AV$200,$G137)&gt;0,
    COUNTIFS($AW$2:$AW$200,$G137)&gt;0,
    COUNTIFS($AX$2:$AX$200,$G137)&gt;0
   ),
  0)
 ),
"")</f>
        <v>Fractius</v>
      </c>
      <c r="D137" s="3" t="str" cm="1">
        <f t="array" aca="1" ref="D137" ca="1">IFERROR(
 INDEX(
  _xlfn._xlws.FILTER($U$1:$AX$1,
   TRANSPOSE(
    CHOOSE({1;2;3;4;5;6;7;8;9;10;11;12;13;14;15;16;17;18;19;20;21;22;23;24;25;26;27;28;29;30},
     COUNTIFS($U$2:$U$200,$G137)&gt;0,
     COUNTIFS($V$2:$V$200,$G137)&gt;0,
     COUNTIFS($W$2:$W$200,$G137)&gt;0,
     COUNTIFS($X$2:$X$200,$G137)&gt;0,
     COUNTIFS($Y$2:$Y$200,$G137)&gt;0,
     COUNTIFS($Z$2:$Z$200,$G137)&gt;0,
     COUNTIFS($AA$2:$AA$200,$G137)&gt;0,
     COUNTIFS($AB$2:$AB$200,$G137)&gt;0,
     COUNTIFS($AC$2:$AC$200,$G137)&gt;0,
     COUNTIFS($AD$2:$AD$200,$G137)&gt;0,
     COUNTIFS($AE$2:$AE$200,$G137)&gt;0,
     COUNTIFS($AF$2:$AF$200,$G137)&gt;0,
     COUNTIFS($AG$2:$AG$200,$G137)&gt;0,
     COUNTIFS($AH$2:$AH$200,$G137)&gt;0,
     COUNTIFS($AI$2:$AI$200,$G137)&gt;0,
     COUNTIFS($AJ$2:$AJ$200,$G137)&gt;0,
     COUNTIFS($AK$2:$AK$200,$G137)&gt;0,
     COUNTIFS($AL$2:$AL$200,$G137)&gt;0,
     COUNTIFS($AM$2:$AM$200,$G137)&gt;0,
     COUNTIFS($AN$2:$AN$200,$G137)&gt;0,
     COUNTIFS($AO$2:$AO$200,$G137)&gt;0,
     COUNTIFS($AP$2:$AP$200,$G137)&gt;0,
     COUNTIFS($AQ$2:$AQ$200,$G137)&gt;0,
     COUNTIFS($AR$2:$AR$200,$G137)&gt;0,
     COUNTIFS($AS$2:$AS$200,$G137)&gt;0,
     COUNTIFS($AT$2:$AT$200,$G137)&gt;0,
     COUNTIFS($AU$2:$AU$200,$G137)&gt;0,
     COUNTIFS($AV$2:$AV$200,$G137)&gt;0,
     COUNTIFS($AW$2:$AW$200,$G137)&gt;0,
     COUNTIFS($AX$2:$AX$200,$G137)&gt;0
   )),
  ),
  2
 ),
"")</f>
        <v/>
      </c>
      <c r="E137" s="3" t="str" cm="1">
        <f t="array" aca="1" ref="E137" ca="1">IFERROR(
 INDEX(
  _xlfn._xlws.FILTER($U$1:$AX$1,
   TRANSPOSE(
    CHOOSE({1;2;3;4;5;6;7;8;9;10;11;12;13;14;15;16;17;18;19;20;21;22;23;24;25;26;27;28;29;30},
     COUNTIFS($U$2:$U$200,$G137)&gt;0,
     COUNTIFS($V$2:$V$200,$G137)&gt;0,
     COUNTIFS($W$2:$W$200,$G137)&gt;0,
     COUNTIFS($X$2:$X$200,$G137)&gt;0,
     COUNTIFS($Y$2:$Y$200,$G137)&gt;0,
     COUNTIFS($Z$2:$Z$200,$G137)&gt;0,
     COUNTIFS($AA$2:$AA$200,$G137)&gt;0,
     COUNTIFS($AB$2:$AB$200,$G137)&gt;0,
     COUNTIFS($AC$2:$AC$200,$G137)&gt;0,
     COUNTIFS($AD$2:$AD$200,$G137)&gt;0,
     COUNTIFS($AE$2:$AE$200,$G137)&gt;0,
     COUNTIFS($AF$2:$AF$200,$G137)&gt;0,
     COUNTIFS($AG$2:$AG$200,$G137)&gt;0,
     COUNTIFS($AH$2:$AH$200,$G137)&gt;0,
     COUNTIFS($AI$2:$AI$200,$G137)&gt;0,
     COUNTIFS($AJ$2:$AJ$200,$G137)&gt;0,
     COUNTIFS($AK$2:$AK$200,$G137)&gt;0,
     COUNTIFS($AL$2:$AL$200,$G137)&gt;0,
     COUNTIFS($AM$2:$AM$200,$G137)&gt;0,
     COUNTIFS($AN$2:$AN$200,$G137)&gt;0,
     COUNTIFS($AO$2:$AO$200,$G137)&gt;0,
     COUNTIFS($AP$2:$AP$200,$G137)&gt;0,
     COUNTIFS($AQ$2:$AQ$200,$G137)&gt;0,
     COUNTIFS($AR$2:$AR$200,$G137)&gt;0,
     COUNTIFS($AS$2:$AS$200,$G137)&gt;0,
     COUNTIFS($AT$2:$AT$200,$G137)&gt;0,
     COUNTIFS($AU$2:$AU$200,$G137)&gt;0,
     COUNTIFS($AV$2:$AV$200,$G137)&gt;0,
     COUNTIFS($AW$2:$AW$200,$G137)&gt;0,
     COUNTIFS($AX$2:$AX$200,$G137)&gt;0
   )),
  ),
  3
 ),
"")</f>
        <v/>
      </c>
      <c r="F137" s="3" t="str" cm="1">
        <f t="array" aca="1" ref="F137" ca="1">IFERROR(
 INDEX(
  _xlfn._xlws.FILTER($U$1:$AX$1,
   TRANSPOSE(
    CHOOSE({1;2;3;4;5;6;7;8;9;10;11;12;13;14;15;16;17;18;19;20;21;22;23;24;25;26;27;28;29;30},
     COUNTIFS($U$2:$U$200,$G137)&gt;0,
     COUNTIFS($V$2:$V$200,$G137)&gt;0,
     COUNTIFS($W$2:$W$200,$G137)&gt;0,
     COUNTIFS($X$2:$X$200,$G137)&gt;0,
     COUNTIFS($Y$2:$Y$200,$G137)&gt;0,
     COUNTIFS($Z$2:$Z$200,$G137)&gt;0,
     COUNTIFS($AA$2:$AA$200,$G137)&gt;0,
     COUNTIFS($AB$2:$AB$200,$G137)&gt;0,
     COUNTIFS($AC$2:$AC$200,$G137)&gt;0,
     COUNTIFS($AD$2:$AD$200,$G137)&gt;0,
     COUNTIFS($AE$2:$AE$200,$G137)&gt;0,
     COUNTIFS($AF$2:$AF$200,$G137)&gt;0,
     COUNTIFS($AG$2:$AG$200,$G137)&gt;0,
     COUNTIFS($AH$2:$AH$200,$G137)&gt;0,
     COUNTIFS($AI$2:$AI$200,$G137)&gt;0,
     COUNTIFS($AJ$2:$AJ$200,$G137)&gt;0,
     COUNTIFS($AK$2:$AK$200,$G137)&gt;0,
     COUNTIFS($AL$2:$AL$200,$G137)&gt;0,
     COUNTIFS($AM$2:$AM$200,$G137)&gt;0,
     COUNTIFS($AN$2:$AN$200,$G137)&gt;0,
     COUNTIFS($AO$2:$AO$200,$G137)&gt;0,
     COUNTIFS($AP$2:$AP$200,$G137)&gt;0,
     COUNTIFS($AQ$2:$AQ$200,$G137)&gt;0,
     COUNTIFS($AR$2:$AR$200,$G137)&gt;0,
     COUNTIFS($AS$2:$AS$200,$G137)&gt;0,
     COUNTIFS($AT$2:$AT$200,$G137)&gt;0,
     COUNTIFS($AU$2:$AU$200,$G137)&gt;0,
     COUNTIFS($AV$2:$AV$200,$G137)&gt;0,
     COUNTIFS($AW$2:$AW$200,$G137)&gt;0,
     COUNTIFS($AX$2:$AX$200,$G137)&gt;0
   )),
  ),
  4
 ),
"")</f>
        <v/>
      </c>
      <c r="G137" t="str">
        <f ca="1"/>
        <v>Jetmir's Garden</v>
      </c>
      <c r="CB137" t="str">
        <f ca="1"/>
        <v>Terrasymbiosis</v>
      </c>
      <c r="CG137" t="str">
        <f ca="1"/>
        <v>Mox Tantalite</v>
      </c>
      <c r="CJ137" t="str">
        <f ca="1"/>
        <v>Jetmir's Garden</v>
      </c>
    </row>
    <row r="138" spans="1:88" x14ac:dyDescent="0.25">
      <c r="A138" s="3" t="str">
        <f t="shared" ca="1" si="6"/>
        <v>2</v>
      </c>
      <c r="B138" s="3">
        <f t="shared" ca="1" si="7"/>
        <v>2</v>
      </c>
      <c r="C138" s="3" t="str">
        <f ca="1">IFERROR(
 INDEX($U$1:$AX$1,
  MATCH(TRUE,
   CHOOSE({1;2;3;4;5;6;7;8;9;10;11;12;13;14;15;16;17;18;19;20;21;22;23;24;25;26;27;28;29;30;31;32},
    COUNTIFS($U$2:$U$200,$G138)&gt;0,
    COUNTIFS($V$2:$V$200,$G138)&gt;0,
    COUNTIFS($W$2:$W$200,$G138)&gt;0,
    COUNTIFS($X$2:$X$200,$G138)&gt;0,
    COUNTIFS($Y$2:$Y$200,$G138)&gt;0,
    COUNTIFS($Z$2:$Z$200,$G138)&gt;0,
    COUNTIFS($AA$2:$AA$200,$G138)&gt;0,
    COUNTIFS($AB$2:$AB$200,$G138)&gt;0,
    COUNTIFS($AC$2:$AC$200,$G138)&gt;0,
    COUNTIFS($AD$2:$AD$200,$G138)&gt;0,
    COUNTIFS($AE$2:$AE$200,$G138)&gt;0,
    COUNTIFS($AF$2:$AF$200,$G138)&gt;0,
    COUNTIFS($AG$2:$AG$200,$G138)&gt;0,
    COUNTIFS($AH$2:$AH$200,$G138)&gt;0,
    COUNTIFS($AI$2:$AI$200,$G138)&gt;0,
    COUNTIFS($AJ$2:$AJ$200,$G138)&gt;0,
    COUNTIFS($AK$2:$AK$200,$G138)&gt;0,
    COUNTIFS($AL$2:$AL$200,$G138)&gt;0,
    COUNTIFS($AM$2:$AM$200,$G138)&gt;0,
    COUNTIFS($AN$2:$AN$200,$G138)&gt;0,
    COUNTIFS($AO$2:$AO$200,$G138)&gt;0,
    COUNTIFS($AP$2:$AP$200,$G138)&gt;0,
    COUNTIFS($AQ$2:$AQ$200,$G138)&gt;0,
    COUNTIFS($AR$2:$AR$200,$G138)&gt;0,
    COUNTIFS($AS$2:$AS$200,$G138)&gt;0,
    COUNTIFS($AT$2:$AT$200,$G138)&gt;0,
    COUNTIFS($AU$2:$AU$200,$G138)&gt;0,
    COUNTIFS($AV$2:$AV$200,$G138)&gt;0,
    COUNTIFS($AW$2:$AW$200,$G138)&gt;0,
    COUNTIFS($AX$2:$AX$200,$G138)&gt;0
   ),
  0)
 ),
"")</f>
        <v>Narset</v>
      </c>
      <c r="D138" s="3" t="str" cm="1">
        <f t="array" aca="1" ref="D138" ca="1">IFERROR(
 INDEX(
  _xlfn._xlws.FILTER($U$1:$AX$1,
   TRANSPOSE(
    CHOOSE({1;2;3;4;5;6;7;8;9;10;11;12;13;14;15;16;17;18;19;20;21;22;23;24;25;26;27;28;29;30},
     COUNTIFS($U$2:$U$200,$G138)&gt;0,
     COUNTIFS($V$2:$V$200,$G138)&gt;0,
     COUNTIFS($W$2:$W$200,$G138)&gt;0,
     COUNTIFS($X$2:$X$200,$G138)&gt;0,
     COUNTIFS($Y$2:$Y$200,$G138)&gt;0,
     COUNTIFS($Z$2:$Z$200,$G138)&gt;0,
     COUNTIFS($AA$2:$AA$200,$G138)&gt;0,
     COUNTIFS($AB$2:$AB$200,$G138)&gt;0,
     COUNTIFS($AC$2:$AC$200,$G138)&gt;0,
     COUNTIFS($AD$2:$AD$200,$G138)&gt;0,
     COUNTIFS($AE$2:$AE$200,$G138)&gt;0,
     COUNTIFS($AF$2:$AF$200,$G138)&gt;0,
     COUNTIFS($AG$2:$AG$200,$G138)&gt;0,
     COUNTIFS($AH$2:$AH$200,$G138)&gt;0,
     COUNTIFS($AI$2:$AI$200,$G138)&gt;0,
     COUNTIFS($AJ$2:$AJ$200,$G138)&gt;0,
     COUNTIFS($AK$2:$AK$200,$G138)&gt;0,
     COUNTIFS($AL$2:$AL$200,$G138)&gt;0,
     COUNTIFS($AM$2:$AM$200,$G138)&gt;0,
     COUNTIFS($AN$2:$AN$200,$G138)&gt;0,
     COUNTIFS($AO$2:$AO$200,$G138)&gt;0,
     COUNTIFS($AP$2:$AP$200,$G138)&gt;0,
     COUNTIFS($AQ$2:$AQ$200,$G138)&gt;0,
     COUNTIFS($AR$2:$AR$200,$G138)&gt;0,
     COUNTIFS($AS$2:$AS$200,$G138)&gt;0,
     COUNTIFS($AT$2:$AT$200,$G138)&gt;0,
     COUNTIFS($AU$2:$AU$200,$G138)&gt;0,
     COUNTIFS($AV$2:$AV$200,$G138)&gt;0,
     COUNTIFS($AW$2:$AW$200,$G138)&gt;0,
     COUNTIFS($AX$2:$AX$200,$G138)&gt;0
   )),
  ),
  2
 ),
"")</f>
        <v>Oona</v>
      </c>
      <c r="E138" s="3" t="str" cm="1">
        <f t="array" aca="1" ref="E138" ca="1">IFERROR(
 INDEX(
  _xlfn._xlws.FILTER($U$1:$AX$1,
   TRANSPOSE(
    CHOOSE({1;2;3;4;5;6;7;8;9;10;11;12;13;14;15;16;17;18;19;20;21;22;23;24;25;26;27;28;29;30},
     COUNTIFS($U$2:$U$200,$G138)&gt;0,
     COUNTIFS($V$2:$V$200,$G138)&gt;0,
     COUNTIFS($W$2:$W$200,$G138)&gt;0,
     COUNTIFS($X$2:$X$200,$G138)&gt;0,
     COUNTIFS($Y$2:$Y$200,$G138)&gt;0,
     COUNTIFS($Z$2:$Z$200,$G138)&gt;0,
     COUNTIFS($AA$2:$AA$200,$G138)&gt;0,
     COUNTIFS($AB$2:$AB$200,$G138)&gt;0,
     COUNTIFS($AC$2:$AC$200,$G138)&gt;0,
     COUNTIFS($AD$2:$AD$200,$G138)&gt;0,
     COUNTIFS($AE$2:$AE$200,$G138)&gt;0,
     COUNTIFS($AF$2:$AF$200,$G138)&gt;0,
     COUNTIFS($AG$2:$AG$200,$G138)&gt;0,
     COUNTIFS($AH$2:$AH$200,$G138)&gt;0,
     COUNTIFS($AI$2:$AI$200,$G138)&gt;0,
     COUNTIFS($AJ$2:$AJ$200,$G138)&gt;0,
     COUNTIFS($AK$2:$AK$200,$G138)&gt;0,
     COUNTIFS($AL$2:$AL$200,$G138)&gt;0,
     COUNTIFS($AM$2:$AM$200,$G138)&gt;0,
     COUNTIFS($AN$2:$AN$200,$G138)&gt;0,
     COUNTIFS($AO$2:$AO$200,$G138)&gt;0,
     COUNTIFS($AP$2:$AP$200,$G138)&gt;0,
     COUNTIFS($AQ$2:$AQ$200,$G138)&gt;0,
     COUNTIFS($AR$2:$AR$200,$G138)&gt;0,
     COUNTIFS($AS$2:$AS$200,$G138)&gt;0,
     COUNTIFS($AT$2:$AT$200,$G138)&gt;0,
     COUNTIFS($AU$2:$AU$200,$G138)&gt;0,
     COUNTIFS($AV$2:$AV$200,$G138)&gt;0,
     COUNTIFS($AW$2:$AW$200,$G138)&gt;0,
     COUNTIFS($AX$2:$AX$200,$G138)&gt;0
   )),
  ),
  3
 ),
"")</f>
        <v/>
      </c>
      <c r="F138" s="3" t="str" cm="1">
        <f t="array" aca="1" ref="F138" ca="1">IFERROR(
 INDEX(
  _xlfn._xlws.FILTER($U$1:$AX$1,
   TRANSPOSE(
    CHOOSE({1;2;3;4;5;6;7;8;9;10;11;12;13;14;15;16;17;18;19;20;21;22;23;24;25;26;27;28;29;30},
     COUNTIFS($U$2:$U$200,$G138)&gt;0,
     COUNTIFS($V$2:$V$200,$G138)&gt;0,
     COUNTIFS($W$2:$W$200,$G138)&gt;0,
     COUNTIFS($X$2:$X$200,$G138)&gt;0,
     COUNTIFS($Y$2:$Y$200,$G138)&gt;0,
     COUNTIFS($Z$2:$Z$200,$G138)&gt;0,
     COUNTIFS($AA$2:$AA$200,$G138)&gt;0,
     COUNTIFS($AB$2:$AB$200,$G138)&gt;0,
     COUNTIFS($AC$2:$AC$200,$G138)&gt;0,
     COUNTIFS($AD$2:$AD$200,$G138)&gt;0,
     COUNTIFS($AE$2:$AE$200,$G138)&gt;0,
     COUNTIFS($AF$2:$AF$200,$G138)&gt;0,
     COUNTIFS($AG$2:$AG$200,$G138)&gt;0,
     COUNTIFS($AH$2:$AH$200,$G138)&gt;0,
     COUNTIFS($AI$2:$AI$200,$G138)&gt;0,
     COUNTIFS($AJ$2:$AJ$200,$G138)&gt;0,
     COUNTIFS($AK$2:$AK$200,$G138)&gt;0,
     COUNTIFS($AL$2:$AL$200,$G138)&gt;0,
     COUNTIFS($AM$2:$AM$200,$G138)&gt;0,
     COUNTIFS($AN$2:$AN$200,$G138)&gt;0,
     COUNTIFS($AO$2:$AO$200,$G138)&gt;0,
     COUNTIFS($AP$2:$AP$200,$G138)&gt;0,
     COUNTIFS($AQ$2:$AQ$200,$G138)&gt;0,
     COUNTIFS($AR$2:$AR$200,$G138)&gt;0,
     COUNTIFS($AS$2:$AS$200,$G138)&gt;0,
     COUNTIFS($AT$2:$AT$200,$G138)&gt;0,
     COUNTIFS($AU$2:$AU$200,$G138)&gt;0,
     COUNTIFS($AV$2:$AV$200,$G138)&gt;0,
     COUNTIFS($AW$2:$AW$200,$G138)&gt;0,
     COUNTIFS($AX$2:$AX$200,$G138)&gt;0
   )),
  ),
  4
 ),
"")</f>
        <v/>
      </c>
      <c r="G138" t="str">
        <f ca="1"/>
        <v>Jidoor, Aristocratic Capital // Overture</v>
      </c>
      <c r="CB138" t="str">
        <f ca="1"/>
        <v>The Indomitable</v>
      </c>
      <c r="CG138" t="str">
        <f ca="1"/>
        <v>Nicol Bolas, God-Pharaoh</v>
      </c>
      <c r="CJ138" t="str">
        <f ca="1"/>
        <v>Jidoor, Aristocratic Capital // Overture</v>
      </c>
    </row>
    <row r="139" spans="1:88" x14ac:dyDescent="0.25">
      <c r="A139" s="3" t="str">
        <f t="shared" ca="1" si="6"/>
        <v>3</v>
      </c>
      <c r="B139" s="3">
        <f t="shared" ca="1" si="7"/>
        <v>1</v>
      </c>
      <c r="C139" s="3" t="str">
        <f ca="1">IFERROR(
 INDEX($U$1:$AX$1,
  MATCH(TRUE,
   CHOOSE({1;2;3;4;5;6;7;8;9;10;11;12;13;14;15;16;17;18;19;20;21;22;23;24;25;26;27;28;29;30;31;32},
    COUNTIFS($U$2:$U$200,$G139)&gt;0,
    COUNTIFS($V$2:$V$200,$G139)&gt;0,
    COUNTIFS($W$2:$W$200,$G139)&gt;0,
    COUNTIFS($X$2:$X$200,$G139)&gt;0,
    COUNTIFS($Y$2:$Y$200,$G139)&gt;0,
    COUNTIFS($Z$2:$Z$200,$G139)&gt;0,
    COUNTIFS($AA$2:$AA$200,$G139)&gt;0,
    COUNTIFS($AB$2:$AB$200,$G139)&gt;0,
    COUNTIFS($AC$2:$AC$200,$G139)&gt;0,
    COUNTIFS($AD$2:$AD$200,$G139)&gt;0,
    COUNTIFS($AE$2:$AE$200,$G139)&gt;0,
    COUNTIFS($AF$2:$AF$200,$G139)&gt;0,
    COUNTIFS($AG$2:$AG$200,$G139)&gt;0,
    COUNTIFS($AH$2:$AH$200,$G139)&gt;0,
    COUNTIFS($AI$2:$AI$200,$G139)&gt;0,
    COUNTIFS($AJ$2:$AJ$200,$G139)&gt;0,
    COUNTIFS($AK$2:$AK$200,$G139)&gt;0,
    COUNTIFS($AL$2:$AL$200,$G139)&gt;0,
    COUNTIFS($AM$2:$AM$200,$G139)&gt;0,
    COUNTIFS($AN$2:$AN$200,$G139)&gt;0,
    COUNTIFS($AO$2:$AO$200,$G139)&gt;0,
    COUNTIFS($AP$2:$AP$200,$G139)&gt;0,
    COUNTIFS($AQ$2:$AQ$200,$G139)&gt;0,
    COUNTIFS($AR$2:$AR$200,$G139)&gt;0,
    COUNTIFS($AS$2:$AS$200,$G139)&gt;0,
    COUNTIFS($AT$2:$AT$200,$G139)&gt;0,
    COUNTIFS($AU$2:$AU$200,$G139)&gt;0,
    COUNTIFS($AV$2:$AV$200,$G139)&gt;0,
    COUNTIFS($AW$2:$AW$200,$G139)&gt;0,
    COUNTIFS($AX$2:$AX$200,$G139)&gt;0
   ),
  0)
 ),
"")</f>
        <v>Akiri</v>
      </c>
      <c r="D139" s="3" t="str" cm="1">
        <f t="array" aca="1" ref="D139" ca="1">IFERROR(
 INDEX(
  _xlfn._xlws.FILTER($U$1:$AX$1,
   TRANSPOSE(
    CHOOSE({1;2;3;4;5;6;7;8;9;10;11;12;13;14;15;16;17;18;19;20;21;22;23;24;25;26;27;28;29;30},
     COUNTIFS($U$2:$U$200,$G139)&gt;0,
     COUNTIFS($V$2:$V$200,$G139)&gt;0,
     COUNTIFS($W$2:$W$200,$G139)&gt;0,
     COUNTIFS($X$2:$X$200,$G139)&gt;0,
     COUNTIFS($Y$2:$Y$200,$G139)&gt;0,
     COUNTIFS($Z$2:$Z$200,$G139)&gt;0,
     COUNTIFS($AA$2:$AA$200,$G139)&gt;0,
     COUNTIFS($AB$2:$AB$200,$G139)&gt;0,
     COUNTIFS($AC$2:$AC$200,$G139)&gt;0,
     COUNTIFS($AD$2:$AD$200,$G139)&gt;0,
     COUNTIFS($AE$2:$AE$200,$G139)&gt;0,
     COUNTIFS($AF$2:$AF$200,$G139)&gt;0,
     COUNTIFS($AG$2:$AG$200,$G139)&gt;0,
     COUNTIFS($AH$2:$AH$200,$G139)&gt;0,
     COUNTIFS($AI$2:$AI$200,$G139)&gt;0,
     COUNTIFS($AJ$2:$AJ$200,$G139)&gt;0,
     COUNTIFS($AK$2:$AK$200,$G139)&gt;0,
     COUNTIFS($AL$2:$AL$200,$G139)&gt;0,
     COUNTIFS($AM$2:$AM$200,$G139)&gt;0,
     COUNTIFS($AN$2:$AN$200,$G139)&gt;0,
     COUNTIFS($AO$2:$AO$200,$G139)&gt;0,
     COUNTIFS($AP$2:$AP$200,$G139)&gt;0,
     COUNTIFS($AQ$2:$AQ$200,$G139)&gt;0,
     COUNTIFS($AR$2:$AR$200,$G139)&gt;0,
     COUNTIFS($AS$2:$AS$200,$G139)&gt;0,
     COUNTIFS($AT$2:$AT$200,$G139)&gt;0,
     COUNTIFS($AU$2:$AU$200,$G139)&gt;0,
     COUNTIFS($AV$2:$AV$200,$G139)&gt;0,
     COUNTIFS($AW$2:$AW$200,$G139)&gt;0,
     COUNTIFS($AX$2:$AX$200,$G139)&gt;0
   )),
  ),
  2
 ),
"")</f>
        <v/>
      </c>
      <c r="E139" s="3" t="str" cm="1">
        <f t="array" aca="1" ref="E139" ca="1">IFERROR(
 INDEX(
  _xlfn._xlws.FILTER($U$1:$AX$1,
   TRANSPOSE(
    CHOOSE({1;2;3;4;5;6;7;8;9;10;11;12;13;14;15;16;17;18;19;20;21;22;23;24;25;26;27;28;29;30},
     COUNTIFS($U$2:$U$200,$G139)&gt;0,
     COUNTIFS($V$2:$V$200,$G139)&gt;0,
     COUNTIFS($W$2:$W$200,$G139)&gt;0,
     COUNTIFS($X$2:$X$200,$G139)&gt;0,
     COUNTIFS($Y$2:$Y$200,$G139)&gt;0,
     COUNTIFS($Z$2:$Z$200,$G139)&gt;0,
     COUNTIFS($AA$2:$AA$200,$G139)&gt;0,
     COUNTIFS($AB$2:$AB$200,$G139)&gt;0,
     COUNTIFS($AC$2:$AC$200,$G139)&gt;0,
     COUNTIFS($AD$2:$AD$200,$G139)&gt;0,
     COUNTIFS($AE$2:$AE$200,$G139)&gt;0,
     COUNTIFS($AF$2:$AF$200,$G139)&gt;0,
     COUNTIFS($AG$2:$AG$200,$G139)&gt;0,
     COUNTIFS($AH$2:$AH$200,$G139)&gt;0,
     COUNTIFS($AI$2:$AI$200,$G139)&gt;0,
     COUNTIFS($AJ$2:$AJ$200,$G139)&gt;0,
     COUNTIFS($AK$2:$AK$200,$G139)&gt;0,
     COUNTIFS($AL$2:$AL$200,$G139)&gt;0,
     COUNTIFS($AM$2:$AM$200,$G139)&gt;0,
     COUNTIFS($AN$2:$AN$200,$G139)&gt;0,
     COUNTIFS($AO$2:$AO$200,$G139)&gt;0,
     COUNTIFS($AP$2:$AP$200,$G139)&gt;0,
     COUNTIFS($AQ$2:$AQ$200,$G139)&gt;0,
     COUNTIFS($AR$2:$AR$200,$G139)&gt;0,
     COUNTIFS($AS$2:$AS$200,$G139)&gt;0,
     COUNTIFS($AT$2:$AT$200,$G139)&gt;0,
     COUNTIFS($AU$2:$AU$200,$G139)&gt;0,
     COUNTIFS($AV$2:$AV$200,$G139)&gt;0,
     COUNTIFS($AW$2:$AW$200,$G139)&gt;0,
     COUNTIFS($AX$2:$AX$200,$G139)&gt;0
   )),
  ),
  3
 ),
"")</f>
        <v/>
      </c>
      <c r="F139" s="3" t="str" cm="1">
        <f t="array" aca="1" ref="F139" ca="1">IFERROR(
 INDEX(
  _xlfn._xlws.FILTER($U$1:$AX$1,
   TRANSPOSE(
    CHOOSE({1;2;3;4;5;6;7;8;9;10;11;12;13;14;15;16;17;18;19;20;21;22;23;24;25;26;27;28;29;30},
     COUNTIFS($U$2:$U$200,$G139)&gt;0,
     COUNTIFS($V$2:$V$200,$G139)&gt;0,
     COUNTIFS($W$2:$W$200,$G139)&gt;0,
     COUNTIFS($X$2:$X$200,$G139)&gt;0,
     COUNTIFS($Y$2:$Y$200,$G139)&gt;0,
     COUNTIFS($Z$2:$Z$200,$G139)&gt;0,
     COUNTIFS($AA$2:$AA$200,$G139)&gt;0,
     COUNTIFS($AB$2:$AB$200,$G139)&gt;0,
     COUNTIFS($AC$2:$AC$200,$G139)&gt;0,
     COUNTIFS($AD$2:$AD$200,$G139)&gt;0,
     COUNTIFS($AE$2:$AE$200,$G139)&gt;0,
     COUNTIFS($AF$2:$AF$200,$G139)&gt;0,
     COUNTIFS($AG$2:$AG$200,$G139)&gt;0,
     COUNTIFS($AH$2:$AH$200,$G139)&gt;0,
     COUNTIFS($AI$2:$AI$200,$G139)&gt;0,
     COUNTIFS($AJ$2:$AJ$200,$G139)&gt;0,
     COUNTIFS($AK$2:$AK$200,$G139)&gt;0,
     COUNTIFS($AL$2:$AL$200,$G139)&gt;0,
     COUNTIFS($AM$2:$AM$200,$G139)&gt;0,
     COUNTIFS($AN$2:$AN$200,$G139)&gt;0,
     COUNTIFS($AO$2:$AO$200,$G139)&gt;0,
     COUNTIFS($AP$2:$AP$200,$G139)&gt;0,
     COUNTIFS($AQ$2:$AQ$200,$G139)&gt;0,
     COUNTIFS($AR$2:$AR$200,$G139)&gt;0,
     COUNTIFS($AS$2:$AS$200,$G139)&gt;0,
     COUNTIFS($AT$2:$AT$200,$G139)&gt;0,
     COUNTIFS($AU$2:$AU$200,$G139)&gt;0,
     COUNTIFS($AV$2:$AV$200,$G139)&gt;0,
     COUNTIFS($AW$2:$AW$200,$G139)&gt;0,
     COUNTIFS($AX$2:$AX$200,$G139)&gt;0
   )),
  ),
  4
 ),
"")</f>
        <v/>
      </c>
      <c r="G139" t="str">
        <f ca="1"/>
        <v>Jitte Perdida</v>
      </c>
      <c r="CB139" t="str">
        <f ca="1"/>
        <v>The Shire</v>
      </c>
      <c r="CG139" t="str">
        <f ca="1"/>
        <v>O Dínamo Peregrino</v>
      </c>
      <c r="CJ139" t="str">
        <f ca="1"/>
        <v>Jitte Perdida</v>
      </c>
    </row>
    <row r="140" spans="1:88" x14ac:dyDescent="0.25">
      <c r="A140" s="3" t="str">
        <f t="shared" ca="1" si="6"/>
        <v>3</v>
      </c>
      <c r="B140" s="3">
        <f t="shared" ca="1" si="7"/>
        <v>1</v>
      </c>
      <c r="C140" s="3" t="str">
        <f ca="1">IFERROR(
 INDEX($U$1:$AX$1,
  MATCH(TRUE,
   CHOOSE({1;2;3;4;5;6;7;8;9;10;11;12;13;14;15;16;17;18;19;20;21;22;23;24;25;26;27;28;29;30;31;32},
    COUNTIFS($U$2:$U$200,$G140)&gt;0,
    COUNTIFS($V$2:$V$200,$G140)&gt;0,
    COUNTIFS($W$2:$W$200,$G140)&gt;0,
    COUNTIFS($X$2:$X$200,$G140)&gt;0,
    COUNTIFS($Y$2:$Y$200,$G140)&gt;0,
    COUNTIFS($Z$2:$Z$200,$G140)&gt;0,
    COUNTIFS($AA$2:$AA$200,$G140)&gt;0,
    COUNTIFS($AB$2:$AB$200,$G140)&gt;0,
    COUNTIFS($AC$2:$AC$200,$G140)&gt;0,
    COUNTIFS($AD$2:$AD$200,$G140)&gt;0,
    COUNTIFS($AE$2:$AE$200,$G140)&gt;0,
    COUNTIFS($AF$2:$AF$200,$G140)&gt;0,
    COUNTIFS($AG$2:$AG$200,$G140)&gt;0,
    COUNTIFS($AH$2:$AH$200,$G140)&gt;0,
    COUNTIFS($AI$2:$AI$200,$G140)&gt;0,
    COUNTIFS($AJ$2:$AJ$200,$G140)&gt;0,
    COUNTIFS($AK$2:$AK$200,$G140)&gt;0,
    COUNTIFS($AL$2:$AL$200,$G140)&gt;0,
    COUNTIFS($AM$2:$AM$200,$G140)&gt;0,
    COUNTIFS($AN$2:$AN$200,$G140)&gt;0,
    COUNTIFS($AO$2:$AO$200,$G140)&gt;0,
    COUNTIFS($AP$2:$AP$200,$G140)&gt;0,
    COUNTIFS($AQ$2:$AQ$200,$G140)&gt;0,
    COUNTIFS($AR$2:$AR$200,$G140)&gt;0,
    COUNTIFS($AS$2:$AS$200,$G140)&gt;0,
    COUNTIFS($AT$2:$AT$200,$G140)&gt;0,
    COUNTIFS($AU$2:$AU$200,$G140)&gt;0,
    COUNTIFS($AV$2:$AV$200,$G140)&gt;0,
    COUNTIFS($AW$2:$AW$200,$G140)&gt;0,
    COUNTIFS($AX$2:$AX$200,$G140)&gt;0
   ),
  0)
 ),
"")</f>
        <v>Sisay</v>
      </c>
      <c r="D140" s="3" t="str" cm="1">
        <f t="array" aca="1" ref="D140" ca="1">IFERROR(
 INDEX(
  _xlfn._xlws.FILTER($U$1:$AX$1,
   TRANSPOSE(
    CHOOSE({1;2;3;4;5;6;7;8;9;10;11;12;13;14;15;16;17;18;19;20;21;22;23;24;25;26;27;28;29;30},
     COUNTIFS($U$2:$U$200,$G140)&gt;0,
     COUNTIFS($V$2:$V$200,$G140)&gt;0,
     COUNTIFS($W$2:$W$200,$G140)&gt;0,
     COUNTIFS($X$2:$X$200,$G140)&gt;0,
     COUNTIFS($Y$2:$Y$200,$G140)&gt;0,
     COUNTIFS($Z$2:$Z$200,$G140)&gt;0,
     COUNTIFS($AA$2:$AA$200,$G140)&gt;0,
     COUNTIFS($AB$2:$AB$200,$G140)&gt;0,
     COUNTIFS($AC$2:$AC$200,$G140)&gt;0,
     COUNTIFS($AD$2:$AD$200,$G140)&gt;0,
     COUNTIFS($AE$2:$AE$200,$G140)&gt;0,
     COUNTIFS($AF$2:$AF$200,$G140)&gt;0,
     COUNTIFS($AG$2:$AG$200,$G140)&gt;0,
     COUNTIFS($AH$2:$AH$200,$G140)&gt;0,
     COUNTIFS($AI$2:$AI$200,$G140)&gt;0,
     COUNTIFS($AJ$2:$AJ$200,$G140)&gt;0,
     COUNTIFS($AK$2:$AK$200,$G140)&gt;0,
     COUNTIFS($AL$2:$AL$200,$G140)&gt;0,
     COUNTIFS($AM$2:$AM$200,$G140)&gt;0,
     COUNTIFS($AN$2:$AN$200,$G140)&gt;0,
     COUNTIFS($AO$2:$AO$200,$G140)&gt;0,
     COUNTIFS($AP$2:$AP$200,$G140)&gt;0,
     COUNTIFS($AQ$2:$AQ$200,$G140)&gt;0,
     COUNTIFS($AR$2:$AR$200,$G140)&gt;0,
     COUNTIFS($AS$2:$AS$200,$G140)&gt;0,
     COUNTIFS($AT$2:$AT$200,$G140)&gt;0,
     COUNTIFS($AU$2:$AU$200,$G140)&gt;0,
     COUNTIFS($AV$2:$AV$200,$G140)&gt;0,
     COUNTIFS($AW$2:$AW$200,$G140)&gt;0,
     COUNTIFS($AX$2:$AX$200,$G140)&gt;0
   )),
  ),
  2
 ),
"")</f>
        <v/>
      </c>
      <c r="E140" s="3" t="str" cm="1">
        <f t="array" aca="1" ref="E140" ca="1">IFERROR(
 INDEX(
  _xlfn._xlws.FILTER($U$1:$AX$1,
   TRANSPOSE(
    CHOOSE({1;2;3;4;5;6;7;8;9;10;11;12;13;14;15;16;17;18;19;20;21;22;23;24;25;26;27;28;29;30},
     COUNTIFS($U$2:$U$200,$G140)&gt;0,
     COUNTIFS($V$2:$V$200,$G140)&gt;0,
     COUNTIFS($W$2:$W$200,$G140)&gt;0,
     COUNTIFS($X$2:$X$200,$G140)&gt;0,
     COUNTIFS($Y$2:$Y$200,$G140)&gt;0,
     COUNTIFS($Z$2:$Z$200,$G140)&gt;0,
     COUNTIFS($AA$2:$AA$200,$G140)&gt;0,
     COUNTIFS($AB$2:$AB$200,$G140)&gt;0,
     COUNTIFS($AC$2:$AC$200,$G140)&gt;0,
     COUNTIFS($AD$2:$AD$200,$G140)&gt;0,
     COUNTIFS($AE$2:$AE$200,$G140)&gt;0,
     COUNTIFS($AF$2:$AF$200,$G140)&gt;0,
     COUNTIFS($AG$2:$AG$200,$G140)&gt;0,
     COUNTIFS($AH$2:$AH$200,$G140)&gt;0,
     COUNTIFS($AI$2:$AI$200,$G140)&gt;0,
     COUNTIFS($AJ$2:$AJ$200,$G140)&gt;0,
     COUNTIFS($AK$2:$AK$200,$G140)&gt;0,
     COUNTIFS($AL$2:$AL$200,$G140)&gt;0,
     COUNTIFS($AM$2:$AM$200,$G140)&gt;0,
     COUNTIFS($AN$2:$AN$200,$G140)&gt;0,
     COUNTIFS($AO$2:$AO$200,$G140)&gt;0,
     COUNTIFS($AP$2:$AP$200,$G140)&gt;0,
     COUNTIFS($AQ$2:$AQ$200,$G140)&gt;0,
     COUNTIFS($AR$2:$AR$200,$G140)&gt;0,
     COUNTIFS($AS$2:$AS$200,$G140)&gt;0,
     COUNTIFS($AT$2:$AT$200,$G140)&gt;0,
     COUNTIFS($AU$2:$AU$200,$G140)&gt;0,
     COUNTIFS($AV$2:$AV$200,$G140)&gt;0,
     COUNTIFS($AW$2:$AW$200,$G140)&gt;0,
     COUNTIFS($AX$2:$AX$200,$G140)&gt;0
   )),
  ),
  3
 ),
"")</f>
        <v/>
      </c>
      <c r="F140" s="3" t="str" cm="1">
        <f t="array" aca="1" ref="F140" ca="1">IFERROR(
 INDEX(
  _xlfn._xlws.FILTER($U$1:$AX$1,
   TRANSPOSE(
    CHOOSE({1;2;3;4;5;6;7;8;9;10;11;12;13;14;15;16;17;18;19;20;21;22;23;24;25;26;27;28;29;30},
     COUNTIFS($U$2:$U$200,$G140)&gt;0,
     COUNTIFS($V$2:$V$200,$G140)&gt;0,
     COUNTIFS($W$2:$W$200,$G140)&gt;0,
     COUNTIFS($X$2:$X$200,$G140)&gt;0,
     COUNTIFS($Y$2:$Y$200,$G140)&gt;0,
     COUNTIFS($Z$2:$Z$200,$G140)&gt;0,
     COUNTIFS($AA$2:$AA$200,$G140)&gt;0,
     COUNTIFS($AB$2:$AB$200,$G140)&gt;0,
     COUNTIFS($AC$2:$AC$200,$G140)&gt;0,
     COUNTIFS($AD$2:$AD$200,$G140)&gt;0,
     COUNTIFS($AE$2:$AE$200,$G140)&gt;0,
     COUNTIFS($AF$2:$AF$200,$G140)&gt;0,
     COUNTIFS($AG$2:$AG$200,$G140)&gt;0,
     COUNTIFS($AH$2:$AH$200,$G140)&gt;0,
     COUNTIFS($AI$2:$AI$200,$G140)&gt;0,
     COUNTIFS($AJ$2:$AJ$200,$G140)&gt;0,
     COUNTIFS($AK$2:$AK$200,$G140)&gt;0,
     COUNTIFS($AL$2:$AL$200,$G140)&gt;0,
     COUNTIFS($AM$2:$AM$200,$G140)&gt;0,
     COUNTIFS($AN$2:$AN$200,$G140)&gt;0,
     COUNTIFS($AO$2:$AO$200,$G140)&gt;0,
     COUNTIFS($AP$2:$AP$200,$G140)&gt;0,
     COUNTIFS($AQ$2:$AQ$200,$G140)&gt;0,
     COUNTIFS($AR$2:$AR$200,$G140)&gt;0,
     COUNTIFS($AS$2:$AS$200,$G140)&gt;0,
     COUNTIFS($AT$2:$AT$200,$G140)&gt;0,
     COUNTIFS($AU$2:$AU$200,$G140)&gt;0,
     COUNTIFS($AV$2:$AV$200,$G140)&gt;0,
     COUNTIFS($AW$2:$AW$200,$G140)&gt;0,
     COUNTIFS($AX$2:$AX$200,$G140)&gt;0
   )),
  ),
  4
 ),
"")</f>
        <v/>
      </c>
      <c r="G140" t="str">
        <f ca="1"/>
        <v>Karn Liberated</v>
      </c>
      <c r="CB140" t="str">
        <f ca="1"/>
        <v>The Water Crystal</v>
      </c>
      <c r="CG140" t="str">
        <f ca="1"/>
        <v>Oko, Thief of Crowns</v>
      </c>
      <c r="CJ140" t="str">
        <f ca="1"/>
        <v>Karn Liberated</v>
      </c>
    </row>
    <row r="141" spans="1:88" x14ac:dyDescent="0.25">
      <c r="A141" s="3" t="str">
        <f t="shared" ca="1" si="6"/>
        <v>1</v>
      </c>
      <c r="B141" s="3">
        <f t="shared" ca="1" si="7"/>
        <v>1</v>
      </c>
      <c r="C141" s="3" t="str">
        <f ca="1">IFERROR(
 INDEX($U$1:$AX$1,
  MATCH(TRUE,
   CHOOSE({1;2;3;4;5;6;7;8;9;10;11;12;13;14;15;16;17;18;19;20;21;22;23;24;25;26;27;28;29;30;31;32},
    COUNTIFS($U$2:$U$200,$G141)&gt;0,
    COUNTIFS($V$2:$V$200,$G141)&gt;0,
    COUNTIFS($W$2:$W$200,$G141)&gt;0,
    COUNTIFS($X$2:$X$200,$G141)&gt;0,
    COUNTIFS($Y$2:$Y$200,$G141)&gt;0,
    COUNTIFS($Z$2:$Z$200,$G141)&gt;0,
    COUNTIFS($AA$2:$AA$200,$G141)&gt;0,
    COUNTIFS($AB$2:$AB$200,$G141)&gt;0,
    COUNTIFS($AC$2:$AC$200,$G141)&gt;0,
    COUNTIFS($AD$2:$AD$200,$G141)&gt;0,
    COUNTIFS($AE$2:$AE$200,$G141)&gt;0,
    COUNTIFS($AF$2:$AF$200,$G141)&gt;0,
    COUNTIFS($AG$2:$AG$200,$G141)&gt;0,
    COUNTIFS($AH$2:$AH$200,$G141)&gt;0,
    COUNTIFS($AI$2:$AI$200,$G141)&gt;0,
    COUNTIFS($AJ$2:$AJ$200,$G141)&gt;0,
    COUNTIFS($AK$2:$AK$200,$G141)&gt;0,
    COUNTIFS($AL$2:$AL$200,$G141)&gt;0,
    COUNTIFS($AM$2:$AM$200,$G141)&gt;0,
    COUNTIFS($AN$2:$AN$200,$G141)&gt;0,
    COUNTIFS($AO$2:$AO$200,$G141)&gt;0,
    COUNTIFS($AP$2:$AP$200,$G141)&gt;0,
    COUNTIFS($AQ$2:$AQ$200,$G141)&gt;0,
    COUNTIFS($AR$2:$AR$200,$G141)&gt;0,
    COUNTIFS($AS$2:$AS$200,$G141)&gt;0,
    COUNTIFS($AT$2:$AT$200,$G141)&gt;0,
    COUNTIFS($AU$2:$AU$200,$G141)&gt;0,
    COUNTIFS($AV$2:$AV$200,$G141)&gt;0,
    COUNTIFS($AW$2:$AW$200,$G141)&gt;0,
    COUNTIFS($AX$2:$AX$200,$G141)&gt;0
   ),
  0)
 ),
"")</f>
        <v>Modular</v>
      </c>
      <c r="D141" s="3" t="str" cm="1">
        <f t="array" aca="1" ref="D141" ca="1">IFERROR(
 INDEX(
  _xlfn._xlws.FILTER($U$1:$AX$1,
   TRANSPOSE(
    CHOOSE({1;2;3;4;5;6;7;8;9;10;11;12;13;14;15;16;17;18;19;20;21;22;23;24;25;26;27;28;29;30},
     COUNTIFS($U$2:$U$200,$G141)&gt;0,
     COUNTIFS($V$2:$V$200,$G141)&gt;0,
     COUNTIFS($W$2:$W$200,$G141)&gt;0,
     COUNTIFS($X$2:$X$200,$G141)&gt;0,
     COUNTIFS($Y$2:$Y$200,$G141)&gt;0,
     COUNTIFS($Z$2:$Z$200,$G141)&gt;0,
     COUNTIFS($AA$2:$AA$200,$G141)&gt;0,
     COUNTIFS($AB$2:$AB$200,$G141)&gt;0,
     COUNTIFS($AC$2:$AC$200,$G141)&gt;0,
     COUNTIFS($AD$2:$AD$200,$G141)&gt;0,
     COUNTIFS($AE$2:$AE$200,$G141)&gt;0,
     COUNTIFS($AF$2:$AF$200,$G141)&gt;0,
     COUNTIFS($AG$2:$AG$200,$G141)&gt;0,
     COUNTIFS($AH$2:$AH$200,$G141)&gt;0,
     COUNTIFS($AI$2:$AI$200,$G141)&gt;0,
     COUNTIFS($AJ$2:$AJ$200,$G141)&gt;0,
     COUNTIFS($AK$2:$AK$200,$G141)&gt;0,
     COUNTIFS($AL$2:$AL$200,$G141)&gt;0,
     COUNTIFS($AM$2:$AM$200,$G141)&gt;0,
     COUNTIFS($AN$2:$AN$200,$G141)&gt;0,
     COUNTIFS($AO$2:$AO$200,$G141)&gt;0,
     COUNTIFS($AP$2:$AP$200,$G141)&gt;0,
     COUNTIFS($AQ$2:$AQ$200,$G141)&gt;0,
     COUNTIFS($AR$2:$AR$200,$G141)&gt;0,
     COUNTIFS($AS$2:$AS$200,$G141)&gt;0,
     COUNTIFS($AT$2:$AT$200,$G141)&gt;0,
     COUNTIFS($AU$2:$AU$200,$G141)&gt;0,
     COUNTIFS($AV$2:$AV$200,$G141)&gt;0,
     COUNTIFS($AW$2:$AW$200,$G141)&gt;0,
     COUNTIFS($AX$2:$AX$200,$G141)&gt;0
   )),
  ),
  2
 ),
"")</f>
        <v/>
      </c>
      <c r="E141" s="3" t="str" cm="1">
        <f t="array" aca="1" ref="E141" ca="1">IFERROR(
 INDEX(
  _xlfn._xlws.FILTER($U$1:$AX$1,
   TRANSPOSE(
    CHOOSE({1;2;3;4;5;6;7;8;9;10;11;12;13;14;15;16;17;18;19;20;21;22;23;24;25;26;27;28;29;30},
     COUNTIFS($U$2:$U$200,$G141)&gt;0,
     COUNTIFS($V$2:$V$200,$G141)&gt;0,
     COUNTIFS($W$2:$W$200,$G141)&gt;0,
     COUNTIFS($X$2:$X$200,$G141)&gt;0,
     COUNTIFS($Y$2:$Y$200,$G141)&gt;0,
     COUNTIFS($Z$2:$Z$200,$G141)&gt;0,
     COUNTIFS($AA$2:$AA$200,$G141)&gt;0,
     COUNTIFS($AB$2:$AB$200,$G141)&gt;0,
     COUNTIFS($AC$2:$AC$200,$G141)&gt;0,
     COUNTIFS($AD$2:$AD$200,$G141)&gt;0,
     COUNTIFS($AE$2:$AE$200,$G141)&gt;0,
     COUNTIFS($AF$2:$AF$200,$G141)&gt;0,
     COUNTIFS($AG$2:$AG$200,$G141)&gt;0,
     COUNTIFS($AH$2:$AH$200,$G141)&gt;0,
     COUNTIFS($AI$2:$AI$200,$G141)&gt;0,
     COUNTIFS($AJ$2:$AJ$200,$G141)&gt;0,
     COUNTIFS($AK$2:$AK$200,$G141)&gt;0,
     COUNTIFS($AL$2:$AL$200,$G141)&gt;0,
     COUNTIFS($AM$2:$AM$200,$G141)&gt;0,
     COUNTIFS($AN$2:$AN$200,$G141)&gt;0,
     COUNTIFS($AO$2:$AO$200,$G141)&gt;0,
     COUNTIFS($AP$2:$AP$200,$G141)&gt;0,
     COUNTIFS($AQ$2:$AQ$200,$G141)&gt;0,
     COUNTIFS($AR$2:$AR$200,$G141)&gt;0,
     COUNTIFS($AS$2:$AS$200,$G141)&gt;0,
     COUNTIFS($AT$2:$AT$200,$G141)&gt;0,
     COUNTIFS($AU$2:$AU$200,$G141)&gt;0,
     COUNTIFS($AV$2:$AV$200,$G141)&gt;0,
     COUNTIFS($AW$2:$AW$200,$G141)&gt;0,
     COUNTIFS($AX$2:$AX$200,$G141)&gt;0
   )),
  ),
  3
 ),
"")</f>
        <v/>
      </c>
      <c r="F141" s="3" t="str" cm="1">
        <f t="array" aca="1" ref="F141" ca="1">IFERROR(
 INDEX(
  _xlfn._xlws.FILTER($U$1:$AX$1,
   TRANSPOSE(
    CHOOSE({1;2;3;4;5;6;7;8;9;10;11;12;13;14;15;16;17;18;19;20;21;22;23;24;25;26;27;28;29;30},
     COUNTIFS($U$2:$U$200,$G141)&gt;0,
     COUNTIFS($V$2:$V$200,$G141)&gt;0,
     COUNTIFS($W$2:$W$200,$G141)&gt;0,
     COUNTIFS($X$2:$X$200,$G141)&gt;0,
     COUNTIFS($Y$2:$Y$200,$G141)&gt;0,
     COUNTIFS($Z$2:$Z$200,$G141)&gt;0,
     COUNTIFS($AA$2:$AA$200,$G141)&gt;0,
     COUNTIFS($AB$2:$AB$200,$G141)&gt;0,
     COUNTIFS($AC$2:$AC$200,$G141)&gt;0,
     COUNTIFS($AD$2:$AD$200,$G141)&gt;0,
     COUNTIFS($AE$2:$AE$200,$G141)&gt;0,
     COUNTIFS($AF$2:$AF$200,$G141)&gt;0,
     COUNTIFS($AG$2:$AG$200,$G141)&gt;0,
     COUNTIFS($AH$2:$AH$200,$G141)&gt;0,
     COUNTIFS($AI$2:$AI$200,$G141)&gt;0,
     COUNTIFS($AJ$2:$AJ$200,$G141)&gt;0,
     COUNTIFS($AK$2:$AK$200,$G141)&gt;0,
     COUNTIFS($AL$2:$AL$200,$G141)&gt;0,
     COUNTIFS($AM$2:$AM$200,$G141)&gt;0,
     COUNTIFS($AN$2:$AN$200,$G141)&gt;0,
     COUNTIFS($AO$2:$AO$200,$G141)&gt;0,
     COUNTIFS($AP$2:$AP$200,$G141)&gt;0,
     COUNTIFS($AQ$2:$AQ$200,$G141)&gt;0,
     COUNTIFS($AR$2:$AR$200,$G141)&gt;0,
     COUNTIFS($AS$2:$AS$200,$G141)&gt;0,
     COUNTIFS($AT$2:$AT$200,$G141)&gt;0,
     COUNTIFS($AU$2:$AU$200,$G141)&gt;0,
     COUNTIFS($AV$2:$AV$200,$G141)&gt;0,
     COUNTIFS($AW$2:$AW$200,$G141)&gt;0,
     COUNTIFS($AX$2:$AX$200,$G141)&gt;0
   )),
  ),
  4
 ),
"")</f>
        <v/>
      </c>
      <c r="G141" t="str">
        <f ca="1"/>
        <v>Karn's Bastion</v>
      </c>
      <c r="CB141" t="str">
        <f ca="1"/>
        <v>Thought Vessel</v>
      </c>
      <c r="CG141" t="str">
        <f ca="1"/>
        <v>Ozolith, the Shattered Spire</v>
      </c>
      <c r="CJ141" t="str">
        <f ca="1"/>
        <v>Karn's Bastion</v>
      </c>
    </row>
    <row r="142" spans="1:88" x14ac:dyDescent="0.25">
      <c r="A142" s="3" t="str">
        <f t="shared" ca="1" si="6"/>
        <v>2</v>
      </c>
      <c r="B142" s="3">
        <f t="shared" ca="1" si="7"/>
        <v>1</v>
      </c>
      <c r="C142" s="3" t="str">
        <f ca="1">IFERROR(
 INDEX($U$1:$AX$1,
  MATCH(TRUE,
   CHOOSE({1;2;3;4;5;6;7;8;9;10;11;12;13;14;15;16;17;18;19;20;21;22;23;24;25;26;27;28;29;30;31;32},
    COUNTIFS($U$2:$U$200,$G142)&gt;0,
    COUNTIFS($V$2:$V$200,$G142)&gt;0,
    COUNTIFS($W$2:$W$200,$G142)&gt;0,
    COUNTIFS($X$2:$X$200,$G142)&gt;0,
    COUNTIFS($Y$2:$Y$200,$G142)&gt;0,
    COUNTIFS($Z$2:$Z$200,$G142)&gt;0,
    COUNTIFS($AA$2:$AA$200,$G142)&gt;0,
    COUNTIFS($AB$2:$AB$200,$G142)&gt;0,
    COUNTIFS($AC$2:$AC$200,$G142)&gt;0,
    COUNTIFS($AD$2:$AD$200,$G142)&gt;0,
    COUNTIFS($AE$2:$AE$200,$G142)&gt;0,
    COUNTIFS($AF$2:$AF$200,$G142)&gt;0,
    COUNTIFS($AG$2:$AG$200,$G142)&gt;0,
    COUNTIFS($AH$2:$AH$200,$G142)&gt;0,
    COUNTIFS($AI$2:$AI$200,$G142)&gt;0,
    COUNTIFS($AJ$2:$AJ$200,$G142)&gt;0,
    COUNTIFS($AK$2:$AK$200,$G142)&gt;0,
    COUNTIFS($AL$2:$AL$200,$G142)&gt;0,
    COUNTIFS($AM$2:$AM$200,$G142)&gt;0,
    COUNTIFS($AN$2:$AN$200,$G142)&gt;0,
    COUNTIFS($AO$2:$AO$200,$G142)&gt;0,
    COUNTIFS($AP$2:$AP$200,$G142)&gt;0,
    COUNTIFS($AQ$2:$AQ$200,$G142)&gt;0,
    COUNTIFS($AR$2:$AR$200,$G142)&gt;0,
    COUNTIFS($AS$2:$AS$200,$G142)&gt;0,
    COUNTIFS($AT$2:$AT$200,$G142)&gt;0,
    COUNTIFS($AU$2:$AU$200,$G142)&gt;0,
    COUNTIFS($AV$2:$AV$200,$G142)&gt;0,
    COUNTIFS($AW$2:$AW$200,$G142)&gt;0,
    COUNTIFS($AX$2:$AX$200,$G142)&gt;0
   ),
  0)
 ),
"")</f>
        <v>Baylen</v>
      </c>
      <c r="D142" s="3" t="str" cm="1">
        <f t="array" aca="1" ref="D142" ca="1">IFERROR(
 INDEX(
  _xlfn._xlws.FILTER($U$1:$AX$1,
   TRANSPOSE(
    CHOOSE({1;2;3;4;5;6;7;8;9;10;11;12;13;14;15;16;17;18;19;20;21;22;23;24;25;26;27;28;29;30},
     COUNTIFS($U$2:$U$200,$G142)&gt;0,
     COUNTIFS($V$2:$V$200,$G142)&gt;0,
     COUNTIFS($W$2:$W$200,$G142)&gt;0,
     COUNTIFS($X$2:$X$200,$G142)&gt;0,
     COUNTIFS($Y$2:$Y$200,$G142)&gt;0,
     COUNTIFS($Z$2:$Z$200,$G142)&gt;0,
     COUNTIFS($AA$2:$AA$200,$G142)&gt;0,
     COUNTIFS($AB$2:$AB$200,$G142)&gt;0,
     COUNTIFS($AC$2:$AC$200,$G142)&gt;0,
     COUNTIFS($AD$2:$AD$200,$G142)&gt;0,
     COUNTIFS($AE$2:$AE$200,$G142)&gt;0,
     COUNTIFS($AF$2:$AF$200,$G142)&gt;0,
     COUNTIFS($AG$2:$AG$200,$G142)&gt;0,
     COUNTIFS($AH$2:$AH$200,$G142)&gt;0,
     COUNTIFS($AI$2:$AI$200,$G142)&gt;0,
     COUNTIFS($AJ$2:$AJ$200,$G142)&gt;0,
     COUNTIFS($AK$2:$AK$200,$G142)&gt;0,
     COUNTIFS($AL$2:$AL$200,$G142)&gt;0,
     COUNTIFS($AM$2:$AM$200,$G142)&gt;0,
     COUNTIFS($AN$2:$AN$200,$G142)&gt;0,
     COUNTIFS($AO$2:$AO$200,$G142)&gt;0,
     COUNTIFS($AP$2:$AP$200,$G142)&gt;0,
     COUNTIFS($AQ$2:$AQ$200,$G142)&gt;0,
     COUNTIFS($AR$2:$AR$200,$G142)&gt;0,
     COUNTIFS($AS$2:$AS$200,$G142)&gt;0,
     COUNTIFS($AT$2:$AT$200,$G142)&gt;0,
     COUNTIFS($AU$2:$AU$200,$G142)&gt;0,
     COUNTIFS($AV$2:$AV$200,$G142)&gt;0,
     COUNTIFS($AW$2:$AW$200,$G142)&gt;0,
     COUNTIFS($AX$2:$AX$200,$G142)&gt;0
   )),
  ),
  2
 ),
"")</f>
        <v/>
      </c>
      <c r="E142" s="3" t="str" cm="1">
        <f t="array" aca="1" ref="E142" ca="1">IFERROR(
 INDEX(
  _xlfn._xlws.FILTER($U$1:$AX$1,
   TRANSPOSE(
    CHOOSE({1;2;3;4;5;6;7;8;9;10;11;12;13;14;15;16;17;18;19;20;21;22;23;24;25;26;27;28;29;30},
     COUNTIFS($U$2:$U$200,$G142)&gt;0,
     COUNTIFS($V$2:$V$200,$G142)&gt;0,
     COUNTIFS($W$2:$W$200,$G142)&gt;0,
     COUNTIFS($X$2:$X$200,$G142)&gt;0,
     COUNTIFS($Y$2:$Y$200,$G142)&gt;0,
     COUNTIFS($Z$2:$Z$200,$G142)&gt;0,
     COUNTIFS($AA$2:$AA$200,$G142)&gt;0,
     COUNTIFS($AB$2:$AB$200,$G142)&gt;0,
     COUNTIFS($AC$2:$AC$200,$G142)&gt;0,
     COUNTIFS($AD$2:$AD$200,$G142)&gt;0,
     COUNTIFS($AE$2:$AE$200,$G142)&gt;0,
     COUNTIFS($AF$2:$AF$200,$G142)&gt;0,
     COUNTIFS($AG$2:$AG$200,$G142)&gt;0,
     COUNTIFS($AH$2:$AH$200,$G142)&gt;0,
     COUNTIFS($AI$2:$AI$200,$G142)&gt;0,
     COUNTIFS($AJ$2:$AJ$200,$G142)&gt;0,
     COUNTIFS($AK$2:$AK$200,$G142)&gt;0,
     COUNTIFS($AL$2:$AL$200,$G142)&gt;0,
     COUNTIFS($AM$2:$AM$200,$G142)&gt;0,
     COUNTIFS($AN$2:$AN$200,$G142)&gt;0,
     COUNTIFS($AO$2:$AO$200,$G142)&gt;0,
     COUNTIFS($AP$2:$AP$200,$G142)&gt;0,
     COUNTIFS($AQ$2:$AQ$200,$G142)&gt;0,
     COUNTIFS($AR$2:$AR$200,$G142)&gt;0,
     COUNTIFS($AS$2:$AS$200,$G142)&gt;0,
     COUNTIFS($AT$2:$AT$200,$G142)&gt;0,
     COUNTIFS($AU$2:$AU$200,$G142)&gt;0,
     COUNTIFS($AV$2:$AV$200,$G142)&gt;0,
     COUNTIFS($AW$2:$AW$200,$G142)&gt;0,
     COUNTIFS($AX$2:$AX$200,$G142)&gt;0
   )),
  ),
  3
 ),
"")</f>
        <v/>
      </c>
      <c r="F142" s="3" t="str" cm="1">
        <f t="array" aca="1" ref="F142" ca="1">IFERROR(
 INDEX(
  _xlfn._xlws.FILTER($U$1:$AX$1,
   TRANSPOSE(
    CHOOSE({1;2;3;4;5;6;7;8;9;10;11;12;13;14;15;16;17;18;19;20;21;22;23;24;25;26;27;28;29;30},
     COUNTIFS($U$2:$U$200,$G142)&gt;0,
     COUNTIFS($V$2:$V$200,$G142)&gt;0,
     COUNTIFS($W$2:$W$200,$G142)&gt;0,
     COUNTIFS($X$2:$X$200,$G142)&gt;0,
     COUNTIFS($Y$2:$Y$200,$G142)&gt;0,
     COUNTIFS($Z$2:$Z$200,$G142)&gt;0,
     COUNTIFS($AA$2:$AA$200,$G142)&gt;0,
     COUNTIFS($AB$2:$AB$200,$G142)&gt;0,
     COUNTIFS($AC$2:$AC$200,$G142)&gt;0,
     COUNTIFS($AD$2:$AD$200,$G142)&gt;0,
     COUNTIFS($AE$2:$AE$200,$G142)&gt;0,
     COUNTIFS($AF$2:$AF$200,$G142)&gt;0,
     COUNTIFS($AG$2:$AG$200,$G142)&gt;0,
     COUNTIFS($AH$2:$AH$200,$G142)&gt;0,
     COUNTIFS($AI$2:$AI$200,$G142)&gt;0,
     COUNTIFS($AJ$2:$AJ$200,$G142)&gt;0,
     COUNTIFS($AK$2:$AK$200,$G142)&gt;0,
     COUNTIFS($AL$2:$AL$200,$G142)&gt;0,
     COUNTIFS($AM$2:$AM$200,$G142)&gt;0,
     COUNTIFS($AN$2:$AN$200,$G142)&gt;0,
     COUNTIFS($AO$2:$AO$200,$G142)&gt;0,
     COUNTIFS($AP$2:$AP$200,$G142)&gt;0,
     COUNTIFS($AQ$2:$AQ$200,$G142)&gt;0,
     COUNTIFS($AR$2:$AR$200,$G142)&gt;0,
     COUNTIFS($AS$2:$AS$200,$G142)&gt;0,
     COUNTIFS($AT$2:$AT$200,$G142)&gt;0,
     COUNTIFS($AU$2:$AU$200,$G142)&gt;0,
     COUNTIFS($AV$2:$AV$200,$G142)&gt;0,
     COUNTIFS($AW$2:$AW$200,$G142)&gt;0,
     COUNTIFS($AX$2:$AX$200,$G142)&gt;0
   )),
  ),
  4
 ),
"")</f>
        <v/>
      </c>
      <c r="G142" t="str">
        <f ca="1"/>
        <v>Karplusan Forest</v>
      </c>
      <c r="CB142" t="str">
        <f ca="1"/>
        <v>Thousand-Year Elixir</v>
      </c>
      <c r="CG142" t="str">
        <f ca="1"/>
        <v>Patrolling Peacemaker</v>
      </c>
      <c r="CJ142" t="str">
        <f ca="1"/>
        <v>Karplusan Forest</v>
      </c>
    </row>
    <row r="143" spans="1:88" x14ac:dyDescent="0.25">
      <c r="A143" s="3" t="str">
        <f t="shared" ca="1" si="6"/>
        <v>3</v>
      </c>
      <c r="B143" s="3">
        <f t="shared" ca="1" si="7"/>
        <v>1</v>
      </c>
      <c r="C143" s="3" t="str">
        <f ca="1">IFERROR(
 INDEX($U$1:$AX$1,
  MATCH(TRUE,
   CHOOSE({1;2;3;4;5;6;7;8;9;10;11;12;13;14;15;16;17;18;19;20;21;22;23;24;25;26;27;28;29;30;31;32},
    COUNTIFS($U$2:$U$200,$G143)&gt;0,
    COUNTIFS($V$2:$V$200,$G143)&gt;0,
    COUNTIFS($W$2:$W$200,$G143)&gt;0,
    COUNTIFS($X$2:$X$200,$G143)&gt;0,
    COUNTIFS($Y$2:$Y$200,$G143)&gt;0,
    COUNTIFS($Z$2:$Z$200,$G143)&gt;0,
    COUNTIFS($AA$2:$AA$200,$G143)&gt;0,
    COUNTIFS($AB$2:$AB$200,$G143)&gt;0,
    COUNTIFS($AC$2:$AC$200,$G143)&gt;0,
    COUNTIFS($AD$2:$AD$200,$G143)&gt;0,
    COUNTIFS($AE$2:$AE$200,$G143)&gt;0,
    COUNTIFS($AF$2:$AF$200,$G143)&gt;0,
    COUNTIFS($AG$2:$AG$200,$G143)&gt;0,
    COUNTIFS($AH$2:$AH$200,$G143)&gt;0,
    COUNTIFS($AI$2:$AI$200,$G143)&gt;0,
    COUNTIFS($AJ$2:$AJ$200,$G143)&gt;0,
    COUNTIFS($AK$2:$AK$200,$G143)&gt;0,
    COUNTIFS($AL$2:$AL$200,$G143)&gt;0,
    COUNTIFS($AM$2:$AM$200,$G143)&gt;0,
    COUNTIFS($AN$2:$AN$200,$G143)&gt;0,
    COUNTIFS($AO$2:$AO$200,$G143)&gt;0,
    COUNTIFS($AP$2:$AP$200,$G143)&gt;0,
    COUNTIFS($AQ$2:$AQ$200,$G143)&gt;0,
    COUNTIFS($AR$2:$AR$200,$G143)&gt;0,
    COUNTIFS($AS$2:$AS$200,$G143)&gt;0,
    COUNTIFS($AT$2:$AT$200,$G143)&gt;0,
    COUNTIFS($AU$2:$AU$200,$G143)&gt;0,
    COUNTIFS($AV$2:$AV$200,$G143)&gt;0,
    COUNTIFS($AW$2:$AW$200,$G143)&gt;0,
    COUNTIFS($AX$2:$AX$200,$G143)&gt;0
   ),
  0)
 ),
"")</f>
        <v>Sisay</v>
      </c>
      <c r="D143" s="3" t="str" cm="1">
        <f t="array" aca="1" ref="D143" ca="1">IFERROR(
 INDEX(
  _xlfn._xlws.FILTER($U$1:$AX$1,
   TRANSPOSE(
    CHOOSE({1;2;3;4;5;6;7;8;9;10;11;12;13;14;15;16;17;18;19;20;21;22;23;24;25;26;27;28;29;30},
     COUNTIFS($U$2:$U$200,$G143)&gt;0,
     COUNTIFS($V$2:$V$200,$G143)&gt;0,
     COUNTIFS($W$2:$W$200,$G143)&gt;0,
     COUNTIFS($X$2:$X$200,$G143)&gt;0,
     COUNTIFS($Y$2:$Y$200,$G143)&gt;0,
     COUNTIFS($Z$2:$Z$200,$G143)&gt;0,
     COUNTIFS($AA$2:$AA$200,$G143)&gt;0,
     COUNTIFS($AB$2:$AB$200,$G143)&gt;0,
     COUNTIFS($AC$2:$AC$200,$G143)&gt;0,
     COUNTIFS($AD$2:$AD$200,$G143)&gt;0,
     COUNTIFS($AE$2:$AE$200,$G143)&gt;0,
     COUNTIFS($AF$2:$AF$200,$G143)&gt;0,
     COUNTIFS($AG$2:$AG$200,$G143)&gt;0,
     COUNTIFS($AH$2:$AH$200,$G143)&gt;0,
     COUNTIFS($AI$2:$AI$200,$G143)&gt;0,
     COUNTIFS($AJ$2:$AJ$200,$G143)&gt;0,
     COUNTIFS($AK$2:$AK$200,$G143)&gt;0,
     COUNTIFS($AL$2:$AL$200,$G143)&gt;0,
     COUNTIFS($AM$2:$AM$200,$G143)&gt;0,
     COUNTIFS($AN$2:$AN$200,$G143)&gt;0,
     COUNTIFS($AO$2:$AO$200,$G143)&gt;0,
     COUNTIFS($AP$2:$AP$200,$G143)&gt;0,
     COUNTIFS($AQ$2:$AQ$200,$G143)&gt;0,
     COUNTIFS($AR$2:$AR$200,$G143)&gt;0,
     COUNTIFS($AS$2:$AS$200,$G143)&gt;0,
     COUNTIFS($AT$2:$AT$200,$G143)&gt;0,
     COUNTIFS($AU$2:$AU$200,$G143)&gt;0,
     COUNTIFS($AV$2:$AV$200,$G143)&gt;0,
     COUNTIFS($AW$2:$AW$200,$G143)&gt;0,
     COUNTIFS($AX$2:$AX$200,$G143)&gt;0
   )),
  ),
  2
 ),
"")</f>
        <v/>
      </c>
      <c r="E143" s="3" t="str" cm="1">
        <f t="array" aca="1" ref="E143" ca="1">IFERROR(
 INDEX(
  _xlfn._xlws.FILTER($U$1:$AX$1,
   TRANSPOSE(
    CHOOSE({1;2;3;4;5;6;7;8;9;10;11;12;13;14;15;16;17;18;19;20;21;22;23;24;25;26;27;28;29;30},
     COUNTIFS($U$2:$U$200,$G143)&gt;0,
     COUNTIFS($V$2:$V$200,$G143)&gt;0,
     COUNTIFS($W$2:$W$200,$G143)&gt;0,
     COUNTIFS($X$2:$X$200,$G143)&gt;0,
     COUNTIFS($Y$2:$Y$200,$G143)&gt;0,
     COUNTIFS($Z$2:$Z$200,$G143)&gt;0,
     COUNTIFS($AA$2:$AA$200,$G143)&gt;0,
     COUNTIFS($AB$2:$AB$200,$G143)&gt;0,
     COUNTIFS($AC$2:$AC$200,$G143)&gt;0,
     COUNTIFS($AD$2:$AD$200,$G143)&gt;0,
     COUNTIFS($AE$2:$AE$200,$G143)&gt;0,
     COUNTIFS($AF$2:$AF$200,$G143)&gt;0,
     COUNTIFS($AG$2:$AG$200,$G143)&gt;0,
     COUNTIFS($AH$2:$AH$200,$G143)&gt;0,
     COUNTIFS($AI$2:$AI$200,$G143)&gt;0,
     COUNTIFS($AJ$2:$AJ$200,$G143)&gt;0,
     COUNTIFS($AK$2:$AK$200,$G143)&gt;0,
     COUNTIFS($AL$2:$AL$200,$G143)&gt;0,
     COUNTIFS($AM$2:$AM$200,$G143)&gt;0,
     COUNTIFS($AN$2:$AN$200,$G143)&gt;0,
     COUNTIFS($AO$2:$AO$200,$G143)&gt;0,
     COUNTIFS($AP$2:$AP$200,$G143)&gt;0,
     COUNTIFS($AQ$2:$AQ$200,$G143)&gt;0,
     COUNTIFS($AR$2:$AR$200,$G143)&gt;0,
     COUNTIFS($AS$2:$AS$200,$G143)&gt;0,
     COUNTIFS($AT$2:$AT$200,$G143)&gt;0,
     COUNTIFS($AU$2:$AU$200,$G143)&gt;0,
     COUNTIFS($AV$2:$AV$200,$G143)&gt;0,
     COUNTIFS($AW$2:$AW$200,$G143)&gt;0,
     COUNTIFS($AX$2:$AX$200,$G143)&gt;0
   )),
  ),
  3
 ),
"")</f>
        <v/>
      </c>
      <c r="F143" s="3" t="str" cm="1">
        <f t="array" aca="1" ref="F143" ca="1">IFERROR(
 INDEX(
  _xlfn._xlws.FILTER($U$1:$AX$1,
   TRANSPOSE(
    CHOOSE({1;2;3;4;5;6;7;8;9;10;11;12;13;14;15;16;17;18;19;20;21;22;23;24;25;26;27;28;29;30},
     COUNTIFS($U$2:$U$200,$G143)&gt;0,
     COUNTIFS($V$2:$V$200,$G143)&gt;0,
     COUNTIFS($W$2:$W$200,$G143)&gt;0,
     COUNTIFS($X$2:$X$200,$G143)&gt;0,
     COUNTIFS($Y$2:$Y$200,$G143)&gt;0,
     COUNTIFS($Z$2:$Z$200,$G143)&gt;0,
     COUNTIFS($AA$2:$AA$200,$G143)&gt;0,
     COUNTIFS($AB$2:$AB$200,$G143)&gt;0,
     COUNTIFS($AC$2:$AC$200,$G143)&gt;0,
     COUNTIFS($AD$2:$AD$200,$G143)&gt;0,
     COUNTIFS($AE$2:$AE$200,$G143)&gt;0,
     COUNTIFS($AF$2:$AF$200,$G143)&gt;0,
     COUNTIFS($AG$2:$AG$200,$G143)&gt;0,
     COUNTIFS($AH$2:$AH$200,$G143)&gt;0,
     COUNTIFS($AI$2:$AI$200,$G143)&gt;0,
     COUNTIFS($AJ$2:$AJ$200,$G143)&gt;0,
     COUNTIFS($AK$2:$AK$200,$G143)&gt;0,
     COUNTIFS($AL$2:$AL$200,$G143)&gt;0,
     COUNTIFS($AM$2:$AM$200,$G143)&gt;0,
     COUNTIFS($AN$2:$AN$200,$G143)&gt;0,
     COUNTIFS($AO$2:$AO$200,$G143)&gt;0,
     COUNTIFS($AP$2:$AP$200,$G143)&gt;0,
     COUNTIFS($AQ$2:$AQ$200,$G143)&gt;0,
     COUNTIFS($AR$2:$AR$200,$G143)&gt;0,
     COUNTIFS($AS$2:$AS$200,$G143)&gt;0,
     COUNTIFS($AT$2:$AT$200,$G143)&gt;0,
     COUNTIFS($AU$2:$AU$200,$G143)&gt;0,
     COUNTIFS($AV$2:$AV$200,$G143)&gt;0,
     COUNTIFS($AW$2:$AW$200,$G143)&gt;0,
     COUNTIFS($AX$2:$AX$200,$G143)&gt;0
   )),
  ),
  4
 ),
"")</f>
        <v/>
      </c>
      <c r="G143" t="str">
        <f ca="1"/>
        <v>Kaya the Inexorable</v>
      </c>
      <c r="CB143" t="str">
        <f ca="1"/>
        <v>Three Visits</v>
      </c>
      <c r="CG143" t="str">
        <f ca="1"/>
        <v>Petrified Field</v>
      </c>
      <c r="CJ143" t="str">
        <f ca="1"/>
        <v>Kaya the Inexorable</v>
      </c>
    </row>
    <row r="144" spans="1:88" x14ac:dyDescent="0.25">
      <c r="A144" s="3" t="str">
        <f t="shared" ca="1" si="6"/>
        <v>3</v>
      </c>
      <c r="B144" s="3">
        <f t="shared" ca="1" si="7"/>
        <v>1</v>
      </c>
      <c r="C144" s="3" t="str">
        <f ca="1">IFERROR(
 INDEX($U$1:$AX$1,
  MATCH(TRUE,
   CHOOSE({1;2;3;4;5;6;7;8;9;10;11;12;13;14;15;16;17;18;19;20;21;22;23;24;25;26;27;28;29;30;31;32},
    COUNTIFS($U$2:$U$200,$G144)&gt;0,
    COUNTIFS($V$2:$V$200,$G144)&gt;0,
    COUNTIFS($W$2:$W$200,$G144)&gt;0,
    COUNTIFS($X$2:$X$200,$G144)&gt;0,
    COUNTIFS($Y$2:$Y$200,$G144)&gt;0,
    COUNTIFS($Z$2:$Z$200,$G144)&gt;0,
    COUNTIFS($AA$2:$AA$200,$G144)&gt;0,
    COUNTIFS($AB$2:$AB$200,$G144)&gt;0,
    COUNTIFS($AC$2:$AC$200,$G144)&gt;0,
    COUNTIFS($AD$2:$AD$200,$G144)&gt;0,
    COUNTIFS($AE$2:$AE$200,$G144)&gt;0,
    COUNTIFS($AF$2:$AF$200,$G144)&gt;0,
    COUNTIFS($AG$2:$AG$200,$G144)&gt;0,
    COUNTIFS($AH$2:$AH$200,$G144)&gt;0,
    COUNTIFS($AI$2:$AI$200,$G144)&gt;0,
    COUNTIFS($AJ$2:$AJ$200,$G144)&gt;0,
    COUNTIFS($AK$2:$AK$200,$G144)&gt;0,
    COUNTIFS($AL$2:$AL$200,$G144)&gt;0,
    COUNTIFS($AM$2:$AM$200,$G144)&gt;0,
    COUNTIFS($AN$2:$AN$200,$G144)&gt;0,
    COUNTIFS($AO$2:$AO$200,$G144)&gt;0,
    COUNTIFS($AP$2:$AP$200,$G144)&gt;0,
    COUNTIFS($AQ$2:$AQ$200,$G144)&gt;0,
    COUNTIFS($AR$2:$AR$200,$G144)&gt;0,
    COUNTIFS($AS$2:$AS$200,$G144)&gt;0,
    COUNTIFS($AT$2:$AT$200,$G144)&gt;0,
    COUNTIFS($AU$2:$AU$200,$G144)&gt;0,
    COUNTIFS($AV$2:$AV$200,$G144)&gt;0,
    COUNTIFS($AW$2:$AW$200,$G144)&gt;0,
    COUNTIFS($AX$2:$AX$200,$G144)&gt;0
   ),
  0)
 ),
"")</f>
        <v>Carlos</v>
      </c>
      <c r="D144" s="3" t="str" cm="1">
        <f t="array" aca="1" ref="D144" ca="1">IFERROR(
 INDEX(
  _xlfn._xlws.FILTER($U$1:$AX$1,
   TRANSPOSE(
    CHOOSE({1;2;3;4;5;6;7;8;9;10;11;12;13;14;15;16;17;18;19;20;21;22;23;24;25;26;27;28;29;30},
     COUNTIFS($U$2:$U$200,$G144)&gt;0,
     COUNTIFS($V$2:$V$200,$G144)&gt;0,
     COUNTIFS($W$2:$W$200,$G144)&gt;0,
     COUNTIFS($X$2:$X$200,$G144)&gt;0,
     COUNTIFS($Y$2:$Y$200,$G144)&gt;0,
     COUNTIFS($Z$2:$Z$200,$G144)&gt;0,
     COUNTIFS($AA$2:$AA$200,$G144)&gt;0,
     COUNTIFS($AB$2:$AB$200,$G144)&gt;0,
     COUNTIFS($AC$2:$AC$200,$G144)&gt;0,
     COUNTIFS($AD$2:$AD$200,$G144)&gt;0,
     COUNTIFS($AE$2:$AE$200,$G144)&gt;0,
     COUNTIFS($AF$2:$AF$200,$G144)&gt;0,
     COUNTIFS($AG$2:$AG$200,$G144)&gt;0,
     COUNTIFS($AH$2:$AH$200,$G144)&gt;0,
     COUNTIFS($AI$2:$AI$200,$G144)&gt;0,
     COUNTIFS($AJ$2:$AJ$200,$G144)&gt;0,
     COUNTIFS($AK$2:$AK$200,$G144)&gt;0,
     COUNTIFS($AL$2:$AL$200,$G144)&gt;0,
     COUNTIFS($AM$2:$AM$200,$G144)&gt;0,
     COUNTIFS($AN$2:$AN$200,$G144)&gt;0,
     COUNTIFS($AO$2:$AO$200,$G144)&gt;0,
     COUNTIFS($AP$2:$AP$200,$G144)&gt;0,
     COUNTIFS($AQ$2:$AQ$200,$G144)&gt;0,
     COUNTIFS($AR$2:$AR$200,$G144)&gt;0,
     COUNTIFS($AS$2:$AS$200,$G144)&gt;0,
     COUNTIFS($AT$2:$AT$200,$G144)&gt;0,
     COUNTIFS($AU$2:$AU$200,$G144)&gt;0,
     COUNTIFS($AV$2:$AV$200,$G144)&gt;0,
     COUNTIFS($AW$2:$AW$200,$G144)&gt;0,
     COUNTIFS($AX$2:$AX$200,$G144)&gt;0
   )),
  ),
  2
 ),
"")</f>
        <v/>
      </c>
      <c r="E144" s="3" t="str" cm="1">
        <f t="array" aca="1" ref="E144" ca="1">IFERROR(
 INDEX(
  _xlfn._xlws.FILTER($U$1:$AX$1,
   TRANSPOSE(
    CHOOSE({1;2;3;4;5;6;7;8;9;10;11;12;13;14;15;16;17;18;19;20;21;22;23;24;25;26;27;28;29;30},
     COUNTIFS($U$2:$U$200,$G144)&gt;0,
     COUNTIFS($V$2:$V$200,$G144)&gt;0,
     COUNTIFS($W$2:$W$200,$G144)&gt;0,
     COUNTIFS($X$2:$X$200,$G144)&gt;0,
     COUNTIFS($Y$2:$Y$200,$G144)&gt;0,
     COUNTIFS($Z$2:$Z$200,$G144)&gt;0,
     COUNTIFS($AA$2:$AA$200,$G144)&gt;0,
     COUNTIFS($AB$2:$AB$200,$G144)&gt;0,
     COUNTIFS($AC$2:$AC$200,$G144)&gt;0,
     COUNTIFS($AD$2:$AD$200,$G144)&gt;0,
     COUNTIFS($AE$2:$AE$200,$G144)&gt;0,
     COUNTIFS($AF$2:$AF$200,$G144)&gt;0,
     COUNTIFS($AG$2:$AG$200,$G144)&gt;0,
     COUNTIFS($AH$2:$AH$200,$G144)&gt;0,
     COUNTIFS($AI$2:$AI$200,$G144)&gt;0,
     COUNTIFS($AJ$2:$AJ$200,$G144)&gt;0,
     COUNTIFS($AK$2:$AK$200,$G144)&gt;0,
     COUNTIFS($AL$2:$AL$200,$G144)&gt;0,
     COUNTIFS($AM$2:$AM$200,$G144)&gt;0,
     COUNTIFS($AN$2:$AN$200,$G144)&gt;0,
     COUNTIFS($AO$2:$AO$200,$G144)&gt;0,
     COUNTIFS($AP$2:$AP$200,$G144)&gt;0,
     COUNTIFS($AQ$2:$AQ$200,$G144)&gt;0,
     COUNTIFS($AR$2:$AR$200,$G144)&gt;0,
     COUNTIFS($AS$2:$AS$200,$G144)&gt;0,
     COUNTIFS($AT$2:$AT$200,$G144)&gt;0,
     COUNTIFS($AU$2:$AU$200,$G144)&gt;0,
     COUNTIFS($AV$2:$AV$200,$G144)&gt;0,
     COUNTIFS($AW$2:$AW$200,$G144)&gt;0,
     COUNTIFS($AX$2:$AX$200,$G144)&gt;0
   )),
  ),
  3
 ),
"")</f>
        <v/>
      </c>
      <c r="F144" s="3" t="str" cm="1">
        <f t="array" aca="1" ref="F144" ca="1">IFERROR(
 INDEX(
  _xlfn._xlws.FILTER($U$1:$AX$1,
   TRANSPOSE(
    CHOOSE({1;2;3;4;5;6;7;8;9;10;11;12;13;14;15;16;17;18;19;20;21;22;23;24;25;26;27;28;29;30},
     COUNTIFS($U$2:$U$200,$G144)&gt;0,
     COUNTIFS($V$2:$V$200,$G144)&gt;0,
     COUNTIFS($W$2:$W$200,$G144)&gt;0,
     COUNTIFS($X$2:$X$200,$G144)&gt;0,
     COUNTIFS($Y$2:$Y$200,$G144)&gt;0,
     COUNTIFS($Z$2:$Z$200,$G144)&gt;0,
     COUNTIFS($AA$2:$AA$200,$G144)&gt;0,
     COUNTIFS($AB$2:$AB$200,$G144)&gt;0,
     COUNTIFS($AC$2:$AC$200,$G144)&gt;0,
     COUNTIFS($AD$2:$AD$200,$G144)&gt;0,
     COUNTIFS($AE$2:$AE$200,$G144)&gt;0,
     COUNTIFS($AF$2:$AF$200,$G144)&gt;0,
     COUNTIFS($AG$2:$AG$200,$G144)&gt;0,
     COUNTIFS($AH$2:$AH$200,$G144)&gt;0,
     COUNTIFS($AI$2:$AI$200,$G144)&gt;0,
     COUNTIFS($AJ$2:$AJ$200,$G144)&gt;0,
     COUNTIFS($AK$2:$AK$200,$G144)&gt;0,
     COUNTIFS($AL$2:$AL$200,$G144)&gt;0,
     COUNTIFS($AM$2:$AM$200,$G144)&gt;0,
     COUNTIFS($AN$2:$AN$200,$G144)&gt;0,
     COUNTIFS($AO$2:$AO$200,$G144)&gt;0,
     COUNTIFS($AP$2:$AP$200,$G144)&gt;0,
     COUNTIFS($AQ$2:$AQ$200,$G144)&gt;0,
     COUNTIFS($AR$2:$AR$200,$G144)&gt;0,
     COUNTIFS($AS$2:$AS$200,$G144)&gt;0,
     COUNTIFS($AT$2:$AT$200,$G144)&gt;0,
     COUNTIFS($AU$2:$AU$200,$G144)&gt;0,
     COUNTIFS($AV$2:$AV$200,$G144)&gt;0,
     COUNTIFS($AW$2:$AW$200,$G144)&gt;0,
     COUNTIFS($AX$2:$AX$200,$G144)&gt;0
   )),
  ),
  4
 ),
"")</f>
        <v/>
      </c>
      <c r="G144" t="str">
        <f ca="1"/>
        <v>Keen Duelist</v>
      </c>
      <c r="CB144" t="str">
        <f ca="1"/>
        <v>Throne of the God-Pharaoh</v>
      </c>
      <c r="CG144" t="str">
        <f ca="1"/>
        <v>Phyrexian Tower</v>
      </c>
      <c r="CJ144" t="str">
        <f ca="1"/>
        <v>Keen Duelist</v>
      </c>
    </row>
    <row r="145" spans="1:88" x14ac:dyDescent="0.25">
      <c r="A145" s="3" t="str">
        <f t="shared" ca="1" si="6"/>
        <v>3</v>
      </c>
      <c r="B145" s="3">
        <f t="shared" ca="1" si="7"/>
        <v>1</v>
      </c>
      <c r="C145" s="3" t="str">
        <f ca="1">IFERROR(
 INDEX($U$1:$AX$1,
  MATCH(TRUE,
   CHOOSE({1;2;3;4;5;6;7;8;9;10;11;12;13;14;15;16;17;18;19;20;21;22;23;24;25;26;27;28;29;30;31;32},
    COUNTIFS($U$2:$U$200,$G145)&gt;0,
    COUNTIFS($V$2:$V$200,$G145)&gt;0,
    COUNTIFS($W$2:$W$200,$G145)&gt;0,
    COUNTIFS($X$2:$X$200,$G145)&gt;0,
    COUNTIFS($Y$2:$Y$200,$G145)&gt;0,
    COUNTIFS($Z$2:$Z$200,$G145)&gt;0,
    COUNTIFS($AA$2:$AA$200,$G145)&gt;0,
    COUNTIFS($AB$2:$AB$200,$G145)&gt;0,
    COUNTIFS($AC$2:$AC$200,$G145)&gt;0,
    COUNTIFS($AD$2:$AD$200,$G145)&gt;0,
    COUNTIFS($AE$2:$AE$200,$G145)&gt;0,
    COUNTIFS($AF$2:$AF$200,$G145)&gt;0,
    COUNTIFS($AG$2:$AG$200,$G145)&gt;0,
    COUNTIFS($AH$2:$AH$200,$G145)&gt;0,
    COUNTIFS($AI$2:$AI$200,$G145)&gt;0,
    COUNTIFS($AJ$2:$AJ$200,$G145)&gt;0,
    COUNTIFS($AK$2:$AK$200,$G145)&gt;0,
    COUNTIFS($AL$2:$AL$200,$G145)&gt;0,
    COUNTIFS($AM$2:$AM$200,$G145)&gt;0,
    COUNTIFS($AN$2:$AN$200,$G145)&gt;0,
    COUNTIFS($AO$2:$AO$200,$G145)&gt;0,
    COUNTIFS($AP$2:$AP$200,$G145)&gt;0,
    COUNTIFS($AQ$2:$AQ$200,$G145)&gt;0,
    COUNTIFS($AR$2:$AR$200,$G145)&gt;0,
    COUNTIFS($AS$2:$AS$200,$G145)&gt;0,
    COUNTIFS($AT$2:$AT$200,$G145)&gt;0,
    COUNTIFS($AU$2:$AU$200,$G145)&gt;0,
    COUNTIFS($AV$2:$AV$200,$G145)&gt;0,
    COUNTIFS($AW$2:$AW$200,$G145)&gt;0,
    COUNTIFS($AX$2:$AX$200,$G145)&gt;0
   ),
  0)
 ),
"")</f>
        <v>Akiri</v>
      </c>
      <c r="D145" s="3" t="str" cm="1">
        <f t="array" aca="1" ref="D145" ca="1">IFERROR(
 INDEX(
  _xlfn._xlws.FILTER($U$1:$AX$1,
   TRANSPOSE(
    CHOOSE({1;2;3;4;5;6;7;8;9;10;11;12;13;14;15;16;17;18;19;20;21;22;23;24;25;26;27;28;29;30},
     COUNTIFS($U$2:$U$200,$G145)&gt;0,
     COUNTIFS($V$2:$V$200,$G145)&gt;0,
     COUNTIFS($W$2:$W$200,$G145)&gt;0,
     COUNTIFS($X$2:$X$200,$G145)&gt;0,
     COUNTIFS($Y$2:$Y$200,$G145)&gt;0,
     COUNTIFS($Z$2:$Z$200,$G145)&gt;0,
     COUNTIFS($AA$2:$AA$200,$G145)&gt;0,
     COUNTIFS($AB$2:$AB$200,$G145)&gt;0,
     COUNTIFS($AC$2:$AC$200,$G145)&gt;0,
     COUNTIFS($AD$2:$AD$200,$G145)&gt;0,
     COUNTIFS($AE$2:$AE$200,$G145)&gt;0,
     COUNTIFS($AF$2:$AF$200,$G145)&gt;0,
     COUNTIFS($AG$2:$AG$200,$G145)&gt;0,
     COUNTIFS($AH$2:$AH$200,$G145)&gt;0,
     COUNTIFS($AI$2:$AI$200,$G145)&gt;0,
     COUNTIFS($AJ$2:$AJ$200,$G145)&gt;0,
     COUNTIFS($AK$2:$AK$200,$G145)&gt;0,
     COUNTIFS($AL$2:$AL$200,$G145)&gt;0,
     COUNTIFS($AM$2:$AM$200,$G145)&gt;0,
     COUNTIFS($AN$2:$AN$200,$G145)&gt;0,
     COUNTIFS($AO$2:$AO$200,$G145)&gt;0,
     COUNTIFS($AP$2:$AP$200,$G145)&gt;0,
     COUNTIFS($AQ$2:$AQ$200,$G145)&gt;0,
     COUNTIFS($AR$2:$AR$200,$G145)&gt;0,
     COUNTIFS($AS$2:$AS$200,$G145)&gt;0,
     COUNTIFS($AT$2:$AT$200,$G145)&gt;0,
     COUNTIFS($AU$2:$AU$200,$G145)&gt;0,
     COUNTIFS($AV$2:$AV$200,$G145)&gt;0,
     COUNTIFS($AW$2:$AW$200,$G145)&gt;0,
     COUNTIFS($AX$2:$AX$200,$G145)&gt;0
   )),
  ),
  2
 ),
"")</f>
        <v/>
      </c>
      <c r="E145" s="3" t="str" cm="1">
        <f t="array" aca="1" ref="E145" ca="1">IFERROR(
 INDEX(
  _xlfn._xlws.FILTER($U$1:$AX$1,
   TRANSPOSE(
    CHOOSE({1;2;3;4;5;6;7;8;9;10;11;12;13;14;15;16;17;18;19;20;21;22;23;24;25;26;27;28;29;30},
     COUNTIFS($U$2:$U$200,$G145)&gt;0,
     COUNTIFS($V$2:$V$200,$G145)&gt;0,
     COUNTIFS($W$2:$W$200,$G145)&gt;0,
     COUNTIFS($X$2:$X$200,$G145)&gt;0,
     COUNTIFS($Y$2:$Y$200,$G145)&gt;0,
     COUNTIFS($Z$2:$Z$200,$G145)&gt;0,
     COUNTIFS($AA$2:$AA$200,$G145)&gt;0,
     COUNTIFS($AB$2:$AB$200,$G145)&gt;0,
     COUNTIFS($AC$2:$AC$200,$G145)&gt;0,
     COUNTIFS($AD$2:$AD$200,$G145)&gt;0,
     COUNTIFS($AE$2:$AE$200,$G145)&gt;0,
     COUNTIFS($AF$2:$AF$200,$G145)&gt;0,
     COUNTIFS($AG$2:$AG$200,$G145)&gt;0,
     COUNTIFS($AH$2:$AH$200,$G145)&gt;0,
     COUNTIFS($AI$2:$AI$200,$G145)&gt;0,
     COUNTIFS($AJ$2:$AJ$200,$G145)&gt;0,
     COUNTIFS($AK$2:$AK$200,$G145)&gt;0,
     COUNTIFS($AL$2:$AL$200,$G145)&gt;0,
     COUNTIFS($AM$2:$AM$200,$G145)&gt;0,
     COUNTIFS($AN$2:$AN$200,$G145)&gt;0,
     COUNTIFS($AO$2:$AO$200,$G145)&gt;0,
     COUNTIFS($AP$2:$AP$200,$G145)&gt;0,
     COUNTIFS($AQ$2:$AQ$200,$G145)&gt;0,
     COUNTIFS($AR$2:$AR$200,$G145)&gt;0,
     COUNTIFS($AS$2:$AS$200,$G145)&gt;0,
     COUNTIFS($AT$2:$AT$200,$G145)&gt;0,
     COUNTIFS($AU$2:$AU$200,$G145)&gt;0,
     COUNTIFS($AV$2:$AV$200,$G145)&gt;0,
     COUNTIFS($AW$2:$AW$200,$G145)&gt;0,
     COUNTIFS($AX$2:$AX$200,$G145)&gt;0
   )),
  ),
  3
 ),
"")</f>
        <v/>
      </c>
      <c r="F145" s="3" t="str" cm="1">
        <f t="array" aca="1" ref="F145" ca="1">IFERROR(
 INDEX(
  _xlfn._xlws.FILTER($U$1:$AX$1,
   TRANSPOSE(
    CHOOSE({1;2;3;4;5;6;7;8;9;10;11;12;13;14;15;16;17;18;19;20;21;22;23;24;25;26;27;28;29;30},
     COUNTIFS($U$2:$U$200,$G145)&gt;0,
     COUNTIFS($V$2:$V$200,$G145)&gt;0,
     COUNTIFS($W$2:$W$200,$G145)&gt;0,
     COUNTIFS($X$2:$X$200,$G145)&gt;0,
     COUNTIFS($Y$2:$Y$200,$G145)&gt;0,
     COUNTIFS($Z$2:$Z$200,$G145)&gt;0,
     COUNTIFS($AA$2:$AA$200,$G145)&gt;0,
     COUNTIFS($AB$2:$AB$200,$G145)&gt;0,
     COUNTIFS($AC$2:$AC$200,$G145)&gt;0,
     COUNTIFS($AD$2:$AD$200,$G145)&gt;0,
     COUNTIFS($AE$2:$AE$200,$G145)&gt;0,
     COUNTIFS($AF$2:$AF$200,$G145)&gt;0,
     COUNTIFS($AG$2:$AG$200,$G145)&gt;0,
     COUNTIFS($AH$2:$AH$200,$G145)&gt;0,
     COUNTIFS($AI$2:$AI$200,$G145)&gt;0,
     COUNTIFS($AJ$2:$AJ$200,$G145)&gt;0,
     COUNTIFS($AK$2:$AK$200,$G145)&gt;0,
     COUNTIFS($AL$2:$AL$200,$G145)&gt;0,
     COUNTIFS($AM$2:$AM$200,$G145)&gt;0,
     COUNTIFS($AN$2:$AN$200,$G145)&gt;0,
     COUNTIFS($AO$2:$AO$200,$G145)&gt;0,
     COUNTIFS($AP$2:$AP$200,$G145)&gt;0,
     COUNTIFS($AQ$2:$AQ$200,$G145)&gt;0,
     COUNTIFS($AR$2:$AR$200,$G145)&gt;0,
     COUNTIFS($AS$2:$AS$200,$G145)&gt;0,
     COUNTIFS($AT$2:$AT$200,$G145)&gt;0,
     COUNTIFS($AU$2:$AU$200,$G145)&gt;0,
     COUNTIFS($AV$2:$AV$200,$G145)&gt;0,
     COUNTIFS($AW$2:$AW$200,$G145)&gt;0,
     COUNTIFS($AX$2:$AX$200,$G145)&gt;0
   )),
  ),
  4
 ),
"")</f>
        <v/>
      </c>
      <c r="G145" t="str">
        <f ca="1"/>
        <v>Kellan, the Fae-Blooded // Birthright Boon</v>
      </c>
      <c r="CB145" t="str">
        <f ca="1"/>
        <v>Time of Need</v>
      </c>
      <c r="CG145" t="str">
        <f ca="1"/>
        <v>Polluted Delta</v>
      </c>
      <c r="CJ145" t="str">
        <f ca="1"/>
        <v>Kellan, the Fae-Blooded // Birthright Boon</v>
      </c>
    </row>
    <row r="146" spans="1:88" x14ac:dyDescent="0.25">
      <c r="A146" s="3" t="str">
        <f t="shared" ca="1" si="6"/>
        <v>2</v>
      </c>
      <c r="B146" s="3">
        <f t="shared" ca="1" si="7"/>
        <v>1</v>
      </c>
      <c r="C146" s="3" t="str">
        <f ca="1">IFERROR(
 INDEX($U$1:$AX$1,
  MATCH(TRUE,
   CHOOSE({1;2;3;4;5;6;7;8;9;10;11;12;13;14;15;16;17;18;19;20;21;22;23;24;25;26;27;28;29;30;31;32},
    COUNTIFS($U$2:$U$200,$G146)&gt;0,
    COUNTIFS($V$2:$V$200,$G146)&gt;0,
    COUNTIFS($W$2:$W$200,$G146)&gt;0,
    COUNTIFS($X$2:$X$200,$G146)&gt;0,
    COUNTIFS($Y$2:$Y$200,$G146)&gt;0,
    COUNTIFS($Z$2:$Z$200,$G146)&gt;0,
    COUNTIFS($AA$2:$AA$200,$G146)&gt;0,
    COUNTIFS($AB$2:$AB$200,$G146)&gt;0,
    COUNTIFS($AC$2:$AC$200,$G146)&gt;0,
    COUNTIFS($AD$2:$AD$200,$G146)&gt;0,
    COUNTIFS($AE$2:$AE$200,$G146)&gt;0,
    COUNTIFS($AF$2:$AF$200,$G146)&gt;0,
    COUNTIFS($AG$2:$AG$200,$G146)&gt;0,
    COUNTIFS($AH$2:$AH$200,$G146)&gt;0,
    COUNTIFS($AI$2:$AI$200,$G146)&gt;0,
    COUNTIFS($AJ$2:$AJ$200,$G146)&gt;0,
    COUNTIFS($AK$2:$AK$200,$G146)&gt;0,
    COUNTIFS($AL$2:$AL$200,$G146)&gt;0,
    COUNTIFS($AM$2:$AM$200,$G146)&gt;0,
    COUNTIFS($AN$2:$AN$200,$G146)&gt;0,
    COUNTIFS($AO$2:$AO$200,$G146)&gt;0,
    COUNTIFS($AP$2:$AP$200,$G146)&gt;0,
    COUNTIFS($AQ$2:$AQ$200,$G146)&gt;0,
    COUNTIFS($AR$2:$AR$200,$G146)&gt;0,
    COUNTIFS($AS$2:$AS$200,$G146)&gt;0,
    COUNTIFS($AT$2:$AT$200,$G146)&gt;0,
    COUNTIFS($AU$2:$AU$200,$G146)&gt;0,
    COUNTIFS($AV$2:$AV$200,$G146)&gt;0,
    COUNTIFS($AW$2:$AW$200,$G146)&gt;0,
    COUNTIFS($AX$2:$AX$200,$G146)&gt;0
   ),
  0)
 ),
"")</f>
        <v>Narset</v>
      </c>
      <c r="D146" s="3" t="str" cm="1">
        <f t="array" aca="1" ref="D146" ca="1">IFERROR(
 INDEX(
  _xlfn._xlws.FILTER($U$1:$AX$1,
   TRANSPOSE(
    CHOOSE({1;2;3;4;5;6;7;8;9;10;11;12;13;14;15;16;17;18;19;20;21;22;23;24;25;26;27;28;29;30},
     COUNTIFS($U$2:$U$200,$G146)&gt;0,
     COUNTIFS($V$2:$V$200,$G146)&gt;0,
     COUNTIFS($W$2:$W$200,$G146)&gt;0,
     COUNTIFS($X$2:$X$200,$G146)&gt;0,
     COUNTIFS($Y$2:$Y$200,$G146)&gt;0,
     COUNTIFS($Z$2:$Z$200,$G146)&gt;0,
     COUNTIFS($AA$2:$AA$200,$G146)&gt;0,
     COUNTIFS($AB$2:$AB$200,$G146)&gt;0,
     COUNTIFS($AC$2:$AC$200,$G146)&gt;0,
     COUNTIFS($AD$2:$AD$200,$G146)&gt;0,
     COUNTIFS($AE$2:$AE$200,$G146)&gt;0,
     COUNTIFS($AF$2:$AF$200,$G146)&gt;0,
     COUNTIFS($AG$2:$AG$200,$G146)&gt;0,
     COUNTIFS($AH$2:$AH$200,$G146)&gt;0,
     COUNTIFS($AI$2:$AI$200,$G146)&gt;0,
     COUNTIFS($AJ$2:$AJ$200,$G146)&gt;0,
     COUNTIFS($AK$2:$AK$200,$G146)&gt;0,
     COUNTIFS($AL$2:$AL$200,$G146)&gt;0,
     COUNTIFS($AM$2:$AM$200,$G146)&gt;0,
     COUNTIFS($AN$2:$AN$200,$G146)&gt;0,
     COUNTIFS($AO$2:$AO$200,$G146)&gt;0,
     COUNTIFS($AP$2:$AP$200,$G146)&gt;0,
     COUNTIFS($AQ$2:$AQ$200,$G146)&gt;0,
     COUNTIFS($AR$2:$AR$200,$G146)&gt;0,
     COUNTIFS($AS$2:$AS$200,$G146)&gt;0,
     COUNTIFS($AT$2:$AT$200,$G146)&gt;0,
     COUNTIFS($AU$2:$AU$200,$G146)&gt;0,
     COUNTIFS($AV$2:$AV$200,$G146)&gt;0,
     COUNTIFS($AW$2:$AW$200,$G146)&gt;0,
     COUNTIFS($AX$2:$AX$200,$G146)&gt;0
   )),
  ),
  2
 ),
"")</f>
        <v/>
      </c>
      <c r="E146" s="3" t="str" cm="1">
        <f t="array" aca="1" ref="E146" ca="1">IFERROR(
 INDEX(
  _xlfn._xlws.FILTER($U$1:$AX$1,
   TRANSPOSE(
    CHOOSE({1;2;3;4;5;6;7;8;9;10;11;12;13;14;15;16;17;18;19;20;21;22;23;24;25;26;27;28;29;30},
     COUNTIFS($U$2:$U$200,$G146)&gt;0,
     COUNTIFS($V$2:$V$200,$G146)&gt;0,
     COUNTIFS($W$2:$W$200,$G146)&gt;0,
     COUNTIFS($X$2:$X$200,$G146)&gt;0,
     COUNTIFS($Y$2:$Y$200,$G146)&gt;0,
     COUNTIFS($Z$2:$Z$200,$G146)&gt;0,
     COUNTIFS($AA$2:$AA$200,$G146)&gt;0,
     COUNTIFS($AB$2:$AB$200,$G146)&gt;0,
     COUNTIFS($AC$2:$AC$200,$G146)&gt;0,
     COUNTIFS($AD$2:$AD$200,$G146)&gt;0,
     COUNTIFS($AE$2:$AE$200,$G146)&gt;0,
     COUNTIFS($AF$2:$AF$200,$G146)&gt;0,
     COUNTIFS($AG$2:$AG$200,$G146)&gt;0,
     COUNTIFS($AH$2:$AH$200,$G146)&gt;0,
     COUNTIFS($AI$2:$AI$200,$G146)&gt;0,
     COUNTIFS($AJ$2:$AJ$200,$G146)&gt;0,
     COUNTIFS($AK$2:$AK$200,$G146)&gt;0,
     COUNTIFS($AL$2:$AL$200,$G146)&gt;0,
     COUNTIFS($AM$2:$AM$200,$G146)&gt;0,
     COUNTIFS($AN$2:$AN$200,$G146)&gt;0,
     COUNTIFS($AO$2:$AO$200,$G146)&gt;0,
     COUNTIFS($AP$2:$AP$200,$G146)&gt;0,
     COUNTIFS($AQ$2:$AQ$200,$G146)&gt;0,
     COUNTIFS($AR$2:$AR$200,$G146)&gt;0,
     COUNTIFS($AS$2:$AS$200,$G146)&gt;0,
     COUNTIFS($AT$2:$AT$200,$G146)&gt;0,
     COUNTIFS($AU$2:$AU$200,$G146)&gt;0,
     COUNTIFS($AV$2:$AV$200,$G146)&gt;0,
     COUNTIFS($AW$2:$AW$200,$G146)&gt;0,
     COUNTIFS($AX$2:$AX$200,$G146)&gt;0
   )),
  ),
  3
 ),
"")</f>
        <v/>
      </c>
      <c r="F146" s="3" t="str" cm="1">
        <f t="array" aca="1" ref="F146" ca="1">IFERROR(
 INDEX(
  _xlfn._xlws.FILTER($U$1:$AX$1,
   TRANSPOSE(
    CHOOSE({1;2;3;4;5;6;7;8;9;10;11;12;13;14;15;16;17;18;19;20;21;22;23;24;25;26;27;28;29;30},
     COUNTIFS($U$2:$U$200,$G146)&gt;0,
     COUNTIFS($V$2:$V$200,$G146)&gt;0,
     COUNTIFS($W$2:$W$200,$G146)&gt;0,
     COUNTIFS($X$2:$X$200,$G146)&gt;0,
     COUNTIFS($Y$2:$Y$200,$G146)&gt;0,
     COUNTIFS($Z$2:$Z$200,$G146)&gt;0,
     COUNTIFS($AA$2:$AA$200,$G146)&gt;0,
     COUNTIFS($AB$2:$AB$200,$G146)&gt;0,
     COUNTIFS($AC$2:$AC$200,$G146)&gt;0,
     COUNTIFS($AD$2:$AD$200,$G146)&gt;0,
     COUNTIFS($AE$2:$AE$200,$G146)&gt;0,
     COUNTIFS($AF$2:$AF$200,$G146)&gt;0,
     COUNTIFS($AG$2:$AG$200,$G146)&gt;0,
     COUNTIFS($AH$2:$AH$200,$G146)&gt;0,
     COUNTIFS($AI$2:$AI$200,$G146)&gt;0,
     COUNTIFS($AJ$2:$AJ$200,$G146)&gt;0,
     COUNTIFS($AK$2:$AK$200,$G146)&gt;0,
     COUNTIFS($AL$2:$AL$200,$G146)&gt;0,
     COUNTIFS($AM$2:$AM$200,$G146)&gt;0,
     COUNTIFS($AN$2:$AN$200,$G146)&gt;0,
     COUNTIFS($AO$2:$AO$200,$G146)&gt;0,
     COUNTIFS($AP$2:$AP$200,$G146)&gt;0,
     COUNTIFS($AQ$2:$AQ$200,$G146)&gt;0,
     COUNTIFS($AR$2:$AR$200,$G146)&gt;0,
     COUNTIFS($AS$2:$AS$200,$G146)&gt;0,
     COUNTIFS($AT$2:$AT$200,$G146)&gt;0,
     COUNTIFS($AU$2:$AU$200,$G146)&gt;0,
     COUNTIFS($AV$2:$AV$200,$G146)&gt;0,
     COUNTIFS($AW$2:$AW$200,$G146)&gt;0,
     COUNTIFS($AX$2:$AX$200,$G146)&gt;0
   )),
  ),
  4
 ),
"")</f>
        <v/>
      </c>
      <c r="G146" t="str">
        <f ca="1"/>
        <v>Khorvath's Fury</v>
      </c>
      <c r="CB146" t="str">
        <f ca="1"/>
        <v>Time Sieve</v>
      </c>
      <c r="CG146" t="str">
        <f ca="1"/>
        <v>Portal to Phyrexia</v>
      </c>
      <c r="CJ146" t="str">
        <f ca="1"/>
        <v>Khorvath's Fury</v>
      </c>
    </row>
    <row r="147" spans="1:88" x14ac:dyDescent="0.25">
      <c r="A147" s="3" t="str">
        <f t="shared" ca="1" si="6"/>
        <v>1</v>
      </c>
      <c r="B147" s="3">
        <f t="shared" ca="1" si="7"/>
        <v>1</v>
      </c>
      <c r="C147" s="3" t="str">
        <f ca="1">IFERROR(
 INDEX($U$1:$AX$1,
  MATCH(TRUE,
   CHOOSE({1;2;3;4;5;6;7;8;9;10;11;12;13;14;15;16;17;18;19;20;21;22;23;24;25;26;27;28;29;30;31;32},
    COUNTIFS($U$2:$U$200,$G147)&gt;0,
    COUNTIFS($V$2:$V$200,$G147)&gt;0,
    COUNTIFS($W$2:$W$200,$G147)&gt;0,
    COUNTIFS($X$2:$X$200,$G147)&gt;0,
    COUNTIFS($Y$2:$Y$200,$G147)&gt;0,
    COUNTIFS($Z$2:$Z$200,$G147)&gt;0,
    COUNTIFS($AA$2:$AA$200,$G147)&gt;0,
    COUNTIFS($AB$2:$AB$200,$G147)&gt;0,
    COUNTIFS($AC$2:$AC$200,$G147)&gt;0,
    COUNTIFS($AD$2:$AD$200,$G147)&gt;0,
    COUNTIFS($AE$2:$AE$200,$G147)&gt;0,
    COUNTIFS($AF$2:$AF$200,$G147)&gt;0,
    COUNTIFS($AG$2:$AG$200,$G147)&gt;0,
    COUNTIFS($AH$2:$AH$200,$G147)&gt;0,
    COUNTIFS($AI$2:$AI$200,$G147)&gt;0,
    COUNTIFS($AJ$2:$AJ$200,$G147)&gt;0,
    COUNTIFS($AK$2:$AK$200,$G147)&gt;0,
    COUNTIFS($AL$2:$AL$200,$G147)&gt;0,
    COUNTIFS($AM$2:$AM$200,$G147)&gt;0,
    COUNTIFS($AN$2:$AN$200,$G147)&gt;0,
    COUNTIFS($AO$2:$AO$200,$G147)&gt;0,
    COUNTIFS($AP$2:$AP$200,$G147)&gt;0,
    COUNTIFS($AQ$2:$AQ$200,$G147)&gt;0,
    COUNTIFS($AR$2:$AR$200,$G147)&gt;0,
    COUNTIFS($AS$2:$AS$200,$G147)&gt;0,
    COUNTIFS($AT$2:$AT$200,$G147)&gt;0,
    COUNTIFS($AU$2:$AU$200,$G147)&gt;0,
    COUNTIFS($AV$2:$AV$200,$G147)&gt;0,
    COUNTIFS($AW$2:$AW$200,$G147)&gt;0,
    COUNTIFS($AX$2:$AX$200,$G147)&gt;0
   ),
  0)
 ),
"")</f>
        <v>Modular</v>
      </c>
      <c r="D147" s="3" t="str" cm="1">
        <f t="array" aca="1" ref="D147" ca="1">IFERROR(
 INDEX(
  _xlfn._xlws.FILTER($U$1:$AX$1,
   TRANSPOSE(
    CHOOSE({1;2;3;4;5;6;7;8;9;10;11;12;13;14;15;16;17;18;19;20;21;22;23;24;25;26;27;28;29;30},
     COUNTIFS($U$2:$U$200,$G147)&gt;0,
     COUNTIFS($V$2:$V$200,$G147)&gt;0,
     COUNTIFS($W$2:$W$200,$G147)&gt;0,
     COUNTIFS($X$2:$X$200,$G147)&gt;0,
     COUNTIFS($Y$2:$Y$200,$G147)&gt;0,
     COUNTIFS($Z$2:$Z$200,$G147)&gt;0,
     COUNTIFS($AA$2:$AA$200,$G147)&gt;0,
     COUNTIFS($AB$2:$AB$200,$G147)&gt;0,
     COUNTIFS($AC$2:$AC$200,$G147)&gt;0,
     COUNTIFS($AD$2:$AD$200,$G147)&gt;0,
     COUNTIFS($AE$2:$AE$200,$G147)&gt;0,
     COUNTIFS($AF$2:$AF$200,$G147)&gt;0,
     COUNTIFS($AG$2:$AG$200,$G147)&gt;0,
     COUNTIFS($AH$2:$AH$200,$G147)&gt;0,
     COUNTIFS($AI$2:$AI$200,$G147)&gt;0,
     COUNTIFS($AJ$2:$AJ$200,$G147)&gt;0,
     COUNTIFS($AK$2:$AK$200,$G147)&gt;0,
     COUNTIFS($AL$2:$AL$200,$G147)&gt;0,
     COUNTIFS($AM$2:$AM$200,$G147)&gt;0,
     COUNTIFS($AN$2:$AN$200,$G147)&gt;0,
     COUNTIFS($AO$2:$AO$200,$G147)&gt;0,
     COUNTIFS($AP$2:$AP$200,$G147)&gt;0,
     COUNTIFS($AQ$2:$AQ$200,$G147)&gt;0,
     COUNTIFS($AR$2:$AR$200,$G147)&gt;0,
     COUNTIFS($AS$2:$AS$200,$G147)&gt;0,
     COUNTIFS($AT$2:$AT$200,$G147)&gt;0,
     COUNTIFS($AU$2:$AU$200,$G147)&gt;0,
     COUNTIFS($AV$2:$AV$200,$G147)&gt;0,
     COUNTIFS($AW$2:$AW$200,$G147)&gt;0,
     COUNTIFS($AX$2:$AX$200,$G147)&gt;0
   )),
  ),
  2
 ),
"")</f>
        <v/>
      </c>
      <c r="E147" s="3" t="str" cm="1">
        <f t="array" aca="1" ref="E147" ca="1">IFERROR(
 INDEX(
  _xlfn._xlws.FILTER($U$1:$AX$1,
   TRANSPOSE(
    CHOOSE({1;2;3;4;5;6;7;8;9;10;11;12;13;14;15;16;17;18;19;20;21;22;23;24;25;26;27;28;29;30},
     COUNTIFS($U$2:$U$200,$G147)&gt;0,
     COUNTIFS($V$2:$V$200,$G147)&gt;0,
     COUNTIFS($W$2:$W$200,$G147)&gt;0,
     COUNTIFS($X$2:$X$200,$G147)&gt;0,
     COUNTIFS($Y$2:$Y$200,$G147)&gt;0,
     COUNTIFS($Z$2:$Z$200,$G147)&gt;0,
     COUNTIFS($AA$2:$AA$200,$G147)&gt;0,
     COUNTIFS($AB$2:$AB$200,$G147)&gt;0,
     COUNTIFS($AC$2:$AC$200,$G147)&gt;0,
     COUNTIFS($AD$2:$AD$200,$G147)&gt;0,
     COUNTIFS($AE$2:$AE$200,$G147)&gt;0,
     COUNTIFS($AF$2:$AF$200,$G147)&gt;0,
     COUNTIFS($AG$2:$AG$200,$G147)&gt;0,
     COUNTIFS($AH$2:$AH$200,$G147)&gt;0,
     COUNTIFS($AI$2:$AI$200,$G147)&gt;0,
     COUNTIFS($AJ$2:$AJ$200,$G147)&gt;0,
     COUNTIFS($AK$2:$AK$200,$G147)&gt;0,
     COUNTIFS($AL$2:$AL$200,$G147)&gt;0,
     COUNTIFS($AM$2:$AM$200,$G147)&gt;0,
     COUNTIFS($AN$2:$AN$200,$G147)&gt;0,
     COUNTIFS($AO$2:$AO$200,$G147)&gt;0,
     COUNTIFS($AP$2:$AP$200,$G147)&gt;0,
     COUNTIFS($AQ$2:$AQ$200,$G147)&gt;0,
     COUNTIFS($AR$2:$AR$200,$G147)&gt;0,
     COUNTIFS($AS$2:$AS$200,$G147)&gt;0,
     COUNTIFS($AT$2:$AT$200,$G147)&gt;0,
     COUNTIFS($AU$2:$AU$200,$G147)&gt;0,
     COUNTIFS($AV$2:$AV$200,$G147)&gt;0,
     COUNTIFS($AW$2:$AW$200,$G147)&gt;0,
     COUNTIFS($AX$2:$AX$200,$G147)&gt;0
   )),
  ),
  3
 ),
"")</f>
        <v/>
      </c>
      <c r="F147" s="3" t="str" cm="1">
        <f t="array" aca="1" ref="F147" ca="1">IFERROR(
 INDEX(
  _xlfn._xlws.FILTER($U$1:$AX$1,
   TRANSPOSE(
    CHOOSE({1;2;3;4;5;6;7;8;9;10;11;12;13;14;15;16;17;18;19;20;21;22;23;24;25;26;27;28;29;30},
     COUNTIFS($U$2:$U$200,$G147)&gt;0,
     COUNTIFS($V$2:$V$200,$G147)&gt;0,
     COUNTIFS($W$2:$W$200,$G147)&gt;0,
     COUNTIFS($X$2:$X$200,$G147)&gt;0,
     COUNTIFS($Y$2:$Y$200,$G147)&gt;0,
     COUNTIFS($Z$2:$Z$200,$G147)&gt;0,
     COUNTIFS($AA$2:$AA$200,$G147)&gt;0,
     COUNTIFS($AB$2:$AB$200,$G147)&gt;0,
     COUNTIFS($AC$2:$AC$200,$G147)&gt;0,
     COUNTIFS($AD$2:$AD$200,$G147)&gt;0,
     COUNTIFS($AE$2:$AE$200,$G147)&gt;0,
     COUNTIFS($AF$2:$AF$200,$G147)&gt;0,
     COUNTIFS($AG$2:$AG$200,$G147)&gt;0,
     COUNTIFS($AH$2:$AH$200,$G147)&gt;0,
     COUNTIFS($AI$2:$AI$200,$G147)&gt;0,
     COUNTIFS($AJ$2:$AJ$200,$G147)&gt;0,
     COUNTIFS($AK$2:$AK$200,$G147)&gt;0,
     COUNTIFS($AL$2:$AL$200,$G147)&gt;0,
     COUNTIFS($AM$2:$AM$200,$G147)&gt;0,
     COUNTIFS($AN$2:$AN$200,$G147)&gt;0,
     COUNTIFS($AO$2:$AO$200,$G147)&gt;0,
     COUNTIFS($AP$2:$AP$200,$G147)&gt;0,
     COUNTIFS($AQ$2:$AQ$200,$G147)&gt;0,
     COUNTIFS($AR$2:$AR$200,$G147)&gt;0,
     COUNTIFS($AS$2:$AS$200,$G147)&gt;0,
     COUNTIFS($AT$2:$AT$200,$G147)&gt;0,
     COUNTIFS($AU$2:$AU$200,$G147)&gt;0,
     COUNTIFS($AV$2:$AV$200,$G147)&gt;0,
     COUNTIFS($AW$2:$AW$200,$G147)&gt;0,
     COUNTIFS($AX$2:$AX$200,$G147)&gt;0
   )),
  ),
  4
 ),
"")</f>
        <v/>
      </c>
      <c r="G147" t="str">
        <f ca="1"/>
        <v>Kodama of the West Tree</v>
      </c>
      <c r="CB147" t="str">
        <f ca="1"/>
        <v>Timestream Navigator</v>
      </c>
      <c r="CG147" t="str">
        <f ca="1"/>
        <v>Prosperous Partnership</v>
      </c>
      <c r="CJ147" t="str">
        <f ca="1"/>
        <v>Kodama of the West Tree</v>
      </c>
    </row>
    <row r="148" spans="1:88" x14ac:dyDescent="0.25">
      <c r="A148" s="3" t="str">
        <f t="shared" ca="1" si="6"/>
        <v>2</v>
      </c>
      <c r="B148" s="3">
        <f t="shared" ca="1" si="7"/>
        <v>1</v>
      </c>
      <c r="C148" s="3" t="str">
        <f ca="1">IFERROR(
 INDEX($U$1:$AX$1,
  MATCH(TRUE,
   CHOOSE({1;2;3;4;5;6;7;8;9;10;11;12;13;14;15;16;17;18;19;20;21;22;23;24;25;26;27;28;29;30;31;32},
    COUNTIFS($U$2:$U$200,$G148)&gt;0,
    COUNTIFS($V$2:$V$200,$G148)&gt;0,
    COUNTIFS($W$2:$W$200,$G148)&gt;0,
    COUNTIFS($X$2:$X$200,$G148)&gt;0,
    COUNTIFS($Y$2:$Y$200,$G148)&gt;0,
    COUNTIFS($Z$2:$Z$200,$G148)&gt;0,
    COUNTIFS($AA$2:$AA$200,$G148)&gt;0,
    COUNTIFS($AB$2:$AB$200,$G148)&gt;0,
    COUNTIFS($AC$2:$AC$200,$G148)&gt;0,
    COUNTIFS($AD$2:$AD$200,$G148)&gt;0,
    COUNTIFS($AE$2:$AE$200,$G148)&gt;0,
    COUNTIFS($AF$2:$AF$200,$G148)&gt;0,
    COUNTIFS($AG$2:$AG$200,$G148)&gt;0,
    COUNTIFS($AH$2:$AH$200,$G148)&gt;0,
    COUNTIFS($AI$2:$AI$200,$G148)&gt;0,
    COUNTIFS($AJ$2:$AJ$200,$G148)&gt;0,
    COUNTIFS($AK$2:$AK$200,$G148)&gt;0,
    COUNTIFS($AL$2:$AL$200,$G148)&gt;0,
    COUNTIFS($AM$2:$AM$200,$G148)&gt;0,
    COUNTIFS($AN$2:$AN$200,$G148)&gt;0,
    COUNTIFS($AO$2:$AO$200,$G148)&gt;0,
    COUNTIFS($AP$2:$AP$200,$G148)&gt;0,
    COUNTIFS($AQ$2:$AQ$200,$G148)&gt;0,
    COUNTIFS($AR$2:$AR$200,$G148)&gt;0,
    COUNTIFS($AS$2:$AS$200,$G148)&gt;0,
    COUNTIFS($AT$2:$AT$200,$G148)&gt;0,
    COUNTIFS($AU$2:$AU$200,$G148)&gt;0,
    COUNTIFS($AV$2:$AV$200,$G148)&gt;0,
    COUNTIFS($AW$2:$AW$200,$G148)&gt;0,
    COUNTIFS($AX$2:$AX$200,$G148)&gt;0
   ),
  0)
 ),
"")</f>
        <v>Kumena</v>
      </c>
      <c r="D148" s="3" t="str" cm="1">
        <f t="array" aca="1" ref="D148" ca="1">IFERROR(
 INDEX(
  _xlfn._xlws.FILTER($U$1:$AX$1,
   TRANSPOSE(
    CHOOSE({1;2;3;4;5;6;7;8;9;10;11;12;13;14;15;16;17;18;19;20;21;22;23;24;25;26;27;28;29;30},
     COUNTIFS($U$2:$U$200,$G148)&gt;0,
     COUNTIFS($V$2:$V$200,$G148)&gt;0,
     COUNTIFS($W$2:$W$200,$G148)&gt;0,
     COUNTIFS($X$2:$X$200,$G148)&gt;0,
     COUNTIFS($Y$2:$Y$200,$G148)&gt;0,
     COUNTIFS($Z$2:$Z$200,$G148)&gt;0,
     COUNTIFS($AA$2:$AA$200,$G148)&gt;0,
     COUNTIFS($AB$2:$AB$200,$G148)&gt;0,
     COUNTIFS($AC$2:$AC$200,$G148)&gt;0,
     COUNTIFS($AD$2:$AD$200,$G148)&gt;0,
     COUNTIFS($AE$2:$AE$200,$G148)&gt;0,
     COUNTIFS($AF$2:$AF$200,$G148)&gt;0,
     COUNTIFS($AG$2:$AG$200,$G148)&gt;0,
     COUNTIFS($AH$2:$AH$200,$G148)&gt;0,
     COUNTIFS($AI$2:$AI$200,$G148)&gt;0,
     COUNTIFS($AJ$2:$AJ$200,$G148)&gt;0,
     COUNTIFS($AK$2:$AK$200,$G148)&gt;0,
     COUNTIFS($AL$2:$AL$200,$G148)&gt;0,
     COUNTIFS($AM$2:$AM$200,$G148)&gt;0,
     COUNTIFS($AN$2:$AN$200,$G148)&gt;0,
     COUNTIFS($AO$2:$AO$200,$G148)&gt;0,
     COUNTIFS($AP$2:$AP$200,$G148)&gt;0,
     COUNTIFS($AQ$2:$AQ$200,$G148)&gt;0,
     COUNTIFS($AR$2:$AR$200,$G148)&gt;0,
     COUNTIFS($AS$2:$AS$200,$G148)&gt;0,
     COUNTIFS($AT$2:$AT$200,$G148)&gt;0,
     COUNTIFS($AU$2:$AU$200,$G148)&gt;0,
     COUNTIFS($AV$2:$AV$200,$G148)&gt;0,
     COUNTIFS($AW$2:$AW$200,$G148)&gt;0,
     COUNTIFS($AX$2:$AX$200,$G148)&gt;0
   )),
  ),
  2
 ),
"")</f>
        <v/>
      </c>
      <c r="E148" s="3" t="str" cm="1">
        <f t="array" aca="1" ref="E148" ca="1">IFERROR(
 INDEX(
  _xlfn._xlws.FILTER($U$1:$AX$1,
   TRANSPOSE(
    CHOOSE({1;2;3;4;5;6;7;8;9;10;11;12;13;14;15;16;17;18;19;20;21;22;23;24;25;26;27;28;29;30},
     COUNTIFS($U$2:$U$200,$G148)&gt;0,
     COUNTIFS($V$2:$V$200,$G148)&gt;0,
     COUNTIFS($W$2:$W$200,$G148)&gt;0,
     COUNTIFS($X$2:$X$200,$G148)&gt;0,
     COUNTIFS($Y$2:$Y$200,$G148)&gt;0,
     COUNTIFS($Z$2:$Z$200,$G148)&gt;0,
     COUNTIFS($AA$2:$AA$200,$G148)&gt;0,
     COUNTIFS($AB$2:$AB$200,$G148)&gt;0,
     COUNTIFS($AC$2:$AC$200,$G148)&gt;0,
     COUNTIFS($AD$2:$AD$200,$G148)&gt;0,
     COUNTIFS($AE$2:$AE$200,$G148)&gt;0,
     COUNTIFS($AF$2:$AF$200,$G148)&gt;0,
     COUNTIFS($AG$2:$AG$200,$G148)&gt;0,
     COUNTIFS($AH$2:$AH$200,$G148)&gt;0,
     COUNTIFS($AI$2:$AI$200,$G148)&gt;0,
     COUNTIFS($AJ$2:$AJ$200,$G148)&gt;0,
     COUNTIFS($AK$2:$AK$200,$G148)&gt;0,
     COUNTIFS($AL$2:$AL$200,$G148)&gt;0,
     COUNTIFS($AM$2:$AM$200,$G148)&gt;0,
     COUNTIFS($AN$2:$AN$200,$G148)&gt;0,
     COUNTIFS($AO$2:$AO$200,$G148)&gt;0,
     COUNTIFS($AP$2:$AP$200,$G148)&gt;0,
     COUNTIFS($AQ$2:$AQ$200,$G148)&gt;0,
     COUNTIFS($AR$2:$AR$200,$G148)&gt;0,
     COUNTIFS($AS$2:$AS$200,$G148)&gt;0,
     COUNTIFS($AT$2:$AT$200,$G148)&gt;0,
     COUNTIFS($AU$2:$AU$200,$G148)&gt;0,
     COUNTIFS($AV$2:$AV$200,$G148)&gt;0,
     COUNTIFS($AW$2:$AW$200,$G148)&gt;0,
     COUNTIFS($AX$2:$AX$200,$G148)&gt;0
   )),
  ),
  3
 ),
"")</f>
        <v/>
      </c>
      <c r="F148" s="3" t="str" cm="1">
        <f t="array" aca="1" ref="F148" ca="1">IFERROR(
 INDEX(
  _xlfn._xlws.FILTER($U$1:$AX$1,
   TRANSPOSE(
    CHOOSE({1;2;3;4;5;6;7;8;9;10;11;12;13;14;15;16;17;18;19;20;21;22;23;24;25;26;27;28;29;30},
     COUNTIFS($U$2:$U$200,$G148)&gt;0,
     COUNTIFS($V$2:$V$200,$G148)&gt;0,
     COUNTIFS($W$2:$W$200,$G148)&gt;0,
     COUNTIFS($X$2:$X$200,$G148)&gt;0,
     COUNTIFS($Y$2:$Y$200,$G148)&gt;0,
     COUNTIFS($Z$2:$Z$200,$G148)&gt;0,
     COUNTIFS($AA$2:$AA$200,$G148)&gt;0,
     COUNTIFS($AB$2:$AB$200,$G148)&gt;0,
     COUNTIFS($AC$2:$AC$200,$G148)&gt;0,
     COUNTIFS($AD$2:$AD$200,$G148)&gt;0,
     COUNTIFS($AE$2:$AE$200,$G148)&gt;0,
     COUNTIFS($AF$2:$AF$200,$G148)&gt;0,
     COUNTIFS($AG$2:$AG$200,$G148)&gt;0,
     COUNTIFS($AH$2:$AH$200,$G148)&gt;0,
     COUNTIFS($AI$2:$AI$200,$G148)&gt;0,
     COUNTIFS($AJ$2:$AJ$200,$G148)&gt;0,
     COUNTIFS($AK$2:$AK$200,$G148)&gt;0,
     COUNTIFS($AL$2:$AL$200,$G148)&gt;0,
     COUNTIFS($AM$2:$AM$200,$G148)&gt;0,
     COUNTIFS($AN$2:$AN$200,$G148)&gt;0,
     COUNTIFS($AO$2:$AO$200,$G148)&gt;0,
     COUNTIFS($AP$2:$AP$200,$G148)&gt;0,
     COUNTIFS($AQ$2:$AQ$200,$G148)&gt;0,
     COUNTIFS($AR$2:$AR$200,$G148)&gt;0,
     COUNTIFS($AS$2:$AS$200,$G148)&gt;0,
     COUNTIFS($AT$2:$AT$200,$G148)&gt;0,
     COUNTIFS($AU$2:$AU$200,$G148)&gt;0,
     COUNTIFS($AV$2:$AV$200,$G148)&gt;0,
     COUNTIFS($AW$2:$AW$200,$G148)&gt;0,
     COUNTIFS($AX$2:$AX$200,$G148)&gt;0
   )),
  ),
  4
 ),
"")</f>
        <v/>
      </c>
      <c r="G148" t="str">
        <f ca="1"/>
        <v>Kodama's Reach</v>
      </c>
      <c r="CB148" t="str">
        <f ca="1"/>
        <v>Tishana, Voice of Thunder</v>
      </c>
      <c r="CG148" t="str">
        <f ca="1"/>
        <v>Protection Magic</v>
      </c>
      <c r="CJ148" t="str">
        <f ca="1"/>
        <v>Kodama's Reach</v>
      </c>
    </row>
    <row r="149" spans="1:88" x14ac:dyDescent="0.25">
      <c r="A149" s="3" t="str">
        <f t="shared" ca="1" si="6"/>
        <v>3</v>
      </c>
      <c r="B149" s="3">
        <f t="shared" ca="1" si="7"/>
        <v>1</v>
      </c>
      <c r="C149" s="3" t="str">
        <f ca="1">IFERROR(
 INDEX($U$1:$AX$1,
  MATCH(TRUE,
   CHOOSE({1;2;3;4;5;6;7;8;9;10;11;12;13;14;15;16;17;18;19;20;21;22;23;24;25;26;27;28;29;30;31;32},
    COUNTIFS($U$2:$U$200,$G149)&gt;0,
    COUNTIFS($V$2:$V$200,$G149)&gt;0,
    COUNTIFS($W$2:$W$200,$G149)&gt;0,
    COUNTIFS($X$2:$X$200,$G149)&gt;0,
    COUNTIFS($Y$2:$Y$200,$G149)&gt;0,
    COUNTIFS($Z$2:$Z$200,$G149)&gt;0,
    COUNTIFS($AA$2:$AA$200,$G149)&gt;0,
    COUNTIFS($AB$2:$AB$200,$G149)&gt;0,
    COUNTIFS($AC$2:$AC$200,$G149)&gt;0,
    COUNTIFS($AD$2:$AD$200,$G149)&gt;0,
    COUNTIFS($AE$2:$AE$200,$G149)&gt;0,
    COUNTIFS($AF$2:$AF$200,$G149)&gt;0,
    COUNTIFS($AG$2:$AG$200,$G149)&gt;0,
    COUNTIFS($AH$2:$AH$200,$G149)&gt;0,
    COUNTIFS($AI$2:$AI$200,$G149)&gt;0,
    COUNTIFS($AJ$2:$AJ$200,$G149)&gt;0,
    COUNTIFS($AK$2:$AK$200,$G149)&gt;0,
    COUNTIFS($AL$2:$AL$200,$G149)&gt;0,
    COUNTIFS($AM$2:$AM$200,$G149)&gt;0,
    COUNTIFS($AN$2:$AN$200,$G149)&gt;0,
    COUNTIFS($AO$2:$AO$200,$G149)&gt;0,
    COUNTIFS($AP$2:$AP$200,$G149)&gt;0,
    COUNTIFS($AQ$2:$AQ$200,$G149)&gt;0,
    COUNTIFS($AR$2:$AR$200,$G149)&gt;0,
    COUNTIFS($AS$2:$AS$200,$G149)&gt;0,
    COUNTIFS($AT$2:$AT$200,$G149)&gt;0,
    COUNTIFS($AU$2:$AU$200,$G149)&gt;0,
    COUNTIFS($AV$2:$AV$200,$G149)&gt;0,
    COUNTIFS($AW$2:$AW$200,$G149)&gt;0,
    COUNTIFS($AX$2:$AX$200,$G149)&gt;0
   ),
  0)
 ),
"")</f>
        <v>JhoiraB</v>
      </c>
      <c r="D149" s="3" t="str" cm="1">
        <f t="array" aca="1" ref="D149" ca="1">IFERROR(
 INDEX(
  _xlfn._xlws.FILTER($U$1:$AX$1,
   TRANSPOSE(
    CHOOSE({1;2;3;4;5;6;7;8;9;10;11;12;13;14;15;16;17;18;19;20;21;22;23;24;25;26;27;28;29;30},
     COUNTIFS($U$2:$U$200,$G149)&gt;0,
     COUNTIFS($V$2:$V$200,$G149)&gt;0,
     COUNTIFS($W$2:$W$200,$G149)&gt;0,
     COUNTIFS($X$2:$X$200,$G149)&gt;0,
     COUNTIFS($Y$2:$Y$200,$G149)&gt;0,
     COUNTIFS($Z$2:$Z$200,$G149)&gt;0,
     COUNTIFS($AA$2:$AA$200,$G149)&gt;0,
     COUNTIFS($AB$2:$AB$200,$G149)&gt;0,
     COUNTIFS($AC$2:$AC$200,$G149)&gt;0,
     COUNTIFS($AD$2:$AD$200,$G149)&gt;0,
     COUNTIFS($AE$2:$AE$200,$G149)&gt;0,
     COUNTIFS($AF$2:$AF$200,$G149)&gt;0,
     COUNTIFS($AG$2:$AG$200,$G149)&gt;0,
     COUNTIFS($AH$2:$AH$200,$G149)&gt;0,
     COUNTIFS($AI$2:$AI$200,$G149)&gt;0,
     COUNTIFS($AJ$2:$AJ$200,$G149)&gt;0,
     COUNTIFS($AK$2:$AK$200,$G149)&gt;0,
     COUNTIFS($AL$2:$AL$200,$G149)&gt;0,
     COUNTIFS($AM$2:$AM$200,$G149)&gt;0,
     COUNTIFS($AN$2:$AN$200,$G149)&gt;0,
     COUNTIFS($AO$2:$AO$200,$G149)&gt;0,
     COUNTIFS($AP$2:$AP$200,$G149)&gt;0,
     COUNTIFS($AQ$2:$AQ$200,$G149)&gt;0,
     COUNTIFS($AR$2:$AR$200,$G149)&gt;0,
     COUNTIFS($AS$2:$AS$200,$G149)&gt;0,
     COUNTIFS($AT$2:$AT$200,$G149)&gt;0,
     COUNTIFS($AU$2:$AU$200,$G149)&gt;0,
     COUNTIFS($AV$2:$AV$200,$G149)&gt;0,
     COUNTIFS($AW$2:$AW$200,$G149)&gt;0,
     COUNTIFS($AX$2:$AX$200,$G149)&gt;0
   )),
  ),
  2
 ),
"")</f>
        <v/>
      </c>
      <c r="E149" s="3" t="str" cm="1">
        <f t="array" aca="1" ref="E149" ca="1">IFERROR(
 INDEX(
  _xlfn._xlws.FILTER($U$1:$AX$1,
   TRANSPOSE(
    CHOOSE({1;2;3;4;5;6;7;8;9;10;11;12;13;14;15;16;17;18;19;20;21;22;23;24;25;26;27;28;29;30},
     COUNTIFS($U$2:$U$200,$G149)&gt;0,
     COUNTIFS($V$2:$V$200,$G149)&gt;0,
     COUNTIFS($W$2:$W$200,$G149)&gt;0,
     COUNTIFS($X$2:$X$200,$G149)&gt;0,
     COUNTIFS($Y$2:$Y$200,$G149)&gt;0,
     COUNTIFS($Z$2:$Z$200,$G149)&gt;0,
     COUNTIFS($AA$2:$AA$200,$G149)&gt;0,
     COUNTIFS($AB$2:$AB$200,$G149)&gt;0,
     COUNTIFS($AC$2:$AC$200,$G149)&gt;0,
     COUNTIFS($AD$2:$AD$200,$G149)&gt;0,
     COUNTIFS($AE$2:$AE$200,$G149)&gt;0,
     COUNTIFS($AF$2:$AF$200,$G149)&gt;0,
     COUNTIFS($AG$2:$AG$200,$G149)&gt;0,
     COUNTIFS($AH$2:$AH$200,$G149)&gt;0,
     COUNTIFS($AI$2:$AI$200,$G149)&gt;0,
     COUNTIFS($AJ$2:$AJ$200,$G149)&gt;0,
     COUNTIFS($AK$2:$AK$200,$G149)&gt;0,
     COUNTIFS($AL$2:$AL$200,$G149)&gt;0,
     COUNTIFS($AM$2:$AM$200,$G149)&gt;0,
     COUNTIFS($AN$2:$AN$200,$G149)&gt;0,
     COUNTIFS($AO$2:$AO$200,$G149)&gt;0,
     COUNTIFS($AP$2:$AP$200,$G149)&gt;0,
     COUNTIFS($AQ$2:$AQ$200,$G149)&gt;0,
     COUNTIFS($AR$2:$AR$200,$G149)&gt;0,
     COUNTIFS($AS$2:$AS$200,$G149)&gt;0,
     COUNTIFS($AT$2:$AT$200,$G149)&gt;0,
     COUNTIFS($AU$2:$AU$200,$G149)&gt;0,
     COUNTIFS($AV$2:$AV$200,$G149)&gt;0,
     COUNTIFS($AW$2:$AW$200,$G149)&gt;0,
     COUNTIFS($AX$2:$AX$200,$G149)&gt;0
   )),
  ),
  3
 ),
"")</f>
        <v/>
      </c>
      <c r="F149" s="3" t="str" cm="1">
        <f t="array" aca="1" ref="F149" ca="1">IFERROR(
 INDEX(
  _xlfn._xlws.FILTER($U$1:$AX$1,
   TRANSPOSE(
    CHOOSE({1;2;3;4;5;6;7;8;9;10;11;12;13;14;15;16;17;18;19;20;21;22;23;24;25;26;27;28;29;30},
     COUNTIFS($U$2:$U$200,$G149)&gt;0,
     COUNTIFS($V$2:$V$200,$G149)&gt;0,
     COUNTIFS($W$2:$W$200,$G149)&gt;0,
     COUNTIFS($X$2:$X$200,$G149)&gt;0,
     COUNTIFS($Y$2:$Y$200,$G149)&gt;0,
     COUNTIFS($Z$2:$Z$200,$G149)&gt;0,
     COUNTIFS($AA$2:$AA$200,$G149)&gt;0,
     COUNTIFS($AB$2:$AB$200,$G149)&gt;0,
     COUNTIFS($AC$2:$AC$200,$G149)&gt;0,
     COUNTIFS($AD$2:$AD$200,$G149)&gt;0,
     COUNTIFS($AE$2:$AE$200,$G149)&gt;0,
     COUNTIFS($AF$2:$AF$200,$G149)&gt;0,
     COUNTIFS($AG$2:$AG$200,$G149)&gt;0,
     COUNTIFS($AH$2:$AH$200,$G149)&gt;0,
     COUNTIFS($AI$2:$AI$200,$G149)&gt;0,
     COUNTIFS($AJ$2:$AJ$200,$G149)&gt;0,
     COUNTIFS($AK$2:$AK$200,$G149)&gt;0,
     COUNTIFS($AL$2:$AL$200,$G149)&gt;0,
     COUNTIFS($AM$2:$AM$200,$G149)&gt;0,
     COUNTIFS($AN$2:$AN$200,$G149)&gt;0,
     COUNTIFS($AO$2:$AO$200,$G149)&gt;0,
     COUNTIFS($AP$2:$AP$200,$G149)&gt;0,
     COUNTIFS($AQ$2:$AQ$200,$G149)&gt;0,
     COUNTIFS($AR$2:$AR$200,$G149)&gt;0,
     COUNTIFS($AS$2:$AS$200,$G149)&gt;0,
     COUNTIFS($AT$2:$AT$200,$G149)&gt;0,
     COUNTIFS($AU$2:$AU$200,$G149)&gt;0,
     COUNTIFS($AV$2:$AV$200,$G149)&gt;0,
     COUNTIFS($AW$2:$AW$200,$G149)&gt;0,
     COUNTIFS($AX$2:$AX$200,$G149)&gt;0
   )),
  ),
  4
 ),
"")</f>
        <v/>
      </c>
      <c r="G149" t="str">
        <f ca="1"/>
        <v>Kozilek, the Broken Reality</v>
      </c>
      <c r="CB149" t="str">
        <f ca="1"/>
        <v>Training Center</v>
      </c>
      <c r="CG149" t="str">
        <f ca="1"/>
        <v>Psychic Corrosion</v>
      </c>
      <c r="CJ149" t="str">
        <f ca="1"/>
        <v>Kozilek, the Broken Reality</v>
      </c>
    </row>
    <row r="150" spans="1:88" x14ac:dyDescent="0.25">
      <c r="A150" s="3" t="str">
        <f t="shared" ca="1" si="6"/>
        <v>1</v>
      </c>
      <c r="B150" s="3">
        <f t="shared" ca="1" si="7"/>
        <v>1</v>
      </c>
      <c r="C150" s="3" t="str">
        <f ca="1">IFERROR(
 INDEX($U$1:$AX$1,
  MATCH(TRUE,
   CHOOSE({1;2;3;4;5;6;7;8;9;10;11;12;13;14;15;16;17;18;19;20;21;22;23;24;25;26;27;28;29;30;31;32},
    COUNTIFS($U$2:$U$200,$G150)&gt;0,
    COUNTIFS($V$2:$V$200,$G150)&gt;0,
    COUNTIFS($W$2:$W$200,$G150)&gt;0,
    COUNTIFS($X$2:$X$200,$G150)&gt;0,
    COUNTIFS($Y$2:$Y$200,$G150)&gt;0,
    COUNTIFS($Z$2:$Z$200,$G150)&gt;0,
    COUNTIFS($AA$2:$AA$200,$G150)&gt;0,
    COUNTIFS($AB$2:$AB$200,$G150)&gt;0,
    COUNTIFS($AC$2:$AC$200,$G150)&gt;0,
    COUNTIFS($AD$2:$AD$200,$G150)&gt;0,
    COUNTIFS($AE$2:$AE$200,$G150)&gt;0,
    COUNTIFS($AF$2:$AF$200,$G150)&gt;0,
    COUNTIFS($AG$2:$AG$200,$G150)&gt;0,
    COUNTIFS($AH$2:$AH$200,$G150)&gt;0,
    COUNTIFS($AI$2:$AI$200,$G150)&gt;0,
    COUNTIFS($AJ$2:$AJ$200,$G150)&gt;0,
    COUNTIFS($AK$2:$AK$200,$G150)&gt;0,
    COUNTIFS($AL$2:$AL$200,$G150)&gt;0,
    COUNTIFS($AM$2:$AM$200,$G150)&gt;0,
    COUNTIFS($AN$2:$AN$200,$G150)&gt;0,
    COUNTIFS($AO$2:$AO$200,$G150)&gt;0,
    COUNTIFS($AP$2:$AP$200,$G150)&gt;0,
    COUNTIFS($AQ$2:$AQ$200,$G150)&gt;0,
    COUNTIFS($AR$2:$AR$200,$G150)&gt;0,
    COUNTIFS($AS$2:$AS$200,$G150)&gt;0,
    COUNTIFS($AT$2:$AT$200,$G150)&gt;0,
    COUNTIFS($AU$2:$AU$200,$G150)&gt;0,
    COUNTIFS($AV$2:$AV$200,$G150)&gt;0,
    COUNTIFS($AW$2:$AW$200,$G150)&gt;0,
    COUNTIFS($AX$2:$AX$200,$G150)&gt;0
   ),
  0)
 ),
"")</f>
        <v>Tayam</v>
      </c>
      <c r="D150" s="3" t="str" cm="1">
        <f t="array" aca="1" ref="D150" ca="1">IFERROR(
 INDEX(
  _xlfn._xlws.FILTER($U$1:$AX$1,
   TRANSPOSE(
    CHOOSE({1;2;3;4;5;6;7;8;9;10;11;12;13;14;15;16;17;18;19;20;21;22;23;24;25;26;27;28;29;30},
     COUNTIFS($U$2:$U$200,$G150)&gt;0,
     COUNTIFS($V$2:$V$200,$G150)&gt;0,
     COUNTIFS($W$2:$W$200,$G150)&gt;0,
     COUNTIFS($X$2:$X$200,$G150)&gt;0,
     COUNTIFS($Y$2:$Y$200,$G150)&gt;0,
     COUNTIFS($Z$2:$Z$200,$G150)&gt;0,
     COUNTIFS($AA$2:$AA$200,$G150)&gt;0,
     COUNTIFS($AB$2:$AB$200,$G150)&gt;0,
     COUNTIFS($AC$2:$AC$200,$G150)&gt;0,
     COUNTIFS($AD$2:$AD$200,$G150)&gt;0,
     COUNTIFS($AE$2:$AE$200,$G150)&gt;0,
     COUNTIFS($AF$2:$AF$200,$G150)&gt;0,
     COUNTIFS($AG$2:$AG$200,$G150)&gt;0,
     COUNTIFS($AH$2:$AH$200,$G150)&gt;0,
     COUNTIFS($AI$2:$AI$200,$G150)&gt;0,
     COUNTIFS($AJ$2:$AJ$200,$G150)&gt;0,
     COUNTIFS($AK$2:$AK$200,$G150)&gt;0,
     COUNTIFS($AL$2:$AL$200,$G150)&gt;0,
     COUNTIFS($AM$2:$AM$200,$G150)&gt;0,
     COUNTIFS($AN$2:$AN$200,$G150)&gt;0,
     COUNTIFS($AO$2:$AO$200,$G150)&gt;0,
     COUNTIFS($AP$2:$AP$200,$G150)&gt;0,
     COUNTIFS($AQ$2:$AQ$200,$G150)&gt;0,
     COUNTIFS($AR$2:$AR$200,$G150)&gt;0,
     COUNTIFS($AS$2:$AS$200,$G150)&gt;0,
     COUNTIFS($AT$2:$AT$200,$G150)&gt;0,
     COUNTIFS($AU$2:$AU$200,$G150)&gt;0,
     COUNTIFS($AV$2:$AV$200,$G150)&gt;0,
     COUNTIFS($AW$2:$AW$200,$G150)&gt;0,
     COUNTIFS($AX$2:$AX$200,$G150)&gt;0
   )),
  ),
  2
 ),
"")</f>
        <v/>
      </c>
      <c r="E150" s="3" t="str" cm="1">
        <f t="array" aca="1" ref="E150" ca="1">IFERROR(
 INDEX(
  _xlfn._xlws.FILTER($U$1:$AX$1,
   TRANSPOSE(
    CHOOSE({1;2;3;4;5;6;7;8;9;10;11;12;13;14;15;16;17;18;19;20;21;22;23;24;25;26;27;28;29;30},
     COUNTIFS($U$2:$U$200,$G150)&gt;0,
     COUNTIFS($V$2:$V$200,$G150)&gt;0,
     COUNTIFS($W$2:$W$200,$G150)&gt;0,
     COUNTIFS($X$2:$X$200,$G150)&gt;0,
     COUNTIFS($Y$2:$Y$200,$G150)&gt;0,
     COUNTIFS($Z$2:$Z$200,$G150)&gt;0,
     COUNTIFS($AA$2:$AA$200,$G150)&gt;0,
     COUNTIFS($AB$2:$AB$200,$G150)&gt;0,
     COUNTIFS($AC$2:$AC$200,$G150)&gt;0,
     COUNTIFS($AD$2:$AD$200,$G150)&gt;0,
     COUNTIFS($AE$2:$AE$200,$G150)&gt;0,
     COUNTIFS($AF$2:$AF$200,$G150)&gt;0,
     COUNTIFS($AG$2:$AG$200,$G150)&gt;0,
     COUNTIFS($AH$2:$AH$200,$G150)&gt;0,
     COUNTIFS($AI$2:$AI$200,$G150)&gt;0,
     COUNTIFS($AJ$2:$AJ$200,$G150)&gt;0,
     COUNTIFS($AK$2:$AK$200,$G150)&gt;0,
     COUNTIFS($AL$2:$AL$200,$G150)&gt;0,
     COUNTIFS($AM$2:$AM$200,$G150)&gt;0,
     COUNTIFS($AN$2:$AN$200,$G150)&gt;0,
     COUNTIFS($AO$2:$AO$200,$G150)&gt;0,
     COUNTIFS($AP$2:$AP$200,$G150)&gt;0,
     COUNTIFS($AQ$2:$AQ$200,$G150)&gt;0,
     COUNTIFS($AR$2:$AR$200,$G150)&gt;0,
     COUNTIFS($AS$2:$AS$200,$G150)&gt;0,
     COUNTIFS($AT$2:$AT$200,$G150)&gt;0,
     COUNTIFS($AU$2:$AU$200,$G150)&gt;0,
     COUNTIFS($AV$2:$AV$200,$G150)&gt;0,
     COUNTIFS($AW$2:$AW$200,$G150)&gt;0,
     COUNTIFS($AX$2:$AX$200,$G150)&gt;0
   )),
  ),
  3
 ),
"")</f>
        <v/>
      </c>
      <c r="F150" s="3" t="str" cm="1">
        <f t="array" aca="1" ref="F150" ca="1">IFERROR(
 INDEX(
  _xlfn._xlws.FILTER($U$1:$AX$1,
   TRANSPOSE(
    CHOOSE({1;2;3;4;5;6;7;8;9;10;11;12;13;14;15;16;17;18;19;20;21;22;23;24;25;26;27;28;29;30},
     COUNTIFS($U$2:$U$200,$G150)&gt;0,
     COUNTIFS($V$2:$V$200,$G150)&gt;0,
     COUNTIFS($W$2:$W$200,$G150)&gt;0,
     COUNTIFS($X$2:$X$200,$G150)&gt;0,
     COUNTIFS($Y$2:$Y$200,$G150)&gt;0,
     COUNTIFS($Z$2:$Z$200,$G150)&gt;0,
     COUNTIFS($AA$2:$AA$200,$G150)&gt;0,
     COUNTIFS($AB$2:$AB$200,$G150)&gt;0,
     COUNTIFS($AC$2:$AC$200,$G150)&gt;0,
     COUNTIFS($AD$2:$AD$200,$G150)&gt;0,
     COUNTIFS($AE$2:$AE$200,$G150)&gt;0,
     COUNTIFS($AF$2:$AF$200,$G150)&gt;0,
     COUNTIFS($AG$2:$AG$200,$G150)&gt;0,
     COUNTIFS($AH$2:$AH$200,$G150)&gt;0,
     COUNTIFS($AI$2:$AI$200,$G150)&gt;0,
     COUNTIFS($AJ$2:$AJ$200,$G150)&gt;0,
     COUNTIFS($AK$2:$AK$200,$G150)&gt;0,
     COUNTIFS($AL$2:$AL$200,$G150)&gt;0,
     COUNTIFS($AM$2:$AM$200,$G150)&gt;0,
     COUNTIFS($AN$2:$AN$200,$G150)&gt;0,
     COUNTIFS($AO$2:$AO$200,$G150)&gt;0,
     COUNTIFS($AP$2:$AP$200,$G150)&gt;0,
     COUNTIFS($AQ$2:$AQ$200,$G150)&gt;0,
     COUNTIFS($AR$2:$AR$200,$G150)&gt;0,
     COUNTIFS($AS$2:$AS$200,$G150)&gt;0,
     COUNTIFS($AT$2:$AT$200,$G150)&gt;0,
     COUNTIFS($AU$2:$AU$200,$G150)&gt;0,
     COUNTIFS($AV$2:$AV$200,$G150)&gt;0,
     COUNTIFS($AW$2:$AW$200,$G150)&gt;0,
     COUNTIFS($AX$2:$AX$200,$G150)&gt;0
   )),
  ),
  4
 ),
"")</f>
        <v/>
      </c>
      <c r="G150" t="str">
        <f ca="1"/>
        <v>Kutzil, Malamet Exemplar</v>
      </c>
      <c r="CB150" t="str">
        <f ca="1"/>
        <v>Treasure Vault</v>
      </c>
      <c r="CG150" t="str">
        <f ca="1"/>
        <v>Purphoros, God of the Forge</v>
      </c>
      <c r="CJ150" t="str">
        <f ca="1"/>
        <v>Kutzil, Malamet Exemplar</v>
      </c>
    </row>
    <row r="151" spans="1:88" x14ac:dyDescent="0.25">
      <c r="A151" s="3" t="str">
        <f t="shared" ca="1" si="6"/>
        <v>1</v>
      </c>
      <c r="B151" s="3">
        <f t="shared" ca="1" si="7"/>
        <v>1</v>
      </c>
      <c r="C151" s="3" t="str">
        <f ca="1">IFERROR(
 INDEX($U$1:$AX$1,
  MATCH(TRUE,
   CHOOSE({1;2;3;4;5;6;7;8;9;10;11;12;13;14;15;16;17;18;19;20;21;22;23;24;25;26;27;28;29;30;31;32},
    COUNTIFS($U$2:$U$200,$G151)&gt;0,
    COUNTIFS($V$2:$V$200,$G151)&gt;0,
    COUNTIFS($W$2:$W$200,$G151)&gt;0,
    COUNTIFS($X$2:$X$200,$G151)&gt;0,
    COUNTIFS($Y$2:$Y$200,$G151)&gt;0,
    COUNTIFS($Z$2:$Z$200,$G151)&gt;0,
    COUNTIFS($AA$2:$AA$200,$G151)&gt;0,
    COUNTIFS($AB$2:$AB$200,$G151)&gt;0,
    COUNTIFS($AC$2:$AC$200,$G151)&gt;0,
    COUNTIFS($AD$2:$AD$200,$G151)&gt;0,
    COUNTIFS($AE$2:$AE$200,$G151)&gt;0,
    COUNTIFS($AF$2:$AF$200,$G151)&gt;0,
    COUNTIFS($AG$2:$AG$200,$G151)&gt;0,
    COUNTIFS($AH$2:$AH$200,$G151)&gt;0,
    COUNTIFS($AI$2:$AI$200,$G151)&gt;0,
    COUNTIFS($AJ$2:$AJ$200,$G151)&gt;0,
    COUNTIFS($AK$2:$AK$200,$G151)&gt;0,
    COUNTIFS($AL$2:$AL$200,$G151)&gt;0,
    COUNTIFS($AM$2:$AM$200,$G151)&gt;0,
    COUNTIFS($AN$2:$AN$200,$G151)&gt;0,
    COUNTIFS($AO$2:$AO$200,$G151)&gt;0,
    COUNTIFS($AP$2:$AP$200,$G151)&gt;0,
    COUNTIFS($AQ$2:$AQ$200,$G151)&gt;0,
    COUNTIFS($AR$2:$AR$200,$G151)&gt;0,
    COUNTIFS($AS$2:$AS$200,$G151)&gt;0,
    COUNTIFS($AT$2:$AT$200,$G151)&gt;0,
    COUNTIFS($AU$2:$AU$200,$G151)&gt;0,
    COUNTIFS($AV$2:$AV$200,$G151)&gt;0,
    COUNTIFS($AW$2:$AW$200,$G151)&gt;0,
    COUNTIFS($AX$2:$AX$200,$G151)&gt;0
   ),
  0)
 ),
"")</f>
        <v>Tayam</v>
      </c>
      <c r="D151" s="3" t="str" cm="1">
        <f t="array" aca="1" ref="D151" ca="1">IFERROR(
 INDEX(
  _xlfn._xlws.FILTER($U$1:$AX$1,
   TRANSPOSE(
    CHOOSE({1;2;3;4;5;6;7;8;9;10;11;12;13;14;15;16;17;18;19;20;21;22;23;24;25;26;27;28;29;30},
     COUNTIFS($U$2:$U$200,$G151)&gt;0,
     COUNTIFS($V$2:$V$200,$G151)&gt;0,
     COUNTIFS($W$2:$W$200,$G151)&gt;0,
     COUNTIFS($X$2:$X$200,$G151)&gt;0,
     COUNTIFS($Y$2:$Y$200,$G151)&gt;0,
     COUNTIFS($Z$2:$Z$200,$G151)&gt;0,
     COUNTIFS($AA$2:$AA$200,$G151)&gt;0,
     COUNTIFS($AB$2:$AB$200,$G151)&gt;0,
     COUNTIFS($AC$2:$AC$200,$G151)&gt;0,
     COUNTIFS($AD$2:$AD$200,$G151)&gt;0,
     COUNTIFS($AE$2:$AE$200,$G151)&gt;0,
     COUNTIFS($AF$2:$AF$200,$G151)&gt;0,
     COUNTIFS($AG$2:$AG$200,$G151)&gt;0,
     COUNTIFS($AH$2:$AH$200,$G151)&gt;0,
     COUNTIFS($AI$2:$AI$200,$G151)&gt;0,
     COUNTIFS($AJ$2:$AJ$200,$G151)&gt;0,
     COUNTIFS($AK$2:$AK$200,$G151)&gt;0,
     COUNTIFS($AL$2:$AL$200,$G151)&gt;0,
     COUNTIFS($AM$2:$AM$200,$G151)&gt;0,
     COUNTIFS($AN$2:$AN$200,$G151)&gt;0,
     COUNTIFS($AO$2:$AO$200,$G151)&gt;0,
     COUNTIFS($AP$2:$AP$200,$G151)&gt;0,
     COUNTIFS($AQ$2:$AQ$200,$G151)&gt;0,
     COUNTIFS($AR$2:$AR$200,$G151)&gt;0,
     COUNTIFS($AS$2:$AS$200,$G151)&gt;0,
     COUNTIFS($AT$2:$AT$200,$G151)&gt;0,
     COUNTIFS($AU$2:$AU$200,$G151)&gt;0,
     COUNTIFS($AV$2:$AV$200,$G151)&gt;0,
     COUNTIFS($AW$2:$AW$200,$G151)&gt;0,
     COUNTIFS($AX$2:$AX$200,$G151)&gt;0
   )),
  ),
  2
 ),
"")</f>
        <v/>
      </c>
      <c r="E151" s="3" t="str" cm="1">
        <f t="array" aca="1" ref="E151" ca="1">IFERROR(
 INDEX(
  _xlfn._xlws.FILTER($U$1:$AX$1,
   TRANSPOSE(
    CHOOSE({1;2;3;4;5;6;7;8;9;10;11;12;13;14;15;16;17;18;19;20;21;22;23;24;25;26;27;28;29;30},
     COUNTIFS($U$2:$U$200,$G151)&gt;0,
     COUNTIFS($V$2:$V$200,$G151)&gt;0,
     COUNTIFS($W$2:$W$200,$G151)&gt;0,
     COUNTIFS($X$2:$X$200,$G151)&gt;0,
     COUNTIFS($Y$2:$Y$200,$G151)&gt;0,
     COUNTIFS($Z$2:$Z$200,$G151)&gt;0,
     COUNTIFS($AA$2:$AA$200,$G151)&gt;0,
     COUNTIFS($AB$2:$AB$200,$G151)&gt;0,
     COUNTIFS($AC$2:$AC$200,$G151)&gt;0,
     COUNTIFS($AD$2:$AD$200,$G151)&gt;0,
     COUNTIFS($AE$2:$AE$200,$G151)&gt;0,
     COUNTIFS($AF$2:$AF$200,$G151)&gt;0,
     COUNTIFS($AG$2:$AG$200,$G151)&gt;0,
     COUNTIFS($AH$2:$AH$200,$G151)&gt;0,
     COUNTIFS($AI$2:$AI$200,$G151)&gt;0,
     COUNTIFS($AJ$2:$AJ$200,$G151)&gt;0,
     COUNTIFS($AK$2:$AK$200,$G151)&gt;0,
     COUNTIFS($AL$2:$AL$200,$G151)&gt;0,
     COUNTIFS($AM$2:$AM$200,$G151)&gt;0,
     COUNTIFS($AN$2:$AN$200,$G151)&gt;0,
     COUNTIFS($AO$2:$AO$200,$G151)&gt;0,
     COUNTIFS($AP$2:$AP$200,$G151)&gt;0,
     COUNTIFS($AQ$2:$AQ$200,$G151)&gt;0,
     COUNTIFS($AR$2:$AR$200,$G151)&gt;0,
     COUNTIFS($AS$2:$AS$200,$G151)&gt;0,
     COUNTIFS($AT$2:$AT$200,$G151)&gt;0,
     COUNTIFS($AU$2:$AU$200,$G151)&gt;0,
     COUNTIFS($AV$2:$AV$200,$G151)&gt;0,
     COUNTIFS($AW$2:$AW$200,$G151)&gt;0,
     COUNTIFS($AX$2:$AX$200,$G151)&gt;0
   )),
  ),
  3
 ),
"")</f>
        <v/>
      </c>
      <c r="F151" s="3" t="str" cm="1">
        <f t="array" aca="1" ref="F151" ca="1">IFERROR(
 INDEX(
  _xlfn._xlws.FILTER($U$1:$AX$1,
   TRANSPOSE(
    CHOOSE({1;2;3;4;5;6;7;8;9;10;11;12;13;14;15;16;17;18;19;20;21;22;23;24;25;26;27;28;29;30},
     COUNTIFS($U$2:$U$200,$G151)&gt;0,
     COUNTIFS($V$2:$V$200,$G151)&gt;0,
     COUNTIFS($W$2:$W$200,$G151)&gt;0,
     COUNTIFS($X$2:$X$200,$G151)&gt;0,
     COUNTIFS($Y$2:$Y$200,$G151)&gt;0,
     COUNTIFS($Z$2:$Z$200,$G151)&gt;0,
     COUNTIFS($AA$2:$AA$200,$G151)&gt;0,
     COUNTIFS($AB$2:$AB$200,$G151)&gt;0,
     COUNTIFS($AC$2:$AC$200,$G151)&gt;0,
     COUNTIFS($AD$2:$AD$200,$G151)&gt;0,
     COUNTIFS($AE$2:$AE$200,$G151)&gt;0,
     COUNTIFS($AF$2:$AF$200,$G151)&gt;0,
     COUNTIFS($AG$2:$AG$200,$G151)&gt;0,
     COUNTIFS($AH$2:$AH$200,$G151)&gt;0,
     COUNTIFS($AI$2:$AI$200,$G151)&gt;0,
     COUNTIFS($AJ$2:$AJ$200,$G151)&gt;0,
     COUNTIFS($AK$2:$AK$200,$G151)&gt;0,
     COUNTIFS($AL$2:$AL$200,$G151)&gt;0,
     COUNTIFS($AM$2:$AM$200,$G151)&gt;0,
     COUNTIFS($AN$2:$AN$200,$G151)&gt;0,
     COUNTIFS($AO$2:$AO$200,$G151)&gt;0,
     COUNTIFS($AP$2:$AP$200,$G151)&gt;0,
     COUNTIFS($AQ$2:$AQ$200,$G151)&gt;0,
     COUNTIFS($AR$2:$AR$200,$G151)&gt;0,
     COUNTIFS($AS$2:$AS$200,$G151)&gt;0,
     COUNTIFS($AT$2:$AT$200,$G151)&gt;0,
     COUNTIFS($AU$2:$AU$200,$G151)&gt;0,
     COUNTIFS($AV$2:$AV$200,$G151)&gt;0,
     COUNTIFS($AW$2:$AW$200,$G151)&gt;0,
     COUNTIFS($AX$2:$AX$200,$G151)&gt;0
   )),
  ),
  4
 ),
"")</f>
        <v/>
      </c>
      <c r="G151" t="str">
        <f ca="1"/>
        <v>Lae'zel, Vlaakith's Champion</v>
      </c>
      <c r="CB151" t="str">
        <f ca="1"/>
        <v>Trenzalore Clocktower</v>
      </c>
      <c r="CG151" t="str">
        <f ca="1"/>
        <v>Reforge the Soul</v>
      </c>
      <c r="CJ151" t="str">
        <f ca="1"/>
        <v>Lae'zel, Vlaakith's Champion</v>
      </c>
    </row>
    <row r="152" spans="1:88" x14ac:dyDescent="0.25">
      <c r="A152" s="3" t="str">
        <f t="shared" ca="1" si="6"/>
        <v>5</v>
      </c>
      <c r="B152" s="3">
        <f t="shared" ca="1" si="7"/>
        <v>1</v>
      </c>
      <c r="C152" s="3" t="str">
        <f ca="1">IFERROR(
 INDEX($U$1:$AX$1,
  MATCH(TRUE,
   CHOOSE({1;2;3;4;5;6;7;8;9;10;11;12;13;14;15;16;17;18;19;20;21;22;23;24;25;26;27;28;29;30;31;32},
    COUNTIFS($U$2:$U$200,$G152)&gt;0,
    COUNTIFS($V$2:$V$200,$G152)&gt;0,
    COUNTIFS($W$2:$W$200,$G152)&gt;0,
    COUNTIFS($X$2:$X$200,$G152)&gt;0,
    COUNTIFS($Y$2:$Y$200,$G152)&gt;0,
    COUNTIFS($Z$2:$Z$200,$G152)&gt;0,
    COUNTIFS($AA$2:$AA$200,$G152)&gt;0,
    COUNTIFS($AB$2:$AB$200,$G152)&gt;0,
    COUNTIFS($AC$2:$AC$200,$G152)&gt;0,
    COUNTIFS($AD$2:$AD$200,$G152)&gt;0,
    COUNTIFS($AE$2:$AE$200,$G152)&gt;0,
    COUNTIFS($AF$2:$AF$200,$G152)&gt;0,
    COUNTIFS($AG$2:$AG$200,$G152)&gt;0,
    COUNTIFS($AH$2:$AH$200,$G152)&gt;0,
    COUNTIFS($AI$2:$AI$200,$G152)&gt;0,
    COUNTIFS($AJ$2:$AJ$200,$G152)&gt;0,
    COUNTIFS($AK$2:$AK$200,$G152)&gt;0,
    COUNTIFS($AL$2:$AL$200,$G152)&gt;0,
    COUNTIFS($AM$2:$AM$200,$G152)&gt;0,
    COUNTIFS($AN$2:$AN$200,$G152)&gt;0,
    COUNTIFS($AO$2:$AO$200,$G152)&gt;0,
    COUNTIFS($AP$2:$AP$200,$G152)&gt;0,
    COUNTIFS($AQ$2:$AQ$200,$G152)&gt;0,
    COUNTIFS($AR$2:$AR$200,$G152)&gt;0,
    COUNTIFS($AS$2:$AS$200,$G152)&gt;0,
    COUNTIFS($AT$2:$AT$200,$G152)&gt;0,
    COUNTIFS($AU$2:$AU$200,$G152)&gt;0,
    COUNTIFS($AV$2:$AV$200,$G152)&gt;0,
    COUNTIFS($AW$2:$AW$200,$G152)&gt;0,
    COUNTIFS($AX$2:$AX$200,$G152)&gt;0
   ),
  0)
 ),
"")</f>
        <v>Alela</v>
      </c>
      <c r="D152" s="3" t="str" cm="1">
        <f t="array" aca="1" ref="D152" ca="1">IFERROR(
 INDEX(
  _xlfn._xlws.FILTER($U$1:$AX$1,
   TRANSPOSE(
    CHOOSE({1;2;3;4;5;6;7;8;9;10;11;12;13;14;15;16;17;18;19;20;21;22;23;24;25;26;27;28;29;30},
     COUNTIFS($U$2:$U$200,$G152)&gt;0,
     COUNTIFS($V$2:$V$200,$G152)&gt;0,
     COUNTIFS($W$2:$W$200,$G152)&gt;0,
     COUNTIFS($X$2:$X$200,$G152)&gt;0,
     COUNTIFS($Y$2:$Y$200,$G152)&gt;0,
     COUNTIFS($Z$2:$Z$200,$G152)&gt;0,
     COUNTIFS($AA$2:$AA$200,$G152)&gt;0,
     COUNTIFS($AB$2:$AB$200,$G152)&gt;0,
     COUNTIFS($AC$2:$AC$200,$G152)&gt;0,
     COUNTIFS($AD$2:$AD$200,$G152)&gt;0,
     COUNTIFS($AE$2:$AE$200,$G152)&gt;0,
     COUNTIFS($AF$2:$AF$200,$G152)&gt;0,
     COUNTIFS($AG$2:$AG$200,$G152)&gt;0,
     COUNTIFS($AH$2:$AH$200,$G152)&gt;0,
     COUNTIFS($AI$2:$AI$200,$G152)&gt;0,
     COUNTIFS($AJ$2:$AJ$200,$G152)&gt;0,
     COUNTIFS($AK$2:$AK$200,$G152)&gt;0,
     COUNTIFS($AL$2:$AL$200,$G152)&gt;0,
     COUNTIFS($AM$2:$AM$200,$G152)&gt;0,
     COUNTIFS($AN$2:$AN$200,$G152)&gt;0,
     COUNTIFS($AO$2:$AO$200,$G152)&gt;0,
     COUNTIFS($AP$2:$AP$200,$G152)&gt;0,
     COUNTIFS($AQ$2:$AQ$200,$G152)&gt;0,
     COUNTIFS($AR$2:$AR$200,$G152)&gt;0,
     COUNTIFS($AS$2:$AS$200,$G152)&gt;0,
     COUNTIFS($AT$2:$AT$200,$G152)&gt;0,
     COUNTIFS($AU$2:$AU$200,$G152)&gt;0,
     COUNTIFS($AV$2:$AV$200,$G152)&gt;0,
     COUNTIFS($AW$2:$AW$200,$G152)&gt;0,
     COUNTIFS($AX$2:$AX$200,$G152)&gt;0
   )),
  ),
  2
 ),
"")</f>
        <v/>
      </c>
      <c r="E152" s="3" t="str" cm="1">
        <f t="array" aca="1" ref="E152" ca="1">IFERROR(
 INDEX(
  _xlfn._xlws.FILTER($U$1:$AX$1,
   TRANSPOSE(
    CHOOSE({1;2;3;4;5;6;7;8;9;10;11;12;13;14;15;16;17;18;19;20;21;22;23;24;25;26;27;28;29;30},
     COUNTIFS($U$2:$U$200,$G152)&gt;0,
     COUNTIFS($V$2:$V$200,$G152)&gt;0,
     COUNTIFS($W$2:$W$200,$G152)&gt;0,
     COUNTIFS($X$2:$X$200,$G152)&gt;0,
     COUNTIFS($Y$2:$Y$200,$G152)&gt;0,
     COUNTIFS($Z$2:$Z$200,$G152)&gt;0,
     COUNTIFS($AA$2:$AA$200,$G152)&gt;0,
     COUNTIFS($AB$2:$AB$200,$G152)&gt;0,
     COUNTIFS($AC$2:$AC$200,$G152)&gt;0,
     COUNTIFS($AD$2:$AD$200,$G152)&gt;0,
     COUNTIFS($AE$2:$AE$200,$G152)&gt;0,
     COUNTIFS($AF$2:$AF$200,$G152)&gt;0,
     COUNTIFS($AG$2:$AG$200,$G152)&gt;0,
     COUNTIFS($AH$2:$AH$200,$G152)&gt;0,
     COUNTIFS($AI$2:$AI$200,$G152)&gt;0,
     COUNTIFS($AJ$2:$AJ$200,$G152)&gt;0,
     COUNTIFS($AK$2:$AK$200,$G152)&gt;0,
     COUNTIFS($AL$2:$AL$200,$G152)&gt;0,
     COUNTIFS($AM$2:$AM$200,$G152)&gt;0,
     COUNTIFS($AN$2:$AN$200,$G152)&gt;0,
     COUNTIFS($AO$2:$AO$200,$G152)&gt;0,
     COUNTIFS($AP$2:$AP$200,$G152)&gt;0,
     COUNTIFS($AQ$2:$AQ$200,$G152)&gt;0,
     COUNTIFS($AR$2:$AR$200,$G152)&gt;0,
     COUNTIFS($AS$2:$AS$200,$G152)&gt;0,
     COUNTIFS($AT$2:$AT$200,$G152)&gt;0,
     COUNTIFS($AU$2:$AU$200,$G152)&gt;0,
     COUNTIFS($AV$2:$AV$200,$G152)&gt;0,
     COUNTIFS($AW$2:$AW$200,$G152)&gt;0,
     COUNTIFS($AX$2:$AX$200,$G152)&gt;0
   )),
  ),
  3
 ),
"")</f>
        <v/>
      </c>
      <c r="F152" s="3" t="str" cm="1">
        <f t="array" aca="1" ref="F152" ca="1">IFERROR(
 INDEX(
  _xlfn._xlws.FILTER($U$1:$AX$1,
   TRANSPOSE(
    CHOOSE({1;2;3;4;5;6;7;8;9;10;11;12;13;14;15;16;17;18;19;20;21;22;23;24;25;26;27;28;29;30},
     COUNTIFS($U$2:$U$200,$G152)&gt;0,
     COUNTIFS($V$2:$V$200,$G152)&gt;0,
     COUNTIFS($W$2:$W$200,$G152)&gt;0,
     COUNTIFS($X$2:$X$200,$G152)&gt;0,
     COUNTIFS($Y$2:$Y$200,$G152)&gt;0,
     COUNTIFS($Z$2:$Z$200,$G152)&gt;0,
     COUNTIFS($AA$2:$AA$200,$G152)&gt;0,
     COUNTIFS($AB$2:$AB$200,$G152)&gt;0,
     COUNTIFS($AC$2:$AC$200,$G152)&gt;0,
     COUNTIFS($AD$2:$AD$200,$G152)&gt;0,
     COUNTIFS($AE$2:$AE$200,$G152)&gt;0,
     COUNTIFS($AF$2:$AF$200,$G152)&gt;0,
     COUNTIFS($AG$2:$AG$200,$G152)&gt;0,
     COUNTIFS($AH$2:$AH$200,$G152)&gt;0,
     COUNTIFS($AI$2:$AI$200,$G152)&gt;0,
     COUNTIFS($AJ$2:$AJ$200,$G152)&gt;0,
     COUNTIFS($AK$2:$AK$200,$G152)&gt;0,
     COUNTIFS($AL$2:$AL$200,$G152)&gt;0,
     COUNTIFS($AM$2:$AM$200,$G152)&gt;0,
     COUNTIFS($AN$2:$AN$200,$G152)&gt;0,
     COUNTIFS($AO$2:$AO$200,$G152)&gt;0,
     COUNTIFS($AP$2:$AP$200,$G152)&gt;0,
     COUNTIFS($AQ$2:$AQ$200,$G152)&gt;0,
     COUNTIFS($AR$2:$AR$200,$G152)&gt;0,
     COUNTIFS($AS$2:$AS$200,$G152)&gt;0,
     COUNTIFS($AT$2:$AT$200,$G152)&gt;0,
     COUNTIFS($AU$2:$AU$200,$G152)&gt;0,
     COUNTIFS($AV$2:$AV$200,$G152)&gt;0,
     COUNTIFS($AW$2:$AW$200,$G152)&gt;0,
     COUNTIFS($AX$2:$AX$200,$G152)&gt;0
   )),
  ),
  4
 ),
"")</f>
        <v/>
      </c>
      <c r="G152" t="str">
        <f ca="1"/>
        <v>Lagoa Espelhada</v>
      </c>
      <c r="CB152" t="str">
        <f ca="1"/>
        <v>Tromell, Seymour's Butler</v>
      </c>
      <c r="CG152" t="str">
        <f ca="1"/>
        <v>Relentless Assault</v>
      </c>
      <c r="CJ152" t="str">
        <f ca="1"/>
        <v>Lagoa Espelhada</v>
      </c>
    </row>
    <row r="153" spans="1:88" x14ac:dyDescent="0.25">
      <c r="A153" s="3" t="str">
        <f t="shared" ca="1" si="6"/>
        <v>2</v>
      </c>
      <c r="B153" s="3">
        <f t="shared" ca="1" si="7"/>
        <v>1</v>
      </c>
      <c r="C153" s="3" t="str">
        <f ca="1">IFERROR(
 INDEX($U$1:$AX$1,
  MATCH(TRUE,
   CHOOSE({1;2;3;4;5;6;7;8;9;10;11;12;13;14;15;16;17;18;19;20;21;22;23;24;25;26;27;28;29;30;31;32},
    COUNTIFS($U$2:$U$200,$G153)&gt;0,
    COUNTIFS($V$2:$V$200,$G153)&gt;0,
    COUNTIFS($W$2:$W$200,$G153)&gt;0,
    COUNTIFS($X$2:$X$200,$G153)&gt;0,
    COUNTIFS($Y$2:$Y$200,$G153)&gt;0,
    COUNTIFS($Z$2:$Z$200,$G153)&gt;0,
    COUNTIFS($AA$2:$AA$200,$G153)&gt;0,
    COUNTIFS($AB$2:$AB$200,$G153)&gt;0,
    COUNTIFS($AC$2:$AC$200,$G153)&gt;0,
    COUNTIFS($AD$2:$AD$200,$G153)&gt;0,
    COUNTIFS($AE$2:$AE$200,$G153)&gt;0,
    COUNTIFS($AF$2:$AF$200,$G153)&gt;0,
    COUNTIFS($AG$2:$AG$200,$G153)&gt;0,
    COUNTIFS($AH$2:$AH$200,$G153)&gt;0,
    COUNTIFS($AI$2:$AI$200,$G153)&gt;0,
    COUNTIFS($AJ$2:$AJ$200,$G153)&gt;0,
    COUNTIFS($AK$2:$AK$200,$G153)&gt;0,
    COUNTIFS($AL$2:$AL$200,$G153)&gt;0,
    COUNTIFS($AM$2:$AM$200,$G153)&gt;0,
    COUNTIFS($AN$2:$AN$200,$G153)&gt;0,
    COUNTIFS($AO$2:$AO$200,$G153)&gt;0,
    COUNTIFS($AP$2:$AP$200,$G153)&gt;0,
    COUNTIFS($AQ$2:$AQ$200,$G153)&gt;0,
    COUNTIFS($AR$2:$AR$200,$G153)&gt;0,
    COUNTIFS($AS$2:$AS$200,$G153)&gt;0,
    COUNTIFS($AT$2:$AT$200,$G153)&gt;0,
    COUNTIFS($AU$2:$AU$200,$G153)&gt;0,
    COUNTIFS($AV$2:$AV$200,$G153)&gt;0,
    COUNTIFS($AW$2:$AW$200,$G153)&gt;0,
    COUNTIFS($AX$2:$AX$200,$G153)&gt;0
   ),
  0)
 ),
"")</f>
        <v>Rani</v>
      </c>
      <c r="D153" s="3" t="str" cm="1">
        <f t="array" aca="1" ref="D153" ca="1">IFERROR(
 INDEX(
  _xlfn._xlws.FILTER($U$1:$AX$1,
   TRANSPOSE(
    CHOOSE({1;2;3;4;5;6;7;8;9;10;11;12;13;14;15;16;17;18;19;20;21;22;23;24;25;26;27;28;29;30},
     COUNTIFS($U$2:$U$200,$G153)&gt;0,
     COUNTIFS($V$2:$V$200,$G153)&gt;0,
     COUNTIFS($W$2:$W$200,$G153)&gt;0,
     COUNTIFS($X$2:$X$200,$G153)&gt;0,
     COUNTIFS($Y$2:$Y$200,$G153)&gt;0,
     COUNTIFS($Z$2:$Z$200,$G153)&gt;0,
     COUNTIFS($AA$2:$AA$200,$G153)&gt;0,
     COUNTIFS($AB$2:$AB$200,$G153)&gt;0,
     COUNTIFS($AC$2:$AC$200,$G153)&gt;0,
     COUNTIFS($AD$2:$AD$200,$G153)&gt;0,
     COUNTIFS($AE$2:$AE$200,$G153)&gt;0,
     COUNTIFS($AF$2:$AF$200,$G153)&gt;0,
     COUNTIFS($AG$2:$AG$200,$G153)&gt;0,
     COUNTIFS($AH$2:$AH$200,$G153)&gt;0,
     COUNTIFS($AI$2:$AI$200,$G153)&gt;0,
     COUNTIFS($AJ$2:$AJ$200,$G153)&gt;0,
     COUNTIFS($AK$2:$AK$200,$G153)&gt;0,
     COUNTIFS($AL$2:$AL$200,$G153)&gt;0,
     COUNTIFS($AM$2:$AM$200,$G153)&gt;0,
     COUNTIFS($AN$2:$AN$200,$G153)&gt;0,
     COUNTIFS($AO$2:$AO$200,$G153)&gt;0,
     COUNTIFS($AP$2:$AP$200,$G153)&gt;0,
     COUNTIFS($AQ$2:$AQ$200,$G153)&gt;0,
     COUNTIFS($AR$2:$AR$200,$G153)&gt;0,
     COUNTIFS($AS$2:$AS$200,$G153)&gt;0,
     COUNTIFS($AT$2:$AT$200,$G153)&gt;0,
     COUNTIFS($AU$2:$AU$200,$G153)&gt;0,
     COUNTIFS($AV$2:$AV$200,$G153)&gt;0,
     COUNTIFS($AW$2:$AW$200,$G153)&gt;0,
     COUNTIFS($AX$2:$AX$200,$G153)&gt;0
   )),
  ),
  2
 ),
"")</f>
        <v/>
      </c>
      <c r="E153" s="3" t="str" cm="1">
        <f t="array" aca="1" ref="E153" ca="1">IFERROR(
 INDEX(
  _xlfn._xlws.FILTER($U$1:$AX$1,
   TRANSPOSE(
    CHOOSE({1;2;3;4;5;6;7;8;9;10;11;12;13;14;15;16;17;18;19;20;21;22;23;24;25;26;27;28;29;30},
     COUNTIFS($U$2:$U$200,$G153)&gt;0,
     COUNTIFS($V$2:$V$200,$G153)&gt;0,
     COUNTIFS($W$2:$W$200,$G153)&gt;0,
     COUNTIFS($X$2:$X$200,$G153)&gt;0,
     COUNTIFS($Y$2:$Y$200,$G153)&gt;0,
     COUNTIFS($Z$2:$Z$200,$G153)&gt;0,
     COUNTIFS($AA$2:$AA$200,$G153)&gt;0,
     COUNTIFS($AB$2:$AB$200,$G153)&gt;0,
     COUNTIFS($AC$2:$AC$200,$G153)&gt;0,
     COUNTIFS($AD$2:$AD$200,$G153)&gt;0,
     COUNTIFS($AE$2:$AE$200,$G153)&gt;0,
     COUNTIFS($AF$2:$AF$200,$G153)&gt;0,
     COUNTIFS($AG$2:$AG$200,$G153)&gt;0,
     COUNTIFS($AH$2:$AH$200,$G153)&gt;0,
     COUNTIFS($AI$2:$AI$200,$G153)&gt;0,
     COUNTIFS($AJ$2:$AJ$200,$G153)&gt;0,
     COUNTIFS($AK$2:$AK$200,$G153)&gt;0,
     COUNTIFS($AL$2:$AL$200,$G153)&gt;0,
     COUNTIFS($AM$2:$AM$200,$G153)&gt;0,
     COUNTIFS($AN$2:$AN$200,$G153)&gt;0,
     COUNTIFS($AO$2:$AO$200,$G153)&gt;0,
     COUNTIFS($AP$2:$AP$200,$G153)&gt;0,
     COUNTIFS($AQ$2:$AQ$200,$G153)&gt;0,
     COUNTIFS($AR$2:$AR$200,$G153)&gt;0,
     COUNTIFS($AS$2:$AS$200,$G153)&gt;0,
     COUNTIFS($AT$2:$AT$200,$G153)&gt;0,
     COUNTIFS($AU$2:$AU$200,$G153)&gt;0,
     COUNTIFS($AV$2:$AV$200,$G153)&gt;0,
     COUNTIFS($AW$2:$AW$200,$G153)&gt;0,
     COUNTIFS($AX$2:$AX$200,$G153)&gt;0
   )),
  ),
  3
 ),
"")</f>
        <v/>
      </c>
      <c r="F153" s="3" t="str" cm="1">
        <f t="array" aca="1" ref="F153" ca="1">IFERROR(
 INDEX(
  _xlfn._xlws.FILTER($U$1:$AX$1,
   TRANSPOSE(
    CHOOSE({1;2;3;4;5;6;7;8;9;10;11;12;13;14;15;16;17;18;19;20;21;22;23;24;25;26;27;28;29;30},
     COUNTIFS($U$2:$U$200,$G153)&gt;0,
     COUNTIFS($V$2:$V$200,$G153)&gt;0,
     COUNTIFS($W$2:$W$200,$G153)&gt;0,
     COUNTIFS($X$2:$X$200,$G153)&gt;0,
     COUNTIFS($Y$2:$Y$200,$G153)&gt;0,
     COUNTIFS($Z$2:$Z$200,$G153)&gt;0,
     COUNTIFS($AA$2:$AA$200,$G153)&gt;0,
     COUNTIFS($AB$2:$AB$200,$G153)&gt;0,
     COUNTIFS($AC$2:$AC$200,$G153)&gt;0,
     COUNTIFS($AD$2:$AD$200,$G153)&gt;0,
     COUNTIFS($AE$2:$AE$200,$G153)&gt;0,
     COUNTIFS($AF$2:$AF$200,$G153)&gt;0,
     COUNTIFS($AG$2:$AG$200,$G153)&gt;0,
     COUNTIFS($AH$2:$AH$200,$G153)&gt;0,
     COUNTIFS($AI$2:$AI$200,$G153)&gt;0,
     COUNTIFS($AJ$2:$AJ$200,$G153)&gt;0,
     COUNTIFS($AK$2:$AK$200,$G153)&gt;0,
     COUNTIFS($AL$2:$AL$200,$G153)&gt;0,
     COUNTIFS($AM$2:$AM$200,$G153)&gt;0,
     COUNTIFS($AN$2:$AN$200,$G153)&gt;0,
     COUNTIFS($AO$2:$AO$200,$G153)&gt;0,
     COUNTIFS($AP$2:$AP$200,$G153)&gt;0,
     COUNTIFS($AQ$2:$AQ$200,$G153)&gt;0,
     COUNTIFS($AR$2:$AR$200,$G153)&gt;0,
     COUNTIFS($AS$2:$AS$200,$G153)&gt;0,
     COUNTIFS($AT$2:$AT$200,$G153)&gt;0,
     COUNTIFS($AU$2:$AU$200,$G153)&gt;0,
     COUNTIFS($AV$2:$AV$200,$G153)&gt;0,
     COUNTIFS($AW$2:$AW$200,$G153)&gt;0,
     COUNTIFS($AX$2:$AX$200,$G153)&gt;0
   )),
  ),
  4
 ),
"")</f>
        <v/>
      </c>
      <c r="G153" t="str">
        <f ca="1"/>
        <v>Life of the Party</v>
      </c>
      <c r="CB153" t="str">
        <f ca="1"/>
        <v>Unbreakable Formation</v>
      </c>
      <c r="CG153" t="str">
        <f ca="1"/>
        <v>Reliquary Tower</v>
      </c>
      <c r="CJ153" t="str">
        <f ca="1"/>
        <v>Life of the Party</v>
      </c>
    </row>
    <row r="154" spans="1:88" x14ac:dyDescent="0.25">
      <c r="A154" s="3" t="str">
        <f t="shared" ca="1" si="6"/>
        <v>2</v>
      </c>
      <c r="B154" s="3">
        <f t="shared" ca="1" si="7"/>
        <v>3</v>
      </c>
      <c r="C154" s="3" t="str">
        <f ca="1">IFERROR(
 INDEX($U$1:$AX$1,
  MATCH(TRUE,
   CHOOSE({1;2;3;4;5;6;7;8;9;10;11;12;13;14;15;16;17;18;19;20;21;22;23;24;25;26;27;28;29;30;31;32},
    COUNTIFS($U$2:$U$200,$G154)&gt;0,
    COUNTIFS($V$2:$V$200,$G154)&gt;0,
    COUNTIFS($W$2:$W$200,$G154)&gt;0,
    COUNTIFS($X$2:$X$200,$G154)&gt;0,
    COUNTIFS($Y$2:$Y$200,$G154)&gt;0,
    COUNTIFS($Z$2:$Z$200,$G154)&gt;0,
    COUNTIFS($AA$2:$AA$200,$G154)&gt;0,
    COUNTIFS($AB$2:$AB$200,$G154)&gt;0,
    COUNTIFS($AC$2:$AC$200,$G154)&gt;0,
    COUNTIFS($AD$2:$AD$200,$G154)&gt;0,
    COUNTIFS($AE$2:$AE$200,$G154)&gt;0,
    COUNTIFS($AF$2:$AF$200,$G154)&gt;0,
    COUNTIFS($AG$2:$AG$200,$G154)&gt;0,
    COUNTIFS($AH$2:$AH$200,$G154)&gt;0,
    COUNTIFS($AI$2:$AI$200,$G154)&gt;0,
    COUNTIFS($AJ$2:$AJ$200,$G154)&gt;0,
    COUNTIFS($AK$2:$AK$200,$G154)&gt;0,
    COUNTIFS($AL$2:$AL$200,$G154)&gt;0,
    COUNTIFS($AM$2:$AM$200,$G154)&gt;0,
    COUNTIFS($AN$2:$AN$200,$G154)&gt;0,
    COUNTIFS($AO$2:$AO$200,$G154)&gt;0,
    COUNTIFS($AP$2:$AP$200,$G154)&gt;0,
    COUNTIFS($AQ$2:$AQ$200,$G154)&gt;0,
    COUNTIFS($AR$2:$AR$200,$G154)&gt;0,
    COUNTIFS($AS$2:$AS$200,$G154)&gt;0,
    COUNTIFS($AT$2:$AT$200,$G154)&gt;0,
    COUNTIFS($AU$2:$AU$200,$G154)&gt;0,
    COUNTIFS($AV$2:$AV$200,$G154)&gt;0,
    COUNTIFS($AW$2:$AW$200,$G154)&gt;0,
    COUNTIFS($AX$2:$AX$200,$G154)&gt;0
   ),
  0)
 ),
"")</f>
        <v>Baylen</v>
      </c>
      <c r="D154" s="3" t="str" cm="1">
        <f t="array" aca="1" ref="D154" ca="1">IFERROR(
 INDEX(
  _xlfn._xlws.FILTER($U$1:$AX$1,
   TRANSPOSE(
    CHOOSE({1;2;3;4;5;6;7;8;9;10;11;12;13;14;15;16;17;18;19;20;21;22;23;24;25;26;27;28;29;30},
     COUNTIFS($U$2:$U$200,$G154)&gt;0,
     COUNTIFS($V$2:$V$200,$G154)&gt;0,
     COUNTIFS($W$2:$W$200,$G154)&gt;0,
     COUNTIFS($X$2:$X$200,$G154)&gt;0,
     COUNTIFS($Y$2:$Y$200,$G154)&gt;0,
     COUNTIFS($Z$2:$Z$200,$G154)&gt;0,
     COUNTIFS($AA$2:$AA$200,$G154)&gt;0,
     COUNTIFS($AB$2:$AB$200,$G154)&gt;0,
     COUNTIFS($AC$2:$AC$200,$G154)&gt;0,
     COUNTIFS($AD$2:$AD$200,$G154)&gt;0,
     COUNTIFS($AE$2:$AE$200,$G154)&gt;0,
     COUNTIFS($AF$2:$AF$200,$G154)&gt;0,
     COUNTIFS($AG$2:$AG$200,$G154)&gt;0,
     COUNTIFS($AH$2:$AH$200,$G154)&gt;0,
     COUNTIFS($AI$2:$AI$200,$G154)&gt;0,
     COUNTIFS($AJ$2:$AJ$200,$G154)&gt;0,
     COUNTIFS($AK$2:$AK$200,$G154)&gt;0,
     COUNTIFS($AL$2:$AL$200,$G154)&gt;0,
     COUNTIFS($AM$2:$AM$200,$G154)&gt;0,
     COUNTIFS($AN$2:$AN$200,$G154)&gt;0,
     COUNTIFS($AO$2:$AO$200,$G154)&gt;0,
     COUNTIFS($AP$2:$AP$200,$G154)&gt;0,
     COUNTIFS($AQ$2:$AQ$200,$G154)&gt;0,
     COUNTIFS($AR$2:$AR$200,$G154)&gt;0,
     COUNTIFS($AS$2:$AS$200,$G154)&gt;0,
     COUNTIFS($AT$2:$AT$200,$G154)&gt;0,
     COUNTIFS($AU$2:$AU$200,$G154)&gt;0,
     COUNTIFS($AV$2:$AV$200,$G154)&gt;0,
     COUNTIFS($AW$2:$AW$200,$G154)&gt;0,
     COUNTIFS($AX$2:$AX$200,$G154)&gt;0
   )),
  ),
  2
 ),
"")</f>
        <v>Narset</v>
      </c>
      <c r="E154" s="3" t="str" cm="1">
        <f t="array" aca="1" ref="E154" ca="1">IFERROR(
 INDEX(
  _xlfn._xlws.FILTER($U$1:$AX$1,
   TRANSPOSE(
    CHOOSE({1;2;3;4;5;6;7;8;9;10;11;12;13;14;15;16;17;18;19;20;21;22;23;24;25;26;27;28;29;30},
     COUNTIFS($U$2:$U$200,$G154)&gt;0,
     COUNTIFS($V$2:$V$200,$G154)&gt;0,
     COUNTIFS($W$2:$W$200,$G154)&gt;0,
     COUNTIFS($X$2:$X$200,$G154)&gt;0,
     COUNTIFS($Y$2:$Y$200,$G154)&gt;0,
     COUNTIFS($Z$2:$Z$200,$G154)&gt;0,
     COUNTIFS($AA$2:$AA$200,$G154)&gt;0,
     COUNTIFS($AB$2:$AB$200,$G154)&gt;0,
     COUNTIFS($AC$2:$AC$200,$G154)&gt;0,
     COUNTIFS($AD$2:$AD$200,$G154)&gt;0,
     COUNTIFS($AE$2:$AE$200,$G154)&gt;0,
     COUNTIFS($AF$2:$AF$200,$G154)&gt;0,
     COUNTIFS($AG$2:$AG$200,$G154)&gt;0,
     COUNTIFS($AH$2:$AH$200,$G154)&gt;0,
     COUNTIFS($AI$2:$AI$200,$G154)&gt;0,
     COUNTIFS($AJ$2:$AJ$200,$G154)&gt;0,
     COUNTIFS($AK$2:$AK$200,$G154)&gt;0,
     COUNTIFS($AL$2:$AL$200,$G154)&gt;0,
     COUNTIFS($AM$2:$AM$200,$G154)&gt;0,
     COUNTIFS($AN$2:$AN$200,$G154)&gt;0,
     COUNTIFS($AO$2:$AO$200,$G154)&gt;0,
     COUNTIFS($AP$2:$AP$200,$G154)&gt;0,
     COUNTIFS($AQ$2:$AQ$200,$G154)&gt;0,
     COUNTIFS($AR$2:$AR$200,$G154)&gt;0,
     COUNTIFS($AS$2:$AS$200,$G154)&gt;0,
     COUNTIFS($AT$2:$AT$200,$G154)&gt;0,
     COUNTIFS($AU$2:$AU$200,$G154)&gt;0,
     COUNTIFS($AV$2:$AV$200,$G154)&gt;0,
     COUNTIFS($AW$2:$AW$200,$G154)&gt;0,
     COUNTIFS($AX$2:$AX$200,$G154)&gt;0
   )),
  ),
  3
 ),
"")</f>
        <v>Akiri</v>
      </c>
      <c r="F154" s="3" t="str" cm="1">
        <f t="array" aca="1" ref="F154" ca="1">IFERROR(
 INDEX(
  _xlfn._xlws.FILTER($U$1:$AX$1,
   TRANSPOSE(
    CHOOSE({1;2;3;4;5;6;7;8;9;10;11;12;13;14;15;16;17;18;19;20;21;22;23;24;25;26;27;28;29;30},
     COUNTIFS($U$2:$U$200,$G154)&gt;0,
     COUNTIFS($V$2:$V$200,$G154)&gt;0,
     COUNTIFS($W$2:$W$200,$G154)&gt;0,
     COUNTIFS($X$2:$X$200,$G154)&gt;0,
     COUNTIFS($Y$2:$Y$200,$G154)&gt;0,
     COUNTIFS($Z$2:$Z$200,$G154)&gt;0,
     COUNTIFS($AA$2:$AA$200,$G154)&gt;0,
     COUNTIFS($AB$2:$AB$200,$G154)&gt;0,
     COUNTIFS($AC$2:$AC$200,$G154)&gt;0,
     COUNTIFS($AD$2:$AD$200,$G154)&gt;0,
     COUNTIFS($AE$2:$AE$200,$G154)&gt;0,
     COUNTIFS($AF$2:$AF$200,$G154)&gt;0,
     COUNTIFS($AG$2:$AG$200,$G154)&gt;0,
     COUNTIFS($AH$2:$AH$200,$G154)&gt;0,
     COUNTIFS($AI$2:$AI$200,$G154)&gt;0,
     COUNTIFS($AJ$2:$AJ$200,$G154)&gt;0,
     COUNTIFS($AK$2:$AK$200,$G154)&gt;0,
     COUNTIFS($AL$2:$AL$200,$G154)&gt;0,
     COUNTIFS($AM$2:$AM$200,$G154)&gt;0,
     COUNTIFS($AN$2:$AN$200,$G154)&gt;0,
     COUNTIFS($AO$2:$AO$200,$G154)&gt;0,
     COUNTIFS($AP$2:$AP$200,$G154)&gt;0,
     COUNTIFS($AQ$2:$AQ$200,$G154)&gt;0,
     COUNTIFS($AR$2:$AR$200,$G154)&gt;0,
     COUNTIFS($AS$2:$AS$200,$G154)&gt;0,
     COUNTIFS($AT$2:$AT$200,$G154)&gt;0,
     COUNTIFS($AU$2:$AU$200,$G154)&gt;0,
     COUNTIFS($AV$2:$AV$200,$G154)&gt;0,
     COUNTIFS($AW$2:$AW$200,$G154)&gt;0,
     COUNTIFS($AX$2:$AX$200,$G154)&gt;0
   )),
  ),
  4
 ),
"")</f>
        <v/>
      </c>
      <c r="G154" t="str">
        <f ca="1"/>
        <v>Lightning Greaves</v>
      </c>
      <c r="CB154" t="str">
        <f ca="1"/>
        <v>Unholy Annex // Ritual Chamber</v>
      </c>
      <c r="CG154" t="str">
        <f ca="1"/>
        <v>Resourceful Defense</v>
      </c>
      <c r="CJ154" t="str">
        <f ca="1"/>
        <v>Lightning Greaves</v>
      </c>
    </row>
    <row r="155" spans="1:88" x14ac:dyDescent="0.25">
      <c r="A155" s="3" t="str">
        <f t="shared" ca="1" si="6"/>
        <v>1</v>
      </c>
      <c r="B155" s="3">
        <f t="shared" ca="1" si="7"/>
        <v>1</v>
      </c>
      <c r="C155" s="3" t="str">
        <f ca="1">IFERROR(
 INDEX($U$1:$AX$1,
  MATCH(TRUE,
   CHOOSE({1;2;3;4;5;6;7;8;9;10;11;12;13;14;15;16;17;18;19;20;21;22;23;24;25;26;27;28;29;30;31;32},
    COUNTIFS($U$2:$U$200,$G155)&gt;0,
    COUNTIFS($V$2:$V$200,$G155)&gt;0,
    COUNTIFS($W$2:$W$200,$G155)&gt;0,
    COUNTIFS($X$2:$X$200,$G155)&gt;0,
    COUNTIFS($Y$2:$Y$200,$G155)&gt;0,
    COUNTIFS($Z$2:$Z$200,$G155)&gt;0,
    COUNTIFS($AA$2:$AA$200,$G155)&gt;0,
    COUNTIFS($AB$2:$AB$200,$G155)&gt;0,
    COUNTIFS($AC$2:$AC$200,$G155)&gt;0,
    COUNTIFS($AD$2:$AD$200,$G155)&gt;0,
    COUNTIFS($AE$2:$AE$200,$G155)&gt;0,
    COUNTIFS($AF$2:$AF$200,$G155)&gt;0,
    COUNTIFS($AG$2:$AG$200,$G155)&gt;0,
    COUNTIFS($AH$2:$AH$200,$G155)&gt;0,
    COUNTIFS($AI$2:$AI$200,$G155)&gt;0,
    COUNTIFS($AJ$2:$AJ$200,$G155)&gt;0,
    COUNTIFS($AK$2:$AK$200,$G155)&gt;0,
    COUNTIFS($AL$2:$AL$200,$G155)&gt;0,
    COUNTIFS($AM$2:$AM$200,$G155)&gt;0,
    COUNTIFS($AN$2:$AN$200,$G155)&gt;0,
    COUNTIFS($AO$2:$AO$200,$G155)&gt;0,
    COUNTIFS($AP$2:$AP$200,$G155)&gt;0,
    COUNTIFS($AQ$2:$AQ$200,$G155)&gt;0,
    COUNTIFS($AR$2:$AR$200,$G155)&gt;0,
    COUNTIFS($AS$2:$AS$200,$G155)&gt;0,
    COUNTIFS($AT$2:$AT$200,$G155)&gt;0,
    COUNTIFS($AU$2:$AU$200,$G155)&gt;0,
    COUNTIFS($AV$2:$AV$200,$G155)&gt;0,
    COUNTIFS($AW$2:$AW$200,$G155)&gt;0,
    COUNTIFS($AX$2:$AX$200,$G155)&gt;0
   ),
  0)
 ),
"")</f>
        <v>Modular</v>
      </c>
      <c r="D155" s="3" t="str" cm="1">
        <f t="array" aca="1" ref="D155" ca="1">IFERROR(
 INDEX(
  _xlfn._xlws.FILTER($U$1:$AX$1,
   TRANSPOSE(
    CHOOSE({1;2;3;4;5;6;7;8;9;10;11;12;13;14;15;16;17;18;19;20;21;22;23;24;25;26;27;28;29;30},
     COUNTIFS($U$2:$U$200,$G155)&gt;0,
     COUNTIFS($V$2:$V$200,$G155)&gt;0,
     COUNTIFS($W$2:$W$200,$G155)&gt;0,
     COUNTIFS($X$2:$X$200,$G155)&gt;0,
     COUNTIFS($Y$2:$Y$200,$G155)&gt;0,
     COUNTIFS($Z$2:$Z$200,$G155)&gt;0,
     COUNTIFS($AA$2:$AA$200,$G155)&gt;0,
     COUNTIFS($AB$2:$AB$200,$G155)&gt;0,
     COUNTIFS($AC$2:$AC$200,$G155)&gt;0,
     COUNTIFS($AD$2:$AD$200,$G155)&gt;0,
     COUNTIFS($AE$2:$AE$200,$G155)&gt;0,
     COUNTIFS($AF$2:$AF$200,$G155)&gt;0,
     COUNTIFS($AG$2:$AG$200,$G155)&gt;0,
     COUNTIFS($AH$2:$AH$200,$G155)&gt;0,
     COUNTIFS($AI$2:$AI$200,$G155)&gt;0,
     COUNTIFS($AJ$2:$AJ$200,$G155)&gt;0,
     COUNTIFS($AK$2:$AK$200,$G155)&gt;0,
     COUNTIFS($AL$2:$AL$200,$G155)&gt;0,
     COUNTIFS($AM$2:$AM$200,$G155)&gt;0,
     COUNTIFS($AN$2:$AN$200,$G155)&gt;0,
     COUNTIFS($AO$2:$AO$200,$G155)&gt;0,
     COUNTIFS($AP$2:$AP$200,$G155)&gt;0,
     COUNTIFS($AQ$2:$AQ$200,$G155)&gt;0,
     COUNTIFS($AR$2:$AR$200,$G155)&gt;0,
     COUNTIFS($AS$2:$AS$200,$G155)&gt;0,
     COUNTIFS($AT$2:$AT$200,$G155)&gt;0,
     COUNTIFS($AU$2:$AU$200,$G155)&gt;0,
     COUNTIFS($AV$2:$AV$200,$G155)&gt;0,
     COUNTIFS($AW$2:$AW$200,$G155)&gt;0,
     COUNTIFS($AX$2:$AX$200,$G155)&gt;0
   )),
  ),
  2
 ),
"")</f>
        <v/>
      </c>
      <c r="E155" s="3" t="str" cm="1">
        <f t="array" aca="1" ref="E155" ca="1">IFERROR(
 INDEX(
  _xlfn._xlws.FILTER($U$1:$AX$1,
   TRANSPOSE(
    CHOOSE({1;2;3;4;5;6;7;8;9;10;11;12;13;14;15;16;17;18;19;20;21;22;23;24;25;26;27;28;29;30},
     COUNTIFS($U$2:$U$200,$G155)&gt;0,
     COUNTIFS($V$2:$V$200,$G155)&gt;0,
     COUNTIFS($W$2:$W$200,$G155)&gt;0,
     COUNTIFS($X$2:$X$200,$G155)&gt;0,
     COUNTIFS($Y$2:$Y$200,$G155)&gt;0,
     COUNTIFS($Z$2:$Z$200,$G155)&gt;0,
     COUNTIFS($AA$2:$AA$200,$G155)&gt;0,
     COUNTIFS($AB$2:$AB$200,$G155)&gt;0,
     COUNTIFS($AC$2:$AC$200,$G155)&gt;0,
     COUNTIFS($AD$2:$AD$200,$G155)&gt;0,
     COUNTIFS($AE$2:$AE$200,$G155)&gt;0,
     COUNTIFS($AF$2:$AF$200,$G155)&gt;0,
     COUNTIFS($AG$2:$AG$200,$G155)&gt;0,
     COUNTIFS($AH$2:$AH$200,$G155)&gt;0,
     COUNTIFS($AI$2:$AI$200,$G155)&gt;0,
     COUNTIFS($AJ$2:$AJ$200,$G155)&gt;0,
     COUNTIFS($AK$2:$AK$200,$G155)&gt;0,
     COUNTIFS($AL$2:$AL$200,$G155)&gt;0,
     COUNTIFS($AM$2:$AM$200,$G155)&gt;0,
     COUNTIFS($AN$2:$AN$200,$G155)&gt;0,
     COUNTIFS($AO$2:$AO$200,$G155)&gt;0,
     COUNTIFS($AP$2:$AP$200,$G155)&gt;0,
     COUNTIFS($AQ$2:$AQ$200,$G155)&gt;0,
     COUNTIFS($AR$2:$AR$200,$G155)&gt;0,
     COUNTIFS($AS$2:$AS$200,$G155)&gt;0,
     COUNTIFS($AT$2:$AT$200,$G155)&gt;0,
     COUNTIFS($AU$2:$AU$200,$G155)&gt;0,
     COUNTIFS($AV$2:$AV$200,$G155)&gt;0,
     COUNTIFS($AW$2:$AW$200,$G155)&gt;0,
     COUNTIFS($AX$2:$AX$200,$G155)&gt;0
   )),
  ),
  3
 ),
"")</f>
        <v/>
      </c>
      <c r="F155" s="3" t="str" cm="1">
        <f t="array" aca="1" ref="F155" ca="1">IFERROR(
 INDEX(
  _xlfn._xlws.FILTER($U$1:$AX$1,
   TRANSPOSE(
    CHOOSE({1;2;3;4;5;6;7;8;9;10;11;12;13;14;15;16;17;18;19;20;21;22;23;24;25;26;27;28;29;30},
     COUNTIFS($U$2:$U$200,$G155)&gt;0,
     COUNTIFS($V$2:$V$200,$G155)&gt;0,
     COUNTIFS($W$2:$W$200,$G155)&gt;0,
     COUNTIFS($X$2:$X$200,$G155)&gt;0,
     COUNTIFS($Y$2:$Y$200,$G155)&gt;0,
     COUNTIFS($Z$2:$Z$200,$G155)&gt;0,
     COUNTIFS($AA$2:$AA$200,$G155)&gt;0,
     COUNTIFS($AB$2:$AB$200,$G155)&gt;0,
     COUNTIFS($AC$2:$AC$200,$G155)&gt;0,
     COUNTIFS($AD$2:$AD$200,$G155)&gt;0,
     COUNTIFS($AE$2:$AE$200,$G155)&gt;0,
     COUNTIFS($AF$2:$AF$200,$G155)&gt;0,
     COUNTIFS($AG$2:$AG$200,$G155)&gt;0,
     COUNTIFS($AH$2:$AH$200,$G155)&gt;0,
     COUNTIFS($AI$2:$AI$200,$G155)&gt;0,
     COUNTIFS($AJ$2:$AJ$200,$G155)&gt;0,
     COUNTIFS($AK$2:$AK$200,$G155)&gt;0,
     COUNTIFS($AL$2:$AL$200,$G155)&gt;0,
     COUNTIFS($AM$2:$AM$200,$G155)&gt;0,
     COUNTIFS($AN$2:$AN$200,$G155)&gt;0,
     COUNTIFS($AO$2:$AO$200,$G155)&gt;0,
     COUNTIFS($AP$2:$AP$200,$G155)&gt;0,
     COUNTIFS($AQ$2:$AQ$200,$G155)&gt;0,
     COUNTIFS($AR$2:$AR$200,$G155)&gt;0,
     COUNTIFS($AS$2:$AS$200,$G155)&gt;0,
     COUNTIFS($AT$2:$AT$200,$G155)&gt;0,
     COUNTIFS($AU$2:$AU$200,$G155)&gt;0,
     COUNTIFS($AV$2:$AV$200,$G155)&gt;0,
     COUNTIFS($AW$2:$AW$200,$G155)&gt;0,
     COUNTIFS($AX$2:$AX$200,$G155)&gt;0
   )),
  ),
  4
 ),
"")</f>
        <v/>
      </c>
      <c r="G155" t="str">
        <f ca="1"/>
        <v>Lithoform Engine</v>
      </c>
      <c r="CB155" t="str">
        <f ca="1"/>
        <v>Vanquisher's Banner</v>
      </c>
      <c r="CG155" t="str">
        <f ca="1"/>
        <v>Reyhan, Last of the Abzan</v>
      </c>
      <c r="CJ155" t="str">
        <f ca="1"/>
        <v>Lithoform Engine</v>
      </c>
    </row>
    <row r="156" spans="1:88" x14ac:dyDescent="0.25">
      <c r="A156" s="3" t="str">
        <f t="shared" ca="1" si="6"/>
        <v>1</v>
      </c>
      <c r="B156" s="3">
        <f t="shared" ca="1" si="7"/>
        <v>1</v>
      </c>
      <c r="C156" s="3" t="str">
        <f ca="1">IFERROR(
 INDEX($U$1:$AX$1,
  MATCH(TRUE,
   CHOOSE({1;2;3;4;5;6;7;8;9;10;11;12;13;14;15;16;17;18;19;20;21;22;23;24;25;26;27;28;29;30;31;32},
    COUNTIFS($U$2:$U$200,$G156)&gt;0,
    COUNTIFS($V$2:$V$200,$G156)&gt;0,
    COUNTIFS($W$2:$W$200,$G156)&gt;0,
    COUNTIFS($X$2:$X$200,$G156)&gt;0,
    COUNTIFS($Y$2:$Y$200,$G156)&gt;0,
    COUNTIFS($Z$2:$Z$200,$G156)&gt;0,
    COUNTIFS($AA$2:$AA$200,$G156)&gt;0,
    COUNTIFS($AB$2:$AB$200,$G156)&gt;0,
    COUNTIFS($AC$2:$AC$200,$G156)&gt;0,
    COUNTIFS($AD$2:$AD$200,$G156)&gt;0,
    COUNTIFS($AE$2:$AE$200,$G156)&gt;0,
    COUNTIFS($AF$2:$AF$200,$G156)&gt;0,
    COUNTIFS($AG$2:$AG$200,$G156)&gt;0,
    COUNTIFS($AH$2:$AH$200,$G156)&gt;0,
    COUNTIFS($AI$2:$AI$200,$G156)&gt;0,
    COUNTIFS($AJ$2:$AJ$200,$G156)&gt;0,
    COUNTIFS($AK$2:$AK$200,$G156)&gt;0,
    COUNTIFS($AL$2:$AL$200,$G156)&gt;0,
    COUNTIFS($AM$2:$AM$200,$G156)&gt;0,
    COUNTIFS($AN$2:$AN$200,$G156)&gt;0,
    COUNTIFS($AO$2:$AO$200,$G156)&gt;0,
    COUNTIFS($AP$2:$AP$200,$G156)&gt;0,
    COUNTIFS($AQ$2:$AQ$200,$G156)&gt;0,
    COUNTIFS($AR$2:$AR$200,$G156)&gt;0,
    COUNTIFS($AS$2:$AS$200,$G156)&gt;0,
    COUNTIFS($AT$2:$AT$200,$G156)&gt;0,
    COUNTIFS($AU$2:$AU$200,$G156)&gt;0,
    COUNTIFS($AV$2:$AV$200,$G156)&gt;0,
    COUNTIFS($AW$2:$AW$200,$G156)&gt;0,
    COUNTIFS($AX$2:$AX$200,$G156)&gt;0
   ),
  0)
 ),
"")</f>
        <v>Tayam</v>
      </c>
      <c r="D156" s="3" t="str" cm="1">
        <f t="array" aca="1" ref="D156" ca="1">IFERROR(
 INDEX(
  _xlfn._xlws.FILTER($U$1:$AX$1,
   TRANSPOSE(
    CHOOSE({1;2;3;4;5;6;7;8;9;10;11;12;13;14;15;16;17;18;19;20;21;22;23;24;25;26;27;28;29;30},
     COUNTIFS($U$2:$U$200,$G156)&gt;0,
     COUNTIFS($V$2:$V$200,$G156)&gt;0,
     COUNTIFS($W$2:$W$200,$G156)&gt;0,
     COUNTIFS($X$2:$X$200,$G156)&gt;0,
     COUNTIFS($Y$2:$Y$200,$G156)&gt;0,
     COUNTIFS($Z$2:$Z$200,$G156)&gt;0,
     COUNTIFS($AA$2:$AA$200,$G156)&gt;0,
     COUNTIFS($AB$2:$AB$200,$G156)&gt;0,
     COUNTIFS($AC$2:$AC$200,$G156)&gt;0,
     COUNTIFS($AD$2:$AD$200,$G156)&gt;0,
     COUNTIFS($AE$2:$AE$200,$G156)&gt;0,
     COUNTIFS($AF$2:$AF$200,$G156)&gt;0,
     COUNTIFS($AG$2:$AG$200,$G156)&gt;0,
     COUNTIFS($AH$2:$AH$200,$G156)&gt;0,
     COUNTIFS($AI$2:$AI$200,$G156)&gt;0,
     COUNTIFS($AJ$2:$AJ$200,$G156)&gt;0,
     COUNTIFS($AK$2:$AK$200,$G156)&gt;0,
     COUNTIFS($AL$2:$AL$200,$G156)&gt;0,
     COUNTIFS($AM$2:$AM$200,$G156)&gt;0,
     COUNTIFS($AN$2:$AN$200,$G156)&gt;0,
     COUNTIFS($AO$2:$AO$200,$G156)&gt;0,
     COUNTIFS($AP$2:$AP$200,$G156)&gt;0,
     COUNTIFS($AQ$2:$AQ$200,$G156)&gt;0,
     COUNTIFS($AR$2:$AR$200,$G156)&gt;0,
     COUNTIFS($AS$2:$AS$200,$G156)&gt;0,
     COUNTIFS($AT$2:$AT$200,$G156)&gt;0,
     COUNTIFS($AU$2:$AU$200,$G156)&gt;0,
     COUNTIFS($AV$2:$AV$200,$G156)&gt;0,
     COUNTIFS($AW$2:$AW$200,$G156)&gt;0,
     COUNTIFS($AX$2:$AX$200,$G156)&gt;0
   )),
  ),
  2
 ),
"")</f>
        <v/>
      </c>
      <c r="E156" s="3" t="str" cm="1">
        <f t="array" aca="1" ref="E156" ca="1">IFERROR(
 INDEX(
  _xlfn._xlws.FILTER($U$1:$AX$1,
   TRANSPOSE(
    CHOOSE({1;2;3;4;5;6;7;8;9;10;11;12;13;14;15;16;17;18;19;20;21;22;23;24;25;26;27;28;29;30},
     COUNTIFS($U$2:$U$200,$G156)&gt;0,
     COUNTIFS($V$2:$V$200,$G156)&gt;0,
     COUNTIFS($W$2:$W$200,$G156)&gt;0,
     COUNTIFS($X$2:$X$200,$G156)&gt;0,
     COUNTIFS($Y$2:$Y$200,$G156)&gt;0,
     COUNTIFS($Z$2:$Z$200,$G156)&gt;0,
     COUNTIFS($AA$2:$AA$200,$G156)&gt;0,
     COUNTIFS($AB$2:$AB$200,$G156)&gt;0,
     COUNTIFS($AC$2:$AC$200,$G156)&gt;0,
     COUNTIFS($AD$2:$AD$200,$G156)&gt;0,
     COUNTIFS($AE$2:$AE$200,$G156)&gt;0,
     COUNTIFS($AF$2:$AF$200,$G156)&gt;0,
     COUNTIFS($AG$2:$AG$200,$G156)&gt;0,
     COUNTIFS($AH$2:$AH$200,$G156)&gt;0,
     COUNTIFS($AI$2:$AI$200,$G156)&gt;0,
     COUNTIFS($AJ$2:$AJ$200,$G156)&gt;0,
     COUNTIFS($AK$2:$AK$200,$G156)&gt;0,
     COUNTIFS($AL$2:$AL$200,$G156)&gt;0,
     COUNTIFS($AM$2:$AM$200,$G156)&gt;0,
     COUNTIFS($AN$2:$AN$200,$G156)&gt;0,
     COUNTIFS($AO$2:$AO$200,$G156)&gt;0,
     COUNTIFS($AP$2:$AP$200,$G156)&gt;0,
     COUNTIFS($AQ$2:$AQ$200,$G156)&gt;0,
     COUNTIFS($AR$2:$AR$200,$G156)&gt;0,
     COUNTIFS($AS$2:$AS$200,$G156)&gt;0,
     COUNTIFS($AT$2:$AT$200,$G156)&gt;0,
     COUNTIFS($AU$2:$AU$200,$G156)&gt;0,
     COUNTIFS($AV$2:$AV$200,$G156)&gt;0,
     COUNTIFS($AW$2:$AW$200,$G156)&gt;0,
     COUNTIFS($AX$2:$AX$200,$G156)&gt;0
   )),
  ),
  3
 ),
"")</f>
        <v/>
      </c>
      <c r="F156" s="3" t="str" cm="1">
        <f t="array" aca="1" ref="F156" ca="1">IFERROR(
 INDEX(
  _xlfn._xlws.FILTER($U$1:$AX$1,
   TRANSPOSE(
    CHOOSE({1;2;3;4;5;6;7;8;9;10;11;12;13;14;15;16;17;18;19;20;21;22;23;24;25;26;27;28;29;30},
     COUNTIFS($U$2:$U$200,$G156)&gt;0,
     COUNTIFS($V$2:$V$200,$G156)&gt;0,
     COUNTIFS($W$2:$W$200,$G156)&gt;0,
     COUNTIFS($X$2:$X$200,$G156)&gt;0,
     COUNTIFS($Y$2:$Y$200,$G156)&gt;0,
     COUNTIFS($Z$2:$Z$200,$G156)&gt;0,
     COUNTIFS($AA$2:$AA$200,$G156)&gt;0,
     COUNTIFS($AB$2:$AB$200,$G156)&gt;0,
     COUNTIFS($AC$2:$AC$200,$G156)&gt;0,
     COUNTIFS($AD$2:$AD$200,$G156)&gt;0,
     COUNTIFS($AE$2:$AE$200,$G156)&gt;0,
     COUNTIFS($AF$2:$AF$200,$G156)&gt;0,
     COUNTIFS($AG$2:$AG$200,$G156)&gt;0,
     COUNTIFS($AH$2:$AH$200,$G156)&gt;0,
     COUNTIFS($AI$2:$AI$200,$G156)&gt;0,
     COUNTIFS($AJ$2:$AJ$200,$G156)&gt;0,
     COUNTIFS($AK$2:$AK$200,$G156)&gt;0,
     COUNTIFS($AL$2:$AL$200,$G156)&gt;0,
     COUNTIFS($AM$2:$AM$200,$G156)&gt;0,
     COUNTIFS($AN$2:$AN$200,$G156)&gt;0,
     COUNTIFS($AO$2:$AO$200,$G156)&gt;0,
     COUNTIFS($AP$2:$AP$200,$G156)&gt;0,
     COUNTIFS($AQ$2:$AQ$200,$G156)&gt;0,
     COUNTIFS($AR$2:$AR$200,$G156)&gt;0,
     COUNTIFS($AS$2:$AS$200,$G156)&gt;0,
     COUNTIFS($AT$2:$AT$200,$G156)&gt;0,
     COUNTIFS($AU$2:$AU$200,$G156)&gt;0,
     COUNTIFS($AV$2:$AV$200,$G156)&gt;0,
     COUNTIFS($AW$2:$AW$200,$G156)&gt;0,
     COUNTIFS($AX$2:$AX$200,$G156)&gt;0
   )),
  ),
  4
 ),
"")</f>
        <v/>
      </c>
      <c r="G156" t="str">
        <f ca="1"/>
        <v>Llanowar Wastes</v>
      </c>
      <c r="CB156" t="str">
        <f ca="1"/>
        <v>Vault of the Archangel</v>
      </c>
      <c r="CG156" t="str">
        <f ca="1"/>
        <v>Rings of Brighthearth</v>
      </c>
      <c r="CJ156" t="str">
        <f ca="1"/>
        <v>Llanowar Wastes</v>
      </c>
    </row>
    <row r="157" spans="1:88" x14ac:dyDescent="0.25">
      <c r="A157" s="3" t="str">
        <f t="shared" ca="1" si="6"/>
        <v>3</v>
      </c>
      <c r="B157" s="3">
        <f t="shared" ca="1" si="7"/>
        <v>1</v>
      </c>
      <c r="C157" s="3" t="str">
        <f ca="1">IFERROR(
 INDEX($U$1:$AX$1,
  MATCH(TRUE,
   CHOOSE({1;2;3;4;5;6;7;8;9;10;11;12;13;14;15;16;17;18;19;20;21;22;23;24;25;26;27;28;29;30;31;32},
    COUNTIFS($U$2:$U$200,$G157)&gt;0,
    COUNTIFS($V$2:$V$200,$G157)&gt;0,
    COUNTIFS($W$2:$W$200,$G157)&gt;0,
    COUNTIFS($X$2:$X$200,$G157)&gt;0,
    COUNTIFS($Y$2:$Y$200,$G157)&gt;0,
    COUNTIFS($Z$2:$Z$200,$G157)&gt;0,
    COUNTIFS($AA$2:$AA$200,$G157)&gt;0,
    COUNTIFS($AB$2:$AB$200,$G157)&gt;0,
    COUNTIFS($AC$2:$AC$200,$G157)&gt;0,
    COUNTIFS($AD$2:$AD$200,$G157)&gt;0,
    COUNTIFS($AE$2:$AE$200,$G157)&gt;0,
    COUNTIFS($AF$2:$AF$200,$G157)&gt;0,
    COUNTIFS($AG$2:$AG$200,$G157)&gt;0,
    COUNTIFS($AH$2:$AH$200,$G157)&gt;0,
    COUNTIFS($AI$2:$AI$200,$G157)&gt;0,
    COUNTIFS($AJ$2:$AJ$200,$G157)&gt;0,
    COUNTIFS($AK$2:$AK$200,$G157)&gt;0,
    COUNTIFS($AL$2:$AL$200,$G157)&gt;0,
    COUNTIFS($AM$2:$AM$200,$G157)&gt;0,
    COUNTIFS($AN$2:$AN$200,$G157)&gt;0,
    COUNTIFS($AO$2:$AO$200,$G157)&gt;0,
    COUNTIFS($AP$2:$AP$200,$G157)&gt;0,
    COUNTIFS($AQ$2:$AQ$200,$G157)&gt;0,
    COUNTIFS($AR$2:$AR$200,$G157)&gt;0,
    COUNTIFS($AS$2:$AS$200,$G157)&gt;0,
    COUNTIFS($AT$2:$AT$200,$G157)&gt;0,
    COUNTIFS($AU$2:$AU$200,$G157)&gt;0,
    COUNTIFS($AV$2:$AV$200,$G157)&gt;0,
    COUNTIFS($AW$2:$AW$200,$G157)&gt;0,
    COUNTIFS($AX$2:$AX$200,$G157)&gt;0
   ),
  0)
 ),
"")</f>
        <v>Sisay</v>
      </c>
      <c r="D157" s="3" t="str" cm="1">
        <f t="array" aca="1" ref="D157" ca="1">IFERROR(
 INDEX(
  _xlfn._xlws.FILTER($U$1:$AX$1,
   TRANSPOSE(
    CHOOSE({1;2;3;4;5;6;7;8;9;10;11;12;13;14;15;16;17;18;19;20;21;22;23;24;25;26;27;28;29;30},
     COUNTIFS($U$2:$U$200,$G157)&gt;0,
     COUNTIFS($V$2:$V$200,$G157)&gt;0,
     COUNTIFS($W$2:$W$200,$G157)&gt;0,
     COUNTIFS($X$2:$X$200,$G157)&gt;0,
     COUNTIFS($Y$2:$Y$200,$G157)&gt;0,
     COUNTIFS($Z$2:$Z$200,$G157)&gt;0,
     COUNTIFS($AA$2:$AA$200,$G157)&gt;0,
     COUNTIFS($AB$2:$AB$200,$G157)&gt;0,
     COUNTIFS($AC$2:$AC$200,$G157)&gt;0,
     COUNTIFS($AD$2:$AD$200,$G157)&gt;0,
     COUNTIFS($AE$2:$AE$200,$G157)&gt;0,
     COUNTIFS($AF$2:$AF$200,$G157)&gt;0,
     COUNTIFS($AG$2:$AG$200,$G157)&gt;0,
     COUNTIFS($AH$2:$AH$200,$G157)&gt;0,
     COUNTIFS($AI$2:$AI$200,$G157)&gt;0,
     COUNTIFS($AJ$2:$AJ$200,$G157)&gt;0,
     COUNTIFS($AK$2:$AK$200,$G157)&gt;0,
     COUNTIFS($AL$2:$AL$200,$G157)&gt;0,
     COUNTIFS($AM$2:$AM$200,$G157)&gt;0,
     COUNTIFS($AN$2:$AN$200,$G157)&gt;0,
     COUNTIFS($AO$2:$AO$200,$G157)&gt;0,
     COUNTIFS($AP$2:$AP$200,$G157)&gt;0,
     COUNTIFS($AQ$2:$AQ$200,$G157)&gt;0,
     COUNTIFS($AR$2:$AR$200,$G157)&gt;0,
     COUNTIFS($AS$2:$AS$200,$G157)&gt;0,
     COUNTIFS($AT$2:$AT$200,$G157)&gt;0,
     COUNTIFS($AU$2:$AU$200,$G157)&gt;0,
     COUNTIFS($AV$2:$AV$200,$G157)&gt;0,
     COUNTIFS($AW$2:$AW$200,$G157)&gt;0,
     COUNTIFS($AX$2:$AX$200,$G157)&gt;0
   )),
  ),
  2
 ),
"")</f>
        <v/>
      </c>
      <c r="E157" s="3" t="str" cm="1">
        <f t="array" aca="1" ref="E157" ca="1">IFERROR(
 INDEX(
  _xlfn._xlws.FILTER($U$1:$AX$1,
   TRANSPOSE(
    CHOOSE({1;2;3;4;5;6;7;8;9;10;11;12;13;14;15;16;17;18;19;20;21;22;23;24;25;26;27;28;29;30},
     COUNTIFS($U$2:$U$200,$G157)&gt;0,
     COUNTIFS($V$2:$V$200,$G157)&gt;0,
     COUNTIFS($W$2:$W$200,$G157)&gt;0,
     COUNTIFS($X$2:$X$200,$G157)&gt;0,
     COUNTIFS($Y$2:$Y$200,$G157)&gt;0,
     COUNTIFS($Z$2:$Z$200,$G157)&gt;0,
     COUNTIFS($AA$2:$AA$200,$G157)&gt;0,
     COUNTIFS($AB$2:$AB$200,$G157)&gt;0,
     COUNTIFS($AC$2:$AC$200,$G157)&gt;0,
     COUNTIFS($AD$2:$AD$200,$G157)&gt;0,
     COUNTIFS($AE$2:$AE$200,$G157)&gt;0,
     COUNTIFS($AF$2:$AF$200,$G157)&gt;0,
     COUNTIFS($AG$2:$AG$200,$G157)&gt;0,
     COUNTIFS($AH$2:$AH$200,$G157)&gt;0,
     COUNTIFS($AI$2:$AI$200,$G157)&gt;0,
     COUNTIFS($AJ$2:$AJ$200,$G157)&gt;0,
     COUNTIFS($AK$2:$AK$200,$G157)&gt;0,
     COUNTIFS($AL$2:$AL$200,$G157)&gt;0,
     COUNTIFS($AM$2:$AM$200,$G157)&gt;0,
     COUNTIFS($AN$2:$AN$200,$G157)&gt;0,
     COUNTIFS($AO$2:$AO$200,$G157)&gt;0,
     COUNTIFS($AP$2:$AP$200,$G157)&gt;0,
     COUNTIFS($AQ$2:$AQ$200,$G157)&gt;0,
     COUNTIFS($AR$2:$AR$200,$G157)&gt;0,
     COUNTIFS($AS$2:$AS$200,$G157)&gt;0,
     COUNTIFS($AT$2:$AT$200,$G157)&gt;0,
     COUNTIFS($AU$2:$AU$200,$G157)&gt;0,
     COUNTIFS($AV$2:$AV$200,$G157)&gt;0,
     COUNTIFS($AW$2:$AW$200,$G157)&gt;0,
     COUNTIFS($AX$2:$AX$200,$G157)&gt;0
   )),
  ),
  3
 ),
"")</f>
        <v/>
      </c>
      <c r="F157" s="3" t="str" cm="1">
        <f t="array" aca="1" ref="F157" ca="1">IFERROR(
 INDEX(
  _xlfn._xlws.FILTER($U$1:$AX$1,
   TRANSPOSE(
    CHOOSE({1;2;3;4;5;6;7;8;9;10;11;12;13;14;15;16;17;18;19;20;21;22;23;24;25;26;27;28;29;30},
     COUNTIFS($U$2:$U$200,$G157)&gt;0,
     COUNTIFS($V$2:$V$200,$G157)&gt;0,
     COUNTIFS($W$2:$W$200,$G157)&gt;0,
     COUNTIFS($X$2:$X$200,$G157)&gt;0,
     COUNTIFS($Y$2:$Y$200,$G157)&gt;0,
     COUNTIFS($Z$2:$Z$200,$G157)&gt;0,
     COUNTIFS($AA$2:$AA$200,$G157)&gt;0,
     COUNTIFS($AB$2:$AB$200,$G157)&gt;0,
     COUNTIFS($AC$2:$AC$200,$G157)&gt;0,
     COUNTIFS($AD$2:$AD$200,$G157)&gt;0,
     COUNTIFS($AE$2:$AE$200,$G157)&gt;0,
     COUNTIFS($AF$2:$AF$200,$G157)&gt;0,
     COUNTIFS($AG$2:$AG$200,$G157)&gt;0,
     COUNTIFS($AH$2:$AH$200,$G157)&gt;0,
     COUNTIFS($AI$2:$AI$200,$G157)&gt;0,
     COUNTIFS($AJ$2:$AJ$200,$G157)&gt;0,
     COUNTIFS($AK$2:$AK$200,$G157)&gt;0,
     COUNTIFS($AL$2:$AL$200,$G157)&gt;0,
     COUNTIFS($AM$2:$AM$200,$G157)&gt;0,
     COUNTIFS($AN$2:$AN$200,$G157)&gt;0,
     COUNTIFS($AO$2:$AO$200,$G157)&gt;0,
     COUNTIFS($AP$2:$AP$200,$G157)&gt;0,
     COUNTIFS($AQ$2:$AQ$200,$G157)&gt;0,
     COUNTIFS($AR$2:$AR$200,$G157)&gt;0,
     COUNTIFS($AS$2:$AS$200,$G157)&gt;0,
     COUNTIFS($AT$2:$AT$200,$G157)&gt;0,
     COUNTIFS($AU$2:$AU$200,$G157)&gt;0,
     COUNTIFS($AV$2:$AV$200,$G157)&gt;0,
     COUNTIFS($AW$2:$AW$200,$G157)&gt;0,
     COUNTIFS($AX$2:$AX$200,$G157)&gt;0
   )),
  ),
  4
 ),
"")</f>
        <v/>
      </c>
      <c r="G157" t="str">
        <f ca="1"/>
        <v>Lolth, Rainha Aranha</v>
      </c>
      <c r="CB157" t="str">
        <f ca="1"/>
        <v>Virtue of Loyalty // Ardenvale Fealty</v>
      </c>
      <c r="CG157" t="str">
        <f ca="1"/>
        <v>Ripples of Potential</v>
      </c>
      <c r="CJ157" t="str">
        <f ca="1"/>
        <v>Lolth, Rainha Aranha</v>
      </c>
    </row>
    <row r="158" spans="1:88" x14ac:dyDescent="0.25">
      <c r="A158" s="3" t="str">
        <f t="shared" ca="1" si="6"/>
        <v>2</v>
      </c>
      <c r="B158" s="3">
        <f t="shared" ca="1" si="7"/>
        <v>1</v>
      </c>
      <c r="C158" s="3" t="str">
        <f ca="1">IFERROR(
 INDEX($U$1:$AX$1,
  MATCH(TRUE,
   CHOOSE({1;2;3;4;5;6;7;8;9;10;11;12;13;14;15;16;17;18;19;20;21;22;23;24;25;26;27;28;29;30;31;32},
    COUNTIFS($U$2:$U$200,$G158)&gt;0,
    COUNTIFS($V$2:$V$200,$G158)&gt;0,
    COUNTIFS($W$2:$W$200,$G158)&gt;0,
    COUNTIFS($X$2:$X$200,$G158)&gt;0,
    COUNTIFS($Y$2:$Y$200,$G158)&gt;0,
    COUNTIFS($Z$2:$Z$200,$G158)&gt;0,
    COUNTIFS($AA$2:$AA$200,$G158)&gt;0,
    COUNTIFS($AB$2:$AB$200,$G158)&gt;0,
    COUNTIFS($AC$2:$AC$200,$G158)&gt;0,
    COUNTIFS($AD$2:$AD$200,$G158)&gt;0,
    COUNTIFS($AE$2:$AE$200,$G158)&gt;0,
    COUNTIFS($AF$2:$AF$200,$G158)&gt;0,
    COUNTIFS($AG$2:$AG$200,$G158)&gt;0,
    COUNTIFS($AH$2:$AH$200,$G158)&gt;0,
    COUNTIFS($AI$2:$AI$200,$G158)&gt;0,
    COUNTIFS($AJ$2:$AJ$200,$G158)&gt;0,
    COUNTIFS($AK$2:$AK$200,$G158)&gt;0,
    COUNTIFS($AL$2:$AL$200,$G158)&gt;0,
    COUNTIFS($AM$2:$AM$200,$G158)&gt;0,
    COUNTIFS($AN$2:$AN$200,$G158)&gt;0,
    COUNTIFS($AO$2:$AO$200,$G158)&gt;0,
    COUNTIFS($AP$2:$AP$200,$G158)&gt;0,
    COUNTIFS($AQ$2:$AQ$200,$G158)&gt;0,
    COUNTIFS($AR$2:$AR$200,$G158)&gt;0,
    COUNTIFS($AS$2:$AS$200,$G158)&gt;0,
    COUNTIFS($AT$2:$AT$200,$G158)&gt;0,
    COUNTIFS($AU$2:$AU$200,$G158)&gt;0,
    COUNTIFS($AV$2:$AV$200,$G158)&gt;0,
    COUNTIFS($AW$2:$AW$200,$G158)&gt;0,
    COUNTIFS($AX$2:$AX$200,$G158)&gt;0
   ),
  0)
 ),
"")</f>
        <v>Kumena</v>
      </c>
      <c r="D158" s="3" t="str" cm="1">
        <f t="array" aca="1" ref="D158" ca="1">IFERROR(
 INDEX(
  _xlfn._xlws.FILTER($U$1:$AX$1,
   TRANSPOSE(
    CHOOSE({1;2;3;4;5;6;7;8;9;10;11;12;13;14;15;16;17;18;19;20;21;22;23;24;25;26;27;28;29;30},
     COUNTIFS($U$2:$U$200,$G158)&gt;0,
     COUNTIFS($V$2:$V$200,$G158)&gt;0,
     COUNTIFS($W$2:$W$200,$G158)&gt;0,
     COUNTIFS($X$2:$X$200,$G158)&gt;0,
     COUNTIFS($Y$2:$Y$200,$G158)&gt;0,
     COUNTIFS($Z$2:$Z$200,$G158)&gt;0,
     COUNTIFS($AA$2:$AA$200,$G158)&gt;0,
     COUNTIFS($AB$2:$AB$200,$G158)&gt;0,
     COUNTIFS($AC$2:$AC$200,$G158)&gt;0,
     COUNTIFS($AD$2:$AD$200,$G158)&gt;0,
     COUNTIFS($AE$2:$AE$200,$G158)&gt;0,
     COUNTIFS($AF$2:$AF$200,$G158)&gt;0,
     COUNTIFS($AG$2:$AG$200,$G158)&gt;0,
     COUNTIFS($AH$2:$AH$200,$G158)&gt;0,
     COUNTIFS($AI$2:$AI$200,$G158)&gt;0,
     COUNTIFS($AJ$2:$AJ$200,$G158)&gt;0,
     COUNTIFS($AK$2:$AK$200,$G158)&gt;0,
     COUNTIFS($AL$2:$AL$200,$G158)&gt;0,
     COUNTIFS($AM$2:$AM$200,$G158)&gt;0,
     COUNTIFS($AN$2:$AN$200,$G158)&gt;0,
     COUNTIFS($AO$2:$AO$200,$G158)&gt;0,
     COUNTIFS($AP$2:$AP$200,$G158)&gt;0,
     COUNTIFS($AQ$2:$AQ$200,$G158)&gt;0,
     COUNTIFS($AR$2:$AR$200,$G158)&gt;0,
     COUNTIFS($AS$2:$AS$200,$G158)&gt;0,
     COUNTIFS($AT$2:$AT$200,$G158)&gt;0,
     COUNTIFS($AU$2:$AU$200,$G158)&gt;0,
     COUNTIFS($AV$2:$AV$200,$G158)&gt;0,
     COUNTIFS($AW$2:$AW$200,$G158)&gt;0,
     COUNTIFS($AX$2:$AX$200,$G158)&gt;0
   )),
  ),
  2
 ),
"")</f>
        <v/>
      </c>
      <c r="E158" s="3" t="str" cm="1">
        <f t="array" aca="1" ref="E158" ca="1">IFERROR(
 INDEX(
  _xlfn._xlws.FILTER($U$1:$AX$1,
   TRANSPOSE(
    CHOOSE({1;2;3;4;5;6;7;8;9;10;11;12;13;14;15;16;17;18;19;20;21;22;23;24;25;26;27;28;29;30},
     COUNTIFS($U$2:$U$200,$G158)&gt;0,
     COUNTIFS($V$2:$V$200,$G158)&gt;0,
     COUNTIFS($W$2:$W$200,$G158)&gt;0,
     COUNTIFS($X$2:$X$200,$G158)&gt;0,
     COUNTIFS($Y$2:$Y$200,$G158)&gt;0,
     COUNTIFS($Z$2:$Z$200,$G158)&gt;0,
     COUNTIFS($AA$2:$AA$200,$G158)&gt;0,
     COUNTIFS($AB$2:$AB$200,$G158)&gt;0,
     COUNTIFS($AC$2:$AC$200,$G158)&gt;0,
     COUNTIFS($AD$2:$AD$200,$G158)&gt;0,
     COUNTIFS($AE$2:$AE$200,$G158)&gt;0,
     COUNTIFS($AF$2:$AF$200,$G158)&gt;0,
     COUNTIFS($AG$2:$AG$200,$G158)&gt;0,
     COUNTIFS($AH$2:$AH$200,$G158)&gt;0,
     COUNTIFS($AI$2:$AI$200,$G158)&gt;0,
     COUNTIFS($AJ$2:$AJ$200,$G158)&gt;0,
     COUNTIFS($AK$2:$AK$200,$G158)&gt;0,
     COUNTIFS($AL$2:$AL$200,$G158)&gt;0,
     COUNTIFS($AM$2:$AM$200,$G158)&gt;0,
     COUNTIFS($AN$2:$AN$200,$G158)&gt;0,
     COUNTIFS($AO$2:$AO$200,$G158)&gt;0,
     COUNTIFS($AP$2:$AP$200,$G158)&gt;0,
     COUNTIFS($AQ$2:$AQ$200,$G158)&gt;0,
     COUNTIFS($AR$2:$AR$200,$G158)&gt;0,
     COUNTIFS($AS$2:$AS$200,$G158)&gt;0,
     COUNTIFS($AT$2:$AT$200,$G158)&gt;0,
     COUNTIFS($AU$2:$AU$200,$G158)&gt;0,
     COUNTIFS($AV$2:$AV$200,$G158)&gt;0,
     COUNTIFS($AW$2:$AW$200,$G158)&gt;0,
     COUNTIFS($AX$2:$AX$200,$G158)&gt;0
   )),
  ),
  3
 ),
"")</f>
        <v/>
      </c>
      <c r="F158" s="3" t="str" cm="1">
        <f t="array" aca="1" ref="F158" ca="1">IFERROR(
 INDEX(
  _xlfn._xlws.FILTER($U$1:$AX$1,
   TRANSPOSE(
    CHOOSE({1;2;3;4;5;6;7;8;9;10;11;12;13;14;15;16;17;18;19;20;21;22;23;24;25;26;27;28;29;30},
     COUNTIFS($U$2:$U$200,$G158)&gt;0,
     COUNTIFS($V$2:$V$200,$G158)&gt;0,
     COUNTIFS($W$2:$W$200,$G158)&gt;0,
     COUNTIFS($X$2:$X$200,$G158)&gt;0,
     COUNTIFS($Y$2:$Y$200,$G158)&gt;0,
     COUNTIFS($Z$2:$Z$200,$G158)&gt;0,
     COUNTIFS($AA$2:$AA$200,$G158)&gt;0,
     COUNTIFS($AB$2:$AB$200,$G158)&gt;0,
     COUNTIFS($AC$2:$AC$200,$G158)&gt;0,
     COUNTIFS($AD$2:$AD$200,$G158)&gt;0,
     COUNTIFS($AE$2:$AE$200,$G158)&gt;0,
     COUNTIFS($AF$2:$AF$200,$G158)&gt;0,
     COUNTIFS($AG$2:$AG$200,$G158)&gt;0,
     COUNTIFS($AH$2:$AH$200,$G158)&gt;0,
     COUNTIFS($AI$2:$AI$200,$G158)&gt;0,
     COUNTIFS($AJ$2:$AJ$200,$G158)&gt;0,
     COUNTIFS($AK$2:$AK$200,$G158)&gt;0,
     COUNTIFS($AL$2:$AL$200,$G158)&gt;0,
     COUNTIFS($AM$2:$AM$200,$G158)&gt;0,
     COUNTIFS($AN$2:$AN$200,$G158)&gt;0,
     COUNTIFS($AO$2:$AO$200,$G158)&gt;0,
     COUNTIFS($AP$2:$AP$200,$G158)&gt;0,
     COUNTIFS($AQ$2:$AQ$200,$G158)&gt;0,
     COUNTIFS($AR$2:$AR$200,$G158)&gt;0,
     COUNTIFS($AS$2:$AS$200,$G158)&gt;0,
     COUNTIFS($AT$2:$AT$200,$G158)&gt;0,
     COUNTIFS($AU$2:$AU$200,$G158)&gt;0,
     COUNTIFS($AV$2:$AV$200,$G158)&gt;0,
     COUNTIFS($AW$2:$AW$200,$G158)&gt;0,
     COUNTIFS($AX$2:$AX$200,$G158)&gt;0
   )),
  ),
  4
 ),
"")</f>
        <v/>
      </c>
      <c r="G158" t="str">
        <f ca="1"/>
        <v>Lord of Atlantis</v>
      </c>
      <c r="CB158" t="str">
        <f ca="1"/>
        <v>Warleader's Call</v>
      </c>
      <c r="CG158" t="str">
        <f ca="1"/>
        <v>Ripples of Undeath</v>
      </c>
      <c r="CJ158" t="str">
        <f ca="1"/>
        <v>Lord of Atlantis</v>
      </c>
    </row>
    <row r="159" spans="1:88" x14ac:dyDescent="0.25">
      <c r="A159" s="3" t="str">
        <f t="shared" ca="1" si="6"/>
        <v>1</v>
      </c>
      <c r="B159" s="3">
        <f t="shared" ca="1" si="7"/>
        <v>1</v>
      </c>
      <c r="C159" s="3" t="str">
        <f ca="1">IFERROR(
 INDEX($U$1:$AX$1,
  MATCH(TRUE,
   CHOOSE({1;2;3;4;5;6;7;8;9;10;11;12;13;14;15;16;17;18;19;20;21;22;23;24;25;26;27;28;29;30;31;32},
    COUNTIFS($U$2:$U$200,$G159)&gt;0,
    COUNTIFS($V$2:$V$200,$G159)&gt;0,
    COUNTIFS($W$2:$W$200,$G159)&gt;0,
    COUNTIFS($X$2:$X$200,$G159)&gt;0,
    COUNTIFS($Y$2:$Y$200,$G159)&gt;0,
    COUNTIFS($Z$2:$Z$200,$G159)&gt;0,
    COUNTIFS($AA$2:$AA$200,$G159)&gt;0,
    COUNTIFS($AB$2:$AB$200,$G159)&gt;0,
    COUNTIFS($AC$2:$AC$200,$G159)&gt;0,
    COUNTIFS($AD$2:$AD$200,$G159)&gt;0,
    COUNTIFS($AE$2:$AE$200,$G159)&gt;0,
    COUNTIFS($AF$2:$AF$200,$G159)&gt;0,
    COUNTIFS($AG$2:$AG$200,$G159)&gt;0,
    COUNTIFS($AH$2:$AH$200,$G159)&gt;0,
    COUNTIFS($AI$2:$AI$200,$G159)&gt;0,
    COUNTIFS($AJ$2:$AJ$200,$G159)&gt;0,
    COUNTIFS($AK$2:$AK$200,$G159)&gt;0,
    COUNTIFS($AL$2:$AL$200,$G159)&gt;0,
    COUNTIFS($AM$2:$AM$200,$G159)&gt;0,
    COUNTIFS($AN$2:$AN$200,$G159)&gt;0,
    COUNTIFS($AO$2:$AO$200,$G159)&gt;0,
    COUNTIFS($AP$2:$AP$200,$G159)&gt;0,
    COUNTIFS($AQ$2:$AQ$200,$G159)&gt;0,
    COUNTIFS($AR$2:$AR$200,$G159)&gt;0,
    COUNTIFS($AS$2:$AS$200,$G159)&gt;0,
    COUNTIFS($AT$2:$AT$200,$G159)&gt;0,
    COUNTIFS($AU$2:$AU$200,$G159)&gt;0,
    COUNTIFS($AV$2:$AV$200,$G159)&gt;0,
    COUNTIFS($AW$2:$AW$200,$G159)&gt;0,
    COUNTIFS($AX$2:$AX$200,$G159)&gt;0
   ),
  0)
 ),
"")</f>
        <v>Modular</v>
      </c>
      <c r="D159" s="3" t="str" cm="1">
        <f t="array" aca="1" ref="D159" ca="1">IFERROR(
 INDEX(
  _xlfn._xlws.FILTER($U$1:$AX$1,
   TRANSPOSE(
    CHOOSE({1;2;3;4;5;6;7;8;9;10;11;12;13;14;15;16;17;18;19;20;21;22;23;24;25;26;27;28;29;30},
     COUNTIFS($U$2:$U$200,$G159)&gt;0,
     COUNTIFS($V$2:$V$200,$G159)&gt;0,
     COUNTIFS($W$2:$W$200,$G159)&gt;0,
     COUNTIFS($X$2:$X$200,$G159)&gt;0,
     COUNTIFS($Y$2:$Y$200,$G159)&gt;0,
     COUNTIFS($Z$2:$Z$200,$G159)&gt;0,
     COUNTIFS($AA$2:$AA$200,$G159)&gt;0,
     COUNTIFS($AB$2:$AB$200,$G159)&gt;0,
     COUNTIFS($AC$2:$AC$200,$G159)&gt;0,
     COUNTIFS($AD$2:$AD$200,$G159)&gt;0,
     COUNTIFS($AE$2:$AE$200,$G159)&gt;0,
     COUNTIFS($AF$2:$AF$200,$G159)&gt;0,
     COUNTIFS($AG$2:$AG$200,$G159)&gt;0,
     COUNTIFS($AH$2:$AH$200,$G159)&gt;0,
     COUNTIFS($AI$2:$AI$200,$G159)&gt;0,
     COUNTIFS($AJ$2:$AJ$200,$G159)&gt;0,
     COUNTIFS($AK$2:$AK$200,$G159)&gt;0,
     COUNTIFS($AL$2:$AL$200,$G159)&gt;0,
     COUNTIFS($AM$2:$AM$200,$G159)&gt;0,
     COUNTIFS($AN$2:$AN$200,$G159)&gt;0,
     COUNTIFS($AO$2:$AO$200,$G159)&gt;0,
     COUNTIFS($AP$2:$AP$200,$G159)&gt;0,
     COUNTIFS($AQ$2:$AQ$200,$G159)&gt;0,
     COUNTIFS($AR$2:$AR$200,$G159)&gt;0,
     COUNTIFS($AS$2:$AS$200,$G159)&gt;0,
     COUNTIFS($AT$2:$AT$200,$G159)&gt;0,
     COUNTIFS($AU$2:$AU$200,$G159)&gt;0,
     COUNTIFS($AV$2:$AV$200,$G159)&gt;0,
     COUNTIFS($AW$2:$AW$200,$G159)&gt;0,
     COUNTIFS($AX$2:$AX$200,$G159)&gt;0
   )),
  ),
  2
 ),
"")</f>
        <v/>
      </c>
      <c r="E159" s="3" t="str" cm="1">
        <f t="array" aca="1" ref="E159" ca="1">IFERROR(
 INDEX(
  _xlfn._xlws.FILTER($U$1:$AX$1,
   TRANSPOSE(
    CHOOSE({1;2;3;4;5;6;7;8;9;10;11;12;13;14;15;16;17;18;19;20;21;22;23;24;25;26;27;28;29;30},
     COUNTIFS($U$2:$U$200,$G159)&gt;0,
     COUNTIFS($V$2:$V$200,$G159)&gt;0,
     COUNTIFS($W$2:$W$200,$G159)&gt;0,
     COUNTIFS($X$2:$X$200,$G159)&gt;0,
     COUNTIFS($Y$2:$Y$200,$G159)&gt;0,
     COUNTIFS($Z$2:$Z$200,$G159)&gt;0,
     COUNTIFS($AA$2:$AA$200,$G159)&gt;0,
     COUNTIFS($AB$2:$AB$200,$G159)&gt;0,
     COUNTIFS($AC$2:$AC$200,$G159)&gt;0,
     COUNTIFS($AD$2:$AD$200,$G159)&gt;0,
     COUNTIFS($AE$2:$AE$200,$G159)&gt;0,
     COUNTIFS($AF$2:$AF$200,$G159)&gt;0,
     COUNTIFS($AG$2:$AG$200,$G159)&gt;0,
     COUNTIFS($AH$2:$AH$200,$G159)&gt;0,
     COUNTIFS($AI$2:$AI$200,$G159)&gt;0,
     COUNTIFS($AJ$2:$AJ$200,$G159)&gt;0,
     COUNTIFS($AK$2:$AK$200,$G159)&gt;0,
     COUNTIFS($AL$2:$AL$200,$G159)&gt;0,
     COUNTIFS($AM$2:$AM$200,$G159)&gt;0,
     COUNTIFS($AN$2:$AN$200,$G159)&gt;0,
     COUNTIFS($AO$2:$AO$200,$G159)&gt;0,
     COUNTIFS($AP$2:$AP$200,$G159)&gt;0,
     COUNTIFS($AQ$2:$AQ$200,$G159)&gt;0,
     COUNTIFS($AR$2:$AR$200,$G159)&gt;0,
     COUNTIFS($AS$2:$AS$200,$G159)&gt;0,
     COUNTIFS($AT$2:$AT$200,$G159)&gt;0,
     COUNTIFS($AU$2:$AU$200,$G159)&gt;0,
     COUNTIFS($AV$2:$AV$200,$G159)&gt;0,
     COUNTIFS($AW$2:$AW$200,$G159)&gt;0,
     COUNTIFS($AX$2:$AX$200,$G159)&gt;0
   )),
  ),
  3
 ),
"")</f>
        <v/>
      </c>
      <c r="F159" s="3" t="str" cm="1">
        <f t="array" aca="1" ref="F159" ca="1">IFERROR(
 INDEX(
  _xlfn._xlws.FILTER($U$1:$AX$1,
   TRANSPOSE(
    CHOOSE({1;2;3;4;5;6;7;8;9;10;11;12;13;14;15;16;17;18;19;20;21;22;23;24;25;26;27;28;29;30},
     COUNTIFS($U$2:$U$200,$G159)&gt;0,
     COUNTIFS($V$2:$V$200,$G159)&gt;0,
     COUNTIFS($W$2:$W$200,$G159)&gt;0,
     COUNTIFS($X$2:$X$200,$G159)&gt;0,
     COUNTIFS($Y$2:$Y$200,$G159)&gt;0,
     COUNTIFS($Z$2:$Z$200,$G159)&gt;0,
     COUNTIFS($AA$2:$AA$200,$G159)&gt;0,
     COUNTIFS($AB$2:$AB$200,$G159)&gt;0,
     COUNTIFS($AC$2:$AC$200,$G159)&gt;0,
     COUNTIFS($AD$2:$AD$200,$G159)&gt;0,
     COUNTIFS($AE$2:$AE$200,$G159)&gt;0,
     COUNTIFS($AF$2:$AF$200,$G159)&gt;0,
     COUNTIFS($AG$2:$AG$200,$G159)&gt;0,
     COUNTIFS($AH$2:$AH$200,$G159)&gt;0,
     COUNTIFS($AI$2:$AI$200,$G159)&gt;0,
     COUNTIFS($AJ$2:$AJ$200,$G159)&gt;0,
     COUNTIFS($AK$2:$AK$200,$G159)&gt;0,
     COUNTIFS($AL$2:$AL$200,$G159)&gt;0,
     COUNTIFS($AM$2:$AM$200,$G159)&gt;0,
     COUNTIFS($AN$2:$AN$200,$G159)&gt;0,
     COUNTIFS($AO$2:$AO$200,$G159)&gt;0,
     COUNTIFS($AP$2:$AP$200,$G159)&gt;0,
     COUNTIFS($AQ$2:$AQ$200,$G159)&gt;0,
     COUNTIFS($AR$2:$AR$200,$G159)&gt;0,
     COUNTIFS($AS$2:$AS$200,$G159)&gt;0,
     COUNTIFS($AT$2:$AT$200,$G159)&gt;0,
     COUNTIFS($AU$2:$AU$200,$G159)&gt;0,
     COUNTIFS($AV$2:$AV$200,$G159)&gt;0,
     COUNTIFS($AW$2:$AW$200,$G159)&gt;0,
     COUNTIFS($AX$2:$AX$200,$G159)&gt;0
   )),
  ),
  4
 ),
"")</f>
        <v/>
      </c>
      <c r="G159" t="str">
        <f ca="1"/>
        <v>Lotus Field</v>
      </c>
      <c r="CB159" t="str">
        <f ca="1"/>
        <v>Windcrag Siege</v>
      </c>
      <c r="CG159" t="str">
        <f ca="1"/>
        <v>Rise of the Eldrazi</v>
      </c>
      <c r="CJ159" t="str">
        <f ca="1"/>
        <v>Lotus Field</v>
      </c>
    </row>
    <row r="160" spans="1:88" x14ac:dyDescent="0.25">
      <c r="A160" s="3" t="str">
        <f t="shared" ca="1" si="6"/>
        <v>3</v>
      </c>
      <c r="B160" s="3">
        <f t="shared" ca="1" si="7"/>
        <v>1</v>
      </c>
      <c r="C160" s="3" t="str">
        <f ca="1">IFERROR(
 INDEX($U$1:$AX$1,
  MATCH(TRUE,
   CHOOSE({1;2;3;4;5;6;7;8;9;10;11;12;13;14;15;16;17;18;19;20;21;22;23;24;25;26;27;28;29;30;31;32},
    COUNTIFS($U$2:$U$200,$G160)&gt;0,
    COUNTIFS($V$2:$V$200,$G160)&gt;0,
    COUNTIFS($W$2:$W$200,$G160)&gt;0,
    COUNTIFS($X$2:$X$200,$G160)&gt;0,
    COUNTIFS($Y$2:$Y$200,$G160)&gt;0,
    COUNTIFS($Z$2:$Z$200,$G160)&gt;0,
    COUNTIFS($AA$2:$AA$200,$G160)&gt;0,
    COUNTIFS($AB$2:$AB$200,$G160)&gt;0,
    COUNTIFS($AC$2:$AC$200,$G160)&gt;0,
    COUNTIFS($AD$2:$AD$200,$G160)&gt;0,
    COUNTIFS($AE$2:$AE$200,$G160)&gt;0,
    COUNTIFS($AF$2:$AF$200,$G160)&gt;0,
    COUNTIFS($AG$2:$AG$200,$G160)&gt;0,
    COUNTIFS($AH$2:$AH$200,$G160)&gt;0,
    COUNTIFS($AI$2:$AI$200,$G160)&gt;0,
    COUNTIFS($AJ$2:$AJ$200,$G160)&gt;0,
    COUNTIFS($AK$2:$AK$200,$G160)&gt;0,
    COUNTIFS($AL$2:$AL$200,$G160)&gt;0,
    COUNTIFS($AM$2:$AM$200,$G160)&gt;0,
    COUNTIFS($AN$2:$AN$200,$G160)&gt;0,
    COUNTIFS($AO$2:$AO$200,$G160)&gt;0,
    COUNTIFS($AP$2:$AP$200,$G160)&gt;0,
    COUNTIFS($AQ$2:$AQ$200,$G160)&gt;0,
    COUNTIFS($AR$2:$AR$200,$G160)&gt;0,
    COUNTIFS($AS$2:$AS$200,$G160)&gt;0,
    COUNTIFS($AT$2:$AT$200,$G160)&gt;0,
    COUNTIFS($AU$2:$AU$200,$G160)&gt;0,
    COUNTIFS($AV$2:$AV$200,$G160)&gt;0,
    COUNTIFS($AW$2:$AW$200,$G160)&gt;0,
    COUNTIFS($AX$2:$AX$200,$G160)&gt;0
   ),
  0)
 ),
"")</f>
        <v>Yuriko</v>
      </c>
      <c r="D160" s="3" t="str" cm="1">
        <f t="array" aca="1" ref="D160" ca="1">IFERROR(
 INDEX(
  _xlfn._xlws.FILTER($U$1:$AX$1,
   TRANSPOSE(
    CHOOSE({1;2;3;4;5;6;7;8;9;10;11;12;13;14;15;16;17;18;19;20;21;22;23;24;25;26;27;28;29;30},
     COUNTIFS($U$2:$U$200,$G160)&gt;0,
     COUNTIFS($V$2:$V$200,$G160)&gt;0,
     COUNTIFS($W$2:$W$200,$G160)&gt;0,
     COUNTIFS($X$2:$X$200,$G160)&gt;0,
     COUNTIFS($Y$2:$Y$200,$G160)&gt;0,
     COUNTIFS($Z$2:$Z$200,$G160)&gt;0,
     COUNTIFS($AA$2:$AA$200,$G160)&gt;0,
     COUNTIFS($AB$2:$AB$200,$G160)&gt;0,
     COUNTIFS($AC$2:$AC$200,$G160)&gt;0,
     COUNTIFS($AD$2:$AD$200,$G160)&gt;0,
     COUNTIFS($AE$2:$AE$200,$G160)&gt;0,
     COUNTIFS($AF$2:$AF$200,$G160)&gt;0,
     COUNTIFS($AG$2:$AG$200,$G160)&gt;0,
     COUNTIFS($AH$2:$AH$200,$G160)&gt;0,
     COUNTIFS($AI$2:$AI$200,$G160)&gt;0,
     COUNTIFS($AJ$2:$AJ$200,$G160)&gt;0,
     COUNTIFS($AK$2:$AK$200,$G160)&gt;0,
     COUNTIFS($AL$2:$AL$200,$G160)&gt;0,
     COUNTIFS($AM$2:$AM$200,$G160)&gt;0,
     COUNTIFS($AN$2:$AN$200,$G160)&gt;0,
     COUNTIFS($AO$2:$AO$200,$G160)&gt;0,
     COUNTIFS($AP$2:$AP$200,$G160)&gt;0,
     COUNTIFS($AQ$2:$AQ$200,$G160)&gt;0,
     COUNTIFS($AR$2:$AR$200,$G160)&gt;0,
     COUNTIFS($AS$2:$AS$200,$G160)&gt;0,
     COUNTIFS($AT$2:$AT$200,$G160)&gt;0,
     COUNTIFS($AU$2:$AU$200,$G160)&gt;0,
     COUNTIFS($AV$2:$AV$200,$G160)&gt;0,
     COUNTIFS($AW$2:$AW$200,$G160)&gt;0,
     COUNTIFS($AX$2:$AX$200,$G160)&gt;0
   )),
  ),
  2
 ),
"")</f>
        <v/>
      </c>
      <c r="E160" s="3" t="str" cm="1">
        <f t="array" aca="1" ref="E160" ca="1">IFERROR(
 INDEX(
  _xlfn._xlws.FILTER($U$1:$AX$1,
   TRANSPOSE(
    CHOOSE({1;2;3;4;5;6;7;8;9;10;11;12;13;14;15;16;17;18;19;20;21;22;23;24;25;26;27;28;29;30},
     COUNTIFS($U$2:$U$200,$G160)&gt;0,
     COUNTIFS($V$2:$V$200,$G160)&gt;0,
     COUNTIFS($W$2:$W$200,$G160)&gt;0,
     COUNTIFS($X$2:$X$200,$G160)&gt;0,
     COUNTIFS($Y$2:$Y$200,$G160)&gt;0,
     COUNTIFS($Z$2:$Z$200,$G160)&gt;0,
     COUNTIFS($AA$2:$AA$200,$G160)&gt;0,
     COUNTIFS($AB$2:$AB$200,$G160)&gt;0,
     COUNTIFS($AC$2:$AC$200,$G160)&gt;0,
     COUNTIFS($AD$2:$AD$200,$G160)&gt;0,
     COUNTIFS($AE$2:$AE$200,$G160)&gt;0,
     COUNTIFS($AF$2:$AF$200,$G160)&gt;0,
     COUNTIFS($AG$2:$AG$200,$G160)&gt;0,
     COUNTIFS($AH$2:$AH$200,$G160)&gt;0,
     COUNTIFS($AI$2:$AI$200,$G160)&gt;0,
     COUNTIFS($AJ$2:$AJ$200,$G160)&gt;0,
     COUNTIFS($AK$2:$AK$200,$G160)&gt;0,
     COUNTIFS($AL$2:$AL$200,$G160)&gt;0,
     COUNTIFS($AM$2:$AM$200,$G160)&gt;0,
     COUNTIFS($AN$2:$AN$200,$G160)&gt;0,
     COUNTIFS($AO$2:$AO$200,$G160)&gt;0,
     COUNTIFS($AP$2:$AP$200,$G160)&gt;0,
     COUNTIFS($AQ$2:$AQ$200,$G160)&gt;0,
     COUNTIFS($AR$2:$AR$200,$G160)&gt;0,
     COUNTIFS($AS$2:$AS$200,$G160)&gt;0,
     COUNTIFS($AT$2:$AT$200,$G160)&gt;0,
     COUNTIFS($AU$2:$AU$200,$G160)&gt;0,
     COUNTIFS($AV$2:$AV$200,$G160)&gt;0,
     COUNTIFS($AW$2:$AW$200,$G160)&gt;0,
     COUNTIFS($AX$2:$AX$200,$G160)&gt;0
   )),
  ),
  3
 ),
"")</f>
        <v/>
      </c>
      <c r="F160" s="3" t="str" cm="1">
        <f t="array" aca="1" ref="F160" ca="1">IFERROR(
 INDEX(
  _xlfn._xlws.FILTER($U$1:$AX$1,
   TRANSPOSE(
    CHOOSE({1;2;3;4;5;6;7;8;9;10;11;12;13;14;15;16;17;18;19;20;21;22;23;24;25;26;27;28;29;30},
     COUNTIFS($U$2:$U$200,$G160)&gt;0,
     COUNTIFS($V$2:$V$200,$G160)&gt;0,
     COUNTIFS($W$2:$W$200,$G160)&gt;0,
     COUNTIFS($X$2:$X$200,$G160)&gt;0,
     COUNTIFS($Y$2:$Y$200,$G160)&gt;0,
     COUNTIFS($Z$2:$Z$200,$G160)&gt;0,
     COUNTIFS($AA$2:$AA$200,$G160)&gt;0,
     COUNTIFS($AB$2:$AB$200,$G160)&gt;0,
     COUNTIFS($AC$2:$AC$200,$G160)&gt;0,
     COUNTIFS($AD$2:$AD$200,$G160)&gt;0,
     COUNTIFS($AE$2:$AE$200,$G160)&gt;0,
     COUNTIFS($AF$2:$AF$200,$G160)&gt;0,
     COUNTIFS($AG$2:$AG$200,$G160)&gt;0,
     COUNTIFS($AH$2:$AH$200,$G160)&gt;0,
     COUNTIFS($AI$2:$AI$200,$G160)&gt;0,
     COUNTIFS($AJ$2:$AJ$200,$G160)&gt;0,
     COUNTIFS($AK$2:$AK$200,$G160)&gt;0,
     COUNTIFS($AL$2:$AL$200,$G160)&gt;0,
     COUNTIFS($AM$2:$AM$200,$G160)&gt;0,
     COUNTIFS($AN$2:$AN$200,$G160)&gt;0,
     COUNTIFS($AO$2:$AO$200,$G160)&gt;0,
     COUNTIFS($AP$2:$AP$200,$G160)&gt;0,
     COUNTIFS($AQ$2:$AQ$200,$G160)&gt;0,
     COUNTIFS($AR$2:$AR$200,$G160)&gt;0,
     COUNTIFS($AS$2:$AS$200,$G160)&gt;0,
     COUNTIFS($AT$2:$AT$200,$G160)&gt;0,
     COUNTIFS($AU$2:$AU$200,$G160)&gt;0,
     COUNTIFS($AV$2:$AV$200,$G160)&gt;0,
     COUNTIFS($AW$2:$AW$200,$G160)&gt;0,
     COUNTIFS($AX$2:$AX$200,$G160)&gt;0
   )),
  ),
  4
 ),
"")</f>
        <v/>
      </c>
      <c r="G160" t="str">
        <f ca="1"/>
        <v>Louisoix's Sacrifice</v>
      </c>
      <c r="CB160" t="str">
        <f ca="1"/>
        <v>World at War</v>
      </c>
      <c r="CG160" t="str">
        <f ca="1"/>
        <v>Rogue's Passage</v>
      </c>
      <c r="CJ160" t="str">
        <f ca="1"/>
        <v>Louisoix's Sacrifice</v>
      </c>
    </row>
    <row r="161" spans="1:88" x14ac:dyDescent="0.25">
      <c r="A161" s="3" t="str">
        <f t="shared" ca="1" si="6"/>
        <v>2</v>
      </c>
      <c r="B161" s="3">
        <f t="shared" ca="1" si="7"/>
        <v>1</v>
      </c>
      <c r="C161" s="3" t="str">
        <f ca="1">IFERROR(
 INDEX($U$1:$AX$1,
  MATCH(TRUE,
   CHOOSE({1;2;3;4;5;6;7;8;9;10;11;12;13;14;15;16;17;18;19;20;21;22;23;24;25;26;27;28;29;30;31;32},
    COUNTIFS($U$2:$U$200,$G161)&gt;0,
    COUNTIFS($V$2:$V$200,$G161)&gt;0,
    COUNTIFS($W$2:$W$200,$G161)&gt;0,
    COUNTIFS($X$2:$X$200,$G161)&gt;0,
    COUNTIFS($Y$2:$Y$200,$G161)&gt;0,
    COUNTIFS($Z$2:$Z$200,$G161)&gt;0,
    COUNTIFS($AA$2:$AA$200,$G161)&gt;0,
    COUNTIFS($AB$2:$AB$200,$G161)&gt;0,
    COUNTIFS($AC$2:$AC$200,$G161)&gt;0,
    COUNTIFS($AD$2:$AD$200,$G161)&gt;0,
    COUNTIFS($AE$2:$AE$200,$G161)&gt;0,
    COUNTIFS($AF$2:$AF$200,$G161)&gt;0,
    COUNTIFS($AG$2:$AG$200,$G161)&gt;0,
    COUNTIFS($AH$2:$AH$200,$G161)&gt;0,
    COUNTIFS($AI$2:$AI$200,$G161)&gt;0,
    COUNTIFS($AJ$2:$AJ$200,$G161)&gt;0,
    COUNTIFS($AK$2:$AK$200,$G161)&gt;0,
    COUNTIFS($AL$2:$AL$200,$G161)&gt;0,
    COUNTIFS($AM$2:$AM$200,$G161)&gt;0,
    COUNTIFS($AN$2:$AN$200,$G161)&gt;0,
    COUNTIFS($AO$2:$AO$200,$G161)&gt;0,
    COUNTIFS($AP$2:$AP$200,$G161)&gt;0,
    COUNTIFS($AQ$2:$AQ$200,$G161)&gt;0,
    COUNTIFS($AR$2:$AR$200,$G161)&gt;0,
    COUNTIFS($AS$2:$AS$200,$G161)&gt;0,
    COUNTIFS($AT$2:$AT$200,$G161)&gt;0,
    COUNTIFS($AU$2:$AU$200,$G161)&gt;0,
    COUNTIFS($AV$2:$AV$200,$G161)&gt;0,
    COUNTIFS($AW$2:$AW$200,$G161)&gt;0,
    COUNTIFS($AX$2:$AX$200,$G161)&gt;0
   ),
  0)
 ),
"")</f>
        <v>Kumena</v>
      </c>
      <c r="D161" s="3" t="str" cm="1">
        <f t="array" aca="1" ref="D161" ca="1">IFERROR(
 INDEX(
  _xlfn._xlws.FILTER($U$1:$AX$1,
   TRANSPOSE(
    CHOOSE({1;2;3;4;5;6;7;8;9;10;11;12;13;14;15;16;17;18;19;20;21;22;23;24;25;26;27;28;29;30},
     COUNTIFS($U$2:$U$200,$G161)&gt;0,
     COUNTIFS($V$2:$V$200,$G161)&gt;0,
     COUNTIFS($W$2:$W$200,$G161)&gt;0,
     COUNTIFS($X$2:$X$200,$G161)&gt;0,
     COUNTIFS($Y$2:$Y$200,$G161)&gt;0,
     COUNTIFS($Z$2:$Z$200,$G161)&gt;0,
     COUNTIFS($AA$2:$AA$200,$G161)&gt;0,
     COUNTIFS($AB$2:$AB$200,$G161)&gt;0,
     COUNTIFS($AC$2:$AC$200,$G161)&gt;0,
     COUNTIFS($AD$2:$AD$200,$G161)&gt;0,
     COUNTIFS($AE$2:$AE$200,$G161)&gt;0,
     COUNTIFS($AF$2:$AF$200,$G161)&gt;0,
     COUNTIFS($AG$2:$AG$200,$G161)&gt;0,
     COUNTIFS($AH$2:$AH$200,$G161)&gt;0,
     COUNTIFS($AI$2:$AI$200,$G161)&gt;0,
     COUNTIFS($AJ$2:$AJ$200,$G161)&gt;0,
     COUNTIFS($AK$2:$AK$200,$G161)&gt;0,
     COUNTIFS($AL$2:$AL$200,$G161)&gt;0,
     COUNTIFS($AM$2:$AM$200,$G161)&gt;0,
     COUNTIFS($AN$2:$AN$200,$G161)&gt;0,
     COUNTIFS($AO$2:$AO$200,$G161)&gt;0,
     COUNTIFS($AP$2:$AP$200,$G161)&gt;0,
     COUNTIFS($AQ$2:$AQ$200,$G161)&gt;0,
     COUNTIFS($AR$2:$AR$200,$G161)&gt;0,
     COUNTIFS($AS$2:$AS$200,$G161)&gt;0,
     COUNTIFS($AT$2:$AT$200,$G161)&gt;0,
     COUNTIFS($AU$2:$AU$200,$G161)&gt;0,
     COUNTIFS($AV$2:$AV$200,$G161)&gt;0,
     COUNTIFS($AW$2:$AW$200,$G161)&gt;0,
     COUNTIFS($AX$2:$AX$200,$G161)&gt;0
   )),
  ),
  2
 ),
"")</f>
        <v/>
      </c>
      <c r="E161" s="3" t="str" cm="1">
        <f t="array" aca="1" ref="E161" ca="1">IFERROR(
 INDEX(
  _xlfn._xlws.FILTER($U$1:$AX$1,
   TRANSPOSE(
    CHOOSE({1;2;3;4;5;6;7;8;9;10;11;12;13;14;15;16;17;18;19;20;21;22;23;24;25;26;27;28;29;30},
     COUNTIFS($U$2:$U$200,$G161)&gt;0,
     COUNTIFS($V$2:$V$200,$G161)&gt;0,
     COUNTIFS($W$2:$W$200,$G161)&gt;0,
     COUNTIFS($X$2:$X$200,$G161)&gt;0,
     COUNTIFS($Y$2:$Y$200,$G161)&gt;0,
     COUNTIFS($Z$2:$Z$200,$G161)&gt;0,
     COUNTIFS($AA$2:$AA$200,$G161)&gt;0,
     COUNTIFS($AB$2:$AB$200,$G161)&gt;0,
     COUNTIFS($AC$2:$AC$200,$G161)&gt;0,
     COUNTIFS($AD$2:$AD$200,$G161)&gt;0,
     COUNTIFS($AE$2:$AE$200,$G161)&gt;0,
     COUNTIFS($AF$2:$AF$200,$G161)&gt;0,
     COUNTIFS($AG$2:$AG$200,$G161)&gt;0,
     COUNTIFS($AH$2:$AH$200,$G161)&gt;0,
     COUNTIFS($AI$2:$AI$200,$G161)&gt;0,
     COUNTIFS($AJ$2:$AJ$200,$G161)&gt;0,
     COUNTIFS($AK$2:$AK$200,$G161)&gt;0,
     COUNTIFS($AL$2:$AL$200,$G161)&gt;0,
     COUNTIFS($AM$2:$AM$200,$G161)&gt;0,
     COUNTIFS($AN$2:$AN$200,$G161)&gt;0,
     COUNTIFS($AO$2:$AO$200,$G161)&gt;0,
     COUNTIFS($AP$2:$AP$200,$G161)&gt;0,
     COUNTIFS($AQ$2:$AQ$200,$G161)&gt;0,
     COUNTIFS($AR$2:$AR$200,$G161)&gt;0,
     COUNTIFS($AS$2:$AS$200,$G161)&gt;0,
     COUNTIFS($AT$2:$AT$200,$G161)&gt;0,
     COUNTIFS($AU$2:$AU$200,$G161)&gt;0,
     COUNTIFS($AV$2:$AV$200,$G161)&gt;0,
     COUNTIFS($AW$2:$AW$200,$G161)&gt;0,
     COUNTIFS($AX$2:$AX$200,$G161)&gt;0
   )),
  ),
  3
 ),
"")</f>
        <v/>
      </c>
      <c r="F161" s="3" t="str" cm="1">
        <f t="array" aca="1" ref="F161" ca="1">IFERROR(
 INDEX(
  _xlfn._xlws.FILTER($U$1:$AX$1,
   TRANSPOSE(
    CHOOSE({1;2;3;4;5;6;7;8;9;10;11;12;13;14;15;16;17;18;19;20;21;22;23;24;25;26;27;28;29;30},
     COUNTIFS($U$2:$U$200,$G161)&gt;0,
     COUNTIFS($V$2:$V$200,$G161)&gt;0,
     COUNTIFS($W$2:$W$200,$G161)&gt;0,
     COUNTIFS($X$2:$X$200,$G161)&gt;0,
     COUNTIFS($Y$2:$Y$200,$G161)&gt;0,
     COUNTIFS($Z$2:$Z$200,$G161)&gt;0,
     COUNTIFS($AA$2:$AA$200,$G161)&gt;0,
     COUNTIFS($AB$2:$AB$200,$G161)&gt;0,
     COUNTIFS($AC$2:$AC$200,$G161)&gt;0,
     COUNTIFS($AD$2:$AD$200,$G161)&gt;0,
     COUNTIFS($AE$2:$AE$200,$G161)&gt;0,
     COUNTIFS($AF$2:$AF$200,$G161)&gt;0,
     COUNTIFS($AG$2:$AG$200,$G161)&gt;0,
     COUNTIFS($AH$2:$AH$200,$G161)&gt;0,
     COUNTIFS($AI$2:$AI$200,$G161)&gt;0,
     COUNTIFS($AJ$2:$AJ$200,$G161)&gt;0,
     COUNTIFS($AK$2:$AK$200,$G161)&gt;0,
     COUNTIFS($AL$2:$AL$200,$G161)&gt;0,
     COUNTIFS($AM$2:$AM$200,$G161)&gt;0,
     COUNTIFS($AN$2:$AN$200,$G161)&gt;0,
     COUNTIFS($AO$2:$AO$200,$G161)&gt;0,
     COUNTIFS($AP$2:$AP$200,$G161)&gt;0,
     COUNTIFS($AQ$2:$AQ$200,$G161)&gt;0,
     COUNTIFS($AR$2:$AR$200,$G161)&gt;0,
     COUNTIFS($AS$2:$AS$200,$G161)&gt;0,
     COUNTIFS($AT$2:$AT$200,$G161)&gt;0,
     COUNTIFS($AU$2:$AU$200,$G161)&gt;0,
     COUNTIFS($AV$2:$AV$200,$G161)&gt;0,
     COUNTIFS($AW$2:$AW$200,$G161)&gt;0,
     COUNTIFS($AX$2:$AX$200,$G161)&gt;0
   )),
  ),
  4
 ),
"")</f>
        <v/>
      </c>
      <c r="G161" t="str">
        <f ca="1"/>
        <v>Lullmage Mentor</v>
      </c>
      <c r="CB161" t="str">
        <f ca="1"/>
        <v>Xantcha, Agente Adormecida</v>
      </c>
      <c r="CG161" t="str">
        <f ca="1"/>
        <v>Rotating Fireplace</v>
      </c>
      <c r="CJ161" t="str">
        <f ca="1"/>
        <v>Lullmage Mentor</v>
      </c>
    </row>
    <row r="162" spans="1:88" x14ac:dyDescent="0.25">
      <c r="A162" s="3" t="str">
        <f t="shared" ca="1" si="6"/>
        <v>4</v>
      </c>
      <c r="B162" s="3">
        <f t="shared" ca="1" si="7"/>
        <v>1</v>
      </c>
      <c r="C162" s="3" t="str">
        <f ca="1">IFERROR(
 INDEX($U$1:$AX$1,
  MATCH(TRUE,
   CHOOSE({1;2;3;4;5;6;7;8;9;10;11;12;13;14;15;16;17;18;19;20;21;22;23;24;25;26;27;28;29;30;31;32},
    COUNTIFS($U$2:$U$200,$G162)&gt;0,
    COUNTIFS($V$2:$V$200,$G162)&gt;0,
    COUNTIFS($W$2:$W$200,$G162)&gt;0,
    COUNTIFS($X$2:$X$200,$G162)&gt;0,
    COUNTIFS($Y$2:$Y$200,$G162)&gt;0,
    COUNTIFS($Z$2:$Z$200,$G162)&gt;0,
    COUNTIFS($AA$2:$AA$200,$G162)&gt;0,
    COUNTIFS($AB$2:$AB$200,$G162)&gt;0,
    COUNTIFS($AC$2:$AC$200,$G162)&gt;0,
    COUNTIFS($AD$2:$AD$200,$G162)&gt;0,
    COUNTIFS($AE$2:$AE$200,$G162)&gt;0,
    COUNTIFS($AF$2:$AF$200,$G162)&gt;0,
    COUNTIFS($AG$2:$AG$200,$G162)&gt;0,
    COUNTIFS($AH$2:$AH$200,$G162)&gt;0,
    COUNTIFS($AI$2:$AI$200,$G162)&gt;0,
    COUNTIFS($AJ$2:$AJ$200,$G162)&gt;0,
    COUNTIFS($AK$2:$AK$200,$G162)&gt;0,
    COUNTIFS($AL$2:$AL$200,$G162)&gt;0,
    COUNTIFS($AM$2:$AM$200,$G162)&gt;0,
    COUNTIFS($AN$2:$AN$200,$G162)&gt;0,
    COUNTIFS($AO$2:$AO$200,$G162)&gt;0,
    COUNTIFS($AP$2:$AP$200,$G162)&gt;0,
    COUNTIFS($AQ$2:$AQ$200,$G162)&gt;0,
    COUNTIFS($AR$2:$AR$200,$G162)&gt;0,
    COUNTIFS($AS$2:$AS$200,$G162)&gt;0,
    COUNTIFS($AT$2:$AT$200,$G162)&gt;0,
    COUNTIFS($AU$2:$AU$200,$G162)&gt;0,
    COUNTIFS($AV$2:$AV$200,$G162)&gt;0,
    COUNTIFS($AW$2:$AW$200,$G162)&gt;0,
    COUNTIFS($AX$2:$AX$200,$G162)&gt;0
   ),
  0)
 ),
"")</f>
        <v>VialIshai</v>
      </c>
      <c r="D162" s="3" t="str" cm="1">
        <f t="array" aca="1" ref="D162" ca="1">IFERROR(
 INDEX(
  _xlfn._xlws.FILTER($U$1:$AX$1,
   TRANSPOSE(
    CHOOSE({1;2;3;4;5;6;7;8;9;10;11;12;13;14;15;16;17;18;19;20;21;22;23;24;25;26;27;28;29;30},
     COUNTIFS($U$2:$U$200,$G162)&gt;0,
     COUNTIFS($V$2:$V$200,$G162)&gt;0,
     COUNTIFS($W$2:$W$200,$G162)&gt;0,
     COUNTIFS($X$2:$X$200,$G162)&gt;0,
     COUNTIFS($Y$2:$Y$200,$G162)&gt;0,
     COUNTIFS($Z$2:$Z$200,$G162)&gt;0,
     COUNTIFS($AA$2:$AA$200,$G162)&gt;0,
     COUNTIFS($AB$2:$AB$200,$G162)&gt;0,
     COUNTIFS($AC$2:$AC$200,$G162)&gt;0,
     COUNTIFS($AD$2:$AD$200,$G162)&gt;0,
     COUNTIFS($AE$2:$AE$200,$G162)&gt;0,
     COUNTIFS($AF$2:$AF$200,$G162)&gt;0,
     COUNTIFS($AG$2:$AG$200,$G162)&gt;0,
     COUNTIFS($AH$2:$AH$200,$G162)&gt;0,
     COUNTIFS($AI$2:$AI$200,$G162)&gt;0,
     COUNTIFS($AJ$2:$AJ$200,$G162)&gt;0,
     COUNTIFS($AK$2:$AK$200,$G162)&gt;0,
     COUNTIFS($AL$2:$AL$200,$G162)&gt;0,
     COUNTIFS($AM$2:$AM$200,$G162)&gt;0,
     COUNTIFS($AN$2:$AN$200,$G162)&gt;0,
     COUNTIFS($AO$2:$AO$200,$G162)&gt;0,
     COUNTIFS($AP$2:$AP$200,$G162)&gt;0,
     COUNTIFS($AQ$2:$AQ$200,$G162)&gt;0,
     COUNTIFS($AR$2:$AR$200,$G162)&gt;0,
     COUNTIFS($AS$2:$AS$200,$G162)&gt;0,
     COUNTIFS($AT$2:$AT$200,$G162)&gt;0,
     COUNTIFS($AU$2:$AU$200,$G162)&gt;0,
     COUNTIFS($AV$2:$AV$200,$G162)&gt;0,
     COUNTIFS($AW$2:$AW$200,$G162)&gt;0,
     COUNTIFS($AX$2:$AX$200,$G162)&gt;0
   )),
  ),
  2
 ),
"")</f>
        <v/>
      </c>
      <c r="E162" s="3" t="str" cm="1">
        <f t="array" aca="1" ref="E162" ca="1">IFERROR(
 INDEX(
  _xlfn._xlws.FILTER($U$1:$AX$1,
   TRANSPOSE(
    CHOOSE({1;2;3;4;5;6;7;8;9;10;11;12;13;14;15;16;17;18;19;20;21;22;23;24;25;26;27;28;29;30},
     COUNTIFS($U$2:$U$200,$G162)&gt;0,
     COUNTIFS($V$2:$V$200,$G162)&gt;0,
     COUNTIFS($W$2:$W$200,$G162)&gt;0,
     COUNTIFS($X$2:$X$200,$G162)&gt;0,
     COUNTIFS($Y$2:$Y$200,$G162)&gt;0,
     COUNTIFS($Z$2:$Z$200,$G162)&gt;0,
     COUNTIFS($AA$2:$AA$200,$G162)&gt;0,
     COUNTIFS($AB$2:$AB$200,$G162)&gt;0,
     COUNTIFS($AC$2:$AC$200,$G162)&gt;0,
     COUNTIFS($AD$2:$AD$200,$G162)&gt;0,
     COUNTIFS($AE$2:$AE$200,$G162)&gt;0,
     COUNTIFS($AF$2:$AF$200,$G162)&gt;0,
     COUNTIFS($AG$2:$AG$200,$G162)&gt;0,
     COUNTIFS($AH$2:$AH$200,$G162)&gt;0,
     COUNTIFS($AI$2:$AI$200,$G162)&gt;0,
     COUNTIFS($AJ$2:$AJ$200,$G162)&gt;0,
     COUNTIFS($AK$2:$AK$200,$G162)&gt;0,
     COUNTIFS($AL$2:$AL$200,$G162)&gt;0,
     COUNTIFS($AM$2:$AM$200,$G162)&gt;0,
     COUNTIFS($AN$2:$AN$200,$G162)&gt;0,
     COUNTIFS($AO$2:$AO$200,$G162)&gt;0,
     COUNTIFS($AP$2:$AP$200,$G162)&gt;0,
     COUNTIFS($AQ$2:$AQ$200,$G162)&gt;0,
     COUNTIFS($AR$2:$AR$200,$G162)&gt;0,
     COUNTIFS($AS$2:$AS$200,$G162)&gt;0,
     COUNTIFS($AT$2:$AT$200,$G162)&gt;0,
     COUNTIFS($AU$2:$AU$200,$G162)&gt;0,
     COUNTIFS($AV$2:$AV$200,$G162)&gt;0,
     COUNTIFS($AW$2:$AW$200,$G162)&gt;0,
     COUNTIFS($AX$2:$AX$200,$G162)&gt;0
   )),
  ),
  3
 ),
"")</f>
        <v/>
      </c>
      <c r="F162" s="3" t="str" cm="1">
        <f t="array" aca="1" ref="F162" ca="1">IFERROR(
 INDEX(
  _xlfn._xlws.FILTER($U$1:$AX$1,
   TRANSPOSE(
    CHOOSE({1;2;3;4;5;6;7;8;9;10;11;12;13;14;15;16;17;18;19;20;21;22;23;24;25;26;27;28;29;30},
     COUNTIFS($U$2:$U$200,$G162)&gt;0,
     COUNTIFS($V$2:$V$200,$G162)&gt;0,
     COUNTIFS($W$2:$W$200,$G162)&gt;0,
     COUNTIFS($X$2:$X$200,$G162)&gt;0,
     COUNTIFS($Y$2:$Y$200,$G162)&gt;0,
     COUNTIFS($Z$2:$Z$200,$G162)&gt;0,
     COUNTIFS($AA$2:$AA$200,$G162)&gt;0,
     COUNTIFS($AB$2:$AB$200,$G162)&gt;0,
     COUNTIFS($AC$2:$AC$200,$G162)&gt;0,
     COUNTIFS($AD$2:$AD$200,$G162)&gt;0,
     COUNTIFS($AE$2:$AE$200,$G162)&gt;0,
     COUNTIFS($AF$2:$AF$200,$G162)&gt;0,
     COUNTIFS($AG$2:$AG$200,$G162)&gt;0,
     COUNTIFS($AH$2:$AH$200,$G162)&gt;0,
     COUNTIFS($AI$2:$AI$200,$G162)&gt;0,
     COUNTIFS($AJ$2:$AJ$200,$G162)&gt;0,
     COUNTIFS($AK$2:$AK$200,$G162)&gt;0,
     COUNTIFS($AL$2:$AL$200,$G162)&gt;0,
     COUNTIFS($AM$2:$AM$200,$G162)&gt;0,
     COUNTIFS($AN$2:$AN$200,$G162)&gt;0,
     COUNTIFS($AO$2:$AO$200,$G162)&gt;0,
     COUNTIFS($AP$2:$AP$200,$G162)&gt;0,
     COUNTIFS($AQ$2:$AQ$200,$G162)&gt;0,
     COUNTIFS($AR$2:$AR$200,$G162)&gt;0,
     COUNTIFS($AS$2:$AS$200,$G162)&gt;0,
     COUNTIFS($AT$2:$AT$200,$G162)&gt;0,
     COUNTIFS($AU$2:$AU$200,$G162)&gt;0,
     COUNTIFS($AV$2:$AV$200,$G162)&gt;0,
     COUNTIFS($AW$2:$AW$200,$G162)&gt;0,
     COUNTIFS($AX$2:$AX$200,$G162)&gt;0
   )),
  ),
  4
 ),
"")</f>
        <v/>
      </c>
      <c r="G162" t="str">
        <f ca="1"/>
        <v>Luxury Suite</v>
      </c>
      <c r="CB162" t="str">
        <f ca="1"/>
        <v>Zack Fair</v>
      </c>
      <c r="CG162" t="str">
        <f ca="1"/>
        <v>Satoru, the Infiltrator</v>
      </c>
      <c r="CJ162" t="str">
        <f ca="1"/>
        <v>Luxury Suite</v>
      </c>
    </row>
    <row r="163" spans="1:88" x14ac:dyDescent="0.25">
      <c r="A163" s="3" t="str">
        <f t="shared" ca="1" si="6"/>
        <v>2</v>
      </c>
      <c r="B163" s="3">
        <f t="shared" ca="1" si="7"/>
        <v>1</v>
      </c>
      <c r="C163" s="3" t="str">
        <f ca="1">IFERROR(
 INDEX($U$1:$AX$1,
  MATCH(TRUE,
   CHOOSE({1;2;3;4;5;6;7;8;9;10;11;12;13;14;15;16;17;18;19;20;21;22;23;24;25;26;27;28;29;30;31;32},
    COUNTIFS($U$2:$U$200,$G163)&gt;0,
    COUNTIFS($V$2:$V$200,$G163)&gt;0,
    COUNTIFS($W$2:$W$200,$G163)&gt;0,
    COUNTIFS($X$2:$X$200,$G163)&gt;0,
    COUNTIFS($Y$2:$Y$200,$G163)&gt;0,
    COUNTIFS($Z$2:$Z$200,$G163)&gt;0,
    COUNTIFS($AA$2:$AA$200,$G163)&gt;0,
    COUNTIFS($AB$2:$AB$200,$G163)&gt;0,
    COUNTIFS($AC$2:$AC$200,$G163)&gt;0,
    COUNTIFS($AD$2:$AD$200,$G163)&gt;0,
    COUNTIFS($AE$2:$AE$200,$G163)&gt;0,
    COUNTIFS($AF$2:$AF$200,$G163)&gt;0,
    COUNTIFS($AG$2:$AG$200,$G163)&gt;0,
    COUNTIFS($AH$2:$AH$200,$G163)&gt;0,
    COUNTIFS($AI$2:$AI$200,$G163)&gt;0,
    COUNTIFS($AJ$2:$AJ$200,$G163)&gt;0,
    COUNTIFS($AK$2:$AK$200,$G163)&gt;0,
    COUNTIFS($AL$2:$AL$200,$G163)&gt;0,
    COUNTIFS($AM$2:$AM$200,$G163)&gt;0,
    COUNTIFS($AN$2:$AN$200,$G163)&gt;0,
    COUNTIFS($AO$2:$AO$200,$G163)&gt;0,
    COUNTIFS($AP$2:$AP$200,$G163)&gt;0,
    COUNTIFS($AQ$2:$AQ$200,$G163)&gt;0,
    COUNTIFS($AR$2:$AR$200,$G163)&gt;0,
    COUNTIFS($AS$2:$AS$200,$G163)&gt;0,
    COUNTIFS($AT$2:$AT$200,$G163)&gt;0,
    COUNTIFS($AU$2:$AU$200,$G163)&gt;0,
    COUNTIFS($AV$2:$AV$200,$G163)&gt;0,
    COUNTIFS($AW$2:$AW$200,$G163)&gt;0,
    COUNTIFS($AX$2:$AX$200,$G163)&gt;0
   ),
  0)
 ),
"")</f>
        <v>Narset</v>
      </c>
      <c r="D163" s="3" t="str" cm="1">
        <f t="array" aca="1" ref="D163" ca="1">IFERROR(
 INDEX(
  _xlfn._xlws.FILTER($U$1:$AX$1,
   TRANSPOSE(
    CHOOSE({1;2;3;4;5;6;7;8;9;10;11;12;13;14;15;16;17;18;19;20;21;22;23;24;25;26;27;28;29;30},
     COUNTIFS($U$2:$U$200,$G163)&gt;0,
     COUNTIFS($V$2:$V$200,$G163)&gt;0,
     COUNTIFS($W$2:$W$200,$G163)&gt;0,
     COUNTIFS($X$2:$X$200,$G163)&gt;0,
     COUNTIFS($Y$2:$Y$200,$G163)&gt;0,
     COUNTIFS($Z$2:$Z$200,$G163)&gt;0,
     COUNTIFS($AA$2:$AA$200,$G163)&gt;0,
     COUNTIFS($AB$2:$AB$200,$G163)&gt;0,
     COUNTIFS($AC$2:$AC$200,$G163)&gt;0,
     COUNTIFS($AD$2:$AD$200,$G163)&gt;0,
     COUNTIFS($AE$2:$AE$200,$G163)&gt;0,
     COUNTIFS($AF$2:$AF$200,$G163)&gt;0,
     COUNTIFS($AG$2:$AG$200,$G163)&gt;0,
     COUNTIFS($AH$2:$AH$200,$G163)&gt;0,
     COUNTIFS($AI$2:$AI$200,$G163)&gt;0,
     COUNTIFS($AJ$2:$AJ$200,$G163)&gt;0,
     COUNTIFS($AK$2:$AK$200,$G163)&gt;0,
     COUNTIFS($AL$2:$AL$200,$G163)&gt;0,
     COUNTIFS($AM$2:$AM$200,$G163)&gt;0,
     COUNTIFS($AN$2:$AN$200,$G163)&gt;0,
     COUNTIFS($AO$2:$AO$200,$G163)&gt;0,
     COUNTIFS($AP$2:$AP$200,$G163)&gt;0,
     COUNTIFS($AQ$2:$AQ$200,$G163)&gt;0,
     COUNTIFS($AR$2:$AR$200,$G163)&gt;0,
     COUNTIFS($AS$2:$AS$200,$G163)&gt;0,
     COUNTIFS($AT$2:$AT$200,$G163)&gt;0,
     COUNTIFS($AU$2:$AU$200,$G163)&gt;0,
     COUNTIFS($AV$2:$AV$200,$G163)&gt;0,
     COUNTIFS($AW$2:$AW$200,$G163)&gt;0,
     COUNTIFS($AX$2:$AX$200,$G163)&gt;0
   )),
  ),
  2
 ),
"")</f>
        <v/>
      </c>
      <c r="E163" s="3" t="str" cm="1">
        <f t="array" aca="1" ref="E163" ca="1">IFERROR(
 INDEX(
  _xlfn._xlws.FILTER($U$1:$AX$1,
   TRANSPOSE(
    CHOOSE({1;2;3;4;5;6;7;8;9;10;11;12;13;14;15;16;17;18;19;20;21;22;23;24;25;26;27;28;29;30},
     COUNTIFS($U$2:$U$200,$G163)&gt;0,
     COUNTIFS($V$2:$V$200,$G163)&gt;0,
     COUNTIFS($W$2:$W$200,$G163)&gt;0,
     COUNTIFS($X$2:$X$200,$G163)&gt;0,
     COUNTIFS($Y$2:$Y$200,$G163)&gt;0,
     COUNTIFS($Z$2:$Z$200,$G163)&gt;0,
     COUNTIFS($AA$2:$AA$200,$G163)&gt;0,
     COUNTIFS($AB$2:$AB$200,$G163)&gt;0,
     COUNTIFS($AC$2:$AC$200,$G163)&gt;0,
     COUNTIFS($AD$2:$AD$200,$G163)&gt;0,
     COUNTIFS($AE$2:$AE$200,$G163)&gt;0,
     COUNTIFS($AF$2:$AF$200,$G163)&gt;0,
     COUNTIFS($AG$2:$AG$200,$G163)&gt;0,
     COUNTIFS($AH$2:$AH$200,$G163)&gt;0,
     COUNTIFS($AI$2:$AI$200,$G163)&gt;0,
     COUNTIFS($AJ$2:$AJ$200,$G163)&gt;0,
     COUNTIFS($AK$2:$AK$200,$G163)&gt;0,
     COUNTIFS($AL$2:$AL$200,$G163)&gt;0,
     COUNTIFS($AM$2:$AM$200,$G163)&gt;0,
     COUNTIFS($AN$2:$AN$200,$G163)&gt;0,
     COUNTIFS($AO$2:$AO$200,$G163)&gt;0,
     COUNTIFS($AP$2:$AP$200,$G163)&gt;0,
     COUNTIFS($AQ$2:$AQ$200,$G163)&gt;0,
     COUNTIFS($AR$2:$AR$200,$G163)&gt;0,
     COUNTIFS($AS$2:$AS$200,$G163)&gt;0,
     COUNTIFS($AT$2:$AT$200,$G163)&gt;0,
     COUNTIFS($AU$2:$AU$200,$G163)&gt;0,
     COUNTIFS($AV$2:$AV$200,$G163)&gt;0,
     COUNTIFS($AW$2:$AW$200,$G163)&gt;0,
     COUNTIFS($AX$2:$AX$200,$G163)&gt;0
   )),
  ),
  3
 ),
"")</f>
        <v/>
      </c>
      <c r="F163" s="3" t="str" cm="1">
        <f t="array" aca="1" ref="F163" ca="1">IFERROR(
 INDEX(
  _xlfn._xlws.FILTER($U$1:$AX$1,
   TRANSPOSE(
    CHOOSE({1;2;3;4;5;6;7;8;9;10;11;12;13;14;15;16;17;18;19;20;21;22;23;24;25;26;27;28;29;30},
     COUNTIFS($U$2:$U$200,$G163)&gt;0,
     COUNTIFS($V$2:$V$200,$G163)&gt;0,
     COUNTIFS($W$2:$W$200,$G163)&gt;0,
     COUNTIFS($X$2:$X$200,$G163)&gt;0,
     COUNTIFS($Y$2:$Y$200,$G163)&gt;0,
     COUNTIFS($Z$2:$Z$200,$G163)&gt;0,
     COUNTIFS($AA$2:$AA$200,$G163)&gt;0,
     COUNTIFS($AB$2:$AB$200,$G163)&gt;0,
     COUNTIFS($AC$2:$AC$200,$G163)&gt;0,
     COUNTIFS($AD$2:$AD$200,$G163)&gt;0,
     COUNTIFS($AE$2:$AE$200,$G163)&gt;0,
     COUNTIFS($AF$2:$AF$200,$G163)&gt;0,
     COUNTIFS($AG$2:$AG$200,$G163)&gt;0,
     COUNTIFS($AH$2:$AH$200,$G163)&gt;0,
     COUNTIFS($AI$2:$AI$200,$G163)&gt;0,
     COUNTIFS($AJ$2:$AJ$200,$G163)&gt;0,
     COUNTIFS($AK$2:$AK$200,$G163)&gt;0,
     COUNTIFS($AL$2:$AL$200,$G163)&gt;0,
     COUNTIFS($AM$2:$AM$200,$G163)&gt;0,
     COUNTIFS($AN$2:$AN$200,$G163)&gt;0,
     COUNTIFS($AO$2:$AO$200,$G163)&gt;0,
     COUNTIFS($AP$2:$AP$200,$G163)&gt;0,
     COUNTIFS($AQ$2:$AQ$200,$G163)&gt;0,
     COUNTIFS($AR$2:$AR$200,$G163)&gt;0,
     COUNTIFS($AS$2:$AS$200,$G163)&gt;0,
     COUNTIFS($AT$2:$AT$200,$G163)&gt;0,
     COUNTIFS($AU$2:$AU$200,$G163)&gt;0,
     COUNTIFS($AV$2:$AV$200,$G163)&gt;0,
     COUNTIFS($AW$2:$AW$200,$G163)&gt;0,
     COUNTIFS($AX$2:$AX$200,$G163)&gt;0
   )),
  ),
  4
 ),
"")</f>
        <v/>
      </c>
      <c r="G163" t="str">
        <f ca="1"/>
        <v>Maddening Cacophony</v>
      </c>
      <c r="CB163" t="str">
        <f ca="1"/>
        <v>Zagoth Triome</v>
      </c>
      <c r="CG163" t="str">
        <f ca="1"/>
        <v>Saw in Half</v>
      </c>
      <c r="CJ163" t="str">
        <f ca="1"/>
        <v>Maddening Cacophony</v>
      </c>
    </row>
    <row r="164" spans="1:88" x14ac:dyDescent="0.25">
      <c r="A164" s="3" t="str">
        <f t="shared" ca="1" si="6"/>
        <v>1</v>
      </c>
      <c r="B164" s="3">
        <f t="shared" ca="1" si="7"/>
        <v>1</v>
      </c>
      <c r="C164" s="3" t="str">
        <f ca="1">IFERROR(
 INDEX($U$1:$AX$1,
  MATCH(TRUE,
   CHOOSE({1;2;3;4;5;6;7;8;9;10;11;12;13;14;15;16;17;18;19;20;21;22;23;24;25;26;27;28;29;30;31;32},
    COUNTIFS($U$2:$U$200,$G164)&gt;0,
    COUNTIFS($V$2:$V$200,$G164)&gt;0,
    COUNTIFS($W$2:$W$200,$G164)&gt;0,
    COUNTIFS($X$2:$X$200,$G164)&gt;0,
    COUNTIFS($Y$2:$Y$200,$G164)&gt;0,
    COUNTIFS($Z$2:$Z$200,$G164)&gt;0,
    COUNTIFS($AA$2:$AA$200,$G164)&gt;0,
    COUNTIFS($AB$2:$AB$200,$G164)&gt;0,
    COUNTIFS($AC$2:$AC$200,$G164)&gt;0,
    COUNTIFS($AD$2:$AD$200,$G164)&gt;0,
    COUNTIFS($AE$2:$AE$200,$G164)&gt;0,
    COUNTIFS($AF$2:$AF$200,$G164)&gt;0,
    COUNTIFS($AG$2:$AG$200,$G164)&gt;0,
    COUNTIFS($AH$2:$AH$200,$G164)&gt;0,
    COUNTIFS($AI$2:$AI$200,$G164)&gt;0,
    COUNTIFS($AJ$2:$AJ$200,$G164)&gt;0,
    COUNTIFS($AK$2:$AK$200,$G164)&gt;0,
    COUNTIFS($AL$2:$AL$200,$G164)&gt;0,
    COUNTIFS($AM$2:$AM$200,$G164)&gt;0,
    COUNTIFS($AN$2:$AN$200,$G164)&gt;0,
    COUNTIFS($AO$2:$AO$200,$G164)&gt;0,
    COUNTIFS($AP$2:$AP$200,$G164)&gt;0,
    COUNTIFS($AQ$2:$AQ$200,$G164)&gt;0,
    COUNTIFS($AR$2:$AR$200,$G164)&gt;0,
    COUNTIFS($AS$2:$AS$200,$G164)&gt;0,
    COUNTIFS($AT$2:$AT$200,$G164)&gt;0,
    COUNTIFS($AU$2:$AU$200,$G164)&gt;0,
    COUNTIFS($AV$2:$AV$200,$G164)&gt;0,
    COUNTIFS($AW$2:$AW$200,$G164)&gt;0,
    COUNTIFS($AX$2:$AX$200,$G164)&gt;0
   ),
  0)
 ),
"")</f>
        <v>Tayam</v>
      </c>
      <c r="D164" s="3" t="str" cm="1">
        <f t="array" aca="1" ref="D164" ca="1">IFERROR(
 INDEX(
  _xlfn._xlws.FILTER($U$1:$AX$1,
   TRANSPOSE(
    CHOOSE({1;2;3;4;5;6;7;8;9;10;11;12;13;14;15;16;17;18;19;20;21;22;23;24;25;26;27;28;29;30},
     COUNTIFS($U$2:$U$200,$G164)&gt;0,
     COUNTIFS($V$2:$V$200,$G164)&gt;0,
     COUNTIFS($W$2:$W$200,$G164)&gt;0,
     COUNTIFS($X$2:$X$200,$G164)&gt;0,
     COUNTIFS($Y$2:$Y$200,$G164)&gt;0,
     COUNTIFS($Z$2:$Z$200,$G164)&gt;0,
     COUNTIFS($AA$2:$AA$200,$G164)&gt;0,
     COUNTIFS($AB$2:$AB$200,$G164)&gt;0,
     COUNTIFS($AC$2:$AC$200,$G164)&gt;0,
     COUNTIFS($AD$2:$AD$200,$G164)&gt;0,
     COUNTIFS($AE$2:$AE$200,$G164)&gt;0,
     COUNTIFS($AF$2:$AF$200,$G164)&gt;0,
     COUNTIFS($AG$2:$AG$200,$G164)&gt;0,
     COUNTIFS($AH$2:$AH$200,$G164)&gt;0,
     COUNTIFS($AI$2:$AI$200,$G164)&gt;0,
     COUNTIFS($AJ$2:$AJ$200,$G164)&gt;0,
     COUNTIFS($AK$2:$AK$200,$G164)&gt;0,
     COUNTIFS($AL$2:$AL$200,$G164)&gt;0,
     COUNTIFS($AM$2:$AM$200,$G164)&gt;0,
     COUNTIFS($AN$2:$AN$200,$G164)&gt;0,
     COUNTIFS($AO$2:$AO$200,$G164)&gt;0,
     COUNTIFS($AP$2:$AP$200,$G164)&gt;0,
     COUNTIFS($AQ$2:$AQ$200,$G164)&gt;0,
     COUNTIFS($AR$2:$AR$200,$G164)&gt;0,
     COUNTIFS($AS$2:$AS$200,$G164)&gt;0,
     COUNTIFS($AT$2:$AT$200,$G164)&gt;0,
     COUNTIFS($AU$2:$AU$200,$G164)&gt;0,
     COUNTIFS($AV$2:$AV$200,$G164)&gt;0,
     COUNTIFS($AW$2:$AW$200,$G164)&gt;0,
     COUNTIFS($AX$2:$AX$200,$G164)&gt;0
   )),
  ),
  2
 ),
"")</f>
        <v/>
      </c>
      <c r="E164" s="3" t="str" cm="1">
        <f t="array" aca="1" ref="E164" ca="1">IFERROR(
 INDEX(
  _xlfn._xlws.FILTER($U$1:$AX$1,
   TRANSPOSE(
    CHOOSE({1;2;3;4;5;6;7;8;9;10;11;12;13;14;15;16;17;18;19;20;21;22;23;24;25;26;27;28;29;30},
     COUNTIFS($U$2:$U$200,$G164)&gt;0,
     COUNTIFS($V$2:$V$200,$G164)&gt;0,
     COUNTIFS($W$2:$W$200,$G164)&gt;0,
     COUNTIFS($X$2:$X$200,$G164)&gt;0,
     COUNTIFS($Y$2:$Y$200,$G164)&gt;0,
     COUNTIFS($Z$2:$Z$200,$G164)&gt;0,
     COUNTIFS($AA$2:$AA$200,$G164)&gt;0,
     COUNTIFS($AB$2:$AB$200,$G164)&gt;0,
     COUNTIFS($AC$2:$AC$200,$G164)&gt;0,
     COUNTIFS($AD$2:$AD$200,$G164)&gt;0,
     COUNTIFS($AE$2:$AE$200,$G164)&gt;0,
     COUNTIFS($AF$2:$AF$200,$G164)&gt;0,
     COUNTIFS($AG$2:$AG$200,$G164)&gt;0,
     COUNTIFS($AH$2:$AH$200,$G164)&gt;0,
     COUNTIFS($AI$2:$AI$200,$G164)&gt;0,
     COUNTIFS($AJ$2:$AJ$200,$G164)&gt;0,
     COUNTIFS($AK$2:$AK$200,$G164)&gt;0,
     COUNTIFS($AL$2:$AL$200,$G164)&gt;0,
     COUNTIFS($AM$2:$AM$200,$G164)&gt;0,
     COUNTIFS($AN$2:$AN$200,$G164)&gt;0,
     COUNTIFS($AO$2:$AO$200,$G164)&gt;0,
     COUNTIFS($AP$2:$AP$200,$G164)&gt;0,
     COUNTIFS($AQ$2:$AQ$200,$G164)&gt;0,
     COUNTIFS($AR$2:$AR$200,$G164)&gt;0,
     COUNTIFS($AS$2:$AS$200,$G164)&gt;0,
     COUNTIFS($AT$2:$AT$200,$G164)&gt;0,
     COUNTIFS($AU$2:$AU$200,$G164)&gt;0,
     COUNTIFS($AV$2:$AV$200,$G164)&gt;0,
     COUNTIFS($AW$2:$AW$200,$G164)&gt;0,
     COUNTIFS($AX$2:$AX$200,$G164)&gt;0
   )),
  ),
  3
 ),
"")</f>
        <v/>
      </c>
      <c r="F164" s="3" t="str" cm="1">
        <f t="array" aca="1" ref="F164" ca="1">IFERROR(
 INDEX(
  _xlfn._xlws.FILTER($U$1:$AX$1,
   TRANSPOSE(
    CHOOSE({1;2;3;4;5;6;7;8;9;10;11;12;13;14;15;16;17;18;19;20;21;22;23;24;25;26;27;28;29;30},
     COUNTIFS($U$2:$U$200,$G164)&gt;0,
     COUNTIFS($V$2:$V$200,$G164)&gt;0,
     COUNTIFS($W$2:$W$200,$G164)&gt;0,
     COUNTIFS($X$2:$X$200,$G164)&gt;0,
     COUNTIFS($Y$2:$Y$200,$G164)&gt;0,
     COUNTIFS($Z$2:$Z$200,$G164)&gt;0,
     COUNTIFS($AA$2:$AA$200,$G164)&gt;0,
     COUNTIFS($AB$2:$AB$200,$G164)&gt;0,
     COUNTIFS($AC$2:$AC$200,$G164)&gt;0,
     COUNTIFS($AD$2:$AD$200,$G164)&gt;0,
     COUNTIFS($AE$2:$AE$200,$G164)&gt;0,
     COUNTIFS($AF$2:$AF$200,$G164)&gt;0,
     COUNTIFS($AG$2:$AG$200,$G164)&gt;0,
     COUNTIFS($AH$2:$AH$200,$G164)&gt;0,
     COUNTIFS($AI$2:$AI$200,$G164)&gt;0,
     COUNTIFS($AJ$2:$AJ$200,$G164)&gt;0,
     COUNTIFS($AK$2:$AK$200,$G164)&gt;0,
     COUNTIFS($AL$2:$AL$200,$G164)&gt;0,
     COUNTIFS($AM$2:$AM$200,$G164)&gt;0,
     COUNTIFS($AN$2:$AN$200,$G164)&gt;0,
     COUNTIFS($AO$2:$AO$200,$G164)&gt;0,
     COUNTIFS($AP$2:$AP$200,$G164)&gt;0,
     COUNTIFS($AQ$2:$AQ$200,$G164)&gt;0,
     COUNTIFS($AR$2:$AR$200,$G164)&gt;0,
     COUNTIFS($AS$2:$AS$200,$G164)&gt;0,
     COUNTIFS($AT$2:$AT$200,$G164)&gt;0,
     COUNTIFS($AU$2:$AU$200,$G164)&gt;0,
     COUNTIFS($AV$2:$AV$200,$G164)&gt;0,
     COUNTIFS($AW$2:$AW$200,$G164)&gt;0,
     COUNTIFS($AX$2:$AX$200,$G164)&gt;0
   )),
  ),
  4
 ),
"")</f>
        <v/>
      </c>
      <c r="G164" t="str">
        <f ca="1"/>
        <v>Maester Seymour</v>
      </c>
      <c r="CB164" t="str">
        <f ca="1"/>
        <v>Zellix, Sanity Flayer</v>
      </c>
      <c r="CG164" t="str">
        <f ca="1"/>
        <v>Scalding Tarn</v>
      </c>
      <c r="CJ164" t="str">
        <f ca="1"/>
        <v>Maester Seymour</v>
      </c>
    </row>
    <row r="165" spans="1:88" x14ac:dyDescent="0.25">
      <c r="A165" s="3" t="str">
        <f t="shared" ca="1" si="6"/>
        <v>1</v>
      </c>
      <c r="B165" s="3">
        <f t="shared" ca="1" si="7"/>
        <v>1</v>
      </c>
      <c r="C165" s="3" t="str">
        <f ca="1">IFERROR(
 INDEX($U$1:$AX$1,
  MATCH(TRUE,
   CHOOSE({1;2;3;4;5;6;7;8;9;10;11;12;13;14;15;16;17;18;19;20;21;22;23;24;25;26;27;28;29;30;31;32},
    COUNTIFS($U$2:$U$200,$G165)&gt;0,
    COUNTIFS($V$2:$V$200,$G165)&gt;0,
    COUNTIFS($W$2:$W$200,$G165)&gt;0,
    COUNTIFS($X$2:$X$200,$G165)&gt;0,
    COUNTIFS($Y$2:$Y$200,$G165)&gt;0,
    COUNTIFS($Z$2:$Z$200,$G165)&gt;0,
    COUNTIFS($AA$2:$AA$200,$G165)&gt;0,
    COUNTIFS($AB$2:$AB$200,$G165)&gt;0,
    COUNTIFS($AC$2:$AC$200,$G165)&gt;0,
    COUNTIFS($AD$2:$AD$200,$G165)&gt;0,
    COUNTIFS($AE$2:$AE$200,$G165)&gt;0,
    COUNTIFS($AF$2:$AF$200,$G165)&gt;0,
    COUNTIFS($AG$2:$AG$200,$G165)&gt;0,
    COUNTIFS($AH$2:$AH$200,$G165)&gt;0,
    COUNTIFS($AI$2:$AI$200,$G165)&gt;0,
    COUNTIFS($AJ$2:$AJ$200,$G165)&gt;0,
    COUNTIFS($AK$2:$AK$200,$G165)&gt;0,
    COUNTIFS($AL$2:$AL$200,$G165)&gt;0,
    COUNTIFS($AM$2:$AM$200,$G165)&gt;0,
    COUNTIFS($AN$2:$AN$200,$G165)&gt;0,
    COUNTIFS($AO$2:$AO$200,$G165)&gt;0,
    COUNTIFS($AP$2:$AP$200,$G165)&gt;0,
    COUNTIFS($AQ$2:$AQ$200,$G165)&gt;0,
    COUNTIFS($AR$2:$AR$200,$G165)&gt;0,
    COUNTIFS($AS$2:$AS$200,$G165)&gt;0,
    COUNTIFS($AT$2:$AT$200,$G165)&gt;0,
    COUNTIFS($AU$2:$AU$200,$G165)&gt;0,
    COUNTIFS($AV$2:$AV$200,$G165)&gt;0,
    COUNTIFS($AW$2:$AW$200,$G165)&gt;0,
    COUNTIFS($AX$2:$AX$200,$G165)&gt;0
   ),
  0)
 ),
"")</f>
        <v>Tayam</v>
      </c>
      <c r="D165" s="3" t="str" cm="1">
        <f t="array" aca="1" ref="D165" ca="1">IFERROR(
 INDEX(
  _xlfn._xlws.FILTER($U$1:$AX$1,
   TRANSPOSE(
    CHOOSE({1;2;3;4;5;6;7;8;9;10;11;12;13;14;15;16;17;18;19;20;21;22;23;24;25;26;27;28;29;30},
     COUNTIFS($U$2:$U$200,$G165)&gt;0,
     COUNTIFS($V$2:$V$200,$G165)&gt;0,
     COUNTIFS($W$2:$W$200,$G165)&gt;0,
     COUNTIFS($X$2:$X$200,$G165)&gt;0,
     COUNTIFS($Y$2:$Y$200,$G165)&gt;0,
     COUNTIFS($Z$2:$Z$200,$G165)&gt;0,
     COUNTIFS($AA$2:$AA$200,$G165)&gt;0,
     COUNTIFS($AB$2:$AB$200,$G165)&gt;0,
     COUNTIFS($AC$2:$AC$200,$G165)&gt;0,
     COUNTIFS($AD$2:$AD$200,$G165)&gt;0,
     COUNTIFS($AE$2:$AE$200,$G165)&gt;0,
     COUNTIFS($AF$2:$AF$200,$G165)&gt;0,
     COUNTIFS($AG$2:$AG$200,$G165)&gt;0,
     COUNTIFS($AH$2:$AH$200,$G165)&gt;0,
     COUNTIFS($AI$2:$AI$200,$G165)&gt;0,
     COUNTIFS($AJ$2:$AJ$200,$G165)&gt;0,
     COUNTIFS($AK$2:$AK$200,$G165)&gt;0,
     COUNTIFS($AL$2:$AL$200,$G165)&gt;0,
     COUNTIFS($AM$2:$AM$200,$G165)&gt;0,
     COUNTIFS($AN$2:$AN$200,$G165)&gt;0,
     COUNTIFS($AO$2:$AO$200,$G165)&gt;0,
     COUNTIFS($AP$2:$AP$200,$G165)&gt;0,
     COUNTIFS($AQ$2:$AQ$200,$G165)&gt;0,
     COUNTIFS($AR$2:$AR$200,$G165)&gt;0,
     COUNTIFS($AS$2:$AS$200,$G165)&gt;0,
     COUNTIFS($AT$2:$AT$200,$G165)&gt;0,
     COUNTIFS($AU$2:$AU$200,$G165)&gt;0,
     COUNTIFS($AV$2:$AV$200,$G165)&gt;0,
     COUNTIFS($AW$2:$AW$200,$G165)&gt;0,
     COUNTIFS($AX$2:$AX$200,$G165)&gt;0
   )),
  ),
  2
 ),
"")</f>
        <v/>
      </c>
      <c r="E165" s="3" t="str" cm="1">
        <f t="array" aca="1" ref="E165" ca="1">IFERROR(
 INDEX(
  _xlfn._xlws.FILTER($U$1:$AX$1,
   TRANSPOSE(
    CHOOSE({1;2;3;4;5;6;7;8;9;10;11;12;13;14;15;16;17;18;19;20;21;22;23;24;25;26;27;28;29;30},
     COUNTIFS($U$2:$U$200,$G165)&gt;0,
     COUNTIFS($V$2:$V$200,$G165)&gt;0,
     COUNTIFS($W$2:$W$200,$G165)&gt;0,
     COUNTIFS($X$2:$X$200,$G165)&gt;0,
     COUNTIFS($Y$2:$Y$200,$G165)&gt;0,
     COUNTIFS($Z$2:$Z$200,$G165)&gt;0,
     COUNTIFS($AA$2:$AA$200,$G165)&gt;0,
     COUNTIFS($AB$2:$AB$200,$G165)&gt;0,
     COUNTIFS($AC$2:$AC$200,$G165)&gt;0,
     COUNTIFS($AD$2:$AD$200,$G165)&gt;0,
     COUNTIFS($AE$2:$AE$200,$G165)&gt;0,
     COUNTIFS($AF$2:$AF$200,$G165)&gt;0,
     COUNTIFS($AG$2:$AG$200,$G165)&gt;0,
     COUNTIFS($AH$2:$AH$200,$G165)&gt;0,
     COUNTIFS($AI$2:$AI$200,$G165)&gt;0,
     COUNTIFS($AJ$2:$AJ$200,$G165)&gt;0,
     COUNTIFS($AK$2:$AK$200,$G165)&gt;0,
     COUNTIFS($AL$2:$AL$200,$G165)&gt;0,
     COUNTIFS($AM$2:$AM$200,$G165)&gt;0,
     COUNTIFS($AN$2:$AN$200,$G165)&gt;0,
     COUNTIFS($AO$2:$AO$200,$G165)&gt;0,
     COUNTIFS($AP$2:$AP$200,$G165)&gt;0,
     COUNTIFS($AQ$2:$AQ$200,$G165)&gt;0,
     COUNTIFS($AR$2:$AR$200,$G165)&gt;0,
     COUNTIFS($AS$2:$AS$200,$G165)&gt;0,
     COUNTIFS($AT$2:$AT$200,$G165)&gt;0,
     COUNTIFS($AU$2:$AU$200,$G165)&gt;0,
     COUNTIFS($AV$2:$AV$200,$G165)&gt;0,
     COUNTIFS($AW$2:$AW$200,$G165)&gt;0,
     COUNTIFS($AX$2:$AX$200,$G165)&gt;0
   )),
  ),
  3
 ),
"")</f>
        <v/>
      </c>
      <c r="F165" s="3" t="str" cm="1">
        <f t="array" aca="1" ref="F165" ca="1">IFERROR(
 INDEX(
  _xlfn._xlws.FILTER($U$1:$AX$1,
   TRANSPOSE(
    CHOOSE({1;2;3;4;5;6;7;8;9;10;11;12;13;14;15;16;17;18;19;20;21;22;23;24;25;26;27;28;29;30},
     COUNTIFS($U$2:$U$200,$G165)&gt;0,
     COUNTIFS($V$2:$V$200,$G165)&gt;0,
     COUNTIFS($W$2:$W$200,$G165)&gt;0,
     COUNTIFS($X$2:$X$200,$G165)&gt;0,
     COUNTIFS($Y$2:$Y$200,$G165)&gt;0,
     COUNTIFS($Z$2:$Z$200,$G165)&gt;0,
     COUNTIFS($AA$2:$AA$200,$G165)&gt;0,
     COUNTIFS($AB$2:$AB$200,$G165)&gt;0,
     COUNTIFS($AC$2:$AC$200,$G165)&gt;0,
     COUNTIFS($AD$2:$AD$200,$G165)&gt;0,
     COUNTIFS($AE$2:$AE$200,$G165)&gt;0,
     COUNTIFS($AF$2:$AF$200,$G165)&gt;0,
     COUNTIFS($AG$2:$AG$200,$G165)&gt;0,
     COUNTIFS($AH$2:$AH$200,$G165)&gt;0,
     COUNTIFS($AI$2:$AI$200,$G165)&gt;0,
     COUNTIFS($AJ$2:$AJ$200,$G165)&gt;0,
     COUNTIFS($AK$2:$AK$200,$G165)&gt;0,
     COUNTIFS($AL$2:$AL$200,$G165)&gt;0,
     COUNTIFS($AM$2:$AM$200,$G165)&gt;0,
     COUNTIFS($AN$2:$AN$200,$G165)&gt;0,
     COUNTIFS($AO$2:$AO$200,$G165)&gt;0,
     COUNTIFS($AP$2:$AP$200,$G165)&gt;0,
     COUNTIFS($AQ$2:$AQ$200,$G165)&gt;0,
     COUNTIFS($AR$2:$AR$200,$G165)&gt;0,
     COUNTIFS($AS$2:$AS$200,$G165)&gt;0,
     COUNTIFS($AT$2:$AT$200,$G165)&gt;0,
     COUNTIFS($AU$2:$AU$200,$G165)&gt;0,
     COUNTIFS($AV$2:$AV$200,$G165)&gt;0,
     COUNTIFS($AW$2:$AW$200,$G165)&gt;0,
     COUNTIFS($AX$2:$AX$200,$G165)&gt;0
   )),
  ),
  4
 ),
"")</f>
        <v/>
      </c>
      <c r="G165" t="str">
        <f ca="1"/>
        <v>Managorger Hydra</v>
      </c>
      <c r="CG165" t="str">
        <f ca="1"/>
        <v>Sea Gate Restoration</v>
      </c>
      <c r="CJ165" t="str">
        <f ca="1"/>
        <v>Managorger Hydra</v>
      </c>
    </row>
    <row r="166" spans="1:88" x14ac:dyDescent="0.25">
      <c r="A166" s="3" t="str">
        <f t="shared" ca="1" si="6"/>
        <v>4</v>
      </c>
      <c r="B166" s="3">
        <f t="shared" ca="1" si="7"/>
        <v>1</v>
      </c>
      <c r="C166" s="3" t="str">
        <f ca="1">IFERROR(
 INDEX($U$1:$AX$1,
  MATCH(TRUE,
   CHOOSE({1;2;3;4;5;6;7;8;9;10;11;12;13;14;15;16;17;18;19;20;21;22;23;24;25;26;27;28;29;30;31;32},
    COUNTIFS($U$2:$U$200,$G166)&gt;0,
    COUNTIFS($V$2:$V$200,$G166)&gt;0,
    COUNTIFS($W$2:$W$200,$G166)&gt;0,
    COUNTIFS($X$2:$X$200,$G166)&gt;0,
    COUNTIFS($Y$2:$Y$200,$G166)&gt;0,
    COUNTIFS($Z$2:$Z$200,$G166)&gt;0,
    COUNTIFS($AA$2:$AA$200,$G166)&gt;0,
    COUNTIFS($AB$2:$AB$200,$G166)&gt;0,
    COUNTIFS($AC$2:$AC$200,$G166)&gt;0,
    COUNTIFS($AD$2:$AD$200,$G166)&gt;0,
    COUNTIFS($AE$2:$AE$200,$G166)&gt;0,
    COUNTIFS($AF$2:$AF$200,$G166)&gt;0,
    COUNTIFS($AG$2:$AG$200,$G166)&gt;0,
    COUNTIFS($AH$2:$AH$200,$G166)&gt;0,
    COUNTIFS($AI$2:$AI$200,$G166)&gt;0,
    COUNTIFS($AJ$2:$AJ$200,$G166)&gt;0,
    COUNTIFS($AK$2:$AK$200,$G166)&gt;0,
    COUNTIFS($AL$2:$AL$200,$G166)&gt;0,
    COUNTIFS($AM$2:$AM$200,$G166)&gt;0,
    COUNTIFS($AN$2:$AN$200,$G166)&gt;0,
    COUNTIFS($AO$2:$AO$200,$G166)&gt;0,
    COUNTIFS($AP$2:$AP$200,$G166)&gt;0,
    COUNTIFS($AQ$2:$AQ$200,$G166)&gt;0,
    COUNTIFS($AR$2:$AR$200,$G166)&gt;0,
    COUNTIFS($AS$2:$AS$200,$G166)&gt;0,
    COUNTIFS($AT$2:$AT$200,$G166)&gt;0,
    COUNTIFS($AU$2:$AU$200,$G166)&gt;0,
    COUNTIFS($AV$2:$AV$200,$G166)&gt;0,
    COUNTIFS($AW$2:$AW$200,$G166)&gt;0,
    COUNTIFS($AX$2:$AX$200,$G166)&gt;0
   ),
  0)
 ),
"")</f>
        <v>VialIshai</v>
      </c>
      <c r="D166" s="3" t="str" cm="1">
        <f t="array" aca="1" ref="D166" ca="1">IFERROR(
 INDEX(
  _xlfn._xlws.FILTER($U$1:$AX$1,
   TRANSPOSE(
    CHOOSE({1;2;3;4;5;6;7;8;9;10;11;12;13;14;15;16;17;18;19;20;21;22;23;24;25;26;27;28;29;30},
     COUNTIFS($U$2:$U$200,$G166)&gt;0,
     COUNTIFS($V$2:$V$200,$G166)&gt;0,
     COUNTIFS($W$2:$W$200,$G166)&gt;0,
     COUNTIFS($X$2:$X$200,$G166)&gt;0,
     COUNTIFS($Y$2:$Y$200,$G166)&gt;0,
     COUNTIFS($Z$2:$Z$200,$G166)&gt;0,
     COUNTIFS($AA$2:$AA$200,$G166)&gt;0,
     COUNTIFS($AB$2:$AB$200,$G166)&gt;0,
     COUNTIFS($AC$2:$AC$200,$G166)&gt;0,
     COUNTIFS($AD$2:$AD$200,$G166)&gt;0,
     COUNTIFS($AE$2:$AE$200,$G166)&gt;0,
     COUNTIFS($AF$2:$AF$200,$G166)&gt;0,
     COUNTIFS($AG$2:$AG$200,$G166)&gt;0,
     COUNTIFS($AH$2:$AH$200,$G166)&gt;0,
     COUNTIFS($AI$2:$AI$200,$G166)&gt;0,
     COUNTIFS($AJ$2:$AJ$200,$G166)&gt;0,
     COUNTIFS($AK$2:$AK$200,$G166)&gt;0,
     COUNTIFS($AL$2:$AL$200,$G166)&gt;0,
     COUNTIFS($AM$2:$AM$200,$G166)&gt;0,
     COUNTIFS($AN$2:$AN$200,$G166)&gt;0,
     COUNTIFS($AO$2:$AO$200,$G166)&gt;0,
     COUNTIFS($AP$2:$AP$200,$G166)&gt;0,
     COUNTIFS($AQ$2:$AQ$200,$G166)&gt;0,
     COUNTIFS($AR$2:$AR$200,$G166)&gt;0,
     COUNTIFS($AS$2:$AS$200,$G166)&gt;0,
     COUNTIFS($AT$2:$AT$200,$G166)&gt;0,
     COUNTIFS($AU$2:$AU$200,$G166)&gt;0,
     COUNTIFS($AV$2:$AV$200,$G166)&gt;0,
     COUNTIFS($AW$2:$AW$200,$G166)&gt;0,
     COUNTIFS($AX$2:$AX$200,$G166)&gt;0
   )),
  ),
  2
 ),
"")</f>
        <v/>
      </c>
      <c r="E166" s="3" t="str" cm="1">
        <f t="array" aca="1" ref="E166" ca="1">IFERROR(
 INDEX(
  _xlfn._xlws.FILTER($U$1:$AX$1,
   TRANSPOSE(
    CHOOSE({1;2;3;4;5;6;7;8;9;10;11;12;13;14;15;16;17;18;19;20;21;22;23;24;25;26;27;28;29;30},
     COUNTIFS($U$2:$U$200,$G166)&gt;0,
     COUNTIFS($V$2:$V$200,$G166)&gt;0,
     COUNTIFS($W$2:$W$200,$G166)&gt;0,
     COUNTIFS($X$2:$X$200,$G166)&gt;0,
     COUNTIFS($Y$2:$Y$200,$G166)&gt;0,
     COUNTIFS($Z$2:$Z$200,$G166)&gt;0,
     COUNTIFS($AA$2:$AA$200,$G166)&gt;0,
     COUNTIFS($AB$2:$AB$200,$G166)&gt;0,
     COUNTIFS($AC$2:$AC$200,$G166)&gt;0,
     COUNTIFS($AD$2:$AD$200,$G166)&gt;0,
     COUNTIFS($AE$2:$AE$200,$G166)&gt;0,
     COUNTIFS($AF$2:$AF$200,$G166)&gt;0,
     COUNTIFS($AG$2:$AG$200,$G166)&gt;0,
     COUNTIFS($AH$2:$AH$200,$G166)&gt;0,
     COUNTIFS($AI$2:$AI$200,$G166)&gt;0,
     COUNTIFS($AJ$2:$AJ$200,$G166)&gt;0,
     COUNTIFS($AK$2:$AK$200,$G166)&gt;0,
     COUNTIFS($AL$2:$AL$200,$G166)&gt;0,
     COUNTIFS($AM$2:$AM$200,$G166)&gt;0,
     COUNTIFS($AN$2:$AN$200,$G166)&gt;0,
     COUNTIFS($AO$2:$AO$200,$G166)&gt;0,
     COUNTIFS($AP$2:$AP$200,$G166)&gt;0,
     COUNTIFS($AQ$2:$AQ$200,$G166)&gt;0,
     COUNTIFS($AR$2:$AR$200,$G166)&gt;0,
     COUNTIFS($AS$2:$AS$200,$G166)&gt;0,
     COUNTIFS($AT$2:$AT$200,$G166)&gt;0,
     COUNTIFS($AU$2:$AU$200,$G166)&gt;0,
     COUNTIFS($AV$2:$AV$200,$G166)&gt;0,
     COUNTIFS($AW$2:$AW$200,$G166)&gt;0,
     COUNTIFS($AX$2:$AX$200,$G166)&gt;0
   )),
  ),
  3
 ),
"")</f>
        <v/>
      </c>
      <c r="F166" s="3" t="str" cm="1">
        <f t="array" aca="1" ref="F166" ca="1">IFERROR(
 INDEX(
  _xlfn._xlws.FILTER($U$1:$AX$1,
   TRANSPOSE(
    CHOOSE({1;2;3;4;5;6;7;8;9;10;11;12;13;14;15;16;17;18;19;20;21;22;23;24;25;26;27;28;29;30},
     COUNTIFS($U$2:$U$200,$G166)&gt;0,
     COUNTIFS($V$2:$V$200,$G166)&gt;0,
     COUNTIFS($W$2:$W$200,$G166)&gt;0,
     COUNTIFS($X$2:$X$200,$G166)&gt;0,
     COUNTIFS($Y$2:$Y$200,$G166)&gt;0,
     COUNTIFS($Z$2:$Z$200,$G166)&gt;0,
     COUNTIFS($AA$2:$AA$200,$G166)&gt;0,
     COUNTIFS($AB$2:$AB$200,$G166)&gt;0,
     COUNTIFS($AC$2:$AC$200,$G166)&gt;0,
     COUNTIFS($AD$2:$AD$200,$G166)&gt;0,
     COUNTIFS($AE$2:$AE$200,$G166)&gt;0,
     COUNTIFS($AF$2:$AF$200,$G166)&gt;0,
     COUNTIFS($AG$2:$AG$200,$G166)&gt;0,
     COUNTIFS($AH$2:$AH$200,$G166)&gt;0,
     COUNTIFS($AI$2:$AI$200,$G166)&gt;0,
     COUNTIFS($AJ$2:$AJ$200,$G166)&gt;0,
     COUNTIFS($AK$2:$AK$200,$G166)&gt;0,
     COUNTIFS($AL$2:$AL$200,$G166)&gt;0,
     COUNTIFS($AM$2:$AM$200,$G166)&gt;0,
     COUNTIFS($AN$2:$AN$200,$G166)&gt;0,
     COUNTIFS($AO$2:$AO$200,$G166)&gt;0,
     COUNTIFS($AP$2:$AP$200,$G166)&gt;0,
     COUNTIFS($AQ$2:$AQ$200,$G166)&gt;0,
     COUNTIFS($AR$2:$AR$200,$G166)&gt;0,
     COUNTIFS($AS$2:$AS$200,$G166)&gt;0,
     COUNTIFS($AT$2:$AT$200,$G166)&gt;0,
     COUNTIFS($AU$2:$AU$200,$G166)&gt;0,
     COUNTIFS($AV$2:$AV$200,$G166)&gt;0,
     COUNTIFS($AW$2:$AW$200,$G166)&gt;0,
     COUNTIFS($AX$2:$AX$200,$G166)&gt;0
   )),
  ),
  4
 ),
"")</f>
        <v/>
      </c>
      <c r="G166" t="str">
        <f ca="1"/>
        <v>Mandate of Peace</v>
      </c>
      <c r="CG166" t="str">
        <f ca="1"/>
        <v>Sea of Clouds</v>
      </c>
      <c r="CJ166" t="str">
        <f ca="1"/>
        <v>Mandate of Peace</v>
      </c>
    </row>
    <row r="167" spans="1:88" x14ac:dyDescent="0.25">
      <c r="A167" s="3" t="str">
        <f t="shared" ca="1" si="6"/>
        <v>2</v>
      </c>
      <c r="B167" s="3">
        <f t="shared" ca="1" si="7"/>
        <v>1</v>
      </c>
      <c r="C167" s="3" t="str">
        <f ca="1">IFERROR(
 INDEX($U$1:$AX$1,
  MATCH(TRUE,
   CHOOSE({1;2;3;4;5;6;7;8;9;10;11;12;13;14;15;16;17;18;19;20;21;22;23;24;25;26;27;28;29;30;31;32},
    COUNTIFS($U$2:$U$200,$G167)&gt;0,
    COUNTIFS($V$2:$V$200,$G167)&gt;0,
    COUNTIFS($W$2:$W$200,$G167)&gt;0,
    COUNTIFS($X$2:$X$200,$G167)&gt;0,
    COUNTIFS($Y$2:$Y$200,$G167)&gt;0,
    COUNTIFS($Z$2:$Z$200,$G167)&gt;0,
    COUNTIFS($AA$2:$AA$200,$G167)&gt;0,
    COUNTIFS($AB$2:$AB$200,$G167)&gt;0,
    COUNTIFS($AC$2:$AC$200,$G167)&gt;0,
    COUNTIFS($AD$2:$AD$200,$G167)&gt;0,
    COUNTIFS($AE$2:$AE$200,$G167)&gt;0,
    COUNTIFS($AF$2:$AF$200,$G167)&gt;0,
    COUNTIFS($AG$2:$AG$200,$G167)&gt;0,
    COUNTIFS($AH$2:$AH$200,$G167)&gt;0,
    COUNTIFS($AI$2:$AI$200,$G167)&gt;0,
    COUNTIFS($AJ$2:$AJ$200,$G167)&gt;0,
    COUNTIFS($AK$2:$AK$200,$G167)&gt;0,
    COUNTIFS($AL$2:$AL$200,$G167)&gt;0,
    COUNTIFS($AM$2:$AM$200,$G167)&gt;0,
    COUNTIFS($AN$2:$AN$200,$G167)&gt;0,
    COUNTIFS($AO$2:$AO$200,$G167)&gt;0,
    COUNTIFS($AP$2:$AP$200,$G167)&gt;0,
    COUNTIFS($AQ$2:$AQ$200,$G167)&gt;0,
    COUNTIFS($AR$2:$AR$200,$G167)&gt;0,
    COUNTIFS($AS$2:$AS$200,$G167)&gt;0,
    COUNTIFS($AT$2:$AT$200,$G167)&gt;0,
    COUNTIFS($AU$2:$AU$200,$G167)&gt;0,
    COUNTIFS($AV$2:$AV$200,$G167)&gt;0,
    COUNTIFS($AW$2:$AW$200,$G167)&gt;0,
    COUNTIFS($AX$2:$AX$200,$G167)&gt;0
   ),
  0)
 ),
"")</f>
        <v>Baylen</v>
      </c>
      <c r="D167" s="3" t="str" cm="1">
        <f t="array" aca="1" ref="D167" ca="1">IFERROR(
 INDEX(
  _xlfn._xlws.FILTER($U$1:$AX$1,
   TRANSPOSE(
    CHOOSE({1;2;3;4;5;6;7;8;9;10;11;12;13;14;15;16;17;18;19;20;21;22;23;24;25;26;27;28;29;30},
     COUNTIFS($U$2:$U$200,$G167)&gt;0,
     COUNTIFS($V$2:$V$200,$G167)&gt;0,
     COUNTIFS($W$2:$W$200,$G167)&gt;0,
     COUNTIFS($X$2:$X$200,$G167)&gt;0,
     COUNTIFS($Y$2:$Y$200,$G167)&gt;0,
     COUNTIFS($Z$2:$Z$200,$G167)&gt;0,
     COUNTIFS($AA$2:$AA$200,$G167)&gt;0,
     COUNTIFS($AB$2:$AB$200,$G167)&gt;0,
     COUNTIFS($AC$2:$AC$200,$G167)&gt;0,
     COUNTIFS($AD$2:$AD$200,$G167)&gt;0,
     COUNTIFS($AE$2:$AE$200,$G167)&gt;0,
     COUNTIFS($AF$2:$AF$200,$G167)&gt;0,
     COUNTIFS($AG$2:$AG$200,$G167)&gt;0,
     COUNTIFS($AH$2:$AH$200,$G167)&gt;0,
     COUNTIFS($AI$2:$AI$200,$G167)&gt;0,
     COUNTIFS($AJ$2:$AJ$200,$G167)&gt;0,
     COUNTIFS($AK$2:$AK$200,$G167)&gt;0,
     COUNTIFS($AL$2:$AL$200,$G167)&gt;0,
     COUNTIFS($AM$2:$AM$200,$G167)&gt;0,
     COUNTIFS($AN$2:$AN$200,$G167)&gt;0,
     COUNTIFS($AO$2:$AO$200,$G167)&gt;0,
     COUNTIFS($AP$2:$AP$200,$G167)&gt;0,
     COUNTIFS($AQ$2:$AQ$200,$G167)&gt;0,
     COUNTIFS($AR$2:$AR$200,$G167)&gt;0,
     COUNTIFS($AS$2:$AS$200,$G167)&gt;0,
     COUNTIFS($AT$2:$AT$200,$G167)&gt;0,
     COUNTIFS($AU$2:$AU$200,$G167)&gt;0,
     COUNTIFS($AV$2:$AV$200,$G167)&gt;0,
     COUNTIFS($AW$2:$AW$200,$G167)&gt;0,
     COUNTIFS($AX$2:$AX$200,$G167)&gt;0
   )),
  ),
  2
 ),
"")</f>
        <v/>
      </c>
      <c r="E167" s="3" t="str" cm="1">
        <f t="array" aca="1" ref="E167" ca="1">IFERROR(
 INDEX(
  _xlfn._xlws.FILTER($U$1:$AX$1,
   TRANSPOSE(
    CHOOSE({1;2;3;4;5;6;7;8;9;10;11;12;13;14;15;16;17;18;19;20;21;22;23;24;25;26;27;28;29;30},
     COUNTIFS($U$2:$U$200,$G167)&gt;0,
     COUNTIFS($V$2:$V$200,$G167)&gt;0,
     COUNTIFS($W$2:$W$200,$G167)&gt;0,
     COUNTIFS($X$2:$X$200,$G167)&gt;0,
     COUNTIFS($Y$2:$Y$200,$G167)&gt;0,
     COUNTIFS($Z$2:$Z$200,$G167)&gt;0,
     COUNTIFS($AA$2:$AA$200,$G167)&gt;0,
     COUNTIFS($AB$2:$AB$200,$G167)&gt;0,
     COUNTIFS($AC$2:$AC$200,$G167)&gt;0,
     COUNTIFS($AD$2:$AD$200,$G167)&gt;0,
     COUNTIFS($AE$2:$AE$200,$G167)&gt;0,
     COUNTIFS($AF$2:$AF$200,$G167)&gt;0,
     COUNTIFS($AG$2:$AG$200,$G167)&gt;0,
     COUNTIFS($AH$2:$AH$200,$G167)&gt;0,
     COUNTIFS($AI$2:$AI$200,$G167)&gt;0,
     COUNTIFS($AJ$2:$AJ$200,$G167)&gt;0,
     COUNTIFS($AK$2:$AK$200,$G167)&gt;0,
     COUNTIFS($AL$2:$AL$200,$G167)&gt;0,
     COUNTIFS($AM$2:$AM$200,$G167)&gt;0,
     COUNTIFS($AN$2:$AN$200,$G167)&gt;0,
     COUNTIFS($AO$2:$AO$200,$G167)&gt;0,
     COUNTIFS($AP$2:$AP$200,$G167)&gt;0,
     COUNTIFS($AQ$2:$AQ$200,$G167)&gt;0,
     COUNTIFS($AR$2:$AR$200,$G167)&gt;0,
     COUNTIFS($AS$2:$AS$200,$G167)&gt;0,
     COUNTIFS($AT$2:$AT$200,$G167)&gt;0,
     COUNTIFS($AU$2:$AU$200,$G167)&gt;0,
     COUNTIFS($AV$2:$AV$200,$G167)&gt;0,
     COUNTIFS($AW$2:$AW$200,$G167)&gt;0,
     COUNTIFS($AX$2:$AX$200,$G167)&gt;0
   )),
  ),
  3
 ),
"")</f>
        <v/>
      </c>
      <c r="F167" s="3" t="str" cm="1">
        <f t="array" aca="1" ref="F167" ca="1">IFERROR(
 INDEX(
  _xlfn._xlws.FILTER($U$1:$AX$1,
   TRANSPOSE(
    CHOOSE({1;2;3;4;5;6;7;8;9;10;11;12;13;14;15;16;17;18;19;20;21;22;23;24;25;26;27;28;29;30},
     COUNTIFS($U$2:$U$200,$G167)&gt;0,
     COUNTIFS($V$2:$V$200,$G167)&gt;0,
     COUNTIFS($W$2:$W$200,$G167)&gt;0,
     COUNTIFS($X$2:$X$200,$G167)&gt;0,
     COUNTIFS($Y$2:$Y$200,$G167)&gt;0,
     COUNTIFS($Z$2:$Z$200,$G167)&gt;0,
     COUNTIFS($AA$2:$AA$200,$G167)&gt;0,
     COUNTIFS($AB$2:$AB$200,$G167)&gt;0,
     COUNTIFS($AC$2:$AC$200,$G167)&gt;0,
     COUNTIFS($AD$2:$AD$200,$G167)&gt;0,
     COUNTIFS($AE$2:$AE$200,$G167)&gt;0,
     COUNTIFS($AF$2:$AF$200,$G167)&gt;0,
     COUNTIFS($AG$2:$AG$200,$G167)&gt;0,
     COUNTIFS($AH$2:$AH$200,$G167)&gt;0,
     COUNTIFS($AI$2:$AI$200,$G167)&gt;0,
     COUNTIFS($AJ$2:$AJ$200,$G167)&gt;0,
     COUNTIFS($AK$2:$AK$200,$G167)&gt;0,
     COUNTIFS($AL$2:$AL$200,$G167)&gt;0,
     COUNTIFS($AM$2:$AM$200,$G167)&gt;0,
     COUNTIFS($AN$2:$AN$200,$G167)&gt;0,
     COUNTIFS($AO$2:$AO$200,$G167)&gt;0,
     COUNTIFS($AP$2:$AP$200,$G167)&gt;0,
     COUNTIFS($AQ$2:$AQ$200,$G167)&gt;0,
     COUNTIFS($AR$2:$AR$200,$G167)&gt;0,
     COUNTIFS($AS$2:$AS$200,$G167)&gt;0,
     COUNTIFS($AT$2:$AT$200,$G167)&gt;0,
     COUNTIFS($AU$2:$AU$200,$G167)&gt;0,
     COUNTIFS($AV$2:$AV$200,$G167)&gt;0,
     COUNTIFS($AW$2:$AW$200,$G167)&gt;0,
     COUNTIFS($AX$2:$AX$200,$G167)&gt;0
   )),
  ),
  4
 ),
"")</f>
        <v/>
      </c>
      <c r="G167" t="str">
        <f ca="1"/>
        <v>Marcha dos Canonizados</v>
      </c>
      <c r="CG167" t="str">
        <f ca="1"/>
        <v>Seahunter</v>
      </c>
      <c r="CJ167" t="str">
        <f ca="1"/>
        <v>Marcha dos Canonizados</v>
      </c>
    </row>
    <row r="168" spans="1:88" x14ac:dyDescent="0.25">
      <c r="A168" s="3" t="str">
        <f t="shared" ca="1" si="6"/>
        <v>5</v>
      </c>
      <c r="B168" s="3">
        <f t="shared" ca="1" si="7"/>
        <v>1</v>
      </c>
      <c r="C168" s="3" t="str">
        <f ca="1">IFERROR(
 INDEX($U$1:$AX$1,
  MATCH(TRUE,
   CHOOSE({1;2;3;4;5;6;7;8;9;10;11;12;13;14;15;16;17;18;19;20;21;22;23;24;25;26;27;28;29;30;31;32},
    COUNTIFS($U$2:$U$200,$G168)&gt;0,
    COUNTIFS($V$2:$V$200,$G168)&gt;0,
    COUNTIFS($W$2:$W$200,$G168)&gt;0,
    COUNTIFS($X$2:$X$200,$G168)&gt;0,
    COUNTIFS($Y$2:$Y$200,$G168)&gt;0,
    COUNTIFS($Z$2:$Z$200,$G168)&gt;0,
    COUNTIFS($AA$2:$AA$200,$G168)&gt;0,
    COUNTIFS($AB$2:$AB$200,$G168)&gt;0,
    COUNTIFS($AC$2:$AC$200,$G168)&gt;0,
    COUNTIFS($AD$2:$AD$200,$G168)&gt;0,
    COUNTIFS($AE$2:$AE$200,$G168)&gt;0,
    COUNTIFS($AF$2:$AF$200,$G168)&gt;0,
    COUNTIFS($AG$2:$AG$200,$G168)&gt;0,
    COUNTIFS($AH$2:$AH$200,$G168)&gt;0,
    COUNTIFS($AI$2:$AI$200,$G168)&gt;0,
    COUNTIFS($AJ$2:$AJ$200,$G168)&gt;0,
    COUNTIFS($AK$2:$AK$200,$G168)&gt;0,
    COUNTIFS($AL$2:$AL$200,$G168)&gt;0,
    COUNTIFS($AM$2:$AM$200,$G168)&gt;0,
    COUNTIFS($AN$2:$AN$200,$G168)&gt;0,
    COUNTIFS($AO$2:$AO$200,$G168)&gt;0,
    COUNTIFS($AP$2:$AP$200,$G168)&gt;0,
    COUNTIFS($AQ$2:$AQ$200,$G168)&gt;0,
    COUNTIFS($AR$2:$AR$200,$G168)&gt;0,
    COUNTIFS($AS$2:$AS$200,$G168)&gt;0,
    COUNTIFS($AT$2:$AT$200,$G168)&gt;0,
    COUNTIFS($AU$2:$AU$200,$G168)&gt;0,
    COUNTIFS($AV$2:$AV$200,$G168)&gt;0,
    COUNTIFS($AW$2:$AW$200,$G168)&gt;0,
    COUNTIFS($AX$2:$AX$200,$G168)&gt;0
   ),
  0)
 ),
"")</f>
        <v>Thrakiri</v>
      </c>
      <c r="D168" s="3" t="str" cm="1">
        <f t="array" aca="1" ref="D168" ca="1">IFERROR(
 INDEX(
  _xlfn._xlws.FILTER($U$1:$AX$1,
   TRANSPOSE(
    CHOOSE({1;2;3;4;5;6;7;8;9;10;11;12;13;14;15;16;17;18;19;20;21;22;23;24;25;26;27;28;29;30},
     COUNTIFS($U$2:$U$200,$G168)&gt;0,
     COUNTIFS($V$2:$V$200,$G168)&gt;0,
     COUNTIFS($W$2:$W$200,$G168)&gt;0,
     COUNTIFS($X$2:$X$200,$G168)&gt;0,
     COUNTIFS($Y$2:$Y$200,$G168)&gt;0,
     COUNTIFS($Z$2:$Z$200,$G168)&gt;0,
     COUNTIFS($AA$2:$AA$200,$G168)&gt;0,
     COUNTIFS($AB$2:$AB$200,$G168)&gt;0,
     COUNTIFS($AC$2:$AC$200,$G168)&gt;0,
     COUNTIFS($AD$2:$AD$200,$G168)&gt;0,
     COUNTIFS($AE$2:$AE$200,$G168)&gt;0,
     COUNTIFS($AF$2:$AF$200,$G168)&gt;0,
     COUNTIFS($AG$2:$AG$200,$G168)&gt;0,
     COUNTIFS($AH$2:$AH$200,$G168)&gt;0,
     COUNTIFS($AI$2:$AI$200,$G168)&gt;0,
     COUNTIFS($AJ$2:$AJ$200,$G168)&gt;0,
     COUNTIFS($AK$2:$AK$200,$G168)&gt;0,
     COUNTIFS($AL$2:$AL$200,$G168)&gt;0,
     COUNTIFS($AM$2:$AM$200,$G168)&gt;0,
     COUNTIFS($AN$2:$AN$200,$G168)&gt;0,
     COUNTIFS($AO$2:$AO$200,$G168)&gt;0,
     COUNTIFS($AP$2:$AP$200,$G168)&gt;0,
     COUNTIFS($AQ$2:$AQ$200,$G168)&gt;0,
     COUNTIFS($AR$2:$AR$200,$G168)&gt;0,
     COUNTIFS($AS$2:$AS$200,$G168)&gt;0,
     COUNTIFS($AT$2:$AT$200,$G168)&gt;0,
     COUNTIFS($AU$2:$AU$200,$G168)&gt;0,
     COUNTIFS($AV$2:$AV$200,$G168)&gt;0,
     COUNTIFS($AW$2:$AW$200,$G168)&gt;0,
     COUNTIFS($AX$2:$AX$200,$G168)&gt;0
   )),
  ),
  2
 ),
"")</f>
        <v/>
      </c>
      <c r="E168" s="3" t="str" cm="1">
        <f t="array" aca="1" ref="E168" ca="1">IFERROR(
 INDEX(
  _xlfn._xlws.FILTER($U$1:$AX$1,
   TRANSPOSE(
    CHOOSE({1;2;3;4;5;6;7;8;9;10;11;12;13;14;15;16;17;18;19;20;21;22;23;24;25;26;27;28;29;30},
     COUNTIFS($U$2:$U$200,$G168)&gt;0,
     COUNTIFS($V$2:$V$200,$G168)&gt;0,
     COUNTIFS($W$2:$W$200,$G168)&gt;0,
     COUNTIFS($X$2:$X$200,$G168)&gt;0,
     COUNTIFS($Y$2:$Y$200,$G168)&gt;0,
     COUNTIFS($Z$2:$Z$200,$G168)&gt;0,
     COUNTIFS($AA$2:$AA$200,$G168)&gt;0,
     COUNTIFS($AB$2:$AB$200,$G168)&gt;0,
     COUNTIFS($AC$2:$AC$200,$G168)&gt;0,
     COUNTIFS($AD$2:$AD$200,$G168)&gt;0,
     COUNTIFS($AE$2:$AE$200,$G168)&gt;0,
     COUNTIFS($AF$2:$AF$200,$G168)&gt;0,
     COUNTIFS($AG$2:$AG$200,$G168)&gt;0,
     COUNTIFS($AH$2:$AH$200,$G168)&gt;0,
     COUNTIFS($AI$2:$AI$200,$G168)&gt;0,
     COUNTIFS($AJ$2:$AJ$200,$G168)&gt;0,
     COUNTIFS($AK$2:$AK$200,$G168)&gt;0,
     COUNTIFS($AL$2:$AL$200,$G168)&gt;0,
     COUNTIFS($AM$2:$AM$200,$G168)&gt;0,
     COUNTIFS($AN$2:$AN$200,$G168)&gt;0,
     COUNTIFS($AO$2:$AO$200,$G168)&gt;0,
     COUNTIFS($AP$2:$AP$200,$G168)&gt;0,
     COUNTIFS($AQ$2:$AQ$200,$G168)&gt;0,
     COUNTIFS($AR$2:$AR$200,$G168)&gt;0,
     COUNTIFS($AS$2:$AS$200,$G168)&gt;0,
     COUNTIFS($AT$2:$AT$200,$G168)&gt;0,
     COUNTIFS($AU$2:$AU$200,$G168)&gt;0,
     COUNTIFS($AV$2:$AV$200,$G168)&gt;0,
     COUNTIFS($AW$2:$AW$200,$G168)&gt;0,
     COUNTIFS($AX$2:$AX$200,$G168)&gt;0
   )),
  ),
  3
 ),
"")</f>
        <v/>
      </c>
      <c r="F168" s="3" t="str" cm="1">
        <f t="array" aca="1" ref="F168" ca="1">IFERROR(
 INDEX(
  _xlfn._xlws.FILTER($U$1:$AX$1,
   TRANSPOSE(
    CHOOSE({1;2;3;4;5;6;7;8;9;10;11;12;13;14;15;16;17;18;19;20;21;22;23;24;25;26;27;28;29;30},
     COUNTIFS($U$2:$U$200,$G168)&gt;0,
     COUNTIFS($V$2:$V$200,$G168)&gt;0,
     COUNTIFS($W$2:$W$200,$G168)&gt;0,
     COUNTIFS($X$2:$X$200,$G168)&gt;0,
     COUNTIFS($Y$2:$Y$200,$G168)&gt;0,
     COUNTIFS($Z$2:$Z$200,$G168)&gt;0,
     COUNTIFS($AA$2:$AA$200,$G168)&gt;0,
     COUNTIFS($AB$2:$AB$200,$G168)&gt;0,
     COUNTIFS($AC$2:$AC$200,$G168)&gt;0,
     COUNTIFS($AD$2:$AD$200,$G168)&gt;0,
     COUNTIFS($AE$2:$AE$200,$G168)&gt;0,
     COUNTIFS($AF$2:$AF$200,$G168)&gt;0,
     COUNTIFS($AG$2:$AG$200,$G168)&gt;0,
     COUNTIFS($AH$2:$AH$200,$G168)&gt;0,
     COUNTIFS($AI$2:$AI$200,$G168)&gt;0,
     COUNTIFS($AJ$2:$AJ$200,$G168)&gt;0,
     COUNTIFS($AK$2:$AK$200,$G168)&gt;0,
     COUNTIFS($AL$2:$AL$200,$G168)&gt;0,
     COUNTIFS($AM$2:$AM$200,$G168)&gt;0,
     COUNTIFS($AN$2:$AN$200,$G168)&gt;0,
     COUNTIFS($AO$2:$AO$200,$G168)&gt;0,
     COUNTIFS($AP$2:$AP$200,$G168)&gt;0,
     COUNTIFS($AQ$2:$AQ$200,$G168)&gt;0,
     COUNTIFS($AR$2:$AR$200,$G168)&gt;0,
     COUNTIFS($AS$2:$AS$200,$G168)&gt;0,
     COUNTIFS($AT$2:$AT$200,$G168)&gt;0,
     COUNTIFS($AU$2:$AU$200,$G168)&gt;0,
     COUNTIFS($AV$2:$AV$200,$G168)&gt;0,
     COUNTIFS($AW$2:$AW$200,$G168)&gt;0,
     COUNTIFS($AX$2:$AX$200,$G168)&gt;0
   )),
  ),
  4
 ),
"")</f>
        <v/>
      </c>
      <c r="G168" t="str">
        <f ca="1"/>
        <v>Matoya, Archon Elder</v>
      </c>
      <c r="CG168" t="str">
        <f ca="1"/>
        <v>Secluded Courtyard</v>
      </c>
      <c r="CJ168" t="str">
        <f ca="1"/>
        <v>Matoya, Archon Elder</v>
      </c>
    </row>
    <row r="169" spans="1:88" x14ac:dyDescent="0.25">
      <c r="A169" s="3" t="str">
        <f t="shared" ca="1" si="6"/>
        <v>2</v>
      </c>
      <c r="B169" s="3">
        <f t="shared" ca="1" si="7"/>
        <v>1</v>
      </c>
      <c r="C169" s="3" t="str">
        <f ca="1">IFERROR(
 INDEX($U$1:$AX$1,
  MATCH(TRUE,
   CHOOSE({1;2;3;4;5;6;7;8;9;10;11;12;13;14;15;16;17;18;19;20;21;22;23;24;25;26;27;28;29;30;31;32},
    COUNTIFS($U$2:$U$200,$G169)&gt;0,
    COUNTIFS($V$2:$V$200,$G169)&gt;0,
    COUNTIFS($W$2:$W$200,$G169)&gt;0,
    COUNTIFS($X$2:$X$200,$G169)&gt;0,
    COUNTIFS($Y$2:$Y$200,$G169)&gt;0,
    COUNTIFS($Z$2:$Z$200,$G169)&gt;0,
    COUNTIFS($AA$2:$AA$200,$G169)&gt;0,
    COUNTIFS($AB$2:$AB$200,$G169)&gt;0,
    COUNTIFS($AC$2:$AC$200,$G169)&gt;0,
    COUNTIFS($AD$2:$AD$200,$G169)&gt;0,
    COUNTIFS($AE$2:$AE$200,$G169)&gt;0,
    COUNTIFS($AF$2:$AF$200,$G169)&gt;0,
    COUNTIFS($AG$2:$AG$200,$G169)&gt;0,
    COUNTIFS($AH$2:$AH$200,$G169)&gt;0,
    COUNTIFS($AI$2:$AI$200,$G169)&gt;0,
    COUNTIFS($AJ$2:$AJ$200,$G169)&gt;0,
    COUNTIFS($AK$2:$AK$200,$G169)&gt;0,
    COUNTIFS($AL$2:$AL$200,$G169)&gt;0,
    COUNTIFS($AM$2:$AM$200,$G169)&gt;0,
    COUNTIFS($AN$2:$AN$200,$G169)&gt;0,
    COUNTIFS($AO$2:$AO$200,$G169)&gt;0,
    COUNTIFS($AP$2:$AP$200,$G169)&gt;0,
    COUNTIFS($AQ$2:$AQ$200,$G169)&gt;0,
    COUNTIFS($AR$2:$AR$200,$G169)&gt;0,
    COUNTIFS($AS$2:$AS$200,$G169)&gt;0,
    COUNTIFS($AT$2:$AT$200,$G169)&gt;0,
    COUNTIFS($AU$2:$AU$200,$G169)&gt;0,
    COUNTIFS($AV$2:$AV$200,$G169)&gt;0,
    COUNTIFS($AW$2:$AW$200,$G169)&gt;0,
    COUNTIFS($AX$2:$AX$200,$G169)&gt;0
   ),
  0)
 ),
"")</f>
        <v>Narset</v>
      </c>
      <c r="D169" s="3" t="str" cm="1">
        <f t="array" aca="1" ref="D169" ca="1">IFERROR(
 INDEX(
  _xlfn._xlws.FILTER($U$1:$AX$1,
   TRANSPOSE(
    CHOOSE({1;2;3;4;5;6;7;8;9;10;11;12;13;14;15;16;17;18;19;20;21;22;23;24;25;26;27;28;29;30},
     COUNTIFS($U$2:$U$200,$G169)&gt;0,
     COUNTIFS($V$2:$V$200,$G169)&gt;0,
     COUNTIFS($W$2:$W$200,$G169)&gt;0,
     COUNTIFS($X$2:$X$200,$G169)&gt;0,
     COUNTIFS($Y$2:$Y$200,$G169)&gt;0,
     COUNTIFS($Z$2:$Z$200,$G169)&gt;0,
     COUNTIFS($AA$2:$AA$200,$G169)&gt;0,
     COUNTIFS($AB$2:$AB$200,$G169)&gt;0,
     COUNTIFS($AC$2:$AC$200,$G169)&gt;0,
     COUNTIFS($AD$2:$AD$200,$G169)&gt;0,
     COUNTIFS($AE$2:$AE$200,$G169)&gt;0,
     COUNTIFS($AF$2:$AF$200,$G169)&gt;0,
     COUNTIFS($AG$2:$AG$200,$G169)&gt;0,
     COUNTIFS($AH$2:$AH$200,$G169)&gt;0,
     COUNTIFS($AI$2:$AI$200,$G169)&gt;0,
     COUNTIFS($AJ$2:$AJ$200,$G169)&gt;0,
     COUNTIFS($AK$2:$AK$200,$G169)&gt;0,
     COUNTIFS($AL$2:$AL$200,$G169)&gt;0,
     COUNTIFS($AM$2:$AM$200,$G169)&gt;0,
     COUNTIFS($AN$2:$AN$200,$G169)&gt;0,
     COUNTIFS($AO$2:$AO$200,$G169)&gt;0,
     COUNTIFS($AP$2:$AP$200,$G169)&gt;0,
     COUNTIFS($AQ$2:$AQ$200,$G169)&gt;0,
     COUNTIFS($AR$2:$AR$200,$G169)&gt;0,
     COUNTIFS($AS$2:$AS$200,$G169)&gt;0,
     COUNTIFS($AT$2:$AT$200,$G169)&gt;0,
     COUNTIFS($AU$2:$AU$200,$G169)&gt;0,
     COUNTIFS($AV$2:$AV$200,$G169)&gt;0,
     COUNTIFS($AW$2:$AW$200,$G169)&gt;0,
     COUNTIFS($AX$2:$AX$200,$G169)&gt;0
   )),
  ),
  2
 ),
"")</f>
        <v/>
      </c>
      <c r="E169" s="3" t="str" cm="1">
        <f t="array" aca="1" ref="E169" ca="1">IFERROR(
 INDEX(
  _xlfn._xlws.FILTER($U$1:$AX$1,
   TRANSPOSE(
    CHOOSE({1;2;3;4;5;6;7;8;9;10;11;12;13;14;15;16;17;18;19;20;21;22;23;24;25;26;27;28;29;30},
     COUNTIFS($U$2:$U$200,$G169)&gt;0,
     COUNTIFS($V$2:$V$200,$G169)&gt;0,
     COUNTIFS($W$2:$W$200,$G169)&gt;0,
     COUNTIFS($X$2:$X$200,$G169)&gt;0,
     COUNTIFS($Y$2:$Y$200,$G169)&gt;0,
     COUNTIFS($Z$2:$Z$200,$G169)&gt;0,
     COUNTIFS($AA$2:$AA$200,$G169)&gt;0,
     COUNTIFS($AB$2:$AB$200,$G169)&gt;0,
     COUNTIFS($AC$2:$AC$200,$G169)&gt;0,
     COUNTIFS($AD$2:$AD$200,$G169)&gt;0,
     COUNTIFS($AE$2:$AE$200,$G169)&gt;0,
     COUNTIFS($AF$2:$AF$200,$G169)&gt;0,
     COUNTIFS($AG$2:$AG$200,$G169)&gt;0,
     COUNTIFS($AH$2:$AH$200,$G169)&gt;0,
     COUNTIFS($AI$2:$AI$200,$G169)&gt;0,
     COUNTIFS($AJ$2:$AJ$200,$G169)&gt;0,
     COUNTIFS($AK$2:$AK$200,$G169)&gt;0,
     COUNTIFS($AL$2:$AL$200,$G169)&gt;0,
     COUNTIFS($AM$2:$AM$200,$G169)&gt;0,
     COUNTIFS($AN$2:$AN$200,$G169)&gt;0,
     COUNTIFS($AO$2:$AO$200,$G169)&gt;0,
     COUNTIFS($AP$2:$AP$200,$G169)&gt;0,
     COUNTIFS($AQ$2:$AQ$200,$G169)&gt;0,
     COUNTIFS($AR$2:$AR$200,$G169)&gt;0,
     COUNTIFS($AS$2:$AS$200,$G169)&gt;0,
     COUNTIFS($AT$2:$AT$200,$G169)&gt;0,
     COUNTIFS($AU$2:$AU$200,$G169)&gt;0,
     COUNTIFS($AV$2:$AV$200,$G169)&gt;0,
     COUNTIFS($AW$2:$AW$200,$G169)&gt;0,
     COUNTIFS($AX$2:$AX$200,$G169)&gt;0
   )),
  ),
  3
 ),
"")</f>
        <v/>
      </c>
      <c r="F169" s="3" t="str" cm="1">
        <f t="array" aca="1" ref="F169" ca="1">IFERROR(
 INDEX(
  _xlfn._xlws.FILTER($U$1:$AX$1,
   TRANSPOSE(
    CHOOSE({1;2;3;4;5;6;7;8;9;10;11;12;13;14;15;16;17;18;19;20;21;22;23;24;25;26;27;28;29;30},
     COUNTIFS($U$2:$U$200,$G169)&gt;0,
     COUNTIFS($V$2:$V$200,$G169)&gt;0,
     COUNTIFS($W$2:$W$200,$G169)&gt;0,
     COUNTIFS($X$2:$X$200,$G169)&gt;0,
     COUNTIFS($Y$2:$Y$200,$G169)&gt;0,
     COUNTIFS($Z$2:$Z$200,$G169)&gt;0,
     COUNTIFS($AA$2:$AA$200,$G169)&gt;0,
     COUNTIFS($AB$2:$AB$200,$G169)&gt;0,
     COUNTIFS($AC$2:$AC$200,$G169)&gt;0,
     COUNTIFS($AD$2:$AD$200,$G169)&gt;0,
     COUNTIFS($AE$2:$AE$200,$G169)&gt;0,
     COUNTIFS($AF$2:$AF$200,$G169)&gt;0,
     COUNTIFS($AG$2:$AG$200,$G169)&gt;0,
     COUNTIFS($AH$2:$AH$200,$G169)&gt;0,
     COUNTIFS($AI$2:$AI$200,$G169)&gt;0,
     COUNTIFS($AJ$2:$AJ$200,$G169)&gt;0,
     COUNTIFS($AK$2:$AK$200,$G169)&gt;0,
     COUNTIFS($AL$2:$AL$200,$G169)&gt;0,
     COUNTIFS($AM$2:$AM$200,$G169)&gt;0,
     COUNTIFS($AN$2:$AN$200,$G169)&gt;0,
     COUNTIFS($AO$2:$AO$200,$G169)&gt;0,
     COUNTIFS($AP$2:$AP$200,$G169)&gt;0,
     COUNTIFS($AQ$2:$AQ$200,$G169)&gt;0,
     COUNTIFS($AR$2:$AR$200,$G169)&gt;0,
     COUNTIFS($AS$2:$AS$200,$G169)&gt;0,
     COUNTIFS($AT$2:$AT$200,$G169)&gt;0,
     COUNTIFS($AU$2:$AU$200,$G169)&gt;0,
     COUNTIFS($AV$2:$AV$200,$G169)&gt;0,
     COUNTIFS($AW$2:$AW$200,$G169)&gt;0,
     COUNTIFS($AX$2:$AX$200,$G169)&gt;0
   )),
  ),
  4
 ),
"")</f>
        <v/>
      </c>
      <c r="G169" t="str">
        <f ca="1"/>
        <v>Memory Erosion</v>
      </c>
      <c r="CG169" t="str">
        <f ca="1"/>
        <v>Second Harvest</v>
      </c>
      <c r="CJ169" t="str">
        <f ca="1"/>
        <v>Memory Erosion</v>
      </c>
    </row>
    <row r="170" spans="1:88" x14ac:dyDescent="0.25">
      <c r="A170" s="3" t="str">
        <f t="shared" ca="1" si="6"/>
        <v>2</v>
      </c>
      <c r="B170" s="3">
        <f t="shared" ca="1" si="7"/>
        <v>1</v>
      </c>
      <c r="C170" s="3" t="str">
        <f ca="1">IFERROR(
 INDEX($U$1:$AX$1,
  MATCH(TRUE,
   CHOOSE({1;2;3;4;5;6;7;8;9;10;11;12;13;14;15;16;17;18;19;20;21;22;23;24;25;26;27;28;29;30;31;32},
    COUNTIFS($U$2:$U$200,$G170)&gt;0,
    COUNTIFS($V$2:$V$200,$G170)&gt;0,
    COUNTIFS($W$2:$W$200,$G170)&gt;0,
    COUNTIFS($X$2:$X$200,$G170)&gt;0,
    COUNTIFS($Y$2:$Y$200,$G170)&gt;0,
    COUNTIFS($Z$2:$Z$200,$G170)&gt;0,
    COUNTIFS($AA$2:$AA$200,$G170)&gt;0,
    COUNTIFS($AB$2:$AB$200,$G170)&gt;0,
    COUNTIFS($AC$2:$AC$200,$G170)&gt;0,
    COUNTIFS($AD$2:$AD$200,$G170)&gt;0,
    COUNTIFS($AE$2:$AE$200,$G170)&gt;0,
    COUNTIFS($AF$2:$AF$200,$G170)&gt;0,
    COUNTIFS($AG$2:$AG$200,$G170)&gt;0,
    COUNTIFS($AH$2:$AH$200,$G170)&gt;0,
    COUNTIFS($AI$2:$AI$200,$G170)&gt;0,
    COUNTIFS($AJ$2:$AJ$200,$G170)&gt;0,
    COUNTIFS($AK$2:$AK$200,$G170)&gt;0,
    COUNTIFS($AL$2:$AL$200,$G170)&gt;0,
    COUNTIFS($AM$2:$AM$200,$G170)&gt;0,
    COUNTIFS($AN$2:$AN$200,$G170)&gt;0,
    COUNTIFS($AO$2:$AO$200,$G170)&gt;0,
    COUNTIFS($AP$2:$AP$200,$G170)&gt;0,
    COUNTIFS($AQ$2:$AQ$200,$G170)&gt;0,
    COUNTIFS($AR$2:$AR$200,$G170)&gt;0,
    COUNTIFS($AS$2:$AS$200,$G170)&gt;0,
    COUNTIFS($AT$2:$AT$200,$G170)&gt;0,
    COUNTIFS($AU$2:$AU$200,$G170)&gt;0,
    COUNTIFS($AV$2:$AV$200,$G170)&gt;0,
    COUNTIFS($AW$2:$AW$200,$G170)&gt;0,
    COUNTIFS($AX$2:$AX$200,$G170)&gt;0
   ),
  0)
 ),
"")</f>
        <v>Kumena</v>
      </c>
      <c r="D170" s="3" t="str" cm="1">
        <f t="array" aca="1" ref="D170" ca="1">IFERROR(
 INDEX(
  _xlfn._xlws.FILTER($U$1:$AX$1,
   TRANSPOSE(
    CHOOSE({1;2;3;4;5;6;7;8;9;10;11;12;13;14;15;16;17;18;19;20;21;22;23;24;25;26;27;28;29;30},
     COUNTIFS($U$2:$U$200,$G170)&gt;0,
     COUNTIFS($V$2:$V$200,$G170)&gt;0,
     COUNTIFS($W$2:$W$200,$G170)&gt;0,
     COUNTIFS($X$2:$X$200,$G170)&gt;0,
     COUNTIFS($Y$2:$Y$200,$G170)&gt;0,
     COUNTIFS($Z$2:$Z$200,$G170)&gt;0,
     COUNTIFS($AA$2:$AA$200,$G170)&gt;0,
     COUNTIFS($AB$2:$AB$200,$G170)&gt;0,
     COUNTIFS($AC$2:$AC$200,$G170)&gt;0,
     COUNTIFS($AD$2:$AD$200,$G170)&gt;0,
     COUNTIFS($AE$2:$AE$200,$G170)&gt;0,
     COUNTIFS($AF$2:$AF$200,$G170)&gt;0,
     COUNTIFS($AG$2:$AG$200,$G170)&gt;0,
     COUNTIFS($AH$2:$AH$200,$G170)&gt;0,
     COUNTIFS($AI$2:$AI$200,$G170)&gt;0,
     COUNTIFS($AJ$2:$AJ$200,$G170)&gt;0,
     COUNTIFS($AK$2:$AK$200,$G170)&gt;0,
     COUNTIFS($AL$2:$AL$200,$G170)&gt;0,
     COUNTIFS($AM$2:$AM$200,$G170)&gt;0,
     COUNTIFS($AN$2:$AN$200,$G170)&gt;0,
     COUNTIFS($AO$2:$AO$200,$G170)&gt;0,
     COUNTIFS($AP$2:$AP$200,$G170)&gt;0,
     COUNTIFS($AQ$2:$AQ$200,$G170)&gt;0,
     COUNTIFS($AR$2:$AR$200,$G170)&gt;0,
     COUNTIFS($AS$2:$AS$200,$G170)&gt;0,
     COUNTIFS($AT$2:$AT$200,$G170)&gt;0,
     COUNTIFS($AU$2:$AU$200,$G170)&gt;0,
     COUNTIFS($AV$2:$AV$200,$G170)&gt;0,
     COUNTIFS($AW$2:$AW$200,$G170)&gt;0,
     COUNTIFS($AX$2:$AX$200,$G170)&gt;0
   )),
  ),
  2
 ),
"")</f>
        <v/>
      </c>
      <c r="E170" s="3" t="str" cm="1">
        <f t="array" aca="1" ref="E170" ca="1">IFERROR(
 INDEX(
  _xlfn._xlws.FILTER($U$1:$AX$1,
   TRANSPOSE(
    CHOOSE({1;2;3;4;5;6;7;8;9;10;11;12;13;14;15;16;17;18;19;20;21;22;23;24;25;26;27;28;29;30},
     COUNTIFS($U$2:$U$200,$G170)&gt;0,
     COUNTIFS($V$2:$V$200,$G170)&gt;0,
     COUNTIFS($W$2:$W$200,$G170)&gt;0,
     COUNTIFS($X$2:$X$200,$G170)&gt;0,
     COUNTIFS($Y$2:$Y$200,$G170)&gt;0,
     COUNTIFS($Z$2:$Z$200,$G170)&gt;0,
     COUNTIFS($AA$2:$AA$200,$G170)&gt;0,
     COUNTIFS($AB$2:$AB$200,$G170)&gt;0,
     COUNTIFS($AC$2:$AC$200,$G170)&gt;0,
     COUNTIFS($AD$2:$AD$200,$G170)&gt;0,
     COUNTIFS($AE$2:$AE$200,$G170)&gt;0,
     COUNTIFS($AF$2:$AF$200,$G170)&gt;0,
     COUNTIFS($AG$2:$AG$200,$G170)&gt;0,
     COUNTIFS($AH$2:$AH$200,$G170)&gt;0,
     COUNTIFS($AI$2:$AI$200,$G170)&gt;0,
     COUNTIFS($AJ$2:$AJ$200,$G170)&gt;0,
     COUNTIFS($AK$2:$AK$200,$G170)&gt;0,
     COUNTIFS($AL$2:$AL$200,$G170)&gt;0,
     COUNTIFS($AM$2:$AM$200,$G170)&gt;0,
     COUNTIFS($AN$2:$AN$200,$G170)&gt;0,
     COUNTIFS($AO$2:$AO$200,$G170)&gt;0,
     COUNTIFS($AP$2:$AP$200,$G170)&gt;0,
     COUNTIFS($AQ$2:$AQ$200,$G170)&gt;0,
     COUNTIFS($AR$2:$AR$200,$G170)&gt;0,
     COUNTIFS($AS$2:$AS$200,$G170)&gt;0,
     COUNTIFS($AT$2:$AT$200,$G170)&gt;0,
     COUNTIFS($AU$2:$AU$200,$G170)&gt;0,
     COUNTIFS($AV$2:$AV$200,$G170)&gt;0,
     COUNTIFS($AW$2:$AW$200,$G170)&gt;0,
     COUNTIFS($AX$2:$AX$200,$G170)&gt;0
   )),
  ),
  3
 ),
"")</f>
        <v/>
      </c>
      <c r="F170" s="3" t="str" cm="1">
        <f t="array" aca="1" ref="F170" ca="1">IFERROR(
 INDEX(
  _xlfn._xlws.FILTER($U$1:$AX$1,
   TRANSPOSE(
    CHOOSE({1;2;3;4;5;6;7;8;9;10;11;12;13;14;15;16;17;18;19;20;21;22;23;24;25;26;27;28;29;30},
     COUNTIFS($U$2:$U$200,$G170)&gt;0,
     COUNTIFS($V$2:$V$200,$G170)&gt;0,
     COUNTIFS($W$2:$W$200,$G170)&gt;0,
     COUNTIFS($X$2:$X$200,$G170)&gt;0,
     COUNTIFS($Y$2:$Y$200,$G170)&gt;0,
     COUNTIFS($Z$2:$Z$200,$G170)&gt;0,
     COUNTIFS($AA$2:$AA$200,$G170)&gt;0,
     COUNTIFS($AB$2:$AB$200,$G170)&gt;0,
     COUNTIFS($AC$2:$AC$200,$G170)&gt;0,
     COUNTIFS($AD$2:$AD$200,$G170)&gt;0,
     COUNTIFS($AE$2:$AE$200,$G170)&gt;0,
     COUNTIFS($AF$2:$AF$200,$G170)&gt;0,
     COUNTIFS($AG$2:$AG$200,$G170)&gt;0,
     COUNTIFS($AH$2:$AH$200,$G170)&gt;0,
     COUNTIFS($AI$2:$AI$200,$G170)&gt;0,
     COUNTIFS($AJ$2:$AJ$200,$G170)&gt;0,
     COUNTIFS($AK$2:$AK$200,$G170)&gt;0,
     COUNTIFS($AL$2:$AL$200,$G170)&gt;0,
     COUNTIFS($AM$2:$AM$200,$G170)&gt;0,
     COUNTIFS($AN$2:$AN$200,$G170)&gt;0,
     COUNTIFS($AO$2:$AO$200,$G170)&gt;0,
     COUNTIFS($AP$2:$AP$200,$G170)&gt;0,
     COUNTIFS($AQ$2:$AQ$200,$G170)&gt;0,
     COUNTIFS($AR$2:$AR$200,$G170)&gt;0,
     COUNTIFS($AS$2:$AS$200,$G170)&gt;0,
     COUNTIFS($AT$2:$AT$200,$G170)&gt;0,
     COUNTIFS($AU$2:$AU$200,$G170)&gt;0,
     COUNTIFS($AV$2:$AV$200,$G170)&gt;0,
     COUNTIFS($AW$2:$AW$200,$G170)&gt;0,
     COUNTIFS($AX$2:$AX$200,$G170)&gt;0
   )),
  ),
  4
 ),
"")</f>
        <v/>
      </c>
      <c r="G170" t="str">
        <f ca="1"/>
        <v>Merrow Commerce</v>
      </c>
      <c r="CG170" t="str">
        <f ca="1"/>
        <v>Seedborn Muse</v>
      </c>
      <c r="CJ170" t="str">
        <f ca="1"/>
        <v>Merrow Commerce</v>
      </c>
    </row>
    <row r="171" spans="1:88" x14ac:dyDescent="0.25">
      <c r="A171" s="3" t="str">
        <f t="shared" ca="1" si="6"/>
        <v>2</v>
      </c>
      <c r="B171" s="3">
        <f t="shared" ca="1" si="7"/>
        <v>1</v>
      </c>
      <c r="C171" s="3" t="str">
        <f ca="1">IFERROR(
 INDEX($U$1:$AX$1,
  MATCH(TRUE,
   CHOOSE({1;2;3;4;5;6;7;8;9;10;11;12;13;14;15;16;17;18;19;20;21;22;23;24;25;26;27;28;29;30;31;32},
    COUNTIFS($U$2:$U$200,$G171)&gt;0,
    COUNTIFS($V$2:$V$200,$G171)&gt;0,
    COUNTIFS($W$2:$W$200,$G171)&gt;0,
    COUNTIFS($X$2:$X$200,$G171)&gt;0,
    COUNTIFS($Y$2:$Y$200,$G171)&gt;0,
    COUNTIFS($Z$2:$Z$200,$G171)&gt;0,
    COUNTIFS($AA$2:$AA$200,$G171)&gt;0,
    COUNTIFS($AB$2:$AB$200,$G171)&gt;0,
    COUNTIFS($AC$2:$AC$200,$G171)&gt;0,
    COUNTIFS($AD$2:$AD$200,$G171)&gt;0,
    COUNTIFS($AE$2:$AE$200,$G171)&gt;0,
    COUNTIFS($AF$2:$AF$200,$G171)&gt;0,
    COUNTIFS($AG$2:$AG$200,$G171)&gt;0,
    COUNTIFS($AH$2:$AH$200,$G171)&gt;0,
    COUNTIFS($AI$2:$AI$200,$G171)&gt;0,
    COUNTIFS($AJ$2:$AJ$200,$G171)&gt;0,
    COUNTIFS($AK$2:$AK$200,$G171)&gt;0,
    COUNTIFS($AL$2:$AL$200,$G171)&gt;0,
    COUNTIFS($AM$2:$AM$200,$G171)&gt;0,
    COUNTIFS($AN$2:$AN$200,$G171)&gt;0,
    COUNTIFS($AO$2:$AO$200,$G171)&gt;0,
    COUNTIFS($AP$2:$AP$200,$G171)&gt;0,
    COUNTIFS($AQ$2:$AQ$200,$G171)&gt;0,
    COUNTIFS($AR$2:$AR$200,$G171)&gt;0,
    COUNTIFS($AS$2:$AS$200,$G171)&gt;0,
    COUNTIFS($AT$2:$AT$200,$G171)&gt;0,
    COUNTIFS($AU$2:$AU$200,$G171)&gt;0,
    COUNTIFS($AV$2:$AV$200,$G171)&gt;0,
    COUNTIFS($AW$2:$AW$200,$G171)&gt;0,
    COUNTIFS($AX$2:$AX$200,$G171)&gt;0
   ),
  0)
 ),
"")</f>
        <v>Kumena</v>
      </c>
      <c r="D171" s="3" t="str" cm="1">
        <f t="array" aca="1" ref="D171" ca="1">IFERROR(
 INDEX(
  _xlfn._xlws.FILTER($U$1:$AX$1,
   TRANSPOSE(
    CHOOSE({1;2;3;4;5;6;7;8;9;10;11;12;13;14;15;16;17;18;19;20;21;22;23;24;25;26;27;28;29;30},
     COUNTIFS($U$2:$U$200,$G171)&gt;0,
     COUNTIFS($V$2:$V$200,$G171)&gt;0,
     COUNTIFS($W$2:$W$200,$G171)&gt;0,
     COUNTIFS($X$2:$X$200,$G171)&gt;0,
     COUNTIFS($Y$2:$Y$200,$G171)&gt;0,
     COUNTIFS($Z$2:$Z$200,$G171)&gt;0,
     COUNTIFS($AA$2:$AA$200,$G171)&gt;0,
     COUNTIFS($AB$2:$AB$200,$G171)&gt;0,
     COUNTIFS($AC$2:$AC$200,$G171)&gt;0,
     COUNTIFS($AD$2:$AD$200,$G171)&gt;0,
     COUNTIFS($AE$2:$AE$200,$G171)&gt;0,
     COUNTIFS($AF$2:$AF$200,$G171)&gt;0,
     COUNTIFS($AG$2:$AG$200,$G171)&gt;0,
     COUNTIFS($AH$2:$AH$200,$G171)&gt;0,
     COUNTIFS($AI$2:$AI$200,$G171)&gt;0,
     COUNTIFS($AJ$2:$AJ$200,$G171)&gt;0,
     COUNTIFS($AK$2:$AK$200,$G171)&gt;0,
     COUNTIFS($AL$2:$AL$200,$G171)&gt;0,
     COUNTIFS($AM$2:$AM$200,$G171)&gt;0,
     COUNTIFS($AN$2:$AN$200,$G171)&gt;0,
     COUNTIFS($AO$2:$AO$200,$G171)&gt;0,
     COUNTIFS($AP$2:$AP$200,$G171)&gt;0,
     COUNTIFS($AQ$2:$AQ$200,$G171)&gt;0,
     COUNTIFS($AR$2:$AR$200,$G171)&gt;0,
     COUNTIFS($AS$2:$AS$200,$G171)&gt;0,
     COUNTIFS($AT$2:$AT$200,$G171)&gt;0,
     COUNTIFS($AU$2:$AU$200,$G171)&gt;0,
     COUNTIFS($AV$2:$AV$200,$G171)&gt;0,
     COUNTIFS($AW$2:$AW$200,$G171)&gt;0,
     COUNTIFS($AX$2:$AX$200,$G171)&gt;0
   )),
  ),
  2
 ),
"")</f>
        <v/>
      </c>
      <c r="E171" s="3" t="str" cm="1">
        <f t="array" aca="1" ref="E171" ca="1">IFERROR(
 INDEX(
  _xlfn._xlws.FILTER($U$1:$AX$1,
   TRANSPOSE(
    CHOOSE({1;2;3;4;5;6;7;8;9;10;11;12;13;14;15;16;17;18;19;20;21;22;23;24;25;26;27;28;29;30},
     COUNTIFS($U$2:$U$200,$G171)&gt;0,
     COUNTIFS($V$2:$V$200,$G171)&gt;0,
     COUNTIFS($W$2:$W$200,$G171)&gt;0,
     COUNTIFS($X$2:$X$200,$G171)&gt;0,
     COUNTIFS($Y$2:$Y$200,$G171)&gt;0,
     COUNTIFS($Z$2:$Z$200,$G171)&gt;0,
     COUNTIFS($AA$2:$AA$200,$G171)&gt;0,
     COUNTIFS($AB$2:$AB$200,$G171)&gt;0,
     COUNTIFS($AC$2:$AC$200,$G171)&gt;0,
     COUNTIFS($AD$2:$AD$200,$G171)&gt;0,
     COUNTIFS($AE$2:$AE$200,$G171)&gt;0,
     COUNTIFS($AF$2:$AF$200,$G171)&gt;0,
     COUNTIFS($AG$2:$AG$200,$G171)&gt;0,
     COUNTIFS($AH$2:$AH$200,$G171)&gt;0,
     COUNTIFS($AI$2:$AI$200,$G171)&gt;0,
     COUNTIFS($AJ$2:$AJ$200,$G171)&gt;0,
     COUNTIFS($AK$2:$AK$200,$G171)&gt;0,
     COUNTIFS($AL$2:$AL$200,$G171)&gt;0,
     COUNTIFS($AM$2:$AM$200,$G171)&gt;0,
     COUNTIFS($AN$2:$AN$200,$G171)&gt;0,
     COUNTIFS($AO$2:$AO$200,$G171)&gt;0,
     COUNTIFS($AP$2:$AP$200,$G171)&gt;0,
     COUNTIFS($AQ$2:$AQ$200,$G171)&gt;0,
     COUNTIFS($AR$2:$AR$200,$G171)&gt;0,
     COUNTIFS($AS$2:$AS$200,$G171)&gt;0,
     COUNTIFS($AT$2:$AT$200,$G171)&gt;0,
     COUNTIFS($AU$2:$AU$200,$G171)&gt;0,
     COUNTIFS($AV$2:$AV$200,$G171)&gt;0,
     COUNTIFS($AW$2:$AW$200,$G171)&gt;0,
     COUNTIFS($AX$2:$AX$200,$G171)&gt;0
   )),
  ),
  3
 ),
"")</f>
        <v/>
      </c>
      <c r="F171" s="3" t="str" cm="1">
        <f t="array" aca="1" ref="F171" ca="1">IFERROR(
 INDEX(
  _xlfn._xlws.FILTER($U$1:$AX$1,
   TRANSPOSE(
    CHOOSE({1;2;3;4;5;6;7;8;9;10;11;12;13;14;15;16;17;18;19;20;21;22;23;24;25;26;27;28;29;30},
     COUNTIFS($U$2:$U$200,$G171)&gt;0,
     COUNTIFS($V$2:$V$200,$G171)&gt;0,
     COUNTIFS($W$2:$W$200,$G171)&gt;0,
     COUNTIFS($X$2:$X$200,$G171)&gt;0,
     COUNTIFS($Y$2:$Y$200,$G171)&gt;0,
     COUNTIFS($Z$2:$Z$200,$G171)&gt;0,
     COUNTIFS($AA$2:$AA$200,$G171)&gt;0,
     COUNTIFS($AB$2:$AB$200,$G171)&gt;0,
     COUNTIFS($AC$2:$AC$200,$G171)&gt;0,
     COUNTIFS($AD$2:$AD$200,$G171)&gt;0,
     COUNTIFS($AE$2:$AE$200,$G171)&gt;0,
     COUNTIFS($AF$2:$AF$200,$G171)&gt;0,
     COUNTIFS($AG$2:$AG$200,$G171)&gt;0,
     COUNTIFS($AH$2:$AH$200,$G171)&gt;0,
     COUNTIFS($AI$2:$AI$200,$G171)&gt;0,
     COUNTIFS($AJ$2:$AJ$200,$G171)&gt;0,
     COUNTIFS($AK$2:$AK$200,$G171)&gt;0,
     COUNTIFS($AL$2:$AL$200,$G171)&gt;0,
     COUNTIFS($AM$2:$AM$200,$G171)&gt;0,
     COUNTIFS($AN$2:$AN$200,$G171)&gt;0,
     COUNTIFS($AO$2:$AO$200,$G171)&gt;0,
     COUNTIFS($AP$2:$AP$200,$G171)&gt;0,
     COUNTIFS($AQ$2:$AQ$200,$G171)&gt;0,
     COUNTIFS($AR$2:$AR$200,$G171)&gt;0,
     COUNTIFS($AS$2:$AS$200,$G171)&gt;0,
     COUNTIFS($AT$2:$AT$200,$G171)&gt;0,
     COUNTIFS($AU$2:$AU$200,$G171)&gt;0,
     COUNTIFS($AV$2:$AV$200,$G171)&gt;0,
     COUNTIFS($AW$2:$AW$200,$G171)&gt;0,
     COUNTIFS($AX$2:$AX$200,$G171)&gt;0
   )),
  ),
  4
 ),
"")</f>
        <v/>
      </c>
      <c r="G171" t="str">
        <f ca="1"/>
        <v>Merrow Harbinger</v>
      </c>
      <c r="CG171" t="str">
        <f ca="1"/>
        <v>Sevinne's Reclamation</v>
      </c>
      <c r="CJ171" t="str">
        <f ca="1"/>
        <v>Merrow Harbinger</v>
      </c>
    </row>
    <row r="172" spans="1:88" x14ac:dyDescent="0.25">
      <c r="A172" s="3" t="str">
        <f t="shared" ca="1" si="6"/>
        <v>2</v>
      </c>
      <c r="B172" s="3">
        <f t="shared" ca="1" si="7"/>
        <v>1</v>
      </c>
      <c r="C172" s="3" t="str">
        <f ca="1">IFERROR(
 INDEX($U$1:$AX$1,
  MATCH(TRUE,
   CHOOSE({1;2;3;4;5;6;7;8;9;10;11;12;13;14;15;16;17;18;19;20;21;22;23;24;25;26;27;28;29;30;31;32},
    COUNTIFS($U$2:$U$200,$G172)&gt;0,
    COUNTIFS($V$2:$V$200,$G172)&gt;0,
    COUNTIFS($W$2:$W$200,$G172)&gt;0,
    COUNTIFS($X$2:$X$200,$G172)&gt;0,
    COUNTIFS($Y$2:$Y$200,$G172)&gt;0,
    COUNTIFS($Z$2:$Z$200,$G172)&gt;0,
    COUNTIFS($AA$2:$AA$200,$G172)&gt;0,
    COUNTIFS($AB$2:$AB$200,$G172)&gt;0,
    COUNTIFS($AC$2:$AC$200,$G172)&gt;0,
    COUNTIFS($AD$2:$AD$200,$G172)&gt;0,
    COUNTIFS($AE$2:$AE$200,$G172)&gt;0,
    COUNTIFS($AF$2:$AF$200,$G172)&gt;0,
    COUNTIFS($AG$2:$AG$200,$G172)&gt;0,
    COUNTIFS($AH$2:$AH$200,$G172)&gt;0,
    COUNTIFS($AI$2:$AI$200,$G172)&gt;0,
    COUNTIFS($AJ$2:$AJ$200,$G172)&gt;0,
    COUNTIFS($AK$2:$AK$200,$G172)&gt;0,
    COUNTIFS($AL$2:$AL$200,$G172)&gt;0,
    COUNTIFS($AM$2:$AM$200,$G172)&gt;0,
    COUNTIFS($AN$2:$AN$200,$G172)&gt;0,
    COUNTIFS($AO$2:$AO$200,$G172)&gt;0,
    COUNTIFS($AP$2:$AP$200,$G172)&gt;0,
    COUNTIFS($AQ$2:$AQ$200,$G172)&gt;0,
    COUNTIFS($AR$2:$AR$200,$G172)&gt;0,
    COUNTIFS($AS$2:$AS$200,$G172)&gt;0,
    COUNTIFS($AT$2:$AT$200,$G172)&gt;0,
    COUNTIFS($AU$2:$AU$200,$G172)&gt;0,
    COUNTIFS($AV$2:$AV$200,$G172)&gt;0,
    COUNTIFS($AW$2:$AW$200,$G172)&gt;0,
    COUNTIFS($AX$2:$AX$200,$G172)&gt;0
   ),
  0)
 ),
"")</f>
        <v>Piratas</v>
      </c>
      <c r="D172" s="3" t="str" cm="1">
        <f t="array" aca="1" ref="D172" ca="1">IFERROR(
 INDEX(
  _xlfn._xlws.FILTER($U$1:$AX$1,
   TRANSPOSE(
    CHOOSE({1;2;3;4;5;6;7;8;9;10;11;12;13;14;15;16;17;18;19;20;21;22;23;24;25;26;27;28;29;30},
     COUNTIFS($U$2:$U$200,$G172)&gt;0,
     COUNTIFS($V$2:$V$200,$G172)&gt;0,
     COUNTIFS($W$2:$W$200,$G172)&gt;0,
     COUNTIFS($X$2:$X$200,$G172)&gt;0,
     COUNTIFS($Y$2:$Y$200,$G172)&gt;0,
     COUNTIFS($Z$2:$Z$200,$G172)&gt;0,
     COUNTIFS($AA$2:$AA$200,$G172)&gt;0,
     COUNTIFS($AB$2:$AB$200,$G172)&gt;0,
     COUNTIFS($AC$2:$AC$200,$G172)&gt;0,
     COUNTIFS($AD$2:$AD$200,$G172)&gt;0,
     COUNTIFS($AE$2:$AE$200,$G172)&gt;0,
     COUNTIFS($AF$2:$AF$200,$G172)&gt;0,
     COUNTIFS($AG$2:$AG$200,$G172)&gt;0,
     COUNTIFS($AH$2:$AH$200,$G172)&gt;0,
     COUNTIFS($AI$2:$AI$200,$G172)&gt;0,
     COUNTIFS($AJ$2:$AJ$200,$G172)&gt;0,
     COUNTIFS($AK$2:$AK$200,$G172)&gt;0,
     COUNTIFS($AL$2:$AL$200,$G172)&gt;0,
     COUNTIFS($AM$2:$AM$200,$G172)&gt;0,
     COUNTIFS($AN$2:$AN$200,$G172)&gt;0,
     COUNTIFS($AO$2:$AO$200,$G172)&gt;0,
     COUNTIFS($AP$2:$AP$200,$G172)&gt;0,
     COUNTIFS($AQ$2:$AQ$200,$G172)&gt;0,
     COUNTIFS($AR$2:$AR$200,$G172)&gt;0,
     COUNTIFS($AS$2:$AS$200,$G172)&gt;0,
     COUNTIFS($AT$2:$AT$200,$G172)&gt;0,
     COUNTIFS($AU$2:$AU$200,$G172)&gt;0,
     COUNTIFS($AV$2:$AV$200,$G172)&gt;0,
     COUNTIFS($AW$2:$AW$200,$G172)&gt;0,
     COUNTIFS($AX$2:$AX$200,$G172)&gt;0
   )),
  ),
  2
 ),
"")</f>
        <v/>
      </c>
      <c r="E172" s="3" t="str" cm="1">
        <f t="array" aca="1" ref="E172" ca="1">IFERROR(
 INDEX(
  _xlfn._xlws.FILTER($U$1:$AX$1,
   TRANSPOSE(
    CHOOSE({1;2;3;4;5;6;7;8;9;10;11;12;13;14;15;16;17;18;19;20;21;22;23;24;25;26;27;28;29;30},
     COUNTIFS($U$2:$U$200,$G172)&gt;0,
     COUNTIFS($V$2:$V$200,$G172)&gt;0,
     COUNTIFS($W$2:$W$200,$G172)&gt;0,
     COUNTIFS($X$2:$X$200,$G172)&gt;0,
     COUNTIFS($Y$2:$Y$200,$G172)&gt;0,
     COUNTIFS($Z$2:$Z$200,$G172)&gt;0,
     COUNTIFS($AA$2:$AA$200,$G172)&gt;0,
     COUNTIFS($AB$2:$AB$200,$G172)&gt;0,
     COUNTIFS($AC$2:$AC$200,$G172)&gt;0,
     COUNTIFS($AD$2:$AD$200,$G172)&gt;0,
     COUNTIFS($AE$2:$AE$200,$G172)&gt;0,
     COUNTIFS($AF$2:$AF$200,$G172)&gt;0,
     COUNTIFS($AG$2:$AG$200,$G172)&gt;0,
     COUNTIFS($AH$2:$AH$200,$G172)&gt;0,
     COUNTIFS($AI$2:$AI$200,$G172)&gt;0,
     COUNTIFS($AJ$2:$AJ$200,$G172)&gt;0,
     COUNTIFS($AK$2:$AK$200,$G172)&gt;0,
     COUNTIFS($AL$2:$AL$200,$G172)&gt;0,
     COUNTIFS($AM$2:$AM$200,$G172)&gt;0,
     COUNTIFS($AN$2:$AN$200,$G172)&gt;0,
     COUNTIFS($AO$2:$AO$200,$G172)&gt;0,
     COUNTIFS($AP$2:$AP$200,$G172)&gt;0,
     COUNTIFS($AQ$2:$AQ$200,$G172)&gt;0,
     COUNTIFS($AR$2:$AR$200,$G172)&gt;0,
     COUNTIFS($AS$2:$AS$200,$G172)&gt;0,
     COUNTIFS($AT$2:$AT$200,$G172)&gt;0,
     COUNTIFS($AU$2:$AU$200,$G172)&gt;0,
     COUNTIFS($AV$2:$AV$200,$G172)&gt;0,
     COUNTIFS($AW$2:$AW$200,$G172)&gt;0,
     COUNTIFS($AX$2:$AX$200,$G172)&gt;0
   )),
  ),
  3
 ),
"")</f>
        <v/>
      </c>
      <c r="F172" s="3" t="str" cm="1">
        <f t="array" aca="1" ref="F172" ca="1">IFERROR(
 INDEX(
  _xlfn._xlws.FILTER($U$1:$AX$1,
   TRANSPOSE(
    CHOOSE({1;2;3;4;5;6;7;8;9;10;11;12;13;14;15;16;17;18;19;20;21;22;23;24;25;26;27;28;29;30},
     COUNTIFS($U$2:$U$200,$G172)&gt;0,
     COUNTIFS($V$2:$V$200,$G172)&gt;0,
     COUNTIFS($W$2:$W$200,$G172)&gt;0,
     COUNTIFS($X$2:$X$200,$G172)&gt;0,
     COUNTIFS($Y$2:$Y$200,$G172)&gt;0,
     COUNTIFS($Z$2:$Z$200,$G172)&gt;0,
     COUNTIFS($AA$2:$AA$200,$G172)&gt;0,
     COUNTIFS($AB$2:$AB$200,$G172)&gt;0,
     COUNTIFS($AC$2:$AC$200,$G172)&gt;0,
     COUNTIFS($AD$2:$AD$200,$G172)&gt;0,
     COUNTIFS($AE$2:$AE$200,$G172)&gt;0,
     COUNTIFS($AF$2:$AF$200,$G172)&gt;0,
     COUNTIFS($AG$2:$AG$200,$G172)&gt;0,
     COUNTIFS($AH$2:$AH$200,$G172)&gt;0,
     COUNTIFS($AI$2:$AI$200,$G172)&gt;0,
     COUNTIFS($AJ$2:$AJ$200,$G172)&gt;0,
     COUNTIFS($AK$2:$AK$200,$G172)&gt;0,
     COUNTIFS($AL$2:$AL$200,$G172)&gt;0,
     COUNTIFS($AM$2:$AM$200,$G172)&gt;0,
     COUNTIFS($AN$2:$AN$200,$G172)&gt;0,
     COUNTIFS($AO$2:$AO$200,$G172)&gt;0,
     COUNTIFS($AP$2:$AP$200,$G172)&gt;0,
     COUNTIFS($AQ$2:$AQ$200,$G172)&gt;0,
     COUNTIFS($AR$2:$AR$200,$G172)&gt;0,
     COUNTIFS($AS$2:$AS$200,$G172)&gt;0,
     COUNTIFS($AT$2:$AT$200,$G172)&gt;0,
     COUNTIFS($AU$2:$AU$200,$G172)&gt;0,
     COUNTIFS($AV$2:$AV$200,$G172)&gt;0,
     COUNTIFS($AW$2:$AW$200,$G172)&gt;0,
     COUNTIFS($AX$2:$AX$200,$G172)&gt;0
   )),
  ),
  4
 ),
"")</f>
        <v/>
      </c>
      <c r="G172" t="str">
        <f ca="1"/>
        <v>Mines of Moria</v>
      </c>
      <c r="CG172" t="str">
        <f ca="1"/>
        <v>Shelinda, Yevon Acolyte</v>
      </c>
      <c r="CJ172" t="str">
        <f ca="1"/>
        <v>Mines of Moria</v>
      </c>
    </row>
    <row r="173" spans="1:88" x14ac:dyDescent="0.25">
      <c r="A173" s="3" t="str">
        <f t="shared" ca="1" si="6"/>
        <v>3</v>
      </c>
      <c r="B173" s="3">
        <f t="shared" ca="1" si="7"/>
        <v>1</v>
      </c>
      <c r="C173" s="3" t="str">
        <f ca="1">IFERROR(
 INDEX($U$1:$AX$1,
  MATCH(TRUE,
   CHOOSE({1;2;3;4;5;6;7;8;9;10;11;12;13;14;15;16;17;18;19;20;21;22;23;24;25;26;27;28;29;30;31;32},
    COUNTIFS($U$2:$U$200,$G173)&gt;0,
    COUNTIFS($V$2:$V$200,$G173)&gt;0,
    COUNTIFS($W$2:$W$200,$G173)&gt;0,
    COUNTIFS($X$2:$X$200,$G173)&gt;0,
    COUNTIFS($Y$2:$Y$200,$G173)&gt;0,
    COUNTIFS($Z$2:$Z$200,$G173)&gt;0,
    COUNTIFS($AA$2:$AA$200,$G173)&gt;0,
    COUNTIFS($AB$2:$AB$200,$G173)&gt;0,
    COUNTIFS($AC$2:$AC$200,$G173)&gt;0,
    COUNTIFS($AD$2:$AD$200,$G173)&gt;0,
    COUNTIFS($AE$2:$AE$200,$G173)&gt;0,
    COUNTIFS($AF$2:$AF$200,$G173)&gt;0,
    COUNTIFS($AG$2:$AG$200,$G173)&gt;0,
    COUNTIFS($AH$2:$AH$200,$G173)&gt;0,
    COUNTIFS($AI$2:$AI$200,$G173)&gt;0,
    COUNTIFS($AJ$2:$AJ$200,$G173)&gt;0,
    COUNTIFS($AK$2:$AK$200,$G173)&gt;0,
    COUNTIFS($AL$2:$AL$200,$G173)&gt;0,
    COUNTIFS($AM$2:$AM$200,$G173)&gt;0,
    COUNTIFS($AN$2:$AN$200,$G173)&gt;0,
    COUNTIFS($AO$2:$AO$200,$G173)&gt;0,
    COUNTIFS($AP$2:$AP$200,$G173)&gt;0,
    COUNTIFS($AQ$2:$AQ$200,$G173)&gt;0,
    COUNTIFS($AR$2:$AR$200,$G173)&gt;0,
    COUNTIFS($AS$2:$AS$200,$G173)&gt;0,
    COUNTIFS($AT$2:$AT$200,$G173)&gt;0,
    COUNTIFS($AU$2:$AU$200,$G173)&gt;0,
    COUNTIFS($AV$2:$AV$200,$G173)&gt;0,
    COUNTIFS($AW$2:$AW$200,$G173)&gt;0,
    COUNTIFS($AX$2:$AX$200,$G173)&gt;0
   ),
  0)
 ),
"")</f>
        <v>Muzzio</v>
      </c>
      <c r="D173" s="3" t="str" cm="1">
        <f t="array" aca="1" ref="D173" ca="1">IFERROR(
 INDEX(
  _xlfn._xlws.FILTER($U$1:$AX$1,
   TRANSPOSE(
    CHOOSE({1;2;3;4;5;6;7;8;9;10;11;12;13;14;15;16;17;18;19;20;21;22;23;24;25;26;27;28;29;30},
     COUNTIFS($U$2:$U$200,$G173)&gt;0,
     COUNTIFS($V$2:$V$200,$G173)&gt;0,
     COUNTIFS($W$2:$W$200,$G173)&gt;0,
     COUNTIFS($X$2:$X$200,$G173)&gt;0,
     COUNTIFS($Y$2:$Y$200,$G173)&gt;0,
     COUNTIFS($Z$2:$Z$200,$G173)&gt;0,
     COUNTIFS($AA$2:$AA$200,$G173)&gt;0,
     COUNTIFS($AB$2:$AB$200,$G173)&gt;0,
     COUNTIFS($AC$2:$AC$200,$G173)&gt;0,
     COUNTIFS($AD$2:$AD$200,$G173)&gt;0,
     COUNTIFS($AE$2:$AE$200,$G173)&gt;0,
     COUNTIFS($AF$2:$AF$200,$G173)&gt;0,
     COUNTIFS($AG$2:$AG$200,$G173)&gt;0,
     COUNTIFS($AH$2:$AH$200,$G173)&gt;0,
     COUNTIFS($AI$2:$AI$200,$G173)&gt;0,
     COUNTIFS($AJ$2:$AJ$200,$G173)&gt;0,
     COUNTIFS($AK$2:$AK$200,$G173)&gt;0,
     COUNTIFS($AL$2:$AL$200,$G173)&gt;0,
     COUNTIFS($AM$2:$AM$200,$G173)&gt;0,
     COUNTIFS($AN$2:$AN$200,$G173)&gt;0,
     COUNTIFS($AO$2:$AO$200,$G173)&gt;0,
     COUNTIFS($AP$2:$AP$200,$G173)&gt;0,
     COUNTIFS($AQ$2:$AQ$200,$G173)&gt;0,
     COUNTIFS($AR$2:$AR$200,$G173)&gt;0,
     COUNTIFS($AS$2:$AS$200,$G173)&gt;0,
     COUNTIFS($AT$2:$AT$200,$G173)&gt;0,
     COUNTIFS($AU$2:$AU$200,$G173)&gt;0,
     COUNTIFS($AV$2:$AV$200,$G173)&gt;0,
     COUNTIFS($AW$2:$AW$200,$G173)&gt;0,
     COUNTIFS($AX$2:$AX$200,$G173)&gt;0
   )),
  ),
  2
 ),
"")</f>
        <v/>
      </c>
      <c r="E173" s="3" t="str" cm="1">
        <f t="array" aca="1" ref="E173" ca="1">IFERROR(
 INDEX(
  _xlfn._xlws.FILTER($U$1:$AX$1,
   TRANSPOSE(
    CHOOSE({1;2;3;4;5;6;7;8;9;10;11;12;13;14;15;16;17;18;19;20;21;22;23;24;25;26;27;28;29;30},
     COUNTIFS($U$2:$U$200,$G173)&gt;0,
     COUNTIFS($V$2:$V$200,$G173)&gt;0,
     COUNTIFS($W$2:$W$200,$G173)&gt;0,
     COUNTIFS($X$2:$X$200,$G173)&gt;0,
     COUNTIFS($Y$2:$Y$200,$G173)&gt;0,
     COUNTIFS($Z$2:$Z$200,$G173)&gt;0,
     COUNTIFS($AA$2:$AA$200,$G173)&gt;0,
     COUNTIFS($AB$2:$AB$200,$G173)&gt;0,
     COUNTIFS($AC$2:$AC$200,$G173)&gt;0,
     COUNTIFS($AD$2:$AD$200,$G173)&gt;0,
     COUNTIFS($AE$2:$AE$200,$G173)&gt;0,
     COUNTIFS($AF$2:$AF$200,$G173)&gt;0,
     COUNTIFS($AG$2:$AG$200,$G173)&gt;0,
     COUNTIFS($AH$2:$AH$200,$G173)&gt;0,
     COUNTIFS($AI$2:$AI$200,$G173)&gt;0,
     COUNTIFS($AJ$2:$AJ$200,$G173)&gt;0,
     COUNTIFS($AK$2:$AK$200,$G173)&gt;0,
     COUNTIFS($AL$2:$AL$200,$G173)&gt;0,
     COUNTIFS($AM$2:$AM$200,$G173)&gt;0,
     COUNTIFS($AN$2:$AN$200,$G173)&gt;0,
     COUNTIFS($AO$2:$AO$200,$G173)&gt;0,
     COUNTIFS($AP$2:$AP$200,$G173)&gt;0,
     COUNTIFS($AQ$2:$AQ$200,$G173)&gt;0,
     COUNTIFS($AR$2:$AR$200,$G173)&gt;0,
     COUNTIFS($AS$2:$AS$200,$G173)&gt;0,
     COUNTIFS($AT$2:$AT$200,$G173)&gt;0,
     COUNTIFS($AU$2:$AU$200,$G173)&gt;0,
     COUNTIFS($AV$2:$AV$200,$G173)&gt;0,
     COUNTIFS($AW$2:$AW$200,$G173)&gt;0,
     COUNTIFS($AX$2:$AX$200,$G173)&gt;0
   )),
  ),
  3
 ),
"")</f>
        <v/>
      </c>
      <c r="F173" s="3" t="str" cm="1">
        <f t="array" aca="1" ref="F173" ca="1">IFERROR(
 INDEX(
  _xlfn._xlws.FILTER($U$1:$AX$1,
   TRANSPOSE(
    CHOOSE({1;2;3;4;5;6;7;8;9;10;11;12;13;14;15;16;17;18;19;20;21;22;23;24;25;26;27;28;29;30},
     COUNTIFS($U$2:$U$200,$G173)&gt;0,
     COUNTIFS($V$2:$V$200,$G173)&gt;0,
     COUNTIFS($W$2:$W$200,$G173)&gt;0,
     COUNTIFS($X$2:$X$200,$G173)&gt;0,
     COUNTIFS($Y$2:$Y$200,$G173)&gt;0,
     COUNTIFS($Z$2:$Z$200,$G173)&gt;0,
     COUNTIFS($AA$2:$AA$200,$G173)&gt;0,
     COUNTIFS($AB$2:$AB$200,$G173)&gt;0,
     COUNTIFS($AC$2:$AC$200,$G173)&gt;0,
     COUNTIFS($AD$2:$AD$200,$G173)&gt;0,
     COUNTIFS($AE$2:$AE$200,$G173)&gt;0,
     COUNTIFS($AF$2:$AF$200,$G173)&gt;0,
     COUNTIFS($AG$2:$AG$200,$G173)&gt;0,
     COUNTIFS($AH$2:$AH$200,$G173)&gt;0,
     COUNTIFS($AI$2:$AI$200,$G173)&gt;0,
     COUNTIFS($AJ$2:$AJ$200,$G173)&gt;0,
     COUNTIFS($AK$2:$AK$200,$G173)&gt;0,
     COUNTIFS($AL$2:$AL$200,$G173)&gt;0,
     COUNTIFS($AM$2:$AM$200,$G173)&gt;0,
     COUNTIFS($AN$2:$AN$200,$G173)&gt;0,
     COUNTIFS($AO$2:$AO$200,$G173)&gt;0,
     COUNTIFS($AP$2:$AP$200,$G173)&gt;0,
     COUNTIFS($AQ$2:$AQ$200,$G173)&gt;0,
     COUNTIFS($AR$2:$AR$200,$G173)&gt;0,
     COUNTIFS($AS$2:$AS$200,$G173)&gt;0,
     COUNTIFS($AT$2:$AT$200,$G173)&gt;0,
     COUNTIFS($AU$2:$AU$200,$G173)&gt;0,
     COUNTIFS($AV$2:$AV$200,$G173)&gt;0,
     COUNTIFS($AW$2:$AW$200,$G173)&gt;0,
     COUNTIFS($AX$2:$AX$200,$G173)&gt;0
   )),
  ),
  4
 ),
"")</f>
        <v/>
      </c>
      <c r="G173" t="str">
        <f ca="1"/>
        <v>Mirrex</v>
      </c>
      <c r="CG173" t="str">
        <f ca="1"/>
        <v>Shizo, Death's Storehouse</v>
      </c>
      <c r="CJ173" t="str">
        <f ca="1"/>
        <v>Mirrex</v>
      </c>
    </row>
    <row r="174" spans="1:88" x14ac:dyDescent="0.25">
      <c r="A174" s="3" t="str">
        <f t="shared" ca="1" si="6"/>
        <v>4</v>
      </c>
      <c r="B174" s="3">
        <f t="shared" ca="1" si="7"/>
        <v>1</v>
      </c>
      <c r="C174" s="3" t="str">
        <f ca="1">IFERROR(
 INDEX($U$1:$AX$1,
  MATCH(TRUE,
   CHOOSE({1;2;3;4;5;6;7;8;9;10;11;12;13;14;15;16;17;18;19;20;21;22;23;24;25;26;27;28;29;30;31;32},
    COUNTIFS($U$2:$U$200,$G174)&gt;0,
    COUNTIFS($V$2:$V$200,$G174)&gt;0,
    COUNTIFS($W$2:$W$200,$G174)&gt;0,
    COUNTIFS($X$2:$X$200,$G174)&gt;0,
    COUNTIFS($Y$2:$Y$200,$G174)&gt;0,
    COUNTIFS($Z$2:$Z$200,$G174)&gt;0,
    COUNTIFS($AA$2:$AA$200,$G174)&gt;0,
    COUNTIFS($AB$2:$AB$200,$G174)&gt;0,
    COUNTIFS($AC$2:$AC$200,$G174)&gt;0,
    COUNTIFS($AD$2:$AD$200,$G174)&gt;0,
    COUNTIFS($AE$2:$AE$200,$G174)&gt;0,
    COUNTIFS($AF$2:$AF$200,$G174)&gt;0,
    COUNTIFS($AG$2:$AG$200,$G174)&gt;0,
    COUNTIFS($AH$2:$AH$200,$G174)&gt;0,
    COUNTIFS($AI$2:$AI$200,$G174)&gt;0,
    COUNTIFS($AJ$2:$AJ$200,$G174)&gt;0,
    COUNTIFS($AK$2:$AK$200,$G174)&gt;0,
    COUNTIFS($AL$2:$AL$200,$G174)&gt;0,
    COUNTIFS($AM$2:$AM$200,$G174)&gt;0,
    COUNTIFS($AN$2:$AN$200,$G174)&gt;0,
    COUNTIFS($AO$2:$AO$200,$G174)&gt;0,
    COUNTIFS($AP$2:$AP$200,$G174)&gt;0,
    COUNTIFS($AQ$2:$AQ$200,$G174)&gt;0,
    COUNTIFS($AR$2:$AR$200,$G174)&gt;0,
    COUNTIFS($AS$2:$AS$200,$G174)&gt;0,
    COUNTIFS($AT$2:$AT$200,$G174)&gt;0,
    COUNTIFS($AU$2:$AU$200,$G174)&gt;0,
    COUNTIFS($AV$2:$AV$200,$G174)&gt;0,
    COUNTIFS($AW$2:$AW$200,$G174)&gt;0,
    COUNTIFS($AX$2:$AX$200,$G174)&gt;0
   ),
  0)
 ),
"")</f>
        <v>Inalla</v>
      </c>
      <c r="D174" s="3" t="str" cm="1">
        <f t="array" aca="1" ref="D174" ca="1">IFERROR(
 INDEX(
  _xlfn._xlws.FILTER($U$1:$AX$1,
   TRANSPOSE(
    CHOOSE({1;2;3;4;5;6;7;8;9;10;11;12;13;14;15;16;17;18;19;20;21;22;23;24;25;26;27;28;29;30},
     COUNTIFS($U$2:$U$200,$G174)&gt;0,
     COUNTIFS($V$2:$V$200,$G174)&gt;0,
     COUNTIFS($W$2:$W$200,$G174)&gt;0,
     COUNTIFS($X$2:$X$200,$G174)&gt;0,
     COUNTIFS($Y$2:$Y$200,$G174)&gt;0,
     COUNTIFS($Z$2:$Z$200,$G174)&gt;0,
     COUNTIFS($AA$2:$AA$200,$G174)&gt;0,
     COUNTIFS($AB$2:$AB$200,$G174)&gt;0,
     COUNTIFS($AC$2:$AC$200,$G174)&gt;0,
     COUNTIFS($AD$2:$AD$200,$G174)&gt;0,
     COUNTIFS($AE$2:$AE$200,$G174)&gt;0,
     COUNTIFS($AF$2:$AF$200,$G174)&gt;0,
     COUNTIFS($AG$2:$AG$200,$G174)&gt;0,
     COUNTIFS($AH$2:$AH$200,$G174)&gt;0,
     COUNTIFS($AI$2:$AI$200,$G174)&gt;0,
     COUNTIFS($AJ$2:$AJ$200,$G174)&gt;0,
     COUNTIFS($AK$2:$AK$200,$G174)&gt;0,
     COUNTIFS($AL$2:$AL$200,$G174)&gt;0,
     COUNTIFS($AM$2:$AM$200,$G174)&gt;0,
     COUNTIFS($AN$2:$AN$200,$G174)&gt;0,
     COUNTIFS($AO$2:$AO$200,$G174)&gt;0,
     COUNTIFS($AP$2:$AP$200,$G174)&gt;0,
     COUNTIFS($AQ$2:$AQ$200,$G174)&gt;0,
     COUNTIFS($AR$2:$AR$200,$G174)&gt;0,
     COUNTIFS($AS$2:$AS$200,$G174)&gt;0,
     COUNTIFS($AT$2:$AT$200,$G174)&gt;0,
     COUNTIFS($AU$2:$AU$200,$G174)&gt;0,
     COUNTIFS($AV$2:$AV$200,$G174)&gt;0,
     COUNTIFS($AW$2:$AW$200,$G174)&gt;0,
     COUNTIFS($AX$2:$AX$200,$G174)&gt;0
   )),
  ),
  2
 ),
"")</f>
        <v/>
      </c>
      <c r="E174" s="3" t="str" cm="1">
        <f t="array" aca="1" ref="E174" ca="1">IFERROR(
 INDEX(
  _xlfn._xlws.FILTER($U$1:$AX$1,
   TRANSPOSE(
    CHOOSE({1;2;3;4;5;6;7;8;9;10;11;12;13;14;15;16;17;18;19;20;21;22;23;24;25;26;27;28;29;30},
     COUNTIFS($U$2:$U$200,$G174)&gt;0,
     COUNTIFS($V$2:$V$200,$G174)&gt;0,
     COUNTIFS($W$2:$W$200,$G174)&gt;0,
     COUNTIFS($X$2:$X$200,$G174)&gt;0,
     COUNTIFS($Y$2:$Y$200,$G174)&gt;0,
     COUNTIFS($Z$2:$Z$200,$G174)&gt;0,
     COUNTIFS($AA$2:$AA$200,$G174)&gt;0,
     COUNTIFS($AB$2:$AB$200,$G174)&gt;0,
     COUNTIFS($AC$2:$AC$200,$G174)&gt;0,
     COUNTIFS($AD$2:$AD$200,$G174)&gt;0,
     COUNTIFS($AE$2:$AE$200,$G174)&gt;0,
     COUNTIFS($AF$2:$AF$200,$G174)&gt;0,
     COUNTIFS($AG$2:$AG$200,$G174)&gt;0,
     COUNTIFS($AH$2:$AH$200,$G174)&gt;0,
     COUNTIFS($AI$2:$AI$200,$G174)&gt;0,
     COUNTIFS($AJ$2:$AJ$200,$G174)&gt;0,
     COUNTIFS($AK$2:$AK$200,$G174)&gt;0,
     COUNTIFS($AL$2:$AL$200,$G174)&gt;0,
     COUNTIFS($AM$2:$AM$200,$G174)&gt;0,
     COUNTIFS($AN$2:$AN$200,$G174)&gt;0,
     COUNTIFS($AO$2:$AO$200,$G174)&gt;0,
     COUNTIFS($AP$2:$AP$200,$G174)&gt;0,
     COUNTIFS($AQ$2:$AQ$200,$G174)&gt;0,
     COUNTIFS($AR$2:$AR$200,$G174)&gt;0,
     COUNTIFS($AS$2:$AS$200,$G174)&gt;0,
     COUNTIFS($AT$2:$AT$200,$G174)&gt;0,
     COUNTIFS($AU$2:$AU$200,$G174)&gt;0,
     COUNTIFS($AV$2:$AV$200,$G174)&gt;0,
     COUNTIFS($AW$2:$AW$200,$G174)&gt;0,
     COUNTIFS($AX$2:$AX$200,$G174)&gt;0
   )),
  ),
  3
 ),
"")</f>
        <v/>
      </c>
      <c r="F174" s="3" t="str" cm="1">
        <f t="array" aca="1" ref="F174" ca="1">IFERROR(
 INDEX(
  _xlfn._xlws.FILTER($U$1:$AX$1,
   TRANSPOSE(
    CHOOSE({1;2;3;4;5;6;7;8;9;10;11;12;13;14;15;16;17;18;19;20;21;22;23;24;25;26;27;28;29;30},
     COUNTIFS($U$2:$U$200,$G174)&gt;0,
     COUNTIFS($V$2:$V$200,$G174)&gt;0,
     COUNTIFS($W$2:$W$200,$G174)&gt;0,
     COUNTIFS($X$2:$X$200,$G174)&gt;0,
     COUNTIFS($Y$2:$Y$200,$G174)&gt;0,
     COUNTIFS($Z$2:$Z$200,$G174)&gt;0,
     COUNTIFS($AA$2:$AA$200,$G174)&gt;0,
     COUNTIFS($AB$2:$AB$200,$G174)&gt;0,
     COUNTIFS($AC$2:$AC$200,$G174)&gt;0,
     COUNTIFS($AD$2:$AD$200,$G174)&gt;0,
     COUNTIFS($AE$2:$AE$200,$G174)&gt;0,
     COUNTIFS($AF$2:$AF$200,$G174)&gt;0,
     COUNTIFS($AG$2:$AG$200,$G174)&gt;0,
     COUNTIFS($AH$2:$AH$200,$G174)&gt;0,
     COUNTIFS($AI$2:$AI$200,$G174)&gt;0,
     COUNTIFS($AJ$2:$AJ$200,$G174)&gt;0,
     COUNTIFS($AK$2:$AK$200,$G174)&gt;0,
     COUNTIFS($AL$2:$AL$200,$G174)&gt;0,
     COUNTIFS($AM$2:$AM$200,$G174)&gt;0,
     COUNTIFS($AN$2:$AN$200,$G174)&gt;0,
     COUNTIFS($AO$2:$AO$200,$G174)&gt;0,
     COUNTIFS($AP$2:$AP$200,$G174)&gt;0,
     COUNTIFS($AQ$2:$AQ$200,$G174)&gt;0,
     COUNTIFS($AR$2:$AR$200,$G174)&gt;0,
     COUNTIFS($AS$2:$AS$200,$G174)&gt;0,
     COUNTIFS($AT$2:$AT$200,$G174)&gt;0,
     COUNTIFS($AU$2:$AU$200,$G174)&gt;0,
     COUNTIFS($AV$2:$AV$200,$G174)&gt;0,
     COUNTIFS($AW$2:$AW$200,$G174)&gt;0,
     COUNTIFS($AX$2:$AX$200,$G174)&gt;0
   )),
  ),
  4
 ),
"")</f>
        <v/>
      </c>
      <c r="G174" t="str">
        <f ca="1"/>
        <v>Mistbind Clique</v>
      </c>
      <c r="CG174" t="str">
        <f ca="1"/>
        <v>Shoot the Sheriff</v>
      </c>
      <c r="CJ174" t="str">
        <f ca="1"/>
        <v>Mistbind Clique</v>
      </c>
    </row>
    <row r="175" spans="1:88" x14ac:dyDescent="0.25">
      <c r="A175" s="3" t="str">
        <f t="shared" ca="1" si="6"/>
        <v>3</v>
      </c>
      <c r="B175" s="3">
        <f t="shared" ca="1" si="7"/>
        <v>2</v>
      </c>
      <c r="C175" s="3" t="str">
        <f ca="1">IFERROR(
 INDEX($U$1:$AX$1,
  MATCH(TRUE,
   CHOOSE({1;2;3;4;5;6;7;8;9;10;11;12;13;14;15;16;17;18;19;20;21;22;23;24;25;26;27;28;29;30;31;32},
    COUNTIFS($U$2:$U$200,$G175)&gt;0,
    COUNTIFS($V$2:$V$200,$G175)&gt;0,
    COUNTIFS($W$2:$W$200,$G175)&gt;0,
    COUNTIFS($X$2:$X$200,$G175)&gt;0,
    COUNTIFS($Y$2:$Y$200,$G175)&gt;0,
    COUNTIFS($Z$2:$Z$200,$G175)&gt;0,
    COUNTIFS($AA$2:$AA$200,$G175)&gt;0,
    COUNTIFS($AB$2:$AB$200,$G175)&gt;0,
    COUNTIFS($AC$2:$AC$200,$G175)&gt;0,
    COUNTIFS($AD$2:$AD$200,$G175)&gt;0,
    COUNTIFS($AE$2:$AE$200,$G175)&gt;0,
    COUNTIFS($AF$2:$AF$200,$G175)&gt;0,
    COUNTIFS($AG$2:$AG$200,$G175)&gt;0,
    COUNTIFS($AH$2:$AH$200,$G175)&gt;0,
    COUNTIFS($AI$2:$AI$200,$G175)&gt;0,
    COUNTIFS($AJ$2:$AJ$200,$G175)&gt;0,
    COUNTIFS($AK$2:$AK$200,$G175)&gt;0,
    COUNTIFS($AL$2:$AL$200,$G175)&gt;0,
    COUNTIFS($AM$2:$AM$200,$G175)&gt;0,
    COUNTIFS($AN$2:$AN$200,$G175)&gt;0,
    COUNTIFS($AO$2:$AO$200,$G175)&gt;0,
    COUNTIFS($AP$2:$AP$200,$G175)&gt;0,
    COUNTIFS($AQ$2:$AQ$200,$G175)&gt;0,
    COUNTIFS($AR$2:$AR$200,$G175)&gt;0,
    COUNTIFS($AS$2:$AS$200,$G175)&gt;0,
    COUNTIFS($AT$2:$AT$200,$G175)&gt;0,
    COUNTIFS($AU$2:$AU$200,$G175)&gt;0,
    COUNTIFS($AV$2:$AV$200,$G175)&gt;0,
    COUNTIFS($AW$2:$AW$200,$G175)&gt;0,
    COUNTIFS($AX$2:$AX$200,$G175)&gt;0
   ),
  0)
 ),
"")</f>
        <v>JhoiraB</v>
      </c>
      <c r="D175" s="3" t="str" cm="1">
        <f t="array" aca="1" ref="D175" ca="1">IFERROR(
 INDEX(
  _xlfn._xlws.FILTER($U$1:$AX$1,
   TRANSPOSE(
    CHOOSE({1;2;3;4;5;6;7;8;9;10;11;12;13;14;15;16;17;18;19;20;21;22;23;24;25;26;27;28;29;30},
     COUNTIFS($U$2:$U$200,$G175)&gt;0,
     COUNTIFS($V$2:$V$200,$G175)&gt;0,
     COUNTIFS($W$2:$W$200,$G175)&gt;0,
     COUNTIFS($X$2:$X$200,$G175)&gt;0,
     COUNTIFS($Y$2:$Y$200,$G175)&gt;0,
     COUNTIFS($Z$2:$Z$200,$G175)&gt;0,
     COUNTIFS($AA$2:$AA$200,$G175)&gt;0,
     COUNTIFS($AB$2:$AB$200,$G175)&gt;0,
     COUNTIFS($AC$2:$AC$200,$G175)&gt;0,
     COUNTIFS($AD$2:$AD$200,$G175)&gt;0,
     COUNTIFS($AE$2:$AE$200,$G175)&gt;0,
     COUNTIFS($AF$2:$AF$200,$G175)&gt;0,
     COUNTIFS($AG$2:$AG$200,$G175)&gt;0,
     COUNTIFS($AH$2:$AH$200,$G175)&gt;0,
     COUNTIFS($AI$2:$AI$200,$G175)&gt;0,
     COUNTIFS($AJ$2:$AJ$200,$G175)&gt;0,
     COUNTIFS($AK$2:$AK$200,$G175)&gt;0,
     COUNTIFS($AL$2:$AL$200,$G175)&gt;0,
     COUNTIFS($AM$2:$AM$200,$G175)&gt;0,
     COUNTIFS($AN$2:$AN$200,$G175)&gt;0,
     COUNTIFS($AO$2:$AO$200,$G175)&gt;0,
     COUNTIFS($AP$2:$AP$200,$G175)&gt;0,
     COUNTIFS($AQ$2:$AQ$200,$G175)&gt;0,
     COUNTIFS($AR$2:$AR$200,$G175)&gt;0,
     COUNTIFS($AS$2:$AS$200,$G175)&gt;0,
     COUNTIFS($AT$2:$AT$200,$G175)&gt;0,
     COUNTIFS($AU$2:$AU$200,$G175)&gt;0,
     COUNTIFS($AV$2:$AV$200,$G175)&gt;0,
     COUNTIFS($AW$2:$AW$200,$G175)&gt;0,
     COUNTIFS($AX$2:$AX$200,$G175)&gt;0
   )),
  ),
  2
 ),
"")</f>
        <v>Jhoira</v>
      </c>
      <c r="E175" s="3" t="str" cm="1">
        <f t="array" aca="1" ref="E175" ca="1">IFERROR(
 INDEX(
  _xlfn._xlws.FILTER($U$1:$AX$1,
   TRANSPOSE(
    CHOOSE({1;2;3;4;5;6;7;8;9;10;11;12;13;14;15;16;17;18;19;20;21;22;23;24;25;26;27;28;29;30},
     COUNTIFS($U$2:$U$200,$G175)&gt;0,
     COUNTIFS($V$2:$V$200,$G175)&gt;0,
     COUNTIFS($W$2:$W$200,$G175)&gt;0,
     COUNTIFS($X$2:$X$200,$G175)&gt;0,
     COUNTIFS($Y$2:$Y$200,$G175)&gt;0,
     COUNTIFS($Z$2:$Z$200,$G175)&gt;0,
     COUNTIFS($AA$2:$AA$200,$G175)&gt;0,
     COUNTIFS($AB$2:$AB$200,$G175)&gt;0,
     COUNTIFS($AC$2:$AC$200,$G175)&gt;0,
     COUNTIFS($AD$2:$AD$200,$G175)&gt;0,
     COUNTIFS($AE$2:$AE$200,$G175)&gt;0,
     COUNTIFS($AF$2:$AF$200,$G175)&gt;0,
     COUNTIFS($AG$2:$AG$200,$G175)&gt;0,
     COUNTIFS($AH$2:$AH$200,$G175)&gt;0,
     COUNTIFS($AI$2:$AI$200,$G175)&gt;0,
     COUNTIFS($AJ$2:$AJ$200,$G175)&gt;0,
     COUNTIFS($AK$2:$AK$200,$G175)&gt;0,
     COUNTIFS($AL$2:$AL$200,$G175)&gt;0,
     COUNTIFS($AM$2:$AM$200,$G175)&gt;0,
     COUNTIFS($AN$2:$AN$200,$G175)&gt;0,
     COUNTIFS($AO$2:$AO$200,$G175)&gt;0,
     COUNTIFS($AP$2:$AP$200,$G175)&gt;0,
     COUNTIFS($AQ$2:$AQ$200,$G175)&gt;0,
     COUNTIFS($AR$2:$AR$200,$G175)&gt;0,
     COUNTIFS($AS$2:$AS$200,$G175)&gt;0,
     COUNTIFS($AT$2:$AT$200,$G175)&gt;0,
     COUNTIFS($AU$2:$AU$200,$G175)&gt;0,
     COUNTIFS($AV$2:$AV$200,$G175)&gt;0,
     COUNTIFS($AW$2:$AW$200,$G175)&gt;0,
     COUNTIFS($AX$2:$AX$200,$G175)&gt;0
   )),
  ),
  3
 ),
"")</f>
        <v/>
      </c>
      <c r="F175" s="3" t="str" cm="1">
        <f t="array" aca="1" ref="F175" ca="1">IFERROR(
 INDEX(
  _xlfn._xlws.FILTER($U$1:$AX$1,
   TRANSPOSE(
    CHOOSE({1;2;3;4;5;6;7;8;9;10;11;12;13;14;15;16;17;18;19;20;21;22;23;24;25;26;27;28;29;30},
     COUNTIFS($U$2:$U$200,$G175)&gt;0,
     COUNTIFS($V$2:$V$200,$G175)&gt;0,
     COUNTIFS($W$2:$W$200,$G175)&gt;0,
     COUNTIFS($X$2:$X$200,$G175)&gt;0,
     COUNTIFS($Y$2:$Y$200,$G175)&gt;0,
     COUNTIFS($Z$2:$Z$200,$G175)&gt;0,
     COUNTIFS($AA$2:$AA$200,$G175)&gt;0,
     COUNTIFS($AB$2:$AB$200,$G175)&gt;0,
     COUNTIFS($AC$2:$AC$200,$G175)&gt;0,
     COUNTIFS($AD$2:$AD$200,$G175)&gt;0,
     COUNTIFS($AE$2:$AE$200,$G175)&gt;0,
     COUNTIFS($AF$2:$AF$200,$G175)&gt;0,
     COUNTIFS($AG$2:$AG$200,$G175)&gt;0,
     COUNTIFS($AH$2:$AH$200,$G175)&gt;0,
     COUNTIFS($AI$2:$AI$200,$G175)&gt;0,
     COUNTIFS($AJ$2:$AJ$200,$G175)&gt;0,
     COUNTIFS($AK$2:$AK$200,$G175)&gt;0,
     COUNTIFS($AL$2:$AL$200,$G175)&gt;0,
     COUNTIFS($AM$2:$AM$200,$G175)&gt;0,
     COUNTIFS($AN$2:$AN$200,$G175)&gt;0,
     COUNTIFS($AO$2:$AO$200,$G175)&gt;0,
     COUNTIFS($AP$2:$AP$200,$G175)&gt;0,
     COUNTIFS($AQ$2:$AQ$200,$G175)&gt;0,
     COUNTIFS($AR$2:$AR$200,$G175)&gt;0,
     COUNTIFS($AS$2:$AS$200,$G175)&gt;0,
     COUNTIFS($AT$2:$AT$200,$G175)&gt;0,
     COUNTIFS($AU$2:$AU$200,$G175)&gt;0,
     COUNTIFS($AV$2:$AV$200,$G175)&gt;0,
     COUNTIFS($AW$2:$AW$200,$G175)&gt;0,
     COUNTIFS($AX$2:$AX$200,$G175)&gt;0
   )),
  ),
  4
 ),
"")</f>
        <v/>
      </c>
      <c r="G175" t="str">
        <f ca="1"/>
        <v>Mistrise Village</v>
      </c>
      <c r="CG175" t="str">
        <f ca="1"/>
        <v>Simic Charm</v>
      </c>
      <c r="CJ175" t="str">
        <f ca="1"/>
        <v>Mistrise Village</v>
      </c>
    </row>
    <row r="176" spans="1:88" x14ac:dyDescent="0.25">
      <c r="A176" s="3" t="str">
        <f t="shared" ca="1" si="6"/>
        <v>3</v>
      </c>
      <c r="B176" s="3">
        <f t="shared" ca="1" si="7"/>
        <v>1</v>
      </c>
      <c r="C176" s="3" t="str">
        <f ca="1">IFERROR(
 INDEX($U$1:$AX$1,
  MATCH(TRUE,
   CHOOSE({1;2;3;4;5;6;7;8;9;10;11;12;13;14;15;16;17;18;19;20;21;22;23;24;25;26;27;28;29;30;31;32},
    COUNTIFS($U$2:$U$200,$G176)&gt;0,
    COUNTIFS($V$2:$V$200,$G176)&gt;0,
    COUNTIFS($W$2:$W$200,$G176)&gt;0,
    COUNTIFS($X$2:$X$200,$G176)&gt;0,
    COUNTIFS($Y$2:$Y$200,$G176)&gt;0,
    COUNTIFS($Z$2:$Z$200,$G176)&gt;0,
    COUNTIFS($AA$2:$AA$200,$G176)&gt;0,
    COUNTIFS($AB$2:$AB$200,$G176)&gt;0,
    COUNTIFS($AC$2:$AC$200,$G176)&gt;0,
    COUNTIFS($AD$2:$AD$200,$G176)&gt;0,
    COUNTIFS($AE$2:$AE$200,$G176)&gt;0,
    COUNTIFS($AF$2:$AF$200,$G176)&gt;0,
    COUNTIFS($AG$2:$AG$200,$G176)&gt;0,
    COUNTIFS($AH$2:$AH$200,$G176)&gt;0,
    COUNTIFS($AI$2:$AI$200,$G176)&gt;0,
    COUNTIFS($AJ$2:$AJ$200,$G176)&gt;0,
    COUNTIFS($AK$2:$AK$200,$G176)&gt;0,
    COUNTIFS($AL$2:$AL$200,$G176)&gt;0,
    COUNTIFS($AM$2:$AM$200,$G176)&gt;0,
    COUNTIFS($AN$2:$AN$200,$G176)&gt;0,
    COUNTIFS($AO$2:$AO$200,$G176)&gt;0,
    COUNTIFS($AP$2:$AP$200,$G176)&gt;0,
    COUNTIFS($AQ$2:$AQ$200,$G176)&gt;0,
    COUNTIFS($AR$2:$AR$200,$G176)&gt;0,
    COUNTIFS($AS$2:$AS$200,$G176)&gt;0,
    COUNTIFS($AT$2:$AT$200,$G176)&gt;0,
    COUNTIFS($AU$2:$AU$200,$G176)&gt;0,
    COUNTIFS($AV$2:$AV$200,$G176)&gt;0,
    COUNTIFS($AW$2:$AW$200,$G176)&gt;0,
    COUNTIFS($AX$2:$AX$200,$G176)&gt;0
   ),
  0)
 ),
"")</f>
        <v>Zimone</v>
      </c>
      <c r="D176" s="3" t="str" cm="1">
        <f t="array" aca="1" ref="D176" ca="1">IFERROR(
 INDEX(
  _xlfn._xlws.FILTER($U$1:$AX$1,
   TRANSPOSE(
    CHOOSE({1;2;3;4;5;6;7;8;9;10;11;12;13;14;15;16;17;18;19;20;21;22;23;24;25;26;27;28;29;30},
     COUNTIFS($U$2:$U$200,$G176)&gt;0,
     COUNTIFS($V$2:$V$200,$G176)&gt;0,
     COUNTIFS($W$2:$W$200,$G176)&gt;0,
     COUNTIFS($X$2:$X$200,$G176)&gt;0,
     COUNTIFS($Y$2:$Y$200,$G176)&gt;0,
     COUNTIFS($Z$2:$Z$200,$G176)&gt;0,
     COUNTIFS($AA$2:$AA$200,$G176)&gt;0,
     COUNTIFS($AB$2:$AB$200,$G176)&gt;0,
     COUNTIFS($AC$2:$AC$200,$G176)&gt;0,
     COUNTIFS($AD$2:$AD$200,$G176)&gt;0,
     COUNTIFS($AE$2:$AE$200,$G176)&gt;0,
     COUNTIFS($AF$2:$AF$200,$G176)&gt;0,
     COUNTIFS($AG$2:$AG$200,$G176)&gt;0,
     COUNTIFS($AH$2:$AH$200,$G176)&gt;0,
     COUNTIFS($AI$2:$AI$200,$G176)&gt;0,
     COUNTIFS($AJ$2:$AJ$200,$G176)&gt;0,
     COUNTIFS($AK$2:$AK$200,$G176)&gt;0,
     COUNTIFS($AL$2:$AL$200,$G176)&gt;0,
     COUNTIFS($AM$2:$AM$200,$G176)&gt;0,
     COUNTIFS($AN$2:$AN$200,$G176)&gt;0,
     COUNTIFS($AO$2:$AO$200,$G176)&gt;0,
     COUNTIFS($AP$2:$AP$200,$G176)&gt;0,
     COUNTIFS($AQ$2:$AQ$200,$G176)&gt;0,
     COUNTIFS($AR$2:$AR$200,$G176)&gt;0,
     COUNTIFS($AS$2:$AS$200,$G176)&gt;0,
     COUNTIFS($AT$2:$AT$200,$G176)&gt;0,
     COUNTIFS($AU$2:$AU$200,$G176)&gt;0,
     COUNTIFS($AV$2:$AV$200,$G176)&gt;0,
     COUNTIFS($AW$2:$AW$200,$G176)&gt;0,
     COUNTIFS($AX$2:$AX$200,$G176)&gt;0
   )),
  ),
  2
 ),
"")</f>
        <v/>
      </c>
      <c r="E176" s="3" t="str" cm="1">
        <f t="array" aca="1" ref="E176" ca="1">IFERROR(
 INDEX(
  _xlfn._xlws.FILTER($U$1:$AX$1,
   TRANSPOSE(
    CHOOSE({1;2;3;4;5;6;7;8;9;10;11;12;13;14;15;16;17;18;19;20;21;22;23;24;25;26;27;28;29;30},
     COUNTIFS($U$2:$U$200,$G176)&gt;0,
     COUNTIFS($V$2:$V$200,$G176)&gt;0,
     COUNTIFS($W$2:$W$200,$G176)&gt;0,
     COUNTIFS($X$2:$X$200,$G176)&gt;0,
     COUNTIFS($Y$2:$Y$200,$G176)&gt;0,
     COUNTIFS($Z$2:$Z$200,$G176)&gt;0,
     COUNTIFS($AA$2:$AA$200,$G176)&gt;0,
     COUNTIFS($AB$2:$AB$200,$G176)&gt;0,
     COUNTIFS($AC$2:$AC$200,$G176)&gt;0,
     COUNTIFS($AD$2:$AD$200,$G176)&gt;0,
     COUNTIFS($AE$2:$AE$200,$G176)&gt;0,
     COUNTIFS($AF$2:$AF$200,$G176)&gt;0,
     COUNTIFS($AG$2:$AG$200,$G176)&gt;0,
     COUNTIFS($AH$2:$AH$200,$G176)&gt;0,
     COUNTIFS($AI$2:$AI$200,$G176)&gt;0,
     COUNTIFS($AJ$2:$AJ$200,$G176)&gt;0,
     COUNTIFS($AK$2:$AK$200,$G176)&gt;0,
     COUNTIFS($AL$2:$AL$200,$G176)&gt;0,
     COUNTIFS($AM$2:$AM$200,$G176)&gt;0,
     COUNTIFS($AN$2:$AN$200,$G176)&gt;0,
     COUNTIFS($AO$2:$AO$200,$G176)&gt;0,
     COUNTIFS($AP$2:$AP$200,$G176)&gt;0,
     COUNTIFS($AQ$2:$AQ$200,$G176)&gt;0,
     COUNTIFS($AR$2:$AR$200,$G176)&gt;0,
     COUNTIFS($AS$2:$AS$200,$G176)&gt;0,
     COUNTIFS($AT$2:$AT$200,$G176)&gt;0,
     COUNTIFS($AU$2:$AU$200,$G176)&gt;0,
     COUNTIFS($AV$2:$AV$200,$G176)&gt;0,
     COUNTIFS($AW$2:$AW$200,$G176)&gt;0,
     COUNTIFS($AX$2:$AX$200,$G176)&gt;0
   )),
  ),
  3
 ),
"")</f>
        <v/>
      </c>
      <c r="F176" s="3" t="str" cm="1">
        <f t="array" aca="1" ref="F176" ca="1">IFERROR(
 INDEX(
  _xlfn._xlws.FILTER($U$1:$AX$1,
   TRANSPOSE(
    CHOOSE({1;2;3;4;5;6;7;8;9;10;11;12;13;14;15;16;17;18;19;20;21;22;23;24;25;26;27;28;29;30},
     COUNTIFS($U$2:$U$200,$G176)&gt;0,
     COUNTIFS($V$2:$V$200,$G176)&gt;0,
     COUNTIFS($W$2:$W$200,$G176)&gt;0,
     COUNTIFS($X$2:$X$200,$G176)&gt;0,
     COUNTIFS($Y$2:$Y$200,$G176)&gt;0,
     COUNTIFS($Z$2:$Z$200,$G176)&gt;0,
     COUNTIFS($AA$2:$AA$200,$G176)&gt;0,
     COUNTIFS($AB$2:$AB$200,$G176)&gt;0,
     COUNTIFS($AC$2:$AC$200,$G176)&gt;0,
     COUNTIFS($AD$2:$AD$200,$G176)&gt;0,
     COUNTIFS($AE$2:$AE$200,$G176)&gt;0,
     COUNTIFS($AF$2:$AF$200,$G176)&gt;0,
     COUNTIFS($AG$2:$AG$200,$G176)&gt;0,
     COUNTIFS($AH$2:$AH$200,$G176)&gt;0,
     COUNTIFS($AI$2:$AI$200,$G176)&gt;0,
     COUNTIFS($AJ$2:$AJ$200,$G176)&gt;0,
     COUNTIFS($AK$2:$AK$200,$G176)&gt;0,
     COUNTIFS($AL$2:$AL$200,$G176)&gt;0,
     COUNTIFS($AM$2:$AM$200,$G176)&gt;0,
     COUNTIFS($AN$2:$AN$200,$G176)&gt;0,
     COUNTIFS($AO$2:$AO$200,$G176)&gt;0,
     COUNTIFS($AP$2:$AP$200,$G176)&gt;0,
     COUNTIFS($AQ$2:$AQ$200,$G176)&gt;0,
     COUNTIFS($AR$2:$AR$200,$G176)&gt;0,
     COUNTIFS($AS$2:$AS$200,$G176)&gt;0,
     COUNTIFS($AT$2:$AT$200,$G176)&gt;0,
     COUNTIFS($AU$2:$AU$200,$G176)&gt;0,
     COUNTIFS($AV$2:$AV$200,$G176)&gt;0,
     COUNTIFS($AW$2:$AW$200,$G176)&gt;0,
     COUNTIFS($AX$2:$AX$200,$G176)&gt;0
   )),
  ),
  4
 ),
"")</f>
        <v/>
      </c>
      <c r="G176" t="str">
        <f ca="1"/>
        <v>Misty Rainforest</v>
      </c>
      <c r="CG176" t="str">
        <f ca="1"/>
        <v>Singer of Swift Rivers</v>
      </c>
      <c r="CJ176" t="str">
        <f ca="1"/>
        <v>Misty Rainforest</v>
      </c>
    </row>
    <row r="177" spans="1:88" x14ac:dyDescent="0.25">
      <c r="A177" s="3" t="str">
        <f t="shared" ca="1" si="6"/>
        <v>4</v>
      </c>
      <c r="B177" s="3">
        <f t="shared" ca="1" si="7"/>
        <v>1</v>
      </c>
      <c r="C177" s="3" t="str">
        <f ca="1">IFERROR(
 INDEX($U$1:$AX$1,
  MATCH(TRUE,
   CHOOSE({1;2;3;4;5;6;7;8;9;10;11;12;13;14;15;16;17;18;19;20;21;22;23;24;25;26;27;28;29;30;31;32},
    COUNTIFS($U$2:$U$200,$G177)&gt;0,
    COUNTIFS($V$2:$V$200,$G177)&gt;0,
    COUNTIFS($W$2:$W$200,$G177)&gt;0,
    COUNTIFS($X$2:$X$200,$G177)&gt;0,
    COUNTIFS($Y$2:$Y$200,$G177)&gt;0,
    COUNTIFS($Z$2:$Z$200,$G177)&gt;0,
    COUNTIFS($AA$2:$AA$200,$G177)&gt;0,
    COUNTIFS($AB$2:$AB$200,$G177)&gt;0,
    COUNTIFS($AC$2:$AC$200,$G177)&gt;0,
    COUNTIFS($AD$2:$AD$200,$G177)&gt;0,
    COUNTIFS($AE$2:$AE$200,$G177)&gt;0,
    COUNTIFS($AF$2:$AF$200,$G177)&gt;0,
    COUNTIFS($AG$2:$AG$200,$G177)&gt;0,
    COUNTIFS($AH$2:$AH$200,$G177)&gt;0,
    COUNTIFS($AI$2:$AI$200,$G177)&gt;0,
    COUNTIFS($AJ$2:$AJ$200,$G177)&gt;0,
    COUNTIFS($AK$2:$AK$200,$G177)&gt;0,
    COUNTIFS($AL$2:$AL$200,$G177)&gt;0,
    COUNTIFS($AM$2:$AM$200,$G177)&gt;0,
    COUNTIFS($AN$2:$AN$200,$G177)&gt;0,
    COUNTIFS($AO$2:$AO$200,$G177)&gt;0,
    COUNTIFS($AP$2:$AP$200,$G177)&gt;0,
    COUNTIFS($AQ$2:$AQ$200,$G177)&gt;0,
    COUNTIFS($AR$2:$AR$200,$G177)&gt;0,
    COUNTIFS($AS$2:$AS$200,$G177)&gt;0,
    COUNTIFS($AT$2:$AT$200,$G177)&gt;0,
    COUNTIFS($AU$2:$AU$200,$G177)&gt;0,
    COUNTIFS($AV$2:$AV$200,$G177)&gt;0,
    COUNTIFS($AW$2:$AW$200,$G177)&gt;0,
    COUNTIFS($AX$2:$AX$200,$G177)&gt;0
   ),
  0)
 ),
"")</f>
        <v>Inalla</v>
      </c>
      <c r="D177" s="3" t="str" cm="1">
        <f t="array" aca="1" ref="D177" ca="1">IFERROR(
 INDEX(
  _xlfn._xlws.FILTER($U$1:$AX$1,
   TRANSPOSE(
    CHOOSE({1;2;3;4;5;6;7;8;9;10;11;12;13;14;15;16;17;18;19;20;21;22;23;24;25;26;27;28;29;30},
     COUNTIFS($U$2:$U$200,$G177)&gt;0,
     COUNTIFS($V$2:$V$200,$G177)&gt;0,
     COUNTIFS($W$2:$W$200,$G177)&gt;0,
     COUNTIFS($X$2:$X$200,$G177)&gt;0,
     COUNTIFS($Y$2:$Y$200,$G177)&gt;0,
     COUNTIFS($Z$2:$Z$200,$G177)&gt;0,
     COUNTIFS($AA$2:$AA$200,$G177)&gt;0,
     COUNTIFS($AB$2:$AB$200,$G177)&gt;0,
     COUNTIFS($AC$2:$AC$200,$G177)&gt;0,
     COUNTIFS($AD$2:$AD$200,$G177)&gt;0,
     COUNTIFS($AE$2:$AE$200,$G177)&gt;0,
     COUNTIFS($AF$2:$AF$200,$G177)&gt;0,
     COUNTIFS($AG$2:$AG$200,$G177)&gt;0,
     COUNTIFS($AH$2:$AH$200,$G177)&gt;0,
     COUNTIFS($AI$2:$AI$200,$G177)&gt;0,
     COUNTIFS($AJ$2:$AJ$200,$G177)&gt;0,
     COUNTIFS($AK$2:$AK$200,$G177)&gt;0,
     COUNTIFS($AL$2:$AL$200,$G177)&gt;0,
     COUNTIFS($AM$2:$AM$200,$G177)&gt;0,
     COUNTIFS($AN$2:$AN$200,$G177)&gt;0,
     COUNTIFS($AO$2:$AO$200,$G177)&gt;0,
     COUNTIFS($AP$2:$AP$200,$G177)&gt;0,
     COUNTIFS($AQ$2:$AQ$200,$G177)&gt;0,
     COUNTIFS($AR$2:$AR$200,$G177)&gt;0,
     COUNTIFS($AS$2:$AS$200,$G177)&gt;0,
     COUNTIFS($AT$2:$AT$200,$G177)&gt;0,
     COUNTIFS($AU$2:$AU$200,$G177)&gt;0,
     COUNTIFS($AV$2:$AV$200,$G177)&gt;0,
     COUNTIFS($AW$2:$AW$200,$G177)&gt;0,
     COUNTIFS($AX$2:$AX$200,$G177)&gt;0
   )),
  ),
  2
 ),
"")</f>
        <v/>
      </c>
      <c r="E177" s="3" t="str" cm="1">
        <f t="array" aca="1" ref="E177" ca="1">IFERROR(
 INDEX(
  _xlfn._xlws.FILTER($U$1:$AX$1,
   TRANSPOSE(
    CHOOSE({1;2;3;4;5;6;7;8;9;10;11;12;13;14;15;16;17;18;19;20;21;22;23;24;25;26;27;28;29;30},
     COUNTIFS($U$2:$U$200,$G177)&gt;0,
     COUNTIFS($V$2:$V$200,$G177)&gt;0,
     COUNTIFS($W$2:$W$200,$G177)&gt;0,
     COUNTIFS($X$2:$X$200,$G177)&gt;0,
     COUNTIFS($Y$2:$Y$200,$G177)&gt;0,
     COUNTIFS($Z$2:$Z$200,$G177)&gt;0,
     COUNTIFS($AA$2:$AA$200,$G177)&gt;0,
     COUNTIFS($AB$2:$AB$200,$G177)&gt;0,
     COUNTIFS($AC$2:$AC$200,$G177)&gt;0,
     COUNTIFS($AD$2:$AD$200,$G177)&gt;0,
     COUNTIFS($AE$2:$AE$200,$G177)&gt;0,
     COUNTIFS($AF$2:$AF$200,$G177)&gt;0,
     COUNTIFS($AG$2:$AG$200,$G177)&gt;0,
     COUNTIFS($AH$2:$AH$200,$G177)&gt;0,
     COUNTIFS($AI$2:$AI$200,$G177)&gt;0,
     COUNTIFS($AJ$2:$AJ$200,$G177)&gt;0,
     COUNTIFS($AK$2:$AK$200,$G177)&gt;0,
     COUNTIFS($AL$2:$AL$200,$G177)&gt;0,
     COUNTIFS($AM$2:$AM$200,$G177)&gt;0,
     COUNTIFS($AN$2:$AN$200,$G177)&gt;0,
     COUNTIFS($AO$2:$AO$200,$G177)&gt;0,
     COUNTIFS($AP$2:$AP$200,$G177)&gt;0,
     COUNTIFS($AQ$2:$AQ$200,$G177)&gt;0,
     COUNTIFS($AR$2:$AR$200,$G177)&gt;0,
     COUNTIFS($AS$2:$AS$200,$G177)&gt;0,
     COUNTIFS($AT$2:$AT$200,$G177)&gt;0,
     COUNTIFS($AU$2:$AU$200,$G177)&gt;0,
     COUNTIFS($AV$2:$AV$200,$G177)&gt;0,
     COUNTIFS($AW$2:$AW$200,$G177)&gt;0,
     COUNTIFS($AX$2:$AX$200,$G177)&gt;0
   )),
  ),
  3
 ),
"")</f>
        <v/>
      </c>
      <c r="F177" s="3" t="str" cm="1">
        <f t="array" aca="1" ref="F177" ca="1">IFERROR(
 INDEX(
  _xlfn._xlws.FILTER($U$1:$AX$1,
   TRANSPOSE(
    CHOOSE({1;2;3;4;5;6;7;8;9;10;11;12;13;14;15;16;17;18;19;20;21;22;23;24;25;26;27;28;29;30},
     COUNTIFS($U$2:$U$200,$G177)&gt;0,
     COUNTIFS($V$2:$V$200,$G177)&gt;0,
     COUNTIFS($W$2:$W$200,$G177)&gt;0,
     COUNTIFS($X$2:$X$200,$G177)&gt;0,
     COUNTIFS($Y$2:$Y$200,$G177)&gt;0,
     COUNTIFS($Z$2:$Z$200,$G177)&gt;0,
     COUNTIFS($AA$2:$AA$200,$G177)&gt;0,
     COUNTIFS($AB$2:$AB$200,$G177)&gt;0,
     COUNTIFS($AC$2:$AC$200,$G177)&gt;0,
     COUNTIFS($AD$2:$AD$200,$G177)&gt;0,
     COUNTIFS($AE$2:$AE$200,$G177)&gt;0,
     COUNTIFS($AF$2:$AF$200,$G177)&gt;0,
     COUNTIFS($AG$2:$AG$200,$G177)&gt;0,
     COUNTIFS($AH$2:$AH$200,$G177)&gt;0,
     COUNTIFS($AI$2:$AI$200,$G177)&gt;0,
     COUNTIFS($AJ$2:$AJ$200,$G177)&gt;0,
     COUNTIFS($AK$2:$AK$200,$G177)&gt;0,
     COUNTIFS($AL$2:$AL$200,$G177)&gt;0,
     COUNTIFS($AM$2:$AM$200,$G177)&gt;0,
     COUNTIFS($AN$2:$AN$200,$G177)&gt;0,
     COUNTIFS($AO$2:$AO$200,$G177)&gt;0,
     COUNTIFS($AP$2:$AP$200,$G177)&gt;0,
     COUNTIFS($AQ$2:$AQ$200,$G177)&gt;0,
     COUNTIFS($AR$2:$AR$200,$G177)&gt;0,
     COUNTIFS($AS$2:$AS$200,$G177)&gt;0,
     COUNTIFS($AT$2:$AT$200,$G177)&gt;0,
     COUNTIFS($AU$2:$AU$200,$G177)&gt;0,
     COUNTIFS($AV$2:$AV$200,$G177)&gt;0,
     COUNTIFS($AW$2:$AW$200,$G177)&gt;0,
     COUNTIFS($AX$2:$AX$200,$G177)&gt;0
   )),
  ),
  4
 ),
"")</f>
        <v/>
      </c>
      <c r="G177" t="str">
        <f ca="1"/>
        <v>Molten Echoes</v>
      </c>
      <c r="CG177" t="str">
        <f ca="1"/>
        <v>Slash the Ranks</v>
      </c>
      <c r="CJ177" t="str">
        <f ca="1"/>
        <v>Molten Echoes</v>
      </c>
    </row>
    <row r="178" spans="1:88" x14ac:dyDescent="0.25">
      <c r="A178" s="3" t="str">
        <f t="shared" ca="1" si="6"/>
        <v>2</v>
      </c>
      <c r="B178" s="3">
        <f t="shared" ca="1" si="7"/>
        <v>1</v>
      </c>
      <c r="C178" s="3" t="str">
        <f ca="1">IFERROR(
 INDEX($U$1:$AX$1,
  MATCH(TRUE,
   CHOOSE({1;2;3;4;5;6;7;8;9;10;11;12;13;14;15;16;17;18;19;20;21;22;23;24;25;26;27;28;29;30;31;32},
    COUNTIFS($U$2:$U$200,$G178)&gt;0,
    COUNTIFS($V$2:$V$200,$G178)&gt;0,
    COUNTIFS($W$2:$W$200,$G178)&gt;0,
    COUNTIFS($X$2:$X$200,$G178)&gt;0,
    COUNTIFS($Y$2:$Y$200,$G178)&gt;0,
    COUNTIFS($Z$2:$Z$200,$G178)&gt;0,
    COUNTIFS($AA$2:$AA$200,$G178)&gt;0,
    COUNTIFS($AB$2:$AB$200,$G178)&gt;0,
    COUNTIFS($AC$2:$AC$200,$G178)&gt;0,
    COUNTIFS($AD$2:$AD$200,$G178)&gt;0,
    COUNTIFS($AE$2:$AE$200,$G178)&gt;0,
    COUNTIFS($AF$2:$AF$200,$G178)&gt;0,
    COUNTIFS($AG$2:$AG$200,$G178)&gt;0,
    COUNTIFS($AH$2:$AH$200,$G178)&gt;0,
    COUNTIFS($AI$2:$AI$200,$G178)&gt;0,
    COUNTIFS($AJ$2:$AJ$200,$G178)&gt;0,
    COUNTIFS($AK$2:$AK$200,$G178)&gt;0,
    COUNTIFS($AL$2:$AL$200,$G178)&gt;0,
    COUNTIFS($AM$2:$AM$200,$G178)&gt;0,
    COUNTIFS($AN$2:$AN$200,$G178)&gt;0,
    COUNTIFS($AO$2:$AO$200,$G178)&gt;0,
    COUNTIFS($AP$2:$AP$200,$G178)&gt;0,
    COUNTIFS($AQ$2:$AQ$200,$G178)&gt;0,
    COUNTIFS($AR$2:$AR$200,$G178)&gt;0,
    COUNTIFS($AS$2:$AS$200,$G178)&gt;0,
    COUNTIFS($AT$2:$AT$200,$G178)&gt;0,
    COUNTIFS($AU$2:$AU$200,$G178)&gt;0,
    COUNTIFS($AV$2:$AV$200,$G178)&gt;0,
    COUNTIFS($AW$2:$AW$200,$G178)&gt;0,
    COUNTIFS($AX$2:$AX$200,$G178)&gt;0
   ),
  0)
 ),
"")</f>
        <v>Narset</v>
      </c>
      <c r="D178" s="3" t="str" cm="1">
        <f t="array" aca="1" ref="D178" ca="1">IFERROR(
 INDEX(
  _xlfn._xlws.FILTER($U$1:$AX$1,
   TRANSPOSE(
    CHOOSE({1;2;3;4;5;6;7;8;9;10;11;12;13;14;15;16;17;18;19;20;21;22;23;24;25;26;27;28;29;30},
     COUNTIFS($U$2:$U$200,$G178)&gt;0,
     COUNTIFS($V$2:$V$200,$G178)&gt;0,
     COUNTIFS($W$2:$W$200,$G178)&gt;0,
     COUNTIFS($X$2:$X$200,$G178)&gt;0,
     COUNTIFS($Y$2:$Y$200,$G178)&gt;0,
     COUNTIFS($Z$2:$Z$200,$G178)&gt;0,
     COUNTIFS($AA$2:$AA$200,$G178)&gt;0,
     COUNTIFS($AB$2:$AB$200,$G178)&gt;0,
     COUNTIFS($AC$2:$AC$200,$G178)&gt;0,
     COUNTIFS($AD$2:$AD$200,$G178)&gt;0,
     COUNTIFS($AE$2:$AE$200,$G178)&gt;0,
     COUNTIFS($AF$2:$AF$200,$G178)&gt;0,
     COUNTIFS($AG$2:$AG$200,$G178)&gt;0,
     COUNTIFS($AH$2:$AH$200,$G178)&gt;0,
     COUNTIFS($AI$2:$AI$200,$G178)&gt;0,
     COUNTIFS($AJ$2:$AJ$200,$G178)&gt;0,
     COUNTIFS($AK$2:$AK$200,$G178)&gt;0,
     COUNTIFS($AL$2:$AL$200,$G178)&gt;0,
     COUNTIFS($AM$2:$AM$200,$G178)&gt;0,
     COUNTIFS($AN$2:$AN$200,$G178)&gt;0,
     COUNTIFS($AO$2:$AO$200,$G178)&gt;0,
     COUNTIFS($AP$2:$AP$200,$G178)&gt;0,
     COUNTIFS($AQ$2:$AQ$200,$G178)&gt;0,
     COUNTIFS($AR$2:$AR$200,$G178)&gt;0,
     COUNTIFS($AS$2:$AS$200,$G178)&gt;0,
     COUNTIFS($AT$2:$AT$200,$G178)&gt;0,
     COUNTIFS($AU$2:$AU$200,$G178)&gt;0,
     COUNTIFS($AV$2:$AV$200,$G178)&gt;0,
     COUNTIFS($AW$2:$AW$200,$G178)&gt;0,
     COUNTIFS($AX$2:$AX$200,$G178)&gt;0
   )),
  ),
  2
 ),
"")</f>
        <v/>
      </c>
      <c r="E178" s="3" t="str" cm="1">
        <f t="array" aca="1" ref="E178" ca="1">IFERROR(
 INDEX(
  _xlfn._xlws.FILTER($U$1:$AX$1,
   TRANSPOSE(
    CHOOSE({1;2;3;4;5;6;7;8;9;10;11;12;13;14;15;16;17;18;19;20;21;22;23;24;25;26;27;28;29;30},
     COUNTIFS($U$2:$U$200,$G178)&gt;0,
     COUNTIFS($V$2:$V$200,$G178)&gt;0,
     COUNTIFS($W$2:$W$200,$G178)&gt;0,
     COUNTIFS($X$2:$X$200,$G178)&gt;0,
     COUNTIFS($Y$2:$Y$200,$G178)&gt;0,
     COUNTIFS($Z$2:$Z$200,$G178)&gt;0,
     COUNTIFS($AA$2:$AA$200,$G178)&gt;0,
     COUNTIFS($AB$2:$AB$200,$G178)&gt;0,
     COUNTIFS($AC$2:$AC$200,$G178)&gt;0,
     COUNTIFS($AD$2:$AD$200,$G178)&gt;0,
     COUNTIFS($AE$2:$AE$200,$G178)&gt;0,
     COUNTIFS($AF$2:$AF$200,$G178)&gt;0,
     COUNTIFS($AG$2:$AG$200,$G178)&gt;0,
     COUNTIFS($AH$2:$AH$200,$G178)&gt;0,
     COUNTIFS($AI$2:$AI$200,$G178)&gt;0,
     COUNTIFS($AJ$2:$AJ$200,$G178)&gt;0,
     COUNTIFS($AK$2:$AK$200,$G178)&gt;0,
     COUNTIFS($AL$2:$AL$200,$G178)&gt;0,
     COUNTIFS($AM$2:$AM$200,$G178)&gt;0,
     COUNTIFS($AN$2:$AN$200,$G178)&gt;0,
     COUNTIFS($AO$2:$AO$200,$G178)&gt;0,
     COUNTIFS($AP$2:$AP$200,$G178)&gt;0,
     COUNTIFS($AQ$2:$AQ$200,$G178)&gt;0,
     COUNTIFS($AR$2:$AR$200,$G178)&gt;0,
     COUNTIFS($AS$2:$AS$200,$G178)&gt;0,
     COUNTIFS($AT$2:$AT$200,$G178)&gt;0,
     COUNTIFS($AU$2:$AU$200,$G178)&gt;0,
     COUNTIFS($AV$2:$AV$200,$G178)&gt;0,
     COUNTIFS($AW$2:$AW$200,$G178)&gt;0,
     COUNTIFS($AX$2:$AX$200,$G178)&gt;0
   )),
  ),
  3
 ),
"")</f>
        <v/>
      </c>
      <c r="F178" s="3" t="str" cm="1">
        <f t="array" aca="1" ref="F178" ca="1">IFERROR(
 INDEX(
  _xlfn._xlws.FILTER($U$1:$AX$1,
   TRANSPOSE(
    CHOOSE({1;2;3;4;5;6;7;8;9;10;11;12;13;14;15;16;17;18;19;20;21;22;23;24;25;26;27;28;29;30},
     COUNTIFS($U$2:$U$200,$G178)&gt;0,
     COUNTIFS($V$2:$V$200,$G178)&gt;0,
     COUNTIFS($W$2:$W$200,$G178)&gt;0,
     COUNTIFS($X$2:$X$200,$G178)&gt;0,
     COUNTIFS($Y$2:$Y$200,$G178)&gt;0,
     COUNTIFS($Z$2:$Z$200,$G178)&gt;0,
     COUNTIFS($AA$2:$AA$200,$G178)&gt;0,
     COUNTIFS($AB$2:$AB$200,$G178)&gt;0,
     COUNTIFS($AC$2:$AC$200,$G178)&gt;0,
     COUNTIFS($AD$2:$AD$200,$G178)&gt;0,
     COUNTIFS($AE$2:$AE$200,$G178)&gt;0,
     COUNTIFS($AF$2:$AF$200,$G178)&gt;0,
     COUNTIFS($AG$2:$AG$200,$G178)&gt;0,
     COUNTIFS($AH$2:$AH$200,$G178)&gt;0,
     COUNTIFS($AI$2:$AI$200,$G178)&gt;0,
     COUNTIFS($AJ$2:$AJ$200,$G178)&gt;0,
     COUNTIFS($AK$2:$AK$200,$G178)&gt;0,
     COUNTIFS($AL$2:$AL$200,$G178)&gt;0,
     COUNTIFS($AM$2:$AM$200,$G178)&gt;0,
     COUNTIFS($AN$2:$AN$200,$G178)&gt;0,
     COUNTIFS($AO$2:$AO$200,$G178)&gt;0,
     COUNTIFS($AP$2:$AP$200,$G178)&gt;0,
     COUNTIFS($AQ$2:$AQ$200,$G178)&gt;0,
     COUNTIFS($AR$2:$AR$200,$G178)&gt;0,
     COUNTIFS($AS$2:$AS$200,$G178)&gt;0,
     COUNTIFS($AT$2:$AT$200,$G178)&gt;0,
     COUNTIFS($AU$2:$AU$200,$G178)&gt;0,
     COUNTIFS($AV$2:$AV$200,$G178)&gt;0,
     COUNTIFS($AW$2:$AW$200,$G178)&gt;0,
     COUNTIFS($AX$2:$AX$200,$G178)&gt;0
   )),
  ),
  4
 ),
"")</f>
        <v/>
      </c>
      <c r="G178" t="str">
        <f ca="1"/>
        <v>Monastery Siege</v>
      </c>
      <c r="CG178" t="str">
        <f ca="1"/>
        <v>Slayers' Stronghold</v>
      </c>
      <c r="CJ178" t="str">
        <f ca="1"/>
        <v>Monastery Siege</v>
      </c>
    </row>
    <row r="179" spans="1:88" x14ac:dyDescent="0.25">
      <c r="A179" s="3" t="str">
        <f t="shared" ca="1" si="6"/>
        <v>1</v>
      </c>
      <c r="B179" s="3">
        <f t="shared" ca="1" si="7"/>
        <v>1</v>
      </c>
      <c r="C179" s="3" t="str">
        <f ca="1">IFERROR(
 INDEX($U$1:$AX$1,
  MATCH(TRUE,
   CHOOSE({1;2;3;4;5;6;7;8;9;10;11;12;13;14;15;16;17;18;19;20;21;22;23;24;25;26;27;28;29;30;31;32},
    COUNTIFS($U$2:$U$200,$G179)&gt;0,
    COUNTIFS($V$2:$V$200,$G179)&gt;0,
    COUNTIFS($W$2:$W$200,$G179)&gt;0,
    COUNTIFS($X$2:$X$200,$G179)&gt;0,
    COUNTIFS($Y$2:$Y$200,$G179)&gt;0,
    COUNTIFS($Z$2:$Z$200,$G179)&gt;0,
    COUNTIFS($AA$2:$AA$200,$G179)&gt;0,
    COUNTIFS($AB$2:$AB$200,$G179)&gt;0,
    COUNTIFS($AC$2:$AC$200,$G179)&gt;0,
    COUNTIFS($AD$2:$AD$200,$G179)&gt;0,
    COUNTIFS($AE$2:$AE$200,$G179)&gt;0,
    COUNTIFS($AF$2:$AF$200,$G179)&gt;0,
    COUNTIFS($AG$2:$AG$200,$G179)&gt;0,
    COUNTIFS($AH$2:$AH$200,$G179)&gt;0,
    COUNTIFS($AI$2:$AI$200,$G179)&gt;0,
    COUNTIFS($AJ$2:$AJ$200,$G179)&gt;0,
    COUNTIFS($AK$2:$AK$200,$G179)&gt;0,
    COUNTIFS($AL$2:$AL$200,$G179)&gt;0,
    COUNTIFS($AM$2:$AM$200,$G179)&gt;0,
    COUNTIFS($AN$2:$AN$200,$G179)&gt;0,
    COUNTIFS($AO$2:$AO$200,$G179)&gt;0,
    COUNTIFS($AP$2:$AP$200,$G179)&gt;0,
    COUNTIFS($AQ$2:$AQ$200,$G179)&gt;0,
    COUNTIFS($AR$2:$AR$200,$G179)&gt;0,
    COUNTIFS($AS$2:$AS$200,$G179)&gt;0,
    COUNTIFS($AT$2:$AT$200,$G179)&gt;0,
    COUNTIFS($AU$2:$AU$200,$G179)&gt;0,
    COUNTIFS($AV$2:$AV$200,$G179)&gt;0,
    COUNTIFS($AW$2:$AW$200,$G179)&gt;0,
    COUNTIFS($AX$2:$AX$200,$G179)&gt;0
   ),
  0)
 ),
"")</f>
        <v>Modular</v>
      </c>
      <c r="D179" s="3" t="str" cm="1">
        <f t="array" aca="1" ref="D179" ca="1">IFERROR(
 INDEX(
  _xlfn._xlws.FILTER($U$1:$AX$1,
   TRANSPOSE(
    CHOOSE({1;2;3;4;5;6;7;8;9;10;11;12;13;14;15;16;17;18;19;20;21;22;23;24;25;26;27;28;29;30},
     COUNTIFS($U$2:$U$200,$G179)&gt;0,
     COUNTIFS($V$2:$V$200,$G179)&gt;0,
     COUNTIFS($W$2:$W$200,$G179)&gt;0,
     COUNTIFS($X$2:$X$200,$G179)&gt;0,
     COUNTIFS($Y$2:$Y$200,$G179)&gt;0,
     COUNTIFS($Z$2:$Z$200,$G179)&gt;0,
     COUNTIFS($AA$2:$AA$200,$G179)&gt;0,
     COUNTIFS($AB$2:$AB$200,$G179)&gt;0,
     COUNTIFS($AC$2:$AC$200,$G179)&gt;0,
     COUNTIFS($AD$2:$AD$200,$G179)&gt;0,
     COUNTIFS($AE$2:$AE$200,$G179)&gt;0,
     COUNTIFS($AF$2:$AF$200,$G179)&gt;0,
     COUNTIFS($AG$2:$AG$200,$G179)&gt;0,
     COUNTIFS($AH$2:$AH$200,$G179)&gt;0,
     COUNTIFS($AI$2:$AI$200,$G179)&gt;0,
     COUNTIFS($AJ$2:$AJ$200,$G179)&gt;0,
     COUNTIFS($AK$2:$AK$200,$G179)&gt;0,
     COUNTIFS($AL$2:$AL$200,$G179)&gt;0,
     COUNTIFS($AM$2:$AM$200,$G179)&gt;0,
     COUNTIFS($AN$2:$AN$200,$G179)&gt;0,
     COUNTIFS($AO$2:$AO$200,$G179)&gt;0,
     COUNTIFS($AP$2:$AP$200,$G179)&gt;0,
     COUNTIFS($AQ$2:$AQ$200,$G179)&gt;0,
     COUNTIFS($AR$2:$AR$200,$G179)&gt;0,
     COUNTIFS($AS$2:$AS$200,$G179)&gt;0,
     COUNTIFS($AT$2:$AT$200,$G179)&gt;0,
     COUNTIFS($AU$2:$AU$200,$G179)&gt;0,
     COUNTIFS($AV$2:$AV$200,$G179)&gt;0,
     COUNTIFS($AW$2:$AW$200,$G179)&gt;0,
     COUNTIFS($AX$2:$AX$200,$G179)&gt;0
   )),
  ),
  2
 ),
"")</f>
        <v/>
      </c>
      <c r="E179" s="3" t="str" cm="1">
        <f t="array" aca="1" ref="E179" ca="1">IFERROR(
 INDEX(
  _xlfn._xlws.FILTER($U$1:$AX$1,
   TRANSPOSE(
    CHOOSE({1;2;3;4;5;6;7;8;9;10;11;12;13;14;15;16;17;18;19;20;21;22;23;24;25;26;27;28;29;30},
     COUNTIFS($U$2:$U$200,$G179)&gt;0,
     COUNTIFS($V$2:$V$200,$G179)&gt;0,
     COUNTIFS($W$2:$W$200,$G179)&gt;0,
     COUNTIFS($X$2:$X$200,$G179)&gt;0,
     COUNTIFS($Y$2:$Y$200,$G179)&gt;0,
     COUNTIFS($Z$2:$Z$200,$G179)&gt;0,
     COUNTIFS($AA$2:$AA$200,$G179)&gt;0,
     COUNTIFS($AB$2:$AB$200,$G179)&gt;0,
     COUNTIFS($AC$2:$AC$200,$G179)&gt;0,
     COUNTIFS($AD$2:$AD$200,$G179)&gt;0,
     COUNTIFS($AE$2:$AE$200,$G179)&gt;0,
     COUNTIFS($AF$2:$AF$200,$G179)&gt;0,
     COUNTIFS($AG$2:$AG$200,$G179)&gt;0,
     COUNTIFS($AH$2:$AH$200,$G179)&gt;0,
     COUNTIFS($AI$2:$AI$200,$G179)&gt;0,
     COUNTIFS($AJ$2:$AJ$200,$G179)&gt;0,
     COUNTIFS($AK$2:$AK$200,$G179)&gt;0,
     COUNTIFS($AL$2:$AL$200,$G179)&gt;0,
     COUNTIFS($AM$2:$AM$200,$G179)&gt;0,
     COUNTIFS($AN$2:$AN$200,$G179)&gt;0,
     COUNTIFS($AO$2:$AO$200,$G179)&gt;0,
     COUNTIFS($AP$2:$AP$200,$G179)&gt;0,
     COUNTIFS($AQ$2:$AQ$200,$G179)&gt;0,
     COUNTIFS($AR$2:$AR$200,$G179)&gt;0,
     COUNTIFS($AS$2:$AS$200,$G179)&gt;0,
     COUNTIFS($AT$2:$AT$200,$G179)&gt;0,
     COUNTIFS($AU$2:$AU$200,$G179)&gt;0,
     COUNTIFS($AV$2:$AV$200,$G179)&gt;0,
     COUNTIFS($AW$2:$AW$200,$G179)&gt;0,
     COUNTIFS($AX$2:$AX$200,$G179)&gt;0
   )),
  ),
  3
 ),
"")</f>
        <v/>
      </c>
      <c r="F179" s="3" t="str" cm="1">
        <f t="array" aca="1" ref="F179" ca="1">IFERROR(
 INDEX(
  _xlfn._xlws.FILTER($U$1:$AX$1,
   TRANSPOSE(
    CHOOSE({1;2;3;4;5;6;7;8;9;10;11;12;13;14;15;16;17;18;19;20;21;22;23;24;25;26;27;28;29;30},
     COUNTIFS($U$2:$U$200,$G179)&gt;0,
     COUNTIFS($V$2:$V$200,$G179)&gt;0,
     COUNTIFS($W$2:$W$200,$G179)&gt;0,
     COUNTIFS($X$2:$X$200,$G179)&gt;0,
     COUNTIFS($Y$2:$Y$200,$G179)&gt;0,
     COUNTIFS($Z$2:$Z$200,$G179)&gt;0,
     COUNTIFS($AA$2:$AA$200,$G179)&gt;0,
     COUNTIFS($AB$2:$AB$200,$G179)&gt;0,
     COUNTIFS($AC$2:$AC$200,$G179)&gt;0,
     COUNTIFS($AD$2:$AD$200,$G179)&gt;0,
     COUNTIFS($AE$2:$AE$200,$G179)&gt;0,
     COUNTIFS($AF$2:$AF$200,$G179)&gt;0,
     COUNTIFS($AG$2:$AG$200,$G179)&gt;0,
     COUNTIFS($AH$2:$AH$200,$G179)&gt;0,
     COUNTIFS($AI$2:$AI$200,$G179)&gt;0,
     COUNTIFS($AJ$2:$AJ$200,$G179)&gt;0,
     COUNTIFS($AK$2:$AK$200,$G179)&gt;0,
     COUNTIFS($AL$2:$AL$200,$G179)&gt;0,
     COUNTIFS($AM$2:$AM$200,$G179)&gt;0,
     COUNTIFS($AN$2:$AN$200,$G179)&gt;0,
     COUNTIFS($AO$2:$AO$200,$G179)&gt;0,
     COUNTIFS($AP$2:$AP$200,$G179)&gt;0,
     COUNTIFS($AQ$2:$AQ$200,$G179)&gt;0,
     COUNTIFS($AR$2:$AR$200,$G179)&gt;0,
     COUNTIFS($AS$2:$AS$200,$G179)&gt;0,
     COUNTIFS($AT$2:$AT$200,$G179)&gt;0,
     COUNTIFS($AU$2:$AU$200,$G179)&gt;0,
     COUNTIFS($AV$2:$AV$200,$G179)&gt;0,
     COUNTIFS($AW$2:$AW$200,$G179)&gt;0,
     COUNTIFS($AX$2:$AX$200,$G179)&gt;0
   )),
  ),
  4
 ),
"")</f>
        <v/>
      </c>
      <c r="G179" t="str">
        <f ca="1"/>
        <v>Monumental Henge</v>
      </c>
      <c r="CG179" t="str">
        <f ca="1"/>
        <v>Smuggler's Share</v>
      </c>
      <c r="CJ179" t="str">
        <f ca="1"/>
        <v>Monumental Henge</v>
      </c>
    </row>
    <row r="180" spans="1:88" x14ac:dyDescent="0.25">
      <c r="A180" s="3" t="str">
        <f t="shared" ca="1" si="6"/>
        <v>3</v>
      </c>
      <c r="B180" s="3">
        <f t="shared" ca="1" si="7"/>
        <v>1</v>
      </c>
      <c r="C180" s="3" t="str">
        <f ca="1">IFERROR(
 INDEX($U$1:$AX$1,
  MATCH(TRUE,
   CHOOSE({1;2;3;4;5;6;7;8;9;10;11;12;13;14;15;16;17;18;19;20;21;22;23;24;25;26;27;28;29;30;31;32},
    COUNTIFS($U$2:$U$200,$G180)&gt;0,
    COUNTIFS($V$2:$V$200,$G180)&gt;0,
    COUNTIFS($W$2:$W$200,$G180)&gt;0,
    COUNTIFS($X$2:$X$200,$G180)&gt;0,
    COUNTIFS($Y$2:$Y$200,$G180)&gt;0,
    COUNTIFS($Z$2:$Z$200,$G180)&gt;0,
    COUNTIFS($AA$2:$AA$200,$G180)&gt;0,
    COUNTIFS($AB$2:$AB$200,$G180)&gt;0,
    COUNTIFS($AC$2:$AC$200,$G180)&gt;0,
    COUNTIFS($AD$2:$AD$200,$G180)&gt;0,
    COUNTIFS($AE$2:$AE$200,$G180)&gt;0,
    COUNTIFS($AF$2:$AF$200,$G180)&gt;0,
    COUNTIFS($AG$2:$AG$200,$G180)&gt;0,
    COUNTIFS($AH$2:$AH$200,$G180)&gt;0,
    COUNTIFS($AI$2:$AI$200,$G180)&gt;0,
    COUNTIFS($AJ$2:$AJ$200,$G180)&gt;0,
    COUNTIFS($AK$2:$AK$200,$G180)&gt;0,
    COUNTIFS($AL$2:$AL$200,$G180)&gt;0,
    COUNTIFS($AM$2:$AM$200,$G180)&gt;0,
    COUNTIFS($AN$2:$AN$200,$G180)&gt;0,
    COUNTIFS($AO$2:$AO$200,$G180)&gt;0,
    COUNTIFS($AP$2:$AP$200,$G180)&gt;0,
    COUNTIFS($AQ$2:$AQ$200,$G180)&gt;0,
    COUNTIFS($AR$2:$AR$200,$G180)&gt;0,
    COUNTIFS($AS$2:$AS$200,$G180)&gt;0,
    COUNTIFS($AT$2:$AT$200,$G180)&gt;0,
    COUNTIFS($AU$2:$AU$200,$G180)&gt;0,
    COUNTIFS($AV$2:$AV$200,$G180)&gt;0,
    COUNTIFS($AW$2:$AW$200,$G180)&gt;0,
    COUNTIFS($AX$2:$AX$200,$G180)&gt;0
   ),
  0)
 ),
"")</f>
        <v>Yuriko</v>
      </c>
      <c r="D180" s="3" t="str" cm="1">
        <f t="array" aca="1" ref="D180" ca="1">IFERROR(
 INDEX(
  _xlfn._xlws.FILTER($U$1:$AX$1,
   TRANSPOSE(
    CHOOSE({1;2;3;4;5;6;7;8;9;10;11;12;13;14;15;16;17;18;19;20;21;22;23;24;25;26;27;28;29;30},
     COUNTIFS($U$2:$U$200,$G180)&gt;0,
     COUNTIFS($V$2:$V$200,$G180)&gt;0,
     COUNTIFS($W$2:$W$200,$G180)&gt;0,
     COUNTIFS($X$2:$X$200,$G180)&gt;0,
     COUNTIFS($Y$2:$Y$200,$G180)&gt;0,
     COUNTIFS($Z$2:$Z$200,$G180)&gt;0,
     COUNTIFS($AA$2:$AA$200,$G180)&gt;0,
     COUNTIFS($AB$2:$AB$200,$G180)&gt;0,
     COUNTIFS($AC$2:$AC$200,$G180)&gt;0,
     COUNTIFS($AD$2:$AD$200,$G180)&gt;0,
     COUNTIFS($AE$2:$AE$200,$G180)&gt;0,
     COUNTIFS($AF$2:$AF$200,$G180)&gt;0,
     COUNTIFS($AG$2:$AG$200,$G180)&gt;0,
     COUNTIFS($AH$2:$AH$200,$G180)&gt;0,
     COUNTIFS($AI$2:$AI$200,$G180)&gt;0,
     COUNTIFS($AJ$2:$AJ$200,$G180)&gt;0,
     COUNTIFS($AK$2:$AK$200,$G180)&gt;0,
     COUNTIFS($AL$2:$AL$200,$G180)&gt;0,
     COUNTIFS($AM$2:$AM$200,$G180)&gt;0,
     COUNTIFS($AN$2:$AN$200,$G180)&gt;0,
     COUNTIFS($AO$2:$AO$200,$G180)&gt;0,
     COUNTIFS($AP$2:$AP$200,$G180)&gt;0,
     COUNTIFS($AQ$2:$AQ$200,$G180)&gt;0,
     COUNTIFS($AR$2:$AR$200,$G180)&gt;0,
     COUNTIFS($AS$2:$AS$200,$G180)&gt;0,
     COUNTIFS($AT$2:$AT$200,$G180)&gt;0,
     COUNTIFS($AU$2:$AU$200,$G180)&gt;0,
     COUNTIFS($AV$2:$AV$200,$G180)&gt;0,
     COUNTIFS($AW$2:$AW$200,$G180)&gt;0,
     COUNTIFS($AX$2:$AX$200,$G180)&gt;0
   )),
  ),
  2
 ),
"")</f>
        <v/>
      </c>
      <c r="E180" s="3" t="str" cm="1">
        <f t="array" aca="1" ref="E180" ca="1">IFERROR(
 INDEX(
  _xlfn._xlws.FILTER($U$1:$AX$1,
   TRANSPOSE(
    CHOOSE({1;2;3;4;5;6;7;8;9;10;11;12;13;14;15;16;17;18;19;20;21;22;23;24;25;26;27;28;29;30},
     COUNTIFS($U$2:$U$200,$G180)&gt;0,
     COUNTIFS($V$2:$V$200,$G180)&gt;0,
     COUNTIFS($W$2:$W$200,$G180)&gt;0,
     COUNTIFS($X$2:$X$200,$G180)&gt;0,
     COUNTIFS($Y$2:$Y$200,$G180)&gt;0,
     COUNTIFS($Z$2:$Z$200,$G180)&gt;0,
     COUNTIFS($AA$2:$AA$200,$G180)&gt;0,
     COUNTIFS($AB$2:$AB$200,$G180)&gt;0,
     COUNTIFS($AC$2:$AC$200,$G180)&gt;0,
     COUNTIFS($AD$2:$AD$200,$G180)&gt;0,
     COUNTIFS($AE$2:$AE$200,$G180)&gt;0,
     COUNTIFS($AF$2:$AF$200,$G180)&gt;0,
     COUNTIFS($AG$2:$AG$200,$G180)&gt;0,
     COUNTIFS($AH$2:$AH$200,$G180)&gt;0,
     COUNTIFS($AI$2:$AI$200,$G180)&gt;0,
     COUNTIFS($AJ$2:$AJ$200,$G180)&gt;0,
     COUNTIFS($AK$2:$AK$200,$G180)&gt;0,
     COUNTIFS($AL$2:$AL$200,$G180)&gt;0,
     COUNTIFS($AM$2:$AM$200,$G180)&gt;0,
     COUNTIFS($AN$2:$AN$200,$G180)&gt;0,
     COUNTIFS($AO$2:$AO$200,$G180)&gt;0,
     COUNTIFS($AP$2:$AP$200,$G180)&gt;0,
     COUNTIFS($AQ$2:$AQ$200,$G180)&gt;0,
     COUNTIFS($AR$2:$AR$200,$G180)&gt;0,
     COUNTIFS($AS$2:$AS$200,$G180)&gt;0,
     COUNTIFS($AT$2:$AT$200,$G180)&gt;0,
     COUNTIFS($AU$2:$AU$200,$G180)&gt;0,
     COUNTIFS($AV$2:$AV$200,$G180)&gt;0,
     COUNTIFS($AW$2:$AW$200,$G180)&gt;0,
     COUNTIFS($AX$2:$AX$200,$G180)&gt;0
   )),
  ),
  3
 ),
"")</f>
        <v/>
      </c>
      <c r="F180" s="3" t="str" cm="1">
        <f t="array" aca="1" ref="F180" ca="1">IFERROR(
 INDEX(
  _xlfn._xlws.FILTER($U$1:$AX$1,
   TRANSPOSE(
    CHOOSE({1;2;3;4;5;6;7;8;9;10;11;12;13;14;15;16;17;18;19;20;21;22;23;24;25;26;27;28;29;30},
     COUNTIFS($U$2:$U$200,$G180)&gt;0,
     COUNTIFS($V$2:$V$200,$G180)&gt;0,
     COUNTIFS($W$2:$W$200,$G180)&gt;0,
     COUNTIFS($X$2:$X$200,$G180)&gt;0,
     COUNTIFS($Y$2:$Y$200,$G180)&gt;0,
     COUNTIFS($Z$2:$Z$200,$G180)&gt;0,
     COUNTIFS($AA$2:$AA$200,$G180)&gt;0,
     COUNTIFS($AB$2:$AB$200,$G180)&gt;0,
     COUNTIFS($AC$2:$AC$200,$G180)&gt;0,
     COUNTIFS($AD$2:$AD$200,$G180)&gt;0,
     COUNTIFS($AE$2:$AE$200,$G180)&gt;0,
     COUNTIFS($AF$2:$AF$200,$G180)&gt;0,
     COUNTIFS($AG$2:$AG$200,$G180)&gt;0,
     COUNTIFS($AH$2:$AH$200,$G180)&gt;0,
     COUNTIFS($AI$2:$AI$200,$G180)&gt;0,
     COUNTIFS($AJ$2:$AJ$200,$G180)&gt;0,
     COUNTIFS($AK$2:$AK$200,$G180)&gt;0,
     COUNTIFS($AL$2:$AL$200,$G180)&gt;0,
     COUNTIFS($AM$2:$AM$200,$G180)&gt;0,
     COUNTIFS($AN$2:$AN$200,$G180)&gt;0,
     COUNTIFS($AO$2:$AO$200,$G180)&gt;0,
     COUNTIFS($AP$2:$AP$200,$G180)&gt;0,
     COUNTIFS($AQ$2:$AQ$200,$G180)&gt;0,
     COUNTIFS($AR$2:$AR$200,$G180)&gt;0,
     COUNTIFS($AS$2:$AS$200,$G180)&gt;0,
     COUNTIFS($AT$2:$AT$200,$G180)&gt;0,
     COUNTIFS($AU$2:$AU$200,$G180)&gt;0,
     COUNTIFS($AV$2:$AV$200,$G180)&gt;0,
     COUNTIFS($AW$2:$AW$200,$G180)&gt;0,
     COUNTIFS($AX$2:$AX$200,$G180)&gt;0
   )),
  ),
  4
 ),
"")</f>
        <v/>
      </c>
      <c r="G180" t="str">
        <f ca="1"/>
        <v>Morphic Pool</v>
      </c>
      <c r="CG180" t="str">
        <f ca="1"/>
        <v>Sokenzan, Crucible of Defiance</v>
      </c>
      <c r="CJ180" t="str">
        <f ca="1"/>
        <v>Morphic Pool</v>
      </c>
    </row>
    <row r="181" spans="1:88" x14ac:dyDescent="0.25">
      <c r="A181" s="3" t="str">
        <f t="shared" ca="1" si="6"/>
        <v>3</v>
      </c>
      <c r="B181" s="3">
        <f t="shared" ca="1" si="7"/>
        <v>1</v>
      </c>
      <c r="C181" s="3" t="str">
        <f ca="1">IFERROR(
 INDEX($U$1:$AX$1,
  MATCH(TRUE,
   CHOOSE({1;2;3;4;5;6;7;8;9;10;11;12;13;14;15;16;17;18;19;20;21;22;23;24;25;26;27;28;29;30;31;32},
    COUNTIFS($U$2:$U$200,$G181)&gt;0,
    COUNTIFS($V$2:$V$200,$G181)&gt;0,
    COUNTIFS($W$2:$W$200,$G181)&gt;0,
    COUNTIFS($X$2:$X$200,$G181)&gt;0,
    COUNTIFS($Y$2:$Y$200,$G181)&gt;0,
    COUNTIFS($Z$2:$Z$200,$G181)&gt;0,
    COUNTIFS($AA$2:$AA$200,$G181)&gt;0,
    COUNTIFS($AB$2:$AB$200,$G181)&gt;0,
    COUNTIFS($AC$2:$AC$200,$G181)&gt;0,
    COUNTIFS($AD$2:$AD$200,$G181)&gt;0,
    COUNTIFS($AE$2:$AE$200,$G181)&gt;0,
    COUNTIFS($AF$2:$AF$200,$G181)&gt;0,
    COUNTIFS($AG$2:$AG$200,$G181)&gt;0,
    COUNTIFS($AH$2:$AH$200,$G181)&gt;0,
    COUNTIFS($AI$2:$AI$200,$G181)&gt;0,
    COUNTIFS($AJ$2:$AJ$200,$G181)&gt;0,
    COUNTIFS($AK$2:$AK$200,$G181)&gt;0,
    COUNTIFS($AL$2:$AL$200,$G181)&gt;0,
    COUNTIFS($AM$2:$AM$200,$G181)&gt;0,
    COUNTIFS($AN$2:$AN$200,$G181)&gt;0,
    COUNTIFS($AO$2:$AO$200,$G181)&gt;0,
    COUNTIFS($AP$2:$AP$200,$G181)&gt;0,
    COUNTIFS($AQ$2:$AQ$200,$G181)&gt;0,
    COUNTIFS($AR$2:$AR$200,$G181)&gt;0,
    COUNTIFS($AS$2:$AS$200,$G181)&gt;0,
    COUNTIFS($AT$2:$AT$200,$G181)&gt;0,
    COUNTIFS($AU$2:$AU$200,$G181)&gt;0,
    COUNTIFS($AV$2:$AV$200,$G181)&gt;0,
    COUNTIFS($AW$2:$AW$200,$G181)&gt;0,
    COUNTIFS($AX$2:$AX$200,$G181)&gt;0
   ),
  0)
 ),
"")</f>
        <v>Carlos</v>
      </c>
      <c r="D181" s="3" t="str" cm="1">
        <f t="array" aca="1" ref="D181" ca="1">IFERROR(
 INDEX(
  _xlfn._xlws.FILTER($U$1:$AX$1,
   TRANSPOSE(
    CHOOSE({1;2;3;4;5;6;7;8;9;10;11;12;13;14;15;16;17;18;19;20;21;22;23;24;25;26;27;28;29;30},
     COUNTIFS($U$2:$U$200,$G181)&gt;0,
     COUNTIFS($V$2:$V$200,$G181)&gt;0,
     COUNTIFS($W$2:$W$200,$G181)&gt;0,
     COUNTIFS($X$2:$X$200,$G181)&gt;0,
     COUNTIFS($Y$2:$Y$200,$G181)&gt;0,
     COUNTIFS($Z$2:$Z$200,$G181)&gt;0,
     COUNTIFS($AA$2:$AA$200,$G181)&gt;0,
     COUNTIFS($AB$2:$AB$200,$G181)&gt;0,
     COUNTIFS($AC$2:$AC$200,$G181)&gt;0,
     COUNTIFS($AD$2:$AD$200,$G181)&gt;0,
     COUNTIFS($AE$2:$AE$200,$G181)&gt;0,
     COUNTIFS($AF$2:$AF$200,$G181)&gt;0,
     COUNTIFS($AG$2:$AG$200,$G181)&gt;0,
     COUNTIFS($AH$2:$AH$200,$G181)&gt;0,
     COUNTIFS($AI$2:$AI$200,$G181)&gt;0,
     COUNTIFS($AJ$2:$AJ$200,$G181)&gt;0,
     COUNTIFS($AK$2:$AK$200,$G181)&gt;0,
     COUNTIFS($AL$2:$AL$200,$G181)&gt;0,
     COUNTIFS($AM$2:$AM$200,$G181)&gt;0,
     COUNTIFS($AN$2:$AN$200,$G181)&gt;0,
     COUNTIFS($AO$2:$AO$200,$G181)&gt;0,
     COUNTIFS($AP$2:$AP$200,$G181)&gt;0,
     COUNTIFS($AQ$2:$AQ$200,$G181)&gt;0,
     COUNTIFS($AR$2:$AR$200,$G181)&gt;0,
     COUNTIFS($AS$2:$AS$200,$G181)&gt;0,
     COUNTIFS($AT$2:$AT$200,$G181)&gt;0,
     COUNTIFS($AU$2:$AU$200,$G181)&gt;0,
     COUNTIFS($AV$2:$AV$200,$G181)&gt;0,
     COUNTIFS($AW$2:$AW$200,$G181)&gt;0,
     COUNTIFS($AX$2:$AX$200,$G181)&gt;0
   )),
  ),
  2
 ),
"")</f>
        <v/>
      </c>
      <c r="E181" s="3" t="str" cm="1">
        <f t="array" aca="1" ref="E181" ca="1">IFERROR(
 INDEX(
  _xlfn._xlws.FILTER($U$1:$AX$1,
   TRANSPOSE(
    CHOOSE({1;2;3;4;5;6;7;8;9;10;11;12;13;14;15;16;17;18;19;20;21;22;23;24;25;26;27;28;29;30},
     COUNTIFS($U$2:$U$200,$G181)&gt;0,
     COUNTIFS($V$2:$V$200,$G181)&gt;0,
     COUNTIFS($W$2:$W$200,$G181)&gt;0,
     COUNTIFS($X$2:$X$200,$G181)&gt;0,
     COUNTIFS($Y$2:$Y$200,$G181)&gt;0,
     COUNTIFS($Z$2:$Z$200,$G181)&gt;0,
     COUNTIFS($AA$2:$AA$200,$G181)&gt;0,
     COUNTIFS($AB$2:$AB$200,$G181)&gt;0,
     COUNTIFS($AC$2:$AC$200,$G181)&gt;0,
     COUNTIFS($AD$2:$AD$200,$G181)&gt;0,
     COUNTIFS($AE$2:$AE$200,$G181)&gt;0,
     COUNTIFS($AF$2:$AF$200,$G181)&gt;0,
     COUNTIFS($AG$2:$AG$200,$G181)&gt;0,
     COUNTIFS($AH$2:$AH$200,$G181)&gt;0,
     COUNTIFS($AI$2:$AI$200,$G181)&gt;0,
     COUNTIFS($AJ$2:$AJ$200,$G181)&gt;0,
     COUNTIFS($AK$2:$AK$200,$G181)&gt;0,
     COUNTIFS($AL$2:$AL$200,$G181)&gt;0,
     COUNTIFS($AM$2:$AM$200,$G181)&gt;0,
     COUNTIFS($AN$2:$AN$200,$G181)&gt;0,
     COUNTIFS($AO$2:$AO$200,$G181)&gt;0,
     COUNTIFS($AP$2:$AP$200,$G181)&gt;0,
     COUNTIFS($AQ$2:$AQ$200,$G181)&gt;0,
     COUNTIFS($AR$2:$AR$200,$G181)&gt;0,
     COUNTIFS($AS$2:$AS$200,$G181)&gt;0,
     COUNTIFS($AT$2:$AT$200,$G181)&gt;0,
     COUNTIFS($AU$2:$AU$200,$G181)&gt;0,
     COUNTIFS($AV$2:$AV$200,$G181)&gt;0,
     COUNTIFS($AW$2:$AW$200,$G181)&gt;0,
     COUNTIFS($AX$2:$AX$200,$G181)&gt;0
   )),
  ),
  3
 ),
"")</f>
        <v/>
      </c>
      <c r="F181" s="3" t="str" cm="1">
        <f t="array" aca="1" ref="F181" ca="1">IFERROR(
 INDEX(
  _xlfn._xlws.FILTER($U$1:$AX$1,
   TRANSPOSE(
    CHOOSE({1;2;3;4;5;6;7;8;9;10;11;12;13;14;15;16;17;18;19;20;21;22;23;24;25;26;27;28;29;30},
     COUNTIFS($U$2:$U$200,$G181)&gt;0,
     COUNTIFS($V$2:$V$200,$G181)&gt;0,
     COUNTIFS($W$2:$W$200,$G181)&gt;0,
     COUNTIFS($X$2:$X$200,$G181)&gt;0,
     COUNTIFS($Y$2:$Y$200,$G181)&gt;0,
     COUNTIFS($Z$2:$Z$200,$G181)&gt;0,
     COUNTIFS($AA$2:$AA$200,$G181)&gt;0,
     COUNTIFS($AB$2:$AB$200,$G181)&gt;0,
     COUNTIFS($AC$2:$AC$200,$G181)&gt;0,
     COUNTIFS($AD$2:$AD$200,$G181)&gt;0,
     COUNTIFS($AE$2:$AE$200,$G181)&gt;0,
     COUNTIFS($AF$2:$AF$200,$G181)&gt;0,
     COUNTIFS($AG$2:$AG$200,$G181)&gt;0,
     COUNTIFS($AH$2:$AH$200,$G181)&gt;0,
     COUNTIFS($AI$2:$AI$200,$G181)&gt;0,
     COUNTIFS($AJ$2:$AJ$200,$G181)&gt;0,
     COUNTIFS($AK$2:$AK$200,$G181)&gt;0,
     COUNTIFS($AL$2:$AL$200,$G181)&gt;0,
     COUNTIFS($AM$2:$AM$200,$G181)&gt;0,
     COUNTIFS($AN$2:$AN$200,$G181)&gt;0,
     COUNTIFS($AO$2:$AO$200,$G181)&gt;0,
     COUNTIFS($AP$2:$AP$200,$G181)&gt;0,
     COUNTIFS($AQ$2:$AQ$200,$G181)&gt;0,
     COUNTIFS($AR$2:$AR$200,$G181)&gt;0,
     COUNTIFS($AS$2:$AS$200,$G181)&gt;0,
     COUNTIFS($AT$2:$AT$200,$G181)&gt;0,
     COUNTIFS($AU$2:$AU$200,$G181)&gt;0,
     COUNTIFS($AV$2:$AV$200,$G181)&gt;0,
     COUNTIFS($AW$2:$AW$200,$G181)&gt;0,
     COUNTIFS($AX$2:$AX$200,$G181)&gt;0
   )),
  ),
  4
 ),
"")</f>
        <v/>
      </c>
      <c r="G181" t="str">
        <f ca="1"/>
        <v>Mother of runes</v>
      </c>
      <c r="CG181" t="str">
        <f ca="1"/>
        <v>Sol Ring</v>
      </c>
      <c r="CJ181" t="str">
        <f ca="1"/>
        <v>Mother of runes</v>
      </c>
    </row>
    <row r="182" spans="1:88" x14ac:dyDescent="0.25">
      <c r="A182" s="3" t="str">
        <f t="shared" ca="1" si="6"/>
        <v>3</v>
      </c>
      <c r="B182" s="3">
        <f t="shared" ca="1" si="7"/>
        <v>1</v>
      </c>
      <c r="C182" s="3" t="str">
        <f ca="1">IFERROR(
 INDEX($U$1:$AX$1,
  MATCH(TRUE,
   CHOOSE({1;2;3;4;5;6;7;8;9;10;11;12;13;14;15;16;17;18;19;20;21;22;23;24;25;26;27;28;29;30;31;32},
    COUNTIFS($U$2:$U$200,$G182)&gt;0,
    COUNTIFS($V$2:$V$200,$G182)&gt;0,
    COUNTIFS($W$2:$W$200,$G182)&gt;0,
    COUNTIFS($X$2:$X$200,$G182)&gt;0,
    COUNTIFS($Y$2:$Y$200,$G182)&gt;0,
    COUNTIFS($Z$2:$Z$200,$G182)&gt;0,
    COUNTIFS($AA$2:$AA$200,$G182)&gt;0,
    COUNTIFS($AB$2:$AB$200,$G182)&gt;0,
    COUNTIFS($AC$2:$AC$200,$G182)&gt;0,
    COUNTIFS($AD$2:$AD$200,$G182)&gt;0,
    COUNTIFS($AE$2:$AE$200,$G182)&gt;0,
    COUNTIFS($AF$2:$AF$200,$G182)&gt;0,
    COUNTIFS($AG$2:$AG$200,$G182)&gt;0,
    COUNTIFS($AH$2:$AH$200,$G182)&gt;0,
    COUNTIFS($AI$2:$AI$200,$G182)&gt;0,
    COUNTIFS($AJ$2:$AJ$200,$G182)&gt;0,
    COUNTIFS($AK$2:$AK$200,$G182)&gt;0,
    COUNTIFS($AL$2:$AL$200,$G182)&gt;0,
    COUNTIFS($AM$2:$AM$200,$G182)&gt;0,
    COUNTIFS($AN$2:$AN$200,$G182)&gt;0,
    COUNTIFS($AO$2:$AO$200,$G182)&gt;0,
    COUNTIFS($AP$2:$AP$200,$G182)&gt;0,
    COUNTIFS($AQ$2:$AQ$200,$G182)&gt;0,
    COUNTIFS($AR$2:$AR$200,$G182)&gt;0,
    COUNTIFS($AS$2:$AS$200,$G182)&gt;0,
    COUNTIFS($AT$2:$AT$200,$G182)&gt;0,
    COUNTIFS($AU$2:$AU$200,$G182)&gt;0,
    COUNTIFS($AV$2:$AV$200,$G182)&gt;0,
    COUNTIFS($AW$2:$AW$200,$G182)&gt;0,
    COUNTIFS($AX$2:$AX$200,$G182)&gt;0
   ),
  0)
 ),
"")</f>
        <v>JhoiraB</v>
      </c>
      <c r="D182" s="3" t="str" cm="1">
        <f t="array" aca="1" ref="D182" ca="1">IFERROR(
 INDEX(
  _xlfn._xlws.FILTER($U$1:$AX$1,
   TRANSPOSE(
    CHOOSE({1;2;3;4;5;6;7;8;9;10;11;12;13;14;15;16;17;18;19;20;21;22;23;24;25;26;27;28;29;30},
     COUNTIFS($U$2:$U$200,$G182)&gt;0,
     COUNTIFS($V$2:$V$200,$G182)&gt;0,
     COUNTIFS($W$2:$W$200,$G182)&gt;0,
     COUNTIFS($X$2:$X$200,$G182)&gt;0,
     COUNTIFS($Y$2:$Y$200,$G182)&gt;0,
     COUNTIFS($Z$2:$Z$200,$G182)&gt;0,
     COUNTIFS($AA$2:$AA$200,$G182)&gt;0,
     COUNTIFS($AB$2:$AB$200,$G182)&gt;0,
     COUNTIFS($AC$2:$AC$200,$G182)&gt;0,
     COUNTIFS($AD$2:$AD$200,$G182)&gt;0,
     COUNTIFS($AE$2:$AE$200,$G182)&gt;0,
     COUNTIFS($AF$2:$AF$200,$G182)&gt;0,
     COUNTIFS($AG$2:$AG$200,$G182)&gt;0,
     COUNTIFS($AH$2:$AH$200,$G182)&gt;0,
     COUNTIFS($AI$2:$AI$200,$G182)&gt;0,
     COUNTIFS($AJ$2:$AJ$200,$G182)&gt;0,
     COUNTIFS($AK$2:$AK$200,$G182)&gt;0,
     COUNTIFS($AL$2:$AL$200,$G182)&gt;0,
     COUNTIFS($AM$2:$AM$200,$G182)&gt;0,
     COUNTIFS($AN$2:$AN$200,$G182)&gt;0,
     COUNTIFS($AO$2:$AO$200,$G182)&gt;0,
     COUNTIFS($AP$2:$AP$200,$G182)&gt;0,
     COUNTIFS($AQ$2:$AQ$200,$G182)&gt;0,
     COUNTIFS($AR$2:$AR$200,$G182)&gt;0,
     COUNTIFS($AS$2:$AS$200,$G182)&gt;0,
     COUNTIFS($AT$2:$AT$200,$G182)&gt;0,
     COUNTIFS($AU$2:$AU$200,$G182)&gt;0,
     COUNTIFS($AV$2:$AV$200,$G182)&gt;0,
     COUNTIFS($AW$2:$AW$200,$G182)&gt;0,
     COUNTIFS($AX$2:$AX$200,$G182)&gt;0
   )),
  ),
  2
 ),
"")</f>
        <v/>
      </c>
      <c r="E182" s="3" t="str" cm="1">
        <f t="array" aca="1" ref="E182" ca="1">IFERROR(
 INDEX(
  _xlfn._xlws.FILTER($U$1:$AX$1,
   TRANSPOSE(
    CHOOSE({1;2;3;4;5;6;7;8;9;10;11;12;13;14;15;16;17;18;19;20;21;22;23;24;25;26;27;28;29;30},
     COUNTIFS($U$2:$U$200,$G182)&gt;0,
     COUNTIFS($V$2:$V$200,$G182)&gt;0,
     COUNTIFS($W$2:$W$200,$G182)&gt;0,
     COUNTIFS($X$2:$X$200,$G182)&gt;0,
     COUNTIFS($Y$2:$Y$200,$G182)&gt;0,
     COUNTIFS($Z$2:$Z$200,$G182)&gt;0,
     COUNTIFS($AA$2:$AA$200,$G182)&gt;0,
     COUNTIFS($AB$2:$AB$200,$G182)&gt;0,
     COUNTIFS($AC$2:$AC$200,$G182)&gt;0,
     COUNTIFS($AD$2:$AD$200,$G182)&gt;0,
     COUNTIFS($AE$2:$AE$200,$G182)&gt;0,
     COUNTIFS($AF$2:$AF$200,$G182)&gt;0,
     COUNTIFS($AG$2:$AG$200,$G182)&gt;0,
     COUNTIFS($AH$2:$AH$200,$G182)&gt;0,
     COUNTIFS($AI$2:$AI$200,$G182)&gt;0,
     COUNTIFS($AJ$2:$AJ$200,$G182)&gt;0,
     COUNTIFS($AK$2:$AK$200,$G182)&gt;0,
     COUNTIFS($AL$2:$AL$200,$G182)&gt;0,
     COUNTIFS($AM$2:$AM$200,$G182)&gt;0,
     COUNTIFS($AN$2:$AN$200,$G182)&gt;0,
     COUNTIFS($AO$2:$AO$200,$G182)&gt;0,
     COUNTIFS($AP$2:$AP$200,$G182)&gt;0,
     COUNTIFS($AQ$2:$AQ$200,$G182)&gt;0,
     COUNTIFS($AR$2:$AR$200,$G182)&gt;0,
     COUNTIFS($AS$2:$AS$200,$G182)&gt;0,
     COUNTIFS($AT$2:$AT$200,$G182)&gt;0,
     COUNTIFS($AU$2:$AU$200,$G182)&gt;0,
     COUNTIFS($AV$2:$AV$200,$G182)&gt;0,
     COUNTIFS($AW$2:$AW$200,$G182)&gt;0,
     COUNTIFS($AX$2:$AX$200,$G182)&gt;0
   )),
  ),
  3
 ),
"")</f>
        <v/>
      </c>
      <c r="F182" s="3" t="str" cm="1">
        <f t="array" aca="1" ref="F182" ca="1">IFERROR(
 INDEX(
  _xlfn._xlws.FILTER($U$1:$AX$1,
   TRANSPOSE(
    CHOOSE({1;2;3;4;5;6;7;8;9;10;11;12;13;14;15;16;17;18;19;20;21;22;23;24;25;26;27;28;29;30},
     COUNTIFS($U$2:$U$200,$G182)&gt;0,
     COUNTIFS($V$2:$V$200,$G182)&gt;0,
     COUNTIFS($W$2:$W$200,$G182)&gt;0,
     COUNTIFS($X$2:$X$200,$G182)&gt;0,
     COUNTIFS($Y$2:$Y$200,$G182)&gt;0,
     COUNTIFS($Z$2:$Z$200,$G182)&gt;0,
     COUNTIFS($AA$2:$AA$200,$G182)&gt;0,
     COUNTIFS($AB$2:$AB$200,$G182)&gt;0,
     COUNTIFS($AC$2:$AC$200,$G182)&gt;0,
     COUNTIFS($AD$2:$AD$200,$G182)&gt;0,
     COUNTIFS($AE$2:$AE$200,$G182)&gt;0,
     COUNTIFS($AF$2:$AF$200,$G182)&gt;0,
     COUNTIFS($AG$2:$AG$200,$G182)&gt;0,
     COUNTIFS($AH$2:$AH$200,$G182)&gt;0,
     COUNTIFS($AI$2:$AI$200,$G182)&gt;0,
     COUNTIFS($AJ$2:$AJ$200,$G182)&gt;0,
     COUNTIFS($AK$2:$AK$200,$G182)&gt;0,
     COUNTIFS($AL$2:$AL$200,$G182)&gt;0,
     COUNTIFS($AM$2:$AM$200,$G182)&gt;0,
     COUNTIFS($AN$2:$AN$200,$G182)&gt;0,
     COUNTIFS($AO$2:$AO$200,$G182)&gt;0,
     COUNTIFS($AP$2:$AP$200,$G182)&gt;0,
     COUNTIFS($AQ$2:$AQ$200,$G182)&gt;0,
     COUNTIFS($AR$2:$AR$200,$G182)&gt;0,
     COUNTIFS($AS$2:$AS$200,$G182)&gt;0,
     COUNTIFS($AT$2:$AT$200,$G182)&gt;0,
     COUNTIFS($AU$2:$AU$200,$G182)&gt;0,
     COUNTIFS($AV$2:$AV$200,$G182)&gt;0,
     COUNTIFS($AW$2:$AW$200,$G182)&gt;0,
     COUNTIFS($AX$2:$AX$200,$G182)&gt;0
   )),
  ),
  4
 ),
"")</f>
        <v/>
      </c>
      <c r="G182" t="str">
        <f ca="1"/>
        <v>Mox Tantalite</v>
      </c>
      <c r="CG182" t="str">
        <f ca="1"/>
        <v>Song of Freyalise</v>
      </c>
      <c r="CJ182" t="str">
        <f ca="1"/>
        <v>Mox Tantalite</v>
      </c>
    </row>
    <row r="183" spans="1:88" x14ac:dyDescent="0.25">
      <c r="A183" s="3" t="str">
        <f t="shared" ca="1" si="6"/>
        <v>1</v>
      </c>
      <c r="B183" s="3">
        <f t="shared" ca="1" si="7"/>
        <v>1</v>
      </c>
      <c r="C183" s="3" t="str">
        <f ca="1">IFERROR(
 INDEX($U$1:$AX$1,
  MATCH(TRUE,
   CHOOSE({1;2;3;4;5;6;7;8;9;10;11;12;13;14;15;16;17;18;19;20;21;22;23;24;25;26;27;28;29;30;31;32},
    COUNTIFS($U$2:$U$200,$G183)&gt;0,
    COUNTIFS($V$2:$V$200,$G183)&gt;0,
    COUNTIFS($W$2:$W$200,$G183)&gt;0,
    COUNTIFS($X$2:$X$200,$G183)&gt;0,
    COUNTIFS($Y$2:$Y$200,$G183)&gt;0,
    COUNTIFS($Z$2:$Z$200,$G183)&gt;0,
    COUNTIFS($AA$2:$AA$200,$G183)&gt;0,
    COUNTIFS($AB$2:$AB$200,$G183)&gt;0,
    COUNTIFS($AC$2:$AC$200,$G183)&gt;0,
    COUNTIFS($AD$2:$AD$200,$G183)&gt;0,
    COUNTIFS($AE$2:$AE$200,$G183)&gt;0,
    COUNTIFS($AF$2:$AF$200,$G183)&gt;0,
    COUNTIFS($AG$2:$AG$200,$G183)&gt;0,
    COUNTIFS($AH$2:$AH$200,$G183)&gt;0,
    COUNTIFS($AI$2:$AI$200,$G183)&gt;0,
    COUNTIFS($AJ$2:$AJ$200,$G183)&gt;0,
    COUNTIFS($AK$2:$AK$200,$G183)&gt;0,
    COUNTIFS($AL$2:$AL$200,$G183)&gt;0,
    COUNTIFS($AM$2:$AM$200,$G183)&gt;0,
    COUNTIFS($AN$2:$AN$200,$G183)&gt;0,
    COUNTIFS($AO$2:$AO$200,$G183)&gt;0,
    COUNTIFS($AP$2:$AP$200,$G183)&gt;0,
    COUNTIFS($AQ$2:$AQ$200,$G183)&gt;0,
    COUNTIFS($AR$2:$AR$200,$G183)&gt;0,
    COUNTIFS($AS$2:$AS$200,$G183)&gt;0,
    COUNTIFS($AT$2:$AT$200,$G183)&gt;0,
    COUNTIFS($AU$2:$AU$200,$G183)&gt;0,
    COUNTIFS($AV$2:$AV$200,$G183)&gt;0,
    COUNTIFS($AW$2:$AW$200,$G183)&gt;0,
    COUNTIFS($AX$2:$AX$200,$G183)&gt;0
   ),
  0)
 ),
"")</f>
        <v>Modular</v>
      </c>
      <c r="D183" s="3" t="str" cm="1">
        <f t="array" aca="1" ref="D183" ca="1">IFERROR(
 INDEX(
  _xlfn._xlws.FILTER($U$1:$AX$1,
   TRANSPOSE(
    CHOOSE({1;2;3;4;5;6;7;8;9;10;11;12;13;14;15;16;17;18;19;20;21;22;23;24;25;26;27;28;29;30},
     COUNTIFS($U$2:$U$200,$G183)&gt;0,
     COUNTIFS($V$2:$V$200,$G183)&gt;0,
     COUNTIFS($W$2:$W$200,$G183)&gt;0,
     COUNTIFS($X$2:$X$200,$G183)&gt;0,
     COUNTIFS($Y$2:$Y$200,$G183)&gt;0,
     COUNTIFS($Z$2:$Z$200,$G183)&gt;0,
     COUNTIFS($AA$2:$AA$200,$G183)&gt;0,
     COUNTIFS($AB$2:$AB$200,$G183)&gt;0,
     COUNTIFS($AC$2:$AC$200,$G183)&gt;0,
     COUNTIFS($AD$2:$AD$200,$G183)&gt;0,
     COUNTIFS($AE$2:$AE$200,$G183)&gt;0,
     COUNTIFS($AF$2:$AF$200,$G183)&gt;0,
     COUNTIFS($AG$2:$AG$200,$G183)&gt;0,
     COUNTIFS($AH$2:$AH$200,$G183)&gt;0,
     COUNTIFS($AI$2:$AI$200,$G183)&gt;0,
     COUNTIFS($AJ$2:$AJ$200,$G183)&gt;0,
     COUNTIFS($AK$2:$AK$200,$G183)&gt;0,
     COUNTIFS($AL$2:$AL$200,$G183)&gt;0,
     COUNTIFS($AM$2:$AM$200,$G183)&gt;0,
     COUNTIFS($AN$2:$AN$200,$G183)&gt;0,
     COUNTIFS($AO$2:$AO$200,$G183)&gt;0,
     COUNTIFS($AP$2:$AP$200,$G183)&gt;0,
     COUNTIFS($AQ$2:$AQ$200,$G183)&gt;0,
     COUNTIFS($AR$2:$AR$200,$G183)&gt;0,
     COUNTIFS($AS$2:$AS$200,$G183)&gt;0,
     COUNTIFS($AT$2:$AT$200,$G183)&gt;0,
     COUNTIFS($AU$2:$AU$200,$G183)&gt;0,
     COUNTIFS($AV$2:$AV$200,$G183)&gt;0,
     COUNTIFS($AW$2:$AW$200,$G183)&gt;0,
     COUNTIFS($AX$2:$AX$200,$G183)&gt;0
   )),
  ),
  2
 ),
"")</f>
        <v/>
      </c>
      <c r="E183" s="3" t="str" cm="1">
        <f t="array" aca="1" ref="E183" ca="1">IFERROR(
 INDEX(
  _xlfn._xlws.FILTER($U$1:$AX$1,
   TRANSPOSE(
    CHOOSE({1;2;3;4;5;6;7;8;9;10;11;12;13;14;15;16;17;18;19;20;21;22;23;24;25;26;27;28;29;30},
     COUNTIFS($U$2:$U$200,$G183)&gt;0,
     COUNTIFS($V$2:$V$200,$G183)&gt;0,
     COUNTIFS($W$2:$W$200,$G183)&gt;0,
     COUNTIFS($X$2:$X$200,$G183)&gt;0,
     COUNTIFS($Y$2:$Y$200,$G183)&gt;0,
     COUNTIFS($Z$2:$Z$200,$G183)&gt;0,
     COUNTIFS($AA$2:$AA$200,$G183)&gt;0,
     COUNTIFS($AB$2:$AB$200,$G183)&gt;0,
     COUNTIFS($AC$2:$AC$200,$G183)&gt;0,
     COUNTIFS($AD$2:$AD$200,$G183)&gt;0,
     COUNTIFS($AE$2:$AE$200,$G183)&gt;0,
     COUNTIFS($AF$2:$AF$200,$G183)&gt;0,
     COUNTIFS($AG$2:$AG$200,$G183)&gt;0,
     COUNTIFS($AH$2:$AH$200,$G183)&gt;0,
     COUNTIFS($AI$2:$AI$200,$G183)&gt;0,
     COUNTIFS($AJ$2:$AJ$200,$G183)&gt;0,
     COUNTIFS($AK$2:$AK$200,$G183)&gt;0,
     COUNTIFS($AL$2:$AL$200,$G183)&gt;0,
     COUNTIFS($AM$2:$AM$200,$G183)&gt;0,
     COUNTIFS($AN$2:$AN$200,$G183)&gt;0,
     COUNTIFS($AO$2:$AO$200,$G183)&gt;0,
     COUNTIFS($AP$2:$AP$200,$G183)&gt;0,
     COUNTIFS($AQ$2:$AQ$200,$G183)&gt;0,
     COUNTIFS($AR$2:$AR$200,$G183)&gt;0,
     COUNTIFS($AS$2:$AS$200,$G183)&gt;0,
     COUNTIFS($AT$2:$AT$200,$G183)&gt;0,
     COUNTIFS($AU$2:$AU$200,$G183)&gt;0,
     COUNTIFS($AV$2:$AV$200,$G183)&gt;0,
     COUNTIFS($AW$2:$AW$200,$G183)&gt;0,
     COUNTIFS($AX$2:$AX$200,$G183)&gt;0
   )),
  ),
  3
 ),
"")</f>
        <v/>
      </c>
      <c r="F183" s="3" t="str" cm="1">
        <f t="array" aca="1" ref="F183" ca="1">IFERROR(
 INDEX(
  _xlfn._xlws.FILTER($U$1:$AX$1,
   TRANSPOSE(
    CHOOSE({1;2;3;4;5;6;7;8;9;10;11;12;13;14;15;16;17;18;19;20;21;22;23;24;25;26;27;28;29;30},
     COUNTIFS($U$2:$U$200,$G183)&gt;0,
     COUNTIFS($V$2:$V$200,$G183)&gt;0,
     COUNTIFS($W$2:$W$200,$G183)&gt;0,
     COUNTIFS($X$2:$X$200,$G183)&gt;0,
     COUNTIFS($Y$2:$Y$200,$G183)&gt;0,
     COUNTIFS($Z$2:$Z$200,$G183)&gt;0,
     COUNTIFS($AA$2:$AA$200,$G183)&gt;0,
     COUNTIFS($AB$2:$AB$200,$G183)&gt;0,
     COUNTIFS($AC$2:$AC$200,$G183)&gt;0,
     COUNTIFS($AD$2:$AD$200,$G183)&gt;0,
     COUNTIFS($AE$2:$AE$200,$G183)&gt;0,
     COUNTIFS($AF$2:$AF$200,$G183)&gt;0,
     COUNTIFS($AG$2:$AG$200,$G183)&gt;0,
     COUNTIFS($AH$2:$AH$200,$G183)&gt;0,
     COUNTIFS($AI$2:$AI$200,$G183)&gt;0,
     COUNTIFS($AJ$2:$AJ$200,$G183)&gt;0,
     COUNTIFS($AK$2:$AK$200,$G183)&gt;0,
     COUNTIFS($AL$2:$AL$200,$G183)&gt;0,
     COUNTIFS($AM$2:$AM$200,$G183)&gt;0,
     COUNTIFS($AN$2:$AN$200,$G183)&gt;0,
     COUNTIFS($AO$2:$AO$200,$G183)&gt;0,
     COUNTIFS($AP$2:$AP$200,$G183)&gt;0,
     COUNTIFS($AQ$2:$AQ$200,$G183)&gt;0,
     COUNTIFS($AR$2:$AR$200,$G183)&gt;0,
     COUNTIFS($AS$2:$AS$200,$G183)&gt;0,
     COUNTIFS($AT$2:$AT$200,$G183)&gt;0,
     COUNTIFS($AU$2:$AU$200,$G183)&gt;0,
     COUNTIFS($AV$2:$AV$200,$G183)&gt;0,
     COUNTIFS($AW$2:$AW$200,$G183)&gt;0,
     COUNTIFS($AX$2:$AX$200,$G183)&gt;0
   )),
  ),
  4
 ),
"")</f>
        <v/>
      </c>
      <c r="G183" t="str">
        <f ca="1"/>
        <v>Mystic Forge</v>
      </c>
      <c r="CG183" t="str">
        <f ca="1"/>
        <v>Sonic Screwdriver</v>
      </c>
      <c r="CJ183" t="str">
        <f ca="1"/>
        <v>Mystic Forge</v>
      </c>
    </row>
    <row r="184" spans="1:88" x14ac:dyDescent="0.25">
      <c r="A184" s="3" t="str">
        <f t="shared" ca="1" si="6"/>
        <v>4</v>
      </c>
      <c r="B184" s="3">
        <f t="shared" ca="1" si="7"/>
        <v>1</v>
      </c>
      <c r="C184" s="3" t="str">
        <f ca="1">IFERROR(
 INDEX($U$1:$AX$1,
  MATCH(TRUE,
   CHOOSE({1;2;3;4;5;6;7;8;9;10;11;12;13;14;15;16;17;18;19;20;21;22;23;24;25;26;27;28;29;30;31;32},
    COUNTIFS($U$2:$U$200,$G184)&gt;0,
    COUNTIFS($V$2:$V$200,$G184)&gt;0,
    COUNTIFS($W$2:$W$200,$G184)&gt;0,
    COUNTIFS($X$2:$X$200,$G184)&gt;0,
    COUNTIFS($Y$2:$Y$200,$G184)&gt;0,
    COUNTIFS($Z$2:$Z$200,$G184)&gt;0,
    COUNTIFS($AA$2:$AA$200,$G184)&gt;0,
    COUNTIFS($AB$2:$AB$200,$G184)&gt;0,
    COUNTIFS($AC$2:$AC$200,$G184)&gt;0,
    COUNTIFS($AD$2:$AD$200,$G184)&gt;0,
    COUNTIFS($AE$2:$AE$200,$G184)&gt;0,
    COUNTIFS($AF$2:$AF$200,$G184)&gt;0,
    COUNTIFS($AG$2:$AG$200,$G184)&gt;0,
    COUNTIFS($AH$2:$AH$200,$G184)&gt;0,
    COUNTIFS($AI$2:$AI$200,$G184)&gt;0,
    COUNTIFS($AJ$2:$AJ$200,$G184)&gt;0,
    COUNTIFS($AK$2:$AK$200,$G184)&gt;0,
    COUNTIFS($AL$2:$AL$200,$G184)&gt;0,
    COUNTIFS($AM$2:$AM$200,$G184)&gt;0,
    COUNTIFS($AN$2:$AN$200,$G184)&gt;0,
    COUNTIFS($AO$2:$AO$200,$G184)&gt;0,
    COUNTIFS($AP$2:$AP$200,$G184)&gt;0,
    COUNTIFS($AQ$2:$AQ$200,$G184)&gt;0,
    COUNTIFS($AR$2:$AR$200,$G184)&gt;0,
    COUNTIFS($AS$2:$AS$200,$G184)&gt;0,
    COUNTIFS($AT$2:$AT$200,$G184)&gt;0,
    COUNTIFS($AU$2:$AU$200,$G184)&gt;0,
    COUNTIFS($AV$2:$AV$200,$G184)&gt;0,
    COUNTIFS($AW$2:$AW$200,$G184)&gt;0,
    COUNTIFS($AX$2:$AX$200,$G184)&gt;0
   ),
  0)
 ),
"")</f>
        <v>Kresh</v>
      </c>
      <c r="D184" s="3" t="str" cm="1">
        <f t="array" aca="1" ref="D184" ca="1">IFERROR(
 INDEX(
  _xlfn._xlws.FILTER($U$1:$AX$1,
   TRANSPOSE(
    CHOOSE({1;2;3;4;5;6;7;8;9;10;11;12;13;14;15;16;17;18;19;20;21;22;23;24;25;26;27;28;29;30},
     COUNTIFS($U$2:$U$200,$G184)&gt;0,
     COUNTIFS($V$2:$V$200,$G184)&gt;0,
     COUNTIFS($W$2:$W$200,$G184)&gt;0,
     COUNTIFS($X$2:$X$200,$G184)&gt;0,
     COUNTIFS($Y$2:$Y$200,$G184)&gt;0,
     COUNTIFS($Z$2:$Z$200,$G184)&gt;0,
     COUNTIFS($AA$2:$AA$200,$G184)&gt;0,
     COUNTIFS($AB$2:$AB$200,$G184)&gt;0,
     COUNTIFS($AC$2:$AC$200,$G184)&gt;0,
     COUNTIFS($AD$2:$AD$200,$G184)&gt;0,
     COUNTIFS($AE$2:$AE$200,$G184)&gt;0,
     COUNTIFS($AF$2:$AF$200,$G184)&gt;0,
     COUNTIFS($AG$2:$AG$200,$G184)&gt;0,
     COUNTIFS($AH$2:$AH$200,$G184)&gt;0,
     COUNTIFS($AI$2:$AI$200,$G184)&gt;0,
     COUNTIFS($AJ$2:$AJ$200,$G184)&gt;0,
     COUNTIFS($AK$2:$AK$200,$G184)&gt;0,
     COUNTIFS($AL$2:$AL$200,$G184)&gt;0,
     COUNTIFS($AM$2:$AM$200,$G184)&gt;0,
     COUNTIFS($AN$2:$AN$200,$G184)&gt;0,
     COUNTIFS($AO$2:$AO$200,$G184)&gt;0,
     COUNTIFS($AP$2:$AP$200,$G184)&gt;0,
     COUNTIFS($AQ$2:$AQ$200,$G184)&gt;0,
     COUNTIFS($AR$2:$AR$200,$G184)&gt;0,
     COUNTIFS($AS$2:$AS$200,$G184)&gt;0,
     COUNTIFS($AT$2:$AT$200,$G184)&gt;0,
     COUNTIFS($AU$2:$AU$200,$G184)&gt;0,
     COUNTIFS($AV$2:$AV$200,$G184)&gt;0,
     COUNTIFS($AW$2:$AW$200,$G184)&gt;0,
     COUNTIFS($AX$2:$AX$200,$G184)&gt;0
   )),
  ),
  2
 ),
"")</f>
        <v/>
      </c>
      <c r="E184" s="3" t="str" cm="1">
        <f t="array" aca="1" ref="E184" ca="1">IFERROR(
 INDEX(
  _xlfn._xlws.FILTER($U$1:$AX$1,
   TRANSPOSE(
    CHOOSE({1;2;3;4;5;6;7;8;9;10;11;12;13;14;15;16;17;18;19;20;21;22;23;24;25;26;27;28;29;30},
     COUNTIFS($U$2:$U$200,$G184)&gt;0,
     COUNTIFS($V$2:$V$200,$G184)&gt;0,
     COUNTIFS($W$2:$W$200,$G184)&gt;0,
     COUNTIFS($X$2:$X$200,$G184)&gt;0,
     COUNTIFS($Y$2:$Y$200,$G184)&gt;0,
     COUNTIFS($Z$2:$Z$200,$G184)&gt;0,
     COUNTIFS($AA$2:$AA$200,$G184)&gt;0,
     COUNTIFS($AB$2:$AB$200,$G184)&gt;0,
     COUNTIFS($AC$2:$AC$200,$G184)&gt;0,
     COUNTIFS($AD$2:$AD$200,$G184)&gt;0,
     COUNTIFS($AE$2:$AE$200,$G184)&gt;0,
     COUNTIFS($AF$2:$AF$200,$G184)&gt;0,
     COUNTIFS($AG$2:$AG$200,$G184)&gt;0,
     COUNTIFS($AH$2:$AH$200,$G184)&gt;0,
     COUNTIFS($AI$2:$AI$200,$G184)&gt;0,
     COUNTIFS($AJ$2:$AJ$200,$G184)&gt;0,
     COUNTIFS($AK$2:$AK$200,$G184)&gt;0,
     COUNTIFS($AL$2:$AL$200,$G184)&gt;0,
     COUNTIFS($AM$2:$AM$200,$G184)&gt;0,
     COUNTIFS($AN$2:$AN$200,$G184)&gt;0,
     COUNTIFS($AO$2:$AO$200,$G184)&gt;0,
     COUNTIFS($AP$2:$AP$200,$G184)&gt;0,
     COUNTIFS($AQ$2:$AQ$200,$G184)&gt;0,
     COUNTIFS($AR$2:$AR$200,$G184)&gt;0,
     COUNTIFS($AS$2:$AS$200,$G184)&gt;0,
     COUNTIFS($AT$2:$AT$200,$G184)&gt;0,
     COUNTIFS($AU$2:$AU$200,$G184)&gt;0,
     COUNTIFS($AV$2:$AV$200,$G184)&gt;0,
     COUNTIFS($AW$2:$AW$200,$G184)&gt;0,
     COUNTIFS($AX$2:$AX$200,$G184)&gt;0
   )),
  ),
  3
 ),
"")</f>
        <v/>
      </c>
      <c r="F184" s="3" t="str" cm="1">
        <f t="array" aca="1" ref="F184" ca="1">IFERROR(
 INDEX(
  _xlfn._xlws.FILTER($U$1:$AX$1,
   TRANSPOSE(
    CHOOSE({1;2;3;4;5;6;7;8;9;10;11;12;13;14;15;16;17;18;19;20;21;22;23;24;25;26;27;28;29;30},
     COUNTIFS($U$2:$U$200,$G184)&gt;0,
     COUNTIFS($V$2:$V$200,$G184)&gt;0,
     COUNTIFS($W$2:$W$200,$G184)&gt;0,
     COUNTIFS($X$2:$X$200,$G184)&gt;0,
     COUNTIFS($Y$2:$Y$200,$G184)&gt;0,
     COUNTIFS($Z$2:$Z$200,$G184)&gt;0,
     COUNTIFS($AA$2:$AA$200,$G184)&gt;0,
     COUNTIFS($AB$2:$AB$200,$G184)&gt;0,
     COUNTIFS($AC$2:$AC$200,$G184)&gt;0,
     COUNTIFS($AD$2:$AD$200,$G184)&gt;0,
     COUNTIFS($AE$2:$AE$200,$G184)&gt;0,
     COUNTIFS($AF$2:$AF$200,$G184)&gt;0,
     COUNTIFS($AG$2:$AG$200,$G184)&gt;0,
     COUNTIFS($AH$2:$AH$200,$G184)&gt;0,
     COUNTIFS($AI$2:$AI$200,$G184)&gt;0,
     COUNTIFS($AJ$2:$AJ$200,$G184)&gt;0,
     COUNTIFS($AK$2:$AK$200,$G184)&gt;0,
     COUNTIFS($AL$2:$AL$200,$G184)&gt;0,
     COUNTIFS($AM$2:$AM$200,$G184)&gt;0,
     COUNTIFS($AN$2:$AN$200,$G184)&gt;0,
     COUNTIFS($AO$2:$AO$200,$G184)&gt;0,
     COUNTIFS($AP$2:$AP$200,$G184)&gt;0,
     COUNTIFS($AQ$2:$AQ$200,$G184)&gt;0,
     COUNTIFS($AR$2:$AR$200,$G184)&gt;0,
     COUNTIFS($AS$2:$AS$200,$G184)&gt;0,
     COUNTIFS($AT$2:$AT$200,$G184)&gt;0,
     COUNTIFS($AU$2:$AU$200,$G184)&gt;0,
     COUNTIFS($AV$2:$AV$200,$G184)&gt;0,
     COUNTIFS($AW$2:$AW$200,$G184)&gt;0,
     COUNTIFS($AX$2:$AX$200,$G184)&gt;0
   )),
  ),
  4
 ),
"")</f>
        <v/>
      </c>
      <c r="G184" t="str">
        <f ca="1"/>
        <v>Nibelheim Aflame</v>
      </c>
      <c r="CG184" t="str">
        <f ca="1"/>
        <v>Sothera, the Supervoid</v>
      </c>
      <c r="CJ184" t="str">
        <f ca="1"/>
        <v>Nibelheim Aflame</v>
      </c>
    </row>
    <row r="185" spans="1:88" x14ac:dyDescent="0.25">
      <c r="A185" s="3" t="str">
        <f t="shared" ca="1" si="6"/>
        <v>3</v>
      </c>
      <c r="B185" s="3">
        <f t="shared" ca="1" si="7"/>
        <v>1</v>
      </c>
      <c r="C185" s="3" t="str">
        <f ca="1">IFERROR(
 INDEX($U$1:$AX$1,
  MATCH(TRUE,
   CHOOSE({1;2;3;4;5;6;7;8;9;10;11;12;13;14;15;16;17;18;19;20;21;22;23;24;25;26;27;28;29;30;31;32},
    COUNTIFS($U$2:$U$200,$G185)&gt;0,
    COUNTIFS($V$2:$V$200,$G185)&gt;0,
    COUNTIFS($W$2:$W$200,$G185)&gt;0,
    COUNTIFS($X$2:$X$200,$G185)&gt;0,
    COUNTIFS($Y$2:$Y$200,$G185)&gt;0,
    COUNTIFS($Z$2:$Z$200,$G185)&gt;0,
    COUNTIFS($AA$2:$AA$200,$G185)&gt;0,
    COUNTIFS($AB$2:$AB$200,$G185)&gt;0,
    COUNTIFS($AC$2:$AC$200,$G185)&gt;0,
    COUNTIFS($AD$2:$AD$200,$G185)&gt;0,
    COUNTIFS($AE$2:$AE$200,$G185)&gt;0,
    COUNTIFS($AF$2:$AF$200,$G185)&gt;0,
    COUNTIFS($AG$2:$AG$200,$G185)&gt;0,
    COUNTIFS($AH$2:$AH$200,$G185)&gt;0,
    COUNTIFS($AI$2:$AI$200,$G185)&gt;0,
    COUNTIFS($AJ$2:$AJ$200,$G185)&gt;0,
    COUNTIFS($AK$2:$AK$200,$G185)&gt;0,
    COUNTIFS($AL$2:$AL$200,$G185)&gt;0,
    COUNTIFS($AM$2:$AM$200,$G185)&gt;0,
    COUNTIFS($AN$2:$AN$200,$G185)&gt;0,
    COUNTIFS($AO$2:$AO$200,$G185)&gt;0,
    COUNTIFS($AP$2:$AP$200,$G185)&gt;0,
    COUNTIFS($AQ$2:$AQ$200,$G185)&gt;0,
    COUNTIFS($AR$2:$AR$200,$G185)&gt;0,
    COUNTIFS($AS$2:$AS$200,$G185)&gt;0,
    COUNTIFS($AT$2:$AT$200,$G185)&gt;0,
    COUNTIFS($AU$2:$AU$200,$G185)&gt;0,
    COUNTIFS($AV$2:$AV$200,$G185)&gt;0,
    COUNTIFS($AW$2:$AW$200,$G185)&gt;0,
    COUNTIFS($AX$2:$AX$200,$G185)&gt;0
   ),
  0)
 ),
"")</f>
        <v>Sisay</v>
      </c>
      <c r="D185" s="3" t="str" cm="1">
        <f t="array" aca="1" ref="D185" ca="1">IFERROR(
 INDEX(
  _xlfn._xlws.FILTER($U$1:$AX$1,
   TRANSPOSE(
    CHOOSE({1;2;3;4;5;6;7;8;9;10;11;12;13;14;15;16;17;18;19;20;21;22;23;24;25;26;27;28;29;30},
     COUNTIFS($U$2:$U$200,$G185)&gt;0,
     COUNTIFS($V$2:$V$200,$G185)&gt;0,
     COUNTIFS($W$2:$W$200,$G185)&gt;0,
     COUNTIFS($X$2:$X$200,$G185)&gt;0,
     COUNTIFS($Y$2:$Y$200,$G185)&gt;0,
     COUNTIFS($Z$2:$Z$200,$G185)&gt;0,
     COUNTIFS($AA$2:$AA$200,$G185)&gt;0,
     COUNTIFS($AB$2:$AB$200,$G185)&gt;0,
     COUNTIFS($AC$2:$AC$200,$G185)&gt;0,
     COUNTIFS($AD$2:$AD$200,$G185)&gt;0,
     COUNTIFS($AE$2:$AE$200,$G185)&gt;0,
     COUNTIFS($AF$2:$AF$200,$G185)&gt;0,
     COUNTIFS($AG$2:$AG$200,$G185)&gt;0,
     COUNTIFS($AH$2:$AH$200,$G185)&gt;0,
     COUNTIFS($AI$2:$AI$200,$G185)&gt;0,
     COUNTIFS($AJ$2:$AJ$200,$G185)&gt;0,
     COUNTIFS($AK$2:$AK$200,$G185)&gt;0,
     COUNTIFS($AL$2:$AL$200,$G185)&gt;0,
     COUNTIFS($AM$2:$AM$200,$G185)&gt;0,
     COUNTIFS($AN$2:$AN$200,$G185)&gt;0,
     COUNTIFS($AO$2:$AO$200,$G185)&gt;0,
     COUNTIFS($AP$2:$AP$200,$G185)&gt;0,
     COUNTIFS($AQ$2:$AQ$200,$G185)&gt;0,
     COUNTIFS($AR$2:$AR$200,$G185)&gt;0,
     COUNTIFS($AS$2:$AS$200,$G185)&gt;0,
     COUNTIFS($AT$2:$AT$200,$G185)&gt;0,
     COUNTIFS($AU$2:$AU$200,$G185)&gt;0,
     COUNTIFS($AV$2:$AV$200,$G185)&gt;0,
     COUNTIFS($AW$2:$AW$200,$G185)&gt;0,
     COUNTIFS($AX$2:$AX$200,$G185)&gt;0
   )),
  ),
  2
 ),
"")</f>
        <v/>
      </c>
      <c r="E185" s="3" t="str" cm="1">
        <f t="array" aca="1" ref="E185" ca="1">IFERROR(
 INDEX(
  _xlfn._xlws.FILTER($U$1:$AX$1,
   TRANSPOSE(
    CHOOSE({1;2;3;4;5;6;7;8;9;10;11;12;13;14;15;16;17;18;19;20;21;22;23;24;25;26;27;28;29;30},
     COUNTIFS($U$2:$U$200,$G185)&gt;0,
     COUNTIFS($V$2:$V$200,$G185)&gt;0,
     COUNTIFS($W$2:$W$200,$G185)&gt;0,
     COUNTIFS($X$2:$X$200,$G185)&gt;0,
     COUNTIFS($Y$2:$Y$200,$G185)&gt;0,
     COUNTIFS($Z$2:$Z$200,$G185)&gt;0,
     COUNTIFS($AA$2:$AA$200,$G185)&gt;0,
     COUNTIFS($AB$2:$AB$200,$G185)&gt;0,
     COUNTIFS($AC$2:$AC$200,$G185)&gt;0,
     COUNTIFS($AD$2:$AD$200,$G185)&gt;0,
     COUNTIFS($AE$2:$AE$200,$G185)&gt;0,
     COUNTIFS($AF$2:$AF$200,$G185)&gt;0,
     COUNTIFS($AG$2:$AG$200,$G185)&gt;0,
     COUNTIFS($AH$2:$AH$200,$G185)&gt;0,
     COUNTIFS($AI$2:$AI$200,$G185)&gt;0,
     COUNTIFS($AJ$2:$AJ$200,$G185)&gt;0,
     COUNTIFS($AK$2:$AK$200,$G185)&gt;0,
     COUNTIFS($AL$2:$AL$200,$G185)&gt;0,
     COUNTIFS($AM$2:$AM$200,$G185)&gt;0,
     COUNTIFS($AN$2:$AN$200,$G185)&gt;0,
     COUNTIFS($AO$2:$AO$200,$G185)&gt;0,
     COUNTIFS($AP$2:$AP$200,$G185)&gt;0,
     COUNTIFS($AQ$2:$AQ$200,$G185)&gt;0,
     COUNTIFS($AR$2:$AR$200,$G185)&gt;0,
     COUNTIFS($AS$2:$AS$200,$G185)&gt;0,
     COUNTIFS($AT$2:$AT$200,$G185)&gt;0,
     COUNTIFS($AU$2:$AU$200,$G185)&gt;0,
     COUNTIFS($AV$2:$AV$200,$G185)&gt;0,
     COUNTIFS($AW$2:$AW$200,$G185)&gt;0,
     COUNTIFS($AX$2:$AX$200,$G185)&gt;0
   )),
  ),
  3
 ),
"")</f>
        <v/>
      </c>
      <c r="F185" s="3" t="str" cm="1">
        <f t="array" aca="1" ref="F185" ca="1">IFERROR(
 INDEX(
  _xlfn._xlws.FILTER($U$1:$AX$1,
   TRANSPOSE(
    CHOOSE({1;2;3;4;5;6;7;8;9;10;11;12;13;14;15;16;17;18;19;20;21;22;23;24;25;26;27;28;29;30},
     COUNTIFS($U$2:$U$200,$G185)&gt;0,
     COUNTIFS($V$2:$V$200,$G185)&gt;0,
     COUNTIFS($W$2:$W$200,$G185)&gt;0,
     COUNTIFS($X$2:$X$200,$G185)&gt;0,
     COUNTIFS($Y$2:$Y$200,$G185)&gt;0,
     COUNTIFS($Z$2:$Z$200,$G185)&gt;0,
     COUNTIFS($AA$2:$AA$200,$G185)&gt;0,
     COUNTIFS($AB$2:$AB$200,$G185)&gt;0,
     COUNTIFS($AC$2:$AC$200,$G185)&gt;0,
     COUNTIFS($AD$2:$AD$200,$G185)&gt;0,
     COUNTIFS($AE$2:$AE$200,$G185)&gt;0,
     COUNTIFS($AF$2:$AF$200,$G185)&gt;0,
     COUNTIFS($AG$2:$AG$200,$G185)&gt;0,
     COUNTIFS($AH$2:$AH$200,$G185)&gt;0,
     COUNTIFS($AI$2:$AI$200,$G185)&gt;0,
     COUNTIFS($AJ$2:$AJ$200,$G185)&gt;0,
     COUNTIFS($AK$2:$AK$200,$G185)&gt;0,
     COUNTIFS($AL$2:$AL$200,$G185)&gt;0,
     COUNTIFS($AM$2:$AM$200,$G185)&gt;0,
     COUNTIFS($AN$2:$AN$200,$G185)&gt;0,
     COUNTIFS($AO$2:$AO$200,$G185)&gt;0,
     COUNTIFS($AP$2:$AP$200,$G185)&gt;0,
     COUNTIFS($AQ$2:$AQ$200,$G185)&gt;0,
     COUNTIFS($AR$2:$AR$200,$G185)&gt;0,
     COUNTIFS($AS$2:$AS$200,$G185)&gt;0,
     COUNTIFS($AT$2:$AT$200,$G185)&gt;0,
     COUNTIFS($AU$2:$AU$200,$G185)&gt;0,
     COUNTIFS($AV$2:$AV$200,$G185)&gt;0,
     COUNTIFS($AW$2:$AW$200,$G185)&gt;0,
     COUNTIFS($AX$2:$AX$200,$G185)&gt;0
   )),
  ),
  4
 ),
"")</f>
        <v/>
      </c>
      <c r="G185" t="str">
        <f ca="1"/>
        <v>Nicol Bolas, God-Pharaoh</v>
      </c>
      <c r="CG185" t="str">
        <f ca="1"/>
        <v>Spectator Seating</v>
      </c>
      <c r="CJ185" t="str">
        <f ca="1"/>
        <v>Nicol Bolas, God-Pharaoh</v>
      </c>
    </row>
    <row r="186" spans="1:88" x14ac:dyDescent="0.25">
      <c r="A186" s="3" t="str">
        <f t="shared" ca="1" si="6"/>
        <v>4</v>
      </c>
      <c r="B186" s="3">
        <f t="shared" ca="1" si="7"/>
        <v>1</v>
      </c>
      <c r="C186" s="3" t="str">
        <f ca="1">IFERROR(
 INDEX($U$1:$AX$1,
  MATCH(TRUE,
   CHOOSE({1;2;3;4;5;6;7;8;9;10;11;12;13;14;15;16;17;18;19;20;21;22;23;24;25;26;27;28;29;30;31;32},
    COUNTIFS($U$2:$U$200,$G186)&gt;0,
    COUNTIFS($V$2:$V$200,$G186)&gt;0,
    COUNTIFS($W$2:$W$200,$G186)&gt;0,
    COUNTIFS($X$2:$X$200,$G186)&gt;0,
    COUNTIFS($Y$2:$Y$200,$G186)&gt;0,
    COUNTIFS($Z$2:$Z$200,$G186)&gt;0,
    COUNTIFS($AA$2:$AA$200,$G186)&gt;0,
    COUNTIFS($AB$2:$AB$200,$G186)&gt;0,
    COUNTIFS($AC$2:$AC$200,$G186)&gt;0,
    COUNTIFS($AD$2:$AD$200,$G186)&gt;0,
    COUNTIFS($AE$2:$AE$200,$G186)&gt;0,
    COUNTIFS($AF$2:$AF$200,$G186)&gt;0,
    COUNTIFS($AG$2:$AG$200,$G186)&gt;0,
    COUNTIFS($AH$2:$AH$200,$G186)&gt;0,
    COUNTIFS($AI$2:$AI$200,$G186)&gt;0,
    COUNTIFS($AJ$2:$AJ$200,$G186)&gt;0,
    COUNTIFS($AK$2:$AK$200,$G186)&gt;0,
    COUNTIFS($AL$2:$AL$200,$G186)&gt;0,
    COUNTIFS($AM$2:$AM$200,$G186)&gt;0,
    COUNTIFS($AN$2:$AN$200,$G186)&gt;0,
    COUNTIFS($AO$2:$AO$200,$G186)&gt;0,
    COUNTIFS($AP$2:$AP$200,$G186)&gt;0,
    COUNTIFS($AQ$2:$AQ$200,$G186)&gt;0,
    COUNTIFS($AR$2:$AR$200,$G186)&gt;0,
    COUNTIFS($AS$2:$AS$200,$G186)&gt;0,
    COUNTIFS($AT$2:$AT$200,$G186)&gt;0,
    COUNTIFS($AU$2:$AU$200,$G186)&gt;0,
    COUNTIFS($AV$2:$AV$200,$G186)&gt;0,
    COUNTIFS($AW$2:$AW$200,$G186)&gt;0,
    COUNTIFS($AX$2:$AX$200,$G186)&gt;0
   ),
  0)
 ),
"")</f>
        <v>Elfos</v>
      </c>
      <c r="D186" s="3" t="str" cm="1">
        <f t="array" aca="1" ref="D186" ca="1">IFERROR(
 INDEX(
  _xlfn._xlws.FILTER($U$1:$AX$1,
   TRANSPOSE(
    CHOOSE({1;2;3;4;5;6;7;8;9;10;11;12;13;14;15;16;17;18;19;20;21;22;23;24;25;26;27;28;29;30},
     COUNTIFS($U$2:$U$200,$G186)&gt;0,
     COUNTIFS($V$2:$V$200,$G186)&gt;0,
     COUNTIFS($W$2:$W$200,$G186)&gt;0,
     COUNTIFS($X$2:$X$200,$G186)&gt;0,
     COUNTIFS($Y$2:$Y$200,$G186)&gt;0,
     COUNTIFS($Z$2:$Z$200,$G186)&gt;0,
     COUNTIFS($AA$2:$AA$200,$G186)&gt;0,
     COUNTIFS($AB$2:$AB$200,$G186)&gt;0,
     COUNTIFS($AC$2:$AC$200,$G186)&gt;0,
     COUNTIFS($AD$2:$AD$200,$G186)&gt;0,
     COUNTIFS($AE$2:$AE$200,$G186)&gt;0,
     COUNTIFS($AF$2:$AF$200,$G186)&gt;0,
     COUNTIFS($AG$2:$AG$200,$G186)&gt;0,
     COUNTIFS($AH$2:$AH$200,$G186)&gt;0,
     COUNTIFS($AI$2:$AI$200,$G186)&gt;0,
     COUNTIFS($AJ$2:$AJ$200,$G186)&gt;0,
     COUNTIFS($AK$2:$AK$200,$G186)&gt;0,
     COUNTIFS($AL$2:$AL$200,$G186)&gt;0,
     COUNTIFS($AM$2:$AM$200,$G186)&gt;0,
     COUNTIFS($AN$2:$AN$200,$G186)&gt;0,
     COUNTIFS($AO$2:$AO$200,$G186)&gt;0,
     COUNTIFS($AP$2:$AP$200,$G186)&gt;0,
     COUNTIFS($AQ$2:$AQ$200,$G186)&gt;0,
     COUNTIFS($AR$2:$AR$200,$G186)&gt;0,
     COUNTIFS($AS$2:$AS$200,$G186)&gt;0,
     COUNTIFS($AT$2:$AT$200,$G186)&gt;0,
     COUNTIFS($AU$2:$AU$200,$G186)&gt;0,
     COUNTIFS($AV$2:$AV$200,$G186)&gt;0,
     COUNTIFS($AW$2:$AW$200,$G186)&gt;0,
     COUNTIFS($AX$2:$AX$200,$G186)&gt;0
   )),
  ),
  2
 ),
"")</f>
        <v/>
      </c>
      <c r="E186" s="3" t="str" cm="1">
        <f t="array" aca="1" ref="E186" ca="1">IFERROR(
 INDEX(
  _xlfn._xlws.FILTER($U$1:$AX$1,
   TRANSPOSE(
    CHOOSE({1;2;3;4;5;6;7;8;9;10;11;12;13;14;15;16;17;18;19;20;21;22;23;24;25;26;27;28;29;30},
     COUNTIFS($U$2:$U$200,$G186)&gt;0,
     COUNTIFS($V$2:$V$200,$G186)&gt;0,
     COUNTIFS($W$2:$W$200,$G186)&gt;0,
     COUNTIFS($X$2:$X$200,$G186)&gt;0,
     COUNTIFS($Y$2:$Y$200,$G186)&gt;0,
     COUNTIFS($Z$2:$Z$200,$G186)&gt;0,
     COUNTIFS($AA$2:$AA$200,$G186)&gt;0,
     COUNTIFS($AB$2:$AB$200,$G186)&gt;0,
     COUNTIFS($AC$2:$AC$200,$G186)&gt;0,
     COUNTIFS($AD$2:$AD$200,$G186)&gt;0,
     COUNTIFS($AE$2:$AE$200,$G186)&gt;0,
     COUNTIFS($AF$2:$AF$200,$G186)&gt;0,
     COUNTIFS($AG$2:$AG$200,$G186)&gt;0,
     COUNTIFS($AH$2:$AH$200,$G186)&gt;0,
     COUNTIFS($AI$2:$AI$200,$G186)&gt;0,
     COUNTIFS($AJ$2:$AJ$200,$G186)&gt;0,
     COUNTIFS($AK$2:$AK$200,$G186)&gt;0,
     COUNTIFS($AL$2:$AL$200,$G186)&gt;0,
     COUNTIFS($AM$2:$AM$200,$G186)&gt;0,
     COUNTIFS($AN$2:$AN$200,$G186)&gt;0,
     COUNTIFS($AO$2:$AO$200,$G186)&gt;0,
     COUNTIFS($AP$2:$AP$200,$G186)&gt;0,
     COUNTIFS($AQ$2:$AQ$200,$G186)&gt;0,
     COUNTIFS($AR$2:$AR$200,$G186)&gt;0,
     COUNTIFS($AS$2:$AS$200,$G186)&gt;0,
     COUNTIFS($AT$2:$AT$200,$G186)&gt;0,
     COUNTIFS($AU$2:$AU$200,$G186)&gt;0,
     COUNTIFS($AV$2:$AV$200,$G186)&gt;0,
     COUNTIFS($AW$2:$AW$200,$G186)&gt;0,
     COUNTIFS($AX$2:$AX$200,$G186)&gt;0
   )),
  ),
  3
 ),
"")</f>
        <v/>
      </c>
      <c r="F186" s="3" t="str" cm="1">
        <f t="array" aca="1" ref="F186" ca="1">IFERROR(
 INDEX(
  _xlfn._xlws.FILTER($U$1:$AX$1,
   TRANSPOSE(
    CHOOSE({1;2;3;4;5;6;7;8;9;10;11;12;13;14;15;16;17;18;19;20;21;22;23;24;25;26;27;28;29;30},
     COUNTIFS($U$2:$U$200,$G186)&gt;0,
     COUNTIFS($V$2:$V$200,$G186)&gt;0,
     COUNTIFS($W$2:$W$200,$G186)&gt;0,
     COUNTIFS($X$2:$X$200,$G186)&gt;0,
     COUNTIFS($Y$2:$Y$200,$G186)&gt;0,
     COUNTIFS($Z$2:$Z$200,$G186)&gt;0,
     COUNTIFS($AA$2:$AA$200,$G186)&gt;0,
     COUNTIFS($AB$2:$AB$200,$G186)&gt;0,
     COUNTIFS($AC$2:$AC$200,$G186)&gt;0,
     COUNTIFS($AD$2:$AD$200,$G186)&gt;0,
     COUNTIFS($AE$2:$AE$200,$G186)&gt;0,
     COUNTIFS($AF$2:$AF$200,$G186)&gt;0,
     COUNTIFS($AG$2:$AG$200,$G186)&gt;0,
     COUNTIFS($AH$2:$AH$200,$G186)&gt;0,
     COUNTIFS($AI$2:$AI$200,$G186)&gt;0,
     COUNTIFS($AJ$2:$AJ$200,$G186)&gt;0,
     COUNTIFS($AK$2:$AK$200,$G186)&gt;0,
     COUNTIFS($AL$2:$AL$200,$G186)&gt;0,
     COUNTIFS($AM$2:$AM$200,$G186)&gt;0,
     COUNTIFS($AN$2:$AN$200,$G186)&gt;0,
     COUNTIFS($AO$2:$AO$200,$G186)&gt;0,
     COUNTIFS($AP$2:$AP$200,$G186)&gt;0,
     COUNTIFS($AQ$2:$AQ$200,$G186)&gt;0,
     COUNTIFS($AR$2:$AR$200,$G186)&gt;0,
     COUNTIFS($AS$2:$AS$200,$G186)&gt;0,
     COUNTIFS($AT$2:$AT$200,$G186)&gt;0,
     COUNTIFS($AU$2:$AU$200,$G186)&gt;0,
     COUNTIFS($AV$2:$AV$200,$G186)&gt;0,
     COUNTIFS($AW$2:$AW$200,$G186)&gt;0,
     COUNTIFS($AX$2:$AX$200,$G186)&gt;0
   )),
  ),
  4
 ),
"")</f>
        <v/>
      </c>
      <c r="G186" t="str">
        <f ca="1"/>
        <v>Nissa, Resurgent Animist</v>
      </c>
      <c r="CG186" t="str">
        <f ca="1"/>
        <v>Sphere Grid</v>
      </c>
      <c r="CJ186" t="str">
        <f ca="1"/>
        <v>Nissa, Resurgent Animist</v>
      </c>
    </row>
    <row r="187" spans="1:88" x14ac:dyDescent="0.25">
      <c r="A187" s="3" t="str">
        <f t="shared" ca="1" si="6"/>
        <v>3</v>
      </c>
      <c r="B187" s="3">
        <f t="shared" ca="1" si="7"/>
        <v>1</v>
      </c>
      <c r="C187" s="3" t="str">
        <f ca="1">IFERROR(
 INDEX($U$1:$AX$1,
  MATCH(TRUE,
   CHOOSE({1;2;3;4;5;6;7;8;9;10;11;12;13;14;15;16;17;18;19;20;21;22;23;24;25;26;27;28;29;30;31;32},
    COUNTIFS($U$2:$U$200,$G187)&gt;0,
    COUNTIFS($V$2:$V$200,$G187)&gt;0,
    COUNTIFS($W$2:$W$200,$G187)&gt;0,
    COUNTIFS($X$2:$X$200,$G187)&gt;0,
    COUNTIFS($Y$2:$Y$200,$G187)&gt;0,
    COUNTIFS($Z$2:$Z$200,$G187)&gt;0,
    COUNTIFS($AA$2:$AA$200,$G187)&gt;0,
    COUNTIFS($AB$2:$AB$200,$G187)&gt;0,
    COUNTIFS($AC$2:$AC$200,$G187)&gt;0,
    COUNTIFS($AD$2:$AD$200,$G187)&gt;0,
    COUNTIFS($AE$2:$AE$200,$G187)&gt;0,
    COUNTIFS($AF$2:$AF$200,$G187)&gt;0,
    COUNTIFS($AG$2:$AG$200,$G187)&gt;0,
    COUNTIFS($AH$2:$AH$200,$G187)&gt;0,
    COUNTIFS($AI$2:$AI$200,$G187)&gt;0,
    COUNTIFS($AJ$2:$AJ$200,$G187)&gt;0,
    COUNTIFS($AK$2:$AK$200,$G187)&gt;0,
    COUNTIFS($AL$2:$AL$200,$G187)&gt;0,
    COUNTIFS($AM$2:$AM$200,$G187)&gt;0,
    COUNTIFS($AN$2:$AN$200,$G187)&gt;0,
    COUNTIFS($AO$2:$AO$200,$G187)&gt;0,
    COUNTIFS($AP$2:$AP$200,$G187)&gt;0,
    COUNTIFS($AQ$2:$AQ$200,$G187)&gt;0,
    COUNTIFS($AR$2:$AR$200,$G187)&gt;0,
    COUNTIFS($AS$2:$AS$200,$G187)&gt;0,
    COUNTIFS($AT$2:$AT$200,$G187)&gt;0,
    COUNTIFS($AU$2:$AU$200,$G187)&gt;0,
    COUNTIFS($AV$2:$AV$200,$G187)&gt;0,
    COUNTIFS($AW$2:$AW$200,$G187)&gt;0,
    COUNTIFS($AX$2:$AX$200,$G187)&gt;0
   ),
  0)
 ),
"")</f>
        <v>Sisay</v>
      </c>
      <c r="D187" s="3" t="str" cm="1">
        <f t="array" aca="1" ref="D187" ca="1">IFERROR(
 INDEX(
  _xlfn._xlws.FILTER($U$1:$AX$1,
   TRANSPOSE(
    CHOOSE({1;2;3;4;5;6;7;8;9;10;11;12;13;14;15;16;17;18;19;20;21;22;23;24;25;26;27;28;29;30},
     COUNTIFS($U$2:$U$200,$G187)&gt;0,
     COUNTIFS($V$2:$V$200,$G187)&gt;0,
     COUNTIFS($W$2:$W$200,$G187)&gt;0,
     COUNTIFS($X$2:$X$200,$G187)&gt;0,
     COUNTIFS($Y$2:$Y$200,$G187)&gt;0,
     COUNTIFS($Z$2:$Z$200,$G187)&gt;0,
     COUNTIFS($AA$2:$AA$200,$G187)&gt;0,
     COUNTIFS($AB$2:$AB$200,$G187)&gt;0,
     COUNTIFS($AC$2:$AC$200,$G187)&gt;0,
     COUNTIFS($AD$2:$AD$200,$G187)&gt;0,
     COUNTIFS($AE$2:$AE$200,$G187)&gt;0,
     COUNTIFS($AF$2:$AF$200,$G187)&gt;0,
     COUNTIFS($AG$2:$AG$200,$G187)&gt;0,
     COUNTIFS($AH$2:$AH$200,$G187)&gt;0,
     COUNTIFS($AI$2:$AI$200,$G187)&gt;0,
     COUNTIFS($AJ$2:$AJ$200,$G187)&gt;0,
     COUNTIFS($AK$2:$AK$200,$G187)&gt;0,
     COUNTIFS($AL$2:$AL$200,$G187)&gt;0,
     COUNTIFS($AM$2:$AM$200,$G187)&gt;0,
     COUNTIFS($AN$2:$AN$200,$G187)&gt;0,
     COUNTIFS($AO$2:$AO$200,$G187)&gt;0,
     COUNTIFS($AP$2:$AP$200,$G187)&gt;0,
     COUNTIFS($AQ$2:$AQ$200,$G187)&gt;0,
     COUNTIFS($AR$2:$AR$200,$G187)&gt;0,
     COUNTIFS($AS$2:$AS$200,$G187)&gt;0,
     COUNTIFS($AT$2:$AT$200,$G187)&gt;0,
     COUNTIFS($AU$2:$AU$200,$G187)&gt;0,
     COUNTIFS($AV$2:$AV$200,$G187)&gt;0,
     COUNTIFS($AW$2:$AW$200,$G187)&gt;0,
     COUNTIFS($AX$2:$AX$200,$G187)&gt;0
   )),
  ),
  2
 ),
"")</f>
        <v/>
      </c>
      <c r="E187" s="3" t="str" cm="1">
        <f t="array" aca="1" ref="E187" ca="1">IFERROR(
 INDEX(
  _xlfn._xlws.FILTER($U$1:$AX$1,
   TRANSPOSE(
    CHOOSE({1;2;3;4;5;6;7;8;9;10;11;12;13;14;15;16;17;18;19;20;21;22;23;24;25;26;27;28;29;30},
     COUNTIFS($U$2:$U$200,$G187)&gt;0,
     COUNTIFS($V$2:$V$200,$G187)&gt;0,
     COUNTIFS($W$2:$W$200,$G187)&gt;0,
     COUNTIFS($X$2:$X$200,$G187)&gt;0,
     COUNTIFS($Y$2:$Y$200,$G187)&gt;0,
     COUNTIFS($Z$2:$Z$200,$G187)&gt;0,
     COUNTIFS($AA$2:$AA$200,$G187)&gt;0,
     COUNTIFS($AB$2:$AB$200,$G187)&gt;0,
     COUNTIFS($AC$2:$AC$200,$G187)&gt;0,
     COUNTIFS($AD$2:$AD$200,$G187)&gt;0,
     COUNTIFS($AE$2:$AE$200,$G187)&gt;0,
     COUNTIFS($AF$2:$AF$200,$G187)&gt;0,
     COUNTIFS($AG$2:$AG$200,$G187)&gt;0,
     COUNTIFS($AH$2:$AH$200,$G187)&gt;0,
     COUNTIFS($AI$2:$AI$200,$G187)&gt;0,
     COUNTIFS($AJ$2:$AJ$200,$G187)&gt;0,
     COUNTIFS($AK$2:$AK$200,$G187)&gt;0,
     COUNTIFS($AL$2:$AL$200,$G187)&gt;0,
     COUNTIFS($AM$2:$AM$200,$G187)&gt;0,
     COUNTIFS($AN$2:$AN$200,$G187)&gt;0,
     COUNTIFS($AO$2:$AO$200,$G187)&gt;0,
     COUNTIFS($AP$2:$AP$200,$G187)&gt;0,
     COUNTIFS($AQ$2:$AQ$200,$G187)&gt;0,
     COUNTIFS($AR$2:$AR$200,$G187)&gt;0,
     COUNTIFS($AS$2:$AS$200,$G187)&gt;0,
     COUNTIFS($AT$2:$AT$200,$G187)&gt;0,
     COUNTIFS($AU$2:$AU$200,$G187)&gt;0,
     COUNTIFS($AV$2:$AV$200,$G187)&gt;0,
     COUNTIFS($AW$2:$AW$200,$G187)&gt;0,
     COUNTIFS($AX$2:$AX$200,$G187)&gt;0
   )),
  ),
  3
 ),
"")</f>
        <v/>
      </c>
      <c r="F187" s="3" t="str" cm="1">
        <f t="array" aca="1" ref="F187" ca="1">IFERROR(
 INDEX(
  _xlfn._xlws.FILTER($U$1:$AX$1,
   TRANSPOSE(
    CHOOSE({1;2;3;4;5;6;7;8;9;10;11;12;13;14;15;16;17;18;19;20;21;22;23;24;25;26;27;28;29;30},
     COUNTIFS($U$2:$U$200,$G187)&gt;0,
     COUNTIFS($V$2:$V$200,$G187)&gt;0,
     COUNTIFS($W$2:$W$200,$G187)&gt;0,
     COUNTIFS($X$2:$X$200,$G187)&gt;0,
     COUNTIFS($Y$2:$Y$200,$G187)&gt;0,
     COUNTIFS($Z$2:$Z$200,$G187)&gt;0,
     COUNTIFS($AA$2:$AA$200,$G187)&gt;0,
     COUNTIFS($AB$2:$AB$200,$G187)&gt;0,
     COUNTIFS($AC$2:$AC$200,$G187)&gt;0,
     COUNTIFS($AD$2:$AD$200,$G187)&gt;0,
     COUNTIFS($AE$2:$AE$200,$G187)&gt;0,
     COUNTIFS($AF$2:$AF$200,$G187)&gt;0,
     COUNTIFS($AG$2:$AG$200,$G187)&gt;0,
     COUNTIFS($AH$2:$AH$200,$G187)&gt;0,
     COUNTIFS($AI$2:$AI$200,$G187)&gt;0,
     COUNTIFS($AJ$2:$AJ$200,$G187)&gt;0,
     COUNTIFS($AK$2:$AK$200,$G187)&gt;0,
     COUNTIFS($AL$2:$AL$200,$G187)&gt;0,
     COUNTIFS($AM$2:$AM$200,$G187)&gt;0,
     COUNTIFS($AN$2:$AN$200,$G187)&gt;0,
     COUNTIFS($AO$2:$AO$200,$G187)&gt;0,
     COUNTIFS($AP$2:$AP$200,$G187)&gt;0,
     COUNTIFS($AQ$2:$AQ$200,$G187)&gt;0,
     COUNTIFS($AR$2:$AR$200,$G187)&gt;0,
     COUNTIFS($AS$2:$AS$200,$G187)&gt;0,
     COUNTIFS($AT$2:$AT$200,$G187)&gt;0,
     COUNTIFS($AU$2:$AU$200,$G187)&gt;0,
     COUNTIFS($AV$2:$AV$200,$G187)&gt;0,
     COUNTIFS($AW$2:$AW$200,$G187)&gt;0,
     COUNTIFS($AX$2:$AX$200,$G187)&gt;0
   )),
  ),
  4
 ),
"")</f>
        <v/>
      </c>
      <c r="G187" t="str">
        <f ca="1"/>
        <v>O Dínamo Peregrino</v>
      </c>
      <c r="CG187" t="str">
        <f ca="1"/>
        <v>Stoneforge Mystic</v>
      </c>
      <c r="CJ187" t="str">
        <f ca="1"/>
        <v>O Dínamo Peregrino</v>
      </c>
    </row>
    <row r="188" spans="1:88" x14ac:dyDescent="0.25">
      <c r="A188" s="3" t="str">
        <f t="shared" ca="1" si="6"/>
        <v>5</v>
      </c>
      <c r="B188" s="3">
        <f t="shared" ca="1" si="7"/>
        <v>1</v>
      </c>
      <c r="C188" s="3" t="str">
        <f ca="1">IFERROR(
 INDEX($U$1:$AX$1,
  MATCH(TRUE,
   CHOOSE({1;2;3;4;5;6;7;8;9;10;11;12;13;14;15;16;17;18;19;20;21;22;23;24;25;26;27;28;29;30;31;32},
    COUNTIFS($U$2:$U$200,$G188)&gt;0,
    COUNTIFS($V$2:$V$200,$G188)&gt;0,
    COUNTIFS($W$2:$W$200,$G188)&gt;0,
    COUNTIFS($X$2:$X$200,$G188)&gt;0,
    COUNTIFS($Y$2:$Y$200,$G188)&gt;0,
    COUNTIFS($Z$2:$Z$200,$G188)&gt;0,
    COUNTIFS($AA$2:$AA$200,$G188)&gt;0,
    COUNTIFS($AB$2:$AB$200,$G188)&gt;0,
    COUNTIFS($AC$2:$AC$200,$G188)&gt;0,
    COUNTIFS($AD$2:$AD$200,$G188)&gt;0,
    COUNTIFS($AE$2:$AE$200,$G188)&gt;0,
    COUNTIFS($AF$2:$AF$200,$G188)&gt;0,
    COUNTIFS($AG$2:$AG$200,$G188)&gt;0,
    COUNTIFS($AH$2:$AH$200,$G188)&gt;0,
    COUNTIFS($AI$2:$AI$200,$G188)&gt;0,
    COUNTIFS($AJ$2:$AJ$200,$G188)&gt;0,
    COUNTIFS($AK$2:$AK$200,$G188)&gt;0,
    COUNTIFS($AL$2:$AL$200,$G188)&gt;0,
    COUNTIFS($AM$2:$AM$200,$G188)&gt;0,
    COUNTIFS($AN$2:$AN$200,$G188)&gt;0,
    COUNTIFS($AO$2:$AO$200,$G188)&gt;0,
    COUNTIFS($AP$2:$AP$200,$G188)&gt;0,
    COUNTIFS($AQ$2:$AQ$200,$G188)&gt;0,
    COUNTIFS($AR$2:$AR$200,$G188)&gt;0,
    COUNTIFS($AS$2:$AS$200,$G188)&gt;0,
    COUNTIFS($AT$2:$AT$200,$G188)&gt;0,
    COUNTIFS($AU$2:$AU$200,$G188)&gt;0,
    COUNTIFS($AV$2:$AV$200,$G188)&gt;0,
    COUNTIFS($AW$2:$AW$200,$G188)&gt;0,
    COUNTIFS($AX$2:$AX$200,$G188)&gt;0
   ),
  0)
 ),
"")</f>
        <v>Thrakiri</v>
      </c>
      <c r="D188" s="3" t="str" cm="1">
        <f t="array" aca="1" ref="D188" ca="1">IFERROR(
 INDEX(
  _xlfn._xlws.FILTER($U$1:$AX$1,
   TRANSPOSE(
    CHOOSE({1;2;3;4;5;6;7;8;9;10;11;12;13;14;15;16;17;18;19;20;21;22;23;24;25;26;27;28;29;30},
     COUNTIFS($U$2:$U$200,$G188)&gt;0,
     COUNTIFS($V$2:$V$200,$G188)&gt;0,
     COUNTIFS($W$2:$W$200,$G188)&gt;0,
     COUNTIFS($X$2:$X$200,$G188)&gt;0,
     COUNTIFS($Y$2:$Y$200,$G188)&gt;0,
     COUNTIFS($Z$2:$Z$200,$G188)&gt;0,
     COUNTIFS($AA$2:$AA$200,$G188)&gt;0,
     COUNTIFS($AB$2:$AB$200,$G188)&gt;0,
     COUNTIFS($AC$2:$AC$200,$G188)&gt;0,
     COUNTIFS($AD$2:$AD$200,$G188)&gt;0,
     COUNTIFS($AE$2:$AE$200,$G188)&gt;0,
     COUNTIFS($AF$2:$AF$200,$G188)&gt;0,
     COUNTIFS($AG$2:$AG$200,$G188)&gt;0,
     COUNTIFS($AH$2:$AH$200,$G188)&gt;0,
     COUNTIFS($AI$2:$AI$200,$G188)&gt;0,
     COUNTIFS($AJ$2:$AJ$200,$G188)&gt;0,
     COUNTIFS($AK$2:$AK$200,$G188)&gt;0,
     COUNTIFS($AL$2:$AL$200,$G188)&gt;0,
     COUNTIFS($AM$2:$AM$200,$G188)&gt;0,
     COUNTIFS($AN$2:$AN$200,$G188)&gt;0,
     COUNTIFS($AO$2:$AO$200,$G188)&gt;0,
     COUNTIFS($AP$2:$AP$200,$G188)&gt;0,
     COUNTIFS($AQ$2:$AQ$200,$G188)&gt;0,
     COUNTIFS($AR$2:$AR$200,$G188)&gt;0,
     COUNTIFS($AS$2:$AS$200,$G188)&gt;0,
     COUNTIFS($AT$2:$AT$200,$G188)&gt;0,
     COUNTIFS($AU$2:$AU$200,$G188)&gt;0,
     COUNTIFS($AV$2:$AV$200,$G188)&gt;0,
     COUNTIFS($AW$2:$AW$200,$G188)&gt;0,
     COUNTIFS($AX$2:$AX$200,$G188)&gt;0
   )),
  ),
  2
 ),
"")</f>
        <v/>
      </c>
      <c r="E188" s="3" t="str" cm="1">
        <f t="array" aca="1" ref="E188" ca="1">IFERROR(
 INDEX(
  _xlfn._xlws.FILTER($U$1:$AX$1,
   TRANSPOSE(
    CHOOSE({1;2;3;4;5;6;7;8;9;10;11;12;13;14;15;16;17;18;19;20;21;22;23;24;25;26;27;28;29;30},
     COUNTIFS($U$2:$U$200,$G188)&gt;0,
     COUNTIFS($V$2:$V$200,$G188)&gt;0,
     COUNTIFS($W$2:$W$200,$G188)&gt;0,
     COUNTIFS($X$2:$X$200,$G188)&gt;0,
     COUNTIFS($Y$2:$Y$200,$G188)&gt;0,
     COUNTIFS($Z$2:$Z$200,$G188)&gt;0,
     COUNTIFS($AA$2:$AA$200,$G188)&gt;0,
     COUNTIFS($AB$2:$AB$200,$G188)&gt;0,
     COUNTIFS($AC$2:$AC$200,$G188)&gt;0,
     COUNTIFS($AD$2:$AD$200,$G188)&gt;0,
     COUNTIFS($AE$2:$AE$200,$G188)&gt;0,
     COUNTIFS($AF$2:$AF$200,$G188)&gt;0,
     COUNTIFS($AG$2:$AG$200,$G188)&gt;0,
     COUNTIFS($AH$2:$AH$200,$G188)&gt;0,
     COUNTIFS($AI$2:$AI$200,$G188)&gt;0,
     COUNTIFS($AJ$2:$AJ$200,$G188)&gt;0,
     COUNTIFS($AK$2:$AK$200,$G188)&gt;0,
     COUNTIFS($AL$2:$AL$200,$G188)&gt;0,
     COUNTIFS($AM$2:$AM$200,$G188)&gt;0,
     COUNTIFS($AN$2:$AN$200,$G188)&gt;0,
     COUNTIFS($AO$2:$AO$200,$G188)&gt;0,
     COUNTIFS($AP$2:$AP$200,$G188)&gt;0,
     COUNTIFS($AQ$2:$AQ$200,$G188)&gt;0,
     COUNTIFS($AR$2:$AR$200,$G188)&gt;0,
     COUNTIFS($AS$2:$AS$200,$G188)&gt;0,
     COUNTIFS($AT$2:$AT$200,$G188)&gt;0,
     COUNTIFS($AU$2:$AU$200,$G188)&gt;0,
     COUNTIFS($AV$2:$AV$200,$G188)&gt;0,
     COUNTIFS($AW$2:$AW$200,$G188)&gt;0,
     COUNTIFS($AX$2:$AX$200,$G188)&gt;0
   )),
  ),
  3
 ),
"")</f>
        <v/>
      </c>
      <c r="F188" s="3" t="str" cm="1">
        <f t="array" aca="1" ref="F188" ca="1">IFERROR(
 INDEX(
  _xlfn._xlws.FILTER($U$1:$AX$1,
   TRANSPOSE(
    CHOOSE({1;2;3;4;5;6;7;8;9;10;11;12;13;14;15;16;17;18;19;20;21;22;23;24;25;26;27;28;29;30},
     COUNTIFS($U$2:$U$200,$G188)&gt;0,
     COUNTIFS($V$2:$V$200,$G188)&gt;0,
     COUNTIFS($W$2:$W$200,$G188)&gt;0,
     COUNTIFS($X$2:$X$200,$G188)&gt;0,
     COUNTIFS($Y$2:$Y$200,$G188)&gt;0,
     COUNTIFS($Z$2:$Z$200,$G188)&gt;0,
     COUNTIFS($AA$2:$AA$200,$G188)&gt;0,
     COUNTIFS($AB$2:$AB$200,$G188)&gt;0,
     COUNTIFS($AC$2:$AC$200,$G188)&gt;0,
     COUNTIFS($AD$2:$AD$200,$G188)&gt;0,
     COUNTIFS($AE$2:$AE$200,$G188)&gt;0,
     COUNTIFS($AF$2:$AF$200,$G188)&gt;0,
     COUNTIFS($AG$2:$AG$200,$G188)&gt;0,
     COUNTIFS($AH$2:$AH$200,$G188)&gt;0,
     COUNTIFS($AI$2:$AI$200,$G188)&gt;0,
     COUNTIFS($AJ$2:$AJ$200,$G188)&gt;0,
     COUNTIFS($AK$2:$AK$200,$G188)&gt;0,
     COUNTIFS($AL$2:$AL$200,$G188)&gt;0,
     COUNTIFS($AM$2:$AM$200,$G188)&gt;0,
     COUNTIFS($AN$2:$AN$200,$G188)&gt;0,
     COUNTIFS($AO$2:$AO$200,$G188)&gt;0,
     COUNTIFS($AP$2:$AP$200,$G188)&gt;0,
     COUNTIFS($AQ$2:$AQ$200,$G188)&gt;0,
     COUNTIFS($AR$2:$AR$200,$G188)&gt;0,
     COUNTIFS($AS$2:$AS$200,$G188)&gt;0,
     COUNTIFS($AT$2:$AT$200,$G188)&gt;0,
     COUNTIFS($AU$2:$AU$200,$G188)&gt;0,
     COUNTIFS($AV$2:$AV$200,$G188)&gt;0,
     COUNTIFS($AW$2:$AW$200,$G188)&gt;0,
     COUNTIFS($AX$2:$AX$200,$G188)&gt;0
   )),
  ),
  4
 ),
"")</f>
        <v/>
      </c>
      <c r="G188" t="str">
        <f ca="1"/>
        <v>Obelisco de Obsidiana</v>
      </c>
      <c r="CG188" t="str">
        <f ca="1"/>
        <v>Stonybrook Banneret</v>
      </c>
      <c r="CJ188" t="str">
        <f ca="1"/>
        <v>Obelisco de Obsidiana</v>
      </c>
    </row>
    <row r="189" spans="1:88" x14ac:dyDescent="0.25">
      <c r="A189" s="3" t="str">
        <f t="shared" ca="1" si="6"/>
        <v>4</v>
      </c>
      <c r="B189" s="3">
        <f t="shared" ca="1" si="7"/>
        <v>1</v>
      </c>
      <c r="C189" s="3" t="str">
        <f ca="1">IFERROR(
 INDEX($U$1:$AX$1,
  MATCH(TRUE,
   CHOOSE({1;2;3;4;5;6;7;8;9;10;11;12;13;14;15;16;17;18;19;20;21;22;23;24;25;26;27;28;29;30;31;32},
    COUNTIFS($U$2:$U$200,$G189)&gt;0,
    COUNTIFS($V$2:$V$200,$G189)&gt;0,
    COUNTIFS($W$2:$W$200,$G189)&gt;0,
    COUNTIFS($X$2:$X$200,$G189)&gt;0,
    COUNTIFS($Y$2:$Y$200,$G189)&gt;0,
    COUNTIFS($Z$2:$Z$200,$G189)&gt;0,
    COUNTIFS($AA$2:$AA$200,$G189)&gt;0,
    COUNTIFS($AB$2:$AB$200,$G189)&gt;0,
    COUNTIFS($AC$2:$AC$200,$G189)&gt;0,
    COUNTIFS($AD$2:$AD$200,$G189)&gt;0,
    COUNTIFS($AE$2:$AE$200,$G189)&gt;0,
    COUNTIFS($AF$2:$AF$200,$G189)&gt;0,
    COUNTIFS($AG$2:$AG$200,$G189)&gt;0,
    COUNTIFS($AH$2:$AH$200,$G189)&gt;0,
    COUNTIFS($AI$2:$AI$200,$G189)&gt;0,
    COUNTIFS($AJ$2:$AJ$200,$G189)&gt;0,
    COUNTIFS($AK$2:$AK$200,$G189)&gt;0,
    COUNTIFS($AL$2:$AL$200,$G189)&gt;0,
    COUNTIFS($AM$2:$AM$200,$G189)&gt;0,
    COUNTIFS($AN$2:$AN$200,$G189)&gt;0,
    COUNTIFS($AO$2:$AO$200,$G189)&gt;0,
    COUNTIFS($AP$2:$AP$200,$G189)&gt;0,
    COUNTIFS($AQ$2:$AQ$200,$G189)&gt;0,
    COUNTIFS($AR$2:$AR$200,$G189)&gt;0,
    COUNTIFS($AS$2:$AS$200,$G189)&gt;0,
    COUNTIFS($AT$2:$AT$200,$G189)&gt;0,
    COUNTIFS($AU$2:$AU$200,$G189)&gt;0,
    COUNTIFS($AV$2:$AV$200,$G189)&gt;0,
    COUNTIFS($AW$2:$AW$200,$G189)&gt;0,
    COUNTIFS($AX$2:$AX$200,$G189)&gt;0
   ),
  0)
 ),
"")</f>
        <v>Rielle</v>
      </c>
      <c r="D189" s="3" t="str" cm="1">
        <f t="array" aca="1" ref="D189" ca="1">IFERROR(
 INDEX(
  _xlfn._xlws.FILTER($U$1:$AX$1,
   TRANSPOSE(
    CHOOSE({1;2;3;4;5;6;7;8;9;10;11;12;13;14;15;16;17;18;19;20;21;22;23;24;25;26;27;28;29;30},
     COUNTIFS($U$2:$U$200,$G189)&gt;0,
     COUNTIFS($V$2:$V$200,$G189)&gt;0,
     COUNTIFS($W$2:$W$200,$G189)&gt;0,
     COUNTIFS($X$2:$X$200,$G189)&gt;0,
     COUNTIFS($Y$2:$Y$200,$G189)&gt;0,
     COUNTIFS($Z$2:$Z$200,$G189)&gt;0,
     COUNTIFS($AA$2:$AA$200,$G189)&gt;0,
     COUNTIFS($AB$2:$AB$200,$G189)&gt;0,
     COUNTIFS($AC$2:$AC$200,$G189)&gt;0,
     COUNTIFS($AD$2:$AD$200,$G189)&gt;0,
     COUNTIFS($AE$2:$AE$200,$G189)&gt;0,
     COUNTIFS($AF$2:$AF$200,$G189)&gt;0,
     COUNTIFS($AG$2:$AG$200,$G189)&gt;0,
     COUNTIFS($AH$2:$AH$200,$G189)&gt;0,
     COUNTIFS($AI$2:$AI$200,$G189)&gt;0,
     COUNTIFS($AJ$2:$AJ$200,$G189)&gt;0,
     COUNTIFS($AK$2:$AK$200,$G189)&gt;0,
     COUNTIFS($AL$2:$AL$200,$G189)&gt;0,
     COUNTIFS($AM$2:$AM$200,$G189)&gt;0,
     COUNTIFS($AN$2:$AN$200,$G189)&gt;0,
     COUNTIFS($AO$2:$AO$200,$G189)&gt;0,
     COUNTIFS($AP$2:$AP$200,$G189)&gt;0,
     COUNTIFS($AQ$2:$AQ$200,$G189)&gt;0,
     COUNTIFS($AR$2:$AR$200,$G189)&gt;0,
     COUNTIFS($AS$2:$AS$200,$G189)&gt;0,
     COUNTIFS($AT$2:$AT$200,$G189)&gt;0,
     COUNTIFS($AU$2:$AU$200,$G189)&gt;0,
     COUNTIFS($AV$2:$AV$200,$G189)&gt;0,
     COUNTIFS($AW$2:$AW$200,$G189)&gt;0,
     COUNTIFS($AX$2:$AX$200,$G189)&gt;0
   )),
  ),
  2
 ),
"")</f>
        <v/>
      </c>
      <c r="E189" s="3" t="str" cm="1">
        <f t="array" aca="1" ref="E189" ca="1">IFERROR(
 INDEX(
  _xlfn._xlws.FILTER($U$1:$AX$1,
   TRANSPOSE(
    CHOOSE({1;2;3;4;5;6;7;8;9;10;11;12;13;14;15;16;17;18;19;20;21;22;23;24;25;26;27;28;29;30},
     COUNTIFS($U$2:$U$200,$G189)&gt;0,
     COUNTIFS($V$2:$V$200,$G189)&gt;0,
     COUNTIFS($W$2:$W$200,$G189)&gt;0,
     COUNTIFS($X$2:$X$200,$G189)&gt;0,
     COUNTIFS($Y$2:$Y$200,$G189)&gt;0,
     COUNTIFS($Z$2:$Z$200,$G189)&gt;0,
     COUNTIFS($AA$2:$AA$200,$G189)&gt;0,
     COUNTIFS($AB$2:$AB$200,$G189)&gt;0,
     COUNTIFS($AC$2:$AC$200,$G189)&gt;0,
     COUNTIFS($AD$2:$AD$200,$G189)&gt;0,
     COUNTIFS($AE$2:$AE$200,$G189)&gt;0,
     COUNTIFS($AF$2:$AF$200,$G189)&gt;0,
     COUNTIFS($AG$2:$AG$200,$G189)&gt;0,
     COUNTIFS($AH$2:$AH$200,$G189)&gt;0,
     COUNTIFS($AI$2:$AI$200,$G189)&gt;0,
     COUNTIFS($AJ$2:$AJ$200,$G189)&gt;0,
     COUNTIFS($AK$2:$AK$200,$G189)&gt;0,
     COUNTIFS($AL$2:$AL$200,$G189)&gt;0,
     COUNTIFS($AM$2:$AM$200,$G189)&gt;0,
     COUNTIFS($AN$2:$AN$200,$G189)&gt;0,
     COUNTIFS($AO$2:$AO$200,$G189)&gt;0,
     COUNTIFS($AP$2:$AP$200,$G189)&gt;0,
     COUNTIFS($AQ$2:$AQ$200,$G189)&gt;0,
     COUNTIFS($AR$2:$AR$200,$G189)&gt;0,
     COUNTIFS($AS$2:$AS$200,$G189)&gt;0,
     COUNTIFS($AT$2:$AT$200,$G189)&gt;0,
     COUNTIFS($AU$2:$AU$200,$G189)&gt;0,
     COUNTIFS($AV$2:$AV$200,$G189)&gt;0,
     COUNTIFS($AW$2:$AW$200,$G189)&gt;0,
     COUNTIFS($AX$2:$AX$200,$G189)&gt;0
   )),
  ),
  3
 ),
"")</f>
        <v/>
      </c>
      <c r="F189" s="3" t="str" cm="1">
        <f t="array" aca="1" ref="F189" ca="1">IFERROR(
 INDEX(
  _xlfn._xlws.FILTER($U$1:$AX$1,
   TRANSPOSE(
    CHOOSE({1;2;3;4;5;6;7;8;9;10;11;12;13;14;15;16;17;18;19;20;21;22;23;24;25;26;27;28;29;30},
     COUNTIFS($U$2:$U$200,$G189)&gt;0,
     COUNTIFS($V$2:$V$200,$G189)&gt;0,
     COUNTIFS($W$2:$W$200,$G189)&gt;0,
     COUNTIFS($X$2:$X$200,$G189)&gt;0,
     COUNTIFS($Y$2:$Y$200,$G189)&gt;0,
     COUNTIFS($Z$2:$Z$200,$G189)&gt;0,
     COUNTIFS($AA$2:$AA$200,$G189)&gt;0,
     COUNTIFS($AB$2:$AB$200,$G189)&gt;0,
     COUNTIFS($AC$2:$AC$200,$G189)&gt;0,
     COUNTIFS($AD$2:$AD$200,$G189)&gt;0,
     COUNTIFS($AE$2:$AE$200,$G189)&gt;0,
     COUNTIFS($AF$2:$AF$200,$G189)&gt;0,
     COUNTIFS($AG$2:$AG$200,$G189)&gt;0,
     COUNTIFS($AH$2:$AH$200,$G189)&gt;0,
     COUNTIFS($AI$2:$AI$200,$G189)&gt;0,
     COUNTIFS($AJ$2:$AJ$200,$G189)&gt;0,
     COUNTIFS($AK$2:$AK$200,$G189)&gt;0,
     COUNTIFS($AL$2:$AL$200,$G189)&gt;0,
     COUNTIFS($AM$2:$AM$200,$G189)&gt;0,
     COUNTIFS($AN$2:$AN$200,$G189)&gt;0,
     COUNTIFS($AO$2:$AO$200,$G189)&gt;0,
     COUNTIFS($AP$2:$AP$200,$G189)&gt;0,
     COUNTIFS($AQ$2:$AQ$200,$G189)&gt;0,
     COUNTIFS($AR$2:$AR$200,$G189)&gt;0,
     COUNTIFS($AS$2:$AS$200,$G189)&gt;0,
     COUNTIFS($AT$2:$AT$200,$G189)&gt;0,
     COUNTIFS($AU$2:$AU$200,$G189)&gt;0,
     COUNTIFS($AV$2:$AV$200,$G189)&gt;0,
     COUNTIFS($AW$2:$AW$200,$G189)&gt;0,
     COUNTIFS($AX$2:$AX$200,$G189)&gt;0
   )),
  ),
  4
 ),
"")</f>
        <v/>
      </c>
      <c r="G189" t="str">
        <f ca="1"/>
        <v>Ojer Pakpatiq, Era Profunda</v>
      </c>
      <c r="CG189" t="str">
        <f ca="1"/>
        <v>Storm the Vault</v>
      </c>
      <c r="CJ189" t="str">
        <f ca="1"/>
        <v>Ojer Pakpatiq, Era Profunda</v>
      </c>
    </row>
    <row r="190" spans="1:88" x14ac:dyDescent="0.25">
      <c r="A190" s="3" t="str">
        <f t="shared" ca="1" si="6"/>
        <v>3</v>
      </c>
      <c r="B190" s="3">
        <f t="shared" ca="1" si="7"/>
        <v>1</v>
      </c>
      <c r="C190" s="3" t="str">
        <f ca="1">IFERROR(
 INDEX($U$1:$AX$1,
  MATCH(TRUE,
   CHOOSE({1;2;3;4;5;6;7;8;9;10;11;12;13;14;15;16;17;18;19;20;21;22;23;24;25;26;27;28;29;30;31;32},
    COUNTIFS($U$2:$U$200,$G190)&gt;0,
    COUNTIFS($V$2:$V$200,$G190)&gt;0,
    COUNTIFS($W$2:$W$200,$G190)&gt;0,
    COUNTIFS($X$2:$X$200,$G190)&gt;0,
    COUNTIFS($Y$2:$Y$200,$G190)&gt;0,
    COUNTIFS($Z$2:$Z$200,$G190)&gt;0,
    COUNTIFS($AA$2:$AA$200,$G190)&gt;0,
    COUNTIFS($AB$2:$AB$200,$G190)&gt;0,
    COUNTIFS($AC$2:$AC$200,$G190)&gt;0,
    COUNTIFS($AD$2:$AD$200,$G190)&gt;0,
    COUNTIFS($AE$2:$AE$200,$G190)&gt;0,
    COUNTIFS($AF$2:$AF$200,$G190)&gt;0,
    COUNTIFS($AG$2:$AG$200,$G190)&gt;0,
    COUNTIFS($AH$2:$AH$200,$G190)&gt;0,
    COUNTIFS($AI$2:$AI$200,$G190)&gt;0,
    COUNTIFS($AJ$2:$AJ$200,$G190)&gt;0,
    COUNTIFS($AK$2:$AK$200,$G190)&gt;0,
    COUNTIFS($AL$2:$AL$200,$G190)&gt;0,
    COUNTIFS($AM$2:$AM$200,$G190)&gt;0,
    COUNTIFS($AN$2:$AN$200,$G190)&gt;0,
    COUNTIFS($AO$2:$AO$200,$G190)&gt;0,
    COUNTIFS($AP$2:$AP$200,$G190)&gt;0,
    COUNTIFS($AQ$2:$AQ$200,$G190)&gt;0,
    COUNTIFS($AR$2:$AR$200,$G190)&gt;0,
    COUNTIFS($AS$2:$AS$200,$G190)&gt;0,
    COUNTIFS($AT$2:$AT$200,$G190)&gt;0,
    COUNTIFS($AU$2:$AU$200,$G190)&gt;0,
    COUNTIFS($AV$2:$AV$200,$G190)&gt;0,
    COUNTIFS($AW$2:$AW$200,$G190)&gt;0,
    COUNTIFS($AX$2:$AX$200,$G190)&gt;0
   ),
  0)
 ),
"")</f>
        <v>Sisay</v>
      </c>
      <c r="D190" s="3" t="str" cm="1">
        <f t="array" aca="1" ref="D190" ca="1">IFERROR(
 INDEX(
  _xlfn._xlws.FILTER($U$1:$AX$1,
   TRANSPOSE(
    CHOOSE({1;2;3;4;5;6;7;8;9;10;11;12;13;14;15;16;17;18;19;20;21;22;23;24;25;26;27;28;29;30},
     COUNTIFS($U$2:$U$200,$G190)&gt;0,
     COUNTIFS($V$2:$V$200,$G190)&gt;0,
     COUNTIFS($W$2:$W$200,$G190)&gt;0,
     COUNTIFS($X$2:$X$200,$G190)&gt;0,
     COUNTIFS($Y$2:$Y$200,$G190)&gt;0,
     COUNTIFS($Z$2:$Z$200,$G190)&gt;0,
     COUNTIFS($AA$2:$AA$200,$G190)&gt;0,
     COUNTIFS($AB$2:$AB$200,$G190)&gt;0,
     COUNTIFS($AC$2:$AC$200,$G190)&gt;0,
     COUNTIFS($AD$2:$AD$200,$G190)&gt;0,
     COUNTIFS($AE$2:$AE$200,$G190)&gt;0,
     COUNTIFS($AF$2:$AF$200,$G190)&gt;0,
     COUNTIFS($AG$2:$AG$200,$G190)&gt;0,
     COUNTIFS($AH$2:$AH$200,$G190)&gt;0,
     COUNTIFS($AI$2:$AI$200,$G190)&gt;0,
     COUNTIFS($AJ$2:$AJ$200,$G190)&gt;0,
     COUNTIFS($AK$2:$AK$200,$G190)&gt;0,
     COUNTIFS($AL$2:$AL$200,$G190)&gt;0,
     COUNTIFS($AM$2:$AM$200,$G190)&gt;0,
     COUNTIFS($AN$2:$AN$200,$G190)&gt;0,
     COUNTIFS($AO$2:$AO$200,$G190)&gt;0,
     COUNTIFS($AP$2:$AP$200,$G190)&gt;0,
     COUNTIFS($AQ$2:$AQ$200,$G190)&gt;0,
     COUNTIFS($AR$2:$AR$200,$G190)&gt;0,
     COUNTIFS($AS$2:$AS$200,$G190)&gt;0,
     COUNTIFS($AT$2:$AT$200,$G190)&gt;0,
     COUNTIFS($AU$2:$AU$200,$G190)&gt;0,
     COUNTIFS($AV$2:$AV$200,$G190)&gt;0,
     COUNTIFS($AW$2:$AW$200,$G190)&gt;0,
     COUNTIFS($AX$2:$AX$200,$G190)&gt;0
   )),
  ),
  2
 ),
"")</f>
        <v/>
      </c>
      <c r="E190" s="3" t="str" cm="1">
        <f t="array" aca="1" ref="E190" ca="1">IFERROR(
 INDEX(
  _xlfn._xlws.FILTER($U$1:$AX$1,
   TRANSPOSE(
    CHOOSE({1;2;3;4;5;6;7;8;9;10;11;12;13;14;15;16;17;18;19;20;21;22;23;24;25;26;27;28;29;30},
     COUNTIFS($U$2:$U$200,$G190)&gt;0,
     COUNTIFS($V$2:$V$200,$G190)&gt;0,
     COUNTIFS($W$2:$W$200,$G190)&gt;0,
     COUNTIFS($X$2:$X$200,$G190)&gt;0,
     COUNTIFS($Y$2:$Y$200,$G190)&gt;0,
     COUNTIFS($Z$2:$Z$200,$G190)&gt;0,
     COUNTIFS($AA$2:$AA$200,$G190)&gt;0,
     COUNTIFS($AB$2:$AB$200,$G190)&gt;0,
     COUNTIFS($AC$2:$AC$200,$G190)&gt;0,
     COUNTIFS($AD$2:$AD$200,$G190)&gt;0,
     COUNTIFS($AE$2:$AE$200,$G190)&gt;0,
     COUNTIFS($AF$2:$AF$200,$G190)&gt;0,
     COUNTIFS($AG$2:$AG$200,$G190)&gt;0,
     COUNTIFS($AH$2:$AH$200,$G190)&gt;0,
     COUNTIFS($AI$2:$AI$200,$G190)&gt;0,
     COUNTIFS($AJ$2:$AJ$200,$G190)&gt;0,
     COUNTIFS($AK$2:$AK$200,$G190)&gt;0,
     COUNTIFS($AL$2:$AL$200,$G190)&gt;0,
     COUNTIFS($AM$2:$AM$200,$G190)&gt;0,
     COUNTIFS($AN$2:$AN$200,$G190)&gt;0,
     COUNTIFS($AO$2:$AO$200,$G190)&gt;0,
     COUNTIFS($AP$2:$AP$200,$G190)&gt;0,
     COUNTIFS($AQ$2:$AQ$200,$G190)&gt;0,
     COUNTIFS($AR$2:$AR$200,$G190)&gt;0,
     COUNTIFS($AS$2:$AS$200,$G190)&gt;0,
     COUNTIFS($AT$2:$AT$200,$G190)&gt;0,
     COUNTIFS($AU$2:$AU$200,$G190)&gt;0,
     COUNTIFS($AV$2:$AV$200,$G190)&gt;0,
     COUNTIFS($AW$2:$AW$200,$G190)&gt;0,
     COUNTIFS($AX$2:$AX$200,$G190)&gt;0
   )),
  ),
  3
 ),
"")</f>
        <v/>
      </c>
      <c r="F190" s="3" t="str" cm="1">
        <f t="array" aca="1" ref="F190" ca="1">IFERROR(
 INDEX(
  _xlfn._xlws.FILTER($U$1:$AX$1,
   TRANSPOSE(
    CHOOSE({1;2;3;4;5;6;7;8;9;10;11;12;13;14;15;16;17;18;19;20;21;22;23;24;25;26;27;28;29;30},
     COUNTIFS($U$2:$U$200,$G190)&gt;0,
     COUNTIFS($V$2:$V$200,$G190)&gt;0,
     COUNTIFS($W$2:$W$200,$G190)&gt;0,
     COUNTIFS($X$2:$X$200,$G190)&gt;0,
     COUNTIFS($Y$2:$Y$200,$G190)&gt;0,
     COUNTIFS($Z$2:$Z$200,$G190)&gt;0,
     COUNTIFS($AA$2:$AA$200,$G190)&gt;0,
     COUNTIFS($AB$2:$AB$200,$G190)&gt;0,
     COUNTIFS($AC$2:$AC$200,$G190)&gt;0,
     COUNTIFS($AD$2:$AD$200,$G190)&gt;0,
     COUNTIFS($AE$2:$AE$200,$G190)&gt;0,
     COUNTIFS($AF$2:$AF$200,$G190)&gt;0,
     COUNTIFS($AG$2:$AG$200,$G190)&gt;0,
     COUNTIFS($AH$2:$AH$200,$G190)&gt;0,
     COUNTIFS($AI$2:$AI$200,$G190)&gt;0,
     COUNTIFS($AJ$2:$AJ$200,$G190)&gt;0,
     COUNTIFS($AK$2:$AK$200,$G190)&gt;0,
     COUNTIFS($AL$2:$AL$200,$G190)&gt;0,
     COUNTIFS($AM$2:$AM$200,$G190)&gt;0,
     COUNTIFS($AN$2:$AN$200,$G190)&gt;0,
     COUNTIFS($AO$2:$AO$200,$G190)&gt;0,
     COUNTIFS($AP$2:$AP$200,$G190)&gt;0,
     COUNTIFS($AQ$2:$AQ$200,$G190)&gt;0,
     COUNTIFS($AR$2:$AR$200,$G190)&gt;0,
     COUNTIFS($AS$2:$AS$200,$G190)&gt;0,
     COUNTIFS($AT$2:$AT$200,$G190)&gt;0,
     COUNTIFS($AU$2:$AU$200,$G190)&gt;0,
     COUNTIFS($AV$2:$AV$200,$G190)&gt;0,
     COUNTIFS($AW$2:$AW$200,$G190)&gt;0,
     COUNTIFS($AX$2:$AX$200,$G190)&gt;0
   )),
  ),
  4
 ),
"")</f>
        <v/>
      </c>
      <c r="G190" t="str">
        <f ca="1"/>
        <v>Oko, Thief of Crowns</v>
      </c>
      <c r="CG190" t="str">
        <f ca="1"/>
        <v>Sulfur Falls</v>
      </c>
      <c r="CJ190" t="str">
        <f ca="1"/>
        <v>Oko, Thief of Crowns</v>
      </c>
    </row>
    <row r="191" spans="1:88" x14ac:dyDescent="0.25">
      <c r="A191" s="3" t="str">
        <f t="shared" ca="1" si="6"/>
        <v>5</v>
      </c>
      <c r="B191" s="3">
        <f t="shared" ca="1" si="7"/>
        <v>1</v>
      </c>
      <c r="C191" s="3" t="str">
        <f ca="1">IFERROR(
 INDEX($U$1:$AX$1,
  MATCH(TRUE,
   CHOOSE({1;2;3;4;5;6;7;8;9;10;11;12;13;14;15;16;17;18;19;20;21;22;23;24;25;26;27;28;29;30;31;32},
    COUNTIFS($U$2:$U$200,$G191)&gt;0,
    COUNTIFS($V$2:$V$200,$G191)&gt;0,
    COUNTIFS($W$2:$W$200,$G191)&gt;0,
    COUNTIFS($X$2:$X$200,$G191)&gt;0,
    COUNTIFS($Y$2:$Y$200,$G191)&gt;0,
    COUNTIFS($Z$2:$Z$200,$G191)&gt;0,
    COUNTIFS($AA$2:$AA$200,$G191)&gt;0,
    COUNTIFS($AB$2:$AB$200,$G191)&gt;0,
    COUNTIFS($AC$2:$AC$200,$G191)&gt;0,
    COUNTIFS($AD$2:$AD$200,$G191)&gt;0,
    COUNTIFS($AE$2:$AE$200,$G191)&gt;0,
    COUNTIFS($AF$2:$AF$200,$G191)&gt;0,
    COUNTIFS($AG$2:$AG$200,$G191)&gt;0,
    COUNTIFS($AH$2:$AH$200,$G191)&gt;0,
    COUNTIFS($AI$2:$AI$200,$G191)&gt;0,
    COUNTIFS($AJ$2:$AJ$200,$G191)&gt;0,
    COUNTIFS($AK$2:$AK$200,$G191)&gt;0,
    COUNTIFS($AL$2:$AL$200,$G191)&gt;0,
    COUNTIFS($AM$2:$AM$200,$G191)&gt;0,
    COUNTIFS($AN$2:$AN$200,$G191)&gt;0,
    COUNTIFS($AO$2:$AO$200,$G191)&gt;0,
    COUNTIFS($AP$2:$AP$200,$G191)&gt;0,
    COUNTIFS($AQ$2:$AQ$200,$G191)&gt;0,
    COUNTIFS($AR$2:$AR$200,$G191)&gt;0,
    COUNTIFS($AS$2:$AS$200,$G191)&gt;0,
    COUNTIFS($AT$2:$AT$200,$G191)&gt;0,
    COUNTIFS($AU$2:$AU$200,$G191)&gt;0,
    COUNTIFS($AV$2:$AV$200,$G191)&gt;0,
    COUNTIFS($AW$2:$AW$200,$G191)&gt;0,
    COUNTIFS($AX$2:$AX$200,$G191)&gt;0
   ),
  0)
 ),
"")</f>
        <v>Alela</v>
      </c>
      <c r="D191" s="3" t="str" cm="1">
        <f t="array" aca="1" ref="D191" ca="1">IFERROR(
 INDEX(
  _xlfn._xlws.FILTER($U$1:$AX$1,
   TRANSPOSE(
    CHOOSE({1;2;3;4;5;6;7;8;9;10;11;12;13;14;15;16;17;18;19;20;21;22;23;24;25;26;27;28;29;30},
     COUNTIFS($U$2:$U$200,$G191)&gt;0,
     COUNTIFS($V$2:$V$200,$G191)&gt;0,
     COUNTIFS($W$2:$W$200,$G191)&gt;0,
     COUNTIFS($X$2:$X$200,$G191)&gt;0,
     COUNTIFS($Y$2:$Y$200,$G191)&gt;0,
     COUNTIFS($Z$2:$Z$200,$G191)&gt;0,
     COUNTIFS($AA$2:$AA$200,$G191)&gt;0,
     COUNTIFS($AB$2:$AB$200,$G191)&gt;0,
     COUNTIFS($AC$2:$AC$200,$G191)&gt;0,
     COUNTIFS($AD$2:$AD$200,$G191)&gt;0,
     COUNTIFS($AE$2:$AE$200,$G191)&gt;0,
     COUNTIFS($AF$2:$AF$200,$G191)&gt;0,
     COUNTIFS($AG$2:$AG$200,$G191)&gt;0,
     COUNTIFS($AH$2:$AH$200,$G191)&gt;0,
     COUNTIFS($AI$2:$AI$200,$G191)&gt;0,
     COUNTIFS($AJ$2:$AJ$200,$G191)&gt;0,
     COUNTIFS($AK$2:$AK$200,$G191)&gt;0,
     COUNTIFS($AL$2:$AL$200,$G191)&gt;0,
     COUNTIFS($AM$2:$AM$200,$G191)&gt;0,
     COUNTIFS($AN$2:$AN$200,$G191)&gt;0,
     COUNTIFS($AO$2:$AO$200,$G191)&gt;0,
     COUNTIFS($AP$2:$AP$200,$G191)&gt;0,
     COUNTIFS($AQ$2:$AQ$200,$G191)&gt;0,
     COUNTIFS($AR$2:$AR$200,$G191)&gt;0,
     COUNTIFS($AS$2:$AS$200,$G191)&gt;0,
     COUNTIFS($AT$2:$AT$200,$G191)&gt;0,
     COUNTIFS($AU$2:$AU$200,$G191)&gt;0,
     COUNTIFS($AV$2:$AV$200,$G191)&gt;0,
     COUNTIFS($AW$2:$AW$200,$G191)&gt;0,
     COUNTIFS($AX$2:$AX$200,$G191)&gt;0
   )),
  ),
  2
 ),
"")</f>
        <v/>
      </c>
      <c r="E191" s="3" t="str" cm="1">
        <f t="array" aca="1" ref="E191" ca="1">IFERROR(
 INDEX(
  _xlfn._xlws.FILTER($U$1:$AX$1,
   TRANSPOSE(
    CHOOSE({1;2;3;4;5;6;7;8;9;10;11;12;13;14;15;16;17;18;19;20;21;22;23;24;25;26;27;28;29;30},
     COUNTIFS($U$2:$U$200,$G191)&gt;0,
     COUNTIFS($V$2:$V$200,$G191)&gt;0,
     COUNTIFS($W$2:$W$200,$G191)&gt;0,
     COUNTIFS($X$2:$X$200,$G191)&gt;0,
     COUNTIFS($Y$2:$Y$200,$G191)&gt;0,
     COUNTIFS($Z$2:$Z$200,$G191)&gt;0,
     COUNTIFS($AA$2:$AA$200,$G191)&gt;0,
     COUNTIFS($AB$2:$AB$200,$G191)&gt;0,
     COUNTIFS($AC$2:$AC$200,$G191)&gt;0,
     COUNTIFS($AD$2:$AD$200,$G191)&gt;0,
     COUNTIFS($AE$2:$AE$200,$G191)&gt;0,
     COUNTIFS($AF$2:$AF$200,$G191)&gt;0,
     COUNTIFS($AG$2:$AG$200,$G191)&gt;0,
     COUNTIFS($AH$2:$AH$200,$G191)&gt;0,
     COUNTIFS($AI$2:$AI$200,$G191)&gt;0,
     COUNTIFS($AJ$2:$AJ$200,$G191)&gt;0,
     COUNTIFS($AK$2:$AK$200,$G191)&gt;0,
     COUNTIFS($AL$2:$AL$200,$G191)&gt;0,
     COUNTIFS($AM$2:$AM$200,$G191)&gt;0,
     COUNTIFS($AN$2:$AN$200,$G191)&gt;0,
     COUNTIFS($AO$2:$AO$200,$G191)&gt;0,
     COUNTIFS($AP$2:$AP$200,$G191)&gt;0,
     COUNTIFS($AQ$2:$AQ$200,$G191)&gt;0,
     COUNTIFS($AR$2:$AR$200,$G191)&gt;0,
     COUNTIFS($AS$2:$AS$200,$G191)&gt;0,
     COUNTIFS($AT$2:$AT$200,$G191)&gt;0,
     COUNTIFS($AU$2:$AU$200,$G191)&gt;0,
     COUNTIFS($AV$2:$AV$200,$G191)&gt;0,
     COUNTIFS($AW$2:$AW$200,$G191)&gt;0,
     COUNTIFS($AX$2:$AX$200,$G191)&gt;0
   )),
  ),
  3
 ),
"")</f>
        <v/>
      </c>
      <c r="F191" s="3" t="str" cm="1">
        <f t="array" aca="1" ref="F191" ca="1">IFERROR(
 INDEX(
  _xlfn._xlws.FILTER($U$1:$AX$1,
   TRANSPOSE(
    CHOOSE({1;2;3;4;5;6;7;8;9;10;11;12;13;14;15;16;17;18;19;20;21;22;23;24;25;26;27;28;29;30},
     COUNTIFS($U$2:$U$200,$G191)&gt;0,
     COUNTIFS($V$2:$V$200,$G191)&gt;0,
     COUNTIFS($W$2:$W$200,$G191)&gt;0,
     COUNTIFS($X$2:$X$200,$G191)&gt;0,
     COUNTIFS($Y$2:$Y$200,$G191)&gt;0,
     COUNTIFS($Z$2:$Z$200,$G191)&gt;0,
     COUNTIFS($AA$2:$AA$200,$G191)&gt;0,
     COUNTIFS($AB$2:$AB$200,$G191)&gt;0,
     COUNTIFS($AC$2:$AC$200,$G191)&gt;0,
     COUNTIFS($AD$2:$AD$200,$G191)&gt;0,
     COUNTIFS($AE$2:$AE$200,$G191)&gt;0,
     COUNTIFS($AF$2:$AF$200,$G191)&gt;0,
     COUNTIFS($AG$2:$AG$200,$G191)&gt;0,
     COUNTIFS($AH$2:$AH$200,$G191)&gt;0,
     COUNTIFS($AI$2:$AI$200,$G191)&gt;0,
     COUNTIFS($AJ$2:$AJ$200,$G191)&gt;0,
     COUNTIFS($AK$2:$AK$200,$G191)&gt;0,
     COUNTIFS($AL$2:$AL$200,$G191)&gt;0,
     COUNTIFS($AM$2:$AM$200,$G191)&gt;0,
     COUNTIFS($AN$2:$AN$200,$G191)&gt;0,
     COUNTIFS($AO$2:$AO$200,$G191)&gt;0,
     COUNTIFS($AP$2:$AP$200,$G191)&gt;0,
     COUNTIFS($AQ$2:$AQ$200,$G191)&gt;0,
     COUNTIFS($AR$2:$AR$200,$G191)&gt;0,
     COUNTIFS($AS$2:$AS$200,$G191)&gt;0,
     COUNTIFS($AT$2:$AT$200,$G191)&gt;0,
     COUNTIFS($AU$2:$AU$200,$G191)&gt;0,
     COUNTIFS($AV$2:$AV$200,$G191)&gt;0,
     COUNTIFS($AW$2:$AW$200,$G191)&gt;0,
     COUNTIFS($AX$2:$AX$200,$G191)&gt;0
   )),
  ),
  4
 ),
"")</f>
        <v/>
      </c>
      <c r="G191" t="str">
        <f ca="1"/>
        <v>Olho de Ojer Taq</v>
      </c>
      <c r="CG191" t="str">
        <f ca="1"/>
        <v>Summon: Fenrir</v>
      </c>
      <c r="CJ191" t="str">
        <f ca="1"/>
        <v>Olho de Ojer Taq</v>
      </c>
    </row>
    <row r="192" spans="1:88" x14ac:dyDescent="0.25">
      <c r="A192" s="3" t="str">
        <f t="shared" ca="1" si="6"/>
        <v>4</v>
      </c>
      <c r="B192" s="3">
        <f t="shared" ca="1" si="7"/>
        <v>1</v>
      </c>
      <c r="C192" s="3" t="str">
        <f ca="1">IFERROR(
 INDEX($U$1:$AX$1,
  MATCH(TRUE,
   CHOOSE({1;2;3;4;5;6;7;8;9;10;11;12;13;14;15;16;17;18;19;20;21;22;23;24;25;26;27;28;29;30;31;32},
    COUNTIFS($U$2:$U$200,$G192)&gt;0,
    COUNTIFS($V$2:$V$200,$G192)&gt;0,
    COUNTIFS($W$2:$W$200,$G192)&gt;0,
    COUNTIFS($X$2:$X$200,$G192)&gt;0,
    COUNTIFS($Y$2:$Y$200,$G192)&gt;0,
    COUNTIFS($Z$2:$Z$200,$G192)&gt;0,
    COUNTIFS($AA$2:$AA$200,$G192)&gt;0,
    COUNTIFS($AB$2:$AB$200,$G192)&gt;0,
    COUNTIFS($AC$2:$AC$200,$G192)&gt;0,
    COUNTIFS($AD$2:$AD$200,$G192)&gt;0,
    COUNTIFS($AE$2:$AE$200,$G192)&gt;0,
    COUNTIFS($AF$2:$AF$200,$G192)&gt;0,
    COUNTIFS($AG$2:$AG$200,$G192)&gt;0,
    COUNTIFS($AH$2:$AH$200,$G192)&gt;0,
    COUNTIFS($AI$2:$AI$200,$G192)&gt;0,
    COUNTIFS($AJ$2:$AJ$200,$G192)&gt;0,
    COUNTIFS($AK$2:$AK$200,$G192)&gt;0,
    COUNTIFS($AL$2:$AL$200,$G192)&gt;0,
    COUNTIFS($AM$2:$AM$200,$G192)&gt;0,
    COUNTIFS($AN$2:$AN$200,$G192)&gt;0,
    COUNTIFS($AO$2:$AO$200,$G192)&gt;0,
    COUNTIFS($AP$2:$AP$200,$G192)&gt;0,
    COUNTIFS($AQ$2:$AQ$200,$G192)&gt;0,
    COUNTIFS($AR$2:$AR$200,$G192)&gt;0,
    COUNTIFS($AS$2:$AS$200,$G192)&gt;0,
    COUNTIFS($AT$2:$AT$200,$G192)&gt;0,
    COUNTIFS($AU$2:$AU$200,$G192)&gt;0,
    COUNTIFS($AV$2:$AV$200,$G192)&gt;0,
    COUNTIFS($AW$2:$AW$200,$G192)&gt;0,
    COUNTIFS($AX$2:$AX$200,$G192)&gt;0
   ),
  0)
 ),
"")</f>
        <v>Elfos</v>
      </c>
      <c r="D192" s="3" t="str" cm="1">
        <f t="array" aca="1" ref="D192" ca="1">IFERROR(
 INDEX(
  _xlfn._xlws.FILTER($U$1:$AX$1,
   TRANSPOSE(
    CHOOSE({1;2;3;4;5;6;7;8;9;10;11;12;13;14;15;16;17;18;19;20;21;22;23;24;25;26;27;28;29;30},
     COUNTIFS($U$2:$U$200,$G192)&gt;0,
     COUNTIFS($V$2:$V$200,$G192)&gt;0,
     COUNTIFS($W$2:$W$200,$G192)&gt;0,
     COUNTIFS($X$2:$X$200,$G192)&gt;0,
     COUNTIFS($Y$2:$Y$200,$G192)&gt;0,
     COUNTIFS($Z$2:$Z$200,$G192)&gt;0,
     COUNTIFS($AA$2:$AA$200,$G192)&gt;0,
     COUNTIFS($AB$2:$AB$200,$G192)&gt;0,
     COUNTIFS($AC$2:$AC$200,$G192)&gt;0,
     COUNTIFS($AD$2:$AD$200,$G192)&gt;0,
     COUNTIFS($AE$2:$AE$200,$G192)&gt;0,
     COUNTIFS($AF$2:$AF$200,$G192)&gt;0,
     COUNTIFS($AG$2:$AG$200,$G192)&gt;0,
     COUNTIFS($AH$2:$AH$200,$G192)&gt;0,
     COUNTIFS($AI$2:$AI$200,$G192)&gt;0,
     COUNTIFS($AJ$2:$AJ$200,$G192)&gt;0,
     COUNTIFS($AK$2:$AK$200,$G192)&gt;0,
     COUNTIFS($AL$2:$AL$200,$G192)&gt;0,
     COUNTIFS($AM$2:$AM$200,$G192)&gt;0,
     COUNTIFS($AN$2:$AN$200,$G192)&gt;0,
     COUNTIFS($AO$2:$AO$200,$G192)&gt;0,
     COUNTIFS($AP$2:$AP$200,$G192)&gt;0,
     COUNTIFS($AQ$2:$AQ$200,$G192)&gt;0,
     COUNTIFS($AR$2:$AR$200,$G192)&gt;0,
     COUNTIFS($AS$2:$AS$200,$G192)&gt;0,
     COUNTIFS($AT$2:$AT$200,$G192)&gt;0,
     COUNTIFS($AU$2:$AU$200,$G192)&gt;0,
     COUNTIFS($AV$2:$AV$200,$G192)&gt;0,
     COUNTIFS($AW$2:$AW$200,$G192)&gt;0,
     COUNTIFS($AX$2:$AX$200,$G192)&gt;0
   )),
  ),
  2
 ),
"")</f>
        <v/>
      </c>
      <c r="E192" s="3" t="str" cm="1">
        <f t="array" aca="1" ref="E192" ca="1">IFERROR(
 INDEX(
  _xlfn._xlws.FILTER($U$1:$AX$1,
   TRANSPOSE(
    CHOOSE({1;2;3;4;5;6;7;8;9;10;11;12;13;14;15;16;17;18;19;20;21;22;23;24;25;26;27;28;29;30},
     COUNTIFS($U$2:$U$200,$G192)&gt;0,
     COUNTIFS($V$2:$V$200,$G192)&gt;0,
     COUNTIFS($W$2:$W$200,$G192)&gt;0,
     COUNTIFS($X$2:$X$200,$G192)&gt;0,
     COUNTIFS($Y$2:$Y$200,$G192)&gt;0,
     COUNTIFS($Z$2:$Z$200,$G192)&gt;0,
     COUNTIFS($AA$2:$AA$200,$G192)&gt;0,
     COUNTIFS($AB$2:$AB$200,$G192)&gt;0,
     COUNTIFS($AC$2:$AC$200,$G192)&gt;0,
     COUNTIFS($AD$2:$AD$200,$G192)&gt;0,
     COUNTIFS($AE$2:$AE$200,$G192)&gt;0,
     COUNTIFS($AF$2:$AF$200,$G192)&gt;0,
     COUNTIFS($AG$2:$AG$200,$G192)&gt;0,
     COUNTIFS($AH$2:$AH$200,$G192)&gt;0,
     COUNTIFS($AI$2:$AI$200,$G192)&gt;0,
     COUNTIFS($AJ$2:$AJ$200,$G192)&gt;0,
     COUNTIFS($AK$2:$AK$200,$G192)&gt;0,
     COUNTIFS($AL$2:$AL$200,$G192)&gt;0,
     COUNTIFS($AM$2:$AM$200,$G192)&gt;0,
     COUNTIFS($AN$2:$AN$200,$G192)&gt;0,
     COUNTIFS($AO$2:$AO$200,$G192)&gt;0,
     COUNTIFS($AP$2:$AP$200,$G192)&gt;0,
     COUNTIFS($AQ$2:$AQ$200,$G192)&gt;0,
     COUNTIFS($AR$2:$AR$200,$G192)&gt;0,
     COUNTIFS($AS$2:$AS$200,$G192)&gt;0,
     COUNTIFS($AT$2:$AT$200,$G192)&gt;0,
     COUNTIFS($AU$2:$AU$200,$G192)&gt;0,
     COUNTIFS($AV$2:$AV$200,$G192)&gt;0,
     COUNTIFS($AW$2:$AW$200,$G192)&gt;0,
     COUNTIFS($AX$2:$AX$200,$G192)&gt;0
   )),
  ),
  3
 ),
"")</f>
        <v/>
      </c>
      <c r="F192" s="3" t="str" cm="1">
        <f t="array" aca="1" ref="F192" ca="1">IFERROR(
 INDEX(
  _xlfn._xlws.FILTER($U$1:$AX$1,
   TRANSPOSE(
    CHOOSE({1;2;3;4;5;6;7;8;9;10;11;12;13;14;15;16;17;18;19;20;21;22;23;24;25;26;27;28;29;30},
     COUNTIFS($U$2:$U$200,$G192)&gt;0,
     COUNTIFS($V$2:$V$200,$G192)&gt;0,
     COUNTIFS($W$2:$W$200,$G192)&gt;0,
     COUNTIFS($X$2:$X$200,$G192)&gt;0,
     COUNTIFS($Y$2:$Y$200,$G192)&gt;0,
     COUNTIFS($Z$2:$Z$200,$G192)&gt;0,
     COUNTIFS($AA$2:$AA$200,$G192)&gt;0,
     COUNTIFS($AB$2:$AB$200,$G192)&gt;0,
     COUNTIFS($AC$2:$AC$200,$G192)&gt;0,
     COUNTIFS($AD$2:$AD$200,$G192)&gt;0,
     COUNTIFS($AE$2:$AE$200,$G192)&gt;0,
     COUNTIFS($AF$2:$AF$200,$G192)&gt;0,
     COUNTIFS($AG$2:$AG$200,$G192)&gt;0,
     COUNTIFS($AH$2:$AH$200,$G192)&gt;0,
     COUNTIFS($AI$2:$AI$200,$G192)&gt;0,
     COUNTIFS($AJ$2:$AJ$200,$G192)&gt;0,
     COUNTIFS($AK$2:$AK$200,$G192)&gt;0,
     COUNTIFS($AL$2:$AL$200,$G192)&gt;0,
     COUNTIFS($AM$2:$AM$200,$G192)&gt;0,
     COUNTIFS($AN$2:$AN$200,$G192)&gt;0,
     COUNTIFS($AO$2:$AO$200,$G192)&gt;0,
     COUNTIFS($AP$2:$AP$200,$G192)&gt;0,
     COUNTIFS($AQ$2:$AQ$200,$G192)&gt;0,
     COUNTIFS($AR$2:$AR$200,$G192)&gt;0,
     COUNTIFS($AS$2:$AS$200,$G192)&gt;0,
     COUNTIFS($AT$2:$AT$200,$G192)&gt;0,
     COUNTIFS($AU$2:$AU$200,$G192)&gt;0,
     COUNTIFS($AV$2:$AV$200,$G192)&gt;0,
     COUNTIFS($AW$2:$AW$200,$G192)&gt;0,
     COUNTIFS($AX$2:$AX$200,$G192)&gt;0
   )),
  ),
  4
 ),
"")</f>
        <v/>
      </c>
      <c r="G192" t="str">
        <f ca="1"/>
        <v>Overgrown Tomb</v>
      </c>
      <c r="CG192" t="str">
        <f ca="1"/>
        <v>Summon: Ixion</v>
      </c>
      <c r="CJ192" t="str">
        <f ca="1"/>
        <v>Overgrown Tomb</v>
      </c>
    </row>
    <row r="193" spans="1:88" x14ac:dyDescent="0.25">
      <c r="A193" s="3" t="str">
        <f t="shared" ca="1" si="6"/>
        <v>1</v>
      </c>
      <c r="B193" s="3">
        <f t="shared" ca="1" si="7"/>
        <v>1</v>
      </c>
      <c r="C193" s="3" t="str">
        <f ca="1">IFERROR(
 INDEX($U$1:$AX$1,
  MATCH(TRUE,
   CHOOSE({1;2;3;4;5;6;7;8;9;10;11;12;13;14;15;16;17;18;19;20;21;22;23;24;25;26;27;28;29;30;31;32},
    COUNTIFS($U$2:$U$200,$G193)&gt;0,
    COUNTIFS($V$2:$V$200,$G193)&gt;0,
    COUNTIFS($W$2:$W$200,$G193)&gt;0,
    COUNTIFS($X$2:$X$200,$G193)&gt;0,
    COUNTIFS($Y$2:$Y$200,$G193)&gt;0,
    COUNTIFS($Z$2:$Z$200,$G193)&gt;0,
    COUNTIFS($AA$2:$AA$200,$G193)&gt;0,
    COUNTIFS($AB$2:$AB$200,$G193)&gt;0,
    COUNTIFS($AC$2:$AC$200,$G193)&gt;0,
    COUNTIFS($AD$2:$AD$200,$G193)&gt;0,
    COUNTIFS($AE$2:$AE$200,$G193)&gt;0,
    COUNTIFS($AF$2:$AF$200,$G193)&gt;0,
    COUNTIFS($AG$2:$AG$200,$G193)&gt;0,
    COUNTIFS($AH$2:$AH$200,$G193)&gt;0,
    COUNTIFS($AI$2:$AI$200,$G193)&gt;0,
    COUNTIFS($AJ$2:$AJ$200,$G193)&gt;0,
    COUNTIFS($AK$2:$AK$200,$G193)&gt;0,
    COUNTIFS($AL$2:$AL$200,$G193)&gt;0,
    COUNTIFS($AM$2:$AM$200,$G193)&gt;0,
    COUNTIFS($AN$2:$AN$200,$G193)&gt;0,
    COUNTIFS($AO$2:$AO$200,$G193)&gt;0,
    COUNTIFS($AP$2:$AP$200,$G193)&gt;0,
    COUNTIFS($AQ$2:$AQ$200,$G193)&gt;0,
    COUNTIFS($AR$2:$AR$200,$G193)&gt;0,
    COUNTIFS($AS$2:$AS$200,$G193)&gt;0,
    COUNTIFS($AT$2:$AT$200,$G193)&gt;0,
    COUNTIFS($AU$2:$AU$200,$G193)&gt;0,
    COUNTIFS($AV$2:$AV$200,$G193)&gt;0,
    COUNTIFS($AW$2:$AW$200,$G193)&gt;0,
    COUNTIFS($AX$2:$AX$200,$G193)&gt;0
   ),
  0)
 ),
"")</f>
        <v>Tayam</v>
      </c>
      <c r="D193" s="3" t="str" cm="1">
        <f t="array" aca="1" ref="D193" ca="1">IFERROR(
 INDEX(
  _xlfn._xlws.FILTER($U$1:$AX$1,
   TRANSPOSE(
    CHOOSE({1;2;3;4;5;6;7;8;9;10;11;12;13;14;15;16;17;18;19;20;21;22;23;24;25;26;27;28;29;30},
     COUNTIFS($U$2:$U$200,$G193)&gt;0,
     COUNTIFS($V$2:$V$200,$G193)&gt;0,
     COUNTIFS($W$2:$W$200,$G193)&gt;0,
     COUNTIFS($X$2:$X$200,$G193)&gt;0,
     COUNTIFS($Y$2:$Y$200,$G193)&gt;0,
     COUNTIFS($Z$2:$Z$200,$G193)&gt;0,
     COUNTIFS($AA$2:$AA$200,$G193)&gt;0,
     COUNTIFS($AB$2:$AB$200,$G193)&gt;0,
     COUNTIFS($AC$2:$AC$200,$G193)&gt;0,
     COUNTIFS($AD$2:$AD$200,$G193)&gt;0,
     COUNTIFS($AE$2:$AE$200,$G193)&gt;0,
     COUNTIFS($AF$2:$AF$200,$G193)&gt;0,
     COUNTIFS($AG$2:$AG$200,$G193)&gt;0,
     COUNTIFS($AH$2:$AH$200,$G193)&gt;0,
     COUNTIFS($AI$2:$AI$200,$G193)&gt;0,
     COUNTIFS($AJ$2:$AJ$200,$G193)&gt;0,
     COUNTIFS($AK$2:$AK$200,$G193)&gt;0,
     COUNTIFS($AL$2:$AL$200,$G193)&gt;0,
     COUNTIFS($AM$2:$AM$200,$G193)&gt;0,
     COUNTIFS($AN$2:$AN$200,$G193)&gt;0,
     COUNTIFS($AO$2:$AO$200,$G193)&gt;0,
     COUNTIFS($AP$2:$AP$200,$G193)&gt;0,
     COUNTIFS($AQ$2:$AQ$200,$G193)&gt;0,
     COUNTIFS($AR$2:$AR$200,$G193)&gt;0,
     COUNTIFS($AS$2:$AS$200,$G193)&gt;0,
     COUNTIFS($AT$2:$AT$200,$G193)&gt;0,
     COUNTIFS($AU$2:$AU$200,$G193)&gt;0,
     COUNTIFS($AV$2:$AV$200,$G193)&gt;0,
     COUNTIFS($AW$2:$AW$200,$G193)&gt;0,
     COUNTIFS($AX$2:$AX$200,$G193)&gt;0
   )),
  ),
  2
 ),
"")</f>
        <v/>
      </c>
      <c r="E193" s="3" t="str" cm="1">
        <f t="array" aca="1" ref="E193" ca="1">IFERROR(
 INDEX(
  _xlfn._xlws.FILTER($U$1:$AX$1,
   TRANSPOSE(
    CHOOSE({1;2;3;4;5;6;7;8;9;10;11;12;13;14;15;16;17;18;19;20;21;22;23;24;25;26;27;28;29;30},
     COUNTIFS($U$2:$U$200,$G193)&gt;0,
     COUNTIFS($V$2:$V$200,$G193)&gt;0,
     COUNTIFS($W$2:$W$200,$G193)&gt;0,
     COUNTIFS($X$2:$X$200,$G193)&gt;0,
     COUNTIFS($Y$2:$Y$200,$G193)&gt;0,
     COUNTIFS($Z$2:$Z$200,$G193)&gt;0,
     COUNTIFS($AA$2:$AA$200,$G193)&gt;0,
     COUNTIFS($AB$2:$AB$200,$G193)&gt;0,
     COUNTIFS($AC$2:$AC$200,$G193)&gt;0,
     COUNTIFS($AD$2:$AD$200,$G193)&gt;0,
     COUNTIFS($AE$2:$AE$200,$G193)&gt;0,
     COUNTIFS($AF$2:$AF$200,$G193)&gt;0,
     COUNTIFS($AG$2:$AG$200,$G193)&gt;0,
     COUNTIFS($AH$2:$AH$200,$G193)&gt;0,
     COUNTIFS($AI$2:$AI$200,$G193)&gt;0,
     COUNTIFS($AJ$2:$AJ$200,$G193)&gt;0,
     COUNTIFS($AK$2:$AK$200,$G193)&gt;0,
     COUNTIFS($AL$2:$AL$200,$G193)&gt;0,
     COUNTIFS($AM$2:$AM$200,$G193)&gt;0,
     COUNTIFS($AN$2:$AN$200,$G193)&gt;0,
     COUNTIFS($AO$2:$AO$200,$G193)&gt;0,
     COUNTIFS($AP$2:$AP$200,$G193)&gt;0,
     COUNTIFS($AQ$2:$AQ$200,$G193)&gt;0,
     COUNTIFS($AR$2:$AR$200,$G193)&gt;0,
     COUNTIFS($AS$2:$AS$200,$G193)&gt;0,
     COUNTIFS($AT$2:$AT$200,$G193)&gt;0,
     COUNTIFS($AU$2:$AU$200,$G193)&gt;0,
     COUNTIFS($AV$2:$AV$200,$G193)&gt;0,
     COUNTIFS($AW$2:$AW$200,$G193)&gt;0,
     COUNTIFS($AX$2:$AX$200,$G193)&gt;0
   )),
  ),
  3
 ),
"")</f>
        <v/>
      </c>
      <c r="F193" s="3" t="str" cm="1">
        <f t="array" aca="1" ref="F193" ca="1">IFERROR(
 INDEX(
  _xlfn._xlws.FILTER($U$1:$AX$1,
   TRANSPOSE(
    CHOOSE({1;2;3;4;5;6;7;8;9;10;11;12;13;14;15;16;17;18;19;20;21;22;23;24;25;26;27;28;29;30},
     COUNTIFS($U$2:$U$200,$G193)&gt;0,
     COUNTIFS($V$2:$V$200,$G193)&gt;0,
     COUNTIFS($W$2:$W$200,$G193)&gt;0,
     COUNTIFS($X$2:$X$200,$G193)&gt;0,
     COUNTIFS($Y$2:$Y$200,$G193)&gt;0,
     COUNTIFS($Z$2:$Z$200,$G193)&gt;0,
     COUNTIFS($AA$2:$AA$200,$G193)&gt;0,
     COUNTIFS($AB$2:$AB$200,$G193)&gt;0,
     COUNTIFS($AC$2:$AC$200,$G193)&gt;0,
     COUNTIFS($AD$2:$AD$200,$G193)&gt;0,
     COUNTIFS($AE$2:$AE$200,$G193)&gt;0,
     COUNTIFS($AF$2:$AF$200,$G193)&gt;0,
     COUNTIFS($AG$2:$AG$200,$G193)&gt;0,
     COUNTIFS($AH$2:$AH$200,$G193)&gt;0,
     COUNTIFS($AI$2:$AI$200,$G193)&gt;0,
     COUNTIFS($AJ$2:$AJ$200,$G193)&gt;0,
     COUNTIFS($AK$2:$AK$200,$G193)&gt;0,
     COUNTIFS($AL$2:$AL$200,$G193)&gt;0,
     COUNTIFS($AM$2:$AM$200,$G193)&gt;0,
     COUNTIFS($AN$2:$AN$200,$G193)&gt;0,
     COUNTIFS($AO$2:$AO$200,$G193)&gt;0,
     COUNTIFS($AP$2:$AP$200,$G193)&gt;0,
     COUNTIFS($AQ$2:$AQ$200,$G193)&gt;0,
     COUNTIFS($AR$2:$AR$200,$G193)&gt;0,
     COUNTIFS($AS$2:$AS$200,$G193)&gt;0,
     COUNTIFS($AT$2:$AT$200,$G193)&gt;0,
     COUNTIFS($AU$2:$AU$200,$G193)&gt;0,
     COUNTIFS($AV$2:$AV$200,$G193)&gt;0,
     COUNTIFS($AW$2:$AW$200,$G193)&gt;0,
     COUNTIFS($AX$2:$AX$200,$G193)&gt;0
   )),
  ),
  4
 ),
"")</f>
        <v/>
      </c>
      <c r="G193" t="str">
        <f ca="1"/>
        <v>Ozolith, the Shattered Spire</v>
      </c>
      <c r="CG193" t="str">
        <f ca="1"/>
        <v>Summon: Leviathan</v>
      </c>
      <c r="CJ193" t="str">
        <f ca="1"/>
        <v>Ozolith, the Shattered Spire</v>
      </c>
    </row>
    <row r="194" spans="1:88" x14ac:dyDescent="0.25">
      <c r="A194" s="3" t="str">
        <f t="shared" ca="1" si="6"/>
        <v>4</v>
      </c>
      <c r="B194" s="3">
        <f t="shared" ca="1" si="7"/>
        <v>1</v>
      </c>
      <c r="C194" s="3" t="str">
        <f ca="1">IFERROR(
 INDEX($U$1:$AX$1,
  MATCH(TRUE,
   CHOOSE({1;2;3;4;5;6;7;8;9;10;11;12;13;14;15;16;17;18;19;20;21;22;23;24;25;26;27;28;29;30;31;32},
    COUNTIFS($U$2:$U$200,$G194)&gt;0,
    COUNTIFS($V$2:$V$200,$G194)&gt;0,
    COUNTIFS($W$2:$W$200,$G194)&gt;0,
    COUNTIFS($X$2:$X$200,$G194)&gt;0,
    COUNTIFS($Y$2:$Y$200,$G194)&gt;0,
    COUNTIFS($Z$2:$Z$200,$G194)&gt;0,
    COUNTIFS($AA$2:$AA$200,$G194)&gt;0,
    COUNTIFS($AB$2:$AB$200,$G194)&gt;0,
    COUNTIFS($AC$2:$AC$200,$G194)&gt;0,
    COUNTIFS($AD$2:$AD$200,$G194)&gt;0,
    COUNTIFS($AE$2:$AE$200,$G194)&gt;0,
    COUNTIFS($AF$2:$AF$200,$G194)&gt;0,
    COUNTIFS($AG$2:$AG$200,$G194)&gt;0,
    COUNTIFS($AH$2:$AH$200,$G194)&gt;0,
    COUNTIFS($AI$2:$AI$200,$G194)&gt;0,
    COUNTIFS($AJ$2:$AJ$200,$G194)&gt;0,
    COUNTIFS($AK$2:$AK$200,$G194)&gt;0,
    COUNTIFS($AL$2:$AL$200,$G194)&gt;0,
    COUNTIFS($AM$2:$AM$200,$G194)&gt;0,
    COUNTIFS($AN$2:$AN$200,$G194)&gt;0,
    COUNTIFS($AO$2:$AO$200,$G194)&gt;0,
    COUNTIFS($AP$2:$AP$200,$G194)&gt;0,
    COUNTIFS($AQ$2:$AQ$200,$G194)&gt;0,
    COUNTIFS($AR$2:$AR$200,$G194)&gt;0,
    COUNTIFS($AS$2:$AS$200,$G194)&gt;0,
    COUNTIFS($AT$2:$AT$200,$G194)&gt;0,
    COUNTIFS($AU$2:$AU$200,$G194)&gt;0,
    COUNTIFS($AV$2:$AV$200,$G194)&gt;0,
    COUNTIFS($AW$2:$AW$200,$G194)&gt;0,
    COUNTIFS($AX$2:$AX$200,$G194)&gt;0
   ),
  0)
 ),
"")</f>
        <v>Kresh</v>
      </c>
      <c r="D194" s="3" t="str" cm="1">
        <f t="array" aca="1" ref="D194" ca="1">IFERROR(
 INDEX(
  _xlfn._xlws.FILTER($U$1:$AX$1,
   TRANSPOSE(
    CHOOSE({1;2;3;4;5;6;7;8;9;10;11;12;13;14;15;16;17;18;19;20;21;22;23;24;25;26;27;28;29;30},
     COUNTIFS($U$2:$U$200,$G194)&gt;0,
     COUNTIFS($V$2:$V$200,$G194)&gt;0,
     COUNTIFS($W$2:$W$200,$G194)&gt;0,
     COUNTIFS($X$2:$X$200,$G194)&gt;0,
     COUNTIFS($Y$2:$Y$200,$G194)&gt;0,
     COUNTIFS($Z$2:$Z$200,$G194)&gt;0,
     COUNTIFS($AA$2:$AA$200,$G194)&gt;0,
     COUNTIFS($AB$2:$AB$200,$G194)&gt;0,
     COUNTIFS($AC$2:$AC$200,$G194)&gt;0,
     COUNTIFS($AD$2:$AD$200,$G194)&gt;0,
     COUNTIFS($AE$2:$AE$200,$G194)&gt;0,
     COUNTIFS($AF$2:$AF$200,$G194)&gt;0,
     COUNTIFS($AG$2:$AG$200,$G194)&gt;0,
     COUNTIFS($AH$2:$AH$200,$G194)&gt;0,
     COUNTIFS($AI$2:$AI$200,$G194)&gt;0,
     COUNTIFS($AJ$2:$AJ$200,$G194)&gt;0,
     COUNTIFS($AK$2:$AK$200,$G194)&gt;0,
     COUNTIFS($AL$2:$AL$200,$G194)&gt;0,
     COUNTIFS($AM$2:$AM$200,$G194)&gt;0,
     COUNTIFS($AN$2:$AN$200,$G194)&gt;0,
     COUNTIFS($AO$2:$AO$200,$G194)&gt;0,
     COUNTIFS($AP$2:$AP$200,$G194)&gt;0,
     COUNTIFS($AQ$2:$AQ$200,$G194)&gt;0,
     COUNTIFS($AR$2:$AR$200,$G194)&gt;0,
     COUNTIFS($AS$2:$AS$200,$G194)&gt;0,
     COUNTIFS($AT$2:$AT$200,$G194)&gt;0,
     COUNTIFS($AU$2:$AU$200,$G194)&gt;0,
     COUNTIFS($AV$2:$AV$200,$G194)&gt;0,
     COUNTIFS($AW$2:$AW$200,$G194)&gt;0,
     COUNTIFS($AX$2:$AX$200,$G194)&gt;0
   )),
  ),
  2
 ),
"")</f>
        <v/>
      </c>
      <c r="E194" s="3" t="str" cm="1">
        <f t="array" aca="1" ref="E194" ca="1">IFERROR(
 INDEX(
  _xlfn._xlws.FILTER($U$1:$AX$1,
   TRANSPOSE(
    CHOOSE({1;2;3;4;5;6;7;8;9;10;11;12;13;14;15;16;17;18;19;20;21;22;23;24;25;26;27;28;29;30},
     COUNTIFS($U$2:$U$200,$G194)&gt;0,
     COUNTIFS($V$2:$V$200,$G194)&gt;0,
     COUNTIFS($W$2:$W$200,$G194)&gt;0,
     COUNTIFS($X$2:$X$200,$G194)&gt;0,
     COUNTIFS($Y$2:$Y$200,$G194)&gt;0,
     COUNTIFS($Z$2:$Z$200,$G194)&gt;0,
     COUNTIFS($AA$2:$AA$200,$G194)&gt;0,
     COUNTIFS($AB$2:$AB$200,$G194)&gt;0,
     COUNTIFS($AC$2:$AC$200,$G194)&gt;0,
     COUNTIFS($AD$2:$AD$200,$G194)&gt;0,
     COUNTIFS($AE$2:$AE$200,$G194)&gt;0,
     COUNTIFS($AF$2:$AF$200,$G194)&gt;0,
     COUNTIFS($AG$2:$AG$200,$G194)&gt;0,
     COUNTIFS($AH$2:$AH$200,$G194)&gt;0,
     COUNTIFS($AI$2:$AI$200,$G194)&gt;0,
     COUNTIFS($AJ$2:$AJ$200,$G194)&gt;0,
     COUNTIFS($AK$2:$AK$200,$G194)&gt;0,
     COUNTIFS($AL$2:$AL$200,$G194)&gt;0,
     COUNTIFS($AM$2:$AM$200,$G194)&gt;0,
     COUNTIFS($AN$2:$AN$200,$G194)&gt;0,
     COUNTIFS($AO$2:$AO$200,$G194)&gt;0,
     COUNTIFS($AP$2:$AP$200,$G194)&gt;0,
     COUNTIFS($AQ$2:$AQ$200,$G194)&gt;0,
     COUNTIFS($AR$2:$AR$200,$G194)&gt;0,
     COUNTIFS($AS$2:$AS$200,$G194)&gt;0,
     COUNTIFS($AT$2:$AT$200,$G194)&gt;0,
     COUNTIFS($AU$2:$AU$200,$G194)&gt;0,
     COUNTIFS($AV$2:$AV$200,$G194)&gt;0,
     COUNTIFS($AW$2:$AW$200,$G194)&gt;0,
     COUNTIFS($AX$2:$AX$200,$G194)&gt;0
   )),
  ),
  3
 ),
"")</f>
        <v/>
      </c>
      <c r="F194" s="3" t="str" cm="1">
        <f t="array" aca="1" ref="F194" ca="1">IFERROR(
 INDEX(
  _xlfn._xlws.FILTER($U$1:$AX$1,
   TRANSPOSE(
    CHOOSE({1;2;3;4;5;6;7;8;9;10;11;12;13;14;15;16;17;18;19;20;21;22;23;24;25;26;27;28;29;30},
     COUNTIFS($U$2:$U$200,$G194)&gt;0,
     COUNTIFS($V$2:$V$200,$G194)&gt;0,
     COUNTIFS($W$2:$W$200,$G194)&gt;0,
     COUNTIFS($X$2:$X$200,$G194)&gt;0,
     COUNTIFS($Y$2:$Y$200,$G194)&gt;0,
     COUNTIFS($Z$2:$Z$200,$G194)&gt;0,
     COUNTIFS($AA$2:$AA$200,$G194)&gt;0,
     COUNTIFS($AB$2:$AB$200,$G194)&gt;0,
     COUNTIFS($AC$2:$AC$200,$G194)&gt;0,
     COUNTIFS($AD$2:$AD$200,$G194)&gt;0,
     COUNTIFS($AE$2:$AE$200,$G194)&gt;0,
     COUNTIFS($AF$2:$AF$200,$G194)&gt;0,
     COUNTIFS($AG$2:$AG$200,$G194)&gt;0,
     COUNTIFS($AH$2:$AH$200,$G194)&gt;0,
     COUNTIFS($AI$2:$AI$200,$G194)&gt;0,
     COUNTIFS($AJ$2:$AJ$200,$G194)&gt;0,
     COUNTIFS($AK$2:$AK$200,$G194)&gt;0,
     COUNTIFS($AL$2:$AL$200,$G194)&gt;0,
     COUNTIFS($AM$2:$AM$200,$G194)&gt;0,
     COUNTIFS($AN$2:$AN$200,$G194)&gt;0,
     COUNTIFS($AO$2:$AO$200,$G194)&gt;0,
     COUNTIFS($AP$2:$AP$200,$G194)&gt;0,
     COUNTIFS($AQ$2:$AQ$200,$G194)&gt;0,
     COUNTIFS($AR$2:$AR$200,$G194)&gt;0,
     COUNTIFS($AS$2:$AS$200,$G194)&gt;0,
     COUNTIFS($AT$2:$AT$200,$G194)&gt;0,
     COUNTIFS($AU$2:$AU$200,$G194)&gt;0,
     COUNTIFS($AV$2:$AV$200,$G194)&gt;0,
     COUNTIFS($AW$2:$AW$200,$G194)&gt;0,
     COUNTIFS($AX$2:$AX$200,$G194)&gt;0
   )),
  ),
  4
 ),
"")</f>
        <v/>
      </c>
      <c r="G194" t="str">
        <f ca="1"/>
        <v>Pain for All</v>
      </c>
      <c r="CG194" t="str">
        <f ca="1"/>
        <v>Sunscorched Divide</v>
      </c>
      <c r="CJ194" t="str">
        <f ca="1"/>
        <v>Pain for All</v>
      </c>
    </row>
    <row r="195" spans="1:88" x14ac:dyDescent="0.25">
      <c r="A195" s="3" t="str">
        <f t="shared" ref="A195:A258" ca="1" si="8">IFERROR(INDEX($S$3:$S$200, MATCH($C195, $I$3:$I$200, 0)), "")</f>
        <v>1</v>
      </c>
      <c r="B195" s="3">
        <f t="shared" ref="B195:B258" ca="1" si="9">COUNTIF(U:AX,G195)</f>
        <v>1</v>
      </c>
      <c r="C195" s="3" t="str">
        <f ca="1">IFERROR(
 INDEX($U$1:$AX$1,
  MATCH(TRUE,
   CHOOSE({1;2;3;4;5;6;7;8;9;10;11;12;13;14;15;16;17;18;19;20;21;22;23;24;25;26;27;28;29;30;31;32},
    COUNTIFS($U$2:$U$200,$G195)&gt;0,
    COUNTIFS($V$2:$V$200,$G195)&gt;0,
    COUNTIFS($W$2:$W$200,$G195)&gt;0,
    COUNTIFS($X$2:$X$200,$G195)&gt;0,
    COUNTIFS($Y$2:$Y$200,$G195)&gt;0,
    COUNTIFS($Z$2:$Z$200,$G195)&gt;0,
    COUNTIFS($AA$2:$AA$200,$G195)&gt;0,
    COUNTIFS($AB$2:$AB$200,$G195)&gt;0,
    COUNTIFS($AC$2:$AC$200,$G195)&gt;0,
    COUNTIFS($AD$2:$AD$200,$G195)&gt;0,
    COUNTIFS($AE$2:$AE$200,$G195)&gt;0,
    COUNTIFS($AF$2:$AF$200,$G195)&gt;0,
    COUNTIFS($AG$2:$AG$200,$G195)&gt;0,
    COUNTIFS($AH$2:$AH$200,$G195)&gt;0,
    COUNTIFS($AI$2:$AI$200,$G195)&gt;0,
    COUNTIFS($AJ$2:$AJ$200,$G195)&gt;0,
    COUNTIFS($AK$2:$AK$200,$G195)&gt;0,
    COUNTIFS($AL$2:$AL$200,$G195)&gt;0,
    COUNTIFS($AM$2:$AM$200,$G195)&gt;0,
    COUNTIFS($AN$2:$AN$200,$G195)&gt;0,
    COUNTIFS($AO$2:$AO$200,$G195)&gt;0,
    COUNTIFS($AP$2:$AP$200,$G195)&gt;0,
    COUNTIFS($AQ$2:$AQ$200,$G195)&gt;0,
    COUNTIFS($AR$2:$AR$200,$G195)&gt;0,
    COUNTIFS($AS$2:$AS$200,$G195)&gt;0,
    COUNTIFS($AT$2:$AT$200,$G195)&gt;0,
    COUNTIFS($AU$2:$AU$200,$G195)&gt;0,
    COUNTIFS($AV$2:$AV$200,$G195)&gt;0,
    COUNTIFS($AW$2:$AW$200,$G195)&gt;0,
    COUNTIFS($AX$2:$AX$200,$G195)&gt;0
   ),
  0)
 ),
"")</f>
        <v>Tayam</v>
      </c>
      <c r="D195" s="3" t="str" cm="1">
        <f t="array" aca="1" ref="D195" ca="1">IFERROR(
 INDEX(
  _xlfn._xlws.FILTER($U$1:$AX$1,
   TRANSPOSE(
    CHOOSE({1;2;3;4;5;6;7;8;9;10;11;12;13;14;15;16;17;18;19;20;21;22;23;24;25;26;27;28;29;30},
     COUNTIFS($U$2:$U$200,$G195)&gt;0,
     COUNTIFS($V$2:$V$200,$G195)&gt;0,
     COUNTIFS($W$2:$W$200,$G195)&gt;0,
     COUNTIFS($X$2:$X$200,$G195)&gt;0,
     COUNTIFS($Y$2:$Y$200,$G195)&gt;0,
     COUNTIFS($Z$2:$Z$200,$G195)&gt;0,
     COUNTIFS($AA$2:$AA$200,$G195)&gt;0,
     COUNTIFS($AB$2:$AB$200,$G195)&gt;0,
     COUNTIFS($AC$2:$AC$200,$G195)&gt;0,
     COUNTIFS($AD$2:$AD$200,$G195)&gt;0,
     COUNTIFS($AE$2:$AE$200,$G195)&gt;0,
     COUNTIFS($AF$2:$AF$200,$G195)&gt;0,
     COUNTIFS($AG$2:$AG$200,$G195)&gt;0,
     COUNTIFS($AH$2:$AH$200,$G195)&gt;0,
     COUNTIFS($AI$2:$AI$200,$G195)&gt;0,
     COUNTIFS($AJ$2:$AJ$200,$G195)&gt;0,
     COUNTIFS($AK$2:$AK$200,$G195)&gt;0,
     COUNTIFS($AL$2:$AL$200,$G195)&gt;0,
     COUNTIFS($AM$2:$AM$200,$G195)&gt;0,
     COUNTIFS($AN$2:$AN$200,$G195)&gt;0,
     COUNTIFS($AO$2:$AO$200,$G195)&gt;0,
     COUNTIFS($AP$2:$AP$200,$G195)&gt;0,
     COUNTIFS($AQ$2:$AQ$200,$G195)&gt;0,
     COUNTIFS($AR$2:$AR$200,$G195)&gt;0,
     COUNTIFS($AS$2:$AS$200,$G195)&gt;0,
     COUNTIFS($AT$2:$AT$200,$G195)&gt;0,
     COUNTIFS($AU$2:$AU$200,$G195)&gt;0,
     COUNTIFS($AV$2:$AV$200,$G195)&gt;0,
     COUNTIFS($AW$2:$AW$200,$G195)&gt;0,
     COUNTIFS($AX$2:$AX$200,$G195)&gt;0
   )),
  ),
  2
 ),
"")</f>
        <v/>
      </c>
      <c r="E195" s="3" t="str" cm="1">
        <f t="array" aca="1" ref="E195" ca="1">IFERROR(
 INDEX(
  _xlfn._xlws.FILTER($U$1:$AX$1,
   TRANSPOSE(
    CHOOSE({1;2;3;4;5;6;7;8;9;10;11;12;13;14;15;16;17;18;19;20;21;22;23;24;25;26;27;28;29;30},
     COUNTIFS($U$2:$U$200,$G195)&gt;0,
     COUNTIFS($V$2:$V$200,$G195)&gt;0,
     COUNTIFS($W$2:$W$200,$G195)&gt;0,
     COUNTIFS($X$2:$X$200,$G195)&gt;0,
     COUNTIFS($Y$2:$Y$200,$G195)&gt;0,
     COUNTIFS($Z$2:$Z$200,$G195)&gt;0,
     COUNTIFS($AA$2:$AA$200,$G195)&gt;0,
     COUNTIFS($AB$2:$AB$200,$G195)&gt;0,
     COUNTIFS($AC$2:$AC$200,$G195)&gt;0,
     COUNTIFS($AD$2:$AD$200,$G195)&gt;0,
     COUNTIFS($AE$2:$AE$200,$G195)&gt;0,
     COUNTIFS($AF$2:$AF$200,$G195)&gt;0,
     COUNTIFS($AG$2:$AG$200,$G195)&gt;0,
     COUNTIFS($AH$2:$AH$200,$G195)&gt;0,
     COUNTIFS($AI$2:$AI$200,$G195)&gt;0,
     COUNTIFS($AJ$2:$AJ$200,$G195)&gt;0,
     COUNTIFS($AK$2:$AK$200,$G195)&gt;0,
     COUNTIFS($AL$2:$AL$200,$G195)&gt;0,
     COUNTIFS($AM$2:$AM$200,$G195)&gt;0,
     COUNTIFS($AN$2:$AN$200,$G195)&gt;0,
     COUNTIFS($AO$2:$AO$200,$G195)&gt;0,
     COUNTIFS($AP$2:$AP$200,$G195)&gt;0,
     COUNTIFS($AQ$2:$AQ$200,$G195)&gt;0,
     COUNTIFS($AR$2:$AR$200,$G195)&gt;0,
     COUNTIFS($AS$2:$AS$200,$G195)&gt;0,
     COUNTIFS($AT$2:$AT$200,$G195)&gt;0,
     COUNTIFS($AU$2:$AU$200,$G195)&gt;0,
     COUNTIFS($AV$2:$AV$200,$G195)&gt;0,
     COUNTIFS($AW$2:$AW$200,$G195)&gt;0,
     COUNTIFS($AX$2:$AX$200,$G195)&gt;0
   )),
  ),
  3
 ),
"")</f>
        <v/>
      </c>
      <c r="F195" s="3" t="str" cm="1">
        <f t="array" aca="1" ref="F195" ca="1">IFERROR(
 INDEX(
  _xlfn._xlws.FILTER($U$1:$AX$1,
   TRANSPOSE(
    CHOOSE({1;2;3;4;5;6;7;8;9;10;11;12;13;14;15;16;17;18;19;20;21;22;23;24;25;26;27;28;29;30},
     COUNTIFS($U$2:$U$200,$G195)&gt;0,
     COUNTIFS($V$2:$V$200,$G195)&gt;0,
     COUNTIFS($W$2:$W$200,$G195)&gt;0,
     COUNTIFS($X$2:$X$200,$G195)&gt;0,
     COUNTIFS($Y$2:$Y$200,$G195)&gt;0,
     COUNTIFS($Z$2:$Z$200,$G195)&gt;0,
     COUNTIFS($AA$2:$AA$200,$G195)&gt;0,
     COUNTIFS($AB$2:$AB$200,$G195)&gt;0,
     COUNTIFS($AC$2:$AC$200,$G195)&gt;0,
     COUNTIFS($AD$2:$AD$200,$G195)&gt;0,
     COUNTIFS($AE$2:$AE$200,$G195)&gt;0,
     COUNTIFS($AF$2:$AF$200,$G195)&gt;0,
     COUNTIFS($AG$2:$AG$200,$G195)&gt;0,
     COUNTIFS($AH$2:$AH$200,$G195)&gt;0,
     COUNTIFS($AI$2:$AI$200,$G195)&gt;0,
     COUNTIFS($AJ$2:$AJ$200,$G195)&gt;0,
     COUNTIFS($AK$2:$AK$200,$G195)&gt;0,
     COUNTIFS($AL$2:$AL$200,$G195)&gt;0,
     COUNTIFS($AM$2:$AM$200,$G195)&gt;0,
     COUNTIFS($AN$2:$AN$200,$G195)&gt;0,
     COUNTIFS($AO$2:$AO$200,$G195)&gt;0,
     COUNTIFS($AP$2:$AP$200,$G195)&gt;0,
     COUNTIFS($AQ$2:$AQ$200,$G195)&gt;0,
     COUNTIFS($AR$2:$AR$200,$G195)&gt;0,
     COUNTIFS($AS$2:$AS$200,$G195)&gt;0,
     COUNTIFS($AT$2:$AT$200,$G195)&gt;0,
     COUNTIFS($AU$2:$AU$200,$G195)&gt;0,
     COUNTIFS($AV$2:$AV$200,$G195)&gt;0,
     COUNTIFS($AW$2:$AW$200,$G195)&gt;0,
     COUNTIFS($AX$2:$AX$200,$G195)&gt;0
   )),
  ),
  4
 ),
"")</f>
        <v/>
      </c>
      <c r="G195" t="str">
        <f ca="1"/>
        <v>Patrolling Peacemaker</v>
      </c>
      <c r="CG195" t="str">
        <f ca="1"/>
        <v>Surgespanner</v>
      </c>
      <c r="CJ195" t="str">
        <f ca="1"/>
        <v>Patrolling Peacemaker</v>
      </c>
    </row>
    <row r="196" spans="1:88" x14ac:dyDescent="0.25">
      <c r="A196" s="3" t="str">
        <f t="shared" ca="1" si="8"/>
        <v>3</v>
      </c>
      <c r="B196" s="3">
        <f t="shared" ca="1" si="9"/>
        <v>1</v>
      </c>
      <c r="C196" s="3" t="str">
        <f ca="1">IFERROR(
 INDEX($U$1:$AX$1,
  MATCH(TRUE,
   CHOOSE({1;2;3;4;5;6;7;8;9;10;11;12;13;14;15;16;17;18;19;20;21;22;23;24;25;26;27;28;29;30;31;32},
    COUNTIFS($U$2:$U$200,$G196)&gt;0,
    COUNTIFS($V$2:$V$200,$G196)&gt;0,
    COUNTIFS($W$2:$W$200,$G196)&gt;0,
    COUNTIFS($X$2:$X$200,$G196)&gt;0,
    COUNTIFS($Y$2:$Y$200,$G196)&gt;0,
    COUNTIFS($Z$2:$Z$200,$G196)&gt;0,
    COUNTIFS($AA$2:$AA$200,$G196)&gt;0,
    COUNTIFS($AB$2:$AB$200,$G196)&gt;0,
    COUNTIFS($AC$2:$AC$200,$G196)&gt;0,
    COUNTIFS($AD$2:$AD$200,$G196)&gt;0,
    COUNTIFS($AE$2:$AE$200,$G196)&gt;0,
    COUNTIFS($AF$2:$AF$200,$G196)&gt;0,
    COUNTIFS($AG$2:$AG$200,$G196)&gt;0,
    COUNTIFS($AH$2:$AH$200,$G196)&gt;0,
    COUNTIFS($AI$2:$AI$200,$G196)&gt;0,
    COUNTIFS($AJ$2:$AJ$200,$G196)&gt;0,
    COUNTIFS($AK$2:$AK$200,$G196)&gt;0,
    COUNTIFS($AL$2:$AL$200,$G196)&gt;0,
    COUNTIFS($AM$2:$AM$200,$G196)&gt;0,
    COUNTIFS($AN$2:$AN$200,$G196)&gt;0,
    COUNTIFS($AO$2:$AO$200,$G196)&gt;0,
    COUNTIFS($AP$2:$AP$200,$G196)&gt;0,
    COUNTIFS($AQ$2:$AQ$200,$G196)&gt;0,
    COUNTIFS($AR$2:$AR$200,$G196)&gt;0,
    COUNTIFS($AS$2:$AS$200,$G196)&gt;0,
    COUNTIFS($AT$2:$AT$200,$G196)&gt;0,
    COUNTIFS($AU$2:$AU$200,$G196)&gt;0,
    COUNTIFS($AV$2:$AV$200,$G196)&gt;0,
    COUNTIFS($AW$2:$AW$200,$G196)&gt;0,
    COUNTIFS($AX$2:$AX$200,$G196)&gt;0
   ),
  0)
 ),
"")</f>
        <v>Gritrog</v>
      </c>
      <c r="D196" s="3" t="str" cm="1">
        <f t="array" aca="1" ref="D196" ca="1">IFERROR(
 INDEX(
  _xlfn._xlws.FILTER($U$1:$AX$1,
   TRANSPOSE(
    CHOOSE({1;2;3;4;5;6;7;8;9;10;11;12;13;14;15;16;17;18;19;20;21;22;23;24;25;26;27;28;29;30},
     COUNTIFS($U$2:$U$200,$G196)&gt;0,
     COUNTIFS($V$2:$V$200,$G196)&gt;0,
     COUNTIFS($W$2:$W$200,$G196)&gt;0,
     COUNTIFS($X$2:$X$200,$G196)&gt;0,
     COUNTIFS($Y$2:$Y$200,$G196)&gt;0,
     COUNTIFS($Z$2:$Z$200,$G196)&gt;0,
     COUNTIFS($AA$2:$AA$200,$G196)&gt;0,
     COUNTIFS($AB$2:$AB$200,$G196)&gt;0,
     COUNTIFS($AC$2:$AC$200,$G196)&gt;0,
     COUNTIFS($AD$2:$AD$200,$G196)&gt;0,
     COUNTIFS($AE$2:$AE$200,$G196)&gt;0,
     COUNTIFS($AF$2:$AF$200,$G196)&gt;0,
     COUNTIFS($AG$2:$AG$200,$G196)&gt;0,
     COUNTIFS($AH$2:$AH$200,$G196)&gt;0,
     COUNTIFS($AI$2:$AI$200,$G196)&gt;0,
     COUNTIFS($AJ$2:$AJ$200,$G196)&gt;0,
     COUNTIFS($AK$2:$AK$200,$G196)&gt;0,
     COUNTIFS($AL$2:$AL$200,$G196)&gt;0,
     COUNTIFS($AM$2:$AM$200,$G196)&gt;0,
     COUNTIFS($AN$2:$AN$200,$G196)&gt;0,
     COUNTIFS($AO$2:$AO$200,$G196)&gt;0,
     COUNTIFS($AP$2:$AP$200,$G196)&gt;0,
     COUNTIFS($AQ$2:$AQ$200,$G196)&gt;0,
     COUNTIFS($AR$2:$AR$200,$G196)&gt;0,
     COUNTIFS($AS$2:$AS$200,$G196)&gt;0,
     COUNTIFS($AT$2:$AT$200,$G196)&gt;0,
     COUNTIFS($AU$2:$AU$200,$G196)&gt;0,
     COUNTIFS($AV$2:$AV$200,$G196)&gt;0,
     COUNTIFS($AW$2:$AW$200,$G196)&gt;0,
     COUNTIFS($AX$2:$AX$200,$G196)&gt;0
   )),
  ),
  2
 ),
"")</f>
        <v/>
      </c>
      <c r="E196" s="3" t="str" cm="1">
        <f t="array" aca="1" ref="E196" ca="1">IFERROR(
 INDEX(
  _xlfn._xlws.FILTER($U$1:$AX$1,
   TRANSPOSE(
    CHOOSE({1;2;3;4;5;6;7;8;9;10;11;12;13;14;15;16;17;18;19;20;21;22;23;24;25;26;27;28;29;30},
     COUNTIFS($U$2:$U$200,$G196)&gt;0,
     COUNTIFS($V$2:$V$200,$G196)&gt;0,
     COUNTIFS($W$2:$W$200,$G196)&gt;0,
     COUNTIFS($X$2:$X$200,$G196)&gt;0,
     COUNTIFS($Y$2:$Y$200,$G196)&gt;0,
     COUNTIFS($Z$2:$Z$200,$G196)&gt;0,
     COUNTIFS($AA$2:$AA$200,$G196)&gt;0,
     COUNTIFS($AB$2:$AB$200,$G196)&gt;0,
     COUNTIFS($AC$2:$AC$200,$G196)&gt;0,
     COUNTIFS($AD$2:$AD$200,$G196)&gt;0,
     COUNTIFS($AE$2:$AE$200,$G196)&gt;0,
     COUNTIFS($AF$2:$AF$200,$G196)&gt;0,
     COUNTIFS($AG$2:$AG$200,$G196)&gt;0,
     COUNTIFS($AH$2:$AH$200,$G196)&gt;0,
     COUNTIFS($AI$2:$AI$200,$G196)&gt;0,
     COUNTIFS($AJ$2:$AJ$200,$G196)&gt;0,
     COUNTIFS($AK$2:$AK$200,$G196)&gt;0,
     COUNTIFS($AL$2:$AL$200,$G196)&gt;0,
     COUNTIFS($AM$2:$AM$200,$G196)&gt;0,
     COUNTIFS($AN$2:$AN$200,$G196)&gt;0,
     COUNTIFS($AO$2:$AO$200,$G196)&gt;0,
     COUNTIFS($AP$2:$AP$200,$G196)&gt;0,
     COUNTIFS($AQ$2:$AQ$200,$G196)&gt;0,
     COUNTIFS($AR$2:$AR$200,$G196)&gt;0,
     COUNTIFS($AS$2:$AS$200,$G196)&gt;0,
     COUNTIFS($AT$2:$AT$200,$G196)&gt;0,
     COUNTIFS($AU$2:$AU$200,$G196)&gt;0,
     COUNTIFS($AV$2:$AV$200,$G196)&gt;0,
     COUNTIFS($AW$2:$AW$200,$G196)&gt;0,
     COUNTIFS($AX$2:$AX$200,$G196)&gt;0
   )),
  ),
  3
 ),
"")</f>
        <v/>
      </c>
      <c r="F196" s="3" t="str" cm="1">
        <f t="array" aca="1" ref="F196" ca="1">IFERROR(
 INDEX(
  _xlfn._xlws.FILTER($U$1:$AX$1,
   TRANSPOSE(
    CHOOSE({1;2;3;4;5;6;7;8;9;10;11;12;13;14;15;16;17;18;19;20;21;22;23;24;25;26;27;28;29;30},
     COUNTIFS($U$2:$U$200,$G196)&gt;0,
     COUNTIFS($V$2:$V$200,$G196)&gt;0,
     COUNTIFS($W$2:$W$200,$G196)&gt;0,
     COUNTIFS($X$2:$X$200,$G196)&gt;0,
     COUNTIFS($Y$2:$Y$200,$G196)&gt;0,
     COUNTIFS($Z$2:$Z$200,$G196)&gt;0,
     COUNTIFS($AA$2:$AA$200,$G196)&gt;0,
     COUNTIFS($AB$2:$AB$200,$G196)&gt;0,
     COUNTIFS($AC$2:$AC$200,$G196)&gt;0,
     COUNTIFS($AD$2:$AD$200,$G196)&gt;0,
     COUNTIFS($AE$2:$AE$200,$G196)&gt;0,
     COUNTIFS($AF$2:$AF$200,$G196)&gt;0,
     COUNTIFS($AG$2:$AG$200,$G196)&gt;0,
     COUNTIFS($AH$2:$AH$200,$G196)&gt;0,
     COUNTIFS($AI$2:$AI$200,$G196)&gt;0,
     COUNTIFS($AJ$2:$AJ$200,$G196)&gt;0,
     COUNTIFS($AK$2:$AK$200,$G196)&gt;0,
     COUNTIFS($AL$2:$AL$200,$G196)&gt;0,
     COUNTIFS($AM$2:$AM$200,$G196)&gt;0,
     COUNTIFS($AN$2:$AN$200,$G196)&gt;0,
     COUNTIFS($AO$2:$AO$200,$G196)&gt;0,
     COUNTIFS($AP$2:$AP$200,$G196)&gt;0,
     COUNTIFS($AQ$2:$AQ$200,$G196)&gt;0,
     COUNTIFS($AR$2:$AR$200,$G196)&gt;0,
     COUNTIFS($AS$2:$AS$200,$G196)&gt;0,
     COUNTIFS($AT$2:$AT$200,$G196)&gt;0,
     COUNTIFS($AU$2:$AU$200,$G196)&gt;0,
     COUNTIFS($AV$2:$AV$200,$G196)&gt;0,
     COUNTIFS($AW$2:$AW$200,$G196)&gt;0,
     COUNTIFS($AX$2:$AX$200,$G196)&gt;0
   )),
  ),
  4
 ),
"")</f>
        <v/>
      </c>
      <c r="G196" t="str">
        <f ca="1"/>
        <v>Petrified Field</v>
      </c>
      <c r="CG196" t="str">
        <f ca="1"/>
        <v>Takenuma, Charco Abandonado</v>
      </c>
      <c r="CJ196" t="str">
        <f ca="1"/>
        <v>Petrified Field</v>
      </c>
    </row>
    <row r="197" spans="1:88" x14ac:dyDescent="0.25">
      <c r="A197" s="3" t="str">
        <f t="shared" ca="1" si="8"/>
        <v>3</v>
      </c>
      <c r="B197" s="3">
        <f t="shared" ca="1" si="9"/>
        <v>1</v>
      </c>
      <c r="C197" s="3" t="str">
        <f ca="1">IFERROR(
 INDEX($U$1:$AX$1,
  MATCH(TRUE,
   CHOOSE({1;2;3;4;5;6;7;8;9;10;11;12;13;14;15;16;17;18;19;20;21;22;23;24;25;26;27;28;29;30;31;32},
    COUNTIFS($U$2:$U$200,$G197)&gt;0,
    COUNTIFS($V$2:$V$200,$G197)&gt;0,
    COUNTIFS($W$2:$W$200,$G197)&gt;0,
    COUNTIFS($X$2:$X$200,$G197)&gt;0,
    COUNTIFS($Y$2:$Y$200,$G197)&gt;0,
    COUNTIFS($Z$2:$Z$200,$G197)&gt;0,
    COUNTIFS($AA$2:$AA$200,$G197)&gt;0,
    COUNTIFS($AB$2:$AB$200,$G197)&gt;0,
    COUNTIFS($AC$2:$AC$200,$G197)&gt;0,
    COUNTIFS($AD$2:$AD$200,$G197)&gt;0,
    COUNTIFS($AE$2:$AE$200,$G197)&gt;0,
    COUNTIFS($AF$2:$AF$200,$G197)&gt;0,
    COUNTIFS($AG$2:$AG$200,$G197)&gt;0,
    COUNTIFS($AH$2:$AH$200,$G197)&gt;0,
    COUNTIFS($AI$2:$AI$200,$G197)&gt;0,
    COUNTIFS($AJ$2:$AJ$200,$G197)&gt;0,
    COUNTIFS($AK$2:$AK$200,$G197)&gt;0,
    COUNTIFS($AL$2:$AL$200,$G197)&gt;0,
    COUNTIFS($AM$2:$AM$200,$G197)&gt;0,
    COUNTIFS($AN$2:$AN$200,$G197)&gt;0,
    COUNTIFS($AO$2:$AO$200,$G197)&gt;0,
    COUNTIFS($AP$2:$AP$200,$G197)&gt;0,
    COUNTIFS($AQ$2:$AQ$200,$G197)&gt;0,
    COUNTIFS($AR$2:$AR$200,$G197)&gt;0,
    COUNTIFS($AS$2:$AS$200,$G197)&gt;0,
    COUNTIFS($AT$2:$AT$200,$G197)&gt;0,
    COUNTIFS($AU$2:$AU$200,$G197)&gt;0,
    COUNTIFS($AV$2:$AV$200,$G197)&gt;0,
    COUNTIFS($AW$2:$AW$200,$G197)&gt;0,
    COUNTIFS($AX$2:$AX$200,$G197)&gt;0
   ),
  0)
 ),
"")</f>
        <v>Gritrog</v>
      </c>
      <c r="D197" s="3" t="str" cm="1">
        <f t="array" aca="1" ref="D197" ca="1">IFERROR(
 INDEX(
  _xlfn._xlws.FILTER($U$1:$AX$1,
   TRANSPOSE(
    CHOOSE({1;2;3;4;5;6;7;8;9;10;11;12;13;14;15;16;17;18;19;20;21;22;23;24;25;26;27;28;29;30},
     COUNTIFS($U$2:$U$200,$G197)&gt;0,
     COUNTIFS($V$2:$V$200,$G197)&gt;0,
     COUNTIFS($W$2:$W$200,$G197)&gt;0,
     COUNTIFS($X$2:$X$200,$G197)&gt;0,
     COUNTIFS($Y$2:$Y$200,$G197)&gt;0,
     COUNTIFS($Z$2:$Z$200,$G197)&gt;0,
     COUNTIFS($AA$2:$AA$200,$G197)&gt;0,
     COUNTIFS($AB$2:$AB$200,$G197)&gt;0,
     COUNTIFS($AC$2:$AC$200,$G197)&gt;0,
     COUNTIFS($AD$2:$AD$200,$G197)&gt;0,
     COUNTIFS($AE$2:$AE$200,$G197)&gt;0,
     COUNTIFS($AF$2:$AF$200,$G197)&gt;0,
     COUNTIFS($AG$2:$AG$200,$G197)&gt;0,
     COUNTIFS($AH$2:$AH$200,$G197)&gt;0,
     COUNTIFS($AI$2:$AI$200,$G197)&gt;0,
     COUNTIFS($AJ$2:$AJ$200,$G197)&gt;0,
     COUNTIFS($AK$2:$AK$200,$G197)&gt;0,
     COUNTIFS($AL$2:$AL$200,$G197)&gt;0,
     COUNTIFS($AM$2:$AM$200,$G197)&gt;0,
     COUNTIFS($AN$2:$AN$200,$G197)&gt;0,
     COUNTIFS($AO$2:$AO$200,$G197)&gt;0,
     COUNTIFS($AP$2:$AP$200,$G197)&gt;0,
     COUNTIFS($AQ$2:$AQ$200,$G197)&gt;0,
     COUNTIFS($AR$2:$AR$200,$G197)&gt;0,
     COUNTIFS($AS$2:$AS$200,$G197)&gt;0,
     COUNTIFS($AT$2:$AT$200,$G197)&gt;0,
     COUNTIFS($AU$2:$AU$200,$G197)&gt;0,
     COUNTIFS($AV$2:$AV$200,$G197)&gt;0,
     COUNTIFS($AW$2:$AW$200,$G197)&gt;0,
     COUNTIFS($AX$2:$AX$200,$G197)&gt;0
   )),
  ),
  2
 ),
"")</f>
        <v/>
      </c>
      <c r="E197" s="3" t="str" cm="1">
        <f t="array" aca="1" ref="E197" ca="1">IFERROR(
 INDEX(
  _xlfn._xlws.FILTER($U$1:$AX$1,
   TRANSPOSE(
    CHOOSE({1;2;3;4;5;6;7;8;9;10;11;12;13;14;15;16;17;18;19;20;21;22;23;24;25;26;27;28;29;30},
     COUNTIFS($U$2:$U$200,$G197)&gt;0,
     COUNTIFS($V$2:$V$200,$G197)&gt;0,
     COUNTIFS($W$2:$W$200,$G197)&gt;0,
     COUNTIFS($X$2:$X$200,$G197)&gt;0,
     COUNTIFS($Y$2:$Y$200,$G197)&gt;0,
     COUNTIFS($Z$2:$Z$200,$G197)&gt;0,
     COUNTIFS($AA$2:$AA$200,$G197)&gt;0,
     COUNTIFS($AB$2:$AB$200,$G197)&gt;0,
     COUNTIFS($AC$2:$AC$200,$G197)&gt;0,
     COUNTIFS($AD$2:$AD$200,$G197)&gt;0,
     COUNTIFS($AE$2:$AE$200,$G197)&gt;0,
     COUNTIFS($AF$2:$AF$200,$G197)&gt;0,
     COUNTIFS($AG$2:$AG$200,$G197)&gt;0,
     COUNTIFS($AH$2:$AH$200,$G197)&gt;0,
     COUNTIFS($AI$2:$AI$200,$G197)&gt;0,
     COUNTIFS($AJ$2:$AJ$200,$G197)&gt;0,
     COUNTIFS($AK$2:$AK$200,$G197)&gt;0,
     COUNTIFS($AL$2:$AL$200,$G197)&gt;0,
     COUNTIFS($AM$2:$AM$200,$G197)&gt;0,
     COUNTIFS($AN$2:$AN$200,$G197)&gt;0,
     COUNTIFS($AO$2:$AO$200,$G197)&gt;0,
     COUNTIFS($AP$2:$AP$200,$G197)&gt;0,
     COUNTIFS($AQ$2:$AQ$200,$G197)&gt;0,
     COUNTIFS($AR$2:$AR$200,$G197)&gt;0,
     COUNTIFS($AS$2:$AS$200,$G197)&gt;0,
     COUNTIFS($AT$2:$AT$200,$G197)&gt;0,
     COUNTIFS($AU$2:$AU$200,$G197)&gt;0,
     COUNTIFS($AV$2:$AV$200,$G197)&gt;0,
     COUNTIFS($AW$2:$AW$200,$G197)&gt;0,
     COUNTIFS($AX$2:$AX$200,$G197)&gt;0
   )),
  ),
  3
 ),
"")</f>
        <v/>
      </c>
      <c r="F197" s="3" t="str" cm="1">
        <f t="array" aca="1" ref="F197" ca="1">IFERROR(
 INDEX(
  _xlfn._xlws.FILTER($U$1:$AX$1,
   TRANSPOSE(
    CHOOSE({1;2;3;4;5;6;7;8;9;10;11;12;13;14;15;16;17;18;19;20;21;22;23;24;25;26;27;28;29;30},
     COUNTIFS($U$2:$U$200,$G197)&gt;0,
     COUNTIFS($V$2:$V$200,$G197)&gt;0,
     COUNTIFS($W$2:$W$200,$G197)&gt;0,
     COUNTIFS($X$2:$X$200,$G197)&gt;0,
     COUNTIFS($Y$2:$Y$200,$G197)&gt;0,
     COUNTIFS($Z$2:$Z$200,$G197)&gt;0,
     COUNTIFS($AA$2:$AA$200,$G197)&gt;0,
     COUNTIFS($AB$2:$AB$200,$G197)&gt;0,
     COUNTIFS($AC$2:$AC$200,$G197)&gt;0,
     COUNTIFS($AD$2:$AD$200,$G197)&gt;0,
     COUNTIFS($AE$2:$AE$200,$G197)&gt;0,
     COUNTIFS($AF$2:$AF$200,$G197)&gt;0,
     COUNTIFS($AG$2:$AG$200,$G197)&gt;0,
     COUNTIFS($AH$2:$AH$200,$G197)&gt;0,
     COUNTIFS($AI$2:$AI$200,$G197)&gt;0,
     COUNTIFS($AJ$2:$AJ$200,$G197)&gt;0,
     COUNTIFS($AK$2:$AK$200,$G197)&gt;0,
     COUNTIFS($AL$2:$AL$200,$G197)&gt;0,
     COUNTIFS($AM$2:$AM$200,$G197)&gt;0,
     COUNTIFS($AN$2:$AN$200,$G197)&gt;0,
     COUNTIFS($AO$2:$AO$200,$G197)&gt;0,
     COUNTIFS($AP$2:$AP$200,$G197)&gt;0,
     COUNTIFS($AQ$2:$AQ$200,$G197)&gt;0,
     COUNTIFS($AR$2:$AR$200,$G197)&gt;0,
     COUNTIFS($AS$2:$AS$200,$G197)&gt;0,
     COUNTIFS($AT$2:$AT$200,$G197)&gt;0,
     COUNTIFS($AU$2:$AU$200,$G197)&gt;0,
     COUNTIFS($AV$2:$AV$200,$G197)&gt;0,
     COUNTIFS($AW$2:$AW$200,$G197)&gt;0,
     COUNTIFS($AX$2:$AX$200,$G197)&gt;0
   )),
  ),
  4
 ),
"")</f>
        <v/>
      </c>
      <c r="G197" t="str">
        <f ca="1"/>
        <v>Phyrexian Tower</v>
      </c>
      <c r="CG197" t="str">
        <f ca="1"/>
        <v>Tayam, Luminous Enigma</v>
      </c>
      <c r="CJ197" t="str">
        <f ca="1"/>
        <v>Phyrexian Tower</v>
      </c>
    </row>
    <row r="198" spans="1:88" x14ac:dyDescent="0.25">
      <c r="A198" s="3" t="str">
        <f t="shared" ca="1" si="8"/>
        <v>5</v>
      </c>
      <c r="B198" s="3">
        <f t="shared" ca="1" si="9"/>
        <v>1</v>
      </c>
      <c r="C198" s="3" t="str">
        <f ca="1">IFERROR(
 INDEX($U$1:$AX$1,
  MATCH(TRUE,
   CHOOSE({1;2;3;4;5;6;7;8;9;10;11;12;13;14;15;16;17;18;19;20;21;22;23;24;25;26;27;28;29;30;31;32},
    COUNTIFS($U$2:$U$200,$G198)&gt;0,
    COUNTIFS($V$2:$V$200,$G198)&gt;0,
    COUNTIFS($W$2:$W$200,$G198)&gt;0,
    COUNTIFS($X$2:$X$200,$G198)&gt;0,
    COUNTIFS($Y$2:$Y$200,$G198)&gt;0,
    COUNTIFS($Z$2:$Z$200,$G198)&gt;0,
    COUNTIFS($AA$2:$AA$200,$G198)&gt;0,
    COUNTIFS($AB$2:$AB$200,$G198)&gt;0,
    COUNTIFS($AC$2:$AC$200,$G198)&gt;0,
    COUNTIFS($AD$2:$AD$200,$G198)&gt;0,
    COUNTIFS($AE$2:$AE$200,$G198)&gt;0,
    COUNTIFS($AF$2:$AF$200,$G198)&gt;0,
    COUNTIFS($AG$2:$AG$200,$G198)&gt;0,
    COUNTIFS($AH$2:$AH$200,$G198)&gt;0,
    COUNTIFS($AI$2:$AI$200,$G198)&gt;0,
    COUNTIFS($AJ$2:$AJ$200,$G198)&gt;0,
    COUNTIFS($AK$2:$AK$200,$G198)&gt;0,
    COUNTIFS($AL$2:$AL$200,$G198)&gt;0,
    COUNTIFS($AM$2:$AM$200,$G198)&gt;0,
    COUNTIFS($AN$2:$AN$200,$G198)&gt;0,
    COUNTIFS($AO$2:$AO$200,$G198)&gt;0,
    COUNTIFS($AP$2:$AP$200,$G198)&gt;0,
    COUNTIFS($AQ$2:$AQ$200,$G198)&gt;0,
    COUNTIFS($AR$2:$AR$200,$G198)&gt;0,
    COUNTIFS($AS$2:$AS$200,$G198)&gt;0,
    COUNTIFS($AT$2:$AT$200,$G198)&gt;0,
    COUNTIFS($AU$2:$AU$200,$G198)&gt;0,
    COUNTIFS($AV$2:$AV$200,$G198)&gt;0,
    COUNTIFS($AW$2:$AW$200,$G198)&gt;0,
    COUNTIFS($AX$2:$AX$200,$G198)&gt;0
   ),
  0)
 ),
"")</f>
        <v>Jhoira</v>
      </c>
      <c r="D198" s="3" t="str" cm="1">
        <f t="array" aca="1" ref="D198" ca="1">IFERROR(
 INDEX(
  _xlfn._xlws.FILTER($U$1:$AX$1,
   TRANSPOSE(
    CHOOSE({1;2;3;4;5;6;7;8;9;10;11;12;13;14;15;16;17;18;19;20;21;22;23;24;25;26;27;28;29;30},
     COUNTIFS($U$2:$U$200,$G198)&gt;0,
     COUNTIFS($V$2:$V$200,$G198)&gt;0,
     COUNTIFS($W$2:$W$200,$G198)&gt;0,
     COUNTIFS($X$2:$X$200,$G198)&gt;0,
     COUNTIFS($Y$2:$Y$200,$G198)&gt;0,
     COUNTIFS($Z$2:$Z$200,$G198)&gt;0,
     COUNTIFS($AA$2:$AA$200,$G198)&gt;0,
     COUNTIFS($AB$2:$AB$200,$G198)&gt;0,
     COUNTIFS($AC$2:$AC$200,$G198)&gt;0,
     COUNTIFS($AD$2:$AD$200,$G198)&gt;0,
     COUNTIFS($AE$2:$AE$200,$G198)&gt;0,
     COUNTIFS($AF$2:$AF$200,$G198)&gt;0,
     COUNTIFS($AG$2:$AG$200,$G198)&gt;0,
     COUNTIFS($AH$2:$AH$200,$G198)&gt;0,
     COUNTIFS($AI$2:$AI$200,$G198)&gt;0,
     COUNTIFS($AJ$2:$AJ$200,$G198)&gt;0,
     COUNTIFS($AK$2:$AK$200,$G198)&gt;0,
     COUNTIFS($AL$2:$AL$200,$G198)&gt;0,
     COUNTIFS($AM$2:$AM$200,$G198)&gt;0,
     COUNTIFS($AN$2:$AN$200,$G198)&gt;0,
     COUNTIFS($AO$2:$AO$200,$G198)&gt;0,
     COUNTIFS($AP$2:$AP$200,$G198)&gt;0,
     COUNTIFS($AQ$2:$AQ$200,$G198)&gt;0,
     COUNTIFS($AR$2:$AR$200,$G198)&gt;0,
     COUNTIFS($AS$2:$AS$200,$G198)&gt;0,
     COUNTIFS($AT$2:$AT$200,$G198)&gt;0,
     COUNTIFS($AU$2:$AU$200,$G198)&gt;0,
     COUNTIFS($AV$2:$AV$200,$G198)&gt;0,
     COUNTIFS($AW$2:$AW$200,$G198)&gt;0,
     COUNTIFS($AX$2:$AX$200,$G198)&gt;0
   )),
  ),
  2
 ),
"")</f>
        <v/>
      </c>
      <c r="E198" s="3" t="str" cm="1">
        <f t="array" aca="1" ref="E198" ca="1">IFERROR(
 INDEX(
  _xlfn._xlws.FILTER($U$1:$AX$1,
   TRANSPOSE(
    CHOOSE({1;2;3;4;5;6;7;8;9;10;11;12;13;14;15;16;17;18;19;20;21;22;23;24;25;26;27;28;29;30},
     COUNTIFS($U$2:$U$200,$G198)&gt;0,
     COUNTIFS($V$2:$V$200,$G198)&gt;0,
     COUNTIFS($W$2:$W$200,$G198)&gt;0,
     COUNTIFS($X$2:$X$200,$G198)&gt;0,
     COUNTIFS($Y$2:$Y$200,$G198)&gt;0,
     COUNTIFS($Z$2:$Z$200,$G198)&gt;0,
     COUNTIFS($AA$2:$AA$200,$G198)&gt;0,
     COUNTIFS($AB$2:$AB$200,$G198)&gt;0,
     COUNTIFS($AC$2:$AC$200,$G198)&gt;0,
     COUNTIFS($AD$2:$AD$200,$G198)&gt;0,
     COUNTIFS($AE$2:$AE$200,$G198)&gt;0,
     COUNTIFS($AF$2:$AF$200,$G198)&gt;0,
     COUNTIFS($AG$2:$AG$200,$G198)&gt;0,
     COUNTIFS($AH$2:$AH$200,$G198)&gt;0,
     COUNTIFS($AI$2:$AI$200,$G198)&gt;0,
     COUNTIFS($AJ$2:$AJ$200,$G198)&gt;0,
     COUNTIFS($AK$2:$AK$200,$G198)&gt;0,
     COUNTIFS($AL$2:$AL$200,$G198)&gt;0,
     COUNTIFS($AM$2:$AM$200,$G198)&gt;0,
     COUNTIFS($AN$2:$AN$200,$G198)&gt;0,
     COUNTIFS($AO$2:$AO$200,$G198)&gt;0,
     COUNTIFS($AP$2:$AP$200,$G198)&gt;0,
     COUNTIFS($AQ$2:$AQ$200,$G198)&gt;0,
     COUNTIFS($AR$2:$AR$200,$G198)&gt;0,
     COUNTIFS($AS$2:$AS$200,$G198)&gt;0,
     COUNTIFS($AT$2:$AT$200,$G198)&gt;0,
     COUNTIFS($AU$2:$AU$200,$G198)&gt;0,
     COUNTIFS($AV$2:$AV$200,$G198)&gt;0,
     COUNTIFS($AW$2:$AW$200,$G198)&gt;0,
     COUNTIFS($AX$2:$AX$200,$G198)&gt;0
   )),
  ),
  3
 ),
"")</f>
        <v/>
      </c>
      <c r="F198" s="3" t="str" cm="1">
        <f t="array" aca="1" ref="F198" ca="1">IFERROR(
 INDEX(
  _xlfn._xlws.FILTER($U$1:$AX$1,
   TRANSPOSE(
    CHOOSE({1;2;3;4;5;6;7;8;9;10;11;12;13;14;15;16;17;18;19;20;21;22;23;24;25;26;27;28;29;30},
     COUNTIFS($U$2:$U$200,$G198)&gt;0,
     COUNTIFS($V$2:$V$200,$G198)&gt;0,
     COUNTIFS($W$2:$W$200,$G198)&gt;0,
     COUNTIFS($X$2:$X$200,$G198)&gt;0,
     COUNTIFS($Y$2:$Y$200,$G198)&gt;0,
     COUNTIFS($Z$2:$Z$200,$G198)&gt;0,
     COUNTIFS($AA$2:$AA$200,$G198)&gt;0,
     COUNTIFS($AB$2:$AB$200,$G198)&gt;0,
     COUNTIFS($AC$2:$AC$200,$G198)&gt;0,
     COUNTIFS($AD$2:$AD$200,$G198)&gt;0,
     COUNTIFS($AE$2:$AE$200,$G198)&gt;0,
     COUNTIFS($AF$2:$AF$200,$G198)&gt;0,
     COUNTIFS($AG$2:$AG$200,$G198)&gt;0,
     COUNTIFS($AH$2:$AH$200,$G198)&gt;0,
     COUNTIFS($AI$2:$AI$200,$G198)&gt;0,
     COUNTIFS($AJ$2:$AJ$200,$G198)&gt;0,
     COUNTIFS($AK$2:$AK$200,$G198)&gt;0,
     COUNTIFS($AL$2:$AL$200,$G198)&gt;0,
     COUNTIFS($AM$2:$AM$200,$G198)&gt;0,
     COUNTIFS($AN$2:$AN$200,$G198)&gt;0,
     COUNTIFS($AO$2:$AO$200,$G198)&gt;0,
     COUNTIFS($AP$2:$AP$200,$G198)&gt;0,
     COUNTIFS($AQ$2:$AQ$200,$G198)&gt;0,
     COUNTIFS($AR$2:$AR$200,$G198)&gt;0,
     COUNTIFS($AS$2:$AS$200,$G198)&gt;0,
     COUNTIFS($AT$2:$AT$200,$G198)&gt;0,
     COUNTIFS($AU$2:$AU$200,$G198)&gt;0,
     COUNTIFS($AV$2:$AV$200,$G198)&gt;0,
     COUNTIFS($AW$2:$AW$200,$G198)&gt;0,
     COUNTIFS($AX$2:$AX$200,$G198)&gt;0
   )),
  ),
  4
 ),
"")</f>
        <v/>
      </c>
      <c r="G198" t="str">
        <f ca="1"/>
        <v>Planetary Annihilation</v>
      </c>
      <c r="CG198" t="str">
        <f ca="1"/>
        <v>Teferi's Ageless Insight</v>
      </c>
      <c r="CJ198" t="str">
        <f ca="1"/>
        <v>Planetary Annihilation</v>
      </c>
    </row>
    <row r="199" spans="1:88" x14ac:dyDescent="0.25">
      <c r="A199" s="3" t="str">
        <f t="shared" ca="1" si="8"/>
        <v>4</v>
      </c>
      <c r="B199" s="3">
        <f t="shared" ca="1" si="9"/>
        <v>1</v>
      </c>
      <c r="C199" s="3" t="str">
        <f ca="1">IFERROR(
 INDEX($U$1:$AX$1,
  MATCH(TRUE,
   CHOOSE({1;2;3;4;5;6;7;8;9;10;11;12;13;14;15;16;17;18;19;20;21;22;23;24;25;26;27;28;29;30;31;32},
    COUNTIFS($U$2:$U$200,$G199)&gt;0,
    COUNTIFS($V$2:$V$200,$G199)&gt;0,
    COUNTIFS($W$2:$W$200,$G199)&gt;0,
    COUNTIFS($X$2:$X$200,$G199)&gt;0,
    COUNTIFS($Y$2:$Y$200,$G199)&gt;0,
    COUNTIFS($Z$2:$Z$200,$G199)&gt;0,
    COUNTIFS($AA$2:$AA$200,$G199)&gt;0,
    COUNTIFS($AB$2:$AB$200,$G199)&gt;0,
    COUNTIFS($AC$2:$AC$200,$G199)&gt;0,
    COUNTIFS($AD$2:$AD$200,$G199)&gt;0,
    COUNTIFS($AE$2:$AE$200,$G199)&gt;0,
    COUNTIFS($AF$2:$AF$200,$G199)&gt;0,
    COUNTIFS($AG$2:$AG$200,$G199)&gt;0,
    COUNTIFS($AH$2:$AH$200,$G199)&gt;0,
    COUNTIFS($AI$2:$AI$200,$G199)&gt;0,
    COUNTIFS($AJ$2:$AJ$200,$G199)&gt;0,
    COUNTIFS($AK$2:$AK$200,$G199)&gt;0,
    COUNTIFS($AL$2:$AL$200,$G199)&gt;0,
    COUNTIFS($AM$2:$AM$200,$G199)&gt;0,
    COUNTIFS($AN$2:$AN$200,$G199)&gt;0,
    COUNTIFS($AO$2:$AO$200,$G199)&gt;0,
    COUNTIFS($AP$2:$AP$200,$G199)&gt;0,
    COUNTIFS($AQ$2:$AQ$200,$G199)&gt;0,
    COUNTIFS($AR$2:$AR$200,$G199)&gt;0,
    COUNTIFS($AS$2:$AS$200,$G199)&gt;0,
    COUNTIFS($AT$2:$AT$200,$G199)&gt;0,
    COUNTIFS($AU$2:$AU$200,$G199)&gt;0,
    COUNTIFS($AV$2:$AV$200,$G199)&gt;0,
    COUNTIFS($AW$2:$AW$200,$G199)&gt;0,
    COUNTIFS($AX$2:$AX$200,$G199)&gt;0
   ),
  0)
 ),
"")</f>
        <v>VialIshai</v>
      </c>
      <c r="D199" s="3" t="str" cm="1">
        <f t="array" aca="1" ref="D199" ca="1">IFERROR(
 INDEX(
  _xlfn._xlws.FILTER($U$1:$AX$1,
   TRANSPOSE(
    CHOOSE({1;2;3;4;5;6;7;8;9;10;11;12;13;14;15;16;17;18;19;20;21;22;23;24;25;26;27;28;29;30},
     COUNTIFS($U$2:$U$200,$G199)&gt;0,
     COUNTIFS($V$2:$V$200,$G199)&gt;0,
     COUNTIFS($W$2:$W$200,$G199)&gt;0,
     COUNTIFS($X$2:$X$200,$G199)&gt;0,
     COUNTIFS($Y$2:$Y$200,$G199)&gt;0,
     COUNTIFS($Z$2:$Z$200,$G199)&gt;0,
     COUNTIFS($AA$2:$AA$200,$G199)&gt;0,
     COUNTIFS($AB$2:$AB$200,$G199)&gt;0,
     COUNTIFS($AC$2:$AC$200,$G199)&gt;0,
     COUNTIFS($AD$2:$AD$200,$G199)&gt;0,
     COUNTIFS($AE$2:$AE$200,$G199)&gt;0,
     COUNTIFS($AF$2:$AF$200,$G199)&gt;0,
     COUNTIFS($AG$2:$AG$200,$G199)&gt;0,
     COUNTIFS($AH$2:$AH$200,$G199)&gt;0,
     COUNTIFS($AI$2:$AI$200,$G199)&gt;0,
     COUNTIFS($AJ$2:$AJ$200,$G199)&gt;0,
     COUNTIFS($AK$2:$AK$200,$G199)&gt;0,
     COUNTIFS($AL$2:$AL$200,$G199)&gt;0,
     COUNTIFS($AM$2:$AM$200,$G199)&gt;0,
     COUNTIFS($AN$2:$AN$200,$G199)&gt;0,
     COUNTIFS($AO$2:$AO$200,$G199)&gt;0,
     COUNTIFS($AP$2:$AP$200,$G199)&gt;0,
     COUNTIFS($AQ$2:$AQ$200,$G199)&gt;0,
     COUNTIFS($AR$2:$AR$200,$G199)&gt;0,
     COUNTIFS($AS$2:$AS$200,$G199)&gt;0,
     COUNTIFS($AT$2:$AT$200,$G199)&gt;0,
     COUNTIFS($AU$2:$AU$200,$G199)&gt;0,
     COUNTIFS($AV$2:$AV$200,$G199)&gt;0,
     COUNTIFS($AW$2:$AW$200,$G199)&gt;0,
     COUNTIFS($AX$2:$AX$200,$G199)&gt;0
   )),
  ),
  2
 ),
"")</f>
        <v/>
      </c>
      <c r="E199" s="3" t="str" cm="1">
        <f t="array" aca="1" ref="E199" ca="1">IFERROR(
 INDEX(
  _xlfn._xlws.FILTER($U$1:$AX$1,
   TRANSPOSE(
    CHOOSE({1;2;3;4;5;6;7;8;9;10;11;12;13;14;15;16;17;18;19;20;21;22;23;24;25;26;27;28;29;30},
     COUNTIFS($U$2:$U$200,$G199)&gt;0,
     COUNTIFS($V$2:$V$200,$G199)&gt;0,
     COUNTIFS($W$2:$W$200,$G199)&gt;0,
     COUNTIFS($X$2:$X$200,$G199)&gt;0,
     COUNTIFS($Y$2:$Y$200,$G199)&gt;0,
     COUNTIFS($Z$2:$Z$200,$G199)&gt;0,
     COUNTIFS($AA$2:$AA$200,$G199)&gt;0,
     COUNTIFS($AB$2:$AB$200,$G199)&gt;0,
     COUNTIFS($AC$2:$AC$200,$G199)&gt;0,
     COUNTIFS($AD$2:$AD$200,$G199)&gt;0,
     COUNTIFS($AE$2:$AE$200,$G199)&gt;0,
     COUNTIFS($AF$2:$AF$200,$G199)&gt;0,
     COUNTIFS($AG$2:$AG$200,$G199)&gt;0,
     COUNTIFS($AH$2:$AH$200,$G199)&gt;0,
     COUNTIFS($AI$2:$AI$200,$G199)&gt;0,
     COUNTIFS($AJ$2:$AJ$200,$G199)&gt;0,
     COUNTIFS($AK$2:$AK$200,$G199)&gt;0,
     COUNTIFS($AL$2:$AL$200,$G199)&gt;0,
     COUNTIFS($AM$2:$AM$200,$G199)&gt;0,
     COUNTIFS($AN$2:$AN$200,$G199)&gt;0,
     COUNTIFS($AO$2:$AO$200,$G199)&gt;0,
     COUNTIFS($AP$2:$AP$200,$G199)&gt;0,
     COUNTIFS($AQ$2:$AQ$200,$G199)&gt;0,
     COUNTIFS($AR$2:$AR$200,$G199)&gt;0,
     COUNTIFS($AS$2:$AS$200,$G199)&gt;0,
     COUNTIFS($AT$2:$AT$200,$G199)&gt;0,
     COUNTIFS($AU$2:$AU$200,$G199)&gt;0,
     COUNTIFS($AV$2:$AV$200,$G199)&gt;0,
     COUNTIFS($AW$2:$AW$200,$G199)&gt;0,
     COUNTIFS($AX$2:$AX$200,$G199)&gt;0
   )),
  ),
  3
 ),
"")</f>
        <v/>
      </c>
      <c r="F199" s="3" t="str" cm="1">
        <f t="array" aca="1" ref="F199" ca="1">IFERROR(
 INDEX(
  _xlfn._xlws.FILTER($U$1:$AX$1,
   TRANSPOSE(
    CHOOSE({1;2;3;4;5;6;7;8;9;10;11;12;13;14;15;16;17;18;19;20;21;22;23;24;25;26;27;28;29;30},
     COUNTIFS($U$2:$U$200,$G199)&gt;0,
     COUNTIFS($V$2:$V$200,$G199)&gt;0,
     COUNTIFS($W$2:$W$200,$G199)&gt;0,
     COUNTIFS($X$2:$X$200,$G199)&gt;0,
     COUNTIFS($Y$2:$Y$200,$G199)&gt;0,
     COUNTIFS($Z$2:$Z$200,$G199)&gt;0,
     COUNTIFS($AA$2:$AA$200,$G199)&gt;0,
     COUNTIFS($AB$2:$AB$200,$G199)&gt;0,
     COUNTIFS($AC$2:$AC$200,$G199)&gt;0,
     COUNTIFS($AD$2:$AD$200,$G199)&gt;0,
     COUNTIFS($AE$2:$AE$200,$G199)&gt;0,
     COUNTIFS($AF$2:$AF$200,$G199)&gt;0,
     COUNTIFS($AG$2:$AG$200,$G199)&gt;0,
     COUNTIFS($AH$2:$AH$200,$G199)&gt;0,
     COUNTIFS($AI$2:$AI$200,$G199)&gt;0,
     COUNTIFS($AJ$2:$AJ$200,$G199)&gt;0,
     COUNTIFS($AK$2:$AK$200,$G199)&gt;0,
     COUNTIFS($AL$2:$AL$200,$G199)&gt;0,
     COUNTIFS($AM$2:$AM$200,$G199)&gt;0,
     COUNTIFS($AN$2:$AN$200,$G199)&gt;0,
     COUNTIFS($AO$2:$AO$200,$G199)&gt;0,
     COUNTIFS($AP$2:$AP$200,$G199)&gt;0,
     COUNTIFS($AQ$2:$AQ$200,$G199)&gt;0,
     COUNTIFS($AR$2:$AR$200,$G199)&gt;0,
     COUNTIFS($AS$2:$AS$200,$G199)&gt;0,
     COUNTIFS($AT$2:$AT$200,$G199)&gt;0,
     COUNTIFS($AU$2:$AU$200,$G199)&gt;0,
     COUNTIFS($AV$2:$AV$200,$G199)&gt;0,
     COUNTIFS($AW$2:$AW$200,$G199)&gt;0,
     COUNTIFS($AX$2:$AX$200,$G199)&gt;0
   )),
  ),
  4
 ),
"")</f>
        <v/>
      </c>
      <c r="G199" t="str">
        <f ca="1"/>
        <v>Polluted Delta</v>
      </c>
      <c r="CG199" t="str">
        <f ca="1"/>
        <v>Teferi's Protection</v>
      </c>
      <c r="CJ199" t="str">
        <f ca="1"/>
        <v>Polluted Delta</v>
      </c>
    </row>
    <row r="200" spans="1:88" x14ac:dyDescent="0.25">
      <c r="A200" s="3" t="str">
        <f t="shared" ca="1" si="8"/>
        <v>3</v>
      </c>
      <c r="B200" s="3">
        <f t="shared" ca="1" si="9"/>
        <v>1</v>
      </c>
      <c r="C200" s="3" t="str">
        <f ca="1">IFERROR(
 INDEX($U$1:$AX$1,
  MATCH(TRUE,
   CHOOSE({1;2;3;4;5;6;7;8;9;10;11;12;13;14;15;16;17;18;19;20;21;22;23;24;25;26;27;28;29;30;31;32},
    COUNTIFS($U$2:$U$200,$G200)&gt;0,
    COUNTIFS($V$2:$V$200,$G200)&gt;0,
    COUNTIFS($W$2:$W$200,$G200)&gt;0,
    COUNTIFS($X$2:$X$200,$G200)&gt;0,
    COUNTIFS($Y$2:$Y$200,$G200)&gt;0,
    COUNTIFS($Z$2:$Z$200,$G200)&gt;0,
    COUNTIFS($AA$2:$AA$200,$G200)&gt;0,
    COUNTIFS($AB$2:$AB$200,$G200)&gt;0,
    COUNTIFS($AC$2:$AC$200,$G200)&gt;0,
    COUNTIFS($AD$2:$AD$200,$G200)&gt;0,
    COUNTIFS($AE$2:$AE$200,$G200)&gt;0,
    COUNTIFS($AF$2:$AF$200,$G200)&gt;0,
    COUNTIFS($AG$2:$AG$200,$G200)&gt;0,
    COUNTIFS($AH$2:$AH$200,$G200)&gt;0,
    COUNTIFS($AI$2:$AI$200,$G200)&gt;0,
    COUNTIFS($AJ$2:$AJ$200,$G200)&gt;0,
    COUNTIFS($AK$2:$AK$200,$G200)&gt;0,
    COUNTIFS($AL$2:$AL$200,$G200)&gt;0,
    COUNTIFS($AM$2:$AM$200,$G200)&gt;0,
    COUNTIFS($AN$2:$AN$200,$G200)&gt;0,
    COUNTIFS($AO$2:$AO$200,$G200)&gt;0,
    COUNTIFS($AP$2:$AP$200,$G200)&gt;0,
    COUNTIFS($AQ$2:$AQ$200,$G200)&gt;0,
    COUNTIFS($AR$2:$AR$200,$G200)&gt;0,
    COUNTIFS($AS$2:$AS$200,$G200)&gt;0,
    COUNTIFS($AT$2:$AT$200,$G200)&gt;0,
    COUNTIFS($AU$2:$AU$200,$G200)&gt;0,
    COUNTIFS($AV$2:$AV$200,$G200)&gt;0,
    COUNTIFS($AW$2:$AW$200,$G200)&gt;0,
    COUNTIFS($AX$2:$AX$200,$G200)&gt;0
   ),
  0)
 ),
"")</f>
        <v>Muzzio</v>
      </c>
      <c r="D200" s="3" t="str" cm="1">
        <f t="array" aca="1" ref="D200" ca="1">IFERROR(
 INDEX(
  _xlfn._xlws.FILTER($U$1:$AX$1,
   TRANSPOSE(
    CHOOSE({1;2;3;4;5;6;7;8;9;10;11;12;13;14;15;16;17;18;19;20;21;22;23;24;25;26;27;28;29;30},
     COUNTIFS($U$2:$U$200,$G200)&gt;0,
     COUNTIFS($V$2:$V$200,$G200)&gt;0,
     COUNTIFS($W$2:$W$200,$G200)&gt;0,
     COUNTIFS($X$2:$X$200,$G200)&gt;0,
     COUNTIFS($Y$2:$Y$200,$G200)&gt;0,
     COUNTIFS($Z$2:$Z$200,$G200)&gt;0,
     COUNTIFS($AA$2:$AA$200,$G200)&gt;0,
     COUNTIFS($AB$2:$AB$200,$G200)&gt;0,
     COUNTIFS($AC$2:$AC$200,$G200)&gt;0,
     COUNTIFS($AD$2:$AD$200,$G200)&gt;0,
     COUNTIFS($AE$2:$AE$200,$G200)&gt;0,
     COUNTIFS($AF$2:$AF$200,$G200)&gt;0,
     COUNTIFS($AG$2:$AG$200,$G200)&gt;0,
     COUNTIFS($AH$2:$AH$200,$G200)&gt;0,
     COUNTIFS($AI$2:$AI$200,$G200)&gt;0,
     COUNTIFS($AJ$2:$AJ$200,$G200)&gt;0,
     COUNTIFS($AK$2:$AK$200,$G200)&gt;0,
     COUNTIFS($AL$2:$AL$200,$G200)&gt;0,
     COUNTIFS($AM$2:$AM$200,$G200)&gt;0,
     COUNTIFS($AN$2:$AN$200,$G200)&gt;0,
     COUNTIFS($AO$2:$AO$200,$G200)&gt;0,
     COUNTIFS($AP$2:$AP$200,$G200)&gt;0,
     COUNTIFS($AQ$2:$AQ$200,$G200)&gt;0,
     COUNTIFS($AR$2:$AR$200,$G200)&gt;0,
     COUNTIFS($AS$2:$AS$200,$G200)&gt;0,
     COUNTIFS($AT$2:$AT$200,$G200)&gt;0,
     COUNTIFS($AU$2:$AU$200,$G200)&gt;0,
     COUNTIFS($AV$2:$AV$200,$G200)&gt;0,
     COUNTIFS($AW$2:$AW$200,$G200)&gt;0,
     COUNTIFS($AX$2:$AX$200,$G200)&gt;0
   )),
  ),
  2
 ),
"")</f>
        <v/>
      </c>
      <c r="E200" s="3" t="str" cm="1">
        <f t="array" aca="1" ref="E200" ca="1">IFERROR(
 INDEX(
  _xlfn._xlws.FILTER($U$1:$AX$1,
   TRANSPOSE(
    CHOOSE({1;2;3;4;5;6;7;8;9;10;11;12;13;14;15;16;17;18;19;20;21;22;23;24;25;26;27;28;29;30},
     COUNTIFS($U$2:$U$200,$G200)&gt;0,
     COUNTIFS($V$2:$V$200,$G200)&gt;0,
     COUNTIFS($W$2:$W$200,$G200)&gt;0,
     COUNTIFS($X$2:$X$200,$G200)&gt;0,
     COUNTIFS($Y$2:$Y$200,$G200)&gt;0,
     COUNTIFS($Z$2:$Z$200,$G200)&gt;0,
     COUNTIFS($AA$2:$AA$200,$G200)&gt;0,
     COUNTIFS($AB$2:$AB$200,$G200)&gt;0,
     COUNTIFS($AC$2:$AC$200,$G200)&gt;0,
     COUNTIFS($AD$2:$AD$200,$G200)&gt;0,
     COUNTIFS($AE$2:$AE$200,$G200)&gt;0,
     COUNTIFS($AF$2:$AF$200,$G200)&gt;0,
     COUNTIFS($AG$2:$AG$200,$G200)&gt;0,
     COUNTIFS($AH$2:$AH$200,$G200)&gt;0,
     COUNTIFS($AI$2:$AI$200,$G200)&gt;0,
     COUNTIFS($AJ$2:$AJ$200,$G200)&gt;0,
     COUNTIFS($AK$2:$AK$200,$G200)&gt;0,
     COUNTIFS($AL$2:$AL$200,$G200)&gt;0,
     COUNTIFS($AM$2:$AM$200,$G200)&gt;0,
     COUNTIFS($AN$2:$AN$200,$G200)&gt;0,
     COUNTIFS($AO$2:$AO$200,$G200)&gt;0,
     COUNTIFS($AP$2:$AP$200,$G200)&gt;0,
     COUNTIFS($AQ$2:$AQ$200,$G200)&gt;0,
     COUNTIFS($AR$2:$AR$200,$G200)&gt;0,
     COUNTIFS($AS$2:$AS$200,$G200)&gt;0,
     COUNTIFS($AT$2:$AT$200,$G200)&gt;0,
     COUNTIFS($AU$2:$AU$200,$G200)&gt;0,
     COUNTIFS($AV$2:$AV$200,$G200)&gt;0,
     COUNTIFS($AW$2:$AW$200,$G200)&gt;0,
     COUNTIFS($AX$2:$AX$200,$G200)&gt;0
   )),
  ),
  3
 ),
"")</f>
        <v/>
      </c>
      <c r="F200" s="3" t="str" cm="1">
        <f t="array" aca="1" ref="F200" ca="1">IFERROR(
 INDEX(
  _xlfn._xlws.FILTER($U$1:$AX$1,
   TRANSPOSE(
    CHOOSE({1;2;3;4;5;6;7;8;9;10;11;12;13;14;15;16;17;18;19;20;21;22;23;24;25;26;27;28;29;30},
     COUNTIFS($U$2:$U$200,$G200)&gt;0,
     COUNTIFS($V$2:$V$200,$G200)&gt;0,
     COUNTIFS($W$2:$W$200,$G200)&gt;0,
     COUNTIFS($X$2:$X$200,$G200)&gt;0,
     COUNTIFS($Y$2:$Y$200,$G200)&gt;0,
     COUNTIFS($Z$2:$Z$200,$G200)&gt;0,
     COUNTIFS($AA$2:$AA$200,$G200)&gt;0,
     COUNTIFS($AB$2:$AB$200,$G200)&gt;0,
     COUNTIFS($AC$2:$AC$200,$G200)&gt;0,
     COUNTIFS($AD$2:$AD$200,$G200)&gt;0,
     COUNTIFS($AE$2:$AE$200,$G200)&gt;0,
     COUNTIFS($AF$2:$AF$200,$G200)&gt;0,
     COUNTIFS($AG$2:$AG$200,$G200)&gt;0,
     COUNTIFS($AH$2:$AH$200,$G200)&gt;0,
     COUNTIFS($AI$2:$AI$200,$G200)&gt;0,
     COUNTIFS($AJ$2:$AJ$200,$G200)&gt;0,
     COUNTIFS($AK$2:$AK$200,$G200)&gt;0,
     COUNTIFS($AL$2:$AL$200,$G200)&gt;0,
     COUNTIFS($AM$2:$AM$200,$G200)&gt;0,
     COUNTIFS($AN$2:$AN$200,$G200)&gt;0,
     COUNTIFS($AO$2:$AO$200,$G200)&gt;0,
     COUNTIFS($AP$2:$AP$200,$G200)&gt;0,
     COUNTIFS($AQ$2:$AQ$200,$G200)&gt;0,
     COUNTIFS($AR$2:$AR$200,$G200)&gt;0,
     COUNTIFS($AS$2:$AS$200,$G200)&gt;0,
     COUNTIFS($AT$2:$AT$200,$G200)&gt;0,
     COUNTIFS($AU$2:$AU$200,$G200)&gt;0,
     COUNTIFS($AV$2:$AV$200,$G200)&gt;0,
     COUNTIFS($AW$2:$AW$200,$G200)&gt;0,
     COUNTIFS($AX$2:$AX$200,$G200)&gt;0
   )),
  ),
  4
 ),
"")</f>
        <v/>
      </c>
      <c r="G200" t="str">
        <f ca="1"/>
        <v>Portal to Phyrexia</v>
      </c>
      <c r="CG200" t="str">
        <f ca="1"/>
        <v>Temple of Malice</v>
      </c>
      <c r="CJ200" t="str">
        <f ca="1"/>
        <v>Portal to Phyrexia</v>
      </c>
    </row>
    <row r="201" spans="1:88" x14ac:dyDescent="0.25">
      <c r="A201" s="3" t="str">
        <f t="shared" ca="1" si="8"/>
        <v>2</v>
      </c>
      <c r="B201" s="3">
        <f t="shared" ca="1" si="9"/>
        <v>1</v>
      </c>
      <c r="C201" s="3" t="str">
        <f ca="1">IFERROR(
 INDEX($U$1:$AX$1,
  MATCH(TRUE,
   CHOOSE({1;2;3;4;5;6;7;8;9;10;11;12;13;14;15;16;17;18;19;20;21;22;23;24;25;26;27;28;29;30;31;32},
    COUNTIFS($U$2:$U$200,$G201)&gt;0,
    COUNTIFS($V$2:$V$200,$G201)&gt;0,
    COUNTIFS($W$2:$W$200,$G201)&gt;0,
    COUNTIFS($X$2:$X$200,$G201)&gt;0,
    COUNTIFS($Y$2:$Y$200,$G201)&gt;0,
    COUNTIFS($Z$2:$Z$200,$G201)&gt;0,
    COUNTIFS($AA$2:$AA$200,$G201)&gt;0,
    COUNTIFS($AB$2:$AB$200,$G201)&gt;0,
    COUNTIFS($AC$2:$AC$200,$G201)&gt;0,
    COUNTIFS($AD$2:$AD$200,$G201)&gt;0,
    COUNTIFS($AE$2:$AE$200,$G201)&gt;0,
    COUNTIFS($AF$2:$AF$200,$G201)&gt;0,
    COUNTIFS($AG$2:$AG$200,$G201)&gt;0,
    COUNTIFS($AH$2:$AH$200,$G201)&gt;0,
    COUNTIFS($AI$2:$AI$200,$G201)&gt;0,
    COUNTIFS($AJ$2:$AJ$200,$G201)&gt;0,
    COUNTIFS($AK$2:$AK$200,$G201)&gt;0,
    COUNTIFS($AL$2:$AL$200,$G201)&gt;0,
    COUNTIFS($AM$2:$AM$200,$G201)&gt;0,
    COUNTIFS($AN$2:$AN$200,$G201)&gt;0,
    COUNTIFS($AO$2:$AO$200,$G201)&gt;0,
    COUNTIFS($AP$2:$AP$200,$G201)&gt;0,
    COUNTIFS($AQ$2:$AQ$200,$G201)&gt;0,
    COUNTIFS($AR$2:$AR$200,$G201)&gt;0,
    COUNTIFS($AS$2:$AS$200,$G201)&gt;0,
    COUNTIFS($AT$2:$AT$200,$G201)&gt;0,
    COUNTIFS($AU$2:$AU$200,$G201)&gt;0,
    COUNTIFS($AV$2:$AV$200,$G201)&gt;0,
    COUNTIFS($AW$2:$AW$200,$G201)&gt;0,
    COUNTIFS($AX$2:$AX$200,$G201)&gt;0
   ),
  0)
 ),
"")</f>
        <v>Baylen</v>
      </c>
      <c r="D201" s="3" t="str" cm="1">
        <f t="array" aca="1" ref="D201" ca="1">IFERROR(
 INDEX(
  _xlfn._xlws.FILTER($U$1:$AX$1,
   TRANSPOSE(
    CHOOSE({1;2;3;4;5;6;7;8;9;10;11;12;13;14;15;16;17;18;19;20;21;22;23;24;25;26;27;28;29;30},
     COUNTIFS($U$2:$U$200,$G201)&gt;0,
     COUNTIFS($V$2:$V$200,$G201)&gt;0,
     COUNTIFS($W$2:$W$200,$G201)&gt;0,
     COUNTIFS($X$2:$X$200,$G201)&gt;0,
     COUNTIFS($Y$2:$Y$200,$G201)&gt;0,
     COUNTIFS($Z$2:$Z$200,$G201)&gt;0,
     COUNTIFS($AA$2:$AA$200,$G201)&gt;0,
     COUNTIFS($AB$2:$AB$200,$G201)&gt;0,
     COUNTIFS($AC$2:$AC$200,$G201)&gt;0,
     COUNTIFS($AD$2:$AD$200,$G201)&gt;0,
     COUNTIFS($AE$2:$AE$200,$G201)&gt;0,
     COUNTIFS($AF$2:$AF$200,$G201)&gt;0,
     COUNTIFS($AG$2:$AG$200,$G201)&gt;0,
     COUNTIFS($AH$2:$AH$200,$G201)&gt;0,
     COUNTIFS($AI$2:$AI$200,$G201)&gt;0,
     COUNTIFS($AJ$2:$AJ$200,$G201)&gt;0,
     COUNTIFS($AK$2:$AK$200,$G201)&gt;0,
     COUNTIFS($AL$2:$AL$200,$G201)&gt;0,
     COUNTIFS($AM$2:$AM$200,$G201)&gt;0,
     COUNTIFS($AN$2:$AN$200,$G201)&gt;0,
     COUNTIFS($AO$2:$AO$200,$G201)&gt;0,
     COUNTIFS($AP$2:$AP$200,$G201)&gt;0,
     COUNTIFS($AQ$2:$AQ$200,$G201)&gt;0,
     COUNTIFS($AR$2:$AR$200,$G201)&gt;0,
     COUNTIFS($AS$2:$AS$200,$G201)&gt;0,
     COUNTIFS($AT$2:$AT$200,$G201)&gt;0,
     COUNTIFS($AU$2:$AU$200,$G201)&gt;0,
     COUNTIFS($AV$2:$AV$200,$G201)&gt;0,
     COUNTIFS($AW$2:$AW$200,$G201)&gt;0,
     COUNTIFS($AX$2:$AX$200,$G201)&gt;0
   )),
  ),
  2
 ),
"")</f>
        <v/>
      </c>
      <c r="E201" s="3" t="str" cm="1">
        <f t="array" aca="1" ref="E201" ca="1">IFERROR(
 INDEX(
  _xlfn._xlws.FILTER($U$1:$AX$1,
   TRANSPOSE(
    CHOOSE({1;2;3;4;5;6;7;8;9;10;11;12;13;14;15;16;17;18;19;20;21;22;23;24;25;26;27;28;29;30},
     COUNTIFS($U$2:$U$200,$G201)&gt;0,
     COUNTIFS($V$2:$V$200,$G201)&gt;0,
     COUNTIFS($W$2:$W$200,$G201)&gt;0,
     COUNTIFS($X$2:$X$200,$G201)&gt;0,
     COUNTIFS($Y$2:$Y$200,$G201)&gt;0,
     COUNTIFS($Z$2:$Z$200,$G201)&gt;0,
     COUNTIFS($AA$2:$AA$200,$G201)&gt;0,
     COUNTIFS($AB$2:$AB$200,$G201)&gt;0,
     COUNTIFS($AC$2:$AC$200,$G201)&gt;0,
     COUNTIFS($AD$2:$AD$200,$G201)&gt;0,
     COUNTIFS($AE$2:$AE$200,$G201)&gt;0,
     COUNTIFS($AF$2:$AF$200,$G201)&gt;0,
     COUNTIFS($AG$2:$AG$200,$G201)&gt;0,
     COUNTIFS($AH$2:$AH$200,$G201)&gt;0,
     COUNTIFS($AI$2:$AI$200,$G201)&gt;0,
     COUNTIFS($AJ$2:$AJ$200,$G201)&gt;0,
     COUNTIFS($AK$2:$AK$200,$G201)&gt;0,
     COUNTIFS($AL$2:$AL$200,$G201)&gt;0,
     COUNTIFS($AM$2:$AM$200,$G201)&gt;0,
     COUNTIFS($AN$2:$AN$200,$G201)&gt;0,
     COUNTIFS($AO$2:$AO$200,$G201)&gt;0,
     COUNTIFS($AP$2:$AP$200,$G201)&gt;0,
     COUNTIFS($AQ$2:$AQ$200,$G201)&gt;0,
     COUNTIFS($AR$2:$AR$200,$G201)&gt;0,
     COUNTIFS($AS$2:$AS$200,$G201)&gt;0,
     COUNTIFS($AT$2:$AT$200,$G201)&gt;0,
     COUNTIFS($AU$2:$AU$200,$G201)&gt;0,
     COUNTIFS($AV$2:$AV$200,$G201)&gt;0,
     COUNTIFS($AW$2:$AW$200,$G201)&gt;0,
     COUNTIFS($AX$2:$AX$200,$G201)&gt;0
   )),
  ),
  3
 ),
"")</f>
        <v/>
      </c>
      <c r="F201" s="3" t="str" cm="1">
        <f t="array" aca="1" ref="F201" ca="1">IFERROR(
 INDEX(
  _xlfn._xlws.FILTER($U$1:$AX$1,
   TRANSPOSE(
    CHOOSE({1;2;3;4;5;6;7;8;9;10;11;12;13;14;15;16;17;18;19;20;21;22;23;24;25;26;27;28;29;30},
     COUNTIFS($U$2:$U$200,$G201)&gt;0,
     COUNTIFS($V$2:$V$200,$G201)&gt;0,
     COUNTIFS($W$2:$W$200,$G201)&gt;0,
     COUNTIFS($X$2:$X$200,$G201)&gt;0,
     COUNTIFS($Y$2:$Y$200,$G201)&gt;0,
     COUNTIFS($Z$2:$Z$200,$G201)&gt;0,
     COUNTIFS($AA$2:$AA$200,$G201)&gt;0,
     COUNTIFS($AB$2:$AB$200,$G201)&gt;0,
     COUNTIFS($AC$2:$AC$200,$G201)&gt;0,
     COUNTIFS($AD$2:$AD$200,$G201)&gt;0,
     COUNTIFS($AE$2:$AE$200,$G201)&gt;0,
     COUNTIFS($AF$2:$AF$200,$G201)&gt;0,
     COUNTIFS($AG$2:$AG$200,$G201)&gt;0,
     COUNTIFS($AH$2:$AH$200,$G201)&gt;0,
     COUNTIFS($AI$2:$AI$200,$G201)&gt;0,
     COUNTIFS($AJ$2:$AJ$200,$G201)&gt;0,
     COUNTIFS($AK$2:$AK$200,$G201)&gt;0,
     COUNTIFS($AL$2:$AL$200,$G201)&gt;0,
     COUNTIFS($AM$2:$AM$200,$G201)&gt;0,
     COUNTIFS($AN$2:$AN$200,$G201)&gt;0,
     COUNTIFS($AO$2:$AO$200,$G201)&gt;0,
     COUNTIFS($AP$2:$AP$200,$G201)&gt;0,
     COUNTIFS($AQ$2:$AQ$200,$G201)&gt;0,
     COUNTIFS($AR$2:$AR$200,$G201)&gt;0,
     COUNTIFS($AS$2:$AS$200,$G201)&gt;0,
     COUNTIFS($AT$2:$AT$200,$G201)&gt;0,
     COUNTIFS($AU$2:$AU$200,$G201)&gt;0,
     COUNTIFS($AV$2:$AV$200,$G201)&gt;0,
     COUNTIFS($AW$2:$AW$200,$G201)&gt;0,
     COUNTIFS($AX$2:$AX$200,$G201)&gt;0
   )),
  ),
  4
 ),
"")</f>
        <v/>
      </c>
      <c r="G201" t="str">
        <f ca="1"/>
        <v>Prosperous Partnership</v>
      </c>
      <c r="CG201" t="str">
        <f ca="1"/>
        <v>Temporal Manipulation</v>
      </c>
      <c r="CJ201" t="str">
        <f ca="1"/>
        <v>Prosperous Partnership</v>
      </c>
    </row>
    <row r="202" spans="1:88" x14ac:dyDescent="0.25">
      <c r="A202" s="3" t="str">
        <f t="shared" ca="1" si="8"/>
        <v>1</v>
      </c>
      <c r="B202" s="3">
        <f t="shared" ca="1" si="9"/>
        <v>1</v>
      </c>
      <c r="C202" s="3" t="str">
        <f ca="1">IFERROR(
 INDEX($U$1:$AX$1,
  MATCH(TRUE,
   CHOOSE({1;2;3;4;5;6;7;8;9;10;11;12;13;14;15;16;17;18;19;20;21;22;23;24;25;26;27;28;29;30;31;32},
    COUNTIFS($U$2:$U$200,$G202)&gt;0,
    COUNTIFS($V$2:$V$200,$G202)&gt;0,
    COUNTIFS($W$2:$W$200,$G202)&gt;0,
    COUNTIFS($X$2:$X$200,$G202)&gt;0,
    COUNTIFS($Y$2:$Y$200,$G202)&gt;0,
    COUNTIFS($Z$2:$Z$200,$G202)&gt;0,
    COUNTIFS($AA$2:$AA$200,$G202)&gt;0,
    COUNTIFS($AB$2:$AB$200,$G202)&gt;0,
    COUNTIFS($AC$2:$AC$200,$G202)&gt;0,
    COUNTIFS($AD$2:$AD$200,$G202)&gt;0,
    COUNTIFS($AE$2:$AE$200,$G202)&gt;0,
    COUNTIFS($AF$2:$AF$200,$G202)&gt;0,
    COUNTIFS($AG$2:$AG$200,$G202)&gt;0,
    COUNTIFS($AH$2:$AH$200,$G202)&gt;0,
    COUNTIFS($AI$2:$AI$200,$G202)&gt;0,
    COUNTIFS($AJ$2:$AJ$200,$G202)&gt;0,
    COUNTIFS($AK$2:$AK$200,$G202)&gt;0,
    COUNTIFS($AL$2:$AL$200,$G202)&gt;0,
    COUNTIFS($AM$2:$AM$200,$G202)&gt;0,
    COUNTIFS($AN$2:$AN$200,$G202)&gt;0,
    COUNTIFS($AO$2:$AO$200,$G202)&gt;0,
    COUNTIFS($AP$2:$AP$200,$G202)&gt;0,
    COUNTIFS($AQ$2:$AQ$200,$G202)&gt;0,
    COUNTIFS($AR$2:$AR$200,$G202)&gt;0,
    COUNTIFS($AS$2:$AS$200,$G202)&gt;0,
    COUNTIFS($AT$2:$AT$200,$G202)&gt;0,
    COUNTIFS($AU$2:$AU$200,$G202)&gt;0,
    COUNTIFS($AV$2:$AV$200,$G202)&gt;0,
    COUNTIFS($AW$2:$AW$200,$G202)&gt;0,
    COUNTIFS($AX$2:$AX$200,$G202)&gt;0
   ),
  0)
 ),
"")</f>
        <v>Tayam</v>
      </c>
      <c r="D202" s="3" t="str" cm="1">
        <f t="array" aca="1" ref="D202" ca="1">IFERROR(
 INDEX(
  _xlfn._xlws.FILTER($U$1:$AX$1,
   TRANSPOSE(
    CHOOSE({1;2;3;4;5;6;7;8;9;10;11;12;13;14;15;16;17;18;19;20;21;22;23;24;25;26;27;28;29;30},
     COUNTIFS($U$2:$U$200,$G202)&gt;0,
     COUNTIFS($V$2:$V$200,$G202)&gt;0,
     COUNTIFS($W$2:$W$200,$G202)&gt;0,
     COUNTIFS($X$2:$X$200,$G202)&gt;0,
     COUNTIFS($Y$2:$Y$200,$G202)&gt;0,
     COUNTIFS($Z$2:$Z$200,$G202)&gt;0,
     COUNTIFS($AA$2:$AA$200,$G202)&gt;0,
     COUNTIFS($AB$2:$AB$200,$G202)&gt;0,
     COUNTIFS($AC$2:$AC$200,$G202)&gt;0,
     COUNTIFS($AD$2:$AD$200,$G202)&gt;0,
     COUNTIFS($AE$2:$AE$200,$G202)&gt;0,
     COUNTIFS($AF$2:$AF$200,$G202)&gt;0,
     COUNTIFS($AG$2:$AG$200,$G202)&gt;0,
     COUNTIFS($AH$2:$AH$200,$G202)&gt;0,
     COUNTIFS($AI$2:$AI$200,$G202)&gt;0,
     COUNTIFS($AJ$2:$AJ$200,$G202)&gt;0,
     COUNTIFS($AK$2:$AK$200,$G202)&gt;0,
     COUNTIFS($AL$2:$AL$200,$G202)&gt;0,
     COUNTIFS($AM$2:$AM$200,$G202)&gt;0,
     COUNTIFS($AN$2:$AN$200,$G202)&gt;0,
     COUNTIFS($AO$2:$AO$200,$G202)&gt;0,
     COUNTIFS($AP$2:$AP$200,$G202)&gt;0,
     COUNTIFS($AQ$2:$AQ$200,$G202)&gt;0,
     COUNTIFS($AR$2:$AR$200,$G202)&gt;0,
     COUNTIFS($AS$2:$AS$200,$G202)&gt;0,
     COUNTIFS($AT$2:$AT$200,$G202)&gt;0,
     COUNTIFS($AU$2:$AU$200,$G202)&gt;0,
     COUNTIFS($AV$2:$AV$200,$G202)&gt;0,
     COUNTIFS($AW$2:$AW$200,$G202)&gt;0,
     COUNTIFS($AX$2:$AX$200,$G202)&gt;0
   )),
  ),
  2
 ),
"")</f>
        <v/>
      </c>
      <c r="E202" s="3" t="str" cm="1">
        <f t="array" aca="1" ref="E202" ca="1">IFERROR(
 INDEX(
  _xlfn._xlws.FILTER($U$1:$AX$1,
   TRANSPOSE(
    CHOOSE({1;2;3;4;5;6;7;8;9;10;11;12;13;14;15;16;17;18;19;20;21;22;23;24;25;26;27;28;29;30},
     COUNTIFS($U$2:$U$200,$G202)&gt;0,
     COUNTIFS($V$2:$V$200,$G202)&gt;0,
     COUNTIFS($W$2:$W$200,$G202)&gt;0,
     COUNTIFS($X$2:$X$200,$G202)&gt;0,
     COUNTIFS($Y$2:$Y$200,$G202)&gt;0,
     COUNTIFS($Z$2:$Z$200,$G202)&gt;0,
     COUNTIFS($AA$2:$AA$200,$G202)&gt;0,
     COUNTIFS($AB$2:$AB$200,$G202)&gt;0,
     COUNTIFS($AC$2:$AC$200,$G202)&gt;0,
     COUNTIFS($AD$2:$AD$200,$G202)&gt;0,
     COUNTIFS($AE$2:$AE$200,$G202)&gt;0,
     COUNTIFS($AF$2:$AF$200,$G202)&gt;0,
     COUNTIFS($AG$2:$AG$200,$G202)&gt;0,
     COUNTIFS($AH$2:$AH$200,$G202)&gt;0,
     COUNTIFS($AI$2:$AI$200,$G202)&gt;0,
     COUNTIFS($AJ$2:$AJ$200,$G202)&gt;0,
     COUNTIFS($AK$2:$AK$200,$G202)&gt;0,
     COUNTIFS($AL$2:$AL$200,$G202)&gt;0,
     COUNTIFS($AM$2:$AM$200,$G202)&gt;0,
     COUNTIFS($AN$2:$AN$200,$G202)&gt;0,
     COUNTIFS($AO$2:$AO$200,$G202)&gt;0,
     COUNTIFS($AP$2:$AP$200,$G202)&gt;0,
     COUNTIFS($AQ$2:$AQ$200,$G202)&gt;0,
     COUNTIFS($AR$2:$AR$200,$G202)&gt;0,
     COUNTIFS($AS$2:$AS$200,$G202)&gt;0,
     COUNTIFS($AT$2:$AT$200,$G202)&gt;0,
     COUNTIFS($AU$2:$AU$200,$G202)&gt;0,
     COUNTIFS($AV$2:$AV$200,$G202)&gt;0,
     COUNTIFS($AW$2:$AW$200,$G202)&gt;0,
     COUNTIFS($AX$2:$AX$200,$G202)&gt;0
   )),
  ),
  3
 ),
"")</f>
        <v/>
      </c>
      <c r="F202" s="3" t="str" cm="1">
        <f t="array" aca="1" ref="F202" ca="1">IFERROR(
 INDEX(
  _xlfn._xlws.FILTER($U$1:$AX$1,
   TRANSPOSE(
    CHOOSE({1;2;3;4;5;6;7;8;9;10;11;12;13;14;15;16;17;18;19;20;21;22;23;24;25;26;27;28;29;30},
     COUNTIFS($U$2:$U$200,$G202)&gt;0,
     COUNTIFS($V$2:$V$200,$G202)&gt;0,
     COUNTIFS($W$2:$W$200,$G202)&gt;0,
     COUNTIFS($X$2:$X$200,$G202)&gt;0,
     COUNTIFS($Y$2:$Y$200,$G202)&gt;0,
     COUNTIFS($Z$2:$Z$200,$G202)&gt;0,
     COUNTIFS($AA$2:$AA$200,$G202)&gt;0,
     COUNTIFS($AB$2:$AB$200,$G202)&gt;0,
     COUNTIFS($AC$2:$AC$200,$G202)&gt;0,
     COUNTIFS($AD$2:$AD$200,$G202)&gt;0,
     COUNTIFS($AE$2:$AE$200,$G202)&gt;0,
     COUNTIFS($AF$2:$AF$200,$G202)&gt;0,
     COUNTIFS($AG$2:$AG$200,$G202)&gt;0,
     COUNTIFS($AH$2:$AH$200,$G202)&gt;0,
     COUNTIFS($AI$2:$AI$200,$G202)&gt;0,
     COUNTIFS($AJ$2:$AJ$200,$G202)&gt;0,
     COUNTIFS($AK$2:$AK$200,$G202)&gt;0,
     COUNTIFS($AL$2:$AL$200,$G202)&gt;0,
     COUNTIFS($AM$2:$AM$200,$G202)&gt;0,
     COUNTIFS($AN$2:$AN$200,$G202)&gt;0,
     COUNTIFS($AO$2:$AO$200,$G202)&gt;0,
     COUNTIFS($AP$2:$AP$200,$G202)&gt;0,
     COUNTIFS($AQ$2:$AQ$200,$G202)&gt;0,
     COUNTIFS($AR$2:$AR$200,$G202)&gt;0,
     COUNTIFS($AS$2:$AS$200,$G202)&gt;0,
     COUNTIFS($AT$2:$AT$200,$G202)&gt;0,
     COUNTIFS($AU$2:$AU$200,$G202)&gt;0,
     COUNTIFS($AV$2:$AV$200,$G202)&gt;0,
     COUNTIFS($AW$2:$AW$200,$G202)&gt;0,
     COUNTIFS($AX$2:$AX$200,$G202)&gt;0
   )),
  ),
  4
 ),
"")</f>
        <v/>
      </c>
      <c r="G202" t="str">
        <f ca="1"/>
        <v>Protection Magic</v>
      </c>
      <c r="CG202" t="str">
        <f ca="1"/>
        <v>Temporal Trespass</v>
      </c>
      <c r="CJ202" t="str">
        <f ca="1"/>
        <v>Protection Magic</v>
      </c>
    </row>
    <row r="203" spans="1:88" x14ac:dyDescent="0.25">
      <c r="A203" s="3" t="str">
        <f t="shared" ca="1" si="8"/>
        <v>2</v>
      </c>
      <c r="B203" s="3">
        <f t="shared" ca="1" si="9"/>
        <v>1</v>
      </c>
      <c r="C203" s="3" t="str">
        <f ca="1">IFERROR(
 INDEX($U$1:$AX$1,
  MATCH(TRUE,
   CHOOSE({1;2;3;4;5;6;7;8;9;10;11;12;13;14;15;16;17;18;19;20;21;22;23;24;25;26;27;28;29;30;31;32},
    COUNTIFS($U$2:$U$200,$G203)&gt;0,
    COUNTIFS($V$2:$V$200,$G203)&gt;0,
    COUNTIFS($W$2:$W$200,$G203)&gt;0,
    COUNTIFS($X$2:$X$200,$G203)&gt;0,
    COUNTIFS($Y$2:$Y$200,$G203)&gt;0,
    COUNTIFS($Z$2:$Z$200,$G203)&gt;0,
    COUNTIFS($AA$2:$AA$200,$G203)&gt;0,
    COUNTIFS($AB$2:$AB$200,$G203)&gt;0,
    COUNTIFS($AC$2:$AC$200,$G203)&gt;0,
    COUNTIFS($AD$2:$AD$200,$G203)&gt;0,
    COUNTIFS($AE$2:$AE$200,$G203)&gt;0,
    COUNTIFS($AF$2:$AF$200,$G203)&gt;0,
    COUNTIFS($AG$2:$AG$200,$G203)&gt;0,
    COUNTIFS($AH$2:$AH$200,$G203)&gt;0,
    COUNTIFS($AI$2:$AI$200,$G203)&gt;0,
    COUNTIFS($AJ$2:$AJ$200,$G203)&gt;0,
    COUNTIFS($AK$2:$AK$200,$G203)&gt;0,
    COUNTIFS($AL$2:$AL$200,$G203)&gt;0,
    COUNTIFS($AM$2:$AM$200,$G203)&gt;0,
    COUNTIFS($AN$2:$AN$200,$G203)&gt;0,
    COUNTIFS($AO$2:$AO$200,$G203)&gt;0,
    COUNTIFS($AP$2:$AP$200,$G203)&gt;0,
    COUNTIFS($AQ$2:$AQ$200,$G203)&gt;0,
    COUNTIFS($AR$2:$AR$200,$G203)&gt;0,
    COUNTIFS($AS$2:$AS$200,$G203)&gt;0,
    COUNTIFS($AT$2:$AT$200,$G203)&gt;0,
    COUNTIFS($AU$2:$AU$200,$G203)&gt;0,
    COUNTIFS($AV$2:$AV$200,$G203)&gt;0,
    COUNTIFS($AW$2:$AW$200,$G203)&gt;0,
    COUNTIFS($AX$2:$AX$200,$G203)&gt;0
   ),
  0)
 ),
"")</f>
        <v>Narset</v>
      </c>
      <c r="D203" s="3" t="str" cm="1">
        <f t="array" aca="1" ref="D203" ca="1">IFERROR(
 INDEX(
  _xlfn._xlws.FILTER($U$1:$AX$1,
   TRANSPOSE(
    CHOOSE({1;2;3;4;5;6;7;8;9;10;11;12;13;14;15;16;17;18;19;20;21;22;23;24;25;26;27;28;29;30},
     COUNTIFS($U$2:$U$200,$G203)&gt;0,
     COUNTIFS($V$2:$V$200,$G203)&gt;0,
     COUNTIFS($W$2:$W$200,$G203)&gt;0,
     COUNTIFS($X$2:$X$200,$G203)&gt;0,
     COUNTIFS($Y$2:$Y$200,$G203)&gt;0,
     COUNTIFS($Z$2:$Z$200,$G203)&gt;0,
     COUNTIFS($AA$2:$AA$200,$G203)&gt;0,
     COUNTIFS($AB$2:$AB$200,$G203)&gt;0,
     COUNTIFS($AC$2:$AC$200,$G203)&gt;0,
     COUNTIFS($AD$2:$AD$200,$G203)&gt;0,
     COUNTIFS($AE$2:$AE$200,$G203)&gt;0,
     COUNTIFS($AF$2:$AF$200,$G203)&gt;0,
     COUNTIFS($AG$2:$AG$200,$G203)&gt;0,
     COUNTIFS($AH$2:$AH$200,$G203)&gt;0,
     COUNTIFS($AI$2:$AI$200,$G203)&gt;0,
     COUNTIFS($AJ$2:$AJ$200,$G203)&gt;0,
     COUNTIFS($AK$2:$AK$200,$G203)&gt;0,
     COUNTIFS($AL$2:$AL$200,$G203)&gt;0,
     COUNTIFS($AM$2:$AM$200,$G203)&gt;0,
     COUNTIFS($AN$2:$AN$200,$G203)&gt;0,
     COUNTIFS($AO$2:$AO$200,$G203)&gt;0,
     COUNTIFS($AP$2:$AP$200,$G203)&gt;0,
     COUNTIFS($AQ$2:$AQ$200,$G203)&gt;0,
     COUNTIFS($AR$2:$AR$200,$G203)&gt;0,
     COUNTIFS($AS$2:$AS$200,$G203)&gt;0,
     COUNTIFS($AT$2:$AT$200,$G203)&gt;0,
     COUNTIFS($AU$2:$AU$200,$G203)&gt;0,
     COUNTIFS($AV$2:$AV$200,$G203)&gt;0,
     COUNTIFS($AW$2:$AW$200,$G203)&gt;0,
     COUNTIFS($AX$2:$AX$200,$G203)&gt;0
   )),
  ),
  2
 ),
"")</f>
        <v/>
      </c>
      <c r="E203" s="3" t="str" cm="1">
        <f t="array" aca="1" ref="E203" ca="1">IFERROR(
 INDEX(
  _xlfn._xlws.FILTER($U$1:$AX$1,
   TRANSPOSE(
    CHOOSE({1;2;3;4;5;6;7;8;9;10;11;12;13;14;15;16;17;18;19;20;21;22;23;24;25;26;27;28;29;30},
     COUNTIFS($U$2:$U$200,$G203)&gt;0,
     COUNTIFS($V$2:$V$200,$G203)&gt;0,
     COUNTIFS($W$2:$W$200,$G203)&gt;0,
     COUNTIFS($X$2:$X$200,$G203)&gt;0,
     COUNTIFS($Y$2:$Y$200,$G203)&gt;0,
     COUNTIFS($Z$2:$Z$200,$G203)&gt;0,
     COUNTIFS($AA$2:$AA$200,$G203)&gt;0,
     COUNTIFS($AB$2:$AB$200,$G203)&gt;0,
     COUNTIFS($AC$2:$AC$200,$G203)&gt;0,
     COUNTIFS($AD$2:$AD$200,$G203)&gt;0,
     COUNTIFS($AE$2:$AE$200,$G203)&gt;0,
     COUNTIFS($AF$2:$AF$200,$G203)&gt;0,
     COUNTIFS($AG$2:$AG$200,$G203)&gt;0,
     COUNTIFS($AH$2:$AH$200,$G203)&gt;0,
     COUNTIFS($AI$2:$AI$200,$G203)&gt;0,
     COUNTIFS($AJ$2:$AJ$200,$G203)&gt;0,
     COUNTIFS($AK$2:$AK$200,$G203)&gt;0,
     COUNTIFS($AL$2:$AL$200,$G203)&gt;0,
     COUNTIFS($AM$2:$AM$200,$G203)&gt;0,
     COUNTIFS($AN$2:$AN$200,$G203)&gt;0,
     COUNTIFS($AO$2:$AO$200,$G203)&gt;0,
     COUNTIFS($AP$2:$AP$200,$G203)&gt;0,
     COUNTIFS($AQ$2:$AQ$200,$G203)&gt;0,
     COUNTIFS($AR$2:$AR$200,$G203)&gt;0,
     COUNTIFS($AS$2:$AS$200,$G203)&gt;0,
     COUNTIFS($AT$2:$AT$200,$G203)&gt;0,
     COUNTIFS($AU$2:$AU$200,$G203)&gt;0,
     COUNTIFS($AV$2:$AV$200,$G203)&gt;0,
     COUNTIFS($AW$2:$AW$200,$G203)&gt;0,
     COUNTIFS($AX$2:$AX$200,$G203)&gt;0
   )),
  ),
  3
 ),
"")</f>
        <v/>
      </c>
      <c r="F203" s="3" t="str" cm="1">
        <f t="array" aca="1" ref="F203" ca="1">IFERROR(
 INDEX(
  _xlfn._xlws.FILTER($U$1:$AX$1,
   TRANSPOSE(
    CHOOSE({1;2;3;4;5;6;7;8;9;10;11;12;13;14;15;16;17;18;19;20;21;22;23;24;25;26;27;28;29;30},
     COUNTIFS($U$2:$U$200,$G203)&gt;0,
     COUNTIFS($V$2:$V$200,$G203)&gt;0,
     COUNTIFS($W$2:$W$200,$G203)&gt;0,
     COUNTIFS($X$2:$X$200,$G203)&gt;0,
     COUNTIFS($Y$2:$Y$200,$G203)&gt;0,
     COUNTIFS($Z$2:$Z$200,$G203)&gt;0,
     COUNTIFS($AA$2:$AA$200,$G203)&gt;0,
     COUNTIFS($AB$2:$AB$200,$G203)&gt;0,
     COUNTIFS($AC$2:$AC$200,$G203)&gt;0,
     COUNTIFS($AD$2:$AD$200,$G203)&gt;0,
     COUNTIFS($AE$2:$AE$200,$G203)&gt;0,
     COUNTIFS($AF$2:$AF$200,$G203)&gt;0,
     COUNTIFS($AG$2:$AG$200,$G203)&gt;0,
     COUNTIFS($AH$2:$AH$200,$G203)&gt;0,
     COUNTIFS($AI$2:$AI$200,$G203)&gt;0,
     COUNTIFS($AJ$2:$AJ$200,$G203)&gt;0,
     COUNTIFS($AK$2:$AK$200,$G203)&gt;0,
     COUNTIFS($AL$2:$AL$200,$G203)&gt;0,
     COUNTIFS($AM$2:$AM$200,$G203)&gt;0,
     COUNTIFS($AN$2:$AN$200,$G203)&gt;0,
     COUNTIFS($AO$2:$AO$200,$G203)&gt;0,
     COUNTIFS($AP$2:$AP$200,$G203)&gt;0,
     COUNTIFS($AQ$2:$AQ$200,$G203)&gt;0,
     COUNTIFS($AR$2:$AR$200,$G203)&gt;0,
     COUNTIFS($AS$2:$AS$200,$G203)&gt;0,
     COUNTIFS($AT$2:$AT$200,$G203)&gt;0,
     COUNTIFS($AU$2:$AU$200,$G203)&gt;0,
     COUNTIFS($AV$2:$AV$200,$G203)&gt;0,
     COUNTIFS($AW$2:$AW$200,$G203)&gt;0,
     COUNTIFS($AX$2:$AX$200,$G203)&gt;0
   )),
  ),
  4
 ),
"")</f>
        <v/>
      </c>
      <c r="G203" t="str">
        <f ca="1"/>
        <v>Psychic Corrosion</v>
      </c>
      <c r="CG203" t="str">
        <f ca="1"/>
        <v>Terrasymbiosis</v>
      </c>
      <c r="CJ203" t="str">
        <f ca="1"/>
        <v>Psychic Corrosion</v>
      </c>
    </row>
    <row r="204" spans="1:88" x14ac:dyDescent="0.25">
      <c r="A204" s="3" t="str">
        <f t="shared" ca="1" si="8"/>
        <v>2</v>
      </c>
      <c r="B204" s="3">
        <f t="shared" ca="1" si="9"/>
        <v>1</v>
      </c>
      <c r="C204" s="3" t="str">
        <f ca="1">IFERROR(
 INDEX($U$1:$AX$1,
  MATCH(TRUE,
   CHOOSE({1;2;3;4;5;6;7;8;9;10;11;12;13;14;15;16;17;18;19;20;21;22;23;24;25;26;27;28;29;30;31;32},
    COUNTIFS($U$2:$U$200,$G204)&gt;0,
    COUNTIFS($V$2:$V$200,$G204)&gt;0,
    COUNTIFS($W$2:$W$200,$G204)&gt;0,
    COUNTIFS($X$2:$X$200,$G204)&gt;0,
    COUNTIFS($Y$2:$Y$200,$G204)&gt;0,
    COUNTIFS($Z$2:$Z$200,$G204)&gt;0,
    COUNTIFS($AA$2:$AA$200,$G204)&gt;0,
    COUNTIFS($AB$2:$AB$200,$G204)&gt;0,
    COUNTIFS($AC$2:$AC$200,$G204)&gt;0,
    COUNTIFS($AD$2:$AD$200,$G204)&gt;0,
    COUNTIFS($AE$2:$AE$200,$G204)&gt;0,
    COUNTIFS($AF$2:$AF$200,$G204)&gt;0,
    COUNTIFS($AG$2:$AG$200,$G204)&gt;0,
    COUNTIFS($AH$2:$AH$200,$G204)&gt;0,
    COUNTIFS($AI$2:$AI$200,$G204)&gt;0,
    COUNTIFS($AJ$2:$AJ$200,$G204)&gt;0,
    COUNTIFS($AK$2:$AK$200,$G204)&gt;0,
    COUNTIFS($AL$2:$AL$200,$G204)&gt;0,
    COUNTIFS($AM$2:$AM$200,$G204)&gt;0,
    COUNTIFS($AN$2:$AN$200,$G204)&gt;0,
    COUNTIFS($AO$2:$AO$200,$G204)&gt;0,
    COUNTIFS($AP$2:$AP$200,$G204)&gt;0,
    COUNTIFS($AQ$2:$AQ$200,$G204)&gt;0,
    COUNTIFS($AR$2:$AR$200,$G204)&gt;0,
    COUNTIFS($AS$2:$AS$200,$G204)&gt;0,
    COUNTIFS($AT$2:$AT$200,$G204)&gt;0,
    COUNTIFS($AU$2:$AU$200,$G204)&gt;0,
    COUNTIFS($AV$2:$AV$200,$G204)&gt;0,
    COUNTIFS($AW$2:$AW$200,$G204)&gt;0,
    COUNTIFS($AX$2:$AX$200,$G204)&gt;0
   ),
  0)
 ),
"")</f>
        <v>Baylen</v>
      </c>
      <c r="D204" s="3" t="str" cm="1">
        <f t="array" aca="1" ref="D204" ca="1">IFERROR(
 INDEX(
  _xlfn._xlws.FILTER($U$1:$AX$1,
   TRANSPOSE(
    CHOOSE({1;2;3;4;5;6;7;8;9;10;11;12;13;14;15;16;17;18;19;20;21;22;23;24;25;26;27;28;29;30},
     COUNTIFS($U$2:$U$200,$G204)&gt;0,
     COUNTIFS($V$2:$V$200,$G204)&gt;0,
     COUNTIFS($W$2:$W$200,$G204)&gt;0,
     COUNTIFS($X$2:$X$200,$G204)&gt;0,
     COUNTIFS($Y$2:$Y$200,$G204)&gt;0,
     COUNTIFS($Z$2:$Z$200,$G204)&gt;0,
     COUNTIFS($AA$2:$AA$200,$G204)&gt;0,
     COUNTIFS($AB$2:$AB$200,$G204)&gt;0,
     COUNTIFS($AC$2:$AC$200,$G204)&gt;0,
     COUNTIFS($AD$2:$AD$200,$G204)&gt;0,
     COUNTIFS($AE$2:$AE$200,$G204)&gt;0,
     COUNTIFS($AF$2:$AF$200,$G204)&gt;0,
     COUNTIFS($AG$2:$AG$200,$G204)&gt;0,
     COUNTIFS($AH$2:$AH$200,$G204)&gt;0,
     COUNTIFS($AI$2:$AI$200,$G204)&gt;0,
     COUNTIFS($AJ$2:$AJ$200,$G204)&gt;0,
     COUNTIFS($AK$2:$AK$200,$G204)&gt;0,
     COUNTIFS($AL$2:$AL$200,$G204)&gt;0,
     COUNTIFS($AM$2:$AM$200,$G204)&gt;0,
     COUNTIFS($AN$2:$AN$200,$G204)&gt;0,
     COUNTIFS($AO$2:$AO$200,$G204)&gt;0,
     COUNTIFS($AP$2:$AP$200,$G204)&gt;0,
     COUNTIFS($AQ$2:$AQ$200,$G204)&gt;0,
     COUNTIFS($AR$2:$AR$200,$G204)&gt;0,
     COUNTIFS($AS$2:$AS$200,$G204)&gt;0,
     COUNTIFS($AT$2:$AT$200,$G204)&gt;0,
     COUNTIFS($AU$2:$AU$200,$G204)&gt;0,
     COUNTIFS($AV$2:$AV$200,$G204)&gt;0,
     COUNTIFS($AW$2:$AW$200,$G204)&gt;0,
     COUNTIFS($AX$2:$AX$200,$G204)&gt;0
   )),
  ),
  2
 ),
"")</f>
        <v/>
      </c>
      <c r="E204" s="3" t="str" cm="1">
        <f t="array" aca="1" ref="E204" ca="1">IFERROR(
 INDEX(
  _xlfn._xlws.FILTER($U$1:$AX$1,
   TRANSPOSE(
    CHOOSE({1;2;3;4;5;6;7;8;9;10;11;12;13;14;15;16;17;18;19;20;21;22;23;24;25;26;27;28;29;30},
     COUNTIFS($U$2:$U$200,$G204)&gt;0,
     COUNTIFS($V$2:$V$200,$G204)&gt;0,
     COUNTIFS($W$2:$W$200,$G204)&gt;0,
     COUNTIFS($X$2:$X$200,$G204)&gt;0,
     COUNTIFS($Y$2:$Y$200,$G204)&gt;0,
     COUNTIFS($Z$2:$Z$200,$G204)&gt;0,
     COUNTIFS($AA$2:$AA$200,$G204)&gt;0,
     COUNTIFS($AB$2:$AB$200,$G204)&gt;0,
     COUNTIFS($AC$2:$AC$200,$G204)&gt;0,
     COUNTIFS($AD$2:$AD$200,$G204)&gt;0,
     COUNTIFS($AE$2:$AE$200,$G204)&gt;0,
     COUNTIFS($AF$2:$AF$200,$G204)&gt;0,
     COUNTIFS($AG$2:$AG$200,$G204)&gt;0,
     COUNTIFS($AH$2:$AH$200,$G204)&gt;0,
     COUNTIFS($AI$2:$AI$200,$G204)&gt;0,
     COUNTIFS($AJ$2:$AJ$200,$G204)&gt;0,
     COUNTIFS($AK$2:$AK$200,$G204)&gt;0,
     COUNTIFS($AL$2:$AL$200,$G204)&gt;0,
     COUNTIFS($AM$2:$AM$200,$G204)&gt;0,
     COUNTIFS($AN$2:$AN$200,$G204)&gt;0,
     COUNTIFS($AO$2:$AO$200,$G204)&gt;0,
     COUNTIFS($AP$2:$AP$200,$G204)&gt;0,
     COUNTIFS($AQ$2:$AQ$200,$G204)&gt;0,
     COUNTIFS($AR$2:$AR$200,$G204)&gt;0,
     COUNTIFS($AS$2:$AS$200,$G204)&gt;0,
     COUNTIFS($AT$2:$AT$200,$G204)&gt;0,
     COUNTIFS($AU$2:$AU$200,$G204)&gt;0,
     COUNTIFS($AV$2:$AV$200,$G204)&gt;0,
     COUNTIFS($AW$2:$AW$200,$G204)&gt;0,
     COUNTIFS($AX$2:$AX$200,$G204)&gt;0
   )),
  ),
  3
 ),
"")</f>
        <v/>
      </c>
      <c r="F204" s="3" t="str" cm="1">
        <f t="array" aca="1" ref="F204" ca="1">IFERROR(
 INDEX(
  _xlfn._xlws.FILTER($U$1:$AX$1,
   TRANSPOSE(
    CHOOSE({1;2;3;4;5;6;7;8;9;10;11;12;13;14;15;16;17;18;19;20;21;22;23;24;25;26;27;28;29;30},
     COUNTIFS($U$2:$U$200,$G204)&gt;0,
     COUNTIFS($V$2:$V$200,$G204)&gt;0,
     COUNTIFS($W$2:$W$200,$G204)&gt;0,
     COUNTIFS($X$2:$X$200,$G204)&gt;0,
     COUNTIFS($Y$2:$Y$200,$G204)&gt;0,
     COUNTIFS($Z$2:$Z$200,$G204)&gt;0,
     COUNTIFS($AA$2:$AA$200,$G204)&gt;0,
     COUNTIFS($AB$2:$AB$200,$G204)&gt;0,
     COUNTIFS($AC$2:$AC$200,$G204)&gt;0,
     COUNTIFS($AD$2:$AD$200,$G204)&gt;0,
     COUNTIFS($AE$2:$AE$200,$G204)&gt;0,
     COUNTIFS($AF$2:$AF$200,$G204)&gt;0,
     COUNTIFS($AG$2:$AG$200,$G204)&gt;0,
     COUNTIFS($AH$2:$AH$200,$G204)&gt;0,
     COUNTIFS($AI$2:$AI$200,$G204)&gt;0,
     COUNTIFS($AJ$2:$AJ$200,$G204)&gt;0,
     COUNTIFS($AK$2:$AK$200,$G204)&gt;0,
     COUNTIFS($AL$2:$AL$200,$G204)&gt;0,
     COUNTIFS($AM$2:$AM$200,$G204)&gt;0,
     COUNTIFS($AN$2:$AN$200,$G204)&gt;0,
     COUNTIFS($AO$2:$AO$200,$G204)&gt;0,
     COUNTIFS($AP$2:$AP$200,$G204)&gt;0,
     COUNTIFS($AQ$2:$AQ$200,$G204)&gt;0,
     COUNTIFS($AR$2:$AR$200,$G204)&gt;0,
     COUNTIFS($AS$2:$AS$200,$G204)&gt;0,
     COUNTIFS($AT$2:$AT$200,$G204)&gt;0,
     COUNTIFS($AU$2:$AU$200,$G204)&gt;0,
     COUNTIFS($AV$2:$AV$200,$G204)&gt;0,
     COUNTIFS($AW$2:$AW$200,$G204)&gt;0,
     COUNTIFS($AX$2:$AX$200,$G204)&gt;0
   )),
  ),
  4
 ),
"")</f>
        <v/>
      </c>
      <c r="G204" t="str">
        <f ca="1"/>
        <v>Purphoros, God of the Forge</v>
      </c>
      <c r="CG204" t="str">
        <f ca="1"/>
        <v>The Indomitable</v>
      </c>
      <c r="CJ204" t="str">
        <f ca="1"/>
        <v>Purphoros, God of the Forge</v>
      </c>
    </row>
    <row r="205" spans="1:88" x14ac:dyDescent="0.25">
      <c r="A205" s="3" t="str">
        <f t="shared" ca="1" si="8"/>
        <v>4</v>
      </c>
      <c r="B205" s="3">
        <f t="shared" ca="1" si="9"/>
        <v>1</v>
      </c>
      <c r="C205" s="3" t="str">
        <f ca="1">IFERROR(
 INDEX($U$1:$AX$1,
  MATCH(TRUE,
   CHOOSE({1;2;3;4;5;6;7;8;9;10;11;12;13;14;15;16;17;18;19;20;21;22;23;24;25;26;27;28;29;30;31;32},
    COUNTIFS($U$2:$U$200,$G205)&gt;0,
    COUNTIFS($V$2:$V$200,$G205)&gt;0,
    COUNTIFS($W$2:$W$200,$G205)&gt;0,
    COUNTIFS($X$2:$X$200,$G205)&gt;0,
    COUNTIFS($Y$2:$Y$200,$G205)&gt;0,
    COUNTIFS($Z$2:$Z$200,$G205)&gt;0,
    COUNTIFS($AA$2:$AA$200,$G205)&gt;0,
    COUNTIFS($AB$2:$AB$200,$G205)&gt;0,
    COUNTIFS($AC$2:$AC$200,$G205)&gt;0,
    COUNTIFS($AD$2:$AD$200,$G205)&gt;0,
    COUNTIFS($AE$2:$AE$200,$G205)&gt;0,
    COUNTIFS($AF$2:$AF$200,$G205)&gt;0,
    COUNTIFS($AG$2:$AG$200,$G205)&gt;0,
    COUNTIFS($AH$2:$AH$200,$G205)&gt;0,
    COUNTIFS($AI$2:$AI$200,$G205)&gt;0,
    COUNTIFS($AJ$2:$AJ$200,$G205)&gt;0,
    COUNTIFS($AK$2:$AK$200,$G205)&gt;0,
    COUNTIFS($AL$2:$AL$200,$G205)&gt;0,
    COUNTIFS($AM$2:$AM$200,$G205)&gt;0,
    COUNTIFS($AN$2:$AN$200,$G205)&gt;0,
    COUNTIFS($AO$2:$AO$200,$G205)&gt;0,
    COUNTIFS($AP$2:$AP$200,$G205)&gt;0,
    COUNTIFS($AQ$2:$AQ$200,$G205)&gt;0,
    COUNTIFS($AR$2:$AR$200,$G205)&gt;0,
    COUNTIFS($AS$2:$AS$200,$G205)&gt;0,
    COUNTIFS($AT$2:$AT$200,$G205)&gt;0,
    COUNTIFS($AU$2:$AU$200,$G205)&gt;0,
    COUNTIFS($AV$2:$AV$200,$G205)&gt;0,
    COUNTIFS($AW$2:$AW$200,$G205)&gt;0,
    COUNTIFS($AX$2:$AX$200,$G205)&gt;0
   ),
  0)
 ),
"")</f>
        <v>Fractius</v>
      </c>
      <c r="D205" s="3" t="str" cm="1">
        <f t="array" aca="1" ref="D205" ca="1">IFERROR(
 INDEX(
  _xlfn._xlws.FILTER($U$1:$AX$1,
   TRANSPOSE(
    CHOOSE({1;2;3;4;5;6;7;8;9;10;11;12;13;14;15;16;17;18;19;20;21;22;23;24;25;26;27;28;29;30},
     COUNTIFS($U$2:$U$200,$G205)&gt;0,
     COUNTIFS($V$2:$V$200,$G205)&gt;0,
     COUNTIFS($W$2:$W$200,$G205)&gt;0,
     COUNTIFS($X$2:$X$200,$G205)&gt;0,
     COUNTIFS($Y$2:$Y$200,$G205)&gt;0,
     COUNTIFS($Z$2:$Z$200,$G205)&gt;0,
     COUNTIFS($AA$2:$AA$200,$G205)&gt;0,
     COUNTIFS($AB$2:$AB$200,$G205)&gt;0,
     COUNTIFS($AC$2:$AC$200,$G205)&gt;0,
     COUNTIFS($AD$2:$AD$200,$G205)&gt;0,
     COUNTIFS($AE$2:$AE$200,$G205)&gt;0,
     COUNTIFS($AF$2:$AF$200,$G205)&gt;0,
     COUNTIFS($AG$2:$AG$200,$G205)&gt;0,
     COUNTIFS($AH$2:$AH$200,$G205)&gt;0,
     COUNTIFS($AI$2:$AI$200,$G205)&gt;0,
     COUNTIFS($AJ$2:$AJ$200,$G205)&gt;0,
     COUNTIFS($AK$2:$AK$200,$G205)&gt;0,
     COUNTIFS($AL$2:$AL$200,$G205)&gt;0,
     COUNTIFS($AM$2:$AM$200,$G205)&gt;0,
     COUNTIFS($AN$2:$AN$200,$G205)&gt;0,
     COUNTIFS($AO$2:$AO$200,$G205)&gt;0,
     COUNTIFS($AP$2:$AP$200,$G205)&gt;0,
     COUNTIFS($AQ$2:$AQ$200,$G205)&gt;0,
     COUNTIFS($AR$2:$AR$200,$G205)&gt;0,
     COUNTIFS($AS$2:$AS$200,$G205)&gt;0,
     COUNTIFS($AT$2:$AT$200,$G205)&gt;0,
     COUNTIFS($AU$2:$AU$200,$G205)&gt;0,
     COUNTIFS($AV$2:$AV$200,$G205)&gt;0,
     COUNTIFS($AW$2:$AW$200,$G205)&gt;0,
     COUNTIFS($AX$2:$AX$200,$G205)&gt;0
   )),
  ),
  2
 ),
"")</f>
        <v/>
      </c>
      <c r="E205" s="3" t="str" cm="1">
        <f t="array" aca="1" ref="E205" ca="1">IFERROR(
 INDEX(
  _xlfn._xlws.FILTER($U$1:$AX$1,
   TRANSPOSE(
    CHOOSE({1;2;3;4;5;6;7;8;9;10;11;12;13;14;15;16;17;18;19;20;21;22;23;24;25;26;27;28;29;30},
     COUNTIFS($U$2:$U$200,$G205)&gt;0,
     COUNTIFS($V$2:$V$200,$G205)&gt;0,
     COUNTIFS($W$2:$W$200,$G205)&gt;0,
     COUNTIFS($X$2:$X$200,$G205)&gt;0,
     COUNTIFS($Y$2:$Y$200,$G205)&gt;0,
     COUNTIFS($Z$2:$Z$200,$G205)&gt;0,
     COUNTIFS($AA$2:$AA$200,$G205)&gt;0,
     COUNTIFS($AB$2:$AB$200,$G205)&gt;0,
     COUNTIFS($AC$2:$AC$200,$G205)&gt;0,
     COUNTIFS($AD$2:$AD$200,$G205)&gt;0,
     COUNTIFS($AE$2:$AE$200,$G205)&gt;0,
     COUNTIFS($AF$2:$AF$200,$G205)&gt;0,
     COUNTIFS($AG$2:$AG$200,$G205)&gt;0,
     COUNTIFS($AH$2:$AH$200,$G205)&gt;0,
     COUNTIFS($AI$2:$AI$200,$G205)&gt;0,
     COUNTIFS($AJ$2:$AJ$200,$G205)&gt;0,
     COUNTIFS($AK$2:$AK$200,$G205)&gt;0,
     COUNTIFS($AL$2:$AL$200,$G205)&gt;0,
     COUNTIFS($AM$2:$AM$200,$G205)&gt;0,
     COUNTIFS($AN$2:$AN$200,$G205)&gt;0,
     COUNTIFS($AO$2:$AO$200,$G205)&gt;0,
     COUNTIFS($AP$2:$AP$200,$G205)&gt;0,
     COUNTIFS($AQ$2:$AQ$200,$G205)&gt;0,
     COUNTIFS($AR$2:$AR$200,$G205)&gt;0,
     COUNTIFS($AS$2:$AS$200,$G205)&gt;0,
     COUNTIFS($AT$2:$AT$200,$G205)&gt;0,
     COUNTIFS($AU$2:$AU$200,$G205)&gt;0,
     COUNTIFS($AV$2:$AV$200,$G205)&gt;0,
     COUNTIFS($AW$2:$AW$200,$G205)&gt;0,
     COUNTIFS($AX$2:$AX$200,$G205)&gt;0
   )),
  ),
  3
 ),
"")</f>
        <v/>
      </c>
      <c r="F205" s="3" t="str" cm="1">
        <f t="array" aca="1" ref="F205" ca="1">IFERROR(
 INDEX(
  _xlfn._xlws.FILTER($U$1:$AX$1,
   TRANSPOSE(
    CHOOSE({1;2;3;4;5;6;7;8;9;10;11;12;13;14;15;16;17;18;19;20;21;22;23;24;25;26;27;28;29;30},
     COUNTIFS($U$2:$U$200,$G205)&gt;0,
     COUNTIFS($V$2:$V$200,$G205)&gt;0,
     COUNTIFS($W$2:$W$200,$G205)&gt;0,
     COUNTIFS($X$2:$X$200,$G205)&gt;0,
     COUNTIFS($Y$2:$Y$200,$G205)&gt;0,
     COUNTIFS($Z$2:$Z$200,$G205)&gt;0,
     COUNTIFS($AA$2:$AA$200,$G205)&gt;0,
     COUNTIFS($AB$2:$AB$200,$G205)&gt;0,
     COUNTIFS($AC$2:$AC$200,$G205)&gt;0,
     COUNTIFS($AD$2:$AD$200,$G205)&gt;0,
     COUNTIFS($AE$2:$AE$200,$G205)&gt;0,
     COUNTIFS($AF$2:$AF$200,$G205)&gt;0,
     COUNTIFS($AG$2:$AG$200,$G205)&gt;0,
     COUNTIFS($AH$2:$AH$200,$G205)&gt;0,
     COUNTIFS($AI$2:$AI$200,$G205)&gt;0,
     COUNTIFS($AJ$2:$AJ$200,$G205)&gt;0,
     COUNTIFS($AK$2:$AK$200,$G205)&gt;0,
     COUNTIFS($AL$2:$AL$200,$G205)&gt;0,
     COUNTIFS($AM$2:$AM$200,$G205)&gt;0,
     COUNTIFS($AN$2:$AN$200,$G205)&gt;0,
     COUNTIFS($AO$2:$AO$200,$G205)&gt;0,
     COUNTIFS($AP$2:$AP$200,$G205)&gt;0,
     COUNTIFS($AQ$2:$AQ$200,$G205)&gt;0,
     COUNTIFS($AR$2:$AR$200,$G205)&gt;0,
     COUNTIFS($AS$2:$AS$200,$G205)&gt;0,
     COUNTIFS($AT$2:$AT$200,$G205)&gt;0,
     COUNTIFS($AU$2:$AU$200,$G205)&gt;0,
     COUNTIFS($AV$2:$AV$200,$G205)&gt;0,
     COUNTIFS($AW$2:$AW$200,$G205)&gt;0,
     COUNTIFS($AX$2:$AX$200,$G205)&gt;0
   )),
  ),
  4
 ),
"")</f>
        <v/>
      </c>
      <c r="G205" t="str">
        <f ca="1"/>
        <v>Raffine's Tower</v>
      </c>
      <c r="CG205" t="str">
        <f ca="1"/>
        <v>The Mycosynth Gardens</v>
      </c>
      <c r="CJ205" t="str">
        <f ca="1"/>
        <v>Raffine's Tower</v>
      </c>
    </row>
    <row r="206" spans="1:88" x14ac:dyDescent="0.25">
      <c r="A206" s="3" t="str">
        <f t="shared" ca="1" si="8"/>
        <v>4</v>
      </c>
      <c r="B206" s="3">
        <f t="shared" ca="1" si="9"/>
        <v>1</v>
      </c>
      <c r="C206" s="3" t="str">
        <f ca="1">IFERROR(
 INDEX($U$1:$AX$1,
  MATCH(TRUE,
   CHOOSE({1;2;3;4;5;6;7;8;9;10;11;12;13;14;15;16;17;18;19;20;21;22;23;24;25;26;27;28;29;30;31;32},
    COUNTIFS($U$2:$U$200,$G206)&gt;0,
    COUNTIFS($V$2:$V$200,$G206)&gt;0,
    COUNTIFS($W$2:$W$200,$G206)&gt;0,
    COUNTIFS($X$2:$X$200,$G206)&gt;0,
    COUNTIFS($Y$2:$Y$200,$G206)&gt;0,
    COUNTIFS($Z$2:$Z$200,$G206)&gt;0,
    COUNTIFS($AA$2:$AA$200,$G206)&gt;0,
    COUNTIFS($AB$2:$AB$200,$G206)&gt;0,
    COUNTIFS($AC$2:$AC$200,$G206)&gt;0,
    COUNTIFS($AD$2:$AD$200,$G206)&gt;0,
    COUNTIFS($AE$2:$AE$200,$G206)&gt;0,
    COUNTIFS($AF$2:$AF$200,$G206)&gt;0,
    COUNTIFS($AG$2:$AG$200,$G206)&gt;0,
    COUNTIFS($AH$2:$AH$200,$G206)&gt;0,
    COUNTIFS($AI$2:$AI$200,$G206)&gt;0,
    COUNTIFS($AJ$2:$AJ$200,$G206)&gt;0,
    COUNTIFS($AK$2:$AK$200,$G206)&gt;0,
    COUNTIFS($AL$2:$AL$200,$G206)&gt;0,
    COUNTIFS($AM$2:$AM$200,$G206)&gt;0,
    COUNTIFS($AN$2:$AN$200,$G206)&gt;0,
    COUNTIFS($AO$2:$AO$200,$G206)&gt;0,
    COUNTIFS($AP$2:$AP$200,$G206)&gt;0,
    COUNTIFS($AQ$2:$AQ$200,$G206)&gt;0,
    COUNTIFS($AR$2:$AR$200,$G206)&gt;0,
    COUNTIFS($AS$2:$AS$200,$G206)&gt;0,
    COUNTIFS($AT$2:$AT$200,$G206)&gt;0,
    COUNTIFS($AU$2:$AU$200,$G206)&gt;0,
    COUNTIFS($AV$2:$AV$200,$G206)&gt;0,
    COUNTIFS($AW$2:$AW$200,$G206)&gt;0,
    COUNTIFS($AX$2:$AX$200,$G206)&gt;0
   ),
  0)
 ),
"")</f>
        <v>Kresh</v>
      </c>
      <c r="D206" s="3" t="str" cm="1">
        <f t="array" aca="1" ref="D206" ca="1">IFERROR(
 INDEX(
  _xlfn._xlws.FILTER($U$1:$AX$1,
   TRANSPOSE(
    CHOOSE({1;2;3;4;5;6;7;8;9;10;11;12;13;14;15;16;17;18;19;20;21;22;23;24;25;26;27;28;29;30},
     COUNTIFS($U$2:$U$200,$G206)&gt;0,
     COUNTIFS($V$2:$V$200,$G206)&gt;0,
     COUNTIFS($W$2:$W$200,$G206)&gt;0,
     COUNTIFS($X$2:$X$200,$G206)&gt;0,
     COUNTIFS($Y$2:$Y$200,$G206)&gt;0,
     COUNTIFS($Z$2:$Z$200,$G206)&gt;0,
     COUNTIFS($AA$2:$AA$200,$G206)&gt;0,
     COUNTIFS($AB$2:$AB$200,$G206)&gt;0,
     COUNTIFS($AC$2:$AC$200,$G206)&gt;0,
     COUNTIFS($AD$2:$AD$200,$G206)&gt;0,
     COUNTIFS($AE$2:$AE$200,$G206)&gt;0,
     COUNTIFS($AF$2:$AF$200,$G206)&gt;0,
     COUNTIFS($AG$2:$AG$200,$G206)&gt;0,
     COUNTIFS($AH$2:$AH$200,$G206)&gt;0,
     COUNTIFS($AI$2:$AI$200,$G206)&gt;0,
     COUNTIFS($AJ$2:$AJ$200,$G206)&gt;0,
     COUNTIFS($AK$2:$AK$200,$G206)&gt;0,
     COUNTIFS($AL$2:$AL$200,$G206)&gt;0,
     COUNTIFS($AM$2:$AM$200,$G206)&gt;0,
     COUNTIFS($AN$2:$AN$200,$G206)&gt;0,
     COUNTIFS($AO$2:$AO$200,$G206)&gt;0,
     COUNTIFS($AP$2:$AP$200,$G206)&gt;0,
     COUNTIFS($AQ$2:$AQ$200,$G206)&gt;0,
     COUNTIFS($AR$2:$AR$200,$G206)&gt;0,
     COUNTIFS($AS$2:$AS$200,$G206)&gt;0,
     COUNTIFS($AT$2:$AT$200,$G206)&gt;0,
     COUNTIFS($AU$2:$AU$200,$G206)&gt;0,
     COUNTIFS($AV$2:$AV$200,$G206)&gt;0,
     COUNTIFS($AW$2:$AW$200,$G206)&gt;0,
     COUNTIFS($AX$2:$AX$200,$G206)&gt;0
   )),
  ),
  2
 ),
"")</f>
        <v/>
      </c>
      <c r="E206" s="3" t="str" cm="1">
        <f t="array" aca="1" ref="E206" ca="1">IFERROR(
 INDEX(
  _xlfn._xlws.FILTER($U$1:$AX$1,
   TRANSPOSE(
    CHOOSE({1;2;3;4;5;6;7;8;9;10;11;12;13;14;15;16;17;18;19;20;21;22;23;24;25;26;27;28;29;30},
     COUNTIFS($U$2:$U$200,$G206)&gt;0,
     COUNTIFS($V$2:$V$200,$G206)&gt;0,
     COUNTIFS($W$2:$W$200,$G206)&gt;0,
     COUNTIFS($X$2:$X$200,$G206)&gt;0,
     COUNTIFS($Y$2:$Y$200,$G206)&gt;0,
     COUNTIFS($Z$2:$Z$200,$G206)&gt;0,
     COUNTIFS($AA$2:$AA$200,$G206)&gt;0,
     COUNTIFS($AB$2:$AB$200,$G206)&gt;0,
     COUNTIFS($AC$2:$AC$200,$G206)&gt;0,
     COUNTIFS($AD$2:$AD$200,$G206)&gt;0,
     COUNTIFS($AE$2:$AE$200,$G206)&gt;0,
     COUNTIFS($AF$2:$AF$200,$G206)&gt;0,
     COUNTIFS($AG$2:$AG$200,$G206)&gt;0,
     COUNTIFS($AH$2:$AH$200,$G206)&gt;0,
     COUNTIFS($AI$2:$AI$200,$G206)&gt;0,
     COUNTIFS($AJ$2:$AJ$200,$G206)&gt;0,
     COUNTIFS($AK$2:$AK$200,$G206)&gt;0,
     COUNTIFS($AL$2:$AL$200,$G206)&gt;0,
     COUNTIFS($AM$2:$AM$200,$G206)&gt;0,
     COUNTIFS($AN$2:$AN$200,$G206)&gt;0,
     COUNTIFS($AO$2:$AO$200,$G206)&gt;0,
     COUNTIFS($AP$2:$AP$200,$G206)&gt;0,
     COUNTIFS($AQ$2:$AQ$200,$G206)&gt;0,
     COUNTIFS($AR$2:$AR$200,$G206)&gt;0,
     COUNTIFS($AS$2:$AS$200,$G206)&gt;0,
     COUNTIFS($AT$2:$AT$200,$G206)&gt;0,
     COUNTIFS($AU$2:$AU$200,$G206)&gt;0,
     COUNTIFS($AV$2:$AV$200,$G206)&gt;0,
     COUNTIFS($AW$2:$AW$200,$G206)&gt;0,
     COUNTIFS($AX$2:$AX$200,$G206)&gt;0
   )),
  ),
  3
 ),
"")</f>
        <v/>
      </c>
      <c r="F206" s="3" t="str" cm="1">
        <f t="array" aca="1" ref="F206" ca="1">IFERROR(
 INDEX(
  _xlfn._xlws.FILTER($U$1:$AX$1,
   TRANSPOSE(
    CHOOSE({1;2;3;4;5;6;7;8;9;10;11;12;13;14;15;16;17;18;19;20;21;22;23;24;25;26;27;28;29;30},
     COUNTIFS($U$2:$U$200,$G206)&gt;0,
     COUNTIFS($V$2:$V$200,$G206)&gt;0,
     COUNTIFS($W$2:$W$200,$G206)&gt;0,
     COUNTIFS($X$2:$X$200,$G206)&gt;0,
     COUNTIFS($Y$2:$Y$200,$G206)&gt;0,
     COUNTIFS($Z$2:$Z$200,$G206)&gt;0,
     COUNTIFS($AA$2:$AA$200,$G206)&gt;0,
     COUNTIFS($AB$2:$AB$200,$G206)&gt;0,
     COUNTIFS($AC$2:$AC$200,$G206)&gt;0,
     COUNTIFS($AD$2:$AD$200,$G206)&gt;0,
     COUNTIFS($AE$2:$AE$200,$G206)&gt;0,
     COUNTIFS($AF$2:$AF$200,$G206)&gt;0,
     COUNTIFS($AG$2:$AG$200,$G206)&gt;0,
     COUNTIFS($AH$2:$AH$200,$G206)&gt;0,
     COUNTIFS($AI$2:$AI$200,$G206)&gt;0,
     COUNTIFS($AJ$2:$AJ$200,$G206)&gt;0,
     COUNTIFS($AK$2:$AK$200,$G206)&gt;0,
     COUNTIFS($AL$2:$AL$200,$G206)&gt;0,
     COUNTIFS($AM$2:$AM$200,$G206)&gt;0,
     COUNTIFS($AN$2:$AN$200,$G206)&gt;0,
     COUNTIFS($AO$2:$AO$200,$G206)&gt;0,
     COUNTIFS($AP$2:$AP$200,$G206)&gt;0,
     COUNTIFS($AQ$2:$AQ$200,$G206)&gt;0,
     COUNTIFS($AR$2:$AR$200,$G206)&gt;0,
     COUNTIFS($AS$2:$AS$200,$G206)&gt;0,
     COUNTIFS($AT$2:$AT$200,$G206)&gt;0,
     COUNTIFS($AU$2:$AU$200,$G206)&gt;0,
     COUNTIFS($AV$2:$AV$200,$G206)&gt;0,
     COUNTIFS($AW$2:$AW$200,$G206)&gt;0,
     COUNTIFS($AX$2:$AX$200,$G206)&gt;0
   )),
  ),
  4
 ),
"")</f>
        <v/>
      </c>
      <c r="G206" t="str">
        <f ca="1"/>
        <v>Red XIII, Proud Warrior</v>
      </c>
      <c r="CG206" t="str">
        <f ca="1"/>
        <v>The Shire</v>
      </c>
      <c r="CJ206" t="str">
        <f ca="1"/>
        <v>Red XIII, Proud Warrior</v>
      </c>
    </row>
    <row r="207" spans="1:88" x14ac:dyDescent="0.25">
      <c r="A207" s="3" t="str">
        <f t="shared" ca="1" si="8"/>
        <v>5</v>
      </c>
      <c r="B207" s="3">
        <f t="shared" ca="1" si="9"/>
        <v>1</v>
      </c>
      <c r="C207" s="3" t="str">
        <f ca="1">IFERROR(
 INDEX($U$1:$AX$1,
  MATCH(TRUE,
   CHOOSE({1;2;3;4;5;6;7;8;9;10;11;12;13;14;15;16;17;18;19;20;21;22;23;24;25;26;27;28;29;30;31;32},
    COUNTIFS($U$2:$U$200,$G207)&gt;0,
    COUNTIFS($V$2:$V$200,$G207)&gt;0,
    COUNTIFS($W$2:$W$200,$G207)&gt;0,
    COUNTIFS($X$2:$X$200,$G207)&gt;0,
    COUNTIFS($Y$2:$Y$200,$G207)&gt;0,
    COUNTIFS($Z$2:$Z$200,$G207)&gt;0,
    COUNTIFS($AA$2:$AA$200,$G207)&gt;0,
    COUNTIFS($AB$2:$AB$200,$G207)&gt;0,
    COUNTIFS($AC$2:$AC$200,$G207)&gt;0,
    COUNTIFS($AD$2:$AD$200,$G207)&gt;0,
    COUNTIFS($AE$2:$AE$200,$G207)&gt;0,
    COUNTIFS($AF$2:$AF$200,$G207)&gt;0,
    COUNTIFS($AG$2:$AG$200,$G207)&gt;0,
    COUNTIFS($AH$2:$AH$200,$G207)&gt;0,
    COUNTIFS($AI$2:$AI$200,$G207)&gt;0,
    COUNTIFS($AJ$2:$AJ$200,$G207)&gt;0,
    COUNTIFS($AK$2:$AK$200,$G207)&gt;0,
    COUNTIFS($AL$2:$AL$200,$G207)&gt;0,
    COUNTIFS($AM$2:$AM$200,$G207)&gt;0,
    COUNTIFS($AN$2:$AN$200,$G207)&gt;0,
    COUNTIFS($AO$2:$AO$200,$G207)&gt;0,
    COUNTIFS($AP$2:$AP$200,$G207)&gt;0,
    COUNTIFS($AQ$2:$AQ$200,$G207)&gt;0,
    COUNTIFS($AR$2:$AR$200,$G207)&gt;0,
    COUNTIFS($AS$2:$AS$200,$G207)&gt;0,
    COUNTIFS($AT$2:$AT$200,$G207)&gt;0,
    COUNTIFS($AU$2:$AU$200,$G207)&gt;0,
    COUNTIFS($AV$2:$AV$200,$G207)&gt;0,
    COUNTIFS($AW$2:$AW$200,$G207)&gt;0,
    COUNTIFS($AX$2:$AX$200,$G207)&gt;0
   ),
  0)
 ),
"")</f>
        <v>Breya</v>
      </c>
      <c r="D207" s="3" t="str" cm="1">
        <f t="array" aca="1" ref="D207" ca="1">IFERROR(
 INDEX(
  _xlfn._xlws.FILTER($U$1:$AX$1,
   TRANSPOSE(
    CHOOSE({1;2;3;4;5;6;7;8;9;10;11;12;13;14;15;16;17;18;19;20;21;22;23;24;25;26;27;28;29;30},
     COUNTIFS($U$2:$U$200,$G207)&gt;0,
     COUNTIFS($V$2:$V$200,$G207)&gt;0,
     COUNTIFS($W$2:$W$200,$G207)&gt;0,
     COUNTIFS($X$2:$X$200,$G207)&gt;0,
     COUNTIFS($Y$2:$Y$200,$G207)&gt;0,
     COUNTIFS($Z$2:$Z$200,$G207)&gt;0,
     COUNTIFS($AA$2:$AA$200,$G207)&gt;0,
     COUNTIFS($AB$2:$AB$200,$G207)&gt;0,
     COUNTIFS($AC$2:$AC$200,$G207)&gt;0,
     COUNTIFS($AD$2:$AD$200,$G207)&gt;0,
     COUNTIFS($AE$2:$AE$200,$G207)&gt;0,
     COUNTIFS($AF$2:$AF$200,$G207)&gt;0,
     COUNTIFS($AG$2:$AG$200,$G207)&gt;0,
     COUNTIFS($AH$2:$AH$200,$G207)&gt;0,
     COUNTIFS($AI$2:$AI$200,$G207)&gt;0,
     COUNTIFS($AJ$2:$AJ$200,$G207)&gt;0,
     COUNTIFS($AK$2:$AK$200,$G207)&gt;0,
     COUNTIFS($AL$2:$AL$200,$G207)&gt;0,
     COUNTIFS($AM$2:$AM$200,$G207)&gt;0,
     COUNTIFS($AN$2:$AN$200,$G207)&gt;0,
     COUNTIFS($AO$2:$AO$200,$G207)&gt;0,
     COUNTIFS($AP$2:$AP$200,$G207)&gt;0,
     COUNTIFS($AQ$2:$AQ$200,$G207)&gt;0,
     COUNTIFS($AR$2:$AR$200,$G207)&gt;0,
     COUNTIFS($AS$2:$AS$200,$G207)&gt;0,
     COUNTIFS($AT$2:$AT$200,$G207)&gt;0,
     COUNTIFS($AU$2:$AU$200,$G207)&gt;0,
     COUNTIFS($AV$2:$AV$200,$G207)&gt;0,
     COUNTIFS($AW$2:$AW$200,$G207)&gt;0,
     COUNTIFS($AX$2:$AX$200,$G207)&gt;0
   )),
  ),
  2
 ),
"")</f>
        <v/>
      </c>
      <c r="E207" s="3" t="str" cm="1">
        <f t="array" aca="1" ref="E207" ca="1">IFERROR(
 INDEX(
  _xlfn._xlws.FILTER($U$1:$AX$1,
   TRANSPOSE(
    CHOOSE({1;2;3;4;5;6;7;8;9;10;11;12;13;14;15;16;17;18;19;20;21;22;23;24;25;26;27;28;29;30},
     COUNTIFS($U$2:$U$200,$G207)&gt;0,
     COUNTIFS($V$2:$V$200,$G207)&gt;0,
     COUNTIFS($W$2:$W$200,$G207)&gt;0,
     COUNTIFS($X$2:$X$200,$G207)&gt;0,
     COUNTIFS($Y$2:$Y$200,$G207)&gt;0,
     COUNTIFS($Z$2:$Z$200,$G207)&gt;0,
     COUNTIFS($AA$2:$AA$200,$G207)&gt;0,
     COUNTIFS($AB$2:$AB$200,$G207)&gt;0,
     COUNTIFS($AC$2:$AC$200,$G207)&gt;0,
     COUNTIFS($AD$2:$AD$200,$G207)&gt;0,
     COUNTIFS($AE$2:$AE$200,$G207)&gt;0,
     COUNTIFS($AF$2:$AF$200,$G207)&gt;0,
     COUNTIFS($AG$2:$AG$200,$G207)&gt;0,
     COUNTIFS($AH$2:$AH$200,$G207)&gt;0,
     COUNTIFS($AI$2:$AI$200,$G207)&gt;0,
     COUNTIFS($AJ$2:$AJ$200,$G207)&gt;0,
     COUNTIFS($AK$2:$AK$200,$G207)&gt;0,
     COUNTIFS($AL$2:$AL$200,$G207)&gt;0,
     COUNTIFS($AM$2:$AM$200,$G207)&gt;0,
     COUNTIFS($AN$2:$AN$200,$G207)&gt;0,
     COUNTIFS($AO$2:$AO$200,$G207)&gt;0,
     COUNTIFS($AP$2:$AP$200,$G207)&gt;0,
     COUNTIFS($AQ$2:$AQ$200,$G207)&gt;0,
     COUNTIFS($AR$2:$AR$200,$G207)&gt;0,
     COUNTIFS($AS$2:$AS$200,$G207)&gt;0,
     COUNTIFS($AT$2:$AT$200,$G207)&gt;0,
     COUNTIFS($AU$2:$AU$200,$G207)&gt;0,
     COUNTIFS($AV$2:$AV$200,$G207)&gt;0,
     COUNTIFS($AW$2:$AW$200,$G207)&gt;0,
     COUNTIFS($AX$2:$AX$200,$G207)&gt;0
   )),
  ),
  3
 ),
"")</f>
        <v/>
      </c>
      <c r="F207" s="3" t="str" cm="1">
        <f t="array" aca="1" ref="F207" ca="1">IFERROR(
 INDEX(
  _xlfn._xlws.FILTER($U$1:$AX$1,
   TRANSPOSE(
    CHOOSE({1;2;3;4;5;6;7;8;9;10;11;12;13;14;15;16;17;18;19;20;21;22;23;24;25;26;27;28;29;30},
     COUNTIFS($U$2:$U$200,$G207)&gt;0,
     COUNTIFS($V$2:$V$200,$G207)&gt;0,
     COUNTIFS($W$2:$W$200,$G207)&gt;0,
     COUNTIFS($X$2:$X$200,$G207)&gt;0,
     COUNTIFS($Y$2:$Y$200,$G207)&gt;0,
     COUNTIFS($Z$2:$Z$200,$G207)&gt;0,
     COUNTIFS($AA$2:$AA$200,$G207)&gt;0,
     COUNTIFS($AB$2:$AB$200,$G207)&gt;0,
     COUNTIFS($AC$2:$AC$200,$G207)&gt;0,
     COUNTIFS($AD$2:$AD$200,$G207)&gt;0,
     COUNTIFS($AE$2:$AE$200,$G207)&gt;0,
     COUNTIFS($AF$2:$AF$200,$G207)&gt;0,
     COUNTIFS($AG$2:$AG$200,$G207)&gt;0,
     COUNTIFS($AH$2:$AH$200,$G207)&gt;0,
     COUNTIFS($AI$2:$AI$200,$G207)&gt;0,
     COUNTIFS($AJ$2:$AJ$200,$G207)&gt;0,
     COUNTIFS($AK$2:$AK$200,$G207)&gt;0,
     COUNTIFS($AL$2:$AL$200,$G207)&gt;0,
     COUNTIFS($AM$2:$AM$200,$G207)&gt;0,
     COUNTIFS($AN$2:$AN$200,$G207)&gt;0,
     COUNTIFS($AO$2:$AO$200,$G207)&gt;0,
     COUNTIFS($AP$2:$AP$200,$G207)&gt;0,
     COUNTIFS($AQ$2:$AQ$200,$G207)&gt;0,
     COUNTIFS($AR$2:$AR$200,$G207)&gt;0,
     COUNTIFS($AS$2:$AS$200,$G207)&gt;0,
     COUNTIFS($AT$2:$AT$200,$G207)&gt;0,
     COUNTIFS($AU$2:$AU$200,$G207)&gt;0,
     COUNTIFS($AV$2:$AV$200,$G207)&gt;0,
     COUNTIFS($AW$2:$AW$200,$G207)&gt;0,
     COUNTIFS($AX$2:$AX$200,$G207)&gt;0
   )),
  ),
  4
 ),
"")</f>
        <v/>
      </c>
      <c r="G207" t="str">
        <f ca="1"/>
        <v>Reflecting Pool</v>
      </c>
      <c r="CG207" t="str">
        <f ca="1"/>
        <v>The Tenth Doctor</v>
      </c>
      <c r="CJ207" t="str">
        <f ca="1"/>
        <v>Reflecting Pool</v>
      </c>
    </row>
    <row r="208" spans="1:88" x14ac:dyDescent="0.25">
      <c r="A208" s="3" t="str">
        <f t="shared" ca="1" si="8"/>
        <v>2</v>
      </c>
      <c r="B208" s="3">
        <f t="shared" ca="1" si="9"/>
        <v>1</v>
      </c>
      <c r="C208" s="3" t="str">
        <f ca="1">IFERROR(
 INDEX($U$1:$AX$1,
  MATCH(TRUE,
   CHOOSE({1;2;3;4;5;6;7;8;9;10;11;12;13;14;15;16;17;18;19;20;21;22;23;24;25;26;27;28;29;30;31;32},
    COUNTIFS($U$2:$U$200,$G208)&gt;0,
    COUNTIFS($V$2:$V$200,$G208)&gt;0,
    COUNTIFS($W$2:$W$200,$G208)&gt;0,
    COUNTIFS($X$2:$X$200,$G208)&gt;0,
    COUNTIFS($Y$2:$Y$200,$G208)&gt;0,
    COUNTIFS($Z$2:$Z$200,$G208)&gt;0,
    COUNTIFS($AA$2:$AA$200,$G208)&gt;0,
    COUNTIFS($AB$2:$AB$200,$G208)&gt;0,
    COUNTIFS($AC$2:$AC$200,$G208)&gt;0,
    COUNTIFS($AD$2:$AD$200,$G208)&gt;0,
    COUNTIFS($AE$2:$AE$200,$G208)&gt;0,
    COUNTIFS($AF$2:$AF$200,$G208)&gt;0,
    COUNTIFS($AG$2:$AG$200,$G208)&gt;0,
    COUNTIFS($AH$2:$AH$200,$G208)&gt;0,
    COUNTIFS($AI$2:$AI$200,$G208)&gt;0,
    COUNTIFS($AJ$2:$AJ$200,$G208)&gt;0,
    COUNTIFS($AK$2:$AK$200,$G208)&gt;0,
    COUNTIFS($AL$2:$AL$200,$G208)&gt;0,
    COUNTIFS($AM$2:$AM$200,$G208)&gt;0,
    COUNTIFS($AN$2:$AN$200,$G208)&gt;0,
    COUNTIFS($AO$2:$AO$200,$G208)&gt;0,
    COUNTIFS($AP$2:$AP$200,$G208)&gt;0,
    COUNTIFS($AQ$2:$AQ$200,$G208)&gt;0,
    COUNTIFS($AR$2:$AR$200,$G208)&gt;0,
    COUNTIFS($AS$2:$AS$200,$G208)&gt;0,
    COUNTIFS($AT$2:$AT$200,$G208)&gt;0,
    COUNTIFS($AU$2:$AU$200,$G208)&gt;0,
    COUNTIFS($AV$2:$AV$200,$G208)&gt;0,
    COUNTIFS($AW$2:$AW$200,$G208)&gt;0,
    COUNTIFS($AX$2:$AX$200,$G208)&gt;0
   ),
  0)
 ),
"")</f>
        <v>Narset</v>
      </c>
      <c r="D208" s="3" t="str" cm="1">
        <f t="array" aca="1" ref="D208" ca="1">IFERROR(
 INDEX(
  _xlfn._xlws.FILTER($U$1:$AX$1,
   TRANSPOSE(
    CHOOSE({1;2;3;4;5;6;7;8;9;10;11;12;13;14;15;16;17;18;19;20;21;22;23;24;25;26;27;28;29;30},
     COUNTIFS($U$2:$U$200,$G208)&gt;0,
     COUNTIFS($V$2:$V$200,$G208)&gt;0,
     COUNTIFS($W$2:$W$200,$G208)&gt;0,
     COUNTIFS($X$2:$X$200,$G208)&gt;0,
     COUNTIFS($Y$2:$Y$200,$G208)&gt;0,
     COUNTIFS($Z$2:$Z$200,$G208)&gt;0,
     COUNTIFS($AA$2:$AA$200,$G208)&gt;0,
     COUNTIFS($AB$2:$AB$200,$G208)&gt;0,
     COUNTIFS($AC$2:$AC$200,$G208)&gt;0,
     COUNTIFS($AD$2:$AD$200,$G208)&gt;0,
     COUNTIFS($AE$2:$AE$200,$G208)&gt;0,
     COUNTIFS($AF$2:$AF$200,$G208)&gt;0,
     COUNTIFS($AG$2:$AG$200,$G208)&gt;0,
     COUNTIFS($AH$2:$AH$200,$G208)&gt;0,
     COUNTIFS($AI$2:$AI$200,$G208)&gt;0,
     COUNTIFS($AJ$2:$AJ$200,$G208)&gt;0,
     COUNTIFS($AK$2:$AK$200,$G208)&gt;0,
     COUNTIFS($AL$2:$AL$200,$G208)&gt;0,
     COUNTIFS($AM$2:$AM$200,$G208)&gt;0,
     COUNTIFS($AN$2:$AN$200,$G208)&gt;0,
     COUNTIFS($AO$2:$AO$200,$G208)&gt;0,
     COUNTIFS($AP$2:$AP$200,$G208)&gt;0,
     COUNTIFS($AQ$2:$AQ$200,$G208)&gt;0,
     COUNTIFS($AR$2:$AR$200,$G208)&gt;0,
     COUNTIFS($AS$2:$AS$200,$G208)&gt;0,
     COUNTIFS($AT$2:$AT$200,$G208)&gt;0,
     COUNTIFS($AU$2:$AU$200,$G208)&gt;0,
     COUNTIFS($AV$2:$AV$200,$G208)&gt;0,
     COUNTIFS($AW$2:$AW$200,$G208)&gt;0,
     COUNTIFS($AX$2:$AX$200,$G208)&gt;0
   )),
  ),
  2
 ),
"")</f>
        <v/>
      </c>
      <c r="E208" s="3" t="str" cm="1">
        <f t="array" aca="1" ref="E208" ca="1">IFERROR(
 INDEX(
  _xlfn._xlws.FILTER($U$1:$AX$1,
   TRANSPOSE(
    CHOOSE({1;2;3;4;5;6;7;8;9;10;11;12;13;14;15;16;17;18;19;20;21;22;23;24;25;26;27;28;29;30},
     COUNTIFS($U$2:$U$200,$G208)&gt;0,
     COUNTIFS($V$2:$V$200,$G208)&gt;0,
     COUNTIFS($W$2:$W$200,$G208)&gt;0,
     COUNTIFS($X$2:$X$200,$G208)&gt;0,
     COUNTIFS($Y$2:$Y$200,$G208)&gt;0,
     COUNTIFS($Z$2:$Z$200,$G208)&gt;0,
     COUNTIFS($AA$2:$AA$200,$G208)&gt;0,
     COUNTIFS($AB$2:$AB$200,$G208)&gt;0,
     COUNTIFS($AC$2:$AC$200,$G208)&gt;0,
     COUNTIFS($AD$2:$AD$200,$G208)&gt;0,
     COUNTIFS($AE$2:$AE$200,$G208)&gt;0,
     COUNTIFS($AF$2:$AF$200,$G208)&gt;0,
     COUNTIFS($AG$2:$AG$200,$G208)&gt;0,
     COUNTIFS($AH$2:$AH$200,$G208)&gt;0,
     COUNTIFS($AI$2:$AI$200,$G208)&gt;0,
     COUNTIFS($AJ$2:$AJ$200,$G208)&gt;0,
     COUNTIFS($AK$2:$AK$200,$G208)&gt;0,
     COUNTIFS($AL$2:$AL$200,$G208)&gt;0,
     COUNTIFS($AM$2:$AM$200,$G208)&gt;0,
     COUNTIFS($AN$2:$AN$200,$G208)&gt;0,
     COUNTIFS($AO$2:$AO$200,$G208)&gt;0,
     COUNTIFS($AP$2:$AP$200,$G208)&gt;0,
     COUNTIFS($AQ$2:$AQ$200,$G208)&gt;0,
     COUNTIFS($AR$2:$AR$200,$G208)&gt;0,
     COUNTIFS($AS$2:$AS$200,$G208)&gt;0,
     COUNTIFS($AT$2:$AT$200,$G208)&gt;0,
     COUNTIFS($AU$2:$AU$200,$G208)&gt;0,
     COUNTIFS($AV$2:$AV$200,$G208)&gt;0,
     COUNTIFS($AW$2:$AW$200,$G208)&gt;0,
     COUNTIFS($AX$2:$AX$200,$G208)&gt;0
   )),
  ),
  3
 ),
"")</f>
        <v/>
      </c>
      <c r="F208" s="3" t="str" cm="1">
        <f t="array" aca="1" ref="F208" ca="1">IFERROR(
 INDEX(
  _xlfn._xlws.FILTER($U$1:$AX$1,
   TRANSPOSE(
    CHOOSE({1;2;3;4;5;6;7;8;9;10;11;12;13;14;15;16;17;18;19;20;21;22;23;24;25;26;27;28;29;30},
     COUNTIFS($U$2:$U$200,$G208)&gt;0,
     COUNTIFS($V$2:$V$200,$G208)&gt;0,
     COUNTIFS($W$2:$W$200,$G208)&gt;0,
     COUNTIFS($X$2:$X$200,$G208)&gt;0,
     COUNTIFS($Y$2:$Y$200,$G208)&gt;0,
     COUNTIFS($Z$2:$Z$200,$G208)&gt;0,
     COUNTIFS($AA$2:$AA$200,$G208)&gt;0,
     COUNTIFS($AB$2:$AB$200,$G208)&gt;0,
     COUNTIFS($AC$2:$AC$200,$G208)&gt;0,
     COUNTIFS($AD$2:$AD$200,$G208)&gt;0,
     COUNTIFS($AE$2:$AE$200,$G208)&gt;0,
     COUNTIFS($AF$2:$AF$200,$G208)&gt;0,
     COUNTIFS($AG$2:$AG$200,$G208)&gt;0,
     COUNTIFS($AH$2:$AH$200,$G208)&gt;0,
     COUNTIFS($AI$2:$AI$200,$G208)&gt;0,
     COUNTIFS($AJ$2:$AJ$200,$G208)&gt;0,
     COUNTIFS($AK$2:$AK$200,$G208)&gt;0,
     COUNTIFS($AL$2:$AL$200,$G208)&gt;0,
     COUNTIFS($AM$2:$AM$200,$G208)&gt;0,
     COUNTIFS($AN$2:$AN$200,$G208)&gt;0,
     COUNTIFS($AO$2:$AO$200,$G208)&gt;0,
     COUNTIFS($AP$2:$AP$200,$G208)&gt;0,
     COUNTIFS($AQ$2:$AQ$200,$G208)&gt;0,
     COUNTIFS($AR$2:$AR$200,$G208)&gt;0,
     COUNTIFS($AS$2:$AS$200,$G208)&gt;0,
     COUNTIFS($AT$2:$AT$200,$G208)&gt;0,
     COUNTIFS($AU$2:$AU$200,$G208)&gt;0,
     COUNTIFS($AV$2:$AV$200,$G208)&gt;0,
     COUNTIFS($AW$2:$AW$200,$G208)&gt;0,
     COUNTIFS($AX$2:$AX$200,$G208)&gt;0
   )),
  ),
  4
 ),
"")</f>
        <v/>
      </c>
      <c r="G208" t="str">
        <f ca="1"/>
        <v>Reforge the Soul</v>
      </c>
      <c r="CG208" t="str">
        <f ca="1"/>
        <v>The Water Crystal</v>
      </c>
      <c r="CJ208" t="str">
        <f ca="1"/>
        <v>Reforge the Soul</v>
      </c>
    </row>
    <row r="209" spans="1:88" x14ac:dyDescent="0.25">
      <c r="A209" s="3" t="str">
        <f t="shared" ca="1" si="8"/>
        <v>2</v>
      </c>
      <c r="B209" s="3">
        <f t="shared" ca="1" si="9"/>
        <v>1</v>
      </c>
      <c r="C209" s="3" t="str">
        <f ca="1">IFERROR(
 INDEX($U$1:$AX$1,
  MATCH(TRUE,
   CHOOSE({1;2;3;4;5;6;7;8;9;10;11;12;13;14;15;16;17;18;19;20;21;22;23;24;25;26;27;28;29;30;31;32},
    COUNTIFS($U$2:$U$200,$G209)&gt;0,
    COUNTIFS($V$2:$V$200,$G209)&gt;0,
    COUNTIFS($W$2:$W$200,$G209)&gt;0,
    COUNTIFS($X$2:$X$200,$G209)&gt;0,
    COUNTIFS($Y$2:$Y$200,$G209)&gt;0,
    COUNTIFS($Z$2:$Z$200,$G209)&gt;0,
    COUNTIFS($AA$2:$AA$200,$G209)&gt;0,
    COUNTIFS($AB$2:$AB$200,$G209)&gt;0,
    COUNTIFS($AC$2:$AC$200,$G209)&gt;0,
    COUNTIFS($AD$2:$AD$200,$G209)&gt;0,
    COUNTIFS($AE$2:$AE$200,$G209)&gt;0,
    COUNTIFS($AF$2:$AF$200,$G209)&gt;0,
    COUNTIFS($AG$2:$AG$200,$G209)&gt;0,
    COUNTIFS($AH$2:$AH$200,$G209)&gt;0,
    COUNTIFS($AI$2:$AI$200,$G209)&gt;0,
    COUNTIFS($AJ$2:$AJ$200,$G209)&gt;0,
    COUNTIFS($AK$2:$AK$200,$G209)&gt;0,
    COUNTIFS($AL$2:$AL$200,$G209)&gt;0,
    COUNTIFS($AM$2:$AM$200,$G209)&gt;0,
    COUNTIFS($AN$2:$AN$200,$G209)&gt;0,
    COUNTIFS($AO$2:$AO$200,$G209)&gt;0,
    COUNTIFS($AP$2:$AP$200,$G209)&gt;0,
    COUNTIFS($AQ$2:$AQ$200,$G209)&gt;0,
    COUNTIFS($AR$2:$AR$200,$G209)&gt;0,
    COUNTIFS($AS$2:$AS$200,$G209)&gt;0,
    COUNTIFS($AT$2:$AT$200,$G209)&gt;0,
    COUNTIFS($AU$2:$AU$200,$G209)&gt;0,
    COUNTIFS($AV$2:$AV$200,$G209)&gt;0,
    COUNTIFS($AW$2:$AW$200,$G209)&gt;0,
    COUNTIFS($AX$2:$AX$200,$G209)&gt;0
   ),
  0)
 ),
"")</f>
        <v>Narset</v>
      </c>
      <c r="D209" s="3" t="str" cm="1">
        <f t="array" aca="1" ref="D209" ca="1">IFERROR(
 INDEX(
  _xlfn._xlws.FILTER($U$1:$AX$1,
   TRANSPOSE(
    CHOOSE({1;2;3;4;5;6;7;8;9;10;11;12;13;14;15;16;17;18;19;20;21;22;23;24;25;26;27;28;29;30},
     COUNTIFS($U$2:$U$200,$G209)&gt;0,
     COUNTIFS($V$2:$V$200,$G209)&gt;0,
     COUNTIFS($W$2:$W$200,$G209)&gt;0,
     COUNTIFS($X$2:$X$200,$G209)&gt;0,
     COUNTIFS($Y$2:$Y$200,$G209)&gt;0,
     COUNTIFS($Z$2:$Z$200,$G209)&gt;0,
     COUNTIFS($AA$2:$AA$200,$G209)&gt;0,
     COUNTIFS($AB$2:$AB$200,$G209)&gt;0,
     COUNTIFS($AC$2:$AC$200,$G209)&gt;0,
     COUNTIFS($AD$2:$AD$200,$G209)&gt;0,
     COUNTIFS($AE$2:$AE$200,$G209)&gt;0,
     COUNTIFS($AF$2:$AF$200,$G209)&gt;0,
     COUNTIFS($AG$2:$AG$200,$G209)&gt;0,
     COUNTIFS($AH$2:$AH$200,$G209)&gt;0,
     COUNTIFS($AI$2:$AI$200,$G209)&gt;0,
     COUNTIFS($AJ$2:$AJ$200,$G209)&gt;0,
     COUNTIFS($AK$2:$AK$200,$G209)&gt;0,
     COUNTIFS($AL$2:$AL$200,$G209)&gt;0,
     COUNTIFS($AM$2:$AM$200,$G209)&gt;0,
     COUNTIFS($AN$2:$AN$200,$G209)&gt;0,
     COUNTIFS($AO$2:$AO$200,$G209)&gt;0,
     COUNTIFS($AP$2:$AP$200,$G209)&gt;0,
     COUNTIFS($AQ$2:$AQ$200,$G209)&gt;0,
     COUNTIFS($AR$2:$AR$200,$G209)&gt;0,
     COUNTIFS($AS$2:$AS$200,$G209)&gt;0,
     COUNTIFS($AT$2:$AT$200,$G209)&gt;0,
     COUNTIFS($AU$2:$AU$200,$G209)&gt;0,
     COUNTIFS($AV$2:$AV$200,$G209)&gt;0,
     COUNTIFS($AW$2:$AW$200,$G209)&gt;0,
     COUNTIFS($AX$2:$AX$200,$G209)&gt;0
   )),
  ),
  2
 ),
"")</f>
        <v/>
      </c>
      <c r="E209" s="3" t="str" cm="1">
        <f t="array" aca="1" ref="E209" ca="1">IFERROR(
 INDEX(
  _xlfn._xlws.FILTER($U$1:$AX$1,
   TRANSPOSE(
    CHOOSE({1;2;3;4;5;6;7;8;9;10;11;12;13;14;15;16;17;18;19;20;21;22;23;24;25;26;27;28;29;30},
     COUNTIFS($U$2:$U$200,$G209)&gt;0,
     COUNTIFS($V$2:$V$200,$G209)&gt;0,
     COUNTIFS($W$2:$W$200,$G209)&gt;0,
     COUNTIFS($X$2:$X$200,$G209)&gt;0,
     COUNTIFS($Y$2:$Y$200,$G209)&gt;0,
     COUNTIFS($Z$2:$Z$200,$G209)&gt;0,
     COUNTIFS($AA$2:$AA$200,$G209)&gt;0,
     COUNTIFS($AB$2:$AB$200,$G209)&gt;0,
     COUNTIFS($AC$2:$AC$200,$G209)&gt;0,
     COUNTIFS($AD$2:$AD$200,$G209)&gt;0,
     COUNTIFS($AE$2:$AE$200,$G209)&gt;0,
     COUNTIFS($AF$2:$AF$200,$G209)&gt;0,
     COUNTIFS($AG$2:$AG$200,$G209)&gt;0,
     COUNTIFS($AH$2:$AH$200,$G209)&gt;0,
     COUNTIFS($AI$2:$AI$200,$G209)&gt;0,
     COUNTIFS($AJ$2:$AJ$200,$G209)&gt;0,
     COUNTIFS($AK$2:$AK$200,$G209)&gt;0,
     COUNTIFS($AL$2:$AL$200,$G209)&gt;0,
     COUNTIFS($AM$2:$AM$200,$G209)&gt;0,
     COUNTIFS($AN$2:$AN$200,$G209)&gt;0,
     COUNTIFS($AO$2:$AO$200,$G209)&gt;0,
     COUNTIFS($AP$2:$AP$200,$G209)&gt;0,
     COUNTIFS($AQ$2:$AQ$200,$G209)&gt;0,
     COUNTIFS($AR$2:$AR$200,$G209)&gt;0,
     COUNTIFS($AS$2:$AS$200,$G209)&gt;0,
     COUNTIFS($AT$2:$AT$200,$G209)&gt;0,
     COUNTIFS($AU$2:$AU$200,$G209)&gt;0,
     COUNTIFS($AV$2:$AV$200,$G209)&gt;0,
     COUNTIFS($AW$2:$AW$200,$G209)&gt;0,
     COUNTIFS($AX$2:$AX$200,$G209)&gt;0
   )),
  ),
  3
 ),
"")</f>
        <v/>
      </c>
      <c r="F209" s="3" t="str" cm="1">
        <f t="array" aca="1" ref="F209" ca="1">IFERROR(
 INDEX(
  _xlfn._xlws.FILTER($U$1:$AX$1,
   TRANSPOSE(
    CHOOSE({1;2;3;4;5;6;7;8;9;10;11;12;13;14;15;16;17;18;19;20;21;22;23;24;25;26;27;28;29;30},
     COUNTIFS($U$2:$U$200,$G209)&gt;0,
     COUNTIFS($V$2:$V$200,$G209)&gt;0,
     COUNTIFS($W$2:$W$200,$G209)&gt;0,
     COUNTIFS($X$2:$X$200,$G209)&gt;0,
     COUNTIFS($Y$2:$Y$200,$G209)&gt;0,
     COUNTIFS($Z$2:$Z$200,$G209)&gt;0,
     COUNTIFS($AA$2:$AA$200,$G209)&gt;0,
     COUNTIFS($AB$2:$AB$200,$G209)&gt;0,
     COUNTIFS($AC$2:$AC$200,$G209)&gt;0,
     COUNTIFS($AD$2:$AD$200,$G209)&gt;0,
     COUNTIFS($AE$2:$AE$200,$G209)&gt;0,
     COUNTIFS($AF$2:$AF$200,$G209)&gt;0,
     COUNTIFS($AG$2:$AG$200,$G209)&gt;0,
     COUNTIFS($AH$2:$AH$200,$G209)&gt;0,
     COUNTIFS($AI$2:$AI$200,$G209)&gt;0,
     COUNTIFS($AJ$2:$AJ$200,$G209)&gt;0,
     COUNTIFS($AK$2:$AK$200,$G209)&gt;0,
     COUNTIFS($AL$2:$AL$200,$G209)&gt;0,
     COUNTIFS($AM$2:$AM$200,$G209)&gt;0,
     COUNTIFS($AN$2:$AN$200,$G209)&gt;0,
     COUNTIFS($AO$2:$AO$200,$G209)&gt;0,
     COUNTIFS($AP$2:$AP$200,$G209)&gt;0,
     COUNTIFS($AQ$2:$AQ$200,$G209)&gt;0,
     COUNTIFS($AR$2:$AR$200,$G209)&gt;0,
     COUNTIFS($AS$2:$AS$200,$G209)&gt;0,
     COUNTIFS($AT$2:$AT$200,$G209)&gt;0,
     COUNTIFS($AU$2:$AU$200,$G209)&gt;0,
     COUNTIFS($AV$2:$AV$200,$G209)&gt;0,
     COUNTIFS($AW$2:$AW$200,$G209)&gt;0,
     COUNTIFS($AX$2:$AX$200,$G209)&gt;0
   )),
  ),
  4
 ),
"")</f>
        <v/>
      </c>
      <c r="G209" t="str">
        <f ca="1"/>
        <v>Relentless Assault</v>
      </c>
      <c r="CG209" t="str">
        <f ca="1"/>
        <v>Thought Vessel</v>
      </c>
      <c r="CJ209" t="str">
        <f ca="1"/>
        <v>Relentless Assault</v>
      </c>
    </row>
    <row r="210" spans="1:88" x14ac:dyDescent="0.25">
      <c r="A210" s="3" t="str">
        <f t="shared" ca="1" si="8"/>
        <v>2</v>
      </c>
      <c r="B210" s="3">
        <f t="shared" ca="1" si="9"/>
        <v>4</v>
      </c>
      <c r="C210" s="3" t="str">
        <f ca="1">IFERROR(
 INDEX($U$1:$AX$1,
  MATCH(TRUE,
   CHOOSE({1;2;3;4;5;6;7;8;9;10;11;12;13;14;15;16;17;18;19;20;21;22;23;24;25;26;27;28;29;30;31;32},
    COUNTIFS($U$2:$U$200,$G210)&gt;0,
    COUNTIFS($V$2:$V$200,$G210)&gt;0,
    COUNTIFS($W$2:$W$200,$G210)&gt;0,
    COUNTIFS($X$2:$X$200,$G210)&gt;0,
    COUNTIFS($Y$2:$Y$200,$G210)&gt;0,
    COUNTIFS($Z$2:$Z$200,$G210)&gt;0,
    COUNTIFS($AA$2:$AA$200,$G210)&gt;0,
    COUNTIFS($AB$2:$AB$200,$G210)&gt;0,
    COUNTIFS($AC$2:$AC$200,$G210)&gt;0,
    COUNTIFS($AD$2:$AD$200,$G210)&gt;0,
    COUNTIFS($AE$2:$AE$200,$G210)&gt;0,
    COUNTIFS($AF$2:$AF$200,$G210)&gt;0,
    COUNTIFS($AG$2:$AG$200,$G210)&gt;0,
    COUNTIFS($AH$2:$AH$200,$G210)&gt;0,
    COUNTIFS($AI$2:$AI$200,$G210)&gt;0,
    COUNTIFS($AJ$2:$AJ$200,$G210)&gt;0,
    COUNTIFS($AK$2:$AK$200,$G210)&gt;0,
    COUNTIFS($AL$2:$AL$200,$G210)&gt;0,
    COUNTIFS($AM$2:$AM$200,$G210)&gt;0,
    COUNTIFS($AN$2:$AN$200,$G210)&gt;0,
    COUNTIFS($AO$2:$AO$200,$G210)&gt;0,
    COUNTIFS($AP$2:$AP$200,$G210)&gt;0,
    COUNTIFS($AQ$2:$AQ$200,$G210)&gt;0,
    COUNTIFS($AR$2:$AR$200,$G210)&gt;0,
    COUNTIFS($AS$2:$AS$200,$G210)&gt;0,
    COUNTIFS($AT$2:$AT$200,$G210)&gt;0,
    COUNTIFS($AU$2:$AU$200,$G210)&gt;0,
    COUNTIFS($AV$2:$AV$200,$G210)&gt;0,
    COUNTIFS($AW$2:$AW$200,$G210)&gt;0,
    COUNTIFS($AX$2:$AX$200,$G210)&gt;0
   ),
  0)
 ),
"")</f>
        <v>Piratas</v>
      </c>
      <c r="D210" s="3" t="str" cm="1">
        <f t="array" aca="1" ref="D210" ca="1">IFERROR(
 INDEX(
  _xlfn._xlws.FILTER($U$1:$AX$1,
   TRANSPOSE(
    CHOOSE({1;2;3;4;5;6;7;8;9;10;11;12;13;14;15;16;17;18;19;20;21;22;23;24;25;26;27;28;29;30},
     COUNTIFS($U$2:$U$200,$G210)&gt;0,
     COUNTIFS($V$2:$V$200,$G210)&gt;0,
     COUNTIFS($W$2:$W$200,$G210)&gt;0,
     COUNTIFS($X$2:$X$200,$G210)&gt;0,
     COUNTIFS($Y$2:$Y$200,$G210)&gt;0,
     COUNTIFS($Z$2:$Z$200,$G210)&gt;0,
     COUNTIFS($AA$2:$AA$200,$G210)&gt;0,
     COUNTIFS($AB$2:$AB$200,$G210)&gt;0,
     COUNTIFS($AC$2:$AC$200,$G210)&gt;0,
     COUNTIFS($AD$2:$AD$200,$G210)&gt;0,
     COUNTIFS($AE$2:$AE$200,$G210)&gt;0,
     COUNTIFS($AF$2:$AF$200,$G210)&gt;0,
     COUNTIFS($AG$2:$AG$200,$G210)&gt;0,
     COUNTIFS($AH$2:$AH$200,$G210)&gt;0,
     COUNTIFS($AI$2:$AI$200,$G210)&gt;0,
     COUNTIFS($AJ$2:$AJ$200,$G210)&gt;0,
     COUNTIFS($AK$2:$AK$200,$G210)&gt;0,
     COUNTIFS($AL$2:$AL$200,$G210)&gt;0,
     COUNTIFS($AM$2:$AM$200,$G210)&gt;0,
     COUNTIFS($AN$2:$AN$200,$G210)&gt;0,
     COUNTIFS($AO$2:$AO$200,$G210)&gt;0,
     COUNTIFS($AP$2:$AP$200,$G210)&gt;0,
     COUNTIFS($AQ$2:$AQ$200,$G210)&gt;0,
     COUNTIFS($AR$2:$AR$200,$G210)&gt;0,
     COUNTIFS($AS$2:$AS$200,$G210)&gt;0,
     COUNTIFS($AT$2:$AT$200,$G210)&gt;0,
     COUNTIFS($AU$2:$AU$200,$G210)&gt;0,
     COUNTIFS($AV$2:$AV$200,$G210)&gt;0,
     COUNTIFS($AW$2:$AW$200,$G210)&gt;0,
     COUNTIFS($AX$2:$AX$200,$G210)&gt;0
   )),
  ),
  2
 ),
"")</f>
        <v>Rani</v>
      </c>
      <c r="E210" s="3" t="str" cm="1">
        <f t="array" aca="1" ref="E210" ca="1">IFERROR(
 INDEX(
  _xlfn._xlws.FILTER($U$1:$AX$1,
   TRANSPOSE(
    CHOOSE({1;2;3;4;5;6;7;8;9;10;11;12;13;14;15;16;17;18;19;20;21;22;23;24;25;26;27;28;29;30},
     COUNTIFS($U$2:$U$200,$G210)&gt;0,
     COUNTIFS($V$2:$V$200,$G210)&gt;0,
     COUNTIFS($W$2:$W$200,$G210)&gt;0,
     COUNTIFS($X$2:$X$200,$G210)&gt;0,
     COUNTIFS($Y$2:$Y$200,$G210)&gt;0,
     COUNTIFS($Z$2:$Z$200,$G210)&gt;0,
     COUNTIFS($AA$2:$AA$200,$G210)&gt;0,
     COUNTIFS($AB$2:$AB$200,$G210)&gt;0,
     COUNTIFS($AC$2:$AC$200,$G210)&gt;0,
     COUNTIFS($AD$2:$AD$200,$G210)&gt;0,
     COUNTIFS($AE$2:$AE$200,$G210)&gt;0,
     COUNTIFS($AF$2:$AF$200,$G210)&gt;0,
     COUNTIFS($AG$2:$AG$200,$G210)&gt;0,
     COUNTIFS($AH$2:$AH$200,$G210)&gt;0,
     COUNTIFS($AI$2:$AI$200,$G210)&gt;0,
     COUNTIFS($AJ$2:$AJ$200,$G210)&gt;0,
     COUNTIFS($AK$2:$AK$200,$G210)&gt;0,
     COUNTIFS($AL$2:$AL$200,$G210)&gt;0,
     COUNTIFS($AM$2:$AM$200,$G210)&gt;0,
     COUNTIFS($AN$2:$AN$200,$G210)&gt;0,
     COUNTIFS($AO$2:$AO$200,$G210)&gt;0,
     COUNTIFS($AP$2:$AP$200,$G210)&gt;0,
     COUNTIFS($AQ$2:$AQ$200,$G210)&gt;0,
     COUNTIFS($AR$2:$AR$200,$G210)&gt;0,
     COUNTIFS($AS$2:$AS$200,$G210)&gt;0,
     COUNTIFS($AT$2:$AT$200,$G210)&gt;0,
     COUNTIFS($AU$2:$AU$200,$G210)&gt;0,
     COUNTIFS($AV$2:$AV$200,$G210)&gt;0,
     COUNTIFS($AW$2:$AW$200,$G210)&gt;0,
     COUNTIFS($AX$2:$AX$200,$G210)&gt;0
   )),
  ),
  3
 ),
"")</f>
        <v>Kumena</v>
      </c>
      <c r="F210" s="3" t="str" cm="1">
        <f t="array" aca="1" ref="F210" ca="1">IFERROR(
 INDEX(
  _xlfn._xlws.FILTER($U$1:$AX$1,
   TRANSPOSE(
    CHOOSE({1;2;3;4;5;6;7;8;9;10;11;12;13;14;15;16;17;18;19;20;21;22;23;24;25;26;27;28;29;30},
     COUNTIFS($U$2:$U$200,$G210)&gt;0,
     COUNTIFS($V$2:$V$200,$G210)&gt;0,
     COUNTIFS($W$2:$W$200,$G210)&gt;0,
     COUNTIFS($X$2:$X$200,$G210)&gt;0,
     COUNTIFS($Y$2:$Y$200,$G210)&gt;0,
     COUNTIFS($Z$2:$Z$200,$G210)&gt;0,
     COUNTIFS($AA$2:$AA$200,$G210)&gt;0,
     COUNTIFS($AB$2:$AB$200,$G210)&gt;0,
     COUNTIFS($AC$2:$AC$200,$G210)&gt;0,
     COUNTIFS($AD$2:$AD$200,$G210)&gt;0,
     COUNTIFS($AE$2:$AE$200,$G210)&gt;0,
     COUNTIFS($AF$2:$AF$200,$G210)&gt;0,
     COUNTIFS($AG$2:$AG$200,$G210)&gt;0,
     COUNTIFS($AH$2:$AH$200,$G210)&gt;0,
     COUNTIFS($AI$2:$AI$200,$G210)&gt;0,
     COUNTIFS($AJ$2:$AJ$200,$G210)&gt;0,
     COUNTIFS($AK$2:$AK$200,$G210)&gt;0,
     COUNTIFS($AL$2:$AL$200,$G210)&gt;0,
     COUNTIFS($AM$2:$AM$200,$G210)&gt;0,
     COUNTIFS($AN$2:$AN$200,$G210)&gt;0,
     COUNTIFS($AO$2:$AO$200,$G210)&gt;0,
     COUNTIFS($AP$2:$AP$200,$G210)&gt;0,
     COUNTIFS($AQ$2:$AQ$200,$G210)&gt;0,
     COUNTIFS($AR$2:$AR$200,$G210)&gt;0,
     COUNTIFS($AS$2:$AS$200,$G210)&gt;0,
     COUNTIFS($AT$2:$AT$200,$G210)&gt;0,
     COUNTIFS($AU$2:$AU$200,$G210)&gt;0,
     COUNTIFS($AV$2:$AV$200,$G210)&gt;0,
     COUNTIFS($AW$2:$AW$200,$G210)&gt;0,
     COUNTIFS($AX$2:$AX$200,$G210)&gt;0
   )),
  ),
  4
 ),
"")</f>
        <v>Inalla</v>
      </c>
      <c r="G210" t="str">
        <f ca="1"/>
        <v>Reliquary Tower</v>
      </c>
      <c r="CG210" t="str">
        <f ca="1"/>
        <v>Thousand-Year Elixir</v>
      </c>
      <c r="CJ210" t="str">
        <f ca="1"/>
        <v>Reliquary Tower</v>
      </c>
    </row>
    <row r="211" spans="1:88" x14ac:dyDescent="0.25">
      <c r="A211" s="3" t="str">
        <f t="shared" ca="1" si="8"/>
        <v>5</v>
      </c>
      <c r="B211" s="3">
        <f t="shared" ca="1" si="9"/>
        <v>1</v>
      </c>
      <c r="C211" s="3" t="str">
        <f ca="1">IFERROR(
 INDEX($U$1:$AX$1,
  MATCH(TRUE,
   CHOOSE({1;2;3;4;5;6;7;8;9;10;11;12;13;14;15;16;17;18;19;20;21;22;23;24;25;26;27;28;29;30;31;32},
    COUNTIFS($U$2:$U$200,$G211)&gt;0,
    COUNTIFS($V$2:$V$200,$G211)&gt;0,
    COUNTIFS($W$2:$W$200,$G211)&gt;0,
    COUNTIFS($X$2:$X$200,$G211)&gt;0,
    COUNTIFS($Y$2:$Y$200,$G211)&gt;0,
    COUNTIFS($Z$2:$Z$200,$G211)&gt;0,
    COUNTIFS($AA$2:$AA$200,$G211)&gt;0,
    COUNTIFS($AB$2:$AB$200,$G211)&gt;0,
    COUNTIFS($AC$2:$AC$200,$G211)&gt;0,
    COUNTIFS($AD$2:$AD$200,$G211)&gt;0,
    COUNTIFS($AE$2:$AE$200,$G211)&gt;0,
    COUNTIFS($AF$2:$AF$200,$G211)&gt;0,
    COUNTIFS($AG$2:$AG$200,$G211)&gt;0,
    COUNTIFS($AH$2:$AH$200,$G211)&gt;0,
    COUNTIFS($AI$2:$AI$200,$G211)&gt;0,
    COUNTIFS($AJ$2:$AJ$200,$G211)&gt;0,
    COUNTIFS($AK$2:$AK$200,$G211)&gt;0,
    COUNTIFS($AL$2:$AL$200,$G211)&gt;0,
    COUNTIFS($AM$2:$AM$200,$G211)&gt;0,
    COUNTIFS($AN$2:$AN$200,$G211)&gt;0,
    COUNTIFS($AO$2:$AO$200,$G211)&gt;0,
    COUNTIFS($AP$2:$AP$200,$G211)&gt;0,
    COUNTIFS($AQ$2:$AQ$200,$G211)&gt;0,
    COUNTIFS($AR$2:$AR$200,$G211)&gt;0,
    COUNTIFS($AS$2:$AS$200,$G211)&gt;0,
    COUNTIFS($AT$2:$AT$200,$G211)&gt;0,
    COUNTIFS($AU$2:$AU$200,$G211)&gt;0,
    COUNTIFS($AV$2:$AV$200,$G211)&gt;0,
    COUNTIFS($AW$2:$AW$200,$G211)&gt;0,
    COUNTIFS($AX$2:$AX$200,$G211)&gt;0
   ),
  0)
 ),
"")</f>
        <v>Alela</v>
      </c>
      <c r="D211" s="3" t="str" cm="1">
        <f t="array" aca="1" ref="D211" ca="1">IFERROR(
 INDEX(
  _xlfn._xlws.FILTER($U$1:$AX$1,
   TRANSPOSE(
    CHOOSE({1;2;3;4;5;6;7;8;9;10;11;12;13;14;15;16;17;18;19;20;21;22;23;24;25;26;27;28;29;30},
     COUNTIFS($U$2:$U$200,$G211)&gt;0,
     COUNTIFS($V$2:$V$200,$G211)&gt;0,
     COUNTIFS($W$2:$W$200,$G211)&gt;0,
     COUNTIFS($X$2:$X$200,$G211)&gt;0,
     COUNTIFS($Y$2:$Y$200,$G211)&gt;0,
     COUNTIFS($Z$2:$Z$200,$G211)&gt;0,
     COUNTIFS($AA$2:$AA$200,$G211)&gt;0,
     COUNTIFS($AB$2:$AB$200,$G211)&gt;0,
     COUNTIFS($AC$2:$AC$200,$G211)&gt;0,
     COUNTIFS($AD$2:$AD$200,$G211)&gt;0,
     COUNTIFS($AE$2:$AE$200,$G211)&gt;0,
     COUNTIFS($AF$2:$AF$200,$G211)&gt;0,
     COUNTIFS($AG$2:$AG$200,$G211)&gt;0,
     COUNTIFS($AH$2:$AH$200,$G211)&gt;0,
     COUNTIFS($AI$2:$AI$200,$G211)&gt;0,
     COUNTIFS($AJ$2:$AJ$200,$G211)&gt;0,
     COUNTIFS($AK$2:$AK$200,$G211)&gt;0,
     COUNTIFS($AL$2:$AL$200,$G211)&gt;0,
     COUNTIFS($AM$2:$AM$200,$G211)&gt;0,
     COUNTIFS($AN$2:$AN$200,$G211)&gt;0,
     COUNTIFS($AO$2:$AO$200,$G211)&gt;0,
     COUNTIFS($AP$2:$AP$200,$G211)&gt;0,
     COUNTIFS($AQ$2:$AQ$200,$G211)&gt;0,
     COUNTIFS($AR$2:$AR$200,$G211)&gt;0,
     COUNTIFS($AS$2:$AS$200,$G211)&gt;0,
     COUNTIFS($AT$2:$AT$200,$G211)&gt;0,
     COUNTIFS($AU$2:$AU$200,$G211)&gt;0,
     COUNTIFS($AV$2:$AV$200,$G211)&gt;0,
     COUNTIFS($AW$2:$AW$200,$G211)&gt;0,
     COUNTIFS($AX$2:$AX$200,$G211)&gt;0
   )),
  ),
  2
 ),
"")</f>
        <v/>
      </c>
      <c r="E211" s="3" t="str" cm="1">
        <f t="array" aca="1" ref="E211" ca="1">IFERROR(
 INDEX(
  _xlfn._xlws.FILTER($U$1:$AX$1,
   TRANSPOSE(
    CHOOSE({1;2;3;4;5;6;7;8;9;10;11;12;13;14;15;16;17;18;19;20;21;22;23;24;25;26;27;28;29;30},
     COUNTIFS($U$2:$U$200,$G211)&gt;0,
     COUNTIFS($V$2:$V$200,$G211)&gt;0,
     COUNTIFS($W$2:$W$200,$G211)&gt;0,
     COUNTIFS($X$2:$X$200,$G211)&gt;0,
     COUNTIFS($Y$2:$Y$200,$G211)&gt;0,
     COUNTIFS($Z$2:$Z$200,$G211)&gt;0,
     COUNTIFS($AA$2:$AA$200,$G211)&gt;0,
     COUNTIFS($AB$2:$AB$200,$G211)&gt;0,
     COUNTIFS($AC$2:$AC$200,$G211)&gt;0,
     COUNTIFS($AD$2:$AD$200,$G211)&gt;0,
     COUNTIFS($AE$2:$AE$200,$G211)&gt;0,
     COUNTIFS($AF$2:$AF$200,$G211)&gt;0,
     COUNTIFS($AG$2:$AG$200,$G211)&gt;0,
     COUNTIFS($AH$2:$AH$200,$G211)&gt;0,
     COUNTIFS($AI$2:$AI$200,$G211)&gt;0,
     COUNTIFS($AJ$2:$AJ$200,$G211)&gt;0,
     COUNTIFS($AK$2:$AK$200,$G211)&gt;0,
     COUNTIFS($AL$2:$AL$200,$G211)&gt;0,
     COUNTIFS($AM$2:$AM$200,$G211)&gt;0,
     COUNTIFS($AN$2:$AN$200,$G211)&gt;0,
     COUNTIFS($AO$2:$AO$200,$G211)&gt;0,
     COUNTIFS($AP$2:$AP$200,$G211)&gt;0,
     COUNTIFS($AQ$2:$AQ$200,$G211)&gt;0,
     COUNTIFS($AR$2:$AR$200,$G211)&gt;0,
     COUNTIFS($AS$2:$AS$200,$G211)&gt;0,
     COUNTIFS($AT$2:$AT$200,$G211)&gt;0,
     COUNTIFS($AU$2:$AU$200,$G211)&gt;0,
     COUNTIFS($AV$2:$AV$200,$G211)&gt;0,
     COUNTIFS($AW$2:$AW$200,$G211)&gt;0,
     COUNTIFS($AX$2:$AX$200,$G211)&gt;0
   )),
  ),
  3
 ),
"")</f>
        <v/>
      </c>
      <c r="F211" s="3" t="str" cm="1">
        <f t="array" aca="1" ref="F211" ca="1">IFERROR(
 INDEX(
  _xlfn._xlws.FILTER($U$1:$AX$1,
   TRANSPOSE(
    CHOOSE({1;2;3;4;5;6;7;8;9;10;11;12;13;14;15;16;17;18;19;20;21;22;23;24;25;26;27;28;29;30},
     COUNTIFS($U$2:$U$200,$G211)&gt;0,
     COUNTIFS($V$2:$V$200,$G211)&gt;0,
     COUNTIFS($W$2:$W$200,$G211)&gt;0,
     COUNTIFS($X$2:$X$200,$G211)&gt;0,
     COUNTIFS($Y$2:$Y$200,$G211)&gt;0,
     COUNTIFS($Z$2:$Z$200,$G211)&gt;0,
     COUNTIFS($AA$2:$AA$200,$G211)&gt;0,
     COUNTIFS($AB$2:$AB$200,$G211)&gt;0,
     COUNTIFS($AC$2:$AC$200,$G211)&gt;0,
     COUNTIFS($AD$2:$AD$200,$G211)&gt;0,
     COUNTIFS($AE$2:$AE$200,$G211)&gt;0,
     COUNTIFS($AF$2:$AF$200,$G211)&gt;0,
     COUNTIFS($AG$2:$AG$200,$G211)&gt;0,
     COUNTIFS($AH$2:$AH$200,$G211)&gt;0,
     COUNTIFS($AI$2:$AI$200,$G211)&gt;0,
     COUNTIFS($AJ$2:$AJ$200,$G211)&gt;0,
     COUNTIFS($AK$2:$AK$200,$G211)&gt;0,
     COUNTIFS($AL$2:$AL$200,$G211)&gt;0,
     COUNTIFS($AM$2:$AM$200,$G211)&gt;0,
     COUNTIFS($AN$2:$AN$200,$G211)&gt;0,
     COUNTIFS($AO$2:$AO$200,$G211)&gt;0,
     COUNTIFS($AP$2:$AP$200,$G211)&gt;0,
     COUNTIFS($AQ$2:$AQ$200,$G211)&gt;0,
     COUNTIFS($AR$2:$AR$200,$G211)&gt;0,
     COUNTIFS($AS$2:$AS$200,$G211)&gt;0,
     COUNTIFS($AT$2:$AT$200,$G211)&gt;0,
     COUNTIFS($AU$2:$AU$200,$G211)&gt;0,
     COUNTIFS($AV$2:$AV$200,$G211)&gt;0,
     COUNTIFS($AW$2:$AW$200,$G211)&gt;0,
     COUNTIFS($AX$2:$AX$200,$G211)&gt;0
   )),
  ),
  4
 ),
"")</f>
        <v/>
      </c>
      <c r="G211" t="str">
        <f ca="1"/>
        <v>Renewed Solidarity</v>
      </c>
      <c r="CG211" t="str">
        <f ca="1"/>
        <v>Thran Dynamo</v>
      </c>
      <c r="CJ211" t="str">
        <f ca="1"/>
        <v>Renewed Solidarity</v>
      </c>
    </row>
    <row r="212" spans="1:88" x14ac:dyDescent="0.25">
      <c r="A212" s="3" t="str">
        <f t="shared" ca="1" si="8"/>
        <v>1</v>
      </c>
      <c r="B212" s="3">
        <f t="shared" ca="1" si="9"/>
        <v>1</v>
      </c>
      <c r="C212" s="3" t="str">
        <f ca="1">IFERROR(
 INDEX($U$1:$AX$1,
  MATCH(TRUE,
   CHOOSE({1;2;3;4;5;6;7;8;9;10;11;12;13;14;15;16;17;18;19;20;21;22;23;24;25;26;27;28;29;30;31;32},
    COUNTIFS($U$2:$U$200,$G212)&gt;0,
    COUNTIFS($V$2:$V$200,$G212)&gt;0,
    COUNTIFS($W$2:$W$200,$G212)&gt;0,
    COUNTIFS($X$2:$X$200,$G212)&gt;0,
    COUNTIFS($Y$2:$Y$200,$G212)&gt;0,
    COUNTIFS($Z$2:$Z$200,$G212)&gt;0,
    COUNTIFS($AA$2:$AA$200,$G212)&gt;0,
    COUNTIFS($AB$2:$AB$200,$G212)&gt;0,
    COUNTIFS($AC$2:$AC$200,$G212)&gt;0,
    COUNTIFS($AD$2:$AD$200,$G212)&gt;0,
    COUNTIFS($AE$2:$AE$200,$G212)&gt;0,
    COUNTIFS($AF$2:$AF$200,$G212)&gt;0,
    COUNTIFS($AG$2:$AG$200,$G212)&gt;0,
    COUNTIFS($AH$2:$AH$200,$G212)&gt;0,
    COUNTIFS($AI$2:$AI$200,$G212)&gt;0,
    COUNTIFS($AJ$2:$AJ$200,$G212)&gt;0,
    COUNTIFS($AK$2:$AK$200,$G212)&gt;0,
    COUNTIFS($AL$2:$AL$200,$G212)&gt;0,
    COUNTIFS($AM$2:$AM$200,$G212)&gt;0,
    COUNTIFS($AN$2:$AN$200,$G212)&gt;0,
    COUNTIFS($AO$2:$AO$200,$G212)&gt;0,
    COUNTIFS($AP$2:$AP$200,$G212)&gt;0,
    COUNTIFS($AQ$2:$AQ$200,$G212)&gt;0,
    COUNTIFS($AR$2:$AR$200,$G212)&gt;0,
    COUNTIFS($AS$2:$AS$200,$G212)&gt;0,
    COUNTIFS($AT$2:$AT$200,$G212)&gt;0,
    COUNTIFS($AU$2:$AU$200,$G212)&gt;0,
    COUNTIFS($AV$2:$AV$200,$G212)&gt;0,
    COUNTIFS($AW$2:$AW$200,$G212)&gt;0,
    COUNTIFS($AX$2:$AX$200,$G212)&gt;0
   ),
  0)
 ),
"")</f>
        <v>Tayam</v>
      </c>
      <c r="D212" s="3" t="str" cm="1">
        <f t="array" aca="1" ref="D212" ca="1">IFERROR(
 INDEX(
  _xlfn._xlws.FILTER($U$1:$AX$1,
   TRANSPOSE(
    CHOOSE({1;2;3;4;5;6;7;8;9;10;11;12;13;14;15;16;17;18;19;20;21;22;23;24;25;26;27;28;29;30},
     COUNTIFS($U$2:$U$200,$G212)&gt;0,
     COUNTIFS($V$2:$V$200,$G212)&gt;0,
     COUNTIFS($W$2:$W$200,$G212)&gt;0,
     COUNTIFS($X$2:$X$200,$G212)&gt;0,
     COUNTIFS($Y$2:$Y$200,$G212)&gt;0,
     COUNTIFS($Z$2:$Z$200,$G212)&gt;0,
     COUNTIFS($AA$2:$AA$200,$G212)&gt;0,
     COUNTIFS($AB$2:$AB$200,$G212)&gt;0,
     COUNTIFS($AC$2:$AC$200,$G212)&gt;0,
     COUNTIFS($AD$2:$AD$200,$G212)&gt;0,
     COUNTIFS($AE$2:$AE$200,$G212)&gt;0,
     COUNTIFS($AF$2:$AF$200,$G212)&gt;0,
     COUNTIFS($AG$2:$AG$200,$G212)&gt;0,
     COUNTIFS($AH$2:$AH$200,$G212)&gt;0,
     COUNTIFS($AI$2:$AI$200,$G212)&gt;0,
     COUNTIFS($AJ$2:$AJ$200,$G212)&gt;0,
     COUNTIFS($AK$2:$AK$200,$G212)&gt;0,
     COUNTIFS($AL$2:$AL$200,$G212)&gt;0,
     COUNTIFS($AM$2:$AM$200,$G212)&gt;0,
     COUNTIFS($AN$2:$AN$200,$G212)&gt;0,
     COUNTIFS($AO$2:$AO$200,$G212)&gt;0,
     COUNTIFS($AP$2:$AP$200,$G212)&gt;0,
     COUNTIFS($AQ$2:$AQ$200,$G212)&gt;0,
     COUNTIFS($AR$2:$AR$200,$G212)&gt;0,
     COUNTIFS($AS$2:$AS$200,$G212)&gt;0,
     COUNTIFS($AT$2:$AT$200,$G212)&gt;0,
     COUNTIFS($AU$2:$AU$200,$G212)&gt;0,
     COUNTIFS($AV$2:$AV$200,$G212)&gt;0,
     COUNTIFS($AW$2:$AW$200,$G212)&gt;0,
     COUNTIFS($AX$2:$AX$200,$G212)&gt;0
   )),
  ),
  2
 ),
"")</f>
        <v/>
      </c>
      <c r="E212" s="3" t="str" cm="1">
        <f t="array" aca="1" ref="E212" ca="1">IFERROR(
 INDEX(
  _xlfn._xlws.FILTER($U$1:$AX$1,
   TRANSPOSE(
    CHOOSE({1;2;3;4;5;6;7;8;9;10;11;12;13;14;15;16;17;18;19;20;21;22;23;24;25;26;27;28;29;30},
     COUNTIFS($U$2:$U$200,$G212)&gt;0,
     COUNTIFS($V$2:$V$200,$G212)&gt;0,
     COUNTIFS($W$2:$W$200,$G212)&gt;0,
     COUNTIFS($X$2:$X$200,$G212)&gt;0,
     COUNTIFS($Y$2:$Y$200,$G212)&gt;0,
     COUNTIFS($Z$2:$Z$200,$G212)&gt;0,
     COUNTIFS($AA$2:$AA$200,$G212)&gt;0,
     COUNTIFS($AB$2:$AB$200,$G212)&gt;0,
     COUNTIFS($AC$2:$AC$200,$G212)&gt;0,
     COUNTIFS($AD$2:$AD$200,$G212)&gt;0,
     COUNTIFS($AE$2:$AE$200,$G212)&gt;0,
     COUNTIFS($AF$2:$AF$200,$G212)&gt;0,
     COUNTIFS($AG$2:$AG$200,$G212)&gt;0,
     COUNTIFS($AH$2:$AH$200,$G212)&gt;0,
     COUNTIFS($AI$2:$AI$200,$G212)&gt;0,
     COUNTIFS($AJ$2:$AJ$200,$G212)&gt;0,
     COUNTIFS($AK$2:$AK$200,$G212)&gt;0,
     COUNTIFS($AL$2:$AL$200,$G212)&gt;0,
     COUNTIFS($AM$2:$AM$200,$G212)&gt;0,
     COUNTIFS($AN$2:$AN$200,$G212)&gt;0,
     COUNTIFS($AO$2:$AO$200,$G212)&gt;0,
     COUNTIFS($AP$2:$AP$200,$G212)&gt;0,
     COUNTIFS($AQ$2:$AQ$200,$G212)&gt;0,
     COUNTIFS($AR$2:$AR$200,$G212)&gt;0,
     COUNTIFS($AS$2:$AS$200,$G212)&gt;0,
     COUNTIFS($AT$2:$AT$200,$G212)&gt;0,
     COUNTIFS($AU$2:$AU$200,$G212)&gt;0,
     COUNTIFS($AV$2:$AV$200,$G212)&gt;0,
     COUNTIFS($AW$2:$AW$200,$G212)&gt;0,
     COUNTIFS($AX$2:$AX$200,$G212)&gt;0
   )),
  ),
  3
 ),
"")</f>
        <v/>
      </c>
      <c r="F212" s="3" t="str" cm="1">
        <f t="array" aca="1" ref="F212" ca="1">IFERROR(
 INDEX(
  _xlfn._xlws.FILTER($U$1:$AX$1,
   TRANSPOSE(
    CHOOSE({1;2;3;4;5;6;7;8;9;10;11;12;13;14;15;16;17;18;19;20;21;22;23;24;25;26;27;28;29;30},
     COUNTIFS($U$2:$U$200,$G212)&gt;0,
     COUNTIFS($V$2:$V$200,$G212)&gt;0,
     COUNTIFS($W$2:$W$200,$G212)&gt;0,
     COUNTIFS($X$2:$X$200,$G212)&gt;0,
     COUNTIFS($Y$2:$Y$200,$G212)&gt;0,
     COUNTIFS($Z$2:$Z$200,$G212)&gt;0,
     COUNTIFS($AA$2:$AA$200,$G212)&gt;0,
     COUNTIFS($AB$2:$AB$200,$G212)&gt;0,
     COUNTIFS($AC$2:$AC$200,$G212)&gt;0,
     COUNTIFS($AD$2:$AD$200,$G212)&gt;0,
     COUNTIFS($AE$2:$AE$200,$G212)&gt;0,
     COUNTIFS($AF$2:$AF$200,$G212)&gt;0,
     COUNTIFS($AG$2:$AG$200,$G212)&gt;0,
     COUNTIFS($AH$2:$AH$200,$G212)&gt;0,
     COUNTIFS($AI$2:$AI$200,$G212)&gt;0,
     COUNTIFS($AJ$2:$AJ$200,$G212)&gt;0,
     COUNTIFS($AK$2:$AK$200,$G212)&gt;0,
     COUNTIFS($AL$2:$AL$200,$G212)&gt;0,
     COUNTIFS($AM$2:$AM$200,$G212)&gt;0,
     COUNTIFS($AN$2:$AN$200,$G212)&gt;0,
     COUNTIFS($AO$2:$AO$200,$G212)&gt;0,
     COUNTIFS($AP$2:$AP$200,$G212)&gt;0,
     COUNTIFS($AQ$2:$AQ$200,$G212)&gt;0,
     COUNTIFS($AR$2:$AR$200,$G212)&gt;0,
     COUNTIFS($AS$2:$AS$200,$G212)&gt;0,
     COUNTIFS($AT$2:$AT$200,$G212)&gt;0,
     COUNTIFS($AU$2:$AU$200,$G212)&gt;0,
     COUNTIFS($AV$2:$AV$200,$G212)&gt;0,
     COUNTIFS($AW$2:$AW$200,$G212)&gt;0,
     COUNTIFS($AX$2:$AX$200,$G212)&gt;0
   )),
  ),
  4
 ),
"")</f>
        <v/>
      </c>
      <c r="G212" t="str">
        <f ca="1"/>
        <v>Resourceful Defense</v>
      </c>
      <c r="CG212" t="str">
        <f ca="1"/>
        <v>Three Visits</v>
      </c>
      <c r="CJ212" t="str">
        <f ca="1"/>
        <v>Resourceful Defense</v>
      </c>
    </row>
    <row r="213" spans="1:88" x14ac:dyDescent="0.25">
      <c r="A213" s="3" t="str">
        <f t="shared" ca="1" si="8"/>
        <v>1</v>
      </c>
      <c r="B213" s="3">
        <f t="shared" ca="1" si="9"/>
        <v>1</v>
      </c>
      <c r="C213" s="3" t="str">
        <f ca="1">IFERROR(
 INDEX($U$1:$AX$1,
  MATCH(TRUE,
   CHOOSE({1;2;3;4;5;6;7;8;9;10;11;12;13;14;15;16;17;18;19;20;21;22;23;24;25;26;27;28;29;30;31;32},
    COUNTIFS($U$2:$U$200,$G213)&gt;0,
    COUNTIFS($V$2:$V$200,$G213)&gt;0,
    COUNTIFS($W$2:$W$200,$G213)&gt;0,
    COUNTIFS($X$2:$X$200,$G213)&gt;0,
    COUNTIFS($Y$2:$Y$200,$G213)&gt;0,
    COUNTIFS($Z$2:$Z$200,$G213)&gt;0,
    COUNTIFS($AA$2:$AA$200,$G213)&gt;0,
    COUNTIFS($AB$2:$AB$200,$G213)&gt;0,
    COUNTIFS($AC$2:$AC$200,$G213)&gt;0,
    COUNTIFS($AD$2:$AD$200,$G213)&gt;0,
    COUNTIFS($AE$2:$AE$200,$G213)&gt;0,
    COUNTIFS($AF$2:$AF$200,$G213)&gt;0,
    COUNTIFS($AG$2:$AG$200,$G213)&gt;0,
    COUNTIFS($AH$2:$AH$200,$G213)&gt;0,
    COUNTIFS($AI$2:$AI$200,$G213)&gt;0,
    COUNTIFS($AJ$2:$AJ$200,$G213)&gt;0,
    COUNTIFS($AK$2:$AK$200,$G213)&gt;0,
    COUNTIFS($AL$2:$AL$200,$G213)&gt;0,
    COUNTIFS($AM$2:$AM$200,$G213)&gt;0,
    COUNTIFS($AN$2:$AN$200,$G213)&gt;0,
    COUNTIFS($AO$2:$AO$200,$G213)&gt;0,
    COUNTIFS($AP$2:$AP$200,$G213)&gt;0,
    COUNTIFS($AQ$2:$AQ$200,$G213)&gt;0,
    COUNTIFS($AR$2:$AR$200,$G213)&gt;0,
    COUNTIFS($AS$2:$AS$200,$G213)&gt;0,
    COUNTIFS($AT$2:$AT$200,$G213)&gt;0,
    COUNTIFS($AU$2:$AU$200,$G213)&gt;0,
    COUNTIFS($AV$2:$AV$200,$G213)&gt;0,
    COUNTIFS($AW$2:$AW$200,$G213)&gt;0,
    COUNTIFS($AX$2:$AX$200,$G213)&gt;0
   ),
  0)
 ),
"")</f>
        <v>Tayam</v>
      </c>
      <c r="D213" s="3" t="str" cm="1">
        <f t="array" aca="1" ref="D213" ca="1">IFERROR(
 INDEX(
  _xlfn._xlws.FILTER($U$1:$AX$1,
   TRANSPOSE(
    CHOOSE({1;2;3;4;5;6;7;8;9;10;11;12;13;14;15;16;17;18;19;20;21;22;23;24;25;26;27;28;29;30},
     COUNTIFS($U$2:$U$200,$G213)&gt;0,
     COUNTIFS($V$2:$V$200,$G213)&gt;0,
     COUNTIFS($W$2:$W$200,$G213)&gt;0,
     COUNTIFS($X$2:$X$200,$G213)&gt;0,
     COUNTIFS($Y$2:$Y$200,$G213)&gt;0,
     COUNTIFS($Z$2:$Z$200,$G213)&gt;0,
     COUNTIFS($AA$2:$AA$200,$G213)&gt;0,
     COUNTIFS($AB$2:$AB$200,$G213)&gt;0,
     COUNTIFS($AC$2:$AC$200,$G213)&gt;0,
     COUNTIFS($AD$2:$AD$200,$G213)&gt;0,
     COUNTIFS($AE$2:$AE$200,$G213)&gt;0,
     COUNTIFS($AF$2:$AF$200,$G213)&gt;0,
     COUNTIFS($AG$2:$AG$200,$G213)&gt;0,
     COUNTIFS($AH$2:$AH$200,$G213)&gt;0,
     COUNTIFS($AI$2:$AI$200,$G213)&gt;0,
     COUNTIFS($AJ$2:$AJ$200,$G213)&gt;0,
     COUNTIFS($AK$2:$AK$200,$G213)&gt;0,
     COUNTIFS($AL$2:$AL$200,$G213)&gt;0,
     COUNTIFS($AM$2:$AM$200,$G213)&gt;0,
     COUNTIFS($AN$2:$AN$200,$G213)&gt;0,
     COUNTIFS($AO$2:$AO$200,$G213)&gt;0,
     COUNTIFS($AP$2:$AP$200,$G213)&gt;0,
     COUNTIFS($AQ$2:$AQ$200,$G213)&gt;0,
     COUNTIFS($AR$2:$AR$200,$G213)&gt;0,
     COUNTIFS($AS$2:$AS$200,$G213)&gt;0,
     COUNTIFS($AT$2:$AT$200,$G213)&gt;0,
     COUNTIFS($AU$2:$AU$200,$G213)&gt;0,
     COUNTIFS($AV$2:$AV$200,$G213)&gt;0,
     COUNTIFS($AW$2:$AW$200,$G213)&gt;0,
     COUNTIFS($AX$2:$AX$200,$G213)&gt;0
   )),
  ),
  2
 ),
"")</f>
        <v/>
      </c>
      <c r="E213" s="3" t="str" cm="1">
        <f t="array" aca="1" ref="E213" ca="1">IFERROR(
 INDEX(
  _xlfn._xlws.FILTER($U$1:$AX$1,
   TRANSPOSE(
    CHOOSE({1;2;3;4;5;6;7;8;9;10;11;12;13;14;15;16;17;18;19;20;21;22;23;24;25;26;27;28;29;30},
     COUNTIFS($U$2:$U$200,$G213)&gt;0,
     COUNTIFS($V$2:$V$200,$G213)&gt;0,
     COUNTIFS($W$2:$W$200,$G213)&gt;0,
     COUNTIFS($X$2:$X$200,$G213)&gt;0,
     COUNTIFS($Y$2:$Y$200,$G213)&gt;0,
     COUNTIFS($Z$2:$Z$200,$G213)&gt;0,
     COUNTIFS($AA$2:$AA$200,$G213)&gt;0,
     COUNTIFS($AB$2:$AB$200,$G213)&gt;0,
     COUNTIFS($AC$2:$AC$200,$G213)&gt;0,
     COUNTIFS($AD$2:$AD$200,$G213)&gt;0,
     COUNTIFS($AE$2:$AE$200,$G213)&gt;0,
     COUNTIFS($AF$2:$AF$200,$G213)&gt;0,
     COUNTIFS($AG$2:$AG$200,$G213)&gt;0,
     COUNTIFS($AH$2:$AH$200,$G213)&gt;0,
     COUNTIFS($AI$2:$AI$200,$G213)&gt;0,
     COUNTIFS($AJ$2:$AJ$200,$G213)&gt;0,
     COUNTIFS($AK$2:$AK$200,$G213)&gt;0,
     COUNTIFS($AL$2:$AL$200,$G213)&gt;0,
     COUNTIFS($AM$2:$AM$200,$G213)&gt;0,
     COUNTIFS($AN$2:$AN$200,$G213)&gt;0,
     COUNTIFS($AO$2:$AO$200,$G213)&gt;0,
     COUNTIFS($AP$2:$AP$200,$G213)&gt;0,
     COUNTIFS($AQ$2:$AQ$200,$G213)&gt;0,
     COUNTIFS($AR$2:$AR$200,$G213)&gt;0,
     COUNTIFS($AS$2:$AS$200,$G213)&gt;0,
     COUNTIFS($AT$2:$AT$200,$G213)&gt;0,
     COUNTIFS($AU$2:$AU$200,$G213)&gt;0,
     COUNTIFS($AV$2:$AV$200,$G213)&gt;0,
     COUNTIFS($AW$2:$AW$200,$G213)&gt;0,
     COUNTIFS($AX$2:$AX$200,$G213)&gt;0
   )),
  ),
  3
 ),
"")</f>
        <v/>
      </c>
      <c r="F213" s="3" t="str" cm="1">
        <f t="array" aca="1" ref="F213" ca="1">IFERROR(
 INDEX(
  _xlfn._xlws.FILTER($U$1:$AX$1,
   TRANSPOSE(
    CHOOSE({1;2;3;4;5;6;7;8;9;10;11;12;13;14;15;16;17;18;19;20;21;22;23;24;25;26;27;28;29;30},
     COUNTIFS($U$2:$U$200,$G213)&gt;0,
     COUNTIFS($V$2:$V$200,$G213)&gt;0,
     COUNTIFS($W$2:$W$200,$G213)&gt;0,
     COUNTIFS($X$2:$X$200,$G213)&gt;0,
     COUNTIFS($Y$2:$Y$200,$G213)&gt;0,
     COUNTIFS($Z$2:$Z$200,$G213)&gt;0,
     COUNTIFS($AA$2:$AA$200,$G213)&gt;0,
     COUNTIFS($AB$2:$AB$200,$G213)&gt;0,
     COUNTIFS($AC$2:$AC$200,$G213)&gt;0,
     COUNTIFS($AD$2:$AD$200,$G213)&gt;0,
     COUNTIFS($AE$2:$AE$200,$G213)&gt;0,
     COUNTIFS($AF$2:$AF$200,$G213)&gt;0,
     COUNTIFS($AG$2:$AG$200,$G213)&gt;0,
     COUNTIFS($AH$2:$AH$200,$G213)&gt;0,
     COUNTIFS($AI$2:$AI$200,$G213)&gt;0,
     COUNTIFS($AJ$2:$AJ$200,$G213)&gt;0,
     COUNTIFS($AK$2:$AK$200,$G213)&gt;0,
     COUNTIFS($AL$2:$AL$200,$G213)&gt;0,
     COUNTIFS($AM$2:$AM$200,$G213)&gt;0,
     COUNTIFS($AN$2:$AN$200,$G213)&gt;0,
     COUNTIFS($AO$2:$AO$200,$G213)&gt;0,
     COUNTIFS($AP$2:$AP$200,$G213)&gt;0,
     COUNTIFS($AQ$2:$AQ$200,$G213)&gt;0,
     COUNTIFS($AR$2:$AR$200,$G213)&gt;0,
     COUNTIFS($AS$2:$AS$200,$G213)&gt;0,
     COUNTIFS($AT$2:$AT$200,$G213)&gt;0,
     COUNTIFS($AU$2:$AU$200,$G213)&gt;0,
     COUNTIFS($AV$2:$AV$200,$G213)&gt;0,
     COUNTIFS($AW$2:$AW$200,$G213)&gt;0,
     COUNTIFS($AX$2:$AX$200,$G213)&gt;0
   )),
  ),
  4
 ),
"")</f>
        <v/>
      </c>
      <c r="G213" t="str">
        <f ca="1"/>
        <v>Reyhan, Last of the Abzan</v>
      </c>
      <c r="CG213" t="str">
        <f ca="1"/>
        <v>Throne of the God-Pharaoh</v>
      </c>
      <c r="CJ213" t="str">
        <f ca="1"/>
        <v>Reyhan, Last of the Abzan</v>
      </c>
    </row>
    <row r="214" spans="1:88" x14ac:dyDescent="0.25">
      <c r="A214" s="3" t="str">
        <f t="shared" ca="1" si="8"/>
        <v>3</v>
      </c>
      <c r="B214" s="3">
        <f t="shared" ca="1" si="9"/>
        <v>1</v>
      </c>
      <c r="C214" s="3" t="str">
        <f ca="1">IFERROR(
 INDEX($U$1:$AX$1,
  MATCH(TRUE,
   CHOOSE({1;2;3;4;5;6;7;8;9;10;11;12;13;14;15;16;17;18;19;20;21;22;23;24;25;26;27;28;29;30;31;32},
    COUNTIFS($U$2:$U$200,$G214)&gt;0,
    COUNTIFS($V$2:$V$200,$G214)&gt;0,
    COUNTIFS($W$2:$W$200,$G214)&gt;0,
    COUNTIFS($X$2:$X$200,$G214)&gt;0,
    COUNTIFS($Y$2:$Y$200,$G214)&gt;0,
    COUNTIFS($Z$2:$Z$200,$G214)&gt;0,
    COUNTIFS($AA$2:$AA$200,$G214)&gt;0,
    COUNTIFS($AB$2:$AB$200,$G214)&gt;0,
    COUNTIFS($AC$2:$AC$200,$G214)&gt;0,
    COUNTIFS($AD$2:$AD$200,$G214)&gt;0,
    COUNTIFS($AE$2:$AE$200,$G214)&gt;0,
    COUNTIFS($AF$2:$AF$200,$G214)&gt;0,
    COUNTIFS($AG$2:$AG$200,$G214)&gt;0,
    COUNTIFS($AH$2:$AH$200,$G214)&gt;0,
    COUNTIFS($AI$2:$AI$200,$G214)&gt;0,
    COUNTIFS($AJ$2:$AJ$200,$G214)&gt;0,
    COUNTIFS($AK$2:$AK$200,$G214)&gt;0,
    COUNTIFS($AL$2:$AL$200,$G214)&gt;0,
    COUNTIFS($AM$2:$AM$200,$G214)&gt;0,
    COUNTIFS($AN$2:$AN$200,$G214)&gt;0,
    COUNTIFS($AO$2:$AO$200,$G214)&gt;0,
    COUNTIFS($AP$2:$AP$200,$G214)&gt;0,
    COUNTIFS($AQ$2:$AQ$200,$G214)&gt;0,
    COUNTIFS($AR$2:$AR$200,$G214)&gt;0,
    COUNTIFS($AS$2:$AS$200,$G214)&gt;0,
    COUNTIFS($AT$2:$AT$200,$G214)&gt;0,
    COUNTIFS($AU$2:$AU$200,$G214)&gt;0,
    COUNTIFS($AV$2:$AV$200,$G214)&gt;0,
    COUNTIFS($AW$2:$AW$200,$G214)&gt;0,
    COUNTIFS($AX$2:$AX$200,$G214)&gt;0
   ),
  0)
 ),
"")</f>
        <v>Muzzio</v>
      </c>
      <c r="D214" s="3" t="str" cm="1">
        <f t="array" aca="1" ref="D214" ca="1">IFERROR(
 INDEX(
  _xlfn._xlws.FILTER($U$1:$AX$1,
   TRANSPOSE(
    CHOOSE({1;2;3;4;5;6;7;8;9;10;11;12;13;14;15;16;17;18;19;20;21;22;23;24;25;26;27;28;29;30},
     COUNTIFS($U$2:$U$200,$G214)&gt;0,
     COUNTIFS($V$2:$V$200,$G214)&gt;0,
     COUNTIFS($W$2:$W$200,$G214)&gt;0,
     COUNTIFS($X$2:$X$200,$G214)&gt;0,
     COUNTIFS($Y$2:$Y$200,$G214)&gt;0,
     COUNTIFS($Z$2:$Z$200,$G214)&gt;0,
     COUNTIFS($AA$2:$AA$200,$G214)&gt;0,
     COUNTIFS($AB$2:$AB$200,$G214)&gt;0,
     COUNTIFS($AC$2:$AC$200,$G214)&gt;0,
     COUNTIFS($AD$2:$AD$200,$G214)&gt;0,
     COUNTIFS($AE$2:$AE$200,$G214)&gt;0,
     COUNTIFS($AF$2:$AF$200,$G214)&gt;0,
     COUNTIFS($AG$2:$AG$200,$G214)&gt;0,
     COUNTIFS($AH$2:$AH$200,$G214)&gt;0,
     COUNTIFS($AI$2:$AI$200,$G214)&gt;0,
     COUNTIFS($AJ$2:$AJ$200,$G214)&gt;0,
     COUNTIFS($AK$2:$AK$200,$G214)&gt;0,
     COUNTIFS($AL$2:$AL$200,$G214)&gt;0,
     COUNTIFS($AM$2:$AM$200,$G214)&gt;0,
     COUNTIFS($AN$2:$AN$200,$G214)&gt;0,
     COUNTIFS($AO$2:$AO$200,$G214)&gt;0,
     COUNTIFS($AP$2:$AP$200,$G214)&gt;0,
     COUNTIFS($AQ$2:$AQ$200,$G214)&gt;0,
     COUNTIFS($AR$2:$AR$200,$G214)&gt;0,
     COUNTIFS($AS$2:$AS$200,$G214)&gt;0,
     COUNTIFS($AT$2:$AT$200,$G214)&gt;0,
     COUNTIFS($AU$2:$AU$200,$G214)&gt;0,
     COUNTIFS($AV$2:$AV$200,$G214)&gt;0,
     COUNTIFS($AW$2:$AW$200,$G214)&gt;0,
     COUNTIFS($AX$2:$AX$200,$G214)&gt;0
   )),
  ),
  2
 ),
"")</f>
        <v/>
      </c>
      <c r="E214" s="3" t="str" cm="1">
        <f t="array" aca="1" ref="E214" ca="1">IFERROR(
 INDEX(
  _xlfn._xlws.FILTER($U$1:$AX$1,
   TRANSPOSE(
    CHOOSE({1;2;3;4;5;6;7;8;9;10;11;12;13;14;15;16;17;18;19;20;21;22;23;24;25;26;27;28;29;30},
     COUNTIFS($U$2:$U$200,$G214)&gt;0,
     COUNTIFS($V$2:$V$200,$G214)&gt;0,
     COUNTIFS($W$2:$W$200,$G214)&gt;0,
     COUNTIFS($X$2:$X$200,$G214)&gt;0,
     COUNTIFS($Y$2:$Y$200,$G214)&gt;0,
     COUNTIFS($Z$2:$Z$200,$G214)&gt;0,
     COUNTIFS($AA$2:$AA$200,$G214)&gt;0,
     COUNTIFS($AB$2:$AB$200,$G214)&gt;0,
     COUNTIFS($AC$2:$AC$200,$G214)&gt;0,
     COUNTIFS($AD$2:$AD$200,$G214)&gt;0,
     COUNTIFS($AE$2:$AE$200,$G214)&gt;0,
     COUNTIFS($AF$2:$AF$200,$G214)&gt;0,
     COUNTIFS($AG$2:$AG$200,$G214)&gt;0,
     COUNTIFS($AH$2:$AH$200,$G214)&gt;0,
     COUNTIFS($AI$2:$AI$200,$G214)&gt;0,
     COUNTIFS($AJ$2:$AJ$200,$G214)&gt;0,
     COUNTIFS($AK$2:$AK$200,$G214)&gt;0,
     COUNTIFS($AL$2:$AL$200,$G214)&gt;0,
     COUNTIFS($AM$2:$AM$200,$G214)&gt;0,
     COUNTIFS($AN$2:$AN$200,$G214)&gt;0,
     COUNTIFS($AO$2:$AO$200,$G214)&gt;0,
     COUNTIFS($AP$2:$AP$200,$G214)&gt;0,
     COUNTIFS($AQ$2:$AQ$200,$G214)&gt;0,
     COUNTIFS($AR$2:$AR$200,$G214)&gt;0,
     COUNTIFS($AS$2:$AS$200,$G214)&gt;0,
     COUNTIFS($AT$2:$AT$200,$G214)&gt;0,
     COUNTIFS($AU$2:$AU$200,$G214)&gt;0,
     COUNTIFS($AV$2:$AV$200,$G214)&gt;0,
     COUNTIFS($AW$2:$AW$200,$G214)&gt;0,
     COUNTIFS($AX$2:$AX$200,$G214)&gt;0
   )),
  ),
  3
 ),
"")</f>
        <v/>
      </c>
      <c r="F214" s="3" t="str" cm="1">
        <f t="array" aca="1" ref="F214" ca="1">IFERROR(
 INDEX(
  _xlfn._xlws.FILTER($U$1:$AX$1,
   TRANSPOSE(
    CHOOSE({1;2;3;4;5;6;7;8;9;10;11;12;13;14;15;16;17;18;19;20;21;22;23;24;25;26;27;28;29;30},
     COUNTIFS($U$2:$U$200,$G214)&gt;0,
     COUNTIFS($V$2:$V$200,$G214)&gt;0,
     COUNTIFS($W$2:$W$200,$G214)&gt;0,
     COUNTIFS($X$2:$X$200,$G214)&gt;0,
     COUNTIFS($Y$2:$Y$200,$G214)&gt;0,
     COUNTIFS($Z$2:$Z$200,$G214)&gt;0,
     COUNTIFS($AA$2:$AA$200,$G214)&gt;0,
     COUNTIFS($AB$2:$AB$200,$G214)&gt;0,
     COUNTIFS($AC$2:$AC$200,$G214)&gt;0,
     COUNTIFS($AD$2:$AD$200,$G214)&gt;0,
     COUNTIFS($AE$2:$AE$200,$G214)&gt;0,
     COUNTIFS($AF$2:$AF$200,$G214)&gt;0,
     COUNTIFS($AG$2:$AG$200,$G214)&gt;0,
     COUNTIFS($AH$2:$AH$200,$G214)&gt;0,
     COUNTIFS($AI$2:$AI$200,$G214)&gt;0,
     COUNTIFS($AJ$2:$AJ$200,$G214)&gt;0,
     COUNTIFS($AK$2:$AK$200,$G214)&gt;0,
     COUNTIFS($AL$2:$AL$200,$G214)&gt;0,
     COUNTIFS($AM$2:$AM$200,$G214)&gt;0,
     COUNTIFS($AN$2:$AN$200,$G214)&gt;0,
     COUNTIFS($AO$2:$AO$200,$G214)&gt;0,
     COUNTIFS($AP$2:$AP$200,$G214)&gt;0,
     COUNTIFS($AQ$2:$AQ$200,$G214)&gt;0,
     COUNTIFS($AR$2:$AR$200,$G214)&gt;0,
     COUNTIFS($AS$2:$AS$200,$G214)&gt;0,
     COUNTIFS($AT$2:$AT$200,$G214)&gt;0,
     COUNTIFS($AU$2:$AU$200,$G214)&gt;0,
     COUNTIFS($AV$2:$AV$200,$G214)&gt;0,
     COUNTIFS($AW$2:$AW$200,$G214)&gt;0,
     COUNTIFS($AX$2:$AX$200,$G214)&gt;0
   )),
  ),
  4
 ),
"")</f>
        <v/>
      </c>
      <c r="G214" t="str">
        <f ca="1"/>
        <v>Rings of Brighthearth</v>
      </c>
      <c r="CG214" t="str">
        <f ca="1"/>
        <v>Time of Need</v>
      </c>
      <c r="CJ214" t="str">
        <f ca="1"/>
        <v>Rings of Brighthearth</v>
      </c>
    </row>
    <row r="215" spans="1:88" x14ac:dyDescent="0.25">
      <c r="A215" s="3" t="str">
        <f t="shared" ca="1" si="8"/>
        <v>3</v>
      </c>
      <c r="B215" s="3">
        <f t="shared" ca="1" si="9"/>
        <v>1</v>
      </c>
      <c r="C215" s="3" t="str">
        <f ca="1">IFERROR(
 INDEX($U$1:$AX$1,
  MATCH(TRUE,
   CHOOSE({1;2;3;4;5;6;7;8;9;10;11;12;13;14;15;16;17;18;19;20;21;22;23;24;25;26;27;28;29;30;31;32},
    COUNTIFS($U$2:$U$200,$G215)&gt;0,
    COUNTIFS($V$2:$V$200,$G215)&gt;0,
    COUNTIFS($W$2:$W$200,$G215)&gt;0,
    COUNTIFS($X$2:$X$200,$G215)&gt;0,
    COUNTIFS($Y$2:$Y$200,$G215)&gt;0,
    COUNTIFS($Z$2:$Z$200,$G215)&gt;0,
    COUNTIFS($AA$2:$AA$200,$G215)&gt;0,
    COUNTIFS($AB$2:$AB$200,$G215)&gt;0,
    COUNTIFS($AC$2:$AC$200,$G215)&gt;0,
    COUNTIFS($AD$2:$AD$200,$G215)&gt;0,
    COUNTIFS($AE$2:$AE$200,$G215)&gt;0,
    COUNTIFS($AF$2:$AF$200,$G215)&gt;0,
    COUNTIFS($AG$2:$AG$200,$G215)&gt;0,
    COUNTIFS($AH$2:$AH$200,$G215)&gt;0,
    COUNTIFS($AI$2:$AI$200,$G215)&gt;0,
    COUNTIFS($AJ$2:$AJ$200,$G215)&gt;0,
    COUNTIFS($AK$2:$AK$200,$G215)&gt;0,
    COUNTIFS($AL$2:$AL$200,$G215)&gt;0,
    COUNTIFS($AM$2:$AM$200,$G215)&gt;0,
    COUNTIFS($AN$2:$AN$200,$G215)&gt;0,
    COUNTIFS($AO$2:$AO$200,$G215)&gt;0,
    COUNTIFS($AP$2:$AP$200,$G215)&gt;0,
    COUNTIFS($AQ$2:$AQ$200,$G215)&gt;0,
    COUNTIFS($AR$2:$AR$200,$G215)&gt;0,
    COUNTIFS($AS$2:$AS$200,$G215)&gt;0,
    COUNTIFS($AT$2:$AT$200,$G215)&gt;0,
    COUNTIFS($AU$2:$AU$200,$G215)&gt;0,
    COUNTIFS($AV$2:$AV$200,$G215)&gt;0,
    COUNTIFS($AW$2:$AW$200,$G215)&gt;0,
    COUNTIFS($AX$2:$AX$200,$G215)&gt;0
   ),
  0)
 ),
"")</f>
        <v>Sisay</v>
      </c>
      <c r="D215" s="3" t="str" cm="1">
        <f t="array" aca="1" ref="D215" ca="1">IFERROR(
 INDEX(
  _xlfn._xlws.FILTER($U$1:$AX$1,
   TRANSPOSE(
    CHOOSE({1;2;3;4;5;6;7;8;9;10;11;12;13;14;15;16;17;18;19;20;21;22;23;24;25;26;27;28;29;30},
     COUNTIFS($U$2:$U$200,$G215)&gt;0,
     COUNTIFS($V$2:$V$200,$G215)&gt;0,
     COUNTIFS($W$2:$W$200,$G215)&gt;0,
     COUNTIFS($X$2:$X$200,$G215)&gt;0,
     COUNTIFS($Y$2:$Y$200,$G215)&gt;0,
     COUNTIFS($Z$2:$Z$200,$G215)&gt;0,
     COUNTIFS($AA$2:$AA$200,$G215)&gt;0,
     COUNTIFS($AB$2:$AB$200,$G215)&gt;0,
     COUNTIFS($AC$2:$AC$200,$G215)&gt;0,
     COUNTIFS($AD$2:$AD$200,$G215)&gt;0,
     COUNTIFS($AE$2:$AE$200,$G215)&gt;0,
     COUNTIFS($AF$2:$AF$200,$G215)&gt;0,
     COUNTIFS($AG$2:$AG$200,$G215)&gt;0,
     COUNTIFS($AH$2:$AH$200,$G215)&gt;0,
     COUNTIFS($AI$2:$AI$200,$G215)&gt;0,
     COUNTIFS($AJ$2:$AJ$200,$G215)&gt;0,
     COUNTIFS($AK$2:$AK$200,$G215)&gt;0,
     COUNTIFS($AL$2:$AL$200,$G215)&gt;0,
     COUNTIFS($AM$2:$AM$200,$G215)&gt;0,
     COUNTIFS($AN$2:$AN$200,$G215)&gt;0,
     COUNTIFS($AO$2:$AO$200,$G215)&gt;0,
     COUNTIFS($AP$2:$AP$200,$G215)&gt;0,
     COUNTIFS($AQ$2:$AQ$200,$G215)&gt;0,
     COUNTIFS($AR$2:$AR$200,$G215)&gt;0,
     COUNTIFS($AS$2:$AS$200,$G215)&gt;0,
     COUNTIFS($AT$2:$AT$200,$G215)&gt;0,
     COUNTIFS($AU$2:$AU$200,$G215)&gt;0,
     COUNTIFS($AV$2:$AV$200,$G215)&gt;0,
     COUNTIFS($AW$2:$AW$200,$G215)&gt;0,
     COUNTIFS($AX$2:$AX$200,$G215)&gt;0
   )),
  ),
  2
 ),
"")</f>
        <v/>
      </c>
      <c r="E215" s="3" t="str" cm="1">
        <f t="array" aca="1" ref="E215" ca="1">IFERROR(
 INDEX(
  _xlfn._xlws.FILTER($U$1:$AX$1,
   TRANSPOSE(
    CHOOSE({1;2;3;4;5;6;7;8;9;10;11;12;13;14;15;16;17;18;19;20;21;22;23;24;25;26;27;28;29;30},
     COUNTIFS($U$2:$U$200,$G215)&gt;0,
     COUNTIFS($V$2:$V$200,$G215)&gt;0,
     COUNTIFS($W$2:$W$200,$G215)&gt;0,
     COUNTIFS($X$2:$X$200,$G215)&gt;0,
     COUNTIFS($Y$2:$Y$200,$G215)&gt;0,
     COUNTIFS($Z$2:$Z$200,$G215)&gt;0,
     COUNTIFS($AA$2:$AA$200,$G215)&gt;0,
     COUNTIFS($AB$2:$AB$200,$G215)&gt;0,
     COUNTIFS($AC$2:$AC$200,$G215)&gt;0,
     COUNTIFS($AD$2:$AD$200,$G215)&gt;0,
     COUNTIFS($AE$2:$AE$200,$G215)&gt;0,
     COUNTIFS($AF$2:$AF$200,$G215)&gt;0,
     COUNTIFS($AG$2:$AG$200,$G215)&gt;0,
     COUNTIFS($AH$2:$AH$200,$G215)&gt;0,
     COUNTIFS($AI$2:$AI$200,$G215)&gt;0,
     COUNTIFS($AJ$2:$AJ$200,$G215)&gt;0,
     COUNTIFS($AK$2:$AK$200,$G215)&gt;0,
     COUNTIFS($AL$2:$AL$200,$G215)&gt;0,
     COUNTIFS($AM$2:$AM$200,$G215)&gt;0,
     COUNTIFS($AN$2:$AN$200,$G215)&gt;0,
     COUNTIFS($AO$2:$AO$200,$G215)&gt;0,
     COUNTIFS($AP$2:$AP$200,$G215)&gt;0,
     COUNTIFS($AQ$2:$AQ$200,$G215)&gt;0,
     COUNTIFS($AR$2:$AR$200,$G215)&gt;0,
     COUNTIFS($AS$2:$AS$200,$G215)&gt;0,
     COUNTIFS($AT$2:$AT$200,$G215)&gt;0,
     COUNTIFS($AU$2:$AU$200,$G215)&gt;0,
     COUNTIFS($AV$2:$AV$200,$G215)&gt;0,
     COUNTIFS($AW$2:$AW$200,$G215)&gt;0,
     COUNTIFS($AX$2:$AX$200,$G215)&gt;0
   )),
  ),
  3
 ),
"")</f>
        <v/>
      </c>
      <c r="F215" s="3" t="str" cm="1">
        <f t="array" aca="1" ref="F215" ca="1">IFERROR(
 INDEX(
  _xlfn._xlws.FILTER($U$1:$AX$1,
   TRANSPOSE(
    CHOOSE({1;2;3;4;5;6;7;8;9;10;11;12;13;14;15;16;17;18;19;20;21;22;23;24;25;26;27;28;29;30},
     COUNTIFS($U$2:$U$200,$G215)&gt;0,
     COUNTIFS($V$2:$V$200,$G215)&gt;0,
     COUNTIFS($W$2:$W$200,$G215)&gt;0,
     COUNTIFS($X$2:$X$200,$G215)&gt;0,
     COUNTIFS($Y$2:$Y$200,$G215)&gt;0,
     COUNTIFS($Z$2:$Z$200,$G215)&gt;0,
     COUNTIFS($AA$2:$AA$200,$G215)&gt;0,
     COUNTIFS($AB$2:$AB$200,$G215)&gt;0,
     COUNTIFS($AC$2:$AC$200,$G215)&gt;0,
     COUNTIFS($AD$2:$AD$200,$G215)&gt;0,
     COUNTIFS($AE$2:$AE$200,$G215)&gt;0,
     COUNTIFS($AF$2:$AF$200,$G215)&gt;0,
     COUNTIFS($AG$2:$AG$200,$G215)&gt;0,
     COUNTIFS($AH$2:$AH$200,$G215)&gt;0,
     COUNTIFS($AI$2:$AI$200,$G215)&gt;0,
     COUNTIFS($AJ$2:$AJ$200,$G215)&gt;0,
     COUNTIFS($AK$2:$AK$200,$G215)&gt;0,
     COUNTIFS($AL$2:$AL$200,$G215)&gt;0,
     COUNTIFS($AM$2:$AM$200,$G215)&gt;0,
     COUNTIFS($AN$2:$AN$200,$G215)&gt;0,
     COUNTIFS($AO$2:$AO$200,$G215)&gt;0,
     COUNTIFS($AP$2:$AP$200,$G215)&gt;0,
     COUNTIFS($AQ$2:$AQ$200,$G215)&gt;0,
     COUNTIFS($AR$2:$AR$200,$G215)&gt;0,
     COUNTIFS($AS$2:$AS$200,$G215)&gt;0,
     COUNTIFS($AT$2:$AT$200,$G215)&gt;0,
     COUNTIFS($AU$2:$AU$200,$G215)&gt;0,
     COUNTIFS($AV$2:$AV$200,$G215)&gt;0,
     COUNTIFS($AW$2:$AW$200,$G215)&gt;0,
     COUNTIFS($AX$2:$AX$200,$G215)&gt;0
   )),
  ),
  4
 ),
"")</f>
        <v/>
      </c>
      <c r="G215" t="str">
        <f ca="1"/>
        <v>Ripples of Potential</v>
      </c>
      <c r="CG215" t="str">
        <f ca="1"/>
        <v>Time Sieve</v>
      </c>
      <c r="CJ215" t="str">
        <f ca="1"/>
        <v>Ripples of Potential</v>
      </c>
    </row>
    <row r="216" spans="1:88" x14ac:dyDescent="0.25">
      <c r="A216" s="3" t="str">
        <f t="shared" ca="1" si="8"/>
        <v>3</v>
      </c>
      <c r="B216" s="3">
        <f t="shared" ca="1" si="9"/>
        <v>1</v>
      </c>
      <c r="C216" s="3" t="str">
        <f ca="1">IFERROR(
 INDEX($U$1:$AX$1,
  MATCH(TRUE,
   CHOOSE({1;2;3;4;5;6;7;8;9;10;11;12;13;14;15;16;17;18;19;20;21;22;23;24;25;26;27;28;29;30;31;32},
    COUNTIFS($U$2:$U$200,$G216)&gt;0,
    COUNTIFS($V$2:$V$200,$G216)&gt;0,
    COUNTIFS($W$2:$W$200,$G216)&gt;0,
    COUNTIFS($X$2:$X$200,$G216)&gt;0,
    COUNTIFS($Y$2:$Y$200,$G216)&gt;0,
    COUNTIFS($Z$2:$Z$200,$G216)&gt;0,
    COUNTIFS($AA$2:$AA$200,$G216)&gt;0,
    COUNTIFS($AB$2:$AB$200,$G216)&gt;0,
    COUNTIFS($AC$2:$AC$200,$G216)&gt;0,
    COUNTIFS($AD$2:$AD$200,$G216)&gt;0,
    COUNTIFS($AE$2:$AE$200,$G216)&gt;0,
    COUNTIFS($AF$2:$AF$200,$G216)&gt;0,
    COUNTIFS($AG$2:$AG$200,$G216)&gt;0,
    COUNTIFS($AH$2:$AH$200,$G216)&gt;0,
    COUNTIFS($AI$2:$AI$200,$G216)&gt;0,
    COUNTIFS($AJ$2:$AJ$200,$G216)&gt;0,
    COUNTIFS($AK$2:$AK$200,$G216)&gt;0,
    COUNTIFS($AL$2:$AL$200,$G216)&gt;0,
    COUNTIFS($AM$2:$AM$200,$G216)&gt;0,
    COUNTIFS($AN$2:$AN$200,$G216)&gt;0,
    COUNTIFS($AO$2:$AO$200,$G216)&gt;0,
    COUNTIFS($AP$2:$AP$200,$G216)&gt;0,
    COUNTIFS($AQ$2:$AQ$200,$G216)&gt;0,
    COUNTIFS($AR$2:$AR$200,$G216)&gt;0,
    COUNTIFS($AS$2:$AS$200,$G216)&gt;0,
    COUNTIFS($AT$2:$AT$200,$G216)&gt;0,
    COUNTIFS($AU$2:$AU$200,$G216)&gt;0,
    COUNTIFS($AV$2:$AV$200,$G216)&gt;0,
    COUNTIFS($AW$2:$AW$200,$G216)&gt;0,
    COUNTIFS($AX$2:$AX$200,$G216)&gt;0
   ),
  0)
 ),
"")</f>
        <v>Gritrog</v>
      </c>
      <c r="D216" s="3" t="str" cm="1">
        <f t="array" aca="1" ref="D216" ca="1">IFERROR(
 INDEX(
  _xlfn._xlws.FILTER($U$1:$AX$1,
   TRANSPOSE(
    CHOOSE({1;2;3;4;5;6;7;8;9;10;11;12;13;14;15;16;17;18;19;20;21;22;23;24;25;26;27;28;29;30},
     COUNTIFS($U$2:$U$200,$G216)&gt;0,
     COUNTIFS($V$2:$V$200,$G216)&gt;0,
     COUNTIFS($W$2:$W$200,$G216)&gt;0,
     COUNTIFS($X$2:$X$200,$G216)&gt;0,
     COUNTIFS($Y$2:$Y$200,$G216)&gt;0,
     COUNTIFS($Z$2:$Z$200,$G216)&gt;0,
     COUNTIFS($AA$2:$AA$200,$G216)&gt;0,
     COUNTIFS($AB$2:$AB$200,$G216)&gt;0,
     COUNTIFS($AC$2:$AC$200,$G216)&gt;0,
     COUNTIFS($AD$2:$AD$200,$G216)&gt;0,
     COUNTIFS($AE$2:$AE$200,$G216)&gt;0,
     COUNTIFS($AF$2:$AF$200,$G216)&gt;0,
     COUNTIFS($AG$2:$AG$200,$G216)&gt;0,
     COUNTIFS($AH$2:$AH$200,$G216)&gt;0,
     COUNTIFS($AI$2:$AI$200,$G216)&gt;0,
     COUNTIFS($AJ$2:$AJ$200,$G216)&gt;0,
     COUNTIFS($AK$2:$AK$200,$G216)&gt;0,
     COUNTIFS($AL$2:$AL$200,$G216)&gt;0,
     COUNTIFS($AM$2:$AM$200,$G216)&gt;0,
     COUNTIFS($AN$2:$AN$200,$G216)&gt;0,
     COUNTIFS($AO$2:$AO$200,$G216)&gt;0,
     COUNTIFS($AP$2:$AP$200,$G216)&gt;0,
     COUNTIFS($AQ$2:$AQ$200,$G216)&gt;0,
     COUNTIFS($AR$2:$AR$200,$G216)&gt;0,
     COUNTIFS($AS$2:$AS$200,$G216)&gt;0,
     COUNTIFS($AT$2:$AT$200,$G216)&gt;0,
     COUNTIFS($AU$2:$AU$200,$G216)&gt;0,
     COUNTIFS($AV$2:$AV$200,$G216)&gt;0,
     COUNTIFS($AW$2:$AW$200,$G216)&gt;0,
     COUNTIFS($AX$2:$AX$200,$G216)&gt;0
   )),
  ),
  2
 ),
"")</f>
        <v/>
      </c>
      <c r="E216" s="3" t="str" cm="1">
        <f t="array" aca="1" ref="E216" ca="1">IFERROR(
 INDEX(
  _xlfn._xlws.FILTER($U$1:$AX$1,
   TRANSPOSE(
    CHOOSE({1;2;3;4;5;6;7;8;9;10;11;12;13;14;15;16;17;18;19;20;21;22;23;24;25;26;27;28;29;30},
     COUNTIFS($U$2:$U$200,$G216)&gt;0,
     COUNTIFS($V$2:$V$200,$G216)&gt;0,
     COUNTIFS($W$2:$W$200,$G216)&gt;0,
     COUNTIFS($X$2:$X$200,$G216)&gt;0,
     COUNTIFS($Y$2:$Y$200,$G216)&gt;0,
     COUNTIFS($Z$2:$Z$200,$G216)&gt;0,
     COUNTIFS($AA$2:$AA$200,$G216)&gt;0,
     COUNTIFS($AB$2:$AB$200,$G216)&gt;0,
     COUNTIFS($AC$2:$AC$200,$G216)&gt;0,
     COUNTIFS($AD$2:$AD$200,$G216)&gt;0,
     COUNTIFS($AE$2:$AE$200,$G216)&gt;0,
     COUNTIFS($AF$2:$AF$200,$G216)&gt;0,
     COUNTIFS($AG$2:$AG$200,$G216)&gt;0,
     COUNTIFS($AH$2:$AH$200,$G216)&gt;0,
     COUNTIFS($AI$2:$AI$200,$G216)&gt;0,
     COUNTIFS($AJ$2:$AJ$200,$G216)&gt;0,
     COUNTIFS($AK$2:$AK$200,$G216)&gt;0,
     COUNTIFS($AL$2:$AL$200,$G216)&gt;0,
     COUNTIFS($AM$2:$AM$200,$G216)&gt;0,
     COUNTIFS($AN$2:$AN$200,$G216)&gt;0,
     COUNTIFS($AO$2:$AO$200,$G216)&gt;0,
     COUNTIFS($AP$2:$AP$200,$G216)&gt;0,
     COUNTIFS($AQ$2:$AQ$200,$G216)&gt;0,
     COUNTIFS($AR$2:$AR$200,$G216)&gt;0,
     COUNTIFS($AS$2:$AS$200,$G216)&gt;0,
     COUNTIFS($AT$2:$AT$200,$G216)&gt;0,
     COUNTIFS($AU$2:$AU$200,$G216)&gt;0,
     COUNTIFS($AV$2:$AV$200,$G216)&gt;0,
     COUNTIFS($AW$2:$AW$200,$G216)&gt;0,
     COUNTIFS($AX$2:$AX$200,$G216)&gt;0
   )),
  ),
  3
 ),
"")</f>
        <v/>
      </c>
      <c r="F216" s="3" t="str" cm="1">
        <f t="array" aca="1" ref="F216" ca="1">IFERROR(
 INDEX(
  _xlfn._xlws.FILTER($U$1:$AX$1,
   TRANSPOSE(
    CHOOSE({1;2;3;4;5;6;7;8;9;10;11;12;13;14;15;16;17;18;19;20;21;22;23;24;25;26;27;28;29;30},
     COUNTIFS($U$2:$U$200,$G216)&gt;0,
     COUNTIFS($V$2:$V$200,$G216)&gt;0,
     COUNTIFS($W$2:$W$200,$G216)&gt;0,
     COUNTIFS($X$2:$X$200,$G216)&gt;0,
     COUNTIFS($Y$2:$Y$200,$G216)&gt;0,
     COUNTIFS($Z$2:$Z$200,$G216)&gt;0,
     COUNTIFS($AA$2:$AA$200,$G216)&gt;0,
     COUNTIFS($AB$2:$AB$200,$G216)&gt;0,
     COUNTIFS($AC$2:$AC$200,$G216)&gt;0,
     COUNTIFS($AD$2:$AD$200,$G216)&gt;0,
     COUNTIFS($AE$2:$AE$200,$G216)&gt;0,
     COUNTIFS($AF$2:$AF$200,$G216)&gt;0,
     COUNTIFS($AG$2:$AG$200,$G216)&gt;0,
     COUNTIFS($AH$2:$AH$200,$G216)&gt;0,
     COUNTIFS($AI$2:$AI$200,$G216)&gt;0,
     COUNTIFS($AJ$2:$AJ$200,$G216)&gt;0,
     COUNTIFS($AK$2:$AK$200,$G216)&gt;0,
     COUNTIFS($AL$2:$AL$200,$G216)&gt;0,
     COUNTIFS($AM$2:$AM$200,$G216)&gt;0,
     COUNTIFS($AN$2:$AN$200,$G216)&gt;0,
     COUNTIFS($AO$2:$AO$200,$G216)&gt;0,
     COUNTIFS($AP$2:$AP$200,$G216)&gt;0,
     COUNTIFS($AQ$2:$AQ$200,$G216)&gt;0,
     COUNTIFS($AR$2:$AR$200,$G216)&gt;0,
     COUNTIFS($AS$2:$AS$200,$G216)&gt;0,
     COUNTIFS($AT$2:$AT$200,$G216)&gt;0,
     COUNTIFS($AU$2:$AU$200,$G216)&gt;0,
     COUNTIFS($AV$2:$AV$200,$G216)&gt;0,
     COUNTIFS($AW$2:$AW$200,$G216)&gt;0,
     COUNTIFS($AX$2:$AX$200,$G216)&gt;0
   )),
  ),
  4
 ),
"")</f>
        <v/>
      </c>
      <c r="G216" t="str">
        <f ca="1"/>
        <v>Ripples of Undeath</v>
      </c>
      <c r="CG216" t="str">
        <f ca="1"/>
        <v>Timestream Navigator</v>
      </c>
      <c r="CJ216" t="str">
        <f ca="1"/>
        <v>Ripples of Undeath</v>
      </c>
    </row>
    <row r="217" spans="1:88" x14ac:dyDescent="0.25">
      <c r="A217" s="3" t="str">
        <f t="shared" ca="1" si="8"/>
        <v>3</v>
      </c>
      <c r="B217" s="3">
        <f t="shared" ca="1" si="9"/>
        <v>1</v>
      </c>
      <c r="C217" s="3" t="str">
        <f ca="1">IFERROR(
 INDEX($U$1:$AX$1,
  MATCH(TRUE,
   CHOOSE({1;2;3;4;5;6;7;8;9;10;11;12;13;14;15;16;17;18;19;20;21;22;23;24;25;26;27;28;29;30;31;32},
    COUNTIFS($U$2:$U$200,$G217)&gt;0,
    COUNTIFS($V$2:$V$200,$G217)&gt;0,
    COUNTIFS($W$2:$W$200,$G217)&gt;0,
    COUNTIFS($X$2:$X$200,$G217)&gt;0,
    COUNTIFS($Y$2:$Y$200,$G217)&gt;0,
    COUNTIFS($Z$2:$Z$200,$G217)&gt;0,
    COUNTIFS($AA$2:$AA$200,$G217)&gt;0,
    COUNTIFS($AB$2:$AB$200,$G217)&gt;0,
    COUNTIFS($AC$2:$AC$200,$G217)&gt;0,
    COUNTIFS($AD$2:$AD$200,$G217)&gt;0,
    COUNTIFS($AE$2:$AE$200,$G217)&gt;0,
    COUNTIFS($AF$2:$AF$200,$G217)&gt;0,
    COUNTIFS($AG$2:$AG$200,$G217)&gt;0,
    COUNTIFS($AH$2:$AH$200,$G217)&gt;0,
    COUNTIFS($AI$2:$AI$200,$G217)&gt;0,
    COUNTIFS($AJ$2:$AJ$200,$G217)&gt;0,
    COUNTIFS($AK$2:$AK$200,$G217)&gt;0,
    COUNTIFS($AL$2:$AL$200,$G217)&gt;0,
    COUNTIFS($AM$2:$AM$200,$G217)&gt;0,
    COUNTIFS($AN$2:$AN$200,$G217)&gt;0,
    COUNTIFS($AO$2:$AO$200,$G217)&gt;0,
    COUNTIFS($AP$2:$AP$200,$G217)&gt;0,
    COUNTIFS($AQ$2:$AQ$200,$G217)&gt;0,
    COUNTIFS($AR$2:$AR$200,$G217)&gt;0,
    COUNTIFS($AS$2:$AS$200,$G217)&gt;0,
    COUNTIFS($AT$2:$AT$200,$G217)&gt;0,
    COUNTIFS($AU$2:$AU$200,$G217)&gt;0,
    COUNTIFS($AV$2:$AV$200,$G217)&gt;0,
    COUNTIFS($AW$2:$AW$200,$G217)&gt;0,
    COUNTIFS($AX$2:$AX$200,$G217)&gt;0
   ),
  0)
 ),
"")</f>
        <v>JhoiraB</v>
      </c>
      <c r="D217" s="3" t="str" cm="1">
        <f t="array" aca="1" ref="D217" ca="1">IFERROR(
 INDEX(
  _xlfn._xlws.FILTER($U$1:$AX$1,
   TRANSPOSE(
    CHOOSE({1;2;3;4;5;6;7;8;9;10;11;12;13;14;15;16;17;18;19;20;21;22;23;24;25;26;27;28;29;30},
     COUNTIFS($U$2:$U$200,$G217)&gt;0,
     COUNTIFS($V$2:$V$200,$G217)&gt;0,
     COUNTIFS($W$2:$W$200,$G217)&gt;0,
     COUNTIFS($X$2:$X$200,$G217)&gt;0,
     COUNTIFS($Y$2:$Y$200,$G217)&gt;0,
     COUNTIFS($Z$2:$Z$200,$G217)&gt;0,
     COUNTIFS($AA$2:$AA$200,$G217)&gt;0,
     COUNTIFS($AB$2:$AB$200,$G217)&gt;0,
     COUNTIFS($AC$2:$AC$200,$G217)&gt;0,
     COUNTIFS($AD$2:$AD$200,$G217)&gt;0,
     COUNTIFS($AE$2:$AE$200,$G217)&gt;0,
     COUNTIFS($AF$2:$AF$200,$G217)&gt;0,
     COUNTIFS($AG$2:$AG$200,$G217)&gt;0,
     COUNTIFS($AH$2:$AH$200,$G217)&gt;0,
     COUNTIFS($AI$2:$AI$200,$G217)&gt;0,
     COUNTIFS($AJ$2:$AJ$200,$G217)&gt;0,
     COUNTIFS($AK$2:$AK$200,$G217)&gt;0,
     COUNTIFS($AL$2:$AL$200,$G217)&gt;0,
     COUNTIFS($AM$2:$AM$200,$G217)&gt;0,
     COUNTIFS($AN$2:$AN$200,$G217)&gt;0,
     COUNTIFS($AO$2:$AO$200,$G217)&gt;0,
     COUNTIFS($AP$2:$AP$200,$G217)&gt;0,
     COUNTIFS($AQ$2:$AQ$200,$G217)&gt;0,
     COUNTIFS($AR$2:$AR$200,$G217)&gt;0,
     COUNTIFS($AS$2:$AS$200,$G217)&gt;0,
     COUNTIFS($AT$2:$AT$200,$G217)&gt;0,
     COUNTIFS($AU$2:$AU$200,$G217)&gt;0,
     COUNTIFS($AV$2:$AV$200,$G217)&gt;0,
     COUNTIFS($AW$2:$AW$200,$G217)&gt;0,
     COUNTIFS($AX$2:$AX$200,$G217)&gt;0
   )),
  ),
  2
 ),
"")</f>
        <v/>
      </c>
      <c r="E217" s="3" t="str" cm="1">
        <f t="array" aca="1" ref="E217" ca="1">IFERROR(
 INDEX(
  _xlfn._xlws.FILTER($U$1:$AX$1,
   TRANSPOSE(
    CHOOSE({1;2;3;4;5;6;7;8;9;10;11;12;13;14;15;16;17;18;19;20;21;22;23;24;25;26;27;28;29;30},
     COUNTIFS($U$2:$U$200,$G217)&gt;0,
     COUNTIFS($V$2:$V$200,$G217)&gt;0,
     COUNTIFS($W$2:$W$200,$G217)&gt;0,
     COUNTIFS($X$2:$X$200,$G217)&gt;0,
     COUNTIFS($Y$2:$Y$200,$G217)&gt;0,
     COUNTIFS($Z$2:$Z$200,$G217)&gt;0,
     COUNTIFS($AA$2:$AA$200,$G217)&gt;0,
     COUNTIFS($AB$2:$AB$200,$G217)&gt;0,
     COUNTIFS($AC$2:$AC$200,$G217)&gt;0,
     COUNTIFS($AD$2:$AD$200,$G217)&gt;0,
     COUNTIFS($AE$2:$AE$200,$G217)&gt;0,
     COUNTIFS($AF$2:$AF$200,$G217)&gt;0,
     COUNTIFS($AG$2:$AG$200,$G217)&gt;0,
     COUNTIFS($AH$2:$AH$200,$G217)&gt;0,
     COUNTIFS($AI$2:$AI$200,$G217)&gt;0,
     COUNTIFS($AJ$2:$AJ$200,$G217)&gt;0,
     COUNTIFS($AK$2:$AK$200,$G217)&gt;0,
     COUNTIFS($AL$2:$AL$200,$G217)&gt;0,
     COUNTIFS($AM$2:$AM$200,$G217)&gt;0,
     COUNTIFS($AN$2:$AN$200,$G217)&gt;0,
     COUNTIFS($AO$2:$AO$200,$G217)&gt;0,
     COUNTIFS($AP$2:$AP$200,$G217)&gt;0,
     COUNTIFS($AQ$2:$AQ$200,$G217)&gt;0,
     COUNTIFS($AR$2:$AR$200,$G217)&gt;0,
     COUNTIFS($AS$2:$AS$200,$G217)&gt;0,
     COUNTIFS($AT$2:$AT$200,$G217)&gt;0,
     COUNTIFS($AU$2:$AU$200,$G217)&gt;0,
     COUNTIFS($AV$2:$AV$200,$G217)&gt;0,
     COUNTIFS($AW$2:$AW$200,$G217)&gt;0,
     COUNTIFS($AX$2:$AX$200,$G217)&gt;0
   )),
  ),
  3
 ),
"")</f>
        <v/>
      </c>
      <c r="F217" s="3" t="str" cm="1">
        <f t="array" aca="1" ref="F217" ca="1">IFERROR(
 INDEX(
  _xlfn._xlws.FILTER($U$1:$AX$1,
   TRANSPOSE(
    CHOOSE({1;2;3;4;5;6;7;8;9;10;11;12;13;14;15;16;17;18;19;20;21;22;23;24;25;26;27;28;29;30},
     COUNTIFS($U$2:$U$200,$G217)&gt;0,
     COUNTIFS($V$2:$V$200,$G217)&gt;0,
     COUNTIFS($W$2:$W$200,$G217)&gt;0,
     COUNTIFS($X$2:$X$200,$G217)&gt;0,
     COUNTIFS($Y$2:$Y$200,$G217)&gt;0,
     COUNTIFS($Z$2:$Z$200,$G217)&gt;0,
     COUNTIFS($AA$2:$AA$200,$G217)&gt;0,
     COUNTIFS($AB$2:$AB$200,$G217)&gt;0,
     COUNTIFS($AC$2:$AC$200,$G217)&gt;0,
     COUNTIFS($AD$2:$AD$200,$G217)&gt;0,
     COUNTIFS($AE$2:$AE$200,$G217)&gt;0,
     COUNTIFS($AF$2:$AF$200,$G217)&gt;0,
     COUNTIFS($AG$2:$AG$200,$G217)&gt;0,
     COUNTIFS($AH$2:$AH$200,$G217)&gt;0,
     COUNTIFS($AI$2:$AI$200,$G217)&gt;0,
     COUNTIFS($AJ$2:$AJ$200,$G217)&gt;0,
     COUNTIFS($AK$2:$AK$200,$G217)&gt;0,
     COUNTIFS($AL$2:$AL$200,$G217)&gt;0,
     COUNTIFS($AM$2:$AM$200,$G217)&gt;0,
     COUNTIFS($AN$2:$AN$200,$G217)&gt;0,
     COUNTIFS($AO$2:$AO$200,$G217)&gt;0,
     COUNTIFS($AP$2:$AP$200,$G217)&gt;0,
     COUNTIFS($AQ$2:$AQ$200,$G217)&gt;0,
     COUNTIFS($AR$2:$AR$200,$G217)&gt;0,
     COUNTIFS($AS$2:$AS$200,$G217)&gt;0,
     COUNTIFS($AT$2:$AT$200,$G217)&gt;0,
     COUNTIFS($AU$2:$AU$200,$G217)&gt;0,
     COUNTIFS($AV$2:$AV$200,$G217)&gt;0,
     COUNTIFS($AW$2:$AW$200,$G217)&gt;0,
     COUNTIFS($AX$2:$AX$200,$G217)&gt;0
   )),
  ),
  4
 ),
"")</f>
        <v/>
      </c>
      <c r="G217" t="str">
        <f ca="1"/>
        <v>Rise of the Eldrazi</v>
      </c>
      <c r="CG217" t="str">
        <f ca="1"/>
        <v>Tishana, Voice of Thunder</v>
      </c>
      <c r="CJ217" t="str">
        <f ca="1"/>
        <v>Rise of the Eldrazi</v>
      </c>
    </row>
    <row r="218" spans="1:88" x14ac:dyDescent="0.25">
      <c r="A218" s="3" t="str">
        <f t="shared" ca="1" si="8"/>
        <v>2</v>
      </c>
      <c r="B218" s="3">
        <f t="shared" ca="1" si="9"/>
        <v>2</v>
      </c>
      <c r="C218" s="3" t="str">
        <f ca="1">IFERROR(
 INDEX($U$1:$AX$1,
  MATCH(TRUE,
   CHOOSE({1;2;3;4;5;6;7;8;9;10;11;12;13;14;15;16;17;18;19;20;21;22;23;24;25;26;27;28;29;30;31;32},
    COUNTIFS($U$2:$U$200,$G218)&gt;0,
    COUNTIFS($V$2:$V$200,$G218)&gt;0,
    COUNTIFS($W$2:$W$200,$G218)&gt;0,
    COUNTIFS($X$2:$X$200,$G218)&gt;0,
    COUNTIFS($Y$2:$Y$200,$G218)&gt;0,
    COUNTIFS($Z$2:$Z$200,$G218)&gt;0,
    COUNTIFS($AA$2:$AA$200,$G218)&gt;0,
    COUNTIFS($AB$2:$AB$200,$G218)&gt;0,
    COUNTIFS($AC$2:$AC$200,$G218)&gt;0,
    COUNTIFS($AD$2:$AD$200,$G218)&gt;0,
    COUNTIFS($AE$2:$AE$200,$G218)&gt;0,
    COUNTIFS($AF$2:$AF$200,$G218)&gt;0,
    COUNTIFS($AG$2:$AG$200,$G218)&gt;0,
    COUNTIFS($AH$2:$AH$200,$G218)&gt;0,
    COUNTIFS($AI$2:$AI$200,$G218)&gt;0,
    COUNTIFS($AJ$2:$AJ$200,$G218)&gt;0,
    COUNTIFS($AK$2:$AK$200,$G218)&gt;0,
    COUNTIFS($AL$2:$AL$200,$G218)&gt;0,
    COUNTIFS($AM$2:$AM$200,$G218)&gt;0,
    COUNTIFS($AN$2:$AN$200,$G218)&gt;0,
    COUNTIFS($AO$2:$AO$200,$G218)&gt;0,
    COUNTIFS($AP$2:$AP$200,$G218)&gt;0,
    COUNTIFS($AQ$2:$AQ$200,$G218)&gt;0,
    COUNTIFS($AR$2:$AR$200,$G218)&gt;0,
    COUNTIFS($AS$2:$AS$200,$G218)&gt;0,
    COUNTIFS($AT$2:$AT$200,$G218)&gt;0,
    COUNTIFS($AU$2:$AU$200,$G218)&gt;0,
    COUNTIFS($AV$2:$AV$200,$G218)&gt;0,
    COUNTIFS($AW$2:$AW$200,$G218)&gt;0,
    COUNTIFS($AX$2:$AX$200,$G218)&gt;0
   ),
  0)
 ),
"")</f>
        <v>Baylen</v>
      </c>
      <c r="D218" s="3" t="str" cm="1">
        <f t="array" aca="1" ref="D218" ca="1">IFERROR(
 INDEX(
  _xlfn._xlws.FILTER($U$1:$AX$1,
   TRANSPOSE(
    CHOOSE({1;2;3;4;5;6;7;8;9;10;11;12;13;14;15;16;17;18;19;20;21;22;23;24;25;26;27;28;29;30},
     COUNTIFS($U$2:$U$200,$G218)&gt;0,
     COUNTIFS($V$2:$V$200,$G218)&gt;0,
     COUNTIFS($W$2:$W$200,$G218)&gt;0,
     COUNTIFS($X$2:$X$200,$G218)&gt;0,
     COUNTIFS($Y$2:$Y$200,$G218)&gt;0,
     COUNTIFS($Z$2:$Z$200,$G218)&gt;0,
     COUNTIFS($AA$2:$AA$200,$G218)&gt;0,
     COUNTIFS($AB$2:$AB$200,$G218)&gt;0,
     COUNTIFS($AC$2:$AC$200,$G218)&gt;0,
     COUNTIFS($AD$2:$AD$200,$G218)&gt;0,
     COUNTIFS($AE$2:$AE$200,$G218)&gt;0,
     COUNTIFS($AF$2:$AF$200,$G218)&gt;0,
     COUNTIFS($AG$2:$AG$200,$G218)&gt;0,
     COUNTIFS($AH$2:$AH$200,$G218)&gt;0,
     COUNTIFS($AI$2:$AI$200,$G218)&gt;0,
     COUNTIFS($AJ$2:$AJ$200,$G218)&gt;0,
     COUNTIFS($AK$2:$AK$200,$G218)&gt;0,
     COUNTIFS($AL$2:$AL$200,$G218)&gt;0,
     COUNTIFS($AM$2:$AM$200,$G218)&gt;0,
     COUNTIFS($AN$2:$AN$200,$G218)&gt;0,
     COUNTIFS($AO$2:$AO$200,$G218)&gt;0,
     COUNTIFS($AP$2:$AP$200,$G218)&gt;0,
     COUNTIFS($AQ$2:$AQ$200,$G218)&gt;0,
     COUNTIFS($AR$2:$AR$200,$G218)&gt;0,
     COUNTIFS($AS$2:$AS$200,$G218)&gt;0,
     COUNTIFS($AT$2:$AT$200,$G218)&gt;0,
     COUNTIFS($AU$2:$AU$200,$G218)&gt;0,
     COUNTIFS($AV$2:$AV$200,$G218)&gt;0,
     COUNTIFS($AW$2:$AW$200,$G218)&gt;0,
     COUNTIFS($AX$2:$AX$200,$G218)&gt;0
   )),
  ),
  2
 ),
"")</f>
        <v>Rani</v>
      </c>
      <c r="E218" s="3" t="str" cm="1">
        <f t="array" aca="1" ref="E218" ca="1">IFERROR(
 INDEX(
  _xlfn._xlws.FILTER($U$1:$AX$1,
   TRANSPOSE(
    CHOOSE({1;2;3;4;5;6;7;8;9;10;11;12;13;14;15;16;17;18;19;20;21;22;23;24;25;26;27;28;29;30},
     COUNTIFS($U$2:$U$200,$G218)&gt;0,
     COUNTIFS($V$2:$V$200,$G218)&gt;0,
     COUNTIFS($W$2:$W$200,$G218)&gt;0,
     COUNTIFS($X$2:$X$200,$G218)&gt;0,
     COUNTIFS($Y$2:$Y$200,$G218)&gt;0,
     COUNTIFS($Z$2:$Z$200,$G218)&gt;0,
     COUNTIFS($AA$2:$AA$200,$G218)&gt;0,
     COUNTIFS($AB$2:$AB$200,$G218)&gt;0,
     COUNTIFS($AC$2:$AC$200,$G218)&gt;0,
     COUNTIFS($AD$2:$AD$200,$G218)&gt;0,
     COUNTIFS($AE$2:$AE$200,$G218)&gt;0,
     COUNTIFS($AF$2:$AF$200,$G218)&gt;0,
     COUNTIFS($AG$2:$AG$200,$G218)&gt;0,
     COUNTIFS($AH$2:$AH$200,$G218)&gt;0,
     COUNTIFS($AI$2:$AI$200,$G218)&gt;0,
     COUNTIFS($AJ$2:$AJ$200,$G218)&gt;0,
     COUNTIFS($AK$2:$AK$200,$G218)&gt;0,
     COUNTIFS($AL$2:$AL$200,$G218)&gt;0,
     COUNTIFS($AM$2:$AM$200,$G218)&gt;0,
     COUNTIFS($AN$2:$AN$200,$G218)&gt;0,
     COUNTIFS($AO$2:$AO$200,$G218)&gt;0,
     COUNTIFS($AP$2:$AP$200,$G218)&gt;0,
     COUNTIFS($AQ$2:$AQ$200,$G218)&gt;0,
     COUNTIFS($AR$2:$AR$200,$G218)&gt;0,
     COUNTIFS($AS$2:$AS$200,$G218)&gt;0,
     COUNTIFS($AT$2:$AT$200,$G218)&gt;0,
     COUNTIFS($AU$2:$AU$200,$G218)&gt;0,
     COUNTIFS($AV$2:$AV$200,$G218)&gt;0,
     COUNTIFS($AW$2:$AW$200,$G218)&gt;0,
     COUNTIFS($AX$2:$AX$200,$G218)&gt;0
   )),
  ),
  3
 ),
"")</f>
        <v/>
      </c>
      <c r="F218" s="3" t="str" cm="1">
        <f t="array" aca="1" ref="F218" ca="1">IFERROR(
 INDEX(
  _xlfn._xlws.FILTER($U$1:$AX$1,
   TRANSPOSE(
    CHOOSE({1;2;3;4;5;6;7;8;9;10;11;12;13;14;15;16;17;18;19;20;21;22;23;24;25;26;27;28;29;30},
     COUNTIFS($U$2:$U$200,$G218)&gt;0,
     COUNTIFS($V$2:$V$200,$G218)&gt;0,
     COUNTIFS($W$2:$W$200,$G218)&gt;0,
     COUNTIFS($X$2:$X$200,$G218)&gt;0,
     COUNTIFS($Y$2:$Y$200,$G218)&gt;0,
     COUNTIFS($Z$2:$Z$200,$G218)&gt;0,
     COUNTIFS($AA$2:$AA$200,$G218)&gt;0,
     COUNTIFS($AB$2:$AB$200,$G218)&gt;0,
     COUNTIFS($AC$2:$AC$200,$G218)&gt;0,
     COUNTIFS($AD$2:$AD$200,$G218)&gt;0,
     COUNTIFS($AE$2:$AE$200,$G218)&gt;0,
     COUNTIFS($AF$2:$AF$200,$G218)&gt;0,
     COUNTIFS($AG$2:$AG$200,$G218)&gt;0,
     COUNTIFS($AH$2:$AH$200,$G218)&gt;0,
     COUNTIFS($AI$2:$AI$200,$G218)&gt;0,
     COUNTIFS($AJ$2:$AJ$200,$G218)&gt;0,
     COUNTIFS($AK$2:$AK$200,$G218)&gt;0,
     COUNTIFS($AL$2:$AL$200,$G218)&gt;0,
     COUNTIFS($AM$2:$AM$200,$G218)&gt;0,
     COUNTIFS($AN$2:$AN$200,$G218)&gt;0,
     COUNTIFS($AO$2:$AO$200,$G218)&gt;0,
     COUNTIFS($AP$2:$AP$200,$G218)&gt;0,
     COUNTIFS($AQ$2:$AQ$200,$G218)&gt;0,
     COUNTIFS($AR$2:$AR$200,$G218)&gt;0,
     COUNTIFS($AS$2:$AS$200,$G218)&gt;0,
     COUNTIFS($AT$2:$AT$200,$G218)&gt;0,
     COUNTIFS($AU$2:$AU$200,$G218)&gt;0,
     COUNTIFS($AV$2:$AV$200,$G218)&gt;0,
     COUNTIFS($AW$2:$AW$200,$G218)&gt;0,
     COUNTIFS($AX$2:$AX$200,$G218)&gt;0
   )),
  ),
  4
 ),
"")</f>
        <v/>
      </c>
      <c r="G218" t="str">
        <f ca="1"/>
        <v>Rogue's Passage</v>
      </c>
      <c r="CG218" t="str">
        <f ca="1"/>
        <v>Titania, Voice of Gaea</v>
      </c>
      <c r="CJ218" t="str">
        <f ca="1"/>
        <v>Rogue's Passage</v>
      </c>
    </row>
    <row r="219" spans="1:88" x14ac:dyDescent="0.25">
      <c r="A219" s="3" t="str">
        <f t="shared" ca="1" si="8"/>
        <v>3</v>
      </c>
      <c r="B219" s="3">
        <f t="shared" ca="1" si="9"/>
        <v>1</v>
      </c>
      <c r="C219" s="3" t="str">
        <f ca="1">IFERROR(
 INDEX($U$1:$AX$1,
  MATCH(TRUE,
   CHOOSE({1;2;3;4;5;6;7;8;9;10;11;12;13;14;15;16;17;18;19;20;21;22;23;24;25;26;27;28;29;30;31;32},
    COUNTIFS($U$2:$U$200,$G219)&gt;0,
    COUNTIFS($V$2:$V$200,$G219)&gt;0,
    COUNTIFS($W$2:$W$200,$G219)&gt;0,
    COUNTIFS($X$2:$X$200,$G219)&gt;0,
    COUNTIFS($Y$2:$Y$200,$G219)&gt;0,
    COUNTIFS($Z$2:$Z$200,$G219)&gt;0,
    COUNTIFS($AA$2:$AA$200,$G219)&gt;0,
    COUNTIFS($AB$2:$AB$200,$G219)&gt;0,
    COUNTIFS($AC$2:$AC$200,$G219)&gt;0,
    COUNTIFS($AD$2:$AD$200,$G219)&gt;0,
    COUNTIFS($AE$2:$AE$200,$G219)&gt;0,
    COUNTIFS($AF$2:$AF$200,$G219)&gt;0,
    COUNTIFS($AG$2:$AG$200,$G219)&gt;0,
    COUNTIFS($AH$2:$AH$200,$G219)&gt;0,
    COUNTIFS($AI$2:$AI$200,$G219)&gt;0,
    COUNTIFS($AJ$2:$AJ$200,$G219)&gt;0,
    COUNTIFS($AK$2:$AK$200,$G219)&gt;0,
    COUNTIFS($AL$2:$AL$200,$G219)&gt;0,
    COUNTIFS($AM$2:$AM$200,$G219)&gt;0,
    COUNTIFS($AN$2:$AN$200,$G219)&gt;0,
    COUNTIFS($AO$2:$AO$200,$G219)&gt;0,
    COUNTIFS($AP$2:$AP$200,$G219)&gt;0,
    COUNTIFS($AQ$2:$AQ$200,$G219)&gt;0,
    COUNTIFS($AR$2:$AR$200,$G219)&gt;0,
    COUNTIFS($AS$2:$AS$200,$G219)&gt;0,
    COUNTIFS($AT$2:$AT$200,$G219)&gt;0,
    COUNTIFS($AU$2:$AU$200,$G219)&gt;0,
    COUNTIFS($AV$2:$AV$200,$G219)&gt;0,
    COUNTIFS($AW$2:$AW$200,$G219)&gt;0,
    COUNTIFS($AX$2:$AX$200,$G219)&gt;0
   ),
  0)
 ),
"")</f>
        <v>JhoiraB</v>
      </c>
      <c r="D219" s="3" t="str" cm="1">
        <f t="array" aca="1" ref="D219" ca="1">IFERROR(
 INDEX(
  _xlfn._xlws.FILTER($U$1:$AX$1,
   TRANSPOSE(
    CHOOSE({1;2;3;4;5;6;7;8;9;10;11;12;13;14;15;16;17;18;19;20;21;22;23;24;25;26;27;28;29;30},
     COUNTIFS($U$2:$U$200,$G219)&gt;0,
     COUNTIFS($V$2:$V$200,$G219)&gt;0,
     COUNTIFS($W$2:$W$200,$G219)&gt;0,
     COUNTIFS($X$2:$X$200,$G219)&gt;0,
     COUNTIFS($Y$2:$Y$200,$G219)&gt;0,
     COUNTIFS($Z$2:$Z$200,$G219)&gt;0,
     COUNTIFS($AA$2:$AA$200,$G219)&gt;0,
     COUNTIFS($AB$2:$AB$200,$G219)&gt;0,
     COUNTIFS($AC$2:$AC$200,$G219)&gt;0,
     COUNTIFS($AD$2:$AD$200,$G219)&gt;0,
     COUNTIFS($AE$2:$AE$200,$G219)&gt;0,
     COUNTIFS($AF$2:$AF$200,$G219)&gt;0,
     COUNTIFS($AG$2:$AG$200,$G219)&gt;0,
     COUNTIFS($AH$2:$AH$200,$G219)&gt;0,
     COUNTIFS($AI$2:$AI$200,$G219)&gt;0,
     COUNTIFS($AJ$2:$AJ$200,$G219)&gt;0,
     COUNTIFS($AK$2:$AK$200,$G219)&gt;0,
     COUNTIFS($AL$2:$AL$200,$G219)&gt;0,
     COUNTIFS($AM$2:$AM$200,$G219)&gt;0,
     COUNTIFS($AN$2:$AN$200,$G219)&gt;0,
     COUNTIFS($AO$2:$AO$200,$G219)&gt;0,
     COUNTIFS($AP$2:$AP$200,$G219)&gt;0,
     COUNTIFS($AQ$2:$AQ$200,$G219)&gt;0,
     COUNTIFS($AR$2:$AR$200,$G219)&gt;0,
     COUNTIFS($AS$2:$AS$200,$G219)&gt;0,
     COUNTIFS($AT$2:$AT$200,$G219)&gt;0,
     COUNTIFS($AU$2:$AU$200,$G219)&gt;0,
     COUNTIFS($AV$2:$AV$200,$G219)&gt;0,
     COUNTIFS($AW$2:$AW$200,$G219)&gt;0,
     COUNTIFS($AX$2:$AX$200,$G219)&gt;0
   )),
  ),
  2
 ),
"")</f>
        <v/>
      </c>
      <c r="E219" s="3" t="str" cm="1">
        <f t="array" aca="1" ref="E219" ca="1">IFERROR(
 INDEX(
  _xlfn._xlws.FILTER($U$1:$AX$1,
   TRANSPOSE(
    CHOOSE({1;2;3;4;5;6;7;8;9;10;11;12;13;14;15;16;17;18;19;20;21;22;23;24;25;26;27;28;29;30},
     COUNTIFS($U$2:$U$200,$G219)&gt;0,
     COUNTIFS($V$2:$V$200,$G219)&gt;0,
     COUNTIFS($W$2:$W$200,$G219)&gt;0,
     COUNTIFS($X$2:$X$200,$G219)&gt;0,
     COUNTIFS($Y$2:$Y$200,$G219)&gt;0,
     COUNTIFS($Z$2:$Z$200,$G219)&gt;0,
     COUNTIFS($AA$2:$AA$200,$G219)&gt;0,
     COUNTIFS($AB$2:$AB$200,$G219)&gt;0,
     COUNTIFS($AC$2:$AC$200,$G219)&gt;0,
     COUNTIFS($AD$2:$AD$200,$G219)&gt;0,
     COUNTIFS($AE$2:$AE$200,$G219)&gt;0,
     COUNTIFS($AF$2:$AF$200,$G219)&gt;0,
     COUNTIFS($AG$2:$AG$200,$G219)&gt;0,
     COUNTIFS($AH$2:$AH$200,$G219)&gt;0,
     COUNTIFS($AI$2:$AI$200,$G219)&gt;0,
     COUNTIFS($AJ$2:$AJ$200,$G219)&gt;0,
     COUNTIFS($AK$2:$AK$200,$G219)&gt;0,
     COUNTIFS($AL$2:$AL$200,$G219)&gt;0,
     COUNTIFS($AM$2:$AM$200,$G219)&gt;0,
     COUNTIFS($AN$2:$AN$200,$G219)&gt;0,
     COUNTIFS($AO$2:$AO$200,$G219)&gt;0,
     COUNTIFS($AP$2:$AP$200,$G219)&gt;0,
     COUNTIFS($AQ$2:$AQ$200,$G219)&gt;0,
     COUNTIFS($AR$2:$AR$200,$G219)&gt;0,
     COUNTIFS($AS$2:$AS$200,$G219)&gt;0,
     COUNTIFS($AT$2:$AT$200,$G219)&gt;0,
     COUNTIFS($AU$2:$AU$200,$G219)&gt;0,
     COUNTIFS($AV$2:$AV$200,$G219)&gt;0,
     COUNTIFS($AW$2:$AW$200,$G219)&gt;0,
     COUNTIFS($AX$2:$AX$200,$G219)&gt;0
   )),
  ),
  3
 ),
"")</f>
        <v/>
      </c>
      <c r="F219" s="3" t="str" cm="1">
        <f t="array" aca="1" ref="F219" ca="1">IFERROR(
 INDEX(
  _xlfn._xlws.FILTER($U$1:$AX$1,
   TRANSPOSE(
    CHOOSE({1;2;3;4;5;6;7;8;9;10;11;12;13;14;15;16;17;18;19;20;21;22;23;24;25;26;27;28;29;30},
     COUNTIFS($U$2:$U$200,$G219)&gt;0,
     COUNTIFS($V$2:$V$200,$G219)&gt;0,
     COUNTIFS($W$2:$W$200,$G219)&gt;0,
     COUNTIFS($X$2:$X$200,$G219)&gt;0,
     COUNTIFS($Y$2:$Y$200,$G219)&gt;0,
     COUNTIFS($Z$2:$Z$200,$G219)&gt;0,
     COUNTIFS($AA$2:$AA$200,$G219)&gt;0,
     COUNTIFS($AB$2:$AB$200,$G219)&gt;0,
     COUNTIFS($AC$2:$AC$200,$G219)&gt;0,
     COUNTIFS($AD$2:$AD$200,$G219)&gt;0,
     COUNTIFS($AE$2:$AE$200,$G219)&gt;0,
     COUNTIFS($AF$2:$AF$200,$G219)&gt;0,
     COUNTIFS($AG$2:$AG$200,$G219)&gt;0,
     COUNTIFS($AH$2:$AH$200,$G219)&gt;0,
     COUNTIFS($AI$2:$AI$200,$G219)&gt;0,
     COUNTIFS($AJ$2:$AJ$200,$G219)&gt;0,
     COUNTIFS($AK$2:$AK$200,$G219)&gt;0,
     COUNTIFS($AL$2:$AL$200,$G219)&gt;0,
     COUNTIFS($AM$2:$AM$200,$G219)&gt;0,
     COUNTIFS($AN$2:$AN$200,$G219)&gt;0,
     COUNTIFS($AO$2:$AO$200,$G219)&gt;0,
     COUNTIFS($AP$2:$AP$200,$G219)&gt;0,
     COUNTIFS($AQ$2:$AQ$200,$G219)&gt;0,
     COUNTIFS($AR$2:$AR$200,$G219)&gt;0,
     COUNTIFS($AS$2:$AS$200,$G219)&gt;0,
     COUNTIFS($AT$2:$AT$200,$G219)&gt;0,
     COUNTIFS($AU$2:$AU$200,$G219)&gt;0,
     COUNTIFS($AV$2:$AV$200,$G219)&gt;0,
     COUNTIFS($AW$2:$AW$200,$G219)&gt;0,
     COUNTIFS($AX$2:$AX$200,$G219)&gt;0
   )),
  ),
  4
 ),
"")</f>
        <v/>
      </c>
      <c r="G219" t="str">
        <f ca="1"/>
        <v>Rotating Fireplace</v>
      </c>
      <c r="CG219" t="str">
        <f ca="1"/>
        <v>Training Center</v>
      </c>
      <c r="CJ219" t="str">
        <f ca="1"/>
        <v>Rotating Fireplace</v>
      </c>
    </row>
    <row r="220" spans="1:88" x14ac:dyDescent="0.25">
      <c r="A220" s="3" t="str">
        <f t="shared" ca="1" si="8"/>
        <v>1</v>
      </c>
      <c r="B220" s="3">
        <f t="shared" ca="1" si="9"/>
        <v>1</v>
      </c>
      <c r="C220" s="3" t="str">
        <f ca="1">IFERROR(
 INDEX($U$1:$AX$1,
  MATCH(TRUE,
   CHOOSE({1;2;3;4;5;6;7;8;9;10;11;12;13;14;15;16;17;18;19;20;21;22;23;24;25;26;27;28;29;30;31;32},
    COUNTIFS($U$2:$U$200,$G220)&gt;0,
    COUNTIFS($V$2:$V$200,$G220)&gt;0,
    COUNTIFS($W$2:$W$200,$G220)&gt;0,
    COUNTIFS($X$2:$X$200,$G220)&gt;0,
    COUNTIFS($Y$2:$Y$200,$G220)&gt;0,
    COUNTIFS($Z$2:$Z$200,$G220)&gt;0,
    COUNTIFS($AA$2:$AA$200,$G220)&gt;0,
    COUNTIFS($AB$2:$AB$200,$G220)&gt;0,
    COUNTIFS($AC$2:$AC$200,$G220)&gt;0,
    COUNTIFS($AD$2:$AD$200,$G220)&gt;0,
    COUNTIFS($AE$2:$AE$200,$G220)&gt;0,
    COUNTIFS($AF$2:$AF$200,$G220)&gt;0,
    COUNTIFS($AG$2:$AG$200,$G220)&gt;0,
    COUNTIFS($AH$2:$AH$200,$G220)&gt;0,
    COUNTIFS($AI$2:$AI$200,$G220)&gt;0,
    COUNTIFS($AJ$2:$AJ$200,$G220)&gt;0,
    COUNTIFS($AK$2:$AK$200,$G220)&gt;0,
    COUNTIFS($AL$2:$AL$200,$G220)&gt;0,
    COUNTIFS($AM$2:$AM$200,$G220)&gt;0,
    COUNTIFS($AN$2:$AN$200,$G220)&gt;0,
    COUNTIFS($AO$2:$AO$200,$G220)&gt;0,
    COUNTIFS($AP$2:$AP$200,$G220)&gt;0,
    COUNTIFS($AQ$2:$AQ$200,$G220)&gt;0,
    COUNTIFS($AR$2:$AR$200,$G220)&gt;0,
    COUNTIFS($AS$2:$AS$200,$G220)&gt;0,
    COUNTIFS($AT$2:$AT$200,$G220)&gt;0,
    COUNTIFS($AU$2:$AU$200,$G220)&gt;0,
    COUNTIFS($AV$2:$AV$200,$G220)&gt;0,
    COUNTIFS($AW$2:$AW$200,$G220)&gt;0,
    COUNTIFS($AX$2:$AX$200,$G220)&gt;0
   ),
  0)
 ),
"")</f>
        <v>Modular</v>
      </c>
      <c r="D220" s="3" t="str" cm="1">
        <f t="array" aca="1" ref="D220" ca="1">IFERROR(
 INDEX(
  _xlfn._xlws.FILTER($U$1:$AX$1,
   TRANSPOSE(
    CHOOSE({1;2;3;4;5;6;7;8;9;10;11;12;13;14;15;16;17;18;19;20;21;22;23;24;25;26;27;28;29;30},
     COUNTIFS($U$2:$U$200,$G220)&gt;0,
     COUNTIFS($V$2:$V$200,$G220)&gt;0,
     COUNTIFS($W$2:$W$200,$G220)&gt;0,
     COUNTIFS($X$2:$X$200,$G220)&gt;0,
     COUNTIFS($Y$2:$Y$200,$G220)&gt;0,
     COUNTIFS($Z$2:$Z$200,$G220)&gt;0,
     COUNTIFS($AA$2:$AA$200,$G220)&gt;0,
     COUNTIFS($AB$2:$AB$200,$G220)&gt;0,
     COUNTIFS($AC$2:$AC$200,$G220)&gt;0,
     COUNTIFS($AD$2:$AD$200,$G220)&gt;0,
     COUNTIFS($AE$2:$AE$200,$G220)&gt;0,
     COUNTIFS($AF$2:$AF$200,$G220)&gt;0,
     COUNTIFS($AG$2:$AG$200,$G220)&gt;0,
     COUNTIFS($AH$2:$AH$200,$G220)&gt;0,
     COUNTIFS($AI$2:$AI$200,$G220)&gt;0,
     COUNTIFS($AJ$2:$AJ$200,$G220)&gt;0,
     COUNTIFS($AK$2:$AK$200,$G220)&gt;0,
     COUNTIFS($AL$2:$AL$200,$G220)&gt;0,
     COUNTIFS($AM$2:$AM$200,$G220)&gt;0,
     COUNTIFS($AN$2:$AN$200,$G220)&gt;0,
     COUNTIFS($AO$2:$AO$200,$G220)&gt;0,
     COUNTIFS($AP$2:$AP$200,$G220)&gt;0,
     COUNTIFS($AQ$2:$AQ$200,$G220)&gt;0,
     COUNTIFS($AR$2:$AR$200,$G220)&gt;0,
     COUNTIFS($AS$2:$AS$200,$G220)&gt;0,
     COUNTIFS($AT$2:$AT$200,$G220)&gt;0,
     COUNTIFS($AU$2:$AU$200,$G220)&gt;0,
     COUNTIFS($AV$2:$AV$200,$G220)&gt;0,
     COUNTIFS($AW$2:$AW$200,$G220)&gt;0,
     COUNTIFS($AX$2:$AX$200,$G220)&gt;0
   )),
  ),
  2
 ),
"")</f>
        <v/>
      </c>
      <c r="E220" s="3" t="str" cm="1">
        <f t="array" aca="1" ref="E220" ca="1">IFERROR(
 INDEX(
  _xlfn._xlws.FILTER($U$1:$AX$1,
   TRANSPOSE(
    CHOOSE({1;2;3;4;5;6;7;8;9;10;11;12;13;14;15;16;17;18;19;20;21;22;23;24;25;26;27;28;29;30},
     COUNTIFS($U$2:$U$200,$G220)&gt;0,
     COUNTIFS($V$2:$V$200,$G220)&gt;0,
     COUNTIFS($W$2:$W$200,$G220)&gt;0,
     COUNTIFS($X$2:$X$200,$G220)&gt;0,
     COUNTIFS($Y$2:$Y$200,$G220)&gt;0,
     COUNTIFS($Z$2:$Z$200,$G220)&gt;0,
     COUNTIFS($AA$2:$AA$200,$G220)&gt;0,
     COUNTIFS($AB$2:$AB$200,$G220)&gt;0,
     COUNTIFS($AC$2:$AC$200,$G220)&gt;0,
     COUNTIFS($AD$2:$AD$200,$G220)&gt;0,
     COUNTIFS($AE$2:$AE$200,$G220)&gt;0,
     COUNTIFS($AF$2:$AF$200,$G220)&gt;0,
     COUNTIFS($AG$2:$AG$200,$G220)&gt;0,
     COUNTIFS($AH$2:$AH$200,$G220)&gt;0,
     COUNTIFS($AI$2:$AI$200,$G220)&gt;0,
     COUNTIFS($AJ$2:$AJ$200,$G220)&gt;0,
     COUNTIFS($AK$2:$AK$200,$G220)&gt;0,
     COUNTIFS($AL$2:$AL$200,$G220)&gt;0,
     COUNTIFS($AM$2:$AM$200,$G220)&gt;0,
     COUNTIFS($AN$2:$AN$200,$G220)&gt;0,
     COUNTIFS($AO$2:$AO$200,$G220)&gt;0,
     COUNTIFS($AP$2:$AP$200,$G220)&gt;0,
     COUNTIFS($AQ$2:$AQ$200,$G220)&gt;0,
     COUNTIFS($AR$2:$AR$200,$G220)&gt;0,
     COUNTIFS($AS$2:$AS$200,$G220)&gt;0,
     COUNTIFS($AT$2:$AT$200,$G220)&gt;0,
     COUNTIFS($AU$2:$AU$200,$G220)&gt;0,
     COUNTIFS($AV$2:$AV$200,$G220)&gt;0,
     COUNTIFS($AW$2:$AW$200,$G220)&gt;0,
     COUNTIFS($AX$2:$AX$200,$G220)&gt;0
   )),
  ),
  3
 ),
"")</f>
        <v/>
      </c>
      <c r="F220" s="3" t="str" cm="1">
        <f t="array" aca="1" ref="F220" ca="1">IFERROR(
 INDEX(
  _xlfn._xlws.FILTER($U$1:$AX$1,
   TRANSPOSE(
    CHOOSE({1;2;3;4;5;6;7;8;9;10;11;12;13;14;15;16;17;18;19;20;21;22;23;24;25;26;27;28;29;30},
     COUNTIFS($U$2:$U$200,$G220)&gt;0,
     COUNTIFS($V$2:$V$200,$G220)&gt;0,
     COUNTIFS($W$2:$W$200,$G220)&gt;0,
     COUNTIFS($X$2:$X$200,$G220)&gt;0,
     COUNTIFS($Y$2:$Y$200,$G220)&gt;0,
     COUNTIFS($Z$2:$Z$200,$G220)&gt;0,
     COUNTIFS($AA$2:$AA$200,$G220)&gt;0,
     COUNTIFS($AB$2:$AB$200,$G220)&gt;0,
     COUNTIFS($AC$2:$AC$200,$G220)&gt;0,
     COUNTIFS($AD$2:$AD$200,$G220)&gt;0,
     COUNTIFS($AE$2:$AE$200,$G220)&gt;0,
     COUNTIFS($AF$2:$AF$200,$G220)&gt;0,
     COUNTIFS($AG$2:$AG$200,$G220)&gt;0,
     COUNTIFS($AH$2:$AH$200,$G220)&gt;0,
     COUNTIFS($AI$2:$AI$200,$G220)&gt;0,
     COUNTIFS($AJ$2:$AJ$200,$G220)&gt;0,
     COUNTIFS($AK$2:$AK$200,$G220)&gt;0,
     COUNTIFS($AL$2:$AL$200,$G220)&gt;0,
     COUNTIFS($AM$2:$AM$200,$G220)&gt;0,
     COUNTIFS($AN$2:$AN$200,$G220)&gt;0,
     COUNTIFS($AO$2:$AO$200,$G220)&gt;0,
     COUNTIFS($AP$2:$AP$200,$G220)&gt;0,
     COUNTIFS($AQ$2:$AQ$200,$G220)&gt;0,
     COUNTIFS($AR$2:$AR$200,$G220)&gt;0,
     COUNTIFS($AS$2:$AS$200,$G220)&gt;0,
     COUNTIFS($AT$2:$AT$200,$G220)&gt;0,
     COUNTIFS($AU$2:$AU$200,$G220)&gt;0,
     COUNTIFS($AV$2:$AV$200,$G220)&gt;0,
     COUNTIFS($AW$2:$AW$200,$G220)&gt;0,
     COUNTIFS($AX$2:$AX$200,$G220)&gt;0
   )),
  ),
  4
 ),
"")</f>
        <v/>
      </c>
      <c r="G220" t="str">
        <f ca="1"/>
        <v>Rustvale Bridge</v>
      </c>
      <c r="CG220" t="str">
        <f ca="1"/>
        <v>Treasure Vault</v>
      </c>
      <c r="CJ220" t="str">
        <f ca="1"/>
        <v>Rustvale Bridge</v>
      </c>
    </row>
    <row r="221" spans="1:88" x14ac:dyDescent="0.25">
      <c r="A221" s="3" t="str">
        <f t="shared" ca="1" si="8"/>
        <v>1</v>
      </c>
      <c r="B221" s="3">
        <f t="shared" ca="1" si="9"/>
        <v>1</v>
      </c>
      <c r="C221" s="3" t="str">
        <f ca="1">IFERROR(
 INDEX($U$1:$AX$1,
  MATCH(TRUE,
   CHOOSE({1;2;3;4;5;6;7;8;9;10;11;12;13;14;15;16;17;18;19;20;21;22;23;24;25;26;27;28;29;30;31;32},
    COUNTIFS($U$2:$U$200,$G221)&gt;0,
    COUNTIFS($V$2:$V$200,$G221)&gt;0,
    COUNTIFS($W$2:$W$200,$G221)&gt;0,
    COUNTIFS($X$2:$X$200,$G221)&gt;0,
    COUNTIFS($Y$2:$Y$200,$G221)&gt;0,
    COUNTIFS($Z$2:$Z$200,$G221)&gt;0,
    COUNTIFS($AA$2:$AA$200,$G221)&gt;0,
    COUNTIFS($AB$2:$AB$200,$G221)&gt;0,
    COUNTIFS($AC$2:$AC$200,$G221)&gt;0,
    COUNTIFS($AD$2:$AD$200,$G221)&gt;0,
    COUNTIFS($AE$2:$AE$200,$G221)&gt;0,
    COUNTIFS($AF$2:$AF$200,$G221)&gt;0,
    COUNTIFS($AG$2:$AG$200,$G221)&gt;0,
    COUNTIFS($AH$2:$AH$200,$G221)&gt;0,
    COUNTIFS($AI$2:$AI$200,$G221)&gt;0,
    COUNTIFS($AJ$2:$AJ$200,$G221)&gt;0,
    COUNTIFS($AK$2:$AK$200,$G221)&gt;0,
    COUNTIFS($AL$2:$AL$200,$G221)&gt;0,
    COUNTIFS($AM$2:$AM$200,$G221)&gt;0,
    COUNTIFS($AN$2:$AN$200,$G221)&gt;0,
    COUNTIFS($AO$2:$AO$200,$G221)&gt;0,
    COUNTIFS($AP$2:$AP$200,$G221)&gt;0,
    COUNTIFS($AQ$2:$AQ$200,$G221)&gt;0,
    COUNTIFS($AR$2:$AR$200,$G221)&gt;0,
    COUNTIFS($AS$2:$AS$200,$G221)&gt;0,
    COUNTIFS($AT$2:$AT$200,$G221)&gt;0,
    COUNTIFS($AU$2:$AU$200,$G221)&gt;0,
    COUNTIFS($AV$2:$AV$200,$G221)&gt;0,
    COUNTIFS($AW$2:$AW$200,$G221)&gt;0,
    COUNTIFS($AX$2:$AX$200,$G221)&gt;0
   ),
  0)
 ),
"")</f>
        <v>Modular</v>
      </c>
      <c r="D221" s="3" t="str" cm="1">
        <f t="array" aca="1" ref="D221" ca="1">IFERROR(
 INDEX(
  _xlfn._xlws.FILTER($U$1:$AX$1,
   TRANSPOSE(
    CHOOSE({1;2;3;4;5;6;7;8;9;10;11;12;13;14;15;16;17;18;19;20;21;22;23;24;25;26;27;28;29;30},
     COUNTIFS($U$2:$U$200,$G221)&gt;0,
     COUNTIFS($V$2:$V$200,$G221)&gt;0,
     COUNTIFS($W$2:$W$200,$G221)&gt;0,
     COUNTIFS($X$2:$X$200,$G221)&gt;0,
     COUNTIFS($Y$2:$Y$200,$G221)&gt;0,
     COUNTIFS($Z$2:$Z$200,$G221)&gt;0,
     COUNTIFS($AA$2:$AA$200,$G221)&gt;0,
     COUNTIFS($AB$2:$AB$200,$G221)&gt;0,
     COUNTIFS($AC$2:$AC$200,$G221)&gt;0,
     COUNTIFS($AD$2:$AD$200,$G221)&gt;0,
     COUNTIFS($AE$2:$AE$200,$G221)&gt;0,
     COUNTIFS($AF$2:$AF$200,$G221)&gt;0,
     COUNTIFS($AG$2:$AG$200,$G221)&gt;0,
     COUNTIFS($AH$2:$AH$200,$G221)&gt;0,
     COUNTIFS($AI$2:$AI$200,$G221)&gt;0,
     COUNTIFS($AJ$2:$AJ$200,$G221)&gt;0,
     COUNTIFS($AK$2:$AK$200,$G221)&gt;0,
     COUNTIFS($AL$2:$AL$200,$G221)&gt;0,
     COUNTIFS($AM$2:$AM$200,$G221)&gt;0,
     COUNTIFS($AN$2:$AN$200,$G221)&gt;0,
     COUNTIFS($AO$2:$AO$200,$G221)&gt;0,
     COUNTIFS($AP$2:$AP$200,$G221)&gt;0,
     COUNTIFS($AQ$2:$AQ$200,$G221)&gt;0,
     COUNTIFS($AR$2:$AR$200,$G221)&gt;0,
     COUNTIFS($AS$2:$AS$200,$G221)&gt;0,
     COUNTIFS($AT$2:$AT$200,$G221)&gt;0,
     COUNTIFS($AU$2:$AU$200,$G221)&gt;0,
     COUNTIFS($AV$2:$AV$200,$G221)&gt;0,
     COUNTIFS($AW$2:$AW$200,$G221)&gt;0,
     COUNTIFS($AX$2:$AX$200,$G221)&gt;0
   )),
  ),
  2
 ),
"")</f>
        <v/>
      </c>
      <c r="E221" s="3" t="str" cm="1">
        <f t="array" aca="1" ref="E221" ca="1">IFERROR(
 INDEX(
  _xlfn._xlws.FILTER($U$1:$AX$1,
   TRANSPOSE(
    CHOOSE({1;2;3;4;5;6;7;8;9;10;11;12;13;14;15;16;17;18;19;20;21;22;23;24;25;26;27;28;29;30},
     COUNTIFS($U$2:$U$200,$G221)&gt;0,
     COUNTIFS($V$2:$V$200,$G221)&gt;0,
     COUNTIFS($W$2:$W$200,$G221)&gt;0,
     COUNTIFS($X$2:$X$200,$G221)&gt;0,
     COUNTIFS($Y$2:$Y$200,$G221)&gt;0,
     COUNTIFS($Z$2:$Z$200,$G221)&gt;0,
     COUNTIFS($AA$2:$AA$200,$G221)&gt;0,
     COUNTIFS($AB$2:$AB$200,$G221)&gt;0,
     COUNTIFS($AC$2:$AC$200,$G221)&gt;0,
     COUNTIFS($AD$2:$AD$200,$G221)&gt;0,
     COUNTIFS($AE$2:$AE$200,$G221)&gt;0,
     COUNTIFS($AF$2:$AF$200,$G221)&gt;0,
     COUNTIFS($AG$2:$AG$200,$G221)&gt;0,
     COUNTIFS($AH$2:$AH$200,$G221)&gt;0,
     COUNTIFS($AI$2:$AI$200,$G221)&gt;0,
     COUNTIFS($AJ$2:$AJ$200,$G221)&gt;0,
     COUNTIFS($AK$2:$AK$200,$G221)&gt;0,
     COUNTIFS($AL$2:$AL$200,$G221)&gt;0,
     COUNTIFS($AM$2:$AM$200,$G221)&gt;0,
     COUNTIFS($AN$2:$AN$200,$G221)&gt;0,
     COUNTIFS($AO$2:$AO$200,$G221)&gt;0,
     COUNTIFS($AP$2:$AP$200,$G221)&gt;0,
     COUNTIFS($AQ$2:$AQ$200,$G221)&gt;0,
     COUNTIFS($AR$2:$AR$200,$G221)&gt;0,
     COUNTIFS($AS$2:$AS$200,$G221)&gt;0,
     COUNTIFS($AT$2:$AT$200,$G221)&gt;0,
     COUNTIFS($AU$2:$AU$200,$G221)&gt;0,
     COUNTIFS($AV$2:$AV$200,$G221)&gt;0,
     COUNTIFS($AW$2:$AW$200,$G221)&gt;0,
     COUNTIFS($AX$2:$AX$200,$G221)&gt;0
   )),
  ),
  3
 ),
"")</f>
        <v/>
      </c>
      <c r="F221" s="3" t="str" cm="1">
        <f t="array" aca="1" ref="F221" ca="1">IFERROR(
 INDEX(
  _xlfn._xlws.FILTER($U$1:$AX$1,
   TRANSPOSE(
    CHOOSE({1;2;3;4;5;6;7;8;9;10;11;12;13;14;15;16;17;18;19;20;21;22;23;24;25;26;27;28;29;30},
     COUNTIFS($U$2:$U$200,$G221)&gt;0,
     COUNTIFS($V$2:$V$200,$G221)&gt;0,
     COUNTIFS($W$2:$W$200,$G221)&gt;0,
     COUNTIFS($X$2:$X$200,$G221)&gt;0,
     COUNTIFS($Y$2:$Y$200,$G221)&gt;0,
     COUNTIFS($Z$2:$Z$200,$G221)&gt;0,
     COUNTIFS($AA$2:$AA$200,$G221)&gt;0,
     COUNTIFS($AB$2:$AB$200,$G221)&gt;0,
     COUNTIFS($AC$2:$AC$200,$G221)&gt;0,
     COUNTIFS($AD$2:$AD$200,$G221)&gt;0,
     COUNTIFS($AE$2:$AE$200,$G221)&gt;0,
     COUNTIFS($AF$2:$AF$200,$G221)&gt;0,
     COUNTIFS($AG$2:$AG$200,$G221)&gt;0,
     COUNTIFS($AH$2:$AH$200,$G221)&gt;0,
     COUNTIFS($AI$2:$AI$200,$G221)&gt;0,
     COUNTIFS($AJ$2:$AJ$200,$G221)&gt;0,
     COUNTIFS($AK$2:$AK$200,$G221)&gt;0,
     COUNTIFS($AL$2:$AL$200,$G221)&gt;0,
     COUNTIFS($AM$2:$AM$200,$G221)&gt;0,
     COUNTIFS($AN$2:$AN$200,$G221)&gt;0,
     COUNTIFS($AO$2:$AO$200,$G221)&gt;0,
     COUNTIFS($AP$2:$AP$200,$G221)&gt;0,
     COUNTIFS($AQ$2:$AQ$200,$G221)&gt;0,
     COUNTIFS($AR$2:$AR$200,$G221)&gt;0,
     COUNTIFS($AS$2:$AS$200,$G221)&gt;0,
     COUNTIFS($AT$2:$AT$200,$G221)&gt;0,
     COUNTIFS($AU$2:$AU$200,$G221)&gt;0,
     COUNTIFS($AV$2:$AV$200,$G221)&gt;0,
     COUNTIFS($AW$2:$AW$200,$G221)&gt;0,
     COUNTIFS($AX$2:$AX$200,$G221)&gt;0
   )),
  ),
  4
 ),
"")</f>
        <v/>
      </c>
      <c r="G221" t="str">
        <f ca="1"/>
        <v>Sacred Ground</v>
      </c>
      <c r="CG221" t="str">
        <f ca="1"/>
        <v>Trenzalore Clocktower</v>
      </c>
      <c r="CJ221" t="str">
        <f ca="1"/>
        <v>Sacred Ground</v>
      </c>
    </row>
    <row r="222" spans="1:88" x14ac:dyDescent="0.25">
      <c r="A222" s="3" t="str">
        <f t="shared" ca="1" si="8"/>
        <v>4</v>
      </c>
      <c r="B222" s="3">
        <f t="shared" ca="1" si="9"/>
        <v>1</v>
      </c>
      <c r="C222" s="3" t="str">
        <f ca="1">IFERROR(
 INDEX($U$1:$AX$1,
  MATCH(TRUE,
   CHOOSE({1;2;3;4;5;6;7;8;9;10;11;12;13;14;15;16;17;18;19;20;21;22;23;24;25;26;27;28;29;30;31;32},
    COUNTIFS($U$2:$U$200,$G222)&gt;0,
    COUNTIFS($V$2:$V$200,$G222)&gt;0,
    COUNTIFS($W$2:$W$200,$G222)&gt;0,
    COUNTIFS($X$2:$X$200,$G222)&gt;0,
    COUNTIFS($Y$2:$Y$200,$G222)&gt;0,
    COUNTIFS($Z$2:$Z$200,$G222)&gt;0,
    COUNTIFS($AA$2:$AA$200,$G222)&gt;0,
    COUNTIFS($AB$2:$AB$200,$G222)&gt;0,
    COUNTIFS($AC$2:$AC$200,$G222)&gt;0,
    COUNTIFS($AD$2:$AD$200,$G222)&gt;0,
    COUNTIFS($AE$2:$AE$200,$G222)&gt;0,
    COUNTIFS($AF$2:$AF$200,$G222)&gt;0,
    COUNTIFS($AG$2:$AG$200,$G222)&gt;0,
    COUNTIFS($AH$2:$AH$200,$G222)&gt;0,
    COUNTIFS($AI$2:$AI$200,$G222)&gt;0,
    COUNTIFS($AJ$2:$AJ$200,$G222)&gt;0,
    COUNTIFS($AK$2:$AK$200,$G222)&gt;0,
    COUNTIFS($AL$2:$AL$200,$G222)&gt;0,
    COUNTIFS($AM$2:$AM$200,$G222)&gt;0,
    COUNTIFS($AN$2:$AN$200,$G222)&gt;0,
    COUNTIFS($AO$2:$AO$200,$G222)&gt;0,
    COUNTIFS($AP$2:$AP$200,$G222)&gt;0,
    COUNTIFS($AQ$2:$AQ$200,$G222)&gt;0,
    COUNTIFS($AR$2:$AR$200,$G222)&gt;0,
    COUNTIFS($AS$2:$AS$200,$G222)&gt;0,
    COUNTIFS($AT$2:$AT$200,$G222)&gt;0,
    COUNTIFS($AU$2:$AU$200,$G222)&gt;0,
    COUNTIFS($AV$2:$AV$200,$G222)&gt;0,
    COUNTIFS($AW$2:$AW$200,$G222)&gt;0,
    COUNTIFS($AX$2:$AX$200,$G222)&gt;0
   ),
  0)
 ),
"")</f>
        <v>Kresh</v>
      </c>
      <c r="D222" s="3" t="str" cm="1">
        <f t="array" aca="1" ref="D222" ca="1">IFERROR(
 INDEX(
  _xlfn._xlws.FILTER($U$1:$AX$1,
   TRANSPOSE(
    CHOOSE({1;2;3;4;5;6;7;8;9;10;11;12;13;14;15;16;17;18;19;20;21;22;23;24;25;26;27;28;29;30},
     COUNTIFS($U$2:$U$200,$G222)&gt;0,
     COUNTIFS($V$2:$V$200,$G222)&gt;0,
     COUNTIFS($W$2:$W$200,$G222)&gt;0,
     COUNTIFS($X$2:$X$200,$G222)&gt;0,
     COUNTIFS($Y$2:$Y$200,$G222)&gt;0,
     COUNTIFS($Z$2:$Z$200,$G222)&gt;0,
     COUNTIFS($AA$2:$AA$200,$G222)&gt;0,
     COUNTIFS($AB$2:$AB$200,$G222)&gt;0,
     COUNTIFS($AC$2:$AC$200,$G222)&gt;0,
     COUNTIFS($AD$2:$AD$200,$G222)&gt;0,
     COUNTIFS($AE$2:$AE$200,$G222)&gt;0,
     COUNTIFS($AF$2:$AF$200,$G222)&gt;0,
     COUNTIFS($AG$2:$AG$200,$G222)&gt;0,
     COUNTIFS($AH$2:$AH$200,$G222)&gt;0,
     COUNTIFS($AI$2:$AI$200,$G222)&gt;0,
     COUNTIFS($AJ$2:$AJ$200,$G222)&gt;0,
     COUNTIFS($AK$2:$AK$200,$G222)&gt;0,
     COUNTIFS($AL$2:$AL$200,$G222)&gt;0,
     COUNTIFS($AM$2:$AM$200,$G222)&gt;0,
     COUNTIFS($AN$2:$AN$200,$G222)&gt;0,
     COUNTIFS($AO$2:$AO$200,$G222)&gt;0,
     COUNTIFS($AP$2:$AP$200,$G222)&gt;0,
     COUNTIFS($AQ$2:$AQ$200,$G222)&gt;0,
     COUNTIFS($AR$2:$AR$200,$G222)&gt;0,
     COUNTIFS($AS$2:$AS$200,$G222)&gt;0,
     COUNTIFS($AT$2:$AT$200,$G222)&gt;0,
     COUNTIFS($AU$2:$AU$200,$G222)&gt;0,
     COUNTIFS($AV$2:$AV$200,$G222)&gt;0,
     COUNTIFS($AW$2:$AW$200,$G222)&gt;0,
     COUNTIFS($AX$2:$AX$200,$G222)&gt;0
   )),
  ),
  2
 ),
"")</f>
        <v/>
      </c>
      <c r="E222" s="3" t="str" cm="1">
        <f t="array" aca="1" ref="E222" ca="1">IFERROR(
 INDEX(
  _xlfn._xlws.FILTER($U$1:$AX$1,
   TRANSPOSE(
    CHOOSE({1;2;3;4;5;6;7;8;9;10;11;12;13;14;15;16;17;18;19;20;21;22;23;24;25;26;27;28;29;30},
     COUNTIFS($U$2:$U$200,$G222)&gt;0,
     COUNTIFS($V$2:$V$200,$G222)&gt;0,
     COUNTIFS($W$2:$W$200,$G222)&gt;0,
     COUNTIFS($X$2:$X$200,$G222)&gt;0,
     COUNTIFS($Y$2:$Y$200,$G222)&gt;0,
     COUNTIFS($Z$2:$Z$200,$G222)&gt;0,
     COUNTIFS($AA$2:$AA$200,$G222)&gt;0,
     COUNTIFS($AB$2:$AB$200,$G222)&gt;0,
     COUNTIFS($AC$2:$AC$200,$G222)&gt;0,
     COUNTIFS($AD$2:$AD$200,$G222)&gt;0,
     COUNTIFS($AE$2:$AE$200,$G222)&gt;0,
     COUNTIFS($AF$2:$AF$200,$G222)&gt;0,
     COUNTIFS($AG$2:$AG$200,$G222)&gt;0,
     COUNTIFS($AH$2:$AH$200,$G222)&gt;0,
     COUNTIFS($AI$2:$AI$200,$G222)&gt;0,
     COUNTIFS($AJ$2:$AJ$200,$G222)&gt;0,
     COUNTIFS($AK$2:$AK$200,$G222)&gt;0,
     COUNTIFS($AL$2:$AL$200,$G222)&gt;0,
     COUNTIFS($AM$2:$AM$200,$G222)&gt;0,
     COUNTIFS($AN$2:$AN$200,$G222)&gt;0,
     COUNTIFS($AO$2:$AO$200,$G222)&gt;0,
     COUNTIFS($AP$2:$AP$200,$G222)&gt;0,
     COUNTIFS($AQ$2:$AQ$200,$G222)&gt;0,
     COUNTIFS($AR$2:$AR$200,$G222)&gt;0,
     COUNTIFS($AS$2:$AS$200,$G222)&gt;0,
     COUNTIFS($AT$2:$AT$200,$G222)&gt;0,
     COUNTIFS($AU$2:$AU$200,$G222)&gt;0,
     COUNTIFS($AV$2:$AV$200,$G222)&gt;0,
     COUNTIFS($AW$2:$AW$200,$G222)&gt;0,
     COUNTIFS($AX$2:$AX$200,$G222)&gt;0
   )),
  ),
  3
 ),
"")</f>
        <v/>
      </c>
      <c r="F222" s="3" t="str" cm="1">
        <f t="array" aca="1" ref="F222" ca="1">IFERROR(
 INDEX(
  _xlfn._xlws.FILTER($U$1:$AX$1,
   TRANSPOSE(
    CHOOSE({1;2;3;4;5;6;7;8;9;10;11;12;13;14;15;16;17;18;19;20;21;22;23;24;25;26;27;28;29;30},
     COUNTIFS($U$2:$U$200,$G222)&gt;0,
     COUNTIFS($V$2:$V$200,$G222)&gt;0,
     COUNTIFS($W$2:$W$200,$G222)&gt;0,
     COUNTIFS($X$2:$X$200,$G222)&gt;0,
     COUNTIFS($Y$2:$Y$200,$G222)&gt;0,
     COUNTIFS($Z$2:$Z$200,$G222)&gt;0,
     COUNTIFS($AA$2:$AA$200,$G222)&gt;0,
     COUNTIFS($AB$2:$AB$200,$G222)&gt;0,
     COUNTIFS($AC$2:$AC$200,$G222)&gt;0,
     COUNTIFS($AD$2:$AD$200,$G222)&gt;0,
     COUNTIFS($AE$2:$AE$200,$G222)&gt;0,
     COUNTIFS($AF$2:$AF$200,$G222)&gt;0,
     COUNTIFS($AG$2:$AG$200,$G222)&gt;0,
     COUNTIFS($AH$2:$AH$200,$G222)&gt;0,
     COUNTIFS($AI$2:$AI$200,$G222)&gt;0,
     COUNTIFS($AJ$2:$AJ$200,$G222)&gt;0,
     COUNTIFS($AK$2:$AK$200,$G222)&gt;0,
     COUNTIFS($AL$2:$AL$200,$G222)&gt;0,
     COUNTIFS($AM$2:$AM$200,$G222)&gt;0,
     COUNTIFS($AN$2:$AN$200,$G222)&gt;0,
     COUNTIFS($AO$2:$AO$200,$G222)&gt;0,
     COUNTIFS($AP$2:$AP$200,$G222)&gt;0,
     COUNTIFS($AQ$2:$AQ$200,$G222)&gt;0,
     COUNTIFS($AR$2:$AR$200,$G222)&gt;0,
     COUNTIFS($AS$2:$AS$200,$G222)&gt;0,
     COUNTIFS($AT$2:$AT$200,$G222)&gt;0,
     COUNTIFS($AU$2:$AU$200,$G222)&gt;0,
     COUNTIFS($AV$2:$AV$200,$G222)&gt;0,
     COUNTIFS($AW$2:$AW$200,$G222)&gt;0,
     COUNTIFS($AX$2:$AX$200,$G222)&gt;0
   )),
  ),
  4
 ),
"")</f>
        <v/>
      </c>
      <c r="G222" t="str">
        <f ca="1"/>
        <v>Saqueador Amaldiçoado</v>
      </c>
      <c r="CG222" t="str">
        <f ca="1"/>
        <v>Tromell, Seymour's Butler</v>
      </c>
      <c r="CJ222" t="str">
        <f ca="1"/>
        <v>Saqueador Amaldiçoado</v>
      </c>
    </row>
    <row r="223" spans="1:88" x14ac:dyDescent="0.25">
      <c r="A223" s="3" t="str">
        <f t="shared" ca="1" si="8"/>
        <v>3</v>
      </c>
      <c r="B223" s="3">
        <f t="shared" ca="1" si="9"/>
        <v>1</v>
      </c>
      <c r="C223" s="3" t="str">
        <f ca="1">IFERROR(
 INDEX($U$1:$AX$1,
  MATCH(TRUE,
   CHOOSE({1;2;3;4;5;6;7;8;9;10;11;12;13;14;15;16;17;18;19;20;21;22;23;24;25;26;27;28;29;30;31;32},
    COUNTIFS($U$2:$U$200,$G223)&gt;0,
    COUNTIFS($V$2:$V$200,$G223)&gt;0,
    COUNTIFS($W$2:$W$200,$G223)&gt;0,
    COUNTIFS($X$2:$X$200,$G223)&gt;0,
    COUNTIFS($Y$2:$Y$200,$G223)&gt;0,
    COUNTIFS($Z$2:$Z$200,$G223)&gt;0,
    COUNTIFS($AA$2:$AA$200,$G223)&gt;0,
    COUNTIFS($AB$2:$AB$200,$G223)&gt;0,
    COUNTIFS($AC$2:$AC$200,$G223)&gt;0,
    COUNTIFS($AD$2:$AD$200,$G223)&gt;0,
    COUNTIFS($AE$2:$AE$200,$G223)&gt;0,
    COUNTIFS($AF$2:$AF$200,$G223)&gt;0,
    COUNTIFS($AG$2:$AG$200,$G223)&gt;0,
    COUNTIFS($AH$2:$AH$200,$G223)&gt;0,
    COUNTIFS($AI$2:$AI$200,$G223)&gt;0,
    COUNTIFS($AJ$2:$AJ$200,$G223)&gt;0,
    COUNTIFS($AK$2:$AK$200,$G223)&gt;0,
    COUNTIFS($AL$2:$AL$200,$G223)&gt;0,
    COUNTIFS($AM$2:$AM$200,$G223)&gt;0,
    COUNTIFS($AN$2:$AN$200,$G223)&gt;0,
    COUNTIFS($AO$2:$AO$200,$G223)&gt;0,
    COUNTIFS($AP$2:$AP$200,$G223)&gt;0,
    COUNTIFS($AQ$2:$AQ$200,$G223)&gt;0,
    COUNTIFS($AR$2:$AR$200,$G223)&gt;0,
    COUNTIFS($AS$2:$AS$200,$G223)&gt;0,
    COUNTIFS($AT$2:$AT$200,$G223)&gt;0,
    COUNTIFS($AU$2:$AU$200,$G223)&gt;0,
    COUNTIFS($AV$2:$AV$200,$G223)&gt;0,
    COUNTIFS($AW$2:$AW$200,$G223)&gt;0,
    COUNTIFS($AX$2:$AX$200,$G223)&gt;0
   ),
  0)
 ),
"")</f>
        <v>Yuriko</v>
      </c>
      <c r="D223" s="3" t="str" cm="1">
        <f t="array" aca="1" ref="D223" ca="1">IFERROR(
 INDEX(
  _xlfn._xlws.FILTER($U$1:$AX$1,
   TRANSPOSE(
    CHOOSE({1;2;3;4;5;6;7;8;9;10;11;12;13;14;15;16;17;18;19;20;21;22;23;24;25;26;27;28;29;30},
     COUNTIFS($U$2:$U$200,$G223)&gt;0,
     COUNTIFS($V$2:$V$200,$G223)&gt;0,
     COUNTIFS($W$2:$W$200,$G223)&gt;0,
     COUNTIFS($X$2:$X$200,$G223)&gt;0,
     COUNTIFS($Y$2:$Y$200,$G223)&gt;0,
     COUNTIFS($Z$2:$Z$200,$G223)&gt;0,
     COUNTIFS($AA$2:$AA$200,$G223)&gt;0,
     COUNTIFS($AB$2:$AB$200,$G223)&gt;0,
     COUNTIFS($AC$2:$AC$200,$G223)&gt;0,
     COUNTIFS($AD$2:$AD$200,$G223)&gt;0,
     COUNTIFS($AE$2:$AE$200,$G223)&gt;0,
     COUNTIFS($AF$2:$AF$200,$G223)&gt;0,
     COUNTIFS($AG$2:$AG$200,$G223)&gt;0,
     COUNTIFS($AH$2:$AH$200,$G223)&gt;0,
     COUNTIFS($AI$2:$AI$200,$G223)&gt;0,
     COUNTIFS($AJ$2:$AJ$200,$G223)&gt;0,
     COUNTIFS($AK$2:$AK$200,$G223)&gt;0,
     COUNTIFS($AL$2:$AL$200,$G223)&gt;0,
     COUNTIFS($AM$2:$AM$200,$G223)&gt;0,
     COUNTIFS($AN$2:$AN$200,$G223)&gt;0,
     COUNTIFS($AO$2:$AO$200,$G223)&gt;0,
     COUNTIFS($AP$2:$AP$200,$G223)&gt;0,
     COUNTIFS($AQ$2:$AQ$200,$G223)&gt;0,
     COUNTIFS($AR$2:$AR$200,$G223)&gt;0,
     COUNTIFS($AS$2:$AS$200,$G223)&gt;0,
     COUNTIFS($AT$2:$AT$200,$G223)&gt;0,
     COUNTIFS($AU$2:$AU$200,$G223)&gt;0,
     COUNTIFS($AV$2:$AV$200,$G223)&gt;0,
     COUNTIFS($AW$2:$AW$200,$G223)&gt;0,
     COUNTIFS($AX$2:$AX$200,$G223)&gt;0
   )),
  ),
  2
 ),
"")</f>
        <v/>
      </c>
      <c r="E223" s="3" t="str" cm="1">
        <f t="array" aca="1" ref="E223" ca="1">IFERROR(
 INDEX(
  _xlfn._xlws.FILTER($U$1:$AX$1,
   TRANSPOSE(
    CHOOSE({1;2;3;4;5;6;7;8;9;10;11;12;13;14;15;16;17;18;19;20;21;22;23;24;25;26;27;28;29;30},
     COUNTIFS($U$2:$U$200,$G223)&gt;0,
     COUNTIFS($V$2:$V$200,$G223)&gt;0,
     COUNTIFS($W$2:$W$200,$G223)&gt;0,
     COUNTIFS($X$2:$X$200,$G223)&gt;0,
     COUNTIFS($Y$2:$Y$200,$G223)&gt;0,
     COUNTIFS($Z$2:$Z$200,$G223)&gt;0,
     COUNTIFS($AA$2:$AA$200,$G223)&gt;0,
     COUNTIFS($AB$2:$AB$200,$G223)&gt;0,
     COUNTIFS($AC$2:$AC$200,$G223)&gt;0,
     COUNTIFS($AD$2:$AD$200,$G223)&gt;0,
     COUNTIFS($AE$2:$AE$200,$G223)&gt;0,
     COUNTIFS($AF$2:$AF$200,$G223)&gt;0,
     COUNTIFS($AG$2:$AG$200,$G223)&gt;0,
     COUNTIFS($AH$2:$AH$200,$G223)&gt;0,
     COUNTIFS($AI$2:$AI$200,$G223)&gt;0,
     COUNTIFS($AJ$2:$AJ$200,$G223)&gt;0,
     COUNTIFS($AK$2:$AK$200,$G223)&gt;0,
     COUNTIFS($AL$2:$AL$200,$G223)&gt;0,
     COUNTIFS($AM$2:$AM$200,$G223)&gt;0,
     COUNTIFS($AN$2:$AN$200,$G223)&gt;0,
     COUNTIFS($AO$2:$AO$200,$G223)&gt;0,
     COUNTIFS($AP$2:$AP$200,$G223)&gt;0,
     COUNTIFS($AQ$2:$AQ$200,$G223)&gt;0,
     COUNTIFS($AR$2:$AR$200,$G223)&gt;0,
     COUNTIFS($AS$2:$AS$200,$G223)&gt;0,
     COUNTIFS($AT$2:$AT$200,$G223)&gt;0,
     COUNTIFS($AU$2:$AU$200,$G223)&gt;0,
     COUNTIFS($AV$2:$AV$200,$G223)&gt;0,
     COUNTIFS($AW$2:$AW$200,$G223)&gt;0,
     COUNTIFS($AX$2:$AX$200,$G223)&gt;0
   )),
  ),
  3
 ),
"")</f>
        <v/>
      </c>
      <c r="F223" s="3" t="str" cm="1">
        <f t="array" aca="1" ref="F223" ca="1">IFERROR(
 INDEX(
  _xlfn._xlws.FILTER($U$1:$AX$1,
   TRANSPOSE(
    CHOOSE({1;2;3;4;5;6;7;8;9;10;11;12;13;14;15;16;17;18;19;20;21;22;23;24;25;26;27;28;29;30},
     COUNTIFS($U$2:$U$200,$G223)&gt;0,
     COUNTIFS($V$2:$V$200,$G223)&gt;0,
     COUNTIFS($W$2:$W$200,$G223)&gt;0,
     COUNTIFS($X$2:$X$200,$G223)&gt;0,
     COUNTIFS($Y$2:$Y$200,$G223)&gt;0,
     COUNTIFS($Z$2:$Z$200,$G223)&gt;0,
     COUNTIFS($AA$2:$AA$200,$G223)&gt;0,
     COUNTIFS($AB$2:$AB$200,$G223)&gt;0,
     COUNTIFS($AC$2:$AC$200,$G223)&gt;0,
     COUNTIFS($AD$2:$AD$200,$G223)&gt;0,
     COUNTIFS($AE$2:$AE$200,$G223)&gt;0,
     COUNTIFS($AF$2:$AF$200,$G223)&gt;0,
     COUNTIFS($AG$2:$AG$200,$G223)&gt;0,
     COUNTIFS($AH$2:$AH$200,$G223)&gt;0,
     COUNTIFS($AI$2:$AI$200,$G223)&gt;0,
     COUNTIFS($AJ$2:$AJ$200,$G223)&gt;0,
     COUNTIFS($AK$2:$AK$200,$G223)&gt;0,
     COUNTIFS($AL$2:$AL$200,$G223)&gt;0,
     COUNTIFS($AM$2:$AM$200,$G223)&gt;0,
     COUNTIFS($AN$2:$AN$200,$G223)&gt;0,
     COUNTIFS($AO$2:$AO$200,$G223)&gt;0,
     COUNTIFS($AP$2:$AP$200,$G223)&gt;0,
     COUNTIFS($AQ$2:$AQ$200,$G223)&gt;0,
     COUNTIFS($AR$2:$AR$200,$G223)&gt;0,
     COUNTIFS($AS$2:$AS$200,$G223)&gt;0,
     COUNTIFS($AT$2:$AT$200,$G223)&gt;0,
     COUNTIFS($AU$2:$AU$200,$G223)&gt;0,
     COUNTIFS($AV$2:$AV$200,$G223)&gt;0,
     COUNTIFS($AW$2:$AW$200,$G223)&gt;0,
     COUNTIFS($AX$2:$AX$200,$G223)&gt;0
   )),
  ),
  4
 ),
"")</f>
        <v/>
      </c>
      <c r="G223" t="str">
        <f ca="1"/>
        <v>Satoru, the Infiltrator</v>
      </c>
      <c r="CG223" t="str">
        <f ca="1"/>
        <v>Ulamog, o Profanador</v>
      </c>
      <c r="CJ223" t="str">
        <f ca="1"/>
        <v>Satoru, the Infiltrator</v>
      </c>
    </row>
    <row r="224" spans="1:88" x14ac:dyDescent="0.25">
      <c r="A224" s="3" t="str">
        <f t="shared" ca="1" si="8"/>
        <v>4</v>
      </c>
      <c r="B224" s="3">
        <f t="shared" ca="1" si="9"/>
        <v>1</v>
      </c>
      <c r="C224" s="3" t="str">
        <f ca="1">IFERROR(
 INDEX($U$1:$AX$1,
  MATCH(TRUE,
   CHOOSE({1;2;3;4;5;6;7;8;9;10;11;12;13;14;15;16;17;18;19;20;21;22;23;24;25;26;27;28;29;30;31;32},
    COUNTIFS($U$2:$U$200,$G224)&gt;0,
    COUNTIFS($V$2:$V$200,$G224)&gt;0,
    COUNTIFS($W$2:$W$200,$G224)&gt;0,
    COUNTIFS($X$2:$X$200,$G224)&gt;0,
    COUNTIFS($Y$2:$Y$200,$G224)&gt;0,
    COUNTIFS($Z$2:$Z$200,$G224)&gt;0,
    COUNTIFS($AA$2:$AA$200,$G224)&gt;0,
    COUNTIFS($AB$2:$AB$200,$G224)&gt;0,
    COUNTIFS($AC$2:$AC$200,$G224)&gt;0,
    COUNTIFS($AD$2:$AD$200,$G224)&gt;0,
    COUNTIFS($AE$2:$AE$200,$G224)&gt;0,
    COUNTIFS($AF$2:$AF$200,$G224)&gt;0,
    COUNTIFS($AG$2:$AG$200,$G224)&gt;0,
    COUNTIFS($AH$2:$AH$200,$G224)&gt;0,
    COUNTIFS($AI$2:$AI$200,$G224)&gt;0,
    COUNTIFS($AJ$2:$AJ$200,$G224)&gt;0,
    COUNTIFS($AK$2:$AK$200,$G224)&gt;0,
    COUNTIFS($AL$2:$AL$200,$G224)&gt;0,
    COUNTIFS($AM$2:$AM$200,$G224)&gt;0,
    COUNTIFS($AN$2:$AN$200,$G224)&gt;0,
    COUNTIFS($AO$2:$AO$200,$G224)&gt;0,
    COUNTIFS($AP$2:$AP$200,$G224)&gt;0,
    COUNTIFS($AQ$2:$AQ$200,$G224)&gt;0,
    COUNTIFS($AR$2:$AR$200,$G224)&gt;0,
    COUNTIFS($AS$2:$AS$200,$G224)&gt;0,
    COUNTIFS($AT$2:$AT$200,$G224)&gt;0,
    COUNTIFS($AU$2:$AU$200,$G224)&gt;0,
    COUNTIFS($AV$2:$AV$200,$G224)&gt;0,
    COUNTIFS($AW$2:$AW$200,$G224)&gt;0,
    COUNTIFS($AX$2:$AX$200,$G224)&gt;0
   ),
  0)
 ),
"")</f>
        <v>Inalla</v>
      </c>
      <c r="D224" s="3" t="str" cm="1">
        <f t="array" aca="1" ref="D224" ca="1">IFERROR(
 INDEX(
  _xlfn._xlws.FILTER($U$1:$AX$1,
   TRANSPOSE(
    CHOOSE({1;2;3;4;5;6;7;8;9;10;11;12;13;14;15;16;17;18;19;20;21;22;23;24;25;26;27;28;29;30},
     COUNTIFS($U$2:$U$200,$G224)&gt;0,
     COUNTIFS($V$2:$V$200,$G224)&gt;0,
     COUNTIFS($W$2:$W$200,$G224)&gt;0,
     COUNTIFS($X$2:$X$200,$G224)&gt;0,
     COUNTIFS($Y$2:$Y$200,$G224)&gt;0,
     COUNTIFS($Z$2:$Z$200,$G224)&gt;0,
     COUNTIFS($AA$2:$AA$200,$G224)&gt;0,
     COUNTIFS($AB$2:$AB$200,$G224)&gt;0,
     COUNTIFS($AC$2:$AC$200,$G224)&gt;0,
     COUNTIFS($AD$2:$AD$200,$G224)&gt;0,
     COUNTIFS($AE$2:$AE$200,$G224)&gt;0,
     COUNTIFS($AF$2:$AF$200,$G224)&gt;0,
     COUNTIFS($AG$2:$AG$200,$G224)&gt;0,
     COUNTIFS($AH$2:$AH$200,$G224)&gt;0,
     COUNTIFS($AI$2:$AI$200,$G224)&gt;0,
     COUNTIFS($AJ$2:$AJ$200,$G224)&gt;0,
     COUNTIFS($AK$2:$AK$200,$G224)&gt;0,
     COUNTIFS($AL$2:$AL$200,$G224)&gt;0,
     COUNTIFS($AM$2:$AM$200,$G224)&gt;0,
     COUNTIFS($AN$2:$AN$200,$G224)&gt;0,
     COUNTIFS($AO$2:$AO$200,$G224)&gt;0,
     COUNTIFS($AP$2:$AP$200,$G224)&gt;0,
     COUNTIFS($AQ$2:$AQ$200,$G224)&gt;0,
     COUNTIFS($AR$2:$AR$200,$G224)&gt;0,
     COUNTIFS($AS$2:$AS$200,$G224)&gt;0,
     COUNTIFS($AT$2:$AT$200,$G224)&gt;0,
     COUNTIFS($AU$2:$AU$200,$G224)&gt;0,
     COUNTIFS($AV$2:$AV$200,$G224)&gt;0,
     COUNTIFS($AW$2:$AW$200,$G224)&gt;0,
     COUNTIFS($AX$2:$AX$200,$G224)&gt;0
   )),
  ),
  2
 ),
"")</f>
        <v/>
      </c>
      <c r="E224" s="3" t="str" cm="1">
        <f t="array" aca="1" ref="E224" ca="1">IFERROR(
 INDEX(
  _xlfn._xlws.FILTER($U$1:$AX$1,
   TRANSPOSE(
    CHOOSE({1;2;3;4;5;6;7;8;9;10;11;12;13;14;15;16;17;18;19;20;21;22;23;24;25;26;27;28;29;30},
     COUNTIFS($U$2:$U$200,$G224)&gt;0,
     COUNTIFS($V$2:$V$200,$G224)&gt;0,
     COUNTIFS($W$2:$W$200,$G224)&gt;0,
     COUNTIFS($X$2:$X$200,$G224)&gt;0,
     COUNTIFS($Y$2:$Y$200,$G224)&gt;0,
     COUNTIFS($Z$2:$Z$200,$G224)&gt;0,
     COUNTIFS($AA$2:$AA$200,$G224)&gt;0,
     COUNTIFS($AB$2:$AB$200,$G224)&gt;0,
     COUNTIFS($AC$2:$AC$200,$G224)&gt;0,
     COUNTIFS($AD$2:$AD$200,$G224)&gt;0,
     COUNTIFS($AE$2:$AE$200,$G224)&gt;0,
     COUNTIFS($AF$2:$AF$200,$G224)&gt;0,
     COUNTIFS($AG$2:$AG$200,$G224)&gt;0,
     COUNTIFS($AH$2:$AH$200,$G224)&gt;0,
     COUNTIFS($AI$2:$AI$200,$G224)&gt;0,
     COUNTIFS($AJ$2:$AJ$200,$G224)&gt;0,
     COUNTIFS($AK$2:$AK$200,$G224)&gt;0,
     COUNTIFS($AL$2:$AL$200,$G224)&gt;0,
     COUNTIFS($AM$2:$AM$200,$G224)&gt;0,
     COUNTIFS($AN$2:$AN$200,$G224)&gt;0,
     COUNTIFS($AO$2:$AO$200,$G224)&gt;0,
     COUNTIFS($AP$2:$AP$200,$G224)&gt;0,
     COUNTIFS($AQ$2:$AQ$200,$G224)&gt;0,
     COUNTIFS($AR$2:$AR$200,$G224)&gt;0,
     COUNTIFS($AS$2:$AS$200,$G224)&gt;0,
     COUNTIFS($AT$2:$AT$200,$G224)&gt;0,
     COUNTIFS($AU$2:$AU$200,$G224)&gt;0,
     COUNTIFS($AV$2:$AV$200,$G224)&gt;0,
     COUNTIFS($AW$2:$AW$200,$G224)&gt;0,
     COUNTIFS($AX$2:$AX$200,$G224)&gt;0
   )),
  ),
  3
 ),
"")</f>
        <v/>
      </c>
      <c r="F224" s="3" t="str" cm="1">
        <f t="array" aca="1" ref="F224" ca="1">IFERROR(
 INDEX(
  _xlfn._xlws.FILTER($U$1:$AX$1,
   TRANSPOSE(
    CHOOSE({1;2;3;4;5;6;7;8;9;10;11;12;13;14;15;16;17;18;19;20;21;22;23;24;25;26;27;28;29;30},
     COUNTIFS($U$2:$U$200,$G224)&gt;0,
     COUNTIFS($V$2:$V$200,$G224)&gt;0,
     COUNTIFS($W$2:$W$200,$G224)&gt;0,
     COUNTIFS($X$2:$X$200,$G224)&gt;0,
     COUNTIFS($Y$2:$Y$200,$G224)&gt;0,
     COUNTIFS($Z$2:$Z$200,$G224)&gt;0,
     COUNTIFS($AA$2:$AA$200,$G224)&gt;0,
     COUNTIFS($AB$2:$AB$200,$G224)&gt;0,
     COUNTIFS($AC$2:$AC$200,$G224)&gt;0,
     COUNTIFS($AD$2:$AD$200,$G224)&gt;0,
     COUNTIFS($AE$2:$AE$200,$G224)&gt;0,
     COUNTIFS($AF$2:$AF$200,$G224)&gt;0,
     COUNTIFS($AG$2:$AG$200,$G224)&gt;0,
     COUNTIFS($AH$2:$AH$200,$G224)&gt;0,
     COUNTIFS($AI$2:$AI$200,$G224)&gt;0,
     COUNTIFS($AJ$2:$AJ$200,$G224)&gt;0,
     COUNTIFS($AK$2:$AK$200,$G224)&gt;0,
     COUNTIFS($AL$2:$AL$200,$G224)&gt;0,
     COUNTIFS($AM$2:$AM$200,$G224)&gt;0,
     COUNTIFS($AN$2:$AN$200,$G224)&gt;0,
     COUNTIFS($AO$2:$AO$200,$G224)&gt;0,
     COUNTIFS($AP$2:$AP$200,$G224)&gt;0,
     COUNTIFS($AQ$2:$AQ$200,$G224)&gt;0,
     COUNTIFS($AR$2:$AR$200,$G224)&gt;0,
     COUNTIFS($AS$2:$AS$200,$G224)&gt;0,
     COUNTIFS($AT$2:$AT$200,$G224)&gt;0,
     COUNTIFS($AU$2:$AU$200,$G224)&gt;0,
     COUNTIFS($AV$2:$AV$200,$G224)&gt;0,
     COUNTIFS($AW$2:$AW$200,$G224)&gt;0,
     COUNTIFS($AX$2:$AX$200,$G224)&gt;0
   )),
  ),
  4
 ),
"")</f>
        <v/>
      </c>
      <c r="G224" t="str">
        <f ca="1"/>
        <v>Saw in Half</v>
      </c>
      <c r="CG224" t="str">
        <f ca="1"/>
        <v>Ulamog, the Infinite Gyre</v>
      </c>
      <c r="CJ224" t="str">
        <f ca="1"/>
        <v>Saw in Half</v>
      </c>
    </row>
    <row r="225" spans="1:88" x14ac:dyDescent="0.25">
      <c r="A225" s="3" t="str">
        <f t="shared" ca="1" si="8"/>
        <v>3</v>
      </c>
      <c r="B225" s="3">
        <f t="shared" ca="1" si="9"/>
        <v>1</v>
      </c>
      <c r="C225" s="3" t="str">
        <f ca="1">IFERROR(
 INDEX($U$1:$AX$1,
  MATCH(TRUE,
   CHOOSE({1;2;3;4;5;6;7;8;9;10;11;12;13;14;15;16;17;18;19;20;21;22;23;24;25;26;27;28;29;30;31;32},
    COUNTIFS($U$2:$U$200,$G225)&gt;0,
    COUNTIFS($V$2:$V$200,$G225)&gt;0,
    COUNTIFS($W$2:$W$200,$G225)&gt;0,
    COUNTIFS($X$2:$X$200,$G225)&gt;0,
    COUNTIFS($Y$2:$Y$200,$G225)&gt;0,
    COUNTIFS($Z$2:$Z$200,$G225)&gt;0,
    COUNTIFS($AA$2:$AA$200,$G225)&gt;0,
    COUNTIFS($AB$2:$AB$200,$G225)&gt;0,
    COUNTIFS($AC$2:$AC$200,$G225)&gt;0,
    COUNTIFS($AD$2:$AD$200,$G225)&gt;0,
    COUNTIFS($AE$2:$AE$200,$G225)&gt;0,
    COUNTIFS($AF$2:$AF$200,$G225)&gt;0,
    COUNTIFS($AG$2:$AG$200,$G225)&gt;0,
    COUNTIFS($AH$2:$AH$200,$G225)&gt;0,
    COUNTIFS($AI$2:$AI$200,$G225)&gt;0,
    COUNTIFS($AJ$2:$AJ$200,$G225)&gt;0,
    COUNTIFS($AK$2:$AK$200,$G225)&gt;0,
    COUNTIFS($AL$2:$AL$200,$G225)&gt;0,
    COUNTIFS($AM$2:$AM$200,$G225)&gt;0,
    COUNTIFS($AN$2:$AN$200,$G225)&gt;0,
    COUNTIFS($AO$2:$AO$200,$G225)&gt;0,
    COUNTIFS($AP$2:$AP$200,$G225)&gt;0,
    COUNTIFS($AQ$2:$AQ$200,$G225)&gt;0,
    COUNTIFS($AR$2:$AR$200,$G225)&gt;0,
    COUNTIFS($AS$2:$AS$200,$G225)&gt;0,
    COUNTIFS($AT$2:$AT$200,$G225)&gt;0,
    COUNTIFS($AU$2:$AU$200,$G225)&gt;0,
    COUNTIFS($AV$2:$AV$200,$G225)&gt;0,
    COUNTIFS($AW$2:$AW$200,$G225)&gt;0,
    COUNTIFS($AX$2:$AX$200,$G225)&gt;0
   ),
  0)
 ),
"")</f>
        <v>Zimone</v>
      </c>
      <c r="D225" s="3" t="str" cm="1">
        <f t="array" aca="1" ref="D225" ca="1">IFERROR(
 INDEX(
  _xlfn._xlws.FILTER($U$1:$AX$1,
   TRANSPOSE(
    CHOOSE({1;2;3;4;5;6;7;8;9;10;11;12;13;14;15;16;17;18;19;20;21;22;23;24;25;26;27;28;29;30},
     COUNTIFS($U$2:$U$200,$G225)&gt;0,
     COUNTIFS($V$2:$V$200,$G225)&gt;0,
     COUNTIFS($W$2:$W$200,$G225)&gt;0,
     COUNTIFS($X$2:$X$200,$G225)&gt;0,
     COUNTIFS($Y$2:$Y$200,$G225)&gt;0,
     COUNTIFS($Z$2:$Z$200,$G225)&gt;0,
     COUNTIFS($AA$2:$AA$200,$G225)&gt;0,
     COUNTIFS($AB$2:$AB$200,$G225)&gt;0,
     COUNTIFS($AC$2:$AC$200,$G225)&gt;0,
     COUNTIFS($AD$2:$AD$200,$G225)&gt;0,
     COUNTIFS($AE$2:$AE$200,$G225)&gt;0,
     COUNTIFS($AF$2:$AF$200,$G225)&gt;0,
     COUNTIFS($AG$2:$AG$200,$G225)&gt;0,
     COUNTIFS($AH$2:$AH$200,$G225)&gt;0,
     COUNTIFS($AI$2:$AI$200,$G225)&gt;0,
     COUNTIFS($AJ$2:$AJ$200,$G225)&gt;0,
     COUNTIFS($AK$2:$AK$200,$G225)&gt;0,
     COUNTIFS($AL$2:$AL$200,$G225)&gt;0,
     COUNTIFS($AM$2:$AM$200,$G225)&gt;0,
     COUNTIFS($AN$2:$AN$200,$G225)&gt;0,
     COUNTIFS($AO$2:$AO$200,$G225)&gt;0,
     COUNTIFS($AP$2:$AP$200,$G225)&gt;0,
     COUNTIFS($AQ$2:$AQ$200,$G225)&gt;0,
     COUNTIFS($AR$2:$AR$200,$G225)&gt;0,
     COUNTIFS($AS$2:$AS$200,$G225)&gt;0,
     COUNTIFS($AT$2:$AT$200,$G225)&gt;0,
     COUNTIFS($AU$2:$AU$200,$G225)&gt;0,
     COUNTIFS($AV$2:$AV$200,$G225)&gt;0,
     COUNTIFS($AW$2:$AW$200,$G225)&gt;0,
     COUNTIFS($AX$2:$AX$200,$G225)&gt;0
   )),
  ),
  2
 ),
"")</f>
        <v/>
      </c>
      <c r="E225" s="3" t="str" cm="1">
        <f t="array" aca="1" ref="E225" ca="1">IFERROR(
 INDEX(
  _xlfn._xlws.FILTER($U$1:$AX$1,
   TRANSPOSE(
    CHOOSE({1;2;3;4;5;6;7;8;9;10;11;12;13;14;15;16;17;18;19;20;21;22;23;24;25;26;27;28;29;30},
     COUNTIFS($U$2:$U$200,$G225)&gt;0,
     COUNTIFS($V$2:$V$200,$G225)&gt;0,
     COUNTIFS($W$2:$W$200,$G225)&gt;0,
     COUNTIFS($X$2:$X$200,$G225)&gt;0,
     COUNTIFS($Y$2:$Y$200,$G225)&gt;0,
     COUNTIFS($Z$2:$Z$200,$G225)&gt;0,
     COUNTIFS($AA$2:$AA$200,$G225)&gt;0,
     COUNTIFS($AB$2:$AB$200,$G225)&gt;0,
     COUNTIFS($AC$2:$AC$200,$G225)&gt;0,
     COUNTIFS($AD$2:$AD$200,$G225)&gt;0,
     COUNTIFS($AE$2:$AE$200,$G225)&gt;0,
     COUNTIFS($AF$2:$AF$200,$G225)&gt;0,
     COUNTIFS($AG$2:$AG$200,$G225)&gt;0,
     COUNTIFS($AH$2:$AH$200,$G225)&gt;0,
     COUNTIFS($AI$2:$AI$200,$G225)&gt;0,
     COUNTIFS($AJ$2:$AJ$200,$G225)&gt;0,
     COUNTIFS($AK$2:$AK$200,$G225)&gt;0,
     COUNTIFS($AL$2:$AL$200,$G225)&gt;0,
     COUNTIFS($AM$2:$AM$200,$G225)&gt;0,
     COUNTIFS($AN$2:$AN$200,$G225)&gt;0,
     COUNTIFS($AO$2:$AO$200,$G225)&gt;0,
     COUNTIFS($AP$2:$AP$200,$G225)&gt;0,
     COUNTIFS($AQ$2:$AQ$200,$G225)&gt;0,
     COUNTIFS($AR$2:$AR$200,$G225)&gt;0,
     COUNTIFS($AS$2:$AS$200,$G225)&gt;0,
     COUNTIFS($AT$2:$AT$200,$G225)&gt;0,
     COUNTIFS($AU$2:$AU$200,$G225)&gt;0,
     COUNTIFS($AV$2:$AV$200,$G225)&gt;0,
     COUNTIFS($AW$2:$AW$200,$G225)&gt;0,
     COUNTIFS($AX$2:$AX$200,$G225)&gt;0
   )),
  ),
  3
 ),
"")</f>
        <v/>
      </c>
      <c r="F225" s="3" t="str" cm="1">
        <f t="array" aca="1" ref="F225" ca="1">IFERROR(
 INDEX(
  _xlfn._xlws.FILTER($U$1:$AX$1,
   TRANSPOSE(
    CHOOSE({1;2;3;4;5;6;7;8;9;10;11;12;13;14;15;16;17;18;19;20;21;22;23;24;25;26;27;28;29;30},
     COUNTIFS($U$2:$U$200,$G225)&gt;0,
     COUNTIFS($V$2:$V$200,$G225)&gt;0,
     COUNTIFS($W$2:$W$200,$G225)&gt;0,
     COUNTIFS($X$2:$X$200,$G225)&gt;0,
     COUNTIFS($Y$2:$Y$200,$G225)&gt;0,
     COUNTIFS($Z$2:$Z$200,$G225)&gt;0,
     COUNTIFS($AA$2:$AA$200,$G225)&gt;0,
     COUNTIFS($AB$2:$AB$200,$G225)&gt;0,
     COUNTIFS($AC$2:$AC$200,$G225)&gt;0,
     COUNTIFS($AD$2:$AD$200,$G225)&gt;0,
     COUNTIFS($AE$2:$AE$200,$G225)&gt;0,
     COUNTIFS($AF$2:$AF$200,$G225)&gt;0,
     COUNTIFS($AG$2:$AG$200,$G225)&gt;0,
     COUNTIFS($AH$2:$AH$200,$G225)&gt;0,
     COUNTIFS($AI$2:$AI$200,$G225)&gt;0,
     COUNTIFS($AJ$2:$AJ$200,$G225)&gt;0,
     COUNTIFS($AK$2:$AK$200,$G225)&gt;0,
     COUNTIFS($AL$2:$AL$200,$G225)&gt;0,
     COUNTIFS($AM$2:$AM$200,$G225)&gt;0,
     COUNTIFS($AN$2:$AN$200,$G225)&gt;0,
     COUNTIFS($AO$2:$AO$200,$G225)&gt;0,
     COUNTIFS($AP$2:$AP$200,$G225)&gt;0,
     COUNTIFS($AQ$2:$AQ$200,$G225)&gt;0,
     COUNTIFS($AR$2:$AR$200,$G225)&gt;0,
     COUNTIFS($AS$2:$AS$200,$G225)&gt;0,
     COUNTIFS($AT$2:$AT$200,$G225)&gt;0,
     COUNTIFS($AU$2:$AU$200,$G225)&gt;0,
     COUNTIFS($AV$2:$AV$200,$G225)&gt;0,
     COUNTIFS($AW$2:$AW$200,$G225)&gt;0,
     COUNTIFS($AX$2:$AX$200,$G225)&gt;0
   )),
  ),
  4
 ),
"")</f>
        <v/>
      </c>
      <c r="G225" t="str">
        <f ca="1"/>
        <v>Scalding Tarn</v>
      </c>
      <c r="CG225" t="str">
        <f ca="1"/>
        <v>Ulamog's Dreadsire</v>
      </c>
      <c r="CJ225" t="str">
        <f ca="1"/>
        <v>Scalding Tarn</v>
      </c>
    </row>
    <row r="226" spans="1:88" x14ac:dyDescent="0.25">
      <c r="A226" s="3" t="str">
        <f t="shared" ca="1" si="8"/>
        <v>4</v>
      </c>
      <c r="B226" s="3">
        <f t="shared" ca="1" si="9"/>
        <v>1</v>
      </c>
      <c r="C226" s="3" t="str">
        <f ca="1">IFERROR(
 INDEX($U$1:$AX$1,
  MATCH(TRUE,
   CHOOSE({1;2;3;4;5;6;7;8;9;10;11;12;13;14;15;16;17;18;19;20;21;22;23;24;25;26;27;28;29;30;31;32},
    COUNTIFS($U$2:$U$200,$G226)&gt;0,
    COUNTIFS($V$2:$V$200,$G226)&gt;0,
    COUNTIFS($W$2:$W$200,$G226)&gt;0,
    COUNTIFS($X$2:$X$200,$G226)&gt;0,
    COUNTIFS($Y$2:$Y$200,$G226)&gt;0,
    COUNTIFS($Z$2:$Z$200,$G226)&gt;0,
    COUNTIFS($AA$2:$AA$200,$G226)&gt;0,
    COUNTIFS($AB$2:$AB$200,$G226)&gt;0,
    COUNTIFS($AC$2:$AC$200,$G226)&gt;0,
    COUNTIFS($AD$2:$AD$200,$G226)&gt;0,
    COUNTIFS($AE$2:$AE$200,$G226)&gt;0,
    COUNTIFS($AF$2:$AF$200,$G226)&gt;0,
    COUNTIFS($AG$2:$AG$200,$G226)&gt;0,
    COUNTIFS($AH$2:$AH$200,$G226)&gt;0,
    COUNTIFS($AI$2:$AI$200,$G226)&gt;0,
    COUNTIFS($AJ$2:$AJ$200,$G226)&gt;0,
    COUNTIFS($AK$2:$AK$200,$G226)&gt;0,
    COUNTIFS($AL$2:$AL$200,$G226)&gt;0,
    COUNTIFS($AM$2:$AM$200,$G226)&gt;0,
    COUNTIFS($AN$2:$AN$200,$G226)&gt;0,
    COUNTIFS($AO$2:$AO$200,$G226)&gt;0,
    COUNTIFS($AP$2:$AP$200,$G226)&gt;0,
    COUNTIFS($AQ$2:$AQ$200,$G226)&gt;0,
    COUNTIFS($AR$2:$AR$200,$G226)&gt;0,
    COUNTIFS($AS$2:$AS$200,$G226)&gt;0,
    COUNTIFS($AT$2:$AT$200,$G226)&gt;0,
    COUNTIFS($AU$2:$AU$200,$G226)&gt;0,
    COUNTIFS($AV$2:$AV$200,$G226)&gt;0,
    COUNTIFS($AW$2:$AW$200,$G226)&gt;0,
    COUNTIFS($AX$2:$AX$200,$G226)&gt;0
   ),
  0)
 ),
"")</f>
        <v>OWA</v>
      </c>
      <c r="D226" s="3" t="str" cm="1">
        <f t="array" aca="1" ref="D226" ca="1">IFERROR(
 INDEX(
  _xlfn._xlws.FILTER($U$1:$AX$1,
   TRANSPOSE(
    CHOOSE({1;2;3;4;5;6;7;8;9;10;11;12;13;14;15;16;17;18;19;20;21;22;23;24;25;26;27;28;29;30},
     COUNTIFS($U$2:$U$200,$G226)&gt;0,
     COUNTIFS($V$2:$V$200,$G226)&gt;0,
     COUNTIFS($W$2:$W$200,$G226)&gt;0,
     COUNTIFS($X$2:$X$200,$G226)&gt;0,
     COUNTIFS($Y$2:$Y$200,$G226)&gt;0,
     COUNTIFS($Z$2:$Z$200,$G226)&gt;0,
     COUNTIFS($AA$2:$AA$200,$G226)&gt;0,
     COUNTIFS($AB$2:$AB$200,$G226)&gt;0,
     COUNTIFS($AC$2:$AC$200,$G226)&gt;0,
     COUNTIFS($AD$2:$AD$200,$G226)&gt;0,
     COUNTIFS($AE$2:$AE$200,$G226)&gt;0,
     COUNTIFS($AF$2:$AF$200,$G226)&gt;0,
     COUNTIFS($AG$2:$AG$200,$G226)&gt;0,
     COUNTIFS($AH$2:$AH$200,$G226)&gt;0,
     COUNTIFS($AI$2:$AI$200,$G226)&gt;0,
     COUNTIFS($AJ$2:$AJ$200,$G226)&gt;0,
     COUNTIFS($AK$2:$AK$200,$G226)&gt;0,
     COUNTIFS($AL$2:$AL$200,$G226)&gt;0,
     COUNTIFS($AM$2:$AM$200,$G226)&gt;0,
     COUNTIFS($AN$2:$AN$200,$G226)&gt;0,
     COUNTIFS($AO$2:$AO$200,$G226)&gt;0,
     COUNTIFS($AP$2:$AP$200,$G226)&gt;0,
     COUNTIFS($AQ$2:$AQ$200,$G226)&gt;0,
     COUNTIFS($AR$2:$AR$200,$G226)&gt;0,
     COUNTIFS($AS$2:$AS$200,$G226)&gt;0,
     COUNTIFS($AT$2:$AT$200,$G226)&gt;0,
     COUNTIFS($AU$2:$AU$200,$G226)&gt;0,
     COUNTIFS($AV$2:$AV$200,$G226)&gt;0,
     COUNTIFS($AW$2:$AW$200,$G226)&gt;0,
     COUNTIFS($AX$2:$AX$200,$G226)&gt;0
   )),
  ),
  2
 ),
"")</f>
        <v/>
      </c>
      <c r="E226" s="3" t="str" cm="1">
        <f t="array" aca="1" ref="E226" ca="1">IFERROR(
 INDEX(
  _xlfn._xlws.FILTER($U$1:$AX$1,
   TRANSPOSE(
    CHOOSE({1;2;3;4;5;6;7;8;9;10;11;12;13;14;15;16;17;18;19;20;21;22;23;24;25;26;27;28;29;30},
     COUNTIFS($U$2:$U$200,$G226)&gt;0,
     COUNTIFS($V$2:$V$200,$G226)&gt;0,
     COUNTIFS($W$2:$W$200,$G226)&gt;0,
     COUNTIFS($X$2:$X$200,$G226)&gt;0,
     COUNTIFS($Y$2:$Y$200,$G226)&gt;0,
     COUNTIFS($Z$2:$Z$200,$G226)&gt;0,
     COUNTIFS($AA$2:$AA$200,$G226)&gt;0,
     COUNTIFS($AB$2:$AB$200,$G226)&gt;0,
     COUNTIFS($AC$2:$AC$200,$G226)&gt;0,
     COUNTIFS($AD$2:$AD$200,$G226)&gt;0,
     COUNTIFS($AE$2:$AE$200,$G226)&gt;0,
     COUNTIFS($AF$2:$AF$200,$G226)&gt;0,
     COUNTIFS($AG$2:$AG$200,$G226)&gt;0,
     COUNTIFS($AH$2:$AH$200,$G226)&gt;0,
     COUNTIFS($AI$2:$AI$200,$G226)&gt;0,
     COUNTIFS($AJ$2:$AJ$200,$G226)&gt;0,
     COUNTIFS($AK$2:$AK$200,$G226)&gt;0,
     COUNTIFS($AL$2:$AL$200,$G226)&gt;0,
     COUNTIFS($AM$2:$AM$200,$G226)&gt;0,
     COUNTIFS($AN$2:$AN$200,$G226)&gt;0,
     COUNTIFS($AO$2:$AO$200,$G226)&gt;0,
     COUNTIFS($AP$2:$AP$200,$G226)&gt;0,
     COUNTIFS($AQ$2:$AQ$200,$G226)&gt;0,
     COUNTIFS($AR$2:$AR$200,$G226)&gt;0,
     COUNTIFS($AS$2:$AS$200,$G226)&gt;0,
     COUNTIFS($AT$2:$AT$200,$G226)&gt;0,
     COUNTIFS($AU$2:$AU$200,$G226)&gt;0,
     COUNTIFS($AV$2:$AV$200,$G226)&gt;0,
     COUNTIFS($AW$2:$AW$200,$G226)&gt;0,
     COUNTIFS($AX$2:$AX$200,$G226)&gt;0
   )),
  ),
  3
 ),
"")</f>
        <v/>
      </c>
      <c r="F226" s="3" t="str" cm="1">
        <f t="array" aca="1" ref="F226" ca="1">IFERROR(
 INDEX(
  _xlfn._xlws.FILTER($U$1:$AX$1,
   TRANSPOSE(
    CHOOSE({1;2;3;4;5;6;7;8;9;10;11;12;13;14;15;16;17;18;19;20;21;22;23;24;25;26;27;28;29;30},
     COUNTIFS($U$2:$U$200,$G226)&gt;0,
     COUNTIFS($V$2:$V$200,$G226)&gt;0,
     COUNTIFS($W$2:$W$200,$G226)&gt;0,
     COUNTIFS($X$2:$X$200,$G226)&gt;0,
     COUNTIFS($Y$2:$Y$200,$G226)&gt;0,
     COUNTIFS($Z$2:$Z$200,$G226)&gt;0,
     COUNTIFS($AA$2:$AA$200,$G226)&gt;0,
     COUNTIFS($AB$2:$AB$200,$G226)&gt;0,
     COUNTIFS($AC$2:$AC$200,$G226)&gt;0,
     COUNTIFS($AD$2:$AD$200,$G226)&gt;0,
     COUNTIFS($AE$2:$AE$200,$G226)&gt;0,
     COUNTIFS($AF$2:$AF$200,$G226)&gt;0,
     COUNTIFS($AG$2:$AG$200,$G226)&gt;0,
     COUNTIFS($AH$2:$AH$200,$G226)&gt;0,
     COUNTIFS($AI$2:$AI$200,$G226)&gt;0,
     COUNTIFS($AJ$2:$AJ$200,$G226)&gt;0,
     COUNTIFS($AK$2:$AK$200,$G226)&gt;0,
     COUNTIFS($AL$2:$AL$200,$G226)&gt;0,
     COUNTIFS($AM$2:$AM$200,$G226)&gt;0,
     COUNTIFS($AN$2:$AN$200,$G226)&gt;0,
     COUNTIFS($AO$2:$AO$200,$G226)&gt;0,
     COUNTIFS($AP$2:$AP$200,$G226)&gt;0,
     COUNTIFS($AQ$2:$AQ$200,$G226)&gt;0,
     COUNTIFS($AR$2:$AR$200,$G226)&gt;0,
     COUNTIFS($AS$2:$AS$200,$G226)&gt;0,
     COUNTIFS($AT$2:$AT$200,$G226)&gt;0,
     COUNTIFS($AU$2:$AU$200,$G226)&gt;0,
     COUNTIFS($AV$2:$AV$200,$G226)&gt;0,
     COUNTIFS($AW$2:$AW$200,$G226)&gt;0,
     COUNTIFS($AX$2:$AX$200,$G226)&gt;0
   )),
  ),
  4
 ),
"")</f>
        <v/>
      </c>
      <c r="G226" t="str">
        <f ca="1"/>
        <v>Scattered Groves</v>
      </c>
      <c r="CG226" t="str">
        <f ca="1"/>
        <v>Unbreakable Formation</v>
      </c>
      <c r="CJ226" t="str">
        <f ca="1"/>
        <v>Scattered Groves</v>
      </c>
    </row>
    <row r="227" spans="1:88" x14ac:dyDescent="0.25">
      <c r="A227" s="3" t="str">
        <f t="shared" ca="1" si="8"/>
        <v>4</v>
      </c>
      <c r="B227" s="3">
        <f t="shared" ca="1" si="9"/>
        <v>1</v>
      </c>
      <c r="C227" s="3" t="str">
        <f ca="1">IFERROR(
 INDEX($U$1:$AX$1,
  MATCH(TRUE,
   CHOOSE({1;2;3;4;5;6;7;8;9;10;11;12;13;14;15;16;17;18;19;20;21;22;23;24;25;26;27;28;29;30;31;32},
    COUNTIFS($U$2:$U$200,$G227)&gt;0,
    COUNTIFS($V$2:$V$200,$G227)&gt;0,
    COUNTIFS($W$2:$W$200,$G227)&gt;0,
    COUNTIFS($X$2:$X$200,$G227)&gt;0,
    COUNTIFS($Y$2:$Y$200,$G227)&gt;0,
    COUNTIFS($Z$2:$Z$200,$G227)&gt;0,
    COUNTIFS($AA$2:$AA$200,$G227)&gt;0,
    COUNTIFS($AB$2:$AB$200,$G227)&gt;0,
    COUNTIFS($AC$2:$AC$200,$G227)&gt;0,
    COUNTIFS($AD$2:$AD$200,$G227)&gt;0,
    COUNTIFS($AE$2:$AE$200,$G227)&gt;0,
    COUNTIFS($AF$2:$AF$200,$G227)&gt;0,
    COUNTIFS($AG$2:$AG$200,$G227)&gt;0,
    COUNTIFS($AH$2:$AH$200,$G227)&gt;0,
    COUNTIFS($AI$2:$AI$200,$G227)&gt;0,
    COUNTIFS($AJ$2:$AJ$200,$G227)&gt;0,
    COUNTIFS($AK$2:$AK$200,$G227)&gt;0,
    COUNTIFS($AL$2:$AL$200,$G227)&gt;0,
    COUNTIFS($AM$2:$AM$200,$G227)&gt;0,
    COUNTIFS($AN$2:$AN$200,$G227)&gt;0,
    COUNTIFS($AO$2:$AO$200,$G227)&gt;0,
    COUNTIFS($AP$2:$AP$200,$G227)&gt;0,
    COUNTIFS($AQ$2:$AQ$200,$G227)&gt;0,
    COUNTIFS($AR$2:$AR$200,$G227)&gt;0,
    COUNTIFS($AS$2:$AS$200,$G227)&gt;0,
    COUNTIFS($AT$2:$AT$200,$G227)&gt;0,
    COUNTIFS($AU$2:$AU$200,$G227)&gt;0,
    COUNTIFS($AV$2:$AV$200,$G227)&gt;0,
    COUNTIFS($AW$2:$AW$200,$G227)&gt;0,
    COUNTIFS($AX$2:$AX$200,$G227)&gt;0
   ),
  0)
 ),
"")</f>
        <v>Oona</v>
      </c>
      <c r="D227" s="3" t="str" cm="1">
        <f t="array" aca="1" ref="D227" ca="1">IFERROR(
 INDEX(
  _xlfn._xlws.FILTER($U$1:$AX$1,
   TRANSPOSE(
    CHOOSE({1;2;3;4;5;6;7;8;9;10;11;12;13;14;15;16;17;18;19;20;21;22;23;24;25;26;27;28;29;30},
     COUNTIFS($U$2:$U$200,$G227)&gt;0,
     COUNTIFS($V$2:$V$200,$G227)&gt;0,
     COUNTIFS($W$2:$W$200,$G227)&gt;0,
     COUNTIFS($X$2:$X$200,$G227)&gt;0,
     COUNTIFS($Y$2:$Y$200,$G227)&gt;0,
     COUNTIFS($Z$2:$Z$200,$G227)&gt;0,
     COUNTIFS($AA$2:$AA$200,$G227)&gt;0,
     COUNTIFS($AB$2:$AB$200,$G227)&gt;0,
     COUNTIFS($AC$2:$AC$200,$G227)&gt;0,
     COUNTIFS($AD$2:$AD$200,$G227)&gt;0,
     COUNTIFS($AE$2:$AE$200,$G227)&gt;0,
     COUNTIFS($AF$2:$AF$200,$G227)&gt;0,
     COUNTIFS($AG$2:$AG$200,$G227)&gt;0,
     COUNTIFS($AH$2:$AH$200,$G227)&gt;0,
     COUNTIFS($AI$2:$AI$200,$G227)&gt;0,
     COUNTIFS($AJ$2:$AJ$200,$G227)&gt;0,
     COUNTIFS($AK$2:$AK$200,$G227)&gt;0,
     COUNTIFS($AL$2:$AL$200,$G227)&gt;0,
     COUNTIFS($AM$2:$AM$200,$G227)&gt;0,
     COUNTIFS($AN$2:$AN$200,$G227)&gt;0,
     COUNTIFS($AO$2:$AO$200,$G227)&gt;0,
     COUNTIFS($AP$2:$AP$200,$G227)&gt;0,
     COUNTIFS($AQ$2:$AQ$200,$G227)&gt;0,
     COUNTIFS($AR$2:$AR$200,$G227)&gt;0,
     COUNTIFS($AS$2:$AS$200,$G227)&gt;0,
     COUNTIFS($AT$2:$AT$200,$G227)&gt;0,
     COUNTIFS($AU$2:$AU$200,$G227)&gt;0,
     COUNTIFS($AV$2:$AV$200,$G227)&gt;0,
     COUNTIFS($AW$2:$AW$200,$G227)&gt;0,
     COUNTIFS($AX$2:$AX$200,$G227)&gt;0
   )),
  ),
  2
 ),
"")</f>
        <v/>
      </c>
      <c r="E227" s="3" t="str" cm="1">
        <f t="array" aca="1" ref="E227" ca="1">IFERROR(
 INDEX(
  _xlfn._xlws.FILTER($U$1:$AX$1,
   TRANSPOSE(
    CHOOSE({1;2;3;4;5;6;7;8;9;10;11;12;13;14;15;16;17;18;19;20;21;22;23;24;25;26;27;28;29;30},
     COUNTIFS($U$2:$U$200,$G227)&gt;0,
     COUNTIFS($V$2:$V$200,$G227)&gt;0,
     COUNTIFS($W$2:$W$200,$G227)&gt;0,
     COUNTIFS($X$2:$X$200,$G227)&gt;0,
     COUNTIFS($Y$2:$Y$200,$G227)&gt;0,
     COUNTIFS($Z$2:$Z$200,$G227)&gt;0,
     COUNTIFS($AA$2:$AA$200,$G227)&gt;0,
     COUNTIFS($AB$2:$AB$200,$G227)&gt;0,
     COUNTIFS($AC$2:$AC$200,$G227)&gt;0,
     COUNTIFS($AD$2:$AD$200,$G227)&gt;0,
     COUNTIFS($AE$2:$AE$200,$G227)&gt;0,
     COUNTIFS($AF$2:$AF$200,$G227)&gt;0,
     COUNTIFS($AG$2:$AG$200,$G227)&gt;0,
     COUNTIFS($AH$2:$AH$200,$G227)&gt;0,
     COUNTIFS($AI$2:$AI$200,$G227)&gt;0,
     COUNTIFS($AJ$2:$AJ$200,$G227)&gt;0,
     COUNTIFS($AK$2:$AK$200,$G227)&gt;0,
     COUNTIFS($AL$2:$AL$200,$G227)&gt;0,
     COUNTIFS($AM$2:$AM$200,$G227)&gt;0,
     COUNTIFS($AN$2:$AN$200,$G227)&gt;0,
     COUNTIFS($AO$2:$AO$200,$G227)&gt;0,
     COUNTIFS($AP$2:$AP$200,$G227)&gt;0,
     COUNTIFS($AQ$2:$AQ$200,$G227)&gt;0,
     COUNTIFS($AR$2:$AR$200,$G227)&gt;0,
     COUNTIFS($AS$2:$AS$200,$G227)&gt;0,
     COUNTIFS($AT$2:$AT$200,$G227)&gt;0,
     COUNTIFS($AU$2:$AU$200,$G227)&gt;0,
     COUNTIFS($AV$2:$AV$200,$G227)&gt;0,
     COUNTIFS($AW$2:$AW$200,$G227)&gt;0,
     COUNTIFS($AX$2:$AX$200,$G227)&gt;0
   )),
  ),
  3
 ),
"")</f>
        <v/>
      </c>
      <c r="F227" s="3" t="str" cm="1">
        <f t="array" aca="1" ref="F227" ca="1">IFERROR(
 INDEX(
  _xlfn._xlws.FILTER($U$1:$AX$1,
   TRANSPOSE(
    CHOOSE({1;2;3;4;5;6;7;8;9;10;11;12;13;14;15;16;17;18;19;20;21;22;23;24;25;26;27;28;29;30},
     COUNTIFS($U$2:$U$200,$G227)&gt;0,
     COUNTIFS($V$2:$V$200,$G227)&gt;0,
     COUNTIFS($W$2:$W$200,$G227)&gt;0,
     COUNTIFS($X$2:$X$200,$G227)&gt;0,
     COUNTIFS($Y$2:$Y$200,$G227)&gt;0,
     COUNTIFS($Z$2:$Z$200,$G227)&gt;0,
     COUNTIFS($AA$2:$AA$200,$G227)&gt;0,
     COUNTIFS($AB$2:$AB$200,$G227)&gt;0,
     COUNTIFS($AC$2:$AC$200,$G227)&gt;0,
     COUNTIFS($AD$2:$AD$200,$G227)&gt;0,
     COUNTIFS($AE$2:$AE$200,$G227)&gt;0,
     COUNTIFS($AF$2:$AF$200,$G227)&gt;0,
     COUNTIFS($AG$2:$AG$200,$G227)&gt;0,
     COUNTIFS($AH$2:$AH$200,$G227)&gt;0,
     COUNTIFS($AI$2:$AI$200,$G227)&gt;0,
     COUNTIFS($AJ$2:$AJ$200,$G227)&gt;0,
     COUNTIFS($AK$2:$AK$200,$G227)&gt;0,
     COUNTIFS($AL$2:$AL$200,$G227)&gt;0,
     COUNTIFS($AM$2:$AM$200,$G227)&gt;0,
     COUNTIFS($AN$2:$AN$200,$G227)&gt;0,
     COUNTIFS($AO$2:$AO$200,$G227)&gt;0,
     COUNTIFS($AP$2:$AP$200,$G227)&gt;0,
     COUNTIFS($AQ$2:$AQ$200,$G227)&gt;0,
     COUNTIFS($AR$2:$AR$200,$G227)&gt;0,
     COUNTIFS($AS$2:$AS$200,$G227)&gt;0,
     COUNTIFS($AT$2:$AT$200,$G227)&gt;0,
     COUNTIFS($AU$2:$AU$200,$G227)&gt;0,
     COUNTIFS($AV$2:$AV$200,$G227)&gt;0,
     COUNTIFS($AW$2:$AW$200,$G227)&gt;0,
     COUNTIFS($AX$2:$AX$200,$G227)&gt;0
   )),
  ),
  4
 ),
"")</f>
        <v/>
      </c>
      <c r="G227" t="str">
        <f ca="1"/>
        <v>Scour for Scrap</v>
      </c>
      <c r="CG227" t="str">
        <f ca="1"/>
        <v>Unholy Annex // Ritual Chamber</v>
      </c>
      <c r="CJ227" t="str">
        <f ca="1"/>
        <v>Scour for Scrap</v>
      </c>
    </row>
    <row r="228" spans="1:88" x14ac:dyDescent="0.25">
      <c r="A228" s="3" t="str">
        <f t="shared" ca="1" si="8"/>
        <v>3</v>
      </c>
      <c r="B228" s="3">
        <f t="shared" ca="1" si="9"/>
        <v>1</v>
      </c>
      <c r="C228" s="3" t="str">
        <f ca="1">IFERROR(
 INDEX($U$1:$AX$1,
  MATCH(TRUE,
   CHOOSE({1;2;3;4;5;6;7;8;9;10;11;12;13;14;15;16;17;18;19;20;21;22;23;24;25;26;27;28;29;30;31;32},
    COUNTIFS($U$2:$U$200,$G228)&gt;0,
    COUNTIFS($V$2:$V$200,$G228)&gt;0,
    COUNTIFS($W$2:$W$200,$G228)&gt;0,
    COUNTIFS($X$2:$X$200,$G228)&gt;0,
    COUNTIFS($Y$2:$Y$200,$G228)&gt;0,
    COUNTIFS($Z$2:$Z$200,$G228)&gt;0,
    COUNTIFS($AA$2:$AA$200,$G228)&gt;0,
    COUNTIFS($AB$2:$AB$200,$G228)&gt;0,
    COUNTIFS($AC$2:$AC$200,$G228)&gt;0,
    COUNTIFS($AD$2:$AD$200,$G228)&gt;0,
    COUNTIFS($AE$2:$AE$200,$G228)&gt;0,
    COUNTIFS($AF$2:$AF$200,$G228)&gt;0,
    COUNTIFS($AG$2:$AG$200,$G228)&gt;0,
    COUNTIFS($AH$2:$AH$200,$G228)&gt;0,
    COUNTIFS($AI$2:$AI$200,$G228)&gt;0,
    COUNTIFS($AJ$2:$AJ$200,$G228)&gt;0,
    COUNTIFS($AK$2:$AK$200,$G228)&gt;0,
    COUNTIFS($AL$2:$AL$200,$G228)&gt;0,
    COUNTIFS($AM$2:$AM$200,$G228)&gt;0,
    COUNTIFS($AN$2:$AN$200,$G228)&gt;0,
    COUNTIFS($AO$2:$AO$200,$G228)&gt;0,
    COUNTIFS($AP$2:$AP$200,$G228)&gt;0,
    COUNTIFS($AQ$2:$AQ$200,$G228)&gt;0,
    COUNTIFS($AR$2:$AR$200,$G228)&gt;0,
    COUNTIFS($AS$2:$AS$200,$G228)&gt;0,
    COUNTIFS($AT$2:$AT$200,$G228)&gt;0,
    COUNTIFS($AU$2:$AU$200,$G228)&gt;0,
    COUNTIFS($AV$2:$AV$200,$G228)&gt;0,
    COUNTIFS($AW$2:$AW$200,$G228)&gt;0,
    COUNTIFS($AX$2:$AX$200,$G228)&gt;0
   ),
  0)
 ),
"")</f>
        <v>Yuriko</v>
      </c>
      <c r="D228" s="3" t="str" cm="1">
        <f t="array" aca="1" ref="D228" ca="1">IFERROR(
 INDEX(
  _xlfn._xlws.FILTER($U$1:$AX$1,
   TRANSPOSE(
    CHOOSE({1;2;3;4;5;6;7;8;9;10;11;12;13;14;15;16;17;18;19;20;21;22;23;24;25;26;27;28;29;30},
     COUNTIFS($U$2:$U$200,$G228)&gt;0,
     COUNTIFS($V$2:$V$200,$G228)&gt;0,
     COUNTIFS($W$2:$W$200,$G228)&gt;0,
     COUNTIFS($X$2:$X$200,$G228)&gt;0,
     COUNTIFS($Y$2:$Y$200,$G228)&gt;0,
     COUNTIFS($Z$2:$Z$200,$G228)&gt;0,
     COUNTIFS($AA$2:$AA$200,$G228)&gt;0,
     COUNTIFS($AB$2:$AB$200,$G228)&gt;0,
     COUNTIFS($AC$2:$AC$200,$G228)&gt;0,
     COUNTIFS($AD$2:$AD$200,$G228)&gt;0,
     COUNTIFS($AE$2:$AE$200,$G228)&gt;0,
     COUNTIFS($AF$2:$AF$200,$G228)&gt;0,
     COUNTIFS($AG$2:$AG$200,$G228)&gt;0,
     COUNTIFS($AH$2:$AH$200,$G228)&gt;0,
     COUNTIFS($AI$2:$AI$200,$G228)&gt;0,
     COUNTIFS($AJ$2:$AJ$200,$G228)&gt;0,
     COUNTIFS($AK$2:$AK$200,$G228)&gt;0,
     COUNTIFS($AL$2:$AL$200,$G228)&gt;0,
     COUNTIFS($AM$2:$AM$200,$G228)&gt;0,
     COUNTIFS($AN$2:$AN$200,$G228)&gt;0,
     COUNTIFS($AO$2:$AO$200,$G228)&gt;0,
     COUNTIFS($AP$2:$AP$200,$G228)&gt;0,
     COUNTIFS($AQ$2:$AQ$200,$G228)&gt;0,
     COUNTIFS($AR$2:$AR$200,$G228)&gt;0,
     COUNTIFS($AS$2:$AS$200,$G228)&gt;0,
     COUNTIFS($AT$2:$AT$200,$G228)&gt;0,
     COUNTIFS($AU$2:$AU$200,$G228)&gt;0,
     COUNTIFS($AV$2:$AV$200,$G228)&gt;0,
     COUNTIFS($AW$2:$AW$200,$G228)&gt;0,
     COUNTIFS($AX$2:$AX$200,$G228)&gt;0
   )),
  ),
  2
 ),
"")</f>
        <v/>
      </c>
      <c r="E228" s="3" t="str" cm="1">
        <f t="array" aca="1" ref="E228" ca="1">IFERROR(
 INDEX(
  _xlfn._xlws.FILTER($U$1:$AX$1,
   TRANSPOSE(
    CHOOSE({1;2;3;4;5;6;7;8;9;10;11;12;13;14;15;16;17;18;19;20;21;22;23;24;25;26;27;28;29;30},
     COUNTIFS($U$2:$U$200,$G228)&gt;0,
     COUNTIFS($V$2:$V$200,$G228)&gt;0,
     COUNTIFS($W$2:$W$200,$G228)&gt;0,
     COUNTIFS($X$2:$X$200,$G228)&gt;0,
     COUNTIFS($Y$2:$Y$200,$G228)&gt;0,
     COUNTIFS($Z$2:$Z$200,$G228)&gt;0,
     COUNTIFS($AA$2:$AA$200,$G228)&gt;0,
     COUNTIFS($AB$2:$AB$200,$G228)&gt;0,
     COUNTIFS($AC$2:$AC$200,$G228)&gt;0,
     COUNTIFS($AD$2:$AD$200,$G228)&gt;0,
     COUNTIFS($AE$2:$AE$200,$G228)&gt;0,
     COUNTIFS($AF$2:$AF$200,$G228)&gt;0,
     COUNTIFS($AG$2:$AG$200,$G228)&gt;0,
     COUNTIFS($AH$2:$AH$200,$G228)&gt;0,
     COUNTIFS($AI$2:$AI$200,$G228)&gt;0,
     COUNTIFS($AJ$2:$AJ$200,$G228)&gt;0,
     COUNTIFS($AK$2:$AK$200,$G228)&gt;0,
     COUNTIFS($AL$2:$AL$200,$G228)&gt;0,
     COUNTIFS($AM$2:$AM$200,$G228)&gt;0,
     COUNTIFS($AN$2:$AN$200,$G228)&gt;0,
     COUNTIFS($AO$2:$AO$200,$G228)&gt;0,
     COUNTIFS($AP$2:$AP$200,$G228)&gt;0,
     COUNTIFS($AQ$2:$AQ$200,$G228)&gt;0,
     COUNTIFS($AR$2:$AR$200,$G228)&gt;0,
     COUNTIFS($AS$2:$AS$200,$G228)&gt;0,
     COUNTIFS($AT$2:$AT$200,$G228)&gt;0,
     COUNTIFS($AU$2:$AU$200,$G228)&gt;0,
     COUNTIFS($AV$2:$AV$200,$G228)&gt;0,
     COUNTIFS($AW$2:$AW$200,$G228)&gt;0,
     COUNTIFS($AX$2:$AX$200,$G228)&gt;0
   )),
  ),
  3
 ),
"")</f>
        <v/>
      </c>
      <c r="F228" s="3" t="str" cm="1">
        <f t="array" aca="1" ref="F228" ca="1">IFERROR(
 INDEX(
  _xlfn._xlws.FILTER($U$1:$AX$1,
   TRANSPOSE(
    CHOOSE({1;2;3;4;5;6;7;8;9;10;11;12;13;14;15;16;17;18;19;20;21;22;23;24;25;26;27;28;29;30},
     COUNTIFS($U$2:$U$200,$G228)&gt;0,
     COUNTIFS($V$2:$V$200,$G228)&gt;0,
     COUNTIFS($W$2:$W$200,$G228)&gt;0,
     COUNTIFS($X$2:$X$200,$G228)&gt;0,
     COUNTIFS($Y$2:$Y$200,$G228)&gt;0,
     COUNTIFS($Z$2:$Z$200,$G228)&gt;0,
     COUNTIFS($AA$2:$AA$200,$G228)&gt;0,
     COUNTIFS($AB$2:$AB$200,$G228)&gt;0,
     COUNTIFS($AC$2:$AC$200,$G228)&gt;0,
     COUNTIFS($AD$2:$AD$200,$G228)&gt;0,
     COUNTIFS($AE$2:$AE$200,$G228)&gt;0,
     COUNTIFS($AF$2:$AF$200,$G228)&gt;0,
     COUNTIFS($AG$2:$AG$200,$G228)&gt;0,
     COUNTIFS($AH$2:$AH$200,$G228)&gt;0,
     COUNTIFS($AI$2:$AI$200,$G228)&gt;0,
     COUNTIFS($AJ$2:$AJ$200,$G228)&gt;0,
     COUNTIFS($AK$2:$AK$200,$G228)&gt;0,
     COUNTIFS($AL$2:$AL$200,$G228)&gt;0,
     COUNTIFS($AM$2:$AM$200,$G228)&gt;0,
     COUNTIFS($AN$2:$AN$200,$G228)&gt;0,
     COUNTIFS($AO$2:$AO$200,$G228)&gt;0,
     COUNTIFS($AP$2:$AP$200,$G228)&gt;0,
     COUNTIFS($AQ$2:$AQ$200,$G228)&gt;0,
     COUNTIFS($AR$2:$AR$200,$G228)&gt;0,
     COUNTIFS($AS$2:$AS$200,$G228)&gt;0,
     COUNTIFS($AT$2:$AT$200,$G228)&gt;0,
     COUNTIFS($AU$2:$AU$200,$G228)&gt;0,
     COUNTIFS($AV$2:$AV$200,$G228)&gt;0,
     COUNTIFS($AW$2:$AW$200,$G228)&gt;0,
     COUNTIFS($AX$2:$AX$200,$G228)&gt;0
   )),
  ),
  4
 ),
"")</f>
        <v/>
      </c>
      <c r="G228" t="str">
        <f ca="1"/>
        <v>Sea Gate Restoration</v>
      </c>
      <c r="CG228" t="str">
        <f ca="1"/>
        <v>Valfenda</v>
      </c>
      <c r="CJ228" t="str">
        <f ca="1"/>
        <v>Sea Gate Restoration</v>
      </c>
    </row>
    <row r="229" spans="1:88" x14ac:dyDescent="0.25">
      <c r="A229" s="3" t="str">
        <f t="shared" ca="1" si="8"/>
        <v>2</v>
      </c>
      <c r="B229" s="3">
        <f t="shared" ca="1" si="9"/>
        <v>1</v>
      </c>
      <c r="C229" s="3" t="str">
        <f ca="1">IFERROR(
 INDEX($U$1:$AX$1,
  MATCH(TRUE,
   CHOOSE({1;2;3;4;5;6;7;8;9;10;11;12;13;14;15;16;17;18;19;20;21;22;23;24;25;26;27;28;29;30;31;32},
    COUNTIFS($U$2:$U$200,$G229)&gt;0,
    COUNTIFS($V$2:$V$200,$G229)&gt;0,
    COUNTIFS($W$2:$W$200,$G229)&gt;0,
    COUNTIFS($X$2:$X$200,$G229)&gt;0,
    COUNTIFS($Y$2:$Y$200,$G229)&gt;0,
    COUNTIFS($Z$2:$Z$200,$G229)&gt;0,
    COUNTIFS($AA$2:$AA$200,$G229)&gt;0,
    COUNTIFS($AB$2:$AB$200,$G229)&gt;0,
    COUNTIFS($AC$2:$AC$200,$G229)&gt;0,
    COUNTIFS($AD$2:$AD$200,$G229)&gt;0,
    COUNTIFS($AE$2:$AE$200,$G229)&gt;0,
    COUNTIFS($AF$2:$AF$200,$G229)&gt;0,
    COUNTIFS($AG$2:$AG$200,$G229)&gt;0,
    COUNTIFS($AH$2:$AH$200,$G229)&gt;0,
    COUNTIFS($AI$2:$AI$200,$G229)&gt;0,
    COUNTIFS($AJ$2:$AJ$200,$G229)&gt;0,
    COUNTIFS($AK$2:$AK$200,$G229)&gt;0,
    COUNTIFS($AL$2:$AL$200,$G229)&gt;0,
    COUNTIFS($AM$2:$AM$200,$G229)&gt;0,
    COUNTIFS($AN$2:$AN$200,$G229)&gt;0,
    COUNTIFS($AO$2:$AO$200,$G229)&gt;0,
    COUNTIFS($AP$2:$AP$200,$G229)&gt;0,
    COUNTIFS($AQ$2:$AQ$200,$G229)&gt;0,
    COUNTIFS($AR$2:$AR$200,$G229)&gt;0,
    COUNTIFS($AS$2:$AS$200,$G229)&gt;0,
    COUNTIFS($AT$2:$AT$200,$G229)&gt;0,
    COUNTIFS($AU$2:$AU$200,$G229)&gt;0,
    COUNTIFS($AV$2:$AV$200,$G229)&gt;0,
    COUNTIFS($AW$2:$AW$200,$G229)&gt;0,
    COUNTIFS($AX$2:$AX$200,$G229)&gt;0
   ),
  0)
 ),
"")</f>
        <v>Narset</v>
      </c>
      <c r="D229" s="3" t="str" cm="1">
        <f t="array" aca="1" ref="D229" ca="1">IFERROR(
 INDEX(
  _xlfn._xlws.FILTER($U$1:$AX$1,
   TRANSPOSE(
    CHOOSE({1;2;3;4;5;6;7;8;9;10;11;12;13;14;15;16;17;18;19;20;21;22;23;24;25;26;27;28;29;30},
     COUNTIFS($U$2:$U$200,$G229)&gt;0,
     COUNTIFS($V$2:$V$200,$G229)&gt;0,
     COUNTIFS($W$2:$W$200,$G229)&gt;0,
     COUNTIFS($X$2:$X$200,$G229)&gt;0,
     COUNTIFS($Y$2:$Y$200,$G229)&gt;0,
     COUNTIFS($Z$2:$Z$200,$G229)&gt;0,
     COUNTIFS($AA$2:$AA$200,$G229)&gt;0,
     COUNTIFS($AB$2:$AB$200,$G229)&gt;0,
     COUNTIFS($AC$2:$AC$200,$G229)&gt;0,
     COUNTIFS($AD$2:$AD$200,$G229)&gt;0,
     COUNTIFS($AE$2:$AE$200,$G229)&gt;0,
     COUNTIFS($AF$2:$AF$200,$G229)&gt;0,
     COUNTIFS($AG$2:$AG$200,$G229)&gt;0,
     COUNTIFS($AH$2:$AH$200,$G229)&gt;0,
     COUNTIFS($AI$2:$AI$200,$G229)&gt;0,
     COUNTIFS($AJ$2:$AJ$200,$G229)&gt;0,
     COUNTIFS($AK$2:$AK$200,$G229)&gt;0,
     COUNTIFS($AL$2:$AL$200,$G229)&gt;0,
     COUNTIFS($AM$2:$AM$200,$G229)&gt;0,
     COUNTIFS($AN$2:$AN$200,$G229)&gt;0,
     COUNTIFS($AO$2:$AO$200,$G229)&gt;0,
     COUNTIFS($AP$2:$AP$200,$G229)&gt;0,
     COUNTIFS($AQ$2:$AQ$200,$G229)&gt;0,
     COUNTIFS($AR$2:$AR$200,$G229)&gt;0,
     COUNTIFS($AS$2:$AS$200,$G229)&gt;0,
     COUNTIFS($AT$2:$AT$200,$G229)&gt;0,
     COUNTIFS($AU$2:$AU$200,$G229)&gt;0,
     COUNTIFS($AV$2:$AV$200,$G229)&gt;0,
     COUNTIFS($AW$2:$AW$200,$G229)&gt;0,
     COUNTIFS($AX$2:$AX$200,$G229)&gt;0
   )),
  ),
  2
 ),
"")</f>
        <v/>
      </c>
      <c r="E229" s="3" t="str" cm="1">
        <f t="array" aca="1" ref="E229" ca="1">IFERROR(
 INDEX(
  _xlfn._xlws.FILTER($U$1:$AX$1,
   TRANSPOSE(
    CHOOSE({1;2;3;4;5;6;7;8;9;10;11;12;13;14;15;16;17;18;19;20;21;22;23;24;25;26;27;28;29;30},
     COUNTIFS($U$2:$U$200,$G229)&gt;0,
     COUNTIFS($V$2:$V$200,$G229)&gt;0,
     COUNTIFS($W$2:$W$200,$G229)&gt;0,
     COUNTIFS($X$2:$X$200,$G229)&gt;0,
     COUNTIFS($Y$2:$Y$200,$G229)&gt;0,
     COUNTIFS($Z$2:$Z$200,$G229)&gt;0,
     COUNTIFS($AA$2:$AA$200,$G229)&gt;0,
     COUNTIFS($AB$2:$AB$200,$G229)&gt;0,
     COUNTIFS($AC$2:$AC$200,$G229)&gt;0,
     COUNTIFS($AD$2:$AD$200,$G229)&gt;0,
     COUNTIFS($AE$2:$AE$200,$G229)&gt;0,
     COUNTIFS($AF$2:$AF$200,$G229)&gt;0,
     COUNTIFS($AG$2:$AG$200,$G229)&gt;0,
     COUNTIFS($AH$2:$AH$200,$G229)&gt;0,
     COUNTIFS($AI$2:$AI$200,$G229)&gt;0,
     COUNTIFS($AJ$2:$AJ$200,$G229)&gt;0,
     COUNTIFS($AK$2:$AK$200,$G229)&gt;0,
     COUNTIFS($AL$2:$AL$200,$G229)&gt;0,
     COUNTIFS($AM$2:$AM$200,$G229)&gt;0,
     COUNTIFS($AN$2:$AN$200,$G229)&gt;0,
     COUNTIFS($AO$2:$AO$200,$G229)&gt;0,
     COUNTIFS($AP$2:$AP$200,$G229)&gt;0,
     COUNTIFS($AQ$2:$AQ$200,$G229)&gt;0,
     COUNTIFS($AR$2:$AR$200,$G229)&gt;0,
     COUNTIFS($AS$2:$AS$200,$G229)&gt;0,
     COUNTIFS($AT$2:$AT$200,$G229)&gt;0,
     COUNTIFS($AU$2:$AU$200,$G229)&gt;0,
     COUNTIFS($AV$2:$AV$200,$G229)&gt;0,
     COUNTIFS($AW$2:$AW$200,$G229)&gt;0,
     COUNTIFS($AX$2:$AX$200,$G229)&gt;0
   )),
  ),
  3
 ),
"")</f>
        <v/>
      </c>
      <c r="F229" s="3" t="str" cm="1">
        <f t="array" aca="1" ref="F229" ca="1">IFERROR(
 INDEX(
  _xlfn._xlws.FILTER($U$1:$AX$1,
   TRANSPOSE(
    CHOOSE({1;2;3;4;5;6;7;8;9;10;11;12;13;14;15;16;17;18;19;20;21;22;23;24;25;26;27;28;29;30},
     COUNTIFS($U$2:$U$200,$G229)&gt;0,
     COUNTIFS($V$2:$V$200,$G229)&gt;0,
     COUNTIFS($W$2:$W$200,$G229)&gt;0,
     COUNTIFS($X$2:$X$200,$G229)&gt;0,
     COUNTIFS($Y$2:$Y$200,$G229)&gt;0,
     COUNTIFS($Z$2:$Z$200,$G229)&gt;0,
     COUNTIFS($AA$2:$AA$200,$G229)&gt;0,
     COUNTIFS($AB$2:$AB$200,$G229)&gt;0,
     COUNTIFS($AC$2:$AC$200,$G229)&gt;0,
     COUNTIFS($AD$2:$AD$200,$G229)&gt;0,
     COUNTIFS($AE$2:$AE$200,$G229)&gt;0,
     COUNTIFS($AF$2:$AF$200,$G229)&gt;0,
     COUNTIFS($AG$2:$AG$200,$G229)&gt;0,
     COUNTIFS($AH$2:$AH$200,$G229)&gt;0,
     COUNTIFS($AI$2:$AI$200,$G229)&gt;0,
     COUNTIFS($AJ$2:$AJ$200,$G229)&gt;0,
     COUNTIFS($AK$2:$AK$200,$G229)&gt;0,
     COUNTIFS($AL$2:$AL$200,$G229)&gt;0,
     COUNTIFS($AM$2:$AM$200,$G229)&gt;0,
     COUNTIFS($AN$2:$AN$200,$G229)&gt;0,
     COUNTIFS($AO$2:$AO$200,$G229)&gt;0,
     COUNTIFS($AP$2:$AP$200,$G229)&gt;0,
     COUNTIFS($AQ$2:$AQ$200,$G229)&gt;0,
     COUNTIFS($AR$2:$AR$200,$G229)&gt;0,
     COUNTIFS($AS$2:$AS$200,$G229)&gt;0,
     COUNTIFS($AT$2:$AT$200,$G229)&gt;0,
     COUNTIFS($AU$2:$AU$200,$G229)&gt;0,
     COUNTIFS($AV$2:$AV$200,$G229)&gt;0,
     COUNTIFS($AW$2:$AW$200,$G229)&gt;0,
     COUNTIFS($AX$2:$AX$200,$G229)&gt;0
   )),
  ),
  4
 ),
"")</f>
        <v/>
      </c>
      <c r="G229" t="str">
        <f ca="1"/>
        <v>Sea of Clouds</v>
      </c>
      <c r="CG229" t="str">
        <f ca="1"/>
        <v>Vanquisher's Banner</v>
      </c>
      <c r="CJ229" t="str">
        <f ca="1"/>
        <v>Sea of Clouds</v>
      </c>
    </row>
    <row r="230" spans="1:88" x14ac:dyDescent="0.25">
      <c r="A230" s="3" t="str">
        <f t="shared" ca="1" si="8"/>
        <v>2</v>
      </c>
      <c r="B230" s="3">
        <f t="shared" ca="1" si="9"/>
        <v>1</v>
      </c>
      <c r="C230" s="3" t="str">
        <f ca="1">IFERROR(
 INDEX($U$1:$AX$1,
  MATCH(TRUE,
   CHOOSE({1;2;3;4;5;6;7;8;9;10;11;12;13;14;15;16;17;18;19;20;21;22;23;24;25;26;27;28;29;30;31;32},
    COUNTIFS($U$2:$U$200,$G230)&gt;0,
    COUNTIFS($V$2:$V$200,$G230)&gt;0,
    COUNTIFS($W$2:$W$200,$G230)&gt;0,
    COUNTIFS($X$2:$X$200,$G230)&gt;0,
    COUNTIFS($Y$2:$Y$200,$G230)&gt;0,
    COUNTIFS($Z$2:$Z$200,$G230)&gt;0,
    COUNTIFS($AA$2:$AA$200,$G230)&gt;0,
    COUNTIFS($AB$2:$AB$200,$G230)&gt;0,
    COUNTIFS($AC$2:$AC$200,$G230)&gt;0,
    COUNTIFS($AD$2:$AD$200,$G230)&gt;0,
    COUNTIFS($AE$2:$AE$200,$G230)&gt;0,
    COUNTIFS($AF$2:$AF$200,$G230)&gt;0,
    COUNTIFS($AG$2:$AG$200,$G230)&gt;0,
    COUNTIFS($AH$2:$AH$200,$G230)&gt;0,
    COUNTIFS($AI$2:$AI$200,$G230)&gt;0,
    COUNTIFS($AJ$2:$AJ$200,$G230)&gt;0,
    COUNTIFS($AK$2:$AK$200,$G230)&gt;0,
    COUNTIFS($AL$2:$AL$200,$G230)&gt;0,
    COUNTIFS($AM$2:$AM$200,$G230)&gt;0,
    COUNTIFS($AN$2:$AN$200,$G230)&gt;0,
    COUNTIFS($AO$2:$AO$200,$G230)&gt;0,
    COUNTIFS($AP$2:$AP$200,$G230)&gt;0,
    COUNTIFS($AQ$2:$AQ$200,$G230)&gt;0,
    COUNTIFS($AR$2:$AR$200,$G230)&gt;0,
    COUNTIFS($AS$2:$AS$200,$G230)&gt;0,
    COUNTIFS($AT$2:$AT$200,$G230)&gt;0,
    COUNTIFS($AU$2:$AU$200,$G230)&gt;0,
    COUNTIFS($AV$2:$AV$200,$G230)&gt;0,
    COUNTIFS($AW$2:$AW$200,$G230)&gt;0,
    COUNTIFS($AX$2:$AX$200,$G230)&gt;0
   ),
  0)
 ),
"")</f>
        <v>Kumena</v>
      </c>
      <c r="D230" s="3" t="str" cm="1">
        <f t="array" aca="1" ref="D230" ca="1">IFERROR(
 INDEX(
  _xlfn._xlws.FILTER($U$1:$AX$1,
   TRANSPOSE(
    CHOOSE({1;2;3;4;5;6;7;8;9;10;11;12;13;14;15;16;17;18;19;20;21;22;23;24;25;26;27;28;29;30},
     COUNTIFS($U$2:$U$200,$G230)&gt;0,
     COUNTIFS($V$2:$V$200,$G230)&gt;0,
     COUNTIFS($W$2:$W$200,$G230)&gt;0,
     COUNTIFS($X$2:$X$200,$G230)&gt;0,
     COUNTIFS($Y$2:$Y$200,$G230)&gt;0,
     COUNTIFS($Z$2:$Z$200,$G230)&gt;0,
     COUNTIFS($AA$2:$AA$200,$G230)&gt;0,
     COUNTIFS($AB$2:$AB$200,$G230)&gt;0,
     COUNTIFS($AC$2:$AC$200,$G230)&gt;0,
     COUNTIFS($AD$2:$AD$200,$G230)&gt;0,
     COUNTIFS($AE$2:$AE$200,$G230)&gt;0,
     COUNTIFS($AF$2:$AF$200,$G230)&gt;0,
     COUNTIFS($AG$2:$AG$200,$G230)&gt;0,
     COUNTIFS($AH$2:$AH$200,$G230)&gt;0,
     COUNTIFS($AI$2:$AI$200,$G230)&gt;0,
     COUNTIFS($AJ$2:$AJ$200,$G230)&gt;0,
     COUNTIFS($AK$2:$AK$200,$G230)&gt;0,
     COUNTIFS($AL$2:$AL$200,$G230)&gt;0,
     COUNTIFS($AM$2:$AM$200,$G230)&gt;0,
     COUNTIFS($AN$2:$AN$200,$G230)&gt;0,
     COUNTIFS($AO$2:$AO$200,$G230)&gt;0,
     COUNTIFS($AP$2:$AP$200,$G230)&gt;0,
     COUNTIFS($AQ$2:$AQ$200,$G230)&gt;0,
     COUNTIFS($AR$2:$AR$200,$G230)&gt;0,
     COUNTIFS($AS$2:$AS$200,$G230)&gt;0,
     COUNTIFS($AT$2:$AT$200,$G230)&gt;0,
     COUNTIFS($AU$2:$AU$200,$G230)&gt;0,
     COUNTIFS($AV$2:$AV$200,$G230)&gt;0,
     COUNTIFS($AW$2:$AW$200,$G230)&gt;0,
     COUNTIFS($AX$2:$AX$200,$G230)&gt;0
   )),
  ),
  2
 ),
"")</f>
        <v/>
      </c>
      <c r="E230" s="3" t="str" cm="1">
        <f t="array" aca="1" ref="E230" ca="1">IFERROR(
 INDEX(
  _xlfn._xlws.FILTER($U$1:$AX$1,
   TRANSPOSE(
    CHOOSE({1;2;3;4;5;6;7;8;9;10;11;12;13;14;15;16;17;18;19;20;21;22;23;24;25;26;27;28;29;30},
     COUNTIFS($U$2:$U$200,$G230)&gt;0,
     COUNTIFS($V$2:$V$200,$G230)&gt;0,
     COUNTIFS($W$2:$W$200,$G230)&gt;0,
     COUNTIFS($X$2:$X$200,$G230)&gt;0,
     COUNTIFS($Y$2:$Y$200,$G230)&gt;0,
     COUNTIFS($Z$2:$Z$200,$G230)&gt;0,
     COUNTIFS($AA$2:$AA$200,$G230)&gt;0,
     COUNTIFS($AB$2:$AB$200,$G230)&gt;0,
     COUNTIFS($AC$2:$AC$200,$G230)&gt;0,
     COUNTIFS($AD$2:$AD$200,$G230)&gt;0,
     COUNTIFS($AE$2:$AE$200,$G230)&gt;0,
     COUNTIFS($AF$2:$AF$200,$G230)&gt;0,
     COUNTIFS($AG$2:$AG$200,$G230)&gt;0,
     COUNTIFS($AH$2:$AH$200,$G230)&gt;0,
     COUNTIFS($AI$2:$AI$200,$G230)&gt;0,
     COUNTIFS($AJ$2:$AJ$200,$G230)&gt;0,
     COUNTIFS($AK$2:$AK$200,$G230)&gt;0,
     COUNTIFS($AL$2:$AL$200,$G230)&gt;0,
     COUNTIFS($AM$2:$AM$200,$G230)&gt;0,
     COUNTIFS($AN$2:$AN$200,$G230)&gt;0,
     COUNTIFS($AO$2:$AO$200,$G230)&gt;0,
     COUNTIFS($AP$2:$AP$200,$G230)&gt;0,
     COUNTIFS($AQ$2:$AQ$200,$G230)&gt;0,
     COUNTIFS($AR$2:$AR$200,$G230)&gt;0,
     COUNTIFS($AS$2:$AS$200,$G230)&gt;0,
     COUNTIFS($AT$2:$AT$200,$G230)&gt;0,
     COUNTIFS($AU$2:$AU$200,$G230)&gt;0,
     COUNTIFS($AV$2:$AV$200,$G230)&gt;0,
     COUNTIFS($AW$2:$AW$200,$G230)&gt;0,
     COUNTIFS($AX$2:$AX$200,$G230)&gt;0
   )),
  ),
  3
 ),
"")</f>
        <v/>
      </c>
      <c r="F230" s="3" t="str" cm="1">
        <f t="array" aca="1" ref="F230" ca="1">IFERROR(
 INDEX(
  _xlfn._xlws.FILTER($U$1:$AX$1,
   TRANSPOSE(
    CHOOSE({1;2;3;4;5;6;7;8;9;10;11;12;13;14;15;16;17;18;19;20;21;22;23;24;25;26;27;28;29;30},
     COUNTIFS($U$2:$U$200,$G230)&gt;0,
     COUNTIFS($V$2:$V$200,$G230)&gt;0,
     COUNTIFS($W$2:$W$200,$G230)&gt;0,
     COUNTIFS($X$2:$X$200,$G230)&gt;0,
     COUNTIFS($Y$2:$Y$200,$G230)&gt;0,
     COUNTIFS($Z$2:$Z$200,$G230)&gt;0,
     COUNTIFS($AA$2:$AA$200,$G230)&gt;0,
     COUNTIFS($AB$2:$AB$200,$G230)&gt;0,
     COUNTIFS($AC$2:$AC$200,$G230)&gt;0,
     COUNTIFS($AD$2:$AD$200,$G230)&gt;0,
     COUNTIFS($AE$2:$AE$200,$G230)&gt;0,
     COUNTIFS($AF$2:$AF$200,$G230)&gt;0,
     COUNTIFS($AG$2:$AG$200,$G230)&gt;0,
     COUNTIFS($AH$2:$AH$200,$G230)&gt;0,
     COUNTIFS($AI$2:$AI$200,$G230)&gt;0,
     COUNTIFS($AJ$2:$AJ$200,$G230)&gt;0,
     COUNTIFS($AK$2:$AK$200,$G230)&gt;0,
     COUNTIFS($AL$2:$AL$200,$G230)&gt;0,
     COUNTIFS($AM$2:$AM$200,$G230)&gt;0,
     COUNTIFS($AN$2:$AN$200,$G230)&gt;0,
     COUNTIFS($AO$2:$AO$200,$G230)&gt;0,
     COUNTIFS($AP$2:$AP$200,$G230)&gt;0,
     COUNTIFS($AQ$2:$AQ$200,$G230)&gt;0,
     COUNTIFS($AR$2:$AR$200,$G230)&gt;0,
     COUNTIFS($AS$2:$AS$200,$G230)&gt;0,
     COUNTIFS($AT$2:$AT$200,$G230)&gt;0,
     COUNTIFS($AU$2:$AU$200,$G230)&gt;0,
     COUNTIFS($AV$2:$AV$200,$G230)&gt;0,
     COUNTIFS($AW$2:$AW$200,$G230)&gt;0,
     COUNTIFS($AX$2:$AX$200,$G230)&gt;0
   )),
  ),
  4
 ),
"")</f>
        <v/>
      </c>
      <c r="G230" t="str">
        <f ca="1"/>
        <v>Seahunter</v>
      </c>
      <c r="CG230" t="str">
        <f ca="1"/>
        <v>Vault of the Archangel</v>
      </c>
      <c r="CJ230" t="str">
        <f ca="1"/>
        <v>Seahunter</v>
      </c>
    </row>
    <row r="231" spans="1:88" x14ac:dyDescent="0.25">
      <c r="A231" s="3" t="str">
        <f t="shared" ca="1" si="8"/>
        <v>4</v>
      </c>
      <c r="B231" s="3">
        <f t="shared" ca="1" si="9"/>
        <v>1</v>
      </c>
      <c r="C231" s="3" t="str">
        <f ca="1">IFERROR(
 INDEX($U$1:$AX$1,
  MATCH(TRUE,
   CHOOSE({1;2;3;4;5;6;7;8;9;10;11;12;13;14;15;16;17;18;19;20;21;22;23;24;25;26;27;28;29;30;31;32},
    COUNTIFS($U$2:$U$200,$G231)&gt;0,
    COUNTIFS($V$2:$V$200,$G231)&gt;0,
    COUNTIFS($W$2:$W$200,$G231)&gt;0,
    COUNTIFS($X$2:$X$200,$G231)&gt;0,
    COUNTIFS($Y$2:$Y$200,$G231)&gt;0,
    COUNTIFS($Z$2:$Z$200,$G231)&gt;0,
    COUNTIFS($AA$2:$AA$200,$G231)&gt;0,
    COUNTIFS($AB$2:$AB$200,$G231)&gt;0,
    COUNTIFS($AC$2:$AC$200,$G231)&gt;0,
    COUNTIFS($AD$2:$AD$200,$G231)&gt;0,
    COUNTIFS($AE$2:$AE$200,$G231)&gt;0,
    COUNTIFS($AF$2:$AF$200,$G231)&gt;0,
    COUNTIFS($AG$2:$AG$200,$G231)&gt;0,
    COUNTIFS($AH$2:$AH$200,$G231)&gt;0,
    COUNTIFS($AI$2:$AI$200,$G231)&gt;0,
    COUNTIFS($AJ$2:$AJ$200,$G231)&gt;0,
    COUNTIFS($AK$2:$AK$200,$G231)&gt;0,
    COUNTIFS($AL$2:$AL$200,$G231)&gt;0,
    COUNTIFS($AM$2:$AM$200,$G231)&gt;0,
    COUNTIFS($AN$2:$AN$200,$G231)&gt;0,
    COUNTIFS($AO$2:$AO$200,$G231)&gt;0,
    COUNTIFS($AP$2:$AP$200,$G231)&gt;0,
    COUNTIFS($AQ$2:$AQ$200,$G231)&gt;0,
    COUNTIFS($AR$2:$AR$200,$G231)&gt;0,
    COUNTIFS($AS$2:$AS$200,$G231)&gt;0,
    COUNTIFS($AT$2:$AT$200,$G231)&gt;0,
    COUNTIFS($AU$2:$AU$200,$G231)&gt;0,
    COUNTIFS($AV$2:$AV$200,$G231)&gt;0,
    COUNTIFS($AW$2:$AW$200,$G231)&gt;0,
    COUNTIFS($AX$2:$AX$200,$G231)&gt;0
   ),
  0)
 ),
"")</f>
        <v>Oona</v>
      </c>
      <c r="D231" s="3" t="str" cm="1">
        <f t="array" aca="1" ref="D231" ca="1">IFERROR(
 INDEX(
  _xlfn._xlws.FILTER($U$1:$AX$1,
   TRANSPOSE(
    CHOOSE({1;2;3;4;5;6;7;8;9;10;11;12;13;14;15;16;17;18;19;20;21;22;23;24;25;26;27;28;29;30},
     COUNTIFS($U$2:$U$200,$G231)&gt;0,
     COUNTIFS($V$2:$V$200,$G231)&gt;0,
     COUNTIFS($W$2:$W$200,$G231)&gt;0,
     COUNTIFS($X$2:$X$200,$G231)&gt;0,
     COUNTIFS($Y$2:$Y$200,$G231)&gt;0,
     COUNTIFS($Z$2:$Z$200,$G231)&gt;0,
     COUNTIFS($AA$2:$AA$200,$G231)&gt;0,
     COUNTIFS($AB$2:$AB$200,$G231)&gt;0,
     COUNTIFS($AC$2:$AC$200,$G231)&gt;0,
     COUNTIFS($AD$2:$AD$200,$G231)&gt;0,
     COUNTIFS($AE$2:$AE$200,$G231)&gt;0,
     COUNTIFS($AF$2:$AF$200,$G231)&gt;0,
     COUNTIFS($AG$2:$AG$200,$G231)&gt;0,
     COUNTIFS($AH$2:$AH$200,$G231)&gt;0,
     COUNTIFS($AI$2:$AI$200,$G231)&gt;0,
     COUNTIFS($AJ$2:$AJ$200,$G231)&gt;0,
     COUNTIFS($AK$2:$AK$200,$G231)&gt;0,
     COUNTIFS($AL$2:$AL$200,$G231)&gt;0,
     COUNTIFS($AM$2:$AM$200,$G231)&gt;0,
     COUNTIFS($AN$2:$AN$200,$G231)&gt;0,
     COUNTIFS($AO$2:$AO$200,$G231)&gt;0,
     COUNTIFS($AP$2:$AP$200,$G231)&gt;0,
     COUNTIFS($AQ$2:$AQ$200,$G231)&gt;0,
     COUNTIFS($AR$2:$AR$200,$G231)&gt;0,
     COUNTIFS($AS$2:$AS$200,$G231)&gt;0,
     COUNTIFS($AT$2:$AT$200,$G231)&gt;0,
     COUNTIFS($AU$2:$AU$200,$G231)&gt;0,
     COUNTIFS($AV$2:$AV$200,$G231)&gt;0,
     COUNTIFS($AW$2:$AW$200,$G231)&gt;0,
     COUNTIFS($AX$2:$AX$200,$G231)&gt;0
   )),
  ),
  2
 ),
"")</f>
        <v/>
      </c>
      <c r="E231" s="3" t="str" cm="1">
        <f t="array" aca="1" ref="E231" ca="1">IFERROR(
 INDEX(
  _xlfn._xlws.FILTER($U$1:$AX$1,
   TRANSPOSE(
    CHOOSE({1;2;3;4;5;6;7;8;9;10;11;12;13;14;15;16;17;18;19;20;21;22;23;24;25;26;27;28;29;30},
     COUNTIFS($U$2:$U$200,$G231)&gt;0,
     COUNTIFS($V$2:$V$200,$G231)&gt;0,
     COUNTIFS($W$2:$W$200,$G231)&gt;0,
     COUNTIFS($X$2:$X$200,$G231)&gt;0,
     COUNTIFS($Y$2:$Y$200,$G231)&gt;0,
     COUNTIFS($Z$2:$Z$200,$G231)&gt;0,
     COUNTIFS($AA$2:$AA$200,$G231)&gt;0,
     COUNTIFS($AB$2:$AB$200,$G231)&gt;0,
     COUNTIFS($AC$2:$AC$200,$G231)&gt;0,
     COUNTIFS($AD$2:$AD$200,$G231)&gt;0,
     COUNTIFS($AE$2:$AE$200,$G231)&gt;0,
     COUNTIFS($AF$2:$AF$200,$G231)&gt;0,
     COUNTIFS($AG$2:$AG$200,$G231)&gt;0,
     COUNTIFS($AH$2:$AH$200,$G231)&gt;0,
     COUNTIFS($AI$2:$AI$200,$G231)&gt;0,
     COUNTIFS($AJ$2:$AJ$200,$G231)&gt;0,
     COUNTIFS($AK$2:$AK$200,$G231)&gt;0,
     COUNTIFS($AL$2:$AL$200,$G231)&gt;0,
     COUNTIFS($AM$2:$AM$200,$G231)&gt;0,
     COUNTIFS($AN$2:$AN$200,$G231)&gt;0,
     COUNTIFS($AO$2:$AO$200,$G231)&gt;0,
     COUNTIFS($AP$2:$AP$200,$G231)&gt;0,
     COUNTIFS($AQ$2:$AQ$200,$G231)&gt;0,
     COUNTIFS($AR$2:$AR$200,$G231)&gt;0,
     COUNTIFS($AS$2:$AS$200,$G231)&gt;0,
     COUNTIFS($AT$2:$AT$200,$G231)&gt;0,
     COUNTIFS($AU$2:$AU$200,$G231)&gt;0,
     COUNTIFS($AV$2:$AV$200,$G231)&gt;0,
     COUNTIFS($AW$2:$AW$200,$G231)&gt;0,
     COUNTIFS($AX$2:$AX$200,$G231)&gt;0
   )),
  ),
  3
 ),
"")</f>
        <v/>
      </c>
      <c r="F231" s="3" t="str" cm="1">
        <f t="array" aca="1" ref="F231" ca="1">IFERROR(
 INDEX(
  _xlfn._xlws.FILTER($U$1:$AX$1,
   TRANSPOSE(
    CHOOSE({1;2;3;4;5;6;7;8;9;10;11;12;13;14;15;16;17;18;19;20;21;22;23;24;25;26;27;28;29;30},
     COUNTIFS($U$2:$U$200,$G231)&gt;0,
     COUNTIFS($V$2:$V$200,$G231)&gt;0,
     COUNTIFS($W$2:$W$200,$G231)&gt;0,
     COUNTIFS($X$2:$X$200,$G231)&gt;0,
     COUNTIFS($Y$2:$Y$200,$G231)&gt;0,
     COUNTIFS($Z$2:$Z$200,$G231)&gt;0,
     COUNTIFS($AA$2:$AA$200,$G231)&gt;0,
     COUNTIFS($AB$2:$AB$200,$G231)&gt;0,
     COUNTIFS($AC$2:$AC$200,$G231)&gt;0,
     COUNTIFS($AD$2:$AD$200,$G231)&gt;0,
     COUNTIFS($AE$2:$AE$200,$G231)&gt;0,
     COUNTIFS($AF$2:$AF$200,$G231)&gt;0,
     COUNTIFS($AG$2:$AG$200,$G231)&gt;0,
     COUNTIFS($AH$2:$AH$200,$G231)&gt;0,
     COUNTIFS($AI$2:$AI$200,$G231)&gt;0,
     COUNTIFS($AJ$2:$AJ$200,$G231)&gt;0,
     COUNTIFS($AK$2:$AK$200,$G231)&gt;0,
     COUNTIFS($AL$2:$AL$200,$G231)&gt;0,
     COUNTIFS($AM$2:$AM$200,$G231)&gt;0,
     COUNTIFS($AN$2:$AN$200,$G231)&gt;0,
     COUNTIFS($AO$2:$AO$200,$G231)&gt;0,
     COUNTIFS($AP$2:$AP$200,$G231)&gt;0,
     COUNTIFS($AQ$2:$AQ$200,$G231)&gt;0,
     COUNTIFS($AR$2:$AR$200,$G231)&gt;0,
     COUNTIFS($AS$2:$AS$200,$G231)&gt;0,
     COUNTIFS($AT$2:$AT$200,$G231)&gt;0,
     COUNTIFS($AU$2:$AU$200,$G231)&gt;0,
     COUNTIFS($AV$2:$AV$200,$G231)&gt;0,
     COUNTIFS($AW$2:$AW$200,$G231)&gt;0,
     COUNTIFS($AX$2:$AX$200,$G231)&gt;0
   )),
  ),
  4
 ),
"")</f>
        <v/>
      </c>
      <c r="G231" t="str">
        <f ca="1"/>
        <v>Season of Weaving</v>
      </c>
      <c r="CG231" t="str">
        <f ca="1"/>
        <v>Vexing Puzzlebox</v>
      </c>
      <c r="CJ231" t="str">
        <f ca="1"/>
        <v>Season of Weaving</v>
      </c>
    </row>
    <row r="232" spans="1:88" x14ac:dyDescent="0.25">
      <c r="A232" s="3" t="str">
        <f t="shared" ca="1" si="8"/>
        <v>2</v>
      </c>
      <c r="B232" s="3">
        <f t="shared" ca="1" si="9"/>
        <v>1</v>
      </c>
      <c r="C232" s="3" t="str">
        <f ca="1">IFERROR(
 INDEX($U$1:$AX$1,
  MATCH(TRUE,
   CHOOSE({1;2;3;4;5;6;7;8;9;10;11;12;13;14;15;16;17;18;19;20;21;22;23;24;25;26;27;28;29;30;31;32},
    COUNTIFS($U$2:$U$200,$G232)&gt;0,
    COUNTIFS($V$2:$V$200,$G232)&gt;0,
    COUNTIFS($W$2:$W$200,$G232)&gt;0,
    COUNTIFS($X$2:$X$200,$G232)&gt;0,
    COUNTIFS($Y$2:$Y$200,$G232)&gt;0,
    COUNTIFS($Z$2:$Z$200,$G232)&gt;0,
    COUNTIFS($AA$2:$AA$200,$G232)&gt;0,
    COUNTIFS($AB$2:$AB$200,$G232)&gt;0,
    COUNTIFS($AC$2:$AC$200,$G232)&gt;0,
    COUNTIFS($AD$2:$AD$200,$G232)&gt;0,
    COUNTIFS($AE$2:$AE$200,$G232)&gt;0,
    COUNTIFS($AF$2:$AF$200,$G232)&gt;0,
    COUNTIFS($AG$2:$AG$200,$G232)&gt;0,
    COUNTIFS($AH$2:$AH$200,$G232)&gt;0,
    COUNTIFS($AI$2:$AI$200,$G232)&gt;0,
    COUNTIFS($AJ$2:$AJ$200,$G232)&gt;0,
    COUNTIFS($AK$2:$AK$200,$G232)&gt;0,
    COUNTIFS($AL$2:$AL$200,$G232)&gt;0,
    COUNTIFS($AM$2:$AM$200,$G232)&gt;0,
    COUNTIFS($AN$2:$AN$200,$G232)&gt;0,
    COUNTIFS($AO$2:$AO$200,$G232)&gt;0,
    COUNTIFS($AP$2:$AP$200,$G232)&gt;0,
    COUNTIFS($AQ$2:$AQ$200,$G232)&gt;0,
    COUNTIFS($AR$2:$AR$200,$G232)&gt;0,
    COUNTIFS($AS$2:$AS$200,$G232)&gt;0,
    COUNTIFS($AT$2:$AT$200,$G232)&gt;0,
    COUNTIFS($AU$2:$AU$200,$G232)&gt;0,
    COUNTIFS($AV$2:$AV$200,$G232)&gt;0,
    COUNTIFS($AW$2:$AW$200,$G232)&gt;0,
    COUNTIFS($AX$2:$AX$200,$G232)&gt;0
   ),
  0)
 ),
"")</f>
        <v>Piratas</v>
      </c>
      <c r="D232" s="3" t="str" cm="1">
        <f t="array" aca="1" ref="D232" ca="1">IFERROR(
 INDEX(
  _xlfn._xlws.FILTER($U$1:$AX$1,
   TRANSPOSE(
    CHOOSE({1;2;3;4;5;6;7;8;9;10;11;12;13;14;15;16;17;18;19;20;21;22;23;24;25;26;27;28;29;30},
     COUNTIFS($U$2:$U$200,$G232)&gt;0,
     COUNTIFS($V$2:$V$200,$G232)&gt;0,
     COUNTIFS($W$2:$W$200,$G232)&gt;0,
     COUNTIFS($X$2:$X$200,$G232)&gt;0,
     COUNTIFS($Y$2:$Y$200,$G232)&gt;0,
     COUNTIFS($Z$2:$Z$200,$G232)&gt;0,
     COUNTIFS($AA$2:$AA$200,$G232)&gt;0,
     COUNTIFS($AB$2:$AB$200,$G232)&gt;0,
     COUNTIFS($AC$2:$AC$200,$G232)&gt;0,
     COUNTIFS($AD$2:$AD$200,$G232)&gt;0,
     COUNTIFS($AE$2:$AE$200,$G232)&gt;0,
     COUNTIFS($AF$2:$AF$200,$G232)&gt;0,
     COUNTIFS($AG$2:$AG$200,$G232)&gt;0,
     COUNTIFS($AH$2:$AH$200,$G232)&gt;0,
     COUNTIFS($AI$2:$AI$200,$G232)&gt;0,
     COUNTIFS($AJ$2:$AJ$200,$G232)&gt;0,
     COUNTIFS($AK$2:$AK$200,$G232)&gt;0,
     COUNTIFS($AL$2:$AL$200,$G232)&gt;0,
     COUNTIFS($AM$2:$AM$200,$G232)&gt;0,
     COUNTIFS($AN$2:$AN$200,$G232)&gt;0,
     COUNTIFS($AO$2:$AO$200,$G232)&gt;0,
     COUNTIFS($AP$2:$AP$200,$G232)&gt;0,
     COUNTIFS($AQ$2:$AQ$200,$G232)&gt;0,
     COUNTIFS($AR$2:$AR$200,$G232)&gt;0,
     COUNTIFS($AS$2:$AS$200,$G232)&gt;0,
     COUNTIFS($AT$2:$AT$200,$G232)&gt;0,
     COUNTIFS($AU$2:$AU$200,$G232)&gt;0,
     COUNTIFS($AV$2:$AV$200,$G232)&gt;0,
     COUNTIFS($AW$2:$AW$200,$G232)&gt;0,
     COUNTIFS($AX$2:$AX$200,$G232)&gt;0
   )),
  ),
  2
 ),
"")</f>
        <v/>
      </c>
      <c r="E232" s="3" t="str" cm="1">
        <f t="array" aca="1" ref="E232" ca="1">IFERROR(
 INDEX(
  _xlfn._xlws.FILTER($U$1:$AX$1,
   TRANSPOSE(
    CHOOSE({1;2;3;4;5;6;7;8;9;10;11;12;13;14;15;16;17;18;19;20;21;22;23;24;25;26;27;28;29;30},
     COUNTIFS($U$2:$U$200,$G232)&gt;0,
     COUNTIFS($V$2:$V$200,$G232)&gt;0,
     COUNTIFS($W$2:$W$200,$G232)&gt;0,
     COUNTIFS($X$2:$X$200,$G232)&gt;0,
     COUNTIFS($Y$2:$Y$200,$G232)&gt;0,
     COUNTIFS($Z$2:$Z$200,$G232)&gt;0,
     COUNTIFS($AA$2:$AA$200,$G232)&gt;0,
     COUNTIFS($AB$2:$AB$200,$G232)&gt;0,
     COUNTIFS($AC$2:$AC$200,$G232)&gt;0,
     COUNTIFS($AD$2:$AD$200,$G232)&gt;0,
     COUNTIFS($AE$2:$AE$200,$G232)&gt;0,
     COUNTIFS($AF$2:$AF$200,$G232)&gt;0,
     COUNTIFS($AG$2:$AG$200,$G232)&gt;0,
     COUNTIFS($AH$2:$AH$200,$G232)&gt;0,
     COUNTIFS($AI$2:$AI$200,$G232)&gt;0,
     COUNTIFS($AJ$2:$AJ$200,$G232)&gt;0,
     COUNTIFS($AK$2:$AK$200,$G232)&gt;0,
     COUNTIFS($AL$2:$AL$200,$G232)&gt;0,
     COUNTIFS($AM$2:$AM$200,$G232)&gt;0,
     COUNTIFS($AN$2:$AN$200,$G232)&gt;0,
     COUNTIFS($AO$2:$AO$200,$G232)&gt;0,
     COUNTIFS($AP$2:$AP$200,$G232)&gt;0,
     COUNTIFS($AQ$2:$AQ$200,$G232)&gt;0,
     COUNTIFS($AR$2:$AR$200,$G232)&gt;0,
     COUNTIFS($AS$2:$AS$200,$G232)&gt;0,
     COUNTIFS($AT$2:$AT$200,$G232)&gt;0,
     COUNTIFS($AU$2:$AU$200,$G232)&gt;0,
     COUNTIFS($AV$2:$AV$200,$G232)&gt;0,
     COUNTIFS($AW$2:$AW$200,$G232)&gt;0,
     COUNTIFS($AX$2:$AX$200,$G232)&gt;0
   )),
  ),
  3
 ),
"")</f>
        <v/>
      </c>
      <c r="F232" s="3" t="str" cm="1">
        <f t="array" aca="1" ref="F232" ca="1">IFERROR(
 INDEX(
  _xlfn._xlws.FILTER($U$1:$AX$1,
   TRANSPOSE(
    CHOOSE({1;2;3;4;5;6;7;8;9;10;11;12;13;14;15;16;17;18;19;20;21;22;23;24;25;26;27;28;29;30},
     COUNTIFS($U$2:$U$200,$G232)&gt;0,
     COUNTIFS($V$2:$V$200,$G232)&gt;0,
     COUNTIFS($W$2:$W$200,$G232)&gt;0,
     COUNTIFS($X$2:$X$200,$G232)&gt;0,
     COUNTIFS($Y$2:$Y$200,$G232)&gt;0,
     COUNTIFS($Z$2:$Z$200,$G232)&gt;0,
     COUNTIFS($AA$2:$AA$200,$G232)&gt;0,
     COUNTIFS($AB$2:$AB$200,$G232)&gt;0,
     COUNTIFS($AC$2:$AC$200,$G232)&gt;0,
     COUNTIFS($AD$2:$AD$200,$G232)&gt;0,
     COUNTIFS($AE$2:$AE$200,$G232)&gt;0,
     COUNTIFS($AF$2:$AF$200,$G232)&gt;0,
     COUNTIFS($AG$2:$AG$200,$G232)&gt;0,
     COUNTIFS($AH$2:$AH$200,$G232)&gt;0,
     COUNTIFS($AI$2:$AI$200,$G232)&gt;0,
     COUNTIFS($AJ$2:$AJ$200,$G232)&gt;0,
     COUNTIFS($AK$2:$AK$200,$G232)&gt;0,
     COUNTIFS($AL$2:$AL$200,$G232)&gt;0,
     COUNTIFS($AM$2:$AM$200,$G232)&gt;0,
     COUNTIFS($AN$2:$AN$200,$G232)&gt;0,
     COUNTIFS($AO$2:$AO$200,$G232)&gt;0,
     COUNTIFS($AP$2:$AP$200,$G232)&gt;0,
     COUNTIFS($AQ$2:$AQ$200,$G232)&gt;0,
     COUNTIFS($AR$2:$AR$200,$G232)&gt;0,
     COUNTIFS($AS$2:$AS$200,$G232)&gt;0,
     COUNTIFS($AT$2:$AT$200,$G232)&gt;0,
     COUNTIFS($AU$2:$AU$200,$G232)&gt;0,
     COUNTIFS($AV$2:$AV$200,$G232)&gt;0,
     COUNTIFS($AW$2:$AW$200,$G232)&gt;0,
     COUNTIFS($AX$2:$AX$200,$G232)&gt;0
   )),
  ),
  4
 ),
"")</f>
        <v/>
      </c>
      <c r="G232" t="str">
        <f ca="1"/>
        <v>Secluded Courtyard</v>
      </c>
      <c r="CG232" t="str">
        <f ca="1"/>
        <v>Virtue of Loyalty // Ardenvale Fealty</v>
      </c>
      <c r="CJ232" t="str">
        <f ca="1"/>
        <v>Secluded Courtyard</v>
      </c>
    </row>
    <row r="233" spans="1:88" x14ac:dyDescent="0.25">
      <c r="A233" s="3" t="str">
        <f t="shared" ca="1" si="8"/>
        <v>2</v>
      </c>
      <c r="B233" s="3">
        <f t="shared" ca="1" si="9"/>
        <v>1</v>
      </c>
      <c r="C233" s="3" t="str">
        <f ca="1">IFERROR(
 INDEX($U$1:$AX$1,
  MATCH(TRUE,
   CHOOSE({1;2;3;4;5;6;7;8;9;10;11;12;13;14;15;16;17;18;19;20;21;22;23;24;25;26;27;28;29;30;31;32},
    COUNTIFS($U$2:$U$200,$G233)&gt;0,
    COUNTIFS($V$2:$V$200,$G233)&gt;0,
    COUNTIFS($W$2:$W$200,$G233)&gt;0,
    COUNTIFS($X$2:$X$200,$G233)&gt;0,
    COUNTIFS($Y$2:$Y$200,$G233)&gt;0,
    COUNTIFS($Z$2:$Z$200,$G233)&gt;0,
    COUNTIFS($AA$2:$AA$200,$G233)&gt;0,
    COUNTIFS($AB$2:$AB$200,$G233)&gt;0,
    COUNTIFS($AC$2:$AC$200,$G233)&gt;0,
    COUNTIFS($AD$2:$AD$200,$G233)&gt;0,
    COUNTIFS($AE$2:$AE$200,$G233)&gt;0,
    COUNTIFS($AF$2:$AF$200,$G233)&gt;0,
    COUNTIFS($AG$2:$AG$200,$G233)&gt;0,
    COUNTIFS($AH$2:$AH$200,$G233)&gt;0,
    COUNTIFS($AI$2:$AI$200,$G233)&gt;0,
    COUNTIFS($AJ$2:$AJ$200,$G233)&gt;0,
    COUNTIFS($AK$2:$AK$200,$G233)&gt;0,
    COUNTIFS($AL$2:$AL$200,$G233)&gt;0,
    COUNTIFS($AM$2:$AM$200,$G233)&gt;0,
    COUNTIFS($AN$2:$AN$200,$G233)&gt;0,
    COUNTIFS($AO$2:$AO$200,$G233)&gt;0,
    COUNTIFS($AP$2:$AP$200,$G233)&gt;0,
    COUNTIFS($AQ$2:$AQ$200,$G233)&gt;0,
    COUNTIFS($AR$2:$AR$200,$G233)&gt;0,
    COUNTIFS($AS$2:$AS$200,$G233)&gt;0,
    COUNTIFS($AT$2:$AT$200,$G233)&gt;0,
    COUNTIFS($AU$2:$AU$200,$G233)&gt;0,
    COUNTIFS($AV$2:$AV$200,$G233)&gt;0,
    COUNTIFS($AW$2:$AW$200,$G233)&gt;0,
    COUNTIFS($AX$2:$AX$200,$G233)&gt;0
   ),
  0)
 ),
"")</f>
        <v>Baylen</v>
      </c>
      <c r="D233" s="3" t="str" cm="1">
        <f t="array" aca="1" ref="D233" ca="1">IFERROR(
 INDEX(
  _xlfn._xlws.FILTER($U$1:$AX$1,
   TRANSPOSE(
    CHOOSE({1;2;3;4;5;6;7;8;9;10;11;12;13;14;15;16;17;18;19;20;21;22;23;24;25;26;27;28;29;30},
     COUNTIFS($U$2:$U$200,$G233)&gt;0,
     COUNTIFS($V$2:$V$200,$G233)&gt;0,
     COUNTIFS($W$2:$W$200,$G233)&gt;0,
     COUNTIFS($X$2:$X$200,$G233)&gt;0,
     COUNTIFS($Y$2:$Y$200,$G233)&gt;0,
     COUNTIFS($Z$2:$Z$200,$G233)&gt;0,
     COUNTIFS($AA$2:$AA$200,$G233)&gt;0,
     COUNTIFS($AB$2:$AB$200,$G233)&gt;0,
     COUNTIFS($AC$2:$AC$200,$G233)&gt;0,
     COUNTIFS($AD$2:$AD$200,$G233)&gt;0,
     COUNTIFS($AE$2:$AE$200,$G233)&gt;0,
     COUNTIFS($AF$2:$AF$200,$G233)&gt;0,
     COUNTIFS($AG$2:$AG$200,$G233)&gt;0,
     COUNTIFS($AH$2:$AH$200,$G233)&gt;0,
     COUNTIFS($AI$2:$AI$200,$G233)&gt;0,
     COUNTIFS($AJ$2:$AJ$200,$G233)&gt;0,
     COUNTIFS($AK$2:$AK$200,$G233)&gt;0,
     COUNTIFS($AL$2:$AL$200,$G233)&gt;0,
     COUNTIFS($AM$2:$AM$200,$G233)&gt;0,
     COUNTIFS($AN$2:$AN$200,$G233)&gt;0,
     COUNTIFS($AO$2:$AO$200,$G233)&gt;0,
     COUNTIFS($AP$2:$AP$200,$G233)&gt;0,
     COUNTIFS($AQ$2:$AQ$200,$G233)&gt;0,
     COUNTIFS($AR$2:$AR$200,$G233)&gt;0,
     COUNTIFS($AS$2:$AS$200,$G233)&gt;0,
     COUNTIFS($AT$2:$AT$200,$G233)&gt;0,
     COUNTIFS($AU$2:$AU$200,$G233)&gt;0,
     COUNTIFS($AV$2:$AV$200,$G233)&gt;0,
     COUNTIFS($AW$2:$AW$200,$G233)&gt;0,
     COUNTIFS($AX$2:$AX$200,$G233)&gt;0
   )),
  ),
  2
 ),
"")</f>
        <v/>
      </c>
      <c r="E233" s="3" t="str" cm="1">
        <f t="array" aca="1" ref="E233" ca="1">IFERROR(
 INDEX(
  _xlfn._xlws.FILTER($U$1:$AX$1,
   TRANSPOSE(
    CHOOSE({1;2;3;4;5;6;7;8;9;10;11;12;13;14;15;16;17;18;19;20;21;22;23;24;25;26;27;28;29;30},
     COUNTIFS($U$2:$U$200,$G233)&gt;0,
     COUNTIFS($V$2:$V$200,$G233)&gt;0,
     COUNTIFS($W$2:$W$200,$G233)&gt;0,
     COUNTIFS($X$2:$X$200,$G233)&gt;0,
     COUNTIFS($Y$2:$Y$200,$G233)&gt;0,
     COUNTIFS($Z$2:$Z$200,$G233)&gt;0,
     COUNTIFS($AA$2:$AA$200,$G233)&gt;0,
     COUNTIFS($AB$2:$AB$200,$G233)&gt;0,
     COUNTIFS($AC$2:$AC$200,$G233)&gt;0,
     COUNTIFS($AD$2:$AD$200,$G233)&gt;0,
     COUNTIFS($AE$2:$AE$200,$G233)&gt;0,
     COUNTIFS($AF$2:$AF$200,$G233)&gt;0,
     COUNTIFS($AG$2:$AG$200,$G233)&gt;0,
     COUNTIFS($AH$2:$AH$200,$G233)&gt;0,
     COUNTIFS($AI$2:$AI$200,$G233)&gt;0,
     COUNTIFS($AJ$2:$AJ$200,$G233)&gt;0,
     COUNTIFS($AK$2:$AK$200,$G233)&gt;0,
     COUNTIFS($AL$2:$AL$200,$G233)&gt;0,
     COUNTIFS($AM$2:$AM$200,$G233)&gt;0,
     COUNTIFS($AN$2:$AN$200,$G233)&gt;0,
     COUNTIFS($AO$2:$AO$200,$G233)&gt;0,
     COUNTIFS($AP$2:$AP$200,$G233)&gt;0,
     COUNTIFS($AQ$2:$AQ$200,$G233)&gt;0,
     COUNTIFS($AR$2:$AR$200,$G233)&gt;0,
     COUNTIFS($AS$2:$AS$200,$G233)&gt;0,
     COUNTIFS($AT$2:$AT$200,$G233)&gt;0,
     COUNTIFS($AU$2:$AU$200,$G233)&gt;0,
     COUNTIFS($AV$2:$AV$200,$G233)&gt;0,
     COUNTIFS($AW$2:$AW$200,$G233)&gt;0,
     COUNTIFS($AX$2:$AX$200,$G233)&gt;0
   )),
  ),
  3
 ),
"")</f>
        <v/>
      </c>
      <c r="F233" s="3" t="str" cm="1">
        <f t="array" aca="1" ref="F233" ca="1">IFERROR(
 INDEX(
  _xlfn._xlws.FILTER($U$1:$AX$1,
   TRANSPOSE(
    CHOOSE({1;2;3;4;5;6;7;8;9;10;11;12;13;14;15;16;17;18;19;20;21;22;23;24;25;26;27;28;29;30},
     COUNTIFS($U$2:$U$200,$G233)&gt;0,
     COUNTIFS($V$2:$V$200,$G233)&gt;0,
     COUNTIFS($W$2:$W$200,$G233)&gt;0,
     COUNTIFS($X$2:$X$200,$G233)&gt;0,
     COUNTIFS($Y$2:$Y$200,$G233)&gt;0,
     COUNTIFS($Z$2:$Z$200,$G233)&gt;0,
     COUNTIFS($AA$2:$AA$200,$G233)&gt;0,
     COUNTIFS($AB$2:$AB$200,$G233)&gt;0,
     COUNTIFS($AC$2:$AC$200,$G233)&gt;0,
     COUNTIFS($AD$2:$AD$200,$G233)&gt;0,
     COUNTIFS($AE$2:$AE$200,$G233)&gt;0,
     COUNTIFS($AF$2:$AF$200,$G233)&gt;0,
     COUNTIFS($AG$2:$AG$200,$G233)&gt;0,
     COUNTIFS($AH$2:$AH$200,$G233)&gt;0,
     COUNTIFS($AI$2:$AI$200,$G233)&gt;0,
     COUNTIFS($AJ$2:$AJ$200,$G233)&gt;0,
     COUNTIFS($AK$2:$AK$200,$G233)&gt;0,
     COUNTIFS($AL$2:$AL$200,$G233)&gt;0,
     COUNTIFS($AM$2:$AM$200,$G233)&gt;0,
     COUNTIFS($AN$2:$AN$200,$G233)&gt;0,
     COUNTIFS($AO$2:$AO$200,$G233)&gt;0,
     COUNTIFS($AP$2:$AP$200,$G233)&gt;0,
     COUNTIFS($AQ$2:$AQ$200,$G233)&gt;0,
     COUNTIFS($AR$2:$AR$200,$G233)&gt;0,
     COUNTIFS($AS$2:$AS$200,$G233)&gt;0,
     COUNTIFS($AT$2:$AT$200,$G233)&gt;0,
     COUNTIFS($AU$2:$AU$200,$G233)&gt;0,
     COUNTIFS($AV$2:$AV$200,$G233)&gt;0,
     COUNTIFS($AW$2:$AW$200,$G233)&gt;0,
     COUNTIFS($AX$2:$AX$200,$G233)&gt;0
   )),
  ),
  4
 ),
"")</f>
        <v/>
      </c>
      <c r="G233" t="str">
        <f ca="1"/>
        <v>Second Harvest</v>
      </c>
      <c r="CG233" t="str">
        <f ca="1"/>
        <v>Vontade Dominadora</v>
      </c>
      <c r="CJ233" t="str">
        <f ca="1"/>
        <v>Second Harvest</v>
      </c>
    </row>
    <row r="234" spans="1:88" x14ac:dyDescent="0.25">
      <c r="A234" s="3" t="str">
        <f t="shared" ca="1" si="8"/>
        <v>2</v>
      </c>
      <c r="B234" s="3">
        <f t="shared" ca="1" si="9"/>
        <v>1</v>
      </c>
      <c r="C234" s="3" t="str">
        <f ca="1">IFERROR(
 INDEX($U$1:$AX$1,
  MATCH(TRUE,
   CHOOSE({1;2;3;4;5;6;7;8;9;10;11;12;13;14;15;16;17;18;19;20;21;22;23;24;25;26;27;28;29;30;31;32},
    COUNTIFS($U$2:$U$200,$G234)&gt;0,
    COUNTIFS($V$2:$V$200,$G234)&gt;0,
    COUNTIFS($W$2:$W$200,$G234)&gt;0,
    COUNTIFS($X$2:$X$200,$G234)&gt;0,
    COUNTIFS($Y$2:$Y$200,$G234)&gt;0,
    COUNTIFS($Z$2:$Z$200,$G234)&gt;0,
    COUNTIFS($AA$2:$AA$200,$G234)&gt;0,
    COUNTIFS($AB$2:$AB$200,$G234)&gt;0,
    COUNTIFS($AC$2:$AC$200,$G234)&gt;0,
    COUNTIFS($AD$2:$AD$200,$G234)&gt;0,
    COUNTIFS($AE$2:$AE$200,$G234)&gt;0,
    COUNTIFS($AF$2:$AF$200,$G234)&gt;0,
    COUNTIFS($AG$2:$AG$200,$G234)&gt;0,
    COUNTIFS($AH$2:$AH$200,$G234)&gt;0,
    COUNTIFS($AI$2:$AI$200,$G234)&gt;0,
    COUNTIFS($AJ$2:$AJ$200,$G234)&gt;0,
    COUNTIFS($AK$2:$AK$200,$G234)&gt;0,
    COUNTIFS($AL$2:$AL$200,$G234)&gt;0,
    COUNTIFS($AM$2:$AM$200,$G234)&gt;0,
    COUNTIFS($AN$2:$AN$200,$G234)&gt;0,
    COUNTIFS($AO$2:$AO$200,$G234)&gt;0,
    COUNTIFS($AP$2:$AP$200,$G234)&gt;0,
    COUNTIFS($AQ$2:$AQ$200,$G234)&gt;0,
    COUNTIFS($AR$2:$AR$200,$G234)&gt;0,
    COUNTIFS($AS$2:$AS$200,$G234)&gt;0,
    COUNTIFS($AT$2:$AT$200,$G234)&gt;0,
    COUNTIFS($AU$2:$AU$200,$G234)&gt;0,
    COUNTIFS($AV$2:$AV$200,$G234)&gt;0,
    COUNTIFS($AW$2:$AW$200,$G234)&gt;0,
    COUNTIFS($AX$2:$AX$200,$G234)&gt;0
   ),
  0)
 ),
"")</f>
        <v>Baylen</v>
      </c>
      <c r="D234" s="3" t="str" cm="1">
        <f t="array" aca="1" ref="D234" ca="1">IFERROR(
 INDEX(
  _xlfn._xlws.FILTER($U$1:$AX$1,
   TRANSPOSE(
    CHOOSE({1;2;3;4;5;6;7;8;9;10;11;12;13;14;15;16;17;18;19;20;21;22;23;24;25;26;27;28;29;30},
     COUNTIFS($U$2:$U$200,$G234)&gt;0,
     COUNTIFS($V$2:$V$200,$G234)&gt;0,
     COUNTIFS($W$2:$W$200,$G234)&gt;0,
     COUNTIFS($X$2:$X$200,$G234)&gt;0,
     COUNTIFS($Y$2:$Y$200,$G234)&gt;0,
     COUNTIFS($Z$2:$Z$200,$G234)&gt;0,
     COUNTIFS($AA$2:$AA$200,$G234)&gt;0,
     COUNTIFS($AB$2:$AB$200,$G234)&gt;0,
     COUNTIFS($AC$2:$AC$200,$G234)&gt;0,
     COUNTIFS($AD$2:$AD$200,$G234)&gt;0,
     COUNTIFS($AE$2:$AE$200,$G234)&gt;0,
     COUNTIFS($AF$2:$AF$200,$G234)&gt;0,
     COUNTIFS($AG$2:$AG$200,$G234)&gt;0,
     COUNTIFS($AH$2:$AH$200,$G234)&gt;0,
     COUNTIFS($AI$2:$AI$200,$G234)&gt;0,
     COUNTIFS($AJ$2:$AJ$200,$G234)&gt;0,
     COUNTIFS($AK$2:$AK$200,$G234)&gt;0,
     COUNTIFS($AL$2:$AL$200,$G234)&gt;0,
     COUNTIFS($AM$2:$AM$200,$G234)&gt;0,
     COUNTIFS($AN$2:$AN$200,$G234)&gt;0,
     COUNTIFS($AO$2:$AO$200,$G234)&gt;0,
     COUNTIFS($AP$2:$AP$200,$G234)&gt;0,
     COUNTIFS($AQ$2:$AQ$200,$G234)&gt;0,
     COUNTIFS($AR$2:$AR$200,$G234)&gt;0,
     COUNTIFS($AS$2:$AS$200,$G234)&gt;0,
     COUNTIFS($AT$2:$AT$200,$G234)&gt;0,
     COUNTIFS($AU$2:$AU$200,$G234)&gt;0,
     COUNTIFS($AV$2:$AV$200,$G234)&gt;0,
     COUNTIFS($AW$2:$AW$200,$G234)&gt;0,
     COUNTIFS($AX$2:$AX$200,$G234)&gt;0
   )),
  ),
  2
 ),
"")</f>
        <v/>
      </c>
      <c r="E234" s="3" t="str" cm="1">
        <f t="array" aca="1" ref="E234" ca="1">IFERROR(
 INDEX(
  _xlfn._xlws.FILTER($U$1:$AX$1,
   TRANSPOSE(
    CHOOSE({1;2;3;4;5;6;7;8;9;10;11;12;13;14;15;16;17;18;19;20;21;22;23;24;25;26;27;28;29;30},
     COUNTIFS($U$2:$U$200,$G234)&gt;0,
     COUNTIFS($V$2:$V$200,$G234)&gt;0,
     COUNTIFS($W$2:$W$200,$G234)&gt;0,
     COUNTIFS($X$2:$X$200,$G234)&gt;0,
     COUNTIFS($Y$2:$Y$200,$G234)&gt;0,
     COUNTIFS($Z$2:$Z$200,$G234)&gt;0,
     COUNTIFS($AA$2:$AA$200,$G234)&gt;0,
     COUNTIFS($AB$2:$AB$200,$G234)&gt;0,
     COUNTIFS($AC$2:$AC$200,$G234)&gt;0,
     COUNTIFS($AD$2:$AD$200,$G234)&gt;0,
     COUNTIFS($AE$2:$AE$200,$G234)&gt;0,
     COUNTIFS($AF$2:$AF$200,$G234)&gt;0,
     COUNTIFS($AG$2:$AG$200,$G234)&gt;0,
     COUNTIFS($AH$2:$AH$200,$G234)&gt;0,
     COUNTIFS($AI$2:$AI$200,$G234)&gt;0,
     COUNTIFS($AJ$2:$AJ$200,$G234)&gt;0,
     COUNTIFS($AK$2:$AK$200,$G234)&gt;0,
     COUNTIFS($AL$2:$AL$200,$G234)&gt;0,
     COUNTIFS($AM$2:$AM$200,$G234)&gt;0,
     COUNTIFS($AN$2:$AN$200,$G234)&gt;0,
     COUNTIFS($AO$2:$AO$200,$G234)&gt;0,
     COUNTIFS($AP$2:$AP$200,$G234)&gt;0,
     COUNTIFS($AQ$2:$AQ$200,$G234)&gt;0,
     COUNTIFS($AR$2:$AR$200,$G234)&gt;0,
     COUNTIFS($AS$2:$AS$200,$G234)&gt;0,
     COUNTIFS($AT$2:$AT$200,$G234)&gt;0,
     COUNTIFS($AU$2:$AU$200,$G234)&gt;0,
     COUNTIFS($AV$2:$AV$200,$G234)&gt;0,
     COUNTIFS($AW$2:$AW$200,$G234)&gt;0,
     COUNTIFS($AX$2:$AX$200,$G234)&gt;0
   )),
  ),
  3
 ),
"")</f>
        <v/>
      </c>
      <c r="F234" s="3" t="str" cm="1">
        <f t="array" aca="1" ref="F234" ca="1">IFERROR(
 INDEX(
  _xlfn._xlws.FILTER($U$1:$AX$1,
   TRANSPOSE(
    CHOOSE({1;2;3;4;5;6;7;8;9;10;11;12;13;14;15;16;17;18;19;20;21;22;23;24;25;26;27;28;29;30},
     COUNTIFS($U$2:$U$200,$G234)&gt;0,
     COUNTIFS($V$2:$V$200,$G234)&gt;0,
     COUNTIFS($W$2:$W$200,$G234)&gt;0,
     COUNTIFS($X$2:$X$200,$G234)&gt;0,
     COUNTIFS($Y$2:$Y$200,$G234)&gt;0,
     COUNTIFS($Z$2:$Z$200,$G234)&gt;0,
     COUNTIFS($AA$2:$AA$200,$G234)&gt;0,
     COUNTIFS($AB$2:$AB$200,$G234)&gt;0,
     COUNTIFS($AC$2:$AC$200,$G234)&gt;0,
     COUNTIFS($AD$2:$AD$200,$G234)&gt;0,
     COUNTIFS($AE$2:$AE$200,$G234)&gt;0,
     COUNTIFS($AF$2:$AF$200,$G234)&gt;0,
     COUNTIFS($AG$2:$AG$200,$G234)&gt;0,
     COUNTIFS($AH$2:$AH$200,$G234)&gt;0,
     COUNTIFS($AI$2:$AI$200,$G234)&gt;0,
     COUNTIFS($AJ$2:$AJ$200,$G234)&gt;0,
     COUNTIFS($AK$2:$AK$200,$G234)&gt;0,
     COUNTIFS($AL$2:$AL$200,$G234)&gt;0,
     COUNTIFS($AM$2:$AM$200,$G234)&gt;0,
     COUNTIFS($AN$2:$AN$200,$G234)&gt;0,
     COUNTIFS($AO$2:$AO$200,$G234)&gt;0,
     COUNTIFS($AP$2:$AP$200,$G234)&gt;0,
     COUNTIFS($AQ$2:$AQ$200,$G234)&gt;0,
     COUNTIFS($AR$2:$AR$200,$G234)&gt;0,
     COUNTIFS($AS$2:$AS$200,$G234)&gt;0,
     COUNTIFS($AT$2:$AT$200,$G234)&gt;0,
     COUNTIFS($AU$2:$AU$200,$G234)&gt;0,
     COUNTIFS($AV$2:$AV$200,$G234)&gt;0,
     COUNTIFS($AW$2:$AW$200,$G234)&gt;0,
     COUNTIFS($AX$2:$AX$200,$G234)&gt;0
   )),
  ),
  4
 ),
"")</f>
        <v/>
      </c>
      <c r="G234" t="str">
        <f ca="1"/>
        <v>Seedborn Muse</v>
      </c>
      <c r="CG234" t="str">
        <f ca="1"/>
        <v>Vronos, Masked Inquisitor</v>
      </c>
      <c r="CJ234" t="str">
        <f ca="1"/>
        <v>Seedborn Muse</v>
      </c>
    </row>
    <row r="235" spans="1:88" x14ac:dyDescent="0.25">
      <c r="A235" s="3" t="str">
        <f t="shared" ca="1" si="8"/>
        <v>4</v>
      </c>
      <c r="B235" s="3">
        <f t="shared" ca="1" si="9"/>
        <v>1</v>
      </c>
      <c r="C235" s="3" t="str">
        <f ca="1">IFERROR(
 INDEX($U$1:$AX$1,
  MATCH(TRUE,
   CHOOSE({1;2;3;4;5;6;7;8;9;10;11;12;13;14;15;16;17;18;19;20;21;22;23;24;25;26;27;28;29;30;31;32},
    COUNTIFS($U$2:$U$200,$G235)&gt;0,
    COUNTIFS($V$2:$V$200,$G235)&gt;0,
    COUNTIFS($W$2:$W$200,$G235)&gt;0,
    COUNTIFS($X$2:$X$200,$G235)&gt;0,
    COUNTIFS($Y$2:$Y$200,$G235)&gt;0,
    COUNTIFS($Z$2:$Z$200,$G235)&gt;0,
    COUNTIFS($AA$2:$AA$200,$G235)&gt;0,
    COUNTIFS($AB$2:$AB$200,$G235)&gt;0,
    COUNTIFS($AC$2:$AC$200,$G235)&gt;0,
    COUNTIFS($AD$2:$AD$200,$G235)&gt;0,
    COUNTIFS($AE$2:$AE$200,$G235)&gt;0,
    COUNTIFS($AF$2:$AF$200,$G235)&gt;0,
    COUNTIFS($AG$2:$AG$200,$G235)&gt;0,
    COUNTIFS($AH$2:$AH$200,$G235)&gt;0,
    COUNTIFS($AI$2:$AI$200,$G235)&gt;0,
    COUNTIFS($AJ$2:$AJ$200,$G235)&gt;0,
    COUNTIFS($AK$2:$AK$200,$G235)&gt;0,
    COUNTIFS($AL$2:$AL$200,$G235)&gt;0,
    COUNTIFS($AM$2:$AM$200,$G235)&gt;0,
    COUNTIFS($AN$2:$AN$200,$G235)&gt;0,
    COUNTIFS($AO$2:$AO$200,$G235)&gt;0,
    COUNTIFS($AP$2:$AP$200,$G235)&gt;0,
    COUNTIFS($AQ$2:$AQ$200,$G235)&gt;0,
    COUNTIFS($AR$2:$AR$200,$G235)&gt;0,
    COUNTIFS($AS$2:$AS$200,$G235)&gt;0,
    COUNTIFS($AT$2:$AT$200,$G235)&gt;0,
    COUNTIFS($AU$2:$AU$200,$G235)&gt;0,
    COUNTIFS($AV$2:$AV$200,$G235)&gt;0,
    COUNTIFS($AW$2:$AW$200,$G235)&gt;0,
    COUNTIFS($AX$2:$AX$200,$G235)&gt;0
   ),
  0)
 ),
"")</f>
        <v>Rielle</v>
      </c>
      <c r="D235" s="3" t="str" cm="1">
        <f t="array" aca="1" ref="D235" ca="1">IFERROR(
 INDEX(
  _xlfn._xlws.FILTER($U$1:$AX$1,
   TRANSPOSE(
    CHOOSE({1;2;3;4;5;6;7;8;9;10;11;12;13;14;15;16;17;18;19;20;21;22;23;24;25;26;27;28;29;30},
     COUNTIFS($U$2:$U$200,$G235)&gt;0,
     COUNTIFS($V$2:$V$200,$G235)&gt;0,
     COUNTIFS($W$2:$W$200,$G235)&gt;0,
     COUNTIFS($X$2:$X$200,$G235)&gt;0,
     COUNTIFS($Y$2:$Y$200,$G235)&gt;0,
     COUNTIFS($Z$2:$Z$200,$G235)&gt;0,
     COUNTIFS($AA$2:$AA$200,$G235)&gt;0,
     COUNTIFS($AB$2:$AB$200,$G235)&gt;0,
     COUNTIFS($AC$2:$AC$200,$G235)&gt;0,
     COUNTIFS($AD$2:$AD$200,$G235)&gt;0,
     COUNTIFS($AE$2:$AE$200,$G235)&gt;0,
     COUNTIFS($AF$2:$AF$200,$G235)&gt;0,
     COUNTIFS($AG$2:$AG$200,$G235)&gt;0,
     COUNTIFS($AH$2:$AH$200,$G235)&gt;0,
     COUNTIFS($AI$2:$AI$200,$G235)&gt;0,
     COUNTIFS($AJ$2:$AJ$200,$G235)&gt;0,
     COUNTIFS($AK$2:$AK$200,$G235)&gt;0,
     COUNTIFS($AL$2:$AL$200,$G235)&gt;0,
     COUNTIFS($AM$2:$AM$200,$G235)&gt;0,
     COUNTIFS($AN$2:$AN$200,$G235)&gt;0,
     COUNTIFS($AO$2:$AO$200,$G235)&gt;0,
     COUNTIFS($AP$2:$AP$200,$G235)&gt;0,
     COUNTIFS($AQ$2:$AQ$200,$G235)&gt;0,
     COUNTIFS($AR$2:$AR$200,$G235)&gt;0,
     COUNTIFS($AS$2:$AS$200,$G235)&gt;0,
     COUNTIFS($AT$2:$AT$200,$G235)&gt;0,
     COUNTIFS($AU$2:$AU$200,$G235)&gt;0,
     COUNTIFS($AV$2:$AV$200,$G235)&gt;0,
     COUNTIFS($AW$2:$AW$200,$G235)&gt;0,
     COUNTIFS($AX$2:$AX$200,$G235)&gt;0
   )),
  ),
  2
 ),
"")</f>
        <v/>
      </c>
      <c r="E235" s="3" t="str" cm="1">
        <f t="array" aca="1" ref="E235" ca="1">IFERROR(
 INDEX(
  _xlfn._xlws.FILTER($U$1:$AX$1,
   TRANSPOSE(
    CHOOSE({1;2;3;4;5;6;7;8;9;10;11;12;13;14;15;16;17;18;19;20;21;22;23;24;25;26;27;28;29;30},
     COUNTIFS($U$2:$U$200,$G235)&gt;0,
     COUNTIFS($V$2:$V$200,$G235)&gt;0,
     COUNTIFS($W$2:$W$200,$G235)&gt;0,
     COUNTIFS($X$2:$X$200,$G235)&gt;0,
     COUNTIFS($Y$2:$Y$200,$G235)&gt;0,
     COUNTIFS($Z$2:$Z$200,$G235)&gt;0,
     COUNTIFS($AA$2:$AA$200,$G235)&gt;0,
     COUNTIFS($AB$2:$AB$200,$G235)&gt;0,
     COUNTIFS($AC$2:$AC$200,$G235)&gt;0,
     COUNTIFS($AD$2:$AD$200,$G235)&gt;0,
     COUNTIFS($AE$2:$AE$200,$G235)&gt;0,
     COUNTIFS($AF$2:$AF$200,$G235)&gt;0,
     COUNTIFS($AG$2:$AG$200,$G235)&gt;0,
     COUNTIFS($AH$2:$AH$200,$G235)&gt;0,
     COUNTIFS($AI$2:$AI$200,$G235)&gt;0,
     COUNTIFS($AJ$2:$AJ$200,$G235)&gt;0,
     COUNTIFS($AK$2:$AK$200,$G235)&gt;0,
     COUNTIFS($AL$2:$AL$200,$G235)&gt;0,
     COUNTIFS($AM$2:$AM$200,$G235)&gt;0,
     COUNTIFS($AN$2:$AN$200,$G235)&gt;0,
     COUNTIFS($AO$2:$AO$200,$G235)&gt;0,
     COUNTIFS($AP$2:$AP$200,$G235)&gt;0,
     COUNTIFS($AQ$2:$AQ$200,$G235)&gt;0,
     COUNTIFS($AR$2:$AR$200,$G235)&gt;0,
     COUNTIFS($AS$2:$AS$200,$G235)&gt;0,
     COUNTIFS($AT$2:$AT$200,$G235)&gt;0,
     COUNTIFS($AU$2:$AU$200,$G235)&gt;0,
     COUNTIFS($AV$2:$AV$200,$G235)&gt;0,
     COUNTIFS($AW$2:$AW$200,$G235)&gt;0,
     COUNTIFS($AX$2:$AX$200,$G235)&gt;0
   )),
  ),
  3
 ),
"")</f>
        <v/>
      </c>
      <c r="F235" s="3" t="str" cm="1">
        <f t="array" aca="1" ref="F235" ca="1">IFERROR(
 INDEX(
  _xlfn._xlws.FILTER($U$1:$AX$1,
   TRANSPOSE(
    CHOOSE({1;2;3;4;5;6;7;8;9;10;11;12;13;14;15;16;17;18;19;20;21;22;23;24;25;26;27;28;29;30},
     COUNTIFS($U$2:$U$200,$G235)&gt;0,
     COUNTIFS($V$2:$V$200,$G235)&gt;0,
     COUNTIFS($W$2:$W$200,$G235)&gt;0,
     COUNTIFS($X$2:$X$200,$G235)&gt;0,
     COUNTIFS($Y$2:$Y$200,$G235)&gt;0,
     COUNTIFS($Z$2:$Z$200,$G235)&gt;0,
     COUNTIFS($AA$2:$AA$200,$G235)&gt;0,
     COUNTIFS($AB$2:$AB$200,$G235)&gt;0,
     COUNTIFS($AC$2:$AC$200,$G235)&gt;0,
     COUNTIFS($AD$2:$AD$200,$G235)&gt;0,
     COUNTIFS($AE$2:$AE$200,$G235)&gt;0,
     COUNTIFS($AF$2:$AF$200,$G235)&gt;0,
     COUNTIFS($AG$2:$AG$200,$G235)&gt;0,
     COUNTIFS($AH$2:$AH$200,$G235)&gt;0,
     COUNTIFS($AI$2:$AI$200,$G235)&gt;0,
     COUNTIFS($AJ$2:$AJ$200,$G235)&gt;0,
     COUNTIFS($AK$2:$AK$200,$G235)&gt;0,
     COUNTIFS($AL$2:$AL$200,$G235)&gt;0,
     COUNTIFS($AM$2:$AM$200,$G235)&gt;0,
     COUNTIFS($AN$2:$AN$200,$G235)&gt;0,
     COUNTIFS($AO$2:$AO$200,$G235)&gt;0,
     COUNTIFS($AP$2:$AP$200,$G235)&gt;0,
     COUNTIFS($AQ$2:$AQ$200,$G235)&gt;0,
     COUNTIFS($AR$2:$AR$200,$G235)&gt;0,
     COUNTIFS($AS$2:$AS$200,$G235)&gt;0,
     COUNTIFS($AT$2:$AT$200,$G235)&gt;0,
     COUNTIFS($AU$2:$AU$200,$G235)&gt;0,
     COUNTIFS($AV$2:$AV$200,$G235)&gt;0,
     COUNTIFS($AW$2:$AW$200,$G235)&gt;0,
     COUNTIFS($AX$2:$AX$200,$G235)&gt;0
   )),
  ),
  4
 ),
"")</f>
        <v/>
      </c>
      <c r="G235" t="str">
        <f ca="1"/>
        <v>Serenata das Estriges</v>
      </c>
      <c r="CG235" t="str">
        <f ca="1"/>
        <v>Warleader's Call</v>
      </c>
      <c r="CJ235" t="str">
        <f ca="1"/>
        <v>Serenata das Estriges</v>
      </c>
    </row>
    <row r="236" spans="1:88" x14ac:dyDescent="0.25">
      <c r="A236" s="3" t="str">
        <f t="shared" ca="1" si="8"/>
        <v>3</v>
      </c>
      <c r="B236" s="3">
        <f t="shared" ca="1" si="9"/>
        <v>1</v>
      </c>
      <c r="C236" s="3" t="str">
        <f ca="1">IFERROR(
 INDEX($U$1:$AX$1,
  MATCH(TRUE,
   CHOOSE({1;2;3;4;5;6;7;8;9;10;11;12;13;14;15;16;17;18;19;20;21;22;23;24;25;26;27;28;29;30;31;32},
    COUNTIFS($U$2:$U$200,$G236)&gt;0,
    COUNTIFS($V$2:$V$200,$G236)&gt;0,
    COUNTIFS($W$2:$W$200,$G236)&gt;0,
    COUNTIFS($X$2:$X$200,$G236)&gt;0,
    COUNTIFS($Y$2:$Y$200,$G236)&gt;0,
    COUNTIFS($Z$2:$Z$200,$G236)&gt;0,
    COUNTIFS($AA$2:$AA$200,$G236)&gt;0,
    COUNTIFS($AB$2:$AB$200,$G236)&gt;0,
    COUNTIFS($AC$2:$AC$200,$G236)&gt;0,
    COUNTIFS($AD$2:$AD$200,$G236)&gt;0,
    COUNTIFS($AE$2:$AE$200,$G236)&gt;0,
    COUNTIFS($AF$2:$AF$200,$G236)&gt;0,
    COUNTIFS($AG$2:$AG$200,$G236)&gt;0,
    COUNTIFS($AH$2:$AH$200,$G236)&gt;0,
    COUNTIFS($AI$2:$AI$200,$G236)&gt;0,
    COUNTIFS($AJ$2:$AJ$200,$G236)&gt;0,
    COUNTIFS($AK$2:$AK$200,$G236)&gt;0,
    COUNTIFS($AL$2:$AL$200,$G236)&gt;0,
    COUNTIFS($AM$2:$AM$200,$G236)&gt;0,
    COUNTIFS($AN$2:$AN$200,$G236)&gt;0,
    COUNTIFS($AO$2:$AO$200,$G236)&gt;0,
    COUNTIFS($AP$2:$AP$200,$G236)&gt;0,
    COUNTIFS($AQ$2:$AQ$200,$G236)&gt;0,
    COUNTIFS($AR$2:$AR$200,$G236)&gt;0,
    COUNTIFS($AS$2:$AS$200,$G236)&gt;0,
    COUNTIFS($AT$2:$AT$200,$G236)&gt;0,
    COUNTIFS($AU$2:$AU$200,$G236)&gt;0,
    COUNTIFS($AV$2:$AV$200,$G236)&gt;0,
    COUNTIFS($AW$2:$AW$200,$G236)&gt;0,
    COUNTIFS($AX$2:$AX$200,$G236)&gt;0
   ),
  0)
 ),
"")</f>
        <v>Carlos</v>
      </c>
      <c r="D236" s="3" t="str" cm="1">
        <f t="array" aca="1" ref="D236" ca="1">IFERROR(
 INDEX(
  _xlfn._xlws.FILTER($U$1:$AX$1,
   TRANSPOSE(
    CHOOSE({1;2;3;4;5;6;7;8;9;10;11;12;13;14;15;16;17;18;19;20;21;22;23;24;25;26;27;28;29;30},
     COUNTIFS($U$2:$U$200,$G236)&gt;0,
     COUNTIFS($V$2:$V$200,$G236)&gt;0,
     COUNTIFS($W$2:$W$200,$G236)&gt;0,
     COUNTIFS($X$2:$X$200,$G236)&gt;0,
     COUNTIFS($Y$2:$Y$200,$G236)&gt;0,
     COUNTIFS($Z$2:$Z$200,$G236)&gt;0,
     COUNTIFS($AA$2:$AA$200,$G236)&gt;0,
     COUNTIFS($AB$2:$AB$200,$G236)&gt;0,
     COUNTIFS($AC$2:$AC$200,$G236)&gt;0,
     COUNTIFS($AD$2:$AD$200,$G236)&gt;0,
     COUNTIFS($AE$2:$AE$200,$G236)&gt;0,
     COUNTIFS($AF$2:$AF$200,$G236)&gt;0,
     COUNTIFS($AG$2:$AG$200,$G236)&gt;0,
     COUNTIFS($AH$2:$AH$200,$G236)&gt;0,
     COUNTIFS($AI$2:$AI$200,$G236)&gt;0,
     COUNTIFS($AJ$2:$AJ$200,$G236)&gt;0,
     COUNTIFS($AK$2:$AK$200,$G236)&gt;0,
     COUNTIFS($AL$2:$AL$200,$G236)&gt;0,
     COUNTIFS($AM$2:$AM$200,$G236)&gt;0,
     COUNTIFS($AN$2:$AN$200,$G236)&gt;0,
     COUNTIFS($AO$2:$AO$200,$G236)&gt;0,
     COUNTIFS($AP$2:$AP$200,$G236)&gt;0,
     COUNTIFS($AQ$2:$AQ$200,$G236)&gt;0,
     COUNTIFS($AR$2:$AR$200,$G236)&gt;0,
     COUNTIFS($AS$2:$AS$200,$G236)&gt;0,
     COUNTIFS($AT$2:$AT$200,$G236)&gt;0,
     COUNTIFS($AU$2:$AU$200,$G236)&gt;0,
     COUNTIFS($AV$2:$AV$200,$G236)&gt;0,
     COUNTIFS($AW$2:$AW$200,$G236)&gt;0,
     COUNTIFS($AX$2:$AX$200,$G236)&gt;0
   )),
  ),
  2
 ),
"")</f>
        <v/>
      </c>
      <c r="E236" s="3" t="str" cm="1">
        <f t="array" aca="1" ref="E236" ca="1">IFERROR(
 INDEX(
  _xlfn._xlws.FILTER($U$1:$AX$1,
   TRANSPOSE(
    CHOOSE({1;2;3;4;5;6;7;8;9;10;11;12;13;14;15;16;17;18;19;20;21;22;23;24;25;26;27;28;29;30},
     COUNTIFS($U$2:$U$200,$G236)&gt;0,
     COUNTIFS($V$2:$V$200,$G236)&gt;0,
     COUNTIFS($W$2:$W$200,$G236)&gt;0,
     COUNTIFS($X$2:$X$200,$G236)&gt;0,
     COUNTIFS($Y$2:$Y$200,$G236)&gt;0,
     COUNTIFS($Z$2:$Z$200,$G236)&gt;0,
     COUNTIFS($AA$2:$AA$200,$G236)&gt;0,
     COUNTIFS($AB$2:$AB$200,$G236)&gt;0,
     COUNTIFS($AC$2:$AC$200,$G236)&gt;0,
     COUNTIFS($AD$2:$AD$200,$G236)&gt;0,
     COUNTIFS($AE$2:$AE$200,$G236)&gt;0,
     COUNTIFS($AF$2:$AF$200,$G236)&gt;0,
     COUNTIFS($AG$2:$AG$200,$G236)&gt;0,
     COUNTIFS($AH$2:$AH$200,$G236)&gt;0,
     COUNTIFS($AI$2:$AI$200,$G236)&gt;0,
     COUNTIFS($AJ$2:$AJ$200,$G236)&gt;0,
     COUNTIFS($AK$2:$AK$200,$G236)&gt;0,
     COUNTIFS($AL$2:$AL$200,$G236)&gt;0,
     COUNTIFS($AM$2:$AM$200,$G236)&gt;0,
     COUNTIFS($AN$2:$AN$200,$G236)&gt;0,
     COUNTIFS($AO$2:$AO$200,$G236)&gt;0,
     COUNTIFS($AP$2:$AP$200,$G236)&gt;0,
     COUNTIFS($AQ$2:$AQ$200,$G236)&gt;0,
     COUNTIFS($AR$2:$AR$200,$G236)&gt;0,
     COUNTIFS($AS$2:$AS$200,$G236)&gt;0,
     COUNTIFS($AT$2:$AT$200,$G236)&gt;0,
     COUNTIFS($AU$2:$AU$200,$G236)&gt;0,
     COUNTIFS($AV$2:$AV$200,$G236)&gt;0,
     COUNTIFS($AW$2:$AW$200,$G236)&gt;0,
     COUNTIFS($AX$2:$AX$200,$G236)&gt;0
   )),
  ),
  3
 ),
"")</f>
        <v/>
      </c>
      <c r="F236" s="3" t="str" cm="1">
        <f t="array" aca="1" ref="F236" ca="1">IFERROR(
 INDEX(
  _xlfn._xlws.FILTER($U$1:$AX$1,
   TRANSPOSE(
    CHOOSE({1;2;3;4;5;6;7;8;9;10;11;12;13;14;15;16;17;18;19;20;21;22;23;24;25;26;27;28;29;30},
     COUNTIFS($U$2:$U$200,$G236)&gt;0,
     COUNTIFS($V$2:$V$200,$G236)&gt;0,
     COUNTIFS($W$2:$W$200,$G236)&gt;0,
     COUNTIFS($X$2:$X$200,$G236)&gt;0,
     COUNTIFS($Y$2:$Y$200,$G236)&gt;0,
     COUNTIFS($Z$2:$Z$200,$G236)&gt;0,
     COUNTIFS($AA$2:$AA$200,$G236)&gt;0,
     COUNTIFS($AB$2:$AB$200,$G236)&gt;0,
     COUNTIFS($AC$2:$AC$200,$G236)&gt;0,
     COUNTIFS($AD$2:$AD$200,$G236)&gt;0,
     COUNTIFS($AE$2:$AE$200,$G236)&gt;0,
     COUNTIFS($AF$2:$AF$200,$G236)&gt;0,
     COUNTIFS($AG$2:$AG$200,$G236)&gt;0,
     COUNTIFS($AH$2:$AH$200,$G236)&gt;0,
     COUNTIFS($AI$2:$AI$200,$G236)&gt;0,
     COUNTIFS($AJ$2:$AJ$200,$G236)&gt;0,
     COUNTIFS($AK$2:$AK$200,$G236)&gt;0,
     COUNTIFS($AL$2:$AL$200,$G236)&gt;0,
     COUNTIFS($AM$2:$AM$200,$G236)&gt;0,
     COUNTIFS($AN$2:$AN$200,$G236)&gt;0,
     COUNTIFS($AO$2:$AO$200,$G236)&gt;0,
     COUNTIFS($AP$2:$AP$200,$G236)&gt;0,
     COUNTIFS($AQ$2:$AQ$200,$G236)&gt;0,
     COUNTIFS($AR$2:$AR$200,$G236)&gt;0,
     COUNTIFS($AS$2:$AS$200,$G236)&gt;0,
     COUNTIFS($AT$2:$AT$200,$G236)&gt;0,
     COUNTIFS($AU$2:$AU$200,$G236)&gt;0,
     COUNTIFS($AV$2:$AV$200,$G236)&gt;0,
     COUNTIFS($AW$2:$AW$200,$G236)&gt;0,
     COUNTIFS($AX$2:$AX$200,$G236)&gt;0
   )),
  ),
  4
 ),
"")</f>
        <v/>
      </c>
      <c r="G236" t="str">
        <f ca="1"/>
        <v>Sevinne's Reclamation</v>
      </c>
      <c r="CG236" t="str">
        <f ca="1"/>
        <v>Warren Soultrader</v>
      </c>
      <c r="CJ236" t="str">
        <f ca="1"/>
        <v>Sevinne's Reclamation</v>
      </c>
    </row>
    <row r="237" spans="1:88" x14ac:dyDescent="0.25">
      <c r="A237" s="3" t="str">
        <f t="shared" ca="1" si="8"/>
        <v>5</v>
      </c>
      <c r="B237" s="3">
        <f t="shared" ca="1" si="9"/>
        <v>1</v>
      </c>
      <c r="C237" s="3" t="str">
        <f ca="1">IFERROR(
 INDEX($U$1:$AX$1,
  MATCH(TRUE,
   CHOOSE({1;2;3;4;5;6;7;8;9;10;11;12;13;14;15;16;17;18;19;20;21;22;23;24;25;26;27;28;29;30;31;32},
    COUNTIFS($U$2:$U$200,$G237)&gt;0,
    COUNTIFS($V$2:$V$200,$G237)&gt;0,
    COUNTIFS($W$2:$W$200,$G237)&gt;0,
    COUNTIFS($X$2:$X$200,$G237)&gt;0,
    COUNTIFS($Y$2:$Y$200,$G237)&gt;0,
    COUNTIFS($Z$2:$Z$200,$G237)&gt;0,
    COUNTIFS($AA$2:$AA$200,$G237)&gt;0,
    COUNTIFS($AB$2:$AB$200,$G237)&gt;0,
    COUNTIFS($AC$2:$AC$200,$G237)&gt;0,
    COUNTIFS($AD$2:$AD$200,$G237)&gt;0,
    COUNTIFS($AE$2:$AE$200,$G237)&gt;0,
    COUNTIFS($AF$2:$AF$200,$G237)&gt;0,
    COUNTIFS($AG$2:$AG$200,$G237)&gt;0,
    COUNTIFS($AH$2:$AH$200,$G237)&gt;0,
    COUNTIFS($AI$2:$AI$200,$G237)&gt;0,
    COUNTIFS($AJ$2:$AJ$200,$G237)&gt;0,
    COUNTIFS($AK$2:$AK$200,$G237)&gt;0,
    COUNTIFS($AL$2:$AL$200,$G237)&gt;0,
    COUNTIFS($AM$2:$AM$200,$G237)&gt;0,
    COUNTIFS($AN$2:$AN$200,$G237)&gt;0,
    COUNTIFS($AO$2:$AO$200,$G237)&gt;0,
    COUNTIFS($AP$2:$AP$200,$G237)&gt;0,
    COUNTIFS($AQ$2:$AQ$200,$G237)&gt;0,
    COUNTIFS($AR$2:$AR$200,$G237)&gt;0,
    COUNTIFS($AS$2:$AS$200,$G237)&gt;0,
    COUNTIFS($AT$2:$AT$200,$G237)&gt;0,
    COUNTIFS($AU$2:$AU$200,$G237)&gt;0,
    COUNTIFS($AV$2:$AV$200,$G237)&gt;0,
    COUNTIFS($AW$2:$AW$200,$G237)&gt;0,
    COUNTIFS($AX$2:$AX$200,$G237)&gt;0
   ),
  0)
 ),
"")</f>
        <v>Thrakiri</v>
      </c>
      <c r="D237" s="3" t="str" cm="1">
        <f t="array" aca="1" ref="D237" ca="1">IFERROR(
 INDEX(
  _xlfn._xlws.FILTER($U$1:$AX$1,
   TRANSPOSE(
    CHOOSE({1;2;3;4;5;6;7;8;9;10;11;12;13;14;15;16;17;18;19;20;21;22;23;24;25;26;27;28;29;30},
     COUNTIFS($U$2:$U$200,$G237)&gt;0,
     COUNTIFS($V$2:$V$200,$G237)&gt;0,
     COUNTIFS($W$2:$W$200,$G237)&gt;0,
     COUNTIFS($X$2:$X$200,$G237)&gt;0,
     COUNTIFS($Y$2:$Y$200,$G237)&gt;0,
     COUNTIFS($Z$2:$Z$200,$G237)&gt;0,
     COUNTIFS($AA$2:$AA$200,$G237)&gt;0,
     COUNTIFS($AB$2:$AB$200,$G237)&gt;0,
     COUNTIFS($AC$2:$AC$200,$G237)&gt;0,
     COUNTIFS($AD$2:$AD$200,$G237)&gt;0,
     COUNTIFS($AE$2:$AE$200,$G237)&gt;0,
     COUNTIFS($AF$2:$AF$200,$G237)&gt;0,
     COUNTIFS($AG$2:$AG$200,$G237)&gt;0,
     COUNTIFS($AH$2:$AH$200,$G237)&gt;0,
     COUNTIFS($AI$2:$AI$200,$G237)&gt;0,
     COUNTIFS($AJ$2:$AJ$200,$G237)&gt;0,
     COUNTIFS($AK$2:$AK$200,$G237)&gt;0,
     COUNTIFS($AL$2:$AL$200,$G237)&gt;0,
     COUNTIFS($AM$2:$AM$200,$G237)&gt;0,
     COUNTIFS($AN$2:$AN$200,$G237)&gt;0,
     COUNTIFS($AO$2:$AO$200,$G237)&gt;0,
     COUNTIFS($AP$2:$AP$200,$G237)&gt;0,
     COUNTIFS($AQ$2:$AQ$200,$G237)&gt;0,
     COUNTIFS($AR$2:$AR$200,$G237)&gt;0,
     COUNTIFS($AS$2:$AS$200,$G237)&gt;0,
     COUNTIFS($AT$2:$AT$200,$G237)&gt;0,
     COUNTIFS($AU$2:$AU$200,$G237)&gt;0,
     COUNTIFS($AV$2:$AV$200,$G237)&gt;0,
     COUNTIFS($AW$2:$AW$200,$G237)&gt;0,
     COUNTIFS($AX$2:$AX$200,$G237)&gt;0
   )),
  ),
  2
 ),
"")</f>
        <v/>
      </c>
      <c r="E237" s="3" t="str" cm="1">
        <f t="array" aca="1" ref="E237" ca="1">IFERROR(
 INDEX(
  _xlfn._xlws.FILTER($U$1:$AX$1,
   TRANSPOSE(
    CHOOSE({1;2;3;4;5;6;7;8;9;10;11;12;13;14;15;16;17;18;19;20;21;22;23;24;25;26;27;28;29;30},
     COUNTIFS($U$2:$U$200,$G237)&gt;0,
     COUNTIFS($V$2:$V$200,$G237)&gt;0,
     COUNTIFS($W$2:$W$200,$G237)&gt;0,
     COUNTIFS($X$2:$X$200,$G237)&gt;0,
     COUNTIFS($Y$2:$Y$200,$G237)&gt;0,
     COUNTIFS($Z$2:$Z$200,$G237)&gt;0,
     COUNTIFS($AA$2:$AA$200,$G237)&gt;0,
     COUNTIFS($AB$2:$AB$200,$G237)&gt;0,
     COUNTIFS($AC$2:$AC$200,$G237)&gt;0,
     COUNTIFS($AD$2:$AD$200,$G237)&gt;0,
     COUNTIFS($AE$2:$AE$200,$G237)&gt;0,
     COUNTIFS($AF$2:$AF$200,$G237)&gt;0,
     COUNTIFS($AG$2:$AG$200,$G237)&gt;0,
     COUNTIFS($AH$2:$AH$200,$G237)&gt;0,
     COUNTIFS($AI$2:$AI$200,$G237)&gt;0,
     COUNTIFS($AJ$2:$AJ$200,$G237)&gt;0,
     COUNTIFS($AK$2:$AK$200,$G237)&gt;0,
     COUNTIFS($AL$2:$AL$200,$G237)&gt;0,
     COUNTIFS($AM$2:$AM$200,$G237)&gt;0,
     COUNTIFS($AN$2:$AN$200,$G237)&gt;0,
     COUNTIFS($AO$2:$AO$200,$G237)&gt;0,
     COUNTIFS($AP$2:$AP$200,$G237)&gt;0,
     COUNTIFS($AQ$2:$AQ$200,$G237)&gt;0,
     COUNTIFS($AR$2:$AR$200,$G237)&gt;0,
     COUNTIFS($AS$2:$AS$200,$G237)&gt;0,
     COUNTIFS($AT$2:$AT$200,$G237)&gt;0,
     COUNTIFS($AU$2:$AU$200,$G237)&gt;0,
     COUNTIFS($AV$2:$AV$200,$G237)&gt;0,
     COUNTIFS($AW$2:$AW$200,$G237)&gt;0,
     COUNTIFS($AX$2:$AX$200,$G237)&gt;0
   )),
  ),
  3
 ),
"")</f>
        <v/>
      </c>
      <c r="F237" s="3" t="str" cm="1">
        <f t="array" aca="1" ref="F237" ca="1">IFERROR(
 INDEX(
  _xlfn._xlws.FILTER($U$1:$AX$1,
   TRANSPOSE(
    CHOOSE({1;2;3;4;5;6;7;8;9;10;11;12;13;14;15;16;17;18;19;20;21;22;23;24;25;26;27;28;29;30},
     COUNTIFS($U$2:$U$200,$G237)&gt;0,
     COUNTIFS($V$2:$V$200,$G237)&gt;0,
     COUNTIFS($W$2:$W$200,$G237)&gt;0,
     COUNTIFS($X$2:$X$200,$G237)&gt;0,
     COUNTIFS($Y$2:$Y$200,$G237)&gt;0,
     COUNTIFS($Z$2:$Z$200,$G237)&gt;0,
     COUNTIFS($AA$2:$AA$200,$G237)&gt;0,
     COUNTIFS($AB$2:$AB$200,$G237)&gt;0,
     COUNTIFS($AC$2:$AC$200,$G237)&gt;0,
     COUNTIFS($AD$2:$AD$200,$G237)&gt;0,
     COUNTIFS($AE$2:$AE$200,$G237)&gt;0,
     COUNTIFS($AF$2:$AF$200,$G237)&gt;0,
     COUNTIFS($AG$2:$AG$200,$G237)&gt;0,
     COUNTIFS($AH$2:$AH$200,$G237)&gt;0,
     COUNTIFS($AI$2:$AI$200,$G237)&gt;0,
     COUNTIFS($AJ$2:$AJ$200,$G237)&gt;0,
     COUNTIFS($AK$2:$AK$200,$G237)&gt;0,
     COUNTIFS($AL$2:$AL$200,$G237)&gt;0,
     COUNTIFS($AM$2:$AM$200,$G237)&gt;0,
     COUNTIFS($AN$2:$AN$200,$G237)&gt;0,
     COUNTIFS($AO$2:$AO$200,$G237)&gt;0,
     COUNTIFS($AP$2:$AP$200,$G237)&gt;0,
     COUNTIFS($AQ$2:$AQ$200,$G237)&gt;0,
     COUNTIFS($AR$2:$AR$200,$G237)&gt;0,
     COUNTIFS($AS$2:$AS$200,$G237)&gt;0,
     COUNTIFS($AT$2:$AT$200,$G237)&gt;0,
     COUNTIFS($AU$2:$AU$200,$G237)&gt;0,
     COUNTIFS($AV$2:$AV$200,$G237)&gt;0,
     COUNTIFS($AW$2:$AW$200,$G237)&gt;0,
     COUNTIFS($AX$2:$AX$200,$G237)&gt;0
   )),
  ),
  4
 ),
"")</f>
        <v/>
      </c>
      <c r="G237" t="str">
        <f ca="1"/>
        <v>Shaku da Honra Desgastada</v>
      </c>
      <c r="CG237" t="str">
        <f ca="1"/>
        <v>Watery Grave</v>
      </c>
      <c r="CJ237" t="str">
        <f ca="1"/>
        <v>Shaku da Honra Desgastada</v>
      </c>
    </row>
    <row r="238" spans="1:88" x14ac:dyDescent="0.25">
      <c r="A238" s="3" t="str">
        <f t="shared" ca="1" si="8"/>
        <v>1</v>
      </c>
      <c r="B238" s="3">
        <f t="shared" ca="1" si="9"/>
        <v>1</v>
      </c>
      <c r="C238" s="3" t="str">
        <f ca="1">IFERROR(
 INDEX($U$1:$AX$1,
  MATCH(TRUE,
   CHOOSE({1;2;3;4;5;6;7;8;9;10;11;12;13;14;15;16;17;18;19;20;21;22;23;24;25;26;27;28;29;30;31;32},
    COUNTIFS($U$2:$U$200,$G238)&gt;0,
    COUNTIFS($V$2:$V$200,$G238)&gt;0,
    COUNTIFS($W$2:$W$200,$G238)&gt;0,
    COUNTIFS($X$2:$X$200,$G238)&gt;0,
    COUNTIFS($Y$2:$Y$200,$G238)&gt;0,
    COUNTIFS($Z$2:$Z$200,$G238)&gt;0,
    COUNTIFS($AA$2:$AA$200,$G238)&gt;0,
    COUNTIFS($AB$2:$AB$200,$G238)&gt;0,
    COUNTIFS($AC$2:$AC$200,$G238)&gt;0,
    COUNTIFS($AD$2:$AD$200,$G238)&gt;0,
    COUNTIFS($AE$2:$AE$200,$G238)&gt;0,
    COUNTIFS($AF$2:$AF$200,$G238)&gt;0,
    COUNTIFS($AG$2:$AG$200,$G238)&gt;0,
    COUNTIFS($AH$2:$AH$200,$G238)&gt;0,
    COUNTIFS($AI$2:$AI$200,$G238)&gt;0,
    COUNTIFS($AJ$2:$AJ$200,$G238)&gt;0,
    COUNTIFS($AK$2:$AK$200,$G238)&gt;0,
    COUNTIFS($AL$2:$AL$200,$G238)&gt;0,
    COUNTIFS($AM$2:$AM$200,$G238)&gt;0,
    COUNTIFS($AN$2:$AN$200,$G238)&gt;0,
    COUNTIFS($AO$2:$AO$200,$G238)&gt;0,
    COUNTIFS($AP$2:$AP$200,$G238)&gt;0,
    COUNTIFS($AQ$2:$AQ$200,$G238)&gt;0,
    COUNTIFS($AR$2:$AR$200,$G238)&gt;0,
    COUNTIFS($AS$2:$AS$200,$G238)&gt;0,
    COUNTIFS($AT$2:$AT$200,$G238)&gt;0,
    COUNTIFS($AU$2:$AU$200,$G238)&gt;0,
    COUNTIFS($AV$2:$AV$200,$G238)&gt;0,
    COUNTIFS($AW$2:$AW$200,$G238)&gt;0,
    COUNTIFS($AX$2:$AX$200,$G238)&gt;0
   ),
  0)
 ),
"")</f>
        <v>Tayam</v>
      </c>
      <c r="D238" s="3" t="str" cm="1">
        <f t="array" aca="1" ref="D238" ca="1">IFERROR(
 INDEX(
  _xlfn._xlws.FILTER($U$1:$AX$1,
   TRANSPOSE(
    CHOOSE({1;2;3;4;5;6;7;8;9;10;11;12;13;14;15;16;17;18;19;20;21;22;23;24;25;26;27;28;29;30},
     COUNTIFS($U$2:$U$200,$G238)&gt;0,
     COUNTIFS($V$2:$V$200,$G238)&gt;0,
     COUNTIFS($W$2:$W$200,$G238)&gt;0,
     COUNTIFS($X$2:$X$200,$G238)&gt;0,
     COUNTIFS($Y$2:$Y$200,$G238)&gt;0,
     COUNTIFS($Z$2:$Z$200,$G238)&gt;0,
     COUNTIFS($AA$2:$AA$200,$G238)&gt;0,
     COUNTIFS($AB$2:$AB$200,$G238)&gt;0,
     COUNTIFS($AC$2:$AC$200,$G238)&gt;0,
     COUNTIFS($AD$2:$AD$200,$G238)&gt;0,
     COUNTIFS($AE$2:$AE$200,$G238)&gt;0,
     COUNTIFS($AF$2:$AF$200,$G238)&gt;0,
     COUNTIFS($AG$2:$AG$200,$G238)&gt;0,
     COUNTIFS($AH$2:$AH$200,$G238)&gt;0,
     COUNTIFS($AI$2:$AI$200,$G238)&gt;0,
     COUNTIFS($AJ$2:$AJ$200,$G238)&gt;0,
     COUNTIFS($AK$2:$AK$200,$G238)&gt;0,
     COUNTIFS($AL$2:$AL$200,$G238)&gt;0,
     COUNTIFS($AM$2:$AM$200,$G238)&gt;0,
     COUNTIFS($AN$2:$AN$200,$G238)&gt;0,
     COUNTIFS($AO$2:$AO$200,$G238)&gt;0,
     COUNTIFS($AP$2:$AP$200,$G238)&gt;0,
     COUNTIFS($AQ$2:$AQ$200,$G238)&gt;0,
     COUNTIFS($AR$2:$AR$200,$G238)&gt;0,
     COUNTIFS($AS$2:$AS$200,$G238)&gt;0,
     COUNTIFS($AT$2:$AT$200,$G238)&gt;0,
     COUNTIFS($AU$2:$AU$200,$G238)&gt;0,
     COUNTIFS($AV$2:$AV$200,$G238)&gt;0,
     COUNTIFS($AW$2:$AW$200,$G238)&gt;0,
     COUNTIFS($AX$2:$AX$200,$G238)&gt;0
   )),
  ),
  2
 ),
"")</f>
        <v/>
      </c>
      <c r="E238" s="3" t="str" cm="1">
        <f t="array" aca="1" ref="E238" ca="1">IFERROR(
 INDEX(
  _xlfn._xlws.FILTER($U$1:$AX$1,
   TRANSPOSE(
    CHOOSE({1;2;3;4;5;6;7;8;9;10;11;12;13;14;15;16;17;18;19;20;21;22;23;24;25;26;27;28;29;30},
     COUNTIFS($U$2:$U$200,$G238)&gt;0,
     COUNTIFS($V$2:$V$200,$G238)&gt;0,
     COUNTIFS($W$2:$W$200,$G238)&gt;0,
     COUNTIFS($X$2:$X$200,$G238)&gt;0,
     COUNTIFS($Y$2:$Y$200,$G238)&gt;0,
     COUNTIFS($Z$2:$Z$200,$G238)&gt;0,
     COUNTIFS($AA$2:$AA$200,$G238)&gt;0,
     COUNTIFS($AB$2:$AB$200,$G238)&gt;0,
     COUNTIFS($AC$2:$AC$200,$G238)&gt;0,
     COUNTIFS($AD$2:$AD$200,$G238)&gt;0,
     COUNTIFS($AE$2:$AE$200,$G238)&gt;0,
     COUNTIFS($AF$2:$AF$200,$G238)&gt;0,
     COUNTIFS($AG$2:$AG$200,$G238)&gt;0,
     COUNTIFS($AH$2:$AH$200,$G238)&gt;0,
     COUNTIFS($AI$2:$AI$200,$G238)&gt;0,
     COUNTIFS($AJ$2:$AJ$200,$G238)&gt;0,
     COUNTIFS($AK$2:$AK$200,$G238)&gt;0,
     COUNTIFS($AL$2:$AL$200,$G238)&gt;0,
     COUNTIFS($AM$2:$AM$200,$G238)&gt;0,
     COUNTIFS($AN$2:$AN$200,$G238)&gt;0,
     COUNTIFS($AO$2:$AO$200,$G238)&gt;0,
     COUNTIFS($AP$2:$AP$200,$G238)&gt;0,
     COUNTIFS($AQ$2:$AQ$200,$G238)&gt;0,
     COUNTIFS($AR$2:$AR$200,$G238)&gt;0,
     COUNTIFS($AS$2:$AS$200,$G238)&gt;0,
     COUNTIFS($AT$2:$AT$200,$G238)&gt;0,
     COUNTIFS($AU$2:$AU$200,$G238)&gt;0,
     COUNTIFS($AV$2:$AV$200,$G238)&gt;0,
     COUNTIFS($AW$2:$AW$200,$G238)&gt;0,
     COUNTIFS($AX$2:$AX$200,$G238)&gt;0
   )),
  ),
  3
 ),
"")</f>
        <v/>
      </c>
      <c r="F238" s="3" t="str" cm="1">
        <f t="array" aca="1" ref="F238" ca="1">IFERROR(
 INDEX(
  _xlfn._xlws.FILTER($U$1:$AX$1,
   TRANSPOSE(
    CHOOSE({1;2;3;4;5;6;7;8;9;10;11;12;13;14;15;16;17;18;19;20;21;22;23;24;25;26;27;28;29;30},
     COUNTIFS($U$2:$U$200,$G238)&gt;0,
     COUNTIFS($V$2:$V$200,$G238)&gt;0,
     COUNTIFS($W$2:$W$200,$G238)&gt;0,
     COUNTIFS($X$2:$X$200,$G238)&gt;0,
     COUNTIFS($Y$2:$Y$200,$G238)&gt;0,
     COUNTIFS($Z$2:$Z$200,$G238)&gt;0,
     COUNTIFS($AA$2:$AA$200,$G238)&gt;0,
     COUNTIFS($AB$2:$AB$200,$G238)&gt;0,
     COUNTIFS($AC$2:$AC$200,$G238)&gt;0,
     COUNTIFS($AD$2:$AD$200,$G238)&gt;0,
     COUNTIFS($AE$2:$AE$200,$G238)&gt;0,
     COUNTIFS($AF$2:$AF$200,$G238)&gt;0,
     COUNTIFS($AG$2:$AG$200,$G238)&gt;0,
     COUNTIFS($AH$2:$AH$200,$G238)&gt;0,
     COUNTIFS($AI$2:$AI$200,$G238)&gt;0,
     COUNTIFS($AJ$2:$AJ$200,$G238)&gt;0,
     COUNTIFS($AK$2:$AK$200,$G238)&gt;0,
     COUNTIFS($AL$2:$AL$200,$G238)&gt;0,
     COUNTIFS($AM$2:$AM$200,$G238)&gt;0,
     COUNTIFS($AN$2:$AN$200,$G238)&gt;0,
     COUNTIFS($AO$2:$AO$200,$G238)&gt;0,
     COUNTIFS($AP$2:$AP$200,$G238)&gt;0,
     COUNTIFS($AQ$2:$AQ$200,$G238)&gt;0,
     COUNTIFS($AR$2:$AR$200,$G238)&gt;0,
     COUNTIFS($AS$2:$AS$200,$G238)&gt;0,
     COUNTIFS($AT$2:$AT$200,$G238)&gt;0,
     COUNTIFS($AU$2:$AU$200,$G238)&gt;0,
     COUNTIFS($AV$2:$AV$200,$G238)&gt;0,
     COUNTIFS($AW$2:$AW$200,$G238)&gt;0,
     COUNTIFS($AX$2:$AX$200,$G238)&gt;0
   )),
  ),
  4
 ),
"")</f>
        <v/>
      </c>
      <c r="G238" t="str">
        <f ca="1"/>
        <v>Shelinda, Yevon Acolyte</v>
      </c>
      <c r="CG238" t="str">
        <f ca="1"/>
        <v>Windcrag Siege</v>
      </c>
      <c r="CJ238" t="str">
        <f ca="1"/>
        <v>Shelinda, Yevon Acolyte</v>
      </c>
    </row>
    <row r="239" spans="1:88" x14ac:dyDescent="0.25">
      <c r="A239" s="3" t="str">
        <f t="shared" ca="1" si="8"/>
        <v>3</v>
      </c>
      <c r="B239" s="3">
        <f t="shared" ca="1" si="9"/>
        <v>1</v>
      </c>
      <c r="C239" s="3" t="str">
        <f ca="1">IFERROR(
 INDEX($U$1:$AX$1,
  MATCH(TRUE,
   CHOOSE({1;2;3;4;5;6;7;8;9;10;11;12;13;14;15;16;17;18;19;20;21;22;23;24;25;26;27;28;29;30;31;32},
    COUNTIFS($U$2:$U$200,$G239)&gt;0,
    COUNTIFS($V$2:$V$200,$G239)&gt;0,
    COUNTIFS($W$2:$W$200,$G239)&gt;0,
    COUNTIFS($X$2:$X$200,$G239)&gt;0,
    COUNTIFS($Y$2:$Y$200,$G239)&gt;0,
    COUNTIFS($Z$2:$Z$200,$G239)&gt;0,
    COUNTIFS($AA$2:$AA$200,$G239)&gt;0,
    COUNTIFS($AB$2:$AB$200,$G239)&gt;0,
    COUNTIFS($AC$2:$AC$200,$G239)&gt;0,
    COUNTIFS($AD$2:$AD$200,$G239)&gt;0,
    COUNTIFS($AE$2:$AE$200,$G239)&gt;0,
    COUNTIFS($AF$2:$AF$200,$G239)&gt;0,
    COUNTIFS($AG$2:$AG$200,$G239)&gt;0,
    COUNTIFS($AH$2:$AH$200,$G239)&gt;0,
    COUNTIFS($AI$2:$AI$200,$G239)&gt;0,
    COUNTIFS($AJ$2:$AJ$200,$G239)&gt;0,
    COUNTIFS($AK$2:$AK$200,$G239)&gt;0,
    COUNTIFS($AL$2:$AL$200,$G239)&gt;0,
    COUNTIFS($AM$2:$AM$200,$G239)&gt;0,
    COUNTIFS($AN$2:$AN$200,$G239)&gt;0,
    COUNTIFS($AO$2:$AO$200,$G239)&gt;0,
    COUNTIFS($AP$2:$AP$200,$G239)&gt;0,
    COUNTIFS($AQ$2:$AQ$200,$G239)&gt;0,
    COUNTIFS($AR$2:$AR$200,$G239)&gt;0,
    COUNTIFS($AS$2:$AS$200,$G239)&gt;0,
    COUNTIFS($AT$2:$AT$200,$G239)&gt;0,
    COUNTIFS($AU$2:$AU$200,$G239)&gt;0,
    COUNTIFS($AV$2:$AV$200,$G239)&gt;0,
    COUNTIFS($AW$2:$AW$200,$G239)&gt;0,
    COUNTIFS($AX$2:$AX$200,$G239)&gt;0
   ),
  0)
 ),
"")</f>
        <v>Yuriko</v>
      </c>
      <c r="D239" s="3" t="str" cm="1">
        <f t="array" aca="1" ref="D239" ca="1">IFERROR(
 INDEX(
  _xlfn._xlws.FILTER($U$1:$AX$1,
   TRANSPOSE(
    CHOOSE({1;2;3;4;5;6;7;8;9;10;11;12;13;14;15;16;17;18;19;20;21;22;23;24;25;26;27;28;29;30},
     COUNTIFS($U$2:$U$200,$G239)&gt;0,
     COUNTIFS($V$2:$V$200,$G239)&gt;0,
     COUNTIFS($W$2:$W$200,$G239)&gt;0,
     COUNTIFS($X$2:$X$200,$G239)&gt;0,
     COUNTIFS($Y$2:$Y$200,$G239)&gt;0,
     COUNTIFS($Z$2:$Z$200,$G239)&gt;0,
     COUNTIFS($AA$2:$AA$200,$G239)&gt;0,
     COUNTIFS($AB$2:$AB$200,$G239)&gt;0,
     COUNTIFS($AC$2:$AC$200,$G239)&gt;0,
     COUNTIFS($AD$2:$AD$200,$G239)&gt;0,
     COUNTIFS($AE$2:$AE$200,$G239)&gt;0,
     COUNTIFS($AF$2:$AF$200,$G239)&gt;0,
     COUNTIFS($AG$2:$AG$200,$G239)&gt;0,
     COUNTIFS($AH$2:$AH$200,$G239)&gt;0,
     COUNTIFS($AI$2:$AI$200,$G239)&gt;0,
     COUNTIFS($AJ$2:$AJ$200,$G239)&gt;0,
     COUNTIFS($AK$2:$AK$200,$G239)&gt;0,
     COUNTIFS($AL$2:$AL$200,$G239)&gt;0,
     COUNTIFS($AM$2:$AM$200,$G239)&gt;0,
     COUNTIFS($AN$2:$AN$200,$G239)&gt;0,
     COUNTIFS($AO$2:$AO$200,$G239)&gt;0,
     COUNTIFS($AP$2:$AP$200,$G239)&gt;0,
     COUNTIFS($AQ$2:$AQ$200,$G239)&gt;0,
     COUNTIFS($AR$2:$AR$200,$G239)&gt;0,
     COUNTIFS($AS$2:$AS$200,$G239)&gt;0,
     COUNTIFS($AT$2:$AT$200,$G239)&gt;0,
     COUNTIFS($AU$2:$AU$200,$G239)&gt;0,
     COUNTIFS($AV$2:$AV$200,$G239)&gt;0,
     COUNTIFS($AW$2:$AW$200,$G239)&gt;0,
     COUNTIFS($AX$2:$AX$200,$G239)&gt;0
   )),
  ),
  2
 ),
"")</f>
        <v/>
      </c>
      <c r="E239" s="3" t="str" cm="1">
        <f t="array" aca="1" ref="E239" ca="1">IFERROR(
 INDEX(
  _xlfn._xlws.FILTER($U$1:$AX$1,
   TRANSPOSE(
    CHOOSE({1;2;3;4;5;6;7;8;9;10;11;12;13;14;15;16;17;18;19;20;21;22;23;24;25;26;27;28;29;30},
     COUNTIFS($U$2:$U$200,$G239)&gt;0,
     COUNTIFS($V$2:$V$200,$G239)&gt;0,
     COUNTIFS($W$2:$W$200,$G239)&gt;0,
     COUNTIFS($X$2:$X$200,$G239)&gt;0,
     COUNTIFS($Y$2:$Y$200,$G239)&gt;0,
     COUNTIFS($Z$2:$Z$200,$G239)&gt;0,
     COUNTIFS($AA$2:$AA$200,$G239)&gt;0,
     COUNTIFS($AB$2:$AB$200,$G239)&gt;0,
     COUNTIFS($AC$2:$AC$200,$G239)&gt;0,
     COUNTIFS($AD$2:$AD$200,$G239)&gt;0,
     COUNTIFS($AE$2:$AE$200,$G239)&gt;0,
     COUNTIFS($AF$2:$AF$200,$G239)&gt;0,
     COUNTIFS($AG$2:$AG$200,$G239)&gt;0,
     COUNTIFS($AH$2:$AH$200,$G239)&gt;0,
     COUNTIFS($AI$2:$AI$200,$G239)&gt;0,
     COUNTIFS($AJ$2:$AJ$200,$G239)&gt;0,
     COUNTIFS($AK$2:$AK$200,$G239)&gt;0,
     COUNTIFS($AL$2:$AL$200,$G239)&gt;0,
     COUNTIFS($AM$2:$AM$200,$G239)&gt;0,
     COUNTIFS($AN$2:$AN$200,$G239)&gt;0,
     COUNTIFS($AO$2:$AO$200,$G239)&gt;0,
     COUNTIFS($AP$2:$AP$200,$G239)&gt;0,
     COUNTIFS($AQ$2:$AQ$200,$G239)&gt;0,
     COUNTIFS($AR$2:$AR$200,$G239)&gt;0,
     COUNTIFS($AS$2:$AS$200,$G239)&gt;0,
     COUNTIFS($AT$2:$AT$200,$G239)&gt;0,
     COUNTIFS($AU$2:$AU$200,$G239)&gt;0,
     COUNTIFS($AV$2:$AV$200,$G239)&gt;0,
     COUNTIFS($AW$2:$AW$200,$G239)&gt;0,
     COUNTIFS($AX$2:$AX$200,$G239)&gt;0
   )),
  ),
  3
 ),
"")</f>
        <v/>
      </c>
      <c r="F239" s="3" t="str" cm="1">
        <f t="array" aca="1" ref="F239" ca="1">IFERROR(
 INDEX(
  _xlfn._xlws.FILTER($U$1:$AX$1,
   TRANSPOSE(
    CHOOSE({1;2;3;4;5;6;7;8;9;10;11;12;13;14;15;16;17;18;19;20;21;22;23;24;25;26;27;28;29;30},
     COUNTIFS($U$2:$U$200,$G239)&gt;0,
     COUNTIFS($V$2:$V$200,$G239)&gt;0,
     COUNTIFS($W$2:$W$200,$G239)&gt;0,
     COUNTIFS($X$2:$X$200,$G239)&gt;0,
     COUNTIFS($Y$2:$Y$200,$G239)&gt;0,
     COUNTIFS($Z$2:$Z$200,$G239)&gt;0,
     COUNTIFS($AA$2:$AA$200,$G239)&gt;0,
     COUNTIFS($AB$2:$AB$200,$G239)&gt;0,
     COUNTIFS($AC$2:$AC$200,$G239)&gt;0,
     COUNTIFS($AD$2:$AD$200,$G239)&gt;0,
     COUNTIFS($AE$2:$AE$200,$G239)&gt;0,
     COUNTIFS($AF$2:$AF$200,$G239)&gt;0,
     COUNTIFS($AG$2:$AG$200,$G239)&gt;0,
     COUNTIFS($AH$2:$AH$200,$G239)&gt;0,
     COUNTIFS($AI$2:$AI$200,$G239)&gt;0,
     COUNTIFS($AJ$2:$AJ$200,$G239)&gt;0,
     COUNTIFS($AK$2:$AK$200,$G239)&gt;0,
     COUNTIFS($AL$2:$AL$200,$G239)&gt;0,
     COUNTIFS($AM$2:$AM$200,$G239)&gt;0,
     COUNTIFS($AN$2:$AN$200,$G239)&gt;0,
     COUNTIFS($AO$2:$AO$200,$G239)&gt;0,
     COUNTIFS($AP$2:$AP$200,$G239)&gt;0,
     COUNTIFS($AQ$2:$AQ$200,$G239)&gt;0,
     COUNTIFS($AR$2:$AR$200,$G239)&gt;0,
     COUNTIFS($AS$2:$AS$200,$G239)&gt;0,
     COUNTIFS($AT$2:$AT$200,$G239)&gt;0,
     COUNTIFS($AU$2:$AU$200,$G239)&gt;0,
     COUNTIFS($AV$2:$AV$200,$G239)&gt;0,
     COUNTIFS($AW$2:$AW$200,$G239)&gt;0,
     COUNTIFS($AX$2:$AX$200,$G239)&gt;0
   )),
  ),
  4
 ),
"")</f>
        <v/>
      </c>
      <c r="G239" t="str">
        <f ca="1"/>
        <v>Shizo, Death's Storehouse</v>
      </c>
      <c r="CG239" t="str">
        <f ca="1"/>
        <v>World at War</v>
      </c>
      <c r="CJ239" t="str">
        <f ca="1"/>
        <v>Shizo, Death's Storehouse</v>
      </c>
    </row>
    <row r="240" spans="1:88" x14ac:dyDescent="0.25">
      <c r="A240" s="3" t="str">
        <f t="shared" ca="1" si="8"/>
        <v>2</v>
      </c>
      <c r="B240" s="3">
        <f t="shared" ca="1" si="9"/>
        <v>1</v>
      </c>
      <c r="C240" s="3" t="str">
        <f ca="1">IFERROR(
 INDEX($U$1:$AX$1,
  MATCH(TRUE,
   CHOOSE({1;2;3;4;5;6;7;8;9;10;11;12;13;14;15;16;17;18;19;20;21;22;23;24;25;26;27;28;29;30;31;32},
    COUNTIFS($U$2:$U$200,$G240)&gt;0,
    COUNTIFS($V$2:$V$200,$G240)&gt;0,
    COUNTIFS($W$2:$W$200,$G240)&gt;0,
    COUNTIFS($X$2:$X$200,$G240)&gt;0,
    COUNTIFS($Y$2:$Y$200,$G240)&gt;0,
    COUNTIFS($Z$2:$Z$200,$G240)&gt;0,
    COUNTIFS($AA$2:$AA$200,$G240)&gt;0,
    COUNTIFS($AB$2:$AB$200,$G240)&gt;0,
    COUNTIFS($AC$2:$AC$200,$G240)&gt;0,
    COUNTIFS($AD$2:$AD$200,$G240)&gt;0,
    COUNTIFS($AE$2:$AE$200,$G240)&gt;0,
    COUNTIFS($AF$2:$AF$200,$G240)&gt;0,
    COUNTIFS($AG$2:$AG$200,$G240)&gt;0,
    COUNTIFS($AH$2:$AH$200,$G240)&gt;0,
    COUNTIFS($AI$2:$AI$200,$G240)&gt;0,
    COUNTIFS($AJ$2:$AJ$200,$G240)&gt;0,
    COUNTIFS($AK$2:$AK$200,$G240)&gt;0,
    COUNTIFS($AL$2:$AL$200,$G240)&gt;0,
    COUNTIFS($AM$2:$AM$200,$G240)&gt;0,
    COUNTIFS($AN$2:$AN$200,$G240)&gt;0,
    COUNTIFS($AO$2:$AO$200,$G240)&gt;0,
    COUNTIFS($AP$2:$AP$200,$G240)&gt;0,
    COUNTIFS($AQ$2:$AQ$200,$G240)&gt;0,
    COUNTIFS($AR$2:$AR$200,$G240)&gt;0,
    COUNTIFS($AS$2:$AS$200,$G240)&gt;0,
    COUNTIFS($AT$2:$AT$200,$G240)&gt;0,
    COUNTIFS($AU$2:$AU$200,$G240)&gt;0,
    COUNTIFS($AV$2:$AV$200,$G240)&gt;0,
    COUNTIFS($AW$2:$AW$200,$G240)&gt;0,
    COUNTIFS($AX$2:$AX$200,$G240)&gt;0
   ),
  0)
 ),
"")</f>
        <v>Piratas</v>
      </c>
      <c r="D240" s="3" t="str" cm="1">
        <f t="array" aca="1" ref="D240" ca="1">IFERROR(
 INDEX(
  _xlfn._xlws.FILTER($U$1:$AX$1,
   TRANSPOSE(
    CHOOSE({1;2;3;4;5;6;7;8;9;10;11;12;13;14;15;16;17;18;19;20;21;22;23;24;25;26;27;28;29;30},
     COUNTIFS($U$2:$U$200,$G240)&gt;0,
     COUNTIFS($V$2:$V$200,$G240)&gt;0,
     COUNTIFS($W$2:$W$200,$G240)&gt;0,
     COUNTIFS($X$2:$X$200,$G240)&gt;0,
     COUNTIFS($Y$2:$Y$200,$G240)&gt;0,
     COUNTIFS($Z$2:$Z$200,$G240)&gt;0,
     COUNTIFS($AA$2:$AA$200,$G240)&gt;0,
     COUNTIFS($AB$2:$AB$200,$G240)&gt;0,
     COUNTIFS($AC$2:$AC$200,$G240)&gt;0,
     COUNTIFS($AD$2:$AD$200,$G240)&gt;0,
     COUNTIFS($AE$2:$AE$200,$G240)&gt;0,
     COUNTIFS($AF$2:$AF$200,$G240)&gt;0,
     COUNTIFS($AG$2:$AG$200,$G240)&gt;0,
     COUNTIFS($AH$2:$AH$200,$G240)&gt;0,
     COUNTIFS($AI$2:$AI$200,$G240)&gt;0,
     COUNTIFS($AJ$2:$AJ$200,$G240)&gt;0,
     COUNTIFS($AK$2:$AK$200,$G240)&gt;0,
     COUNTIFS($AL$2:$AL$200,$G240)&gt;0,
     COUNTIFS($AM$2:$AM$200,$G240)&gt;0,
     COUNTIFS($AN$2:$AN$200,$G240)&gt;0,
     COUNTIFS($AO$2:$AO$200,$G240)&gt;0,
     COUNTIFS($AP$2:$AP$200,$G240)&gt;0,
     COUNTIFS($AQ$2:$AQ$200,$G240)&gt;0,
     COUNTIFS($AR$2:$AR$200,$G240)&gt;0,
     COUNTIFS($AS$2:$AS$200,$G240)&gt;0,
     COUNTIFS($AT$2:$AT$200,$G240)&gt;0,
     COUNTIFS($AU$2:$AU$200,$G240)&gt;0,
     COUNTIFS($AV$2:$AV$200,$G240)&gt;0,
     COUNTIFS($AW$2:$AW$200,$G240)&gt;0,
     COUNTIFS($AX$2:$AX$200,$G240)&gt;0
   )),
  ),
  2
 ),
"")</f>
        <v/>
      </c>
      <c r="E240" s="3" t="str" cm="1">
        <f t="array" aca="1" ref="E240" ca="1">IFERROR(
 INDEX(
  _xlfn._xlws.FILTER($U$1:$AX$1,
   TRANSPOSE(
    CHOOSE({1;2;3;4;5;6;7;8;9;10;11;12;13;14;15;16;17;18;19;20;21;22;23;24;25;26;27;28;29;30},
     COUNTIFS($U$2:$U$200,$G240)&gt;0,
     COUNTIFS($V$2:$V$200,$G240)&gt;0,
     COUNTIFS($W$2:$W$200,$G240)&gt;0,
     COUNTIFS($X$2:$X$200,$G240)&gt;0,
     COUNTIFS($Y$2:$Y$200,$G240)&gt;0,
     COUNTIFS($Z$2:$Z$200,$G240)&gt;0,
     COUNTIFS($AA$2:$AA$200,$G240)&gt;0,
     COUNTIFS($AB$2:$AB$200,$G240)&gt;0,
     COUNTIFS($AC$2:$AC$200,$G240)&gt;0,
     COUNTIFS($AD$2:$AD$200,$G240)&gt;0,
     COUNTIFS($AE$2:$AE$200,$G240)&gt;0,
     COUNTIFS($AF$2:$AF$200,$G240)&gt;0,
     COUNTIFS($AG$2:$AG$200,$G240)&gt;0,
     COUNTIFS($AH$2:$AH$200,$G240)&gt;0,
     COUNTIFS($AI$2:$AI$200,$G240)&gt;0,
     COUNTIFS($AJ$2:$AJ$200,$G240)&gt;0,
     COUNTIFS($AK$2:$AK$200,$G240)&gt;0,
     COUNTIFS($AL$2:$AL$200,$G240)&gt;0,
     COUNTIFS($AM$2:$AM$200,$G240)&gt;0,
     COUNTIFS($AN$2:$AN$200,$G240)&gt;0,
     COUNTIFS($AO$2:$AO$200,$G240)&gt;0,
     COUNTIFS($AP$2:$AP$200,$G240)&gt;0,
     COUNTIFS($AQ$2:$AQ$200,$G240)&gt;0,
     COUNTIFS($AR$2:$AR$200,$G240)&gt;0,
     COUNTIFS($AS$2:$AS$200,$G240)&gt;0,
     COUNTIFS($AT$2:$AT$200,$G240)&gt;0,
     COUNTIFS($AU$2:$AU$200,$G240)&gt;0,
     COUNTIFS($AV$2:$AV$200,$G240)&gt;0,
     COUNTIFS($AW$2:$AW$200,$G240)&gt;0,
     COUNTIFS($AX$2:$AX$200,$G240)&gt;0
   )),
  ),
  3
 ),
"")</f>
        <v/>
      </c>
      <c r="F240" s="3" t="str" cm="1">
        <f t="array" aca="1" ref="F240" ca="1">IFERROR(
 INDEX(
  _xlfn._xlws.FILTER($U$1:$AX$1,
   TRANSPOSE(
    CHOOSE({1;2;3;4;5;6;7;8;9;10;11;12;13;14;15;16;17;18;19;20;21;22;23;24;25;26;27;28;29;30},
     COUNTIFS($U$2:$U$200,$G240)&gt;0,
     COUNTIFS($V$2:$V$200,$G240)&gt;0,
     COUNTIFS($W$2:$W$200,$G240)&gt;0,
     COUNTIFS($X$2:$X$200,$G240)&gt;0,
     COUNTIFS($Y$2:$Y$200,$G240)&gt;0,
     COUNTIFS($Z$2:$Z$200,$G240)&gt;0,
     COUNTIFS($AA$2:$AA$200,$G240)&gt;0,
     COUNTIFS($AB$2:$AB$200,$G240)&gt;0,
     COUNTIFS($AC$2:$AC$200,$G240)&gt;0,
     COUNTIFS($AD$2:$AD$200,$G240)&gt;0,
     COUNTIFS($AE$2:$AE$200,$G240)&gt;0,
     COUNTIFS($AF$2:$AF$200,$G240)&gt;0,
     COUNTIFS($AG$2:$AG$200,$G240)&gt;0,
     COUNTIFS($AH$2:$AH$200,$G240)&gt;0,
     COUNTIFS($AI$2:$AI$200,$G240)&gt;0,
     COUNTIFS($AJ$2:$AJ$200,$G240)&gt;0,
     COUNTIFS($AK$2:$AK$200,$G240)&gt;0,
     COUNTIFS($AL$2:$AL$200,$G240)&gt;0,
     COUNTIFS($AM$2:$AM$200,$G240)&gt;0,
     COUNTIFS($AN$2:$AN$200,$G240)&gt;0,
     COUNTIFS($AO$2:$AO$200,$G240)&gt;0,
     COUNTIFS($AP$2:$AP$200,$G240)&gt;0,
     COUNTIFS($AQ$2:$AQ$200,$G240)&gt;0,
     COUNTIFS($AR$2:$AR$200,$G240)&gt;0,
     COUNTIFS($AS$2:$AS$200,$G240)&gt;0,
     COUNTIFS($AT$2:$AT$200,$G240)&gt;0,
     COUNTIFS($AU$2:$AU$200,$G240)&gt;0,
     COUNTIFS($AV$2:$AV$200,$G240)&gt;0,
     COUNTIFS($AW$2:$AW$200,$G240)&gt;0,
     COUNTIFS($AX$2:$AX$200,$G240)&gt;0
   )),
  ),
  4
 ),
"")</f>
        <v/>
      </c>
      <c r="G240" t="str">
        <f ca="1"/>
        <v>Shoot the Sheriff</v>
      </c>
      <c r="CG240" t="str">
        <f ca="1"/>
        <v>Xantcha, Agente Adormecida</v>
      </c>
      <c r="CJ240" t="str">
        <f ca="1"/>
        <v>Shoot the Sheriff</v>
      </c>
    </row>
    <row r="241" spans="1:88" x14ac:dyDescent="0.25">
      <c r="A241" s="3" t="str">
        <f t="shared" ca="1" si="8"/>
        <v>2</v>
      </c>
      <c r="B241" s="3">
        <f t="shared" ca="1" si="9"/>
        <v>1</v>
      </c>
      <c r="C241" s="3" t="str">
        <f ca="1">IFERROR(
 INDEX($U$1:$AX$1,
  MATCH(TRUE,
   CHOOSE({1;2;3;4;5;6;7;8;9;10;11;12;13;14;15;16;17;18;19;20;21;22;23;24;25;26;27;28;29;30;31;32},
    COUNTIFS($U$2:$U$200,$G241)&gt;0,
    COUNTIFS($V$2:$V$200,$G241)&gt;0,
    COUNTIFS($W$2:$W$200,$G241)&gt;0,
    COUNTIFS($X$2:$X$200,$G241)&gt;0,
    COUNTIFS($Y$2:$Y$200,$G241)&gt;0,
    COUNTIFS($Z$2:$Z$200,$G241)&gt;0,
    COUNTIFS($AA$2:$AA$200,$G241)&gt;0,
    COUNTIFS($AB$2:$AB$200,$G241)&gt;0,
    COUNTIFS($AC$2:$AC$200,$G241)&gt;0,
    COUNTIFS($AD$2:$AD$200,$G241)&gt;0,
    COUNTIFS($AE$2:$AE$200,$G241)&gt;0,
    COUNTIFS($AF$2:$AF$200,$G241)&gt;0,
    COUNTIFS($AG$2:$AG$200,$G241)&gt;0,
    COUNTIFS($AH$2:$AH$200,$G241)&gt;0,
    COUNTIFS($AI$2:$AI$200,$G241)&gt;0,
    COUNTIFS($AJ$2:$AJ$200,$G241)&gt;0,
    COUNTIFS($AK$2:$AK$200,$G241)&gt;0,
    COUNTIFS($AL$2:$AL$200,$G241)&gt;0,
    COUNTIFS($AM$2:$AM$200,$G241)&gt;0,
    COUNTIFS($AN$2:$AN$200,$G241)&gt;0,
    COUNTIFS($AO$2:$AO$200,$G241)&gt;0,
    COUNTIFS($AP$2:$AP$200,$G241)&gt;0,
    COUNTIFS($AQ$2:$AQ$200,$G241)&gt;0,
    COUNTIFS($AR$2:$AR$200,$G241)&gt;0,
    COUNTIFS($AS$2:$AS$200,$G241)&gt;0,
    COUNTIFS($AT$2:$AT$200,$G241)&gt;0,
    COUNTIFS($AU$2:$AU$200,$G241)&gt;0,
    COUNTIFS($AV$2:$AV$200,$G241)&gt;0,
    COUNTIFS($AW$2:$AW$200,$G241)&gt;0,
    COUNTIFS($AX$2:$AX$200,$G241)&gt;0
   ),
  0)
 ),
"")</f>
        <v>Kumena</v>
      </c>
      <c r="D241" s="3" t="str" cm="1">
        <f t="array" aca="1" ref="D241" ca="1">IFERROR(
 INDEX(
  _xlfn._xlws.FILTER($U$1:$AX$1,
   TRANSPOSE(
    CHOOSE({1;2;3;4;5;6;7;8;9;10;11;12;13;14;15;16;17;18;19;20;21;22;23;24;25;26;27;28;29;30},
     COUNTIFS($U$2:$U$200,$G241)&gt;0,
     COUNTIFS($V$2:$V$200,$G241)&gt;0,
     COUNTIFS($W$2:$W$200,$G241)&gt;0,
     COUNTIFS($X$2:$X$200,$G241)&gt;0,
     COUNTIFS($Y$2:$Y$200,$G241)&gt;0,
     COUNTIFS($Z$2:$Z$200,$G241)&gt;0,
     COUNTIFS($AA$2:$AA$200,$G241)&gt;0,
     COUNTIFS($AB$2:$AB$200,$G241)&gt;0,
     COUNTIFS($AC$2:$AC$200,$G241)&gt;0,
     COUNTIFS($AD$2:$AD$200,$G241)&gt;0,
     COUNTIFS($AE$2:$AE$200,$G241)&gt;0,
     COUNTIFS($AF$2:$AF$200,$G241)&gt;0,
     COUNTIFS($AG$2:$AG$200,$G241)&gt;0,
     COUNTIFS($AH$2:$AH$200,$G241)&gt;0,
     COUNTIFS($AI$2:$AI$200,$G241)&gt;0,
     COUNTIFS($AJ$2:$AJ$200,$G241)&gt;0,
     COUNTIFS($AK$2:$AK$200,$G241)&gt;0,
     COUNTIFS($AL$2:$AL$200,$G241)&gt;0,
     COUNTIFS($AM$2:$AM$200,$G241)&gt;0,
     COUNTIFS($AN$2:$AN$200,$G241)&gt;0,
     COUNTIFS($AO$2:$AO$200,$G241)&gt;0,
     COUNTIFS($AP$2:$AP$200,$G241)&gt;0,
     COUNTIFS($AQ$2:$AQ$200,$G241)&gt;0,
     COUNTIFS($AR$2:$AR$200,$G241)&gt;0,
     COUNTIFS($AS$2:$AS$200,$G241)&gt;0,
     COUNTIFS($AT$2:$AT$200,$G241)&gt;0,
     COUNTIFS($AU$2:$AU$200,$G241)&gt;0,
     COUNTIFS($AV$2:$AV$200,$G241)&gt;0,
     COUNTIFS($AW$2:$AW$200,$G241)&gt;0,
     COUNTIFS($AX$2:$AX$200,$G241)&gt;0
   )),
  ),
  2
 ),
"")</f>
        <v/>
      </c>
      <c r="E241" s="3" t="str" cm="1">
        <f t="array" aca="1" ref="E241" ca="1">IFERROR(
 INDEX(
  _xlfn._xlws.FILTER($U$1:$AX$1,
   TRANSPOSE(
    CHOOSE({1;2;3;4;5;6;7;8;9;10;11;12;13;14;15;16;17;18;19;20;21;22;23;24;25;26;27;28;29;30},
     COUNTIFS($U$2:$U$200,$G241)&gt;0,
     COUNTIFS($V$2:$V$200,$G241)&gt;0,
     COUNTIFS($W$2:$W$200,$G241)&gt;0,
     COUNTIFS($X$2:$X$200,$G241)&gt;0,
     COUNTIFS($Y$2:$Y$200,$G241)&gt;0,
     COUNTIFS($Z$2:$Z$200,$G241)&gt;0,
     COUNTIFS($AA$2:$AA$200,$G241)&gt;0,
     COUNTIFS($AB$2:$AB$200,$G241)&gt;0,
     COUNTIFS($AC$2:$AC$200,$G241)&gt;0,
     COUNTIFS($AD$2:$AD$200,$G241)&gt;0,
     COUNTIFS($AE$2:$AE$200,$G241)&gt;0,
     COUNTIFS($AF$2:$AF$200,$G241)&gt;0,
     COUNTIFS($AG$2:$AG$200,$G241)&gt;0,
     COUNTIFS($AH$2:$AH$200,$G241)&gt;0,
     COUNTIFS($AI$2:$AI$200,$G241)&gt;0,
     COUNTIFS($AJ$2:$AJ$200,$G241)&gt;0,
     COUNTIFS($AK$2:$AK$200,$G241)&gt;0,
     COUNTIFS($AL$2:$AL$200,$G241)&gt;0,
     COUNTIFS($AM$2:$AM$200,$G241)&gt;0,
     COUNTIFS($AN$2:$AN$200,$G241)&gt;0,
     COUNTIFS($AO$2:$AO$200,$G241)&gt;0,
     COUNTIFS($AP$2:$AP$200,$G241)&gt;0,
     COUNTIFS($AQ$2:$AQ$200,$G241)&gt;0,
     COUNTIFS($AR$2:$AR$200,$G241)&gt;0,
     COUNTIFS($AS$2:$AS$200,$G241)&gt;0,
     COUNTIFS($AT$2:$AT$200,$G241)&gt;0,
     COUNTIFS($AU$2:$AU$200,$G241)&gt;0,
     COUNTIFS($AV$2:$AV$200,$G241)&gt;0,
     COUNTIFS($AW$2:$AW$200,$G241)&gt;0,
     COUNTIFS($AX$2:$AX$200,$G241)&gt;0
   )),
  ),
  3
 ),
"")</f>
        <v/>
      </c>
      <c r="F241" s="3" t="str" cm="1">
        <f t="array" aca="1" ref="F241" ca="1">IFERROR(
 INDEX(
  _xlfn._xlws.FILTER($U$1:$AX$1,
   TRANSPOSE(
    CHOOSE({1;2;3;4;5;6;7;8;9;10;11;12;13;14;15;16;17;18;19;20;21;22;23;24;25;26;27;28;29;30},
     COUNTIFS($U$2:$U$200,$G241)&gt;0,
     COUNTIFS($V$2:$V$200,$G241)&gt;0,
     COUNTIFS($W$2:$W$200,$G241)&gt;0,
     COUNTIFS($X$2:$X$200,$G241)&gt;0,
     COUNTIFS($Y$2:$Y$200,$G241)&gt;0,
     COUNTIFS($Z$2:$Z$200,$G241)&gt;0,
     COUNTIFS($AA$2:$AA$200,$G241)&gt;0,
     COUNTIFS($AB$2:$AB$200,$G241)&gt;0,
     COUNTIFS($AC$2:$AC$200,$G241)&gt;0,
     COUNTIFS($AD$2:$AD$200,$G241)&gt;0,
     COUNTIFS($AE$2:$AE$200,$G241)&gt;0,
     COUNTIFS($AF$2:$AF$200,$G241)&gt;0,
     COUNTIFS($AG$2:$AG$200,$G241)&gt;0,
     COUNTIFS($AH$2:$AH$200,$G241)&gt;0,
     COUNTIFS($AI$2:$AI$200,$G241)&gt;0,
     COUNTIFS($AJ$2:$AJ$200,$G241)&gt;0,
     COUNTIFS($AK$2:$AK$200,$G241)&gt;0,
     COUNTIFS($AL$2:$AL$200,$G241)&gt;0,
     COUNTIFS($AM$2:$AM$200,$G241)&gt;0,
     COUNTIFS($AN$2:$AN$200,$G241)&gt;0,
     COUNTIFS($AO$2:$AO$200,$G241)&gt;0,
     COUNTIFS($AP$2:$AP$200,$G241)&gt;0,
     COUNTIFS($AQ$2:$AQ$200,$G241)&gt;0,
     COUNTIFS($AR$2:$AR$200,$G241)&gt;0,
     COUNTIFS($AS$2:$AS$200,$G241)&gt;0,
     COUNTIFS($AT$2:$AT$200,$G241)&gt;0,
     COUNTIFS($AU$2:$AU$200,$G241)&gt;0,
     COUNTIFS($AV$2:$AV$200,$G241)&gt;0,
     COUNTIFS($AW$2:$AW$200,$G241)&gt;0,
     COUNTIFS($AX$2:$AX$200,$G241)&gt;0
   )),
  ),
  4
 ),
"")</f>
        <v/>
      </c>
      <c r="G241" t="str">
        <f ca="1"/>
        <v>Simic Charm</v>
      </c>
      <c r="CG241" t="str">
        <f ca="1"/>
        <v>Zack Fair</v>
      </c>
      <c r="CJ241" t="str">
        <f ca="1"/>
        <v>Simic Charm</v>
      </c>
    </row>
    <row r="242" spans="1:88" x14ac:dyDescent="0.25">
      <c r="A242" s="3" t="str">
        <f t="shared" ca="1" si="8"/>
        <v>2</v>
      </c>
      <c r="B242" s="3">
        <f t="shared" ca="1" si="9"/>
        <v>1</v>
      </c>
      <c r="C242" s="3" t="str">
        <f ca="1">IFERROR(
 INDEX($U$1:$AX$1,
  MATCH(TRUE,
   CHOOSE({1;2;3;4;5;6;7;8;9;10;11;12;13;14;15;16;17;18;19;20;21;22;23;24;25;26;27;28;29;30;31;32},
    COUNTIFS($U$2:$U$200,$G242)&gt;0,
    COUNTIFS($V$2:$V$200,$G242)&gt;0,
    COUNTIFS($W$2:$W$200,$G242)&gt;0,
    COUNTIFS($X$2:$X$200,$G242)&gt;0,
    COUNTIFS($Y$2:$Y$200,$G242)&gt;0,
    COUNTIFS($Z$2:$Z$200,$G242)&gt;0,
    COUNTIFS($AA$2:$AA$200,$G242)&gt;0,
    COUNTIFS($AB$2:$AB$200,$G242)&gt;0,
    COUNTIFS($AC$2:$AC$200,$G242)&gt;0,
    COUNTIFS($AD$2:$AD$200,$G242)&gt;0,
    COUNTIFS($AE$2:$AE$200,$G242)&gt;0,
    COUNTIFS($AF$2:$AF$200,$G242)&gt;0,
    COUNTIFS($AG$2:$AG$200,$G242)&gt;0,
    COUNTIFS($AH$2:$AH$200,$G242)&gt;0,
    COUNTIFS($AI$2:$AI$200,$G242)&gt;0,
    COUNTIFS($AJ$2:$AJ$200,$G242)&gt;0,
    COUNTIFS($AK$2:$AK$200,$G242)&gt;0,
    COUNTIFS($AL$2:$AL$200,$G242)&gt;0,
    COUNTIFS($AM$2:$AM$200,$G242)&gt;0,
    COUNTIFS($AN$2:$AN$200,$G242)&gt;0,
    COUNTIFS($AO$2:$AO$200,$G242)&gt;0,
    COUNTIFS($AP$2:$AP$200,$G242)&gt;0,
    COUNTIFS($AQ$2:$AQ$200,$G242)&gt;0,
    COUNTIFS($AR$2:$AR$200,$G242)&gt;0,
    COUNTIFS($AS$2:$AS$200,$G242)&gt;0,
    COUNTIFS($AT$2:$AT$200,$G242)&gt;0,
    COUNTIFS($AU$2:$AU$200,$G242)&gt;0,
    COUNTIFS($AV$2:$AV$200,$G242)&gt;0,
    COUNTIFS($AW$2:$AW$200,$G242)&gt;0,
    COUNTIFS($AX$2:$AX$200,$G242)&gt;0
   ),
  0)
 ),
"")</f>
        <v>Kumena</v>
      </c>
      <c r="D242" s="3" t="str" cm="1">
        <f t="array" aca="1" ref="D242" ca="1">IFERROR(
 INDEX(
  _xlfn._xlws.FILTER($U$1:$AX$1,
   TRANSPOSE(
    CHOOSE({1;2;3;4;5;6;7;8;9;10;11;12;13;14;15;16;17;18;19;20;21;22;23;24;25;26;27;28;29;30},
     COUNTIFS($U$2:$U$200,$G242)&gt;0,
     COUNTIFS($V$2:$V$200,$G242)&gt;0,
     COUNTIFS($W$2:$W$200,$G242)&gt;0,
     COUNTIFS($X$2:$X$200,$G242)&gt;0,
     COUNTIFS($Y$2:$Y$200,$G242)&gt;0,
     COUNTIFS($Z$2:$Z$200,$G242)&gt;0,
     COUNTIFS($AA$2:$AA$200,$G242)&gt;0,
     COUNTIFS($AB$2:$AB$200,$G242)&gt;0,
     COUNTIFS($AC$2:$AC$200,$G242)&gt;0,
     COUNTIFS($AD$2:$AD$200,$G242)&gt;0,
     COUNTIFS($AE$2:$AE$200,$G242)&gt;0,
     COUNTIFS($AF$2:$AF$200,$G242)&gt;0,
     COUNTIFS($AG$2:$AG$200,$G242)&gt;0,
     COUNTIFS($AH$2:$AH$200,$G242)&gt;0,
     COUNTIFS($AI$2:$AI$200,$G242)&gt;0,
     COUNTIFS($AJ$2:$AJ$200,$G242)&gt;0,
     COUNTIFS($AK$2:$AK$200,$G242)&gt;0,
     COUNTIFS($AL$2:$AL$200,$G242)&gt;0,
     COUNTIFS($AM$2:$AM$200,$G242)&gt;0,
     COUNTIFS($AN$2:$AN$200,$G242)&gt;0,
     COUNTIFS($AO$2:$AO$200,$G242)&gt;0,
     COUNTIFS($AP$2:$AP$200,$G242)&gt;0,
     COUNTIFS($AQ$2:$AQ$200,$G242)&gt;0,
     COUNTIFS($AR$2:$AR$200,$G242)&gt;0,
     COUNTIFS($AS$2:$AS$200,$G242)&gt;0,
     COUNTIFS($AT$2:$AT$200,$G242)&gt;0,
     COUNTIFS($AU$2:$AU$200,$G242)&gt;0,
     COUNTIFS($AV$2:$AV$200,$G242)&gt;0,
     COUNTIFS($AW$2:$AW$200,$G242)&gt;0,
     COUNTIFS($AX$2:$AX$200,$G242)&gt;0
   )),
  ),
  2
 ),
"")</f>
        <v/>
      </c>
      <c r="E242" s="3" t="str" cm="1">
        <f t="array" aca="1" ref="E242" ca="1">IFERROR(
 INDEX(
  _xlfn._xlws.FILTER($U$1:$AX$1,
   TRANSPOSE(
    CHOOSE({1;2;3;4;5;6;7;8;9;10;11;12;13;14;15;16;17;18;19;20;21;22;23;24;25;26;27;28;29;30},
     COUNTIFS($U$2:$U$200,$G242)&gt;0,
     COUNTIFS($V$2:$V$200,$G242)&gt;0,
     COUNTIFS($W$2:$W$200,$G242)&gt;0,
     COUNTIFS($X$2:$X$200,$G242)&gt;0,
     COUNTIFS($Y$2:$Y$200,$G242)&gt;0,
     COUNTIFS($Z$2:$Z$200,$G242)&gt;0,
     COUNTIFS($AA$2:$AA$200,$G242)&gt;0,
     COUNTIFS($AB$2:$AB$200,$G242)&gt;0,
     COUNTIFS($AC$2:$AC$200,$G242)&gt;0,
     COUNTIFS($AD$2:$AD$200,$G242)&gt;0,
     COUNTIFS($AE$2:$AE$200,$G242)&gt;0,
     COUNTIFS($AF$2:$AF$200,$G242)&gt;0,
     COUNTIFS($AG$2:$AG$200,$G242)&gt;0,
     COUNTIFS($AH$2:$AH$200,$G242)&gt;0,
     COUNTIFS($AI$2:$AI$200,$G242)&gt;0,
     COUNTIFS($AJ$2:$AJ$200,$G242)&gt;0,
     COUNTIFS($AK$2:$AK$200,$G242)&gt;0,
     COUNTIFS($AL$2:$AL$200,$G242)&gt;0,
     COUNTIFS($AM$2:$AM$200,$G242)&gt;0,
     COUNTIFS($AN$2:$AN$200,$G242)&gt;0,
     COUNTIFS($AO$2:$AO$200,$G242)&gt;0,
     COUNTIFS($AP$2:$AP$200,$G242)&gt;0,
     COUNTIFS($AQ$2:$AQ$200,$G242)&gt;0,
     COUNTIFS($AR$2:$AR$200,$G242)&gt;0,
     COUNTIFS($AS$2:$AS$200,$G242)&gt;0,
     COUNTIFS($AT$2:$AT$200,$G242)&gt;0,
     COUNTIFS($AU$2:$AU$200,$G242)&gt;0,
     COUNTIFS($AV$2:$AV$200,$G242)&gt;0,
     COUNTIFS($AW$2:$AW$200,$G242)&gt;0,
     COUNTIFS($AX$2:$AX$200,$G242)&gt;0
   )),
  ),
  3
 ),
"")</f>
        <v/>
      </c>
      <c r="F242" s="3" t="str" cm="1">
        <f t="array" aca="1" ref="F242" ca="1">IFERROR(
 INDEX(
  _xlfn._xlws.FILTER($U$1:$AX$1,
   TRANSPOSE(
    CHOOSE({1;2;3;4;5;6;7;8;9;10;11;12;13;14;15;16;17;18;19;20;21;22;23;24;25;26;27;28;29;30},
     COUNTIFS($U$2:$U$200,$G242)&gt;0,
     COUNTIFS($V$2:$V$200,$G242)&gt;0,
     COUNTIFS($W$2:$W$200,$G242)&gt;0,
     COUNTIFS($X$2:$X$200,$G242)&gt;0,
     COUNTIFS($Y$2:$Y$200,$G242)&gt;0,
     COUNTIFS($Z$2:$Z$200,$G242)&gt;0,
     COUNTIFS($AA$2:$AA$200,$G242)&gt;0,
     COUNTIFS($AB$2:$AB$200,$G242)&gt;0,
     COUNTIFS($AC$2:$AC$200,$G242)&gt;0,
     COUNTIFS($AD$2:$AD$200,$G242)&gt;0,
     COUNTIFS($AE$2:$AE$200,$G242)&gt;0,
     COUNTIFS($AF$2:$AF$200,$G242)&gt;0,
     COUNTIFS($AG$2:$AG$200,$G242)&gt;0,
     COUNTIFS($AH$2:$AH$200,$G242)&gt;0,
     COUNTIFS($AI$2:$AI$200,$G242)&gt;0,
     COUNTIFS($AJ$2:$AJ$200,$G242)&gt;0,
     COUNTIFS($AK$2:$AK$200,$G242)&gt;0,
     COUNTIFS($AL$2:$AL$200,$G242)&gt;0,
     COUNTIFS($AM$2:$AM$200,$G242)&gt;0,
     COUNTIFS($AN$2:$AN$200,$G242)&gt;0,
     COUNTIFS($AO$2:$AO$200,$G242)&gt;0,
     COUNTIFS($AP$2:$AP$200,$G242)&gt;0,
     COUNTIFS($AQ$2:$AQ$200,$G242)&gt;0,
     COUNTIFS($AR$2:$AR$200,$G242)&gt;0,
     COUNTIFS($AS$2:$AS$200,$G242)&gt;0,
     COUNTIFS($AT$2:$AT$200,$G242)&gt;0,
     COUNTIFS($AU$2:$AU$200,$G242)&gt;0,
     COUNTIFS($AV$2:$AV$200,$G242)&gt;0,
     COUNTIFS($AW$2:$AW$200,$G242)&gt;0,
     COUNTIFS($AX$2:$AX$200,$G242)&gt;0
   )),
  ),
  4
 ),
"")</f>
        <v/>
      </c>
      <c r="G242" t="str">
        <f ca="1"/>
        <v>Singer of Swift Rivers</v>
      </c>
      <c r="CG242" t="str">
        <f ca="1"/>
        <v>Zagoth Triome</v>
      </c>
      <c r="CJ242" t="str">
        <f ca="1"/>
        <v>Singer of Swift Rivers</v>
      </c>
    </row>
    <row r="243" spans="1:88" x14ac:dyDescent="0.25">
      <c r="A243" s="3" t="str">
        <f t="shared" ca="1" si="8"/>
        <v>1</v>
      </c>
      <c r="B243" s="3">
        <f t="shared" ca="1" si="9"/>
        <v>1</v>
      </c>
      <c r="C243" s="3" t="str">
        <f ca="1">IFERROR(
 INDEX($U$1:$AX$1,
  MATCH(TRUE,
   CHOOSE({1;2;3;4;5;6;7;8;9;10;11;12;13;14;15;16;17;18;19;20;21;22;23;24;25;26;27;28;29;30;31;32},
    COUNTIFS($U$2:$U$200,$G243)&gt;0,
    COUNTIFS($V$2:$V$200,$G243)&gt;0,
    COUNTIFS($W$2:$W$200,$G243)&gt;0,
    COUNTIFS($X$2:$X$200,$G243)&gt;0,
    COUNTIFS($Y$2:$Y$200,$G243)&gt;0,
    COUNTIFS($Z$2:$Z$200,$G243)&gt;0,
    COUNTIFS($AA$2:$AA$200,$G243)&gt;0,
    COUNTIFS($AB$2:$AB$200,$G243)&gt;0,
    COUNTIFS($AC$2:$AC$200,$G243)&gt;0,
    COUNTIFS($AD$2:$AD$200,$G243)&gt;0,
    COUNTIFS($AE$2:$AE$200,$G243)&gt;0,
    COUNTIFS($AF$2:$AF$200,$G243)&gt;0,
    COUNTIFS($AG$2:$AG$200,$G243)&gt;0,
    COUNTIFS($AH$2:$AH$200,$G243)&gt;0,
    COUNTIFS($AI$2:$AI$200,$G243)&gt;0,
    COUNTIFS($AJ$2:$AJ$200,$G243)&gt;0,
    COUNTIFS($AK$2:$AK$200,$G243)&gt;0,
    COUNTIFS($AL$2:$AL$200,$G243)&gt;0,
    COUNTIFS($AM$2:$AM$200,$G243)&gt;0,
    COUNTIFS($AN$2:$AN$200,$G243)&gt;0,
    COUNTIFS($AO$2:$AO$200,$G243)&gt;0,
    COUNTIFS($AP$2:$AP$200,$G243)&gt;0,
    COUNTIFS($AQ$2:$AQ$200,$G243)&gt;0,
    COUNTIFS($AR$2:$AR$200,$G243)&gt;0,
    COUNTIFS($AS$2:$AS$200,$G243)&gt;0,
    COUNTIFS($AT$2:$AT$200,$G243)&gt;0,
    COUNTIFS($AU$2:$AU$200,$G243)&gt;0,
    COUNTIFS($AV$2:$AV$200,$G243)&gt;0,
    COUNTIFS($AW$2:$AW$200,$G243)&gt;0,
    COUNTIFS($AX$2:$AX$200,$G243)&gt;0
   ),
  0)
 ),
"")</f>
        <v>Modular</v>
      </c>
      <c r="D243" s="3" t="str" cm="1">
        <f t="array" aca="1" ref="D243" ca="1">IFERROR(
 INDEX(
  _xlfn._xlws.FILTER($U$1:$AX$1,
   TRANSPOSE(
    CHOOSE({1;2;3;4;5;6;7;8;9;10;11;12;13;14;15;16;17;18;19;20;21;22;23;24;25;26;27;28;29;30},
     COUNTIFS($U$2:$U$200,$G243)&gt;0,
     COUNTIFS($V$2:$V$200,$G243)&gt;0,
     COUNTIFS($W$2:$W$200,$G243)&gt;0,
     COUNTIFS($X$2:$X$200,$G243)&gt;0,
     COUNTIFS($Y$2:$Y$200,$G243)&gt;0,
     COUNTIFS($Z$2:$Z$200,$G243)&gt;0,
     COUNTIFS($AA$2:$AA$200,$G243)&gt;0,
     COUNTIFS($AB$2:$AB$200,$G243)&gt;0,
     COUNTIFS($AC$2:$AC$200,$G243)&gt;0,
     COUNTIFS($AD$2:$AD$200,$G243)&gt;0,
     COUNTIFS($AE$2:$AE$200,$G243)&gt;0,
     COUNTIFS($AF$2:$AF$200,$G243)&gt;0,
     COUNTIFS($AG$2:$AG$200,$G243)&gt;0,
     COUNTIFS($AH$2:$AH$200,$G243)&gt;0,
     COUNTIFS($AI$2:$AI$200,$G243)&gt;0,
     COUNTIFS($AJ$2:$AJ$200,$G243)&gt;0,
     COUNTIFS($AK$2:$AK$200,$G243)&gt;0,
     COUNTIFS($AL$2:$AL$200,$G243)&gt;0,
     COUNTIFS($AM$2:$AM$200,$G243)&gt;0,
     COUNTIFS($AN$2:$AN$200,$G243)&gt;0,
     COUNTIFS($AO$2:$AO$200,$G243)&gt;0,
     COUNTIFS($AP$2:$AP$200,$G243)&gt;0,
     COUNTIFS($AQ$2:$AQ$200,$G243)&gt;0,
     COUNTIFS($AR$2:$AR$200,$G243)&gt;0,
     COUNTIFS($AS$2:$AS$200,$G243)&gt;0,
     COUNTIFS($AT$2:$AT$200,$G243)&gt;0,
     COUNTIFS($AU$2:$AU$200,$G243)&gt;0,
     COUNTIFS($AV$2:$AV$200,$G243)&gt;0,
     COUNTIFS($AW$2:$AW$200,$G243)&gt;0,
     COUNTIFS($AX$2:$AX$200,$G243)&gt;0
   )),
  ),
  2
 ),
"")</f>
        <v/>
      </c>
      <c r="E243" s="3" t="str" cm="1">
        <f t="array" aca="1" ref="E243" ca="1">IFERROR(
 INDEX(
  _xlfn._xlws.FILTER($U$1:$AX$1,
   TRANSPOSE(
    CHOOSE({1;2;3;4;5;6;7;8;9;10;11;12;13;14;15;16;17;18;19;20;21;22;23;24;25;26;27;28;29;30},
     COUNTIFS($U$2:$U$200,$G243)&gt;0,
     COUNTIFS($V$2:$V$200,$G243)&gt;0,
     COUNTIFS($W$2:$W$200,$G243)&gt;0,
     COUNTIFS($X$2:$X$200,$G243)&gt;0,
     COUNTIFS($Y$2:$Y$200,$G243)&gt;0,
     COUNTIFS($Z$2:$Z$200,$G243)&gt;0,
     COUNTIFS($AA$2:$AA$200,$G243)&gt;0,
     COUNTIFS($AB$2:$AB$200,$G243)&gt;0,
     COUNTIFS($AC$2:$AC$200,$G243)&gt;0,
     COUNTIFS($AD$2:$AD$200,$G243)&gt;0,
     COUNTIFS($AE$2:$AE$200,$G243)&gt;0,
     COUNTIFS($AF$2:$AF$200,$G243)&gt;0,
     COUNTIFS($AG$2:$AG$200,$G243)&gt;0,
     COUNTIFS($AH$2:$AH$200,$G243)&gt;0,
     COUNTIFS($AI$2:$AI$200,$G243)&gt;0,
     COUNTIFS($AJ$2:$AJ$200,$G243)&gt;0,
     COUNTIFS($AK$2:$AK$200,$G243)&gt;0,
     COUNTIFS($AL$2:$AL$200,$G243)&gt;0,
     COUNTIFS($AM$2:$AM$200,$G243)&gt;0,
     COUNTIFS($AN$2:$AN$200,$G243)&gt;0,
     COUNTIFS($AO$2:$AO$200,$G243)&gt;0,
     COUNTIFS($AP$2:$AP$200,$G243)&gt;0,
     COUNTIFS($AQ$2:$AQ$200,$G243)&gt;0,
     COUNTIFS($AR$2:$AR$200,$G243)&gt;0,
     COUNTIFS($AS$2:$AS$200,$G243)&gt;0,
     COUNTIFS($AT$2:$AT$200,$G243)&gt;0,
     COUNTIFS($AU$2:$AU$200,$G243)&gt;0,
     COUNTIFS($AV$2:$AV$200,$G243)&gt;0,
     COUNTIFS($AW$2:$AW$200,$G243)&gt;0,
     COUNTIFS($AX$2:$AX$200,$G243)&gt;0
   )),
  ),
  3
 ),
"")</f>
        <v/>
      </c>
      <c r="F243" s="3" t="str" cm="1">
        <f t="array" aca="1" ref="F243" ca="1">IFERROR(
 INDEX(
  _xlfn._xlws.FILTER($U$1:$AX$1,
   TRANSPOSE(
    CHOOSE({1;2;3;4;5;6;7;8;9;10;11;12;13;14;15;16;17;18;19;20;21;22;23;24;25;26;27;28;29;30},
     COUNTIFS($U$2:$U$200,$G243)&gt;0,
     COUNTIFS($V$2:$V$200,$G243)&gt;0,
     COUNTIFS($W$2:$W$200,$G243)&gt;0,
     COUNTIFS($X$2:$X$200,$G243)&gt;0,
     COUNTIFS($Y$2:$Y$200,$G243)&gt;0,
     COUNTIFS($Z$2:$Z$200,$G243)&gt;0,
     COUNTIFS($AA$2:$AA$200,$G243)&gt;0,
     COUNTIFS($AB$2:$AB$200,$G243)&gt;0,
     COUNTIFS($AC$2:$AC$200,$G243)&gt;0,
     COUNTIFS($AD$2:$AD$200,$G243)&gt;0,
     COUNTIFS($AE$2:$AE$200,$G243)&gt;0,
     COUNTIFS($AF$2:$AF$200,$G243)&gt;0,
     COUNTIFS($AG$2:$AG$200,$G243)&gt;0,
     COUNTIFS($AH$2:$AH$200,$G243)&gt;0,
     COUNTIFS($AI$2:$AI$200,$G243)&gt;0,
     COUNTIFS($AJ$2:$AJ$200,$G243)&gt;0,
     COUNTIFS($AK$2:$AK$200,$G243)&gt;0,
     COUNTIFS($AL$2:$AL$200,$G243)&gt;0,
     COUNTIFS($AM$2:$AM$200,$G243)&gt;0,
     COUNTIFS($AN$2:$AN$200,$G243)&gt;0,
     COUNTIFS($AO$2:$AO$200,$G243)&gt;0,
     COUNTIFS($AP$2:$AP$200,$G243)&gt;0,
     COUNTIFS($AQ$2:$AQ$200,$G243)&gt;0,
     COUNTIFS($AR$2:$AR$200,$G243)&gt;0,
     COUNTIFS($AS$2:$AS$200,$G243)&gt;0,
     COUNTIFS($AT$2:$AT$200,$G243)&gt;0,
     COUNTIFS($AU$2:$AU$200,$G243)&gt;0,
     COUNTIFS($AV$2:$AV$200,$G243)&gt;0,
     COUNTIFS($AW$2:$AW$200,$G243)&gt;0,
     COUNTIFS($AX$2:$AX$200,$G243)&gt;0
   )),
  ),
  4
 ),
"")</f>
        <v/>
      </c>
      <c r="G243" t="str">
        <f ca="1"/>
        <v>Slagwoods Bridge</v>
      </c>
      <c r="CG243" t="str">
        <f ca="1"/>
        <v>Zellix, Sanity Flayer</v>
      </c>
      <c r="CJ243" t="str">
        <f ca="1"/>
        <v>Slagwoods Bridge</v>
      </c>
    </row>
    <row r="244" spans="1:88" x14ac:dyDescent="0.25">
      <c r="A244" s="3" t="str">
        <f t="shared" ca="1" si="8"/>
        <v>2</v>
      </c>
      <c r="B244" s="3">
        <f t="shared" ca="1" si="9"/>
        <v>1</v>
      </c>
      <c r="C244" s="3" t="str">
        <f ca="1">IFERROR(
 INDEX($U$1:$AX$1,
  MATCH(TRUE,
   CHOOSE({1;2;3;4;5;6;7;8;9;10;11;12;13;14;15;16;17;18;19;20;21;22;23;24;25;26;27;28;29;30;31;32},
    COUNTIFS($U$2:$U$200,$G244)&gt;0,
    COUNTIFS($V$2:$V$200,$G244)&gt;0,
    COUNTIFS($W$2:$W$200,$G244)&gt;0,
    COUNTIFS($X$2:$X$200,$G244)&gt;0,
    COUNTIFS($Y$2:$Y$200,$G244)&gt;0,
    COUNTIFS($Z$2:$Z$200,$G244)&gt;0,
    COUNTIFS($AA$2:$AA$200,$G244)&gt;0,
    COUNTIFS($AB$2:$AB$200,$G244)&gt;0,
    COUNTIFS($AC$2:$AC$200,$G244)&gt;0,
    COUNTIFS($AD$2:$AD$200,$G244)&gt;0,
    COUNTIFS($AE$2:$AE$200,$G244)&gt;0,
    COUNTIFS($AF$2:$AF$200,$G244)&gt;0,
    COUNTIFS($AG$2:$AG$200,$G244)&gt;0,
    COUNTIFS($AH$2:$AH$200,$G244)&gt;0,
    COUNTIFS($AI$2:$AI$200,$G244)&gt;0,
    COUNTIFS($AJ$2:$AJ$200,$G244)&gt;0,
    COUNTIFS($AK$2:$AK$200,$G244)&gt;0,
    COUNTIFS($AL$2:$AL$200,$G244)&gt;0,
    COUNTIFS($AM$2:$AM$200,$G244)&gt;0,
    COUNTIFS($AN$2:$AN$200,$G244)&gt;0,
    COUNTIFS($AO$2:$AO$200,$G244)&gt;0,
    COUNTIFS($AP$2:$AP$200,$G244)&gt;0,
    COUNTIFS($AQ$2:$AQ$200,$G244)&gt;0,
    COUNTIFS($AR$2:$AR$200,$G244)&gt;0,
    COUNTIFS($AS$2:$AS$200,$G244)&gt;0,
    COUNTIFS($AT$2:$AT$200,$G244)&gt;0,
    COUNTIFS($AU$2:$AU$200,$G244)&gt;0,
    COUNTIFS($AV$2:$AV$200,$G244)&gt;0,
    COUNTIFS($AW$2:$AW$200,$G244)&gt;0,
    COUNTIFS($AX$2:$AX$200,$G244)&gt;0
   ),
  0)
 ),
"")</f>
        <v>Narset</v>
      </c>
      <c r="D244" s="3" t="str" cm="1">
        <f t="array" aca="1" ref="D244" ca="1">IFERROR(
 INDEX(
  _xlfn._xlws.FILTER($U$1:$AX$1,
   TRANSPOSE(
    CHOOSE({1;2;3;4;5;6;7;8;9;10;11;12;13;14;15;16;17;18;19;20;21;22;23;24;25;26;27;28;29;30},
     COUNTIFS($U$2:$U$200,$G244)&gt;0,
     COUNTIFS($V$2:$V$200,$G244)&gt;0,
     COUNTIFS($W$2:$W$200,$G244)&gt;0,
     COUNTIFS($X$2:$X$200,$G244)&gt;0,
     COUNTIFS($Y$2:$Y$200,$G244)&gt;0,
     COUNTIFS($Z$2:$Z$200,$G244)&gt;0,
     COUNTIFS($AA$2:$AA$200,$G244)&gt;0,
     COUNTIFS($AB$2:$AB$200,$G244)&gt;0,
     COUNTIFS($AC$2:$AC$200,$G244)&gt;0,
     COUNTIFS($AD$2:$AD$200,$G244)&gt;0,
     COUNTIFS($AE$2:$AE$200,$G244)&gt;0,
     COUNTIFS($AF$2:$AF$200,$G244)&gt;0,
     COUNTIFS($AG$2:$AG$200,$G244)&gt;0,
     COUNTIFS($AH$2:$AH$200,$G244)&gt;0,
     COUNTIFS($AI$2:$AI$200,$G244)&gt;0,
     COUNTIFS($AJ$2:$AJ$200,$G244)&gt;0,
     COUNTIFS($AK$2:$AK$200,$G244)&gt;0,
     COUNTIFS($AL$2:$AL$200,$G244)&gt;0,
     COUNTIFS($AM$2:$AM$200,$G244)&gt;0,
     COUNTIFS($AN$2:$AN$200,$G244)&gt;0,
     COUNTIFS($AO$2:$AO$200,$G244)&gt;0,
     COUNTIFS($AP$2:$AP$200,$G244)&gt;0,
     COUNTIFS($AQ$2:$AQ$200,$G244)&gt;0,
     COUNTIFS($AR$2:$AR$200,$G244)&gt;0,
     COUNTIFS($AS$2:$AS$200,$G244)&gt;0,
     COUNTIFS($AT$2:$AT$200,$G244)&gt;0,
     COUNTIFS($AU$2:$AU$200,$G244)&gt;0,
     COUNTIFS($AV$2:$AV$200,$G244)&gt;0,
     COUNTIFS($AW$2:$AW$200,$G244)&gt;0,
     COUNTIFS($AX$2:$AX$200,$G244)&gt;0
   )),
  ),
  2
 ),
"")</f>
        <v/>
      </c>
      <c r="E244" s="3" t="str" cm="1">
        <f t="array" aca="1" ref="E244" ca="1">IFERROR(
 INDEX(
  _xlfn._xlws.FILTER($U$1:$AX$1,
   TRANSPOSE(
    CHOOSE({1;2;3;4;5;6;7;8;9;10;11;12;13;14;15;16;17;18;19;20;21;22;23;24;25;26;27;28;29;30},
     COUNTIFS($U$2:$U$200,$G244)&gt;0,
     COUNTIFS($V$2:$V$200,$G244)&gt;0,
     COUNTIFS($W$2:$W$200,$G244)&gt;0,
     COUNTIFS($X$2:$X$200,$G244)&gt;0,
     COUNTIFS($Y$2:$Y$200,$G244)&gt;0,
     COUNTIFS($Z$2:$Z$200,$G244)&gt;0,
     COUNTIFS($AA$2:$AA$200,$G244)&gt;0,
     COUNTIFS($AB$2:$AB$200,$G244)&gt;0,
     COUNTIFS($AC$2:$AC$200,$G244)&gt;0,
     COUNTIFS($AD$2:$AD$200,$G244)&gt;0,
     COUNTIFS($AE$2:$AE$200,$G244)&gt;0,
     COUNTIFS($AF$2:$AF$200,$G244)&gt;0,
     COUNTIFS($AG$2:$AG$200,$G244)&gt;0,
     COUNTIFS($AH$2:$AH$200,$G244)&gt;0,
     COUNTIFS($AI$2:$AI$200,$G244)&gt;0,
     COUNTIFS($AJ$2:$AJ$200,$G244)&gt;0,
     COUNTIFS($AK$2:$AK$200,$G244)&gt;0,
     COUNTIFS($AL$2:$AL$200,$G244)&gt;0,
     COUNTIFS($AM$2:$AM$200,$G244)&gt;0,
     COUNTIFS($AN$2:$AN$200,$G244)&gt;0,
     COUNTIFS($AO$2:$AO$200,$G244)&gt;0,
     COUNTIFS($AP$2:$AP$200,$G244)&gt;0,
     COUNTIFS($AQ$2:$AQ$200,$G244)&gt;0,
     COUNTIFS($AR$2:$AR$200,$G244)&gt;0,
     COUNTIFS($AS$2:$AS$200,$G244)&gt;0,
     COUNTIFS($AT$2:$AT$200,$G244)&gt;0,
     COUNTIFS($AU$2:$AU$200,$G244)&gt;0,
     COUNTIFS($AV$2:$AV$200,$G244)&gt;0,
     COUNTIFS($AW$2:$AW$200,$G244)&gt;0,
     COUNTIFS($AX$2:$AX$200,$G244)&gt;0
   )),
  ),
  3
 ),
"")</f>
        <v/>
      </c>
      <c r="F244" s="3" t="str" cm="1">
        <f t="array" aca="1" ref="F244" ca="1">IFERROR(
 INDEX(
  _xlfn._xlws.FILTER($U$1:$AX$1,
   TRANSPOSE(
    CHOOSE({1;2;3;4;5;6;7;8;9;10;11;12;13;14;15;16;17;18;19;20;21;22;23;24;25;26;27;28;29;30},
     COUNTIFS($U$2:$U$200,$G244)&gt;0,
     COUNTIFS($V$2:$V$200,$G244)&gt;0,
     COUNTIFS($W$2:$W$200,$G244)&gt;0,
     COUNTIFS($X$2:$X$200,$G244)&gt;0,
     COUNTIFS($Y$2:$Y$200,$G244)&gt;0,
     COUNTIFS($Z$2:$Z$200,$G244)&gt;0,
     COUNTIFS($AA$2:$AA$200,$G244)&gt;0,
     COUNTIFS($AB$2:$AB$200,$G244)&gt;0,
     COUNTIFS($AC$2:$AC$200,$G244)&gt;0,
     COUNTIFS($AD$2:$AD$200,$G244)&gt;0,
     COUNTIFS($AE$2:$AE$200,$G244)&gt;0,
     COUNTIFS($AF$2:$AF$200,$G244)&gt;0,
     COUNTIFS($AG$2:$AG$200,$G244)&gt;0,
     COUNTIFS($AH$2:$AH$200,$G244)&gt;0,
     COUNTIFS($AI$2:$AI$200,$G244)&gt;0,
     COUNTIFS($AJ$2:$AJ$200,$G244)&gt;0,
     COUNTIFS($AK$2:$AK$200,$G244)&gt;0,
     COUNTIFS($AL$2:$AL$200,$G244)&gt;0,
     COUNTIFS($AM$2:$AM$200,$G244)&gt;0,
     COUNTIFS($AN$2:$AN$200,$G244)&gt;0,
     COUNTIFS($AO$2:$AO$200,$G244)&gt;0,
     COUNTIFS($AP$2:$AP$200,$G244)&gt;0,
     COUNTIFS($AQ$2:$AQ$200,$G244)&gt;0,
     COUNTIFS($AR$2:$AR$200,$G244)&gt;0,
     COUNTIFS($AS$2:$AS$200,$G244)&gt;0,
     COUNTIFS($AT$2:$AT$200,$G244)&gt;0,
     COUNTIFS($AU$2:$AU$200,$G244)&gt;0,
     COUNTIFS($AV$2:$AV$200,$G244)&gt;0,
     COUNTIFS($AW$2:$AW$200,$G244)&gt;0,
     COUNTIFS($AX$2:$AX$200,$G244)&gt;0
   )),
  ),
  4
 ),
"")</f>
        <v/>
      </c>
      <c r="G244" t="str">
        <f ca="1"/>
        <v>Slash the Ranks</v>
      </c>
      <c r="CJ244" t="str">
        <f ca="1"/>
        <v>Slash the Ranks</v>
      </c>
    </row>
    <row r="245" spans="1:88" x14ac:dyDescent="0.25">
      <c r="A245" s="3" t="str">
        <f t="shared" ca="1" si="8"/>
        <v>2</v>
      </c>
      <c r="B245" s="3">
        <f t="shared" ca="1" si="9"/>
        <v>1</v>
      </c>
      <c r="C245" s="3" t="str">
        <f ca="1">IFERROR(
 INDEX($U$1:$AX$1,
  MATCH(TRUE,
   CHOOSE({1;2;3;4;5;6;7;8;9;10;11;12;13;14;15;16;17;18;19;20;21;22;23;24;25;26;27;28;29;30;31;32},
    COUNTIFS($U$2:$U$200,$G245)&gt;0,
    COUNTIFS($V$2:$V$200,$G245)&gt;0,
    COUNTIFS($W$2:$W$200,$G245)&gt;0,
    COUNTIFS($X$2:$X$200,$G245)&gt;0,
    COUNTIFS($Y$2:$Y$200,$G245)&gt;0,
    COUNTIFS($Z$2:$Z$200,$G245)&gt;0,
    COUNTIFS($AA$2:$AA$200,$G245)&gt;0,
    COUNTIFS($AB$2:$AB$200,$G245)&gt;0,
    COUNTIFS($AC$2:$AC$200,$G245)&gt;0,
    COUNTIFS($AD$2:$AD$200,$G245)&gt;0,
    COUNTIFS($AE$2:$AE$200,$G245)&gt;0,
    COUNTIFS($AF$2:$AF$200,$G245)&gt;0,
    COUNTIFS($AG$2:$AG$200,$G245)&gt;0,
    COUNTIFS($AH$2:$AH$200,$G245)&gt;0,
    COUNTIFS($AI$2:$AI$200,$G245)&gt;0,
    COUNTIFS($AJ$2:$AJ$200,$G245)&gt;0,
    COUNTIFS($AK$2:$AK$200,$G245)&gt;0,
    COUNTIFS($AL$2:$AL$200,$G245)&gt;0,
    COUNTIFS($AM$2:$AM$200,$G245)&gt;0,
    COUNTIFS($AN$2:$AN$200,$G245)&gt;0,
    COUNTIFS($AO$2:$AO$200,$G245)&gt;0,
    COUNTIFS($AP$2:$AP$200,$G245)&gt;0,
    COUNTIFS($AQ$2:$AQ$200,$G245)&gt;0,
    COUNTIFS($AR$2:$AR$200,$G245)&gt;0,
    COUNTIFS($AS$2:$AS$200,$G245)&gt;0,
    COUNTIFS($AT$2:$AT$200,$G245)&gt;0,
    COUNTIFS($AU$2:$AU$200,$G245)&gt;0,
    COUNTIFS($AV$2:$AV$200,$G245)&gt;0,
    COUNTIFS($AW$2:$AW$200,$G245)&gt;0,
    COUNTIFS($AX$2:$AX$200,$G245)&gt;0
   ),
  0)
 ),
"")</f>
        <v>Narset</v>
      </c>
      <c r="D245" s="3" t="str" cm="1">
        <f t="array" aca="1" ref="D245" ca="1">IFERROR(
 INDEX(
  _xlfn._xlws.FILTER($U$1:$AX$1,
   TRANSPOSE(
    CHOOSE({1;2;3;4;5;6;7;8;9;10;11;12;13;14;15;16;17;18;19;20;21;22;23;24;25;26;27;28;29;30},
     COUNTIFS($U$2:$U$200,$G245)&gt;0,
     COUNTIFS($V$2:$V$200,$G245)&gt;0,
     COUNTIFS($W$2:$W$200,$G245)&gt;0,
     COUNTIFS($X$2:$X$200,$G245)&gt;0,
     COUNTIFS($Y$2:$Y$200,$G245)&gt;0,
     COUNTIFS($Z$2:$Z$200,$G245)&gt;0,
     COUNTIFS($AA$2:$AA$200,$G245)&gt;0,
     COUNTIFS($AB$2:$AB$200,$G245)&gt;0,
     COUNTIFS($AC$2:$AC$200,$G245)&gt;0,
     COUNTIFS($AD$2:$AD$200,$G245)&gt;0,
     COUNTIFS($AE$2:$AE$200,$G245)&gt;0,
     COUNTIFS($AF$2:$AF$200,$G245)&gt;0,
     COUNTIFS($AG$2:$AG$200,$G245)&gt;0,
     COUNTIFS($AH$2:$AH$200,$G245)&gt;0,
     COUNTIFS($AI$2:$AI$200,$G245)&gt;0,
     COUNTIFS($AJ$2:$AJ$200,$G245)&gt;0,
     COUNTIFS($AK$2:$AK$200,$G245)&gt;0,
     COUNTIFS($AL$2:$AL$200,$G245)&gt;0,
     COUNTIFS($AM$2:$AM$200,$G245)&gt;0,
     COUNTIFS($AN$2:$AN$200,$G245)&gt;0,
     COUNTIFS($AO$2:$AO$200,$G245)&gt;0,
     COUNTIFS($AP$2:$AP$200,$G245)&gt;0,
     COUNTIFS($AQ$2:$AQ$200,$G245)&gt;0,
     COUNTIFS($AR$2:$AR$200,$G245)&gt;0,
     COUNTIFS($AS$2:$AS$200,$G245)&gt;0,
     COUNTIFS($AT$2:$AT$200,$G245)&gt;0,
     COUNTIFS($AU$2:$AU$200,$G245)&gt;0,
     COUNTIFS($AV$2:$AV$200,$G245)&gt;0,
     COUNTIFS($AW$2:$AW$200,$G245)&gt;0,
     COUNTIFS($AX$2:$AX$200,$G245)&gt;0
   )),
  ),
  2
 ),
"")</f>
        <v/>
      </c>
      <c r="E245" s="3" t="str" cm="1">
        <f t="array" aca="1" ref="E245" ca="1">IFERROR(
 INDEX(
  _xlfn._xlws.FILTER($U$1:$AX$1,
   TRANSPOSE(
    CHOOSE({1;2;3;4;5;6;7;8;9;10;11;12;13;14;15;16;17;18;19;20;21;22;23;24;25;26;27;28;29;30},
     COUNTIFS($U$2:$U$200,$G245)&gt;0,
     COUNTIFS($V$2:$V$200,$G245)&gt;0,
     COUNTIFS($W$2:$W$200,$G245)&gt;0,
     COUNTIFS($X$2:$X$200,$G245)&gt;0,
     COUNTIFS($Y$2:$Y$200,$G245)&gt;0,
     COUNTIFS($Z$2:$Z$200,$G245)&gt;0,
     COUNTIFS($AA$2:$AA$200,$G245)&gt;0,
     COUNTIFS($AB$2:$AB$200,$G245)&gt;0,
     COUNTIFS($AC$2:$AC$200,$G245)&gt;0,
     COUNTIFS($AD$2:$AD$200,$G245)&gt;0,
     COUNTIFS($AE$2:$AE$200,$G245)&gt;0,
     COUNTIFS($AF$2:$AF$200,$G245)&gt;0,
     COUNTIFS($AG$2:$AG$200,$G245)&gt;0,
     COUNTIFS($AH$2:$AH$200,$G245)&gt;0,
     COUNTIFS($AI$2:$AI$200,$G245)&gt;0,
     COUNTIFS($AJ$2:$AJ$200,$G245)&gt;0,
     COUNTIFS($AK$2:$AK$200,$G245)&gt;0,
     COUNTIFS($AL$2:$AL$200,$G245)&gt;0,
     COUNTIFS($AM$2:$AM$200,$G245)&gt;0,
     COUNTIFS($AN$2:$AN$200,$G245)&gt;0,
     COUNTIFS($AO$2:$AO$200,$G245)&gt;0,
     COUNTIFS($AP$2:$AP$200,$G245)&gt;0,
     COUNTIFS($AQ$2:$AQ$200,$G245)&gt;0,
     COUNTIFS($AR$2:$AR$200,$G245)&gt;0,
     COUNTIFS($AS$2:$AS$200,$G245)&gt;0,
     COUNTIFS($AT$2:$AT$200,$G245)&gt;0,
     COUNTIFS($AU$2:$AU$200,$G245)&gt;0,
     COUNTIFS($AV$2:$AV$200,$G245)&gt;0,
     COUNTIFS($AW$2:$AW$200,$G245)&gt;0,
     COUNTIFS($AX$2:$AX$200,$G245)&gt;0
   )),
  ),
  3
 ),
"")</f>
        <v/>
      </c>
      <c r="F245" s="3" t="str" cm="1">
        <f t="array" aca="1" ref="F245" ca="1">IFERROR(
 INDEX(
  _xlfn._xlws.FILTER($U$1:$AX$1,
   TRANSPOSE(
    CHOOSE({1;2;3;4;5;6;7;8;9;10;11;12;13;14;15;16;17;18;19;20;21;22;23;24;25;26;27;28;29;30},
     COUNTIFS($U$2:$U$200,$G245)&gt;0,
     COUNTIFS($V$2:$V$200,$G245)&gt;0,
     COUNTIFS($W$2:$W$200,$G245)&gt;0,
     COUNTIFS($X$2:$X$200,$G245)&gt;0,
     COUNTIFS($Y$2:$Y$200,$G245)&gt;0,
     COUNTIFS($Z$2:$Z$200,$G245)&gt;0,
     COUNTIFS($AA$2:$AA$200,$G245)&gt;0,
     COUNTIFS($AB$2:$AB$200,$G245)&gt;0,
     COUNTIFS($AC$2:$AC$200,$G245)&gt;0,
     COUNTIFS($AD$2:$AD$200,$G245)&gt;0,
     COUNTIFS($AE$2:$AE$200,$G245)&gt;0,
     COUNTIFS($AF$2:$AF$200,$G245)&gt;0,
     COUNTIFS($AG$2:$AG$200,$G245)&gt;0,
     COUNTIFS($AH$2:$AH$200,$G245)&gt;0,
     COUNTIFS($AI$2:$AI$200,$G245)&gt;0,
     COUNTIFS($AJ$2:$AJ$200,$G245)&gt;0,
     COUNTIFS($AK$2:$AK$200,$G245)&gt;0,
     COUNTIFS($AL$2:$AL$200,$G245)&gt;0,
     COUNTIFS($AM$2:$AM$200,$G245)&gt;0,
     COUNTIFS($AN$2:$AN$200,$G245)&gt;0,
     COUNTIFS($AO$2:$AO$200,$G245)&gt;0,
     COUNTIFS($AP$2:$AP$200,$G245)&gt;0,
     COUNTIFS($AQ$2:$AQ$200,$G245)&gt;0,
     COUNTIFS($AR$2:$AR$200,$G245)&gt;0,
     COUNTIFS($AS$2:$AS$200,$G245)&gt;0,
     COUNTIFS($AT$2:$AT$200,$G245)&gt;0,
     COUNTIFS($AU$2:$AU$200,$G245)&gt;0,
     COUNTIFS($AV$2:$AV$200,$G245)&gt;0,
     COUNTIFS($AW$2:$AW$200,$G245)&gt;0,
     COUNTIFS($AX$2:$AX$200,$G245)&gt;0
   )),
  ),
  4
 ),
"")</f>
        <v/>
      </c>
      <c r="G245" t="str">
        <f ca="1"/>
        <v>Slayers' Stronghold</v>
      </c>
      <c r="CJ245" t="str">
        <f ca="1"/>
        <v>Slayers' Stronghold</v>
      </c>
    </row>
    <row r="246" spans="1:88" x14ac:dyDescent="0.25">
      <c r="A246" s="3" t="str">
        <f t="shared" ca="1" si="8"/>
        <v>4</v>
      </c>
      <c r="B246" s="3">
        <f t="shared" ca="1" si="9"/>
        <v>1</v>
      </c>
      <c r="C246" s="3" t="str">
        <f ca="1">IFERROR(
 INDEX($U$1:$AX$1,
  MATCH(TRUE,
   CHOOSE({1;2;3;4;5;6;7;8;9;10;11;12;13;14;15;16;17;18;19;20;21;22;23;24;25;26;27;28;29;30;31;32},
    COUNTIFS($U$2:$U$200,$G246)&gt;0,
    COUNTIFS($V$2:$V$200,$G246)&gt;0,
    COUNTIFS($W$2:$W$200,$G246)&gt;0,
    COUNTIFS($X$2:$X$200,$G246)&gt;0,
    COUNTIFS($Y$2:$Y$200,$G246)&gt;0,
    COUNTIFS($Z$2:$Z$200,$G246)&gt;0,
    COUNTIFS($AA$2:$AA$200,$G246)&gt;0,
    COUNTIFS($AB$2:$AB$200,$G246)&gt;0,
    COUNTIFS($AC$2:$AC$200,$G246)&gt;0,
    COUNTIFS($AD$2:$AD$200,$G246)&gt;0,
    COUNTIFS($AE$2:$AE$200,$G246)&gt;0,
    COUNTIFS($AF$2:$AF$200,$G246)&gt;0,
    COUNTIFS($AG$2:$AG$200,$G246)&gt;0,
    COUNTIFS($AH$2:$AH$200,$G246)&gt;0,
    COUNTIFS($AI$2:$AI$200,$G246)&gt;0,
    COUNTIFS($AJ$2:$AJ$200,$G246)&gt;0,
    COUNTIFS($AK$2:$AK$200,$G246)&gt;0,
    COUNTIFS($AL$2:$AL$200,$G246)&gt;0,
    COUNTIFS($AM$2:$AM$200,$G246)&gt;0,
    COUNTIFS($AN$2:$AN$200,$G246)&gt;0,
    COUNTIFS($AO$2:$AO$200,$G246)&gt;0,
    COUNTIFS($AP$2:$AP$200,$G246)&gt;0,
    COUNTIFS($AQ$2:$AQ$200,$G246)&gt;0,
    COUNTIFS($AR$2:$AR$200,$G246)&gt;0,
    COUNTIFS($AS$2:$AS$200,$G246)&gt;0,
    COUNTIFS($AT$2:$AT$200,$G246)&gt;0,
    COUNTIFS($AU$2:$AU$200,$G246)&gt;0,
    COUNTIFS($AV$2:$AV$200,$G246)&gt;0,
    COUNTIFS($AW$2:$AW$200,$G246)&gt;0,
    COUNTIFS($AX$2:$AX$200,$G246)&gt;0
   ),
  0)
 ),
"")</f>
        <v>Fractius</v>
      </c>
      <c r="D246" s="3" t="str" cm="1">
        <f t="array" aca="1" ref="D246" ca="1">IFERROR(
 INDEX(
  _xlfn._xlws.FILTER($U$1:$AX$1,
   TRANSPOSE(
    CHOOSE({1;2;3;4;5;6;7;8;9;10;11;12;13;14;15;16;17;18;19;20;21;22;23;24;25;26;27;28;29;30},
     COUNTIFS($U$2:$U$200,$G246)&gt;0,
     COUNTIFS($V$2:$V$200,$G246)&gt;0,
     COUNTIFS($W$2:$W$200,$G246)&gt;0,
     COUNTIFS($X$2:$X$200,$G246)&gt;0,
     COUNTIFS($Y$2:$Y$200,$G246)&gt;0,
     COUNTIFS($Z$2:$Z$200,$G246)&gt;0,
     COUNTIFS($AA$2:$AA$200,$G246)&gt;0,
     COUNTIFS($AB$2:$AB$200,$G246)&gt;0,
     COUNTIFS($AC$2:$AC$200,$G246)&gt;0,
     COUNTIFS($AD$2:$AD$200,$G246)&gt;0,
     COUNTIFS($AE$2:$AE$200,$G246)&gt;0,
     COUNTIFS($AF$2:$AF$200,$G246)&gt;0,
     COUNTIFS($AG$2:$AG$200,$G246)&gt;0,
     COUNTIFS($AH$2:$AH$200,$G246)&gt;0,
     COUNTIFS($AI$2:$AI$200,$G246)&gt;0,
     COUNTIFS($AJ$2:$AJ$200,$G246)&gt;0,
     COUNTIFS($AK$2:$AK$200,$G246)&gt;0,
     COUNTIFS($AL$2:$AL$200,$G246)&gt;0,
     COUNTIFS($AM$2:$AM$200,$G246)&gt;0,
     COUNTIFS($AN$2:$AN$200,$G246)&gt;0,
     COUNTIFS($AO$2:$AO$200,$G246)&gt;0,
     COUNTIFS($AP$2:$AP$200,$G246)&gt;0,
     COUNTIFS($AQ$2:$AQ$200,$G246)&gt;0,
     COUNTIFS($AR$2:$AR$200,$G246)&gt;0,
     COUNTIFS($AS$2:$AS$200,$G246)&gt;0,
     COUNTIFS($AT$2:$AT$200,$G246)&gt;0,
     COUNTIFS($AU$2:$AU$200,$G246)&gt;0,
     COUNTIFS($AV$2:$AV$200,$G246)&gt;0,
     COUNTIFS($AW$2:$AW$200,$G246)&gt;0,
     COUNTIFS($AX$2:$AX$200,$G246)&gt;0
   )),
  ),
  2
 ),
"")</f>
        <v/>
      </c>
      <c r="E246" s="3" t="str" cm="1">
        <f t="array" aca="1" ref="E246" ca="1">IFERROR(
 INDEX(
  _xlfn._xlws.FILTER($U$1:$AX$1,
   TRANSPOSE(
    CHOOSE({1;2;3;4;5;6;7;8;9;10;11;12;13;14;15;16;17;18;19;20;21;22;23;24;25;26;27;28;29;30},
     COUNTIFS($U$2:$U$200,$G246)&gt;0,
     COUNTIFS($V$2:$V$200,$G246)&gt;0,
     COUNTIFS($W$2:$W$200,$G246)&gt;0,
     COUNTIFS($X$2:$X$200,$G246)&gt;0,
     COUNTIFS($Y$2:$Y$200,$G246)&gt;0,
     COUNTIFS($Z$2:$Z$200,$G246)&gt;0,
     COUNTIFS($AA$2:$AA$200,$G246)&gt;0,
     COUNTIFS($AB$2:$AB$200,$G246)&gt;0,
     COUNTIFS($AC$2:$AC$200,$G246)&gt;0,
     COUNTIFS($AD$2:$AD$200,$G246)&gt;0,
     COUNTIFS($AE$2:$AE$200,$G246)&gt;0,
     COUNTIFS($AF$2:$AF$200,$G246)&gt;0,
     COUNTIFS($AG$2:$AG$200,$G246)&gt;0,
     COUNTIFS($AH$2:$AH$200,$G246)&gt;0,
     COUNTIFS($AI$2:$AI$200,$G246)&gt;0,
     COUNTIFS($AJ$2:$AJ$200,$G246)&gt;0,
     COUNTIFS($AK$2:$AK$200,$G246)&gt;0,
     COUNTIFS($AL$2:$AL$200,$G246)&gt;0,
     COUNTIFS($AM$2:$AM$200,$G246)&gt;0,
     COUNTIFS($AN$2:$AN$200,$G246)&gt;0,
     COUNTIFS($AO$2:$AO$200,$G246)&gt;0,
     COUNTIFS($AP$2:$AP$200,$G246)&gt;0,
     COUNTIFS($AQ$2:$AQ$200,$G246)&gt;0,
     COUNTIFS($AR$2:$AR$200,$G246)&gt;0,
     COUNTIFS($AS$2:$AS$200,$G246)&gt;0,
     COUNTIFS($AT$2:$AT$200,$G246)&gt;0,
     COUNTIFS($AU$2:$AU$200,$G246)&gt;0,
     COUNTIFS($AV$2:$AV$200,$G246)&gt;0,
     COUNTIFS($AW$2:$AW$200,$G246)&gt;0,
     COUNTIFS($AX$2:$AX$200,$G246)&gt;0
   )),
  ),
  3
 ),
"")</f>
        <v/>
      </c>
      <c r="F246" s="3" t="str" cm="1">
        <f t="array" aca="1" ref="F246" ca="1">IFERROR(
 INDEX(
  _xlfn._xlws.FILTER($U$1:$AX$1,
   TRANSPOSE(
    CHOOSE({1;2;3;4;5;6;7;8;9;10;11;12;13;14;15;16;17;18;19;20;21;22;23;24;25;26;27;28;29;30},
     COUNTIFS($U$2:$U$200,$G246)&gt;0,
     COUNTIFS($V$2:$V$200,$G246)&gt;0,
     COUNTIFS($W$2:$W$200,$G246)&gt;0,
     COUNTIFS($X$2:$X$200,$G246)&gt;0,
     COUNTIFS($Y$2:$Y$200,$G246)&gt;0,
     COUNTIFS($Z$2:$Z$200,$G246)&gt;0,
     COUNTIFS($AA$2:$AA$200,$G246)&gt;0,
     COUNTIFS($AB$2:$AB$200,$G246)&gt;0,
     COUNTIFS($AC$2:$AC$200,$G246)&gt;0,
     COUNTIFS($AD$2:$AD$200,$G246)&gt;0,
     COUNTIFS($AE$2:$AE$200,$G246)&gt;0,
     COUNTIFS($AF$2:$AF$200,$G246)&gt;0,
     COUNTIFS($AG$2:$AG$200,$G246)&gt;0,
     COUNTIFS($AH$2:$AH$200,$G246)&gt;0,
     COUNTIFS($AI$2:$AI$200,$G246)&gt;0,
     COUNTIFS($AJ$2:$AJ$200,$G246)&gt;0,
     COUNTIFS($AK$2:$AK$200,$G246)&gt;0,
     COUNTIFS($AL$2:$AL$200,$G246)&gt;0,
     COUNTIFS($AM$2:$AM$200,$G246)&gt;0,
     COUNTIFS($AN$2:$AN$200,$G246)&gt;0,
     COUNTIFS($AO$2:$AO$200,$G246)&gt;0,
     COUNTIFS($AP$2:$AP$200,$G246)&gt;0,
     COUNTIFS($AQ$2:$AQ$200,$G246)&gt;0,
     COUNTIFS($AR$2:$AR$200,$G246)&gt;0,
     COUNTIFS($AS$2:$AS$200,$G246)&gt;0,
     COUNTIFS($AT$2:$AT$200,$G246)&gt;0,
     COUNTIFS($AU$2:$AU$200,$G246)&gt;0,
     COUNTIFS($AV$2:$AV$200,$G246)&gt;0,
     COUNTIFS($AW$2:$AW$200,$G246)&gt;0,
     COUNTIFS($AX$2:$AX$200,$G246)&gt;0
   )),
  ),
  4
 ),
"")</f>
        <v/>
      </c>
      <c r="G246" t="str">
        <f ca="1"/>
        <v>Sliver Gravemother</v>
      </c>
      <c r="CJ246" t="str">
        <f ca="1"/>
        <v>Sliver Gravemother</v>
      </c>
    </row>
    <row r="247" spans="1:88" x14ac:dyDescent="0.25">
      <c r="A247" s="3" t="str">
        <f t="shared" ca="1" si="8"/>
        <v>2</v>
      </c>
      <c r="B247" s="3">
        <f t="shared" ca="1" si="9"/>
        <v>1</v>
      </c>
      <c r="C247" s="3" t="str">
        <f ca="1">IFERROR(
 INDEX($U$1:$AX$1,
  MATCH(TRUE,
   CHOOSE({1;2;3;4;5;6;7;8;9;10;11;12;13;14;15;16;17;18;19;20;21;22;23;24;25;26;27;28;29;30;31;32},
    COUNTIFS($U$2:$U$200,$G247)&gt;0,
    COUNTIFS($V$2:$V$200,$G247)&gt;0,
    COUNTIFS($W$2:$W$200,$G247)&gt;0,
    COUNTIFS($X$2:$X$200,$G247)&gt;0,
    COUNTIFS($Y$2:$Y$200,$G247)&gt;0,
    COUNTIFS($Z$2:$Z$200,$G247)&gt;0,
    COUNTIFS($AA$2:$AA$200,$G247)&gt;0,
    COUNTIFS($AB$2:$AB$200,$G247)&gt;0,
    COUNTIFS($AC$2:$AC$200,$G247)&gt;0,
    COUNTIFS($AD$2:$AD$200,$G247)&gt;0,
    COUNTIFS($AE$2:$AE$200,$G247)&gt;0,
    COUNTIFS($AF$2:$AF$200,$G247)&gt;0,
    COUNTIFS($AG$2:$AG$200,$G247)&gt;0,
    COUNTIFS($AH$2:$AH$200,$G247)&gt;0,
    COUNTIFS($AI$2:$AI$200,$G247)&gt;0,
    COUNTIFS($AJ$2:$AJ$200,$G247)&gt;0,
    COUNTIFS($AK$2:$AK$200,$G247)&gt;0,
    COUNTIFS($AL$2:$AL$200,$G247)&gt;0,
    COUNTIFS($AM$2:$AM$200,$G247)&gt;0,
    COUNTIFS($AN$2:$AN$200,$G247)&gt;0,
    COUNTIFS($AO$2:$AO$200,$G247)&gt;0,
    COUNTIFS($AP$2:$AP$200,$G247)&gt;0,
    COUNTIFS($AQ$2:$AQ$200,$G247)&gt;0,
    COUNTIFS($AR$2:$AR$200,$G247)&gt;0,
    COUNTIFS($AS$2:$AS$200,$G247)&gt;0,
    COUNTIFS($AT$2:$AT$200,$G247)&gt;0,
    COUNTIFS($AU$2:$AU$200,$G247)&gt;0,
    COUNTIFS($AV$2:$AV$200,$G247)&gt;0,
    COUNTIFS($AW$2:$AW$200,$G247)&gt;0,
    COUNTIFS($AX$2:$AX$200,$G247)&gt;0
   ),
  0)
 ),
"")</f>
        <v>Narset</v>
      </c>
      <c r="D247" s="3" t="str" cm="1">
        <f t="array" aca="1" ref="D247" ca="1">IFERROR(
 INDEX(
  _xlfn._xlws.FILTER($U$1:$AX$1,
   TRANSPOSE(
    CHOOSE({1;2;3;4;5;6;7;8;9;10;11;12;13;14;15;16;17;18;19;20;21;22;23;24;25;26;27;28;29;30},
     COUNTIFS($U$2:$U$200,$G247)&gt;0,
     COUNTIFS($V$2:$V$200,$G247)&gt;0,
     COUNTIFS($W$2:$W$200,$G247)&gt;0,
     COUNTIFS($X$2:$X$200,$G247)&gt;0,
     COUNTIFS($Y$2:$Y$200,$G247)&gt;0,
     COUNTIFS($Z$2:$Z$200,$G247)&gt;0,
     COUNTIFS($AA$2:$AA$200,$G247)&gt;0,
     COUNTIFS($AB$2:$AB$200,$G247)&gt;0,
     COUNTIFS($AC$2:$AC$200,$G247)&gt;0,
     COUNTIFS($AD$2:$AD$200,$G247)&gt;0,
     COUNTIFS($AE$2:$AE$200,$G247)&gt;0,
     COUNTIFS($AF$2:$AF$200,$G247)&gt;0,
     COUNTIFS($AG$2:$AG$200,$G247)&gt;0,
     COUNTIFS($AH$2:$AH$200,$G247)&gt;0,
     COUNTIFS($AI$2:$AI$200,$G247)&gt;0,
     COUNTIFS($AJ$2:$AJ$200,$G247)&gt;0,
     COUNTIFS($AK$2:$AK$200,$G247)&gt;0,
     COUNTIFS($AL$2:$AL$200,$G247)&gt;0,
     COUNTIFS($AM$2:$AM$200,$G247)&gt;0,
     COUNTIFS($AN$2:$AN$200,$G247)&gt;0,
     COUNTIFS($AO$2:$AO$200,$G247)&gt;0,
     COUNTIFS($AP$2:$AP$200,$G247)&gt;0,
     COUNTIFS($AQ$2:$AQ$200,$G247)&gt;0,
     COUNTIFS($AR$2:$AR$200,$G247)&gt;0,
     COUNTIFS($AS$2:$AS$200,$G247)&gt;0,
     COUNTIFS($AT$2:$AT$200,$G247)&gt;0,
     COUNTIFS($AU$2:$AU$200,$G247)&gt;0,
     COUNTIFS($AV$2:$AV$200,$G247)&gt;0,
     COUNTIFS($AW$2:$AW$200,$G247)&gt;0,
     COUNTIFS($AX$2:$AX$200,$G247)&gt;0
   )),
  ),
  2
 ),
"")</f>
        <v/>
      </c>
      <c r="E247" s="3" t="str" cm="1">
        <f t="array" aca="1" ref="E247" ca="1">IFERROR(
 INDEX(
  _xlfn._xlws.FILTER($U$1:$AX$1,
   TRANSPOSE(
    CHOOSE({1;2;3;4;5;6;7;8;9;10;11;12;13;14;15;16;17;18;19;20;21;22;23;24;25;26;27;28;29;30},
     COUNTIFS($U$2:$U$200,$G247)&gt;0,
     COUNTIFS($V$2:$V$200,$G247)&gt;0,
     COUNTIFS($W$2:$W$200,$G247)&gt;0,
     COUNTIFS($X$2:$X$200,$G247)&gt;0,
     COUNTIFS($Y$2:$Y$200,$G247)&gt;0,
     COUNTIFS($Z$2:$Z$200,$G247)&gt;0,
     COUNTIFS($AA$2:$AA$200,$G247)&gt;0,
     COUNTIFS($AB$2:$AB$200,$G247)&gt;0,
     COUNTIFS($AC$2:$AC$200,$G247)&gt;0,
     COUNTIFS($AD$2:$AD$200,$G247)&gt;0,
     COUNTIFS($AE$2:$AE$200,$G247)&gt;0,
     COUNTIFS($AF$2:$AF$200,$G247)&gt;0,
     COUNTIFS($AG$2:$AG$200,$G247)&gt;0,
     COUNTIFS($AH$2:$AH$200,$G247)&gt;0,
     COUNTIFS($AI$2:$AI$200,$G247)&gt;0,
     COUNTIFS($AJ$2:$AJ$200,$G247)&gt;0,
     COUNTIFS($AK$2:$AK$200,$G247)&gt;0,
     COUNTIFS($AL$2:$AL$200,$G247)&gt;0,
     COUNTIFS($AM$2:$AM$200,$G247)&gt;0,
     COUNTIFS($AN$2:$AN$200,$G247)&gt;0,
     COUNTIFS($AO$2:$AO$200,$G247)&gt;0,
     COUNTIFS($AP$2:$AP$200,$G247)&gt;0,
     COUNTIFS($AQ$2:$AQ$200,$G247)&gt;0,
     COUNTIFS($AR$2:$AR$200,$G247)&gt;0,
     COUNTIFS($AS$2:$AS$200,$G247)&gt;0,
     COUNTIFS($AT$2:$AT$200,$G247)&gt;0,
     COUNTIFS($AU$2:$AU$200,$G247)&gt;0,
     COUNTIFS($AV$2:$AV$200,$G247)&gt;0,
     COUNTIFS($AW$2:$AW$200,$G247)&gt;0,
     COUNTIFS($AX$2:$AX$200,$G247)&gt;0
   )),
  ),
  3
 ),
"")</f>
        <v/>
      </c>
      <c r="F247" s="3" t="str" cm="1">
        <f t="array" aca="1" ref="F247" ca="1">IFERROR(
 INDEX(
  _xlfn._xlws.FILTER($U$1:$AX$1,
   TRANSPOSE(
    CHOOSE({1;2;3;4;5;6;7;8;9;10;11;12;13;14;15;16;17;18;19;20;21;22;23;24;25;26;27;28;29;30},
     COUNTIFS($U$2:$U$200,$G247)&gt;0,
     COUNTIFS($V$2:$V$200,$G247)&gt;0,
     COUNTIFS($W$2:$W$200,$G247)&gt;0,
     COUNTIFS($X$2:$X$200,$G247)&gt;0,
     COUNTIFS($Y$2:$Y$200,$G247)&gt;0,
     COUNTIFS($Z$2:$Z$200,$G247)&gt;0,
     COUNTIFS($AA$2:$AA$200,$G247)&gt;0,
     COUNTIFS($AB$2:$AB$200,$G247)&gt;0,
     COUNTIFS($AC$2:$AC$200,$G247)&gt;0,
     COUNTIFS($AD$2:$AD$200,$G247)&gt;0,
     COUNTIFS($AE$2:$AE$200,$G247)&gt;0,
     COUNTIFS($AF$2:$AF$200,$G247)&gt;0,
     COUNTIFS($AG$2:$AG$200,$G247)&gt;0,
     COUNTIFS($AH$2:$AH$200,$G247)&gt;0,
     COUNTIFS($AI$2:$AI$200,$G247)&gt;0,
     COUNTIFS($AJ$2:$AJ$200,$G247)&gt;0,
     COUNTIFS($AK$2:$AK$200,$G247)&gt;0,
     COUNTIFS($AL$2:$AL$200,$G247)&gt;0,
     COUNTIFS($AM$2:$AM$200,$G247)&gt;0,
     COUNTIFS($AN$2:$AN$200,$G247)&gt;0,
     COUNTIFS($AO$2:$AO$200,$G247)&gt;0,
     COUNTIFS($AP$2:$AP$200,$G247)&gt;0,
     COUNTIFS($AQ$2:$AQ$200,$G247)&gt;0,
     COUNTIFS($AR$2:$AR$200,$G247)&gt;0,
     COUNTIFS($AS$2:$AS$200,$G247)&gt;0,
     COUNTIFS($AT$2:$AT$200,$G247)&gt;0,
     COUNTIFS($AU$2:$AU$200,$G247)&gt;0,
     COUNTIFS($AV$2:$AV$200,$G247)&gt;0,
     COUNTIFS($AW$2:$AW$200,$G247)&gt;0,
     COUNTIFS($AX$2:$AX$200,$G247)&gt;0
   )),
  ),
  4
 ),
"")</f>
        <v/>
      </c>
      <c r="G247" t="str">
        <f ca="1"/>
        <v>Smuggler's Share</v>
      </c>
      <c r="CJ247" t="str">
        <f ca="1"/>
        <v>Smuggler's Share</v>
      </c>
    </row>
    <row r="248" spans="1:88" x14ac:dyDescent="0.25">
      <c r="A248" s="3" t="str">
        <f t="shared" ca="1" si="8"/>
        <v>4</v>
      </c>
      <c r="B248" s="3">
        <f t="shared" ca="1" si="9"/>
        <v>1</v>
      </c>
      <c r="C248" s="3" t="str">
        <f ca="1">IFERROR(
 INDEX($U$1:$AX$1,
  MATCH(TRUE,
   CHOOSE({1;2;3;4;5;6;7;8;9;10;11;12;13;14;15;16;17;18;19;20;21;22;23;24;25;26;27;28;29;30;31;32},
    COUNTIFS($U$2:$U$200,$G248)&gt;0,
    COUNTIFS($V$2:$V$200,$G248)&gt;0,
    COUNTIFS($W$2:$W$200,$G248)&gt;0,
    COUNTIFS($X$2:$X$200,$G248)&gt;0,
    COUNTIFS($Y$2:$Y$200,$G248)&gt;0,
    COUNTIFS($Z$2:$Z$200,$G248)&gt;0,
    COUNTIFS($AA$2:$AA$200,$G248)&gt;0,
    COUNTIFS($AB$2:$AB$200,$G248)&gt;0,
    COUNTIFS($AC$2:$AC$200,$G248)&gt;0,
    COUNTIFS($AD$2:$AD$200,$G248)&gt;0,
    COUNTIFS($AE$2:$AE$200,$G248)&gt;0,
    COUNTIFS($AF$2:$AF$200,$G248)&gt;0,
    COUNTIFS($AG$2:$AG$200,$G248)&gt;0,
    COUNTIFS($AH$2:$AH$200,$G248)&gt;0,
    COUNTIFS($AI$2:$AI$200,$G248)&gt;0,
    COUNTIFS($AJ$2:$AJ$200,$G248)&gt;0,
    COUNTIFS($AK$2:$AK$200,$G248)&gt;0,
    COUNTIFS($AL$2:$AL$200,$G248)&gt;0,
    COUNTIFS($AM$2:$AM$200,$G248)&gt;0,
    COUNTIFS($AN$2:$AN$200,$G248)&gt;0,
    COUNTIFS($AO$2:$AO$200,$G248)&gt;0,
    COUNTIFS($AP$2:$AP$200,$G248)&gt;0,
    COUNTIFS($AQ$2:$AQ$200,$G248)&gt;0,
    COUNTIFS($AR$2:$AR$200,$G248)&gt;0,
    COUNTIFS($AS$2:$AS$200,$G248)&gt;0,
    COUNTIFS($AT$2:$AT$200,$G248)&gt;0,
    COUNTIFS($AU$2:$AU$200,$G248)&gt;0,
    COUNTIFS($AV$2:$AV$200,$G248)&gt;0,
    COUNTIFS($AW$2:$AW$200,$G248)&gt;0,
    COUNTIFS($AX$2:$AX$200,$G248)&gt;0
   ),
  0)
 ),
"")</f>
        <v>Rielle</v>
      </c>
      <c r="D248" s="3" t="str" cm="1">
        <f t="array" aca="1" ref="D248" ca="1">IFERROR(
 INDEX(
  _xlfn._xlws.FILTER($U$1:$AX$1,
   TRANSPOSE(
    CHOOSE({1;2;3;4;5;6;7;8;9;10;11;12;13;14;15;16;17;18;19;20;21;22;23;24;25;26;27;28;29;30},
     COUNTIFS($U$2:$U$200,$G248)&gt;0,
     COUNTIFS($V$2:$V$200,$G248)&gt;0,
     COUNTIFS($W$2:$W$200,$G248)&gt;0,
     COUNTIFS($X$2:$X$200,$G248)&gt;0,
     COUNTIFS($Y$2:$Y$200,$G248)&gt;0,
     COUNTIFS($Z$2:$Z$200,$G248)&gt;0,
     COUNTIFS($AA$2:$AA$200,$G248)&gt;0,
     COUNTIFS($AB$2:$AB$200,$G248)&gt;0,
     COUNTIFS($AC$2:$AC$200,$G248)&gt;0,
     COUNTIFS($AD$2:$AD$200,$G248)&gt;0,
     COUNTIFS($AE$2:$AE$200,$G248)&gt;0,
     COUNTIFS($AF$2:$AF$200,$G248)&gt;0,
     COUNTIFS($AG$2:$AG$200,$G248)&gt;0,
     COUNTIFS($AH$2:$AH$200,$G248)&gt;0,
     COUNTIFS($AI$2:$AI$200,$G248)&gt;0,
     COUNTIFS($AJ$2:$AJ$200,$G248)&gt;0,
     COUNTIFS($AK$2:$AK$200,$G248)&gt;0,
     COUNTIFS($AL$2:$AL$200,$G248)&gt;0,
     COUNTIFS($AM$2:$AM$200,$G248)&gt;0,
     COUNTIFS($AN$2:$AN$200,$G248)&gt;0,
     COUNTIFS($AO$2:$AO$200,$G248)&gt;0,
     COUNTIFS($AP$2:$AP$200,$G248)&gt;0,
     COUNTIFS($AQ$2:$AQ$200,$G248)&gt;0,
     COUNTIFS($AR$2:$AR$200,$G248)&gt;0,
     COUNTIFS($AS$2:$AS$200,$G248)&gt;0,
     COUNTIFS($AT$2:$AT$200,$G248)&gt;0,
     COUNTIFS($AU$2:$AU$200,$G248)&gt;0,
     COUNTIFS($AV$2:$AV$200,$G248)&gt;0,
     COUNTIFS($AW$2:$AW$200,$G248)&gt;0,
     COUNTIFS($AX$2:$AX$200,$G248)&gt;0
   )),
  ),
  2
 ),
"")</f>
        <v/>
      </c>
      <c r="E248" s="3" t="str" cm="1">
        <f t="array" aca="1" ref="E248" ca="1">IFERROR(
 INDEX(
  _xlfn._xlws.FILTER($U$1:$AX$1,
   TRANSPOSE(
    CHOOSE({1;2;3;4;5;6;7;8;9;10;11;12;13;14;15;16;17;18;19;20;21;22;23;24;25;26;27;28;29;30},
     COUNTIFS($U$2:$U$200,$G248)&gt;0,
     COUNTIFS($V$2:$V$200,$G248)&gt;0,
     COUNTIFS($W$2:$W$200,$G248)&gt;0,
     COUNTIFS($X$2:$X$200,$G248)&gt;0,
     COUNTIFS($Y$2:$Y$200,$G248)&gt;0,
     COUNTIFS($Z$2:$Z$200,$G248)&gt;0,
     COUNTIFS($AA$2:$AA$200,$G248)&gt;0,
     COUNTIFS($AB$2:$AB$200,$G248)&gt;0,
     COUNTIFS($AC$2:$AC$200,$G248)&gt;0,
     COUNTIFS($AD$2:$AD$200,$G248)&gt;0,
     COUNTIFS($AE$2:$AE$200,$G248)&gt;0,
     COUNTIFS($AF$2:$AF$200,$G248)&gt;0,
     COUNTIFS($AG$2:$AG$200,$G248)&gt;0,
     COUNTIFS($AH$2:$AH$200,$G248)&gt;0,
     COUNTIFS($AI$2:$AI$200,$G248)&gt;0,
     COUNTIFS($AJ$2:$AJ$200,$G248)&gt;0,
     COUNTIFS($AK$2:$AK$200,$G248)&gt;0,
     COUNTIFS($AL$2:$AL$200,$G248)&gt;0,
     COUNTIFS($AM$2:$AM$200,$G248)&gt;0,
     COUNTIFS($AN$2:$AN$200,$G248)&gt;0,
     COUNTIFS($AO$2:$AO$200,$G248)&gt;0,
     COUNTIFS($AP$2:$AP$200,$G248)&gt;0,
     COUNTIFS($AQ$2:$AQ$200,$G248)&gt;0,
     COUNTIFS($AR$2:$AR$200,$G248)&gt;0,
     COUNTIFS($AS$2:$AS$200,$G248)&gt;0,
     COUNTIFS($AT$2:$AT$200,$G248)&gt;0,
     COUNTIFS($AU$2:$AU$200,$G248)&gt;0,
     COUNTIFS($AV$2:$AV$200,$G248)&gt;0,
     COUNTIFS($AW$2:$AW$200,$G248)&gt;0,
     COUNTIFS($AX$2:$AX$200,$G248)&gt;0
   )),
  ),
  3
 ),
"")</f>
        <v/>
      </c>
      <c r="F248" s="3" t="str" cm="1">
        <f t="array" aca="1" ref="F248" ca="1">IFERROR(
 INDEX(
  _xlfn._xlws.FILTER($U$1:$AX$1,
   TRANSPOSE(
    CHOOSE({1;2;3;4;5;6;7;8;9;10;11;12;13;14;15;16;17;18;19;20;21;22;23;24;25;26;27;28;29;30},
     COUNTIFS($U$2:$U$200,$G248)&gt;0,
     COUNTIFS($V$2:$V$200,$G248)&gt;0,
     COUNTIFS($W$2:$W$200,$G248)&gt;0,
     COUNTIFS($X$2:$X$200,$G248)&gt;0,
     COUNTIFS($Y$2:$Y$200,$G248)&gt;0,
     COUNTIFS($Z$2:$Z$200,$G248)&gt;0,
     COUNTIFS($AA$2:$AA$200,$G248)&gt;0,
     COUNTIFS($AB$2:$AB$200,$G248)&gt;0,
     COUNTIFS($AC$2:$AC$200,$G248)&gt;0,
     COUNTIFS($AD$2:$AD$200,$G248)&gt;0,
     COUNTIFS($AE$2:$AE$200,$G248)&gt;0,
     COUNTIFS($AF$2:$AF$200,$G248)&gt;0,
     COUNTIFS($AG$2:$AG$200,$G248)&gt;0,
     COUNTIFS($AH$2:$AH$200,$G248)&gt;0,
     COUNTIFS($AI$2:$AI$200,$G248)&gt;0,
     COUNTIFS($AJ$2:$AJ$200,$G248)&gt;0,
     COUNTIFS($AK$2:$AK$200,$G248)&gt;0,
     COUNTIFS($AL$2:$AL$200,$G248)&gt;0,
     COUNTIFS($AM$2:$AM$200,$G248)&gt;0,
     COUNTIFS($AN$2:$AN$200,$G248)&gt;0,
     COUNTIFS($AO$2:$AO$200,$G248)&gt;0,
     COUNTIFS($AP$2:$AP$200,$G248)&gt;0,
     COUNTIFS($AQ$2:$AQ$200,$G248)&gt;0,
     COUNTIFS($AR$2:$AR$200,$G248)&gt;0,
     COUNTIFS($AS$2:$AS$200,$G248)&gt;0,
     COUNTIFS($AT$2:$AT$200,$G248)&gt;0,
     COUNTIFS($AU$2:$AU$200,$G248)&gt;0,
     COUNTIFS($AV$2:$AV$200,$G248)&gt;0,
     COUNTIFS($AW$2:$AW$200,$G248)&gt;0,
     COUNTIFS($AX$2:$AX$200,$G248)&gt;0
   )),
  ),
  4
 ),
"")</f>
        <v/>
      </c>
      <c r="G248" t="str">
        <f ca="1"/>
        <v>Sokenzan, Crisol da Afronta</v>
      </c>
      <c r="CJ248" t="str">
        <f ca="1"/>
        <v>Sokenzan, Crisol da Afronta</v>
      </c>
    </row>
    <row r="249" spans="1:88" x14ac:dyDescent="0.25">
      <c r="A249" s="3" t="str">
        <f t="shared" ca="1" si="8"/>
        <v>2</v>
      </c>
      <c r="B249" s="3">
        <f t="shared" ca="1" si="9"/>
        <v>1</v>
      </c>
      <c r="C249" s="3" t="str">
        <f ca="1">IFERROR(
 INDEX($U$1:$AX$1,
  MATCH(TRUE,
   CHOOSE({1;2;3;4;5;6;7;8;9;10;11;12;13;14;15;16;17;18;19;20;21;22;23;24;25;26;27;28;29;30;31;32},
    COUNTIFS($U$2:$U$200,$G249)&gt;0,
    COUNTIFS($V$2:$V$200,$G249)&gt;0,
    COUNTIFS($W$2:$W$200,$G249)&gt;0,
    COUNTIFS($X$2:$X$200,$G249)&gt;0,
    COUNTIFS($Y$2:$Y$200,$G249)&gt;0,
    COUNTIFS($Z$2:$Z$200,$G249)&gt;0,
    COUNTIFS($AA$2:$AA$200,$G249)&gt;0,
    COUNTIFS($AB$2:$AB$200,$G249)&gt;0,
    COUNTIFS($AC$2:$AC$200,$G249)&gt;0,
    COUNTIFS($AD$2:$AD$200,$G249)&gt;0,
    COUNTIFS($AE$2:$AE$200,$G249)&gt;0,
    COUNTIFS($AF$2:$AF$200,$G249)&gt;0,
    COUNTIFS($AG$2:$AG$200,$G249)&gt;0,
    COUNTIFS($AH$2:$AH$200,$G249)&gt;0,
    COUNTIFS($AI$2:$AI$200,$G249)&gt;0,
    COUNTIFS($AJ$2:$AJ$200,$G249)&gt;0,
    COUNTIFS($AK$2:$AK$200,$G249)&gt;0,
    COUNTIFS($AL$2:$AL$200,$G249)&gt;0,
    COUNTIFS($AM$2:$AM$200,$G249)&gt;0,
    COUNTIFS($AN$2:$AN$200,$G249)&gt;0,
    COUNTIFS($AO$2:$AO$200,$G249)&gt;0,
    COUNTIFS($AP$2:$AP$200,$G249)&gt;0,
    COUNTIFS($AQ$2:$AQ$200,$G249)&gt;0,
    COUNTIFS($AR$2:$AR$200,$G249)&gt;0,
    COUNTIFS($AS$2:$AS$200,$G249)&gt;0,
    COUNTIFS($AT$2:$AT$200,$G249)&gt;0,
    COUNTIFS($AU$2:$AU$200,$G249)&gt;0,
    COUNTIFS($AV$2:$AV$200,$G249)&gt;0,
    COUNTIFS($AW$2:$AW$200,$G249)&gt;0,
    COUNTIFS($AX$2:$AX$200,$G249)&gt;0
   ),
  0)
 ),
"")</f>
        <v>Narset</v>
      </c>
      <c r="D249" s="3" t="str" cm="1">
        <f t="array" aca="1" ref="D249" ca="1">IFERROR(
 INDEX(
  _xlfn._xlws.FILTER($U$1:$AX$1,
   TRANSPOSE(
    CHOOSE({1;2;3;4;5;6;7;8;9;10;11;12;13;14;15;16;17;18;19;20;21;22;23;24;25;26;27;28;29;30},
     COUNTIFS($U$2:$U$200,$G249)&gt;0,
     COUNTIFS($V$2:$V$200,$G249)&gt;0,
     COUNTIFS($W$2:$W$200,$G249)&gt;0,
     COUNTIFS($X$2:$X$200,$G249)&gt;0,
     COUNTIFS($Y$2:$Y$200,$G249)&gt;0,
     COUNTIFS($Z$2:$Z$200,$G249)&gt;0,
     COUNTIFS($AA$2:$AA$200,$G249)&gt;0,
     COUNTIFS($AB$2:$AB$200,$G249)&gt;0,
     COUNTIFS($AC$2:$AC$200,$G249)&gt;0,
     COUNTIFS($AD$2:$AD$200,$G249)&gt;0,
     COUNTIFS($AE$2:$AE$200,$G249)&gt;0,
     COUNTIFS($AF$2:$AF$200,$G249)&gt;0,
     COUNTIFS($AG$2:$AG$200,$G249)&gt;0,
     COUNTIFS($AH$2:$AH$200,$G249)&gt;0,
     COUNTIFS($AI$2:$AI$200,$G249)&gt;0,
     COUNTIFS($AJ$2:$AJ$200,$G249)&gt;0,
     COUNTIFS($AK$2:$AK$200,$G249)&gt;0,
     COUNTIFS($AL$2:$AL$200,$G249)&gt;0,
     COUNTIFS($AM$2:$AM$200,$G249)&gt;0,
     COUNTIFS($AN$2:$AN$200,$G249)&gt;0,
     COUNTIFS($AO$2:$AO$200,$G249)&gt;0,
     COUNTIFS($AP$2:$AP$200,$G249)&gt;0,
     COUNTIFS($AQ$2:$AQ$200,$G249)&gt;0,
     COUNTIFS($AR$2:$AR$200,$G249)&gt;0,
     COUNTIFS($AS$2:$AS$200,$G249)&gt;0,
     COUNTIFS($AT$2:$AT$200,$G249)&gt;0,
     COUNTIFS($AU$2:$AU$200,$G249)&gt;0,
     COUNTIFS($AV$2:$AV$200,$G249)&gt;0,
     COUNTIFS($AW$2:$AW$200,$G249)&gt;0,
     COUNTIFS($AX$2:$AX$200,$G249)&gt;0
   )),
  ),
  2
 ),
"")</f>
        <v/>
      </c>
      <c r="E249" s="3" t="str" cm="1">
        <f t="array" aca="1" ref="E249" ca="1">IFERROR(
 INDEX(
  _xlfn._xlws.FILTER($U$1:$AX$1,
   TRANSPOSE(
    CHOOSE({1;2;3;4;5;6;7;8;9;10;11;12;13;14;15;16;17;18;19;20;21;22;23;24;25;26;27;28;29;30},
     COUNTIFS($U$2:$U$200,$G249)&gt;0,
     COUNTIFS($V$2:$V$200,$G249)&gt;0,
     COUNTIFS($W$2:$W$200,$G249)&gt;0,
     COUNTIFS($X$2:$X$200,$G249)&gt;0,
     COUNTIFS($Y$2:$Y$200,$G249)&gt;0,
     COUNTIFS($Z$2:$Z$200,$G249)&gt;0,
     COUNTIFS($AA$2:$AA$200,$G249)&gt;0,
     COUNTIFS($AB$2:$AB$200,$G249)&gt;0,
     COUNTIFS($AC$2:$AC$200,$G249)&gt;0,
     COUNTIFS($AD$2:$AD$200,$G249)&gt;0,
     COUNTIFS($AE$2:$AE$200,$G249)&gt;0,
     COUNTIFS($AF$2:$AF$200,$G249)&gt;0,
     COUNTIFS($AG$2:$AG$200,$G249)&gt;0,
     COUNTIFS($AH$2:$AH$200,$G249)&gt;0,
     COUNTIFS($AI$2:$AI$200,$G249)&gt;0,
     COUNTIFS($AJ$2:$AJ$200,$G249)&gt;0,
     COUNTIFS($AK$2:$AK$200,$G249)&gt;0,
     COUNTIFS($AL$2:$AL$200,$G249)&gt;0,
     COUNTIFS($AM$2:$AM$200,$G249)&gt;0,
     COUNTIFS($AN$2:$AN$200,$G249)&gt;0,
     COUNTIFS($AO$2:$AO$200,$G249)&gt;0,
     COUNTIFS($AP$2:$AP$200,$G249)&gt;0,
     COUNTIFS($AQ$2:$AQ$200,$G249)&gt;0,
     COUNTIFS($AR$2:$AR$200,$G249)&gt;0,
     COUNTIFS($AS$2:$AS$200,$G249)&gt;0,
     COUNTIFS($AT$2:$AT$200,$G249)&gt;0,
     COUNTIFS($AU$2:$AU$200,$G249)&gt;0,
     COUNTIFS($AV$2:$AV$200,$G249)&gt;0,
     COUNTIFS($AW$2:$AW$200,$G249)&gt;0,
     COUNTIFS($AX$2:$AX$200,$G249)&gt;0
   )),
  ),
  3
 ),
"")</f>
        <v/>
      </c>
      <c r="F249" s="3" t="str" cm="1">
        <f t="array" aca="1" ref="F249" ca="1">IFERROR(
 INDEX(
  _xlfn._xlws.FILTER($U$1:$AX$1,
   TRANSPOSE(
    CHOOSE({1;2;3;4;5;6;7;8;9;10;11;12;13;14;15;16;17;18;19;20;21;22;23;24;25;26;27;28;29;30},
     COUNTIFS($U$2:$U$200,$G249)&gt;0,
     COUNTIFS($V$2:$V$200,$G249)&gt;0,
     COUNTIFS($W$2:$W$200,$G249)&gt;0,
     COUNTIFS($X$2:$X$200,$G249)&gt;0,
     COUNTIFS($Y$2:$Y$200,$G249)&gt;0,
     COUNTIFS($Z$2:$Z$200,$G249)&gt;0,
     COUNTIFS($AA$2:$AA$200,$G249)&gt;0,
     COUNTIFS($AB$2:$AB$200,$G249)&gt;0,
     COUNTIFS($AC$2:$AC$200,$G249)&gt;0,
     COUNTIFS($AD$2:$AD$200,$G249)&gt;0,
     COUNTIFS($AE$2:$AE$200,$G249)&gt;0,
     COUNTIFS($AF$2:$AF$200,$G249)&gt;0,
     COUNTIFS($AG$2:$AG$200,$G249)&gt;0,
     COUNTIFS($AH$2:$AH$200,$G249)&gt;0,
     COUNTIFS($AI$2:$AI$200,$G249)&gt;0,
     COUNTIFS($AJ$2:$AJ$200,$G249)&gt;0,
     COUNTIFS($AK$2:$AK$200,$G249)&gt;0,
     COUNTIFS($AL$2:$AL$200,$G249)&gt;0,
     COUNTIFS($AM$2:$AM$200,$G249)&gt;0,
     COUNTIFS($AN$2:$AN$200,$G249)&gt;0,
     COUNTIFS($AO$2:$AO$200,$G249)&gt;0,
     COUNTIFS($AP$2:$AP$200,$G249)&gt;0,
     COUNTIFS($AQ$2:$AQ$200,$G249)&gt;0,
     COUNTIFS($AR$2:$AR$200,$G249)&gt;0,
     COUNTIFS($AS$2:$AS$200,$G249)&gt;0,
     COUNTIFS($AT$2:$AT$200,$G249)&gt;0,
     COUNTIFS($AU$2:$AU$200,$G249)&gt;0,
     COUNTIFS($AV$2:$AV$200,$G249)&gt;0,
     COUNTIFS($AW$2:$AW$200,$G249)&gt;0,
     COUNTIFS($AX$2:$AX$200,$G249)&gt;0
   )),
  ),
  4
 ),
"")</f>
        <v/>
      </c>
      <c r="G249" t="str">
        <f ca="1"/>
        <v>Sokenzan, Crucible of Defiance</v>
      </c>
      <c r="CJ249" t="str">
        <f ca="1"/>
        <v>Sokenzan, Crucible of Defiance</v>
      </c>
    </row>
    <row r="250" spans="1:88" x14ac:dyDescent="0.25">
      <c r="A250" s="3" t="str">
        <f t="shared" ca="1" si="8"/>
        <v>2</v>
      </c>
      <c r="B250" s="3">
        <f t="shared" ca="1" si="9"/>
        <v>4</v>
      </c>
      <c r="C250" s="3" t="str">
        <f ca="1">IFERROR(
 INDEX($U$1:$AX$1,
  MATCH(TRUE,
   CHOOSE({1;2;3;4;5;6;7;8;9;10;11;12;13;14;15;16;17;18;19;20;21;22;23;24;25;26;27;28;29;30;31;32},
    COUNTIFS($U$2:$U$200,$G250)&gt;0,
    COUNTIFS($V$2:$V$200,$G250)&gt;0,
    COUNTIFS($W$2:$W$200,$G250)&gt;0,
    COUNTIFS($X$2:$X$200,$G250)&gt;0,
    COUNTIFS($Y$2:$Y$200,$G250)&gt;0,
    COUNTIFS($Z$2:$Z$200,$G250)&gt;0,
    COUNTIFS($AA$2:$AA$200,$G250)&gt;0,
    COUNTIFS($AB$2:$AB$200,$G250)&gt;0,
    COUNTIFS($AC$2:$AC$200,$G250)&gt;0,
    COUNTIFS($AD$2:$AD$200,$G250)&gt;0,
    COUNTIFS($AE$2:$AE$200,$G250)&gt;0,
    COUNTIFS($AF$2:$AF$200,$G250)&gt;0,
    COUNTIFS($AG$2:$AG$200,$G250)&gt;0,
    COUNTIFS($AH$2:$AH$200,$G250)&gt;0,
    COUNTIFS($AI$2:$AI$200,$G250)&gt;0,
    COUNTIFS($AJ$2:$AJ$200,$G250)&gt;0,
    COUNTIFS($AK$2:$AK$200,$G250)&gt;0,
    COUNTIFS($AL$2:$AL$200,$G250)&gt;0,
    COUNTIFS($AM$2:$AM$200,$G250)&gt;0,
    COUNTIFS($AN$2:$AN$200,$G250)&gt;0,
    COUNTIFS($AO$2:$AO$200,$G250)&gt;0,
    COUNTIFS($AP$2:$AP$200,$G250)&gt;0,
    COUNTIFS($AQ$2:$AQ$200,$G250)&gt;0,
    COUNTIFS($AR$2:$AR$200,$G250)&gt;0,
    COUNTIFS($AS$2:$AS$200,$G250)&gt;0,
    COUNTIFS($AT$2:$AT$200,$G250)&gt;0,
    COUNTIFS($AU$2:$AU$200,$G250)&gt;0,
    COUNTIFS($AV$2:$AV$200,$G250)&gt;0,
    COUNTIFS($AW$2:$AW$200,$G250)&gt;0,
    COUNTIFS($AX$2:$AX$200,$G250)&gt;0
   ),
  0)
 ),
"")</f>
        <v>Narset</v>
      </c>
      <c r="D250" s="3" t="str" cm="1">
        <f t="array" aca="1" ref="D250" ca="1">IFERROR(
 INDEX(
  _xlfn._xlws.FILTER($U$1:$AX$1,
   TRANSPOSE(
    CHOOSE({1;2;3;4;5;6;7;8;9;10;11;12;13;14;15;16;17;18;19;20;21;22;23;24;25;26;27;28;29;30},
     COUNTIFS($U$2:$U$200,$G250)&gt;0,
     COUNTIFS($V$2:$V$200,$G250)&gt;0,
     COUNTIFS($W$2:$W$200,$G250)&gt;0,
     COUNTIFS($X$2:$X$200,$G250)&gt;0,
     COUNTIFS($Y$2:$Y$200,$G250)&gt;0,
     COUNTIFS($Z$2:$Z$200,$G250)&gt;0,
     COUNTIFS($AA$2:$AA$200,$G250)&gt;0,
     COUNTIFS($AB$2:$AB$200,$G250)&gt;0,
     COUNTIFS($AC$2:$AC$200,$G250)&gt;0,
     COUNTIFS($AD$2:$AD$200,$G250)&gt;0,
     COUNTIFS($AE$2:$AE$200,$G250)&gt;0,
     COUNTIFS($AF$2:$AF$200,$G250)&gt;0,
     COUNTIFS($AG$2:$AG$200,$G250)&gt;0,
     COUNTIFS($AH$2:$AH$200,$G250)&gt;0,
     COUNTIFS($AI$2:$AI$200,$G250)&gt;0,
     COUNTIFS($AJ$2:$AJ$200,$G250)&gt;0,
     COUNTIFS($AK$2:$AK$200,$G250)&gt;0,
     COUNTIFS($AL$2:$AL$200,$G250)&gt;0,
     COUNTIFS($AM$2:$AM$200,$G250)&gt;0,
     COUNTIFS($AN$2:$AN$200,$G250)&gt;0,
     COUNTIFS($AO$2:$AO$200,$G250)&gt;0,
     COUNTIFS($AP$2:$AP$200,$G250)&gt;0,
     COUNTIFS($AQ$2:$AQ$200,$G250)&gt;0,
     COUNTIFS($AR$2:$AR$200,$G250)&gt;0,
     COUNTIFS($AS$2:$AS$200,$G250)&gt;0,
     COUNTIFS($AT$2:$AT$200,$G250)&gt;0,
     COUNTIFS($AU$2:$AU$200,$G250)&gt;0,
     COUNTIFS($AV$2:$AV$200,$G250)&gt;0,
     COUNTIFS($AW$2:$AW$200,$G250)&gt;0,
     COUNTIFS($AX$2:$AX$200,$G250)&gt;0
   )),
  ),
  2
 ),
"")</f>
        <v>Rani</v>
      </c>
      <c r="E250" s="3" t="str" cm="1">
        <f t="array" aca="1" ref="E250" ca="1">IFERROR(
 INDEX(
  _xlfn._xlws.FILTER($U$1:$AX$1,
   TRANSPOSE(
    CHOOSE({1;2;3;4;5;6;7;8;9;10;11;12;13;14;15;16;17;18;19;20;21;22;23;24;25;26;27;28;29;30},
     COUNTIFS($U$2:$U$200,$G250)&gt;0,
     COUNTIFS($V$2:$V$200,$G250)&gt;0,
     COUNTIFS($W$2:$W$200,$G250)&gt;0,
     COUNTIFS($X$2:$X$200,$G250)&gt;0,
     COUNTIFS($Y$2:$Y$200,$G250)&gt;0,
     COUNTIFS($Z$2:$Z$200,$G250)&gt;0,
     COUNTIFS($AA$2:$AA$200,$G250)&gt;0,
     COUNTIFS($AB$2:$AB$200,$G250)&gt;0,
     COUNTIFS($AC$2:$AC$200,$G250)&gt;0,
     COUNTIFS($AD$2:$AD$200,$G250)&gt;0,
     COUNTIFS($AE$2:$AE$200,$G250)&gt;0,
     COUNTIFS($AF$2:$AF$200,$G250)&gt;0,
     COUNTIFS($AG$2:$AG$200,$G250)&gt;0,
     COUNTIFS($AH$2:$AH$200,$G250)&gt;0,
     COUNTIFS($AI$2:$AI$200,$G250)&gt;0,
     COUNTIFS($AJ$2:$AJ$200,$G250)&gt;0,
     COUNTIFS($AK$2:$AK$200,$G250)&gt;0,
     COUNTIFS($AL$2:$AL$200,$G250)&gt;0,
     COUNTIFS($AM$2:$AM$200,$G250)&gt;0,
     COUNTIFS($AN$2:$AN$200,$G250)&gt;0,
     COUNTIFS($AO$2:$AO$200,$G250)&gt;0,
     COUNTIFS($AP$2:$AP$200,$G250)&gt;0,
     COUNTIFS($AQ$2:$AQ$200,$G250)&gt;0,
     COUNTIFS($AR$2:$AR$200,$G250)&gt;0,
     COUNTIFS($AS$2:$AS$200,$G250)&gt;0,
     COUNTIFS($AT$2:$AT$200,$G250)&gt;0,
     COUNTIFS($AU$2:$AU$200,$G250)&gt;0,
     COUNTIFS($AV$2:$AV$200,$G250)&gt;0,
     COUNTIFS($AW$2:$AW$200,$G250)&gt;0,
     COUNTIFS($AX$2:$AX$200,$G250)&gt;0
   )),
  ),
  3
 ),
"")</f>
        <v>Kumena</v>
      </c>
      <c r="F250" s="3" t="str" cm="1">
        <f t="array" aca="1" ref="F250" ca="1">IFERROR(
 INDEX(
  _xlfn._xlws.FILTER($U$1:$AX$1,
   TRANSPOSE(
    CHOOSE({1;2;3;4;5;6;7;8;9;10;11;12;13;14;15;16;17;18;19;20;21;22;23;24;25;26;27;28;29;30},
     COUNTIFS($U$2:$U$200,$G250)&gt;0,
     COUNTIFS($V$2:$V$200,$G250)&gt;0,
     COUNTIFS($W$2:$W$200,$G250)&gt;0,
     COUNTIFS($X$2:$X$200,$G250)&gt;0,
     COUNTIFS($Y$2:$Y$200,$G250)&gt;0,
     COUNTIFS($Z$2:$Z$200,$G250)&gt;0,
     COUNTIFS($AA$2:$AA$200,$G250)&gt;0,
     COUNTIFS($AB$2:$AB$200,$G250)&gt;0,
     COUNTIFS($AC$2:$AC$200,$G250)&gt;0,
     COUNTIFS($AD$2:$AD$200,$G250)&gt;0,
     COUNTIFS($AE$2:$AE$200,$G250)&gt;0,
     COUNTIFS($AF$2:$AF$200,$G250)&gt;0,
     COUNTIFS($AG$2:$AG$200,$G250)&gt;0,
     COUNTIFS($AH$2:$AH$200,$G250)&gt;0,
     COUNTIFS($AI$2:$AI$200,$G250)&gt;0,
     COUNTIFS($AJ$2:$AJ$200,$G250)&gt;0,
     COUNTIFS($AK$2:$AK$200,$G250)&gt;0,
     COUNTIFS($AL$2:$AL$200,$G250)&gt;0,
     COUNTIFS($AM$2:$AM$200,$G250)&gt;0,
     COUNTIFS($AN$2:$AN$200,$G250)&gt;0,
     COUNTIFS($AO$2:$AO$200,$G250)&gt;0,
     COUNTIFS($AP$2:$AP$200,$G250)&gt;0,
     COUNTIFS($AQ$2:$AQ$200,$G250)&gt;0,
     COUNTIFS($AR$2:$AR$200,$G250)&gt;0,
     COUNTIFS($AS$2:$AS$200,$G250)&gt;0,
     COUNTIFS($AT$2:$AT$200,$G250)&gt;0,
     COUNTIFS($AU$2:$AU$200,$G250)&gt;0,
     COUNTIFS($AV$2:$AV$200,$G250)&gt;0,
     COUNTIFS($AW$2:$AW$200,$G250)&gt;0,
     COUNTIFS($AX$2:$AX$200,$G250)&gt;0
   )),
  ),
  4
 ),
"")</f>
        <v>Modular</v>
      </c>
      <c r="G250" t="str">
        <f ca="1"/>
        <v>Sol Ring</v>
      </c>
      <c r="CJ250" t="str">
        <f ca="1"/>
        <v>Sol Ring</v>
      </c>
    </row>
    <row r="251" spans="1:88" x14ac:dyDescent="0.25">
      <c r="A251" s="3" t="str">
        <f t="shared" ca="1" si="8"/>
        <v>1</v>
      </c>
      <c r="B251" s="3">
        <f t="shared" ca="1" si="9"/>
        <v>1</v>
      </c>
      <c r="C251" s="3" t="str">
        <f ca="1">IFERROR(
 INDEX($U$1:$AX$1,
  MATCH(TRUE,
   CHOOSE({1;2;3;4;5;6;7;8;9;10;11;12;13;14;15;16;17;18;19;20;21;22;23;24;25;26;27;28;29;30;31;32},
    COUNTIFS($U$2:$U$200,$G251)&gt;0,
    COUNTIFS($V$2:$V$200,$G251)&gt;0,
    COUNTIFS($W$2:$W$200,$G251)&gt;0,
    COUNTIFS($X$2:$X$200,$G251)&gt;0,
    COUNTIFS($Y$2:$Y$200,$G251)&gt;0,
    COUNTIFS($Z$2:$Z$200,$G251)&gt;0,
    COUNTIFS($AA$2:$AA$200,$G251)&gt;0,
    COUNTIFS($AB$2:$AB$200,$G251)&gt;0,
    COUNTIFS($AC$2:$AC$200,$G251)&gt;0,
    COUNTIFS($AD$2:$AD$200,$G251)&gt;0,
    COUNTIFS($AE$2:$AE$200,$G251)&gt;0,
    COUNTIFS($AF$2:$AF$200,$G251)&gt;0,
    COUNTIFS($AG$2:$AG$200,$G251)&gt;0,
    COUNTIFS($AH$2:$AH$200,$G251)&gt;0,
    COUNTIFS($AI$2:$AI$200,$G251)&gt;0,
    COUNTIFS($AJ$2:$AJ$200,$G251)&gt;0,
    COUNTIFS($AK$2:$AK$200,$G251)&gt;0,
    COUNTIFS($AL$2:$AL$200,$G251)&gt;0,
    COUNTIFS($AM$2:$AM$200,$G251)&gt;0,
    COUNTIFS($AN$2:$AN$200,$G251)&gt;0,
    COUNTIFS($AO$2:$AO$200,$G251)&gt;0,
    COUNTIFS($AP$2:$AP$200,$G251)&gt;0,
    COUNTIFS($AQ$2:$AQ$200,$G251)&gt;0,
    COUNTIFS($AR$2:$AR$200,$G251)&gt;0,
    COUNTIFS($AS$2:$AS$200,$G251)&gt;0,
    COUNTIFS($AT$2:$AT$200,$G251)&gt;0,
    COUNTIFS($AU$2:$AU$200,$G251)&gt;0,
    COUNTIFS($AV$2:$AV$200,$G251)&gt;0,
    COUNTIFS($AW$2:$AW$200,$G251)&gt;0,
    COUNTIFS($AX$2:$AX$200,$G251)&gt;0
   ),
  0)
 ),
"")</f>
        <v>Tayam</v>
      </c>
      <c r="D251" s="3" t="str" cm="1">
        <f t="array" aca="1" ref="D251" ca="1">IFERROR(
 INDEX(
  _xlfn._xlws.FILTER($U$1:$AX$1,
   TRANSPOSE(
    CHOOSE({1;2;3;4;5;6;7;8;9;10;11;12;13;14;15;16;17;18;19;20;21;22;23;24;25;26;27;28;29;30},
     COUNTIFS($U$2:$U$200,$G251)&gt;0,
     COUNTIFS($V$2:$V$200,$G251)&gt;0,
     COUNTIFS($W$2:$W$200,$G251)&gt;0,
     COUNTIFS($X$2:$X$200,$G251)&gt;0,
     COUNTIFS($Y$2:$Y$200,$G251)&gt;0,
     COUNTIFS($Z$2:$Z$200,$G251)&gt;0,
     COUNTIFS($AA$2:$AA$200,$G251)&gt;0,
     COUNTIFS($AB$2:$AB$200,$G251)&gt;0,
     COUNTIFS($AC$2:$AC$200,$G251)&gt;0,
     COUNTIFS($AD$2:$AD$200,$G251)&gt;0,
     COUNTIFS($AE$2:$AE$200,$G251)&gt;0,
     COUNTIFS($AF$2:$AF$200,$G251)&gt;0,
     COUNTIFS($AG$2:$AG$200,$G251)&gt;0,
     COUNTIFS($AH$2:$AH$200,$G251)&gt;0,
     COUNTIFS($AI$2:$AI$200,$G251)&gt;0,
     COUNTIFS($AJ$2:$AJ$200,$G251)&gt;0,
     COUNTIFS($AK$2:$AK$200,$G251)&gt;0,
     COUNTIFS($AL$2:$AL$200,$G251)&gt;0,
     COUNTIFS($AM$2:$AM$200,$G251)&gt;0,
     COUNTIFS($AN$2:$AN$200,$G251)&gt;0,
     COUNTIFS($AO$2:$AO$200,$G251)&gt;0,
     COUNTIFS($AP$2:$AP$200,$G251)&gt;0,
     COUNTIFS($AQ$2:$AQ$200,$G251)&gt;0,
     COUNTIFS($AR$2:$AR$200,$G251)&gt;0,
     COUNTIFS($AS$2:$AS$200,$G251)&gt;0,
     COUNTIFS($AT$2:$AT$200,$G251)&gt;0,
     COUNTIFS($AU$2:$AU$200,$G251)&gt;0,
     COUNTIFS($AV$2:$AV$200,$G251)&gt;0,
     COUNTIFS($AW$2:$AW$200,$G251)&gt;0,
     COUNTIFS($AX$2:$AX$200,$G251)&gt;0
   )),
  ),
  2
 ),
"")</f>
        <v/>
      </c>
      <c r="E251" s="3" t="str" cm="1">
        <f t="array" aca="1" ref="E251" ca="1">IFERROR(
 INDEX(
  _xlfn._xlws.FILTER($U$1:$AX$1,
   TRANSPOSE(
    CHOOSE({1;2;3;4;5;6;7;8;9;10;11;12;13;14;15;16;17;18;19;20;21;22;23;24;25;26;27;28;29;30},
     COUNTIFS($U$2:$U$200,$G251)&gt;0,
     COUNTIFS($V$2:$V$200,$G251)&gt;0,
     COUNTIFS($W$2:$W$200,$G251)&gt;0,
     COUNTIFS($X$2:$X$200,$G251)&gt;0,
     COUNTIFS($Y$2:$Y$200,$G251)&gt;0,
     COUNTIFS($Z$2:$Z$200,$G251)&gt;0,
     COUNTIFS($AA$2:$AA$200,$G251)&gt;0,
     COUNTIFS($AB$2:$AB$200,$G251)&gt;0,
     COUNTIFS($AC$2:$AC$200,$G251)&gt;0,
     COUNTIFS($AD$2:$AD$200,$G251)&gt;0,
     COUNTIFS($AE$2:$AE$200,$G251)&gt;0,
     COUNTIFS($AF$2:$AF$200,$G251)&gt;0,
     COUNTIFS($AG$2:$AG$200,$G251)&gt;0,
     COUNTIFS($AH$2:$AH$200,$G251)&gt;0,
     COUNTIFS($AI$2:$AI$200,$G251)&gt;0,
     COUNTIFS($AJ$2:$AJ$200,$G251)&gt;0,
     COUNTIFS($AK$2:$AK$200,$G251)&gt;0,
     COUNTIFS($AL$2:$AL$200,$G251)&gt;0,
     COUNTIFS($AM$2:$AM$200,$G251)&gt;0,
     COUNTIFS($AN$2:$AN$200,$G251)&gt;0,
     COUNTIFS($AO$2:$AO$200,$G251)&gt;0,
     COUNTIFS($AP$2:$AP$200,$G251)&gt;0,
     COUNTIFS($AQ$2:$AQ$200,$G251)&gt;0,
     COUNTIFS($AR$2:$AR$200,$G251)&gt;0,
     COUNTIFS($AS$2:$AS$200,$G251)&gt;0,
     COUNTIFS($AT$2:$AT$200,$G251)&gt;0,
     COUNTIFS($AU$2:$AU$200,$G251)&gt;0,
     COUNTIFS($AV$2:$AV$200,$G251)&gt;0,
     COUNTIFS($AW$2:$AW$200,$G251)&gt;0,
     COUNTIFS($AX$2:$AX$200,$G251)&gt;0
   )),
  ),
  3
 ),
"")</f>
        <v/>
      </c>
      <c r="F251" s="3" t="str" cm="1">
        <f t="array" aca="1" ref="F251" ca="1">IFERROR(
 INDEX(
  _xlfn._xlws.FILTER($U$1:$AX$1,
   TRANSPOSE(
    CHOOSE({1;2;3;4;5;6;7;8;9;10;11;12;13;14;15;16;17;18;19;20;21;22;23;24;25;26;27;28;29;30},
     COUNTIFS($U$2:$U$200,$G251)&gt;0,
     COUNTIFS($V$2:$V$200,$G251)&gt;0,
     COUNTIFS($W$2:$W$200,$G251)&gt;0,
     COUNTIFS($X$2:$X$200,$G251)&gt;0,
     COUNTIFS($Y$2:$Y$200,$G251)&gt;0,
     COUNTIFS($Z$2:$Z$200,$G251)&gt;0,
     COUNTIFS($AA$2:$AA$200,$G251)&gt;0,
     COUNTIFS($AB$2:$AB$200,$G251)&gt;0,
     COUNTIFS($AC$2:$AC$200,$G251)&gt;0,
     COUNTIFS($AD$2:$AD$200,$G251)&gt;0,
     COUNTIFS($AE$2:$AE$200,$G251)&gt;0,
     COUNTIFS($AF$2:$AF$200,$G251)&gt;0,
     COUNTIFS($AG$2:$AG$200,$G251)&gt;0,
     COUNTIFS($AH$2:$AH$200,$G251)&gt;0,
     COUNTIFS($AI$2:$AI$200,$G251)&gt;0,
     COUNTIFS($AJ$2:$AJ$200,$G251)&gt;0,
     COUNTIFS($AK$2:$AK$200,$G251)&gt;0,
     COUNTIFS($AL$2:$AL$200,$G251)&gt;0,
     COUNTIFS($AM$2:$AM$200,$G251)&gt;0,
     COUNTIFS($AN$2:$AN$200,$G251)&gt;0,
     COUNTIFS($AO$2:$AO$200,$G251)&gt;0,
     COUNTIFS($AP$2:$AP$200,$G251)&gt;0,
     COUNTIFS($AQ$2:$AQ$200,$G251)&gt;0,
     COUNTIFS($AR$2:$AR$200,$G251)&gt;0,
     COUNTIFS($AS$2:$AS$200,$G251)&gt;0,
     COUNTIFS($AT$2:$AT$200,$G251)&gt;0,
     COUNTIFS($AU$2:$AU$200,$G251)&gt;0,
     COUNTIFS($AV$2:$AV$200,$G251)&gt;0,
     COUNTIFS($AW$2:$AW$200,$G251)&gt;0,
     COUNTIFS($AX$2:$AX$200,$G251)&gt;0
   )),
  ),
  4
 ),
"")</f>
        <v/>
      </c>
      <c r="G251" t="str">
        <f ca="1"/>
        <v>Song of Freyalise</v>
      </c>
      <c r="CJ251" t="str">
        <f ca="1"/>
        <v>Song of Freyalise</v>
      </c>
    </row>
    <row r="252" spans="1:88" x14ac:dyDescent="0.25">
      <c r="A252" s="3" t="str">
        <f t="shared" ca="1" si="8"/>
        <v>3</v>
      </c>
      <c r="B252" s="3">
        <f t="shared" ca="1" si="9"/>
        <v>2</v>
      </c>
      <c r="C252" s="3" t="str">
        <f ca="1">IFERROR(
 INDEX($U$1:$AX$1,
  MATCH(TRUE,
   CHOOSE({1;2;3;4;5;6;7;8;9;10;11;12;13;14;15;16;17;18;19;20;21;22;23;24;25;26;27;28;29;30;31;32},
    COUNTIFS($U$2:$U$200,$G252)&gt;0,
    COUNTIFS($V$2:$V$200,$G252)&gt;0,
    COUNTIFS($W$2:$W$200,$G252)&gt;0,
    COUNTIFS($X$2:$X$200,$G252)&gt;0,
    COUNTIFS($Y$2:$Y$200,$G252)&gt;0,
    COUNTIFS($Z$2:$Z$200,$G252)&gt;0,
    COUNTIFS($AA$2:$AA$200,$G252)&gt;0,
    COUNTIFS($AB$2:$AB$200,$G252)&gt;0,
    COUNTIFS($AC$2:$AC$200,$G252)&gt;0,
    COUNTIFS($AD$2:$AD$200,$G252)&gt;0,
    COUNTIFS($AE$2:$AE$200,$G252)&gt;0,
    COUNTIFS($AF$2:$AF$200,$G252)&gt;0,
    COUNTIFS($AG$2:$AG$200,$G252)&gt;0,
    COUNTIFS($AH$2:$AH$200,$G252)&gt;0,
    COUNTIFS($AI$2:$AI$200,$G252)&gt;0,
    COUNTIFS($AJ$2:$AJ$200,$G252)&gt;0,
    COUNTIFS($AK$2:$AK$200,$G252)&gt;0,
    COUNTIFS($AL$2:$AL$200,$G252)&gt;0,
    COUNTIFS($AM$2:$AM$200,$G252)&gt;0,
    COUNTIFS($AN$2:$AN$200,$G252)&gt;0,
    COUNTIFS($AO$2:$AO$200,$G252)&gt;0,
    COUNTIFS($AP$2:$AP$200,$G252)&gt;0,
    COUNTIFS($AQ$2:$AQ$200,$G252)&gt;0,
    COUNTIFS($AR$2:$AR$200,$G252)&gt;0,
    COUNTIFS($AS$2:$AS$200,$G252)&gt;0,
    COUNTIFS($AT$2:$AT$200,$G252)&gt;0,
    COUNTIFS($AU$2:$AU$200,$G252)&gt;0,
    COUNTIFS($AV$2:$AV$200,$G252)&gt;0,
    COUNTIFS($AW$2:$AW$200,$G252)&gt;0,
    COUNTIFS($AX$2:$AX$200,$G252)&gt;0
   ),
  0)
 ),
"")</f>
        <v>Muzzio</v>
      </c>
      <c r="D252" s="3" t="str" cm="1">
        <f t="array" aca="1" ref="D252" ca="1">IFERROR(
 INDEX(
  _xlfn._xlws.FILTER($U$1:$AX$1,
   TRANSPOSE(
    CHOOSE({1;2;3;4;5;6;7;8;9;10;11;12;13;14;15;16;17;18;19;20;21;22;23;24;25;26;27;28;29;30},
     COUNTIFS($U$2:$U$200,$G252)&gt;0,
     COUNTIFS($V$2:$V$200,$G252)&gt;0,
     COUNTIFS($W$2:$W$200,$G252)&gt;0,
     COUNTIFS($X$2:$X$200,$G252)&gt;0,
     COUNTIFS($Y$2:$Y$200,$G252)&gt;0,
     COUNTIFS($Z$2:$Z$200,$G252)&gt;0,
     COUNTIFS($AA$2:$AA$200,$G252)&gt;0,
     COUNTIFS($AB$2:$AB$200,$G252)&gt;0,
     COUNTIFS($AC$2:$AC$200,$G252)&gt;0,
     COUNTIFS($AD$2:$AD$200,$G252)&gt;0,
     COUNTIFS($AE$2:$AE$200,$G252)&gt;0,
     COUNTIFS($AF$2:$AF$200,$G252)&gt;0,
     COUNTIFS($AG$2:$AG$200,$G252)&gt;0,
     COUNTIFS($AH$2:$AH$200,$G252)&gt;0,
     COUNTIFS($AI$2:$AI$200,$G252)&gt;0,
     COUNTIFS($AJ$2:$AJ$200,$G252)&gt;0,
     COUNTIFS($AK$2:$AK$200,$G252)&gt;0,
     COUNTIFS($AL$2:$AL$200,$G252)&gt;0,
     COUNTIFS($AM$2:$AM$200,$G252)&gt;0,
     COUNTIFS($AN$2:$AN$200,$G252)&gt;0,
     COUNTIFS($AO$2:$AO$200,$G252)&gt;0,
     COUNTIFS($AP$2:$AP$200,$G252)&gt;0,
     COUNTIFS($AQ$2:$AQ$200,$G252)&gt;0,
     COUNTIFS($AR$2:$AR$200,$G252)&gt;0,
     COUNTIFS($AS$2:$AS$200,$G252)&gt;0,
     COUNTIFS($AT$2:$AT$200,$G252)&gt;0,
     COUNTIFS($AU$2:$AU$200,$G252)&gt;0,
     COUNTIFS($AV$2:$AV$200,$G252)&gt;0,
     COUNTIFS($AW$2:$AW$200,$G252)&gt;0,
     COUNTIFS($AX$2:$AX$200,$G252)&gt;0
   )),
  ),
  2
 ),
"")</f>
        <v>Oona</v>
      </c>
      <c r="E252" s="3" t="str" cm="1">
        <f t="array" aca="1" ref="E252" ca="1">IFERROR(
 INDEX(
  _xlfn._xlws.FILTER($U$1:$AX$1,
   TRANSPOSE(
    CHOOSE({1;2;3;4;5;6;7;8;9;10;11;12;13;14;15;16;17;18;19;20;21;22;23;24;25;26;27;28;29;30},
     COUNTIFS($U$2:$U$200,$G252)&gt;0,
     COUNTIFS($V$2:$V$200,$G252)&gt;0,
     COUNTIFS($W$2:$W$200,$G252)&gt;0,
     COUNTIFS($X$2:$X$200,$G252)&gt;0,
     COUNTIFS($Y$2:$Y$200,$G252)&gt;0,
     COUNTIFS($Z$2:$Z$200,$G252)&gt;0,
     COUNTIFS($AA$2:$AA$200,$G252)&gt;0,
     COUNTIFS($AB$2:$AB$200,$G252)&gt;0,
     COUNTIFS($AC$2:$AC$200,$G252)&gt;0,
     COUNTIFS($AD$2:$AD$200,$G252)&gt;0,
     COUNTIFS($AE$2:$AE$200,$G252)&gt;0,
     COUNTIFS($AF$2:$AF$200,$G252)&gt;0,
     COUNTIFS($AG$2:$AG$200,$G252)&gt;0,
     COUNTIFS($AH$2:$AH$200,$G252)&gt;0,
     COUNTIFS($AI$2:$AI$200,$G252)&gt;0,
     COUNTIFS($AJ$2:$AJ$200,$G252)&gt;0,
     COUNTIFS($AK$2:$AK$200,$G252)&gt;0,
     COUNTIFS($AL$2:$AL$200,$G252)&gt;0,
     COUNTIFS($AM$2:$AM$200,$G252)&gt;0,
     COUNTIFS($AN$2:$AN$200,$G252)&gt;0,
     COUNTIFS($AO$2:$AO$200,$G252)&gt;0,
     COUNTIFS($AP$2:$AP$200,$G252)&gt;0,
     COUNTIFS($AQ$2:$AQ$200,$G252)&gt;0,
     COUNTIFS($AR$2:$AR$200,$G252)&gt;0,
     COUNTIFS($AS$2:$AS$200,$G252)&gt;0,
     COUNTIFS($AT$2:$AT$200,$G252)&gt;0,
     COUNTIFS($AU$2:$AU$200,$G252)&gt;0,
     COUNTIFS($AV$2:$AV$200,$G252)&gt;0,
     COUNTIFS($AW$2:$AW$200,$G252)&gt;0,
     COUNTIFS($AX$2:$AX$200,$G252)&gt;0
   )),
  ),
  3
 ),
"")</f>
        <v/>
      </c>
      <c r="F252" s="3" t="str" cm="1">
        <f t="array" aca="1" ref="F252" ca="1">IFERROR(
 INDEX(
  _xlfn._xlws.FILTER($U$1:$AX$1,
   TRANSPOSE(
    CHOOSE({1;2;3;4;5;6;7;8;9;10;11;12;13;14;15;16;17;18;19;20;21;22;23;24;25;26;27;28;29;30},
     COUNTIFS($U$2:$U$200,$G252)&gt;0,
     COUNTIFS($V$2:$V$200,$G252)&gt;0,
     COUNTIFS($W$2:$W$200,$G252)&gt;0,
     COUNTIFS($X$2:$X$200,$G252)&gt;0,
     COUNTIFS($Y$2:$Y$200,$G252)&gt;0,
     COUNTIFS($Z$2:$Z$200,$G252)&gt;0,
     COUNTIFS($AA$2:$AA$200,$G252)&gt;0,
     COUNTIFS($AB$2:$AB$200,$G252)&gt;0,
     COUNTIFS($AC$2:$AC$200,$G252)&gt;0,
     COUNTIFS($AD$2:$AD$200,$G252)&gt;0,
     COUNTIFS($AE$2:$AE$200,$G252)&gt;0,
     COUNTIFS($AF$2:$AF$200,$G252)&gt;0,
     COUNTIFS($AG$2:$AG$200,$G252)&gt;0,
     COUNTIFS($AH$2:$AH$200,$G252)&gt;0,
     COUNTIFS($AI$2:$AI$200,$G252)&gt;0,
     COUNTIFS($AJ$2:$AJ$200,$G252)&gt;0,
     COUNTIFS($AK$2:$AK$200,$G252)&gt;0,
     COUNTIFS($AL$2:$AL$200,$G252)&gt;0,
     COUNTIFS($AM$2:$AM$200,$G252)&gt;0,
     COUNTIFS($AN$2:$AN$200,$G252)&gt;0,
     COUNTIFS($AO$2:$AO$200,$G252)&gt;0,
     COUNTIFS($AP$2:$AP$200,$G252)&gt;0,
     COUNTIFS($AQ$2:$AQ$200,$G252)&gt;0,
     COUNTIFS($AR$2:$AR$200,$G252)&gt;0,
     COUNTIFS($AS$2:$AS$200,$G252)&gt;0,
     COUNTIFS($AT$2:$AT$200,$G252)&gt;0,
     COUNTIFS($AU$2:$AU$200,$G252)&gt;0,
     COUNTIFS($AV$2:$AV$200,$G252)&gt;0,
     COUNTIFS($AW$2:$AW$200,$G252)&gt;0,
     COUNTIFS($AX$2:$AX$200,$G252)&gt;0
   )),
  ),
  4
 ),
"")</f>
        <v/>
      </c>
      <c r="G252" t="str">
        <f ca="1"/>
        <v>Sonic Screwdriver</v>
      </c>
      <c r="CJ252" t="str">
        <f ca="1"/>
        <v>Sonic Screwdriver</v>
      </c>
    </row>
    <row r="253" spans="1:88" x14ac:dyDescent="0.25">
      <c r="A253" s="3" t="str">
        <f t="shared" ca="1" si="8"/>
        <v>3</v>
      </c>
      <c r="B253" s="3">
        <f t="shared" ca="1" si="9"/>
        <v>1</v>
      </c>
      <c r="C253" s="3" t="str">
        <f ca="1">IFERROR(
 INDEX($U$1:$AX$1,
  MATCH(TRUE,
   CHOOSE({1;2;3;4;5;6;7;8;9;10;11;12;13;14;15;16;17;18;19;20;21;22;23;24;25;26;27;28;29;30;31;32},
    COUNTIFS($U$2:$U$200,$G253)&gt;0,
    COUNTIFS($V$2:$V$200,$G253)&gt;0,
    COUNTIFS($W$2:$W$200,$G253)&gt;0,
    COUNTIFS($X$2:$X$200,$G253)&gt;0,
    COUNTIFS($Y$2:$Y$200,$G253)&gt;0,
    COUNTIFS($Z$2:$Z$200,$G253)&gt;0,
    COUNTIFS($AA$2:$AA$200,$G253)&gt;0,
    COUNTIFS($AB$2:$AB$200,$G253)&gt;0,
    COUNTIFS($AC$2:$AC$200,$G253)&gt;0,
    COUNTIFS($AD$2:$AD$200,$G253)&gt;0,
    COUNTIFS($AE$2:$AE$200,$G253)&gt;0,
    COUNTIFS($AF$2:$AF$200,$G253)&gt;0,
    COUNTIFS($AG$2:$AG$200,$G253)&gt;0,
    COUNTIFS($AH$2:$AH$200,$G253)&gt;0,
    COUNTIFS($AI$2:$AI$200,$G253)&gt;0,
    COUNTIFS($AJ$2:$AJ$200,$G253)&gt;0,
    COUNTIFS($AK$2:$AK$200,$G253)&gt;0,
    COUNTIFS($AL$2:$AL$200,$G253)&gt;0,
    COUNTIFS($AM$2:$AM$200,$G253)&gt;0,
    COUNTIFS($AN$2:$AN$200,$G253)&gt;0,
    COUNTIFS($AO$2:$AO$200,$G253)&gt;0,
    COUNTIFS($AP$2:$AP$200,$G253)&gt;0,
    COUNTIFS($AQ$2:$AQ$200,$G253)&gt;0,
    COUNTIFS($AR$2:$AR$200,$G253)&gt;0,
    COUNTIFS($AS$2:$AS$200,$G253)&gt;0,
    COUNTIFS($AT$2:$AT$200,$G253)&gt;0,
    COUNTIFS($AU$2:$AU$200,$G253)&gt;0,
    COUNTIFS($AV$2:$AV$200,$G253)&gt;0,
    COUNTIFS($AW$2:$AW$200,$G253)&gt;0,
    COUNTIFS($AX$2:$AX$200,$G253)&gt;0
   ),
  0)
 ),
"")</f>
        <v>Zimone</v>
      </c>
      <c r="D253" s="3" t="str" cm="1">
        <f t="array" aca="1" ref="D253" ca="1">IFERROR(
 INDEX(
  _xlfn._xlws.FILTER($U$1:$AX$1,
   TRANSPOSE(
    CHOOSE({1;2;3;4;5;6;7;8;9;10;11;12;13;14;15;16;17;18;19;20;21;22;23;24;25;26;27;28;29;30},
     COUNTIFS($U$2:$U$200,$G253)&gt;0,
     COUNTIFS($V$2:$V$200,$G253)&gt;0,
     COUNTIFS($W$2:$W$200,$G253)&gt;0,
     COUNTIFS($X$2:$X$200,$G253)&gt;0,
     COUNTIFS($Y$2:$Y$200,$G253)&gt;0,
     COUNTIFS($Z$2:$Z$200,$G253)&gt;0,
     COUNTIFS($AA$2:$AA$200,$G253)&gt;0,
     COUNTIFS($AB$2:$AB$200,$G253)&gt;0,
     COUNTIFS($AC$2:$AC$200,$G253)&gt;0,
     COUNTIFS($AD$2:$AD$200,$G253)&gt;0,
     COUNTIFS($AE$2:$AE$200,$G253)&gt;0,
     COUNTIFS($AF$2:$AF$200,$G253)&gt;0,
     COUNTIFS($AG$2:$AG$200,$G253)&gt;0,
     COUNTIFS($AH$2:$AH$200,$G253)&gt;0,
     COUNTIFS($AI$2:$AI$200,$G253)&gt;0,
     COUNTIFS($AJ$2:$AJ$200,$G253)&gt;0,
     COUNTIFS($AK$2:$AK$200,$G253)&gt;0,
     COUNTIFS($AL$2:$AL$200,$G253)&gt;0,
     COUNTIFS($AM$2:$AM$200,$G253)&gt;0,
     COUNTIFS($AN$2:$AN$200,$G253)&gt;0,
     COUNTIFS($AO$2:$AO$200,$G253)&gt;0,
     COUNTIFS($AP$2:$AP$200,$G253)&gt;0,
     COUNTIFS($AQ$2:$AQ$200,$G253)&gt;0,
     COUNTIFS($AR$2:$AR$200,$G253)&gt;0,
     COUNTIFS($AS$2:$AS$200,$G253)&gt;0,
     COUNTIFS($AT$2:$AT$200,$G253)&gt;0,
     COUNTIFS($AU$2:$AU$200,$G253)&gt;0,
     COUNTIFS($AV$2:$AV$200,$G253)&gt;0,
     COUNTIFS($AW$2:$AW$200,$G253)&gt;0,
     COUNTIFS($AX$2:$AX$200,$G253)&gt;0
   )),
  ),
  2
 ),
"")</f>
        <v/>
      </c>
      <c r="E253" s="3" t="str" cm="1">
        <f t="array" aca="1" ref="E253" ca="1">IFERROR(
 INDEX(
  _xlfn._xlws.FILTER($U$1:$AX$1,
   TRANSPOSE(
    CHOOSE({1;2;3;4;5;6;7;8;9;10;11;12;13;14;15;16;17;18;19;20;21;22;23;24;25;26;27;28;29;30},
     COUNTIFS($U$2:$U$200,$G253)&gt;0,
     COUNTIFS($V$2:$V$200,$G253)&gt;0,
     COUNTIFS($W$2:$W$200,$G253)&gt;0,
     COUNTIFS($X$2:$X$200,$G253)&gt;0,
     COUNTIFS($Y$2:$Y$200,$G253)&gt;0,
     COUNTIFS($Z$2:$Z$200,$G253)&gt;0,
     COUNTIFS($AA$2:$AA$200,$G253)&gt;0,
     COUNTIFS($AB$2:$AB$200,$G253)&gt;0,
     COUNTIFS($AC$2:$AC$200,$G253)&gt;0,
     COUNTIFS($AD$2:$AD$200,$G253)&gt;0,
     COUNTIFS($AE$2:$AE$200,$G253)&gt;0,
     COUNTIFS($AF$2:$AF$200,$G253)&gt;0,
     COUNTIFS($AG$2:$AG$200,$G253)&gt;0,
     COUNTIFS($AH$2:$AH$200,$G253)&gt;0,
     COUNTIFS($AI$2:$AI$200,$G253)&gt;0,
     COUNTIFS($AJ$2:$AJ$200,$G253)&gt;0,
     COUNTIFS($AK$2:$AK$200,$G253)&gt;0,
     COUNTIFS($AL$2:$AL$200,$G253)&gt;0,
     COUNTIFS($AM$2:$AM$200,$G253)&gt;0,
     COUNTIFS($AN$2:$AN$200,$G253)&gt;0,
     COUNTIFS($AO$2:$AO$200,$G253)&gt;0,
     COUNTIFS($AP$2:$AP$200,$G253)&gt;0,
     COUNTIFS($AQ$2:$AQ$200,$G253)&gt;0,
     COUNTIFS($AR$2:$AR$200,$G253)&gt;0,
     COUNTIFS($AS$2:$AS$200,$G253)&gt;0,
     COUNTIFS($AT$2:$AT$200,$G253)&gt;0,
     COUNTIFS($AU$2:$AU$200,$G253)&gt;0,
     COUNTIFS($AV$2:$AV$200,$G253)&gt;0,
     COUNTIFS($AW$2:$AW$200,$G253)&gt;0,
     COUNTIFS($AX$2:$AX$200,$G253)&gt;0
   )),
  ),
  3
 ),
"")</f>
        <v/>
      </c>
      <c r="F253" s="3" t="str" cm="1">
        <f t="array" aca="1" ref="F253" ca="1">IFERROR(
 INDEX(
  _xlfn._xlws.FILTER($U$1:$AX$1,
   TRANSPOSE(
    CHOOSE({1;2;3;4;5;6;7;8;9;10;11;12;13;14;15;16;17;18;19;20;21;22;23;24;25;26;27;28;29;30},
     COUNTIFS($U$2:$U$200,$G253)&gt;0,
     COUNTIFS($V$2:$V$200,$G253)&gt;0,
     COUNTIFS($W$2:$W$200,$G253)&gt;0,
     COUNTIFS($X$2:$X$200,$G253)&gt;0,
     COUNTIFS($Y$2:$Y$200,$G253)&gt;0,
     COUNTIFS($Z$2:$Z$200,$G253)&gt;0,
     COUNTIFS($AA$2:$AA$200,$G253)&gt;0,
     COUNTIFS($AB$2:$AB$200,$G253)&gt;0,
     COUNTIFS($AC$2:$AC$200,$G253)&gt;0,
     COUNTIFS($AD$2:$AD$200,$G253)&gt;0,
     COUNTIFS($AE$2:$AE$200,$G253)&gt;0,
     COUNTIFS($AF$2:$AF$200,$G253)&gt;0,
     COUNTIFS($AG$2:$AG$200,$G253)&gt;0,
     COUNTIFS($AH$2:$AH$200,$G253)&gt;0,
     COUNTIFS($AI$2:$AI$200,$G253)&gt;0,
     COUNTIFS($AJ$2:$AJ$200,$G253)&gt;0,
     COUNTIFS($AK$2:$AK$200,$G253)&gt;0,
     COUNTIFS($AL$2:$AL$200,$G253)&gt;0,
     COUNTIFS($AM$2:$AM$200,$G253)&gt;0,
     COUNTIFS($AN$2:$AN$200,$G253)&gt;0,
     COUNTIFS($AO$2:$AO$200,$G253)&gt;0,
     COUNTIFS($AP$2:$AP$200,$G253)&gt;0,
     COUNTIFS($AQ$2:$AQ$200,$G253)&gt;0,
     COUNTIFS($AR$2:$AR$200,$G253)&gt;0,
     COUNTIFS($AS$2:$AS$200,$G253)&gt;0,
     COUNTIFS($AT$2:$AT$200,$G253)&gt;0,
     COUNTIFS($AU$2:$AU$200,$G253)&gt;0,
     COUNTIFS($AV$2:$AV$200,$G253)&gt;0,
     COUNTIFS($AW$2:$AW$200,$G253)&gt;0,
     COUNTIFS($AX$2:$AX$200,$G253)&gt;0
   )),
  ),
  4
 ),
"")</f>
        <v/>
      </c>
      <c r="G253" t="str">
        <f ca="1"/>
        <v>Sothera, the Supervoid</v>
      </c>
      <c r="CJ253" t="str">
        <f ca="1"/>
        <v>Sothera, the Supervoid</v>
      </c>
    </row>
    <row r="254" spans="1:88" x14ac:dyDescent="0.25">
      <c r="A254" s="3" t="str">
        <f t="shared" ca="1" si="8"/>
        <v>2</v>
      </c>
      <c r="B254" s="3">
        <f t="shared" ca="1" si="9"/>
        <v>2</v>
      </c>
      <c r="C254" s="3" t="str">
        <f ca="1">IFERROR(
 INDEX($U$1:$AX$1,
  MATCH(TRUE,
   CHOOSE({1;2;3;4;5;6;7;8;9;10;11;12;13;14;15;16;17;18;19;20;21;22;23;24;25;26;27;28;29;30;31;32},
    COUNTIFS($U$2:$U$200,$G254)&gt;0,
    COUNTIFS($V$2:$V$200,$G254)&gt;0,
    COUNTIFS($W$2:$W$200,$G254)&gt;0,
    COUNTIFS($X$2:$X$200,$G254)&gt;0,
    COUNTIFS($Y$2:$Y$200,$G254)&gt;0,
    COUNTIFS($Z$2:$Z$200,$G254)&gt;0,
    COUNTIFS($AA$2:$AA$200,$G254)&gt;0,
    COUNTIFS($AB$2:$AB$200,$G254)&gt;0,
    COUNTIFS($AC$2:$AC$200,$G254)&gt;0,
    COUNTIFS($AD$2:$AD$200,$G254)&gt;0,
    COUNTIFS($AE$2:$AE$200,$G254)&gt;0,
    COUNTIFS($AF$2:$AF$200,$G254)&gt;0,
    COUNTIFS($AG$2:$AG$200,$G254)&gt;0,
    COUNTIFS($AH$2:$AH$200,$G254)&gt;0,
    COUNTIFS($AI$2:$AI$200,$G254)&gt;0,
    COUNTIFS($AJ$2:$AJ$200,$G254)&gt;0,
    COUNTIFS($AK$2:$AK$200,$G254)&gt;0,
    COUNTIFS($AL$2:$AL$200,$G254)&gt;0,
    COUNTIFS($AM$2:$AM$200,$G254)&gt;0,
    COUNTIFS($AN$2:$AN$200,$G254)&gt;0,
    COUNTIFS($AO$2:$AO$200,$G254)&gt;0,
    COUNTIFS($AP$2:$AP$200,$G254)&gt;0,
    COUNTIFS($AQ$2:$AQ$200,$G254)&gt;0,
    COUNTIFS($AR$2:$AR$200,$G254)&gt;0,
    COUNTIFS($AS$2:$AS$200,$G254)&gt;0,
    COUNTIFS($AT$2:$AT$200,$G254)&gt;0,
    COUNTIFS($AU$2:$AU$200,$G254)&gt;0,
    COUNTIFS($AV$2:$AV$200,$G254)&gt;0,
    COUNTIFS($AW$2:$AW$200,$G254)&gt;0,
    COUNTIFS($AX$2:$AX$200,$G254)&gt;0
   ),
  0)
 ),
"")</f>
        <v>Narset</v>
      </c>
      <c r="D254" s="3" t="str" cm="1">
        <f t="array" aca="1" ref="D254" ca="1">IFERROR(
 INDEX(
  _xlfn._xlws.FILTER($U$1:$AX$1,
   TRANSPOSE(
    CHOOSE({1;2;3;4;5;6;7;8;9;10;11;12;13;14;15;16;17;18;19;20;21;22;23;24;25;26;27;28;29;30},
     COUNTIFS($U$2:$U$200,$G254)&gt;0,
     COUNTIFS($V$2:$V$200,$G254)&gt;0,
     COUNTIFS($W$2:$W$200,$G254)&gt;0,
     COUNTIFS($X$2:$X$200,$G254)&gt;0,
     COUNTIFS($Y$2:$Y$200,$G254)&gt;0,
     COUNTIFS($Z$2:$Z$200,$G254)&gt;0,
     COUNTIFS($AA$2:$AA$200,$G254)&gt;0,
     COUNTIFS($AB$2:$AB$200,$G254)&gt;0,
     COUNTIFS($AC$2:$AC$200,$G254)&gt;0,
     COUNTIFS($AD$2:$AD$200,$G254)&gt;0,
     COUNTIFS($AE$2:$AE$200,$G254)&gt;0,
     COUNTIFS($AF$2:$AF$200,$G254)&gt;0,
     COUNTIFS($AG$2:$AG$200,$G254)&gt;0,
     COUNTIFS($AH$2:$AH$200,$G254)&gt;0,
     COUNTIFS($AI$2:$AI$200,$G254)&gt;0,
     COUNTIFS($AJ$2:$AJ$200,$G254)&gt;0,
     COUNTIFS($AK$2:$AK$200,$G254)&gt;0,
     COUNTIFS($AL$2:$AL$200,$G254)&gt;0,
     COUNTIFS($AM$2:$AM$200,$G254)&gt;0,
     COUNTIFS($AN$2:$AN$200,$G254)&gt;0,
     COUNTIFS($AO$2:$AO$200,$G254)&gt;0,
     COUNTIFS($AP$2:$AP$200,$G254)&gt;0,
     COUNTIFS($AQ$2:$AQ$200,$G254)&gt;0,
     COUNTIFS($AR$2:$AR$200,$G254)&gt;0,
     COUNTIFS($AS$2:$AS$200,$G254)&gt;0,
     COUNTIFS($AT$2:$AT$200,$G254)&gt;0,
     COUNTIFS($AU$2:$AU$200,$G254)&gt;0,
     COUNTIFS($AV$2:$AV$200,$G254)&gt;0,
     COUNTIFS($AW$2:$AW$200,$G254)&gt;0,
     COUNTIFS($AX$2:$AX$200,$G254)&gt;0
   )),
  ),
  2
 ),
"")</f>
        <v>VialIshai</v>
      </c>
      <c r="E254" s="3" t="str" cm="1">
        <f t="array" aca="1" ref="E254" ca="1">IFERROR(
 INDEX(
  _xlfn._xlws.FILTER($U$1:$AX$1,
   TRANSPOSE(
    CHOOSE({1;2;3;4;5;6;7;8;9;10;11;12;13;14;15;16;17;18;19;20;21;22;23;24;25;26;27;28;29;30},
     COUNTIFS($U$2:$U$200,$G254)&gt;0,
     COUNTIFS($V$2:$V$200,$G254)&gt;0,
     COUNTIFS($W$2:$W$200,$G254)&gt;0,
     COUNTIFS($X$2:$X$200,$G254)&gt;0,
     COUNTIFS($Y$2:$Y$200,$G254)&gt;0,
     COUNTIFS($Z$2:$Z$200,$G254)&gt;0,
     COUNTIFS($AA$2:$AA$200,$G254)&gt;0,
     COUNTIFS($AB$2:$AB$200,$G254)&gt;0,
     COUNTIFS($AC$2:$AC$200,$G254)&gt;0,
     COUNTIFS($AD$2:$AD$200,$G254)&gt;0,
     COUNTIFS($AE$2:$AE$200,$G254)&gt;0,
     COUNTIFS($AF$2:$AF$200,$G254)&gt;0,
     COUNTIFS($AG$2:$AG$200,$G254)&gt;0,
     COUNTIFS($AH$2:$AH$200,$G254)&gt;0,
     COUNTIFS($AI$2:$AI$200,$G254)&gt;0,
     COUNTIFS($AJ$2:$AJ$200,$G254)&gt;0,
     COUNTIFS($AK$2:$AK$200,$G254)&gt;0,
     COUNTIFS($AL$2:$AL$200,$G254)&gt;0,
     COUNTIFS($AM$2:$AM$200,$G254)&gt;0,
     COUNTIFS($AN$2:$AN$200,$G254)&gt;0,
     COUNTIFS($AO$2:$AO$200,$G254)&gt;0,
     COUNTIFS($AP$2:$AP$200,$G254)&gt;0,
     COUNTIFS($AQ$2:$AQ$200,$G254)&gt;0,
     COUNTIFS($AR$2:$AR$200,$G254)&gt;0,
     COUNTIFS($AS$2:$AS$200,$G254)&gt;0,
     COUNTIFS($AT$2:$AT$200,$G254)&gt;0,
     COUNTIFS($AU$2:$AU$200,$G254)&gt;0,
     COUNTIFS($AV$2:$AV$200,$G254)&gt;0,
     COUNTIFS($AW$2:$AW$200,$G254)&gt;0,
     COUNTIFS($AX$2:$AX$200,$G254)&gt;0
   )),
  ),
  3
 ),
"")</f>
        <v/>
      </c>
      <c r="F254" s="3" t="str" cm="1">
        <f t="array" aca="1" ref="F254" ca="1">IFERROR(
 INDEX(
  _xlfn._xlws.FILTER($U$1:$AX$1,
   TRANSPOSE(
    CHOOSE({1;2;3;4;5;6;7;8;9;10;11;12;13;14;15;16;17;18;19;20;21;22;23;24;25;26;27;28;29;30},
     COUNTIFS($U$2:$U$200,$G254)&gt;0,
     COUNTIFS($V$2:$V$200,$G254)&gt;0,
     COUNTIFS($W$2:$W$200,$G254)&gt;0,
     COUNTIFS($X$2:$X$200,$G254)&gt;0,
     COUNTIFS($Y$2:$Y$200,$G254)&gt;0,
     COUNTIFS($Z$2:$Z$200,$G254)&gt;0,
     COUNTIFS($AA$2:$AA$200,$G254)&gt;0,
     COUNTIFS($AB$2:$AB$200,$G254)&gt;0,
     COUNTIFS($AC$2:$AC$200,$G254)&gt;0,
     COUNTIFS($AD$2:$AD$200,$G254)&gt;0,
     COUNTIFS($AE$2:$AE$200,$G254)&gt;0,
     COUNTIFS($AF$2:$AF$200,$G254)&gt;0,
     COUNTIFS($AG$2:$AG$200,$G254)&gt;0,
     COUNTIFS($AH$2:$AH$200,$G254)&gt;0,
     COUNTIFS($AI$2:$AI$200,$G254)&gt;0,
     COUNTIFS($AJ$2:$AJ$200,$G254)&gt;0,
     COUNTIFS($AK$2:$AK$200,$G254)&gt;0,
     COUNTIFS($AL$2:$AL$200,$G254)&gt;0,
     COUNTIFS($AM$2:$AM$200,$G254)&gt;0,
     COUNTIFS($AN$2:$AN$200,$G254)&gt;0,
     COUNTIFS($AO$2:$AO$200,$G254)&gt;0,
     COUNTIFS($AP$2:$AP$200,$G254)&gt;0,
     COUNTIFS($AQ$2:$AQ$200,$G254)&gt;0,
     COUNTIFS($AR$2:$AR$200,$G254)&gt;0,
     COUNTIFS($AS$2:$AS$200,$G254)&gt;0,
     COUNTIFS($AT$2:$AT$200,$G254)&gt;0,
     COUNTIFS($AU$2:$AU$200,$G254)&gt;0,
     COUNTIFS($AV$2:$AV$200,$G254)&gt;0,
     COUNTIFS($AW$2:$AW$200,$G254)&gt;0,
     COUNTIFS($AX$2:$AX$200,$G254)&gt;0
   )),
  ),
  4
 ),
"")</f>
        <v/>
      </c>
      <c r="G254" t="str">
        <f ca="1"/>
        <v>Spectator Seating</v>
      </c>
      <c r="CJ254" t="str">
        <f ca="1"/>
        <v>Spectator Seating</v>
      </c>
    </row>
    <row r="255" spans="1:88" x14ac:dyDescent="0.25">
      <c r="A255" s="3" t="str">
        <f t="shared" ca="1" si="8"/>
        <v>1</v>
      </c>
      <c r="B255" s="3">
        <f t="shared" ca="1" si="9"/>
        <v>1</v>
      </c>
      <c r="C255" s="3" t="str">
        <f ca="1">IFERROR(
 INDEX($U$1:$AX$1,
  MATCH(TRUE,
   CHOOSE({1;2;3;4;5;6;7;8;9;10;11;12;13;14;15;16;17;18;19;20;21;22;23;24;25;26;27;28;29;30;31;32},
    COUNTIFS($U$2:$U$200,$G255)&gt;0,
    COUNTIFS($V$2:$V$200,$G255)&gt;0,
    COUNTIFS($W$2:$W$200,$G255)&gt;0,
    COUNTIFS($X$2:$X$200,$G255)&gt;0,
    COUNTIFS($Y$2:$Y$200,$G255)&gt;0,
    COUNTIFS($Z$2:$Z$200,$G255)&gt;0,
    COUNTIFS($AA$2:$AA$200,$G255)&gt;0,
    COUNTIFS($AB$2:$AB$200,$G255)&gt;0,
    COUNTIFS($AC$2:$AC$200,$G255)&gt;0,
    COUNTIFS($AD$2:$AD$200,$G255)&gt;0,
    COUNTIFS($AE$2:$AE$200,$G255)&gt;0,
    COUNTIFS($AF$2:$AF$200,$G255)&gt;0,
    COUNTIFS($AG$2:$AG$200,$G255)&gt;0,
    COUNTIFS($AH$2:$AH$200,$G255)&gt;0,
    COUNTIFS($AI$2:$AI$200,$G255)&gt;0,
    COUNTIFS($AJ$2:$AJ$200,$G255)&gt;0,
    COUNTIFS($AK$2:$AK$200,$G255)&gt;0,
    COUNTIFS($AL$2:$AL$200,$G255)&gt;0,
    COUNTIFS($AM$2:$AM$200,$G255)&gt;0,
    COUNTIFS($AN$2:$AN$200,$G255)&gt;0,
    COUNTIFS($AO$2:$AO$200,$G255)&gt;0,
    COUNTIFS($AP$2:$AP$200,$G255)&gt;0,
    COUNTIFS($AQ$2:$AQ$200,$G255)&gt;0,
    COUNTIFS($AR$2:$AR$200,$G255)&gt;0,
    COUNTIFS($AS$2:$AS$200,$G255)&gt;0,
    COUNTIFS($AT$2:$AT$200,$G255)&gt;0,
    COUNTIFS($AU$2:$AU$200,$G255)&gt;0,
    COUNTIFS($AV$2:$AV$200,$G255)&gt;0,
    COUNTIFS($AW$2:$AW$200,$G255)&gt;0,
    COUNTIFS($AX$2:$AX$200,$G255)&gt;0
   ),
  0)
 ),
"")</f>
        <v>Tayam</v>
      </c>
      <c r="D255" s="3" t="str" cm="1">
        <f t="array" aca="1" ref="D255" ca="1">IFERROR(
 INDEX(
  _xlfn._xlws.FILTER($U$1:$AX$1,
   TRANSPOSE(
    CHOOSE({1;2;3;4;5;6;7;8;9;10;11;12;13;14;15;16;17;18;19;20;21;22;23;24;25;26;27;28;29;30},
     COUNTIFS($U$2:$U$200,$G255)&gt;0,
     COUNTIFS($V$2:$V$200,$G255)&gt;0,
     COUNTIFS($W$2:$W$200,$G255)&gt;0,
     COUNTIFS($X$2:$X$200,$G255)&gt;0,
     COUNTIFS($Y$2:$Y$200,$G255)&gt;0,
     COUNTIFS($Z$2:$Z$200,$G255)&gt;0,
     COUNTIFS($AA$2:$AA$200,$G255)&gt;0,
     COUNTIFS($AB$2:$AB$200,$G255)&gt;0,
     COUNTIFS($AC$2:$AC$200,$G255)&gt;0,
     COUNTIFS($AD$2:$AD$200,$G255)&gt;0,
     COUNTIFS($AE$2:$AE$200,$G255)&gt;0,
     COUNTIFS($AF$2:$AF$200,$G255)&gt;0,
     COUNTIFS($AG$2:$AG$200,$G255)&gt;0,
     COUNTIFS($AH$2:$AH$200,$G255)&gt;0,
     COUNTIFS($AI$2:$AI$200,$G255)&gt;0,
     COUNTIFS($AJ$2:$AJ$200,$G255)&gt;0,
     COUNTIFS($AK$2:$AK$200,$G255)&gt;0,
     COUNTIFS($AL$2:$AL$200,$G255)&gt;0,
     COUNTIFS($AM$2:$AM$200,$G255)&gt;0,
     COUNTIFS($AN$2:$AN$200,$G255)&gt;0,
     COUNTIFS($AO$2:$AO$200,$G255)&gt;0,
     COUNTIFS($AP$2:$AP$200,$G255)&gt;0,
     COUNTIFS($AQ$2:$AQ$200,$G255)&gt;0,
     COUNTIFS($AR$2:$AR$200,$G255)&gt;0,
     COUNTIFS($AS$2:$AS$200,$G255)&gt;0,
     COUNTIFS($AT$2:$AT$200,$G255)&gt;0,
     COUNTIFS($AU$2:$AU$200,$G255)&gt;0,
     COUNTIFS($AV$2:$AV$200,$G255)&gt;0,
     COUNTIFS($AW$2:$AW$200,$G255)&gt;0,
     COUNTIFS($AX$2:$AX$200,$G255)&gt;0
   )),
  ),
  2
 ),
"")</f>
        <v/>
      </c>
      <c r="E255" s="3" t="str" cm="1">
        <f t="array" aca="1" ref="E255" ca="1">IFERROR(
 INDEX(
  _xlfn._xlws.FILTER($U$1:$AX$1,
   TRANSPOSE(
    CHOOSE({1;2;3;4;5;6;7;8;9;10;11;12;13;14;15;16;17;18;19;20;21;22;23;24;25;26;27;28;29;30},
     COUNTIFS($U$2:$U$200,$G255)&gt;0,
     COUNTIFS($V$2:$V$200,$G255)&gt;0,
     COUNTIFS($W$2:$W$200,$G255)&gt;0,
     COUNTIFS($X$2:$X$200,$G255)&gt;0,
     COUNTIFS($Y$2:$Y$200,$G255)&gt;0,
     COUNTIFS($Z$2:$Z$200,$G255)&gt;0,
     COUNTIFS($AA$2:$AA$200,$G255)&gt;0,
     COUNTIFS($AB$2:$AB$200,$G255)&gt;0,
     COUNTIFS($AC$2:$AC$200,$G255)&gt;0,
     COUNTIFS($AD$2:$AD$200,$G255)&gt;0,
     COUNTIFS($AE$2:$AE$200,$G255)&gt;0,
     COUNTIFS($AF$2:$AF$200,$G255)&gt;0,
     COUNTIFS($AG$2:$AG$200,$G255)&gt;0,
     COUNTIFS($AH$2:$AH$200,$G255)&gt;0,
     COUNTIFS($AI$2:$AI$200,$G255)&gt;0,
     COUNTIFS($AJ$2:$AJ$200,$G255)&gt;0,
     COUNTIFS($AK$2:$AK$200,$G255)&gt;0,
     COUNTIFS($AL$2:$AL$200,$G255)&gt;0,
     COUNTIFS($AM$2:$AM$200,$G255)&gt;0,
     COUNTIFS($AN$2:$AN$200,$G255)&gt;0,
     COUNTIFS($AO$2:$AO$200,$G255)&gt;0,
     COUNTIFS($AP$2:$AP$200,$G255)&gt;0,
     COUNTIFS($AQ$2:$AQ$200,$G255)&gt;0,
     COUNTIFS($AR$2:$AR$200,$G255)&gt;0,
     COUNTIFS($AS$2:$AS$200,$G255)&gt;0,
     COUNTIFS($AT$2:$AT$200,$G255)&gt;0,
     COUNTIFS($AU$2:$AU$200,$G255)&gt;0,
     COUNTIFS($AV$2:$AV$200,$G255)&gt;0,
     COUNTIFS($AW$2:$AW$200,$G255)&gt;0,
     COUNTIFS($AX$2:$AX$200,$G255)&gt;0
   )),
  ),
  3
 ),
"")</f>
        <v/>
      </c>
      <c r="F255" s="3" t="str" cm="1">
        <f t="array" aca="1" ref="F255" ca="1">IFERROR(
 INDEX(
  _xlfn._xlws.FILTER($U$1:$AX$1,
   TRANSPOSE(
    CHOOSE({1;2;3;4;5;6;7;8;9;10;11;12;13;14;15;16;17;18;19;20;21;22;23;24;25;26;27;28;29;30},
     COUNTIFS($U$2:$U$200,$G255)&gt;0,
     COUNTIFS($V$2:$V$200,$G255)&gt;0,
     COUNTIFS($W$2:$W$200,$G255)&gt;0,
     COUNTIFS($X$2:$X$200,$G255)&gt;0,
     COUNTIFS($Y$2:$Y$200,$G255)&gt;0,
     COUNTIFS($Z$2:$Z$200,$G255)&gt;0,
     COUNTIFS($AA$2:$AA$200,$G255)&gt;0,
     COUNTIFS($AB$2:$AB$200,$G255)&gt;0,
     COUNTIFS($AC$2:$AC$200,$G255)&gt;0,
     COUNTIFS($AD$2:$AD$200,$G255)&gt;0,
     COUNTIFS($AE$2:$AE$200,$G255)&gt;0,
     COUNTIFS($AF$2:$AF$200,$G255)&gt;0,
     COUNTIFS($AG$2:$AG$200,$G255)&gt;0,
     COUNTIFS($AH$2:$AH$200,$G255)&gt;0,
     COUNTIFS($AI$2:$AI$200,$G255)&gt;0,
     COUNTIFS($AJ$2:$AJ$200,$G255)&gt;0,
     COUNTIFS($AK$2:$AK$200,$G255)&gt;0,
     COUNTIFS($AL$2:$AL$200,$G255)&gt;0,
     COUNTIFS($AM$2:$AM$200,$G255)&gt;0,
     COUNTIFS($AN$2:$AN$200,$G255)&gt;0,
     COUNTIFS($AO$2:$AO$200,$G255)&gt;0,
     COUNTIFS($AP$2:$AP$200,$G255)&gt;0,
     COUNTIFS($AQ$2:$AQ$200,$G255)&gt;0,
     COUNTIFS($AR$2:$AR$200,$G255)&gt;0,
     COUNTIFS($AS$2:$AS$200,$G255)&gt;0,
     COUNTIFS($AT$2:$AT$200,$G255)&gt;0,
     COUNTIFS($AU$2:$AU$200,$G255)&gt;0,
     COUNTIFS($AV$2:$AV$200,$G255)&gt;0,
     COUNTIFS($AW$2:$AW$200,$G255)&gt;0,
     COUNTIFS($AX$2:$AX$200,$G255)&gt;0
   )),
  ),
  4
 ),
"")</f>
        <v/>
      </c>
      <c r="G255" t="str">
        <f ca="1"/>
        <v>Sphere Grid</v>
      </c>
      <c r="CJ255" t="str">
        <f ca="1"/>
        <v>Sphere Grid</v>
      </c>
    </row>
    <row r="256" spans="1:88" x14ac:dyDescent="0.25">
      <c r="A256" s="3" t="str">
        <f t="shared" ca="1" si="8"/>
        <v>3</v>
      </c>
      <c r="B256" s="3">
        <f t="shared" ca="1" si="9"/>
        <v>1</v>
      </c>
      <c r="C256" s="3" t="str">
        <f ca="1">IFERROR(
 INDEX($U$1:$AX$1,
  MATCH(TRUE,
   CHOOSE({1;2;3;4;5;6;7;8;9;10;11;12;13;14;15;16;17;18;19;20;21;22;23;24;25;26;27;28;29;30;31;32},
    COUNTIFS($U$2:$U$200,$G256)&gt;0,
    COUNTIFS($V$2:$V$200,$G256)&gt;0,
    COUNTIFS($W$2:$W$200,$G256)&gt;0,
    COUNTIFS($X$2:$X$200,$G256)&gt;0,
    COUNTIFS($Y$2:$Y$200,$G256)&gt;0,
    COUNTIFS($Z$2:$Z$200,$G256)&gt;0,
    COUNTIFS($AA$2:$AA$200,$G256)&gt;0,
    COUNTIFS($AB$2:$AB$200,$G256)&gt;0,
    COUNTIFS($AC$2:$AC$200,$G256)&gt;0,
    COUNTIFS($AD$2:$AD$200,$G256)&gt;0,
    COUNTIFS($AE$2:$AE$200,$G256)&gt;0,
    COUNTIFS($AF$2:$AF$200,$G256)&gt;0,
    COUNTIFS($AG$2:$AG$200,$G256)&gt;0,
    COUNTIFS($AH$2:$AH$200,$G256)&gt;0,
    COUNTIFS($AI$2:$AI$200,$G256)&gt;0,
    COUNTIFS($AJ$2:$AJ$200,$G256)&gt;0,
    COUNTIFS($AK$2:$AK$200,$G256)&gt;0,
    COUNTIFS($AL$2:$AL$200,$G256)&gt;0,
    COUNTIFS($AM$2:$AM$200,$G256)&gt;0,
    COUNTIFS($AN$2:$AN$200,$G256)&gt;0,
    COUNTIFS($AO$2:$AO$200,$G256)&gt;0,
    COUNTIFS($AP$2:$AP$200,$G256)&gt;0,
    COUNTIFS($AQ$2:$AQ$200,$G256)&gt;0,
    COUNTIFS($AR$2:$AR$200,$G256)&gt;0,
    COUNTIFS($AS$2:$AS$200,$G256)&gt;0,
    COUNTIFS($AT$2:$AT$200,$G256)&gt;0,
    COUNTIFS($AU$2:$AU$200,$G256)&gt;0,
    COUNTIFS($AV$2:$AV$200,$G256)&gt;0,
    COUNTIFS($AW$2:$AW$200,$G256)&gt;0,
    COUNTIFS($AX$2:$AX$200,$G256)&gt;0
   ),
  0)
 ),
"")</f>
        <v>Akiri</v>
      </c>
      <c r="D256" s="3" t="str" cm="1">
        <f t="array" aca="1" ref="D256" ca="1">IFERROR(
 INDEX(
  _xlfn._xlws.FILTER($U$1:$AX$1,
   TRANSPOSE(
    CHOOSE({1;2;3;4;5;6;7;8;9;10;11;12;13;14;15;16;17;18;19;20;21;22;23;24;25;26;27;28;29;30},
     COUNTIFS($U$2:$U$200,$G256)&gt;0,
     COUNTIFS($V$2:$V$200,$G256)&gt;0,
     COUNTIFS($W$2:$W$200,$G256)&gt;0,
     COUNTIFS($X$2:$X$200,$G256)&gt;0,
     COUNTIFS($Y$2:$Y$200,$G256)&gt;0,
     COUNTIFS($Z$2:$Z$200,$G256)&gt;0,
     COUNTIFS($AA$2:$AA$200,$G256)&gt;0,
     COUNTIFS($AB$2:$AB$200,$G256)&gt;0,
     COUNTIFS($AC$2:$AC$200,$G256)&gt;0,
     COUNTIFS($AD$2:$AD$200,$G256)&gt;0,
     COUNTIFS($AE$2:$AE$200,$G256)&gt;0,
     COUNTIFS($AF$2:$AF$200,$G256)&gt;0,
     COUNTIFS($AG$2:$AG$200,$G256)&gt;0,
     COUNTIFS($AH$2:$AH$200,$G256)&gt;0,
     COUNTIFS($AI$2:$AI$200,$G256)&gt;0,
     COUNTIFS($AJ$2:$AJ$200,$G256)&gt;0,
     COUNTIFS($AK$2:$AK$200,$G256)&gt;0,
     COUNTIFS($AL$2:$AL$200,$G256)&gt;0,
     COUNTIFS($AM$2:$AM$200,$G256)&gt;0,
     COUNTIFS($AN$2:$AN$200,$G256)&gt;0,
     COUNTIFS($AO$2:$AO$200,$G256)&gt;0,
     COUNTIFS($AP$2:$AP$200,$G256)&gt;0,
     COUNTIFS($AQ$2:$AQ$200,$G256)&gt;0,
     COUNTIFS($AR$2:$AR$200,$G256)&gt;0,
     COUNTIFS($AS$2:$AS$200,$G256)&gt;0,
     COUNTIFS($AT$2:$AT$200,$G256)&gt;0,
     COUNTIFS($AU$2:$AU$200,$G256)&gt;0,
     COUNTIFS($AV$2:$AV$200,$G256)&gt;0,
     COUNTIFS($AW$2:$AW$200,$G256)&gt;0,
     COUNTIFS($AX$2:$AX$200,$G256)&gt;0
   )),
  ),
  2
 ),
"")</f>
        <v/>
      </c>
      <c r="E256" s="3" t="str" cm="1">
        <f t="array" aca="1" ref="E256" ca="1">IFERROR(
 INDEX(
  _xlfn._xlws.FILTER($U$1:$AX$1,
   TRANSPOSE(
    CHOOSE({1;2;3;4;5;6;7;8;9;10;11;12;13;14;15;16;17;18;19;20;21;22;23;24;25;26;27;28;29;30},
     COUNTIFS($U$2:$U$200,$G256)&gt;0,
     COUNTIFS($V$2:$V$200,$G256)&gt;0,
     COUNTIFS($W$2:$W$200,$G256)&gt;0,
     COUNTIFS($X$2:$X$200,$G256)&gt;0,
     COUNTIFS($Y$2:$Y$200,$G256)&gt;0,
     COUNTIFS($Z$2:$Z$200,$G256)&gt;0,
     COUNTIFS($AA$2:$AA$200,$G256)&gt;0,
     COUNTIFS($AB$2:$AB$200,$G256)&gt;0,
     COUNTIFS($AC$2:$AC$200,$G256)&gt;0,
     COUNTIFS($AD$2:$AD$200,$G256)&gt;0,
     COUNTIFS($AE$2:$AE$200,$G256)&gt;0,
     COUNTIFS($AF$2:$AF$200,$G256)&gt;0,
     COUNTIFS($AG$2:$AG$200,$G256)&gt;0,
     COUNTIFS($AH$2:$AH$200,$G256)&gt;0,
     COUNTIFS($AI$2:$AI$200,$G256)&gt;0,
     COUNTIFS($AJ$2:$AJ$200,$G256)&gt;0,
     COUNTIFS($AK$2:$AK$200,$G256)&gt;0,
     COUNTIFS($AL$2:$AL$200,$G256)&gt;0,
     COUNTIFS($AM$2:$AM$200,$G256)&gt;0,
     COUNTIFS($AN$2:$AN$200,$G256)&gt;0,
     COUNTIFS($AO$2:$AO$200,$G256)&gt;0,
     COUNTIFS($AP$2:$AP$200,$G256)&gt;0,
     COUNTIFS($AQ$2:$AQ$200,$G256)&gt;0,
     COUNTIFS($AR$2:$AR$200,$G256)&gt;0,
     COUNTIFS($AS$2:$AS$200,$G256)&gt;0,
     COUNTIFS($AT$2:$AT$200,$G256)&gt;0,
     COUNTIFS($AU$2:$AU$200,$G256)&gt;0,
     COUNTIFS($AV$2:$AV$200,$G256)&gt;0,
     COUNTIFS($AW$2:$AW$200,$G256)&gt;0,
     COUNTIFS($AX$2:$AX$200,$G256)&gt;0
   )),
  ),
  3
 ),
"")</f>
        <v/>
      </c>
      <c r="F256" s="3" t="str" cm="1">
        <f t="array" aca="1" ref="F256" ca="1">IFERROR(
 INDEX(
  _xlfn._xlws.FILTER($U$1:$AX$1,
   TRANSPOSE(
    CHOOSE({1;2;3;4;5;6;7;8;9;10;11;12;13;14;15;16;17;18;19;20;21;22;23;24;25;26;27;28;29;30},
     COUNTIFS($U$2:$U$200,$G256)&gt;0,
     COUNTIFS($V$2:$V$200,$G256)&gt;0,
     COUNTIFS($W$2:$W$200,$G256)&gt;0,
     COUNTIFS($X$2:$X$200,$G256)&gt;0,
     COUNTIFS($Y$2:$Y$200,$G256)&gt;0,
     COUNTIFS($Z$2:$Z$200,$G256)&gt;0,
     COUNTIFS($AA$2:$AA$200,$G256)&gt;0,
     COUNTIFS($AB$2:$AB$200,$G256)&gt;0,
     COUNTIFS($AC$2:$AC$200,$G256)&gt;0,
     COUNTIFS($AD$2:$AD$200,$G256)&gt;0,
     COUNTIFS($AE$2:$AE$200,$G256)&gt;0,
     COUNTIFS($AF$2:$AF$200,$G256)&gt;0,
     COUNTIFS($AG$2:$AG$200,$G256)&gt;0,
     COUNTIFS($AH$2:$AH$200,$G256)&gt;0,
     COUNTIFS($AI$2:$AI$200,$G256)&gt;0,
     COUNTIFS($AJ$2:$AJ$200,$G256)&gt;0,
     COUNTIFS($AK$2:$AK$200,$G256)&gt;0,
     COUNTIFS($AL$2:$AL$200,$G256)&gt;0,
     COUNTIFS($AM$2:$AM$200,$G256)&gt;0,
     COUNTIFS($AN$2:$AN$200,$G256)&gt;0,
     COUNTIFS($AO$2:$AO$200,$G256)&gt;0,
     COUNTIFS($AP$2:$AP$200,$G256)&gt;0,
     COUNTIFS($AQ$2:$AQ$200,$G256)&gt;0,
     COUNTIFS($AR$2:$AR$200,$G256)&gt;0,
     COUNTIFS($AS$2:$AS$200,$G256)&gt;0,
     COUNTIFS($AT$2:$AT$200,$G256)&gt;0,
     COUNTIFS($AU$2:$AU$200,$G256)&gt;0,
     COUNTIFS($AV$2:$AV$200,$G256)&gt;0,
     COUNTIFS($AW$2:$AW$200,$G256)&gt;0,
     COUNTIFS($AX$2:$AX$200,$G256)&gt;0
   )),
  ),
  4
 ),
"")</f>
        <v/>
      </c>
      <c r="G256" t="str">
        <f ca="1"/>
        <v>Stoneforge Mystic</v>
      </c>
      <c r="CJ256" t="str">
        <f ca="1"/>
        <v>Stoneforge Mystic</v>
      </c>
    </row>
    <row r="257" spans="1:88" x14ac:dyDescent="0.25">
      <c r="A257" s="3" t="str">
        <f t="shared" ca="1" si="8"/>
        <v>2</v>
      </c>
      <c r="B257" s="3">
        <f t="shared" ca="1" si="9"/>
        <v>1</v>
      </c>
      <c r="C257" s="3" t="str">
        <f ca="1">IFERROR(
 INDEX($U$1:$AX$1,
  MATCH(TRUE,
   CHOOSE({1;2;3;4;5;6;7;8;9;10;11;12;13;14;15;16;17;18;19;20;21;22;23;24;25;26;27;28;29;30;31;32},
    COUNTIFS($U$2:$U$200,$G257)&gt;0,
    COUNTIFS($V$2:$V$200,$G257)&gt;0,
    COUNTIFS($W$2:$W$200,$G257)&gt;0,
    COUNTIFS($X$2:$X$200,$G257)&gt;0,
    COUNTIFS($Y$2:$Y$200,$G257)&gt;0,
    COUNTIFS($Z$2:$Z$200,$G257)&gt;0,
    COUNTIFS($AA$2:$AA$200,$G257)&gt;0,
    COUNTIFS($AB$2:$AB$200,$G257)&gt;0,
    COUNTIFS($AC$2:$AC$200,$G257)&gt;0,
    COUNTIFS($AD$2:$AD$200,$G257)&gt;0,
    COUNTIFS($AE$2:$AE$200,$G257)&gt;0,
    COUNTIFS($AF$2:$AF$200,$G257)&gt;0,
    COUNTIFS($AG$2:$AG$200,$G257)&gt;0,
    COUNTIFS($AH$2:$AH$200,$G257)&gt;0,
    COUNTIFS($AI$2:$AI$200,$G257)&gt;0,
    COUNTIFS($AJ$2:$AJ$200,$G257)&gt;0,
    COUNTIFS($AK$2:$AK$200,$G257)&gt;0,
    COUNTIFS($AL$2:$AL$200,$G257)&gt;0,
    COUNTIFS($AM$2:$AM$200,$G257)&gt;0,
    COUNTIFS($AN$2:$AN$200,$G257)&gt;0,
    COUNTIFS($AO$2:$AO$200,$G257)&gt;0,
    COUNTIFS($AP$2:$AP$200,$G257)&gt;0,
    COUNTIFS($AQ$2:$AQ$200,$G257)&gt;0,
    COUNTIFS($AR$2:$AR$200,$G257)&gt;0,
    COUNTIFS($AS$2:$AS$200,$G257)&gt;0,
    COUNTIFS($AT$2:$AT$200,$G257)&gt;0,
    COUNTIFS($AU$2:$AU$200,$G257)&gt;0,
    COUNTIFS($AV$2:$AV$200,$G257)&gt;0,
    COUNTIFS($AW$2:$AW$200,$G257)&gt;0,
    COUNTIFS($AX$2:$AX$200,$G257)&gt;0
   ),
  0)
 ),
"")</f>
        <v>Kumena</v>
      </c>
      <c r="D257" s="3" t="str" cm="1">
        <f t="array" aca="1" ref="D257" ca="1">IFERROR(
 INDEX(
  _xlfn._xlws.FILTER($U$1:$AX$1,
   TRANSPOSE(
    CHOOSE({1;2;3;4;5;6;7;8;9;10;11;12;13;14;15;16;17;18;19;20;21;22;23;24;25;26;27;28;29;30},
     COUNTIFS($U$2:$U$200,$G257)&gt;0,
     COUNTIFS($V$2:$V$200,$G257)&gt;0,
     COUNTIFS($W$2:$W$200,$G257)&gt;0,
     COUNTIFS($X$2:$X$200,$G257)&gt;0,
     COUNTIFS($Y$2:$Y$200,$G257)&gt;0,
     COUNTIFS($Z$2:$Z$200,$G257)&gt;0,
     COUNTIFS($AA$2:$AA$200,$G257)&gt;0,
     COUNTIFS($AB$2:$AB$200,$G257)&gt;0,
     COUNTIFS($AC$2:$AC$200,$G257)&gt;0,
     COUNTIFS($AD$2:$AD$200,$G257)&gt;0,
     COUNTIFS($AE$2:$AE$200,$G257)&gt;0,
     COUNTIFS($AF$2:$AF$200,$G257)&gt;0,
     COUNTIFS($AG$2:$AG$200,$G257)&gt;0,
     COUNTIFS($AH$2:$AH$200,$G257)&gt;0,
     COUNTIFS($AI$2:$AI$200,$G257)&gt;0,
     COUNTIFS($AJ$2:$AJ$200,$G257)&gt;0,
     COUNTIFS($AK$2:$AK$200,$G257)&gt;0,
     COUNTIFS($AL$2:$AL$200,$G257)&gt;0,
     COUNTIFS($AM$2:$AM$200,$G257)&gt;0,
     COUNTIFS($AN$2:$AN$200,$G257)&gt;0,
     COUNTIFS($AO$2:$AO$200,$G257)&gt;0,
     COUNTIFS($AP$2:$AP$200,$G257)&gt;0,
     COUNTIFS($AQ$2:$AQ$200,$G257)&gt;0,
     COUNTIFS($AR$2:$AR$200,$G257)&gt;0,
     COUNTIFS($AS$2:$AS$200,$G257)&gt;0,
     COUNTIFS($AT$2:$AT$200,$G257)&gt;0,
     COUNTIFS($AU$2:$AU$200,$G257)&gt;0,
     COUNTIFS($AV$2:$AV$200,$G257)&gt;0,
     COUNTIFS($AW$2:$AW$200,$G257)&gt;0,
     COUNTIFS($AX$2:$AX$200,$G257)&gt;0
   )),
  ),
  2
 ),
"")</f>
        <v/>
      </c>
      <c r="E257" s="3" t="str" cm="1">
        <f t="array" aca="1" ref="E257" ca="1">IFERROR(
 INDEX(
  _xlfn._xlws.FILTER($U$1:$AX$1,
   TRANSPOSE(
    CHOOSE({1;2;3;4;5;6;7;8;9;10;11;12;13;14;15;16;17;18;19;20;21;22;23;24;25;26;27;28;29;30},
     COUNTIFS($U$2:$U$200,$G257)&gt;0,
     COUNTIFS($V$2:$V$200,$G257)&gt;0,
     COUNTIFS($W$2:$W$200,$G257)&gt;0,
     COUNTIFS($X$2:$X$200,$G257)&gt;0,
     COUNTIFS($Y$2:$Y$200,$G257)&gt;0,
     COUNTIFS($Z$2:$Z$200,$G257)&gt;0,
     COUNTIFS($AA$2:$AA$200,$G257)&gt;0,
     COUNTIFS($AB$2:$AB$200,$G257)&gt;0,
     COUNTIFS($AC$2:$AC$200,$G257)&gt;0,
     COUNTIFS($AD$2:$AD$200,$G257)&gt;0,
     COUNTIFS($AE$2:$AE$200,$G257)&gt;0,
     COUNTIFS($AF$2:$AF$200,$G257)&gt;0,
     COUNTIFS($AG$2:$AG$200,$G257)&gt;0,
     COUNTIFS($AH$2:$AH$200,$G257)&gt;0,
     COUNTIFS($AI$2:$AI$200,$G257)&gt;0,
     COUNTIFS($AJ$2:$AJ$200,$G257)&gt;0,
     COUNTIFS($AK$2:$AK$200,$G257)&gt;0,
     COUNTIFS($AL$2:$AL$200,$G257)&gt;0,
     COUNTIFS($AM$2:$AM$200,$G257)&gt;0,
     COUNTIFS($AN$2:$AN$200,$G257)&gt;0,
     COUNTIFS($AO$2:$AO$200,$G257)&gt;0,
     COUNTIFS($AP$2:$AP$200,$G257)&gt;0,
     COUNTIFS($AQ$2:$AQ$200,$G257)&gt;0,
     COUNTIFS($AR$2:$AR$200,$G257)&gt;0,
     COUNTIFS($AS$2:$AS$200,$G257)&gt;0,
     COUNTIFS($AT$2:$AT$200,$G257)&gt;0,
     COUNTIFS($AU$2:$AU$200,$G257)&gt;0,
     COUNTIFS($AV$2:$AV$200,$G257)&gt;0,
     COUNTIFS($AW$2:$AW$200,$G257)&gt;0,
     COUNTIFS($AX$2:$AX$200,$G257)&gt;0
   )),
  ),
  3
 ),
"")</f>
        <v/>
      </c>
      <c r="F257" s="3" t="str" cm="1">
        <f t="array" aca="1" ref="F257" ca="1">IFERROR(
 INDEX(
  _xlfn._xlws.FILTER($U$1:$AX$1,
   TRANSPOSE(
    CHOOSE({1;2;3;4;5;6;7;8;9;10;11;12;13;14;15;16;17;18;19;20;21;22;23;24;25;26;27;28;29;30},
     COUNTIFS($U$2:$U$200,$G257)&gt;0,
     COUNTIFS($V$2:$V$200,$G257)&gt;0,
     COUNTIFS($W$2:$W$200,$G257)&gt;0,
     COUNTIFS($X$2:$X$200,$G257)&gt;0,
     COUNTIFS($Y$2:$Y$200,$G257)&gt;0,
     COUNTIFS($Z$2:$Z$200,$G257)&gt;0,
     COUNTIFS($AA$2:$AA$200,$G257)&gt;0,
     COUNTIFS($AB$2:$AB$200,$G257)&gt;0,
     COUNTIFS($AC$2:$AC$200,$G257)&gt;0,
     COUNTIFS($AD$2:$AD$200,$G257)&gt;0,
     COUNTIFS($AE$2:$AE$200,$G257)&gt;0,
     COUNTIFS($AF$2:$AF$200,$G257)&gt;0,
     COUNTIFS($AG$2:$AG$200,$G257)&gt;0,
     COUNTIFS($AH$2:$AH$200,$G257)&gt;0,
     COUNTIFS($AI$2:$AI$200,$G257)&gt;0,
     COUNTIFS($AJ$2:$AJ$200,$G257)&gt;0,
     COUNTIFS($AK$2:$AK$200,$G257)&gt;0,
     COUNTIFS($AL$2:$AL$200,$G257)&gt;0,
     COUNTIFS($AM$2:$AM$200,$G257)&gt;0,
     COUNTIFS($AN$2:$AN$200,$G257)&gt;0,
     COUNTIFS($AO$2:$AO$200,$G257)&gt;0,
     COUNTIFS($AP$2:$AP$200,$G257)&gt;0,
     COUNTIFS($AQ$2:$AQ$200,$G257)&gt;0,
     COUNTIFS($AR$2:$AR$200,$G257)&gt;0,
     COUNTIFS($AS$2:$AS$200,$G257)&gt;0,
     COUNTIFS($AT$2:$AT$200,$G257)&gt;0,
     COUNTIFS($AU$2:$AU$200,$G257)&gt;0,
     COUNTIFS($AV$2:$AV$200,$G257)&gt;0,
     COUNTIFS($AW$2:$AW$200,$G257)&gt;0,
     COUNTIFS($AX$2:$AX$200,$G257)&gt;0
   )),
  ),
  4
 ),
"")</f>
        <v/>
      </c>
      <c r="G257" t="str">
        <f ca="1"/>
        <v>Stonybrook Banneret</v>
      </c>
      <c r="CJ257" t="str">
        <f ca="1"/>
        <v>Stonybrook Banneret</v>
      </c>
    </row>
    <row r="258" spans="1:88" x14ac:dyDescent="0.25">
      <c r="A258" s="3" t="str">
        <f t="shared" ca="1" si="8"/>
        <v>2</v>
      </c>
      <c r="B258" s="3">
        <f t="shared" ca="1" si="9"/>
        <v>1</v>
      </c>
      <c r="C258" s="3" t="str">
        <f ca="1">IFERROR(
 INDEX($U$1:$AX$1,
  MATCH(TRUE,
   CHOOSE({1;2;3;4;5;6;7;8;9;10;11;12;13;14;15;16;17;18;19;20;21;22;23;24;25;26;27;28;29;30;31;32},
    COUNTIFS($U$2:$U$200,$G258)&gt;0,
    COUNTIFS($V$2:$V$200,$G258)&gt;0,
    COUNTIFS($W$2:$W$200,$G258)&gt;0,
    COUNTIFS($X$2:$X$200,$G258)&gt;0,
    COUNTIFS($Y$2:$Y$200,$G258)&gt;0,
    COUNTIFS($Z$2:$Z$200,$G258)&gt;0,
    COUNTIFS($AA$2:$AA$200,$G258)&gt;0,
    COUNTIFS($AB$2:$AB$200,$G258)&gt;0,
    COUNTIFS($AC$2:$AC$200,$G258)&gt;0,
    COUNTIFS($AD$2:$AD$200,$G258)&gt;0,
    COUNTIFS($AE$2:$AE$200,$G258)&gt;0,
    COUNTIFS($AF$2:$AF$200,$G258)&gt;0,
    COUNTIFS($AG$2:$AG$200,$G258)&gt;0,
    COUNTIFS($AH$2:$AH$200,$G258)&gt;0,
    COUNTIFS($AI$2:$AI$200,$G258)&gt;0,
    COUNTIFS($AJ$2:$AJ$200,$G258)&gt;0,
    COUNTIFS($AK$2:$AK$200,$G258)&gt;0,
    COUNTIFS($AL$2:$AL$200,$G258)&gt;0,
    COUNTIFS($AM$2:$AM$200,$G258)&gt;0,
    COUNTIFS($AN$2:$AN$200,$G258)&gt;0,
    COUNTIFS($AO$2:$AO$200,$G258)&gt;0,
    COUNTIFS($AP$2:$AP$200,$G258)&gt;0,
    COUNTIFS($AQ$2:$AQ$200,$G258)&gt;0,
    COUNTIFS($AR$2:$AR$200,$G258)&gt;0,
    COUNTIFS($AS$2:$AS$200,$G258)&gt;0,
    COUNTIFS($AT$2:$AT$200,$G258)&gt;0,
    COUNTIFS($AU$2:$AU$200,$G258)&gt;0,
    COUNTIFS($AV$2:$AV$200,$G258)&gt;0,
    COUNTIFS($AW$2:$AW$200,$G258)&gt;0,
    COUNTIFS($AX$2:$AX$200,$G258)&gt;0
   ),
  0)
 ),
"")</f>
        <v>Piratas</v>
      </c>
      <c r="D258" s="3" t="str" cm="1">
        <f t="array" aca="1" ref="D258" ca="1">IFERROR(
 INDEX(
  _xlfn._xlws.FILTER($U$1:$AX$1,
   TRANSPOSE(
    CHOOSE({1;2;3;4;5;6;7;8;9;10;11;12;13;14;15;16;17;18;19;20;21;22;23;24;25;26;27;28;29;30},
     COUNTIFS($U$2:$U$200,$G258)&gt;0,
     COUNTIFS($V$2:$V$200,$G258)&gt;0,
     COUNTIFS($W$2:$W$200,$G258)&gt;0,
     COUNTIFS($X$2:$X$200,$G258)&gt;0,
     COUNTIFS($Y$2:$Y$200,$G258)&gt;0,
     COUNTIFS($Z$2:$Z$200,$G258)&gt;0,
     COUNTIFS($AA$2:$AA$200,$G258)&gt;0,
     COUNTIFS($AB$2:$AB$200,$G258)&gt;0,
     COUNTIFS($AC$2:$AC$200,$G258)&gt;0,
     COUNTIFS($AD$2:$AD$200,$G258)&gt;0,
     COUNTIFS($AE$2:$AE$200,$G258)&gt;0,
     COUNTIFS($AF$2:$AF$200,$G258)&gt;0,
     COUNTIFS($AG$2:$AG$200,$G258)&gt;0,
     COUNTIFS($AH$2:$AH$200,$G258)&gt;0,
     COUNTIFS($AI$2:$AI$200,$G258)&gt;0,
     COUNTIFS($AJ$2:$AJ$200,$G258)&gt;0,
     COUNTIFS($AK$2:$AK$200,$G258)&gt;0,
     COUNTIFS($AL$2:$AL$200,$G258)&gt;0,
     COUNTIFS($AM$2:$AM$200,$G258)&gt;0,
     COUNTIFS($AN$2:$AN$200,$G258)&gt;0,
     COUNTIFS($AO$2:$AO$200,$G258)&gt;0,
     COUNTIFS($AP$2:$AP$200,$G258)&gt;0,
     COUNTIFS($AQ$2:$AQ$200,$G258)&gt;0,
     COUNTIFS($AR$2:$AR$200,$G258)&gt;0,
     COUNTIFS($AS$2:$AS$200,$G258)&gt;0,
     COUNTIFS($AT$2:$AT$200,$G258)&gt;0,
     COUNTIFS($AU$2:$AU$200,$G258)&gt;0,
     COUNTIFS($AV$2:$AV$200,$G258)&gt;0,
     COUNTIFS($AW$2:$AW$200,$G258)&gt;0,
     COUNTIFS($AX$2:$AX$200,$G258)&gt;0
   )),
  ),
  2
 ),
"")</f>
        <v/>
      </c>
      <c r="E258" s="3" t="str" cm="1">
        <f t="array" aca="1" ref="E258" ca="1">IFERROR(
 INDEX(
  _xlfn._xlws.FILTER($U$1:$AX$1,
   TRANSPOSE(
    CHOOSE({1;2;3;4;5;6;7;8;9;10;11;12;13;14;15;16;17;18;19;20;21;22;23;24;25;26;27;28;29;30},
     COUNTIFS($U$2:$U$200,$G258)&gt;0,
     COUNTIFS($V$2:$V$200,$G258)&gt;0,
     COUNTIFS($W$2:$W$200,$G258)&gt;0,
     COUNTIFS($X$2:$X$200,$G258)&gt;0,
     COUNTIFS($Y$2:$Y$200,$G258)&gt;0,
     COUNTIFS($Z$2:$Z$200,$G258)&gt;0,
     COUNTIFS($AA$2:$AA$200,$G258)&gt;0,
     COUNTIFS($AB$2:$AB$200,$G258)&gt;0,
     COUNTIFS($AC$2:$AC$200,$G258)&gt;0,
     COUNTIFS($AD$2:$AD$200,$G258)&gt;0,
     COUNTIFS($AE$2:$AE$200,$G258)&gt;0,
     COUNTIFS($AF$2:$AF$200,$G258)&gt;0,
     COUNTIFS($AG$2:$AG$200,$G258)&gt;0,
     COUNTIFS($AH$2:$AH$200,$G258)&gt;0,
     COUNTIFS($AI$2:$AI$200,$G258)&gt;0,
     COUNTIFS($AJ$2:$AJ$200,$G258)&gt;0,
     COUNTIFS($AK$2:$AK$200,$G258)&gt;0,
     COUNTIFS($AL$2:$AL$200,$G258)&gt;0,
     COUNTIFS($AM$2:$AM$200,$G258)&gt;0,
     COUNTIFS($AN$2:$AN$200,$G258)&gt;0,
     COUNTIFS($AO$2:$AO$200,$G258)&gt;0,
     COUNTIFS($AP$2:$AP$200,$G258)&gt;0,
     COUNTIFS($AQ$2:$AQ$200,$G258)&gt;0,
     COUNTIFS($AR$2:$AR$200,$G258)&gt;0,
     COUNTIFS($AS$2:$AS$200,$G258)&gt;0,
     COUNTIFS($AT$2:$AT$200,$G258)&gt;0,
     COUNTIFS($AU$2:$AU$200,$G258)&gt;0,
     COUNTIFS($AV$2:$AV$200,$G258)&gt;0,
     COUNTIFS($AW$2:$AW$200,$G258)&gt;0,
     COUNTIFS($AX$2:$AX$200,$G258)&gt;0
   )),
  ),
  3
 ),
"")</f>
        <v/>
      </c>
      <c r="F258" s="3" t="str" cm="1">
        <f t="array" aca="1" ref="F258" ca="1">IFERROR(
 INDEX(
  _xlfn._xlws.FILTER($U$1:$AX$1,
   TRANSPOSE(
    CHOOSE({1;2;3;4;5;6;7;8;9;10;11;12;13;14;15;16;17;18;19;20;21;22;23;24;25;26;27;28;29;30},
     COUNTIFS($U$2:$U$200,$G258)&gt;0,
     COUNTIFS($V$2:$V$200,$G258)&gt;0,
     COUNTIFS($W$2:$W$200,$G258)&gt;0,
     COUNTIFS($X$2:$X$200,$G258)&gt;0,
     COUNTIFS($Y$2:$Y$200,$G258)&gt;0,
     COUNTIFS($Z$2:$Z$200,$G258)&gt;0,
     COUNTIFS($AA$2:$AA$200,$G258)&gt;0,
     COUNTIFS($AB$2:$AB$200,$G258)&gt;0,
     COUNTIFS($AC$2:$AC$200,$G258)&gt;0,
     COUNTIFS($AD$2:$AD$200,$G258)&gt;0,
     COUNTIFS($AE$2:$AE$200,$G258)&gt;0,
     COUNTIFS($AF$2:$AF$200,$G258)&gt;0,
     COUNTIFS($AG$2:$AG$200,$G258)&gt;0,
     COUNTIFS($AH$2:$AH$200,$G258)&gt;0,
     COUNTIFS($AI$2:$AI$200,$G258)&gt;0,
     COUNTIFS($AJ$2:$AJ$200,$G258)&gt;0,
     COUNTIFS($AK$2:$AK$200,$G258)&gt;0,
     COUNTIFS($AL$2:$AL$200,$G258)&gt;0,
     COUNTIFS($AM$2:$AM$200,$G258)&gt;0,
     COUNTIFS($AN$2:$AN$200,$G258)&gt;0,
     COUNTIFS($AO$2:$AO$200,$G258)&gt;0,
     COUNTIFS($AP$2:$AP$200,$G258)&gt;0,
     COUNTIFS($AQ$2:$AQ$200,$G258)&gt;0,
     COUNTIFS($AR$2:$AR$200,$G258)&gt;0,
     COUNTIFS($AS$2:$AS$200,$G258)&gt;0,
     COUNTIFS($AT$2:$AT$200,$G258)&gt;0,
     COUNTIFS($AU$2:$AU$200,$G258)&gt;0,
     COUNTIFS($AV$2:$AV$200,$G258)&gt;0,
     COUNTIFS($AW$2:$AW$200,$G258)&gt;0,
     COUNTIFS($AX$2:$AX$200,$G258)&gt;0
   )),
  ),
  4
 ),
"")</f>
        <v/>
      </c>
      <c r="G258" t="str">
        <f ca="1"/>
        <v>Storm the Vault</v>
      </c>
      <c r="CJ258" t="str">
        <f ca="1"/>
        <v>Storm the Vault</v>
      </c>
    </row>
    <row r="259" spans="1:88" x14ac:dyDescent="0.25">
      <c r="A259" s="3" t="str">
        <f t="shared" ref="A259:A322" ca="1" si="10">IFERROR(INDEX($S$3:$S$200, MATCH($C259, $I$3:$I$200, 0)), "")</f>
        <v>4</v>
      </c>
      <c r="B259" s="3">
        <f t="shared" ref="B259:B322" ca="1" si="11">COUNTIF(U:AX,G259)</f>
        <v>1</v>
      </c>
      <c r="C259" s="3" t="str">
        <f ca="1">IFERROR(
 INDEX($U$1:$AX$1,
  MATCH(TRUE,
   CHOOSE({1;2;3;4;5;6;7;8;9;10;11;12;13;14;15;16;17;18;19;20;21;22;23;24;25;26;27;28;29;30;31;32},
    COUNTIFS($U$2:$U$200,$G259)&gt;0,
    COUNTIFS($V$2:$V$200,$G259)&gt;0,
    COUNTIFS($W$2:$W$200,$G259)&gt;0,
    COUNTIFS($X$2:$X$200,$G259)&gt;0,
    COUNTIFS($Y$2:$Y$200,$G259)&gt;0,
    COUNTIFS($Z$2:$Z$200,$G259)&gt;0,
    COUNTIFS($AA$2:$AA$200,$G259)&gt;0,
    COUNTIFS($AB$2:$AB$200,$G259)&gt;0,
    COUNTIFS($AC$2:$AC$200,$G259)&gt;0,
    COUNTIFS($AD$2:$AD$200,$G259)&gt;0,
    COUNTIFS($AE$2:$AE$200,$G259)&gt;0,
    COUNTIFS($AF$2:$AF$200,$G259)&gt;0,
    COUNTIFS($AG$2:$AG$200,$G259)&gt;0,
    COUNTIFS($AH$2:$AH$200,$G259)&gt;0,
    COUNTIFS($AI$2:$AI$200,$G259)&gt;0,
    COUNTIFS($AJ$2:$AJ$200,$G259)&gt;0,
    COUNTIFS($AK$2:$AK$200,$G259)&gt;0,
    COUNTIFS($AL$2:$AL$200,$G259)&gt;0,
    COUNTIFS($AM$2:$AM$200,$G259)&gt;0,
    COUNTIFS($AN$2:$AN$200,$G259)&gt;0,
    COUNTIFS($AO$2:$AO$200,$G259)&gt;0,
    COUNTIFS($AP$2:$AP$200,$G259)&gt;0,
    COUNTIFS($AQ$2:$AQ$200,$G259)&gt;0,
    COUNTIFS($AR$2:$AR$200,$G259)&gt;0,
    COUNTIFS($AS$2:$AS$200,$G259)&gt;0,
    COUNTIFS($AT$2:$AT$200,$G259)&gt;0,
    COUNTIFS($AU$2:$AU$200,$G259)&gt;0,
    COUNTIFS($AV$2:$AV$200,$G259)&gt;0,
    COUNTIFS($AW$2:$AW$200,$G259)&gt;0,
    COUNTIFS($AX$2:$AX$200,$G259)&gt;0
   ),
  0)
 ),
"")</f>
        <v>OWA</v>
      </c>
      <c r="D259" s="3" t="str" cm="1">
        <f t="array" aca="1" ref="D259" ca="1">IFERROR(
 INDEX(
  _xlfn._xlws.FILTER($U$1:$AX$1,
   TRANSPOSE(
    CHOOSE({1;2;3;4;5;6;7;8;9;10;11;12;13;14;15;16;17;18;19;20;21;22;23;24;25;26;27;28;29;30},
     COUNTIFS($U$2:$U$200,$G259)&gt;0,
     COUNTIFS($V$2:$V$200,$G259)&gt;0,
     COUNTIFS($W$2:$W$200,$G259)&gt;0,
     COUNTIFS($X$2:$X$200,$G259)&gt;0,
     COUNTIFS($Y$2:$Y$200,$G259)&gt;0,
     COUNTIFS($Z$2:$Z$200,$G259)&gt;0,
     COUNTIFS($AA$2:$AA$200,$G259)&gt;0,
     COUNTIFS($AB$2:$AB$200,$G259)&gt;0,
     COUNTIFS($AC$2:$AC$200,$G259)&gt;0,
     COUNTIFS($AD$2:$AD$200,$G259)&gt;0,
     COUNTIFS($AE$2:$AE$200,$G259)&gt;0,
     COUNTIFS($AF$2:$AF$200,$G259)&gt;0,
     COUNTIFS($AG$2:$AG$200,$G259)&gt;0,
     COUNTIFS($AH$2:$AH$200,$G259)&gt;0,
     COUNTIFS($AI$2:$AI$200,$G259)&gt;0,
     COUNTIFS($AJ$2:$AJ$200,$G259)&gt;0,
     COUNTIFS($AK$2:$AK$200,$G259)&gt;0,
     COUNTIFS($AL$2:$AL$200,$G259)&gt;0,
     COUNTIFS($AM$2:$AM$200,$G259)&gt;0,
     COUNTIFS($AN$2:$AN$200,$G259)&gt;0,
     COUNTIFS($AO$2:$AO$200,$G259)&gt;0,
     COUNTIFS($AP$2:$AP$200,$G259)&gt;0,
     COUNTIFS($AQ$2:$AQ$200,$G259)&gt;0,
     COUNTIFS($AR$2:$AR$200,$G259)&gt;0,
     COUNTIFS($AS$2:$AS$200,$G259)&gt;0,
     COUNTIFS($AT$2:$AT$200,$G259)&gt;0,
     COUNTIFS($AU$2:$AU$200,$G259)&gt;0,
     COUNTIFS($AV$2:$AV$200,$G259)&gt;0,
     COUNTIFS($AW$2:$AW$200,$G259)&gt;0,
     COUNTIFS($AX$2:$AX$200,$G259)&gt;0
   )),
  ),
  2
 ),
"")</f>
        <v/>
      </c>
      <c r="E259" s="3" t="str" cm="1">
        <f t="array" aca="1" ref="E259" ca="1">IFERROR(
 INDEX(
  _xlfn._xlws.FILTER($U$1:$AX$1,
   TRANSPOSE(
    CHOOSE({1;2;3;4;5;6;7;8;9;10;11;12;13;14;15;16;17;18;19;20;21;22;23;24;25;26;27;28;29;30},
     COUNTIFS($U$2:$U$200,$G259)&gt;0,
     COUNTIFS($V$2:$V$200,$G259)&gt;0,
     COUNTIFS($W$2:$W$200,$G259)&gt;0,
     COUNTIFS($X$2:$X$200,$G259)&gt;0,
     COUNTIFS($Y$2:$Y$200,$G259)&gt;0,
     COUNTIFS($Z$2:$Z$200,$G259)&gt;0,
     COUNTIFS($AA$2:$AA$200,$G259)&gt;0,
     COUNTIFS($AB$2:$AB$200,$G259)&gt;0,
     COUNTIFS($AC$2:$AC$200,$G259)&gt;0,
     COUNTIFS($AD$2:$AD$200,$G259)&gt;0,
     COUNTIFS($AE$2:$AE$200,$G259)&gt;0,
     COUNTIFS($AF$2:$AF$200,$G259)&gt;0,
     COUNTIFS($AG$2:$AG$200,$G259)&gt;0,
     COUNTIFS($AH$2:$AH$200,$G259)&gt;0,
     COUNTIFS($AI$2:$AI$200,$G259)&gt;0,
     COUNTIFS($AJ$2:$AJ$200,$G259)&gt;0,
     COUNTIFS($AK$2:$AK$200,$G259)&gt;0,
     COUNTIFS($AL$2:$AL$200,$G259)&gt;0,
     COUNTIFS($AM$2:$AM$200,$G259)&gt;0,
     COUNTIFS($AN$2:$AN$200,$G259)&gt;0,
     COUNTIFS($AO$2:$AO$200,$G259)&gt;0,
     COUNTIFS($AP$2:$AP$200,$G259)&gt;0,
     COUNTIFS($AQ$2:$AQ$200,$G259)&gt;0,
     COUNTIFS($AR$2:$AR$200,$G259)&gt;0,
     COUNTIFS($AS$2:$AS$200,$G259)&gt;0,
     COUNTIFS($AT$2:$AT$200,$G259)&gt;0,
     COUNTIFS($AU$2:$AU$200,$G259)&gt;0,
     COUNTIFS($AV$2:$AV$200,$G259)&gt;0,
     COUNTIFS($AW$2:$AW$200,$G259)&gt;0,
     COUNTIFS($AX$2:$AX$200,$G259)&gt;0
   )),
  ),
  3
 ),
"")</f>
        <v/>
      </c>
      <c r="F259" s="3" t="str" cm="1">
        <f t="array" aca="1" ref="F259" ca="1">IFERROR(
 INDEX(
  _xlfn._xlws.FILTER($U$1:$AX$1,
   TRANSPOSE(
    CHOOSE({1;2;3;4;5;6;7;8;9;10;11;12;13;14;15;16;17;18;19;20;21;22;23;24;25;26;27;28;29;30},
     COUNTIFS($U$2:$U$200,$G259)&gt;0,
     COUNTIFS($V$2:$V$200,$G259)&gt;0,
     COUNTIFS($W$2:$W$200,$G259)&gt;0,
     COUNTIFS($X$2:$X$200,$G259)&gt;0,
     COUNTIFS($Y$2:$Y$200,$G259)&gt;0,
     COUNTIFS($Z$2:$Z$200,$G259)&gt;0,
     COUNTIFS($AA$2:$AA$200,$G259)&gt;0,
     COUNTIFS($AB$2:$AB$200,$G259)&gt;0,
     COUNTIFS($AC$2:$AC$200,$G259)&gt;0,
     COUNTIFS($AD$2:$AD$200,$G259)&gt;0,
     COUNTIFS($AE$2:$AE$200,$G259)&gt;0,
     COUNTIFS($AF$2:$AF$200,$G259)&gt;0,
     COUNTIFS($AG$2:$AG$200,$G259)&gt;0,
     COUNTIFS($AH$2:$AH$200,$G259)&gt;0,
     COUNTIFS($AI$2:$AI$200,$G259)&gt;0,
     COUNTIFS($AJ$2:$AJ$200,$G259)&gt;0,
     COUNTIFS($AK$2:$AK$200,$G259)&gt;0,
     COUNTIFS($AL$2:$AL$200,$G259)&gt;0,
     COUNTIFS($AM$2:$AM$200,$G259)&gt;0,
     COUNTIFS($AN$2:$AN$200,$G259)&gt;0,
     COUNTIFS($AO$2:$AO$200,$G259)&gt;0,
     COUNTIFS($AP$2:$AP$200,$G259)&gt;0,
     COUNTIFS($AQ$2:$AQ$200,$G259)&gt;0,
     COUNTIFS($AR$2:$AR$200,$G259)&gt;0,
     COUNTIFS($AS$2:$AS$200,$G259)&gt;0,
     COUNTIFS($AT$2:$AT$200,$G259)&gt;0,
     COUNTIFS($AU$2:$AU$200,$G259)&gt;0,
     COUNTIFS($AV$2:$AV$200,$G259)&gt;0,
     COUNTIFS($AW$2:$AW$200,$G259)&gt;0,
     COUNTIFS($AX$2:$AX$200,$G259)&gt;0
   )),
  ),
  4
 ),
"")</f>
        <v/>
      </c>
      <c r="G259" t="str">
        <f ca="1"/>
        <v>Stridehangar Automaton</v>
      </c>
      <c r="CJ259" t="str">
        <f ca="1"/>
        <v>Stridehangar Automaton</v>
      </c>
    </row>
    <row r="260" spans="1:88" x14ac:dyDescent="0.25">
      <c r="A260" s="3" t="str">
        <f t="shared" ca="1" si="10"/>
        <v>1</v>
      </c>
      <c r="B260" s="3">
        <f t="shared" ca="1" si="11"/>
        <v>1</v>
      </c>
      <c r="C260" s="3" t="str">
        <f ca="1">IFERROR(
 INDEX($U$1:$AX$1,
  MATCH(TRUE,
   CHOOSE({1;2;3;4;5;6;7;8;9;10;11;12;13;14;15;16;17;18;19;20;21;22;23;24;25;26;27;28;29;30;31;32},
    COUNTIFS($U$2:$U$200,$G260)&gt;0,
    COUNTIFS($V$2:$V$200,$G260)&gt;0,
    COUNTIFS($W$2:$W$200,$G260)&gt;0,
    COUNTIFS($X$2:$X$200,$G260)&gt;0,
    COUNTIFS($Y$2:$Y$200,$G260)&gt;0,
    COUNTIFS($Z$2:$Z$200,$G260)&gt;0,
    COUNTIFS($AA$2:$AA$200,$G260)&gt;0,
    COUNTIFS($AB$2:$AB$200,$G260)&gt;0,
    COUNTIFS($AC$2:$AC$200,$G260)&gt;0,
    COUNTIFS($AD$2:$AD$200,$G260)&gt;0,
    COUNTIFS($AE$2:$AE$200,$G260)&gt;0,
    COUNTIFS($AF$2:$AF$200,$G260)&gt;0,
    COUNTIFS($AG$2:$AG$200,$G260)&gt;0,
    COUNTIFS($AH$2:$AH$200,$G260)&gt;0,
    COUNTIFS($AI$2:$AI$200,$G260)&gt;0,
    COUNTIFS($AJ$2:$AJ$200,$G260)&gt;0,
    COUNTIFS($AK$2:$AK$200,$G260)&gt;0,
    COUNTIFS($AL$2:$AL$200,$G260)&gt;0,
    COUNTIFS($AM$2:$AM$200,$G260)&gt;0,
    COUNTIFS($AN$2:$AN$200,$G260)&gt;0,
    COUNTIFS($AO$2:$AO$200,$G260)&gt;0,
    COUNTIFS($AP$2:$AP$200,$G260)&gt;0,
    COUNTIFS($AQ$2:$AQ$200,$G260)&gt;0,
    COUNTIFS($AR$2:$AR$200,$G260)&gt;0,
    COUNTIFS($AS$2:$AS$200,$G260)&gt;0,
    COUNTIFS($AT$2:$AT$200,$G260)&gt;0,
    COUNTIFS($AU$2:$AU$200,$G260)&gt;0,
    COUNTIFS($AV$2:$AV$200,$G260)&gt;0,
    COUNTIFS($AW$2:$AW$200,$G260)&gt;0,
    COUNTIFS($AX$2:$AX$200,$G260)&gt;0
   ),
  0)
 ),
"")</f>
        <v>Modular</v>
      </c>
      <c r="D260" s="3" t="str" cm="1">
        <f t="array" aca="1" ref="D260" ca="1">IFERROR(
 INDEX(
  _xlfn._xlws.FILTER($U$1:$AX$1,
   TRANSPOSE(
    CHOOSE({1;2;3;4;5;6;7;8;9;10;11;12;13;14;15;16;17;18;19;20;21;22;23;24;25;26;27;28;29;30},
     COUNTIFS($U$2:$U$200,$G260)&gt;0,
     COUNTIFS($V$2:$V$200,$G260)&gt;0,
     COUNTIFS($W$2:$W$200,$G260)&gt;0,
     COUNTIFS($X$2:$X$200,$G260)&gt;0,
     COUNTIFS($Y$2:$Y$200,$G260)&gt;0,
     COUNTIFS($Z$2:$Z$200,$G260)&gt;0,
     COUNTIFS($AA$2:$AA$200,$G260)&gt;0,
     COUNTIFS($AB$2:$AB$200,$G260)&gt;0,
     COUNTIFS($AC$2:$AC$200,$G260)&gt;0,
     COUNTIFS($AD$2:$AD$200,$G260)&gt;0,
     COUNTIFS($AE$2:$AE$200,$G260)&gt;0,
     COUNTIFS($AF$2:$AF$200,$G260)&gt;0,
     COUNTIFS($AG$2:$AG$200,$G260)&gt;0,
     COUNTIFS($AH$2:$AH$200,$G260)&gt;0,
     COUNTIFS($AI$2:$AI$200,$G260)&gt;0,
     COUNTIFS($AJ$2:$AJ$200,$G260)&gt;0,
     COUNTIFS($AK$2:$AK$200,$G260)&gt;0,
     COUNTIFS($AL$2:$AL$200,$G260)&gt;0,
     COUNTIFS($AM$2:$AM$200,$G260)&gt;0,
     COUNTIFS($AN$2:$AN$200,$G260)&gt;0,
     COUNTIFS($AO$2:$AO$200,$G260)&gt;0,
     COUNTIFS($AP$2:$AP$200,$G260)&gt;0,
     COUNTIFS($AQ$2:$AQ$200,$G260)&gt;0,
     COUNTIFS($AR$2:$AR$200,$G260)&gt;0,
     COUNTIFS($AS$2:$AS$200,$G260)&gt;0,
     COUNTIFS($AT$2:$AT$200,$G260)&gt;0,
     COUNTIFS($AU$2:$AU$200,$G260)&gt;0,
     COUNTIFS($AV$2:$AV$200,$G260)&gt;0,
     COUNTIFS($AW$2:$AW$200,$G260)&gt;0,
     COUNTIFS($AX$2:$AX$200,$G260)&gt;0
   )),
  ),
  2
 ),
"")</f>
        <v/>
      </c>
      <c r="E260" s="3" t="str" cm="1">
        <f t="array" aca="1" ref="E260" ca="1">IFERROR(
 INDEX(
  _xlfn._xlws.FILTER($U$1:$AX$1,
   TRANSPOSE(
    CHOOSE({1;2;3;4;5;6;7;8;9;10;11;12;13;14;15;16;17;18;19;20;21;22;23;24;25;26;27;28;29;30},
     COUNTIFS($U$2:$U$200,$G260)&gt;0,
     COUNTIFS($V$2:$V$200,$G260)&gt;0,
     COUNTIFS($W$2:$W$200,$G260)&gt;0,
     COUNTIFS($X$2:$X$200,$G260)&gt;0,
     COUNTIFS($Y$2:$Y$200,$G260)&gt;0,
     COUNTIFS($Z$2:$Z$200,$G260)&gt;0,
     COUNTIFS($AA$2:$AA$200,$G260)&gt;0,
     COUNTIFS($AB$2:$AB$200,$G260)&gt;0,
     COUNTIFS($AC$2:$AC$200,$G260)&gt;0,
     COUNTIFS($AD$2:$AD$200,$G260)&gt;0,
     COUNTIFS($AE$2:$AE$200,$G260)&gt;0,
     COUNTIFS($AF$2:$AF$200,$G260)&gt;0,
     COUNTIFS($AG$2:$AG$200,$G260)&gt;0,
     COUNTIFS($AH$2:$AH$200,$G260)&gt;0,
     COUNTIFS($AI$2:$AI$200,$G260)&gt;0,
     COUNTIFS($AJ$2:$AJ$200,$G260)&gt;0,
     COUNTIFS($AK$2:$AK$200,$G260)&gt;0,
     COUNTIFS($AL$2:$AL$200,$G260)&gt;0,
     COUNTIFS($AM$2:$AM$200,$G260)&gt;0,
     COUNTIFS($AN$2:$AN$200,$G260)&gt;0,
     COUNTIFS($AO$2:$AO$200,$G260)&gt;0,
     COUNTIFS($AP$2:$AP$200,$G260)&gt;0,
     COUNTIFS($AQ$2:$AQ$200,$G260)&gt;0,
     COUNTIFS($AR$2:$AR$200,$G260)&gt;0,
     COUNTIFS($AS$2:$AS$200,$G260)&gt;0,
     COUNTIFS($AT$2:$AT$200,$G260)&gt;0,
     COUNTIFS($AU$2:$AU$200,$G260)&gt;0,
     COUNTIFS($AV$2:$AV$200,$G260)&gt;0,
     COUNTIFS($AW$2:$AW$200,$G260)&gt;0,
     COUNTIFS($AX$2:$AX$200,$G260)&gt;0
   )),
  ),
  3
 ),
"")</f>
        <v/>
      </c>
      <c r="F260" s="3" t="str" cm="1">
        <f t="array" aca="1" ref="F260" ca="1">IFERROR(
 INDEX(
  _xlfn._xlws.FILTER($U$1:$AX$1,
   TRANSPOSE(
    CHOOSE({1;2;3;4;5;6;7;8;9;10;11;12;13;14;15;16;17;18;19;20;21;22;23;24;25;26;27;28;29;30},
     COUNTIFS($U$2:$U$200,$G260)&gt;0,
     COUNTIFS($V$2:$V$200,$G260)&gt;0,
     COUNTIFS($W$2:$W$200,$G260)&gt;0,
     COUNTIFS($X$2:$X$200,$G260)&gt;0,
     COUNTIFS($Y$2:$Y$200,$G260)&gt;0,
     COUNTIFS($Z$2:$Z$200,$G260)&gt;0,
     COUNTIFS($AA$2:$AA$200,$G260)&gt;0,
     COUNTIFS($AB$2:$AB$200,$G260)&gt;0,
     COUNTIFS($AC$2:$AC$200,$G260)&gt;0,
     COUNTIFS($AD$2:$AD$200,$G260)&gt;0,
     COUNTIFS($AE$2:$AE$200,$G260)&gt;0,
     COUNTIFS($AF$2:$AF$200,$G260)&gt;0,
     COUNTIFS($AG$2:$AG$200,$G260)&gt;0,
     COUNTIFS($AH$2:$AH$200,$G260)&gt;0,
     COUNTIFS($AI$2:$AI$200,$G260)&gt;0,
     COUNTIFS($AJ$2:$AJ$200,$G260)&gt;0,
     COUNTIFS($AK$2:$AK$200,$G260)&gt;0,
     COUNTIFS($AL$2:$AL$200,$G260)&gt;0,
     COUNTIFS($AM$2:$AM$200,$G260)&gt;0,
     COUNTIFS($AN$2:$AN$200,$G260)&gt;0,
     COUNTIFS($AO$2:$AO$200,$G260)&gt;0,
     COUNTIFS($AP$2:$AP$200,$G260)&gt;0,
     COUNTIFS($AQ$2:$AQ$200,$G260)&gt;0,
     COUNTIFS($AR$2:$AR$200,$G260)&gt;0,
     COUNTIFS($AS$2:$AS$200,$G260)&gt;0,
     COUNTIFS($AT$2:$AT$200,$G260)&gt;0,
     COUNTIFS($AU$2:$AU$200,$G260)&gt;0,
     COUNTIFS($AV$2:$AV$200,$G260)&gt;0,
     COUNTIFS($AW$2:$AW$200,$G260)&gt;0,
     COUNTIFS($AX$2:$AX$200,$G260)&gt;0
   )),
  ),
  4
 ),
"")</f>
        <v/>
      </c>
      <c r="G260" t="str">
        <f ca="1"/>
        <v>Strionic Resonator</v>
      </c>
      <c r="CJ260" t="str">
        <f ca="1"/>
        <v>Strionic Resonator</v>
      </c>
    </row>
    <row r="261" spans="1:88" x14ac:dyDescent="0.25">
      <c r="A261" s="3" t="str">
        <f t="shared" ca="1" si="10"/>
        <v>2</v>
      </c>
      <c r="B261" s="3">
        <f t="shared" ca="1" si="11"/>
        <v>1</v>
      </c>
      <c r="C261" s="3" t="str">
        <f ca="1">IFERROR(
 INDEX($U$1:$AX$1,
  MATCH(TRUE,
   CHOOSE({1;2;3;4;5;6;7;8;9;10;11;12;13;14;15;16;17;18;19;20;21;22;23;24;25;26;27;28;29;30;31;32},
    COUNTIFS($U$2:$U$200,$G261)&gt;0,
    COUNTIFS($V$2:$V$200,$G261)&gt;0,
    COUNTIFS($W$2:$W$200,$G261)&gt;0,
    COUNTIFS($X$2:$X$200,$G261)&gt;0,
    COUNTIFS($Y$2:$Y$200,$G261)&gt;0,
    COUNTIFS($Z$2:$Z$200,$G261)&gt;0,
    COUNTIFS($AA$2:$AA$200,$G261)&gt;0,
    COUNTIFS($AB$2:$AB$200,$G261)&gt;0,
    COUNTIFS($AC$2:$AC$200,$G261)&gt;0,
    COUNTIFS($AD$2:$AD$200,$G261)&gt;0,
    COUNTIFS($AE$2:$AE$200,$G261)&gt;0,
    COUNTIFS($AF$2:$AF$200,$G261)&gt;0,
    COUNTIFS($AG$2:$AG$200,$G261)&gt;0,
    COUNTIFS($AH$2:$AH$200,$G261)&gt;0,
    COUNTIFS($AI$2:$AI$200,$G261)&gt;0,
    COUNTIFS($AJ$2:$AJ$200,$G261)&gt;0,
    COUNTIFS($AK$2:$AK$200,$G261)&gt;0,
    COUNTIFS($AL$2:$AL$200,$G261)&gt;0,
    COUNTIFS($AM$2:$AM$200,$G261)&gt;0,
    COUNTIFS($AN$2:$AN$200,$G261)&gt;0,
    COUNTIFS($AO$2:$AO$200,$G261)&gt;0,
    COUNTIFS($AP$2:$AP$200,$G261)&gt;0,
    COUNTIFS($AQ$2:$AQ$200,$G261)&gt;0,
    COUNTIFS($AR$2:$AR$200,$G261)&gt;0,
    COUNTIFS($AS$2:$AS$200,$G261)&gt;0,
    COUNTIFS($AT$2:$AT$200,$G261)&gt;0,
    COUNTIFS($AU$2:$AU$200,$G261)&gt;0,
    COUNTIFS($AV$2:$AV$200,$G261)&gt;0,
    COUNTIFS($AW$2:$AW$200,$G261)&gt;0,
    COUNTIFS($AX$2:$AX$200,$G261)&gt;0
   ),
  0)
 ),
"")</f>
        <v>Rani</v>
      </c>
      <c r="D261" s="3" t="str" cm="1">
        <f t="array" aca="1" ref="D261" ca="1">IFERROR(
 INDEX(
  _xlfn._xlws.FILTER($U$1:$AX$1,
   TRANSPOSE(
    CHOOSE({1;2;3;4;5;6;7;8;9;10;11;12;13;14;15;16;17;18;19;20;21;22;23;24;25;26;27;28;29;30},
     COUNTIFS($U$2:$U$200,$G261)&gt;0,
     COUNTIFS($V$2:$V$200,$G261)&gt;0,
     COUNTIFS($W$2:$W$200,$G261)&gt;0,
     COUNTIFS($X$2:$X$200,$G261)&gt;0,
     COUNTIFS($Y$2:$Y$200,$G261)&gt;0,
     COUNTIFS($Z$2:$Z$200,$G261)&gt;0,
     COUNTIFS($AA$2:$AA$200,$G261)&gt;0,
     COUNTIFS($AB$2:$AB$200,$G261)&gt;0,
     COUNTIFS($AC$2:$AC$200,$G261)&gt;0,
     COUNTIFS($AD$2:$AD$200,$G261)&gt;0,
     COUNTIFS($AE$2:$AE$200,$G261)&gt;0,
     COUNTIFS($AF$2:$AF$200,$G261)&gt;0,
     COUNTIFS($AG$2:$AG$200,$G261)&gt;0,
     COUNTIFS($AH$2:$AH$200,$G261)&gt;0,
     COUNTIFS($AI$2:$AI$200,$G261)&gt;0,
     COUNTIFS($AJ$2:$AJ$200,$G261)&gt;0,
     COUNTIFS($AK$2:$AK$200,$G261)&gt;0,
     COUNTIFS($AL$2:$AL$200,$G261)&gt;0,
     COUNTIFS($AM$2:$AM$200,$G261)&gt;0,
     COUNTIFS($AN$2:$AN$200,$G261)&gt;0,
     COUNTIFS($AO$2:$AO$200,$G261)&gt;0,
     COUNTIFS($AP$2:$AP$200,$G261)&gt;0,
     COUNTIFS($AQ$2:$AQ$200,$G261)&gt;0,
     COUNTIFS($AR$2:$AR$200,$G261)&gt;0,
     COUNTIFS($AS$2:$AS$200,$G261)&gt;0,
     COUNTIFS($AT$2:$AT$200,$G261)&gt;0,
     COUNTIFS($AU$2:$AU$200,$G261)&gt;0,
     COUNTIFS($AV$2:$AV$200,$G261)&gt;0,
     COUNTIFS($AW$2:$AW$200,$G261)&gt;0,
     COUNTIFS($AX$2:$AX$200,$G261)&gt;0
   )),
  ),
  2
 ),
"")</f>
        <v/>
      </c>
      <c r="E261" s="3" t="str" cm="1">
        <f t="array" aca="1" ref="E261" ca="1">IFERROR(
 INDEX(
  _xlfn._xlws.FILTER($U$1:$AX$1,
   TRANSPOSE(
    CHOOSE({1;2;3;4;5;6;7;8;9;10;11;12;13;14;15;16;17;18;19;20;21;22;23;24;25;26;27;28;29;30},
     COUNTIFS($U$2:$U$200,$G261)&gt;0,
     COUNTIFS($V$2:$V$200,$G261)&gt;0,
     COUNTIFS($W$2:$W$200,$G261)&gt;0,
     COUNTIFS($X$2:$X$200,$G261)&gt;0,
     COUNTIFS($Y$2:$Y$200,$G261)&gt;0,
     COUNTIFS($Z$2:$Z$200,$G261)&gt;0,
     COUNTIFS($AA$2:$AA$200,$G261)&gt;0,
     COUNTIFS($AB$2:$AB$200,$G261)&gt;0,
     COUNTIFS($AC$2:$AC$200,$G261)&gt;0,
     COUNTIFS($AD$2:$AD$200,$G261)&gt;0,
     COUNTIFS($AE$2:$AE$200,$G261)&gt;0,
     COUNTIFS($AF$2:$AF$200,$G261)&gt;0,
     COUNTIFS($AG$2:$AG$200,$G261)&gt;0,
     COUNTIFS($AH$2:$AH$200,$G261)&gt;0,
     COUNTIFS($AI$2:$AI$200,$G261)&gt;0,
     COUNTIFS($AJ$2:$AJ$200,$G261)&gt;0,
     COUNTIFS($AK$2:$AK$200,$G261)&gt;0,
     COUNTIFS($AL$2:$AL$200,$G261)&gt;0,
     COUNTIFS($AM$2:$AM$200,$G261)&gt;0,
     COUNTIFS($AN$2:$AN$200,$G261)&gt;0,
     COUNTIFS($AO$2:$AO$200,$G261)&gt;0,
     COUNTIFS($AP$2:$AP$200,$G261)&gt;0,
     COUNTIFS($AQ$2:$AQ$200,$G261)&gt;0,
     COUNTIFS($AR$2:$AR$200,$G261)&gt;0,
     COUNTIFS($AS$2:$AS$200,$G261)&gt;0,
     COUNTIFS($AT$2:$AT$200,$G261)&gt;0,
     COUNTIFS($AU$2:$AU$200,$G261)&gt;0,
     COUNTIFS($AV$2:$AV$200,$G261)&gt;0,
     COUNTIFS($AW$2:$AW$200,$G261)&gt;0,
     COUNTIFS($AX$2:$AX$200,$G261)&gt;0
   )),
  ),
  3
 ),
"")</f>
        <v/>
      </c>
      <c r="F261" s="3" t="str" cm="1">
        <f t="array" aca="1" ref="F261" ca="1">IFERROR(
 INDEX(
  _xlfn._xlws.FILTER($U$1:$AX$1,
   TRANSPOSE(
    CHOOSE({1;2;3;4;5;6;7;8;9;10;11;12;13;14;15;16;17;18;19;20;21;22;23;24;25;26;27;28;29;30},
     COUNTIFS($U$2:$U$200,$G261)&gt;0,
     COUNTIFS($V$2:$V$200,$G261)&gt;0,
     COUNTIFS($W$2:$W$200,$G261)&gt;0,
     COUNTIFS($X$2:$X$200,$G261)&gt;0,
     COUNTIFS($Y$2:$Y$200,$G261)&gt;0,
     COUNTIFS($Z$2:$Z$200,$G261)&gt;0,
     COUNTIFS($AA$2:$AA$200,$G261)&gt;0,
     COUNTIFS($AB$2:$AB$200,$G261)&gt;0,
     COUNTIFS($AC$2:$AC$200,$G261)&gt;0,
     COUNTIFS($AD$2:$AD$200,$G261)&gt;0,
     COUNTIFS($AE$2:$AE$200,$G261)&gt;0,
     COUNTIFS($AF$2:$AF$200,$G261)&gt;0,
     COUNTIFS($AG$2:$AG$200,$G261)&gt;0,
     COUNTIFS($AH$2:$AH$200,$G261)&gt;0,
     COUNTIFS($AI$2:$AI$200,$G261)&gt;0,
     COUNTIFS($AJ$2:$AJ$200,$G261)&gt;0,
     COUNTIFS($AK$2:$AK$200,$G261)&gt;0,
     COUNTIFS($AL$2:$AL$200,$G261)&gt;0,
     COUNTIFS($AM$2:$AM$200,$G261)&gt;0,
     COUNTIFS($AN$2:$AN$200,$G261)&gt;0,
     COUNTIFS($AO$2:$AO$200,$G261)&gt;0,
     COUNTIFS($AP$2:$AP$200,$G261)&gt;0,
     COUNTIFS($AQ$2:$AQ$200,$G261)&gt;0,
     COUNTIFS($AR$2:$AR$200,$G261)&gt;0,
     COUNTIFS($AS$2:$AS$200,$G261)&gt;0,
     COUNTIFS($AT$2:$AT$200,$G261)&gt;0,
     COUNTIFS($AU$2:$AU$200,$G261)&gt;0,
     COUNTIFS($AV$2:$AV$200,$G261)&gt;0,
     COUNTIFS($AW$2:$AW$200,$G261)&gt;0,
     COUNTIFS($AX$2:$AX$200,$G261)&gt;0
   )),
  ),
  4
 ),
"")</f>
        <v/>
      </c>
      <c r="G261" t="str">
        <f ca="1"/>
        <v>Sulfur Falls</v>
      </c>
      <c r="CJ261" t="str">
        <f ca="1"/>
        <v>Sulfur Falls</v>
      </c>
    </row>
    <row r="262" spans="1:88" x14ac:dyDescent="0.25">
      <c r="A262" s="3" t="str">
        <f t="shared" ca="1" si="10"/>
        <v>1</v>
      </c>
      <c r="B262" s="3">
        <f t="shared" ca="1" si="11"/>
        <v>1</v>
      </c>
      <c r="C262" s="3" t="str">
        <f ca="1">IFERROR(
 INDEX($U$1:$AX$1,
  MATCH(TRUE,
   CHOOSE({1;2;3;4;5;6;7;8;9;10;11;12;13;14;15;16;17;18;19;20;21;22;23;24;25;26;27;28;29;30;31;32},
    COUNTIFS($U$2:$U$200,$G262)&gt;0,
    COUNTIFS($V$2:$V$200,$G262)&gt;0,
    COUNTIFS($W$2:$W$200,$G262)&gt;0,
    COUNTIFS($X$2:$X$200,$G262)&gt;0,
    COUNTIFS($Y$2:$Y$200,$G262)&gt;0,
    COUNTIFS($Z$2:$Z$200,$G262)&gt;0,
    COUNTIFS($AA$2:$AA$200,$G262)&gt;0,
    COUNTIFS($AB$2:$AB$200,$G262)&gt;0,
    COUNTIFS($AC$2:$AC$200,$G262)&gt;0,
    COUNTIFS($AD$2:$AD$200,$G262)&gt;0,
    COUNTIFS($AE$2:$AE$200,$G262)&gt;0,
    COUNTIFS($AF$2:$AF$200,$G262)&gt;0,
    COUNTIFS($AG$2:$AG$200,$G262)&gt;0,
    COUNTIFS($AH$2:$AH$200,$G262)&gt;0,
    COUNTIFS($AI$2:$AI$200,$G262)&gt;0,
    COUNTIFS($AJ$2:$AJ$200,$G262)&gt;0,
    COUNTIFS($AK$2:$AK$200,$G262)&gt;0,
    COUNTIFS($AL$2:$AL$200,$G262)&gt;0,
    COUNTIFS($AM$2:$AM$200,$G262)&gt;0,
    COUNTIFS($AN$2:$AN$200,$G262)&gt;0,
    COUNTIFS($AO$2:$AO$200,$G262)&gt;0,
    COUNTIFS($AP$2:$AP$200,$G262)&gt;0,
    COUNTIFS($AQ$2:$AQ$200,$G262)&gt;0,
    COUNTIFS($AR$2:$AR$200,$G262)&gt;0,
    COUNTIFS($AS$2:$AS$200,$G262)&gt;0,
    COUNTIFS($AT$2:$AT$200,$G262)&gt;0,
    COUNTIFS($AU$2:$AU$200,$G262)&gt;0,
    COUNTIFS($AV$2:$AV$200,$G262)&gt;0,
    COUNTIFS($AW$2:$AW$200,$G262)&gt;0,
    COUNTIFS($AX$2:$AX$200,$G262)&gt;0
   ),
  0)
 ),
"")</f>
        <v>Tayam</v>
      </c>
      <c r="D262" s="3" t="str" cm="1">
        <f t="array" aca="1" ref="D262" ca="1">IFERROR(
 INDEX(
  _xlfn._xlws.FILTER($U$1:$AX$1,
   TRANSPOSE(
    CHOOSE({1;2;3;4;5;6;7;8;9;10;11;12;13;14;15;16;17;18;19;20;21;22;23;24;25;26;27;28;29;30},
     COUNTIFS($U$2:$U$200,$G262)&gt;0,
     COUNTIFS($V$2:$V$200,$G262)&gt;0,
     COUNTIFS($W$2:$W$200,$G262)&gt;0,
     COUNTIFS($X$2:$X$200,$G262)&gt;0,
     COUNTIFS($Y$2:$Y$200,$G262)&gt;0,
     COUNTIFS($Z$2:$Z$200,$G262)&gt;0,
     COUNTIFS($AA$2:$AA$200,$G262)&gt;0,
     COUNTIFS($AB$2:$AB$200,$G262)&gt;0,
     COUNTIFS($AC$2:$AC$200,$G262)&gt;0,
     COUNTIFS($AD$2:$AD$200,$G262)&gt;0,
     COUNTIFS($AE$2:$AE$200,$G262)&gt;0,
     COUNTIFS($AF$2:$AF$200,$G262)&gt;0,
     COUNTIFS($AG$2:$AG$200,$G262)&gt;0,
     COUNTIFS($AH$2:$AH$200,$G262)&gt;0,
     COUNTIFS($AI$2:$AI$200,$G262)&gt;0,
     COUNTIFS($AJ$2:$AJ$200,$G262)&gt;0,
     COUNTIFS($AK$2:$AK$200,$G262)&gt;0,
     COUNTIFS($AL$2:$AL$200,$G262)&gt;0,
     COUNTIFS($AM$2:$AM$200,$G262)&gt;0,
     COUNTIFS($AN$2:$AN$200,$G262)&gt;0,
     COUNTIFS($AO$2:$AO$200,$G262)&gt;0,
     COUNTIFS($AP$2:$AP$200,$G262)&gt;0,
     COUNTIFS($AQ$2:$AQ$200,$G262)&gt;0,
     COUNTIFS($AR$2:$AR$200,$G262)&gt;0,
     COUNTIFS($AS$2:$AS$200,$G262)&gt;0,
     COUNTIFS($AT$2:$AT$200,$G262)&gt;0,
     COUNTIFS($AU$2:$AU$200,$G262)&gt;0,
     COUNTIFS($AV$2:$AV$200,$G262)&gt;0,
     COUNTIFS($AW$2:$AW$200,$G262)&gt;0,
     COUNTIFS($AX$2:$AX$200,$G262)&gt;0
   )),
  ),
  2
 ),
"")</f>
        <v/>
      </c>
      <c r="E262" s="3" t="str" cm="1">
        <f t="array" aca="1" ref="E262" ca="1">IFERROR(
 INDEX(
  _xlfn._xlws.FILTER($U$1:$AX$1,
   TRANSPOSE(
    CHOOSE({1;2;3;4;5;6;7;8;9;10;11;12;13;14;15;16;17;18;19;20;21;22;23;24;25;26;27;28;29;30},
     COUNTIFS($U$2:$U$200,$G262)&gt;0,
     COUNTIFS($V$2:$V$200,$G262)&gt;0,
     COUNTIFS($W$2:$W$200,$G262)&gt;0,
     COUNTIFS($X$2:$X$200,$G262)&gt;0,
     COUNTIFS($Y$2:$Y$200,$G262)&gt;0,
     COUNTIFS($Z$2:$Z$200,$G262)&gt;0,
     COUNTIFS($AA$2:$AA$200,$G262)&gt;0,
     COUNTIFS($AB$2:$AB$200,$G262)&gt;0,
     COUNTIFS($AC$2:$AC$200,$G262)&gt;0,
     COUNTIFS($AD$2:$AD$200,$G262)&gt;0,
     COUNTIFS($AE$2:$AE$200,$G262)&gt;0,
     COUNTIFS($AF$2:$AF$200,$G262)&gt;0,
     COUNTIFS($AG$2:$AG$200,$G262)&gt;0,
     COUNTIFS($AH$2:$AH$200,$G262)&gt;0,
     COUNTIFS($AI$2:$AI$200,$G262)&gt;0,
     COUNTIFS($AJ$2:$AJ$200,$G262)&gt;0,
     COUNTIFS($AK$2:$AK$200,$G262)&gt;0,
     COUNTIFS($AL$2:$AL$200,$G262)&gt;0,
     COUNTIFS($AM$2:$AM$200,$G262)&gt;0,
     COUNTIFS($AN$2:$AN$200,$G262)&gt;0,
     COUNTIFS($AO$2:$AO$200,$G262)&gt;0,
     COUNTIFS($AP$2:$AP$200,$G262)&gt;0,
     COUNTIFS($AQ$2:$AQ$200,$G262)&gt;0,
     COUNTIFS($AR$2:$AR$200,$G262)&gt;0,
     COUNTIFS($AS$2:$AS$200,$G262)&gt;0,
     COUNTIFS($AT$2:$AT$200,$G262)&gt;0,
     COUNTIFS($AU$2:$AU$200,$G262)&gt;0,
     COUNTIFS($AV$2:$AV$200,$G262)&gt;0,
     COUNTIFS($AW$2:$AW$200,$G262)&gt;0,
     COUNTIFS($AX$2:$AX$200,$G262)&gt;0
   )),
  ),
  3
 ),
"")</f>
        <v/>
      </c>
      <c r="F262" s="3" t="str" cm="1">
        <f t="array" aca="1" ref="F262" ca="1">IFERROR(
 INDEX(
  _xlfn._xlws.FILTER($U$1:$AX$1,
   TRANSPOSE(
    CHOOSE({1;2;3;4;5;6;7;8;9;10;11;12;13;14;15;16;17;18;19;20;21;22;23;24;25;26;27;28;29;30},
     COUNTIFS($U$2:$U$200,$G262)&gt;0,
     COUNTIFS($V$2:$V$200,$G262)&gt;0,
     COUNTIFS($W$2:$W$200,$G262)&gt;0,
     COUNTIFS($X$2:$X$200,$G262)&gt;0,
     COUNTIFS($Y$2:$Y$200,$G262)&gt;0,
     COUNTIFS($Z$2:$Z$200,$G262)&gt;0,
     COUNTIFS($AA$2:$AA$200,$G262)&gt;0,
     COUNTIFS($AB$2:$AB$200,$G262)&gt;0,
     COUNTIFS($AC$2:$AC$200,$G262)&gt;0,
     COUNTIFS($AD$2:$AD$200,$G262)&gt;0,
     COUNTIFS($AE$2:$AE$200,$G262)&gt;0,
     COUNTIFS($AF$2:$AF$200,$G262)&gt;0,
     COUNTIFS($AG$2:$AG$200,$G262)&gt;0,
     COUNTIFS($AH$2:$AH$200,$G262)&gt;0,
     COUNTIFS($AI$2:$AI$200,$G262)&gt;0,
     COUNTIFS($AJ$2:$AJ$200,$G262)&gt;0,
     COUNTIFS($AK$2:$AK$200,$G262)&gt;0,
     COUNTIFS($AL$2:$AL$200,$G262)&gt;0,
     COUNTIFS($AM$2:$AM$200,$G262)&gt;0,
     COUNTIFS($AN$2:$AN$200,$G262)&gt;0,
     COUNTIFS($AO$2:$AO$200,$G262)&gt;0,
     COUNTIFS($AP$2:$AP$200,$G262)&gt;0,
     COUNTIFS($AQ$2:$AQ$200,$G262)&gt;0,
     COUNTIFS($AR$2:$AR$200,$G262)&gt;0,
     COUNTIFS($AS$2:$AS$200,$G262)&gt;0,
     COUNTIFS($AT$2:$AT$200,$G262)&gt;0,
     COUNTIFS($AU$2:$AU$200,$G262)&gt;0,
     COUNTIFS($AV$2:$AV$200,$G262)&gt;0,
     COUNTIFS($AW$2:$AW$200,$G262)&gt;0,
     COUNTIFS($AX$2:$AX$200,$G262)&gt;0
   )),
  ),
  4
 ),
"")</f>
        <v/>
      </c>
      <c r="G262" t="str">
        <f ca="1"/>
        <v>Summon: Fenrir</v>
      </c>
      <c r="CJ262" t="str">
        <f ca="1"/>
        <v>Summon: Fenrir</v>
      </c>
    </row>
    <row r="263" spans="1:88" x14ac:dyDescent="0.25">
      <c r="A263" s="3" t="str">
        <f t="shared" ca="1" si="10"/>
        <v>1</v>
      </c>
      <c r="B263" s="3">
        <f t="shared" ca="1" si="11"/>
        <v>1</v>
      </c>
      <c r="C263" s="3" t="str">
        <f ca="1">IFERROR(
 INDEX($U$1:$AX$1,
  MATCH(TRUE,
   CHOOSE({1;2;3;4;5;6;7;8;9;10;11;12;13;14;15;16;17;18;19;20;21;22;23;24;25;26;27;28;29;30;31;32},
    COUNTIFS($U$2:$U$200,$G263)&gt;0,
    COUNTIFS($V$2:$V$200,$G263)&gt;0,
    COUNTIFS($W$2:$W$200,$G263)&gt;0,
    COUNTIFS($X$2:$X$200,$G263)&gt;0,
    COUNTIFS($Y$2:$Y$200,$G263)&gt;0,
    COUNTIFS($Z$2:$Z$200,$G263)&gt;0,
    COUNTIFS($AA$2:$AA$200,$G263)&gt;0,
    COUNTIFS($AB$2:$AB$200,$G263)&gt;0,
    COUNTIFS($AC$2:$AC$200,$G263)&gt;0,
    COUNTIFS($AD$2:$AD$200,$G263)&gt;0,
    COUNTIFS($AE$2:$AE$200,$G263)&gt;0,
    COUNTIFS($AF$2:$AF$200,$G263)&gt;0,
    COUNTIFS($AG$2:$AG$200,$G263)&gt;0,
    COUNTIFS($AH$2:$AH$200,$G263)&gt;0,
    COUNTIFS($AI$2:$AI$200,$G263)&gt;0,
    COUNTIFS($AJ$2:$AJ$200,$G263)&gt;0,
    COUNTIFS($AK$2:$AK$200,$G263)&gt;0,
    COUNTIFS($AL$2:$AL$200,$G263)&gt;0,
    COUNTIFS($AM$2:$AM$200,$G263)&gt;0,
    COUNTIFS($AN$2:$AN$200,$G263)&gt;0,
    COUNTIFS($AO$2:$AO$200,$G263)&gt;0,
    COUNTIFS($AP$2:$AP$200,$G263)&gt;0,
    COUNTIFS($AQ$2:$AQ$200,$G263)&gt;0,
    COUNTIFS($AR$2:$AR$200,$G263)&gt;0,
    COUNTIFS($AS$2:$AS$200,$G263)&gt;0,
    COUNTIFS($AT$2:$AT$200,$G263)&gt;0,
    COUNTIFS($AU$2:$AU$200,$G263)&gt;0,
    COUNTIFS($AV$2:$AV$200,$G263)&gt;0,
    COUNTIFS($AW$2:$AW$200,$G263)&gt;0,
    COUNTIFS($AX$2:$AX$200,$G263)&gt;0
   ),
  0)
 ),
"")</f>
        <v>Tayam</v>
      </c>
      <c r="D263" s="3" t="str" cm="1">
        <f t="array" aca="1" ref="D263" ca="1">IFERROR(
 INDEX(
  _xlfn._xlws.FILTER($U$1:$AX$1,
   TRANSPOSE(
    CHOOSE({1;2;3;4;5;6;7;8;9;10;11;12;13;14;15;16;17;18;19;20;21;22;23;24;25;26;27;28;29;30},
     COUNTIFS($U$2:$U$200,$G263)&gt;0,
     COUNTIFS($V$2:$V$200,$G263)&gt;0,
     COUNTIFS($W$2:$W$200,$G263)&gt;0,
     COUNTIFS($X$2:$X$200,$G263)&gt;0,
     COUNTIFS($Y$2:$Y$200,$G263)&gt;0,
     COUNTIFS($Z$2:$Z$200,$G263)&gt;0,
     COUNTIFS($AA$2:$AA$200,$G263)&gt;0,
     COUNTIFS($AB$2:$AB$200,$G263)&gt;0,
     COUNTIFS($AC$2:$AC$200,$G263)&gt;0,
     COUNTIFS($AD$2:$AD$200,$G263)&gt;0,
     COUNTIFS($AE$2:$AE$200,$G263)&gt;0,
     COUNTIFS($AF$2:$AF$200,$G263)&gt;0,
     COUNTIFS($AG$2:$AG$200,$G263)&gt;0,
     COUNTIFS($AH$2:$AH$200,$G263)&gt;0,
     COUNTIFS($AI$2:$AI$200,$G263)&gt;0,
     COUNTIFS($AJ$2:$AJ$200,$G263)&gt;0,
     COUNTIFS($AK$2:$AK$200,$G263)&gt;0,
     COUNTIFS($AL$2:$AL$200,$G263)&gt;0,
     COUNTIFS($AM$2:$AM$200,$G263)&gt;0,
     COUNTIFS($AN$2:$AN$200,$G263)&gt;0,
     COUNTIFS($AO$2:$AO$200,$G263)&gt;0,
     COUNTIFS($AP$2:$AP$200,$G263)&gt;0,
     COUNTIFS($AQ$2:$AQ$200,$G263)&gt;0,
     COUNTIFS($AR$2:$AR$200,$G263)&gt;0,
     COUNTIFS($AS$2:$AS$200,$G263)&gt;0,
     COUNTIFS($AT$2:$AT$200,$G263)&gt;0,
     COUNTIFS($AU$2:$AU$200,$G263)&gt;0,
     COUNTIFS($AV$2:$AV$200,$G263)&gt;0,
     COUNTIFS($AW$2:$AW$200,$G263)&gt;0,
     COUNTIFS($AX$2:$AX$200,$G263)&gt;0
   )),
  ),
  2
 ),
"")</f>
        <v/>
      </c>
      <c r="E263" s="3" t="str" cm="1">
        <f t="array" aca="1" ref="E263" ca="1">IFERROR(
 INDEX(
  _xlfn._xlws.FILTER($U$1:$AX$1,
   TRANSPOSE(
    CHOOSE({1;2;3;4;5;6;7;8;9;10;11;12;13;14;15;16;17;18;19;20;21;22;23;24;25;26;27;28;29;30},
     COUNTIFS($U$2:$U$200,$G263)&gt;0,
     COUNTIFS($V$2:$V$200,$G263)&gt;0,
     COUNTIFS($W$2:$W$200,$G263)&gt;0,
     COUNTIFS($X$2:$X$200,$G263)&gt;0,
     COUNTIFS($Y$2:$Y$200,$G263)&gt;0,
     COUNTIFS($Z$2:$Z$200,$G263)&gt;0,
     COUNTIFS($AA$2:$AA$200,$G263)&gt;0,
     COUNTIFS($AB$2:$AB$200,$G263)&gt;0,
     COUNTIFS($AC$2:$AC$200,$G263)&gt;0,
     COUNTIFS($AD$2:$AD$200,$G263)&gt;0,
     COUNTIFS($AE$2:$AE$200,$G263)&gt;0,
     COUNTIFS($AF$2:$AF$200,$G263)&gt;0,
     COUNTIFS($AG$2:$AG$200,$G263)&gt;0,
     COUNTIFS($AH$2:$AH$200,$G263)&gt;0,
     COUNTIFS($AI$2:$AI$200,$G263)&gt;0,
     COUNTIFS($AJ$2:$AJ$200,$G263)&gt;0,
     COUNTIFS($AK$2:$AK$200,$G263)&gt;0,
     COUNTIFS($AL$2:$AL$200,$G263)&gt;0,
     COUNTIFS($AM$2:$AM$200,$G263)&gt;0,
     COUNTIFS($AN$2:$AN$200,$G263)&gt;0,
     COUNTIFS($AO$2:$AO$200,$G263)&gt;0,
     COUNTIFS($AP$2:$AP$200,$G263)&gt;0,
     COUNTIFS($AQ$2:$AQ$200,$G263)&gt;0,
     COUNTIFS($AR$2:$AR$200,$G263)&gt;0,
     COUNTIFS($AS$2:$AS$200,$G263)&gt;0,
     COUNTIFS($AT$2:$AT$200,$G263)&gt;0,
     COUNTIFS($AU$2:$AU$200,$G263)&gt;0,
     COUNTIFS($AV$2:$AV$200,$G263)&gt;0,
     COUNTIFS($AW$2:$AW$200,$G263)&gt;0,
     COUNTIFS($AX$2:$AX$200,$G263)&gt;0
   )),
  ),
  3
 ),
"")</f>
        <v/>
      </c>
      <c r="F263" s="3" t="str" cm="1">
        <f t="array" aca="1" ref="F263" ca="1">IFERROR(
 INDEX(
  _xlfn._xlws.FILTER($U$1:$AX$1,
   TRANSPOSE(
    CHOOSE({1;2;3;4;5;6;7;8;9;10;11;12;13;14;15;16;17;18;19;20;21;22;23;24;25;26;27;28;29;30},
     COUNTIFS($U$2:$U$200,$G263)&gt;0,
     COUNTIFS($V$2:$V$200,$G263)&gt;0,
     COUNTIFS($W$2:$W$200,$G263)&gt;0,
     COUNTIFS($X$2:$X$200,$G263)&gt;0,
     COUNTIFS($Y$2:$Y$200,$G263)&gt;0,
     COUNTIFS($Z$2:$Z$200,$G263)&gt;0,
     COUNTIFS($AA$2:$AA$200,$G263)&gt;0,
     COUNTIFS($AB$2:$AB$200,$G263)&gt;0,
     COUNTIFS($AC$2:$AC$200,$G263)&gt;0,
     COUNTIFS($AD$2:$AD$200,$G263)&gt;0,
     COUNTIFS($AE$2:$AE$200,$G263)&gt;0,
     COUNTIFS($AF$2:$AF$200,$G263)&gt;0,
     COUNTIFS($AG$2:$AG$200,$G263)&gt;0,
     COUNTIFS($AH$2:$AH$200,$G263)&gt;0,
     COUNTIFS($AI$2:$AI$200,$G263)&gt;0,
     COUNTIFS($AJ$2:$AJ$200,$G263)&gt;0,
     COUNTIFS($AK$2:$AK$200,$G263)&gt;0,
     COUNTIFS($AL$2:$AL$200,$G263)&gt;0,
     COUNTIFS($AM$2:$AM$200,$G263)&gt;0,
     COUNTIFS($AN$2:$AN$200,$G263)&gt;0,
     COUNTIFS($AO$2:$AO$200,$G263)&gt;0,
     COUNTIFS($AP$2:$AP$200,$G263)&gt;0,
     COUNTIFS($AQ$2:$AQ$200,$G263)&gt;0,
     COUNTIFS($AR$2:$AR$200,$G263)&gt;0,
     COUNTIFS($AS$2:$AS$200,$G263)&gt;0,
     COUNTIFS($AT$2:$AT$200,$G263)&gt;0,
     COUNTIFS($AU$2:$AU$200,$G263)&gt;0,
     COUNTIFS($AV$2:$AV$200,$G263)&gt;0,
     COUNTIFS($AW$2:$AW$200,$G263)&gt;0,
     COUNTIFS($AX$2:$AX$200,$G263)&gt;0
   )),
  ),
  4
 ),
"")</f>
        <v/>
      </c>
      <c r="G263" t="str">
        <f ca="1"/>
        <v>Summon: Ixion</v>
      </c>
      <c r="CJ263" t="str">
        <f ca="1"/>
        <v>Summon: Ixion</v>
      </c>
    </row>
    <row r="264" spans="1:88" x14ac:dyDescent="0.25">
      <c r="A264" s="3" t="str">
        <f t="shared" ca="1" si="10"/>
        <v>2</v>
      </c>
      <c r="B264" s="3">
        <f t="shared" ca="1" si="11"/>
        <v>1</v>
      </c>
      <c r="C264" s="3" t="str">
        <f ca="1">IFERROR(
 INDEX($U$1:$AX$1,
  MATCH(TRUE,
   CHOOSE({1;2;3;4;5;6;7;8;9;10;11;12;13;14;15;16;17;18;19;20;21;22;23;24;25;26;27;28;29;30;31;32},
    COUNTIFS($U$2:$U$200,$G264)&gt;0,
    COUNTIFS($V$2:$V$200,$G264)&gt;0,
    COUNTIFS($W$2:$W$200,$G264)&gt;0,
    COUNTIFS($X$2:$X$200,$G264)&gt;0,
    COUNTIFS($Y$2:$Y$200,$G264)&gt;0,
    COUNTIFS($Z$2:$Z$200,$G264)&gt;0,
    COUNTIFS($AA$2:$AA$200,$G264)&gt;0,
    COUNTIFS($AB$2:$AB$200,$G264)&gt;0,
    COUNTIFS($AC$2:$AC$200,$G264)&gt;0,
    COUNTIFS($AD$2:$AD$200,$G264)&gt;0,
    COUNTIFS($AE$2:$AE$200,$G264)&gt;0,
    COUNTIFS($AF$2:$AF$200,$G264)&gt;0,
    COUNTIFS($AG$2:$AG$200,$G264)&gt;0,
    COUNTIFS($AH$2:$AH$200,$G264)&gt;0,
    COUNTIFS($AI$2:$AI$200,$G264)&gt;0,
    COUNTIFS($AJ$2:$AJ$200,$G264)&gt;0,
    COUNTIFS($AK$2:$AK$200,$G264)&gt;0,
    COUNTIFS($AL$2:$AL$200,$G264)&gt;0,
    COUNTIFS($AM$2:$AM$200,$G264)&gt;0,
    COUNTIFS($AN$2:$AN$200,$G264)&gt;0,
    COUNTIFS($AO$2:$AO$200,$G264)&gt;0,
    COUNTIFS($AP$2:$AP$200,$G264)&gt;0,
    COUNTIFS($AQ$2:$AQ$200,$G264)&gt;0,
    COUNTIFS($AR$2:$AR$200,$G264)&gt;0,
    COUNTIFS($AS$2:$AS$200,$G264)&gt;0,
    COUNTIFS($AT$2:$AT$200,$G264)&gt;0,
    COUNTIFS($AU$2:$AU$200,$G264)&gt;0,
    COUNTIFS($AV$2:$AV$200,$G264)&gt;0,
    COUNTIFS($AW$2:$AW$200,$G264)&gt;0,
    COUNTIFS($AX$2:$AX$200,$G264)&gt;0
   ),
  0)
 ),
"")</f>
        <v>Kumena</v>
      </c>
      <c r="D264" s="3" t="str" cm="1">
        <f t="array" aca="1" ref="D264" ca="1">IFERROR(
 INDEX(
  _xlfn._xlws.FILTER($U$1:$AX$1,
   TRANSPOSE(
    CHOOSE({1;2;3;4;5;6;7;8;9;10;11;12;13;14;15;16;17;18;19;20;21;22;23;24;25;26;27;28;29;30},
     COUNTIFS($U$2:$U$200,$G264)&gt;0,
     COUNTIFS($V$2:$V$200,$G264)&gt;0,
     COUNTIFS($W$2:$W$200,$G264)&gt;0,
     COUNTIFS($X$2:$X$200,$G264)&gt;0,
     COUNTIFS($Y$2:$Y$200,$G264)&gt;0,
     COUNTIFS($Z$2:$Z$200,$G264)&gt;0,
     COUNTIFS($AA$2:$AA$200,$G264)&gt;0,
     COUNTIFS($AB$2:$AB$200,$G264)&gt;0,
     COUNTIFS($AC$2:$AC$200,$G264)&gt;0,
     COUNTIFS($AD$2:$AD$200,$G264)&gt;0,
     COUNTIFS($AE$2:$AE$200,$G264)&gt;0,
     COUNTIFS($AF$2:$AF$200,$G264)&gt;0,
     COUNTIFS($AG$2:$AG$200,$G264)&gt;0,
     COUNTIFS($AH$2:$AH$200,$G264)&gt;0,
     COUNTIFS($AI$2:$AI$200,$G264)&gt;0,
     COUNTIFS($AJ$2:$AJ$200,$G264)&gt;0,
     COUNTIFS($AK$2:$AK$200,$G264)&gt;0,
     COUNTIFS($AL$2:$AL$200,$G264)&gt;0,
     COUNTIFS($AM$2:$AM$200,$G264)&gt;0,
     COUNTIFS($AN$2:$AN$200,$G264)&gt;0,
     COUNTIFS($AO$2:$AO$200,$G264)&gt;0,
     COUNTIFS($AP$2:$AP$200,$G264)&gt;0,
     COUNTIFS($AQ$2:$AQ$200,$G264)&gt;0,
     COUNTIFS($AR$2:$AR$200,$G264)&gt;0,
     COUNTIFS($AS$2:$AS$200,$G264)&gt;0,
     COUNTIFS($AT$2:$AT$200,$G264)&gt;0,
     COUNTIFS($AU$2:$AU$200,$G264)&gt;0,
     COUNTIFS($AV$2:$AV$200,$G264)&gt;0,
     COUNTIFS($AW$2:$AW$200,$G264)&gt;0,
     COUNTIFS($AX$2:$AX$200,$G264)&gt;0
   )),
  ),
  2
 ),
"")</f>
        <v/>
      </c>
      <c r="E264" s="3" t="str" cm="1">
        <f t="array" aca="1" ref="E264" ca="1">IFERROR(
 INDEX(
  _xlfn._xlws.FILTER($U$1:$AX$1,
   TRANSPOSE(
    CHOOSE({1;2;3;4;5;6;7;8;9;10;11;12;13;14;15;16;17;18;19;20;21;22;23;24;25;26;27;28;29;30},
     COUNTIFS($U$2:$U$200,$G264)&gt;0,
     COUNTIFS($V$2:$V$200,$G264)&gt;0,
     COUNTIFS($W$2:$W$200,$G264)&gt;0,
     COUNTIFS($X$2:$X$200,$G264)&gt;0,
     COUNTIFS($Y$2:$Y$200,$G264)&gt;0,
     COUNTIFS($Z$2:$Z$200,$G264)&gt;0,
     COUNTIFS($AA$2:$AA$200,$G264)&gt;0,
     COUNTIFS($AB$2:$AB$200,$G264)&gt;0,
     COUNTIFS($AC$2:$AC$200,$G264)&gt;0,
     COUNTIFS($AD$2:$AD$200,$G264)&gt;0,
     COUNTIFS($AE$2:$AE$200,$G264)&gt;0,
     COUNTIFS($AF$2:$AF$200,$G264)&gt;0,
     COUNTIFS($AG$2:$AG$200,$G264)&gt;0,
     COUNTIFS($AH$2:$AH$200,$G264)&gt;0,
     COUNTIFS($AI$2:$AI$200,$G264)&gt;0,
     COUNTIFS($AJ$2:$AJ$200,$G264)&gt;0,
     COUNTIFS($AK$2:$AK$200,$G264)&gt;0,
     COUNTIFS($AL$2:$AL$200,$G264)&gt;0,
     COUNTIFS($AM$2:$AM$200,$G264)&gt;0,
     COUNTIFS($AN$2:$AN$200,$G264)&gt;0,
     COUNTIFS($AO$2:$AO$200,$G264)&gt;0,
     COUNTIFS($AP$2:$AP$200,$G264)&gt;0,
     COUNTIFS($AQ$2:$AQ$200,$G264)&gt;0,
     COUNTIFS($AR$2:$AR$200,$G264)&gt;0,
     COUNTIFS($AS$2:$AS$200,$G264)&gt;0,
     COUNTIFS($AT$2:$AT$200,$G264)&gt;0,
     COUNTIFS($AU$2:$AU$200,$G264)&gt;0,
     COUNTIFS($AV$2:$AV$200,$G264)&gt;0,
     COUNTIFS($AW$2:$AW$200,$G264)&gt;0,
     COUNTIFS($AX$2:$AX$200,$G264)&gt;0
   )),
  ),
  3
 ),
"")</f>
        <v/>
      </c>
      <c r="F264" s="3" t="str" cm="1">
        <f t="array" aca="1" ref="F264" ca="1">IFERROR(
 INDEX(
  _xlfn._xlws.FILTER($U$1:$AX$1,
   TRANSPOSE(
    CHOOSE({1;2;3;4;5;6;7;8;9;10;11;12;13;14;15;16;17;18;19;20;21;22;23;24;25;26;27;28;29;30},
     COUNTIFS($U$2:$U$200,$G264)&gt;0,
     COUNTIFS($V$2:$V$200,$G264)&gt;0,
     COUNTIFS($W$2:$W$200,$G264)&gt;0,
     COUNTIFS($X$2:$X$200,$G264)&gt;0,
     COUNTIFS($Y$2:$Y$200,$G264)&gt;0,
     COUNTIFS($Z$2:$Z$200,$G264)&gt;0,
     COUNTIFS($AA$2:$AA$200,$G264)&gt;0,
     COUNTIFS($AB$2:$AB$200,$G264)&gt;0,
     COUNTIFS($AC$2:$AC$200,$G264)&gt;0,
     COUNTIFS($AD$2:$AD$200,$G264)&gt;0,
     COUNTIFS($AE$2:$AE$200,$G264)&gt;0,
     COUNTIFS($AF$2:$AF$200,$G264)&gt;0,
     COUNTIFS($AG$2:$AG$200,$G264)&gt;0,
     COUNTIFS($AH$2:$AH$200,$G264)&gt;0,
     COUNTIFS($AI$2:$AI$200,$G264)&gt;0,
     COUNTIFS($AJ$2:$AJ$200,$G264)&gt;0,
     COUNTIFS($AK$2:$AK$200,$G264)&gt;0,
     COUNTIFS($AL$2:$AL$200,$G264)&gt;0,
     COUNTIFS($AM$2:$AM$200,$G264)&gt;0,
     COUNTIFS($AN$2:$AN$200,$G264)&gt;0,
     COUNTIFS($AO$2:$AO$200,$G264)&gt;0,
     COUNTIFS($AP$2:$AP$200,$G264)&gt;0,
     COUNTIFS($AQ$2:$AQ$200,$G264)&gt;0,
     COUNTIFS($AR$2:$AR$200,$G264)&gt;0,
     COUNTIFS($AS$2:$AS$200,$G264)&gt;0,
     COUNTIFS($AT$2:$AT$200,$G264)&gt;0,
     COUNTIFS($AU$2:$AU$200,$G264)&gt;0,
     COUNTIFS($AV$2:$AV$200,$G264)&gt;0,
     COUNTIFS($AW$2:$AW$200,$G264)&gt;0,
     COUNTIFS($AX$2:$AX$200,$G264)&gt;0
   )),
  ),
  4
 ),
"")</f>
        <v/>
      </c>
      <c r="G264" t="str">
        <f ca="1"/>
        <v>Summon: Leviathan</v>
      </c>
      <c r="CJ264" t="str">
        <f ca="1"/>
        <v>Summon: Leviathan</v>
      </c>
    </row>
    <row r="265" spans="1:88" x14ac:dyDescent="0.25">
      <c r="A265" s="3" t="str">
        <f t="shared" ca="1" si="10"/>
        <v>1</v>
      </c>
      <c r="B265" s="3">
        <f t="shared" ca="1" si="11"/>
        <v>1</v>
      </c>
      <c r="C265" s="3" t="str">
        <f ca="1">IFERROR(
 INDEX($U$1:$AX$1,
  MATCH(TRUE,
   CHOOSE({1;2;3;4;5;6;7;8;9;10;11;12;13;14;15;16;17;18;19;20;21;22;23;24;25;26;27;28;29;30;31;32},
    COUNTIFS($U$2:$U$200,$G265)&gt;0,
    COUNTIFS($V$2:$V$200,$G265)&gt;0,
    COUNTIFS($W$2:$W$200,$G265)&gt;0,
    COUNTIFS($X$2:$X$200,$G265)&gt;0,
    COUNTIFS($Y$2:$Y$200,$G265)&gt;0,
    COUNTIFS($Z$2:$Z$200,$G265)&gt;0,
    COUNTIFS($AA$2:$AA$200,$G265)&gt;0,
    COUNTIFS($AB$2:$AB$200,$G265)&gt;0,
    COUNTIFS($AC$2:$AC$200,$G265)&gt;0,
    COUNTIFS($AD$2:$AD$200,$G265)&gt;0,
    COUNTIFS($AE$2:$AE$200,$G265)&gt;0,
    COUNTIFS($AF$2:$AF$200,$G265)&gt;0,
    COUNTIFS($AG$2:$AG$200,$G265)&gt;0,
    COUNTIFS($AH$2:$AH$200,$G265)&gt;0,
    COUNTIFS($AI$2:$AI$200,$G265)&gt;0,
    COUNTIFS($AJ$2:$AJ$200,$G265)&gt;0,
    COUNTIFS($AK$2:$AK$200,$G265)&gt;0,
    COUNTIFS($AL$2:$AL$200,$G265)&gt;0,
    COUNTIFS($AM$2:$AM$200,$G265)&gt;0,
    COUNTIFS($AN$2:$AN$200,$G265)&gt;0,
    COUNTIFS($AO$2:$AO$200,$G265)&gt;0,
    COUNTIFS($AP$2:$AP$200,$G265)&gt;0,
    COUNTIFS($AQ$2:$AQ$200,$G265)&gt;0,
    COUNTIFS($AR$2:$AR$200,$G265)&gt;0,
    COUNTIFS($AS$2:$AS$200,$G265)&gt;0,
    COUNTIFS($AT$2:$AT$200,$G265)&gt;0,
    COUNTIFS($AU$2:$AU$200,$G265)&gt;0,
    COUNTIFS($AV$2:$AV$200,$G265)&gt;0,
    COUNTIFS($AW$2:$AW$200,$G265)&gt;0,
    COUNTIFS($AX$2:$AX$200,$G265)&gt;0
   ),
  0)
 ),
"")</f>
        <v>Modular</v>
      </c>
      <c r="D265" s="3" t="str" cm="1">
        <f t="array" aca="1" ref="D265" ca="1">IFERROR(
 INDEX(
  _xlfn._xlws.FILTER($U$1:$AX$1,
   TRANSPOSE(
    CHOOSE({1;2;3;4;5;6;7;8;9;10;11;12;13;14;15;16;17;18;19;20;21;22;23;24;25;26;27;28;29;30},
     COUNTIFS($U$2:$U$200,$G265)&gt;0,
     COUNTIFS($V$2:$V$200,$G265)&gt;0,
     COUNTIFS($W$2:$W$200,$G265)&gt;0,
     COUNTIFS($X$2:$X$200,$G265)&gt;0,
     COUNTIFS($Y$2:$Y$200,$G265)&gt;0,
     COUNTIFS($Z$2:$Z$200,$G265)&gt;0,
     COUNTIFS($AA$2:$AA$200,$G265)&gt;0,
     COUNTIFS($AB$2:$AB$200,$G265)&gt;0,
     COUNTIFS($AC$2:$AC$200,$G265)&gt;0,
     COUNTIFS($AD$2:$AD$200,$G265)&gt;0,
     COUNTIFS($AE$2:$AE$200,$G265)&gt;0,
     COUNTIFS($AF$2:$AF$200,$G265)&gt;0,
     COUNTIFS($AG$2:$AG$200,$G265)&gt;0,
     COUNTIFS($AH$2:$AH$200,$G265)&gt;0,
     COUNTIFS($AI$2:$AI$200,$G265)&gt;0,
     COUNTIFS($AJ$2:$AJ$200,$G265)&gt;0,
     COUNTIFS($AK$2:$AK$200,$G265)&gt;0,
     COUNTIFS($AL$2:$AL$200,$G265)&gt;0,
     COUNTIFS($AM$2:$AM$200,$G265)&gt;0,
     COUNTIFS($AN$2:$AN$200,$G265)&gt;0,
     COUNTIFS($AO$2:$AO$200,$G265)&gt;0,
     COUNTIFS($AP$2:$AP$200,$G265)&gt;0,
     COUNTIFS($AQ$2:$AQ$200,$G265)&gt;0,
     COUNTIFS($AR$2:$AR$200,$G265)&gt;0,
     COUNTIFS($AS$2:$AS$200,$G265)&gt;0,
     COUNTIFS($AT$2:$AT$200,$G265)&gt;0,
     COUNTIFS($AU$2:$AU$200,$G265)&gt;0,
     COUNTIFS($AV$2:$AV$200,$G265)&gt;0,
     COUNTIFS($AW$2:$AW$200,$G265)&gt;0,
     COUNTIFS($AX$2:$AX$200,$G265)&gt;0
   )),
  ),
  2
 ),
"")</f>
        <v/>
      </c>
      <c r="E265" s="3" t="str" cm="1">
        <f t="array" aca="1" ref="E265" ca="1">IFERROR(
 INDEX(
  _xlfn._xlws.FILTER($U$1:$AX$1,
   TRANSPOSE(
    CHOOSE({1;2;3;4;5;6;7;8;9;10;11;12;13;14;15;16;17;18;19;20;21;22;23;24;25;26;27;28;29;30},
     COUNTIFS($U$2:$U$200,$G265)&gt;0,
     COUNTIFS($V$2:$V$200,$G265)&gt;0,
     COUNTIFS($W$2:$W$200,$G265)&gt;0,
     COUNTIFS($X$2:$X$200,$G265)&gt;0,
     COUNTIFS($Y$2:$Y$200,$G265)&gt;0,
     COUNTIFS($Z$2:$Z$200,$G265)&gt;0,
     COUNTIFS($AA$2:$AA$200,$G265)&gt;0,
     COUNTIFS($AB$2:$AB$200,$G265)&gt;0,
     COUNTIFS($AC$2:$AC$200,$G265)&gt;0,
     COUNTIFS($AD$2:$AD$200,$G265)&gt;0,
     COUNTIFS($AE$2:$AE$200,$G265)&gt;0,
     COUNTIFS($AF$2:$AF$200,$G265)&gt;0,
     COUNTIFS($AG$2:$AG$200,$G265)&gt;0,
     COUNTIFS($AH$2:$AH$200,$G265)&gt;0,
     COUNTIFS($AI$2:$AI$200,$G265)&gt;0,
     COUNTIFS($AJ$2:$AJ$200,$G265)&gt;0,
     COUNTIFS($AK$2:$AK$200,$G265)&gt;0,
     COUNTIFS($AL$2:$AL$200,$G265)&gt;0,
     COUNTIFS($AM$2:$AM$200,$G265)&gt;0,
     COUNTIFS($AN$2:$AN$200,$G265)&gt;0,
     COUNTIFS($AO$2:$AO$200,$G265)&gt;0,
     COUNTIFS($AP$2:$AP$200,$G265)&gt;0,
     COUNTIFS($AQ$2:$AQ$200,$G265)&gt;0,
     COUNTIFS($AR$2:$AR$200,$G265)&gt;0,
     COUNTIFS($AS$2:$AS$200,$G265)&gt;0,
     COUNTIFS($AT$2:$AT$200,$G265)&gt;0,
     COUNTIFS($AU$2:$AU$200,$G265)&gt;0,
     COUNTIFS($AV$2:$AV$200,$G265)&gt;0,
     COUNTIFS($AW$2:$AW$200,$G265)&gt;0,
     COUNTIFS($AX$2:$AX$200,$G265)&gt;0
   )),
  ),
  3
 ),
"")</f>
        <v/>
      </c>
      <c r="F265" s="3" t="str" cm="1">
        <f t="array" aca="1" ref="F265" ca="1">IFERROR(
 INDEX(
  _xlfn._xlws.FILTER($U$1:$AX$1,
   TRANSPOSE(
    CHOOSE({1;2;3;4;5;6;7;8;9;10;11;12;13;14;15;16;17;18;19;20;21;22;23;24;25;26;27;28;29;30},
     COUNTIFS($U$2:$U$200,$G265)&gt;0,
     COUNTIFS($V$2:$V$200,$G265)&gt;0,
     COUNTIFS($W$2:$W$200,$G265)&gt;0,
     COUNTIFS($X$2:$X$200,$G265)&gt;0,
     COUNTIFS($Y$2:$Y$200,$G265)&gt;0,
     COUNTIFS($Z$2:$Z$200,$G265)&gt;0,
     COUNTIFS($AA$2:$AA$200,$G265)&gt;0,
     COUNTIFS($AB$2:$AB$200,$G265)&gt;0,
     COUNTIFS($AC$2:$AC$200,$G265)&gt;0,
     COUNTIFS($AD$2:$AD$200,$G265)&gt;0,
     COUNTIFS($AE$2:$AE$200,$G265)&gt;0,
     COUNTIFS($AF$2:$AF$200,$G265)&gt;0,
     COUNTIFS($AG$2:$AG$200,$G265)&gt;0,
     COUNTIFS($AH$2:$AH$200,$G265)&gt;0,
     COUNTIFS($AI$2:$AI$200,$G265)&gt;0,
     COUNTIFS($AJ$2:$AJ$200,$G265)&gt;0,
     COUNTIFS($AK$2:$AK$200,$G265)&gt;0,
     COUNTIFS($AL$2:$AL$200,$G265)&gt;0,
     COUNTIFS($AM$2:$AM$200,$G265)&gt;0,
     COUNTIFS($AN$2:$AN$200,$G265)&gt;0,
     COUNTIFS($AO$2:$AO$200,$G265)&gt;0,
     COUNTIFS($AP$2:$AP$200,$G265)&gt;0,
     COUNTIFS($AQ$2:$AQ$200,$G265)&gt;0,
     COUNTIFS($AR$2:$AR$200,$G265)&gt;0,
     COUNTIFS($AS$2:$AS$200,$G265)&gt;0,
     COUNTIFS($AT$2:$AT$200,$G265)&gt;0,
     COUNTIFS($AU$2:$AU$200,$G265)&gt;0,
     COUNTIFS($AV$2:$AV$200,$G265)&gt;0,
     COUNTIFS($AW$2:$AW$200,$G265)&gt;0,
     COUNTIFS($AX$2:$AX$200,$G265)&gt;0
   )),
  ),
  4
 ),
"")</f>
        <v/>
      </c>
      <c r="G265" t="str">
        <f ca="1"/>
        <v>Sunhome, Fortress of the Legion</v>
      </c>
      <c r="CJ265" t="str">
        <f ca="1"/>
        <v>Sunhome, Fortress of the Legion</v>
      </c>
    </row>
    <row r="266" spans="1:88" x14ac:dyDescent="0.25">
      <c r="A266" s="3" t="str">
        <f t="shared" ca="1" si="10"/>
        <v>2</v>
      </c>
      <c r="B266" s="3">
        <f t="shared" ca="1" si="11"/>
        <v>1</v>
      </c>
      <c r="C266" s="3" t="str">
        <f ca="1">IFERROR(
 INDEX($U$1:$AX$1,
  MATCH(TRUE,
   CHOOSE({1;2;3;4;5;6;7;8;9;10;11;12;13;14;15;16;17;18;19;20;21;22;23;24;25;26;27;28;29;30;31;32},
    COUNTIFS($U$2:$U$200,$G266)&gt;0,
    COUNTIFS($V$2:$V$200,$G266)&gt;0,
    COUNTIFS($W$2:$W$200,$G266)&gt;0,
    COUNTIFS($X$2:$X$200,$G266)&gt;0,
    COUNTIFS($Y$2:$Y$200,$G266)&gt;0,
    COUNTIFS($Z$2:$Z$200,$G266)&gt;0,
    COUNTIFS($AA$2:$AA$200,$G266)&gt;0,
    COUNTIFS($AB$2:$AB$200,$G266)&gt;0,
    COUNTIFS($AC$2:$AC$200,$G266)&gt;0,
    COUNTIFS($AD$2:$AD$200,$G266)&gt;0,
    COUNTIFS($AE$2:$AE$200,$G266)&gt;0,
    COUNTIFS($AF$2:$AF$200,$G266)&gt;0,
    COUNTIFS($AG$2:$AG$200,$G266)&gt;0,
    COUNTIFS($AH$2:$AH$200,$G266)&gt;0,
    COUNTIFS($AI$2:$AI$200,$G266)&gt;0,
    COUNTIFS($AJ$2:$AJ$200,$G266)&gt;0,
    COUNTIFS($AK$2:$AK$200,$G266)&gt;0,
    COUNTIFS($AL$2:$AL$200,$G266)&gt;0,
    COUNTIFS($AM$2:$AM$200,$G266)&gt;0,
    COUNTIFS($AN$2:$AN$200,$G266)&gt;0,
    COUNTIFS($AO$2:$AO$200,$G266)&gt;0,
    COUNTIFS($AP$2:$AP$200,$G266)&gt;0,
    COUNTIFS($AQ$2:$AQ$200,$G266)&gt;0,
    COUNTIFS($AR$2:$AR$200,$G266)&gt;0,
    COUNTIFS($AS$2:$AS$200,$G266)&gt;0,
    COUNTIFS($AT$2:$AT$200,$G266)&gt;0,
    COUNTIFS($AU$2:$AU$200,$G266)&gt;0,
    COUNTIFS($AV$2:$AV$200,$G266)&gt;0,
    COUNTIFS($AW$2:$AW$200,$G266)&gt;0,
    COUNTIFS($AX$2:$AX$200,$G266)&gt;0
   ),
  0)
 ),
"")</f>
        <v>Baylen</v>
      </c>
      <c r="D266" s="3" t="str" cm="1">
        <f t="array" aca="1" ref="D266" ca="1">IFERROR(
 INDEX(
  _xlfn._xlws.FILTER($U$1:$AX$1,
   TRANSPOSE(
    CHOOSE({1;2;3;4;5;6;7;8;9;10;11;12;13;14;15;16;17;18;19;20;21;22;23;24;25;26;27;28;29;30},
     COUNTIFS($U$2:$U$200,$G266)&gt;0,
     COUNTIFS($V$2:$V$200,$G266)&gt;0,
     COUNTIFS($W$2:$W$200,$G266)&gt;0,
     COUNTIFS($X$2:$X$200,$G266)&gt;0,
     COUNTIFS($Y$2:$Y$200,$G266)&gt;0,
     COUNTIFS($Z$2:$Z$200,$G266)&gt;0,
     COUNTIFS($AA$2:$AA$200,$G266)&gt;0,
     COUNTIFS($AB$2:$AB$200,$G266)&gt;0,
     COUNTIFS($AC$2:$AC$200,$G266)&gt;0,
     COUNTIFS($AD$2:$AD$200,$G266)&gt;0,
     COUNTIFS($AE$2:$AE$200,$G266)&gt;0,
     COUNTIFS($AF$2:$AF$200,$G266)&gt;0,
     COUNTIFS($AG$2:$AG$200,$G266)&gt;0,
     COUNTIFS($AH$2:$AH$200,$G266)&gt;0,
     COUNTIFS($AI$2:$AI$200,$G266)&gt;0,
     COUNTIFS($AJ$2:$AJ$200,$G266)&gt;0,
     COUNTIFS($AK$2:$AK$200,$G266)&gt;0,
     COUNTIFS($AL$2:$AL$200,$G266)&gt;0,
     COUNTIFS($AM$2:$AM$200,$G266)&gt;0,
     COUNTIFS($AN$2:$AN$200,$G266)&gt;0,
     COUNTIFS($AO$2:$AO$200,$G266)&gt;0,
     COUNTIFS($AP$2:$AP$200,$G266)&gt;0,
     COUNTIFS($AQ$2:$AQ$200,$G266)&gt;0,
     COUNTIFS($AR$2:$AR$200,$G266)&gt;0,
     COUNTIFS($AS$2:$AS$200,$G266)&gt;0,
     COUNTIFS($AT$2:$AT$200,$G266)&gt;0,
     COUNTIFS($AU$2:$AU$200,$G266)&gt;0,
     COUNTIFS($AV$2:$AV$200,$G266)&gt;0,
     COUNTIFS($AW$2:$AW$200,$G266)&gt;0,
     COUNTIFS($AX$2:$AX$200,$G266)&gt;0
   )),
  ),
  2
 ),
"")</f>
        <v/>
      </c>
      <c r="E266" s="3" t="str" cm="1">
        <f t="array" aca="1" ref="E266" ca="1">IFERROR(
 INDEX(
  _xlfn._xlws.FILTER($U$1:$AX$1,
   TRANSPOSE(
    CHOOSE({1;2;3;4;5;6;7;8;9;10;11;12;13;14;15;16;17;18;19;20;21;22;23;24;25;26;27;28;29;30},
     COUNTIFS($U$2:$U$200,$G266)&gt;0,
     COUNTIFS($V$2:$V$200,$G266)&gt;0,
     COUNTIFS($W$2:$W$200,$G266)&gt;0,
     COUNTIFS($X$2:$X$200,$G266)&gt;0,
     COUNTIFS($Y$2:$Y$200,$G266)&gt;0,
     COUNTIFS($Z$2:$Z$200,$G266)&gt;0,
     COUNTIFS($AA$2:$AA$200,$G266)&gt;0,
     COUNTIFS($AB$2:$AB$200,$G266)&gt;0,
     COUNTIFS($AC$2:$AC$200,$G266)&gt;0,
     COUNTIFS($AD$2:$AD$200,$G266)&gt;0,
     COUNTIFS($AE$2:$AE$200,$G266)&gt;0,
     COUNTIFS($AF$2:$AF$200,$G266)&gt;0,
     COUNTIFS($AG$2:$AG$200,$G266)&gt;0,
     COUNTIFS($AH$2:$AH$200,$G266)&gt;0,
     COUNTIFS($AI$2:$AI$200,$G266)&gt;0,
     COUNTIFS($AJ$2:$AJ$200,$G266)&gt;0,
     COUNTIFS($AK$2:$AK$200,$G266)&gt;0,
     COUNTIFS($AL$2:$AL$200,$G266)&gt;0,
     COUNTIFS($AM$2:$AM$200,$G266)&gt;0,
     COUNTIFS($AN$2:$AN$200,$G266)&gt;0,
     COUNTIFS($AO$2:$AO$200,$G266)&gt;0,
     COUNTIFS($AP$2:$AP$200,$G266)&gt;0,
     COUNTIFS($AQ$2:$AQ$200,$G266)&gt;0,
     COUNTIFS($AR$2:$AR$200,$G266)&gt;0,
     COUNTIFS($AS$2:$AS$200,$G266)&gt;0,
     COUNTIFS($AT$2:$AT$200,$G266)&gt;0,
     COUNTIFS($AU$2:$AU$200,$G266)&gt;0,
     COUNTIFS($AV$2:$AV$200,$G266)&gt;0,
     COUNTIFS($AW$2:$AW$200,$G266)&gt;0,
     COUNTIFS($AX$2:$AX$200,$G266)&gt;0
   )),
  ),
  3
 ),
"")</f>
        <v/>
      </c>
      <c r="F266" s="3" t="str" cm="1">
        <f t="array" aca="1" ref="F266" ca="1">IFERROR(
 INDEX(
  _xlfn._xlws.FILTER($U$1:$AX$1,
   TRANSPOSE(
    CHOOSE({1;2;3;4;5;6;7;8;9;10;11;12;13;14;15;16;17;18;19;20;21;22;23;24;25;26;27;28;29;30},
     COUNTIFS($U$2:$U$200,$G266)&gt;0,
     COUNTIFS($V$2:$V$200,$G266)&gt;0,
     COUNTIFS($W$2:$W$200,$G266)&gt;0,
     COUNTIFS($X$2:$X$200,$G266)&gt;0,
     COUNTIFS($Y$2:$Y$200,$G266)&gt;0,
     COUNTIFS($Z$2:$Z$200,$G266)&gt;0,
     COUNTIFS($AA$2:$AA$200,$G266)&gt;0,
     COUNTIFS($AB$2:$AB$200,$G266)&gt;0,
     COUNTIFS($AC$2:$AC$200,$G266)&gt;0,
     COUNTIFS($AD$2:$AD$200,$G266)&gt;0,
     COUNTIFS($AE$2:$AE$200,$G266)&gt;0,
     COUNTIFS($AF$2:$AF$200,$G266)&gt;0,
     COUNTIFS($AG$2:$AG$200,$G266)&gt;0,
     COUNTIFS($AH$2:$AH$200,$G266)&gt;0,
     COUNTIFS($AI$2:$AI$200,$G266)&gt;0,
     COUNTIFS($AJ$2:$AJ$200,$G266)&gt;0,
     COUNTIFS($AK$2:$AK$200,$G266)&gt;0,
     COUNTIFS($AL$2:$AL$200,$G266)&gt;0,
     COUNTIFS($AM$2:$AM$200,$G266)&gt;0,
     COUNTIFS($AN$2:$AN$200,$G266)&gt;0,
     COUNTIFS($AO$2:$AO$200,$G266)&gt;0,
     COUNTIFS($AP$2:$AP$200,$G266)&gt;0,
     COUNTIFS($AQ$2:$AQ$200,$G266)&gt;0,
     COUNTIFS($AR$2:$AR$200,$G266)&gt;0,
     COUNTIFS($AS$2:$AS$200,$G266)&gt;0,
     COUNTIFS($AT$2:$AT$200,$G266)&gt;0,
     COUNTIFS($AU$2:$AU$200,$G266)&gt;0,
     COUNTIFS($AV$2:$AV$200,$G266)&gt;0,
     COUNTIFS($AW$2:$AW$200,$G266)&gt;0,
     COUNTIFS($AX$2:$AX$200,$G266)&gt;0
   )),
  ),
  4
 ),
"")</f>
        <v/>
      </c>
      <c r="G266" t="str">
        <f ca="1"/>
        <v>Sunscorched Divide</v>
      </c>
      <c r="CJ266" t="str">
        <f ca="1"/>
        <v>Sunscorched Divide</v>
      </c>
    </row>
    <row r="267" spans="1:88" x14ac:dyDescent="0.25">
      <c r="A267" s="3" t="str">
        <f t="shared" ca="1" si="10"/>
        <v>2</v>
      </c>
      <c r="B267" s="3">
        <f t="shared" ca="1" si="11"/>
        <v>1</v>
      </c>
      <c r="C267" s="3" t="str">
        <f ca="1">IFERROR(
 INDEX($U$1:$AX$1,
  MATCH(TRUE,
   CHOOSE({1;2;3;4;5;6;7;8;9;10;11;12;13;14;15;16;17;18;19;20;21;22;23;24;25;26;27;28;29;30;31;32},
    COUNTIFS($U$2:$U$200,$G267)&gt;0,
    COUNTIFS($V$2:$V$200,$G267)&gt;0,
    COUNTIFS($W$2:$W$200,$G267)&gt;0,
    COUNTIFS($X$2:$X$200,$G267)&gt;0,
    COUNTIFS($Y$2:$Y$200,$G267)&gt;0,
    COUNTIFS($Z$2:$Z$200,$G267)&gt;0,
    COUNTIFS($AA$2:$AA$200,$G267)&gt;0,
    COUNTIFS($AB$2:$AB$200,$G267)&gt;0,
    COUNTIFS($AC$2:$AC$200,$G267)&gt;0,
    COUNTIFS($AD$2:$AD$200,$G267)&gt;0,
    COUNTIFS($AE$2:$AE$200,$G267)&gt;0,
    COUNTIFS($AF$2:$AF$200,$G267)&gt;0,
    COUNTIFS($AG$2:$AG$200,$G267)&gt;0,
    COUNTIFS($AH$2:$AH$200,$G267)&gt;0,
    COUNTIFS($AI$2:$AI$200,$G267)&gt;0,
    COUNTIFS($AJ$2:$AJ$200,$G267)&gt;0,
    COUNTIFS($AK$2:$AK$200,$G267)&gt;0,
    COUNTIFS($AL$2:$AL$200,$G267)&gt;0,
    COUNTIFS($AM$2:$AM$200,$G267)&gt;0,
    COUNTIFS($AN$2:$AN$200,$G267)&gt;0,
    COUNTIFS($AO$2:$AO$200,$G267)&gt;0,
    COUNTIFS($AP$2:$AP$200,$G267)&gt;0,
    COUNTIFS($AQ$2:$AQ$200,$G267)&gt;0,
    COUNTIFS($AR$2:$AR$200,$G267)&gt;0,
    COUNTIFS($AS$2:$AS$200,$G267)&gt;0,
    COUNTIFS($AT$2:$AT$200,$G267)&gt;0,
    COUNTIFS($AU$2:$AU$200,$G267)&gt;0,
    COUNTIFS($AV$2:$AV$200,$G267)&gt;0,
    COUNTIFS($AW$2:$AW$200,$G267)&gt;0,
    COUNTIFS($AX$2:$AX$200,$G267)&gt;0
   ),
  0)
 ),
"")</f>
        <v>Kumena</v>
      </c>
      <c r="D267" s="3" t="str" cm="1">
        <f t="array" aca="1" ref="D267" ca="1">IFERROR(
 INDEX(
  _xlfn._xlws.FILTER($U$1:$AX$1,
   TRANSPOSE(
    CHOOSE({1;2;3;4;5;6;7;8;9;10;11;12;13;14;15;16;17;18;19;20;21;22;23;24;25;26;27;28;29;30},
     COUNTIFS($U$2:$U$200,$G267)&gt;0,
     COUNTIFS($V$2:$V$200,$G267)&gt;0,
     COUNTIFS($W$2:$W$200,$G267)&gt;0,
     COUNTIFS($X$2:$X$200,$G267)&gt;0,
     COUNTIFS($Y$2:$Y$200,$G267)&gt;0,
     COUNTIFS($Z$2:$Z$200,$G267)&gt;0,
     COUNTIFS($AA$2:$AA$200,$G267)&gt;0,
     COUNTIFS($AB$2:$AB$200,$G267)&gt;0,
     COUNTIFS($AC$2:$AC$200,$G267)&gt;0,
     COUNTIFS($AD$2:$AD$200,$G267)&gt;0,
     COUNTIFS($AE$2:$AE$200,$G267)&gt;0,
     COUNTIFS($AF$2:$AF$200,$G267)&gt;0,
     COUNTIFS($AG$2:$AG$200,$G267)&gt;0,
     COUNTIFS($AH$2:$AH$200,$G267)&gt;0,
     COUNTIFS($AI$2:$AI$200,$G267)&gt;0,
     COUNTIFS($AJ$2:$AJ$200,$G267)&gt;0,
     COUNTIFS($AK$2:$AK$200,$G267)&gt;0,
     COUNTIFS($AL$2:$AL$200,$G267)&gt;0,
     COUNTIFS($AM$2:$AM$200,$G267)&gt;0,
     COUNTIFS($AN$2:$AN$200,$G267)&gt;0,
     COUNTIFS($AO$2:$AO$200,$G267)&gt;0,
     COUNTIFS($AP$2:$AP$200,$G267)&gt;0,
     COUNTIFS($AQ$2:$AQ$200,$G267)&gt;0,
     COUNTIFS($AR$2:$AR$200,$G267)&gt;0,
     COUNTIFS($AS$2:$AS$200,$G267)&gt;0,
     COUNTIFS($AT$2:$AT$200,$G267)&gt;0,
     COUNTIFS($AU$2:$AU$200,$G267)&gt;0,
     COUNTIFS($AV$2:$AV$200,$G267)&gt;0,
     COUNTIFS($AW$2:$AW$200,$G267)&gt;0,
     COUNTIFS($AX$2:$AX$200,$G267)&gt;0
   )),
  ),
  2
 ),
"")</f>
        <v/>
      </c>
      <c r="E267" s="3" t="str" cm="1">
        <f t="array" aca="1" ref="E267" ca="1">IFERROR(
 INDEX(
  _xlfn._xlws.FILTER($U$1:$AX$1,
   TRANSPOSE(
    CHOOSE({1;2;3;4;5;6;7;8;9;10;11;12;13;14;15;16;17;18;19;20;21;22;23;24;25;26;27;28;29;30},
     COUNTIFS($U$2:$U$200,$G267)&gt;0,
     COUNTIFS($V$2:$V$200,$G267)&gt;0,
     COUNTIFS($W$2:$W$200,$G267)&gt;0,
     COUNTIFS($X$2:$X$200,$G267)&gt;0,
     COUNTIFS($Y$2:$Y$200,$G267)&gt;0,
     COUNTIFS($Z$2:$Z$200,$G267)&gt;0,
     COUNTIFS($AA$2:$AA$200,$G267)&gt;0,
     COUNTIFS($AB$2:$AB$200,$G267)&gt;0,
     COUNTIFS($AC$2:$AC$200,$G267)&gt;0,
     COUNTIFS($AD$2:$AD$200,$G267)&gt;0,
     COUNTIFS($AE$2:$AE$200,$G267)&gt;0,
     COUNTIFS($AF$2:$AF$200,$G267)&gt;0,
     COUNTIFS($AG$2:$AG$200,$G267)&gt;0,
     COUNTIFS($AH$2:$AH$200,$G267)&gt;0,
     COUNTIFS($AI$2:$AI$200,$G267)&gt;0,
     COUNTIFS($AJ$2:$AJ$200,$G267)&gt;0,
     COUNTIFS($AK$2:$AK$200,$G267)&gt;0,
     COUNTIFS($AL$2:$AL$200,$G267)&gt;0,
     COUNTIFS($AM$2:$AM$200,$G267)&gt;0,
     COUNTIFS($AN$2:$AN$200,$G267)&gt;0,
     COUNTIFS($AO$2:$AO$200,$G267)&gt;0,
     COUNTIFS($AP$2:$AP$200,$G267)&gt;0,
     COUNTIFS($AQ$2:$AQ$200,$G267)&gt;0,
     COUNTIFS($AR$2:$AR$200,$G267)&gt;0,
     COUNTIFS($AS$2:$AS$200,$G267)&gt;0,
     COUNTIFS($AT$2:$AT$200,$G267)&gt;0,
     COUNTIFS($AU$2:$AU$200,$G267)&gt;0,
     COUNTIFS($AV$2:$AV$200,$G267)&gt;0,
     COUNTIFS($AW$2:$AW$200,$G267)&gt;0,
     COUNTIFS($AX$2:$AX$200,$G267)&gt;0
   )),
  ),
  3
 ),
"")</f>
        <v/>
      </c>
      <c r="F267" s="3" t="str" cm="1">
        <f t="array" aca="1" ref="F267" ca="1">IFERROR(
 INDEX(
  _xlfn._xlws.FILTER($U$1:$AX$1,
   TRANSPOSE(
    CHOOSE({1;2;3;4;5;6;7;8;9;10;11;12;13;14;15;16;17;18;19;20;21;22;23;24;25;26;27;28;29;30},
     COUNTIFS($U$2:$U$200,$G267)&gt;0,
     COUNTIFS($V$2:$V$200,$G267)&gt;0,
     COUNTIFS($W$2:$W$200,$G267)&gt;0,
     COUNTIFS($X$2:$X$200,$G267)&gt;0,
     COUNTIFS($Y$2:$Y$200,$G267)&gt;0,
     COUNTIFS($Z$2:$Z$200,$G267)&gt;0,
     COUNTIFS($AA$2:$AA$200,$G267)&gt;0,
     COUNTIFS($AB$2:$AB$200,$G267)&gt;0,
     COUNTIFS($AC$2:$AC$200,$G267)&gt;0,
     COUNTIFS($AD$2:$AD$200,$G267)&gt;0,
     COUNTIFS($AE$2:$AE$200,$G267)&gt;0,
     COUNTIFS($AF$2:$AF$200,$G267)&gt;0,
     COUNTIFS($AG$2:$AG$200,$G267)&gt;0,
     COUNTIFS($AH$2:$AH$200,$G267)&gt;0,
     COUNTIFS($AI$2:$AI$200,$G267)&gt;0,
     COUNTIFS($AJ$2:$AJ$200,$G267)&gt;0,
     COUNTIFS($AK$2:$AK$200,$G267)&gt;0,
     COUNTIFS($AL$2:$AL$200,$G267)&gt;0,
     COUNTIFS($AM$2:$AM$200,$G267)&gt;0,
     COUNTIFS($AN$2:$AN$200,$G267)&gt;0,
     COUNTIFS($AO$2:$AO$200,$G267)&gt;0,
     COUNTIFS($AP$2:$AP$200,$G267)&gt;0,
     COUNTIFS($AQ$2:$AQ$200,$G267)&gt;0,
     COUNTIFS($AR$2:$AR$200,$G267)&gt;0,
     COUNTIFS($AS$2:$AS$200,$G267)&gt;0,
     COUNTIFS($AT$2:$AT$200,$G267)&gt;0,
     COUNTIFS($AU$2:$AU$200,$G267)&gt;0,
     COUNTIFS($AV$2:$AV$200,$G267)&gt;0,
     COUNTIFS($AW$2:$AW$200,$G267)&gt;0,
     COUNTIFS($AX$2:$AX$200,$G267)&gt;0
   )),
  ),
  4
 ),
"")</f>
        <v/>
      </c>
      <c r="G267" t="str">
        <f ca="1"/>
        <v>Surgespanner</v>
      </c>
      <c r="CJ267" t="str">
        <f ca="1"/>
        <v>Surgespanner</v>
      </c>
    </row>
    <row r="268" spans="1:88" x14ac:dyDescent="0.25">
      <c r="A268" s="3" t="str">
        <f t="shared" ca="1" si="10"/>
        <v>4</v>
      </c>
      <c r="B268" s="3">
        <f t="shared" ca="1" si="11"/>
        <v>1</v>
      </c>
      <c r="C268" s="3" t="str">
        <f ca="1">IFERROR(
 INDEX($U$1:$AX$1,
  MATCH(TRUE,
   CHOOSE({1;2;3;4;5;6;7;8;9;10;11;12;13;14;15;16;17;18;19;20;21;22;23;24;25;26;27;28;29;30;31;32},
    COUNTIFS($U$2:$U$200,$G268)&gt;0,
    COUNTIFS($V$2:$V$200,$G268)&gt;0,
    COUNTIFS($W$2:$W$200,$G268)&gt;0,
    COUNTIFS($X$2:$X$200,$G268)&gt;0,
    COUNTIFS($Y$2:$Y$200,$G268)&gt;0,
    COUNTIFS($Z$2:$Z$200,$G268)&gt;0,
    COUNTIFS($AA$2:$AA$200,$G268)&gt;0,
    COUNTIFS($AB$2:$AB$200,$G268)&gt;0,
    COUNTIFS($AC$2:$AC$200,$G268)&gt;0,
    COUNTIFS($AD$2:$AD$200,$G268)&gt;0,
    COUNTIFS($AE$2:$AE$200,$G268)&gt;0,
    COUNTIFS($AF$2:$AF$200,$G268)&gt;0,
    COUNTIFS($AG$2:$AG$200,$G268)&gt;0,
    COUNTIFS($AH$2:$AH$200,$G268)&gt;0,
    COUNTIFS($AI$2:$AI$200,$G268)&gt;0,
    COUNTIFS($AJ$2:$AJ$200,$G268)&gt;0,
    COUNTIFS($AK$2:$AK$200,$G268)&gt;0,
    COUNTIFS($AL$2:$AL$200,$G268)&gt;0,
    COUNTIFS($AM$2:$AM$200,$G268)&gt;0,
    COUNTIFS($AN$2:$AN$200,$G268)&gt;0,
    COUNTIFS($AO$2:$AO$200,$G268)&gt;0,
    COUNTIFS($AP$2:$AP$200,$G268)&gt;0,
    COUNTIFS($AQ$2:$AQ$200,$G268)&gt;0,
    COUNTIFS($AR$2:$AR$200,$G268)&gt;0,
    COUNTIFS($AS$2:$AS$200,$G268)&gt;0,
    COUNTIFS($AT$2:$AT$200,$G268)&gt;0,
    COUNTIFS($AU$2:$AU$200,$G268)&gt;0,
    COUNTIFS($AV$2:$AV$200,$G268)&gt;0,
    COUNTIFS($AW$2:$AW$200,$G268)&gt;0,
    COUNTIFS($AX$2:$AX$200,$G268)&gt;0
   ),
  0)
 ),
"")</f>
        <v>OWA</v>
      </c>
      <c r="D268" s="3" t="str" cm="1">
        <f t="array" aca="1" ref="D268" ca="1">IFERROR(
 INDEX(
  _xlfn._xlws.FILTER($U$1:$AX$1,
   TRANSPOSE(
    CHOOSE({1;2;3;4;5;6;7;8;9;10;11;12;13;14;15;16;17;18;19;20;21;22;23;24;25;26;27;28;29;30},
     COUNTIFS($U$2:$U$200,$G268)&gt;0,
     COUNTIFS($V$2:$V$200,$G268)&gt;0,
     COUNTIFS($W$2:$W$200,$G268)&gt;0,
     COUNTIFS($X$2:$X$200,$G268)&gt;0,
     COUNTIFS($Y$2:$Y$200,$G268)&gt;0,
     COUNTIFS($Z$2:$Z$200,$G268)&gt;0,
     COUNTIFS($AA$2:$AA$200,$G268)&gt;0,
     COUNTIFS($AB$2:$AB$200,$G268)&gt;0,
     COUNTIFS($AC$2:$AC$200,$G268)&gt;0,
     COUNTIFS($AD$2:$AD$200,$G268)&gt;0,
     COUNTIFS($AE$2:$AE$200,$G268)&gt;0,
     COUNTIFS($AF$2:$AF$200,$G268)&gt;0,
     COUNTIFS($AG$2:$AG$200,$G268)&gt;0,
     COUNTIFS($AH$2:$AH$200,$G268)&gt;0,
     COUNTIFS($AI$2:$AI$200,$G268)&gt;0,
     COUNTIFS($AJ$2:$AJ$200,$G268)&gt;0,
     COUNTIFS($AK$2:$AK$200,$G268)&gt;0,
     COUNTIFS($AL$2:$AL$200,$G268)&gt;0,
     COUNTIFS($AM$2:$AM$200,$G268)&gt;0,
     COUNTIFS($AN$2:$AN$200,$G268)&gt;0,
     COUNTIFS($AO$2:$AO$200,$G268)&gt;0,
     COUNTIFS($AP$2:$AP$200,$G268)&gt;0,
     COUNTIFS($AQ$2:$AQ$200,$G268)&gt;0,
     COUNTIFS($AR$2:$AR$200,$G268)&gt;0,
     COUNTIFS($AS$2:$AS$200,$G268)&gt;0,
     COUNTIFS($AT$2:$AT$200,$G268)&gt;0,
     COUNTIFS($AU$2:$AU$200,$G268)&gt;0,
     COUNTIFS($AV$2:$AV$200,$G268)&gt;0,
     COUNTIFS($AW$2:$AW$200,$G268)&gt;0,
     COUNTIFS($AX$2:$AX$200,$G268)&gt;0
   )),
  ),
  2
 ),
"")</f>
        <v/>
      </c>
      <c r="E268" s="3" t="str" cm="1">
        <f t="array" aca="1" ref="E268" ca="1">IFERROR(
 INDEX(
  _xlfn._xlws.FILTER($U$1:$AX$1,
   TRANSPOSE(
    CHOOSE({1;2;3;4;5;6;7;8;9;10;11;12;13;14;15;16;17;18;19;20;21;22;23;24;25;26;27;28;29;30},
     COUNTIFS($U$2:$U$200,$G268)&gt;0,
     COUNTIFS($V$2:$V$200,$G268)&gt;0,
     COUNTIFS($W$2:$W$200,$G268)&gt;0,
     COUNTIFS($X$2:$X$200,$G268)&gt;0,
     COUNTIFS($Y$2:$Y$200,$G268)&gt;0,
     COUNTIFS($Z$2:$Z$200,$G268)&gt;0,
     COUNTIFS($AA$2:$AA$200,$G268)&gt;0,
     COUNTIFS($AB$2:$AB$200,$G268)&gt;0,
     COUNTIFS($AC$2:$AC$200,$G268)&gt;0,
     COUNTIFS($AD$2:$AD$200,$G268)&gt;0,
     COUNTIFS($AE$2:$AE$200,$G268)&gt;0,
     COUNTIFS($AF$2:$AF$200,$G268)&gt;0,
     COUNTIFS($AG$2:$AG$200,$G268)&gt;0,
     COUNTIFS($AH$2:$AH$200,$G268)&gt;0,
     COUNTIFS($AI$2:$AI$200,$G268)&gt;0,
     COUNTIFS($AJ$2:$AJ$200,$G268)&gt;0,
     COUNTIFS($AK$2:$AK$200,$G268)&gt;0,
     COUNTIFS($AL$2:$AL$200,$G268)&gt;0,
     COUNTIFS($AM$2:$AM$200,$G268)&gt;0,
     COUNTIFS($AN$2:$AN$200,$G268)&gt;0,
     COUNTIFS($AO$2:$AO$200,$G268)&gt;0,
     COUNTIFS($AP$2:$AP$200,$G268)&gt;0,
     COUNTIFS($AQ$2:$AQ$200,$G268)&gt;0,
     COUNTIFS($AR$2:$AR$200,$G268)&gt;0,
     COUNTIFS($AS$2:$AS$200,$G268)&gt;0,
     COUNTIFS($AT$2:$AT$200,$G268)&gt;0,
     COUNTIFS($AU$2:$AU$200,$G268)&gt;0,
     COUNTIFS($AV$2:$AV$200,$G268)&gt;0,
     COUNTIFS($AW$2:$AW$200,$G268)&gt;0,
     COUNTIFS($AX$2:$AX$200,$G268)&gt;0
   )),
  ),
  3
 ),
"")</f>
        <v/>
      </c>
      <c r="F268" s="3" t="str" cm="1">
        <f t="array" aca="1" ref="F268" ca="1">IFERROR(
 INDEX(
  _xlfn._xlws.FILTER($U$1:$AX$1,
   TRANSPOSE(
    CHOOSE({1;2;3;4;5;6;7;8;9;10;11;12;13;14;15;16;17;18;19;20;21;22;23;24;25;26;27;28;29;30},
     COUNTIFS($U$2:$U$200,$G268)&gt;0,
     COUNTIFS($V$2:$V$200,$G268)&gt;0,
     COUNTIFS($W$2:$W$200,$G268)&gt;0,
     COUNTIFS($X$2:$X$200,$G268)&gt;0,
     COUNTIFS($Y$2:$Y$200,$G268)&gt;0,
     COUNTIFS($Z$2:$Z$200,$G268)&gt;0,
     COUNTIFS($AA$2:$AA$200,$G268)&gt;0,
     COUNTIFS($AB$2:$AB$200,$G268)&gt;0,
     COUNTIFS($AC$2:$AC$200,$G268)&gt;0,
     COUNTIFS($AD$2:$AD$200,$G268)&gt;0,
     COUNTIFS($AE$2:$AE$200,$G268)&gt;0,
     COUNTIFS($AF$2:$AF$200,$G268)&gt;0,
     COUNTIFS($AG$2:$AG$200,$G268)&gt;0,
     COUNTIFS($AH$2:$AH$200,$G268)&gt;0,
     COUNTIFS($AI$2:$AI$200,$G268)&gt;0,
     COUNTIFS($AJ$2:$AJ$200,$G268)&gt;0,
     COUNTIFS($AK$2:$AK$200,$G268)&gt;0,
     COUNTIFS($AL$2:$AL$200,$G268)&gt;0,
     COUNTIFS($AM$2:$AM$200,$G268)&gt;0,
     COUNTIFS($AN$2:$AN$200,$G268)&gt;0,
     COUNTIFS($AO$2:$AO$200,$G268)&gt;0,
     COUNTIFS($AP$2:$AP$200,$G268)&gt;0,
     COUNTIFS($AQ$2:$AQ$200,$G268)&gt;0,
     COUNTIFS($AR$2:$AR$200,$G268)&gt;0,
     COUNTIFS($AS$2:$AS$200,$G268)&gt;0,
     COUNTIFS($AT$2:$AT$200,$G268)&gt;0,
     COUNTIFS($AU$2:$AU$200,$G268)&gt;0,
     COUNTIFS($AV$2:$AV$200,$G268)&gt;0,
     COUNTIFS($AW$2:$AW$200,$G268)&gt;0,
     COUNTIFS($AX$2:$AX$200,$G268)&gt;0
   )),
  ),
  4
 ),
"")</f>
        <v/>
      </c>
      <c r="G268" t="str">
        <f ca="1"/>
        <v>Susur Secundi, Void Altar</v>
      </c>
      <c r="CJ268" t="str">
        <f ca="1"/>
        <v>Susur Secundi, Void Altar</v>
      </c>
    </row>
    <row r="269" spans="1:88" x14ac:dyDescent="0.25">
      <c r="A269" s="3" t="str">
        <f t="shared" ca="1" si="10"/>
        <v>4</v>
      </c>
      <c r="B269" s="3">
        <f t="shared" ca="1" si="11"/>
        <v>1</v>
      </c>
      <c r="C269" s="3" t="str">
        <f ca="1">IFERROR(
 INDEX($U$1:$AX$1,
  MATCH(TRUE,
   CHOOSE({1;2;3;4;5;6;7;8;9;10;11;12;13;14;15;16;17;18;19;20;21;22;23;24;25;26;27;28;29;30;31;32},
    COUNTIFS($U$2:$U$200,$G269)&gt;0,
    COUNTIFS($V$2:$V$200,$G269)&gt;0,
    COUNTIFS($W$2:$W$200,$G269)&gt;0,
    COUNTIFS($X$2:$X$200,$G269)&gt;0,
    COUNTIFS($Y$2:$Y$200,$G269)&gt;0,
    COUNTIFS($Z$2:$Z$200,$G269)&gt;0,
    COUNTIFS($AA$2:$AA$200,$G269)&gt;0,
    COUNTIFS($AB$2:$AB$200,$G269)&gt;0,
    COUNTIFS($AC$2:$AC$200,$G269)&gt;0,
    COUNTIFS($AD$2:$AD$200,$G269)&gt;0,
    COUNTIFS($AE$2:$AE$200,$G269)&gt;0,
    COUNTIFS($AF$2:$AF$200,$G269)&gt;0,
    COUNTIFS($AG$2:$AG$200,$G269)&gt;0,
    COUNTIFS($AH$2:$AH$200,$G269)&gt;0,
    COUNTIFS($AI$2:$AI$200,$G269)&gt;0,
    COUNTIFS($AJ$2:$AJ$200,$G269)&gt;0,
    COUNTIFS($AK$2:$AK$200,$G269)&gt;0,
    COUNTIFS($AL$2:$AL$200,$G269)&gt;0,
    COUNTIFS($AM$2:$AM$200,$G269)&gt;0,
    COUNTIFS($AN$2:$AN$200,$G269)&gt;0,
    COUNTIFS($AO$2:$AO$200,$G269)&gt;0,
    COUNTIFS($AP$2:$AP$200,$G269)&gt;0,
    COUNTIFS($AQ$2:$AQ$200,$G269)&gt;0,
    COUNTIFS($AR$2:$AR$200,$G269)&gt;0,
    COUNTIFS($AS$2:$AS$200,$G269)&gt;0,
    COUNTIFS($AT$2:$AT$200,$G269)&gt;0,
    COUNTIFS($AU$2:$AU$200,$G269)&gt;0,
    COUNTIFS($AV$2:$AV$200,$G269)&gt;0,
    COUNTIFS($AW$2:$AW$200,$G269)&gt;0,
    COUNTIFS($AX$2:$AX$200,$G269)&gt;0
   ),
  0)
 ),
"")</f>
        <v>Elfos</v>
      </c>
      <c r="D269" s="3" t="str" cm="1">
        <f t="array" aca="1" ref="D269" ca="1">IFERROR(
 INDEX(
  _xlfn._xlws.FILTER($U$1:$AX$1,
   TRANSPOSE(
    CHOOSE({1;2;3;4;5;6;7;8;9;10;11;12;13;14;15;16;17;18;19;20;21;22;23;24;25;26;27;28;29;30},
     COUNTIFS($U$2:$U$200,$G269)&gt;0,
     COUNTIFS($V$2:$V$200,$G269)&gt;0,
     COUNTIFS($W$2:$W$200,$G269)&gt;0,
     COUNTIFS($X$2:$X$200,$G269)&gt;0,
     COUNTIFS($Y$2:$Y$200,$G269)&gt;0,
     COUNTIFS($Z$2:$Z$200,$G269)&gt;0,
     COUNTIFS($AA$2:$AA$200,$G269)&gt;0,
     COUNTIFS($AB$2:$AB$200,$G269)&gt;0,
     COUNTIFS($AC$2:$AC$200,$G269)&gt;0,
     COUNTIFS($AD$2:$AD$200,$G269)&gt;0,
     COUNTIFS($AE$2:$AE$200,$G269)&gt;0,
     COUNTIFS($AF$2:$AF$200,$G269)&gt;0,
     COUNTIFS($AG$2:$AG$200,$G269)&gt;0,
     COUNTIFS($AH$2:$AH$200,$G269)&gt;0,
     COUNTIFS($AI$2:$AI$200,$G269)&gt;0,
     COUNTIFS($AJ$2:$AJ$200,$G269)&gt;0,
     COUNTIFS($AK$2:$AK$200,$G269)&gt;0,
     COUNTIFS($AL$2:$AL$200,$G269)&gt;0,
     COUNTIFS($AM$2:$AM$200,$G269)&gt;0,
     COUNTIFS($AN$2:$AN$200,$G269)&gt;0,
     COUNTIFS($AO$2:$AO$200,$G269)&gt;0,
     COUNTIFS($AP$2:$AP$200,$G269)&gt;0,
     COUNTIFS($AQ$2:$AQ$200,$G269)&gt;0,
     COUNTIFS($AR$2:$AR$200,$G269)&gt;0,
     COUNTIFS($AS$2:$AS$200,$G269)&gt;0,
     COUNTIFS($AT$2:$AT$200,$G269)&gt;0,
     COUNTIFS($AU$2:$AU$200,$G269)&gt;0,
     COUNTIFS($AV$2:$AV$200,$G269)&gt;0,
     COUNTIFS($AW$2:$AW$200,$G269)&gt;0,
     COUNTIFS($AX$2:$AX$200,$G269)&gt;0
   )),
  ),
  2
 ),
"")</f>
        <v/>
      </c>
      <c r="E269" s="3" t="str" cm="1">
        <f t="array" aca="1" ref="E269" ca="1">IFERROR(
 INDEX(
  _xlfn._xlws.FILTER($U$1:$AX$1,
   TRANSPOSE(
    CHOOSE({1;2;3;4;5;6;7;8;9;10;11;12;13;14;15;16;17;18;19;20;21;22;23;24;25;26;27;28;29;30},
     COUNTIFS($U$2:$U$200,$G269)&gt;0,
     COUNTIFS($V$2:$V$200,$G269)&gt;0,
     COUNTIFS($W$2:$W$200,$G269)&gt;0,
     COUNTIFS($X$2:$X$200,$G269)&gt;0,
     COUNTIFS($Y$2:$Y$200,$G269)&gt;0,
     COUNTIFS($Z$2:$Z$200,$G269)&gt;0,
     COUNTIFS($AA$2:$AA$200,$G269)&gt;0,
     COUNTIFS($AB$2:$AB$200,$G269)&gt;0,
     COUNTIFS($AC$2:$AC$200,$G269)&gt;0,
     COUNTIFS($AD$2:$AD$200,$G269)&gt;0,
     COUNTIFS($AE$2:$AE$200,$G269)&gt;0,
     COUNTIFS($AF$2:$AF$200,$G269)&gt;0,
     COUNTIFS($AG$2:$AG$200,$G269)&gt;0,
     COUNTIFS($AH$2:$AH$200,$G269)&gt;0,
     COUNTIFS($AI$2:$AI$200,$G269)&gt;0,
     COUNTIFS($AJ$2:$AJ$200,$G269)&gt;0,
     COUNTIFS($AK$2:$AK$200,$G269)&gt;0,
     COUNTIFS($AL$2:$AL$200,$G269)&gt;0,
     COUNTIFS($AM$2:$AM$200,$G269)&gt;0,
     COUNTIFS($AN$2:$AN$200,$G269)&gt;0,
     COUNTIFS($AO$2:$AO$200,$G269)&gt;0,
     COUNTIFS($AP$2:$AP$200,$G269)&gt;0,
     COUNTIFS($AQ$2:$AQ$200,$G269)&gt;0,
     COUNTIFS($AR$2:$AR$200,$G269)&gt;0,
     COUNTIFS($AS$2:$AS$200,$G269)&gt;0,
     COUNTIFS($AT$2:$AT$200,$G269)&gt;0,
     COUNTIFS($AU$2:$AU$200,$G269)&gt;0,
     COUNTIFS($AV$2:$AV$200,$G269)&gt;0,
     COUNTIFS($AW$2:$AW$200,$G269)&gt;0,
     COUNTIFS($AX$2:$AX$200,$G269)&gt;0
   )),
  ),
  3
 ),
"")</f>
        <v/>
      </c>
      <c r="F269" s="3" t="str" cm="1">
        <f t="array" aca="1" ref="F269" ca="1">IFERROR(
 INDEX(
  _xlfn._xlws.FILTER($U$1:$AX$1,
   TRANSPOSE(
    CHOOSE({1;2;3;4;5;6;7;8;9;10;11;12;13;14;15;16;17;18;19;20;21;22;23;24;25;26;27;28;29;30},
     COUNTIFS($U$2:$U$200,$G269)&gt;0,
     COUNTIFS($V$2:$V$200,$G269)&gt;0,
     COUNTIFS($W$2:$W$200,$G269)&gt;0,
     COUNTIFS($X$2:$X$200,$G269)&gt;0,
     COUNTIFS($Y$2:$Y$200,$G269)&gt;0,
     COUNTIFS($Z$2:$Z$200,$G269)&gt;0,
     COUNTIFS($AA$2:$AA$200,$G269)&gt;0,
     COUNTIFS($AB$2:$AB$200,$G269)&gt;0,
     COUNTIFS($AC$2:$AC$200,$G269)&gt;0,
     COUNTIFS($AD$2:$AD$200,$G269)&gt;0,
     COUNTIFS($AE$2:$AE$200,$G269)&gt;0,
     COUNTIFS($AF$2:$AF$200,$G269)&gt;0,
     COUNTIFS($AG$2:$AG$200,$G269)&gt;0,
     COUNTIFS($AH$2:$AH$200,$G269)&gt;0,
     COUNTIFS($AI$2:$AI$200,$G269)&gt;0,
     COUNTIFS($AJ$2:$AJ$200,$G269)&gt;0,
     COUNTIFS($AK$2:$AK$200,$G269)&gt;0,
     COUNTIFS($AL$2:$AL$200,$G269)&gt;0,
     COUNTIFS($AM$2:$AM$200,$G269)&gt;0,
     COUNTIFS($AN$2:$AN$200,$G269)&gt;0,
     COUNTIFS($AO$2:$AO$200,$G269)&gt;0,
     COUNTIFS($AP$2:$AP$200,$G269)&gt;0,
     COUNTIFS($AQ$2:$AQ$200,$G269)&gt;0,
     COUNTIFS($AR$2:$AR$200,$G269)&gt;0,
     COUNTIFS($AS$2:$AS$200,$G269)&gt;0,
     COUNTIFS($AT$2:$AT$200,$G269)&gt;0,
     COUNTIFS($AU$2:$AU$200,$G269)&gt;0,
     COUNTIFS($AV$2:$AV$200,$G269)&gt;0,
     COUNTIFS($AW$2:$AW$200,$G269)&gt;0,
     COUNTIFS($AX$2:$AX$200,$G269)&gt;0
   )),
  ),
  4
 ),
"")</f>
        <v/>
      </c>
      <c r="G269" t="str">
        <f ca="1"/>
        <v>Swamp</v>
      </c>
      <c r="CJ269" t="str">
        <f ca="1"/>
        <v>Swamp</v>
      </c>
    </row>
    <row r="270" spans="1:88" x14ac:dyDescent="0.25">
      <c r="A270" s="3" t="str">
        <f t="shared" ca="1" si="10"/>
        <v>1</v>
      </c>
      <c r="B270" s="3">
        <f t="shared" ca="1" si="11"/>
        <v>1</v>
      </c>
      <c r="C270" s="3" t="str">
        <f ca="1">IFERROR(
 INDEX($U$1:$AX$1,
  MATCH(TRUE,
   CHOOSE({1;2;3;4;5;6;7;8;9;10;11;12;13;14;15;16;17;18;19;20;21;22;23;24;25;26;27;28;29;30;31;32},
    COUNTIFS($U$2:$U$200,$G270)&gt;0,
    COUNTIFS($V$2:$V$200,$G270)&gt;0,
    COUNTIFS($W$2:$W$200,$G270)&gt;0,
    COUNTIFS($X$2:$X$200,$G270)&gt;0,
    COUNTIFS($Y$2:$Y$200,$G270)&gt;0,
    COUNTIFS($Z$2:$Z$200,$G270)&gt;0,
    COUNTIFS($AA$2:$AA$200,$G270)&gt;0,
    COUNTIFS($AB$2:$AB$200,$G270)&gt;0,
    COUNTIFS($AC$2:$AC$200,$G270)&gt;0,
    COUNTIFS($AD$2:$AD$200,$G270)&gt;0,
    COUNTIFS($AE$2:$AE$200,$G270)&gt;0,
    COUNTIFS($AF$2:$AF$200,$G270)&gt;0,
    COUNTIFS($AG$2:$AG$200,$G270)&gt;0,
    COUNTIFS($AH$2:$AH$200,$G270)&gt;0,
    COUNTIFS($AI$2:$AI$200,$G270)&gt;0,
    COUNTIFS($AJ$2:$AJ$200,$G270)&gt;0,
    COUNTIFS($AK$2:$AK$200,$G270)&gt;0,
    COUNTIFS($AL$2:$AL$200,$G270)&gt;0,
    COUNTIFS($AM$2:$AM$200,$G270)&gt;0,
    COUNTIFS($AN$2:$AN$200,$G270)&gt;0,
    COUNTIFS($AO$2:$AO$200,$G270)&gt;0,
    COUNTIFS($AP$2:$AP$200,$G270)&gt;0,
    COUNTIFS($AQ$2:$AQ$200,$G270)&gt;0,
    COUNTIFS($AR$2:$AR$200,$G270)&gt;0,
    COUNTIFS($AS$2:$AS$200,$G270)&gt;0,
    COUNTIFS($AT$2:$AT$200,$G270)&gt;0,
    COUNTIFS($AU$2:$AU$200,$G270)&gt;0,
    COUNTIFS($AV$2:$AV$200,$G270)&gt;0,
    COUNTIFS($AW$2:$AW$200,$G270)&gt;0,
    COUNTIFS($AX$2:$AX$200,$G270)&gt;0
   ),
  0)
 ),
"")</f>
        <v>Modular</v>
      </c>
      <c r="D270" s="3" t="str" cm="1">
        <f t="array" aca="1" ref="D270" ca="1">IFERROR(
 INDEX(
  _xlfn._xlws.FILTER($U$1:$AX$1,
   TRANSPOSE(
    CHOOSE({1;2;3;4;5;6;7;8;9;10;11;12;13;14;15;16;17;18;19;20;21;22;23;24;25;26;27;28;29;30},
     COUNTIFS($U$2:$U$200,$G270)&gt;0,
     COUNTIFS($V$2:$V$200,$G270)&gt;0,
     COUNTIFS($W$2:$W$200,$G270)&gt;0,
     COUNTIFS($X$2:$X$200,$G270)&gt;0,
     COUNTIFS($Y$2:$Y$200,$G270)&gt;0,
     COUNTIFS($Z$2:$Z$200,$G270)&gt;0,
     COUNTIFS($AA$2:$AA$200,$G270)&gt;0,
     COUNTIFS($AB$2:$AB$200,$G270)&gt;0,
     COUNTIFS($AC$2:$AC$200,$G270)&gt;0,
     COUNTIFS($AD$2:$AD$200,$G270)&gt;0,
     COUNTIFS($AE$2:$AE$200,$G270)&gt;0,
     COUNTIFS($AF$2:$AF$200,$G270)&gt;0,
     COUNTIFS($AG$2:$AG$200,$G270)&gt;0,
     COUNTIFS($AH$2:$AH$200,$G270)&gt;0,
     COUNTIFS($AI$2:$AI$200,$G270)&gt;0,
     COUNTIFS($AJ$2:$AJ$200,$G270)&gt;0,
     COUNTIFS($AK$2:$AK$200,$G270)&gt;0,
     COUNTIFS($AL$2:$AL$200,$G270)&gt;0,
     COUNTIFS($AM$2:$AM$200,$G270)&gt;0,
     COUNTIFS($AN$2:$AN$200,$G270)&gt;0,
     COUNTIFS($AO$2:$AO$200,$G270)&gt;0,
     COUNTIFS($AP$2:$AP$200,$G270)&gt;0,
     COUNTIFS($AQ$2:$AQ$200,$G270)&gt;0,
     COUNTIFS($AR$2:$AR$200,$G270)&gt;0,
     COUNTIFS($AS$2:$AS$200,$G270)&gt;0,
     COUNTIFS($AT$2:$AT$200,$G270)&gt;0,
     COUNTIFS($AU$2:$AU$200,$G270)&gt;0,
     COUNTIFS($AV$2:$AV$200,$G270)&gt;0,
     COUNTIFS($AW$2:$AW$200,$G270)&gt;0,
     COUNTIFS($AX$2:$AX$200,$G270)&gt;0
   )),
  ),
  2
 ),
"")</f>
        <v/>
      </c>
      <c r="E270" s="3" t="str" cm="1">
        <f t="array" aca="1" ref="E270" ca="1">IFERROR(
 INDEX(
  _xlfn._xlws.FILTER($U$1:$AX$1,
   TRANSPOSE(
    CHOOSE({1;2;3;4;5;6;7;8;9;10;11;12;13;14;15;16;17;18;19;20;21;22;23;24;25;26;27;28;29;30},
     COUNTIFS($U$2:$U$200,$G270)&gt;0,
     COUNTIFS($V$2:$V$200,$G270)&gt;0,
     COUNTIFS($W$2:$W$200,$G270)&gt;0,
     COUNTIFS($X$2:$X$200,$G270)&gt;0,
     COUNTIFS($Y$2:$Y$200,$G270)&gt;0,
     COUNTIFS($Z$2:$Z$200,$G270)&gt;0,
     COUNTIFS($AA$2:$AA$200,$G270)&gt;0,
     COUNTIFS($AB$2:$AB$200,$G270)&gt;0,
     COUNTIFS($AC$2:$AC$200,$G270)&gt;0,
     COUNTIFS($AD$2:$AD$200,$G270)&gt;0,
     COUNTIFS($AE$2:$AE$200,$G270)&gt;0,
     COUNTIFS($AF$2:$AF$200,$G270)&gt;0,
     COUNTIFS($AG$2:$AG$200,$G270)&gt;0,
     COUNTIFS($AH$2:$AH$200,$G270)&gt;0,
     COUNTIFS($AI$2:$AI$200,$G270)&gt;0,
     COUNTIFS($AJ$2:$AJ$200,$G270)&gt;0,
     COUNTIFS($AK$2:$AK$200,$G270)&gt;0,
     COUNTIFS($AL$2:$AL$200,$G270)&gt;0,
     COUNTIFS($AM$2:$AM$200,$G270)&gt;0,
     COUNTIFS($AN$2:$AN$200,$G270)&gt;0,
     COUNTIFS($AO$2:$AO$200,$G270)&gt;0,
     COUNTIFS($AP$2:$AP$200,$G270)&gt;0,
     COUNTIFS($AQ$2:$AQ$200,$G270)&gt;0,
     COUNTIFS($AR$2:$AR$200,$G270)&gt;0,
     COUNTIFS($AS$2:$AS$200,$G270)&gt;0,
     COUNTIFS($AT$2:$AT$200,$G270)&gt;0,
     COUNTIFS($AU$2:$AU$200,$G270)&gt;0,
     COUNTIFS($AV$2:$AV$200,$G270)&gt;0,
     COUNTIFS($AW$2:$AW$200,$G270)&gt;0,
     COUNTIFS($AX$2:$AX$200,$G270)&gt;0
   )),
  ),
  3
 ),
"")</f>
        <v/>
      </c>
      <c r="F270" s="3" t="str" cm="1">
        <f t="array" aca="1" ref="F270" ca="1">IFERROR(
 INDEX(
  _xlfn._xlws.FILTER($U$1:$AX$1,
   TRANSPOSE(
    CHOOSE({1;2;3;4;5;6;7;8;9;10;11;12;13;14;15;16;17;18;19;20;21;22;23;24;25;26;27;28;29;30},
     COUNTIFS($U$2:$U$200,$G270)&gt;0,
     COUNTIFS($V$2:$V$200,$G270)&gt;0,
     COUNTIFS($W$2:$W$200,$G270)&gt;0,
     COUNTIFS($X$2:$X$200,$G270)&gt;0,
     COUNTIFS($Y$2:$Y$200,$G270)&gt;0,
     COUNTIFS($Z$2:$Z$200,$G270)&gt;0,
     COUNTIFS($AA$2:$AA$200,$G270)&gt;0,
     COUNTIFS($AB$2:$AB$200,$G270)&gt;0,
     COUNTIFS($AC$2:$AC$200,$G270)&gt;0,
     COUNTIFS($AD$2:$AD$200,$G270)&gt;0,
     COUNTIFS($AE$2:$AE$200,$G270)&gt;0,
     COUNTIFS($AF$2:$AF$200,$G270)&gt;0,
     COUNTIFS($AG$2:$AG$200,$G270)&gt;0,
     COUNTIFS($AH$2:$AH$200,$G270)&gt;0,
     COUNTIFS($AI$2:$AI$200,$G270)&gt;0,
     COUNTIFS($AJ$2:$AJ$200,$G270)&gt;0,
     COUNTIFS($AK$2:$AK$200,$G270)&gt;0,
     COUNTIFS($AL$2:$AL$200,$G270)&gt;0,
     COUNTIFS($AM$2:$AM$200,$G270)&gt;0,
     COUNTIFS($AN$2:$AN$200,$G270)&gt;0,
     COUNTIFS($AO$2:$AO$200,$G270)&gt;0,
     COUNTIFS($AP$2:$AP$200,$G270)&gt;0,
     COUNTIFS($AQ$2:$AQ$200,$G270)&gt;0,
     COUNTIFS($AR$2:$AR$200,$G270)&gt;0,
     COUNTIFS($AS$2:$AS$200,$G270)&gt;0,
     COUNTIFS($AT$2:$AT$200,$G270)&gt;0,
     COUNTIFS($AU$2:$AU$200,$G270)&gt;0,
     COUNTIFS($AV$2:$AV$200,$G270)&gt;0,
     COUNTIFS($AW$2:$AW$200,$G270)&gt;0,
     COUNTIFS($AX$2:$AX$200,$G270)&gt;0
   )),
  ),
  4
 ),
"")</f>
        <v/>
      </c>
      <c r="G270" t="str">
        <f ca="1"/>
        <v>Swords to Plowshares</v>
      </c>
      <c r="CJ270" t="str">
        <f ca="1"/>
        <v>Swords to Plowshares</v>
      </c>
    </row>
    <row r="271" spans="1:88" x14ac:dyDescent="0.25">
      <c r="A271" s="3" t="str">
        <f t="shared" ca="1" si="10"/>
        <v>3</v>
      </c>
      <c r="B271" s="3">
        <f t="shared" ca="1" si="11"/>
        <v>2</v>
      </c>
      <c r="C271" s="3" t="str">
        <f ca="1">IFERROR(
 INDEX($U$1:$AX$1,
  MATCH(TRUE,
   CHOOSE({1;2;3;4;5;6;7;8;9;10;11;12;13;14;15;16;17;18;19;20;21;22;23;24;25;26;27;28;29;30;31;32},
    COUNTIFS($U$2:$U$200,$G271)&gt;0,
    COUNTIFS($V$2:$V$200,$G271)&gt;0,
    COUNTIFS($W$2:$W$200,$G271)&gt;0,
    COUNTIFS($X$2:$X$200,$G271)&gt;0,
    COUNTIFS($Y$2:$Y$200,$G271)&gt;0,
    COUNTIFS($Z$2:$Z$200,$G271)&gt;0,
    COUNTIFS($AA$2:$AA$200,$G271)&gt;0,
    COUNTIFS($AB$2:$AB$200,$G271)&gt;0,
    COUNTIFS($AC$2:$AC$200,$G271)&gt;0,
    COUNTIFS($AD$2:$AD$200,$G271)&gt;0,
    COUNTIFS($AE$2:$AE$200,$G271)&gt;0,
    COUNTIFS($AF$2:$AF$200,$G271)&gt;0,
    COUNTIFS($AG$2:$AG$200,$G271)&gt;0,
    COUNTIFS($AH$2:$AH$200,$G271)&gt;0,
    COUNTIFS($AI$2:$AI$200,$G271)&gt;0,
    COUNTIFS($AJ$2:$AJ$200,$G271)&gt;0,
    COUNTIFS($AK$2:$AK$200,$G271)&gt;0,
    COUNTIFS($AL$2:$AL$200,$G271)&gt;0,
    COUNTIFS($AM$2:$AM$200,$G271)&gt;0,
    COUNTIFS($AN$2:$AN$200,$G271)&gt;0,
    COUNTIFS($AO$2:$AO$200,$G271)&gt;0,
    COUNTIFS($AP$2:$AP$200,$G271)&gt;0,
    COUNTIFS($AQ$2:$AQ$200,$G271)&gt;0,
    COUNTIFS($AR$2:$AR$200,$G271)&gt;0,
    COUNTIFS($AS$2:$AS$200,$G271)&gt;0,
    COUNTIFS($AT$2:$AT$200,$G271)&gt;0,
    COUNTIFS($AU$2:$AU$200,$G271)&gt;0,
    COUNTIFS($AV$2:$AV$200,$G271)&gt;0,
    COUNTIFS($AW$2:$AW$200,$G271)&gt;0,
    COUNTIFS($AX$2:$AX$200,$G271)&gt;0
   ),
  0)
 ),
"")</f>
        <v>Carlos</v>
      </c>
      <c r="D271" s="3" t="str" cm="1">
        <f t="array" aca="1" ref="D271" ca="1">IFERROR(
 INDEX(
  _xlfn._xlws.FILTER($U$1:$AX$1,
   TRANSPOSE(
    CHOOSE({1;2;3;4;5;6;7;8;9;10;11;12;13;14;15;16;17;18;19;20;21;22;23;24;25;26;27;28;29;30},
     COUNTIFS($U$2:$U$200,$G271)&gt;0,
     COUNTIFS($V$2:$V$200,$G271)&gt;0,
     COUNTIFS($W$2:$W$200,$G271)&gt;0,
     COUNTIFS($X$2:$X$200,$G271)&gt;0,
     COUNTIFS($Y$2:$Y$200,$G271)&gt;0,
     COUNTIFS($Z$2:$Z$200,$G271)&gt;0,
     COUNTIFS($AA$2:$AA$200,$G271)&gt;0,
     COUNTIFS($AB$2:$AB$200,$G271)&gt;0,
     COUNTIFS($AC$2:$AC$200,$G271)&gt;0,
     COUNTIFS($AD$2:$AD$200,$G271)&gt;0,
     COUNTIFS($AE$2:$AE$200,$G271)&gt;0,
     COUNTIFS($AF$2:$AF$200,$G271)&gt;0,
     COUNTIFS($AG$2:$AG$200,$G271)&gt;0,
     COUNTIFS($AH$2:$AH$200,$G271)&gt;0,
     COUNTIFS($AI$2:$AI$200,$G271)&gt;0,
     COUNTIFS($AJ$2:$AJ$200,$G271)&gt;0,
     COUNTIFS($AK$2:$AK$200,$G271)&gt;0,
     COUNTIFS($AL$2:$AL$200,$G271)&gt;0,
     COUNTIFS($AM$2:$AM$200,$G271)&gt;0,
     COUNTIFS($AN$2:$AN$200,$G271)&gt;0,
     COUNTIFS($AO$2:$AO$200,$G271)&gt;0,
     COUNTIFS($AP$2:$AP$200,$G271)&gt;0,
     COUNTIFS($AQ$2:$AQ$200,$G271)&gt;0,
     COUNTIFS($AR$2:$AR$200,$G271)&gt;0,
     COUNTIFS($AS$2:$AS$200,$G271)&gt;0,
     COUNTIFS($AT$2:$AT$200,$G271)&gt;0,
     COUNTIFS($AU$2:$AU$200,$G271)&gt;0,
     COUNTIFS($AV$2:$AV$200,$G271)&gt;0,
     COUNTIFS($AW$2:$AW$200,$G271)&gt;0,
     COUNTIFS($AX$2:$AX$200,$G271)&gt;0
   )),
  ),
  2
 ),
"")</f>
        <v>Gritrog</v>
      </c>
      <c r="E271" s="3" t="str" cm="1">
        <f t="array" aca="1" ref="E271" ca="1">IFERROR(
 INDEX(
  _xlfn._xlws.FILTER($U$1:$AX$1,
   TRANSPOSE(
    CHOOSE({1;2;3;4;5;6;7;8;9;10;11;12;13;14;15;16;17;18;19;20;21;22;23;24;25;26;27;28;29;30},
     COUNTIFS($U$2:$U$200,$G271)&gt;0,
     COUNTIFS($V$2:$V$200,$G271)&gt;0,
     COUNTIFS($W$2:$W$200,$G271)&gt;0,
     COUNTIFS($X$2:$X$200,$G271)&gt;0,
     COUNTIFS($Y$2:$Y$200,$G271)&gt;0,
     COUNTIFS($Z$2:$Z$200,$G271)&gt;0,
     COUNTIFS($AA$2:$AA$200,$G271)&gt;0,
     COUNTIFS($AB$2:$AB$200,$G271)&gt;0,
     COUNTIFS($AC$2:$AC$200,$G271)&gt;0,
     COUNTIFS($AD$2:$AD$200,$G271)&gt;0,
     COUNTIFS($AE$2:$AE$200,$G271)&gt;0,
     COUNTIFS($AF$2:$AF$200,$G271)&gt;0,
     COUNTIFS($AG$2:$AG$200,$G271)&gt;0,
     COUNTIFS($AH$2:$AH$200,$G271)&gt;0,
     COUNTIFS($AI$2:$AI$200,$G271)&gt;0,
     COUNTIFS($AJ$2:$AJ$200,$G271)&gt;0,
     COUNTIFS($AK$2:$AK$200,$G271)&gt;0,
     COUNTIFS($AL$2:$AL$200,$G271)&gt;0,
     COUNTIFS($AM$2:$AM$200,$G271)&gt;0,
     COUNTIFS($AN$2:$AN$200,$G271)&gt;0,
     COUNTIFS($AO$2:$AO$200,$G271)&gt;0,
     COUNTIFS($AP$2:$AP$200,$G271)&gt;0,
     COUNTIFS($AQ$2:$AQ$200,$G271)&gt;0,
     COUNTIFS($AR$2:$AR$200,$G271)&gt;0,
     COUNTIFS($AS$2:$AS$200,$G271)&gt;0,
     COUNTIFS($AT$2:$AT$200,$G271)&gt;0,
     COUNTIFS($AU$2:$AU$200,$G271)&gt;0,
     COUNTIFS($AV$2:$AV$200,$G271)&gt;0,
     COUNTIFS($AW$2:$AW$200,$G271)&gt;0,
     COUNTIFS($AX$2:$AX$200,$G271)&gt;0
   )),
  ),
  3
 ),
"")</f>
        <v/>
      </c>
      <c r="F271" s="3" t="str" cm="1">
        <f t="array" aca="1" ref="F271" ca="1">IFERROR(
 INDEX(
  _xlfn._xlws.FILTER($U$1:$AX$1,
   TRANSPOSE(
    CHOOSE({1;2;3;4;5;6;7;8;9;10;11;12;13;14;15;16;17;18;19;20;21;22;23;24;25;26;27;28;29;30},
     COUNTIFS($U$2:$U$200,$G271)&gt;0,
     COUNTIFS($V$2:$V$200,$G271)&gt;0,
     COUNTIFS($W$2:$W$200,$G271)&gt;0,
     COUNTIFS($X$2:$X$200,$G271)&gt;0,
     COUNTIFS($Y$2:$Y$200,$G271)&gt;0,
     COUNTIFS($Z$2:$Z$200,$G271)&gt;0,
     COUNTIFS($AA$2:$AA$200,$G271)&gt;0,
     COUNTIFS($AB$2:$AB$200,$G271)&gt;0,
     COUNTIFS($AC$2:$AC$200,$G271)&gt;0,
     COUNTIFS($AD$2:$AD$200,$G271)&gt;0,
     COUNTIFS($AE$2:$AE$200,$G271)&gt;0,
     COUNTIFS($AF$2:$AF$200,$G271)&gt;0,
     COUNTIFS($AG$2:$AG$200,$G271)&gt;0,
     COUNTIFS($AH$2:$AH$200,$G271)&gt;0,
     COUNTIFS($AI$2:$AI$200,$G271)&gt;0,
     COUNTIFS($AJ$2:$AJ$200,$G271)&gt;0,
     COUNTIFS($AK$2:$AK$200,$G271)&gt;0,
     COUNTIFS($AL$2:$AL$200,$G271)&gt;0,
     COUNTIFS($AM$2:$AM$200,$G271)&gt;0,
     COUNTIFS($AN$2:$AN$200,$G271)&gt;0,
     COUNTIFS($AO$2:$AO$200,$G271)&gt;0,
     COUNTIFS($AP$2:$AP$200,$G271)&gt;0,
     COUNTIFS($AQ$2:$AQ$200,$G271)&gt;0,
     COUNTIFS($AR$2:$AR$200,$G271)&gt;0,
     COUNTIFS($AS$2:$AS$200,$G271)&gt;0,
     COUNTIFS($AT$2:$AT$200,$G271)&gt;0,
     COUNTIFS($AU$2:$AU$200,$G271)&gt;0,
     COUNTIFS($AV$2:$AV$200,$G271)&gt;0,
     COUNTIFS($AW$2:$AW$200,$G271)&gt;0,
     COUNTIFS($AX$2:$AX$200,$G271)&gt;0
   )),
  ),
  4
 ),
"")</f>
        <v/>
      </c>
      <c r="G271" t="str">
        <f ca="1"/>
        <v>Takenuma, Charco Abandonado</v>
      </c>
      <c r="CJ271" t="str">
        <f ca="1"/>
        <v>Takenuma, Charco Abandonado</v>
      </c>
    </row>
    <row r="272" spans="1:88" x14ac:dyDescent="0.25">
      <c r="A272" s="3" t="str">
        <f t="shared" ca="1" si="10"/>
        <v>1</v>
      </c>
      <c r="B272" s="3">
        <f t="shared" ca="1" si="11"/>
        <v>1</v>
      </c>
      <c r="C272" s="3" t="str">
        <f ca="1">IFERROR(
 INDEX($U$1:$AX$1,
  MATCH(TRUE,
   CHOOSE({1;2;3;4;5;6;7;8;9;10;11;12;13;14;15;16;17;18;19;20;21;22;23;24;25;26;27;28;29;30;31;32},
    COUNTIFS($U$2:$U$200,$G272)&gt;0,
    COUNTIFS($V$2:$V$200,$G272)&gt;0,
    COUNTIFS($W$2:$W$200,$G272)&gt;0,
    COUNTIFS($X$2:$X$200,$G272)&gt;0,
    COUNTIFS($Y$2:$Y$200,$G272)&gt;0,
    COUNTIFS($Z$2:$Z$200,$G272)&gt;0,
    COUNTIFS($AA$2:$AA$200,$G272)&gt;0,
    COUNTIFS($AB$2:$AB$200,$G272)&gt;0,
    COUNTIFS($AC$2:$AC$200,$G272)&gt;0,
    COUNTIFS($AD$2:$AD$200,$G272)&gt;0,
    COUNTIFS($AE$2:$AE$200,$G272)&gt;0,
    COUNTIFS($AF$2:$AF$200,$G272)&gt;0,
    COUNTIFS($AG$2:$AG$200,$G272)&gt;0,
    COUNTIFS($AH$2:$AH$200,$G272)&gt;0,
    COUNTIFS($AI$2:$AI$200,$G272)&gt;0,
    COUNTIFS($AJ$2:$AJ$200,$G272)&gt;0,
    COUNTIFS($AK$2:$AK$200,$G272)&gt;0,
    COUNTIFS($AL$2:$AL$200,$G272)&gt;0,
    COUNTIFS($AM$2:$AM$200,$G272)&gt;0,
    COUNTIFS($AN$2:$AN$200,$G272)&gt;0,
    COUNTIFS($AO$2:$AO$200,$G272)&gt;0,
    COUNTIFS($AP$2:$AP$200,$G272)&gt;0,
    COUNTIFS($AQ$2:$AQ$200,$G272)&gt;0,
    COUNTIFS($AR$2:$AR$200,$G272)&gt;0,
    COUNTIFS($AS$2:$AS$200,$G272)&gt;0,
    COUNTIFS($AT$2:$AT$200,$G272)&gt;0,
    COUNTIFS($AU$2:$AU$200,$G272)&gt;0,
    COUNTIFS($AV$2:$AV$200,$G272)&gt;0,
    COUNTIFS($AW$2:$AW$200,$G272)&gt;0,
    COUNTIFS($AX$2:$AX$200,$G272)&gt;0
   ),
  0)
 ),
"")</f>
        <v>Modular</v>
      </c>
      <c r="D272" s="3" t="str" cm="1">
        <f t="array" aca="1" ref="D272" ca="1">IFERROR(
 INDEX(
  _xlfn._xlws.FILTER($U$1:$AX$1,
   TRANSPOSE(
    CHOOSE({1;2;3;4;5;6;7;8;9;10;11;12;13;14;15;16;17;18;19;20;21;22;23;24;25;26;27;28;29;30},
     COUNTIFS($U$2:$U$200,$G272)&gt;0,
     COUNTIFS($V$2:$V$200,$G272)&gt;0,
     COUNTIFS($W$2:$W$200,$G272)&gt;0,
     COUNTIFS($X$2:$X$200,$G272)&gt;0,
     COUNTIFS($Y$2:$Y$200,$G272)&gt;0,
     COUNTIFS($Z$2:$Z$200,$G272)&gt;0,
     COUNTIFS($AA$2:$AA$200,$G272)&gt;0,
     COUNTIFS($AB$2:$AB$200,$G272)&gt;0,
     COUNTIFS($AC$2:$AC$200,$G272)&gt;0,
     COUNTIFS($AD$2:$AD$200,$G272)&gt;0,
     COUNTIFS($AE$2:$AE$200,$G272)&gt;0,
     COUNTIFS($AF$2:$AF$200,$G272)&gt;0,
     COUNTIFS($AG$2:$AG$200,$G272)&gt;0,
     COUNTIFS($AH$2:$AH$200,$G272)&gt;0,
     COUNTIFS($AI$2:$AI$200,$G272)&gt;0,
     COUNTIFS($AJ$2:$AJ$200,$G272)&gt;0,
     COUNTIFS($AK$2:$AK$200,$G272)&gt;0,
     COUNTIFS($AL$2:$AL$200,$G272)&gt;0,
     COUNTIFS($AM$2:$AM$200,$G272)&gt;0,
     COUNTIFS($AN$2:$AN$200,$G272)&gt;0,
     COUNTIFS($AO$2:$AO$200,$G272)&gt;0,
     COUNTIFS($AP$2:$AP$200,$G272)&gt;0,
     COUNTIFS($AQ$2:$AQ$200,$G272)&gt;0,
     COUNTIFS($AR$2:$AR$200,$G272)&gt;0,
     COUNTIFS($AS$2:$AS$200,$G272)&gt;0,
     COUNTIFS($AT$2:$AT$200,$G272)&gt;0,
     COUNTIFS($AU$2:$AU$200,$G272)&gt;0,
     COUNTIFS($AV$2:$AV$200,$G272)&gt;0,
     COUNTIFS($AW$2:$AW$200,$G272)&gt;0,
     COUNTIFS($AX$2:$AX$200,$G272)&gt;0
   )),
  ),
  2
 ),
"")</f>
        <v/>
      </c>
      <c r="E272" s="3" t="str" cm="1">
        <f t="array" aca="1" ref="E272" ca="1">IFERROR(
 INDEX(
  _xlfn._xlws.FILTER($U$1:$AX$1,
   TRANSPOSE(
    CHOOSE({1;2;3;4;5;6;7;8;9;10;11;12;13;14;15;16;17;18;19;20;21;22;23;24;25;26;27;28;29;30},
     COUNTIFS($U$2:$U$200,$G272)&gt;0,
     COUNTIFS($V$2:$V$200,$G272)&gt;0,
     COUNTIFS($W$2:$W$200,$G272)&gt;0,
     COUNTIFS($X$2:$X$200,$G272)&gt;0,
     COUNTIFS($Y$2:$Y$200,$G272)&gt;0,
     COUNTIFS($Z$2:$Z$200,$G272)&gt;0,
     COUNTIFS($AA$2:$AA$200,$G272)&gt;0,
     COUNTIFS($AB$2:$AB$200,$G272)&gt;0,
     COUNTIFS($AC$2:$AC$200,$G272)&gt;0,
     COUNTIFS($AD$2:$AD$200,$G272)&gt;0,
     COUNTIFS($AE$2:$AE$200,$G272)&gt;0,
     COUNTIFS($AF$2:$AF$200,$G272)&gt;0,
     COUNTIFS($AG$2:$AG$200,$G272)&gt;0,
     COUNTIFS($AH$2:$AH$200,$G272)&gt;0,
     COUNTIFS($AI$2:$AI$200,$G272)&gt;0,
     COUNTIFS($AJ$2:$AJ$200,$G272)&gt;0,
     COUNTIFS($AK$2:$AK$200,$G272)&gt;0,
     COUNTIFS($AL$2:$AL$200,$G272)&gt;0,
     COUNTIFS($AM$2:$AM$200,$G272)&gt;0,
     COUNTIFS($AN$2:$AN$200,$G272)&gt;0,
     COUNTIFS($AO$2:$AO$200,$G272)&gt;0,
     COUNTIFS($AP$2:$AP$200,$G272)&gt;0,
     COUNTIFS($AQ$2:$AQ$200,$G272)&gt;0,
     COUNTIFS($AR$2:$AR$200,$G272)&gt;0,
     COUNTIFS($AS$2:$AS$200,$G272)&gt;0,
     COUNTIFS($AT$2:$AT$200,$G272)&gt;0,
     COUNTIFS($AU$2:$AU$200,$G272)&gt;0,
     COUNTIFS($AV$2:$AV$200,$G272)&gt;0,
     COUNTIFS($AW$2:$AW$200,$G272)&gt;0,
     COUNTIFS($AX$2:$AX$200,$G272)&gt;0
   )),
  ),
  3
 ),
"")</f>
        <v/>
      </c>
      <c r="F272" s="3" t="str" cm="1">
        <f t="array" aca="1" ref="F272" ca="1">IFERROR(
 INDEX(
  _xlfn._xlws.FILTER($U$1:$AX$1,
   TRANSPOSE(
    CHOOSE({1;2;3;4;5;6;7;8;9;10;11;12;13;14;15;16;17;18;19;20;21;22;23;24;25;26;27;28;29;30},
     COUNTIFS($U$2:$U$200,$G272)&gt;0,
     COUNTIFS($V$2:$V$200,$G272)&gt;0,
     COUNTIFS($W$2:$W$200,$G272)&gt;0,
     COUNTIFS($X$2:$X$200,$G272)&gt;0,
     COUNTIFS($Y$2:$Y$200,$G272)&gt;0,
     COUNTIFS($Z$2:$Z$200,$G272)&gt;0,
     COUNTIFS($AA$2:$AA$200,$G272)&gt;0,
     COUNTIFS($AB$2:$AB$200,$G272)&gt;0,
     COUNTIFS($AC$2:$AC$200,$G272)&gt;0,
     COUNTIFS($AD$2:$AD$200,$G272)&gt;0,
     COUNTIFS($AE$2:$AE$200,$G272)&gt;0,
     COUNTIFS($AF$2:$AF$200,$G272)&gt;0,
     COUNTIFS($AG$2:$AG$200,$G272)&gt;0,
     COUNTIFS($AH$2:$AH$200,$G272)&gt;0,
     COUNTIFS($AI$2:$AI$200,$G272)&gt;0,
     COUNTIFS($AJ$2:$AJ$200,$G272)&gt;0,
     COUNTIFS($AK$2:$AK$200,$G272)&gt;0,
     COUNTIFS($AL$2:$AL$200,$G272)&gt;0,
     COUNTIFS($AM$2:$AM$200,$G272)&gt;0,
     COUNTIFS($AN$2:$AN$200,$G272)&gt;0,
     COUNTIFS($AO$2:$AO$200,$G272)&gt;0,
     COUNTIFS($AP$2:$AP$200,$G272)&gt;0,
     COUNTIFS($AQ$2:$AQ$200,$G272)&gt;0,
     COUNTIFS($AR$2:$AR$200,$G272)&gt;0,
     COUNTIFS($AS$2:$AS$200,$G272)&gt;0,
     COUNTIFS($AT$2:$AT$200,$G272)&gt;0,
     COUNTIFS($AU$2:$AU$200,$G272)&gt;0,
     COUNTIFS($AV$2:$AV$200,$G272)&gt;0,
     COUNTIFS($AW$2:$AW$200,$G272)&gt;0,
     COUNTIFS($AX$2:$AX$200,$G272)&gt;0
   )),
  ),
  4
 ),
"")</f>
        <v/>
      </c>
      <c r="G272" t="str">
        <f ca="1"/>
        <v>Tannuk, Memorial Ensign</v>
      </c>
      <c r="CJ272" t="str">
        <f ca="1"/>
        <v>Tannuk, Memorial Ensign</v>
      </c>
    </row>
    <row r="273" spans="1:88" x14ac:dyDescent="0.25">
      <c r="A273" s="3" t="str">
        <f t="shared" ca="1" si="10"/>
        <v>1</v>
      </c>
      <c r="B273" s="3">
        <f t="shared" ca="1" si="11"/>
        <v>1</v>
      </c>
      <c r="C273" s="3" t="str">
        <f ca="1">IFERROR(
 INDEX($U$1:$AX$1,
  MATCH(TRUE,
   CHOOSE({1;2;3;4;5;6;7;8;9;10;11;12;13;14;15;16;17;18;19;20;21;22;23;24;25;26;27;28;29;30;31;32},
    COUNTIFS($U$2:$U$200,$G273)&gt;0,
    COUNTIFS($V$2:$V$200,$G273)&gt;0,
    COUNTIFS($W$2:$W$200,$G273)&gt;0,
    COUNTIFS($X$2:$X$200,$G273)&gt;0,
    COUNTIFS($Y$2:$Y$200,$G273)&gt;0,
    COUNTIFS($Z$2:$Z$200,$G273)&gt;0,
    COUNTIFS($AA$2:$AA$200,$G273)&gt;0,
    COUNTIFS($AB$2:$AB$200,$G273)&gt;0,
    COUNTIFS($AC$2:$AC$200,$G273)&gt;0,
    COUNTIFS($AD$2:$AD$200,$G273)&gt;0,
    COUNTIFS($AE$2:$AE$200,$G273)&gt;0,
    COUNTIFS($AF$2:$AF$200,$G273)&gt;0,
    COUNTIFS($AG$2:$AG$200,$G273)&gt;0,
    COUNTIFS($AH$2:$AH$200,$G273)&gt;0,
    COUNTIFS($AI$2:$AI$200,$G273)&gt;0,
    COUNTIFS($AJ$2:$AJ$200,$G273)&gt;0,
    COUNTIFS($AK$2:$AK$200,$G273)&gt;0,
    COUNTIFS($AL$2:$AL$200,$G273)&gt;0,
    COUNTIFS($AM$2:$AM$200,$G273)&gt;0,
    COUNTIFS($AN$2:$AN$200,$G273)&gt;0,
    COUNTIFS($AO$2:$AO$200,$G273)&gt;0,
    COUNTIFS($AP$2:$AP$200,$G273)&gt;0,
    COUNTIFS($AQ$2:$AQ$200,$G273)&gt;0,
    COUNTIFS($AR$2:$AR$200,$G273)&gt;0,
    COUNTIFS($AS$2:$AS$200,$G273)&gt;0,
    COUNTIFS($AT$2:$AT$200,$G273)&gt;0,
    COUNTIFS($AU$2:$AU$200,$G273)&gt;0,
    COUNTIFS($AV$2:$AV$200,$G273)&gt;0,
    COUNTIFS($AW$2:$AW$200,$G273)&gt;0,
    COUNTIFS($AX$2:$AX$200,$G273)&gt;0
   ),
  0)
 ),
"")</f>
        <v>Tayam</v>
      </c>
      <c r="D273" s="3" t="str" cm="1">
        <f t="array" aca="1" ref="D273" ca="1">IFERROR(
 INDEX(
  _xlfn._xlws.FILTER($U$1:$AX$1,
   TRANSPOSE(
    CHOOSE({1;2;3;4;5;6;7;8;9;10;11;12;13;14;15;16;17;18;19;20;21;22;23;24;25;26;27;28;29;30},
     COUNTIFS($U$2:$U$200,$G273)&gt;0,
     COUNTIFS($V$2:$V$200,$G273)&gt;0,
     COUNTIFS($W$2:$W$200,$G273)&gt;0,
     COUNTIFS($X$2:$X$200,$G273)&gt;0,
     COUNTIFS($Y$2:$Y$200,$G273)&gt;0,
     COUNTIFS($Z$2:$Z$200,$G273)&gt;0,
     COUNTIFS($AA$2:$AA$200,$G273)&gt;0,
     COUNTIFS($AB$2:$AB$200,$G273)&gt;0,
     COUNTIFS($AC$2:$AC$200,$G273)&gt;0,
     COUNTIFS($AD$2:$AD$200,$G273)&gt;0,
     COUNTIFS($AE$2:$AE$200,$G273)&gt;0,
     COUNTIFS($AF$2:$AF$200,$G273)&gt;0,
     COUNTIFS($AG$2:$AG$200,$G273)&gt;0,
     COUNTIFS($AH$2:$AH$200,$G273)&gt;0,
     COUNTIFS($AI$2:$AI$200,$G273)&gt;0,
     COUNTIFS($AJ$2:$AJ$200,$G273)&gt;0,
     COUNTIFS($AK$2:$AK$200,$G273)&gt;0,
     COUNTIFS($AL$2:$AL$200,$G273)&gt;0,
     COUNTIFS($AM$2:$AM$200,$G273)&gt;0,
     COUNTIFS($AN$2:$AN$200,$G273)&gt;0,
     COUNTIFS($AO$2:$AO$200,$G273)&gt;0,
     COUNTIFS($AP$2:$AP$200,$G273)&gt;0,
     COUNTIFS($AQ$2:$AQ$200,$G273)&gt;0,
     COUNTIFS($AR$2:$AR$200,$G273)&gt;0,
     COUNTIFS($AS$2:$AS$200,$G273)&gt;0,
     COUNTIFS($AT$2:$AT$200,$G273)&gt;0,
     COUNTIFS($AU$2:$AU$200,$G273)&gt;0,
     COUNTIFS($AV$2:$AV$200,$G273)&gt;0,
     COUNTIFS($AW$2:$AW$200,$G273)&gt;0,
     COUNTIFS($AX$2:$AX$200,$G273)&gt;0
   )),
  ),
  2
 ),
"")</f>
        <v/>
      </c>
      <c r="E273" s="3" t="str" cm="1">
        <f t="array" aca="1" ref="E273" ca="1">IFERROR(
 INDEX(
  _xlfn._xlws.FILTER($U$1:$AX$1,
   TRANSPOSE(
    CHOOSE({1;2;3;4;5;6;7;8;9;10;11;12;13;14;15;16;17;18;19;20;21;22;23;24;25;26;27;28;29;30},
     COUNTIFS($U$2:$U$200,$G273)&gt;0,
     COUNTIFS($V$2:$V$200,$G273)&gt;0,
     COUNTIFS($W$2:$W$200,$G273)&gt;0,
     COUNTIFS($X$2:$X$200,$G273)&gt;0,
     COUNTIFS($Y$2:$Y$200,$G273)&gt;0,
     COUNTIFS($Z$2:$Z$200,$G273)&gt;0,
     COUNTIFS($AA$2:$AA$200,$G273)&gt;0,
     COUNTIFS($AB$2:$AB$200,$G273)&gt;0,
     COUNTIFS($AC$2:$AC$200,$G273)&gt;0,
     COUNTIFS($AD$2:$AD$200,$G273)&gt;0,
     COUNTIFS($AE$2:$AE$200,$G273)&gt;0,
     COUNTIFS($AF$2:$AF$200,$G273)&gt;0,
     COUNTIFS($AG$2:$AG$200,$G273)&gt;0,
     COUNTIFS($AH$2:$AH$200,$G273)&gt;0,
     COUNTIFS($AI$2:$AI$200,$G273)&gt;0,
     COUNTIFS($AJ$2:$AJ$200,$G273)&gt;0,
     COUNTIFS($AK$2:$AK$200,$G273)&gt;0,
     COUNTIFS($AL$2:$AL$200,$G273)&gt;0,
     COUNTIFS($AM$2:$AM$200,$G273)&gt;0,
     COUNTIFS($AN$2:$AN$200,$G273)&gt;0,
     COUNTIFS($AO$2:$AO$200,$G273)&gt;0,
     COUNTIFS($AP$2:$AP$200,$G273)&gt;0,
     COUNTIFS($AQ$2:$AQ$200,$G273)&gt;0,
     COUNTIFS($AR$2:$AR$200,$G273)&gt;0,
     COUNTIFS($AS$2:$AS$200,$G273)&gt;0,
     COUNTIFS($AT$2:$AT$200,$G273)&gt;0,
     COUNTIFS($AU$2:$AU$200,$G273)&gt;0,
     COUNTIFS($AV$2:$AV$200,$G273)&gt;0,
     COUNTIFS($AW$2:$AW$200,$G273)&gt;0,
     COUNTIFS($AX$2:$AX$200,$G273)&gt;0
   )),
  ),
  3
 ),
"")</f>
        <v/>
      </c>
      <c r="F273" s="3" t="str" cm="1">
        <f t="array" aca="1" ref="F273" ca="1">IFERROR(
 INDEX(
  _xlfn._xlws.FILTER($U$1:$AX$1,
   TRANSPOSE(
    CHOOSE({1;2;3;4;5;6;7;8;9;10;11;12;13;14;15;16;17;18;19;20;21;22;23;24;25;26;27;28;29;30},
     COUNTIFS($U$2:$U$200,$G273)&gt;0,
     COUNTIFS($V$2:$V$200,$G273)&gt;0,
     COUNTIFS($W$2:$W$200,$G273)&gt;0,
     COUNTIFS($X$2:$X$200,$G273)&gt;0,
     COUNTIFS($Y$2:$Y$200,$G273)&gt;0,
     COUNTIFS($Z$2:$Z$200,$G273)&gt;0,
     COUNTIFS($AA$2:$AA$200,$G273)&gt;0,
     COUNTIFS($AB$2:$AB$200,$G273)&gt;0,
     COUNTIFS($AC$2:$AC$200,$G273)&gt;0,
     COUNTIFS($AD$2:$AD$200,$G273)&gt;0,
     COUNTIFS($AE$2:$AE$200,$G273)&gt;0,
     COUNTIFS($AF$2:$AF$200,$G273)&gt;0,
     COUNTIFS($AG$2:$AG$200,$G273)&gt;0,
     COUNTIFS($AH$2:$AH$200,$G273)&gt;0,
     COUNTIFS($AI$2:$AI$200,$G273)&gt;0,
     COUNTIFS($AJ$2:$AJ$200,$G273)&gt;0,
     COUNTIFS($AK$2:$AK$200,$G273)&gt;0,
     COUNTIFS($AL$2:$AL$200,$G273)&gt;0,
     COUNTIFS($AM$2:$AM$200,$G273)&gt;0,
     COUNTIFS($AN$2:$AN$200,$G273)&gt;0,
     COUNTIFS($AO$2:$AO$200,$G273)&gt;0,
     COUNTIFS($AP$2:$AP$200,$G273)&gt;0,
     COUNTIFS($AQ$2:$AQ$200,$G273)&gt;0,
     COUNTIFS($AR$2:$AR$200,$G273)&gt;0,
     COUNTIFS($AS$2:$AS$200,$G273)&gt;0,
     COUNTIFS($AT$2:$AT$200,$G273)&gt;0,
     COUNTIFS($AU$2:$AU$200,$G273)&gt;0,
     COUNTIFS($AV$2:$AV$200,$G273)&gt;0,
     COUNTIFS($AW$2:$AW$200,$G273)&gt;0,
     COUNTIFS($AX$2:$AX$200,$G273)&gt;0
   )),
  ),
  4
 ),
"")</f>
        <v/>
      </c>
      <c r="G273" t="str">
        <f ca="1"/>
        <v>Tayam, Luminous Enigma</v>
      </c>
      <c r="CJ273" t="str">
        <f ca="1"/>
        <v>Tayam, Luminous Enigma</v>
      </c>
    </row>
    <row r="274" spans="1:88" x14ac:dyDescent="0.25">
      <c r="A274" s="3" t="str">
        <f t="shared" ca="1" si="10"/>
        <v>3</v>
      </c>
      <c r="B274" s="3">
        <f t="shared" ca="1" si="11"/>
        <v>1</v>
      </c>
      <c r="C274" s="3" t="str">
        <f ca="1">IFERROR(
 INDEX($U$1:$AX$1,
  MATCH(TRUE,
   CHOOSE({1;2;3;4;5;6;7;8;9;10;11;12;13;14;15;16;17;18;19;20;21;22;23;24;25;26;27;28;29;30;31;32},
    COUNTIFS($U$2:$U$200,$G274)&gt;0,
    COUNTIFS($V$2:$V$200,$G274)&gt;0,
    COUNTIFS($W$2:$W$200,$G274)&gt;0,
    COUNTIFS($X$2:$X$200,$G274)&gt;0,
    COUNTIFS($Y$2:$Y$200,$G274)&gt;0,
    COUNTIFS($Z$2:$Z$200,$G274)&gt;0,
    COUNTIFS($AA$2:$AA$200,$G274)&gt;0,
    COUNTIFS($AB$2:$AB$200,$G274)&gt;0,
    COUNTIFS($AC$2:$AC$200,$G274)&gt;0,
    COUNTIFS($AD$2:$AD$200,$G274)&gt;0,
    COUNTIFS($AE$2:$AE$200,$G274)&gt;0,
    COUNTIFS($AF$2:$AF$200,$G274)&gt;0,
    COUNTIFS($AG$2:$AG$200,$G274)&gt;0,
    COUNTIFS($AH$2:$AH$200,$G274)&gt;0,
    COUNTIFS($AI$2:$AI$200,$G274)&gt;0,
    COUNTIFS($AJ$2:$AJ$200,$G274)&gt;0,
    COUNTIFS($AK$2:$AK$200,$G274)&gt;0,
    COUNTIFS($AL$2:$AL$200,$G274)&gt;0,
    COUNTIFS($AM$2:$AM$200,$G274)&gt;0,
    COUNTIFS($AN$2:$AN$200,$G274)&gt;0,
    COUNTIFS($AO$2:$AO$200,$G274)&gt;0,
    COUNTIFS($AP$2:$AP$200,$G274)&gt;0,
    COUNTIFS($AQ$2:$AQ$200,$G274)&gt;0,
    COUNTIFS($AR$2:$AR$200,$G274)&gt;0,
    COUNTIFS($AS$2:$AS$200,$G274)&gt;0,
    COUNTIFS($AT$2:$AT$200,$G274)&gt;0,
    COUNTIFS($AU$2:$AU$200,$G274)&gt;0,
    COUNTIFS($AV$2:$AV$200,$G274)&gt;0,
    COUNTIFS($AW$2:$AW$200,$G274)&gt;0,
    COUNTIFS($AX$2:$AX$200,$G274)&gt;0
   ),
  0)
 ),
"")</f>
        <v>Zimone</v>
      </c>
      <c r="D274" s="3" t="str" cm="1">
        <f t="array" aca="1" ref="D274" ca="1">IFERROR(
 INDEX(
  _xlfn._xlws.FILTER($U$1:$AX$1,
   TRANSPOSE(
    CHOOSE({1;2;3;4;5;6;7;8;9;10;11;12;13;14;15;16;17;18;19;20;21;22;23;24;25;26;27;28;29;30},
     COUNTIFS($U$2:$U$200,$G274)&gt;0,
     COUNTIFS($V$2:$V$200,$G274)&gt;0,
     COUNTIFS($W$2:$W$200,$G274)&gt;0,
     COUNTIFS($X$2:$X$200,$G274)&gt;0,
     COUNTIFS($Y$2:$Y$200,$G274)&gt;0,
     COUNTIFS($Z$2:$Z$200,$G274)&gt;0,
     COUNTIFS($AA$2:$AA$200,$G274)&gt;0,
     COUNTIFS($AB$2:$AB$200,$G274)&gt;0,
     COUNTIFS($AC$2:$AC$200,$G274)&gt;0,
     COUNTIFS($AD$2:$AD$200,$G274)&gt;0,
     COUNTIFS($AE$2:$AE$200,$G274)&gt;0,
     COUNTIFS($AF$2:$AF$200,$G274)&gt;0,
     COUNTIFS($AG$2:$AG$200,$G274)&gt;0,
     COUNTIFS($AH$2:$AH$200,$G274)&gt;0,
     COUNTIFS($AI$2:$AI$200,$G274)&gt;0,
     COUNTIFS($AJ$2:$AJ$200,$G274)&gt;0,
     COUNTIFS($AK$2:$AK$200,$G274)&gt;0,
     COUNTIFS($AL$2:$AL$200,$G274)&gt;0,
     COUNTIFS($AM$2:$AM$200,$G274)&gt;0,
     COUNTIFS($AN$2:$AN$200,$G274)&gt;0,
     COUNTIFS($AO$2:$AO$200,$G274)&gt;0,
     COUNTIFS($AP$2:$AP$200,$G274)&gt;0,
     COUNTIFS($AQ$2:$AQ$200,$G274)&gt;0,
     COUNTIFS($AR$2:$AR$200,$G274)&gt;0,
     COUNTIFS($AS$2:$AS$200,$G274)&gt;0,
     COUNTIFS($AT$2:$AT$200,$G274)&gt;0,
     COUNTIFS($AU$2:$AU$200,$G274)&gt;0,
     COUNTIFS($AV$2:$AV$200,$G274)&gt;0,
     COUNTIFS($AW$2:$AW$200,$G274)&gt;0,
     COUNTIFS($AX$2:$AX$200,$G274)&gt;0
   )),
  ),
  2
 ),
"")</f>
        <v/>
      </c>
      <c r="E274" s="3" t="str" cm="1">
        <f t="array" aca="1" ref="E274" ca="1">IFERROR(
 INDEX(
  _xlfn._xlws.FILTER($U$1:$AX$1,
   TRANSPOSE(
    CHOOSE({1;2;3;4;5;6;7;8;9;10;11;12;13;14;15;16;17;18;19;20;21;22;23;24;25;26;27;28;29;30},
     COUNTIFS($U$2:$U$200,$G274)&gt;0,
     COUNTIFS($V$2:$V$200,$G274)&gt;0,
     COUNTIFS($W$2:$W$200,$G274)&gt;0,
     COUNTIFS($X$2:$X$200,$G274)&gt;0,
     COUNTIFS($Y$2:$Y$200,$G274)&gt;0,
     COUNTIFS($Z$2:$Z$200,$G274)&gt;0,
     COUNTIFS($AA$2:$AA$200,$G274)&gt;0,
     COUNTIFS($AB$2:$AB$200,$G274)&gt;0,
     COUNTIFS($AC$2:$AC$200,$G274)&gt;0,
     COUNTIFS($AD$2:$AD$200,$G274)&gt;0,
     COUNTIFS($AE$2:$AE$200,$G274)&gt;0,
     COUNTIFS($AF$2:$AF$200,$G274)&gt;0,
     COUNTIFS($AG$2:$AG$200,$G274)&gt;0,
     COUNTIFS($AH$2:$AH$200,$G274)&gt;0,
     COUNTIFS($AI$2:$AI$200,$G274)&gt;0,
     COUNTIFS($AJ$2:$AJ$200,$G274)&gt;0,
     COUNTIFS($AK$2:$AK$200,$G274)&gt;0,
     COUNTIFS($AL$2:$AL$200,$G274)&gt;0,
     COUNTIFS($AM$2:$AM$200,$G274)&gt;0,
     COUNTIFS($AN$2:$AN$200,$G274)&gt;0,
     COUNTIFS($AO$2:$AO$200,$G274)&gt;0,
     COUNTIFS($AP$2:$AP$200,$G274)&gt;0,
     COUNTIFS($AQ$2:$AQ$200,$G274)&gt;0,
     COUNTIFS($AR$2:$AR$200,$G274)&gt;0,
     COUNTIFS($AS$2:$AS$200,$G274)&gt;0,
     COUNTIFS($AT$2:$AT$200,$G274)&gt;0,
     COUNTIFS($AU$2:$AU$200,$G274)&gt;0,
     COUNTIFS($AV$2:$AV$200,$G274)&gt;0,
     COUNTIFS($AW$2:$AW$200,$G274)&gt;0,
     COUNTIFS($AX$2:$AX$200,$G274)&gt;0
   )),
  ),
  3
 ),
"")</f>
        <v/>
      </c>
      <c r="F274" s="3" t="str" cm="1">
        <f t="array" aca="1" ref="F274" ca="1">IFERROR(
 INDEX(
  _xlfn._xlws.FILTER($U$1:$AX$1,
   TRANSPOSE(
    CHOOSE({1;2;3;4;5;6;7;8;9;10;11;12;13;14;15;16;17;18;19;20;21;22;23;24;25;26;27;28;29;30},
     COUNTIFS($U$2:$U$200,$G274)&gt;0,
     COUNTIFS($V$2:$V$200,$G274)&gt;0,
     COUNTIFS($W$2:$W$200,$G274)&gt;0,
     COUNTIFS($X$2:$X$200,$G274)&gt;0,
     COUNTIFS($Y$2:$Y$200,$G274)&gt;0,
     COUNTIFS($Z$2:$Z$200,$G274)&gt;0,
     COUNTIFS($AA$2:$AA$200,$G274)&gt;0,
     COUNTIFS($AB$2:$AB$200,$G274)&gt;0,
     COUNTIFS($AC$2:$AC$200,$G274)&gt;0,
     COUNTIFS($AD$2:$AD$200,$G274)&gt;0,
     COUNTIFS($AE$2:$AE$200,$G274)&gt;0,
     COUNTIFS($AF$2:$AF$200,$G274)&gt;0,
     COUNTIFS($AG$2:$AG$200,$G274)&gt;0,
     COUNTIFS($AH$2:$AH$200,$G274)&gt;0,
     COUNTIFS($AI$2:$AI$200,$G274)&gt;0,
     COUNTIFS($AJ$2:$AJ$200,$G274)&gt;0,
     COUNTIFS($AK$2:$AK$200,$G274)&gt;0,
     COUNTIFS($AL$2:$AL$200,$G274)&gt;0,
     COUNTIFS($AM$2:$AM$200,$G274)&gt;0,
     COUNTIFS($AN$2:$AN$200,$G274)&gt;0,
     COUNTIFS($AO$2:$AO$200,$G274)&gt;0,
     COUNTIFS($AP$2:$AP$200,$G274)&gt;0,
     COUNTIFS($AQ$2:$AQ$200,$G274)&gt;0,
     COUNTIFS($AR$2:$AR$200,$G274)&gt;0,
     COUNTIFS($AS$2:$AS$200,$G274)&gt;0,
     COUNTIFS($AT$2:$AT$200,$G274)&gt;0,
     COUNTIFS($AU$2:$AU$200,$G274)&gt;0,
     COUNTIFS($AV$2:$AV$200,$G274)&gt;0,
     COUNTIFS($AW$2:$AW$200,$G274)&gt;0,
     COUNTIFS($AX$2:$AX$200,$G274)&gt;0
   )),
  ),
  4
 ),
"")</f>
        <v/>
      </c>
      <c r="G274" t="str">
        <f ca="1"/>
        <v>Teferi's Ageless Insight</v>
      </c>
      <c r="CJ274" t="str">
        <f ca="1"/>
        <v>Teferi's Ageless Insight</v>
      </c>
    </row>
    <row r="275" spans="1:88" x14ac:dyDescent="0.25">
      <c r="A275" s="3" t="str">
        <f t="shared" ca="1" si="10"/>
        <v>2</v>
      </c>
      <c r="B275" s="3">
        <f t="shared" ca="1" si="11"/>
        <v>1</v>
      </c>
      <c r="C275" s="3" t="str">
        <f ca="1">IFERROR(
 INDEX($U$1:$AX$1,
  MATCH(TRUE,
   CHOOSE({1;2;3;4;5;6;7;8;9;10;11;12;13;14;15;16;17;18;19;20;21;22;23;24;25;26;27;28;29;30;31;32},
    COUNTIFS($U$2:$U$200,$G275)&gt;0,
    COUNTIFS($V$2:$V$200,$G275)&gt;0,
    COUNTIFS($W$2:$W$200,$G275)&gt;0,
    COUNTIFS($X$2:$X$200,$G275)&gt;0,
    COUNTIFS($Y$2:$Y$200,$G275)&gt;0,
    COUNTIFS($Z$2:$Z$200,$G275)&gt;0,
    COUNTIFS($AA$2:$AA$200,$G275)&gt;0,
    COUNTIFS($AB$2:$AB$200,$G275)&gt;0,
    COUNTIFS($AC$2:$AC$200,$G275)&gt;0,
    COUNTIFS($AD$2:$AD$200,$G275)&gt;0,
    COUNTIFS($AE$2:$AE$200,$G275)&gt;0,
    COUNTIFS($AF$2:$AF$200,$G275)&gt;0,
    COUNTIFS($AG$2:$AG$200,$G275)&gt;0,
    COUNTIFS($AH$2:$AH$200,$G275)&gt;0,
    COUNTIFS($AI$2:$AI$200,$G275)&gt;0,
    COUNTIFS($AJ$2:$AJ$200,$G275)&gt;0,
    COUNTIFS($AK$2:$AK$200,$G275)&gt;0,
    COUNTIFS($AL$2:$AL$200,$G275)&gt;0,
    COUNTIFS($AM$2:$AM$200,$G275)&gt;0,
    COUNTIFS($AN$2:$AN$200,$G275)&gt;0,
    COUNTIFS($AO$2:$AO$200,$G275)&gt;0,
    COUNTIFS($AP$2:$AP$200,$G275)&gt;0,
    COUNTIFS($AQ$2:$AQ$200,$G275)&gt;0,
    COUNTIFS($AR$2:$AR$200,$G275)&gt;0,
    COUNTIFS($AS$2:$AS$200,$G275)&gt;0,
    COUNTIFS($AT$2:$AT$200,$G275)&gt;0,
    COUNTIFS($AU$2:$AU$200,$G275)&gt;0,
    COUNTIFS($AV$2:$AV$200,$G275)&gt;0,
    COUNTIFS($AW$2:$AW$200,$G275)&gt;0,
    COUNTIFS($AX$2:$AX$200,$G275)&gt;0
   ),
  0)
 ),
"")</f>
        <v>Baylen</v>
      </c>
      <c r="D275" s="3" t="str" cm="1">
        <f t="array" aca="1" ref="D275" ca="1">IFERROR(
 INDEX(
  _xlfn._xlws.FILTER($U$1:$AX$1,
   TRANSPOSE(
    CHOOSE({1;2;3;4;5;6;7;8;9;10;11;12;13;14;15;16;17;18;19;20;21;22;23;24;25;26;27;28;29;30},
     COUNTIFS($U$2:$U$200,$G275)&gt;0,
     COUNTIFS($V$2:$V$200,$G275)&gt;0,
     COUNTIFS($W$2:$W$200,$G275)&gt;0,
     COUNTIFS($X$2:$X$200,$G275)&gt;0,
     COUNTIFS($Y$2:$Y$200,$G275)&gt;0,
     COUNTIFS($Z$2:$Z$200,$G275)&gt;0,
     COUNTIFS($AA$2:$AA$200,$G275)&gt;0,
     COUNTIFS($AB$2:$AB$200,$G275)&gt;0,
     COUNTIFS($AC$2:$AC$200,$G275)&gt;0,
     COUNTIFS($AD$2:$AD$200,$G275)&gt;0,
     COUNTIFS($AE$2:$AE$200,$G275)&gt;0,
     COUNTIFS($AF$2:$AF$200,$G275)&gt;0,
     COUNTIFS($AG$2:$AG$200,$G275)&gt;0,
     COUNTIFS($AH$2:$AH$200,$G275)&gt;0,
     COUNTIFS($AI$2:$AI$200,$G275)&gt;0,
     COUNTIFS($AJ$2:$AJ$200,$G275)&gt;0,
     COUNTIFS($AK$2:$AK$200,$G275)&gt;0,
     COUNTIFS($AL$2:$AL$200,$G275)&gt;0,
     COUNTIFS($AM$2:$AM$200,$G275)&gt;0,
     COUNTIFS($AN$2:$AN$200,$G275)&gt;0,
     COUNTIFS($AO$2:$AO$200,$G275)&gt;0,
     COUNTIFS($AP$2:$AP$200,$G275)&gt;0,
     COUNTIFS($AQ$2:$AQ$200,$G275)&gt;0,
     COUNTIFS($AR$2:$AR$200,$G275)&gt;0,
     COUNTIFS($AS$2:$AS$200,$G275)&gt;0,
     COUNTIFS($AT$2:$AT$200,$G275)&gt;0,
     COUNTIFS($AU$2:$AU$200,$G275)&gt;0,
     COUNTIFS($AV$2:$AV$200,$G275)&gt;0,
     COUNTIFS($AW$2:$AW$200,$G275)&gt;0,
     COUNTIFS($AX$2:$AX$200,$G275)&gt;0
   )),
  ),
  2
 ),
"")</f>
        <v/>
      </c>
      <c r="E275" s="3" t="str" cm="1">
        <f t="array" aca="1" ref="E275" ca="1">IFERROR(
 INDEX(
  _xlfn._xlws.FILTER($U$1:$AX$1,
   TRANSPOSE(
    CHOOSE({1;2;3;4;5;6;7;8;9;10;11;12;13;14;15;16;17;18;19;20;21;22;23;24;25;26;27;28;29;30},
     COUNTIFS($U$2:$U$200,$G275)&gt;0,
     COUNTIFS($V$2:$V$200,$G275)&gt;0,
     COUNTIFS($W$2:$W$200,$G275)&gt;0,
     COUNTIFS($X$2:$X$200,$G275)&gt;0,
     COUNTIFS($Y$2:$Y$200,$G275)&gt;0,
     COUNTIFS($Z$2:$Z$200,$G275)&gt;0,
     COUNTIFS($AA$2:$AA$200,$G275)&gt;0,
     COUNTIFS($AB$2:$AB$200,$G275)&gt;0,
     COUNTIFS($AC$2:$AC$200,$G275)&gt;0,
     COUNTIFS($AD$2:$AD$200,$G275)&gt;0,
     COUNTIFS($AE$2:$AE$200,$G275)&gt;0,
     COUNTIFS($AF$2:$AF$200,$G275)&gt;0,
     COUNTIFS($AG$2:$AG$200,$G275)&gt;0,
     COUNTIFS($AH$2:$AH$200,$G275)&gt;0,
     COUNTIFS($AI$2:$AI$200,$G275)&gt;0,
     COUNTIFS($AJ$2:$AJ$200,$G275)&gt;0,
     COUNTIFS($AK$2:$AK$200,$G275)&gt;0,
     COUNTIFS($AL$2:$AL$200,$G275)&gt;0,
     COUNTIFS($AM$2:$AM$200,$G275)&gt;0,
     COUNTIFS($AN$2:$AN$200,$G275)&gt;0,
     COUNTIFS($AO$2:$AO$200,$G275)&gt;0,
     COUNTIFS($AP$2:$AP$200,$G275)&gt;0,
     COUNTIFS($AQ$2:$AQ$200,$G275)&gt;0,
     COUNTIFS($AR$2:$AR$200,$G275)&gt;0,
     COUNTIFS($AS$2:$AS$200,$G275)&gt;0,
     COUNTIFS($AT$2:$AT$200,$G275)&gt;0,
     COUNTIFS($AU$2:$AU$200,$G275)&gt;0,
     COUNTIFS($AV$2:$AV$200,$G275)&gt;0,
     COUNTIFS($AW$2:$AW$200,$G275)&gt;0,
     COUNTIFS($AX$2:$AX$200,$G275)&gt;0
   )),
  ),
  3
 ),
"")</f>
        <v/>
      </c>
      <c r="F275" s="3" t="str" cm="1">
        <f t="array" aca="1" ref="F275" ca="1">IFERROR(
 INDEX(
  _xlfn._xlws.FILTER($U$1:$AX$1,
   TRANSPOSE(
    CHOOSE({1;2;3;4;5;6;7;8;9;10;11;12;13;14;15;16;17;18;19;20;21;22;23;24;25;26;27;28;29;30},
     COUNTIFS($U$2:$U$200,$G275)&gt;0,
     COUNTIFS($V$2:$V$200,$G275)&gt;0,
     COUNTIFS($W$2:$W$200,$G275)&gt;0,
     COUNTIFS($X$2:$X$200,$G275)&gt;0,
     COUNTIFS($Y$2:$Y$200,$G275)&gt;0,
     COUNTIFS($Z$2:$Z$200,$G275)&gt;0,
     COUNTIFS($AA$2:$AA$200,$G275)&gt;0,
     COUNTIFS($AB$2:$AB$200,$G275)&gt;0,
     COUNTIFS($AC$2:$AC$200,$G275)&gt;0,
     COUNTIFS($AD$2:$AD$200,$G275)&gt;0,
     COUNTIFS($AE$2:$AE$200,$G275)&gt;0,
     COUNTIFS($AF$2:$AF$200,$G275)&gt;0,
     COUNTIFS($AG$2:$AG$200,$G275)&gt;0,
     COUNTIFS($AH$2:$AH$200,$G275)&gt;0,
     COUNTIFS($AI$2:$AI$200,$G275)&gt;0,
     COUNTIFS($AJ$2:$AJ$200,$G275)&gt;0,
     COUNTIFS($AK$2:$AK$200,$G275)&gt;0,
     COUNTIFS($AL$2:$AL$200,$G275)&gt;0,
     COUNTIFS($AM$2:$AM$200,$G275)&gt;0,
     COUNTIFS($AN$2:$AN$200,$G275)&gt;0,
     COUNTIFS($AO$2:$AO$200,$G275)&gt;0,
     COUNTIFS($AP$2:$AP$200,$G275)&gt;0,
     COUNTIFS($AQ$2:$AQ$200,$G275)&gt;0,
     COUNTIFS($AR$2:$AR$200,$G275)&gt;0,
     COUNTIFS($AS$2:$AS$200,$G275)&gt;0,
     COUNTIFS($AT$2:$AT$200,$G275)&gt;0,
     COUNTIFS($AU$2:$AU$200,$G275)&gt;0,
     COUNTIFS($AV$2:$AV$200,$G275)&gt;0,
     COUNTIFS($AW$2:$AW$200,$G275)&gt;0,
     COUNTIFS($AX$2:$AX$200,$G275)&gt;0
   )),
  ),
  4
 ),
"")</f>
        <v/>
      </c>
      <c r="G275" t="str">
        <f ca="1"/>
        <v>Teferi's Protection</v>
      </c>
      <c r="CJ275" t="str">
        <f ca="1"/>
        <v>Teferi's Protection</v>
      </c>
    </row>
    <row r="276" spans="1:88" x14ac:dyDescent="0.25">
      <c r="A276" s="3" t="str">
        <f t="shared" ca="1" si="10"/>
        <v>2</v>
      </c>
      <c r="B276" s="3">
        <f t="shared" ca="1" si="11"/>
        <v>1</v>
      </c>
      <c r="C276" s="3" t="str">
        <f ca="1">IFERROR(
 INDEX($U$1:$AX$1,
  MATCH(TRUE,
   CHOOSE({1;2;3;4;5;6;7;8;9;10;11;12;13;14;15;16;17;18;19;20;21;22;23;24;25;26;27;28;29;30;31;32},
    COUNTIFS($U$2:$U$200,$G276)&gt;0,
    COUNTIFS($V$2:$V$200,$G276)&gt;0,
    COUNTIFS($W$2:$W$200,$G276)&gt;0,
    COUNTIFS($X$2:$X$200,$G276)&gt;0,
    COUNTIFS($Y$2:$Y$200,$G276)&gt;0,
    COUNTIFS($Z$2:$Z$200,$G276)&gt;0,
    COUNTIFS($AA$2:$AA$200,$G276)&gt;0,
    COUNTIFS($AB$2:$AB$200,$G276)&gt;0,
    COUNTIFS($AC$2:$AC$200,$G276)&gt;0,
    COUNTIFS($AD$2:$AD$200,$G276)&gt;0,
    COUNTIFS($AE$2:$AE$200,$G276)&gt;0,
    COUNTIFS($AF$2:$AF$200,$G276)&gt;0,
    COUNTIFS($AG$2:$AG$200,$G276)&gt;0,
    COUNTIFS($AH$2:$AH$200,$G276)&gt;0,
    COUNTIFS($AI$2:$AI$200,$G276)&gt;0,
    COUNTIFS($AJ$2:$AJ$200,$G276)&gt;0,
    COUNTIFS($AK$2:$AK$200,$G276)&gt;0,
    COUNTIFS($AL$2:$AL$200,$G276)&gt;0,
    COUNTIFS($AM$2:$AM$200,$G276)&gt;0,
    COUNTIFS($AN$2:$AN$200,$G276)&gt;0,
    COUNTIFS($AO$2:$AO$200,$G276)&gt;0,
    COUNTIFS($AP$2:$AP$200,$G276)&gt;0,
    COUNTIFS($AQ$2:$AQ$200,$G276)&gt;0,
    COUNTIFS($AR$2:$AR$200,$G276)&gt;0,
    COUNTIFS($AS$2:$AS$200,$G276)&gt;0,
    COUNTIFS($AT$2:$AT$200,$G276)&gt;0,
    COUNTIFS($AU$2:$AU$200,$G276)&gt;0,
    COUNTIFS($AV$2:$AV$200,$G276)&gt;0,
    COUNTIFS($AW$2:$AW$200,$G276)&gt;0,
    COUNTIFS($AX$2:$AX$200,$G276)&gt;0
   ),
  0)
 ),
"")</f>
        <v>Piratas</v>
      </c>
      <c r="D276" s="3" t="str" cm="1">
        <f t="array" aca="1" ref="D276" ca="1">IFERROR(
 INDEX(
  _xlfn._xlws.FILTER($U$1:$AX$1,
   TRANSPOSE(
    CHOOSE({1;2;3;4;5;6;7;8;9;10;11;12;13;14;15;16;17;18;19;20;21;22;23;24;25;26;27;28;29;30},
     COUNTIFS($U$2:$U$200,$G276)&gt;0,
     COUNTIFS($V$2:$V$200,$G276)&gt;0,
     COUNTIFS($W$2:$W$200,$G276)&gt;0,
     COUNTIFS($X$2:$X$200,$G276)&gt;0,
     COUNTIFS($Y$2:$Y$200,$G276)&gt;0,
     COUNTIFS($Z$2:$Z$200,$G276)&gt;0,
     COUNTIFS($AA$2:$AA$200,$G276)&gt;0,
     COUNTIFS($AB$2:$AB$200,$G276)&gt;0,
     COUNTIFS($AC$2:$AC$200,$G276)&gt;0,
     COUNTIFS($AD$2:$AD$200,$G276)&gt;0,
     COUNTIFS($AE$2:$AE$200,$G276)&gt;0,
     COUNTIFS($AF$2:$AF$200,$G276)&gt;0,
     COUNTIFS($AG$2:$AG$200,$G276)&gt;0,
     COUNTIFS($AH$2:$AH$200,$G276)&gt;0,
     COUNTIFS($AI$2:$AI$200,$G276)&gt;0,
     COUNTIFS($AJ$2:$AJ$200,$G276)&gt;0,
     COUNTIFS($AK$2:$AK$200,$G276)&gt;0,
     COUNTIFS($AL$2:$AL$200,$G276)&gt;0,
     COUNTIFS($AM$2:$AM$200,$G276)&gt;0,
     COUNTIFS($AN$2:$AN$200,$G276)&gt;0,
     COUNTIFS($AO$2:$AO$200,$G276)&gt;0,
     COUNTIFS($AP$2:$AP$200,$G276)&gt;0,
     COUNTIFS($AQ$2:$AQ$200,$G276)&gt;0,
     COUNTIFS($AR$2:$AR$200,$G276)&gt;0,
     COUNTIFS($AS$2:$AS$200,$G276)&gt;0,
     COUNTIFS($AT$2:$AT$200,$G276)&gt;0,
     COUNTIFS($AU$2:$AU$200,$G276)&gt;0,
     COUNTIFS($AV$2:$AV$200,$G276)&gt;0,
     COUNTIFS($AW$2:$AW$200,$G276)&gt;0,
     COUNTIFS($AX$2:$AX$200,$G276)&gt;0
   )),
  ),
  2
 ),
"")</f>
        <v/>
      </c>
      <c r="E276" s="3" t="str" cm="1">
        <f t="array" aca="1" ref="E276" ca="1">IFERROR(
 INDEX(
  _xlfn._xlws.FILTER($U$1:$AX$1,
   TRANSPOSE(
    CHOOSE({1;2;3;4;5;6;7;8;9;10;11;12;13;14;15;16;17;18;19;20;21;22;23;24;25;26;27;28;29;30},
     COUNTIFS($U$2:$U$200,$G276)&gt;0,
     COUNTIFS($V$2:$V$200,$G276)&gt;0,
     COUNTIFS($W$2:$W$200,$G276)&gt;0,
     COUNTIFS($X$2:$X$200,$G276)&gt;0,
     COUNTIFS($Y$2:$Y$200,$G276)&gt;0,
     COUNTIFS($Z$2:$Z$200,$G276)&gt;0,
     COUNTIFS($AA$2:$AA$200,$G276)&gt;0,
     COUNTIFS($AB$2:$AB$200,$G276)&gt;0,
     COUNTIFS($AC$2:$AC$200,$G276)&gt;0,
     COUNTIFS($AD$2:$AD$200,$G276)&gt;0,
     COUNTIFS($AE$2:$AE$200,$G276)&gt;0,
     COUNTIFS($AF$2:$AF$200,$G276)&gt;0,
     COUNTIFS($AG$2:$AG$200,$G276)&gt;0,
     COUNTIFS($AH$2:$AH$200,$G276)&gt;0,
     COUNTIFS($AI$2:$AI$200,$G276)&gt;0,
     COUNTIFS($AJ$2:$AJ$200,$G276)&gt;0,
     COUNTIFS($AK$2:$AK$200,$G276)&gt;0,
     COUNTIFS($AL$2:$AL$200,$G276)&gt;0,
     COUNTIFS($AM$2:$AM$200,$G276)&gt;0,
     COUNTIFS($AN$2:$AN$200,$G276)&gt;0,
     COUNTIFS($AO$2:$AO$200,$G276)&gt;0,
     COUNTIFS($AP$2:$AP$200,$G276)&gt;0,
     COUNTIFS($AQ$2:$AQ$200,$G276)&gt;0,
     COUNTIFS($AR$2:$AR$200,$G276)&gt;0,
     COUNTIFS($AS$2:$AS$200,$G276)&gt;0,
     COUNTIFS($AT$2:$AT$200,$G276)&gt;0,
     COUNTIFS($AU$2:$AU$200,$G276)&gt;0,
     COUNTIFS($AV$2:$AV$200,$G276)&gt;0,
     COUNTIFS($AW$2:$AW$200,$G276)&gt;0,
     COUNTIFS($AX$2:$AX$200,$G276)&gt;0
   )),
  ),
  3
 ),
"")</f>
        <v/>
      </c>
      <c r="F276" s="3" t="str" cm="1">
        <f t="array" aca="1" ref="F276" ca="1">IFERROR(
 INDEX(
  _xlfn._xlws.FILTER($U$1:$AX$1,
   TRANSPOSE(
    CHOOSE({1;2;3;4;5;6;7;8;9;10;11;12;13;14;15;16;17;18;19;20;21;22;23;24;25;26;27;28;29;30},
     COUNTIFS($U$2:$U$200,$G276)&gt;0,
     COUNTIFS($V$2:$V$200,$G276)&gt;0,
     COUNTIFS($W$2:$W$200,$G276)&gt;0,
     COUNTIFS($X$2:$X$200,$G276)&gt;0,
     COUNTIFS($Y$2:$Y$200,$G276)&gt;0,
     COUNTIFS($Z$2:$Z$200,$G276)&gt;0,
     COUNTIFS($AA$2:$AA$200,$G276)&gt;0,
     COUNTIFS($AB$2:$AB$200,$G276)&gt;0,
     COUNTIFS($AC$2:$AC$200,$G276)&gt;0,
     COUNTIFS($AD$2:$AD$200,$G276)&gt;0,
     COUNTIFS($AE$2:$AE$200,$G276)&gt;0,
     COUNTIFS($AF$2:$AF$200,$G276)&gt;0,
     COUNTIFS($AG$2:$AG$200,$G276)&gt;0,
     COUNTIFS($AH$2:$AH$200,$G276)&gt;0,
     COUNTIFS($AI$2:$AI$200,$G276)&gt;0,
     COUNTIFS($AJ$2:$AJ$200,$G276)&gt;0,
     COUNTIFS($AK$2:$AK$200,$G276)&gt;0,
     COUNTIFS($AL$2:$AL$200,$G276)&gt;0,
     COUNTIFS($AM$2:$AM$200,$G276)&gt;0,
     COUNTIFS($AN$2:$AN$200,$G276)&gt;0,
     COUNTIFS($AO$2:$AO$200,$G276)&gt;0,
     COUNTIFS($AP$2:$AP$200,$G276)&gt;0,
     COUNTIFS($AQ$2:$AQ$200,$G276)&gt;0,
     COUNTIFS($AR$2:$AR$200,$G276)&gt;0,
     COUNTIFS($AS$2:$AS$200,$G276)&gt;0,
     COUNTIFS($AT$2:$AT$200,$G276)&gt;0,
     COUNTIFS($AU$2:$AU$200,$G276)&gt;0,
     COUNTIFS($AV$2:$AV$200,$G276)&gt;0,
     COUNTIFS($AW$2:$AW$200,$G276)&gt;0,
     COUNTIFS($AX$2:$AX$200,$G276)&gt;0
   )),
  ),
  4
 ),
"")</f>
        <v/>
      </c>
      <c r="G276" t="str">
        <f ca="1"/>
        <v>Temple of Malice</v>
      </c>
      <c r="CJ276" t="str">
        <f ca="1"/>
        <v>Temple of Malice</v>
      </c>
    </row>
    <row r="277" spans="1:88" x14ac:dyDescent="0.25">
      <c r="A277" s="3" t="str">
        <f t="shared" ca="1" si="10"/>
        <v>3</v>
      </c>
      <c r="B277" s="3">
        <f t="shared" ca="1" si="11"/>
        <v>1</v>
      </c>
      <c r="C277" s="3" t="str">
        <f ca="1">IFERROR(
 INDEX($U$1:$AX$1,
  MATCH(TRUE,
   CHOOSE({1;2;3;4;5;6;7;8;9;10;11;12;13;14;15;16;17;18;19;20;21;22;23;24;25;26;27;28;29;30;31;32},
    COUNTIFS($U$2:$U$200,$G277)&gt;0,
    COUNTIFS($V$2:$V$200,$G277)&gt;0,
    COUNTIFS($W$2:$W$200,$G277)&gt;0,
    COUNTIFS($X$2:$X$200,$G277)&gt;0,
    COUNTIFS($Y$2:$Y$200,$G277)&gt;0,
    COUNTIFS($Z$2:$Z$200,$G277)&gt;0,
    COUNTIFS($AA$2:$AA$200,$G277)&gt;0,
    COUNTIFS($AB$2:$AB$200,$G277)&gt;0,
    COUNTIFS($AC$2:$AC$200,$G277)&gt;0,
    COUNTIFS($AD$2:$AD$200,$G277)&gt;0,
    COUNTIFS($AE$2:$AE$200,$G277)&gt;0,
    COUNTIFS($AF$2:$AF$200,$G277)&gt;0,
    COUNTIFS($AG$2:$AG$200,$G277)&gt;0,
    COUNTIFS($AH$2:$AH$200,$G277)&gt;0,
    COUNTIFS($AI$2:$AI$200,$G277)&gt;0,
    COUNTIFS($AJ$2:$AJ$200,$G277)&gt;0,
    COUNTIFS($AK$2:$AK$200,$G277)&gt;0,
    COUNTIFS($AL$2:$AL$200,$G277)&gt;0,
    COUNTIFS($AM$2:$AM$200,$G277)&gt;0,
    COUNTIFS($AN$2:$AN$200,$G277)&gt;0,
    COUNTIFS($AO$2:$AO$200,$G277)&gt;0,
    COUNTIFS($AP$2:$AP$200,$G277)&gt;0,
    COUNTIFS($AQ$2:$AQ$200,$G277)&gt;0,
    COUNTIFS($AR$2:$AR$200,$G277)&gt;0,
    COUNTIFS($AS$2:$AS$200,$G277)&gt;0,
    COUNTIFS($AT$2:$AT$200,$G277)&gt;0,
    COUNTIFS($AU$2:$AU$200,$G277)&gt;0,
    COUNTIFS($AV$2:$AV$200,$G277)&gt;0,
    COUNTIFS($AW$2:$AW$200,$G277)&gt;0,
    COUNTIFS($AX$2:$AX$200,$G277)&gt;0
   ),
  0)
 ),
"")</f>
        <v>Yuriko</v>
      </c>
      <c r="D277" s="3" t="str" cm="1">
        <f t="array" aca="1" ref="D277" ca="1">IFERROR(
 INDEX(
  _xlfn._xlws.FILTER($U$1:$AX$1,
   TRANSPOSE(
    CHOOSE({1;2;3;4;5;6;7;8;9;10;11;12;13;14;15;16;17;18;19;20;21;22;23;24;25;26;27;28;29;30},
     COUNTIFS($U$2:$U$200,$G277)&gt;0,
     COUNTIFS($V$2:$V$200,$G277)&gt;0,
     COUNTIFS($W$2:$W$200,$G277)&gt;0,
     COUNTIFS($X$2:$X$200,$G277)&gt;0,
     COUNTIFS($Y$2:$Y$200,$G277)&gt;0,
     COUNTIFS($Z$2:$Z$200,$G277)&gt;0,
     COUNTIFS($AA$2:$AA$200,$G277)&gt;0,
     COUNTIFS($AB$2:$AB$200,$G277)&gt;0,
     COUNTIFS($AC$2:$AC$200,$G277)&gt;0,
     COUNTIFS($AD$2:$AD$200,$G277)&gt;0,
     COUNTIFS($AE$2:$AE$200,$G277)&gt;0,
     COUNTIFS($AF$2:$AF$200,$G277)&gt;0,
     COUNTIFS($AG$2:$AG$200,$G277)&gt;0,
     COUNTIFS($AH$2:$AH$200,$G277)&gt;0,
     COUNTIFS($AI$2:$AI$200,$G277)&gt;0,
     COUNTIFS($AJ$2:$AJ$200,$G277)&gt;0,
     COUNTIFS($AK$2:$AK$200,$G277)&gt;0,
     COUNTIFS($AL$2:$AL$200,$G277)&gt;0,
     COUNTIFS($AM$2:$AM$200,$G277)&gt;0,
     COUNTIFS($AN$2:$AN$200,$G277)&gt;0,
     COUNTIFS($AO$2:$AO$200,$G277)&gt;0,
     COUNTIFS($AP$2:$AP$200,$G277)&gt;0,
     COUNTIFS($AQ$2:$AQ$200,$G277)&gt;0,
     COUNTIFS($AR$2:$AR$200,$G277)&gt;0,
     COUNTIFS($AS$2:$AS$200,$G277)&gt;0,
     COUNTIFS($AT$2:$AT$200,$G277)&gt;0,
     COUNTIFS($AU$2:$AU$200,$G277)&gt;0,
     COUNTIFS($AV$2:$AV$200,$G277)&gt;0,
     COUNTIFS($AW$2:$AW$200,$G277)&gt;0,
     COUNTIFS($AX$2:$AX$200,$G277)&gt;0
   )),
  ),
  2
 ),
"")</f>
        <v/>
      </c>
      <c r="E277" s="3" t="str" cm="1">
        <f t="array" aca="1" ref="E277" ca="1">IFERROR(
 INDEX(
  _xlfn._xlws.FILTER($U$1:$AX$1,
   TRANSPOSE(
    CHOOSE({1;2;3;4;5;6;7;8;9;10;11;12;13;14;15;16;17;18;19;20;21;22;23;24;25;26;27;28;29;30},
     COUNTIFS($U$2:$U$200,$G277)&gt;0,
     COUNTIFS($V$2:$V$200,$G277)&gt;0,
     COUNTIFS($W$2:$W$200,$G277)&gt;0,
     COUNTIFS($X$2:$X$200,$G277)&gt;0,
     COUNTIFS($Y$2:$Y$200,$G277)&gt;0,
     COUNTIFS($Z$2:$Z$200,$G277)&gt;0,
     COUNTIFS($AA$2:$AA$200,$G277)&gt;0,
     COUNTIFS($AB$2:$AB$200,$G277)&gt;0,
     COUNTIFS($AC$2:$AC$200,$G277)&gt;0,
     COUNTIFS($AD$2:$AD$200,$G277)&gt;0,
     COUNTIFS($AE$2:$AE$200,$G277)&gt;0,
     COUNTIFS($AF$2:$AF$200,$G277)&gt;0,
     COUNTIFS($AG$2:$AG$200,$G277)&gt;0,
     COUNTIFS($AH$2:$AH$200,$G277)&gt;0,
     COUNTIFS($AI$2:$AI$200,$G277)&gt;0,
     COUNTIFS($AJ$2:$AJ$200,$G277)&gt;0,
     COUNTIFS($AK$2:$AK$200,$G277)&gt;0,
     COUNTIFS($AL$2:$AL$200,$G277)&gt;0,
     COUNTIFS($AM$2:$AM$200,$G277)&gt;0,
     COUNTIFS($AN$2:$AN$200,$G277)&gt;0,
     COUNTIFS($AO$2:$AO$200,$G277)&gt;0,
     COUNTIFS($AP$2:$AP$200,$G277)&gt;0,
     COUNTIFS($AQ$2:$AQ$200,$G277)&gt;0,
     COUNTIFS($AR$2:$AR$200,$G277)&gt;0,
     COUNTIFS($AS$2:$AS$200,$G277)&gt;0,
     COUNTIFS($AT$2:$AT$200,$G277)&gt;0,
     COUNTIFS($AU$2:$AU$200,$G277)&gt;0,
     COUNTIFS($AV$2:$AV$200,$G277)&gt;0,
     COUNTIFS($AW$2:$AW$200,$G277)&gt;0,
     COUNTIFS($AX$2:$AX$200,$G277)&gt;0
   )),
  ),
  3
 ),
"")</f>
        <v/>
      </c>
      <c r="F277" s="3" t="str" cm="1">
        <f t="array" aca="1" ref="F277" ca="1">IFERROR(
 INDEX(
  _xlfn._xlws.FILTER($U$1:$AX$1,
   TRANSPOSE(
    CHOOSE({1;2;3;4;5;6;7;8;9;10;11;12;13;14;15;16;17;18;19;20;21;22;23;24;25;26;27;28;29;30},
     COUNTIFS($U$2:$U$200,$G277)&gt;0,
     COUNTIFS($V$2:$V$200,$G277)&gt;0,
     COUNTIFS($W$2:$W$200,$G277)&gt;0,
     COUNTIFS($X$2:$X$200,$G277)&gt;0,
     COUNTIFS($Y$2:$Y$200,$G277)&gt;0,
     COUNTIFS($Z$2:$Z$200,$G277)&gt;0,
     COUNTIFS($AA$2:$AA$200,$G277)&gt;0,
     COUNTIFS($AB$2:$AB$200,$G277)&gt;0,
     COUNTIFS($AC$2:$AC$200,$G277)&gt;0,
     COUNTIFS($AD$2:$AD$200,$G277)&gt;0,
     COUNTIFS($AE$2:$AE$200,$G277)&gt;0,
     COUNTIFS($AF$2:$AF$200,$G277)&gt;0,
     COUNTIFS($AG$2:$AG$200,$G277)&gt;0,
     COUNTIFS($AH$2:$AH$200,$G277)&gt;0,
     COUNTIFS($AI$2:$AI$200,$G277)&gt;0,
     COUNTIFS($AJ$2:$AJ$200,$G277)&gt;0,
     COUNTIFS($AK$2:$AK$200,$G277)&gt;0,
     COUNTIFS($AL$2:$AL$200,$G277)&gt;0,
     COUNTIFS($AM$2:$AM$200,$G277)&gt;0,
     COUNTIFS($AN$2:$AN$200,$G277)&gt;0,
     COUNTIFS($AO$2:$AO$200,$G277)&gt;0,
     COUNTIFS($AP$2:$AP$200,$G277)&gt;0,
     COUNTIFS($AQ$2:$AQ$200,$G277)&gt;0,
     COUNTIFS($AR$2:$AR$200,$G277)&gt;0,
     COUNTIFS($AS$2:$AS$200,$G277)&gt;0,
     COUNTIFS($AT$2:$AT$200,$G277)&gt;0,
     COUNTIFS($AU$2:$AU$200,$G277)&gt;0,
     COUNTIFS($AV$2:$AV$200,$G277)&gt;0,
     COUNTIFS($AW$2:$AW$200,$G277)&gt;0,
     COUNTIFS($AX$2:$AX$200,$G277)&gt;0
   )),
  ),
  4
 ),
"")</f>
        <v/>
      </c>
      <c r="G277" t="str">
        <f ca="1"/>
        <v>Temporal Manipulation</v>
      </c>
      <c r="CJ277" t="str">
        <f ca="1"/>
        <v>Temporal Manipulation</v>
      </c>
    </row>
    <row r="278" spans="1:88" x14ac:dyDescent="0.25">
      <c r="A278" s="3" t="str">
        <f t="shared" ca="1" si="10"/>
        <v>3</v>
      </c>
      <c r="B278" s="3">
        <f t="shared" ca="1" si="11"/>
        <v>1</v>
      </c>
      <c r="C278" s="3" t="str">
        <f ca="1">IFERROR(
 INDEX($U$1:$AX$1,
  MATCH(TRUE,
   CHOOSE({1;2;3;4;5;6;7;8;9;10;11;12;13;14;15;16;17;18;19;20;21;22;23;24;25;26;27;28;29;30;31;32},
    COUNTIFS($U$2:$U$200,$G278)&gt;0,
    COUNTIFS($V$2:$V$200,$G278)&gt;0,
    COUNTIFS($W$2:$W$200,$G278)&gt;0,
    COUNTIFS($X$2:$X$200,$G278)&gt;0,
    COUNTIFS($Y$2:$Y$200,$G278)&gt;0,
    COUNTIFS($Z$2:$Z$200,$G278)&gt;0,
    COUNTIFS($AA$2:$AA$200,$G278)&gt;0,
    COUNTIFS($AB$2:$AB$200,$G278)&gt;0,
    COUNTIFS($AC$2:$AC$200,$G278)&gt;0,
    COUNTIFS($AD$2:$AD$200,$G278)&gt;0,
    COUNTIFS($AE$2:$AE$200,$G278)&gt;0,
    COUNTIFS($AF$2:$AF$200,$G278)&gt;0,
    COUNTIFS($AG$2:$AG$200,$G278)&gt;0,
    COUNTIFS($AH$2:$AH$200,$G278)&gt;0,
    COUNTIFS($AI$2:$AI$200,$G278)&gt;0,
    COUNTIFS($AJ$2:$AJ$200,$G278)&gt;0,
    COUNTIFS($AK$2:$AK$200,$G278)&gt;0,
    COUNTIFS($AL$2:$AL$200,$G278)&gt;0,
    COUNTIFS($AM$2:$AM$200,$G278)&gt;0,
    COUNTIFS($AN$2:$AN$200,$G278)&gt;0,
    COUNTIFS($AO$2:$AO$200,$G278)&gt;0,
    COUNTIFS($AP$2:$AP$200,$G278)&gt;0,
    COUNTIFS($AQ$2:$AQ$200,$G278)&gt;0,
    COUNTIFS($AR$2:$AR$200,$G278)&gt;0,
    COUNTIFS($AS$2:$AS$200,$G278)&gt;0,
    COUNTIFS($AT$2:$AT$200,$G278)&gt;0,
    COUNTIFS($AU$2:$AU$200,$G278)&gt;0,
    COUNTIFS($AV$2:$AV$200,$G278)&gt;0,
    COUNTIFS($AW$2:$AW$200,$G278)&gt;0,
    COUNTIFS($AX$2:$AX$200,$G278)&gt;0
   ),
  0)
 ),
"")</f>
        <v>Yuriko</v>
      </c>
      <c r="D278" s="3" t="str" cm="1">
        <f t="array" aca="1" ref="D278" ca="1">IFERROR(
 INDEX(
  _xlfn._xlws.FILTER($U$1:$AX$1,
   TRANSPOSE(
    CHOOSE({1;2;3;4;5;6;7;8;9;10;11;12;13;14;15;16;17;18;19;20;21;22;23;24;25;26;27;28;29;30},
     COUNTIFS($U$2:$U$200,$G278)&gt;0,
     COUNTIFS($V$2:$V$200,$G278)&gt;0,
     COUNTIFS($W$2:$W$200,$G278)&gt;0,
     COUNTIFS($X$2:$X$200,$G278)&gt;0,
     COUNTIFS($Y$2:$Y$200,$G278)&gt;0,
     COUNTIFS($Z$2:$Z$200,$G278)&gt;0,
     COUNTIFS($AA$2:$AA$200,$G278)&gt;0,
     COUNTIFS($AB$2:$AB$200,$G278)&gt;0,
     COUNTIFS($AC$2:$AC$200,$G278)&gt;0,
     COUNTIFS($AD$2:$AD$200,$G278)&gt;0,
     COUNTIFS($AE$2:$AE$200,$G278)&gt;0,
     COUNTIFS($AF$2:$AF$200,$G278)&gt;0,
     COUNTIFS($AG$2:$AG$200,$G278)&gt;0,
     COUNTIFS($AH$2:$AH$200,$G278)&gt;0,
     COUNTIFS($AI$2:$AI$200,$G278)&gt;0,
     COUNTIFS($AJ$2:$AJ$200,$G278)&gt;0,
     COUNTIFS($AK$2:$AK$200,$G278)&gt;0,
     COUNTIFS($AL$2:$AL$200,$G278)&gt;0,
     COUNTIFS($AM$2:$AM$200,$G278)&gt;0,
     COUNTIFS($AN$2:$AN$200,$G278)&gt;0,
     COUNTIFS($AO$2:$AO$200,$G278)&gt;0,
     COUNTIFS($AP$2:$AP$200,$G278)&gt;0,
     COUNTIFS($AQ$2:$AQ$200,$G278)&gt;0,
     COUNTIFS($AR$2:$AR$200,$G278)&gt;0,
     COUNTIFS($AS$2:$AS$200,$G278)&gt;0,
     COUNTIFS($AT$2:$AT$200,$G278)&gt;0,
     COUNTIFS($AU$2:$AU$200,$G278)&gt;0,
     COUNTIFS($AV$2:$AV$200,$G278)&gt;0,
     COUNTIFS($AW$2:$AW$200,$G278)&gt;0,
     COUNTIFS($AX$2:$AX$200,$G278)&gt;0
   )),
  ),
  2
 ),
"")</f>
        <v/>
      </c>
      <c r="E278" s="3" t="str" cm="1">
        <f t="array" aca="1" ref="E278" ca="1">IFERROR(
 INDEX(
  _xlfn._xlws.FILTER($U$1:$AX$1,
   TRANSPOSE(
    CHOOSE({1;2;3;4;5;6;7;8;9;10;11;12;13;14;15;16;17;18;19;20;21;22;23;24;25;26;27;28;29;30},
     COUNTIFS($U$2:$U$200,$G278)&gt;0,
     COUNTIFS($V$2:$V$200,$G278)&gt;0,
     COUNTIFS($W$2:$W$200,$G278)&gt;0,
     COUNTIFS($X$2:$X$200,$G278)&gt;0,
     COUNTIFS($Y$2:$Y$200,$G278)&gt;0,
     COUNTIFS($Z$2:$Z$200,$G278)&gt;0,
     COUNTIFS($AA$2:$AA$200,$G278)&gt;0,
     COUNTIFS($AB$2:$AB$200,$G278)&gt;0,
     COUNTIFS($AC$2:$AC$200,$G278)&gt;0,
     COUNTIFS($AD$2:$AD$200,$G278)&gt;0,
     COUNTIFS($AE$2:$AE$200,$G278)&gt;0,
     COUNTIFS($AF$2:$AF$200,$G278)&gt;0,
     COUNTIFS($AG$2:$AG$200,$G278)&gt;0,
     COUNTIFS($AH$2:$AH$200,$G278)&gt;0,
     COUNTIFS($AI$2:$AI$200,$G278)&gt;0,
     COUNTIFS($AJ$2:$AJ$200,$G278)&gt;0,
     COUNTIFS($AK$2:$AK$200,$G278)&gt;0,
     COUNTIFS($AL$2:$AL$200,$G278)&gt;0,
     COUNTIFS($AM$2:$AM$200,$G278)&gt;0,
     COUNTIFS($AN$2:$AN$200,$G278)&gt;0,
     COUNTIFS($AO$2:$AO$200,$G278)&gt;0,
     COUNTIFS($AP$2:$AP$200,$G278)&gt;0,
     COUNTIFS($AQ$2:$AQ$200,$G278)&gt;0,
     COUNTIFS($AR$2:$AR$200,$G278)&gt;0,
     COUNTIFS($AS$2:$AS$200,$G278)&gt;0,
     COUNTIFS($AT$2:$AT$200,$G278)&gt;0,
     COUNTIFS($AU$2:$AU$200,$G278)&gt;0,
     COUNTIFS($AV$2:$AV$200,$G278)&gt;0,
     COUNTIFS($AW$2:$AW$200,$G278)&gt;0,
     COUNTIFS($AX$2:$AX$200,$G278)&gt;0
   )),
  ),
  3
 ),
"")</f>
        <v/>
      </c>
      <c r="F278" s="3" t="str" cm="1">
        <f t="array" aca="1" ref="F278" ca="1">IFERROR(
 INDEX(
  _xlfn._xlws.FILTER($U$1:$AX$1,
   TRANSPOSE(
    CHOOSE({1;2;3;4;5;6;7;8;9;10;11;12;13;14;15;16;17;18;19;20;21;22;23;24;25;26;27;28;29;30},
     COUNTIFS($U$2:$U$200,$G278)&gt;0,
     COUNTIFS($V$2:$V$200,$G278)&gt;0,
     COUNTIFS($W$2:$W$200,$G278)&gt;0,
     COUNTIFS($X$2:$X$200,$G278)&gt;0,
     COUNTIFS($Y$2:$Y$200,$G278)&gt;0,
     COUNTIFS($Z$2:$Z$200,$G278)&gt;0,
     COUNTIFS($AA$2:$AA$200,$G278)&gt;0,
     COUNTIFS($AB$2:$AB$200,$G278)&gt;0,
     COUNTIFS($AC$2:$AC$200,$G278)&gt;0,
     COUNTIFS($AD$2:$AD$200,$G278)&gt;0,
     COUNTIFS($AE$2:$AE$200,$G278)&gt;0,
     COUNTIFS($AF$2:$AF$200,$G278)&gt;0,
     COUNTIFS($AG$2:$AG$200,$G278)&gt;0,
     COUNTIFS($AH$2:$AH$200,$G278)&gt;0,
     COUNTIFS($AI$2:$AI$200,$G278)&gt;0,
     COUNTIFS($AJ$2:$AJ$200,$G278)&gt;0,
     COUNTIFS($AK$2:$AK$200,$G278)&gt;0,
     COUNTIFS($AL$2:$AL$200,$G278)&gt;0,
     COUNTIFS($AM$2:$AM$200,$G278)&gt;0,
     COUNTIFS($AN$2:$AN$200,$G278)&gt;0,
     COUNTIFS($AO$2:$AO$200,$G278)&gt;0,
     COUNTIFS($AP$2:$AP$200,$G278)&gt;0,
     COUNTIFS($AQ$2:$AQ$200,$G278)&gt;0,
     COUNTIFS($AR$2:$AR$200,$G278)&gt;0,
     COUNTIFS($AS$2:$AS$200,$G278)&gt;0,
     COUNTIFS($AT$2:$AT$200,$G278)&gt;0,
     COUNTIFS($AU$2:$AU$200,$G278)&gt;0,
     COUNTIFS($AV$2:$AV$200,$G278)&gt;0,
     COUNTIFS($AW$2:$AW$200,$G278)&gt;0,
     COUNTIFS($AX$2:$AX$200,$G278)&gt;0
   )),
  ),
  4
 ),
"")</f>
        <v/>
      </c>
      <c r="G278" t="str">
        <f ca="1"/>
        <v>Temporal Trespass</v>
      </c>
      <c r="CJ278" t="str">
        <f ca="1"/>
        <v>Temporal Trespass</v>
      </c>
    </row>
    <row r="279" spans="1:88" x14ac:dyDescent="0.25">
      <c r="A279" s="3" t="str">
        <f t="shared" ca="1" si="10"/>
        <v>1</v>
      </c>
      <c r="B279" s="3">
        <f t="shared" ca="1" si="11"/>
        <v>1</v>
      </c>
      <c r="C279" s="3" t="str">
        <f ca="1">IFERROR(
 INDEX($U$1:$AX$1,
  MATCH(TRUE,
   CHOOSE({1;2;3;4;5;6;7;8;9;10;11;12;13;14;15;16;17;18;19;20;21;22;23;24;25;26;27;28;29;30;31;32},
    COUNTIFS($U$2:$U$200,$G279)&gt;0,
    COUNTIFS($V$2:$V$200,$G279)&gt;0,
    COUNTIFS($W$2:$W$200,$G279)&gt;0,
    COUNTIFS($X$2:$X$200,$G279)&gt;0,
    COUNTIFS($Y$2:$Y$200,$G279)&gt;0,
    COUNTIFS($Z$2:$Z$200,$G279)&gt;0,
    COUNTIFS($AA$2:$AA$200,$G279)&gt;0,
    COUNTIFS($AB$2:$AB$200,$G279)&gt;0,
    COUNTIFS($AC$2:$AC$200,$G279)&gt;0,
    COUNTIFS($AD$2:$AD$200,$G279)&gt;0,
    COUNTIFS($AE$2:$AE$200,$G279)&gt;0,
    COUNTIFS($AF$2:$AF$200,$G279)&gt;0,
    COUNTIFS($AG$2:$AG$200,$G279)&gt;0,
    COUNTIFS($AH$2:$AH$200,$G279)&gt;0,
    COUNTIFS($AI$2:$AI$200,$G279)&gt;0,
    COUNTIFS($AJ$2:$AJ$200,$G279)&gt;0,
    COUNTIFS($AK$2:$AK$200,$G279)&gt;0,
    COUNTIFS($AL$2:$AL$200,$G279)&gt;0,
    COUNTIFS($AM$2:$AM$200,$G279)&gt;0,
    COUNTIFS($AN$2:$AN$200,$G279)&gt;0,
    COUNTIFS($AO$2:$AO$200,$G279)&gt;0,
    COUNTIFS($AP$2:$AP$200,$G279)&gt;0,
    COUNTIFS($AQ$2:$AQ$200,$G279)&gt;0,
    COUNTIFS($AR$2:$AR$200,$G279)&gt;0,
    COUNTIFS($AS$2:$AS$200,$G279)&gt;0,
    COUNTIFS($AT$2:$AT$200,$G279)&gt;0,
    COUNTIFS($AU$2:$AU$200,$G279)&gt;0,
    COUNTIFS($AV$2:$AV$200,$G279)&gt;0,
    COUNTIFS($AW$2:$AW$200,$G279)&gt;0,
    COUNTIFS($AX$2:$AX$200,$G279)&gt;0
   ),
  0)
 ),
"")</f>
        <v>Modular</v>
      </c>
      <c r="D279" s="3" t="str" cm="1">
        <f t="array" aca="1" ref="D279" ca="1">IFERROR(
 INDEX(
  _xlfn._xlws.FILTER($U$1:$AX$1,
   TRANSPOSE(
    CHOOSE({1;2;3;4;5;6;7;8;9;10;11;12;13;14;15;16;17;18;19;20;21;22;23;24;25;26;27;28;29;30},
     COUNTIFS($U$2:$U$200,$G279)&gt;0,
     COUNTIFS($V$2:$V$200,$G279)&gt;0,
     COUNTIFS($W$2:$W$200,$G279)&gt;0,
     COUNTIFS($X$2:$X$200,$G279)&gt;0,
     COUNTIFS($Y$2:$Y$200,$G279)&gt;0,
     COUNTIFS($Z$2:$Z$200,$G279)&gt;0,
     COUNTIFS($AA$2:$AA$200,$G279)&gt;0,
     COUNTIFS($AB$2:$AB$200,$G279)&gt;0,
     COUNTIFS($AC$2:$AC$200,$G279)&gt;0,
     COUNTIFS($AD$2:$AD$200,$G279)&gt;0,
     COUNTIFS($AE$2:$AE$200,$G279)&gt;0,
     COUNTIFS($AF$2:$AF$200,$G279)&gt;0,
     COUNTIFS($AG$2:$AG$200,$G279)&gt;0,
     COUNTIFS($AH$2:$AH$200,$G279)&gt;0,
     COUNTIFS($AI$2:$AI$200,$G279)&gt;0,
     COUNTIFS($AJ$2:$AJ$200,$G279)&gt;0,
     COUNTIFS($AK$2:$AK$200,$G279)&gt;0,
     COUNTIFS($AL$2:$AL$200,$G279)&gt;0,
     COUNTIFS($AM$2:$AM$200,$G279)&gt;0,
     COUNTIFS($AN$2:$AN$200,$G279)&gt;0,
     COUNTIFS($AO$2:$AO$200,$G279)&gt;0,
     COUNTIFS($AP$2:$AP$200,$G279)&gt;0,
     COUNTIFS($AQ$2:$AQ$200,$G279)&gt;0,
     COUNTIFS($AR$2:$AR$200,$G279)&gt;0,
     COUNTIFS($AS$2:$AS$200,$G279)&gt;0,
     COUNTIFS($AT$2:$AT$200,$G279)&gt;0,
     COUNTIFS($AU$2:$AU$200,$G279)&gt;0,
     COUNTIFS($AV$2:$AV$200,$G279)&gt;0,
     COUNTIFS($AW$2:$AW$200,$G279)&gt;0,
     COUNTIFS($AX$2:$AX$200,$G279)&gt;0
   )),
  ),
  2
 ),
"")</f>
        <v/>
      </c>
      <c r="E279" s="3" t="str" cm="1">
        <f t="array" aca="1" ref="E279" ca="1">IFERROR(
 INDEX(
  _xlfn._xlws.FILTER($U$1:$AX$1,
   TRANSPOSE(
    CHOOSE({1;2;3;4;5;6;7;8;9;10;11;12;13;14;15;16;17;18;19;20;21;22;23;24;25;26;27;28;29;30},
     COUNTIFS($U$2:$U$200,$G279)&gt;0,
     COUNTIFS($V$2:$V$200,$G279)&gt;0,
     COUNTIFS($W$2:$W$200,$G279)&gt;0,
     COUNTIFS($X$2:$X$200,$G279)&gt;0,
     COUNTIFS($Y$2:$Y$200,$G279)&gt;0,
     COUNTIFS($Z$2:$Z$200,$G279)&gt;0,
     COUNTIFS($AA$2:$AA$200,$G279)&gt;0,
     COUNTIFS($AB$2:$AB$200,$G279)&gt;0,
     COUNTIFS($AC$2:$AC$200,$G279)&gt;0,
     COUNTIFS($AD$2:$AD$200,$G279)&gt;0,
     COUNTIFS($AE$2:$AE$200,$G279)&gt;0,
     COUNTIFS($AF$2:$AF$200,$G279)&gt;0,
     COUNTIFS($AG$2:$AG$200,$G279)&gt;0,
     COUNTIFS($AH$2:$AH$200,$G279)&gt;0,
     COUNTIFS($AI$2:$AI$200,$G279)&gt;0,
     COUNTIFS($AJ$2:$AJ$200,$G279)&gt;0,
     COUNTIFS($AK$2:$AK$200,$G279)&gt;0,
     COUNTIFS($AL$2:$AL$200,$G279)&gt;0,
     COUNTIFS($AM$2:$AM$200,$G279)&gt;0,
     COUNTIFS($AN$2:$AN$200,$G279)&gt;0,
     COUNTIFS($AO$2:$AO$200,$G279)&gt;0,
     COUNTIFS($AP$2:$AP$200,$G279)&gt;0,
     COUNTIFS($AQ$2:$AQ$200,$G279)&gt;0,
     COUNTIFS($AR$2:$AR$200,$G279)&gt;0,
     COUNTIFS($AS$2:$AS$200,$G279)&gt;0,
     COUNTIFS($AT$2:$AT$200,$G279)&gt;0,
     COUNTIFS($AU$2:$AU$200,$G279)&gt;0,
     COUNTIFS($AV$2:$AV$200,$G279)&gt;0,
     COUNTIFS($AW$2:$AW$200,$G279)&gt;0,
     COUNTIFS($AX$2:$AX$200,$G279)&gt;0
   )),
  ),
  3
 ),
"")</f>
        <v/>
      </c>
      <c r="F279" s="3" t="str" cm="1">
        <f t="array" aca="1" ref="F279" ca="1">IFERROR(
 INDEX(
  _xlfn._xlws.FILTER($U$1:$AX$1,
   TRANSPOSE(
    CHOOSE({1;2;3;4;5;6;7;8;9;10;11;12;13;14;15;16;17;18;19;20;21;22;23;24;25;26;27;28;29;30},
     COUNTIFS($U$2:$U$200,$G279)&gt;0,
     COUNTIFS($V$2:$V$200,$G279)&gt;0,
     COUNTIFS($W$2:$W$200,$G279)&gt;0,
     COUNTIFS($X$2:$X$200,$G279)&gt;0,
     COUNTIFS($Y$2:$Y$200,$G279)&gt;0,
     COUNTIFS($Z$2:$Z$200,$G279)&gt;0,
     COUNTIFS($AA$2:$AA$200,$G279)&gt;0,
     COUNTIFS($AB$2:$AB$200,$G279)&gt;0,
     COUNTIFS($AC$2:$AC$200,$G279)&gt;0,
     COUNTIFS($AD$2:$AD$200,$G279)&gt;0,
     COUNTIFS($AE$2:$AE$200,$G279)&gt;0,
     COUNTIFS($AF$2:$AF$200,$G279)&gt;0,
     COUNTIFS($AG$2:$AG$200,$G279)&gt;0,
     COUNTIFS($AH$2:$AH$200,$G279)&gt;0,
     COUNTIFS($AI$2:$AI$200,$G279)&gt;0,
     COUNTIFS($AJ$2:$AJ$200,$G279)&gt;0,
     COUNTIFS($AK$2:$AK$200,$G279)&gt;0,
     COUNTIFS($AL$2:$AL$200,$G279)&gt;0,
     COUNTIFS($AM$2:$AM$200,$G279)&gt;0,
     COUNTIFS($AN$2:$AN$200,$G279)&gt;0,
     COUNTIFS($AO$2:$AO$200,$G279)&gt;0,
     COUNTIFS($AP$2:$AP$200,$G279)&gt;0,
     COUNTIFS($AQ$2:$AQ$200,$G279)&gt;0,
     COUNTIFS($AR$2:$AR$200,$G279)&gt;0,
     COUNTIFS($AS$2:$AS$200,$G279)&gt;0,
     COUNTIFS($AT$2:$AT$200,$G279)&gt;0,
     COUNTIFS($AU$2:$AU$200,$G279)&gt;0,
     COUNTIFS($AV$2:$AV$200,$G279)&gt;0,
     COUNTIFS($AW$2:$AW$200,$G279)&gt;0,
     COUNTIFS($AX$2:$AX$200,$G279)&gt;0
   )),
  ),
  4
 ),
"")</f>
        <v/>
      </c>
      <c r="G279" t="str">
        <f ca="1"/>
        <v>Terra Eternal</v>
      </c>
      <c r="CJ279" t="str">
        <f ca="1"/>
        <v>Terra Eternal</v>
      </c>
    </row>
    <row r="280" spans="1:88" x14ac:dyDescent="0.25">
      <c r="A280" s="3" t="str">
        <f t="shared" ca="1" si="10"/>
        <v>1</v>
      </c>
      <c r="B280" s="3">
        <f t="shared" ca="1" si="11"/>
        <v>2</v>
      </c>
      <c r="C280" s="3" t="str">
        <f ca="1">IFERROR(
 INDEX($U$1:$AX$1,
  MATCH(TRUE,
   CHOOSE({1;2;3;4;5;6;7;8;9;10;11;12;13;14;15;16;17;18;19;20;21;22;23;24;25;26;27;28;29;30;31;32},
    COUNTIFS($U$2:$U$200,$G280)&gt;0,
    COUNTIFS($V$2:$V$200,$G280)&gt;0,
    COUNTIFS($W$2:$W$200,$G280)&gt;0,
    COUNTIFS($X$2:$X$200,$G280)&gt;0,
    COUNTIFS($Y$2:$Y$200,$G280)&gt;0,
    COUNTIFS($Z$2:$Z$200,$G280)&gt;0,
    COUNTIFS($AA$2:$AA$200,$G280)&gt;0,
    COUNTIFS($AB$2:$AB$200,$G280)&gt;0,
    COUNTIFS($AC$2:$AC$200,$G280)&gt;0,
    COUNTIFS($AD$2:$AD$200,$G280)&gt;0,
    COUNTIFS($AE$2:$AE$200,$G280)&gt;0,
    COUNTIFS($AF$2:$AF$200,$G280)&gt;0,
    COUNTIFS($AG$2:$AG$200,$G280)&gt;0,
    COUNTIFS($AH$2:$AH$200,$G280)&gt;0,
    COUNTIFS($AI$2:$AI$200,$G280)&gt;0,
    COUNTIFS($AJ$2:$AJ$200,$G280)&gt;0,
    COUNTIFS($AK$2:$AK$200,$G280)&gt;0,
    COUNTIFS($AL$2:$AL$200,$G280)&gt;0,
    COUNTIFS($AM$2:$AM$200,$G280)&gt;0,
    COUNTIFS($AN$2:$AN$200,$G280)&gt;0,
    COUNTIFS($AO$2:$AO$200,$G280)&gt;0,
    COUNTIFS($AP$2:$AP$200,$G280)&gt;0,
    COUNTIFS($AQ$2:$AQ$200,$G280)&gt;0,
    COUNTIFS($AR$2:$AR$200,$G280)&gt;0,
    COUNTIFS($AS$2:$AS$200,$G280)&gt;0,
    COUNTIFS($AT$2:$AT$200,$G280)&gt;0,
    COUNTIFS($AU$2:$AU$200,$G280)&gt;0,
    COUNTIFS($AV$2:$AV$200,$G280)&gt;0,
    COUNTIFS($AW$2:$AW$200,$G280)&gt;0,
    COUNTIFS($AX$2:$AX$200,$G280)&gt;0
   ),
  0)
 ),
"")</f>
        <v>Tayam</v>
      </c>
      <c r="D280" s="3" t="str" cm="1">
        <f t="array" aca="1" ref="D280" ca="1">IFERROR(
 INDEX(
  _xlfn._xlws.FILTER($U$1:$AX$1,
   TRANSPOSE(
    CHOOSE({1;2;3;4;5;6;7;8;9;10;11;12;13;14;15;16;17;18;19;20;21;22;23;24;25;26;27;28;29;30},
     COUNTIFS($U$2:$U$200,$G280)&gt;0,
     COUNTIFS($V$2:$V$200,$G280)&gt;0,
     COUNTIFS($W$2:$W$200,$G280)&gt;0,
     COUNTIFS($X$2:$X$200,$G280)&gt;0,
     COUNTIFS($Y$2:$Y$200,$G280)&gt;0,
     COUNTIFS($Z$2:$Z$200,$G280)&gt;0,
     COUNTIFS($AA$2:$AA$200,$G280)&gt;0,
     COUNTIFS($AB$2:$AB$200,$G280)&gt;0,
     COUNTIFS($AC$2:$AC$200,$G280)&gt;0,
     COUNTIFS($AD$2:$AD$200,$G280)&gt;0,
     COUNTIFS($AE$2:$AE$200,$G280)&gt;0,
     COUNTIFS($AF$2:$AF$200,$G280)&gt;0,
     COUNTIFS($AG$2:$AG$200,$G280)&gt;0,
     COUNTIFS($AH$2:$AH$200,$G280)&gt;0,
     COUNTIFS($AI$2:$AI$200,$G280)&gt;0,
     COUNTIFS($AJ$2:$AJ$200,$G280)&gt;0,
     COUNTIFS($AK$2:$AK$200,$G280)&gt;0,
     COUNTIFS($AL$2:$AL$200,$G280)&gt;0,
     COUNTIFS($AM$2:$AM$200,$G280)&gt;0,
     COUNTIFS($AN$2:$AN$200,$G280)&gt;0,
     COUNTIFS($AO$2:$AO$200,$G280)&gt;0,
     COUNTIFS($AP$2:$AP$200,$G280)&gt;0,
     COUNTIFS($AQ$2:$AQ$200,$G280)&gt;0,
     COUNTIFS($AR$2:$AR$200,$G280)&gt;0,
     COUNTIFS($AS$2:$AS$200,$G280)&gt;0,
     COUNTIFS($AT$2:$AT$200,$G280)&gt;0,
     COUNTIFS($AU$2:$AU$200,$G280)&gt;0,
     COUNTIFS($AV$2:$AV$200,$G280)&gt;0,
     COUNTIFS($AW$2:$AW$200,$G280)&gt;0,
     COUNTIFS($AX$2:$AX$200,$G280)&gt;0
   )),
  ),
  2
 ),
"")</f>
        <v>Modular</v>
      </c>
      <c r="E280" s="3" t="str" cm="1">
        <f t="array" aca="1" ref="E280" ca="1">IFERROR(
 INDEX(
  _xlfn._xlws.FILTER($U$1:$AX$1,
   TRANSPOSE(
    CHOOSE({1;2;3;4;5;6;7;8;9;10;11;12;13;14;15;16;17;18;19;20;21;22;23;24;25;26;27;28;29;30},
     COUNTIFS($U$2:$U$200,$G280)&gt;0,
     COUNTIFS($V$2:$V$200,$G280)&gt;0,
     COUNTIFS($W$2:$W$200,$G280)&gt;0,
     COUNTIFS($X$2:$X$200,$G280)&gt;0,
     COUNTIFS($Y$2:$Y$200,$G280)&gt;0,
     COUNTIFS($Z$2:$Z$200,$G280)&gt;0,
     COUNTIFS($AA$2:$AA$200,$G280)&gt;0,
     COUNTIFS($AB$2:$AB$200,$G280)&gt;0,
     COUNTIFS($AC$2:$AC$200,$G280)&gt;0,
     COUNTIFS($AD$2:$AD$200,$G280)&gt;0,
     COUNTIFS($AE$2:$AE$200,$G280)&gt;0,
     COUNTIFS($AF$2:$AF$200,$G280)&gt;0,
     COUNTIFS($AG$2:$AG$200,$G280)&gt;0,
     COUNTIFS($AH$2:$AH$200,$G280)&gt;0,
     COUNTIFS($AI$2:$AI$200,$G280)&gt;0,
     COUNTIFS($AJ$2:$AJ$200,$G280)&gt;0,
     COUNTIFS($AK$2:$AK$200,$G280)&gt;0,
     COUNTIFS($AL$2:$AL$200,$G280)&gt;0,
     COUNTIFS($AM$2:$AM$200,$G280)&gt;0,
     COUNTIFS($AN$2:$AN$200,$G280)&gt;0,
     COUNTIFS($AO$2:$AO$200,$G280)&gt;0,
     COUNTIFS($AP$2:$AP$200,$G280)&gt;0,
     COUNTIFS($AQ$2:$AQ$200,$G280)&gt;0,
     COUNTIFS($AR$2:$AR$200,$G280)&gt;0,
     COUNTIFS($AS$2:$AS$200,$G280)&gt;0,
     COUNTIFS($AT$2:$AT$200,$G280)&gt;0,
     COUNTIFS($AU$2:$AU$200,$G280)&gt;0,
     COUNTIFS($AV$2:$AV$200,$G280)&gt;0,
     COUNTIFS($AW$2:$AW$200,$G280)&gt;0,
     COUNTIFS($AX$2:$AX$200,$G280)&gt;0
   )),
  ),
  3
 ),
"")</f>
        <v/>
      </c>
      <c r="F280" s="3" t="str" cm="1">
        <f t="array" aca="1" ref="F280" ca="1">IFERROR(
 INDEX(
  _xlfn._xlws.FILTER($U$1:$AX$1,
   TRANSPOSE(
    CHOOSE({1;2;3;4;5;6;7;8;9;10;11;12;13;14;15;16;17;18;19;20;21;22;23;24;25;26;27;28;29;30},
     COUNTIFS($U$2:$U$200,$G280)&gt;0,
     COUNTIFS($V$2:$V$200,$G280)&gt;0,
     COUNTIFS($W$2:$W$200,$G280)&gt;0,
     COUNTIFS($X$2:$X$200,$G280)&gt;0,
     COUNTIFS($Y$2:$Y$200,$G280)&gt;0,
     COUNTIFS($Z$2:$Z$200,$G280)&gt;0,
     COUNTIFS($AA$2:$AA$200,$G280)&gt;0,
     COUNTIFS($AB$2:$AB$200,$G280)&gt;0,
     COUNTIFS($AC$2:$AC$200,$G280)&gt;0,
     COUNTIFS($AD$2:$AD$200,$G280)&gt;0,
     COUNTIFS($AE$2:$AE$200,$G280)&gt;0,
     COUNTIFS($AF$2:$AF$200,$G280)&gt;0,
     COUNTIFS($AG$2:$AG$200,$G280)&gt;0,
     COUNTIFS($AH$2:$AH$200,$G280)&gt;0,
     COUNTIFS($AI$2:$AI$200,$G280)&gt;0,
     COUNTIFS($AJ$2:$AJ$200,$G280)&gt;0,
     COUNTIFS($AK$2:$AK$200,$G280)&gt;0,
     COUNTIFS($AL$2:$AL$200,$G280)&gt;0,
     COUNTIFS($AM$2:$AM$200,$G280)&gt;0,
     COUNTIFS($AN$2:$AN$200,$G280)&gt;0,
     COUNTIFS($AO$2:$AO$200,$G280)&gt;0,
     COUNTIFS($AP$2:$AP$200,$G280)&gt;0,
     COUNTIFS($AQ$2:$AQ$200,$G280)&gt;0,
     COUNTIFS($AR$2:$AR$200,$G280)&gt;0,
     COUNTIFS($AS$2:$AS$200,$G280)&gt;0,
     COUNTIFS($AT$2:$AT$200,$G280)&gt;0,
     COUNTIFS($AU$2:$AU$200,$G280)&gt;0,
     COUNTIFS($AV$2:$AV$200,$G280)&gt;0,
     COUNTIFS($AW$2:$AW$200,$G280)&gt;0,
     COUNTIFS($AX$2:$AX$200,$G280)&gt;0
   )),
  ),
  4
 ),
"")</f>
        <v/>
      </c>
      <c r="G280" t="str">
        <f ca="1"/>
        <v>Terrasymbiosis</v>
      </c>
      <c r="CJ280" t="str">
        <f ca="1"/>
        <v>Terrasymbiosis</v>
      </c>
    </row>
    <row r="281" spans="1:88" x14ac:dyDescent="0.25">
      <c r="A281" s="3" t="str">
        <f t="shared" ca="1" si="10"/>
        <v>5</v>
      </c>
      <c r="B281" s="3">
        <f t="shared" ca="1" si="11"/>
        <v>1</v>
      </c>
      <c r="C281" s="3" t="str">
        <f ca="1">IFERROR(
 INDEX($U$1:$AX$1,
  MATCH(TRUE,
   CHOOSE({1;2;3;4;5;6;7;8;9;10;11;12;13;14;15;16;17;18;19;20;21;22;23;24;25;26;27;28;29;30;31;32},
    COUNTIFS($U$2:$U$200,$G281)&gt;0,
    COUNTIFS($V$2:$V$200,$G281)&gt;0,
    COUNTIFS($W$2:$W$200,$G281)&gt;0,
    COUNTIFS($X$2:$X$200,$G281)&gt;0,
    COUNTIFS($Y$2:$Y$200,$G281)&gt;0,
    COUNTIFS($Z$2:$Z$200,$G281)&gt;0,
    COUNTIFS($AA$2:$AA$200,$G281)&gt;0,
    COUNTIFS($AB$2:$AB$200,$G281)&gt;0,
    COUNTIFS($AC$2:$AC$200,$G281)&gt;0,
    COUNTIFS($AD$2:$AD$200,$G281)&gt;0,
    COUNTIFS($AE$2:$AE$200,$G281)&gt;0,
    COUNTIFS($AF$2:$AF$200,$G281)&gt;0,
    COUNTIFS($AG$2:$AG$200,$G281)&gt;0,
    COUNTIFS($AH$2:$AH$200,$G281)&gt;0,
    COUNTIFS($AI$2:$AI$200,$G281)&gt;0,
    COUNTIFS($AJ$2:$AJ$200,$G281)&gt;0,
    COUNTIFS($AK$2:$AK$200,$G281)&gt;0,
    COUNTIFS($AL$2:$AL$200,$G281)&gt;0,
    COUNTIFS($AM$2:$AM$200,$G281)&gt;0,
    COUNTIFS($AN$2:$AN$200,$G281)&gt;0,
    COUNTIFS($AO$2:$AO$200,$G281)&gt;0,
    COUNTIFS($AP$2:$AP$200,$G281)&gt;0,
    COUNTIFS($AQ$2:$AQ$200,$G281)&gt;0,
    COUNTIFS($AR$2:$AR$200,$G281)&gt;0,
    COUNTIFS($AS$2:$AS$200,$G281)&gt;0,
    COUNTIFS($AT$2:$AT$200,$G281)&gt;0,
    COUNTIFS($AU$2:$AU$200,$G281)&gt;0,
    COUNTIFS($AV$2:$AV$200,$G281)&gt;0,
    COUNTIFS($AW$2:$AW$200,$G281)&gt;0,
    COUNTIFS($AX$2:$AX$200,$G281)&gt;0
   ),
  0)
 ),
"")</f>
        <v>Arcades</v>
      </c>
      <c r="D281" s="3" t="str" cm="1">
        <f t="array" aca="1" ref="D281" ca="1">IFERROR(
 INDEX(
  _xlfn._xlws.FILTER($U$1:$AX$1,
   TRANSPOSE(
    CHOOSE({1;2;3;4;5;6;7;8;9;10;11;12;13;14;15;16;17;18;19;20;21;22;23;24;25;26;27;28;29;30},
     COUNTIFS($U$2:$U$200,$G281)&gt;0,
     COUNTIFS($V$2:$V$200,$G281)&gt;0,
     COUNTIFS($W$2:$W$200,$G281)&gt;0,
     COUNTIFS($X$2:$X$200,$G281)&gt;0,
     COUNTIFS($Y$2:$Y$200,$G281)&gt;0,
     COUNTIFS($Z$2:$Z$200,$G281)&gt;0,
     COUNTIFS($AA$2:$AA$200,$G281)&gt;0,
     COUNTIFS($AB$2:$AB$200,$G281)&gt;0,
     COUNTIFS($AC$2:$AC$200,$G281)&gt;0,
     COUNTIFS($AD$2:$AD$200,$G281)&gt;0,
     COUNTIFS($AE$2:$AE$200,$G281)&gt;0,
     COUNTIFS($AF$2:$AF$200,$G281)&gt;0,
     COUNTIFS($AG$2:$AG$200,$G281)&gt;0,
     COUNTIFS($AH$2:$AH$200,$G281)&gt;0,
     COUNTIFS($AI$2:$AI$200,$G281)&gt;0,
     COUNTIFS($AJ$2:$AJ$200,$G281)&gt;0,
     COUNTIFS($AK$2:$AK$200,$G281)&gt;0,
     COUNTIFS($AL$2:$AL$200,$G281)&gt;0,
     COUNTIFS($AM$2:$AM$200,$G281)&gt;0,
     COUNTIFS($AN$2:$AN$200,$G281)&gt;0,
     COUNTIFS($AO$2:$AO$200,$G281)&gt;0,
     COUNTIFS($AP$2:$AP$200,$G281)&gt;0,
     COUNTIFS($AQ$2:$AQ$200,$G281)&gt;0,
     COUNTIFS($AR$2:$AR$200,$G281)&gt;0,
     COUNTIFS($AS$2:$AS$200,$G281)&gt;0,
     COUNTIFS($AT$2:$AT$200,$G281)&gt;0,
     COUNTIFS($AU$2:$AU$200,$G281)&gt;0,
     COUNTIFS($AV$2:$AV$200,$G281)&gt;0,
     COUNTIFS($AW$2:$AW$200,$G281)&gt;0,
     COUNTIFS($AX$2:$AX$200,$G281)&gt;0
   )),
  ),
  2
 ),
"")</f>
        <v/>
      </c>
      <c r="E281" s="3" t="str" cm="1">
        <f t="array" aca="1" ref="E281" ca="1">IFERROR(
 INDEX(
  _xlfn._xlws.FILTER($U$1:$AX$1,
   TRANSPOSE(
    CHOOSE({1;2;3;4;5;6;7;8;9;10;11;12;13;14;15;16;17;18;19;20;21;22;23;24;25;26;27;28;29;30},
     COUNTIFS($U$2:$U$200,$G281)&gt;0,
     COUNTIFS($V$2:$V$200,$G281)&gt;0,
     COUNTIFS($W$2:$W$200,$G281)&gt;0,
     COUNTIFS($X$2:$X$200,$G281)&gt;0,
     COUNTIFS($Y$2:$Y$200,$G281)&gt;0,
     COUNTIFS($Z$2:$Z$200,$G281)&gt;0,
     COUNTIFS($AA$2:$AA$200,$G281)&gt;0,
     COUNTIFS($AB$2:$AB$200,$G281)&gt;0,
     COUNTIFS($AC$2:$AC$200,$G281)&gt;0,
     COUNTIFS($AD$2:$AD$200,$G281)&gt;0,
     COUNTIFS($AE$2:$AE$200,$G281)&gt;0,
     COUNTIFS($AF$2:$AF$200,$G281)&gt;0,
     COUNTIFS($AG$2:$AG$200,$G281)&gt;0,
     COUNTIFS($AH$2:$AH$200,$G281)&gt;0,
     COUNTIFS($AI$2:$AI$200,$G281)&gt;0,
     COUNTIFS($AJ$2:$AJ$200,$G281)&gt;0,
     COUNTIFS($AK$2:$AK$200,$G281)&gt;0,
     COUNTIFS($AL$2:$AL$200,$G281)&gt;0,
     COUNTIFS($AM$2:$AM$200,$G281)&gt;0,
     COUNTIFS($AN$2:$AN$200,$G281)&gt;0,
     COUNTIFS($AO$2:$AO$200,$G281)&gt;0,
     COUNTIFS($AP$2:$AP$200,$G281)&gt;0,
     COUNTIFS($AQ$2:$AQ$200,$G281)&gt;0,
     COUNTIFS($AR$2:$AR$200,$G281)&gt;0,
     COUNTIFS($AS$2:$AS$200,$G281)&gt;0,
     COUNTIFS($AT$2:$AT$200,$G281)&gt;0,
     COUNTIFS($AU$2:$AU$200,$G281)&gt;0,
     COUNTIFS($AV$2:$AV$200,$G281)&gt;0,
     COUNTIFS($AW$2:$AW$200,$G281)&gt;0,
     COUNTIFS($AX$2:$AX$200,$G281)&gt;0
   )),
  ),
  3
 ),
"")</f>
        <v/>
      </c>
      <c r="F281" s="3" t="str" cm="1">
        <f t="array" aca="1" ref="F281" ca="1">IFERROR(
 INDEX(
  _xlfn._xlws.FILTER($U$1:$AX$1,
   TRANSPOSE(
    CHOOSE({1;2;3;4;5;6;7;8;9;10;11;12;13;14;15;16;17;18;19;20;21;22;23;24;25;26;27;28;29;30},
     COUNTIFS($U$2:$U$200,$G281)&gt;0,
     COUNTIFS($V$2:$V$200,$G281)&gt;0,
     COUNTIFS($W$2:$W$200,$G281)&gt;0,
     COUNTIFS($X$2:$X$200,$G281)&gt;0,
     COUNTIFS($Y$2:$Y$200,$G281)&gt;0,
     COUNTIFS($Z$2:$Z$200,$G281)&gt;0,
     COUNTIFS($AA$2:$AA$200,$G281)&gt;0,
     COUNTIFS($AB$2:$AB$200,$G281)&gt;0,
     COUNTIFS($AC$2:$AC$200,$G281)&gt;0,
     COUNTIFS($AD$2:$AD$200,$G281)&gt;0,
     COUNTIFS($AE$2:$AE$200,$G281)&gt;0,
     COUNTIFS($AF$2:$AF$200,$G281)&gt;0,
     COUNTIFS($AG$2:$AG$200,$G281)&gt;0,
     COUNTIFS($AH$2:$AH$200,$G281)&gt;0,
     COUNTIFS($AI$2:$AI$200,$G281)&gt;0,
     COUNTIFS($AJ$2:$AJ$200,$G281)&gt;0,
     COUNTIFS($AK$2:$AK$200,$G281)&gt;0,
     COUNTIFS($AL$2:$AL$200,$G281)&gt;0,
     COUNTIFS($AM$2:$AM$200,$G281)&gt;0,
     COUNTIFS($AN$2:$AN$200,$G281)&gt;0,
     COUNTIFS($AO$2:$AO$200,$G281)&gt;0,
     COUNTIFS($AP$2:$AP$200,$G281)&gt;0,
     COUNTIFS($AQ$2:$AQ$200,$G281)&gt;0,
     COUNTIFS($AR$2:$AR$200,$G281)&gt;0,
     COUNTIFS($AS$2:$AS$200,$G281)&gt;0,
     COUNTIFS($AT$2:$AT$200,$G281)&gt;0,
     COUNTIFS($AU$2:$AU$200,$G281)&gt;0,
     COUNTIFS($AV$2:$AV$200,$G281)&gt;0,
     COUNTIFS($AW$2:$AW$200,$G281)&gt;0,
     COUNTIFS($AX$2:$AX$200,$G281)&gt;0
   )),
  ),
  4
 ),
"")</f>
        <v/>
      </c>
      <c r="G281" t="str">
        <f ca="1"/>
        <v>Teyo, Geometric Tactician</v>
      </c>
      <c r="CJ281" t="str">
        <f ca="1"/>
        <v>Teyo, Geometric Tactician</v>
      </c>
    </row>
    <row r="282" spans="1:88" x14ac:dyDescent="0.25">
      <c r="A282" s="3" t="str">
        <f t="shared" ca="1" si="10"/>
        <v>1</v>
      </c>
      <c r="B282" s="3">
        <f t="shared" ca="1" si="11"/>
        <v>1</v>
      </c>
      <c r="C282" s="3" t="str">
        <f ca="1">IFERROR(
 INDEX($U$1:$AX$1,
  MATCH(TRUE,
   CHOOSE({1;2;3;4;5;6;7;8;9;10;11;12;13;14;15;16;17;18;19;20;21;22;23;24;25;26;27;28;29;30;31;32},
    COUNTIFS($U$2:$U$200,$G282)&gt;0,
    COUNTIFS($V$2:$V$200,$G282)&gt;0,
    COUNTIFS($W$2:$W$200,$G282)&gt;0,
    COUNTIFS($X$2:$X$200,$G282)&gt;0,
    COUNTIFS($Y$2:$Y$200,$G282)&gt;0,
    COUNTIFS($Z$2:$Z$200,$G282)&gt;0,
    COUNTIFS($AA$2:$AA$200,$G282)&gt;0,
    COUNTIFS($AB$2:$AB$200,$G282)&gt;0,
    COUNTIFS($AC$2:$AC$200,$G282)&gt;0,
    COUNTIFS($AD$2:$AD$200,$G282)&gt;0,
    COUNTIFS($AE$2:$AE$200,$G282)&gt;0,
    COUNTIFS($AF$2:$AF$200,$G282)&gt;0,
    COUNTIFS($AG$2:$AG$200,$G282)&gt;0,
    COUNTIFS($AH$2:$AH$200,$G282)&gt;0,
    COUNTIFS($AI$2:$AI$200,$G282)&gt;0,
    COUNTIFS($AJ$2:$AJ$200,$G282)&gt;0,
    COUNTIFS($AK$2:$AK$200,$G282)&gt;0,
    COUNTIFS($AL$2:$AL$200,$G282)&gt;0,
    COUNTIFS($AM$2:$AM$200,$G282)&gt;0,
    COUNTIFS($AN$2:$AN$200,$G282)&gt;0,
    COUNTIFS($AO$2:$AO$200,$G282)&gt;0,
    COUNTIFS($AP$2:$AP$200,$G282)&gt;0,
    COUNTIFS($AQ$2:$AQ$200,$G282)&gt;0,
    COUNTIFS($AR$2:$AR$200,$G282)&gt;0,
    COUNTIFS($AS$2:$AS$200,$G282)&gt;0,
    COUNTIFS($AT$2:$AT$200,$G282)&gt;0,
    COUNTIFS($AU$2:$AU$200,$G282)&gt;0,
    COUNTIFS($AV$2:$AV$200,$G282)&gt;0,
    COUNTIFS($AW$2:$AW$200,$G282)&gt;0,
    COUNTIFS($AX$2:$AX$200,$G282)&gt;0
   ),
  0)
 ),
"")</f>
        <v>Modular</v>
      </c>
      <c r="D282" s="3" t="str" cm="1">
        <f t="array" aca="1" ref="D282" ca="1">IFERROR(
 INDEX(
  _xlfn._xlws.FILTER($U$1:$AX$1,
   TRANSPOSE(
    CHOOSE({1;2;3;4;5;6;7;8;9;10;11;12;13;14;15;16;17;18;19;20;21;22;23;24;25;26;27;28;29;30},
     COUNTIFS($U$2:$U$200,$G282)&gt;0,
     COUNTIFS($V$2:$V$200,$G282)&gt;0,
     COUNTIFS($W$2:$W$200,$G282)&gt;0,
     COUNTIFS($X$2:$X$200,$G282)&gt;0,
     COUNTIFS($Y$2:$Y$200,$G282)&gt;0,
     COUNTIFS($Z$2:$Z$200,$G282)&gt;0,
     COUNTIFS($AA$2:$AA$200,$G282)&gt;0,
     COUNTIFS($AB$2:$AB$200,$G282)&gt;0,
     COUNTIFS($AC$2:$AC$200,$G282)&gt;0,
     COUNTIFS($AD$2:$AD$200,$G282)&gt;0,
     COUNTIFS($AE$2:$AE$200,$G282)&gt;0,
     COUNTIFS($AF$2:$AF$200,$G282)&gt;0,
     COUNTIFS($AG$2:$AG$200,$G282)&gt;0,
     COUNTIFS($AH$2:$AH$200,$G282)&gt;0,
     COUNTIFS($AI$2:$AI$200,$G282)&gt;0,
     COUNTIFS($AJ$2:$AJ$200,$G282)&gt;0,
     COUNTIFS($AK$2:$AK$200,$G282)&gt;0,
     COUNTIFS($AL$2:$AL$200,$G282)&gt;0,
     COUNTIFS($AM$2:$AM$200,$G282)&gt;0,
     COUNTIFS($AN$2:$AN$200,$G282)&gt;0,
     COUNTIFS($AO$2:$AO$200,$G282)&gt;0,
     COUNTIFS($AP$2:$AP$200,$G282)&gt;0,
     COUNTIFS($AQ$2:$AQ$200,$G282)&gt;0,
     COUNTIFS($AR$2:$AR$200,$G282)&gt;0,
     COUNTIFS($AS$2:$AS$200,$G282)&gt;0,
     COUNTIFS($AT$2:$AT$200,$G282)&gt;0,
     COUNTIFS($AU$2:$AU$200,$G282)&gt;0,
     COUNTIFS($AV$2:$AV$200,$G282)&gt;0,
     COUNTIFS($AW$2:$AW$200,$G282)&gt;0,
     COUNTIFS($AX$2:$AX$200,$G282)&gt;0
   )),
  ),
  2
 ),
"")</f>
        <v/>
      </c>
      <c r="E282" s="3" t="str" cm="1">
        <f t="array" aca="1" ref="E282" ca="1">IFERROR(
 INDEX(
  _xlfn._xlws.FILTER($U$1:$AX$1,
   TRANSPOSE(
    CHOOSE({1;2;3;4;5;6;7;8;9;10;11;12;13;14;15;16;17;18;19;20;21;22;23;24;25;26;27;28;29;30},
     COUNTIFS($U$2:$U$200,$G282)&gt;0,
     COUNTIFS($V$2:$V$200,$G282)&gt;0,
     COUNTIFS($W$2:$W$200,$G282)&gt;0,
     COUNTIFS($X$2:$X$200,$G282)&gt;0,
     COUNTIFS($Y$2:$Y$200,$G282)&gt;0,
     COUNTIFS($Z$2:$Z$200,$G282)&gt;0,
     COUNTIFS($AA$2:$AA$200,$G282)&gt;0,
     COUNTIFS($AB$2:$AB$200,$G282)&gt;0,
     COUNTIFS($AC$2:$AC$200,$G282)&gt;0,
     COUNTIFS($AD$2:$AD$200,$G282)&gt;0,
     COUNTIFS($AE$2:$AE$200,$G282)&gt;0,
     COUNTIFS($AF$2:$AF$200,$G282)&gt;0,
     COUNTIFS($AG$2:$AG$200,$G282)&gt;0,
     COUNTIFS($AH$2:$AH$200,$G282)&gt;0,
     COUNTIFS($AI$2:$AI$200,$G282)&gt;0,
     COUNTIFS($AJ$2:$AJ$200,$G282)&gt;0,
     COUNTIFS($AK$2:$AK$200,$G282)&gt;0,
     COUNTIFS($AL$2:$AL$200,$G282)&gt;0,
     COUNTIFS($AM$2:$AM$200,$G282)&gt;0,
     COUNTIFS($AN$2:$AN$200,$G282)&gt;0,
     COUNTIFS($AO$2:$AO$200,$G282)&gt;0,
     COUNTIFS($AP$2:$AP$200,$G282)&gt;0,
     COUNTIFS($AQ$2:$AQ$200,$G282)&gt;0,
     COUNTIFS($AR$2:$AR$200,$G282)&gt;0,
     COUNTIFS($AS$2:$AS$200,$G282)&gt;0,
     COUNTIFS($AT$2:$AT$200,$G282)&gt;0,
     COUNTIFS($AU$2:$AU$200,$G282)&gt;0,
     COUNTIFS($AV$2:$AV$200,$G282)&gt;0,
     COUNTIFS($AW$2:$AW$200,$G282)&gt;0,
     COUNTIFS($AX$2:$AX$200,$G282)&gt;0
   )),
  ),
  3
 ),
"")</f>
        <v/>
      </c>
      <c r="F282" s="3" t="str" cm="1">
        <f t="array" aca="1" ref="F282" ca="1">IFERROR(
 INDEX(
  _xlfn._xlws.FILTER($U$1:$AX$1,
   TRANSPOSE(
    CHOOSE({1;2;3;4;5;6;7;8;9;10;11;12;13;14;15;16;17;18;19;20;21;22;23;24;25;26;27;28;29;30},
     COUNTIFS($U$2:$U$200,$G282)&gt;0,
     COUNTIFS($V$2:$V$200,$G282)&gt;0,
     COUNTIFS($W$2:$W$200,$G282)&gt;0,
     COUNTIFS($X$2:$X$200,$G282)&gt;0,
     COUNTIFS($Y$2:$Y$200,$G282)&gt;0,
     COUNTIFS($Z$2:$Z$200,$G282)&gt;0,
     COUNTIFS($AA$2:$AA$200,$G282)&gt;0,
     COUNTIFS($AB$2:$AB$200,$G282)&gt;0,
     COUNTIFS($AC$2:$AC$200,$G282)&gt;0,
     COUNTIFS($AD$2:$AD$200,$G282)&gt;0,
     COUNTIFS($AE$2:$AE$200,$G282)&gt;0,
     COUNTIFS($AF$2:$AF$200,$G282)&gt;0,
     COUNTIFS($AG$2:$AG$200,$G282)&gt;0,
     COUNTIFS($AH$2:$AH$200,$G282)&gt;0,
     COUNTIFS($AI$2:$AI$200,$G282)&gt;0,
     COUNTIFS($AJ$2:$AJ$200,$G282)&gt;0,
     COUNTIFS($AK$2:$AK$200,$G282)&gt;0,
     COUNTIFS($AL$2:$AL$200,$G282)&gt;0,
     COUNTIFS($AM$2:$AM$200,$G282)&gt;0,
     COUNTIFS($AN$2:$AN$200,$G282)&gt;0,
     COUNTIFS($AO$2:$AO$200,$G282)&gt;0,
     COUNTIFS($AP$2:$AP$200,$G282)&gt;0,
     COUNTIFS($AQ$2:$AQ$200,$G282)&gt;0,
     COUNTIFS($AR$2:$AR$200,$G282)&gt;0,
     COUNTIFS($AS$2:$AS$200,$G282)&gt;0,
     COUNTIFS($AT$2:$AT$200,$G282)&gt;0,
     COUNTIFS($AU$2:$AU$200,$G282)&gt;0,
     COUNTIFS($AV$2:$AV$200,$G282)&gt;0,
     COUNTIFS($AW$2:$AW$200,$G282)&gt;0,
     COUNTIFS($AX$2:$AX$200,$G282)&gt;0
   )),
  ),
  4
 ),
"")</f>
        <v/>
      </c>
      <c r="G282" t="str">
        <f ca="1"/>
        <v>The Great Henge</v>
      </c>
      <c r="CJ282" t="str">
        <f ca="1"/>
        <v>The Great Henge</v>
      </c>
    </row>
    <row r="283" spans="1:88" x14ac:dyDescent="0.25">
      <c r="A283" s="3" t="str">
        <f t="shared" ca="1" si="10"/>
        <v>2</v>
      </c>
      <c r="B283" s="3">
        <f t="shared" ca="1" si="11"/>
        <v>1</v>
      </c>
      <c r="C283" s="3" t="str">
        <f ca="1">IFERROR(
 INDEX($U$1:$AX$1,
  MATCH(TRUE,
   CHOOSE({1;2;3;4;5;6;7;8;9;10;11;12;13;14;15;16;17;18;19;20;21;22;23;24;25;26;27;28;29;30;31;32},
    COUNTIFS($U$2:$U$200,$G283)&gt;0,
    COUNTIFS($V$2:$V$200,$G283)&gt;0,
    COUNTIFS($W$2:$W$200,$G283)&gt;0,
    COUNTIFS($X$2:$X$200,$G283)&gt;0,
    COUNTIFS($Y$2:$Y$200,$G283)&gt;0,
    COUNTIFS($Z$2:$Z$200,$G283)&gt;0,
    COUNTIFS($AA$2:$AA$200,$G283)&gt;0,
    COUNTIFS($AB$2:$AB$200,$G283)&gt;0,
    COUNTIFS($AC$2:$AC$200,$G283)&gt;0,
    COUNTIFS($AD$2:$AD$200,$G283)&gt;0,
    COUNTIFS($AE$2:$AE$200,$G283)&gt;0,
    COUNTIFS($AF$2:$AF$200,$G283)&gt;0,
    COUNTIFS($AG$2:$AG$200,$G283)&gt;0,
    COUNTIFS($AH$2:$AH$200,$G283)&gt;0,
    COUNTIFS($AI$2:$AI$200,$G283)&gt;0,
    COUNTIFS($AJ$2:$AJ$200,$G283)&gt;0,
    COUNTIFS($AK$2:$AK$200,$G283)&gt;0,
    COUNTIFS($AL$2:$AL$200,$G283)&gt;0,
    COUNTIFS($AM$2:$AM$200,$G283)&gt;0,
    COUNTIFS($AN$2:$AN$200,$G283)&gt;0,
    COUNTIFS($AO$2:$AO$200,$G283)&gt;0,
    COUNTIFS($AP$2:$AP$200,$G283)&gt;0,
    COUNTIFS($AQ$2:$AQ$200,$G283)&gt;0,
    COUNTIFS($AR$2:$AR$200,$G283)&gt;0,
    COUNTIFS($AS$2:$AS$200,$G283)&gt;0,
    COUNTIFS($AT$2:$AT$200,$G283)&gt;0,
    COUNTIFS($AU$2:$AU$200,$G283)&gt;0,
    COUNTIFS($AV$2:$AV$200,$G283)&gt;0,
    COUNTIFS($AW$2:$AW$200,$G283)&gt;0,
    COUNTIFS($AX$2:$AX$200,$G283)&gt;0
   ),
  0)
 ),
"")</f>
        <v>Piratas</v>
      </c>
      <c r="D283" s="3" t="str" cm="1">
        <f t="array" aca="1" ref="D283" ca="1">IFERROR(
 INDEX(
  _xlfn._xlws.FILTER($U$1:$AX$1,
   TRANSPOSE(
    CHOOSE({1;2;3;4;5;6;7;8;9;10;11;12;13;14;15;16;17;18;19;20;21;22;23;24;25;26;27;28;29;30},
     COUNTIFS($U$2:$U$200,$G283)&gt;0,
     COUNTIFS($V$2:$V$200,$G283)&gt;0,
     COUNTIFS($W$2:$W$200,$G283)&gt;0,
     COUNTIFS($X$2:$X$200,$G283)&gt;0,
     COUNTIFS($Y$2:$Y$200,$G283)&gt;0,
     COUNTIFS($Z$2:$Z$200,$G283)&gt;0,
     COUNTIFS($AA$2:$AA$200,$G283)&gt;0,
     COUNTIFS($AB$2:$AB$200,$G283)&gt;0,
     COUNTIFS($AC$2:$AC$200,$G283)&gt;0,
     COUNTIFS($AD$2:$AD$200,$G283)&gt;0,
     COUNTIFS($AE$2:$AE$200,$G283)&gt;0,
     COUNTIFS($AF$2:$AF$200,$G283)&gt;0,
     COUNTIFS($AG$2:$AG$200,$G283)&gt;0,
     COUNTIFS($AH$2:$AH$200,$G283)&gt;0,
     COUNTIFS($AI$2:$AI$200,$G283)&gt;0,
     COUNTIFS($AJ$2:$AJ$200,$G283)&gt;0,
     COUNTIFS($AK$2:$AK$200,$G283)&gt;0,
     COUNTIFS($AL$2:$AL$200,$G283)&gt;0,
     COUNTIFS($AM$2:$AM$200,$G283)&gt;0,
     COUNTIFS($AN$2:$AN$200,$G283)&gt;0,
     COUNTIFS($AO$2:$AO$200,$G283)&gt;0,
     COUNTIFS($AP$2:$AP$200,$G283)&gt;0,
     COUNTIFS($AQ$2:$AQ$200,$G283)&gt;0,
     COUNTIFS($AR$2:$AR$200,$G283)&gt;0,
     COUNTIFS($AS$2:$AS$200,$G283)&gt;0,
     COUNTIFS($AT$2:$AT$200,$G283)&gt;0,
     COUNTIFS($AU$2:$AU$200,$G283)&gt;0,
     COUNTIFS($AV$2:$AV$200,$G283)&gt;0,
     COUNTIFS($AW$2:$AW$200,$G283)&gt;0,
     COUNTIFS($AX$2:$AX$200,$G283)&gt;0
   )),
  ),
  2
 ),
"")</f>
        <v/>
      </c>
      <c r="E283" s="3" t="str" cm="1">
        <f t="array" aca="1" ref="E283" ca="1">IFERROR(
 INDEX(
  _xlfn._xlws.FILTER($U$1:$AX$1,
   TRANSPOSE(
    CHOOSE({1;2;3;4;5;6;7;8;9;10;11;12;13;14;15;16;17;18;19;20;21;22;23;24;25;26;27;28;29;30},
     COUNTIFS($U$2:$U$200,$G283)&gt;0,
     COUNTIFS($V$2:$V$200,$G283)&gt;0,
     COUNTIFS($W$2:$W$200,$G283)&gt;0,
     COUNTIFS($X$2:$X$200,$G283)&gt;0,
     COUNTIFS($Y$2:$Y$200,$G283)&gt;0,
     COUNTIFS($Z$2:$Z$200,$G283)&gt;0,
     COUNTIFS($AA$2:$AA$200,$G283)&gt;0,
     COUNTIFS($AB$2:$AB$200,$G283)&gt;0,
     COUNTIFS($AC$2:$AC$200,$G283)&gt;0,
     COUNTIFS($AD$2:$AD$200,$G283)&gt;0,
     COUNTIFS($AE$2:$AE$200,$G283)&gt;0,
     COUNTIFS($AF$2:$AF$200,$G283)&gt;0,
     COUNTIFS($AG$2:$AG$200,$G283)&gt;0,
     COUNTIFS($AH$2:$AH$200,$G283)&gt;0,
     COUNTIFS($AI$2:$AI$200,$G283)&gt;0,
     COUNTIFS($AJ$2:$AJ$200,$G283)&gt;0,
     COUNTIFS($AK$2:$AK$200,$G283)&gt;0,
     COUNTIFS($AL$2:$AL$200,$G283)&gt;0,
     COUNTIFS($AM$2:$AM$200,$G283)&gt;0,
     COUNTIFS($AN$2:$AN$200,$G283)&gt;0,
     COUNTIFS($AO$2:$AO$200,$G283)&gt;0,
     COUNTIFS($AP$2:$AP$200,$G283)&gt;0,
     COUNTIFS($AQ$2:$AQ$200,$G283)&gt;0,
     COUNTIFS($AR$2:$AR$200,$G283)&gt;0,
     COUNTIFS($AS$2:$AS$200,$G283)&gt;0,
     COUNTIFS($AT$2:$AT$200,$G283)&gt;0,
     COUNTIFS($AU$2:$AU$200,$G283)&gt;0,
     COUNTIFS($AV$2:$AV$200,$G283)&gt;0,
     COUNTIFS($AW$2:$AW$200,$G283)&gt;0,
     COUNTIFS($AX$2:$AX$200,$G283)&gt;0
   )),
  ),
  3
 ),
"")</f>
        <v/>
      </c>
      <c r="F283" s="3" t="str" cm="1">
        <f t="array" aca="1" ref="F283" ca="1">IFERROR(
 INDEX(
  _xlfn._xlws.FILTER($U$1:$AX$1,
   TRANSPOSE(
    CHOOSE({1;2;3;4;5;6;7;8;9;10;11;12;13;14;15;16;17;18;19;20;21;22;23;24;25;26;27;28;29;30},
     COUNTIFS($U$2:$U$200,$G283)&gt;0,
     COUNTIFS($V$2:$V$200,$G283)&gt;0,
     COUNTIFS($W$2:$W$200,$G283)&gt;0,
     COUNTIFS($X$2:$X$200,$G283)&gt;0,
     COUNTIFS($Y$2:$Y$200,$G283)&gt;0,
     COUNTIFS($Z$2:$Z$200,$G283)&gt;0,
     COUNTIFS($AA$2:$AA$200,$G283)&gt;0,
     COUNTIFS($AB$2:$AB$200,$G283)&gt;0,
     COUNTIFS($AC$2:$AC$200,$G283)&gt;0,
     COUNTIFS($AD$2:$AD$200,$G283)&gt;0,
     COUNTIFS($AE$2:$AE$200,$G283)&gt;0,
     COUNTIFS($AF$2:$AF$200,$G283)&gt;0,
     COUNTIFS($AG$2:$AG$200,$G283)&gt;0,
     COUNTIFS($AH$2:$AH$200,$G283)&gt;0,
     COUNTIFS($AI$2:$AI$200,$G283)&gt;0,
     COUNTIFS($AJ$2:$AJ$200,$G283)&gt;0,
     COUNTIFS($AK$2:$AK$200,$G283)&gt;0,
     COUNTIFS($AL$2:$AL$200,$G283)&gt;0,
     COUNTIFS($AM$2:$AM$200,$G283)&gt;0,
     COUNTIFS($AN$2:$AN$200,$G283)&gt;0,
     COUNTIFS($AO$2:$AO$200,$G283)&gt;0,
     COUNTIFS($AP$2:$AP$200,$G283)&gt;0,
     COUNTIFS($AQ$2:$AQ$200,$G283)&gt;0,
     COUNTIFS($AR$2:$AR$200,$G283)&gt;0,
     COUNTIFS($AS$2:$AS$200,$G283)&gt;0,
     COUNTIFS($AT$2:$AT$200,$G283)&gt;0,
     COUNTIFS($AU$2:$AU$200,$G283)&gt;0,
     COUNTIFS($AV$2:$AV$200,$G283)&gt;0,
     COUNTIFS($AW$2:$AW$200,$G283)&gt;0,
     COUNTIFS($AX$2:$AX$200,$G283)&gt;0
   )),
  ),
  4
 ),
"")</f>
        <v/>
      </c>
      <c r="G283" t="str">
        <f ca="1"/>
        <v>The Indomitable</v>
      </c>
      <c r="CJ283" t="str">
        <f ca="1"/>
        <v>The Indomitable</v>
      </c>
    </row>
    <row r="284" spans="1:88" x14ac:dyDescent="0.25">
      <c r="A284" s="3" t="str">
        <f t="shared" ca="1" si="10"/>
        <v>4</v>
      </c>
      <c r="B284" s="3">
        <f t="shared" ca="1" si="11"/>
        <v>1</v>
      </c>
      <c r="C284" s="3" t="str">
        <f ca="1">IFERROR(
 INDEX($U$1:$AX$1,
  MATCH(TRUE,
   CHOOSE({1;2;3;4;5;6;7;8;9;10;11;12;13;14;15;16;17;18;19;20;21;22;23;24;25;26;27;28;29;30;31;32},
    COUNTIFS($U$2:$U$200,$G284)&gt;0,
    COUNTIFS($V$2:$V$200,$G284)&gt;0,
    COUNTIFS($W$2:$W$200,$G284)&gt;0,
    COUNTIFS($X$2:$X$200,$G284)&gt;0,
    COUNTIFS($Y$2:$Y$200,$G284)&gt;0,
    COUNTIFS($Z$2:$Z$200,$G284)&gt;0,
    COUNTIFS($AA$2:$AA$200,$G284)&gt;0,
    COUNTIFS($AB$2:$AB$200,$G284)&gt;0,
    COUNTIFS($AC$2:$AC$200,$G284)&gt;0,
    COUNTIFS($AD$2:$AD$200,$G284)&gt;0,
    COUNTIFS($AE$2:$AE$200,$G284)&gt;0,
    COUNTIFS($AF$2:$AF$200,$G284)&gt;0,
    COUNTIFS($AG$2:$AG$200,$G284)&gt;0,
    COUNTIFS($AH$2:$AH$200,$G284)&gt;0,
    COUNTIFS($AI$2:$AI$200,$G284)&gt;0,
    COUNTIFS($AJ$2:$AJ$200,$G284)&gt;0,
    COUNTIFS($AK$2:$AK$200,$G284)&gt;0,
    COUNTIFS($AL$2:$AL$200,$G284)&gt;0,
    COUNTIFS($AM$2:$AM$200,$G284)&gt;0,
    COUNTIFS($AN$2:$AN$200,$G284)&gt;0,
    COUNTIFS($AO$2:$AO$200,$G284)&gt;0,
    COUNTIFS($AP$2:$AP$200,$G284)&gt;0,
    COUNTIFS($AQ$2:$AQ$200,$G284)&gt;0,
    COUNTIFS($AR$2:$AR$200,$G284)&gt;0,
    COUNTIFS($AS$2:$AS$200,$G284)&gt;0,
    COUNTIFS($AT$2:$AT$200,$G284)&gt;0,
    COUNTIFS($AU$2:$AU$200,$G284)&gt;0,
    COUNTIFS($AV$2:$AV$200,$G284)&gt;0,
    COUNTIFS($AW$2:$AW$200,$G284)&gt;0,
    COUNTIFS($AX$2:$AX$200,$G284)&gt;0
   ),
  0)
 ),
"")</f>
        <v>Kresh</v>
      </c>
      <c r="D284" s="3" t="str" cm="1">
        <f t="array" aca="1" ref="D284" ca="1">IFERROR(
 INDEX(
  _xlfn._xlws.FILTER($U$1:$AX$1,
   TRANSPOSE(
    CHOOSE({1;2;3;4;5;6;7;8;9;10;11;12;13;14;15;16;17;18;19;20;21;22;23;24;25;26;27;28;29;30},
     COUNTIFS($U$2:$U$200,$G284)&gt;0,
     COUNTIFS($V$2:$V$200,$G284)&gt;0,
     COUNTIFS($W$2:$W$200,$G284)&gt;0,
     COUNTIFS($X$2:$X$200,$G284)&gt;0,
     COUNTIFS($Y$2:$Y$200,$G284)&gt;0,
     COUNTIFS($Z$2:$Z$200,$G284)&gt;0,
     COUNTIFS($AA$2:$AA$200,$G284)&gt;0,
     COUNTIFS($AB$2:$AB$200,$G284)&gt;0,
     COUNTIFS($AC$2:$AC$200,$G284)&gt;0,
     COUNTIFS($AD$2:$AD$200,$G284)&gt;0,
     COUNTIFS($AE$2:$AE$200,$G284)&gt;0,
     COUNTIFS($AF$2:$AF$200,$G284)&gt;0,
     COUNTIFS($AG$2:$AG$200,$G284)&gt;0,
     COUNTIFS($AH$2:$AH$200,$G284)&gt;0,
     COUNTIFS($AI$2:$AI$200,$G284)&gt;0,
     COUNTIFS($AJ$2:$AJ$200,$G284)&gt;0,
     COUNTIFS($AK$2:$AK$200,$G284)&gt;0,
     COUNTIFS($AL$2:$AL$200,$G284)&gt;0,
     COUNTIFS($AM$2:$AM$200,$G284)&gt;0,
     COUNTIFS($AN$2:$AN$200,$G284)&gt;0,
     COUNTIFS($AO$2:$AO$200,$G284)&gt;0,
     COUNTIFS($AP$2:$AP$200,$G284)&gt;0,
     COUNTIFS($AQ$2:$AQ$200,$G284)&gt;0,
     COUNTIFS($AR$2:$AR$200,$G284)&gt;0,
     COUNTIFS($AS$2:$AS$200,$G284)&gt;0,
     COUNTIFS($AT$2:$AT$200,$G284)&gt;0,
     COUNTIFS($AU$2:$AU$200,$G284)&gt;0,
     COUNTIFS($AV$2:$AV$200,$G284)&gt;0,
     COUNTIFS($AW$2:$AW$200,$G284)&gt;0,
     COUNTIFS($AX$2:$AX$200,$G284)&gt;0
   )),
  ),
  2
 ),
"")</f>
        <v/>
      </c>
      <c r="E284" s="3" t="str" cm="1">
        <f t="array" aca="1" ref="E284" ca="1">IFERROR(
 INDEX(
  _xlfn._xlws.FILTER($U$1:$AX$1,
   TRANSPOSE(
    CHOOSE({1;2;3;4;5;6;7;8;9;10;11;12;13;14;15;16;17;18;19;20;21;22;23;24;25;26;27;28;29;30},
     COUNTIFS($U$2:$U$200,$G284)&gt;0,
     COUNTIFS($V$2:$V$200,$G284)&gt;0,
     COUNTIFS($W$2:$W$200,$G284)&gt;0,
     COUNTIFS($X$2:$X$200,$G284)&gt;0,
     COUNTIFS($Y$2:$Y$200,$G284)&gt;0,
     COUNTIFS($Z$2:$Z$200,$G284)&gt;0,
     COUNTIFS($AA$2:$AA$200,$G284)&gt;0,
     COUNTIFS($AB$2:$AB$200,$G284)&gt;0,
     COUNTIFS($AC$2:$AC$200,$G284)&gt;0,
     COUNTIFS($AD$2:$AD$200,$G284)&gt;0,
     COUNTIFS($AE$2:$AE$200,$G284)&gt;0,
     COUNTIFS($AF$2:$AF$200,$G284)&gt;0,
     COUNTIFS($AG$2:$AG$200,$G284)&gt;0,
     COUNTIFS($AH$2:$AH$200,$G284)&gt;0,
     COUNTIFS($AI$2:$AI$200,$G284)&gt;0,
     COUNTIFS($AJ$2:$AJ$200,$G284)&gt;0,
     COUNTIFS($AK$2:$AK$200,$G284)&gt;0,
     COUNTIFS($AL$2:$AL$200,$G284)&gt;0,
     COUNTIFS($AM$2:$AM$200,$G284)&gt;0,
     COUNTIFS($AN$2:$AN$200,$G284)&gt;0,
     COUNTIFS($AO$2:$AO$200,$G284)&gt;0,
     COUNTIFS($AP$2:$AP$200,$G284)&gt;0,
     COUNTIFS($AQ$2:$AQ$200,$G284)&gt;0,
     COUNTIFS($AR$2:$AR$200,$G284)&gt;0,
     COUNTIFS($AS$2:$AS$200,$G284)&gt;0,
     COUNTIFS($AT$2:$AT$200,$G284)&gt;0,
     COUNTIFS($AU$2:$AU$200,$G284)&gt;0,
     COUNTIFS($AV$2:$AV$200,$G284)&gt;0,
     COUNTIFS($AW$2:$AW$200,$G284)&gt;0,
     COUNTIFS($AX$2:$AX$200,$G284)&gt;0
   )),
  ),
  3
 ),
"")</f>
        <v/>
      </c>
      <c r="F284" s="3" t="str" cm="1">
        <f t="array" aca="1" ref="F284" ca="1">IFERROR(
 INDEX(
  _xlfn._xlws.FILTER($U$1:$AX$1,
   TRANSPOSE(
    CHOOSE({1;2;3;4;5;6;7;8;9;10;11;12;13;14;15;16;17;18;19;20;21;22;23;24;25;26;27;28;29;30},
     COUNTIFS($U$2:$U$200,$G284)&gt;0,
     COUNTIFS($V$2:$V$200,$G284)&gt;0,
     COUNTIFS($W$2:$W$200,$G284)&gt;0,
     COUNTIFS($X$2:$X$200,$G284)&gt;0,
     COUNTIFS($Y$2:$Y$200,$G284)&gt;0,
     COUNTIFS($Z$2:$Z$200,$G284)&gt;0,
     COUNTIFS($AA$2:$AA$200,$G284)&gt;0,
     COUNTIFS($AB$2:$AB$200,$G284)&gt;0,
     COUNTIFS($AC$2:$AC$200,$G284)&gt;0,
     COUNTIFS($AD$2:$AD$200,$G284)&gt;0,
     COUNTIFS($AE$2:$AE$200,$G284)&gt;0,
     COUNTIFS($AF$2:$AF$200,$G284)&gt;0,
     COUNTIFS($AG$2:$AG$200,$G284)&gt;0,
     COUNTIFS($AH$2:$AH$200,$G284)&gt;0,
     COUNTIFS($AI$2:$AI$200,$G284)&gt;0,
     COUNTIFS($AJ$2:$AJ$200,$G284)&gt;0,
     COUNTIFS($AK$2:$AK$200,$G284)&gt;0,
     COUNTIFS($AL$2:$AL$200,$G284)&gt;0,
     COUNTIFS($AM$2:$AM$200,$G284)&gt;0,
     COUNTIFS($AN$2:$AN$200,$G284)&gt;0,
     COUNTIFS($AO$2:$AO$200,$G284)&gt;0,
     COUNTIFS($AP$2:$AP$200,$G284)&gt;0,
     COUNTIFS($AQ$2:$AQ$200,$G284)&gt;0,
     COUNTIFS($AR$2:$AR$200,$G284)&gt;0,
     COUNTIFS($AS$2:$AS$200,$G284)&gt;0,
     COUNTIFS($AT$2:$AT$200,$G284)&gt;0,
     COUNTIFS($AU$2:$AU$200,$G284)&gt;0,
     COUNTIFS($AV$2:$AV$200,$G284)&gt;0,
     COUNTIFS($AW$2:$AW$200,$G284)&gt;0,
     COUNTIFS($AX$2:$AX$200,$G284)&gt;0
   )),
  ),
  4
 ),
"")</f>
        <v/>
      </c>
      <c r="G284" t="str">
        <f ca="1"/>
        <v>The Masamune</v>
      </c>
      <c r="CJ284" t="str">
        <f ca="1"/>
        <v>The Masamune</v>
      </c>
    </row>
    <row r="285" spans="1:88" x14ac:dyDescent="0.25">
      <c r="A285" s="3" t="str">
        <f t="shared" ca="1" si="10"/>
        <v>3</v>
      </c>
      <c r="B285" s="3">
        <f t="shared" ca="1" si="11"/>
        <v>1</v>
      </c>
      <c r="C285" s="3" t="str">
        <f ca="1">IFERROR(
 INDEX($U$1:$AX$1,
  MATCH(TRUE,
   CHOOSE({1;2;3;4;5;6;7;8;9;10;11;12;13;14;15;16;17;18;19;20;21;22;23;24;25;26;27;28;29;30;31;32},
    COUNTIFS($U$2:$U$200,$G285)&gt;0,
    COUNTIFS($V$2:$V$200,$G285)&gt;0,
    COUNTIFS($W$2:$W$200,$G285)&gt;0,
    COUNTIFS($X$2:$X$200,$G285)&gt;0,
    COUNTIFS($Y$2:$Y$200,$G285)&gt;0,
    COUNTIFS($Z$2:$Z$200,$G285)&gt;0,
    COUNTIFS($AA$2:$AA$200,$G285)&gt;0,
    COUNTIFS($AB$2:$AB$200,$G285)&gt;0,
    COUNTIFS($AC$2:$AC$200,$G285)&gt;0,
    COUNTIFS($AD$2:$AD$200,$G285)&gt;0,
    COUNTIFS($AE$2:$AE$200,$G285)&gt;0,
    COUNTIFS($AF$2:$AF$200,$G285)&gt;0,
    COUNTIFS($AG$2:$AG$200,$G285)&gt;0,
    COUNTIFS($AH$2:$AH$200,$G285)&gt;0,
    COUNTIFS($AI$2:$AI$200,$G285)&gt;0,
    COUNTIFS($AJ$2:$AJ$200,$G285)&gt;0,
    COUNTIFS($AK$2:$AK$200,$G285)&gt;0,
    COUNTIFS($AL$2:$AL$200,$G285)&gt;0,
    COUNTIFS($AM$2:$AM$200,$G285)&gt;0,
    COUNTIFS($AN$2:$AN$200,$G285)&gt;0,
    COUNTIFS($AO$2:$AO$200,$G285)&gt;0,
    COUNTIFS($AP$2:$AP$200,$G285)&gt;0,
    COUNTIFS($AQ$2:$AQ$200,$G285)&gt;0,
    COUNTIFS($AR$2:$AR$200,$G285)&gt;0,
    COUNTIFS($AS$2:$AS$200,$G285)&gt;0,
    COUNTIFS($AT$2:$AT$200,$G285)&gt;0,
    COUNTIFS($AU$2:$AU$200,$G285)&gt;0,
    COUNTIFS($AV$2:$AV$200,$G285)&gt;0,
    COUNTIFS($AW$2:$AW$200,$G285)&gt;0,
    COUNTIFS($AX$2:$AX$200,$G285)&gt;0
   ),
  0)
 ),
"")</f>
        <v>Muzzio</v>
      </c>
      <c r="D285" s="3" t="str" cm="1">
        <f t="array" aca="1" ref="D285" ca="1">IFERROR(
 INDEX(
  _xlfn._xlws.FILTER($U$1:$AX$1,
   TRANSPOSE(
    CHOOSE({1;2;3;4;5;6;7;8;9;10;11;12;13;14;15;16;17;18;19;20;21;22;23;24;25;26;27;28;29;30},
     COUNTIFS($U$2:$U$200,$G285)&gt;0,
     COUNTIFS($V$2:$V$200,$G285)&gt;0,
     COUNTIFS($W$2:$W$200,$G285)&gt;0,
     COUNTIFS($X$2:$X$200,$G285)&gt;0,
     COUNTIFS($Y$2:$Y$200,$G285)&gt;0,
     COUNTIFS($Z$2:$Z$200,$G285)&gt;0,
     COUNTIFS($AA$2:$AA$200,$G285)&gt;0,
     COUNTIFS($AB$2:$AB$200,$G285)&gt;0,
     COUNTIFS($AC$2:$AC$200,$G285)&gt;0,
     COUNTIFS($AD$2:$AD$200,$G285)&gt;0,
     COUNTIFS($AE$2:$AE$200,$G285)&gt;0,
     COUNTIFS($AF$2:$AF$200,$G285)&gt;0,
     COUNTIFS($AG$2:$AG$200,$G285)&gt;0,
     COUNTIFS($AH$2:$AH$200,$G285)&gt;0,
     COUNTIFS($AI$2:$AI$200,$G285)&gt;0,
     COUNTIFS($AJ$2:$AJ$200,$G285)&gt;0,
     COUNTIFS($AK$2:$AK$200,$G285)&gt;0,
     COUNTIFS($AL$2:$AL$200,$G285)&gt;0,
     COUNTIFS($AM$2:$AM$200,$G285)&gt;0,
     COUNTIFS($AN$2:$AN$200,$G285)&gt;0,
     COUNTIFS($AO$2:$AO$200,$G285)&gt;0,
     COUNTIFS($AP$2:$AP$200,$G285)&gt;0,
     COUNTIFS($AQ$2:$AQ$200,$G285)&gt;0,
     COUNTIFS($AR$2:$AR$200,$G285)&gt;0,
     COUNTIFS($AS$2:$AS$200,$G285)&gt;0,
     COUNTIFS($AT$2:$AT$200,$G285)&gt;0,
     COUNTIFS($AU$2:$AU$200,$G285)&gt;0,
     COUNTIFS($AV$2:$AV$200,$G285)&gt;0,
     COUNTIFS($AW$2:$AW$200,$G285)&gt;0,
     COUNTIFS($AX$2:$AX$200,$G285)&gt;0
   )),
  ),
  2
 ),
"")</f>
        <v/>
      </c>
      <c r="E285" s="3" t="str" cm="1">
        <f t="array" aca="1" ref="E285" ca="1">IFERROR(
 INDEX(
  _xlfn._xlws.FILTER($U$1:$AX$1,
   TRANSPOSE(
    CHOOSE({1;2;3;4;5;6;7;8;9;10;11;12;13;14;15;16;17;18;19;20;21;22;23;24;25;26;27;28;29;30},
     COUNTIFS($U$2:$U$200,$G285)&gt;0,
     COUNTIFS($V$2:$V$200,$G285)&gt;0,
     COUNTIFS($W$2:$W$200,$G285)&gt;0,
     COUNTIFS($X$2:$X$200,$G285)&gt;0,
     COUNTIFS($Y$2:$Y$200,$G285)&gt;0,
     COUNTIFS($Z$2:$Z$200,$G285)&gt;0,
     COUNTIFS($AA$2:$AA$200,$G285)&gt;0,
     COUNTIFS($AB$2:$AB$200,$G285)&gt;0,
     COUNTIFS($AC$2:$AC$200,$G285)&gt;0,
     COUNTIFS($AD$2:$AD$200,$G285)&gt;0,
     COUNTIFS($AE$2:$AE$200,$G285)&gt;0,
     COUNTIFS($AF$2:$AF$200,$G285)&gt;0,
     COUNTIFS($AG$2:$AG$200,$G285)&gt;0,
     COUNTIFS($AH$2:$AH$200,$G285)&gt;0,
     COUNTIFS($AI$2:$AI$200,$G285)&gt;0,
     COUNTIFS($AJ$2:$AJ$200,$G285)&gt;0,
     COUNTIFS($AK$2:$AK$200,$G285)&gt;0,
     COUNTIFS($AL$2:$AL$200,$G285)&gt;0,
     COUNTIFS($AM$2:$AM$200,$G285)&gt;0,
     COUNTIFS($AN$2:$AN$200,$G285)&gt;0,
     COUNTIFS($AO$2:$AO$200,$G285)&gt;0,
     COUNTIFS($AP$2:$AP$200,$G285)&gt;0,
     COUNTIFS($AQ$2:$AQ$200,$G285)&gt;0,
     COUNTIFS($AR$2:$AR$200,$G285)&gt;0,
     COUNTIFS($AS$2:$AS$200,$G285)&gt;0,
     COUNTIFS($AT$2:$AT$200,$G285)&gt;0,
     COUNTIFS($AU$2:$AU$200,$G285)&gt;0,
     COUNTIFS($AV$2:$AV$200,$G285)&gt;0,
     COUNTIFS($AW$2:$AW$200,$G285)&gt;0,
     COUNTIFS($AX$2:$AX$200,$G285)&gt;0
   )),
  ),
  3
 ),
"")</f>
        <v/>
      </c>
      <c r="F285" s="3" t="str" cm="1">
        <f t="array" aca="1" ref="F285" ca="1">IFERROR(
 INDEX(
  _xlfn._xlws.FILTER($U$1:$AX$1,
   TRANSPOSE(
    CHOOSE({1;2;3;4;5;6;7;8;9;10;11;12;13;14;15;16;17;18;19;20;21;22;23;24;25;26;27;28;29;30},
     COUNTIFS($U$2:$U$200,$G285)&gt;0,
     COUNTIFS($V$2:$V$200,$G285)&gt;0,
     COUNTIFS($W$2:$W$200,$G285)&gt;0,
     COUNTIFS($X$2:$X$200,$G285)&gt;0,
     COUNTIFS($Y$2:$Y$200,$G285)&gt;0,
     COUNTIFS($Z$2:$Z$200,$G285)&gt;0,
     COUNTIFS($AA$2:$AA$200,$G285)&gt;0,
     COUNTIFS($AB$2:$AB$200,$G285)&gt;0,
     COUNTIFS($AC$2:$AC$200,$G285)&gt;0,
     COUNTIFS($AD$2:$AD$200,$G285)&gt;0,
     COUNTIFS($AE$2:$AE$200,$G285)&gt;0,
     COUNTIFS($AF$2:$AF$200,$G285)&gt;0,
     COUNTIFS($AG$2:$AG$200,$G285)&gt;0,
     COUNTIFS($AH$2:$AH$200,$G285)&gt;0,
     COUNTIFS($AI$2:$AI$200,$G285)&gt;0,
     COUNTIFS($AJ$2:$AJ$200,$G285)&gt;0,
     COUNTIFS($AK$2:$AK$200,$G285)&gt;0,
     COUNTIFS($AL$2:$AL$200,$G285)&gt;0,
     COUNTIFS($AM$2:$AM$200,$G285)&gt;0,
     COUNTIFS($AN$2:$AN$200,$G285)&gt;0,
     COUNTIFS($AO$2:$AO$200,$G285)&gt;0,
     COUNTIFS($AP$2:$AP$200,$G285)&gt;0,
     COUNTIFS($AQ$2:$AQ$200,$G285)&gt;0,
     COUNTIFS($AR$2:$AR$200,$G285)&gt;0,
     COUNTIFS($AS$2:$AS$200,$G285)&gt;0,
     COUNTIFS($AT$2:$AT$200,$G285)&gt;0,
     COUNTIFS($AU$2:$AU$200,$G285)&gt;0,
     COUNTIFS($AV$2:$AV$200,$G285)&gt;0,
     COUNTIFS($AW$2:$AW$200,$G285)&gt;0,
     COUNTIFS($AX$2:$AX$200,$G285)&gt;0
   )),
  ),
  4
 ),
"")</f>
        <v/>
      </c>
      <c r="G285" t="str">
        <f ca="1"/>
        <v>The Mycosynth Gardens</v>
      </c>
      <c r="CJ285" t="str">
        <f ca="1"/>
        <v>The Mycosynth Gardens</v>
      </c>
    </row>
    <row r="286" spans="1:88" x14ac:dyDescent="0.25">
      <c r="A286" s="3" t="str">
        <f t="shared" ca="1" si="10"/>
        <v>1</v>
      </c>
      <c r="B286" s="3">
        <f t="shared" ca="1" si="11"/>
        <v>1</v>
      </c>
      <c r="C286" s="3" t="str">
        <f ca="1">IFERROR(
 INDEX($U$1:$AX$1,
  MATCH(TRUE,
   CHOOSE({1;2;3;4;5;6;7;8;9;10;11;12;13;14;15;16;17;18;19;20;21;22;23;24;25;26;27;28;29;30;31;32},
    COUNTIFS($U$2:$U$200,$G286)&gt;0,
    COUNTIFS($V$2:$V$200,$G286)&gt;0,
    COUNTIFS($W$2:$W$200,$G286)&gt;0,
    COUNTIFS($X$2:$X$200,$G286)&gt;0,
    COUNTIFS($Y$2:$Y$200,$G286)&gt;0,
    COUNTIFS($Z$2:$Z$200,$G286)&gt;0,
    COUNTIFS($AA$2:$AA$200,$G286)&gt;0,
    COUNTIFS($AB$2:$AB$200,$G286)&gt;0,
    COUNTIFS($AC$2:$AC$200,$G286)&gt;0,
    COUNTIFS($AD$2:$AD$200,$G286)&gt;0,
    COUNTIFS($AE$2:$AE$200,$G286)&gt;0,
    COUNTIFS($AF$2:$AF$200,$G286)&gt;0,
    COUNTIFS($AG$2:$AG$200,$G286)&gt;0,
    COUNTIFS($AH$2:$AH$200,$G286)&gt;0,
    COUNTIFS($AI$2:$AI$200,$G286)&gt;0,
    COUNTIFS($AJ$2:$AJ$200,$G286)&gt;0,
    COUNTIFS($AK$2:$AK$200,$G286)&gt;0,
    COUNTIFS($AL$2:$AL$200,$G286)&gt;0,
    COUNTIFS($AM$2:$AM$200,$G286)&gt;0,
    COUNTIFS($AN$2:$AN$200,$G286)&gt;0,
    COUNTIFS($AO$2:$AO$200,$G286)&gt;0,
    COUNTIFS($AP$2:$AP$200,$G286)&gt;0,
    COUNTIFS($AQ$2:$AQ$200,$G286)&gt;0,
    COUNTIFS($AR$2:$AR$200,$G286)&gt;0,
    COUNTIFS($AS$2:$AS$200,$G286)&gt;0,
    COUNTIFS($AT$2:$AT$200,$G286)&gt;0,
    COUNTIFS($AU$2:$AU$200,$G286)&gt;0,
    COUNTIFS($AV$2:$AV$200,$G286)&gt;0,
    COUNTIFS($AW$2:$AW$200,$G286)&gt;0,
    COUNTIFS($AX$2:$AX$200,$G286)&gt;0
   ),
  0)
 ),
"")</f>
        <v>Modular</v>
      </c>
      <c r="D286" s="3" t="str" cm="1">
        <f t="array" aca="1" ref="D286" ca="1">IFERROR(
 INDEX(
  _xlfn._xlws.FILTER($U$1:$AX$1,
   TRANSPOSE(
    CHOOSE({1;2;3;4;5;6;7;8;9;10;11;12;13;14;15;16;17;18;19;20;21;22;23;24;25;26;27;28;29;30},
     COUNTIFS($U$2:$U$200,$G286)&gt;0,
     COUNTIFS($V$2:$V$200,$G286)&gt;0,
     COUNTIFS($W$2:$W$200,$G286)&gt;0,
     COUNTIFS($X$2:$X$200,$G286)&gt;0,
     COUNTIFS($Y$2:$Y$200,$G286)&gt;0,
     COUNTIFS($Z$2:$Z$200,$G286)&gt;0,
     COUNTIFS($AA$2:$AA$200,$G286)&gt;0,
     COUNTIFS($AB$2:$AB$200,$G286)&gt;0,
     COUNTIFS($AC$2:$AC$200,$G286)&gt;0,
     COUNTIFS($AD$2:$AD$200,$G286)&gt;0,
     COUNTIFS($AE$2:$AE$200,$G286)&gt;0,
     COUNTIFS($AF$2:$AF$200,$G286)&gt;0,
     COUNTIFS($AG$2:$AG$200,$G286)&gt;0,
     COUNTIFS($AH$2:$AH$200,$G286)&gt;0,
     COUNTIFS($AI$2:$AI$200,$G286)&gt;0,
     COUNTIFS($AJ$2:$AJ$200,$G286)&gt;0,
     COUNTIFS($AK$2:$AK$200,$G286)&gt;0,
     COUNTIFS($AL$2:$AL$200,$G286)&gt;0,
     COUNTIFS($AM$2:$AM$200,$G286)&gt;0,
     COUNTIFS($AN$2:$AN$200,$G286)&gt;0,
     COUNTIFS($AO$2:$AO$200,$G286)&gt;0,
     COUNTIFS($AP$2:$AP$200,$G286)&gt;0,
     COUNTIFS($AQ$2:$AQ$200,$G286)&gt;0,
     COUNTIFS($AR$2:$AR$200,$G286)&gt;0,
     COUNTIFS($AS$2:$AS$200,$G286)&gt;0,
     COUNTIFS($AT$2:$AT$200,$G286)&gt;0,
     COUNTIFS($AU$2:$AU$200,$G286)&gt;0,
     COUNTIFS($AV$2:$AV$200,$G286)&gt;0,
     COUNTIFS($AW$2:$AW$200,$G286)&gt;0,
     COUNTIFS($AX$2:$AX$200,$G286)&gt;0
   )),
  ),
  2
 ),
"")</f>
        <v/>
      </c>
      <c r="E286" s="3" t="str" cm="1">
        <f t="array" aca="1" ref="E286" ca="1">IFERROR(
 INDEX(
  _xlfn._xlws.FILTER($U$1:$AX$1,
   TRANSPOSE(
    CHOOSE({1;2;3;4;5;6;7;8;9;10;11;12;13;14;15;16;17;18;19;20;21;22;23;24;25;26;27;28;29;30},
     COUNTIFS($U$2:$U$200,$G286)&gt;0,
     COUNTIFS($V$2:$V$200,$G286)&gt;0,
     COUNTIFS($W$2:$W$200,$G286)&gt;0,
     COUNTIFS($X$2:$X$200,$G286)&gt;0,
     COUNTIFS($Y$2:$Y$200,$G286)&gt;0,
     COUNTIFS($Z$2:$Z$200,$G286)&gt;0,
     COUNTIFS($AA$2:$AA$200,$G286)&gt;0,
     COUNTIFS($AB$2:$AB$200,$G286)&gt;0,
     COUNTIFS($AC$2:$AC$200,$G286)&gt;0,
     COUNTIFS($AD$2:$AD$200,$G286)&gt;0,
     COUNTIFS($AE$2:$AE$200,$G286)&gt;0,
     COUNTIFS($AF$2:$AF$200,$G286)&gt;0,
     COUNTIFS($AG$2:$AG$200,$G286)&gt;0,
     COUNTIFS($AH$2:$AH$200,$G286)&gt;0,
     COUNTIFS($AI$2:$AI$200,$G286)&gt;0,
     COUNTIFS($AJ$2:$AJ$200,$G286)&gt;0,
     COUNTIFS($AK$2:$AK$200,$G286)&gt;0,
     COUNTIFS($AL$2:$AL$200,$G286)&gt;0,
     COUNTIFS($AM$2:$AM$200,$G286)&gt;0,
     COUNTIFS($AN$2:$AN$200,$G286)&gt;0,
     COUNTIFS($AO$2:$AO$200,$G286)&gt;0,
     COUNTIFS($AP$2:$AP$200,$G286)&gt;0,
     COUNTIFS($AQ$2:$AQ$200,$G286)&gt;0,
     COUNTIFS($AR$2:$AR$200,$G286)&gt;0,
     COUNTIFS($AS$2:$AS$200,$G286)&gt;0,
     COUNTIFS($AT$2:$AT$200,$G286)&gt;0,
     COUNTIFS($AU$2:$AU$200,$G286)&gt;0,
     COUNTIFS($AV$2:$AV$200,$G286)&gt;0,
     COUNTIFS($AW$2:$AW$200,$G286)&gt;0,
     COUNTIFS($AX$2:$AX$200,$G286)&gt;0
   )),
  ),
  3
 ),
"")</f>
        <v/>
      </c>
      <c r="F286" s="3" t="str" cm="1">
        <f t="array" aca="1" ref="F286" ca="1">IFERROR(
 INDEX(
  _xlfn._xlws.FILTER($U$1:$AX$1,
   TRANSPOSE(
    CHOOSE({1;2;3;4;5;6;7;8;9;10;11;12;13;14;15;16;17;18;19;20;21;22;23;24;25;26;27;28;29;30},
     COUNTIFS($U$2:$U$200,$G286)&gt;0,
     COUNTIFS($V$2:$V$200,$G286)&gt;0,
     COUNTIFS($W$2:$W$200,$G286)&gt;0,
     COUNTIFS($X$2:$X$200,$G286)&gt;0,
     COUNTIFS($Y$2:$Y$200,$G286)&gt;0,
     COUNTIFS($Z$2:$Z$200,$G286)&gt;0,
     COUNTIFS($AA$2:$AA$200,$G286)&gt;0,
     COUNTIFS($AB$2:$AB$200,$G286)&gt;0,
     COUNTIFS($AC$2:$AC$200,$G286)&gt;0,
     COUNTIFS($AD$2:$AD$200,$G286)&gt;0,
     COUNTIFS($AE$2:$AE$200,$G286)&gt;0,
     COUNTIFS($AF$2:$AF$200,$G286)&gt;0,
     COUNTIFS($AG$2:$AG$200,$G286)&gt;0,
     COUNTIFS($AH$2:$AH$200,$G286)&gt;0,
     COUNTIFS($AI$2:$AI$200,$G286)&gt;0,
     COUNTIFS($AJ$2:$AJ$200,$G286)&gt;0,
     COUNTIFS($AK$2:$AK$200,$G286)&gt;0,
     COUNTIFS($AL$2:$AL$200,$G286)&gt;0,
     COUNTIFS($AM$2:$AM$200,$G286)&gt;0,
     COUNTIFS($AN$2:$AN$200,$G286)&gt;0,
     COUNTIFS($AO$2:$AO$200,$G286)&gt;0,
     COUNTIFS($AP$2:$AP$200,$G286)&gt;0,
     COUNTIFS($AQ$2:$AQ$200,$G286)&gt;0,
     COUNTIFS($AR$2:$AR$200,$G286)&gt;0,
     COUNTIFS($AS$2:$AS$200,$G286)&gt;0,
     COUNTIFS($AT$2:$AT$200,$G286)&gt;0,
     COUNTIFS($AU$2:$AU$200,$G286)&gt;0,
     COUNTIFS($AV$2:$AV$200,$G286)&gt;0,
     COUNTIFS($AW$2:$AW$200,$G286)&gt;0,
     COUNTIFS($AX$2:$AX$200,$G286)&gt;0
   )),
  ),
  4
 ),
"")</f>
        <v/>
      </c>
      <c r="G286" t="str">
        <f ca="1"/>
        <v>The Ozolith</v>
      </c>
      <c r="CJ286" t="str">
        <f ca="1"/>
        <v>The Ozolith</v>
      </c>
    </row>
    <row r="287" spans="1:88" x14ac:dyDescent="0.25">
      <c r="A287" s="3" t="str">
        <f t="shared" ca="1" si="10"/>
        <v>2</v>
      </c>
      <c r="B287" s="3">
        <f t="shared" ca="1" si="11"/>
        <v>1</v>
      </c>
      <c r="C287" s="3" t="str">
        <f ca="1">IFERROR(
 INDEX($U$1:$AX$1,
  MATCH(TRUE,
   CHOOSE({1;2;3;4;5;6;7;8;9;10;11;12;13;14;15;16;17;18;19;20;21;22;23;24;25;26;27;28;29;30;31;32},
    COUNTIFS($U$2:$U$200,$G287)&gt;0,
    COUNTIFS($V$2:$V$200,$G287)&gt;0,
    COUNTIFS($W$2:$W$200,$G287)&gt;0,
    COUNTIFS($X$2:$X$200,$G287)&gt;0,
    COUNTIFS($Y$2:$Y$200,$G287)&gt;0,
    COUNTIFS($Z$2:$Z$200,$G287)&gt;0,
    COUNTIFS($AA$2:$AA$200,$G287)&gt;0,
    COUNTIFS($AB$2:$AB$200,$G287)&gt;0,
    COUNTIFS($AC$2:$AC$200,$G287)&gt;0,
    COUNTIFS($AD$2:$AD$200,$G287)&gt;0,
    COUNTIFS($AE$2:$AE$200,$G287)&gt;0,
    COUNTIFS($AF$2:$AF$200,$G287)&gt;0,
    COUNTIFS($AG$2:$AG$200,$G287)&gt;0,
    COUNTIFS($AH$2:$AH$200,$G287)&gt;0,
    COUNTIFS($AI$2:$AI$200,$G287)&gt;0,
    COUNTIFS($AJ$2:$AJ$200,$G287)&gt;0,
    COUNTIFS($AK$2:$AK$200,$G287)&gt;0,
    COUNTIFS($AL$2:$AL$200,$G287)&gt;0,
    COUNTIFS($AM$2:$AM$200,$G287)&gt;0,
    COUNTIFS($AN$2:$AN$200,$G287)&gt;0,
    COUNTIFS($AO$2:$AO$200,$G287)&gt;0,
    COUNTIFS($AP$2:$AP$200,$G287)&gt;0,
    COUNTIFS($AQ$2:$AQ$200,$G287)&gt;0,
    COUNTIFS($AR$2:$AR$200,$G287)&gt;0,
    COUNTIFS($AS$2:$AS$200,$G287)&gt;0,
    COUNTIFS($AT$2:$AT$200,$G287)&gt;0,
    COUNTIFS($AU$2:$AU$200,$G287)&gt;0,
    COUNTIFS($AV$2:$AV$200,$G287)&gt;0,
    COUNTIFS($AW$2:$AW$200,$G287)&gt;0,
    COUNTIFS($AX$2:$AX$200,$G287)&gt;0
   ),
  0)
 ),
"")</f>
        <v>Baylen</v>
      </c>
      <c r="D287" s="3" t="str" cm="1">
        <f t="array" aca="1" ref="D287" ca="1">IFERROR(
 INDEX(
  _xlfn._xlws.FILTER($U$1:$AX$1,
   TRANSPOSE(
    CHOOSE({1;2;3;4;5;6;7;8;9;10;11;12;13;14;15;16;17;18;19;20;21;22;23;24;25;26;27;28;29;30},
     COUNTIFS($U$2:$U$200,$G287)&gt;0,
     COUNTIFS($V$2:$V$200,$G287)&gt;0,
     COUNTIFS($W$2:$W$200,$G287)&gt;0,
     COUNTIFS($X$2:$X$200,$G287)&gt;0,
     COUNTIFS($Y$2:$Y$200,$G287)&gt;0,
     COUNTIFS($Z$2:$Z$200,$G287)&gt;0,
     COUNTIFS($AA$2:$AA$200,$G287)&gt;0,
     COUNTIFS($AB$2:$AB$200,$G287)&gt;0,
     COUNTIFS($AC$2:$AC$200,$G287)&gt;0,
     COUNTIFS($AD$2:$AD$200,$G287)&gt;0,
     COUNTIFS($AE$2:$AE$200,$G287)&gt;0,
     COUNTIFS($AF$2:$AF$200,$G287)&gt;0,
     COUNTIFS($AG$2:$AG$200,$G287)&gt;0,
     COUNTIFS($AH$2:$AH$200,$G287)&gt;0,
     COUNTIFS($AI$2:$AI$200,$G287)&gt;0,
     COUNTIFS($AJ$2:$AJ$200,$G287)&gt;0,
     COUNTIFS($AK$2:$AK$200,$G287)&gt;0,
     COUNTIFS($AL$2:$AL$200,$G287)&gt;0,
     COUNTIFS($AM$2:$AM$200,$G287)&gt;0,
     COUNTIFS($AN$2:$AN$200,$G287)&gt;0,
     COUNTIFS($AO$2:$AO$200,$G287)&gt;0,
     COUNTIFS($AP$2:$AP$200,$G287)&gt;0,
     COUNTIFS($AQ$2:$AQ$200,$G287)&gt;0,
     COUNTIFS($AR$2:$AR$200,$G287)&gt;0,
     COUNTIFS($AS$2:$AS$200,$G287)&gt;0,
     COUNTIFS($AT$2:$AT$200,$G287)&gt;0,
     COUNTIFS($AU$2:$AU$200,$G287)&gt;0,
     COUNTIFS($AV$2:$AV$200,$G287)&gt;0,
     COUNTIFS($AW$2:$AW$200,$G287)&gt;0,
     COUNTIFS($AX$2:$AX$200,$G287)&gt;0
   )),
  ),
  2
 ),
"")</f>
        <v/>
      </c>
      <c r="E287" s="3" t="str" cm="1">
        <f t="array" aca="1" ref="E287" ca="1">IFERROR(
 INDEX(
  _xlfn._xlws.FILTER($U$1:$AX$1,
   TRANSPOSE(
    CHOOSE({1;2;3;4;5;6;7;8;9;10;11;12;13;14;15;16;17;18;19;20;21;22;23;24;25;26;27;28;29;30},
     COUNTIFS($U$2:$U$200,$G287)&gt;0,
     COUNTIFS($V$2:$V$200,$G287)&gt;0,
     COUNTIFS($W$2:$W$200,$G287)&gt;0,
     COUNTIFS($X$2:$X$200,$G287)&gt;0,
     COUNTIFS($Y$2:$Y$200,$G287)&gt;0,
     COUNTIFS($Z$2:$Z$200,$G287)&gt;0,
     COUNTIFS($AA$2:$AA$200,$G287)&gt;0,
     COUNTIFS($AB$2:$AB$200,$G287)&gt;0,
     COUNTIFS($AC$2:$AC$200,$G287)&gt;0,
     COUNTIFS($AD$2:$AD$200,$G287)&gt;0,
     COUNTIFS($AE$2:$AE$200,$G287)&gt;0,
     COUNTIFS($AF$2:$AF$200,$G287)&gt;0,
     COUNTIFS($AG$2:$AG$200,$G287)&gt;0,
     COUNTIFS($AH$2:$AH$200,$G287)&gt;0,
     COUNTIFS($AI$2:$AI$200,$G287)&gt;0,
     COUNTIFS($AJ$2:$AJ$200,$G287)&gt;0,
     COUNTIFS($AK$2:$AK$200,$G287)&gt;0,
     COUNTIFS($AL$2:$AL$200,$G287)&gt;0,
     COUNTIFS($AM$2:$AM$200,$G287)&gt;0,
     COUNTIFS($AN$2:$AN$200,$G287)&gt;0,
     COUNTIFS($AO$2:$AO$200,$G287)&gt;0,
     COUNTIFS($AP$2:$AP$200,$G287)&gt;0,
     COUNTIFS($AQ$2:$AQ$200,$G287)&gt;0,
     COUNTIFS($AR$2:$AR$200,$G287)&gt;0,
     COUNTIFS($AS$2:$AS$200,$G287)&gt;0,
     COUNTIFS($AT$2:$AT$200,$G287)&gt;0,
     COUNTIFS($AU$2:$AU$200,$G287)&gt;0,
     COUNTIFS($AV$2:$AV$200,$G287)&gt;0,
     COUNTIFS($AW$2:$AW$200,$G287)&gt;0,
     COUNTIFS($AX$2:$AX$200,$G287)&gt;0
   )),
  ),
  3
 ),
"")</f>
        <v/>
      </c>
      <c r="F287" s="3" t="str" cm="1">
        <f t="array" aca="1" ref="F287" ca="1">IFERROR(
 INDEX(
  _xlfn._xlws.FILTER($U$1:$AX$1,
   TRANSPOSE(
    CHOOSE({1;2;3;4;5;6;7;8;9;10;11;12;13;14;15;16;17;18;19;20;21;22;23;24;25;26;27;28;29;30},
     COUNTIFS($U$2:$U$200,$G287)&gt;0,
     COUNTIFS($V$2:$V$200,$G287)&gt;0,
     COUNTIFS($W$2:$W$200,$G287)&gt;0,
     COUNTIFS($X$2:$X$200,$G287)&gt;0,
     COUNTIFS($Y$2:$Y$200,$G287)&gt;0,
     COUNTIFS($Z$2:$Z$200,$G287)&gt;0,
     COUNTIFS($AA$2:$AA$200,$G287)&gt;0,
     COUNTIFS($AB$2:$AB$200,$G287)&gt;0,
     COUNTIFS($AC$2:$AC$200,$G287)&gt;0,
     COUNTIFS($AD$2:$AD$200,$G287)&gt;0,
     COUNTIFS($AE$2:$AE$200,$G287)&gt;0,
     COUNTIFS($AF$2:$AF$200,$G287)&gt;0,
     COUNTIFS($AG$2:$AG$200,$G287)&gt;0,
     COUNTIFS($AH$2:$AH$200,$G287)&gt;0,
     COUNTIFS($AI$2:$AI$200,$G287)&gt;0,
     COUNTIFS($AJ$2:$AJ$200,$G287)&gt;0,
     COUNTIFS($AK$2:$AK$200,$G287)&gt;0,
     COUNTIFS($AL$2:$AL$200,$G287)&gt;0,
     COUNTIFS($AM$2:$AM$200,$G287)&gt;0,
     COUNTIFS($AN$2:$AN$200,$G287)&gt;0,
     COUNTIFS($AO$2:$AO$200,$G287)&gt;0,
     COUNTIFS($AP$2:$AP$200,$G287)&gt;0,
     COUNTIFS($AQ$2:$AQ$200,$G287)&gt;0,
     COUNTIFS($AR$2:$AR$200,$G287)&gt;0,
     COUNTIFS($AS$2:$AS$200,$G287)&gt;0,
     COUNTIFS($AT$2:$AT$200,$G287)&gt;0,
     COUNTIFS($AU$2:$AU$200,$G287)&gt;0,
     COUNTIFS($AV$2:$AV$200,$G287)&gt;0,
     COUNTIFS($AW$2:$AW$200,$G287)&gt;0,
     COUNTIFS($AX$2:$AX$200,$G287)&gt;0
   )),
  ),
  4
 ),
"")</f>
        <v/>
      </c>
      <c r="G287" t="str">
        <f ca="1"/>
        <v>The Shire</v>
      </c>
      <c r="CJ287" t="str">
        <f ca="1"/>
        <v>The Shire</v>
      </c>
    </row>
    <row r="288" spans="1:88" x14ac:dyDescent="0.25">
      <c r="A288" s="3" t="str">
        <f t="shared" ca="1" si="10"/>
        <v>3</v>
      </c>
      <c r="B288" s="3">
        <f t="shared" ca="1" si="11"/>
        <v>1</v>
      </c>
      <c r="C288" s="3" t="str">
        <f ca="1">IFERROR(
 INDEX($U$1:$AX$1,
  MATCH(TRUE,
   CHOOSE({1;2;3;4;5;6;7;8;9;10;11;12;13;14;15;16;17;18;19;20;21;22;23;24;25;26;27;28;29;30;31;32},
    COUNTIFS($U$2:$U$200,$G288)&gt;0,
    COUNTIFS($V$2:$V$200,$G288)&gt;0,
    COUNTIFS($W$2:$W$200,$G288)&gt;0,
    COUNTIFS($X$2:$X$200,$G288)&gt;0,
    COUNTIFS($Y$2:$Y$200,$G288)&gt;0,
    COUNTIFS($Z$2:$Z$200,$G288)&gt;0,
    COUNTIFS($AA$2:$AA$200,$G288)&gt;0,
    COUNTIFS($AB$2:$AB$200,$G288)&gt;0,
    COUNTIFS($AC$2:$AC$200,$G288)&gt;0,
    COUNTIFS($AD$2:$AD$200,$G288)&gt;0,
    COUNTIFS($AE$2:$AE$200,$G288)&gt;0,
    COUNTIFS($AF$2:$AF$200,$G288)&gt;0,
    COUNTIFS($AG$2:$AG$200,$G288)&gt;0,
    COUNTIFS($AH$2:$AH$200,$G288)&gt;0,
    COUNTIFS($AI$2:$AI$200,$G288)&gt;0,
    COUNTIFS($AJ$2:$AJ$200,$G288)&gt;0,
    COUNTIFS($AK$2:$AK$200,$G288)&gt;0,
    COUNTIFS($AL$2:$AL$200,$G288)&gt;0,
    COUNTIFS($AM$2:$AM$200,$G288)&gt;0,
    COUNTIFS($AN$2:$AN$200,$G288)&gt;0,
    COUNTIFS($AO$2:$AO$200,$G288)&gt;0,
    COUNTIFS($AP$2:$AP$200,$G288)&gt;0,
    COUNTIFS($AQ$2:$AQ$200,$G288)&gt;0,
    COUNTIFS($AR$2:$AR$200,$G288)&gt;0,
    COUNTIFS($AS$2:$AS$200,$G288)&gt;0,
    COUNTIFS($AT$2:$AT$200,$G288)&gt;0,
    COUNTIFS($AU$2:$AU$200,$G288)&gt;0,
    COUNTIFS($AV$2:$AV$200,$G288)&gt;0,
    COUNTIFS($AW$2:$AW$200,$G288)&gt;0,
    COUNTIFS($AX$2:$AX$200,$G288)&gt;0
   ),
  0)
 ),
"")</f>
        <v>JhoiraB</v>
      </c>
      <c r="D288" s="3" t="str" cm="1">
        <f t="array" aca="1" ref="D288" ca="1">IFERROR(
 INDEX(
  _xlfn._xlws.FILTER($U$1:$AX$1,
   TRANSPOSE(
    CHOOSE({1;2;3;4;5;6;7;8;9;10;11;12;13;14;15;16;17;18;19;20;21;22;23;24;25;26;27;28;29;30},
     COUNTIFS($U$2:$U$200,$G288)&gt;0,
     COUNTIFS($V$2:$V$200,$G288)&gt;0,
     COUNTIFS($W$2:$W$200,$G288)&gt;0,
     COUNTIFS($X$2:$X$200,$G288)&gt;0,
     COUNTIFS($Y$2:$Y$200,$G288)&gt;0,
     COUNTIFS($Z$2:$Z$200,$G288)&gt;0,
     COUNTIFS($AA$2:$AA$200,$G288)&gt;0,
     COUNTIFS($AB$2:$AB$200,$G288)&gt;0,
     COUNTIFS($AC$2:$AC$200,$G288)&gt;0,
     COUNTIFS($AD$2:$AD$200,$G288)&gt;0,
     COUNTIFS($AE$2:$AE$200,$G288)&gt;0,
     COUNTIFS($AF$2:$AF$200,$G288)&gt;0,
     COUNTIFS($AG$2:$AG$200,$G288)&gt;0,
     COUNTIFS($AH$2:$AH$200,$G288)&gt;0,
     COUNTIFS($AI$2:$AI$200,$G288)&gt;0,
     COUNTIFS($AJ$2:$AJ$200,$G288)&gt;0,
     COUNTIFS($AK$2:$AK$200,$G288)&gt;0,
     COUNTIFS($AL$2:$AL$200,$G288)&gt;0,
     COUNTIFS($AM$2:$AM$200,$G288)&gt;0,
     COUNTIFS($AN$2:$AN$200,$G288)&gt;0,
     COUNTIFS($AO$2:$AO$200,$G288)&gt;0,
     COUNTIFS($AP$2:$AP$200,$G288)&gt;0,
     COUNTIFS($AQ$2:$AQ$200,$G288)&gt;0,
     COUNTIFS($AR$2:$AR$200,$G288)&gt;0,
     COUNTIFS($AS$2:$AS$200,$G288)&gt;0,
     COUNTIFS($AT$2:$AT$200,$G288)&gt;0,
     COUNTIFS($AU$2:$AU$200,$G288)&gt;0,
     COUNTIFS($AV$2:$AV$200,$G288)&gt;0,
     COUNTIFS($AW$2:$AW$200,$G288)&gt;0,
     COUNTIFS($AX$2:$AX$200,$G288)&gt;0
   )),
  ),
  2
 ),
"")</f>
        <v/>
      </c>
      <c r="E288" s="3" t="str" cm="1">
        <f t="array" aca="1" ref="E288" ca="1">IFERROR(
 INDEX(
  _xlfn._xlws.FILTER($U$1:$AX$1,
   TRANSPOSE(
    CHOOSE({1;2;3;4;5;6;7;8;9;10;11;12;13;14;15;16;17;18;19;20;21;22;23;24;25;26;27;28;29;30},
     COUNTIFS($U$2:$U$200,$G288)&gt;0,
     COUNTIFS($V$2:$V$200,$G288)&gt;0,
     COUNTIFS($W$2:$W$200,$G288)&gt;0,
     COUNTIFS($X$2:$X$200,$G288)&gt;0,
     COUNTIFS($Y$2:$Y$200,$G288)&gt;0,
     COUNTIFS($Z$2:$Z$200,$G288)&gt;0,
     COUNTIFS($AA$2:$AA$200,$G288)&gt;0,
     COUNTIFS($AB$2:$AB$200,$G288)&gt;0,
     COUNTIFS($AC$2:$AC$200,$G288)&gt;0,
     COUNTIFS($AD$2:$AD$200,$G288)&gt;0,
     COUNTIFS($AE$2:$AE$200,$G288)&gt;0,
     COUNTIFS($AF$2:$AF$200,$G288)&gt;0,
     COUNTIFS($AG$2:$AG$200,$G288)&gt;0,
     COUNTIFS($AH$2:$AH$200,$G288)&gt;0,
     COUNTIFS($AI$2:$AI$200,$G288)&gt;0,
     COUNTIFS($AJ$2:$AJ$200,$G288)&gt;0,
     COUNTIFS($AK$2:$AK$200,$G288)&gt;0,
     COUNTIFS($AL$2:$AL$200,$G288)&gt;0,
     COUNTIFS($AM$2:$AM$200,$G288)&gt;0,
     COUNTIFS($AN$2:$AN$200,$G288)&gt;0,
     COUNTIFS($AO$2:$AO$200,$G288)&gt;0,
     COUNTIFS($AP$2:$AP$200,$G288)&gt;0,
     COUNTIFS($AQ$2:$AQ$200,$G288)&gt;0,
     COUNTIFS($AR$2:$AR$200,$G288)&gt;0,
     COUNTIFS($AS$2:$AS$200,$G288)&gt;0,
     COUNTIFS($AT$2:$AT$200,$G288)&gt;0,
     COUNTIFS($AU$2:$AU$200,$G288)&gt;0,
     COUNTIFS($AV$2:$AV$200,$G288)&gt;0,
     COUNTIFS($AW$2:$AW$200,$G288)&gt;0,
     COUNTIFS($AX$2:$AX$200,$G288)&gt;0
   )),
  ),
  3
 ),
"")</f>
        <v/>
      </c>
      <c r="F288" s="3" t="str" cm="1">
        <f t="array" aca="1" ref="F288" ca="1">IFERROR(
 INDEX(
  _xlfn._xlws.FILTER($U$1:$AX$1,
   TRANSPOSE(
    CHOOSE({1;2;3;4;5;6;7;8;9;10;11;12;13;14;15;16;17;18;19;20;21;22;23;24;25;26;27;28;29;30},
     COUNTIFS($U$2:$U$200,$G288)&gt;0,
     COUNTIFS($V$2:$V$200,$G288)&gt;0,
     COUNTIFS($W$2:$W$200,$G288)&gt;0,
     COUNTIFS($X$2:$X$200,$G288)&gt;0,
     COUNTIFS($Y$2:$Y$200,$G288)&gt;0,
     COUNTIFS($Z$2:$Z$200,$G288)&gt;0,
     COUNTIFS($AA$2:$AA$200,$G288)&gt;0,
     COUNTIFS($AB$2:$AB$200,$G288)&gt;0,
     COUNTIFS($AC$2:$AC$200,$G288)&gt;0,
     COUNTIFS($AD$2:$AD$200,$G288)&gt;0,
     COUNTIFS($AE$2:$AE$200,$G288)&gt;0,
     COUNTIFS($AF$2:$AF$200,$G288)&gt;0,
     COUNTIFS($AG$2:$AG$200,$G288)&gt;0,
     COUNTIFS($AH$2:$AH$200,$G288)&gt;0,
     COUNTIFS($AI$2:$AI$200,$G288)&gt;0,
     COUNTIFS($AJ$2:$AJ$200,$G288)&gt;0,
     COUNTIFS($AK$2:$AK$200,$G288)&gt;0,
     COUNTIFS($AL$2:$AL$200,$G288)&gt;0,
     COUNTIFS($AM$2:$AM$200,$G288)&gt;0,
     COUNTIFS($AN$2:$AN$200,$G288)&gt;0,
     COUNTIFS($AO$2:$AO$200,$G288)&gt;0,
     COUNTIFS($AP$2:$AP$200,$G288)&gt;0,
     COUNTIFS($AQ$2:$AQ$200,$G288)&gt;0,
     COUNTIFS($AR$2:$AR$200,$G288)&gt;0,
     COUNTIFS($AS$2:$AS$200,$G288)&gt;0,
     COUNTIFS($AT$2:$AT$200,$G288)&gt;0,
     COUNTIFS($AU$2:$AU$200,$G288)&gt;0,
     COUNTIFS($AV$2:$AV$200,$G288)&gt;0,
     COUNTIFS($AW$2:$AW$200,$G288)&gt;0,
     COUNTIFS($AX$2:$AX$200,$G288)&gt;0
   )),
  ),
  4
 ),
"")</f>
        <v/>
      </c>
      <c r="G288" t="str">
        <f ca="1"/>
        <v>The Tenth Doctor</v>
      </c>
      <c r="CJ288" t="str">
        <f ca="1"/>
        <v>The Tenth Doctor</v>
      </c>
    </row>
    <row r="289" spans="1:88" x14ac:dyDescent="0.25">
      <c r="A289" s="3" t="str">
        <f t="shared" ca="1" si="10"/>
        <v>2</v>
      </c>
      <c r="B289" s="3">
        <f t="shared" ca="1" si="11"/>
        <v>1</v>
      </c>
      <c r="C289" s="3" t="str">
        <f ca="1">IFERROR(
 INDEX($U$1:$AX$1,
  MATCH(TRUE,
   CHOOSE({1;2;3;4;5;6;7;8;9;10;11;12;13;14;15;16;17;18;19;20;21;22;23;24;25;26;27;28;29;30;31;32},
    COUNTIFS($U$2:$U$200,$G289)&gt;0,
    COUNTIFS($V$2:$V$200,$G289)&gt;0,
    COUNTIFS($W$2:$W$200,$G289)&gt;0,
    COUNTIFS($X$2:$X$200,$G289)&gt;0,
    COUNTIFS($Y$2:$Y$200,$G289)&gt;0,
    COUNTIFS($Z$2:$Z$200,$G289)&gt;0,
    COUNTIFS($AA$2:$AA$200,$G289)&gt;0,
    COUNTIFS($AB$2:$AB$200,$G289)&gt;0,
    COUNTIFS($AC$2:$AC$200,$G289)&gt;0,
    COUNTIFS($AD$2:$AD$200,$G289)&gt;0,
    COUNTIFS($AE$2:$AE$200,$G289)&gt;0,
    COUNTIFS($AF$2:$AF$200,$G289)&gt;0,
    COUNTIFS($AG$2:$AG$200,$G289)&gt;0,
    COUNTIFS($AH$2:$AH$200,$G289)&gt;0,
    COUNTIFS($AI$2:$AI$200,$G289)&gt;0,
    COUNTIFS($AJ$2:$AJ$200,$G289)&gt;0,
    COUNTIFS($AK$2:$AK$200,$G289)&gt;0,
    COUNTIFS($AL$2:$AL$200,$G289)&gt;0,
    COUNTIFS($AM$2:$AM$200,$G289)&gt;0,
    COUNTIFS($AN$2:$AN$200,$G289)&gt;0,
    COUNTIFS($AO$2:$AO$200,$G289)&gt;0,
    COUNTIFS($AP$2:$AP$200,$G289)&gt;0,
    COUNTIFS($AQ$2:$AQ$200,$G289)&gt;0,
    COUNTIFS($AR$2:$AR$200,$G289)&gt;0,
    COUNTIFS($AS$2:$AS$200,$G289)&gt;0,
    COUNTIFS($AT$2:$AT$200,$G289)&gt;0,
    COUNTIFS($AU$2:$AU$200,$G289)&gt;0,
    COUNTIFS($AV$2:$AV$200,$G289)&gt;0,
    COUNTIFS($AW$2:$AW$200,$G289)&gt;0,
    COUNTIFS($AX$2:$AX$200,$G289)&gt;0
   ),
  0)
 ),
"")</f>
        <v>Narset</v>
      </c>
      <c r="D289" s="3" t="str" cm="1">
        <f t="array" aca="1" ref="D289" ca="1">IFERROR(
 INDEX(
  _xlfn._xlws.FILTER($U$1:$AX$1,
   TRANSPOSE(
    CHOOSE({1;2;3;4;5;6;7;8;9;10;11;12;13;14;15;16;17;18;19;20;21;22;23;24;25;26;27;28;29;30},
     COUNTIFS($U$2:$U$200,$G289)&gt;0,
     COUNTIFS($V$2:$V$200,$G289)&gt;0,
     COUNTIFS($W$2:$W$200,$G289)&gt;0,
     COUNTIFS($X$2:$X$200,$G289)&gt;0,
     COUNTIFS($Y$2:$Y$200,$G289)&gt;0,
     COUNTIFS($Z$2:$Z$200,$G289)&gt;0,
     COUNTIFS($AA$2:$AA$200,$G289)&gt;0,
     COUNTIFS($AB$2:$AB$200,$G289)&gt;0,
     COUNTIFS($AC$2:$AC$200,$G289)&gt;0,
     COUNTIFS($AD$2:$AD$200,$G289)&gt;0,
     COUNTIFS($AE$2:$AE$200,$G289)&gt;0,
     COUNTIFS($AF$2:$AF$200,$G289)&gt;0,
     COUNTIFS($AG$2:$AG$200,$G289)&gt;0,
     COUNTIFS($AH$2:$AH$200,$G289)&gt;0,
     COUNTIFS($AI$2:$AI$200,$G289)&gt;0,
     COUNTIFS($AJ$2:$AJ$200,$G289)&gt;0,
     COUNTIFS($AK$2:$AK$200,$G289)&gt;0,
     COUNTIFS($AL$2:$AL$200,$G289)&gt;0,
     COUNTIFS($AM$2:$AM$200,$G289)&gt;0,
     COUNTIFS($AN$2:$AN$200,$G289)&gt;0,
     COUNTIFS($AO$2:$AO$200,$G289)&gt;0,
     COUNTIFS($AP$2:$AP$200,$G289)&gt;0,
     COUNTIFS($AQ$2:$AQ$200,$G289)&gt;0,
     COUNTIFS($AR$2:$AR$200,$G289)&gt;0,
     COUNTIFS($AS$2:$AS$200,$G289)&gt;0,
     COUNTIFS($AT$2:$AT$200,$G289)&gt;0,
     COUNTIFS($AU$2:$AU$200,$G289)&gt;0,
     COUNTIFS($AV$2:$AV$200,$G289)&gt;0,
     COUNTIFS($AW$2:$AW$200,$G289)&gt;0,
     COUNTIFS($AX$2:$AX$200,$G289)&gt;0
   )),
  ),
  2
 ),
"")</f>
        <v/>
      </c>
      <c r="E289" s="3" t="str" cm="1">
        <f t="array" aca="1" ref="E289" ca="1">IFERROR(
 INDEX(
  _xlfn._xlws.FILTER($U$1:$AX$1,
   TRANSPOSE(
    CHOOSE({1;2;3;4;5;6;7;8;9;10;11;12;13;14;15;16;17;18;19;20;21;22;23;24;25;26;27;28;29;30},
     COUNTIFS($U$2:$U$200,$G289)&gt;0,
     COUNTIFS($V$2:$V$200,$G289)&gt;0,
     COUNTIFS($W$2:$W$200,$G289)&gt;0,
     COUNTIFS($X$2:$X$200,$G289)&gt;0,
     COUNTIFS($Y$2:$Y$200,$G289)&gt;0,
     COUNTIFS($Z$2:$Z$200,$G289)&gt;0,
     COUNTIFS($AA$2:$AA$200,$G289)&gt;0,
     COUNTIFS($AB$2:$AB$200,$G289)&gt;0,
     COUNTIFS($AC$2:$AC$200,$G289)&gt;0,
     COUNTIFS($AD$2:$AD$200,$G289)&gt;0,
     COUNTIFS($AE$2:$AE$200,$G289)&gt;0,
     COUNTIFS($AF$2:$AF$200,$G289)&gt;0,
     COUNTIFS($AG$2:$AG$200,$G289)&gt;0,
     COUNTIFS($AH$2:$AH$200,$G289)&gt;0,
     COUNTIFS($AI$2:$AI$200,$G289)&gt;0,
     COUNTIFS($AJ$2:$AJ$200,$G289)&gt;0,
     COUNTIFS($AK$2:$AK$200,$G289)&gt;0,
     COUNTIFS($AL$2:$AL$200,$G289)&gt;0,
     COUNTIFS($AM$2:$AM$200,$G289)&gt;0,
     COUNTIFS($AN$2:$AN$200,$G289)&gt;0,
     COUNTIFS($AO$2:$AO$200,$G289)&gt;0,
     COUNTIFS($AP$2:$AP$200,$G289)&gt;0,
     COUNTIFS($AQ$2:$AQ$200,$G289)&gt;0,
     COUNTIFS($AR$2:$AR$200,$G289)&gt;0,
     COUNTIFS($AS$2:$AS$200,$G289)&gt;0,
     COUNTIFS($AT$2:$AT$200,$G289)&gt;0,
     COUNTIFS($AU$2:$AU$200,$G289)&gt;0,
     COUNTIFS($AV$2:$AV$200,$G289)&gt;0,
     COUNTIFS($AW$2:$AW$200,$G289)&gt;0,
     COUNTIFS($AX$2:$AX$200,$G289)&gt;0
   )),
  ),
  3
 ),
"")</f>
        <v/>
      </c>
      <c r="F289" s="3" t="str" cm="1">
        <f t="array" aca="1" ref="F289" ca="1">IFERROR(
 INDEX(
  _xlfn._xlws.FILTER($U$1:$AX$1,
   TRANSPOSE(
    CHOOSE({1;2;3;4;5;6;7;8;9;10;11;12;13;14;15;16;17;18;19;20;21;22;23;24;25;26;27;28;29;30},
     COUNTIFS($U$2:$U$200,$G289)&gt;0,
     COUNTIFS($V$2:$V$200,$G289)&gt;0,
     COUNTIFS($W$2:$W$200,$G289)&gt;0,
     COUNTIFS($X$2:$X$200,$G289)&gt;0,
     COUNTIFS($Y$2:$Y$200,$G289)&gt;0,
     COUNTIFS($Z$2:$Z$200,$G289)&gt;0,
     COUNTIFS($AA$2:$AA$200,$G289)&gt;0,
     COUNTIFS($AB$2:$AB$200,$G289)&gt;0,
     COUNTIFS($AC$2:$AC$200,$G289)&gt;0,
     COUNTIFS($AD$2:$AD$200,$G289)&gt;0,
     COUNTIFS($AE$2:$AE$200,$G289)&gt;0,
     COUNTIFS($AF$2:$AF$200,$G289)&gt;0,
     COUNTIFS($AG$2:$AG$200,$G289)&gt;0,
     COUNTIFS($AH$2:$AH$200,$G289)&gt;0,
     COUNTIFS($AI$2:$AI$200,$G289)&gt;0,
     COUNTIFS($AJ$2:$AJ$200,$G289)&gt;0,
     COUNTIFS($AK$2:$AK$200,$G289)&gt;0,
     COUNTIFS($AL$2:$AL$200,$G289)&gt;0,
     COUNTIFS($AM$2:$AM$200,$G289)&gt;0,
     COUNTIFS($AN$2:$AN$200,$G289)&gt;0,
     COUNTIFS($AO$2:$AO$200,$G289)&gt;0,
     COUNTIFS($AP$2:$AP$200,$G289)&gt;0,
     COUNTIFS($AQ$2:$AQ$200,$G289)&gt;0,
     COUNTIFS($AR$2:$AR$200,$G289)&gt;0,
     COUNTIFS($AS$2:$AS$200,$G289)&gt;0,
     COUNTIFS($AT$2:$AT$200,$G289)&gt;0,
     COUNTIFS($AU$2:$AU$200,$G289)&gt;0,
     COUNTIFS($AV$2:$AV$200,$G289)&gt;0,
     COUNTIFS($AW$2:$AW$200,$G289)&gt;0,
     COUNTIFS($AX$2:$AX$200,$G289)&gt;0
   )),
  ),
  4
 ),
"")</f>
        <v/>
      </c>
      <c r="G289" t="str">
        <f ca="1"/>
        <v>The Water Crystal</v>
      </c>
      <c r="CJ289" t="str">
        <f ca="1"/>
        <v>The Water Crystal</v>
      </c>
    </row>
    <row r="290" spans="1:88" x14ac:dyDescent="0.25">
      <c r="A290" s="3" t="str">
        <f t="shared" ca="1" si="10"/>
        <v>1</v>
      </c>
      <c r="B290" s="3">
        <f t="shared" ca="1" si="11"/>
        <v>1</v>
      </c>
      <c r="C290" s="3" t="str">
        <f ca="1">IFERROR(
 INDEX($U$1:$AX$1,
  MATCH(TRUE,
   CHOOSE({1;2;3;4;5;6;7;8;9;10;11;12;13;14;15;16;17;18;19;20;21;22;23;24;25;26;27;28;29;30;31;32},
    COUNTIFS($U$2:$U$200,$G290)&gt;0,
    COUNTIFS($V$2:$V$200,$G290)&gt;0,
    COUNTIFS($W$2:$W$200,$G290)&gt;0,
    COUNTIFS($X$2:$X$200,$G290)&gt;0,
    COUNTIFS($Y$2:$Y$200,$G290)&gt;0,
    COUNTIFS($Z$2:$Z$200,$G290)&gt;0,
    COUNTIFS($AA$2:$AA$200,$G290)&gt;0,
    COUNTIFS($AB$2:$AB$200,$G290)&gt;0,
    COUNTIFS($AC$2:$AC$200,$G290)&gt;0,
    COUNTIFS($AD$2:$AD$200,$G290)&gt;0,
    COUNTIFS($AE$2:$AE$200,$G290)&gt;0,
    COUNTIFS($AF$2:$AF$200,$G290)&gt;0,
    COUNTIFS($AG$2:$AG$200,$G290)&gt;0,
    COUNTIFS($AH$2:$AH$200,$G290)&gt;0,
    COUNTIFS($AI$2:$AI$200,$G290)&gt;0,
    COUNTIFS($AJ$2:$AJ$200,$G290)&gt;0,
    COUNTIFS($AK$2:$AK$200,$G290)&gt;0,
    COUNTIFS($AL$2:$AL$200,$G290)&gt;0,
    COUNTIFS($AM$2:$AM$200,$G290)&gt;0,
    COUNTIFS($AN$2:$AN$200,$G290)&gt;0,
    COUNTIFS($AO$2:$AO$200,$G290)&gt;0,
    COUNTIFS($AP$2:$AP$200,$G290)&gt;0,
    COUNTIFS($AQ$2:$AQ$200,$G290)&gt;0,
    COUNTIFS($AR$2:$AR$200,$G290)&gt;0,
    COUNTIFS($AS$2:$AS$200,$G290)&gt;0,
    COUNTIFS($AT$2:$AT$200,$G290)&gt;0,
    COUNTIFS($AU$2:$AU$200,$G290)&gt;0,
    COUNTIFS($AV$2:$AV$200,$G290)&gt;0,
    COUNTIFS($AW$2:$AW$200,$G290)&gt;0,
    COUNTIFS($AX$2:$AX$200,$G290)&gt;0
   ),
  0)
 ),
"")</f>
        <v>Modular</v>
      </c>
      <c r="D290" s="3" t="str" cm="1">
        <f t="array" aca="1" ref="D290" ca="1">IFERROR(
 INDEX(
  _xlfn._xlws.FILTER($U$1:$AX$1,
   TRANSPOSE(
    CHOOSE({1;2;3;4;5;6;7;8;9;10;11;12;13;14;15;16;17;18;19;20;21;22;23;24;25;26;27;28;29;30},
     COUNTIFS($U$2:$U$200,$G290)&gt;0,
     COUNTIFS($V$2:$V$200,$G290)&gt;0,
     COUNTIFS($W$2:$W$200,$G290)&gt;0,
     COUNTIFS($X$2:$X$200,$G290)&gt;0,
     COUNTIFS($Y$2:$Y$200,$G290)&gt;0,
     COUNTIFS($Z$2:$Z$200,$G290)&gt;0,
     COUNTIFS($AA$2:$AA$200,$G290)&gt;0,
     COUNTIFS($AB$2:$AB$200,$G290)&gt;0,
     COUNTIFS($AC$2:$AC$200,$G290)&gt;0,
     COUNTIFS($AD$2:$AD$200,$G290)&gt;0,
     COUNTIFS($AE$2:$AE$200,$G290)&gt;0,
     COUNTIFS($AF$2:$AF$200,$G290)&gt;0,
     COUNTIFS($AG$2:$AG$200,$G290)&gt;0,
     COUNTIFS($AH$2:$AH$200,$G290)&gt;0,
     COUNTIFS($AI$2:$AI$200,$G290)&gt;0,
     COUNTIFS($AJ$2:$AJ$200,$G290)&gt;0,
     COUNTIFS($AK$2:$AK$200,$G290)&gt;0,
     COUNTIFS($AL$2:$AL$200,$G290)&gt;0,
     COUNTIFS($AM$2:$AM$200,$G290)&gt;0,
     COUNTIFS($AN$2:$AN$200,$G290)&gt;0,
     COUNTIFS($AO$2:$AO$200,$G290)&gt;0,
     COUNTIFS($AP$2:$AP$200,$G290)&gt;0,
     COUNTIFS($AQ$2:$AQ$200,$G290)&gt;0,
     COUNTIFS($AR$2:$AR$200,$G290)&gt;0,
     COUNTIFS($AS$2:$AS$200,$G290)&gt;0,
     COUNTIFS($AT$2:$AT$200,$G290)&gt;0,
     COUNTIFS($AU$2:$AU$200,$G290)&gt;0,
     COUNTIFS($AV$2:$AV$200,$G290)&gt;0,
     COUNTIFS($AW$2:$AW$200,$G290)&gt;0,
     COUNTIFS($AX$2:$AX$200,$G290)&gt;0
   )),
  ),
  2
 ),
"")</f>
        <v/>
      </c>
      <c r="E290" s="3" t="str" cm="1">
        <f t="array" aca="1" ref="E290" ca="1">IFERROR(
 INDEX(
  _xlfn._xlws.FILTER($U$1:$AX$1,
   TRANSPOSE(
    CHOOSE({1;2;3;4;5;6;7;8;9;10;11;12;13;14;15;16;17;18;19;20;21;22;23;24;25;26;27;28;29;30},
     COUNTIFS($U$2:$U$200,$G290)&gt;0,
     COUNTIFS($V$2:$V$200,$G290)&gt;0,
     COUNTIFS($W$2:$W$200,$G290)&gt;0,
     COUNTIFS($X$2:$X$200,$G290)&gt;0,
     COUNTIFS($Y$2:$Y$200,$G290)&gt;0,
     COUNTIFS($Z$2:$Z$200,$G290)&gt;0,
     COUNTIFS($AA$2:$AA$200,$G290)&gt;0,
     COUNTIFS($AB$2:$AB$200,$G290)&gt;0,
     COUNTIFS($AC$2:$AC$200,$G290)&gt;0,
     COUNTIFS($AD$2:$AD$200,$G290)&gt;0,
     COUNTIFS($AE$2:$AE$200,$G290)&gt;0,
     COUNTIFS($AF$2:$AF$200,$G290)&gt;0,
     COUNTIFS($AG$2:$AG$200,$G290)&gt;0,
     COUNTIFS($AH$2:$AH$200,$G290)&gt;0,
     COUNTIFS($AI$2:$AI$200,$G290)&gt;0,
     COUNTIFS($AJ$2:$AJ$200,$G290)&gt;0,
     COUNTIFS($AK$2:$AK$200,$G290)&gt;0,
     COUNTIFS($AL$2:$AL$200,$G290)&gt;0,
     COUNTIFS($AM$2:$AM$200,$G290)&gt;0,
     COUNTIFS($AN$2:$AN$200,$G290)&gt;0,
     COUNTIFS($AO$2:$AO$200,$G290)&gt;0,
     COUNTIFS($AP$2:$AP$200,$G290)&gt;0,
     COUNTIFS($AQ$2:$AQ$200,$G290)&gt;0,
     COUNTIFS($AR$2:$AR$200,$G290)&gt;0,
     COUNTIFS($AS$2:$AS$200,$G290)&gt;0,
     COUNTIFS($AT$2:$AT$200,$G290)&gt;0,
     COUNTIFS($AU$2:$AU$200,$G290)&gt;0,
     COUNTIFS($AV$2:$AV$200,$G290)&gt;0,
     COUNTIFS($AW$2:$AW$200,$G290)&gt;0,
     COUNTIFS($AX$2:$AX$200,$G290)&gt;0
   )),
  ),
  3
 ),
"")</f>
        <v/>
      </c>
      <c r="F290" s="3" t="str" cm="1">
        <f t="array" aca="1" ref="F290" ca="1">IFERROR(
 INDEX(
  _xlfn._xlws.FILTER($U$1:$AX$1,
   TRANSPOSE(
    CHOOSE({1;2;3;4;5;6;7;8;9;10;11;12;13;14;15;16;17;18;19;20;21;22;23;24;25;26;27;28;29;30},
     COUNTIFS($U$2:$U$200,$G290)&gt;0,
     COUNTIFS($V$2:$V$200,$G290)&gt;0,
     COUNTIFS($W$2:$W$200,$G290)&gt;0,
     COUNTIFS($X$2:$X$200,$G290)&gt;0,
     COUNTIFS($Y$2:$Y$200,$G290)&gt;0,
     COUNTIFS($Z$2:$Z$200,$G290)&gt;0,
     COUNTIFS($AA$2:$AA$200,$G290)&gt;0,
     COUNTIFS($AB$2:$AB$200,$G290)&gt;0,
     COUNTIFS($AC$2:$AC$200,$G290)&gt;0,
     COUNTIFS($AD$2:$AD$200,$G290)&gt;0,
     COUNTIFS($AE$2:$AE$200,$G290)&gt;0,
     COUNTIFS($AF$2:$AF$200,$G290)&gt;0,
     COUNTIFS($AG$2:$AG$200,$G290)&gt;0,
     COUNTIFS($AH$2:$AH$200,$G290)&gt;0,
     COUNTIFS($AI$2:$AI$200,$G290)&gt;0,
     COUNTIFS($AJ$2:$AJ$200,$G290)&gt;0,
     COUNTIFS($AK$2:$AK$200,$G290)&gt;0,
     COUNTIFS($AL$2:$AL$200,$G290)&gt;0,
     COUNTIFS($AM$2:$AM$200,$G290)&gt;0,
     COUNTIFS($AN$2:$AN$200,$G290)&gt;0,
     COUNTIFS($AO$2:$AO$200,$G290)&gt;0,
     COUNTIFS($AP$2:$AP$200,$G290)&gt;0,
     COUNTIFS($AQ$2:$AQ$200,$G290)&gt;0,
     COUNTIFS($AR$2:$AR$200,$G290)&gt;0,
     COUNTIFS($AS$2:$AS$200,$G290)&gt;0,
     COUNTIFS($AT$2:$AT$200,$G290)&gt;0,
     COUNTIFS($AU$2:$AU$200,$G290)&gt;0,
     COUNTIFS($AV$2:$AV$200,$G290)&gt;0,
     COUNTIFS($AW$2:$AW$200,$G290)&gt;0,
     COUNTIFS($AX$2:$AX$200,$G290)&gt;0
   )),
  ),
  4
 ),
"")</f>
        <v/>
      </c>
      <c r="G290" t="str">
        <f ca="1"/>
        <v>Thornglint Bridge</v>
      </c>
      <c r="CJ290" t="str">
        <f ca="1"/>
        <v>Thornglint Bridge</v>
      </c>
    </row>
    <row r="291" spans="1:88" x14ac:dyDescent="0.25">
      <c r="A291" s="3" t="str">
        <f t="shared" ca="1" si="10"/>
        <v>2</v>
      </c>
      <c r="B291" s="3">
        <f t="shared" ca="1" si="11"/>
        <v>2</v>
      </c>
      <c r="C291" s="3" t="str">
        <f ca="1">IFERROR(
 INDEX($U$1:$AX$1,
  MATCH(TRUE,
   CHOOSE({1;2;3;4;5;6;7;8;9;10;11;12;13;14;15;16;17;18;19;20;21;22;23;24;25;26;27;28;29;30;31;32},
    COUNTIFS($U$2:$U$200,$G291)&gt;0,
    COUNTIFS($V$2:$V$200,$G291)&gt;0,
    COUNTIFS($W$2:$W$200,$G291)&gt;0,
    COUNTIFS($X$2:$X$200,$G291)&gt;0,
    COUNTIFS($Y$2:$Y$200,$G291)&gt;0,
    COUNTIFS($Z$2:$Z$200,$G291)&gt;0,
    COUNTIFS($AA$2:$AA$200,$G291)&gt;0,
    COUNTIFS($AB$2:$AB$200,$G291)&gt;0,
    COUNTIFS($AC$2:$AC$200,$G291)&gt;0,
    COUNTIFS($AD$2:$AD$200,$G291)&gt;0,
    COUNTIFS($AE$2:$AE$200,$G291)&gt;0,
    COUNTIFS($AF$2:$AF$200,$G291)&gt;0,
    COUNTIFS($AG$2:$AG$200,$G291)&gt;0,
    COUNTIFS($AH$2:$AH$200,$G291)&gt;0,
    COUNTIFS($AI$2:$AI$200,$G291)&gt;0,
    COUNTIFS($AJ$2:$AJ$200,$G291)&gt;0,
    COUNTIFS($AK$2:$AK$200,$G291)&gt;0,
    COUNTIFS($AL$2:$AL$200,$G291)&gt;0,
    COUNTIFS($AM$2:$AM$200,$G291)&gt;0,
    COUNTIFS($AN$2:$AN$200,$G291)&gt;0,
    COUNTIFS($AO$2:$AO$200,$G291)&gt;0,
    COUNTIFS($AP$2:$AP$200,$G291)&gt;0,
    COUNTIFS($AQ$2:$AQ$200,$G291)&gt;0,
    COUNTIFS($AR$2:$AR$200,$G291)&gt;0,
    COUNTIFS($AS$2:$AS$200,$G291)&gt;0,
    COUNTIFS($AT$2:$AT$200,$G291)&gt;0,
    COUNTIFS($AU$2:$AU$200,$G291)&gt;0,
    COUNTIFS($AV$2:$AV$200,$G291)&gt;0,
    COUNTIFS($AW$2:$AW$200,$G291)&gt;0,
    COUNTIFS($AX$2:$AX$200,$G291)&gt;0
   ),
  0)
 ),
"")</f>
        <v>Rani</v>
      </c>
      <c r="D291" s="3" t="str" cm="1">
        <f t="array" aca="1" ref="D291" ca="1">IFERROR(
 INDEX(
  _xlfn._xlws.FILTER($U$1:$AX$1,
   TRANSPOSE(
    CHOOSE({1;2;3;4;5;6;7;8;9;10;11;12;13;14;15;16;17;18;19;20;21;22;23;24;25;26;27;28;29;30},
     COUNTIFS($U$2:$U$200,$G291)&gt;0,
     COUNTIFS($V$2:$V$200,$G291)&gt;0,
     COUNTIFS($W$2:$W$200,$G291)&gt;0,
     COUNTIFS($X$2:$X$200,$G291)&gt;0,
     COUNTIFS($Y$2:$Y$200,$G291)&gt;0,
     COUNTIFS($Z$2:$Z$200,$G291)&gt;0,
     COUNTIFS($AA$2:$AA$200,$G291)&gt;0,
     COUNTIFS($AB$2:$AB$200,$G291)&gt;0,
     COUNTIFS($AC$2:$AC$200,$G291)&gt;0,
     COUNTIFS($AD$2:$AD$200,$G291)&gt;0,
     COUNTIFS($AE$2:$AE$200,$G291)&gt;0,
     COUNTIFS($AF$2:$AF$200,$G291)&gt;0,
     COUNTIFS($AG$2:$AG$200,$G291)&gt;0,
     COUNTIFS($AH$2:$AH$200,$G291)&gt;0,
     COUNTIFS($AI$2:$AI$200,$G291)&gt;0,
     COUNTIFS($AJ$2:$AJ$200,$G291)&gt;0,
     COUNTIFS($AK$2:$AK$200,$G291)&gt;0,
     COUNTIFS($AL$2:$AL$200,$G291)&gt;0,
     COUNTIFS($AM$2:$AM$200,$G291)&gt;0,
     COUNTIFS($AN$2:$AN$200,$G291)&gt;0,
     COUNTIFS($AO$2:$AO$200,$G291)&gt;0,
     COUNTIFS($AP$2:$AP$200,$G291)&gt;0,
     COUNTIFS($AQ$2:$AQ$200,$G291)&gt;0,
     COUNTIFS($AR$2:$AR$200,$G291)&gt;0,
     COUNTIFS($AS$2:$AS$200,$G291)&gt;0,
     COUNTIFS($AT$2:$AT$200,$G291)&gt;0,
     COUNTIFS($AU$2:$AU$200,$G291)&gt;0,
     COUNTIFS($AV$2:$AV$200,$G291)&gt;0,
     COUNTIFS($AW$2:$AW$200,$G291)&gt;0,
     COUNTIFS($AX$2:$AX$200,$G291)&gt;0
   )),
  ),
  2
 ),
"")</f>
        <v>JhoiraB</v>
      </c>
      <c r="E291" s="3" t="str" cm="1">
        <f t="array" aca="1" ref="E291" ca="1">IFERROR(
 INDEX(
  _xlfn._xlws.FILTER($U$1:$AX$1,
   TRANSPOSE(
    CHOOSE({1;2;3;4;5;6;7;8;9;10;11;12;13;14;15;16;17;18;19;20;21;22;23;24;25;26;27;28;29;30},
     COUNTIFS($U$2:$U$200,$G291)&gt;0,
     COUNTIFS($V$2:$V$200,$G291)&gt;0,
     COUNTIFS($W$2:$W$200,$G291)&gt;0,
     COUNTIFS($X$2:$X$200,$G291)&gt;0,
     COUNTIFS($Y$2:$Y$200,$G291)&gt;0,
     COUNTIFS($Z$2:$Z$200,$G291)&gt;0,
     COUNTIFS($AA$2:$AA$200,$G291)&gt;0,
     COUNTIFS($AB$2:$AB$200,$G291)&gt;0,
     COUNTIFS($AC$2:$AC$200,$G291)&gt;0,
     COUNTIFS($AD$2:$AD$200,$G291)&gt;0,
     COUNTIFS($AE$2:$AE$200,$G291)&gt;0,
     COUNTIFS($AF$2:$AF$200,$G291)&gt;0,
     COUNTIFS($AG$2:$AG$200,$G291)&gt;0,
     COUNTIFS($AH$2:$AH$200,$G291)&gt;0,
     COUNTIFS($AI$2:$AI$200,$G291)&gt;0,
     COUNTIFS($AJ$2:$AJ$200,$G291)&gt;0,
     COUNTIFS($AK$2:$AK$200,$G291)&gt;0,
     COUNTIFS($AL$2:$AL$200,$G291)&gt;0,
     COUNTIFS($AM$2:$AM$200,$G291)&gt;0,
     COUNTIFS($AN$2:$AN$200,$G291)&gt;0,
     COUNTIFS($AO$2:$AO$200,$G291)&gt;0,
     COUNTIFS($AP$2:$AP$200,$G291)&gt;0,
     COUNTIFS($AQ$2:$AQ$200,$G291)&gt;0,
     COUNTIFS($AR$2:$AR$200,$G291)&gt;0,
     COUNTIFS($AS$2:$AS$200,$G291)&gt;0,
     COUNTIFS($AT$2:$AT$200,$G291)&gt;0,
     COUNTIFS($AU$2:$AU$200,$G291)&gt;0,
     COUNTIFS($AV$2:$AV$200,$G291)&gt;0,
     COUNTIFS($AW$2:$AW$200,$G291)&gt;0,
     COUNTIFS($AX$2:$AX$200,$G291)&gt;0
   )),
  ),
  3
 ),
"")</f>
        <v/>
      </c>
      <c r="F291" s="3" t="str" cm="1">
        <f t="array" aca="1" ref="F291" ca="1">IFERROR(
 INDEX(
  _xlfn._xlws.FILTER($U$1:$AX$1,
   TRANSPOSE(
    CHOOSE({1;2;3;4;5;6;7;8;9;10;11;12;13;14;15;16;17;18;19;20;21;22;23;24;25;26;27;28;29;30},
     COUNTIFS($U$2:$U$200,$G291)&gt;0,
     COUNTIFS($V$2:$V$200,$G291)&gt;0,
     COUNTIFS($W$2:$W$200,$G291)&gt;0,
     COUNTIFS($X$2:$X$200,$G291)&gt;0,
     COUNTIFS($Y$2:$Y$200,$G291)&gt;0,
     COUNTIFS($Z$2:$Z$200,$G291)&gt;0,
     COUNTIFS($AA$2:$AA$200,$G291)&gt;0,
     COUNTIFS($AB$2:$AB$200,$G291)&gt;0,
     COUNTIFS($AC$2:$AC$200,$G291)&gt;0,
     COUNTIFS($AD$2:$AD$200,$G291)&gt;0,
     COUNTIFS($AE$2:$AE$200,$G291)&gt;0,
     COUNTIFS($AF$2:$AF$200,$G291)&gt;0,
     COUNTIFS($AG$2:$AG$200,$G291)&gt;0,
     COUNTIFS($AH$2:$AH$200,$G291)&gt;0,
     COUNTIFS($AI$2:$AI$200,$G291)&gt;0,
     COUNTIFS($AJ$2:$AJ$200,$G291)&gt;0,
     COUNTIFS($AK$2:$AK$200,$G291)&gt;0,
     COUNTIFS($AL$2:$AL$200,$G291)&gt;0,
     COUNTIFS($AM$2:$AM$200,$G291)&gt;0,
     COUNTIFS($AN$2:$AN$200,$G291)&gt;0,
     COUNTIFS($AO$2:$AO$200,$G291)&gt;0,
     COUNTIFS($AP$2:$AP$200,$G291)&gt;0,
     COUNTIFS($AQ$2:$AQ$200,$G291)&gt;0,
     COUNTIFS($AR$2:$AR$200,$G291)&gt;0,
     COUNTIFS($AS$2:$AS$200,$G291)&gt;0,
     COUNTIFS($AT$2:$AT$200,$G291)&gt;0,
     COUNTIFS($AU$2:$AU$200,$G291)&gt;0,
     COUNTIFS($AV$2:$AV$200,$G291)&gt;0,
     COUNTIFS($AW$2:$AW$200,$G291)&gt;0,
     COUNTIFS($AX$2:$AX$200,$G291)&gt;0
   )),
  ),
  4
 ),
"")</f>
        <v/>
      </c>
      <c r="G291" t="str">
        <f ca="1"/>
        <v>Thought Vessel</v>
      </c>
      <c r="CJ291" t="str">
        <f ca="1"/>
        <v>Thought Vessel</v>
      </c>
    </row>
    <row r="292" spans="1:88" x14ac:dyDescent="0.25">
      <c r="A292" s="3" t="str">
        <f t="shared" ca="1" si="10"/>
        <v>3</v>
      </c>
      <c r="B292" s="3">
        <f t="shared" ca="1" si="11"/>
        <v>1</v>
      </c>
      <c r="C292" s="3" t="str">
        <f ca="1">IFERROR(
 INDEX($U$1:$AX$1,
  MATCH(TRUE,
   CHOOSE({1;2;3;4;5;6;7;8;9;10;11;12;13;14;15;16;17;18;19;20;21;22;23;24;25;26;27;28;29;30;31;32},
    COUNTIFS($U$2:$U$200,$G292)&gt;0,
    COUNTIFS($V$2:$V$200,$G292)&gt;0,
    COUNTIFS($W$2:$W$200,$G292)&gt;0,
    COUNTIFS($X$2:$X$200,$G292)&gt;0,
    COUNTIFS($Y$2:$Y$200,$G292)&gt;0,
    COUNTIFS($Z$2:$Z$200,$G292)&gt;0,
    COUNTIFS($AA$2:$AA$200,$G292)&gt;0,
    COUNTIFS($AB$2:$AB$200,$G292)&gt;0,
    COUNTIFS($AC$2:$AC$200,$G292)&gt;0,
    COUNTIFS($AD$2:$AD$200,$G292)&gt;0,
    COUNTIFS($AE$2:$AE$200,$G292)&gt;0,
    COUNTIFS($AF$2:$AF$200,$G292)&gt;0,
    COUNTIFS($AG$2:$AG$200,$G292)&gt;0,
    COUNTIFS($AH$2:$AH$200,$G292)&gt;0,
    COUNTIFS($AI$2:$AI$200,$G292)&gt;0,
    COUNTIFS($AJ$2:$AJ$200,$G292)&gt;0,
    COUNTIFS($AK$2:$AK$200,$G292)&gt;0,
    COUNTIFS($AL$2:$AL$200,$G292)&gt;0,
    COUNTIFS($AM$2:$AM$200,$G292)&gt;0,
    COUNTIFS($AN$2:$AN$200,$G292)&gt;0,
    COUNTIFS($AO$2:$AO$200,$G292)&gt;0,
    COUNTIFS($AP$2:$AP$200,$G292)&gt;0,
    COUNTIFS($AQ$2:$AQ$200,$G292)&gt;0,
    COUNTIFS($AR$2:$AR$200,$G292)&gt;0,
    COUNTIFS($AS$2:$AS$200,$G292)&gt;0,
    COUNTIFS($AT$2:$AT$200,$G292)&gt;0,
    COUNTIFS($AU$2:$AU$200,$G292)&gt;0,
    COUNTIFS($AV$2:$AV$200,$G292)&gt;0,
    COUNTIFS($AW$2:$AW$200,$G292)&gt;0,
    COUNTIFS($AX$2:$AX$200,$G292)&gt;0
   ),
  0)
 ),
"")</f>
        <v>Zimone</v>
      </c>
      <c r="D292" s="3" t="str" cm="1">
        <f t="array" aca="1" ref="D292" ca="1">IFERROR(
 INDEX(
  _xlfn._xlws.FILTER($U$1:$AX$1,
   TRANSPOSE(
    CHOOSE({1;2;3;4;5;6;7;8;9;10;11;12;13;14;15;16;17;18;19;20;21;22;23;24;25;26;27;28;29;30},
     COUNTIFS($U$2:$U$200,$G292)&gt;0,
     COUNTIFS($V$2:$V$200,$G292)&gt;0,
     COUNTIFS($W$2:$W$200,$G292)&gt;0,
     COUNTIFS($X$2:$X$200,$G292)&gt;0,
     COUNTIFS($Y$2:$Y$200,$G292)&gt;0,
     COUNTIFS($Z$2:$Z$200,$G292)&gt;0,
     COUNTIFS($AA$2:$AA$200,$G292)&gt;0,
     COUNTIFS($AB$2:$AB$200,$G292)&gt;0,
     COUNTIFS($AC$2:$AC$200,$G292)&gt;0,
     COUNTIFS($AD$2:$AD$200,$G292)&gt;0,
     COUNTIFS($AE$2:$AE$200,$G292)&gt;0,
     COUNTIFS($AF$2:$AF$200,$G292)&gt;0,
     COUNTIFS($AG$2:$AG$200,$G292)&gt;0,
     COUNTIFS($AH$2:$AH$200,$G292)&gt;0,
     COUNTIFS($AI$2:$AI$200,$G292)&gt;0,
     COUNTIFS($AJ$2:$AJ$200,$G292)&gt;0,
     COUNTIFS($AK$2:$AK$200,$G292)&gt;0,
     COUNTIFS($AL$2:$AL$200,$G292)&gt;0,
     COUNTIFS($AM$2:$AM$200,$G292)&gt;0,
     COUNTIFS($AN$2:$AN$200,$G292)&gt;0,
     COUNTIFS($AO$2:$AO$200,$G292)&gt;0,
     COUNTIFS($AP$2:$AP$200,$G292)&gt;0,
     COUNTIFS($AQ$2:$AQ$200,$G292)&gt;0,
     COUNTIFS($AR$2:$AR$200,$G292)&gt;0,
     COUNTIFS($AS$2:$AS$200,$G292)&gt;0,
     COUNTIFS($AT$2:$AT$200,$G292)&gt;0,
     COUNTIFS($AU$2:$AU$200,$G292)&gt;0,
     COUNTIFS($AV$2:$AV$200,$G292)&gt;0,
     COUNTIFS($AW$2:$AW$200,$G292)&gt;0,
     COUNTIFS($AX$2:$AX$200,$G292)&gt;0
   )),
  ),
  2
 ),
"")</f>
        <v/>
      </c>
      <c r="E292" s="3" t="str" cm="1">
        <f t="array" aca="1" ref="E292" ca="1">IFERROR(
 INDEX(
  _xlfn._xlws.FILTER($U$1:$AX$1,
   TRANSPOSE(
    CHOOSE({1;2;3;4;5;6;7;8;9;10;11;12;13;14;15;16;17;18;19;20;21;22;23;24;25;26;27;28;29;30},
     COUNTIFS($U$2:$U$200,$G292)&gt;0,
     COUNTIFS($V$2:$V$200,$G292)&gt;0,
     COUNTIFS($W$2:$W$200,$G292)&gt;0,
     COUNTIFS($X$2:$X$200,$G292)&gt;0,
     COUNTIFS($Y$2:$Y$200,$G292)&gt;0,
     COUNTIFS($Z$2:$Z$200,$G292)&gt;0,
     COUNTIFS($AA$2:$AA$200,$G292)&gt;0,
     COUNTIFS($AB$2:$AB$200,$G292)&gt;0,
     COUNTIFS($AC$2:$AC$200,$G292)&gt;0,
     COUNTIFS($AD$2:$AD$200,$G292)&gt;0,
     COUNTIFS($AE$2:$AE$200,$G292)&gt;0,
     COUNTIFS($AF$2:$AF$200,$G292)&gt;0,
     COUNTIFS($AG$2:$AG$200,$G292)&gt;0,
     COUNTIFS($AH$2:$AH$200,$G292)&gt;0,
     COUNTIFS($AI$2:$AI$200,$G292)&gt;0,
     COUNTIFS($AJ$2:$AJ$200,$G292)&gt;0,
     COUNTIFS($AK$2:$AK$200,$G292)&gt;0,
     COUNTIFS($AL$2:$AL$200,$G292)&gt;0,
     COUNTIFS($AM$2:$AM$200,$G292)&gt;0,
     COUNTIFS($AN$2:$AN$200,$G292)&gt;0,
     COUNTIFS($AO$2:$AO$200,$G292)&gt;0,
     COUNTIFS($AP$2:$AP$200,$G292)&gt;0,
     COUNTIFS($AQ$2:$AQ$200,$G292)&gt;0,
     COUNTIFS($AR$2:$AR$200,$G292)&gt;0,
     COUNTIFS($AS$2:$AS$200,$G292)&gt;0,
     COUNTIFS($AT$2:$AT$200,$G292)&gt;0,
     COUNTIFS($AU$2:$AU$200,$G292)&gt;0,
     COUNTIFS($AV$2:$AV$200,$G292)&gt;0,
     COUNTIFS($AW$2:$AW$200,$G292)&gt;0,
     COUNTIFS($AX$2:$AX$200,$G292)&gt;0
   )),
  ),
  3
 ),
"")</f>
        <v/>
      </c>
      <c r="F292" s="3" t="str" cm="1">
        <f t="array" aca="1" ref="F292" ca="1">IFERROR(
 INDEX(
  _xlfn._xlws.FILTER($U$1:$AX$1,
   TRANSPOSE(
    CHOOSE({1;2;3;4;5;6;7;8;9;10;11;12;13;14;15;16;17;18;19;20;21;22;23;24;25;26;27;28;29;30},
     COUNTIFS($U$2:$U$200,$G292)&gt;0,
     COUNTIFS($V$2:$V$200,$G292)&gt;0,
     COUNTIFS($W$2:$W$200,$G292)&gt;0,
     COUNTIFS($X$2:$X$200,$G292)&gt;0,
     COUNTIFS($Y$2:$Y$200,$G292)&gt;0,
     COUNTIFS($Z$2:$Z$200,$G292)&gt;0,
     COUNTIFS($AA$2:$AA$200,$G292)&gt;0,
     COUNTIFS($AB$2:$AB$200,$G292)&gt;0,
     COUNTIFS($AC$2:$AC$200,$G292)&gt;0,
     COUNTIFS($AD$2:$AD$200,$G292)&gt;0,
     COUNTIFS($AE$2:$AE$200,$G292)&gt;0,
     COUNTIFS($AF$2:$AF$200,$G292)&gt;0,
     COUNTIFS($AG$2:$AG$200,$G292)&gt;0,
     COUNTIFS($AH$2:$AH$200,$G292)&gt;0,
     COUNTIFS($AI$2:$AI$200,$G292)&gt;0,
     COUNTIFS($AJ$2:$AJ$200,$G292)&gt;0,
     COUNTIFS($AK$2:$AK$200,$G292)&gt;0,
     COUNTIFS($AL$2:$AL$200,$G292)&gt;0,
     COUNTIFS($AM$2:$AM$200,$G292)&gt;0,
     COUNTIFS($AN$2:$AN$200,$G292)&gt;0,
     COUNTIFS($AO$2:$AO$200,$G292)&gt;0,
     COUNTIFS($AP$2:$AP$200,$G292)&gt;0,
     COUNTIFS($AQ$2:$AQ$200,$G292)&gt;0,
     COUNTIFS($AR$2:$AR$200,$G292)&gt;0,
     COUNTIFS($AS$2:$AS$200,$G292)&gt;0,
     COUNTIFS($AT$2:$AT$200,$G292)&gt;0,
     COUNTIFS($AU$2:$AU$200,$G292)&gt;0,
     COUNTIFS($AV$2:$AV$200,$G292)&gt;0,
     COUNTIFS($AW$2:$AW$200,$G292)&gt;0,
     COUNTIFS($AX$2:$AX$200,$G292)&gt;0
   )),
  ),
  4
 ),
"")</f>
        <v/>
      </c>
      <c r="G292" t="str">
        <f ca="1"/>
        <v>Thousand-Year Elixir</v>
      </c>
      <c r="CJ292" t="str">
        <f ca="1"/>
        <v>Thousand-Year Elixir</v>
      </c>
    </row>
    <row r="293" spans="1:88" x14ac:dyDescent="0.25">
      <c r="A293" s="3" t="str">
        <f t="shared" ca="1" si="10"/>
        <v>3</v>
      </c>
      <c r="B293" s="3">
        <f t="shared" ca="1" si="11"/>
        <v>1</v>
      </c>
      <c r="C293" s="3" t="str">
        <f ca="1">IFERROR(
 INDEX($U$1:$AX$1,
  MATCH(TRUE,
   CHOOSE({1;2;3;4;5;6;7;8;9;10;11;12;13;14;15;16;17;18;19;20;21;22;23;24;25;26;27;28;29;30;31;32},
    COUNTIFS($U$2:$U$200,$G293)&gt;0,
    COUNTIFS($V$2:$V$200,$G293)&gt;0,
    COUNTIFS($W$2:$W$200,$G293)&gt;0,
    COUNTIFS($X$2:$X$200,$G293)&gt;0,
    COUNTIFS($Y$2:$Y$200,$G293)&gt;0,
    COUNTIFS($Z$2:$Z$200,$G293)&gt;0,
    COUNTIFS($AA$2:$AA$200,$G293)&gt;0,
    COUNTIFS($AB$2:$AB$200,$G293)&gt;0,
    COUNTIFS($AC$2:$AC$200,$G293)&gt;0,
    COUNTIFS($AD$2:$AD$200,$G293)&gt;0,
    COUNTIFS($AE$2:$AE$200,$G293)&gt;0,
    COUNTIFS($AF$2:$AF$200,$G293)&gt;0,
    COUNTIFS($AG$2:$AG$200,$G293)&gt;0,
    COUNTIFS($AH$2:$AH$200,$G293)&gt;0,
    COUNTIFS($AI$2:$AI$200,$G293)&gt;0,
    COUNTIFS($AJ$2:$AJ$200,$G293)&gt;0,
    COUNTIFS($AK$2:$AK$200,$G293)&gt;0,
    COUNTIFS($AL$2:$AL$200,$G293)&gt;0,
    COUNTIFS($AM$2:$AM$200,$G293)&gt;0,
    COUNTIFS($AN$2:$AN$200,$G293)&gt;0,
    COUNTIFS($AO$2:$AO$200,$G293)&gt;0,
    COUNTIFS($AP$2:$AP$200,$G293)&gt;0,
    COUNTIFS($AQ$2:$AQ$200,$G293)&gt;0,
    COUNTIFS($AR$2:$AR$200,$G293)&gt;0,
    COUNTIFS($AS$2:$AS$200,$G293)&gt;0,
    COUNTIFS($AT$2:$AT$200,$G293)&gt;0,
    COUNTIFS($AU$2:$AU$200,$G293)&gt;0,
    COUNTIFS($AV$2:$AV$200,$G293)&gt;0,
    COUNTIFS($AW$2:$AW$200,$G293)&gt;0,
    COUNTIFS($AX$2:$AX$200,$G293)&gt;0
   ),
  0)
 ),
"")</f>
        <v>JhoiraB</v>
      </c>
      <c r="D293" s="3" t="str" cm="1">
        <f t="array" aca="1" ref="D293" ca="1">IFERROR(
 INDEX(
  _xlfn._xlws.FILTER($U$1:$AX$1,
   TRANSPOSE(
    CHOOSE({1;2;3;4;5;6;7;8;9;10;11;12;13;14;15;16;17;18;19;20;21;22;23;24;25;26;27;28;29;30},
     COUNTIFS($U$2:$U$200,$G293)&gt;0,
     COUNTIFS($V$2:$V$200,$G293)&gt;0,
     COUNTIFS($W$2:$W$200,$G293)&gt;0,
     COUNTIFS($X$2:$X$200,$G293)&gt;0,
     COUNTIFS($Y$2:$Y$200,$G293)&gt;0,
     COUNTIFS($Z$2:$Z$200,$G293)&gt;0,
     COUNTIFS($AA$2:$AA$200,$G293)&gt;0,
     COUNTIFS($AB$2:$AB$200,$G293)&gt;0,
     COUNTIFS($AC$2:$AC$200,$G293)&gt;0,
     COUNTIFS($AD$2:$AD$200,$G293)&gt;0,
     COUNTIFS($AE$2:$AE$200,$G293)&gt;0,
     COUNTIFS($AF$2:$AF$200,$G293)&gt;0,
     COUNTIFS($AG$2:$AG$200,$G293)&gt;0,
     COUNTIFS($AH$2:$AH$200,$G293)&gt;0,
     COUNTIFS($AI$2:$AI$200,$G293)&gt;0,
     COUNTIFS($AJ$2:$AJ$200,$G293)&gt;0,
     COUNTIFS($AK$2:$AK$200,$G293)&gt;0,
     COUNTIFS($AL$2:$AL$200,$G293)&gt;0,
     COUNTIFS($AM$2:$AM$200,$G293)&gt;0,
     COUNTIFS($AN$2:$AN$200,$G293)&gt;0,
     COUNTIFS($AO$2:$AO$200,$G293)&gt;0,
     COUNTIFS($AP$2:$AP$200,$G293)&gt;0,
     COUNTIFS($AQ$2:$AQ$200,$G293)&gt;0,
     COUNTIFS($AR$2:$AR$200,$G293)&gt;0,
     COUNTIFS($AS$2:$AS$200,$G293)&gt;0,
     COUNTIFS($AT$2:$AT$200,$G293)&gt;0,
     COUNTIFS($AU$2:$AU$200,$G293)&gt;0,
     COUNTIFS($AV$2:$AV$200,$G293)&gt;0,
     COUNTIFS($AW$2:$AW$200,$G293)&gt;0,
     COUNTIFS($AX$2:$AX$200,$G293)&gt;0
   )),
  ),
  2
 ),
"")</f>
        <v/>
      </c>
      <c r="E293" s="3" t="str" cm="1">
        <f t="array" aca="1" ref="E293" ca="1">IFERROR(
 INDEX(
  _xlfn._xlws.FILTER($U$1:$AX$1,
   TRANSPOSE(
    CHOOSE({1;2;3;4;5;6;7;8;9;10;11;12;13;14;15;16;17;18;19;20;21;22;23;24;25;26;27;28;29;30},
     COUNTIFS($U$2:$U$200,$G293)&gt;0,
     COUNTIFS($V$2:$V$200,$G293)&gt;0,
     COUNTIFS($W$2:$W$200,$G293)&gt;0,
     COUNTIFS($X$2:$X$200,$G293)&gt;0,
     COUNTIFS($Y$2:$Y$200,$G293)&gt;0,
     COUNTIFS($Z$2:$Z$200,$G293)&gt;0,
     COUNTIFS($AA$2:$AA$200,$G293)&gt;0,
     COUNTIFS($AB$2:$AB$200,$G293)&gt;0,
     COUNTIFS($AC$2:$AC$200,$G293)&gt;0,
     COUNTIFS($AD$2:$AD$200,$G293)&gt;0,
     COUNTIFS($AE$2:$AE$200,$G293)&gt;0,
     COUNTIFS($AF$2:$AF$200,$G293)&gt;0,
     COUNTIFS($AG$2:$AG$200,$G293)&gt;0,
     COUNTIFS($AH$2:$AH$200,$G293)&gt;0,
     COUNTIFS($AI$2:$AI$200,$G293)&gt;0,
     COUNTIFS($AJ$2:$AJ$200,$G293)&gt;0,
     COUNTIFS($AK$2:$AK$200,$G293)&gt;0,
     COUNTIFS($AL$2:$AL$200,$G293)&gt;0,
     COUNTIFS($AM$2:$AM$200,$G293)&gt;0,
     COUNTIFS($AN$2:$AN$200,$G293)&gt;0,
     COUNTIFS($AO$2:$AO$200,$G293)&gt;0,
     COUNTIFS($AP$2:$AP$200,$G293)&gt;0,
     COUNTIFS($AQ$2:$AQ$200,$G293)&gt;0,
     COUNTIFS($AR$2:$AR$200,$G293)&gt;0,
     COUNTIFS($AS$2:$AS$200,$G293)&gt;0,
     COUNTIFS($AT$2:$AT$200,$G293)&gt;0,
     COUNTIFS($AU$2:$AU$200,$G293)&gt;0,
     COUNTIFS($AV$2:$AV$200,$G293)&gt;0,
     COUNTIFS($AW$2:$AW$200,$G293)&gt;0,
     COUNTIFS($AX$2:$AX$200,$G293)&gt;0
   )),
  ),
  3
 ),
"")</f>
        <v/>
      </c>
      <c r="F293" s="3" t="str" cm="1">
        <f t="array" aca="1" ref="F293" ca="1">IFERROR(
 INDEX(
  _xlfn._xlws.FILTER($U$1:$AX$1,
   TRANSPOSE(
    CHOOSE({1;2;3;4;5;6;7;8;9;10;11;12;13;14;15;16;17;18;19;20;21;22;23;24;25;26;27;28;29;30},
     COUNTIFS($U$2:$U$200,$G293)&gt;0,
     COUNTIFS($V$2:$V$200,$G293)&gt;0,
     COUNTIFS($W$2:$W$200,$G293)&gt;0,
     COUNTIFS($X$2:$X$200,$G293)&gt;0,
     COUNTIFS($Y$2:$Y$200,$G293)&gt;0,
     COUNTIFS($Z$2:$Z$200,$G293)&gt;0,
     COUNTIFS($AA$2:$AA$200,$G293)&gt;0,
     COUNTIFS($AB$2:$AB$200,$G293)&gt;0,
     COUNTIFS($AC$2:$AC$200,$G293)&gt;0,
     COUNTIFS($AD$2:$AD$200,$G293)&gt;0,
     COUNTIFS($AE$2:$AE$200,$G293)&gt;0,
     COUNTIFS($AF$2:$AF$200,$G293)&gt;0,
     COUNTIFS($AG$2:$AG$200,$G293)&gt;0,
     COUNTIFS($AH$2:$AH$200,$G293)&gt;0,
     COUNTIFS($AI$2:$AI$200,$G293)&gt;0,
     COUNTIFS($AJ$2:$AJ$200,$G293)&gt;0,
     COUNTIFS($AK$2:$AK$200,$G293)&gt;0,
     COUNTIFS($AL$2:$AL$200,$G293)&gt;0,
     COUNTIFS($AM$2:$AM$200,$G293)&gt;0,
     COUNTIFS($AN$2:$AN$200,$G293)&gt;0,
     COUNTIFS($AO$2:$AO$200,$G293)&gt;0,
     COUNTIFS($AP$2:$AP$200,$G293)&gt;0,
     COUNTIFS($AQ$2:$AQ$200,$G293)&gt;0,
     COUNTIFS($AR$2:$AR$200,$G293)&gt;0,
     COUNTIFS($AS$2:$AS$200,$G293)&gt;0,
     COUNTIFS($AT$2:$AT$200,$G293)&gt;0,
     COUNTIFS($AU$2:$AU$200,$G293)&gt;0,
     COUNTIFS($AV$2:$AV$200,$G293)&gt;0,
     COUNTIFS($AW$2:$AW$200,$G293)&gt;0,
     COUNTIFS($AX$2:$AX$200,$G293)&gt;0
   )),
  ),
  4
 ),
"")</f>
        <v/>
      </c>
      <c r="G293" t="str">
        <f ca="1"/>
        <v>Thran Dynamo</v>
      </c>
      <c r="CJ293" t="str">
        <f ca="1"/>
        <v>Thran Dynamo</v>
      </c>
    </row>
    <row r="294" spans="1:88" x14ac:dyDescent="0.25">
      <c r="A294" s="3" t="str">
        <f t="shared" ca="1" si="10"/>
        <v>4</v>
      </c>
      <c r="B294" s="3">
        <f t="shared" ca="1" si="11"/>
        <v>1</v>
      </c>
      <c r="C294" s="3" t="str">
        <f ca="1">IFERROR(
 INDEX($U$1:$AX$1,
  MATCH(TRUE,
   CHOOSE({1;2;3;4;5;6;7;8;9;10;11;12;13;14;15;16;17;18;19;20;21;22;23;24;25;26;27;28;29;30;31;32},
    COUNTIFS($U$2:$U$200,$G294)&gt;0,
    COUNTIFS($V$2:$V$200,$G294)&gt;0,
    COUNTIFS($W$2:$W$200,$G294)&gt;0,
    COUNTIFS($X$2:$X$200,$G294)&gt;0,
    COUNTIFS($Y$2:$Y$200,$G294)&gt;0,
    COUNTIFS($Z$2:$Z$200,$G294)&gt;0,
    COUNTIFS($AA$2:$AA$200,$G294)&gt;0,
    COUNTIFS($AB$2:$AB$200,$G294)&gt;0,
    COUNTIFS($AC$2:$AC$200,$G294)&gt;0,
    COUNTIFS($AD$2:$AD$200,$G294)&gt;0,
    COUNTIFS($AE$2:$AE$200,$G294)&gt;0,
    COUNTIFS($AF$2:$AF$200,$G294)&gt;0,
    COUNTIFS($AG$2:$AG$200,$G294)&gt;0,
    COUNTIFS($AH$2:$AH$200,$G294)&gt;0,
    COUNTIFS($AI$2:$AI$200,$G294)&gt;0,
    COUNTIFS($AJ$2:$AJ$200,$G294)&gt;0,
    COUNTIFS($AK$2:$AK$200,$G294)&gt;0,
    COUNTIFS($AL$2:$AL$200,$G294)&gt;0,
    COUNTIFS($AM$2:$AM$200,$G294)&gt;0,
    COUNTIFS($AN$2:$AN$200,$G294)&gt;0,
    COUNTIFS($AO$2:$AO$200,$G294)&gt;0,
    COUNTIFS($AP$2:$AP$200,$G294)&gt;0,
    COUNTIFS($AQ$2:$AQ$200,$G294)&gt;0,
    COUNTIFS($AR$2:$AR$200,$G294)&gt;0,
    COUNTIFS($AS$2:$AS$200,$G294)&gt;0,
    COUNTIFS($AT$2:$AT$200,$G294)&gt;0,
    COUNTIFS($AU$2:$AU$200,$G294)&gt;0,
    COUNTIFS($AV$2:$AV$200,$G294)&gt;0,
    COUNTIFS($AW$2:$AW$200,$G294)&gt;0,
    COUNTIFS($AX$2:$AX$200,$G294)&gt;0
   ),
  0)
 ),
"")</f>
        <v>Elfos</v>
      </c>
      <c r="D294" s="3" t="str" cm="1">
        <f t="array" aca="1" ref="D294" ca="1">IFERROR(
 INDEX(
  _xlfn._xlws.FILTER($U$1:$AX$1,
   TRANSPOSE(
    CHOOSE({1;2;3;4;5;6;7;8;9;10;11;12;13;14;15;16;17;18;19;20;21;22;23;24;25;26;27;28;29;30},
     COUNTIFS($U$2:$U$200,$G294)&gt;0,
     COUNTIFS($V$2:$V$200,$G294)&gt;0,
     COUNTIFS($W$2:$W$200,$G294)&gt;0,
     COUNTIFS($X$2:$X$200,$G294)&gt;0,
     COUNTIFS($Y$2:$Y$200,$G294)&gt;0,
     COUNTIFS($Z$2:$Z$200,$G294)&gt;0,
     COUNTIFS($AA$2:$AA$200,$G294)&gt;0,
     COUNTIFS($AB$2:$AB$200,$G294)&gt;0,
     COUNTIFS($AC$2:$AC$200,$G294)&gt;0,
     COUNTIFS($AD$2:$AD$200,$G294)&gt;0,
     COUNTIFS($AE$2:$AE$200,$G294)&gt;0,
     COUNTIFS($AF$2:$AF$200,$G294)&gt;0,
     COUNTIFS($AG$2:$AG$200,$G294)&gt;0,
     COUNTIFS($AH$2:$AH$200,$G294)&gt;0,
     COUNTIFS($AI$2:$AI$200,$G294)&gt;0,
     COUNTIFS($AJ$2:$AJ$200,$G294)&gt;0,
     COUNTIFS($AK$2:$AK$200,$G294)&gt;0,
     COUNTIFS($AL$2:$AL$200,$G294)&gt;0,
     COUNTIFS($AM$2:$AM$200,$G294)&gt;0,
     COUNTIFS($AN$2:$AN$200,$G294)&gt;0,
     COUNTIFS($AO$2:$AO$200,$G294)&gt;0,
     COUNTIFS($AP$2:$AP$200,$G294)&gt;0,
     COUNTIFS($AQ$2:$AQ$200,$G294)&gt;0,
     COUNTIFS($AR$2:$AR$200,$G294)&gt;0,
     COUNTIFS($AS$2:$AS$200,$G294)&gt;0,
     COUNTIFS($AT$2:$AT$200,$G294)&gt;0,
     COUNTIFS($AU$2:$AU$200,$G294)&gt;0,
     COUNTIFS($AV$2:$AV$200,$G294)&gt;0,
     COUNTIFS($AW$2:$AW$200,$G294)&gt;0,
     COUNTIFS($AX$2:$AX$200,$G294)&gt;0
   )),
  ),
  2
 ),
"")</f>
        <v/>
      </c>
      <c r="E294" s="3" t="str" cm="1">
        <f t="array" aca="1" ref="E294" ca="1">IFERROR(
 INDEX(
  _xlfn._xlws.FILTER($U$1:$AX$1,
   TRANSPOSE(
    CHOOSE({1;2;3;4;5;6;7;8;9;10;11;12;13;14;15;16;17;18;19;20;21;22;23;24;25;26;27;28;29;30},
     COUNTIFS($U$2:$U$200,$G294)&gt;0,
     COUNTIFS($V$2:$V$200,$G294)&gt;0,
     COUNTIFS($W$2:$W$200,$G294)&gt;0,
     COUNTIFS($X$2:$X$200,$G294)&gt;0,
     COUNTIFS($Y$2:$Y$200,$G294)&gt;0,
     COUNTIFS($Z$2:$Z$200,$G294)&gt;0,
     COUNTIFS($AA$2:$AA$200,$G294)&gt;0,
     COUNTIFS($AB$2:$AB$200,$G294)&gt;0,
     COUNTIFS($AC$2:$AC$200,$G294)&gt;0,
     COUNTIFS($AD$2:$AD$200,$G294)&gt;0,
     COUNTIFS($AE$2:$AE$200,$G294)&gt;0,
     COUNTIFS($AF$2:$AF$200,$G294)&gt;0,
     COUNTIFS($AG$2:$AG$200,$G294)&gt;0,
     COUNTIFS($AH$2:$AH$200,$G294)&gt;0,
     COUNTIFS($AI$2:$AI$200,$G294)&gt;0,
     COUNTIFS($AJ$2:$AJ$200,$G294)&gt;0,
     COUNTIFS($AK$2:$AK$200,$G294)&gt;0,
     COUNTIFS($AL$2:$AL$200,$G294)&gt;0,
     COUNTIFS($AM$2:$AM$200,$G294)&gt;0,
     COUNTIFS($AN$2:$AN$200,$G294)&gt;0,
     COUNTIFS($AO$2:$AO$200,$G294)&gt;0,
     COUNTIFS($AP$2:$AP$200,$G294)&gt;0,
     COUNTIFS($AQ$2:$AQ$200,$G294)&gt;0,
     COUNTIFS($AR$2:$AR$200,$G294)&gt;0,
     COUNTIFS($AS$2:$AS$200,$G294)&gt;0,
     COUNTIFS($AT$2:$AT$200,$G294)&gt;0,
     COUNTIFS($AU$2:$AU$200,$G294)&gt;0,
     COUNTIFS($AV$2:$AV$200,$G294)&gt;0,
     COUNTIFS($AW$2:$AW$200,$G294)&gt;0,
     COUNTIFS($AX$2:$AX$200,$G294)&gt;0
   )),
  ),
  3
 ),
"")</f>
        <v/>
      </c>
      <c r="F294" s="3" t="str" cm="1">
        <f t="array" aca="1" ref="F294" ca="1">IFERROR(
 INDEX(
  _xlfn._xlws.FILTER($U$1:$AX$1,
   TRANSPOSE(
    CHOOSE({1;2;3;4;5;6;7;8;9;10;11;12;13;14;15;16;17;18;19;20;21;22;23;24;25;26;27;28;29;30},
     COUNTIFS($U$2:$U$200,$G294)&gt;0,
     COUNTIFS($V$2:$V$200,$G294)&gt;0,
     COUNTIFS($W$2:$W$200,$G294)&gt;0,
     COUNTIFS($X$2:$X$200,$G294)&gt;0,
     COUNTIFS($Y$2:$Y$200,$G294)&gt;0,
     COUNTIFS($Z$2:$Z$200,$G294)&gt;0,
     COUNTIFS($AA$2:$AA$200,$G294)&gt;0,
     COUNTIFS($AB$2:$AB$200,$G294)&gt;0,
     COUNTIFS($AC$2:$AC$200,$G294)&gt;0,
     COUNTIFS($AD$2:$AD$200,$G294)&gt;0,
     COUNTIFS($AE$2:$AE$200,$G294)&gt;0,
     COUNTIFS($AF$2:$AF$200,$G294)&gt;0,
     COUNTIFS($AG$2:$AG$200,$G294)&gt;0,
     COUNTIFS($AH$2:$AH$200,$G294)&gt;0,
     COUNTIFS($AI$2:$AI$200,$G294)&gt;0,
     COUNTIFS($AJ$2:$AJ$200,$G294)&gt;0,
     COUNTIFS($AK$2:$AK$200,$G294)&gt;0,
     COUNTIFS($AL$2:$AL$200,$G294)&gt;0,
     COUNTIFS($AM$2:$AM$200,$G294)&gt;0,
     COUNTIFS($AN$2:$AN$200,$G294)&gt;0,
     COUNTIFS($AO$2:$AO$200,$G294)&gt;0,
     COUNTIFS($AP$2:$AP$200,$G294)&gt;0,
     COUNTIFS($AQ$2:$AQ$200,$G294)&gt;0,
     COUNTIFS($AR$2:$AR$200,$G294)&gt;0,
     COUNTIFS($AS$2:$AS$200,$G294)&gt;0,
     COUNTIFS($AT$2:$AT$200,$G294)&gt;0,
     COUNTIFS($AU$2:$AU$200,$G294)&gt;0,
     COUNTIFS($AV$2:$AV$200,$G294)&gt;0,
     COUNTIFS($AW$2:$AW$200,$G294)&gt;0,
     COUNTIFS($AX$2:$AX$200,$G294)&gt;0
   )),
  ),
  4
 ),
"")</f>
        <v/>
      </c>
      <c r="G294" t="str">
        <f ca="1"/>
        <v>Three Tree City</v>
      </c>
      <c r="CJ294" t="str">
        <f ca="1"/>
        <v>Three Tree City</v>
      </c>
    </row>
    <row r="295" spans="1:88" x14ac:dyDescent="0.25">
      <c r="A295" s="3" t="str">
        <f t="shared" ca="1" si="10"/>
        <v>3</v>
      </c>
      <c r="B295" s="3">
        <f t="shared" ca="1" si="11"/>
        <v>1</v>
      </c>
      <c r="C295" s="3" t="str">
        <f ca="1">IFERROR(
 INDEX($U$1:$AX$1,
  MATCH(TRUE,
   CHOOSE({1;2;3;4;5;6;7;8;9;10;11;12;13;14;15;16;17;18;19;20;21;22;23;24;25;26;27;28;29;30;31;32},
    COUNTIFS($U$2:$U$200,$G295)&gt;0,
    COUNTIFS($V$2:$V$200,$G295)&gt;0,
    COUNTIFS($W$2:$W$200,$G295)&gt;0,
    COUNTIFS($X$2:$X$200,$G295)&gt;0,
    COUNTIFS($Y$2:$Y$200,$G295)&gt;0,
    COUNTIFS($Z$2:$Z$200,$G295)&gt;0,
    COUNTIFS($AA$2:$AA$200,$G295)&gt;0,
    COUNTIFS($AB$2:$AB$200,$G295)&gt;0,
    COUNTIFS($AC$2:$AC$200,$G295)&gt;0,
    COUNTIFS($AD$2:$AD$200,$G295)&gt;0,
    COUNTIFS($AE$2:$AE$200,$G295)&gt;0,
    COUNTIFS($AF$2:$AF$200,$G295)&gt;0,
    COUNTIFS($AG$2:$AG$200,$G295)&gt;0,
    COUNTIFS($AH$2:$AH$200,$G295)&gt;0,
    COUNTIFS($AI$2:$AI$200,$G295)&gt;0,
    COUNTIFS($AJ$2:$AJ$200,$G295)&gt;0,
    COUNTIFS($AK$2:$AK$200,$G295)&gt;0,
    COUNTIFS($AL$2:$AL$200,$G295)&gt;0,
    COUNTIFS($AM$2:$AM$200,$G295)&gt;0,
    COUNTIFS($AN$2:$AN$200,$G295)&gt;0,
    COUNTIFS($AO$2:$AO$200,$G295)&gt;0,
    COUNTIFS($AP$2:$AP$200,$G295)&gt;0,
    COUNTIFS($AQ$2:$AQ$200,$G295)&gt;0,
    COUNTIFS($AR$2:$AR$200,$G295)&gt;0,
    COUNTIFS($AS$2:$AS$200,$G295)&gt;0,
    COUNTIFS($AT$2:$AT$200,$G295)&gt;0,
    COUNTIFS($AU$2:$AU$200,$G295)&gt;0,
    COUNTIFS($AV$2:$AV$200,$G295)&gt;0,
    COUNTIFS($AW$2:$AW$200,$G295)&gt;0,
    COUNTIFS($AX$2:$AX$200,$G295)&gt;0
   ),
  0)
 ),
"")</f>
        <v>Zimone</v>
      </c>
      <c r="D295" s="3" t="str" cm="1">
        <f t="array" aca="1" ref="D295" ca="1">IFERROR(
 INDEX(
  _xlfn._xlws.FILTER($U$1:$AX$1,
   TRANSPOSE(
    CHOOSE({1;2;3;4;5;6;7;8;9;10;11;12;13;14;15;16;17;18;19;20;21;22;23;24;25;26;27;28;29;30},
     COUNTIFS($U$2:$U$200,$G295)&gt;0,
     COUNTIFS($V$2:$V$200,$G295)&gt;0,
     COUNTIFS($W$2:$W$200,$G295)&gt;0,
     COUNTIFS($X$2:$X$200,$G295)&gt;0,
     COUNTIFS($Y$2:$Y$200,$G295)&gt;0,
     COUNTIFS($Z$2:$Z$200,$G295)&gt;0,
     COUNTIFS($AA$2:$AA$200,$G295)&gt;0,
     COUNTIFS($AB$2:$AB$200,$G295)&gt;0,
     COUNTIFS($AC$2:$AC$200,$G295)&gt;0,
     COUNTIFS($AD$2:$AD$200,$G295)&gt;0,
     COUNTIFS($AE$2:$AE$200,$G295)&gt;0,
     COUNTIFS($AF$2:$AF$200,$G295)&gt;0,
     COUNTIFS($AG$2:$AG$200,$G295)&gt;0,
     COUNTIFS($AH$2:$AH$200,$G295)&gt;0,
     COUNTIFS($AI$2:$AI$200,$G295)&gt;0,
     COUNTIFS($AJ$2:$AJ$200,$G295)&gt;0,
     COUNTIFS($AK$2:$AK$200,$G295)&gt;0,
     COUNTIFS($AL$2:$AL$200,$G295)&gt;0,
     COUNTIFS($AM$2:$AM$200,$G295)&gt;0,
     COUNTIFS($AN$2:$AN$200,$G295)&gt;0,
     COUNTIFS($AO$2:$AO$200,$G295)&gt;0,
     COUNTIFS($AP$2:$AP$200,$G295)&gt;0,
     COUNTIFS($AQ$2:$AQ$200,$G295)&gt;0,
     COUNTIFS($AR$2:$AR$200,$G295)&gt;0,
     COUNTIFS($AS$2:$AS$200,$G295)&gt;0,
     COUNTIFS($AT$2:$AT$200,$G295)&gt;0,
     COUNTIFS($AU$2:$AU$200,$G295)&gt;0,
     COUNTIFS($AV$2:$AV$200,$G295)&gt;0,
     COUNTIFS($AW$2:$AW$200,$G295)&gt;0,
     COUNTIFS($AX$2:$AX$200,$G295)&gt;0
   )),
  ),
  2
 ),
"")</f>
        <v/>
      </c>
      <c r="E295" s="3" t="str" cm="1">
        <f t="array" aca="1" ref="E295" ca="1">IFERROR(
 INDEX(
  _xlfn._xlws.FILTER($U$1:$AX$1,
   TRANSPOSE(
    CHOOSE({1;2;3;4;5;6;7;8;9;10;11;12;13;14;15;16;17;18;19;20;21;22;23;24;25;26;27;28;29;30},
     COUNTIFS($U$2:$U$200,$G295)&gt;0,
     COUNTIFS($V$2:$V$200,$G295)&gt;0,
     COUNTIFS($W$2:$W$200,$G295)&gt;0,
     COUNTIFS($X$2:$X$200,$G295)&gt;0,
     COUNTIFS($Y$2:$Y$200,$G295)&gt;0,
     COUNTIFS($Z$2:$Z$200,$G295)&gt;0,
     COUNTIFS($AA$2:$AA$200,$G295)&gt;0,
     COUNTIFS($AB$2:$AB$200,$G295)&gt;0,
     COUNTIFS($AC$2:$AC$200,$G295)&gt;0,
     COUNTIFS($AD$2:$AD$200,$G295)&gt;0,
     COUNTIFS($AE$2:$AE$200,$G295)&gt;0,
     COUNTIFS($AF$2:$AF$200,$G295)&gt;0,
     COUNTIFS($AG$2:$AG$200,$G295)&gt;0,
     COUNTIFS($AH$2:$AH$200,$G295)&gt;0,
     COUNTIFS($AI$2:$AI$200,$G295)&gt;0,
     COUNTIFS($AJ$2:$AJ$200,$G295)&gt;0,
     COUNTIFS($AK$2:$AK$200,$G295)&gt;0,
     COUNTIFS($AL$2:$AL$200,$G295)&gt;0,
     COUNTIFS($AM$2:$AM$200,$G295)&gt;0,
     COUNTIFS($AN$2:$AN$200,$G295)&gt;0,
     COUNTIFS($AO$2:$AO$200,$G295)&gt;0,
     COUNTIFS($AP$2:$AP$200,$G295)&gt;0,
     COUNTIFS($AQ$2:$AQ$200,$G295)&gt;0,
     COUNTIFS($AR$2:$AR$200,$G295)&gt;0,
     COUNTIFS($AS$2:$AS$200,$G295)&gt;0,
     COUNTIFS($AT$2:$AT$200,$G295)&gt;0,
     COUNTIFS($AU$2:$AU$200,$G295)&gt;0,
     COUNTIFS($AV$2:$AV$200,$G295)&gt;0,
     COUNTIFS($AW$2:$AW$200,$G295)&gt;0,
     COUNTIFS($AX$2:$AX$200,$G295)&gt;0
   )),
  ),
  3
 ),
"")</f>
        <v/>
      </c>
      <c r="F295" s="3" t="str" cm="1">
        <f t="array" aca="1" ref="F295" ca="1">IFERROR(
 INDEX(
  _xlfn._xlws.FILTER($U$1:$AX$1,
   TRANSPOSE(
    CHOOSE({1;2;3;4;5;6;7;8;9;10;11;12;13;14;15;16;17;18;19;20;21;22;23;24;25;26;27;28;29;30},
     COUNTIFS($U$2:$U$200,$G295)&gt;0,
     COUNTIFS($V$2:$V$200,$G295)&gt;0,
     COUNTIFS($W$2:$W$200,$G295)&gt;0,
     COUNTIFS($X$2:$X$200,$G295)&gt;0,
     COUNTIFS($Y$2:$Y$200,$G295)&gt;0,
     COUNTIFS($Z$2:$Z$200,$G295)&gt;0,
     COUNTIFS($AA$2:$AA$200,$G295)&gt;0,
     COUNTIFS($AB$2:$AB$200,$G295)&gt;0,
     COUNTIFS($AC$2:$AC$200,$G295)&gt;0,
     COUNTIFS($AD$2:$AD$200,$G295)&gt;0,
     COUNTIFS($AE$2:$AE$200,$G295)&gt;0,
     COUNTIFS($AF$2:$AF$200,$G295)&gt;0,
     COUNTIFS($AG$2:$AG$200,$G295)&gt;0,
     COUNTIFS($AH$2:$AH$200,$G295)&gt;0,
     COUNTIFS($AI$2:$AI$200,$G295)&gt;0,
     COUNTIFS($AJ$2:$AJ$200,$G295)&gt;0,
     COUNTIFS($AK$2:$AK$200,$G295)&gt;0,
     COUNTIFS($AL$2:$AL$200,$G295)&gt;0,
     COUNTIFS($AM$2:$AM$200,$G295)&gt;0,
     COUNTIFS($AN$2:$AN$200,$G295)&gt;0,
     COUNTIFS($AO$2:$AO$200,$G295)&gt;0,
     COUNTIFS($AP$2:$AP$200,$G295)&gt;0,
     COUNTIFS($AQ$2:$AQ$200,$G295)&gt;0,
     COUNTIFS($AR$2:$AR$200,$G295)&gt;0,
     COUNTIFS($AS$2:$AS$200,$G295)&gt;0,
     COUNTIFS($AT$2:$AT$200,$G295)&gt;0,
     COUNTIFS($AU$2:$AU$200,$G295)&gt;0,
     COUNTIFS($AV$2:$AV$200,$G295)&gt;0,
     COUNTIFS($AW$2:$AW$200,$G295)&gt;0,
     COUNTIFS($AX$2:$AX$200,$G295)&gt;0
   )),
  ),
  4
 ),
"")</f>
        <v/>
      </c>
      <c r="G295" t="str">
        <f ca="1"/>
        <v>Three Visits</v>
      </c>
      <c r="CJ295" t="str">
        <f ca="1"/>
        <v>Three Visits</v>
      </c>
    </row>
    <row r="296" spans="1:88" x14ac:dyDescent="0.25">
      <c r="A296" s="3" t="str">
        <f t="shared" ca="1" si="10"/>
        <v>2</v>
      </c>
      <c r="B296" s="3">
        <f t="shared" ca="1" si="11"/>
        <v>1</v>
      </c>
      <c r="C296" s="3" t="str">
        <f ca="1">IFERROR(
 INDEX($U$1:$AX$1,
  MATCH(TRUE,
   CHOOSE({1;2;3;4;5;6;7;8;9;10;11;12;13;14;15;16;17;18;19;20;21;22;23;24;25;26;27;28;29;30;31;32},
    COUNTIFS($U$2:$U$200,$G296)&gt;0,
    COUNTIFS($V$2:$V$200,$G296)&gt;0,
    COUNTIFS($W$2:$W$200,$G296)&gt;0,
    COUNTIFS($X$2:$X$200,$G296)&gt;0,
    COUNTIFS($Y$2:$Y$200,$G296)&gt;0,
    COUNTIFS($Z$2:$Z$200,$G296)&gt;0,
    COUNTIFS($AA$2:$AA$200,$G296)&gt;0,
    COUNTIFS($AB$2:$AB$200,$G296)&gt;0,
    COUNTIFS($AC$2:$AC$200,$G296)&gt;0,
    COUNTIFS($AD$2:$AD$200,$G296)&gt;0,
    COUNTIFS($AE$2:$AE$200,$G296)&gt;0,
    COUNTIFS($AF$2:$AF$200,$G296)&gt;0,
    COUNTIFS($AG$2:$AG$200,$G296)&gt;0,
    COUNTIFS($AH$2:$AH$200,$G296)&gt;0,
    COUNTIFS($AI$2:$AI$200,$G296)&gt;0,
    COUNTIFS($AJ$2:$AJ$200,$G296)&gt;0,
    COUNTIFS($AK$2:$AK$200,$G296)&gt;0,
    COUNTIFS($AL$2:$AL$200,$G296)&gt;0,
    COUNTIFS($AM$2:$AM$200,$G296)&gt;0,
    COUNTIFS($AN$2:$AN$200,$G296)&gt;0,
    COUNTIFS($AO$2:$AO$200,$G296)&gt;0,
    COUNTIFS($AP$2:$AP$200,$G296)&gt;0,
    COUNTIFS($AQ$2:$AQ$200,$G296)&gt;0,
    COUNTIFS($AR$2:$AR$200,$G296)&gt;0,
    COUNTIFS($AS$2:$AS$200,$G296)&gt;0,
    COUNTIFS($AT$2:$AT$200,$G296)&gt;0,
    COUNTIFS($AU$2:$AU$200,$G296)&gt;0,
    COUNTIFS($AV$2:$AV$200,$G296)&gt;0,
    COUNTIFS($AW$2:$AW$200,$G296)&gt;0,
    COUNTIFS($AX$2:$AX$200,$G296)&gt;0
   ),
  0)
 ),
"")</f>
        <v>Kumena</v>
      </c>
      <c r="D296" s="3" t="str" cm="1">
        <f t="array" aca="1" ref="D296" ca="1">IFERROR(
 INDEX(
  _xlfn._xlws.FILTER($U$1:$AX$1,
   TRANSPOSE(
    CHOOSE({1;2;3;4;5;6;7;8;9;10;11;12;13;14;15;16;17;18;19;20;21;22;23;24;25;26;27;28;29;30},
     COUNTIFS($U$2:$U$200,$G296)&gt;0,
     COUNTIFS($V$2:$V$200,$G296)&gt;0,
     COUNTIFS($W$2:$W$200,$G296)&gt;0,
     COUNTIFS($X$2:$X$200,$G296)&gt;0,
     COUNTIFS($Y$2:$Y$200,$G296)&gt;0,
     COUNTIFS($Z$2:$Z$200,$G296)&gt;0,
     COUNTIFS($AA$2:$AA$200,$G296)&gt;0,
     COUNTIFS($AB$2:$AB$200,$G296)&gt;0,
     COUNTIFS($AC$2:$AC$200,$G296)&gt;0,
     COUNTIFS($AD$2:$AD$200,$G296)&gt;0,
     COUNTIFS($AE$2:$AE$200,$G296)&gt;0,
     COUNTIFS($AF$2:$AF$200,$G296)&gt;0,
     COUNTIFS($AG$2:$AG$200,$G296)&gt;0,
     COUNTIFS($AH$2:$AH$200,$G296)&gt;0,
     COUNTIFS($AI$2:$AI$200,$G296)&gt;0,
     COUNTIFS($AJ$2:$AJ$200,$G296)&gt;0,
     COUNTIFS($AK$2:$AK$200,$G296)&gt;0,
     COUNTIFS($AL$2:$AL$200,$G296)&gt;0,
     COUNTIFS($AM$2:$AM$200,$G296)&gt;0,
     COUNTIFS($AN$2:$AN$200,$G296)&gt;0,
     COUNTIFS($AO$2:$AO$200,$G296)&gt;0,
     COUNTIFS($AP$2:$AP$200,$G296)&gt;0,
     COUNTIFS($AQ$2:$AQ$200,$G296)&gt;0,
     COUNTIFS($AR$2:$AR$200,$G296)&gt;0,
     COUNTIFS($AS$2:$AS$200,$G296)&gt;0,
     COUNTIFS($AT$2:$AT$200,$G296)&gt;0,
     COUNTIFS($AU$2:$AU$200,$G296)&gt;0,
     COUNTIFS($AV$2:$AV$200,$G296)&gt;0,
     COUNTIFS($AW$2:$AW$200,$G296)&gt;0,
     COUNTIFS($AX$2:$AX$200,$G296)&gt;0
   )),
  ),
  2
 ),
"")</f>
        <v/>
      </c>
      <c r="E296" s="3" t="str" cm="1">
        <f t="array" aca="1" ref="E296" ca="1">IFERROR(
 INDEX(
  _xlfn._xlws.FILTER($U$1:$AX$1,
   TRANSPOSE(
    CHOOSE({1;2;3;4;5;6;7;8;9;10;11;12;13;14;15;16;17;18;19;20;21;22;23;24;25;26;27;28;29;30},
     COUNTIFS($U$2:$U$200,$G296)&gt;0,
     COUNTIFS($V$2:$V$200,$G296)&gt;0,
     COUNTIFS($W$2:$W$200,$G296)&gt;0,
     COUNTIFS($X$2:$X$200,$G296)&gt;0,
     COUNTIFS($Y$2:$Y$200,$G296)&gt;0,
     COUNTIFS($Z$2:$Z$200,$G296)&gt;0,
     COUNTIFS($AA$2:$AA$200,$G296)&gt;0,
     COUNTIFS($AB$2:$AB$200,$G296)&gt;0,
     COUNTIFS($AC$2:$AC$200,$G296)&gt;0,
     COUNTIFS($AD$2:$AD$200,$G296)&gt;0,
     COUNTIFS($AE$2:$AE$200,$G296)&gt;0,
     COUNTIFS($AF$2:$AF$200,$G296)&gt;0,
     COUNTIFS($AG$2:$AG$200,$G296)&gt;0,
     COUNTIFS($AH$2:$AH$200,$G296)&gt;0,
     COUNTIFS($AI$2:$AI$200,$G296)&gt;0,
     COUNTIFS($AJ$2:$AJ$200,$G296)&gt;0,
     COUNTIFS($AK$2:$AK$200,$G296)&gt;0,
     COUNTIFS($AL$2:$AL$200,$G296)&gt;0,
     COUNTIFS($AM$2:$AM$200,$G296)&gt;0,
     COUNTIFS($AN$2:$AN$200,$G296)&gt;0,
     COUNTIFS($AO$2:$AO$200,$G296)&gt;0,
     COUNTIFS($AP$2:$AP$200,$G296)&gt;0,
     COUNTIFS($AQ$2:$AQ$200,$G296)&gt;0,
     COUNTIFS($AR$2:$AR$200,$G296)&gt;0,
     COUNTIFS($AS$2:$AS$200,$G296)&gt;0,
     COUNTIFS($AT$2:$AT$200,$G296)&gt;0,
     COUNTIFS($AU$2:$AU$200,$G296)&gt;0,
     COUNTIFS($AV$2:$AV$200,$G296)&gt;0,
     COUNTIFS($AW$2:$AW$200,$G296)&gt;0,
     COUNTIFS($AX$2:$AX$200,$G296)&gt;0
   )),
  ),
  3
 ),
"")</f>
        <v/>
      </c>
      <c r="F296" s="3" t="str" cm="1">
        <f t="array" aca="1" ref="F296" ca="1">IFERROR(
 INDEX(
  _xlfn._xlws.FILTER($U$1:$AX$1,
   TRANSPOSE(
    CHOOSE({1;2;3;4;5;6;7;8;9;10;11;12;13;14;15;16;17;18;19;20;21;22;23;24;25;26;27;28;29;30},
     COUNTIFS($U$2:$U$200,$G296)&gt;0,
     COUNTIFS($V$2:$V$200,$G296)&gt;0,
     COUNTIFS($W$2:$W$200,$G296)&gt;0,
     COUNTIFS($X$2:$X$200,$G296)&gt;0,
     COUNTIFS($Y$2:$Y$200,$G296)&gt;0,
     COUNTIFS($Z$2:$Z$200,$G296)&gt;0,
     COUNTIFS($AA$2:$AA$200,$G296)&gt;0,
     COUNTIFS($AB$2:$AB$200,$G296)&gt;0,
     COUNTIFS($AC$2:$AC$200,$G296)&gt;0,
     COUNTIFS($AD$2:$AD$200,$G296)&gt;0,
     COUNTIFS($AE$2:$AE$200,$G296)&gt;0,
     COUNTIFS($AF$2:$AF$200,$G296)&gt;0,
     COUNTIFS($AG$2:$AG$200,$G296)&gt;0,
     COUNTIFS($AH$2:$AH$200,$G296)&gt;0,
     COUNTIFS($AI$2:$AI$200,$G296)&gt;0,
     COUNTIFS($AJ$2:$AJ$200,$G296)&gt;0,
     COUNTIFS($AK$2:$AK$200,$G296)&gt;0,
     COUNTIFS($AL$2:$AL$200,$G296)&gt;0,
     COUNTIFS($AM$2:$AM$200,$G296)&gt;0,
     COUNTIFS($AN$2:$AN$200,$G296)&gt;0,
     COUNTIFS($AO$2:$AO$200,$G296)&gt;0,
     COUNTIFS($AP$2:$AP$200,$G296)&gt;0,
     COUNTIFS($AQ$2:$AQ$200,$G296)&gt;0,
     COUNTIFS($AR$2:$AR$200,$G296)&gt;0,
     COUNTIFS($AS$2:$AS$200,$G296)&gt;0,
     COUNTIFS($AT$2:$AT$200,$G296)&gt;0,
     COUNTIFS($AU$2:$AU$200,$G296)&gt;0,
     COUNTIFS($AV$2:$AV$200,$G296)&gt;0,
     COUNTIFS($AW$2:$AW$200,$G296)&gt;0,
     COUNTIFS($AX$2:$AX$200,$G296)&gt;0
   )),
  ),
  4
 ),
"")</f>
        <v/>
      </c>
      <c r="G296" t="str">
        <f ca="1"/>
        <v>Throne of the God-Pharaoh</v>
      </c>
      <c r="CJ296" t="str">
        <f ca="1"/>
        <v>Throne of the God-Pharaoh</v>
      </c>
    </row>
    <row r="297" spans="1:88" x14ac:dyDescent="0.25">
      <c r="A297" s="3" t="str">
        <f t="shared" ca="1" si="10"/>
        <v>4</v>
      </c>
      <c r="B297" s="3">
        <f t="shared" ca="1" si="11"/>
        <v>1</v>
      </c>
      <c r="C297" s="3" t="str">
        <f ca="1">IFERROR(
 INDEX($U$1:$AX$1,
  MATCH(TRUE,
   CHOOSE({1;2;3;4;5;6;7;8;9;10;11;12;13;14;15;16;17;18;19;20;21;22;23;24;25;26;27;28;29;30;31;32},
    COUNTIFS($U$2:$U$200,$G297)&gt;0,
    COUNTIFS($V$2:$V$200,$G297)&gt;0,
    COUNTIFS($W$2:$W$200,$G297)&gt;0,
    COUNTIFS($X$2:$X$200,$G297)&gt;0,
    COUNTIFS($Y$2:$Y$200,$G297)&gt;0,
    COUNTIFS($Z$2:$Z$200,$G297)&gt;0,
    COUNTIFS($AA$2:$AA$200,$G297)&gt;0,
    COUNTIFS($AB$2:$AB$200,$G297)&gt;0,
    COUNTIFS($AC$2:$AC$200,$G297)&gt;0,
    COUNTIFS($AD$2:$AD$200,$G297)&gt;0,
    COUNTIFS($AE$2:$AE$200,$G297)&gt;0,
    COUNTIFS($AF$2:$AF$200,$G297)&gt;0,
    COUNTIFS($AG$2:$AG$200,$G297)&gt;0,
    COUNTIFS($AH$2:$AH$200,$G297)&gt;0,
    COUNTIFS($AI$2:$AI$200,$G297)&gt;0,
    COUNTIFS($AJ$2:$AJ$200,$G297)&gt;0,
    COUNTIFS($AK$2:$AK$200,$G297)&gt;0,
    COUNTIFS($AL$2:$AL$200,$G297)&gt;0,
    COUNTIFS($AM$2:$AM$200,$G297)&gt;0,
    COUNTIFS($AN$2:$AN$200,$G297)&gt;0,
    COUNTIFS($AO$2:$AO$200,$G297)&gt;0,
    COUNTIFS($AP$2:$AP$200,$G297)&gt;0,
    COUNTIFS($AQ$2:$AQ$200,$G297)&gt;0,
    COUNTIFS($AR$2:$AR$200,$G297)&gt;0,
    COUNTIFS($AS$2:$AS$200,$G297)&gt;0,
    COUNTIFS($AT$2:$AT$200,$G297)&gt;0,
    COUNTIFS($AU$2:$AU$200,$G297)&gt;0,
    COUNTIFS($AV$2:$AV$200,$G297)&gt;0,
    COUNTIFS($AW$2:$AW$200,$G297)&gt;0,
    COUNTIFS($AX$2:$AX$200,$G297)&gt;0
   ),
  0)
 ),
"")</f>
        <v>Fractius</v>
      </c>
      <c r="D297" s="3" t="str" cm="1">
        <f t="array" aca="1" ref="D297" ca="1">IFERROR(
 INDEX(
  _xlfn._xlws.FILTER($U$1:$AX$1,
   TRANSPOSE(
    CHOOSE({1;2;3;4;5;6;7;8;9;10;11;12;13;14;15;16;17;18;19;20;21;22;23;24;25;26;27;28;29;30},
     COUNTIFS($U$2:$U$200,$G297)&gt;0,
     COUNTIFS($V$2:$V$200,$G297)&gt;0,
     COUNTIFS($W$2:$W$200,$G297)&gt;0,
     COUNTIFS($X$2:$X$200,$G297)&gt;0,
     COUNTIFS($Y$2:$Y$200,$G297)&gt;0,
     COUNTIFS($Z$2:$Z$200,$G297)&gt;0,
     COUNTIFS($AA$2:$AA$200,$G297)&gt;0,
     COUNTIFS($AB$2:$AB$200,$G297)&gt;0,
     COUNTIFS($AC$2:$AC$200,$G297)&gt;0,
     COUNTIFS($AD$2:$AD$200,$G297)&gt;0,
     COUNTIFS($AE$2:$AE$200,$G297)&gt;0,
     COUNTIFS($AF$2:$AF$200,$G297)&gt;0,
     COUNTIFS($AG$2:$AG$200,$G297)&gt;0,
     COUNTIFS($AH$2:$AH$200,$G297)&gt;0,
     COUNTIFS($AI$2:$AI$200,$G297)&gt;0,
     COUNTIFS($AJ$2:$AJ$200,$G297)&gt;0,
     COUNTIFS($AK$2:$AK$200,$G297)&gt;0,
     COUNTIFS($AL$2:$AL$200,$G297)&gt;0,
     COUNTIFS($AM$2:$AM$200,$G297)&gt;0,
     COUNTIFS($AN$2:$AN$200,$G297)&gt;0,
     COUNTIFS($AO$2:$AO$200,$G297)&gt;0,
     COUNTIFS($AP$2:$AP$200,$G297)&gt;0,
     COUNTIFS($AQ$2:$AQ$200,$G297)&gt;0,
     COUNTIFS($AR$2:$AR$200,$G297)&gt;0,
     COUNTIFS($AS$2:$AS$200,$G297)&gt;0,
     COUNTIFS($AT$2:$AT$200,$G297)&gt;0,
     COUNTIFS($AU$2:$AU$200,$G297)&gt;0,
     COUNTIFS($AV$2:$AV$200,$G297)&gt;0,
     COUNTIFS($AW$2:$AW$200,$G297)&gt;0,
     COUNTIFS($AX$2:$AX$200,$G297)&gt;0
   )),
  ),
  2
 ),
"")</f>
        <v/>
      </c>
      <c r="E297" s="3" t="str" cm="1">
        <f t="array" aca="1" ref="E297" ca="1">IFERROR(
 INDEX(
  _xlfn._xlws.FILTER($U$1:$AX$1,
   TRANSPOSE(
    CHOOSE({1;2;3;4;5;6;7;8;9;10;11;12;13;14;15;16;17;18;19;20;21;22;23;24;25;26;27;28;29;30},
     COUNTIFS($U$2:$U$200,$G297)&gt;0,
     COUNTIFS($V$2:$V$200,$G297)&gt;0,
     COUNTIFS($W$2:$W$200,$G297)&gt;0,
     COUNTIFS($X$2:$X$200,$G297)&gt;0,
     COUNTIFS($Y$2:$Y$200,$G297)&gt;0,
     COUNTIFS($Z$2:$Z$200,$G297)&gt;0,
     COUNTIFS($AA$2:$AA$200,$G297)&gt;0,
     COUNTIFS($AB$2:$AB$200,$G297)&gt;0,
     COUNTIFS($AC$2:$AC$200,$G297)&gt;0,
     COUNTIFS($AD$2:$AD$200,$G297)&gt;0,
     COUNTIFS($AE$2:$AE$200,$G297)&gt;0,
     COUNTIFS($AF$2:$AF$200,$G297)&gt;0,
     COUNTIFS($AG$2:$AG$200,$G297)&gt;0,
     COUNTIFS($AH$2:$AH$200,$G297)&gt;0,
     COUNTIFS($AI$2:$AI$200,$G297)&gt;0,
     COUNTIFS($AJ$2:$AJ$200,$G297)&gt;0,
     COUNTIFS($AK$2:$AK$200,$G297)&gt;0,
     COUNTIFS($AL$2:$AL$200,$G297)&gt;0,
     COUNTIFS($AM$2:$AM$200,$G297)&gt;0,
     COUNTIFS($AN$2:$AN$200,$G297)&gt;0,
     COUNTIFS($AO$2:$AO$200,$G297)&gt;0,
     COUNTIFS($AP$2:$AP$200,$G297)&gt;0,
     COUNTIFS($AQ$2:$AQ$200,$G297)&gt;0,
     COUNTIFS($AR$2:$AR$200,$G297)&gt;0,
     COUNTIFS($AS$2:$AS$200,$G297)&gt;0,
     COUNTIFS($AT$2:$AT$200,$G297)&gt;0,
     COUNTIFS($AU$2:$AU$200,$G297)&gt;0,
     COUNTIFS($AV$2:$AV$200,$G297)&gt;0,
     COUNTIFS($AW$2:$AW$200,$G297)&gt;0,
     COUNTIFS($AX$2:$AX$200,$G297)&gt;0
   )),
  ),
  3
 ),
"")</f>
        <v/>
      </c>
      <c r="F297" s="3" t="str" cm="1">
        <f t="array" aca="1" ref="F297" ca="1">IFERROR(
 INDEX(
  _xlfn._xlws.FILTER($U$1:$AX$1,
   TRANSPOSE(
    CHOOSE({1;2;3;4;5;6;7;8;9;10;11;12;13;14;15;16;17;18;19;20;21;22;23;24;25;26;27;28;29;30},
     COUNTIFS($U$2:$U$200,$G297)&gt;0,
     COUNTIFS($V$2:$V$200,$G297)&gt;0,
     COUNTIFS($W$2:$W$200,$G297)&gt;0,
     COUNTIFS($X$2:$X$200,$G297)&gt;0,
     COUNTIFS($Y$2:$Y$200,$G297)&gt;0,
     COUNTIFS($Z$2:$Z$200,$G297)&gt;0,
     COUNTIFS($AA$2:$AA$200,$G297)&gt;0,
     COUNTIFS($AB$2:$AB$200,$G297)&gt;0,
     COUNTIFS($AC$2:$AC$200,$G297)&gt;0,
     COUNTIFS($AD$2:$AD$200,$G297)&gt;0,
     COUNTIFS($AE$2:$AE$200,$G297)&gt;0,
     COUNTIFS($AF$2:$AF$200,$G297)&gt;0,
     COUNTIFS($AG$2:$AG$200,$G297)&gt;0,
     COUNTIFS($AH$2:$AH$200,$G297)&gt;0,
     COUNTIFS($AI$2:$AI$200,$G297)&gt;0,
     COUNTIFS($AJ$2:$AJ$200,$G297)&gt;0,
     COUNTIFS($AK$2:$AK$200,$G297)&gt;0,
     COUNTIFS($AL$2:$AL$200,$G297)&gt;0,
     COUNTIFS($AM$2:$AM$200,$G297)&gt;0,
     COUNTIFS($AN$2:$AN$200,$G297)&gt;0,
     COUNTIFS($AO$2:$AO$200,$G297)&gt;0,
     COUNTIFS($AP$2:$AP$200,$G297)&gt;0,
     COUNTIFS($AQ$2:$AQ$200,$G297)&gt;0,
     COUNTIFS($AR$2:$AR$200,$G297)&gt;0,
     COUNTIFS($AS$2:$AS$200,$G297)&gt;0,
     COUNTIFS($AT$2:$AT$200,$G297)&gt;0,
     COUNTIFS($AU$2:$AU$200,$G297)&gt;0,
     COUNTIFS($AV$2:$AV$200,$G297)&gt;0,
     COUNTIFS($AW$2:$AW$200,$G297)&gt;0,
     COUNTIFS($AX$2:$AX$200,$G297)&gt;0
   )),
  ),
  4
 ),
"")</f>
        <v/>
      </c>
      <c r="G297" t="str">
        <f ca="1"/>
        <v>Thrumming Hivepool</v>
      </c>
      <c r="CJ297" t="str">
        <f ca="1"/>
        <v>Thrumming Hivepool</v>
      </c>
    </row>
    <row r="298" spans="1:88" x14ac:dyDescent="0.25">
      <c r="A298" s="3" t="str">
        <f t="shared" ca="1" si="10"/>
        <v>2</v>
      </c>
      <c r="B298" s="3">
        <f t="shared" ca="1" si="11"/>
        <v>1</v>
      </c>
      <c r="C298" s="3" t="str">
        <f ca="1">IFERROR(
 INDEX($U$1:$AX$1,
  MATCH(TRUE,
   CHOOSE({1;2;3;4;5;6;7;8;9;10;11;12;13;14;15;16;17;18;19;20;21;22;23;24;25;26;27;28;29;30;31;32},
    COUNTIFS($U$2:$U$200,$G298)&gt;0,
    COUNTIFS($V$2:$V$200,$G298)&gt;0,
    COUNTIFS($W$2:$W$200,$G298)&gt;0,
    COUNTIFS($X$2:$X$200,$G298)&gt;0,
    COUNTIFS($Y$2:$Y$200,$G298)&gt;0,
    COUNTIFS($Z$2:$Z$200,$G298)&gt;0,
    COUNTIFS($AA$2:$AA$200,$G298)&gt;0,
    COUNTIFS($AB$2:$AB$200,$G298)&gt;0,
    COUNTIFS($AC$2:$AC$200,$G298)&gt;0,
    COUNTIFS($AD$2:$AD$200,$G298)&gt;0,
    COUNTIFS($AE$2:$AE$200,$G298)&gt;0,
    COUNTIFS($AF$2:$AF$200,$G298)&gt;0,
    COUNTIFS($AG$2:$AG$200,$G298)&gt;0,
    COUNTIFS($AH$2:$AH$200,$G298)&gt;0,
    COUNTIFS($AI$2:$AI$200,$G298)&gt;0,
    COUNTIFS($AJ$2:$AJ$200,$G298)&gt;0,
    COUNTIFS($AK$2:$AK$200,$G298)&gt;0,
    COUNTIFS($AL$2:$AL$200,$G298)&gt;0,
    COUNTIFS($AM$2:$AM$200,$G298)&gt;0,
    COUNTIFS($AN$2:$AN$200,$G298)&gt;0,
    COUNTIFS($AO$2:$AO$200,$G298)&gt;0,
    COUNTIFS($AP$2:$AP$200,$G298)&gt;0,
    COUNTIFS($AQ$2:$AQ$200,$G298)&gt;0,
    COUNTIFS($AR$2:$AR$200,$G298)&gt;0,
    COUNTIFS($AS$2:$AS$200,$G298)&gt;0,
    COUNTIFS($AT$2:$AT$200,$G298)&gt;0,
    COUNTIFS($AU$2:$AU$200,$G298)&gt;0,
    COUNTIFS($AV$2:$AV$200,$G298)&gt;0,
    COUNTIFS($AW$2:$AW$200,$G298)&gt;0,
    COUNTIFS($AX$2:$AX$200,$G298)&gt;0
   ),
  0)
 ),
"")</f>
        <v>Baylen</v>
      </c>
      <c r="D298" s="3" t="str" cm="1">
        <f t="array" aca="1" ref="D298" ca="1">IFERROR(
 INDEX(
  _xlfn._xlws.FILTER($U$1:$AX$1,
   TRANSPOSE(
    CHOOSE({1;2;3;4;5;6;7;8;9;10;11;12;13;14;15;16;17;18;19;20;21;22;23;24;25;26;27;28;29;30},
     COUNTIFS($U$2:$U$200,$G298)&gt;0,
     COUNTIFS($V$2:$V$200,$G298)&gt;0,
     COUNTIFS($W$2:$W$200,$G298)&gt;0,
     COUNTIFS($X$2:$X$200,$G298)&gt;0,
     COUNTIFS($Y$2:$Y$200,$G298)&gt;0,
     COUNTIFS($Z$2:$Z$200,$G298)&gt;0,
     COUNTIFS($AA$2:$AA$200,$G298)&gt;0,
     COUNTIFS($AB$2:$AB$200,$G298)&gt;0,
     COUNTIFS($AC$2:$AC$200,$G298)&gt;0,
     COUNTIFS($AD$2:$AD$200,$G298)&gt;0,
     COUNTIFS($AE$2:$AE$200,$G298)&gt;0,
     COUNTIFS($AF$2:$AF$200,$G298)&gt;0,
     COUNTIFS($AG$2:$AG$200,$G298)&gt;0,
     COUNTIFS($AH$2:$AH$200,$G298)&gt;0,
     COUNTIFS($AI$2:$AI$200,$G298)&gt;0,
     COUNTIFS($AJ$2:$AJ$200,$G298)&gt;0,
     COUNTIFS($AK$2:$AK$200,$G298)&gt;0,
     COUNTIFS($AL$2:$AL$200,$G298)&gt;0,
     COUNTIFS($AM$2:$AM$200,$G298)&gt;0,
     COUNTIFS($AN$2:$AN$200,$G298)&gt;0,
     COUNTIFS($AO$2:$AO$200,$G298)&gt;0,
     COUNTIFS($AP$2:$AP$200,$G298)&gt;0,
     COUNTIFS($AQ$2:$AQ$200,$G298)&gt;0,
     COUNTIFS($AR$2:$AR$200,$G298)&gt;0,
     COUNTIFS($AS$2:$AS$200,$G298)&gt;0,
     COUNTIFS($AT$2:$AT$200,$G298)&gt;0,
     COUNTIFS($AU$2:$AU$200,$G298)&gt;0,
     COUNTIFS($AV$2:$AV$200,$G298)&gt;0,
     COUNTIFS($AW$2:$AW$200,$G298)&gt;0,
     COUNTIFS($AX$2:$AX$200,$G298)&gt;0
   )),
  ),
  2
 ),
"")</f>
        <v/>
      </c>
      <c r="E298" s="3" t="str" cm="1">
        <f t="array" aca="1" ref="E298" ca="1">IFERROR(
 INDEX(
  _xlfn._xlws.FILTER($U$1:$AX$1,
   TRANSPOSE(
    CHOOSE({1;2;3;4;5;6;7;8;9;10;11;12;13;14;15;16;17;18;19;20;21;22;23;24;25;26;27;28;29;30},
     COUNTIFS($U$2:$U$200,$G298)&gt;0,
     COUNTIFS($V$2:$V$200,$G298)&gt;0,
     COUNTIFS($W$2:$W$200,$G298)&gt;0,
     COUNTIFS($X$2:$X$200,$G298)&gt;0,
     COUNTIFS($Y$2:$Y$200,$G298)&gt;0,
     COUNTIFS($Z$2:$Z$200,$G298)&gt;0,
     COUNTIFS($AA$2:$AA$200,$G298)&gt;0,
     COUNTIFS($AB$2:$AB$200,$G298)&gt;0,
     COUNTIFS($AC$2:$AC$200,$G298)&gt;0,
     COUNTIFS($AD$2:$AD$200,$G298)&gt;0,
     COUNTIFS($AE$2:$AE$200,$G298)&gt;0,
     COUNTIFS($AF$2:$AF$200,$G298)&gt;0,
     COUNTIFS($AG$2:$AG$200,$G298)&gt;0,
     COUNTIFS($AH$2:$AH$200,$G298)&gt;0,
     COUNTIFS($AI$2:$AI$200,$G298)&gt;0,
     COUNTIFS($AJ$2:$AJ$200,$G298)&gt;0,
     COUNTIFS($AK$2:$AK$200,$G298)&gt;0,
     COUNTIFS($AL$2:$AL$200,$G298)&gt;0,
     COUNTIFS($AM$2:$AM$200,$G298)&gt;0,
     COUNTIFS($AN$2:$AN$200,$G298)&gt;0,
     COUNTIFS($AO$2:$AO$200,$G298)&gt;0,
     COUNTIFS($AP$2:$AP$200,$G298)&gt;0,
     COUNTIFS($AQ$2:$AQ$200,$G298)&gt;0,
     COUNTIFS($AR$2:$AR$200,$G298)&gt;0,
     COUNTIFS($AS$2:$AS$200,$G298)&gt;0,
     COUNTIFS($AT$2:$AT$200,$G298)&gt;0,
     COUNTIFS($AU$2:$AU$200,$G298)&gt;0,
     COUNTIFS($AV$2:$AV$200,$G298)&gt;0,
     COUNTIFS($AW$2:$AW$200,$G298)&gt;0,
     COUNTIFS($AX$2:$AX$200,$G298)&gt;0
   )),
  ),
  3
 ),
"")</f>
        <v/>
      </c>
      <c r="F298" s="3" t="str" cm="1">
        <f t="array" aca="1" ref="F298" ca="1">IFERROR(
 INDEX(
  _xlfn._xlws.FILTER($U$1:$AX$1,
   TRANSPOSE(
    CHOOSE({1;2;3;4;5;6;7;8;9;10;11;12;13;14;15;16;17;18;19;20;21;22;23;24;25;26;27;28;29;30},
     COUNTIFS($U$2:$U$200,$G298)&gt;0,
     COUNTIFS($V$2:$V$200,$G298)&gt;0,
     COUNTIFS($W$2:$W$200,$G298)&gt;0,
     COUNTIFS($X$2:$X$200,$G298)&gt;0,
     COUNTIFS($Y$2:$Y$200,$G298)&gt;0,
     COUNTIFS($Z$2:$Z$200,$G298)&gt;0,
     COUNTIFS($AA$2:$AA$200,$G298)&gt;0,
     COUNTIFS($AB$2:$AB$200,$G298)&gt;0,
     COUNTIFS($AC$2:$AC$200,$G298)&gt;0,
     COUNTIFS($AD$2:$AD$200,$G298)&gt;0,
     COUNTIFS($AE$2:$AE$200,$G298)&gt;0,
     COUNTIFS($AF$2:$AF$200,$G298)&gt;0,
     COUNTIFS($AG$2:$AG$200,$G298)&gt;0,
     COUNTIFS($AH$2:$AH$200,$G298)&gt;0,
     COUNTIFS($AI$2:$AI$200,$G298)&gt;0,
     COUNTIFS($AJ$2:$AJ$200,$G298)&gt;0,
     COUNTIFS($AK$2:$AK$200,$G298)&gt;0,
     COUNTIFS($AL$2:$AL$200,$G298)&gt;0,
     COUNTIFS($AM$2:$AM$200,$G298)&gt;0,
     COUNTIFS($AN$2:$AN$200,$G298)&gt;0,
     COUNTIFS($AO$2:$AO$200,$G298)&gt;0,
     COUNTIFS($AP$2:$AP$200,$G298)&gt;0,
     COUNTIFS($AQ$2:$AQ$200,$G298)&gt;0,
     COUNTIFS($AR$2:$AR$200,$G298)&gt;0,
     COUNTIFS($AS$2:$AS$200,$G298)&gt;0,
     COUNTIFS($AT$2:$AT$200,$G298)&gt;0,
     COUNTIFS($AU$2:$AU$200,$G298)&gt;0,
     COUNTIFS($AV$2:$AV$200,$G298)&gt;0,
     COUNTIFS($AW$2:$AW$200,$G298)&gt;0,
     COUNTIFS($AX$2:$AX$200,$G298)&gt;0
   )),
  ),
  4
 ),
"")</f>
        <v/>
      </c>
      <c r="G298" t="str">
        <f ca="1"/>
        <v>Time of Need</v>
      </c>
      <c r="CJ298" t="str">
        <f ca="1"/>
        <v>Time of Need</v>
      </c>
    </row>
    <row r="299" spans="1:88" x14ac:dyDescent="0.25">
      <c r="A299" s="3" t="str">
        <f t="shared" ca="1" si="10"/>
        <v>2</v>
      </c>
      <c r="B299" s="3">
        <f t="shared" ca="1" si="11"/>
        <v>1</v>
      </c>
      <c r="C299" s="3" t="str">
        <f ca="1">IFERROR(
 INDEX($U$1:$AX$1,
  MATCH(TRUE,
   CHOOSE({1;2;3;4;5;6;7;8;9;10;11;12;13;14;15;16;17;18;19;20;21;22;23;24;25;26;27;28;29;30;31;32},
    COUNTIFS($U$2:$U$200,$G299)&gt;0,
    COUNTIFS($V$2:$V$200,$G299)&gt;0,
    COUNTIFS($W$2:$W$200,$G299)&gt;0,
    COUNTIFS($X$2:$X$200,$G299)&gt;0,
    COUNTIFS($Y$2:$Y$200,$G299)&gt;0,
    COUNTIFS($Z$2:$Z$200,$G299)&gt;0,
    COUNTIFS($AA$2:$AA$200,$G299)&gt;0,
    COUNTIFS($AB$2:$AB$200,$G299)&gt;0,
    COUNTIFS($AC$2:$AC$200,$G299)&gt;0,
    COUNTIFS($AD$2:$AD$200,$G299)&gt;0,
    COUNTIFS($AE$2:$AE$200,$G299)&gt;0,
    COUNTIFS($AF$2:$AF$200,$G299)&gt;0,
    COUNTIFS($AG$2:$AG$200,$G299)&gt;0,
    COUNTIFS($AH$2:$AH$200,$G299)&gt;0,
    COUNTIFS($AI$2:$AI$200,$G299)&gt;0,
    COUNTIFS($AJ$2:$AJ$200,$G299)&gt;0,
    COUNTIFS($AK$2:$AK$200,$G299)&gt;0,
    COUNTIFS($AL$2:$AL$200,$G299)&gt;0,
    COUNTIFS($AM$2:$AM$200,$G299)&gt;0,
    COUNTIFS($AN$2:$AN$200,$G299)&gt;0,
    COUNTIFS($AO$2:$AO$200,$G299)&gt;0,
    COUNTIFS($AP$2:$AP$200,$G299)&gt;0,
    COUNTIFS($AQ$2:$AQ$200,$G299)&gt;0,
    COUNTIFS($AR$2:$AR$200,$G299)&gt;0,
    COUNTIFS($AS$2:$AS$200,$G299)&gt;0,
    COUNTIFS($AT$2:$AT$200,$G299)&gt;0,
    COUNTIFS($AU$2:$AU$200,$G299)&gt;0,
    COUNTIFS($AV$2:$AV$200,$G299)&gt;0,
    COUNTIFS($AW$2:$AW$200,$G299)&gt;0,
    COUNTIFS($AX$2:$AX$200,$G299)&gt;0
   ),
  0)
 ),
"")</f>
        <v>Piratas</v>
      </c>
      <c r="D299" s="3" t="str" cm="1">
        <f t="array" aca="1" ref="D299" ca="1">IFERROR(
 INDEX(
  _xlfn._xlws.FILTER($U$1:$AX$1,
   TRANSPOSE(
    CHOOSE({1;2;3;4;5;6;7;8;9;10;11;12;13;14;15;16;17;18;19;20;21;22;23;24;25;26;27;28;29;30},
     COUNTIFS($U$2:$U$200,$G299)&gt;0,
     COUNTIFS($V$2:$V$200,$G299)&gt;0,
     COUNTIFS($W$2:$W$200,$G299)&gt;0,
     COUNTIFS($X$2:$X$200,$G299)&gt;0,
     COUNTIFS($Y$2:$Y$200,$G299)&gt;0,
     COUNTIFS($Z$2:$Z$200,$G299)&gt;0,
     COUNTIFS($AA$2:$AA$200,$G299)&gt;0,
     COUNTIFS($AB$2:$AB$200,$G299)&gt;0,
     COUNTIFS($AC$2:$AC$200,$G299)&gt;0,
     COUNTIFS($AD$2:$AD$200,$G299)&gt;0,
     COUNTIFS($AE$2:$AE$200,$G299)&gt;0,
     COUNTIFS($AF$2:$AF$200,$G299)&gt;0,
     COUNTIFS($AG$2:$AG$200,$G299)&gt;0,
     COUNTIFS($AH$2:$AH$200,$G299)&gt;0,
     COUNTIFS($AI$2:$AI$200,$G299)&gt;0,
     COUNTIFS($AJ$2:$AJ$200,$G299)&gt;0,
     COUNTIFS($AK$2:$AK$200,$G299)&gt;0,
     COUNTIFS($AL$2:$AL$200,$G299)&gt;0,
     COUNTIFS($AM$2:$AM$200,$G299)&gt;0,
     COUNTIFS($AN$2:$AN$200,$G299)&gt;0,
     COUNTIFS($AO$2:$AO$200,$G299)&gt;0,
     COUNTIFS($AP$2:$AP$200,$G299)&gt;0,
     COUNTIFS($AQ$2:$AQ$200,$G299)&gt;0,
     COUNTIFS($AR$2:$AR$200,$G299)&gt;0,
     COUNTIFS($AS$2:$AS$200,$G299)&gt;0,
     COUNTIFS($AT$2:$AT$200,$G299)&gt;0,
     COUNTIFS($AU$2:$AU$200,$G299)&gt;0,
     COUNTIFS($AV$2:$AV$200,$G299)&gt;0,
     COUNTIFS($AW$2:$AW$200,$G299)&gt;0,
     COUNTIFS($AX$2:$AX$200,$G299)&gt;0
   )),
  ),
  2
 ),
"")</f>
        <v/>
      </c>
      <c r="E299" s="3" t="str" cm="1">
        <f t="array" aca="1" ref="E299" ca="1">IFERROR(
 INDEX(
  _xlfn._xlws.FILTER($U$1:$AX$1,
   TRANSPOSE(
    CHOOSE({1;2;3;4;5;6;7;8;9;10;11;12;13;14;15;16;17;18;19;20;21;22;23;24;25;26;27;28;29;30},
     COUNTIFS($U$2:$U$200,$G299)&gt;0,
     COUNTIFS($V$2:$V$200,$G299)&gt;0,
     COUNTIFS($W$2:$W$200,$G299)&gt;0,
     COUNTIFS($X$2:$X$200,$G299)&gt;0,
     COUNTIFS($Y$2:$Y$200,$G299)&gt;0,
     COUNTIFS($Z$2:$Z$200,$G299)&gt;0,
     COUNTIFS($AA$2:$AA$200,$G299)&gt;0,
     COUNTIFS($AB$2:$AB$200,$G299)&gt;0,
     COUNTIFS($AC$2:$AC$200,$G299)&gt;0,
     COUNTIFS($AD$2:$AD$200,$G299)&gt;0,
     COUNTIFS($AE$2:$AE$200,$G299)&gt;0,
     COUNTIFS($AF$2:$AF$200,$G299)&gt;0,
     COUNTIFS($AG$2:$AG$200,$G299)&gt;0,
     COUNTIFS($AH$2:$AH$200,$G299)&gt;0,
     COUNTIFS($AI$2:$AI$200,$G299)&gt;0,
     COUNTIFS($AJ$2:$AJ$200,$G299)&gt;0,
     COUNTIFS($AK$2:$AK$200,$G299)&gt;0,
     COUNTIFS($AL$2:$AL$200,$G299)&gt;0,
     COUNTIFS($AM$2:$AM$200,$G299)&gt;0,
     COUNTIFS($AN$2:$AN$200,$G299)&gt;0,
     COUNTIFS($AO$2:$AO$200,$G299)&gt;0,
     COUNTIFS($AP$2:$AP$200,$G299)&gt;0,
     COUNTIFS($AQ$2:$AQ$200,$G299)&gt;0,
     COUNTIFS($AR$2:$AR$200,$G299)&gt;0,
     COUNTIFS($AS$2:$AS$200,$G299)&gt;0,
     COUNTIFS($AT$2:$AT$200,$G299)&gt;0,
     COUNTIFS($AU$2:$AU$200,$G299)&gt;0,
     COUNTIFS($AV$2:$AV$200,$G299)&gt;0,
     COUNTIFS($AW$2:$AW$200,$G299)&gt;0,
     COUNTIFS($AX$2:$AX$200,$G299)&gt;0
   )),
  ),
  3
 ),
"")</f>
        <v/>
      </c>
      <c r="F299" s="3" t="str" cm="1">
        <f t="array" aca="1" ref="F299" ca="1">IFERROR(
 INDEX(
  _xlfn._xlws.FILTER($U$1:$AX$1,
   TRANSPOSE(
    CHOOSE({1;2;3;4;5;6;7;8;9;10;11;12;13;14;15;16;17;18;19;20;21;22;23;24;25;26;27;28;29;30},
     COUNTIFS($U$2:$U$200,$G299)&gt;0,
     COUNTIFS($V$2:$V$200,$G299)&gt;0,
     COUNTIFS($W$2:$W$200,$G299)&gt;0,
     COUNTIFS($X$2:$X$200,$G299)&gt;0,
     COUNTIFS($Y$2:$Y$200,$G299)&gt;0,
     COUNTIFS($Z$2:$Z$200,$G299)&gt;0,
     COUNTIFS($AA$2:$AA$200,$G299)&gt;0,
     COUNTIFS($AB$2:$AB$200,$G299)&gt;0,
     COUNTIFS($AC$2:$AC$200,$G299)&gt;0,
     COUNTIFS($AD$2:$AD$200,$G299)&gt;0,
     COUNTIFS($AE$2:$AE$200,$G299)&gt;0,
     COUNTIFS($AF$2:$AF$200,$G299)&gt;0,
     COUNTIFS($AG$2:$AG$200,$G299)&gt;0,
     COUNTIFS($AH$2:$AH$200,$G299)&gt;0,
     COUNTIFS($AI$2:$AI$200,$G299)&gt;0,
     COUNTIFS($AJ$2:$AJ$200,$G299)&gt;0,
     COUNTIFS($AK$2:$AK$200,$G299)&gt;0,
     COUNTIFS($AL$2:$AL$200,$G299)&gt;0,
     COUNTIFS($AM$2:$AM$200,$G299)&gt;0,
     COUNTIFS($AN$2:$AN$200,$G299)&gt;0,
     COUNTIFS($AO$2:$AO$200,$G299)&gt;0,
     COUNTIFS($AP$2:$AP$200,$G299)&gt;0,
     COUNTIFS($AQ$2:$AQ$200,$G299)&gt;0,
     COUNTIFS($AR$2:$AR$200,$G299)&gt;0,
     COUNTIFS($AS$2:$AS$200,$G299)&gt;0,
     COUNTIFS($AT$2:$AT$200,$G299)&gt;0,
     COUNTIFS($AU$2:$AU$200,$G299)&gt;0,
     COUNTIFS($AV$2:$AV$200,$G299)&gt;0,
     COUNTIFS($AW$2:$AW$200,$G299)&gt;0,
     COUNTIFS($AX$2:$AX$200,$G299)&gt;0
   )),
  ),
  4
 ),
"")</f>
        <v/>
      </c>
      <c r="G299" t="str">
        <f ca="1"/>
        <v>Time Sieve</v>
      </c>
      <c r="CJ299" t="str">
        <f ca="1"/>
        <v>Time Sieve</v>
      </c>
    </row>
    <row r="300" spans="1:88" x14ac:dyDescent="0.25">
      <c r="A300" s="3" t="str">
        <f t="shared" ca="1" si="10"/>
        <v>2</v>
      </c>
      <c r="B300" s="3">
        <f t="shared" ca="1" si="11"/>
        <v>1</v>
      </c>
      <c r="C300" s="3" t="str">
        <f ca="1">IFERROR(
 INDEX($U$1:$AX$1,
  MATCH(TRUE,
   CHOOSE({1;2;3;4;5;6;7;8;9;10;11;12;13;14;15;16;17;18;19;20;21;22;23;24;25;26;27;28;29;30;31;32},
    COUNTIFS($U$2:$U$200,$G300)&gt;0,
    COUNTIFS($V$2:$V$200,$G300)&gt;0,
    COUNTIFS($W$2:$W$200,$G300)&gt;0,
    COUNTIFS($X$2:$X$200,$G300)&gt;0,
    COUNTIFS($Y$2:$Y$200,$G300)&gt;0,
    COUNTIFS($Z$2:$Z$200,$G300)&gt;0,
    COUNTIFS($AA$2:$AA$200,$G300)&gt;0,
    COUNTIFS($AB$2:$AB$200,$G300)&gt;0,
    COUNTIFS($AC$2:$AC$200,$G300)&gt;0,
    COUNTIFS($AD$2:$AD$200,$G300)&gt;0,
    COUNTIFS($AE$2:$AE$200,$G300)&gt;0,
    COUNTIFS($AF$2:$AF$200,$G300)&gt;0,
    COUNTIFS($AG$2:$AG$200,$G300)&gt;0,
    COUNTIFS($AH$2:$AH$200,$G300)&gt;0,
    COUNTIFS($AI$2:$AI$200,$G300)&gt;0,
    COUNTIFS($AJ$2:$AJ$200,$G300)&gt;0,
    COUNTIFS($AK$2:$AK$200,$G300)&gt;0,
    COUNTIFS($AL$2:$AL$200,$G300)&gt;0,
    COUNTIFS($AM$2:$AM$200,$G300)&gt;0,
    COUNTIFS($AN$2:$AN$200,$G300)&gt;0,
    COUNTIFS($AO$2:$AO$200,$G300)&gt;0,
    COUNTIFS($AP$2:$AP$200,$G300)&gt;0,
    COUNTIFS($AQ$2:$AQ$200,$G300)&gt;0,
    COUNTIFS($AR$2:$AR$200,$G300)&gt;0,
    COUNTIFS($AS$2:$AS$200,$G300)&gt;0,
    COUNTIFS($AT$2:$AT$200,$G300)&gt;0,
    COUNTIFS($AU$2:$AU$200,$G300)&gt;0,
    COUNTIFS($AV$2:$AV$200,$G300)&gt;0,
    COUNTIFS($AW$2:$AW$200,$G300)&gt;0,
    COUNTIFS($AX$2:$AX$200,$G300)&gt;0
   ),
  0)
 ),
"")</f>
        <v>Piratas</v>
      </c>
      <c r="D300" s="3" t="str" cm="1">
        <f t="array" aca="1" ref="D300" ca="1">IFERROR(
 INDEX(
  _xlfn._xlws.FILTER($U$1:$AX$1,
   TRANSPOSE(
    CHOOSE({1;2;3;4;5;6;7;8;9;10;11;12;13;14;15;16;17;18;19;20;21;22;23;24;25;26;27;28;29;30},
     COUNTIFS($U$2:$U$200,$G300)&gt;0,
     COUNTIFS($V$2:$V$200,$G300)&gt;0,
     COUNTIFS($W$2:$W$200,$G300)&gt;0,
     COUNTIFS($X$2:$X$200,$G300)&gt;0,
     COUNTIFS($Y$2:$Y$200,$G300)&gt;0,
     COUNTIFS($Z$2:$Z$200,$G300)&gt;0,
     COUNTIFS($AA$2:$AA$200,$G300)&gt;0,
     COUNTIFS($AB$2:$AB$200,$G300)&gt;0,
     COUNTIFS($AC$2:$AC$200,$G300)&gt;0,
     COUNTIFS($AD$2:$AD$200,$G300)&gt;0,
     COUNTIFS($AE$2:$AE$200,$G300)&gt;0,
     COUNTIFS($AF$2:$AF$200,$G300)&gt;0,
     COUNTIFS($AG$2:$AG$200,$G300)&gt;0,
     COUNTIFS($AH$2:$AH$200,$G300)&gt;0,
     COUNTIFS($AI$2:$AI$200,$G300)&gt;0,
     COUNTIFS($AJ$2:$AJ$200,$G300)&gt;0,
     COUNTIFS($AK$2:$AK$200,$G300)&gt;0,
     COUNTIFS($AL$2:$AL$200,$G300)&gt;0,
     COUNTIFS($AM$2:$AM$200,$G300)&gt;0,
     COUNTIFS($AN$2:$AN$200,$G300)&gt;0,
     COUNTIFS($AO$2:$AO$200,$G300)&gt;0,
     COUNTIFS($AP$2:$AP$200,$G300)&gt;0,
     COUNTIFS($AQ$2:$AQ$200,$G300)&gt;0,
     COUNTIFS($AR$2:$AR$200,$G300)&gt;0,
     COUNTIFS($AS$2:$AS$200,$G300)&gt;0,
     COUNTIFS($AT$2:$AT$200,$G300)&gt;0,
     COUNTIFS($AU$2:$AU$200,$G300)&gt;0,
     COUNTIFS($AV$2:$AV$200,$G300)&gt;0,
     COUNTIFS($AW$2:$AW$200,$G300)&gt;0,
     COUNTIFS($AX$2:$AX$200,$G300)&gt;0
   )),
  ),
  2
 ),
"")</f>
        <v/>
      </c>
      <c r="E300" s="3" t="str" cm="1">
        <f t="array" aca="1" ref="E300" ca="1">IFERROR(
 INDEX(
  _xlfn._xlws.FILTER($U$1:$AX$1,
   TRANSPOSE(
    CHOOSE({1;2;3;4;5;6;7;8;9;10;11;12;13;14;15;16;17;18;19;20;21;22;23;24;25;26;27;28;29;30},
     COUNTIFS($U$2:$U$200,$G300)&gt;0,
     COUNTIFS($V$2:$V$200,$G300)&gt;0,
     COUNTIFS($W$2:$W$200,$G300)&gt;0,
     COUNTIFS($X$2:$X$200,$G300)&gt;0,
     COUNTIFS($Y$2:$Y$200,$G300)&gt;0,
     COUNTIFS($Z$2:$Z$200,$G300)&gt;0,
     COUNTIFS($AA$2:$AA$200,$G300)&gt;0,
     COUNTIFS($AB$2:$AB$200,$G300)&gt;0,
     COUNTIFS($AC$2:$AC$200,$G300)&gt;0,
     COUNTIFS($AD$2:$AD$200,$G300)&gt;0,
     COUNTIFS($AE$2:$AE$200,$G300)&gt;0,
     COUNTIFS($AF$2:$AF$200,$G300)&gt;0,
     COUNTIFS($AG$2:$AG$200,$G300)&gt;0,
     COUNTIFS($AH$2:$AH$200,$G300)&gt;0,
     COUNTIFS($AI$2:$AI$200,$G300)&gt;0,
     COUNTIFS($AJ$2:$AJ$200,$G300)&gt;0,
     COUNTIFS($AK$2:$AK$200,$G300)&gt;0,
     COUNTIFS($AL$2:$AL$200,$G300)&gt;0,
     COUNTIFS($AM$2:$AM$200,$G300)&gt;0,
     COUNTIFS($AN$2:$AN$200,$G300)&gt;0,
     COUNTIFS($AO$2:$AO$200,$G300)&gt;0,
     COUNTIFS($AP$2:$AP$200,$G300)&gt;0,
     COUNTIFS($AQ$2:$AQ$200,$G300)&gt;0,
     COUNTIFS($AR$2:$AR$200,$G300)&gt;0,
     COUNTIFS($AS$2:$AS$200,$G300)&gt;0,
     COUNTIFS($AT$2:$AT$200,$G300)&gt;0,
     COUNTIFS($AU$2:$AU$200,$G300)&gt;0,
     COUNTIFS($AV$2:$AV$200,$G300)&gt;0,
     COUNTIFS($AW$2:$AW$200,$G300)&gt;0,
     COUNTIFS($AX$2:$AX$200,$G300)&gt;0
   )),
  ),
  3
 ),
"")</f>
        <v/>
      </c>
      <c r="F300" s="3" t="str" cm="1">
        <f t="array" aca="1" ref="F300" ca="1">IFERROR(
 INDEX(
  _xlfn._xlws.FILTER($U$1:$AX$1,
   TRANSPOSE(
    CHOOSE({1;2;3;4;5;6;7;8;9;10;11;12;13;14;15;16;17;18;19;20;21;22;23;24;25;26;27;28;29;30},
     COUNTIFS($U$2:$U$200,$G300)&gt;0,
     COUNTIFS($V$2:$V$200,$G300)&gt;0,
     COUNTIFS($W$2:$W$200,$G300)&gt;0,
     COUNTIFS($X$2:$X$200,$G300)&gt;0,
     COUNTIFS($Y$2:$Y$200,$G300)&gt;0,
     COUNTIFS($Z$2:$Z$200,$G300)&gt;0,
     COUNTIFS($AA$2:$AA$200,$G300)&gt;0,
     COUNTIFS($AB$2:$AB$200,$G300)&gt;0,
     COUNTIFS($AC$2:$AC$200,$G300)&gt;0,
     COUNTIFS($AD$2:$AD$200,$G300)&gt;0,
     COUNTIFS($AE$2:$AE$200,$G300)&gt;0,
     COUNTIFS($AF$2:$AF$200,$G300)&gt;0,
     COUNTIFS($AG$2:$AG$200,$G300)&gt;0,
     COUNTIFS($AH$2:$AH$200,$G300)&gt;0,
     COUNTIFS($AI$2:$AI$200,$G300)&gt;0,
     COUNTIFS($AJ$2:$AJ$200,$G300)&gt;0,
     COUNTIFS($AK$2:$AK$200,$G300)&gt;0,
     COUNTIFS($AL$2:$AL$200,$G300)&gt;0,
     COUNTIFS($AM$2:$AM$200,$G300)&gt;0,
     COUNTIFS($AN$2:$AN$200,$G300)&gt;0,
     COUNTIFS($AO$2:$AO$200,$G300)&gt;0,
     COUNTIFS($AP$2:$AP$200,$G300)&gt;0,
     COUNTIFS($AQ$2:$AQ$200,$G300)&gt;0,
     COUNTIFS($AR$2:$AR$200,$G300)&gt;0,
     COUNTIFS($AS$2:$AS$200,$G300)&gt;0,
     COUNTIFS($AT$2:$AT$200,$G300)&gt;0,
     COUNTIFS($AU$2:$AU$200,$G300)&gt;0,
     COUNTIFS($AV$2:$AV$200,$G300)&gt;0,
     COUNTIFS($AW$2:$AW$200,$G300)&gt;0,
     COUNTIFS($AX$2:$AX$200,$G300)&gt;0
   )),
  ),
  4
 ),
"")</f>
        <v/>
      </c>
      <c r="G300" t="str">
        <f ca="1"/>
        <v>Timestream Navigator</v>
      </c>
      <c r="CJ300" t="str">
        <f ca="1"/>
        <v>Timestream Navigator</v>
      </c>
    </row>
    <row r="301" spans="1:88" x14ac:dyDescent="0.25">
      <c r="A301" s="3" t="str">
        <f t="shared" ca="1" si="10"/>
        <v>1</v>
      </c>
      <c r="B301" s="3">
        <f t="shared" ca="1" si="11"/>
        <v>1</v>
      </c>
      <c r="C301" s="3" t="str">
        <f ca="1">IFERROR(
 INDEX($U$1:$AX$1,
  MATCH(TRUE,
   CHOOSE({1;2;3;4;5;6;7;8;9;10;11;12;13;14;15;16;17;18;19;20;21;22;23;24;25;26;27;28;29;30;31;32},
    COUNTIFS($U$2:$U$200,$G301)&gt;0,
    COUNTIFS($V$2:$V$200,$G301)&gt;0,
    COUNTIFS($W$2:$W$200,$G301)&gt;0,
    COUNTIFS($X$2:$X$200,$G301)&gt;0,
    COUNTIFS($Y$2:$Y$200,$G301)&gt;0,
    COUNTIFS($Z$2:$Z$200,$G301)&gt;0,
    COUNTIFS($AA$2:$AA$200,$G301)&gt;0,
    COUNTIFS($AB$2:$AB$200,$G301)&gt;0,
    COUNTIFS($AC$2:$AC$200,$G301)&gt;0,
    COUNTIFS($AD$2:$AD$200,$G301)&gt;0,
    COUNTIFS($AE$2:$AE$200,$G301)&gt;0,
    COUNTIFS($AF$2:$AF$200,$G301)&gt;0,
    COUNTIFS($AG$2:$AG$200,$G301)&gt;0,
    COUNTIFS($AH$2:$AH$200,$G301)&gt;0,
    COUNTIFS($AI$2:$AI$200,$G301)&gt;0,
    COUNTIFS($AJ$2:$AJ$200,$G301)&gt;0,
    COUNTIFS($AK$2:$AK$200,$G301)&gt;0,
    COUNTIFS($AL$2:$AL$200,$G301)&gt;0,
    COUNTIFS($AM$2:$AM$200,$G301)&gt;0,
    COUNTIFS($AN$2:$AN$200,$G301)&gt;0,
    COUNTIFS($AO$2:$AO$200,$G301)&gt;0,
    COUNTIFS($AP$2:$AP$200,$G301)&gt;0,
    COUNTIFS($AQ$2:$AQ$200,$G301)&gt;0,
    COUNTIFS($AR$2:$AR$200,$G301)&gt;0,
    COUNTIFS($AS$2:$AS$200,$G301)&gt;0,
    COUNTIFS($AT$2:$AT$200,$G301)&gt;0,
    COUNTIFS($AU$2:$AU$200,$G301)&gt;0,
    COUNTIFS($AV$2:$AV$200,$G301)&gt;0,
    COUNTIFS($AW$2:$AW$200,$G301)&gt;0,
    COUNTIFS($AX$2:$AX$200,$G301)&gt;0
   ),
  0)
 ),
"")</f>
        <v>Modular</v>
      </c>
      <c r="D301" s="3" t="str" cm="1">
        <f t="array" aca="1" ref="D301" ca="1">IFERROR(
 INDEX(
  _xlfn._xlws.FILTER($U$1:$AX$1,
   TRANSPOSE(
    CHOOSE({1;2;3;4;5;6;7;8;9;10;11;12;13;14;15;16;17;18;19;20;21;22;23;24;25;26;27;28;29;30},
     COUNTIFS($U$2:$U$200,$G301)&gt;0,
     COUNTIFS($V$2:$V$200,$G301)&gt;0,
     COUNTIFS($W$2:$W$200,$G301)&gt;0,
     COUNTIFS($X$2:$X$200,$G301)&gt;0,
     COUNTIFS($Y$2:$Y$200,$G301)&gt;0,
     COUNTIFS($Z$2:$Z$200,$G301)&gt;0,
     COUNTIFS($AA$2:$AA$200,$G301)&gt;0,
     COUNTIFS($AB$2:$AB$200,$G301)&gt;0,
     COUNTIFS($AC$2:$AC$200,$G301)&gt;0,
     COUNTIFS($AD$2:$AD$200,$G301)&gt;0,
     COUNTIFS($AE$2:$AE$200,$G301)&gt;0,
     COUNTIFS($AF$2:$AF$200,$G301)&gt;0,
     COUNTIFS($AG$2:$AG$200,$G301)&gt;0,
     COUNTIFS($AH$2:$AH$200,$G301)&gt;0,
     COUNTIFS($AI$2:$AI$200,$G301)&gt;0,
     COUNTIFS($AJ$2:$AJ$200,$G301)&gt;0,
     COUNTIFS($AK$2:$AK$200,$G301)&gt;0,
     COUNTIFS($AL$2:$AL$200,$G301)&gt;0,
     COUNTIFS($AM$2:$AM$200,$G301)&gt;0,
     COUNTIFS($AN$2:$AN$200,$G301)&gt;0,
     COUNTIFS($AO$2:$AO$200,$G301)&gt;0,
     COUNTIFS($AP$2:$AP$200,$G301)&gt;0,
     COUNTIFS($AQ$2:$AQ$200,$G301)&gt;0,
     COUNTIFS($AR$2:$AR$200,$G301)&gt;0,
     COUNTIFS($AS$2:$AS$200,$G301)&gt;0,
     COUNTIFS($AT$2:$AT$200,$G301)&gt;0,
     COUNTIFS($AU$2:$AU$200,$G301)&gt;0,
     COUNTIFS($AV$2:$AV$200,$G301)&gt;0,
     COUNTIFS($AW$2:$AW$200,$G301)&gt;0,
     COUNTIFS($AX$2:$AX$200,$G301)&gt;0
   )),
  ),
  2
 ),
"")</f>
        <v/>
      </c>
      <c r="E301" s="3" t="str" cm="1">
        <f t="array" aca="1" ref="E301" ca="1">IFERROR(
 INDEX(
  _xlfn._xlws.FILTER($U$1:$AX$1,
   TRANSPOSE(
    CHOOSE({1;2;3;4;5;6;7;8;9;10;11;12;13;14;15;16;17;18;19;20;21;22;23;24;25;26;27;28;29;30},
     COUNTIFS($U$2:$U$200,$G301)&gt;0,
     COUNTIFS($V$2:$V$200,$G301)&gt;0,
     COUNTIFS($W$2:$W$200,$G301)&gt;0,
     COUNTIFS($X$2:$X$200,$G301)&gt;0,
     COUNTIFS($Y$2:$Y$200,$G301)&gt;0,
     COUNTIFS($Z$2:$Z$200,$G301)&gt;0,
     COUNTIFS($AA$2:$AA$200,$G301)&gt;0,
     COUNTIFS($AB$2:$AB$200,$G301)&gt;0,
     COUNTIFS($AC$2:$AC$200,$G301)&gt;0,
     COUNTIFS($AD$2:$AD$200,$G301)&gt;0,
     COUNTIFS($AE$2:$AE$200,$G301)&gt;0,
     COUNTIFS($AF$2:$AF$200,$G301)&gt;0,
     COUNTIFS($AG$2:$AG$200,$G301)&gt;0,
     COUNTIFS($AH$2:$AH$200,$G301)&gt;0,
     COUNTIFS($AI$2:$AI$200,$G301)&gt;0,
     COUNTIFS($AJ$2:$AJ$200,$G301)&gt;0,
     COUNTIFS($AK$2:$AK$200,$G301)&gt;0,
     COUNTIFS($AL$2:$AL$200,$G301)&gt;0,
     COUNTIFS($AM$2:$AM$200,$G301)&gt;0,
     COUNTIFS($AN$2:$AN$200,$G301)&gt;0,
     COUNTIFS($AO$2:$AO$200,$G301)&gt;0,
     COUNTIFS($AP$2:$AP$200,$G301)&gt;0,
     COUNTIFS($AQ$2:$AQ$200,$G301)&gt;0,
     COUNTIFS($AR$2:$AR$200,$G301)&gt;0,
     COUNTIFS($AS$2:$AS$200,$G301)&gt;0,
     COUNTIFS($AT$2:$AT$200,$G301)&gt;0,
     COUNTIFS($AU$2:$AU$200,$G301)&gt;0,
     COUNTIFS($AV$2:$AV$200,$G301)&gt;0,
     COUNTIFS($AW$2:$AW$200,$G301)&gt;0,
     COUNTIFS($AX$2:$AX$200,$G301)&gt;0
   )),
  ),
  3
 ),
"")</f>
        <v/>
      </c>
      <c r="F301" s="3" t="str" cm="1">
        <f t="array" aca="1" ref="F301" ca="1">IFERROR(
 INDEX(
  _xlfn._xlws.FILTER($U$1:$AX$1,
   TRANSPOSE(
    CHOOSE({1;2;3;4;5;6;7;8;9;10;11;12;13;14;15;16;17;18;19;20;21;22;23;24;25;26;27;28;29;30},
     COUNTIFS($U$2:$U$200,$G301)&gt;0,
     COUNTIFS($V$2:$V$200,$G301)&gt;0,
     COUNTIFS($W$2:$W$200,$G301)&gt;0,
     COUNTIFS($X$2:$X$200,$G301)&gt;0,
     COUNTIFS($Y$2:$Y$200,$G301)&gt;0,
     COUNTIFS($Z$2:$Z$200,$G301)&gt;0,
     COUNTIFS($AA$2:$AA$200,$G301)&gt;0,
     COUNTIFS($AB$2:$AB$200,$G301)&gt;0,
     COUNTIFS($AC$2:$AC$200,$G301)&gt;0,
     COUNTIFS($AD$2:$AD$200,$G301)&gt;0,
     COUNTIFS($AE$2:$AE$200,$G301)&gt;0,
     COUNTIFS($AF$2:$AF$200,$G301)&gt;0,
     COUNTIFS($AG$2:$AG$200,$G301)&gt;0,
     COUNTIFS($AH$2:$AH$200,$G301)&gt;0,
     COUNTIFS($AI$2:$AI$200,$G301)&gt;0,
     COUNTIFS($AJ$2:$AJ$200,$G301)&gt;0,
     COUNTIFS($AK$2:$AK$200,$G301)&gt;0,
     COUNTIFS($AL$2:$AL$200,$G301)&gt;0,
     COUNTIFS($AM$2:$AM$200,$G301)&gt;0,
     COUNTIFS($AN$2:$AN$200,$G301)&gt;0,
     COUNTIFS($AO$2:$AO$200,$G301)&gt;0,
     COUNTIFS($AP$2:$AP$200,$G301)&gt;0,
     COUNTIFS($AQ$2:$AQ$200,$G301)&gt;0,
     COUNTIFS($AR$2:$AR$200,$G301)&gt;0,
     COUNTIFS($AS$2:$AS$200,$G301)&gt;0,
     COUNTIFS($AT$2:$AT$200,$G301)&gt;0,
     COUNTIFS($AU$2:$AU$200,$G301)&gt;0,
     COUNTIFS($AV$2:$AV$200,$G301)&gt;0,
     COUNTIFS($AW$2:$AW$200,$G301)&gt;0,
     COUNTIFS($AX$2:$AX$200,$G301)&gt;0
   )),
  ),
  4
 ),
"")</f>
        <v/>
      </c>
      <c r="G301" t="str">
        <f ca="1"/>
        <v>Tireless Provisioner</v>
      </c>
      <c r="CJ301" t="str">
        <f ca="1"/>
        <v>Tireless Provisioner</v>
      </c>
    </row>
    <row r="302" spans="1:88" x14ac:dyDescent="0.25">
      <c r="A302" s="3" t="str">
        <f t="shared" ca="1" si="10"/>
        <v>2</v>
      </c>
      <c r="B302" s="3">
        <f t="shared" ca="1" si="11"/>
        <v>1</v>
      </c>
      <c r="C302" s="3" t="str">
        <f ca="1">IFERROR(
 INDEX($U$1:$AX$1,
  MATCH(TRUE,
   CHOOSE({1;2;3;4;5;6;7;8;9;10;11;12;13;14;15;16;17;18;19;20;21;22;23;24;25;26;27;28;29;30;31;32},
    COUNTIFS($U$2:$U$200,$G302)&gt;0,
    COUNTIFS($V$2:$V$200,$G302)&gt;0,
    COUNTIFS($W$2:$W$200,$G302)&gt;0,
    COUNTIFS($X$2:$X$200,$G302)&gt;0,
    COUNTIFS($Y$2:$Y$200,$G302)&gt;0,
    COUNTIFS($Z$2:$Z$200,$G302)&gt;0,
    COUNTIFS($AA$2:$AA$200,$G302)&gt;0,
    COUNTIFS($AB$2:$AB$200,$G302)&gt;0,
    COUNTIFS($AC$2:$AC$200,$G302)&gt;0,
    COUNTIFS($AD$2:$AD$200,$G302)&gt;0,
    COUNTIFS($AE$2:$AE$200,$G302)&gt;0,
    COUNTIFS($AF$2:$AF$200,$G302)&gt;0,
    COUNTIFS($AG$2:$AG$200,$G302)&gt;0,
    COUNTIFS($AH$2:$AH$200,$G302)&gt;0,
    COUNTIFS($AI$2:$AI$200,$G302)&gt;0,
    COUNTIFS($AJ$2:$AJ$200,$G302)&gt;0,
    COUNTIFS($AK$2:$AK$200,$G302)&gt;0,
    COUNTIFS($AL$2:$AL$200,$G302)&gt;0,
    COUNTIFS($AM$2:$AM$200,$G302)&gt;0,
    COUNTIFS($AN$2:$AN$200,$G302)&gt;0,
    COUNTIFS($AO$2:$AO$200,$G302)&gt;0,
    COUNTIFS($AP$2:$AP$200,$G302)&gt;0,
    COUNTIFS($AQ$2:$AQ$200,$G302)&gt;0,
    COUNTIFS($AR$2:$AR$200,$G302)&gt;0,
    COUNTIFS($AS$2:$AS$200,$G302)&gt;0,
    COUNTIFS($AT$2:$AT$200,$G302)&gt;0,
    COUNTIFS($AU$2:$AU$200,$G302)&gt;0,
    COUNTIFS($AV$2:$AV$200,$G302)&gt;0,
    COUNTIFS($AW$2:$AW$200,$G302)&gt;0,
    COUNTIFS($AX$2:$AX$200,$G302)&gt;0
   ),
  0)
 ),
"")</f>
        <v>Kumena</v>
      </c>
      <c r="D302" s="3" t="str" cm="1">
        <f t="array" aca="1" ref="D302" ca="1">IFERROR(
 INDEX(
  _xlfn._xlws.FILTER($U$1:$AX$1,
   TRANSPOSE(
    CHOOSE({1;2;3;4;5;6;7;8;9;10;11;12;13;14;15;16;17;18;19;20;21;22;23;24;25;26;27;28;29;30},
     COUNTIFS($U$2:$U$200,$G302)&gt;0,
     COUNTIFS($V$2:$V$200,$G302)&gt;0,
     COUNTIFS($W$2:$W$200,$G302)&gt;0,
     COUNTIFS($X$2:$X$200,$G302)&gt;0,
     COUNTIFS($Y$2:$Y$200,$G302)&gt;0,
     COUNTIFS($Z$2:$Z$200,$G302)&gt;0,
     COUNTIFS($AA$2:$AA$200,$G302)&gt;0,
     COUNTIFS($AB$2:$AB$200,$G302)&gt;0,
     COUNTIFS($AC$2:$AC$200,$G302)&gt;0,
     COUNTIFS($AD$2:$AD$200,$G302)&gt;0,
     COUNTIFS($AE$2:$AE$200,$G302)&gt;0,
     COUNTIFS($AF$2:$AF$200,$G302)&gt;0,
     COUNTIFS($AG$2:$AG$200,$G302)&gt;0,
     COUNTIFS($AH$2:$AH$200,$G302)&gt;0,
     COUNTIFS($AI$2:$AI$200,$G302)&gt;0,
     COUNTIFS($AJ$2:$AJ$200,$G302)&gt;0,
     COUNTIFS($AK$2:$AK$200,$G302)&gt;0,
     COUNTIFS($AL$2:$AL$200,$G302)&gt;0,
     COUNTIFS($AM$2:$AM$200,$G302)&gt;0,
     COUNTIFS($AN$2:$AN$200,$G302)&gt;0,
     COUNTIFS($AO$2:$AO$200,$G302)&gt;0,
     COUNTIFS($AP$2:$AP$200,$G302)&gt;0,
     COUNTIFS($AQ$2:$AQ$200,$G302)&gt;0,
     COUNTIFS($AR$2:$AR$200,$G302)&gt;0,
     COUNTIFS($AS$2:$AS$200,$G302)&gt;0,
     COUNTIFS($AT$2:$AT$200,$G302)&gt;0,
     COUNTIFS($AU$2:$AU$200,$G302)&gt;0,
     COUNTIFS($AV$2:$AV$200,$G302)&gt;0,
     COUNTIFS($AW$2:$AW$200,$G302)&gt;0,
     COUNTIFS($AX$2:$AX$200,$G302)&gt;0
   )),
  ),
  2
 ),
"")</f>
        <v/>
      </c>
      <c r="E302" s="3" t="str" cm="1">
        <f t="array" aca="1" ref="E302" ca="1">IFERROR(
 INDEX(
  _xlfn._xlws.FILTER($U$1:$AX$1,
   TRANSPOSE(
    CHOOSE({1;2;3;4;5;6;7;8;9;10;11;12;13;14;15;16;17;18;19;20;21;22;23;24;25;26;27;28;29;30},
     COUNTIFS($U$2:$U$200,$G302)&gt;0,
     COUNTIFS($V$2:$V$200,$G302)&gt;0,
     COUNTIFS($W$2:$W$200,$G302)&gt;0,
     COUNTIFS($X$2:$X$200,$G302)&gt;0,
     COUNTIFS($Y$2:$Y$200,$G302)&gt;0,
     COUNTIFS($Z$2:$Z$200,$G302)&gt;0,
     COUNTIFS($AA$2:$AA$200,$G302)&gt;0,
     COUNTIFS($AB$2:$AB$200,$G302)&gt;0,
     COUNTIFS($AC$2:$AC$200,$G302)&gt;0,
     COUNTIFS($AD$2:$AD$200,$G302)&gt;0,
     COUNTIFS($AE$2:$AE$200,$G302)&gt;0,
     COUNTIFS($AF$2:$AF$200,$G302)&gt;0,
     COUNTIFS($AG$2:$AG$200,$G302)&gt;0,
     COUNTIFS($AH$2:$AH$200,$G302)&gt;0,
     COUNTIFS($AI$2:$AI$200,$G302)&gt;0,
     COUNTIFS($AJ$2:$AJ$200,$G302)&gt;0,
     COUNTIFS($AK$2:$AK$200,$G302)&gt;0,
     COUNTIFS($AL$2:$AL$200,$G302)&gt;0,
     COUNTIFS($AM$2:$AM$200,$G302)&gt;0,
     COUNTIFS($AN$2:$AN$200,$G302)&gt;0,
     COUNTIFS($AO$2:$AO$200,$G302)&gt;0,
     COUNTIFS($AP$2:$AP$200,$G302)&gt;0,
     COUNTIFS($AQ$2:$AQ$200,$G302)&gt;0,
     COUNTIFS($AR$2:$AR$200,$G302)&gt;0,
     COUNTIFS($AS$2:$AS$200,$G302)&gt;0,
     COUNTIFS($AT$2:$AT$200,$G302)&gt;0,
     COUNTIFS($AU$2:$AU$200,$G302)&gt;0,
     COUNTIFS($AV$2:$AV$200,$G302)&gt;0,
     COUNTIFS($AW$2:$AW$200,$G302)&gt;0,
     COUNTIFS($AX$2:$AX$200,$G302)&gt;0
   )),
  ),
  3
 ),
"")</f>
        <v/>
      </c>
      <c r="F302" s="3" t="str" cm="1">
        <f t="array" aca="1" ref="F302" ca="1">IFERROR(
 INDEX(
  _xlfn._xlws.FILTER($U$1:$AX$1,
   TRANSPOSE(
    CHOOSE({1;2;3;4;5;6;7;8;9;10;11;12;13;14;15;16;17;18;19;20;21;22;23;24;25;26;27;28;29;30},
     COUNTIFS($U$2:$U$200,$G302)&gt;0,
     COUNTIFS($V$2:$V$200,$G302)&gt;0,
     COUNTIFS($W$2:$W$200,$G302)&gt;0,
     COUNTIFS($X$2:$X$200,$G302)&gt;0,
     COUNTIFS($Y$2:$Y$200,$G302)&gt;0,
     COUNTIFS($Z$2:$Z$200,$G302)&gt;0,
     COUNTIFS($AA$2:$AA$200,$G302)&gt;0,
     COUNTIFS($AB$2:$AB$200,$G302)&gt;0,
     COUNTIFS($AC$2:$AC$200,$G302)&gt;0,
     COUNTIFS($AD$2:$AD$200,$G302)&gt;0,
     COUNTIFS($AE$2:$AE$200,$G302)&gt;0,
     COUNTIFS($AF$2:$AF$200,$G302)&gt;0,
     COUNTIFS($AG$2:$AG$200,$G302)&gt;0,
     COUNTIFS($AH$2:$AH$200,$G302)&gt;0,
     COUNTIFS($AI$2:$AI$200,$G302)&gt;0,
     COUNTIFS($AJ$2:$AJ$200,$G302)&gt;0,
     COUNTIFS($AK$2:$AK$200,$G302)&gt;0,
     COUNTIFS($AL$2:$AL$200,$G302)&gt;0,
     COUNTIFS($AM$2:$AM$200,$G302)&gt;0,
     COUNTIFS($AN$2:$AN$200,$G302)&gt;0,
     COUNTIFS($AO$2:$AO$200,$G302)&gt;0,
     COUNTIFS($AP$2:$AP$200,$G302)&gt;0,
     COUNTIFS($AQ$2:$AQ$200,$G302)&gt;0,
     COUNTIFS($AR$2:$AR$200,$G302)&gt;0,
     COUNTIFS($AS$2:$AS$200,$G302)&gt;0,
     COUNTIFS($AT$2:$AT$200,$G302)&gt;0,
     COUNTIFS($AU$2:$AU$200,$G302)&gt;0,
     COUNTIFS($AV$2:$AV$200,$G302)&gt;0,
     COUNTIFS($AW$2:$AW$200,$G302)&gt;0,
     COUNTIFS($AX$2:$AX$200,$G302)&gt;0
   )),
  ),
  4
 ),
"")</f>
        <v/>
      </c>
      <c r="G302" t="str">
        <f ca="1"/>
        <v>Tishana, Voice of Thunder</v>
      </c>
      <c r="CJ302" t="str">
        <f ca="1"/>
        <v>Tishana, Voice of Thunder</v>
      </c>
    </row>
    <row r="303" spans="1:88" x14ac:dyDescent="0.25">
      <c r="A303" s="3" t="str">
        <f t="shared" ca="1" si="10"/>
        <v>3</v>
      </c>
      <c r="B303" s="3">
        <f t="shared" ca="1" si="11"/>
        <v>1</v>
      </c>
      <c r="C303" s="3" t="str">
        <f ca="1">IFERROR(
 INDEX($U$1:$AX$1,
  MATCH(TRUE,
   CHOOSE({1;2;3;4;5;6;7;8;9;10;11;12;13;14;15;16;17;18;19;20;21;22;23;24;25;26;27;28;29;30;31;32},
    COUNTIFS($U$2:$U$200,$G303)&gt;0,
    COUNTIFS($V$2:$V$200,$G303)&gt;0,
    COUNTIFS($W$2:$W$200,$G303)&gt;0,
    COUNTIFS($X$2:$X$200,$G303)&gt;0,
    COUNTIFS($Y$2:$Y$200,$G303)&gt;0,
    COUNTIFS($Z$2:$Z$200,$G303)&gt;0,
    COUNTIFS($AA$2:$AA$200,$G303)&gt;0,
    COUNTIFS($AB$2:$AB$200,$G303)&gt;0,
    COUNTIFS($AC$2:$AC$200,$G303)&gt;0,
    COUNTIFS($AD$2:$AD$200,$G303)&gt;0,
    COUNTIFS($AE$2:$AE$200,$G303)&gt;0,
    COUNTIFS($AF$2:$AF$200,$G303)&gt;0,
    COUNTIFS($AG$2:$AG$200,$G303)&gt;0,
    COUNTIFS($AH$2:$AH$200,$G303)&gt;0,
    COUNTIFS($AI$2:$AI$200,$G303)&gt;0,
    COUNTIFS($AJ$2:$AJ$200,$G303)&gt;0,
    COUNTIFS($AK$2:$AK$200,$G303)&gt;0,
    COUNTIFS($AL$2:$AL$200,$G303)&gt;0,
    COUNTIFS($AM$2:$AM$200,$G303)&gt;0,
    COUNTIFS($AN$2:$AN$200,$G303)&gt;0,
    COUNTIFS($AO$2:$AO$200,$G303)&gt;0,
    COUNTIFS($AP$2:$AP$200,$G303)&gt;0,
    COUNTIFS($AQ$2:$AQ$200,$G303)&gt;0,
    COUNTIFS($AR$2:$AR$200,$G303)&gt;0,
    COUNTIFS($AS$2:$AS$200,$G303)&gt;0,
    COUNTIFS($AT$2:$AT$200,$G303)&gt;0,
    COUNTIFS($AU$2:$AU$200,$G303)&gt;0,
    COUNTIFS($AV$2:$AV$200,$G303)&gt;0,
    COUNTIFS($AW$2:$AW$200,$G303)&gt;0,
    COUNTIFS($AX$2:$AX$200,$G303)&gt;0
   ),
  0)
 ),
"")</f>
        <v>Gritrog</v>
      </c>
      <c r="D303" s="3" t="str" cm="1">
        <f t="array" aca="1" ref="D303" ca="1">IFERROR(
 INDEX(
  _xlfn._xlws.FILTER($U$1:$AX$1,
   TRANSPOSE(
    CHOOSE({1;2;3;4;5;6;7;8;9;10;11;12;13;14;15;16;17;18;19;20;21;22;23;24;25;26;27;28;29;30},
     COUNTIFS($U$2:$U$200,$G303)&gt;0,
     COUNTIFS($V$2:$V$200,$G303)&gt;0,
     COUNTIFS($W$2:$W$200,$G303)&gt;0,
     COUNTIFS($X$2:$X$200,$G303)&gt;0,
     COUNTIFS($Y$2:$Y$200,$G303)&gt;0,
     COUNTIFS($Z$2:$Z$200,$G303)&gt;0,
     COUNTIFS($AA$2:$AA$200,$G303)&gt;0,
     COUNTIFS($AB$2:$AB$200,$G303)&gt;0,
     COUNTIFS($AC$2:$AC$200,$G303)&gt;0,
     COUNTIFS($AD$2:$AD$200,$G303)&gt;0,
     COUNTIFS($AE$2:$AE$200,$G303)&gt;0,
     COUNTIFS($AF$2:$AF$200,$G303)&gt;0,
     COUNTIFS($AG$2:$AG$200,$G303)&gt;0,
     COUNTIFS($AH$2:$AH$200,$G303)&gt;0,
     COUNTIFS($AI$2:$AI$200,$G303)&gt;0,
     COUNTIFS($AJ$2:$AJ$200,$G303)&gt;0,
     COUNTIFS($AK$2:$AK$200,$G303)&gt;0,
     COUNTIFS($AL$2:$AL$200,$G303)&gt;0,
     COUNTIFS($AM$2:$AM$200,$G303)&gt;0,
     COUNTIFS($AN$2:$AN$200,$G303)&gt;0,
     COUNTIFS($AO$2:$AO$200,$G303)&gt;0,
     COUNTIFS($AP$2:$AP$200,$G303)&gt;0,
     COUNTIFS($AQ$2:$AQ$200,$G303)&gt;0,
     COUNTIFS($AR$2:$AR$200,$G303)&gt;0,
     COUNTIFS($AS$2:$AS$200,$G303)&gt;0,
     COUNTIFS($AT$2:$AT$200,$G303)&gt;0,
     COUNTIFS($AU$2:$AU$200,$G303)&gt;0,
     COUNTIFS($AV$2:$AV$200,$G303)&gt;0,
     COUNTIFS($AW$2:$AW$200,$G303)&gt;0,
     COUNTIFS($AX$2:$AX$200,$G303)&gt;0
   )),
  ),
  2
 ),
"")</f>
        <v/>
      </c>
      <c r="E303" s="3" t="str" cm="1">
        <f t="array" aca="1" ref="E303" ca="1">IFERROR(
 INDEX(
  _xlfn._xlws.FILTER($U$1:$AX$1,
   TRANSPOSE(
    CHOOSE({1;2;3;4;5;6;7;8;9;10;11;12;13;14;15;16;17;18;19;20;21;22;23;24;25;26;27;28;29;30},
     COUNTIFS($U$2:$U$200,$G303)&gt;0,
     COUNTIFS($V$2:$V$200,$G303)&gt;0,
     COUNTIFS($W$2:$W$200,$G303)&gt;0,
     COUNTIFS($X$2:$X$200,$G303)&gt;0,
     COUNTIFS($Y$2:$Y$200,$G303)&gt;0,
     COUNTIFS($Z$2:$Z$200,$G303)&gt;0,
     COUNTIFS($AA$2:$AA$200,$G303)&gt;0,
     COUNTIFS($AB$2:$AB$200,$G303)&gt;0,
     COUNTIFS($AC$2:$AC$200,$G303)&gt;0,
     COUNTIFS($AD$2:$AD$200,$G303)&gt;0,
     COUNTIFS($AE$2:$AE$200,$G303)&gt;0,
     COUNTIFS($AF$2:$AF$200,$G303)&gt;0,
     COUNTIFS($AG$2:$AG$200,$G303)&gt;0,
     COUNTIFS($AH$2:$AH$200,$G303)&gt;0,
     COUNTIFS($AI$2:$AI$200,$G303)&gt;0,
     COUNTIFS($AJ$2:$AJ$200,$G303)&gt;0,
     COUNTIFS($AK$2:$AK$200,$G303)&gt;0,
     COUNTIFS($AL$2:$AL$200,$G303)&gt;0,
     COUNTIFS($AM$2:$AM$200,$G303)&gt;0,
     COUNTIFS($AN$2:$AN$200,$G303)&gt;0,
     COUNTIFS($AO$2:$AO$200,$G303)&gt;0,
     COUNTIFS($AP$2:$AP$200,$G303)&gt;0,
     COUNTIFS($AQ$2:$AQ$200,$G303)&gt;0,
     COUNTIFS($AR$2:$AR$200,$G303)&gt;0,
     COUNTIFS($AS$2:$AS$200,$G303)&gt;0,
     COUNTIFS($AT$2:$AT$200,$G303)&gt;0,
     COUNTIFS($AU$2:$AU$200,$G303)&gt;0,
     COUNTIFS($AV$2:$AV$200,$G303)&gt;0,
     COUNTIFS($AW$2:$AW$200,$G303)&gt;0,
     COUNTIFS($AX$2:$AX$200,$G303)&gt;0
   )),
  ),
  3
 ),
"")</f>
        <v/>
      </c>
      <c r="F303" s="3" t="str" cm="1">
        <f t="array" aca="1" ref="F303" ca="1">IFERROR(
 INDEX(
  _xlfn._xlws.FILTER($U$1:$AX$1,
   TRANSPOSE(
    CHOOSE({1;2;3;4;5;6;7;8;9;10;11;12;13;14;15;16;17;18;19;20;21;22;23;24;25;26;27;28;29;30},
     COUNTIFS($U$2:$U$200,$G303)&gt;0,
     COUNTIFS($V$2:$V$200,$G303)&gt;0,
     COUNTIFS($W$2:$W$200,$G303)&gt;0,
     COUNTIFS($X$2:$X$200,$G303)&gt;0,
     COUNTIFS($Y$2:$Y$200,$G303)&gt;0,
     COUNTIFS($Z$2:$Z$200,$G303)&gt;0,
     COUNTIFS($AA$2:$AA$200,$G303)&gt;0,
     COUNTIFS($AB$2:$AB$200,$G303)&gt;0,
     COUNTIFS($AC$2:$AC$200,$G303)&gt;0,
     COUNTIFS($AD$2:$AD$200,$G303)&gt;0,
     COUNTIFS($AE$2:$AE$200,$G303)&gt;0,
     COUNTIFS($AF$2:$AF$200,$G303)&gt;0,
     COUNTIFS($AG$2:$AG$200,$G303)&gt;0,
     COUNTIFS($AH$2:$AH$200,$G303)&gt;0,
     COUNTIFS($AI$2:$AI$200,$G303)&gt;0,
     COUNTIFS($AJ$2:$AJ$200,$G303)&gt;0,
     COUNTIFS($AK$2:$AK$200,$G303)&gt;0,
     COUNTIFS($AL$2:$AL$200,$G303)&gt;0,
     COUNTIFS($AM$2:$AM$200,$G303)&gt;0,
     COUNTIFS($AN$2:$AN$200,$G303)&gt;0,
     COUNTIFS($AO$2:$AO$200,$G303)&gt;0,
     COUNTIFS($AP$2:$AP$200,$G303)&gt;0,
     COUNTIFS($AQ$2:$AQ$200,$G303)&gt;0,
     COUNTIFS($AR$2:$AR$200,$G303)&gt;0,
     COUNTIFS($AS$2:$AS$200,$G303)&gt;0,
     COUNTIFS($AT$2:$AT$200,$G303)&gt;0,
     COUNTIFS($AU$2:$AU$200,$G303)&gt;0,
     COUNTIFS($AV$2:$AV$200,$G303)&gt;0,
     COUNTIFS($AW$2:$AW$200,$G303)&gt;0,
     COUNTIFS($AX$2:$AX$200,$G303)&gt;0
   )),
  ),
  4
 ),
"")</f>
        <v/>
      </c>
      <c r="G303" t="str">
        <f ca="1"/>
        <v>Titania, Voice of Gaea</v>
      </c>
      <c r="CJ303" t="str">
        <f ca="1"/>
        <v>Titania, Voice of Gaea</v>
      </c>
    </row>
    <row r="304" spans="1:88" x14ac:dyDescent="0.25">
      <c r="A304" s="3" t="str">
        <f t="shared" ca="1" si="10"/>
        <v>1</v>
      </c>
      <c r="B304" s="3">
        <f t="shared" ca="1" si="11"/>
        <v>1</v>
      </c>
      <c r="C304" s="3" t="str">
        <f ca="1">IFERROR(
 INDEX($U$1:$AX$1,
  MATCH(TRUE,
   CHOOSE({1;2;3;4;5;6;7;8;9;10;11;12;13;14;15;16;17;18;19;20;21;22;23;24;25;26;27;28;29;30;31;32},
    COUNTIFS($U$2:$U$200,$G304)&gt;0,
    COUNTIFS($V$2:$V$200,$G304)&gt;0,
    COUNTIFS($W$2:$W$200,$G304)&gt;0,
    COUNTIFS($X$2:$X$200,$G304)&gt;0,
    COUNTIFS($Y$2:$Y$200,$G304)&gt;0,
    COUNTIFS($Z$2:$Z$200,$G304)&gt;0,
    COUNTIFS($AA$2:$AA$200,$G304)&gt;0,
    COUNTIFS($AB$2:$AB$200,$G304)&gt;0,
    COUNTIFS($AC$2:$AC$200,$G304)&gt;0,
    COUNTIFS($AD$2:$AD$200,$G304)&gt;0,
    COUNTIFS($AE$2:$AE$200,$G304)&gt;0,
    COUNTIFS($AF$2:$AF$200,$G304)&gt;0,
    COUNTIFS($AG$2:$AG$200,$G304)&gt;0,
    COUNTIFS($AH$2:$AH$200,$G304)&gt;0,
    COUNTIFS($AI$2:$AI$200,$G304)&gt;0,
    COUNTIFS($AJ$2:$AJ$200,$G304)&gt;0,
    COUNTIFS($AK$2:$AK$200,$G304)&gt;0,
    COUNTIFS($AL$2:$AL$200,$G304)&gt;0,
    COUNTIFS($AM$2:$AM$200,$G304)&gt;0,
    COUNTIFS($AN$2:$AN$200,$G304)&gt;0,
    COUNTIFS($AO$2:$AO$200,$G304)&gt;0,
    COUNTIFS($AP$2:$AP$200,$G304)&gt;0,
    COUNTIFS($AQ$2:$AQ$200,$G304)&gt;0,
    COUNTIFS($AR$2:$AR$200,$G304)&gt;0,
    COUNTIFS($AS$2:$AS$200,$G304)&gt;0,
    COUNTIFS($AT$2:$AT$200,$G304)&gt;0,
    COUNTIFS($AU$2:$AU$200,$G304)&gt;0,
    COUNTIFS($AV$2:$AV$200,$G304)&gt;0,
    COUNTIFS($AW$2:$AW$200,$G304)&gt;0,
    COUNTIFS($AX$2:$AX$200,$G304)&gt;0
   ),
  0)
 ),
"")</f>
        <v>Modular</v>
      </c>
      <c r="D304" s="3" t="str" cm="1">
        <f t="array" aca="1" ref="D304" ca="1">IFERROR(
 INDEX(
  _xlfn._xlws.FILTER($U$1:$AX$1,
   TRANSPOSE(
    CHOOSE({1;2;3;4;5;6;7;8;9;10;11;12;13;14;15;16;17;18;19;20;21;22;23;24;25;26;27;28;29;30},
     COUNTIFS($U$2:$U$200,$G304)&gt;0,
     COUNTIFS($V$2:$V$200,$G304)&gt;0,
     COUNTIFS($W$2:$W$200,$G304)&gt;0,
     COUNTIFS($X$2:$X$200,$G304)&gt;0,
     COUNTIFS($Y$2:$Y$200,$G304)&gt;0,
     COUNTIFS($Z$2:$Z$200,$G304)&gt;0,
     COUNTIFS($AA$2:$AA$200,$G304)&gt;0,
     COUNTIFS($AB$2:$AB$200,$G304)&gt;0,
     COUNTIFS($AC$2:$AC$200,$G304)&gt;0,
     COUNTIFS($AD$2:$AD$200,$G304)&gt;0,
     COUNTIFS($AE$2:$AE$200,$G304)&gt;0,
     COUNTIFS($AF$2:$AF$200,$G304)&gt;0,
     COUNTIFS($AG$2:$AG$200,$G304)&gt;0,
     COUNTIFS($AH$2:$AH$200,$G304)&gt;0,
     COUNTIFS($AI$2:$AI$200,$G304)&gt;0,
     COUNTIFS($AJ$2:$AJ$200,$G304)&gt;0,
     COUNTIFS($AK$2:$AK$200,$G304)&gt;0,
     COUNTIFS($AL$2:$AL$200,$G304)&gt;0,
     COUNTIFS($AM$2:$AM$200,$G304)&gt;0,
     COUNTIFS($AN$2:$AN$200,$G304)&gt;0,
     COUNTIFS($AO$2:$AO$200,$G304)&gt;0,
     COUNTIFS($AP$2:$AP$200,$G304)&gt;0,
     COUNTIFS($AQ$2:$AQ$200,$G304)&gt;0,
     COUNTIFS($AR$2:$AR$200,$G304)&gt;0,
     COUNTIFS($AS$2:$AS$200,$G304)&gt;0,
     COUNTIFS($AT$2:$AT$200,$G304)&gt;0,
     COUNTIFS($AU$2:$AU$200,$G304)&gt;0,
     COUNTIFS($AV$2:$AV$200,$G304)&gt;0,
     COUNTIFS($AW$2:$AW$200,$G304)&gt;0,
     COUNTIFS($AX$2:$AX$200,$G304)&gt;0
   )),
  ),
  2
 ),
"")</f>
        <v/>
      </c>
      <c r="E304" s="3" t="str" cm="1">
        <f t="array" aca="1" ref="E304" ca="1">IFERROR(
 INDEX(
  _xlfn._xlws.FILTER($U$1:$AX$1,
   TRANSPOSE(
    CHOOSE({1;2;3;4;5;6;7;8;9;10;11;12;13;14;15;16;17;18;19;20;21;22;23;24;25;26;27;28;29;30},
     COUNTIFS($U$2:$U$200,$G304)&gt;0,
     COUNTIFS($V$2:$V$200,$G304)&gt;0,
     COUNTIFS($W$2:$W$200,$G304)&gt;0,
     COUNTIFS($X$2:$X$200,$G304)&gt;0,
     COUNTIFS($Y$2:$Y$200,$G304)&gt;0,
     COUNTIFS($Z$2:$Z$200,$G304)&gt;0,
     COUNTIFS($AA$2:$AA$200,$G304)&gt;0,
     COUNTIFS($AB$2:$AB$200,$G304)&gt;0,
     COUNTIFS($AC$2:$AC$200,$G304)&gt;0,
     COUNTIFS($AD$2:$AD$200,$G304)&gt;0,
     COUNTIFS($AE$2:$AE$200,$G304)&gt;0,
     COUNTIFS($AF$2:$AF$200,$G304)&gt;0,
     COUNTIFS($AG$2:$AG$200,$G304)&gt;0,
     COUNTIFS($AH$2:$AH$200,$G304)&gt;0,
     COUNTIFS($AI$2:$AI$200,$G304)&gt;0,
     COUNTIFS($AJ$2:$AJ$200,$G304)&gt;0,
     COUNTIFS($AK$2:$AK$200,$G304)&gt;0,
     COUNTIFS($AL$2:$AL$200,$G304)&gt;0,
     COUNTIFS($AM$2:$AM$200,$G304)&gt;0,
     COUNTIFS($AN$2:$AN$200,$G304)&gt;0,
     COUNTIFS($AO$2:$AO$200,$G304)&gt;0,
     COUNTIFS($AP$2:$AP$200,$G304)&gt;0,
     COUNTIFS($AQ$2:$AQ$200,$G304)&gt;0,
     COUNTIFS($AR$2:$AR$200,$G304)&gt;0,
     COUNTIFS($AS$2:$AS$200,$G304)&gt;0,
     COUNTIFS($AT$2:$AT$200,$G304)&gt;0,
     COUNTIFS($AU$2:$AU$200,$G304)&gt;0,
     COUNTIFS($AV$2:$AV$200,$G304)&gt;0,
     COUNTIFS($AW$2:$AW$200,$G304)&gt;0,
     COUNTIFS($AX$2:$AX$200,$G304)&gt;0
   )),
  ),
  3
 ),
"")</f>
        <v/>
      </c>
      <c r="F304" s="3" t="str" cm="1">
        <f t="array" aca="1" ref="F304" ca="1">IFERROR(
 INDEX(
  _xlfn._xlws.FILTER($U$1:$AX$1,
   TRANSPOSE(
    CHOOSE({1;2;3;4;5;6;7;8;9;10;11;12;13;14;15;16;17;18;19;20;21;22;23;24;25;26;27;28;29;30},
     COUNTIFS($U$2:$U$200,$G304)&gt;0,
     COUNTIFS($V$2:$V$200,$G304)&gt;0,
     COUNTIFS($W$2:$W$200,$G304)&gt;0,
     COUNTIFS($X$2:$X$200,$G304)&gt;0,
     COUNTIFS($Y$2:$Y$200,$G304)&gt;0,
     COUNTIFS($Z$2:$Z$200,$G304)&gt;0,
     COUNTIFS($AA$2:$AA$200,$G304)&gt;0,
     COUNTIFS($AB$2:$AB$200,$G304)&gt;0,
     COUNTIFS($AC$2:$AC$200,$G304)&gt;0,
     COUNTIFS($AD$2:$AD$200,$G304)&gt;0,
     COUNTIFS($AE$2:$AE$200,$G304)&gt;0,
     COUNTIFS($AF$2:$AF$200,$G304)&gt;0,
     COUNTIFS($AG$2:$AG$200,$G304)&gt;0,
     COUNTIFS($AH$2:$AH$200,$G304)&gt;0,
     COUNTIFS($AI$2:$AI$200,$G304)&gt;0,
     COUNTIFS($AJ$2:$AJ$200,$G304)&gt;0,
     COUNTIFS($AK$2:$AK$200,$G304)&gt;0,
     COUNTIFS($AL$2:$AL$200,$G304)&gt;0,
     COUNTIFS($AM$2:$AM$200,$G304)&gt;0,
     COUNTIFS($AN$2:$AN$200,$G304)&gt;0,
     COUNTIFS($AO$2:$AO$200,$G304)&gt;0,
     COUNTIFS($AP$2:$AP$200,$G304)&gt;0,
     COUNTIFS($AQ$2:$AQ$200,$G304)&gt;0,
     COUNTIFS($AR$2:$AR$200,$G304)&gt;0,
     COUNTIFS($AS$2:$AS$200,$G304)&gt;0,
     COUNTIFS($AT$2:$AT$200,$G304)&gt;0,
     COUNTIFS($AU$2:$AU$200,$G304)&gt;0,
     COUNTIFS($AV$2:$AV$200,$G304)&gt;0,
     COUNTIFS($AW$2:$AW$200,$G304)&gt;0,
     COUNTIFS($AX$2:$AX$200,$G304)&gt;0
   )),
  ),
  4
 ),
"")</f>
        <v/>
      </c>
      <c r="G304" t="str">
        <f ca="1"/>
        <v>Toph, the Blind Bandit</v>
      </c>
      <c r="CJ304" t="str">
        <f ca="1"/>
        <v>Toph, the Blind Bandit</v>
      </c>
    </row>
    <row r="305" spans="1:88" x14ac:dyDescent="0.25">
      <c r="A305" s="3" t="str">
        <f t="shared" ca="1" si="10"/>
        <v>1</v>
      </c>
      <c r="B305" s="3">
        <f t="shared" ca="1" si="11"/>
        <v>1</v>
      </c>
      <c r="C305" s="3" t="str">
        <f ca="1">IFERROR(
 INDEX($U$1:$AX$1,
  MATCH(TRUE,
   CHOOSE({1;2;3;4;5;6;7;8;9;10;11;12;13;14;15;16;17;18;19;20;21;22;23;24;25;26;27;28;29;30;31;32},
    COUNTIFS($U$2:$U$200,$G305)&gt;0,
    COUNTIFS($V$2:$V$200,$G305)&gt;0,
    COUNTIFS($W$2:$W$200,$G305)&gt;0,
    COUNTIFS($X$2:$X$200,$G305)&gt;0,
    COUNTIFS($Y$2:$Y$200,$G305)&gt;0,
    COUNTIFS($Z$2:$Z$200,$G305)&gt;0,
    COUNTIFS($AA$2:$AA$200,$G305)&gt;0,
    COUNTIFS($AB$2:$AB$200,$G305)&gt;0,
    COUNTIFS($AC$2:$AC$200,$G305)&gt;0,
    COUNTIFS($AD$2:$AD$200,$G305)&gt;0,
    COUNTIFS($AE$2:$AE$200,$G305)&gt;0,
    COUNTIFS($AF$2:$AF$200,$G305)&gt;0,
    COUNTIFS($AG$2:$AG$200,$G305)&gt;0,
    COUNTIFS($AH$2:$AH$200,$G305)&gt;0,
    COUNTIFS($AI$2:$AI$200,$G305)&gt;0,
    COUNTIFS($AJ$2:$AJ$200,$G305)&gt;0,
    COUNTIFS($AK$2:$AK$200,$G305)&gt;0,
    COUNTIFS($AL$2:$AL$200,$G305)&gt;0,
    COUNTIFS($AM$2:$AM$200,$G305)&gt;0,
    COUNTIFS($AN$2:$AN$200,$G305)&gt;0,
    COUNTIFS($AO$2:$AO$200,$G305)&gt;0,
    COUNTIFS($AP$2:$AP$200,$G305)&gt;0,
    COUNTIFS($AQ$2:$AQ$200,$G305)&gt;0,
    COUNTIFS($AR$2:$AR$200,$G305)&gt;0,
    COUNTIFS($AS$2:$AS$200,$G305)&gt;0,
    COUNTIFS($AT$2:$AT$200,$G305)&gt;0,
    COUNTIFS($AU$2:$AU$200,$G305)&gt;0,
    COUNTIFS($AV$2:$AV$200,$G305)&gt;0,
    COUNTIFS($AW$2:$AW$200,$G305)&gt;0,
    COUNTIFS($AX$2:$AX$200,$G305)&gt;0
   ),
  0)
 ),
"")</f>
        <v>Modular</v>
      </c>
      <c r="D305" s="3" t="str" cm="1">
        <f t="array" aca="1" ref="D305" ca="1">IFERROR(
 INDEX(
  _xlfn._xlws.FILTER($U$1:$AX$1,
   TRANSPOSE(
    CHOOSE({1;2;3;4;5;6;7;8;9;10;11;12;13;14;15;16;17;18;19;20;21;22;23;24;25;26;27;28;29;30},
     COUNTIFS($U$2:$U$200,$G305)&gt;0,
     COUNTIFS($V$2:$V$200,$G305)&gt;0,
     COUNTIFS($W$2:$W$200,$G305)&gt;0,
     COUNTIFS($X$2:$X$200,$G305)&gt;0,
     COUNTIFS($Y$2:$Y$200,$G305)&gt;0,
     COUNTIFS($Z$2:$Z$200,$G305)&gt;0,
     COUNTIFS($AA$2:$AA$200,$G305)&gt;0,
     COUNTIFS($AB$2:$AB$200,$G305)&gt;0,
     COUNTIFS($AC$2:$AC$200,$G305)&gt;0,
     COUNTIFS($AD$2:$AD$200,$G305)&gt;0,
     COUNTIFS($AE$2:$AE$200,$G305)&gt;0,
     COUNTIFS($AF$2:$AF$200,$G305)&gt;0,
     COUNTIFS($AG$2:$AG$200,$G305)&gt;0,
     COUNTIFS($AH$2:$AH$200,$G305)&gt;0,
     COUNTIFS($AI$2:$AI$200,$G305)&gt;0,
     COUNTIFS($AJ$2:$AJ$200,$G305)&gt;0,
     COUNTIFS($AK$2:$AK$200,$G305)&gt;0,
     COUNTIFS($AL$2:$AL$200,$G305)&gt;0,
     COUNTIFS($AM$2:$AM$200,$G305)&gt;0,
     COUNTIFS($AN$2:$AN$200,$G305)&gt;0,
     COUNTIFS($AO$2:$AO$200,$G305)&gt;0,
     COUNTIFS($AP$2:$AP$200,$G305)&gt;0,
     COUNTIFS($AQ$2:$AQ$200,$G305)&gt;0,
     COUNTIFS($AR$2:$AR$200,$G305)&gt;0,
     COUNTIFS($AS$2:$AS$200,$G305)&gt;0,
     COUNTIFS($AT$2:$AT$200,$G305)&gt;0,
     COUNTIFS($AU$2:$AU$200,$G305)&gt;0,
     COUNTIFS($AV$2:$AV$200,$G305)&gt;0,
     COUNTIFS($AW$2:$AW$200,$G305)&gt;0,
     COUNTIFS($AX$2:$AX$200,$G305)&gt;0
   )),
  ),
  2
 ),
"")</f>
        <v/>
      </c>
      <c r="E305" s="3" t="str" cm="1">
        <f t="array" aca="1" ref="E305" ca="1">IFERROR(
 INDEX(
  _xlfn._xlws.FILTER($U$1:$AX$1,
   TRANSPOSE(
    CHOOSE({1;2;3;4;5;6;7;8;9;10;11;12;13;14;15;16;17;18;19;20;21;22;23;24;25;26;27;28;29;30},
     COUNTIFS($U$2:$U$200,$G305)&gt;0,
     COUNTIFS($V$2:$V$200,$G305)&gt;0,
     COUNTIFS($W$2:$W$200,$G305)&gt;0,
     COUNTIFS($X$2:$X$200,$G305)&gt;0,
     COUNTIFS($Y$2:$Y$200,$G305)&gt;0,
     COUNTIFS($Z$2:$Z$200,$G305)&gt;0,
     COUNTIFS($AA$2:$AA$200,$G305)&gt;0,
     COUNTIFS($AB$2:$AB$200,$G305)&gt;0,
     COUNTIFS($AC$2:$AC$200,$G305)&gt;0,
     COUNTIFS($AD$2:$AD$200,$G305)&gt;0,
     COUNTIFS($AE$2:$AE$200,$G305)&gt;0,
     COUNTIFS($AF$2:$AF$200,$G305)&gt;0,
     COUNTIFS($AG$2:$AG$200,$G305)&gt;0,
     COUNTIFS($AH$2:$AH$200,$G305)&gt;0,
     COUNTIFS($AI$2:$AI$200,$G305)&gt;0,
     COUNTIFS($AJ$2:$AJ$200,$G305)&gt;0,
     COUNTIFS($AK$2:$AK$200,$G305)&gt;0,
     COUNTIFS($AL$2:$AL$200,$G305)&gt;0,
     COUNTIFS($AM$2:$AM$200,$G305)&gt;0,
     COUNTIFS($AN$2:$AN$200,$G305)&gt;0,
     COUNTIFS($AO$2:$AO$200,$G305)&gt;0,
     COUNTIFS($AP$2:$AP$200,$G305)&gt;0,
     COUNTIFS($AQ$2:$AQ$200,$G305)&gt;0,
     COUNTIFS($AR$2:$AR$200,$G305)&gt;0,
     COUNTIFS($AS$2:$AS$200,$G305)&gt;0,
     COUNTIFS($AT$2:$AT$200,$G305)&gt;0,
     COUNTIFS($AU$2:$AU$200,$G305)&gt;0,
     COUNTIFS($AV$2:$AV$200,$G305)&gt;0,
     COUNTIFS($AW$2:$AW$200,$G305)&gt;0,
     COUNTIFS($AX$2:$AX$200,$G305)&gt;0
   )),
  ),
  3
 ),
"")</f>
        <v/>
      </c>
      <c r="F305" s="3" t="str" cm="1">
        <f t="array" aca="1" ref="F305" ca="1">IFERROR(
 INDEX(
  _xlfn._xlws.FILTER($U$1:$AX$1,
   TRANSPOSE(
    CHOOSE({1;2;3;4;5;6;7;8;9;10;11;12;13;14;15;16;17;18;19;20;21;22;23;24;25;26;27;28;29;30},
     COUNTIFS($U$2:$U$200,$G305)&gt;0,
     COUNTIFS($V$2:$V$200,$G305)&gt;0,
     COUNTIFS($W$2:$W$200,$G305)&gt;0,
     COUNTIFS($X$2:$X$200,$G305)&gt;0,
     COUNTIFS($Y$2:$Y$200,$G305)&gt;0,
     COUNTIFS($Z$2:$Z$200,$G305)&gt;0,
     COUNTIFS($AA$2:$AA$200,$G305)&gt;0,
     COUNTIFS($AB$2:$AB$200,$G305)&gt;0,
     COUNTIFS($AC$2:$AC$200,$G305)&gt;0,
     COUNTIFS($AD$2:$AD$200,$G305)&gt;0,
     COUNTIFS($AE$2:$AE$200,$G305)&gt;0,
     COUNTIFS($AF$2:$AF$200,$G305)&gt;0,
     COUNTIFS($AG$2:$AG$200,$G305)&gt;0,
     COUNTIFS($AH$2:$AH$200,$G305)&gt;0,
     COUNTIFS($AI$2:$AI$200,$G305)&gt;0,
     COUNTIFS($AJ$2:$AJ$200,$G305)&gt;0,
     COUNTIFS($AK$2:$AK$200,$G305)&gt;0,
     COUNTIFS($AL$2:$AL$200,$G305)&gt;0,
     COUNTIFS($AM$2:$AM$200,$G305)&gt;0,
     COUNTIFS($AN$2:$AN$200,$G305)&gt;0,
     COUNTIFS($AO$2:$AO$200,$G305)&gt;0,
     COUNTIFS($AP$2:$AP$200,$G305)&gt;0,
     COUNTIFS($AQ$2:$AQ$200,$G305)&gt;0,
     COUNTIFS($AR$2:$AR$200,$G305)&gt;0,
     COUNTIFS($AS$2:$AS$200,$G305)&gt;0,
     COUNTIFS($AT$2:$AT$200,$G305)&gt;0,
     COUNTIFS($AU$2:$AU$200,$G305)&gt;0,
     COUNTIFS($AV$2:$AV$200,$G305)&gt;0,
     COUNTIFS($AW$2:$AW$200,$G305)&gt;0,
     COUNTIFS($AX$2:$AX$200,$G305)&gt;0
   )),
  ),
  4
 ),
"")</f>
        <v/>
      </c>
      <c r="G305" t="str">
        <f ca="1"/>
        <v>Toph, the First Metalbender</v>
      </c>
      <c r="CJ305" t="str">
        <f ca="1"/>
        <v>Toph, the First Metalbender</v>
      </c>
    </row>
    <row r="306" spans="1:88" x14ac:dyDescent="0.25">
      <c r="A306" s="3" t="str">
        <f t="shared" ca="1" si="10"/>
        <v>2</v>
      </c>
      <c r="B306" s="3">
        <f t="shared" ca="1" si="11"/>
        <v>1</v>
      </c>
      <c r="C306" s="3" t="str">
        <f ca="1">IFERROR(
 INDEX($U$1:$AX$1,
  MATCH(TRUE,
   CHOOSE({1;2;3;4;5;6;7;8;9;10;11;12;13;14;15;16;17;18;19;20;21;22;23;24;25;26;27;28;29;30;31;32},
    COUNTIFS($U$2:$U$200,$G306)&gt;0,
    COUNTIFS($V$2:$V$200,$G306)&gt;0,
    COUNTIFS($W$2:$W$200,$G306)&gt;0,
    COUNTIFS($X$2:$X$200,$G306)&gt;0,
    COUNTIFS($Y$2:$Y$200,$G306)&gt;0,
    COUNTIFS($Z$2:$Z$200,$G306)&gt;0,
    COUNTIFS($AA$2:$AA$200,$G306)&gt;0,
    COUNTIFS($AB$2:$AB$200,$G306)&gt;0,
    COUNTIFS($AC$2:$AC$200,$G306)&gt;0,
    COUNTIFS($AD$2:$AD$200,$G306)&gt;0,
    COUNTIFS($AE$2:$AE$200,$G306)&gt;0,
    COUNTIFS($AF$2:$AF$200,$G306)&gt;0,
    COUNTIFS($AG$2:$AG$200,$G306)&gt;0,
    COUNTIFS($AH$2:$AH$200,$G306)&gt;0,
    COUNTIFS($AI$2:$AI$200,$G306)&gt;0,
    COUNTIFS($AJ$2:$AJ$200,$G306)&gt;0,
    COUNTIFS($AK$2:$AK$200,$G306)&gt;0,
    COUNTIFS($AL$2:$AL$200,$G306)&gt;0,
    COUNTIFS($AM$2:$AM$200,$G306)&gt;0,
    COUNTIFS($AN$2:$AN$200,$G306)&gt;0,
    COUNTIFS($AO$2:$AO$200,$G306)&gt;0,
    COUNTIFS($AP$2:$AP$200,$G306)&gt;0,
    COUNTIFS($AQ$2:$AQ$200,$G306)&gt;0,
    COUNTIFS($AR$2:$AR$200,$G306)&gt;0,
    COUNTIFS($AS$2:$AS$200,$G306)&gt;0,
    COUNTIFS($AT$2:$AT$200,$G306)&gt;0,
    COUNTIFS($AU$2:$AU$200,$G306)&gt;0,
    COUNTIFS($AV$2:$AV$200,$G306)&gt;0,
    COUNTIFS($AW$2:$AW$200,$G306)&gt;0,
    COUNTIFS($AX$2:$AX$200,$G306)&gt;0
   ),
  0)
 ),
"")</f>
        <v>Narset</v>
      </c>
      <c r="D306" s="3" t="str" cm="1">
        <f t="array" aca="1" ref="D306" ca="1">IFERROR(
 INDEX(
  _xlfn._xlws.FILTER($U$1:$AX$1,
   TRANSPOSE(
    CHOOSE({1;2;3;4;5;6;7;8;9;10;11;12;13;14;15;16;17;18;19;20;21;22;23;24;25;26;27;28;29;30},
     COUNTIFS($U$2:$U$200,$G306)&gt;0,
     COUNTIFS($V$2:$V$200,$G306)&gt;0,
     COUNTIFS($W$2:$W$200,$G306)&gt;0,
     COUNTIFS($X$2:$X$200,$G306)&gt;0,
     COUNTIFS($Y$2:$Y$200,$G306)&gt;0,
     COUNTIFS($Z$2:$Z$200,$G306)&gt;0,
     COUNTIFS($AA$2:$AA$200,$G306)&gt;0,
     COUNTIFS($AB$2:$AB$200,$G306)&gt;0,
     COUNTIFS($AC$2:$AC$200,$G306)&gt;0,
     COUNTIFS($AD$2:$AD$200,$G306)&gt;0,
     COUNTIFS($AE$2:$AE$200,$G306)&gt;0,
     COUNTIFS($AF$2:$AF$200,$G306)&gt;0,
     COUNTIFS($AG$2:$AG$200,$G306)&gt;0,
     COUNTIFS($AH$2:$AH$200,$G306)&gt;0,
     COUNTIFS($AI$2:$AI$200,$G306)&gt;0,
     COUNTIFS($AJ$2:$AJ$200,$G306)&gt;0,
     COUNTIFS($AK$2:$AK$200,$G306)&gt;0,
     COUNTIFS($AL$2:$AL$200,$G306)&gt;0,
     COUNTIFS($AM$2:$AM$200,$G306)&gt;0,
     COUNTIFS($AN$2:$AN$200,$G306)&gt;0,
     COUNTIFS($AO$2:$AO$200,$G306)&gt;0,
     COUNTIFS($AP$2:$AP$200,$G306)&gt;0,
     COUNTIFS($AQ$2:$AQ$200,$G306)&gt;0,
     COUNTIFS($AR$2:$AR$200,$G306)&gt;0,
     COUNTIFS($AS$2:$AS$200,$G306)&gt;0,
     COUNTIFS($AT$2:$AT$200,$G306)&gt;0,
     COUNTIFS($AU$2:$AU$200,$G306)&gt;0,
     COUNTIFS($AV$2:$AV$200,$G306)&gt;0,
     COUNTIFS($AW$2:$AW$200,$G306)&gt;0,
     COUNTIFS($AX$2:$AX$200,$G306)&gt;0
   )),
  ),
  2
 ),
"")</f>
        <v/>
      </c>
      <c r="E306" s="3" t="str" cm="1">
        <f t="array" aca="1" ref="E306" ca="1">IFERROR(
 INDEX(
  _xlfn._xlws.FILTER($U$1:$AX$1,
   TRANSPOSE(
    CHOOSE({1;2;3;4;5;6;7;8;9;10;11;12;13;14;15;16;17;18;19;20;21;22;23;24;25;26;27;28;29;30},
     COUNTIFS($U$2:$U$200,$G306)&gt;0,
     COUNTIFS($V$2:$V$200,$G306)&gt;0,
     COUNTIFS($W$2:$W$200,$G306)&gt;0,
     COUNTIFS($X$2:$X$200,$G306)&gt;0,
     COUNTIFS($Y$2:$Y$200,$G306)&gt;0,
     COUNTIFS($Z$2:$Z$200,$G306)&gt;0,
     COUNTIFS($AA$2:$AA$200,$G306)&gt;0,
     COUNTIFS($AB$2:$AB$200,$G306)&gt;0,
     COUNTIFS($AC$2:$AC$200,$G306)&gt;0,
     COUNTIFS($AD$2:$AD$200,$G306)&gt;0,
     COUNTIFS($AE$2:$AE$200,$G306)&gt;0,
     COUNTIFS($AF$2:$AF$200,$G306)&gt;0,
     COUNTIFS($AG$2:$AG$200,$G306)&gt;0,
     COUNTIFS($AH$2:$AH$200,$G306)&gt;0,
     COUNTIFS($AI$2:$AI$200,$G306)&gt;0,
     COUNTIFS($AJ$2:$AJ$200,$G306)&gt;0,
     COUNTIFS($AK$2:$AK$200,$G306)&gt;0,
     COUNTIFS($AL$2:$AL$200,$G306)&gt;0,
     COUNTIFS($AM$2:$AM$200,$G306)&gt;0,
     COUNTIFS($AN$2:$AN$200,$G306)&gt;0,
     COUNTIFS($AO$2:$AO$200,$G306)&gt;0,
     COUNTIFS($AP$2:$AP$200,$G306)&gt;0,
     COUNTIFS($AQ$2:$AQ$200,$G306)&gt;0,
     COUNTIFS($AR$2:$AR$200,$G306)&gt;0,
     COUNTIFS($AS$2:$AS$200,$G306)&gt;0,
     COUNTIFS($AT$2:$AT$200,$G306)&gt;0,
     COUNTIFS($AU$2:$AU$200,$G306)&gt;0,
     COUNTIFS($AV$2:$AV$200,$G306)&gt;0,
     COUNTIFS($AW$2:$AW$200,$G306)&gt;0,
     COUNTIFS($AX$2:$AX$200,$G306)&gt;0
   )),
  ),
  3
 ),
"")</f>
        <v/>
      </c>
      <c r="F306" s="3" t="str" cm="1">
        <f t="array" aca="1" ref="F306" ca="1">IFERROR(
 INDEX(
  _xlfn._xlws.FILTER($U$1:$AX$1,
   TRANSPOSE(
    CHOOSE({1;2;3;4;5;6;7;8;9;10;11;12;13;14;15;16;17;18;19;20;21;22;23;24;25;26;27;28;29;30},
     COUNTIFS($U$2:$U$200,$G306)&gt;0,
     COUNTIFS($V$2:$V$200,$G306)&gt;0,
     COUNTIFS($W$2:$W$200,$G306)&gt;0,
     COUNTIFS($X$2:$X$200,$G306)&gt;0,
     COUNTIFS($Y$2:$Y$200,$G306)&gt;0,
     COUNTIFS($Z$2:$Z$200,$G306)&gt;0,
     COUNTIFS($AA$2:$AA$200,$G306)&gt;0,
     COUNTIFS($AB$2:$AB$200,$G306)&gt;0,
     COUNTIFS($AC$2:$AC$200,$G306)&gt;0,
     COUNTIFS($AD$2:$AD$200,$G306)&gt;0,
     COUNTIFS($AE$2:$AE$200,$G306)&gt;0,
     COUNTIFS($AF$2:$AF$200,$G306)&gt;0,
     COUNTIFS($AG$2:$AG$200,$G306)&gt;0,
     COUNTIFS($AH$2:$AH$200,$G306)&gt;0,
     COUNTIFS($AI$2:$AI$200,$G306)&gt;0,
     COUNTIFS($AJ$2:$AJ$200,$G306)&gt;0,
     COUNTIFS($AK$2:$AK$200,$G306)&gt;0,
     COUNTIFS($AL$2:$AL$200,$G306)&gt;0,
     COUNTIFS($AM$2:$AM$200,$G306)&gt;0,
     COUNTIFS($AN$2:$AN$200,$G306)&gt;0,
     COUNTIFS($AO$2:$AO$200,$G306)&gt;0,
     COUNTIFS($AP$2:$AP$200,$G306)&gt;0,
     COUNTIFS($AQ$2:$AQ$200,$G306)&gt;0,
     COUNTIFS($AR$2:$AR$200,$G306)&gt;0,
     COUNTIFS($AS$2:$AS$200,$G306)&gt;0,
     COUNTIFS($AT$2:$AT$200,$G306)&gt;0,
     COUNTIFS($AU$2:$AU$200,$G306)&gt;0,
     COUNTIFS($AV$2:$AV$200,$G306)&gt;0,
     COUNTIFS($AW$2:$AW$200,$G306)&gt;0,
     COUNTIFS($AX$2:$AX$200,$G306)&gt;0
   )),
  ),
  4
 ),
"")</f>
        <v/>
      </c>
      <c r="G306" t="str">
        <f ca="1"/>
        <v>Training Center</v>
      </c>
      <c r="CJ306" t="str">
        <f ca="1"/>
        <v>Training Center</v>
      </c>
    </row>
    <row r="307" spans="1:88" x14ac:dyDescent="0.25">
      <c r="A307" s="3" t="str">
        <f t="shared" ca="1" si="10"/>
        <v>2</v>
      </c>
      <c r="B307" s="3">
        <f t="shared" ca="1" si="11"/>
        <v>1</v>
      </c>
      <c r="C307" s="3" t="str">
        <f ca="1">IFERROR(
 INDEX($U$1:$AX$1,
  MATCH(TRUE,
   CHOOSE({1;2;3;4;5;6;7;8;9;10;11;12;13;14;15;16;17;18;19;20;21;22;23;24;25;26;27;28;29;30;31;32},
    COUNTIFS($U$2:$U$200,$G307)&gt;0,
    COUNTIFS($V$2:$V$200,$G307)&gt;0,
    COUNTIFS($W$2:$W$200,$G307)&gt;0,
    COUNTIFS($X$2:$X$200,$G307)&gt;0,
    COUNTIFS($Y$2:$Y$200,$G307)&gt;0,
    COUNTIFS($Z$2:$Z$200,$G307)&gt;0,
    COUNTIFS($AA$2:$AA$200,$G307)&gt;0,
    COUNTIFS($AB$2:$AB$200,$G307)&gt;0,
    COUNTIFS($AC$2:$AC$200,$G307)&gt;0,
    COUNTIFS($AD$2:$AD$200,$G307)&gt;0,
    COUNTIFS($AE$2:$AE$200,$G307)&gt;0,
    COUNTIFS($AF$2:$AF$200,$G307)&gt;0,
    COUNTIFS($AG$2:$AG$200,$G307)&gt;0,
    COUNTIFS($AH$2:$AH$200,$G307)&gt;0,
    COUNTIFS($AI$2:$AI$200,$G307)&gt;0,
    COUNTIFS($AJ$2:$AJ$200,$G307)&gt;0,
    COUNTIFS($AK$2:$AK$200,$G307)&gt;0,
    COUNTIFS($AL$2:$AL$200,$G307)&gt;0,
    COUNTIFS($AM$2:$AM$200,$G307)&gt;0,
    COUNTIFS($AN$2:$AN$200,$G307)&gt;0,
    COUNTIFS($AO$2:$AO$200,$G307)&gt;0,
    COUNTIFS($AP$2:$AP$200,$G307)&gt;0,
    COUNTIFS($AQ$2:$AQ$200,$G307)&gt;0,
    COUNTIFS($AR$2:$AR$200,$G307)&gt;0,
    COUNTIFS($AS$2:$AS$200,$G307)&gt;0,
    COUNTIFS($AT$2:$AT$200,$G307)&gt;0,
    COUNTIFS($AU$2:$AU$200,$G307)&gt;0,
    COUNTIFS($AV$2:$AV$200,$G307)&gt;0,
    COUNTIFS($AW$2:$AW$200,$G307)&gt;0,
    COUNTIFS($AX$2:$AX$200,$G307)&gt;0
   ),
  0)
 ),
"")</f>
        <v>Piratas</v>
      </c>
      <c r="D307" s="3" t="str" cm="1">
        <f t="array" aca="1" ref="D307" ca="1">IFERROR(
 INDEX(
  _xlfn._xlws.FILTER($U$1:$AX$1,
   TRANSPOSE(
    CHOOSE({1;2;3;4;5;6;7;8;9;10;11;12;13;14;15;16;17;18;19;20;21;22;23;24;25;26;27;28;29;30},
     COUNTIFS($U$2:$U$200,$G307)&gt;0,
     COUNTIFS($V$2:$V$200,$G307)&gt;0,
     COUNTIFS($W$2:$W$200,$G307)&gt;0,
     COUNTIFS($X$2:$X$200,$G307)&gt;0,
     COUNTIFS($Y$2:$Y$200,$G307)&gt;0,
     COUNTIFS($Z$2:$Z$200,$G307)&gt;0,
     COUNTIFS($AA$2:$AA$200,$G307)&gt;0,
     COUNTIFS($AB$2:$AB$200,$G307)&gt;0,
     COUNTIFS($AC$2:$AC$200,$G307)&gt;0,
     COUNTIFS($AD$2:$AD$200,$G307)&gt;0,
     COUNTIFS($AE$2:$AE$200,$G307)&gt;0,
     COUNTIFS($AF$2:$AF$200,$G307)&gt;0,
     COUNTIFS($AG$2:$AG$200,$G307)&gt;0,
     COUNTIFS($AH$2:$AH$200,$G307)&gt;0,
     COUNTIFS($AI$2:$AI$200,$G307)&gt;0,
     COUNTIFS($AJ$2:$AJ$200,$G307)&gt;0,
     COUNTIFS($AK$2:$AK$200,$G307)&gt;0,
     COUNTIFS($AL$2:$AL$200,$G307)&gt;0,
     COUNTIFS($AM$2:$AM$200,$G307)&gt;0,
     COUNTIFS($AN$2:$AN$200,$G307)&gt;0,
     COUNTIFS($AO$2:$AO$200,$G307)&gt;0,
     COUNTIFS($AP$2:$AP$200,$G307)&gt;0,
     COUNTIFS($AQ$2:$AQ$200,$G307)&gt;0,
     COUNTIFS($AR$2:$AR$200,$G307)&gt;0,
     COUNTIFS($AS$2:$AS$200,$G307)&gt;0,
     COUNTIFS($AT$2:$AT$200,$G307)&gt;0,
     COUNTIFS($AU$2:$AU$200,$G307)&gt;0,
     COUNTIFS($AV$2:$AV$200,$G307)&gt;0,
     COUNTIFS($AW$2:$AW$200,$G307)&gt;0,
     COUNTIFS($AX$2:$AX$200,$G307)&gt;0
   )),
  ),
  2
 ),
"")</f>
        <v/>
      </c>
      <c r="E307" s="3" t="str" cm="1">
        <f t="array" aca="1" ref="E307" ca="1">IFERROR(
 INDEX(
  _xlfn._xlws.FILTER($U$1:$AX$1,
   TRANSPOSE(
    CHOOSE({1;2;3;4;5;6;7;8;9;10;11;12;13;14;15;16;17;18;19;20;21;22;23;24;25;26;27;28;29;30},
     COUNTIFS($U$2:$U$200,$G307)&gt;0,
     COUNTIFS($V$2:$V$200,$G307)&gt;0,
     COUNTIFS($W$2:$W$200,$G307)&gt;0,
     COUNTIFS($X$2:$X$200,$G307)&gt;0,
     COUNTIFS($Y$2:$Y$200,$G307)&gt;0,
     COUNTIFS($Z$2:$Z$200,$G307)&gt;0,
     COUNTIFS($AA$2:$AA$200,$G307)&gt;0,
     COUNTIFS($AB$2:$AB$200,$G307)&gt;0,
     COUNTIFS($AC$2:$AC$200,$G307)&gt;0,
     COUNTIFS($AD$2:$AD$200,$G307)&gt;0,
     COUNTIFS($AE$2:$AE$200,$G307)&gt;0,
     COUNTIFS($AF$2:$AF$200,$G307)&gt;0,
     COUNTIFS($AG$2:$AG$200,$G307)&gt;0,
     COUNTIFS($AH$2:$AH$200,$G307)&gt;0,
     COUNTIFS($AI$2:$AI$200,$G307)&gt;0,
     COUNTIFS($AJ$2:$AJ$200,$G307)&gt;0,
     COUNTIFS($AK$2:$AK$200,$G307)&gt;0,
     COUNTIFS($AL$2:$AL$200,$G307)&gt;0,
     COUNTIFS($AM$2:$AM$200,$G307)&gt;0,
     COUNTIFS($AN$2:$AN$200,$G307)&gt;0,
     COUNTIFS($AO$2:$AO$200,$G307)&gt;0,
     COUNTIFS($AP$2:$AP$200,$G307)&gt;0,
     COUNTIFS($AQ$2:$AQ$200,$G307)&gt;0,
     COUNTIFS($AR$2:$AR$200,$G307)&gt;0,
     COUNTIFS($AS$2:$AS$200,$G307)&gt;0,
     COUNTIFS($AT$2:$AT$200,$G307)&gt;0,
     COUNTIFS($AU$2:$AU$200,$G307)&gt;0,
     COUNTIFS($AV$2:$AV$200,$G307)&gt;0,
     COUNTIFS($AW$2:$AW$200,$G307)&gt;0,
     COUNTIFS($AX$2:$AX$200,$G307)&gt;0
   )),
  ),
  3
 ),
"")</f>
        <v/>
      </c>
      <c r="F307" s="3" t="str" cm="1">
        <f t="array" aca="1" ref="F307" ca="1">IFERROR(
 INDEX(
  _xlfn._xlws.FILTER($U$1:$AX$1,
   TRANSPOSE(
    CHOOSE({1;2;3;4;5;6;7;8;9;10;11;12;13;14;15;16;17;18;19;20;21;22;23;24;25;26;27;28;29;30},
     COUNTIFS($U$2:$U$200,$G307)&gt;0,
     COUNTIFS($V$2:$V$200,$G307)&gt;0,
     COUNTIFS($W$2:$W$200,$G307)&gt;0,
     COUNTIFS($X$2:$X$200,$G307)&gt;0,
     COUNTIFS($Y$2:$Y$200,$G307)&gt;0,
     COUNTIFS($Z$2:$Z$200,$G307)&gt;0,
     COUNTIFS($AA$2:$AA$200,$G307)&gt;0,
     COUNTIFS($AB$2:$AB$200,$G307)&gt;0,
     COUNTIFS($AC$2:$AC$200,$G307)&gt;0,
     COUNTIFS($AD$2:$AD$200,$G307)&gt;0,
     COUNTIFS($AE$2:$AE$200,$G307)&gt;0,
     COUNTIFS($AF$2:$AF$200,$G307)&gt;0,
     COUNTIFS($AG$2:$AG$200,$G307)&gt;0,
     COUNTIFS($AH$2:$AH$200,$G307)&gt;0,
     COUNTIFS($AI$2:$AI$200,$G307)&gt;0,
     COUNTIFS($AJ$2:$AJ$200,$G307)&gt;0,
     COUNTIFS($AK$2:$AK$200,$G307)&gt;0,
     COUNTIFS($AL$2:$AL$200,$G307)&gt;0,
     COUNTIFS($AM$2:$AM$200,$G307)&gt;0,
     COUNTIFS($AN$2:$AN$200,$G307)&gt;0,
     COUNTIFS($AO$2:$AO$200,$G307)&gt;0,
     COUNTIFS($AP$2:$AP$200,$G307)&gt;0,
     COUNTIFS($AQ$2:$AQ$200,$G307)&gt;0,
     COUNTIFS($AR$2:$AR$200,$G307)&gt;0,
     COUNTIFS($AS$2:$AS$200,$G307)&gt;0,
     COUNTIFS($AT$2:$AT$200,$G307)&gt;0,
     COUNTIFS($AU$2:$AU$200,$G307)&gt;0,
     COUNTIFS($AV$2:$AV$200,$G307)&gt;0,
     COUNTIFS($AW$2:$AW$200,$G307)&gt;0,
     COUNTIFS($AX$2:$AX$200,$G307)&gt;0
   )),
  ),
  4
 ),
"")</f>
        <v/>
      </c>
      <c r="G307" t="str">
        <f ca="1"/>
        <v>Treasure Vault</v>
      </c>
      <c r="CJ307" t="str">
        <f ca="1"/>
        <v>Treasure Vault</v>
      </c>
    </row>
    <row r="308" spans="1:88" x14ac:dyDescent="0.25">
      <c r="A308" s="3" t="str">
        <f t="shared" ca="1" si="10"/>
        <v>1</v>
      </c>
      <c r="B308" s="3">
        <f t="shared" ca="1" si="11"/>
        <v>1</v>
      </c>
      <c r="C308" s="3" t="str">
        <f ca="1">IFERROR(
 INDEX($U$1:$AX$1,
  MATCH(TRUE,
   CHOOSE({1;2;3;4;5;6;7;8;9;10;11;12;13;14;15;16;17;18;19;20;21;22;23;24;25;26;27;28;29;30;31;32},
    COUNTIFS($U$2:$U$200,$G308)&gt;0,
    COUNTIFS($V$2:$V$200,$G308)&gt;0,
    COUNTIFS($W$2:$W$200,$G308)&gt;0,
    COUNTIFS($X$2:$X$200,$G308)&gt;0,
    COUNTIFS($Y$2:$Y$200,$G308)&gt;0,
    COUNTIFS($Z$2:$Z$200,$G308)&gt;0,
    COUNTIFS($AA$2:$AA$200,$G308)&gt;0,
    COUNTIFS($AB$2:$AB$200,$G308)&gt;0,
    COUNTIFS($AC$2:$AC$200,$G308)&gt;0,
    COUNTIFS($AD$2:$AD$200,$G308)&gt;0,
    COUNTIFS($AE$2:$AE$200,$G308)&gt;0,
    COUNTIFS($AF$2:$AF$200,$G308)&gt;0,
    COUNTIFS($AG$2:$AG$200,$G308)&gt;0,
    COUNTIFS($AH$2:$AH$200,$G308)&gt;0,
    COUNTIFS($AI$2:$AI$200,$G308)&gt;0,
    COUNTIFS($AJ$2:$AJ$200,$G308)&gt;0,
    COUNTIFS($AK$2:$AK$200,$G308)&gt;0,
    COUNTIFS($AL$2:$AL$200,$G308)&gt;0,
    COUNTIFS($AM$2:$AM$200,$G308)&gt;0,
    COUNTIFS($AN$2:$AN$200,$G308)&gt;0,
    COUNTIFS($AO$2:$AO$200,$G308)&gt;0,
    COUNTIFS($AP$2:$AP$200,$G308)&gt;0,
    COUNTIFS($AQ$2:$AQ$200,$G308)&gt;0,
    COUNTIFS($AR$2:$AR$200,$G308)&gt;0,
    COUNTIFS($AS$2:$AS$200,$G308)&gt;0,
    COUNTIFS($AT$2:$AT$200,$G308)&gt;0,
    COUNTIFS($AU$2:$AU$200,$G308)&gt;0,
    COUNTIFS($AV$2:$AV$200,$G308)&gt;0,
    COUNTIFS($AW$2:$AW$200,$G308)&gt;0,
    COUNTIFS($AX$2:$AX$200,$G308)&gt;0
   ),
  0)
 ),
"")</f>
        <v>Modular</v>
      </c>
      <c r="D308" s="3" t="str" cm="1">
        <f t="array" aca="1" ref="D308" ca="1">IFERROR(
 INDEX(
  _xlfn._xlws.FILTER($U$1:$AX$1,
   TRANSPOSE(
    CHOOSE({1;2;3;4;5;6;7;8;9;10;11;12;13;14;15;16;17;18;19;20;21;22;23;24;25;26;27;28;29;30},
     COUNTIFS($U$2:$U$200,$G308)&gt;0,
     COUNTIFS($V$2:$V$200,$G308)&gt;0,
     COUNTIFS($W$2:$W$200,$G308)&gt;0,
     COUNTIFS($X$2:$X$200,$G308)&gt;0,
     COUNTIFS($Y$2:$Y$200,$G308)&gt;0,
     COUNTIFS($Z$2:$Z$200,$G308)&gt;0,
     COUNTIFS($AA$2:$AA$200,$G308)&gt;0,
     COUNTIFS($AB$2:$AB$200,$G308)&gt;0,
     COUNTIFS($AC$2:$AC$200,$G308)&gt;0,
     COUNTIFS($AD$2:$AD$200,$G308)&gt;0,
     COUNTIFS($AE$2:$AE$200,$G308)&gt;0,
     COUNTIFS($AF$2:$AF$200,$G308)&gt;0,
     COUNTIFS($AG$2:$AG$200,$G308)&gt;0,
     COUNTIFS($AH$2:$AH$200,$G308)&gt;0,
     COUNTIFS($AI$2:$AI$200,$G308)&gt;0,
     COUNTIFS($AJ$2:$AJ$200,$G308)&gt;0,
     COUNTIFS($AK$2:$AK$200,$G308)&gt;0,
     COUNTIFS($AL$2:$AL$200,$G308)&gt;0,
     COUNTIFS($AM$2:$AM$200,$G308)&gt;0,
     COUNTIFS($AN$2:$AN$200,$G308)&gt;0,
     COUNTIFS($AO$2:$AO$200,$G308)&gt;0,
     COUNTIFS($AP$2:$AP$200,$G308)&gt;0,
     COUNTIFS($AQ$2:$AQ$200,$G308)&gt;0,
     COUNTIFS($AR$2:$AR$200,$G308)&gt;0,
     COUNTIFS($AS$2:$AS$200,$G308)&gt;0,
     COUNTIFS($AT$2:$AT$200,$G308)&gt;0,
     COUNTIFS($AU$2:$AU$200,$G308)&gt;0,
     COUNTIFS($AV$2:$AV$200,$G308)&gt;0,
     COUNTIFS($AW$2:$AW$200,$G308)&gt;0,
     COUNTIFS($AX$2:$AX$200,$G308)&gt;0
   )),
  ),
  2
 ),
"")</f>
        <v/>
      </c>
      <c r="E308" s="3" t="str" cm="1">
        <f t="array" aca="1" ref="E308" ca="1">IFERROR(
 INDEX(
  _xlfn._xlws.FILTER($U$1:$AX$1,
   TRANSPOSE(
    CHOOSE({1;2;3;4;5;6;7;8;9;10;11;12;13;14;15;16;17;18;19;20;21;22;23;24;25;26;27;28;29;30},
     COUNTIFS($U$2:$U$200,$G308)&gt;0,
     COUNTIFS($V$2:$V$200,$G308)&gt;0,
     COUNTIFS($W$2:$W$200,$G308)&gt;0,
     COUNTIFS($X$2:$X$200,$G308)&gt;0,
     COUNTIFS($Y$2:$Y$200,$G308)&gt;0,
     COUNTIFS($Z$2:$Z$200,$G308)&gt;0,
     COUNTIFS($AA$2:$AA$200,$G308)&gt;0,
     COUNTIFS($AB$2:$AB$200,$G308)&gt;0,
     COUNTIFS($AC$2:$AC$200,$G308)&gt;0,
     COUNTIFS($AD$2:$AD$200,$G308)&gt;0,
     COUNTIFS($AE$2:$AE$200,$G308)&gt;0,
     COUNTIFS($AF$2:$AF$200,$G308)&gt;0,
     COUNTIFS($AG$2:$AG$200,$G308)&gt;0,
     COUNTIFS($AH$2:$AH$200,$G308)&gt;0,
     COUNTIFS($AI$2:$AI$200,$G308)&gt;0,
     COUNTIFS($AJ$2:$AJ$200,$G308)&gt;0,
     COUNTIFS($AK$2:$AK$200,$G308)&gt;0,
     COUNTIFS($AL$2:$AL$200,$G308)&gt;0,
     COUNTIFS($AM$2:$AM$200,$G308)&gt;0,
     COUNTIFS($AN$2:$AN$200,$G308)&gt;0,
     COUNTIFS($AO$2:$AO$200,$G308)&gt;0,
     COUNTIFS($AP$2:$AP$200,$G308)&gt;0,
     COUNTIFS($AQ$2:$AQ$200,$G308)&gt;0,
     COUNTIFS($AR$2:$AR$200,$G308)&gt;0,
     COUNTIFS($AS$2:$AS$200,$G308)&gt;0,
     COUNTIFS($AT$2:$AT$200,$G308)&gt;0,
     COUNTIFS($AU$2:$AU$200,$G308)&gt;0,
     COUNTIFS($AV$2:$AV$200,$G308)&gt;0,
     COUNTIFS($AW$2:$AW$200,$G308)&gt;0,
     COUNTIFS($AX$2:$AX$200,$G308)&gt;0
   )),
  ),
  3
 ),
"")</f>
        <v/>
      </c>
      <c r="F308" s="3" t="str" cm="1">
        <f t="array" aca="1" ref="F308" ca="1">IFERROR(
 INDEX(
  _xlfn._xlws.FILTER($U$1:$AX$1,
   TRANSPOSE(
    CHOOSE({1;2;3;4;5;6;7;8;9;10;11;12;13;14;15;16;17;18;19;20;21;22;23;24;25;26;27;28;29;30},
     COUNTIFS($U$2:$U$200,$G308)&gt;0,
     COUNTIFS($V$2:$V$200,$G308)&gt;0,
     COUNTIFS($W$2:$W$200,$G308)&gt;0,
     COUNTIFS($X$2:$X$200,$G308)&gt;0,
     COUNTIFS($Y$2:$Y$200,$G308)&gt;0,
     COUNTIFS($Z$2:$Z$200,$G308)&gt;0,
     COUNTIFS($AA$2:$AA$200,$G308)&gt;0,
     COUNTIFS($AB$2:$AB$200,$G308)&gt;0,
     COUNTIFS($AC$2:$AC$200,$G308)&gt;0,
     COUNTIFS($AD$2:$AD$200,$G308)&gt;0,
     COUNTIFS($AE$2:$AE$200,$G308)&gt;0,
     COUNTIFS($AF$2:$AF$200,$G308)&gt;0,
     COUNTIFS($AG$2:$AG$200,$G308)&gt;0,
     COUNTIFS($AH$2:$AH$200,$G308)&gt;0,
     COUNTIFS($AI$2:$AI$200,$G308)&gt;0,
     COUNTIFS($AJ$2:$AJ$200,$G308)&gt;0,
     COUNTIFS($AK$2:$AK$200,$G308)&gt;0,
     COUNTIFS($AL$2:$AL$200,$G308)&gt;0,
     COUNTIFS($AM$2:$AM$200,$G308)&gt;0,
     COUNTIFS($AN$2:$AN$200,$G308)&gt;0,
     COUNTIFS($AO$2:$AO$200,$G308)&gt;0,
     COUNTIFS($AP$2:$AP$200,$G308)&gt;0,
     COUNTIFS($AQ$2:$AQ$200,$G308)&gt;0,
     COUNTIFS($AR$2:$AR$200,$G308)&gt;0,
     COUNTIFS($AS$2:$AS$200,$G308)&gt;0,
     COUNTIFS($AT$2:$AT$200,$G308)&gt;0,
     COUNTIFS($AU$2:$AU$200,$G308)&gt;0,
     COUNTIFS($AV$2:$AV$200,$G308)&gt;0,
     COUNTIFS($AW$2:$AW$200,$G308)&gt;0,
     COUNTIFS($AX$2:$AX$200,$G308)&gt;0
   )),
  ),
  4
 ),
"")</f>
        <v/>
      </c>
      <c r="G308" t="str">
        <f ca="1"/>
        <v>Tree of Tales</v>
      </c>
      <c r="CJ308" t="str">
        <f ca="1"/>
        <v>Tree of Tales</v>
      </c>
    </row>
    <row r="309" spans="1:88" x14ac:dyDescent="0.25">
      <c r="A309" s="3" t="str">
        <f t="shared" ca="1" si="10"/>
        <v>2</v>
      </c>
      <c r="B309" s="3">
        <f t="shared" ca="1" si="11"/>
        <v>1</v>
      </c>
      <c r="C309" s="3" t="str">
        <f ca="1">IFERROR(
 INDEX($U$1:$AX$1,
  MATCH(TRUE,
   CHOOSE({1;2;3;4;5;6;7;8;9;10;11;12;13;14;15;16;17;18;19;20;21;22;23;24;25;26;27;28;29;30;31;32},
    COUNTIFS($U$2:$U$200,$G309)&gt;0,
    COUNTIFS($V$2:$V$200,$G309)&gt;0,
    COUNTIFS($W$2:$W$200,$G309)&gt;0,
    COUNTIFS($X$2:$X$200,$G309)&gt;0,
    COUNTIFS($Y$2:$Y$200,$G309)&gt;0,
    COUNTIFS($Z$2:$Z$200,$G309)&gt;0,
    COUNTIFS($AA$2:$AA$200,$G309)&gt;0,
    COUNTIFS($AB$2:$AB$200,$G309)&gt;0,
    COUNTIFS($AC$2:$AC$200,$G309)&gt;0,
    COUNTIFS($AD$2:$AD$200,$G309)&gt;0,
    COUNTIFS($AE$2:$AE$200,$G309)&gt;0,
    COUNTIFS($AF$2:$AF$200,$G309)&gt;0,
    COUNTIFS($AG$2:$AG$200,$G309)&gt;0,
    COUNTIFS($AH$2:$AH$200,$G309)&gt;0,
    COUNTIFS($AI$2:$AI$200,$G309)&gt;0,
    COUNTIFS($AJ$2:$AJ$200,$G309)&gt;0,
    COUNTIFS($AK$2:$AK$200,$G309)&gt;0,
    COUNTIFS($AL$2:$AL$200,$G309)&gt;0,
    COUNTIFS($AM$2:$AM$200,$G309)&gt;0,
    COUNTIFS($AN$2:$AN$200,$G309)&gt;0,
    COUNTIFS($AO$2:$AO$200,$G309)&gt;0,
    COUNTIFS($AP$2:$AP$200,$G309)&gt;0,
    COUNTIFS($AQ$2:$AQ$200,$G309)&gt;0,
    COUNTIFS($AR$2:$AR$200,$G309)&gt;0,
    COUNTIFS($AS$2:$AS$200,$G309)&gt;0,
    COUNTIFS($AT$2:$AT$200,$G309)&gt;0,
    COUNTIFS($AU$2:$AU$200,$G309)&gt;0,
    COUNTIFS($AV$2:$AV$200,$G309)&gt;0,
    COUNTIFS($AW$2:$AW$200,$G309)&gt;0,
    COUNTIFS($AX$2:$AX$200,$G309)&gt;0
   ),
  0)
 ),
"")</f>
        <v>Rani</v>
      </c>
      <c r="D309" s="3" t="str" cm="1">
        <f t="array" aca="1" ref="D309" ca="1">IFERROR(
 INDEX(
  _xlfn._xlws.FILTER($U$1:$AX$1,
   TRANSPOSE(
    CHOOSE({1;2;3;4;5;6;7;8;9;10;11;12;13;14;15;16;17;18;19;20;21;22;23;24;25;26;27;28;29;30},
     COUNTIFS($U$2:$U$200,$G309)&gt;0,
     COUNTIFS($V$2:$V$200,$G309)&gt;0,
     COUNTIFS($W$2:$W$200,$G309)&gt;0,
     COUNTIFS($X$2:$X$200,$G309)&gt;0,
     COUNTIFS($Y$2:$Y$200,$G309)&gt;0,
     COUNTIFS($Z$2:$Z$200,$G309)&gt;0,
     COUNTIFS($AA$2:$AA$200,$G309)&gt;0,
     COUNTIFS($AB$2:$AB$200,$G309)&gt;0,
     COUNTIFS($AC$2:$AC$200,$G309)&gt;0,
     COUNTIFS($AD$2:$AD$200,$G309)&gt;0,
     COUNTIFS($AE$2:$AE$200,$G309)&gt;0,
     COUNTIFS($AF$2:$AF$200,$G309)&gt;0,
     COUNTIFS($AG$2:$AG$200,$G309)&gt;0,
     COUNTIFS($AH$2:$AH$200,$G309)&gt;0,
     COUNTIFS($AI$2:$AI$200,$G309)&gt;0,
     COUNTIFS($AJ$2:$AJ$200,$G309)&gt;0,
     COUNTIFS($AK$2:$AK$200,$G309)&gt;0,
     COUNTIFS($AL$2:$AL$200,$G309)&gt;0,
     COUNTIFS($AM$2:$AM$200,$G309)&gt;0,
     COUNTIFS($AN$2:$AN$200,$G309)&gt;0,
     COUNTIFS($AO$2:$AO$200,$G309)&gt;0,
     COUNTIFS($AP$2:$AP$200,$G309)&gt;0,
     COUNTIFS($AQ$2:$AQ$200,$G309)&gt;0,
     COUNTIFS($AR$2:$AR$200,$G309)&gt;0,
     COUNTIFS($AS$2:$AS$200,$G309)&gt;0,
     COUNTIFS($AT$2:$AT$200,$G309)&gt;0,
     COUNTIFS($AU$2:$AU$200,$G309)&gt;0,
     COUNTIFS($AV$2:$AV$200,$G309)&gt;0,
     COUNTIFS($AW$2:$AW$200,$G309)&gt;0,
     COUNTIFS($AX$2:$AX$200,$G309)&gt;0
   )),
  ),
  2
 ),
"")</f>
        <v/>
      </c>
      <c r="E309" s="3" t="str" cm="1">
        <f t="array" aca="1" ref="E309" ca="1">IFERROR(
 INDEX(
  _xlfn._xlws.FILTER($U$1:$AX$1,
   TRANSPOSE(
    CHOOSE({1;2;3;4;5;6;7;8;9;10;11;12;13;14;15;16;17;18;19;20;21;22;23;24;25;26;27;28;29;30},
     COUNTIFS($U$2:$U$200,$G309)&gt;0,
     COUNTIFS($V$2:$V$200,$G309)&gt;0,
     COUNTIFS($W$2:$W$200,$G309)&gt;0,
     COUNTIFS($X$2:$X$200,$G309)&gt;0,
     COUNTIFS($Y$2:$Y$200,$G309)&gt;0,
     COUNTIFS($Z$2:$Z$200,$G309)&gt;0,
     COUNTIFS($AA$2:$AA$200,$G309)&gt;0,
     COUNTIFS($AB$2:$AB$200,$G309)&gt;0,
     COUNTIFS($AC$2:$AC$200,$G309)&gt;0,
     COUNTIFS($AD$2:$AD$200,$G309)&gt;0,
     COUNTIFS($AE$2:$AE$200,$G309)&gt;0,
     COUNTIFS($AF$2:$AF$200,$G309)&gt;0,
     COUNTIFS($AG$2:$AG$200,$G309)&gt;0,
     COUNTIFS($AH$2:$AH$200,$G309)&gt;0,
     COUNTIFS($AI$2:$AI$200,$G309)&gt;0,
     COUNTIFS($AJ$2:$AJ$200,$G309)&gt;0,
     COUNTIFS($AK$2:$AK$200,$G309)&gt;0,
     COUNTIFS($AL$2:$AL$200,$G309)&gt;0,
     COUNTIFS($AM$2:$AM$200,$G309)&gt;0,
     COUNTIFS($AN$2:$AN$200,$G309)&gt;0,
     COUNTIFS($AO$2:$AO$200,$G309)&gt;0,
     COUNTIFS($AP$2:$AP$200,$G309)&gt;0,
     COUNTIFS($AQ$2:$AQ$200,$G309)&gt;0,
     COUNTIFS($AR$2:$AR$200,$G309)&gt;0,
     COUNTIFS($AS$2:$AS$200,$G309)&gt;0,
     COUNTIFS($AT$2:$AT$200,$G309)&gt;0,
     COUNTIFS($AU$2:$AU$200,$G309)&gt;0,
     COUNTIFS($AV$2:$AV$200,$G309)&gt;0,
     COUNTIFS($AW$2:$AW$200,$G309)&gt;0,
     COUNTIFS($AX$2:$AX$200,$G309)&gt;0
   )),
  ),
  3
 ),
"")</f>
        <v/>
      </c>
      <c r="F309" s="3" t="str" cm="1">
        <f t="array" aca="1" ref="F309" ca="1">IFERROR(
 INDEX(
  _xlfn._xlws.FILTER($U$1:$AX$1,
   TRANSPOSE(
    CHOOSE({1;2;3;4;5;6;7;8;9;10;11;12;13;14;15;16;17;18;19;20;21;22;23;24;25;26;27;28;29;30},
     COUNTIFS($U$2:$U$200,$G309)&gt;0,
     COUNTIFS($V$2:$V$200,$G309)&gt;0,
     COUNTIFS($W$2:$W$200,$G309)&gt;0,
     COUNTIFS($X$2:$X$200,$G309)&gt;0,
     COUNTIFS($Y$2:$Y$200,$G309)&gt;0,
     COUNTIFS($Z$2:$Z$200,$G309)&gt;0,
     COUNTIFS($AA$2:$AA$200,$G309)&gt;0,
     COUNTIFS($AB$2:$AB$200,$G309)&gt;0,
     COUNTIFS($AC$2:$AC$200,$G309)&gt;0,
     COUNTIFS($AD$2:$AD$200,$G309)&gt;0,
     COUNTIFS($AE$2:$AE$200,$G309)&gt;0,
     COUNTIFS($AF$2:$AF$200,$G309)&gt;0,
     COUNTIFS($AG$2:$AG$200,$G309)&gt;0,
     COUNTIFS($AH$2:$AH$200,$G309)&gt;0,
     COUNTIFS($AI$2:$AI$200,$G309)&gt;0,
     COUNTIFS($AJ$2:$AJ$200,$G309)&gt;0,
     COUNTIFS($AK$2:$AK$200,$G309)&gt;0,
     COUNTIFS($AL$2:$AL$200,$G309)&gt;0,
     COUNTIFS($AM$2:$AM$200,$G309)&gt;0,
     COUNTIFS($AN$2:$AN$200,$G309)&gt;0,
     COUNTIFS($AO$2:$AO$200,$G309)&gt;0,
     COUNTIFS($AP$2:$AP$200,$G309)&gt;0,
     COUNTIFS($AQ$2:$AQ$200,$G309)&gt;0,
     COUNTIFS($AR$2:$AR$200,$G309)&gt;0,
     COUNTIFS($AS$2:$AS$200,$G309)&gt;0,
     COUNTIFS($AT$2:$AT$200,$G309)&gt;0,
     COUNTIFS($AU$2:$AU$200,$G309)&gt;0,
     COUNTIFS($AV$2:$AV$200,$G309)&gt;0,
     COUNTIFS($AW$2:$AW$200,$G309)&gt;0,
     COUNTIFS($AX$2:$AX$200,$G309)&gt;0
   )),
  ),
  4
 ),
"")</f>
        <v/>
      </c>
      <c r="G309" t="str">
        <f ca="1"/>
        <v>Trenzalore Clocktower</v>
      </c>
      <c r="CJ309" t="str">
        <f ca="1"/>
        <v>Trenzalore Clocktower</v>
      </c>
    </row>
    <row r="310" spans="1:88" x14ac:dyDescent="0.25">
      <c r="A310" s="3" t="str">
        <f t="shared" ca="1" si="10"/>
        <v>4</v>
      </c>
      <c r="B310" s="3">
        <f t="shared" ca="1" si="11"/>
        <v>1</v>
      </c>
      <c r="C310" s="3" t="str">
        <f ca="1">IFERROR(
 INDEX($U$1:$AX$1,
  MATCH(TRUE,
   CHOOSE({1;2;3;4;5;6;7;8;9;10;11;12;13;14;15;16;17;18;19;20;21;22;23;24;25;26;27;28;29;30;31;32},
    COUNTIFS($U$2:$U$200,$G310)&gt;0,
    COUNTIFS($V$2:$V$200,$G310)&gt;0,
    COUNTIFS($W$2:$W$200,$G310)&gt;0,
    COUNTIFS($X$2:$X$200,$G310)&gt;0,
    COUNTIFS($Y$2:$Y$200,$G310)&gt;0,
    COUNTIFS($Z$2:$Z$200,$G310)&gt;0,
    COUNTIFS($AA$2:$AA$200,$G310)&gt;0,
    COUNTIFS($AB$2:$AB$200,$G310)&gt;0,
    COUNTIFS($AC$2:$AC$200,$G310)&gt;0,
    COUNTIFS($AD$2:$AD$200,$G310)&gt;0,
    COUNTIFS($AE$2:$AE$200,$G310)&gt;0,
    COUNTIFS($AF$2:$AF$200,$G310)&gt;0,
    COUNTIFS($AG$2:$AG$200,$G310)&gt;0,
    COUNTIFS($AH$2:$AH$200,$G310)&gt;0,
    COUNTIFS($AI$2:$AI$200,$G310)&gt;0,
    COUNTIFS($AJ$2:$AJ$200,$G310)&gt;0,
    COUNTIFS($AK$2:$AK$200,$G310)&gt;0,
    COUNTIFS($AL$2:$AL$200,$G310)&gt;0,
    COUNTIFS($AM$2:$AM$200,$G310)&gt;0,
    COUNTIFS($AN$2:$AN$200,$G310)&gt;0,
    COUNTIFS($AO$2:$AO$200,$G310)&gt;0,
    COUNTIFS($AP$2:$AP$200,$G310)&gt;0,
    COUNTIFS($AQ$2:$AQ$200,$G310)&gt;0,
    COUNTIFS($AR$2:$AR$200,$G310)&gt;0,
    COUNTIFS($AS$2:$AS$200,$G310)&gt;0,
    COUNTIFS($AT$2:$AT$200,$G310)&gt;0,
    COUNTIFS($AU$2:$AU$200,$G310)&gt;0,
    COUNTIFS($AV$2:$AV$200,$G310)&gt;0,
    COUNTIFS($AW$2:$AW$200,$G310)&gt;0,
    COUNTIFS($AX$2:$AX$200,$G310)&gt;0
   ),
  0)
 ),
"")</f>
        <v>Oona</v>
      </c>
      <c r="D310" s="3" t="str" cm="1">
        <f t="array" aca="1" ref="D310" ca="1">IFERROR(
 INDEX(
  _xlfn._xlws.FILTER($U$1:$AX$1,
   TRANSPOSE(
    CHOOSE({1;2;3;4;5;6;7;8;9;10;11;12;13;14;15;16;17;18;19;20;21;22;23;24;25;26;27;28;29;30},
     COUNTIFS($U$2:$U$200,$G310)&gt;0,
     COUNTIFS($V$2:$V$200,$G310)&gt;0,
     COUNTIFS($W$2:$W$200,$G310)&gt;0,
     COUNTIFS($X$2:$X$200,$G310)&gt;0,
     COUNTIFS($Y$2:$Y$200,$G310)&gt;0,
     COUNTIFS($Z$2:$Z$200,$G310)&gt;0,
     COUNTIFS($AA$2:$AA$200,$G310)&gt;0,
     COUNTIFS($AB$2:$AB$200,$G310)&gt;0,
     COUNTIFS($AC$2:$AC$200,$G310)&gt;0,
     COUNTIFS($AD$2:$AD$200,$G310)&gt;0,
     COUNTIFS($AE$2:$AE$200,$G310)&gt;0,
     COUNTIFS($AF$2:$AF$200,$G310)&gt;0,
     COUNTIFS($AG$2:$AG$200,$G310)&gt;0,
     COUNTIFS($AH$2:$AH$200,$G310)&gt;0,
     COUNTIFS($AI$2:$AI$200,$G310)&gt;0,
     COUNTIFS($AJ$2:$AJ$200,$G310)&gt;0,
     COUNTIFS($AK$2:$AK$200,$G310)&gt;0,
     COUNTIFS($AL$2:$AL$200,$G310)&gt;0,
     COUNTIFS($AM$2:$AM$200,$G310)&gt;0,
     COUNTIFS($AN$2:$AN$200,$G310)&gt;0,
     COUNTIFS($AO$2:$AO$200,$G310)&gt;0,
     COUNTIFS($AP$2:$AP$200,$G310)&gt;0,
     COUNTIFS($AQ$2:$AQ$200,$G310)&gt;0,
     COUNTIFS($AR$2:$AR$200,$G310)&gt;0,
     COUNTIFS($AS$2:$AS$200,$G310)&gt;0,
     COUNTIFS($AT$2:$AT$200,$G310)&gt;0,
     COUNTIFS($AU$2:$AU$200,$G310)&gt;0,
     COUNTIFS($AV$2:$AV$200,$G310)&gt;0,
     COUNTIFS($AW$2:$AW$200,$G310)&gt;0,
     COUNTIFS($AX$2:$AX$200,$G310)&gt;0
   )),
  ),
  2
 ),
"")</f>
        <v/>
      </c>
      <c r="E310" s="3" t="str" cm="1">
        <f t="array" aca="1" ref="E310" ca="1">IFERROR(
 INDEX(
  _xlfn._xlws.FILTER($U$1:$AX$1,
   TRANSPOSE(
    CHOOSE({1;2;3;4;5;6;7;8;9;10;11;12;13;14;15;16;17;18;19;20;21;22;23;24;25;26;27;28;29;30},
     COUNTIFS($U$2:$U$200,$G310)&gt;0,
     COUNTIFS($V$2:$V$200,$G310)&gt;0,
     COUNTIFS($W$2:$W$200,$G310)&gt;0,
     COUNTIFS($X$2:$X$200,$G310)&gt;0,
     COUNTIFS($Y$2:$Y$200,$G310)&gt;0,
     COUNTIFS($Z$2:$Z$200,$G310)&gt;0,
     COUNTIFS($AA$2:$AA$200,$G310)&gt;0,
     COUNTIFS($AB$2:$AB$200,$G310)&gt;0,
     COUNTIFS($AC$2:$AC$200,$G310)&gt;0,
     COUNTIFS($AD$2:$AD$200,$G310)&gt;0,
     COUNTIFS($AE$2:$AE$200,$G310)&gt;0,
     COUNTIFS($AF$2:$AF$200,$G310)&gt;0,
     COUNTIFS($AG$2:$AG$200,$G310)&gt;0,
     COUNTIFS($AH$2:$AH$200,$G310)&gt;0,
     COUNTIFS($AI$2:$AI$200,$G310)&gt;0,
     COUNTIFS($AJ$2:$AJ$200,$G310)&gt;0,
     COUNTIFS($AK$2:$AK$200,$G310)&gt;0,
     COUNTIFS($AL$2:$AL$200,$G310)&gt;0,
     COUNTIFS($AM$2:$AM$200,$G310)&gt;0,
     COUNTIFS($AN$2:$AN$200,$G310)&gt;0,
     COUNTIFS($AO$2:$AO$200,$G310)&gt;0,
     COUNTIFS($AP$2:$AP$200,$G310)&gt;0,
     COUNTIFS($AQ$2:$AQ$200,$G310)&gt;0,
     COUNTIFS($AR$2:$AR$200,$G310)&gt;0,
     COUNTIFS($AS$2:$AS$200,$G310)&gt;0,
     COUNTIFS($AT$2:$AT$200,$G310)&gt;0,
     COUNTIFS($AU$2:$AU$200,$G310)&gt;0,
     COUNTIFS($AV$2:$AV$200,$G310)&gt;0,
     COUNTIFS($AW$2:$AW$200,$G310)&gt;0,
     COUNTIFS($AX$2:$AX$200,$G310)&gt;0
   )),
  ),
  3
 ),
"")</f>
        <v/>
      </c>
      <c r="F310" s="3" t="str" cm="1">
        <f t="array" aca="1" ref="F310" ca="1">IFERROR(
 INDEX(
  _xlfn._xlws.FILTER($U$1:$AX$1,
   TRANSPOSE(
    CHOOSE({1;2;3;4;5;6;7;8;9;10;11;12;13;14;15;16;17;18;19;20;21;22;23;24;25;26;27;28;29;30},
     COUNTIFS($U$2:$U$200,$G310)&gt;0,
     COUNTIFS($V$2:$V$200,$G310)&gt;0,
     COUNTIFS($W$2:$W$200,$G310)&gt;0,
     COUNTIFS($X$2:$X$200,$G310)&gt;0,
     COUNTIFS($Y$2:$Y$200,$G310)&gt;0,
     COUNTIFS($Z$2:$Z$200,$G310)&gt;0,
     COUNTIFS($AA$2:$AA$200,$G310)&gt;0,
     COUNTIFS($AB$2:$AB$200,$G310)&gt;0,
     COUNTIFS($AC$2:$AC$200,$G310)&gt;0,
     COUNTIFS($AD$2:$AD$200,$G310)&gt;0,
     COUNTIFS($AE$2:$AE$200,$G310)&gt;0,
     COUNTIFS($AF$2:$AF$200,$G310)&gt;0,
     COUNTIFS($AG$2:$AG$200,$G310)&gt;0,
     COUNTIFS($AH$2:$AH$200,$G310)&gt;0,
     COUNTIFS($AI$2:$AI$200,$G310)&gt;0,
     COUNTIFS($AJ$2:$AJ$200,$G310)&gt;0,
     COUNTIFS($AK$2:$AK$200,$G310)&gt;0,
     COUNTIFS($AL$2:$AL$200,$G310)&gt;0,
     COUNTIFS($AM$2:$AM$200,$G310)&gt;0,
     COUNTIFS($AN$2:$AN$200,$G310)&gt;0,
     COUNTIFS($AO$2:$AO$200,$G310)&gt;0,
     COUNTIFS($AP$2:$AP$200,$G310)&gt;0,
     COUNTIFS($AQ$2:$AQ$200,$G310)&gt;0,
     COUNTIFS($AR$2:$AR$200,$G310)&gt;0,
     COUNTIFS($AS$2:$AS$200,$G310)&gt;0,
     COUNTIFS($AT$2:$AT$200,$G310)&gt;0,
     COUNTIFS($AU$2:$AU$200,$G310)&gt;0,
     COUNTIFS($AV$2:$AV$200,$G310)&gt;0,
     COUNTIFS($AW$2:$AW$200,$G310)&gt;0,
     COUNTIFS($AX$2:$AX$200,$G310)&gt;0
   )),
  ),
  4
 ),
"")</f>
        <v/>
      </c>
      <c r="G310" t="str">
        <f ca="1"/>
        <v>Três Passos à Frente</v>
      </c>
      <c r="CJ310" t="str">
        <f ca="1"/>
        <v>Três Passos à Frente</v>
      </c>
    </row>
    <row r="311" spans="1:88" x14ac:dyDescent="0.25">
      <c r="A311" s="3" t="str">
        <f t="shared" ca="1" si="10"/>
        <v>4</v>
      </c>
      <c r="B311" s="3">
        <f t="shared" ca="1" si="11"/>
        <v>1</v>
      </c>
      <c r="C311" s="3" t="str">
        <f ca="1">IFERROR(
 INDEX($U$1:$AX$1,
  MATCH(TRUE,
   CHOOSE({1;2;3;4;5;6;7;8;9;10;11;12;13;14;15;16;17;18;19;20;21;22;23;24;25;26;27;28;29;30;31;32},
    COUNTIFS($U$2:$U$200,$G311)&gt;0,
    COUNTIFS($V$2:$V$200,$G311)&gt;0,
    COUNTIFS($W$2:$W$200,$G311)&gt;0,
    COUNTIFS($X$2:$X$200,$G311)&gt;0,
    COUNTIFS($Y$2:$Y$200,$G311)&gt;0,
    COUNTIFS($Z$2:$Z$200,$G311)&gt;0,
    COUNTIFS($AA$2:$AA$200,$G311)&gt;0,
    COUNTIFS($AB$2:$AB$200,$G311)&gt;0,
    COUNTIFS($AC$2:$AC$200,$G311)&gt;0,
    COUNTIFS($AD$2:$AD$200,$G311)&gt;0,
    COUNTIFS($AE$2:$AE$200,$G311)&gt;0,
    COUNTIFS($AF$2:$AF$200,$G311)&gt;0,
    COUNTIFS($AG$2:$AG$200,$G311)&gt;0,
    COUNTIFS($AH$2:$AH$200,$G311)&gt;0,
    COUNTIFS($AI$2:$AI$200,$G311)&gt;0,
    COUNTIFS($AJ$2:$AJ$200,$G311)&gt;0,
    COUNTIFS($AK$2:$AK$200,$G311)&gt;0,
    COUNTIFS($AL$2:$AL$200,$G311)&gt;0,
    COUNTIFS($AM$2:$AM$200,$G311)&gt;0,
    COUNTIFS($AN$2:$AN$200,$G311)&gt;0,
    COUNTIFS($AO$2:$AO$200,$G311)&gt;0,
    COUNTIFS($AP$2:$AP$200,$G311)&gt;0,
    COUNTIFS($AQ$2:$AQ$200,$G311)&gt;0,
    COUNTIFS($AR$2:$AR$200,$G311)&gt;0,
    COUNTIFS($AS$2:$AS$200,$G311)&gt;0,
    COUNTIFS($AT$2:$AT$200,$G311)&gt;0,
    COUNTIFS($AU$2:$AU$200,$G311)&gt;0,
    COUNTIFS($AV$2:$AV$200,$G311)&gt;0,
    COUNTIFS($AW$2:$AW$200,$G311)&gt;0,
    COUNTIFS($AX$2:$AX$200,$G311)&gt;0
   ),
  0)
 ),
"")</f>
        <v>Fractius</v>
      </c>
      <c r="D311" s="3" t="str" cm="1">
        <f t="array" aca="1" ref="D311" ca="1">IFERROR(
 INDEX(
  _xlfn._xlws.FILTER($U$1:$AX$1,
   TRANSPOSE(
    CHOOSE({1;2;3;4;5;6;7;8;9;10;11;12;13;14;15;16;17;18;19;20;21;22;23;24;25;26;27;28;29;30},
     COUNTIFS($U$2:$U$200,$G311)&gt;0,
     COUNTIFS($V$2:$V$200,$G311)&gt;0,
     COUNTIFS($W$2:$W$200,$G311)&gt;0,
     COUNTIFS($X$2:$X$200,$G311)&gt;0,
     COUNTIFS($Y$2:$Y$200,$G311)&gt;0,
     COUNTIFS($Z$2:$Z$200,$G311)&gt;0,
     COUNTIFS($AA$2:$AA$200,$G311)&gt;0,
     COUNTIFS($AB$2:$AB$200,$G311)&gt;0,
     COUNTIFS($AC$2:$AC$200,$G311)&gt;0,
     COUNTIFS($AD$2:$AD$200,$G311)&gt;0,
     COUNTIFS($AE$2:$AE$200,$G311)&gt;0,
     COUNTIFS($AF$2:$AF$200,$G311)&gt;0,
     COUNTIFS($AG$2:$AG$200,$G311)&gt;0,
     COUNTIFS($AH$2:$AH$200,$G311)&gt;0,
     COUNTIFS($AI$2:$AI$200,$G311)&gt;0,
     COUNTIFS($AJ$2:$AJ$200,$G311)&gt;0,
     COUNTIFS($AK$2:$AK$200,$G311)&gt;0,
     COUNTIFS($AL$2:$AL$200,$G311)&gt;0,
     COUNTIFS($AM$2:$AM$200,$G311)&gt;0,
     COUNTIFS($AN$2:$AN$200,$G311)&gt;0,
     COUNTIFS($AO$2:$AO$200,$G311)&gt;0,
     COUNTIFS($AP$2:$AP$200,$G311)&gt;0,
     COUNTIFS($AQ$2:$AQ$200,$G311)&gt;0,
     COUNTIFS($AR$2:$AR$200,$G311)&gt;0,
     COUNTIFS($AS$2:$AS$200,$G311)&gt;0,
     COUNTIFS($AT$2:$AT$200,$G311)&gt;0,
     COUNTIFS($AU$2:$AU$200,$G311)&gt;0,
     COUNTIFS($AV$2:$AV$200,$G311)&gt;0,
     COUNTIFS($AW$2:$AW$200,$G311)&gt;0,
     COUNTIFS($AX$2:$AX$200,$G311)&gt;0
   )),
  ),
  2
 ),
"")</f>
        <v/>
      </c>
      <c r="E311" s="3" t="str" cm="1">
        <f t="array" aca="1" ref="E311" ca="1">IFERROR(
 INDEX(
  _xlfn._xlws.FILTER($U$1:$AX$1,
   TRANSPOSE(
    CHOOSE({1;2;3;4;5;6;7;8;9;10;11;12;13;14;15;16;17;18;19;20;21;22;23;24;25;26;27;28;29;30},
     COUNTIFS($U$2:$U$200,$G311)&gt;0,
     COUNTIFS($V$2:$V$200,$G311)&gt;0,
     COUNTIFS($W$2:$W$200,$G311)&gt;0,
     COUNTIFS($X$2:$X$200,$G311)&gt;0,
     COUNTIFS($Y$2:$Y$200,$G311)&gt;0,
     COUNTIFS($Z$2:$Z$200,$G311)&gt;0,
     COUNTIFS($AA$2:$AA$200,$G311)&gt;0,
     COUNTIFS($AB$2:$AB$200,$G311)&gt;0,
     COUNTIFS($AC$2:$AC$200,$G311)&gt;0,
     COUNTIFS($AD$2:$AD$200,$G311)&gt;0,
     COUNTIFS($AE$2:$AE$200,$G311)&gt;0,
     COUNTIFS($AF$2:$AF$200,$G311)&gt;0,
     COUNTIFS($AG$2:$AG$200,$G311)&gt;0,
     COUNTIFS($AH$2:$AH$200,$G311)&gt;0,
     COUNTIFS($AI$2:$AI$200,$G311)&gt;0,
     COUNTIFS($AJ$2:$AJ$200,$G311)&gt;0,
     COUNTIFS($AK$2:$AK$200,$G311)&gt;0,
     COUNTIFS($AL$2:$AL$200,$G311)&gt;0,
     COUNTIFS($AM$2:$AM$200,$G311)&gt;0,
     COUNTIFS($AN$2:$AN$200,$G311)&gt;0,
     COUNTIFS($AO$2:$AO$200,$G311)&gt;0,
     COUNTIFS($AP$2:$AP$200,$G311)&gt;0,
     COUNTIFS($AQ$2:$AQ$200,$G311)&gt;0,
     COUNTIFS($AR$2:$AR$200,$G311)&gt;0,
     COUNTIFS($AS$2:$AS$200,$G311)&gt;0,
     COUNTIFS($AT$2:$AT$200,$G311)&gt;0,
     COUNTIFS($AU$2:$AU$200,$G311)&gt;0,
     COUNTIFS($AV$2:$AV$200,$G311)&gt;0,
     COUNTIFS($AW$2:$AW$200,$G311)&gt;0,
     COUNTIFS($AX$2:$AX$200,$G311)&gt;0
   )),
  ),
  3
 ),
"")</f>
        <v/>
      </c>
      <c r="F311" s="3" t="str" cm="1">
        <f t="array" aca="1" ref="F311" ca="1">IFERROR(
 INDEX(
  _xlfn._xlws.FILTER($U$1:$AX$1,
   TRANSPOSE(
    CHOOSE({1;2;3;4;5;6;7;8;9;10;11;12;13;14;15;16;17;18;19;20;21;22;23;24;25;26;27;28;29;30},
     COUNTIFS($U$2:$U$200,$G311)&gt;0,
     COUNTIFS($V$2:$V$200,$G311)&gt;0,
     COUNTIFS($W$2:$W$200,$G311)&gt;0,
     COUNTIFS($X$2:$X$200,$G311)&gt;0,
     COUNTIFS($Y$2:$Y$200,$G311)&gt;0,
     COUNTIFS($Z$2:$Z$200,$G311)&gt;0,
     COUNTIFS($AA$2:$AA$200,$G311)&gt;0,
     COUNTIFS($AB$2:$AB$200,$G311)&gt;0,
     COUNTIFS($AC$2:$AC$200,$G311)&gt;0,
     COUNTIFS($AD$2:$AD$200,$G311)&gt;0,
     COUNTIFS($AE$2:$AE$200,$G311)&gt;0,
     COUNTIFS($AF$2:$AF$200,$G311)&gt;0,
     COUNTIFS($AG$2:$AG$200,$G311)&gt;0,
     COUNTIFS($AH$2:$AH$200,$G311)&gt;0,
     COUNTIFS($AI$2:$AI$200,$G311)&gt;0,
     COUNTIFS($AJ$2:$AJ$200,$G311)&gt;0,
     COUNTIFS($AK$2:$AK$200,$G311)&gt;0,
     COUNTIFS($AL$2:$AL$200,$G311)&gt;0,
     COUNTIFS($AM$2:$AM$200,$G311)&gt;0,
     COUNTIFS($AN$2:$AN$200,$G311)&gt;0,
     COUNTIFS($AO$2:$AO$200,$G311)&gt;0,
     COUNTIFS($AP$2:$AP$200,$G311)&gt;0,
     COUNTIFS($AQ$2:$AQ$200,$G311)&gt;0,
     COUNTIFS($AR$2:$AR$200,$G311)&gt;0,
     COUNTIFS($AS$2:$AS$200,$G311)&gt;0,
     COUNTIFS($AT$2:$AT$200,$G311)&gt;0,
     COUNTIFS($AU$2:$AU$200,$G311)&gt;0,
     COUNTIFS($AV$2:$AV$200,$G311)&gt;0,
     COUNTIFS($AW$2:$AW$200,$G311)&gt;0,
     COUNTIFS($AX$2:$AX$200,$G311)&gt;0
   )),
  ),
  4
 ),
"")</f>
        <v/>
      </c>
      <c r="G311" t="str">
        <f ca="1"/>
        <v>Trioma de Indatha</v>
      </c>
      <c r="CJ311" t="str">
        <f ca="1"/>
        <v>Trioma de Indatha</v>
      </c>
    </row>
    <row r="312" spans="1:88" x14ac:dyDescent="0.25">
      <c r="A312" s="3" t="str">
        <f t="shared" ca="1" si="10"/>
        <v>4</v>
      </c>
      <c r="B312" s="3">
        <f t="shared" ca="1" si="11"/>
        <v>1</v>
      </c>
      <c r="C312" s="3" t="str">
        <f ca="1">IFERROR(
 INDEX($U$1:$AX$1,
  MATCH(TRUE,
   CHOOSE({1;2;3;4;5;6;7;8;9;10;11;12;13;14;15;16;17;18;19;20;21;22;23;24;25;26;27;28;29;30;31;32},
    COUNTIFS($U$2:$U$200,$G312)&gt;0,
    COUNTIFS($V$2:$V$200,$G312)&gt;0,
    COUNTIFS($W$2:$W$200,$G312)&gt;0,
    COUNTIFS($X$2:$X$200,$G312)&gt;0,
    COUNTIFS($Y$2:$Y$200,$G312)&gt;0,
    COUNTIFS($Z$2:$Z$200,$G312)&gt;0,
    COUNTIFS($AA$2:$AA$200,$G312)&gt;0,
    COUNTIFS($AB$2:$AB$200,$G312)&gt;0,
    COUNTIFS($AC$2:$AC$200,$G312)&gt;0,
    COUNTIFS($AD$2:$AD$200,$G312)&gt;0,
    COUNTIFS($AE$2:$AE$200,$G312)&gt;0,
    COUNTIFS($AF$2:$AF$200,$G312)&gt;0,
    COUNTIFS($AG$2:$AG$200,$G312)&gt;0,
    COUNTIFS($AH$2:$AH$200,$G312)&gt;0,
    COUNTIFS($AI$2:$AI$200,$G312)&gt;0,
    COUNTIFS($AJ$2:$AJ$200,$G312)&gt;0,
    COUNTIFS($AK$2:$AK$200,$G312)&gt;0,
    COUNTIFS($AL$2:$AL$200,$G312)&gt;0,
    COUNTIFS($AM$2:$AM$200,$G312)&gt;0,
    COUNTIFS($AN$2:$AN$200,$G312)&gt;0,
    COUNTIFS($AO$2:$AO$200,$G312)&gt;0,
    COUNTIFS($AP$2:$AP$200,$G312)&gt;0,
    COUNTIFS($AQ$2:$AQ$200,$G312)&gt;0,
    COUNTIFS($AR$2:$AR$200,$G312)&gt;0,
    COUNTIFS($AS$2:$AS$200,$G312)&gt;0,
    COUNTIFS($AT$2:$AT$200,$G312)&gt;0,
    COUNTIFS($AU$2:$AU$200,$G312)&gt;0,
    COUNTIFS($AV$2:$AV$200,$G312)&gt;0,
    COUNTIFS($AW$2:$AW$200,$G312)&gt;0,
    COUNTIFS($AX$2:$AX$200,$G312)&gt;0
   ),
  0)
 ),
"")</f>
        <v>Fractius</v>
      </c>
      <c r="D312" s="3" t="str" cm="1">
        <f t="array" aca="1" ref="D312" ca="1">IFERROR(
 INDEX(
  _xlfn._xlws.FILTER($U$1:$AX$1,
   TRANSPOSE(
    CHOOSE({1;2;3;4;5;6;7;8;9;10;11;12;13;14;15;16;17;18;19;20;21;22;23;24;25;26;27;28;29;30},
     COUNTIFS($U$2:$U$200,$G312)&gt;0,
     COUNTIFS($V$2:$V$200,$G312)&gt;0,
     COUNTIFS($W$2:$W$200,$G312)&gt;0,
     COUNTIFS($X$2:$X$200,$G312)&gt;0,
     COUNTIFS($Y$2:$Y$200,$G312)&gt;0,
     COUNTIFS($Z$2:$Z$200,$G312)&gt;0,
     COUNTIFS($AA$2:$AA$200,$G312)&gt;0,
     COUNTIFS($AB$2:$AB$200,$G312)&gt;0,
     COUNTIFS($AC$2:$AC$200,$G312)&gt;0,
     COUNTIFS($AD$2:$AD$200,$G312)&gt;0,
     COUNTIFS($AE$2:$AE$200,$G312)&gt;0,
     COUNTIFS($AF$2:$AF$200,$G312)&gt;0,
     COUNTIFS($AG$2:$AG$200,$G312)&gt;0,
     COUNTIFS($AH$2:$AH$200,$G312)&gt;0,
     COUNTIFS($AI$2:$AI$200,$G312)&gt;0,
     COUNTIFS($AJ$2:$AJ$200,$G312)&gt;0,
     COUNTIFS($AK$2:$AK$200,$G312)&gt;0,
     COUNTIFS($AL$2:$AL$200,$G312)&gt;0,
     COUNTIFS($AM$2:$AM$200,$G312)&gt;0,
     COUNTIFS($AN$2:$AN$200,$G312)&gt;0,
     COUNTIFS($AO$2:$AO$200,$G312)&gt;0,
     COUNTIFS($AP$2:$AP$200,$G312)&gt;0,
     COUNTIFS($AQ$2:$AQ$200,$G312)&gt;0,
     COUNTIFS($AR$2:$AR$200,$G312)&gt;0,
     COUNTIFS($AS$2:$AS$200,$G312)&gt;0,
     COUNTIFS($AT$2:$AT$200,$G312)&gt;0,
     COUNTIFS($AU$2:$AU$200,$G312)&gt;0,
     COUNTIFS($AV$2:$AV$200,$G312)&gt;0,
     COUNTIFS($AW$2:$AW$200,$G312)&gt;0,
     COUNTIFS($AX$2:$AX$200,$G312)&gt;0
   )),
  ),
  2
 ),
"")</f>
        <v/>
      </c>
      <c r="E312" s="3" t="str" cm="1">
        <f t="array" aca="1" ref="E312" ca="1">IFERROR(
 INDEX(
  _xlfn._xlws.FILTER($U$1:$AX$1,
   TRANSPOSE(
    CHOOSE({1;2;3;4;5;6;7;8;9;10;11;12;13;14;15;16;17;18;19;20;21;22;23;24;25;26;27;28;29;30},
     COUNTIFS($U$2:$U$200,$G312)&gt;0,
     COUNTIFS($V$2:$V$200,$G312)&gt;0,
     COUNTIFS($W$2:$W$200,$G312)&gt;0,
     COUNTIFS($X$2:$X$200,$G312)&gt;0,
     COUNTIFS($Y$2:$Y$200,$G312)&gt;0,
     COUNTIFS($Z$2:$Z$200,$G312)&gt;0,
     COUNTIFS($AA$2:$AA$200,$G312)&gt;0,
     COUNTIFS($AB$2:$AB$200,$G312)&gt;0,
     COUNTIFS($AC$2:$AC$200,$G312)&gt;0,
     COUNTIFS($AD$2:$AD$200,$G312)&gt;0,
     COUNTIFS($AE$2:$AE$200,$G312)&gt;0,
     COUNTIFS($AF$2:$AF$200,$G312)&gt;0,
     COUNTIFS($AG$2:$AG$200,$G312)&gt;0,
     COUNTIFS($AH$2:$AH$200,$G312)&gt;0,
     COUNTIFS($AI$2:$AI$200,$G312)&gt;0,
     COUNTIFS($AJ$2:$AJ$200,$G312)&gt;0,
     COUNTIFS($AK$2:$AK$200,$G312)&gt;0,
     COUNTIFS($AL$2:$AL$200,$G312)&gt;0,
     COUNTIFS($AM$2:$AM$200,$G312)&gt;0,
     COUNTIFS($AN$2:$AN$200,$G312)&gt;0,
     COUNTIFS($AO$2:$AO$200,$G312)&gt;0,
     COUNTIFS($AP$2:$AP$200,$G312)&gt;0,
     COUNTIFS($AQ$2:$AQ$200,$G312)&gt;0,
     COUNTIFS($AR$2:$AR$200,$G312)&gt;0,
     COUNTIFS($AS$2:$AS$200,$G312)&gt;0,
     COUNTIFS($AT$2:$AT$200,$G312)&gt;0,
     COUNTIFS($AU$2:$AU$200,$G312)&gt;0,
     COUNTIFS($AV$2:$AV$200,$G312)&gt;0,
     COUNTIFS($AW$2:$AW$200,$G312)&gt;0,
     COUNTIFS($AX$2:$AX$200,$G312)&gt;0
   )),
  ),
  3
 ),
"")</f>
        <v/>
      </c>
      <c r="F312" s="3" t="str" cm="1">
        <f t="array" aca="1" ref="F312" ca="1">IFERROR(
 INDEX(
  _xlfn._xlws.FILTER($U$1:$AX$1,
   TRANSPOSE(
    CHOOSE({1;2;3;4;5;6;7;8;9;10;11;12;13;14;15;16;17;18;19;20;21;22;23;24;25;26;27;28;29;30},
     COUNTIFS($U$2:$U$200,$G312)&gt;0,
     COUNTIFS($V$2:$V$200,$G312)&gt;0,
     COUNTIFS($W$2:$W$200,$G312)&gt;0,
     COUNTIFS($X$2:$X$200,$G312)&gt;0,
     COUNTIFS($Y$2:$Y$200,$G312)&gt;0,
     COUNTIFS($Z$2:$Z$200,$G312)&gt;0,
     COUNTIFS($AA$2:$AA$200,$G312)&gt;0,
     COUNTIFS($AB$2:$AB$200,$G312)&gt;0,
     COUNTIFS($AC$2:$AC$200,$G312)&gt;0,
     COUNTIFS($AD$2:$AD$200,$G312)&gt;0,
     COUNTIFS($AE$2:$AE$200,$G312)&gt;0,
     COUNTIFS($AF$2:$AF$200,$G312)&gt;0,
     COUNTIFS($AG$2:$AG$200,$G312)&gt;0,
     COUNTIFS($AH$2:$AH$200,$G312)&gt;0,
     COUNTIFS($AI$2:$AI$200,$G312)&gt;0,
     COUNTIFS($AJ$2:$AJ$200,$G312)&gt;0,
     COUNTIFS($AK$2:$AK$200,$G312)&gt;0,
     COUNTIFS($AL$2:$AL$200,$G312)&gt;0,
     COUNTIFS($AM$2:$AM$200,$G312)&gt;0,
     COUNTIFS($AN$2:$AN$200,$G312)&gt;0,
     COUNTIFS($AO$2:$AO$200,$G312)&gt;0,
     COUNTIFS($AP$2:$AP$200,$G312)&gt;0,
     COUNTIFS($AQ$2:$AQ$200,$G312)&gt;0,
     COUNTIFS($AR$2:$AR$200,$G312)&gt;0,
     COUNTIFS($AS$2:$AS$200,$G312)&gt;0,
     COUNTIFS($AT$2:$AT$200,$G312)&gt;0,
     COUNTIFS($AU$2:$AU$200,$G312)&gt;0,
     COUNTIFS($AV$2:$AV$200,$G312)&gt;0,
     COUNTIFS($AW$2:$AW$200,$G312)&gt;0,
     COUNTIFS($AX$2:$AX$200,$G312)&gt;0
   )),
  ),
  4
 ),
"")</f>
        <v/>
      </c>
      <c r="G312" t="str">
        <f ca="1"/>
        <v>Trioma de Raugrin</v>
      </c>
      <c r="CJ312" t="str">
        <f ca="1"/>
        <v>Trioma de Raugrin</v>
      </c>
    </row>
    <row r="313" spans="1:88" x14ac:dyDescent="0.25">
      <c r="A313" s="3" t="str">
        <f t="shared" ca="1" si="10"/>
        <v>4</v>
      </c>
      <c r="B313" s="3">
        <f t="shared" ca="1" si="11"/>
        <v>1</v>
      </c>
      <c r="C313" s="3" t="str">
        <f ca="1">IFERROR(
 INDEX($U$1:$AX$1,
  MATCH(TRUE,
   CHOOSE({1;2;3;4;5;6;7;8;9;10;11;12;13;14;15;16;17;18;19;20;21;22;23;24;25;26;27;28;29;30;31;32},
    COUNTIFS($U$2:$U$200,$G313)&gt;0,
    COUNTIFS($V$2:$V$200,$G313)&gt;0,
    COUNTIFS($W$2:$W$200,$G313)&gt;0,
    COUNTIFS($X$2:$X$200,$G313)&gt;0,
    COUNTIFS($Y$2:$Y$200,$G313)&gt;0,
    COUNTIFS($Z$2:$Z$200,$G313)&gt;0,
    COUNTIFS($AA$2:$AA$200,$G313)&gt;0,
    COUNTIFS($AB$2:$AB$200,$G313)&gt;0,
    COUNTIFS($AC$2:$AC$200,$G313)&gt;0,
    COUNTIFS($AD$2:$AD$200,$G313)&gt;0,
    COUNTIFS($AE$2:$AE$200,$G313)&gt;0,
    COUNTIFS($AF$2:$AF$200,$G313)&gt;0,
    COUNTIFS($AG$2:$AG$200,$G313)&gt;0,
    COUNTIFS($AH$2:$AH$200,$G313)&gt;0,
    COUNTIFS($AI$2:$AI$200,$G313)&gt;0,
    COUNTIFS($AJ$2:$AJ$200,$G313)&gt;0,
    COUNTIFS($AK$2:$AK$200,$G313)&gt;0,
    COUNTIFS($AL$2:$AL$200,$G313)&gt;0,
    COUNTIFS($AM$2:$AM$200,$G313)&gt;0,
    COUNTIFS($AN$2:$AN$200,$G313)&gt;0,
    COUNTIFS($AO$2:$AO$200,$G313)&gt;0,
    COUNTIFS($AP$2:$AP$200,$G313)&gt;0,
    COUNTIFS($AQ$2:$AQ$200,$G313)&gt;0,
    COUNTIFS($AR$2:$AR$200,$G313)&gt;0,
    COUNTIFS($AS$2:$AS$200,$G313)&gt;0,
    COUNTIFS($AT$2:$AT$200,$G313)&gt;0,
    COUNTIFS($AU$2:$AU$200,$G313)&gt;0,
    COUNTIFS($AV$2:$AV$200,$G313)&gt;0,
    COUNTIFS($AW$2:$AW$200,$G313)&gt;0,
    COUNTIFS($AX$2:$AX$200,$G313)&gt;0
   ),
  0)
 ),
"")</f>
        <v>Fractius</v>
      </c>
      <c r="D313" s="3" t="str" cm="1">
        <f t="array" aca="1" ref="D313" ca="1">IFERROR(
 INDEX(
  _xlfn._xlws.FILTER($U$1:$AX$1,
   TRANSPOSE(
    CHOOSE({1;2;3;4;5;6;7;8;9;10;11;12;13;14;15;16;17;18;19;20;21;22;23;24;25;26;27;28;29;30},
     COUNTIFS($U$2:$U$200,$G313)&gt;0,
     COUNTIFS($V$2:$V$200,$G313)&gt;0,
     COUNTIFS($W$2:$W$200,$G313)&gt;0,
     COUNTIFS($X$2:$X$200,$G313)&gt;0,
     COUNTIFS($Y$2:$Y$200,$G313)&gt;0,
     COUNTIFS($Z$2:$Z$200,$G313)&gt;0,
     COUNTIFS($AA$2:$AA$200,$G313)&gt;0,
     COUNTIFS($AB$2:$AB$200,$G313)&gt;0,
     COUNTIFS($AC$2:$AC$200,$G313)&gt;0,
     COUNTIFS($AD$2:$AD$200,$G313)&gt;0,
     COUNTIFS($AE$2:$AE$200,$G313)&gt;0,
     COUNTIFS($AF$2:$AF$200,$G313)&gt;0,
     COUNTIFS($AG$2:$AG$200,$G313)&gt;0,
     COUNTIFS($AH$2:$AH$200,$G313)&gt;0,
     COUNTIFS($AI$2:$AI$200,$G313)&gt;0,
     COUNTIFS($AJ$2:$AJ$200,$G313)&gt;0,
     COUNTIFS($AK$2:$AK$200,$G313)&gt;0,
     COUNTIFS($AL$2:$AL$200,$G313)&gt;0,
     COUNTIFS($AM$2:$AM$200,$G313)&gt;0,
     COUNTIFS($AN$2:$AN$200,$G313)&gt;0,
     COUNTIFS($AO$2:$AO$200,$G313)&gt;0,
     COUNTIFS($AP$2:$AP$200,$G313)&gt;0,
     COUNTIFS($AQ$2:$AQ$200,$G313)&gt;0,
     COUNTIFS($AR$2:$AR$200,$G313)&gt;0,
     COUNTIFS($AS$2:$AS$200,$G313)&gt;0,
     COUNTIFS($AT$2:$AT$200,$G313)&gt;0,
     COUNTIFS($AU$2:$AU$200,$G313)&gt;0,
     COUNTIFS($AV$2:$AV$200,$G313)&gt;0,
     COUNTIFS($AW$2:$AW$200,$G313)&gt;0,
     COUNTIFS($AX$2:$AX$200,$G313)&gt;0
   )),
  ),
  2
 ),
"")</f>
        <v/>
      </c>
      <c r="E313" s="3" t="str" cm="1">
        <f t="array" aca="1" ref="E313" ca="1">IFERROR(
 INDEX(
  _xlfn._xlws.FILTER($U$1:$AX$1,
   TRANSPOSE(
    CHOOSE({1;2;3;4;5;6;7;8;9;10;11;12;13;14;15;16;17;18;19;20;21;22;23;24;25;26;27;28;29;30},
     COUNTIFS($U$2:$U$200,$G313)&gt;0,
     COUNTIFS($V$2:$V$200,$G313)&gt;0,
     COUNTIFS($W$2:$W$200,$G313)&gt;0,
     COUNTIFS($X$2:$X$200,$G313)&gt;0,
     COUNTIFS($Y$2:$Y$200,$G313)&gt;0,
     COUNTIFS($Z$2:$Z$200,$G313)&gt;0,
     COUNTIFS($AA$2:$AA$200,$G313)&gt;0,
     COUNTIFS($AB$2:$AB$200,$G313)&gt;0,
     COUNTIFS($AC$2:$AC$200,$G313)&gt;0,
     COUNTIFS($AD$2:$AD$200,$G313)&gt;0,
     COUNTIFS($AE$2:$AE$200,$G313)&gt;0,
     COUNTIFS($AF$2:$AF$200,$G313)&gt;0,
     COUNTIFS($AG$2:$AG$200,$G313)&gt;0,
     COUNTIFS($AH$2:$AH$200,$G313)&gt;0,
     COUNTIFS($AI$2:$AI$200,$G313)&gt;0,
     COUNTIFS($AJ$2:$AJ$200,$G313)&gt;0,
     COUNTIFS($AK$2:$AK$200,$G313)&gt;0,
     COUNTIFS($AL$2:$AL$200,$G313)&gt;0,
     COUNTIFS($AM$2:$AM$200,$G313)&gt;0,
     COUNTIFS($AN$2:$AN$200,$G313)&gt;0,
     COUNTIFS($AO$2:$AO$200,$G313)&gt;0,
     COUNTIFS($AP$2:$AP$200,$G313)&gt;0,
     COUNTIFS($AQ$2:$AQ$200,$G313)&gt;0,
     COUNTIFS($AR$2:$AR$200,$G313)&gt;0,
     COUNTIFS($AS$2:$AS$200,$G313)&gt;0,
     COUNTIFS($AT$2:$AT$200,$G313)&gt;0,
     COUNTIFS($AU$2:$AU$200,$G313)&gt;0,
     COUNTIFS($AV$2:$AV$200,$G313)&gt;0,
     COUNTIFS($AW$2:$AW$200,$G313)&gt;0,
     COUNTIFS($AX$2:$AX$200,$G313)&gt;0
   )),
  ),
  3
 ),
"")</f>
        <v/>
      </c>
      <c r="F313" s="3" t="str" cm="1">
        <f t="array" aca="1" ref="F313" ca="1">IFERROR(
 INDEX(
  _xlfn._xlws.FILTER($U$1:$AX$1,
   TRANSPOSE(
    CHOOSE({1;2;3;4;5;6;7;8;9;10;11;12;13;14;15;16;17;18;19;20;21;22;23;24;25;26;27;28;29;30},
     COUNTIFS($U$2:$U$200,$G313)&gt;0,
     COUNTIFS($V$2:$V$200,$G313)&gt;0,
     COUNTIFS($W$2:$W$200,$G313)&gt;0,
     COUNTIFS($X$2:$X$200,$G313)&gt;0,
     COUNTIFS($Y$2:$Y$200,$G313)&gt;0,
     COUNTIFS($Z$2:$Z$200,$G313)&gt;0,
     COUNTIFS($AA$2:$AA$200,$G313)&gt;0,
     COUNTIFS($AB$2:$AB$200,$G313)&gt;0,
     COUNTIFS($AC$2:$AC$200,$G313)&gt;0,
     COUNTIFS($AD$2:$AD$200,$G313)&gt;0,
     COUNTIFS($AE$2:$AE$200,$G313)&gt;0,
     COUNTIFS($AF$2:$AF$200,$G313)&gt;0,
     COUNTIFS($AG$2:$AG$200,$G313)&gt;0,
     COUNTIFS($AH$2:$AH$200,$G313)&gt;0,
     COUNTIFS($AI$2:$AI$200,$G313)&gt;0,
     COUNTIFS($AJ$2:$AJ$200,$G313)&gt;0,
     COUNTIFS($AK$2:$AK$200,$G313)&gt;0,
     COUNTIFS($AL$2:$AL$200,$G313)&gt;0,
     COUNTIFS($AM$2:$AM$200,$G313)&gt;0,
     COUNTIFS($AN$2:$AN$200,$G313)&gt;0,
     COUNTIFS($AO$2:$AO$200,$G313)&gt;0,
     COUNTIFS($AP$2:$AP$200,$G313)&gt;0,
     COUNTIFS($AQ$2:$AQ$200,$G313)&gt;0,
     COUNTIFS($AR$2:$AR$200,$G313)&gt;0,
     COUNTIFS($AS$2:$AS$200,$G313)&gt;0,
     COUNTIFS($AT$2:$AT$200,$G313)&gt;0,
     COUNTIFS($AU$2:$AU$200,$G313)&gt;0,
     COUNTIFS($AV$2:$AV$200,$G313)&gt;0,
     COUNTIFS($AW$2:$AW$200,$G313)&gt;0,
     COUNTIFS($AX$2:$AX$200,$G313)&gt;0
   )),
  ),
  4
 ),
"")</f>
        <v/>
      </c>
      <c r="G313" t="str">
        <f ca="1"/>
        <v>Trioma de Zagoth</v>
      </c>
      <c r="CJ313" t="str">
        <f ca="1"/>
        <v>Trioma de Zagoth</v>
      </c>
    </row>
    <row r="314" spans="1:88" x14ac:dyDescent="0.25">
      <c r="A314" s="3" t="str">
        <f t="shared" ca="1" si="10"/>
        <v>1</v>
      </c>
      <c r="B314" s="3">
        <f t="shared" ca="1" si="11"/>
        <v>1</v>
      </c>
      <c r="C314" s="3" t="str">
        <f ca="1">IFERROR(
 INDEX($U$1:$AX$1,
  MATCH(TRUE,
   CHOOSE({1;2;3;4;5;6;7;8;9;10;11;12;13;14;15;16;17;18;19;20;21;22;23;24;25;26;27;28;29;30;31;32},
    COUNTIFS($U$2:$U$200,$G314)&gt;0,
    COUNTIFS($V$2:$V$200,$G314)&gt;0,
    COUNTIFS($W$2:$W$200,$G314)&gt;0,
    COUNTIFS($X$2:$X$200,$G314)&gt;0,
    COUNTIFS($Y$2:$Y$200,$G314)&gt;0,
    COUNTIFS($Z$2:$Z$200,$G314)&gt;0,
    COUNTIFS($AA$2:$AA$200,$G314)&gt;0,
    COUNTIFS($AB$2:$AB$200,$G314)&gt;0,
    COUNTIFS($AC$2:$AC$200,$G314)&gt;0,
    COUNTIFS($AD$2:$AD$200,$G314)&gt;0,
    COUNTIFS($AE$2:$AE$200,$G314)&gt;0,
    COUNTIFS($AF$2:$AF$200,$G314)&gt;0,
    COUNTIFS($AG$2:$AG$200,$G314)&gt;0,
    COUNTIFS($AH$2:$AH$200,$G314)&gt;0,
    COUNTIFS($AI$2:$AI$200,$G314)&gt;0,
    COUNTIFS($AJ$2:$AJ$200,$G314)&gt;0,
    COUNTIFS($AK$2:$AK$200,$G314)&gt;0,
    COUNTIFS($AL$2:$AL$200,$G314)&gt;0,
    COUNTIFS($AM$2:$AM$200,$G314)&gt;0,
    COUNTIFS($AN$2:$AN$200,$G314)&gt;0,
    COUNTIFS($AO$2:$AO$200,$G314)&gt;0,
    COUNTIFS($AP$2:$AP$200,$G314)&gt;0,
    COUNTIFS($AQ$2:$AQ$200,$G314)&gt;0,
    COUNTIFS($AR$2:$AR$200,$G314)&gt;0,
    COUNTIFS($AS$2:$AS$200,$G314)&gt;0,
    COUNTIFS($AT$2:$AT$200,$G314)&gt;0,
    COUNTIFS($AU$2:$AU$200,$G314)&gt;0,
    COUNTIFS($AV$2:$AV$200,$G314)&gt;0,
    COUNTIFS($AW$2:$AW$200,$G314)&gt;0,
    COUNTIFS($AX$2:$AX$200,$G314)&gt;0
   ),
  0)
 ),
"")</f>
        <v>Tayam</v>
      </c>
      <c r="D314" s="3" t="str" cm="1">
        <f t="array" aca="1" ref="D314" ca="1">IFERROR(
 INDEX(
  _xlfn._xlws.FILTER($U$1:$AX$1,
   TRANSPOSE(
    CHOOSE({1;2;3;4;5;6;7;8;9;10;11;12;13;14;15;16;17;18;19;20;21;22;23;24;25;26;27;28;29;30},
     COUNTIFS($U$2:$U$200,$G314)&gt;0,
     COUNTIFS($V$2:$V$200,$G314)&gt;0,
     COUNTIFS($W$2:$W$200,$G314)&gt;0,
     COUNTIFS($X$2:$X$200,$G314)&gt;0,
     COUNTIFS($Y$2:$Y$200,$G314)&gt;0,
     COUNTIFS($Z$2:$Z$200,$G314)&gt;0,
     COUNTIFS($AA$2:$AA$200,$G314)&gt;0,
     COUNTIFS($AB$2:$AB$200,$G314)&gt;0,
     COUNTIFS($AC$2:$AC$200,$G314)&gt;0,
     COUNTIFS($AD$2:$AD$200,$G314)&gt;0,
     COUNTIFS($AE$2:$AE$200,$G314)&gt;0,
     COUNTIFS($AF$2:$AF$200,$G314)&gt;0,
     COUNTIFS($AG$2:$AG$200,$G314)&gt;0,
     COUNTIFS($AH$2:$AH$200,$G314)&gt;0,
     COUNTIFS($AI$2:$AI$200,$G314)&gt;0,
     COUNTIFS($AJ$2:$AJ$200,$G314)&gt;0,
     COUNTIFS($AK$2:$AK$200,$G314)&gt;0,
     COUNTIFS($AL$2:$AL$200,$G314)&gt;0,
     COUNTIFS($AM$2:$AM$200,$G314)&gt;0,
     COUNTIFS($AN$2:$AN$200,$G314)&gt;0,
     COUNTIFS($AO$2:$AO$200,$G314)&gt;0,
     COUNTIFS($AP$2:$AP$200,$G314)&gt;0,
     COUNTIFS($AQ$2:$AQ$200,$G314)&gt;0,
     COUNTIFS($AR$2:$AR$200,$G314)&gt;0,
     COUNTIFS($AS$2:$AS$200,$G314)&gt;0,
     COUNTIFS($AT$2:$AT$200,$G314)&gt;0,
     COUNTIFS($AU$2:$AU$200,$G314)&gt;0,
     COUNTIFS($AV$2:$AV$200,$G314)&gt;0,
     COUNTIFS($AW$2:$AW$200,$G314)&gt;0,
     COUNTIFS($AX$2:$AX$200,$G314)&gt;0
   )),
  ),
  2
 ),
"")</f>
        <v/>
      </c>
      <c r="E314" s="3" t="str" cm="1">
        <f t="array" aca="1" ref="E314" ca="1">IFERROR(
 INDEX(
  _xlfn._xlws.FILTER($U$1:$AX$1,
   TRANSPOSE(
    CHOOSE({1;2;3;4;5;6;7;8;9;10;11;12;13;14;15;16;17;18;19;20;21;22;23;24;25;26;27;28;29;30},
     COUNTIFS($U$2:$U$200,$G314)&gt;0,
     COUNTIFS($V$2:$V$200,$G314)&gt;0,
     COUNTIFS($W$2:$W$200,$G314)&gt;0,
     COUNTIFS($X$2:$X$200,$G314)&gt;0,
     COUNTIFS($Y$2:$Y$200,$G314)&gt;0,
     COUNTIFS($Z$2:$Z$200,$G314)&gt;0,
     COUNTIFS($AA$2:$AA$200,$G314)&gt;0,
     COUNTIFS($AB$2:$AB$200,$G314)&gt;0,
     COUNTIFS($AC$2:$AC$200,$G314)&gt;0,
     COUNTIFS($AD$2:$AD$200,$G314)&gt;0,
     COUNTIFS($AE$2:$AE$200,$G314)&gt;0,
     COUNTIFS($AF$2:$AF$200,$G314)&gt;0,
     COUNTIFS($AG$2:$AG$200,$G314)&gt;0,
     COUNTIFS($AH$2:$AH$200,$G314)&gt;0,
     COUNTIFS($AI$2:$AI$200,$G314)&gt;0,
     COUNTIFS($AJ$2:$AJ$200,$G314)&gt;0,
     COUNTIFS($AK$2:$AK$200,$G314)&gt;0,
     COUNTIFS($AL$2:$AL$200,$G314)&gt;0,
     COUNTIFS($AM$2:$AM$200,$G314)&gt;0,
     COUNTIFS($AN$2:$AN$200,$G314)&gt;0,
     COUNTIFS($AO$2:$AO$200,$G314)&gt;0,
     COUNTIFS($AP$2:$AP$200,$G314)&gt;0,
     COUNTIFS($AQ$2:$AQ$200,$G314)&gt;0,
     COUNTIFS($AR$2:$AR$200,$G314)&gt;0,
     COUNTIFS($AS$2:$AS$200,$G314)&gt;0,
     COUNTIFS($AT$2:$AT$200,$G314)&gt;0,
     COUNTIFS($AU$2:$AU$200,$G314)&gt;0,
     COUNTIFS($AV$2:$AV$200,$G314)&gt;0,
     COUNTIFS($AW$2:$AW$200,$G314)&gt;0,
     COUNTIFS($AX$2:$AX$200,$G314)&gt;0
   )),
  ),
  3
 ),
"")</f>
        <v/>
      </c>
      <c r="F314" s="3" t="str" cm="1">
        <f t="array" aca="1" ref="F314" ca="1">IFERROR(
 INDEX(
  _xlfn._xlws.FILTER($U$1:$AX$1,
   TRANSPOSE(
    CHOOSE({1;2;3;4;5;6;7;8;9;10;11;12;13;14;15;16;17;18;19;20;21;22;23;24;25;26;27;28;29;30},
     COUNTIFS($U$2:$U$200,$G314)&gt;0,
     COUNTIFS($V$2:$V$200,$G314)&gt;0,
     COUNTIFS($W$2:$W$200,$G314)&gt;0,
     COUNTIFS($X$2:$X$200,$G314)&gt;0,
     COUNTIFS($Y$2:$Y$200,$G314)&gt;0,
     COUNTIFS($Z$2:$Z$200,$G314)&gt;0,
     COUNTIFS($AA$2:$AA$200,$G314)&gt;0,
     COUNTIFS($AB$2:$AB$200,$G314)&gt;0,
     COUNTIFS($AC$2:$AC$200,$G314)&gt;0,
     COUNTIFS($AD$2:$AD$200,$G314)&gt;0,
     COUNTIFS($AE$2:$AE$200,$G314)&gt;0,
     COUNTIFS($AF$2:$AF$200,$G314)&gt;0,
     COUNTIFS($AG$2:$AG$200,$G314)&gt;0,
     COUNTIFS($AH$2:$AH$200,$G314)&gt;0,
     COUNTIFS($AI$2:$AI$200,$G314)&gt;0,
     COUNTIFS($AJ$2:$AJ$200,$G314)&gt;0,
     COUNTIFS($AK$2:$AK$200,$G314)&gt;0,
     COUNTIFS($AL$2:$AL$200,$G314)&gt;0,
     COUNTIFS($AM$2:$AM$200,$G314)&gt;0,
     COUNTIFS($AN$2:$AN$200,$G314)&gt;0,
     COUNTIFS($AO$2:$AO$200,$G314)&gt;0,
     COUNTIFS($AP$2:$AP$200,$G314)&gt;0,
     COUNTIFS($AQ$2:$AQ$200,$G314)&gt;0,
     COUNTIFS($AR$2:$AR$200,$G314)&gt;0,
     COUNTIFS($AS$2:$AS$200,$G314)&gt;0,
     COUNTIFS($AT$2:$AT$200,$G314)&gt;0,
     COUNTIFS($AU$2:$AU$200,$G314)&gt;0,
     COUNTIFS($AV$2:$AV$200,$G314)&gt;0,
     COUNTIFS($AW$2:$AW$200,$G314)&gt;0,
     COUNTIFS($AX$2:$AX$200,$G314)&gt;0
   )),
  ),
  4
 ),
"")</f>
        <v/>
      </c>
      <c r="G314" t="str">
        <f ca="1"/>
        <v>Tromell, Seymour's Butler</v>
      </c>
      <c r="CJ314" t="str">
        <f ca="1"/>
        <v>Tromell, Seymour's Butler</v>
      </c>
    </row>
    <row r="315" spans="1:88" x14ac:dyDescent="0.25">
      <c r="A315" s="3" t="str">
        <f t="shared" ca="1" si="10"/>
        <v>3</v>
      </c>
      <c r="B315" s="3">
        <f t="shared" ca="1" si="11"/>
        <v>2</v>
      </c>
      <c r="C315" s="3" t="str">
        <f ca="1">IFERROR(
 INDEX($U$1:$AX$1,
  MATCH(TRUE,
   CHOOSE({1;2;3;4;5;6;7;8;9;10;11;12;13;14;15;16;17;18;19;20;21;22;23;24;25;26;27;28;29;30;31;32},
    COUNTIFS($U$2:$U$200,$G315)&gt;0,
    COUNTIFS($V$2:$V$200,$G315)&gt;0,
    COUNTIFS($W$2:$W$200,$G315)&gt;0,
    COUNTIFS($X$2:$X$200,$G315)&gt;0,
    COUNTIFS($Y$2:$Y$200,$G315)&gt;0,
    COUNTIFS($Z$2:$Z$200,$G315)&gt;0,
    COUNTIFS($AA$2:$AA$200,$G315)&gt;0,
    COUNTIFS($AB$2:$AB$200,$G315)&gt;0,
    COUNTIFS($AC$2:$AC$200,$G315)&gt;0,
    COUNTIFS($AD$2:$AD$200,$G315)&gt;0,
    COUNTIFS($AE$2:$AE$200,$G315)&gt;0,
    COUNTIFS($AF$2:$AF$200,$G315)&gt;0,
    COUNTIFS($AG$2:$AG$200,$G315)&gt;0,
    COUNTIFS($AH$2:$AH$200,$G315)&gt;0,
    COUNTIFS($AI$2:$AI$200,$G315)&gt;0,
    COUNTIFS($AJ$2:$AJ$200,$G315)&gt;0,
    COUNTIFS($AK$2:$AK$200,$G315)&gt;0,
    COUNTIFS($AL$2:$AL$200,$G315)&gt;0,
    COUNTIFS($AM$2:$AM$200,$G315)&gt;0,
    COUNTIFS($AN$2:$AN$200,$G315)&gt;0,
    COUNTIFS($AO$2:$AO$200,$G315)&gt;0,
    COUNTIFS($AP$2:$AP$200,$G315)&gt;0,
    COUNTIFS($AQ$2:$AQ$200,$G315)&gt;0,
    COUNTIFS($AR$2:$AR$200,$G315)&gt;0,
    COUNTIFS($AS$2:$AS$200,$G315)&gt;0,
    COUNTIFS($AT$2:$AT$200,$G315)&gt;0,
    COUNTIFS($AU$2:$AU$200,$G315)&gt;0,
    COUNTIFS($AV$2:$AV$200,$G315)&gt;0,
    COUNTIFS($AW$2:$AW$200,$G315)&gt;0,
    COUNTIFS($AX$2:$AX$200,$G315)&gt;0
   ),
  0)
 ),
"")</f>
        <v>JhoiraB</v>
      </c>
      <c r="D315" s="3" t="str" cm="1">
        <f t="array" aca="1" ref="D315" ca="1">IFERROR(
 INDEX(
  _xlfn._xlws.FILTER($U$1:$AX$1,
   TRANSPOSE(
    CHOOSE({1;2;3;4;5;6;7;8;9;10;11;12;13;14;15;16;17;18;19;20;21;22;23;24;25;26;27;28;29;30},
     COUNTIFS($U$2:$U$200,$G315)&gt;0,
     COUNTIFS($V$2:$V$200,$G315)&gt;0,
     COUNTIFS($W$2:$W$200,$G315)&gt;0,
     COUNTIFS($X$2:$X$200,$G315)&gt;0,
     COUNTIFS($Y$2:$Y$200,$G315)&gt;0,
     COUNTIFS($Z$2:$Z$200,$G315)&gt;0,
     COUNTIFS($AA$2:$AA$200,$G315)&gt;0,
     COUNTIFS($AB$2:$AB$200,$G315)&gt;0,
     COUNTIFS($AC$2:$AC$200,$G315)&gt;0,
     COUNTIFS($AD$2:$AD$200,$G315)&gt;0,
     COUNTIFS($AE$2:$AE$200,$G315)&gt;0,
     COUNTIFS($AF$2:$AF$200,$G315)&gt;0,
     COUNTIFS($AG$2:$AG$200,$G315)&gt;0,
     COUNTIFS($AH$2:$AH$200,$G315)&gt;0,
     COUNTIFS($AI$2:$AI$200,$G315)&gt;0,
     COUNTIFS($AJ$2:$AJ$200,$G315)&gt;0,
     COUNTIFS($AK$2:$AK$200,$G315)&gt;0,
     COUNTIFS($AL$2:$AL$200,$G315)&gt;0,
     COUNTIFS($AM$2:$AM$200,$G315)&gt;0,
     COUNTIFS($AN$2:$AN$200,$G315)&gt;0,
     COUNTIFS($AO$2:$AO$200,$G315)&gt;0,
     COUNTIFS($AP$2:$AP$200,$G315)&gt;0,
     COUNTIFS($AQ$2:$AQ$200,$G315)&gt;0,
     COUNTIFS($AR$2:$AR$200,$G315)&gt;0,
     COUNTIFS($AS$2:$AS$200,$G315)&gt;0,
     COUNTIFS($AT$2:$AT$200,$G315)&gt;0,
     COUNTIFS($AU$2:$AU$200,$G315)&gt;0,
     COUNTIFS($AV$2:$AV$200,$G315)&gt;0,
     COUNTIFS($AW$2:$AW$200,$G315)&gt;0,
     COUNTIFS($AX$2:$AX$200,$G315)&gt;0
   )),
  ),
  2
 ),
"")</f>
        <v>Jhoira</v>
      </c>
      <c r="E315" s="3" t="str" cm="1">
        <f t="array" aca="1" ref="E315" ca="1">IFERROR(
 INDEX(
  _xlfn._xlws.FILTER($U$1:$AX$1,
   TRANSPOSE(
    CHOOSE({1;2;3;4;5;6;7;8;9;10;11;12;13;14;15;16;17;18;19;20;21;22;23;24;25;26;27;28;29;30},
     COUNTIFS($U$2:$U$200,$G315)&gt;0,
     COUNTIFS($V$2:$V$200,$G315)&gt;0,
     COUNTIFS($W$2:$W$200,$G315)&gt;0,
     COUNTIFS($X$2:$X$200,$G315)&gt;0,
     COUNTIFS($Y$2:$Y$200,$G315)&gt;0,
     COUNTIFS($Z$2:$Z$200,$G315)&gt;0,
     COUNTIFS($AA$2:$AA$200,$G315)&gt;0,
     COUNTIFS($AB$2:$AB$200,$G315)&gt;0,
     COUNTIFS($AC$2:$AC$200,$G315)&gt;0,
     COUNTIFS($AD$2:$AD$200,$G315)&gt;0,
     COUNTIFS($AE$2:$AE$200,$G315)&gt;0,
     COUNTIFS($AF$2:$AF$200,$G315)&gt;0,
     COUNTIFS($AG$2:$AG$200,$G315)&gt;0,
     COUNTIFS($AH$2:$AH$200,$G315)&gt;0,
     COUNTIFS($AI$2:$AI$200,$G315)&gt;0,
     COUNTIFS($AJ$2:$AJ$200,$G315)&gt;0,
     COUNTIFS($AK$2:$AK$200,$G315)&gt;0,
     COUNTIFS($AL$2:$AL$200,$G315)&gt;0,
     COUNTIFS($AM$2:$AM$200,$G315)&gt;0,
     COUNTIFS($AN$2:$AN$200,$G315)&gt;0,
     COUNTIFS($AO$2:$AO$200,$G315)&gt;0,
     COUNTIFS($AP$2:$AP$200,$G315)&gt;0,
     COUNTIFS($AQ$2:$AQ$200,$G315)&gt;0,
     COUNTIFS($AR$2:$AR$200,$G315)&gt;0,
     COUNTIFS($AS$2:$AS$200,$G315)&gt;0,
     COUNTIFS($AT$2:$AT$200,$G315)&gt;0,
     COUNTIFS($AU$2:$AU$200,$G315)&gt;0,
     COUNTIFS($AV$2:$AV$200,$G315)&gt;0,
     COUNTIFS($AW$2:$AW$200,$G315)&gt;0,
     COUNTIFS($AX$2:$AX$200,$G315)&gt;0
   )),
  ),
  3
 ),
"")</f>
        <v/>
      </c>
      <c r="F315" s="3" t="str" cm="1">
        <f t="array" aca="1" ref="F315" ca="1">IFERROR(
 INDEX(
  _xlfn._xlws.FILTER($U$1:$AX$1,
   TRANSPOSE(
    CHOOSE({1;2;3;4;5;6;7;8;9;10;11;12;13;14;15;16;17;18;19;20;21;22;23;24;25;26;27;28;29;30},
     COUNTIFS($U$2:$U$200,$G315)&gt;0,
     COUNTIFS($V$2:$V$200,$G315)&gt;0,
     COUNTIFS($W$2:$W$200,$G315)&gt;0,
     COUNTIFS($X$2:$X$200,$G315)&gt;0,
     COUNTIFS($Y$2:$Y$200,$G315)&gt;0,
     COUNTIFS($Z$2:$Z$200,$G315)&gt;0,
     COUNTIFS($AA$2:$AA$200,$G315)&gt;0,
     COUNTIFS($AB$2:$AB$200,$G315)&gt;0,
     COUNTIFS($AC$2:$AC$200,$G315)&gt;0,
     COUNTIFS($AD$2:$AD$200,$G315)&gt;0,
     COUNTIFS($AE$2:$AE$200,$G315)&gt;0,
     COUNTIFS($AF$2:$AF$200,$G315)&gt;0,
     COUNTIFS($AG$2:$AG$200,$G315)&gt;0,
     COUNTIFS($AH$2:$AH$200,$G315)&gt;0,
     COUNTIFS($AI$2:$AI$200,$G315)&gt;0,
     COUNTIFS($AJ$2:$AJ$200,$G315)&gt;0,
     COUNTIFS($AK$2:$AK$200,$G315)&gt;0,
     COUNTIFS($AL$2:$AL$200,$G315)&gt;0,
     COUNTIFS($AM$2:$AM$200,$G315)&gt;0,
     COUNTIFS($AN$2:$AN$200,$G315)&gt;0,
     COUNTIFS($AO$2:$AO$200,$G315)&gt;0,
     COUNTIFS($AP$2:$AP$200,$G315)&gt;0,
     COUNTIFS($AQ$2:$AQ$200,$G315)&gt;0,
     COUNTIFS($AR$2:$AR$200,$G315)&gt;0,
     COUNTIFS($AS$2:$AS$200,$G315)&gt;0,
     COUNTIFS($AT$2:$AT$200,$G315)&gt;0,
     COUNTIFS($AU$2:$AU$200,$G315)&gt;0,
     COUNTIFS($AV$2:$AV$200,$G315)&gt;0,
     COUNTIFS($AW$2:$AW$200,$G315)&gt;0,
     COUNTIFS($AX$2:$AX$200,$G315)&gt;0
   )),
  ),
  4
 ),
"")</f>
        <v/>
      </c>
      <c r="G315" t="str">
        <f ca="1"/>
        <v>Ulamog, o Profanador</v>
      </c>
      <c r="CJ315" t="str">
        <f ca="1"/>
        <v>Ulamog, o Profanador</v>
      </c>
    </row>
    <row r="316" spans="1:88" x14ac:dyDescent="0.25">
      <c r="A316" s="3" t="str">
        <f t="shared" ca="1" si="10"/>
        <v>3</v>
      </c>
      <c r="B316" s="3">
        <f t="shared" ca="1" si="11"/>
        <v>1</v>
      </c>
      <c r="C316" s="3" t="str">
        <f ca="1">IFERROR(
 INDEX($U$1:$AX$1,
  MATCH(TRUE,
   CHOOSE({1;2;3;4;5;6;7;8;9;10;11;12;13;14;15;16;17;18;19;20;21;22;23;24;25;26;27;28;29;30;31;32},
    COUNTIFS($U$2:$U$200,$G316)&gt;0,
    COUNTIFS($V$2:$V$200,$G316)&gt;0,
    COUNTIFS($W$2:$W$200,$G316)&gt;0,
    COUNTIFS($X$2:$X$200,$G316)&gt;0,
    COUNTIFS($Y$2:$Y$200,$G316)&gt;0,
    COUNTIFS($Z$2:$Z$200,$G316)&gt;0,
    COUNTIFS($AA$2:$AA$200,$G316)&gt;0,
    COUNTIFS($AB$2:$AB$200,$G316)&gt;0,
    COUNTIFS($AC$2:$AC$200,$G316)&gt;0,
    COUNTIFS($AD$2:$AD$200,$G316)&gt;0,
    COUNTIFS($AE$2:$AE$200,$G316)&gt;0,
    COUNTIFS($AF$2:$AF$200,$G316)&gt;0,
    COUNTIFS($AG$2:$AG$200,$G316)&gt;0,
    COUNTIFS($AH$2:$AH$200,$G316)&gt;0,
    COUNTIFS($AI$2:$AI$200,$G316)&gt;0,
    COUNTIFS($AJ$2:$AJ$200,$G316)&gt;0,
    COUNTIFS($AK$2:$AK$200,$G316)&gt;0,
    COUNTIFS($AL$2:$AL$200,$G316)&gt;0,
    COUNTIFS($AM$2:$AM$200,$G316)&gt;0,
    COUNTIFS($AN$2:$AN$200,$G316)&gt;0,
    COUNTIFS($AO$2:$AO$200,$G316)&gt;0,
    COUNTIFS($AP$2:$AP$200,$G316)&gt;0,
    COUNTIFS($AQ$2:$AQ$200,$G316)&gt;0,
    COUNTIFS($AR$2:$AR$200,$G316)&gt;0,
    COUNTIFS($AS$2:$AS$200,$G316)&gt;0,
    COUNTIFS($AT$2:$AT$200,$G316)&gt;0,
    COUNTIFS($AU$2:$AU$200,$G316)&gt;0,
    COUNTIFS($AV$2:$AV$200,$G316)&gt;0,
    COUNTIFS($AW$2:$AW$200,$G316)&gt;0,
    COUNTIFS($AX$2:$AX$200,$G316)&gt;0
   ),
  0)
 ),
"")</f>
        <v>Gritrog</v>
      </c>
      <c r="D316" s="3" t="str" cm="1">
        <f t="array" aca="1" ref="D316" ca="1">IFERROR(
 INDEX(
  _xlfn._xlws.FILTER($U$1:$AX$1,
   TRANSPOSE(
    CHOOSE({1;2;3;4;5;6;7;8;9;10;11;12;13;14;15;16;17;18;19;20;21;22;23;24;25;26;27;28;29;30},
     COUNTIFS($U$2:$U$200,$G316)&gt;0,
     COUNTIFS($V$2:$V$200,$G316)&gt;0,
     COUNTIFS($W$2:$W$200,$G316)&gt;0,
     COUNTIFS($X$2:$X$200,$G316)&gt;0,
     COUNTIFS($Y$2:$Y$200,$G316)&gt;0,
     COUNTIFS($Z$2:$Z$200,$G316)&gt;0,
     COUNTIFS($AA$2:$AA$200,$G316)&gt;0,
     COUNTIFS($AB$2:$AB$200,$G316)&gt;0,
     COUNTIFS($AC$2:$AC$200,$G316)&gt;0,
     COUNTIFS($AD$2:$AD$200,$G316)&gt;0,
     COUNTIFS($AE$2:$AE$200,$G316)&gt;0,
     COUNTIFS($AF$2:$AF$200,$G316)&gt;0,
     COUNTIFS($AG$2:$AG$200,$G316)&gt;0,
     COUNTIFS($AH$2:$AH$200,$G316)&gt;0,
     COUNTIFS($AI$2:$AI$200,$G316)&gt;0,
     COUNTIFS($AJ$2:$AJ$200,$G316)&gt;0,
     COUNTIFS($AK$2:$AK$200,$G316)&gt;0,
     COUNTIFS($AL$2:$AL$200,$G316)&gt;0,
     COUNTIFS($AM$2:$AM$200,$G316)&gt;0,
     COUNTIFS($AN$2:$AN$200,$G316)&gt;0,
     COUNTIFS($AO$2:$AO$200,$G316)&gt;0,
     COUNTIFS($AP$2:$AP$200,$G316)&gt;0,
     COUNTIFS($AQ$2:$AQ$200,$G316)&gt;0,
     COUNTIFS($AR$2:$AR$200,$G316)&gt;0,
     COUNTIFS($AS$2:$AS$200,$G316)&gt;0,
     COUNTIFS($AT$2:$AT$200,$G316)&gt;0,
     COUNTIFS($AU$2:$AU$200,$G316)&gt;0,
     COUNTIFS($AV$2:$AV$200,$G316)&gt;0,
     COUNTIFS($AW$2:$AW$200,$G316)&gt;0,
     COUNTIFS($AX$2:$AX$200,$G316)&gt;0
   )),
  ),
  2
 ),
"")</f>
        <v/>
      </c>
      <c r="E316" s="3" t="str" cm="1">
        <f t="array" aca="1" ref="E316" ca="1">IFERROR(
 INDEX(
  _xlfn._xlws.FILTER($U$1:$AX$1,
   TRANSPOSE(
    CHOOSE({1;2;3;4;5;6;7;8;9;10;11;12;13;14;15;16;17;18;19;20;21;22;23;24;25;26;27;28;29;30},
     COUNTIFS($U$2:$U$200,$G316)&gt;0,
     COUNTIFS($V$2:$V$200,$G316)&gt;0,
     COUNTIFS($W$2:$W$200,$G316)&gt;0,
     COUNTIFS($X$2:$X$200,$G316)&gt;0,
     COUNTIFS($Y$2:$Y$200,$G316)&gt;0,
     COUNTIFS($Z$2:$Z$200,$G316)&gt;0,
     COUNTIFS($AA$2:$AA$200,$G316)&gt;0,
     COUNTIFS($AB$2:$AB$200,$G316)&gt;0,
     COUNTIFS($AC$2:$AC$200,$G316)&gt;0,
     COUNTIFS($AD$2:$AD$200,$G316)&gt;0,
     COUNTIFS($AE$2:$AE$200,$G316)&gt;0,
     COUNTIFS($AF$2:$AF$200,$G316)&gt;0,
     COUNTIFS($AG$2:$AG$200,$G316)&gt;0,
     COUNTIFS($AH$2:$AH$200,$G316)&gt;0,
     COUNTIFS($AI$2:$AI$200,$G316)&gt;0,
     COUNTIFS($AJ$2:$AJ$200,$G316)&gt;0,
     COUNTIFS($AK$2:$AK$200,$G316)&gt;0,
     COUNTIFS($AL$2:$AL$200,$G316)&gt;0,
     COUNTIFS($AM$2:$AM$200,$G316)&gt;0,
     COUNTIFS($AN$2:$AN$200,$G316)&gt;0,
     COUNTIFS($AO$2:$AO$200,$G316)&gt;0,
     COUNTIFS($AP$2:$AP$200,$G316)&gt;0,
     COUNTIFS($AQ$2:$AQ$200,$G316)&gt;0,
     COUNTIFS($AR$2:$AR$200,$G316)&gt;0,
     COUNTIFS($AS$2:$AS$200,$G316)&gt;0,
     COUNTIFS($AT$2:$AT$200,$G316)&gt;0,
     COUNTIFS($AU$2:$AU$200,$G316)&gt;0,
     COUNTIFS($AV$2:$AV$200,$G316)&gt;0,
     COUNTIFS($AW$2:$AW$200,$G316)&gt;0,
     COUNTIFS($AX$2:$AX$200,$G316)&gt;0
   )),
  ),
  3
 ),
"")</f>
        <v/>
      </c>
      <c r="F316" s="3" t="str" cm="1">
        <f t="array" aca="1" ref="F316" ca="1">IFERROR(
 INDEX(
  _xlfn._xlws.FILTER($U$1:$AX$1,
   TRANSPOSE(
    CHOOSE({1;2;3;4;5;6;7;8;9;10;11;12;13;14;15;16;17;18;19;20;21;22;23;24;25;26;27;28;29;30},
     COUNTIFS($U$2:$U$200,$G316)&gt;0,
     COUNTIFS($V$2:$V$200,$G316)&gt;0,
     COUNTIFS($W$2:$W$200,$G316)&gt;0,
     COUNTIFS($X$2:$X$200,$G316)&gt;0,
     COUNTIFS($Y$2:$Y$200,$G316)&gt;0,
     COUNTIFS($Z$2:$Z$200,$G316)&gt;0,
     COUNTIFS($AA$2:$AA$200,$G316)&gt;0,
     COUNTIFS($AB$2:$AB$200,$G316)&gt;0,
     COUNTIFS($AC$2:$AC$200,$G316)&gt;0,
     COUNTIFS($AD$2:$AD$200,$G316)&gt;0,
     COUNTIFS($AE$2:$AE$200,$G316)&gt;0,
     COUNTIFS($AF$2:$AF$200,$G316)&gt;0,
     COUNTIFS($AG$2:$AG$200,$G316)&gt;0,
     COUNTIFS($AH$2:$AH$200,$G316)&gt;0,
     COUNTIFS($AI$2:$AI$200,$G316)&gt;0,
     COUNTIFS($AJ$2:$AJ$200,$G316)&gt;0,
     COUNTIFS($AK$2:$AK$200,$G316)&gt;0,
     COUNTIFS($AL$2:$AL$200,$G316)&gt;0,
     COUNTIFS($AM$2:$AM$200,$G316)&gt;0,
     COUNTIFS($AN$2:$AN$200,$G316)&gt;0,
     COUNTIFS($AO$2:$AO$200,$G316)&gt;0,
     COUNTIFS($AP$2:$AP$200,$G316)&gt;0,
     COUNTIFS($AQ$2:$AQ$200,$G316)&gt;0,
     COUNTIFS($AR$2:$AR$200,$G316)&gt;0,
     COUNTIFS($AS$2:$AS$200,$G316)&gt;0,
     COUNTIFS($AT$2:$AT$200,$G316)&gt;0,
     COUNTIFS($AU$2:$AU$200,$G316)&gt;0,
     COUNTIFS($AV$2:$AV$200,$G316)&gt;0,
     COUNTIFS($AW$2:$AW$200,$G316)&gt;0,
     COUNTIFS($AX$2:$AX$200,$G316)&gt;0
   )),
  ),
  4
 ),
"")</f>
        <v/>
      </c>
      <c r="G316" t="str">
        <f ca="1"/>
        <v>Ulamog, the Infinite Gyre</v>
      </c>
      <c r="CJ316" t="str">
        <f ca="1"/>
        <v>Ulamog, the Infinite Gyre</v>
      </c>
    </row>
    <row r="317" spans="1:88" x14ac:dyDescent="0.25">
      <c r="A317" s="3" t="str">
        <f t="shared" ca="1" si="10"/>
        <v>3</v>
      </c>
      <c r="B317" s="3">
        <f t="shared" ca="1" si="11"/>
        <v>1</v>
      </c>
      <c r="C317" s="3" t="str">
        <f ca="1">IFERROR(
 INDEX($U$1:$AX$1,
  MATCH(TRUE,
   CHOOSE({1;2;3;4;5;6;7;8;9;10;11;12;13;14;15;16;17;18;19;20;21;22;23;24;25;26;27;28;29;30;31;32},
    COUNTIFS($U$2:$U$200,$G317)&gt;0,
    COUNTIFS($V$2:$V$200,$G317)&gt;0,
    COUNTIFS($W$2:$W$200,$G317)&gt;0,
    COUNTIFS($X$2:$X$200,$G317)&gt;0,
    COUNTIFS($Y$2:$Y$200,$G317)&gt;0,
    COUNTIFS($Z$2:$Z$200,$G317)&gt;0,
    COUNTIFS($AA$2:$AA$200,$G317)&gt;0,
    COUNTIFS($AB$2:$AB$200,$G317)&gt;0,
    COUNTIFS($AC$2:$AC$200,$G317)&gt;0,
    COUNTIFS($AD$2:$AD$200,$G317)&gt;0,
    COUNTIFS($AE$2:$AE$200,$G317)&gt;0,
    COUNTIFS($AF$2:$AF$200,$G317)&gt;0,
    COUNTIFS($AG$2:$AG$200,$G317)&gt;0,
    COUNTIFS($AH$2:$AH$200,$G317)&gt;0,
    COUNTIFS($AI$2:$AI$200,$G317)&gt;0,
    COUNTIFS($AJ$2:$AJ$200,$G317)&gt;0,
    COUNTIFS($AK$2:$AK$200,$G317)&gt;0,
    COUNTIFS($AL$2:$AL$200,$G317)&gt;0,
    COUNTIFS($AM$2:$AM$200,$G317)&gt;0,
    COUNTIFS($AN$2:$AN$200,$G317)&gt;0,
    COUNTIFS($AO$2:$AO$200,$G317)&gt;0,
    COUNTIFS($AP$2:$AP$200,$G317)&gt;0,
    COUNTIFS($AQ$2:$AQ$200,$G317)&gt;0,
    COUNTIFS($AR$2:$AR$200,$G317)&gt;0,
    COUNTIFS($AS$2:$AS$200,$G317)&gt;0,
    COUNTIFS($AT$2:$AT$200,$G317)&gt;0,
    COUNTIFS($AU$2:$AU$200,$G317)&gt;0,
    COUNTIFS($AV$2:$AV$200,$G317)&gt;0,
    COUNTIFS($AW$2:$AW$200,$G317)&gt;0,
    COUNTIFS($AX$2:$AX$200,$G317)&gt;0
   ),
  0)
 ),
"")</f>
        <v>JhoiraB</v>
      </c>
      <c r="D317" s="3" t="str" cm="1">
        <f t="array" aca="1" ref="D317" ca="1">IFERROR(
 INDEX(
  _xlfn._xlws.FILTER($U$1:$AX$1,
   TRANSPOSE(
    CHOOSE({1;2;3;4;5;6;7;8;9;10;11;12;13;14;15;16;17;18;19;20;21;22;23;24;25;26;27;28;29;30},
     COUNTIFS($U$2:$U$200,$G317)&gt;0,
     COUNTIFS($V$2:$V$200,$G317)&gt;0,
     COUNTIFS($W$2:$W$200,$G317)&gt;0,
     COUNTIFS($X$2:$X$200,$G317)&gt;0,
     COUNTIFS($Y$2:$Y$200,$G317)&gt;0,
     COUNTIFS($Z$2:$Z$200,$G317)&gt;0,
     COUNTIFS($AA$2:$AA$200,$G317)&gt;0,
     COUNTIFS($AB$2:$AB$200,$G317)&gt;0,
     COUNTIFS($AC$2:$AC$200,$G317)&gt;0,
     COUNTIFS($AD$2:$AD$200,$G317)&gt;0,
     COUNTIFS($AE$2:$AE$200,$G317)&gt;0,
     COUNTIFS($AF$2:$AF$200,$G317)&gt;0,
     COUNTIFS($AG$2:$AG$200,$G317)&gt;0,
     COUNTIFS($AH$2:$AH$200,$G317)&gt;0,
     COUNTIFS($AI$2:$AI$200,$G317)&gt;0,
     COUNTIFS($AJ$2:$AJ$200,$G317)&gt;0,
     COUNTIFS($AK$2:$AK$200,$G317)&gt;0,
     COUNTIFS($AL$2:$AL$200,$G317)&gt;0,
     COUNTIFS($AM$2:$AM$200,$G317)&gt;0,
     COUNTIFS($AN$2:$AN$200,$G317)&gt;0,
     COUNTIFS($AO$2:$AO$200,$G317)&gt;0,
     COUNTIFS($AP$2:$AP$200,$G317)&gt;0,
     COUNTIFS($AQ$2:$AQ$200,$G317)&gt;0,
     COUNTIFS($AR$2:$AR$200,$G317)&gt;0,
     COUNTIFS($AS$2:$AS$200,$G317)&gt;0,
     COUNTIFS($AT$2:$AT$200,$G317)&gt;0,
     COUNTIFS($AU$2:$AU$200,$G317)&gt;0,
     COUNTIFS($AV$2:$AV$200,$G317)&gt;0,
     COUNTIFS($AW$2:$AW$200,$G317)&gt;0,
     COUNTIFS($AX$2:$AX$200,$G317)&gt;0
   )),
  ),
  2
 ),
"")</f>
        <v/>
      </c>
      <c r="E317" s="3" t="str" cm="1">
        <f t="array" aca="1" ref="E317" ca="1">IFERROR(
 INDEX(
  _xlfn._xlws.FILTER($U$1:$AX$1,
   TRANSPOSE(
    CHOOSE({1;2;3;4;5;6;7;8;9;10;11;12;13;14;15;16;17;18;19;20;21;22;23;24;25;26;27;28;29;30},
     COUNTIFS($U$2:$U$200,$G317)&gt;0,
     COUNTIFS($V$2:$V$200,$G317)&gt;0,
     COUNTIFS($W$2:$W$200,$G317)&gt;0,
     COUNTIFS($X$2:$X$200,$G317)&gt;0,
     COUNTIFS($Y$2:$Y$200,$G317)&gt;0,
     COUNTIFS($Z$2:$Z$200,$G317)&gt;0,
     COUNTIFS($AA$2:$AA$200,$G317)&gt;0,
     COUNTIFS($AB$2:$AB$200,$G317)&gt;0,
     COUNTIFS($AC$2:$AC$200,$G317)&gt;0,
     COUNTIFS($AD$2:$AD$200,$G317)&gt;0,
     COUNTIFS($AE$2:$AE$200,$G317)&gt;0,
     COUNTIFS($AF$2:$AF$200,$G317)&gt;0,
     COUNTIFS($AG$2:$AG$200,$G317)&gt;0,
     COUNTIFS($AH$2:$AH$200,$G317)&gt;0,
     COUNTIFS($AI$2:$AI$200,$G317)&gt;0,
     COUNTIFS($AJ$2:$AJ$200,$G317)&gt;0,
     COUNTIFS($AK$2:$AK$200,$G317)&gt;0,
     COUNTIFS($AL$2:$AL$200,$G317)&gt;0,
     COUNTIFS($AM$2:$AM$200,$G317)&gt;0,
     COUNTIFS($AN$2:$AN$200,$G317)&gt;0,
     COUNTIFS($AO$2:$AO$200,$G317)&gt;0,
     COUNTIFS($AP$2:$AP$200,$G317)&gt;0,
     COUNTIFS($AQ$2:$AQ$200,$G317)&gt;0,
     COUNTIFS($AR$2:$AR$200,$G317)&gt;0,
     COUNTIFS($AS$2:$AS$200,$G317)&gt;0,
     COUNTIFS($AT$2:$AT$200,$G317)&gt;0,
     COUNTIFS($AU$2:$AU$200,$G317)&gt;0,
     COUNTIFS($AV$2:$AV$200,$G317)&gt;0,
     COUNTIFS($AW$2:$AW$200,$G317)&gt;0,
     COUNTIFS($AX$2:$AX$200,$G317)&gt;0
   )),
  ),
  3
 ),
"")</f>
        <v/>
      </c>
      <c r="F317" s="3" t="str" cm="1">
        <f t="array" aca="1" ref="F317" ca="1">IFERROR(
 INDEX(
  _xlfn._xlws.FILTER($U$1:$AX$1,
   TRANSPOSE(
    CHOOSE({1;2;3;4;5;6;7;8;9;10;11;12;13;14;15;16;17;18;19;20;21;22;23;24;25;26;27;28;29;30},
     COUNTIFS($U$2:$U$200,$G317)&gt;0,
     COUNTIFS($V$2:$V$200,$G317)&gt;0,
     COUNTIFS($W$2:$W$200,$G317)&gt;0,
     COUNTIFS($X$2:$X$200,$G317)&gt;0,
     COUNTIFS($Y$2:$Y$200,$G317)&gt;0,
     COUNTIFS($Z$2:$Z$200,$G317)&gt;0,
     COUNTIFS($AA$2:$AA$200,$G317)&gt;0,
     COUNTIFS($AB$2:$AB$200,$G317)&gt;0,
     COUNTIFS($AC$2:$AC$200,$G317)&gt;0,
     COUNTIFS($AD$2:$AD$200,$G317)&gt;0,
     COUNTIFS($AE$2:$AE$200,$G317)&gt;0,
     COUNTIFS($AF$2:$AF$200,$G317)&gt;0,
     COUNTIFS($AG$2:$AG$200,$G317)&gt;0,
     COUNTIFS($AH$2:$AH$200,$G317)&gt;0,
     COUNTIFS($AI$2:$AI$200,$G317)&gt;0,
     COUNTIFS($AJ$2:$AJ$200,$G317)&gt;0,
     COUNTIFS($AK$2:$AK$200,$G317)&gt;0,
     COUNTIFS($AL$2:$AL$200,$G317)&gt;0,
     COUNTIFS($AM$2:$AM$200,$G317)&gt;0,
     COUNTIFS($AN$2:$AN$200,$G317)&gt;0,
     COUNTIFS($AO$2:$AO$200,$G317)&gt;0,
     COUNTIFS($AP$2:$AP$200,$G317)&gt;0,
     COUNTIFS($AQ$2:$AQ$200,$G317)&gt;0,
     COUNTIFS($AR$2:$AR$200,$G317)&gt;0,
     COUNTIFS($AS$2:$AS$200,$G317)&gt;0,
     COUNTIFS($AT$2:$AT$200,$G317)&gt;0,
     COUNTIFS($AU$2:$AU$200,$G317)&gt;0,
     COUNTIFS($AV$2:$AV$200,$G317)&gt;0,
     COUNTIFS($AW$2:$AW$200,$G317)&gt;0,
     COUNTIFS($AX$2:$AX$200,$G317)&gt;0
   )),
  ),
  4
 ),
"")</f>
        <v/>
      </c>
      <c r="G317" t="str">
        <f ca="1"/>
        <v>Ulamog's Dreadsire</v>
      </c>
      <c r="CJ317" t="str">
        <f ca="1"/>
        <v>Ulamog's Dreadsire</v>
      </c>
    </row>
    <row r="318" spans="1:88" x14ac:dyDescent="0.25">
      <c r="A318" s="3" t="str">
        <f t="shared" ca="1" si="10"/>
        <v>1</v>
      </c>
      <c r="B318" s="3">
        <f t="shared" ca="1" si="11"/>
        <v>1</v>
      </c>
      <c r="C318" s="3" t="str">
        <f ca="1">IFERROR(
 INDEX($U$1:$AX$1,
  MATCH(TRUE,
   CHOOSE({1;2;3;4;5;6;7;8;9;10;11;12;13;14;15;16;17;18;19;20;21;22;23;24;25;26;27;28;29;30;31;32},
    COUNTIFS($U$2:$U$200,$G318)&gt;0,
    COUNTIFS($V$2:$V$200,$G318)&gt;0,
    COUNTIFS($W$2:$W$200,$G318)&gt;0,
    COUNTIFS($X$2:$X$200,$G318)&gt;0,
    COUNTIFS($Y$2:$Y$200,$G318)&gt;0,
    COUNTIFS($Z$2:$Z$200,$G318)&gt;0,
    COUNTIFS($AA$2:$AA$200,$G318)&gt;0,
    COUNTIFS($AB$2:$AB$200,$G318)&gt;0,
    COUNTIFS($AC$2:$AC$200,$G318)&gt;0,
    COUNTIFS($AD$2:$AD$200,$G318)&gt;0,
    COUNTIFS($AE$2:$AE$200,$G318)&gt;0,
    COUNTIFS($AF$2:$AF$200,$G318)&gt;0,
    COUNTIFS($AG$2:$AG$200,$G318)&gt;0,
    COUNTIFS($AH$2:$AH$200,$G318)&gt;0,
    COUNTIFS($AI$2:$AI$200,$G318)&gt;0,
    COUNTIFS($AJ$2:$AJ$200,$G318)&gt;0,
    COUNTIFS($AK$2:$AK$200,$G318)&gt;0,
    COUNTIFS($AL$2:$AL$200,$G318)&gt;0,
    COUNTIFS($AM$2:$AM$200,$G318)&gt;0,
    COUNTIFS($AN$2:$AN$200,$G318)&gt;0,
    COUNTIFS($AO$2:$AO$200,$G318)&gt;0,
    COUNTIFS($AP$2:$AP$200,$G318)&gt;0,
    COUNTIFS($AQ$2:$AQ$200,$G318)&gt;0,
    COUNTIFS($AR$2:$AR$200,$G318)&gt;0,
    COUNTIFS($AS$2:$AS$200,$G318)&gt;0,
    COUNTIFS($AT$2:$AT$200,$G318)&gt;0,
    COUNTIFS($AU$2:$AU$200,$G318)&gt;0,
    COUNTIFS($AV$2:$AV$200,$G318)&gt;0,
    COUNTIFS($AW$2:$AW$200,$G318)&gt;0,
    COUNTIFS($AX$2:$AX$200,$G318)&gt;0
   ),
  0)
 ),
"")</f>
        <v>Tayam</v>
      </c>
      <c r="D318" s="3" t="str" cm="1">
        <f t="array" aca="1" ref="D318" ca="1">IFERROR(
 INDEX(
  _xlfn._xlws.FILTER($U$1:$AX$1,
   TRANSPOSE(
    CHOOSE({1;2;3;4;5;6;7;8;9;10;11;12;13;14;15;16;17;18;19;20;21;22;23;24;25;26;27;28;29;30},
     COUNTIFS($U$2:$U$200,$G318)&gt;0,
     COUNTIFS($V$2:$V$200,$G318)&gt;0,
     COUNTIFS($W$2:$W$200,$G318)&gt;0,
     COUNTIFS($X$2:$X$200,$G318)&gt;0,
     COUNTIFS($Y$2:$Y$200,$G318)&gt;0,
     COUNTIFS($Z$2:$Z$200,$G318)&gt;0,
     COUNTIFS($AA$2:$AA$200,$G318)&gt;0,
     COUNTIFS($AB$2:$AB$200,$G318)&gt;0,
     COUNTIFS($AC$2:$AC$200,$G318)&gt;0,
     COUNTIFS($AD$2:$AD$200,$G318)&gt;0,
     COUNTIFS($AE$2:$AE$200,$G318)&gt;0,
     COUNTIFS($AF$2:$AF$200,$G318)&gt;0,
     COUNTIFS($AG$2:$AG$200,$G318)&gt;0,
     COUNTIFS($AH$2:$AH$200,$G318)&gt;0,
     COUNTIFS($AI$2:$AI$200,$G318)&gt;0,
     COUNTIFS($AJ$2:$AJ$200,$G318)&gt;0,
     COUNTIFS($AK$2:$AK$200,$G318)&gt;0,
     COUNTIFS($AL$2:$AL$200,$G318)&gt;0,
     COUNTIFS($AM$2:$AM$200,$G318)&gt;0,
     COUNTIFS($AN$2:$AN$200,$G318)&gt;0,
     COUNTIFS($AO$2:$AO$200,$G318)&gt;0,
     COUNTIFS($AP$2:$AP$200,$G318)&gt;0,
     COUNTIFS($AQ$2:$AQ$200,$G318)&gt;0,
     COUNTIFS($AR$2:$AR$200,$G318)&gt;0,
     COUNTIFS($AS$2:$AS$200,$G318)&gt;0,
     COUNTIFS($AT$2:$AT$200,$G318)&gt;0,
     COUNTIFS($AU$2:$AU$200,$G318)&gt;0,
     COUNTIFS($AV$2:$AV$200,$G318)&gt;0,
     COUNTIFS($AW$2:$AW$200,$G318)&gt;0,
     COUNTIFS($AX$2:$AX$200,$G318)&gt;0
   )),
  ),
  2
 ),
"")</f>
        <v/>
      </c>
      <c r="E318" s="3" t="str" cm="1">
        <f t="array" aca="1" ref="E318" ca="1">IFERROR(
 INDEX(
  _xlfn._xlws.FILTER($U$1:$AX$1,
   TRANSPOSE(
    CHOOSE({1;2;3;4;5;6;7;8;9;10;11;12;13;14;15;16;17;18;19;20;21;22;23;24;25;26;27;28;29;30},
     COUNTIFS($U$2:$U$200,$G318)&gt;0,
     COUNTIFS($V$2:$V$200,$G318)&gt;0,
     COUNTIFS($W$2:$W$200,$G318)&gt;0,
     COUNTIFS($X$2:$X$200,$G318)&gt;0,
     COUNTIFS($Y$2:$Y$200,$G318)&gt;0,
     COUNTIFS($Z$2:$Z$200,$G318)&gt;0,
     COUNTIFS($AA$2:$AA$200,$G318)&gt;0,
     COUNTIFS($AB$2:$AB$200,$G318)&gt;0,
     COUNTIFS($AC$2:$AC$200,$G318)&gt;0,
     COUNTIFS($AD$2:$AD$200,$G318)&gt;0,
     COUNTIFS($AE$2:$AE$200,$G318)&gt;0,
     COUNTIFS($AF$2:$AF$200,$G318)&gt;0,
     COUNTIFS($AG$2:$AG$200,$G318)&gt;0,
     COUNTIFS($AH$2:$AH$200,$G318)&gt;0,
     COUNTIFS($AI$2:$AI$200,$G318)&gt;0,
     COUNTIFS($AJ$2:$AJ$200,$G318)&gt;0,
     COUNTIFS($AK$2:$AK$200,$G318)&gt;0,
     COUNTIFS($AL$2:$AL$200,$G318)&gt;0,
     COUNTIFS($AM$2:$AM$200,$G318)&gt;0,
     COUNTIFS($AN$2:$AN$200,$G318)&gt;0,
     COUNTIFS($AO$2:$AO$200,$G318)&gt;0,
     COUNTIFS($AP$2:$AP$200,$G318)&gt;0,
     COUNTIFS($AQ$2:$AQ$200,$G318)&gt;0,
     COUNTIFS($AR$2:$AR$200,$G318)&gt;0,
     COUNTIFS($AS$2:$AS$200,$G318)&gt;0,
     COUNTIFS($AT$2:$AT$200,$G318)&gt;0,
     COUNTIFS($AU$2:$AU$200,$G318)&gt;0,
     COUNTIFS($AV$2:$AV$200,$G318)&gt;0,
     COUNTIFS($AW$2:$AW$200,$G318)&gt;0,
     COUNTIFS($AX$2:$AX$200,$G318)&gt;0
   )),
  ),
  3
 ),
"")</f>
        <v/>
      </c>
      <c r="F318" s="3" t="str" cm="1">
        <f t="array" aca="1" ref="F318" ca="1">IFERROR(
 INDEX(
  _xlfn._xlws.FILTER($U$1:$AX$1,
   TRANSPOSE(
    CHOOSE({1;2;3;4;5;6;7;8;9;10;11;12;13;14;15;16;17;18;19;20;21;22;23;24;25;26;27;28;29;30},
     COUNTIFS($U$2:$U$200,$G318)&gt;0,
     COUNTIFS($V$2:$V$200,$G318)&gt;0,
     COUNTIFS($W$2:$W$200,$G318)&gt;0,
     COUNTIFS($X$2:$X$200,$G318)&gt;0,
     COUNTIFS($Y$2:$Y$200,$G318)&gt;0,
     COUNTIFS($Z$2:$Z$200,$G318)&gt;0,
     COUNTIFS($AA$2:$AA$200,$G318)&gt;0,
     COUNTIFS($AB$2:$AB$200,$G318)&gt;0,
     COUNTIFS($AC$2:$AC$200,$G318)&gt;0,
     COUNTIFS($AD$2:$AD$200,$G318)&gt;0,
     COUNTIFS($AE$2:$AE$200,$G318)&gt;0,
     COUNTIFS($AF$2:$AF$200,$G318)&gt;0,
     COUNTIFS($AG$2:$AG$200,$G318)&gt;0,
     COUNTIFS($AH$2:$AH$200,$G318)&gt;0,
     COUNTIFS($AI$2:$AI$200,$G318)&gt;0,
     COUNTIFS($AJ$2:$AJ$200,$G318)&gt;0,
     COUNTIFS($AK$2:$AK$200,$G318)&gt;0,
     COUNTIFS($AL$2:$AL$200,$G318)&gt;0,
     COUNTIFS($AM$2:$AM$200,$G318)&gt;0,
     COUNTIFS($AN$2:$AN$200,$G318)&gt;0,
     COUNTIFS($AO$2:$AO$200,$G318)&gt;0,
     COUNTIFS($AP$2:$AP$200,$G318)&gt;0,
     COUNTIFS($AQ$2:$AQ$200,$G318)&gt;0,
     COUNTIFS($AR$2:$AR$200,$G318)&gt;0,
     COUNTIFS($AS$2:$AS$200,$G318)&gt;0,
     COUNTIFS($AT$2:$AT$200,$G318)&gt;0,
     COUNTIFS($AU$2:$AU$200,$G318)&gt;0,
     COUNTIFS($AV$2:$AV$200,$G318)&gt;0,
     COUNTIFS($AW$2:$AW$200,$G318)&gt;0,
     COUNTIFS($AX$2:$AX$200,$G318)&gt;0
   )),
  ),
  4
 ),
"")</f>
        <v/>
      </c>
      <c r="G318" t="str">
        <f ca="1"/>
        <v>Unbreakable Formation</v>
      </c>
      <c r="CJ318" t="str">
        <f ca="1"/>
        <v>Unbreakable Formation</v>
      </c>
    </row>
    <row r="319" spans="1:88" x14ac:dyDescent="0.25">
      <c r="A319" s="3" t="str">
        <f t="shared" ca="1" si="10"/>
        <v>3</v>
      </c>
      <c r="B319" s="3">
        <f t="shared" ca="1" si="11"/>
        <v>1</v>
      </c>
      <c r="C319" s="3" t="str">
        <f ca="1">IFERROR(
 INDEX($U$1:$AX$1,
  MATCH(TRUE,
   CHOOSE({1;2;3;4;5;6;7;8;9;10;11;12;13;14;15;16;17;18;19;20;21;22;23;24;25;26;27;28;29;30;31;32},
    COUNTIFS($U$2:$U$200,$G319)&gt;0,
    COUNTIFS($V$2:$V$200,$G319)&gt;0,
    COUNTIFS($W$2:$W$200,$G319)&gt;0,
    COUNTIFS($X$2:$X$200,$G319)&gt;0,
    COUNTIFS($Y$2:$Y$200,$G319)&gt;0,
    COUNTIFS($Z$2:$Z$200,$G319)&gt;0,
    COUNTIFS($AA$2:$AA$200,$G319)&gt;0,
    COUNTIFS($AB$2:$AB$200,$G319)&gt;0,
    COUNTIFS($AC$2:$AC$200,$G319)&gt;0,
    COUNTIFS($AD$2:$AD$200,$G319)&gt;0,
    COUNTIFS($AE$2:$AE$200,$G319)&gt;0,
    COUNTIFS($AF$2:$AF$200,$G319)&gt;0,
    COUNTIFS($AG$2:$AG$200,$G319)&gt;0,
    COUNTIFS($AH$2:$AH$200,$G319)&gt;0,
    COUNTIFS($AI$2:$AI$200,$G319)&gt;0,
    COUNTIFS($AJ$2:$AJ$200,$G319)&gt;0,
    COUNTIFS($AK$2:$AK$200,$G319)&gt;0,
    COUNTIFS($AL$2:$AL$200,$G319)&gt;0,
    COUNTIFS($AM$2:$AM$200,$G319)&gt;0,
    COUNTIFS($AN$2:$AN$200,$G319)&gt;0,
    COUNTIFS($AO$2:$AO$200,$G319)&gt;0,
    COUNTIFS($AP$2:$AP$200,$G319)&gt;0,
    COUNTIFS($AQ$2:$AQ$200,$G319)&gt;0,
    COUNTIFS($AR$2:$AR$200,$G319)&gt;0,
    COUNTIFS($AS$2:$AS$200,$G319)&gt;0,
    COUNTIFS($AT$2:$AT$200,$G319)&gt;0,
    COUNTIFS($AU$2:$AU$200,$G319)&gt;0,
    COUNTIFS($AV$2:$AV$200,$G319)&gt;0,
    COUNTIFS($AW$2:$AW$200,$G319)&gt;0,
    COUNTIFS($AX$2:$AX$200,$G319)&gt;0
   ),
  0)
 ),
"")</f>
        <v>Carlos</v>
      </c>
      <c r="D319" s="3" t="str" cm="1">
        <f t="array" aca="1" ref="D319" ca="1">IFERROR(
 INDEX(
  _xlfn._xlws.FILTER($U$1:$AX$1,
   TRANSPOSE(
    CHOOSE({1;2;3;4;5;6;7;8;9;10;11;12;13;14;15;16;17;18;19;20;21;22;23;24;25;26;27;28;29;30},
     COUNTIFS($U$2:$U$200,$G319)&gt;0,
     COUNTIFS($V$2:$V$200,$G319)&gt;0,
     COUNTIFS($W$2:$W$200,$G319)&gt;0,
     COUNTIFS($X$2:$X$200,$G319)&gt;0,
     COUNTIFS($Y$2:$Y$200,$G319)&gt;0,
     COUNTIFS($Z$2:$Z$200,$G319)&gt;0,
     COUNTIFS($AA$2:$AA$200,$G319)&gt;0,
     COUNTIFS($AB$2:$AB$200,$G319)&gt;0,
     COUNTIFS($AC$2:$AC$200,$G319)&gt;0,
     COUNTIFS($AD$2:$AD$200,$G319)&gt;0,
     COUNTIFS($AE$2:$AE$200,$G319)&gt;0,
     COUNTIFS($AF$2:$AF$200,$G319)&gt;0,
     COUNTIFS($AG$2:$AG$200,$G319)&gt;0,
     COUNTIFS($AH$2:$AH$200,$G319)&gt;0,
     COUNTIFS($AI$2:$AI$200,$G319)&gt;0,
     COUNTIFS($AJ$2:$AJ$200,$G319)&gt;0,
     COUNTIFS($AK$2:$AK$200,$G319)&gt;0,
     COUNTIFS($AL$2:$AL$200,$G319)&gt;0,
     COUNTIFS($AM$2:$AM$200,$G319)&gt;0,
     COUNTIFS($AN$2:$AN$200,$G319)&gt;0,
     COUNTIFS($AO$2:$AO$200,$G319)&gt;0,
     COUNTIFS($AP$2:$AP$200,$G319)&gt;0,
     COUNTIFS($AQ$2:$AQ$200,$G319)&gt;0,
     COUNTIFS($AR$2:$AR$200,$G319)&gt;0,
     COUNTIFS($AS$2:$AS$200,$G319)&gt;0,
     COUNTIFS($AT$2:$AT$200,$G319)&gt;0,
     COUNTIFS($AU$2:$AU$200,$G319)&gt;0,
     COUNTIFS($AV$2:$AV$200,$G319)&gt;0,
     COUNTIFS($AW$2:$AW$200,$G319)&gt;0,
     COUNTIFS($AX$2:$AX$200,$G319)&gt;0
   )),
  ),
  2
 ),
"")</f>
        <v/>
      </c>
      <c r="E319" s="3" t="str" cm="1">
        <f t="array" aca="1" ref="E319" ca="1">IFERROR(
 INDEX(
  _xlfn._xlws.FILTER($U$1:$AX$1,
   TRANSPOSE(
    CHOOSE({1;2;3;4;5;6;7;8;9;10;11;12;13;14;15;16;17;18;19;20;21;22;23;24;25;26;27;28;29;30},
     COUNTIFS($U$2:$U$200,$G319)&gt;0,
     COUNTIFS($V$2:$V$200,$G319)&gt;0,
     COUNTIFS($W$2:$W$200,$G319)&gt;0,
     COUNTIFS($X$2:$X$200,$G319)&gt;0,
     COUNTIFS($Y$2:$Y$200,$G319)&gt;0,
     COUNTIFS($Z$2:$Z$200,$G319)&gt;0,
     COUNTIFS($AA$2:$AA$200,$G319)&gt;0,
     COUNTIFS($AB$2:$AB$200,$G319)&gt;0,
     COUNTIFS($AC$2:$AC$200,$G319)&gt;0,
     COUNTIFS($AD$2:$AD$200,$G319)&gt;0,
     COUNTIFS($AE$2:$AE$200,$G319)&gt;0,
     COUNTIFS($AF$2:$AF$200,$G319)&gt;0,
     COUNTIFS($AG$2:$AG$200,$G319)&gt;0,
     COUNTIFS($AH$2:$AH$200,$G319)&gt;0,
     COUNTIFS($AI$2:$AI$200,$G319)&gt;0,
     COUNTIFS($AJ$2:$AJ$200,$G319)&gt;0,
     COUNTIFS($AK$2:$AK$200,$G319)&gt;0,
     COUNTIFS($AL$2:$AL$200,$G319)&gt;0,
     COUNTIFS($AM$2:$AM$200,$G319)&gt;0,
     COUNTIFS($AN$2:$AN$200,$G319)&gt;0,
     COUNTIFS($AO$2:$AO$200,$G319)&gt;0,
     COUNTIFS($AP$2:$AP$200,$G319)&gt;0,
     COUNTIFS($AQ$2:$AQ$200,$G319)&gt;0,
     COUNTIFS($AR$2:$AR$200,$G319)&gt;0,
     COUNTIFS($AS$2:$AS$200,$G319)&gt;0,
     COUNTIFS($AT$2:$AT$200,$G319)&gt;0,
     COUNTIFS($AU$2:$AU$200,$G319)&gt;0,
     COUNTIFS($AV$2:$AV$200,$G319)&gt;0,
     COUNTIFS($AW$2:$AW$200,$G319)&gt;0,
     COUNTIFS($AX$2:$AX$200,$G319)&gt;0
   )),
  ),
  3
 ),
"")</f>
        <v/>
      </c>
      <c r="F319" s="3" t="str" cm="1">
        <f t="array" aca="1" ref="F319" ca="1">IFERROR(
 INDEX(
  _xlfn._xlws.FILTER($U$1:$AX$1,
   TRANSPOSE(
    CHOOSE({1;2;3;4;5;6;7;8;9;10;11;12;13;14;15;16;17;18;19;20;21;22;23;24;25;26;27;28;29;30},
     COUNTIFS($U$2:$U$200,$G319)&gt;0,
     COUNTIFS($V$2:$V$200,$G319)&gt;0,
     COUNTIFS($W$2:$W$200,$G319)&gt;0,
     COUNTIFS($X$2:$X$200,$G319)&gt;0,
     COUNTIFS($Y$2:$Y$200,$G319)&gt;0,
     COUNTIFS($Z$2:$Z$200,$G319)&gt;0,
     COUNTIFS($AA$2:$AA$200,$G319)&gt;0,
     COUNTIFS($AB$2:$AB$200,$G319)&gt;0,
     COUNTIFS($AC$2:$AC$200,$G319)&gt;0,
     COUNTIFS($AD$2:$AD$200,$G319)&gt;0,
     COUNTIFS($AE$2:$AE$200,$G319)&gt;0,
     COUNTIFS($AF$2:$AF$200,$G319)&gt;0,
     COUNTIFS($AG$2:$AG$200,$G319)&gt;0,
     COUNTIFS($AH$2:$AH$200,$G319)&gt;0,
     COUNTIFS($AI$2:$AI$200,$G319)&gt;0,
     COUNTIFS($AJ$2:$AJ$200,$G319)&gt;0,
     COUNTIFS($AK$2:$AK$200,$G319)&gt;0,
     COUNTIFS($AL$2:$AL$200,$G319)&gt;0,
     COUNTIFS($AM$2:$AM$200,$G319)&gt;0,
     COUNTIFS($AN$2:$AN$200,$G319)&gt;0,
     COUNTIFS($AO$2:$AO$200,$G319)&gt;0,
     COUNTIFS($AP$2:$AP$200,$G319)&gt;0,
     COUNTIFS($AQ$2:$AQ$200,$G319)&gt;0,
     COUNTIFS($AR$2:$AR$200,$G319)&gt;0,
     COUNTIFS($AS$2:$AS$200,$G319)&gt;0,
     COUNTIFS($AT$2:$AT$200,$G319)&gt;0,
     COUNTIFS($AU$2:$AU$200,$G319)&gt;0,
     COUNTIFS($AV$2:$AV$200,$G319)&gt;0,
     COUNTIFS($AW$2:$AW$200,$G319)&gt;0,
     COUNTIFS($AX$2:$AX$200,$G319)&gt;0
   )),
  ),
  4
 ),
"")</f>
        <v/>
      </c>
      <c r="G319" t="str">
        <f ca="1"/>
        <v>Unholy Annex // Ritual Chamber</v>
      </c>
      <c r="CJ319" t="str">
        <f ca="1"/>
        <v>Unholy Annex // Ritual Chamber</v>
      </c>
    </row>
    <row r="320" spans="1:88" x14ac:dyDescent="0.25">
      <c r="A320" s="3" t="str">
        <f t="shared" ca="1" si="10"/>
        <v>4</v>
      </c>
      <c r="B320" s="3">
        <f t="shared" ca="1" si="11"/>
        <v>1</v>
      </c>
      <c r="C320" s="3" t="str">
        <f ca="1">IFERROR(
 INDEX($U$1:$AX$1,
  MATCH(TRUE,
   CHOOSE({1;2;3;4;5;6;7;8;9;10;11;12;13;14;15;16;17;18;19;20;21;22;23;24;25;26;27;28;29;30;31;32},
    COUNTIFS($U$2:$U$200,$G320)&gt;0,
    COUNTIFS($V$2:$V$200,$G320)&gt;0,
    COUNTIFS($W$2:$W$200,$G320)&gt;0,
    COUNTIFS($X$2:$X$200,$G320)&gt;0,
    COUNTIFS($Y$2:$Y$200,$G320)&gt;0,
    COUNTIFS($Z$2:$Z$200,$G320)&gt;0,
    COUNTIFS($AA$2:$AA$200,$G320)&gt;0,
    COUNTIFS($AB$2:$AB$200,$G320)&gt;0,
    COUNTIFS($AC$2:$AC$200,$G320)&gt;0,
    COUNTIFS($AD$2:$AD$200,$G320)&gt;0,
    COUNTIFS($AE$2:$AE$200,$G320)&gt;0,
    COUNTIFS($AF$2:$AF$200,$G320)&gt;0,
    COUNTIFS($AG$2:$AG$200,$G320)&gt;0,
    COUNTIFS($AH$2:$AH$200,$G320)&gt;0,
    COUNTIFS($AI$2:$AI$200,$G320)&gt;0,
    COUNTIFS($AJ$2:$AJ$200,$G320)&gt;0,
    COUNTIFS($AK$2:$AK$200,$G320)&gt;0,
    COUNTIFS($AL$2:$AL$200,$G320)&gt;0,
    COUNTIFS($AM$2:$AM$200,$G320)&gt;0,
    COUNTIFS($AN$2:$AN$200,$G320)&gt;0,
    COUNTIFS($AO$2:$AO$200,$G320)&gt;0,
    COUNTIFS($AP$2:$AP$200,$G320)&gt;0,
    COUNTIFS($AQ$2:$AQ$200,$G320)&gt;0,
    COUNTIFS($AR$2:$AR$200,$G320)&gt;0,
    COUNTIFS($AS$2:$AS$200,$G320)&gt;0,
    COUNTIFS($AT$2:$AT$200,$G320)&gt;0,
    COUNTIFS($AU$2:$AU$200,$G320)&gt;0,
    COUNTIFS($AV$2:$AV$200,$G320)&gt;0,
    COUNTIFS($AW$2:$AW$200,$G320)&gt;0,
    COUNTIFS($AX$2:$AX$200,$G320)&gt;0
   ),
  0)
 ),
"")</f>
        <v>Oona</v>
      </c>
      <c r="D320" s="3" t="str" cm="1">
        <f t="array" aca="1" ref="D320" ca="1">IFERROR(
 INDEX(
  _xlfn._xlws.FILTER($U$1:$AX$1,
   TRANSPOSE(
    CHOOSE({1;2;3;4;5;6;7;8;9;10;11;12;13;14;15;16;17;18;19;20;21;22;23;24;25;26;27;28;29;30},
     COUNTIFS($U$2:$U$200,$G320)&gt;0,
     COUNTIFS($V$2:$V$200,$G320)&gt;0,
     COUNTIFS($W$2:$W$200,$G320)&gt;0,
     COUNTIFS($X$2:$X$200,$G320)&gt;0,
     COUNTIFS($Y$2:$Y$200,$G320)&gt;0,
     COUNTIFS($Z$2:$Z$200,$G320)&gt;0,
     COUNTIFS($AA$2:$AA$200,$G320)&gt;0,
     COUNTIFS($AB$2:$AB$200,$G320)&gt;0,
     COUNTIFS($AC$2:$AC$200,$G320)&gt;0,
     COUNTIFS($AD$2:$AD$200,$G320)&gt;0,
     COUNTIFS($AE$2:$AE$200,$G320)&gt;0,
     COUNTIFS($AF$2:$AF$200,$G320)&gt;0,
     COUNTIFS($AG$2:$AG$200,$G320)&gt;0,
     COUNTIFS($AH$2:$AH$200,$G320)&gt;0,
     COUNTIFS($AI$2:$AI$200,$G320)&gt;0,
     COUNTIFS($AJ$2:$AJ$200,$G320)&gt;0,
     COUNTIFS($AK$2:$AK$200,$G320)&gt;0,
     COUNTIFS($AL$2:$AL$200,$G320)&gt;0,
     COUNTIFS($AM$2:$AM$200,$G320)&gt;0,
     COUNTIFS($AN$2:$AN$200,$G320)&gt;0,
     COUNTIFS($AO$2:$AO$200,$G320)&gt;0,
     COUNTIFS($AP$2:$AP$200,$G320)&gt;0,
     COUNTIFS($AQ$2:$AQ$200,$G320)&gt;0,
     COUNTIFS($AR$2:$AR$200,$G320)&gt;0,
     COUNTIFS($AS$2:$AS$200,$G320)&gt;0,
     COUNTIFS($AT$2:$AT$200,$G320)&gt;0,
     COUNTIFS($AU$2:$AU$200,$G320)&gt;0,
     COUNTIFS($AV$2:$AV$200,$G320)&gt;0,
     COUNTIFS($AW$2:$AW$200,$G320)&gt;0,
     COUNTIFS($AX$2:$AX$200,$G320)&gt;0
   )),
  ),
  2
 ),
"")</f>
        <v/>
      </c>
      <c r="E320" s="3" t="str" cm="1">
        <f t="array" aca="1" ref="E320" ca="1">IFERROR(
 INDEX(
  _xlfn._xlws.FILTER($U$1:$AX$1,
   TRANSPOSE(
    CHOOSE({1;2;3;4;5;6;7;8;9;10;11;12;13;14;15;16;17;18;19;20;21;22;23;24;25;26;27;28;29;30},
     COUNTIFS($U$2:$U$200,$G320)&gt;0,
     COUNTIFS($V$2:$V$200,$G320)&gt;0,
     COUNTIFS($W$2:$W$200,$G320)&gt;0,
     COUNTIFS($X$2:$X$200,$G320)&gt;0,
     COUNTIFS($Y$2:$Y$200,$G320)&gt;0,
     COUNTIFS($Z$2:$Z$200,$G320)&gt;0,
     COUNTIFS($AA$2:$AA$200,$G320)&gt;0,
     COUNTIFS($AB$2:$AB$200,$G320)&gt;0,
     COUNTIFS($AC$2:$AC$200,$G320)&gt;0,
     COUNTIFS($AD$2:$AD$200,$G320)&gt;0,
     COUNTIFS($AE$2:$AE$200,$G320)&gt;0,
     COUNTIFS($AF$2:$AF$200,$G320)&gt;0,
     COUNTIFS($AG$2:$AG$200,$G320)&gt;0,
     COUNTIFS($AH$2:$AH$200,$G320)&gt;0,
     COUNTIFS($AI$2:$AI$200,$G320)&gt;0,
     COUNTIFS($AJ$2:$AJ$200,$G320)&gt;0,
     COUNTIFS($AK$2:$AK$200,$G320)&gt;0,
     COUNTIFS($AL$2:$AL$200,$G320)&gt;0,
     COUNTIFS($AM$2:$AM$200,$G320)&gt;0,
     COUNTIFS($AN$2:$AN$200,$G320)&gt;0,
     COUNTIFS($AO$2:$AO$200,$G320)&gt;0,
     COUNTIFS($AP$2:$AP$200,$G320)&gt;0,
     COUNTIFS($AQ$2:$AQ$200,$G320)&gt;0,
     COUNTIFS($AR$2:$AR$200,$G320)&gt;0,
     COUNTIFS($AS$2:$AS$200,$G320)&gt;0,
     COUNTIFS($AT$2:$AT$200,$G320)&gt;0,
     COUNTIFS($AU$2:$AU$200,$G320)&gt;0,
     COUNTIFS($AV$2:$AV$200,$G320)&gt;0,
     COUNTIFS($AW$2:$AW$200,$G320)&gt;0,
     COUNTIFS($AX$2:$AX$200,$G320)&gt;0
   )),
  ),
  3
 ),
"")</f>
        <v/>
      </c>
      <c r="F320" s="3" t="str" cm="1">
        <f t="array" aca="1" ref="F320" ca="1">IFERROR(
 INDEX(
  _xlfn._xlws.FILTER($U$1:$AX$1,
   TRANSPOSE(
    CHOOSE({1;2;3;4;5;6;7;8;9;10;11;12;13;14;15;16;17;18;19;20;21;22;23;24;25;26;27;28;29;30},
     COUNTIFS($U$2:$U$200,$G320)&gt;0,
     COUNTIFS($V$2:$V$200,$G320)&gt;0,
     COUNTIFS($W$2:$W$200,$G320)&gt;0,
     COUNTIFS($X$2:$X$200,$G320)&gt;0,
     COUNTIFS($Y$2:$Y$200,$G320)&gt;0,
     COUNTIFS($Z$2:$Z$200,$G320)&gt;0,
     COUNTIFS($AA$2:$AA$200,$G320)&gt;0,
     COUNTIFS($AB$2:$AB$200,$G320)&gt;0,
     COUNTIFS($AC$2:$AC$200,$G320)&gt;0,
     COUNTIFS($AD$2:$AD$200,$G320)&gt;0,
     COUNTIFS($AE$2:$AE$200,$G320)&gt;0,
     COUNTIFS($AF$2:$AF$200,$G320)&gt;0,
     COUNTIFS($AG$2:$AG$200,$G320)&gt;0,
     COUNTIFS($AH$2:$AH$200,$G320)&gt;0,
     COUNTIFS($AI$2:$AI$200,$G320)&gt;0,
     COUNTIFS($AJ$2:$AJ$200,$G320)&gt;0,
     COUNTIFS($AK$2:$AK$200,$G320)&gt;0,
     COUNTIFS($AL$2:$AL$200,$G320)&gt;0,
     COUNTIFS($AM$2:$AM$200,$G320)&gt;0,
     COUNTIFS($AN$2:$AN$200,$G320)&gt;0,
     COUNTIFS($AO$2:$AO$200,$G320)&gt;0,
     COUNTIFS($AP$2:$AP$200,$G320)&gt;0,
     COUNTIFS($AQ$2:$AQ$200,$G320)&gt;0,
     COUNTIFS($AR$2:$AR$200,$G320)&gt;0,
     COUNTIFS($AS$2:$AS$200,$G320)&gt;0,
     COUNTIFS($AT$2:$AT$200,$G320)&gt;0,
     COUNTIFS($AU$2:$AU$200,$G320)&gt;0,
     COUNTIFS($AV$2:$AV$200,$G320)&gt;0,
     COUNTIFS($AW$2:$AW$200,$G320)&gt;0,
     COUNTIFS($AX$2:$AX$200,$G320)&gt;0
   )),
  ),
  4
 ),
"")</f>
        <v/>
      </c>
      <c r="G320" t="str">
        <f ca="1"/>
        <v>Unstoppable Plan</v>
      </c>
      <c r="CJ320" t="str">
        <f ca="1"/>
        <v>Unstoppable Plan</v>
      </c>
    </row>
    <row r="321" spans="1:88" x14ac:dyDescent="0.25">
      <c r="A321" s="3" t="str">
        <f t="shared" ca="1" si="10"/>
        <v>5</v>
      </c>
      <c r="B321" s="3">
        <f t="shared" ca="1" si="11"/>
        <v>1</v>
      </c>
      <c r="C321" s="3" t="str">
        <f ca="1">IFERROR(
 INDEX($U$1:$AX$1,
  MATCH(TRUE,
   CHOOSE({1;2;3;4;5;6;7;8;9;10;11;12;13;14;15;16;17;18;19;20;21;22;23;24;25;26;27;28;29;30;31;32},
    COUNTIFS($U$2:$U$200,$G321)&gt;0,
    COUNTIFS($V$2:$V$200,$G321)&gt;0,
    COUNTIFS($W$2:$W$200,$G321)&gt;0,
    COUNTIFS($X$2:$X$200,$G321)&gt;0,
    COUNTIFS($Y$2:$Y$200,$G321)&gt;0,
    COUNTIFS($Z$2:$Z$200,$G321)&gt;0,
    COUNTIFS($AA$2:$AA$200,$G321)&gt;0,
    COUNTIFS($AB$2:$AB$200,$G321)&gt;0,
    COUNTIFS($AC$2:$AC$200,$G321)&gt;0,
    COUNTIFS($AD$2:$AD$200,$G321)&gt;0,
    COUNTIFS($AE$2:$AE$200,$G321)&gt;0,
    COUNTIFS($AF$2:$AF$200,$G321)&gt;0,
    COUNTIFS($AG$2:$AG$200,$G321)&gt;0,
    COUNTIFS($AH$2:$AH$200,$G321)&gt;0,
    COUNTIFS($AI$2:$AI$200,$G321)&gt;0,
    COUNTIFS($AJ$2:$AJ$200,$G321)&gt;0,
    COUNTIFS($AK$2:$AK$200,$G321)&gt;0,
    COUNTIFS($AL$2:$AL$200,$G321)&gt;0,
    COUNTIFS($AM$2:$AM$200,$G321)&gt;0,
    COUNTIFS($AN$2:$AN$200,$G321)&gt;0,
    COUNTIFS($AO$2:$AO$200,$G321)&gt;0,
    COUNTIFS($AP$2:$AP$200,$G321)&gt;0,
    COUNTIFS($AQ$2:$AQ$200,$G321)&gt;0,
    COUNTIFS($AR$2:$AR$200,$G321)&gt;0,
    COUNTIFS($AS$2:$AS$200,$G321)&gt;0,
    COUNTIFS($AT$2:$AT$200,$G321)&gt;0,
    COUNTIFS($AU$2:$AU$200,$G321)&gt;0,
    COUNTIFS($AV$2:$AV$200,$G321)&gt;0,
    COUNTIFS($AW$2:$AW$200,$G321)&gt;0,
    COUNTIFS($AX$2:$AX$200,$G321)&gt;0
   ),
  0)
 ),
"")</f>
        <v>Thrakiri</v>
      </c>
      <c r="D321" s="3" t="str" cm="1">
        <f t="array" aca="1" ref="D321" ca="1">IFERROR(
 INDEX(
  _xlfn._xlws.FILTER($U$1:$AX$1,
   TRANSPOSE(
    CHOOSE({1;2;3;4;5;6;7;8;9;10;11;12;13;14;15;16;17;18;19;20;21;22;23;24;25;26;27;28;29;30},
     COUNTIFS($U$2:$U$200,$G321)&gt;0,
     COUNTIFS($V$2:$V$200,$G321)&gt;0,
     COUNTIFS($W$2:$W$200,$G321)&gt;0,
     COUNTIFS($X$2:$X$200,$G321)&gt;0,
     COUNTIFS($Y$2:$Y$200,$G321)&gt;0,
     COUNTIFS($Z$2:$Z$200,$G321)&gt;0,
     COUNTIFS($AA$2:$AA$200,$G321)&gt;0,
     COUNTIFS($AB$2:$AB$200,$G321)&gt;0,
     COUNTIFS($AC$2:$AC$200,$G321)&gt;0,
     COUNTIFS($AD$2:$AD$200,$G321)&gt;0,
     COUNTIFS($AE$2:$AE$200,$G321)&gt;0,
     COUNTIFS($AF$2:$AF$200,$G321)&gt;0,
     COUNTIFS($AG$2:$AG$200,$G321)&gt;0,
     COUNTIFS($AH$2:$AH$200,$G321)&gt;0,
     COUNTIFS($AI$2:$AI$200,$G321)&gt;0,
     COUNTIFS($AJ$2:$AJ$200,$G321)&gt;0,
     COUNTIFS($AK$2:$AK$200,$G321)&gt;0,
     COUNTIFS($AL$2:$AL$200,$G321)&gt;0,
     COUNTIFS($AM$2:$AM$200,$G321)&gt;0,
     COUNTIFS($AN$2:$AN$200,$G321)&gt;0,
     COUNTIFS($AO$2:$AO$200,$G321)&gt;0,
     COUNTIFS($AP$2:$AP$200,$G321)&gt;0,
     COUNTIFS($AQ$2:$AQ$200,$G321)&gt;0,
     COUNTIFS($AR$2:$AR$200,$G321)&gt;0,
     COUNTIFS($AS$2:$AS$200,$G321)&gt;0,
     COUNTIFS($AT$2:$AT$200,$G321)&gt;0,
     COUNTIFS($AU$2:$AU$200,$G321)&gt;0,
     COUNTIFS($AV$2:$AV$200,$G321)&gt;0,
     COUNTIFS($AW$2:$AW$200,$G321)&gt;0,
     COUNTIFS($AX$2:$AX$200,$G321)&gt;0
   )),
  ),
  2
 ),
"")</f>
        <v/>
      </c>
      <c r="E321" s="3" t="str" cm="1">
        <f t="array" aca="1" ref="E321" ca="1">IFERROR(
 INDEX(
  _xlfn._xlws.FILTER($U$1:$AX$1,
   TRANSPOSE(
    CHOOSE({1;2;3;4;5;6;7;8;9;10;11;12;13;14;15;16;17;18;19;20;21;22;23;24;25;26;27;28;29;30},
     COUNTIFS($U$2:$U$200,$G321)&gt;0,
     COUNTIFS($V$2:$V$200,$G321)&gt;0,
     COUNTIFS($W$2:$W$200,$G321)&gt;0,
     COUNTIFS($X$2:$X$200,$G321)&gt;0,
     COUNTIFS($Y$2:$Y$200,$G321)&gt;0,
     COUNTIFS($Z$2:$Z$200,$G321)&gt;0,
     COUNTIFS($AA$2:$AA$200,$G321)&gt;0,
     COUNTIFS($AB$2:$AB$200,$G321)&gt;0,
     COUNTIFS($AC$2:$AC$200,$G321)&gt;0,
     COUNTIFS($AD$2:$AD$200,$G321)&gt;0,
     COUNTIFS($AE$2:$AE$200,$G321)&gt;0,
     COUNTIFS($AF$2:$AF$200,$G321)&gt;0,
     COUNTIFS($AG$2:$AG$200,$G321)&gt;0,
     COUNTIFS($AH$2:$AH$200,$G321)&gt;0,
     COUNTIFS($AI$2:$AI$200,$G321)&gt;0,
     COUNTIFS($AJ$2:$AJ$200,$G321)&gt;0,
     COUNTIFS($AK$2:$AK$200,$G321)&gt;0,
     COUNTIFS($AL$2:$AL$200,$G321)&gt;0,
     COUNTIFS($AM$2:$AM$200,$G321)&gt;0,
     COUNTIFS($AN$2:$AN$200,$G321)&gt;0,
     COUNTIFS($AO$2:$AO$200,$G321)&gt;0,
     COUNTIFS($AP$2:$AP$200,$G321)&gt;0,
     COUNTIFS($AQ$2:$AQ$200,$G321)&gt;0,
     COUNTIFS($AR$2:$AR$200,$G321)&gt;0,
     COUNTIFS($AS$2:$AS$200,$G321)&gt;0,
     COUNTIFS($AT$2:$AT$200,$G321)&gt;0,
     COUNTIFS($AU$2:$AU$200,$G321)&gt;0,
     COUNTIFS($AV$2:$AV$200,$G321)&gt;0,
     COUNTIFS($AW$2:$AW$200,$G321)&gt;0,
     COUNTIFS($AX$2:$AX$200,$G321)&gt;0
   )),
  ),
  3
 ),
"")</f>
        <v/>
      </c>
      <c r="F321" s="3" t="str" cm="1">
        <f t="array" aca="1" ref="F321" ca="1">IFERROR(
 INDEX(
  _xlfn._xlws.FILTER($U$1:$AX$1,
   TRANSPOSE(
    CHOOSE({1;2;3;4;5;6;7;8;9;10;11;12;13;14;15;16;17;18;19;20;21;22;23;24;25;26;27;28;29;30},
     COUNTIFS($U$2:$U$200,$G321)&gt;0,
     COUNTIFS($V$2:$V$200,$G321)&gt;0,
     COUNTIFS($W$2:$W$200,$G321)&gt;0,
     COUNTIFS($X$2:$X$200,$G321)&gt;0,
     COUNTIFS($Y$2:$Y$200,$G321)&gt;0,
     COUNTIFS($Z$2:$Z$200,$G321)&gt;0,
     COUNTIFS($AA$2:$AA$200,$G321)&gt;0,
     COUNTIFS($AB$2:$AB$200,$G321)&gt;0,
     COUNTIFS($AC$2:$AC$200,$G321)&gt;0,
     COUNTIFS($AD$2:$AD$200,$G321)&gt;0,
     COUNTIFS($AE$2:$AE$200,$G321)&gt;0,
     COUNTIFS($AF$2:$AF$200,$G321)&gt;0,
     COUNTIFS($AG$2:$AG$200,$G321)&gt;0,
     COUNTIFS($AH$2:$AH$200,$G321)&gt;0,
     COUNTIFS($AI$2:$AI$200,$G321)&gt;0,
     COUNTIFS($AJ$2:$AJ$200,$G321)&gt;0,
     COUNTIFS($AK$2:$AK$200,$G321)&gt;0,
     COUNTIFS($AL$2:$AL$200,$G321)&gt;0,
     COUNTIFS($AM$2:$AM$200,$G321)&gt;0,
     COUNTIFS($AN$2:$AN$200,$G321)&gt;0,
     COUNTIFS($AO$2:$AO$200,$G321)&gt;0,
     COUNTIFS($AP$2:$AP$200,$G321)&gt;0,
     COUNTIFS($AQ$2:$AQ$200,$G321)&gt;0,
     COUNTIFS($AR$2:$AR$200,$G321)&gt;0,
     COUNTIFS($AS$2:$AS$200,$G321)&gt;0,
     COUNTIFS($AT$2:$AT$200,$G321)&gt;0,
     COUNTIFS($AU$2:$AU$200,$G321)&gt;0,
     COUNTIFS($AV$2:$AV$200,$G321)&gt;0,
     COUNTIFS($AW$2:$AW$200,$G321)&gt;0,
     COUNTIFS($AX$2:$AX$200,$G321)&gt;0
   )),
  ),
  4
 ),
"")</f>
        <v/>
      </c>
      <c r="G321" t="str">
        <f ca="1"/>
        <v>Uthros, Titanic Godcore</v>
      </c>
      <c r="CJ321" t="str">
        <f ca="1"/>
        <v>Uthros, Titanic Godcore</v>
      </c>
    </row>
    <row r="322" spans="1:88" x14ac:dyDescent="0.25">
      <c r="A322" s="3" t="str">
        <f t="shared" ca="1" si="10"/>
        <v>3</v>
      </c>
      <c r="B322" s="3">
        <f t="shared" ca="1" si="11"/>
        <v>3</v>
      </c>
      <c r="C322" s="3" t="str">
        <f ca="1">IFERROR(
 INDEX($U$1:$AX$1,
  MATCH(TRUE,
   CHOOSE({1;2;3;4;5;6;7;8;9;10;11;12;13;14;15;16;17;18;19;20;21;22;23;24;25;26;27;28;29;30;31;32},
    COUNTIFS($U$2:$U$200,$G322)&gt;0,
    COUNTIFS($V$2:$V$200,$G322)&gt;0,
    COUNTIFS($W$2:$W$200,$G322)&gt;0,
    COUNTIFS($X$2:$X$200,$G322)&gt;0,
    COUNTIFS($Y$2:$Y$200,$G322)&gt;0,
    COUNTIFS($Z$2:$Z$200,$G322)&gt;0,
    COUNTIFS($AA$2:$AA$200,$G322)&gt;0,
    COUNTIFS($AB$2:$AB$200,$G322)&gt;0,
    COUNTIFS($AC$2:$AC$200,$G322)&gt;0,
    COUNTIFS($AD$2:$AD$200,$G322)&gt;0,
    COUNTIFS($AE$2:$AE$200,$G322)&gt;0,
    COUNTIFS($AF$2:$AF$200,$G322)&gt;0,
    COUNTIFS($AG$2:$AG$200,$G322)&gt;0,
    COUNTIFS($AH$2:$AH$200,$G322)&gt;0,
    COUNTIFS($AI$2:$AI$200,$G322)&gt;0,
    COUNTIFS($AJ$2:$AJ$200,$G322)&gt;0,
    COUNTIFS($AK$2:$AK$200,$G322)&gt;0,
    COUNTIFS($AL$2:$AL$200,$G322)&gt;0,
    COUNTIFS($AM$2:$AM$200,$G322)&gt;0,
    COUNTIFS($AN$2:$AN$200,$G322)&gt;0,
    COUNTIFS($AO$2:$AO$200,$G322)&gt;0,
    COUNTIFS($AP$2:$AP$200,$G322)&gt;0,
    COUNTIFS($AQ$2:$AQ$200,$G322)&gt;0,
    COUNTIFS($AR$2:$AR$200,$G322)&gt;0,
    COUNTIFS($AS$2:$AS$200,$G322)&gt;0,
    COUNTIFS($AT$2:$AT$200,$G322)&gt;0,
    COUNTIFS($AU$2:$AU$200,$G322)&gt;0,
    COUNTIFS($AV$2:$AV$200,$G322)&gt;0,
    COUNTIFS($AW$2:$AW$200,$G322)&gt;0,
    COUNTIFS($AX$2:$AX$200,$G322)&gt;0
   ),
  0)
 ),
"")</f>
        <v>JhoiraB</v>
      </c>
      <c r="D322" s="3" t="str" cm="1">
        <f t="array" aca="1" ref="D322" ca="1">IFERROR(
 INDEX(
  _xlfn._xlws.FILTER($U$1:$AX$1,
   TRANSPOSE(
    CHOOSE({1;2;3;4;5;6;7;8;9;10;11;12;13;14;15;16;17;18;19;20;21;22;23;24;25;26;27;28;29;30},
     COUNTIFS($U$2:$U$200,$G322)&gt;0,
     COUNTIFS($V$2:$V$200,$G322)&gt;0,
     COUNTIFS($W$2:$W$200,$G322)&gt;0,
     COUNTIFS($X$2:$X$200,$G322)&gt;0,
     COUNTIFS($Y$2:$Y$200,$G322)&gt;0,
     COUNTIFS($Z$2:$Z$200,$G322)&gt;0,
     COUNTIFS($AA$2:$AA$200,$G322)&gt;0,
     COUNTIFS($AB$2:$AB$200,$G322)&gt;0,
     COUNTIFS($AC$2:$AC$200,$G322)&gt;0,
     COUNTIFS($AD$2:$AD$200,$G322)&gt;0,
     COUNTIFS($AE$2:$AE$200,$G322)&gt;0,
     COUNTIFS($AF$2:$AF$200,$G322)&gt;0,
     COUNTIFS($AG$2:$AG$200,$G322)&gt;0,
     COUNTIFS($AH$2:$AH$200,$G322)&gt;0,
     COUNTIFS($AI$2:$AI$200,$G322)&gt;0,
     COUNTIFS($AJ$2:$AJ$200,$G322)&gt;0,
     COUNTIFS($AK$2:$AK$200,$G322)&gt;0,
     COUNTIFS($AL$2:$AL$200,$G322)&gt;0,
     COUNTIFS($AM$2:$AM$200,$G322)&gt;0,
     COUNTIFS($AN$2:$AN$200,$G322)&gt;0,
     COUNTIFS($AO$2:$AO$200,$G322)&gt;0,
     COUNTIFS($AP$2:$AP$200,$G322)&gt;0,
     COUNTIFS($AQ$2:$AQ$200,$G322)&gt;0,
     COUNTIFS($AR$2:$AR$200,$G322)&gt;0,
     COUNTIFS($AS$2:$AS$200,$G322)&gt;0,
     COUNTIFS($AT$2:$AT$200,$G322)&gt;0,
     COUNTIFS($AU$2:$AU$200,$G322)&gt;0,
     COUNTIFS($AV$2:$AV$200,$G322)&gt;0,
     COUNTIFS($AW$2:$AW$200,$G322)&gt;0,
     COUNTIFS($AX$2:$AX$200,$G322)&gt;0
   )),
  ),
  2
 ),
"")</f>
        <v>Yuriko</v>
      </c>
      <c r="E322" s="3" t="str" cm="1">
        <f t="array" aca="1" ref="E322" ca="1">IFERROR(
 INDEX(
  _xlfn._xlws.FILTER($U$1:$AX$1,
   TRANSPOSE(
    CHOOSE({1;2;3;4;5;6;7;8;9;10;11;12;13;14;15;16;17;18;19;20;21;22;23;24;25;26;27;28;29;30},
     COUNTIFS($U$2:$U$200,$G322)&gt;0,
     COUNTIFS($V$2:$V$200,$G322)&gt;0,
     COUNTIFS($W$2:$W$200,$G322)&gt;0,
     COUNTIFS($X$2:$X$200,$G322)&gt;0,
     COUNTIFS($Y$2:$Y$200,$G322)&gt;0,
     COUNTIFS($Z$2:$Z$200,$G322)&gt;0,
     COUNTIFS($AA$2:$AA$200,$G322)&gt;0,
     COUNTIFS($AB$2:$AB$200,$G322)&gt;0,
     COUNTIFS($AC$2:$AC$200,$G322)&gt;0,
     COUNTIFS($AD$2:$AD$200,$G322)&gt;0,
     COUNTIFS($AE$2:$AE$200,$G322)&gt;0,
     COUNTIFS($AF$2:$AF$200,$G322)&gt;0,
     COUNTIFS($AG$2:$AG$200,$G322)&gt;0,
     COUNTIFS($AH$2:$AH$200,$G322)&gt;0,
     COUNTIFS($AI$2:$AI$200,$G322)&gt;0,
     COUNTIFS($AJ$2:$AJ$200,$G322)&gt;0,
     COUNTIFS($AK$2:$AK$200,$G322)&gt;0,
     COUNTIFS($AL$2:$AL$200,$G322)&gt;0,
     COUNTIFS($AM$2:$AM$200,$G322)&gt;0,
     COUNTIFS($AN$2:$AN$200,$G322)&gt;0,
     COUNTIFS($AO$2:$AO$200,$G322)&gt;0,
     COUNTIFS($AP$2:$AP$200,$G322)&gt;0,
     COUNTIFS($AQ$2:$AQ$200,$G322)&gt;0,
     COUNTIFS($AR$2:$AR$200,$G322)&gt;0,
     COUNTIFS($AS$2:$AS$200,$G322)&gt;0,
     COUNTIFS($AT$2:$AT$200,$G322)&gt;0,
     COUNTIFS($AU$2:$AU$200,$G322)&gt;0,
     COUNTIFS($AV$2:$AV$200,$G322)&gt;0,
     COUNTIFS($AW$2:$AW$200,$G322)&gt;0,
     COUNTIFS($AX$2:$AX$200,$G322)&gt;0
   )),
  ),
  3
 ),
"")</f>
        <v>Jhoira</v>
      </c>
      <c r="F322" s="3" t="str" cm="1">
        <f t="array" aca="1" ref="F322" ca="1">IFERROR(
 INDEX(
  _xlfn._xlws.FILTER($U$1:$AX$1,
   TRANSPOSE(
    CHOOSE({1;2;3;4;5;6;7;8;9;10;11;12;13;14;15;16;17;18;19;20;21;22;23;24;25;26;27;28;29;30},
     COUNTIFS($U$2:$U$200,$G322)&gt;0,
     COUNTIFS($V$2:$V$200,$G322)&gt;0,
     COUNTIFS($W$2:$W$200,$G322)&gt;0,
     COUNTIFS($X$2:$X$200,$G322)&gt;0,
     COUNTIFS($Y$2:$Y$200,$G322)&gt;0,
     COUNTIFS($Z$2:$Z$200,$G322)&gt;0,
     COUNTIFS($AA$2:$AA$200,$G322)&gt;0,
     COUNTIFS($AB$2:$AB$200,$G322)&gt;0,
     COUNTIFS($AC$2:$AC$200,$G322)&gt;0,
     COUNTIFS($AD$2:$AD$200,$G322)&gt;0,
     COUNTIFS($AE$2:$AE$200,$G322)&gt;0,
     COUNTIFS($AF$2:$AF$200,$G322)&gt;0,
     COUNTIFS($AG$2:$AG$200,$G322)&gt;0,
     COUNTIFS($AH$2:$AH$200,$G322)&gt;0,
     COUNTIFS($AI$2:$AI$200,$G322)&gt;0,
     COUNTIFS($AJ$2:$AJ$200,$G322)&gt;0,
     COUNTIFS($AK$2:$AK$200,$G322)&gt;0,
     COUNTIFS($AL$2:$AL$200,$G322)&gt;0,
     COUNTIFS($AM$2:$AM$200,$G322)&gt;0,
     COUNTIFS($AN$2:$AN$200,$G322)&gt;0,
     COUNTIFS($AO$2:$AO$200,$G322)&gt;0,
     COUNTIFS($AP$2:$AP$200,$G322)&gt;0,
     COUNTIFS($AQ$2:$AQ$200,$G322)&gt;0,
     COUNTIFS($AR$2:$AR$200,$G322)&gt;0,
     COUNTIFS($AS$2:$AS$200,$G322)&gt;0,
     COUNTIFS($AT$2:$AT$200,$G322)&gt;0,
     COUNTIFS($AU$2:$AU$200,$G322)&gt;0,
     COUNTIFS($AV$2:$AV$200,$G322)&gt;0,
     COUNTIFS($AW$2:$AW$200,$G322)&gt;0,
     COUNTIFS($AX$2:$AX$200,$G322)&gt;0
   )),
  ),
  4
 ),
"")</f>
        <v/>
      </c>
      <c r="G322" t="str">
        <f ca="1"/>
        <v>Valfenda</v>
      </c>
      <c r="CJ322" t="str">
        <f ca="1"/>
        <v>Valfenda</v>
      </c>
    </row>
    <row r="323" spans="1:88" x14ac:dyDescent="0.25">
      <c r="A323" s="3" t="str">
        <f t="shared" ref="A323:A386" ca="1" si="12">IFERROR(INDEX($S$3:$S$200, MATCH($C323, $I$3:$I$200, 0)), "")</f>
        <v>2</v>
      </c>
      <c r="B323" s="3">
        <f t="shared" ref="B323:B386" ca="1" si="13">COUNTIF(U:AX,G323)</f>
        <v>1</v>
      </c>
      <c r="C323" s="3" t="str">
        <f ca="1">IFERROR(
 INDEX($U$1:$AX$1,
  MATCH(TRUE,
   CHOOSE({1;2;3;4;5;6;7;8;9;10;11;12;13;14;15;16;17;18;19;20;21;22;23;24;25;26;27;28;29;30;31;32},
    COUNTIFS($U$2:$U$200,$G323)&gt;0,
    COUNTIFS($V$2:$V$200,$G323)&gt;0,
    COUNTIFS($W$2:$W$200,$G323)&gt;0,
    COUNTIFS($X$2:$X$200,$G323)&gt;0,
    COUNTIFS($Y$2:$Y$200,$G323)&gt;0,
    COUNTIFS($Z$2:$Z$200,$G323)&gt;0,
    COUNTIFS($AA$2:$AA$200,$G323)&gt;0,
    COUNTIFS($AB$2:$AB$200,$G323)&gt;0,
    COUNTIFS($AC$2:$AC$200,$G323)&gt;0,
    COUNTIFS($AD$2:$AD$200,$G323)&gt;0,
    COUNTIFS($AE$2:$AE$200,$G323)&gt;0,
    COUNTIFS($AF$2:$AF$200,$G323)&gt;0,
    COUNTIFS($AG$2:$AG$200,$G323)&gt;0,
    COUNTIFS($AH$2:$AH$200,$G323)&gt;0,
    COUNTIFS($AI$2:$AI$200,$G323)&gt;0,
    COUNTIFS($AJ$2:$AJ$200,$G323)&gt;0,
    COUNTIFS($AK$2:$AK$200,$G323)&gt;0,
    COUNTIFS($AL$2:$AL$200,$G323)&gt;0,
    COUNTIFS($AM$2:$AM$200,$G323)&gt;0,
    COUNTIFS($AN$2:$AN$200,$G323)&gt;0,
    COUNTIFS($AO$2:$AO$200,$G323)&gt;0,
    COUNTIFS($AP$2:$AP$200,$G323)&gt;0,
    COUNTIFS($AQ$2:$AQ$200,$G323)&gt;0,
    COUNTIFS($AR$2:$AR$200,$G323)&gt;0,
    COUNTIFS($AS$2:$AS$200,$G323)&gt;0,
    COUNTIFS($AT$2:$AT$200,$G323)&gt;0,
    COUNTIFS($AU$2:$AU$200,$G323)&gt;0,
    COUNTIFS($AV$2:$AV$200,$G323)&gt;0,
    COUNTIFS($AW$2:$AW$200,$G323)&gt;0,
    COUNTIFS($AX$2:$AX$200,$G323)&gt;0
   ),
  0)
 ),
"")</f>
        <v>Kumena</v>
      </c>
      <c r="D323" s="3" t="str" cm="1">
        <f t="array" aca="1" ref="D323" ca="1">IFERROR(
 INDEX(
  _xlfn._xlws.FILTER($U$1:$AX$1,
   TRANSPOSE(
    CHOOSE({1;2;3;4;5;6;7;8;9;10;11;12;13;14;15;16;17;18;19;20;21;22;23;24;25;26;27;28;29;30},
     COUNTIFS($U$2:$U$200,$G323)&gt;0,
     COUNTIFS($V$2:$V$200,$G323)&gt;0,
     COUNTIFS($W$2:$W$200,$G323)&gt;0,
     COUNTIFS($X$2:$X$200,$G323)&gt;0,
     COUNTIFS($Y$2:$Y$200,$G323)&gt;0,
     COUNTIFS($Z$2:$Z$200,$G323)&gt;0,
     COUNTIFS($AA$2:$AA$200,$G323)&gt;0,
     COUNTIFS($AB$2:$AB$200,$G323)&gt;0,
     COUNTIFS($AC$2:$AC$200,$G323)&gt;0,
     COUNTIFS($AD$2:$AD$200,$G323)&gt;0,
     COUNTIFS($AE$2:$AE$200,$G323)&gt;0,
     COUNTIFS($AF$2:$AF$200,$G323)&gt;0,
     COUNTIFS($AG$2:$AG$200,$G323)&gt;0,
     COUNTIFS($AH$2:$AH$200,$G323)&gt;0,
     COUNTIFS($AI$2:$AI$200,$G323)&gt;0,
     COUNTIFS($AJ$2:$AJ$200,$G323)&gt;0,
     COUNTIFS($AK$2:$AK$200,$G323)&gt;0,
     COUNTIFS($AL$2:$AL$200,$G323)&gt;0,
     COUNTIFS($AM$2:$AM$200,$G323)&gt;0,
     COUNTIFS($AN$2:$AN$200,$G323)&gt;0,
     COUNTIFS($AO$2:$AO$200,$G323)&gt;0,
     COUNTIFS($AP$2:$AP$200,$G323)&gt;0,
     COUNTIFS($AQ$2:$AQ$200,$G323)&gt;0,
     COUNTIFS($AR$2:$AR$200,$G323)&gt;0,
     COUNTIFS($AS$2:$AS$200,$G323)&gt;0,
     COUNTIFS($AT$2:$AT$200,$G323)&gt;0,
     COUNTIFS($AU$2:$AU$200,$G323)&gt;0,
     COUNTIFS($AV$2:$AV$200,$G323)&gt;0,
     COUNTIFS($AW$2:$AW$200,$G323)&gt;0,
     COUNTIFS($AX$2:$AX$200,$G323)&gt;0
   )),
  ),
  2
 ),
"")</f>
        <v/>
      </c>
      <c r="E323" s="3" t="str" cm="1">
        <f t="array" aca="1" ref="E323" ca="1">IFERROR(
 INDEX(
  _xlfn._xlws.FILTER($U$1:$AX$1,
   TRANSPOSE(
    CHOOSE({1;2;3;4;5;6;7;8;9;10;11;12;13;14;15;16;17;18;19;20;21;22;23;24;25;26;27;28;29;30},
     COUNTIFS($U$2:$U$200,$G323)&gt;0,
     COUNTIFS($V$2:$V$200,$G323)&gt;0,
     COUNTIFS($W$2:$W$200,$G323)&gt;0,
     COUNTIFS($X$2:$X$200,$G323)&gt;0,
     COUNTIFS($Y$2:$Y$200,$G323)&gt;0,
     COUNTIFS($Z$2:$Z$200,$G323)&gt;0,
     COUNTIFS($AA$2:$AA$200,$G323)&gt;0,
     COUNTIFS($AB$2:$AB$200,$G323)&gt;0,
     COUNTIFS($AC$2:$AC$200,$G323)&gt;0,
     COUNTIFS($AD$2:$AD$200,$G323)&gt;0,
     COUNTIFS($AE$2:$AE$200,$G323)&gt;0,
     COUNTIFS($AF$2:$AF$200,$G323)&gt;0,
     COUNTIFS($AG$2:$AG$200,$G323)&gt;0,
     COUNTIFS($AH$2:$AH$200,$G323)&gt;0,
     COUNTIFS($AI$2:$AI$200,$G323)&gt;0,
     COUNTIFS($AJ$2:$AJ$200,$G323)&gt;0,
     COUNTIFS($AK$2:$AK$200,$G323)&gt;0,
     COUNTIFS($AL$2:$AL$200,$G323)&gt;0,
     COUNTIFS($AM$2:$AM$200,$G323)&gt;0,
     COUNTIFS($AN$2:$AN$200,$G323)&gt;0,
     COUNTIFS($AO$2:$AO$200,$G323)&gt;0,
     COUNTIFS($AP$2:$AP$200,$G323)&gt;0,
     COUNTIFS($AQ$2:$AQ$200,$G323)&gt;0,
     COUNTIFS($AR$2:$AR$200,$G323)&gt;0,
     COUNTIFS($AS$2:$AS$200,$G323)&gt;0,
     COUNTIFS($AT$2:$AT$200,$G323)&gt;0,
     COUNTIFS($AU$2:$AU$200,$G323)&gt;0,
     COUNTIFS($AV$2:$AV$200,$G323)&gt;0,
     COUNTIFS($AW$2:$AW$200,$G323)&gt;0,
     COUNTIFS($AX$2:$AX$200,$G323)&gt;0
   )),
  ),
  3
 ),
"")</f>
        <v/>
      </c>
      <c r="F323" s="3" t="str" cm="1">
        <f t="array" aca="1" ref="F323" ca="1">IFERROR(
 INDEX(
  _xlfn._xlws.FILTER($U$1:$AX$1,
   TRANSPOSE(
    CHOOSE({1;2;3;4;5;6;7;8;9;10;11;12;13;14;15;16;17;18;19;20;21;22;23;24;25;26;27;28;29;30},
     COUNTIFS($U$2:$U$200,$G323)&gt;0,
     COUNTIFS($V$2:$V$200,$G323)&gt;0,
     COUNTIFS($W$2:$W$200,$G323)&gt;0,
     COUNTIFS($X$2:$X$200,$G323)&gt;0,
     COUNTIFS($Y$2:$Y$200,$G323)&gt;0,
     COUNTIFS($Z$2:$Z$200,$G323)&gt;0,
     COUNTIFS($AA$2:$AA$200,$G323)&gt;0,
     COUNTIFS($AB$2:$AB$200,$G323)&gt;0,
     COUNTIFS($AC$2:$AC$200,$G323)&gt;0,
     COUNTIFS($AD$2:$AD$200,$G323)&gt;0,
     COUNTIFS($AE$2:$AE$200,$G323)&gt;0,
     COUNTIFS($AF$2:$AF$200,$G323)&gt;0,
     COUNTIFS($AG$2:$AG$200,$G323)&gt;0,
     COUNTIFS($AH$2:$AH$200,$G323)&gt;0,
     COUNTIFS($AI$2:$AI$200,$G323)&gt;0,
     COUNTIFS($AJ$2:$AJ$200,$G323)&gt;0,
     COUNTIFS($AK$2:$AK$200,$G323)&gt;0,
     COUNTIFS($AL$2:$AL$200,$G323)&gt;0,
     COUNTIFS($AM$2:$AM$200,$G323)&gt;0,
     COUNTIFS($AN$2:$AN$200,$G323)&gt;0,
     COUNTIFS($AO$2:$AO$200,$G323)&gt;0,
     COUNTIFS($AP$2:$AP$200,$G323)&gt;0,
     COUNTIFS($AQ$2:$AQ$200,$G323)&gt;0,
     COUNTIFS($AR$2:$AR$200,$G323)&gt;0,
     COUNTIFS($AS$2:$AS$200,$G323)&gt;0,
     COUNTIFS($AT$2:$AT$200,$G323)&gt;0,
     COUNTIFS($AU$2:$AU$200,$G323)&gt;0,
     COUNTIFS($AV$2:$AV$200,$G323)&gt;0,
     COUNTIFS($AW$2:$AW$200,$G323)&gt;0,
     COUNTIFS($AX$2:$AX$200,$G323)&gt;0
   )),
  ),
  4
 ),
"")</f>
        <v/>
      </c>
      <c r="G323" t="str">
        <f ca="1"/>
        <v>Vanquisher's Banner</v>
      </c>
      <c r="CJ323" t="str">
        <f ca="1"/>
        <v>Vanquisher's Banner</v>
      </c>
    </row>
    <row r="324" spans="1:88" x14ac:dyDescent="0.25">
      <c r="A324" s="3" t="str">
        <f t="shared" ca="1" si="12"/>
        <v>3</v>
      </c>
      <c r="B324" s="3">
        <f t="shared" ca="1" si="13"/>
        <v>1</v>
      </c>
      <c r="C324" s="3" t="str">
        <f ca="1">IFERROR(
 INDEX($U$1:$AX$1,
  MATCH(TRUE,
   CHOOSE({1;2;3;4;5;6;7;8;9;10;11;12;13;14;15;16;17;18;19;20;21;22;23;24;25;26;27;28;29;30;31;32},
    COUNTIFS($U$2:$U$200,$G324)&gt;0,
    COUNTIFS($V$2:$V$200,$G324)&gt;0,
    COUNTIFS($W$2:$W$200,$G324)&gt;0,
    COUNTIFS($X$2:$X$200,$G324)&gt;0,
    COUNTIFS($Y$2:$Y$200,$G324)&gt;0,
    COUNTIFS($Z$2:$Z$200,$G324)&gt;0,
    COUNTIFS($AA$2:$AA$200,$G324)&gt;0,
    COUNTIFS($AB$2:$AB$200,$G324)&gt;0,
    COUNTIFS($AC$2:$AC$200,$G324)&gt;0,
    COUNTIFS($AD$2:$AD$200,$G324)&gt;0,
    COUNTIFS($AE$2:$AE$200,$G324)&gt;0,
    COUNTIFS($AF$2:$AF$200,$G324)&gt;0,
    COUNTIFS($AG$2:$AG$200,$G324)&gt;0,
    COUNTIFS($AH$2:$AH$200,$G324)&gt;0,
    COUNTIFS($AI$2:$AI$200,$G324)&gt;0,
    COUNTIFS($AJ$2:$AJ$200,$G324)&gt;0,
    COUNTIFS($AK$2:$AK$200,$G324)&gt;0,
    COUNTIFS($AL$2:$AL$200,$G324)&gt;0,
    COUNTIFS($AM$2:$AM$200,$G324)&gt;0,
    COUNTIFS($AN$2:$AN$200,$G324)&gt;0,
    COUNTIFS($AO$2:$AO$200,$G324)&gt;0,
    COUNTIFS($AP$2:$AP$200,$G324)&gt;0,
    COUNTIFS($AQ$2:$AQ$200,$G324)&gt;0,
    COUNTIFS($AR$2:$AR$200,$G324)&gt;0,
    COUNTIFS($AS$2:$AS$200,$G324)&gt;0,
    COUNTIFS($AT$2:$AT$200,$G324)&gt;0,
    COUNTIFS($AU$2:$AU$200,$G324)&gt;0,
    COUNTIFS($AV$2:$AV$200,$G324)&gt;0,
    COUNTIFS($AW$2:$AW$200,$G324)&gt;0,
    COUNTIFS($AX$2:$AX$200,$G324)&gt;0
   ),
  0)
 ),
"")</f>
        <v>Carlos</v>
      </c>
      <c r="D324" s="3" t="str" cm="1">
        <f t="array" aca="1" ref="D324" ca="1">IFERROR(
 INDEX(
  _xlfn._xlws.FILTER($U$1:$AX$1,
   TRANSPOSE(
    CHOOSE({1;2;3;4;5;6;7;8;9;10;11;12;13;14;15;16;17;18;19;20;21;22;23;24;25;26;27;28;29;30},
     COUNTIFS($U$2:$U$200,$G324)&gt;0,
     COUNTIFS($V$2:$V$200,$G324)&gt;0,
     COUNTIFS($W$2:$W$200,$G324)&gt;0,
     COUNTIFS($X$2:$X$200,$G324)&gt;0,
     COUNTIFS($Y$2:$Y$200,$G324)&gt;0,
     COUNTIFS($Z$2:$Z$200,$G324)&gt;0,
     COUNTIFS($AA$2:$AA$200,$G324)&gt;0,
     COUNTIFS($AB$2:$AB$200,$G324)&gt;0,
     COUNTIFS($AC$2:$AC$200,$G324)&gt;0,
     COUNTIFS($AD$2:$AD$200,$G324)&gt;0,
     COUNTIFS($AE$2:$AE$200,$G324)&gt;0,
     COUNTIFS($AF$2:$AF$200,$G324)&gt;0,
     COUNTIFS($AG$2:$AG$200,$G324)&gt;0,
     COUNTIFS($AH$2:$AH$200,$G324)&gt;0,
     COUNTIFS($AI$2:$AI$200,$G324)&gt;0,
     COUNTIFS($AJ$2:$AJ$200,$G324)&gt;0,
     COUNTIFS($AK$2:$AK$200,$G324)&gt;0,
     COUNTIFS($AL$2:$AL$200,$G324)&gt;0,
     COUNTIFS($AM$2:$AM$200,$G324)&gt;0,
     COUNTIFS($AN$2:$AN$200,$G324)&gt;0,
     COUNTIFS($AO$2:$AO$200,$G324)&gt;0,
     COUNTIFS($AP$2:$AP$200,$G324)&gt;0,
     COUNTIFS($AQ$2:$AQ$200,$G324)&gt;0,
     COUNTIFS($AR$2:$AR$200,$G324)&gt;0,
     COUNTIFS($AS$2:$AS$200,$G324)&gt;0,
     COUNTIFS($AT$2:$AT$200,$G324)&gt;0,
     COUNTIFS($AU$2:$AU$200,$G324)&gt;0,
     COUNTIFS($AV$2:$AV$200,$G324)&gt;0,
     COUNTIFS($AW$2:$AW$200,$G324)&gt;0,
     COUNTIFS($AX$2:$AX$200,$G324)&gt;0
   )),
  ),
  2
 ),
"")</f>
        <v/>
      </c>
      <c r="E324" s="3" t="str" cm="1">
        <f t="array" aca="1" ref="E324" ca="1">IFERROR(
 INDEX(
  _xlfn._xlws.FILTER($U$1:$AX$1,
   TRANSPOSE(
    CHOOSE({1;2;3;4;5;6;7;8;9;10;11;12;13;14;15;16;17;18;19;20;21;22;23;24;25;26;27;28;29;30},
     COUNTIFS($U$2:$U$200,$G324)&gt;0,
     COUNTIFS($V$2:$V$200,$G324)&gt;0,
     COUNTIFS($W$2:$W$200,$G324)&gt;0,
     COUNTIFS($X$2:$X$200,$G324)&gt;0,
     COUNTIFS($Y$2:$Y$200,$G324)&gt;0,
     COUNTIFS($Z$2:$Z$200,$G324)&gt;0,
     COUNTIFS($AA$2:$AA$200,$G324)&gt;0,
     COUNTIFS($AB$2:$AB$200,$G324)&gt;0,
     COUNTIFS($AC$2:$AC$200,$G324)&gt;0,
     COUNTIFS($AD$2:$AD$200,$G324)&gt;0,
     COUNTIFS($AE$2:$AE$200,$G324)&gt;0,
     COUNTIFS($AF$2:$AF$200,$G324)&gt;0,
     COUNTIFS($AG$2:$AG$200,$G324)&gt;0,
     COUNTIFS($AH$2:$AH$200,$G324)&gt;0,
     COUNTIFS($AI$2:$AI$200,$G324)&gt;0,
     COUNTIFS($AJ$2:$AJ$200,$G324)&gt;0,
     COUNTIFS($AK$2:$AK$200,$G324)&gt;0,
     COUNTIFS($AL$2:$AL$200,$G324)&gt;0,
     COUNTIFS($AM$2:$AM$200,$G324)&gt;0,
     COUNTIFS($AN$2:$AN$200,$G324)&gt;0,
     COUNTIFS($AO$2:$AO$200,$G324)&gt;0,
     COUNTIFS($AP$2:$AP$200,$G324)&gt;0,
     COUNTIFS($AQ$2:$AQ$200,$G324)&gt;0,
     COUNTIFS($AR$2:$AR$200,$G324)&gt;0,
     COUNTIFS($AS$2:$AS$200,$G324)&gt;0,
     COUNTIFS($AT$2:$AT$200,$G324)&gt;0,
     COUNTIFS($AU$2:$AU$200,$G324)&gt;0,
     COUNTIFS($AV$2:$AV$200,$G324)&gt;0,
     COUNTIFS($AW$2:$AW$200,$G324)&gt;0,
     COUNTIFS($AX$2:$AX$200,$G324)&gt;0
   )),
  ),
  3
 ),
"")</f>
        <v/>
      </c>
      <c r="F324" s="3" t="str" cm="1">
        <f t="array" aca="1" ref="F324" ca="1">IFERROR(
 INDEX(
  _xlfn._xlws.FILTER($U$1:$AX$1,
   TRANSPOSE(
    CHOOSE({1;2;3;4;5;6;7;8;9;10;11;12;13;14;15;16;17;18;19;20;21;22;23;24;25;26;27;28;29;30},
     COUNTIFS($U$2:$U$200,$G324)&gt;0,
     COUNTIFS($V$2:$V$200,$G324)&gt;0,
     COUNTIFS($W$2:$W$200,$G324)&gt;0,
     COUNTIFS($X$2:$X$200,$G324)&gt;0,
     COUNTIFS($Y$2:$Y$200,$G324)&gt;0,
     COUNTIFS($Z$2:$Z$200,$G324)&gt;0,
     COUNTIFS($AA$2:$AA$200,$G324)&gt;0,
     COUNTIFS($AB$2:$AB$200,$G324)&gt;0,
     COUNTIFS($AC$2:$AC$200,$G324)&gt;0,
     COUNTIFS($AD$2:$AD$200,$G324)&gt;0,
     COUNTIFS($AE$2:$AE$200,$G324)&gt;0,
     COUNTIFS($AF$2:$AF$200,$G324)&gt;0,
     COUNTIFS($AG$2:$AG$200,$G324)&gt;0,
     COUNTIFS($AH$2:$AH$200,$G324)&gt;0,
     COUNTIFS($AI$2:$AI$200,$G324)&gt;0,
     COUNTIFS($AJ$2:$AJ$200,$G324)&gt;0,
     COUNTIFS($AK$2:$AK$200,$G324)&gt;0,
     COUNTIFS($AL$2:$AL$200,$G324)&gt;0,
     COUNTIFS($AM$2:$AM$200,$G324)&gt;0,
     COUNTIFS($AN$2:$AN$200,$G324)&gt;0,
     COUNTIFS($AO$2:$AO$200,$G324)&gt;0,
     COUNTIFS($AP$2:$AP$200,$G324)&gt;0,
     COUNTIFS($AQ$2:$AQ$200,$G324)&gt;0,
     COUNTIFS($AR$2:$AR$200,$G324)&gt;0,
     COUNTIFS($AS$2:$AS$200,$G324)&gt;0,
     COUNTIFS($AT$2:$AT$200,$G324)&gt;0,
     COUNTIFS($AU$2:$AU$200,$G324)&gt;0,
     COUNTIFS($AV$2:$AV$200,$G324)&gt;0,
     COUNTIFS($AW$2:$AW$200,$G324)&gt;0,
     COUNTIFS($AX$2:$AX$200,$G324)&gt;0
   )),
  ),
  4
 ),
"")</f>
        <v/>
      </c>
      <c r="G324" t="str">
        <f ca="1"/>
        <v>Vault of the Archangel</v>
      </c>
      <c r="CJ324" t="str">
        <f ca="1"/>
        <v>Vault of the Archangel</v>
      </c>
    </row>
    <row r="325" spans="1:88" x14ac:dyDescent="0.25">
      <c r="A325" s="3" t="str">
        <f t="shared" ca="1" si="12"/>
        <v>3</v>
      </c>
      <c r="B325" s="3">
        <f t="shared" ca="1" si="13"/>
        <v>1</v>
      </c>
      <c r="C325" s="3" t="str">
        <f ca="1">IFERROR(
 INDEX($U$1:$AX$1,
  MATCH(TRUE,
   CHOOSE({1;2;3;4;5;6;7;8;9;10;11;12;13;14;15;16;17;18;19;20;21;22;23;24;25;26;27;28;29;30;31;32},
    COUNTIFS($U$2:$U$200,$G325)&gt;0,
    COUNTIFS($V$2:$V$200,$G325)&gt;0,
    COUNTIFS($W$2:$W$200,$G325)&gt;0,
    COUNTIFS($X$2:$X$200,$G325)&gt;0,
    COUNTIFS($Y$2:$Y$200,$G325)&gt;0,
    COUNTIFS($Z$2:$Z$200,$G325)&gt;0,
    COUNTIFS($AA$2:$AA$200,$G325)&gt;0,
    COUNTIFS($AB$2:$AB$200,$G325)&gt;0,
    COUNTIFS($AC$2:$AC$200,$G325)&gt;0,
    COUNTIFS($AD$2:$AD$200,$G325)&gt;0,
    COUNTIFS($AE$2:$AE$200,$G325)&gt;0,
    COUNTIFS($AF$2:$AF$200,$G325)&gt;0,
    COUNTIFS($AG$2:$AG$200,$G325)&gt;0,
    COUNTIFS($AH$2:$AH$200,$G325)&gt;0,
    COUNTIFS($AI$2:$AI$200,$G325)&gt;0,
    COUNTIFS($AJ$2:$AJ$200,$G325)&gt;0,
    COUNTIFS($AK$2:$AK$200,$G325)&gt;0,
    COUNTIFS($AL$2:$AL$200,$G325)&gt;0,
    COUNTIFS($AM$2:$AM$200,$G325)&gt;0,
    COUNTIFS($AN$2:$AN$200,$G325)&gt;0,
    COUNTIFS($AO$2:$AO$200,$G325)&gt;0,
    COUNTIFS($AP$2:$AP$200,$G325)&gt;0,
    COUNTIFS($AQ$2:$AQ$200,$G325)&gt;0,
    COUNTIFS($AR$2:$AR$200,$G325)&gt;0,
    COUNTIFS($AS$2:$AS$200,$G325)&gt;0,
    COUNTIFS($AT$2:$AT$200,$G325)&gt;0,
    COUNTIFS($AU$2:$AU$200,$G325)&gt;0,
    COUNTIFS($AV$2:$AV$200,$G325)&gt;0,
    COUNTIFS($AW$2:$AW$200,$G325)&gt;0,
    COUNTIFS($AX$2:$AX$200,$G325)&gt;0
   ),
  0)
 ),
"")</f>
        <v>Muzzio</v>
      </c>
      <c r="D325" s="3" t="str" cm="1">
        <f t="array" aca="1" ref="D325" ca="1">IFERROR(
 INDEX(
  _xlfn._xlws.FILTER($U$1:$AX$1,
   TRANSPOSE(
    CHOOSE({1;2;3;4;5;6;7;8;9;10;11;12;13;14;15;16;17;18;19;20;21;22;23;24;25;26;27;28;29;30},
     COUNTIFS($U$2:$U$200,$G325)&gt;0,
     COUNTIFS($V$2:$V$200,$G325)&gt;0,
     COUNTIFS($W$2:$W$200,$G325)&gt;0,
     COUNTIFS($X$2:$X$200,$G325)&gt;0,
     COUNTIFS($Y$2:$Y$200,$G325)&gt;0,
     COUNTIFS($Z$2:$Z$200,$G325)&gt;0,
     COUNTIFS($AA$2:$AA$200,$G325)&gt;0,
     COUNTIFS($AB$2:$AB$200,$G325)&gt;0,
     COUNTIFS($AC$2:$AC$200,$G325)&gt;0,
     COUNTIFS($AD$2:$AD$200,$G325)&gt;0,
     COUNTIFS($AE$2:$AE$200,$G325)&gt;0,
     COUNTIFS($AF$2:$AF$200,$G325)&gt;0,
     COUNTIFS($AG$2:$AG$200,$G325)&gt;0,
     COUNTIFS($AH$2:$AH$200,$G325)&gt;0,
     COUNTIFS($AI$2:$AI$200,$G325)&gt;0,
     COUNTIFS($AJ$2:$AJ$200,$G325)&gt;0,
     COUNTIFS($AK$2:$AK$200,$G325)&gt;0,
     COUNTIFS($AL$2:$AL$200,$G325)&gt;0,
     COUNTIFS($AM$2:$AM$200,$G325)&gt;0,
     COUNTIFS($AN$2:$AN$200,$G325)&gt;0,
     COUNTIFS($AO$2:$AO$200,$G325)&gt;0,
     COUNTIFS($AP$2:$AP$200,$G325)&gt;0,
     COUNTIFS($AQ$2:$AQ$200,$G325)&gt;0,
     COUNTIFS($AR$2:$AR$200,$G325)&gt;0,
     COUNTIFS($AS$2:$AS$200,$G325)&gt;0,
     COUNTIFS($AT$2:$AT$200,$G325)&gt;0,
     COUNTIFS($AU$2:$AU$200,$G325)&gt;0,
     COUNTIFS($AV$2:$AV$200,$G325)&gt;0,
     COUNTIFS($AW$2:$AW$200,$G325)&gt;0,
     COUNTIFS($AX$2:$AX$200,$G325)&gt;0
   )),
  ),
  2
 ),
"")</f>
        <v/>
      </c>
      <c r="E325" s="3" t="str" cm="1">
        <f t="array" aca="1" ref="E325" ca="1">IFERROR(
 INDEX(
  _xlfn._xlws.FILTER($U$1:$AX$1,
   TRANSPOSE(
    CHOOSE({1;2;3;4;5;6;7;8;9;10;11;12;13;14;15;16;17;18;19;20;21;22;23;24;25;26;27;28;29;30},
     COUNTIFS($U$2:$U$200,$G325)&gt;0,
     COUNTIFS($V$2:$V$200,$G325)&gt;0,
     COUNTIFS($W$2:$W$200,$G325)&gt;0,
     COUNTIFS($X$2:$X$200,$G325)&gt;0,
     COUNTIFS($Y$2:$Y$200,$G325)&gt;0,
     COUNTIFS($Z$2:$Z$200,$G325)&gt;0,
     COUNTIFS($AA$2:$AA$200,$G325)&gt;0,
     COUNTIFS($AB$2:$AB$200,$G325)&gt;0,
     COUNTIFS($AC$2:$AC$200,$G325)&gt;0,
     COUNTIFS($AD$2:$AD$200,$G325)&gt;0,
     COUNTIFS($AE$2:$AE$200,$G325)&gt;0,
     COUNTIFS($AF$2:$AF$200,$G325)&gt;0,
     COUNTIFS($AG$2:$AG$200,$G325)&gt;0,
     COUNTIFS($AH$2:$AH$200,$G325)&gt;0,
     COUNTIFS($AI$2:$AI$200,$G325)&gt;0,
     COUNTIFS($AJ$2:$AJ$200,$G325)&gt;0,
     COUNTIFS($AK$2:$AK$200,$G325)&gt;0,
     COUNTIFS($AL$2:$AL$200,$G325)&gt;0,
     COUNTIFS($AM$2:$AM$200,$G325)&gt;0,
     COUNTIFS($AN$2:$AN$200,$G325)&gt;0,
     COUNTIFS($AO$2:$AO$200,$G325)&gt;0,
     COUNTIFS($AP$2:$AP$200,$G325)&gt;0,
     COUNTIFS($AQ$2:$AQ$200,$G325)&gt;0,
     COUNTIFS($AR$2:$AR$200,$G325)&gt;0,
     COUNTIFS($AS$2:$AS$200,$G325)&gt;0,
     COUNTIFS($AT$2:$AT$200,$G325)&gt;0,
     COUNTIFS($AU$2:$AU$200,$G325)&gt;0,
     COUNTIFS($AV$2:$AV$200,$G325)&gt;0,
     COUNTIFS($AW$2:$AW$200,$G325)&gt;0,
     COUNTIFS($AX$2:$AX$200,$G325)&gt;0
   )),
  ),
  3
 ),
"")</f>
        <v/>
      </c>
      <c r="F325" s="3" t="str" cm="1">
        <f t="array" aca="1" ref="F325" ca="1">IFERROR(
 INDEX(
  _xlfn._xlws.FILTER($U$1:$AX$1,
   TRANSPOSE(
    CHOOSE({1;2;3;4;5;6;7;8;9;10;11;12;13;14;15;16;17;18;19;20;21;22;23;24;25;26;27;28;29;30},
     COUNTIFS($U$2:$U$200,$G325)&gt;0,
     COUNTIFS($V$2:$V$200,$G325)&gt;0,
     COUNTIFS($W$2:$W$200,$G325)&gt;0,
     COUNTIFS($X$2:$X$200,$G325)&gt;0,
     COUNTIFS($Y$2:$Y$200,$G325)&gt;0,
     COUNTIFS($Z$2:$Z$200,$G325)&gt;0,
     COUNTIFS($AA$2:$AA$200,$G325)&gt;0,
     COUNTIFS($AB$2:$AB$200,$G325)&gt;0,
     COUNTIFS($AC$2:$AC$200,$G325)&gt;0,
     COUNTIFS($AD$2:$AD$200,$G325)&gt;0,
     COUNTIFS($AE$2:$AE$200,$G325)&gt;0,
     COUNTIFS($AF$2:$AF$200,$G325)&gt;0,
     COUNTIFS($AG$2:$AG$200,$G325)&gt;0,
     COUNTIFS($AH$2:$AH$200,$G325)&gt;0,
     COUNTIFS($AI$2:$AI$200,$G325)&gt;0,
     COUNTIFS($AJ$2:$AJ$200,$G325)&gt;0,
     COUNTIFS($AK$2:$AK$200,$G325)&gt;0,
     COUNTIFS($AL$2:$AL$200,$G325)&gt;0,
     COUNTIFS($AM$2:$AM$200,$G325)&gt;0,
     COUNTIFS($AN$2:$AN$200,$G325)&gt;0,
     COUNTIFS($AO$2:$AO$200,$G325)&gt;0,
     COUNTIFS($AP$2:$AP$200,$G325)&gt;0,
     COUNTIFS($AQ$2:$AQ$200,$G325)&gt;0,
     COUNTIFS($AR$2:$AR$200,$G325)&gt;0,
     COUNTIFS($AS$2:$AS$200,$G325)&gt;0,
     COUNTIFS($AT$2:$AT$200,$G325)&gt;0,
     COUNTIFS($AU$2:$AU$200,$G325)&gt;0,
     COUNTIFS($AV$2:$AV$200,$G325)&gt;0,
     COUNTIFS($AW$2:$AW$200,$G325)&gt;0,
     COUNTIFS($AX$2:$AX$200,$G325)&gt;0
   )),
  ),
  4
 ),
"")</f>
        <v/>
      </c>
      <c r="G325" t="str">
        <f ca="1"/>
        <v>Vexing Puzzlebox</v>
      </c>
      <c r="CJ325" t="str">
        <f ca="1"/>
        <v>Vexing Puzzlebox</v>
      </c>
    </row>
    <row r="326" spans="1:88" x14ac:dyDescent="0.25">
      <c r="A326" s="3" t="str">
        <f t="shared" ca="1" si="12"/>
        <v>2</v>
      </c>
      <c r="B326" s="3">
        <f t="shared" ca="1" si="13"/>
        <v>1</v>
      </c>
      <c r="C326" s="3" t="str">
        <f ca="1">IFERROR(
 INDEX($U$1:$AX$1,
  MATCH(TRUE,
   CHOOSE({1;2;3;4;5;6;7;8;9;10;11;12;13;14;15;16;17;18;19;20;21;22;23;24;25;26;27;28;29;30;31;32},
    COUNTIFS($U$2:$U$200,$G326)&gt;0,
    COUNTIFS($V$2:$V$200,$G326)&gt;0,
    COUNTIFS($W$2:$W$200,$G326)&gt;0,
    COUNTIFS($X$2:$X$200,$G326)&gt;0,
    COUNTIFS($Y$2:$Y$200,$G326)&gt;0,
    COUNTIFS($Z$2:$Z$200,$G326)&gt;0,
    COUNTIFS($AA$2:$AA$200,$G326)&gt;0,
    COUNTIFS($AB$2:$AB$200,$G326)&gt;0,
    COUNTIFS($AC$2:$AC$200,$G326)&gt;0,
    COUNTIFS($AD$2:$AD$200,$G326)&gt;0,
    COUNTIFS($AE$2:$AE$200,$G326)&gt;0,
    COUNTIFS($AF$2:$AF$200,$G326)&gt;0,
    COUNTIFS($AG$2:$AG$200,$G326)&gt;0,
    COUNTIFS($AH$2:$AH$200,$G326)&gt;0,
    COUNTIFS($AI$2:$AI$200,$G326)&gt;0,
    COUNTIFS($AJ$2:$AJ$200,$G326)&gt;0,
    COUNTIFS($AK$2:$AK$200,$G326)&gt;0,
    COUNTIFS($AL$2:$AL$200,$G326)&gt;0,
    COUNTIFS($AM$2:$AM$200,$G326)&gt;0,
    COUNTIFS($AN$2:$AN$200,$G326)&gt;0,
    COUNTIFS($AO$2:$AO$200,$G326)&gt;0,
    COUNTIFS($AP$2:$AP$200,$G326)&gt;0,
    COUNTIFS($AQ$2:$AQ$200,$G326)&gt;0,
    COUNTIFS($AR$2:$AR$200,$G326)&gt;0,
    COUNTIFS($AS$2:$AS$200,$G326)&gt;0,
    COUNTIFS($AT$2:$AT$200,$G326)&gt;0,
    COUNTIFS($AU$2:$AU$200,$G326)&gt;0,
    COUNTIFS($AV$2:$AV$200,$G326)&gt;0,
    COUNTIFS($AW$2:$AW$200,$G326)&gt;0,
    COUNTIFS($AX$2:$AX$200,$G326)&gt;0
   ),
  0)
 ),
"")</f>
        <v>Baylen</v>
      </c>
      <c r="D326" s="3" t="str" cm="1">
        <f t="array" aca="1" ref="D326" ca="1">IFERROR(
 INDEX(
  _xlfn._xlws.FILTER($U$1:$AX$1,
   TRANSPOSE(
    CHOOSE({1;2;3;4;5;6;7;8;9;10;11;12;13;14;15;16;17;18;19;20;21;22;23;24;25;26;27;28;29;30},
     COUNTIFS($U$2:$U$200,$G326)&gt;0,
     COUNTIFS($V$2:$V$200,$G326)&gt;0,
     COUNTIFS($W$2:$W$200,$G326)&gt;0,
     COUNTIFS($X$2:$X$200,$G326)&gt;0,
     COUNTIFS($Y$2:$Y$200,$G326)&gt;0,
     COUNTIFS($Z$2:$Z$200,$G326)&gt;0,
     COUNTIFS($AA$2:$AA$200,$G326)&gt;0,
     COUNTIFS($AB$2:$AB$200,$G326)&gt;0,
     COUNTIFS($AC$2:$AC$200,$G326)&gt;0,
     COUNTIFS($AD$2:$AD$200,$G326)&gt;0,
     COUNTIFS($AE$2:$AE$200,$G326)&gt;0,
     COUNTIFS($AF$2:$AF$200,$G326)&gt;0,
     COUNTIFS($AG$2:$AG$200,$G326)&gt;0,
     COUNTIFS($AH$2:$AH$200,$G326)&gt;0,
     COUNTIFS($AI$2:$AI$200,$G326)&gt;0,
     COUNTIFS($AJ$2:$AJ$200,$G326)&gt;0,
     COUNTIFS($AK$2:$AK$200,$G326)&gt;0,
     COUNTIFS($AL$2:$AL$200,$G326)&gt;0,
     COUNTIFS($AM$2:$AM$200,$G326)&gt;0,
     COUNTIFS($AN$2:$AN$200,$G326)&gt;0,
     COUNTIFS($AO$2:$AO$200,$G326)&gt;0,
     COUNTIFS($AP$2:$AP$200,$G326)&gt;0,
     COUNTIFS($AQ$2:$AQ$200,$G326)&gt;0,
     COUNTIFS($AR$2:$AR$200,$G326)&gt;0,
     COUNTIFS($AS$2:$AS$200,$G326)&gt;0,
     COUNTIFS($AT$2:$AT$200,$G326)&gt;0,
     COUNTIFS($AU$2:$AU$200,$G326)&gt;0,
     COUNTIFS($AV$2:$AV$200,$G326)&gt;0,
     COUNTIFS($AW$2:$AW$200,$G326)&gt;0,
     COUNTIFS($AX$2:$AX$200,$G326)&gt;0
   )),
  ),
  2
 ),
"")</f>
        <v/>
      </c>
      <c r="E326" s="3" t="str" cm="1">
        <f t="array" aca="1" ref="E326" ca="1">IFERROR(
 INDEX(
  _xlfn._xlws.FILTER($U$1:$AX$1,
   TRANSPOSE(
    CHOOSE({1;2;3;4;5;6;7;8;9;10;11;12;13;14;15;16;17;18;19;20;21;22;23;24;25;26;27;28;29;30},
     COUNTIFS($U$2:$U$200,$G326)&gt;0,
     COUNTIFS($V$2:$V$200,$G326)&gt;0,
     COUNTIFS($W$2:$W$200,$G326)&gt;0,
     COUNTIFS($X$2:$X$200,$G326)&gt;0,
     COUNTIFS($Y$2:$Y$200,$G326)&gt;0,
     COUNTIFS($Z$2:$Z$200,$G326)&gt;0,
     COUNTIFS($AA$2:$AA$200,$G326)&gt;0,
     COUNTIFS($AB$2:$AB$200,$G326)&gt;0,
     COUNTIFS($AC$2:$AC$200,$G326)&gt;0,
     COUNTIFS($AD$2:$AD$200,$G326)&gt;0,
     COUNTIFS($AE$2:$AE$200,$G326)&gt;0,
     COUNTIFS($AF$2:$AF$200,$G326)&gt;0,
     COUNTIFS($AG$2:$AG$200,$G326)&gt;0,
     COUNTIFS($AH$2:$AH$200,$G326)&gt;0,
     COUNTIFS($AI$2:$AI$200,$G326)&gt;0,
     COUNTIFS($AJ$2:$AJ$200,$G326)&gt;0,
     COUNTIFS($AK$2:$AK$200,$G326)&gt;0,
     COUNTIFS($AL$2:$AL$200,$G326)&gt;0,
     COUNTIFS($AM$2:$AM$200,$G326)&gt;0,
     COUNTIFS($AN$2:$AN$200,$G326)&gt;0,
     COUNTIFS($AO$2:$AO$200,$G326)&gt;0,
     COUNTIFS($AP$2:$AP$200,$G326)&gt;0,
     COUNTIFS($AQ$2:$AQ$200,$G326)&gt;0,
     COUNTIFS($AR$2:$AR$200,$G326)&gt;0,
     COUNTIFS($AS$2:$AS$200,$G326)&gt;0,
     COUNTIFS($AT$2:$AT$200,$G326)&gt;0,
     COUNTIFS($AU$2:$AU$200,$G326)&gt;0,
     COUNTIFS($AV$2:$AV$200,$G326)&gt;0,
     COUNTIFS($AW$2:$AW$200,$G326)&gt;0,
     COUNTIFS($AX$2:$AX$200,$G326)&gt;0
   )),
  ),
  3
 ),
"")</f>
        <v/>
      </c>
      <c r="F326" s="3" t="str" cm="1">
        <f t="array" aca="1" ref="F326" ca="1">IFERROR(
 INDEX(
  _xlfn._xlws.FILTER($U$1:$AX$1,
   TRANSPOSE(
    CHOOSE({1;2;3;4;5;6;7;8;9;10;11;12;13;14;15;16;17;18;19;20;21;22;23;24;25;26;27;28;29;30},
     COUNTIFS($U$2:$U$200,$G326)&gt;0,
     COUNTIFS($V$2:$V$200,$G326)&gt;0,
     COUNTIFS($W$2:$W$200,$G326)&gt;0,
     COUNTIFS($X$2:$X$200,$G326)&gt;0,
     COUNTIFS($Y$2:$Y$200,$G326)&gt;0,
     COUNTIFS($Z$2:$Z$200,$G326)&gt;0,
     COUNTIFS($AA$2:$AA$200,$G326)&gt;0,
     COUNTIFS($AB$2:$AB$200,$G326)&gt;0,
     COUNTIFS($AC$2:$AC$200,$G326)&gt;0,
     COUNTIFS($AD$2:$AD$200,$G326)&gt;0,
     COUNTIFS($AE$2:$AE$200,$G326)&gt;0,
     COUNTIFS($AF$2:$AF$200,$G326)&gt;0,
     COUNTIFS($AG$2:$AG$200,$G326)&gt;0,
     COUNTIFS($AH$2:$AH$200,$G326)&gt;0,
     COUNTIFS($AI$2:$AI$200,$G326)&gt;0,
     COUNTIFS($AJ$2:$AJ$200,$G326)&gt;0,
     COUNTIFS($AK$2:$AK$200,$G326)&gt;0,
     COUNTIFS($AL$2:$AL$200,$G326)&gt;0,
     COUNTIFS($AM$2:$AM$200,$G326)&gt;0,
     COUNTIFS($AN$2:$AN$200,$G326)&gt;0,
     COUNTIFS($AO$2:$AO$200,$G326)&gt;0,
     COUNTIFS($AP$2:$AP$200,$G326)&gt;0,
     COUNTIFS($AQ$2:$AQ$200,$G326)&gt;0,
     COUNTIFS($AR$2:$AR$200,$G326)&gt;0,
     COUNTIFS($AS$2:$AS$200,$G326)&gt;0,
     COUNTIFS($AT$2:$AT$200,$G326)&gt;0,
     COUNTIFS($AU$2:$AU$200,$G326)&gt;0,
     COUNTIFS($AV$2:$AV$200,$G326)&gt;0,
     COUNTIFS($AW$2:$AW$200,$G326)&gt;0,
     COUNTIFS($AX$2:$AX$200,$G326)&gt;0
   )),
  ),
  4
 ),
"")</f>
        <v/>
      </c>
      <c r="G326" t="str">
        <f ca="1"/>
        <v>Virtue of Loyalty // Ardenvale Fealty</v>
      </c>
      <c r="CJ326" t="str">
        <f ca="1"/>
        <v>Virtue of Loyalty // Ardenvale Fealty</v>
      </c>
    </row>
    <row r="327" spans="1:88" x14ac:dyDescent="0.25">
      <c r="A327" s="3" t="str">
        <f t="shared" ca="1" si="12"/>
        <v>4</v>
      </c>
      <c r="B327" s="3">
        <f t="shared" ca="1" si="13"/>
        <v>1</v>
      </c>
      <c r="C327" s="3" t="str">
        <f ca="1">IFERROR(
 INDEX($U$1:$AX$1,
  MATCH(TRUE,
   CHOOSE({1;2;3;4;5;6;7;8;9;10;11;12;13;14;15;16;17;18;19;20;21;22;23;24;25;26;27;28;29;30;31;32},
    COUNTIFS($U$2:$U$200,$G327)&gt;0,
    COUNTIFS($V$2:$V$200,$G327)&gt;0,
    COUNTIFS($W$2:$W$200,$G327)&gt;0,
    COUNTIFS($X$2:$X$200,$G327)&gt;0,
    COUNTIFS($Y$2:$Y$200,$G327)&gt;0,
    COUNTIFS($Z$2:$Z$200,$G327)&gt;0,
    COUNTIFS($AA$2:$AA$200,$G327)&gt;0,
    COUNTIFS($AB$2:$AB$200,$G327)&gt;0,
    COUNTIFS($AC$2:$AC$200,$G327)&gt;0,
    COUNTIFS($AD$2:$AD$200,$G327)&gt;0,
    COUNTIFS($AE$2:$AE$200,$G327)&gt;0,
    COUNTIFS($AF$2:$AF$200,$G327)&gt;0,
    COUNTIFS($AG$2:$AG$200,$G327)&gt;0,
    COUNTIFS($AH$2:$AH$200,$G327)&gt;0,
    COUNTIFS($AI$2:$AI$200,$G327)&gt;0,
    COUNTIFS($AJ$2:$AJ$200,$G327)&gt;0,
    COUNTIFS($AK$2:$AK$200,$G327)&gt;0,
    COUNTIFS($AL$2:$AL$200,$G327)&gt;0,
    COUNTIFS($AM$2:$AM$200,$G327)&gt;0,
    COUNTIFS($AN$2:$AN$200,$G327)&gt;0,
    COUNTIFS($AO$2:$AO$200,$G327)&gt;0,
    COUNTIFS($AP$2:$AP$200,$G327)&gt;0,
    COUNTIFS($AQ$2:$AQ$200,$G327)&gt;0,
    COUNTIFS($AR$2:$AR$200,$G327)&gt;0,
    COUNTIFS($AS$2:$AS$200,$G327)&gt;0,
    COUNTIFS($AT$2:$AT$200,$G327)&gt;0,
    COUNTIFS($AU$2:$AU$200,$G327)&gt;0,
    COUNTIFS($AV$2:$AV$200,$G327)&gt;0,
    COUNTIFS($AW$2:$AW$200,$G327)&gt;0,
    COUNTIFS($AX$2:$AX$200,$G327)&gt;0
   ),
  0)
 ),
"")</f>
        <v>VialIshai</v>
      </c>
      <c r="D327" s="3" t="str" cm="1">
        <f t="array" aca="1" ref="D327" ca="1">IFERROR(
 INDEX(
  _xlfn._xlws.FILTER($U$1:$AX$1,
   TRANSPOSE(
    CHOOSE({1;2;3;4;5;6;7;8;9;10;11;12;13;14;15;16;17;18;19;20;21;22;23;24;25;26;27;28;29;30},
     COUNTIFS($U$2:$U$200,$G327)&gt;0,
     COUNTIFS($V$2:$V$200,$G327)&gt;0,
     COUNTIFS($W$2:$W$200,$G327)&gt;0,
     COUNTIFS($X$2:$X$200,$G327)&gt;0,
     COUNTIFS($Y$2:$Y$200,$G327)&gt;0,
     COUNTIFS($Z$2:$Z$200,$G327)&gt;0,
     COUNTIFS($AA$2:$AA$200,$G327)&gt;0,
     COUNTIFS($AB$2:$AB$200,$G327)&gt;0,
     COUNTIFS($AC$2:$AC$200,$G327)&gt;0,
     COUNTIFS($AD$2:$AD$200,$G327)&gt;0,
     COUNTIFS($AE$2:$AE$200,$G327)&gt;0,
     COUNTIFS($AF$2:$AF$200,$G327)&gt;0,
     COUNTIFS($AG$2:$AG$200,$G327)&gt;0,
     COUNTIFS($AH$2:$AH$200,$G327)&gt;0,
     COUNTIFS($AI$2:$AI$200,$G327)&gt;0,
     COUNTIFS($AJ$2:$AJ$200,$G327)&gt;0,
     COUNTIFS($AK$2:$AK$200,$G327)&gt;0,
     COUNTIFS($AL$2:$AL$200,$G327)&gt;0,
     COUNTIFS($AM$2:$AM$200,$G327)&gt;0,
     COUNTIFS($AN$2:$AN$200,$G327)&gt;0,
     COUNTIFS($AO$2:$AO$200,$G327)&gt;0,
     COUNTIFS($AP$2:$AP$200,$G327)&gt;0,
     COUNTIFS($AQ$2:$AQ$200,$G327)&gt;0,
     COUNTIFS($AR$2:$AR$200,$G327)&gt;0,
     COUNTIFS($AS$2:$AS$200,$G327)&gt;0,
     COUNTIFS($AT$2:$AT$200,$G327)&gt;0,
     COUNTIFS($AU$2:$AU$200,$G327)&gt;0,
     COUNTIFS($AV$2:$AV$200,$G327)&gt;0,
     COUNTIFS($AW$2:$AW$200,$G327)&gt;0,
     COUNTIFS($AX$2:$AX$200,$G327)&gt;0
   )),
  ),
  2
 ),
"")</f>
        <v/>
      </c>
      <c r="E327" s="3" t="str" cm="1">
        <f t="array" aca="1" ref="E327" ca="1">IFERROR(
 INDEX(
  _xlfn._xlws.FILTER($U$1:$AX$1,
   TRANSPOSE(
    CHOOSE({1;2;3;4;5;6;7;8;9;10;11;12;13;14;15;16;17;18;19;20;21;22;23;24;25;26;27;28;29;30},
     COUNTIFS($U$2:$U$200,$G327)&gt;0,
     COUNTIFS($V$2:$V$200,$G327)&gt;0,
     COUNTIFS($W$2:$W$200,$G327)&gt;0,
     COUNTIFS($X$2:$X$200,$G327)&gt;0,
     COUNTIFS($Y$2:$Y$200,$G327)&gt;0,
     COUNTIFS($Z$2:$Z$200,$G327)&gt;0,
     COUNTIFS($AA$2:$AA$200,$G327)&gt;0,
     COUNTIFS($AB$2:$AB$200,$G327)&gt;0,
     COUNTIFS($AC$2:$AC$200,$G327)&gt;0,
     COUNTIFS($AD$2:$AD$200,$G327)&gt;0,
     COUNTIFS($AE$2:$AE$200,$G327)&gt;0,
     COUNTIFS($AF$2:$AF$200,$G327)&gt;0,
     COUNTIFS($AG$2:$AG$200,$G327)&gt;0,
     COUNTIFS($AH$2:$AH$200,$G327)&gt;0,
     COUNTIFS($AI$2:$AI$200,$G327)&gt;0,
     COUNTIFS($AJ$2:$AJ$200,$G327)&gt;0,
     COUNTIFS($AK$2:$AK$200,$G327)&gt;0,
     COUNTIFS($AL$2:$AL$200,$G327)&gt;0,
     COUNTIFS($AM$2:$AM$200,$G327)&gt;0,
     COUNTIFS($AN$2:$AN$200,$G327)&gt;0,
     COUNTIFS($AO$2:$AO$200,$G327)&gt;0,
     COUNTIFS($AP$2:$AP$200,$G327)&gt;0,
     COUNTIFS($AQ$2:$AQ$200,$G327)&gt;0,
     COUNTIFS($AR$2:$AR$200,$G327)&gt;0,
     COUNTIFS($AS$2:$AS$200,$G327)&gt;0,
     COUNTIFS($AT$2:$AT$200,$G327)&gt;0,
     COUNTIFS($AU$2:$AU$200,$G327)&gt;0,
     COUNTIFS($AV$2:$AV$200,$G327)&gt;0,
     COUNTIFS($AW$2:$AW$200,$G327)&gt;0,
     COUNTIFS($AX$2:$AX$200,$G327)&gt;0
   )),
  ),
  3
 ),
"")</f>
        <v/>
      </c>
      <c r="F327" s="3" t="str" cm="1">
        <f t="array" aca="1" ref="F327" ca="1">IFERROR(
 INDEX(
  _xlfn._xlws.FILTER($U$1:$AX$1,
   TRANSPOSE(
    CHOOSE({1;2;3;4;5;6;7;8;9;10;11;12;13;14;15;16;17;18;19;20;21;22;23;24;25;26;27;28;29;30},
     COUNTIFS($U$2:$U$200,$G327)&gt;0,
     COUNTIFS($V$2:$V$200,$G327)&gt;0,
     COUNTIFS($W$2:$W$200,$G327)&gt;0,
     COUNTIFS($X$2:$X$200,$G327)&gt;0,
     COUNTIFS($Y$2:$Y$200,$G327)&gt;0,
     COUNTIFS($Z$2:$Z$200,$G327)&gt;0,
     COUNTIFS($AA$2:$AA$200,$G327)&gt;0,
     COUNTIFS($AB$2:$AB$200,$G327)&gt;0,
     COUNTIFS($AC$2:$AC$200,$G327)&gt;0,
     COUNTIFS($AD$2:$AD$200,$G327)&gt;0,
     COUNTIFS($AE$2:$AE$200,$G327)&gt;0,
     COUNTIFS($AF$2:$AF$200,$G327)&gt;0,
     COUNTIFS($AG$2:$AG$200,$G327)&gt;0,
     COUNTIFS($AH$2:$AH$200,$G327)&gt;0,
     COUNTIFS($AI$2:$AI$200,$G327)&gt;0,
     COUNTIFS($AJ$2:$AJ$200,$G327)&gt;0,
     COUNTIFS($AK$2:$AK$200,$G327)&gt;0,
     COUNTIFS($AL$2:$AL$200,$G327)&gt;0,
     COUNTIFS($AM$2:$AM$200,$G327)&gt;0,
     COUNTIFS($AN$2:$AN$200,$G327)&gt;0,
     COUNTIFS($AO$2:$AO$200,$G327)&gt;0,
     COUNTIFS($AP$2:$AP$200,$G327)&gt;0,
     COUNTIFS($AQ$2:$AQ$200,$G327)&gt;0,
     COUNTIFS($AR$2:$AR$200,$G327)&gt;0,
     COUNTIFS($AS$2:$AS$200,$G327)&gt;0,
     COUNTIFS($AT$2:$AT$200,$G327)&gt;0,
     COUNTIFS($AU$2:$AU$200,$G327)&gt;0,
     COUNTIFS($AV$2:$AV$200,$G327)&gt;0,
     COUNTIFS($AW$2:$AW$200,$G327)&gt;0,
     COUNTIFS($AX$2:$AX$200,$G327)&gt;0
   )),
  ),
  4
 ),
"")</f>
        <v/>
      </c>
      <c r="G327" t="str">
        <f ca="1"/>
        <v>Vontade Dominadora</v>
      </c>
      <c r="CJ327" t="str">
        <f ca="1"/>
        <v>Vontade Dominadora</v>
      </c>
    </row>
    <row r="328" spans="1:88" x14ac:dyDescent="0.25">
      <c r="A328" s="3" t="str">
        <f t="shared" ca="1" si="12"/>
        <v>3</v>
      </c>
      <c r="B328" s="3">
        <f t="shared" ca="1" si="13"/>
        <v>1</v>
      </c>
      <c r="C328" s="3" t="str">
        <f ca="1">IFERROR(
 INDEX($U$1:$AX$1,
  MATCH(TRUE,
   CHOOSE({1;2;3;4;5;6;7;8;9;10;11;12;13;14;15;16;17;18;19;20;21;22;23;24;25;26;27;28;29;30;31;32},
    COUNTIFS($U$2:$U$200,$G328)&gt;0,
    COUNTIFS($V$2:$V$200,$G328)&gt;0,
    COUNTIFS($W$2:$W$200,$G328)&gt;0,
    COUNTIFS($X$2:$X$200,$G328)&gt;0,
    COUNTIFS($Y$2:$Y$200,$G328)&gt;0,
    COUNTIFS($Z$2:$Z$200,$G328)&gt;0,
    COUNTIFS($AA$2:$AA$200,$G328)&gt;0,
    COUNTIFS($AB$2:$AB$200,$G328)&gt;0,
    COUNTIFS($AC$2:$AC$200,$G328)&gt;0,
    COUNTIFS($AD$2:$AD$200,$G328)&gt;0,
    COUNTIFS($AE$2:$AE$200,$G328)&gt;0,
    COUNTIFS($AF$2:$AF$200,$G328)&gt;0,
    COUNTIFS($AG$2:$AG$200,$G328)&gt;0,
    COUNTIFS($AH$2:$AH$200,$G328)&gt;0,
    COUNTIFS($AI$2:$AI$200,$G328)&gt;0,
    COUNTIFS($AJ$2:$AJ$200,$G328)&gt;0,
    COUNTIFS($AK$2:$AK$200,$G328)&gt;0,
    COUNTIFS($AL$2:$AL$200,$G328)&gt;0,
    COUNTIFS($AM$2:$AM$200,$G328)&gt;0,
    COUNTIFS($AN$2:$AN$200,$G328)&gt;0,
    COUNTIFS($AO$2:$AO$200,$G328)&gt;0,
    COUNTIFS($AP$2:$AP$200,$G328)&gt;0,
    COUNTIFS($AQ$2:$AQ$200,$G328)&gt;0,
    COUNTIFS($AR$2:$AR$200,$G328)&gt;0,
    COUNTIFS($AS$2:$AS$200,$G328)&gt;0,
    COUNTIFS($AT$2:$AT$200,$G328)&gt;0,
    COUNTIFS($AU$2:$AU$200,$G328)&gt;0,
    COUNTIFS($AV$2:$AV$200,$G328)&gt;0,
    COUNTIFS($AW$2:$AW$200,$G328)&gt;0,
    COUNTIFS($AX$2:$AX$200,$G328)&gt;0
   ),
  0)
 ),
"")</f>
        <v>Sisay</v>
      </c>
      <c r="D328" s="3" t="str" cm="1">
        <f t="array" aca="1" ref="D328" ca="1">IFERROR(
 INDEX(
  _xlfn._xlws.FILTER($U$1:$AX$1,
   TRANSPOSE(
    CHOOSE({1;2;3;4;5;6;7;8;9;10;11;12;13;14;15;16;17;18;19;20;21;22;23;24;25;26;27;28;29;30},
     COUNTIFS($U$2:$U$200,$G328)&gt;0,
     COUNTIFS($V$2:$V$200,$G328)&gt;0,
     COUNTIFS($W$2:$W$200,$G328)&gt;0,
     COUNTIFS($X$2:$X$200,$G328)&gt;0,
     COUNTIFS($Y$2:$Y$200,$G328)&gt;0,
     COUNTIFS($Z$2:$Z$200,$G328)&gt;0,
     COUNTIFS($AA$2:$AA$200,$G328)&gt;0,
     COUNTIFS($AB$2:$AB$200,$G328)&gt;0,
     COUNTIFS($AC$2:$AC$200,$G328)&gt;0,
     COUNTIFS($AD$2:$AD$200,$G328)&gt;0,
     COUNTIFS($AE$2:$AE$200,$G328)&gt;0,
     COUNTIFS($AF$2:$AF$200,$G328)&gt;0,
     COUNTIFS($AG$2:$AG$200,$G328)&gt;0,
     COUNTIFS($AH$2:$AH$200,$G328)&gt;0,
     COUNTIFS($AI$2:$AI$200,$G328)&gt;0,
     COUNTIFS($AJ$2:$AJ$200,$G328)&gt;0,
     COUNTIFS($AK$2:$AK$200,$G328)&gt;0,
     COUNTIFS($AL$2:$AL$200,$G328)&gt;0,
     COUNTIFS($AM$2:$AM$200,$G328)&gt;0,
     COUNTIFS($AN$2:$AN$200,$G328)&gt;0,
     COUNTIFS($AO$2:$AO$200,$G328)&gt;0,
     COUNTIFS($AP$2:$AP$200,$G328)&gt;0,
     COUNTIFS($AQ$2:$AQ$200,$G328)&gt;0,
     COUNTIFS($AR$2:$AR$200,$G328)&gt;0,
     COUNTIFS($AS$2:$AS$200,$G328)&gt;0,
     COUNTIFS($AT$2:$AT$200,$G328)&gt;0,
     COUNTIFS($AU$2:$AU$200,$G328)&gt;0,
     COUNTIFS($AV$2:$AV$200,$G328)&gt;0,
     COUNTIFS($AW$2:$AW$200,$G328)&gt;0,
     COUNTIFS($AX$2:$AX$200,$G328)&gt;0
   )),
  ),
  2
 ),
"")</f>
        <v/>
      </c>
      <c r="E328" s="3" t="str" cm="1">
        <f t="array" aca="1" ref="E328" ca="1">IFERROR(
 INDEX(
  _xlfn._xlws.FILTER($U$1:$AX$1,
   TRANSPOSE(
    CHOOSE({1;2;3;4;5;6;7;8;9;10;11;12;13;14;15;16;17;18;19;20;21;22;23;24;25;26;27;28;29;30},
     COUNTIFS($U$2:$U$200,$G328)&gt;0,
     COUNTIFS($V$2:$V$200,$G328)&gt;0,
     COUNTIFS($W$2:$W$200,$G328)&gt;0,
     COUNTIFS($X$2:$X$200,$G328)&gt;0,
     COUNTIFS($Y$2:$Y$200,$G328)&gt;0,
     COUNTIFS($Z$2:$Z$200,$G328)&gt;0,
     COUNTIFS($AA$2:$AA$200,$G328)&gt;0,
     COUNTIFS($AB$2:$AB$200,$G328)&gt;0,
     COUNTIFS($AC$2:$AC$200,$G328)&gt;0,
     COUNTIFS($AD$2:$AD$200,$G328)&gt;0,
     COUNTIFS($AE$2:$AE$200,$G328)&gt;0,
     COUNTIFS($AF$2:$AF$200,$G328)&gt;0,
     COUNTIFS($AG$2:$AG$200,$G328)&gt;0,
     COUNTIFS($AH$2:$AH$200,$G328)&gt;0,
     COUNTIFS($AI$2:$AI$200,$G328)&gt;0,
     COUNTIFS($AJ$2:$AJ$200,$G328)&gt;0,
     COUNTIFS($AK$2:$AK$200,$G328)&gt;0,
     COUNTIFS($AL$2:$AL$200,$G328)&gt;0,
     COUNTIFS($AM$2:$AM$200,$G328)&gt;0,
     COUNTIFS($AN$2:$AN$200,$G328)&gt;0,
     COUNTIFS($AO$2:$AO$200,$G328)&gt;0,
     COUNTIFS($AP$2:$AP$200,$G328)&gt;0,
     COUNTIFS($AQ$2:$AQ$200,$G328)&gt;0,
     COUNTIFS($AR$2:$AR$200,$G328)&gt;0,
     COUNTIFS($AS$2:$AS$200,$G328)&gt;0,
     COUNTIFS($AT$2:$AT$200,$G328)&gt;0,
     COUNTIFS($AU$2:$AU$200,$G328)&gt;0,
     COUNTIFS($AV$2:$AV$200,$G328)&gt;0,
     COUNTIFS($AW$2:$AW$200,$G328)&gt;0,
     COUNTIFS($AX$2:$AX$200,$G328)&gt;0
   )),
  ),
  3
 ),
"")</f>
        <v/>
      </c>
      <c r="F328" s="3" t="str" cm="1">
        <f t="array" aca="1" ref="F328" ca="1">IFERROR(
 INDEX(
  _xlfn._xlws.FILTER($U$1:$AX$1,
   TRANSPOSE(
    CHOOSE({1;2;3;4;5;6;7;8;9;10;11;12;13;14;15;16;17;18;19;20;21;22;23;24;25;26;27;28;29;30},
     COUNTIFS($U$2:$U$200,$G328)&gt;0,
     COUNTIFS($V$2:$V$200,$G328)&gt;0,
     COUNTIFS($W$2:$W$200,$G328)&gt;0,
     COUNTIFS($X$2:$X$200,$G328)&gt;0,
     COUNTIFS($Y$2:$Y$200,$G328)&gt;0,
     COUNTIFS($Z$2:$Z$200,$G328)&gt;0,
     COUNTIFS($AA$2:$AA$200,$G328)&gt;0,
     COUNTIFS($AB$2:$AB$200,$G328)&gt;0,
     COUNTIFS($AC$2:$AC$200,$G328)&gt;0,
     COUNTIFS($AD$2:$AD$200,$G328)&gt;0,
     COUNTIFS($AE$2:$AE$200,$G328)&gt;0,
     COUNTIFS($AF$2:$AF$200,$G328)&gt;0,
     COUNTIFS($AG$2:$AG$200,$G328)&gt;0,
     COUNTIFS($AH$2:$AH$200,$G328)&gt;0,
     COUNTIFS($AI$2:$AI$200,$G328)&gt;0,
     COUNTIFS($AJ$2:$AJ$200,$G328)&gt;0,
     COUNTIFS($AK$2:$AK$200,$G328)&gt;0,
     COUNTIFS($AL$2:$AL$200,$G328)&gt;0,
     COUNTIFS($AM$2:$AM$200,$G328)&gt;0,
     COUNTIFS($AN$2:$AN$200,$G328)&gt;0,
     COUNTIFS($AO$2:$AO$200,$G328)&gt;0,
     COUNTIFS($AP$2:$AP$200,$G328)&gt;0,
     COUNTIFS($AQ$2:$AQ$200,$G328)&gt;0,
     COUNTIFS($AR$2:$AR$200,$G328)&gt;0,
     COUNTIFS($AS$2:$AS$200,$G328)&gt;0,
     COUNTIFS($AT$2:$AT$200,$G328)&gt;0,
     COUNTIFS($AU$2:$AU$200,$G328)&gt;0,
     COUNTIFS($AV$2:$AV$200,$G328)&gt;0,
     COUNTIFS($AW$2:$AW$200,$G328)&gt;0,
     COUNTIFS($AX$2:$AX$200,$G328)&gt;0
   )),
  ),
  4
 ),
"")</f>
        <v/>
      </c>
      <c r="G328" t="str">
        <f ca="1"/>
        <v>Vronos, Masked Inquisitor</v>
      </c>
      <c r="CJ328" t="str">
        <f ca="1"/>
        <v>Vronos, Masked Inquisitor</v>
      </c>
    </row>
    <row r="329" spans="1:88" x14ac:dyDescent="0.25">
      <c r="A329" s="3" t="str">
        <f t="shared" ca="1" si="12"/>
        <v>2</v>
      </c>
      <c r="B329" s="3">
        <f t="shared" ca="1" si="13"/>
        <v>1</v>
      </c>
      <c r="C329" s="3" t="str">
        <f ca="1">IFERROR(
 INDEX($U$1:$AX$1,
  MATCH(TRUE,
   CHOOSE({1;2;3;4;5;6;7;8;9;10;11;12;13;14;15;16;17;18;19;20;21;22;23;24;25;26;27;28;29;30;31;32},
    COUNTIFS($U$2:$U$200,$G329)&gt;0,
    COUNTIFS($V$2:$V$200,$G329)&gt;0,
    COUNTIFS($W$2:$W$200,$G329)&gt;0,
    COUNTIFS($X$2:$X$200,$G329)&gt;0,
    COUNTIFS($Y$2:$Y$200,$G329)&gt;0,
    COUNTIFS($Z$2:$Z$200,$G329)&gt;0,
    COUNTIFS($AA$2:$AA$200,$G329)&gt;0,
    COUNTIFS($AB$2:$AB$200,$G329)&gt;0,
    COUNTIFS($AC$2:$AC$200,$G329)&gt;0,
    COUNTIFS($AD$2:$AD$200,$G329)&gt;0,
    COUNTIFS($AE$2:$AE$200,$G329)&gt;0,
    COUNTIFS($AF$2:$AF$200,$G329)&gt;0,
    COUNTIFS($AG$2:$AG$200,$G329)&gt;0,
    COUNTIFS($AH$2:$AH$200,$G329)&gt;0,
    COUNTIFS($AI$2:$AI$200,$G329)&gt;0,
    COUNTIFS($AJ$2:$AJ$200,$G329)&gt;0,
    COUNTIFS($AK$2:$AK$200,$G329)&gt;0,
    COUNTIFS($AL$2:$AL$200,$G329)&gt;0,
    COUNTIFS($AM$2:$AM$200,$G329)&gt;0,
    COUNTIFS($AN$2:$AN$200,$G329)&gt;0,
    COUNTIFS($AO$2:$AO$200,$G329)&gt;0,
    COUNTIFS($AP$2:$AP$200,$G329)&gt;0,
    COUNTIFS($AQ$2:$AQ$200,$G329)&gt;0,
    COUNTIFS($AR$2:$AR$200,$G329)&gt;0,
    COUNTIFS($AS$2:$AS$200,$G329)&gt;0,
    COUNTIFS($AT$2:$AT$200,$G329)&gt;0,
    COUNTIFS($AU$2:$AU$200,$G329)&gt;0,
    COUNTIFS($AV$2:$AV$200,$G329)&gt;0,
    COUNTIFS($AW$2:$AW$200,$G329)&gt;0,
    COUNTIFS($AX$2:$AX$200,$G329)&gt;0
   ),
  0)
 ),
"")</f>
        <v>Baylen</v>
      </c>
      <c r="D329" s="3" t="str" cm="1">
        <f t="array" aca="1" ref="D329" ca="1">IFERROR(
 INDEX(
  _xlfn._xlws.FILTER($U$1:$AX$1,
   TRANSPOSE(
    CHOOSE({1;2;3;4;5;6;7;8;9;10;11;12;13;14;15;16;17;18;19;20;21;22;23;24;25;26;27;28;29;30},
     COUNTIFS($U$2:$U$200,$G329)&gt;0,
     COUNTIFS($V$2:$V$200,$G329)&gt;0,
     COUNTIFS($W$2:$W$200,$G329)&gt;0,
     COUNTIFS($X$2:$X$200,$G329)&gt;0,
     COUNTIFS($Y$2:$Y$200,$G329)&gt;0,
     COUNTIFS($Z$2:$Z$200,$G329)&gt;0,
     COUNTIFS($AA$2:$AA$200,$G329)&gt;0,
     COUNTIFS($AB$2:$AB$200,$G329)&gt;0,
     COUNTIFS($AC$2:$AC$200,$G329)&gt;0,
     COUNTIFS($AD$2:$AD$200,$G329)&gt;0,
     COUNTIFS($AE$2:$AE$200,$G329)&gt;0,
     COUNTIFS($AF$2:$AF$200,$G329)&gt;0,
     COUNTIFS($AG$2:$AG$200,$G329)&gt;0,
     COUNTIFS($AH$2:$AH$200,$G329)&gt;0,
     COUNTIFS($AI$2:$AI$200,$G329)&gt;0,
     COUNTIFS($AJ$2:$AJ$200,$G329)&gt;0,
     COUNTIFS($AK$2:$AK$200,$G329)&gt;0,
     COUNTIFS($AL$2:$AL$200,$G329)&gt;0,
     COUNTIFS($AM$2:$AM$200,$G329)&gt;0,
     COUNTIFS($AN$2:$AN$200,$G329)&gt;0,
     COUNTIFS($AO$2:$AO$200,$G329)&gt;0,
     COUNTIFS($AP$2:$AP$200,$G329)&gt;0,
     COUNTIFS($AQ$2:$AQ$200,$G329)&gt;0,
     COUNTIFS($AR$2:$AR$200,$G329)&gt;0,
     COUNTIFS($AS$2:$AS$200,$G329)&gt;0,
     COUNTIFS($AT$2:$AT$200,$G329)&gt;0,
     COUNTIFS($AU$2:$AU$200,$G329)&gt;0,
     COUNTIFS($AV$2:$AV$200,$G329)&gt;0,
     COUNTIFS($AW$2:$AW$200,$G329)&gt;0,
     COUNTIFS($AX$2:$AX$200,$G329)&gt;0
   )),
  ),
  2
 ),
"")</f>
        <v/>
      </c>
      <c r="E329" s="3" t="str" cm="1">
        <f t="array" aca="1" ref="E329" ca="1">IFERROR(
 INDEX(
  _xlfn._xlws.FILTER($U$1:$AX$1,
   TRANSPOSE(
    CHOOSE({1;2;3;4;5;6;7;8;9;10;11;12;13;14;15;16;17;18;19;20;21;22;23;24;25;26;27;28;29;30},
     COUNTIFS($U$2:$U$200,$G329)&gt;0,
     COUNTIFS($V$2:$V$200,$G329)&gt;0,
     COUNTIFS($W$2:$W$200,$G329)&gt;0,
     COUNTIFS($X$2:$X$200,$G329)&gt;0,
     COUNTIFS($Y$2:$Y$200,$G329)&gt;0,
     COUNTIFS($Z$2:$Z$200,$G329)&gt;0,
     COUNTIFS($AA$2:$AA$200,$G329)&gt;0,
     COUNTIFS($AB$2:$AB$200,$G329)&gt;0,
     COUNTIFS($AC$2:$AC$200,$G329)&gt;0,
     COUNTIFS($AD$2:$AD$200,$G329)&gt;0,
     COUNTIFS($AE$2:$AE$200,$G329)&gt;0,
     COUNTIFS($AF$2:$AF$200,$G329)&gt;0,
     COUNTIFS($AG$2:$AG$200,$G329)&gt;0,
     COUNTIFS($AH$2:$AH$200,$G329)&gt;0,
     COUNTIFS($AI$2:$AI$200,$G329)&gt;0,
     COUNTIFS($AJ$2:$AJ$200,$G329)&gt;0,
     COUNTIFS($AK$2:$AK$200,$G329)&gt;0,
     COUNTIFS($AL$2:$AL$200,$G329)&gt;0,
     COUNTIFS($AM$2:$AM$200,$G329)&gt;0,
     COUNTIFS($AN$2:$AN$200,$G329)&gt;0,
     COUNTIFS($AO$2:$AO$200,$G329)&gt;0,
     COUNTIFS($AP$2:$AP$200,$G329)&gt;0,
     COUNTIFS($AQ$2:$AQ$200,$G329)&gt;0,
     COUNTIFS($AR$2:$AR$200,$G329)&gt;0,
     COUNTIFS($AS$2:$AS$200,$G329)&gt;0,
     COUNTIFS($AT$2:$AT$200,$G329)&gt;0,
     COUNTIFS($AU$2:$AU$200,$G329)&gt;0,
     COUNTIFS($AV$2:$AV$200,$G329)&gt;0,
     COUNTIFS($AW$2:$AW$200,$G329)&gt;0,
     COUNTIFS($AX$2:$AX$200,$G329)&gt;0
   )),
  ),
  3
 ),
"")</f>
        <v/>
      </c>
      <c r="F329" s="3" t="str" cm="1">
        <f t="array" aca="1" ref="F329" ca="1">IFERROR(
 INDEX(
  _xlfn._xlws.FILTER($U$1:$AX$1,
   TRANSPOSE(
    CHOOSE({1;2;3;4;5;6;7;8;9;10;11;12;13;14;15;16;17;18;19;20;21;22;23;24;25;26;27;28;29;30},
     COUNTIFS($U$2:$U$200,$G329)&gt;0,
     COUNTIFS($V$2:$V$200,$G329)&gt;0,
     COUNTIFS($W$2:$W$200,$G329)&gt;0,
     COUNTIFS($X$2:$X$200,$G329)&gt;0,
     COUNTIFS($Y$2:$Y$200,$G329)&gt;0,
     COUNTIFS($Z$2:$Z$200,$G329)&gt;0,
     COUNTIFS($AA$2:$AA$200,$G329)&gt;0,
     COUNTIFS($AB$2:$AB$200,$G329)&gt;0,
     COUNTIFS($AC$2:$AC$200,$G329)&gt;0,
     COUNTIFS($AD$2:$AD$200,$G329)&gt;0,
     COUNTIFS($AE$2:$AE$200,$G329)&gt;0,
     COUNTIFS($AF$2:$AF$200,$G329)&gt;0,
     COUNTIFS($AG$2:$AG$200,$G329)&gt;0,
     COUNTIFS($AH$2:$AH$200,$G329)&gt;0,
     COUNTIFS($AI$2:$AI$200,$G329)&gt;0,
     COUNTIFS($AJ$2:$AJ$200,$G329)&gt;0,
     COUNTIFS($AK$2:$AK$200,$G329)&gt;0,
     COUNTIFS($AL$2:$AL$200,$G329)&gt;0,
     COUNTIFS($AM$2:$AM$200,$G329)&gt;0,
     COUNTIFS($AN$2:$AN$200,$G329)&gt;0,
     COUNTIFS($AO$2:$AO$200,$G329)&gt;0,
     COUNTIFS($AP$2:$AP$200,$G329)&gt;0,
     COUNTIFS($AQ$2:$AQ$200,$G329)&gt;0,
     COUNTIFS($AR$2:$AR$200,$G329)&gt;0,
     COUNTIFS($AS$2:$AS$200,$G329)&gt;0,
     COUNTIFS($AT$2:$AT$200,$G329)&gt;0,
     COUNTIFS($AU$2:$AU$200,$G329)&gt;0,
     COUNTIFS($AV$2:$AV$200,$G329)&gt;0,
     COUNTIFS($AW$2:$AW$200,$G329)&gt;0,
     COUNTIFS($AX$2:$AX$200,$G329)&gt;0
   )),
  ),
  4
 ),
"")</f>
        <v/>
      </c>
      <c r="G329" t="str">
        <f ca="1"/>
        <v>Warleader's Call</v>
      </c>
      <c r="CJ329" t="str">
        <f ca="1"/>
        <v>Warleader's Call</v>
      </c>
    </row>
    <row r="330" spans="1:88" x14ac:dyDescent="0.25">
      <c r="A330" s="3" t="str">
        <f t="shared" ca="1" si="12"/>
        <v>4</v>
      </c>
      <c r="B330" s="3">
        <f t="shared" ca="1" si="13"/>
        <v>2</v>
      </c>
      <c r="C330" s="3" t="str">
        <f ca="1">IFERROR(
 INDEX($U$1:$AX$1,
  MATCH(TRUE,
   CHOOSE({1;2;3;4;5;6;7;8;9;10;11;12;13;14;15;16;17;18;19;20;21;22;23;24;25;26;27;28;29;30;31;32},
    COUNTIFS($U$2:$U$200,$G330)&gt;0,
    COUNTIFS($V$2:$V$200,$G330)&gt;0,
    COUNTIFS($W$2:$W$200,$G330)&gt;0,
    COUNTIFS($X$2:$X$200,$G330)&gt;0,
    COUNTIFS($Y$2:$Y$200,$G330)&gt;0,
    COUNTIFS($Z$2:$Z$200,$G330)&gt;0,
    COUNTIFS($AA$2:$AA$200,$G330)&gt;0,
    COUNTIFS($AB$2:$AB$200,$G330)&gt;0,
    COUNTIFS($AC$2:$AC$200,$G330)&gt;0,
    COUNTIFS($AD$2:$AD$200,$G330)&gt;0,
    COUNTIFS($AE$2:$AE$200,$G330)&gt;0,
    COUNTIFS($AF$2:$AF$200,$G330)&gt;0,
    COUNTIFS($AG$2:$AG$200,$G330)&gt;0,
    COUNTIFS($AH$2:$AH$200,$G330)&gt;0,
    COUNTIFS($AI$2:$AI$200,$G330)&gt;0,
    COUNTIFS($AJ$2:$AJ$200,$G330)&gt;0,
    COUNTIFS($AK$2:$AK$200,$G330)&gt;0,
    COUNTIFS($AL$2:$AL$200,$G330)&gt;0,
    COUNTIFS($AM$2:$AM$200,$G330)&gt;0,
    COUNTIFS($AN$2:$AN$200,$G330)&gt;0,
    COUNTIFS($AO$2:$AO$200,$G330)&gt;0,
    COUNTIFS($AP$2:$AP$200,$G330)&gt;0,
    COUNTIFS($AQ$2:$AQ$200,$G330)&gt;0,
    COUNTIFS($AR$2:$AR$200,$G330)&gt;0,
    COUNTIFS($AS$2:$AS$200,$G330)&gt;0,
    COUNTIFS($AT$2:$AT$200,$G330)&gt;0,
    COUNTIFS($AU$2:$AU$200,$G330)&gt;0,
    COUNTIFS($AV$2:$AV$200,$G330)&gt;0,
    COUNTIFS($AW$2:$AW$200,$G330)&gt;0,
    COUNTIFS($AX$2:$AX$200,$G330)&gt;0
   ),
  0)
 ),
"")</f>
        <v>Inalla</v>
      </c>
      <c r="D330" s="3" t="str" cm="1">
        <f t="array" aca="1" ref="D330" ca="1">IFERROR(
 INDEX(
  _xlfn._xlws.FILTER($U$1:$AX$1,
   TRANSPOSE(
    CHOOSE({1;2;3;4;5;6;7;8;9;10;11;12;13;14;15;16;17;18;19;20;21;22;23;24;25;26;27;28;29;30},
     COUNTIFS($U$2:$U$200,$G330)&gt;0,
     COUNTIFS($V$2:$V$200,$G330)&gt;0,
     COUNTIFS($W$2:$W$200,$G330)&gt;0,
     COUNTIFS($X$2:$X$200,$G330)&gt;0,
     COUNTIFS($Y$2:$Y$200,$G330)&gt;0,
     COUNTIFS($Z$2:$Z$200,$G330)&gt;0,
     COUNTIFS($AA$2:$AA$200,$G330)&gt;0,
     COUNTIFS($AB$2:$AB$200,$G330)&gt;0,
     COUNTIFS($AC$2:$AC$200,$G330)&gt;0,
     COUNTIFS($AD$2:$AD$200,$G330)&gt;0,
     COUNTIFS($AE$2:$AE$200,$G330)&gt;0,
     COUNTIFS($AF$2:$AF$200,$G330)&gt;0,
     COUNTIFS($AG$2:$AG$200,$G330)&gt;0,
     COUNTIFS($AH$2:$AH$200,$G330)&gt;0,
     COUNTIFS($AI$2:$AI$200,$G330)&gt;0,
     COUNTIFS($AJ$2:$AJ$200,$G330)&gt;0,
     COUNTIFS($AK$2:$AK$200,$G330)&gt;0,
     COUNTIFS($AL$2:$AL$200,$G330)&gt;0,
     COUNTIFS($AM$2:$AM$200,$G330)&gt;0,
     COUNTIFS($AN$2:$AN$200,$G330)&gt;0,
     COUNTIFS($AO$2:$AO$200,$G330)&gt;0,
     COUNTIFS($AP$2:$AP$200,$G330)&gt;0,
     COUNTIFS($AQ$2:$AQ$200,$G330)&gt;0,
     COUNTIFS($AR$2:$AR$200,$G330)&gt;0,
     COUNTIFS($AS$2:$AS$200,$G330)&gt;0,
     COUNTIFS($AT$2:$AT$200,$G330)&gt;0,
     COUNTIFS($AU$2:$AU$200,$G330)&gt;0,
     COUNTIFS($AV$2:$AV$200,$G330)&gt;0,
     COUNTIFS($AW$2:$AW$200,$G330)&gt;0,
     COUNTIFS($AX$2:$AX$200,$G330)&gt;0
   )),
  ),
  2
 ),
"")</f>
        <v>OWA</v>
      </c>
      <c r="E330" s="3" t="str" cm="1">
        <f t="array" aca="1" ref="E330" ca="1">IFERROR(
 INDEX(
  _xlfn._xlws.FILTER($U$1:$AX$1,
   TRANSPOSE(
    CHOOSE({1;2;3;4;5;6;7;8;9;10;11;12;13;14;15;16;17;18;19;20;21;22;23;24;25;26;27;28;29;30},
     COUNTIFS($U$2:$U$200,$G330)&gt;0,
     COUNTIFS($V$2:$V$200,$G330)&gt;0,
     COUNTIFS($W$2:$W$200,$G330)&gt;0,
     COUNTIFS($X$2:$X$200,$G330)&gt;0,
     COUNTIFS($Y$2:$Y$200,$G330)&gt;0,
     COUNTIFS($Z$2:$Z$200,$G330)&gt;0,
     COUNTIFS($AA$2:$AA$200,$G330)&gt;0,
     COUNTIFS($AB$2:$AB$200,$G330)&gt;0,
     COUNTIFS($AC$2:$AC$200,$G330)&gt;0,
     COUNTIFS($AD$2:$AD$200,$G330)&gt;0,
     COUNTIFS($AE$2:$AE$200,$G330)&gt;0,
     COUNTIFS($AF$2:$AF$200,$G330)&gt;0,
     COUNTIFS($AG$2:$AG$200,$G330)&gt;0,
     COUNTIFS($AH$2:$AH$200,$G330)&gt;0,
     COUNTIFS($AI$2:$AI$200,$G330)&gt;0,
     COUNTIFS($AJ$2:$AJ$200,$G330)&gt;0,
     COUNTIFS($AK$2:$AK$200,$G330)&gt;0,
     COUNTIFS($AL$2:$AL$200,$G330)&gt;0,
     COUNTIFS($AM$2:$AM$200,$G330)&gt;0,
     COUNTIFS($AN$2:$AN$200,$G330)&gt;0,
     COUNTIFS($AO$2:$AO$200,$G330)&gt;0,
     COUNTIFS($AP$2:$AP$200,$G330)&gt;0,
     COUNTIFS($AQ$2:$AQ$200,$G330)&gt;0,
     COUNTIFS($AR$2:$AR$200,$G330)&gt;0,
     COUNTIFS($AS$2:$AS$200,$G330)&gt;0,
     COUNTIFS($AT$2:$AT$200,$G330)&gt;0,
     COUNTIFS($AU$2:$AU$200,$G330)&gt;0,
     COUNTIFS($AV$2:$AV$200,$G330)&gt;0,
     COUNTIFS($AW$2:$AW$200,$G330)&gt;0,
     COUNTIFS($AX$2:$AX$200,$G330)&gt;0
   )),
  ),
  3
 ),
"")</f>
        <v/>
      </c>
      <c r="F330" s="3" t="str" cm="1">
        <f t="array" aca="1" ref="F330" ca="1">IFERROR(
 INDEX(
  _xlfn._xlws.FILTER($U$1:$AX$1,
   TRANSPOSE(
    CHOOSE({1;2;3;4;5;6;7;8;9;10;11;12;13;14;15;16;17;18;19;20;21;22;23;24;25;26;27;28;29;30},
     COUNTIFS($U$2:$U$200,$G330)&gt;0,
     COUNTIFS($V$2:$V$200,$G330)&gt;0,
     COUNTIFS($W$2:$W$200,$G330)&gt;0,
     COUNTIFS($X$2:$X$200,$G330)&gt;0,
     COUNTIFS($Y$2:$Y$200,$G330)&gt;0,
     COUNTIFS($Z$2:$Z$200,$G330)&gt;0,
     COUNTIFS($AA$2:$AA$200,$G330)&gt;0,
     COUNTIFS($AB$2:$AB$200,$G330)&gt;0,
     COUNTIFS($AC$2:$AC$200,$G330)&gt;0,
     COUNTIFS($AD$2:$AD$200,$G330)&gt;0,
     COUNTIFS($AE$2:$AE$200,$G330)&gt;0,
     COUNTIFS($AF$2:$AF$200,$G330)&gt;0,
     COUNTIFS($AG$2:$AG$200,$G330)&gt;0,
     COUNTIFS($AH$2:$AH$200,$G330)&gt;0,
     COUNTIFS($AI$2:$AI$200,$G330)&gt;0,
     COUNTIFS($AJ$2:$AJ$200,$G330)&gt;0,
     COUNTIFS($AK$2:$AK$200,$G330)&gt;0,
     COUNTIFS($AL$2:$AL$200,$G330)&gt;0,
     COUNTIFS($AM$2:$AM$200,$G330)&gt;0,
     COUNTIFS($AN$2:$AN$200,$G330)&gt;0,
     COUNTIFS($AO$2:$AO$200,$G330)&gt;0,
     COUNTIFS($AP$2:$AP$200,$G330)&gt;0,
     COUNTIFS($AQ$2:$AQ$200,$G330)&gt;0,
     COUNTIFS($AR$2:$AR$200,$G330)&gt;0,
     COUNTIFS($AS$2:$AS$200,$G330)&gt;0,
     COUNTIFS($AT$2:$AT$200,$G330)&gt;0,
     COUNTIFS($AU$2:$AU$200,$G330)&gt;0,
     COUNTIFS($AV$2:$AV$200,$G330)&gt;0,
     COUNTIFS($AW$2:$AW$200,$G330)&gt;0,
     COUNTIFS($AX$2:$AX$200,$G330)&gt;0
   )),
  ),
  4
 ),
"")</f>
        <v/>
      </c>
      <c r="G330" t="str">
        <f ca="1"/>
        <v>Warren Soultrader</v>
      </c>
      <c r="CJ330" t="str">
        <f ca="1"/>
        <v>Warren Soultrader</v>
      </c>
    </row>
    <row r="331" spans="1:88" x14ac:dyDescent="0.25">
      <c r="A331" s="3" t="str">
        <f t="shared" ca="1" si="12"/>
        <v>4</v>
      </c>
      <c r="B331" s="3">
        <f t="shared" ca="1" si="13"/>
        <v>3</v>
      </c>
      <c r="C331" s="3" t="str">
        <f ca="1">IFERROR(
 INDEX($U$1:$AX$1,
  MATCH(TRUE,
   CHOOSE({1;2;3;4;5;6;7;8;9;10;11;12;13;14;15;16;17;18;19;20;21;22;23;24;25;26;27;28;29;30;31;32},
    COUNTIFS($U$2:$U$200,$G331)&gt;0,
    COUNTIFS($V$2:$V$200,$G331)&gt;0,
    COUNTIFS($W$2:$W$200,$G331)&gt;0,
    COUNTIFS($X$2:$X$200,$G331)&gt;0,
    COUNTIFS($Y$2:$Y$200,$G331)&gt;0,
    COUNTIFS($Z$2:$Z$200,$G331)&gt;0,
    COUNTIFS($AA$2:$AA$200,$G331)&gt;0,
    COUNTIFS($AB$2:$AB$200,$G331)&gt;0,
    COUNTIFS($AC$2:$AC$200,$G331)&gt;0,
    COUNTIFS($AD$2:$AD$200,$G331)&gt;0,
    COUNTIFS($AE$2:$AE$200,$G331)&gt;0,
    COUNTIFS($AF$2:$AF$200,$G331)&gt;0,
    COUNTIFS($AG$2:$AG$200,$G331)&gt;0,
    COUNTIFS($AH$2:$AH$200,$G331)&gt;0,
    COUNTIFS($AI$2:$AI$200,$G331)&gt;0,
    COUNTIFS($AJ$2:$AJ$200,$G331)&gt;0,
    COUNTIFS($AK$2:$AK$200,$G331)&gt;0,
    COUNTIFS($AL$2:$AL$200,$G331)&gt;0,
    COUNTIFS($AM$2:$AM$200,$G331)&gt;0,
    COUNTIFS($AN$2:$AN$200,$G331)&gt;0,
    COUNTIFS($AO$2:$AO$200,$G331)&gt;0,
    COUNTIFS($AP$2:$AP$200,$G331)&gt;0,
    COUNTIFS($AQ$2:$AQ$200,$G331)&gt;0,
    COUNTIFS($AR$2:$AR$200,$G331)&gt;0,
    COUNTIFS($AS$2:$AS$200,$G331)&gt;0,
    COUNTIFS($AT$2:$AT$200,$G331)&gt;0,
    COUNTIFS($AU$2:$AU$200,$G331)&gt;0,
    COUNTIFS($AV$2:$AV$200,$G331)&gt;0,
    COUNTIFS($AW$2:$AW$200,$G331)&gt;0,
    COUNTIFS($AX$2:$AX$200,$G331)&gt;0
   ),
  0)
 ),
"")</f>
        <v>VialIshai</v>
      </c>
      <c r="D331" s="3" t="str" cm="1">
        <f t="array" aca="1" ref="D331" ca="1">IFERROR(
 INDEX(
  _xlfn._xlws.FILTER($U$1:$AX$1,
   TRANSPOSE(
    CHOOSE({1;2;3;4;5;6;7;8;9;10;11;12;13;14;15;16;17;18;19;20;21;22;23;24;25;26;27;28;29;30},
     COUNTIFS($U$2:$U$200,$G331)&gt;0,
     COUNTIFS($V$2:$V$200,$G331)&gt;0,
     COUNTIFS($W$2:$W$200,$G331)&gt;0,
     COUNTIFS($X$2:$X$200,$G331)&gt;0,
     COUNTIFS($Y$2:$Y$200,$G331)&gt;0,
     COUNTIFS($Z$2:$Z$200,$G331)&gt;0,
     COUNTIFS($AA$2:$AA$200,$G331)&gt;0,
     COUNTIFS($AB$2:$AB$200,$G331)&gt;0,
     COUNTIFS($AC$2:$AC$200,$G331)&gt;0,
     COUNTIFS($AD$2:$AD$200,$G331)&gt;0,
     COUNTIFS($AE$2:$AE$200,$G331)&gt;0,
     COUNTIFS($AF$2:$AF$200,$G331)&gt;0,
     COUNTIFS($AG$2:$AG$200,$G331)&gt;0,
     COUNTIFS($AH$2:$AH$200,$G331)&gt;0,
     COUNTIFS($AI$2:$AI$200,$G331)&gt;0,
     COUNTIFS($AJ$2:$AJ$200,$G331)&gt;0,
     COUNTIFS($AK$2:$AK$200,$G331)&gt;0,
     COUNTIFS($AL$2:$AL$200,$G331)&gt;0,
     COUNTIFS($AM$2:$AM$200,$G331)&gt;0,
     COUNTIFS($AN$2:$AN$200,$G331)&gt;0,
     COUNTIFS($AO$2:$AO$200,$G331)&gt;0,
     COUNTIFS($AP$2:$AP$200,$G331)&gt;0,
     COUNTIFS($AQ$2:$AQ$200,$G331)&gt;0,
     COUNTIFS($AR$2:$AR$200,$G331)&gt;0,
     COUNTIFS($AS$2:$AS$200,$G331)&gt;0,
     COUNTIFS($AT$2:$AT$200,$G331)&gt;0,
     COUNTIFS($AU$2:$AU$200,$G331)&gt;0,
     COUNTIFS($AV$2:$AV$200,$G331)&gt;0,
     COUNTIFS($AW$2:$AW$200,$G331)&gt;0,
     COUNTIFS($AX$2:$AX$200,$G331)&gt;0
   )),
  ),
  2
 ),
"")</f>
        <v>Yuriko</v>
      </c>
      <c r="E331" s="3" t="str" cm="1">
        <f t="array" aca="1" ref="E331" ca="1">IFERROR(
 INDEX(
  _xlfn._xlws.FILTER($U$1:$AX$1,
   TRANSPOSE(
    CHOOSE({1;2;3;4;5;6;7;8;9;10;11;12;13;14;15;16;17;18;19;20;21;22;23;24;25;26;27;28;29;30},
     COUNTIFS($U$2:$U$200,$G331)&gt;0,
     COUNTIFS($V$2:$V$200,$G331)&gt;0,
     COUNTIFS($W$2:$W$200,$G331)&gt;0,
     COUNTIFS($X$2:$X$200,$G331)&gt;0,
     COUNTIFS($Y$2:$Y$200,$G331)&gt;0,
     COUNTIFS($Z$2:$Z$200,$G331)&gt;0,
     COUNTIFS($AA$2:$AA$200,$G331)&gt;0,
     COUNTIFS($AB$2:$AB$200,$G331)&gt;0,
     COUNTIFS($AC$2:$AC$200,$G331)&gt;0,
     COUNTIFS($AD$2:$AD$200,$G331)&gt;0,
     COUNTIFS($AE$2:$AE$200,$G331)&gt;0,
     COUNTIFS($AF$2:$AF$200,$G331)&gt;0,
     COUNTIFS($AG$2:$AG$200,$G331)&gt;0,
     COUNTIFS($AH$2:$AH$200,$G331)&gt;0,
     COUNTIFS($AI$2:$AI$200,$G331)&gt;0,
     COUNTIFS($AJ$2:$AJ$200,$G331)&gt;0,
     COUNTIFS($AK$2:$AK$200,$G331)&gt;0,
     COUNTIFS($AL$2:$AL$200,$G331)&gt;0,
     COUNTIFS($AM$2:$AM$200,$G331)&gt;0,
     COUNTIFS($AN$2:$AN$200,$G331)&gt;0,
     COUNTIFS($AO$2:$AO$200,$G331)&gt;0,
     COUNTIFS($AP$2:$AP$200,$G331)&gt;0,
     COUNTIFS($AQ$2:$AQ$200,$G331)&gt;0,
     COUNTIFS($AR$2:$AR$200,$G331)&gt;0,
     COUNTIFS($AS$2:$AS$200,$G331)&gt;0,
     COUNTIFS($AT$2:$AT$200,$G331)&gt;0,
     COUNTIFS($AU$2:$AU$200,$G331)&gt;0,
     COUNTIFS($AV$2:$AV$200,$G331)&gt;0,
     COUNTIFS($AW$2:$AW$200,$G331)&gt;0,
     COUNTIFS($AX$2:$AX$200,$G331)&gt;0
   )),
  ),
  3
 ),
"")</f>
        <v>Elfos</v>
      </c>
      <c r="F331" s="3" t="str" cm="1">
        <f t="array" aca="1" ref="F331" ca="1">IFERROR(
 INDEX(
  _xlfn._xlws.FILTER($U$1:$AX$1,
   TRANSPOSE(
    CHOOSE({1;2;3;4;5;6;7;8;9;10;11;12;13;14;15;16;17;18;19;20;21;22;23;24;25;26;27;28;29;30},
     COUNTIFS($U$2:$U$200,$G331)&gt;0,
     COUNTIFS($V$2:$V$200,$G331)&gt;0,
     COUNTIFS($W$2:$W$200,$G331)&gt;0,
     COUNTIFS($X$2:$X$200,$G331)&gt;0,
     COUNTIFS($Y$2:$Y$200,$G331)&gt;0,
     COUNTIFS($Z$2:$Z$200,$G331)&gt;0,
     COUNTIFS($AA$2:$AA$200,$G331)&gt;0,
     COUNTIFS($AB$2:$AB$200,$G331)&gt;0,
     COUNTIFS($AC$2:$AC$200,$G331)&gt;0,
     COUNTIFS($AD$2:$AD$200,$G331)&gt;0,
     COUNTIFS($AE$2:$AE$200,$G331)&gt;0,
     COUNTIFS($AF$2:$AF$200,$G331)&gt;0,
     COUNTIFS($AG$2:$AG$200,$G331)&gt;0,
     COUNTIFS($AH$2:$AH$200,$G331)&gt;0,
     COUNTIFS($AI$2:$AI$200,$G331)&gt;0,
     COUNTIFS($AJ$2:$AJ$200,$G331)&gt;0,
     COUNTIFS($AK$2:$AK$200,$G331)&gt;0,
     COUNTIFS($AL$2:$AL$200,$G331)&gt;0,
     COUNTIFS($AM$2:$AM$200,$G331)&gt;0,
     COUNTIFS($AN$2:$AN$200,$G331)&gt;0,
     COUNTIFS($AO$2:$AO$200,$G331)&gt;0,
     COUNTIFS($AP$2:$AP$200,$G331)&gt;0,
     COUNTIFS($AQ$2:$AQ$200,$G331)&gt;0,
     COUNTIFS($AR$2:$AR$200,$G331)&gt;0,
     COUNTIFS($AS$2:$AS$200,$G331)&gt;0,
     COUNTIFS($AT$2:$AT$200,$G331)&gt;0,
     COUNTIFS($AU$2:$AU$200,$G331)&gt;0,
     COUNTIFS($AV$2:$AV$200,$G331)&gt;0,
     COUNTIFS($AW$2:$AW$200,$G331)&gt;0,
     COUNTIFS($AX$2:$AX$200,$G331)&gt;0
   )),
  ),
  4
 ),
"")</f>
        <v/>
      </c>
      <c r="G331" t="str">
        <f ca="1"/>
        <v>Watery Grave</v>
      </c>
      <c r="CJ331" t="str">
        <f ca="1"/>
        <v>Watery Grave</v>
      </c>
    </row>
    <row r="332" spans="1:88" x14ac:dyDescent="0.25">
      <c r="A332" s="3" t="str">
        <f t="shared" ca="1" si="12"/>
        <v>5</v>
      </c>
      <c r="B332" s="3">
        <f t="shared" ca="1" si="13"/>
        <v>1</v>
      </c>
      <c r="C332" s="3" t="str">
        <f ca="1">IFERROR(
 INDEX($U$1:$AX$1,
  MATCH(TRUE,
   CHOOSE({1;2;3;4;5;6;7;8;9;10;11;12;13;14;15;16;17;18;19;20;21;22;23;24;25;26;27;28;29;30;31;32},
    COUNTIFS($U$2:$U$200,$G332)&gt;0,
    COUNTIFS($V$2:$V$200,$G332)&gt;0,
    COUNTIFS($W$2:$W$200,$G332)&gt;0,
    COUNTIFS($X$2:$X$200,$G332)&gt;0,
    COUNTIFS($Y$2:$Y$200,$G332)&gt;0,
    COUNTIFS($Z$2:$Z$200,$G332)&gt;0,
    COUNTIFS($AA$2:$AA$200,$G332)&gt;0,
    COUNTIFS($AB$2:$AB$200,$G332)&gt;0,
    COUNTIFS($AC$2:$AC$200,$G332)&gt;0,
    COUNTIFS($AD$2:$AD$200,$G332)&gt;0,
    COUNTIFS($AE$2:$AE$200,$G332)&gt;0,
    COUNTIFS($AF$2:$AF$200,$G332)&gt;0,
    COUNTIFS($AG$2:$AG$200,$G332)&gt;0,
    COUNTIFS($AH$2:$AH$200,$G332)&gt;0,
    COUNTIFS($AI$2:$AI$200,$G332)&gt;0,
    COUNTIFS($AJ$2:$AJ$200,$G332)&gt;0,
    COUNTIFS($AK$2:$AK$200,$G332)&gt;0,
    COUNTIFS($AL$2:$AL$200,$G332)&gt;0,
    COUNTIFS($AM$2:$AM$200,$G332)&gt;0,
    COUNTIFS($AN$2:$AN$200,$G332)&gt;0,
    COUNTIFS($AO$2:$AO$200,$G332)&gt;0,
    COUNTIFS($AP$2:$AP$200,$G332)&gt;0,
    COUNTIFS($AQ$2:$AQ$200,$G332)&gt;0,
    COUNTIFS($AR$2:$AR$200,$G332)&gt;0,
    COUNTIFS($AS$2:$AS$200,$G332)&gt;0,
    COUNTIFS($AT$2:$AT$200,$G332)&gt;0,
    COUNTIFS($AU$2:$AU$200,$G332)&gt;0,
    COUNTIFS($AV$2:$AV$200,$G332)&gt;0,
    COUNTIFS($AW$2:$AW$200,$G332)&gt;0,
    COUNTIFS($AX$2:$AX$200,$G332)&gt;0
   ),
  0)
 ),
"")</f>
        <v>Alela</v>
      </c>
      <c r="D332" s="3" t="str" cm="1">
        <f t="array" aca="1" ref="D332" ca="1">IFERROR(
 INDEX(
  _xlfn._xlws.FILTER($U$1:$AX$1,
   TRANSPOSE(
    CHOOSE({1;2;3;4;5;6;7;8;9;10;11;12;13;14;15;16;17;18;19;20;21;22;23;24;25;26;27;28;29;30},
     COUNTIFS($U$2:$U$200,$G332)&gt;0,
     COUNTIFS($V$2:$V$200,$G332)&gt;0,
     COUNTIFS($W$2:$W$200,$G332)&gt;0,
     COUNTIFS($X$2:$X$200,$G332)&gt;0,
     COUNTIFS($Y$2:$Y$200,$G332)&gt;0,
     COUNTIFS($Z$2:$Z$200,$G332)&gt;0,
     COUNTIFS($AA$2:$AA$200,$G332)&gt;0,
     COUNTIFS($AB$2:$AB$200,$G332)&gt;0,
     COUNTIFS($AC$2:$AC$200,$G332)&gt;0,
     COUNTIFS($AD$2:$AD$200,$G332)&gt;0,
     COUNTIFS($AE$2:$AE$200,$G332)&gt;0,
     COUNTIFS($AF$2:$AF$200,$G332)&gt;0,
     COUNTIFS($AG$2:$AG$200,$G332)&gt;0,
     COUNTIFS($AH$2:$AH$200,$G332)&gt;0,
     COUNTIFS($AI$2:$AI$200,$G332)&gt;0,
     COUNTIFS($AJ$2:$AJ$200,$G332)&gt;0,
     COUNTIFS($AK$2:$AK$200,$G332)&gt;0,
     COUNTIFS($AL$2:$AL$200,$G332)&gt;0,
     COUNTIFS($AM$2:$AM$200,$G332)&gt;0,
     COUNTIFS($AN$2:$AN$200,$G332)&gt;0,
     COUNTIFS($AO$2:$AO$200,$G332)&gt;0,
     COUNTIFS($AP$2:$AP$200,$G332)&gt;0,
     COUNTIFS($AQ$2:$AQ$200,$G332)&gt;0,
     COUNTIFS($AR$2:$AR$200,$G332)&gt;0,
     COUNTIFS($AS$2:$AS$200,$G332)&gt;0,
     COUNTIFS($AT$2:$AT$200,$G332)&gt;0,
     COUNTIFS($AU$2:$AU$200,$G332)&gt;0,
     COUNTIFS($AV$2:$AV$200,$G332)&gt;0,
     COUNTIFS($AW$2:$AW$200,$G332)&gt;0,
     COUNTIFS($AX$2:$AX$200,$G332)&gt;0
   )),
  ),
  2
 ),
"")</f>
        <v/>
      </c>
      <c r="E332" s="3" t="str" cm="1">
        <f t="array" aca="1" ref="E332" ca="1">IFERROR(
 INDEX(
  _xlfn._xlws.FILTER($U$1:$AX$1,
   TRANSPOSE(
    CHOOSE({1;2;3;4;5;6;7;8;9;10;11;12;13;14;15;16;17;18;19;20;21;22;23;24;25;26;27;28;29;30},
     COUNTIFS($U$2:$U$200,$G332)&gt;0,
     COUNTIFS($V$2:$V$200,$G332)&gt;0,
     COUNTIFS($W$2:$W$200,$G332)&gt;0,
     COUNTIFS($X$2:$X$200,$G332)&gt;0,
     COUNTIFS($Y$2:$Y$200,$G332)&gt;0,
     COUNTIFS($Z$2:$Z$200,$G332)&gt;0,
     COUNTIFS($AA$2:$AA$200,$G332)&gt;0,
     COUNTIFS($AB$2:$AB$200,$G332)&gt;0,
     COUNTIFS($AC$2:$AC$200,$G332)&gt;0,
     COUNTIFS($AD$2:$AD$200,$G332)&gt;0,
     COUNTIFS($AE$2:$AE$200,$G332)&gt;0,
     COUNTIFS($AF$2:$AF$200,$G332)&gt;0,
     COUNTIFS($AG$2:$AG$200,$G332)&gt;0,
     COUNTIFS($AH$2:$AH$200,$G332)&gt;0,
     COUNTIFS($AI$2:$AI$200,$G332)&gt;0,
     COUNTIFS($AJ$2:$AJ$200,$G332)&gt;0,
     COUNTIFS($AK$2:$AK$200,$G332)&gt;0,
     COUNTIFS($AL$2:$AL$200,$G332)&gt;0,
     COUNTIFS($AM$2:$AM$200,$G332)&gt;0,
     COUNTIFS($AN$2:$AN$200,$G332)&gt;0,
     COUNTIFS($AO$2:$AO$200,$G332)&gt;0,
     COUNTIFS($AP$2:$AP$200,$G332)&gt;0,
     COUNTIFS($AQ$2:$AQ$200,$G332)&gt;0,
     COUNTIFS($AR$2:$AR$200,$G332)&gt;0,
     COUNTIFS($AS$2:$AS$200,$G332)&gt;0,
     COUNTIFS($AT$2:$AT$200,$G332)&gt;0,
     COUNTIFS($AU$2:$AU$200,$G332)&gt;0,
     COUNTIFS($AV$2:$AV$200,$G332)&gt;0,
     COUNTIFS($AW$2:$AW$200,$G332)&gt;0,
     COUNTIFS($AX$2:$AX$200,$G332)&gt;0
   )),
  ),
  3
 ),
"")</f>
        <v/>
      </c>
      <c r="F332" s="3" t="str" cm="1">
        <f t="array" aca="1" ref="F332" ca="1">IFERROR(
 INDEX(
  _xlfn._xlws.FILTER($U$1:$AX$1,
   TRANSPOSE(
    CHOOSE({1;2;3;4;5;6;7;8;9;10;11;12;13;14;15;16;17;18;19;20;21;22;23;24;25;26;27;28;29;30},
     COUNTIFS($U$2:$U$200,$G332)&gt;0,
     COUNTIFS($V$2:$V$200,$G332)&gt;0,
     COUNTIFS($W$2:$W$200,$G332)&gt;0,
     COUNTIFS($X$2:$X$200,$G332)&gt;0,
     COUNTIFS($Y$2:$Y$200,$G332)&gt;0,
     COUNTIFS($Z$2:$Z$200,$G332)&gt;0,
     COUNTIFS($AA$2:$AA$200,$G332)&gt;0,
     COUNTIFS($AB$2:$AB$200,$G332)&gt;0,
     COUNTIFS($AC$2:$AC$200,$G332)&gt;0,
     COUNTIFS($AD$2:$AD$200,$G332)&gt;0,
     COUNTIFS($AE$2:$AE$200,$G332)&gt;0,
     COUNTIFS($AF$2:$AF$200,$G332)&gt;0,
     COUNTIFS($AG$2:$AG$200,$G332)&gt;0,
     COUNTIFS($AH$2:$AH$200,$G332)&gt;0,
     COUNTIFS($AI$2:$AI$200,$G332)&gt;0,
     COUNTIFS($AJ$2:$AJ$200,$G332)&gt;0,
     COUNTIFS($AK$2:$AK$200,$G332)&gt;0,
     COUNTIFS($AL$2:$AL$200,$G332)&gt;0,
     COUNTIFS($AM$2:$AM$200,$G332)&gt;0,
     COUNTIFS($AN$2:$AN$200,$G332)&gt;0,
     COUNTIFS($AO$2:$AO$200,$G332)&gt;0,
     COUNTIFS($AP$2:$AP$200,$G332)&gt;0,
     COUNTIFS($AQ$2:$AQ$200,$G332)&gt;0,
     COUNTIFS($AR$2:$AR$200,$G332)&gt;0,
     COUNTIFS($AS$2:$AS$200,$G332)&gt;0,
     COUNTIFS($AT$2:$AT$200,$G332)&gt;0,
     COUNTIFS($AU$2:$AU$200,$G332)&gt;0,
     COUNTIFS($AV$2:$AV$200,$G332)&gt;0,
     COUNTIFS($AW$2:$AW$200,$G332)&gt;0,
     COUNTIFS($AX$2:$AX$200,$G332)&gt;0
   )),
  ),
  4
 ),
"")</f>
        <v/>
      </c>
      <c r="G332" t="str">
        <f ca="1"/>
        <v>Westvale Abbey</v>
      </c>
      <c r="CJ332" t="str">
        <f ca="1"/>
        <v>Westvale Abbey</v>
      </c>
    </row>
    <row r="333" spans="1:88" x14ac:dyDescent="0.25">
      <c r="A333" s="3" t="str">
        <f t="shared" ca="1" si="12"/>
        <v>2</v>
      </c>
      <c r="B333" s="3">
        <f t="shared" ca="1" si="13"/>
        <v>1</v>
      </c>
      <c r="C333" s="3" t="str">
        <f ca="1">IFERROR(
 INDEX($U$1:$AX$1,
  MATCH(TRUE,
   CHOOSE({1;2;3;4;5;6;7;8;9;10;11;12;13;14;15;16;17;18;19;20;21;22;23;24;25;26;27;28;29;30;31;32},
    COUNTIFS($U$2:$U$200,$G333)&gt;0,
    COUNTIFS($V$2:$V$200,$G333)&gt;0,
    COUNTIFS($W$2:$W$200,$G333)&gt;0,
    COUNTIFS($X$2:$X$200,$G333)&gt;0,
    COUNTIFS($Y$2:$Y$200,$G333)&gt;0,
    COUNTIFS($Z$2:$Z$200,$G333)&gt;0,
    COUNTIFS($AA$2:$AA$200,$G333)&gt;0,
    COUNTIFS($AB$2:$AB$200,$G333)&gt;0,
    COUNTIFS($AC$2:$AC$200,$G333)&gt;0,
    COUNTIFS($AD$2:$AD$200,$G333)&gt;0,
    COUNTIFS($AE$2:$AE$200,$G333)&gt;0,
    COUNTIFS($AF$2:$AF$200,$G333)&gt;0,
    COUNTIFS($AG$2:$AG$200,$G333)&gt;0,
    COUNTIFS($AH$2:$AH$200,$G333)&gt;0,
    COUNTIFS($AI$2:$AI$200,$G333)&gt;0,
    COUNTIFS($AJ$2:$AJ$200,$G333)&gt;0,
    COUNTIFS($AK$2:$AK$200,$G333)&gt;0,
    COUNTIFS($AL$2:$AL$200,$G333)&gt;0,
    COUNTIFS($AM$2:$AM$200,$G333)&gt;0,
    COUNTIFS($AN$2:$AN$200,$G333)&gt;0,
    COUNTIFS($AO$2:$AO$200,$G333)&gt;0,
    COUNTIFS($AP$2:$AP$200,$G333)&gt;0,
    COUNTIFS($AQ$2:$AQ$200,$G333)&gt;0,
    COUNTIFS($AR$2:$AR$200,$G333)&gt;0,
    COUNTIFS($AS$2:$AS$200,$G333)&gt;0,
    COUNTIFS($AT$2:$AT$200,$G333)&gt;0,
    COUNTIFS($AU$2:$AU$200,$G333)&gt;0,
    COUNTIFS($AV$2:$AV$200,$G333)&gt;0,
    COUNTIFS($AW$2:$AW$200,$G333)&gt;0,
    COUNTIFS($AX$2:$AX$200,$G333)&gt;0
   ),
  0)
 ),
"")</f>
        <v>Narset</v>
      </c>
      <c r="D333" s="3" t="str" cm="1">
        <f t="array" aca="1" ref="D333" ca="1">IFERROR(
 INDEX(
  _xlfn._xlws.FILTER($U$1:$AX$1,
   TRANSPOSE(
    CHOOSE({1;2;3;4;5;6;7;8;9;10;11;12;13;14;15;16;17;18;19;20;21;22;23;24;25;26;27;28;29;30},
     COUNTIFS($U$2:$U$200,$G333)&gt;0,
     COUNTIFS($V$2:$V$200,$G333)&gt;0,
     COUNTIFS($W$2:$W$200,$G333)&gt;0,
     COUNTIFS($X$2:$X$200,$G333)&gt;0,
     COUNTIFS($Y$2:$Y$200,$G333)&gt;0,
     COUNTIFS($Z$2:$Z$200,$G333)&gt;0,
     COUNTIFS($AA$2:$AA$200,$G333)&gt;0,
     COUNTIFS($AB$2:$AB$200,$G333)&gt;0,
     COUNTIFS($AC$2:$AC$200,$G333)&gt;0,
     COUNTIFS($AD$2:$AD$200,$G333)&gt;0,
     COUNTIFS($AE$2:$AE$200,$G333)&gt;0,
     COUNTIFS($AF$2:$AF$200,$G333)&gt;0,
     COUNTIFS($AG$2:$AG$200,$G333)&gt;0,
     COUNTIFS($AH$2:$AH$200,$G333)&gt;0,
     COUNTIFS($AI$2:$AI$200,$G333)&gt;0,
     COUNTIFS($AJ$2:$AJ$200,$G333)&gt;0,
     COUNTIFS($AK$2:$AK$200,$G333)&gt;0,
     COUNTIFS($AL$2:$AL$200,$G333)&gt;0,
     COUNTIFS($AM$2:$AM$200,$G333)&gt;0,
     COUNTIFS($AN$2:$AN$200,$G333)&gt;0,
     COUNTIFS($AO$2:$AO$200,$G333)&gt;0,
     COUNTIFS($AP$2:$AP$200,$G333)&gt;0,
     COUNTIFS($AQ$2:$AQ$200,$G333)&gt;0,
     COUNTIFS($AR$2:$AR$200,$G333)&gt;0,
     COUNTIFS($AS$2:$AS$200,$G333)&gt;0,
     COUNTIFS($AT$2:$AT$200,$G333)&gt;0,
     COUNTIFS($AU$2:$AU$200,$G333)&gt;0,
     COUNTIFS($AV$2:$AV$200,$G333)&gt;0,
     COUNTIFS($AW$2:$AW$200,$G333)&gt;0,
     COUNTIFS($AX$2:$AX$200,$G333)&gt;0
   )),
  ),
  2
 ),
"")</f>
        <v/>
      </c>
      <c r="E333" s="3" t="str" cm="1">
        <f t="array" aca="1" ref="E333" ca="1">IFERROR(
 INDEX(
  _xlfn._xlws.FILTER($U$1:$AX$1,
   TRANSPOSE(
    CHOOSE({1;2;3;4;5;6;7;8;9;10;11;12;13;14;15;16;17;18;19;20;21;22;23;24;25;26;27;28;29;30},
     COUNTIFS($U$2:$U$200,$G333)&gt;0,
     COUNTIFS($V$2:$V$200,$G333)&gt;0,
     COUNTIFS($W$2:$W$200,$G333)&gt;0,
     COUNTIFS($X$2:$X$200,$G333)&gt;0,
     COUNTIFS($Y$2:$Y$200,$G333)&gt;0,
     COUNTIFS($Z$2:$Z$200,$G333)&gt;0,
     COUNTIFS($AA$2:$AA$200,$G333)&gt;0,
     COUNTIFS($AB$2:$AB$200,$G333)&gt;0,
     COUNTIFS($AC$2:$AC$200,$G333)&gt;0,
     COUNTIFS($AD$2:$AD$200,$G333)&gt;0,
     COUNTIFS($AE$2:$AE$200,$G333)&gt;0,
     COUNTIFS($AF$2:$AF$200,$G333)&gt;0,
     COUNTIFS($AG$2:$AG$200,$G333)&gt;0,
     COUNTIFS($AH$2:$AH$200,$G333)&gt;0,
     COUNTIFS($AI$2:$AI$200,$G333)&gt;0,
     COUNTIFS($AJ$2:$AJ$200,$G333)&gt;0,
     COUNTIFS($AK$2:$AK$200,$G333)&gt;0,
     COUNTIFS($AL$2:$AL$200,$G333)&gt;0,
     COUNTIFS($AM$2:$AM$200,$G333)&gt;0,
     COUNTIFS($AN$2:$AN$200,$G333)&gt;0,
     COUNTIFS($AO$2:$AO$200,$G333)&gt;0,
     COUNTIFS($AP$2:$AP$200,$G333)&gt;0,
     COUNTIFS($AQ$2:$AQ$200,$G333)&gt;0,
     COUNTIFS($AR$2:$AR$200,$G333)&gt;0,
     COUNTIFS($AS$2:$AS$200,$G333)&gt;0,
     COUNTIFS($AT$2:$AT$200,$G333)&gt;0,
     COUNTIFS($AU$2:$AU$200,$G333)&gt;0,
     COUNTIFS($AV$2:$AV$200,$G333)&gt;0,
     COUNTIFS($AW$2:$AW$200,$G333)&gt;0,
     COUNTIFS($AX$2:$AX$200,$G333)&gt;0
   )),
  ),
  3
 ),
"")</f>
        <v/>
      </c>
      <c r="F333" s="3" t="str" cm="1">
        <f t="array" aca="1" ref="F333" ca="1">IFERROR(
 INDEX(
  _xlfn._xlws.FILTER($U$1:$AX$1,
   TRANSPOSE(
    CHOOSE({1;2;3;4;5;6;7;8;9;10;11;12;13;14;15;16;17;18;19;20;21;22;23;24;25;26;27;28;29;30},
     COUNTIFS($U$2:$U$200,$G333)&gt;0,
     COUNTIFS($V$2:$V$200,$G333)&gt;0,
     COUNTIFS($W$2:$W$200,$G333)&gt;0,
     COUNTIFS($X$2:$X$200,$G333)&gt;0,
     COUNTIFS($Y$2:$Y$200,$G333)&gt;0,
     COUNTIFS($Z$2:$Z$200,$G333)&gt;0,
     COUNTIFS($AA$2:$AA$200,$G333)&gt;0,
     COUNTIFS($AB$2:$AB$200,$G333)&gt;0,
     COUNTIFS($AC$2:$AC$200,$G333)&gt;0,
     COUNTIFS($AD$2:$AD$200,$G333)&gt;0,
     COUNTIFS($AE$2:$AE$200,$G333)&gt;0,
     COUNTIFS($AF$2:$AF$200,$G333)&gt;0,
     COUNTIFS($AG$2:$AG$200,$G333)&gt;0,
     COUNTIFS($AH$2:$AH$200,$G333)&gt;0,
     COUNTIFS($AI$2:$AI$200,$G333)&gt;0,
     COUNTIFS($AJ$2:$AJ$200,$G333)&gt;0,
     COUNTIFS($AK$2:$AK$200,$G333)&gt;0,
     COUNTIFS($AL$2:$AL$200,$G333)&gt;0,
     COUNTIFS($AM$2:$AM$200,$G333)&gt;0,
     COUNTIFS($AN$2:$AN$200,$G333)&gt;0,
     COUNTIFS($AO$2:$AO$200,$G333)&gt;0,
     COUNTIFS($AP$2:$AP$200,$G333)&gt;0,
     COUNTIFS($AQ$2:$AQ$200,$G333)&gt;0,
     COUNTIFS($AR$2:$AR$200,$G333)&gt;0,
     COUNTIFS($AS$2:$AS$200,$G333)&gt;0,
     COUNTIFS($AT$2:$AT$200,$G333)&gt;0,
     COUNTIFS($AU$2:$AU$200,$G333)&gt;0,
     COUNTIFS($AV$2:$AV$200,$G333)&gt;0,
     COUNTIFS($AW$2:$AW$200,$G333)&gt;0,
     COUNTIFS($AX$2:$AX$200,$G333)&gt;0
   )),
  ),
  4
 ),
"")</f>
        <v/>
      </c>
      <c r="G333" t="str">
        <f ca="1"/>
        <v>Windcrag Siege</v>
      </c>
      <c r="CJ333" t="str">
        <f ca="1"/>
        <v>Windcrag Siege</v>
      </c>
    </row>
    <row r="334" spans="1:88" x14ac:dyDescent="0.25">
      <c r="A334" s="3" t="str">
        <f t="shared" ca="1" si="12"/>
        <v>2</v>
      </c>
      <c r="B334" s="3">
        <f t="shared" ca="1" si="13"/>
        <v>1</v>
      </c>
      <c r="C334" s="3" t="str">
        <f ca="1">IFERROR(
 INDEX($U$1:$AX$1,
  MATCH(TRUE,
   CHOOSE({1;2;3;4;5;6;7;8;9;10;11;12;13;14;15;16;17;18;19;20;21;22;23;24;25;26;27;28;29;30;31;32},
    COUNTIFS($U$2:$U$200,$G334)&gt;0,
    COUNTIFS($V$2:$V$200,$G334)&gt;0,
    COUNTIFS($W$2:$W$200,$G334)&gt;0,
    COUNTIFS($X$2:$X$200,$G334)&gt;0,
    COUNTIFS($Y$2:$Y$200,$G334)&gt;0,
    COUNTIFS($Z$2:$Z$200,$G334)&gt;0,
    COUNTIFS($AA$2:$AA$200,$G334)&gt;0,
    COUNTIFS($AB$2:$AB$200,$G334)&gt;0,
    COUNTIFS($AC$2:$AC$200,$G334)&gt;0,
    COUNTIFS($AD$2:$AD$200,$G334)&gt;0,
    COUNTIFS($AE$2:$AE$200,$G334)&gt;0,
    COUNTIFS($AF$2:$AF$200,$G334)&gt;0,
    COUNTIFS($AG$2:$AG$200,$G334)&gt;0,
    COUNTIFS($AH$2:$AH$200,$G334)&gt;0,
    COUNTIFS($AI$2:$AI$200,$G334)&gt;0,
    COUNTIFS($AJ$2:$AJ$200,$G334)&gt;0,
    COUNTIFS($AK$2:$AK$200,$G334)&gt;0,
    COUNTIFS($AL$2:$AL$200,$G334)&gt;0,
    COUNTIFS($AM$2:$AM$200,$G334)&gt;0,
    COUNTIFS($AN$2:$AN$200,$G334)&gt;0,
    COUNTIFS($AO$2:$AO$200,$G334)&gt;0,
    COUNTIFS($AP$2:$AP$200,$G334)&gt;0,
    COUNTIFS($AQ$2:$AQ$200,$G334)&gt;0,
    COUNTIFS($AR$2:$AR$200,$G334)&gt;0,
    COUNTIFS($AS$2:$AS$200,$G334)&gt;0,
    COUNTIFS($AT$2:$AT$200,$G334)&gt;0,
    COUNTIFS($AU$2:$AU$200,$G334)&gt;0,
    COUNTIFS($AV$2:$AV$200,$G334)&gt;0,
    COUNTIFS($AW$2:$AW$200,$G334)&gt;0,
    COUNTIFS($AX$2:$AX$200,$G334)&gt;0
   ),
  0)
 ),
"")</f>
        <v>Narset</v>
      </c>
      <c r="D334" s="3" t="str" cm="1">
        <f t="array" aca="1" ref="D334" ca="1">IFERROR(
 INDEX(
  _xlfn._xlws.FILTER($U$1:$AX$1,
   TRANSPOSE(
    CHOOSE({1;2;3;4;5;6;7;8;9;10;11;12;13;14;15;16;17;18;19;20;21;22;23;24;25;26;27;28;29;30},
     COUNTIFS($U$2:$U$200,$G334)&gt;0,
     COUNTIFS($V$2:$V$200,$G334)&gt;0,
     COUNTIFS($W$2:$W$200,$G334)&gt;0,
     COUNTIFS($X$2:$X$200,$G334)&gt;0,
     COUNTIFS($Y$2:$Y$200,$G334)&gt;0,
     COUNTIFS($Z$2:$Z$200,$G334)&gt;0,
     COUNTIFS($AA$2:$AA$200,$G334)&gt;0,
     COUNTIFS($AB$2:$AB$200,$G334)&gt;0,
     COUNTIFS($AC$2:$AC$200,$G334)&gt;0,
     COUNTIFS($AD$2:$AD$200,$G334)&gt;0,
     COUNTIFS($AE$2:$AE$200,$G334)&gt;0,
     COUNTIFS($AF$2:$AF$200,$G334)&gt;0,
     COUNTIFS($AG$2:$AG$200,$G334)&gt;0,
     COUNTIFS($AH$2:$AH$200,$G334)&gt;0,
     COUNTIFS($AI$2:$AI$200,$G334)&gt;0,
     COUNTIFS($AJ$2:$AJ$200,$G334)&gt;0,
     COUNTIFS($AK$2:$AK$200,$G334)&gt;0,
     COUNTIFS($AL$2:$AL$200,$G334)&gt;0,
     COUNTIFS($AM$2:$AM$200,$G334)&gt;0,
     COUNTIFS($AN$2:$AN$200,$G334)&gt;0,
     COUNTIFS($AO$2:$AO$200,$G334)&gt;0,
     COUNTIFS($AP$2:$AP$200,$G334)&gt;0,
     COUNTIFS($AQ$2:$AQ$200,$G334)&gt;0,
     COUNTIFS($AR$2:$AR$200,$G334)&gt;0,
     COUNTIFS($AS$2:$AS$200,$G334)&gt;0,
     COUNTIFS($AT$2:$AT$200,$G334)&gt;0,
     COUNTIFS($AU$2:$AU$200,$G334)&gt;0,
     COUNTIFS($AV$2:$AV$200,$G334)&gt;0,
     COUNTIFS($AW$2:$AW$200,$G334)&gt;0,
     COUNTIFS($AX$2:$AX$200,$G334)&gt;0
   )),
  ),
  2
 ),
"")</f>
        <v/>
      </c>
      <c r="E334" s="3" t="str" cm="1">
        <f t="array" aca="1" ref="E334" ca="1">IFERROR(
 INDEX(
  _xlfn._xlws.FILTER($U$1:$AX$1,
   TRANSPOSE(
    CHOOSE({1;2;3;4;5;6;7;8;9;10;11;12;13;14;15;16;17;18;19;20;21;22;23;24;25;26;27;28;29;30},
     COUNTIFS($U$2:$U$200,$G334)&gt;0,
     COUNTIFS($V$2:$V$200,$G334)&gt;0,
     COUNTIFS($W$2:$W$200,$G334)&gt;0,
     COUNTIFS($X$2:$X$200,$G334)&gt;0,
     COUNTIFS($Y$2:$Y$200,$G334)&gt;0,
     COUNTIFS($Z$2:$Z$200,$G334)&gt;0,
     COUNTIFS($AA$2:$AA$200,$G334)&gt;0,
     COUNTIFS($AB$2:$AB$200,$G334)&gt;0,
     COUNTIFS($AC$2:$AC$200,$G334)&gt;0,
     COUNTIFS($AD$2:$AD$200,$G334)&gt;0,
     COUNTIFS($AE$2:$AE$200,$G334)&gt;0,
     COUNTIFS($AF$2:$AF$200,$G334)&gt;0,
     COUNTIFS($AG$2:$AG$200,$G334)&gt;0,
     COUNTIFS($AH$2:$AH$200,$G334)&gt;0,
     COUNTIFS($AI$2:$AI$200,$G334)&gt;0,
     COUNTIFS($AJ$2:$AJ$200,$G334)&gt;0,
     COUNTIFS($AK$2:$AK$200,$G334)&gt;0,
     COUNTIFS($AL$2:$AL$200,$G334)&gt;0,
     COUNTIFS($AM$2:$AM$200,$G334)&gt;0,
     COUNTIFS($AN$2:$AN$200,$G334)&gt;0,
     COUNTIFS($AO$2:$AO$200,$G334)&gt;0,
     COUNTIFS($AP$2:$AP$200,$G334)&gt;0,
     COUNTIFS($AQ$2:$AQ$200,$G334)&gt;0,
     COUNTIFS($AR$2:$AR$200,$G334)&gt;0,
     COUNTIFS($AS$2:$AS$200,$G334)&gt;0,
     COUNTIFS($AT$2:$AT$200,$G334)&gt;0,
     COUNTIFS($AU$2:$AU$200,$G334)&gt;0,
     COUNTIFS($AV$2:$AV$200,$G334)&gt;0,
     COUNTIFS($AW$2:$AW$200,$G334)&gt;0,
     COUNTIFS($AX$2:$AX$200,$G334)&gt;0
   )),
  ),
  3
 ),
"")</f>
        <v/>
      </c>
      <c r="F334" s="3" t="str" cm="1">
        <f t="array" aca="1" ref="F334" ca="1">IFERROR(
 INDEX(
  _xlfn._xlws.FILTER($U$1:$AX$1,
   TRANSPOSE(
    CHOOSE({1;2;3;4;5;6;7;8;9;10;11;12;13;14;15;16;17;18;19;20;21;22;23;24;25;26;27;28;29;30},
     COUNTIFS($U$2:$U$200,$G334)&gt;0,
     COUNTIFS($V$2:$V$200,$G334)&gt;0,
     COUNTIFS($W$2:$W$200,$G334)&gt;0,
     COUNTIFS($X$2:$X$200,$G334)&gt;0,
     COUNTIFS($Y$2:$Y$200,$G334)&gt;0,
     COUNTIFS($Z$2:$Z$200,$G334)&gt;0,
     COUNTIFS($AA$2:$AA$200,$G334)&gt;0,
     COUNTIFS($AB$2:$AB$200,$G334)&gt;0,
     COUNTIFS($AC$2:$AC$200,$G334)&gt;0,
     COUNTIFS($AD$2:$AD$200,$G334)&gt;0,
     COUNTIFS($AE$2:$AE$200,$G334)&gt;0,
     COUNTIFS($AF$2:$AF$200,$G334)&gt;0,
     COUNTIFS($AG$2:$AG$200,$G334)&gt;0,
     COUNTIFS($AH$2:$AH$200,$G334)&gt;0,
     COUNTIFS($AI$2:$AI$200,$G334)&gt;0,
     COUNTIFS($AJ$2:$AJ$200,$G334)&gt;0,
     COUNTIFS($AK$2:$AK$200,$G334)&gt;0,
     COUNTIFS($AL$2:$AL$200,$G334)&gt;0,
     COUNTIFS($AM$2:$AM$200,$G334)&gt;0,
     COUNTIFS($AN$2:$AN$200,$G334)&gt;0,
     COUNTIFS($AO$2:$AO$200,$G334)&gt;0,
     COUNTIFS($AP$2:$AP$200,$G334)&gt;0,
     COUNTIFS($AQ$2:$AQ$200,$G334)&gt;0,
     COUNTIFS($AR$2:$AR$200,$G334)&gt;0,
     COUNTIFS($AS$2:$AS$200,$G334)&gt;0,
     COUNTIFS($AT$2:$AT$200,$G334)&gt;0,
     COUNTIFS($AU$2:$AU$200,$G334)&gt;0,
     COUNTIFS($AV$2:$AV$200,$G334)&gt;0,
     COUNTIFS($AW$2:$AW$200,$G334)&gt;0,
     COUNTIFS($AX$2:$AX$200,$G334)&gt;0
   )),
  ),
  4
 ),
"")</f>
        <v/>
      </c>
      <c r="G334" t="str">
        <f ca="1"/>
        <v>World at War</v>
      </c>
      <c r="CJ334" t="str">
        <f ca="1"/>
        <v>World at War</v>
      </c>
    </row>
    <row r="335" spans="1:88" x14ac:dyDescent="0.25">
      <c r="A335" s="3" t="str">
        <f t="shared" ca="1" si="12"/>
        <v>2</v>
      </c>
      <c r="B335" s="3">
        <f t="shared" ca="1" si="13"/>
        <v>1</v>
      </c>
      <c r="C335" s="3" t="str">
        <f ca="1">IFERROR(
 INDEX($U$1:$AX$1,
  MATCH(TRUE,
   CHOOSE({1;2;3;4;5;6;7;8;9;10;11;12;13;14;15;16;17;18;19;20;21;22;23;24;25;26;27;28;29;30;31;32},
    COUNTIFS($U$2:$U$200,$G335)&gt;0,
    COUNTIFS($V$2:$V$200,$G335)&gt;0,
    COUNTIFS($W$2:$W$200,$G335)&gt;0,
    COUNTIFS($X$2:$X$200,$G335)&gt;0,
    COUNTIFS($Y$2:$Y$200,$G335)&gt;0,
    COUNTIFS($Z$2:$Z$200,$G335)&gt;0,
    COUNTIFS($AA$2:$AA$200,$G335)&gt;0,
    COUNTIFS($AB$2:$AB$200,$G335)&gt;0,
    COUNTIFS($AC$2:$AC$200,$G335)&gt;0,
    COUNTIFS($AD$2:$AD$200,$G335)&gt;0,
    COUNTIFS($AE$2:$AE$200,$G335)&gt;0,
    COUNTIFS($AF$2:$AF$200,$G335)&gt;0,
    COUNTIFS($AG$2:$AG$200,$G335)&gt;0,
    COUNTIFS($AH$2:$AH$200,$G335)&gt;0,
    COUNTIFS($AI$2:$AI$200,$G335)&gt;0,
    COUNTIFS($AJ$2:$AJ$200,$G335)&gt;0,
    COUNTIFS($AK$2:$AK$200,$G335)&gt;0,
    COUNTIFS($AL$2:$AL$200,$G335)&gt;0,
    COUNTIFS($AM$2:$AM$200,$G335)&gt;0,
    COUNTIFS($AN$2:$AN$200,$G335)&gt;0,
    COUNTIFS($AO$2:$AO$200,$G335)&gt;0,
    COUNTIFS($AP$2:$AP$200,$G335)&gt;0,
    COUNTIFS($AQ$2:$AQ$200,$G335)&gt;0,
    COUNTIFS($AR$2:$AR$200,$G335)&gt;0,
    COUNTIFS($AS$2:$AS$200,$G335)&gt;0,
    COUNTIFS($AT$2:$AT$200,$G335)&gt;0,
    COUNTIFS($AU$2:$AU$200,$G335)&gt;0,
    COUNTIFS($AV$2:$AV$200,$G335)&gt;0,
    COUNTIFS($AW$2:$AW$200,$G335)&gt;0,
    COUNTIFS($AX$2:$AX$200,$G335)&gt;0
   ),
  0)
 ),
"")</f>
        <v>Rani</v>
      </c>
      <c r="D335" s="3" t="str" cm="1">
        <f t="array" aca="1" ref="D335" ca="1">IFERROR(
 INDEX(
  _xlfn._xlws.FILTER($U$1:$AX$1,
   TRANSPOSE(
    CHOOSE({1;2;3;4;5;6;7;8;9;10;11;12;13;14;15;16;17;18;19;20;21;22;23;24;25;26;27;28;29;30},
     COUNTIFS($U$2:$U$200,$G335)&gt;0,
     COUNTIFS($V$2:$V$200,$G335)&gt;0,
     COUNTIFS($W$2:$W$200,$G335)&gt;0,
     COUNTIFS($X$2:$X$200,$G335)&gt;0,
     COUNTIFS($Y$2:$Y$200,$G335)&gt;0,
     COUNTIFS($Z$2:$Z$200,$G335)&gt;0,
     COUNTIFS($AA$2:$AA$200,$G335)&gt;0,
     COUNTIFS($AB$2:$AB$200,$G335)&gt;0,
     COUNTIFS($AC$2:$AC$200,$G335)&gt;0,
     COUNTIFS($AD$2:$AD$200,$G335)&gt;0,
     COUNTIFS($AE$2:$AE$200,$G335)&gt;0,
     COUNTIFS($AF$2:$AF$200,$G335)&gt;0,
     COUNTIFS($AG$2:$AG$200,$G335)&gt;0,
     COUNTIFS($AH$2:$AH$200,$G335)&gt;0,
     COUNTIFS($AI$2:$AI$200,$G335)&gt;0,
     COUNTIFS($AJ$2:$AJ$200,$G335)&gt;0,
     COUNTIFS($AK$2:$AK$200,$G335)&gt;0,
     COUNTIFS($AL$2:$AL$200,$G335)&gt;0,
     COUNTIFS($AM$2:$AM$200,$G335)&gt;0,
     COUNTIFS($AN$2:$AN$200,$G335)&gt;0,
     COUNTIFS($AO$2:$AO$200,$G335)&gt;0,
     COUNTIFS($AP$2:$AP$200,$G335)&gt;0,
     COUNTIFS($AQ$2:$AQ$200,$G335)&gt;0,
     COUNTIFS($AR$2:$AR$200,$G335)&gt;0,
     COUNTIFS($AS$2:$AS$200,$G335)&gt;0,
     COUNTIFS($AT$2:$AT$200,$G335)&gt;0,
     COUNTIFS($AU$2:$AU$200,$G335)&gt;0,
     COUNTIFS($AV$2:$AV$200,$G335)&gt;0,
     COUNTIFS($AW$2:$AW$200,$G335)&gt;0,
     COUNTIFS($AX$2:$AX$200,$G335)&gt;0
   )),
  ),
  2
 ),
"")</f>
        <v/>
      </c>
      <c r="E335" s="3" t="str" cm="1">
        <f t="array" aca="1" ref="E335" ca="1">IFERROR(
 INDEX(
  _xlfn._xlws.FILTER($U$1:$AX$1,
   TRANSPOSE(
    CHOOSE({1;2;3;4;5;6;7;8;9;10;11;12;13;14;15;16;17;18;19;20;21;22;23;24;25;26;27;28;29;30},
     COUNTIFS($U$2:$U$200,$G335)&gt;0,
     COUNTIFS($V$2:$V$200,$G335)&gt;0,
     COUNTIFS($W$2:$W$200,$G335)&gt;0,
     COUNTIFS($X$2:$X$200,$G335)&gt;0,
     COUNTIFS($Y$2:$Y$200,$G335)&gt;0,
     COUNTIFS($Z$2:$Z$200,$G335)&gt;0,
     COUNTIFS($AA$2:$AA$200,$G335)&gt;0,
     COUNTIFS($AB$2:$AB$200,$G335)&gt;0,
     COUNTIFS($AC$2:$AC$200,$G335)&gt;0,
     COUNTIFS($AD$2:$AD$200,$G335)&gt;0,
     COUNTIFS($AE$2:$AE$200,$G335)&gt;0,
     COUNTIFS($AF$2:$AF$200,$G335)&gt;0,
     COUNTIFS($AG$2:$AG$200,$G335)&gt;0,
     COUNTIFS($AH$2:$AH$200,$G335)&gt;0,
     COUNTIFS($AI$2:$AI$200,$G335)&gt;0,
     COUNTIFS($AJ$2:$AJ$200,$G335)&gt;0,
     COUNTIFS($AK$2:$AK$200,$G335)&gt;0,
     COUNTIFS($AL$2:$AL$200,$G335)&gt;0,
     COUNTIFS($AM$2:$AM$200,$G335)&gt;0,
     COUNTIFS($AN$2:$AN$200,$G335)&gt;0,
     COUNTIFS($AO$2:$AO$200,$G335)&gt;0,
     COUNTIFS($AP$2:$AP$200,$G335)&gt;0,
     COUNTIFS($AQ$2:$AQ$200,$G335)&gt;0,
     COUNTIFS($AR$2:$AR$200,$G335)&gt;0,
     COUNTIFS($AS$2:$AS$200,$G335)&gt;0,
     COUNTIFS($AT$2:$AT$200,$G335)&gt;0,
     COUNTIFS($AU$2:$AU$200,$G335)&gt;0,
     COUNTIFS($AV$2:$AV$200,$G335)&gt;0,
     COUNTIFS($AW$2:$AW$200,$G335)&gt;0,
     COUNTIFS($AX$2:$AX$200,$G335)&gt;0
   )),
  ),
  3
 ),
"")</f>
        <v/>
      </c>
      <c r="F335" s="3" t="str" cm="1">
        <f t="array" aca="1" ref="F335" ca="1">IFERROR(
 INDEX(
  _xlfn._xlws.FILTER($U$1:$AX$1,
   TRANSPOSE(
    CHOOSE({1;2;3;4;5;6;7;8;9;10;11;12;13;14;15;16;17;18;19;20;21;22;23;24;25;26;27;28;29;30},
     COUNTIFS($U$2:$U$200,$G335)&gt;0,
     COUNTIFS($V$2:$V$200,$G335)&gt;0,
     COUNTIFS($W$2:$W$200,$G335)&gt;0,
     COUNTIFS($X$2:$X$200,$G335)&gt;0,
     COUNTIFS($Y$2:$Y$200,$G335)&gt;0,
     COUNTIFS($Z$2:$Z$200,$G335)&gt;0,
     COUNTIFS($AA$2:$AA$200,$G335)&gt;0,
     COUNTIFS($AB$2:$AB$200,$G335)&gt;0,
     COUNTIFS($AC$2:$AC$200,$G335)&gt;0,
     COUNTIFS($AD$2:$AD$200,$G335)&gt;0,
     COUNTIFS($AE$2:$AE$200,$G335)&gt;0,
     COUNTIFS($AF$2:$AF$200,$G335)&gt;0,
     COUNTIFS($AG$2:$AG$200,$G335)&gt;0,
     COUNTIFS($AH$2:$AH$200,$G335)&gt;0,
     COUNTIFS($AI$2:$AI$200,$G335)&gt;0,
     COUNTIFS($AJ$2:$AJ$200,$G335)&gt;0,
     COUNTIFS($AK$2:$AK$200,$G335)&gt;0,
     COUNTIFS($AL$2:$AL$200,$G335)&gt;0,
     COUNTIFS($AM$2:$AM$200,$G335)&gt;0,
     COUNTIFS($AN$2:$AN$200,$G335)&gt;0,
     COUNTIFS($AO$2:$AO$200,$G335)&gt;0,
     COUNTIFS($AP$2:$AP$200,$G335)&gt;0,
     COUNTIFS($AQ$2:$AQ$200,$G335)&gt;0,
     COUNTIFS($AR$2:$AR$200,$G335)&gt;0,
     COUNTIFS($AS$2:$AS$200,$G335)&gt;0,
     COUNTIFS($AT$2:$AT$200,$G335)&gt;0,
     COUNTIFS($AU$2:$AU$200,$G335)&gt;0,
     COUNTIFS($AV$2:$AV$200,$G335)&gt;0,
     COUNTIFS($AW$2:$AW$200,$G335)&gt;0,
     COUNTIFS($AX$2:$AX$200,$G335)&gt;0
   )),
  ),
  4
 ),
"")</f>
        <v/>
      </c>
      <c r="G335" t="str">
        <f ca="1"/>
        <v>Xantcha, Agente Adormecida</v>
      </c>
      <c r="CJ335" t="str">
        <f ca="1"/>
        <v>Xantcha, Agente Adormecida</v>
      </c>
    </row>
    <row r="336" spans="1:88" x14ac:dyDescent="0.25">
      <c r="A336" s="3" t="str">
        <f t="shared" ca="1" si="12"/>
        <v>1</v>
      </c>
      <c r="B336" s="3">
        <f t="shared" ca="1" si="13"/>
        <v>1</v>
      </c>
      <c r="C336" s="3" t="str">
        <f ca="1">IFERROR(
 INDEX($U$1:$AX$1,
  MATCH(TRUE,
   CHOOSE({1;2;3;4;5;6;7;8;9;10;11;12;13;14;15;16;17;18;19;20;21;22;23;24;25;26;27;28;29;30;31;32},
    COUNTIFS($U$2:$U$200,$G336)&gt;0,
    COUNTIFS($V$2:$V$200,$G336)&gt;0,
    COUNTIFS($W$2:$W$200,$G336)&gt;0,
    COUNTIFS($X$2:$X$200,$G336)&gt;0,
    COUNTIFS($Y$2:$Y$200,$G336)&gt;0,
    COUNTIFS($Z$2:$Z$200,$G336)&gt;0,
    COUNTIFS($AA$2:$AA$200,$G336)&gt;0,
    COUNTIFS($AB$2:$AB$200,$G336)&gt;0,
    COUNTIFS($AC$2:$AC$200,$G336)&gt;0,
    COUNTIFS($AD$2:$AD$200,$G336)&gt;0,
    COUNTIFS($AE$2:$AE$200,$G336)&gt;0,
    COUNTIFS($AF$2:$AF$200,$G336)&gt;0,
    COUNTIFS($AG$2:$AG$200,$G336)&gt;0,
    COUNTIFS($AH$2:$AH$200,$G336)&gt;0,
    COUNTIFS($AI$2:$AI$200,$G336)&gt;0,
    COUNTIFS($AJ$2:$AJ$200,$G336)&gt;0,
    COUNTIFS($AK$2:$AK$200,$G336)&gt;0,
    COUNTIFS($AL$2:$AL$200,$G336)&gt;0,
    COUNTIFS($AM$2:$AM$200,$G336)&gt;0,
    COUNTIFS($AN$2:$AN$200,$G336)&gt;0,
    COUNTIFS($AO$2:$AO$200,$G336)&gt;0,
    COUNTIFS($AP$2:$AP$200,$G336)&gt;0,
    COUNTIFS($AQ$2:$AQ$200,$G336)&gt;0,
    COUNTIFS($AR$2:$AR$200,$G336)&gt;0,
    COUNTIFS($AS$2:$AS$200,$G336)&gt;0,
    COUNTIFS($AT$2:$AT$200,$G336)&gt;0,
    COUNTIFS($AU$2:$AU$200,$G336)&gt;0,
    COUNTIFS($AV$2:$AV$200,$G336)&gt;0,
    COUNTIFS($AW$2:$AW$200,$G336)&gt;0,
    COUNTIFS($AX$2:$AX$200,$G336)&gt;0
   ),
  0)
 ),
"")</f>
        <v>Tayam</v>
      </c>
      <c r="D336" s="3" t="str" cm="1">
        <f t="array" aca="1" ref="D336" ca="1">IFERROR(
 INDEX(
  _xlfn._xlws.FILTER($U$1:$AX$1,
   TRANSPOSE(
    CHOOSE({1;2;3;4;5;6;7;8;9;10;11;12;13;14;15;16;17;18;19;20;21;22;23;24;25;26;27;28;29;30},
     COUNTIFS($U$2:$U$200,$G336)&gt;0,
     COUNTIFS($V$2:$V$200,$G336)&gt;0,
     COUNTIFS($W$2:$W$200,$G336)&gt;0,
     COUNTIFS($X$2:$X$200,$G336)&gt;0,
     COUNTIFS($Y$2:$Y$200,$G336)&gt;0,
     COUNTIFS($Z$2:$Z$200,$G336)&gt;0,
     COUNTIFS($AA$2:$AA$200,$G336)&gt;0,
     COUNTIFS($AB$2:$AB$200,$G336)&gt;0,
     COUNTIFS($AC$2:$AC$200,$G336)&gt;0,
     COUNTIFS($AD$2:$AD$200,$G336)&gt;0,
     COUNTIFS($AE$2:$AE$200,$G336)&gt;0,
     COUNTIFS($AF$2:$AF$200,$G336)&gt;0,
     COUNTIFS($AG$2:$AG$200,$G336)&gt;0,
     COUNTIFS($AH$2:$AH$200,$G336)&gt;0,
     COUNTIFS($AI$2:$AI$200,$G336)&gt;0,
     COUNTIFS($AJ$2:$AJ$200,$G336)&gt;0,
     COUNTIFS($AK$2:$AK$200,$G336)&gt;0,
     COUNTIFS($AL$2:$AL$200,$G336)&gt;0,
     COUNTIFS($AM$2:$AM$200,$G336)&gt;0,
     COUNTIFS($AN$2:$AN$200,$G336)&gt;0,
     COUNTIFS($AO$2:$AO$200,$G336)&gt;0,
     COUNTIFS($AP$2:$AP$200,$G336)&gt;0,
     COUNTIFS($AQ$2:$AQ$200,$G336)&gt;0,
     COUNTIFS($AR$2:$AR$200,$G336)&gt;0,
     COUNTIFS($AS$2:$AS$200,$G336)&gt;0,
     COUNTIFS($AT$2:$AT$200,$G336)&gt;0,
     COUNTIFS($AU$2:$AU$200,$G336)&gt;0,
     COUNTIFS($AV$2:$AV$200,$G336)&gt;0,
     COUNTIFS($AW$2:$AW$200,$G336)&gt;0,
     COUNTIFS($AX$2:$AX$200,$G336)&gt;0
   )),
  ),
  2
 ),
"")</f>
        <v/>
      </c>
      <c r="E336" s="3" t="str" cm="1">
        <f t="array" aca="1" ref="E336" ca="1">IFERROR(
 INDEX(
  _xlfn._xlws.FILTER($U$1:$AX$1,
   TRANSPOSE(
    CHOOSE({1;2;3;4;5;6;7;8;9;10;11;12;13;14;15;16;17;18;19;20;21;22;23;24;25;26;27;28;29;30},
     COUNTIFS($U$2:$U$200,$G336)&gt;0,
     COUNTIFS($V$2:$V$200,$G336)&gt;0,
     COUNTIFS($W$2:$W$200,$G336)&gt;0,
     COUNTIFS($X$2:$X$200,$G336)&gt;0,
     COUNTIFS($Y$2:$Y$200,$G336)&gt;0,
     COUNTIFS($Z$2:$Z$200,$G336)&gt;0,
     COUNTIFS($AA$2:$AA$200,$G336)&gt;0,
     COUNTIFS($AB$2:$AB$200,$G336)&gt;0,
     COUNTIFS($AC$2:$AC$200,$G336)&gt;0,
     COUNTIFS($AD$2:$AD$200,$G336)&gt;0,
     COUNTIFS($AE$2:$AE$200,$G336)&gt;0,
     COUNTIFS($AF$2:$AF$200,$G336)&gt;0,
     COUNTIFS($AG$2:$AG$200,$G336)&gt;0,
     COUNTIFS($AH$2:$AH$200,$G336)&gt;0,
     COUNTIFS($AI$2:$AI$200,$G336)&gt;0,
     COUNTIFS($AJ$2:$AJ$200,$G336)&gt;0,
     COUNTIFS($AK$2:$AK$200,$G336)&gt;0,
     COUNTIFS($AL$2:$AL$200,$G336)&gt;0,
     COUNTIFS($AM$2:$AM$200,$G336)&gt;0,
     COUNTIFS($AN$2:$AN$200,$G336)&gt;0,
     COUNTIFS($AO$2:$AO$200,$G336)&gt;0,
     COUNTIFS($AP$2:$AP$200,$G336)&gt;0,
     COUNTIFS($AQ$2:$AQ$200,$G336)&gt;0,
     COUNTIFS($AR$2:$AR$200,$G336)&gt;0,
     COUNTIFS($AS$2:$AS$200,$G336)&gt;0,
     COUNTIFS($AT$2:$AT$200,$G336)&gt;0,
     COUNTIFS($AU$2:$AU$200,$G336)&gt;0,
     COUNTIFS($AV$2:$AV$200,$G336)&gt;0,
     COUNTIFS($AW$2:$AW$200,$G336)&gt;0,
     COUNTIFS($AX$2:$AX$200,$G336)&gt;0
   )),
  ),
  3
 ),
"")</f>
        <v/>
      </c>
      <c r="F336" s="3" t="str" cm="1">
        <f t="array" aca="1" ref="F336" ca="1">IFERROR(
 INDEX(
  _xlfn._xlws.FILTER($U$1:$AX$1,
   TRANSPOSE(
    CHOOSE({1;2;3;4;5;6;7;8;9;10;11;12;13;14;15;16;17;18;19;20;21;22;23;24;25;26;27;28;29;30},
     COUNTIFS($U$2:$U$200,$G336)&gt;0,
     COUNTIFS($V$2:$V$200,$G336)&gt;0,
     COUNTIFS($W$2:$W$200,$G336)&gt;0,
     COUNTIFS($X$2:$X$200,$G336)&gt;0,
     COUNTIFS($Y$2:$Y$200,$G336)&gt;0,
     COUNTIFS($Z$2:$Z$200,$G336)&gt;0,
     COUNTIFS($AA$2:$AA$200,$G336)&gt;0,
     COUNTIFS($AB$2:$AB$200,$G336)&gt;0,
     COUNTIFS($AC$2:$AC$200,$G336)&gt;0,
     COUNTIFS($AD$2:$AD$200,$G336)&gt;0,
     COUNTIFS($AE$2:$AE$200,$G336)&gt;0,
     COUNTIFS($AF$2:$AF$200,$G336)&gt;0,
     COUNTIFS($AG$2:$AG$200,$G336)&gt;0,
     COUNTIFS($AH$2:$AH$200,$G336)&gt;0,
     COUNTIFS($AI$2:$AI$200,$G336)&gt;0,
     COUNTIFS($AJ$2:$AJ$200,$G336)&gt;0,
     COUNTIFS($AK$2:$AK$200,$G336)&gt;0,
     COUNTIFS($AL$2:$AL$200,$G336)&gt;0,
     COUNTIFS($AM$2:$AM$200,$G336)&gt;0,
     COUNTIFS($AN$2:$AN$200,$G336)&gt;0,
     COUNTIFS($AO$2:$AO$200,$G336)&gt;0,
     COUNTIFS($AP$2:$AP$200,$G336)&gt;0,
     COUNTIFS($AQ$2:$AQ$200,$G336)&gt;0,
     COUNTIFS($AR$2:$AR$200,$G336)&gt;0,
     COUNTIFS($AS$2:$AS$200,$G336)&gt;0,
     COUNTIFS($AT$2:$AT$200,$G336)&gt;0,
     COUNTIFS($AU$2:$AU$200,$G336)&gt;0,
     COUNTIFS($AV$2:$AV$200,$G336)&gt;0,
     COUNTIFS($AW$2:$AW$200,$G336)&gt;0,
     COUNTIFS($AX$2:$AX$200,$G336)&gt;0
   )),
  ),
  4
 ),
"")</f>
        <v/>
      </c>
      <c r="G336" t="str">
        <f ca="1"/>
        <v>Zack Fair</v>
      </c>
      <c r="CJ336" t="str">
        <f ca="1"/>
        <v>Zack Fair</v>
      </c>
    </row>
    <row r="337" spans="1:88" x14ac:dyDescent="0.25">
      <c r="A337" s="3" t="str">
        <f t="shared" ca="1" si="12"/>
        <v>3</v>
      </c>
      <c r="B337" s="3">
        <f t="shared" ca="1" si="13"/>
        <v>2</v>
      </c>
      <c r="C337" s="3" t="str">
        <f ca="1">IFERROR(
 INDEX($U$1:$AX$1,
  MATCH(TRUE,
   CHOOSE({1;2;3;4;5;6;7;8;9;10;11;12;13;14;15;16;17;18;19;20;21;22;23;24;25;26;27;28;29;30;31;32},
    COUNTIFS($U$2:$U$200,$G337)&gt;0,
    COUNTIFS($V$2:$V$200,$G337)&gt;0,
    COUNTIFS($W$2:$W$200,$G337)&gt;0,
    COUNTIFS($X$2:$X$200,$G337)&gt;0,
    COUNTIFS($Y$2:$Y$200,$G337)&gt;0,
    COUNTIFS($Z$2:$Z$200,$G337)&gt;0,
    COUNTIFS($AA$2:$AA$200,$G337)&gt;0,
    COUNTIFS($AB$2:$AB$200,$G337)&gt;0,
    COUNTIFS($AC$2:$AC$200,$G337)&gt;0,
    COUNTIFS($AD$2:$AD$200,$G337)&gt;0,
    COUNTIFS($AE$2:$AE$200,$G337)&gt;0,
    COUNTIFS($AF$2:$AF$200,$G337)&gt;0,
    COUNTIFS($AG$2:$AG$200,$G337)&gt;0,
    COUNTIFS($AH$2:$AH$200,$G337)&gt;0,
    COUNTIFS($AI$2:$AI$200,$G337)&gt;0,
    COUNTIFS($AJ$2:$AJ$200,$G337)&gt;0,
    COUNTIFS($AK$2:$AK$200,$G337)&gt;0,
    COUNTIFS($AL$2:$AL$200,$G337)&gt;0,
    COUNTIFS($AM$2:$AM$200,$G337)&gt;0,
    COUNTIFS($AN$2:$AN$200,$G337)&gt;0,
    COUNTIFS($AO$2:$AO$200,$G337)&gt;0,
    COUNTIFS($AP$2:$AP$200,$G337)&gt;0,
    COUNTIFS($AQ$2:$AQ$200,$G337)&gt;0,
    COUNTIFS($AR$2:$AR$200,$G337)&gt;0,
    COUNTIFS($AS$2:$AS$200,$G337)&gt;0,
    COUNTIFS($AT$2:$AT$200,$G337)&gt;0,
    COUNTIFS($AU$2:$AU$200,$G337)&gt;0,
    COUNTIFS($AV$2:$AV$200,$G337)&gt;0,
    COUNTIFS($AW$2:$AW$200,$G337)&gt;0,
    COUNTIFS($AX$2:$AX$200,$G337)&gt;0
   ),
  0)
 ),
"")</f>
        <v>Zimone</v>
      </c>
      <c r="D337" s="3" t="str" cm="1">
        <f t="array" aca="1" ref="D337" ca="1">IFERROR(
 INDEX(
  _xlfn._xlws.FILTER($U$1:$AX$1,
   TRANSPOSE(
    CHOOSE({1;2;3;4;5;6;7;8;9;10;11;12;13;14;15;16;17;18;19;20;21;22;23;24;25;26;27;28;29;30},
     COUNTIFS($U$2:$U$200,$G337)&gt;0,
     COUNTIFS($V$2:$V$200,$G337)&gt;0,
     COUNTIFS($W$2:$W$200,$G337)&gt;0,
     COUNTIFS($X$2:$X$200,$G337)&gt;0,
     COUNTIFS($Y$2:$Y$200,$G337)&gt;0,
     COUNTIFS($Z$2:$Z$200,$G337)&gt;0,
     COUNTIFS($AA$2:$AA$200,$G337)&gt;0,
     COUNTIFS($AB$2:$AB$200,$G337)&gt;0,
     COUNTIFS($AC$2:$AC$200,$G337)&gt;0,
     COUNTIFS($AD$2:$AD$200,$G337)&gt;0,
     COUNTIFS($AE$2:$AE$200,$G337)&gt;0,
     COUNTIFS($AF$2:$AF$200,$G337)&gt;0,
     COUNTIFS($AG$2:$AG$200,$G337)&gt;0,
     COUNTIFS($AH$2:$AH$200,$G337)&gt;0,
     COUNTIFS($AI$2:$AI$200,$G337)&gt;0,
     COUNTIFS($AJ$2:$AJ$200,$G337)&gt;0,
     COUNTIFS($AK$2:$AK$200,$G337)&gt;0,
     COUNTIFS($AL$2:$AL$200,$G337)&gt;0,
     COUNTIFS($AM$2:$AM$200,$G337)&gt;0,
     COUNTIFS($AN$2:$AN$200,$G337)&gt;0,
     COUNTIFS($AO$2:$AO$200,$G337)&gt;0,
     COUNTIFS($AP$2:$AP$200,$G337)&gt;0,
     COUNTIFS($AQ$2:$AQ$200,$G337)&gt;0,
     COUNTIFS($AR$2:$AR$200,$G337)&gt;0,
     COUNTIFS($AS$2:$AS$200,$G337)&gt;0,
     COUNTIFS($AT$2:$AT$200,$G337)&gt;0,
     COUNTIFS($AU$2:$AU$200,$G337)&gt;0,
     COUNTIFS($AV$2:$AV$200,$G337)&gt;0,
     COUNTIFS($AW$2:$AW$200,$G337)&gt;0,
     COUNTIFS($AX$2:$AX$200,$G337)&gt;0
   )),
  ),
  2
 ),
"")</f>
        <v>Elfos</v>
      </c>
      <c r="E337" s="3" t="str" cm="1">
        <f t="array" aca="1" ref="E337" ca="1">IFERROR(
 INDEX(
  _xlfn._xlws.FILTER($U$1:$AX$1,
   TRANSPOSE(
    CHOOSE({1;2;3;4;5;6;7;8;9;10;11;12;13;14;15;16;17;18;19;20;21;22;23;24;25;26;27;28;29;30},
     COUNTIFS($U$2:$U$200,$G337)&gt;0,
     COUNTIFS($V$2:$V$200,$G337)&gt;0,
     COUNTIFS($W$2:$W$200,$G337)&gt;0,
     COUNTIFS($X$2:$X$200,$G337)&gt;0,
     COUNTIFS($Y$2:$Y$200,$G337)&gt;0,
     COUNTIFS($Z$2:$Z$200,$G337)&gt;0,
     COUNTIFS($AA$2:$AA$200,$G337)&gt;0,
     COUNTIFS($AB$2:$AB$200,$G337)&gt;0,
     COUNTIFS($AC$2:$AC$200,$G337)&gt;0,
     COUNTIFS($AD$2:$AD$200,$G337)&gt;0,
     COUNTIFS($AE$2:$AE$200,$G337)&gt;0,
     COUNTIFS($AF$2:$AF$200,$G337)&gt;0,
     COUNTIFS($AG$2:$AG$200,$G337)&gt;0,
     COUNTIFS($AH$2:$AH$200,$G337)&gt;0,
     COUNTIFS($AI$2:$AI$200,$G337)&gt;0,
     COUNTIFS($AJ$2:$AJ$200,$G337)&gt;0,
     COUNTIFS($AK$2:$AK$200,$G337)&gt;0,
     COUNTIFS($AL$2:$AL$200,$G337)&gt;0,
     COUNTIFS($AM$2:$AM$200,$G337)&gt;0,
     COUNTIFS($AN$2:$AN$200,$G337)&gt;0,
     COUNTIFS($AO$2:$AO$200,$G337)&gt;0,
     COUNTIFS($AP$2:$AP$200,$G337)&gt;0,
     COUNTIFS($AQ$2:$AQ$200,$G337)&gt;0,
     COUNTIFS($AR$2:$AR$200,$G337)&gt;0,
     COUNTIFS($AS$2:$AS$200,$G337)&gt;0,
     COUNTIFS($AT$2:$AT$200,$G337)&gt;0,
     COUNTIFS($AU$2:$AU$200,$G337)&gt;0,
     COUNTIFS($AV$2:$AV$200,$G337)&gt;0,
     COUNTIFS($AW$2:$AW$200,$G337)&gt;0,
     COUNTIFS($AX$2:$AX$200,$G337)&gt;0
   )),
  ),
  3
 ),
"")</f>
        <v/>
      </c>
      <c r="F337" s="3" t="str" cm="1">
        <f t="array" aca="1" ref="F337" ca="1">IFERROR(
 INDEX(
  _xlfn._xlws.FILTER($U$1:$AX$1,
   TRANSPOSE(
    CHOOSE({1;2;3;4;5;6;7;8;9;10;11;12;13;14;15;16;17;18;19;20;21;22;23;24;25;26;27;28;29;30},
     COUNTIFS($U$2:$U$200,$G337)&gt;0,
     COUNTIFS($V$2:$V$200,$G337)&gt;0,
     COUNTIFS($W$2:$W$200,$G337)&gt;0,
     COUNTIFS($X$2:$X$200,$G337)&gt;0,
     COUNTIFS($Y$2:$Y$200,$G337)&gt;0,
     COUNTIFS($Z$2:$Z$200,$G337)&gt;0,
     COUNTIFS($AA$2:$AA$200,$G337)&gt;0,
     COUNTIFS($AB$2:$AB$200,$G337)&gt;0,
     COUNTIFS($AC$2:$AC$200,$G337)&gt;0,
     COUNTIFS($AD$2:$AD$200,$G337)&gt;0,
     COUNTIFS($AE$2:$AE$200,$G337)&gt;0,
     COUNTIFS($AF$2:$AF$200,$G337)&gt;0,
     COUNTIFS($AG$2:$AG$200,$G337)&gt;0,
     COUNTIFS($AH$2:$AH$200,$G337)&gt;0,
     COUNTIFS($AI$2:$AI$200,$G337)&gt;0,
     COUNTIFS($AJ$2:$AJ$200,$G337)&gt;0,
     COUNTIFS($AK$2:$AK$200,$G337)&gt;0,
     COUNTIFS($AL$2:$AL$200,$G337)&gt;0,
     COUNTIFS($AM$2:$AM$200,$G337)&gt;0,
     COUNTIFS($AN$2:$AN$200,$G337)&gt;0,
     COUNTIFS($AO$2:$AO$200,$G337)&gt;0,
     COUNTIFS($AP$2:$AP$200,$G337)&gt;0,
     COUNTIFS($AQ$2:$AQ$200,$G337)&gt;0,
     COUNTIFS($AR$2:$AR$200,$G337)&gt;0,
     COUNTIFS($AS$2:$AS$200,$G337)&gt;0,
     COUNTIFS($AT$2:$AT$200,$G337)&gt;0,
     COUNTIFS($AU$2:$AU$200,$G337)&gt;0,
     COUNTIFS($AV$2:$AV$200,$G337)&gt;0,
     COUNTIFS($AW$2:$AW$200,$G337)&gt;0,
     COUNTIFS($AX$2:$AX$200,$G337)&gt;0
   )),
  ),
  4
 ),
"")</f>
        <v/>
      </c>
      <c r="G337" t="str">
        <f ca="1"/>
        <v>Zagoth Triome</v>
      </c>
      <c r="CJ337" t="str">
        <f ca="1"/>
        <v>Zagoth Triome</v>
      </c>
    </row>
    <row r="338" spans="1:88" x14ac:dyDescent="0.25">
      <c r="A338" s="3" t="str">
        <f t="shared" ca="1" si="12"/>
        <v>2</v>
      </c>
      <c r="B338" s="3">
        <f t="shared" ca="1" si="13"/>
        <v>1</v>
      </c>
      <c r="C338" s="3" t="str">
        <f ca="1">IFERROR(
 INDEX($U$1:$AX$1,
  MATCH(TRUE,
   CHOOSE({1;2;3;4;5;6;7;8;9;10;11;12;13;14;15;16;17;18;19;20;21;22;23;24;25;26;27;28;29;30;31;32},
    COUNTIFS($U$2:$U$200,$G338)&gt;0,
    COUNTIFS($V$2:$V$200,$G338)&gt;0,
    COUNTIFS($W$2:$W$200,$G338)&gt;0,
    COUNTIFS($X$2:$X$200,$G338)&gt;0,
    COUNTIFS($Y$2:$Y$200,$G338)&gt;0,
    COUNTIFS($Z$2:$Z$200,$G338)&gt;0,
    COUNTIFS($AA$2:$AA$200,$G338)&gt;0,
    COUNTIFS($AB$2:$AB$200,$G338)&gt;0,
    COUNTIFS($AC$2:$AC$200,$G338)&gt;0,
    COUNTIFS($AD$2:$AD$200,$G338)&gt;0,
    COUNTIFS($AE$2:$AE$200,$G338)&gt;0,
    COUNTIFS($AF$2:$AF$200,$G338)&gt;0,
    COUNTIFS($AG$2:$AG$200,$G338)&gt;0,
    COUNTIFS($AH$2:$AH$200,$G338)&gt;0,
    COUNTIFS($AI$2:$AI$200,$G338)&gt;0,
    COUNTIFS($AJ$2:$AJ$200,$G338)&gt;0,
    COUNTIFS($AK$2:$AK$200,$G338)&gt;0,
    COUNTIFS($AL$2:$AL$200,$G338)&gt;0,
    COUNTIFS($AM$2:$AM$200,$G338)&gt;0,
    COUNTIFS($AN$2:$AN$200,$G338)&gt;0,
    COUNTIFS($AO$2:$AO$200,$G338)&gt;0,
    COUNTIFS($AP$2:$AP$200,$G338)&gt;0,
    COUNTIFS($AQ$2:$AQ$200,$G338)&gt;0,
    COUNTIFS($AR$2:$AR$200,$G338)&gt;0,
    COUNTIFS($AS$2:$AS$200,$G338)&gt;0,
    COUNTIFS($AT$2:$AT$200,$G338)&gt;0,
    COUNTIFS($AU$2:$AU$200,$G338)&gt;0,
    COUNTIFS($AV$2:$AV$200,$G338)&gt;0,
    COUNTIFS($AW$2:$AW$200,$G338)&gt;0,
    COUNTIFS($AX$2:$AX$200,$G338)&gt;0
   ),
  0)
 ),
"")</f>
        <v>Narset</v>
      </c>
      <c r="D338" s="3" t="str" cm="1">
        <f t="array" aca="1" ref="D338" ca="1">IFERROR(
 INDEX(
  _xlfn._xlws.FILTER($U$1:$AX$1,
   TRANSPOSE(
    CHOOSE({1;2;3;4;5;6;7;8;9;10;11;12;13;14;15;16;17;18;19;20;21;22;23;24;25;26;27;28;29;30},
     COUNTIFS($U$2:$U$200,$G338)&gt;0,
     COUNTIFS($V$2:$V$200,$G338)&gt;0,
     COUNTIFS($W$2:$W$200,$G338)&gt;0,
     COUNTIFS($X$2:$X$200,$G338)&gt;0,
     COUNTIFS($Y$2:$Y$200,$G338)&gt;0,
     COUNTIFS($Z$2:$Z$200,$G338)&gt;0,
     COUNTIFS($AA$2:$AA$200,$G338)&gt;0,
     COUNTIFS($AB$2:$AB$200,$G338)&gt;0,
     COUNTIFS($AC$2:$AC$200,$G338)&gt;0,
     COUNTIFS($AD$2:$AD$200,$G338)&gt;0,
     COUNTIFS($AE$2:$AE$200,$G338)&gt;0,
     COUNTIFS($AF$2:$AF$200,$G338)&gt;0,
     COUNTIFS($AG$2:$AG$200,$G338)&gt;0,
     COUNTIFS($AH$2:$AH$200,$G338)&gt;0,
     COUNTIFS($AI$2:$AI$200,$G338)&gt;0,
     COUNTIFS($AJ$2:$AJ$200,$G338)&gt;0,
     COUNTIFS($AK$2:$AK$200,$G338)&gt;0,
     COUNTIFS($AL$2:$AL$200,$G338)&gt;0,
     COUNTIFS($AM$2:$AM$200,$G338)&gt;0,
     COUNTIFS($AN$2:$AN$200,$G338)&gt;0,
     COUNTIFS($AO$2:$AO$200,$G338)&gt;0,
     COUNTIFS($AP$2:$AP$200,$G338)&gt;0,
     COUNTIFS($AQ$2:$AQ$200,$G338)&gt;0,
     COUNTIFS($AR$2:$AR$200,$G338)&gt;0,
     COUNTIFS($AS$2:$AS$200,$G338)&gt;0,
     COUNTIFS($AT$2:$AT$200,$G338)&gt;0,
     COUNTIFS($AU$2:$AU$200,$G338)&gt;0,
     COUNTIFS($AV$2:$AV$200,$G338)&gt;0,
     COUNTIFS($AW$2:$AW$200,$G338)&gt;0,
     COUNTIFS($AX$2:$AX$200,$G338)&gt;0
   )),
  ),
  2
 ),
"")</f>
        <v/>
      </c>
      <c r="E338" s="3" t="str" cm="1">
        <f t="array" aca="1" ref="E338" ca="1">IFERROR(
 INDEX(
  _xlfn._xlws.FILTER($U$1:$AX$1,
   TRANSPOSE(
    CHOOSE({1;2;3;4;5;6;7;8;9;10;11;12;13;14;15;16;17;18;19;20;21;22;23;24;25;26;27;28;29;30},
     COUNTIFS($U$2:$U$200,$G338)&gt;0,
     COUNTIFS($V$2:$V$200,$G338)&gt;0,
     COUNTIFS($W$2:$W$200,$G338)&gt;0,
     COUNTIFS($X$2:$X$200,$G338)&gt;0,
     COUNTIFS($Y$2:$Y$200,$G338)&gt;0,
     COUNTIFS($Z$2:$Z$200,$G338)&gt;0,
     COUNTIFS($AA$2:$AA$200,$G338)&gt;0,
     COUNTIFS($AB$2:$AB$200,$G338)&gt;0,
     COUNTIFS($AC$2:$AC$200,$G338)&gt;0,
     COUNTIFS($AD$2:$AD$200,$G338)&gt;0,
     COUNTIFS($AE$2:$AE$200,$G338)&gt;0,
     COUNTIFS($AF$2:$AF$200,$G338)&gt;0,
     COUNTIFS($AG$2:$AG$200,$G338)&gt;0,
     COUNTIFS($AH$2:$AH$200,$G338)&gt;0,
     COUNTIFS($AI$2:$AI$200,$G338)&gt;0,
     COUNTIFS($AJ$2:$AJ$200,$G338)&gt;0,
     COUNTIFS($AK$2:$AK$200,$G338)&gt;0,
     COUNTIFS($AL$2:$AL$200,$G338)&gt;0,
     COUNTIFS($AM$2:$AM$200,$G338)&gt;0,
     COUNTIFS($AN$2:$AN$200,$G338)&gt;0,
     COUNTIFS($AO$2:$AO$200,$G338)&gt;0,
     COUNTIFS($AP$2:$AP$200,$G338)&gt;0,
     COUNTIFS($AQ$2:$AQ$200,$G338)&gt;0,
     COUNTIFS($AR$2:$AR$200,$G338)&gt;0,
     COUNTIFS($AS$2:$AS$200,$G338)&gt;0,
     COUNTIFS($AT$2:$AT$200,$G338)&gt;0,
     COUNTIFS($AU$2:$AU$200,$G338)&gt;0,
     COUNTIFS($AV$2:$AV$200,$G338)&gt;0,
     COUNTIFS($AW$2:$AW$200,$G338)&gt;0,
     COUNTIFS($AX$2:$AX$200,$G338)&gt;0
   )),
  ),
  3
 ),
"")</f>
        <v/>
      </c>
      <c r="F338" s="3" t="str" cm="1">
        <f t="array" aca="1" ref="F338" ca="1">IFERROR(
 INDEX(
  _xlfn._xlws.FILTER($U$1:$AX$1,
   TRANSPOSE(
    CHOOSE({1;2;3;4;5;6;7;8;9;10;11;12;13;14;15;16;17;18;19;20;21;22;23;24;25;26;27;28;29;30},
     COUNTIFS($U$2:$U$200,$G338)&gt;0,
     COUNTIFS($V$2:$V$200,$G338)&gt;0,
     COUNTIFS($W$2:$W$200,$G338)&gt;0,
     COUNTIFS($X$2:$X$200,$G338)&gt;0,
     COUNTIFS($Y$2:$Y$200,$G338)&gt;0,
     COUNTIFS($Z$2:$Z$200,$G338)&gt;0,
     COUNTIFS($AA$2:$AA$200,$G338)&gt;0,
     COUNTIFS($AB$2:$AB$200,$G338)&gt;0,
     COUNTIFS($AC$2:$AC$200,$G338)&gt;0,
     COUNTIFS($AD$2:$AD$200,$G338)&gt;0,
     COUNTIFS($AE$2:$AE$200,$G338)&gt;0,
     COUNTIFS($AF$2:$AF$200,$G338)&gt;0,
     COUNTIFS($AG$2:$AG$200,$G338)&gt;0,
     COUNTIFS($AH$2:$AH$200,$G338)&gt;0,
     COUNTIFS($AI$2:$AI$200,$G338)&gt;0,
     COUNTIFS($AJ$2:$AJ$200,$G338)&gt;0,
     COUNTIFS($AK$2:$AK$200,$G338)&gt;0,
     COUNTIFS($AL$2:$AL$200,$G338)&gt;0,
     COUNTIFS($AM$2:$AM$200,$G338)&gt;0,
     COUNTIFS($AN$2:$AN$200,$G338)&gt;0,
     COUNTIFS($AO$2:$AO$200,$G338)&gt;0,
     COUNTIFS($AP$2:$AP$200,$G338)&gt;0,
     COUNTIFS($AQ$2:$AQ$200,$G338)&gt;0,
     COUNTIFS($AR$2:$AR$200,$G338)&gt;0,
     COUNTIFS($AS$2:$AS$200,$G338)&gt;0,
     COUNTIFS($AT$2:$AT$200,$G338)&gt;0,
     COUNTIFS($AU$2:$AU$200,$G338)&gt;0,
     COUNTIFS($AV$2:$AV$200,$G338)&gt;0,
     COUNTIFS($AW$2:$AW$200,$G338)&gt;0,
     COUNTIFS($AX$2:$AX$200,$G338)&gt;0
   )),
  ),
  4
 ),
"")</f>
        <v/>
      </c>
      <c r="G338" t="str">
        <f ca="1"/>
        <v>Zellix, Sanity Flayer</v>
      </c>
      <c r="CJ338" t="str">
        <f ca="1"/>
        <v>Zellix, Sanity Flayer</v>
      </c>
    </row>
    <row r="339" spans="1:88" x14ac:dyDescent="0.25">
      <c r="A339" s="3" t="str">
        <f t="shared" ca="1" si="12"/>
        <v/>
      </c>
      <c r="B339" s="3">
        <f t="shared" ca="1" si="13"/>
        <v>0</v>
      </c>
      <c r="C339" s="3" t="str">
        <f ca="1">IFERROR(
 INDEX($U$1:$AX$1,
  MATCH(TRUE,
   CHOOSE({1;2;3;4;5;6;7;8;9;10;11;12;13;14;15;16;17;18;19;20;21;22;23;24;25;26;27;28;29;30;31;32},
    COUNTIFS($U$2:$U$200,$G339)&gt;0,
    COUNTIFS($V$2:$V$200,$G339)&gt;0,
    COUNTIFS($W$2:$W$200,$G339)&gt;0,
    COUNTIFS($X$2:$X$200,$G339)&gt;0,
    COUNTIFS($Y$2:$Y$200,$G339)&gt;0,
    COUNTIFS($Z$2:$Z$200,$G339)&gt;0,
    COUNTIFS($AA$2:$AA$200,$G339)&gt;0,
    COUNTIFS($AB$2:$AB$200,$G339)&gt;0,
    COUNTIFS($AC$2:$AC$200,$G339)&gt;0,
    COUNTIFS($AD$2:$AD$200,$G339)&gt;0,
    COUNTIFS($AE$2:$AE$200,$G339)&gt;0,
    COUNTIFS($AF$2:$AF$200,$G339)&gt;0,
    COUNTIFS($AG$2:$AG$200,$G339)&gt;0,
    COUNTIFS($AH$2:$AH$200,$G339)&gt;0,
    COUNTIFS($AI$2:$AI$200,$G339)&gt;0,
    COUNTIFS($AJ$2:$AJ$200,$G339)&gt;0,
    COUNTIFS($AK$2:$AK$200,$G339)&gt;0,
    COUNTIFS($AL$2:$AL$200,$G339)&gt;0,
    COUNTIFS($AM$2:$AM$200,$G339)&gt;0,
    COUNTIFS($AN$2:$AN$200,$G339)&gt;0,
    COUNTIFS($AO$2:$AO$200,$G339)&gt;0,
    COUNTIFS($AP$2:$AP$200,$G339)&gt;0,
    COUNTIFS($AQ$2:$AQ$200,$G339)&gt;0,
    COUNTIFS($AR$2:$AR$200,$G339)&gt;0,
    COUNTIFS($AS$2:$AS$200,$G339)&gt;0,
    COUNTIFS($AT$2:$AT$200,$G339)&gt;0,
    COUNTIFS($AU$2:$AU$200,$G339)&gt;0,
    COUNTIFS($AV$2:$AV$200,$G339)&gt;0,
    COUNTIFS($AW$2:$AW$200,$G339)&gt;0,
    COUNTIFS($AX$2:$AX$200,$G339)&gt;0
   ),
  0)
 ),
"")</f>
        <v/>
      </c>
      <c r="D339" s="3" t="str" cm="1">
        <f t="array" aca="1" ref="D339" ca="1">IFERROR(
 INDEX(
  _xlfn._xlws.FILTER($U$1:$AX$1,
   TRANSPOSE(
    CHOOSE({1;2;3;4;5;6;7;8;9;10;11;12;13;14;15;16;17;18;19;20;21;22;23;24;25;26;27;28;29;30},
     COUNTIFS($U$2:$U$200,$G339)&gt;0,
     COUNTIFS($V$2:$V$200,$G339)&gt;0,
     COUNTIFS($W$2:$W$200,$G339)&gt;0,
     COUNTIFS($X$2:$X$200,$G339)&gt;0,
     COUNTIFS($Y$2:$Y$200,$G339)&gt;0,
     COUNTIFS($Z$2:$Z$200,$G339)&gt;0,
     COUNTIFS($AA$2:$AA$200,$G339)&gt;0,
     COUNTIFS($AB$2:$AB$200,$G339)&gt;0,
     COUNTIFS($AC$2:$AC$200,$G339)&gt;0,
     COUNTIFS($AD$2:$AD$200,$G339)&gt;0,
     COUNTIFS($AE$2:$AE$200,$G339)&gt;0,
     COUNTIFS($AF$2:$AF$200,$G339)&gt;0,
     COUNTIFS($AG$2:$AG$200,$G339)&gt;0,
     COUNTIFS($AH$2:$AH$200,$G339)&gt;0,
     COUNTIFS($AI$2:$AI$200,$G339)&gt;0,
     COUNTIFS($AJ$2:$AJ$200,$G339)&gt;0,
     COUNTIFS($AK$2:$AK$200,$G339)&gt;0,
     COUNTIFS($AL$2:$AL$200,$G339)&gt;0,
     COUNTIFS($AM$2:$AM$200,$G339)&gt;0,
     COUNTIFS($AN$2:$AN$200,$G339)&gt;0,
     COUNTIFS($AO$2:$AO$200,$G339)&gt;0,
     COUNTIFS($AP$2:$AP$200,$G339)&gt;0,
     COUNTIFS($AQ$2:$AQ$200,$G339)&gt;0,
     COUNTIFS($AR$2:$AR$200,$G339)&gt;0,
     COUNTIFS($AS$2:$AS$200,$G339)&gt;0,
     COUNTIFS($AT$2:$AT$200,$G339)&gt;0,
     COUNTIFS($AU$2:$AU$200,$G339)&gt;0,
     COUNTIFS($AV$2:$AV$200,$G339)&gt;0,
     COUNTIFS($AW$2:$AW$200,$G339)&gt;0,
     COUNTIFS($AX$2:$AX$200,$G339)&gt;0
   )),
  ),
  2
 ),
"")</f>
        <v/>
      </c>
      <c r="E339" s="3" t="str" cm="1">
        <f t="array" aca="1" ref="E339" ca="1">IFERROR(
 INDEX(
  _xlfn._xlws.FILTER($U$1:$AX$1,
   TRANSPOSE(
    CHOOSE({1;2;3;4;5;6;7;8;9;10;11;12;13;14;15;16;17;18;19;20;21;22;23;24;25;26;27;28;29;30},
     COUNTIFS($U$2:$U$200,$G339)&gt;0,
     COUNTIFS($V$2:$V$200,$G339)&gt;0,
     COUNTIFS($W$2:$W$200,$G339)&gt;0,
     COUNTIFS($X$2:$X$200,$G339)&gt;0,
     COUNTIFS($Y$2:$Y$200,$G339)&gt;0,
     COUNTIFS($Z$2:$Z$200,$G339)&gt;0,
     COUNTIFS($AA$2:$AA$200,$G339)&gt;0,
     COUNTIFS($AB$2:$AB$200,$G339)&gt;0,
     COUNTIFS($AC$2:$AC$200,$G339)&gt;0,
     COUNTIFS($AD$2:$AD$200,$G339)&gt;0,
     COUNTIFS($AE$2:$AE$200,$G339)&gt;0,
     COUNTIFS($AF$2:$AF$200,$G339)&gt;0,
     COUNTIFS($AG$2:$AG$200,$G339)&gt;0,
     COUNTIFS($AH$2:$AH$200,$G339)&gt;0,
     COUNTIFS($AI$2:$AI$200,$G339)&gt;0,
     COUNTIFS($AJ$2:$AJ$200,$G339)&gt;0,
     COUNTIFS($AK$2:$AK$200,$G339)&gt;0,
     COUNTIFS($AL$2:$AL$200,$G339)&gt;0,
     COUNTIFS($AM$2:$AM$200,$G339)&gt;0,
     COUNTIFS($AN$2:$AN$200,$G339)&gt;0,
     COUNTIFS($AO$2:$AO$200,$G339)&gt;0,
     COUNTIFS($AP$2:$AP$200,$G339)&gt;0,
     COUNTIFS($AQ$2:$AQ$200,$G339)&gt;0,
     COUNTIFS($AR$2:$AR$200,$G339)&gt;0,
     COUNTIFS($AS$2:$AS$200,$G339)&gt;0,
     COUNTIFS($AT$2:$AT$200,$G339)&gt;0,
     COUNTIFS($AU$2:$AU$200,$G339)&gt;0,
     COUNTIFS($AV$2:$AV$200,$G339)&gt;0,
     COUNTIFS($AW$2:$AW$200,$G339)&gt;0,
     COUNTIFS($AX$2:$AX$200,$G339)&gt;0
   )),
  ),
  3
 ),
"")</f>
        <v/>
      </c>
      <c r="F339" s="3" t="str" cm="1">
        <f t="array" aca="1" ref="F339" ca="1">IFERROR(
 INDEX(
  _xlfn._xlws.FILTER($U$1:$AX$1,
   TRANSPOSE(
    CHOOSE({1;2;3;4;5;6;7;8;9;10;11;12;13;14;15;16;17;18;19;20;21;22;23;24;25;26;27;28;29;30},
     COUNTIFS($U$2:$U$200,$G339)&gt;0,
     COUNTIFS($V$2:$V$200,$G339)&gt;0,
     COUNTIFS($W$2:$W$200,$G339)&gt;0,
     COUNTIFS($X$2:$X$200,$G339)&gt;0,
     COUNTIFS($Y$2:$Y$200,$G339)&gt;0,
     COUNTIFS($Z$2:$Z$200,$G339)&gt;0,
     COUNTIFS($AA$2:$AA$200,$G339)&gt;0,
     COUNTIFS($AB$2:$AB$200,$G339)&gt;0,
     COUNTIFS($AC$2:$AC$200,$G339)&gt;0,
     COUNTIFS($AD$2:$AD$200,$G339)&gt;0,
     COUNTIFS($AE$2:$AE$200,$G339)&gt;0,
     COUNTIFS($AF$2:$AF$200,$G339)&gt;0,
     COUNTIFS($AG$2:$AG$200,$G339)&gt;0,
     COUNTIFS($AH$2:$AH$200,$G339)&gt;0,
     COUNTIFS($AI$2:$AI$200,$G339)&gt;0,
     COUNTIFS($AJ$2:$AJ$200,$G339)&gt;0,
     COUNTIFS($AK$2:$AK$200,$G339)&gt;0,
     COUNTIFS($AL$2:$AL$200,$G339)&gt;0,
     COUNTIFS($AM$2:$AM$200,$G339)&gt;0,
     COUNTIFS($AN$2:$AN$200,$G339)&gt;0,
     COUNTIFS($AO$2:$AO$200,$G339)&gt;0,
     COUNTIFS($AP$2:$AP$200,$G339)&gt;0,
     COUNTIFS($AQ$2:$AQ$200,$G339)&gt;0,
     COUNTIFS($AR$2:$AR$200,$G339)&gt;0,
     COUNTIFS($AS$2:$AS$200,$G339)&gt;0,
     COUNTIFS($AT$2:$AT$200,$G339)&gt;0,
     COUNTIFS($AU$2:$AU$200,$G339)&gt;0,
     COUNTIFS($AV$2:$AV$200,$G339)&gt;0,
     COUNTIFS($AW$2:$AW$200,$G339)&gt;0,
     COUNTIFS($AX$2:$AX$200,$G339)&gt;0
   )),
  ),
  4
 ),
"")</f>
        <v/>
      </c>
      <c r="G339" t="e">
        <f ca="1"/>
        <v>#REF!</v>
      </c>
      <c r="CJ339" t="e">
        <f ca="1"/>
        <v>#REF!</v>
      </c>
    </row>
    <row r="340" spans="1:88" x14ac:dyDescent="0.25">
      <c r="A340" s="3" t="str">
        <f t="shared" ca="1" si="12"/>
        <v>5</v>
      </c>
      <c r="B340" s="3">
        <f t="shared" ca="1" si="13"/>
        <v>1</v>
      </c>
      <c r="C340" s="3" t="str">
        <f ca="1">IFERROR(
 INDEX($U$1:$AX$1,
  MATCH(TRUE,
   CHOOSE({1;2;3;4;5;6;7;8;9;10;11;12;13;14;15;16;17;18;19;20;21;22;23;24;25;26;27;28;29;30;31;32},
    COUNTIFS($U$2:$U$200,$G340)&gt;0,
    COUNTIFS($V$2:$V$200,$G340)&gt;0,
    COUNTIFS($W$2:$W$200,$G340)&gt;0,
    COUNTIFS($X$2:$X$200,$G340)&gt;0,
    COUNTIFS($Y$2:$Y$200,$G340)&gt;0,
    COUNTIFS($Z$2:$Z$200,$G340)&gt;0,
    COUNTIFS($AA$2:$AA$200,$G340)&gt;0,
    COUNTIFS($AB$2:$AB$200,$G340)&gt;0,
    COUNTIFS($AC$2:$AC$200,$G340)&gt;0,
    COUNTIFS($AD$2:$AD$200,$G340)&gt;0,
    COUNTIFS($AE$2:$AE$200,$G340)&gt;0,
    COUNTIFS($AF$2:$AF$200,$G340)&gt;0,
    COUNTIFS($AG$2:$AG$200,$G340)&gt;0,
    COUNTIFS($AH$2:$AH$200,$G340)&gt;0,
    COUNTIFS($AI$2:$AI$200,$G340)&gt;0,
    COUNTIFS($AJ$2:$AJ$200,$G340)&gt;0,
    COUNTIFS($AK$2:$AK$200,$G340)&gt;0,
    COUNTIFS($AL$2:$AL$200,$G340)&gt;0,
    COUNTIFS($AM$2:$AM$200,$G340)&gt;0,
    COUNTIFS($AN$2:$AN$200,$G340)&gt;0,
    COUNTIFS($AO$2:$AO$200,$G340)&gt;0,
    COUNTIFS($AP$2:$AP$200,$G340)&gt;0,
    COUNTIFS($AQ$2:$AQ$200,$G340)&gt;0,
    COUNTIFS($AR$2:$AR$200,$G340)&gt;0,
    COUNTIFS($AS$2:$AS$200,$G340)&gt;0,
    COUNTIFS($AT$2:$AT$200,$G340)&gt;0,
    COUNTIFS($AU$2:$AU$200,$G340)&gt;0,
    COUNTIFS($AV$2:$AV$200,$G340)&gt;0,
    COUNTIFS($AW$2:$AW$200,$G340)&gt;0,
    COUNTIFS($AX$2:$AX$200,$G340)&gt;0
   ),
  0)
 ),
"")</f>
        <v>Exaltado</v>
      </c>
      <c r="D340" s="3" t="str" cm="1">
        <f t="array" aca="1" ref="D340" ca="1">IFERROR(
 INDEX(
  _xlfn._xlws.FILTER($U$1:$AX$1,
   TRANSPOSE(
    CHOOSE({1;2;3;4;5;6;7;8;9;10;11;12;13;14;15;16;17;18;19;20;21;22;23;24;25;26;27;28;29;30},
     COUNTIFS($U$2:$U$200,$G340)&gt;0,
     COUNTIFS($V$2:$V$200,$G340)&gt;0,
     COUNTIFS($W$2:$W$200,$G340)&gt;0,
     COUNTIFS($X$2:$X$200,$G340)&gt;0,
     COUNTIFS($Y$2:$Y$200,$G340)&gt;0,
     COUNTIFS($Z$2:$Z$200,$G340)&gt;0,
     COUNTIFS($AA$2:$AA$200,$G340)&gt;0,
     COUNTIFS($AB$2:$AB$200,$G340)&gt;0,
     COUNTIFS($AC$2:$AC$200,$G340)&gt;0,
     COUNTIFS($AD$2:$AD$200,$G340)&gt;0,
     COUNTIFS($AE$2:$AE$200,$G340)&gt;0,
     COUNTIFS($AF$2:$AF$200,$G340)&gt;0,
     COUNTIFS($AG$2:$AG$200,$G340)&gt;0,
     COUNTIFS($AH$2:$AH$200,$G340)&gt;0,
     COUNTIFS($AI$2:$AI$200,$G340)&gt;0,
     COUNTIFS($AJ$2:$AJ$200,$G340)&gt;0,
     COUNTIFS($AK$2:$AK$200,$G340)&gt;0,
     COUNTIFS($AL$2:$AL$200,$G340)&gt;0,
     COUNTIFS($AM$2:$AM$200,$G340)&gt;0,
     COUNTIFS($AN$2:$AN$200,$G340)&gt;0,
     COUNTIFS($AO$2:$AO$200,$G340)&gt;0,
     COUNTIFS($AP$2:$AP$200,$G340)&gt;0,
     COUNTIFS($AQ$2:$AQ$200,$G340)&gt;0,
     COUNTIFS($AR$2:$AR$200,$G340)&gt;0,
     COUNTIFS($AS$2:$AS$200,$G340)&gt;0,
     COUNTIFS($AT$2:$AT$200,$G340)&gt;0,
     COUNTIFS($AU$2:$AU$200,$G340)&gt;0,
     COUNTIFS($AV$2:$AV$200,$G340)&gt;0,
     COUNTIFS($AW$2:$AW$200,$G340)&gt;0,
     COUNTIFS($AX$2:$AX$200,$G340)&gt;0
   )),
  ),
  2
 ),
"")</f>
        <v/>
      </c>
      <c r="E340" s="3" t="str" cm="1">
        <f t="array" aca="1" ref="E340" ca="1">IFERROR(
 INDEX(
  _xlfn._xlws.FILTER($U$1:$AX$1,
   TRANSPOSE(
    CHOOSE({1;2;3;4;5;6;7;8;9;10;11;12;13;14;15;16;17;18;19;20;21;22;23;24;25;26;27;28;29;30},
     COUNTIFS($U$2:$U$200,$G340)&gt;0,
     COUNTIFS($V$2:$V$200,$G340)&gt;0,
     COUNTIFS($W$2:$W$200,$G340)&gt;0,
     COUNTIFS($X$2:$X$200,$G340)&gt;0,
     COUNTIFS($Y$2:$Y$200,$G340)&gt;0,
     COUNTIFS($Z$2:$Z$200,$G340)&gt;0,
     COUNTIFS($AA$2:$AA$200,$G340)&gt;0,
     COUNTIFS($AB$2:$AB$200,$G340)&gt;0,
     COUNTIFS($AC$2:$AC$200,$G340)&gt;0,
     COUNTIFS($AD$2:$AD$200,$G340)&gt;0,
     COUNTIFS($AE$2:$AE$200,$G340)&gt;0,
     COUNTIFS($AF$2:$AF$200,$G340)&gt;0,
     COUNTIFS($AG$2:$AG$200,$G340)&gt;0,
     COUNTIFS($AH$2:$AH$200,$G340)&gt;0,
     COUNTIFS($AI$2:$AI$200,$G340)&gt;0,
     COUNTIFS($AJ$2:$AJ$200,$G340)&gt;0,
     COUNTIFS($AK$2:$AK$200,$G340)&gt;0,
     COUNTIFS($AL$2:$AL$200,$G340)&gt;0,
     COUNTIFS($AM$2:$AM$200,$G340)&gt;0,
     COUNTIFS($AN$2:$AN$200,$G340)&gt;0,
     COUNTIFS($AO$2:$AO$200,$G340)&gt;0,
     COUNTIFS($AP$2:$AP$200,$G340)&gt;0,
     COUNTIFS($AQ$2:$AQ$200,$G340)&gt;0,
     COUNTIFS($AR$2:$AR$200,$G340)&gt;0,
     COUNTIFS($AS$2:$AS$200,$G340)&gt;0,
     COUNTIFS($AT$2:$AT$200,$G340)&gt;0,
     COUNTIFS($AU$2:$AU$200,$G340)&gt;0,
     COUNTIFS($AV$2:$AV$200,$G340)&gt;0,
     COUNTIFS($AW$2:$AW$200,$G340)&gt;0,
     COUNTIFS($AX$2:$AX$200,$G340)&gt;0
   )),
  ),
  3
 ),
"")</f>
        <v/>
      </c>
      <c r="F340" s="3" t="str" cm="1">
        <f t="array" aca="1" ref="F340" ca="1">IFERROR(
 INDEX(
  _xlfn._xlws.FILTER($U$1:$AX$1,
   TRANSPOSE(
    CHOOSE({1;2;3;4;5;6;7;8;9;10;11;12;13;14;15;16;17;18;19;20;21;22;23;24;25;26;27;28;29;30},
     COUNTIFS($U$2:$U$200,$G340)&gt;0,
     COUNTIFS($V$2:$V$200,$G340)&gt;0,
     COUNTIFS($W$2:$W$200,$G340)&gt;0,
     COUNTIFS($X$2:$X$200,$G340)&gt;0,
     COUNTIFS($Y$2:$Y$200,$G340)&gt;0,
     COUNTIFS($Z$2:$Z$200,$G340)&gt;0,
     COUNTIFS($AA$2:$AA$200,$G340)&gt;0,
     COUNTIFS($AB$2:$AB$200,$G340)&gt;0,
     COUNTIFS($AC$2:$AC$200,$G340)&gt;0,
     COUNTIFS($AD$2:$AD$200,$G340)&gt;0,
     COUNTIFS($AE$2:$AE$200,$G340)&gt;0,
     COUNTIFS($AF$2:$AF$200,$G340)&gt;0,
     COUNTIFS($AG$2:$AG$200,$G340)&gt;0,
     COUNTIFS($AH$2:$AH$200,$G340)&gt;0,
     COUNTIFS($AI$2:$AI$200,$G340)&gt;0,
     COUNTIFS($AJ$2:$AJ$200,$G340)&gt;0,
     COUNTIFS($AK$2:$AK$200,$G340)&gt;0,
     COUNTIFS($AL$2:$AL$200,$G340)&gt;0,
     COUNTIFS($AM$2:$AM$200,$G340)&gt;0,
     COUNTIFS($AN$2:$AN$200,$G340)&gt;0,
     COUNTIFS($AO$2:$AO$200,$G340)&gt;0,
     COUNTIFS($AP$2:$AP$200,$G340)&gt;0,
     COUNTIFS($AQ$2:$AQ$200,$G340)&gt;0,
     COUNTIFS($AR$2:$AR$200,$G340)&gt;0,
     COUNTIFS($AS$2:$AS$200,$G340)&gt;0,
     COUNTIFS($AT$2:$AT$200,$G340)&gt;0,
     COUNTIFS($AU$2:$AU$200,$G340)&gt;0,
     COUNTIFS($AV$2:$AV$200,$G340)&gt;0,
     COUNTIFS($AW$2:$AW$200,$G340)&gt;0,
     COUNTIFS($AX$2:$AX$200,$G340)&gt;0
   )),
  ),
  4
 ),
"")</f>
        <v/>
      </c>
      <c r="G340" t="e" vm="2">
        <f ca="1"/>
        <v>#VALUE!</v>
      </c>
      <c r="CJ340" t="e" vm="2">
        <f ca="1"/>
        <v>#VALUE!</v>
      </c>
    </row>
    <row r="341" spans="1:88" x14ac:dyDescent="0.25">
      <c r="A341" s="3" t="str">
        <f t="shared" si="12"/>
        <v/>
      </c>
      <c r="B341" s="3">
        <f t="shared" si="13"/>
        <v>0</v>
      </c>
      <c r="C341" s="3" t="str">
        <f>IFERROR(
 INDEX($U$1:$AX$1,
  MATCH(TRUE,
   CHOOSE({1;2;3;4;5;6;7;8;9;10;11;12;13;14;15;16;17;18;19;20;21;22;23;24;25;26;27;28;29;30;31;32},
    COUNTIFS($U$2:$U$200,$G341)&gt;0,
    COUNTIFS($V$2:$V$200,$G341)&gt;0,
    COUNTIFS($W$2:$W$200,$G341)&gt;0,
    COUNTIFS($X$2:$X$200,$G341)&gt;0,
    COUNTIFS($Y$2:$Y$200,$G341)&gt;0,
    COUNTIFS($Z$2:$Z$200,$G341)&gt;0,
    COUNTIFS($AA$2:$AA$200,$G341)&gt;0,
    COUNTIFS($AB$2:$AB$200,$G341)&gt;0,
    COUNTIFS($AC$2:$AC$200,$G341)&gt;0,
    COUNTIFS($AD$2:$AD$200,$G341)&gt;0,
    COUNTIFS($AE$2:$AE$200,$G341)&gt;0,
    COUNTIFS($AF$2:$AF$200,$G341)&gt;0,
    COUNTIFS($AG$2:$AG$200,$G341)&gt;0,
    COUNTIFS($AH$2:$AH$200,$G341)&gt;0,
    COUNTIFS($AI$2:$AI$200,$G341)&gt;0,
    COUNTIFS($AJ$2:$AJ$200,$G341)&gt;0,
    COUNTIFS($AK$2:$AK$200,$G341)&gt;0,
    COUNTIFS($AL$2:$AL$200,$G341)&gt;0,
    COUNTIFS($AM$2:$AM$200,$G341)&gt;0,
    COUNTIFS($AN$2:$AN$200,$G341)&gt;0,
    COUNTIFS($AO$2:$AO$200,$G341)&gt;0,
    COUNTIFS($AP$2:$AP$200,$G341)&gt;0,
    COUNTIFS($AQ$2:$AQ$200,$G341)&gt;0,
    COUNTIFS($AR$2:$AR$200,$G341)&gt;0,
    COUNTIFS($AS$2:$AS$200,$G341)&gt;0,
    COUNTIFS($AT$2:$AT$200,$G341)&gt;0,
    COUNTIFS($AU$2:$AU$200,$G341)&gt;0,
    COUNTIFS($AV$2:$AV$200,$G341)&gt;0,
    COUNTIFS($AW$2:$AW$200,$G341)&gt;0,
    COUNTIFS($AX$2:$AX$200,$G341)&gt;0
   ),
  0)
 ),
"")</f>
        <v/>
      </c>
      <c r="D341" s="3" t="str" cm="1">
        <f t="array" ref="D341">IFERROR(
 INDEX(
  _xlfn._xlws.FILTER($U$1:$AX$1,
   TRANSPOSE(
    CHOOSE({1;2;3;4;5;6;7;8;9;10;11;12;13;14;15;16;17;18;19;20;21;22;23;24;25;26;27;28;29;30},
     COUNTIFS($U$2:$U$200,$G341)&gt;0,
     COUNTIFS($V$2:$V$200,$G341)&gt;0,
     COUNTIFS($W$2:$W$200,$G341)&gt;0,
     COUNTIFS($X$2:$X$200,$G341)&gt;0,
     COUNTIFS($Y$2:$Y$200,$G341)&gt;0,
     COUNTIFS($Z$2:$Z$200,$G341)&gt;0,
     COUNTIFS($AA$2:$AA$200,$G341)&gt;0,
     COUNTIFS($AB$2:$AB$200,$G341)&gt;0,
     COUNTIFS($AC$2:$AC$200,$G341)&gt;0,
     COUNTIFS($AD$2:$AD$200,$G341)&gt;0,
     COUNTIFS($AE$2:$AE$200,$G341)&gt;0,
     COUNTIFS($AF$2:$AF$200,$G341)&gt;0,
     COUNTIFS($AG$2:$AG$200,$G341)&gt;0,
     COUNTIFS($AH$2:$AH$200,$G341)&gt;0,
     COUNTIFS($AI$2:$AI$200,$G341)&gt;0,
     COUNTIFS($AJ$2:$AJ$200,$G341)&gt;0,
     COUNTIFS($AK$2:$AK$200,$G341)&gt;0,
     COUNTIFS($AL$2:$AL$200,$G341)&gt;0,
     COUNTIFS($AM$2:$AM$200,$G341)&gt;0,
     COUNTIFS($AN$2:$AN$200,$G341)&gt;0,
     COUNTIFS($AO$2:$AO$200,$G341)&gt;0,
     COUNTIFS($AP$2:$AP$200,$G341)&gt;0,
     COUNTIFS($AQ$2:$AQ$200,$G341)&gt;0,
     COUNTIFS($AR$2:$AR$200,$G341)&gt;0,
     COUNTIFS($AS$2:$AS$200,$G341)&gt;0,
     COUNTIFS($AT$2:$AT$200,$G341)&gt;0,
     COUNTIFS($AU$2:$AU$200,$G341)&gt;0,
     COUNTIFS($AV$2:$AV$200,$G341)&gt;0,
     COUNTIFS($AW$2:$AW$200,$G341)&gt;0,
     COUNTIFS($AX$2:$AX$200,$G341)&gt;0
   )),
  ),
  2
 ),
"")</f>
        <v/>
      </c>
      <c r="E341" s="3" t="str" cm="1">
        <f t="array" ref="E341">IFERROR(
 INDEX(
  _xlfn._xlws.FILTER($U$1:$AX$1,
   TRANSPOSE(
    CHOOSE({1;2;3;4;5;6;7;8;9;10;11;12;13;14;15;16;17;18;19;20;21;22;23;24;25;26;27;28;29;30},
     COUNTIFS($U$2:$U$200,$G341)&gt;0,
     COUNTIFS($V$2:$V$200,$G341)&gt;0,
     COUNTIFS($W$2:$W$200,$G341)&gt;0,
     COUNTIFS($X$2:$X$200,$G341)&gt;0,
     COUNTIFS($Y$2:$Y$200,$G341)&gt;0,
     COUNTIFS($Z$2:$Z$200,$G341)&gt;0,
     COUNTIFS($AA$2:$AA$200,$G341)&gt;0,
     COUNTIFS($AB$2:$AB$200,$G341)&gt;0,
     COUNTIFS($AC$2:$AC$200,$G341)&gt;0,
     COUNTIFS($AD$2:$AD$200,$G341)&gt;0,
     COUNTIFS($AE$2:$AE$200,$G341)&gt;0,
     COUNTIFS($AF$2:$AF$200,$G341)&gt;0,
     COUNTIFS($AG$2:$AG$200,$G341)&gt;0,
     COUNTIFS($AH$2:$AH$200,$G341)&gt;0,
     COUNTIFS($AI$2:$AI$200,$G341)&gt;0,
     COUNTIFS($AJ$2:$AJ$200,$G341)&gt;0,
     COUNTIFS($AK$2:$AK$200,$G341)&gt;0,
     COUNTIFS($AL$2:$AL$200,$G341)&gt;0,
     COUNTIFS($AM$2:$AM$200,$G341)&gt;0,
     COUNTIFS($AN$2:$AN$200,$G341)&gt;0,
     COUNTIFS($AO$2:$AO$200,$G341)&gt;0,
     COUNTIFS($AP$2:$AP$200,$G341)&gt;0,
     COUNTIFS($AQ$2:$AQ$200,$G341)&gt;0,
     COUNTIFS($AR$2:$AR$200,$G341)&gt;0,
     COUNTIFS($AS$2:$AS$200,$G341)&gt;0,
     COUNTIFS($AT$2:$AT$200,$G341)&gt;0,
     COUNTIFS($AU$2:$AU$200,$G341)&gt;0,
     COUNTIFS($AV$2:$AV$200,$G341)&gt;0,
     COUNTIFS($AW$2:$AW$200,$G341)&gt;0,
     COUNTIFS($AX$2:$AX$200,$G341)&gt;0
   )),
  ),
  3
 ),
"")</f>
        <v/>
      </c>
      <c r="F341" s="3" t="str" cm="1">
        <f t="array" ref="F341">IFERROR(
 INDEX(
  _xlfn._xlws.FILTER($U$1:$AX$1,
   TRANSPOSE(
    CHOOSE({1;2;3;4;5;6;7;8;9;10;11;12;13;14;15;16;17;18;19;20;21;22;23;24;25;26;27;28;29;30},
     COUNTIFS($U$2:$U$200,$G341)&gt;0,
     COUNTIFS($V$2:$V$200,$G341)&gt;0,
     COUNTIFS($W$2:$W$200,$G341)&gt;0,
     COUNTIFS($X$2:$X$200,$G341)&gt;0,
     COUNTIFS($Y$2:$Y$200,$G341)&gt;0,
     COUNTIFS($Z$2:$Z$200,$G341)&gt;0,
     COUNTIFS($AA$2:$AA$200,$G341)&gt;0,
     COUNTIFS($AB$2:$AB$200,$G341)&gt;0,
     COUNTIFS($AC$2:$AC$200,$G341)&gt;0,
     COUNTIFS($AD$2:$AD$200,$G341)&gt;0,
     COUNTIFS($AE$2:$AE$200,$G341)&gt;0,
     COUNTIFS($AF$2:$AF$200,$G341)&gt;0,
     COUNTIFS($AG$2:$AG$200,$G341)&gt;0,
     COUNTIFS($AH$2:$AH$200,$G341)&gt;0,
     COUNTIFS($AI$2:$AI$200,$G341)&gt;0,
     COUNTIFS($AJ$2:$AJ$200,$G341)&gt;0,
     COUNTIFS($AK$2:$AK$200,$G341)&gt;0,
     COUNTIFS($AL$2:$AL$200,$G341)&gt;0,
     COUNTIFS($AM$2:$AM$200,$G341)&gt;0,
     COUNTIFS($AN$2:$AN$200,$G341)&gt;0,
     COUNTIFS($AO$2:$AO$200,$G341)&gt;0,
     COUNTIFS($AP$2:$AP$200,$G341)&gt;0,
     COUNTIFS($AQ$2:$AQ$200,$G341)&gt;0,
     COUNTIFS($AR$2:$AR$200,$G341)&gt;0,
     COUNTIFS($AS$2:$AS$200,$G341)&gt;0,
     COUNTIFS($AT$2:$AT$200,$G341)&gt;0,
     COUNTIFS($AU$2:$AU$200,$G341)&gt;0,
     COUNTIFS($AV$2:$AV$200,$G341)&gt;0,
     COUNTIFS($AW$2:$AW$200,$G341)&gt;0,
     COUNTIFS($AX$2:$AX$200,$G341)&gt;0
   )),
  ),
  4
 ),
"")</f>
        <v/>
      </c>
    </row>
    <row r="342" spans="1:88" x14ac:dyDescent="0.25">
      <c r="A342" s="3" t="str">
        <f t="shared" si="12"/>
        <v/>
      </c>
      <c r="B342" s="3">
        <f t="shared" si="13"/>
        <v>0</v>
      </c>
      <c r="C342" s="3" t="str">
        <f>IFERROR(
 INDEX($U$1:$AX$1,
  MATCH(TRUE,
   CHOOSE({1;2;3;4;5;6;7;8;9;10;11;12;13;14;15;16;17;18;19;20;21;22;23;24;25;26;27;28;29;30;31;32},
    COUNTIFS($U$2:$U$200,$G342)&gt;0,
    COUNTIFS($V$2:$V$200,$G342)&gt;0,
    COUNTIFS($W$2:$W$200,$G342)&gt;0,
    COUNTIFS($X$2:$X$200,$G342)&gt;0,
    COUNTIFS($Y$2:$Y$200,$G342)&gt;0,
    COUNTIFS($Z$2:$Z$200,$G342)&gt;0,
    COUNTIFS($AA$2:$AA$200,$G342)&gt;0,
    COUNTIFS($AB$2:$AB$200,$G342)&gt;0,
    COUNTIFS($AC$2:$AC$200,$G342)&gt;0,
    COUNTIFS($AD$2:$AD$200,$G342)&gt;0,
    COUNTIFS($AE$2:$AE$200,$G342)&gt;0,
    COUNTIFS($AF$2:$AF$200,$G342)&gt;0,
    COUNTIFS($AG$2:$AG$200,$G342)&gt;0,
    COUNTIFS($AH$2:$AH$200,$G342)&gt;0,
    COUNTIFS($AI$2:$AI$200,$G342)&gt;0,
    COUNTIFS($AJ$2:$AJ$200,$G342)&gt;0,
    COUNTIFS($AK$2:$AK$200,$G342)&gt;0,
    COUNTIFS($AL$2:$AL$200,$G342)&gt;0,
    COUNTIFS($AM$2:$AM$200,$G342)&gt;0,
    COUNTIFS($AN$2:$AN$200,$G342)&gt;0,
    COUNTIFS($AO$2:$AO$200,$G342)&gt;0,
    COUNTIFS($AP$2:$AP$200,$G342)&gt;0,
    COUNTIFS($AQ$2:$AQ$200,$G342)&gt;0,
    COUNTIFS($AR$2:$AR$200,$G342)&gt;0,
    COUNTIFS($AS$2:$AS$200,$G342)&gt;0,
    COUNTIFS($AT$2:$AT$200,$G342)&gt;0,
    COUNTIFS($AU$2:$AU$200,$G342)&gt;0,
    COUNTIFS($AV$2:$AV$200,$G342)&gt;0,
    COUNTIFS($AW$2:$AW$200,$G342)&gt;0,
    COUNTIFS($AX$2:$AX$200,$G342)&gt;0
   ),
  0)
 ),
"")</f>
        <v/>
      </c>
      <c r="D342" s="3" t="str" cm="1">
        <f t="array" ref="D342">IFERROR(
 INDEX(
  _xlfn._xlws.FILTER($U$1:$AX$1,
   TRANSPOSE(
    CHOOSE({1;2;3;4;5;6;7;8;9;10;11;12;13;14;15;16;17;18;19;20;21;22;23;24;25;26;27;28;29;30},
     COUNTIFS($U$2:$U$200,$G342)&gt;0,
     COUNTIFS($V$2:$V$200,$G342)&gt;0,
     COUNTIFS($W$2:$W$200,$G342)&gt;0,
     COUNTIFS($X$2:$X$200,$G342)&gt;0,
     COUNTIFS($Y$2:$Y$200,$G342)&gt;0,
     COUNTIFS($Z$2:$Z$200,$G342)&gt;0,
     COUNTIFS($AA$2:$AA$200,$G342)&gt;0,
     COUNTIFS($AB$2:$AB$200,$G342)&gt;0,
     COUNTIFS($AC$2:$AC$200,$G342)&gt;0,
     COUNTIFS($AD$2:$AD$200,$G342)&gt;0,
     COUNTIFS($AE$2:$AE$200,$G342)&gt;0,
     COUNTIFS($AF$2:$AF$200,$G342)&gt;0,
     COUNTIFS($AG$2:$AG$200,$G342)&gt;0,
     COUNTIFS($AH$2:$AH$200,$G342)&gt;0,
     COUNTIFS($AI$2:$AI$200,$G342)&gt;0,
     COUNTIFS($AJ$2:$AJ$200,$G342)&gt;0,
     COUNTIFS($AK$2:$AK$200,$G342)&gt;0,
     COUNTIFS($AL$2:$AL$200,$G342)&gt;0,
     COUNTIFS($AM$2:$AM$200,$G342)&gt;0,
     COUNTIFS($AN$2:$AN$200,$G342)&gt;0,
     COUNTIFS($AO$2:$AO$200,$G342)&gt;0,
     COUNTIFS($AP$2:$AP$200,$G342)&gt;0,
     COUNTIFS($AQ$2:$AQ$200,$G342)&gt;0,
     COUNTIFS($AR$2:$AR$200,$G342)&gt;0,
     COUNTIFS($AS$2:$AS$200,$G342)&gt;0,
     COUNTIFS($AT$2:$AT$200,$G342)&gt;0,
     COUNTIFS($AU$2:$AU$200,$G342)&gt;0,
     COUNTIFS($AV$2:$AV$200,$G342)&gt;0,
     COUNTIFS($AW$2:$AW$200,$G342)&gt;0,
     COUNTIFS($AX$2:$AX$200,$G342)&gt;0
   )),
  ),
  2
 ),
"")</f>
        <v/>
      </c>
      <c r="E342" s="3" t="str" cm="1">
        <f t="array" ref="E342">IFERROR(
 INDEX(
  _xlfn._xlws.FILTER($U$1:$AX$1,
   TRANSPOSE(
    CHOOSE({1;2;3;4;5;6;7;8;9;10;11;12;13;14;15;16;17;18;19;20;21;22;23;24;25;26;27;28;29;30},
     COUNTIFS($U$2:$U$200,$G342)&gt;0,
     COUNTIFS($V$2:$V$200,$G342)&gt;0,
     COUNTIFS($W$2:$W$200,$G342)&gt;0,
     COUNTIFS($X$2:$X$200,$G342)&gt;0,
     COUNTIFS($Y$2:$Y$200,$G342)&gt;0,
     COUNTIFS($Z$2:$Z$200,$G342)&gt;0,
     COUNTIFS($AA$2:$AA$200,$G342)&gt;0,
     COUNTIFS($AB$2:$AB$200,$G342)&gt;0,
     COUNTIFS($AC$2:$AC$200,$G342)&gt;0,
     COUNTIFS($AD$2:$AD$200,$G342)&gt;0,
     COUNTIFS($AE$2:$AE$200,$G342)&gt;0,
     COUNTIFS($AF$2:$AF$200,$G342)&gt;0,
     COUNTIFS($AG$2:$AG$200,$G342)&gt;0,
     COUNTIFS($AH$2:$AH$200,$G342)&gt;0,
     COUNTIFS($AI$2:$AI$200,$G342)&gt;0,
     COUNTIFS($AJ$2:$AJ$200,$G342)&gt;0,
     COUNTIFS($AK$2:$AK$200,$G342)&gt;0,
     COUNTIFS($AL$2:$AL$200,$G342)&gt;0,
     COUNTIFS($AM$2:$AM$200,$G342)&gt;0,
     COUNTIFS($AN$2:$AN$200,$G342)&gt;0,
     COUNTIFS($AO$2:$AO$200,$G342)&gt;0,
     COUNTIFS($AP$2:$AP$200,$G342)&gt;0,
     COUNTIFS($AQ$2:$AQ$200,$G342)&gt;0,
     COUNTIFS($AR$2:$AR$200,$G342)&gt;0,
     COUNTIFS($AS$2:$AS$200,$G342)&gt;0,
     COUNTIFS($AT$2:$AT$200,$G342)&gt;0,
     COUNTIFS($AU$2:$AU$200,$G342)&gt;0,
     COUNTIFS($AV$2:$AV$200,$G342)&gt;0,
     COUNTIFS($AW$2:$AW$200,$G342)&gt;0,
     COUNTIFS($AX$2:$AX$200,$G342)&gt;0
   )),
  ),
  3
 ),
"")</f>
        <v/>
      </c>
      <c r="F342" s="3" t="str" cm="1">
        <f t="array" ref="F342">IFERROR(
 INDEX(
  _xlfn._xlws.FILTER($U$1:$AX$1,
   TRANSPOSE(
    CHOOSE({1;2;3;4;5;6;7;8;9;10;11;12;13;14;15;16;17;18;19;20;21;22;23;24;25;26;27;28;29;30},
     COUNTIFS($U$2:$U$200,$G342)&gt;0,
     COUNTIFS($V$2:$V$200,$G342)&gt;0,
     COUNTIFS($W$2:$W$200,$G342)&gt;0,
     COUNTIFS($X$2:$X$200,$G342)&gt;0,
     COUNTIFS($Y$2:$Y$200,$G342)&gt;0,
     COUNTIFS($Z$2:$Z$200,$G342)&gt;0,
     COUNTIFS($AA$2:$AA$200,$G342)&gt;0,
     COUNTIFS($AB$2:$AB$200,$G342)&gt;0,
     COUNTIFS($AC$2:$AC$200,$G342)&gt;0,
     COUNTIFS($AD$2:$AD$200,$G342)&gt;0,
     COUNTIFS($AE$2:$AE$200,$G342)&gt;0,
     COUNTIFS($AF$2:$AF$200,$G342)&gt;0,
     COUNTIFS($AG$2:$AG$200,$G342)&gt;0,
     COUNTIFS($AH$2:$AH$200,$G342)&gt;0,
     COUNTIFS($AI$2:$AI$200,$G342)&gt;0,
     COUNTIFS($AJ$2:$AJ$200,$G342)&gt;0,
     COUNTIFS($AK$2:$AK$200,$G342)&gt;0,
     COUNTIFS($AL$2:$AL$200,$G342)&gt;0,
     COUNTIFS($AM$2:$AM$200,$G342)&gt;0,
     COUNTIFS($AN$2:$AN$200,$G342)&gt;0,
     COUNTIFS($AO$2:$AO$200,$G342)&gt;0,
     COUNTIFS($AP$2:$AP$200,$G342)&gt;0,
     COUNTIFS($AQ$2:$AQ$200,$G342)&gt;0,
     COUNTIFS($AR$2:$AR$200,$G342)&gt;0,
     COUNTIFS($AS$2:$AS$200,$G342)&gt;0,
     COUNTIFS($AT$2:$AT$200,$G342)&gt;0,
     COUNTIFS($AU$2:$AU$200,$G342)&gt;0,
     COUNTIFS($AV$2:$AV$200,$G342)&gt;0,
     COUNTIFS($AW$2:$AW$200,$G342)&gt;0,
     COUNTIFS($AX$2:$AX$200,$G342)&gt;0
   )),
  ),
  4
 ),
"")</f>
        <v/>
      </c>
    </row>
    <row r="343" spans="1:88" x14ac:dyDescent="0.25">
      <c r="A343" s="3" t="str">
        <f t="shared" si="12"/>
        <v/>
      </c>
      <c r="B343" s="3">
        <f t="shared" si="13"/>
        <v>0</v>
      </c>
      <c r="C343" s="3" t="str">
        <f>IFERROR(
 INDEX($U$1:$AX$1,
  MATCH(TRUE,
   CHOOSE({1;2;3;4;5;6;7;8;9;10;11;12;13;14;15;16;17;18;19;20;21;22;23;24;25;26;27;28;29;30;31;32},
    COUNTIFS($U$2:$U$200,$G343)&gt;0,
    COUNTIFS($V$2:$V$200,$G343)&gt;0,
    COUNTIFS($W$2:$W$200,$G343)&gt;0,
    COUNTIFS($X$2:$X$200,$G343)&gt;0,
    COUNTIFS($Y$2:$Y$200,$G343)&gt;0,
    COUNTIFS($Z$2:$Z$200,$G343)&gt;0,
    COUNTIFS($AA$2:$AA$200,$G343)&gt;0,
    COUNTIFS($AB$2:$AB$200,$G343)&gt;0,
    COUNTIFS($AC$2:$AC$200,$G343)&gt;0,
    COUNTIFS($AD$2:$AD$200,$G343)&gt;0,
    COUNTIFS($AE$2:$AE$200,$G343)&gt;0,
    COUNTIFS($AF$2:$AF$200,$G343)&gt;0,
    COUNTIFS($AG$2:$AG$200,$G343)&gt;0,
    COUNTIFS($AH$2:$AH$200,$G343)&gt;0,
    COUNTIFS($AI$2:$AI$200,$G343)&gt;0,
    COUNTIFS($AJ$2:$AJ$200,$G343)&gt;0,
    COUNTIFS($AK$2:$AK$200,$G343)&gt;0,
    COUNTIFS($AL$2:$AL$200,$G343)&gt;0,
    COUNTIFS($AM$2:$AM$200,$G343)&gt;0,
    COUNTIFS($AN$2:$AN$200,$G343)&gt;0,
    COUNTIFS($AO$2:$AO$200,$G343)&gt;0,
    COUNTIFS($AP$2:$AP$200,$G343)&gt;0,
    COUNTIFS($AQ$2:$AQ$200,$G343)&gt;0,
    COUNTIFS($AR$2:$AR$200,$G343)&gt;0,
    COUNTIFS($AS$2:$AS$200,$G343)&gt;0,
    COUNTIFS($AT$2:$AT$200,$G343)&gt;0,
    COUNTIFS($AU$2:$AU$200,$G343)&gt;0,
    COUNTIFS($AV$2:$AV$200,$G343)&gt;0,
    COUNTIFS($AW$2:$AW$200,$G343)&gt;0,
    COUNTIFS($AX$2:$AX$200,$G343)&gt;0
   ),
  0)
 ),
"")</f>
        <v/>
      </c>
      <c r="D343" s="3" t="str" cm="1">
        <f t="array" ref="D343">IFERROR(
 INDEX(
  _xlfn._xlws.FILTER($U$1:$AX$1,
   TRANSPOSE(
    CHOOSE({1;2;3;4;5;6;7;8;9;10;11;12;13;14;15;16;17;18;19;20;21;22;23;24;25;26;27;28;29;30},
     COUNTIFS($U$2:$U$200,$G343)&gt;0,
     COUNTIFS($V$2:$V$200,$G343)&gt;0,
     COUNTIFS($W$2:$W$200,$G343)&gt;0,
     COUNTIFS($X$2:$X$200,$G343)&gt;0,
     COUNTIFS($Y$2:$Y$200,$G343)&gt;0,
     COUNTIFS($Z$2:$Z$200,$G343)&gt;0,
     COUNTIFS($AA$2:$AA$200,$G343)&gt;0,
     COUNTIFS($AB$2:$AB$200,$G343)&gt;0,
     COUNTIFS($AC$2:$AC$200,$G343)&gt;0,
     COUNTIFS($AD$2:$AD$200,$G343)&gt;0,
     COUNTIFS($AE$2:$AE$200,$G343)&gt;0,
     COUNTIFS($AF$2:$AF$200,$G343)&gt;0,
     COUNTIFS($AG$2:$AG$200,$G343)&gt;0,
     COUNTIFS($AH$2:$AH$200,$G343)&gt;0,
     COUNTIFS($AI$2:$AI$200,$G343)&gt;0,
     COUNTIFS($AJ$2:$AJ$200,$G343)&gt;0,
     COUNTIFS($AK$2:$AK$200,$G343)&gt;0,
     COUNTIFS($AL$2:$AL$200,$G343)&gt;0,
     COUNTIFS($AM$2:$AM$200,$G343)&gt;0,
     COUNTIFS($AN$2:$AN$200,$G343)&gt;0,
     COUNTIFS($AO$2:$AO$200,$G343)&gt;0,
     COUNTIFS($AP$2:$AP$200,$G343)&gt;0,
     COUNTIFS($AQ$2:$AQ$200,$G343)&gt;0,
     COUNTIFS($AR$2:$AR$200,$G343)&gt;0,
     COUNTIFS($AS$2:$AS$200,$G343)&gt;0,
     COUNTIFS($AT$2:$AT$200,$G343)&gt;0,
     COUNTIFS($AU$2:$AU$200,$G343)&gt;0,
     COUNTIFS($AV$2:$AV$200,$G343)&gt;0,
     COUNTIFS($AW$2:$AW$200,$G343)&gt;0,
     COUNTIFS($AX$2:$AX$200,$G343)&gt;0
   )),
  ),
  2
 ),
"")</f>
        <v/>
      </c>
      <c r="E343" s="3" t="str" cm="1">
        <f t="array" ref="E343">IFERROR(
 INDEX(
  _xlfn._xlws.FILTER($U$1:$AX$1,
   TRANSPOSE(
    CHOOSE({1;2;3;4;5;6;7;8;9;10;11;12;13;14;15;16;17;18;19;20;21;22;23;24;25;26;27;28;29;30},
     COUNTIFS($U$2:$U$200,$G343)&gt;0,
     COUNTIFS($V$2:$V$200,$G343)&gt;0,
     COUNTIFS($W$2:$W$200,$G343)&gt;0,
     COUNTIFS($X$2:$X$200,$G343)&gt;0,
     COUNTIFS($Y$2:$Y$200,$G343)&gt;0,
     COUNTIFS($Z$2:$Z$200,$G343)&gt;0,
     COUNTIFS($AA$2:$AA$200,$G343)&gt;0,
     COUNTIFS($AB$2:$AB$200,$G343)&gt;0,
     COUNTIFS($AC$2:$AC$200,$G343)&gt;0,
     COUNTIFS($AD$2:$AD$200,$G343)&gt;0,
     COUNTIFS($AE$2:$AE$200,$G343)&gt;0,
     COUNTIFS($AF$2:$AF$200,$G343)&gt;0,
     COUNTIFS($AG$2:$AG$200,$G343)&gt;0,
     COUNTIFS($AH$2:$AH$200,$G343)&gt;0,
     COUNTIFS($AI$2:$AI$200,$G343)&gt;0,
     COUNTIFS($AJ$2:$AJ$200,$G343)&gt;0,
     COUNTIFS($AK$2:$AK$200,$G343)&gt;0,
     COUNTIFS($AL$2:$AL$200,$G343)&gt;0,
     COUNTIFS($AM$2:$AM$200,$G343)&gt;0,
     COUNTIFS($AN$2:$AN$200,$G343)&gt;0,
     COUNTIFS($AO$2:$AO$200,$G343)&gt;0,
     COUNTIFS($AP$2:$AP$200,$G343)&gt;0,
     COUNTIFS($AQ$2:$AQ$200,$G343)&gt;0,
     COUNTIFS($AR$2:$AR$200,$G343)&gt;0,
     COUNTIFS($AS$2:$AS$200,$G343)&gt;0,
     COUNTIFS($AT$2:$AT$200,$G343)&gt;0,
     COUNTIFS($AU$2:$AU$200,$G343)&gt;0,
     COUNTIFS($AV$2:$AV$200,$G343)&gt;0,
     COUNTIFS($AW$2:$AW$200,$G343)&gt;0,
     COUNTIFS($AX$2:$AX$200,$G343)&gt;0
   )),
  ),
  3
 ),
"")</f>
        <v/>
      </c>
      <c r="F343" s="3" t="str" cm="1">
        <f t="array" ref="F343">IFERROR(
 INDEX(
  _xlfn._xlws.FILTER($U$1:$AX$1,
   TRANSPOSE(
    CHOOSE({1;2;3;4;5;6;7;8;9;10;11;12;13;14;15;16;17;18;19;20;21;22;23;24;25;26;27;28;29;30},
     COUNTIFS($U$2:$U$200,$G343)&gt;0,
     COUNTIFS($V$2:$V$200,$G343)&gt;0,
     COUNTIFS($W$2:$W$200,$G343)&gt;0,
     COUNTIFS($X$2:$X$200,$G343)&gt;0,
     COUNTIFS($Y$2:$Y$200,$G343)&gt;0,
     COUNTIFS($Z$2:$Z$200,$G343)&gt;0,
     COUNTIFS($AA$2:$AA$200,$G343)&gt;0,
     COUNTIFS($AB$2:$AB$200,$G343)&gt;0,
     COUNTIFS($AC$2:$AC$200,$G343)&gt;0,
     COUNTIFS($AD$2:$AD$200,$G343)&gt;0,
     COUNTIFS($AE$2:$AE$200,$G343)&gt;0,
     COUNTIFS($AF$2:$AF$200,$G343)&gt;0,
     COUNTIFS($AG$2:$AG$200,$G343)&gt;0,
     COUNTIFS($AH$2:$AH$200,$G343)&gt;0,
     COUNTIFS($AI$2:$AI$200,$G343)&gt;0,
     COUNTIFS($AJ$2:$AJ$200,$G343)&gt;0,
     COUNTIFS($AK$2:$AK$200,$G343)&gt;0,
     COUNTIFS($AL$2:$AL$200,$G343)&gt;0,
     COUNTIFS($AM$2:$AM$200,$G343)&gt;0,
     COUNTIFS($AN$2:$AN$200,$G343)&gt;0,
     COUNTIFS($AO$2:$AO$200,$G343)&gt;0,
     COUNTIFS($AP$2:$AP$200,$G343)&gt;0,
     COUNTIFS($AQ$2:$AQ$200,$G343)&gt;0,
     COUNTIFS($AR$2:$AR$200,$G343)&gt;0,
     COUNTIFS($AS$2:$AS$200,$G343)&gt;0,
     COUNTIFS($AT$2:$AT$200,$G343)&gt;0,
     COUNTIFS($AU$2:$AU$200,$G343)&gt;0,
     COUNTIFS($AV$2:$AV$200,$G343)&gt;0,
     COUNTIFS($AW$2:$AW$200,$G343)&gt;0,
     COUNTIFS($AX$2:$AX$200,$G343)&gt;0
   )),
  ),
  4
 ),
"")</f>
        <v/>
      </c>
    </row>
    <row r="344" spans="1:88" x14ac:dyDescent="0.25">
      <c r="A344" s="3" t="str">
        <f t="shared" si="12"/>
        <v/>
      </c>
      <c r="B344" s="3">
        <f t="shared" si="13"/>
        <v>0</v>
      </c>
      <c r="C344" s="3" t="str">
        <f>IFERROR(
 INDEX($U$1:$AX$1,
  MATCH(TRUE,
   CHOOSE({1;2;3;4;5;6;7;8;9;10;11;12;13;14;15;16;17;18;19;20;21;22;23;24;25;26;27;28;29;30;31;32},
    COUNTIFS($U$2:$U$200,$G344)&gt;0,
    COUNTIFS($V$2:$V$200,$G344)&gt;0,
    COUNTIFS($W$2:$W$200,$G344)&gt;0,
    COUNTIFS($X$2:$X$200,$G344)&gt;0,
    COUNTIFS($Y$2:$Y$200,$G344)&gt;0,
    COUNTIFS($Z$2:$Z$200,$G344)&gt;0,
    COUNTIFS($AA$2:$AA$200,$G344)&gt;0,
    COUNTIFS($AB$2:$AB$200,$G344)&gt;0,
    COUNTIFS($AC$2:$AC$200,$G344)&gt;0,
    COUNTIFS($AD$2:$AD$200,$G344)&gt;0,
    COUNTIFS($AE$2:$AE$200,$G344)&gt;0,
    COUNTIFS($AF$2:$AF$200,$G344)&gt;0,
    COUNTIFS($AG$2:$AG$200,$G344)&gt;0,
    COUNTIFS($AH$2:$AH$200,$G344)&gt;0,
    COUNTIFS($AI$2:$AI$200,$G344)&gt;0,
    COUNTIFS($AJ$2:$AJ$200,$G344)&gt;0,
    COUNTIFS($AK$2:$AK$200,$G344)&gt;0,
    COUNTIFS($AL$2:$AL$200,$G344)&gt;0,
    COUNTIFS($AM$2:$AM$200,$G344)&gt;0,
    COUNTIFS($AN$2:$AN$200,$G344)&gt;0,
    COUNTIFS($AO$2:$AO$200,$G344)&gt;0,
    COUNTIFS($AP$2:$AP$200,$G344)&gt;0,
    COUNTIFS($AQ$2:$AQ$200,$G344)&gt;0,
    COUNTIFS($AR$2:$AR$200,$G344)&gt;0,
    COUNTIFS($AS$2:$AS$200,$G344)&gt;0,
    COUNTIFS($AT$2:$AT$200,$G344)&gt;0,
    COUNTIFS($AU$2:$AU$200,$G344)&gt;0,
    COUNTIFS($AV$2:$AV$200,$G344)&gt;0,
    COUNTIFS($AW$2:$AW$200,$G344)&gt;0,
    COUNTIFS($AX$2:$AX$200,$G344)&gt;0
   ),
  0)
 ),
"")</f>
        <v/>
      </c>
      <c r="D344" s="3" t="str" cm="1">
        <f t="array" ref="D344">IFERROR(
 INDEX(
  _xlfn._xlws.FILTER($U$1:$AX$1,
   TRANSPOSE(
    CHOOSE({1;2;3;4;5;6;7;8;9;10;11;12;13;14;15;16;17;18;19;20;21;22;23;24;25;26;27;28;29;30},
     COUNTIFS($U$2:$U$200,$G344)&gt;0,
     COUNTIFS($V$2:$V$200,$G344)&gt;0,
     COUNTIFS($W$2:$W$200,$G344)&gt;0,
     COUNTIFS($X$2:$X$200,$G344)&gt;0,
     COUNTIFS($Y$2:$Y$200,$G344)&gt;0,
     COUNTIFS($Z$2:$Z$200,$G344)&gt;0,
     COUNTIFS($AA$2:$AA$200,$G344)&gt;0,
     COUNTIFS($AB$2:$AB$200,$G344)&gt;0,
     COUNTIFS($AC$2:$AC$200,$G344)&gt;0,
     COUNTIFS($AD$2:$AD$200,$G344)&gt;0,
     COUNTIFS($AE$2:$AE$200,$G344)&gt;0,
     COUNTIFS($AF$2:$AF$200,$G344)&gt;0,
     COUNTIFS($AG$2:$AG$200,$G344)&gt;0,
     COUNTIFS($AH$2:$AH$200,$G344)&gt;0,
     COUNTIFS($AI$2:$AI$200,$G344)&gt;0,
     COUNTIFS($AJ$2:$AJ$200,$G344)&gt;0,
     COUNTIFS($AK$2:$AK$200,$G344)&gt;0,
     COUNTIFS($AL$2:$AL$200,$G344)&gt;0,
     COUNTIFS($AM$2:$AM$200,$G344)&gt;0,
     COUNTIFS($AN$2:$AN$200,$G344)&gt;0,
     COUNTIFS($AO$2:$AO$200,$G344)&gt;0,
     COUNTIFS($AP$2:$AP$200,$G344)&gt;0,
     COUNTIFS($AQ$2:$AQ$200,$G344)&gt;0,
     COUNTIFS($AR$2:$AR$200,$G344)&gt;0,
     COUNTIFS($AS$2:$AS$200,$G344)&gt;0,
     COUNTIFS($AT$2:$AT$200,$G344)&gt;0,
     COUNTIFS($AU$2:$AU$200,$G344)&gt;0,
     COUNTIFS($AV$2:$AV$200,$G344)&gt;0,
     COUNTIFS($AW$2:$AW$200,$G344)&gt;0,
     COUNTIFS($AX$2:$AX$200,$G344)&gt;0
   )),
  ),
  2
 ),
"")</f>
        <v/>
      </c>
      <c r="E344" s="3" t="str" cm="1">
        <f t="array" ref="E344">IFERROR(
 INDEX(
  _xlfn._xlws.FILTER($U$1:$AX$1,
   TRANSPOSE(
    CHOOSE({1;2;3;4;5;6;7;8;9;10;11;12;13;14;15;16;17;18;19;20;21;22;23;24;25;26;27;28;29;30},
     COUNTIFS($U$2:$U$200,$G344)&gt;0,
     COUNTIFS($V$2:$V$200,$G344)&gt;0,
     COUNTIFS($W$2:$W$200,$G344)&gt;0,
     COUNTIFS($X$2:$X$200,$G344)&gt;0,
     COUNTIFS($Y$2:$Y$200,$G344)&gt;0,
     COUNTIFS($Z$2:$Z$200,$G344)&gt;0,
     COUNTIFS($AA$2:$AA$200,$G344)&gt;0,
     COUNTIFS($AB$2:$AB$200,$G344)&gt;0,
     COUNTIFS($AC$2:$AC$200,$G344)&gt;0,
     COUNTIFS($AD$2:$AD$200,$G344)&gt;0,
     COUNTIFS($AE$2:$AE$200,$G344)&gt;0,
     COUNTIFS($AF$2:$AF$200,$G344)&gt;0,
     COUNTIFS($AG$2:$AG$200,$G344)&gt;0,
     COUNTIFS($AH$2:$AH$200,$G344)&gt;0,
     COUNTIFS($AI$2:$AI$200,$G344)&gt;0,
     COUNTIFS($AJ$2:$AJ$200,$G344)&gt;0,
     COUNTIFS($AK$2:$AK$200,$G344)&gt;0,
     COUNTIFS($AL$2:$AL$200,$G344)&gt;0,
     COUNTIFS($AM$2:$AM$200,$G344)&gt;0,
     COUNTIFS($AN$2:$AN$200,$G344)&gt;0,
     COUNTIFS($AO$2:$AO$200,$G344)&gt;0,
     COUNTIFS($AP$2:$AP$200,$G344)&gt;0,
     COUNTIFS($AQ$2:$AQ$200,$G344)&gt;0,
     COUNTIFS($AR$2:$AR$200,$G344)&gt;0,
     COUNTIFS($AS$2:$AS$200,$G344)&gt;0,
     COUNTIFS($AT$2:$AT$200,$G344)&gt;0,
     COUNTIFS($AU$2:$AU$200,$G344)&gt;0,
     COUNTIFS($AV$2:$AV$200,$G344)&gt;0,
     COUNTIFS($AW$2:$AW$200,$G344)&gt;0,
     COUNTIFS($AX$2:$AX$200,$G344)&gt;0
   )),
  ),
  3
 ),
"")</f>
        <v/>
      </c>
      <c r="F344" s="3" t="str" cm="1">
        <f t="array" ref="F344">IFERROR(
 INDEX(
  _xlfn._xlws.FILTER($U$1:$AX$1,
   TRANSPOSE(
    CHOOSE({1;2;3;4;5;6;7;8;9;10;11;12;13;14;15;16;17;18;19;20;21;22;23;24;25;26;27;28;29;30},
     COUNTIFS($U$2:$U$200,$G344)&gt;0,
     COUNTIFS($V$2:$V$200,$G344)&gt;0,
     COUNTIFS($W$2:$W$200,$G344)&gt;0,
     COUNTIFS($X$2:$X$200,$G344)&gt;0,
     COUNTIFS($Y$2:$Y$200,$G344)&gt;0,
     COUNTIFS($Z$2:$Z$200,$G344)&gt;0,
     COUNTIFS($AA$2:$AA$200,$G344)&gt;0,
     COUNTIFS($AB$2:$AB$200,$G344)&gt;0,
     COUNTIFS($AC$2:$AC$200,$G344)&gt;0,
     COUNTIFS($AD$2:$AD$200,$G344)&gt;0,
     COUNTIFS($AE$2:$AE$200,$G344)&gt;0,
     COUNTIFS($AF$2:$AF$200,$G344)&gt;0,
     COUNTIFS($AG$2:$AG$200,$G344)&gt;0,
     COUNTIFS($AH$2:$AH$200,$G344)&gt;0,
     COUNTIFS($AI$2:$AI$200,$G344)&gt;0,
     COUNTIFS($AJ$2:$AJ$200,$G344)&gt;0,
     COUNTIFS($AK$2:$AK$200,$G344)&gt;0,
     COUNTIFS($AL$2:$AL$200,$G344)&gt;0,
     COUNTIFS($AM$2:$AM$200,$G344)&gt;0,
     COUNTIFS($AN$2:$AN$200,$G344)&gt;0,
     COUNTIFS($AO$2:$AO$200,$G344)&gt;0,
     COUNTIFS($AP$2:$AP$200,$G344)&gt;0,
     COUNTIFS($AQ$2:$AQ$200,$G344)&gt;0,
     COUNTIFS($AR$2:$AR$200,$G344)&gt;0,
     COUNTIFS($AS$2:$AS$200,$G344)&gt;0,
     COUNTIFS($AT$2:$AT$200,$G344)&gt;0,
     COUNTIFS($AU$2:$AU$200,$G344)&gt;0,
     COUNTIFS($AV$2:$AV$200,$G344)&gt;0,
     COUNTIFS($AW$2:$AW$200,$G344)&gt;0,
     COUNTIFS($AX$2:$AX$200,$G344)&gt;0
   )),
  ),
  4
 ),
"")</f>
        <v/>
      </c>
    </row>
    <row r="345" spans="1:88" x14ac:dyDescent="0.25">
      <c r="A345" s="3" t="str">
        <f t="shared" si="12"/>
        <v/>
      </c>
      <c r="B345" s="3">
        <f t="shared" si="13"/>
        <v>0</v>
      </c>
      <c r="C345" s="3" t="str">
        <f>IFERROR(
 INDEX($U$1:$AX$1,
  MATCH(TRUE,
   CHOOSE({1;2;3;4;5;6;7;8;9;10;11;12;13;14;15;16;17;18;19;20;21;22;23;24;25;26;27;28;29;30;31;32},
    COUNTIFS($U$2:$U$200,$G345)&gt;0,
    COUNTIFS($V$2:$V$200,$G345)&gt;0,
    COUNTIFS($W$2:$W$200,$G345)&gt;0,
    COUNTIFS($X$2:$X$200,$G345)&gt;0,
    COUNTIFS($Y$2:$Y$200,$G345)&gt;0,
    COUNTIFS($Z$2:$Z$200,$G345)&gt;0,
    COUNTIFS($AA$2:$AA$200,$G345)&gt;0,
    COUNTIFS($AB$2:$AB$200,$G345)&gt;0,
    COUNTIFS($AC$2:$AC$200,$G345)&gt;0,
    COUNTIFS($AD$2:$AD$200,$G345)&gt;0,
    COUNTIFS($AE$2:$AE$200,$G345)&gt;0,
    COUNTIFS($AF$2:$AF$200,$G345)&gt;0,
    COUNTIFS($AG$2:$AG$200,$G345)&gt;0,
    COUNTIFS($AH$2:$AH$200,$G345)&gt;0,
    COUNTIFS($AI$2:$AI$200,$G345)&gt;0,
    COUNTIFS($AJ$2:$AJ$200,$G345)&gt;0,
    COUNTIFS($AK$2:$AK$200,$G345)&gt;0,
    COUNTIFS($AL$2:$AL$200,$G345)&gt;0,
    COUNTIFS($AM$2:$AM$200,$G345)&gt;0,
    COUNTIFS($AN$2:$AN$200,$G345)&gt;0,
    COUNTIFS($AO$2:$AO$200,$G345)&gt;0,
    COUNTIFS($AP$2:$AP$200,$G345)&gt;0,
    COUNTIFS($AQ$2:$AQ$200,$G345)&gt;0,
    COUNTIFS($AR$2:$AR$200,$G345)&gt;0,
    COUNTIFS($AS$2:$AS$200,$G345)&gt;0,
    COUNTIFS($AT$2:$AT$200,$G345)&gt;0,
    COUNTIFS($AU$2:$AU$200,$G345)&gt;0,
    COUNTIFS($AV$2:$AV$200,$G345)&gt;0,
    COUNTIFS($AW$2:$AW$200,$G345)&gt;0,
    COUNTIFS($AX$2:$AX$200,$G345)&gt;0
   ),
  0)
 ),
"")</f>
        <v/>
      </c>
      <c r="D345" s="3" t="str" cm="1">
        <f t="array" ref="D345">IFERROR(
 INDEX(
  _xlfn._xlws.FILTER($U$1:$AX$1,
   TRANSPOSE(
    CHOOSE({1;2;3;4;5;6;7;8;9;10;11;12;13;14;15;16;17;18;19;20;21;22;23;24;25;26;27;28;29;30},
     COUNTIFS($U$2:$U$200,$G345)&gt;0,
     COUNTIFS($V$2:$V$200,$G345)&gt;0,
     COUNTIFS($W$2:$W$200,$G345)&gt;0,
     COUNTIFS($X$2:$X$200,$G345)&gt;0,
     COUNTIFS($Y$2:$Y$200,$G345)&gt;0,
     COUNTIFS($Z$2:$Z$200,$G345)&gt;0,
     COUNTIFS($AA$2:$AA$200,$G345)&gt;0,
     COUNTIFS($AB$2:$AB$200,$G345)&gt;0,
     COUNTIFS($AC$2:$AC$200,$G345)&gt;0,
     COUNTIFS($AD$2:$AD$200,$G345)&gt;0,
     COUNTIFS($AE$2:$AE$200,$G345)&gt;0,
     COUNTIFS($AF$2:$AF$200,$G345)&gt;0,
     COUNTIFS($AG$2:$AG$200,$G345)&gt;0,
     COUNTIFS($AH$2:$AH$200,$G345)&gt;0,
     COUNTIFS($AI$2:$AI$200,$G345)&gt;0,
     COUNTIFS($AJ$2:$AJ$200,$G345)&gt;0,
     COUNTIFS($AK$2:$AK$200,$G345)&gt;0,
     COUNTIFS($AL$2:$AL$200,$G345)&gt;0,
     COUNTIFS($AM$2:$AM$200,$G345)&gt;0,
     COUNTIFS($AN$2:$AN$200,$G345)&gt;0,
     COUNTIFS($AO$2:$AO$200,$G345)&gt;0,
     COUNTIFS($AP$2:$AP$200,$G345)&gt;0,
     COUNTIFS($AQ$2:$AQ$200,$G345)&gt;0,
     COUNTIFS($AR$2:$AR$200,$G345)&gt;0,
     COUNTIFS($AS$2:$AS$200,$G345)&gt;0,
     COUNTIFS($AT$2:$AT$200,$G345)&gt;0,
     COUNTIFS($AU$2:$AU$200,$G345)&gt;0,
     COUNTIFS($AV$2:$AV$200,$G345)&gt;0,
     COUNTIFS($AW$2:$AW$200,$G345)&gt;0,
     COUNTIFS($AX$2:$AX$200,$G345)&gt;0
   )),
  ),
  2
 ),
"")</f>
        <v/>
      </c>
      <c r="E345" s="3" t="str" cm="1">
        <f t="array" ref="E345">IFERROR(
 INDEX(
  _xlfn._xlws.FILTER($U$1:$AX$1,
   TRANSPOSE(
    CHOOSE({1;2;3;4;5;6;7;8;9;10;11;12;13;14;15;16;17;18;19;20;21;22;23;24;25;26;27;28;29;30},
     COUNTIFS($U$2:$U$200,$G345)&gt;0,
     COUNTIFS($V$2:$V$200,$G345)&gt;0,
     COUNTIFS($W$2:$W$200,$G345)&gt;0,
     COUNTIFS($X$2:$X$200,$G345)&gt;0,
     COUNTIFS($Y$2:$Y$200,$G345)&gt;0,
     COUNTIFS($Z$2:$Z$200,$G345)&gt;0,
     COUNTIFS($AA$2:$AA$200,$G345)&gt;0,
     COUNTIFS($AB$2:$AB$200,$G345)&gt;0,
     COUNTIFS($AC$2:$AC$200,$G345)&gt;0,
     COUNTIFS($AD$2:$AD$200,$G345)&gt;0,
     COUNTIFS($AE$2:$AE$200,$G345)&gt;0,
     COUNTIFS($AF$2:$AF$200,$G345)&gt;0,
     COUNTIFS($AG$2:$AG$200,$G345)&gt;0,
     COUNTIFS($AH$2:$AH$200,$G345)&gt;0,
     COUNTIFS($AI$2:$AI$200,$G345)&gt;0,
     COUNTIFS($AJ$2:$AJ$200,$G345)&gt;0,
     COUNTIFS($AK$2:$AK$200,$G345)&gt;0,
     COUNTIFS($AL$2:$AL$200,$G345)&gt;0,
     COUNTIFS($AM$2:$AM$200,$G345)&gt;0,
     COUNTIFS($AN$2:$AN$200,$G345)&gt;0,
     COUNTIFS($AO$2:$AO$200,$G345)&gt;0,
     COUNTIFS($AP$2:$AP$200,$G345)&gt;0,
     COUNTIFS($AQ$2:$AQ$200,$G345)&gt;0,
     COUNTIFS($AR$2:$AR$200,$G345)&gt;0,
     COUNTIFS($AS$2:$AS$200,$G345)&gt;0,
     COUNTIFS($AT$2:$AT$200,$G345)&gt;0,
     COUNTIFS($AU$2:$AU$200,$G345)&gt;0,
     COUNTIFS($AV$2:$AV$200,$G345)&gt;0,
     COUNTIFS($AW$2:$AW$200,$G345)&gt;0,
     COUNTIFS($AX$2:$AX$200,$G345)&gt;0
   )),
  ),
  3
 ),
"")</f>
        <v/>
      </c>
      <c r="F345" s="3" t="str" cm="1">
        <f t="array" ref="F345">IFERROR(
 INDEX(
  _xlfn._xlws.FILTER($U$1:$AX$1,
   TRANSPOSE(
    CHOOSE({1;2;3;4;5;6;7;8;9;10;11;12;13;14;15;16;17;18;19;20;21;22;23;24;25;26;27;28;29;30},
     COUNTIFS($U$2:$U$200,$G345)&gt;0,
     COUNTIFS($V$2:$V$200,$G345)&gt;0,
     COUNTIFS($W$2:$W$200,$G345)&gt;0,
     COUNTIFS($X$2:$X$200,$G345)&gt;0,
     COUNTIFS($Y$2:$Y$200,$G345)&gt;0,
     COUNTIFS($Z$2:$Z$200,$G345)&gt;0,
     COUNTIFS($AA$2:$AA$200,$G345)&gt;0,
     COUNTIFS($AB$2:$AB$200,$G345)&gt;0,
     COUNTIFS($AC$2:$AC$200,$G345)&gt;0,
     COUNTIFS($AD$2:$AD$200,$G345)&gt;0,
     COUNTIFS($AE$2:$AE$200,$G345)&gt;0,
     COUNTIFS($AF$2:$AF$200,$G345)&gt;0,
     COUNTIFS($AG$2:$AG$200,$G345)&gt;0,
     COUNTIFS($AH$2:$AH$200,$G345)&gt;0,
     COUNTIFS($AI$2:$AI$200,$G345)&gt;0,
     COUNTIFS($AJ$2:$AJ$200,$G345)&gt;0,
     COUNTIFS($AK$2:$AK$200,$G345)&gt;0,
     COUNTIFS($AL$2:$AL$200,$G345)&gt;0,
     COUNTIFS($AM$2:$AM$200,$G345)&gt;0,
     COUNTIFS($AN$2:$AN$200,$G345)&gt;0,
     COUNTIFS($AO$2:$AO$200,$G345)&gt;0,
     COUNTIFS($AP$2:$AP$200,$G345)&gt;0,
     COUNTIFS($AQ$2:$AQ$200,$G345)&gt;0,
     COUNTIFS($AR$2:$AR$200,$G345)&gt;0,
     COUNTIFS($AS$2:$AS$200,$G345)&gt;0,
     COUNTIFS($AT$2:$AT$200,$G345)&gt;0,
     COUNTIFS($AU$2:$AU$200,$G345)&gt;0,
     COUNTIFS($AV$2:$AV$200,$G345)&gt;0,
     COUNTIFS($AW$2:$AW$200,$G345)&gt;0,
     COUNTIFS($AX$2:$AX$200,$G345)&gt;0
   )),
  ),
  4
 ),
"")</f>
        <v/>
      </c>
    </row>
    <row r="346" spans="1:88" x14ac:dyDescent="0.25">
      <c r="A346" s="3" t="str">
        <f t="shared" si="12"/>
        <v/>
      </c>
      <c r="B346" s="3">
        <f t="shared" si="13"/>
        <v>0</v>
      </c>
      <c r="C346" s="3" t="str">
        <f>IFERROR(
 INDEX($U$1:$AX$1,
  MATCH(TRUE,
   CHOOSE({1;2;3;4;5;6;7;8;9;10;11;12;13;14;15;16;17;18;19;20;21;22;23;24;25;26;27;28;29;30;31;32},
    COUNTIFS($U$2:$U$200,$G346)&gt;0,
    COUNTIFS($V$2:$V$200,$G346)&gt;0,
    COUNTIFS($W$2:$W$200,$G346)&gt;0,
    COUNTIFS($X$2:$X$200,$G346)&gt;0,
    COUNTIFS($Y$2:$Y$200,$G346)&gt;0,
    COUNTIFS($Z$2:$Z$200,$G346)&gt;0,
    COUNTIFS($AA$2:$AA$200,$G346)&gt;0,
    COUNTIFS($AB$2:$AB$200,$G346)&gt;0,
    COUNTIFS($AC$2:$AC$200,$G346)&gt;0,
    COUNTIFS($AD$2:$AD$200,$G346)&gt;0,
    COUNTIFS($AE$2:$AE$200,$G346)&gt;0,
    COUNTIFS($AF$2:$AF$200,$G346)&gt;0,
    COUNTIFS($AG$2:$AG$200,$G346)&gt;0,
    COUNTIFS($AH$2:$AH$200,$G346)&gt;0,
    COUNTIFS($AI$2:$AI$200,$G346)&gt;0,
    COUNTIFS($AJ$2:$AJ$200,$G346)&gt;0,
    COUNTIFS($AK$2:$AK$200,$G346)&gt;0,
    COUNTIFS($AL$2:$AL$200,$G346)&gt;0,
    COUNTIFS($AM$2:$AM$200,$G346)&gt;0,
    COUNTIFS($AN$2:$AN$200,$G346)&gt;0,
    COUNTIFS($AO$2:$AO$200,$G346)&gt;0,
    COUNTIFS($AP$2:$AP$200,$G346)&gt;0,
    COUNTIFS($AQ$2:$AQ$200,$G346)&gt;0,
    COUNTIFS($AR$2:$AR$200,$G346)&gt;0,
    COUNTIFS($AS$2:$AS$200,$G346)&gt;0,
    COUNTIFS($AT$2:$AT$200,$G346)&gt;0,
    COUNTIFS($AU$2:$AU$200,$G346)&gt;0,
    COUNTIFS($AV$2:$AV$200,$G346)&gt;0,
    COUNTIFS($AW$2:$AW$200,$G346)&gt;0,
    COUNTIFS($AX$2:$AX$200,$G346)&gt;0
   ),
  0)
 ),
"")</f>
        <v/>
      </c>
      <c r="D346" s="3" t="str" cm="1">
        <f t="array" ref="D346">IFERROR(
 INDEX(
  _xlfn._xlws.FILTER($U$1:$AX$1,
   TRANSPOSE(
    CHOOSE({1;2;3;4;5;6;7;8;9;10;11;12;13;14;15;16;17;18;19;20;21;22;23;24;25;26;27;28;29;30},
     COUNTIFS($U$2:$U$200,$G346)&gt;0,
     COUNTIFS($V$2:$V$200,$G346)&gt;0,
     COUNTIFS($W$2:$W$200,$G346)&gt;0,
     COUNTIFS($X$2:$X$200,$G346)&gt;0,
     COUNTIFS($Y$2:$Y$200,$G346)&gt;0,
     COUNTIFS($Z$2:$Z$200,$G346)&gt;0,
     COUNTIFS($AA$2:$AA$200,$G346)&gt;0,
     COUNTIFS($AB$2:$AB$200,$G346)&gt;0,
     COUNTIFS($AC$2:$AC$200,$G346)&gt;0,
     COUNTIFS($AD$2:$AD$200,$G346)&gt;0,
     COUNTIFS($AE$2:$AE$200,$G346)&gt;0,
     COUNTIFS($AF$2:$AF$200,$G346)&gt;0,
     COUNTIFS($AG$2:$AG$200,$G346)&gt;0,
     COUNTIFS($AH$2:$AH$200,$G346)&gt;0,
     COUNTIFS($AI$2:$AI$200,$G346)&gt;0,
     COUNTIFS($AJ$2:$AJ$200,$G346)&gt;0,
     COUNTIFS($AK$2:$AK$200,$G346)&gt;0,
     COUNTIFS($AL$2:$AL$200,$G346)&gt;0,
     COUNTIFS($AM$2:$AM$200,$G346)&gt;0,
     COUNTIFS($AN$2:$AN$200,$G346)&gt;0,
     COUNTIFS($AO$2:$AO$200,$G346)&gt;0,
     COUNTIFS($AP$2:$AP$200,$G346)&gt;0,
     COUNTIFS($AQ$2:$AQ$200,$G346)&gt;0,
     COUNTIFS($AR$2:$AR$200,$G346)&gt;0,
     COUNTIFS($AS$2:$AS$200,$G346)&gt;0,
     COUNTIFS($AT$2:$AT$200,$G346)&gt;0,
     COUNTIFS($AU$2:$AU$200,$G346)&gt;0,
     COUNTIFS($AV$2:$AV$200,$G346)&gt;0,
     COUNTIFS($AW$2:$AW$200,$G346)&gt;0,
     COUNTIFS($AX$2:$AX$200,$G346)&gt;0
   )),
  ),
  2
 ),
"")</f>
        <v/>
      </c>
      <c r="E346" s="3" t="str" cm="1">
        <f t="array" ref="E346">IFERROR(
 INDEX(
  _xlfn._xlws.FILTER($U$1:$AX$1,
   TRANSPOSE(
    CHOOSE({1;2;3;4;5;6;7;8;9;10;11;12;13;14;15;16;17;18;19;20;21;22;23;24;25;26;27;28;29;30},
     COUNTIFS($U$2:$U$200,$G346)&gt;0,
     COUNTIFS($V$2:$V$200,$G346)&gt;0,
     COUNTIFS($W$2:$W$200,$G346)&gt;0,
     COUNTIFS($X$2:$X$200,$G346)&gt;0,
     COUNTIFS($Y$2:$Y$200,$G346)&gt;0,
     COUNTIFS($Z$2:$Z$200,$G346)&gt;0,
     COUNTIFS($AA$2:$AA$200,$G346)&gt;0,
     COUNTIFS($AB$2:$AB$200,$G346)&gt;0,
     COUNTIFS($AC$2:$AC$200,$G346)&gt;0,
     COUNTIFS($AD$2:$AD$200,$G346)&gt;0,
     COUNTIFS($AE$2:$AE$200,$G346)&gt;0,
     COUNTIFS($AF$2:$AF$200,$G346)&gt;0,
     COUNTIFS($AG$2:$AG$200,$G346)&gt;0,
     COUNTIFS($AH$2:$AH$200,$G346)&gt;0,
     COUNTIFS($AI$2:$AI$200,$G346)&gt;0,
     COUNTIFS($AJ$2:$AJ$200,$G346)&gt;0,
     COUNTIFS($AK$2:$AK$200,$G346)&gt;0,
     COUNTIFS($AL$2:$AL$200,$G346)&gt;0,
     COUNTIFS($AM$2:$AM$200,$G346)&gt;0,
     COUNTIFS($AN$2:$AN$200,$G346)&gt;0,
     COUNTIFS($AO$2:$AO$200,$G346)&gt;0,
     COUNTIFS($AP$2:$AP$200,$G346)&gt;0,
     COUNTIFS($AQ$2:$AQ$200,$G346)&gt;0,
     COUNTIFS($AR$2:$AR$200,$G346)&gt;0,
     COUNTIFS($AS$2:$AS$200,$G346)&gt;0,
     COUNTIFS($AT$2:$AT$200,$G346)&gt;0,
     COUNTIFS($AU$2:$AU$200,$G346)&gt;0,
     COUNTIFS($AV$2:$AV$200,$G346)&gt;0,
     COUNTIFS($AW$2:$AW$200,$G346)&gt;0,
     COUNTIFS($AX$2:$AX$200,$G346)&gt;0
   )),
  ),
  3
 ),
"")</f>
        <v/>
      </c>
      <c r="F346" s="3" t="str" cm="1">
        <f t="array" ref="F346">IFERROR(
 INDEX(
  _xlfn._xlws.FILTER($U$1:$AX$1,
   TRANSPOSE(
    CHOOSE({1;2;3;4;5;6;7;8;9;10;11;12;13;14;15;16;17;18;19;20;21;22;23;24;25;26;27;28;29;30},
     COUNTIFS($U$2:$U$200,$G346)&gt;0,
     COUNTIFS($V$2:$V$200,$G346)&gt;0,
     COUNTIFS($W$2:$W$200,$G346)&gt;0,
     COUNTIFS($X$2:$X$200,$G346)&gt;0,
     COUNTIFS($Y$2:$Y$200,$G346)&gt;0,
     COUNTIFS($Z$2:$Z$200,$G346)&gt;0,
     COUNTIFS($AA$2:$AA$200,$G346)&gt;0,
     COUNTIFS($AB$2:$AB$200,$G346)&gt;0,
     COUNTIFS($AC$2:$AC$200,$G346)&gt;0,
     COUNTIFS($AD$2:$AD$200,$G346)&gt;0,
     COUNTIFS($AE$2:$AE$200,$G346)&gt;0,
     COUNTIFS($AF$2:$AF$200,$G346)&gt;0,
     COUNTIFS($AG$2:$AG$200,$G346)&gt;0,
     COUNTIFS($AH$2:$AH$200,$G346)&gt;0,
     COUNTIFS($AI$2:$AI$200,$G346)&gt;0,
     COUNTIFS($AJ$2:$AJ$200,$G346)&gt;0,
     COUNTIFS($AK$2:$AK$200,$G346)&gt;0,
     COUNTIFS($AL$2:$AL$200,$G346)&gt;0,
     COUNTIFS($AM$2:$AM$200,$G346)&gt;0,
     COUNTIFS($AN$2:$AN$200,$G346)&gt;0,
     COUNTIFS($AO$2:$AO$200,$G346)&gt;0,
     COUNTIFS($AP$2:$AP$200,$G346)&gt;0,
     COUNTIFS($AQ$2:$AQ$200,$G346)&gt;0,
     COUNTIFS($AR$2:$AR$200,$G346)&gt;0,
     COUNTIFS($AS$2:$AS$200,$G346)&gt;0,
     COUNTIFS($AT$2:$AT$200,$G346)&gt;0,
     COUNTIFS($AU$2:$AU$200,$G346)&gt;0,
     COUNTIFS($AV$2:$AV$200,$G346)&gt;0,
     COUNTIFS($AW$2:$AW$200,$G346)&gt;0,
     COUNTIFS($AX$2:$AX$200,$G346)&gt;0
   )),
  ),
  4
 ),
"")</f>
        <v/>
      </c>
    </row>
    <row r="347" spans="1:88" x14ac:dyDescent="0.25">
      <c r="A347" s="3" t="str">
        <f t="shared" si="12"/>
        <v/>
      </c>
      <c r="B347" s="3">
        <f t="shared" si="13"/>
        <v>0</v>
      </c>
      <c r="C347" s="3" t="str">
        <f>IFERROR(
 INDEX($U$1:$AX$1,
  MATCH(TRUE,
   CHOOSE({1;2;3;4;5;6;7;8;9;10;11;12;13;14;15;16;17;18;19;20;21;22;23;24;25;26;27;28;29;30;31;32},
    COUNTIFS($U$2:$U$200,$G347)&gt;0,
    COUNTIFS($V$2:$V$200,$G347)&gt;0,
    COUNTIFS($W$2:$W$200,$G347)&gt;0,
    COUNTIFS($X$2:$X$200,$G347)&gt;0,
    COUNTIFS($Y$2:$Y$200,$G347)&gt;0,
    COUNTIFS($Z$2:$Z$200,$G347)&gt;0,
    COUNTIFS($AA$2:$AA$200,$G347)&gt;0,
    COUNTIFS($AB$2:$AB$200,$G347)&gt;0,
    COUNTIFS($AC$2:$AC$200,$G347)&gt;0,
    COUNTIFS($AD$2:$AD$200,$G347)&gt;0,
    COUNTIFS($AE$2:$AE$200,$G347)&gt;0,
    COUNTIFS($AF$2:$AF$200,$G347)&gt;0,
    COUNTIFS($AG$2:$AG$200,$G347)&gt;0,
    COUNTIFS($AH$2:$AH$200,$G347)&gt;0,
    COUNTIFS($AI$2:$AI$200,$G347)&gt;0,
    COUNTIFS($AJ$2:$AJ$200,$G347)&gt;0,
    COUNTIFS($AK$2:$AK$200,$G347)&gt;0,
    COUNTIFS($AL$2:$AL$200,$G347)&gt;0,
    COUNTIFS($AM$2:$AM$200,$G347)&gt;0,
    COUNTIFS($AN$2:$AN$200,$G347)&gt;0,
    COUNTIFS($AO$2:$AO$200,$G347)&gt;0,
    COUNTIFS($AP$2:$AP$200,$G347)&gt;0,
    COUNTIFS($AQ$2:$AQ$200,$G347)&gt;0,
    COUNTIFS($AR$2:$AR$200,$G347)&gt;0,
    COUNTIFS($AS$2:$AS$200,$G347)&gt;0,
    COUNTIFS($AT$2:$AT$200,$G347)&gt;0,
    COUNTIFS($AU$2:$AU$200,$G347)&gt;0,
    COUNTIFS($AV$2:$AV$200,$G347)&gt;0,
    COUNTIFS($AW$2:$AW$200,$G347)&gt;0,
    COUNTIFS($AX$2:$AX$200,$G347)&gt;0
   ),
  0)
 ),
"")</f>
        <v/>
      </c>
      <c r="D347" s="3" t="str" cm="1">
        <f t="array" ref="D347">IFERROR(
 INDEX(
  _xlfn._xlws.FILTER($U$1:$AX$1,
   TRANSPOSE(
    CHOOSE({1;2;3;4;5;6;7;8;9;10;11;12;13;14;15;16;17;18;19;20;21;22;23;24;25;26;27;28;29;30},
     COUNTIFS($U$2:$U$200,$G347)&gt;0,
     COUNTIFS($V$2:$V$200,$G347)&gt;0,
     COUNTIFS($W$2:$W$200,$G347)&gt;0,
     COUNTIFS($X$2:$X$200,$G347)&gt;0,
     COUNTIFS($Y$2:$Y$200,$G347)&gt;0,
     COUNTIFS($Z$2:$Z$200,$G347)&gt;0,
     COUNTIFS($AA$2:$AA$200,$G347)&gt;0,
     COUNTIFS($AB$2:$AB$200,$G347)&gt;0,
     COUNTIFS($AC$2:$AC$200,$G347)&gt;0,
     COUNTIFS($AD$2:$AD$200,$G347)&gt;0,
     COUNTIFS($AE$2:$AE$200,$G347)&gt;0,
     COUNTIFS($AF$2:$AF$200,$G347)&gt;0,
     COUNTIFS($AG$2:$AG$200,$G347)&gt;0,
     COUNTIFS($AH$2:$AH$200,$G347)&gt;0,
     COUNTIFS($AI$2:$AI$200,$G347)&gt;0,
     COUNTIFS($AJ$2:$AJ$200,$G347)&gt;0,
     COUNTIFS($AK$2:$AK$200,$G347)&gt;0,
     COUNTIFS($AL$2:$AL$200,$G347)&gt;0,
     COUNTIFS($AM$2:$AM$200,$G347)&gt;0,
     COUNTIFS($AN$2:$AN$200,$G347)&gt;0,
     COUNTIFS($AO$2:$AO$200,$G347)&gt;0,
     COUNTIFS($AP$2:$AP$200,$G347)&gt;0,
     COUNTIFS($AQ$2:$AQ$200,$G347)&gt;0,
     COUNTIFS($AR$2:$AR$200,$G347)&gt;0,
     COUNTIFS($AS$2:$AS$200,$G347)&gt;0,
     COUNTIFS($AT$2:$AT$200,$G347)&gt;0,
     COUNTIFS($AU$2:$AU$200,$G347)&gt;0,
     COUNTIFS($AV$2:$AV$200,$G347)&gt;0,
     COUNTIFS($AW$2:$AW$200,$G347)&gt;0,
     COUNTIFS($AX$2:$AX$200,$G347)&gt;0
   )),
  ),
  2
 ),
"")</f>
        <v/>
      </c>
      <c r="E347" s="3" t="str" cm="1">
        <f t="array" ref="E347">IFERROR(
 INDEX(
  _xlfn._xlws.FILTER($U$1:$AX$1,
   TRANSPOSE(
    CHOOSE({1;2;3;4;5;6;7;8;9;10;11;12;13;14;15;16;17;18;19;20;21;22;23;24;25;26;27;28;29;30},
     COUNTIFS($U$2:$U$200,$G347)&gt;0,
     COUNTIFS($V$2:$V$200,$G347)&gt;0,
     COUNTIFS($W$2:$W$200,$G347)&gt;0,
     COUNTIFS($X$2:$X$200,$G347)&gt;0,
     COUNTIFS($Y$2:$Y$200,$G347)&gt;0,
     COUNTIFS($Z$2:$Z$200,$G347)&gt;0,
     COUNTIFS($AA$2:$AA$200,$G347)&gt;0,
     COUNTIFS($AB$2:$AB$200,$G347)&gt;0,
     COUNTIFS($AC$2:$AC$200,$G347)&gt;0,
     COUNTIFS($AD$2:$AD$200,$G347)&gt;0,
     COUNTIFS($AE$2:$AE$200,$G347)&gt;0,
     COUNTIFS($AF$2:$AF$200,$G347)&gt;0,
     COUNTIFS($AG$2:$AG$200,$G347)&gt;0,
     COUNTIFS($AH$2:$AH$200,$G347)&gt;0,
     COUNTIFS($AI$2:$AI$200,$G347)&gt;0,
     COUNTIFS($AJ$2:$AJ$200,$G347)&gt;0,
     COUNTIFS($AK$2:$AK$200,$G347)&gt;0,
     COUNTIFS($AL$2:$AL$200,$G347)&gt;0,
     COUNTIFS($AM$2:$AM$200,$G347)&gt;0,
     COUNTIFS($AN$2:$AN$200,$G347)&gt;0,
     COUNTIFS($AO$2:$AO$200,$G347)&gt;0,
     COUNTIFS($AP$2:$AP$200,$G347)&gt;0,
     COUNTIFS($AQ$2:$AQ$200,$G347)&gt;0,
     COUNTIFS($AR$2:$AR$200,$G347)&gt;0,
     COUNTIFS($AS$2:$AS$200,$G347)&gt;0,
     COUNTIFS($AT$2:$AT$200,$G347)&gt;0,
     COUNTIFS($AU$2:$AU$200,$G347)&gt;0,
     COUNTIFS($AV$2:$AV$200,$G347)&gt;0,
     COUNTIFS($AW$2:$AW$200,$G347)&gt;0,
     COUNTIFS($AX$2:$AX$200,$G347)&gt;0
   )),
  ),
  3
 ),
"")</f>
        <v/>
      </c>
      <c r="F347" s="3" t="str" cm="1">
        <f t="array" ref="F347">IFERROR(
 INDEX(
  _xlfn._xlws.FILTER($U$1:$AX$1,
   TRANSPOSE(
    CHOOSE({1;2;3;4;5;6;7;8;9;10;11;12;13;14;15;16;17;18;19;20;21;22;23;24;25;26;27;28;29;30},
     COUNTIFS($U$2:$U$200,$G347)&gt;0,
     COUNTIFS($V$2:$V$200,$G347)&gt;0,
     COUNTIFS($W$2:$W$200,$G347)&gt;0,
     COUNTIFS($X$2:$X$200,$G347)&gt;0,
     COUNTIFS($Y$2:$Y$200,$G347)&gt;0,
     COUNTIFS($Z$2:$Z$200,$G347)&gt;0,
     COUNTIFS($AA$2:$AA$200,$G347)&gt;0,
     COUNTIFS($AB$2:$AB$200,$G347)&gt;0,
     COUNTIFS($AC$2:$AC$200,$G347)&gt;0,
     COUNTIFS($AD$2:$AD$200,$G347)&gt;0,
     COUNTIFS($AE$2:$AE$200,$G347)&gt;0,
     COUNTIFS($AF$2:$AF$200,$G347)&gt;0,
     COUNTIFS($AG$2:$AG$200,$G347)&gt;0,
     COUNTIFS($AH$2:$AH$200,$G347)&gt;0,
     COUNTIFS($AI$2:$AI$200,$G347)&gt;0,
     COUNTIFS($AJ$2:$AJ$200,$G347)&gt;0,
     COUNTIFS($AK$2:$AK$200,$G347)&gt;0,
     COUNTIFS($AL$2:$AL$200,$G347)&gt;0,
     COUNTIFS($AM$2:$AM$200,$G347)&gt;0,
     COUNTIFS($AN$2:$AN$200,$G347)&gt;0,
     COUNTIFS($AO$2:$AO$200,$G347)&gt;0,
     COUNTIFS($AP$2:$AP$200,$G347)&gt;0,
     COUNTIFS($AQ$2:$AQ$200,$G347)&gt;0,
     COUNTIFS($AR$2:$AR$200,$G347)&gt;0,
     COUNTIFS($AS$2:$AS$200,$G347)&gt;0,
     COUNTIFS($AT$2:$AT$200,$G347)&gt;0,
     COUNTIFS($AU$2:$AU$200,$G347)&gt;0,
     COUNTIFS($AV$2:$AV$200,$G347)&gt;0,
     COUNTIFS($AW$2:$AW$200,$G347)&gt;0,
     COUNTIFS($AX$2:$AX$200,$G347)&gt;0
   )),
  ),
  4
 ),
"")</f>
        <v/>
      </c>
    </row>
    <row r="348" spans="1:88" x14ac:dyDescent="0.25">
      <c r="A348" s="3" t="str">
        <f t="shared" si="12"/>
        <v/>
      </c>
      <c r="B348" s="3">
        <f t="shared" si="13"/>
        <v>0</v>
      </c>
      <c r="C348" s="3" t="str">
        <f>IFERROR(
 INDEX($U$1:$AX$1,
  MATCH(TRUE,
   CHOOSE({1;2;3;4;5;6;7;8;9;10;11;12;13;14;15;16;17;18;19;20;21;22;23;24;25;26;27;28;29;30;31;32},
    COUNTIFS($U$2:$U$200,$G348)&gt;0,
    COUNTIFS($V$2:$V$200,$G348)&gt;0,
    COUNTIFS($W$2:$W$200,$G348)&gt;0,
    COUNTIFS($X$2:$X$200,$G348)&gt;0,
    COUNTIFS($Y$2:$Y$200,$G348)&gt;0,
    COUNTIFS($Z$2:$Z$200,$G348)&gt;0,
    COUNTIFS($AA$2:$AA$200,$G348)&gt;0,
    COUNTIFS($AB$2:$AB$200,$G348)&gt;0,
    COUNTIFS($AC$2:$AC$200,$G348)&gt;0,
    COUNTIFS($AD$2:$AD$200,$G348)&gt;0,
    COUNTIFS($AE$2:$AE$200,$G348)&gt;0,
    COUNTIFS($AF$2:$AF$200,$G348)&gt;0,
    COUNTIFS($AG$2:$AG$200,$G348)&gt;0,
    COUNTIFS($AH$2:$AH$200,$G348)&gt;0,
    COUNTIFS($AI$2:$AI$200,$G348)&gt;0,
    COUNTIFS($AJ$2:$AJ$200,$G348)&gt;0,
    COUNTIFS($AK$2:$AK$200,$G348)&gt;0,
    COUNTIFS($AL$2:$AL$200,$G348)&gt;0,
    COUNTIFS($AM$2:$AM$200,$G348)&gt;0,
    COUNTIFS($AN$2:$AN$200,$G348)&gt;0,
    COUNTIFS($AO$2:$AO$200,$G348)&gt;0,
    COUNTIFS($AP$2:$AP$200,$G348)&gt;0,
    COUNTIFS($AQ$2:$AQ$200,$G348)&gt;0,
    COUNTIFS($AR$2:$AR$200,$G348)&gt;0,
    COUNTIFS($AS$2:$AS$200,$G348)&gt;0,
    COUNTIFS($AT$2:$AT$200,$G348)&gt;0,
    COUNTIFS($AU$2:$AU$200,$G348)&gt;0,
    COUNTIFS($AV$2:$AV$200,$G348)&gt;0,
    COUNTIFS($AW$2:$AW$200,$G348)&gt;0,
    COUNTIFS($AX$2:$AX$200,$G348)&gt;0
   ),
  0)
 ),
"")</f>
        <v/>
      </c>
      <c r="D348" s="3" t="str" cm="1">
        <f t="array" ref="D348">IFERROR(
 INDEX(
  _xlfn._xlws.FILTER($U$1:$AX$1,
   TRANSPOSE(
    CHOOSE({1;2;3;4;5;6;7;8;9;10;11;12;13;14;15;16;17;18;19;20;21;22;23;24;25;26;27;28;29;30},
     COUNTIFS($U$2:$U$200,$G348)&gt;0,
     COUNTIFS($V$2:$V$200,$G348)&gt;0,
     COUNTIFS($W$2:$W$200,$G348)&gt;0,
     COUNTIFS($X$2:$X$200,$G348)&gt;0,
     COUNTIFS($Y$2:$Y$200,$G348)&gt;0,
     COUNTIFS($Z$2:$Z$200,$G348)&gt;0,
     COUNTIFS($AA$2:$AA$200,$G348)&gt;0,
     COUNTIFS($AB$2:$AB$200,$G348)&gt;0,
     COUNTIFS($AC$2:$AC$200,$G348)&gt;0,
     COUNTIFS($AD$2:$AD$200,$G348)&gt;0,
     COUNTIFS($AE$2:$AE$200,$G348)&gt;0,
     COUNTIFS($AF$2:$AF$200,$G348)&gt;0,
     COUNTIFS($AG$2:$AG$200,$G348)&gt;0,
     COUNTIFS($AH$2:$AH$200,$G348)&gt;0,
     COUNTIFS($AI$2:$AI$200,$G348)&gt;0,
     COUNTIFS($AJ$2:$AJ$200,$G348)&gt;0,
     COUNTIFS($AK$2:$AK$200,$G348)&gt;0,
     COUNTIFS($AL$2:$AL$200,$G348)&gt;0,
     COUNTIFS($AM$2:$AM$200,$G348)&gt;0,
     COUNTIFS($AN$2:$AN$200,$G348)&gt;0,
     COUNTIFS($AO$2:$AO$200,$G348)&gt;0,
     COUNTIFS($AP$2:$AP$200,$G348)&gt;0,
     COUNTIFS($AQ$2:$AQ$200,$G348)&gt;0,
     COUNTIFS($AR$2:$AR$200,$G348)&gt;0,
     COUNTIFS($AS$2:$AS$200,$G348)&gt;0,
     COUNTIFS($AT$2:$AT$200,$G348)&gt;0,
     COUNTIFS($AU$2:$AU$200,$G348)&gt;0,
     COUNTIFS($AV$2:$AV$200,$G348)&gt;0,
     COUNTIFS($AW$2:$AW$200,$G348)&gt;0,
     COUNTIFS($AX$2:$AX$200,$G348)&gt;0
   )),
  ),
  2
 ),
"")</f>
        <v/>
      </c>
      <c r="E348" s="3" t="str" cm="1">
        <f t="array" ref="E348">IFERROR(
 INDEX(
  _xlfn._xlws.FILTER($U$1:$AX$1,
   TRANSPOSE(
    CHOOSE({1;2;3;4;5;6;7;8;9;10;11;12;13;14;15;16;17;18;19;20;21;22;23;24;25;26;27;28;29;30},
     COUNTIFS($U$2:$U$200,$G348)&gt;0,
     COUNTIFS($V$2:$V$200,$G348)&gt;0,
     COUNTIFS($W$2:$W$200,$G348)&gt;0,
     COUNTIFS($X$2:$X$200,$G348)&gt;0,
     COUNTIFS($Y$2:$Y$200,$G348)&gt;0,
     COUNTIFS($Z$2:$Z$200,$G348)&gt;0,
     COUNTIFS($AA$2:$AA$200,$G348)&gt;0,
     COUNTIFS($AB$2:$AB$200,$G348)&gt;0,
     COUNTIFS($AC$2:$AC$200,$G348)&gt;0,
     COUNTIFS($AD$2:$AD$200,$G348)&gt;0,
     COUNTIFS($AE$2:$AE$200,$G348)&gt;0,
     COUNTIFS($AF$2:$AF$200,$G348)&gt;0,
     COUNTIFS($AG$2:$AG$200,$G348)&gt;0,
     COUNTIFS($AH$2:$AH$200,$G348)&gt;0,
     COUNTIFS($AI$2:$AI$200,$G348)&gt;0,
     COUNTIFS($AJ$2:$AJ$200,$G348)&gt;0,
     COUNTIFS($AK$2:$AK$200,$G348)&gt;0,
     COUNTIFS($AL$2:$AL$200,$G348)&gt;0,
     COUNTIFS($AM$2:$AM$200,$G348)&gt;0,
     COUNTIFS($AN$2:$AN$200,$G348)&gt;0,
     COUNTIFS($AO$2:$AO$200,$G348)&gt;0,
     COUNTIFS($AP$2:$AP$200,$G348)&gt;0,
     COUNTIFS($AQ$2:$AQ$200,$G348)&gt;0,
     COUNTIFS($AR$2:$AR$200,$G348)&gt;0,
     COUNTIFS($AS$2:$AS$200,$G348)&gt;0,
     COUNTIFS($AT$2:$AT$200,$G348)&gt;0,
     COUNTIFS($AU$2:$AU$200,$G348)&gt;0,
     COUNTIFS($AV$2:$AV$200,$G348)&gt;0,
     COUNTIFS($AW$2:$AW$200,$G348)&gt;0,
     COUNTIFS($AX$2:$AX$200,$G348)&gt;0
   )),
  ),
  3
 ),
"")</f>
        <v/>
      </c>
      <c r="F348" s="3" t="str" cm="1">
        <f t="array" ref="F348">IFERROR(
 INDEX(
  _xlfn._xlws.FILTER($U$1:$AX$1,
   TRANSPOSE(
    CHOOSE({1;2;3;4;5;6;7;8;9;10;11;12;13;14;15;16;17;18;19;20;21;22;23;24;25;26;27;28;29;30},
     COUNTIFS($U$2:$U$200,$G348)&gt;0,
     COUNTIFS($V$2:$V$200,$G348)&gt;0,
     COUNTIFS($W$2:$W$200,$G348)&gt;0,
     COUNTIFS($X$2:$X$200,$G348)&gt;0,
     COUNTIFS($Y$2:$Y$200,$G348)&gt;0,
     COUNTIFS($Z$2:$Z$200,$G348)&gt;0,
     COUNTIFS($AA$2:$AA$200,$G348)&gt;0,
     COUNTIFS($AB$2:$AB$200,$G348)&gt;0,
     COUNTIFS($AC$2:$AC$200,$G348)&gt;0,
     COUNTIFS($AD$2:$AD$200,$G348)&gt;0,
     COUNTIFS($AE$2:$AE$200,$G348)&gt;0,
     COUNTIFS($AF$2:$AF$200,$G348)&gt;0,
     COUNTIFS($AG$2:$AG$200,$G348)&gt;0,
     COUNTIFS($AH$2:$AH$200,$G348)&gt;0,
     COUNTIFS($AI$2:$AI$200,$G348)&gt;0,
     COUNTIFS($AJ$2:$AJ$200,$G348)&gt;0,
     COUNTIFS($AK$2:$AK$200,$G348)&gt;0,
     COUNTIFS($AL$2:$AL$200,$G348)&gt;0,
     COUNTIFS($AM$2:$AM$200,$G348)&gt;0,
     COUNTIFS($AN$2:$AN$200,$G348)&gt;0,
     COUNTIFS($AO$2:$AO$200,$G348)&gt;0,
     COUNTIFS($AP$2:$AP$200,$G348)&gt;0,
     COUNTIFS($AQ$2:$AQ$200,$G348)&gt;0,
     COUNTIFS($AR$2:$AR$200,$G348)&gt;0,
     COUNTIFS($AS$2:$AS$200,$G348)&gt;0,
     COUNTIFS($AT$2:$AT$200,$G348)&gt;0,
     COUNTIFS($AU$2:$AU$200,$G348)&gt;0,
     COUNTIFS($AV$2:$AV$200,$G348)&gt;0,
     COUNTIFS($AW$2:$AW$200,$G348)&gt;0,
     COUNTIFS($AX$2:$AX$200,$G348)&gt;0
   )),
  ),
  4
 ),
"")</f>
        <v/>
      </c>
    </row>
    <row r="349" spans="1:88" x14ac:dyDescent="0.25">
      <c r="A349" s="3" t="str">
        <f t="shared" si="12"/>
        <v/>
      </c>
      <c r="B349" s="3">
        <f t="shared" si="13"/>
        <v>0</v>
      </c>
      <c r="C349" s="3" t="str">
        <f>IFERROR(
 INDEX($U$1:$AX$1,
  MATCH(TRUE,
   CHOOSE({1;2;3;4;5;6;7;8;9;10;11;12;13;14;15;16;17;18;19;20;21;22;23;24;25;26;27;28;29;30;31;32},
    COUNTIFS($U$2:$U$200,$G349)&gt;0,
    COUNTIFS($V$2:$V$200,$G349)&gt;0,
    COUNTIFS($W$2:$W$200,$G349)&gt;0,
    COUNTIFS($X$2:$X$200,$G349)&gt;0,
    COUNTIFS($Y$2:$Y$200,$G349)&gt;0,
    COUNTIFS($Z$2:$Z$200,$G349)&gt;0,
    COUNTIFS($AA$2:$AA$200,$G349)&gt;0,
    COUNTIFS($AB$2:$AB$200,$G349)&gt;0,
    COUNTIFS($AC$2:$AC$200,$G349)&gt;0,
    COUNTIFS($AD$2:$AD$200,$G349)&gt;0,
    COUNTIFS($AE$2:$AE$200,$G349)&gt;0,
    COUNTIFS($AF$2:$AF$200,$G349)&gt;0,
    COUNTIFS($AG$2:$AG$200,$G349)&gt;0,
    COUNTIFS($AH$2:$AH$200,$G349)&gt;0,
    COUNTIFS($AI$2:$AI$200,$G349)&gt;0,
    COUNTIFS($AJ$2:$AJ$200,$G349)&gt;0,
    COUNTIFS($AK$2:$AK$200,$G349)&gt;0,
    COUNTIFS($AL$2:$AL$200,$G349)&gt;0,
    COUNTIFS($AM$2:$AM$200,$G349)&gt;0,
    COUNTIFS($AN$2:$AN$200,$G349)&gt;0,
    COUNTIFS($AO$2:$AO$200,$G349)&gt;0,
    COUNTIFS($AP$2:$AP$200,$G349)&gt;0,
    COUNTIFS($AQ$2:$AQ$200,$G349)&gt;0,
    COUNTIFS($AR$2:$AR$200,$G349)&gt;0,
    COUNTIFS($AS$2:$AS$200,$G349)&gt;0,
    COUNTIFS($AT$2:$AT$200,$G349)&gt;0,
    COUNTIFS($AU$2:$AU$200,$G349)&gt;0,
    COUNTIFS($AV$2:$AV$200,$G349)&gt;0,
    COUNTIFS($AW$2:$AW$200,$G349)&gt;0,
    COUNTIFS($AX$2:$AX$200,$G349)&gt;0
   ),
  0)
 ),
"")</f>
        <v/>
      </c>
      <c r="D349" s="3" t="str" cm="1">
        <f t="array" ref="D349">IFERROR(
 INDEX(
  _xlfn._xlws.FILTER($U$1:$AX$1,
   TRANSPOSE(
    CHOOSE({1;2;3;4;5;6;7;8;9;10;11;12;13;14;15;16;17;18;19;20;21;22;23;24;25;26;27;28;29;30},
     COUNTIFS($U$2:$U$200,$G349)&gt;0,
     COUNTIFS($V$2:$V$200,$G349)&gt;0,
     COUNTIFS($W$2:$W$200,$G349)&gt;0,
     COUNTIFS($X$2:$X$200,$G349)&gt;0,
     COUNTIFS($Y$2:$Y$200,$G349)&gt;0,
     COUNTIFS($Z$2:$Z$200,$G349)&gt;0,
     COUNTIFS($AA$2:$AA$200,$G349)&gt;0,
     COUNTIFS($AB$2:$AB$200,$G349)&gt;0,
     COUNTIFS($AC$2:$AC$200,$G349)&gt;0,
     COUNTIFS($AD$2:$AD$200,$G349)&gt;0,
     COUNTIFS($AE$2:$AE$200,$G349)&gt;0,
     COUNTIFS($AF$2:$AF$200,$G349)&gt;0,
     COUNTIFS($AG$2:$AG$200,$G349)&gt;0,
     COUNTIFS($AH$2:$AH$200,$G349)&gt;0,
     COUNTIFS($AI$2:$AI$200,$G349)&gt;0,
     COUNTIFS($AJ$2:$AJ$200,$G349)&gt;0,
     COUNTIFS($AK$2:$AK$200,$G349)&gt;0,
     COUNTIFS($AL$2:$AL$200,$G349)&gt;0,
     COUNTIFS($AM$2:$AM$200,$G349)&gt;0,
     COUNTIFS($AN$2:$AN$200,$G349)&gt;0,
     COUNTIFS($AO$2:$AO$200,$G349)&gt;0,
     COUNTIFS($AP$2:$AP$200,$G349)&gt;0,
     COUNTIFS($AQ$2:$AQ$200,$G349)&gt;0,
     COUNTIFS($AR$2:$AR$200,$G349)&gt;0,
     COUNTIFS($AS$2:$AS$200,$G349)&gt;0,
     COUNTIFS($AT$2:$AT$200,$G349)&gt;0,
     COUNTIFS($AU$2:$AU$200,$G349)&gt;0,
     COUNTIFS($AV$2:$AV$200,$G349)&gt;0,
     COUNTIFS($AW$2:$AW$200,$G349)&gt;0,
     COUNTIFS($AX$2:$AX$200,$G349)&gt;0
   )),
  ),
  2
 ),
"")</f>
        <v/>
      </c>
      <c r="E349" s="3" t="str" cm="1">
        <f t="array" ref="E349">IFERROR(
 INDEX(
  _xlfn._xlws.FILTER($U$1:$AX$1,
   TRANSPOSE(
    CHOOSE({1;2;3;4;5;6;7;8;9;10;11;12;13;14;15;16;17;18;19;20;21;22;23;24;25;26;27;28;29;30},
     COUNTIFS($U$2:$U$200,$G349)&gt;0,
     COUNTIFS($V$2:$V$200,$G349)&gt;0,
     COUNTIFS($W$2:$W$200,$G349)&gt;0,
     COUNTIFS($X$2:$X$200,$G349)&gt;0,
     COUNTIFS($Y$2:$Y$200,$G349)&gt;0,
     COUNTIFS($Z$2:$Z$200,$G349)&gt;0,
     COUNTIFS($AA$2:$AA$200,$G349)&gt;0,
     COUNTIFS($AB$2:$AB$200,$G349)&gt;0,
     COUNTIFS($AC$2:$AC$200,$G349)&gt;0,
     COUNTIFS($AD$2:$AD$200,$G349)&gt;0,
     COUNTIFS($AE$2:$AE$200,$G349)&gt;0,
     COUNTIFS($AF$2:$AF$200,$G349)&gt;0,
     COUNTIFS($AG$2:$AG$200,$G349)&gt;0,
     COUNTIFS($AH$2:$AH$200,$G349)&gt;0,
     COUNTIFS($AI$2:$AI$200,$G349)&gt;0,
     COUNTIFS($AJ$2:$AJ$200,$G349)&gt;0,
     COUNTIFS($AK$2:$AK$200,$G349)&gt;0,
     COUNTIFS($AL$2:$AL$200,$G349)&gt;0,
     COUNTIFS($AM$2:$AM$200,$G349)&gt;0,
     COUNTIFS($AN$2:$AN$200,$G349)&gt;0,
     COUNTIFS($AO$2:$AO$200,$G349)&gt;0,
     COUNTIFS($AP$2:$AP$200,$G349)&gt;0,
     COUNTIFS($AQ$2:$AQ$200,$G349)&gt;0,
     COUNTIFS($AR$2:$AR$200,$G349)&gt;0,
     COUNTIFS($AS$2:$AS$200,$G349)&gt;0,
     COUNTIFS($AT$2:$AT$200,$G349)&gt;0,
     COUNTIFS($AU$2:$AU$200,$G349)&gt;0,
     COUNTIFS($AV$2:$AV$200,$G349)&gt;0,
     COUNTIFS($AW$2:$AW$200,$G349)&gt;0,
     COUNTIFS($AX$2:$AX$200,$G349)&gt;0
   )),
  ),
  3
 ),
"")</f>
        <v/>
      </c>
      <c r="F349" s="3" t="str" cm="1">
        <f t="array" ref="F349">IFERROR(
 INDEX(
  _xlfn._xlws.FILTER($U$1:$AX$1,
   TRANSPOSE(
    CHOOSE({1;2;3;4;5;6;7;8;9;10;11;12;13;14;15;16;17;18;19;20;21;22;23;24;25;26;27;28;29;30},
     COUNTIFS($U$2:$U$200,$G349)&gt;0,
     COUNTIFS($V$2:$V$200,$G349)&gt;0,
     COUNTIFS($W$2:$W$200,$G349)&gt;0,
     COUNTIFS($X$2:$X$200,$G349)&gt;0,
     COUNTIFS($Y$2:$Y$200,$G349)&gt;0,
     COUNTIFS($Z$2:$Z$200,$G349)&gt;0,
     COUNTIFS($AA$2:$AA$200,$G349)&gt;0,
     COUNTIFS($AB$2:$AB$200,$G349)&gt;0,
     COUNTIFS($AC$2:$AC$200,$G349)&gt;0,
     COUNTIFS($AD$2:$AD$200,$G349)&gt;0,
     COUNTIFS($AE$2:$AE$200,$G349)&gt;0,
     COUNTIFS($AF$2:$AF$200,$G349)&gt;0,
     COUNTIFS($AG$2:$AG$200,$G349)&gt;0,
     COUNTIFS($AH$2:$AH$200,$G349)&gt;0,
     COUNTIFS($AI$2:$AI$200,$G349)&gt;0,
     COUNTIFS($AJ$2:$AJ$200,$G349)&gt;0,
     COUNTIFS($AK$2:$AK$200,$G349)&gt;0,
     COUNTIFS($AL$2:$AL$200,$G349)&gt;0,
     COUNTIFS($AM$2:$AM$200,$G349)&gt;0,
     COUNTIFS($AN$2:$AN$200,$G349)&gt;0,
     COUNTIFS($AO$2:$AO$200,$G349)&gt;0,
     COUNTIFS($AP$2:$AP$200,$G349)&gt;0,
     COUNTIFS($AQ$2:$AQ$200,$G349)&gt;0,
     COUNTIFS($AR$2:$AR$200,$G349)&gt;0,
     COUNTIFS($AS$2:$AS$200,$G349)&gt;0,
     COUNTIFS($AT$2:$AT$200,$G349)&gt;0,
     COUNTIFS($AU$2:$AU$200,$G349)&gt;0,
     COUNTIFS($AV$2:$AV$200,$G349)&gt;0,
     COUNTIFS($AW$2:$AW$200,$G349)&gt;0,
     COUNTIFS($AX$2:$AX$200,$G349)&gt;0
   )),
  ),
  4
 ),
"")</f>
        <v/>
      </c>
    </row>
    <row r="350" spans="1:88" x14ac:dyDescent="0.25">
      <c r="A350" s="3" t="str">
        <f t="shared" si="12"/>
        <v/>
      </c>
      <c r="B350" s="3">
        <f t="shared" si="13"/>
        <v>0</v>
      </c>
      <c r="C350" s="3" t="str">
        <f>IFERROR(
 INDEX($U$1:$AX$1,
  MATCH(TRUE,
   CHOOSE({1;2;3;4;5;6;7;8;9;10;11;12;13;14;15;16;17;18;19;20;21;22;23;24;25;26;27;28;29;30;31;32},
    COUNTIFS($U$2:$U$200,$G350)&gt;0,
    COUNTIFS($V$2:$V$200,$G350)&gt;0,
    COUNTIFS($W$2:$W$200,$G350)&gt;0,
    COUNTIFS($X$2:$X$200,$G350)&gt;0,
    COUNTIFS($Y$2:$Y$200,$G350)&gt;0,
    COUNTIFS($Z$2:$Z$200,$G350)&gt;0,
    COUNTIFS($AA$2:$AA$200,$G350)&gt;0,
    COUNTIFS($AB$2:$AB$200,$G350)&gt;0,
    COUNTIFS($AC$2:$AC$200,$G350)&gt;0,
    COUNTIFS($AD$2:$AD$200,$G350)&gt;0,
    COUNTIFS($AE$2:$AE$200,$G350)&gt;0,
    COUNTIFS($AF$2:$AF$200,$G350)&gt;0,
    COUNTIFS($AG$2:$AG$200,$G350)&gt;0,
    COUNTIFS($AH$2:$AH$200,$G350)&gt;0,
    COUNTIFS($AI$2:$AI$200,$G350)&gt;0,
    COUNTIFS($AJ$2:$AJ$200,$G350)&gt;0,
    COUNTIFS($AK$2:$AK$200,$G350)&gt;0,
    COUNTIFS($AL$2:$AL$200,$G350)&gt;0,
    COUNTIFS($AM$2:$AM$200,$G350)&gt;0,
    COUNTIFS($AN$2:$AN$200,$G350)&gt;0,
    COUNTIFS($AO$2:$AO$200,$G350)&gt;0,
    COUNTIFS($AP$2:$AP$200,$G350)&gt;0,
    COUNTIFS($AQ$2:$AQ$200,$G350)&gt;0,
    COUNTIFS($AR$2:$AR$200,$G350)&gt;0,
    COUNTIFS($AS$2:$AS$200,$G350)&gt;0,
    COUNTIFS($AT$2:$AT$200,$G350)&gt;0,
    COUNTIFS($AU$2:$AU$200,$G350)&gt;0,
    COUNTIFS($AV$2:$AV$200,$G350)&gt;0,
    COUNTIFS($AW$2:$AW$200,$G350)&gt;0,
    COUNTIFS($AX$2:$AX$200,$G350)&gt;0
   ),
  0)
 ),
"")</f>
        <v/>
      </c>
      <c r="D350" s="3" t="str" cm="1">
        <f t="array" ref="D350">IFERROR(
 INDEX(
  _xlfn._xlws.FILTER($U$1:$AV$1,
   TRANSPOSE(
    CHOOSE({1;2;3;4;5;6;7;8;9;10;11;12;13;14;15;16;17;18;19;20;21;22;23;24;25;26;27;28},
     COUNTIFS($U$2:$U$200,$G350)&gt;0,
     COUNTIFS($V$2:$V$200,$G350)&gt;0,
     COUNTIFS($W$2:$W$200,$G350)&gt;0,
     COUNTIFS($X$2:$X$200,$G350)&gt;0,
     COUNTIFS($Y$2:$Y$200,$G350)&gt;0,
     COUNTIFS($Z$2:$Z$200,$G350)&gt;0,
     COUNTIFS($AA$2:$AA$200,$G350)&gt;0,
     COUNTIFS($AB$2:$AB$200,$G350)&gt;0,
     COUNTIFS($AC$2:$AC$200,$G350)&gt;0,
     COUNTIFS($AD$2:$AD$200,$G350)&gt;0,
     COUNTIFS($AE$2:$AE$200,$G350)&gt;0,
     COUNTIFS($AF$2:$AF$200,$G350)&gt;0,
     COUNTIFS($AG$2:$AG$200,$G350)&gt;0,
     COUNTIFS($AH$2:$AH$200,$G350)&gt;0,
     COUNTIFS($AI$2:$AI$200,$G350)&gt;0,
     COUNTIFS($AJ$2:$AJ$200,$G350)&gt;0,
     COUNTIFS($AK$2:$AK$200,$G350)&gt;0,
     COUNTIFS($AL$2:$AL$200,$G350)&gt;0,
     COUNTIFS($AM$2:$AM$200,$G350)&gt;0,
     COUNTIFS($AN$2:$AN$200,$G350)&gt;0,
     COUNTIFS($AO$2:$AO$200,$G350)&gt;0,
     COUNTIFS($AP$2:$AP$200,$G350)&gt;0,
     COUNTIFS($AQ$2:$AQ$200,$G350)&gt;0,
     COUNTIFS($AR$2:$AR$200,$G350)&gt;0,
     COUNTIFS($AS$2:$AS$200,$G350)&gt;0,
     COUNTIFS($AT$2:$AT$200,$G350)&gt;0,
     COUNTIFS($AU$2:$AU$200,$G350)&gt;0,
     COUNTIFS($AV$2:$AV$200,$G350)&gt;0
   )),
  ),
  2
 ),
"")</f>
        <v/>
      </c>
      <c r="E350" s="3" t="str" cm="1">
        <f t="array" ref="E350">IFERROR(
 INDEX($U$1:$AV$1,
  _xlfn.AGGREGATE(15,6,
   (COLUMN($U$1:$AV$1)-COLUMN($U$1)+1)/
   TRANSPOSE(
    CHOOSE({1;2;3;4;5;6;7;8;9;10;11;12;13;14;15;16;17;18;19;20;21;22;23;24;25;26;27;28},
     COUNTIFS($U$2:$U$200,$G350)&gt;0,
     COUNTIFS($V$2:$V$200,$G350)&gt;0,
     COUNTIFS($W$2:$W$200,$G350)&gt;0,
     COUNTIFS($X$2:$X$200,$G350)&gt;0,
     COUNTIFS($Y$2:$Y$200,$G350)&gt;0,
     COUNTIFS($Z$2:$Z$200,$G350)&gt;0,
     COUNTIFS($AA$2:$AA$200,$G350)&gt;0,
     COUNTIFS($AB$2:$AB$200,$G350)&gt;0,
     COUNTIFS($AC$2:$AC$200,$G350)&gt;0,
     COUNTIFS($AD$2:$AD$200,$G350)&gt;0,
     COUNTIFS($AE$2:$AE$200,$G350)&gt;0,
     COUNTIFS($AF$2:$AF$200,$G350)&gt;0,
     COUNTIFS($AG$2:$AG$200,$G350)&gt;0,
     COUNTIFS($AH$2:$AH$200,$G350)&gt;0,
     COUNTIFS($AI$2:$AI$200,$G350)&gt;0,
     COUNTIFS($AJ$2:$AJ$200,$G350)&gt;0,
     COUNTIFS($AK$2:$AK$200,$G350)&gt;0,
     COUNTIFS($AL$2:$AL$200,$G350)&gt;0,
     COUNTIFS($AM$2:$AM$200,$G350)&gt;0,
     COUNTIFS($AN$2:$AN$200,$G350)&gt;0,
     COUNTIFS($AO$2:$AO$200,$G350)&gt;0,
     COUNTIFS($AP$2:$AP$200,$G350)&gt;0,
     COUNTIFS($AQ$2:$AQ$200,$G350)&gt;0,
     COUNTIFS($AR$2:$AR$200,$G350)&gt;0,
     COUNTIFS($AS$2:$AS$200,$G350)&gt;0,
     COUNTIFS($AT$2:$AT$200,$G350)&gt;0,
     COUNTIFS($AU$2:$AU$200,$G350)&gt;0,
     COUNTIFS($AV$2:$AV$200,$G350)&gt;0
   )),
  3)
 ),
"")</f>
        <v/>
      </c>
      <c r="F350" s="3" t="str" cm="1">
        <f t="array" ref="F350">IFERROR(
 INDEX($U$1:$AV$1,
  _xlfn.AGGREGATE(15,6,
   (COLUMN($U$1:$AV$1)-COLUMN($U$1)+1)/
   TRANSPOSE(
    CHOOSE({1;2;3;4;5;6;7;8;9;10;11;12;13;14;15;16;17;18;19;20;21;22;23;24;25;26;27;28},
     COUNTIFS($U$2:$U$200,$G350)&gt;0,
     COUNTIFS($V$2:$V$200,$G350)&gt;0,
     COUNTIFS($W$2:$W$200,$G350)&gt;0,
     COUNTIFS($X$2:$X$200,$G350)&gt;0,
     COUNTIFS($Y$2:$Y$200,$G350)&gt;0,
     COUNTIFS($Z$2:$Z$200,$G350)&gt;0,
     COUNTIFS($AA$2:$AA$200,$G350)&gt;0,
     COUNTIFS($AB$2:$AB$200,$G350)&gt;0,
     COUNTIFS($AC$2:$AC$200,$G350)&gt;0,
     COUNTIFS($AD$2:$AD$200,$G350)&gt;0,
     COUNTIFS($AE$2:$AE$200,$G350)&gt;0,
     COUNTIFS($AF$2:$AF$200,$G350)&gt;0,
     COUNTIFS($AG$2:$AG$200,$G350)&gt;0,
     COUNTIFS($AH$2:$AH$200,$G350)&gt;0,
     COUNTIFS($AI$2:$AI$200,$G350)&gt;0,
     COUNTIFS($AJ$2:$AJ$200,$G350)&gt;0,
     COUNTIFS($AK$2:$AK$200,$G350)&gt;0,
     COUNTIFS($AL$2:$AL$200,$G350)&gt;0,
     COUNTIFS($AM$2:$AM$200,$G350)&gt;0,
     COUNTIFS($AN$2:$AN$200,$G350)&gt;0,
     COUNTIFS($AO$2:$AO$200,$G350)&gt;0,
     COUNTIFS($AP$2:$AP$200,$G350)&gt;0,
     COUNTIFS($AQ$2:$AQ$200,$G350)&gt;0,
     COUNTIFS($AR$2:$AR$200,$G350)&gt;0,
     COUNTIFS($AS$2:$AS$200,$G350)&gt;0,
     COUNTIFS($AT$2:$AT$200,$G350)&gt;0,
     COUNTIFS($AU$2:$AU$200,$G350)&gt;0,
     COUNTIFS($AV$2:$AV$200,$G350)&gt;0
   )),
  4)
 ),
"")</f>
        <v/>
      </c>
    </row>
    <row r="351" spans="1:88" x14ac:dyDescent="0.25">
      <c r="A351" s="3" t="str">
        <f t="shared" si="12"/>
        <v/>
      </c>
      <c r="B351" s="3">
        <f t="shared" si="13"/>
        <v>0</v>
      </c>
      <c r="C351" s="3" t="str">
        <f>IFERROR(
 INDEX($U$1:$AX$1,
  MATCH(TRUE,
   CHOOSE({1;2;3;4;5;6;7;8;9;10;11;12;13;14;15;16;17;18;19;20;21;22;23;24;25;26;27;28;29;30;31;32},
    COUNTIFS($U$2:$U$200,$G351)&gt;0,
    COUNTIFS($V$2:$V$200,$G351)&gt;0,
    COUNTIFS($W$2:$W$200,$G351)&gt;0,
    COUNTIFS($X$2:$X$200,$G351)&gt;0,
    COUNTIFS($Y$2:$Y$200,$G351)&gt;0,
    COUNTIFS($Z$2:$Z$200,$G351)&gt;0,
    COUNTIFS($AA$2:$AA$200,$G351)&gt;0,
    COUNTIFS($AB$2:$AB$200,$G351)&gt;0,
    COUNTIFS($AC$2:$AC$200,$G351)&gt;0,
    COUNTIFS($AD$2:$AD$200,$G351)&gt;0,
    COUNTIFS($AE$2:$AE$200,$G351)&gt;0,
    COUNTIFS($AF$2:$AF$200,$G351)&gt;0,
    COUNTIFS($AG$2:$AG$200,$G351)&gt;0,
    COUNTIFS($AH$2:$AH$200,$G351)&gt;0,
    COUNTIFS($AI$2:$AI$200,$G351)&gt;0,
    COUNTIFS($AJ$2:$AJ$200,$G351)&gt;0,
    COUNTIFS($AK$2:$AK$200,$G351)&gt;0,
    COUNTIFS($AL$2:$AL$200,$G351)&gt;0,
    COUNTIFS($AM$2:$AM$200,$G351)&gt;0,
    COUNTIFS($AN$2:$AN$200,$G351)&gt;0,
    COUNTIFS($AO$2:$AO$200,$G351)&gt;0,
    COUNTIFS($AP$2:$AP$200,$G351)&gt;0,
    COUNTIFS($AQ$2:$AQ$200,$G351)&gt;0,
    COUNTIFS($AR$2:$AR$200,$G351)&gt;0,
    COUNTIFS($AS$2:$AS$200,$G351)&gt;0,
    COUNTIFS($AT$2:$AT$200,$G351)&gt;0,
    COUNTIFS($AU$2:$AU$200,$G351)&gt;0,
    COUNTIFS($AV$2:$AV$200,$G351)&gt;0,
    COUNTIFS($AW$2:$AW$200,$G351)&gt;0,
    COUNTIFS($AX$2:$AX$200,$G351)&gt;0
   ),
  0)
 ),
"")</f>
        <v/>
      </c>
      <c r="D351" s="3" t="str" cm="1">
        <f t="array" ref="D351">IFERROR(
 INDEX(
  _xlfn._xlws.FILTER($U$1:$AV$1,
   TRANSPOSE(
    CHOOSE({1;2;3;4;5;6;7;8;9;10;11;12;13;14;15;16;17;18;19;20;21;22;23;24;25;26;27;28},
     COUNTIFS($U$2:$U$200,$G351)&gt;0,
     COUNTIFS($V$2:$V$200,$G351)&gt;0,
     COUNTIFS($W$2:$W$200,$G351)&gt;0,
     COUNTIFS($X$2:$X$200,$G351)&gt;0,
     COUNTIFS($Y$2:$Y$200,$G351)&gt;0,
     COUNTIFS($Z$2:$Z$200,$G351)&gt;0,
     COUNTIFS($AA$2:$AA$200,$G351)&gt;0,
     COUNTIFS($AB$2:$AB$200,$G351)&gt;0,
     COUNTIFS($AC$2:$AC$200,$G351)&gt;0,
     COUNTIFS($AD$2:$AD$200,$G351)&gt;0,
     COUNTIFS($AE$2:$AE$200,$G351)&gt;0,
     COUNTIFS($AF$2:$AF$200,$G351)&gt;0,
     COUNTIFS($AG$2:$AG$200,$G351)&gt;0,
     COUNTIFS($AH$2:$AH$200,$G351)&gt;0,
     COUNTIFS($AI$2:$AI$200,$G351)&gt;0,
     COUNTIFS($AJ$2:$AJ$200,$G351)&gt;0,
     COUNTIFS($AK$2:$AK$200,$G351)&gt;0,
     COUNTIFS($AL$2:$AL$200,$G351)&gt;0,
     COUNTIFS($AM$2:$AM$200,$G351)&gt;0,
     COUNTIFS($AN$2:$AN$200,$G351)&gt;0,
     COUNTIFS($AO$2:$AO$200,$G351)&gt;0,
     COUNTIFS($AP$2:$AP$200,$G351)&gt;0,
     COUNTIFS($AQ$2:$AQ$200,$G351)&gt;0,
     COUNTIFS($AR$2:$AR$200,$G351)&gt;0,
     COUNTIFS($AS$2:$AS$200,$G351)&gt;0,
     COUNTIFS($AT$2:$AT$200,$G351)&gt;0,
     COUNTIFS($AU$2:$AU$200,$G351)&gt;0,
     COUNTIFS($AV$2:$AV$200,$G351)&gt;0
   )),
  ),
  2
 ),
"")</f>
        <v/>
      </c>
      <c r="E351" s="3" t="str" cm="1">
        <f t="array" ref="E351">IFERROR(
 INDEX($U$1:$AV$1,
  _xlfn.AGGREGATE(15,6,
   (COLUMN($U$1:$AV$1)-COLUMN($U$1)+1)/
   TRANSPOSE(
    CHOOSE({1;2;3;4;5;6;7;8;9;10;11;12;13;14;15;16;17;18;19;20;21;22;23;24;25;26;27;28},
     COUNTIFS($U$2:$U$200,$G351)&gt;0,
     COUNTIFS($V$2:$V$200,$G351)&gt;0,
     COUNTIFS($W$2:$W$200,$G351)&gt;0,
     COUNTIFS($X$2:$X$200,$G351)&gt;0,
     COUNTIFS($Y$2:$Y$200,$G351)&gt;0,
     COUNTIFS($Z$2:$Z$200,$G351)&gt;0,
     COUNTIFS($AA$2:$AA$200,$G351)&gt;0,
     COUNTIFS($AB$2:$AB$200,$G351)&gt;0,
     COUNTIFS($AC$2:$AC$200,$G351)&gt;0,
     COUNTIFS($AD$2:$AD$200,$G351)&gt;0,
     COUNTIFS($AE$2:$AE$200,$G351)&gt;0,
     COUNTIFS($AF$2:$AF$200,$G351)&gt;0,
     COUNTIFS($AG$2:$AG$200,$G351)&gt;0,
     COUNTIFS($AH$2:$AH$200,$G351)&gt;0,
     COUNTIFS($AI$2:$AI$200,$G351)&gt;0,
     COUNTIFS($AJ$2:$AJ$200,$G351)&gt;0,
     COUNTIFS($AK$2:$AK$200,$G351)&gt;0,
     COUNTIFS($AL$2:$AL$200,$G351)&gt;0,
     COUNTIFS($AM$2:$AM$200,$G351)&gt;0,
     COUNTIFS($AN$2:$AN$200,$G351)&gt;0,
     COUNTIFS($AO$2:$AO$200,$G351)&gt;0,
     COUNTIFS($AP$2:$AP$200,$G351)&gt;0,
     COUNTIFS($AQ$2:$AQ$200,$G351)&gt;0,
     COUNTIFS($AR$2:$AR$200,$G351)&gt;0,
     COUNTIFS($AS$2:$AS$200,$G351)&gt;0,
     COUNTIFS($AT$2:$AT$200,$G351)&gt;0,
     COUNTIFS($AU$2:$AU$200,$G351)&gt;0,
     COUNTIFS($AV$2:$AV$200,$G351)&gt;0
   )),
  3)
 ),
"")</f>
        <v/>
      </c>
      <c r="F351" s="3" t="str" cm="1">
        <f t="array" ref="F351">IFERROR(
 INDEX($U$1:$AV$1,
  _xlfn.AGGREGATE(15,6,
   (COLUMN($U$1:$AV$1)-COLUMN($U$1)+1)/
   TRANSPOSE(
    CHOOSE({1;2;3;4;5;6;7;8;9;10;11;12;13;14;15;16;17;18;19;20;21;22;23;24;25;26;27;28},
     COUNTIFS($U$2:$U$200,$G351)&gt;0,
     COUNTIFS($V$2:$V$200,$G351)&gt;0,
     COUNTIFS($W$2:$W$200,$G351)&gt;0,
     COUNTIFS($X$2:$X$200,$G351)&gt;0,
     COUNTIFS($Y$2:$Y$200,$G351)&gt;0,
     COUNTIFS($Z$2:$Z$200,$G351)&gt;0,
     COUNTIFS($AA$2:$AA$200,$G351)&gt;0,
     COUNTIFS($AB$2:$AB$200,$G351)&gt;0,
     COUNTIFS($AC$2:$AC$200,$G351)&gt;0,
     COUNTIFS($AD$2:$AD$200,$G351)&gt;0,
     COUNTIFS($AE$2:$AE$200,$G351)&gt;0,
     COUNTIFS($AF$2:$AF$200,$G351)&gt;0,
     COUNTIFS($AG$2:$AG$200,$G351)&gt;0,
     COUNTIFS($AH$2:$AH$200,$G351)&gt;0,
     COUNTIFS($AI$2:$AI$200,$G351)&gt;0,
     COUNTIFS($AJ$2:$AJ$200,$G351)&gt;0,
     COUNTIFS($AK$2:$AK$200,$G351)&gt;0,
     COUNTIFS($AL$2:$AL$200,$G351)&gt;0,
     COUNTIFS($AM$2:$AM$200,$G351)&gt;0,
     COUNTIFS($AN$2:$AN$200,$G351)&gt;0,
     COUNTIFS($AO$2:$AO$200,$G351)&gt;0,
     COUNTIFS($AP$2:$AP$200,$G351)&gt;0,
     COUNTIFS($AQ$2:$AQ$200,$G351)&gt;0,
     COUNTIFS($AR$2:$AR$200,$G351)&gt;0,
     COUNTIFS($AS$2:$AS$200,$G351)&gt;0,
     COUNTIFS($AT$2:$AT$200,$G351)&gt;0,
     COUNTIFS($AU$2:$AU$200,$G351)&gt;0,
     COUNTIFS($AV$2:$AV$200,$G351)&gt;0
   )),
  4)
 ),
"")</f>
        <v/>
      </c>
    </row>
    <row r="352" spans="1:88" x14ac:dyDescent="0.25">
      <c r="A352" s="3" t="str">
        <f t="shared" si="12"/>
        <v/>
      </c>
      <c r="B352" s="3">
        <f t="shared" si="13"/>
        <v>0</v>
      </c>
      <c r="C352" s="3" t="str">
        <f>IFERROR(
 INDEX($U$1:$AX$1,
  MATCH(TRUE,
   CHOOSE({1;2;3;4;5;6;7;8;9;10;11;12;13;14;15;16;17;18;19;20;21;22;23;24;25;26;27;28;29;30;31;32},
    COUNTIFS($U$2:$U$200,$G352)&gt;0,
    COUNTIFS($V$2:$V$200,$G352)&gt;0,
    COUNTIFS($W$2:$W$200,$G352)&gt;0,
    COUNTIFS($X$2:$X$200,$G352)&gt;0,
    COUNTIFS($Y$2:$Y$200,$G352)&gt;0,
    COUNTIFS($Z$2:$Z$200,$G352)&gt;0,
    COUNTIFS($AA$2:$AA$200,$G352)&gt;0,
    COUNTIFS($AB$2:$AB$200,$G352)&gt;0,
    COUNTIFS($AC$2:$AC$200,$G352)&gt;0,
    COUNTIFS($AD$2:$AD$200,$G352)&gt;0,
    COUNTIFS($AE$2:$AE$200,$G352)&gt;0,
    COUNTIFS($AF$2:$AF$200,$G352)&gt;0,
    COUNTIFS($AG$2:$AG$200,$G352)&gt;0,
    COUNTIFS($AH$2:$AH$200,$G352)&gt;0,
    COUNTIFS($AI$2:$AI$200,$G352)&gt;0,
    COUNTIFS($AJ$2:$AJ$200,$G352)&gt;0,
    COUNTIFS($AK$2:$AK$200,$G352)&gt;0,
    COUNTIFS($AL$2:$AL$200,$G352)&gt;0,
    COUNTIFS($AM$2:$AM$200,$G352)&gt;0,
    COUNTIFS($AN$2:$AN$200,$G352)&gt;0,
    COUNTIFS($AO$2:$AO$200,$G352)&gt;0,
    COUNTIFS($AP$2:$AP$200,$G352)&gt;0,
    COUNTIFS($AQ$2:$AQ$200,$G352)&gt;0,
    COUNTIFS($AR$2:$AR$200,$G352)&gt;0,
    COUNTIFS($AS$2:$AS$200,$G352)&gt;0,
    COUNTIFS($AT$2:$AT$200,$G352)&gt;0,
    COUNTIFS($AU$2:$AU$200,$G352)&gt;0,
    COUNTIFS($AV$2:$AV$200,$G352)&gt;0,
    COUNTIFS($AW$2:$AW$200,$G352)&gt;0,
    COUNTIFS($AX$2:$AX$200,$G352)&gt;0
   ),
  0)
 ),
"")</f>
        <v/>
      </c>
      <c r="D352" s="3" t="str" cm="1">
        <f t="array" ref="D352">IFERROR(
 INDEX(
  _xlfn._xlws.FILTER($U$1:$AV$1,
   TRANSPOSE(
    CHOOSE({1;2;3;4;5;6;7;8;9;10;11;12;13;14;15;16;17;18;19;20;21;22;23;24;25;26;27;28},
     COUNTIFS($U$2:$U$200,$G352)&gt;0,
     COUNTIFS($V$2:$V$200,$G352)&gt;0,
     COUNTIFS($W$2:$W$200,$G352)&gt;0,
     COUNTIFS($X$2:$X$200,$G352)&gt;0,
     COUNTIFS($Y$2:$Y$200,$G352)&gt;0,
     COUNTIFS($Z$2:$Z$200,$G352)&gt;0,
     COUNTIFS($AA$2:$AA$200,$G352)&gt;0,
     COUNTIFS($AB$2:$AB$200,$G352)&gt;0,
     COUNTIFS($AC$2:$AC$200,$G352)&gt;0,
     COUNTIFS($AD$2:$AD$200,$G352)&gt;0,
     COUNTIFS($AE$2:$AE$200,$G352)&gt;0,
     COUNTIFS($AF$2:$AF$200,$G352)&gt;0,
     COUNTIFS($AG$2:$AG$200,$G352)&gt;0,
     COUNTIFS($AH$2:$AH$200,$G352)&gt;0,
     COUNTIFS($AI$2:$AI$200,$G352)&gt;0,
     COUNTIFS($AJ$2:$AJ$200,$G352)&gt;0,
     COUNTIFS($AK$2:$AK$200,$G352)&gt;0,
     COUNTIFS($AL$2:$AL$200,$G352)&gt;0,
     COUNTIFS($AM$2:$AM$200,$G352)&gt;0,
     COUNTIFS($AN$2:$AN$200,$G352)&gt;0,
     COUNTIFS($AO$2:$AO$200,$G352)&gt;0,
     COUNTIFS($AP$2:$AP$200,$G352)&gt;0,
     COUNTIFS($AQ$2:$AQ$200,$G352)&gt;0,
     COUNTIFS($AR$2:$AR$200,$G352)&gt;0,
     COUNTIFS($AS$2:$AS$200,$G352)&gt;0,
     COUNTIFS($AT$2:$AT$200,$G352)&gt;0,
     COUNTIFS($AU$2:$AU$200,$G352)&gt;0,
     COUNTIFS($AV$2:$AV$200,$G352)&gt;0
   )),
  ),
  2
 ),
"")</f>
        <v/>
      </c>
      <c r="E352" s="3" t="str" cm="1">
        <f t="array" ref="E352">IFERROR(
 INDEX($U$1:$AV$1,
  _xlfn.AGGREGATE(15,6,
   (COLUMN($U$1:$AV$1)-COLUMN($U$1)+1)/
   TRANSPOSE(
    CHOOSE({1;2;3;4;5;6;7;8;9;10;11;12;13;14;15;16;17;18;19;20;21;22;23;24;25;26;27;28},
     COUNTIFS($U$2:$U$200,$G352)&gt;0,
     COUNTIFS($V$2:$V$200,$G352)&gt;0,
     COUNTIFS($W$2:$W$200,$G352)&gt;0,
     COUNTIFS($X$2:$X$200,$G352)&gt;0,
     COUNTIFS($Y$2:$Y$200,$G352)&gt;0,
     COUNTIFS($Z$2:$Z$200,$G352)&gt;0,
     COUNTIFS($AA$2:$AA$200,$G352)&gt;0,
     COUNTIFS($AB$2:$AB$200,$G352)&gt;0,
     COUNTIFS($AC$2:$AC$200,$G352)&gt;0,
     COUNTIFS($AD$2:$AD$200,$G352)&gt;0,
     COUNTIFS($AE$2:$AE$200,$G352)&gt;0,
     COUNTIFS($AF$2:$AF$200,$G352)&gt;0,
     COUNTIFS($AG$2:$AG$200,$G352)&gt;0,
     COUNTIFS($AH$2:$AH$200,$G352)&gt;0,
     COUNTIFS($AI$2:$AI$200,$G352)&gt;0,
     COUNTIFS($AJ$2:$AJ$200,$G352)&gt;0,
     COUNTIFS($AK$2:$AK$200,$G352)&gt;0,
     COUNTIFS($AL$2:$AL$200,$G352)&gt;0,
     COUNTIFS($AM$2:$AM$200,$G352)&gt;0,
     COUNTIFS($AN$2:$AN$200,$G352)&gt;0,
     COUNTIFS($AO$2:$AO$200,$G352)&gt;0,
     COUNTIFS($AP$2:$AP$200,$G352)&gt;0,
     COUNTIFS($AQ$2:$AQ$200,$G352)&gt;0,
     COUNTIFS($AR$2:$AR$200,$G352)&gt;0,
     COUNTIFS($AS$2:$AS$200,$G352)&gt;0,
     COUNTIFS($AT$2:$AT$200,$G352)&gt;0,
     COUNTIFS($AU$2:$AU$200,$G352)&gt;0,
     COUNTIFS($AV$2:$AV$200,$G352)&gt;0
   )),
  3)
 ),
"")</f>
        <v/>
      </c>
      <c r="F352" s="3" t="str" cm="1">
        <f t="array" ref="F352">IFERROR(
 INDEX($U$1:$AV$1,
  _xlfn.AGGREGATE(15,6,
   (COLUMN($U$1:$AV$1)-COLUMN($U$1)+1)/
   TRANSPOSE(
    CHOOSE({1;2;3;4;5;6;7;8;9;10;11;12;13;14;15;16;17;18;19;20;21;22;23;24;25;26;27;28},
     COUNTIFS($U$2:$U$200,$G352)&gt;0,
     COUNTIFS($V$2:$V$200,$G352)&gt;0,
     COUNTIFS($W$2:$W$200,$G352)&gt;0,
     COUNTIFS($X$2:$X$200,$G352)&gt;0,
     COUNTIFS($Y$2:$Y$200,$G352)&gt;0,
     COUNTIFS($Z$2:$Z$200,$G352)&gt;0,
     COUNTIFS($AA$2:$AA$200,$G352)&gt;0,
     COUNTIFS($AB$2:$AB$200,$G352)&gt;0,
     COUNTIFS($AC$2:$AC$200,$G352)&gt;0,
     COUNTIFS($AD$2:$AD$200,$G352)&gt;0,
     COUNTIFS($AE$2:$AE$200,$G352)&gt;0,
     COUNTIFS($AF$2:$AF$200,$G352)&gt;0,
     COUNTIFS($AG$2:$AG$200,$G352)&gt;0,
     COUNTIFS($AH$2:$AH$200,$G352)&gt;0,
     COUNTIFS($AI$2:$AI$200,$G352)&gt;0,
     COUNTIFS($AJ$2:$AJ$200,$G352)&gt;0,
     COUNTIFS($AK$2:$AK$200,$G352)&gt;0,
     COUNTIFS($AL$2:$AL$200,$G352)&gt;0,
     COUNTIFS($AM$2:$AM$200,$G352)&gt;0,
     COUNTIFS($AN$2:$AN$200,$G352)&gt;0,
     COUNTIFS($AO$2:$AO$200,$G352)&gt;0,
     COUNTIFS($AP$2:$AP$200,$G352)&gt;0,
     COUNTIFS($AQ$2:$AQ$200,$G352)&gt;0,
     COUNTIFS($AR$2:$AR$200,$G352)&gt;0,
     COUNTIFS($AS$2:$AS$200,$G352)&gt;0,
     COUNTIFS($AT$2:$AT$200,$G352)&gt;0,
     COUNTIFS($AU$2:$AU$200,$G352)&gt;0,
     COUNTIFS($AV$2:$AV$200,$G352)&gt;0
   )),
  4)
 ),
"")</f>
        <v/>
      </c>
    </row>
    <row r="353" spans="1:6" x14ac:dyDescent="0.25">
      <c r="A353" s="3" t="str">
        <f t="shared" si="12"/>
        <v/>
      </c>
      <c r="B353" s="3">
        <f t="shared" si="13"/>
        <v>0</v>
      </c>
      <c r="C353" s="3" t="str">
        <f>IFERROR(
 INDEX($U$1:$AX$1,
  MATCH(TRUE,
   CHOOSE({1;2;3;4;5;6;7;8;9;10;11;12;13;14;15;16;17;18;19;20;21;22;23;24;25;26;27;28;29;30;31;32},
    COUNTIFS($U$2:$U$200,$G353)&gt;0,
    COUNTIFS($V$2:$V$200,$G353)&gt;0,
    COUNTIFS($W$2:$W$200,$G353)&gt;0,
    COUNTIFS($X$2:$X$200,$G353)&gt;0,
    COUNTIFS($Y$2:$Y$200,$G353)&gt;0,
    COUNTIFS($Z$2:$Z$200,$G353)&gt;0,
    COUNTIFS($AA$2:$AA$200,$G353)&gt;0,
    COUNTIFS($AB$2:$AB$200,$G353)&gt;0,
    COUNTIFS($AC$2:$AC$200,$G353)&gt;0,
    COUNTIFS($AD$2:$AD$200,$G353)&gt;0,
    COUNTIFS($AE$2:$AE$200,$G353)&gt;0,
    COUNTIFS($AF$2:$AF$200,$G353)&gt;0,
    COUNTIFS($AG$2:$AG$200,$G353)&gt;0,
    COUNTIFS($AH$2:$AH$200,$G353)&gt;0,
    COUNTIFS($AI$2:$AI$200,$G353)&gt;0,
    COUNTIFS($AJ$2:$AJ$200,$G353)&gt;0,
    COUNTIFS($AK$2:$AK$200,$G353)&gt;0,
    COUNTIFS($AL$2:$AL$200,$G353)&gt;0,
    COUNTIFS($AM$2:$AM$200,$G353)&gt;0,
    COUNTIFS($AN$2:$AN$200,$G353)&gt;0,
    COUNTIFS($AO$2:$AO$200,$G353)&gt;0,
    COUNTIFS($AP$2:$AP$200,$G353)&gt;0,
    COUNTIFS($AQ$2:$AQ$200,$G353)&gt;0,
    COUNTIFS($AR$2:$AR$200,$G353)&gt;0,
    COUNTIFS($AS$2:$AS$200,$G353)&gt;0,
    COUNTIFS($AT$2:$AT$200,$G353)&gt;0,
    COUNTIFS($AU$2:$AU$200,$G353)&gt;0,
    COUNTIFS($AV$2:$AV$200,$G353)&gt;0,
    COUNTIFS($AW$2:$AW$200,$G353)&gt;0,
    COUNTIFS($AX$2:$AX$200,$G353)&gt;0
   ),
  0)
 ),
"")</f>
        <v/>
      </c>
      <c r="D353" s="3" t="str" cm="1">
        <f t="array" ref="D353">IFERROR(
 INDEX(
  _xlfn._xlws.FILTER($U$1:$AV$1,
   TRANSPOSE(
    CHOOSE({1;2;3;4;5;6;7;8;9;10;11;12;13;14;15;16;17;18;19;20;21;22;23;24;25;26;27;28},
     COUNTIFS($U$2:$U$200,$G353)&gt;0,
     COUNTIFS($V$2:$V$200,$G353)&gt;0,
     COUNTIFS($W$2:$W$200,$G353)&gt;0,
     COUNTIFS($X$2:$X$200,$G353)&gt;0,
     COUNTIFS($Y$2:$Y$200,$G353)&gt;0,
     COUNTIFS($Z$2:$Z$200,$G353)&gt;0,
     COUNTIFS($AA$2:$AA$200,$G353)&gt;0,
     COUNTIFS($AB$2:$AB$200,$G353)&gt;0,
     COUNTIFS($AC$2:$AC$200,$G353)&gt;0,
     COUNTIFS($AD$2:$AD$200,$G353)&gt;0,
     COUNTIFS($AE$2:$AE$200,$G353)&gt;0,
     COUNTIFS($AF$2:$AF$200,$G353)&gt;0,
     COUNTIFS($AG$2:$AG$200,$G353)&gt;0,
     COUNTIFS($AH$2:$AH$200,$G353)&gt;0,
     COUNTIFS($AI$2:$AI$200,$G353)&gt;0,
     COUNTIFS($AJ$2:$AJ$200,$G353)&gt;0,
     COUNTIFS($AK$2:$AK$200,$G353)&gt;0,
     COUNTIFS($AL$2:$AL$200,$G353)&gt;0,
     COUNTIFS($AM$2:$AM$200,$G353)&gt;0,
     COUNTIFS($AN$2:$AN$200,$G353)&gt;0,
     COUNTIFS($AO$2:$AO$200,$G353)&gt;0,
     COUNTIFS($AP$2:$AP$200,$G353)&gt;0,
     COUNTIFS($AQ$2:$AQ$200,$G353)&gt;0,
     COUNTIFS($AR$2:$AR$200,$G353)&gt;0,
     COUNTIFS($AS$2:$AS$200,$G353)&gt;0,
     COUNTIFS($AT$2:$AT$200,$G353)&gt;0,
     COUNTIFS($AU$2:$AU$200,$G353)&gt;0,
     COUNTIFS($AV$2:$AV$200,$G353)&gt;0
   )),
  ),
  2
 ),
"")</f>
        <v/>
      </c>
      <c r="E353" s="3" t="str" cm="1">
        <f t="array" ref="E353">IFERROR(
 INDEX($U$1:$AV$1,
  _xlfn.AGGREGATE(15,6,
   (COLUMN($U$1:$AV$1)-COLUMN($U$1)+1)/
   TRANSPOSE(
    CHOOSE({1;2;3;4;5;6;7;8;9;10;11;12;13;14;15;16;17;18;19;20;21;22;23;24;25;26;27;28},
     COUNTIFS($U$2:$U$200,$G353)&gt;0,
     COUNTIFS($V$2:$V$200,$G353)&gt;0,
     COUNTIFS($W$2:$W$200,$G353)&gt;0,
     COUNTIFS($X$2:$X$200,$G353)&gt;0,
     COUNTIFS($Y$2:$Y$200,$G353)&gt;0,
     COUNTIFS($Z$2:$Z$200,$G353)&gt;0,
     COUNTIFS($AA$2:$AA$200,$G353)&gt;0,
     COUNTIFS($AB$2:$AB$200,$G353)&gt;0,
     COUNTIFS($AC$2:$AC$200,$G353)&gt;0,
     COUNTIFS($AD$2:$AD$200,$G353)&gt;0,
     COUNTIFS($AE$2:$AE$200,$G353)&gt;0,
     COUNTIFS($AF$2:$AF$200,$G353)&gt;0,
     COUNTIFS($AG$2:$AG$200,$G353)&gt;0,
     COUNTIFS($AH$2:$AH$200,$G353)&gt;0,
     COUNTIFS($AI$2:$AI$200,$G353)&gt;0,
     COUNTIFS($AJ$2:$AJ$200,$G353)&gt;0,
     COUNTIFS($AK$2:$AK$200,$G353)&gt;0,
     COUNTIFS($AL$2:$AL$200,$G353)&gt;0,
     COUNTIFS($AM$2:$AM$200,$G353)&gt;0,
     COUNTIFS($AN$2:$AN$200,$G353)&gt;0,
     COUNTIFS($AO$2:$AO$200,$G353)&gt;0,
     COUNTIFS($AP$2:$AP$200,$G353)&gt;0,
     COUNTIFS($AQ$2:$AQ$200,$G353)&gt;0,
     COUNTIFS($AR$2:$AR$200,$G353)&gt;0,
     COUNTIFS($AS$2:$AS$200,$G353)&gt;0,
     COUNTIFS($AT$2:$AT$200,$G353)&gt;0,
     COUNTIFS($AU$2:$AU$200,$G353)&gt;0,
     COUNTIFS($AV$2:$AV$200,$G353)&gt;0
   )),
  3)
 ),
"")</f>
        <v/>
      </c>
      <c r="F353" s="3" t="str" cm="1">
        <f t="array" ref="F353">IFERROR(
 INDEX($U$1:$AV$1,
  _xlfn.AGGREGATE(15,6,
   (COLUMN($U$1:$AV$1)-COLUMN($U$1)+1)/
   TRANSPOSE(
    CHOOSE({1;2;3;4;5;6;7;8;9;10;11;12;13;14;15;16;17;18;19;20;21;22;23;24;25;26;27;28},
     COUNTIFS($U$2:$U$200,$G353)&gt;0,
     COUNTIFS($V$2:$V$200,$G353)&gt;0,
     COUNTIFS($W$2:$W$200,$G353)&gt;0,
     COUNTIFS($X$2:$X$200,$G353)&gt;0,
     COUNTIFS($Y$2:$Y$200,$G353)&gt;0,
     COUNTIFS($Z$2:$Z$200,$G353)&gt;0,
     COUNTIFS($AA$2:$AA$200,$G353)&gt;0,
     COUNTIFS($AB$2:$AB$200,$G353)&gt;0,
     COUNTIFS($AC$2:$AC$200,$G353)&gt;0,
     COUNTIFS($AD$2:$AD$200,$G353)&gt;0,
     COUNTIFS($AE$2:$AE$200,$G353)&gt;0,
     COUNTIFS($AF$2:$AF$200,$G353)&gt;0,
     COUNTIFS($AG$2:$AG$200,$G353)&gt;0,
     COUNTIFS($AH$2:$AH$200,$G353)&gt;0,
     COUNTIFS($AI$2:$AI$200,$G353)&gt;0,
     COUNTIFS($AJ$2:$AJ$200,$G353)&gt;0,
     COUNTIFS($AK$2:$AK$200,$G353)&gt;0,
     COUNTIFS($AL$2:$AL$200,$G353)&gt;0,
     COUNTIFS($AM$2:$AM$200,$G353)&gt;0,
     COUNTIFS($AN$2:$AN$200,$G353)&gt;0,
     COUNTIFS($AO$2:$AO$200,$G353)&gt;0,
     COUNTIFS($AP$2:$AP$200,$G353)&gt;0,
     COUNTIFS($AQ$2:$AQ$200,$G353)&gt;0,
     COUNTIFS($AR$2:$AR$200,$G353)&gt;0,
     COUNTIFS($AS$2:$AS$200,$G353)&gt;0,
     COUNTIFS($AT$2:$AT$200,$G353)&gt;0,
     COUNTIFS($AU$2:$AU$200,$G353)&gt;0,
     COUNTIFS($AV$2:$AV$200,$G353)&gt;0
   )),
  4)
 ),
"")</f>
        <v/>
      </c>
    </row>
    <row r="354" spans="1:6" x14ac:dyDescent="0.25">
      <c r="A354" s="3" t="str">
        <f t="shared" si="12"/>
        <v/>
      </c>
      <c r="B354" s="3">
        <f t="shared" si="13"/>
        <v>0</v>
      </c>
      <c r="C354" s="3" t="str">
        <f>IFERROR(
 INDEX($U$1:$AX$1,
  MATCH(TRUE,
   CHOOSE({1;2;3;4;5;6;7;8;9;10;11;12;13;14;15;16;17;18;19;20;21;22;23;24;25;26;27;28;29;30;31;32},
    COUNTIFS($U$2:$U$200,$G354)&gt;0,
    COUNTIFS($V$2:$V$200,$G354)&gt;0,
    COUNTIFS($W$2:$W$200,$G354)&gt;0,
    COUNTIFS($X$2:$X$200,$G354)&gt;0,
    COUNTIFS($Y$2:$Y$200,$G354)&gt;0,
    COUNTIFS($Z$2:$Z$200,$G354)&gt;0,
    COUNTIFS($AA$2:$AA$200,$G354)&gt;0,
    COUNTIFS($AB$2:$AB$200,$G354)&gt;0,
    COUNTIFS($AC$2:$AC$200,$G354)&gt;0,
    COUNTIFS($AD$2:$AD$200,$G354)&gt;0,
    COUNTIFS($AE$2:$AE$200,$G354)&gt;0,
    COUNTIFS($AF$2:$AF$200,$G354)&gt;0,
    COUNTIFS($AG$2:$AG$200,$G354)&gt;0,
    COUNTIFS($AH$2:$AH$200,$G354)&gt;0,
    COUNTIFS($AI$2:$AI$200,$G354)&gt;0,
    COUNTIFS($AJ$2:$AJ$200,$G354)&gt;0,
    COUNTIFS($AK$2:$AK$200,$G354)&gt;0,
    COUNTIFS($AL$2:$AL$200,$G354)&gt;0,
    COUNTIFS($AM$2:$AM$200,$G354)&gt;0,
    COUNTIFS($AN$2:$AN$200,$G354)&gt;0,
    COUNTIFS($AO$2:$AO$200,$G354)&gt;0,
    COUNTIFS($AP$2:$AP$200,$G354)&gt;0,
    COUNTIFS($AQ$2:$AQ$200,$G354)&gt;0,
    COUNTIFS($AR$2:$AR$200,$G354)&gt;0,
    COUNTIFS($AS$2:$AS$200,$G354)&gt;0,
    COUNTIFS($AT$2:$AT$200,$G354)&gt;0,
    COUNTIFS($AU$2:$AU$200,$G354)&gt;0,
    COUNTIFS($AV$2:$AV$200,$G354)&gt;0,
    COUNTIFS($AW$2:$AW$200,$G354)&gt;0,
    COUNTIFS($AX$2:$AX$200,$G354)&gt;0
   ),
  0)
 ),
"")</f>
        <v/>
      </c>
      <c r="D354" s="3" t="str" cm="1">
        <f t="array" ref="D354">IFERROR(
 INDEX(
  _xlfn._xlws.FILTER($U$1:$AV$1,
   TRANSPOSE(
    CHOOSE({1;2;3;4;5;6;7;8;9;10;11;12;13;14;15;16;17;18;19;20;21;22;23;24;25;26;27;28},
     COUNTIFS($U$2:$U$200,$G354)&gt;0,
     COUNTIFS($V$2:$V$200,$G354)&gt;0,
     COUNTIFS($W$2:$W$200,$G354)&gt;0,
     COUNTIFS($X$2:$X$200,$G354)&gt;0,
     COUNTIFS($Y$2:$Y$200,$G354)&gt;0,
     COUNTIFS($Z$2:$Z$200,$G354)&gt;0,
     COUNTIFS($AA$2:$AA$200,$G354)&gt;0,
     COUNTIFS($AB$2:$AB$200,$G354)&gt;0,
     COUNTIFS($AC$2:$AC$200,$G354)&gt;0,
     COUNTIFS($AD$2:$AD$200,$G354)&gt;0,
     COUNTIFS($AE$2:$AE$200,$G354)&gt;0,
     COUNTIFS($AF$2:$AF$200,$G354)&gt;0,
     COUNTIFS($AG$2:$AG$200,$G354)&gt;0,
     COUNTIFS($AH$2:$AH$200,$G354)&gt;0,
     COUNTIFS($AI$2:$AI$200,$G354)&gt;0,
     COUNTIFS($AJ$2:$AJ$200,$G354)&gt;0,
     COUNTIFS($AK$2:$AK$200,$G354)&gt;0,
     COUNTIFS($AL$2:$AL$200,$G354)&gt;0,
     COUNTIFS($AM$2:$AM$200,$G354)&gt;0,
     COUNTIFS($AN$2:$AN$200,$G354)&gt;0,
     COUNTIFS($AO$2:$AO$200,$G354)&gt;0,
     COUNTIFS($AP$2:$AP$200,$G354)&gt;0,
     COUNTIFS($AQ$2:$AQ$200,$G354)&gt;0,
     COUNTIFS($AR$2:$AR$200,$G354)&gt;0,
     COUNTIFS($AS$2:$AS$200,$G354)&gt;0,
     COUNTIFS($AT$2:$AT$200,$G354)&gt;0,
     COUNTIFS($AU$2:$AU$200,$G354)&gt;0,
     COUNTIFS($AV$2:$AV$200,$G354)&gt;0
   )),
  ),
  2
 ),
"")</f>
        <v/>
      </c>
      <c r="E354" s="3" t="str" cm="1">
        <f t="array" ref="E354">IFERROR(
 INDEX($U$1:$AV$1,
  _xlfn.AGGREGATE(15,6,
   (COLUMN($U$1:$AV$1)-COLUMN($U$1)+1)/
   TRANSPOSE(
    CHOOSE({1;2;3;4;5;6;7;8;9;10;11;12;13;14;15;16;17;18;19;20;21;22;23;24;25;26;27;28},
     COUNTIFS($U$2:$U$200,$G354)&gt;0,
     COUNTIFS($V$2:$V$200,$G354)&gt;0,
     COUNTIFS($W$2:$W$200,$G354)&gt;0,
     COUNTIFS($X$2:$X$200,$G354)&gt;0,
     COUNTIFS($Y$2:$Y$200,$G354)&gt;0,
     COUNTIFS($Z$2:$Z$200,$G354)&gt;0,
     COUNTIFS($AA$2:$AA$200,$G354)&gt;0,
     COUNTIFS($AB$2:$AB$200,$G354)&gt;0,
     COUNTIFS($AC$2:$AC$200,$G354)&gt;0,
     COUNTIFS($AD$2:$AD$200,$G354)&gt;0,
     COUNTIFS($AE$2:$AE$200,$G354)&gt;0,
     COUNTIFS($AF$2:$AF$200,$G354)&gt;0,
     COUNTIFS($AG$2:$AG$200,$G354)&gt;0,
     COUNTIFS($AH$2:$AH$200,$G354)&gt;0,
     COUNTIFS($AI$2:$AI$200,$G354)&gt;0,
     COUNTIFS($AJ$2:$AJ$200,$G354)&gt;0,
     COUNTIFS($AK$2:$AK$200,$G354)&gt;0,
     COUNTIFS($AL$2:$AL$200,$G354)&gt;0,
     COUNTIFS($AM$2:$AM$200,$G354)&gt;0,
     COUNTIFS($AN$2:$AN$200,$G354)&gt;0,
     COUNTIFS($AO$2:$AO$200,$G354)&gt;0,
     COUNTIFS($AP$2:$AP$200,$G354)&gt;0,
     COUNTIFS($AQ$2:$AQ$200,$G354)&gt;0,
     COUNTIFS($AR$2:$AR$200,$G354)&gt;0,
     COUNTIFS($AS$2:$AS$200,$G354)&gt;0,
     COUNTIFS($AT$2:$AT$200,$G354)&gt;0,
     COUNTIFS($AU$2:$AU$200,$G354)&gt;0,
     COUNTIFS($AV$2:$AV$200,$G354)&gt;0
   )),
  3)
 ),
"")</f>
        <v/>
      </c>
      <c r="F354" s="3" t="str" cm="1">
        <f t="array" ref="F354">IFERROR(
 INDEX($U$1:$AV$1,
  _xlfn.AGGREGATE(15,6,
   (COLUMN($U$1:$AV$1)-COLUMN($U$1)+1)/
   TRANSPOSE(
    CHOOSE({1;2;3;4;5;6;7;8;9;10;11;12;13;14;15;16;17;18;19;20;21;22;23;24;25;26;27;28},
     COUNTIFS($U$2:$U$200,$G354)&gt;0,
     COUNTIFS($V$2:$V$200,$G354)&gt;0,
     COUNTIFS($W$2:$W$200,$G354)&gt;0,
     COUNTIFS($X$2:$X$200,$G354)&gt;0,
     COUNTIFS($Y$2:$Y$200,$G354)&gt;0,
     COUNTIFS($Z$2:$Z$200,$G354)&gt;0,
     COUNTIFS($AA$2:$AA$200,$G354)&gt;0,
     COUNTIFS($AB$2:$AB$200,$G354)&gt;0,
     COUNTIFS($AC$2:$AC$200,$G354)&gt;0,
     COUNTIFS($AD$2:$AD$200,$G354)&gt;0,
     COUNTIFS($AE$2:$AE$200,$G354)&gt;0,
     COUNTIFS($AF$2:$AF$200,$G354)&gt;0,
     COUNTIFS($AG$2:$AG$200,$G354)&gt;0,
     COUNTIFS($AH$2:$AH$200,$G354)&gt;0,
     COUNTIFS($AI$2:$AI$200,$G354)&gt;0,
     COUNTIFS($AJ$2:$AJ$200,$G354)&gt;0,
     COUNTIFS($AK$2:$AK$200,$G354)&gt;0,
     COUNTIFS($AL$2:$AL$200,$G354)&gt;0,
     COUNTIFS($AM$2:$AM$200,$G354)&gt;0,
     COUNTIFS($AN$2:$AN$200,$G354)&gt;0,
     COUNTIFS($AO$2:$AO$200,$G354)&gt;0,
     COUNTIFS($AP$2:$AP$200,$G354)&gt;0,
     COUNTIFS($AQ$2:$AQ$200,$G354)&gt;0,
     COUNTIFS($AR$2:$AR$200,$G354)&gt;0,
     COUNTIFS($AS$2:$AS$200,$G354)&gt;0,
     COUNTIFS($AT$2:$AT$200,$G354)&gt;0,
     COUNTIFS($AU$2:$AU$200,$G354)&gt;0,
     COUNTIFS($AV$2:$AV$200,$G354)&gt;0
   )),
  4)
 ),
"")</f>
        <v/>
      </c>
    </row>
    <row r="355" spans="1:6" x14ac:dyDescent="0.25">
      <c r="A355" s="3" t="str">
        <f t="shared" si="12"/>
        <v/>
      </c>
      <c r="B355" s="3">
        <f t="shared" si="13"/>
        <v>0</v>
      </c>
      <c r="C355" s="3" t="str">
        <f>IFERROR(
 INDEX($U$1:$AX$1,
  MATCH(TRUE,
   CHOOSE({1;2;3;4;5;6;7;8;9;10;11;12;13;14;15;16;17;18;19;20;21;22;23;24;25;26;27;28;29;30;31;32},
    COUNTIFS($U$2:$U$200,$G355)&gt;0,
    COUNTIFS($V$2:$V$200,$G355)&gt;0,
    COUNTIFS($W$2:$W$200,$G355)&gt;0,
    COUNTIFS($X$2:$X$200,$G355)&gt;0,
    COUNTIFS($Y$2:$Y$200,$G355)&gt;0,
    COUNTIFS($Z$2:$Z$200,$G355)&gt;0,
    COUNTIFS($AA$2:$AA$200,$G355)&gt;0,
    COUNTIFS($AB$2:$AB$200,$G355)&gt;0,
    COUNTIFS($AC$2:$AC$200,$G355)&gt;0,
    COUNTIFS($AD$2:$AD$200,$G355)&gt;0,
    COUNTIFS($AE$2:$AE$200,$G355)&gt;0,
    COUNTIFS($AF$2:$AF$200,$G355)&gt;0,
    COUNTIFS($AG$2:$AG$200,$G355)&gt;0,
    COUNTIFS($AH$2:$AH$200,$G355)&gt;0,
    COUNTIFS($AI$2:$AI$200,$G355)&gt;0,
    COUNTIFS($AJ$2:$AJ$200,$G355)&gt;0,
    COUNTIFS($AK$2:$AK$200,$G355)&gt;0,
    COUNTIFS($AL$2:$AL$200,$G355)&gt;0,
    COUNTIFS($AM$2:$AM$200,$G355)&gt;0,
    COUNTIFS($AN$2:$AN$200,$G355)&gt;0,
    COUNTIFS($AO$2:$AO$200,$G355)&gt;0,
    COUNTIFS($AP$2:$AP$200,$G355)&gt;0,
    COUNTIFS($AQ$2:$AQ$200,$G355)&gt;0,
    COUNTIFS($AR$2:$AR$200,$G355)&gt;0,
    COUNTIFS($AS$2:$AS$200,$G355)&gt;0,
    COUNTIFS($AT$2:$AT$200,$G355)&gt;0,
    COUNTIFS($AU$2:$AU$200,$G355)&gt;0,
    COUNTIFS($AV$2:$AV$200,$G355)&gt;0,
    COUNTIFS($AW$2:$AW$200,$G355)&gt;0,
    COUNTIFS($AX$2:$AX$200,$G355)&gt;0
   ),
  0)
 ),
"")</f>
        <v/>
      </c>
      <c r="D355" s="3" t="str" cm="1">
        <f t="array" ref="D355">IFERROR(
 INDEX(
  _xlfn._xlws.FILTER($U$1:$AV$1,
   TRANSPOSE(
    CHOOSE({1;2;3;4;5;6;7;8;9;10;11;12;13;14;15;16;17;18;19;20;21;22;23;24;25;26;27;28},
     COUNTIFS($U$2:$U$200,$G355)&gt;0,
     COUNTIFS($V$2:$V$200,$G355)&gt;0,
     COUNTIFS($W$2:$W$200,$G355)&gt;0,
     COUNTIFS($X$2:$X$200,$G355)&gt;0,
     COUNTIFS($Y$2:$Y$200,$G355)&gt;0,
     COUNTIFS($Z$2:$Z$200,$G355)&gt;0,
     COUNTIFS($AA$2:$AA$200,$G355)&gt;0,
     COUNTIFS($AB$2:$AB$200,$G355)&gt;0,
     COUNTIFS($AC$2:$AC$200,$G355)&gt;0,
     COUNTIFS($AD$2:$AD$200,$G355)&gt;0,
     COUNTIFS($AE$2:$AE$200,$G355)&gt;0,
     COUNTIFS($AF$2:$AF$200,$G355)&gt;0,
     COUNTIFS($AG$2:$AG$200,$G355)&gt;0,
     COUNTIFS($AH$2:$AH$200,$G355)&gt;0,
     COUNTIFS($AI$2:$AI$200,$G355)&gt;0,
     COUNTIFS($AJ$2:$AJ$200,$G355)&gt;0,
     COUNTIFS($AK$2:$AK$200,$G355)&gt;0,
     COUNTIFS($AL$2:$AL$200,$G355)&gt;0,
     COUNTIFS($AM$2:$AM$200,$G355)&gt;0,
     COUNTIFS($AN$2:$AN$200,$G355)&gt;0,
     COUNTIFS($AO$2:$AO$200,$G355)&gt;0,
     COUNTIFS($AP$2:$AP$200,$G355)&gt;0,
     COUNTIFS($AQ$2:$AQ$200,$G355)&gt;0,
     COUNTIFS($AR$2:$AR$200,$G355)&gt;0,
     COUNTIFS($AS$2:$AS$200,$G355)&gt;0,
     COUNTIFS($AT$2:$AT$200,$G355)&gt;0,
     COUNTIFS($AU$2:$AU$200,$G355)&gt;0,
     COUNTIFS($AV$2:$AV$200,$G355)&gt;0
   )),
  ),
  2
 ),
"")</f>
        <v/>
      </c>
      <c r="E355" s="3" t="str" cm="1">
        <f t="array" ref="E355">IFERROR(
 INDEX($U$1:$AV$1,
  _xlfn.AGGREGATE(15,6,
   (COLUMN($U$1:$AV$1)-COLUMN($U$1)+1)/
   TRANSPOSE(
    CHOOSE({1;2;3;4;5;6;7;8;9;10;11;12;13;14;15;16;17;18;19;20;21;22;23;24;25;26;27;28},
     COUNTIFS($U$2:$U$200,$G355)&gt;0,
     COUNTIFS($V$2:$V$200,$G355)&gt;0,
     COUNTIFS($W$2:$W$200,$G355)&gt;0,
     COUNTIFS($X$2:$X$200,$G355)&gt;0,
     COUNTIFS($Y$2:$Y$200,$G355)&gt;0,
     COUNTIFS($Z$2:$Z$200,$G355)&gt;0,
     COUNTIFS($AA$2:$AA$200,$G355)&gt;0,
     COUNTIFS($AB$2:$AB$200,$G355)&gt;0,
     COUNTIFS($AC$2:$AC$200,$G355)&gt;0,
     COUNTIFS($AD$2:$AD$200,$G355)&gt;0,
     COUNTIFS($AE$2:$AE$200,$G355)&gt;0,
     COUNTIFS($AF$2:$AF$200,$G355)&gt;0,
     COUNTIFS($AG$2:$AG$200,$G355)&gt;0,
     COUNTIFS($AH$2:$AH$200,$G355)&gt;0,
     COUNTIFS($AI$2:$AI$200,$G355)&gt;0,
     COUNTIFS($AJ$2:$AJ$200,$G355)&gt;0,
     COUNTIFS($AK$2:$AK$200,$G355)&gt;0,
     COUNTIFS($AL$2:$AL$200,$G355)&gt;0,
     COUNTIFS($AM$2:$AM$200,$G355)&gt;0,
     COUNTIFS($AN$2:$AN$200,$G355)&gt;0,
     COUNTIFS($AO$2:$AO$200,$G355)&gt;0,
     COUNTIFS($AP$2:$AP$200,$G355)&gt;0,
     COUNTIFS($AQ$2:$AQ$200,$G355)&gt;0,
     COUNTIFS($AR$2:$AR$200,$G355)&gt;0,
     COUNTIFS($AS$2:$AS$200,$G355)&gt;0,
     COUNTIFS($AT$2:$AT$200,$G355)&gt;0,
     COUNTIFS($AU$2:$AU$200,$G355)&gt;0,
     COUNTIFS($AV$2:$AV$200,$G355)&gt;0
   )),
  3)
 ),
"")</f>
        <v/>
      </c>
      <c r="F355" s="3" t="str" cm="1">
        <f t="array" ref="F355">IFERROR(
 INDEX($U$1:$AV$1,
  _xlfn.AGGREGATE(15,6,
   (COLUMN($U$1:$AV$1)-COLUMN($U$1)+1)/
   TRANSPOSE(
    CHOOSE({1;2;3;4;5;6;7;8;9;10;11;12;13;14;15;16;17;18;19;20;21;22;23;24;25;26;27;28},
     COUNTIFS($U$2:$U$200,$G355)&gt;0,
     COUNTIFS($V$2:$V$200,$G355)&gt;0,
     COUNTIFS($W$2:$W$200,$G355)&gt;0,
     COUNTIFS($X$2:$X$200,$G355)&gt;0,
     COUNTIFS($Y$2:$Y$200,$G355)&gt;0,
     COUNTIFS($Z$2:$Z$200,$G355)&gt;0,
     COUNTIFS($AA$2:$AA$200,$G355)&gt;0,
     COUNTIFS($AB$2:$AB$200,$G355)&gt;0,
     COUNTIFS($AC$2:$AC$200,$G355)&gt;0,
     COUNTIFS($AD$2:$AD$200,$G355)&gt;0,
     COUNTIFS($AE$2:$AE$200,$G355)&gt;0,
     COUNTIFS($AF$2:$AF$200,$G355)&gt;0,
     COUNTIFS($AG$2:$AG$200,$G355)&gt;0,
     COUNTIFS($AH$2:$AH$200,$G355)&gt;0,
     COUNTIFS($AI$2:$AI$200,$G355)&gt;0,
     COUNTIFS($AJ$2:$AJ$200,$G355)&gt;0,
     COUNTIFS($AK$2:$AK$200,$G355)&gt;0,
     COUNTIFS($AL$2:$AL$200,$G355)&gt;0,
     COUNTIFS($AM$2:$AM$200,$G355)&gt;0,
     COUNTIFS($AN$2:$AN$200,$G355)&gt;0,
     COUNTIFS($AO$2:$AO$200,$G355)&gt;0,
     COUNTIFS($AP$2:$AP$200,$G355)&gt;0,
     COUNTIFS($AQ$2:$AQ$200,$G355)&gt;0,
     COUNTIFS($AR$2:$AR$200,$G355)&gt;0,
     COUNTIFS($AS$2:$AS$200,$G355)&gt;0,
     COUNTIFS($AT$2:$AT$200,$G355)&gt;0,
     COUNTIFS($AU$2:$AU$200,$G355)&gt;0,
     COUNTIFS($AV$2:$AV$200,$G355)&gt;0
   )),
  4)
 ),
"")</f>
        <v/>
      </c>
    </row>
    <row r="356" spans="1:6" x14ac:dyDescent="0.25">
      <c r="A356" s="3" t="str">
        <f t="shared" si="12"/>
        <v/>
      </c>
      <c r="B356" s="3">
        <f t="shared" si="13"/>
        <v>0</v>
      </c>
      <c r="C356" s="3" t="str">
        <f>IFERROR(
 INDEX($U$1:$AX$1,
  MATCH(TRUE,
   CHOOSE({1;2;3;4;5;6;7;8;9;10;11;12;13;14;15;16;17;18;19;20;21;22;23;24;25;26;27;28;29;30;31;32},
    COUNTIFS($U$2:$U$200,$G356)&gt;0,
    COUNTIFS($V$2:$V$200,$G356)&gt;0,
    COUNTIFS($W$2:$W$200,$G356)&gt;0,
    COUNTIFS($X$2:$X$200,$G356)&gt;0,
    COUNTIFS($Y$2:$Y$200,$G356)&gt;0,
    COUNTIFS($Z$2:$Z$200,$G356)&gt;0,
    COUNTIFS($AA$2:$AA$200,$G356)&gt;0,
    COUNTIFS($AB$2:$AB$200,$G356)&gt;0,
    COUNTIFS($AC$2:$AC$200,$G356)&gt;0,
    COUNTIFS($AD$2:$AD$200,$G356)&gt;0,
    COUNTIFS($AE$2:$AE$200,$G356)&gt;0,
    COUNTIFS($AF$2:$AF$200,$G356)&gt;0,
    COUNTIFS($AG$2:$AG$200,$G356)&gt;0,
    COUNTIFS($AH$2:$AH$200,$G356)&gt;0,
    COUNTIFS($AI$2:$AI$200,$G356)&gt;0,
    COUNTIFS($AJ$2:$AJ$200,$G356)&gt;0,
    COUNTIFS($AK$2:$AK$200,$G356)&gt;0,
    COUNTIFS($AL$2:$AL$200,$G356)&gt;0,
    COUNTIFS($AM$2:$AM$200,$G356)&gt;0,
    COUNTIFS($AN$2:$AN$200,$G356)&gt;0,
    COUNTIFS($AO$2:$AO$200,$G356)&gt;0,
    COUNTIFS($AP$2:$AP$200,$G356)&gt;0,
    COUNTIFS($AQ$2:$AQ$200,$G356)&gt;0,
    COUNTIFS($AR$2:$AR$200,$G356)&gt;0,
    COUNTIFS($AS$2:$AS$200,$G356)&gt;0,
    COUNTIFS($AT$2:$AT$200,$G356)&gt;0,
    COUNTIFS($AU$2:$AU$200,$G356)&gt;0,
    COUNTIFS($AV$2:$AV$200,$G356)&gt;0,
    COUNTIFS($AW$2:$AW$200,$G356)&gt;0,
    COUNTIFS($AX$2:$AX$200,$G356)&gt;0
   ),
  0)
 ),
"")</f>
        <v/>
      </c>
      <c r="D356" s="3" t="str" cm="1">
        <f t="array" ref="D356">IFERROR(
 INDEX(
  _xlfn._xlws.FILTER($U$1:$AV$1,
   TRANSPOSE(
    CHOOSE({1;2;3;4;5;6;7;8;9;10;11;12;13;14;15;16;17;18;19;20;21;22;23;24;25;26;27;28},
     COUNTIFS($U$2:$U$200,$G356)&gt;0,
     COUNTIFS($V$2:$V$200,$G356)&gt;0,
     COUNTIFS($W$2:$W$200,$G356)&gt;0,
     COUNTIFS($X$2:$X$200,$G356)&gt;0,
     COUNTIFS($Y$2:$Y$200,$G356)&gt;0,
     COUNTIFS($Z$2:$Z$200,$G356)&gt;0,
     COUNTIFS($AA$2:$AA$200,$G356)&gt;0,
     COUNTIFS($AB$2:$AB$200,$G356)&gt;0,
     COUNTIFS($AC$2:$AC$200,$G356)&gt;0,
     COUNTIFS($AD$2:$AD$200,$G356)&gt;0,
     COUNTIFS($AE$2:$AE$200,$G356)&gt;0,
     COUNTIFS($AF$2:$AF$200,$G356)&gt;0,
     COUNTIFS($AG$2:$AG$200,$G356)&gt;0,
     COUNTIFS($AH$2:$AH$200,$G356)&gt;0,
     COUNTIFS($AI$2:$AI$200,$G356)&gt;0,
     COUNTIFS($AJ$2:$AJ$200,$G356)&gt;0,
     COUNTIFS($AK$2:$AK$200,$G356)&gt;0,
     COUNTIFS($AL$2:$AL$200,$G356)&gt;0,
     COUNTIFS($AM$2:$AM$200,$G356)&gt;0,
     COUNTIFS($AN$2:$AN$200,$G356)&gt;0,
     COUNTIFS($AO$2:$AO$200,$G356)&gt;0,
     COUNTIFS($AP$2:$AP$200,$G356)&gt;0,
     COUNTIFS($AQ$2:$AQ$200,$G356)&gt;0,
     COUNTIFS($AR$2:$AR$200,$G356)&gt;0,
     COUNTIFS($AS$2:$AS$200,$G356)&gt;0,
     COUNTIFS($AT$2:$AT$200,$G356)&gt;0,
     COUNTIFS($AU$2:$AU$200,$G356)&gt;0,
     COUNTIFS($AV$2:$AV$200,$G356)&gt;0
   )),
  ),
  2
 ),
"")</f>
        <v/>
      </c>
      <c r="E356" s="3" t="str" cm="1">
        <f t="array" ref="E356">IFERROR(
 INDEX($U$1:$AV$1,
  _xlfn.AGGREGATE(15,6,
   (COLUMN($U$1:$AV$1)-COLUMN($U$1)+1)/
   TRANSPOSE(
    CHOOSE({1;2;3;4;5;6;7;8;9;10;11;12;13;14;15;16;17;18;19;20;21;22;23;24;25;26;27;28},
     COUNTIFS($U$2:$U$200,$G356)&gt;0,
     COUNTIFS($V$2:$V$200,$G356)&gt;0,
     COUNTIFS($W$2:$W$200,$G356)&gt;0,
     COUNTIFS($X$2:$X$200,$G356)&gt;0,
     COUNTIFS($Y$2:$Y$200,$G356)&gt;0,
     COUNTIFS($Z$2:$Z$200,$G356)&gt;0,
     COUNTIFS($AA$2:$AA$200,$G356)&gt;0,
     COUNTIFS($AB$2:$AB$200,$G356)&gt;0,
     COUNTIFS($AC$2:$AC$200,$G356)&gt;0,
     COUNTIFS($AD$2:$AD$200,$G356)&gt;0,
     COUNTIFS($AE$2:$AE$200,$G356)&gt;0,
     COUNTIFS($AF$2:$AF$200,$G356)&gt;0,
     COUNTIFS($AG$2:$AG$200,$G356)&gt;0,
     COUNTIFS($AH$2:$AH$200,$G356)&gt;0,
     COUNTIFS($AI$2:$AI$200,$G356)&gt;0,
     COUNTIFS($AJ$2:$AJ$200,$G356)&gt;0,
     COUNTIFS($AK$2:$AK$200,$G356)&gt;0,
     COUNTIFS($AL$2:$AL$200,$G356)&gt;0,
     COUNTIFS($AM$2:$AM$200,$G356)&gt;0,
     COUNTIFS($AN$2:$AN$200,$G356)&gt;0,
     COUNTIFS($AO$2:$AO$200,$G356)&gt;0,
     COUNTIFS($AP$2:$AP$200,$G356)&gt;0,
     COUNTIFS($AQ$2:$AQ$200,$G356)&gt;0,
     COUNTIFS($AR$2:$AR$200,$G356)&gt;0,
     COUNTIFS($AS$2:$AS$200,$G356)&gt;0,
     COUNTIFS($AT$2:$AT$200,$G356)&gt;0,
     COUNTIFS($AU$2:$AU$200,$G356)&gt;0,
     COUNTIFS($AV$2:$AV$200,$G356)&gt;0
   )),
  3)
 ),
"")</f>
        <v/>
      </c>
      <c r="F356" s="3" t="str" cm="1">
        <f t="array" ref="F356">IFERROR(
 INDEX($U$1:$AV$1,
  _xlfn.AGGREGATE(15,6,
   (COLUMN($U$1:$AV$1)-COLUMN($U$1)+1)/
   TRANSPOSE(
    CHOOSE({1;2;3;4;5;6;7;8;9;10;11;12;13;14;15;16;17;18;19;20;21;22;23;24;25;26;27;28},
     COUNTIFS($U$2:$U$200,$G356)&gt;0,
     COUNTIFS($V$2:$V$200,$G356)&gt;0,
     COUNTIFS($W$2:$W$200,$G356)&gt;0,
     COUNTIFS($X$2:$X$200,$G356)&gt;0,
     COUNTIFS($Y$2:$Y$200,$G356)&gt;0,
     COUNTIFS($Z$2:$Z$200,$G356)&gt;0,
     COUNTIFS($AA$2:$AA$200,$G356)&gt;0,
     COUNTIFS($AB$2:$AB$200,$G356)&gt;0,
     COUNTIFS($AC$2:$AC$200,$G356)&gt;0,
     COUNTIFS($AD$2:$AD$200,$G356)&gt;0,
     COUNTIFS($AE$2:$AE$200,$G356)&gt;0,
     COUNTIFS($AF$2:$AF$200,$G356)&gt;0,
     COUNTIFS($AG$2:$AG$200,$G356)&gt;0,
     COUNTIFS($AH$2:$AH$200,$G356)&gt;0,
     COUNTIFS($AI$2:$AI$200,$G356)&gt;0,
     COUNTIFS($AJ$2:$AJ$200,$G356)&gt;0,
     COUNTIFS($AK$2:$AK$200,$G356)&gt;0,
     COUNTIFS($AL$2:$AL$200,$G356)&gt;0,
     COUNTIFS($AM$2:$AM$200,$G356)&gt;0,
     COUNTIFS($AN$2:$AN$200,$G356)&gt;0,
     COUNTIFS($AO$2:$AO$200,$G356)&gt;0,
     COUNTIFS($AP$2:$AP$200,$G356)&gt;0,
     COUNTIFS($AQ$2:$AQ$200,$G356)&gt;0,
     COUNTIFS($AR$2:$AR$200,$G356)&gt;0,
     COUNTIFS($AS$2:$AS$200,$G356)&gt;0,
     COUNTIFS($AT$2:$AT$200,$G356)&gt;0,
     COUNTIFS($AU$2:$AU$200,$G356)&gt;0,
     COUNTIFS($AV$2:$AV$200,$G356)&gt;0
   )),
  4)
 ),
"")</f>
        <v/>
      </c>
    </row>
    <row r="357" spans="1:6" x14ac:dyDescent="0.25">
      <c r="A357" s="3" t="str">
        <f t="shared" si="12"/>
        <v/>
      </c>
      <c r="B357" s="3">
        <f t="shared" si="13"/>
        <v>0</v>
      </c>
      <c r="C357" s="3" t="str">
        <f>IFERROR(
 INDEX($U$1:$AX$1,
  MATCH(TRUE,
   CHOOSE({1;2;3;4;5;6;7;8;9;10;11;12;13;14;15;16;17;18;19;20;21;22;23;24;25;26;27;28;29;30;31;32},
    COUNTIFS($U$2:$U$200,$G357)&gt;0,
    COUNTIFS($V$2:$V$200,$G357)&gt;0,
    COUNTIFS($W$2:$W$200,$G357)&gt;0,
    COUNTIFS($X$2:$X$200,$G357)&gt;0,
    COUNTIFS($Y$2:$Y$200,$G357)&gt;0,
    COUNTIFS($Z$2:$Z$200,$G357)&gt;0,
    COUNTIFS($AA$2:$AA$200,$G357)&gt;0,
    COUNTIFS($AB$2:$AB$200,$G357)&gt;0,
    COUNTIFS($AC$2:$AC$200,$G357)&gt;0,
    COUNTIFS($AD$2:$AD$200,$G357)&gt;0,
    COUNTIFS($AE$2:$AE$200,$G357)&gt;0,
    COUNTIFS($AF$2:$AF$200,$G357)&gt;0,
    COUNTIFS($AG$2:$AG$200,$G357)&gt;0,
    COUNTIFS($AH$2:$AH$200,$G357)&gt;0,
    COUNTIFS($AI$2:$AI$200,$G357)&gt;0,
    COUNTIFS($AJ$2:$AJ$200,$G357)&gt;0,
    COUNTIFS($AK$2:$AK$200,$G357)&gt;0,
    COUNTIFS($AL$2:$AL$200,$G357)&gt;0,
    COUNTIFS($AM$2:$AM$200,$G357)&gt;0,
    COUNTIFS($AN$2:$AN$200,$G357)&gt;0,
    COUNTIFS($AO$2:$AO$200,$G357)&gt;0,
    COUNTIFS($AP$2:$AP$200,$G357)&gt;0,
    COUNTIFS($AQ$2:$AQ$200,$G357)&gt;0,
    COUNTIFS($AR$2:$AR$200,$G357)&gt;0,
    COUNTIFS($AS$2:$AS$200,$G357)&gt;0,
    COUNTIFS($AT$2:$AT$200,$G357)&gt;0,
    COUNTIFS($AU$2:$AU$200,$G357)&gt;0,
    COUNTIFS($AV$2:$AV$200,$G357)&gt;0,
    COUNTIFS($AW$2:$AW$200,$G357)&gt;0,
    COUNTIFS($AX$2:$AX$200,$G357)&gt;0
   ),
  0)
 ),
"")</f>
        <v/>
      </c>
      <c r="D357" s="3" t="str" cm="1">
        <f t="array" ref="D357">IFERROR(
 INDEX(
  _xlfn._xlws.FILTER($U$1:$AV$1,
   TRANSPOSE(
    CHOOSE({1;2;3;4;5;6;7;8;9;10;11;12;13;14;15;16;17;18;19;20;21;22;23;24;25;26;27;28},
     COUNTIFS($U$2:$U$200,$G357)&gt;0,
     COUNTIFS($V$2:$V$200,$G357)&gt;0,
     COUNTIFS($W$2:$W$200,$G357)&gt;0,
     COUNTIFS($X$2:$X$200,$G357)&gt;0,
     COUNTIFS($Y$2:$Y$200,$G357)&gt;0,
     COUNTIFS($Z$2:$Z$200,$G357)&gt;0,
     COUNTIFS($AA$2:$AA$200,$G357)&gt;0,
     COUNTIFS($AB$2:$AB$200,$G357)&gt;0,
     COUNTIFS($AC$2:$AC$200,$G357)&gt;0,
     COUNTIFS($AD$2:$AD$200,$G357)&gt;0,
     COUNTIFS($AE$2:$AE$200,$G357)&gt;0,
     COUNTIFS($AF$2:$AF$200,$G357)&gt;0,
     COUNTIFS($AG$2:$AG$200,$G357)&gt;0,
     COUNTIFS($AH$2:$AH$200,$G357)&gt;0,
     COUNTIFS($AI$2:$AI$200,$G357)&gt;0,
     COUNTIFS($AJ$2:$AJ$200,$G357)&gt;0,
     COUNTIFS($AK$2:$AK$200,$G357)&gt;0,
     COUNTIFS($AL$2:$AL$200,$G357)&gt;0,
     COUNTIFS($AM$2:$AM$200,$G357)&gt;0,
     COUNTIFS($AN$2:$AN$200,$G357)&gt;0,
     COUNTIFS($AO$2:$AO$200,$G357)&gt;0,
     COUNTIFS($AP$2:$AP$200,$G357)&gt;0,
     COUNTIFS($AQ$2:$AQ$200,$G357)&gt;0,
     COUNTIFS($AR$2:$AR$200,$G357)&gt;0,
     COUNTIFS($AS$2:$AS$200,$G357)&gt;0,
     COUNTIFS($AT$2:$AT$200,$G357)&gt;0,
     COUNTIFS($AU$2:$AU$200,$G357)&gt;0,
     COUNTIFS($AV$2:$AV$200,$G357)&gt;0
   )),
  ),
  2
 ),
"")</f>
        <v/>
      </c>
      <c r="E357" s="3" t="str" cm="1">
        <f t="array" ref="E357">IFERROR(
 INDEX($U$1:$AV$1,
  _xlfn.AGGREGATE(15,6,
   (COLUMN($U$1:$AV$1)-COLUMN($U$1)+1)/
   TRANSPOSE(
    CHOOSE({1;2;3;4;5;6;7;8;9;10;11;12;13;14;15;16;17;18;19;20;21;22;23;24;25;26;27;28},
     COUNTIFS($U$2:$U$200,$G357)&gt;0,
     COUNTIFS($V$2:$V$200,$G357)&gt;0,
     COUNTIFS($W$2:$W$200,$G357)&gt;0,
     COUNTIFS($X$2:$X$200,$G357)&gt;0,
     COUNTIFS($Y$2:$Y$200,$G357)&gt;0,
     COUNTIFS($Z$2:$Z$200,$G357)&gt;0,
     COUNTIFS($AA$2:$AA$200,$G357)&gt;0,
     COUNTIFS($AB$2:$AB$200,$G357)&gt;0,
     COUNTIFS($AC$2:$AC$200,$G357)&gt;0,
     COUNTIFS($AD$2:$AD$200,$G357)&gt;0,
     COUNTIFS($AE$2:$AE$200,$G357)&gt;0,
     COUNTIFS($AF$2:$AF$200,$G357)&gt;0,
     COUNTIFS($AG$2:$AG$200,$G357)&gt;0,
     COUNTIFS($AH$2:$AH$200,$G357)&gt;0,
     COUNTIFS($AI$2:$AI$200,$G357)&gt;0,
     COUNTIFS($AJ$2:$AJ$200,$G357)&gt;0,
     COUNTIFS($AK$2:$AK$200,$G357)&gt;0,
     COUNTIFS($AL$2:$AL$200,$G357)&gt;0,
     COUNTIFS($AM$2:$AM$200,$G357)&gt;0,
     COUNTIFS($AN$2:$AN$200,$G357)&gt;0,
     COUNTIFS($AO$2:$AO$200,$G357)&gt;0,
     COUNTIFS($AP$2:$AP$200,$G357)&gt;0,
     COUNTIFS($AQ$2:$AQ$200,$G357)&gt;0,
     COUNTIFS($AR$2:$AR$200,$G357)&gt;0,
     COUNTIFS($AS$2:$AS$200,$G357)&gt;0,
     COUNTIFS($AT$2:$AT$200,$G357)&gt;0,
     COUNTIFS($AU$2:$AU$200,$G357)&gt;0,
     COUNTIFS($AV$2:$AV$200,$G357)&gt;0
   )),
  3)
 ),
"")</f>
        <v/>
      </c>
      <c r="F357" s="3" t="str" cm="1">
        <f t="array" ref="F357">IFERROR(
 INDEX($U$1:$AV$1,
  _xlfn.AGGREGATE(15,6,
   (COLUMN($U$1:$AV$1)-COLUMN($U$1)+1)/
   TRANSPOSE(
    CHOOSE({1;2;3;4;5;6;7;8;9;10;11;12;13;14;15;16;17;18;19;20;21;22;23;24;25;26;27;28},
     COUNTIFS($U$2:$U$200,$G357)&gt;0,
     COUNTIFS($V$2:$V$200,$G357)&gt;0,
     COUNTIFS($W$2:$W$200,$G357)&gt;0,
     COUNTIFS($X$2:$X$200,$G357)&gt;0,
     COUNTIFS($Y$2:$Y$200,$G357)&gt;0,
     COUNTIFS($Z$2:$Z$200,$G357)&gt;0,
     COUNTIFS($AA$2:$AA$200,$G357)&gt;0,
     COUNTIFS($AB$2:$AB$200,$G357)&gt;0,
     COUNTIFS($AC$2:$AC$200,$G357)&gt;0,
     COUNTIFS($AD$2:$AD$200,$G357)&gt;0,
     COUNTIFS($AE$2:$AE$200,$G357)&gt;0,
     COUNTIFS($AF$2:$AF$200,$G357)&gt;0,
     COUNTIFS($AG$2:$AG$200,$G357)&gt;0,
     COUNTIFS($AH$2:$AH$200,$G357)&gt;0,
     COUNTIFS($AI$2:$AI$200,$G357)&gt;0,
     COUNTIFS($AJ$2:$AJ$200,$G357)&gt;0,
     COUNTIFS($AK$2:$AK$200,$G357)&gt;0,
     COUNTIFS($AL$2:$AL$200,$G357)&gt;0,
     COUNTIFS($AM$2:$AM$200,$G357)&gt;0,
     COUNTIFS($AN$2:$AN$200,$G357)&gt;0,
     COUNTIFS($AO$2:$AO$200,$G357)&gt;0,
     COUNTIFS($AP$2:$AP$200,$G357)&gt;0,
     COUNTIFS($AQ$2:$AQ$200,$G357)&gt;0,
     COUNTIFS($AR$2:$AR$200,$G357)&gt;0,
     COUNTIFS($AS$2:$AS$200,$G357)&gt;0,
     COUNTIFS($AT$2:$AT$200,$G357)&gt;0,
     COUNTIFS($AU$2:$AU$200,$G357)&gt;0,
     COUNTIFS($AV$2:$AV$200,$G357)&gt;0
   )),
  4)
 ),
"")</f>
        <v/>
      </c>
    </row>
    <row r="358" spans="1:6" x14ac:dyDescent="0.25">
      <c r="A358" s="3" t="str">
        <f t="shared" si="12"/>
        <v/>
      </c>
      <c r="B358" s="3">
        <f t="shared" si="13"/>
        <v>0</v>
      </c>
      <c r="C358" s="3" t="str">
        <f>IFERROR(
 INDEX($U$1:$AX$1,
  MATCH(TRUE,
   CHOOSE({1;2;3;4;5;6;7;8;9;10;11;12;13;14;15;16;17;18;19;20;21;22;23;24;25;26;27;28;29;30;31;32},
    COUNTIFS($U$2:$U$200,$G358)&gt;0,
    COUNTIFS($V$2:$V$200,$G358)&gt;0,
    COUNTIFS($W$2:$W$200,$G358)&gt;0,
    COUNTIFS($X$2:$X$200,$G358)&gt;0,
    COUNTIFS($Y$2:$Y$200,$G358)&gt;0,
    COUNTIFS($Z$2:$Z$200,$G358)&gt;0,
    COUNTIFS($AA$2:$AA$200,$G358)&gt;0,
    COUNTIFS($AB$2:$AB$200,$G358)&gt;0,
    COUNTIFS($AC$2:$AC$200,$G358)&gt;0,
    COUNTIFS($AD$2:$AD$200,$G358)&gt;0,
    COUNTIFS($AE$2:$AE$200,$G358)&gt;0,
    COUNTIFS($AF$2:$AF$200,$G358)&gt;0,
    COUNTIFS($AG$2:$AG$200,$G358)&gt;0,
    COUNTIFS($AH$2:$AH$200,$G358)&gt;0,
    COUNTIFS($AI$2:$AI$200,$G358)&gt;0,
    COUNTIFS($AJ$2:$AJ$200,$G358)&gt;0,
    COUNTIFS($AK$2:$AK$200,$G358)&gt;0,
    COUNTIFS($AL$2:$AL$200,$G358)&gt;0,
    COUNTIFS($AM$2:$AM$200,$G358)&gt;0,
    COUNTIFS($AN$2:$AN$200,$G358)&gt;0,
    COUNTIFS($AO$2:$AO$200,$G358)&gt;0,
    COUNTIFS($AP$2:$AP$200,$G358)&gt;0,
    COUNTIFS($AQ$2:$AQ$200,$G358)&gt;0,
    COUNTIFS($AR$2:$AR$200,$G358)&gt;0,
    COUNTIFS($AS$2:$AS$200,$G358)&gt;0,
    COUNTIFS($AT$2:$AT$200,$G358)&gt;0,
    COUNTIFS($AU$2:$AU$200,$G358)&gt;0,
    COUNTIFS($AV$2:$AV$200,$G358)&gt;0,
    COUNTIFS($AW$2:$AW$200,$G358)&gt;0,
    COUNTIFS($AX$2:$AX$200,$G358)&gt;0
   ),
  0)
 ),
"")</f>
        <v/>
      </c>
      <c r="D358" s="3" t="str" cm="1">
        <f t="array" ref="D358">IFERROR(
 INDEX(
  _xlfn._xlws.FILTER($U$1:$AV$1,
   TRANSPOSE(
    CHOOSE({1;2;3;4;5;6;7;8;9;10;11;12;13;14;15;16;17;18;19;20;21;22;23;24;25;26;27;28},
     COUNTIFS($U$2:$U$200,$G358)&gt;0,
     COUNTIFS($V$2:$V$200,$G358)&gt;0,
     COUNTIFS($W$2:$W$200,$G358)&gt;0,
     COUNTIFS($X$2:$X$200,$G358)&gt;0,
     COUNTIFS($Y$2:$Y$200,$G358)&gt;0,
     COUNTIFS($Z$2:$Z$200,$G358)&gt;0,
     COUNTIFS($AA$2:$AA$200,$G358)&gt;0,
     COUNTIFS($AB$2:$AB$200,$G358)&gt;0,
     COUNTIFS($AC$2:$AC$200,$G358)&gt;0,
     COUNTIFS($AD$2:$AD$200,$G358)&gt;0,
     COUNTIFS($AE$2:$AE$200,$G358)&gt;0,
     COUNTIFS($AF$2:$AF$200,$G358)&gt;0,
     COUNTIFS($AG$2:$AG$200,$G358)&gt;0,
     COUNTIFS($AH$2:$AH$200,$G358)&gt;0,
     COUNTIFS($AI$2:$AI$200,$G358)&gt;0,
     COUNTIFS($AJ$2:$AJ$200,$G358)&gt;0,
     COUNTIFS($AK$2:$AK$200,$G358)&gt;0,
     COUNTIFS($AL$2:$AL$200,$G358)&gt;0,
     COUNTIFS($AM$2:$AM$200,$G358)&gt;0,
     COUNTIFS($AN$2:$AN$200,$G358)&gt;0,
     COUNTIFS($AO$2:$AO$200,$G358)&gt;0,
     COUNTIFS($AP$2:$AP$200,$G358)&gt;0,
     COUNTIFS($AQ$2:$AQ$200,$G358)&gt;0,
     COUNTIFS($AR$2:$AR$200,$G358)&gt;0,
     COUNTIFS($AS$2:$AS$200,$G358)&gt;0,
     COUNTIFS($AT$2:$AT$200,$G358)&gt;0,
     COUNTIFS($AU$2:$AU$200,$G358)&gt;0,
     COUNTIFS($AV$2:$AV$200,$G358)&gt;0
   )),
  ),
  2
 ),
"")</f>
        <v/>
      </c>
      <c r="E358" s="3" t="str" cm="1">
        <f t="array" ref="E358">IFERROR(
 INDEX($U$1:$AV$1,
  _xlfn.AGGREGATE(15,6,
   (COLUMN($U$1:$AV$1)-COLUMN($U$1)+1)/
   TRANSPOSE(
    CHOOSE({1;2;3;4;5;6;7;8;9;10;11;12;13;14;15;16;17;18;19;20;21;22;23;24;25;26;27;28},
     COUNTIFS($U$2:$U$200,$G358)&gt;0,
     COUNTIFS($V$2:$V$200,$G358)&gt;0,
     COUNTIFS($W$2:$W$200,$G358)&gt;0,
     COUNTIFS($X$2:$X$200,$G358)&gt;0,
     COUNTIFS($Y$2:$Y$200,$G358)&gt;0,
     COUNTIFS($Z$2:$Z$200,$G358)&gt;0,
     COUNTIFS($AA$2:$AA$200,$G358)&gt;0,
     COUNTIFS($AB$2:$AB$200,$G358)&gt;0,
     COUNTIFS($AC$2:$AC$200,$G358)&gt;0,
     COUNTIFS($AD$2:$AD$200,$G358)&gt;0,
     COUNTIFS($AE$2:$AE$200,$G358)&gt;0,
     COUNTIFS($AF$2:$AF$200,$G358)&gt;0,
     COUNTIFS($AG$2:$AG$200,$G358)&gt;0,
     COUNTIFS($AH$2:$AH$200,$G358)&gt;0,
     COUNTIFS($AI$2:$AI$200,$G358)&gt;0,
     COUNTIFS($AJ$2:$AJ$200,$G358)&gt;0,
     COUNTIFS($AK$2:$AK$200,$G358)&gt;0,
     COUNTIFS($AL$2:$AL$200,$G358)&gt;0,
     COUNTIFS($AM$2:$AM$200,$G358)&gt;0,
     COUNTIFS($AN$2:$AN$200,$G358)&gt;0,
     COUNTIFS($AO$2:$AO$200,$G358)&gt;0,
     COUNTIFS($AP$2:$AP$200,$G358)&gt;0,
     COUNTIFS($AQ$2:$AQ$200,$G358)&gt;0,
     COUNTIFS($AR$2:$AR$200,$G358)&gt;0,
     COUNTIFS($AS$2:$AS$200,$G358)&gt;0,
     COUNTIFS($AT$2:$AT$200,$G358)&gt;0,
     COUNTIFS($AU$2:$AU$200,$G358)&gt;0,
     COUNTIFS($AV$2:$AV$200,$G358)&gt;0
   )),
  3)
 ),
"")</f>
        <v/>
      </c>
      <c r="F358" s="3" t="str" cm="1">
        <f t="array" ref="F358">IFERROR(
 INDEX($U$1:$AV$1,
  _xlfn.AGGREGATE(15,6,
   (COLUMN($U$1:$AV$1)-COLUMN($U$1)+1)/
   TRANSPOSE(
    CHOOSE({1;2;3;4;5;6;7;8;9;10;11;12;13;14;15;16;17;18;19;20;21;22;23;24;25;26;27;28},
     COUNTIFS($U$2:$U$200,$G358)&gt;0,
     COUNTIFS($V$2:$V$200,$G358)&gt;0,
     COUNTIFS($W$2:$W$200,$G358)&gt;0,
     COUNTIFS($X$2:$X$200,$G358)&gt;0,
     COUNTIFS($Y$2:$Y$200,$G358)&gt;0,
     COUNTIFS($Z$2:$Z$200,$G358)&gt;0,
     COUNTIFS($AA$2:$AA$200,$G358)&gt;0,
     COUNTIFS($AB$2:$AB$200,$G358)&gt;0,
     COUNTIFS($AC$2:$AC$200,$G358)&gt;0,
     COUNTIFS($AD$2:$AD$200,$G358)&gt;0,
     COUNTIFS($AE$2:$AE$200,$G358)&gt;0,
     COUNTIFS($AF$2:$AF$200,$G358)&gt;0,
     COUNTIFS($AG$2:$AG$200,$G358)&gt;0,
     COUNTIFS($AH$2:$AH$200,$G358)&gt;0,
     COUNTIFS($AI$2:$AI$200,$G358)&gt;0,
     COUNTIFS($AJ$2:$AJ$200,$G358)&gt;0,
     COUNTIFS($AK$2:$AK$200,$G358)&gt;0,
     COUNTIFS($AL$2:$AL$200,$G358)&gt;0,
     COUNTIFS($AM$2:$AM$200,$G358)&gt;0,
     COUNTIFS($AN$2:$AN$200,$G358)&gt;0,
     COUNTIFS($AO$2:$AO$200,$G358)&gt;0,
     COUNTIFS($AP$2:$AP$200,$G358)&gt;0,
     COUNTIFS($AQ$2:$AQ$200,$G358)&gt;0,
     COUNTIFS($AR$2:$AR$200,$G358)&gt;0,
     COUNTIFS($AS$2:$AS$200,$G358)&gt;0,
     COUNTIFS($AT$2:$AT$200,$G358)&gt;0,
     COUNTIFS($AU$2:$AU$200,$G358)&gt;0,
     COUNTIFS($AV$2:$AV$200,$G358)&gt;0
   )),
  4)
 ),
"")</f>
        <v/>
      </c>
    </row>
    <row r="359" spans="1:6" x14ac:dyDescent="0.25">
      <c r="A359" s="3" t="str">
        <f t="shared" si="12"/>
        <v/>
      </c>
      <c r="B359" s="3">
        <f t="shared" si="13"/>
        <v>0</v>
      </c>
      <c r="C359" s="3" t="str">
        <f>IFERROR(
 INDEX($U$1:$AX$1,
  MATCH(TRUE,
   CHOOSE({1;2;3;4;5;6;7;8;9;10;11;12;13;14;15;16;17;18;19;20;21;22;23;24;25;26;27;28;29;30;31;32},
    COUNTIFS($U$2:$U$200,$G359)&gt;0,
    COUNTIFS($V$2:$V$200,$G359)&gt;0,
    COUNTIFS($W$2:$W$200,$G359)&gt;0,
    COUNTIFS($X$2:$X$200,$G359)&gt;0,
    COUNTIFS($Y$2:$Y$200,$G359)&gt;0,
    COUNTIFS($Z$2:$Z$200,$G359)&gt;0,
    COUNTIFS($AA$2:$AA$200,$G359)&gt;0,
    COUNTIFS($AB$2:$AB$200,$G359)&gt;0,
    COUNTIFS($AC$2:$AC$200,$G359)&gt;0,
    COUNTIFS($AD$2:$AD$200,$G359)&gt;0,
    COUNTIFS($AE$2:$AE$200,$G359)&gt;0,
    COUNTIFS($AF$2:$AF$200,$G359)&gt;0,
    COUNTIFS($AG$2:$AG$200,$G359)&gt;0,
    COUNTIFS($AH$2:$AH$200,$G359)&gt;0,
    COUNTIFS($AI$2:$AI$200,$G359)&gt;0,
    COUNTIFS($AJ$2:$AJ$200,$G359)&gt;0,
    COUNTIFS($AK$2:$AK$200,$G359)&gt;0,
    COUNTIFS($AL$2:$AL$200,$G359)&gt;0,
    COUNTIFS($AM$2:$AM$200,$G359)&gt;0,
    COUNTIFS($AN$2:$AN$200,$G359)&gt;0,
    COUNTIFS($AO$2:$AO$200,$G359)&gt;0,
    COUNTIFS($AP$2:$AP$200,$G359)&gt;0,
    COUNTIFS($AQ$2:$AQ$200,$G359)&gt;0,
    COUNTIFS($AR$2:$AR$200,$G359)&gt;0,
    COUNTIFS($AS$2:$AS$200,$G359)&gt;0,
    COUNTIFS($AT$2:$AT$200,$G359)&gt;0,
    COUNTIFS($AU$2:$AU$200,$G359)&gt;0,
    COUNTIFS($AV$2:$AV$200,$G359)&gt;0,
    COUNTIFS($AW$2:$AW$200,$G359)&gt;0,
    COUNTIFS($AX$2:$AX$200,$G359)&gt;0
   ),
  0)
 ),
"")</f>
        <v/>
      </c>
      <c r="D359" s="3" t="str" cm="1">
        <f t="array" ref="D359">IFERROR(
 INDEX(
  _xlfn._xlws.FILTER($U$1:$AV$1,
   TRANSPOSE(
    CHOOSE({1;2;3;4;5;6;7;8;9;10;11;12;13;14;15;16;17;18;19;20;21;22;23;24;25;26;27;28},
     COUNTIFS($U$2:$U$200,$G359)&gt;0,
     COUNTIFS($V$2:$V$200,$G359)&gt;0,
     COUNTIFS($W$2:$W$200,$G359)&gt;0,
     COUNTIFS($X$2:$X$200,$G359)&gt;0,
     COUNTIFS($Y$2:$Y$200,$G359)&gt;0,
     COUNTIFS($Z$2:$Z$200,$G359)&gt;0,
     COUNTIFS($AA$2:$AA$200,$G359)&gt;0,
     COUNTIFS($AB$2:$AB$200,$G359)&gt;0,
     COUNTIFS($AC$2:$AC$200,$G359)&gt;0,
     COUNTIFS($AD$2:$AD$200,$G359)&gt;0,
     COUNTIFS($AE$2:$AE$200,$G359)&gt;0,
     COUNTIFS($AF$2:$AF$200,$G359)&gt;0,
     COUNTIFS($AG$2:$AG$200,$G359)&gt;0,
     COUNTIFS($AH$2:$AH$200,$G359)&gt;0,
     COUNTIFS($AI$2:$AI$200,$G359)&gt;0,
     COUNTIFS($AJ$2:$AJ$200,$G359)&gt;0,
     COUNTIFS($AK$2:$AK$200,$G359)&gt;0,
     COUNTIFS($AL$2:$AL$200,$G359)&gt;0,
     COUNTIFS($AM$2:$AM$200,$G359)&gt;0,
     COUNTIFS($AN$2:$AN$200,$G359)&gt;0,
     COUNTIFS($AO$2:$AO$200,$G359)&gt;0,
     COUNTIFS($AP$2:$AP$200,$G359)&gt;0,
     COUNTIFS($AQ$2:$AQ$200,$G359)&gt;0,
     COUNTIFS($AR$2:$AR$200,$G359)&gt;0,
     COUNTIFS($AS$2:$AS$200,$G359)&gt;0,
     COUNTIFS($AT$2:$AT$200,$G359)&gt;0,
     COUNTIFS($AU$2:$AU$200,$G359)&gt;0,
     COUNTIFS($AV$2:$AV$200,$G359)&gt;0
   )),
  ),
  2
 ),
"")</f>
        <v/>
      </c>
      <c r="E359" s="3" t="str" cm="1">
        <f t="array" ref="E359">IFERROR(
 INDEX($U$1:$AV$1,
  _xlfn.AGGREGATE(15,6,
   (COLUMN($U$1:$AV$1)-COLUMN($U$1)+1)/
   TRANSPOSE(
    CHOOSE({1;2;3;4;5;6;7;8;9;10;11;12;13;14;15;16;17;18;19;20;21;22;23;24;25;26;27;28},
     COUNTIFS($U$2:$U$200,$G359)&gt;0,
     COUNTIFS($V$2:$V$200,$G359)&gt;0,
     COUNTIFS($W$2:$W$200,$G359)&gt;0,
     COUNTIFS($X$2:$X$200,$G359)&gt;0,
     COUNTIFS($Y$2:$Y$200,$G359)&gt;0,
     COUNTIFS($Z$2:$Z$200,$G359)&gt;0,
     COUNTIFS($AA$2:$AA$200,$G359)&gt;0,
     COUNTIFS($AB$2:$AB$200,$G359)&gt;0,
     COUNTIFS($AC$2:$AC$200,$G359)&gt;0,
     COUNTIFS($AD$2:$AD$200,$G359)&gt;0,
     COUNTIFS($AE$2:$AE$200,$G359)&gt;0,
     COUNTIFS($AF$2:$AF$200,$G359)&gt;0,
     COUNTIFS($AG$2:$AG$200,$G359)&gt;0,
     COUNTIFS($AH$2:$AH$200,$G359)&gt;0,
     COUNTIFS($AI$2:$AI$200,$G359)&gt;0,
     COUNTIFS($AJ$2:$AJ$200,$G359)&gt;0,
     COUNTIFS($AK$2:$AK$200,$G359)&gt;0,
     COUNTIFS($AL$2:$AL$200,$G359)&gt;0,
     COUNTIFS($AM$2:$AM$200,$G359)&gt;0,
     COUNTIFS($AN$2:$AN$200,$G359)&gt;0,
     COUNTIFS($AO$2:$AO$200,$G359)&gt;0,
     COUNTIFS($AP$2:$AP$200,$G359)&gt;0,
     COUNTIFS($AQ$2:$AQ$200,$G359)&gt;0,
     COUNTIFS($AR$2:$AR$200,$G359)&gt;0,
     COUNTIFS($AS$2:$AS$200,$G359)&gt;0,
     COUNTIFS($AT$2:$AT$200,$G359)&gt;0,
     COUNTIFS($AU$2:$AU$200,$G359)&gt;0,
     COUNTIFS($AV$2:$AV$200,$G359)&gt;0
   )),
  3)
 ),
"")</f>
        <v/>
      </c>
      <c r="F359" s="3" t="str" cm="1">
        <f t="array" ref="F359">IFERROR(
 INDEX($U$1:$AV$1,
  _xlfn.AGGREGATE(15,6,
   (COLUMN($U$1:$AV$1)-COLUMN($U$1)+1)/
   TRANSPOSE(
    CHOOSE({1;2;3;4;5;6;7;8;9;10;11;12;13;14;15;16;17;18;19;20;21;22;23;24;25;26;27;28},
     COUNTIFS($U$2:$U$200,$G359)&gt;0,
     COUNTIFS($V$2:$V$200,$G359)&gt;0,
     COUNTIFS($W$2:$W$200,$G359)&gt;0,
     COUNTIFS($X$2:$X$200,$G359)&gt;0,
     COUNTIFS($Y$2:$Y$200,$G359)&gt;0,
     COUNTIFS($Z$2:$Z$200,$G359)&gt;0,
     COUNTIFS($AA$2:$AA$200,$G359)&gt;0,
     COUNTIFS($AB$2:$AB$200,$G359)&gt;0,
     COUNTIFS($AC$2:$AC$200,$G359)&gt;0,
     COUNTIFS($AD$2:$AD$200,$G359)&gt;0,
     COUNTIFS($AE$2:$AE$200,$G359)&gt;0,
     COUNTIFS($AF$2:$AF$200,$G359)&gt;0,
     COUNTIFS($AG$2:$AG$200,$G359)&gt;0,
     COUNTIFS($AH$2:$AH$200,$G359)&gt;0,
     COUNTIFS($AI$2:$AI$200,$G359)&gt;0,
     COUNTIFS($AJ$2:$AJ$200,$G359)&gt;0,
     COUNTIFS($AK$2:$AK$200,$G359)&gt;0,
     COUNTIFS($AL$2:$AL$200,$G359)&gt;0,
     COUNTIFS($AM$2:$AM$200,$G359)&gt;0,
     COUNTIFS($AN$2:$AN$200,$G359)&gt;0,
     COUNTIFS($AO$2:$AO$200,$G359)&gt;0,
     COUNTIFS($AP$2:$AP$200,$G359)&gt;0,
     COUNTIFS($AQ$2:$AQ$200,$G359)&gt;0,
     COUNTIFS($AR$2:$AR$200,$G359)&gt;0,
     COUNTIFS($AS$2:$AS$200,$G359)&gt;0,
     COUNTIFS($AT$2:$AT$200,$G359)&gt;0,
     COUNTIFS($AU$2:$AU$200,$G359)&gt;0,
     COUNTIFS($AV$2:$AV$200,$G359)&gt;0
   )),
  4)
 ),
"")</f>
        <v/>
      </c>
    </row>
    <row r="360" spans="1:6" x14ac:dyDescent="0.25">
      <c r="A360" s="3" t="str">
        <f t="shared" si="12"/>
        <v/>
      </c>
      <c r="B360" s="3">
        <f t="shared" si="13"/>
        <v>0</v>
      </c>
      <c r="C360" s="3" t="str">
        <f>IFERROR(
 INDEX($U$1:$AX$1,
  MATCH(TRUE,
   CHOOSE({1;2;3;4;5;6;7;8;9;10;11;12;13;14;15;16;17;18;19;20;21;22;23;24;25;26;27;28;29;30;31;32},
    COUNTIFS($U$2:$U$200,$G360)&gt;0,
    COUNTIFS($V$2:$V$200,$G360)&gt;0,
    COUNTIFS($W$2:$W$200,$G360)&gt;0,
    COUNTIFS($X$2:$X$200,$G360)&gt;0,
    COUNTIFS($Y$2:$Y$200,$G360)&gt;0,
    COUNTIFS($Z$2:$Z$200,$G360)&gt;0,
    COUNTIFS($AA$2:$AA$200,$G360)&gt;0,
    COUNTIFS($AB$2:$AB$200,$G360)&gt;0,
    COUNTIFS($AC$2:$AC$200,$G360)&gt;0,
    COUNTIFS($AD$2:$AD$200,$G360)&gt;0,
    COUNTIFS($AE$2:$AE$200,$G360)&gt;0,
    COUNTIFS($AF$2:$AF$200,$G360)&gt;0,
    COUNTIFS($AG$2:$AG$200,$G360)&gt;0,
    COUNTIFS($AH$2:$AH$200,$G360)&gt;0,
    COUNTIFS($AI$2:$AI$200,$G360)&gt;0,
    COUNTIFS($AJ$2:$AJ$200,$G360)&gt;0,
    COUNTIFS($AK$2:$AK$200,$G360)&gt;0,
    COUNTIFS($AL$2:$AL$200,$G360)&gt;0,
    COUNTIFS($AM$2:$AM$200,$G360)&gt;0,
    COUNTIFS($AN$2:$AN$200,$G360)&gt;0,
    COUNTIFS($AO$2:$AO$200,$G360)&gt;0,
    COUNTIFS($AP$2:$AP$200,$G360)&gt;0,
    COUNTIFS($AQ$2:$AQ$200,$G360)&gt;0,
    COUNTIFS($AR$2:$AR$200,$G360)&gt;0,
    COUNTIFS($AS$2:$AS$200,$G360)&gt;0,
    COUNTIFS($AT$2:$AT$200,$G360)&gt;0,
    COUNTIFS($AU$2:$AU$200,$G360)&gt;0,
    COUNTIFS($AV$2:$AV$200,$G360)&gt;0,
    COUNTIFS($AW$2:$AW$200,$G360)&gt;0,
    COUNTIFS($AX$2:$AX$200,$G360)&gt;0
   ),
  0)
 ),
"")</f>
        <v/>
      </c>
      <c r="D360" s="3" t="str" cm="1">
        <f t="array" ref="D360">IFERROR(
 INDEX(
  _xlfn._xlws.FILTER($U$1:$AV$1,
   TRANSPOSE(
    CHOOSE({1;2;3;4;5;6;7;8;9;10;11;12;13;14;15;16;17;18;19;20;21;22;23;24;25;26;27;28},
     COUNTIFS($U$2:$U$200,$G360)&gt;0,
     COUNTIFS($V$2:$V$200,$G360)&gt;0,
     COUNTIFS($W$2:$W$200,$G360)&gt;0,
     COUNTIFS($X$2:$X$200,$G360)&gt;0,
     COUNTIFS($Y$2:$Y$200,$G360)&gt;0,
     COUNTIFS($Z$2:$Z$200,$G360)&gt;0,
     COUNTIFS($AA$2:$AA$200,$G360)&gt;0,
     COUNTIFS($AB$2:$AB$200,$G360)&gt;0,
     COUNTIFS($AC$2:$AC$200,$G360)&gt;0,
     COUNTIFS($AD$2:$AD$200,$G360)&gt;0,
     COUNTIFS($AE$2:$AE$200,$G360)&gt;0,
     COUNTIFS($AF$2:$AF$200,$G360)&gt;0,
     COUNTIFS($AG$2:$AG$200,$G360)&gt;0,
     COUNTIFS($AH$2:$AH$200,$G360)&gt;0,
     COUNTIFS($AI$2:$AI$200,$G360)&gt;0,
     COUNTIFS($AJ$2:$AJ$200,$G360)&gt;0,
     COUNTIFS($AK$2:$AK$200,$G360)&gt;0,
     COUNTIFS($AL$2:$AL$200,$G360)&gt;0,
     COUNTIFS($AM$2:$AM$200,$G360)&gt;0,
     COUNTIFS($AN$2:$AN$200,$G360)&gt;0,
     COUNTIFS($AO$2:$AO$200,$G360)&gt;0,
     COUNTIFS($AP$2:$AP$200,$G360)&gt;0,
     COUNTIFS($AQ$2:$AQ$200,$G360)&gt;0,
     COUNTIFS($AR$2:$AR$200,$G360)&gt;0,
     COUNTIFS($AS$2:$AS$200,$G360)&gt;0,
     COUNTIFS($AT$2:$AT$200,$G360)&gt;0,
     COUNTIFS($AU$2:$AU$200,$G360)&gt;0,
     COUNTIFS($AV$2:$AV$200,$G360)&gt;0
   )),
  ),
  2
 ),
"")</f>
        <v/>
      </c>
      <c r="E360" s="3" t="str" cm="1">
        <f t="array" ref="E360">IFERROR(
 INDEX($U$1:$AV$1,
  _xlfn.AGGREGATE(15,6,
   (COLUMN($U$1:$AV$1)-COLUMN($U$1)+1)/
   TRANSPOSE(
    CHOOSE({1;2;3;4;5;6;7;8;9;10;11;12;13;14;15;16;17;18;19;20;21;22;23;24;25;26;27;28},
     COUNTIFS($U$2:$U$200,$G360)&gt;0,
     COUNTIFS($V$2:$V$200,$G360)&gt;0,
     COUNTIFS($W$2:$W$200,$G360)&gt;0,
     COUNTIFS($X$2:$X$200,$G360)&gt;0,
     COUNTIFS($Y$2:$Y$200,$G360)&gt;0,
     COUNTIFS($Z$2:$Z$200,$G360)&gt;0,
     COUNTIFS($AA$2:$AA$200,$G360)&gt;0,
     COUNTIFS($AB$2:$AB$200,$G360)&gt;0,
     COUNTIFS($AC$2:$AC$200,$G360)&gt;0,
     COUNTIFS($AD$2:$AD$200,$G360)&gt;0,
     COUNTIFS($AE$2:$AE$200,$G360)&gt;0,
     COUNTIFS($AF$2:$AF$200,$G360)&gt;0,
     COUNTIFS($AG$2:$AG$200,$G360)&gt;0,
     COUNTIFS($AH$2:$AH$200,$G360)&gt;0,
     COUNTIFS($AI$2:$AI$200,$G360)&gt;0,
     COUNTIFS($AJ$2:$AJ$200,$G360)&gt;0,
     COUNTIFS($AK$2:$AK$200,$G360)&gt;0,
     COUNTIFS($AL$2:$AL$200,$G360)&gt;0,
     COUNTIFS($AM$2:$AM$200,$G360)&gt;0,
     COUNTIFS($AN$2:$AN$200,$G360)&gt;0,
     COUNTIFS($AO$2:$AO$200,$G360)&gt;0,
     COUNTIFS($AP$2:$AP$200,$G360)&gt;0,
     COUNTIFS($AQ$2:$AQ$200,$G360)&gt;0,
     COUNTIFS($AR$2:$AR$200,$G360)&gt;0,
     COUNTIFS($AS$2:$AS$200,$G360)&gt;0,
     COUNTIFS($AT$2:$AT$200,$G360)&gt;0,
     COUNTIFS($AU$2:$AU$200,$G360)&gt;0,
     COUNTIFS($AV$2:$AV$200,$G360)&gt;0
   )),
  3)
 ),
"")</f>
        <v/>
      </c>
      <c r="F360" s="3" t="str" cm="1">
        <f t="array" ref="F360">IFERROR(
 INDEX($U$1:$AV$1,
  _xlfn.AGGREGATE(15,6,
   (COLUMN($U$1:$AV$1)-COLUMN($U$1)+1)/
   TRANSPOSE(
    CHOOSE({1;2;3;4;5;6;7;8;9;10;11;12;13;14;15;16;17;18;19;20;21;22;23;24;25;26;27;28},
     COUNTIFS($U$2:$U$200,$G360)&gt;0,
     COUNTIFS($V$2:$V$200,$G360)&gt;0,
     COUNTIFS($W$2:$W$200,$G360)&gt;0,
     COUNTIFS($X$2:$X$200,$G360)&gt;0,
     COUNTIFS($Y$2:$Y$200,$G360)&gt;0,
     COUNTIFS($Z$2:$Z$200,$G360)&gt;0,
     COUNTIFS($AA$2:$AA$200,$G360)&gt;0,
     COUNTIFS($AB$2:$AB$200,$G360)&gt;0,
     COUNTIFS($AC$2:$AC$200,$G360)&gt;0,
     COUNTIFS($AD$2:$AD$200,$G360)&gt;0,
     COUNTIFS($AE$2:$AE$200,$G360)&gt;0,
     COUNTIFS($AF$2:$AF$200,$G360)&gt;0,
     COUNTIFS($AG$2:$AG$200,$G360)&gt;0,
     COUNTIFS($AH$2:$AH$200,$G360)&gt;0,
     COUNTIFS($AI$2:$AI$200,$G360)&gt;0,
     COUNTIFS($AJ$2:$AJ$200,$G360)&gt;0,
     COUNTIFS($AK$2:$AK$200,$G360)&gt;0,
     COUNTIFS($AL$2:$AL$200,$G360)&gt;0,
     COUNTIFS($AM$2:$AM$200,$G360)&gt;0,
     COUNTIFS($AN$2:$AN$200,$G360)&gt;0,
     COUNTIFS($AO$2:$AO$200,$G360)&gt;0,
     COUNTIFS($AP$2:$AP$200,$G360)&gt;0,
     COUNTIFS($AQ$2:$AQ$200,$G360)&gt;0,
     COUNTIFS($AR$2:$AR$200,$G360)&gt;0,
     COUNTIFS($AS$2:$AS$200,$G360)&gt;0,
     COUNTIFS($AT$2:$AT$200,$G360)&gt;0,
     COUNTIFS($AU$2:$AU$200,$G360)&gt;0,
     COUNTIFS($AV$2:$AV$200,$G360)&gt;0
   )),
  4)
 ),
"")</f>
        <v/>
      </c>
    </row>
    <row r="361" spans="1:6" x14ac:dyDescent="0.25">
      <c r="A361" s="3" t="str">
        <f t="shared" si="12"/>
        <v/>
      </c>
      <c r="B361" s="3">
        <f t="shared" si="13"/>
        <v>0</v>
      </c>
      <c r="C361" s="3" t="str">
        <f>IFERROR(
 INDEX($U$1:$AX$1,
  MATCH(TRUE,
   CHOOSE({1;2;3;4;5;6;7;8;9;10;11;12;13;14;15;16;17;18;19;20;21;22;23;24;25;26;27;28;29;30;31;32},
    COUNTIFS($U$2:$U$200,$G361)&gt;0,
    COUNTIFS($V$2:$V$200,$G361)&gt;0,
    COUNTIFS($W$2:$W$200,$G361)&gt;0,
    COUNTIFS($X$2:$X$200,$G361)&gt;0,
    COUNTIFS($Y$2:$Y$200,$G361)&gt;0,
    COUNTIFS($Z$2:$Z$200,$G361)&gt;0,
    COUNTIFS($AA$2:$AA$200,$G361)&gt;0,
    COUNTIFS($AB$2:$AB$200,$G361)&gt;0,
    COUNTIFS($AC$2:$AC$200,$G361)&gt;0,
    COUNTIFS($AD$2:$AD$200,$G361)&gt;0,
    COUNTIFS($AE$2:$AE$200,$G361)&gt;0,
    COUNTIFS($AF$2:$AF$200,$G361)&gt;0,
    COUNTIFS($AG$2:$AG$200,$G361)&gt;0,
    COUNTIFS($AH$2:$AH$200,$G361)&gt;0,
    COUNTIFS($AI$2:$AI$200,$G361)&gt;0,
    COUNTIFS($AJ$2:$AJ$200,$G361)&gt;0,
    COUNTIFS($AK$2:$AK$200,$G361)&gt;0,
    COUNTIFS($AL$2:$AL$200,$G361)&gt;0,
    COUNTIFS($AM$2:$AM$200,$G361)&gt;0,
    COUNTIFS($AN$2:$AN$200,$G361)&gt;0,
    COUNTIFS($AO$2:$AO$200,$G361)&gt;0,
    COUNTIFS($AP$2:$AP$200,$G361)&gt;0,
    COUNTIFS($AQ$2:$AQ$200,$G361)&gt;0,
    COUNTIFS($AR$2:$AR$200,$G361)&gt;0,
    COUNTIFS($AS$2:$AS$200,$G361)&gt;0,
    COUNTIFS($AT$2:$AT$200,$G361)&gt;0,
    COUNTIFS($AU$2:$AU$200,$G361)&gt;0,
    COUNTIFS($AV$2:$AV$200,$G361)&gt;0,
    COUNTIFS($AW$2:$AW$200,$G361)&gt;0,
    COUNTIFS($AX$2:$AX$200,$G361)&gt;0
   ),
  0)
 ),
"")</f>
        <v/>
      </c>
      <c r="D361" s="3" t="str" cm="1">
        <f t="array" ref="D361">IFERROR(
 INDEX(
  _xlfn._xlws.FILTER($U$1:$AV$1,
   TRANSPOSE(
    CHOOSE({1;2;3;4;5;6;7;8;9;10;11;12;13;14;15;16;17;18;19;20;21;22;23;24;25;26;27;28},
     COUNTIFS($U$2:$U$200,$G361)&gt;0,
     COUNTIFS($V$2:$V$200,$G361)&gt;0,
     COUNTIFS($W$2:$W$200,$G361)&gt;0,
     COUNTIFS($X$2:$X$200,$G361)&gt;0,
     COUNTIFS($Y$2:$Y$200,$G361)&gt;0,
     COUNTIFS($Z$2:$Z$200,$G361)&gt;0,
     COUNTIFS($AA$2:$AA$200,$G361)&gt;0,
     COUNTIFS($AB$2:$AB$200,$G361)&gt;0,
     COUNTIFS($AC$2:$AC$200,$G361)&gt;0,
     COUNTIFS($AD$2:$AD$200,$G361)&gt;0,
     COUNTIFS($AE$2:$AE$200,$G361)&gt;0,
     COUNTIFS($AF$2:$AF$200,$G361)&gt;0,
     COUNTIFS($AG$2:$AG$200,$G361)&gt;0,
     COUNTIFS($AH$2:$AH$200,$G361)&gt;0,
     COUNTIFS($AI$2:$AI$200,$G361)&gt;0,
     COUNTIFS($AJ$2:$AJ$200,$G361)&gt;0,
     COUNTIFS($AK$2:$AK$200,$G361)&gt;0,
     COUNTIFS($AL$2:$AL$200,$G361)&gt;0,
     COUNTIFS($AM$2:$AM$200,$G361)&gt;0,
     COUNTIFS($AN$2:$AN$200,$G361)&gt;0,
     COUNTIFS($AO$2:$AO$200,$G361)&gt;0,
     COUNTIFS($AP$2:$AP$200,$G361)&gt;0,
     COUNTIFS($AQ$2:$AQ$200,$G361)&gt;0,
     COUNTIFS($AR$2:$AR$200,$G361)&gt;0,
     COUNTIFS($AS$2:$AS$200,$G361)&gt;0,
     COUNTIFS($AT$2:$AT$200,$G361)&gt;0,
     COUNTIFS($AU$2:$AU$200,$G361)&gt;0,
     COUNTIFS($AV$2:$AV$200,$G361)&gt;0
   )),
  ),
  2
 ),
"")</f>
        <v/>
      </c>
      <c r="E361" s="3" t="str" cm="1">
        <f t="array" ref="E361">IFERROR(
 INDEX($U$1:$AV$1,
  _xlfn.AGGREGATE(15,6,
   (COLUMN($U$1:$AV$1)-COLUMN($U$1)+1)/
   TRANSPOSE(
    CHOOSE({1;2;3;4;5;6;7;8;9;10;11;12;13;14;15;16;17;18;19;20;21;22;23;24;25;26;27;28},
     COUNTIFS($U$2:$U$200,$G361)&gt;0,
     COUNTIFS($V$2:$V$200,$G361)&gt;0,
     COUNTIFS($W$2:$W$200,$G361)&gt;0,
     COUNTIFS($X$2:$X$200,$G361)&gt;0,
     COUNTIFS($Y$2:$Y$200,$G361)&gt;0,
     COUNTIFS($Z$2:$Z$200,$G361)&gt;0,
     COUNTIFS($AA$2:$AA$200,$G361)&gt;0,
     COUNTIFS($AB$2:$AB$200,$G361)&gt;0,
     COUNTIFS($AC$2:$AC$200,$G361)&gt;0,
     COUNTIFS($AD$2:$AD$200,$G361)&gt;0,
     COUNTIFS($AE$2:$AE$200,$G361)&gt;0,
     COUNTIFS($AF$2:$AF$200,$G361)&gt;0,
     COUNTIFS($AG$2:$AG$200,$G361)&gt;0,
     COUNTIFS($AH$2:$AH$200,$G361)&gt;0,
     COUNTIFS($AI$2:$AI$200,$G361)&gt;0,
     COUNTIFS($AJ$2:$AJ$200,$G361)&gt;0,
     COUNTIFS($AK$2:$AK$200,$G361)&gt;0,
     COUNTIFS($AL$2:$AL$200,$G361)&gt;0,
     COUNTIFS($AM$2:$AM$200,$G361)&gt;0,
     COUNTIFS($AN$2:$AN$200,$G361)&gt;0,
     COUNTIFS($AO$2:$AO$200,$G361)&gt;0,
     COUNTIFS($AP$2:$AP$200,$G361)&gt;0,
     COUNTIFS($AQ$2:$AQ$200,$G361)&gt;0,
     COUNTIFS($AR$2:$AR$200,$G361)&gt;0,
     COUNTIFS($AS$2:$AS$200,$G361)&gt;0,
     COUNTIFS($AT$2:$AT$200,$G361)&gt;0,
     COUNTIFS($AU$2:$AU$200,$G361)&gt;0,
     COUNTIFS($AV$2:$AV$200,$G361)&gt;0
   )),
  3)
 ),
"")</f>
        <v/>
      </c>
      <c r="F361" s="3" t="str" cm="1">
        <f t="array" ref="F361">IFERROR(
 INDEX($U$1:$AV$1,
  _xlfn.AGGREGATE(15,6,
   (COLUMN($U$1:$AV$1)-COLUMN($U$1)+1)/
   TRANSPOSE(
    CHOOSE({1;2;3;4;5;6;7;8;9;10;11;12;13;14;15;16;17;18;19;20;21;22;23;24;25;26;27;28},
     COUNTIFS($U$2:$U$200,$G361)&gt;0,
     COUNTIFS($V$2:$V$200,$G361)&gt;0,
     COUNTIFS($W$2:$W$200,$G361)&gt;0,
     COUNTIFS($X$2:$X$200,$G361)&gt;0,
     COUNTIFS($Y$2:$Y$200,$G361)&gt;0,
     COUNTIFS($Z$2:$Z$200,$G361)&gt;0,
     COUNTIFS($AA$2:$AA$200,$G361)&gt;0,
     COUNTIFS($AB$2:$AB$200,$G361)&gt;0,
     COUNTIFS($AC$2:$AC$200,$G361)&gt;0,
     COUNTIFS($AD$2:$AD$200,$G361)&gt;0,
     COUNTIFS($AE$2:$AE$200,$G361)&gt;0,
     COUNTIFS($AF$2:$AF$200,$G361)&gt;0,
     COUNTIFS($AG$2:$AG$200,$G361)&gt;0,
     COUNTIFS($AH$2:$AH$200,$G361)&gt;0,
     COUNTIFS($AI$2:$AI$200,$G361)&gt;0,
     COUNTIFS($AJ$2:$AJ$200,$G361)&gt;0,
     COUNTIFS($AK$2:$AK$200,$G361)&gt;0,
     COUNTIFS($AL$2:$AL$200,$G361)&gt;0,
     COUNTIFS($AM$2:$AM$200,$G361)&gt;0,
     COUNTIFS($AN$2:$AN$200,$G361)&gt;0,
     COUNTIFS($AO$2:$AO$200,$G361)&gt;0,
     COUNTIFS($AP$2:$AP$200,$G361)&gt;0,
     COUNTIFS($AQ$2:$AQ$200,$G361)&gt;0,
     COUNTIFS($AR$2:$AR$200,$G361)&gt;0,
     COUNTIFS($AS$2:$AS$200,$G361)&gt;0,
     COUNTIFS($AT$2:$AT$200,$G361)&gt;0,
     COUNTIFS($AU$2:$AU$200,$G361)&gt;0,
     COUNTIFS($AV$2:$AV$200,$G361)&gt;0
   )),
  4)
 ),
"")</f>
        <v/>
      </c>
    </row>
    <row r="362" spans="1:6" x14ac:dyDescent="0.25">
      <c r="A362" s="3" t="str">
        <f t="shared" si="12"/>
        <v/>
      </c>
      <c r="B362" s="3">
        <f t="shared" si="13"/>
        <v>0</v>
      </c>
      <c r="C362" s="3" t="str">
        <f>IFERROR(
 INDEX($U$1:$AX$1,
  MATCH(TRUE,
   CHOOSE({1;2;3;4;5;6;7;8;9;10;11;12;13;14;15;16;17;18;19;20;21;22;23;24;25;26;27;28;29;30;31;32},
    COUNTIFS($U$2:$U$200,$G362)&gt;0,
    COUNTIFS($V$2:$V$200,$G362)&gt;0,
    COUNTIFS($W$2:$W$200,$G362)&gt;0,
    COUNTIFS($X$2:$X$200,$G362)&gt;0,
    COUNTIFS($Y$2:$Y$200,$G362)&gt;0,
    COUNTIFS($Z$2:$Z$200,$G362)&gt;0,
    COUNTIFS($AA$2:$AA$200,$G362)&gt;0,
    COUNTIFS($AB$2:$AB$200,$G362)&gt;0,
    COUNTIFS($AC$2:$AC$200,$G362)&gt;0,
    COUNTIFS($AD$2:$AD$200,$G362)&gt;0,
    COUNTIFS($AE$2:$AE$200,$G362)&gt;0,
    COUNTIFS($AF$2:$AF$200,$G362)&gt;0,
    COUNTIFS($AG$2:$AG$200,$G362)&gt;0,
    COUNTIFS($AH$2:$AH$200,$G362)&gt;0,
    COUNTIFS($AI$2:$AI$200,$G362)&gt;0,
    COUNTIFS($AJ$2:$AJ$200,$G362)&gt;0,
    COUNTIFS($AK$2:$AK$200,$G362)&gt;0,
    COUNTIFS($AL$2:$AL$200,$G362)&gt;0,
    COUNTIFS($AM$2:$AM$200,$G362)&gt;0,
    COUNTIFS($AN$2:$AN$200,$G362)&gt;0,
    COUNTIFS($AO$2:$AO$200,$G362)&gt;0,
    COUNTIFS($AP$2:$AP$200,$G362)&gt;0,
    COUNTIFS($AQ$2:$AQ$200,$G362)&gt;0,
    COUNTIFS($AR$2:$AR$200,$G362)&gt;0,
    COUNTIFS($AS$2:$AS$200,$G362)&gt;0,
    COUNTIFS($AT$2:$AT$200,$G362)&gt;0,
    COUNTIFS($AU$2:$AU$200,$G362)&gt;0,
    COUNTIFS($AV$2:$AV$200,$G362)&gt;0,
    COUNTIFS($AW$2:$AW$200,$G362)&gt;0,
    COUNTIFS($AX$2:$AX$200,$G362)&gt;0
   ),
  0)
 ),
"")</f>
        <v/>
      </c>
      <c r="D362" s="3" t="str" cm="1">
        <f t="array" ref="D362">IFERROR(
 INDEX(
  _xlfn._xlws.FILTER($U$1:$AV$1,
   TRANSPOSE(
    CHOOSE({1;2;3;4;5;6;7;8;9;10;11;12;13;14;15;16;17;18;19;20;21;22;23;24;25;26;27;28},
     COUNTIFS($U$2:$U$200,$G362)&gt;0,
     COUNTIFS($V$2:$V$200,$G362)&gt;0,
     COUNTIFS($W$2:$W$200,$G362)&gt;0,
     COUNTIFS($X$2:$X$200,$G362)&gt;0,
     COUNTIFS($Y$2:$Y$200,$G362)&gt;0,
     COUNTIFS($Z$2:$Z$200,$G362)&gt;0,
     COUNTIFS($AA$2:$AA$200,$G362)&gt;0,
     COUNTIFS($AB$2:$AB$200,$G362)&gt;0,
     COUNTIFS($AC$2:$AC$200,$G362)&gt;0,
     COUNTIFS($AD$2:$AD$200,$G362)&gt;0,
     COUNTIFS($AE$2:$AE$200,$G362)&gt;0,
     COUNTIFS($AF$2:$AF$200,$G362)&gt;0,
     COUNTIFS($AG$2:$AG$200,$G362)&gt;0,
     COUNTIFS($AH$2:$AH$200,$G362)&gt;0,
     COUNTIFS($AI$2:$AI$200,$G362)&gt;0,
     COUNTIFS($AJ$2:$AJ$200,$G362)&gt;0,
     COUNTIFS($AK$2:$AK$200,$G362)&gt;0,
     COUNTIFS($AL$2:$AL$200,$G362)&gt;0,
     COUNTIFS($AM$2:$AM$200,$G362)&gt;0,
     COUNTIFS($AN$2:$AN$200,$G362)&gt;0,
     COUNTIFS($AO$2:$AO$200,$G362)&gt;0,
     COUNTIFS($AP$2:$AP$200,$G362)&gt;0,
     COUNTIFS($AQ$2:$AQ$200,$G362)&gt;0,
     COUNTIFS($AR$2:$AR$200,$G362)&gt;0,
     COUNTIFS($AS$2:$AS$200,$G362)&gt;0,
     COUNTIFS($AT$2:$AT$200,$G362)&gt;0,
     COUNTIFS($AU$2:$AU$200,$G362)&gt;0,
     COUNTIFS($AV$2:$AV$200,$G362)&gt;0
   )),
  ),
  2
 ),
"")</f>
        <v/>
      </c>
      <c r="E362" s="3" t="str" cm="1">
        <f t="array" ref="E362">IFERROR(
 INDEX($U$1:$AV$1,
  _xlfn.AGGREGATE(15,6,
   (COLUMN($U$1:$AV$1)-COLUMN($U$1)+1)/
   TRANSPOSE(
    CHOOSE({1;2;3;4;5;6;7;8;9;10;11;12;13;14;15;16;17;18;19;20;21;22;23;24;25;26;27;28},
     COUNTIFS($U$2:$U$200,$G362)&gt;0,
     COUNTIFS($V$2:$V$200,$G362)&gt;0,
     COUNTIFS($W$2:$W$200,$G362)&gt;0,
     COUNTIFS($X$2:$X$200,$G362)&gt;0,
     COUNTIFS($Y$2:$Y$200,$G362)&gt;0,
     COUNTIFS($Z$2:$Z$200,$G362)&gt;0,
     COUNTIFS($AA$2:$AA$200,$G362)&gt;0,
     COUNTIFS($AB$2:$AB$200,$G362)&gt;0,
     COUNTIFS($AC$2:$AC$200,$G362)&gt;0,
     COUNTIFS($AD$2:$AD$200,$G362)&gt;0,
     COUNTIFS($AE$2:$AE$200,$G362)&gt;0,
     COUNTIFS($AF$2:$AF$200,$G362)&gt;0,
     COUNTIFS($AG$2:$AG$200,$G362)&gt;0,
     COUNTIFS($AH$2:$AH$200,$G362)&gt;0,
     COUNTIFS($AI$2:$AI$200,$G362)&gt;0,
     COUNTIFS($AJ$2:$AJ$200,$G362)&gt;0,
     COUNTIFS($AK$2:$AK$200,$G362)&gt;0,
     COUNTIFS($AL$2:$AL$200,$G362)&gt;0,
     COUNTIFS($AM$2:$AM$200,$G362)&gt;0,
     COUNTIFS($AN$2:$AN$200,$G362)&gt;0,
     COUNTIFS($AO$2:$AO$200,$G362)&gt;0,
     COUNTIFS($AP$2:$AP$200,$G362)&gt;0,
     COUNTIFS($AQ$2:$AQ$200,$G362)&gt;0,
     COUNTIFS($AR$2:$AR$200,$G362)&gt;0,
     COUNTIFS($AS$2:$AS$200,$G362)&gt;0,
     COUNTIFS($AT$2:$AT$200,$G362)&gt;0,
     COUNTIFS($AU$2:$AU$200,$G362)&gt;0,
     COUNTIFS($AV$2:$AV$200,$G362)&gt;0
   )),
  3)
 ),
"")</f>
        <v/>
      </c>
      <c r="F362" s="3" t="str" cm="1">
        <f t="array" ref="F362">IFERROR(
 INDEX($U$1:$AV$1,
  _xlfn.AGGREGATE(15,6,
   (COLUMN($U$1:$AV$1)-COLUMN($U$1)+1)/
   TRANSPOSE(
    CHOOSE({1;2;3;4;5;6;7;8;9;10;11;12;13;14;15;16;17;18;19;20;21;22;23;24;25;26;27;28},
     COUNTIFS($U$2:$U$200,$G362)&gt;0,
     COUNTIFS($V$2:$V$200,$G362)&gt;0,
     COUNTIFS($W$2:$W$200,$G362)&gt;0,
     COUNTIFS($X$2:$X$200,$G362)&gt;0,
     COUNTIFS($Y$2:$Y$200,$G362)&gt;0,
     COUNTIFS($Z$2:$Z$200,$G362)&gt;0,
     COUNTIFS($AA$2:$AA$200,$G362)&gt;0,
     COUNTIFS($AB$2:$AB$200,$G362)&gt;0,
     COUNTIFS($AC$2:$AC$200,$G362)&gt;0,
     COUNTIFS($AD$2:$AD$200,$G362)&gt;0,
     COUNTIFS($AE$2:$AE$200,$G362)&gt;0,
     COUNTIFS($AF$2:$AF$200,$G362)&gt;0,
     COUNTIFS($AG$2:$AG$200,$G362)&gt;0,
     COUNTIFS($AH$2:$AH$200,$G362)&gt;0,
     COUNTIFS($AI$2:$AI$200,$G362)&gt;0,
     COUNTIFS($AJ$2:$AJ$200,$G362)&gt;0,
     COUNTIFS($AK$2:$AK$200,$G362)&gt;0,
     COUNTIFS($AL$2:$AL$200,$G362)&gt;0,
     COUNTIFS($AM$2:$AM$200,$G362)&gt;0,
     COUNTIFS($AN$2:$AN$200,$G362)&gt;0,
     COUNTIFS($AO$2:$AO$200,$G362)&gt;0,
     COUNTIFS($AP$2:$AP$200,$G362)&gt;0,
     COUNTIFS($AQ$2:$AQ$200,$G362)&gt;0,
     COUNTIFS($AR$2:$AR$200,$G362)&gt;0,
     COUNTIFS($AS$2:$AS$200,$G362)&gt;0,
     COUNTIFS($AT$2:$AT$200,$G362)&gt;0,
     COUNTIFS($AU$2:$AU$200,$G362)&gt;0,
     COUNTIFS($AV$2:$AV$200,$G362)&gt;0
   )),
  4)
 ),
"")</f>
        <v/>
      </c>
    </row>
    <row r="363" spans="1:6" x14ac:dyDescent="0.25">
      <c r="A363" s="3" t="str">
        <f t="shared" si="12"/>
        <v/>
      </c>
      <c r="B363" s="3">
        <f t="shared" si="13"/>
        <v>0</v>
      </c>
      <c r="C363" s="3" t="str">
        <f>IFERROR(
 INDEX($U$1:$AX$1,
  MATCH(TRUE,
   CHOOSE({1;2;3;4;5;6;7;8;9;10;11;12;13;14;15;16;17;18;19;20;21;22;23;24;25;26;27;28;29;30;31;32},
    COUNTIFS($U$2:$U$200,$G363)&gt;0,
    COUNTIFS($V$2:$V$200,$G363)&gt;0,
    COUNTIFS($W$2:$W$200,$G363)&gt;0,
    COUNTIFS($X$2:$X$200,$G363)&gt;0,
    COUNTIFS($Y$2:$Y$200,$G363)&gt;0,
    COUNTIFS($Z$2:$Z$200,$G363)&gt;0,
    COUNTIFS($AA$2:$AA$200,$G363)&gt;0,
    COUNTIFS($AB$2:$AB$200,$G363)&gt;0,
    COUNTIFS($AC$2:$AC$200,$G363)&gt;0,
    COUNTIFS($AD$2:$AD$200,$G363)&gt;0,
    COUNTIFS($AE$2:$AE$200,$G363)&gt;0,
    COUNTIFS($AF$2:$AF$200,$G363)&gt;0,
    COUNTIFS($AG$2:$AG$200,$G363)&gt;0,
    COUNTIFS($AH$2:$AH$200,$G363)&gt;0,
    COUNTIFS($AI$2:$AI$200,$G363)&gt;0,
    COUNTIFS($AJ$2:$AJ$200,$G363)&gt;0,
    COUNTIFS($AK$2:$AK$200,$G363)&gt;0,
    COUNTIFS($AL$2:$AL$200,$G363)&gt;0,
    COUNTIFS($AM$2:$AM$200,$G363)&gt;0,
    COUNTIFS($AN$2:$AN$200,$G363)&gt;0,
    COUNTIFS($AO$2:$AO$200,$G363)&gt;0,
    COUNTIFS($AP$2:$AP$200,$G363)&gt;0,
    COUNTIFS($AQ$2:$AQ$200,$G363)&gt;0,
    COUNTIFS($AR$2:$AR$200,$G363)&gt;0,
    COUNTIFS($AS$2:$AS$200,$G363)&gt;0,
    COUNTIFS($AT$2:$AT$200,$G363)&gt;0,
    COUNTIFS($AU$2:$AU$200,$G363)&gt;0,
    COUNTIFS($AV$2:$AV$200,$G363)&gt;0,
    COUNTIFS($AW$2:$AW$200,$G363)&gt;0,
    COUNTIFS($AX$2:$AX$200,$G363)&gt;0
   ),
  0)
 ),
"")</f>
        <v/>
      </c>
      <c r="D363" s="3" t="str" cm="1">
        <f t="array" ref="D363">IFERROR(
 INDEX(
  _xlfn._xlws.FILTER($U$1:$AV$1,
   TRANSPOSE(
    CHOOSE({1;2;3;4;5;6;7;8;9;10;11;12;13;14;15;16;17;18;19;20;21;22;23;24;25;26;27;28},
     COUNTIFS($U$2:$U$200,$G363)&gt;0,
     COUNTIFS($V$2:$V$200,$G363)&gt;0,
     COUNTIFS($W$2:$W$200,$G363)&gt;0,
     COUNTIFS($X$2:$X$200,$G363)&gt;0,
     COUNTIFS($Y$2:$Y$200,$G363)&gt;0,
     COUNTIFS($Z$2:$Z$200,$G363)&gt;0,
     COUNTIFS($AA$2:$AA$200,$G363)&gt;0,
     COUNTIFS($AB$2:$AB$200,$G363)&gt;0,
     COUNTIFS($AC$2:$AC$200,$G363)&gt;0,
     COUNTIFS($AD$2:$AD$200,$G363)&gt;0,
     COUNTIFS($AE$2:$AE$200,$G363)&gt;0,
     COUNTIFS($AF$2:$AF$200,$G363)&gt;0,
     COUNTIFS($AG$2:$AG$200,$G363)&gt;0,
     COUNTIFS($AH$2:$AH$200,$G363)&gt;0,
     COUNTIFS($AI$2:$AI$200,$G363)&gt;0,
     COUNTIFS($AJ$2:$AJ$200,$G363)&gt;0,
     COUNTIFS($AK$2:$AK$200,$G363)&gt;0,
     COUNTIFS($AL$2:$AL$200,$G363)&gt;0,
     COUNTIFS($AM$2:$AM$200,$G363)&gt;0,
     COUNTIFS($AN$2:$AN$200,$G363)&gt;0,
     COUNTIFS($AO$2:$AO$200,$G363)&gt;0,
     COUNTIFS($AP$2:$AP$200,$G363)&gt;0,
     COUNTIFS($AQ$2:$AQ$200,$G363)&gt;0,
     COUNTIFS($AR$2:$AR$200,$G363)&gt;0,
     COUNTIFS($AS$2:$AS$200,$G363)&gt;0,
     COUNTIFS($AT$2:$AT$200,$G363)&gt;0,
     COUNTIFS($AU$2:$AU$200,$G363)&gt;0,
     COUNTIFS($AV$2:$AV$200,$G363)&gt;0
   )),
  ),
  2
 ),
"")</f>
        <v/>
      </c>
      <c r="E363" s="3" t="str" cm="1">
        <f t="array" ref="E363">IFERROR(
 INDEX($U$1:$AV$1,
  _xlfn.AGGREGATE(15,6,
   (COLUMN($U$1:$AV$1)-COLUMN($U$1)+1)/
   TRANSPOSE(
    CHOOSE({1;2;3;4;5;6;7;8;9;10;11;12;13;14;15;16;17;18;19;20;21;22;23;24;25;26;27;28},
     COUNTIFS($U$2:$U$200,$G363)&gt;0,
     COUNTIFS($V$2:$V$200,$G363)&gt;0,
     COUNTIFS($W$2:$W$200,$G363)&gt;0,
     COUNTIFS($X$2:$X$200,$G363)&gt;0,
     COUNTIFS($Y$2:$Y$200,$G363)&gt;0,
     COUNTIFS($Z$2:$Z$200,$G363)&gt;0,
     COUNTIFS($AA$2:$AA$200,$G363)&gt;0,
     COUNTIFS($AB$2:$AB$200,$G363)&gt;0,
     COUNTIFS($AC$2:$AC$200,$G363)&gt;0,
     COUNTIFS($AD$2:$AD$200,$G363)&gt;0,
     COUNTIFS($AE$2:$AE$200,$G363)&gt;0,
     COUNTIFS($AF$2:$AF$200,$G363)&gt;0,
     COUNTIFS($AG$2:$AG$200,$G363)&gt;0,
     COUNTIFS($AH$2:$AH$200,$G363)&gt;0,
     COUNTIFS($AI$2:$AI$200,$G363)&gt;0,
     COUNTIFS($AJ$2:$AJ$200,$G363)&gt;0,
     COUNTIFS($AK$2:$AK$200,$G363)&gt;0,
     COUNTIFS($AL$2:$AL$200,$G363)&gt;0,
     COUNTIFS($AM$2:$AM$200,$G363)&gt;0,
     COUNTIFS($AN$2:$AN$200,$G363)&gt;0,
     COUNTIFS($AO$2:$AO$200,$G363)&gt;0,
     COUNTIFS($AP$2:$AP$200,$G363)&gt;0,
     COUNTIFS($AQ$2:$AQ$200,$G363)&gt;0,
     COUNTIFS($AR$2:$AR$200,$G363)&gt;0,
     COUNTIFS($AS$2:$AS$200,$G363)&gt;0,
     COUNTIFS($AT$2:$AT$200,$G363)&gt;0,
     COUNTIFS($AU$2:$AU$200,$G363)&gt;0,
     COUNTIFS($AV$2:$AV$200,$G363)&gt;0
   )),
  3)
 ),
"")</f>
        <v/>
      </c>
      <c r="F363" s="3" t="str" cm="1">
        <f t="array" ref="F363">IFERROR(
 INDEX($U$1:$AV$1,
  _xlfn.AGGREGATE(15,6,
   (COLUMN($U$1:$AV$1)-COLUMN($U$1)+1)/
   TRANSPOSE(
    CHOOSE({1;2;3;4;5;6;7;8;9;10;11;12;13;14;15;16;17;18;19;20;21;22;23;24;25;26;27;28},
     COUNTIFS($U$2:$U$200,$G363)&gt;0,
     COUNTIFS($V$2:$V$200,$G363)&gt;0,
     COUNTIFS($W$2:$W$200,$G363)&gt;0,
     COUNTIFS($X$2:$X$200,$G363)&gt;0,
     COUNTIFS($Y$2:$Y$200,$G363)&gt;0,
     COUNTIFS($Z$2:$Z$200,$G363)&gt;0,
     COUNTIFS($AA$2:$AA$200,$G363)&gt;0,
     COUNTIFS($AB$2:$AB$200,$G363)&gt;0,
     COUNTIFS($AC$2:$AC$200,$G363)&gt;0,
     COUNTIFS($AD$2:$AD$200,$G363)&gt;0,
     COUNTIFS($AE$2:$AE$200,$G363)&gt;0,
     COUNTIFS($AF$2:$AF$200,$G363)&gt;0,
     COUNTIFS($AG$2:$AG$200,$G363)&gt;0,
     COUNTIFS($AH$2:$AH$200,$G363)&gt;0,
     COUNTIFS($AI$2:$AI$200,$G363)&gt;0,
     COUNTIFS($AJ$2:$AJ$200,$G363)&gt;0,
     COUNTIFS($AK$2:$AK$200,$G363)&gt;0,
     COUNTIFS($AL$2:$AL$200,$G363)&gt;0,
     COUNTIFS($AM$2:$AM$200,$G363)&gt;0,
     COUNTIFS($AN$2:$AN$200,$G363)&gt;0,
     COUNTIFS($AO$2:$AO$200,$G363)&gt;0,
     COUNTIFS($AP$2:$AP$200,$G363)&gt;0,
     COUNTIFS($AQ$2:$AQ$200,$G363)&gt;0,
     COUNTIFS($AR$2:$AR$200,$G363)&gt;0,
     COUNTIFS($AS$2:$AS$200,$G363)&gt;0,
     COUNTIFS($AT$2:$AT$200,$G363)&gt;0,
     COUNTIFS($AU$2:$AU$200,$G363)&gt;0,
     COUNTIFS($AV$2:$AV$200,$G363)&gt;0
   )),
  4)
 ),
"")</f>
        <v/>
      </c>
    </row>
    <row r="364" spans="1:6" x14ac:dyDescent="0.25">
      <c r="A364" s="3" t="str">
        <f t="shared" si="12"/>
        <v/>
      </c>
      <c r="B364" s="3">
        <f t="shared" si="13"/>
        <v>0</v>
      </c>
      <c r="C364" s="3" t="str">
        <f>IFERROR(
 INDEX($U$1:$AX$1,
  MATCH(TRUE,
   CHOOSE({1;2;3;4;5;6;7;8;9;10;11;12;13;14;15;16;17;18;19;20;21;22;23;24;25;26;27;28;29;30;31;32},
    COUNTIFS($U$2:$U$200,$G364)&gt;0,
    COUNTIFS($V$2:$V$200,$G364)&gt;0,
    COUNTIFS($W$2:$W$200,$G364)&gt;0,
    COUNTIFS($X$2:$X$200,$G364)&gt;0,
    COUNTIFS($Y$2:$Y$200,$G364)&gt;0,
    COUNTIFS($Z$2:$Z$200,$G364)&gt;0,
    COUNTIFS($AA$2:$AA$200,$G364)&gt;0,
    COUNTIFS($AB$2:$AB$200,$G364)&gt;0,
    COUNTIFS($AC$2:$AC$200,$G364)&gt;0,
    COUNTIFS($AD$2:$AD$200,$G364)&gt;0,
    COUNTIFS($AE$2:$AE$200,$G364)&gt;0,
    COUNTIFS($AF$2:$AF$200,$G364)&gt;0,
    COUNTIFS($AG$2:$AG$200,$G364)&gt;0,
    COUNTIFS($AH$2:$AH$200,$G364)&gt;0,
    COUNTIFS($AI$2:$AI$200,$G364)&gt;0,
    COUNTIFS($AJ$2:$AJ$200,$G364)&gt;0,
    COUNTIFS($AK$2:$AK$200,$G364)&gt;0,
    COUNTIFS($AL$2:$AL$200,$G364)&gt;0,
    COUNTIFS($AM$2:$AM$200,$G364)&gt;0,
    COUNTIFS($AN$2:$AN$200,$G364)&gt;0,
    COUNTIFS($AO$2:$AO$200,$G364)&gt;0,
    COUNTIFS($AP$2:$AP$200,$G364)&gt;0,
    COUNTIFS($AQ$2:$AQ$200,$G364)&gt;0,
    COUNTIFS($AR$2:$AR$200,$G364)&gt;0,
    COUNTIFS($AS$2:$AS$200,$G364)&gt;0,
    COUNTIFS($AT$2:$AT$200,$G364)&gt;0,
    COUNTIFS($AU$2:$AU$200,$G364)&gt;0,
    COUNTIFS($AV$2:$AV$200,$G364)&gt;0,
    COUNTIFS($AW$2:$AW$200,$G364)&gt;0,
    COUNTIFS($AX$2:$AX$200,$G364)&gt;0
   ),
  0)
 ),
"")</f>
        <v/>
      </c>
      <c r="D364" s="3" t="str" cm="1">
        <f t="array" ref="D364">IFERROR(
 INDEX(
  _xlfn._xlws.FILTER($U$1:$AV$1,
   TRANSPOSE(
    CHOOSE({1;2;3;4;5;6;7;8;9;10;11;12;13;14;15;16;17;18;19;20;21;22;23;24;25;26;27;28},
     COUNTIFS($U$2:$U$200,$G364)&gt;0,
     COUNTIFS($V$2:$V$200,$G364)&gt;0,
     COUNTIFS($W$2:$W$200,$G364)&gt;0,
     COUNTIFS($X$2:$X$200,$G364)&gt;0,
     COUNTIFS($Y$2:$Y$200,$G364)&gt;0,
     COUNTIFS($Z$2:$Z$200,$G364)&gt;0,
     COUNTIFS($AA$2:$AA$200,$G364)&gt;0,
     COUNTIFS($AB$2:$AB$200,$G364)&gt;0,
     COUNTIFS($AC$2:$AC$200,$G364)&gt;0,
     COUNTIFS($AD$2:$AD$200,$G364)&gt;0,
     COUNTIFS($AE$2:$AE$200,$G364)&gt;0,
     COUNTIFS($AF$2:$AF$200,$G364)&gt;0,
     COUNTIFS($AG$2:$AG$200,$G364)&gt;0,
     COUNTIFS($AH$2:$AH$200,$G364)&gt;0,
     COUNTIFS($AI$2:$AI$200,$G364)&gt;0,
     COUNTIFS($AJ$2:$AJ$200,$G364)&gt;0,
     COUNTIFS($AK$2:$AK$200,$G364)&gt;0,
     COUNTIFS($AL$2:$AL$200,$G364)&gt;0,
     COUNTIFS($AM$2:$AM$200,$G364)&gt;0,
     COUNTIFS($AN$2:$AN$200,$G364)&gt;0,
     COUNTIFS($AO$2:$AO$200,$G364)&gt;0,
     COUNTIFS($AP$2:$AP$200,$G364)&gt;0,
     COUNTIFS($AQ$2:$AQ$200,$G364)&gt;0,
     COUNTIFS($AR$2:$AR$200,$G364)&gt;0,
     COUNTIFS($AS$2:$AS$200,$G364)&gt;0,
     COUNTIFS($AT$2:$AT$200,$G364)&gt;0,
     COUNTIFS($AU$2:$AU$200,$G364)&gt;0,
     COUNTIFS($AV$2:$AV$200,$G364)&gt;0
   )),
  ),
  2
 ),
"")</f>
        <v/>
      </c>
      <c r="E364" s="3" t="str" cm="1">
        <f t="array" ref="E364">IFERROR(
 INDEX($U$1:$AV$1,
  _xlfn.AGGREGATE(15,6,
   (COLUMN($U$1:$AV$1)-COLUMN($U$1)+1)/
   TRANSPOSE(
    CHOOSE({1;2;3;4;5;6;7;8;9;10;11;12;13;14;15;16;17;18;19;20;21;22;23;24;25;26;27;28},
     COUNTIFS($U$2:$U$200,$G364)&gt;0,
     COUNTIFS($V$2:$V$200,$G364)&gt;0,
     COUNTIFS($W$2:$W$200,$G364)&gt;0,
     COUNTIFS($X$2:$X$200,$G364)&gt;0,
     COUNTIFS($Y$2:$Y$200,$G364)&gt;0,
     COUNTIFS($Z$2:$Z$200,$G364)&gt;0,
     COUNTIFS($AA$2:$AA$200,$G364)&gt;0,
     COUNTIFS($AB$2:$AB$200,$G364)&gt;0,
     COUNTIFS($AC$2:$AC$200,$G364)&gt;0,
     COUNTIFS($AD$2:$AD$200,$G364)&gt;0,
     COUNTIFS($AE$2:$AE$200,$G364)&gt;0,
     COUNTIFS($AF$2:$AF$200,$G364)&gt;0,
     COUNTIFS($AG$2:$AG$200,$G364)&gt;0,
     COUNTIFS($AH$2:$AH$200,$G364)&gt;0,
     COUNTIFS($AI$2:$AI$200,$G364)&gt;0,
     COUNTIFS($AJ$2:$AJ$200,$G364)&gt;0,
     COUNTIFS($AK$2:$AK$200,$G364)&gt;0,
     COUNTIFS($AL$2:$AL$200,$G364)&gt;0,
     COUNTIFS($AM$2:$AM$200,$G364)&gt;0,
     COUNTIFS($AN$2:$AN$200,$G364)&gt;0,
     COUNTIFS($AO$2:$AO$200,$G364)&gt;0,
     COUNTIFS($AP$2:$AP$200,$G364)&gt;0,
     COUNTIFS($AQ$2:$AQ$200,$G364)&gt;0,
     COUNTIFS($AR$2:$AR$200,$G364)&gt;0,
     COUNTIFS($AS$2:$AS$200,$G364)&gt;0,
     COUNTIFS($AT$2:$AT$200,$G364)&gt;0,
     COUNTIFS($AU$2:$AU$200,$G364)&gt;0,
     COUNTIFS($AV$2:$AV$200,$G364)&gt;0
   )),
  3)
 ),
"")</f>
        <v/>
      </c>
      <c r="F364" s="3" t="str" cm="1">
        <f t="array" ref="F364">IFERROR(
 INDEX($U$1:$AV$1,
  _xlfn.AGGREGATE(15,6,
   (COLUMN($U$1:$AV$1)-COLUMN($U$1)+1)/
   TRANSPOSE(
    CHOOSE({1;2;3;4;5;6;7;8;9;10;11;12;13;14;15;16;17;18;19;20;21;22;23;24;25;26;27;28},
     COUNTIFS($U$2:$U$200,$G364)&gt;0,
     COUNTIFS($V$2:$V$200,$G364)&gt;0,
     COUNTIFS($W$2:$W$200,$G364)&gt;0,
     COUNTIFS($X$2:$X$200,$G364)&gt;0,
     COUNTIFS($Y$2:$Y$200,$G364)&gt;0,
     COUNTIFS($Z$2:$Z$200,$G364)&gt;0,
     COUNTIFS($AA$2:$AA$200,$G364)&gt;0,
     COUNTIFS($AB$2:$AB$200,$G364)&gt;0,
     COUNTIFS($AC$2:$AC$200,$G364)&gt;0,
     COUNTIFS($AD$2:$AD$200,$G364)&gt;0,
     COUNTIFS($AE$2:$AE$200,$G364)&gt;0,
     COUNTIFS($AF$2:$AF$200,$G364)&gt;0,
     COUNTIFS($AG$2:$AG$200,$G364)&gt;0,
     COUNTIFS($AH$2:$AH$200,$G364)&gt;0,
     COUNTIFS($AI$2:$AI$200,$G364)&gt;0,
     COUNTIFS($AJ$2:$AJ$200,$G364)&gt;0,
     COUNTIFS($AK$2:$AK$200,$G364)&gt;0,
     COUNTIFS($AL$2:$AL$200,$G364)&gt;0,
     COUNTIFS($AM$2:$AM$200,$G364)&gt;0,
     COUNTIFS($AN$2:$AN$200,$G364)&gt;0,
     COUNTIFS($AO$2:$AO$200,$G364)&gt;0,
     COUNTIFS($AP$2:$AP$200,$G364)&gt;0,
     COUNTIFS($AQ$2:$AQ$200,$G364)&gt;0,
     COUNTIFS($AR$2:$AR$200,$G364)&gt;0,
     COUNTIFS($AS$2:$AS$200,$G364)&gt;0,
     COUNTIFS($AT$2:$AT$200,$G364)&gt;0,
     COUNTIFS($AU$2:$AU$200,$G364)&gt;0,
     COUNTIFS($AV$2:$AV$200,$G364)&gt;0
   )),
  4)
 ),
"")</f>
        <v/>
      </c>
    </row>
    <row r="365" spans="1:6" x14ac:dyDescent="0.25">
      <c r="A365" s="3" t="str">
        <f t="shared" si="12"/>
        <v/>
      </c>
      <c r="B365" s="3">
        <f t="shared" si="13"/>
        <v>0</v>
      </c>
      <c r="C365" s="3" t="str">
        <f>IFERROR(
 INDEX($U$1:$AX$1,
  MATCH(TRUE,
   CHOOSE({1;2;3;4;5;6;7;8;9;10;11;12;13;14;15;16;17;18;19;20;21;22;23;24;25;26;27;28;29;30;31;32},
    COUNTIFS($U$2:$U$200,$G365)&gt;0,
    COUNTIFS($V$2:$V$200,$G365)&gt;0,
    COUNTIFS($W$2:$W$200,$G365)&gt;0,
    COUNTIFS($X$2:$X$200,$G365)&gt;0,
    COUNTIFS($Y$2:$Y$200,$G365)&gt;0,
    COUNTIFS($Z$2:$Z$200,$G365)&gt;0,
    COUNTIFS($AA$2:$AA$200,$G365)&gt;0,
    COUNTIFS($AB$2:$AB$200,$G365)&gt;0,
    COUNTIFS($AC$2:$AC$200,$G365)&gt;0,
    COUNTIFS($AD$2:$AD$200,$G365)&gt;0,
    COUNTIFS($AE$2:$AE$200,$G365)&gt;0,
    COUNTIFS($AF$2:$AF$200,$G365)&gt;0,
    COUNTIFS($AG$2:$AG$200,$G365)&gt;0,
    COUNTIFS($AH$2:$AH$200,$G365)&gt;0,
    COUNTIFS($AI$2:$AI$200,$G365)&gt;0,
    COUNTIFS($AJ$2:$AJ$200,$G365)&gt;0,
    COUNTIFS($AK$2:$AK$200,$G365)&gt;0,
    COUNTIFS($AL$2:$AL$200,$G365)&gt;0,
    COUNTIFS($AM$2:$AM$200,$G365)&gt;0,
    COUNTIFS($AN$2:$AN$200,$G365)&gt;0,
    COUNTIFS($AO$2:$AO$200,$G365)&gt;0,
    COUNTIFS($AP$2:$AP$200,$G365)&gt;0,
    COUNTIFS($AQ$2:$AQ$200,$G365)&gt;0,
    COUNTIFS($AR$2:$AR$200,$G365)&gt;0,
    COUNTIFS($AS$2:$AS$200,$G365)&gt;0,
    COUNTIFS($AT$2:$AT$200,$G365)&gt;0,
    COUNTIFS($AU$2:$AU$200,$G365)&gt;0,
    COUNTIFS($AV$2:$AV$200,$G365)&gt;0,
    COUNTIFS($AW$2:$AW$200,$G365)&gt;0,
    COUNTIFS($AX$2:$AX$200,$G365)&gt;0
   ),
  0)
 ),
"")</f>
        <v/>
      </c>
      <c r="D365" s="3" t="str" cm="1">
        <f t="array" ref="D365">IFERROR(
 INDEX(
  _xlfn._xlws.FILTER($U$1:$AV$1,
   TRANSPOSE(
    CHOOSE({1;2;3;4;5;6;7;8;9;10;11;12;13;14;15;16;17;18;19;20;21;22;23;24;25;26;27;28},
     COUNTIFS($U$2:$U$200,$G365)&gt;0,
     COUNTIFS($V$2:$V$200,$G365)&gt;0,
     COUNTIFS($W$2:$W$200,$G365)&gt;0,
     COUNTIFS($X$2:$X$200,$G365)&gt;0,
     COUNTIFS($Y$2:$Y$200,$G365)&gt;0,
     COUNTIFS($Z$2:$Z$200,$G365)&gt;0,
     COUNTIFS($AA$2:$AA$200,$G365)&gt;0,
     COUNTIFS($AB$2:$AB$200,$G365)&gt;0,
     COUNTIFS($AC$2:$AC$200,$G365)&gt;0,
     COUNTIFS($AD$2:$AD$200,$G365)&gt;0,
     COUNTIFS($AE$2:$AE$200,$G365)&gt;0,
     COUNTIFS($AF$2:$AF$200,$G365)&gt;0,
     COUNTIFS($AG$2:$AG$200,$G365)&gt;0,
     COUNTIFS($AH$2:$AH$200,$G365)&gt;0,
     COUNTIFS($AI$2:$AI$200,$G365)&gt;0,
     COUNTIFS($AJ$2:$AJ$200,$G365)&gt;0,
     COUNTIFS($AK$2:$AK$200,$G365)&gt;0,
     COUNTIFS($AL$2:$AL$200,$G365)&gt;0,
     COUNTIFS($AM$2:$AM$200,$G365)&gt;0,
     COUNTIFS($AN$2:$AN$200,$G365)&gt;0,
     COUNTIFS($AO$2:$AO$200,$G365)&gt;0,
     COUNTIFS($AP$2:$AP$200,$G365)&gt;0,
     COUNTIFS($AQ$2:$AQ$200,$G365)&gt;0,
     COUNTIFS($AR$2:$AR$200,$G365)&gt;0,
     COUNTIFS($AS$2:$AS$200,$G365)&gt;0,
     COUNTIFS($AT$2:$AT$200,$G365)&gt;0,
     COUNTIFS($AU$2:$AU$200,$G365)&gt;0,
     COUNTIFS($AV$2:$AV$200,$G365)&gt;0
   )),
  ),
  2
 ),
"")</f>
        <v/>
      </c>
      <c r="E365" s="3" t="str" cm="1">
        <f t="array" ref="E365">IFERROR(
 INDEX($U$1:$AV$1,
  _xlfn.AGGREGATE(15,6,
   (COLUMN($U$1:$AV$1)-COLUMN($U$1)+1)/
   TRANSPOSE(
    CHOOSE({1;2;3;4;5;6;7;8;9;10;11;12;13;14;15;16;17;18;19;20;21;22;23;24;25;26;27;28},
     COUNTIFS($U$2:$U$200,$G365)&gt;0,
     COUNTIFS($V$2:$V$200,$G365)&gt;0,
     COUNTIFS($W$2:$W$200,$G365)&gt;0,
     COUNTIFS($X$2:$X$200,$G365)&gt;0,
     COUNTIFS($Y$2:$Y$200,$G365)&gt;0,
     COUNTIFS($Z$2:$Z$200,$G365)&gt;0,
     COUNTIFS($AA$2:$AA$200,$G365)&gt;0,
     COUNTIFS($AB$2:$AB$200,$G365)&gt;0,
     COUNTIFS($AC$2:$AC$200,$G365)&gt;0,
     COUNTIFS($AD$2:$AD$200,$G365)&gt;0,
     COUNTIFS($AE$2:$AE$200,$G365)&gt;0,
     COUNTIFS($AF$2:$AF$200,$G365)&gt;0,
     COUNTIFS($AG$2:$AG$200,$G365)&gt;0,
     COUNTIFS($AH$2:$AH$200,$G365)&gt;0,
     COUNTIFS($AI$2:$AI$200,$G365)&gt;0,
     COUNTIFS($AJ$2:$AJ$200,$G365)&gt;0,
     COUNTIFS($AK$2:$AK$200,$G365)&gt;0,
     COUNTIFS($AL$2:$AL$200,$G365)&gt;0,
     COUNTIFS($AM$2:$AM$200,$G365)&gt;0,
     COUNTIFS($AN$2:$AN$200,$G365)&gt;0,
     COUNTIFS($AO$2:$AO$200,$G365)&gt;0,
     COUNTIFS($AP$2:$AP$200,$G365)&gt;0,
     COUNTIFS($AQ$2:$AQ$200,$G365)&gt;0,
     COUNTIFS($AR$2:$AR$200,$G365)&gt;0,
     COUNTIFS($AS$2:$AS$200,$G365)&gt;0,
     COUNTIFS($AT$2:$AT$200,$G365)&gt;0,
     COUNTIFS($AU$2:$AU$200,$G365)&gt;0,
     COUNTIFS($AV$2:$AV$200,$G365)&gt;0
   )),
  3)
 ),
"")</f>
        <v/>
      </c>
      <c r="F365" s="3" t="str" cm="1">
        <f t="array" ref="F365">IFERROR(
 INDEX($U$1:$AV$1,
  _xlfn.AGGREGATE(15,6,
   (COLUMN($U$1:$AV$1)-COLUMN($U$1)+1)/
   TRANSPOSE(
    CHOOSE({1;2;3;4;5;6;7;8;9;10;11;12;13;14;15;16;17;18;19;20;21;22;23;24;25;26;27;28},
     COUNTIFS($U$2:$U$200,$G365)&gt;0,
     COUNTIFS($V$2:$V$200,$G365)&gt;0,
     COUNTIFS($W$2:$W$200,$G365)&gt;0,
     COUNTIFS($X$2:$X$200,$G365)&gt;0,
     COUNTIFS($Y$2:$Y$200,$G365)&gt;0,
     COUNTIFS($Z$2:$Z$200,$G365)&gt;0,
     COUNTIFS($AA$2:$AA$200,$G365)&gt;0,
     COUNTIFS($AB$2:$AB$200,$G365)&gt;0,
     COUNTIFS($AC$2:$AC$200,$G365)&gt;0,
     COUNTIFS($AD$2:$AD$200,$G365)&gt;0,
     COUNTIFS($AE$2:$AE$200,$G365)&gt;0,
     COUNTIFS($AF$2:$AF$200,$G365)&gt;0,
     COUNTIFS($AG$2:$AG$200,$G365)&gt;0,
     COUNTIFS($AH$2:$AH$200,$G365)&gt;0,
     COUNTIFS($AI$2:$AI$200,$G365)&gt;0,
     COUNTIFS($AJ$2:$AJ$200,$G365)&gt;0,
     COUNTIFS($AK$2:$AK$200,$G365)&gt;0,
     COUNTIFS($AL$2:$AL$200,$G365)&gt;0,
     COUNTIFS($AM$2:$AM$200,$G365)&gt;0,
     COUNTIFS($AN$2:$AN$200,$G365)&gt;0,
     COUNTIFS($AO$2:$AO$200,$G365)&gt;0,
     COUNTIFS($AP$2:$AP$200,$G365)&gt;0,
     COUNTIFS($AQ$2:$AQ$200,$G365)&gt;0,
     COUNTIFS($AR$2:$AR$200,$G365)&gt;0,
     COUNTIFS($AS$2:$AS$200,$G365)&gt;0,
     COUNTIFS($AT$2:$AT$200,$G365)&gt;0,
     COUNTIFS($AU$2:$AU$200,$G365)&gt;0,
     COUNTIFS($AV$2:$AV$200,$G365)&gt;0
   )),
  4)
 ),
"")</f>
        <v/>
      </c>
    </row>
    <row r="366" spans="1:6" x14ac:dyDescent="0.25">
      <c r="A366" s="3" t="str">
        <f t="shared" si="12"/>
        <v/>
      </c>
      <c r="B366" s="3">
        <f t="shared" si="13"/>
        <v>0</v>
      </c>
      <c r="C366" s="3" t="str">
        <f>IFERROR(
 INDEX($U$1:$AX$1,
  MATCH(TRUE,
   CHOOSE({1;2;3;4;5;6;7;8;9;10;11;12;13;14;15;16;17;18;19;20;21;22;23;24;25;26;27;28;29;30;31;32},
    COUNTIFS($U$2:$U$200,$G366)&gt;0,
    COUNTIFS($V$2:$V$200,$G366)&gt;0,
    COUNTIFS($W$2:$W$200,$G366)&gt;0,
    COUNTIFS($X$2:$X$200,$G366)&gt;0,
    COUNTIFS($Y$2:$Y$200,$G366)&gt;0,
    COUNTIFS($Z$2:$Z$200,$G366)&gt;0,
    COUNTIFS($AA$2:$AA$200,$G366)&gt;0,
    COUNTIFS($AB$2:$AB$200,$G366)&gt;0,
    COUNTIFS($AC$2:$AC$200,$G366)&gt;0,
    COUNTIFS($AD$2:$AD$200,$G366)&gt;0,
    COUNTIFS($AE$2:$AE$200,$G366)&gt;0,
    COUNTIFS($AF$2:$AF$200,$G366)&gt;0,
    COUNTIFS($AG$2:$AG$200,$G366)&gt;0,
    COUNTIFS($AH$2:$AH$200,$G366)&gt;0,
    COUNTIFS($AI$2:$AI$200,$G366)&gt;0,
    COUNTIFS($AJ$2:$AJ$200,$G366)&gt;0,
    COUNTIFS($AK$2:$AK$200,$G366)&gt;0,
    COUNTIFS($AL$2:$AL$200,$G366)&gt;0,
    COUNTIFS($AM$2:$AM$200,$G366)&gt;0,
    COUNTIFS($AN$2:$AN$200,$G366)&gt;0,
    COUNTIFS($AO$2:$AO$200,$G366)&gt;0,
    COUNTIFS($AP$2:$AP$200,$G366)&gt;0,
    COUNTIFS($AQ$2:$AQ$200,$G366)&gt;0,
    COUNTIFS($AR$2:$AR$200,$G366)&gt;0,
    COUNTIFS($AS$2:$AS$200,$G366)&gt;0,
    COUNTIFS($AT$2:$AT$200,$G366)&gt;0,
    COUNTIFS($AU$2:$AU$200,$G366)&gt;0,
    COUNTIFS($AV$2:$AV$200,$G366)&gt;0,
    COUNTIFS($AW$2:$AW$200,$G366)&gt;0,
    COUNTIFS($AX$2:$AX$200,$G366)&gt;0
   ),
  0)
 ),
"")</f>
        <v/>
      </c>
      <c r="D366" s="3" t="str" cm="1">
        <f t="array" ref="D366">IFERROR(
 INDEX(
  _xlfn._xlws.FILTER($U$1:$AV$1,
   TRANSPOSE(
    CHOOSE({1;2;3;4;5;6;7;8;9;10;11;12;13;14;15;16;17;18;19;20;21;22;23;24;25;26;27;28},
     COUNTIFS($U$2:$U$200,$G366)&gt;0,
     COUNTIFS($V$2:$V$200,$G366)&gt;0,
     COUNTIFS($W$2:$W$200,$G366)&gt;0,
     COUNTIFS($X$2:$X$200,$G366)&gt;0,
     COUNTIFS($Y$2:$Y$200,$G366)&gt;0,
     COUNTIFS($Z$2:$Z$200,$G366)&gt;0,
     COUNTIFS($AA$2:$AA$200,$G366)&gt;0,
     COUNTIFS($AB$2:$AB$200,$G366)&gt;0,
     COUNTIFS($AC$2:$AC$200,$G366)&gt;0,
     COUNTIFS($AD$2:$AD$200,$G366)&gt;0,
     COUNTIFS($AE$2:$AE$200,$G366)&gt;0,
     COUNTIFS($AF$2:$AF$200,$G366)&gt;0,
     COUNTIFS($AG$2:$AG$200,$G366)&gt;0,
     COUNTIFS($AH$2:$AH$200,$G366)&gt;0,
     COUNTIFS($AI$2:$AI$200,$G366)&gt;0,
     COUNTIFS($AJ$2:$AJ$200,$G366)&gt;0,
     COUNTIFS($AK$2:$AK$200,$G366)&gt;0,
     COUNTIFS($AL$2:$AL$200,$G366)&gt;0,
     COUNTIFS($AM$2:$AM$200,$G366)&gt;0,
     COUNTIFS($AN$2:$AN$200,$G366)&gt;0,
     COUNTIFS($AO$2:$AO$200,$G366)&gt;0,
     COUNTIFS($AP$2:$AP$200,$G366)&gt;0,
     COUNTIFS($AQ$2:$AQ$200,$G366)&gt;0,
     COUNTIFS($AR$2:$AR$200,$G366)&gt;0,
     COUNTIFS($AS$2:$AS$200,$G366)&gt;0,
     COUNTIFS($AT$2:$AT$200,$G366)&gt;0,
     COUNTIFS($AU$2:$AU$200,$G366)&gt;0,
     COUNTIFS($AV$2:$AV$200,$G366)&gt;0
   )),
  ),
  2
 ),
"")</f>
        <v/>
      </c>
      <c r="E366" s="3" t="str" cm="1">
        <f t="array" ref="E366">IFERROR(
 INDEX($U$1:$AV$1,
  _xlfn.AGGREGATE(15,6,
   (COLUMN($U$1:$AV$1)-COLUMN($U$1)+1)/
   TRANSPOSE(
    CHOOSE({1;2;3;4;5;6;7;8;9;10;11;12;13;14;15;16;17;18;19;20;21;22;23;24;25;26;27;28},
     COUNTIFS($U$2:$U$200,$G366)&gt;0,
     COUNTIFS($V$2:$V$200,$G366)&gt;0,
     COUNTIFS($W$2:$W$200,$G366)&gt;0,
     COUNTIFS($X$2:$X$200,$G366)&gt;0,
     COUNTIFS($Y$2:$Y$200,$G366)&gt;0,
     COUNTIFS($Z$2:$Z$200,$G366)&gt;0,
     COUNTIFS($AA$2:$AA$200,$G366)&gt;0,
     COUNTIFS($AB$2:$AB$200,$G366)&gt;0,
     COUNTIFS($AC$2:$AC$200,$G366)&gt;0,
     COUNTIFS($AD$2:$AD$200,$G366)&gt;0,
     COUNTIFS($AE$2:$AE$200,$G366)&gt;0,
     COUNTIFS($AF$2:$AF$200,$G366)&gt;0,
     COUNTIFS($AG$2:$AG$200,$G366)&gt;0,
     COUNTIFS($AH$2:$AH$200,$G366)&gt;0,
     COUNTIFS($AI$2:$AI$200,$G366)&gt;0,
     COUNTIFS($AJ$2:$AJ$200,$G366)&gt;0,
     COUNTIFS($AK$2:$AK$200,$G366)&gt;0,
     COUNTIFS($AL$2:$AL$200,$G366)&gt;0,
     COUNTIFS($AM$2:$AM$200,$G366)&gt;0,
     COUNTIFS($AN$2:$AN$200,$G366)&gt;0,
     COUNTIFS($AO$2:$AO$200,$G366)&gt;0,
     COUNTIFS($AP$2:$AP$200,$G366)&gt;0,
     COUNTIFS($AQ$2:$AQ$200,$G366)&gt;0,
     COUNTIFS($AR$2:$AR$200,$G366)&gt;0,
     COUNTIFS($AS$2:$AS$200,$G366)&gt;0,
     COUNTIFS($AT$2:$AT$200,$G366)&gt;0,
     COUNTIFS($AU$2:$AU$200,$G366)&gt;0,
     COUNTIFS($AV$2:$AV$200,$G366)&gt;0
   )),
  3)
 ),
"")</f>
        <v/>
      </c>
      <c r="F366" s="3" t="str" cm="1">
        <f t="array" ref="F366">IFERROR(
 INDEX($U$1:$AV$1,
  _xlfn.AGGREGATE(15,6,
   (COLUMN($U$1:$AV$1)-COLUMN($U$1)+1)/
   TRANSPOSE(
    CHOOSE({1;2;3;4;5;6;7;8;9;10;11;12;13;14;15;16;17;18;19;20;21;22;23;24;25;26;27;28},
     COUNTIFS($U$2:$U$200,$G366)&gt;0,
     COUNTIFS($V$2:$V$200,$G366)&gt;0,
     COUNTIFS($W$2:$W$200,$G366)&gt;0,
     COUNTIFS($X$2:$X$200,$G366)&gt;0,
     COUNTIFS($Y$2:$Y$200,$G366)&gt;0,
     COUNTIFS($Z$2:$Z$200,$G366)&gt;0,
     COUNTIFS($AA$2:$AA$200,$G366)&gt;0,
     COUNTIFS($AB$2:$AB$200,$G366)&gt;0,
     COUNTIFS($AC$2:$AC$200,$G366)&gt;0,
     COUNTIFS($AD$2:$AD$200,$G366)&gt;0,
     COUNTIFS($AE$2:$AE$200,$G366)&gt;0,
     COUNTIFS($AF$2:$AF$200,$G366)&gt;0,
     COUNTIFS($AG$2:$AG$200,$G366)&gt;0,
     COUNTIFS($AH$2:$AH$200,$G366)&gt;0,
     COUNTIFS($AI$2:$AI$200,$G366)&gt;0,
     COUNTIFS($AJ$2:$AJ$200,$G366)&gt;0,
     COUNTIFS($AK$2:$AK$200,$G366)&gt;0,
     COUNTIFS($AL$2:$AL$200,$G366)&gt;0,
     COUNTIFS($AM$2:$AM$200,$G366)&gt;0,
     COUNTIFS($AN$2:$AN$200,$G366)&gt;0,
     COUNTIFS($AO$2:$AO$200,$G366)&gt;0,
     COUNTIFS($AP$2:$AP$200,$G366)&gt;0,
     COUNTIFS($AQ$2:$AQ$200,$G366)&gt;0,
     COUNTIFS($AR$2:$AR$200,$G366)&gt;0,
     COUNTIFS($AS$2:$AS$200,$G366)&gt;0,
     COUNTIFS($AT$2:$AT$200,$G366)&gt;0,
     COUNTIFS($AU$2:$AU$200,$G366)&gt;0,
     COUNTIFS($AV$2:$AV$200,$G366)&gt;0
   )),
  4)
 ),
"")</f>
        <v/>
      </c>
    </row>
    <row r="367" spans="1:6" x14ac:dyDescent="0.25">
      <c r="A367" s="3" t="str">
        <f t="shared" si="12"/>
        <v/>
      </c>
      <c r="B367" s="3">
        <f t="shared" si="13"/>
        <v>0</v>
      </c>
      <c r="C367" s="3" t="str">
        <f>IFERROR(
 INDEX($U$1:$AX$1,
  MATCH(TRUE,
   CHOOSE({1;2;3;4;5;6;7;8;9;10;11;12;13;14;15;16;17;18;19;20;21;22;23;24;25;26;27;28;29;30;31;32},
    COUNTIFS($U$2:$U$200,$G367)&gt;0,
    COUNTIFS($V$2:$V$200,$G367)&gt;0,
    COUNTIFS($W$2:$W$200,$G367)&gt;0,
    COUNTIFS($X$2:$X$200,$G367)&gt;0,
    COUNTIFS($Y$2:$Y$200,$G367)&gt;0,
    COUNTIFS($Z$2:$Z$200,$G367)&gt;0,
    COUNTIFS($AA$2:$AA$200,$G367)&gt;0,
    COUNTIFS($AB$2:$AB$200,$G367)&gt;0,
    COUNTIFS($AC$2:$AC$200,$G367)&gt;0,
    COUNTIFS($AD$2:$AD$200,$G367)&gt;0,
    COUNTIFS($AE$2:$AE$200,$G367)&gt;0,
    COUNTIFS($AF$2:$AF$200,$G367)&gt;0,
    COUNTIFS($AG$2:$AG$200,$G367)&gt;0,
    COUNTIFS($AH$2:$AH$200,$G367)&gt;0,
    COUNTIFS($AI$2:$AI$200,$G367)&gt;0,
    COUNTIFS($AJ$2:$AJ$200,$G367)&gt;0,
    COUNTIFS($AK$2:$AK$200,$G367)&gt;0,
    COUNTIFS($AL$2:$AL$200,$G367)&gt;0,
    COUNTIFS($AM$2:$AM$200,$G367)&gt;0,
    COUNTIFS($AN$2:$AN$200,$G367)&gt;0,
    COUNTIFS($AO$2:$AO$200,$G367)&gt;0,
    COUNTIFS($AP$2:$AP$200,$G367)&gt;0,
    COUNTIFS($AQ$2:$AQ$200,$G367)&gt;0,
    COUNTIFS($AR$2:$AR$200,$G367)&gt;0,
    COUNTIFS($AS$2:$AS$200,$G367)&gt;0,
    COUNTIFS($AT$2:$AT$200,$G367)&gt;0,
    COUNTIFS($AU$2:$AU$200,$G367)&gt;0,
    COUNTIFS($AV$2:$AV$200,$G367)&gt;0,
    COUNTIFS($AW$2:$AW$200,$G367)&gt;0,
    COUNTIFS($AX$2:$AX$200,$G367)&gt;0
   ),
  0)
 ),
"")</f>
        <v/>
      </c>
      <c r="D367" s="3" t="str" cm="1">
        <f t="array" ref="D367">IFERROR(
 INDEX(
  _xlfn._xlws.FILTER($U$1:$AV$1,
   TRANSPOSE(
    CHOOSE({1;2;3;4;5;6;7;8;9;10;11;12;13;14;15;16;17;18;19;20;21;22;23;24;25;26;27;28},
     COUNTIFS($U$2:$U$200,$G367)&gt;0,
     COUNTIFS($V$2:$V$200,$G367)&gt;0,
     COUNTIFS($W$2:$W$200,$G367)&gt;0,
     COUNTIFS($X$2:$X$200,$G367)&gt;0,
     COUNTIFS($Y$2:$Y$200,$G367)&gt;0,
     COUNTIFS($Z$2:$Z$200,$G367)&gt;0,
     COUNTIFS($AA$2:$AA$200,$G367)&gt;0,
     COUNTIFS($AB$2:$AB$200,$G367)&gt;0,
     COUNTIFS($AC$2:$AC$200,$G367)&gt;0,
     COUNTIFS($AD$2:$AD$200,$G367)&gt;0,
     COUNTIFS($AE$2:$AE$200,$G367)&gt;0,
     COUNTIFS($AF$2:$AF$200,$G367)&gt;0,
     COUNTIFS($AG$2:$AG$200,$G367)&gt;0,
     COUNTIFS($AH$2:$AH$200,$G367)&gt;0,
     COUNTIFS($AI$2:$AI$200,$G367)&gt;0,
     COUNTIFS($AJ$2:$AJ$200,$G367)&gt;0,
     COUNTIFS($AK$2:$AK$200,$G367)&gt;0,
     COUNTIFS($AL$2:$AL$200,$G367)&gt;0,
     COUNTIFS($AM$2:$AM$200,$G367)&gt;0,
     COUNTIFS($AN$2:$AN$200,$G367)&gt;0,
     COUNTIFS($AO$2:$AO$200,$G367)&gt;0,
     COUNTIFS($AP$2:$AP$200,$G367)&gt;0,
     COUNTIFS($AQ$2:$AQ$200,$G367)&gt;0,
     COUNTIFS($AR$2:$AR$200,$G367)&gt;0,
     COUNTIFS($AS$2:$AS$200,$G367)&gt;0,
     COUNTIFS($AT$2:$AT$200,$G367)&gt;0,
     COUNTIFS($AU$2:$AU$200,$G367)&gt;0,
     COUNTIFS($AV$2:$AV$200,$G367)&gt;0
   )),
  ),
  2
 ),
"")</f>
        <v/>
      </c>
      <c r="E367" s="3" t="str" cm="1">
        <f t="array" ref="E367">IFERROR(
 INDEX($U$1:$AV$1,
  _xlfn.AGGREGATE(15,6,
   (COLUMN($U$1:$AV$1)-COLUMN($U$1)+1)/
   TRANSPOSE(
    CHOOSE({1;2;3;4;5;6;7;8;9;10;11;12;13;14;15;16;17;18;19;20;21;22;23;24;25;26;27;28},
     COUNTIFS($U$2:$U$200,$G367)&gt;0,
     COUNTIFS($V$2:$V$200,$G367)&gt;0,
     COUNTIFS($W$2:$W$200,$G367)&gt;0,
     COUNTIFS($X$2:$X$200,$G367)&gt;0,
     COUNTIFS($Y$2:$Y$200,$G367)&gt;0,
     COUNTIFS($Z$2:$Z$200,$G367)&gt;0,
     COUNTIFS($AA$2:$AA$200,$G367)&gt;0,
     COUNTIFS($AB$2:$AB$200,$G367)&gt;0,
     COUNTIFS($AC$2:$AC$200,$G367)&gt;0,
     COUNTIFS($AD$2:$AD$200,$G367)&gt;0,
     COUNTIFS($AE$2:$AE$200,$G367)&gt;0,
     COUNTIFS($AF$2:$AF$200,$G367)&gt;0,
     COUNTIFS($AG$2:$AG$200,$G367)&gt;0,
     COUNTIFS($AH$2:$AH$200,$G367)&gt;0,
     COUNTIFS($AI$2:$AI$200,$G367)&gt;0,
     COUNTIFS($AJ$2:$AJ$200,$G367)&gt;0,
     COUNTIFS($AK$2:$AK$200,$G367)&gt;0,
     COUNTIFS($AL$2:$AL$200,$G367)&gt;0,
     COUNTIFS($AM$2:$AM$200,$G367)&gt;0,
     COUNTIFS($AN$2:$AN$200,$G367)&gt;0,
     COUNTIFS($AO$2:$AO$200,$G367)&gt;0,
     COUNTIFS($AP$2:$AP$200,$G367)&gt;0,
     COUNTIFS($AQ$2:$AQ$200,$G367)&gt;0,
     COUNTIFS($AR$2:$AR$200,$G367)&gt;0,
     COUNTIFS($AS$2:$AS$200,$G367)&gt;0,
     COUNTIFS($AT$2:$AT$200,$G367)&gt;0,
     COUNTIFS($AU$2:$AU$200,$G367)&gt;0,
     COUNTIFS($AV$2:$AV$200,$G367)&gt;0
   )),
  3)
 ),
"")</f>
        <v/>
      </c>
      <c r="F367" s="3" t="str" cm="1">
        <f t="array" ref="F367">IFERROR(
 INDEX($U$1:$AV$1,
  _xlfn.AGGREGATE(15,6,
   (COLUMN($U$1:$AV$1)-COLUMN($U$1)+1)/
   TRANSPOSE(
    CHOOSE({1;2;3;4;5;6;7;8;9;10;11;12;13;14;15;16;17;18;19;20;21;22;23;24;25;26;27;28},
     COUNTIFS($U$2:$U$200,$G367)&gt;0,
     COUNTIFS($V$2:$V$200,$G367)&gt;0,
     COUNTIFS($W$2:$W$200,$G367)&gt;0,
     COUNTIFS($X$2:$X$200,$G367)&gt;0,
     COUNTIFS($Y$2:$Y$200,$G367)&gt;0,
     COUNTIFS($Z$2:$Z$200,$G367)&gt;0,
     COUNTIFS($AA$2:$AA$200,$G367)&gt;0,
     COUNTIFS($AB$2:$AB$200,$G367)&gt;0,
     COUNTIFS($AC$2:$AC$200,$G367)&gt;0,
     COUNTIFS($AD$2:$AD$200,$G367)&gt;0,
     COUNTIFS($AE$2:$AE$200,$G367)&gt;0,
     COUNTIFS($AF$2:$AF$200,$G367)&gt;0,
     COUNTIFS($AG$2:$AG$200,$G367)&gt;0,
     COUNTIFS($AH$2:$AH$200,$G367)&gt;0,
     COUNTIFS($AI$2:$AI$200,$G367)&gt;0,
     COUNTIFS($AJ$2:$AJ$200,$G367)&gt;0,
     COUNTIFS($AK$2:$AK$200,$G367)&gt;0,
     COUNTIFS($AL$2:$AL$200,$G367)&gt;0,
     COUNTIFS($AM$2:$AM$200,$G367)&gt;0,
     COUNTIFS($AN$2:$AN$200,$G367)&gt;0,
     COUNTIFS($AO$2:$AO$200,$G367)&gt;0,
     COUNTIFS($AP$2:$AP$200,$G367)&gt;0,
     COUNTIFS($AQ$2:$AQ$200,$G367)&gt;0,
     COUNTIFS($AR$2:$AR$200,$G367)&gt;0,
     COUNTIFS($AS$2:$AS$200,$G367)&gt;0,
     COUNTIFS($AT$2:$AT$200,$G367)&gt;0,
     COUNTIFS($AU$2:$AU$200,$G367)&gt;0,
     COUNTIFS($AV$2:$AV$200,$G367)&gt;0
   )),
  4)
 ),
"")</f>
        <v/>
      </c>
    </row>
    <row r="368" spans="1:6" x14ac:dyDescent="0.25">
      <c r="A368" s="3" t="str">
        <f t="shared" si="12"/>
        <v/>
      </c>
      <c r="B368" s="3">
        <f t="shared" si="13"/>
        <v>0</v>
      </c>
      <c r="C368" s="3" t="str">
        <f>IFERROR(
 INDEX($U$1:$AX$1,
  MATCH(TRUE,
   CHOOSE({1;2;3;4;5;6;7;8;9;10;11;12;13;14;15;16;17;18;19;20;21;22;23;24;25;26;27;28;29;30;31;32},
    COUNTIFS($U$2:$U$200,$G368)&gt;0,
    COUNTIFS($V$2:$V$200,$G368)&gt;0,
    COUNTIFS($W$2:$W$200,$G368)&gt;0,
    COUNTIFS($X$2:$X$200,$G368)&gt;0,
    COUNTIFS($Y$2:$Y$200,$G368)&gt;0,
    COUNTIFS($Z$2:$Z$200,$G368)&gt;0,
    COUNTIFS($AA$2:$AA$200,$G368)&gt;0,
    COUNTIFS($AB$2:$AB$200,$G368)&gt;0,
    COUNTIFS($AC$2:$AC$200,$G368)&gt;0,
    COUNTIFS($AD$2:$AD$200,$G368)&gt;0,
    COUNTIFS($AE$2:$AE$200,$G368)&gt;0,
    COUNTIFS($AF$2:$AF$200,$G368)&gt;0,
    COUNTIFS($AG$2:$AG$200,$G368)&gt;0,
    COUNTIFS($AH$2:$AH$200,$G368)&gt;0,
    COUNTIFS($AI$2:$AI$200,$G368)&gt;0,
    COUNTIFS($AJ$2:$AJ$200,$G368)&gt;0,
    COUNTIFS($AK$2:$AK$200,$G368)&gt;0,
    COUNTIFS($AL$2:$AL$200,$G368)&gt;0,
    COUNTIFS($AM$2:$AM$200,$G368)&gt;0,
    COUNTIFS($AN$2:$AN$200,$G368)&gt;0,
    COUNTIFS($AO$2:$AO$200,$G368)&gt;0,
    COUNTIFS($AP$2:$AP$200,$G368)&gt;0,
    COUNTIFS($AQ$2:$AQ$200,$G368)&gt;0,
    COUNTIFS($AR$2:$AR$200,$G368)&gt;0,
    COUNTIFS($AS$2:$AS$200,$G368)&gt;0,
    COUNTIFS($AT$2:$AT$200,$G368)&gt;0,
    COUNTIFS($AU$2:$AU$200,$G368)&gt;0,
    COUNTIFS($AV$2:$AV$200,$G368)&gt;0,
    COUNTIFS($AW$2:$AW$200,$G368)&gt;0,
    COUNTIFS($AX$2:$AX$200,$G368)&gt;0
   ),
  0)
 ),
"")</f>
        <v/>
      </c>
      <c r="D368" s="3" t="str" cm="1">
        <f t="array" ref="D368">IFERROR(
 INDEX(
  _xlfn._xlws.FILTER($U$1:$AV$1,
   TRANSPOSE(
    CHOOSE({1;2;3;4;5;6;7;8;9;10;11;12;13;14;15;16;17;18;19;20;21;22;23;24;25;26;27;28},
     COUNTIFS($U$2:$U$200,$G368)&gt;0,
     COUNTIFS($V$2:$V$200,$G368)&gt;0,
     COUNTIFS($W$2:$W$200,$G368)&gt;0,
     COUNTIFS($X$2:$X$200,$G368)&gt;0,
     COUNTIFS($Y$2:$Y$200,$G368)&gt;0,
     COUNTIFS($Z$2:$Z$200,$G368)&gt;0,
     COUNTIFS($AA$2:$AA$200,$G368)&gt;0,
     COUNTIFS($AB$2:$AB$200,$G368)&gt;0,
     COUNTIFS($AC$2:$AC$200,$G368)&gt;0,
     COUNTIFS($AD$2:$AD$200,$G368)&gt;0,
     COUNTIFS($AE$2:$AE$200,$G368)&gt;0,
     COUNTIFS($AF$2:$AF$200,$G368)&gt;0,
     COUNTIFS($AG$2:$AG$200,$G368)&gt;0,
     COUNTIFS($AH$2:$AH$200,$G368)&gt;0,
     COUNTIFS($AI$2:$AI$200,$G368)&gt;0,
     COUNTIFS($AJ$2:$AJ$200,$G368)&gt;0,
     COUNTIFS($AK$2:$AK$200,$G368)&gt;0,
     COUNTIFS($AL$2:$AL$200,$G368)&gt;0,
     COUNTIFS($AM$2:$AM$200,$G368)&gt;0,
     COUNTIFS($AN$2:$AN$200,$G368)&gt;0,
     COUNTIFS($AO$2:$AO$200,$G368)&gt;0,
     COUNTIFS($AP$2:$AP$200,$G368)&gt;0,
     COUNTIFS($AQ$2:$AQ$200,$G368)&gt;0,
     COUNTIFS($AR$2:$AR$200,$G368)&gt;0,
     COUNTIFS($AS$2:$AS$200,$G368)&gt;0,
     COUNTIFS($AT$2:$AT$200,$G368)&gt;0,
     COUNTIFS($AU$2:$AU$200,$G368)&gt;0,
     COUNTIFS($AV$2:$AV$200,$G368)&gt;0
   )),
  ),
  2
 ),
"")</f>
        <v/>
      </c>
      <c r="E368" s="3" t="str" cm="1">
        <f t="array" ref="E368">IFERROR(
 INDEX($U$1:$AV$1,
  _xlfn.AGGREGATE(15,6,
   (COLUMN($U$1:$AV$1)-COLUMN($U$1)+1)/
   TRANSPOSE(
    CHOOSE({1;2;3;4;5;6;7;8;9;10;11;12;13;14;15;16;17;18;19;20;21;22;23;24;25;26;27;28},
     COUNTIFS($U$2:$U$200,$G368)&gt;0,
     COUNTIFS($V$2:$V$200,$G368)&gt;0,
     COUNTIFS($W$2:$W$200,$G368)&gt;0,
     COUNTIFS($X$2:$X$200,$G368)&gt;0,
     COUNTIFS($Y$2:$Y$200,$G368)&gt;0,
     COUNTIFS($Z$2:$Z$200,$G368)&gt;0,
     COUNTIFS($AA$2:$AA$200,$G368)&gt;0,
     COUNTIFS($AB$2:$AB$200,$G368)&gt;0,
     COUNTIFS($AC$2:$AC$200,$G368)&gt;0,
     COUNTIFS($AD$2:$AD$200,$G368)&gt;0,
     COUNTIFS($AE$2:$AE$200,$G368)&gt;0,
     COUNTIFS($AF$2:$AF$200,$G368)&gt;0,
     COUNTIFS($AG$2:$AG$200,$G368)&gt;0,
     COUNTIFS($AH$2:$AH$200,$G368)&gt;0,
     COUNTIFS($AI$2:$AI$200,$G368)&gt;0,
     COUNTIFS($AJ$2:$AJ$200,$G368)&gt;0,
     COUNTIFS($AK$2:$AK$200,$G368)&gt;0,
     COUNTIFS($AL$2:$AL$200,$G368)&gt;0,
     COUNTIFS($AM$2:$AM$200,$G368)&gt;0,
     COUNTIFS($AN$2:$AN$200,$G368)&gt;0,
     COUNTIFS($AO$2:$AO$200,$G368)&gt;0,
     COUNTIFS($AP$2:$AP$200,$G368)&gt;0,
     COUNTIFS($AQ$2:$AQ$200,$G368)&gt;0,
     COUNTIFS($AR$2:$AR$200,$G368)&gt;0,
     COUNTIFS($AS$2:$AS$200,$G368)&gt;0,
     COUNTIFS($AT$2:$AT$200,$G368)&gt;0,
     COUNTIFS($AU$2:$AU$200,$G368)&gt;0,
     COUNTIFS($AV$2:$AV$200,$G368)&gt;0
   )),
  3)
 ),
"")</f>
        <v/>
      </c>
      <c r="F368" s="3" t="str" cm="1">
        <f t="array" ref="F368">IFERROR(
 INDEX($U$1:$AV$1,
  _xlfn.AGGREGATE(15,6,
   (COLUMN($U$1:$AV$1)-COLUMN($U$1)+1)/
   TRANSPOSE(
    CHOOSE({1;2;3;4;5;6;7;8;9;10;11;12;13;14;15;16;17;18;19;20;21;22;23;24;25;26;27;28},
     COUNTIFS($U$2:$U$200,$G368)&gt;0,
     COUNTIFS($V$2:$V$200,$G368)&gt;0,
     COUNTIFS($W$2:$W$200,$G368)&gt;0,
     COUNTIFS($X$2:$X$200,$G368)&gt;0,
     COUNTIFS($Y$2:$Y$200,$G368)&gt;0,
     COUNTIFS($Z$2:$Z$200,$G368)&gt;0,
     COUNTIFS($AA$2:$AA$200,$G368)&gt;0,
     COUNTIFS($AB$2:$AB$200,$G368)&gt;0,
     COUNTIFS($AC$2:$AC$200,$G368)&gt;0,
     COUNTIFS($AD$2:$AD$200,$G368)&gt;0,
     COUNTIFS($AE$2:$AE$200,$G368)&gt;0,
     COUNTIFS($AF$2:$AF$200,$G368)&gt;0,
     COUNTIFS($AG$2:$AG$200,$G368)&gt;0,
     COUNTIFS($AH$2:$AH$200,$G368)&gt;0,
     COUNTIFS($AI$2:$AI$200,$G368)&gt;0,
     COUNTIFS($AJ$2:$AJ$200,$G368)&gt;0,
     COUNTIFS($AK$2:$AK$200,$G368)&gt;0,
     COUNTIFS($AL$2:$AL$200,$G368)&gt;0,
     COUNTIFS($AM$2:$AM$200,$G368)&gt;0,
     COUNTIFS($AN$2:$AN$200,$G368)&gt;0,
     COUNTIFS($AO$2:$AO$200,$G368)&gt;0,
     COUNTIFS($AP$2:$AP$200,$G368)&gt;0,
     COUNTIFS($AQ$2:$AQ$200,$G368)&gt;0,
     COUNTIFS($AR$2:$AR$200,$G368)&gt;0,
     COUNTIFS($AS$2:$AS$200,$G368)&gt;0,
     COUNTIFS($AT$2:$AT$200,$G368)&gt;0,
     COUNTIFS($AU$2:$AU$200,$G368)&gt;0,
     COUNTIFS($AV$2:$AV$200,$G368)&gt;0
   )),
  4)
 ),
"")</f>
        <v/>
      </c>
    </row>
    <row r="369" spans="1:6" x14ac:dyDescent="0.25">
      <c r="A369" s="3" t="str">
        <f t="shared" si="12"/>
        <v/>
      </c>
      <c r="B369" s="3">
        <f t="shared" si="13"/>
        <v>0</v>
      </c>
      <c r="C369" s="3" t="str">
        <f>IFERROR(
 INDEX($U$1:$AX$1,
  MATCH(TRUE,
   CHOOSE({1;2;3;4;5;6;7;8;9;10;11;12;13;14;15;16;17;18;19;20;21;22;23;24;25;26;27;28;29;30;31;32},
    COUNTIFS($U$2:$U$200,$G369)&gt;0,
    COUNTIFS($V$2:$V$200,$G369)&gt;0,
    COUNTIFS($W$2:$W$200,$G369)&gt;0,
    COUNTIFS($X$2:$X$200,$G369)&gt;0,
    COUNTIFS($Y$2:$Y$200,$G369)&gt;0,
    COUNTIFS($Z$2:$Z$200,$G369)&gt;0,
    COUNTIFS($AA$2:$AA$200,$G369)&gt;0,
    COUNTIFS($AB$2:$AB$200,$G369)&gt;0,
    COUNTIFS($AC$2:$AC$200,$G369)&gt;0,
    COUNTIFS($AD$2:$AD$200,$G369)&gt;0,
    COUNTIFS($AE$2:$AE$200,$G369)&gt;0,
    COUNTIFS($AF$2:$AF$200,$G369)&gt;0,
    COUNTIFS($AG$2:$AG$200,$G369)&gt;0,
    COUNTIFS($AH$2:$AH$200,$G369)&gt;0,
    COUNTIFS($AI$2:$AI$200,$G369)&gt;0,
    COUNTIFS($AJ$2:$AJ$200,$G369)&gt;0,
    COUNTIFS($AK$2:$AK$200,$G369)&gt;0,
    COUNTIFS($AL$2:$AL$200,$G369)&gt;0,
    COUNTIFS($AM$2:$AM$200,$G369)&gt;0,
    COUNTIFS($AN$2:$AN$200,$G369)&gt;0,
    COUNTIFS($AO$2:$AO$200,$G369)&gt;0,
    COUNTIFS($AP$2:$AP$200,$G369)&gt;0,
    COUNTIFS($AQ$2:$AQ$200,$G369)&gt;0,
    COUNTIFS($AR$2:$AR$200,$G369)&gt;0,
    COUNTIFS($AS$2:$AS$200,$G369)&gt;0,
    COUNTIFS($AT$2:$AT$200,$G369)&gt;0,
    COUNTIFS($AU$2:$AU$200,$G369)&gt;0,
    COUNTIFS($AV$2:$AV$200,$G369)&gt;0,
    COUNTIFS($AW$2:$AW$200,$G369)&gt;0,
    COUNTIFS($AX$2:$AX$200,$G369)&gt;0
   ),
  0)
 ),
"")</f>
        <v/>
      </c>
      <c r="D369" s="3" t="str" cm="1">
        <f t="array" ref="D369">IFERROR(
 INDEX(
  _xlfn._xlws.FILTER($U$1:$AV$1,
   TRANSPOSE(
    CHOOSE({1;2;3;4;5;6;7;8;9;10;11;12;13;14;15;16;17;18;19;20;21;22;23;24;25;26;27;28},
     COUNTIFS($U$2:$U$200,$G369)&gt;0,
     COUNTIFS($V$2:$V$200,$G369)&gt;0,
     COUNTIFS($W$2:$W$200,$G369)&gt;0,
     COUNTIFS($X$2:$X$200,$G369)&gt;0,
     COUNTIFS($Y$2:$Y$200,$G369)&gt;0,
     COUNTIFS($Z$2:$Z$200,$G369)&gt;0,
     COUNTIFS($AA$2:$AA$200,$G369)&gt;0,
     COUNTIFS($AB$2:$AB$200,$G369)&gt;0,
     COUNTIFS($AC$2:$AC$200,$G369)&gt;0,
     COUNTIFS($AD$2:$AD$200,$G369)&gt;0,
     COUNTIFS($AE$2:$AE$200,$G369)&gt;0,
     COUNTIFS($AF$2:$AF$200,$G369)&gt;0,
     COUNTIFS($AG$2:$AG$200,$G369)&gt;0,
     COUNTIFS($AH$2:$AH$200,$G369)&gt;0,
     COUNTIFS($AI$2:$AI$200,$G369)&gt;0,
     COUNTIFS($AJ$2:$AJ$200,$G369)&gt;0,
     COUNTIFS($AK$2:$AK$200,$G369)&gt;0,
     COUNTIFS($AL$2:$AL$200,$G369)&gt;0,
     COUNTIFS($AM$2:$AM$200,$G369)&gt;0,
     COUNTIFS($AN$2:$AN$200,$G369)&gt;0,
     COUNTIFS($AO$2:$AO$200,$G369)&gt;0,
     COUNTIFS($AP$2:$AP$200,$G369)&gt;0,
     COUNTIFS($AQ$2:$AQ$200,$G369)&gt;0,
     COUNTIFS($AR$2:$AR$200,$G369)&gt;0,
     COUNTIFS($AS$2:$AS$200,$G369)&gt;0,
     COUNTIFS($AT$2:$AT$200,$G369)&gt;0,
     COUNTIFS($AU$2:$AU$200,$G369)&gt;0,
     COUNTIFS($AV$2:$AV$200,$G369)&gt;0
   )),
  ),
  2
 ),
"")</f>
        <v/>
      </c>
      <c r="E369" s="3" t="str" cm="1">
        <f t="array" ref="E369">IFERROR(
 INDEX($U$1:$AV$1,
  _xlfn.AGGREGATE(15,6,
   (COLUMN($U$1:$AV$1)-COLUMN($U$1)+1)/
   TRANSPOSE(
    CHOOSE({1;2;3;4;5;6;7;8;9;10;11;12;13;14;15;16;17;18;19;20;21;22;23;24;25;26;27;28},
     COUNTIFS($U$2:$U$200,$G369)&gt;0,
     COUNTIFS($V$2:$V$200,$G369)&gt;0,
     COUNTIFS($W$2:$W$200,$G369)&gt;0,
     COUNTIFS($X$2:$X$200,$G369)&gt;0,
     COUNTIFS($Y$2:$Y$200,$G369)&gt;0,
     COUNTIFS($Z$2:$Z$200,$G369)&gt;0,
     COUNTIFS($AA$2:$AA$200,$G369)&gt;0,
     COUNTIFS($AB$2:$AB$200,$G369)&gt;0,
     COUNTIFS($AC$2:$AC$200,$G369)&gt;0,
     COUNTIFS($AD$2:$AD$200,$G369)&gt;0,
     COUNTIFS($AE$2:$AE$200,$G369)&gt;0,
     COUNTIFS($AF$2:$AF$200,$G369)&gt;0,
     COUNTIFS($AG$2:$AG$200,$G369)&gt;0,
     COUNTIFS($AH$2:$AH$200,$G369)&gt;0,
     COUNTIFS($AI$2:$AI$200,$G369)&gt;0,
     COUNTIFS($AJ$2:$AJ$200,$G369)&gt;0,
     COUNTIFS($AK$2:$AK$200,$G369)&gt;0,
     COUNTIFS($AL$2:$AL$200,$G369)&gt;0,
     COUNTIFS($AM$2:$AM$200,$G369)&gt;0,
     COUNTIFS($AN$2:$AN$200,$G369)&gt;0,
     COUNTIFS($AO$2:$AO$200,$G369)&gt;0,
     COUNTIFS($AP$2:$AP$200,$G369)&gt;0,
     COUNTIFS($AQ$2:$AQ$200,$G369)&gt;0,
     COUNTIFS($AR$2:$AR$200,$G369)&gt;0,
     COUNTIFS($AS$2:$AS$200,$G369)&gt;0,
     COUNTIFS($AT$2:$AT$200,$G369)&gt;0,
     COUNTIFS($AU$2:$AU$200,$G369)&gt;0,
     COUNTIFS($AV$2:$AV$200,$G369)&gt;0
   )),
  3)
 ),
"")</f>
        <v/>
      </c>
      <c r="F369" s="3" t="str" cm="1">
        <f t="array" ref="F369">IFERROR(
 INDEX($U$1:$AV$1,
  _xlfn.AGGREGATE(15,6,
   (COLUMN($U$1:$AV$1)-COLUMN($U$1)+1)/
   TRANSPOSE(
    CHOOSE({1;2;3;4;5;6;7;8;9;10;11;12;13;14;15;16;17;18;19;20;21;22;23;24;25;26;27;28},
     COUNTIFS($U$2:$U$200,$G369)&gt;0,
     COUNTIFS($V$2:$V$200,$G369)&gt;0,
     COUNTIFS($W$2:$W$200,$G369)&gt;0,
     COUNTIFS($X$2:$X$200,$G369)&gt;0,
     COUNTIFS($Y$2:$Y$200,$G369)&gt;0,
     COUNTIFS($Z$2:$Z$200,$G369)&gt;0,
     COUNTIFS($AA$2:$AA$200,$G369)&gt;0,
     COUNTIFS($AB$2:$AB$200,$G369)&gt;0,
     COUNTIFS($AC$2:$AC$200,$G369)&gt;0,
     COUNTIFS($AD$2:$AD$200,$G369)&gt;0,
     COUNTIFS($AE$2:$AE$200,$G369)&gt;0,
     COUNTIFS($AF$2:$AF$200,$G369)&gt;0,
     COUNTIFS($AG$2:$AG$200,$G369)&gt;0,
     COUNTIFS($AH$2:$AH$200,$G369)&gt;0,
     COUNTIFS($AI$2:$AI$200,$G369)&gt;0,
     COUNTIFS($AJ$2:$AJ$200,$G369)&gt;0,
     COUNTIFS($AK$2:$AK$200,$G369)&gt;0,
     COUNTIFS($AL$2:$AL$200,$G369)&gt;0,
     COUNTIFS($AM$2:$AM$200,$G369)&gt;0,
     COUNTIFS($AN$2:$AN$200,$G369)&gt;0,
     COUNTIFS($AO$2:$AO$200,$G369)&gt;0,
     COUNTIFS($AP$2:$AP$200,$G369)&gt;0,
     COUNTIFS($AQ$2:$AQ$200,$G369)&gt;0,
     COUNTIFS($AR$2:$AR$200,$G369)&gt;0,
     COUNTIFS($AS$2:$AS$200,$G369)&gt;0,
     COUNTIFS($AT$2:$AT$200,$G369)&gt;0,
     COUNTIFS($AU$2:$AU$200,$G369)&gt;0,
     COUNTIFS($AV$2:$AV$200,$G369)&gt;0
   )),
  4)
 ),
"")</f>
        <v/>
      </c>
    </row>
    <row r="370" spans="1:6" x14ac:dyDescent="0.25">
      <c r="A370" s="3" t="str">
        <f t="shared" si="12"/>
        <v/>
      </c>
      <c r="B370" s="3">
        <f t="shared" si="13"/>
        <v>0</v>
      </c>
      <c r="C370" s="3" t="str">
        <f>IFERROR(
 INDEX($U$1:$AX$1,
  MATCH(TRUE,
   CHOOSE({1;2;3;4;5;6;7;8;9;10;11;12;13;14;15;16;17;18;19;20;21;22;23;24;25;26;27;28;29;30;31;32},
    COUNTIFS($U$2:$U$200,$G370)&gt;0,
    COUNTIFS($V$2:$V$200,$G370)&gt;0,
    COUNTIFS($W$2:$W$200,$G370)&gt;0,
    COUNTIFS($X$2:$X$200,$G370)&gt;0,
    COUNTIFS($Y$2:$Y$200,$G370)&gt;0,
    COUNTIFS($Z$2:$Z$200,$G370)&gt;0,
    COUNTIFS($AA$2:$AA$200,$G370)&gt;0,
    COUNTIFS($AB$2:$AB$200,$G370)&gt;0,
    COUNTIFS($AC$2:$AC$200,$G370)&gt;0,
    COUNTIFS($AD$2:$AD$200,$G370)&gt;0,
    COUNTIFS($AE$2:$AE$200,$G370)&gt;0,
    COUNTIFS($AF$2:$AF$200,$G370)&gt;0,
    COUNTIFS($AG$2:$AG$200,$G370)&gt;0,
    COUNTIFS($AH$2:$AH$200,$G370)&gt;0,
    COUNTIFS($AI$2:$AI$200,$G370)&gt;0,
    COUNTIFS($AJ$2:$AJ$200,$G370)&gt;0,
    COUNTIFS($AK$2:$AK$200,$G370)&gt;0,
    COUNTIFS($AL$2:$AL$200,$G370)&gt;0,
    COUNTIFS($AM$2:$AM$200,$G370)&gt;0,
    COUNTIFS($AN$2:$AN$200,$G370)&gt;0,
    COUNTIFS($AO$2:$AO$200,$G370)&gt;0,
    COUNTIFS($AP$2:$AP$200,$G370)&gt;0,
    COUNTIFS($AQ$2:$AQ$200,$G370)&gt;0,
    COUNTIFS($AR$2:$AR$200,$G370)&gt;0,
    COUNTIFS($AS$2:$AS$200,$G370)&gt;0,
    COUNTIFS($AT$2:$AT$200,$G370)&gt;0,
    COUNTIFS($AU$2:$AU$200,$G370)&gt;0,
    COUNTIFS($AV$2:$AV$200,$G370)&gt;0,
    COUNTIFS($AW$2:$AW$200,$G370)&gt;0,
    COUNTIFS($AX$2:$AX$200,$G370)&gt;0
   ),
  0)
 ),
"")</f>
        <v/>
      </c>
      <c r="D370" s="3" t="str" cm="1">
        <f t="array" ref="D370">IFERROR(
 INDEX(
  _xlfn._xlws.FILTER($U$1:$AV$1,
   TRANSPOSE(
    CHOOSE({1;2;3;4;5;6;7;8;9;10;11;12;13;14;15;16;17;18;19;20;21;22;23;24;25;26;27;28},
     COUNTIFS($U$2:$U$200,$G370)&gt;0,
     COUNTIFS($V$2:$V$200,$G370)&gt;0,
     COUNTIFS($W$2:$W$200,$G370)&gt;0,
     COUNTIFS($X$2:$X$200,$G370)&gt;0,
     COUNTIFS($Y$2:$Y$200,$G370)&gt;0,
     COUNTIFS($Z$2:$Z$200,$G370)&gt;0,
     COUNTIFS($AA$2:$AA$200,$G370)&gt;0,
     COUNTIFS($AB$2:$AB$200,$G370)&gt;0,
     COUNTIFS($AC$2:$AC$200,$G370)&gt;0,
     COUNTIFS($AD$2:$AD$200,$G370)&gt;0,
     COUNTIFS($AE$2:$AE$200,$G370)&gt;0,
     COUNTIFS($AF$2:$AF$200,$G370)&gt;0,
     COUNTIFS($AG$2:$AG$200,$G370)&gt;0,
     COUNTIFS($AH$2:$AH$200,$G370)&gt;0,
     COUNTIFS($AI$2:$AI$200,$G370)&gt;0,
     COUNTIFS($AJ$2:$AJ$200,$G370)&gt;0,
     COUNTIFS($AK$2:$AK$200,$G370)&gt;0,
     COUNTIFS($AL$2:$AL$200,$G370)&gt;0,
     COUNTIFS($AM$2:$AM$200,$G370)&gt;0,
     COUNTIFS($AN$2:$AN$200,$G370)&gt;0,
     COUNTIFS($AO$2:$AO$200,$G370)&gt;0,
     COUNTIFS($AP$2:$AP$200,$G370)&gt;0,
     COUNTIFS($AQ$2:$AQ$200,$G370)&gt;0,
     COUNTIFS($AR$2:$AR$200,$G370)&gt;0,
     COUNTIFS($AS$2:$AS$200,$G370)&gt;0,
     COUNTIFS($AT$2:$AT$200,$G370)&gt;0,
     COUNTIFS($AU$2:$AU$200,$G370)&gt;0,
     COUNTIFS($AV$2:$AV$200,$G370)&gt;0
   )),
  ),
  2
 ),
"")</f>
        <v/>
      </c>
      <c r="E370" s="3" t="str" cm="1">
        <f t="array" ref="E370">IFERROR(
 INDEX($U$1:$AV$1,
  _xlfn.AGGREGATE(15,6,
   (COLUMN($U$1:$AV$1)-COLUMN($U$1)+1)/
   TRANSPOSE(
    CHOOSE({1;2;3;4;5;6;7;8;9;10;11;12;13;14;15;16;17;18;19;20;21;22;23;24;25;26;27;28},
     COUNTIFS($U$2:$U$200,$G370)&gt;0,
     COUNTIFS($V$2:$V$200,$G370)&gt;0,
     COUNTIFS($W$2:$W$200,$G370)&gt;0,
     COUNTIFS($X$2:$X$200,$G370)&gt;0,
     COUNTIFS($Y$2:$Y$200,$G370)&gt;0,
     COUNTIFS($Z$2:$Z$200,$G370)&gt;0,
     COUNTIFS($AA$2:$AA$200,$G370)&gt;0,
     COUNTIFS($AB$2:$AB$200,$G370)&gt;0,
     COUNTIFS($AC$2:$AC$200,$G370)&gt;0,
     COUNTIFS($AD$2:$AD$200,$G370)&gt;0,
     COUNTIFS($AE$2:$AE$200,$G370)&gt;0,
     COUNTIFS($AF$2:$AF$200,$G370)&gt;0,
     COUNTIFS($AG$2:$AG$200,$G370)&gt;0,
     COUNTIFS($AH$2:$AH$200,$G370)&gt;0,
     COUNTIFS($AI$2:$AI$200,$G370)&gt;0,
     COUNTIFS($AJ$2:$AJ$200,$G370)&gt;0,
     COUNTIFS($AK$2:$AK$200,$G370)&gt;0,
     COUNTIFS($AL$2:$AL$200,$G370)&gt;0,
     COUNTIFS($AM$2:$AM$200,$G370)&gt;0,
     COUNTIFS($AN$2:$AN$200,$G370)&gt;0,
     COUNTIFS($AO$2:$AO$200,$G370)&gt;0,
     COUNTIFS($AP$2:$AP$200,$G370)&gt;0,
     COUNTIFS($AQ$2:$AQ$200,$G370)&gt;0,
     COUNTIFS($AR$2:$AR$200,$G370)&gt;0,
     COUNTIFS($AS$2:$AS$200,$G370)&gt;0,
     COUNTIFS($AT$2:$AT$200,$G370)&gt;0,
     COUNTIFS($AU$2:$AU$200,$G370)&gt;0,
     COUNTIFS($AV$2:$AV$200,$G370)&gt;0
   )),
  3)
 ),
"")</f>
        <v/>
      </c>
      <c r="F370" s="3" t="str" cm="1">
        <f t="array" ref="F370">IFERROR(
 INDEX($U$1:$AV$1,
  _xlfn.AGGREGATE(15,6,
   (COLUMN($U$1:$AV$1)-COLUMN($U$1)+1)/
   TRANSPOSE(
    CHOOSE({1;2;3;4;5;6;7;8;9;10;11;12;13;14;15;16;17;18;19;20;21;22;23;24;25;26;27;28},
     COUNTIFS($U$2:$U$200,$G370)&gt;0,
     COUNTIFS($V$2:$V$200,$G370)&gt;0,
     COUNTIFS($W$2:$W$200,$G370)&gt;0,
     COUNTIFS($X$2:$X$200,$G370)&gt;0,
     COUNTIFS($Y$2:$Y$200,$G370)&gt;0,
     COUNTIFS($Z$2:$Z$200,$G370)&gt;0,
     COUNTIFS($AA$2:$AA$200,$G370)&gt;0,
     COUNTIFS($AB$2:$AB$200,$G370)&gt;0,
     COUNTIFS($AC$2:$AC$200,$G370)&gt;0,
     COUNTIFS($AD$2:$AD$200,$G370)&gt;0,
     COUNTIFS($AE$2:$AE$200,$G370)&gt;0,
     COUNTIFS($AF$2:$AF$200,$G370)&gt;0,
     COUNTIFS($AG$2:$AG$200,$G370)&gt;0,
     COUNTIFS($AH$2:$AH$200,$G370)&gt;0,
     COUNTIFS($AI$2:$AI$200,$G370)&gt;0,
     COUNTIFS($AJ$2:$AJ$200,$G370)&gt;0,
     COUNTIFS($AK$2:$AK$200,$G370)&gt;0,
     COUNTIFS($AL$2:$AL$200,$G370)&gt;0,
     COUNTIFS($AM$2:$AM$200,$G370)&gt;0,
     COUNTIFS($AN$2:$AN$200,$G370)&gt;0,
     COUNTIFS($AO$2:$AO$200,$G370)&gt;0,
     COUNTIFS($AP$2:$AP$200,$G370)&gt;0,
     COUNTIFS($AQ$2:$AQ$200,$G370)&gt;0,
     COUNTIFS($AR$2:$AR$200,$G370)&gt;0,
     COUNTIFS($AS$2:$AS$200,$G370)&gt;0,
     COUNTIFS($AT$2:$AT$200,$G370)&gt;0,
     COUNTIFS($AU$2:$AU$200,$G370)&gt;0,
     COUNTIFS($AV$2:$AV$200,$G370)&gt;0
   )),
  4)
 ),
"")</f>
        <v/>
      </c>
    </row>
    <row r="371" spans="1:6" x14ac:dyDescent="0.25">
      <c r="A371" s="3" t="str">
        <f t="shared" si="12"/>
        <v/>
      </c>
      <c r="B371" s="3">
        <f t="shared" si="13"/>
        <v>0</v>
      </c>
      <c r="C371" s="3" t="str">
        <f>IFERROR(
 INDEX($U$1:$AX$1,
  MATCH(TRUE,
   CHOOSE({1;2;3;4;5;6;7;8;9;10;11;12;13;14;15;16;17;18;19;20;21;22;23;24;25;26;27;28;29;30;31;32},
    COUNTIFS($U$2:$U$200,$G371)&gt;0,
    COUNTIFS($V$2:$V$200,$G371)&gt;0,
    COUNTIFS($W$2:$W$200,$G371)&gt;0,
    COUNTIFS($X$2:$X$200,$G371)&gt;0,
    COUNTIFS($Y$2:$Y$200,$G371)&gt;0,
    COUNTIFS($Z$2:$Z$200,$G371)&gt;0,
    COUNTIFS($AA$2:$AA$200,$G371)&gt;0,
    COUNTIFS($AB$2:$AB$200,$G371)&gt;0,
    COUNTIFS($AC$2:$AC$200,$G371)&gt;0,
    COUNTIFS($AD$2:$AD$200,$G371)&gt;0,
    COUNTIFS($AE$2:$AE$200,$G371)&gt;0,
    COUNTIFS($AF$2:$AF$200,$G371)&gt;0,
    COUNTIFS($AG$2:$AG$200,$G371)&gt;0,
    COUNTIFS($AH$2:$AH$200,$G371)&gt;0,
    COUNTIFS($AI$2:$AI$200,$G371)&gt;0,
    COUNTIFS($AJ$2:$AJ$200,$G371)&gt;0,
    COUNTIFS($AK$2:$AK$200,$G371)&gt;0,
    COUNTIFS($AL$2:$AL$200,$G371)&gt;0,
    COUNTIFS($AM$2:$AM$200,$G371)&gt;0,
    COUNTIFS($AN$2:$AN$200,$G371)&gt;0,
    COUNTIFS($AO$2:$AO$200,$G371)&gt;0,
    COUNTIFS($AP$2:$AP$200,$G371)&gt;0,
    COUNTIFS($AQ$2:$AQ$200,$G371)&gt;0,
    COUNTIFS($AR$2:$AR$200,$G371)&gt;0,
    COUNTIFS($AS$2:$AS$200,$G371)&gt;0,
    COUNTIFS($AT$2:$AT$200,$G371)&gt;0,
    COUNTIFS($AU$2:$AU$200,$G371)&gt;0,
    COUNTIFS($AV$2:$AV$200,$G371)&gt;0,
    COUNTIFS($AW$2:$AW$200,$G371)&gt;0,
    COUNTIFS($AX$2:$AX$200,$G371)&gt;0
   ),
  0)
 ),
"")</f>
        <v/>
      </c>
      <c r="D371" s="3" t="str" cm="1">
        <f t="array" ref="D371">IFERROR(
 INDEX(
  _xlfn._xlws.FILTER($U$1:$AV$1,
   TRANSPOSE(
    CHOOSE({1;2;3;4;5;6;7;8;9;10;11;12;13;14;15;16;17;18;19;20;21;22;23;24;25;26;27;28},
     COUNTIFS($U$2:$U$200,$G371)&gt;0,
     COUNTIFS($V$2:$V$200,$G371)&gt;0,
     COUNTIFS($W$2:$W$200,$G371)&gt;0,
     COUNTIFS($X$2:$X$200,$G371)&gt;0,
     COUNTIFS($Y$2:$Y$200,$G371)&gt;0,
     COUNTIFS($Z$2:$Z$200,$G371)&gt;0,
     COUNTIFS($AA$2:$AA$200,$G371)&gt;0,
     COUNTIFS($AB$2:$AB$200,$G371)&gt;0,
     COUNTIFS($AC$2:$AC$200,$G371)&gt;0,
     COUNTIFS($AD$2:$AD$200,$G371)&gt;0,
     COUNTIFS($AE$2:$AE$200,$G371)&gt;0,
     COUNTIFS($AF$2:$AF$200,$G371)&gt;0,
     COUNTIFS($AG$2:$AG$200,$G371)&gt;0,
     COUNTIFS($AH$2:$AH$200,$G371)&gt;0,
     COUNTIFS($AI$2:$AI$200,$G371)&gt;0,
     COUNTIFS($AJ$2:$AJ$200,$G371)&gt;0,
     COUNTIFS($AK$2:$AK$200,$G371)&gt;0,
     COUNTIFS($AL$2:$AL$200,$G371)&gt;0,
     COUNTIFS($AM$2:$AM$200,$G371)&gt;0,
     COUNTIFS($AN$2:$AN$200,$G371)&gt;0,
     COUNTIFS($AO$2:$AO$200,$G371)&gt;0,
     COUNTIFS($AP$2:$AP$200,$G371)&gt;0,
     COUNTIFS($AQ$2:$AQ$200,$G371)&gt;0,
     COUNTIFS($AR$2:$AR$200,$G371)&gt;0,
     COUNTIFS($AS$2:$AS$200,$G371)&gt;0,
     COUNTIFS($AT$2:$AT$200,$G371)&gt;0,
     COUNTIFS($AU$2:$AU$200,$G371)&gt;0,
     COUNTIFS($AV$2:$AV$200,$G371)&gt;0
   )),
  ),
  2
 ),
"")</f>
        <v/>
      </c>
      <c r="E371" s="3" t="str" cm="1">
        <f t="array" ref="E371">IFERROR(
 INDEX($U$1:$AV$1,
  _xlfn.AGGREGATE(15,6,
   (COLUMN($U$1:$AV$1)-COLUMN($U$1)+1)/
   TRANSPOSE(
    CHOOSE({1;2;3;4;5;6;7;8;9;10;11;12;13;14;15;16;17;18;19;20;21;22;23;24;25;26;27;28},
     COUNTIFS($U$2:$U$200,$G371)&gt;0,
     COUNTIFS($V$2:$V$200,$G371)&gt;0,
     COUNTIFS($W$2:$W$200,$G371)&gt;0,
     COUNTIFS($X$2:$X$200,$G371)&gt;0,
     COUNTIFS($Y$2:$Y$200,$G371)&gt;0,
     COUNTIFS($Z$2:$Z$200,$G371)&gt;0,
     COUNTIFS($AA$2:$AA$200,$G371)&gt;0,
     COUNTIFS($AB$2:$AB$200,$G371)&gt;0,
     COUNTIFS($AC$2:$AC$200,$G371)&gt;0,
     COUNTIFS($AD$2:$AD$200,$G371)&gt;0,
     COUNTIFS($AE$2:$AE$200,$G371)&gt;0,
     COUNTIFS($AF$2:$AF$200,$G371)&gt;0,
     COUNTIFS($AG$2:$AG$200,$G371)&gt;0,
     COUNTIFS($AH$2:$AH$200,$G371)&gt;0,
     COUNTIFS($AI$2:$AI$200,$G371)&gt;0,
     COUNTIFS($AJ$2:$AJ$200,$G371)&gt;0,
     COUNTIFS($AK$2:$AK$200,$G371)&gt;0,
     COUNTIFS($AL$2:$AL$200,$G371)&gt;0,
     COUNTIFS($AM$2:$AM$200,$G371)&gt;0,
     COUNTIFS($AN$2:$AN$200,$G371)&gt;0,
     COUNTIFS($AO$2:$AO$200,$G371)&gt;0,
     COUNTIFS($AP$2:$AP$200,$G371)&gt;0,
     COUNTIFS($AQ$2:$AQ$200,$G371)&gt;0,
     COUNTIFS($AR$2:$AR$200,$G371)&gt;0,
     COUNTIFS($AS$2:$AS$200,$G371)&gt;0,
     COUNTIFS($AT$2:$AT$200,$G371)&gt;0,
     COUNTIFS($AU$2:$AU$200,$G371)&gt;0,
     COUNTIFS($AV$2:$AV$200,$G371)&gt;0
   )),
  3)
 ),
"")</f>
        <v/>
      </c>
      <c r="F371" s="3" t="str" cm="1">
        <f t="array" ref="F371">IFERROR(
 INDEX($U$1:$AV$1,
  _xlfn.AGGREGATE(15,6,
   (COLUMN($U$1:$AV$1)-COLUMN($U$1)+1)/
   TRANSPOSE(
    CHOOSE({1;2;3;4;5;6;7;8;9;10;11;12;13;14;15;16;17;18;19;20;21;22;23;24;25;26;27;28},
     COUNTIFS($U$2:$U$200,$G371)&gt;0,
     COUNTIFS($V$2:$V$200,$G371)&gt;0,
     COUNTIFS($W$2:$W$200,$G371)&gt;0,
     COUNTIFS($X$2:$X$200,$G371)&gt;0,
     COUNTIFS($Y$2:$Y$200,$G371)&gt;0,
     COUNTIFS($Z$2:$Z$200,$G371)&gt;0,
     COUNTIFS($AA$2:$AA$200,$G371)&gt;0,
     COUNTIFS($AB$2:$AB$200,$G371)&gt;0,
     COUNTIFS($AC$2:$AC$200,$G371)&gt;0,
     COUNTIFS($AD$2:$AD$200,$G371)&gt;0,
     COUNTIFS($AE$2:$AE$200,$G371)&gt;0,
     COUNTIFS($AF$2:$AF$200,$G371)&gt;0,
     COUNTIFS($AG$2:$AG$200,$G371)&gt;0,
     COUNTIFS($AH$2:$AH$200,$G371)&gt;0,
     COUNTIFS($AI$2:$AI$200,$G371)&gt;0,
     COUNTIFS($AJ$2:$AJ$200,$G371)&gt;0,
     COUNTIFS($AK$2:$AK$200,$G371)&gt;0,
     COUNTIFS($AL$2:$AL$200,$G371)&gt;0,
     COUNTIFS($AM$2:$AM$200,$G371)&gt;0,
     COUNTIFS($AN$2:$AN$200,$G371)&gt;0,
     COUNTIFS($AO$2:$AO$200,$G371)&gt;0,
     COUNTIFS($AP$2:$AP$200,$G371)&gt;0,
     COUNTIFS($AQ$2:$AQ$200,$G371)&gt;0,
     COUNTIFS($AR$2:$AR$200,$G371)&gt;0,
     COUNTIFS($AS$2:$AS$200,$G371)&gt;0,
     COUNTIFS($AT$2:$AT$200,$G371)&gt;0,
     COUNTIFS($AU$2:$AU$200,$G371)&gt;0,
     COUNTIFS($AV$2:$AV$200,$G371)&gt;0
   )),
  4)
 ),
"")</f>
        <v/>
      </c>
    </row>
    <row r="372" spans="1:6" x14ac:dyDescent="0.25">
      <c r="A372" s="3" t="str">
        <f t="shared" si="12"/>
        <v/>
      </c>
      <c r="B372" s="3">
        <f t="shared" si="13"/>
        <v>0</v>
      </c>
      <c r="C372" s="3" t="str">
        <f>IFERROR(
 INDEX($U$1:$AX$1,
  MATCH(TRUE,
   CHOOSE({1;2;3;4;5;6;7;8;9;10;11;12;13;14;15;16;17;18;19;20;21;22;23;24;25;26;27;28;29;30;31;32},
    COUNTIFS($U$2:$U$200,$G372)&gt;0,
    COUNTIFS($V$2:$V$200,$G372)&gt;0,
    COUNTIFS($W$2:$W$200,$G372)&gt;0,
    COUNTIFS($X$2:$X$200,$G372)&gt;0,
    COUNTIFS($Y$2:$Y$200,$G372)&gt;0,
    COUNTIFS($Z$2:$Z$200,$G372)&gt;0,
    COUNTIFS($AA$2:$AA$200,$G372)&gt;0,
    COUNTIFS($AB$2:$AB$200,$G372)&gt;0,
    COUNTIFS($AC$2:$AC$200,$G372)&gt;0,
    COUNTIFS($AD$2:$AD$200,$G372)&gt;0,
    COUNTIFS($AE$2:$AE$200,$G372)&gt;0,
    COUNTIFS($AF$2:$AF$200,$G372)&gt;0,
    COUNTIFS($AG$2:$AG$200,$G372)&gt;0,
    COUNTIFS($AH$2:$AH$200,$G372)&gt;0,
    COUNTIFS($AI$2:$AI$200,$G372)&gt;0,
    COUNTIFS($AJ$2:$AJ$200,$G372)&gt;0,
    COUNTIFS($AK$2:$AK$200,$G372)&gt;0,
    COUNTIFS($AL$2:$AL$200,$G372)&gt;0,
    COUNTIFS($AM$2:$AM$200,$G372)&gt;0,
    COUNTIFS($AN$2:$AN$200,$G372)&gt;0,
    COUNTIFS($AO$2:$AO$200,$G372)&gt;0,
    COUNTIFS($AP$2:$AP$200,$G372)&gt;0,
    COUNTIFS($AQ$2:$AQ$200,$G372)&gt;0,
    COUNTIFS($AR$2:$AR$200,$G372)&gt;0,
    COUNTIFS($AS$2:$AS$200,$G372)&gt;0,
    COUNTIFS($AT$2:$AT$200,$G372)&gt;0,
    COUNTIFS($AU$2:$AU$200,$G372)&gt;0,
    COUNTIFS($AV$2:$AV$200,$G372)&gt;0,
    COUNTIFS($AW$2:$AW$200,$G372)&gt;0,
    COUNTIFS($AX$2:$AX$200,$G372)&gt;0
   ),
  0)
 ),
"")</f>
        <v/>
      </c>
      <c r="D372" s="3" t="str" cm="1">
        <f t="array" ref="D372">IFERROR(
 INDEX(
  _xlfn._xlws.FILTER($U$1:$AV$1,
   TRANSPOSE(
    CHOOSE({1;2;3;4;5;6;7;8;9;10;11;12;13;14;15;16;17;18;19;20;21;22;23;24;25;26;27;28},
     COUNTIFS($U$2:$U$200,$G372)&gt;0,
     COUNTIFS($V$2:$V$200,$G372)&gt;0,
     COUNTIFS($W$2:$W$200,$G372)&gt;0,
     COUNTIFS($X$2:$X$200,$G372)&gt;0,
     COUNTIFS($Y$2:$Y$200,$G372)&gt;0,
     COUNTIFS($Z$2:$Z$200,$G372)&gt;0,
     COUNTIFS($AA$2:$AA$200,$G372)&gt;0,
     COUNTIFS($AB$2:$AB$200,$G372)&gt;0,
     COUNTIFS($AC$2:$AC$200,$G372)&gt;0,
     COUNTIFS($AD$2:$AD$200,$G372)&gt;0,
     COUNTIFS($AE$2:$AE$200,$G372)&gt;0,
     COUNTIFS($AF$2:$AF$200,$G372)&gt;0,
     COUNTIFS($AG$2:$AG$200,$G372)&gt;0,
     COUNTIFS($AH$2:$AH$200,$G372)&gt;0,
     COUNTIFS($AI$2:$AI$200,$G372)&gt;0,
     COUNTIFS($AJ$2:$AJ$200,$G372)&gt;0,
     COUNTIFS($AK$2:$AK$200,$G372)&gt;0,
     COUNTIFS($AL$2:$AL$200,$G372)&gt;0,
     COUNTIFS($AM$2:$AM$200,$G372)&gt;0,
     COUNTIFS($AN$2:$AN$200,$G372)&gt;0,
     COUNTIFS($AO$2:$AO$200,$G372)&gt;0,
     COUNTIFS($AP$2:$AP$200,$G372)&gt;0,
     COUNTIFS($AQ$2:$AQ$200,$G372)&gt;0,
     COUNTIFS($AR$2:$AR$200,$G372)&gt;0,
     COUNTIFS($AS$2:$AS$200,$G372)&gt;0,
     COUNTIFS($AT$2:$AT$200,$G372)&gt;0,
     COUNTIFS($AU$2:$AU$200,$G372)&gt;0,
     COUNTIFS($AV$2:$AV$200,$G372)&gt;0
   )),
  ),
  2
 ),
"")</f>
        <v/>
      </c>
      <c r="E372" s="3" t="str" cm="1">
        <f t="array" ref="E372">IFERROR(
 INDEX($U$1:$AV$1,
  _xlfn.AGGREGATE(15,6,
   (COLUMN($U$1:$AV$1)-COLUMN($U$1)+1)/
   TRANSPOSE(
    CHOOSE({1;2;3;4;5;6;7;8;9;10;11;12;13;14;15;16;17;18;19;20;21;22;23;24;25;26;27;28},
     COUNTIFS($U$2:$U$200,$G372)&gt;0,
     COUNTIFS($V$2:$V$200,$G372)&gt;0,
     COUNTIFS($W$2:$W$200,$G372)&gt;0,
     COUNTIFS($X$2:$X$200,$G372)&gt;0,
     COUNTIFS($Y$2:$Y$200,$G372)&gt;0,
     COUNTIFS($Z$2:$Z$200,$G372)&gt;0,
     COUNTIFS($AA$2:$AA$200,$G372)&gt;0,
     COUNTIFS($AB$2:$AB$200,$G372)&gt;0,
     COUNTIFS($AC$2:$AC$200,$G372)&gt;0,
     COUNTIFS($AD$2:$AD$200,$G372)&gt;0,
     COUNTIFS($AE$2:$AE$200,$G372)&gt;0,
     COUNTIFS($AF$2:$AF$200,$G372)&gt;0,
     COUNTIFS($AG$2:$AG$200,$G372)&gt;0,
     COUNTIFS($AH$2:$AH$200,$G372)&gt;0,
     COUNTIFS($AI$2:$AI$200,$G372)&gt;0,
     COUNTIFS($AJ$2:$AJ$200,$G372)&gt;0,
     COUNTIFS($AK$2:$AK$200,$G372)&gt;0,
     COUNTIFS($AL$2:$AL$200,$G372)&gt;0,
     COUNTIFS($AM$2:$AM$200,$G372)&gt;0,
     COUNTIFS($AN$2:$AN$200,$G372)&gt;0,
     COUNTIFS($AO$2:$AO$200,$G372)&gt;0,
     COUNTIFS($AP$2:$AP$200,$G372)&gt;0,
     COUNTIFS($AQ$2:$AQ$200,$G372)&gt;0,
     COUNTIFS($AR$2:$AR$200,$G372)&gt;0,
     COUNTIFS($AS$2:$AS$200,$G372)&gt;0,
     COUNTIFS($AT$2:$AT$200,$G372)&gt;0,
     COUNTIFS($AU$2:$AU$200,$G372)&gt;0,
     COUNTIFS($AV$2:$AV$200,$G372)&gt;0
   )),
  3)
 ),
"")</f>
        <v/>
      </c>
      <c r="F372" s="3" t="str" cm="1">
        <f t="array" ref="F372">IFERROR(
 INDEX($U$1:$AV$1,
  _xlfn.AGGREGATE(15,6,
   (COLUMN($U$1:$AV$1)-COLUMN($U$1)+1)/
   TRANSPOSE(
    CHOOSE({1;2;3;4;5;6;7;8;9;10;11;12;13;14;15;16;17;18;19;20;21;22;23;24;25;26;27;28},
     COUNTIFS($U$2:$U$200,$G372)&gt;0,
     COUNTIFS($V$2:$V$200,$G372)&gt;0,
     COUNTIFS($W$2:$W$200,$G372)&gt;0,
     COUNTIFS($X$2:$X$200,$G372)&gt;0,
     COUNTIFS($Y$2:$Y$200,$G372)&gt;0,
     COUNTIFS($Z$2:$Z$200,$G372)&gt;0,
     COUNTIFS($AA$2:$AA$200,$G372)&gt;0,
     COUNTIFS($AB$2:$AB$200,$G372)&gt;0,
     COUNTIFS($AC$2:$AC$200,$G372)&gt;0,
     COUNTIFS($AD$2:$AD$200,$G372)&gt;0,
     COUNTIFS($AE$2:$AE$200,$G372)&gt;0,
     COUNTIFS($AF$2:$AF$200,$G372)&gt;0,
     COUNTIFS($AG$2:$AG$200,$G372)&gt;0,
     COUNTIFS($AH$2:$AH$200,$G372)&gt;0,
     COUNTIFS($AI$2:$AI$200,$G372)&gt;0,
     COUNTIFS($AJ$2:$AJ$200,$G372)&gt;0,
     COUNTIFS($AK$2:$AK$200,$G372)&gt;0,
     COUNTIFS($AL$2:$AL$200,$G372)&gt;0,
     COUNTIFS($AM$2:$AM$200,$G372)&gt;0,
     COUNTIFS($AN$2:$AN$200,$G372)&gt;0,
     COUNTIFS($AO$2:$AO$200,$G372)&gt;0,
     COUNTIFS($AP$2:$AP$200,$G372)&gt;0,
     COUNTIFS($AQ$2:$AQ$200,$G372)&gt;0,
     COUNTIFS($AR$2:$AR$200,$G372)&gt;0,
     COUNTIFS($AS$2:$AS$200,$G372)&gt;0,
     COUNTIFS($AT$2:$AT$200,$G372)&gt;0,
     COUNTIFS($AU$2:$AU$200,$G372)&gt;0,
     COUNTIFS($AV$2:$AV$200,$G372)&gt;0
   )),
  4)
 ),
"")</f>
        <v/>
      </c>
    </row>
    <row r="373" spans="1:6" x14ac:dyDescent="0.25">
      <c r="A373" s="3" t="str">
        <f t="shared" si="12"/>
        <v/>
      </c>
      <c r="B373" s="3">
        <f t="shared" si="13"/>
        <v>0</v>
      </c>
      <c r="C373" s="3" t="str">
        <f>IFERROR(
 INDEX($U$1:$AX$1,
  MATCH(TRUE,
   CHOOSE({1;2;3;4;5;6;7;8;9;10;11;12;13;14;15;16;17;18;19;20;21;22;23;24;25;26;27;28;29;30;31;32},
    COUNTIFS($U$2:$U$200,$G373)&gt;0,
    COUNTIFS($V$2:$V$200,$G373)&gt;0,
    COUNTIFS($W$2:$W$200,$G373)&gt;0,
    COUNTIFS($X$2:$X$200,$G373)&gt;0,
    COUNTIFS($Y$2:$Y$200,$G373)&gt;0,
    COUNTIFS($Z$2:$Z$200,$G373)&gt;0,
    COUNTIFS($AA$2:$AA$200,$G373)&gt;0,
    COUNTIFS($AB$2:$AB$200,$G373)&gt;0,
    COUNTIFS($AC$2:$AC$200,$G373)&gt;0,
    COUNTIFS($AD$2:$AD$200,$G373)&gt;0,
    COUNTIFS($AE$2:$AE$200,$G373)&gt;0,
    COUNTIFS($AF$2:$AF$200,$G373)&gt;0,
    COUNTIFS($AG$2:$AG$200,$G373)&gt;0,
    COUNTIFS($AH$2:$AH$200,$G373)&gt;0,
    COUNTIFS($AI$2:$AI$200,$G373)&gt;0,
    COUNTIFS($AJ$2:$AJ$200,$G373)&gt;0,
    COUNTIFS($AK$2:$AK$200,$G373)&gt;0,
    COUNTIFS($AL$2:$AL$200,$G373)&gt;0,
    COUNTIFS($AM$2:$AM$200,$G373)&gt;0,
    COUNTIFS($AN$2:$AN$200,$G373)&gt;0,
    COUNTIFS($AO$2:$AO$200,$G373)&gt;0,
    COUNTIFS($AP$2:$AP$200,$G373)&gt;0,
    COUNTIFS($AQ$2:$AQ$200,$G373)&gt;0,
    COUNTIFS($AR$2:$AR$200,$G373)&gt;0,
    COUNTIFS($AS$2:$AS$200,$G373)&gt;0,
    COUNTIFS($AT$2:$AT$200,$G373)&gt;0,
    COUNTIFS($AU$2:$AU$200,$G373)&gt;0,
    COUNTIFS($AV$2:$AV$200,$G373)&gt;0,
    COUNTIFS($AW$2:$AW$200,$G373)&gt;0,
    COUNTIFS($AX$2:$AX$200,$G373)&gt;0
   ),
  0)
 ),
"")</f>
        <v/>
      </c>
      <c r="D373" s="3" t="str" cm="1">
        <f t="array" ref="D373">IFERROR(
 INDEX(
  _xlfn._xlws.FILTER($U$1:$AV$1,
   TRANSPOSE(
    CHOOSE({1;2;3;4;5;6;7;8;9;10;11;12;13;14;15;16;17;18;19;20;21;22;23;24;25;26;27;28},
     COUNTIFS($U$2:$U$200,$G373)&gt;0,
     COUNTIFS($V$2:$V$200,$G373)&gt;0,
     COUNTIFS($W$2:$W$200,$G373)&gt;0,
     COUNTIFS($X$2:$X$200,$G373)&gt;0,
     COUNTIFS($Y$2:$Y$200,$G373)&gt;0,
     COUNTIFS($Z$2:$Z$200,$G373)&gt;0,
     COUNTIFS($AA$2:$AA$200,$G373)&gt;0,
     COUNTIFS($AB$2:$AB$200,$G373)&gt;0,
     COUNTIFS($AC$2:$AC$200,$G373)&gt;0,
     COUNTIFS($AD$2:$AD$200,$G373)&gt;0,
     COUNTIFS($AE$2:$AE$200,$G373)&gt;0,
     COUNTIFS($AF$2:$AF$200,$G373)&gt;0,
     COUNTIFS($AG$2:$AG$200,$G373)&gt;0,
     COUNTIFS($AH$2:$AH$200,$G373)&gt;0,
     COUNTIFS($AI$2:$AI$200,$G373)&gt;0,
     COUNTIFS($AJ$2:$AJ$200,$G373)&gt;0,
     COUNTIFS($AK$2:$AK$200,$G373)&gt;0,
     COUNTIFS($AL$2:$AL$200,$G373)&gt;0,
     COUNTIFS($AM$2:$AM$200,$G373)&gt;0,
     COUNTIFS($AN$2:$AN$200,$G373)&gt;0,
     COUNTIFS($AO$2:$AO$200,$G373)&gt;0,
     COUNTIFS($AP$2:$AP$200,$G373)&gt;0,
     COUNTIFS($AQ$2:$AQ$200,$G373)&gt;0,
     COUNTIFS($AR$2:$AR$200,$G373)&gt;0,
     COUNTIFS($AS$2:$AS$200,$G373)&gt;0,
     COUNTIFS($AT$2:$AT$200,$G373)&gt;0,
     COUNTIFS($AU$2:$AU$200,$G373)&gt;0,
     COUNTIFS($AV$2:$AV$200,$G373)&gt;0
   )),
  ),
  2
 ),
"")</f>
        <v/>
      </c>
      <c r="E373" s="3" t="str" cm="1">
        <f t="array" ref="E373">IFERROR(
 INDEX($U$1:$AV$1,
  _xlfn.AGGREGATE(15,6,
   (COLUMN($U$1:$AV$1)-COLUMN($U$1)+1)/
   TRANSPOSE(
    CHOOSE({1;2;3;4;5;6;7;8;9;10;11;12;13;14;15;16;17;18;19;20;21;22;23;24;25;26;27;28},
     COUNTIFS($U$2:$U$200,$G373)&gt;0,
     COUNTIFS($V$2:$V$200,$G373)&gt;0,
     COUNTIFS($W$2:$W$200,$G373)&gt;0,
     COUNTIFS($X$2:$X$200,$G373)&gt;0,
     COUNTIFS($Y$2:$Y$200,$G373)&gt;0,
     COUNTIFS($Z$2:$Z$200,$G373)&gt;0,
     COUNTIFS($AA$2:$AA$200,$G373)&gt;0,
     COUNTIFS($AB$2:$AB$200,$G373)&gt;0,
     COUNTIFS($AC$2:$AC$200,$G373)&gt;0,
     COUNTIFS($AD$2:$AD$200,$G373)&gt;0,
     COUNTIFS($AE$2:$AE$200,$G373)&gt;0,
     COUNTIFS($AF$2:$AF$200,$G373)&gt;0,
     COUNTIFS($AG$2:$AG$200,$G373)&gt;0,
     COUNTIFS($AH$2:$AH$200,$G373)&gt;0,
     COUNTIFS($AI$2:$AI$200,$G373)&gt;0,
     COUNTIFS($AJ$2:$AJ$200,$G373)&gt;0,
     COUNTIFS($AK$2:$AK$200,$G373)&gt;0,
     COUNTIFS($AL$2:$AL$200,$G373)&gt;0,
     COUNTIFS($AM$2:$AM$200,$G373)&gt;0,
     COUNTIFS($AN$2:$AN$200,$G373)&gt;0,
     COUNTIFS($AO$2:$AO$200,$G373)&gt;0,
     COUNTIFS($AP$2:$AP$200,$G373)&gt;0,
     COUNTIFS($AQ$2:$AQ$200,$G373)&gt;0,
     COUNTIFS($AR$2:$AR$200,$G373)&gt;0,
     COUNTIFS($AS$2:$AS$200,$G373)&gt;0,
     COUNTIFS($AT$2:$AT$200,$G373)&gt;0,
     COUNTIFS($AU$2:$AU$200,$G373)&gt;0,
     COUNTIFS($AV$2:$AV$200,$G373)&gt;0
   )),
  3)
 ),
"")</f>
        <v/>
      </c>
      <c r="F373" s="3" t="str" cm="1">
        <f t="array" ref="F373">IFERROR(
 INDEX($U$1:$AV$1,
  _xlfn.AGGREGATE(15,6,
   (COLUMN($U$1:$AV$1)-COLUMN($U$1)+1)/
   TRANSPOSE(
    CHOOSE({1;2;3;4;5;6;7;8;9;10;11;12;13;14;15;16;17;18;19;20;21;22;23;24;25;26;27;28},
     COUNTIFS($U$2:$U$200,$G373)&gt;0,
     COUNTIFS($V$2:$V$200,$G373)&gt;0,
     COUNTIFS($W$2:$W$200,$G373)&gt;0,
     COUNTIFS($X$2:$X$200,$G373)&gt;0,
     COUNTIFS($Y$2:$Y$200,$G373)&gt;0,
     COUNTIFS($Z$2:$Z$200,$G373)&gt;0,
     COUNTIFS($AA$2:$AA$200,$G373)&gt;0,
     COUNTIFS($AB$2:$AB$200,$G373)&gt;0,
     COUNTIFS($AC$2:$AC$200,$G373)&gt;0,
     COUNTIFS($AD$2:$AD$200,$G373)&gt;0,
     COUNTIFS($AE$2:$AE$200,$G373)&gt;0,
     COUNTIFS($AF$2:$AF$200,$G373)&gt;0,
     COUNTIFS($AG$2:$AG$200,$G373)&gt;0,
     COUNTIFS($AH$2:$AH$200,$G373)&gt;0,
     COUNTIFS($AI$2:$AI$200,$G373)&gt;0,
     COUNTIFS($AJ$2:$AJ$200,$G373)&gt;0,
     COUNTIFS($AK$2:$AK$200,$G373)&gt;0,
     COUNTIFS($AL$2:$AL$200,$G373)&gt;0,
     COUNTIFS($AM$2:$AM$200,$G373)&gt;0,
     COUNTIFS($AN$2:$AN$200,$G373)&gt;0,
     COUNTIFS($AO$2:$AO$200,$G373)&gt;0,
     COUNTIFS($AP$2:$AP$200,$G373)&gt;0,
     COUNTIFS($AQ$2:$AQ$200,$G373)&gt;0,
     COUNTIFS($AR$2:$AR$200,$G373)&gt;0,
     COUNTIFS($AS$2:$AS$200,$G373)&gt;0,
     COUNTIFS($AT$2:$AT$200,$G373)&gt;0,
     COUNTIFS($AU$2:$AU$200,$G373)&gt;0,
     COUNTIFS($AV$2:$AV$200,$G373)&gt;0
   )),
  4)
 ),
"")</f>
        <v/>
      </c>
    </row>
    <row r="374" spans="1:6" x14ac:dyDescent="0.25">
      <c r="A374" s="3" t="str">
        <f t="shared" si="12"/>
        <v/>
      </c>
      <c r="B374" s="3">
        <f t="shared" si="13"/>
        <v>0</v>
      </c>
      <c r="C374" s="3" t="str">
        <f>IFERROR(
 INDEX($U$1:$AX$1,
  MATCH(TRUE,
   CHOOSE({1;2;3;4;5;6;7;8;9;10;11;12;13;14;15;16;17;18;19;20;21;22;23;24;25;26;27;28;29;30;31;32},
    COUNTIFS($U$2:$U$200,$G374)&gt;0,
    COUNTIFS($V$2:$V$200,$G374)&gt;0,
    COUNTIFS($W$2:$W$200,$G374)&gt;0,
    COUNTIFS($X$2:$X$200,$G374)&gt;0,
    COUNTIFS($Y$2:$Y$200,$G374)&gt;0,
    COUNTIFS($Z$2:$Z$200,$G374)&gt;0,
    COUNTIFS($AA$2:$AA$200,$G374)&gt;0,
    COUNTIFS($AB$2:$AB$200,$G374)&gt;0,
    COUNTIFS($AC$2:$AC$200,$G374)&gt;0,
    COUNTIFS($AD$2:$AD$200,$G374)&gt;0,
    COUNTIFS($AE$2:$AE$200,$G374)&gt;0,
    COUNTIFS($AF$2:$AF$200,$G374)&gt;0,
    COUNTIFS($AG$2:$AG$200,$G374)&gt;0,
    COUNTIFS($AH$2:$AH$200,$G374)&gt;0,
    COUNTIFS($AI$2:$AI$200,$G374)&gt;0,
    COUNTIFS($AJ$2:$AJ$200,$G374)&gt;0,
    COUNTIFS($AK$2:$AK$200,$G374)&gt;0,
    COUNTIFS($AL$2:$AL$200,$G374)&gt;0,
    COUNTIFS($AM$2:$AM$200,$G374)&gt;0,
    COUNTIFS($AN$2:$AN$200,$G374)&gt;0,
    COUNTIFS($AO$2:$AO$200,$G374)&gt;0,
    COUNTIFS($AP$2:$AP$200,$G374)&gt;0,
    COUNTIFS($AQ$2:$AQ$200,$G374)&gt;0,
    COUNTIFS($AR$2:$AR$200,$G374)&gt;0,
    COUNTIFS($AS$2:$AS$200,$G374)&gt;0,
    COUNTIFS($AT$2:$AT$200,$G374)&gt;0,
    COUNTIFS($AU$2:$AU$200,$G374)&gt;0,
    COUNTIFS($AV$2:$AV$200,$G374)&gt;0,
    COUNTIFS($AW$2:$AW$200,$G374)&gt;0,
    COUNTIFS($AX$2:$AX$200,$G374)&gt;0
   ),
  0)
 ),
"")</f>
        <v/>
      </c>
      <c r="D374" s="3" t="str" cm="1">
        <f t="array" ref="D374">IFERROR(
 INDEX(
  _xlfn._xlws.FILTER($U$1:$AV$1,
   TRANSPOSE(
    CHOOSE({1;2;3;4;5;6;7;8;9;10;11;12;13;14;15;16;17;18;19;20;21;22;23;24;25;26;27;28},
     COUNTIFS($U$2:$U$200,$G374)&gt;0,
     COUNTIFS($V$2:$V$200,$G374)&gt;0,
     COUNTIFS($W$2:$W$200,$G374)&gt;0,
     COUNTIFS($X$2:$X$200,$G374)&gt;0,
     COUNTIFS($Y$2:$Y$200,$G374)&gt;0,
     COUNTIFS($Z$2:$Z$200,$G374)&gt;0,
     COUNTIFS($AA$2:$AA$200,$G374)&gt;0,
     COUNTIFS($AB$2:$AB$200,$G374)&gt;0,
     COUNTIFS($AC$2:$AC$200,$G374)&gt;0,
     COUNTIFS($AD$2:$AD$200,$G374)&gt;0,
     COUNTIFS($AE$2:$AE$200,$G374)&gt;0,
     COUNTIFS($AF$2:$AF$200,$G374)&gt;0,
     COUNTIFS($AG$2:$AG$200,$G374)&gt;0,
     COUNTIFS($AH$2:$AH$200,$G374)&gt;0,
     COUNTIFS($AI$2:$AI$200,$G374)&gt;0,
     COUNTIFS($AJ$2:$AJ$200,$G374)&gt;0,
     COUNTIFS($AK$2:$AK$200,$G374)&gt;0,
     COUNTIFS($AL$2:$AL$200,$G374)&gt;0,
     COUNTIFS($AM$2:$AM$200,$G374)&gt;0,
     COUNTIFS($AN$2:$AN$200,$G374)&gt;0,
     COUNTIFS($AO$2:$AO$200,$G374)&gt;0,
     COUNTIFS($AP$2:$AP$200,$G374)&gt;0,
     COUNTIFS($AQ$2:$AQ$200,$G374)&gt;0,
     COUNTIFS($AR$2:$AR$200,$G374)&gt;0,
     COUNTIFS($AS$2:$AS$200,$G374)&gt;0,
     COUNTIFS($AT$2:$AT$200,$G374)&gt;0,
     COUNTIFS($AU$2:$AU$200,$G374)&gt;0,
     COUNTIFS($AV$2:$AV$200,$G374)&gt;0
   )),
  ),
  2
 ),
"")</f>
        <v/>
      </c>
      <c r="E374" s="3" t="str" cm="1">
        <f t="array" ref="E374">IFERROR(
 INDEX($U$1:$AV$1,
  _xlfn.AGGREGATE(15,6,
   (COLUMN($U$1:$AV$1)-COLUMN($U$1)+1)/
   TRANSPOSE(
    CHOOSE({1;2;3;4;5;6;7;8;9;10;11;12;13;14;15;16;17;18;19;20;21;22;23;24;25;26;27;28},
     COUNTIFS($U$2:$U$200,$G374)&gt;0,
     COUNTIFS($V$2:$V$200,$G374)&gt;0,
     COUNTIFS($W$2:$W$200,$G374)&gt;0,
     COUNTIFS($X$2:$X$200,$G374)&gt;0,
     COUNTIFS($Y$2:$Y$200,$G374)&gt;0,
     COUNTIFS($Z$2:$Z$200,$G374)&gt;0,
     COUNTIFS($AA$2:$AA$200,$G374)&gt;0,
     COUNTIFS($AB$2:$AB$200,$G374)&gt;0,
     COUNTIFS($AC$2:$AC$200,$G374)&gt;0,
     COUNTIFS($AD$2:$AD$200,$G374)&gt;0,
     COUNTIFS($AE$2:$AE$200,$G374)&gt;0,
     COUNTIFS($AF$2:$AF$200,$G374)&gt;0,
     COUNTIFS($AG$2:$AG$200,$G374)&gt;0,
     COUNTIFS($AH$2:$AH$200,$G374)&gt;0,
     COUNTIFS($AI$2:$AI$200,$G374)&gt;0,
     COUNTIFS($AJ$2:$AJ$200,$G374)&gt;0,
     COUNTIFS($AK$2:$AK$200,$G374)&gt;0,
     COUNTIFS($AL$2:$AL$200,$G374)&gt;0,
     COUNTIFS($AM$2:$AM$200,$G374)&gt;0,
     COUNTIFS($AN$2:$AN$200,$G374)&gt;0,
     COUNTIFS($AO$2:$AO$200,$G374)&gt;0,
     COUNTIFS($AP$2:$AP$200,$G374)&gt;0,
     COUNTIFS($AQ$2:$AQ$200,$G374)&gt;0,
     COUNTIFS($AR$2:$AR$200,$G374)&gt;0,
     COUNTIFS($AS$2:$AS$200,$G374)&gt;0,
     COUNTIFS($AT$2:$AT$200,$G374)&gt;0,
     COUNTIFS($AU$2:$AU$200,$G374)&gt;0,
     COUNTIFS($AV$2:$AV$200,$G374)&gt;0
   )),
  3)
 ),
"")</f>
        <v/>
      </c>
      <c r="F374" s="3" t="str" cm="1">
        <f t="array" ref="F374">IFERROR(
 INDEX($U$1:$AV$1,
  _xlfn.AGGREGATE(15,6,
   (COLUMN($U$1:$AV$1)-COLUMN($U$1)+1)/
   TRANSPOSE(
    CHOOSE({1;2;3;4;5;6;7;8;9;10;11;12;13;14;15;16;17;18;19;20;21;22;23;24;25;26;27;28},
     COUNTIFS($U$2:$U$200,$G374)&gt;0,
     COUNTIFS($V$2:$V$200,$G374)&gt;0,
     COUNTIFS($W$2:$W$200,$G374)&gt;0,
     COUNTIFS($X$2:$X$200,$G374)&gt;0,
     COUNTIFS($Y$2:$Y$200,$G374)&gt;0,
     COUNTIFS($Z$2:$Z$200,$G374)&gt;0,
     COUNTIFS($AA$2:$AA$200,$G374)&gt;0,
     COUNTIFS($AB$2:$AB$200,$G374)&gt;0,
     COUNTIFS($AC$2:$AC$200,$G374)&gt;0,
     COUNTIFS($AD$2:$AD$200,$G374)&gt;0,
     COUNTIFS($AE$2:$AE$200,$G374)&gt;0,
     COUNTIFS($AF$2:$AF$200,$G374)&gt;0,
     COUNTIFS($AG$2:$AG$200,$G374)&gt;0,
     COUNTIFS($AH$2:$AH$200,$G374)&gt;0,
     COUNTIFS($AI$2:$AI$200,$G374)&gt;0,
     COUNTIFS($AJ$2:$AJ$200,$G374)&gt;0,
     COUNTIFS($AK$2:$AK$200,$G374)&gt;0,
     COUNTIFS($AL$2:$AL$200,$G374)&gt;0,
     COUNTIFS($AM$2:$AM$200,$G374)&gt;0,
     COUNTIFS($AN$2:$AN$200,$G374)&gt;0,
     COUNTIFS($AO$2:$AO$200,$G374)&gt;0,
     COUNTIFS($AP$2:$AP$200,$G374)&gt;0,
     COUNTIFS($AQ$2:$AQ$200,$G374)&gt;0,
     COUNTIFS($AR$2:$AR$200,$G374)&gt;0,
     COUNTIFS($AS$2:$AS$200,$G374)&gt;0,
     COUNTIFS($AT$2:$AT$200,$G374)&gt;0,
     COUNTIFS($AU$2:$AU$200,$G374)&gt;0,
     COUNTIFS($AV$2:$AV$200,$G374)&gt;0
   )),
  4)
 ),
"")</f>
        <v/>
      </c>
    </row>
    <row r="375" spans="1:6" x14ac:dyDescent="0.25">
      <c r="A375" s="3" t="str">
        <f t="shared" si="12"/>
        <v/>
      </c>
      <c r="B375" s="3">
        <f t="shared" si="13"/>
        <v>0</v>
      </c>
      <c r="C375" s="3" t="str">
        <f>IFERROR(
 INDEX($U$1:$AX$1,
  MATCH(TRUE,
   CHOOSE({1;2;3;4;5;6;7;8;9;10;11;12;13;14;15;16;17;18;19;20;21;22;23;24;25;26;27;28;29;30;31;32},
    COUNTIFS($U$2:$U$200,$G375)&gt;0,
    COUNTIFS($V$2:$V$200,$G375)&gt;0,
    COUNTIFS($W$2:$W$200,$G375)&gt;0,
    COUNTIFS($X$2:$X$200,$G375)&gt;0,
    COUNTIFS($Y$2:$Y$200,$G375)&gt;0,
    COUNTIFS($Z$2:$Z$200,$G375)&gt;0,
    COUNTIFS($AA$2:$AA$200,$G375)&gt;0,
    COUNTIFS($AB$2:$AB$200,$G375)&gt;0,
    COUNTIFS($AC$2:$AC$200,$G375)&gt;0,
    COUNTIFS($AD$2:$AD$200,$G375)&gt;0,
    COUNTIFS($AE$2:$AE$200,$G375)&gt;0,
    COUNTIFS($AF$2:$AF$200,$G375)&gt;0,
    COUNTIFS($AG$2:$AG$200,$G375)&gt;0,
    COUNTIFS($AH$2:$AH$200,$G375)&gt;0,
    COUNTIFS($AI$2:$AI$200,$G375)&gt;0,
    COUNTIFS($AJ$2:$AJ$200,$G375)&gt;0,
    COUNTIFS($AK$2:$AK$200,$G375)&gt;0,
    COUNTIFS($AL$2:$AL$200,$G375)&gt;0,
    COUNTIFS($AM$2:$AM$200,$G375)&gt;0,
    COUNTIFS($AN$2:$AN$200,$G375)&gt;0,
    COUNTIFS($AO$2:$AO$200,$G375)&gt;0,
    COUNTIFS($AP$2:$AP$200,$G375)&gt;0,
    COUNTIFS($AQ$2:$AQ$200,$G375)&gt;0,
    COUNTIFS($AR$2:$AR$200,$G375)&gt;0,
    COUNTIFS($AS$2:$AS$200,$G375)&gt;0,
    COUNTIFS($AT$2:$AT$200,$G375)&gt;0,
    COUNTIFS($AU$2:$AU$200,$G375)&gt;0,
    COUNTIFS($AV$2:$AV$200,$G375)&gt;0,
    COUNTIFS($AW$2:$AW$200,$G375)&gt;0,
    COUNTIFS($AX$2:$AX$200,$G375)&gt;0
   ),
  0)
 ),
"")</f>
        <v/>
      </c>
      <c r="D375" s="3" t="str" cm="1">
        <f t="array" ref="D375">IFERROR(
 INDEX(
  _xlfn._xlws.FILTER($U$1:$AV$1,
   TRANSPOSE(
    CHOOSE({1;2;3;4;5;6;7;8;9;10;11;12;13;14;15;16;17;18;19;20;21;22;23;24;25;26;27;28},
     COUNTIFS($U$2:$U$200,$G375)&gt;0,
     COUNTIFS($V$2:$V$200,$G375)&gt;0,
     COUNTIFS($W$2:$W$200,$G375)&gt;0,
     COUNTIFS($X$2:$X$200,$G375)&gt;0,
     COUNTIFS($Y$2:$Y$200,$G375)&gt;0,
     COUNTIFS($Z$2:$Z$200,$G375)&gt;0,
     COUNTIFS($AA$2:$AA$200,$G375)&gt;0,
     COUNTIFS($AB$2:$AB$200,$G375)&gt;0,
     COUNTIFS($AC$2:$AC$200,$G375)&gt;0,
     COUNTIFS($AD$2:$AD$200,$G375)&gt;0,
     COUNTIFS($AE$2:$AE$200,$G375)&gt;0,
     COUNTIFS($AF$2:$AF$200,$G375)&gt;0,
     COUNTIFS($AG$2:$AG$200,$G375)&gt;0,
     COUNTIFS($AH$2:$AH$200,$G375)&gt;0,
     COUNTIFS($AI$2:$AI$200,$G375)&gt;0,
     COUNTIFS($AJ$2:$AJ$200,$G375)&gt;0,
     COUNTIFS($AK$2:$AK$200,$G375)&gt;0,
     COUNTIFS($AL$2:$AL$200,$G375)&gt;0,
     COUNTIFS($AM$2:$AM$200,$G375)&gt;0,
     COUNTIFS($AN$2:$AN$200,$G375)&gt;0,
     COUNTIFS($AO$2:$AO$200,$G375)&gt;0,
     COUNTIFS($AP$2:$AP$200,$G375)&gt;0,
     COUNTIFS($AQ$2:$AQ$200,$G375)&gt;0,
     COUNTIFS($AR$2:$AR$200,$G375)&gt;0,
     COUNTIFS($AS$2:$AS$200,$G375)&gt;0,
     COUNTIFS($AT$2:$AT$200,$G375)&gt;0,
     COUNTIFS($AU$2:$AU$200,$G375)&gt;0,
     COUNTIFS($AV$2:$AV$200,$G375)&gt;0
   )),
  ),
  2
 ),
"")</f>
        <v/>
      </c>
      <c r="E375" s="3" t="str" cm="1">
        <f t="array" ref="E375">IFERROR(
 INDEX($U$1:$AV$1,
  _xlfn.AGGREGATE(15,6,
   (COLUMN($U$1:$AV$1)-COLUMN($U$1)+1)/
   TRANSPOSE(
    CHOOSE({1;2;3;4;5;6;7;8;9;10;11;12;13;14;15;16;17;18;19;20;21;22;23;24;25;26;27;28},
     COUNTIFS($U$2:$U$200,$G375)&gt;0,
     COUNTIFS($V$2:$V$200,$G375)&gt;0,
     COUNTIFS($W$2:$W$200,$G375)&gt;0,
     COUNTIFS($X$2:$X$200,$G375)&gt;0,
     COUNTIFS($Y$2:$Y$200,$G375)&gt;0,
     COUNTIFS($Z$2:$Z$200,$G375)&gt;0,
     COUNTIFS($AA$2:$AA$200,$G375)&gt;0,
     COUNTIFS($AB$2:$AB$200,$G375)&gt;0,
     COUNTIFS($AC$2:$AC$200,$G375)&gt;0,
     COUNTIFS($AD$2:$AD$200,$G375)&gt;0,
     COUNTIFS($AE$2:$AE$200,$G375)&gt;0,
     COUNTIFS($AF$2:$AF$200,$G375)&gt;0,
     COUNTIFS($AG$2:$AG$200,$G375)&gt;0,
     COUNTIFS($AH$2:$AH$200,$G375)&gt;0,
     COUNTIFS($AI$2:$AI$200,$G375)&gt;0,
     COUNTIFS($AJ$2:$AJ$200,$G375)&gt;0,
     COUNTIFS($AK$2:$AK$200,$G375)&gt;0,
     COUNTIFS($AL$2:$AL$200,$G375)&gt;0,
     COUNTIFS($AM$2:$AM$200,$G375)&gt;0,
     COUNTIFS($AN$2:$AN$200,$G375)&gt;0,
     COUNTIFS($AO$2:$AO$200,$G375)&gt;0,
     COUNTIFS($AP$2:$AP$200,$G375)&gt;0,
     COUNTIFS($AQ$2:$AQ$200,$G375)&gt;0,
     COUNTIFS($AR$2:$AR$200,$G375)&gt;0,
     COUNTIFS($AS$2:$AS$200,$G375)&gt;0,
     COUNTIFS($AT$2:$AT$200,$G375)&gt;0,
     COUNTIFS($AU$2:$AU$200,$G375)&gt;0,
     COUNTIFS($AV$2:$AV$200,$G375)&gt;0
   )),
  3)
 ),
"")</f>
        <v/>
      </c>
      <c r="F375" s="3" t="str" cm="1">
        <f t="array" ref="F375">IFERROR(
 INDEX($U$1:$AV$1,
  _xlfn.AGGREGATE(15,6,
   (COLUMN($U$1:$AV$1)-COLUMN($U$1)+1)/
   TRANSPOSE(
    CHOOSE({1;2;3;4;5;6;7;8;9;10;11;12;13;14;15;16;17;18;19;20;21;22;23;24;25;26;27;28},
     COUNTIFS($U$2:$U$200,$G375)&gt;0,
     COUNTIFS($V$2:$V$200,$G375)&gt;0,
     COUNTIFS($W$2:$W$200,$G375)&gt;0,
     COUNTIFS($X$2:$X$200,$G375)&gt;0,
     COUNTIFS($Y$2:$Y$200,$G375)&gt;0,
     COUNTIFS($Z$2:$Z$200,$G375)&gt;0,
     COUNTIFS($AA$2:$AA$200,$G375)&gt;0,
     COUNTIFS($AB$2:$AB$200,$G375)&gt;0,
     COUNTIFS($AC$2:$AC$200,$G375)&gt;0,
     COUNTIFS($AD$2:$AD$200,$G375)&gt;0,
     COUNTIFS($AE$2:$AE$200,$G375)&gt;0,
     COUNTIFS($AF$2:$AF$200,$G375)&gt;0,
     COUNTIFS($AG$2:$AG$200,$G375)&gt;0,
     COUNTIFS($AH$2:$AH$200,$G375)&gt;0,
     COUNTIFS($AI$2:$AI$200,$G375)&gt;0,
     COUNTIFS($AJ$2:$AJ$200,$G375)&gt;0,
     COUNTIFS($AK$2:$AK$200,$G375)&gt;0,
     COUNTIFS($AL$2:$AL$200,$G375)&gt;0,
     COUNTIFS($AM$2:$AM$200,$G375)&gt;0,
     COUNTIFS($AN$2:$AN$200,$G375)&gt;0,
     COUNTIFS($AO$2:$AO$200,$G375)&gt;0,
     COUNTIFS($AP$2:$AP$200,$G375)&gt;0,
     COUNTIFS($AQ$2:$AQ$200,$G375)&gt;0,
     COUNTIFS($AR$2:$AR$200,$G375)&gt;0,
     COUNTIFS($AS$2:$AS$200,$G375)&gt;0,
     COUNTIFS($AT$2:$AT$200,$G375)&gt;0,
     COUNTIFS($AU$2:$AU$200,$G375)&gt;0,
     COUNTIFS($AV$2:$AV$200,$G375)&gt;0
   )),
  4)
 ),
"")</f>
        <v/>
      </c>
    </row>
    <row r="376" spans="1:6" x14ac:dyDescent="0.25">
      <c r="A376" s="3" t="str">
        <f t="shared" si="12"/>
        <v/>
      </c>
      <c r="B376" s="3">
        <f t="shared" si="13"/>
        <v>0</v>
      </c>
      <c r="C376" s="3" t="str">
        <f>IFERROR(
 INDEX($U$1:$AX$1,
  MATCH(TRUE,
   CHOOSE({1;2;3;4;5;6;7;8;9;10;11;12;13;14;15;16;17;18;19;20;21;22;23;24;25;26;27;28;29;30;31;32},
    COUNTIFS($U$2:$U$200,$G376)&gt;0,
    COUNTIFS($V$2:$V$200,$G376)&gt;0,
    COUNTIFS($W$2:$W$200,$G376)&gt;0,
    COUNTIFS($X$2:$X$200,$G376)&gt;0,
    COUNTIFS($Y$2:$Y$200,$G376)&gt;0,
    COUNTIFS($Z$2:$Z$200,$G376)&gt;0,
    COUNTIFS($AA$2:$AA$200,$G376)&gt;0,
    COUNTIFS($AB$2:$AB$200,$G376)&gt;0,
    COUNTIFS($AC$2:$AC$200,$G376)&gt;0,
    COUNTIFS($AD$2:$AD$200,$G376)&gt;0,
    COUNTIFS($AE$2:$AE$200,$G376)&gt;0,
    COUNTIFS($AF$2:$AF$200,$G376)&gt;0,
    COUNTIFS($AG$2:$AG$200,$G376)&gt;0,
    COUNTIFS($AH$2:$AH$200,$G376)&gt;0,
    COUNTIFS($AI$2:$AI$200,$G376)&gt;0,
    COUNTIFS($AJ$2:$AJ$200,$G376)&gt;0,
    COUNTIFS($AK$2:$AK$200,$G376)&gt;0,
    COUNTIFS($AL$2:$AL$200,$G376)&gt;0,
    COUNTIFS($AM$2:$AM$200,$G376)&gt;0,
    COUNTIFS($AN$2:$AN$200,$G376)&gt;0,
    COUNTIFS($AO$2:$AO$200,$G376)&gt;0,
    COUNTIFS($AP$2:$AP$200,$G376)&gt;0,
    COUNTIFS($AQ$2:$AQ$200,$G376)&gt;0,
    COUNTIFS($AR$2:$AR$200,$G376)&gt;0,
    COUNTIFS($AS$2:$AS$200,$G376)&gt;0,
    COUNTIFS($AT$2:$AT$200,$G376)&gt;0,
    COUNTIFS($AU$2:$AU$200,$G376)&gt;0,
    COUNTIFS($AV$2:$AV$200,$G376)&gt;0,
    COUNTIFS($AW$2:$AW$200,$G376)&gt;0,
    COUNTIFS($AX$2:$AX$200,$G376)&gt;0
   ),
  0)
 ),
"")</f>
        <v/>
      </c>
      <c r="D376" s="3" t="str" cm="1">
        <f t="array" ref="D376">IFERROR(
 INDEX(
  _xlfn._xlws.FILTER($U$1:$AV$1,
   TRANSPOSE(
    CHOOSE({1;2;3;4;5;6;7;8;9;10;11;12;13;14;15;16;17;18;19;20;21;22;23;24;25;26;27;28},
     COUNTIFS($U$2:$U$200,$G376)&gt;0,
     COUNTIFS($V$2:$V$200,$G376)&gt;0,
     COUNTIFS($W$2:$W$200,$G376)&gt;0,
     COUNTIFS($X$2:$X$200,$G376)&gt;0,
     COUNTIFS($Y$2:$Y$200,$G376)&gt;0,
     COUNTIFS($Z$2:$Z$200,$G376)&gt;0,
     COUNTIFS($AA$2:$AA$200,$G376)&gt;0,
     COUNTIFS($AB$2:$AB$200,$G376)&gt;0,
     COUNTIFS($AC$2:$AC$200,$G376)&gt;0,
     COUNTIFS($AD$2:$AD$200,$G376)&gt;0,
     COUNTIFS($AE$2:$AE$200,$G376)&gt;0,
     COUNTIFS($AF$2:$AF$200,$G376)&gt;0,
     COUNTIFS($AG$2:$AG$200,$G376)&gt;0,
     COUNTIFS($AH$2:$AH$200,$G376)&gt;0,
     COUNTIFS($AI$2:$AI$200,$G376)&gt;0,
     COUNTIFS($AJ$2:$AJ$200,$G376)&gt;0,
     COUNTIFS($AK$2:$AK$200,$G376)&gt;0,
     COUNTIFS($AL$2:$AL$200,$G376)&gt;0,
     COUNTIFS($AM$2:$AM$200,$G376)&gt;0,
     COUNTIFS($AN$2:$AN$200,$G376)&gt;0,
     COUNTIFS($AO$2:$AO$200,$G376)&gt;0,
     COUNTIFS($AP$2:$AP$200,$G376)&gt;0,
     COUNTIFS($AQ$2:$AQ$200,$G376)&gt;0,
     COUNTIFS($AR$2:$AR$200,$G376)&gt;0,
     COUNTIFS($AS$2:$AS$200,$G376)&gt;0,
     COUNTIFS($AT$2:$AT$200,$G376)&gt;0,
     COUNTIFS($AU$2:$AU$200,$G376)&gt;0,
     COUNTIFS($AV$2:$AV$200,$G376)&gt;0
   )),
  ),
  2
 ),
"")</f>
        <v/>
      </c>
      <c r="E376" s="3" t="str" cm="1">
        <f t="array" ref="E376">IFERROR(
 INDEX($U$1:$AV$1,
  _xlfn.AGGREGATE(15,6,
   (COLUMN($U$1:$AV$1)-COLUMN($U$1)+1)/
   TRANSPOSE(
    CHOOSE({1;2;3;4;5;6;7;8;9;10;11;12;13;14;15;16;17;18;19;20;21;22;23;24;25;26;27;28},
     COUNTIFS($U$2:$U$200,$G376)&gt;0,
     COUNTIFS($V$2:$V$200,$G376)&gt;0,
     COUNTIFS($W$2:$W$200,$G376)&gt;0,
     COUNTIFS($X$2:$X$200,$G376)&gt;0,
     COUNTIFS($Y$2:$Y$200,$G376)&gt;0,
     COUNTIFS($Z$2:$Z$200,$G376)&gt;0,
     COUNTIFS($AA$2:$AA$200,$G376)&gt;0,
     COUNTIFS($AB$2:$AB$200,$G376)&gt;0,
     COUNTIFS($AC$2:$AC$200,$G376)&gt;0,
     COUNTIFS($AD$2:$AD$200,$G376)&gt;0,
     COUNTIFS($AE$2:$AE$200,$G376)&gt;0,
     COUNTIFS($AF$2:$AF$200,$G376)&gt;0,
     COUNTIFS($AG$2:$AG$200,$G376)&gt;0,
     COUNTIFS($AH$2:$AH$200,$G376)&gt;0,
     COUNTIFS($AI$2:$AI$200,$G376)&gt;0,
     COUNTIFS($AJ$2:$AJ$200,$G376)&gt;0,
     COUNTIFS($AK$2:$AK$200,$G376)&gt;0,
     COUNTIFS($AL$2:$AL$200,$G376)&gt;0,
     COUNTIFS($AM$2:$AM$200,$G376)&gt;0,
     COUNTIFS($AN$2:$AN$200,$G376)&gt;0,
     COUNTIFS($AO$2:$AO$200,$G376)&gt;0,
     COUNTIFS($AP$2:$AP$200,$G376)&gt;0,
     COUNTIFS($AQ$2:$AQ$200,$G376)&gt;0,
     COUNTIFS($AR$2:$AR$200,$G376)&gt;0,
     COUNTIFS($AS$2:$AS$200,$G376)&gt;0,
     COUNTIFS($AT$2:$AT$200,$G376)&gt;0,
     COUNTIFS($AU$2:$AU$200,$G376)&gt;0,
     COUNTIFS($AV$2:$AV$200,$G376)&gt;0
   )),
  3)
 ),
"")</f>
        <v/>
      </c>
      <c r="F376" s="3" t="str" cm="1">
        <f t="array" ref="F376">IFERROR(
 INDEX($U$1:$AV$1,
  _xlfn.AGGREGATE(15,6,
   (COLUMN($U$1:$AV$1)-COLUMN($U$1)+1)/
   TRANSPOSE(
    CHOOSE({1;2;3;4;5;6;7;8;9;10;11;12;13;14;15;16;17;18;19;20;21;22;23;24;25;26;27;28},
     COUNTIFS($U$2:$U$200,$G376)&gt;0,
     COUNTIFS($V$2:$V$200,$G376)&gt;0,
     COUNTIFS($W$2:$W$200,$G376)&gt;0,
     COUNTIFS($X$2:$X$200,$G376)&gt;0,
     COUNTIFS($Y$2:$Y$200,$G376)&gt;0,
     COUNTIFS($Z$2:$Z$200,$G376)&gt;0,
     COUNTIFS($AA$2:$AA$200,$G376)&gt;0,
     COUNTIFS($AB$2:$AB$200,$G376)&gt;0,
     COUNTIFS($AC$2:$AC$200,$G376)&gt;0,
     COUNTIFS($AD$2:$AD$200,$G376)&gt;0,
     COUNTIFS($AE$2:$AE$200,$G376)&gt;0,
     COUNTIFS($AF$2:$AF$200,$G376)&gt;0,
     COUNTIFS($AG$2:$AG$200,$G376)&gt;0,
     COUNTIFS($AH$2:$AH$200,$G376)&gt;0,
     COUNTIFS($AI$2:$AI$200,$G376)&gt;0,
     COUNTIFS($AJ$2:$AJ$200,$G376)&gt;0,
     COUNTIFS($AK$2:$AK$200,$G376)&gt;0,
     COUNTIFS($AL$2:$AL$200,$G376)&gt;0,
     COUNTIFS($AM$2:$AM$200,$G376)&gt;0,
     COUNTIFS($AN$2:$AN$200,$G376)&gt;0,
     COUNTIFS($AO$2:$AO$200,$G376)&gt;0,
     COUNTIFS($AP$2:$AP$200,$G376)&gt;0,
     COUNTIFS($AQ$2:$AQ$200,$G376)&gt;0,
     COUNTIFS($AR$2:$AR$200,$G376)&gt;0,
     COUNTIFS($AS$2:$AS$200,$G376)&gt;0,
     COUNTIFS($AT$2:$AT$200,$G376)&gt;0,
     COUNTIFS($AU$2:$AU$200,$G376)&gt;0,
     COUNTIFS($AV$2:$AV$200,$G376)&gt;0
   )),
  4)
 ),
"")</f>
        <v/>
      </c>
    </row>
    <row r="377" spans="1:6" x14ac:dyDescent="0.25">
      <c r="A377" s="3" t="str">
        <f t="shared" si="12"/>
        <v/>
      </c>
      <c r="B377" s="3">
        <f t="shared" si="13"/>
        <v>0</v>
      </c>
      <c r="C377" s="3" t="str">
        <f>IFERROR(
 INDEX($U$1:$AX$1,
  MATCH(TRUE,
   CHOOSE({1;2;3;4;5;6;7;8;9;10;11;12;13;14;15;16;17;18;19;20;21;22;23;24;25;26;27;28;29;30;31;32},
    COUNTIFS($U$2:$U$200,$G377)&gt;0,
    COUNTIFS($V$2:$V$200,$G377)&gt;0,
    COUNTIFS($W$2:$W$200,$G377)&gt;0,
    COUNTIFS($X$2:$X$200,$G377)&gt;0,
    COUNTIFS($Y$2:$Y$200,$G377)&gt;0,
    COUNTIFS($Z$2:$Z$200,$G377)&gt;0,
    COUNTIFS($AA$2:$AA$200,$G377)&gt;0,
    COUNTIFS($AB$2:$AB$200,$G377)&gt;0,
    COUNTIFS($AC$2:$AC$200,$G377)&gt;0,
    COUNTIFS($AD$2:$AD$200,$G377)&gt;0,
    COUNTIFS($AE$2:$AE$200,$G377)&gt;0,
    COUNTIFS($AF$2:$AF$200,$G377)&gt;0,
    COUNTIFS($AG$2:$AG$200,$G377)&gt;0,
    COUNTIFS($AH$2:$AH$200,$G377)&gt;0,
    COUNTIFS($AI$2:$AI$200,$G377)&gt;0,
    COUNTIFS($AJ$2:$AJ$200,$G377)&gt;0,
    COUNTIFS($AK$2:$AK$200,$G377)&gt;0,
    COUNTIFS($AL$2:$AL$200,$G377)&gt;0,
    COUNTIFS($AM$2:$AM$200,$G377)&gt;0,
    COUNTIFS($AN$2:$AN$200,$G377)&gt;0,
    COUNTIFS($AO$2:$AO$200,$G377)&gt;0,
    COUNTIFS($AP$2:$AP$200,$G377)&gt;0,
    COUNTIFS($AQ$2:$AQ$200,$G377)&gt;0,
    COUNTIFS($AR$2:$AR$200,$G377)&gt;0,
    COUNTIFS($AS$2:$AS$200,$G377)&gt;0,
    COUNTIFS($AT$2:$AT$200,$G377)&gt;0,
    COUNTIFS($AU$2:$AU$200,$G377)&gt;0,
    COUNTIFS($AV$2:$AV$200,$G377)&gt;0,
    COUNTIFS($AW$2:$AW$200,$G377)&gt;0,
    COUNTIFS($AX$2:$AX$200,$G377)&gt;0
   ),
  0)
 ),
"")</f>
        <v/>
      </c>
      <c r="D377" s="3" t="str" cm="1">
        <f t="array" ref="D377">IFERROR(
 INDEX(
  _xlfn._xlws.FILTER($U$1:$AV$1,
   TRANSPOSE(
    CHOOSE({1;2;3;4;5;6;7;8;9;10;11;12;13;14;15;16;17;18;19;20;21;22;23;24;25;26;27;28},
     COUNTIFS($U$2:$U$200,$G377)&gt;0,
     COUNTIFS($V$2:$V$200,$G377)&gt;0,
     COUNTIFS($W$2:$W$200,$G377)&gt;0,
     COUNTIFS($X$2:$X$200,$G377)&gt;0,
     COUNTIFS($Y$2:$Y$200,$G377)&gt;0,
     COUNTIFS($Z$2:$Z$200,$G377)&gt;0,
     COUNTIFS($AA$2:$AA$200,$G377)&gt;0,
     COUNTIFS($AB$2:$AB$200,$G377)&gt;0,
     COUNTIFS($AC$2:$AC$200,$G377)&gt;0,
     COUNTIFS($AD$2:$AD$200,$G377)&gt;0,
     COUNTIFS($AE$2:$AE$200,$G377)&gt;0,
     COUNTIFS($AF$2:$AF$200,$G377)&gt;0,
     COUNTIFS($AG$2:$AG$200,$G377)&gt;0,
     COUNTIFS($AH$2:$AH$200,$G377)&gt;0,
     COUNTIFS($AI$2:$AI$200,$G377)&gt;0,
     COUNTIFS($AJ$2:$AJ$200,$G377)&gt;0,
     COUNTIFS($AK$2:$AK$200,$G377)&gt;0,
     COUNTIFS($AL$2:$AL$200,$G377)&gt;0,
     COUNTIFS($AM$2:$AM$200,$G377)&gt;0,
     COUNTIFS($AN$2:$AN$200,$G377)&gt;0,
     COUNTIFS($AO$2:$AO$200,$G377)&gt;0,
     COUNTIFS($AP$2:$AP$200,$G377)&gt;0,
     COUNTIFS($AQ$2:$AQ$200,$G377)&gt;0,
     COUNTIFS($AR$2:$AR$200,$G377)&gt;0,
     COUNTIFS($AS$2:$AS$200,$G377)&gt;0,
     COUNTIFS($AT$2:$AT$200,$G377)&gt;0,
     COUNTIFS($AU$2:$AU$200,$G377)&gt;0,
     COUNTIFS($AV$2:$AV$200,$G377)&gt;0
   )),
  ),
  2
 ),
"")</f>
        <v/>
      </c>
      <c r="E377" s="3" t="str" cm="1">
        <f t="array" ref="E377">IFERROR(
 INDEX($U$1:$AV$1,
  _xlfn.AGGREGATE(15,6,
   (COLUMN($U$1:$AV$1)-COLUMN($U$1)+1)/
   TRANSPOSE(
    CHOOSE({1;2;3;4;5;6;7;8;9;10;11;12;13;14;15;16;17;18;19;20;21;22;23;24;25;26;27;28},
     COUNTIFS($U$2:$U$200,$G377)&gt;0,
     COUNTIFS($V$2:$V$200,$G377)&gt;0,
     COUNTIFS($W$2:$W$200,$G377)&gt;0,
     COUNTIFS($X$2:$X$200,$G377)&gt;0,
     COUNTIFS($Y$2:$Y$200,$G377)&gt;0,
     COUNTIFS($Z$2:$Z$200,$G377)&gt;0,
     COUNTIFS($AA$2:$AA$200,$G377)&gt;0,
     COUNTIFS($AB$2:$AB$200,$G377)&gt;0,
     COUNTIFS($AC$2:$AC$200,$G377)&gt;0,
     COUNTIFS($AD$2:$AD$200,$G377)&gt;0,
     COUNTIFS($AE$2:$AE$200,$G377)&gt;0,
     COUNTIFS($AF$2:$AF$200,$G377)&gt;0,
     COUNTIFS($AG$2:$AG$200,$G377)&gt;0,
     COUNTIFS($AH$2:$AH$200,$G377)&gt;0,
     COUNTIFS($AI$2:$AI$200,$G377)&gt;0,
     COUNTIFS($AJ$2:$AJ$200,$G377)&gt;0,
     COUNTIFS($AK$2:$AK$200,$G377)&gt;0,
     COUNTIFS($AL$2:$AL$200,$G377)&gt;0,
     COUNTIFS($AM$2:$AM$200,$G377)&gt;0,
     COUNTIFS($AN$2:$AN$200,$G377)&gt;0,
     COUNTIFS($AO$2:$AO$200,$G377)&gt;0,
     COUNTIFS($AP$2:$AP$200,$G377)&gt;0,
     COUNTIFS($AQ$2:$AQ$200,$G377)&gt;0,
     COUNTIFS($AR$2:$AR$200,$G377)&gt;0,
     COUNTIFS($AS$2:$AS$200,$G377)&gt;0,
     COUNTIFS($AT$2:$AT$200,$G377)&gt;0,
     COUNTIFS($AU$2:$AU$200,$G377)&gt;0,
     COUNTIFS($AV$2:$AV$200,$G377)&gt;0
   )),
  3)
 ),
"")</f>
        <v/>
      </c>
      <c r="F377" s="3" t="str" cm="1">
        <f t="array" ref="F377">IFERROR(
 INDEX($U$1:$AV$1,
  _xlfn.AGGREGATE(15,6,
   (COLUMN($U$1:$AV$1)-COLUMN($U$1)+1)/
   TRANSPOSE(
    CHOOSE({1;2;3;4;5;6;7;8;9;10;11;12;13;14;15;16;17;18;19;20;21;22;23;24;25;26;27;28},
     COUNTIFS($U$2:$U$200,$G377)&gt;0,
     COUNTIFS($V$2:$V$200,$G377)&gt;0,
     COUNTIFS($W$2:$W$200,$G377)&gt;0,
     COUNTIFS($X$2:$X$200,$G377)&gt;0,
     COUNTIFS($Y$2:$Y$200,$G377)&gt;0,
     COUNTIFS($Z$2:$Z$200,$G377)&gt;0,
     COUNTIFS($AA$2:$AA$200,$G377)&gt;0,
     COUNTIFS($AB$2:$AB$200,$G377)&gt;0,
     COUNTIFS($AC$2:$AC$200,$G377)&gt;0,
     COUNTIFS($AD$2:$AD$200,$G377)&gt;0,
     COUNTIFS($AE$2:$AE$200,$G377)&gt;0,
     COUNTIFS($AF$2:$AF$200,$G377)&gt;0,
     COUNTIFS($AG$2:$AG$200,$G377)&gt;0,
     COUNTIFS($AH$2:$AH$200,$G377)&gt;0,
     COUNTIFS($AI$2:$AI$200,$G377)&gt;0,
     COUNTIFS($AJ$2:$AJ$200,$G377)&gt;0,
     COUNTIFS($AK$2:$AK$200,$G377)&gt;0,
     COUNTIFS($AL$2:$AL$200,$G377)&gt;0,
     COUNTIFS($AM$2:$AM$200,$G377)&gt;0,
     COUNTIFS($AN$2:$AN$200,$G377)&gt;0,
     COUNTIFS($AO$2:$AO$200,$G377)&gt;0,
     COUNTIFS($AP$2:$AP$200,$G377)&gt;0,
     COUNTIFS($AQ$2:$AQ$200,$G377)&gt;0,
     COUNTIFS($AR$2:$AR$200,$G377)&gt;0,
     COUNTIFS($AS$2:$AS$200,$G377)&gt;0,
     COUNTIFS($AT$2:$AT$200,$G377)&gt;0,
     COUNTIFS($AU$2:$AU$200,$G377)&gt;0,
     COUNTIFS($AV$2:$AV$200,$G377)&gt;0
   )),
  4)
 ),
"")</f>
        <v/>
      </c>
    </row>
    <row r="378" spans="1:6" x14ac:dyDescent="0.25">
      <c r="A378" s="3" t="str">
        <f t="shared" si="12"/>
        <v/>
      </c>
      <c r="B378" s="3">
        <f t="shared" si="13"/>
        <v>0</v>
      </c>
      <c r="C378" s="3" t="str">
        <f>IFERROR(
 INDEX($U$1:$AX$1,
  MATCH(TRUE,
   CHOOSE({1;2;3;4;5;6;7;8;9;10;11;12;13;14;15;16;17;18;19;20;21;22;23;24;25;26;27;28;29;30;31;32},
    COUNTIFS($U$2:$U$200,$G378)&gt;0,
    COUNTIFS($V$2:$V$200,$G378)&gt;0,
    COUNTIFS($W$2:$W$200,$G378)&gt;0,
    COUNTIFS($X$2:$X$200,$G378)&gt;0,
    COUNTIFS($Y$2:$Y$200,$G378)&gt;0,
    COUNTIFS($Z$2:$Z$200,$G378)&gt;0,
    COUNTIFS($AA$2:$AA$200,$G378)&gt;0,
    COUNTIFS($AB$2:$AB$200,$G378)&gt;0,
    COUNTIFS($AC$2:$AC$200,$G378)&gt;0,
    COUNTIFS($AD$2:$AD$200,$G378)&gt;0,
    COUNTIFS($AE$2:$AE$200,$G378)&gt;0,
    COUNTIFS($AF$2:$AF$200,$G378)&gt;0,
    COUNTIFS($AG$2:$AG$200,$G378)&gt;0,
    COUNTIFS($AH$2:$AH$200,$G378)&gt;0,
    COUNTIFS($AI$2:$AI$200,$G378)&gt;0,
    COUNTIFS($AJ$2:$AJ$200,$G378)&gt;0,
    COUNTIFS($AK$2:$AK$200,$G378)&gt;0,
    COUNTIFS($AL$2:$AL$200,$G378)&gt;0,
    COUNTIFS($AM$2:$AM$200,$G378)&gt;0,
    COUNTIFS($AN$2:$AN$200,$G378)&gt;0,
    COUNTIFS($AO$2:$AO$200,$G378)&gt;0,
    COUNTIFS($AP$2:$AP$200,$G378)&gt;0,
    COUNTIFS($AQ$2:$AQ$200,$G378)&gt;0,
    COUNTIFS($AR$2:$AR$200,$G378)&gt;0,
    COUNTIFS($AS$2:$AS$200,$G378)&gt;0,
    COUNTIFS($AT$2:$AT$200,$G378)&gt;0,
    COUNTIFS($AU$2:$AU$200,$G378)&gt;0,
    COUNTIFS($AV$2:$AV$200,$G378)&gt;0,
    COUNTIFS($AW$2:$AW$200,$G378)&gt;0,
    COUNTIFS($AX$2:$AX$200,$G378)&gt;0
   ),
  0)
 ),
"")</f>
        <v/>
      </c>
      <c r="D378" s="3" t="str" cm="1">
        <f t="array" ref="D378">IFERROR(
 INDEX(
  _xlfn._xlws.FILTER($U$1:$AV$1,
   TRANSPOSE(
    CHOOSE({1;2;3;4;5;6;7;8;9;10;11;12;13;14;15;16;17;18;19;20;21;22;23;24;25;26;27;28},
     COUNTIFS($U$2:$U$200,$G378)&gt;0,
     COUNTIFS($V$2:$V$200,$G378)&gt;0,
     COUNTIFS($W$2:$W$200,$G378)&gt;0,
     COUNTIFS($X$2:$X$200,$G378)&gt;0,
     COUNTIFS($Y$2:$Y$200,$G378)&gt;0,
     COUNTIFS($Z$2:$Z$200,$G378)&gt;0,
     COUNTIFS($AA$2:$AA$200,$G378)&gt;0,
     COUNTIFS($AB$2:$AB$200,$G378)&gt;0,
     COUNTIFS($AC$2:$AC$200,$G378)&gt;0,
     COUNTIFS($AD$2:$AD$200,$G378)&gt;0,
     COUNTIFS($AE$2:$AE$200,$G378)&gt;0,
     COUNTIFS($AF$2:$AF$200,$G378)&gt;0,
     COUNTIFS($AG$2:$AG$200,$G378)&gt;0,
     COUNTIFS($AH$2:$AH$200,$G378)&gt;0,
     COUNTIFS($AI$2:$AI$200,$G378)&gt;0,
     COUNTIFS($AJ$2:$AJ$200,$G378)&gt;0,
     COUNTIFS($AK$2:$AK$200,$G378)&gt;0,
     COUNTIFS($AL$2:$AL$200,$G378)&gt;0,
     COUNTIFS($AM$2:$AM$200,$G378)&gt;0,
     COUNTIFS($AN$2:$AN$200,$G378)&gt;0,
     COUNTIFS($AO$2:$AO$200,$G378)&gt;0,
     COUNTIFS($AP$2:$AP$200,$G378)&gt;0,
     COUNTIFS($AQ$2:$AQ$200,$G378)&gt;0,
     COUNTIFS($AR$2:$AR$200,$G378)&gt;0,
     COUNTIFS($AS$2:$AS$200,$G378)&gt;0,
     COUNTIFS($AT$2:$AT$200,$G378)&gt;0,
     COUNTIFS($AU$2:$AU$200,$G378)&gt;0,
     COUNTIFS($AV$2:$AV$200,$G378)&gt;0
   )),
  ),
  2
 ),
"")</f>
        <v/>
      </c>
      <c r="E378" s="3" t="str" cm="1">
        <f t="array" ref="E378">IFERROR(
 INDEX($U$1:$AV$1,
  _xlfn.AGGREGATE(15,6,
   (COLUMN($U$1:$AV$1)-COLUMN($U$1)+1)/
   TRANSPOSE(
    CHOOSE({1;2;3;4;5;6;7;8;9;10;11;12;13;14;15;16;17;18;19;20;21;22;23;24;25;26;27;28},
     COUNTIFS($U$2:$U$200,$G378)&gt;0,
     COUNTIFS($V$2:$V$200,$G378)&gt;0,
     COUNTIFS($W$2:$W$200,$G378)&gt;0,
     COUNTIFS($X$2:$X$200,$G378)&gt;0,
     COUNTIFS($Y$2:$Y$200,$G378)&gt;0,
     COUNTIFS($Z$2:$Z$200,$G378)&gt;0,
     COUNTIFS($AA$2:$AA$200,$G378)&gt;0,
     COUNTIFS($AB$2:$AB$200,$G378)&gt;0,
     COUNTIFS($AC$2:$AC$200,$G378)&gt;0,
     COUNTIFS($AD$2:$AD$200,$G378)&gt;0,
     COUNTIFS($AE$2:$AE$200,$G378)&gt;0,
     COUNTIFS($AF$2:$AF$200,$G378)&gt;0,
     COUNTIFS($AG$2:$AG$200,$G378)&gt;0,
     COUNTIFS($AH$2:$AH$200,$G378)&gt;0,
     COUNTIFS($AI$2:$AI$200,$G378)&gt;0,
     COUNTIFS($AJ$2:$AJ$200,$G378)&gt;0,
     COUNTIFS($AK$2:$AK$200,$G378)&gt;0,
     COUNTIFS($AL$2:$AL$200,$G378)&gt;0,
     COUNTIFS($AM$2:$AM$200,$G378)&gt;0,
     COUNTIFS($AN$2:$AN$200,$G378)&gt;0,
     COUNTIFS($AO$2:$AO$200,$G378)&gt;0,
     COUNTIFS($AP$2:$AP$200,$G378)&gt;0,
     COUNTIFS($AQ$2:$AQ$200,$G378)&gt;0,
     COUNTIFS($AR$2:$AR$200,$G378)&gt;0,
     COUNTIFS($AS$2:$AS$200,$G378)&gt;0,
     COUNTIFS($AT$2:$AT$200,$G378)&gt;0,
     COUNTIFS($AU$2:$AU$200,$G378)&gt;0,
     COUNTIFS($AV$2:$AV$200,$G378)&gt;0
   )),
  3)
 ),
"")</f>
        <v/>
      </c>
      <c r="F378" s="3" t="str" cm="1">
        <f t="array" ref="F378">IFERROR(
 INDEX($U$1:$AV$1,
  _xlfn.AGGREGATE(15,6,
   (COLUMN($U$1:$AV$1)-COLUMN($U$1)+1)/
   TRANSPOSE(
    CHOOSE({1;2;3;4;5;6;7;8;9;10;11;12;13;14;15;16;17;18;19;20;21;22;23;24;25;26;27;28},
     COUNTIFS($U$2:$U$200,$G378)&gt;0,
     COUNTIFS($V$2:$V$200,$G378)&gt;0,
     COUNTIFS($W$2:$W$200,$G378)&gt;0,
     COUNTIFS($X$2:$X$200,$G378)&gt;0,
     COUNTIFS($Y$2:$Y$200,$G378)&gt;0,
     COUNTIFS($Z$2:$Z$200,$G378)&gt;0,
     COUNTIFS($AA$2:$AA$200,$G378)&gt;0,
     COUNTIFS($AB$2:$AB$200,$G378)&gt;0,
     COUNTIFS($AC$2:$AC$200,$G378)&gt;0,
     COUNTIFS($AD$2:$AD$200,$G378)&gt;0,
     COUNTIFS($AE$2:$AE$200,$G378)&gt;0,
     COUNTIFS($AF$2:$AF$200,$G378)&gt;0,
     COUNTIFS($AG$2:$AG$200,$G378)&gt;0,
     COUNTIFS($AH$2:$AH$200,$G378)&gt;0,
     COUNTIFS($AI$2:$AI$200,$G378)&gt;0,
     COUNTIFS($AJ$2:$AJ$200,$G378)&gt;0,
     COUNTIFS($AK$2:$AK$200,$G378)&gt;0,
     COUNTIFS($AL$2:$AL$200,$G378)&gt;0,
     COUNTIFS($AM$2:$AM$200,$G378)&gt;0,
     COUNTIFS($AN$2:$AN$200,$G378)&gt;0,
     COUNTIFS($AO$2:$AO$200,$G378)&gt;0,
     COUNTIFS($AP$2:$AP$200,$G378)&gt;0,
     COUNTIFS($AQ$2:$AQ$200,$G378)&gt;0,
     COUNTIFS($AR$2:$AR$200,$G378)&gt;0,
     COUNTIFS($AS$2:$AS$200,$G378)&gt;0,
     COUNTIFS($AT$2:$AT$200,$G378)&gt;0,
     COUNTIFS($AU$2:$AU$200,$G378)&gt;0,
     COUNTIFS($AV$2:$AV$200,$G378)&gt;0
   )),
  4)
 ),
"")</f>
        <v/>
      </c>
    </row>
    <row r="379" spans="1:6" x14ac:dyDescent="0.25">
      <c r="A379" s="3" t="str">
        <f t="shared" si="12"/>
        <v/>
      </c>
      <c r="B379" s="3">
        <f t="shared" si="13"/>
        <v>0</v>
      </c>
      <c r="C379" s="3" t="str">
        <f>IFERROR(
 INDEX($U$1:$AX$1,
  MATCH(TRUE,
   CHOOSE({1;2;3;4;5;6;7;8;9;10;11;12;13;14;15;16;17;18;19;20;21;22;23;24;25;26;27;28;29;30;31;32},
    COUNTIFS($U$2:$U$200,$G379)&gt;0,
    COUNTIFS($V$2:$V$200,$G379)&gt;0,
    COUNTIFS($W$2:$W$200,$G379)&gt;0,
    COUNTIFS($X$2:$X$200,$G379)&gt;0,
    COUNTIFS($Y$2:$Y$200,$G379)&gt;0,
    COUNTIFS($Z$2:$Z$200,$G379)&gt;0,
    COUNTIFS($AA$2:$AA$200,$G379)&gt;0,
    COUNTIFS($AB$2:$AB$200,$G379)&gt;0,
    COUNTIFS($AC$2:$AC$200,$G379)&gt;0,
    COUNTIFS($AD$2:$AD$200,$G379)&gt;0,
    COUNTIFS($AE$2:$AE$200,$G379)&gt;0,
    COUNTIFS($AF$2:$AF$200,$G379)&gt;0,
    COUNTIFS($AG$2:$AG$200,$G379)&gt;0,
    COUNTIFS($AH$2:$AH$200,$G379)&gt;0,
    COUNTIFS($AI$2:$AI$200,$G379)&gt;0,
    COUNTIFS($AJ$2:$AJ$200,$G379)&gt;0,
    COUNTIFS($AK$2:$AK$200,$G379)&gt;0,
    COUNTIFS($AL$2:$AL$200,$G379)&gt;0,
    COUNTIFS($AM$2:$AM$200,$G379)&gt;0,
    COUNTIFS($AN$2:$AN$200,$G379)&gt;0,
    COUNTIFS($AO$2:$AO$200,$G379)&gt;0,
    COUNTIFS($AP$2:$AP$200,$G379)&gt;0,
    COUNTIFS($AQ$2:$AQ$200,$G379)&gt;0,
    COUNTIFS($AR$2:$AR$200,$G379)&gt;0,
    COUNTIFS($AS$2:$AS$200,$G379)&gt;0,
    COUNTIFS($AT$2:$AT$200,$G379)&gt;0,
    COUNTIFS($AU$2:$AU$200,$G379)&gt;0,
    COUNTIFS($AV$2:$AV$200,$G379)&gt;0,
    COUNTIFS($AW$2:$AW$200,$G379)&gt;0,
    COUNTIFS($AX$2:$AX$200,$G379)&gt;0
   ),
  0)
 ),
"")</f>
        <v/>
      </c>
    </row>
    <row r="380" spans="1:6" x14ac:dyDescent="0.25">
      <c r="A380" s="3" t="str">
        <f t="shared" si="12"/>
        <v/>
      </c>
      <c r="B380" s="3">
        <f t="shared" si="13"/>
        <v>0</v>
      </c>
      <c r="C380" s="3" t="str">
        <f>IFERROR(
 INDEX($U$1:$AX$1,
  MATCH(TRUE,
   CHOOSE({1;2;3;4;5;6;7;8;9;10;11;12;13;14;15;16;17;18;19;20;21;22;23;24;25;26;27;28;29;30;31;32},
    COUNTIFS($U$2:$U$200,$G380)&gt;0,
    COUNTIFS($V$2:$V$200,$G380)&gt;0,
    COUNTIFS($W$2:$W$200,$G380)&gt;0,
    COUNTIFS($X$2:$X$200,$G380)&gt;0,
    COUNTIFS($Y$2:$Y$200,$G380)&gt;0,
    COUNTIFS($Z$2:$Z$200,$G380)&gt;0,
    COUNTIFS($AA$2:$AA$200,$G380)&gt;0,
    COUNTIFS($AB$2:$AB$200,$G380)&gt;0,
    COUNTIFS($AC$2:$AC$200,$G380)&gt;0,
    COUNTIFS($AD$2:$AD$200,$G380)&gt;0,
    COUNTIFS($AE$2:$AE$200,$G380)&gt;0,
    COUNTIFS($AF$2:$AF$200,$G380)&gt;0,
    COUNTIFS($AG$2:$AG$200,$G380)&gt;0,
    COUNTIFS($AH$2:$AH$200,$G380)&gt;0,
    COUNTIFS($AI$2:$AI$200,$G380)&gt;0,
    COUNTIFS($AJ$2:$AJ$200,$G380)&gt;0,
    COUNTIFS($AK$2:$AK$200,$G380)&gt;0,
    COUNTIFS($AL$2:$AL$200,$G380)&gt;0,
    COUNTIFS($AM$2:$AM$200,$G380)&gt;0,
    COUNTIFS($AN$2:$AN$200,$G380)&gt;0,
    COUNTIFS($AO$2:$AO$200,$G380)&gt;0,
    COUNTIFS($AP$2:$AP$200,$G380)&gt;0,
    COUNTIFS($AQ$2:$AQ$200,$G380)&gt;0,
    COUNTIFS($AR$2:$AR$200,$G380)&gt;0,
    COUNTIFS($AS$2:$AS$200,$G380)&gt;0,
    COUNTIFS($AT$2:$AT$200,$G380)&gt;0,
    COUNTIFS($AU$2:$AU$200,$G380)&gt;0,
    COUNTIFS($AV$2:$AV$200,$G380)&gt;0,
    COUNTIFS($AW$2:$AW$200,$G380)&gt;0,
    COUNTIFS($AX$2:$AX$200,$G380)&gt;0
   ),
  0)
 ),
"")</f>
        <v/>
      </c>
    </row>
    <row r="381" spans="1:6" x14ac:dyDescent="0.25">
      <c r="A381" s="3" t="str">
        <f t="shared" si="12"/>
        <v/>
      </c>
      <c r="B381" s="3">
        <f t="shared" si="13"/>
        <v>0</v>
      </c>
      <c r="C381" s="3" t="str">
        <f>IFERROR(
 INDEX($U$1:$AX$1,
  MATCH(TRUE,
   CHOOSE({1;2;3;4;5;6;7;8;9;10;11;12;13;14;15;16;17;18;19;20;21;22;23;24;25;26;27;28;29;30;31;32},
    COUNTIFS($U$2:$U$200,$G381)&gt;0,
    COUNTIFS($V$2:$V$200,$G381)&gt;0,
    COUNTIFS($W$2:$W$200,$G381)&gt;0,
    COUNTIFS($X$2:$X$200,$G381)&gt;0,
    COUNTIFS($Y$2:$Y$200,$G381)&gt;0,
    COUNTIFS($Z$2:$Z$200,$G381)&gt;0,
    COUNTIFS($AA$2:$AA$200,$G381)&gt;0,
    COUNTIFS($AB$2:$AB$200,$G381)&gt;0,
    COUNTIFS($AC$2:$AC$200,$G381)&gt;0,
    COUNTIFS($AD$2:$AD$200,$G381)&gt;0,
    COUNTIFS($AE$2:$AE$200,$G381)&gt;0,
    COUNTIFS($AF$2:$AF$200,$G381)&gt;0,
    COUNTIFS($AG$2:$AG$200,$G381)&gt;0,
    COUNTIFS($AH$2:$AH$200,$G381)&gt;0,
    COUNTIFS($AI$2:$AI$200,$G381)&gt;0,
    COUNTIFS($AJ$2:$AJ$200,$G381)&gt;0,
    COUNTIFS($AK$2:$AK$200,$G381)&gt;0,
    COUNTIFS($AL$2:$AL$200,$G381)&gt;0,
    COUNTIFS($AM$2:$AM$200,$G381)&gt;0,
    COUNTIFS($AN$2:$AN$200,$G381)&gt;0,
    COUNTIFS($AO$2:$AO$200,$G381)&gt;0,
    COUNTIFS($AP$2:$AP$200,$G381)&gt;0,
    COUNTIFS($AQ$2:$AQ$200,$G381)&gt;0,
    COUNTIFS($AR$2:$AR$200,$G381)&gt;0,
    COUNTIFS($AS$2:$AS$200,$G381)&gt;0,
    COUNTIFS($AT$2:$AT$200,$G381)&gt;0,
    COUNTIFS($AU$2:$AU$200,$G381)&gt;0,
    COUNTIFS($AV$2:$AV$200,$G381)&gt;0,
    COUNTIFS($AW$2:$AW$200,$G381)&gt;0,
    COUNTIFS($AX$2:$AX$200,$G381)&gt;0
   ),
  0)
 ),
"")</f>
        <v/>
      </c>
    </row>
    <row r="382" spans="1:6" x14ac:dyDescent="0.25">
      <c r="A382" s="3" t="str">
        <f t="shared" si="12"/>
        <v/>
      </c>
      <c r="B382" s="3">
        <f t="shared" si="13"/>
        <v>0</v>
      </c>
      <c r="C382" s="3" t="str">
        <f>IFERROR(
 INDEX($U$1:$AX$1,
  MATCH(TRUE,
   CHOOSE({1;2;3;4;5;6;7;8;9;10;11;12;13;14;15;16;17;18;19;20;21;22;23;24;25;26;27;28;29;30;31;32},
    COUNTIFS($U$2:$U$200,$G382)&gt;0,
    COUNTIFS($V$2:$V$200,$G382)&gt;0,
    COUNTIFS($W$2:$W$200,$G382)&gt;0,
    COUNTIFS($X$2:$X$200,$G382)&gt;0,
    COUNTIFS($Y$2:$Y$200,$G382)&gt;0,
    COUNTIFS($Z$2:$Z$200,$G382)&gt;0,
    COUNTIFS($AA$2:$AA$200,$G382)&gt;0,
    COUNTIFS($AB$2:$AB$200,$G382)&gt;0,
    COUNTIFS($AC$2:$AC$200,$G382)&gt;0,
    COUNTIFS($AD$2:$AD$200,$G382)&gt;0,
    COUNTIFS($AE$2:$AE$200,$G382)&gt;0,
    COUNTIFS($AF$2:$AF$200,$G382)&gt;0,
    COUNTIFS($AG$2:$AG$200,$G382)&gt;0,
    COUNTIFS($AH$2:$AH$200,$G382)&gt;0,
    COUNTIFS($AI$2:$AI$200,$G382)&gt;0,
    COUNTIFS($AJ$2:$AJ$200,$G382)&gt;0,
    COUNTIFS($AK$2:$AK$200,$G382)&gt;0,
    COUNTIFS($AL$2:$AL$200,$G382)&gt;0,
    COUNTIFS($AM$2:$AM$200,$G382)&gt;0,
    COUNTIFS($AN$2:$AN$200,$G382)&gt;0,
    COUNTIFS($AO$2:$AO$200,$G382)&gt;0,
    COUNTIFS($AP$2:$AP$200,$G382)&gt;0,
    COUNTIFS($AQ$2:$AQ$200,$G382)&gt;0,
    COUNTIFS($AR$2:$AR$200,$G382)&gt;0,
    COUNTIFS($AS$2:$AS$200,$G382)&gt;0,
    COUNTIFS($AT$2:$AT$200,$G382)&gt;0,
    COUNTIFS($AU$2:$AU$200,$G382)&gt;0,
    COUNTIFS($AV$2:$AV$200,$G382)&gt;0,
    COUNTIFS($AW$2:$AW$200,$G382)&gt;0,
    COUNTIFS($AX$2:$AX$200,$G382)&gt;0
   ),
  0)
 ),
"")</f>
        <v/>
      </c>
    </row>
    <row r="383" spans="1:6" x14ac:dyDescent="0.25">
      <c r="A383" s="3" t="str">
        <f t="shared" si="12"/>
        <v/>
      </c>
      <c r="B383" s="3">
        <f t="shared" si="13"/>
        <v>0</v>
      </c>
      <c r="C383" s="3" t="str">
        <f>IFERROR(
 INDEX($U$1:$AX$1,
  MATCH(TRUE,
   CHOOSE({1;2;3;4;5;6;7;8;9;10;11;12;13;14;15;16;17;18;19;20;21;22;23;24;25;26;27;28;29;30;31;32},
    COUNTIFS($U$2:$U$200,$G383)&gt;0,
    COUNTIFS($V$2:$V$200,$G383)&gt;0,
    COUNTIFS($W$2:$W$200,$G383)&gt;0,
    COUNTIFS($X$2:$X$200,$G383)&gt;0,
    COUNTIFS($Y$2:$Y$200,$G383)&gt;0,
    COUNTIFS($Z$2:$Z$200,$G383)&gt;0,
    COUNTIFS($AA$2:$AA$200,$G383)&gt;0,
    COUNTIFS($AB$2:$AB$200,$G383)&gt;0,
    COUNTIFS($AC$2:$AC$200,$G383)&gt;0,
    COUNTIFS($AD$2:$AD$200,$G383)&gt;0,
    COUNTIFS($AE$2:$AE$200,$G383)&gt;0,
    COUNTIFS($AF$2:$AF$200,$G383)&gt;0,
    COUNTIFS($AG$2:$AG$200,$G383)&gt;0,
    COUNTIFS($AH$2:$AH$200,$G383)&gt;0,
    COUNTIFS($AI$2:$AI$200,$G383)&gt;0,
    COUNTIFS($AJ$2:$AJ$200,$G383)&gt;0,
    COUNTIFS($AK$2:$AK$200,$G383)&gt;0,
    COUNTIFS($AL$2:$AL$200,$G383)&gt;0,
    COUNTIFS($AM$2:$AM$200,$G383)&gt;0,
    COUNTIFS($AN$2:$AN$200,$G383)&gt;0,
    COUNTIFS($AO$2:$AO$200,$G383)&gt;0,
    COUNTIFS($AP$2:$AP$200,$G383)&gt;0,
    COUNTIFS($AQ$2:$AQ$200,$G383)&gt;0,
    COUNTIFS($AR$2:$AR$200,$G383)&gt;0,
    COUNTIFS($AS$2:$AS$200,$G383)&gt;0,
    COUNTIFS($AT$2:$AT$200,$G383)&gt;0,
    COUNTIFS($AU$2:$AU$200,$G383)&gt;0,
    COUNTIFS($AV$2:$AV$200,$G383)&gt;0,
    COUNTIFS($AW$2:$AW$200,$G383)&gt;0,
    COUNTIFS($AX$2:$AX$200,$G383)&gt;0
   ),
  0)
 ),
"")</f>
        <v/>
      </c>
    </row>
    <row r="384" spans="1:6" x14ac:dyDescent="0.25">
      <c r="A384" s="3" t="str">
        <f t="shared" si="12"/>
        <v/>
      </c>
      <c r="B384" s="3">
        <f t="shared" si="13"/>
        <v>0</v>
      </c>
      <c r="C384" s="3" t="str">
        <f>IFERROR(
 INDEX($U$1:$AX$1,
  MATCH(TRUE,
   CHOOSE({1;2;3;4;5;6;7;8;9;10;11;12;13;14;15;16;17;18;19;20;21;22;23;24;25;26;27;28;29;30;31;32},
    COUNTIFS($U$2:$U$200,$G384)&gt;0,
    COUNTIFS($V$2:$V$200,$G384)&gt;0,
    COUNTIFS($W$2:$W$200,$G384)&gt;0,
    COUNTIFS($X$2:$X$200,$G384)&gt;0,
    COUNTIFS($Y$2:$Y$200,$G384)&gt;0,
    COUNTIFS($Z$2:$Z$200,$G384)&gt;0,
    COUNTIFS($AA$2:$AA$200,$G384)&gt;0,
    COUNTIFS($AB$2:$AB$200,$G384)&gt;0,
    COUNTIFS($AC$2:$AC$200,$G384)&gt;0,
    COUNTIFS($AD$2:$AD$200,$G384)&gt;0,
    COUNTIFS($AE$2:$AE$200,$G384)&gt;0,
    COUNTIFS($AF$2:$AF$200,$G384)&gt;0,
    COUNTIFS($AG$2:$AG$200,$G384)&gt;0,
    COUNTIFS($AH$2:$AH$200,$G384)&gt;0,
    COUNTIFS($AI$2:$AI$200,$G384)&gt;0,
    COUNTIFS($AJ$2:$AJ$200,$G384)&gt;0,
    COUNTIFS($AK$2:$AK$200,$G384)&gt;0,
    COUNTIFS($AL$2:$AL$200,$G384)&gt;0,
    COUNTIFS($AM$2:$AM$200,$G384)&gt;0,
    COUNTIFS($AN$2:$AN$200,$G384)&gt;0,
    COUNTIFS($AO$2:$AO$200,$G384)&gt;0,
    COUNTIFS($AP$2:$AP$200,$G384)&gt;0,
    COUNTIFS($AQ$2:$AQ$200,$G384)&gt;0,
    COUNTIFS($AR$2:$AR$200,$G384)&gt;0,
    COUNTIFS($AS$2:$AS$200,$G384)&gt;0,
    COUNTIFS($AT$2:$AT$200,$G384)&gt;0,
    COUNTIFS($AU$2:$AU$200,$G384)&gt;0,
    COUNTIFS($AV$2:$AV$200,$G384)&gt;0,
    COUNTIFS($AW$2:$AW$200,$G384)&gt;0,
    COUNTIFS($AX$2:$AX$200,$G384)&gt;0
   ),
  0)
 ),
"")</f>
        <v/>
      </c>
    </row>
    <row r="385" spans="1:3" x14ac:dyDescent="0.25">
      <c r="A385" s="3" t="str">
        <f t="shared" si="12"/>
        <v/>
      </c>
      <c r="B385" s="3">
        <f t="shared" si="13"/>
        <v>0</v>
      </c>
      <c r="C385" s="3" t="str">
        <f>IFERROR(
 INDEX($U$1:$AX$1,
  MATCH(TRUE,
   CHOOSE({1;2;3;4;5;6;7;8;9;10;11;12;13;14;15;16;17;18;19;20;21;22;23;24;25;26;27;28;29;30;31;32},
    COUNTIFS($U$2:$U$200,$G385)&gt;0,
    COUNTIFS($V$2:$V$200,$G385)&gt;0,
    COUNTIFS($W$2:$W$200,$G385)&gt;0,
    COUNTIFS($X$2:$X$200,$G385)&gt;0,
    COUNTIFS($Y$2:$Y$200,$G385)&gt;0,
    COUNTIFS($Z$2:$Z$200,$G385)&gt;0,
    COUNTIFS($AA$2:$AA$200,$G385)&gt;0,
    COUNTIFS($AB$2:$AB$200,$G385)&gt;0,
    COUNTIFS($AC$2:$AC$200,$G385)&gt;0,
    COUNTIFS($AD$2:$AD$200,$G385)&gt;0,
    COUNTIFS($AE$2:$AE$200,$G385)&gt;0,
    COUNTIFS($AF$2:$AF$200,$G385)&gt;0,
    COUNTIFS($AG$2:$AG$200,$G385)&gt;0,
    COUNTIFS($AH$2:$AH$200,$G385)&gt;0,
    COUNTIFS($AI$2:$AI$200,$G385)&gt;0,
    COUNTIFS($AJ$2:$AJ$200,$G385)&gt;0,
    COUNTIFS($AK$2:$AK$200,$G385)&gt;0,
    COUNTIFS($AL$2:$AL$200,$G385)&gt;0,
    COUNTIFS($AM$2:$AM$200,$G385)&gt;0,
    COUNTIFS($AN$2:$AN$200,$G385)&gt;0,
    COUNTIFS($AO$2:$AO$200,$G385)&gt;0,
    COUNTIFS($AP$2:$AP$200,$G385)&gt;0,
    COUNTIFS($AQ$2:$AQ$200,$G385)&gt;0,
    COUNTIFS($AR$2:$AR$200,$G385)&gt;0,
    COUNTIFS($AS$2:$AS$200,$G385)&gt;0,
    COUNTIFS($AT$2:$AT$200,$G385)&gt;0,
    COUNTIFS($AU$2:$AU$200,$G385)&gt;0,
    COUNTIFS($AV$2:$AV$200,$G385)&gt;0,
    COUNTIFS($AW$2:$AW$200,$G385)&gt;0,
    COUNTIFS($AX$2:$AX$200,$G385)&gt;0
   ),
  0)
 ),
"")</f>
        <v/>
      </c>
    </row>
    <row r="386" spans="1:3" x14ac:dyDescent="0.25">
      <c r="A386" s="3" t="str">
        <f t="shared" si="12"/>
        <v/>
      </c>
      <c r="B386" s="3">
        <f t="shared" si="13"/>
        <v>0</v>
      </c>
      <c r="C386" s="3" t="str">
        <f>IFERROR(
 INDEX($U$1:$AX$1,
  MATCH(TRUE,
   CHOOSE({1;2;3;4;5;6;7;8;9;10;11;12;13;14;15;16;17;18;19;20;21;22;23;24;25;26;27;28;29;30;31;32},
    COUNTIFS($U$2:$U$200,$G386)&gt;0,
    COUNTIFS($V$2:$V$200,$G386)&gt;0,
    COUNTIFS($W$2:$W$200,$G386)&gt;0,
    COUNTIFS($X$2:$X$200,$G386)&gt;0,
    COUNTIFS($Y$2:$Y$200,$G386)&gt;0,
    COUNTIFS($Z$2:$Z$200,$G386)&gt;0,
    COUNTIFS($AA$2:$AA$200,$G386)&gt;0,
    COUNTIFS($AB$2:$AB$200,$G386)&gt;0,
    COUNTIFS($AC$2:$AC$200,$G386)&gt;0,
    COUNTIFS($AD$2:$AD$200,$G386)&gt;0,
    COUNTIFS($AE$2:$AE$200,$G386)&gt;0,
    COUNTIFS($AF$2:$AF$200,$G386)&gt;0,
    COUNTIFS($AG$2:$AG$200,$G386)&gt;0,
    COUNTIFS($AH$2:$AH$200,$G386)&gt;0,
    COUNTIFS($AI$2:$AI$200,$G386)&gt;0,
    COUNTIFS($AJ$2:$AJ$200,$G386)&gt;0,
    COUNTIFS($AK$2:$AK$200,$G386)&gt;0,
    COUNTIFS($AL$2:$AL$200,$G386)&gt;0,
    COUNTIFS($AM$2:$AM$200,$G386)&gt;0,
    COUNTIFS($AN$2:$AN$200,$G386)&gt;0,
    COUNTIFS($AO$2:$AO$200,$G386)&gt;0,
    COUNTIFS($AP$2:$AP$200,$G386)&gt;0,
    COUNTIFS($AQ$2:$AQ$200,$G386)&gt;0,
    COUNTIFS($AR$2:$AR$200,$G386)&gt;0,
    COUNTIFS($AS$2:$AS$200,$G386)&gt;0,
    COUNTIFS($AT$2:$AT$200,$G386)&gt;0,
    COUNTIFS($AU$2:$AU$200,$G386)&gt;0,
    COUNTIFS($AV$2:$AV$200,$G386)&gt;0,
    COUNTIFS($AW$2:$AW$200,$G386)&gt;0,
    COUNTIFS($AX$2:$AX$200,$G386)&gt;0
   ),
  0)
 ),
"")</f>
        <v/>
      </c>
    </row>
    <row r="387" spans="1:3" x14ac:dyDescent="0.25">
      <c r="A387" s="3" t="str">
        <f t="shared" ref="A387:A426" si="14">IFERROR(INDEX($S$3:$S$200, MATCH($C387, $I$3:$I$200, 0)), "")</f>
        <v/>
      </c>
      <c r="B387" s="3">
        <f t="shared" ref="B387:B426" si="15">COUNTIF(U:AX,G387)</f>
        <v>0</v>
      </c>
      <c r="C387" s="3" t="str">
        <f>IFERROR(
 INDEX($U$1:$AX$1,
  MATCH(TRUE,
   CHOOSE({1;2;3;4;5;6;7;8;9;10;11;12;13;14;15;16;17;18;19;20;21;22;23;24;25;26;27;28;29;30;31;32},
    COUNTIFS($U$2:$U$200,$G387)&gt;0,
    COUNTIFS($V$2:$V$200,$G387)&gt;0,
    COUNTIFS($W$2:$W$200,$G387)&gt;0,
    COUNTIFS($X$2:$X$200,$G387)&gt;0,
    COUNTIFS($Y$2:$Y$200,$G387)&gt;0,
    COUNTIFS($Z$2:$Z$200,$G387)&gt;0,
    COUNTIFS($AA$2:$AA$200,$G387)&gt;0,
    COUNTIFS($AB$2:$AB$200,$G387)&gt;0,
    COUNTIFS($AC$2:$AC$200,$G387)&gt;0,
    COUNTIFS($AD$2:$AD$200,$G387)&gt;0,
    COUNTIFS($AE$2:$AE$200,$G387)&gt;0,
    COUNTIFS($AF$2:$AF$200,$G387)&gt;0,
    COUNTIFS($AG$2:$AG$200,$G387)&gt;0,
    COUNTIFS($AH$2:$AH$200,$G387)&gt;0,
    COUNTIFS($AI$2:$AI$200,$G387)&gt;0,
    COUNTIFS($AJ$2:$AJ$200,$G387)&gt;0,
    COUNTIFS($AK$2:$AK$200,$G387)&gt;0,
    COUNTIFS($AL$2:$AL$200,$G387)&gt;0,
    COUNTIFS($AM$2:$AM$200,$G387)&gt;0,
    COUNTIFS($AN$2:$AN$200,$G387)&gt;0,
    COUNTIFS($AO$2:$AO$200,$G387)&gt;0,
    COUNTIFS($AP$2:$AP$200,$G387)&gt;0,
    COUNTIFS($AQ$2:$AQ$200,$G387)&gt;0,
    COUNTIFS($AR$2:$AR$200,$G387)&gt;0,
    COUNTIFS($AS$2:$AS$200,$G387)&gt;0,
    COUNTIFS($AT$2:$AT$200,$G387)&gt;0,
    COUNTIFS($AU$2:$AU$200,$G387)&gt;0,
    COUNTIFS($AV$2:$AV$200,$G387)&gt;0,
    COUNTIFS($AW$2:$AW$200,$G387)&gt;0,
    COUNTIFS($AX$2:$AX$200,$G387)&gt;0
   ),
  0)
 ),
"")</f>
        <v/>
      </c>
    </row>
    <row r="388" spans="1:3" x14ac:dyDescent="0.25">
      <c r="A388" s="3" t="str">
        <f t="shared" si="14"/>
        <v/>
      </c>
      <c r="B388" s="3">
        <f t="shared" si="15"/>
        <v>0</v>
      </c>
      <c r="C388" s="3" t="str">
        <f>IFERROR(
 INDEX($U$1:$AX$1,
  MATCH(TRUE,
   CHOOSE({1;2;3;4;5;6;7;8;9;10;11;12;13;14;15;16;17;18;19;20;21;22;23;24;25;26;27;28;29;30;31;32},
    COUNTIFS($U$2:$U$200,$G388)&gt;0,
    COUNTIFS($V$2:$V$200,$G388)&gt;0,
    COUNTIFS($W$2:$W$200,$G388)&gt;0,
    COUNTIFS($X$2:$X$200,$G388)&gt;0,
    COUNTIFS($Y$2:$Y$200,$G388)&gt;0,
    COUNTIFS($Z$2:$Z$200,$G388)&gt;0,
    COUNTIFS($AA$2:$AA$200,$G388)&gt;0,
    COUNTIFS($AB$2:$AB$200,$G388)&gt;0,
    COUNTIFS($AC$2:$AC$200,$G388)&gt;0,
    COUNTIFS($AD$2:$AD$200,$G388)&gt;0,
    COUNTIFS($AE$2:$AE$200,$G388)&gt;0,
    COUNTIFS($AF$2:$AF$200,$G388)&gt;0,
    COUNTIFS($AG$2:$AG$200,$G388)&gt;0,
    COUNTIFS($AH$2:$AH$200,$G388)&gt;0,
    COUNTIFS($AI$2:$AI$200,$G388)&gt;0,
    COUNTIFS($AJ$2:$AJ$200,$G388)&gt;0,
    COUNTIFS($AK$2:$AK$200,$G388)&gt;0,
    COUNTIFS($AL$2:$AL$200,$G388)&gt;0,
    COUNTIFS($AM$2:$AM$200,$G388)&gt;0,
    COUNTIFS($AN$2:$AN$200,$G388)&gt;0,
    COUNTIFS($AO$2:$AO$200,$G388)&gt;0,
    COUNTIFS($AP$2:$AP$200,$G388)&gt;0,
    COUNTIFS($AQ$2:$AQ$200,$G388)&gt;0,
    COUNTIFS($AR$2:$AR$200,$G388)&gt;0,
    COUNTIFS($AS$2:$AS$200,$G388)&gt;0,
    COUNTIFS($AT$2:$AT$200,$G388)&gt;0,
    COUNTIFS($AU$2:$AU$200,$G388)&gt;0,
    COUNTIFS($AV$2:$AV$200,$G388)&gt;0,
    COUNTIFS($AW$2:$AW$200,$G388)&gt;0,
    COUNTIFS($AX$2:$AX$200,$G388)&gt;0
   ),
  0)
 ),
"")</f>
        <v/>
      </c>
    </row>
    <row r="389" spans="1:3" x14ac:dyDescent="0.25">
      <c r="A389" s="3" t="str">
        <f t="shared" si="14"/>
        <v/>
      </c>
      <c r="B389" s="3">
        <f t="shared" si="15"/>
        <v>0</v>
      </c>
      <c r="C389" s="3" t="str">
        <f>IFERROR(
 INDEX($U$1:$AX$1,
  MATCH(TRUE,
   CHOOSE({1;2;3;4;5;6;7;8;9;10;11;12;13;14;15;16;17;18;19;20;21;22;23;24;25;26;27;28;29;30;31;32},
    COUNTIFS($U$2:$U$200,$G389)&gt;0,
    COUNTIFS($V$2:$V$200,$G389)&gt;0,
    COUNTIFS($W$2:$W$200,$G389)&gt;0,
    COUNTIFS($X$2:$X$200,$G389)&gt;0,
    COUNTIFS($Y$2:$Y$200,$G389)&gt;0,
    COUNTIFS($Z$2:$Z$200,$G389)&gt;0,
    COUNTIFS($AA$2:$AA$200,$G389)&gt;0,
    COUNTIFS($AB$2:$AB$200,$G389)&gt;0,
    COUNTIFS($AC$2:$AC$200,$G389)&gt;0,
    COUNTIFS($AD$2:$AD$200,$G389)&gt;0,
    COUNTIFS($AE$2:$AE$200,$G389)&gt;0,
    COUNTIFS($AF$2:$AF$200,$G389)&gt;0,
    COUNTIFS($AG$2:$AG$200,$G389)&gt;0,
    COUNTIFS($AH$2:$AH$200,$G389)&gt;0,
    COUNTIFS($AI$2:$AI$200,$G389)&gt;0,
    COUNTIFS($AJ$2:$AJ$200,$G389)&gt;0,
    COUNTIFS($AK$2:$AK$200,$G389)&gt;0,
    COUNTIFS($AL$2:$AL$200,$G389)&gt;0,
    COUNTIFS($AM$2:$AM$200,$G389)&gt;0,
    COUNTIFS($AN$2:$AN$200,$G389)&gt;0,
    COUNTIFS($AO$2:$AO$200,$G389)&gt;0,
    COUNTIFS($AP$2:$AP$200,$G389)&gt;0,
    COUNTIFS($AQ$2:$AQ$200,$G389)&gt;0,
    COUNTIFS($AR$2:$AR$200,$G389)&gt;0,
    COUNTIFS($AS$2:$AS$200,$G389)&gt;0,
    COUNTIFS($AT$2:$AT$200,$G389)&gt;0,
    COUNTIFS($AU$2:$AU$200,$G389)&gt;0,
    COUNTIFS($AV$2:$AV$200,$G389)&gt;0,
    COUNTIFS($AW$2:$AW$200,$G389)&gt;0,
    COUNTIFS($AX$2:$AX$200,$G389)&gt;0
   ),
  0)
 ),
"")</f>
        <v/>
      </c>
    </row>
    <row r="390" spans="1:3" x14ac:dyDescent="0.25">
      <c r="A390" s="3" t="str">
        <f t="shared" si="14"/>
        <v/>
      </c>
      <c r="B390" s="3">
        <f t="shared" si="15"/>
        <v>0</v>
      </c>
      <c r="C390" s="3" t="str">
        <f>IFERROR(
 INDEX($U$1:$AX$1,
  MATCH(TRUE,
   CHOOSE({1;2;3;4;5;6;7;8;9;10;11;12;13;14;15;16;17;18;19;20;21;22;23;24;25;26;27;28;29;30;31;32},
    COUNTIFS($U$2:$U$200,$G390)&gt;0,
    COUNTIFS($V$2:$V$200,$G390)&gt;0,
    COUNTIFS($W$2:$W$200,$G390)&gt;0,
    COUNTIFS($X$2:$X$200,$G390)&gt;0,
    COUNTIFS($Y$2:$Y$200,$G390)&gt;0,
    COUNTIFS($Z$2:$Z$200,$G390)&gt;0,
    COUNTIFS($AA$2:$AA$200,$G390)&gt;0,
    COUNTIFS($AB$2:$AB$200,$G390)&gt;0,
    COUNTIFS($AC$2:$AC$200,$G390)&gt;0,
    COUNTIFS($AD$2:$AD$200,$G390)&gt;0,
    COUNTIFS($AE$2:$AE$200,$G390)&gt;0,
    COUNTIFS($AF$2:$AF$200,$G390)&gt;0,
    COUNTIFS($AG$2:$AG$200,$G390)&gt;0,
    COUNTIFS($AH$2:$AH$200,$G390)&gt;0,
    COUNTIFS($AI$2:$AI$200,$G390)&gt;0,
    COUNTIFS($AJ$2:$AJ$200,$G390)&gt;0,
    COUNTIFS($AK$2:$AK$200,$G390)&gt;0,
    COUNTIFS($AL$2:$AL$200,$G390)&gt;0,
    COUNTIFS($AM$2:$AM$200,$G390)&gt;0,
    COUNTIFS($AN$2:$AN$200,$G390)&gt;0,
    COUNTIFS($AO$2:$AO$200,$G390)&gt;0,
    COUNTIFS($AP$2:$AP$200,$G390)&gt;0,
    COUNTIFS($AQ$2:$AQ$200,$G390)&gt;0,
    COUNTIFS($AR$2:$AR$200,$G390)&gt;0,
    COUNTIFS($AS$2:$AS$200,$G390)&gt;0,
    COUNTIFS($AT$2:$AT$200,$G390)&gt;0,
    COUNTIFS($AU$2:$AU$200,$G390)&gt;0,
    COUNTIFS($AV$2:$AV$200,$G390)&gt;0,
    COUNTIFS($AW$2:$AW$200,$G390)&gt;0,
    COUNTIFS($AX$2:$AX$200,$G390)&gt;0
   ),
  0)
 ),
"")</f>
        <v/>
      </c>
    </row>
    <row r="391" spans="1:3" x14ac:dyDescent="0.25">
      <c r="A391" s="3" t="str">
        <f t="shared" si="14"/>
        <v/>
      </c>
      <c r="B391" s="3">
        <f t="shared" si="15"/>
        <v>0</v>
      </c>
      <c r="C391" s="3" t="str">
        <f>IFERROR(
 INDEX($U$1:$AX$1,
  MATCH(TRUE,
   CHOOSE({1;2;3;4;5;6;7;8;9;10;11;12;13;14;15;16;17;18;19;20;21;22;23;24;25;26;27;28;29;30;31;32},
    COUNTIFS($U$2:$U$200,$G391)&gt;0,
    COUNTIFS($V$2:$V$200,$G391)&gt;0,
    COUNTIFS($W$2:$W$200,$G391)&gt;0,
    COUNTIFS($X$2:$X$200,$G391)&gt;0,
    COUNTIFS($Y$2:$Y$200,$G391)&gt;0,
    COUNTIFS($Z$2:$Z$200,$G391)&gt;0,
    COUNTIFS($AA$2:$AA$200,$G391)&gt;0,
    COUNTIFS($AB$2:$AB$200,$G391)&gt;0,
    COUNTIFS($AC$2:$AC$200,$G391)&gt;0,
    COUNTIFS($AD$2:$AD$200,$G391)&gt;0,
    COUNTIFS($AE$2:$AE$200,$G391)&gt;0,
    COUNTIFS($AF$2:$AF$200,$G391)&gt;0,
    COUNTIFS($AG$2:$AG$200,$G391)&gt;0,
    COUNTIFS($AH$2:$AH$200,$G391)&gt;0,
    COUNTIFS($AI$2:$AI$200,$G391)&gt;0,
    COUNTIFS($AJ$2:$AJ$200,$G391)&gt;0,
    COUNTIFS($AK$2:$AK$200,$G391)&gt;0,
    COUNTIFS($AL$2:$AL$200,$G391)&gt;0,
    COUNTIFS($AM$2:$AM$200,$G391)&gt;0,
    COUNTIFS($AN$2:$AN$200,$G391)&gt;0,
    COUNTIFS($AO$2:$AO$200,$G391)&gt;0,
    COUNTIFS($AP$2:$AP$200,$G391)&gt;0,
    COUNTIFS($AQ$2:$AQ$200,$G391)&gt;0,
    COUNTIFS($AR$2:$AR$200,$G391)&gt;0,
    COUNTIFS($AS$2:$AS$200,$G391)&gt;0,
    COUNTIFS($AT$2:$AT$200,$G391)&gt;0,
    COUNTIFS($AU$2:$AU$200,$G391)&gt;0,
    COUNTIFS($AV$2:$AV$200,$G391)&gt;0,
    COUNTIFS($AW$2:$AW$200,$G391)&gt;0,
    COUNTIFS($AX$2:$AX$200,$G391)&gt;0
   ),
  0)
 ),
"")</f>
        <v/>
      </c>
    </row>
    <row r="392" spans="1:3" x14ac:dyDescent="0.25">
      <c r="A392" s="3" t="str">
        <f t="shared" si="14"/>
        <v/>
      </c>
      <c r="B392" s="3">
        <f t="shared" si="15"/>
        <v>0</v>
      </c>
      <c r="C392" s="3" t="str">
        <f>IFERROR(
 INDEX($U$1:$AX$1,
  MATCH(TRUE,
   CHOOSE({1;2;3;4;5;6;7;8;9;10;11;12;13;14;15;16;17;18;19;20;21;22;23;24;25;26;27;28;29;30;31;32},
    COUNTIFS($U$2:$U$200,$G392)&gt;0,
    COUNTIFS($V$2:$V$200,$G392)&gt;0,
    COUNTIFS($W$2:$W$200,$G392)&gt;0,
    COUNTIFS($X$2:$X$200,$G392)&gt;0,
    COUNTIFS($Y$2:$Y$200,$G392)&gt;0,
    COUNTIFS($Z$2:$Z$200,$G392)&gt;0,
    COUNTIFS($AA$2:$AA$200,$G392)&gt;0,
    COUNTIFS($AB$2:$AB$200,$G392)&gt;0,
    COUNTIFS($AC$2:$AC$200,$G392)&gt;0,
    COUNTIFS($AD$2:$AD$200,$G392)&gt;0,
    COUNTIFS($AE$2:$AE$200,$G392)&gt;0,
    COUNTIFS($AF$2:$AF$200,$G392)&gt;0,
    COUNTIFS($AG$2:$AG$200,$G392)&gt;0,
    COUNTIFS($AH$2:$AH$200,$G392)&gt;0,
    COUNTIFS($AI$2:$AI$200,$G392)&gt;0,
    COUNTIFS($AJ$2:$AJ$200,$G392)&gt;0,
    COUNTIFS($AK$2:$AK$200,$G392)&gt;0,
    COUNTIFS($AL$2:$AL$200,$G392)&gt;0,
    COUNTIFS($AM$2:$AM$200,$G392)&gt;0,
    COUNTIFS($AN$2:$AN$200,$G392)&gt;0,
    COUNTIFS($AO$2:$AO$200,$G392)&gt;0,
    COUNTIFS($AP$2:$AP$200,$G392)&gt;0,
    COUNTIFS($AQ$2:$AQ$200,$G392)&gt;0,
    COUNTIFS($AR$2:$AR$200,$G392)&gt;0,
    COUNTIFS($AS$2:$AS$200,$G392)&gt;0,
    COUNTIFS($AT$2:$AT$200,$G392)&gt;0,
    COUNTIFS($AU$2:$AU$200,$G392)&gt;0,
    COUNTIFS($AV$2:$AV$200,$G392)&gt;0,
    COUNTIFS($AW$2:$AW$200,$G392)&gt;0,
    COUNTIFS($AX$2:$AX$200,$G392)&gt;0
   ),
  0)
 ),
"")</f>
        <v/>
      </c>
    </row>
    <row r="393" spans="1:3" x14ac:dyDescent="0.25">
      <c r="A393" s="3" t="str">
        <f t="shared" si="14"/>
        <v/>
      </c>
      <c r="B393" s="3">
        <f t="shared" si="15"/>
        <v>0</v>
      </c>
      <c r="C393" s="3" t="str">
        <f>IFERROR(
 INDEX($U$1:$AX$1,
  MATCH(TRUE,
   CHOOSE({1;2;3;4;5;6;7;8;9;10;11;12;13;14;15;16;17;18;19;20;21;22;23;24;25;26;27;28;29;30;31;32},
    COUNTIFS($U$2:$U$200,$G393)&gt;0,
    COUNTIFS($V$2:$V$200,$G393)&gt;0,
    COUNTIFS($W$2:$W$200,$G393)&gt;0,
    COUNTIFS($X$2:$X$200,$G393)&gt;0,
    COUNTIFS($Y$2:$Y$200,$G393)&gt;0,
    COUNTIFS($Z$2:$Z$200,$G393)&gt;0,
    COUNTIFS($AA$2:$AA$200,$G393)&gt;0,
    COUNTIFS($AB$2:$AB$200,$G393)&gt;0,
    COUNTIFS($AC$2:$AC$200,$G393)&gt;0,
    COUNTIFS($AD$2:$AD$200,$G393)&gt;0,
    COUNTIFS($AE$2:$AE$200,$G393)&gt;0,
    COUNTIFS($AF$2:$AF$200,$G393)&gt;0,
    COUNTIFS($AG$2:$AG$200,$G393)&gt;0,
    COUNTIFS($AH$2:$AH$200,$G393)&gt;0,
    COUNTIFS($AI$2:$AI$200,$G393)&gt;0,
    COUNTIFS($AJ$2:$AJ$200,$G393)&gt;0,
    COUNTIFS($AK$2:$AK$200,$G393)&gt;0,
    COUNTIFS($AL$2:$AL$200,$G393)&gt;0,
    COUNTIFS($AM$2:$AM$200,$G393)&gt;0,
    COUNTIFS($AN$2:$AN$200,$G393)&gt;0,
    COUNTIFS($AO$2:$AO$200,$G393)&gt;0,
    COUNTIFS($AP$2:$AP$200,$G393)&gt;0,
    COUNTIFS($AQ$2:$AQ$200,$G393)&gt;0,
    COUNTIFS($AR$2:$AR$200,$G393)&gt;0,
    COUNTIFS($AS$2:$AS$200,$G393)&gt;0,
    COUNTIFS($AT$2:$AT$200,$G393)&gt;0,
    COUNTIFS($AU$2:$AU$200,$G393)&gt;0,
    COUNTIFS($AV$2:$AV$200,$G393)&gt;0,
    COUNTIFS($AW$2:$AW$200,$G393)&gt;0,
    COUNTIFS($AX$2:$AX$200,$G393)&gt;0
   ),
  0)
 ),
"")</f>
        <v/>
      </c>
    </row>
    <row r="394" spans="1:3" x14ac:dyDescent="0.25">
      <c r="A394" s="3" t="str">
        <f t="shared" si="14"/>
        <v/>
      </c>
      <c r="B394" s="3">
        <f t="shared" si="15"/>
        <v>0</v>
      </c>
      <c r="C394" s="3" t="str">
        <f>IFERROR(
 INDEX($U$1:$AX$1,
  MATCH(TRUE,
   CHOOSE({1;2;3;4;5;6;7;8;9;10;11;12;13;14;15;16;17;18;19;20;21;22;23;24;25;26;27;28;29;30;31;32},
    COUNTIFS($U$2:$U$200,$G394)&gt;0,
    COUNTIFS($V$2:$V$200,$G394)&gt;0,
    COUNTIFS($W$2:$W$200,$G394)&gt;0,
    COUNTIFS($X$2:$X$200,$G394)&gt;0,
    COUNTIFS($Y$2:$Y$200,$G394)&gt;0,
    COUNTIFS($Z$2:$Z$200,$G394)&gt;0,
    COUNTIFS($AA$2:$AA$200,$G394)&gt;0,
    COUNTIFS($AB$2:$AB$200,$G394)&gt;0,
    COUNTIFS($AC$2:$AC$200,$G394)&gt;0,
    COUNTIFS($AD$2:$AD$200,$G394)&gt;0,
    COUNTIFS($AE$2:$AE$200,$G394)&gt;0,
    COUNTIFS($AF$2:$AF$200,$G394)&gt;0,
    COUNTIFS($AG$2:$AG$200,$G394)&gt;0,
    COUNTIFS($AH$2:$AH$200,$G394)&gt;0,
    COUNTIFS($AI$2:$AI$200,$G394)&gt;0,
    COUNTIFS($AJ$2:$AJ$200,$G394)&gt;0,
    COUNTIFS($AK$2:$AK$200,$G394)&gt;0,
    COUNTIFS($AL$2:$AL$200,$G394)&gt;0,
    COUNTIFS($AM$2:$AM$200,$G394)&gt;0,
    COUNTIFS($AN$2:$AN$200,$G394)&gt;0,
    COUNTIFS($AO$2:$AO$200,$G394)&gt;0,
    COUNTIFS($AP$2:$AP$200,$G394)&gt;0,
    COUNTIFS($AQ$2:$AQ$200,$G394)&gt;0,
    COUNTIFS($AR$2:$AR$200,$G394)&gt;0,
    COUNTIFS($AS$2:$AS$200,$G394)&gt;0,
    COUNTIFS($AT$2:$AT$200,$G394)&gt;0,
    COUNTIFS($AU$2:$AU$200,$G394)&gt;0,
    COUNTIFS($AV$2:$AV$200,$G394)&gt;0,
    COUNTIFS($AW$2:$AW$200,$G394)&gt;0,
    COUNTIFS($AX$2:$AX$200,$G394)&gt;0
   ),
  0)
 ),
"")</f>
        <v/>
      </c>
    </row>
    <row r="395" spans="1:3" x14ac:dyDescent="0.25">
      <c r="A395" s="3" t="str">
        <f t="shared" si="14"/>
        <v/>
      </c>
      <c r="B395" s="3">
        <f t="shared" si="15"/>
        <v>0</v>
      </c>
      <c r="C395" s="3" t="str">
        <f>IFERROR(
 INDEX($U$1:$AX$1,
  MATCH(TRUE,
   CHOOSE({1;2;3;4;5;6;7;8;9;10;11;12;13;14;15;16;17;18;19;20;21;22;23;24;25;26;27;28;29;30;31;32},
    COUNTIFS($U$2:$U$200,$G395)&gt;0,
    COUNTIFS($V$2:$V$200,$G395)&gt;0,
    COUNTIFS($W$2:$W$200,$G395)&gt;0,
    COUNTIFS($X$2:$X$200,$G395)&gt;0,
    COUNTIFS($Y$2:$Y$200,$G395)&gt;0,
    COUNTIFS($Z$2:$Z$200,$G395)&gt;0,
    COUNTIFS($AA$2:$AA$200,$G395)&gt;0,
    COUNTIFS($AB$2:$AB$200,$G395)&gt;0,
    COUNTIFS($AC$2:$AC$200,$G395)&gt;0,
    COUNTIFS($AD$2:$AD$200,$G395)&gt;0,
    COUNTIFS($AE$2:$AE$200,$G395)&gt;0,
    COUNTIFS($AF$2:$AF$200,$G395)&gt;0,
    COUNTIFS($AG$2:$AG$200,$G395)&gt;0,
    COUNTIFS($AH$2:$AH$200,$G395)&gt;0,
    COUNTIFS($AI$2:$AI$200,$G395)&gt;0,
    COUNTIFS($AJ$2:$AJ$200,$G395)&gt;0,
    COUNTIFS($AK$2:$AK$200,$G395)&gt;0,
    COUNTIFS($AL$2:$AL$200,$G395)&gt;0,
    COUNTIFS($AM$2:$AM$200,$G395)&gt;0,
    COUNTIFS($AN$2:$AN$200,$G395)&gt;0,
    COUNTIFS($AO$2:$AO$200,$G395)&gt;0,
    COUNTIFS($AP$2:$AP$200,$G395)&gt;0,
    COUNTIFS($AQ$2:$AQ$200,$G395)&gt;0,
    COUNTIFS($AR$2:$AR$200,$G395)&gt;0,
    COUNTIFS($AS$2:$AS$200,$G395)&gt;0,
    COUNTIFS($AT$2:$AT$200,$G395)&gt;0,
    COUNTIFS($AU$2:$AU$200,$G395)&gt;0,
    COUNTIFS($AV$2:$AV$200,$G395)&gt;0,
    COUNTIFS($AW$2:$AW$200,$G395)&gt;0,
    COUNTIFS($AX$2:$AX$200,$G395)&gt;0
   ),
  0)
 ),
"")</f>
        <v/>
      </c>
    </row>
    <row r="396" spans="1:3" x14ac:dyDescent="0.25">
      <c r="A396" s="3" t="str">
        <f t="shared" si="14"/>
        <v/>
      </c>
      <c r="B396" s="3">
        <f t="shared" si="15"/>
        <v>0</v>
      </c>
      <c r="C396" s="3" t="str">
        <f>IFERROR(
 INDEX($U$1:$AX$1,
  MATCH(TRUE,
   CHOOSE({1;2;3;4;5;6;7;8;9;10;11;12;13;14;15;16;17;18;19;20;21;22;23;24;25;26;27;28;29;30;31;32},
    COUNTIFS($U$2:$U$200,$G396)&gt;0,
    COUNTIFS($V$2:$V$200,$G396)&gt;0,
    COUNTIFS($W$2:$W$200,$G396)&gt;0,
    COUNTIFS($X$2:$X$200,$G396)&gt;0,
    COUNTIFS($Y$2:$Y$200,$G396)&gt;0,
    COUNTIFS($Z$2:$Z$200,$G396)&gt;0,
    COUNTIFS($AA$2:$AA$200,$G396)&gt;0,
    COUNTIFS($AB$2:$AB$200,$G396)&gt;0,
    COUNTIFS($AC$2:$AC$200,$G396)&gt;0,
    COUNTIFS($AD$2:$AD$200,$G396)&gt;0,
    COUNTIFS($AE$2:$AE$200,$G396)&gt;0,
    COUNTIFS($AF$2:$AF$200,$G396)&gt;0,
    COUNTIFS($AG$2:$AG$200,$G396)&gt;0,
    COUNTIFS($AH$2:$AH$200,$G396)&gt;0,
    COUNTIFS($AI$2:$AI$200,$G396)&gt;0,
    COUNTIFS($AJ$2:$AJ$200,$G396)&gt;0,
    COUNTIFS($AK$2:$AK$200,$G396)&gt;0,
    COUNTIFS($AL$2:$AL$200,$G396)&gt;0,
    COUNTIFS($AM$2:$AM$200,$G396)&gt;0,
    COUNTIFS($AN$2:$AN$200,$G396)&gt;0,
    COUNTIFS($AO$2:$AO$200,$G396)&gt;0,
    COUNTIFS($AP$2:$AP$200,$G396)&gt;0,
    COUNTIFS($AQ$2:$AQ$200,$G396)&gt;0,
    COUNTIFS($AR$2:$AR$200,$G396)&gt;0,
    COUNTIFS($AS$2:$AS$200,$G396)&gt;0,
    COUNTIFS($AT$2:$AT$200,$G396)&gt;0,
    COUNTIFS($AU$2:$AU$200,$G396)&gt;0,
    COUNTIFS($AV$2:$AV$200,$G396)&gt;0,
    COUNTIFS($AW$2:$AW$200,$G396)&gt;0,
    COUNTIFS($AX$2:$AX$200,$G396)&gt;0
   ),
  0)
 ),
"")</f>
        <v/>
      </c>
    </row>
    <row r="397" spans="1:3" x14ac:dyDescent="0.25">
      <c r="A397" s="3" t="str">
        <f t="shared" si="14"/>
        <v/>
      </c>
      <c r="B397" s="3">
        <f t="shared" si="15"/>
        <v>0</v>
      </c>
      <c r="C397" s="3" t="str">
        <f>IFERROR(
 INDEX($U$1:$AX$1,
  MATCH(TRUE,
   CHOOSE({1;2;3;4;5;6;7;8;9;10;11;12;13;14;15;16;17;18;19;20;21;22;23;24;25;26;27;28;29;30;31;32},
    COUNTIFS($U$2:$U$200,$G397)&gt;0,
    COUNTIFS($V$2:$V$200,$G397)&gt;0,
    COUNTIFS($W$2:$W$200,$G397)&gt;0,
    COUNTIFS($X$2:$X$200,$G397)&gt;0,
    COUNTIFS($Y$2:$Y$200,$G397)&gt;0,
    COUNTIFS($Z$2:$Z$200,$G397)&gt;0,
    COUNTIFS($AA$2:$AA$200,$G397)&gt;0,
    COUNTIFS($AB$2:$AB$200,$G397)&gt;0,
    COUNTIFS($AC$2:$AC$200,$G397)&gt;0,
    COUNTIFS($AD$2:$AD$200,$G397)&gt;0,
    COUNTIFS($AE$2:$AE$200,$G397)&gt;0,
    COUNTIFS($AF$2:$AF$200,$G397)&gt;0,
    COUNTIFS($AG$2:$AG$200,$G397)&gt;0,
    COUNTIFS($AH$2:$AH$200,$G397)&gt;0,
    COUNTIFS($AI$2:$AI$200,$G397)&gt;0,
    COUNTIFS($AJ$2:$AJ$200,$G397)&gt;0,
    COUNTIFS($AK$2:$AK$200,$G397)&gt;0,
    COUNTIFS($AL$2:$AL$200,$G397)&gt;0,
    COUNTIFS($AM$2:$AM$200,$G397)&gt;0,
    COUNTIFS($AN$2:$AN$200,$G397)&gt;0,
    COUNTIFS($AO$2:$AO$200,$G397)&gt;0,
    COUNTIFS($AP$2:$AP$200,$G397)&gt;0,
    COUNTIFS($AQ$2:$AQ$200,$G397)&gt;0,
    COUNTIFS($AR$2:$AR$200,$G397)&gt;0,
    COUNTIFS($AS$2:$AS$200,$G397)&gt;0,
    COUNTIFS($AT$2:$AT$200,$G397)&gt;0,
    COUNTIFS($AU$2:$AU$200,$G397)&gt;0,
    COUNTIFS($AV$2:$AV$200,$G397)&gt;0,
    COUNTIFS($AW$2:$AW$200,$G397)&gt;0,
    COUNTIFS($AX$2:$AX$200,$G397)&gt;0
   ),
  0)
 ),
"")</f>
        <v/>
      </c>
    </row>
    <row r="398" spans="1:3" x14ac:dyDescent="0.25">
      <c r="A398" s="3" t="str">
        <f t="shared" si="14"/>
        <v/>
      </c>
      <c r="B398" s="3">
        <f t="shared" si="15"/>
        <v>0</v>
      </c>
      <c r="C398" s="3" t="str">
        <f>IFERROR(
 INDEX($U$1:$AX$1,
  MATCH(TRUE,
   CHOOSE({1;2;3;4;5;6;7;8;9;10;11;12;13;14;15;16;17;18;19;20;21;22;23;24;25;26;27;28;29;30;31;32},
    COUNTIFS($U$2:$U$200,$G398)&gt;0,
    COUNTIFS($V$2:$V$200,$G398)&gt;0,
    COUNTIFS($W$2:$W$200,$G398)&gt;0,
    COUNTIFS($X$2:$X$200,$G398)&gt;0,
    COUNTIFS($Y$2:$Y$200,$G398)&gt;0,
    COUNTIFS($Z$2:$Z$200,$G398)&gt;0,
    COUNTIFS($AA$2:$AA$200,$G398)&gt;0,
    COUNTIFS($AB$2:$AB$200,$G398)&gt;0,
    COUNTIFS($AC$2:$AC$200,$G398)&gt;0,
    COUNTIFS($AD$2:$AD$200,$G398)&gt;0,
    COUNTIFS($AE$2:$AE$200,$G398)&gt;0,
    COUNTIFS($AF$2:$AF$200,$G398)&gt;0,
    COUNTIFS($AG$2:$AG$200,$G398)&gt;0,
    COUNTIFS($AH$2:$AH$200,$G398)&gt;0,
    COUNTIFS($AI$2:$AI$200,$G398)&gt;0,
    COUNTIFS($AJ$2:$AJ$200,$G398)&gt;0,
    COUNTIFS($AK$2:$AK$200,$G398)&gt;0,
    COUNTIFS($AL$2:$AL$200,$G398)&gt;0,
    COUNTIFS($AM$2:$AM$200,$G398)&gt;0,
    COUNTIFS($AN$2:$AN$200,$G398)&gt;0,
    COUNTIFS($AO$2:$AO$200,$G398)&gt;0,
    COUNTIFS($AP$2:$AP$200,$G398)&gt;0,
    COUNTIFS($AQ$2:$AQ$200,$G398)&gt;0,
    COUNTIFS($AR$2:$AR$200,$G398)&gt;0,
    COUNTIFS($AS$2:$AS$200,$G398)&gt;0,
    COUNTIFS($AT$2:$AT$200,$G398)&gt;0,
    COUNTIFS($AU$2:$AU$200,$G398)&gt;0,
    COUNTIFS($AV$2:$AV$200,$G398)&gt;0,
    COUNTIFS($AW$2:$AW$200,$G398)&gt;0,
    COUNTIFS($AX$2:$AX$200,$G398)&gt;0
   ),
  0)
 ),
"")</f>
        <v/>
      </c>
    </row>
    <row r="399" spans="1:3" x14ac:dyDescent="0.25">
      <c r="A399" s="3" t="str">
        <f t="shared" si="14"/>
        <v/>
      </c>
      <c r="B399" s="3">
        <f t="shared" si="15"/>
        <v>0</v>
      </c>
      <c r="C399" s="3" t="str">
        <f>IFERROR(
 INDEX($U$1:$AX$1,
  MATCH(TRUE,
   CHOOSE({1;2;3;4;5;6;7;8;9;10;11;12;13;14;15;16;17;18;19;20;21;22;23;24;25;26;27;28;29;30;31;32},
    COUNTIFS($U$2:$U$200,$G399)&gt;0,
    COUNTIFS($V$2:$V$200,$G399)&gt;0,
    COUNTIFS($W$2:$W$200,$G399)&gt;0,
    COUNTIFS($X$2:$X$200,$G399)&gt;0,
    COUNTIFS($Y$2:$Y$200,$G399)&gt;0,
    COUNTIFS($Z$2:$Z$200,$G399)&gt;0,
    COUNTIFS($AA$2:$AA$200,$G399)&gt;0,
    COUNTIFS($AB$2:$AB$200,$G399)&gt;0,
    COUNTIFS($AC$2:$AC$200,$G399)&gt;0,
    COUNTIFS($AD$2:$AD$200,$G399)&gt;0,
    COUNTIFS($AE$2:$AE$200,$G399)&gt;0,
    COUNTIFS($AF$2:$AF$200,$G399)&gt;0,
    COUNTIFS($AG$2:$AG$200,$G399)&gt;0,
    COUNTIFS($AH$2:$AH$200,$G399)&gt;0,
    COUNTIFS($AI$2:$AI$200,$G399)&gt;0,
    COUNTIFS($AJ$2:$AJ$200,$G399)&gt;0,
    COUNTIFS($AK$2:$AK$200,$G399)&gt;0,
    COUNTIFS($AL$2:$AL$200,$G399)&gt;0,
    COUNTIFS($AM$2:$AM$200,$G399)&gt;0,
    COUNTIFS($AN$2:$AN$200,$G399)&gt;0,
    COUNTIFS($AO$2:$AO$200,$G399)&gt;0,
    COUNTIFS($AP$2:$AP$200,$G399)&gt;0,
    COUNTIFS($AQ$2:$AQ$200,$G399)&gt;0,
    COUNTIFS($AR$2:$AR$200,$G399)&gt;0,
    COUNTIFS($AS$2:$AS$200,$G399)&gt;0,
    COUNTIFS($AT$2:$AT$200,$G399)&gt;0,
    COUNTIFS($AU$2:$AU$200,$G399)&gt;0,
    COUNTIFS($AV$2:$AV$200,$G399)&gt;0,
    COUNTIFS($AW$2:$AW$200,$G399)&gt;0,
    COUNTIFS($AX$2:$AX$200,$G399)&gt;0
   ),
  0)
 ),
"")</f>
        <v/>
      </c>
    </row>
    <row r="400" spans="1:3" x14ac:dyDescent="0.25">
      <c r="A400" s="3" t="str">
        <f t="shared" si="14"/>
        <v/>
      </c>
      <c r="B400" s="3">
        <f t="shared" si="15"/>
        <v>0</v>
      </c>
      <c r="C400" s="3" t="str">
        <f>IFERROR(
 INDEX($U$1:$AX$1,
  MATCH(TRUE,
   CHOOSE({1;2;3;4;5;6;7;8;9;10;11;12;13;14;15;16;17;18;19;20;21;22;23;24;25;26;27;28;29;30;31;32},
    COUNTIFS($U$2:$U$200,$G400)&gt;0,
    COUNTIFS($V$2:$V$200,$G400)&gt;0,
    COUNTIFS($W$2:$W$200,$G400)&gt;0,
    COUNTIFS($X$2:$X$200,$G400)&gt;0,
    COUNTIFS($Y$2:$Y$200,$G400)&gt;0,
    COUNTIFS($Z$2:$Z$200,$G400)&gt;0,
    COUNTIFS($AA$2:$AA$200,$G400)&gt;0,
    COUNTIFS($AB$2:$AB$200,$G400)&gt;0,
    COUNTIFS($AC$2:$AC$200,$G400)&gt;0,
    COUNTIFS($AD$2:$AD$200,$G400)&gt;0,
    COUNTIFS($AE$2:$AE$200,$G400)&gt;0,
    COUNTIFS($AF$2:$AF$200,$G400)&gt;0,
    COUNTIFS($AG$2:$AG$200,$G400)&gt;0,
    COUNTIFS($AH$2:$AH$200,$G400)&gt;0,
    COUNTIFS($AI$2:$AI$200,$G400)&gt;0,
    COUNTIFS($AJ$2:$AJ$200,$G400)&gt;0,
    COUNTIFS($AK$2:$AK$200,$G400)&gt;0,
    COUNTIFS($AL$2:$AL$200,$G400)&gt;0,
    COUNTIFS($AM$2:$AM$200,$G400)&gt;0,
    COUNTIFS($AN$2:$AN$200,$G400)&gt;0,
    COUNTIFS($AO$2:$AO$200,$G400)&gt;0,
    COUNTIFS($AP$2:$AP$200,$G400)&gt;0,
    COUNTIFS($AQ$2:$AQ$200,$G400)&gt;0,
    COUNTIFS($AR$2:$AR$200,$G400)&gt;0,
    COUNTIFS($AS$2:$AS$200,$G400)&gt;0,
    COUNTIFS($AT$2:$AT$200,$G400)&gt;0,
    COUNTIFS($AU$2:$AU$200,$G400)&gt;0,
    COUNTIFS($AV$2:$AV$200,$G400)&gt;0,
    COUNTIFS($AW$2:$AW$200,$G400)&gt;0,
    COUNTIFS($AX$2:$AX$200,$G400)&gt;0
   ),
  0)
 ),
"")</f>
        <v/>
      </c>
    </row>
    <row r="401" spans="1:3" x14ac:dyDescent="0.25">
      <c r="A401" s="3" t="str">
        <f t="shared" si="14"/>
        <v/>
      </c>
      <c r="B401" s="3">
        <f t="shared" si="15"/>
        <v>0</v>
      </c>
      <c r="C401" s="3" t="str">
        <f>IFERROR(
 INDEX($U$1:$AX$1,
  MATCH(TRUE,
   CHOOSE({1;2;3;4;5;6;7;8;9;10;11;12;13;14;15;16;17;18;19;20;21;22;23;24;25;26;27;28;29;30;31;32},
    COUNTIFS($U$2:$U$200,$G401)&gt;0,
    COUNTIFS($V$2:$V$200,$G401)&gt;0,
    COUNTIFS($W$2:$W$200,$G401)&gt;0,
    COUNTIFS($X$2:$X$200,$G401)&gt;0,
    COUNTIFS($Y$2:$Y$200,$G401)&gt;0,
    COUNTIFS($Z$2:$Z$200,$G401)&gt;0,
    COUNTIFS($AA$2:$AA$200,$G401)&gt;0,
    COUNTIFS($AB$2:$AB$200,$G401)&gt;0,
    COUNTIFS($AC$2:$AC$200,$G401)&gt;0,
    COUNTIFS($AD$2:$AD$200,$G401)&gt;0,
    COUNTIFS($AE$2:$AE$200,$G401)&gt;0,
    COUNTIFS($AF$2:$AF$200,$G401)&gt;0,
    COUNTIFS($AG$2:$AG$200,$G401)&gt;0,
    COUNTIFS($AH$2:$AH$200,$G401)&gt;0,
    COUNTIFS($AI$2:$AI$200,$G401)&gt;0,
    COUNTIFS($AJ$2:$AJ$200,$G401)&gt;0,
    COUNTIFS($AK$2:$AK$200,$G401)&gt;0,
    COUNTIFS($AL$2:$AL$200,$G401)&gt;0,
    COUNTIFS($AM$2:$AM$200,$G401)&gt;0,
    COUNTIFS($AN$2:$AN$200,$G401)&gt;0,
    COUNTIFS($AO$2:$AO$200,$G401)&gt;0,
    COUNTIFS($AP$2:$AP$200,$G401)&gt;0,
    COUNTIFS($AQ$2:$AQ$200,$G401)&gt;0,
    COUNTIFS($AR$2:$AR$200,$G401)&gt;0,
    COUNTIFS($AS$2:$AS$200,$G401)&gt;0,
    COUNTIFS($AT$2:$AT$200,$G401)&gt;0,
    COUNTIFS($AU$2:$AU$200,$G401)&gt;0,
    COUNTIFS($AV$2:$AV$200,$G401)&gt;0,
    COUNTIFS($AW$2:$AW$200,$G401)&gt;0,
    COUNTIFS($AX$2:$AX$200,$G401)&gt;0
   ),
  0)
 ),
"")</f>
        <v/>
      </c>
    </row>
    <row r="402" spans="1:3" x14ac:dyDescent="0.25">
      <c r="A402" s="3" t="str">
        <f t="shared" si="14"/>
        <v/>
      </c>
      <c r="B402" s="3">
        <f t="shared" si="15"/>
        <v>0</v>
      </c>
      <c r="C402" s="3" t="str">
        <f>IFERROR(
 INDEX($U$1:$AX$1,
  MATCH(TRUE,
   CHOOSE({1;2;3;4;5;6;7;8;9;10;11;12;13;14;15;16;17;18;19;20;21;22;23;24;25;26;27;28;29;30;31;32},
    COUNTIFS($U$2:$U$200,$G402)&gt;0,
    COUNTIFS($V$2:$V$200,$G402)&gt;0,
    COUNTIFS($W$2:$W$200,$G402)&gt;0,
    COUNTIFS($X$2:$X$200,$G402)&gt;0,
    COUNTIFS($Y$2:$Y$200,$G402)&gt;0,
    COUNTIFS($Z$2:$Z$200,$G402)&gt;0,
    COUNTIFS($AA$2:$AA$200,$G402)&gt;0,
    COUNTIFS($AB$2:$AB$200,$G402)&gt;0,
    COUNTIFS($AC$2:$AC$200,$G402)&gt;0,
    COUNTIFS($AD$2:$AD$200,$G402)&gt;0,
    COUNTIFS($AE$2:$AE$200,$G402)&gt;0,
    COUNTIFS($AF$2:$AF$200,$G402)&gt;0,
    COUNTIFS($AG$2:$AG$200,$G402)&gt;0,
    COUNTIFS($AH$2:$AH$200,$G402)&gt;0,
    COUNTIFS($AI$2:$AI$200,$G402)&gt;0,
    COUNTIFS($AJ$2:$AJ$200,$G402)&gt;0,
    COUNTIFS($AK$2:$AK$200,$G402)&gt;0,
    COUNTIFS($AL$2:$AL$200,$G402)&gt;0,
    COUNTIFS($AM$2:$AM$200,$G402)&gt;0,
    COUNTIFS($AN$2:$AN$200,$G402)&gt;0,
    COUNTIFS($AO$2:$AO$200,$G402)&gt;0,
    COUNTIFS($AP$2:$AP$200,$G402)&gt;0,
    COUNTIFS($AQ$2:$AQ$200,$G402)&gt;0,
    COUNTIFS($AR$2:$AR$200,$G402)&gt;0,
    COUNTIFS($AS$2:$AS$200,$G402)&gt;0,
    COUNTIFS($AT$2:$AT$200,$G402)&gt;0,
    COUNTIFS($AU$2:$AU$200,$G402)&gt;0,
    COUNTIFS($AV$2:$AV$200,$G402)&gt;0,
    COUNTIFS($AW$2:$AW$200,$G402)&gt;0,
    COUNTIFS($AX$2:$AX$200,$G402)&gt;0
   ),
  0)
 ),
"")</f>
        <v/>
      </c>
    </row>
    <row r="403" spans="1:3" x14ac:dyDescent="0.25">
      <c r="A403" s="3" t="str">
        <f t="shared" si="14"/>
        <v/>
      </c>
      <c r="B403" s="3">
        <f t="shared" si="15"/>
        <v>0</v>
      </c>
      <c r="C403" s="3" t="str">
        <f>IFERROR(
 INDEX($U$1:$AX$1,
  MATCH(TRUE,
   CHOOSE({1;2;3;4;5;6;7;8;9;10;11;12;13;14;15;16;17;18;19;20;21;22;23;24;25;26;27;28;29;30;31;32},
    COUNTIFS($U$2:$U$200,$G403)&gt;0,
    COUNTIFS($V$2:$V$200,$G403)&gt;0,
    COUNTIFS($W$2:$W$200,$G403)&gt;0,
    COUNTIFS($X$2:$X$200,$G403)&gt;0,
    COUNTIFS($Y$2:$Y$200,$G403)&gt;0,
    COUNTIFS($Z$2:$Z$200,$G403)&gt;0,
    COUNTIFS($AA$2:$AA$200,$G403)&gt;0,
    COUNTIFS($AB$2:$AB$200,$G403)&gt;0,
    COUNTIFS($AC$2:$AC$200,$G403)&gt;0,
    COUNTIFS($AD$2:$AD$200,$G403)&gt;0,
    COUNTIFS($AE$2:$AE$200,$G403)&gt;0,
    COUNTIFS($AF$2:$AF$200,$G403)&gt;0,
    COUNTIFS($AG$2:$AG$200,$G403)&gt;0,
    COUNTIFS($AH$2:$AH$200,$G403)&gt;0,
    COUNTIFS($AI$2:$AI$200,$G403)&gt;0,
    COUNTIFS($AJ$2:$AJ$200,$G403)&gt;0,
    COUNTIFS($AK$2:$AK$200,$G403)&gt;0,
    COUNTIFS($AL$2:$AL$200,$G403)&gt;0,
    COUNTIFS($AM$2:$AM$200,$G403)&gt;0,
    COUNTIFS($AN$2:$AN$200,$G403)&gt;0,
    COUNTIFS($AO$2:$AO$200,$G403)&gt;0,
    COUNTIFS($AP$2:$AP$200,$G403)&gt;0,
    COUNTIFS($AQ$2:$AQ$200,$G403)&gt;0,
    COUNTIFS($AR$2:$AR$200,$G403)&gt;0,
    COUNTIFS($AS$2:$AS$200,$G403)&gt;0,
    COUNTIFS($AT$2:$AT$200,$G403)&gt;0,
    COUNTIFS($AU$2:$AU$200,$G403)&gt;0,
    COUNTIFS($AV$2:$AV$200,$G403)&gt;0,
    COUNTIFS($AW$2:$AW$200,$G403)&gt;0,
    COUNTIFS($AX$2:$AX$200,$G403)&gt;0
   ),
  0)
 ),
"")</f>
        <v/>
      </c>
    </row>
    <row r="404" spans="1:3" x14ac:dyDescent="0.25">
      <c r="A404" s="3" t="str">
        <f t="shared" si="14"/>
        <v/>
      </c>
      <c r="B404" s="3">
        <f t="shared" si="15"/>
        <v>0</v>
      </c>
      <c r="C404" s="3" t="str">
        <f>IFERROR(
 INDEX($U$1:$AX$1,
  MATCH(TRUE,
   CHOOSE({1;2;3;4;5;6;7;8;9;10;11;12;13;14;15;16;17;18;19;20;21;22;23;24;25;26;27;28;29;30;31;32},
    COUNTIFS($U$2:$U$200,$G404)&gt;0,
    COUNTIFS($V$2:$V$200,$G404)&gt;0,
    COUNTIFS($W$2:$W$200,$G404)&gt;0,
    COUNTIFS($X$2:$X$200,$G404)&gt;0,
    COUNTIFS($Y$2:$Y$200,$G404)&gt;0,
    COUNTIFS($Z$2:$Z$200,$G404)&gt;0,
    COUNTIFS($AA$2:$AA$200,$G404)&gt;0,
    COUNTIFS($AB$2:$AB$200,$G404)&gt;0,
    COUNTIFS($AC$2:$AC$200,$G404)&gt;0,
    COUNTIFS($AD$2:$AD$200,$G404)&gt;0,
    COUNTIFS($AE$2:$AE$200,$G404)&gt;0,
    COUNTIFS($AF$2:$AF$200,$G404)&gt;0,
    COUNTIFS($AG$2:$AG$200,$G404)&gt;0,
    COUNTIFS($AH$2:$AH$200,$G404)&gt;0,
    COUNTIFS($AI$2:$AI$200,$G404)&gt;0,
    COUNTIFS($AJ$2:$AJ$200,$G404)&gt;0,
    COUNTIFS($AK$2:$AK$200,$G404)&gt;0,
    COUNTIFS($AL$2:$AL$200,$G404)&gt;0,
    COUNTIFS($AM$2:$AM$200,$G404)&gt;0,
    COUNTIFS($AN$2:$AN$200,$G404)&gt;0,
    COUNTIFS($AO$2:$AO$200,$G404)&gt;0,
    COUNTIFS($AP$2:$AP$200,$G404)&gt;0,
    COUNTIFS($AQ$2:$AQ$200,$G404)&gt;0,
    COUNTIFS($AR$2:$AR$200,$G404)&gt;0,
    COUNTIFS($AS$2:$AS$200,$G404)&gt;0,
    COUNTIFS($AT$2:$AT$200,$G404)&gt;0,
    COUNTIFS($AU$2:$AU$200,$G404)&gt;0,
    COUNTIFS($AV$2:$AV$200,$G404)&gt;0,
    COUNTIFS($AW$2:$AW$200,$G404)&gt;0,
    COUNTIFS($AX$2:$AX$200,$G404)&gt;0
   ),
  0)
 ),
"")</f>
        <v/>
      </c>
    </row>
    <row r="405" spans="1:3" x14ac:dyDescent="0.25">
      <c r="A405" s="3" t="str">
        <f t="shared" si="14"/>
        <v/>
      </c>
      <c r="B405" s="3">
        <f t="shared" si="15"/>
        <v>0</v>
      </c>
      <c r="C405" s="3" t="str">
        <f>IFERROR(
 INDEX($U$1:$AX$1,
  MATCH(TRUE,
   CHOOSE({1;2;3;4;5;6;7;8;9;10;11;12;13;14;15;16;17;18;19;20;21;22;23;24;25;26;27;28;29;30;31;32},
    COUNTIFS($U$2:$U$200,$G405)&gt;0,
    COUNTIFS($V$2:$V$200,$G405)&gt;0,
    COUNTIFS($W$2:$W$200,$G405)&gt;0,
    COUNTIFS($X$2:$X$200,$G405)&gt;0,
    COUNTIFS($Y$2:$Y$200,$G405)&gt;0,
    COUNTIFS($Z$2:$Z$200,$G405)&gt;0,
    COUNTIFS($AA$2:$AA$200,$G405)&gt;0,
    COUNTIFS($AB$2:$AB$200,$G405)&gt;0,
    COUNTIFS($AC$2:$AC$200,$G405)&gt;0,
    COUNTIFS($AD$2:$AD$200,$G405)&gt;0,
    COUNTIFS($AE$2:$AE$200,$G405)&gt;0,
    COUNTIFS($AF$2:$AF$200,$G405)&gt;0,
    COUNTIFS($AG$2:$AG$200,$G405)&gt;0,
    COUNTIFS($AH$2:$AH$200,$G405)&gt;0,
    COUNTIFS($AI$2:$AI$200,$G405)&gt;0,
    COUNTIFS($AJ$2:$AJ$200,$G405)&gt;0,
    COUNTIFS($AK$2:$AK$200,$G405)&gt;0,
    COUNTIFS($AL$2:$AL$200,$G405)&gt;0,
    COUNTIFS($AM$2:$AM$200,$G405)&gt;0,
    COUNTIFS($AN$2:$AN$200,$G405)&gt;0,
    COUNTIFS($AO$2:$AO$200,$G405)&gt;0,
    COUNTIFS($AP$2:$AP$200,$G405)&gt;0,
    COUNTIFS($AQ$2:$AQ$200,$G405)&gt;0,
    COUNTIFS($AR$2:$AR$200,$G405)&gt;0,
    COUNTIFS($AS$2:$AS$200,$G405)&gt;0,
    COUNTIFS($AT$2:$AT$200,$G405)&gt;0,
    COUNTIFS($AU$2:$AU$200,$G405)&gt;0,
    COUNTIFS($AV$2:$AV$200,$G405)&gt;0,
    COUNTIFS($AW$2:$AW$200,$G405)&gt;0,
    COUNTIFS($AX$2:$AX$200,$G405)&gt;0
   ),
  0)
 ),
"")</f>
        <v/>
      </c>
    </row>
    <row r="406" spans="1:3" x14ac:dyDescent="0.25">
      <c r="A406" s="3" t="str">
        <f t="shared" si="14"/>
        <v/>
      </c>
      <c r="B406" s="3">
        <f t="shared" si="15"/>
        <v>0</v>
      </c>
      <c r="C406" s="3" t="str">
        <f>IFERROR(
 INDEX($U$1:$AX$1,
  MATCH(TRUE,
   CHOOSE({1;2;3;4;5;6;7;8;9;10;11;12;13;14;15;16;17;18;19;20;21;22;23;24;25;26;27;28;29;30;31;32},
    COUNTIFS($U$2:$U$200,$G406)&gt;0,
    COUNTIFS($V$2:$V$200,$G406)&gt;0,
    COUNTIFS($W$2:$W$200,$G406)&gt;0,
    COUNTIFS($X$2:$X$200,$G406)&gt;0,
    COUNTIFS($Y$2:$Y$200,$G406)&gt;0,
    COUNTIFS($Z$2:$Z$200,$G406)&gt;0,
    COUNTIFS($AA$2:$AA$200,$G406)&gt;0,
    COUNTIFS($AB$2:$AB$200,$G406)&gt;0,
    COUNTIFS($AC$2:$AC$200,$G406)&gt;0,
    COUNTIFS($AD$2:$AD$200,$G406)&gt;0,
    COUNTIFS($AE$2:$AE$200,$G406)&gt;0,
    COUNTIFS($AF$2:$AF$200,$G406)&gt;0,
    COUNTIFS($AG$2:$AG$200,$G406)&gt;0,
    COUNTIFS($AH$2:$AH$200,$G406)&gt;0,
    COUNTIFS($AI$2:$AI$200,$G406)&gt;0,
    COUNTIFS($AJ$2:$AJ$200,$G406)&gt;0,
    COUNTIFS($AK$2:$AK$200,$G406)&gt;0,
    COUNTIFS($AL$2:$AL$200,$G406)&gt;0,
    COUNTIFS($AM$2:$AM$200,$G406)&gt;0,
    COUNTIFS($AN$2:$AN$200,$G406)&gt;0,
    COUNTIFS($AO$2:$AO$200,$G406)&gt;0,
    COUNTIFS($AP$2:$AP$200,$G406)&gt;0,
    COUNTIFS($AQ$2:$AQ$200,$G406)&gt;0,
    COUNTIFS($AR$2:$AR$200,$G406)&gt;0,
    COUNTIFS($AS$2:$AS$200,$G406)&gt;0,
    COUNTIFS($AT$2:$AT$200,$G406)&gt;0,
    COUNTIFS($AU$2:$AU$200,$G406)&gt;0,
    COUNTIFS($AV$2:$AV$200,$G406)&gt;0,
    COUNTIFS($AW$2:$AW$200,$G406)&gt;0,
    COUNTIFS($AX$2:$AX$200,$G406)&gt;0
   ),
  0)
 ),
"")</f>
        <v/>
      </c>
    </row>
    <row r="407" spans="1:3" x14ac:dyDescent="0.25">
      <c r="A407" s="3" t="str">
        <f t="shared" si="14"/>
        <v/>
      </c>
      <c r="B407" s="3">
        <f t="shared" si="15"/>
        <v>0</v>
      </c>
      <c r="C407" s="3" t="str">
        <f>IFERROR(
 INDEX($U$1:$AX$1,
  MATCH(TRUE,
   CHOOSE({1;2;3;4;5;6;7;8;9;10;11;12;13;14;15;16;17;18;19;20;21;22;23;24;25;26;27;28;29;30;31;32},
    COUNTIFS($U$2:$U$200,$G407)&gt;0,
    COUNTIFS($V$2:$V$200,$G407)&gt;0,
    COUNTIFS($W$2:$W$200,$G407)&gt;0,
    COUNTIFS($X$2:$X$200,$G407)&gt;0,
    COUNTIFS($Y$2:$Y$200,$G407)&gt;0,
    COUNTIFS($Z$2:$Z$200,$G407)&gt;0,
    COUNTIFS($AA$2:$AA$200,$G407)&gt;0,
    COUNTIFS($AB$2:$AB$200,$G407)&gt;0,
    COUNTIFS($AC$2:$AC$200,$G407)&gt;0,
    COUNTIFS($AD$2:$AD$200,$G407)&gt;0,
    COUNTIFS($AE$2:$AE$200,$G407)&gt;0,
    COUNTIFS($AF$2:$AF$200,$G407)&gt;0,
    COUNTIFS($AG$2:$AG$200,$G407)&gt;0,
    COUNTIFS($AH$2:$AH$200,$G407)&gt;0,
    COUNTIFS($AI$2:$AI$200,$G407)&gt;0,
    COUNTIFS($AJ$2:$AJ$200,$G407)&gt;0,
    COUNTIFS($AK$2:$AK$200,$G407)&gt;0,
    COUNTIFS($AL$2:$AL$200,$G407)&gt;0,
    COUNTIFS($AM$2:$AM$200,$G407)&gt;0,
    COUNTIFS($AN$2:$AN$200,$G407)&gt;0,
    COUNTIFS($AO$2:$AO$200,$G407)&gt;0,
    COUNTIFS($AP$2:$AP$200,$G407)&gt;0,
    COUNTIFS($AQ$2:$AQ$200,$G407)&gt;0,
    COUNTIFS($AR$2:$AR$200,$G407)&gt;0,
    COUNTIFS($AS$2:$AS$200,$G407)&gt;0,
    COUNTIFS($AT$2:$AT$200,$G407)&gt;0,
    COUNTIFS($AU$2:$AU$200,$G407)&gt;0,
    COUNTIFS($AV$2:$AV$200,$G407)&gt;0,
    COUNTIFS($AW$2:$AW$200,$G407)&gt;0,
    COUNTIFS($AX$2:$AX$200,$G407)&gt;0
   ),
  0)
 ),
"")</f>
        <v/>
      </c>
    </row>
    <row r="408" spans="1:3" x14ac:dyDescent="0.25">
      <c r="A408" s="3" t="str">
        <f t="shared" si="14"/>
        <v/>
      </c>
      <c r="B408" s="3">
        <f t="shared" si="15"/>
        <v>0</v>
      </c>
      <c r="C408" s="3" t="str">
        <f>IFERROR(
 INDEX($U$1:$AX$1,
  MATCH(TRUE,
   CHOOSE({1;2;3;4;5;6;7;8;9;10;11;12;13;14;15;16;17;18;19;20;21;22;23;24;25;26;27;28;29;30;31;32},
    COUNTIFS($U$2:$U$200,$G408)&gt;0,
    COUNTIFS($V$2:$V$200,$G408)&gt;0,
    COUNTIFS($W$2:$W$200,$G408)&gt;0,
    COUNTIFS($X$2:$X$200,$G408)&gt;0,
    COUNTIFS($Y$2:$Y$200,$G408)&gt;0,
    COUNTIFS($Z$2:$Z$200,$G408)&gt;0,
    COUNTIFS($AA$2:$AA$200,$G408)&gt;0,
    COUNTIFS($AB$2:$AB$200,$G408)&gt;0,
    COUNTIFS($AC$2:$AC$200,$G408)&gt;0,
    COUNTIFS($AD$2:$AD$200,$G408)&gt;0,
    COUNTIFS($AE$2:$AE$200,$G408)&gt;0,
    COUNTIFS($AF$2:$AF$200,$G408)&gt;0,
    COUNTIFS($AG$2:$AG$200,$G408)&gt;0,
    COUNTIFS($AH$2:$AH$200,$G408)&gt;0,
    COUNTIFS($AI$2:$AI$200,$G408)&gt;0,
    COUNTIFS($AJ$2:$AJ$200,$G408)&gt;0,
    COUNTIFS($AK$2:$AK$200,$G408)&gt;0,
    COUNTIFS($AL$2:$AL$200,$G408)&gt;0,
    COUNTIFS($AM$2:$AM$200,$G408)&gt;0,
    COUNTIFS($AN$2:$AN$200,$G408)&gt;0,
    COUNTIFS($AO$2:$AO$200,$G408)&gt;0,
    COUNTIFS($AP$2:$AP$200,$G408)&gt;0,
    COUNTIFS($AQ$2:$AQ$200,$G408)&gt;0,
    COUNTIFS($AR$2:$AR$200,$G408)&gt;0,
    COUNTIFS($AS$2:$AS$200,$G408)&gt;0,
    COUNTIFS($AT$2:$AT$200,$G408)&gt;0,
    COUNTIFS($AU$2:$AU$200,$G408)&gt;0,
    COUNTIFS($AV$2:$AV$200,$G408)&gt;0,
    COUNTIFS($AW$2:$AW$200,$G408)&gt;0,
    COUNTIFS($AX$2:$AX$200,$G408)&gt;0
   ),
  0)
 ),
"")</f>
        <v/>
      </c>
    </row>
    <row r="409" spans="1:3" x14ac:dyDescent="0.25">
      <c r="A409" s="3" t="str">
        <f t="shared" si="14"/>
        <v/>
      </c>
      <c r="B409" s="3">
        <f t="shared" si="15"/>
        <v>0</v>
      </c>
      <c r="C409" s="3" t="str">
        <f>IFERROR(
 INDEX($U$1:$AX$1,
  MATCH(TRUE,
   CHOOSE({1;2;3;4;5;6;7;8;9;10;11;12;13;14;15;16;17;18;19;20;21;22;23;24;25;26;27;28;29;30;31;32},
    COUNTIFS($U$2:$U$200,$G409)&gt;0,
    COUNTIFS($V$2:$V$200,$G409)&gt;0,
    COUNTIFS($W$2:$W$200,$G409)&gt;0,
    COUNTIFS($X$2:$X$200,$G409)&gt;0,
    COUNTIFS($Y$2:$Y$200,$G409)&gt;0,
    COUNTIFS($Z$2:$Z$200,$G409)&gt;0,
    COUNTIFS($AA$2:$AA$200,$G409)&gt;0,
    COUNTIFS($AB$2:$AB$200,$G409)&gt;0,
    COUNTIFS($AC$2:$AC$200,$G409)&gt;0,
    COUNTIFS($AD$2:$AD$200,$G409)&gt;0,
    COUNTIFS($AE$2:$AE$200,$G409)&gt;0,
    COUNTIFS($AF$2:$AF$200,$G409)&gt;0,
    COUNTIFS($AG$2:$AG$200,$G409)&gt;0,
    COUNTIFS($AH$2:$AH$200,$G409)&gt;0,
    COUNTIFS($AI$2:$AI$200,$G409)&gt;0,
    COUNTIFS($AJ$2:$AJ$200,$G409)&gt;0,
    COUNTIFS($AK$2:$AK$200,$G409)&gt;0,
    COUNTIFS($AL$2:$AL$200,$G409)&gt;0,
    COUNTIFS($AM$2:$AM$200,$G409)&gt;0,
    COUNTIFS($AN$2:$AN$200,$G409)&gt;0,
    COUNTIFS($AO$2:$AO$200,$G409)&gt;0,
    COUNTIFS($AP$2:$AP$200,$G409)&gt;0,
    COUNTIFS($AQ$2:$AQ$200,$G409)&gt;0,
    COUNTIFS($AR$2:$AR$200,$G409)&gt;0,
    COUNTIFS($AS$2:$AS$200,$G409)&gt;0,
    COUNTIFS($AT$2:$AT$200,$G409)&gt;0,
    COUNTIFS($AU$2:$AU$200,$G409)&gt;0,
    COUNTIFS($AV$2:$AV$200,$G409)&gt;0,
    COUNTIFS($AW$2:$AW$200,$G409)&gt;0,
    COUNTIFS($AX$2:$AX$200,$G409)&gt;0
   ),
  0)
 ),
"")</f>
        <v/>
      </c>
    </row>
    <row r="410" spans="1:3" x14ac:dyDescent="0.25">
      <c r="A410" s="3" t="str">
        <f t="shared" si="14"/>
        <v/>
      </c>
      <c r="B410" s="3">
        <f t="shared" si="15"/>
        <v>0</v>
      </c>
      <c r="C410" s="3" t="str">
        <f>IFERROR(
 INDEX($U$1:$AX$1,
  MATCH(TRUE,
   CHOOSE({1;2;3;4;5;6;7;8;9;10;11;12;13;14;15;16;17;18;19;20;21;22;23;24;25;26;27;28;29;30;31;32},
    COUNTIFS($U$2:$U$200,$G410)&gt;0,
    COUNTIFS($V$2:$V$200,$G410)&gt;0,
    COUNTIFS($W$2:$W$200,$G410)&gt;0,
    COUNTIFS($X$2:$X$200,$G410)&gt;0,
    COUNTIFS($Y$2:$Y$200,$G410)&gt;0,
    COUNTIFS($Z$2:$Z$200,$G410)&gt;0,
    COUNTIFS($AA$2:$AA$200,$G410)&gt;0,
    COUNTIFS($AB$2:$AB$200,$G410)&gt;0,
    COUNTIFS($AC$2:$AC$200,$G410)&gt;0,
    COUNTIFS($AD$2:$AD$200,$G410)&gt;0,
    COUNTIFS($AE$2:$AE$200,$G410)&gt;0,
    COUNTIFS($AF$2:$AF$200,$G410)&gt;0,
    COUNTIFS($AG$2:$AG$200,$G410)&gt;0,
    COUNTIFS($AH$2:$AH$200,$G410)&gt;0,
    COUNTIFS($AI$2:$AI$200,$G410)&gt;0,
    COUNTIFS($AJ$2:$AJ$200,$G410)&gt;0,
    COUNTIFS($AK$2:$AK$200,$G410)&gt;0,
    COUNTIFS($AL$2:$AL$200,$G410)&gt;0,
    COUNTIFS($AM$2:$AM$200,$G410)&gt;0,
    COUNTIFS($AN$2:$AN$200,$G410)&gt;0,
    COUNTIFS($AO$2:$AO$200,$G410)&gt;0,
    COUNTIFS($AP$2:$AP$200,$G410)&gt;0,
    COUNTIFS($AQ$2:$AQ$200,$G410)&gt;0,
    COUNTIFS($AR$2:$AR$200,$G410)&gt;0,
    COUNTIFS($AS$2:$AS$200,$G410)&gt;0,
    COUNTIFS($AT$2:$AT$200,$G410)&gt;0,
    COUNTIFS($AU$2:$AU$200,$G410)&gt;0,
    COUNTIFS($AV$2:$AV$200,$G410)&gt;0,
    COUNTIFS($AW$2:$AW$200,$G410)&gt;0,
    COUNTIFS($AX$2:$AX$200,$G410)&gt;0
   ),
  0)
 ),
"")</f>
        <v/>
      </c>
    </row>
    <row r="411" spans="1:3" x14ac:dyDescent="0.25">
      <c r="A411" s="3" t="str">
        <f t="shared" si="14"/>
        <v/>
      </c>
      <c r="B411" s="3">
        <f t="shared" si="15"/>
        <v>0</v>
      </c>
      <c r="C411" s="3" t="str">
        <f>IFERROR(
 INDEX($U$1:$AX$1,
  MATCH(TRUE,
   CHOOSE({1;2;3;4;5;6;7;8;9;10;11;12;13;14;15;16;17;18;19;20;21;22;23;24;25;26;27;28;29;30;31;32},
    COUNTIFS($U$2:$U$200,$G411)&gt;0,
    COUNTIFS($V$2:$V$200,$G411)&gt;0,
    COUNTIFS($W$2:$W$200,$G411)&gt;0,
    COUNTIFS($X$2:$X$200,$G411)&gt;0,
    COUNTIFS($Y$2:$Y$200,$G411)&gt;0,
    COUNTIFS($Z$2:$Z$200,$G411)&gt;0,
    COUNTIFS($AA$2:$AA$200,$G411)&gt;0,
    COUNTIFS($AB$2:$AB$200,$G411)&gt;0,
    COUNTIFS($AC$2:$AC$200,$G411)&gt;0,
    COUNTIFS($AD$2:$AD$200,$G411)&gt;0,
    COUNTIFS($AE$2:$AE$200,$G411)&gt;0,
    COUNTIFS($AF$2:$AF$200,$G411)&gt;0,
    COUNTIFS($AG$2:$AG$200,$G411)&gt;0,
    COUNTIFS($AH$2:$AH$200,$G411)&gt;0,
    COUNTIFS($AI$2:$AI$200,$G411)&gt;0,
    COUNTIFS($AJ$2:$AJ$200,$G411)&gt;0,
    COUNTIFS($AK$2:$AK$200,$G411)&gt;0,
    COUNTIFS($AL$2:$AL$200,$G411)&gt;0,
    COUNTIFS($AM$2:$AM$200,$G411)&gt;0,
    COUNTIFS($AN$2:$AN$200,$G411)&gt;0,
    COUNTIFS($AO$2:$AO$200,$G411)&gt;0,
    COUNTIFS($AP$2:$AP$200,$G411)&gt;0,
    COUNTIFS($AQ$2:$AQ$200,$G411)&gt;0,
    COUNTIFS($AR$2:$AR$200,$G411)&gt;0,
    COUNTIFS($AS$2:$AS$200,$G411)&gt;0,
    COUNTIFS($AT$2:$AT$200,$G411)&gt;0,
    COUNTIFS($AU$2:$AU$200,$G411)&gt;0,
    COUNTIFS($AV$2:$AV$200,$G411)&gt;0,
    COUNTIFS($AW$2:$AW$200,$G411)&gt;0,
    COUNTIFS($AX$2:$AX$200,$G411)&gt;0
   ),
  0)
 ),
"")</f>
        <v/>
      </c>
    </row>
    <row r="412" spans="1:3" x14ac:dyDescent="0.25">
      <c r="A412" s="3" t="str">
        <f t="shared" si="14"/>
        <v/>
      </c>
      <c r="B412" s="3">
        <f t="shared" si="15"/>
        <v>0</v>
      </c>
      <c r="C412" s="3" t="str">
        <f>IFERROR(
 INDEX($U$1:$AX$1,
  MATCH(TRUE,
   CHOOSE({1;2;3;4;5;6;7;8;9;10;11;12;13;14;15;16;17;18;19;20;21;22;23;24;25;26;27;28;29;30;31;32},
    COUNTIFS($U$2:$U$200,$G412)&gt;0,
    COUNTIFS($V$2:$V$200,$G412)&gt;0,
    COUNTIFS($W$2:$W$200,$G412)&gt;0,
    COUNTIFS($X$2:$X$200,$G412)&gt;0,
    COUNTIFS($Y$2:$Y$200,$G412)&gt;0,
    COUNTIFS($Z$2:$Z$200,$G412)&gt;0,
    COUNTIFS($AA$2:$AA$200,$G412)&gt;0,
    COUNTIFS($AB$2:$AB$200,$G412)&gt;0,
    COUNTIFS($AC$2:$AC$200,$G412)&gt;0,
    COUNTIFS($AD$2:$AD$200,$G412)&gt;0,
    COUNTIFS($AE$2:$AE$200,$G412)&gt;0,
    COUNTIFS($AF$2:$AF$200,$G412)&gt;0,
    COUNTIFS($AG$2:$AG$200,$G412)&gt;0,
    COUNTIFS($AH$2:$AH$200,$G412)&gt;0,
    COUNTIFS($AI$2:$AI$200,$G412)&gt;0,
    COUNTIFS($AJ$2:$AJ$200,$G412)&gt;0,
    COUNTIFS($AK$2:$AK$200,$G412)&gt;0,
    COUNTIFS($AL$2:$AL$200,$G412)&gt;0,
    COUNTIFS($AM$2:$AM$200,$G412)&gt;0,
    COUNTIFS($AN$2:$AN$200,$G412)&gt;0,
    COUNTIFS($AO$2:$AO$200,$G412)&gt;0,
    COUNTIFS($AP$2:$AP$200,$G412)&gt;0,
    COUNTIFS($AQ$2:$AQ$200,$G412)&gt;0,
    COUNTIFS($AR$2:$AR$200,$G412)&gt;0,
    COUNTIFS($AS$2:$AS$200,$G412)&gt;0,
    COUNTIFS($AT$2:$AT$200,$G412)&gt;0,
    COUNTIFS($AU$2:$AU$200,$G412)&gt;0,
    COUNTIFS($AV$2:$AV$200,$G412)&gt;0,
    COUNTIFS($AW$2:$AW$200,$G412)&gt;0,
    COUNTIFS($AX$2:$AX$200,$G412)&gt;0
   ),
  0)
 ),
"")</f>
        <v/>
      </c>
    </row>
    <row r="413" spans="1:3" x14ac:dyDescent="0.25">
      <c r="A413" s="3" t="str">
        <f t="shared" si="14"/>
        <v/>
      </c>
      <c r="B413" s="3">
        <f t="shared" si="15"/>
        <v>0</v>
      </c>
      <c r="C413" s="3" t="str">
        <f>IFERROR(
 INDEX($U$1:$AX$1,
  MATCH(TRUE,
   CHOOSE({1;2;3;4;5;6;7;8;9;10;11;12;13;14;15;16;17;18;19;20;21;22;23;24;25;26;27;28;29;30;31;32},
    COUNTIFS($U$2:$U$200,$G413)&gt;0,
    COUNTIFS($V$2:$V$200,$G413)&gt;0,
    COUNTIFS($W$2:$W$200,$G413)&gt;0,
    COUNTIFS($X$2:$X$200,$G413)&gt;0,
    COUNTIFS($Y$2:$Y$200,$G413)&gt;0,
    COUNTIFS($Z$2:$Z$200,$G413)&gt;0,
    COUNTIFS($AA$2:$AA$200,$G413)&gt;0,
    COUNTIFS($AB$2:$AB$200,$G413)&gt;0,
    COUNTIFS($AC$2:$AC$200,$G413)&gt;0,
    COUNTIFS($AD$2:$AD$200,$G413)&gt;0,
    COUNTIFS($AE$2:$AE$200,$G413)&gt;0,
    COUNTIFS($AF$2:$AF$200,$G413)&gt;0,
    COUNTIFS($AG$2:$AG$200,$G413)&gt;0,
    COUNTIFS($AH$2:$AH$200,$G413)&gt;0,
    COUNTIFS($AI$2:$AI$200,$G413)&gt;0,
    COUNTIFS($AJ$2:$AJ$200,$G413)&gt;0,
    COUNTIFS($AK$2:$AK$200,$G413)&gt;0,
    COUNTIFS($AL$2:$AL$200,$G413)&gt;0,
    COUNTIFS($AM$2:$AM$200,$G413)&gt;0,
    COUNTIFS($AN$2:$AN$200,$G413)&gt;0,
    COUNTIFS($AO$2:$AO$200,$G413)&gt;0,
    COUNTIFS($AP$2:$AP$200,$G413)&gt;0,
    COUNTIFS($AQ$2:$AQ$200,$G413)&gt;0,
    COUNTIFS($AR$2:$AR$200,$G413)&gt;0,
    COUNTIFS($AS$2:$AS$200,$G413)&gt;0,
    COUNTIFS($AT$2:$AT$200,$G413)&gt;0,
    COUNTIFS($AU$2:$AU$200,$G413)&gt;0,
    COUNTIFS($AV$2:$AV$200,$G413)&gt;0,
    COUNTIFS($AW$2:$AW$200,$G413)&gt;0,
    COUNTIFS($AX$2:$AX$200,$G413)&gt;0
   ),
  0)
 ),
"")</f>
        <v/>
      </c>
    </row>
    <row r="414" spans="1:3" x14ac:dyDescent="0.25">
      <c r="A414" s="3" t="str">
        <f t="shared" si="14"/>
        <v/>
      </c>
      <c r="B414" s="3">
        <f t="shared" si="15"/>
        <v>0</v>
      </c>
      <c r="C414" s="3" t="str">
        <f>IFERROR(
 INDEX($U$1:$AX$1,
  MATCH(TRUE,
   CHOOSE({1;2;3;4;5;6;7;8;9;10;11;12;13;14;15;16;17;18;19;20;21;22;23;24;25;26;27;28;29;30;31;32},
    COUNTIFS($U$2:$U$200,$G414)&gt;0,
    COUNTIFS($V$2:$V$200,$G414)&gt;0,
    COUNTIFS($W$2:$W$200,$G414)&gt;0,
    COUNTIFS($X$2:$X$200,$G414)&gt;0,
    COUNTIFS($Y$2:$Y$200,$G414)&gt;0,
    COUNTIFS($Z$2:$Z$200,$G414)&gt;0,
    COUNTIFS($AA$2:$AA$200,$G414)&gt;0,
    COUNTIFS($AB$2:$AB$200,$G414)&gt;0,
    COUNTIFS($AC$2:$AC$200,$G414)&gt;0,
    COUNTIFS($AD$2:$AD$200,$G414)&gt;0,
    COUNTIFS($AE$2:$AE$200,$G414)&gt;0,
    COUNTIFS($AF$2:$AF$200,$G414)&gt;0,
    COUNTIFS($AG$2:$AG$200,$G414)&gt;0,
    COUNTIFS($AH$2:$AH$200,$G414)&gt;0,
    COUNTIFS($AI$2:$AI$200,$G414)&gt;0,
    COUNTIFS($AJ$2:$AJ$200,$G414)&gt;0,
    COUNTIFS($AK$2:$AK$200,$G414)&gt;0,
    COUNTIFS($AL$2:$AL$200,$G414)&gt;0,
    COUNTIFS($AM$2:$AM$200,$G414)&gt;0,
    COUNTIFS($AN$2:$AN$200,$G414)&gt;0,
    COUNTIFS($AO$2:$AO$200,$G414)&gt;0,
    COUNTIFS($AP$2:$AP$200,$G414)&gt;0,
    COUNTIFS($AQ$2:$AQ$200,$G414)&gt;0,
    COUNTIFS($AR$2:$AR$200,$G414)&gt;0,
    COUNTIFS($AS$2:$AS$200,$G414)&gt;0,
    COUNTIFS($AT$2:$AT$200,$G414)&gt;0,
    COUNTIFS($AU$2:$AU$200,$G414)&gt;0,
    COUNTIFS($AV$2:$AV$200,$G414)&gt;0,
    COUNTIFS($AW$2:$AW$200,$G414)&gt;0,
    COUNTIFS($AX$2:$AX$200,$G414)&gt;0
   ),
  0)
 ),
"")</f>
        <v/>
      </c>
    </row>
    <row r="415" spans="1:3" x14ac:dyDescent="0.25">
      <c r="A415" s="3" t="str">
        <f t="shared" si="14"/>
        <v/>
      </c>
      <c r="B415" s="3">
        <f t="shared" si="15"/>
        <v>0</v>
      </c>
      <c r="C415" s="3" t="str">
        <f>IFERROR(
 INDEX($U$1:$AX$1,
  MATCH(TRUE,
   CHOOSE({1;2;3;4;5;6;7;8;9;10;11;12;13;14;15;16;17;18;19;20;21;22;23;24;25;26;27;28;29;30;31;32},
    COUNTIFS($U$2:$U$200,$G415)&gt;0,
    COUNTIFS($V$2:$V$200,$G415)&gt;0,
    COUNTIFS($W$2:$W$200,$G415)&gt;0,
    COUNTIFS($X$2:$X$200,$G415)&gt;0,
    COUNTIFS($Y$2:$Y$200,$G415)&gt;0,
    COUNTIFS($Z$2:$Z$200,$G415)&gt;0,
    COUNTIFS($AA$2:$AA$200,$G415)&gt;0,
    COUNTIFS($AB$2:$AB$200,$G415)&gt;0,
    COUNTIFS($AC$2:$AC$200,$G415)&gt;0,
    COUNTIFS($AD$2:$AD$200,$G415)&gt;0,
    COUNTIFS($AE$2:$AE$200,$G415)&gt;0,
    COUNTIFS($AF$2:$AF$200,$G415)&gt;0,
    COUNTIFS($AG$2:$AG$200,$G415)&gt;0,
    COUNTIFS($AH$2:$AH$200,$G415)&gt;0,
    COUNTIFS($AI$2:$AI$200,$G415)&gt;0,
    COUNTIFS($AJ$2:$AJ$200,$G415)&gt;0,
    COUNTIFS($AK$2:$AK$200,$G415)&gt;0,
    COUNTIFS($AL$2:$AL$200,$G415)&gt;0,
    COUNTIFS($AM$2:$AM$200,$G415)&gt;0,
    COUNTIFS($AN$2:$AN$200,$G415)&gt;0,
    COUNTIFS($AO$2:$AO$200,$G415)&gt;0,
    COUNTIFS($AP$2:$AP$200,$G415)&gt;0,
    COUNTIFS($AQ$2:$AQ$200,$G415)&gt;0,
    COUNTIFS($AR$2:$AR$200,$G415)&gt;0,
    COUNTIFS($AS$2:$AS$200,$G415)&gt;0,
    COUNTIFS($AT$2:$AT$200,$G415)&gt;0,
    COUNTIFS($AU$2:$AU$200,$G415)&gt;0,
    COUNTIFS($AV$2:$AV$200,$G415)&gt;0,
    COUNTIFS($AW$2:$AW$200,$G415)&gt;0,
    COUNTIFS($AX$2:$AX$200,$G415)&gt;0
   ),
  0)
 ),
"")</f>
        <v/>
      </c>
    </row>
    <row r="416" spans="1:3" x14ac:dyDescent="0.25">
      <c r="A416" s="3" t="str">
        <f t="shared" si="14"/>
        <v/>
      </c>
      <c r="B416" s="3">
        <f t="shared" si="15"/>
        <v>0</v>
      </c>
      <c r="C416" s="3" t="str">
        <f>IFERROR(
 INDEX($U$1:$AX$1,
  MATCH(TRUE,
   CHOOSE({1;2;3;4;5;6;7;8;9;10;11;12;13;14;15;16;17;18;19;20;21;22;23;24;25;26;27;28;29;30;31;32},
    COUNTIFS($U$2:$U$200,$G416)&gt;0,
    COUNTIFS($V$2:$V$200,$G416)&gt;0,
    COUNTIFS($W$2:$W$200,$G416)&gt;0,
    COUNTIFS($X$2:$X$200,$G416)&gt;0,
    COUNTIFS($Y$2:$Y$200,$G416)&gt;0,
    COUNTIFS($Z$2:$Z$200,$G416)&gt;0,
    COUNTIFS($AA$2:$AA$200,$G416)&gt;0,
    COUNTIFS($AB$2:$AB$200,$G416)&gt;0,
    COUNTIFS($AC$2:$AC$200,$G416)&gt;0,
    COUNTIFS($AD$2:$AD$200,$G416)&gt;0,
    COUNTIFS($AE$2:$AE$200,$G416)&gt;0,
    COUNTIFS($AF$2:$AF$200,$G416)&gt;0,
    COUNTIFS($AG$2:$AG$200,$G416)&gt;0,
    COUNTIFS($AH$2:$AH$200,$G416)&gt;0,
    COUNTIFS($AI$2:$AI$200,$G416)&gt;0,
    COUNTIFS($AJ$2:$AJ$200,$G416)&gt;0,
    COUNTIFS($AK$2:$AK$200,$G416)&gt;0,
    COUNTIFS($AL$2:$AL$200,$G416)&gt;0,
    COUNTIFS($AM$2:$AM$200,$G416)&gt;0,
    COUNTIFS($AN$2:$AN$200,$G416)&gt;0,
    COUNTIFS($AO$2:$AO$200,$G416)&gt;0,
    COUNTIFS($AP$2:$AP$200,$G416)&gt;0,
    COUNTIFS($AQ$2:$AQ$200,$G416)&gt;0,
    COUNTIFS($AR$2:$AR$200,$G416)&gt;0,
    COUNTIFS($AS$2:$AS$200,$G416)&gt;0,
    COUNTIFS($AT$2:$AT$200,$G416)&gt;0,
    COUNTIFS($AU$2:$AU$200,$G416)&gt;0,
    COUNTIFS($AV$2:$AV$200,$G416)&gt;0,
    COUNTIFS($AW$2:$AW$200,$G416)&gt;0,
    COUNTIFS($AX$2:$AX$200,$G416)&gt;0
   ),
  0)
 ),
"")</f>
        <v/>
      </c>
    </row>
    <row r="417" spans="1:3" x14ac:dyDescent="0.25">
      <c r="A417" s="3" t="str">
        <f t="shared" si="14"/>
        <v/>
      </c>
      <c r="B417" s="3">
        <f t="shared" si="15"/>
        <v>0</v>
      </c>
      <c r="C417" s="3" t="str">
        <f>IFERROR(
 INDEX($U$1:$AX$1,
  MATCH(TRUE,
   CHOOSE({1;2;3;4;5;6;7;8;9;10;11;12;13;14;15;16;17;18;19;20;21;22;23;24;25;26;27;28;29;30;31;32},
    COUNTIFS($U$2:$U$200,$G417)&gt;0,
    COUNTIFS($V$2:$V$200,$G417)&gt;0,
    COUNTIFS($W$2:$W$200,$G417)&gt;0,
    COUNTIFS($X$2:$X$200,$G417)&gt;0,
    COUNTIFS($Y$2:$Y$200,$G417)&gt;0,
    COUNTIFS($Z$2:$Z$200,$G417)&gt;0,
    COUNTIFS($AA$2:$AA$200,$G417)&gt;0,
    COUNTIFS($AB$2:$AB$200,$G417)&gt;0,
    COUNTIFS($AC$2:$AC$200,$G417)&gt;0,
    COUNTIFS($AD$2:$AD$200,$G417)&gt;0,
    COUNTIFS($AE$2:$AE$200,$G417)&gt;0,
    COUNTIFS($AF$2:$AF$200,$G417)&gt;0,
    COUNTIFS($AG$2:$AG$200,$G417)&gt;0,
    COUNTIFS($AH$2:$AH$200,$G417)&gt;0,
    COUNTIFS($AI$2:$AI$200,$G417)&gt;0,
    COUNTIFS($AJ$2:$AJ$200,$G417)&gt;0,
    COUNTIFS($AK$2:$AK$200,$G417)&gt;0,
    COUNTIFS($AL$2:$AL$200,$G417)&gt;0,
    COUNTIFS($AM$2:$AM$200,$G417)&gt;0,
    COUNTIFS($AN$2:$AN$200,$G417)&gt;0,
    COUNTIFS($AO$2:$AO$200,$G417)&gt;0,
    COUNTIFS($AP$2:$AP$200,$G417)&gt;0,
    COUNTIFS($AQ$2:$AQ$200,$G417)&gt;0,
    COUNTIFS($AR$2:$AR$200,$G417)&gt;0,
    COUNTIFS($AS$2:$AS$200,$G417)&gt;0,
    COUNTIFS($AT$2:$AT$200,$G417)&gt;0,
    COUNTIFS($AU$2:$AU$200,$G417)&gt;0,
    COUNTIFS($AV$2:$AV$200,$G417)&gt;0,
    COUNTIFS($AW$2:$AW$200,$G417)&gt;0,
    COUNTIFS($AX$2:$AX$200,$G417)&gt;0
   ),
  0)
 ),
"")</f>
        <v/>
      </c>
    </row>
    <row r="418" spans="1:3" x14ac:dyDescent="0.25">
      <c r="A418" s="3" t="str">
        <f t="shared" si="14"/>
        <v/>
      </c>
      <c r="B418" s="3">
        <f t="shared" si="15"/>
        <v>0</v>
      </c>
      <c r="C418" s="3" t="str">
        <f>IFERROR(
 INDEX($U$1:$AX$1,
  MATCH(TRUE,
   CHOOSE({1;2;3;4;5;6;7;8;9;10;11;12;13;14;15;16;17;18;19;20;21;22;23;24;25;26;27;28;29;30;31;32},
    COUNTIFS($U$2:$U$200,$G418)&gt;0,
    COUNTIFS($V$2:$V$200,$G418)&gt;0,
    COUNTIFS($W$2:$W$200,$G418)&gt;0,
    COUNTIFS($X$2:$X$200,$G418)&gt;0,
    COUNTIFS($Y$2:$Y$200,$G418)&gt;0,
    COUNTIFS($Z$2:$Z$200,$G418)&gt;0,
    COUNTIFS($AA$2:$AA$200,$G418)&gt;0,
    COUNTIFS($AB$2:$AB$200,$G418)&gt;0,
    COUNTIFS($AC$2:$AC$200,$G418)&gt;0,
    COUNTIFS($AD$2:$AD$200,$G418)&gt;0,
    COUNTIFS($AE$2:$AE$200,$G418)&gt;0,
    COUNTIFS($AF$2:$AF$200,$G418)&gt;0,
    COUNTIFS($AG$2:$AG$200,$G418)&gt;0,
    COUNTIFS($AH$2:$AH$200,$G418)&gt;0,
    COUNTIFS($AI$2:$AI$200,$G418)&gt;0,
    COUNTIFS($AJ$2:$AJ$200,$G418)&gt;0,
    COUNTIFS($AK$2:$AK$200,$G418)&gt;0,
    COUNTIFS($AL$2:$AL$200,$G418)&gt;0,
    COUNTIFS($AM$2:$AM$200,$G418)&gt;0,
    COUNTIFS($AN$2:$AN$200,$G418)&gt;0,
    COUNTIFS($AO$2:$AO$200,$G418)&gt;0,
    COUNTIFS($AP$2:$AP$200,$G418)&gt;0,
    COUNTIFS($AQ$2:$AQ$200,$G418)&gt;0,
    COUNTIFS($AR$2:$AR$200,$G418)&gt;0,
    COUNTIFS($AS$2:$AS$200,$G418)&gt;0,
    COUNTIFS($AT$2:$AT$200,$G418)&gt;0,
    COUNTIFS($AU$2:$AU$200,$G418)&gt;0,
    COUNTIFS($AV$2:$AV$200,$G418)&gt;0,
    COUNTIFS($AW$2:$AW$200,$G418)&gt;0,
    COUNTIFS($AX$2:$AX$200,$G418)&gt;0
   ),
  0)
 ),
"")</f>
        <v/>
      </c>
    </row>
    <row r="419" spans="1:3" x14ac:dyDescent="0.25">
      <c r="A419" s="3" t="str">
        <f t="shared" si="14"/>
        <v/>
      </c>
      <c r="B419" s="3">
        <f t="shared" si="15"/>
        <v>0</v>
      </c>
      <c r="C419" s="3" t="str">
        <f>IFERROR(
 INDEX($U$1:$AX$1,
  MATCH(TRUE,
   CHOOSE({1;2;3;4;5;6;7;8;9;10;11;12;13;14;15;16;17;18;19;20;21;22;23;24;25;26;27;28;29;30;31;32},
    COUNTIFS($U$2:$U$200,$G419)&gt;0,
    COUNTIFS($V$2:$V$200,$G419)&gt;0,
    COUNTIFS($W$2:$W$200,$G419)&gt;0,
    COUNTIFS($X$2:$X$200,$G419)&gt;0,
    COUNTIFS($Y$2:$Y$200,$G419)&gt;0,
    COUNTIFS($Z$2:$Z$200,$G419)&gt;0,
    COUNTIFS($AA$2:$AA$200,$G419)&gt;0,
    COUNTIFS($AB$2:$AB$200,$G419)&gt;0,
    COUNTIFS($AC$2:$AC$200,$G419)&gt;0,
    COUNTIFS($AD$2:$AD$200,$G419)&gt;0,
    COUNTIFS($AE$2:$AE$200,$G419)&gt;0,
    COUNTIFS($AF$2:$AF$200,$G419)&gt;0,
    COUNTIFS($AG$2:$AG$200,$G419)&gt;0,
    COUNTIFS($AH$2:$AH$200,$G419)&gt;0,
    COUNTIFS($AI$2:$AI$200,$G419)&gt;0,
    COUNTIFS($AJ$2:$AJ$200,$G419)&gt;0,
    COUNTIFS($AK$2:$AK$200,$G419)&gt;0,
    COUNTIFS($AL$2:$AL$200,$G419)&gt;0,
    COUNTIFS($AM$2:$AM$200,$G419)&gt;0,
    COUNTIFS($AN$2:$AN$200,$G419)&gt;0,
    COUNTIFS($AO$2:$AO$200,$G419)&gt;0,
    COUNTIFS($AP$2:$AP$200,$G419)&gt;0,
    COUNTIFS($AQ$2:$AQ$200,$G419)&gt;0,
    COUNTIFS($AR$2:$AR$200,$G419)&gt;0,
    COUNTIFS($AS$2:$AS$200,$G419)&gt;0,
    COUNTIFS($AT$2:$AT$200,$G419)&gt;0,
    COUNTIFS($AU$2:$AU$200,$G419)&gt;0,
    COUNTIFS($AV$2:$AV$200,$G419)&gt;0,
    COUNTIFS($AW$2:$AW$200,$G419)&gt;0,
    COUNTIFS($AX$2:$AX$200,$G419)&gt;0
   ),
  0)
 ),
"")</f>
        <v/>
      </c>
    </row>
    <row r="420" spans="1:3" x14ac:dyDescent="0.25">
      <c r="A420" s="3" t="str">
        <f t="shared" si="14"/>
        <v/>
      </c>
      <c r="B420" s="3">
        <f t="shared" si="15"/>
        <v>0</v>
      </c>
      <c r="C420" s="3" t="str">
        <f>IFERROR(
 INDEX($U$1:$AX$1,
  MATCH(TRUE,
   CHOOSE({1;2;3;4;5;6;7;8;9;10;11;12;13;14;15;16;17;18;19;20;21;22;23;24;25;26;27;28;29;30;31;32},
    COUNTIFS($U$2:$U$200,$G420)&gt;0,
    COUNTIFS($V$2:$V$200,$G420)&gt;0,
    COUNTIFS($W$2:$W$200,$G420)&gt;0,
    COUNTIFS($X$2:$X$200,$G420)&gt;0,
    COUNTIFS($Y$2:$Y$200,$G420)&gt;0,
    COUNTIFS($Z$2:$Z$200,$G420)&gt;0,
    COUNTIFS($AA$2:$AA$200,$G420)&gt;0,
    COUNTIFS($AB$2:$AB$200,$G420)&gt;0,
    COUNTIFS($AC$2:$AC$200,$G420)&gt;0,
    COUNTIFS($AD$2:$AD$200,$G420)&gt;0,
    COUNTIFS($AE$2:$AE$200,$G420)&gt;0,
    COUNTIFS($AF$2:$AF$200,$G420)&gt;0,
    COUNTIFS($AG$2:$AG$200,$G420)&gt;0,
    COUNTIFS($AH$2:$AH$200,$G420)&gt;0,
    COUNTIFS($AI$2:$AI$200,$G420)&gt;0,
    COUNTIFS($AJ$2:$AJ$200,$G420)&gt;0,
    COUNTIFS($AK$2:$AK$200,$G420)&gt;0,
    COUNTIFS($AL$2:$AL$200,$G420)&gt;0,
    COUNTIFS($AM$2:$AM$200,$G420)&gt;0,
    COUNTIFS($AN$2:$AN$200,$G420)&gt;0,
    COUNTIFS($AO$2:$AO$200,$G420)&gt;0,
    COUNTIFS($AP$2:$AP$200,$G420)&gt;0,
    COUNTIFS($AQ$2:$AQ$200,$G420)&gt;0,
    COUNTIFS($AR$2:$AR$200,$G420)&gt;0,
    COUNTIFS($AS$2:$AS$200,$G420)&gt;0,
    COUNTIFS($AT$2:$AT$200,$G420)&gt;0,
    COUNTIFS($AU$2:$AU$200,$G420)&gt;0,
    COUNTIFS($AV$2:$AV$200,$G420)&gt;0,
    COUNTIFS($AW$2:$AW$200,$G420)&gt;0,
    COUNTIFS($AX$2:$AX$200,$G420)&gt;0
   ),
  0)
 ),
"")</f>
        <v/>
      </c>
    </row>
    <row r="421" spans="1:3" x14ac:dyDescent="0.25">
      <c r="A421" s="3" t="str">
        <f t="shared" si="14"/>
        <v/>
      </c>
      <c r="B421" s="3">
        <f t="shared" si="15"/>
        <v>0</v>
      </c>
      <c r="C421" s="3" t="str">
        <f>IFERROR(
 INDEX($U$1:$AX$1,
  MATCH(TRUE,
   CHOOSE({1;2;3;4;5;6;7;8;9;10;11;12;13;14;15;16;17;18;19;20;21;22;23;24;25;26;27;28;29;30;31;32},
    COUNTIFS($U$2:$U$200,$G421)&gt;0,
    COUNTIFS($V$2:$V$200,$G421)&gt;0,
    COUNTIFS($W$2:$W$200,$G421)&gt;0,
    COUNTIFS($X$2:$X$200,$G421)&gt;0,
    COUNTIFS($Y$2:$Y$200,$G421)&gt;0,
    COUNTIFS($Z$2:$Z$200,$G421)&gt;0,
    COUNTIFS($AA$2:$AA$200,$G421)&gt;0,
    COUNTIFS($AB$2:$AB$200,$G421)&gt;0,
    COUNTIFS($AC$2:$AC$200,$G421)&gt;0,
    COUNTIFS($AD$2:$AD$200,$G421)&gt;0,
    COUNTIFS($AE$2:$AE$200,$G421)&gt;0,
    COUNTIFS($AF$2:$AF$200,$G421)&gt;0,
    COUNTIFS($AG$2:$AG$200,$G421)&gt;0,
    COUNTIFS($AH$2:$AH$200,$G421)&gt;0,
    COUNTIFS($AI$2:$AI$200,$G421)&gt;0,
    COUNTIFS($AJ$2:$AJ$200,$G421)&gt;0,
    COUNTIFS($AK$2:$AK$200,$G421)&gt;0,
    COUNTIFS($AL$2:$AL$200,$G421)&gt;0,
    COUNTIFS($AM$2:$AM$200,$G421)&gt;0,
    COUNTIFS($AN$2:$AN$200,$G421)&gt;0,
    COUNTIFS($AO$2:$AO$200,$G421)&gt;0,
    COUNTIFS($AP$2:$AP$200,$G421)&gt;0,
    COUNTIFS($AQ$2:$AQ$200,$G421)&gt;0,
    COUNTIFS($AR$2:$AR$200,$G421)&gt;0,
    COUNTIFS($AS$2:$AS$200,$G421)&gt;0,
    COUNTIFS($AT$2:$AT$200,$G421)&gt;0,
    COUNTIFS($AU$2:$AU$200,$G421)&gt;0,
    COUNTIFS($AV$2:$AV$200,$G421)&gt;0,
    COUNTIFS($AW$2:$AW$200,$G421)&gt;0,
    COUNTIFS($AX$2:$AX$200,$G421)&gt;0
   ),
  0)
 ),
"")</f>
        <v/>
      </c>
    </row>
    <row r="422" spans="1:3" x14ac:dyDescent="0.25">
      <c r="A422" s="3" t="str">
        <f t="shared" si="14"/>
        <v/>
      </c>
      <c r="B422" s="3">
        <f t="shared" si="15"/>
        <v>0</v>
      </c>
      <c r="C422" s="3" t="str">
        <f>IFERROR(
 INDEX($U$1:$AX$1,
  MATCH(TRUE,
   CHOOSE({1;2;3;4;5;6;7;8;9;10;11;12;13;14;15;16;17;18;19;20;21;22;23;24;25;26;27;28;29;30;31;32},
    COUNTIFS($U$2:$U$200,$G422)&gt;0,
    COUNTIFS($V$2:$V$200,$G422)&gt;0,
    COUNTIFS($W$2:$W$200,$G422)&gt;0,
    COUNTIFS($X$2:$X$200,$G422)&gt;0,
    COUNTIFS($Y$2:$Y$200,$G422)&gt;0,
    COUNTIFS($Z$2:$Z$200,$G422)&gt;0,
    COUNTIFS($AA$2:$AA$200,$G422)&gt;0,
    COUNTIFS($AB$2:$AB$200,$G422)&gt;0,
    COUNTIFS($AC$2:$AC$200,$G422)&gt;0,
    COUNTIFS($AD$2:$AD$200,$G422)&gt;0,
    COUNTIFS($AE$2:$AE$200,$G422)&gt;0,
    COUNTIFS($AF$2:$AF$200,$G422)&gt;0,
    COUNTIFS($AG$2:$AG$200,$G422)&gt;0,
    COUNTIFS($AH$2:$AH$200,$G422)&gt;0,
    COUNTIFS($AI$2:$AI$200,$G422)&gt;0,
    COUNTIFS($AJ$2:$AJ$200,$G422)&gt;0,
    COUNTIFS($AK$2:$AK$200,$G422)&gt;0,
    COUNTIFS($AL$2:$AL$200,$G422)&gt;0,
    COUNTIFS($AM$2:$AM$200,$G422)&gt;0,
    COUNTIFS($AN$2:$AN$200,$G422)&gt;0,
    COUNTIFS($AO$2:$AO$200,$G422)&gt;0,
    COUNTIFS($AP$2:$AP$200,$G422)&gt;0,
    COUNTIFS($AQ$2:$AQ$200,$G422)&gt;0,
    COUNTIFS($AR$2:$AR$200,$G422)&gt;0,
    COUNTIFS($AS$2:$AS$200,$G422)&gt;0,
    COUNTIFS($AT$2:$AT$200,$G422)&gt;0,
    COUNTIFS($AU$2:$AU$200,$G422)&gt;0,
    COUNTIFS($AV$2:$AV$200,$G422)&gt;0,
    COUNTIFS($AW$2:$AW$200,$G422)&gt;0,
    COUNTIFS($AX$2:$AX$200,$G422)&gt;0
   ),
  0)
 ),
"")</f>
        <v/>
      </c>
    </row>
    <row r="423" spans="1:3" x14ac:dyDescent="0.25">
      <c r="A423" s="3" t="str">
        <f t="shared" si="14"/>
        <v/>
      </c>
      <c r="B423" s="3">
        <f t="shared" si="15"/>
        <v>0</v>
      </c>
      <c r="C423" s="3" t="str">
        <f>IFERROR(
 INDEX($U$1:$AX$1,
  MATCH(TRUE,
   CHOOSE({1;2;3;4;5;6;7;8;9;10;11;12;13;14;15;16;17;18;19;20;21;22;23;24;25;26;27;28;29;30;31;32},
    COUNTIFS($U$2:$U$200,$G423)&gt;0,
    COUNTIFS($V$2:$V$200,$G423)&gt;0,
    COUNTIFS($W$2:$W$200,$G423)&gt;0,
    COUNTIFS($X$2:$X$200,$G423)&gt;0,
    COUNTIFS($Y$2:$Y$200,$G423)&gt;0,
    COUNTIFS($Z$2:$Z$200,$G423)&gt;0,
    COUNTIFS($AA$2:$AA$200,$G423)&gt;0,
    COUNTIFS($AB$2:$AB$200,$G423)&gt;0,
    COUNTIFS($AC$2:$AC$200,$G423)&gt;0,
    COUNTIFS($AD$2:$AD$200,$G423)&gt;0,
    COUNTIFS($AE$2:$AE$200,$G423)&gt;0,
    COUNTIFS($AF$2:$AF$200,$G423)&gt;0,
    COUNTIFS($AG$2:$AG$200,$G423)&gt;0,
    COUNTIFS($AH$2:$AH$200,$G423)&gt;0,
    COUNTIFS($AI$2:$AI$200,$G423)&gt;0,
    COUNTIFS($AJ$2:$AJ$200,$G423)&gt;0,
    COUNTIFS($AK$2:$AK$200,$G423)&gt;0,
    COUNTIFS($AL$2:$AL$200,$G423)&gt;0,
    COUNTIFS($AM$2:$AM$200,$G423)&gt;0,
    COUNTIFS($AN$2:$AN$200,$G423)&gt;0,
    COUNTIFS($AO$2:$AO$200,$G423)&gt;0,
    COUNTIFS($AP$2:$AP$200,$G423)&gt;0,
    COUNTIFS($AQ$2:$AQ$200,$G423)&gt;0,
    COUNTIFS($AR$2:$AR$200,$G423)&gt;0,
    COUNTIFS($AS$2:$AS$200,$G423)&gt;0,
    COUNTIFS($AT$2:$AT$200,$G423)&gt;0,
    COUNTIFS($AU$2:$AU$200,$G423)&gt;0,
    COUNTIFS($AV$2:$AV$200,$G423)&gt;0,
    COUNTIFS($AW$2:$AW$200,$G423)&gt;0,
    COUNTIFS($AX$2:$AX$200,$G423)&gt;0
   ),
  0)
 ),
"")</f>
        <v/>
      </c>
    </row>
    <row r="424" spans="1:3" x14ac:dyDescent="0.25">
      <c r="A424" s="3" t="str">
        <f t="shared" si="14"/>
        <v/>
      </c>
      <c r="B424" s="3">
        <f t="shared" si="15"/>
        <v>0</v>
      </c>
      <c r="C424" s="3" t="str">
        <f>IFERROR(
 INDEX($U$1:$AX$1,
  MATCH(TRUE,
   CHOOSE({1;2;3;4;5;6;7;8;9;10;11;12;13;14;15;16;17;18;19;20;21;22;23;24;25;26;27;28;29;30;31;32},
    COUNTIFS($U$2:$U$200,$G424)&gt;0,
    COUNTIFS($V$2:$V$200,$G424)&gt;0,
    COUNTIFS($W$2:$W$200,$G424)&gt;0,
    COUNTIFS($X$2:$X$200,$G424)&gt;0,
    COUNTIFS($Y$2:$Y$200,$G424)&gt;0,
    COUNTIFS($Z$2:$Z$200,$G424)&gt;0,
    COUNTIFS($AA$2:$AA$200,$G424)&gt;0,
    COUNTIFS($AB$2:$AB$200,$G424)&gt;0,
    COUNTIFS($AC$2:$AC$200,$G424)&gt;0,
    COUNTIFS($AD$2:$AD$200,$G424)&gt;0,
    COUNTIFS($AE$2:$AE$200,$G424)&gt;0,
    COUNTIFS($AF$2:$AF$200,$G424)&gt;0,
    COUNTIFS($AG$2:$AG$200,$G424)&gt;0,
    COUNTIFS($AH$2:$AH$200,$G424)&gt;0,
    COUNTIFS($AI$2:$AI$200,$G424)&gt;0,
    COUNTIFS($AJ$2:$AJ$200,$G424)&gt;0,
    COUNTIFS($AK$2:$AK$200,$G424)&gt;0,
    COUNTIFS($AL$2:$AL$200,$G424)&gt;0,
    COUNTIFS($AM$2:$AM$200,$G424)&gt;0,
    COUNTIFS($AN$2:$AN$200,$G424)&gt;0,
    COUNTIFS($AO$2:$AO$200,$G424)&gt;0,
    COUNTIFS($AP$2:$AP$200,$G424)&gt;0,
    COUNTIFS($AQ$2:$AQ$200,$G424)&gt;0,
    COUNTIFS($AR$2:$AR$200,$G424)&gt;0,
    COUNTIFS($AS$2:$AS$200,$G424)&gt;0,
    COUNTIFS($AT$2:$AT$200,$G424)&gt;0,
    COUNTIFS($AU$2:$AU$200,$G424)&gt;0,
    COUNTIFS($AV$2:$AV$200,$G424)&gt;0,
    COUNTIFS($AW$2:$AW$200,$G424)&gt;0,
    COUNTIFS($AX$2:$AX$200,$G424)&gt;0
   ),
  0)
 ),
"")</f>
        <v/>
      </c>
    </row>
    <row r="425" spans="1:3" x14ac:dyDescent="0.25">
      <c r="A425" s="3" t="str">
        <f t="shared" si="14"/>
        <v/>
      </c>
      <c r="B425" s="3">
        <f t="shared" si="15"/>
        <v>0</v>
      </c>
      <c r="C425" s="3" t="str">
        <f>IFERROR(
 INDEX($U$1:$AX$1,
  MATCH(TRUE,
   CHOOSE({1;2;3;4;5;6;7;8;9;10;11;12;13;14;15;16;17;18;19;20;21;22;23;24;25;26;27;28;29;30;31;32},
    COUNTIFS($U$2:$U$200,$G425)&gt;0,
    COUNTIFS($V$2:$V$200,$G425)&gt;0,
    COUNTIFS($W$2:$W$200,$G425)&gt;0,
    COUNTIFS($X$2:$X$200,$G425)&gt;0,
    COUNTIFS($Y$2:$Y$200,$G425)&gt;0,
    COUNTIFS($Z$2:$Z$200,$G425)&gt;0,
    COUNTIFS($AA$2:$AA$200,$G425)&gt;0,
    COUNTIFS($AB$2:$AB$200,$G425)&gt;0,
    COUNTIFS($AC$2:$AC$200,$G425)&gt;0,
    COUNTIFS($AD$2:$AD$200,$G425)&gt;0,
    COUNTIFS($AE$2:$AE$200,$G425)&gt;0,
    COUNTIFS($AF$2:$AF$200,$G425)&gt;0,
    COUNTIFS($AG$2:$AG$200,$G425)&gt;0,
    COUNTIFS($AH$2:$AH$200,$G425)&gt;0,
    COUNTIFS($AI$2:$AI$200,$G425)&gt;0,
    COUNTIFS($AJ$2:$AJ$200,$G425)&gt;0,
    COUNTIFS($AK$2:$AK$200,$G425)&gt;0,
    COUNTIFS($AL$2:$AL$200,$G425)&gt;0,
    COUNTIFS($AM$2:$AM$200,$G425)&gt;0,
    COUNTIFS($AN$2:$AN$200,$G425)&gt;0,
    COUNTIFS($AO$2:$AO$200,$G425)&gt;0,
    COUNTIFS($AP$2:$AP$200,$G425)&gt;0,
    COUNTIFS($AQ$2:$AQ$200,$G425)&gt;0,
    COUNTIFS($AR$2:$AR$200,$G425)&gt;0,
    COUNTIFS($AS$2:$AS$200,$G425)&gt;0,
    COUNTIFS($AT$2:$AT$200,$G425)&gt;0,
    COUNTIFS($AU$2:$AU$200,$G425)&gt;0,
    COUNTIFS($AV$2:$AV$200,$G425)&gt;0,
    COUNTIFS($AW$2:$AW$200,$G425)&gt;0,
    COUNTIFS($AX$2:$AX$200,$G425)&gt;0
   ),
  0)
 ),
"")</f>
        <v/>
      </c>
    </row>
    <row r="426" spans="1:3" x14ac:dyDescent="0.25">
      <c r="A426" s="3" t="str">
        <f t="shared" si="14"/>
        <v/>
      </c>
      <c r="B426" s="3">
        <f t="shared" si="15"/>
        <v>0</v>
      </c>
      <c r="C426" s="3" t="str">
        <f>IFERROR(
 INDEX($U$1:$AX$1,
  MATCH(TRUE,
   CHOOSE({1;2;3;4;5;6;7;8;9;10;11;12;13;14;15;16;17;18;19;20;21;22;23;24;25;26;27;28;29;30;31;32},
    COUNTIFS($U$2:$U$200,$G426)&gt;0,
    COUNTIFS($V$2:$V$200,$G426)&gt;0,
    COUNTIFS($W$2:$W$200,$G426)&gt;0,
    COUNTIFS($X$2:$X$200,$G426)&gt;0,
    COUNTIFS($Y$2:$Y$200,$G426)&gt;0,
    COUNTIFS($Z$2:$Z$200,$G426)&gt;0,
    COUNTIFS($AA$2:$AA$200,$G426)&gt;0,
    COUNTIFS($AB$2:$AB$200,$G426)&gt;0,
    COUNTIFS($AC$2:$AC$200,$G426)&gt;0,
    COUNTIFS($AD$2:$AD$200,$G426)&gt;0,
    COUNTIFS($AE$2:$AE$200,$G426)&gt;0,
    COUNTIFS($AF$2:$AF$200,$G426)&gt;0,
    COUNTIFS($AG$2:$AG$200,$G426)&gt;0,
    COUNTIFS($AH$2:$AH$200,$G426)&gt;0,
    COUNTIFS($AI$2:$AI$200,$G426)&gt;0,
    COUNTIFS($AJ$2:$AJ$200,$G426)&gt;0,
    COUNTIFS($AK$2:$AK$200,$G426)&gt;0,
    COUNTIFS($AL$2:$AL$200,$G426)&gt;0,
    COUNTIFS($AM$2:$AM$200,$G426)&gt;0,
    COUNTIFS($AN$2:$AN$200,$G426)&gt;0,
    COUNTIFS($AO$2:$AO$200,$G426)&gt;0,
    COUNTIFS($AP$2:$AP$200,$G426)&gt;0,
    COUNTIFS($AQ$2:$AQ$200,$G426)&gt;0,
    COUNTIFS($AR$2:$AR$200,$G426)&gt;0,
    COUNTIFS($AS$2:$AS$200,$G426)&gt;0,
    COUNTIFS($AT$2:$AT$200,$G426)&gt;0,
    COUNTIFS($AU$2:$AU$200,$G426)&gt;0,
    COUNTIFS($AV$2:$AV$200,$G426)&gt;0,
    COUNTIFS($AW$2:$AW$200,$G426)&gt;0,
    COUNTIFS($AX$2:$AX$200,$G426)&gt;0
   ),
  0)
 ),
"")</f>
        <v/>
      </c>
    </row>
    <row r="427" spans="1:3" x14ac:dyDescent="0.25">
      <c r="A427" s="3" t="str">
        <f t="shared" ref="A427:A450" si="16">IFERROR(INDEX($S$3:$S$200, MATCH($C427, $I$3:$I$200, 0)), "")</f>
        <v/>
      </c>
      <c r="B427" s="3">
        <f t="shared" ref="B427:B450" si="17">COUNTIF(U:AX,G427)</f>
        <v>0</v>
      </c>
      <c r="C427" s="3" t="str">
        <f>IFERROR(
 INDEX($U$1:$AX$1,
  MATCH(TRUE,
   CHOOSE({1;2;3;4;5;6;7;8;9;10;11;12;13;14;15;16;17;18;19;20;21;22;23;24;25;26;27;28;29;30;31;32},
    COUNTIFS($U$2:$U$200,$G427)&gt;0,
    COUNTIFS($V$2:$V$200,$G427)&gt;0,
    COUNTIFS($W$2:$W$200,$G427)&gt;0,
    COUNTIFS($X$2:$X$200,$G427)&gt;0,
    COUNTIFS($Y$2:$Y$200,$G427)&gt;0,
    COUNTIFS($Z$2:$Z$200,$G427)&gt;0,
    COUNTIFS($AA$2:$AA$200,$G427)&gt;0,
    COUNTIFS($AB$2:$AB$200,$G427)&gt;0,
    COUNTIFS($AC$2:$AC$200,$G427)&gt;0,
    COUNTIFS($AD$2:$AD$200,$G427)&gt;0,
    COUNTIFS($AE$2:$AE$200,$G427)&gt;0,
    COUNTIFS($AF$2:$AF$200,$G427)&gt;0,
    COUNTIFS($AG$2:$AG$200,$G427)&gt;0,
    COUNTIFS($AH$2:$AH$200,$G427)&gt;0,
    COUNTIFS($AI$2:$AI$200,$G427)&gt;0,
    COUNTIFS($AJ$2:$AJ$200,$G427)&gt;0,
    COUNTIFS($AK$2:$AK$200,$G427)&gt;0,
    COUNTIFS($AL$2:$AL$200,$G427)&gt;0,
    COUNTIFS($AM$2:$AM$200,$G427)&gt;0,
    COUNTIFS($AN$2:$AN$200,$G427)&gt;0,
    COUNTIFS($AO$2:$AO$200,$G427)&gt;0,
    COUNTIFS($AP$2:$AP$200,$G427)&gt;0,
    COUNTIFS($AQ$2:$AQ$200,$G427)&gt;0,
    COUNTIFS($AR$2:$AR$200,$G427)&gt;0,
    COUNTIFS($AS$2:$AS$200,$G427)&gt;0,
    COUNTIFS($AT$2:$AT$200,$G427)&gt;0,
    COUNTIFS($AU$2:$AU$200,$G427)&gt;0,
    COUNTIFS($AV$2:$AV$200,$G427)&gt;0,
    COUNTIFS($AW$2:$AW$200,$G427)&gt;0,
    COUNTIFS($AX$2:$AX$200,$G427)&gt;0
   ),
  0)
 ),
"")</f>
        <v/>
      </c>
    </row>
    <row r="428" spans="1:3" x14ac:dyDescent="0.25">
      <c r="A428" s="3" t="str">
        <f t="shared" si="16"/>
        <v/>
      </c>
      <c r="B428" s="3">
        <f t="shared" si="17"/>
        <v>0</v>
      </c>
      <c r="C428" s="3" t="str">
        <f>IFERROR(
 INDEX($U$1:$AX$1,
  MATCH(TRUE,
   CHOOSE({1;2;3;4;5;6;7;8;9;10;11;12;13;14;15;16;17;18;19;20;21;22;23;24;25;26;27;28;29;30;31;32},
    COUNTIFS($U$2:$U$200,$G428)&gt;0,
    COUNTIFS($V$2:$V$200,$G428)&gt;0,
    COUNTIFS($W$2:$W$200,$G428)&gt;0,
    COUNTIFS($X$2:$X$200,$G428)&gt;0,
    COUNTIFS($Y$2:$Y$200,$G428)&gt;0,
    COUNTIFS($Z$2:$Z$200,$G428)&gt;0,
    COUNTIFS($AA$2:$AA$200,$G428)&gt;0,
    COUNTIFS($AB$2:$AB$200,$G428)&gt;0,
    COUNTIFS($AC$2:$AC$200,$G428)&gt;0,
    COUNTIFS($AD$2:$AD$200,$G428)&gt;0,
    COUNTIFS($AE$2:$AE$200,$G428)&gt;0,
    COUNTIFS($AF$2:$AF$200,$G428)&gt;0,
    COUNTIFS($AG$2:$AG$200,$G428)&gt;0,
    COUNTIFS($AH$2:$AH$200,$G428)&gt;0,
    COUNTIFS($AI$2:$AI$200,$G428)&gt;0,
    COUNTIFS($AJ$2:$AJ$200,$G428)&gt;0,
    COUNTIFS($AK$2:$AK$200,$G428)&gt;0,
    COUNTIFS($AL$2:$AL$200,$G428)&gt;0,
    COUNTIFS($AM$2:$AM$200,$G428)&gt;0,
    COUNTIFS($AN$2:$AN$200,$G428)&gt;0,
    COUNTIFS($AO$2:$AO$200,$G428)&gt;0,
    COUNTIFS($AP$2:$AP$200,$G428)&gt;0,
    COUNTIFS($AQ$2:$AQ$200,$G428)&gt;0,
    COUNTIFS($AR$2:$AR$200,$G428)&gt;0,
    COUNTIFS($AS$2:$AS$200,$G428)&gt;0,
    COUNTIFS($AT$2:$AT$200,$G428)&gt;0,
    COUNTIFS($AU$2:$AU$200,$G428)&gt;0,
    COUNTIFS($AV$2:$AV$200,$G428)&gt;0,
    COUNTIFS($AW$2:$AW$200,$G428)&gt;0,
    COUNTIFS($AX$2:$AX$200,$G428)&gt;0
   ),
  0)
 ),
"")</f>
        <v/>
      </c>
    </row>
    <row r="429" spans="1:3" x14ac:dyDescent="0.25">
      <c r="A429" s="3" t="str">
        <f t="shared" si="16"/>
        <v/>
      </c>
      <c r="B429" s="3">
        <f t="shared" si="17"/>
        <v>0</v>
      </c>
      <c r="C429" s="3" t="str">
        <f>IFERROR(
 INDEX($U$1:$AX$1,
  MATCH(TRUE,
   CHOOSE({1;2;3;4;5;6;7;8;9;10;11;12;13;14;15;16;17;18;19;20;21;22;23;24;25;26;27;28;29;30;31;32},
    COUNTIFS($U$2:$U$200,$G429)&gt;0,
    COUNTIFS($V$2:$V$200,$G429)&gt;0,
    COUNTIFS($W$2:$W$200,$G429)&gt;0,
    COUNTIFS($X$2:$X$200,$G429)&gt;0,
    COUNTIFS($Y$2:$Y$200,$G429)&gt;0,
    COUNTIFS($Z$2:$Z$200,$G429)&gt;0,
    COUNTIFS($AA$2:$AA$200,$G429)&gt;0,
    COUNTIFS($AB$2:$AB$200,$G429)&gt;0,
    COUNTIFS($AC$2:$AC$200,$G429)&gt;0,
    COUNTIFS($AD$2:$AD$200,$G429)&gt;0,
    COUNTIFS($AE$2:$AE$200,$G429)&gt;0,
    COUNTIFS($AF$2:$AF$200,$G429)&gt;0,
    COUNTIFS($AG$2:$AG$200,$G429)&gt;0,
    COUNTIFS($AH$2:$AH$200,$G429)&gt;0,
    COUNTIFS($AI$2:$AI$200,$G429)&gt;0,
    COUNTIFS($AJ$2:$AJ$200,$G429)&gt;0,
    COUNTIFS($AK$2:$AK$200,$G429)&gt;0,
    COUNTIFS($AL$2:$AL$200,$G429)&gt;0,
    COUNTIFS($AM$2:$AM$200,$G429)&gt;0,
    COUNTIFS($AN$2:$AN$200,$G429)&gt;0,
    COUNTIFS($AO$2:$AO$200,$G429)&gt;0,
    COUNTIFS($AP$2:$AP$200,$G429)&gt;0,
    COUNTIFS($AQ$2:$AQ$200,$G429)&gt;0,
    COUNTIFS($AR$2:$AR$200,$G429)&gt;0,
    COUNTIFS($AS$2:$AS$200,$G429)&gt;0,
    COUNTIFS($AT$2:$AT$200,$G429)&gt;0,
    COUNTIFS($AU$2:$AU$200,$G429)&gt;0,
    COUNTIFS($AV$2:$AV$200,$G429)&gt;0,
    COUNTIFS($AW$2:$AW$200,$G429)&gt;0,
    COUNTIFS($AX$2:$AX$200,$G429)&gt;0
   ),
  0)
 ),
"")</f>
        <v/>
      </c>
    </row>
    <row r="430" spans="1:3" x14ac:dyDescent="0.25">
      <c r="A430" s="3" t="str">
        <f t="shared" si="16"/>
        <v/>
      </c>
      <c r="B430" s="3">
        <f t="shared" si="17"/>
        <v>0</v>
      </c>
      <c r="C430" s="3" t="str">
        <f>IFERROR(
 INDEX($U$1:$AX$1,
  MATCH(TRUE,
   CHOOSE({1;2;3;4;5;6;7;8;9;10;11;12;13;14;15;16;17;18;19;20;21;22;23;24;25;26;27;28;29;30;31;32},
    COUNTIFS($U$2:$U$200,$G430)&gt;0,
    COUNTIFS($V$2:$V$200,$G430)&gt;0,
    COUNTIFS($W$2:$W$200,$G430)&gt;0,
    COUNTIFS($X$2:$X$200,$G430)&gt;0,
    COUNTIFS($Y$2:$Y$200,$G430)&gt;0,
    COUNTIFS($Z$2:$Z$200,$G430)&gt;0,
    COUNTIFS($AA$2:$AA$200,$G430)&gt;0,
    COUNTIFS($AB$2:$AB$200,$G430)&gt;0,
    COUNTIFS($AC$2:$AC$200,$G430)&gt;0,
    COUNTIFS($AD$2:$AD$200,$G430)&gt;0,
    COUNTIFS($AE$2:$AE$200,$G430)&gt;0,
    COUNTIFS($AF$2:$AF$200,$G430)&gt;0,
    COUNTIFS($AG$2:$AG$200,$G430)&gt;0,
    COUNTIFS($AH$2:$AH$200,$G430)&gt;0,
    COUNTIFS($AI$2:$AI$200,$G430)&gt;0,
    COUNTIFS($AJ$2:$AJ$200,$G430)&gt;0,
    COUNTIFS($AK$2:$AK$200,$G430)&gt;0,
    COUNTIFS($AL$2:$AL$200,$G430)&gt;0,
    COUNTIFS($AM$2:$AM$200,$G430)&gt;0,
    COUNTIFS($AN$2:$AN$200,$G430)&gt;0,
    COUNTIFS($AO$2:$AO$200,$G430)&gt;0,
    COUNTIFS($AP$2:$AP$200,$G430)&gt;0,
    COUNTIFS($AQ$2:$AQ$200,$G430)&gt;0,
    COUNTIFS($AR$2:$AR$200,$G430)&gt;0,
    COUNTIFS($AS$2:$AS$200,$G430)&gt;0,
    COUNTIFS($AT$2:$AT$200,$G430)&gt;0,
    COUNTIFS($AU$2:$AU$200,$G430)&gt;0,
    COUNTIFS($AV$2:$AV$200,$G430)&gt;0,
    COUNTIFS($AW$2:$AW$200,$G430)&gt;0,
    COUNTIFS($AX$2:$AX$200,$G430)&gt;0
   ),
  0)
 ),
"")</f>
        <v/>
      </c>
    </row>
    <row r="431" spans="1:3" x14ac:dyDescent="0.25">
      <c r="A431" s="3" t="str">
        <f t="shared" si="16"/>
        <v/>
      </c>
      <c r="B431" s="3">
        <f t="shared" si="17"/>
        <v>0</v>
      </c>
      <c r="C431" s="3" t="str">
        <f>IFERROR(
 INDEX($U$1:$AX$1,
  MATCH(TRUE,
   CHOOSE({1;2;3;4;5;6;7;8;9;10;11;12;13;14;15;16;17;18;19;20;21;22;23;24;25;26;27;28;29;30;31;32},
    COUNTIFS($U$2:$U$200,$G431)&gt;0,
    COUNTIFS($V$2:$V$200,$G431)&gt;0,
    COUNTIFS($W$2:$W$200,$G431)&gt;0,
    COUNTIFS($X$2:$X$200,$G431)&gt;0,
    COUNTIFS($Y$2:$Y$200,$G431)&gt;0,
    COUNTIFS($Z$2:$Z$200,$G431)&gt;0,
    COUNTIFS($AA$2:$AA$200,$G431)&gt;0,
    COUNTIFS($AB$2:$AB$200,$G431)&gt;0,
    COUNTIFS($AC$2:$AC$200,$G431)&gt;0,
    COUNTIFS($AD$2:$AD$200,$G431)&gt;0,
    COUNTIFS($AE$2:$AE$200,$G431)&gt;0,
    COUNTIFS($AF$2:$AF$200,$G431)&gt;0,
    COUNTIFS($AG$2:$AG$200,$G431)&gt;0,
    COUNTIFS($AH$2:$AH$200,$G431)&gt;0,
    COUNTIFS($AI$2:$AI$200,$G431)&gt;0,
    COUNTIFS($AJ$2:$AJ$200,$G431)&gt;0,
    COUNTIFS($AK$2:$AK$200,$G431)&gt;0,
    COUNTIFS($AL$2:$AL$200,$G431)&gt;0,
    COUNTIFS($AM$2:$AM$200,$G431)&gt;0,
    COUNTIFS($AN$2:$AN$200,$G431)&gt;0,
    COUNTIFS($AO$2:$AO$200,$G431)&gt;0,
    COUNTIFS($AP$2:$AP$200,$G431)&gt;0,
    COUNTIFS($AQ$2:$AQ$200,$G431)&gt;0,
    COUNTIFS($AR$2:$AR$200,$G431)&gt;0,
    COUNTIFS($AS$2:$AS$200,$G431)&gt;0,
    COUNTIFS($AT$2:$AT$200,$G431)&gt;0,
    COUNTIFS($AU$2:$AU$200,$G431)&gt;0,
    COUNTIFS($AV$2:$AV$200,$G431)&gt;0,
    COUNTIFS($AW$2:$AW$200,$G431)&gt;0,
    COUNTIFS($AX$2:$AX$200,$G431)&gt;0
   ),
  0)
 ),
"")</f>
        <v/>
      </c>
    </row>
    <row r="432" spans="1:3" x14ac:dyDescent="0.25">
      <c r="A432" s="3" t="str">
        <f t="shared" si="16"/>
        <v/>
      </c>
      <c r="B432" s="3">
        <f t="shared" si="17"/>
        <v>0</v>
      </c>
      <c r="C432" s="3" t="str">
        <f>IFERROR(
 INDEX($U$1:$AX$1,
  MATCH(TRUE,
   CHOOSE({1;2;3;4;5;6;7;8;9;10;11;12;13;14;15;16;17;18;19;20;21;22;23;24;25;26;27;28;29;30;31;32},
    COUNTIFS($U$2:$U$200,$G432)&gt;0,
    COUNTIFS($V$2:$V$200,$G432)&gt;0,
    COUNTIFS($W$2:$W$200,$G432)&gt;0,
    COUNTIFS($X$2:$X$200,$G432)&gt;0,
    COUNTIFS($Y$2:$Y$200,$G432)&gt;0,
    COUNTIFS($Z$2:$Z$200,$G432)&gt;0,
    COUNTIFS($AA$2:$AA$200,$G432)&gt;0,
    COUNTIFS($AB$2:$AB$200,$G432)&gt;0,
    COUNTIFS($AC$2:$AC$200,$G432)&gt;0,
    COUNTIFS($AD$2:$AD$200,$G432)&gt;0,
    COUNTIFS($AE$2:$AE$200,$G432)&gt;0,
    COUNTIFS($AF$2:$AF$200,$G432)&gt;0,
    COUNTIFS($AG$2:$AG$200,$G432)&gt;0,
    COUNTIFS($AH$2:$AH$200,$G432)&gt;0,
    COUNTIFS($AI$2:$AI$200,$G432)&gt;0,
    COUNTIFS($AJ$2:$AJ$200,$G432)&gt;0,
    COUNTIFS($AK$2:$AK$200,$G432)&gt;0,
    COUNTIFS($AL$2:$AL$200,$G432)&gt;0,
    COUNTIFS($AM$2:$AM$200,$G432)&gt;0,
    COUNTIFS($AN$2:$AN$200,$G432)&gt;0,
    COUNTIFS($AO$2:$AO$200,$G432)&gt;0,
    COUNTIFS($AP$2:$AP$200,$G432)&gt;0,
    COUNTIFS($AQ$2:$AQ$200,$G432)&gt;0,
    COUNTIFS($AR$2:$AR$200,$G432)&gt;0,
    COUNTIFS($AS$2:$AS$200,$G432)&gt;0,
    COUNTIFS($AT$2:$AT$200,$G432)&gt;0,
    COUNTIFS($AU$2:$AU$200,$G432)&gt;0,
    COUNTIFS($AV$2:$AV$200,$G432)&gt;0,
    COUNTIFS($AW$2:$AW$200,$G432)&gt;0,
    COUNTIFS($AX$2:$AX$200,$G432)&gt;0
   ),
  0)
 ),
"")</f>
        <v/>
      </c>
    </row>
    <row r="433" spans="1:3" x14ac:dyDescent="0.25">
      <c r="A433" s="3" t="str">
        <f t="shared" si="16"/>
        <v/>
      </c>
      <c r="B433" s="3">
        <f t="shared" si="17"/>
        <v>0</v>
      </c>
      <c r="C433" s="3" t="str">
        <f>IFERROR(
 INDEX($U$1:$AX$1,
  MATCH(TRUE,
   CHOOSE({1;2;3;4;5;6;7;8;9;10;11;12;13;14;15;16;17;18;19;20;21;22;23;24;25;26;27;28;29;30;31;32},
    COUNTIFS($U$2:$U$200,$G433)&gt;0,
    COUNTIFS($V$2:$V$200,$G433)&gt;0,
    COUNTIFS($W$2:$W$200,$G433)&gt;0,
    COUNTIFS($X$2:$X$200,$G433)&gt;0,
    COUNTIFS($Y$2:$Y$200,$G433)&gt;0,
    COUNTIFS($Z$2:$Z$200,$G433)&gt;0,
    COUNTIFS($AA$2:$AA$200,$G433)&gt;0,
    COUNTIFS($AB$2:$AB$200,$G433)&gt;0,
    COUNTIFS($AC$2:$AC$200,$G433)&gt;0,
    COUNTIFS($AD$2:$AD$200,$G433)&gt;0,
    COUNTIFS($AE$2:$AE$200,$G433)&gt;0,
    COUNTIFS($AF$2:$AF$200,$G433)&gt;0,
    COUNTIFS($AG$2:$AG$200,$G433)&gt;0,
    COUNTIFS($AH$2:$AH$200,$G433)&gt;0,
    COUNTIFS($AI$2:$AI$200,$G433)&gt;0,
    COUNTIFS($AJ$2:$AJ$200,$G433)&gt;0,
    COUNTIFS($AK$2:$AK$200,$G433)&gt;0,
    COUNTIFS($AL$2:$AL$200,$G433)&gt;0,
    COUNTIFS($AM$2:$AM$200,$G433)&gt;0,
    COUNTIFS($AN$2:$AN$200,$G433)&gt;0,
    COUNTIFS($AO$2:$AO$200,$G433)&gt;0,
    COUNTIFS($AP$2:$AP$200,$G433)&gt;0,
    COUNTIFS($AQ$2:$AQ$200,$G433)&gt;0,
    COUNTIFS($AR$2:$AR$200,$G433)&gt;0,
    COUNTIFS($AS$2:$AS$200,$G433)&gt;0,
    COUNTIFS($AT$2:$AT$200,$G433)&gt;0,
    COUNTIFS($AU$2:$AU$200,$G433)&gt;0,
    COUNTIFS($AV$2:$AV$200,$G433)&gt;0,
    COUNTIFS($AW$2:$AW$200,$G433)&gt;0,
    COUNTIFS($AX$2:$AX$200,$G433)&gt;0
   ),
  0)
 ),
"")</f>
        <v/>
      </c>
    </row>
    <row r="434" spans="1:3" x14ac:dyDescent="0.25">
      <c r="A434" s="3" t="str">
        <f t="shared" si="16"/>
        <v/>
      </c>
      <c r="B434" s="3">
        <f t="shared" si="17"/>
        <v>0</v>
      </c>
      <c r="C434" s="3" t="str">
        <f>IFERROR(
 INDEX($U$1:$AX$1,
  MATCH(TRUE,
   CHOOSE({1;2;3;4;5;6;7;8;9;10;11;12;13;14;15;16;17;18;19;20;21;22;23;24;25;26;27;28;29;30;31;32},
    COUNTIFS($U$2:$U$200,$G434)&gt;0,
    COUNTIFS($V$2:$V$200,$G434)&gt;0,
    COUNTIFS($W$2:$W$200,$G434)&gt;0,
    COUNTIFS($X$2:$X$200,$G434)&gt;0,
    COUNTIFS($Y$2:$Y$200,$G434)&gt;0,
    COUNTIFS($Z$2:$Z$200,$G434)&gt;0,
    COUNTIFS($AA$2:$AA$200,$G434)&gt;0,
    COUNTIFS($AB$2:$AB$200,$G434)&gt;0,
    COUNTIFS($AC$2:$AC$200,$G434)&gt;0,
    COUNTIFS($AD$2:$AD$200,$G434)&gt;0,
    COUNTIFS($AE$2:$AE$200,$G434)&gt;0,
    COUNTIFS($AF$2:$AF$200,$G434)&gt;0,
    COUNTIFS($AG$2:$AG$200,$G434)&gt;0,
    COUNTIFS($AH$2:$AH$200,$G434)&gt;0,
    COUNTIFS($AI$2:$AI$200,$G434)&gt;0,
    COUNTIFS($AJ$2:$AJ$200,$G434)&gt;0,
    COUNTIFS($AK$2:$AK$200,$G434)&gt;0,
    COUNTIFS($AL$2:$AL$200,$G434)&gt;0,
    COUNTIFS($AM$2:$AM$200,$G434)&gt;0,
    COUNTIFS($AN$2:$AN$200,$G434)&gt;0,
    COUNTIFS($AO$2:$AO$200,$G434)&gt;0,
    COUNTIFS($AP$2:$AP$200,$G434)&gt;0,
    COUNTIFS($AQ$2:$AQ$200,$G434)&gt;0,
    COUNTIFS($AR$2:$AR$200,$G434)&gt;0,
    COUNTIFS($AS$2:$AS$200,$G434)&gt;0,
    COUNTIFS($AT$2:$AT$200,$G434)&gt;0,
    COUNTIFS($AU$2:$AU$200,$G434)&gt;0,
    COUNTIFS($AV$2:$AV$200,$G434)&gt;0,
    COUNTIFS($AW$2:$AW$200,$G434)&gt;0,
    COUNTIFS($AX$2:$AX$200,$G434)&gt;0
   ),
  0)
 ),
"")</f>
        <v/>
      </c>
    </row>
    <row r="435" spans="1:3" x14ac:dyDescent="0.25">
      <c r="A435" s="3" t="str">
        <f t="shared" si="16"/>
        <v/>
      </c>
      <c r="B435" s="3">
        <f t="shared" si="17"/>
        <v>0</v>
      </c>
      <c r="C435" s="3" t="str">
        <f>IFERROR(
 INDEX($U$1:$AX$1,
  MATCH(TRUE,
   CHOOSE({1;2;3;4;5;6;7;8;9;10;11;12;13;14;15;16;17;18;19;20;21;22;23;24;25;26;27;28;29;30;31;32},
    COUNTIFS($U$2:$U$200,$G435)&gt;0,
    COUNTIFS($V$2:$V$200,$G435)&gt;0,
    COUNTIFS($W$2:$W$200,$G435)&gt;0,
    COUNTIFS($X$2:$X$200,$G435)&gt;0,
    COUNTIFS($Y$2:$Y$200,$G435)&gt;0,
    COUNTIFS($Z$2:$Z$200,$G435)&gt;0,
    COUNTIFS($AA$2:$AA$200,$G435)&gt;0,
    COUNTIFS($AB$2:$AB$200,$G435)&gt;0,
    COUNTIFS($AC$2:$AC$200,$G435)&gt;0,
    COUNTIFS($AD$2:$AD$200,$G435)&gt;0,
    COUNTIFS($AE$2:$AE$200,$G435)&gt;0,
    COUNTIFS($AF$2:$AF$200,$G435)&gt;0,
    COUNTIFS($AG$2:$AG$200,$G435)&gt;0,
    COUNTIFS($AH$2:$AH$200,$G435)&gt;0,
    COUNTIFS($AI$2:$AI$200,$G435)&gt;0,
    COUNTIFS($AJ$2:$AJ$200,$G435)&gt;0,
    COUNTIFS($AK$2:$AK$200,$G435)&gt;0,
    COUNTIFS($AL$2:$AL$200,$G435)&gt;0,
    COUNTIFS($AM$2:$AM$200,$G435)&gt;0,
    COUNTIFS($AN$2:$AN$200,$G435)&gt;0,
    COUNTIFS($AO$2:$AO$200,$G435)&gt;0,
    COUNTIFS($AP$2:$AP$200,$G435)&gt;0,
    COUNTIFS($AQ$2:$AQ$200,$G435)&gt;0,
    COUNTIFS($AR$2:$AR$200,$G435)&gt;0,
    COUNTIFS($AS$2:$AS$200,$G435)&gt;0,
    COUNTIFS($AT$2:$AT$200,$G435)&gt;0,
    COUNTIFS($AU$2:$AU$200,$G435)&gt;0,
    COUNTIFS($AV$2:$AV$200,$G435)&gt;0,
    COUNTIFS($AW$2:$AW$200,$G435)&gt;0,
    COUNTIFS($AX$2:$AX$200,$G435)&gt;0
   ),
  0)
 ),
"")</f>
        <v/>
      </c>
    </row>
    <row r="436" spans="1:3" x14ac:dyDescent="0.25">
      <c r="A436" s="3" t="str">
        <f t="shared" si="16"/>
        <v/>
      </c>
      <c r="B436" s="3">
        <f t="shared" si="17"/>
        <v>0</v>
      </c>
      <c r="C436" s="3" t="str">
        <f>IFERROR(
 INDEX($U$1:$AX$1,
  MATCH(TRUE,
   CHOOSE({1;2;3;4;5;6;7;8;9;10;11;12;13;14;15;16;17;18;19;20;21;22;23;24;25;26;27;28;29;30;31;32},
    COUNTIFS($U$2:$U$200,$G436)&gt;0,
    COUNTIFS($V$2:$V$200,$G436)&gt;0,
    COUNTIFS($W$2:$W$200,$G436)&gt;0,
    COUNTIFS($X$2:$X$200,$G436)&gt;0,
    COUNTIFS($Y$2:$Y$200,$G436)&gt;0,
    COUNTIFS($Z$2:$Z$200,$G436)&gt;0,
    COUNTIFS($AA$2:$AA$200,$G436)&gt;0,
    COUNTIFS($AB$2:$AB$200,$G436)&gt;0,
    COUNTIFS($AC$2:$AC$200,$G436)&gt;0,
    COUNTIFS($AD$2:$AD$200,$G436)&gt;0,
    COUNTIFS($AE$2:$AE$200,$G436)&gt;0,
    COUNTIFS($AF$2:$AF$200,$G436)&gt;0,
    COUNTIFS($AG$2:$AG$200,$G436)&gt;0,
    COUNTIFS($AH$2:$AH$200,$G436)&gt;0,
    COUNTIFS($AI$2:$AI$200,$G436)&gt;0,
    COUNTIFS($AJ$2:$AJ$200,$G436)&gt;0,
    COUNTIFS($AK$2:$AK$200,$G436)&gt;0,
    COUNTIFS($AL$2:$AL$200,$G436)&gt;0,
    COUNTIFS($AM$2:$AM$200,$G436)&gt;0,
    COUNTIFS($AN$2:$AN$200,$G436)&gt;0,
    COUNTIFS($AO$2:$AO$200,$G436)&gt;0,
    COUNTIFS($AP$2:$AP$200,$G436)&gt;0,
    COUNTIFS($AQ$2:$AQ$200,$G436)&gt;0,
    COUNTIFS($AR$2:$AR$200,$G436)&gt;0,
    COUNTIFS($AS$2:$AS$200,$G436)&gt;0,
    COUNTIFS($AT$2:$AT$200,$G436)&gt;0,
    COUNTIFS($AU$2:$AU$200,$G436)&gt;0,
    COUNTIFS($AV$2:$AV$200,$G436)&gt;0,
    COUNTIFS($AW$2:$AW$200,$G436)&gt;0,
    COUNTIFS($AX$2:$AX$200,$G436)&gt;0
   ),
  0)
 ),
"")</f>
        <v/>
      </c>
    </row>
    <row r="437" spans="1:3" x14ac:dyDescent="0.25">
      <c r="A437" s="3" t="str">
        <f t="shared" si="16"/>
        <v/>
      </c>
      <c r="B437" s="3">
        <f t="shared" si="17"/>
        <v>0</v>
      </c>
      <c r="C437" s="3" t="str">
        <f>IFERROR(
 INDEX($U$1:$AX$1,
  MATCH(TRUE,
   CHOOSE({1;2;3;4;5;6;7;8;9;10;11;12;13;14;15;16;17;18;19;20;21;22;23;24;25;26;27;28;29;30;31;32},
    COUNTIFS($U$2:$U$200,$G437)&gt;0,
    COUNTIFS($V$2:$V$200,$G437)&gt;0,
    COUNTIFS($W$2:$W$200,$G437)&gt;0,
    COUNTIFS($X$2:$X$200,$G437)&gt;0,
    COUNTIFS($Y$2:$Y$200,$G437)&gt;0,
    COUNTIFS($Z$2:$Z$200,$G437)&gt;0,
    COUNTIFS($AA$2:$AA$200,$G437)&gt;0,
    COUNTIFS($AB$2:$AB$200,$G437)&gt;0,
    COUNTIFS($AC$2:$AC$200,$G437)&gt;0,
    COUNTIFS($AD$2:$AD$200,$G437)&gt;0,
    COUNTIFS($AE$2:$AE$200,$G437)&gt;0,
    COUNTIFS($AF$2:$AF$200,$G437)&gt;0,
    COUNTIFS($AG$2:$AG$200,$G437)&gt;0,
    COUNTIFS($AH$2:$AH$200,$G437)&gt;0,
    COUNTIFS($AI$2:$AI$200,$G437)&gt;0,
    COUNTIFS($AJ$2:$AJ$200,$G437)&gt;0,
    COUNTIFS($AK$2:$AK$200,$G437)&gt;0,
    COUNTIFS($AL$2:$AL$200,$G437)&gt;0,
    COUNTIFS($AM$2:$AM$200,$G437)&gt;0,
    COUNTIFS($AN$2:$AN$200,$G437)&gt;0,
    COUNTIFS($AO$2:$AO$200,$G437)&gt;0,
    COUNTIFS($AP$2:$AP$200,$G437)&gt;0,
    COUNTIFS($AQ$2:$AQ$200,$G437)&gt;0,
    COUNTIFS($AR$2:$AR$200,$G437)&gt;0,
    COUNTIFS($AS$2:$AS$200,$G437)&gt;0,
    COUNTIFS($AT$2:$AT$200,$G437)&gt;0,
    COUNTIFS($AU$2:$AU$200,$G437)&gt;0,
    COUNTIFS($AV$2:$AV$200,$G437)&gt;0,
    COUNTIFS($AW$2:$AW$200,$G437)&gt;0,
    COUNTIFS($AX$2:$AX$200,$G437)&gt;0
   ),
  0)
 ),
"")</f>
        <v/>
      </c>
    </row>
    <row r="438" spans="1:3" x14ac:dyDescent="0.25">
      <c r="A438" s="3" t="str">
        <f t="shared" si="16"/>
        <v/>
      </c>
      <c r="B438" s="3">
        <f t="shared" si="17"/>
        <v>0</v>
      </c>
      <c r="C438" s="3" t="str">
        <f>IFERROR(
 INDEX($U$1:$AX$1,
  MATCH(TRUE,
   CHOOSE({1;2;3;4;5;6;7;8;9;10;11;12;13;14;15;16;17;18;19;20;21;22;23;24;25;26;27;28;29;30;31;32},
    COUNTIFS($U$2:$U$200,$G438)&gt;0,
    COUNTIFS($V$2:$V$200,$G438)&gt;0,
    COUNTIFS($W$2:$W$200,$G438)&gt;0,
    COUNTIFS($X$2:$X$200,$G438)&gt;0,
    COUNTIFS($Y$2:$Y$200,$G438)&gt;0,
    COUNTIFS($Z$2:$Z$200,$G438)&gt;0,
    COUNTIFS($AA$2:$AA$200,$G438)&gt;0,
    COUNTIFS($AB$2:$AB$200,$G438)&gt;0,
    COUNTIFS($AC$2:$AC$200,$G438)&gt;0,
    COUNTIFS($AD$2:$AD$200,$G438)&gt;0,
    COUNTIFS($AE$2:$AE$200,$G438)&gt;0,
    COUNTIFS($AF$2:$AF$200,$G438)&gt;0,
    COUNTIFS($AG$2:$AG$200,$G438)&gt;0,
    COUNTIFS($AH$2:$AH$200,$G438)&gt;0,
    COUNTIFS($AI$2:$AI$200,$G438)&gt;0,
    COUNTIFS($AJ$2:$AJ$200,$G438)&gt;0,
    COUNTIFS($AK$2:$AK$200,$G438)&gt;0,
    COUNTIFS($AL$2:$AL$200,$G438)&gt;0,
    COUNTIFS($AM$2:$AM$200,$G438)&gt;0,
    COUNTIFS($AN$2:$AN$200,$G438)&gt;0,
    COUNTIFS($AO$2:$AO$200,$G438)&gt;0,
    COUNTIFS($AP$2:$AP$200,$G438)&gt;0,
    COUNTIFS($AQ$2:$AQ$200,$G438)&gt;0,
    COUNTIFS($AR$2:$AR$200,$G438)&gt;0,
    COUNTIFS($AS$2:$AS$200,$G438)&gt;0,
    COUNTIFS($AT$2:$AT$200,$G438)&gt;0,
    COUNTIFS($AU$2:$AU$200,$G438)&gt;0,
    COUNTIFS($AV$2:$AV$200,$G438)&gt;0,
    COUNTIFS($AW$2:$AW$200,$G438)&gt;0,
    COUNTIFS($AX$2:$AX$200,$G438)&gt;0
   ),
  0)
 ),
"")</f>
        <v/>
      </c>
    </row>
    <row r="439" spans="1:3" x14ac:dyDescent="0.25">
      <c r="A439" s="3" t="str">
        <f t="shared" si="16"/>
        <v/>
      </c>
      <c r="B439" s="3">
        <f t="shared" si="17"/>
        <v>0</v>
      </c>
      <c r="C439" s="3" t="str">
        <f>IFERROR(
 INDEX($U$1:$AX$1,
  MATCH(TRUE,
   CHOOSE({1;2;3;4;5;6;7;8;9;10;11;12;13;14;15;16;17;18;19;20;21;22;23;24;25;26;27;28;29;30;31;32},
    COUNTIFS($U$2:$U$200,$G439)&gt;0,
    COUNTIFS($V$2:$V$200,$G439)&gt;0,
    COUNTIFS($W$2:$W$200,$G439)&gt;0,
    COUNTIFS($X$2:$X$200,$G439)&gt;0,
    COUNTIFS($Y$2:$Y$200,$G439)&gt;0,
    COUNTIFS($Z$2:$Z$200,$G439)&gt;0,
    COUNTIFS($AA$2:$AA$200,$G439)&gt;0,
    COUNTIFS($AB$2:$AB$200,$G439)&gt;0,
    COUNTIFS($AC$2:$AC$200,$G439)&gt;0,
    COUNTIFS($AD$2:$AD$200,$G439)&gt;0,
    COUNTIFS($AE$2:$AE$200,$G439)&gt;0,
    COUNTIFS($AF$2:$AF$200,$G439)&gt;0,
    COUNTIFS($AG$2:$AG$200,$G439)&gt;0,
    COUNTIFS($AH$2:$AH$200,$G439)&gt;0,
    COUNTIFS($AI$2:$AI$200,$G439)&gt;0,
    COUNTIFS($AJ$2:$AJ$200,$G439)&gt;0,
    COUNTIFS($AK$2:$AK$200,$G439)&gt;0,
    COUNTIFS($AL$2:$AL$200,$G439)&gt;0,
    COUNTIFS($AM$2:$AM$200,$G439)&gt;0,
    COUNTIFS($AN$2:$AN$200,$G439)&gt;0,
    COUNTIFS($AO$2:$AO$200,$G439)&gt;0,
    COUNTIFS($AP$2:$AP$200,$G439)&gt;0,
    COUNTIFS($AQ$2:$AQ$200,$G439)&gt;0,
    COUNTIFS($AR$2:$AR$200,$G439)&gt;0,
    COUNTIFS($AS$2:$AS$200,$G439)&gt;0,
    COUNTIFS($AT$2:$AT$200,$G439)&gt;0,
    COUNTIFS($AU$2:$AU$200,$G439)&gt;0,
    COUNTIFS($AV$2:$AV$200,$G439)&gt;0,
    COUNTIFS($AW$2:$AW$200,$G439)&gt;0,
    COUNTIFS($AX$2:$AX$200,$G439)&gt;0
   ),
  0)
 ),
"")</f>
        <v/>
      </c>
    </row>
    <row r="440" spans="1:3" x14ac:dyDescent="0.25">
      <c r="A440" s="3" t="str">
        <f t="shared" si="16"/>
        <v/>
      </c>
      <c r="B440" s="3">
        <f t="shared" si="17"/>
        <v>0</v>
      </c>
      <c r="C440" s="3" t="str">
        <f>IFERROR(
 INDEX($U$1:$AX$1,
  MATCH(TRUE,
   CHOOSE({1;2;3;4;5;6;7;8;9;10;11;12;13;14;15;16;17;18;19;20;21;22;23;24;25;26;27;28;29;30;31;32},
    COUNTIFS($U$2:$U$200,$G440)&gt;0,
    COUNTIFS($V$2:$V$200,$G440)&gt;0,
    COUNTIFS($W$2:$W$200,$G440)&gt;0,
    COUNTIFS($X$2:$X$200,$G440)&gt;0,
    COUNTIFS($Y$2:$Y$200,$G440)&gt;0,
    COUNTIFS($Z$2:$Z$200,$G440)&gt;0,
    COUNTIFS($AA$2:$AA$200,$G440)&gt;0,
    COUNTIFS($AB$2:$AB$200,$G440)&gt;0,
    COUNTIFS($AC$2:$AC$200,$G440)&gt;0,
    COUNTIFS($AD$2:$AD$200,$G440)&gt;0,
    COUNTIFS($AE$2:$AE$200,$G440)&gt;0,
    COUNTIFS($AF$2:$AF$200,$G440)&gt;0,
    COUNTIFS($AG$2:$AG$200,$G440)&gt;0,
    COUNTIFS($AH$2:$AH$200,$G440)&gt;0,
    COUNTIFS($AI$2:$AI$200,$G440)&gt;0,
    COUNTIFS($AJ$2:$AJ$200,$G440)&gt;0,
    COUNTIFS($AK$2:$AK$200,$G440)&gt;0,
    COUNTIFS($AL$2:$AL$200,$G440)&gt;0,
    COUNTIFS($AM$2:$AM$200,$G440)&gt;0,
    COUNTIFS($AN$2:$AN$200,$G440)&gt;0,
    COUNTIFS($AO$2:$AO$200,$G440)&gt;0,
    COUNTIFS($AP$2:$AP$200,$G440)&gt;0,
    COUNTIFS($AQ$2:$AQ$200,$G440)&gt;0,
    COUNTIFS($AR$2:$AR$200,$G440)&gt;0,
    COUNTIFS($AS$2:$AS$200,$G440)&gt;0,
    COUNTIFS($AT$2:$AT$200,$G440)&gt;0,
    COUNTIFS($AU$2:$AU$200,$G440)&gt;0,
    COUNTIFS($AV$2:$AV$200,$G440)&gt;0,
    COUNTIFS($AW$2:$AW$200,$G440)&gt;0,
    COUNTIFS($AX$2:$AX$200,$G440)&gt;0
   ),
  0)
 ),
"")</f>
        <v/>
      </c>
    </row>
    <row r="441" spans="1:3" x14ac:dyDescent="0.25">
      <c r="A441" s="3" t="str">
        <f t="shared" si="16"/>
        <v/>
      </c>
      <c r="B441" s="3">
        <f t="shared" si="17"/>
        <v>0</v>
      </c>
      <c r="C441" s="3" t="str">
        <f>IFERROR(
 INDEX($U$1:$AX$1,
  MATCH(TRUE,
   CHOOSE({1;2;3;4;5;6;7;8;9;10;11;12;13;14;15;16;17;18;19;20;21;22;23;24;25;26;27;28;29;30;31;32},
    COUNTIFS($U$2:$U$200,$G441)&gt;0,
    COUNTIFS($V$2:$V$200,$G441)&gt;0,
    COUNTIFS($W$2:$W$200,$G441)&gt;0,
    COUNTIFS($X$2:$X$200,$G441)&gt;0,
    COUNTIFS($Y$2:$Y$200,$G441)&gt;0,
    COUNTIFS($Z$2:$Z$200,$G441)&gt;0,
    COUNTIFS($AA$2:$AA$200,$G441)&gt;0,
    COUNTIFS($AB$2:$AB$200,$G441)&gt;0,
    COUNTIFS($AC$2:$AC$200,$G441)&gt;0,
    COUNTIFS($AD$2:$AD$200,$G441)&gt;0,
    COUNTIFS($AE$2:$AE$200,$G441)&gt;0,
    COUNTIFS($AF$2:$AF$200,$G441)&gt;0,
    COUNTIFS($AG$2:$AG$200,$G441)&gt;0,
    COUNTIFS($AH$2:$AH$200,$G441)&gt;0,
    COUNTIFS($AI$2:$AI$200,$G441)&gt;0,
    COUNTIFS($AJ$2:$AJ$200,$G441)&gt;0,
    COUNTIFS($AK$2:$AK$200,$G441)&gt;0,
    COUNTIFS($AL$2:$AL$200,$G441)&gt;0,
    COUNTIFS($AM$2:$AM$200,$G441)&gt;0,
    COUNTIFS($AN$2:$AN$200,$G441)&gt;0,
    COUNTIFS($AO$2:$AO$200,$G441)&gt;0,
    COUNTIFS($AP$2:$AP$200,$G441)&gt;0,
    COUNTIFS($AQ$2:$AQ$200,$G441)&gt;0,
    COUNTIFS($AR$2:$AR$200,$G441)&gt;0,
    COUNTIFS($AS$2:$AS$200,$G441)&gt;0,
    COUNTIFS($AT$2:$AT$200,$G441)&gt;0,
    COUNTIFS($AU$2:$AU$200,$G441)&gt;0,
    COUNTIFS($AV$2:$AV$200,$G441)&gt;0,
    COUNTIFS($AW$2:$AW$200,$G441)&gt;0,
    COUNTIFS($AX$2:$AX$200,$G441)&gt;0
   ),
  0)
 ),
"")</f>
        <v/>
      </c>
    </row>
    <row r="442" spans="1:3" x14ac:dyDescent="0.25">
      <c r="A442" s="3" t="str">
        <f t="shared" si="16"/>
        <v/>
      </c>
      <c r="B442" s="3">
        <f t="shared" si="17"/>
        <v>0</v>
      </c>
      <c r="C442" s="3" t="str">
        <f>IFERROR(
 INDEX($U$1:$AX$1,
  MATCH(TRUE,
   CHOOSE({1;2;3;4;5;6;7;8;9;10;11;12;13;14;15;16;17;18;19;20;21;22;23;24;25;26;27;28;29;30;31;32},
    COUNTIFS($U$2:$U$200,$G442)&gt;0,
    COUNTIFS($V$2:$V$200,$G442)&gt;0,
    COUNTIFS($W$2:$W$200,$G442)&gt;0,
    COUNTIFS($X$2:$X$200,$G442)&gt;0,
    COUNTIFS($Y$2:$Y$200,$G442)&gt;0,
    COUNTIFS($Z$2:$Z$200,$G442)&gt;0,
    COUNTIFS($AA$2:$AA$200,$G442)&gt;0,
    COUNTIFS($AB$2:$AB$200,$G442)&gt;0,
    COUNTIFS($AC$2:$AC$200,$G442)&gt;0,
    COUNTIFS($AD$2:$AD$200,$G442)&gt;0,
    COUNTIFS($AE$2:$AE$200,$G442)&gt;0,
    COUNTIFS($AF$2:$AF$200,$G442)&gt;0,
    COUNTIFS($AG$2:$AG$200,$G442)&gt;0,
    COUNTIFS($AH$2:$AH$200,$G442)&gt;0,
    COUNTIFS($AI$2:$AI$200,$G442)&gt;0,
    COUNTIFS($AJ$2:$AJ$200,$G442)&gt;0,
    COUNTIFS($AK$2:$AK$200,$G442)&gt;0,
    COUNTIFS($AL$2:$AL$200,$G442)&gt;0,
    COUNTIFS($AM$2:$AM$200,$G442)&gt;0,
    COUNTIFS($AN$2:$AN$200,$G442)&gt;0,
    COUNTIFS($AO$2:$AO$200,$G442)&gt;0,
    COUNTIFS($AP$2:$AP$200,$G442)&gt;0,
    COUNTIFS($AQ$2:$AQ$200,$G442)&gt;0,
    COUNTIFS($AR$2:$AR$200,$G442)&gt;0,
    COUNTIFS($AS$2:$AS$200,$G442)&gt;0,
    COUNTIFS($AT$2:$AT$200,$G442)&gt;0,
    COUNTIFS($AU$2:$AU$200,$G442)&gt;0,
    COUNTIFS($AV$2:$AV$200,$G442)&gt;0,
    COUNTIFS($AW$2:$AW$200,$G442)&gt;0,
    COUNTIFS($AX$2:$AX$200,$G442)&gt;0
   ),
  0)
 ),
"")</f>
        <v/>
      </c>
    </row>
    <row r="443" spans="1:3" x14ac:dyDescent="0.25">
      <c r="A443" s="3" t="str">
        <f t="shared" si="16"/>
        <v/>
      </c>
      <c r="B443" s="3">
        <f t="shared" si="17"/>
        <v>0</v>
      </c>
      <c r="C443" s="3" t="str">
        <f>IFERROR(
 INDEX($U$1:$AX$1,
  MATCH(TRUE,
   CHOOSE({1;2;3;4;5;6;7;8;9;10;11;12;13;14;15;16;17;18;19;20;21;22;23;24;25;26;27;28;29;30;31;32},
    COUNTIFS($U$2:$U$200,$G443)&gt;0,
    COUNTIFS($V$2:$V$200,$G443)&gt;0,
    COUNTIFS($W$2:$W$200,$G443)&gt;0,
    COUNTIFS($X$2:$X$200,$G443)&gt;0,
    COUNTIFS($Y$2:$Y$200,$G443)&gt;0,
    COUNTIFS($Z$2:$Z$200,$G443)&gt;0,
    COUNTIFS($AA$2:$AA$200,$G443)&gt;0,
    COUNTIFS($AB$2:$AB$200,$G443)&gt;0,
    COUNTIFS($AC$2:$AC$200,$G443)&gt;0,
    COUNTIFS($AD$2:$AD$200,$G443)&gt;0,
    COUNTIFS($AE$2:$AE$200,$G443)&gt;0,
    COUNTIFS($AF$2:$AF$200,$G443)&gt;0,
    COUNTIFS($AG$2:$AG$200,$G443)&gt;0,
    COUNTIFS($AH$2:$AH$200,$G443)&gt;0,
    COUNTIFS($AI$2:$AI$200,$G443)&gt;0,
    COUNTIFS($AJ$2:$AJ$200,$G443)&gt;0,
    COUNTIFS($AK$2:$AK$200,$G443)&gt;0,
    COUNTIFS($AL$2:$AL$200,$G443)&gt;0,
    COUNTIFS($AM$2:$AM$200,$G443)&gt;0,
    COUNTIFS($AN$2:$AN$200,$G443)&gt;0,
    COUNTIFS($AO$2:$AO$200,$G443)&gt;0,
    COUNTIFS($AP$2:$AP$200,$G443)&gt;0,
    COUNTIFS($AQ$2:$AQ$200,$G443)&gt;0,
    COUNTIFS($AR$2:$AR$200,$G443)&gt;0,
    COUNTIFS($AS$2:$AS$200,$G443)&gt;0,
    COUNTIFS($AT$2:$AT$200,$G443)&gt;0,
    COUNTIFS($AU$2:$AU$200,$G443)&gt;0,
    COUNTIFS($AV$2:$AV$200,$G443)&gt;0,
    COUNTIFS($AW$2:$AW$200,$G443)&gt;0,
    COUNTIFS($AX$2:$AX$200,$G443)&gt;0
   ),
  0)
 ),
"")</f>
        <v/>
      </c>
    </row>
    <row r="444" spans="1:3" x14ac:dyDescent="0.25">
      <c r="A444" s="3" t="str">
        <f t="shared" si="16"/>
        <v/>
      </c>
      <c r="B444" s="3">
        <f t="shared" si="17"/>
        <v>0</v>
      </c>
      <c r="C444" s="3" t="str">
        <f>IFERROR(
 INDEX($U$1:$AX$1,
  MATCH(TRUE,
   CHOOSE({1;2;3;4;5;6;7;8;9;10;11;12;13;14;15;16;17;18;19;20;21;22;23;24;25;26;27;28;29;30;31;32},
    COUNTIFS($U$2:$U$200,$G444)&gt;0,
    COUNTIFS($V$2:$V$200,$G444)&gt;0,
    COUNTIFS($W$2:$W$200,$G444)&gt;0,
    COUNTIFS($X$2:$X$200,$G444)&gt;0,
    COUNTIFS($Y$2:$Y$200,$G444)&gt;0,
    COUNTIFS($Z$2:$Z$200,$G444)&gt;0,
    COUNTIFS($AA$2:$AA$200,$G444)&gt;0,
    COUNTIFS($AB$2:$AB$200,$G444)&gt;0,
    COUNTIFS($AC$2:$AC$200,$G444)&gt;0,
    COUNTIFS($AD$2:$AD$200,$G444)&gt;0,
    COUNTIFS($AE$2:$AE$200,$G444)&gt;0,
    COUNTIFS($AF$2:$AF$200,$G444)&gt;0,
    COUNTIFS($AG$2:$AG$200,$G444)&gt;0,
    COUNTIFS($AH$2:$AH$200,$G444)&gt;0,
    COUNTIFS($AI$2:$AI$200,$G444)&gt;0,
    COUNTIFS($AJ$2:$AJ$200,$G444)&gt;0,
    COUNTIFS($AK$2:$AK$200,$G444)&gt;0,
    COUNTIFS($AL$2:$AL$200,$G444)&gt;0,
    COUNTIFS($AM$2:$AM$200,$G444)&gt;0,
    COUNTIFS($AN$2:$AN$200,$G444)&gt;0,
    COUNTIFS($AO$2:$AO$200,$G444)&gt;0,
    COUNTIFS($AP$2:$AP$200,$G444)&gt;0,
    COUNTIFS($AQ$2:$AQ$200,$G444)&gt;0,
    COUNTIFS($AR$2:$AR$200,$G444)&gt;0,
    COUNTIFS($AS$2:$AS$200,$G444)&gt;0,
    COUNTIFS($AT$2:$AT$200,$G444)&gt;0,
    COUNTIFS($AU$2:$AU$200,$G444)&gt;0,
    COUNTIFS($AV$2:$AV$200,$G444)&gt;0,
    COUNTIFS($AW$2:$AW$200,$G444)&gt;0,
    COUNTIFS($AX$2:$AX$200,$G444)&gt;0
   ),
  0)
 ),
"")</f>
        <v/>
      </c>
    </row>
    <row r="445" spans="1:3" x14ac:dyDescent="0.25">
      <c r="A445" s="3" t="str">
        <f t="shared" si="16"/>
        <v/>
      </c>
      <c r="B445" s="3">
        <f t="shared" si="17"/>
        <v>0</v>
      </c>
      <c r="C445" s="3" t="str">
        <f>IFERROR(
 INDEX($U$1:$AX$1,
  MATCH(TRUE,
   CHOOSE({1;2;3;4;5;6;7;8;9;10;11;12;13;14;15;16;17;18;19;20;21;22;23;24;25;26;27;28;29;30;31;32},
    COUNTIFS($U$2:$U$200,$G445)&gt;0,
    COUNTIFS($V$2:$V$200,$G445)&gt;0,
    COUNTIFS($W$2:$W$200,$G445)&gt;0,
    COUNTIFS($X$2:$X$200,$G445)&gt;0,
    COUNTIFS($Y$2:$Y$200,$G445)&gt;0,
    COUNTIFS($Z$2:$Z$200,$G445)&gt;0,
    COUNTIFS($AA$2:$AA$200,$G445)&gt;0,
    COUNTIFS($AB$2:$AB$200,$G445)&gt;0,
    COUNTIFS($AC$2:$AC$200,$G445)&gt;0,
    COUNTIFS($AD$2:$AD$200,$G445)&gt;0,
    COUNTIFS($AE$2:$AE$200,$G445)&gt;0,
    COUNTIFS($AF$2:$AF$200,$G445)&gt;0,
    COUNTIFS($AG$2:$AG$200,$G445)&gt;0,
    COUNTIFS($AH$2:$AH$200,$G445)&gt;0,
    COUNTIFS($AI$2:$AI$200,$G445)&gt;0,
    COUNTIFS($AJ$2:$AJ$200,$G445)&gt;0,
    COUNTIFS($AK$2:$AK$200,$G445)&gt;0,
    COUNTIFS($AL$2:$AL$200,$G445)&gt;0,
    COUNTIFS($AM$2:$AM$200,$G445)&gt;0,
    COUNTIFS($AN$2:$AN$200,$G445)&gt;0,
    COUNTIFS($AO$2:$AO$200,$G445)&gt;0,
    COUNTIFS($AP$2:$AP$200,$G445)&gt;0,
    COUNTIFS($AQ$2:$AQ$200,$G445)&gt;0,
    COUNTIFS($AR$2:$AR$200,$G445)&gt;0,
    COUNTIFS($AS$2:$AS$200,$G445)&gt;0,
    COUNTIFS($AT$2:$AT$200,$G445)&gt;0,
    COUNTIFS($AU$2:$AU$200,$G445)&gt;0,
    COUNTIFS($AV$2:$AV$200,$G445)&gt;0,
    COUNTIFS($AW$2:$AW$200,$G445)&gt;0,
    COUNTIFS($AX$2:$AX$200,$G445)&gt;0
   ),
  0)
 ),
"")</f>
        <v/>
      </c>
    </row>
    <row r="446" spans="1:3" x14ac:dyDescent="0.25">
      <c r="A446" s="3" t="str">
        <f t="shared" si="16"/>
        <v/>
      </c>
      <c r="B446" s="3">
        <f t="shared" si="17"/>
        <v>0</v>
      </c>
      <c r="C446" s="3" t="str">
        <f>IFERROR(
 INDEX($U$1:$AX$1,
  MATCH(TRUE,
   CHOOSE({1;2;3;4;5;6;7;8;9;10;11;12;13;14;15;16;17;18;19;20;21;22;23;24;25;26;27;28;29;30;31;32},
    COUNTIFS($U$2:$U$200,$G446)&gt;0,
    COUNTIFS($V$2:$V$200,$G446)&gt;0,
    COUNTIFS($W$2:$W$200,$G446)&gt;0,
    COUNTIFS($X$2:$X$200,$G446)&gt;0,
    COUNTIFS($Y$2:$Y$200,$G446)&gt;0,
    COUNTIFS($Z$2:$Z$200,$G446)&gt;0,
    COUNTIFS($AA$2:$AA$200,$G446)&gt;0,
    COUNTIFS($AB$2:$AB$200,$G446)&gt;0,
    COUNTIFS($AC$2:$AC$200,$G446)&gt;0,
    COUNTIFS($AD$2:$AD$200,$G446)&gt;0,
    COUNTIFS($AE$2:$AE$200,$G446)&gt;0,
    COUNTIFS($AF$2:$AF$200,$G446)&gt;0,
    COUNTIFS($AG$2:$AG$200,$G446)&gt;0,
    COUNTIFS($AH$2:$AH$200,$G446)&gt;0,
    COUNTIFS($AI$2:$AI$200,$G446)&gt;0,
    COUNTIFS($AJ$2:$AJ$200,$G446)&gt;0,
    COUNTIFS($AK$2:$AK$200,$G446)&gt;0,
    COUNTIFS($AL$2:$AL$200,$G446)&gt;0,
    COUNTIFS($AM$2:$AM$200,$G446)&gt;0,
    COUNTIFS($AN$2:$AN$200,$G446)&gt;0,
    COUNTIFS($AO$2:$AO$200,$G446)&gt;0,
    COUNTIFS($AP$2:$AP$200,$G446)&gt;0,
    COUNTIFS($AQ$2:$AQ$200,$G446)&gt;0,
    COUNTIFS($AR$2:$AR$200,$G446)&gt;0,
    COUNTIFS($AS$2:$AS$200,$G446)&gt;0,
    COUNTIFS($AT$2:$AT$200,$G446)&gt;0,
    COUNTIFS($AU$2:$AU$200,$G446)&gt;0,
    COUNTIFS($AV$2:$AV$200,$G446)&gt;0,
    COUNTIFS($AW$2:$AW$200,$G446)&gt;0,
    COUNTIFS($AX$2:$AX$200,$G446)&gt;0
   ),
  0)
 ),
"")</f>
        <v/>
      </c>
    </row>
    <row r="447" spans="1:3" x14ac:dyDescent="0.25">
      <c r="A447" s="3" t="str">
        <f t="shared" si="16"/>
        <v/>
      </c>
      <c r="B447" s="3">
        <f t="shared" si="17"/>
        <v>0</v>
      </c>
      <c r="C447" s="3" t="str">
        <f>IFERROR(
 INDEX($U$1:$AX$1,
  MATCH(TRUE,
   CHOOSE({1;2;3;4;5;6;7;8;9;10;11;12;13;14;15;16;17;18;19;20;21;22;23;24;25;26;27;28;29;30;31;32},
    COUNTIFS($U$2:$U$200,$G447)&gt;0,
    COUNTIFS($V$2:$V$200,$G447)&gt;0,
    COUNTIFS($W$2:$W$200,$G447)&gt;0,
    COUNTIFS($X$2:$X$200,$G447)&gt;0,
    COUNTIFS($Y$2:$Y$200,$G447)&gt;0,
    COUNTIFS($Z$2:$Z$200,$G447)&gt;0,
    COUNTIFS($AA$2:$AA$200,$G447)&gt;0,
    COUNTIFS($AB$2:$AB$200,$G447)&gt;0,
    COUNTIFS($AC$2:$AC$200,$G447)&gt;0,
    COUNTIFS($AD$2:$AD$200,$G447)&gt;0,
    COUNTIFS($AE$2:$AE$200,$G447)&gt;0,
    COUNTIFS($AF$2:$AF$200,$G447)&gt;0,
    COUNTIFS($AG$2:$AG$200,$G447)&gt;0,
    COUNTIFS($AH$2:$AH$200,$G447)&gt;0,
    COUNTIFS($AI$2:$AI$200,$G447)&gt;0,
    COUNTIFS($AJ$2:$AJ$200,$G447)&gt;0,
    COUNTIFS($AK$2:$AK$200,$G447)&gt;0,
    COUNTIFS($AL$2:$AL$200,$G447)&gt;0,
    COUNTIFS($AM$2:$AM$200,$G447)&gt;0,
    COUNTIFS($AN$2:$AN$200,$G447)&gt;0,
    COUNTIFS($AO$2:$AO$200,$G447)&gt;0,
    COUNTIFS($AP$2:$AP$200,$G447)&gt;0,
    COUNTIFS($AQ$2:$AQ$200,$G447)&gt;0,
    COUNTIFS($AR$2:$AR$200,$G447)&gt;0,
    COUNTIFS($AS$2:$AS$200,$G447)&gt;0,
    COUNTIFS($AT$2:$AT$200,$G447)&gt;0,
    COUNTIFS($AU$2:$AU$200,$G447)&gt;0,
    COUNTIFS($AV$2:$AV$200,$G447)&gt;0,
    COUNTIFS($AW$2:$AW$200,$G447)&gt;0,
    COUNTIFS($AX$2:$AX$200,$G447)&gt;0
   ),
  0)
 ),
"")</f>
        <v/>
      </c>
    </row>
    <row r="448" spans="1:3" x14ac:dyDescent="0.25">
      <c r="A448" s="3" t="str">
        <f t="shared" si="16"/>
        <v/>
      </c>
      <c r="B448" s="3">
        <f t="shared" si="17"/>
        <v>0</v>
      </c>
      <c r="C448" s="3" t="str">
        <f>IFERROR(
 INDEX($U$1:$AX$1,
  MATCH(TRUE,
   CHOOSE({1;2;3;4;5;6;7;8;9;10;11;12;13;14;15;16;17;18;19;20;21;22;23;24;25;26;27;28;29;30;31;32},
    COUNTIFS($U$2:$U$200,$G448)&gt;0,
    COUNTIFS($V$2:$V$200,$G448)&gt;0,
    COUNTIFS($W$2:$W$200,$G448)&gt;0,
    COUNTIFS($X$2:$X$200,$G448)&gt;0,
    COUNTIFS($Y$2:$Y$200,$G448)&gt;0,
    COUNTIFS($Z$2:$Z$200,$G448)&gt;0,
    COUNTIFS($AA$2:$AA$200,$G448)&gt;0,
    COUNTIFS($AB$2:$AB$200,$G448)&gt;0,
    COUNTIFS($AC$2:$AC$200,$G448)&gt;0,
    COUNTIFS($AD$2:$AD$200,$G448)&gt;0,
    COUNTIFS($AE$2:$AE$200,$G448)&gt;0,
    COUNTIFS($AF$2:$AF$200,$G448)&gt;0,
    COUNTIFS($AG$2:$AG$200,$G448)&gt;0,
    COUNTIFS($AH$2:$AH$200,$G448)&gt;0,
    COUNTIFS($AI$2:$AI$200,$G448)&gt;0,
    COUNTIFS($AJ$2:$AJ$200,$G448)&gt;0,
    COUNTIFS($AK$2:$AK$200,$G448)&gt;0,
    COUNTIFS($AL$2:$AL$200,$G448)&gt;0,
    COUNTIFS($AM$2:$AM$200,$G448)&gt;0,
    COUNTIFS($AN$2:$AN$200,$G448)&gt;0,
    COUNTIFS($AO$2:$AO$200,$G448)&gt;0,
    COUNTIFS($AP$2:$AP$200,$G448)&gt;0,
    COUNTIFS($AQ$2:$AQ$200,$G448)&gt;0,
    COUNTIFS($AR$2:$AR$200,$G448)&gt;0,
    COUNTIFS($AS$2:$AS$200,$G448)&gt;0,
    COUNTIFS($AT$2:$AT$200,$G448)&gt;0,
    COUNTIFS($AU$2:$AU$200,$G448)&gt;0,
    COUNTIFS($AV$2:$AV$200,$G448)&gt;0,
    COUNTIFS($AW$2:$AW$200,$G448)&gt;0,
    COUNTIFS($AX$2:$AX$200,$G448)&gt;0
   ),
  0)
 ),
"")</f>
        <v/>
      </c>
    </row>
    <row r="449" spans="1:3" x14ac:dyDescent="0.25">
      <c r="A449" s="3" t="str">
        <f t="shared" si="16"/>
        <v/>
      </c>
      <c r="B449" s="3">
        <f t="shared" si="17"/>
        <v>0</v>
      </c>
      <c r="C449" s="3" t="str">
        <f>IFERROR(
 INDEX($U$1:$AX$1,
  MATCH(TRUE,
   CHOOSE({1;2;3;4;5;6;7;8;9;10;11;12;13;14;15;16;17;18;19;20;21;22;23;24;25;26;27;28;29;30;31;32},
    COUNTIFS($U$2:$U$200,$G449)&gt;0,
    COUNTIFS($V$2:$V$200,$G449)&gt;0,
    COUNTIFS($W$2:$W$200,$G449)&gt;0,
    COUNTIFS($X$2:$X$200,$G449)&gt;0,
    COUNTIFS($Y$2:$Y$200,$G449)&gt;0,
    COUNTIFS($Z$2:$Z$200,$G449)&gt;0,
    COUNTIFS($AA$2:$AA$200,$G449)&gt;0,
    COUNTIFS($AB$2:$AB$200,$G449)&gt;0,
    COUNTIFS($AC$2:$AC$200,$G449)&gt;0,
    COUNTIFS($AD$2:$AD$200,$G449)&gt;0,
    COUNTIFS($AE$2:$AE$200,$G449)&gt;0,
    COUNTIFS($AF$2:$AF$200,$G449)&gt;0,
    COUNTIFS($AG$2:$AG$200,$G449)&gt;0,
    COUNTIFS($AH$2:$AH$200,$G449)&gt;0,
    COUNTIFS($AI$2:$AI$200,$G449)&gt;0,
    COUNTIFS($AJ$2:$AJ$200,$G449)&gt;0,
    COUNTIFS($AK$2:$AK$200,$G449)&gt;0,
    COUNTIFS($AL$2:$AL$200,$G449)&gt;0,
    COUNTIFS($AM$2:$AM$200,$G449)&gt;0,
    COUNTIFS($AN$2:$AN$200,$G449)&gt;0,
    COUNTIFS($AO$2:$AO$200,$G449)&gt;0,
    COUNTIFS($AP$2:$AP$200,$G449)&gt;0,
    COUNTIFS($AQ$2:$AQ$200,$G449)&gt;0,
    COUNTIFS($AR$2:$AR$200,$G449)&gt;0,
    COUNTIFS($AS$2:$AS$200,$G449)&gt;0,
    COUNTIFS($AT$2:$AT$200,$G449)&gt;0,
    COUNTIFS($AU$2:$AU$200,$G449)&gt;0,
    COUNTIFS($AV$2:$AV$200,$G449)&gt;0,
    COUNTIFS($AW$2:$AW$200,$G449)&gt;0,
    COUNTIFS($AX$2:$AX$200,$G449)&gt;0
   ),
  0)
 ),
"")</f>
        <v/>
      </c>
    </row>
    <row r="450" spans="1:3" x14ac:dyDescent="0.25">
      <c r="A450" s="3" t="str">
        <f t="shared" si="16"/>
        <v/>
      </c>
      <c r="B450" s="3">
        <f t="shared" si="17"/>
        <v>0</v>
      </c>
      <c r="C450" s="3" t="str">
        <f>IFERROR(
 INDEX($U$1:$AX$1,
  MATCH(TRUE,
   CHOOSE({1;2;3;4;5;6;7;8;9;10;11;12;13;14;15;16;17;18;19;20;21;22;23;24;25;26;27;28;29;30;31;32},
    COUNTIFS($U$2:$U$200,$G450)&gt;0,
    COUNTIFS($V$2:$V$200,$G450)&gt;0,
    COUNTIFS($W$2:$W$200,$G450)&gt;0,
    COUNTIFS($X$2:$X$200,$G450)&gt;0,
    COUNTIFS($Y$2:$Y$200,$G450)&gt;0,
    COUNTIFS($Z$2:$Z$200,$G450)&gt;0,
    COUNTIFS($AA$2:$AA$200,$G450)&gt;0,
    COUNTIFS($AB$2:$AB$200,$G450)&gt;0,
    COUNTIFS($AC$2:$AC$200,$G450)&gt;0,
    COUNTIFS($AD$2:$AD$200,$G450)&gt;0,
    COUNTIFS($AE$2:$AE$200,$G450)&gt;0,
    COUNTIFS($AF$2:$AF$200,$G450)&gt;0,
    COUNTIFS($AG$2:$AG$200,$G450)&gt;0,
    COUNTIFS($AH$2:$AH$200,$G450)&gt;0,
    COUNTIFS($AI$2:$AI$200,$G450)&gt;0,
    COUNTIFS($AJ$2:$AJ$200,$G450)&gt;0,
    COUNTIFS($AK$2:$AK$200,$G450)&gt;0,
    COUNTIFS($AL$2:$AL$200,$G450)&gt;0,
    COUNTIFS($AM$2:$AM$200,$G450)&gt;0,
    COUNTIFS($AN$2:$AN$200,$G450)&gt;0,
    COUNTIFS($AO$2:$AO$200,$G450)&gt;0,
    COUNTIFS($AP$2:$AP$200,$G450)&gt;0,
    COUNTIFS($AQ$2:$AQ$200,$G450)&gt;0,
    COUNTIFS($AR$2:$AR$200,$G450)&gt;0,
    COUNTIFS($AS$2:$AS$200,$G450)&gt;0,
    COUNTIFS($AT$2:$AT$200,$G450)&gt;0,
    COUNTIFS($AU$2:$AU$200,$G450)&gt;0,
    COUNTIFS($AV$2:$AV$200,$G450)&gt;0,
    COUNTIFS($AW$2:$AW$200,$G450)&gt;0,
    COUNTIFS($AX$2:$AX$200,$G450)&gt;0
   ),
  0)
 ),
"")</f>
        <v/>
      </c>
    </row>
    <row r="451" spans="1:3" x14ac:dyDescent="0.25">
      <c r="A451" s="3" t="str">
        <f t="shared" ref="A451" si="18">IFERROR(INDEX($S$3:$S$200, MATCH($C451, $I$3:$I$200, 0)), "")</f>
        <v/>
      </c>
      <c r="B451" s="3">
        <f t="shared" ref="B451" si="19">COUNTIF(U:AX,G451)</f>
        <v>0</v>
      </c>
      <c r="C451" s="3" t="str">
        <f>IFERROR(
 INDEX($U$1:$AX$1,
  MATCH(TRUE,
   CHOOSE({1;2;3;4;5;6;7;8;9;10;11;12;13;14;15;16;17;18;19;20;21;22;23;24;25;26;27;28;29;30;31;32},
    COUNTIFS($U$2:$U$200,$G451)&gt;0,
    COUNTIFS($V$2:$V$200,$G451)&gt;0,
    COUNTIFS($W$2:$W$200,$G451)&gt;0,
    COUNTIFS($X$2:$X$200,$G451)&gt;0,
    COUNTIFS($Y$2:$Y$200,$G451)&gt;0,
    COUNTIFS($Z$2:$Z$200,$G451)&gt;0,
    COUNTIFS($AA$2:$AA$200,$G451)&gt;0,
    COUNTIFS($AB$2:$AB$200,$G451)&gt;0,
    COUNTIFS($AC$2:$AC$200,$G451)&gt;0,
    COUNTIFS($AD$2:$AD$200,$G451)&gt;0,
    COUNTIFS($AE$2:$AE$200,$G451)&gt;0,
    COUNTIFS($AF$2:$AF$200,$G451)&gt;0,
    COUNTIFS($AG$2:$AG$200,$G451)&gt;0,
    COUNTIFS($AH$2:$AH$200,$G451)&gt;0,
    COUNTIFS($AI$2:$AI$200,$G451)&gt;0,
    COUNTIFS($AJ$2:$AJ$200,$G451)&gt;0,
    COUNTIFS($AK$2:$AK$200,$G451)&gt;0,
    COUNTIFS($AL$2:$AL$200,$G451)&gt;0,
    COUNTIFS($AM$2:$AM$200,$G451)&gt;0,
    COUNTIFS($AN$2:$AN$200,$G451)&gt;0,
    COUNTIFS($AO$2:$AO$200,$G451)&gt;0,
    COUNTIFS($AP$2:$AP$200,$G451)&gt;0,
    COUNTIFS($AQ$2:$AQ$200,$G451)&gt;0,
    COUNTIFS($AR$2:$AR$200,$G451)&gt;0,
    COUNTIFS($AS$2:$AS$200,$G451)&gt;0,
    COUNTIFS($AT$2:$AT$200,$G451)&gt;0,
    COUNTIFS($AU$2:$AU$200,$G451)&gt;0,
    COUNTIFS($AV$2:$AV$200,$G451)&gt;0,
    COUNTIFS($AW$2:$AW$200,$G451)&gt;0,
    COUNTIFS($AX$2:$AX$200,$G451)&gt;0
   ),
  0)
 ),
"")</f>
        <v/>
      </c>
    </row>
  </sheetData>
  <autoFilter ref="A1:G451" xr:uid="{2A495595-9915-4BE6-A12D-A938ACD47CCD}"/>
  <sortState xmlns:xlrd2="http://schemas.microsoft.com/office/spreadsheetml/2017/richdata2" ref="I3:S30">
    <sortCondition ref="S2:S30"/>
  </sortState>
  <mergeCells count="1">
    <mergeCell ref="K1:O1"/>
  </mergeCells>
  <conditionalFormatting sqref="J3:Q30 R3 R11 R16 J31:J3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ntainsText" dxfId="66" priority="7" operator="containsText" text="Sim">
      <formula>NOT(ISERROR(SEARCH("Sim",K1)))</formula>
    </cfRule>
  </conditionalFormatting>
  <conditionalFormatting sqref="K1:O1048576">
    <cfRule type="containsText" dxfId="65" priority="2" operator="containsText" text="Não">
      <formula>NOT(ISERROR(SEARCH("Não",K1)))</formula>
    </cfRule>
  </conditionalFormatting>
  <conditionalFormatting sqref="L1:L1048576">
    <cfRule type="containsText" dxfId="64" priority="6" operator="containsText" text="Sim">
      <formula>NOT(ISERROR(SEARCH("Sim",L1)))</formula>
    </cfRule>
  </conditionalFormatting>
  <conditionalFormatting sqref="M1:M1048576">
    <cfRule type="containsText" dxfId="63" priority="3" operator="containsText" text="Sim">
      <formula>NOT(ISERROR(SEARCH("Sim",M1)))</formula>
    </cfRule>
  </conditionalFormatting>
  <conditionalFormatting sqref="N1:N1048576">
    <cfRule type="containsText" dxfId="62" priority="4" operator="containsText" text="Sim">
      <formula>NOT(ISERROR(SEARCH("Sim",N1)))</formula>
    </cfRule>
  </conditionalFormatting>
  <conditionalFormatting sqref="O1:O1048576">
    <cfRule type="containsText" dxfId="61" priority="5" operator="containsText" text="Sim">
      <formula>NOT(ISERROR(SEARCH("Sim",O1)))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2340-28E7-4C7F-94CA-EA9FA62CECE9}">
  <dimension ref="A1:CI452"/>
  <sheetViews>
    <sheetView workbookViewId="0">
      <selection activeCell="I8" sqref="I3:I8"/>
    </sheetView>
  </sheetViews>
  <sheetFormatPr defaultColWidth="9.140625" defaultRowHeight="15" x14ac:dyDescent="0.25"/>
  <cols>
    <col min="1" max="1" width="39.28515625" bestFit="1" customWidth="1"/>
    <col min="2" max="2" width="9.140625" style="3"/>
    <col min="3" max="3" width="10.42578125" style="3" bestFit="1" customWidth="1"/>
    <col min="4" max="4" width="4.140625" style="8" customWidth="1"/>
    <col min="5" max="5" width="43.7109375" customWidth="1"/>
    <col min="6" max="7" width="9.140625" style="3" customWidth="1"/>
    <col min="8" max="8" width="4.140625" style="8" customWidth="1"/>
    <col min="9" max="9" width="34.85546875" customWidth="1"/>
    <col min="10" max="10" width="11.42578125" customWidth="1"/>
    <col min="11" max="11" width="9.140625" style="3" customWidth="1"/>
    <col min="12" max="12" width="4.140625" style="8" customWidth="1"/>
    <col min="13" max="13" width="39.28515625" customWidth="1"/>
    <col min="14" max="14" width="8.5703125" style="3" customWidth="1"/>
    <col min="15" max="15" width="11.7109375" style="3" customWidth="1"/>
    <col min="16" max="18" width="11.7109375" style="3" hidden="1" customWidth="1"/>
    <col min="19" max="19" width="4.140625" style="8" customWidth="1"/>
    <col min="20" max="51" width="9.140625" hidden="1" customWidth="1"/>
    <col min="52" max="52" width="4.140625" style="8" hidden="1" customWidth="1"/>
    <col min="53" max="65" width="9.140625" hidden="1" customWidth="1"/>
    <col min="66" max="66" width="8.7109375" hidden="1" customWidth="1"/>
    <col min="67" max="68" width="9.140625" hidden="1" customWidth="1"/>
    <col min="69" max="69" width="4.140625" style="8" hidden="1" customWidth="1"/>
    <col min="70" max="77" width="9.140625" hidden="1" customWidth="1"/>
    <col min="78" max="78" width="4.140625" style="8" hidden="1" customWidth="1"/>
    <col min="79" max="82" width="9.140625" hidden="1" customWidth="1"/>
    <col min="83" max="83" width="4.140625" style="8" hidden="1" customWidth="1"/>
    <col min="84" max="85" width="9.140625" hidden="1" customWidth="1"/>
    <col min="86" max="86" width="4.140625" style="8" hidden="1" customWidth="1"/>
    <col min="87" max="87" width="9.140625" hidden="1" customWidth="1"/>
  </cols>
  <sheetData>
    <row r="1" spans="1:87" s="23" customFormat="1" x14ac:dyDescent="0.25">
      <c r="A1" s="28" t="s">
        <v>2293</v>
      </c>
      <c r="B1" s="28"/>
      <c r="C1" s="28"/>
      <c r="D1" s="26"/>
      <c r="E1" s="28" t="s">
        <v>2292</v>
      </c>
      <c r="F1" s="28"/>
      <c r="G1" s="28"/>
      <c r="H1" s="26"/>
      <c r="I1" s="28" t="s">
        <v>2289</v>
      </c>
      <c r="J1" s="28"/>
      <c r="K1" s="28"/>
      <c r="L1" s="26"/>
      <c r="M1" s="28" t="s">
        <v>2291</v>
      </c>
      <c r="N1" s="28"/>
      <c r="O1" s="28"/>
      <c r="P1" s="4"/>
      <c r="Q1" s="4"/>
      <c r="R1" s="4"/>
      <c r="S1" s="26"/>
      <c r="AZ1" s="26"/>
      <c r="BQ1" s="26"/>
      <c r="BZ1" s="26"/>
      <c r="CE1" s="26"/>
      <c r="CH1" s="26"/>
    </row>
    <row r="2" spans="1:87" s="4" customFormat="1" x14ac:dyDescent="0.25">
      <c r="A2" s="4" t="s">
        <v>2286</v>
      </c>
      <c r="B2" s="4" t="s">
        <v>1</v>
      </c>
      <c r="C2" s="4" t="s">
        <v>2287</v>
      </c>
      <c r="D2" s="24"/>
      <c r="E2" s="4" t="s">
        <v>2021</v>
      </c>
      <c r="F2" s="4" t="s">
        <v>2284</v>
      </c>
      <c r="G2" s="4" t="s">
        <v>2288</v>
      </c>
      <c r="H2" s="24"/>
      <c r="I2" s="4" t="s">
        <v>2021</v>
      </c>
      <c r="J2" s="4" t="s">
        <v>2290</v>
      </c>
      <c r="K2" s="4" t="s">
        <v>2284</v>
      </c>
      <c r="L2" s="24"/>
      <c r="M2" s="4" t="s">
        <v>2021</v>
      </c>
      <c r="N2" s="4" t="s">
        <v>2284</v>
      </c>
      <c r="O2" s="4" t="s">
        <v>1631</v>
      </c>
      <c r="P2" s="4" t="s">
        <v>1633</v>
      </c>
      <c r="Q2" s="4" t="s">
        <v>1634</v>
      </c>
      <c r="R2" s="4" t="s">
        <v>1635</v>
      </c>
      <c r="S2" s="24"/>
      <c r="T2" s="23" t="s">
        <v>2001</v>
      </c>
      <c r="U2" s="23" t="s">
        <v>1531</v>
      </c>
      <c r="V2" s="23" t="s">
        <v>1660</v>
      </c>
      <c r="W2" s="23" t="s">
        <v>1808</v>
      </c>
      <c r="X2" s="23" t="s">
        <v>19</v>
      </c>
      <c r="Y2" s="23" t="s">
        <v>1812</v>
      </c>
      <c r="Z2" s="23" t="s">
        <v>48</v>
      </c>
      <c r="AA2" s="23" t="s">
        <v>1638</v>
      </c>
      <c r="AB2" s="23" t="s">
        <v>2031</v>
      </c>
      <c r="AC2" s="23" t="s">
        <v>2022</v>
      </c>
      <c r="AD2" s="23" t="s">
        <v>12</v>
      </c>
      <c r="AE2" s="23" t="s">
        <v>2023</v>
      </c>
      <c r="AF2" s="23" t="s">
        <v>16</v>
      </c>
      <c r="AG2" s="23" t="s">
        <v>18</v>
      </c>
      <c r="AH2" s="23" t="s">
        <v>22</v>
      </c>
      <c r="AI2" s="23" t="s">
        <v>46</v>
      </c>
      <c r="AJ2" s="23" t="s">
        <v>8</v>
      </c>
      <c r="AK2" s="23" t="s">
        <v>9</v>
      </c>
      <c r="AL2" s="23" t="s">
        <v>10</v>
      </c>
      <c r="AM2" s="23" t="s">
        <v>11</v>
      </c>
      <c r="AN2" s="23" t="s">
        <v>13</v>
      </c>
      <c r="AO2" s="23" t="s">
        <v>20</v>
      </c>
      <c r="AP2" s="23" t="s">
        <v>21</v>
      </c>
      <c r="AQ2" s="23" t="s">
        <v>23</v>
      </c>
      <c r="AR2" s="23" t="s">
        <v>2030</v>
      </c>
      <c r="AS2" s="23" t="s">
        <v>14</v>
      </c>
      <c r="AT2" s="23" t="s">
        <v>15</v>
      </c>
      <c r="AU2" s="23" t="s">
        <v>17</v>
      </c>
      <c r="AV2" s="23" t="s">
        <v>2175</v>
      </c>
      <c r="AW2" s="23" t="s">
        <v>2155</v>
      </c>
      <c r="AX2" s="23" t="s">
        <v>2282</v>
      </c>
      <c r="AY2" s="23" t="s">
        <v>2283</v>
      </c>
      <c r="AZ2" s="24"/>
      <c r="BQ2" s="24"/>
      <c r="BZ2" s="24"/>
      <c r="CE2" s="24"/>
      <c r="CH2" s="24"/>
    </row>
    <row r="3" spans="1:87" x14ac:dyDescent="0.25">
      <c r="A3" t="str" cm="1">
        <f t="array" aca="1" ref="A3:A341" ca="1">_xlfn.ANCHORARRAY(RESUMO!G2)</f>
        <v>A Joia do Enigma</v>
      </c>
      <c r="B3" s="3" t="str" cm="1">
        <f t="array" aca="1" ref="B3" ca="1">_xlfn.ANCHORARRAY(RESUMO!C2)</f>
        <v>Muzzio</v>
      </c>
      <c r="C3" s="3" t="str">
        <f t="shared" ref="C3:C66" ca="1" si="0">IFERROR(_xlfn.XLOOKUP($A3,$E:$E,$G:$G),"")</f>
        <v/>
      </c>
      <c r="E3" t="str" cm="1">
        <f t="array" aca="1" ref="E3:E279" ca="1">IF(COUNTA($I$3:$I$5000)+COUNTA(_xlfn.ANCHORARRAY($M$3))=0,"",_xlfn._xlws.SORT(_xlfn.UNIQUE(IF(ROW(INDIRECT("1:"&amp;(COUNTA($I$3:$I$5000)+COUNTA(_xlfn.ANCHORARRAY($M$3)))))&lt;=COUNTA($I$3:$I$5000),INDEX($I$3:$I$5000,ROW(INDIRECT("1:"&amp;(COUNTA($I$3:$I$5000)+COUNTA(_xlfn.ANCHORARRAY($M$3)))))),INDEX(_xlfn.ANCHORARRAY($M$3),ROW(INDIRECT("1:"&amp;(COUNTA($I$3:$I$5000)+COUNTA(_xlfn.ANCHORARRAY($M$3)))))-COUNTA($I$3:$I$5000)))),1,1))</f>
        <v>Aeon Chronicler</v>
      </c>
      <c r="F3" s="3">
        <f t="shared" ref="F3:F66" ca="1" si="1">COUNTIF(T:AY,E3)+COUNTIF(K:K,E3)</f>
        <v>1</v>
      </c>
      <c r="G3" s="3" t="str">
        <f t="shared" ref="G3:G66" ca="1" si="2">_xlfn.XLOOKUP($E3,$M:$M,$O:$O,"Guardado")</f>
        <v>JhoiraB</v>
      </c>
      <c r="M3" t="str" cm="1">
        <f t="array" aca="1" ref="M3:M279" ca="1">IF(COUNTA(_xlfn.ANCHORARRAY($CI$3))=0,"",_xlfn._xlws.SORT(_xlfn.UNIQUE(_xlfn.ANCHORARRAY($CI$3)),1,1))</f>
        <v>Aeon Chronicler</v>
      </c>
      <c r="N3" s="3">
        <f t="shared" ref="N3:N66" ca="1" si="3">COUNTIF(T:AW,M3)</f>
        <v>1</v>
      </c>
      <c r="O3" s="3" t="str">
        <f ca="1">IFERROR(
 INDEX($T$2:$AW$2,
  MATCH(TRUE,
   CHOOSE({1;2;3;4;5;6;7;8;9;10;11;12;13;14;15;16;17;18;19;20;21;22;23;24;25;26;27;28;29;30;31;32},
    COUNTIFS($T$3:$T$201,$M3)&gt;0,
    COUNTIFS($U$3:$U$201,$M3)&gt;0,
    COUNTIFS($V$3:$V$201,$M3)&gt;0,
    COUNTIFS($W$3:$W$201,$M3)&gt;0,
    COUNTIFS($X$3:$X$201,$M3)&gt;0,
    COUNTIFS($Y$3:$Y$201,$M3)&gt;0,
    COUNTIFS($Z$3:$Z$201,$M3)&gt;0,
    COUNTIFS($AA$3:$AA$201,$M3)&gt;0,
    COUNTIFS($AB$3:$AB$201,$M3)&gt;0,
    COUNTIFS($AC$3:$AC$201,$M3)&gt;0,
    COUNTIFS($AD$3:$AD$201,$M3)&gt;0,
    COUNTIFS($AE$3:$AE$201,$M3)&gt;0,
    COUNTIFS($AF$3:$AF$201,$M3)&gt;0,
    COUNTIFS($AG$3:$AG$201,$M3)&gt;0,
    COUNTIFS($AH$3:$AH$201,$M3)&gt;0,
    COUNTIFS($AI$3:$AI$201,$M3)&gt;0,
    COUNTIFS($AJ$3:$AJ$201,$M3)&gt;0,
    COUNTIFS($AK$3:$AK$201,$M3)&gt;0,
    COUNTIFS($AL$3:$AL$201,$M3)&gt;0,
    COUNTIFS($AM$3:$AM$201,$M3)&gt;0,
    COUNTIFS($AN$3:$AN$201,$M3)&gt;0,
    COUNTIFS($AO$3:$AO$201,$M3)&gt;0,
    COUNTIFS($AP$3:$AP$201,$M3)&gt;0,
    COUNTIFS($AQ$3:$AQ$201,$M3)&gt;0,
    COUNTIFS($AR$3:$AR$201,$M3)&gt;0,
    COUNTIFS($AS$3:$AS$201,$M3)&gt;0,
    COUNTIFS($AT$3:$AT$201,$M3)&gt;0,
    COUNTIFS($AU$3:$AU$201,$M3)&gt;0,
    COUNTIFS($AV$3:$AV$201,$M3)&gt;0,
    COUNTIFS($AW$3:$AW$201,$M3)&gt;0
   ),
  0)
 ),
"")</f>
        <v>JhoiraB</v>
      </c>
      <c r="P3" s="3" t="str" cm="1">
        <f t="array" aca="1" ref="P3" ca="1">IFERROR(
 INDEX(
  _xlfn._xlws.FILTER($T$2:$AW$2,
   TRANSPOSE(
    CHOOSE({1;2;3;4;5;6;7;8;9;10;11;12;13;14;15;16;17;18;19;20;21;22;23;24;25;26;27;28;29;30},
     COUNTIFS($T$3:$T$201,$M3)&gt;0,
     COUNTIFS($U$3:$U$201,$M3)&gt;0,
     COUNTIFS($V$3:$V$201,$M3)&gt;0,
     COUNTIFS($W$3:$W$201,$M3)&gt;0,
     COUNTIFS($X$3:$X$201,$M3)&gt;0,
     COUNTIFS($Y$3:$Y$201,$M3)&gt;0,
     COUNTIFS($Z$3:$Z$201,$M3)&gt;0,
     COUNTIFS($AA$3:$AA$201,$M3)&gt;0,
     COUNTIFS($AB$3:$AB$201,$M3)&gt;0,
     COUNTIFS($AC$3:$AC$201,$M3)&gt;0,
     COUNTIFS($AD$3:$AD$201,$M3)&gt;0,
     COUNTIFS($AE$3:$AE$201,$M3)&gt;0,
     COUNTIFS($AF$3:$AF$201,$M3)&gt;0,
     COUNTIFS($AG$3:$AG$201,$M3)&gt;0,
     COUNTIFS($AH$3:$AH$201,$M3)&gt;0,
     COUNTIFS($AI$3:$AI$201,$M3)&gt;0,
     COUNTIFS($AJ$3:$AJ$201,$M3)&gt;0,
     COUNTIFS($AK$3:$AK$201,$M3)&gt;0,
     COUNTIFS($AL$3:$AL$201,$M3)&gt;0,
     COUNTIFS($AM$3:$AM$201,$M3)&gt;0,
     COUNTIFS($AN$3:$AN$201,$M3)&gt;0,
     COUNTIFS($AO$3:$AO$201,$M3)&gt;0,
     COUNTIFS($AP$3:$AP$201,$M3)&gt;0,
     COUNTIFS($AQ$3:$AQ$201,$M3)&gt;0,
     COUNTIFS($AR$3:$AR$201,$M3)&gt;0,
     COUNTIFS($AS$3:$AS$201,$M3)&gt;0,
     COUNTIFS($AT$3:$AT$201,$M3)&gt;0,
     COUNTIFS($AU$3:$AU$201,$M3)&gt;0,
     COUNTIFS($AV$3:$AV$201,$M3)&gt;0,
     COUNTIFS($AW$3:$AW$201,$M3)&gt;0
   )),
  ),
  2
 ),
"")</f>
        <v/>
      </c>
      <c r="Q3" s="3" t="str" cm="1">
        <f t="array" aca="1" ref="Q3" ca="1">IFERROR(
 INDEX(
  _xlfn._xlws.FILTER($T$2:$AW$2,
   TRANSPOSE(
    CHOOSE({1;2;3;4;5;6;7;8;9;10;11;12;13;14;15;16;17;18;19;20;21;22;23;24;25;26;27;28;29;30},
     COUNTIFS($T$3:$T$201,$M3)&gt;0,
     COUNTIFS($U$3:$U$201,$M3)&gt;0,
     COUNTIFS($V$3:$V$201,$M3)&gt;0,
     COUNTIFS($W$3:$W$201,$M3)&gt;0,
     COUNTIFS($X$3:$X$201,$M3)&gt;0,
     COUNTIFS($Y$3:$Y$201,$M3)&gt;0,
     COUNTIFS($Z$3:$Z$201,$M3)&gt;0,
     COUNTIFS($AA$3:$AA$201,$M3)&gt;0,
     COUNTIFS($AB$3:$AB$201,$M3)&gt;0,
     COUNTIFS($AC$3:$AC$201,$M3)&gt;0,
     COUNTIFS($AD$3:$AD$201,$M3)&gt;0,
     COUNTIFS($AE$3:$AE$201,$M3)&gt;0,
     COUNTIFS($AF$3:$AF$201,$M3)&gt;0,
     COUNTIFS($AG$3:$AG$201,$M3)&gt;0,
     COUNTIFS($AH$3:$AH$201,$M3)&gt;0,
     COUNTIFS($AI$3:$AI$201,$M3)&gt;0,
     COUNTIFS($AJ$3:$AJ$201,$M3)&gt;0,
     COUNTIFS($AK$3:$AK$201,$M3)&gt;0,
     COUNTIFS($AL$3:$AL$201,$M3)&gt;0,
     COUNTIFS($AM$3:$AM$201,$M3)&gt;0,
     COUNTIFS($AN$3:$AN$201,$M3)&gt;0,
     COUNTIFS($AO$3:$AO$201,$M3)&gt;0,
     COUNTIFS($AP$3:$AP$201,$M3)&gt;0,
     COUNTIFS($AQ$3:$AQ$201,$M3)&gt;0,
     COUNTIFS($AR$3:$AR$201,$M3)&gt;0,
     COUNTIFS($AS$3:$AS$201,$M3)&gt;0,
     COUNTIFS($AT$3:$AT$201,$M3)&gt;0,
     COUNTIFS($AU$3:$AU$201,$M3)&gt;0,
     COUNTIFS($AV$3:$AV$201,$M3)&gt;0,
     COUNTIFS($AW$3:$AW$201,$M3)&gt;0
   )),
  ),
  3
 ),
"")</f>
        <v/>
      </c>
      <c r="R3" s="3" t="str" cm="1">
        <f t="array" aca="1" ref="R3" ca="1">IFERROR(
 INDEX(
  _xlfn._xlws.FILTER($T$2:$AW$2,
   TRANSPOSE(
    CHOOSE({1;2;3;4;5;6;7;8;9;10;11;12;13;14;15;16;17;18;19;20;21;22;23;24;25;26;27;28;29;30},
     COUNTIFS($T$3:$T$201,$M3)&gt;0,
     COUNTIFS($U$3:$U$201,$M3)&gt;0,
     COUNTIFS($V$3:$V$201,$M3)&gt;0,
     COUNTIFS($W$3:$W$201,$M3)&gt;0,
     COUNTIFS($X$3:$X$201,$M3)&gt;0,
     COUNTIFS($Y$3:$Y$201,$M3)&gt;0,
     COUNTIFS($Z$3:$Z$201,$M3)&gt;0,
     COUNTIFS($AA$3:$AA$201,$M3)&gt;0,
     COUNTIFS($AB$3:$AB$201,$M3)&gt;0,
     COUNTIFS($AC$3:$AC$201,$M3)&gt;0,
     COUNTIFS($AD$3:$AD$201,$M3)&gt;0,
     COUNTIFS($AE$3:$AE$201,$M3)&gt;0,
     COUNTIFS($AF$3:$AF$201,$M3)&gt;0,
     COUNTIFS($AG$3:$AG$201,$M3)&gt;0,
     COUNTIFS($AH$3:$AH$201,$M3)&gt;0,
     COUNTIFS($AI$3:$AI$201,$M3)&gt;0,
     COUNTIFS($AJ$3:$AJ$201,$M3)&gt;0,
     COUNTIFS($AK$3:$AK$201,$M3)&gt;0,
     COUNTIFS($AL$3:$AL$201,$M3)&gt;0,
     COUNTIFS($AM$3:$AM$201,$M3)&gt;0,
     COUNTIFS($AN$3:$AN$201,$M3)&gt;0,
     COUNTIFS($AO$3:$AO$201,$M3)&gt;0,
     COUNTIFS($AP$3:$AP$201,$M3)&gt;0,
     COUNTIFS($AQ$3:$AQ$201,$M3)&gt;0,
     COUNTIFS($AR$3:$AR$201,$M3)&gt;0,
     COUNTIFS($AS$3:$AS$201,$M3)&gt;0,
     COUNTIFS($AT$3:$AT$201,$M3)&gt;0,
     COUNTIFS($AU$3:$AU$201,$M3)&gt;0,
     COUNTIFS($AV$3:$AV$201,$M3)&gt;0,
     COUNTIFS($AW$3:$AW$201,$M3)&gt;0
   )),
  ),
  4
 ),
"")</f>
        <v/>
      </c>
      <c r="T3" t="str" cm="1">
        <f t="array" ref="T3:T19">IF(COUNTA(_xlfn._xlws.FILTER(Piratas!B3:B200,(Piratas!C3:C200&lt;&gt;Piratas!B3:B200)*(Piratas!B3:B200&lt;&gt;"")))=0,"",_xlfn._xlws.SORT(_xlfn._xlws.FILTER(Piratas!B3:B200,(Piratas!C3:C200&lt;&gt;Piratas!B3:B200)*(Piratas!B3:B200&lt;&gt;"")),1,1))</f>
        <v>Akal Pakal, First Among Equals</v>
      </c>
      <c r="U3" t="str" cm="1">
        <f t="array" ref="U3:U29">IF(COUNTA(_xlfn._xlws.FILTER(Baylen!B3:B200,(Baylen!C3:C200&lt;&gt;Baylen!B3:B200)*(Baylen!B3:B200&lt;&gt;"")))=0,"",_xlfn._xlws.SORT(_xlfn._xlws.FILTER(Baylen!B3:B200,(Baylen!C3:C200&lt;&gt;Baylen!B3:B200)*(Baylen!B3:B200&lt;&gt;"")),1,1))</f>
        <v>Augúrio do Sol</v>
      </c>
      <c r="V3" t="str" cm="1">
        <f t="array" ref="V3:V31">IF(COUNTA(_xlfn._xlws.FILTER(Narset!B3:B200,(Narset!C3:C200&lt;&gt;Narset!B3:B200)*(Narset!B3:B200&lt;&gt;"")))=0,"",_xlfn._xlws.SORT(_xlfn._xlws.FILTER(Narset!B3:B200,(Narset!C3:C200&lt;&gt;Narset!B3:B200)*(Narset!B3:B200&lt;&gt;"")),1,1))</f>
        <v>Alfinetador de Pecados</v>
      </c>
      <c r="W3" t="str" cm="1">
        <f t="array" ref="W3:W29">IF(COUNTA(_xlfn._xlws.FILTER(Tayam!B3:B200,(Tayam!C3:C200&lt;&gt;Tayam!B3:B200)*(Tayam!B3:B200&lt;&gt;"")))=0,"",_xlfn._xlws.SORT(_xlfn._xlws.FILTER(Tayam!B3:B200,(Tayam!C3:C200&lt;&gt;Tayam!B3:B200)*(Tayam!B3:B200&lt;&gt;"")),1,1))</f>
        <v>Animate Dead</v>
      </c>
      <c r="X3" t="str" cm="1">
        <f t="array" ref="X3:X16">IF(COUNTA(_xlfn._xlws.FILTER(Carlos!B3:B200,(Carlos!C3:C200&lt;&gt;Carlos!B3:B200)*(Carlos!B3:B200&lt;&gt;"")))=0,"",_xlfn._xlws.SORT(_xlfn._xlws.FILTER(Carlos!B3:B200,(Carlos!C3:C200&lt;&gt;Carlos!B3:B200)*(Carlos!B3:B200&lt;&gt;"")),1,1))</f>
        <v>Callous Bloodmage</v>
      </c>
      <c r="Y3" t="str" cm="1">
        <f t="array" ref="Y3:Y23">IF(COUNTA(_xlfn._xlws.FILTER(Rani!B3:B200,(Rani!C3:C200&lt;&gt;Rani!B3:B200)*(Rani!B3:B200&lt;&gt;"")))=0,"",_xlfn._xlws.SORT(_xlfn._xlws.FILTER(Rani!B3:B200,(Rani!C3:C200&lt;&gt;Rani!B3:B200)*(Rani!B3:B200&lt;&gt;"")),1,1))</f>
        <v>Charneca Estéril</v>
      </c>
      <c r="Z3" t="str" cm="1">
        <f t="array" ref="Z3:Z23">IF(COUNTA(_xlfn._xlws.FILTER(Kumena!B3:B200,(Kumena!C3:C200&lt;&gt;Kumena!B3:B200)*(Kumena!B3:B200&lt;&gt;"")))=0,"",_xlfn._xlws.SORT(_xlfn._xlws.FILTER(Kumena!B3:B200,(Kumena!C3:C200&lt;&gt;Kumena!B3:B200)*(Kumena!B3:B200&lt;&gt;"")),1,1))</f>
        <v>Aether Spellbomb</v>
      </c>
      <c r="AA3" t="str" cm="1">
        <f t="array" ref="AA3:AA13">IF(COUNTA(_xlfn._xlws.FILTER(Zimone!B3:B200,(Zimone!C3:C200&lt;&gt;Zimone!B3:B200)*(Zimone!B3:B200&lt;&gt;"")))=0,"",_xlfn._xlws.SORT(_xlfn._xlws.FILTER(Zimone!B3:B200,(Zimone!C3:C200&lt;&gt;Zimone!B3:B200)*(Zimone!B3:B200&lt;&gt;"")),1,1))</f>
        <v>Altar de Bhaal</v>
      </c>
      <c r="AB3" t="str" cm="1">
        <f t="array" ref="AB3:AB14">IF(COUNTA(_xlfn._xlws.FILTER(JhoiraB!B3:B200,(JhoiraB!C3:C200&lt;&gt;JhoiraB!B3:B200)*(JhoiraB!B3:B200&lt;&gt;"")))=0,"",_xlfn._xlws.SORT(_xlfn._xlws.FILTER(JhoiraB!B3:B200,(JhoiraB!C3:C200&lt;&gt;JhoiraB!B3:B200)*(JhoiraB!B3:B200&lt;&gt;"")),1,1))</f>
        <v>Aeon Chronicler</v>
      </c>
      <c r="AC3" t="str" cm="1">
        <f t="array" ref="AC3:AC13">IF(COUNTA(_xlfn._xlws.FILTER(Gitrog!B3:B200,(Gitrog!C3:C200&lt;&gt;Gitrog!B3:B200)*(Gitrog!B3:B200&lt;&gt;"")))=0,"",_xlfn._xlws.SORT(_xlfn._xlws.FILTER(Gitrog!B3:B200,(Gitrog!C3:C200&lt;&gt;Gitrog!B3:B200)*(Gitrog!B3:B200&lt;&gt;"")),1,1))</f>
        <v>Buried Alive</v>
      </c>
      <c r="AD3" t="str" cm="1">
        <f t="array" ref="AD3:AD13">IF(COUNTA(_xlfn._xlws.FILTER(Muzzio!B3:B200,(Muzzio!C3:C200&lt;&gt;Muzzio!B3:B200)*(Muzzio!B3:B200&lt;&gt;"")))=0,"",_xlfn._xlws.SORT(_xlfn._xlws.FILTER(Muzzio!B3:B200,(Muzzio!C3:C200&lt;&gt;Muzzio!B3:B200)*(Muzzio!B3:B200&lt;&gt;"")),1,1))</f>
        <v>Brainstorm</v>
      </c>
      <c r="AE3" t="str" cm="1">
        <f t="array" ref="AE3:AE11">IF(COUNTA(_xlfn._xlws.FILTER(VialIshai!B3:B200,(VialIshai!C3:C200&lt;&gt;VialIshai!B3:B200)*(VialIshai!B3:B200&lt;&gt;"")))=0,"",_xlfn._xlws.SORT(_xlfn._xlws.FILTER(VialIshai!B3:B200,(VialIshai!C3:C200&lt;&gt;VialIshai!B3:B200)*(VialIshai!B3:B200&lt;&gt;"")),1,1))</f>
        <v>Bruma Etérea</v>
      </c>
      <c r="AF3" t="str" cm="1">
        <f t="array" ref="AF3:AF14">IF(COUNTA(_xlfn._xlws.FILTER(Yuriko!B3:B200,(Yuriko!C3:C200&lt;&gt;Yuriko!B3:B200)*(Yuriko!B3:B200&lt;&gt;"")))=0,"",_xlfn._xlws.SORT(_xlfn._xlws.FILTER(Yuriko!B3:B200,(Yuriko!C3:C200&lt;&gt;Yuriko!B3:B200)*(Yuriko!B3:B200&lt;&gt;"")),1,1))</f>
        <v>Crotalus Mortífero</v>
      </c>
      <c r="AG3" t="str" cm="1">
        <f t="array" ref="AG3:AG12">IF(COUNTA(_xlfn._xlws.FILTER(Inalla!B3:B200,(Inalla!C3:C200&lt;&gt;Inalla!B3:B200)*(Inalla!B3:B200&lt;&gt;"")))=0,"",_xlfn._xlws.SORT(_xlfn._xlws.FILTER(Inalla!B3:B200,(Inalla!C3:C200&lt;&gt;Inalla!B3:B200)*(Inalla!B3:B200&lt;&gt;"")),1,1))</f>
        <v>Comando do Patriarca</v>
      </c>
      <c r="AH3" t="str" cm="1">
        <f t="array" ref="AH3:AH14">IF(COUNTA(_xlfn._xlws.FILTER(Akiri!B3:B200,(Akiri!C3:C200&lt;&gt;Akiri!B3:B200)*(Akiri!B3:B200&lt;&gt;"")))=0,"",_xlfn._xlws.SORT(_xlfn._xlws.FILTER(Akiri!B3:B200,(Akiri!C3:C200&lt;&gt;Akiri!B3:B200)*(Akiri!B3:B200&lt;&gt;"")),1,1))</f>
        <v>Armadura de Placas</v>
      </c>
      <c r="AI3" t="str" cm="1">
        <f t="array" ref="AI3:AI13">IF(COUNTA(_xlfn._xlws.FILTER(Sisay!B3:B200,(Sisay!C3:C200&lt;&gt;Sisay!B3:B200)*(Sisay!B3:B200&lt;&gt;"")))=0,"",_xlfn._xlws.SORT(_xlfn._xlws.FILTER(Sisay!B3:B200,(Sisay!C3:C200&lt;&gt;Sisay!B3:B200)*(Sisay!B3:B200&lt;&gt;"")),1,1))</f>
        <v>Beast Within</v>
      </c>
      <c r="AJ3" t="str" cm="1">
        <f t="array" ref="AJ3:AJ6">IF(COUNTA(_xlfn._xlws.FILTER(Thrakiri!B3:B200,(Thrakiri!C3:C200&lt;&gt;Thrakiri!B3:B200)*(Thrakiri!B3:B200&lt;&gt;"")))=0,"",_xlfn._xlws.SORT(_xlfn._xlws.FILTER(Thrakiri!B3:B200,(Thrakiri!C3:C200&lt;&gt;Thrakiri!B3:B200)*(Thrakiri!B3:B200&lt;&gt;"")),1,1))</f>
        <v>Anciã de Toca das Fadas</v>
      </c>
      <c r="AK3" t="str" cm="1">
        <f t="array" ref="AK3:AK11">IF(COUNTA(_xlfn._xlws.FILTER(Elfos!B3:B200,(Elfos!C3:C200&lt;&gt;Elfos!B3:B200)*(Elfos!B3:B200&lt;&gt;"")))=0,"",_xlfn._xlws.SORT(_xlfn._xlws.FILTER(Elfos!B3:B200,(Elfos!C3:C200&lt;&gt;Elfos!B3:B200)*(Elfos!B3:B200&lt;&gt;"")),1,1))</f>
        <v>Forest</v>
      </c>
      <c r="AL3" t="str" cm="1">
        <f t="array" ref="AL3:AL7">IF(COUNTA(_xlfn._xlws.FILTER(Jhoira!B3:B200,(Jhoira!C3:C200&lt;&gt;Jhoira!B3:B200)*(Jhoira!B3:B200&lt;&gt;"")))=0,"",_xlfn._xlws.SORT(_xlfn._xlws.FILTER(Jhoira!B3:B200,(Jhoira!C3:C200&lt;&gt;Jhoira!B3:B200)*(Jhoira!B3:B200&lt;&gt;"")),1,1))</f>
        <v>Consecrated Sphinx</v>
      </c>
      <c r="AM3" t="str" cm="1">
        <f t="array" ref="AM3:AM10">IF(COUNTA(_xlfn._xlws.FILTER(Fractius!B3:B200,(Fractius!C3:C200&lt;&gt;Fractius!B3:B200)*(Fractius!B3:B200&lt;&gt;"")))=0,"",_xlfn._xlws.SORT(_xlfn._xlws.FILTER(Fractius!B3:B200,(Fractius!C3:C200&lt;&gt;Fractius!B3:B200)*(Fractius!B3:B200&lt;&gt;"")),1,1))</f>
        <v>Call to the Kindred</v>
      </c>
      <c r="AN3" t="str" cm="1">
        <f t="array" ref="AN3:AN9">IF(COUNTA(_xlfn._xlws.FILTER(Rielle!B3:B200,(Rielle!C3:C200&lt;&gt;Rielle!B3:B200)*(Rielle!B3:B200&lt;&gt;"")))=0,"",_xlfn._xlws.SORT(_xlfn._xlws.FILTER(Rielle!B3:B200,(Rielle!C3:C200&lt;&gt;Rielle!B3:B200)*(Rielle!B3:B200&lt;&gt;"")),1,1))</f>
        <v>Aliança Impensável</v>
      </c>
      <c r="AO3" t="str" cm="1">
        <f t="array" ref="AO3:AO9">IF(COUNTA(_xlfn._xlws.FILTER(Oona!B3:B200,(Oona!C3:C200&lt;&gt;Oona!B3:B200)*(Oona!B3:B200&lt;&gt;"")))=0,"",_xlfn._xlws.SORT(_xlfn._xlws.FILTER(Oona!B3:B200,(Oona!C3:C200&lt;&gt;Oona!B3:B200)*(Oona!B3:B200&lt;&gt;"")),1,1))</f>
        <v>Filigree Sages</v>
      </c>
      <c r="AP3" t="str" cm="1">
        <f t="array" ref="AP3:AP11">IF(COUNTA(_xlfn._xlws.FILTER(Kresh!B3:B200,(Kresh!C3:C200&lt;&gt;Kresh!B3:B200)*(Kresh!B3:B200&lt;&gt;"")))=0,"",_xlfn._xlws.SORT(_xlfn._xlws.FILTER(Kresh!B3:B200,(Kresh!C3:C200&lt;&gt;Kresh!B3:B200)*(Kresh!B3:B200&lt;&gt;"")),1,1))</f>
        <v>Dawntreader Elk</v>
      </c>
      <c r="AQ3" t="str" cm="1">
        <f t="array" ref="AQ3:AQ5">IF(COUNTA(_xlfn._xlws.FILTER(Breya!B3:B200,(Breya!C3:C200&lt;&gt;Breya!B3:B200)*(Breya!B3:B200&lt;&gt;"")))=0,"",_xlfn._xlws.SORT(_xlfn._xlws.FILTER(Breya!B3:B200,(Breya!C3:C200&lt;&gt;Breya!B3:B200)*(Breya!B3:B200&lt;&gt;"")),1,1))</f>
        <v>Fundição dos Cônsules</v>
      </c>
      <c r="AR3" t="str" cm="1">
        <f t="array" ref="AR3:AR8">IF(COUNTA(_xlfn._xlws.FILTER(OWA!B3:B200,(OWA!C3:C200&lt;&gt;OWA!B3:B200)*(OWA!B3:B200&lt;&gt;"")))=0,"",_xlfn._xlws.SORT(_xlfn._xlws.FILTER(OWA!B3:B200,(OWA!C3:C200&lt;&gt;OWA!B3:B200)*(OWA!B3:B200&lt;&gt;"")),1,1))</f>
        <v>Elas il-Kor, Sadistic Pilgrim</v>
      </c>
      <c r="AS3" t="str" cm="1">
        <f t="array" ref="AS3:AS7">IF(COUNTA(_xlfn._xlws.FILTER(Alela!B3:B200,(Alela!C3:C200&lt;&gt;Alela!B3:B200)*(Alela!B3:B200&lt;&gt;"")))=0,"",_xlfn._xlws.SORT(_xlfn._xlws.FILTER(Alela!B3:B200,(Alela!C3:C200&lt;&gt;Alela!B3:B200)*(Alela!B3:B200&lt;&gt;"")),1,1))</f>
        <v>Divine Visitation</v>
      </c>
      <c r="AT3" t="str" cm="1">
        <f t="array" ref="AT3:AT4">IF(COUNTA(_xlfn._xlws.FILTER(Arcades!B3:B200,(Arcades!C3:C200&lt;&gt;Arcades!B3:B200)*(Arcades!B3:B200&lt;&gt;"")))=0,"",_xlfn._xlws.SORT(_xlfn._xlws.FILTER(Arcades!B3:B200,(Arcades!C3:C200&lt;&gt;Arcades!B3:B200)*(Arcades!B3:B200&lt;&gt;"")),1,1))</f>
        <v>Barreira Angelical</v>
      </c>
      <c r="AU3" t="str" cm="1">
        <f t="array" ref="AU3:AU5">IF(COUNTA(_xlfn._xlws.FILTER(Zedruu!B3:B200,(Zedruu!C3:C200&lt;&gt;Zedruu!B3:B200)*(Zedruu!B3:B200&lt;&gt;"")))=0,"",_xlfn._xlws.SORT(_xlfn._xlws.FILTER(Zedruu!B3:B200,(Zedruu!C3:C200&lt;&gt;Zedruu!B3:B200)*(Zedruu!B3:B200&lt;&gt;"")),1,1))</f>
        <v>Cair sobre os Pecadores</v>
      </c>
      <c r="AV3" t="e" cm="1" vm="1">
        <f t="array" ref="AV3">IF(COUNTA(_xlfn._xlws.FILTER(Exaltado!B3:B200,(Exaltado!C3:C200&lt;&gt;Exaltado!B3:B200)*(Exaltado!B3:B200&lt;&gt;"")))=0,"",_xlfn._xlws.SORT(_xlfn._xlws.FILTER(Exaltado!B3:B200,(Exaltado!C3:C200&lt;&gt;Exaltado!B3:B200)*(Exaltado!B3:B200&lt;&gt;"")),1,1))</f>
        <v>#VALUE!</v>
      </c>
      <c r="AW3" t="str" cm="1">
        <f t="array" ref="AW3:AW28">IF(COUNTA(_xlfn._xlws.FILTER(Modular!B3:B200,(Modular!C3:C200&lt;&gt;Modular!B3:B200)*(Modular!B3:B200&lt;&gt;"")))=0,"",_xlfn._xlws.SORT(_xlfn._xlws.FILTER(Modular!B3:B200,(Modular!C3:C200&lt;&gt;Modular!B3:B200)*(Modular!B3:B200&lt;&gt;"")),1,1))</f>
        <v>Alma da Colheita</v>
      </c>
      <c r="BA3" t="str" cm="1">
        <f t="array" aca="1" ref="BA3:BA38" ca="1">IF(COUNTA(_xlfn.ANCHORARRAY($T$3))+COUNTA(_xlfn.ANCHORARRAY($U$3))=0,"",_xlfn._xlws.SORT(_xlfn.UNIQUE(IF(ROW(INDIRECT("1:"&amp;(COUNTA(_xlfn.ANCHORARRAY($T$3))+COUNTA(_xlfn.ANCHORARRAY($U$3)))))&lt;=COUNTA(_xlfn.ANCHORARRAY($T$3)),INDEX(_xlfn.ANCHORARRAY($T$3),ROW(INDIRECT("1:"&amp;(COUNTA(_xlfn.ANCHORARRAY($T$3))+COUNTA(_xlfn.ANCHORARRAY($U$3)))))),INDEX(_xlfn.ANCHORARRAY($U$3),ROW(INDIRECT("1:"&amp;(COUNTA(_xlfn.ANCHORARRAY($T$3))+COUNTA(_xlfn.ANCHORARRAY($U$3)))))-COUNTA(_xlfn.ANCHORARRAY($T$3))))),1,1))</f>
        <v>Akal Pakal, First Among Equals</v>
      </c>
      <c r="BB3" t="str" cm="1">
        <f t="array" aca="1" ref="BB3:BB50" ca="1">IF(COUNTA(_xlfn.ANCHORARRAY($V$3))+COUNTA(_xlfn.ANCHORARRAY($W$3))=0,"",_xlfn._xlws.SORT(_xlfn.UNIQUE(IF(ROW(INDIRECT("1:"&amp;(COUNTA(_xlfn.ANCHORARRAY($V$3))+COUNTA(_xlfn.ANCHORARRAY($W$3)))))&lt;=COUNTA(_xlfn.ANCHORARRAY($V$3)),INDEX(_xlfn.ANCHORARRAY($V$3),ROW(INDIRECT("1:"&amp;(COUNTA(_xlfn.ANCHORARRAY($V$3))+COUNTA(_xlfn.ANCHORARRAY($W$3)))))),INDEX(_xlfn.ANCHORARRAY($W$3),ROW(INDIRECT("1:"&amp;(COUNTA(_xlfn.ANCHORARRAY($V$3))+COUNTA(_xlfn.ANCHORARRAY($W$3)))))-COUNTA(_xlfn.ANCHORARRAY($V$3))))),1,1))</f>
        <v>Alfinetador de Pecados</v>
      </c>
      <c r="BC3" t="str" cm="1">
        <f t="array" aca="1" ref="BC3:BC36" ca="1">IF(COUNTA(_xlfn.ANCHORARRAY($X$3))+COUNTA(_xlfn.ANCHORARRAY($Y$3))=0,"",_xlfn._xlws.SORT(_xlfn.UNIQUE(IF(ROW(INDIRECT("1:"&amp;(COUNTA(_xlfn.ANCHORARRAY($X$3))+COUNTA(_xlfn.ANCHORARRAY($Y$3)))))&lt;=COUNTA(_xlfn.ANCHORARRAY($X$3)),INDEX(_xlfn.ANCHORARRAY($X$3),ROW(INDIRECT("1:"&amp;(COUNTA(_xlfn.ANCHORARRAY($X$3))+COUNTA(_xlfn.ANCHORARRAY($Y$3)))))),INDEX(_xlfn.ANCHORARRAY($Y$3),ROW(INDIRECT("1:"&amp;(COUNTA(_xlfn.ANCHORARRAY($X$3))+COUNTA(_xlfn.ANCHORARRAY($Y$3)))))-COUNTA(_xlfn.ANCHORARRAY($X$3))))),1,1))</f>
        <v>Callous Bloodmage</v>
      </c>
      <c r="BD3" t="str" cm="1">
        <f t="array" aca="1" ref="BD3:BD34" ca="1">IF(COUNTA(_xlfn.ANCHORARRAY($Z$3))+COUNTA(_xlfn.ANCHORARRAY($AA$3))=0,"",_xlfn._xlws.SORT(_xlfn.UNIQUE(IF(ROW(INDIRECT("1:"&amp;(COUNTA(_xlfn.ANCHORARRAY($Z$3))+COUNTA(_xlfn.ANCHORARRAY($AA$3)))))&lt;=COUNTA(_xlfn.ANCHORARRAY($Z$3)),INDEX(_xlfn.ANCHORARRAY($Z$3),ROW(INDIRECT("1:"&amp;(COUNTA(_xlfn.ANCHORARRAY($Z$3))+COUNTA(_xlfn.ANCHORARRAY($AA$3)))))),INDEX(_xlfn.ANCHORARRAY($AA$3),ROW(INDIRECT("1:"&amp;(COUNTA(_xlfn.ANCHORARRAY($Z$3))+COUNTA(_xlfn.ANCHORARRAY($AA$3)))))-COUNTA(_xlfn.ANCHORARRAY($Z$3))))),1,1))</f>
        <v>Aether Spellbomb</v>
      </c>
      <c r="BE3" t="str" cm="1">
        <f t="array" aca="1" ref="BE3:BE20" ca="1">IF(COUNTA(_xlfn.ANCHORARRAY($AB$3))+COUNTA(_xlfn.ANCHORARRAY($AC$3))=0,"",_xlfn._xlws.SORT(_xlfn.UNIQUE(IF(ROW(INDIRECT("1:"&amp;(COUNTA(_xlfn.ANCHORARRAY($AB$3))+COUNTA(_xlfn.ANCHORARRAY($AC$3)))))&lt;=COUNTA(_xlfn.ANCHORARRAY($AB$3)),INDEX(_xlfn.ANCHORARRAY($AB$3),ROW(INDIRECT("1:"&amp;(COUNTA(_xlfn.ANCHORARRAY($AB$3))+COUNTA(_xlfn.ANCHORARRAY($AC$3)))))),INDEX(_xlfn.ANCHORARRAY($AC$3),ROW(INDIRECT("1:"&amp;(COUNTA(_xlfn.ANCHORARRAY($AB$3))+COUNTA(_xlfn.ANCHORARRAY($AC$3)))))-COUNTA(_xlfn.ANCHORARRAY($AB$3))))),1,1))</f>
        <v>Aeon Chronicler</v>
      </c>
      <c r="BF3" t="str" cm="1">
        <f t="array" aca="1" ref="BF3:BF20" ca="1">IF(COUNTA(_xlfn.ANCHORARRAY($AD$3))+COUNTA(_xlfn.ANCHORARRAY($AE$3))=0,"",_xlfn._xlws.SORT(_xlfn.UNIQUE(IF(ROW(INDIRECT("1:"&amp;(COUNTA(_xlfn.ANCHORARRAY($AD$3))+COUNTA(_xlfn.ANCHORARRAY($AE$3)))))&lt;=COUNTA(_xlfn.ANCHORARRAY($AD$3)),INDEX(_xlfn.ANCHORARRAY($AD$3),ROW(INDIRECT("1:"&amp;(COUNTA(_xlfn.ANCHORARRAY($AD$3))+COUNTA(_xlfn.ANCHORARRAY($AE$3)))))),INDEX(_xlfn.ANCHORARRAY($AE$3),ROW(INDIRECT("1:"&amp;(COUNTA(_xlfn.ANCHORARRAY($AD$3))+COUNTA(_xlfn.ANCHORARRAY($AE$3)))))-COUNTA(_xlfn.ANCHORARRAY($AD$3))))),1,1))</f>
        <v>Brainstorm</v>
      </c>
      <c r="BG3" t="str" cm="1">
        <f t="array" aca="1" ref="BG3:BG19" ca="1">IF(COUNTA(_xlfn.ANCHORARRAY($AF$3))+COUNTA(_xlfn.ANCHORARRAY($AG$3))=0,"",_xlfn._xlws.SORT(_xlfn.UNIQUE(IF(ROW(INDIRECT("1:"&amp;(COUNTA(_xlfn.ANCHORARRAY($AF$3))+COUNTA(_xlfn.ANCHORARRAY($AG$3)))))&lt;=COUNTA(_xlfn.ANCHORARRAY($AF$3)),INDEX(_xlfn.ANCHORARRAY($AF$3),ROW(INDIRECT("1:"&amp;(COUNTA(_xlfn.ANCHORARRAY($AF$3))+COUNTA(_xlfn.ANCHORARRAY($AG$3)))))),INDEX(_xlfn.ANCHORARRAY($AG$3),ROW(INDIRECT("1:"&amp;(COUNTA(_xlfn.ANCHORARRAY($AF$3))+COUNTA(_xlfn.ANCHORARRAY($AG$3)))))-COUNTA(_xlfn.ANCHORARRAY($AF$3))))),1,1))</f>
        <v>Comando do Patriarca</v>
      </c>
      <c r="BH3" t="str" cm="1">
        <f t="array" aca="1" ref="BH3:BH25" ca="1">IF(COUNTA(_xlfn.ANCHORARRAY($AH$3))+COUNTA(_xlfn.ANCHORARRAY($AI$3))=0,"",_xlfn._xlws.SORT(_xlfn.UNIQUE(IF(ROW(INDIRECT("1:"&amp;(COUNTA(_xlfn.ANCHORARRAY($AH$3))+COUNTA(_xlfn.ANCHORARRAY($AI$3)))))&lt;=COUNTA(_xlfn.ANCHORARRAY($AH$3)),INDEX(_xlfn.ANCHORARRAY($AH$3),ROW(INDIRECT("1:"&amp;(COUNTA(_xlfn.ANCHORARRAY($AH$3))+COUNTA(_xlfn.ANCHORARRAY($AI$3)))))),INDEX(_xlfn.ANCHORARRAY($AI$3),ROW(INDIRECT("1:"&amp;(COUNTA(_xlfn.ANCHORARRAY($AH$3))+COUNTA(_xlfn.ANCHORARRAY($AI$3)))))-COUNTA(_xlfn.ANCHORARRAY($AH$3))))),1,1))</f>
        <v>Armadura de Placas</v>
      </c>
      <c r="BI3" t="str" cm="1">
        <f t="array" aca="1" ref="BI3:BI12" ca="1">IF(COUNTA(_xlfn.ANCHORARRAY($AJ$3))+COUNTA(_xlfn.ANCHORARRAY($AK$3))=0,"",_xlfn._xlws.SORT(_xlfn.UNIQUE(IF(ROW(INDIRECT("1:"&amp;(COUNTA(_xlfn.ANCHORARRAY($AJ$3))+COUNTA(_xlfn.ANCHORARRAY($AK$3)))))&lt;=COUNTA(_xlfn.ANCHORARRAY($AJ$3)),INDEX(_xlfn.ANCHORARRAY($AJ$3),ROW(INDIRECT("1:"&amp;(COUNTA(_xlfn.ANCHORARRAY($AJ$3))+COUNTA(_xlfn.ANCHORARRAY($AK$3)))))),INDEX(_xlfn.ANCHORARRAY($AK$3),ROW(INDIRECT("1:"&amp;(COUNTA(_xlfn.ANCHORARRAY($AJ$3))+COUNTA(_xlfn.ANCHORARRAY($AK$3)))))-COUNTA(_xlfn.ANCHORARRAY($AJ$3))))),1,1))</f>
        <v>Anciã de Toca das Fadas</v>
      </c>
      <c r="BJ3" t="str" cm="1">
        <f t="array" aca="1" ref="BJ3:BJ14" ca="1">IF(COUNTA(_xlfn.ANCHORARRAY($AL$3))+COUNTA(_xlfn.ANCHORARRAY($AM$3))=0,"",_xlfn._xlws.SORT(_xlfn.UNIQUE(IF(ROW(INDIRECT("1:"&amp;(COUNTA(_xlfn.ANCHORARRAY($AL$3))+COUNTA(_xlfn.ANCHORARRAY($AM$3)))))&lt;=COUNTA(_xlfn.ANCHORARRAY($AL$3)),INDEX(_xlfn.ANCHORARRAY($AL$3),ROW(INDIRECT("1:"&amp;(COUNTA(_xlfn.ANCHORARRAY($AL$3))+COUNTA(_xlfn.ANCHORARRAY($AM$3)))))),INDEX(_xlfn.ANCHORARRAY($AM$3),ROW(INDIRECT("1:"&amp;(COUNTA(_xlfn.ANCHORARRAY($AL$3))+COUNTA(_xlfn.ANCHORARRAY($AM$3)))))-COUNTA(_xlfn.ANCHORARRAY($AL$3))))),1,1))</f>
        <v>Call to the Kindred</v>
      </c>
      <c r="BK3" t="str" cm="1">
        <f t="array" aca="1" ref="BK3:BK15" ca="1">IF(COUNTA(_xlfn.ANCHORARRAY($AN$3))+COUNTA(_xlfn.ANCHORARRAY($AO$3))=0,"",_xlfn._xlws.SORT(_xlfn.UNIQUE(IF(ROW(INDIRECT("1:"&amp;(COUNTA(_xlfn.ANCHORARRAY($AN$3))+COUNTA(_xlfn.ANCHORARRAY($AO$3)))))&lt;=COUNTA(_xlfn.ANCHORARRAY($AN$3)),INDEX(_xlfn.ANCHORARRAY($AN$3),ROW(INDIRECT("1:"&amp;(COUNTA(_xlfn.ANCHORARRAY($AN$3))+COUNTA(_xlfn.ANCHORARRAY($AO$3)))))),INDEX(_xlfn.ANCHORARRAY($AO$3),ROW(INDIRECT("1:"&amp;(COUNTA(_xlfn.ANCHORARRAY($AN$3))+COUNTA(_xlfn.ANCHORARRAY($AO$3)))))-COUNTA(_xlfn.ANCHORARRAY($AN$3))))),1,1))</f>
        <v>Aliança Impensável</v>
      </c>
      <c r="BL3" t="str" cm="1">
        <f t="array" aca="1" ref="BL3:BL14" ca="1">IF(COUNTA(_xlfn.ANCHORARRAY($AP$3))+COUNTA(_xlfn.ANCHORARRAY($AQ$3))=0,"",_xlfn._xlws.SORT(_xlfn.UNIQUE(IF(ROW(INDIRECT("1:"&amp;(COUNTA(_xlfn.ANCHORARRAY($AP$3))+COUNTA(_xlfn.ANCHORARRAY($AQ$3)))))&lt;=COUNTA(_xlfn.ANCHORARRAY($AP$3)),INDEX(_xlfn.ANCHORARRAY($AP$3),ROW(INDIRECT("1:"&amp;(COUNTA(_xlfn.ANCHORARRAY($AP$3))+COUNTA(_xlfn.ANCHORARRAY($AQ$3)))))),INDEX(_xlfn.ANCHORARRAY($AQ$3),ROW(INDIRECT("1:"&amp;(COUNTA(_xlfn.ANCHORARRAY($AP$3))+COUNTA(_xlfn.ANCHORARRAY($AQ$3)))))-COUNTA(_xlfn.ANCHORARRAY($AP$3))))),1,1))</f>
        <v>Dawntreader Elk</v>
      </c>
      <c r="BM3" t="str" cm="1">
        <f t="array" aca="1" ref="BM3:BM11" ca="1">IF(COUNTA(_xlfn.ANCHORARRAY($AR$3))+COUNTA(_xlfn.ANCHORARRAY($AS$3))=0,"",_xlfn._xlws.SORT(_xlfn.UNIQUE(IF(ROW(INDIRECT("1:"&amp;(COUNTA(_xlfn.ANCHORARRAY($AR$3))+COUNTA(_xlfn.ANCHORARRAY($AS$3)))))&lt;=COUNTA(_xlfn.ANCHORARRAY($AR$3)),INDEX(_xlfn.ANCHORARRAY($AR$3),ROW(INDIRECT("1:"&amp;(COUNTA(_xlfn.ANCHORARRAY($AR$3))+COUNTA(_xlfn.ANCHORARRAY($AS$3)))))),INDEX(_xlfn.ANCHORARRAY($AS$3),ROW(INDIRECT("1:"&amp;(COUNTA(_xlfn.ANCHORARRAY($AR$3))+COUNTA(_xlfn.ANCHORARRAY($AS$3)))))-COUNTA(_xlfn.ANCHORARRAY($AR$3))))),1,1))</f>
        <v>Divine Visitation</v>
      </c>
      <c r="BN3" t="str" cm="1">
        <f t="array" aca="1" ref="BN3:BN7" ca="1">IF(COUNTA(_xlfn.ANCHORARRAY($AT$3))+COUNTA(_xlfn.ANCHORARRAY($AU$3))=0,"",_xlfn._xlws.SORT(_xlfn.UNIQUE(IF(ROW(INDIRECT("1:"&amp;(COUNTA(_xlfn.ANCHORARRAY($AT$3))+COUNTA(_xlfn.ANCHORARRAY($AU$3)))))&lt;=COUNTA(_xlfn.ANCHORARRAY($AT$3)),INDEX(_xlfn.ANCHORARRAY($AT$3),ROW(INDIRECT("1:"&amp;(COUNTA(_xlfn.ANCHORARRAY($AT$3))+COUNTA(_xlfn.ANCHORARRAY($AU$3)))))),INDEX(_xlfn.ANCHORARRAY($AU$3),ROW(INDIRECT("1:"&amp;(COUNTA(_xlfn.ANCHORARRAY($AT$3))+COUNTA(_xlfn.ANCHORARRAY($AU$3)))))-COUNTA(_xlfn.ANCHORARRAY($AT$3))))),1,1))</f>
        <v>Barreira Angelical</v>
      </c>
      <c r="BO3" t="str" cm="1">
        <f t="array" aca="1" ref="BO3:BO29" ca="1">IF(COUNTA(_xlfn.ANCHORARRAY($AV$3))+COUNTA(_xlfn.ANCHORARRAY($AW$3))=0,"",_xlfn._xlws.SORT(_xlfn.UNIQUE(IF(ROW(INDIRECT("1:"&amp;(COUNTA(_xlfn.ANCHORARRAY($AV$3))+COUNTA(_xlfn.ANCHORARRAY($AW$3)))))&lt;=COUNTA(_xlfn.ANCHORARRAY($AV$3)),INDEX(_xlfn.ANCHORARRAY($AV$3),ROW(INDIRECT("1:"&amp;(COUNTA(_xlfn.ANCHORARRAY($AV$3))+COUNTA(_xlfn.ANCHORARRAY($AW$3)))))),INDEX(_xlfn.ANCHORARRAY($AW$3),ROW(INDIRECT("1:"&amp;(COUNTA(_xlfn.ANCHORARRAY($AV$3))+COUNTA(_xlfn.ANCHORARRAY($AW$3)))))-COUNTA(_xlfn.ANCHORARRAY($AV$3))))),1,1))</f>
        <v>Alma da Colheita</v>
      </c>
      <c r="BP3" t="e" cm="1">
        <f t="array" aca="1" ref="BP3" ca="1">IF(COUNTA(_xlfn.ANCHORARRAY($AX$3))+COUNTA(_xlfn.ANCHORARRAY($AY$3))=0,"",_xlfn._xlws.SORT(_xlfn.UNIQUE(IF(ROW(INDIRECT("1:"&amp;(COUNTA(_xlfn.ANCHORARRAY($AX$3))+COUNTA(_xlfn.ANCHORARRAY($AY$3)))))&lt;=COUNTA(_xlfn.ANCHORARRAY($AX$3)),INDEX(_xlfn.ANCHORARRAY($AX$3),ROW(INDIRECT("1:"&amp;(COUNTA(_xlfn.ANCHORARRAY($AX$3))+COUNTA(_xlfn.ANCHORARRAY($AY$3)))))),INDEX(_xlfn.ANCHORARRAY($AY$3),ROW(INDIRECT("1:"&amp;(COUNTA(_xlfn.ANCHORARRAY($AX$3))+COUNTA(_xlfn.ANCHORARRAY($AY$3)))))-COUNTA(_xlfn.ANCHORARRAY($AX$3))))),1,1))</f>
        <v>#REF!</v>
      </c>
      <c r="BR3" t="str" cm="1">
        <f t="array" aca="1" ref="BR3:BR82" ca="1">IF(COUNTA(_xlfn.ANCHORARRAY($BA$3))+COUNTA(_xlfn.ANCHORARRAY($BB$3))=0,"",_xlfn._xlws.SORT(_xlfn.UNIQUE(IF(ROW(INDIRECT("1:"&amp;(COUNTA(_xlfn.ANCHORARRAY($BA$3))+COUNTA(_xlfn.ANCHORARRAY($BB$3)))))&lt;=COUNTA(_xlfn.ANCHORARRAY($BA$3)),INDEX(_xlfn.ANCHORARRAY($BA$3),ROW(INDIRECT("1:"&amp;(COUNTA(_xlfn.ANCHORARRAY($BA$3))+COUNTA(_xlfn.ANCHORARRAY($BB$3)))))),INDEX(_xlfn.ANCHORARRAY($BB$3),ROW(INDIRECT("1:"&amp;(COUNTA(_xlfn.ANCHORARRAY($BA$3))+COUNTA(_xlfn.ANCHORARRAY($BB$3)))))-COUNTA(_xlfn.ANCHORARRAY($BA$3))))),1,1))</f>
        <v>Akal Pakal, First Among Equals</v>
      </c>
      <c r="BS3" t="str" cm="1">
        <f t="array" aca="1" ref="BS3:BS67" ca="1">IF(COUNTA(_xlfn.ANCHORARRAY($BC$3))+COUNTA(_xlfn.ANCHORARRAY($BD$3))=0,"",_xlfn._xlws.SORT(_xlfn.UNIQUE(IF(ROW(INDIRECT("1:"&amp;(COUNTA(_xlfn.ANCHORARRAY($BC$3))+COUNTA(_xlfn.ANCHORARRAY($BD$3)))))&lt;=COUNTA(_xlfn.ANCHORARRAY($BC$3)),INDEX(_xlfn.ANCHORARRAY($BC$3),ROW(INDIRECT("1:"&amp;(COUNTA(_xlfn.ANCHORARRAY($BC$3))+COUNTA(_xlfn.ANCHORARRAY($BD$3)))))),INDEX(_xlfn.ANCHORARRAY($BD$3),ROW(INDIRECT("1:"&amp;(COUNTA(_xlfn.ANCHORARRAY($BC$3))+COUNTA(_xlfn.ANCHORARRAY($BD$3)))))-COUNTA(_xlfn.ANCHORARRAY($BC$3))))),1,1))</f>
        <v>Aether Spellbomb</v>
      </c>
      <c r="BT3" t="str" cm="1">
        <f t="array" aca="1" ref="BT3:BT37" ca="1">IF(COUNTA(_xlfn.ANCHORARRAY($BE$3))+COUNTA(_xlfn.ANCHORARRAY($BF$3))=0,"",_xlfn._xlws.SORT(_xlfn.UNIQUE(IF(ROW(INDIRECT("1:"&amp;(COUNTA(_xlfn.ANCHORARRAY($BE$3))+COUNTA(_xlfn.ANCHORARRAY($BF$3)))))&lt;=COUNTA(_xlfn.ANCHORARRAY($BE$3)),INDEX(_xlfn.ANCHORARRAY($BE$3),ROW(INDIRECT("1:"&amp;(COUNTA(_xlfn.ANCHORARRAY($BE$3))+COUNTA(_xlfn.ANCHORARRAY($BF$3)))))),INDEX(_xlfn.ANCHORARRAY($BF$3),ROW(INDIRECT("1:"&amp;(COUNTA(_xlfn.ANCHORARRAY($BE$3))+COUNTA(_xlfn.ANCHORARRAY($BF$3)))))-COUNTA(_xlfn.ANCHORARRAY($BE$3))))),1,1))</f>
        <v>Aeon Chronicler</v>
      </c>
      <c r="BU3" t="str" cm="1">
        <f t="array" aca="1" ref="BU3:BU42" ca="1">IF(COUNTA(_xlfn.ANCHORARRAY($BG$3))+COUNTA(_xlfn.ANCHORARRAY($BH$3))=0,"",_xlfn._xlws.SORT(_xlfn.UNIQUE(IF(ROW(INDIRECT("1:"&amp;(COUNTA(_xlfn.ANCHORARRAY($BG$3))+COUNTA(_xlfn.ANCHORARRAY($BH$3)))))&lt;=COUNTA(_xlfn.ANCHORARRAY($BG$3)),INDEX(_xlfn.ANCHORARRAY($BG$3),ROW(INDIRECT("1:"&amp;(COUNTA(_xlfn.ANCHORARRAY($BG$3))+COUNTA(_xlfn.ANCHORARRAY($BH$3)))))),INDEX(_xlfn.ANCHORARRAY($BH$3),ROW(INDIRECT("1:"&amp;(COUNTA(_xlfn.ANCHORARRAY($BG$3))+COUNTA(_xlfn.ANCHORARRAY($BH$3)))))-COUNTA(_xlfn.ANCHORARRAY($BG$3))))),1,1))</f>
        <v>Armadura de Placas</v>
      </c>
      <c r="BV3" t="str" cm="1">
        <f t="array" aca="1" ref="BV3:BV24" ca="1">IF(COUNTA(_xlfn.ANCHORARRAY($BI$3))+COUNTA(_xlfn.ANCHORARRAY($BJ$3))=0,"",_xlfn._xlws.SORT(_xlfn.UNIQUE(IF(ROW(INDIRECT("1:"&amp;(COUNTA(_xlfn.ANCHORARRAY($BI$3))+COUNTA(_xlfn.ANCHORARRAY($BJ$3)))))&lt;=COUNTA(_xlfn.ANCHORARRAY($BI$3)),INDEX(_xlfn.ANCHORARRAY($BI$3),ROW(INDIRECT("1:"&amp;(COUNTA(_xlfn.ANCHORARRAY($BI$3))+COUNTA(_xlfn.ANCHORARRAY($BJ$3)))))),INDEX(_xlfn.ANCHORARRAY($BJ$3),ROW(INDIRECT("1:"&amp;(COUNTA(_xlfn.ANCHORARRAY($BI$3))+COUNTA(_xlfn.ANCHORARRAY($BJ$3)))))-COUNTA(_xlfn.ANCHORARRAY($BI$3))))),1,1))</f>
        <v>Anciã de Toca das Fadas</v>
      </c>
      <c r="BW3" t="str" cm="1">
        <f t="array" aca="1" ref="BW3:BW27" ca="1">IF(COUNTA(_xlfn.ANCHORARRAY($BK$3))+COUNTA(_xlfn.ANCHORARRAY($BL$3))=0,"",_xlfn._xlws.SORT(_xlfn.UNIQUE(IF(ROW(INDIRECT("1:"&amp;(COUNTA(_xlfn.ANCHORARRAY($BK$3))+COUNTA(_xlfn.ANCHORARRAY($BL$3)))))&lt;=COUNTA(_xlfn.ANCHORARRAY($BK$3)),INDEX(_xlfn.ANCHORARRAY($BK$3),ROW(INDIRECT("1:"&amp;(COUNTA(_xlfn.ANCHORARRAY($BK$3))+COUNTA(_xlfn.ANCHORARRAY($BL$3)))))),INDEX(_xlfn.ANCHORARRAY($BL$3),ROW(INDIRECT("1:"&amp;(COUNTA(_xlfn.ANCHORARRAY($BK$3))+COUNTA(_xlfn.ANCHORARRAY($BL$3)))))-COUNTA(_xlfn.ANCHORARRAY($BK$3))))),1,1))</f>
        <v>Aliança Impensável</v>
      </c>
      <c r="BX3" t="str" cm="1">
        <f t="array" aca="1" ref="BX3:BX16" ca="1">IF(COUNTA(_xlfn.ANCHORARRAY($BM$3))+COUNTA(_xlfn.ANCHORARRAY($BN$3))=0,"",_xlfn._xlws.SORT(_xlfn.UNIQUE(IF(ROW(INDIRECT("1:"&amp;(COUNTA(_xlfn.ANCHORARRAY($BM$3))+COUNTA(_xlfn.ANCHORARRAY($BN$3)))))&lt;=COUNTA(_xlfn.ANCHORARRAY($BM$3)),INDEX(_xlfn.ANCHORARRAY($BM$3),ROW(INDIRECT("1:"&amp;(COUNTA(_xlfn.ANCHORARRAY($BM$3))+COUNTA(_xlfn.ANCHORARRAY($BN$3)))))),INDEX(_xlfn.ANCHORARRAY($BN$3),ROW(INDIRECT("1:"&amp;(COUNTA(_xlfn.ANCHORARRAY($BM$3))+COUNTA(_xlfn.ANCHORARRAY($BN$3)))))-COUNTA(_xlfn.ANCHORARRAY($BM$3))))),1,1))</f>
        <v>Barreira Angelical</v>
      </c>
      <c r="BY3" t="str" cm="1">
        <f t="array" aca="1" ref="BY3:BY30" ca="1">IF(COUNTA(_xlfn.ANCHORARRAY($BO$3))+COUNTA(_xlfn.ANCHORARRAY($BP$3))=0,"",_xlfn._xlws.SORT(_xlfn.UNIQUE(IF(ROW(INDIRECT("1:"&amp;(COUNTA(_xlfn.ANCHORARRAY($BO$3))+COUNTA(_xlfn.ANCHORARRAY($BP$3)))))&lt;=COUNTA(_xlfn.ANCHORARRAY($BO$3)),INDEX(_xlfn.ANCHORARRAY($BO$3),ROW(INDIRECT("1:"&amp;(COUNTA(_xlfn.ANCHORARRAY($BO$3))+COUNTA(_xlfn.ANCHORARRAY($BP$3)))))),INDEX(_xlfn.ANCHORARRAY($BP$3),ROW(INDIRECT("1:"&amp;(COUNTA(_xlfn.ANCHORARRAY($BO$3))+COUNTA(_xlfn.ANCHORARRAY($BP$3)))))-COUNTA(_xlfn.ANCHORARRAY($BO$3))))),1,1))</f>
        <v>Alma da Colheita</v>
      </c>
      <c r="CA3" t="str" cm="1">
        <f t="array" aca="1" ref="CA3:CA139" ca="1">IF(COUNTA(_xlfn.ANCHORARRAY($BR$3))+COUNTA(_xlfn.ANCHORARRAY($BS$3))=0,"",_xlfn._xlws.SORT(_xlfn.UNIQUE(IF(ROW(INDIRECT("1:"&amp;(COUNTA(_xlfn.ANCHORARRAY($BR$3))+COUNTA(_xlfn.ANCHORARRAY($BS$3)))))&lt;=COUNTA(_xlfn.ANCHORARRAY($BR$3)),INDEX(_xlfn.ANCHORARRAY($BR$3),ROW(INDIRECT("1:"&amp;(COUNTA(_xlfn.ANCHORARRAY($BR$3))+COUNTA(_xlfn.ANCHORARRAY($BS$3)))))),INDEX(_xlfn.ANCHORARRAY($BS$3),ROW(INDIRECT("1:"&amp;(COUNTA(_xlfn.ANCHORARRAY($BR$3))+COUNTA(_xlfn.ANCHORARRAY($BS$3)))))-COUNTA(_xlfn.ANCHORARRAY($BR$3))))),1,1))</f>
        <v>Aether Spellbomb</v>
      </c>
      <c r="CB3" t="str" cm="1">
        <f t="array" aca="1" ref="CB3:CB73" ca="1">IF(COUNTA(_xlfn.ANCHORARRAY($BT$3))+COUNTA(_xlfn.ANCHORARRAY($BU$3))=0,"",_xlfn._xlws.SORT(_xlfn.UNIQUE(IF(ROW(INDIRECT("1:"&amp;(COUNTA(_xlfn.ANCHORARRAY($BT$3))+COUNTA(_xlfn.ANCHORARRAY($BU$3)))))&lt;=COUNTA(_xlfn.ANCHORARRAY($BT$3)),INDEX(_xlfn.ANCHORARRAY($BT$3),ROW(INDIRECT("1:"&amp;(COUNTA(_xlfn.ANCHORARRAY($BT$3))+COUNTA(_xlfn.ANCHORARRAY($BU$3)))))),INDEX(_xlfn.ANCHORARRAY($BU$3),ROW(INDIRECT("1:"&amp;(COUNTA(_xlfn.ANCHORARRAY($BT$3))+COUNTA(_xlfn.ANCHORARRAY($BU$3)))))-COUNTA(_xlfn.ANCHORARRAY($BT$3))))),1,1))</f>
        <v>Aeon Chronicler</v>
      </c>
      <c r="CC3" t="str" cm="1">
        <f t="array" aca="1" ref="CC3:CC48" ca="1">IF(COUNTA(_xlfn.ANCHORARRAY($BV$3))+COUNTA(_xlfn.ANCHORARRAY($BW$3))=0,"",_xlfn._xlws.SORT(_xlfn.UNIQUE(IF(ROW(INDIRECT("1:"&amp;(COUNTA(_xlfn.ANCHORARRAY($BV$3))+COUNTA(_xlfn.ANCHORARRAY($BW$3)))))&lt;=COUNTA(_xlfn.ANCHORARRAY($BV$3)),INDEX(_xlfn.ANCHORARRAY($BV$3),ROW(INDIRECT("1:"&amp;(COUNTA(_xlfn.ANCHORARRAY($BV$3))+COUNTA(_xlfn.ANCHORARRAY($BW$3)))))),INDEX(_xlfn.ANCHORARRAY($BW$3),ROW(INDIRECT("1:"&amp;(COUNTA(_xlfn.ANCHORARRAY($BV$3))+COUNTA(_xlfn.ANCHORARRAY($BW$3)))))-COUNTA(_xlfn.ANCHORARRAY($BV$3))))),1,1))</f>
        <v>Aliança Impensável</v>
      </c>
      <c r="CD3" t="str" cm="1">
        <f t="array" aca="1" ref="CD3:CD44" ca="1">IF(COUNTA(_xlfn.ANCHORARRAY($BX$3))+COUNTA(_xlfn.ANCHORARRAY($BY$3))=0,"",_xlfn._xlws.SORT(_xlfn.UNIQUE(IF(ROW(INDIRECT("1:"&amp;(COUNTA(_xlfn.ANCHORARRAY($BX$3))+COUNTA(_xlfn.ANCHORARRAY($BY$3)))))&lt;=COUNTA(_xlfn.ANCHORARRAY($BX$3)),INDEX(_xlfn.ANCHORARRAY($BX$3),ROW(INDIRECT("1:"&amp;(COUNTA(_xlfn.ANCHORARRAY($BX$3))+COUNTA(_xlfn.ANCHORARRAY($BY$3)))))),INDEX(_xlfn.ANCHORARRAY($BY$3),ROW(INDIRECT("1:"&amp;(COUNTA(_xlfn.ANCHORARRAY($BX$3))+COUNTA(_xlfn.ANCHORARRAY($BY$3)))))-COUNTA(_xlfn.ANCHORARRAY($BX$3))))),1,1))</f>
        <v>Alma da Colheita</v>
      </c>
      <c r="CF3" t="str" cm="1">
        <f t="array" aca="1" ref="CF3:CF206" ca="1">IF(COUNTA(_xlfn.ANCHORARRAY($CA$3))+COUNTA(_xlfn.ANCHORARRAY($CB$3))=0,"",_xlfn._xlws.SORT(_xlfn.UNIQUE(IF(ROW(INDIRECT("1:"&amp;(COUNTA(_xlfn.ANCHORARRAY($CA$3))+COUNTA(_xlfn.ANCHORARRAY($CB$3)))))&lt;=COUNTA(_xlfn.ANCHORARRAY($CA$3)),INDEX(_xlfn.ANCHORARRAY($CA$3),ROW(INDIRECT("1:"&amp;(COUNTA(_xlfn.ANCHORARRAY($CA$3))+COUNTA(_xlfn.ANCHORARRAY($CB$3)))))),INDEX(_xlfn.ANCHORARRAY($CB$3),ROW(INDIRECT("1:"&amp;(COUNTA(_xlfn.ANCHORARRAY($CA$3))+COUNTA(_xlfn.ANCHORARRAY($CB$3)))))-COUNTA(_xlfn.ANCHORARRAY($CA$3))))),1,1))</f>
        <v>Aeon Chronicler</v>
      </c>
      <c r="CG3" t="str" cm="1">
        <f t="array" aca="1" ref="CG3:CG88" ca="1">IF(COUNTA(_xlfn.ANCHORARRAY($CC$3))+COUNTA(_xlfn.ANCHORARRAY($CD$3))=0,"",_xlfn._xlws.SORT(_xlfn.UNIQUE(IF(ROW(INDIRECT("1:"&amp;(COUNTA(_xlfn.ANCHORARRAY($CC$3))+COUNTA(_xlfn.ANCHORARRAY($CD$3)))))&lt;=COUNTA(_xlfn.ANCHORARRAY($CC$3)),INDEX(_xlfn.ANCHORARRAY($CC$3),ROW(INDIRECT("1:"&amp;(COUNTA(_xlfn.ANCHORARRAY($CC$3))+COUNTA(_xlfn.ANCHORARRAY($CD$3)))))),INDEX(_xlfn.ANCHORARRAY($CD$3),ROW(INDIRECT("1:"&amp;(COUNTA(_xlfn.ANCHORARRAY($CC$3))+COUNTA(_xlfn.ANCHORARRAY($CD$3)))))-COUNTA(_xlfn.ANCHORARRAY($CC$3))))),1,1))</f>
        <v>Aliança Impensável</v>
      </c>
      <c r="CI3" t="str" cm="1">
        <f t="array" aca="1" ref="CI3:CI279" ca="1">IF(COUNTA(_xlfn.ANCHORARRAY($CF$3))+COUNTA(_xlfn.ANCHORARRAY($CG$3))=0,"",_xlfn._xlws.SORT(_xlfn.UNIQUE(IF(ROW(INDIRECT("1:"&amp;(COUNTA(_xlfn.ANCHORARRAY($CF$3))+COUNTA(_xlfn.ANCHORARRAY($CG$3)))))&lt;=COUNTA(_xlfn.ANCHORARRAY($CF$3)),INDEX(_xlfn.ANCHORARRAY($CF$3),ROW(INDIRECT("1:"&amp;(COUNTA(_xlfn.ANCHORARRAY($CF$3))+COUNTA(_xlfn.ANCHORARRAY($CG$3)))))),INDEX(_xlfn.ANCHORARRAY($CG$3),ROW(INDIRECT("1:"&amp;(COUNTA(_xlfn.ANCHORARRAY($CF$3))+COUNTA(_xlfn.ANCHORARRAY($CG$3)))))-COUNTA(_xlfn.ANCHORARRAY($CF$3))))),1,1))</f>
        <v>Aeon Chronicler</v>
      </c>
    </row>
    <row r="4" spans="1:87" x14ac:dyDescent="0.25">
      <c r="A4" t="str">
        <f ca="1"/>
        <v>Access Tunnel</v>
      </c>
      <c r="B4" s="3" t="str" cm="1">
        <f t="array" aca="1" ref="B4" ca="1">_xlfn.ANCHORARRAY(RESUMO!C3)</f>
        <v>Rani</v>
      </c>
      <c r="C4" s="3" t="str">
        <f t="shared" ca="1" si="0"/>
        <v/>
      </c>
      <c r="E4" t="str">
        <f ca="1"/>
        <v>Aether Spellbomb</v>
      </c>
      <c r="F4" s="3">
        <f t="shared" ca="1" si="1"/>
        <v>1</v>
      </c>
      <c r="G4" s="3" t="str">
        <f t="shared" ca="1" si="2"/>
        <v>Kumena</v>
      </c>
      <c r="M4" t="str">
        <f ca="1"/>
        <v>Aether Spellbomb</v>
      </c>
      <c r="N4" s="3">
        <f t="shared" ca="1" si="3"/>
        <v>1</v>
      </c>
      <c r="O4" s="3" t="str">
        <f ca="1">IFERROR(
 INDEX($T$2:$AW$2,
  MATCH(TRUE,
   CHOOSE({1;2;3;4;5;6;7;8;9;10;11;12;13;14;15;16;17;18;19;20;21;22;23;24;25;26;27;28;29;30;31;32},
    COUNTIFS($T$3:$T$201,$M4)&gt;0,
    COUNTIFS($U$3:$U$201,$M4)&gt;0,
    COUNTIFS($V$3:$V$201,$M4)&gt;0,
    COUNTIFS($W$3:$W$201,$M4)&gt;0,
    COUNTIFS($X$3:$X$201,$M4)&gt;0,
    COUNTIFS($Y$3:$Y$201,$M4)&gt;0,
    COUNTIFS($Z$3:$Z$201,$M4)&gt;0,
    COUNTIFS($AA$3:$AA$201,$M4)&gt;0,
    COUNTIFS($AB$3:$AB$201,$M4)&gt;0,
    COUNTIFS($AC$3:$AC$201,$M4)&gt;0,
    COUNTIFS($AD$3:$AD$201,$M4)&gt;0,
    COUNTIFS($AE$3:$AE$201,$M4)&gt;0,
    COUNTIFS($AF$3:$AF$201,$M4)&gt;0,
    COUNTIFS($AG$3:$AG$201,$M4)&gt;0,
    COUNTIFS($AH$3:$AH$201,$M4)&gt;0,
    COUNTIFS($AI$3:$AI$201,$M4)&gt;0,
    COUNTIFS($AJ$3:$AJ$201,$M4)&gt;0,
    COUNTIFS($AK$3:$AK$201,$M4)&gt;0,
    COUNTIFS($AL$3:$AL$201,$M4)&gt;0,
    COUNTIFS($AM$3:$AM$201,$M4)&gt;0,
    COUNTIFS($AN$3:$AN$201,$M4)&gt;0,
    COUNTIFS($AO$3:$AO$201,$M4)&gt;0,
    COUNTIFS($AP$3:$AP$201,$M4)&gt;0,
    COUNTIFS($AQ$3:$AQ$201,$M4)&gt;0,
    COUNTIFS($AR$3:$AR$201,$M4)&gt;0,
    COUNTIFS($AS$3:$AS$201,$M4)&gt;0,
    COUNTIFS($AT$3:$AT$201,$M4)&gt;0,
    COUNTIFS($AU$3:$AU$201,$M4)&gt;0,
    COUNTIFS($AV$3:$AV$201,$M4)&gt;0,
    COUNTIFS($AW$3:$AW$201,$M4)&gt;0
   ),
  0)
 ),
"")</f>
        <v>Kumena</v>
      </c>
      <c r="P4" s="3" t="str" cm="1">
        <f t="array" aca="1" ref="P4" ca="1">IFERROR(
 INDEX(
  _xlfn._xlws.FILTER($T$2:$AW$2,
   TRANSPOSE(
    CHOOSE({1;2;3;4;5;6;7;8;9;10;11;12;13;14;15;16;17;18;19;20;21;22;23;24;25;26;27;28;29;30},
     COUNTIFS($T$3:$T$201,$M4)&gt;0,
     COUNTIFS($U$3:$U$201,$M4)&gt;0,
     COUNTIFS($V$3:$V$201,$M4)&gt;0,
     COUNTIFS($W$3:$W$201,$M4)&gt;0,
     COUNTIFS($X$3:$X$201,$M4)&gt;0,
     COUNTIFS($Y$3:$Y$201,$M4)&gt;0,
     COUNTIFS($Z$3:$Z$201,$M4)&gt;0,
     COUNTIFS($AA$3:$AA$201,$M4)&gt;0,
     COUNTIFS($AB$3:$AB$201,$M4)&gt;0,
     COUNTIFS($AC$3:$AC$201,$M4)&gt;0,
     COUNTIFS($AD$3:$AD$201,$M4)&gt;0,
     COUNTIFS($AE$3:$AE$201,$M4)&gt;0,
     COUNTIFS($AF$3:$AF$201,$M4)&gt;0,
     COUNTIFS($AG$3:$AG$201,$M4)&gt;0,
     COUNTIFS($AH$3:$AH$201,$M4)&gt;0,
     COUNTIFS($AI$3:$AI$201,$M4)&gt;0,
     COUNTIFS($AJ$3:$AJ$201,$M4)&gt;0,
     COUNTIFS($AK$3:$AK$201,$M4)&gt;0,
     COUNTIFS($AL$3:$AL$201,$M4)&gt;0,
     COUNTIFS($AM$3:$AM$201,$M4)&gt;0,
     COUNTIFS($AN$3:$AN$201,$M4)&gt;0,
     COUNTIFS($AO$3:$AO$201,$M4)&gt;0,
     COUNTIFS($AP$3:$AP$201,$M4)&gt;0,
     COUNTIFS($AQ$3:$AQ$201,$M4)&gt;0,
     COUNTIFS($AR$3:$AR$201,$M4)&gt;0,
     COUNTIFS($AS$3:$AS$201,$M4)&gt;0,
     COUNTIFS($AT$3:$AT$201,$M4)&gt;0,
     COUNTIFS($AU$3:$AU$201,$M4)&gt;0,
     COUNTIFS($AV$3:$AV$201,$M4)&gt;0,
     COUNTIFS($AW$3:$AW$201,$M4)&gt;0
   )),
  ),
  2
 ),
"")</f>
        <v/>
      </c>
      <c r="Q4" s="3" t="str" cm="1">
        <f t="array" aca="1" ref="Q4" ca="1">IFERROR(
 INDEX(
  _xlfn._xlws.FILTER($T$2:$AW$2,
   TRANSPOSE(
    CHOOSE({1;2;3;4;5;6;7;8;9;10;11;12;13;14;15;16;17;18;19;20;21;22;23;24;25;26;27;28;29;30},
     COUNTIFS($T$3:$T$201,$M4)&gt;0,
     COUNTIFS($U$3:$U$201,$M4)&gt;0,
     COUNTIFS($V$3:$V$201,$M4)&gt;0,
     COUNTIFS($W$3:$W$201,$M4)&gt;0,
     COUNTIFS($X$3:$X$201,$M4)&gt;0,
     COUNTIFS($Y$3:$Y$201,$M4)&gt;0,
     COUNTIFS($Z$3:$Z$201,$M4)&gt;0,
     COUNTIFS($AA$3:$AA$201,$M4)&gt;0,
     COUNTIFS($AB$3:$AB$201,$M4)&gt;0,
     COUNTIFS($AC$3:$AC$201,$M4)&gt;0,
     COUNTIFS($AD$3:$AD$201,$M4)&gt;0,
     COUNTIFS($AE$3:$AE$201,$M4)&gt;0,
     COUNTIFS($AF$3:$AF$201,$M4)&gt;0,
     COUNTIFS($AG$3:$AG$201,$M4)&gt;0,
     COUNTIFS($AH$3:$AH$201,$M4)&gt;0,
     COUNTIFS($AI$3:$AI$201,$M4)&gt;0,
     COUNTIFS($AJ$3:$AJ$201,$M4)&gt;0,
     COUNTIFS($AK$3:$AK$201,$M4)&gt;0,
     COUNTIFS($AL$3:$AL$201,$M4)&gt;0,
     COUNTIFS($AM$3:$AM$201,$M4)&gt;0,
     COUNTIFS($AN$3:$AN$201,$M4)&gt;0,
     COUNTIFS($AO$3:$AO$201,$M4)&gt;0,
     COUNTIFS($AP$3:$AP$201,$M4)&gt;0,
     COUNTIFS($AQ$3:$AQ$201,$M4)&gt;0,
     COUNTIFS($AR$3:$AR$201,$M4)&gt;0,
     COUNTIFS($AS$3:$AS$201,$M4)&gt;0,
     COUNTIFS($AT$3:$AT$201,$M4)&gt;0,
     COUNTIFS($AU$3:$AU$201,$M4)&gt;0,
     COUNTIFS($AV$3:$AV$201,$M4)&gt;0,
     COUNTIFS($AW$3:$AW$201,$M4)&gt;0
   )),
  ),
  3
 ),
"")</f>
        <v/>
      </c>
      <c r="R4" s="3" t="str" cm="1">
        <f t="array" aca="1" ref="R4" ca="1">IFERROR(
 INDEX(
  _xlfn._xlws.FILTER($T$2:$AW$2,
   TRANSPOSE(
    CHOOSE({1;2;3;4;5;6;7;8;9;10;11;12;13;14;15;16;17;18;19;20;21;22;23;24;25;26;27;28;29;30},
     COUNTIFS($T$3:$T$201,$M4)&gt;0,
     COUNTIFS($U$3:$U$201,$M4)&gt;0,
     COUNTIFS($V$3:$V$201,$M4)&gt;0,
     COUNTIFS($W$3:$W$201,$M4)&gt;0,
     COUNTIFS($X$3:$X$201,$M4)&gt;0,
     COUNTIFS($Y$3:$Y$201,$M4)&gt;0,
     COUNTIFS($Z$3:$Z$201,$M4)&gt;0,
     COUNTIFS($AA$3:$AA$201,$M4)&gt;0,
     COUNTIFS($AB$3:$AB$201,$M4)&gt;0,
     COUNTIFS($AC$3:$AC$201,$M4)&gt;0,
     COUNTIFS($AD$3:$AD$201,$M4)&gt;0,
     COUNTIFS($AE$3:$AE$201,$M4)&gt;0,
     COUNTIFS($AF$3:$AF$201,$M4)&gt;0,
     COUNTIFS($AG$3:$AG$201,$M4)&gt;0,
     COUNTIFS($AH$3:$AH$201,$M4)&gt;0,
     COUNTIFS($AI$3:$AI$201,$M4)&gt;0,
     COUNTIFS($AJ$3:$AJ$201,$M4)&gt;0,
     COUNTIFS($AK$3:$AK$201,$M4)&gt;0,
     COUNTIFS($AL$3:$AL$201,$M4)&gt;0,
     COUNTIFS($AM$3:$AM$201,$M4)&gt;0,
     COUNTIFS($AN$3:$AN$201,$M4)&gt;0,
     COUNTIFS($AO$3:$AO$201,$M4)&gt;0,
     COUNTIFS($AP$3:$AP$201,$M4)&gt;0,
     COUNTIFS($AQ$3:$AQ$201,$M4)&gt;0,
     COUNTIFS($AR$3:$AR$201,$M4)&gt;0,
     COUNTIFS($AS$3:$AS$201,$M4)&gt;0,
     COUNTIFS($AT$3:$AT$201,$M4)&gt;0,
     COUNTIFS($AU$3:$AU$201,$M4)&gt;0,
     COUNTIFS($AV$3:$AV$201,$M4)&gt;0,
     COUNTIFS($AW$3:$AW$201,$M4)&gt;0
   )),
  ),
  4
 ),
"")</f>
        <v/>
      </c>
      <c r="T4" t="str">
        <v>Ameoboid Changeling</v>
      </c>
      <c r="U4" t="str">
        <v>Bolsa de Nobre</v>
      </c>
      <c r="V4" t="str">
        <v>Antecipar</v>
      </c>
      <c r="W4" t="str">
        <v>Ascendência Nobre</v>
      </c>
      <c r="X4" t="str">
        <v>Extraction Specialist</v>
      </c>
      <c r="Y4" t="str">
        <v>Clackbridge Troll</v>
      </c>
      <c r="Z4" t="str">
        <v>Aquatic Incursion</v>
      </c>
      <c r="AA4" t="str">
        <v>Deathreap Ritual</v>
      </c>
      <c r="AB4" t="str">
        <v>Flagelo das Frotas</v>
      </c>
      <c r="AC4" t="str">
        <v>Cemetery Tampering</v>
      </c>
      <c r="AD4" t="str">
        <v>Duplicant</v>
      </c>
      <c r="AE4" t="str">
        <v>Clifftop Retreat</v>
      </c>
      <c r="AF4" t="str">
        <v>Despedaçamento Temporal de Jarn</v>
      </c>
      <c r="AG4" t="str">
        <v>Ilha</v>
      </c>
      <c r="AH4" t="str">
        <v>Danitha Capashen, Paragon</v>
      </c>
      <c r="AI4" t="str">
        <v>Canalizadora de Fluxos</v>
      </c>
      <c r="AJ4" t="str">
        <v>Eternal Witness</v>
      </c>
      <c r="AK4" t="str">
        <v>Island</v>
      </c>
      <c r="AL4" t="str">
        <v>Ilha</v>
      </c>
      <c r="AM4" t="str">
        <v>Cidadela da Estepe Arenosa</v>
      </c>
      <c r="AN4" t="str">
        <v>Island</v>
      </c>
      <c r="AO4" t="str">
        <v>Gagueira Mágica</v>
      </c>
      <c r="AP4" t="str">
        <v>Feldon of the Third Path</v>
      </c>
      <c r="AQ4" t="str">
        <v>Mountain</v>
      </c>
      <c r="AR4" t="str">
        <v>Elves of Deep Shadow</v>
      </c>
      <c r="AS4" t="str">
        <v>Planície</v>
      </c>
      <c r="AT4" t="str">
        <v>Floresta</v>
      </c>
      <c r="AU4" t="str">
        <v>Montanha</v>
      </c>
      <c r="AW4" t="str">
        <v>Arco Bestial de Vivien</v>
      </c>
      <c r="BA4" t="str">
        <f ca="1"/>
        <v>Ameoboid Changeling</v>
      </c>
      <c r="BB4" t="str">
        <f ca="1"/>
        <v>Animate Dead</v>
      </c>
      <c r="BC4" t="str">
        <f ca="1"/>
        <v>Charneca Estéril</v>
      </c>
      <c r="BD4" t="str">
        <f ca="1"/>
        <v>Altar de Bhaal</v>
      </c>
      <c r="BE4" t="str">
        <f ca="1"/>
        <v>Buried Alive</v>
      </c>
      <c r="BF4" t="str">
        <f ca="1"/>
        <v>Bruma Etérea</v>
      </c>
      <c r="BG4" t="str">
        <f ca="1"/>
        <v>Crotalus Mortífero</v>
      </c>
      <c r="BH4" t="str">
        <f ca="1"/>
        <v>Beast Within</v>
      </c>
      <c r="BI4" t="str">
        <f ca="1"/>
        <v>Eternal Witness</v>
      </c>
      <c r="BJ4" t="str">
        <f ca="1"/>
        <v>Cidadela da Estepe Arenosa</v>
      </c>
      <c r="BK4" t="str">
        <f ca="1"/>
        <v>Filigree Sages</v>
      </c>
      <c r="BL4" t="str">
        <f ca="1"/>
        <v>Feldon of the Third Path</v>
      </c>
      <c r="BM4" t="str">
        <f ca="1"/>
        <v>Elas il-Kor, Sadistic Pilgrim</v>
      </c>
      <c r="BN4" t="str">
        <f ca="1"/>
        <v>Cair sobre os Pecadores</v>
      </c>
      <c r="BO4" t="str">
        <f ca="1"/>
        <v>Arco Bestial de Vivien</v>
      </c>
      <c r="BR4" t="str">
        <f ca="1"/>
        <v>Alfinetador de Pecados</v>
      </c>
      <c r="BS4" t="str">
        <f ca="1"/>
        <v>Altar de Bhaal</v>
      </c>
      <c r="BT4" t="str">
        <f ca="1"/>
        <v>Brainstorm</v>
      </c>
      <c r="BU4" t="str">
        <f ca="1"/>
        <v>Beast Within</v>
      </c>
      <c r="BV4" t="str">
        <f ca="1"/>
        <v>Call to the Kindred</v>
      </c>
      <c r="BW4" t="str">
        <f ca="1"/>
        <v>Dawntreader Elk</v>
      </c>
      <c r="BX4" t="str">
        <f ca="1"/>
        <v>Cair sobre os Pecadores</v>
      </c>
      <c r="BY4" t="str">
        <f ca="1"/>
        <v>Arco Bestial de Vivien</v>
      </c>
      <c r="CA4" t="str">
        <f ca="1"/>
        <v>Akal Pakal, First Among Equals</v>
      </c>
      <c r="CB4" t="str">
        <f ca="1"/>
        <v>Armadura de Placas</v>
      </c>
      <c r="CC4" t="str">
        <f ca="1"/>
        <v>Anciã de Toca das Fadas</v>
      </c>
      <c r="CD4" t="str">
        <f ca="1"/>
        <v>Arco Bestial de Vivien</v>
      </c>
      <c r="CF4" t="str">
        <f ca="1"/>
        <v>Aether Spellbomb</v>
      </c>
      <c r="CG4" t="str">
        <f ca="1"/>
        <v>Alma da Colheita</v>
      </c>
      <c r="CI4" t="str">
        <f ca="1"/>
        <v>Aether Spellbomb</v>
      </c>
    </row>
    <row r="5" spans="1:87" x14ac:dyDescent="0.25">
      <c r="A5" t="str">
        <f ca="1"/>
        <v>Adagia, Windswept Bastion</v>
      </c>
      <c r="B5" s="3" t="str" cm="1">
        <f t="array" aca="1" ref="B5" ca="1">_xlfn.ANCHORARRAY(RESUMO!C4)</f>
        <v>Breya</v>
      </c>
      <c r="C5" s="3" t="str">
        <f t="shared" ca="1" si="0"/>
        <v/>
      </c>
      <c r="E5" t="str">
        <f ca="1"/>
        <v>Akal Pakal, First Among Equals</v>
      </c>
      <c r="F5" s="3">
        <f t="shared" ca="1" si="1"/>
        <v>1</v>
      </c>
      <c r="G5" s="3" t="str">
        <f t="shared" ca="1" si="2"/>
        <v>Piratas</v>
      </c>
      <c r="M5" t="str">
        <f ca="1"/>
        <v>Akal Pakal, First Among Equals</v>
      </c>
      <c r="N5" s="3">
        <f t="shared" ca="1" si="3"/>
        <v>1</v>
      </c>
      <c r="O5" s="3" t="str">
        <f ca="1">IFERROR(
 INDEX($T$2:$AW$2,
  MATCH(TRUE,
   CHOOSE({1;2;3;4;5;6;7;8;9;10;11;12;13;14;15;16;17;18;19;20;21;22;23;24;25;26;27;28;29;30;31;32},
    COUNTIFS($T$3:$T$201,$M5)&gt;0,
    COUNTIFS($U$3:$U$201,$M5)&gt;0,
    COUNTIFS($V$3:$V$201,$M5)&gt;0,
    COUNTIFS($W$3:$W$201,$M5)&gt;0,
    COUNTIFS($X$3:$X$201,$M5)&gt;0,
    COUNTIFS($Y$3:$Y$201,$M5)&gt;0,
    COUNTIFS($Z$3:$Z$201,$M5)&gt;0,
    COUNTIFS($AA$3:$AA$201,$M5)&gt;0,
    COUNTIFS($AB$3:$AB$201,$M5)&gt;0,
    COUNTIFS($AC$3:$AC$201,$M5)&gt;0,
    COUNTIFS($AD$3:$AD$201,$M5)&gt;0,
    COUNTIFS($AE$3:$AE$201,$M5)&gt;0,
    COUNTIFS($AF$3:$AF$201,$M5)&gt;0,
    COUNTIFS($AG$3:$AG$201,$M5)&gt;0,
    COUNTIFS($AH$3:$AH$201,$M5)&gt;0,
    COUNTIFS($AI$3:$AI$201,$M5)&gt;0,
    COUNTIFS($AJ$3:$AJ$201,$M5)&gt;0,
    COUNTIFS($AK$3:$AK$201,$M5)&gt;0,
    COUNTIFS($AL$3:$AL$201,$M5)&gt;0,
    COUNTIFS($AM$3:$AM$201,$M5)&gt;0,
    COUNTIFS($AN$3:$AN$201,$M5)&gt;0,
    COUNTIFS($AO$3:$AO$201,$M5)&gt;0,
    COUNTIFS($AP$3:$AP$201,$M5)&gt;0,
    COUNTIFS($AQ$3:$AQ$201,$M5)&gt;0,
    COUNTIFS($AR$3:$AR$201,$M5)&gt;0,
    COUNTIFS($AS$3:$AS$201,$M5)&gt;0,
    COUNTIFS($AT$3:$AT$201,$M5)&gt;0,
    COUNTIFS($AU$3:$AU$201,$M5)&gt;0,
    COUNTIFS($AV$3:$AV$201,$M5)&gt;0,
    COUNTIFS($AW$3:$AW$201,$M5)&gt;0
   ),
  0)
 ),
"")</f>
        <v>Piratas</v>
      </c>
      <c r="P5" s="3" t="str" cm="1">
        <f t="array" aca="1" ref="P5" ca="1">IFERROR(
 INDEX(
  _xlfn._xlws.FILTER($T$2:$AW$2,
   TRANSPOSE(
    CHOOSE({1;2;3;4;5;6;7;8;9;10;11;12;13;14;15;16;17;18;19;20;21;22;23;24;25;26;27;28;29;30},
     COUNTIFS($T$3:$T$201,$M5)&gt;0,
     COUNTIFS($U$3:$U$201,$M5)&gt;0,
     COUNTIFS($V$3:$V$201,$M5)&gt;0,
     COUNTIFS($W$3:$W$201,$M5)&gt;0,
     COUNTIFS($X$3:$X$201,$M5)&gt;0,
     COUNTIFS($Y$3:$Y$201,$M5)&gt;0,
     COUNTIFS($Z$3:$Z$201,$M5)&gt;0,
     COUNTIFS($AA$3:$AA$201,$M5)&gt;0,
     COUNTIFS($AB$3:$AB$201,$M5)&gt;0,
     COUNTIFS($AC$3:$AC$201,$M5)&gt;0,
     COUNTIFS($AD$3:$AD$201,$M5)&gt;0,
     COUNTIFS($AE$3:$AE$201,$M5)&gt;0,
     COUNTIFS($AF$3:$AF$201,$M5)&gt;0,
     COUNTIFS($AG$3:$AG$201,$M5)&gt;0,
     COUNTIFS($AH$3:$AH$201,$M5)&gt;0,
     COUNTIFS($AI$3:$AI$201,$M5)&gt;0,
     COUNTIFS($AJ$3:$AJ$201,$M5)&gt;0,
     COUNTIFS($AK$3:$AK$201,$M5)&gt;0,
     COUNTIFS($AL$3:$AL$201,$M5)&gt;0,
     COUNTIFS($AM$3:$AM$201,$M5)&gt;0,
     COUNTIFS($AN$3:$AN$201,$M5)&gt;0,
     COUNTIFS($AO$3:$AO$201,$M5)&gt;0,
     COUNTIFS($AP$3:$AP$201,$M5)&gt;0,
     COUNTIFS($AQ$3:$AQ$201,$M5)&gt;0,
     COUNTIFS($AR$3:$AR$201,$M5)&gt;0,
     COUNTIFS($AS$3:$AS$201,$M5)&gt;0,
     COUNTIFS($AT$3:$AT$201,$M5)&gt;0,
     COUNTIFS($AU$3:$AU$201,$M5)&gt;0,
     COUNTIFS($AV$3:$AV$201,$M5)&gt;0,
     COUNTIFS($AW$3:$AW$201,$M5)&gt;0
   )),
  ),
  2
 ),
"")</f>
        <v/>
      </c>
      <c r="Q5" s="3" t="str" cm="1">
        <f t="array" aca="1" ref="Q5" ca="1">IFERROR(
 INDEX(
  _xlfn._xlws.FILTER($T$2:$AW$2,
   TRANSPOSE(
    CHOOSE({1;2;3;4;5;6;7;8;9;10;11;12;13;14;15;16;17;18;19;20;21;22;23;24;25;26;27;28;29;30},
     COUNTIFS($T$3:$T$201,$M5)&gt;0,
     COUNTIFS($U$3:$U$201,$M5)&gt;0,
     COUNTIFS($V$3:$V$201,$M5)&gt;0,
     COUNTIFS($W$3:$W$201,$M5)&gt;0,
     COUNTIFS($X$3:$X$201,$M5)&gt;0,
     COUNTIFS($Y$3:$Y$201,$M5)&gt;0,
     COUNTIFS($Z$3:$Z$201,$M5)&gt;0,
     COUNTIFS($AA$3:$AA$201,$M5)&gt;0,
     COUNTIFS($AB$3:$AB$201,$M5)&gt;0,
     COUNTIFS($AC$3:$AC$201,$M5)&gt;0,
     COUNTIFS($AD$3:$AD$201,$M5)&gt;0,
     COUNTIFS($AE$3:$AE$201,$M5)&gt;0,
     COUNTIFS($AF$3:$AF$201,$M5)&gt;0,
     COUNTIFS($AG$3:$AG$201,$M5)&gt;0,
     COUNTIFS($AH$3:$AH$201,$M5)&gt;0,
     COUNTIFS($AI$3:$AI$201,$M5)&gt;0,
     COUNTIFS($AJ$3:$AJ$201,$M5)&gt;0,
     COUNTIFS($AK$3:$AK$201,$M5)&gt;0,
     COUNTIFS($AL$3:$AL$201,$M5)&gt;0,
     COUNTIFS($AM$3:$AM$201,$M5)&gt;0,
     COUNTIFS($AN$3:$AN$201,$M5)&gt;0,
     COUNTIFS($AO$3:$AO$201,$M5)&gt;0,
     COUNTIFS($AP$3:$AP$201,$M5)&gt;0,
     COUNTIFS($AQ$3:$AQ$201,$M5)&gt;0,
     COUNTIFS($AR$3:$AR$201,$M5)&gt;0,
     COUNTIFS($AS$3:$AS$201,$M5)&gt;0,
     COUNTIFS($AT$3:$AT$201,$M5)&gt;0,
     COUNTIFS($AU$3:$AU$201,$M5)&gt;0,
     COUNTIFS($AV$3:$AV$201,$M5)&gt;0,
     COUNTIFS($AW$3:$AW$201,$M5)&gt;0
   )),
  ),
  3
 ),
"")</f>
        <v/>
      </c>
      <c r="R5" s="3" t="str" cm="1">
        <f t="array" aca="1" ref="R5" ca="1">IFERROR(
 INDEX(
  _xlfn._xlws.FILTER($T$2:$AW$2,
   TRANSPOSE(
    CHOOSE({1;2;3;4;5;6;7;8;9;10;11;12;13;14;15;16;17;18;19;20;21;22;23;24;25;26;27;28;29;30},
     COUNTIFS($T$3:$T$201,$M5)&gt;0,
     COUNTIFS($U$3:$U$201,$M5)&gt;0,
     COUNTIFS($V$3:$V$201,$M5)&gt;0,
     COUNTIFS($W$3:$W$201,$M5)&gt;0,
     COUNTIFS($X$3:$X$201,$M5)&gt;0,
     COUNTIFS($Y$3:$Y$201,$M5)&gt;0,
     COUNTIFS($Z$3:$Z$201,$M5)&gt;0,
     COUNTIFS($AA$3:$AA$201,$M5)&gt;0,
     COUNTIFS($AB$3:$AB$201,$M5)&gt;0,
     COUNTIFS($AC$3:$AC$201,$M5)&gt;0,
     COUNTIFS($AD$3:$AD$201,$M5)&gt;0,
     COUNTIFS($AE$3:$AE$201,$M5)&gt;0,
     COUNTIFS($AF$3:$AF$201,$M5)&gt;0,
     COUNTIFS($AG$3:$AG$201,$M5)&gt;0,
     COUNTIFS($AH$3:$AH$201,$M5)&gt;0,
     COUNTIFS($AI$3:$AI$201,$M5)&gt;0,
     COUNTIFS($AJ$3:$AJ$201,$M5)&gt;0,
     COUNTIFS($AK$3:$AK$201,$M5)&gt;0,
     COUNTIFS($AL$3:$AL$201,$M5)&gt;0,
     COUNTIFS($AM$3:$AM$201,$M5)&gt;0,
     COUNTIFS($AN$3:$AN$201,$M5)&gt;0,
     COUNTIFS($AO$3:$AO$201,$M5)&gt;0,
     COUNTIFS($AP$3:$AP$201,$M5)&gt;0,
     COUNTIFS($AQ$3:$AQ$201,$M5)&gt;0,
     COUNTIFS($AR$3:$AR$201,$M5)&gt;0,
     COUNTIFS($AS$3:$AS$201,$M5)&gt;0,
     COUNTIFS($AT$3:$AT$201,$M5)&gt;0,
     COUNTIFS($AU$3:$AU$201,$M5)&gt;0,
     COUNTIFS($AV$3:$AV$201,$M5)&gt;0,
     COUNTIFS($AW$3:$AW$201,$M5)&gt;0
   )),
  ),
  4
 ),
"")</f>
        <v/>
      </c>
      <c r="T5" t="str">
        <v>Arauto Flamíneo</v>
      </c>
      <c r="U5" t="str">
        <v>Comando de Kayla</v>
      </c>
      <c r="V5" t="str">
        <v>Ascendência Jeskai</v>
      </c>
      <c r="W5" t="str">
        <v>Ceifador da Meia-Noite</v>
      </c>
      <c r="X5" t="str">
        <v>Guardiã da Aurora de Gavony</v>
      </c>
      <c r="Y5" t="str">
        <v>Coronation of Chaos</v>
      </c>
      <c r="Z5" t="str">
        <v>Barreira Psíquica</v>
      </c>
      <c r="AA5" t="str">
        <v>Ecological Appreciation</v>
      </c>
      <c r="AB5" t="str">
        <v>Ilha</v>
      </c>
      <c r="AC5" t="str">
        <v>Crawling Infestation</v>
      </c>
      <c r="AD5" t="str">
        <v>Eterificar</v>
      </c>
      <c r="AE5" t="str">
        <v>Crackling Doom</v>
      </c>
      <c r="AF5" t="str">
        <v>Island</v>
      </c>
      <c r="AG5" t="str">
        <v>Master of Death</v>
      </c>
      <c r="AH5" t="str">
        <v xml:space="preserve">Engenheira do Sítio de Escavação </v>
      </c>
      <c r="AI5" t="str">
        <v>Chaos Warp</v>
      </c>
      <c r="AJ5" t="str">
        <v>Lanterna Cromática</v>
      </c>
      <c r="AK5" t="str">
        <v>Island</v>
      </c>
      <c r="AL5" t="str">
        <v>Ilha</v>
      </c>
      <c r="AM5" t="str">
        <v>Godless Shrine</v>
      </c>
      <c r="AN5" t="str">
        <v>Island</v>
      </c>
      <c r="AO5" t="str">
        <v>Masterful Replication</v>
      </c>
      <c r="AP5" t="str">
        <v>Jarad's Orders</v>
      </c>
      <c r="AQ5" t="str">
        <v>Saheeli, Filigree Master</v>
      </c>
      <c r="AR5" t="str">
        <v>Ganso Dourado</v>
      </c>
      <c r="AS5" t="str">
        <v>Planície</v>
      </c>
      <c r="AU5" t="str">
        <v>Queda Solar</v>
      </c>
      <c r="AW5" t="str">
        <v>Câmara do Oráculo</v>
      </c>
      <c r="BA5" t="str">
        <f ca="1"/>
        <v>Arauto Flamíneo</v>
      </c>
      <c r="BB5" t="str">
        <f ca="1"/>
        <v>Antecipar</v>
      </c>
      <c r="BC5" t="str">
        <f ca="1"/>
        <v>Clackbridge Troll</v>
      </c>
      <c r="BD5" t="str">
        <f ca="1"/>
        <v>Aquatic Incursion</v>
      </c>
      <c r="BE5" t="str">
        <f ca="1"/>
        <v>Cemetery Tampering</v>
      </c>
      <c r="BF5" t="str">
        <f ca="1"/>
        <v>Clifftop Retreat</v>
      </c>
      <c r="BG5" t="str">
        <f ca="1"/>
        <v>Despedaçamento Temporal de Jarn</v>
      </c>
      <c r="BH5" t="str">
        <f ca="1"/>
        <v>Canalizadora de Fluxos</v>
      </c>
      <c r="BI5" t="str">
        <f ca="1"/>
        <v>Forest</v>
      </c>
      <c r="BJ5" t="str">
        <f ca="1"/>
        <v>Consecrated Sphinx</v>
      </c>
      <c r="BK5" t="str">
        <f ca="1"/>
        <v>Gagueira Mágica</v>
      </c>
      <c r="BL5" t="str">
        <f ca="1"/>
        <v>Fundição dos Cônsules</v>
      </c>
      <c r="BM5" t="str">
        <f ca="1"/>
        <v>Elves of Deep Shadow</v>
      </c>
      <c r="BN5" t="str">
        <f ca="1"/>
        <v>Floresta</v>
      </c>
      <c r="BO5" t="str">
        <f ca="1"/>
        <v>Câmara do Oráculo</v>
      </c>
      <c r="BR5" t="str">
        <f ca="1"/>
        <v>Ameoboid Changeling</v>
      </c>
      <c r="BS5" t="str">
        <f ca="1"/>
        <v>Aquatic Incursion</v>
      </c>
      <c r="BT5" t="str">
        <f ca="1"/>
        <v>Bruma Etérea</v>
      </c>
      <c r="BU5" t="str">
        <f ca="1"/>
        <v>Canalizadora de Fluxos</v>
      </c>
      <c r="BV5" t="str">
        <f ca="1"/>
        <v>Cidadela da Estepe Arenosa</v>
      </c>
      <c r="BW5" t="str">
        <f ca="1"/>
        <v>Feldon of the Third Path</v>
      </c>
      <c r="BX5" t="str">
        <f ca="1"/>
        <v>Divine Visitation</v>
      </c>
      <c r="BY5" t="str">
        <f ca="1"/>
        <v>Câmara do Oráculo</v>
      </c>
      <c r="CA5" t="str">
        <f ca="1"/>
        <v>Alfinetador de Pecados</v>
      </c>
      <c r="CB5" t="str">
        <f ca="1"/>
        <v>Beast Within</v>
      </c>
      <c r="CC5" t="str">
        <f ca="1"/>
        <v>Call to the Kindred</v>
      </c>
      <c r="CD5" t="str">
        <f ca="1"/>
        <v>Barreira Angelical</v>
      </c>
      <c r="CF5" t="str">
        <f ca="1"/>
        <v>Akal Pakal, First Among Equals</v>
      </c>
      <c r="CG5" t="str">
        <f ca="1"/>
        <v>Anciã de Toca das Fadas</v>
      </c>
      <c r="CI5" t="str">
        <f ca="1"/>
        <v>Akal Pakal, First Among Equals</v>
      </c>
    </row>
    <row r="6" spans="1:87" x14ac:dyDescent="0.25">
      <c r="A6" t="str">
        <f ca="1"/>
        <v>Adarkar Wastes</v>
      </c>
      <c r="B6" s="3" t="str" cm="1">
        <f t="array" aca="1" ref="B6" ca="1">_xlfn.ANCHORARRAY(RESUMO!C5)</f>
        <v>Narset</v>
      </c>
      <c r="C6" s="3" t="str">
        <f t="shared" ca="1" si="0"/>
        <v/>
      </c>
      <c r="E6" t="str">
        <f ca="1"/>
        <v>Alfinetador de Pecados</v>
      </c>
      <c r="F6" s="3">
        <f t="shared" ca="1" si="1"/>
        <v>1</v>
      </c>
      <c r="G6" s="3" t="str">
        <f t="shared" ca="1" si="2"/>
        <v>Narset</v>
      </c>
      <c r="M6" t="str">
        <f ca="1"/>
        <v>Alfinetador de Pecados</v>
      </c>
      <c r="N6" s="3">
        <f t="shared" ca="1" si="3"/>
        <v>1</v>
      </c>
      <c r="O6" s="3" t="str">
        <f ca="1">IFERROR(
 INDEX($T$2:$AW$2,
  MATCH(TRUE,
   CHOOSE({1;2;3;4;5;6;7;8;9;10;11;12;13;14;15;16;17;18;19;20;21;22;23;24;25;26;27;28;29;30;31;32},
    COUNTIFS($T$3:$T$201,$M6)&gt;0,
    COUNTIFS($U$3:$U$201,$M6)&gt;0,
    COUNTIFS($V$3:$V$201,$M6)&gt;0,
    COUNTIFS($W$3:$W$201,$M6)&gt;0,
    COUNTIFS($X$3:$X$201,$M6)&gt;0,
    COUNTIFS($Y$3:$Y$201,$M6)&gt;0,
    COUNTIFS($Z$3:$Z$201,$M6)&gt;0,
    COUNTIFS($AA$3:$AA$201,$M6)&gt;0,
    COUNTIFS($AB$3:$AB$201,$M6)&gt;0,
    COUNTIFS($AC$3:$AC$201,$M6)&gt;0,
    COUNTIFS($AD$3:$AD$201,$M6)&gt;0,
    COUNTIFS($AE$3:$AE$201,$M6)&gt;0,
    COUNTIFS($AF$3:$AF$201,$M6)&gt;0,
    COUNTIFS($AG$3:$AG$201,$M6)&gt;0,
    COUNTIFS($AH$3:$AH$201,$M6)&gt;0,
    COUNTIFS($AI$3:$AI$201,$M6)&gt;0,
    COUNTIFS($AJ$3:$AJ$201,$M6)&gt;0,
    COUNTIFS($AK$3:$AK$201,$M6)&gt;0,
    COUNTIFS($AL$3:$AL$201,$M6)&gt;0,
    COUNTIFS($AM$3:$AM$201,$M6)&gt;0,
    COUNTIFS($AN$3:$AN$201,$M6)&gt;0,
    COUNTIFS($AO$3:$AO$201,$M6)&gt;0,
    COUNTIFS($AP$3:$AP$201,$M6)&gt;0,
    COUNTIFS($AQ$3:$AQ$201,$M6)&gt;0,
    COUNTIFS($AR$3:$AR$201,$M6)&gt;0,
    COUNTIFS($AS$3:$AS$201,$M6)&gt;0,
    COUNTIFS($AT$3:$AT$201,$M6)&gt;0,
    COUNTIFS($AU$3:$AU$201,$M6)&gt;0,
    COUNTIFS($AV$3:$AV$201,$M6)&gt;0,
    COUNTIFS($AW$3:$AW$201,$M6)&gt;0
   ),
  0)
 ),
"")</f>
        <v>Narset</v>
      </c>
      <c r="P6" s="3" t="str" cm="1">
        <f t="array" aca="1" ref="P6" ca="1">IFERROR(
 INDEX(
  _xlfn._xlws.FILTER($T$2:$AW$2,
   TRANSPOSE(
    CHOOSE({1;2;3;4;5;6;7;8;9;10;11;12;13;14;15;16;17;18;19;20;21;22;23;24;25;26;27;28;29;30},
     COUNTIFS($T$3:$T$201,$M6)&gt;0,
     COUNTIFS($U$3:$U$201,$M6)&gt;0,
     COUNTIFS($V$3:$V$201,$M6)&gt;0,
     COUNTIFS($W$3:$W$201,$M6)&gt;0,
     COUNTIFS($X$3:$X$201,$M6)&gt;0,
     COUNTIFS($Y$3:$Y$201,$M6)&gt;0,
     COUNTIFS($Z$3:$Z$201,$M6)&gt;0,
     COUNTIFS($AA$3:$AA$201,$M6)&gt;0,
     COUNTIFS($AB$3:$AB$201,$M6)&gt;0,
     COUNTIFS($AC$3:$AC$201,$M6)&gt;0,
     COUNTIFS($AD$3:$AD$201,$M6)&gt;0,
     COUNTIFS($AE$3:$AE$201,$M6)&gt;0,
     COUNTIFS($AF$3:$AF$201,$M6)&gt;0,
     COUNTIFS($AG$3:$AG$201,$M6)&gt;0,
     COUNTIFS($AH$3:$AH$201,$M6)&gt;0,
     COUNTIFS($AI$3:$AI$201,$M6)&gt;0,
     COUNTIFS($AJ$3:$AJ$201,$M6)&gt;0,
     COUNTIFS($AK$3:$AK$201,$M6)&gt;0,
     COUNTIFS($AL$3:$AL$201,$M6)&gt;0,
     COUNTIFS($AM$3:$AM$201,$M6)&gt;0,
     COUNTIFS($AN$3:$AN$201,$M6)&gt;0,
     COUNTIFS($AO$3:$AO$201,$M6)&gt;0,
     COUNTIFS($AP$3:$AP$201,$M6)&gt;0,
     COUNTIFS($AQ$3:$AQ$201,$M6)&gt;0,
     COUNTIFS($AR$3:$AR$201,$M6)&gt;0,
     COUNTIFS($AS$3:$AS$201,$M6)&gt;0,
     COUNTIFS($AT$3:$AT$201,$M6)&gt;0,
     COUNTIFS($AU$3:$AU$201,$M6)&gt;0,
     COUNTIFS($AV$3:$AV$201,$M6)&gt;0,
     COUNTIFS($AW$3:$AW$201,$M6)&gt;0
   )),
  ),
  2
 ),
"")</f>
        <v/>
      </c>
      <c r="Q6" s="3" t="str" cm="1">
        <f t="array" aca="1" ref="Q6" ca="1">IFERROR(
 INDEX(
  _xlfn._xlws.FILTER($T$2:$AW$2,
   TRANSPOSE(
    CHOOSE({1;2;3;4;5;6;7;8;9;10;11;12;13;14;15;16;17;18;19;20;21;22;23;24;25;26;27;28;29;30},
     COUNTIFS($T$3:$T$201,$M6)&gt;0,
     COUNTIFS($U$3:$U$201,$M6)&gt;0,
     COUNTIFS($V$3:$V$201,$M6)&gt;0,
     COUNTIFS($W$3:$W$201,$M6)&gt;0,
     COUNTIFS($X$3:$X$201,$M6)&gt;0,
     COUNTIFS($Y$3:$Y$201,$M6)&gt;0,
     COUNTIFS($Z$3:$Z$201,$M6)&gt;0,
     COUNTIFS($AA$3:$AA$201,$M6)&gt;0,
     COUNTIFS($AB$3:$AB$201,$M6)&gt;0,
     COUNTIFS($AC$3:$AC$201,$M6)&gt;0,
     COUNTIFS($AD$3:$AD$201,$M6)&gt;0,
     COUNTIFS($AE$3:$AE$201,$M6)&gt;0,
     COUNTIFS($AF$3:$AF$201,$M6)&gt;0,
     COUNTIFS($AG$3:$AG$201,$M6)&gt;0,
     COUNTIFS($AH$3:$AH$201,$M6)&gt;0,
     COUNTIFS($AI$3:$AI$201,$M6)&gt;0,
     COUNTIFS($AJ$3:$AJ$201,$M6)&gt;0,
     COUNTIFS($AK$3:$AK$201,$M6)&gt;0,
     COUNTIFS($AL$3:$AL$201,$M6)&gt;0,
     COUNTIFS($AM$3:$AM$201,$M6)&gt;0,
     COUNTIFS($AN$3:$AN$201,$M6)&gt;0,
     COUNTIFS($AO$3:$AO$201,$M6)&gt;0,
     COUNTIFS($AP$3:$AP$201,$M6)&gt;0,
     COUNTIFS($AQ$3:$AQ$201,$M6)&gt;0,
     COUNTIFS($AR$3:$AR$201,$M6)&gt;0,
     COUNTIFS($AS$3:$AS$201,$M6)&gt;0,
     COUNTIFS($AT$3:$AT$201,$M6)&gt;0,
     COUNTIFS($AU$3:$AU$201,$M6)&gt;0,
     COUNTIFS($AV$3:$AV$201,$M6)&gt;0,
     COUNTIFS($AW$3:$AW$201,$M6)&gt;0
   )),
  ),
  3
 ),
"")</f>
        <v/>
      </c>
      <c r="R6" s="3" t="str" cm="1">
        <f t="array" aca="1" ref="R6" ca="1">IFERROR(
 INDEX(
  _xlfn._xlws.FILTER($T$2:$AW$2,
   TRANSPOSE(
    CHOOSE({1;2;3;4;5;6;7;8;9;10;11;12;13;14;15;16;17;18;19;20;21;22;23;24;25;26;27;28;29;30},
     COUNTIFS($T$3:$T$201,$M6)&gt;0,
     COUNTIFS($U$3:$U$201,$M6)&gt;0,
     COUNTIFS($V$3:$V$201,$M6)&gt;0,
     COUNTIFS($W$3:$W$201,$M6)&gt;0,
     COUNTIFS($X$3:$X$201,$M6)&gt;0,
     COUNTIFS($Y$3:$Y$201,$M6)&gt;0,
     COUNTIFS($Z$3:$Z$201,$M6)&gt;0,
     COUNTIFS($AA$3:$AA$201,$M6)&gt;0,
     COUNTIFS($AB$3:$AB$201,$M6)&gt;0,
     COUNTIFS($AC$3:$AC$201,$M6)&gt;0,
     COUNTIFS($AD$3:$AD$201,$M6)&gt;0,
     COUNTIFS($AE$3:$AE$201,$M6)&gt;0,
     COUNTIFS($AF$3:$AF$201,$M6)&gt;0,
     COUNTIFS($AG$3:$AG$201,$M6)&gt;0,
     COUNTIFS($AH$3:$AH$201,$M6)&gt;0,
     COUNTIFS($AI$3:$AI$201,$M6)&gt;0,
     COUNTIFS($AJ$3:$AJ$201,$M6)&gt;0,
     COUNTIFS($AK$3:$AK$201,$M6)&gt;0,
     COUNTIFS($AL$3:$AL$201,$M6)&gt;0,
     COUNTIFS($AM$3:$AM$201,$M6)&gt;0,
     COUNTIFS($AN$3:$AN$201,$M6)&gt;0,
     COUNTIFS($AO$3:$AO$201,$M6)&gt;0,
     COUNTIFS($AP$3:$AP$201,$M6)&gt;0,
     COUNTIFS($AQ$3:$AQ$201,$M6)&gt;0,
     COUNTIFS($AR$3:$AR$201,$M6)&gt;0,
     COUNTIFS($AS$3:$AS$201,$M6)&gt;0,
     COUNTIFS($AT$3:$AT$201,$M6)&gt;0,
     COUNTIFS($AU$3:$AU$201,$M6)&gt;0,
     COUNTIFS($AV$3:$AV$201,$M6)&gt;0,
     COUNTIFS($AW$3:$AW$201,$M6)&gt;0
   )),
  ),
  4
 ),
"")</f>
        <v/>
      </c>
      <c r="T6" t="str">
        <v>Dire Fleet Poisoner</v>
      </c>
      <c r="U6" t="str">
        <v>Crib Swap</v>
      </c>
      <c r="V6" t="str">
        <v>Botas do Desbravador</v>
      </c>
      <c r="W6" t="str">
        <v>Cervo Brunido</v>
      </c>
      <c r="X6" t="str">
        <v>High Priest of Penance</v>
      </c>
      <c r="Y6" t="str">
        <v>Counterflux</v>
      </c>
      <c r="Z6" t="str">
        <v>Deeprooot Wayfinder</v>
      </c>
      <c r="AA6" t="str">
        <v>Harrow</v>
      </c>
      <c r="AB6" t="str">
        <v>Ilha</v>
      </c>
      <c r="AC6" t="str">
        <v>Forest</v>
      </c>
      <c r="AD6" t="str">
        <v>Island</v>
      </c>
      <c r="AE6" t="str">
        <v>Dissipation Field</v>
      </c>
      <c r="AF6" t="str">
        <v>Island</v>
      </c>
      <c r="AG6" t="str">
        <v>Oversold Cemetery</v>
      </c>
      <c r="AH6" t="str">
        <v>Forja Mística</v>
      </c>
      <c r="AI6" t="str">
        <v>Explosão Ruinosa de Urza</v>
      </c>
      <c r="AJ6" t="str">
        <v>Prismatic Lens</v>
      </c>
      <c r="AK6" t="str">
        <v>Island</v>
      </c>
      <c r="AL6" t="str">
        <v>Inundação de Lágrimas</v>
      </c>
      <c r="AM6" t="str">
        <v>Jungle Shrine</v>
      </c>
      <c r="AN6" t="str">
        <v>Nimble Obstructionist</v>
      </c>
      <c r="AO6" t="str">
        <v>Pântano</v>
      </c>
      <c r="AP6" t="str">
        <v>Procissão de Carniçais</v>
      </c>
      <c r="AR6" t="str">
        <v>Portão da Guilda Orzhov</v>
      </c>
      <c r="AS6" t="str">
        <v>Planície</v>
      </c>
      <c r="AW6" t="str">
        <v>Contrabandear Gado</v>
      </c>
      <c r="BA6" t="str">
        <f ca="1"/>
        <v>Augúrio do Sol</v>
      </c>
      <c r="BB6" t="str">
        <f ca="1"/>
        <v>Ascendência Jeskai</v>
      </c>
      <c r="BC6" t="str">
        <f ca="1"/>
        <v>Coronation of Chaos</v>
      </c>
      <c r="BD6" t="str">
        <f ca="1"/>
        <v>Barreira Psíquica</v>
      </c>
      <c r="BE6" t="str">
        <f ca="1"/>
        <v>Crawling Infestation</v>
      </c>
      <c r="BF6" t="str">
        <f ca="1"/>
        <v>Crackling Doom</v>
      </c>
      <c r="BG6" t="str">
        <f ca="1"/>
        <v>Ilha</v>
      </c>
      <c r="BH6" t="str">
        <f ca="1"/>
        <v>Chaos Warp</v>
      </c>
      <c r="BI6" t="str">
        <f ca="1"/>
        <v>Island</v>
      </c>
      <c r="BJ6" t="str">
        <f ca="1"/>
        <v>Godless Shrine</v>
      </c>
      <c r="BK6" t="str">
        <f ca="1"/>
        <v>Island</v>
      </c>
      <c r="BL6" t="str">
        <f ca="1"/>
        <v>Jarad's Orders</v>
      </c>
      <c r="BM6" t="str">
        <f ca="1"/>
        <v>Ganso Dourado</v>
      </c>
      <c r="BN6" t="str">
        <f ca="1"/>
        <v>Montanha</v>
      </c>
      <c r="BO6" t="str">
        <f ca="1"/>
        <v>Contrabandear Gado</v>
      </c>
      <c r="BR6" t="str">
        <f ca="1"/>
        <v>Animate Dead</v>
      </c>
      <c r="BS6" t="str">
        <f ca="1"/>
        <v>Barreira Psíquica</v>
      </c>
      <c r="BT6" t="str">
        <f ca="1"/>
        <v>Buried Alive</v>
      </c>
      <c r="BU6" t="str">
        <f ca="1"/>
        <v>Chaos Warp</v>
      </c>
      <c r="BV6" t="str">
        <f ca="1"/>
        <v>Consecrated Sphinx</v>
      </c>
      <c r="BW6" t="str">
        <f ca="1"/>
        <v>Filigree Sages</v>
      </c>
      <c r="BX6" t="str">
        <f ca="1"/>
        <v>Elas il-Kor, Sadistic Pilgrim</v>
      </c>
      <c r="BY6" t="str">
        <f ca="1"/>
        <v>Contrabandear Gado</v>
      </c>
      <c r="CA6" t="str">
        <f ca="1"/>
        <v>Altar de Bhaal</v>
      </c>
      <c r="CB6" t="str">
        <f ca="1"/>
        <v>Brainstorm</v>
      </c>
      <c r="CC6" t="str">
        <f ca="1"/>
        <v>Cidadela da Estepe Arenosa</v>
      </c>
      <c r="CD6" t="str">
        <f ca="1"/>
        <v>Cair sobre os Pecadores</v>
      </c>
      <c r="CF6" t="str">
        <f ca="1"/>
        <v>Alfinetador de Pecados</v>
      </c>
      <c r="CG6" t="str">
        <f ca="1"/>
        <v>Arco Bestial de Vivien</v>
      </c>
      <c r="CI6" t="str">
        <f ca="1"/>
        <v>Alfinetador de Pecados</v>
      </c>
    </row>
    <row r="7" spans="1:87" x14ac:dyDescent="0.25">
      <c r="A7" t="str">
        <f ca="1"/>
        <v>Afundar em Estupor</v>
      </c>
      <c r="B7" s="3" t="str" cm="1">
        <f t="array" aca="1" ref="B7" ca="1">_xlfn.ANCHORARRAY(RESUMO!C6)</f>
        <v>Rielle</v>
      </c>
      <c r="C7" s="3" t="str">
        <f t="shared" ca="1" si="0"/>
        <v/>
      </c>
      <c r="E7" t="str">
        <f ca="1"/>
        <v>Aliança Impensável</v>
      </c>
      <c r="F7" s="3">
        <f t="shared" ca="1" si="1"/>
        <v>1</v>
      </c>
      <c r="G7" s="3" t="str">
        <f t="shared" ca="1" si="2"/>
        <v>Rielle</v>
      </c>
      <c r="M7" t="str">
        <f ca="1"/>
        <v>Aliança Impensável</v>
      </c>
      <c r="N7" s="3">
        <f t="shared" ca="1" si="3"/>
        <v>1</v>
      </c>
      <c r="O7" s="3" t="str">
        <f ca="1">IFERROR(
 INDEX($T$2:$AW$2,
  MATCH(TRUE,
   CHOOSE({1;2;3;4;5;6;7;8;9;10;11;12;13;14;15;16;17;18;19;20;21;22;23;24;25;26;27;28;29;30;31;32},
    COUNTIFS($T$3:$T$201,$M7)&gt;0,
    COUNTIFS($U$3:$U$201,$M7)&gt;0,
    COUNTIFS($V$3:$V$201,$M7)&gt;0,
    COUNTIFS($W$3:$W$201,$M7)&gt;0,
    COUNTIFS($X$3:$X$201,$M7)&gt;0,
    COUNTIFS($Y$3:$Y$201,$M7)&gt;0,
    COUNTIFS($Z$3:$Z$201,$M7)&gt;0,
    COUNTIFS($AA$3:$AA$201,$M7)&gt;0,
    COUNTIFS($AB$3:$AB$201,$M7)&gt;0,
    COUNTIFS($AC$3:$AC$201,$M7)&gt;0,
    COUNTIFS($AD$3:$AD$201,$M7)&gt;0,
    COUNTIFS($AE$3:$AE$201,$M7)&gt;0,
    COUNTIFS($AF$3:$AF$201,$M7)&gt;0,
    COUNTIFS($AG$3:$AG$201,$M7)&gt;0,
    COUNTIFS($AH$3:$AH$201,$M7)&gt;0,
    COUNTIFS($AI$3:$AI$201,$M7)&gt;0,
    COUNTIFS($AJ$3:$AJ$201,$M7)&gt;0,
    COUNTIFS($AK$3:$AK$201,$M7)&gt;0,
    COUNTIFS($AL$3:$AL$201,$M7)&gt;0,
    COUNTIFS($AM$3:$AM$201,$M7)&gt;0,
    COUNTIFS($AN$3:$AN$201,$M7)&gt;0,
    COUNTIFS($AO$3:$AO$201,$M7)&gt;0,
    COUNTIFS($AP$3:$AP$201,$M7)&gt;0,
    COUNTIFS($AQ$3:$AQ$201,$M7)&gt;0,
    COUNTIFS($AR$3:$AR$201,$M7)&gt;0,
    COUNTIFS($AS$3:$AS$201,$M7)&gt;0,
    COUNTIFS($AT$3:$AT$201,$M7)&gt;0,
    COUNTIFS($AU$3:$AU$201,$M7)&gt;0,
    COUNTIFS($AV$3:$AV$201,$M7)&gt;0,
    COUNTIFS($AW$3:$AW$201,$M7)&gt;0
   ),
  0)
 ),
"")</f>
        <v>Rielle</v>
      </c>
      <c r="P7" s="3" t="str" cm="1">
        <f t="array" aca="1" ref="P7" ca="1">IFERROR(
 INDEX(
  _xlfn._xlws.FILTER($T$2:$AW$2,
   TRANSPOSE(
    CHOOSE({1;2;3;4;5;6;7;8;9;10;11;12;13;14;15;16;17;18;19;20;21;22;23;24;25;26;27;28;29;30},
     COUNTIFS($T$3:$T$201,$M7)&gt;0,
     COUNTIFS($U$3:$U$201,$M7)&gt;0,
     COUNTIFS($V$3:$V$201,$M7)&gt;0,
     COUNTIFS($W$3:$W$201,$M7)&gt;0,
     COUNTIFS($X$3:$X$201,$M7)&gt;0,
     COUNTIFS($Y$3:$Y$201,$M7)&gt;0,
     COUNTIFS($Z$3:$Z$201,$M7)&gt;0,
     COUNTIFS($AA$3:$AA$201,$M7)&gt;0,
     COUNTIFS($AB$3:$AB$201,$M7)&gt;0,
     COUNTIFS($AC$3:$AC$201,$M7)&gt;0,
     COUNTIFS($AD$3:$AD$201,$M7)&gt;0,
     COUNTIFS($AE$3:$AE$201,$M7)&gt;0,
     COUNTIFS($AF$3:$AF$201,$M7)&gt;0,
     COUNTIFS($AG$3:$AG$201,$M7)&gt;0,
     COUNTIFS($AH$3:$AH$201,$M7)&gt;0,
     COUNTIFS($AI$3:$AI$201,$M7)&gt;0,
     COUNTIFS($AJ$3:$AJ$201,$M7)&gt;0,
     COUNTIFS($AK$3:$AK$201,$M7)&gt;0,
     COUNTIFS($AL$3:$AL$201,$M7)&gt;0,
     COUNTIFS($AM$3:$AM$201,$M7)&gt;0,
     COUNTIFS($AN$3:$AN$201,$M7)&gt;0,
     COUNTIFS($AO$3:$AO$201,$M7)&gt;0,
     COUNTIFS($AP$3:$AP$201,$M7)&gt;0,
     COUNTIFS($AQ$3:$AQ$201,$M7)&gt;0,
     COUNTIFS($AR$3:$AR$201,$M7)&gt;0,
     COUNTIFS($AS$3:$AS$201,$M7)&gt;0,
     COUNTIFS($AT$3:$AT$201,$M7)&gt;0,
     COUNTIFS($AU$3:$AU$201,$M7)&gt;0,
     COUNTIFS($AV$3:$AV$201,$M7)&gt;0,
     COUNTIFS($AW$3:$AW$201,$M7)&gt;0
   )),
  ),
  2
 ),
"")</f>
        <v/>
      </c>
      <c r="Q7" s="3" t="str" cm="1">
        <f t="array" aca="1" ref="Q7" ca="1">IFERROR(
 INDEX(
  _xlfn._xlws.FILTER($T$2:$AW$2,
   TRANSPOSE(
    CHOOSE({1;2;3;4;5;6;7;8;9;10;11;12;13;14;15;16;17;18;19;20;21;22;23;24;25;26;27;28;29;30},
     COUNTIFS($T$3:$T$201,$M7)&gt;0,
     COUNTIFS($U$3:$U$201,$M7)&gt;0,
     COUNTIFS($V$3:$V$201,$M7)&gt;0,
     COUNTIFS($W$3:$W$201,$M7)&gt;0,
     COUNTIFS($X$3:$X$201,$M7)&gt;0,
     COUNTIFS($Y$3:$Y$201,$M7)&gt;0,
     COUNTIFS($Z$3:$Z$201,$M7)&gt;0,
     COUNTIFS($AA$3:$AA$201,$M7)&gt;0,
     COUNTIFS($AB$3:$AB$201,$M7)&gt;0,
     COUNTIFS($AC$3:$AC$201,$M7)&gt;0,
     COUNTIFS($AD$3:$AD$201,$M7)&gt;0,
     COUNTIFS($AE$3:$AE$201,$M7)&gt;0,
     COUNTIFS($AF$3:$AF$201,$M7)&gt;0,
     COUNTIFS($AG$3:$AG$201,$M7)&gt;0,
     COUNTIFS($AH$3:$AH$201,$M7)&gt;0,
     COUNTIFS($AI$3:$AI$201,$M7)&gt;0,
     COUNTIFS($AJ$3:$AJ$201,$M7)&gt;0,
     COUNTIFS($AK$3:$AK$201,$M7)&gt;0,
     COUNTIFS($AL$3:$AL$201,$M7)&gt;0,
     COUNTIFS($AM$3:$AM$201,$M7)&gt;0,
     COUNTIFS($AN$3:$AN$201,$M7)&gt;0,
     COUNTIFS($AO$3:$AO$201,$M7)&gt;0,
     COUNTIFS($AP$3:$AP$201,$M7)&gt;0,
     COUNTIFS($AQ$3:$AQ$201,$M7)&gt;0,
     COUNTIFS($AR$3:$AR$201,$M7)&gt;0,
     COUNTIFS($AS$3:$AS$201,$M7)&gt;0,
     COUNTIFS($AT$3:$AT$201,$M7)&gt;0,
     COUNTIFS($AU$3:$AU$201,$M7)&gt;0,
     COUNTIFS($AV$3:$AV$201,$M7)&gt;0,
     COUNTIFS($AW$3:$AW$201,$M7)&gt;0
   )),
  ),
  3
 ),
"")</f>
        <v/>
      </c>
      <c r="R7" s="3" t="str" cm="1">
        <f t="array" aca="1" ref="R7" ca="1">IFERROR(
 INDEX(
  _xlfn._xlws.FILTER($T$2:$AW$2,
   TRANSPOSE(
    CHOOSE({1;2;3;4;5;6;7;8;9;10;11;12;13;14;15;16;17;18;19;20;21;22;23;24;25;26;27;28;29;30},
     COUNTIFS($T$3:$T$201,$M7)&gt;0,
     COUNTIFS($U$3:$U$201,$M7)&gt;0,
     COUNTIFS($V$3:$V$201,$M7)&gt;0,
     COUNTIFS($W$3:$W$201,$M7)&gt;0,
     COUNTIFS($X$3:$X$201,$M7)&gt;0,
     COUNTIFS($Y$3:$Y$201,$M7)&gt;0,
     COUNTIFS($Z$3:$Z$201,$M7)&gt;0,
     COUNTIFS($AA$3:$AA$201,$M7)&gt;0,
     COUNTIFS($AB$3:$AB$201,$M7)&gt;0,
     COUNTIFS($AC$3:$AC$201,$M7)&gt;0,
     COUNTIFS($AD$3:$AD$201,$M7)&gt;0,
     COUNTIFS($AE$3:$AE$201,$M7)&gt;0,
     COUNTIFS($AF$3:$AF$201,$M7)&gt;0,
     COUNTIFS($AG$3:$AG$201,$M7)&gt;0,
     COUNTIFS($AH$3:$AH$201,$M7)&gt;0,
     COUNTIFS($AI$3:$AI$201,$M7)&gt;0,
     COUNTIFS($AJ$3:$AJ$201,$M7)&gt;0,
     COUNTIFS($AK$3:$AK$201,$M7)&gt;0,
     COUNTIFS($AL$3:$AL$201,$M7)&gt;0,
     COUNTIFS($AM$3:$AM$201,$M7)&gt;0,
     COUNTIFS($AN$3:$AN$201,$M7)&gt;0,
     COUNTIFS($AO$3:$AO$201,$M7)&gt;0,
     COUNTIFS($AP$3:$AP$201,$M7)&gt;0,
     COUNTIFS($AQ$3:$AQ$201,$M7)&gt;0,
     COUNTIFS($AR$3:$AR$201,$M7)&gt;0,
     COUNTIFS($AS$3:$AS$201,$M7)&gt;0,
     COUNTIFS($AT$3:$AT$201,$M7)&gt;0,
     COUNTIFS($AU$3:$AU$201,$M7)&gt;0,
     COUNTIFS($AV$3:$AV$201,$M7)&gt;0,
     COUNTIFS($AW$3:$AW$201,$M7)&gt;0
   )),
  ),
  4
 ),
"")</f>
        <v/>
      </c>
      <c r="T7" t="str">
        <v>Grazilaxx, Illithid Scholar</v>
      </c>
      <c r="U7" t="str">
        <v>Estorrar</v>
      </c>
      <c r="V7" t="str">
        <v>Cut your Losses</v>
      </c>
      <c r="W7" t="str">
        <v>Discipulo do Demônio</v>
      </c>
      <c r="X7" t="str">
        <v>Japaland</v>
      </c>
      <c r="Y7" t="str">
        <v>Countersquall</v>
      </c>
      <c r="Z7" t="str">
        <v>Elrond, Lord of Rivendell</v>
      </c>
      <c r="AA7" t="str">
        <v>Paisagem Agourenta</v>
      </c>
      <c r="AB7" t="str">
        <v>Ilha</v>
      </c>
      <c r="AC7" t="str">
        <v>Forest</v>
      </c>
      <c r="AD7" t="str">
        <v>Island</v>
      </c>
      <c r="AE7" t="str">
        <v>Drowned Catacomb</v>
      </c>
      <c r="AF7" t="str">
        <v>Island</v>
      </c>
      <c r="AG7" t="str">
        <v>Pântano</v>
      </c>
      <c r="AH7" t="str">
        <v>Garras do Capitão</v>
      </c>
      <c r="AI7" t="str">
        <v>Kasmina, Enigma Sage</v>
      </c>
      <c r="AK7" t="str">
        <v>Kiora's Follower</v>
      </c>
      <c r="AL7" t="str">
        <v>Nezahal, Maré Primordial</v>
      </c>
      <c r="AM7" t="str">
        <v>Palácio Opulento</v>
      </c>
      <c r="AN7" t="str">
        <v>Pensamento Sombrio</v>
      </c>
      <c r="AO7" t="str">
        <v>Piscar de Olhos</v>
      </c>
      <c r="AP7" t="str">
        <v>Reclamation Sage</v>
      </c>
      <c r="AR7" t="str">
        <v>Swamp</v>
      </c>
      <c r="AS7" t="str">
        <v>The Immortal Sun</v>
      </c>
      <c r="AW7" t="str">
        <v>Culling Dais</v>
      </c>
      <c r="BA7" t="str">
        <f ca="1"/>
        <v>Bolsa de Nobre</v>
      </c>
      <c r="BB7" t="str">
        <f ca="1"/>
        <v>Ascendência Nobre</v>
      </c>
      <c r="BC7" t="str">
        <f ca="1"/>
        <v>Counterflux</v>
      </c>
      <c r="BD7" t="str">
        <f ca="1"/>
        <v>Deathreap Ritual</v>
      </c>
      <c r="BE7" t="str">
        <f ca="1"/>
        <v>Flagelo das Frotas</v>
      </c>
      <c r="BF7" t="str">
        <f ca="1"/>
        <v>Dissipation Field</v>
      </c>
      <c r="BG7" t="str">
        <f ca="1"/>
        <v>Island</v>
      </c>
      <c r="BH7" t="str">
        <f ca="1"/>
        <v>Danitha Capashen, Paragon</v>
      </c>
      <c r="BI7" t="str">
        <f ca="1"/>
        <v>Kiora's Follower</v>
      </c>
      <c r="BJ7" t="str">
        <f ca="1"/>
        <v>Ilha</v>
      </c>
      <c r="BK7" t="str">
        <f ca="1"/>
        <v>Masterful Replication</v>
      </c>
      <c r="BL7" t="str">
        <f ca="1"/>
        <v>Mountain</v>
      </c>
      <c r="BM7" t="str">
        <f ca="1"/>
        <v>Planície</v>
      </c>
      <c r="BN7" t="str">
        <f ca="1"/>
        <v>Queda Solar</v>
      </c>
      <c r="BO7" t="str">
        <f ca="1"/>
        <v>Culling Dais</v>
      </c>
      <c r="BR7" t="str">
        <f ca="1"/>
        <v>Antecipar</v>
      </c>
      <c r="BS7" t="str">
        <f ca="1"/>
        <v>Callous Bloodmage</v>
      </c>
      <c r="BT7" t="str">
        <f ca="1"/>
        <v>Cemetery Tampering</v>
      </c>
      <c r="BU7" t="str">
        <f ca="1"/>
        <v>Comando do Patriarca</v>
      </c>
      <c r="BV7" t="str">
        <f ca="1"/>
        <v>Eternal Witness</v>
      </c>
      <c r="BW7" t="str">
        <f ca="1"/>
        <v>Fundição dos Cônsules</v>
      </c>
      <c r="BX7" t="str">
        <f ca="1"/>
        <v>Elves of Deep Shadow</v>
      </c>
      <c r="BY7" t="str">
        <f ca="1"/>
        <v>Culling Dais</v>
      </c>
      <c r="CA7" t="str">
        <f ca="1"/>
        <v>Ameoboid Changeling</v>
      </c>
      <c r="CB7" t="str">
        <f ca="1"/>
        <v>Bruma Etérea</v>
      </c>
      <c r="CC7" t="str">
        <f ca="1"/>
        <v>Consecrated Sphinx</v>
      </c>
      <c r="CD7" t="str">
        <f ca="1"/>
        <v>Câmara do Oráculo</v>
      </c>
      <c r="CF7" t="str">
        <f ca="1"/>
        <v>Altar de Bhaal</v>
      </c>
      <c r="CG7" t="str">
        <f ca="1"/>
        <v>Barreira Angelical</v>
      </c>
      <c r="CI7" t="str">
        <f ca="1"/>
        <v>Aliança Impensável</v>
      </c>
    </row>
    <row r="8" spans="1:87" x14ac:dyDescent="0.25">
      <c r="A8" t="str">
        <f ca="1"/>
        <v>Alchemist's Refuge</v>
      </c>
      <c r="B8" s="3" t="str" cm="1">
        <f t="array" aca="1" ref="B8" ca="1">_xlfn.ANCHORARRAY(RESUMO!C7)</f>
        <v>Elfos</v>
      </c>
      <c r="C8" s="3" t="str">
        <f t="shared" ca="1" si="0"/>
        <v/>
      </c>
      <c r="E8" t="str">
        <f ca="1"/>
        <v>Alma da Colheita</v>
      </c>
      <c r="F8" s="3">
        <f t="shared" ca="1" si="1"/>
        <v>1</v>
      </c>
      <c r="G8" s="3" t="str">
        <f t="shared" ca="1" si="2"/>
        <v>Modular</v>
      </c>
      <c r="M8" t="str">
        <f ca="1"/>
        <v>Alma da Colheita</v>
      </c>
      <c r="N8" s="3">
        <f t="shared" ca="1" si="3"/>
        <v>1</v>
      </c>
      <c r="O8" s="3" t="str">
        <f ca="1">IFERROR(
 INDEX($T$2:$AW$2,
  MATCH(TRUE,
   CHOOSE({1;2;3;4;5;6;7;8;9;10;11;12;13;14;15;16;17;18;19;20;21;22;23;24;25;26;27;28;29;30;31;32},
    COUNTIFS($T$3:$T$201,$M8)&gt;0,
    COUNTIFS($U$3:$U$201,$M8)&gt;0,
    COUNTIFS($V$3:$V$201,$M8)&gt;0,
    COUNTIFS($W$3:$W$201,$M8)&gt;0,
    COUNTIFS($X$3:$X$201,$M8)&gt;0,
    COUNTIFS($Y$3:$Y$201,$M8)&gt;0,
    COUNTIFS($Z$3:$Z$201,$M8)&gt;0,
    COUNTIFS($AA$3:$AA$201,$M8)&gt;0,
    COUNTIFS($AB$3:$AB$201,$M8)&gt;0,
    COUNTIFS($AC$3:$AC$201,$M8)&gt;0,
    COUNTIFS($AD$3:$AD$201,$M8)&gt;0,
    COUNTIFS($AE$3:$AE$201,$M8)&gt;0,
    COUNTIFS($AF$3:$AF$201,$M8)&gt;0,
    COUNTIFS($AG$3:$AG$201,$M8)&gt;0,
    COUNTIFS($AH$3:$AH$201,$M8)&gt;0,
    COUNTIFS($AI$3:$AI$201,$M8)&gt;0,
    COUNTIFS($AJ$3:$AJ$201,$M8)&gt;0,
    COUNTIFS($AK$3:$AK$201,$M8)&gt;0,
    COUNTIFS($AL$3:$AL$201,$M8)&gt;0,
    COUNTIFS($AM$3:$AM$201,$M8)&gt;0,
    COUNTIFS($AN$3:$AN$201,$M8)&gt;0,
    COUNTIFS($AO$3:$AO$201,$M8)&gt;0,
    COUNTIFS($AP$3:$AP$201,$M8)&gt;0,
    COUNTIFS($AQ$3:$AQ$201,$M8)&gt;0,
    COUNTIFS($AR$3:$AR$201,$M8)&gt;0,
    COUNTIFS($AS$3:$AS$201,$M8)&gt;0,
    COUNTIFS($AT$3:$AT$201,$M8)&gt;0,
    COUNTIFS($AU$3:$AU$201,$M8)&gt;0,
    COUNTIFS($AV$3:$AV$201,$M8)&gt;0,
    COUNTIFS($AW$3:$AW$201,$M8)&gt;0
   ),
  0)
 ),
"")</f>
        <v>Modular</v>
      </c>
      <c r="P8" s="3" t="str" cm="1">
        <f t="array" aca="1" ref="P8" ca="1">IFERROR(
 INDEX(
  _xlfn._xlws.FILTER($T$2:$AW$2,
   TRANSPOSE(
    CHOOSE({1;2;3;4;5;6;7;8;9;10;11;12;13;14;15;16;17;18;19;20;21;22;23;24;25;26;27;28;29;30},
     COUNTIFS($T$3:$T$201,$M8)&gt;0,
     COUNTIFS($U$3:$U$201,$M8)&gt;0,
     COUNTIFS($V$3:$V$201,$M8)&gt;0,
     COUNTIFS($W$3:$W$201,$M8)&gt;0,
     COUNTIFS($X$3:$X$201,$M8)&gt;0,
     COUNTIFS($Y$3:$Y$201,$M8)&gt;0,
     COUNTIFS($Z$3:$Z$201,$M8)&gt;0,
     COUNTIFS($AA$3:$AA$201,$M8)&gt;0,
     COUNTIFS($AB$3:$AB$201,$M8)&gt;0,
     COUNTIFS($AC$3:$AC$201,$M8)&gt;0,
     COUNTIFS($AD$3:$AD$201,$M8)&gt;0,
     COUNTIFS($AE$3:$AE$201,$M8)&gt;0,
     COUNTIFS($AF$3:$AF$201,$M8)&gt;0,
     COUNTIFS($AG$3:$AG$201,$M8)&gt;0,
     COUNTIFS($AH$3:$AH$201,$M8)&gt;0,
     COUNTIFS($AI$3:$AI$201,$M8)&gt;0,
     COUNTIFS($AJ$3:$AJ$201,$M8)&gt;0,
     COUNTIFS($AK$3:$AK$201,$M8)&gt;0,
     COUNTIFS($AL$3:$AL$201,$M8)&gt;0,
     COUNTIFS($AM$3:$AM$201,$M8)&gt;0,
     COUNTIFS($AN$3:$AN$201,$M8)&gt;0,
     COUNTIFS($AO$3:$AO$201,$M8)&gt;0,
     COUNTIFS($AP$3:$AP$201,$M8)&gt;0,
     COUNTIFS($AQ$3:$AQ$201,$M8)&gt;0,
     COUNTIFS($AR$3:$AR$201,$M8)&gt;0,
     COUNTIFS($AS$3:$AS$201,$M8)&gt;0,
     COUNTIFS($AT$3:$AT$201,$M8)&gt;0,
     COUNTIFS($AU$3:$AU$201,$M8)&gt;0,
     COUNTIFS($AV$3:$AV$201,$M8)&gt;0,
     COUNTIFS($AW$3:$AW$201,$M8)&gt;0
   )),
  ),
  2
 ),
"")</f>
        <v/>
      </c>
      <c r="Q8" s="3" t="str" cm="1">
        <f t="array" aca="1" ref="Q8" ca="1">IFERROR(
 INDEX(
  _xlfn._xlws.FILTER($T$2:$AW$2,
   TRANSPOSE(
    CHOOSE({1;2;3;4;5;6;7;8;9;10;11;12;13;14;15;16;17;18;19;20;21;22;23;24;25;26;27;28;29;30},
     COUNTIFS($T$3:$T$201,$M8)&gt;0,
     COUNTIFS($U$3:$U$201,$M8)&gt;0,
     COUNTIFS($V$3:$V$201,$M8)&gt;0,
     COUNTIFS($W$3:$W$201,$M8)&gt;0,
     COUNTIFS($X$3:$X$201,$M8)&gt;0,
     COUNTIFS($Y$3:$Y$201,$M8)&gt;0,
     COUNTIFS($Z$3:$Z$201,$M8)&gt;0,
     COUNTIFS($AA$3:$AA$201,$M8)&gt;0,
     COUNTIFS($AB$3:$AB$201,$M8)&gt;0,
     COUNTIFS($AC$3:$AC$201,$M8)&gt;0,
     COUNTIFS($AD$3:$AD$201,$M8)&gt;0,
     COUNTIFS($AE$3:$AE$201,$M8)&gt;0,
     COUNTIFS($AF$3:$AF$201,$M8)&gt;0,
     COUNTIFS($AG$3:$AG$201,$M8)&gt;0,
     COUNTIFS($AH$3:$AH$201,$M8)&gt;0,
     COUNTIFS($AI$3:$AI$201,$M8)&gt;0,
     COUNTIFS($AJ$3:$AJ$201,$M8)&gt;0,
     COUNTIFS($AK$3:$AK$201,$M8)&gt;0,
     COUNTIFS($AL$3:$AL$201,$M8)&gt;0,
     COUNTIFS($AM$3:$AM$201,$M8)&gt;0,
     COUNTIFS($AN$3:$AN$201,$M8)&gt;0,
     COUNTIFS($AO$3:$AO$201,$M8)&gt;0,
     COUNTIFS($AP$3:$AP$201,$M8)&gt;0,
     COUNTIFS($AQ$3:$AQ$201,$M8)&gt;0,
     COUNTIFS($AR$3:$AR$201,$M8)&gt;0,
     COUNTIFS($AS$3:$AS$201,$M8)&gt;0,
     COUNTIFS($AT$3:$AT$201,$M8)&gt;0,
     COUNTIFS($AU$3:$AU$201,$M8)&gt;0,
     COUNTIFS($AV$3:$AV$201,$M8)&gt;0,
     COUNTIFS($AW$3:$AW$201,$M8)&gt;0
   )),
  ),
  3
 ),
"")</f>
        <v/>
      </c>
      <c r="R8" s="3" t="str" cm="1">
        <f t="array" aca="1" ref="R8" ca="1">IFERROR(
 INDEX(
  _xlfn._xlws.FILTER($T$2:$AW$2,
   TRANSPOSE(
    CHOOSE({1;2;3;4;5;6;7;8;9;10;11;12;13;14;15;16;17;18;19;20;21;22;23;24;25;26;27;28;29;30},
     COUNTIFS($T$3:$T$201,$M8)&gt;0,
     COUNTIFS($U$3:$U$201,$M8)&gt;0,
     COUNTIFS($V$3:$V$201,$M8)&gt;0,
     COUNTIFS($W$3:$W$201,$M8)&gt;0,
     COUNTIFS($X$3:$X$201,$M8)&gt;0,
     COUNTIFS($Y$3:$Y$201,$M8)&gt;0,
     COUNTIFS($Z$3:$Z$201,$M8)&gt;0,
     COUNTIFS($AA$3:$AA$201,$M8)&gt;0,
     COUNTIFS($AB$3:$AB$201,$M8)&gt;0,
     COUNTIFS($AC$3:$AC$201,$M8)&gt;0,
     COUNTIFS($AD$3:$AD$201,$M8)&gt;0,
     COUNTIFS($AE$3:$AE$201,$M8)&gt;0,
     COUNTIFS($AF$3:$AF$201,$M8)&gt;0,
     COUNTIFS($AG$3:$AG$201,$M8)&gt;0,
     COUNTIFS($AH$3:$AH$201,$M8)&gt;0,
     COUNTIFS($AI$3:$AI$201,$M8)&gt;0,
     COUNTIFS($AJ$3:$AJ$201,$M8)&gt;0,
     COUNTIFS($AK$3:$AK$201,$M8)&gt;0,
     COUNTIFS($AL$3:$AL$201,$M8)&gt;0,
     COUNTIFS($AM$3:$AM$201,$M8)&gt;0,
     COUNTIFS($AN$3:$AN$201,$M8)&gt;0,
     COUNTIFS($AO$3:$AO$201,$M8)&gt;0,
     COUNTIFS($AP$3:$AP$201,$M8)&gt;0,
     COUNTIFS($AQ$3:$AQ$201,$M8)&gt;0,
     COUNTIFS($AR$3:$AR$201,$M8)&gt;0,
     COUNTIFS($AS$3:$AS$201,$M8)&gt;0,
     COUNTIFS($AT$3:$AT$201,$M8)&gt;0,
     COUNTIFS($AU$3:$AU$201,$M8)&gt;0,
     COUNTIFS($AV$3:$AV$201,$M8)&gt;0,
     COUNTIFS($AW$3:$AW$201,$M8)&gt;0
   )),
  ),
  4
 ),
"")</f>
        <v/>
      </c>
      <c r="T8" t="str">
        <v>Island</v>
      </c>
      <c r="U8" t="str">
        <v>Forest</v>
      </c>
      <c r="V8" t="str">
        <v>Fraying Sanity</v>
      </c>
      <c r="W8" t="str">
        <v>Emboscada de Khalni</v>
      </c>
      <c r="X8" t="str">
        <v>Mestre de Cerimonias</v>
      </c>
      <c r="Y8" t="str">
        <v>Diamante B</v>
      </c>
      <c r="Z8" t="str">
        <v>Encontro de Mentes</v>
      </c>
      <c r="AA8" t="str">
        <v>Recrecimento Turbilhonante</v>
      </c>
      <c r="AB8" t="str">
        <v>Ilha</v>
      </c>
      <c r="AC8" t="str">
        <v>Molda-mundo</v>
      </c>
      <c r="AD8" t="str">
        <v>Island</v>
      </c>
      <c r="AE8" t="str">
        <v>Ilha</v>
      </c>
      <c r="AF8" t="str">
        <v>Protection Racket</v>
      </c>
      <c r="AG8" t="str">
        <v>Powerbalance</v>
      </c>
      <c r="AH8" t="str">
        <v>Glimmer Lens</v>
      </c>
      <c r="AI8" t="str">
        <v>Medalhão de Bant</v>
      </c>
      <c r="AK8" t="str">
        <v>Simic Charm</v>
      </c>
      <c r="AM8" t="str">
        <v>Praia Inundada</v>
      </c>
      <c r="AN8" t="str">
        <v>Terraço do Condado</v>
      </c>
      <c r="AO8" t="str">
        <v>Sisay's Ring</v>
      </c>
      <c r="AP8" t="str">
        <v>Savage Twister</v>
      </c>
      <c r="AR8" t="str">
        <v>Woe Strider</v>
      </c>
      <c r="AW8" t="str">
        <v>Cultivadora de Lâminas</v>
      </c>
      <c r="BA8" t="str">
        <f ca="1"/>
        <v>Comando de Kayla</v>
      </c>
      <c r="BB8" t="str">
        <f ca="1"/>
        <v>Botas do Desbravador</v>
      </c>
      <c r="BC8" t="str">
        <f ca="1"/>
        <v>Countersquall</v>
      </c>
      <c r="BD8" t="str">
        <f ca="1"/>
        <v>Deeprooot Wayfinder</v>
      </c>
      <c r="BE8" t="str">
        <f ca="1"/>
        <v>Forest</v>
      </c>
      <c r="BF8" t="str">
        <f ca="1"/>
        <v>Drowned Catacomb</v>
      </c>
      <c r="BG8" t="str">
        <f ca="1"/>
        <v>Master of Death</v>
      </c>
      <c r="BH8" t="str">
        <f ca="1"/>
        <v xml:space="preserve">Engenheira do Sítio de Escavação </v>
      </c>
      <c r="BI8" t="str">
        <f ca="1"/>
        <v>Lanterna Cromática</v>
      </c>
      <c r="BJ8" t="str">
        <f ca="1"/>
        <v>Inundação de Lágrimas</v>
      </c>
      <c r="BK8" t="str">
        <f ca="1"/>
        <v>Nimble Obstructionist</v>
      </c>
      <c r="BL8" t="str">
        <f ca="1"/>
        <v>Procissão de Carniçais</v>
      </c>
      <c r="BM8" t="str">
        <f ca="1"/>
        <v>Portão da Guilda Orzhov</v>
      </c>
      <c r="BO8" t="str">
        <f ca="1"/>
        <v>Cultivadora de Lâminas</v>
      </c>
      <c r="BR8" t="str">
        <f ca="1"/>
        <v>Arauto Flamíneo</v>
      </c>
      <c r="BS8" t="str">
        <f ca="1"/>
        <v>Charneca Estéril</v>
      </c>
      <c r="BT8" t="str">
        <f ca="1"/>
        <v>Clifftop Retreat</v>
      </c>
      <c r="BU8" t="str">
        <f ca="1"/>
        <v>Crotalus Mortífero</v>
      </c>
      <c r="BV8" t="str">
        <f ca="1"/>
        <v>Forest</v>
      </c>
      <c r="BW8" t="str">
        <f ca="1"/>
        <v>Gagueira Mágica</v>
      </c>
      <c r="BX8" t="str">
        <f ca="1"/>
        <v>Floresta</v>
      </c>
      <c r="BY8" t="str">
        <f ca="1"/>
        <v>Cultivadora de Lâminas</v>
      </c>
      <c r="CA8" t="str">
        <f ca="1"/>
        <v>Animate Dead</v>
      </c>
      <c r="CB8" t="str">
        <f ca="1"/>
        <v>Buried Alive</v>
      </c>
      <c r="CC8" t="str">
        <f ca="1"/>
        <v>Dawntreader Elk</v>
      </c>
      <c r="CD8" t="str">
        <f ca="1"/>
        <v>Contrabandear Gado</v>
      </c>
      <c r="CF8" t="str">
        <f ca="1"/>
        <v>Ameoboid Changeling</v>
      </c>
      <c r="CG8" t="str">
        <f ca="1"/>
        <v>Cair sobre os Pecadores</v>
      </c>
      <c r="CI8" t="str">
        <f ca="1"/>
        <v>Alma da Colheita</v>
      </c>
    </row>
    <row r="9" spans="1:87" x14ac:dyDescent="0.25">
      <c r="A9" t="str">
        <f ca="1"/>
        <v>Aligned Heart</v>
      </c>
      <c r="B9" s="3" t="str" cm="1">
        <f t="array" aca="1" ref="B9" ca="1">_xlfn.ANCHORARRAY(RESUMO!C8)</f>
        <v>Narset</v>
      </c>
      <c r="C9" s="3" t="str">
        <f t="shared" ca="1" si="0"/>
        <v/>
      </c>
      <c r="E9" t="str">
        <f ca="1"/>
        <v>Altar de Bhaal</v>
      </c>
      <c r="F9" s="3">
        <f t="shared" ca="1" si="1"/>
        <v>1</v>
      </c>
      <c r="G9" s="3" t="str">
        <f t="shared" ca="1" si="2"/>
        <v>Zimone</v>
      </c>
      <c r="M9" t="str">
        <f ca="1"/>
        <v>Altar de Bhaal</v>
      </c>
      <c r="N9" s="3">
        <f t="shared" ca="1" si="3"/>
        <v>1</v>
      </c>
      <c r="O9" s="3" t="str">
        <f ca="1">IFERROR(
 INDEX($T$2:$AW$2,
  MATCH(TRUE,
   CHOOSE({1;2;3;4;5;6;7;8;9;10;11;12;13;14;15;16;17;18;19;20;21;22;23;24;25;26;27;28;29;30;31;32},
    COUNTIFS($T$3:$T$201,$M9)&gt;0,
    COUNTIFS($U$3:$U$201,$M9)&gt;0,
    COUNTIFS($V$3:$V$201,$M9)&gt;0,
    COUNTIFS($W$3:$W$201,$M9)&gt;0,
    COUNTIFS($X$3:$X$201,$M9)&gt;0,
    COUNTIFS($Y$3:$Y$201,$M9)&gt;0,
    COUNTIFS($Z$3:$Z$201,$M9)&gt;0,
    COUNTIFS($AA$3:$AA$201,$M9)&gt;0,
    COUNTIFS($AB$3:$AB$201,$M9)&gt;0,
    COUNTIFS($AC$3:$AC$201,$M9)&gt;0,
    COUNTIFS($AD$3:$AD$201,$M9)&gt;0,
    COUNTIFS($AE$3:$AE$201,$M9)&gt;0,
    COUNTIFS($AF$3:$AF$201,$M9)&gt;0,
    COUNTIFS($AG$3:$AG$201,$M9)&gt;0,
    COUNTIFS($AH$3:$AH$201,$M9)&gt;0,
    COUNTIFS($AI$3:$AI$201,$M9)&gt;0,
    COUNTIFS($AJ$3:$AJ$201,$M9)&gt;0,
    COUNTIFS($AK$3:$AK$201,$M9)&gt;0,
    COUNTIFS($AL$3:$AL$201,$M9)&gt;0,
    COUNTIFS($AM$3:$AM$201,$M9)&gt;0,
    COUNTIFS($AN$3:$AN$201,$M9)&gt;0,
    COUNTIFS($AO$3:$AO$201,$M9)&gt;0,
    COUNTIFS($AP$3:$AP$201,$M9)&gt;0,
    COUNTIFS($AQ$3:$AQ$201,$M9)&gt;0,
    COUNTIFS($AR$3:$AR$201,$M9)&gt;0,
    COUNTIFS($AS$3:$AS$201,$M9)&gt;0,
    COUNTIFS($AT$3:$AT$201,$M9)&gt;0,
    COUNTIFS($AU$3:$AU$201,$M9)&gt;0,
    COUNTIFS($AV$3:$AV$201,$M9)&gt;0,
    COUNTIFS($AW$3:$AW$201,$M9)&gt;0
   ),
  0)
 ),
"")</f>
        <v>Zimone</v>
      </c>
      <c r="P9" s="3" t="str" cm="1">
        <f t="array" aca="1" ref="P9" ca="1">IFERROR(
 INDEX(
  _xlfn._xlws.FILTER($T$2:$AW$2,
   TRANSPOSE(
    CHOOSE({1;2;3;4;5;6;7;8;9;10;11;12;13;14;15;16;17;18;19;20;21;22;23;24;25;26;27;28;29;30},
     COUNTIFS($T$3:$T$201,$M9)&gt;0,
     COUNTIFS($U$3:$U$201,$M9)&gt;0,
     COUNTIFS($V$3:$V$201,$M9)&gt;0,
     COUNTIFS($W$3:$W$201,$M9)&gt;0,
     COUNTIFS($X$3:$X$201,$M9)&gt;0,
     COUNTIFS($Y$3:$Y$201,$M9)&gt;0,
     COUNTIFS($Z$3:$Z$201,$M9)&gt;0,
     COUNTIFS($AA$3:$AA$201,$M9)&gt;0,
     COUNTIFS($AB$3:$AB$201,$M9)&gt;0,
     COUNTIFS($AC$3:$AC$201,$M9)&gt;0,
     COUNTIFS($AD$3:$AD$201,$M9)&gt;0,
     COUNTIFS($AE$3:$AE$201,$M9)&gt;0,
     COUNTIFS($AF$3:$AF$201,$M9)&gt;0,
     COUNTIFS($AG$3:$AG$201,$M9)&gt;0,
     COUNTIFS($AH$3:$AH$201,$M9)&gt;0,
     COUNTIFS($AI$3:$AI$201,$M9)&gt;0,
     COUNTIFS($AJ$3:$AJ$201,$M9)&gt;0,
     COUNTIFS($AK$3:$AK$201,$M9)&gt;0,
     COUNTIFS($AL$3:$AL$201,$M9)&gt;0,
     COUNTIFS($AM$3:$AM$201,$M9)&gt;0,
     COUNTIFS($AN$3:$AN$201,$M9)&gt;0,
     COUNTIFS($AO$3:$AO$201,$M9)&gt;0,
     COUNTIFS($AP$3:$AP$201,$M9)&gt;0,
     COUNTIFS($AQ$3:$AQ$201,$M9)&gt;0,
     COUNTIFS($AR$3:$AR$201,$M9)&gt;0,
     COUNTIFS($AS$3:$AS$201,$M9)&gt;0,
     COUNTIFS($AT$3:$AT$201,$M9)&gt;0,
     COUNTIFS($AU$3:$AU$201,$M9)&gt;0,
     COUNTIFS($AV$3:$AV$201,$M9)&gt;0,
     COUNTIFS($AW$3:$AW$201,$M9)&gt;0
   )),
  ),
  2
 ),
"")</f>
        <v/>
      </c>
      <c r="Q9" s="3" t="str" cm="1">
        <f t="array" aca="1" ref="Q9" ca="1">IFERROR(
 INDEX(
  _xlfn._xlws.FILTER($T$2:$AW$2,
   TRANSPOSE(
    CHOOSE({1;2;3;4;5;6;7;8;9;10;11;12;13;14;15;16;17;18;19;20;21;22;23;24;25;26;27;28;29;30},
     COUNTIFS($T$3:$T$201,$M9)&gt;0,
     COUNTIFS($U$3:$U$201,$M9)&gt;0,
     COUNTIFS($V$3:$V$201,$M9)&gt;0,
     COUNTIFS($W$3:$W$201,$M9)&gt;0,
     COUNTIFS($X$3:$X$201,$M9)&gt;0,
     COUNTIFS($Y$3:$Y$201,$M9)&gt;0,
     COUNTIFS($Z$3:$Z$201,$M9)&gt;0,
     COUNTIFS($AA$3:$AA$201,$M9)&gt;0,
     COUNTIFS($AB$3:$AB$201,$M9)&gt;0,
     COUNTIFS($AC$3:$AC$201,$M9)&gt;0,
     COUNTIFS($AD$3:$AD$201,$M9)&gt;0,
     COUNTIFS($AE$3:$AE$201,$M9)&gt;0,
     COUNTIFS($AF$3:$AF$201,$M9)&gt;0,
     COUNTIFS($AG$3:$AG$201,$M9)&gt;0,
     COUNTIFS($AH$3:$AH$201,$M9)&gt;0,
     COUNTIFS($AI$3:$AI$201,$M9)&gt;0,
     COUNTIFS($AJ$3:$AJ$201,$M9)&gt;0,
     COUNTIFS($AK$3:$AK$201,$M9)&gt;0,
     COUNTIFS($AL$3:$AL$201,$M9)&gt;0,
     COUNTIFS($AM$3:$AM$201,$M9)&gt;0,
     COUNTIFS($AN$3:$AN$201,$M9)&gt;0,
     COUNTIFS($AO$3:$AO$201,$M9)&gt;0,
     COUNTIFS($AP$3:$AP$201,$M9)&gt;0,
     COUNTIFS($AQ$3:$AQ$201,$M9)&gt;0,
     COUNTIFS($AR$3:$AR$201,$M9)&gt;0,
     COUNTIFS($AS$3:$AS$201,$M9)&gt;0,
     COUNTIFS($AT$3:$AT$201,$M9)&gt;0,
     COUNTIFS($AU$3:$AU$201,$M9)&gt;0,
     COUNTIFS($AV$3:$AV$201,$M9)&gt;0,
     COUNTIFS($AW$3:$AW$201,$M9)&gt;0
   )),
  ),
  3
 ),
"")</f>
        <v/>
      </c>
      <c r="R9" s="3" t="str" cm="1">
        <f t="array" aca="1" ref="R9" ca="1">IFERROR(
 INDEX(
  _xlfn._xlws.FILTER($T$2:$AW$2,
   TRANSPOSE(
    CHOOSE({1;2;3;4;5;6;7;8;9;10;11;12;13;14;15;16;17;18;19;20;21;22;23;24;25;26;27;28;29;30},
     COUNTIFS($T$3:$T$201,$M9)&gt;0,
     COUNTIFS($U$3:$U$201,$M9)&gt;0,
     COUNTIFS($V$3:$V$201,$M9)&gt;0,
     COUNTIFS($W$3:$W$201,$M9)&gt;0,
     COUNTIFS($X$3:$X$201,$M9)&gt;0,
     COUNTIFS($Y$3:$Y$201,$M9)&gt;0,
     COUNTIFS($Z$3:$Z$201,$M9)&gt;0,
     COUNTIFS($AA$3:$AA$201,$M9)&gt;0,
     COUNTIFS($AB$3:$AB$201,$M9)&gt;0,
     COUNTIFS($AC$3:$AC$201,$M9)&gt;0,
     COUNTIFS($AD$3:$AD$201,$M9)&gt;0,
     COUNTIFS($AE$3:$AE$201,$M9)&gt;0,
     COUNTIFS($AF$3:$AF$201,$M9)&gt;0,
     COUNTIFS($AG$3:$AG$201,$M9)&gt;0,
     COUNTIFS($AH$3:$AH$201,$M9)&gt;0,
     COUNTIFS($AI$3:$AI$201,$M9)&gt;0,
     COUNTIFS($AJ$3:$AJ$201,$M9)&gt;0,
     COUNTIFS($AK$3:$AK$201,$M9)&gt;0,
     COUNTIFS($AL$3:$AL$201,$M9)&gt;0,
     COUNTIFS($AM$3:$AM$201,$M9)&gt;0,
     COUNTIFS($AN$3:$AN$201,$M9)&gt;0,
     COUNTIFS($AO$3:$AO$201,$M9)&gt;0,
     COUNTIFS($AP$3:$AP$201,$M9)&gt;0,
     COUNTIFS($AQ$3:$AQ$201,$M9)&gt;0,
     COUNTIFS($AR$3:$AR$201,$M9)&gt;0,
     COUNTIFS($AS$3:$AS$201,$M9)&gt;0,
     COUNTIFS($AT$3:$AT$201,$M9)&gt;0,
     COUNTIFS($AU$3:$AU$201,$M9)&gt;0,
     COUNTIFS($AV$3:$AV$201,$M9)&gt;0,
     COUNTIFS($AW$3:$AW$201,$M9)&gt;0
   )),
  ),
  4
 ),
"")</f>
        <v/>
      </c>
      <c r="T9" t="str">
        <v>Mountain</v>
      </c>
      <c r="U9" t="str">
        <v>Forno da Bruxa</v>
      </c>
      <c r="V9" t="str">
        <v>Inferno Duplo</v>
      </c>
      <c r="W9" t="str">
        <v>Eternal Witness</v>
      </c>
      <c r="X9" t="str">
        <v>Plains</v>
      </c>
      <c r="Y9" t="str">
        <v>Diamante R</v>
      </c>
      <c r="Z9" t="str">
        <v>Esmoecer</v>
      </c>
      <c r="AA9" t="str">
        <v>Recuperação das Gavinhas Bolorentas</v>
      </c>
      <c r="AB9" t="str">
        <v>Ilha</v>
      </c>
      <c r="AC9" t="str">
        <v>Restituir</v>
      </c>
      <c r="AD9" t="str">
        <v>Pentavus</v>
      </c>
      <c r="AE9" t="str">
        <v>Illusionist's Gambit</v>
      </c>
      <c r="AF9" t="str">
        <v>Repartir o Véu D'Água</v>
      </c>
      <c r="AG9" t="str">
        <v>Quasiduplicata</v>
      </c>
      <c r="AH9" t="str">
        <v>Horn of Valhalla</v>
      </c>
      <c r="AI9" t="str">
        <v>Nicol Bolas, Dragon-God</v>
      </c>
      <c r="AK9" t="str">
        <v>Swamp</v>
      </c>
      <c r="AM9" t="str">
        <v>Sacred Foundry</v>
      </c>
      <c r="AN9" t="str">
        <v>Thirst for Knowledge</v>
      </c>
      <c r="AO9" t="str">
        <v>Trophy Mage</v>
      </c>
      <c r="AP9" t="str">
        <v>Soul's Majesty</v>
      </c>
      <c r="AW9" t="str">
        <v>Cultivar</v>
      </c>
      <c r="BA9" t="str">
        <f ca="1"/>
        <v>Crib Swap</v>
      </c>
      <c r="BB9" t="str">
        <f ca="1"/>
        <v>Ceifador da Meia-Noite</v>
      </c>
      <c r="BC9" t="str">
        <f ca="1"/>
        <v>Diamante B</v>
      </c>
      <c r="BD9" t="str">
        <f ca="1"/>
        <v>Ecological Appreciation</v>
      </c>
      <c r="BE9" t="str">
        <f ca="1"/>
        <v>Ilha</v>
      </c>
      <c r="BF9" t="str">
        <f ca="1"/>
        <v>Duplicant</v>
      </c>
      <c r="BG9" t="str">
        <f ca="1"/>
        <v>Oversold Cemetery</v>
      </c>
      <c r="BH9" t="str">
        <f ca="1"/>
        <v>Explosão Ruinosa de Urza</v>
      </c>
      <c r="BI9" t="str">
        <f ca="1"/>
        <v>Prismatic Lens</v>
      </c>
      <c r="BJ9" t="str">
        <f ca="1"/>
        <v>Jungle Shrine</v>
      </c>
      <c r="BK9" t="str">
        <f ca="1"/>
        <v>Pântano</v>
      </c>
      <c r="BL9" t="str">
        <f ca="1"/>
        <v>Reclamation Sage</v>
      </c>
      <c r="BM9" t="str">
        <f ca="1"/>
        <v>Swamp</v>
      </c>
      <c r="BO9" t="str">
        <f ca="1"/>
        <v>Cultivar</v>
      </c>
      <c r="BR9" t="str">
        <f ca="1"/>
        <v>Ascendência Jeskai</v>
      </c>
      <c r="BS9" t="str">
        <f ca="1"/>
        <v>Clackbridge Troll</v>
      </c>
      <c r="BT9" t="str">
        <f ca="1"/>
        <v>Crackling Doom</v>
      </c>
      <c r="BU9" t="str">
        <f ca="1"/>
        <v>Danitha Capashen, Paragon</v>
      </c>
      <c r="BV9" t="str">
        <f ca="1"/>
        <v>Godless Shrine</v>
      </c>
      <c r="BW9" t="str">
        <f ca="1"/>
        <v>Island</v>
      </c>
      <c r="BX9" t="str">
        <f ca="1"/>
        <v>Ganso Dourado</v>
      </c>
      <c r="BY9" t="str">
        <f ca="1"/>
        <v>Cultivar</v>
      </c>
      <c r="CA9" t="str">
        <f ca="1"/>
        <v>Antecipar</v>
      </c>
      <c r="CB9" t="str">
        <f ca="1"/>
        <v>Canalizadora de Fluxos</v>
      </c>
      <c r="CC9" t="str">
        <f ca="1"/>
        <v>Eternal Witness</v>
      </c>
      <c r="CD9" t="str">
        <f ca="1"/>
        <v>Culling Dais</v>
      </c>
      <c r="CF9" t="str">
        <f ca="1"/>
        <v>Animate Dead</v>
      </c>
      <c r="CG9" t="str">
        <f ca="1"/>
        <v>Call to the Kindred</v>
      </c>
      <c r="CI9" t="str">
        <f ca="1"/>
        <v>Altar de Bhaal</v>
      </c>
    </row>
    <row r="10" spans="1:87" x14ac:dyDescent="0.25">
      <c r="A10" t="str">
        <f ca="1"/>
        <v>Amphibian Downpour</v>
      </c>
      <c r="B10" s="3" t="str" cm="1">
        <f t="array" aca="1" ref="B10" ca="1">_xlfn.ANCHORARRAY(RESUMO!C9)</f>
        <v>VialIshai</v>
      </c>
      <c r="C10" s="3" t="str">
        <f t="shared" ca="1" si="0"/>
        <v/>
      </c>
      <c r="E10" t="str">
        <f ca="1"/>
        <v>Ameoboid Changeling</v>
      </c>
      <c r="F10" s="3">
        <f t="shared" ca="1" si="1"/>
        <v>1</v>
      </c>
      <c r="G10" s="3" t="str">
        <f t="shared" ca="1" si="2"/>
        <v>Piratas</v>
      </c>
      <c r="M10" t="str">
        <f ca="1"/>
        <v>Ameoboid Changeling</v>
      </c>
      <c r="N10" s="3">
        <f t="shared" ca="1" si="3"/>
        <v>1</v>
      </c>
      <c r="O10" s="3" t="str">
        <f ca="1">IFERROR(
 INDEX($T$2:$AW$2,
  MATCH(TRUE,
   CHOOSE({1;2;3;4;5;6;7;8;9;10;11;12;13;14;15;16;17;18;19;20;21;22;23;24;25;26;27;28;29;30;31;32},
    COUNTIFS($T$3:$T$201,$M10)&gt;0,
    COUNTIFS($U$3:$U$201,$M10)&gt;0,
    COUNTIFS($V$3:$V$201,$M10)&gt;0,
    COUNTIFS($W$3:$W$201,$M10)&gt;0,
    COUNTIFS($X$3:$X$201,$M10)&gt;0,
    COUNTIFS($Y$3:$Y$201,$M10)&gt;0,
    COUNTIFS($Z$3:$Z$201,$M10)&gt;0,
    COUNTIFS($AA$3:$AA$201,$M10)&gt;0,
    COUNTIFS($AB$3:$AB$201,$M10)&gt;0,
    COUNTIFS($AC$3:$AC$201,$M10)&gt;0,
    COUNTIFS($AD$3:$AD$201,$M10)&gt;0,
    COUNTIFS($AE$3:$AE$201,$M10)&gt;0,
    COUNTIFS($AF$3:$AF$201,$M10)&gt;0,
    COUNTIFS($AG$3:$AG$201,$M10)&gt;0,
    COUNTIFS($AH$3:$AH$201,$M10)&gt;0,
    COUNTIFS($AI$3:$AI$201,$M10)&gt;0,
    COUNTIFS($AJ$3:$AJ$201,$M10)&gt;0,
    COUNTIFS($AK$3:$AK$201,$M10)&gt;0,
    COUNTIFS($AL$3:$AL$201,$M10)&gt;0,
    COUNTIFS($AM$3:$AM$201,$M10)&gt;0,
    COUNTIFS($AN$3:$AN$201,$M10)&gt;0,
    COUNTIFS($AO$3:$AO$201,$M10)&gt;0,
    COUNTIFS($AP$3:$AP$201,$M10)&gt;0,
    COUNTIFS($AQ$3:$AQ$201,$M10)&gt;0,
    COUNTIFS($AR$3:$AR$201,$M10)&gt;0,
    COUNTIFS($AS$3:$AS$201,$M10)&gt;0,
    COUNTIFS($AT$3:$AT$201,$M10)&gt;0,
    COUNTIFS($AU$3:$AU$201,$M10)&gt;0,
    COUNTIFS($AV$3:$AV$201,$M10)&gt;0,
    COUNTIFS($AW$3:$AW$201,$M10)&gt;0
   ),
  0)
 ),
"")</f>
        <v>Piratas</v>
      </c>
      <c r="P10" s="3" t="str" cm="1">
        <f t="array" aca="1" ref="P10" ca="1">IFERROR(
 INDEX(
  _xlfn._xlws.FILTER($T$2:$AW$2,
   TRANSPOSE(
    CHOOSE({1;2;3;4;5;6;7;8;9;10;11;12;13;14;15;16;17;18;19;20;21;22;23;24;25;26;27;28;29;30},
     COUNTIFS($T$3:$T$201,$M10)&gt;0,
     COUNTIFS($U$3:$U$201,$M10)&gt;0,
     COUNTIFS($V$3:$V$201,$M10)&gt;0,
     COUNTIFS($W$3:$W$201,$M10)&gt;0,
     COUNTIFS($X$3:$X$201,$M10)&gt;0,
     COUNTIFS($Y$3:$Y$201,$M10)&gt;0,
     COUNTIFS($Z$3:$Z$201,$M10)&gt;0,
     COUNTIFS($AA$3:$AA$201,$M10)&gt;0,
     COUNTIFS($AB$3:$AB$201,$M10)&gt;0,
     COUNTIFS($AC$3:$AC$201,$M10)&gt;0,
     COUNTIFS($AD$3:$AD$201,$M10)&gt;0,
     COUNTIFS($AE$3:$AE$201,$M10)&gt;0,
     COUNTIFS($AF$3:$AF$201,$M10)&gt;0,
     COUNTIFS($AG$3:$AG$201,$M10)&gt;0,
     COUNTIFS($AH$3:$AH$201,$M10)&gt;0,
     COUNTIFS($AI$3:$AI$201,$M10)&gt;0,
     COUNTIFS($AJ$3:$AJ$201,$M10)&gt;0,
     COUNTIFS($AK$3:$AK$201,$M10)&gt;0,
     COUNTIFS($AL$3:$AL$201,$M10)&gt;0,
     COUNTIFS($AM$3:$AM$201,$M10)&gt;0,
     COUNTIFS($AN$3:$AN$201,$M10)&gt;0,
     COUNTIFS($AO$3:$AO$201,$M10)&gt;0,
     COUNTIFS($AP$3:$AP$201,$M10)&gt;0,
     COUNTIFS($AQ$3:$AQ$201,$M10)&gt;0,
     COUNTIFS($AR$3:$AR$201,$M10)&gt;0,
     COUNTIFS($AS$3:$AS$201,$M10)&gt;0,
     COUNTIFS($AT$3:$AT$201,$M10)&gt;0,
     COUNTIFS($AU$3:$AU$201,$M10)&gt;0,
     COUNTIFS($AV$3:$AV$201,$M10)&gt;0,
     COUNTIFS($AW$3:$AW$201,$M10)&gt;0
   )),
  ),
  2
 ),
"")</f>
        <v/>
      </c>
      <c r="Q10" s="3" t="str" cm="1">
        <f t="array" aca="1" ref="Q10" ca="1">IFERROR(
 INDEX(
  _xlfn._xlws.FILTER($T$2:$AW$2,
   TRANSPOSE(
    CHOOSE({1;2;3;4;5;6;7;8;9;10;11;12;13;14;15;16;17;18;19;20;21;22;23;24;25;26;27;28;29;30},
     COUNTIFS($T$3:$T$201,$M10)&gt;0,
     COUNTIFS($U$3:$U$201,$M10)&gt;0,
     COUNTIFS($V$3:$V$201,$M10)&gt;0,
     COUNTIFS($W$3:$W$201,$M10)&gt;0,
     COUNTIFS($X$3:$X$201,$M10)&gt;0,
     COUNTIFS($Y$3:$Y$201,$M10)&gt;0,
     COUNTIFS($Z$3:$Z$201,$M10)&gt;0,
     COUNTIFS($AA$3:$AA$201,$M10)&gt;0,
     COUNTIFS($AB$3:$AB$201,$M10)&gt;0,
     COUNTIFS($AC$3:$AC$201,$M10)&gt;0,
     COUNTIFS($AD$3:$AD$201,$M10)&gt;0,
     COUNTIFS($AE$3:$AE$201,$M10)&gt;0,
     COUNTIFS($AF$3:$AF$201,$M10)&gt;0,
     COUNTIFS($AG$3:$AG$201,$M10)&gt;0,
     COUNTIFS($AH$3:$AH$201,$M10)&gt;0,
     COUNTIFS($AI$3:$AI$201,$M10)&gt;0,
     COUNTIFS($AJ$3:$AJ$201,$M10)&gt;0,
     COUNTIFS($AK$3:$AK$201,$M10)&gt;0,
     COUNTIFS($AL$3:$AL$201,$M10)&gt;0,
     COUNTIFS($AM$3:$AM$201,$M10)&gt;0,
     COUNTIFS($AN$3:$AN$201,$M10)&gt;0,
     COUNTIFS($AO$3:$AO$201,$M10)&gt;0,
     COUNTIFS($AP$3:$AP$201,$M10)&gt;0,
     COUNTIFS($AQ$3:$AQ$201,$M10)&gt;0,
     COUNTIFS($AR$3:$AR$201,$M10)&gt;0,
     COUNTIFS($AS$3:$AS$201,$M10)&gt;0,
     COUNTIFS($AT$3:$AT$201,$M10)&gt;0,
     COUNTIFS($AU$3:$AU$201,$M10)&gt;0,
     COUNTIFS($AV$3:$AV$201,$M10)&gt;0,
     COUNTIFS($AW$3:$AW$201,$M10)&gt;0
   )),
  ),
  3
 ),
"")</f>
        <v/>
      </c>
      <c r="R10" s="3" t="str" cm="1">
        <f t="array" aca="1" ref="R10" ca="1">IFERROR(
 INDEX(
  _xlfn._xlws.FILTER($T$2:$AW$2,
   TRANSPOSE(
    CHOOSE({1;2;3;4;5;6;7;8;9;10;11;12;13;14;15;16;17;18;19;20;21;22;23;24;25;26;27;28;29;30},
     COUNTIFS($T$3:$T$201,$M10)&gt;0,
     COUNTIFS($U$3:$U$201,$M10)&gt;0,
     COUNTIFS($V$3:$V$201,$M10)&gt;0,
     COUNTIFS($W$3:$W$201,$M10)&gt;0,
     COUNTIFS($X$3:$X$201,$M10)&gt;0,
     COUNTIFS($Y$3:$Y$201,$M10)&gt;0,
     COUNTIFS($Z$3:$Z$201,$M10)&gt;0,
     COUNTIFS($AA$3:$AA$201,$M10)&gt;0,
     COUNTIFS($AB$3:$AB$201,$M10)&gt;0,
     COUNTIFS($AC$3:$AC$201,$M10)&gt;0,
     COUNTIFS($AD$3:$AD$201,$M10)&gt;0,
     COUNTIFS($AE$3:$AE$201,$M10)&gt;0,
     COUNTIFS($AF$3:$AF$201,$M10)&gt;0,
     COUNTIFS($AG$3:$AG$201,$M10)&gt;0,
     COUNTIFS($AH$3:$AH$201,$M10)&gt;0,
     COUNTIFS($AI$3:$AI$201,$M10)&gt;0,
     COUNTIFS($AJ$3:$AJ$201,$M10)&gt;0,
     COUNTIFS($AK$3:$AK$201,$M10)&gt;0,
     COUNTIFS($AL$3:$AL$201,$M10)&gt;0,
     COUNTIFS($AM$3:$AM$201,$M10)&gt;0,
     COUNTIFS($AN$3:$AN$201,$M10)&gt;0,
     COUNTIFS($AO$3:$AO$201,$M10)&gt;0,
     COUNTIFS($AP$3:$AP$201,$M10)&gt;0,
     COUNTIFS($AQ$3:$AQ$201,$M10)&gt;0,
     COUNTIFS($AR$3:$AR$201,$M10)&gt;0,
     COUNTIFS($AS$3:$AS$201,$M10)&gt;0,
     COUNTIFS($AT$3:$AT$201,$M10)&gt;0,
     COUNTIFS($AU$3:$AU$201,$M10)&gt;0,
     COUNTIFS($AV$3:$AV$201,$M10)&gt;0,
     COUNTIFS($AW$3:$AW$201,$M10)&gt;0
   )),
  ),
  4
 ),
"")</f>
        <v/>
      </c>
      <c r="T10" t="str">
        <v>Mountain</v>
      </c>
      <c r="U10" t="str">
        <v>Garra Krosana</v>
      </c>
      <c r="V10" t="str">
        <v>Island</v>
      </c>
      <c r="W10" t="str">
        <v>Executor Impiedoso</v>
      </c>
      <c r="X10" t="str">
        <v>Plains</v>
      </c>
      <c r="Y10" t="str">
        <v>Diamante U</v>
      </c>
      <c r="Z10" t="str">
        <v>Espiral de Crescimento</v>
      </c>
      <c r="AA10" t="str">
        <v>Spelunking</v>
      </c>
      <c r="AB10" t="str">
        <v>Kraken do Mar Profundo</v>
      </c>
      <c r="AC10" t="str">
        <v>Salvamento Macabro</v>
      </c>
      <c r="AD10" t="str">
        <v>Swiftfoot Boots</v>
      </c>
      <c r="AE10" t="str">
        <v>Pântano</v>
      </c>
      <c r="AF10" t="str">
        <v>Swamp</v>
      </c>
      <c r="AG10" t="str">
        <v>Sudden Spoiling</v>
      </c>
      <c r="AH10" t="str">
        <v>Kusari-Gama</v>
      </c>
      <c r="AI10" t="str">
        <v>O Ancião Renascido</v>
      </c>
      <c r="AK10" t="str">
        <v>Swamp</v>
      </c>
      <c r="AM10" t="str">
        <v>Sinew Sliver</v>
      </c>
      <c r="AP10" t="str">
        <v>Storm's Wrath</v>
      </c>
      <c r="AW10" t="str">
        <v>Exarca Progenitor</v>
      </c>
      <c r="BA10" t="str">
        <f ca="1"/>
        <v>Dire Fleet Poisoner</v>
      </c>
      <c r="BB10" t="str">
        <f ca="1"/>
        <v>Cervo Brunido</v>
      </c>
      <c r="BC10" t="str">
        <f ca="1"/>
        <v>Diamante R</v>
      </c>
      <c r="BD10" t="str">
        <f ca="1"/>
        <v>Elrond, Lord of Rivendell</v>
      </c>
      <c r="BE10" t="str">
        <f ca="1"/>
        <v>Kraken do Mar Profundo</v>
      </c>
      <c r="BF10" t="str">
        <f ca="1"/>
        <v>Eterificar</v>
      </c>
      <c r="BG10" t="str">
        <f ca="1"/>
        <v>Pântano</v>
      </c>
      <c r="BH10" t="str">
        <f ca="1"/>
        <v>Forja Mística</v>
      </c>
      <c r="BI10" t="str">
        <f ca="1"/>
        <v>Simic Charm</v>
      </c>
      <c r="BJ10" t="str">
        <f ca="1"/>
        <v>Nezahal, Maré Primordial</v>
      </c>
      <c r="BK10" t="str">
        <f ca="1"/>
        <v>Pensamento Sombrio</v>
      </c>
      <c r="BL10" t="str">
        <f ca="1"/>
        <v>Saheeli, Filigree Master</v>
      </c>
      <c r="BM10" t="str">
        <f ca="1"/>
        <v>The Immortal Sun</v>
      </c>
      <c r="BO10" t="str">
        <f ca="1"/>
        <v>Exarca Progenitor</v>
      </c>
      <c r="BR10" t="str">
        <f ca="1"/>
        <v>Ascendência Nobre</v>
      </c>
      <c r="BS10" t="str">
        <f ca="1"/>
        <v>Coronation of Chaos</v>
      </c>
      <c r="BT10" t="str">
        <f ca="1"/>
        <v>Crawling Infestation</v>
      </c>
      <c r="BU10" t="str">
        <f ca="1"/>
        <v>Despedaçamento Temporal de Jarn</v>
      </c>
      <c r="BV10" t="str">
        <f ca="1"/>
        <v>Ilha</v>
      </c>
      <c r="BW10" t="str">
        <f ca="1"/>
        <v>Jarad's Orders</v>
      </c>
      <c r="BX10" t="str">
        <f ca="1"/>
        <v>Montanha</v>
      </c>
      <c r="BY10" t="str">
        <f ca="1"/>
        <v>Exarca Progenitor</v>
      </c>
      <c r="CA10" t="str">
        <f ca="1"/>
        <v>Aquatic Incursion</v>
      </c>
      <c r="CB10" t="str">
        <f ca="1"/>
        <v>Cemetery Tampering</v>
      </c>
      <c r="CC10" t="str">
        <f ca="1"/>
        <v>Feldon of the Third Path</v>
      </c>
      <c r="CD10" t="str">
        <f ca="1"/>
        <v>Cultivadora de Lâminas</v>
      </c>
      <c r="CF10" t="str">
        <f ca="1"/>
        <v>Antecipar</v>
      </c>
      <c r="CG10" t="str">
        <f ca="1"/>
        <v>Câmara do Oráculo</v>
      </c>
      <c r="CI10" t="str">
        <f ca="1"/>
        <v>Ameoboid Changeling</v>
      </c>
    </row>
    <row r="11" spans="1:87" x14ac:dyDescent="0.25">
      <c r="A11" t="str">
        <f ca="1"/>
        <v>Ancient Den</v>
      </c>
      <c r="B11" s="3" t="str" cm="1">
        <f t="array" aca="1" ref="B11" ca="1">_xlfn.ANCHORARRAY(RESUMO!C10)</f>
        <v>Modular</v>
      </c>
      <c r="C11" s="3" t="str">
        <f t="shared" ca="1" si="0"/>
        <v/>
      </c>
      <c r="E11" t="str">
        <f ca="1"/>
        <v>Anciã de Toca das Fadas</v>
      </c>
      <c r="F11" s="3">
        <f t="shared" ca="1" si="1"/>
        <v>1</v>
      </c>
      <c r="G11" s="3" t="str">
        <f t="shared" ca="1" si="2"/>
        <v>Thrakiri</v>
      </c>
      <c r="M11" t="str">
        <f ca="1"/>
        <v>Anciã de Toca das Fadas</v>
      </c>
      <c r="N11" s="3">
        <f t="shared" ca="1" si="3"/>
        <v>1</v>
      </c>
      <c r="O11" s="3" t="str">
        <f ca="1">IFERROR(
 INDEX($T$2:$AW$2,
  MATCH(TRUE,
   CHOOSE({1;2;3;4;5;6;7;8;9;10;11;12;13;14;15;16;17;18;19;20;21;22;23;24;25;26;27;28;29;30;31;32},
    COUNTIFS($T$3:$T$201,$M11)&gt;0,
    COUNTIFS($U$3:$U$201,$M11)&gt;0,
    COUNTIFS($V$3:$V$201,$M11)&gt;0,
    COUNTIFS($W$3:$W$201,$M11)&gt;0,
    COUNTIFS($X$3:$X$201,$M11)&gt;0,
    COUNTIFS($Y$3:$Y$201,$M11)&gt;0,
    COUNTIFS($Z$3:$Z$201,$M11)&gt;0,
    COUNTIFS($AA$3:$AA$201,$M11)&gt;0,
    COUNTIFS($AB$3:$AB$201,$M11)&gt;0,
    COUNTIFS($AC$3:$AC$201,$M11)&gt;0,
    COUNTIFS($AD$3:$AD$201,$M11)&gt;0,
    COUNTIFS($AE$3:$AE$201,$M11)&gt;0,
    COUNTIFS($AF$3:$AF$201,$M11)&gt;0,
    COUNTIFS($AG$3:$AG$201,$M11)&gt;0,
    COUNTIFS($AH$3:$AH$201,$M11)&gt;0,
    COUNTIFS($AI$3:$AI$201,$M11)&gt;0,
    COUNTIFS($AJ$3:$AJ$201,$M11)&gt;0,
    COUNTIFS($AK$3:$AK$201,$M11)&gt;0,
    COUNTIFS($AL$3:$AL$201,$M11)&gt;0,
    COUNTIFS($AM$3:$AM$201,$M11)&gt;0,
    COUNTIFS($AN$3:$AN$201,$M11)&gt;0,
    COUNTIFS($AO$3:$AO$201,$M11)&gt;0,
    COUNTIFS($AP$3:$AP$201,$M11)&gt;0,
    COUNTIFS($AQ$3:$AQ$201,$M11)&gt;0,
    COUNTIFS($AR$3:$AR$201,$M11)&gt;0,
    COUNTIFS($AS$3:$AS$201,$M11)&gt;0,
    COUNTIFS($AT$3:$AT$201,$M11)&gt;0,
    COUNTIFS($AU$3:$AU$201,$M11)&gt;0,
    COUNTIFS($AV$3:$AV$201,$M11)&gt;0,
    COUNTIFS($AW$3:$AW$201,$M11)&gt;0
   ),
  0)
 ),
"")</f>
        <v>Thrakiri</v>
      </c>
      <c r="P11" s="3" t="str" cm="1">
        <f t="array" aca="1" ref="P11" ca="1">IFERROR(
 INDEX(
  _xlfn._xlws.FILTER($T$2:$AW$2,
   TRANSPOSE(
    CHOOSE({1;2;3;4;5;6;7;8;9;10;11;12;13;14;15;16;17;18;19;20;21;22;23;24;25;26;27;28;29;30},
     COUNTIFS($T$3:$T$201,$M11)&gt;0,
     COUNTIFS($U$3:$U$201,$M11)&gt;0,
     COUNTIFS($V$3:$V$201,$M11)&gt;0,
     COUNTIFS($W$3:$W$201,$M11)&gt;0,
     COUNTIFS($X$3:$X$201,$M11)&gt;0,
     COUNTIFS($Y$3:$Y$201,$M11)&gt;0,
     COUNTIFS($Z$3:$Z$201,$M11)&gt;0,
     COUNTIFS($AA$3:$AA$201,$M11)&gt;0,
     COUNTIFS($AB$3:$AB$201,$M11)&gt;0,
     COUNTIFS($AC$3:$AC$201,$M11)&gt;0,
     COUNTIFS($AD$3:$AD$201,$M11)&gt;0,
     COUNTIFS($AE$3:$AE$201,$M11)&gt;0,
     COUNTIFS($AF$3:$AF$201,$M11)&gt;0,
     COUNTIFS($AG$3:$AG$201,$M11)&gt;0,
     COUNTIFS($AH$3:$AH$201,$M11)&gt;0,
     COUNTIFS($AI$3:$AI$201,$M11)&gt;0,
     COUNTIFS($AJ$3:$AJ$201,$M11)&gt;0,
     COUNTIFS($AK$3:$AK$201,$M11)&gt;0,
     COUNTIFS($AL$3:$AL$201,$M11)&gt;0,
     COUNTIFS($AM$3:$AM$201,$M11)&gt;0,
     COUNTIFS($AN$3:$AN$201,$M11)&gt;0,
     COUNTIFS($AO$3:$AO$201,$M11)&gt;0,
     COUNTIFS($AP$3:$AP$201,$M11)&gt;0,
     COUNTIFS($AQ$3:$AQ$201,$M11)&gt;0,
     COUNTIFS($AR$3:$AR$201,$M11)&gt;0,
     COUNTIFS($AS$3:$AS$201,$M11)&gt;0,
     COUNTIFS($AT$3:$AT$201,$M11)&gt;0,
     COUNTIFS($AU$3:$AU$201,$M11)&gt;0,
     COUNTIFS($AV$3:$AV$201,$M11)&gt;0,
     COUNTIFS($AW$3:$AW$201,$M11)&gt;0
   )),
  ),
  2
 ),
"")</f>
        <v/>
      </c>
      <c r="Q11" s="3" t="str" cm="1">
        <f t="array" aca="1" ref="Q11" ca="1">IFERROR(
 INDEX(
  _xlfn._xlws.FILTER($T$2:$AW$2,
   TRANSPOSE(
    CHOOSE({1;2;3;4;5;6;7;8;9;10;11;12;13;14;15;16;17;18;19;20;21;22;23;24;25;26;27;28;29;30},
     COUNTIFS($T$3:$T$201,$M11)&gt;0,
     COUNTIFS($U$3:$U$201,$M11)&gt;0,
     COUNTIFS($V$3:$V$201,$M11)&gt;0,
     COUNTIFS($W$3:$W$201,$M11)&gt;0,
     COUNTIFS($X$3:$X$201,$M11)&gt;0,
     COUNTIFS($Y$3:$Y$201,$M11)&gt;0,
     COUNTIFS($Z$3:$Z$201,$M11)&gt;0,
     COUNTIFS($AA$3:$AA$201,$M11)&gt;0,
     COUNTIFS($AB$3:$AB$201,$M11)&gt;0,
     COUNTIFS($AC$3:$AC$201,$M11)&gt;0,
     COUNTIFS($AD$3:$AD$201,$M11)&gt;0,
     COUNTIFS($AE$3:$AE$201,$M11)&gt;0,
     COUNTIFS($AF$3:$AF$201,$M11)&gt;0,
     COUNTIFS($AG$3:$AG$201,$M11)&gt;0,
     COUNTIFS($AH$3:$AH$201,$M11)&gt;0,
     COUNTIFS($AI$3:$AI$201,$M11)&gt;0,
     COUNTIFS($AJ$3:$AJ$201,$M11)&gt;0,
     COUNTIFS($AK$3:$AK$201,$M11)&gt;0,
     COUNTIFS($AL$3:$AL$201,$M11)&gt;0,
     COUNTIFS($AM$3:$AM$201,$M11)&gt;0,
     COUNTIFS($AN$3:$AN$201,$M11)&gt;0,
     COUNTIFS($AO$3:$AO$201,$M11)&gt;0,
     COUNTIFS($AP$3:$AP$201,$M11)&gt;0,
     COUNTIFS($AQ$3:$AQ$201,$M11)&gt;0,
     COUNTIFS($AR$3:$AR$201,$M11)&gt;0,
     COUNTIFS($AS$3:$AS$201,$M11)&gt;0,
     COUNTIFS($AT$3:$AT$201,$M11)&gt;0,
     COUNTIFS($AU$3:$AU$201,$M11)&gt;0,
     COUNTIFS($AV$3:$AV$201,$M11)&gt;0,
     COUNTIFS($AW$3:$AW$201,$M11)&gt;0
   )),
  ),
  3
 ),
"")</f>
        <v/>
      </c>
      <c r="R11" s="3" t="str" cm="1">
        <f t="array" aca="1" ref="R11" ca="1">IFERROR(
 INDEX(
  _xlfn._xlws.FILTER($T$2:$AW$2,
   TRANSPOSE(
    CHOOSE({1;2;3;4;5;6;7;8;9;10;11;12;13;14;15;16;17;18;19;20;21;22;23;24;25;26;27;28;29;30},
     COUNTIFS($T$3:$T$201,$M11)&gt;0,
     COUNTIFS($U$3:$U$201,$M11)&gt;0,
     COUNTIFS($V$3:$V$201,$M11)&gt;0,
     COUNTIFS($W$3:$W$201,$M11)&gt;0,
     COUNTIFS($X$3:$X$201,$M11)&gt;0,
     COUNTIFS($Y$3:$Y$201,$M11)&gt;0,
     COUNTIFS($Z$3:$Z$201,$M11)&gt;0,
     COUNTIFS($AA$3:$AA$201,$M11)&gt;0,
     COUNTIFS($AB$3:$AB$201,$M11)&gt;0,
     COUNTIFS($AC$3:$AC$201,$M11)&gt;0,
     COUNTIFS($AD$3:$AD$201,$M11)&gt;0,
     COUNTIFS($AE$3:$AE$201,$M11)&gt;0,
     COUNTIFS($AF$3:$AF$201,$M11)&gt;0,
     COUNTIFS($AG$3:$AG$201,$M11)&gt;0,
     COUNTIFS($AH$3:$AH$201,$M11)&gt;0,
     COUNTIFS($AI$3:$AI$201,$M11)&gt;0,
     COUNTIFS($AJ$3:$AJ$201,$M11)&gt;0,
     COUNTIFS($AK$3:$AK$201,$M11)&gt;0,
     COUNTIFS($AL$3:$AL$201,$M11)&gt;0,
     COUNTIFS($AM$3:$AM$201,$M11)&gt;0,
     COUNTIFS($AN$3:$AN$201,$M11)&gt;0,
     COUNTIFS($AO$3:$AO$201,$M11)&gt;0,
     COUNTIFS($AP$3:$AP$201,$M11)&gt;0,
     COUNTIFS($AQ$3:$AQ$201,$M11)&gt;0,
     COUNTIFS($AR$3:$AR$201,$M11)&gt;0,
     COUNTIFS($AS$3:$AS$201,$M11)&gt;0,
     COUNTIFS($AT$3:$AT$201,$M11)&gt;0,
     COUNTIFS($AU$3:$AU$201,$M11)&gt;0,
     COUNTIFS($AV$3:$AV$201,$M11)&gt;0,
     COUNTIFS($AW$3:$AW$201,$M11)&gt;0
   )),
  ),
  4
 ),
"")</f>
        <v/>
      </c>
      <c r="T11" t="str">
        <v>Mountain</v>
      </c>
      <c r="U11" t="str">
        <v>Gleba Gruul</v>
      </c>
      <c r="V11" t="str">
        <v>Island</v>
      </c>
      <c r="W11" t="str">
        <v>Forest</v>
      </c>
      <c r="X11" t="str">
        <v>Ranger of Eos</v>
      </c>
      <c r="Y11" t="str">
        <v>Escória Fundida</v>
      </c>
      <c r="Z11" t="str">
        <v>Eureka Moment</v>
      </c>
      <c r="AA11" t="str">
        <v>Teatro dos Maestros</v>
      </c>
      <c r="AB11" t="str">
        <v>Leviatã da Tormenta Marinha</v>
      </c>
      <c r="AC11" t="str">
        <v>Sinete Golgari</v>
      </c>
      <c r="AD11" t="str">
        <v>Thran Temporal Gateway</v>
      </c>
      <c r="AE11" t="str">
        <v>Sulfur Falls</v>
      </c>
      <c r="AF11" t="str">
        <v>Swamp</v>
      </c>
      <c r="AG11" t="str">
        <v>Terraço do Condado</v>
      </c>
      <c r="AH11" t="str">
        <v>Lizard Blades</v>
      </c>
      <c r="AI11" t="str">
        <v>Seguro de Vida</v>
      </c>
      <c r="AK11" t="str">
        <v>Terras em Desenvolvimento</v>
      </c>
      <c r="AP11" t="str">
        <v>Tumulume</v>
      </c>
      <c r="AW11" t="str">
        <v>Forest</v>
      </c>
      <c r="BA11" t="str">
        <f ca="1"/>
        <v>Estorrar</v>
      </c>
      <c r="BB11" t="str">
        <f ca="1"/>
        <v>Cut your Losses</v>
      </c>
      <c r="BC11" t="str">
        <f ca="1"/>
        <v>Diamante U</v>
      </c>
      <c r="BD11" t="str">
        <f ca="1"/>
        <v>Encontro de Mentes</v>
      </c>
      <c r="BE11" t="str">
        <f ca="1"/>
        <v>Leviatã da Tormenta Marinha</v>
      </c>
      <c r="BF11" t="str">
        <f ca="1"/>
        <v>Ilha</v>
      </c>
      <c r="BG11" t="str">
        <f ca="1"/>
        <v>Powerbalance</v>
      </c>
      <c r="BH11" t="str">
        <f ca="1"/>
        <v>Garras do Capitão</v>
      </c>
      <c r="BI11" t="str">
        <f ca="1"/>
        <v>Swamp</v>
      </c>
      <c r="BJ11" t="str">
        <f ca="1"/>
        <v>Palácio Opulento</v>
      </c>
      <c r="BK11" t="str">
        <f ca="1"/>
        <v>Piscar de Olhos</v>
      </c>
      <c r="BL11" t="str">
        <f ca="1"/>
        <v>Savage Twister</v>
      </c>
      <c r="BM11" t="str">
        <f ca="1"/>
        <v>Woe Strider</v>
      </c>
      <c r="BO11" t="str">
        <f ca="1"/>
        <v>Forest</v>
      </c>
      <c r="BR11" t="str">
        <f ca="1"/>
        <v>Augúrio do Sol</v>
      </c>
      <c r="BS11" t="str">
        <f ca="1"/>
        <v>Counterflux</v>
      </c>
      <c r="BT11" t="str">
        <f ca="1"/>
        <v>Dissipation Field</v>
      </c>
      <c r="BU11" t="str">
        <f ca="1"/>
        <v xml:space="preserve">Engenheira do Sítio de Escavação </v>
      </c>
      <c r="BV11" t="str">
        <f ca="1"/>
        <v>Inundação de Lágrimas</v>
      </c>
      <c r="BW11" t="str">
        <f ca="1"/>
        <v>Masterful Replication</v>
      </c>
      <c r="BX11" t="str">
        <f ca="1"/>
        <v>Planície</v>
      </c>
      <c r="BY11" t="str">
        <f ca="1"/>
        <v>Forest</v>
      </c>
      <c r="CA11" t="str">
        <f ca="1"/>
        <v>Arauto Flamíneo</v>
      </c>
      <c r="CB11" t="str">
        <f ca="1"/>
        <v>Chaos Warp</v>
      </c>
      <c r="CC11" t="str">
        <f ca="1"/>
        <v>Filigree Sages</v>
      </c>
      <c r="CD11" t="str">
        <f ca="1"/>
        <v>Cultivar</v>
      </c>
      <c r="CF11" t="str">
        <f ca="1"/>
        <v>Aquatic Incursion</v>
      </c>
      <c r="CG11" t="str">
        <f ca="1"/>
        <v>Cidadela da Estepe Arenosa</v>
      </c>
      <c r="CI11" t="str">
        <f ca="1"/>
        <v>Anciã de Toca das Fadas</v>
      </c>
    </row>
    <row r="12" spans="1:87" x14ac:dyDescent="0.25">
      <c r="A12" t="str">
        <f ca="1"/>
        <v>Ancient Greenwarden</v>
      </c>
      <c r="B12" s="3" t="str" cm="1">
        <f t="array" aca="1" ref="B12" ca="1">_xlfn.ANCHORARRAY(RESUMO!C11)</f>
        <v>Zimone</v>
      </c>
      <c r="C12" s="3" t="str">
        <f t="shared" ca="1" si="0"/>
        <v/>
      </c>
      <c r="E12" t="str">
        <f ca="1"/>
        <v>Animate Dead</v>
      </c>
      <c r="F12" s="3">
        <f t="shared" ca="1" si="1"/>
        <v>1</v>
      </c>
      <c r="G12" s="3" t="str">
        <f t="shared" ca="1" si="2"/>
        <v>Tayam</v>
      </c>
      <c r="M12" t="str">
        <f ca="1"/>
        <v>Animate Dead</v>
      </c>
      <c r="N12" s="3">
        <f t="shared" ca="1" si="3"/>
        <v>1</v>
      </c>
      <c r="O12" s="3" t="str">
        <f ca="1">IFERROR(
 INDEX($T$2:$AW$2,
  MATCH(TRUE,
   CHOOSE({1;2;3;4;5;6;7;8;9;10;11;12;13;14;15;16;17;18;19;20;21;22;23;24;25;26;27;28;29;30;31;32},
    COUNTIFS($T$3:$T$201,$M12)&gt;0,
    COUNTIFS($U$3:$U$201,$M12)&gt;0,
    COUNTIFS($V$3:$V$201,$M12)&gt;0,
    COUNTIFS($W$3:$W$201,$M12)&gt;0,
    COUNTIFS($X$3:$X$201,$M12)&gt;0,
    COUNTIFS($Y$3:$Y$201,$M12)&gt;0,
    COUNTIFS($Z$3:$Z$201,$M12)&gt;0,
    COUNTIFS($AA$3:$AA$201,$M12)&gt;0,
    COUNTIFS($AB$3:$AB$201,$M12)&gt;0,
    COUNTIFS($AC$3:$AC$201,$M12)&gt;0,
    COUNTIFS($AD$3:$AD$201,$M12)&gt;0,
    COUNTIFS($AE$3:$AE$201,$M12)&gt;0,
    COUNTIFS($AF$3:$AF$201,$M12)&gt;0,
    COUNTIFS($AG$3:$AG$201,$M12)&gt;0,
    COUNTIFS($AH$3:$AH$201,$M12)&gt;0,
    COUNTIFS($AI$3:$AI$201,$M12)&gt;0,
    COUNTIFS($AJ$3:$AJ$201,$M12)&gt;0,
    COUNTIFS($AK$3:$AK$201,$M12)&gt;0,
    COUNTIFS($AL$3:$AL$201,$M12)&gt;0,
    COUNTIFS($AM$3:$AM$201,$M12)&gt;0,
    COUNTIFS($AN$3:$AN$201,$M12)&gt;0,
    COUNTIFS($AO$3:$AO$201,$M12)&gt;0,
    COUNTIFS($AP$3:$AP$201,$M12)&gt;0,
    COUNTIFS($AQ$3:$AQ$201,$M12)&gt;0,
    COUNTIFS($AR$3:$AR$201,$M12)&gt;0,
    COUNTIFS($AS$3:$AS$201,$M12)&gt;0,
    COUNTIFS($AT$3:$AT$201,$M12)&gt;0,
    COUNTIFS($AU$3:$AU$201,$M12)&gt;0,
    COUNTIFS($AV$3:$AV$201,$M12)&gt;0,
    COUNTIFS($AW$3:$AW$201,$M12)&gt;0
   ),
  0)
 ),
"")</f>
        <v>Tayam</v>
      </c>
      <c r="P12" s="3" t="str" cm="1">
        <f t="array" aca="1" ref="P12" ca="1">IFERROR(
 INDEX(
  _xlfn._xlws.FILTER($T$2:$AW$2,
   TRANSPOSE(
    CHOOSE({1;2;3;4;5;6;7;8;9;10;11;12;13;14;15;16;17;18;19;20;21;22;23;24;25;26;27;28;29;30},
     COUNTIFS($T$3:$T$201,$M12)&gt;0,
     COUNTIFS($U$3:$U$201,$M12)&gt;0,
     COUNTIFS($V$3:$V$201,$M12)&gt;0,
     COUNTIFS($W$3:$W$201,$M12)&gt;0,
     COUNTIFS($X$3:$X$201,$M12)&gt;0,
     COUNTIFS($Y$3:$Y$201,$M12)&gt;0,
     COUNTIFS($Z$3:$Z$201,$M12)&gt;0,
     COUNTIFS($AA$3:$AA$201,$M12)&gt;0,
     COUNTIFS($AB$3:$AB$201,$M12)&gt;0,
     COUNTIFS($AC$3:$AC$201,$M12)&gt;0,
     COUNTIFS($AD$3:$AD$201,$M12)&gt;0,
     COUNTIFS($AE$3:$AE$201,$M12)&gt;0,
     COUNTIFS($AF$3:$AF$201,$M12)&gt;0,
     COUNTIFS($AG$3:$AG$201,$M12)&gt;0,
     COUNTIFS($AH$3:$AH$201,$M12)&gt;0,
     COUNTIFS($AI$3:$AI$201,$M12)&gt;0,
     COUNTIFS($AJ$3:$AJ$201,$M12)&gt;0,
     COUNTIFS($AK$3:$AK$201,$M12)&gt;0,
     COUNTIFS($AL$3:$AL$201,$M12)&gt;0,
     COUNTIFS($AM$3:$AM$201,$M12)&gt;0,
     COUNTIFS($AN$3:$AN$201,$M12)&gt;0,
     COUNTIFS($AO$3:$AO$201,$M12)&gt;0,
     COUNTIFS($AP$3:$AP$201,$M12)&gt;0,
     COUNTIFS($AQ$3:$AQ$201,$M12)&gt;0,
     COUNTIFS($AR$3:$AR$201,$M12)&gt;0,
     COUNTIFS($AS$3:$AS$201,$M12)&gt;0,
     COUNTIFS($AT$3:$AT$201,$M12)&gt;0,
     COUNTIFS($AU$3:$AU$201,$M12)&gt;0,
     COUNTIFS($AV$3:$AV$201,$M12)&gt;0,
     COUNTIFS($AW$3:$AW$201,$M12)&gt;0
   )),
  ),
  2
 ),
"")</f>
        <v/>
      </c>
      <c r="Q12" s="3" t="str" cm="1">
        <f t="array" aca="1" ref="Q12" ca="1">IFERROR(
 INDEX(
  _xlfn._xlws.FILTER($T$2:$AW$2,
   TRANSPOSE(
    CHOOSE({1;2;3;4;5;6;7;8;9;10;11;12;13;14;15;16;17;18;19;20;21;22;23;24;25;26;27;28;29;30},
     COUNTIFS($T$3:$T$201,$M12)&gt;0,
     COUNTIFS($U$3:$U$201,$M12)&gt;0,
     COUNTIFS($V$3:$V$201,$M12)&gt;0,
     COUNTIFS($W$3:$W$201,$M12)&gt;0,
     COUNTIFS($X$3:$X$201,$M12)&gt;0,
     COUNTIFS($Y$3:$Y$201,$M12)&gt;0,
     COUNTIFS($Z$3:$Z$201,$M12)&gt;0,
     COUNTIFS($AA$3:$AA$201,$M12)&gt;0,
     COUNTIFS($AB$3:$AB$201,$M12)&gt;0,
     COUNTIFS($AC$3:$AC$201,$M12)&gt;0,
     COUNTIFS($AD$3:$AD$201,$M12)&gt;0,
     COUNTIFS($AE$3:$AE$201,$M12)&gt;0,
     COUNTIFS($AF$3:$AF$201,$M12)&gt;0,
     COUNTIFS($AG$3:$AG$201,$M12)&gt;0,
     COUNTIFS($AH$3:$AH$201,$M12)&gt;0,
     COUNTIFS($AI$3:$AI$201,$M12)&gt;0,
     COUNTIFS($AJ$3:$AJ$201,$M12)&gt;0,
     COUNTIFS($AK$3:$AK$201,$M12)&gt;0,
     COUNTIFS($AL$3:$AL$201,$M12)&gt;0,
     COUNTIFS($AM$3:$AM$201,$M12)&gt;0,
     COUNTIFS($AN$3:$AN$201,$M12)&gt;0,
     COUNTIFS($AO$3:$AO$201,$M12)&gt;0,
     COUNTIFS($AP$3:$AP$201,$M12)&gt;0,
     COUNTIFS($AQ$3:$AQ$201,$M12)&gt;0,
     COUNTIFS($AR$3:$AR$201,$M12)&gt;0,
     COUNTIFS($AS$3:$AS$201,$M12)&gt;0,
     COUNTIFS($AT$3:$AT$201,$M12)&gt;0,
     COUNTIFS($AU$3:$AU$201,$M12)&gt;0,
     COUNTIFS($AV$3:$AV$201,$M12)&gt;0,
     COUNTIFS($AW$3:$AW$201,$M12)&gt;0
   )),
  ),
  3
 ),
"")</f>
        <v/>
      </c>
      <c r="R12" s="3" t="str" cm="1">
        <f t="array" aca="1" ref="R12" ca="1">IFERROR(
 INDEX(
  _xlfn._xlws.FILTER($T$2:$AW$2,
   TRANSPOSE(
    CHOOSE({1;2;3;4;5;6;7;8;9;10;11;12;13;14;15;16;17;18;19;20;21;22;23;24;25;26;27;28;29;30},
     COUNTIFS($T$3:$T$201,$M12)&gt;0,
     COUNTIFS($U$3:$U$201,$M12)&gt;0,
     COUNTIFS($V$3:$V$201,$M12)&gt;0,
     COUNTIFS($W$3:$W$201,$M12)&gt;0,
     COUNTIFS($X$3:$X$201,$M12)&gt;0,
     COUNTIFS($Y$3:$Y$201,$M12)&gt;0,
     COUNTIFS($Z$3:$Z$201,$M12)&gt;0,
     COUNTIFS($AA$3:$AA$201,$M12)&gt;0,
     COUNTIFS($AB$3:$AB$201,$M12)&gt;0,
     COUNTIFS($AC$3:$AC$201,$M12)&gt;0,
     COUNTIFS($AD$3:$AD$201,$M12)&gt;0,
     COUNTIFS($AE$3:$AE$201,$M12)&gt;0,
     COUNTIFS($AF$3:$AF$201,$M12)&gt;0,
     COUNTIFS($AG$3:$AG$201,$M12)&gt;0,
     COUNTIFS($AH$3:$AH$201,$M12)&gt;0,
     COUNTIFS($AI$3:$AI$201,$M12)&gt;0,
     COUNTIFS($AJ$3:$AJ$201,$M12)&gt;0,
     COUNTIFS($AK$3:$AK$201,$M12)&gt;0,
     COUNTIFS($AL$3:$AL$201,$M12)&gt;0,
     COUNTIFS($AM$3:$AM$201,$M12)&gt;0,
     COUNTIFS($AN$3:$AN$201,$M12)&gt;0,
     COUNTIFS($AO$3:$AO$201,$M12)&gt;0,
     COUNTIFS($AP$3:$AP$201,$M12)&gt;0,
     COUNTIFS($AQ$3:$AQ$201,$M12)&gt;0,
     COUNTIFS($AR$3:$AR$201,$M12)&gt;0,
     COUNTIFS($AS$3:$AS$201,$M12)&gt;0,
     COUNTIFS($AT$3:$AT$201,$M12)&gt;0,
     COUNTIFS($AU$3:$AU$201,$M12)&gt;0,
     COUNTIFS($AV$3:$AV$201,$M12)&gt;0,
     COUNTIFS($AW$3:$AW$201,$M12)&gt;0
   )),
  ),
  4
 ),
"")</f>
        <v/>
      </c>
      <c r="T12" t="str">
        <v>Mountain</v>
      </c>
      <c r="U12" t="str">
        <v>Goblin Bombardment</v>
      </c>
      <c r="V12" t="str">
        <v>Island</v>
      </c>
      <c r="W12" t="str">
        <v>Forest</v>
      </c>
      <c r="X12" t="str">
        <v>Reaper's Talisman</v>
      </c>
      <c r="Y12" t="str">
        <v>Espião-mestre Goblin</v>
      </c>
      <c r="Z12" t="str">
        <v>Floresta Flagelada</v>
      </c>
      <c r="AA12" t="str">
        <v>The Hunger Tide Rises</v>
      </c>
      <c r="AB12" t="str">
        <v>Leviatã de Kederekt</v>
      </c>
      <c r="AC12" t="str">
        <v>Swamp</v>
      </c>
      <c r="AD12" t="str">
        <v>Urna de Mosco-lumes</v>
      </c>
      <c r="AF12" t="str">
        <v>Swamp</v>
      </c>
      <c r="AG12" t="str">
        <v>Vivid Marsh</v>
      </c>
      <c r="AH12" t="str">
        <v>Loxodon Warhammer</v>
      </c>
      <c r="AI12" t="str">
        <v>Supreme Verdict</v>
      </c>
      <c r="AW12" t="str">
        <v>Fúria de Kazuul</v>
      </c>
      <c r="BA12" t="str">
        <f ca="1"/>
        <v>Forest</v>
      </c>
      <c r="BB12" t="str">
        <f ca="1"/>
        <v>Discipulo do Demônio</v>
      </c>
      <c r="BC12" t="str">
        <f ca="1"/>
        <v>Escória Fundida</v>
      </c>
      <c r="BD12" t="str">
        <f ca="1"/>
        <v>Esmoecer</v>
      </c>
      <c r="BE12" t="str">
        <f ca="1"/>
        <v>Leviatã de Kederekt</v>
      </c>
      <c r="BF12" t="str">
        <f ca="1"/>
        <v>Illusionist's Gambit</v>
      </c>
      <c r="BG12" t="str">
        <f ca="1"/>
        <v>Protection Racket</v>
      </c>
      <c r="BH12" t="str">
        <f ca="1"/>
        <v>Glimmer Lens</v>
      </c>
      <c r="BI12" t="str">
        <f ca="1"/>
        <v>Terras em Desenvolvimento</v>
      </c>
      <c r="BJ12" t="str">
        <f ca="1"/>
        <v>Praia Inundada</v>
      </c>
      <c r="BK12" t="str">
        <f ca="1"/>
        <v>Sisay's Ring</v>
      </c>
      <c r="BL12" t="str">
        <f ca="1"/>
        <v>Soul's Majesty</v>
      </c>
      <c r="BO12" t="str">
        <f ca="1"/>
        <v>Fúria de Kazuul</v>
      </c>
      <c r="BR12" t="str">
        <f ca="1"/>
        <v>Bolsa de Nobre</v>
      </c>
      <c r="BS12" t="str">
        <f ca="1"/>
        <v>Countersquall</v>
      </c>
      <c r="BT12" t="str">
        <f ca="1"/>
        <v>Drowned Catacomb</v>
      </c>
      <c r="BU12" t="str">
        <f ca="1"/>
        <v>Explosão Ruinosa de Urza</v>
      </c>
      <c r="BV12" t="str">
        <f ca="1"/>
        <v>Island</v>
      </c>
      <c r="BW12" t="str">
        <f ca="1"/>
        <v>Mountain</v>
      </c>
      <c r="BX12" t="str">
        <f ca="1"/>
        <v>Portão da Guilda Orzhov</v>
      </c>
      <c r="BY12" t="str">
        <f ca="1"/>
        <v>Fúria de Kazuul</v>
      </c>
      <c r="CA12" t="str">
        <f ca="1"/>
        <v>Ascendência Jeskai</v>
      </c>
      <c r="CB12" t="str">
        <f ca="1"/>
        <v>Clifftop Retreat</v>
      </c>
      <c r="CC12" t="str">
        <f ca="1"/>
        <v>Forest</v>
      </c>
      <c r="CD12" t="str">
        <f ca="1"/>
        <v>Divine Visitation</v>
      </c>
      <c r="CF12" t="str">
        <f ca="1"/>
        <v>Arauto Flamíneo</v>
      </c>
      <c r="CG12" t="str">
        <f ca="1"/>
        <v>Consecrated Sphinx</v>
      </c>
      <c r="CI12" t="str">
        <f ca="1"/>
        <v>Animate Dead</v>
      </c>
    </row>
    <row r="13" spans="1:87" x14ac:dyDescent="0.25">
      <c r="A13" t="str">
        <f ca="1"/>
        <v>Ancient Tomb</v>
      </c>
      <c r="B13" s="3" t="str" cm="1">
        <f t="array" aca="1" ref="B13" ca="1">_xlfn.ANCHORARRAY(RESUMO!C12)</f>
        <v>Gritrog</v>
      </c>
      <c r="C13" s="3" t="str">
        <f t="shared" ca="1" si="0"/>
        <v/>
      </c>
      <c r="E13" t="str">
        <f ca="1"/>
        <v>Antecipar</v>
      </c>
      <c r="F13" s="3">
        <f t="shared" ca="1" si="1"/>
        <v>1</v>
      </c>
      <c r="G13" s="3" t="str">
        <f t="shared" ca="1" si="2"/>
        <v>Narset</v>
      </c>
      <c r="M13" t="str">
        <f ca="1"/>
        <v>Antecipar</v>
      </c>
      <c r="N13" s="3">
        <f t="shared" ca="1" si="3"/>
        <v>1</v>
      </c>
      <c r="O13" s="3" t="str">
        <f ca="1">IFERROR(
 INDEX($T$2:$AW$2,
  MATCH(TRUE,
   CHOOSE({1;2;3;4;5;6;7;8;9;10;11;12;13;14;15;16;17;18;19;20;21;22;23;24;25;26;27;28;29;30;31;32},
    COUNTIFS($T$3:$T$201,$M13)&gt;0,
    COUNTIFS($U$3:$U$201,$M13)&gt;0,
    COUNTIFS($V$3:$V$201,$M13)&gt;0,
    COUNTIFS($W$3:$W$201,$M13)&gt;0,
    COUNTIFS($X$3:$X$201,$M13)&gt;0,
    COUNTIFS($Y$3:$Y$201,$M13)&gt;0,
    COUNTIFS($Z$3:$Z$201,$M13)&gt;0,
    COUNTIFS($AA$3:$AA$201,$M13)&gt;0,
    COUNTIFS($AB$3:$AB$201,$M13)&gt;0,
    COUNTIFS($AC$3:$AC$201,$M13)&gt;0,
    COUNTIFS($AD$3:$AD$201,$M13)&gt;0,
    COUNTIFS($AE$3:$AE$201,$M13)&gt;0,
    COUNTIFS($AF$3:$AF$201,$M13)&gt;0,
    COUNTIFS($AG$3:$AG$201,$M13)&gt;0,
    COUNTIFS($AH$3:$AH$201,$M13)&gt;0,
    COUNTIFS($AI$3:$AI$201,$M13)&gt;0,
    COUNTIFS($AJ$3:$AJ$201,$M13)&gt;0,
    COUNTIFS($AK$3:$AK$201,$M13)&gt;0,
    COUNTIFS($AL$3:$AL$201,$M13)&gt;0,
    COUNTIFS($AM$3:$AM$201,$M13)&gt;0,
    COUNTIFS($AN$3:$AN$201,$M13)&gt;0,
    COUNTIFS($AO$3:$AO$201,$M13)&gt;0,
    COUNTIFS($AP$3:$AP$201,$M13)&gt;0,
    COUNTIFS($AQ$3:$AQ$201,$M13)&gt;0,
    COUNTIFS($AR$3:$AR$201,$M13)&gt;0,
    COUNTIFS($AS$3:$AS$201,$M13)&gt;0,
    COUNTIFS($AT$3:$AT$201,$M13)&gt;0,
    COUNTIFS($AU$3:$AU$201,$M13)&gt;0,
    COUNTIFS($AV$3:$AV$201,$M13)&gt;0,
    COUNTIFS($AW$3:$AW$201,$M13)&gt;0
   ),
  0)
 ),
"")</f>
        <v>Narset</v>
      </c>
      <c r="P13" s="3" t="str" cm="1">
        <f t="array" aca="1" ref="P13" ca="1">IFERROR(
 INDEX(
  _xlfn._xlws.FILTER($T$2:$AW$2,
   TRANSPOSE(
    CHOOSE({1;2;3;4;5;6;7;8;9;10;11;12;13;14;15;16;17;18;19;20;21;22;23;24;25;26;27;28;29;30},
     COUNTIFS($T$3:$T$201,$M13)&gt;0,
     COUNTIFS($U$3:$U$201,$M13)&gt;0,
     COUNTIFS($V$3:$V$201,$M13)&gt;0,
     COUNTIFS($W$3:$W$201,$M13)&gt;0,
     COUNTIFS($X$3:$X$201,$M13)&gt;0,
     COUNTIFS($Y$3:$Y$201,$M13)&gt;0,
     COUNTIFS($Z$3:$Z$201,$M13)&gt;0,
     COUNTIFS($AA$3:$AA$201,$M13)&gt;0,
     COUNTIFS($AB$3:$AB$201,$M13)&gt;0,
     COUNTIFS($AC$3:$AC$201,$M13)&gt;0,
     COUNTIFS($AD$3:$AD$201,$M13)&gt;0,
     COUNTIFS($AE$3:$AE$201,$M13)&gt;0,
     COUNTIFS($AF$3:$AF$201,$M13)&gt;0,
     COUNTIFS($AG$3:$AG$201,$M13)&gt;0,
     COUNTIFS($AH$3:$AH$201,$M13)&gt;0,
     COUNTIFS($AI$3:$AI$201,$M13)&gt;0,
     COUNTIFS($AJ$3:$AJ$201,$M13)&gt;0,
     COUNTIFS($AK$3:$AK$201,$M13)&gt;0,
     COUNTIFS($AL$3:$AL$201,$M13)&gt;0,
     COUNTIFS($AM$3:$AM$201,$M13)&gt;0,
     COUNTIFS($AN$3:$AN$201,$M13)&gt;0,
     COUNTIFS($AO$3:$AO$201,$M13)&gt;0,
     COUNTIFS($AP$3:$AP$201,$M13)&gt;0,
     COUNTIFS($AQ$3:$AQ$201,$M13)&gt;0,
     COUNTIFS($AR$3:$AR$201,$M13)&gt;0,
     COUNTIFS($AS$3:$AS$201,$M13)&gt;0,
     COUNTIFS($AT$3:$AT$201,$M13)&gt;0,
     COUNTIFS($AU$3:$AU$201,$M13)&gt;0,
     COUNTIFS($AV$3:$AV$201,$M13)&gt;0,
     COUNTIFS($AW$3:$AW$201,$M13)&gt;0
   )),
  ),
  2
 ),
"")</f>
        <v/>
      </c>
      <c r="Q13" s="3" t="str" cm="1">
        <f t="array" aca="1" ref="Q13" ca="1">IFERROR(
 INDEX(
  _xlfn._xlws.FILTER($T$2:$AW$2,
   TRANSPOSE(
    CHOOSE({1;2;3;4;5;6;7;8;9;10;11;12;13;14;15;16;17;18;19;20;21;22;23;24;25;26;27;28;29;30},
     COUNTIFS($T$3:$T$201,$M13)&gt;0,
     COUNTIFS($U$3:$U$201,$M13)&gt;0,
     COUNTIFS($V$3:$V$201,$M13)&gt;0,
     COUNTIFS($W$3:$W$201,$M13)&gt;0,
     COUNTIFS($X$3:$X$201,$M13)&gt;0,
     COUNTIFS($Y$3:$Y$201,$M13)&gt;0,
     COUNTIFS($Z$3:$Z$201,$M13)&gt;0,
     COUNTIFS($AA$3:$AA$201,$M13)&gt;0,
     COUNTIFS($AB$3:$AB$201,$M13)&gt;0,
     COUNTIFS($AC$3:$AC$201,$M13)&gt;0,
     COUNTIFS($AD$3:$AD$201,$M13)&gt;0,
     COUNTIFS($AE$3:$AE$201,$M13)&gt;0,
     COUNTIFS($AF$3:$AF$201,$M13)&gt;0,
     COUNTIFS($AG$3:$AG$201,$M13)&gt;0,
     COUNTIFS($AH$3:$AH$201,$M13)&gt;0,
     COUNTIFS($AI$3:$AI$201,$M13)&gt;0,
     COUNTIFS($AJ$3:$AJ$201,$M13)&gt;0,
     COUNTIFS($AK$3:$AK$201,$M13)&gt;0,
     COUNTIFS($AL$3:$AL$201,$M13)&gt;0,
     COUNTIFS($AM$3:$AM$201,$M13)&gt;0,
     COUNTIFS($AN$3:$AN$201,$M13)&gt;0,
     COUNTIFS($AO$3:$AO$201,$M13)&gt;0,
     COUNTIFS($AP$3:$AP$201,$M13)&gt;0,
     COUNTIFS($AQ$3:$AQ$201,$M13)&gt;0,
     COUNTIFS($AR$3:$AR$201,$M13)&gt;0,
     COUNTIFS($AS$3:$AS$201,$M13)&gt;0,
     COUNTIFS($AT$3:$AT$201,$M13)&gt;0,
     COUNTIFS($AU$3:$AU$201,$M13)&gt;0,
     COUNTIFS($AV$3:$AV$201,$M13)&gt;0,
     COUNTIFS($AW$3:$AW$201,$M13)&gt;0
   )),
  ),
  3
 ),
"")</f>
        <v/>
      </c>
      <c r="R13" s="3" t="str" cm="1">
        <f t="array" aca="1" ref="R13" ca="1">IFERROR(
 INDEX(
  _xlfn._xlws.FILTER($T$2:$AW$2,
   TRANSPOSE(
    CHOOSE({1;2;3;4;5;6;7;8;9;10;11;12;13;14;15;16;17;18;19;20;21;22;23;24;25;26;27;28;29;30},
     COUNTIFS($T$3:$T$201,$M13)&gt;0,
     COUNTIFS($U$3:$U$201,$M13)&gt;0,
     COUNTIFS($V$3:$V$201,$M13)&gt;0,
     COUNTIFS($W$3:$W$201,$M13)&gt;0,
     COUNTIFS($X$3:$X$201,$M13)&gt;0,
     COUNTIFS($Y$3:$Y$201,$M13)&gt;0,
     COUNTIFS($Z$3:$Z$201,$M13)&gt;0,
     COUNTIFS($AA$3:$AA$201,$M13)&gt;0,
     COUNTIFS($AB$3:$AB$201,$M13)&gt;0,
     COUNTIFS($AC$3:$AC$201,$M13)&gt;0,
     COUNTIFS($AD$3:$AD$201,$M13)&gt;0,
     COUNTIFS($AE$3:$AE$201,$M13)&gt;0,
     COUNTIFS($AF$3:$AF$201,$M13)&gt;0,
     COUNTIFS($AG$3:$AG$201,$M13)&gt;0,
     COUNTIFS($AH$3:$AH$201,$M13)&gt;0,
     COUNTIFS($AI$3:$AI$201,$M13)&gt;0,
     COUNTIFS($AJ$3:$AJ$201,$M13)&gt;0,
     COUNTIFS($AK$3:$AK$201,$M13)&gt;0,
     COUNTIFS($AL$3:$AL$201,$M13)&gt;0,
     COUNTIFS($AM$3:$AM$201,$M13)&gt;0,
     COUNTIFS($AN$3:$AN$201,$M13)&gt;0,
     COUNTIFS($AO$3:$AO$201,$M13)&gt;0,
     COUNTIFS($AP$3:$AP$201,$M13)&gt;0,
     COUNTIFS($AQ$3:$AQ$201,$M13)&gt;0,
     COUNTIFS($AR$3:$AR$201,$M13)&gt;0,
     COUNTIFS($AS$3:$AS$201,$M13)&gt;0,
     COUNTIFS($AT$3:$AT$201,$M13)&gt;0,
     COUNTIFS($AU$3:$AU$201,$M13)&gt;0,
     COUNTIFS($AV$3:$AV$201,$M13)&gt;0,
     COUNTIFS($AW$3:$AW$201,$M13)&gt;0
   )),
  ),
  4
 ),
"")</f>
        <v/>
      </c>
      <c r="T13" t="str">
        <v>Mountain</v>
      </c>
      <c r="U13" t="str">
        <v>Horda Germinal</v>
      </c>
      <c r="V13" t="str">
        <v>Mountain</v>
      </c>
      <c r="W13" t="str">
        <v>Forest</v>
      </c>
      <c r="X13" t="str">
        <v>Sanctuary Warden</v>
      </c>
      <c r="Y13" t="str">
        <v>Fumiko, the Lowblood</v>
      </c>
      <c r="Z13" t="str">
        <v>Forest</v>
      </c>
      <c r="AA13" t="str">
        <v>Vale Afundado</v>
      </c>
      <c r="AB13" t="str">
        <v>Montanha</v>
      </c>
      <c r="AC13" t="str">
        <v>Wall of Roots</v>
      </c>
      <c r="AD13" t="str">
        <v>Worn Powerstone</v>
      </c>
      <c r="AF13" t="str">
        <v>Swamp</v>
      </c>
      <c r="AH13" t="str">
        <v>Sombra Mutável</v>
      </c>
      <c r="AI13" t="str">
        <v>Urza Assembles the Titans</v>
      </c>
      <c r="AW13" t="str">
        <v>Grumgully, o Generoso</v>
      </c>
      <c r="BA13" t="str">
        <f ca="1"/>
        <v>Forno da Bruxa</v>
      </c>
      <c r="BB13" t="str">
        <f ca="1"/>
        <v>Emboscada de Khalni</v>
      </c>
      <c r="BC13" t="str">
        <f ca="1"/>
        <v>Espião-mestre Goblin</v>
      </c>
      <c r="BD13" t="str">
        <f ca="1"/>
        <v>Espiral de Crescimento</v>
      </c>
      <c r="BE13" t="str">
        <f ca="1"/>
        <v>Molda-mundo</v>
      </c>
      <c r="BF13" t="str">
        <f ca="1"/>
        <v>Island</v>
      </c>
      <c r="BG13" t="str">
        <f ca="1"/>
        <v>Quasiduplicata</v>
      </c>
      <c r="BH13" t="str">
        <f ca="1"/>
        <v>Horn of Valhalla</v>
      </c>
      <c r="BJ13" t="str">
        <f ca="1"/>
        <v>Sacred Foundry</v>
      </c>
      <c r="BK13" t="str">
        <f ca="1"/>
        <v>Terraço do Condado</v>
      </c>
      <c r="BL13" t="str">
        <f ca="1"/>
        <v>Storm's Wrath</v>
      </c>
      <c r="BO13" t="str">
        <f ca="1"/>
        <v>Grumgully, o Generoso</v>
      </c>
      <c r="BR13" t="str">
        <f ca="1"/>
        <v>Botas do Desbravador</v>
      </c>
      <c r="BS13" t="str">
        <f ca="1"/>
        <v>Deathreap Ritual</v>
      </c>
      <c r="BT13" t="str">
        <f ca="1"/>
        <v>Duplicant</v>
      </c>
      <c r="BU13" t="str">
        <f ca="1"/>
        <v>Forja Mística</v>
      </c>
      <c r="BV13" t="str">
        <f ca="1"/>
        <v>Jungle Shrine</v>
      </c>
      <c r="BW13" t="str">
        <f ca="1"/>
        <v>Nimble Obstructionist</v>
      </c>
      <c r="BX13" t="str">
        <f ca="1"/>
        <v>Queda Solar</v>
      </c>
      <c r="BY13" t="str">
        <f ca="1"/>
        <v>Grumgully, o Generoso</v>
      </c>
      <c r="CA13" t="str">
        <f ca="1"/>
        <v>Ascendência Nobre</v>
      </c>
      <c r="CB13" t="str">
        <f ca="1"/>
        <v>Comando do Patriarca</v>
      </c>
      <c r="CC13" t="str">
        <f ca="1"/>
        <v>Fundição dos Cônsules</v>
      </c>
      <c r="CD13" t="str">
        <f ca="1"/>
        <v>Elas il-Kor, Sadistic Pilgrim</v>
      </c>
      <c r="CF13" t="str">
        <f ca="1"/>
        <v>Armadura de Placas</v>
      </c>
      <c r="CG13" t="str">
        <f ca="1"/>
        <v>Contrabandear Gado</v>
      </c>
      <c r="CI13" t="str">
        <f ca="1"/>
        <v>Antecipar</v>
      </c>
    </row>
    <row r="14" spans="1:87" x14ac:dyDescent="0.25">
      <c r="A14" t="str">
        <f ca="1"/>
        <v>Árbitro Silencioso</v>
      </c>
      <c r="B14" s="3" t="str" cm="1">
        <f t="array" aca="1" ref="B14" ca="1">_xlfn.ANCHORARRAY(RESUMO!C13)</f>
        <v>Zedruu</v>
      </c>
      <c r="C14" s="3" t="str">
        <f t="shared" ca="1" si="0"/>
        <v/>
      </c>
      <c r="E14" t="str">
        <f ca="1"/>
        <v>Aquatic Incursion</v>
      </c>
      <c r="F14" s="3">
        <f t="shared" ca="1" si="1"/>
        <v>1</v>
      </c>
      <c r="G14" s="3" t="str">
        <f t="shared" ca="1" si="2"/>
        <v>Kumena</v>
      </c>
      <c r="M14" t="str">
        <f ca="1"/>
        <v>Aquatic Incursion</v>
      </c>
      <c r="N14" s="3">
        <f t="shared" ca="1" si="3"/>
        <v>1</v>
      </c>
      <c r="O14" s="3" t="str">
        <f ca="1">IFERROR(
 INDEX($T$2:$AW$2,
  MATCH(TRUE,
   CHOOSE({1;2;3;4;5;6;7;8;9;10;11;12;13;14;15;16;17;18;19;20;21;22;23;24;25;26;27;28;29;30;31;32},
    COUNTIFS($T$3:$T$201,$M14)&gt;0,
    COUNTIFS($U$3:$U$201,$M14)&gt;0,
    COUNTIFS($V$3:$V$201,$M14)&gt;0,
    COUNTIFS($W$3:$W$201,$M14)&gt;0,
    COUNTIFS($X$3:$X$201,$M14)&gt;0,
    COUNTIFS($Y$3:$Y$201,$M14)&gt;0,
    COUNTIFS($Z$3:$Z$201,$M14)&gt;0,
    COUNTIFS($AA$3:$AA$201,$M14)&gt;0,
    COUNTIFS($AB$3:$AB$201,$M14)&gt;0,
    COUNTIFS($AC$3:$AC$201,$M14)&gt;0,
    COUNTIFS($AD$3:$AD$201,$M14)&gt;0,
    COUNTIFS($AE$3:$AE$201,$M14)&gt;0,
    COUNTIFS($AF$3:$AF$201,$M14)&gt;0,
    COUNTIFS($AG$3:$AG$201,$M14)&gt;0,
    COUNTIFS($AH$3:$AH$201,$M14)&gt;0,
    COUNTIFS($AI$3:$AI$201,$M14)&gt;0,
    COUNTIFS($AJ$3:$AJ$201,$M14)&gt;0,
    COUNTIFS($AK$3:$AK$201,$M14)&gt;0,
    COUNTIFS($AL$3:$AL$201,$M14)&gt;0,
    COUNTIFS($AM$3:$AM$201,$M14)&gt;0,
    COUNTIFS($AN$3:$AN$201,$M14)&gt;0,
    COUNTIFS($AO$3:$AO$201,$M14)&gt;0,
    COUNTIFS($AP$3:$AP$201,$M14)&gt;0,
    COUNTIFS($AQ$3:$AQ$201,$M14)&gt;0,
    COUNTIFS($AR$3:$AR$201,$M14)&gt;0,
    COUNTIFS($AS$3:$AS$201,$M14)&gt;0,
    COUNTIFS($AT$3:$AT$201,$M14)&gt;0,
    COUNTIFS($AU$3:$AU$201,$M14)&gt;0,
    COUNTIFS($AV$3:$AV$201,$M14)&gt;0,
    COUNTIFS($AW$3:$AW$201,$M14)&gt;0
   ),
  0)
 ),
"")</f>
        <v>Kumena</v>
      </c>
      <c r="P14" s="3" t="str" cm="1">
        <f t="array" aca="1" ref="P14" ca="1">IFERROR(
 INDEX(
  _xlfn._xlws.FILTER($T$2:$AW$2,
   TRANSPOSE(
    CHOOSE({1;2;3;4;5;6;7;8;9;10;11;12;13;14;15;16;17;18;19;20;21;22;23;24;25;26;27;28;29;30},
     COUNTIFS($T$3:$T$201,$M14)&gt;0,
     COUNTIFS($U$3:$U$201,$M14)&gt;0,
     COUNTIFS($V$3:$V$201,$M14)&gt;0,
     COUNTIFS($W$3:$W$201,$M14)&gt;0,
     COUNTIFS($X$3:$X$201,$M14)&gt;0,
     COUNTIFS($Y$3:$Y$201,$M14)&gt;0,
     COUNTIFS($Z$3:$Z$201,$M14)&gt;0,
     COUNTIFS($AA$3:$AA$201,$M14)&gt;0,
     COUNTIFS($AB$3:$AB$201,$M14)&gt;0,
     COUNTIFS($AC$3:$AC$201,$M14)&gt;0,
     COUNTIFS($AD$3:$AD$201,$M14)&gt;0,
     COUNTIFS($AE$3:$AE$201,$M14)&gt;0,
     COUNTIFS($AF$3:$AF$201,$M14)&gt;0,
     COUNTIFS($AG$3:$AG$201,$M14)&gt;0,
     COUNTIFS($AH$3:$AH$201,$M14)&gt;0,
     COUNTIFS($AI$3:$AI$201,$M14)&gt;0,
     COUNTIFS($AJ$3:$AJ$201,$M14)&gt;0,
     COUNTIFS($AK$3:$AK$201,$M14)&gt;0,
     COUNTIFS($AL$3:$AL$201,$M14)&gt;0,
     COUNTIFS($AM$3:$AM$201,$M14)&gt;0,
     COUNTIFS($AN$3:$AN$201,$M14)&gt;0,
     COUNTIFS($AO$3:$AO$201,$M14)&gt;0,
     COUNTIFS($AP$3:$AP$201,$M14)&gt;0,
     COUNTIFS($AQ$3:$AQ$201,$M14)&gt;0,
     COUNTIFS($AR$3:$AR$201,$M14)&gt;0,
     COUNTIFS($AS$3:$AS$201,$M14)&gt;0,
     COUNTIFS($AT$3:$AT$201,$M14)&gt;0,
     COUNTIFS($AU$3:$AU$201,$M14)&gt;0,
     COUNTIFS($AV$3:$AV$201,$M14)&gt;0,
     COUNTIFS($AW$3:$AW$201,$M14)&gt;0
   )),
  ),
  2
 ),
"")</f>
        <v/>
      </c>
      <c r="Q14" s="3" t="str" cm="1">
        <f t="array" aca="1" ref="Q14" ca="1">IFERROR(
 INDEX(
  _xlfn._xlws.FILTER($T$2:$AW$2,
   TRANSPOSE(
    CHOOSE({1;2;3;4;5;6;7;8;9;10;11;12;13;14;15;16;17;18;19;20;21;22;23;24;25;26;27;28;29;30},
     COUNTIFS($T$3:$T$201,$M14)&gt;0,
     COUNTIFS($U$3:$U$201,$M14)&gt;0,
     COUNTIFS($V$3:$V$201,$M14)&gt;0,
     COUNTIFS($W$3:$W$201,$M14)&gt;0,
     COUNTIFS($X$3:$X$201,$M14)&gt;0,
     COUNTIFS($Y$3:$Y$201,$M14)&gt;0,
     COUNTIFS($Z$3:$Z$201,$M14)&gt;0,
     COUNTIFS($AA$3:$AA$201,$M14)&gt;0,
     COUNTIFS($AB$3:$AB$201,$M14)&gt;0,
     COUNTIFS($AC$3:$AC$201,$M14)&gt;0,
     COUNTIFS($AD$3:$AD$201,$M14)&gt;0,
     COUNTIFS($AE$3:$AE$201,$M14)&gt;0,
     COUNTIFS($AF$3:$AF$201,$M14)&gt;0,
     COUNTIFS($AG$3:$AG$201,$M14)&gt;0,
     COUNTIFS($AH$3:$AH$201,$M14)&gt;0,
     COUNTIFS($AI$3:$AI$201,$M14)&gt;0,
     COUNTIFS($AJ$3:$AJ$201,$M14)&gt;0,
     COUNTIFS($AK$3:$AK$201,$M14)&gt;0,
     COUNTIFS($AL$3:$AL$201,$M14)&gt;0,
     COUNTIFS($AM$3:$AM$201,$M14)&gt;0,
     COUNTIFS($AN$3:$AN$201,$M14)&gt;0,
     COUNTIFS($AO$3:$AO$201,$M14)&gt;0,
     COUNTIFS($AP$3:$AP$201,$M14)&gt;0,
     COUNTIFS($AQ$3:$AQ$201,$M14)&gt;0,
     COUNTIFS($AR$3:$AR$201,$M14)&gt;0,
     COUNTIFS($AS$3:$AS$201,$M14)&gt;0,
     COUNTIFS($AT$3:$AT$201,$M14)&gt;0,
     COUNTIFS($AU$3:$AU$201,$M14)&gt;0,
     COUNTIFS($AV$3:$AV$201,$M14)&gt;0,
     COUNTIFS($AW$3:$AW$201,$M14)&gt;0
   )),
  ),
  3
 ),
"")</f>
        <v/>
      </c>
      <c r="R14" s="3" t="str" cm="1">
        <f t="array" aca="1" ref="R14" ca="1">IFERROR(
 INDEX(
  _xlfn._xlws.FILTER($T$2:$AW$2,
   TRANSPOSE(
    CHOOSE({1;2;3;4;5;6;7;8;9;10;11;12;13;14;15;16;17;18;19;20;21;22;23;24;25;26;27;28;29;30},
     COUNTIFS($T$3:$T$201,$M14)&gt;0,
     COUNTIFS($U$3:$U$201,$M14)&gt;0,
     COUNTIFS($V$3:$V$201,$M14)&gt;0,
     COUNTIFS($W$3:$W$201,$M14)&gt;0,
     COUNTIFS($X$3:$X$201,$M14)&gt;0,
     COUNTIFS($Y$3:$Y$201,$M14)&gt;0,
     COUNTIFS($Z$3:$Z$201,$M14)&gt;0,
     COUNTIFS($AA$3:$AA$201,$M14)&gt;0,
     COUNTIFS($AB$3:$AB$201,$M14)&gt;0,
     COUNTIFS($AC$3:$AC$201,$M14)&gt;0,
     COUNTIFS($AD$3:$AD$201,$M14)&gt;0,
     COUNTIFS($AE$3:$AE$201,$M14)&gt;0,
     COUNTIFS($AF$3:$AF$201,$M14)&gt;0,
     COUNTIFS($AG$3:$AG$201,$M14)&gt;0,
     COUNTIFS($AH$3:$AH$201,$M14)&gt;0,
     COUNTIFS($AI$3:$AI$201,$M14)&gt;0,
     COUNTIFS($AJ$3:$AJ$201,$M14)&gt;0,
     COUNTIFS($AK$3:$AK$201,$M14)&gt;0,
     COUNTIFS($AL$3:$AL$201,$M14)&gt;0,
     COUNTIFS($AM$3:$AM$201,$M14)&gt;0,
     COUNTIFS($AN$3:$AN$201,$M14)&gt;0,
     COUNTIFS($AO$3:$AO$201,$M14)&gt;0,
     COUNTIFS($AP$3:$AP$201,$M14)&gt;0,
     COUNTIFS($AQ$3:$AQ$201,$M14)&gt;0,
     COUNTIFS($AR$3:$AR$201,$M14)&gt;0,
     COUNTIFS($AS$3:$AS$201,$M14)&gt;0,
     COUNTIFS($AT$3:$AT$201,$M14)&gt;0,
     COUNTIFS($AU$3:$AU$201,$M14)&gt;0,
     COUNTIFS($AV$3:$AV$201,$M14)&gt;0,
     COUNTIFS($AW$3:$AW$201,$M14)&gt;0
   )),
  ),
  4
 ),
"")</f>
        <v/>
      </c>
      <c r="T14" t="str">
        <v>Pilar das Origens</v>
      </c>
      <c r="U14" t="str">
        <v>Investigação Minuciosa</v>
      </c>
      <c r="V14" t="str">
        <v>Mountain</v>
      </c>
      <c r="W14" t="str">
        <v>Forest</v>
      </c>
      <c r="X14" t="str">
        <v>Servidão Imortal</v>
      </c>
      <c r="Y14" t="str">
        <v>Ginete Bronco Exaltado</v>
      </c>
      <c r="Z14" t="str">
        <v>Imagem Espelhada</v>
      </c>
      <c r="AB14" t="str">
        <v>Transformações Divergentes</v>
      </c>
      <c r="AF14" t="str">
        <v>Whelming Wave</v>
      </c>
      <c r="AH14" t="str">
        <v>Tenza, Godo's Maul</v>
      </c>
      <c r="AW14" t="str">
        <v>Gwenna, Olhos de Gaia</v>
      </c>
      <c r="BA14" t="str">
        <f ca="1"/>
        <v>Garra Krosana</v>
      </c>
      <c r="BB14" t="str">
        <f ca="1"/>
        <v>Eternal Witness</v>
      </c>
      <c r="BC14" t="str">
        <f ca="1"/>
        <v>Extraction Specialist</v>
      </c>
      <c r="BD14" t="str">
        <f ca="1"/>
        <v>Eureka Moment</v>
      </c>
      <c r="BE14" t="str">
        <f ca="1"/>
        <v>Montanha</v>
      </c>
      <c r="BF14" t="str">
        <f ca="1"/>
        <v>Pântano</v>
      </c>
      <c r="BG14" t="str">
        <f ca="1"/>
        <v>Repartir o Véu D'Água</v>
      </c>
      <c r="BH14" t="str">
        <f ca="1"/>
        <v>Kasmina, Enigma Sage</v>
      </c>
      <c r="BJ14" t="str">
        <f ca="1"/>
        <v>Sinew Sliver</v>
      </c>
      <c r="BK14" t="str">
        <f ca="1"/>
        <v>Thirst for Knowledge</v>
      </c>
      <c r="BL14" t="str">
        <f ca="1"/>
        <v>Tumulume</v>
      </c>
      <c r="BO14" t="str">
        <f ca="1"/>
        <v>Gwenna, Olhos de Gaia</v>
      </c>
      <c r="BR14" t="str">
        <f ca="1"/>
        <v>Ceifador da Meia-Noite</v>
      </c>
      <c r="BS14" t="str">
        <f ca="1"/>
        <v>Deeprooot Wayfinder</v>
      </c>
      <c r="BT14" t="str">
        <f ca="1"/>
        <v>Eterificar</v>
      </c>
      <c r="BU14" t="str">
        <f ca="1"/>
        <v>Garras do Capitão</v>
      </c>
      <c r="BV14" t="str">
        <f ca="1"/>
        <v>Kiora's Follower</v>
      </c>
      <c r="BW14" t="str">
        <f ca="1"/>
        <v>Pântano</v>
      </c>
      <c r="BX14" t="str">
        <f ca="1"/>
        <v>Swamp</v>
      </c>
      <c r="BY14" t="str">
        <f ca="1"/>
        <v>Gwenna, Olhos de Gaia</v>
      </c>
      <c r="CA14" t="str">
        <f ca="1"/>
        <v>Augúrio do Sol</v>
      </c>
      <c r="CB14" t="str">
        <f ca="1"/>
        <v>Crackling Doom</v>
      </c>
      <c r="CC14" t="str">
        <f ca="1"/>
        <v>Gagueira Mágica</v>
      </c>
      <c r="CD14" t="str">
        <f ca="1"/>
        <v>Elves of Deep Shadow</v>
      </c>
      <c r="CF14" t="str">
        <f ca="1"/>
        <v>Ascendência Jeskai</v>
      </c>
      <c r="CG14" t="str">
        <f ca="1"/>
        <v>Culling Dais</v>
      </c>
      <c r="CI14" t="str">
        <f ca="1"/>
        <v>Aquatic Incursion</v>
      </c>
    </row>
    <row r="15" spans="1:87" x14ac:dyDescent="0.25">
      <c r="A15" t="str">
        <f ca="1"/>
        <v>Arcane Lighthouse</v>
      </c>
      <c r="B15" s="3" t="str" cm="1">
        <f t="array" aca="1" ref="B15" ca="1">_xlfn.ANCHORARRAY(RESUMO!C14)</f>
        <v>Inalla</v>
      </c>
      <c r="C15" s="3" t="str">
        <f t="shared" ca="1" si="0"/>
        <v/>
      </c>
      <c r="E15" t="str">
        <f ca="1"/>
        <v>Arauto Flamíneo</v>
      </c>
      <c r="F15" s="3">
        <f t="shared" ca="1" si="1"/>
        <v>1</v>
      </c>
      <c r="G15" s="3" t="str">
        <f t="shared" ca="1" si="2"/>
        <v>Piratas</v>
      </c>
      <c r="M15" t="str">
        <f ca="1"/>
        <v>Arauto Flamíneo</v>
      </c>
      <c r="N15" s="3">
        <f t="shared" ca="1" si="3"/>
        <v>1</v>
      </c>
      <c r="O15" s="3" t="str">
        <f ca="1">IFERROR(
 INDEX($T$2:$AW$2,
  MATCH(TRUE,
   CHOOSE({1;2;3;4;5;6;7;8;9;10;11;12;13;14;15;16;17;18;19;20;21;22;23;24;25;26;27;28;29;30;31;32},
    COUNTIFS($T$3:$T$201,$M15)&gt;0,
    COUNTIFS($U$3:$U$201,$M15)&gt;0,
    COUNTIFS($V$3:$V$201,$M15)&gt;0,
    COUNTIFS($W$3:$W$201,$M15)&gt;0,
    COUNTIFS($X$3:$X$201,$M15)&gt;0,
    COUNTIFS($Y$3:$Y$201,$M15)&gt;0,
    COUNTIFS($Z$3:$Z$201,$M15)&gt;0,
    COUNTIFS($AA$3:$AA$201,$M15)&gt;0,
    COUNTIFS($AB$3:$AB$201,$M15)&gt;0,
    COUNTIFS($AC$3:$AC$201,$M15)&gt;0,
    COUNTIFS($AD$3:$AD$201,$M15)&gt;0,
    COUNTIFS($AE$3:$AE$201,$M15)&gt;0,
    COUNTIFS($AF$3:$AF$201,$M15)&gt;0,
    COUNTIFS($AG$3:$AG$201,$M15)&gt;0,
    COUNTIFS($AH$3:$AH$201,$M15)&gt;0,
    COUNTIFS($AI$3:$AI$201,$M15)&gt;0,
    COUNTIFS($AJ$3:$AJ$201,$M15)&gt;0,
    COUNTIFS($AK$3:$AK$201,$M15)&gt;0,
    COUNTIFS($AL$3:$AL$201,$M15)&gt;0,
    COUNTIFS($AM$3:$AM$201,$M15)&gt;0,
    COUNTIFS($AN$3:$AN$201,$M15)&gt;0,
    COUNTIFS($AO$3:$AO$201,$M15)&gt;0,
    COUNTIFS($AP$3:$AP$201,$M15)&gt;0,
    COUNTIFS($AQ$3:$AQ$201,$M15)&gt;0,
    COUNTIFS($AR$3:$AR$201,$M15)&gt;0,
    COUNTIFS($AS$3:$AS$201,$M15)&gt;0,
    COUNTIFS($AT$3:$AT$201,$M15)&gt;0,
    COUNTIFS($AU$3:$AU$201,$M15)&gt;0,
    COUNTIFS($AV$3:$AV$201,$M15)&gt;0,
    COUNTIFS($AW$3:$AW$201,$M15)&gt;0
   ),
  0)
 ),
"")</f>
        <v>Piratas</v>
      </c>
      <c r="P15" s="3" t="str" cm="1">
        <f t="array" aca="1" ref="P15" ca="1">IFERROR(
 INDEX(
  _xlfn._xlws.FILTER($T$2:$AW$2,
   TRANSPOSE(
    CHOOSE({1;2;3;4;5;6;7;8;9;10;11;12;13;14;15;16;17;18;19;20;21;22;23;24;25;26;27;28;29;30},
     COUNTIFS($T$3:$T$201,$M15)&gt;0,
     COUNTIFS($U$3:$U$201,$M15)&gt;0,
     COUNTIFS($V$3:$V$201,$M15)&gt;0,
     COUNTIFS($W$3:$W$201,$M15)&gt;0,
     COUNTIFS($X$3:$X$201,$M15)&gt;0,
     COUNTIFS($Y$3:$Y$201,$M15)&gt;0,
     COUNTIFS($Z$3:$Z$201,$M15)&gt;0,
     COUNTIFS($AA$3:$AA$201,$M15)&gt;0,
     COUNTIFS($AB$3:$AB$201,$M15)&gt;0,
     COUNTIFS($AC$3:$AC$201,$M15)&gt;0,
     COUNTIFS($AD$3:$AD$201,$M15)&gt;0,
     COUNTIFS($AE$3:$AE$201,$M15)&gt;0,
     COUNTIFS($AF$3:$AF$201,$M15)&gt;0,
     COUNTIFS($AG$3:$AG$201,$M15)&gt;0,
     COUNTIFS($AH$3:$AH$201,$M15)&gt;0,
     COUNTIFS($AI$3:$AI$201,$M15)&gt;0,
     COUNTIFS($AJ$3:$AJ$201,$M15)&gt;0,
     COUNTIFS($AK$3:$AK$201,$M15)&gt;0,
     COUNTIFS($AL$3:$AL$201,$M15)&gt;0,
     COUNTIFS($AM$3:$AM$201,$M15)&gt;0,
     COUNTIFS($AN$3:$AN$201,$M15)&gt;0,
     COUNTIFS($AO$3:$AO$201,$M15)&gt;0,
     COUNTIFS($AP$3:$AP$201,$M15)&gt;0,
     COUNTIFS($AQ$3:$AQ$201,$M15)&gt;0,
     COUNTIFS($AR$3:$AR$201,$M15)&gt;0,
     COUNTIFS($AS$3:$AS$201,$M15)&gt;0,
     COUNTIFS($AT$3:$AT$201,$M15)&gt;0,
     COUNTIFS($AU$3:$AU$201,$M15)&gt;0,
     COUNTIFS($AV$3:$AV$201,$M15)&gt;0,
     COUNTIFS($AW$3:$AW$201,$M15)&gt;0
   )),
  ),
  2
 ),
"")</f>
        <v/>
      </c>
      <c r="Q15" s="3" t="str" cm="1">
        <f t="array" aca="1" ref="Q15" ca="1">IFERROR(
 INDEX(
  _xlfn._xlws.FILTER($T$2:$AW$2,
   TRANSPOSE(
    CHOOSE({1;2;3;4;5;6;7;8;9;10;11;12;13;14;15;16;17;18;19;20;21;22;23;24;25;26;27;28;29;30},
     COUNTIFS($T$3:$T$201,$M15)&gt;0,
     COUNTIFS($U$3:$U$201,$M15)&gt;0,
     COUNTIFS($V$3:$V$201,$M15)&gt;0,
     COUNTIFS($W$3:$W$201,$M15)&gt;0,
     COUNTIFS($X$3:$X$201,$M15)&gt;0,
     COUNTIFS($Y$3:$Y$201,$M15)&gt;0,
     COUNTIFS($Z$3:$Z$201,$M15)&gt;0,
     COUNTIFS($AA$3:$AA$201,$M15)&gt;0,
     COUNTIFS($AB$3:$AB$201,$M15)&gt;0,
     COUNTIFS($AC$3:$AC$201,$M15)&gt;0,
     COUNTIFS($AD$3:$AD$201,$M15)&gt;0,
     COUNTIFS($AE$3:$AE$201,$M15)&gt;0,
     COUNTIFS($AF$3:$AF$201,$M15)&gt;0,
     COUNTIFS($AG$3:$AG$201,$M15)&gt;0,
     COUNTIFS($AH$3:$AH$201,$M15)&gt;0,
     COUNTIFS($AI$3:$AI$201,$M15)&gt;0,
     COUNTIFS($AJ$3:$AJ$201,$M15)&gt;0,
     COUNTIFS($AK$3:$AK$201,$M15)&gt;0,
     COUNTIFS($AL$3:$AL$201,$M15)&gt;0,
     COUNTIFS($AM$3:$AM$201,$M15)&gt;0,
     COUNTIFS($AN$3:$AN$201,$M15)&gt;0,
     COUNTIFS($AO$3:$AO$201,$M15)&gt;0,
     COUNTIFS($AP$3:$AP$201,$M15)&gt;0,
     COUNTIFS($AQ$3:$AQ$201,$M15)&gt;0,
     COUNTIFS($AR$3:$AR$201,$M15)&gt;0,
     COUNTIFS($AS$3:$AS$201,$M15)&gt;0,
     COUNTIFS($AT$3:$AT$201,$M15)&gt;0,
     COUNTIFS($AU$3:$AU$201,$M15)&gt;0,
     COUNTIFS($AV$3:$AV$201,$M15)&gt;0,
     COUNTIFS($AW$3:$AW$201,$M15)&gt;0
   )),
  ),
  3
 ),
"")</f>
        <v/>
      </c>
      <c r="R15" s="3" t="str" cm="1">
        <f t="array" aca="1" ref="R15" ca="1">IFERROR(
 INDEX(
  _xlfn._xlws.FILTER($T$2:$AW$2,
   TRANSPOSE(
    CHOOSE({1;2;3;4;5;6;7;8;9;10;11;12;13;14;15;16;17;18;19;20;21;22;23;24;25;26;27;28;29;30},
     COUNTIFS($T$3:$T$201,$M15)&gt;0,
     COUNTIFS($U$3:$U$201,$M15)&gt;0,
     COUNTIFS($V$3:$V$201,$M15)&gt;0,
     COUNTIFS($W$3:$W$201,$M15)&gt;0,
     COUNTIFS($X$3:$X$201,$M15)&gt;0,
     COUNTIFS($Y$3:$Y$201,$M15)&gt;0,
     COUNTIFS($Z$3:$Z$201,$M15)&gt;0,
     COUNTIFS($AA$3:$AA$201,$M15)&gt;0,
     COUNTIFS($AB$3:$AB$201,$M15)&gt;0,
     COUNTIFS($AC$3:$AC$201,$M15)&gt;0,
     COUNTIFS($AD$3:$AD$201,$M15)&gt;0,
     COUNTIFS($AE$3:$AE$201,$M15)&gt;0,
     COUNTIFS($AF$3:$AF$201,$M15)&gt;0,
     COUNTIFS($AG$3:$AG$201,$M15)&gt;0,
     COUNTIFS($AH$3:$AH$201,$M15)&gt;0,
     COUNTIFS($AI$3:$AI$201,$M15)&gt;0,
     COUNTIFS($AJ$3:$AJ$201,$M15)&gt;0,
     COUNTIFS($AK$3:$AK$201,$M15)&gt;0,
     COUNTIFS($AL$3:$AL$201,$M15)&gt;0,
     COUNTIFS($AM$3:$AM$201,$M15)&gt;0,
     COUNTIFS($AN$3:$AN$201,$M15)&gt;0,
     COUNTIFS($AO$3:$AO$201,$M15)&gt;0,
     COUNTIFS($AP$3:$AP$201,$M15)&gt;0,
     COUNTIFS($AQ$3:$AQ$201,$M15)&gt;0,
     COUNTIFS($AR$3:$AR$201,$M15)&gt;0,
     COUNTIFS($AS$3:$AS$201,$M15)&gt;0,
     COUNTIFS($AT$3:$AT$201,$M15)&gt;0,
     COUNTIFS($AU$3:$AU$201,$M15)&gt;0,
     COUNTIFS($AV$3:$AV$201,$M15)&gt;0,
     COUNTIFS($AW$3:$AW$201,$M15)&gt;0
   )),
  ),
  4
 ),
"")</f>
        <v/>
      </c>
      <c r="T15" t="str">
        <v>Polimorfismo em Massa</v>
      </c>
      <c r="U15" t="str">
        <v>Medalhão de Naya</v>
      </c>
      <c r="V15" t="str">
        <v>Mountain</v>
      </c>
      <c r="W15" t="str">
        <v>Invasão da Horda Medonha</v>
      </c>
      <c r="X15" t="str">
        <v>Skyclave Cleric</v>
      </c>
      <c r="Y15" t="str">
        <v>Island</v>
      </c>
      <c r="Z15" t="str">
        <v>Island</v>
      </c>
      <c r="AW15" t="str">
        <v>Lulu, Halofante Leal</v>
      </c>
      <c r="BA15" t="str">
        <f ca="1"/>
        <v>Gleba Gruul</v>
      </c>
      <c r="BB15" t="str">
        <f ca="1"/>
        <v>Executor Impiedoso</v>
      </c>
      <c r="BC15" t="str">
        <f ca="1"/>
        <v>Fumiko, the Lowblood</v>
      </c>
      <c r="BD15" t="str">
        <f ca="1"/>
        <v>Floresta Flagelada</v>
      </c>
      <c r="BE15" t="str">
        <f ca="1"/>
        <v>Restituir</v>
      </c>
      <c r="BF15" t="str">
        <f ca="1"/>
        <v>Pentavus</v>
      </c>
      <c r="BG15" t="str">
        <f ca="1"/>
        <v>Sudden Spoiling</v>
      </c>
      <c r="BH15" t="str">
        <f ca="1"/>
        <v>Kusari-Gama</v>
      </c>
      <c r="BK15" t="str">
        <f ca="1"/>
        <v>Trophy Mage</v>
      </c>
      <c r="BO15" t="str">
        <f ca="1"/>
        <v>Lulu, Halofante Leal</v>
      </c>
      <c r="BR15" t="str">
        <f ca="1"/>
        <v>Cervo Brunido</v>
      </c>
      <c r="BS15" t="str">
        <f ca="1"/>
        <v>Diamante B</v>
      </c>
      <c r="BT15" t="str">
        <f ca="1"/>
        <v>Flagelo das Frotas</v>
      </c>
      <c r="BU15" t="str">
        <f ca="1"/>
        <v>Glimmer Lens</v>
      </c>
      <c r="BV15" t="str">
        <f ca="1"/>
        <v>Lanterna Cromática</v>
      </c>
      <c r="BW15" t="str">
        <f ca="1"/>
        <v>Pensamento Sombrio</v>
      </c>
      <c r="BX15" t="str">
        <f ca="1"/>
        <v>The Immortal Sun</v>
      </c>
      <c r="BY15" t="str">
        <f ca="1"/>
        <v>Lulu, Halofante Leal</v>
      </c>
      <c r="CA15" t="str">
        <f ca="1"/>
        <v>Barreira Psíquica</v>
      </c>
      <c r="CB15" t="str">
        <f ca="1"/>
        <v>Crawling Infestation</v>
      </c>
      <c r="CC15" t="str">
        <f ca="1"/>
        <v>Godless Shrine</v>
      </c>
      <c r="CD15" t="str">
        <f ca="1"/>
        <v>Exarca Progenitor</v>
      </c>
      <c r="CF15" t="str">
        <f ca="1"/>
        <v>Ascendência Nobre</v>
      </c>
      <c r="CG15" t="str">
        <f ca="1"/>
        <v>Cultivadora de Lâminas</v>
      </c>
      <c r="CI15" t="str">
        <f ca="1"/>
        <v>Arauto Flamíneo</v>
      </c>
    </row>
    <row r="16" spans="1:87" x14ac:dyDescent="0.25">
      <c r="A16" t="str">
        <f ca="1"/>
        <v>Arcbound Fiend</v>
      </c>
      <c r="B16" s="3" t="str" cm="1">
        <f t="array" aca="1" ref="B16" ca="1">_xlfn.ANCHORARRAY(RESUMO!C15)</f>
        <v>Modular</v>
      </c>
      <c r="C16" s="3" t="str">
        <f t="shared" ca="1" si="0"/>
        <v/>
      </c>
      <c r="E16" t="str">
        <f ca="1"/>
        <v>Arco Bestial de Vivien</v>
      </c>
      <c r="F16" s="3">
        <f t="shared" ca="1" si="1"/>
        <v>1</v>
      </c>
      <c r="G16" s="3" t="str">
        <f t="shared" ca="1" si="2"/>
        <v>Modular</v>
      </c>
      <c r="M16" t="str">
        <f ca="1"/>
        <v>Arco Bestial de Vivien</v>
      </c>
      <c r="N16" s="3">
        <f t="shared" ca="1" si="3"/>
        <v>1</v>
      </c>
      <c r="O16" s="3" t="str">
        <f ca="1">IFERROR(
 INDEX($T$2:$AW$2,
  MATCH(TRUE,
   CHOOSE({1;2;3;4;5;6;7;8;9;10;11;12;13;14;15;16;17;18;19;20;21;22;23;24;25;26;27;28;29;30;31;32},
    COUNTIFS($T$3:$T$201,$M16)&gt;0,
    COUNTIFS($U$3:$U$201,$M16)&gt;0,
    COUNTIFS($V$3:$V$201,$M16)&gt;0,
    COUNTIFS($W$3:$W$201,$M16)&gt;0,
    COUNTIFS($X$3:$X$201,$M16)&gt;0,
    COUNTIFS($Y$3:$Y$201,$M16)&gt;0,
    COUNTIFS($Z$3:$Z$201,$M16)&gt;0,
    COUNTIFS($AA$3:$AA$201,$M16)&gt;0,
    COUNTIFS($AB$3:$AB$201,$M16)&gt;0,
    COUNTIFS($AC$3:$AC$201,$M16)&gt;0,
    COUNTIFS($AD$3:$AD$201,$M16)&gt;0,
    COUNTIFS($AE$3:$AE$201,$M16)&gt;0,
    COUNTIFS($AF$3:$AF$201,$M16)&gt;0,
    COUNTIFS($AG$3:$AG$201,$M16)&gt;0,
    COUNTIFS($AH$3:$AH$201,$M16)&gt;0,
    COUNTIFS($AI$3:$AI$201,$M16)&gt;0,
    COUNTIFS($AJ$3:$AJ$201,$M16)&gt;0,
    COUNTIFS($AK$3:$AK$201,$M16)&gt;0,
    COUNTIFS($AL$3:$AL$201,$M16)&gt;0,
    COUNTIFS($AM$3:$AM$201,$M16)&gt;0,
    COUNTIFS($AN$3:$AN$201,$M16)&gt;0,
    COUNTIFS($AO$3:$AO$201,$M16)&gt;0,
    COUNTIFS($AP$3:$AP$201,$M16)&gt;0,
    COUNTIFS($AQ$3:$AQ$201,$M16)&gt;0,
    COUNTIFS($AR$3:$AR$201,$M16)&gt;0,
    COUNTIFS($AS$3:$AS$201,$M16)&gt;0,
    COUNTIFS($AT$3:$AT$201,$M16)&gt;0,
    COUNTIFS($AU$3:$AU$201,$M16)&gt;0,
    COUNTIFS($AV$3:$AV$201,$M16)&gt;0,
    COUNTIFS($AW$3:$AW$201,$M16)&gt;0
   ),
  0)
 ),
"")</f>
        <v>Modular</v>
      </c>
      <c r="P16" s="3" t="str" cm="1">
        <f t="array" aca="1" ref="P16" ca="1">IFERROR(
 INDEX(
  _xlfn._xlws.FILTER($T$2:$AW$2,
   TRANSPOSE(
    CHOOSE({1;2;3;4;5;6;7;8;9;10;11;12;13;14;15;16;17;18;19;20;21;22;23;24;25;26;27;28;29;30},
     COUNTIFS($T$3:$T$201,$M16)&gt;0,
     COUNTIFS($U$3:$U$201,$M16)&gt;0,
     COUNTIFS($V$3:$V$201,$M16)&gt;0,
     COUNTIFS($W$3:$W$201,$M16)&gt;0,
     COUNTIFS($X$3:$X$201,$M16)&gt;0,
     COUNTIFS($Y$3:$Y$201,$M16)&gt;0,
     COUNTIFS($Z$3:$Z$201,$M16)&gt;0,
     COUNTIFS($AA$3:$AA$201,$M16)&gt;0,
     COUNTIFS($AB$3:$AB$201,$M16)&gt;0,
     COUNTIFS($AC$3:$AC$201,$M16)&gt;0,
     COUNTIFS($AD$3:$AD$201,$M16)&gt;0,
     COUNTIFS($AE$3:$AE$201,$M16)&gt;0,
     COUNTIFS($AF$3:$AF$201,$M16)&gt;0,
     COUNTIFS($AG$3:$AG$201,$M16)&gt;0,
     COUNTIFS($AH$3:$AH$201,$M16)&gt;0,
     COUNTIFS($AI$3:$AI$201,$M16)&gt;0,
     COUNTIFS($AJ$3:$AJ$201,$M16)&gt;0,
     COUNTIFS($AK$3:$AK$201,$M16)&gt;0,
     COUNTIFS($AL$3:$AL$201,$M16)&gt;0,
     COUNTIFS($AM$3:$AM$201,$M16)&gt;0,
     COUNTIFS($AN$3:$AN$201,$M16)&gt;0,
     COUNTIFS($AO$3:$AO$201,$M16)&gt;0,
     COUNTIFS($AP$3:$AP$201,$M16)&gt;0,
     COUNTIFS($AQ$3:$AQ$201,$M16)&gt;0,
     COUNTIFS($AR$3:$AR$201,$M16)&gt;0,
     COUNTIFS($AS$3:$AS$201,$M16)&gt;0,
     COUNTIFS($AT$3:$AT$201,$M16)&gt;0,
     COUNTIFS($AU$3:$AU$201,$M16)&gt;0,
     COUNTIFS($AV$3:$AV$201,$M16)&gt;0,
     COUNTIFS($AW$3:$AW$201,$M16)&gt;0
   )),
  ),
  2
 ),
"")</f>
        <v/>
      </c>
      <c r="Q16" s="3" t="str" cm="1">
        <f t="array" aca="1" ref="Q16" ca="1">IFERROR(
 INDEX(
  _xlfn._xlws.FILTER($T$2:$AW$2,
   TRANSPOSE(
    CHOOSE({1;2;3;4;5;6;7;8;9;10;11;12;13;14;15;16;17;18;19;20;21;22;23;24;25;26;27;28;29;30},
     COUNTIFS($T$3:$T$201,$M16)&gt;0,
     COUNTIFS($U$3:$U$201,$M16)&gt;0,
     COUNTIFS($V$3:$V$201,$M16)&gt;0,
     COUNTIFS($W$3:$W$201,$M16)&gt;0,
     COUNTIFS($X$3:$X$201,$M16)&gt;0,
     COUNTIFS($Y$3:$Y$201,$M16)&gt;0,
     COUNTIFS($Z$3:$Z$201,$M16)&gt;0,
     COUNTIFS($AA$3:$AA$201,$M16)&gt;0,
     COUNTIFS($AB$3:$AB$201,$M16)&gt;0,
     COUNTIFS($AC$3:$AC$201,$M16)&gt;0,
     COUNTIFS($AD$3:$AD$201,$M16)&gt;0,
     COUNTIFS($AE$3:$AE$201,$M16)&gt;0,
     COUNTIFS($AF$3:$AF$201,$M16)&gt;0,
     COUNTIFS($AG$3:$AG$201,$M16)&gt;0,
     COUNTIFS($AH$3:$AH$201,$M16)&gt;0,
     COUNTIFS($AI$3:$AI$201,$M16)&gt;0,
     COUNTIFS($AJ$3:$AJ$201,$M16)&gt;0,
     COUNTIFS($AK$3:$AK$201,$M16)&gt;0,
     COUNTIFS($AL$3:$AL$201,$M16)&gt;0,
     COUNTIFS($AM$3:$AM$201,$M16)&gt;0,
     COUNTIFS($AN$3:$AN$201,$M16)&gt;0,
     COUNTIFS($AO$3:$AO$201,$M16)&gt;0,
     COUNTIFS($AP$3:$AP$201,$M16)&gt;0,
     COUNTIFS($AQ$3:$AQ$201,$M16)&gt;0,
     COUNTIFS($AR$3:$AR$201,$M16)&gt;0,
     COUNTIFS($AS$3:$AS$201,$M16)&gt;0,
     COUNTIFS($AT$3:$AT$201,$M16)&gt;0,
     COUNTIFS($AU$3:$AU$201,$M16)&gt;0,
     COUNTIFS($AV$3:$AV$201,$M16)&gt;0,
     COUNTIFS($AW$3:$AW$201,$M16)&gt;0
   )),
  ),
  3
 ),
"")</f>
        <v/>
      </c>
      <c r="R16" s="3" t="str" cm="1">
        <f t="array" aca="1" ref="R16" ca="1">IFERROR(
 INDEX(
  _xlfn._xlws.FILTER($T$2:$AW$2,
   TRANSPOSE(
    CHOOSE({1;2;3;4;5;6;7;8;9;10;11;12;13;14;15;16;17;18;19;20;21;22;23;24;25;26;27;28;29;30},
     COUNTIFS($T$3:$T$201,$M16)&gt;0,
     COUNTIFS($U$3:$U$201,$M16)&gt;0,
     COUNTIFS($V$3:$V$201,$M16)&gt;0,
     COUNTIFS($W$3:$W$201,$M16)&gt;0,
     COUNTIFS($X$3:$X$201,$M16)&gt;0,
     COUNTIFS($Y$3:$Y$201,$M16)&gt;0,
     COUNTIFS($Z$3:$Z$201,$M16)&gt;0,
     COUNTIFS($AA$3:$AA$201,$M16)&gt;0,
     COUNTIFS($AB$3:$AB$201,$M16)&gt;0,
     COUNTIFS($AC$3:$AC$201,$M16)&gt;0,
     COUNTIFS($AD$3:$AD$201,$M16)&gt;0,
     COUNTIFS($AE$3:$AE$201,$M16)&gt;0,
     COUNTIFS($AF$3:$AF$201,$M16)&gt;0,
     COUNTIFS($AG$3:$AG$201,$M16)&gt;0,
     COUNTIFS($AH$3:$AH$201,$M16)&gt;0,
     COUNTIFS($AI$3:$AI$201,$M16)&gt;0,
     COUNTIFS($AJ$3:$AJ$201,$M16)&gt;0,
     COUNTIFS($AK$3:$AK$201,$M16)&gt;0,
     COUNTIFS($AL$3:$AL$201,$M16)&gt;0,
     COUNTIFS($AM$3:$AM$201,$M16)&gt;0,
     COUNTIFS($AN$3:$AN$201,$M16)&gt;0,
     COUNTIFS($AO$3:$AO$201,$M16)&gt;0,
     COUNTIFS($AP$3:$AP$201,$M16)&gt;0,
     COUNTIFS($AQ$3:$AQ$201,$M16)&gt;0,
     COUNTIFS($AR$3:$AR$201,$M16)&gt;0,
     COUNTIFS($AS$3:$AS$201,$M16)&gt;0,
     COUNTIFS($AT$3:$AT$201,$M16)&gt;0,
     COUNTIFS($AU$3:$AU$201,$M16)&gt;0,
     COUNTIFS($AV$3:$AV$201,$M16)&gt;0,
     COUNTIFS($AW$3:$AW$201,$M16)&gt;0
   )),
  ),
  4
 ),
"")</f>
        <v/>
      </c>
      <c r="T16" t="str">
        <v>Swamp</v>
      </c>
      <c r="U16" t="str">
        <v>Midnight Guard</v>
      </c>
      <c r="V16" t="str">
        <v>Omen of the Sea</v>
      </c>
      <c r="W16" t="str">
        <v>Lanterna Fantasma</v>
      </c>
      <c r="X16" t="str">
        <v>Tocasia's Welcome</v>
      </c>
      <c r="Y16" t="str">
        <v>Mountain</v>
      </c>
      <c r="Z16" t="str">
        <v>Lonis, Cryptozoologist</v>
      </c>
      <c r="AW16" t="str">
        <v>Luta Encenada</v>
      </c>
      <c r="BA16" t="str">
        <f ca="1"/>
        <v>Goblin Bombardment</v>
      </c>
      <c r="BB16" t="str">
        <f ca="1"/>
        <v>Forest</v>
      </c>
      <c r="BC16" t="str">
        <f ca="1"/>
        <v>Ginete Bronco Exaltado</v>
      </c>
      <c r="BD16" t="str">
        <f ca="1"/>
        <v>Forest</v>
      </c>
      <c r="BE16" t="str">
        <f ca="1"/>
        <v>Salvamento Macabro</v>
      </c>
      <c r="BF16" t="str">
        <f ca="1"/>
        <v>Sulfur Falls</v>
      </c>
      <c r="BG16" t="str">
        <f ca="1"/>
        <v>Swamp</v>
      </c>
      <c r="BH16" t="str">
        <f ca="1"/>
        <v>Lizard Blades</v>
      </c>
      <c r="BO16" t="str">
        <f ca="1"/>
        <v>Luta Encenada</v>
      </c>
      <c r="BR16" t="str">
        <f ca="1"/>
        <v>Comando de Kayla</v>
      </c>
      <c r="BS16" t="str">
        <f ca="1"/>
        <v>Diamante R</v>
      </c>
      <c r="BT16" t="str">
        <f ca="1"/>
        <v>Forest</v>
      </c>
      <c r="BU16" t="str">
        <f ca="1"/>
        <v>Horn of Valhalla</v>
      </c>
      <c r="BV16" t="str">
        <f ca="1"/>
        <v>Nezahal, Maré Primordial</v>
      </c>
      <c r="BW16" t="str">
        <f ca="1"/>
        <v>Piscar de Olhos</v>
      </c>
      <c r="BX16" t="str">
        <f ca="1"/>
        <v>Woe Strider</v>
      </c>
      <c r="BY16" t="str">
        <f ca="1"/>
        <v>Luta Encenada</v>
      </c>
      <c r="CA16" t="str">
        <f ca="1"/>
        <v>Bolsa de Nobre</v>
      </c>
      <c r="CB16" t="str">
        <f ca="1"/>
        <v>Crotalus Mortífero</v>
      </c>
      <c r="CC16" t="str">
        <f ca="1"/>
        <v>Ilha</v>
      </c>
      <c r="CD16" t="str">
        <f ca="1"/>
        <v>Floresta</v>
      </c>
      <c r="CF16" t="str">
        <f ca="1"/>
        <v>Augúrio do Sol</v>
      </c>
      <c r="CG16" t="str">
        <f ca="1"/>
        <v>Cultivar</v>
      </c>
      <c r="CI16" t="str">
        <f ca="1"/>
        <v>Arco Bestial de Vivien</v>
      </c>
    </row>
    <row r="17" spans="1:87" x14ac:dyDescent="0.25">
      <c r="A17" t="str">
        <f ca="1"/>
        <v>Arcbound Overseer</v>
      </c>
      <c r="B17" s="3" t="str" cm="1">
        <f t="array" aca="1" ref="B17" ca="1">_xlfn.ANCHORARRAY(RESUMO!C16)</f>
        <v>Modular</v>
      </c>
      <c r="C17" s="3" t="str">
        <f t="shared" ca="1" si="0"/>
        <v/>
      </c>
      <c r="E17" t="str">
        <f ca="1"/>
        <v>Armadura de Placas</v>
      </c>
      <c r="F17" s="3">
        <f t="shared" ca="1" si="1"/>
        <v>1</v>
      </c>
      <c r="G17" s="3" t="str">
        <f t="shared" ca="1" si="2"/>
        <v>Akiri</v>
      </c>
      <c r="M17" t="str">
        <f ca="1"/>
        <v>Armadura de Placas</v>
      </c>
      <c r="N17" s="3">
        <f t="shared" ca="1" si="3"/>
        <v>1</v>
      </c>
      <c r="O17" s="3" t="str">
        <f ca="1">IFERROR(
 INDEX($T$2:$AW$2,
  MATCH(TRUE,
   CHOOSE({1;2;3;4;5;6;7;8;9;10;11;12;13;14;15;16;17;18;19;20;21;22;23;24;25;26;27;28;29;30;31;32},
    COUNTIFS($T$3:$T$201,$M17)&gt;0,
    COUNTIFS($U$3:$U$201,$M17)&gt;0,
    COUNTIFS($V$3:$V$201,$M17)&gt;0,
    COUNTIFS($W$3:$W$201,$M17)&gt;0,
    COUNTIFS($X$3:$X$201,$M17)&gt;0,
    COUNTIFS($Y$3:$Y$201,$M17)&gt;0,
    COUNTIFS($Z$3:$Z$201,$M17)&gt;0,
    COUNTIFS($AA$3:$AA$201,$M17)&gt;0,
    COUNTIFS($AB$3:$AB$201,$M17)&gt;0,
    COUNTIFS($AC$3:$AC$201,$M17)&gt;0,
    COUNTIFS($AD$3:$AD$201,$M17)&gt;0,
    COUNTIFS($AE$3:$AE$201,$M17)&gt;0,
    COUNTIFS($AF$3:$AF$201,$M17)&gt;0,
    COUNTIFS($AG$3:$AG$201,$M17)&gt;0,
    COUNTIFS($AH$3:$AH$201,$M17)&gt;0,
    COUNTIFS($AI$3:$AI$201,$M17)&gt;0,
    COUNTIFS($AJ$3:$AJ$201,$M17)&gt;0,
    COUNTIFS($AK$3:$AK$201,$M17)&gt;0,
    COUNTIFS($AL$3:$AL$201,$M17)&gt;0,
    COUNTIFS($AM$3:$AM$201,$M17)&gt;0,
    COUNTIFS($AN$3:$AN$201,$M17)&gt;0,
    COUNTIFS($AO$3:$AO$201,$M17)&gt;0,
    COUNTIFS($AP$3:$AP$201,$M17)&gt;0,
    COUNTIFS($AQ$3:$AQ$201,$M17)&gt;0,
    COUNTIFS($AR$3:$AR$201,$M17)&gt;0,
    COUNTIFS($AS$3:$AS$201,$M17)&gt;0,
    COUNTIFS($AT$3:$AT$201,$M17)&gt;0,
    COUNTIFS($AU$3:$AU$201,$M17)&gt;0,
    COUNTIFS($AV$3:$AV$201,$M17)&gt;0,
    COUNTIFS($AW$3:$AW$201,$M17)&gt;0
   ),
  0)
 ),
"")</f>
        <v>Akiri</v>
      </c>
      <c r="P17" s="3" t="str" cm="1">
        <f t="array" aca="1" ref="P17" ca="1">IFERROR(
 INDEX(
  _xlfn._xlws.FILTER($T$2:$AW$2,
   TRANSPOSE(
    CHOOSE({1;2;3;4;5;6;7;8;9;10;11;12;13;14;15;16;17;18;19;20;21;22;23;24;25;26;27;28;29;30},
     COUNTIFS($T$3:$T$201,$M17)&gt;0,
     COUNTIFS($U$3:$U$201,$M17)&gt;0,
     COUNTIFS($V$3:$V$201,$M17)&gt;0,
     COUNTIFS($W$3:$W$201,$M17)&gt;0,
     COUNTIFS($X$3:$X$201,$M17)&gt;0,
     COUNTIFS($Y$3:$Y$201,$M17)&gt;0,
     COUNTIFS($Z$3:$Z$201,$M17)&gt;0,
     COUNTIFS($AA$3:$AA$201,$M17)&gt;0,
     COUNTIFS($AB$3:$AB$201,$M17)&gt;0,
     COUNTIFS($AC$3:$AC$201,$M17)&gt;0,
     COUNTIFS($AD$3:$AD$201,$M17)&gt;0,
     COUNTIFS($AE$3:$AE$201,$M17)&gt;0,
     COUNTIFS($AF$3:$AF$201,$M17)&gt;0,
     COUNTIFS($AG$3:$AG$201,$M17)&gt;0,
     COUNTIFS($AH$3:$AH$201,$M17)&gt;0,
     COUNTIFS($AI$3:$AI$201,$M17)&gt;0,
     COUNTIFS($AJ$3:$AJ$201,$M17)&gt;0,
     COUNTIFS($AK$3:$AK$201,$M17)&gt;0,
     COUNTIFS($AL$3:$AL$201,$M17)&gt;0,
     COUNTIFS($AM$3:$AM$201,$M17)&gt;0,
     COUNTIFS($AN$3:$AN$201,$M17)&gt;0,
     COUNTIFS($AO$3:$AO$201,$M17)&gt;0,
     COUNTIFS($AP$3:$AP$201,$M17)&gt;0,
     COUNTIFS($AQ$3:$AQ$201,$M17)&gt;0,
     COUNTIFS($AR$3:$AR$201,$M17)&gt;0,
     COUNTIFS($AS$3:$AS$201,$M17)&gt;0,
     COUNTIFS($AT$3:$AT$201,$M17)&gt;0,
     COUNTIFS($AU$3:$AU$201,$M17)&gt;0,
     COUNTIFS($AV$3:$AV$201,$M17)&gt;0,
     COUNTIFS($AW$3:$AW$201,$M17)&gt;0
   )),
  ),
  2
 ),
"")</f>
        <v/>
      </c>
      <c r="Q17" s="3" t="str" cm="1">
        <f t="array" aca="1" ref="Q17" ca="1">IFERROR(
 INDEX(
  _xlfn._xlws.FILTER($T$2:$AW$2,
   TRANSPOSE(
    CHOOSE({1;2;3;4;5;6;7;8;9;10;11;12;13;14;15;16;17;18;19;20;21;22;23;24;25;26;27;28;29;30},
     COUNTIFS($T$3:$T$201,$M17)&gt;0,
     COUNTIFS($U$3:$U$201,$M17)&gt;0,
     COUNTIFS($V$3:$V$201,$M17)&gt;0,
     COUNTIFS($W$3:$W$201,$M17)&gt;0,
     COUNTIFS($X$3:$X$201,$M17)&gt;0,
     COUNTIFS($Y$3:$Y$201,$M17)&gt;0,
     COUNTIFS($Z$3:$Z$201,$M17)&gt;0,
     COUNTIFS($AA$3:$AA$201,$M17)&gt;0,
     COUNTIFS($AB$3:$AB$201,$M17)&gt;0,
     COUNTIFS($AC$3:$AC$201,$M17)&gt;0,
     COUNTIFS($AD$3:$AD$201,$M17)&gt;0,
     COUNTIFS($AE$3:$AE$201,$M17)&gt;0,
     COUNTIFS($AF$3:$AF$201,$M17)&gt;0,
     COUNTIFS($AG$3:$AG$201,$M17)&gt;0,
     COUNTIFS($AH$3:$AH$201,$M17)&gt;0,
     COUNTIFS($AI$3:$AI$201,$M17)&gt;0,
     COUNTIFS($AJ$3:$AJ$201,$M17)&gt;0,
     COUNTIFS($AK$3:$AK$201,$M17)&gt;0,
     COUNTIFS($AL$3:$AL$201,$M17)&gt;0,
     COUNTIFS($AM$3:$AM$201,$M17)&gt;0,
     COUNTIFS($AN$3:$AN$201,$M17)&gt;0,
     COUNTIFS($AO$3:$AO$201,$M17)&gt;0,
     COUNTIFS($AP$3:$AP$201,$M17)&gt;0,
     COUNTIFS($AQ$3:$AQ$201,$M17)&gt;0,
     COUNTIFS($AR$3:$AR$201,$M17)&gt;0,
     COUNTIFS($AS$3:$AS$201,$M17)&gt;0,
     COUNTIFS($AT$3:$AT$201,$M17)&gt;0,
     COUNTIFS($AU$3:$AU$201,$M17)&gt;0,
     COUNTIFS($AV$3:$AV$201,$M17)&gt;0,
     COUNTIFS($AW$3:$AW$201,$M17)&gt;0
   )),
  ),
  3
 ),
"")</f>
        <v/>
      </c>
      <c r="R17" s="3" t="str" cm="1">
        <f t="array" aca="1" ref="R17" ca="1">IFERROR(
 INDEX(
  _xlfn._xlws.FILTER($T$2:$AW$2,
   TRANSPOSE(
    CHOOSE({1;2;3;4;5;6;7;8;9;10;11;12;13;14;15;16;17;18;19;20;21;22;23;24;25;26;27;28;29;30},
     COUNTIFS($T$3:$T$201,$M17)&gt;0,
     COUNTIFS($U$3:$U$201,$M17)&gt;0,
     COUNTIFS($V$3:$V$201,$M17)&gt;0,
     COUNTIFS($W$3:$W$201,$M17)&gt;0,
     COUNTIFS($X$3:$X$201,$M17)&gt;0,
     COUNTIFS($Y$3:$Y$201,$M17)&gt;0,
     COUNTIFS($Z$3:$Z$201,$M17)&gt;0,
     COUNTIFS($AA$3:$AA$201,$M17)&gt;0,
     COUNTIFS($AB$3:$AB$201,$M17)&gt;0,
     COUNTIFS($AC$3:$AC$201,$M17)&gt;0,
     COUNTIFS($AD$3:$AD$201,$M17)&gt;0,
     COUNTIFS($AE$3:$AE$201,$M17)&gt;0,
     COUNTIFS($AF$3:$AF$201,$M17)&gt;0,
     COUNTIFS($AG$3:$AG$201,$M17)&gt;0,
     COUNTIFS($AH$3:$AH$201,$M17)&gt;0,
     COUNTIFS($AI$3:$AI$201,$M17)&gt;0,
     COUNTIFS($AJ$3:$AJ$201,$M17)&gt;0,
     COUNTIFS($AK$3:$AK$201,$M17)&gt;0,
     COUNTIFS($AL$3:$AL$201,$M17)&gt;0,
     COUNTIFS($AM$3:$AM$201,$M17)&gt;0,
     COUNTIFS($AN$3:$AN$201,$M17)&gt;0,
     COUNTIFS($AO$3:$AO$201,$M17)&gt;0,
     COUNTIFS($AP$3:$AP$201,$M17)&gt;0,
     COUNTIFS($AQ$3:$AQ$201,$M17)&gt;0,
     COUNTIFS($AR$3:$AR$201,$M17)&gt;0,
     COUNTIFS($AS$3:$AS$201,$M17)&gt;0,
     COUNTIFS($AT$3:$AT$201,$M17)&gt;0,
     COUNTIFS($AU$3:$AU$201,$M17)&gt;0,
     COUNTIFS($AV$3:$AV$201,$M17)&gt;0,
     COUNTIFS($AW$3:$AW$201,$M17)&gt;0
   )),
  ),
  4
 ),
"")</f>
        <v/>
      </c>
      <c r="T17" t="str">
        <v>Swamp</v>
      </c>
      <c r="U17" t="str">
        <v>Mountain</v>
      </c>
      <c r="V17" t="str">
        <v>Ominous Seas</v>
      </c>
      <c r="W17" t="str">
        <v>Mind Stone</v>
      </c>
      <c r="Y17" t="str">
        <v>Panorama de Grixis</v>
      </c>
      <c r="Z17" t="str">
        <v>Mascara da Longevisão</v>
      </c>
      <c r="AW17" t="str">
        <v>Mestre das Feras Abzan</v>
      </c>
      <c r="BA17" t="str">
        <f ca="1"/>
        <v>Grazilaxx, Illithid Scholar</v>
      </c>
      <c r="BB17" t="str">
        <f ca="1"/>
        <v>Fraying Sanity</v>
      </c>
      <c r="BC17" t="str">
        <f ca="1"/>
        <v>Guardiã da Aurora de Gavony</v>
      </c>
      <c r="BD17" t="str">
        <f ca="1"/>
        <v>Harrow</v>
      </c>
      <c r="BE17" t="str">
        <f ca="1"/>
        <v>Sinete Golgari</v>
      </c>
      <c r="BF17" t="str">
        <f ca="1"/>
        <v>Swiftfoot Boots</v>
      </c>
      <c r="BG17" t="str">
        <f ca="1"/>
        <v>Terraço do Condado</v>
      </c>
      <c r="BH17" t="str">
        <f ca="1"/>
        <v>Loxodon Warhammer</v>
      </c>
      <c r="BO17" t="str">
        <f ca="1"/>
        <v>Mestre das Feras Abzan</v>
      </c>
      <c r="BR17" t="str">
        <f ca="1"/>
        <v>Crib Swap</v>
      </c>
      <c r="BS17" t="str">
        <f ca="1"/>
        <v>Diamante U</v>
      </c>
      <c r="BT17" t="str">
        <f ca="1"/>
        <v>Ilha</v>
      </c>
      <c r="BU17" t="str">
        <f ca="1"/>
        <v>Ilha</v>
      </c>
      <c r="BV17" t="str">
        <f ca="1"/>
        <v>Palácio Opulento</v>
      </c>
      <c r="BW17" t="str">
        <f ca="1"/>
        <v>Procissão de Carniçais</v>
      </c>
      <c r="BY17" t="str">
        <f ca="1"/>
        <v>Mestre das Feras Abzan</v>
      </c>
      <c r="CA17" t="str">
        <f ca="1"/>
        <v>Botas do Desbravador</v>
      </c>
      <c r="CB17" t="str">
        <f ca="1"/>
        <v>Danitha Capashen, Paragon</v>
      </c>
      <c r="CC17" t="str">
        <f ca="1"/>
        <v>Inundação de Lágrimas</v>
      </c>
      <c r="CD17" t="str">
        <f ca="1"/>
        <v>Forest</v>
      </c>
      <c r="CF17" t="str">
        <f ca="1"/>
        <v>Barreira Psíquica</v>
      </c>
      <c r="CG17" t="str">
        <f ca="1"/>
        <v>Dawntreader Elk</v>
      </c>
      <c r="CI17" t="str">
        <f ca="1"/>
        <v>Armadura de Placas</v>
      </c>
    </row>
    <row r="18" spans="1:87" x14ac:dyDescent="0.25">
      <c r="A18" t="str">
        <f ca="1"/>
        <v>Ardbert, Warrior of Darkness</v>
      </c>
      <c r="B18" s="3" t="str" cm="1">
        <f t="array" aca="1" ref="B18" ca="1">_xlfn.ANCHORARRAY(RESUMO!C17)</f>
        <v>Tayam</v>
      </c>
      <c r="C18" s="3" t="str">
        <f t="shared" ca="1" si="0"/>
        <v/>
      </c>
      <c r="E18" t="str">
        <f ca="1"/>
        <v>Ascendência Jeskai</v>
      </c>
      <c r="F18" s="3">
        <f t="shared" ca="1" si="1"/>
        <v>1</v>
      </c>
      <c r="G18" s="3" t="str">
        <f t="shared" ca="1" si="2"/>
        <v>Narset</v>
      </c>
      <c r="M18" t="str">
        <f ca="1"/>
        <v>Ascendência Jeskai</v>
      </c>
      <c r="N18" s="3">
        <f t="shared" ca="1" si="3"/>
        <v>1</v>
      </c>
      <c r="O18" s="3" t="str">
        <f ca="1">IFERROR(
 INDEX($T$2:$AW$2,
  MATCH(TRUE,
   CHOOSE({1;2;3;4;5;6;7;8;9;10;11;12;13;14;15;16;17;18;19;20;21;22;23;24;25;26;27;28;29;30;31;32},
    COUNTIFS($T$3:$T$201,$M18)&gt;0,
    COUNTIFS($U$3:$U$201,$M18)&gt;0,
    COUNTIFS($V$3:$V$201,$M18)&gt;0,
    COUNTIFS($W$3:$W$201,$M18)&gt;0,
    COUNTIFS($X$3:$X$201,$M18)&gt;0,
    COUNTIFS($Y$3:$Y$201,$M18)&gt;0,
    COUNTIFS($Z$3:$Z$201,$M18)&gt;0,
    COUNTIFS($AA$3:$AA$201,$M18)&gt;0,
    COUNTIFS($AB$3:$AB$201,$M18)&gt;0,
    COUNTIFS($AC$3:$AC$201,$M18)&gt;0,
    COUNTIFS($AD$3:$AD$201,$M18)&gt;0,
    COUNTIFS($AE$3:$AE$201,$M18)&gt;0,
    COUNTIFS($AF$3:$AF$201,$M18)&gt;0,
    COUNTIFS($AG$3:$AG$201,$M18)&gt;0,
    COUNTIFS($AH$3:$AH$201,$M18)&gt;0,
    COUNTIFS($AI$3:$AI$201,$M18)&gt;0,
    COUNTIFS($AJ$3:$AJ$201,$M18)&gt;0,
    COUNTIFS($AK$3:$AK$201,$M18)&gt;0,
    COUNTIFS($AL$3:$AL$201,$M18)&gt;0,
    COUNTIFS($AM$3:$AM$201,$M18)&gt;0,
    COUNTIFS($AN$3:$AN$201,$M18)&gt;0,
    COUNTIFS($AO$3:$AO$201,$M18)&gt;0,
    COUNTIFS($AP$3:$AP$201,$M18)&gt;0,
    COUNTIFS($AQ$3:$AQ$201,$M18)&gt;0,
    COUNTIFS($AR$3:$AR$201,$M18)&gt;0,
    COUNTIFS($AS$3:$AS$201,$M18)&gt;0,
    COUNTIFS($AT$3:$AT$201,$M18)&gt;0,
    COUNTIFS($AU$3:$AU$201,$M18)&gt;0,
    COUNTIFS($AV$3:$AV$201,$M18)&gt;0,
    COUNTIFS($AW$3:$AW$201,$M18)&gt;0
   ),
  0)
 ),
"")</f>
        <v>Narset</v>
      </c>
      <c r="P18" s="3" t="str" cm="1">
        <f t="array" aca="1" ref="P18" ca="1">IFERROR(
 INDEX(
  _xlfn._xlws.FILTER($T$2:$AW$2,
   TRANSPOSE(
    CHOOSE({1;2;3;4;5;6;7;8;9;10;11;12;13;14;15;16;17;18;19;20;21;22;23;24;25;26;27;28;29;30},
     COUNTIFS($T$3:$T$201,$M18)&gt;0,
     COUNTIFS($U$3:$U$201,$M18)&gt;0,
     COUNTIFS($V$3:$V$201,$M18)&gt;0,
     COUNTIFS($W$3:$W$201,$M18)&gt;0,
     COUNTIFS($X$3:$X$201,$M18)&gt;0,
     COUNTIFS($Y$3:$Y$201,$M18)&gt;0,
     COUNTIFS($Z$3:$Z$201,$M18)&gt;0,
     COUNTIFS($AA$3:$AA$201,$M18)&gt;0,
     COUNTIFS($AB$3:$AB$201,$M18)&gt;0,
     COUNTIFS($AC$3:$AC$201,$M18)&gt;0,
     COUNTIFS($AD$3:$AD$201,$M18)&gt;0,
     COUNTIFS($AE$3:$AE$201,$M18)&gt;0,
     COUNTIFS($AF$3:$AF$201,$M18)&gt;0,
     COUNTIFS($AG$3:$AG$201,$M18)&gt;0,
     COUNTIFS($AH$3:$AH$201,$M18)&gt;0,
     COUNTIFS($AI$3:$AI$201,$M18)&gt;0,
     COUNTIFS($AJ$3:$AJ$201,$M18)&gt;0,
     COUNTIFS($AK$3:$AK$201,$M18)&gt;0,
     COUNTIFS($AL$3:$AL$201,$M18)&gt;0,
     COUNTIFS($AM$3:$AM$201,$M18)&gt;0,
     COUNTIFS($AN$3:$AN$201,$M18)&gt;0,
     COUNTIFS($AO$3:$AO$201,$M18)&gt;0,
     COUNTIFS($AP$3:$AP$201,$M18)&gt;0,
     COUNTIFS($AQ$3:$AQ$201,$M18)&gt;0,
     COUNTIFS($AR$3:$AR$201,$M18)&gt;0,
     COUNTIFS($AS$3:$AS$201,$M18)&gt;0,
     COUNTIFS($AT$3:$AT$201,$M18)&gt;0,
     COUNTIFS($AU$3:$AU$201,$M18)&gt;0,
     COUNTIFS($AV$3:$AV$201,$M18)&gt;0,
     COUNTIFS($AW$3:$AW$201,$M18)&gt;0
   )),
  ),
  2
 ),
"")</f>
        <v/>
      </c>
      <c r="Q18" s="3" t="str" cm="1">
        <f t="array" aca="1" ref="Q18" ca="1">IFERROR(
 INDEX(
  _xlfn._xlws.FILTER($T$2:$AW$2,
   TRANSPOSE(
    CHOOSE({1;2;3;4;5;6;7;8;9;10;11;12;13;14;15;16;17;18;19;20;21;22;23;24;25;26;27;28;29;30},
     COUNTIFS($T$3:$T$201,$M18)&gt;0,
     COUNTIFS($U$3:$U$201,$M18)&gt;0,
     COUNTIFS($V$3:$V$201,$M18)&gt;0,
     COUNTIFS($W$3:$W$201,$M18)&gt;0,
     COUNTIFS($X$3:$X$201,$M18)&gt;0,
     COUNTIFS($Y$3:$Y$201,$M18)&gt;0,
     COUNTIFS($Z$3:$Z$201,$M18)&gt;0,
     COUNTIFS($AA$3:$AA$201,$M18)&gt;0,
     COUNTIFS($AB$3:$AB$201,$M18)&gt;0,
     COUNTIFS($AC$3:$AC$201,$M18)&gt;0,
     COUNTIFS($AD$3:$AD$201,$M18)&gt;0,
     COUNTIFS($AE$3:$AE$201,$M18)&gt;0,
     COUNTIFS($AF$3:$AF$201,$M18)&gt;0,
     COUNTIFS($AG$3:$AG$201,$M18)&gt;0,
     COUNTIFS($AH$3:$AH$201,$M18)&gt;0,
     COUNTIFS($AI$3:$AI$201,$M18)&gt;0,
     COUNTIFS($AJ$3:$AJ$201,$M18)&gt;0,
     COUNTIFS($AK$3:$AK$201,$M18)&gt;0,
     COUNTIFS($AL$3:$AL$201,$M18)&gt;0,
     COUNTIFS($AM$3:$AM$201,$M18)&gt;0,
     COUNTIFS($AN$3:$AN$201,$M18)&gt;0,
     COUNTIFS($AO$3:$AO$201,$M18)&gt;0,
     COUNTIFS($AP$3:$AP$201,$M18)&gt;0,
     COUNTIFS($AQ$3:$AQ$201,$M18)&gt;0,
     COUNTIFS($AR$3:$AR$201,$M18)&gt;0,
     COUNTIFS($AS$3:$AS$201,$M18)&gt;0,
     COUNTIFS($AT$3:$AT$201,$M18)&gt;0,
     COUNTIFS($AU$3:$AU$201,$M18)&gt;0,
     COUNTIFS($AV$3:$AV$201,$M18)&gt;0,
     COUNTIFS($AW$3:$AW$201,$M18)&gt;0
   )),
  ),
  3
 ),
"")</f>
        <v/>
      </c>
      <c r="R18" s="3" t="str" cm="1">
        <f t="array" aca="1" ref="R18" ca="1">IFERROR(
 INDEX(
  _xlfn._xlws.FILTER($T$2:$AW$2,
   TRANSPOSE(
    CHOOSE({1;2;3;4;5;6;7;8;9;10;11;12;13;14;15;16;17;18;19;20;21;22;23;24;25;26;27;28;29;30},
     COUNTIFS($T$3:$T$201,$M18)&gt;0,
     COUNTIFS($U$3:$U$201,$M18)&gt;0,
     COUNTIFS($V$3:$V$201,$M18)&gt;0,
     COUNTIFS($W$3:$W$201,$M18)&gt;0,
     COUNTIFS($X$3:$X$201,$M18)&gt;0,
     COUNTIFS($Y$3:$Y$201,$M18)&gt;0,
     COUNTIFS($Z$3:$Z$201,$M18)&gt;0,
     COUNTIFS($AA$3:$AA$201,$M18)&gt;0,
     COUNTIFS($AB$3:$AB$201,$M18)&gt;0,
     COUNTIFS($AC$3:$AC$201,$M18)&gt;0,
     COUNTIFS($AD$3:$AD$201,$M18)&gt;0,
     COUNTIFS($AE$3:$AE$201,$M18)&gt;0,
     COUNTIFS($AF$3:$AF$201,$M18)&gt;0,
     COUNTIFS($AG$3:$AG$201,$M18)&gt;0,
     COUNTIFS($AH$3:$AH$201,$M18)&gt;0,
     COUNTIFS($AI$3:$AI$201,$M18)&gt;0,
     COUNTIFS($AJ$3:$AJ$201,$M18)&gt;0,
     COUNTIFS($AK$3:$AK$201,$M18)&gt;0,
     COUNTIFS($AL$3:$AL$201,$M18)&gt;0,
     COUNTIFS($AM$3:$AM$201,$M18)&gt;0,
     COUNTIFS($AN$3:$AN$201,$M18)&gt;0,
     COUNTIFS($AO$3:$AO$201,$M18)&gt;0,
     COUNTIFS($AP$3:$AP$201,$M18)&gt;0,
     COUNTIFS($AQ$3:$AQ$201,$M18)&gt;0,
     COUNTIFS($AR$3:$AR$201,$M18)&gt;0,
     COUNTIFS($AS$3:$AS$201,$M18)&gt;0,
     COUNTIFS($AT$3:$AT$201,$M18)&gt;0,
     COUNTIFS($AU$3:$AU$201,$M18)&gt;0,
     COUNTIFS($AV$3:$AV$201,$M18)&gt;0,
     COUNTIFS($AW$3:$AW$201,$M18)&gt;0
   )),
  ),
  4
 ),
"")</f>
        <v/>
      </c>
      <c r="T18" t="str">
        <v>Swamp</v>
      </c>
      <c r="U18" t="str">
        <v>Noite da Vingança dos Doces</v>
      </c>
      <c r="V18" t="str">
        <v>Optar</v>
      </c>
      <c r="W18" t="str">
        <v>Morbid Oportunist</v>
      </c>
      <c r="Y18" t="str">
        <v>Recifes de Nau-Terror</v>
      </c>
      <c r="Z18" t="str">
        <v>Mergulhadora Celeste Ladra</v>
      </c>
      <c r="AW18" t="str">
        <v>Mind Stone</v>
      </c>
      <c r="BA18" t="str">
        <f ca="1"/>
        <v>Horda Germinal</v>
      </c>
      <c r="BB18" t="str">
        <f ca="1"/>
        <v>Inferno Duplo</v>
      </c>
      <c r="BC18" t="str">
        <f ca="1"/>
        <v>High Priest of Penance</v>
      </c>
      <c r="BD18" t="str">
        <f ca="1"/>
        <v>Imagem Espelhada</v>
      </c>
      <c r="BE18" t="str">
        <f ca="1"/>
        <v>Swamp</v>
      </c>
      <c r="BF18" t="str">
        <f ca="1"/>
        <v>Thran Temporal Gateway</v>
      </c>
      <c r="BG18" t="str">
        <f ca="1"/>
        <v>Vivid Marsh</v>
      </c>
      <c r="BH18" t="str">
        <f ca="1"/>
        <v>Medalhão de Bant</v>
      </c>
      <c r="BO18" t="str">
        <f ca="1"/>
        <v>Mind Stone</v>
      </c>
      <c r="BR18" t="str">
        <f ca="1"/>
        <v>Cut your Losses</v>
      </c>
      <c r="BS18" t="str">
        <f ca="1"/>
        <v>Ecological Appreciation</v>
      </c>
      <c r="BT18" t="str">
        <f ca="1"/>
        <v>Illusionist's Gambit</v>
      </c>
      <c r="BU18" t="str">
        <f ca="1"/>
        <v>Island</v>
      </c>
      <c r="BV18" t="str">
        <f ca="1"/>
        <v>Praia Inundada</v>
      </c>
      <c r="BW18" t="str">
        <f ca="1"/>
        <v>Reclamation Sage</v>
      </c>
      <c r="BY18" t="str">
        <f ca="1"/>
        <v>Mind Stone</v>
      </c>
      <c r="CA18" t="str">
        <f ca="1"/>
        <v>Callous Bloodmage</v>
      </c>
      <c r="CB18" t="str">
        <f ca="1"/>
        <v>Despedaçamento Temporal de Jarn</v>
      </c>
      <c r="CC18" t="str">
        <f ca="1"/>
        <v>Island</v>
      </c>
      <c r="CD18" t="str">
        <f ca="1"/>
        <v>Fúria de Kazuul</v>
      </c>
      <c r="CF18" t="str">
        <f ca="1"/>
        <v>Beast Within</v>
      </c>
      <c r="CG18" t="str">
        <f ca="1"/>
        <v>Divine Visitation</v>
      </c>
      <c r="CI18" t="str">
        <f ca="1"/>
        <v>Ascendência Jeskai</v>
      </c>
    </row>
    <row r="19" spans="1:87" x14ac:dyDescent="0.25">
      <c r="A19" t="str">
        <f ca="1"/>
        <v>Arid Mesa</v>
      </c>
      <c r="B19" s="3" t="str" cm="1">
        <f t="array" aca="1" ref="B19" ca="1">_xlfn.ANCHORARRAY(RESUMO!C18)</f>
        <v>VialIshai</v>
      </c>
      <c r="C19" s="3" t="str">
        <f t="shared" ca="1" si="0"/>
        <v/>
      </c>
      <c r="E19" t="str">
        <f ca="1"/>
        <v>Ascendência Nobre</v>
      </c>
      <c r="F19" s="3">
        <f t="shared" ca="1" si="1"/>
        <v>1</v>
      </c>
      <c r="G19" s="3" t="str">
        <f t="shared" ca="1" si="2"/>
        <v>Tayam</v>
      </c>
      <c r="M19" t="str">
        <f ca="1"/>
        <v>Ascendência Nobre</v>
      </c>
      <c r="N19" s="3">
        <f t="shared" ca="1" si="3"/>
        <v>1</v>
      </c>
      <c r="O19" s="3" t="str">
        <f ca="1">IFERROR(
 INDEX($T$2:$AW$2,
  MATCH(TRUE,
   CHOOSE({1;2;3;4;5;6;7;8;9;10;11;12;13;14;15;16;17;18;19;20;21;22;23;24;25;26;27;28;29;30;31;32},
    COUNTIFS($T$3:$T$201,$M19)&gt;0,
    COUNTIFS($U$3:$U$201,$M19)&gt;0,
    COUNTIFS($V$3:$V$201,$M19)&gt;0,
    COUNTIFS($W$3:$W$201,$M19)&gt;0,
    COUNTIFS($X$3:$X$201,$M19)&gt;0,
    COUNTIFS($Y$3:$Y$201,$M19)&gt;0,
    COUNTIFS($Z$3:$Z$201,$M19)&gt;0,
    COUNTIFS($AA$3:$AA$201,$M19)&gt;0,
    COUNTIFS($AB$3:$AB$201,$M19)&gt;0,
    COUNTIFS($AC$3:$AC$201,$M19)&gt;0,
    COUNTIFS($AD$3:$AD$201,$M19)&gt;0,
    COUNTIFS($AE$3:$AE$201,$M19)&gt;0,
    COUNTIFS($AF$3:$AF$201,$M19)&gt;0,
    COUNTIFS($AG$3:$AG$201,$M19)&gt;0,
    COUNTIFS($AH$3:$AH$201,$M19)&gt;0,
    COUNTIFS($AI$3:$AI$201,$M19)&gt;0,
    COUNTIFS($AJ$3:$AJ$201,$M19)&gt;0,
    COUNTIFS($AK$3:$AK$201,$M19)&gt;0,
    COUNTIFS($AL$3:$AL$201,$M19)&gt;0,
    COUNTIFS($AM$3:$AM$201,$M19)&gt;0,
    COUNTIFS($AN$3:$AN$201,$M19)&gt;0,
    COUNTIFS($AO$3:$AO$201,$M19)&gt;0,
    COUNTIFS($AP$3:$AP$201,$M19)&gt;0,
    COUNTIFS($AQ$3:$AQ$201,$M19)&gt;0,
    COUNTIFS($AR$3:$AR$201,$M19)&gt;0,
    COUNTIFS($AS$3:$AS$201,$M19)&gt;0,
    COUNTIFS($AT$3:$AT$201,$M19)&gt;0,
    COUNTIFS($AU$3:$AU$201,$M19)&gt;0,
    COUNTIFS($AV$3:$AV$201,$M19)&gt;0,
    COUNTIFS($AW$3:$AW$201,$M19)&gt;0
   ),
  0)
 ),
"")</f>
        <v>Tayam</v>
      </c>
      <c r="P19" s="3" t="str" cm="1">
        <f t="array" aca="1" ref="P19" ca="1">IFERROR(
 INDEX(
  _xlfn._xlws.FILTER($T$2:$AW$2,
   TRANSPOSE(
    CHOOSE({1;2;3;4;5;6;7;8;9;10;11;12;13;14;15;16;17;18;19;20;21;22;23;24;25;26;27;28;29;30},
     COUNTIFS($T$3:$T$201,$M19)&gt;0,
     COUNTIFS($U$3:$U$201,$M19)&gt;0,
     COUNTIFS($V$3:$V$201,$M19)&gt;0,
     COUNTIFS($W$3:$W$201,$M19)&gt;0,
     COUNTIFS($X$3:$X$201,$M19)&gt;0,
     COUNTIFS($Y$3:$Y$201,$M19)&gt;0,
     COUNTIFS($Z$3:$Z$201,$M19)&gt;0,
     COUNTIFS($AA$3:$AA$201,$M19)&gt;0,
     COUNTIFS($AB$3:$AB$201,$M19)&gt;0,
     COUNTIFS($AC$3:$AC$201,$M19)&gt;0,
     COUNTIFS($AD$3:$AD$201,$M19)&gt;0,
     COUNTIFS($AE$3:$AE$201,$M19)&gt;0,
     COUNTIFS($AF$3:$AF$201,$M19)&gt;0,
     COUNTIFS($AG$3:$AG$201,$M19)&gt;0,
     COUNTIFS($AH$3:$AH$201,$M19)&gt;0,
     COUNTIFS($AI$3:$AI$201,$M19)&gt;0,
     COUNTIFS($AJ$3:$AJ$201,$M19)&gt;0,
     COUNTIFS($AK$3:$AK$201,$M19)&gt;0,
     COUNTIFS($AL$3:$AL$201,$M19)&gt;0,
     COUNTIFS($AM$3:$AM$201,$M19)&gt;0,
     COUNTIFS($AN$3:$AN$201,$M19)&gt;0,
     COUNTIFS($AO$3:$AO$201,$M19)&gt;0,
     COUNTIFS($AP$3:$AP$201,$M19)&gt;0,
     COUNTIFS($AQ$3:$AQ$201,$M19)&gt;0,
     COUNTIFS($AR$3:$AR$201,$M19)&gt;0,
     COUNTIFS($AS$3:$AS$201,$M19)&gt;0,
     COUNTIFS($AT$3:$AT$201,$M19)&gt;0,
     COUNTIFS($AU$3:$AU$201,$M19)&gt;0,
     COUNTIFS($AV$3:$AV$201,$M19)&gt;0,
     COUNTIFS($AW$3:$AW$201,$M19)&gt;0
   )),
  ),
  2
 ),
"")</f>
        <v/>
      </c>
      <c r="Q19" s="3" t="str" cm="1">
        <f t="array" aca="1" ref="Q19" ca="1">IFERROR(
 INDEX(
  _xlfn._xlws.FILTER($T$2:$AW$2,
   TRANSPOSE(
    CHOOSE({1;2;3;4;5;6;7;8;9;10;11;12;13;14;15;16;17;18;19;20;21;22;23;24;25;26;27;28;29;30},
     COUNTIFS($T$3:$T$201,$M19)&gt;0,
     COUNTIFS($U$3:$U$201,$M19)&gt;0,
     COUNTIFS($V$3:$V$201,$M19)&gt;0,
     COUNTIFS($W$3:$W$201,$M19)&gt;0,
     COUNTIFS($X$3:$X$201,$M19)&gt;0,
     COUNTIFS($Y$3:$Y$201,$M19)&gt;0,
     COUNTIFS($Z$3:$Z$201,$M19)&gt;0,
     COUNTIFS($AA$3:$AA$201,$M19)&gt;0,
     COUNTIFS($AB$3:$AB$201,$M19)&gt;0,
     COUNTIFS($AC$3:$AC$201,$M19)&gt;0,
     COUNTIFS($AD$3:$AD$201,$M19)&gt;0,
     COUNTIFS($AE$3:$AE$201,$M19)&gt;0,
     COUNTIFS($AF$3:$AF$201,$M19)&gt;0,
     COUNTIFS($AG$3:$AG$201,$M19)&gt;0,
     COUNTIFS($AH$3:$AH$201,$M19)&gt;0,
     COUNTIFS($AI$3:$AI$201,$M19)&gt;0,
     COUNTIFS($AJ$3:$AJ$201,$M19)&gt;0,
     COUNTIFS($AK$3:$AK$201,$M19)&gt;0,
     COUNTIFS($AL$3:$AL$201,$M19)&gt;0,
     COUNTIFS($AM$3:$AM$201,$M19)&gt;0,
     COUNTIFS($AN$3:$AN$201,$M19)&gt;0,
     COUNTIFS($AO$3:$AO$201,$M19)&gt;0,
     COUNTIFS($AP$3:$AP$201,$M19)&gt;0,
     COUNTIFS($AQ$3:$AQ$201,$M19)&gt;0,
     COUNTIFS($AR$3:$AR$201,$M19)&gt;0,
     COUNTIFS($AS$3:$AS$201,$M19)&gt;0,
     COUNTIFS($AT$3:$AT$201,$M19)&gt;0,
     COUNTIFS($AU$3:$AU$201,$M19)&gt;0,
     COUNTIFS($AV$3:$AV$201,$M19)&gt;0,
     COUNTIFS($AW$3:$AW$201,$M19)&gt;0
   )),
  ),
  3
 ),
"")</f>
        <v/>
      </c>
      <c r="R19" s="3" t="str" cm="1">
        <f t="array" aca="1" ref="R19" ca="1">IFERROR(
 INDEX(
  _xlfn._xlws.FILTER($T$2:$AW$2,
   TRANSPOSE(
    CHOOSE({1;2;3;4;5;6;7;8;9;10;11;12;13;14;15;16;17;18;19;20;21;22;23;24;25;26;27;28;29;30},
     COUNTIFS($T$3:$T$201,$M19)&gt;0,
     COUNTIFS($U$3:$U$201,$M19)&gt;0,
     COUNTIFS($V$3:$V$201,$M19)&gt;0,
     COUNTIFS($W$3:$W$201,$M19)&gt;0,
     COUNTIFS($X$3:$X$201,$M19)&gt;0,
     COUNTIFS($Y$3:$Y$201,$M19)&gt;0,
     COUNTIFS($Z$3:$Z$201,$M19)&gt;0,
     COUNTIFS($AA$3:$AA$201,$M19)&gt;0,
     COUNTIFS($AB$3:$AB$201,$M19)&gt;0,
     COUNTIFS($AC$3:$AC$201,$M19)&gt;0,
     COUNTIFS($AD$3:$AD$201,$M19)&gt;0,
     COUNTIFS($AE$3:$AE$201,$M19)&gt;0,
     COUNTIFS($AF$3:$AF$201,$M19)&gt;0,
     COUNTIFS($AG$3:$AG$201,$M19)&gt;0,
     COUNTIFS($AH$3:$AH$201,$M19)&gt;0,
     COUNTIFS($AI$3:$AI$201,$M19)&gt;0,
     COUNTIFS($AJ$3:$AJ$201,$M19)&gt;0,
     COUNTIFS($AK$3:$AK$201,$M19)&gt;0,
     COUNTIFS($AL$3:$AL$201,$M19)&gt;0,
     COUNTIFS($AM$3:$AM$201,$M19)&gt;0,
     COUNTIFS($AN$3:$AN$201,$M19)&gt;0,
     COUNTIFS($AO$3:$AO$201,$M19)&gt;0,
     COUNTIFS($AP$3:$AP$201,$M19)&gt;0,
     COUNTIFS($AQ$3:$AQ$201,$M19)&gt;0,
     COUNTIFS($AR$3:$AR$201,$M19)&gt;0,
     COUNTIFS($AS$3:$AS$201,$M19)&gt;0,
     COUNTIFS($AT$3:$AT$201,$M19)&gt;0,
     COUNTIFS($AU$3:$AU$201,$M19)&gt;0,
     COUNTIFS($AV$3:$AV$201,$M19)&gt;0,
     COUNTIFS($AW$3:$AW$201,$M19)&gt;0
   )),
  ),
  4
 ),
"")</f>
        <v/>
      </c>
      <c r="T19" t="str">
        <v>Swamp</v>
      </c>
      <c r="U19" t="str">
        <v>Panorama de Naya</v>
      </c>
      <c r="V19" t="str">
        <v>Plains</v>
      </c>
      <c r="W19" t="str">
        <v>Oversold Cemetery</v>
      </c>
      <c r="Y19" t="str">
        <v>Rite of the Raging Storm</v>
      </c>
      <c r="Z19" t="str">
        <v>Repudiar // Replicar</v>
      </c>
      <c r="AW19" t="str">
        <v>Rampant Grow</v>
      </c>
      <c r="BA19" t="str">
        <f ca="1"/>
        <v>Investigação Minuciosa</v>
      </c>
      <c r="BB19" t="str">
        <f ca="1"/>
        <v>Invasão da Horda Medonha</v>
      </c>
      <c r="BC19" t="str">
        <f ca="1"/>
        <v>Island</v>
      </c>
      <c r="BD19" t="str">
        <f ca="1"/>
        <v>Island</v>
      </c>
      <c r="BE19" t="str">
        <f ca="1"/>
        <v>Transformações Divergentes</v>
      </c>
      <c r="BF19" t="str">
        <f ca="1"/>
        <v>Urna de Mosco-lumes</v>
      </c>
      <c r="BG19" t="str">
        <f ca="1"/>
        <v>Whelming Wave</v>
      </c>
      <c r="BH19" t="str">
        <f ca="1"/>
        <v>Nicol Bolas, Dragon-God</v>
      </c>
      <c r="BO19" t="str">
        <f ca="1"/>
        <v>Rampant Grow</v>
      </c>
      <c r="BR19" t="str">
        <f ca="1"/>
        <v>Dire Fleet Poisoner</v>
      </c>
      <c r="BS19" t="str">
        <f ca="1"/>
        <v>Elrond, Lord of Rivendell</v>
      </c>
      <c r="BT19" t="str">
        <f ca="1"/>
        <v>Island</v>
      </c>
      <c r="BU19" t="str">
        <f ca="1"/>
        <v>Kasmina, Enigma Sage</v>
      </c>
      <c r="BV19" t="str">
        <f ca="1"/>
        <v>Prismatic Lens</v>
      </c>
      <c r="BW19" t="str">
        <f ca="1"/>
        <v>Saheeli, Filigree Master</v>
      </c>
      <c r="BY19" t="str">
        <f ca="1"/>
        <v>Rampant Grow</v>
      </c>
      <c r="CA19" t="str">
        <f ca="1"/>
        <v>Ceifador da Meia-Noite</v>
      </c>
      <c r="CB19" t="str">
        <f ca="1"/>
        <v>Dissipation Field</v>
      </c>
      <c r="CC19" t="str">
        <f ca="1"/>
        <v>Jarad's Orders</v>
      </c>
      <c r="CD19" t="str">
        <f ca="1"/>
        <v>Ganso Dourado</v>
      </c>
      <c r="CF19" t="str">
        <f ca="1"/>
        <v>Bolsa de Nobre</v>
      </c>
      <c r="CG19" t="str">
        <f ca="1"/>
        <v>Elas il-Kor, Sadistic Pilgrim</v>
      </c>
      <c r="CI19" t="str">
        <f ca="1"/>
        <v>Ascendência Nobre</v>
      </c>
    </row>
    <row r="20" spans="1:87" x14ac:dyDescent="0.25">
      <c r="A20" t="str">
        <f ca="1"/>
        <v>Artifact Mutation</v>
      </c>
      <c r="B20" s="3" t="str" cm="1">
        <f t="array" aca="1" ref="B20" ca="1">_xlfn.ANCHORARRAY(RESUMO!C19)</f>
        <v>Baylen</v>
      </c>
      <c r="C20" s="3" t="str">
        <f t="shared" ca="1" si="0"/>
        <v/>
      </c>
      <c r="E20" t="str">
        <f ca="1"/>
        <v>Augúrio do Sol</v>
      </c>
      <c r="F20" s="3">
        <f t="shared" ca="1" si="1"/>
        <v>1</v>
      </c>
      <c r="G20" s="3" t="str">
        <f t="shared" ca="1" si="2"/>
        <v>Baylen</v>
      </c>
      <c r="M20" t="str">
        <f ca="1"/>
        <v>Augúrio do Sol</v>
      </c>
      <c r="N20" s="3">
        <f t="shared" ca="1" si="3"/>
        <v>1</v>
      </c>
      <c r="O20" s="3" t="str">
        <f ca="1">IFERROR(
 INDEX($T$2:$AW$2,
  MATCH(TRUE,
   CHOOSE({1;2;3;4;5;6;7;8;9;10;11;12;13;14;15;16;17;18;19;20;21;22;23;24;25;26;27;28;29;30;31;32},
    COUNTIFS($T$3:$T$201,$M20)&gt;0,
    COUNTIFS($U$3:$U$201,$M20)&gt;0,
    COUNTIFS($V$3:$V$201,$M20)&gt;0,
    COUNTIFS($W$3:$W$201,$M20)&gt;0,
    COUNTIFS($X$3:$X$201,$M20)&gt;0,
    COUNTIFS($Y$3:$Y$201,$M20)&gt;0,
    COUNTIFS($Z$3:$Z$201,$M20)&gt;0,
    COUNTIFS($AA$3:$AA$201,$M20)&gt;0,
    COUNTIFS($AB$3:$AB$201,$M20)&gt;0,
    COUNTIFS($AC$3:$AC$201,$M20)&gt;0,
    COUNTIFS($AD$3:$AD$201,$M20)&gt;0,
    COUNTIFS($AE$3:$AE$201,$M20)&gt;0,
    COUNTIFS($AF$3:$AF$201,$M20)&gt;0,
    COUNTIFS($AG$3:$AG$201,$M20)&gt;0,
    COUNTIFS($AH$3:$AH$201,$M20)&gt;0,
    COUNTIFS($AI$3:$AI$201,$M20)&gt;0,
    COUNTIFS($AJ$3:$AJ$201,$M20)&gt;0,
    COUNTIFS($AK$3:$AK$201,$M20)&gt;0,
    COUNTIFS($AL$3:$AL$201,$M20)&gt;0,
    COUNTIFS($AM$3:$AM$201,$M20)&gt;0,
    COUNTIFS($AN$3:$AN$201,$M20)&gt;0,
    COUNTIFS($AO$3:$AO$201,$M20)&gt;0,
    COUNTIFS($AP$3:$AP$201,$M20)&gt;0,
    COUNTIFS($AQ$3:$AQ$201,$M20)&gt;0,
    COUNTIFS($AR$3:$AR$201,$M20)&gt;0,
    COUNTIFS($AS$3:$AS$201,$M20)&gt;0,
    COUNTIFS($AT$3:$AT$201,$M20)&gt;0,
    COUNTIFS($AU$3:$AU$201,$M20)&gt;0,
    COUNTIFS($AV$3:$AV$201,$M20)&gt;0,
    COUNTIFS($AW$3:$AW$201,$M20)&gt;0
   ),
  0)
 ),
"")</f>
        <v>Baylen</v>
      </c>
      <c r="P20" s="3" t="str" cm="1">
        <f t="array" aca="1" ref="P20" ca="1">IFERROR(
 INDEX(
  _xlfn._xlws.FILTER($T$2:$AW$2,
   TRANSPOSE(
    CHOOSE({1;2;3;4;5;6;7;8;9;10;11;12;13;14;15;16;17;18;19;20;21;22;23;24;25;26;27;28;29;30},
     COUNTIFS($T$3:$T$201,$M20)&gt;0,
     COUNTIFS($U$3:$U$201,$M20)&gt;0,
     COUNTIFS($V$3:$V$201,$M20)&gt;0,
     COUNTIFS($W$3:$W$201,$M20)&gt;0,
     COUNTIFS($X$3:$X$201,$M20)&gt;0,
     COUNTIFS($Y$3:$Y$201,$M20)&gt;0,
     COUNTIFS($Z$3:$Z$201,$M20)&gt;0,
     COUNTIFS($AA$3:$AA$201,$M20)&gt;0,
     COUNTIFS($AB$3:$AB$201,$M20)&gt;0,
     COUNTIFS($AC$3:$AC$201,$M20)&gt;0,
     COUNTIFS($AD$3:$AD$201,$M20)&gt;0,
     COUNTIFS($AE$3:$AE$201,$M20)&gt;0,
     COUNTIFS($AF$3:$AF$201,$M20)&gt;0,
     COUNTIFS($AG$3:$AG$201,$M20)&gt;0,
     COUNTIFS($AH$3:$AH$201,$M20)&gt;0,
     COUNTIFS($AI$3:$AI$201,$M20)&gt;0,
     COUNTIFS($AJ$3:$AJ$201,$M20)&gt;0,
     COUNTIFS($AK$3:$AK$201,$M20)&gt;0,
     COUNTIFS($AL$3:$AL$201,$M20)&gt;0,
     COUNTIFS($AM$3:$AM$201,$M20)&gt;0,
     COUNTIFS($AN$3:$AN$201,$M20)&gt;0,
     COUNTIFS($AO$3:$AO$201,$M20)&gt;0,
     COUNTIFS($AP$3:$AP$201,$M20)&gt;0,
     COUNTIFS($AQ$3:$AQ$201,$M20)&gt;0,
     COUNTIFS($AR$3:$AR$201,$M20)&gt;0,
     COUNTIFS($AS$3:$AS$201,$M20)&gt;0,
     COUNTIFS($AT$3:$AT$201,$M20)&gt;0,
     COUNTIFS($AU$3:$AU$201,$M20)&gt;0,
     COUNTIFS($AV$3:$AV$201,$M20)&gt;0,
     COUNTIFS($AW$3:$AW$201,$M20)&gt;0
   )),
  ),
  2
 ),
"")</f>
        <v/>
      </c>
      <c r="Q20" s="3" t="str" cm="1">
        <f t="array" aca="1" ref="Q20" ca="1">IFERROR(
 INDEX(
  _xlfn._xlws.FILTER($T$2:$AW$2,
   TRANSPOSE(
    CHOOSE({1;2;3;4;5;6;7;8;9;10;11;12;13;14;15;16;17;18;19;20;21;22;23;24;25;26;27;28;29;30},
     COUNTIFS($T$3:$T$201,$M20)&gt;0,
     COUNTIFS($U$3:$U$201,$M20)&gt;0,
     COUNTIFS($V$3:$V$201,$M20)&gt;0,
     COUNTIFS($W$3:$W$201,$M20)&gt;0,
     COUNTIFS($X$3:$X$201,$M20)&gt;0,
     COUNTIFS($Y$3:$Y$201,$M20)&gt;0,
     COUNTIFS($Z$3:$Z$201,$M20)&gt;0,
     COUNTIFS($AA$3:$AA$201,$M20)&gt;0,
     COUNTIFS($AB$3:$AB$201,$M20)&gt;0,
     COUNTIFS($AC$3:$AC$201,$M20)&gt;0,
     COUNTIFS($AD$3:$AD$201,$M20)&gt;0,
     COUNTIFS($AE$3:$AE$201,$M20)&gt;0,
     COUNTIFS($AF$3:$AF$201,$M20)&gt;0,
     COUNTIFS($AG$3:$AG$201,$M20)&gt;0,
     COUNTIFS($AH$3:$AH$201,$M20)&gt;0,
     COUNTIFS($AI$3:$AI$201,$M20)&gt;0,
     COUNTIFS($AJ$3:$AJ$201,$M20)&gt;0,
     COUNTIFS($AK$3:$AK$201,$M20)&gt;0,
     COUNTIFS($AL$3:$AL$201,$M20)&gt;0,
     COUNTIFS($AM$3:$AM$201,$M20)&gt;0,
     COUNTIFS($AN$3:$AN$201,$M20)&gt;0,
     COUNTIFS($AO$3:$AO$201,$M20)&gt;0,
     COUNTIFS($AP$3:$AP$201,$M20)&gt;0,
     COUNTIFS($AQ$3:$AQ$201,$M20)&gt;0,
     COUNTIFS($AR$3:$AR$201,$M20)&gt;0,
     COUNTIFS($AS$3:$AS$201,$M20)&gt;0,
     COUNTIFS($AT$3:$AT$201,$M20)&gt;0,
     COUNTIFS($AU$3:$AU$201,$M20)&gt;0,
     COUNTIFS($AV$3:$AV$201,$M20)&gt;0,
     COUNTIFS($AW$3:$AW$201,$M20)&gt;0
   )),
  ),
  3
 ),
"")</f>
        <v/>
      </c>
      <c r="R20" s="3" t="str" cm="1">
        <f t="array" aca="1" ref="R20" ca="1">IFERROR(
 INDEX(
  _xlfn._xlws.FILTER($T$2:$AW$2,
   TRANSPOSE(
    CHOOSE({1;2;3;4;5;6;7;8;9;10;11;12;13;14;15;16;17;18;19;20;21;22;23;24;25;26;27;28;29;30},
     COUNTIFS($T$3:$T$201,$M20)&gt;0,
     COUNTIFS($U$3:$U$201,$M20)&gt;0,
     COUNTIFS($V$3:$V$201,$M20)&gt;0,
     COUNTIFS($W$3:$W$201,$M20)&gt;0,
     COUNTIFS($X$3:$X$201,$M20)&gt;0,
     COUNTIFS($Y$3:$Y$201,$M20)&gt;0,
     COUNTIFS($Z$3:$Z$201,$M20)&gt;0,
     COUNTIFS($AA$3:$AA$201,$M20)&gt;0,
     COUNTIFS($AB$3:$AB$201,$M20)&gt;0,
     COUNTIFS($AC$3:$AC$201,$M20)&gt;0,
     COUNTIFS($AD$3:$AD$201,$M20)&gt;0,
     COUNTIFS($AE$3:$AE$201,$M20)&gt;0,
     COUNTIFS($AF$3:$AF$201,$M20)&gt;0,
     COUNTIFS($AG$3:$AG$201,$M20)&gt;0,
     COUNTIFS($AH$3:$AH$201,$M20)&gt;0,
     COUNTIFS($AI$3:$AI$201,$M20)&gt;0,
     COUNTIFS($AJ$3:$AJ$201,$M20)&gt;0,
     COUNTIFS($AK$3:$AK$201,$M20)&gt;0,
     COUNTIFS($AL$3:$AL$201,$M20)&gt;0,
     COUNTIFS($AM$3:$AM$201,$M20)&gt;0,
     COUNTIFS($AN$3:$AN$201,$M20)&gt;0,
     COUNTIFS($AO$3:$AO$201,$M20)&gt;0,
     COUNTIFS($AP$3:$AP$201,$M20)&gt;0,
     COUNTIFS($AQ$3:$AQ$201,$M20)&gt;0,
     COUNTIFS($AR$3:$AR$201,$M20)&gt;0,
     COUNTIFS($AS$3:$AS$201,$M20)&gt;0,
     COUNTIFS($AT$3:$AT$201,$M20)&gt;0,
     COUNTIFS($AU$3:$AU$201,$M20)&gt;0,
     COUNTIFS($AV$3:$AV$201,$M20)&gt;0,
     COUNTIFS($AW$3:$AW$201,$M20)&gt;0
   )),
  ),
  4
 ),
"")</f>
        <v/>
      </c>
      <c r="U20" t="str">
        <v>Plains</v>
      </c>
      <c r="V20" t="str">
        <v>Plains</v>
      </c>
      <c r="W20" t="str">
        <v>Plaguecrafter</v>
      </c>
      <c r="Y20" t="str">
        <v>Sontaran General</v>
      </c>
      <c r="Z20" t="str">
        <v>Retorno a Natureza</v>
      </c>
      <c r="AW20" t="str">
        <v>Retreat to Kazandu</v>
      </c>
      <c r="BA20" t="str">
        <f ca="1"/>
        <v>Island</v>
      </c>
      <c r="BB20" t="str">
        <f ca="1"/>
        <v>Island</v>
      </c>
      <c r="BC20" t="str">
        <f ca="1"/>
        <v>Japaland</v>
      </c>
      <c r="BD20" t="str">
        <f ca="1"/>
        <v>Lonis, Cryptozoologist</v>
      </c>
      <c r="BE20" t="str">
        <f ca="1"/>
        <v>Wall of Roots</v>
      </c>
      <c r="BF20" t="str">
        <f ca="1"/>
        <v>Worn Powerstone</v>
      </c>
      <c r="BH20" t="str">
        <f ca="1"/>
        <v>O Ancião Renascido</v>
      </c>
      <c r="BO20" t="str">
        <f ca="1"/>
        <v>Retreat to Kazandu</v>
      </c>
      <c r="BR20" t="str">
        <f ca="1"/>
        <v>Discipulo do Demônio</v>
      </c>
      <c r="BS20" t="str">
        <f ca="1"/>
        <v>Encontro de Mentes</v>
      </c>
      <c r="BT20" t="str">
        <f ca="1"/>
        <v>Kraken do Mar Profundo</v>
      </c>
      <c r="BU20" t="str">
        <f ca="1"/>
        <v>Kusari-Gama</v>
      </c>
      <c r="BV20" t="str">
        <f ca="1"/>
        <v>Sacred Foundry</v>
      </c>
      <c r="BW20" t="str">
        <f ca="1"/>
        <v>Savage Twister</v>
      </c>
      <c r="BY20" t="str">
        <f ca="1"/>
        <v>Retreat to Kazandu</v>
      </c>
      <c r="CA20" t="str">
        <f ca="1"/>
        <v>Cervo Brunido</v>
      </c>
      <c r="CB20" t="str">
        <f ca="1"/>
        <v>Drowned Catacomb</v>
      </c>
      <c r="CC20" t="str">
        <f ca="1"/>
        <v>Jungle Shrine</v>
      </c>
      <c r="CD20" t="str">
        <f ca="1"/>
        <v>Grumgully, o Generoso</v>
      </c>
      <c r="CF20" t="str">
        <f ca="1"/>
        <v>Botas do Desbravador</v>
      </c>
      <c r="CG20" t="str">
        <f ca="1"/>
        <v>Elves of Deep Shadow</v>
      </c>
      <c r="CI20" t="str">
        <f ca="1"/>
        <v>Augúrio do Sol</v>
      </c>
    </row>
    <row r="21" spans="1:87" x14ac:dyDescent="0.25">
      <c r="A21" t="str">
        <f ca="1"/>
        <v>Arwen, Weaver of Hope</v>
      </c>
      <c r="B21" s="3" t="str" cm="1">
        <f t="array" aca="1" ref="B21" ca="1">_xlfn.ANCHORARRAY(RESUMO!C20)</f>
        <v>Tayam</v>
      </c>
      <c r="C21" s="3" t="str">
        <f t="shared" ca="1" si="0"/>
        <v/>
      </c>
      <c r="E21" t="str">
        <f ca="1"/>
        <v>Barreira Angelical</v>
      </c>
      <c r="F21" s="3">
        <f t="shared" ca="1" si="1"/>
        <v>1</v>
      </c>
      <c r="G21" s="3" t="str">
        <f t="shared" ca="1" si="2"/>
        <v>Arcades</v>
      </c>
      <c r="M21" t="str">
        <f ca="1"/>
        <v>Barreira Angelical</v>
      </c>
      <c r="N21" s="3">
        <f t="shared" ca="1" si="3"/>
        <v>1</v>
      </c>
      <c r="O21" s="3" t="str">
        <f ca="1">IFERROR(
 INDEX($T$2:$AW$2,
  MATCH(TRUE,
   CHOOSE({1;2;3;4;5;6;7;8;9;10;11;12;13;14;15;16;17;18;19;20;21;22;23;24;25;26;27;28;29;30;31;32},
    COUNTIFS($T$3:$T$201,$M21)&gt;0,
    COUNTIFS($U$3:$U$201,$M21)&gt;0,
    COUNTIFS($V$3:$V$201,$M21)&gt;0,
    COUNTIFS($W$3:$W$201,$M21)&gt;0,
    COUNTIFS($X$3:$X$201,$M21)&gt;0,
    COUNTIFS($Y$3:$Y$201,$M21)&gt;0,
    COUNTIFS($Z$3:$Z$201,$M21)&gt;0,
    COUNTIFS($AA$3:$AA$201,$M21)&gt;0,
    COUNTIFS($AB$3:$AB$201,$M21)&gt;0,
    COUNTIFS($AC$3:$AC$201,$M21)&gt;0,
    COUNTIFS($AD$3:$AD$201,$M21)&gt;0,
    COUNTIFS($AE$3:$AE$201,$M21)&gt;0,
    COUNTIFS($AF$3:$AF$201,$M21)&gt;0,
    COUNTIFS($AG$3:$AG$201,$M21)&gt;0,
    COUNTIFS($AH$3:$AH$201,$M21)&gt;0,
    COUNTIFS($AI$3:$AI$201,$M21)&gt;0,
    COUNTIFS($AJ$3:$AJ$201,$M21)&gt;0,
    COUNTIFS($AK$3:$AK$201,$M21)&gt;0,
    COUNTIFS($AL$3:$AL$201,$M21)&gt;0,
    COUNTIFS($AM$3:$AM$201,$M21)&gt;0,
    COUNTIFS($AN$3:$AN$201,$M21)&gt;0,
    COUNTIFS($AO$3:$AO$201,$M21)&gt;0,
    COUNTIFS($AP$3:$AP$201,$M21)&gt;0,
    COUNTIFS($AQ$3:$AQ$201,$M21)&gt;0,
    COUNTIFS($AR$3:$AR$201,$M21)&gt;0,
    COUNTIFS($AS$3:$AS$201,$M21)&gt;0,
    COUNTIFS($AT$3:$AT$201,$M21)&gt;0,
    COUNTIFS($AU$3:$AU$201,$M21)&gt;0,
    COUNTIFS($AV$3:$AV$201,$M21)&gt;0,
    COUNTIFS($AW$3:$AW$201,$M21)&gt;0
   ),
  0)
 ),
"")</f>
        <v>Arcades</v>
      </c>
      <c r="P21" s="3" t="str" cm="1">
        <f t="array" aca="1" ref="P21" ca="1">IFERROR(
 INDEX(
  _xlfn._xlws.FILTER($T$2:$AW$2,
   TRANSPOSE(
    CHOOSE({1;2;3;4;5;6;7;8;9;10;11;12;13;14;15;16;17;18;19;20;21;22;23;24;25;26;27;28;29;30},
     COUNTIFS($T$3:$T$201,$M21)&gt;0,
     COUNTIFS($U$3:$U$201,$M21)&gt;0,
     COUNTIFS($V$3:$V$201,$M21)&gt;0,
     COUNTIFS($W$3:$W$201,$M21)&gt;0,
     COUNTIFS($X$3:$X$201,$M21)&gt;0,
     COUNTIFS($Y$3:$Y$201,$M21)&gt;0,
     COUNTIFS($Z$3:$Z$201,$M21)&gt;0,
     COUNTIFS($AA$3:$AA$201,$M21)&gt;0,
     COUNTIFS($AB$3:$AB$201,$M21)&gt;0,
     COUNTIFS($AC$3:$AC$201,$M21)&gt;0,
     COUNTIFS($AD$3:$AD$201,$M21)&gt;0,
     COUNTIFS($AE$3:$AE$201,$M21)&gt;0,
     COUNTIFS($AF$3:$AF$201,$M21)&gt;0,
     COUNTIFS($AG$3:$AG$201,$M21)&gt;0,
     COUNTIFS($AH$3:$AH$201,$M21)&gt;0,
     COUNTIFS($AI$3:$AI$201,$M21)&gt;0,
     COUNTIFS($AJ$3:$AJ$201,$M21)&gt;0,
     COUNTIFS($AK$3:$AK$201,$M21)&gt;0,
     COUNTIFS($AL$3:$AL$201,$M21)&gt;0,
     COUNTIFS($AM$3:$AM$201,$M21)&gt;0,
     COUNTIFS($AN$3:$AN$201,$M21)&gt;0,
     COUNTIFS($AO$3:$AO$201,$M21)&gt;0,
     COUNTIFS($AP$3:$AP$201,$M21)&gt;0,
     COUNTIFS($AQ$3:$AQ$201,$M21)&gt;0,
     COUNTIFS($AR$3:$AR$201,$M21)&gt;0,
     COUNTIFS($AS$3:$AS$201,$M21)&gt;0,
     COUNTIFS($AT$3:$AT$201,$M21)&gt;0,
     COUNTIFS($AU$3:$AU$201,$M21)&gt;0,
     COUNTIFS($AV$3:$AV$201,$M21)&gt;0,
     COUNTIFS($AW$3:$AW$201,$M21)&gt;0
   )),
  ),
  2
 ),
"")</f>
        <v/>
      </c>
      <c r="Q21" s="3" t="str" cm="1">
        <f t="array" aca="1" ref="Q21" ca="1">IFERROR(
 INDEX(
  _xlfn._xlws.FILTER($T$2:$AW$2,
   TRANSPOSE(
    CHOOSE({1;2;3;4;5;6;7;8;9;10;11;12;13;14;15;16;17;18;19;20;21;22;23;24;25;26;27;28;29;30},
     COUNTIFS($T$3:$T$201,$M21)&gt;0,
     COUNTIFS($U$3:$U$201,$M21)&gt;0,
     COUNTIFS($V$3:$V$201,$M21)&gt;0,
     COUNTIFS($W$3:$W$201,$M21)&gt;0,
     COUNTIFS($X$3:$X$201,$M21)&gt;0,
     COUNTIFS($Y$3:$Y$201,$M21)&gt;0,
     COUNTIFS($Z$3:$Z$201,$M21)&gt;0,
     COUNTIFS($AA$3:$AA$201,$M21)&gt;0,
     COUNTIFS($AB$3:$AB$201,$M21)&gt;0,
     COUNTIFS($AC$3:$AC$201,$M21)&gt;0,
     COUNTIFS($AD$3:$AD$201,$M21)&gt;0,
     COUNTIFS($AE$3:$AE$201,$M21)&gt;0,
     COUNTIFS($AF$3:$AF$201,$M21)&gt;0,
     COUNTIFS($AG$3:$AG$201,$M21)&gt;0,
     COUNTIFS($AH$3:$AH$201,$M21)&gt;0,
     COUNTIFS($AI$3:$AI$201,$M21)&gt;0,
     COUNTIFS($AJ$3:$AJ$201,$M21)&gt;0,
     COUNTIFS($AK$3:$AK$201,$M21)&gt;0,
     COUNTIFS($AL$3:$AL$201,$M21)&gt;0,
     COUNTIFS($AM$3:$AM$201,$M21)&gt;0,
     COUNTIFS($AN$3:$AN$201,$M21)&gt;0,
     COUNTIFS($AO$3:$AO$201,$M21)&gt;0,
     COUNTIFS($AP$3:$AP$201,$M21)&gt;0,
     COUNTIFS($AQ$3:$AQ$201,$M21)&gt;0,
     COUNTIFS($AR$3:$AR$201,$M21)&gt;0,
     COUNTIFS($AS$3:$AS$201,$M21)&gt;0,
     COUNTIFS($AT$3:$AT$201,$M21)&gt;0,
     COUNTIFS($AU$3:$AU$201,$M21)&gt;0,
     COUNTIFS($AV$3:$AV$201,$M21)&gt;0,
     COUNTIFS($AW$3:$AW$201,$M21)&gt;0
   )),
  ),
  3
 ),
"")</f>
        <v/>
      </c>
      <c r="R21" s="3" t="str" cm="1">
        <f t="array" aca="1" ref="R21" ca="1">IFERROR(
 INDEX(
  _xlfn._xlws.FILTER($T$2:$AW$2,
   TRANSPOSE(
    CHOOSE({1;2;3;4;5;6;7;8;9;10;11;12;13;14;15;16;17;18;19;20;21;22;23;24;25;26;27;28;29;30},
     COUNTIFS($T$3:$T$201,$M21)&gt;0,
     COUNTIFS($U$3:$U$201,$M21)&gt;0,
     COUNTIFS($V$3:$V$201,$M21)&gt;0,
     COUNTIFS($W$3:$W$201,$M21)&gt;0,
     COUNTIFS($X$3:$X$201,$M21)&gt;0,
     COUNTIFS($Y$3:$Y$201,$M21)&gt;0,
     COUNTIFS($Z$3:$Z$201,$M21)&gt;0,
     COUNTIFS($AA$3:$AA$201,$M21)&gt;0,
     COUNTIFS($AB$3:$AB$201,$M21)&gt;0,
     COUNTIFS($AC$3:$AC$201,$M21)&gt;0,
     COUNTIFS($AD$3:$AD$201,$M21)&gt;0,
     COUNTIFS($AE$3:$AE$201,$M21)&gt;0,
     COUNTIFS($AF$3:$AF$201,$M21)&gt;0,
     COUNTIFS($AG$3:$AG$201,$M21)&gt;0,
     COUNTIFS($AH$3:$AH$201,$M21)&gt;0,
     COUNTIFS($AI$3:$AI$201,$M21)&gt;0,
     COUNTIFS($AJ$3:$AJ$201,$M21)&gt;0,
     COUNTIFS($AK$3:$AK$201,$M21)&gt;0,
     COUNTIFS($AL$3:$AL$201,$M21)&gt;0,
     COUNTIFS($AM$3:$AM$201,$M21)&gt;0,
     COUNTIFS($AN$3:$AN$201,$M21)&gt;0,
     COUNTIFS($AO$3:$AO$201,$M21)&gt;0,
     COUNTIFS($AP$3:$AP$201,$M21)&gt;0,
     COUNTIFS($AQ$3:$AQ$201,$M21)&gt;0,
     COUNTIFS($AR$3:$AR$201,$M21)&gt;0,
     COUNTIFS($AS$3:$AS$201,$M21)&gt;0,
     COUNTIFS($AT$3:$AT$201,$M21)&gt;0,
     COUNTIFS($AU$3:$AU$201,$M21)&gt;0,
     COUNTIFS($AV$3:$AV$201,$M21)&gt;0,
     COUNTIFS($AW$3:$AW$201,$M21)&gt;0
   )),
  ),
  4
 ),
"")</f>
        <v/>
      </c>
      <c r="U21" t="str">
        <v>Presença de Gond</v>
      </c>
      <c r="V21" t="str">
        <v>Ponte Levadiça Esmagadora</v>
      </c>
      <c r="W21" t="str">
        <v>Ponte Musgomosto</v>
      </c>
      <c r="Y21" t="str">
        <v>Swamp</v>
      </c>
      <c r="Z21" t="str">
        <v>Scavenging Ooze</v>
      </c>
      <c r="AW21" t="str">
        <v>Rootbound Crag</v>
      </c>
      <c r="BA21" t="str">
        <f ca="1"/>
        <v>Medalhão de Naya</v>
      </c>
      <c r="BB21" t="str">
        <f ca="1"/>
        <v>Lanterna Fantasma</v>
      </c>
      <c r="BC21" t="str">
        <f ca="1"/>
        <v>Mestre de Cerimonias</v>
      </c>
      <c r="BD21" t="str">
        <f ca="1"/>
        <v>Mascara da Longevisão</v>
      </c>
      <c r="BH21" t="str">
        <f ca="1"/>
        <v>Seguro de Vida</v>
      </c>
      <c r="BO21" t="str">
        <f ca="1"/>
        <v>Rootbound Crag</v>
      </c>
      <c r="BR21" t="str">
        <f ca="1"/>
        <v>Emboscada de Khalni</v>
      </c>
      <c r="BS21" t="str">
        <f ca="1"/>
        <v>Escória Fundida</v>
      </c>
      <c r="BT21" t="str">
        <f ca="1"/>
        <v>Leviatã da Tormenta Marinha</v>
      </c>
      <c r="BU21" t="str">
        <f ca="1"/>
        <v>Lizard Blades</v>
      </c>
      <c r="BV21" t="str">
        <f ca="1"/>
        <v>Simic Charm</v>
      </c>
      <c r="BW21" t="str">
        <f ca="1"/>
        <v>Sisay's Ring</v>
      </c>
      <c r="BY21" t="str">
        <f ca="1"/>
        <v>Rootbound Crag</v>
      </c>
      <c r="CA21" t="str">
        <f ca="1"/>
        <v>Charneca Estéril</v>
      </c>
      <c r="CB21" t="str">
        <f ca="1"/>
        <v>Duplicant</v>
      </c>
      <c r="CC21" t="str">
        <f ca="1"/>
        <v>Kiora's Follower</v>
      </c>
      <c r="CD21" t="str">
        <f ca="1"/>
        <v>Gwenna, Olhos de Gaia</v>
      </c>
      <c r="CF21" t="str">
        <f ca="1"/>
        <v>Brainstorm</v>
      </c>
      <c r="CG21" t="str">
        <f ca="1"/>
        <v>Eternal Witness</v>
      </c>
      <c r="CI21" t="str">
        <f ca="1"/>
        <v>Barreira Angelical</v>
      </c>
    </row>
    <row r="22" spans="1:87" x14ac:dyDescent="0.25">
      <c r="A22" t="str">
        <f ca="1"/>
        <v>Ascensão do Avernus</v>
      </c>
      <c r="B22" s="3" t="str" cm="1">
        <f t="array" aca="1" ref="B22" ca="1">_xlfn.ANCHORARRAY(RESUMO!C21)</f>
        <v>Carlos</v>
      </c>
      <c r="C22" s="3" t="str">
        <f t="shared" ca="1" si="0"/>
        <v/>
      </c>
      <c r="E22" t="str">
        <f ca="1"/>
        <v>Barreira Psíquica</v>
      </c>
      <c r="F22" s="3">
        <f t="shared" ca="1" si="1"/>
        <v>1</v>
      </c>
      <c r="G22" s="3" t="str">
        <f t="shared" ca="1" si="2"/>
        <v>Kumena</v>
      </c>
      <c r="M22" t="str">
        <f ca="1"/>
        <v>Barreira Psíquica</v>
      </c>
      <c r="N22" s="3">
        <f t="shared" ca="1" si="3"/>
        <v>1</v>
      </c>
      <c r="O22" s="3" t="str">
        <f ca="1">IFERROR(
 INDEX($T$2:$AW$2,
  MATCH(TRUE,
   CHOOSE({1;2;3;4;5;6;7;8;9;10;11;12;13;14;15;16;17;18;19;20;21;22;23;24;25;26;27;28;29;30;31;32},
    COUNTIFS($T$3:$T$201,$M22)&gt;0,
    COUNTIFS($U$3:$U$201,$M22)&gt;0,
    COUNTIFS($V$3:$V$201,$M22)&gt;0,
    COUNTIFS($W$3:$W$201,$M22)&gt;0,
    COUNTIFS($X$3:$X$201,$M22)&gt;0,
    COUNTIFS($Y$3:$Y$201,$M22)&gt;0,
    COUNTIFS($Z$3:$Z$201,$M22)&gt;0,
    COUNTIFS($AA$3:$AA$201,$M22)&gt;0,
    COUNTIFS($AB$3:$AB$201,$M22)&gt;0,
    COUNTIFS($AC$3:$AC$201,$M22)&gt;0,
    COUNTIFS($AD$3:$AD$201,$M22)&gt;0,
    COUNTIFS($AE$3:$AE$201,$M22)&gt;0,
    COUNTIFS($AF$3:$AF$201,$M22)&gt;0,
    COUNTIFS($AG$3:$AG$201,$M22)&gt;0,
    COUNTIFS($AH$3:$AH$201,$M22)&gt;0,
    COUNTIFS($AI$3:$AI$201,$M22)&gt;0,
    COUNTIFS($AJ$3:$AJ$201,$M22)&gt;0,
    COUNTIFS($AK$3:$AK$201,$M22)&gt;0,
    COUNTIFS($AL$3:$AL$201,$M22)&gt;0,
    COUNTIFS($AM$3:$AM$201,$M22)&gt;0,
    COUNTIFS($AN$3:$AN$201,$M22)&gt;0,
    COUNTIFS($AO$3:$AO$201,$M22)&gt;0,
    COUNTIFS($AP$3:$AP$201,$M22)&gt;0,
    COUNTIFS($AQ$3:$AQ$201,$M22)&gt;0,
    COUNTIFS($AR$3:$AR$201,$M22)&gt;0,
    COUNTIFS($AS$3:$AS$201,$M22)&gt;0,
    COUNTIFS($AT$3:$AT$201,$M22)&gt;0,
    COUNTIFS($AU$3:$AU$201,$M22)&gt;0,
    COUNTIFS($AV$3:$AV$201,$M22)&gt;0,
    COUNTIFS($AW$3:$AW$201,$M22)&gt;0
   ),
  0)
 ),
"")</f>
        <v>Kumena</v>
      </c>
      <c r="P22" s="3" t="str" cm="1">
        <f t="array" aca="1" ref="P22" ca="1">IFERROR(
 INDEX(
  _xlfn._xlws.FILTER($T$2:$AW$2,
   TRANSPOSE(
    CHOOSE({1;2;3;4;5;6;7;8;9;10;11;12;13;14;15;16;17;18;19;20;21;22;23;24;25;26;27;28;29;30},
     COUNTIFS($T$3:$T$201,$M22)&gt;0,
     COUNTIFS($U$3:$U$201,$M22)&gt;0,
     COUNTIFS($V$3:$V$201,$M22)&gt;0,
     COUNTIFS($W$3:$W$201,$M22)&gt;0,
     COUNTIFS($X$3:$X$201,$M22)&gt;0,
     COUNTIFS($Y$3:$Y$201,$M22)&gt;0,
     COUNTIFS($Z$3:$Z$201,$M22)&gt;0,
     COUNTIFS($AA$3:$AA$201,$M22)&gt;0,
     COUNTIFS($AB$3:$AB$201,$M22)&gt;0,
     COUNTIFS($AC$3:$AC$201,$M22)&gt;0,
     COUNTIFS($AD$3:$AD$201,$M22)&gt;0,
     COUNTIFS($AE$3:$AE$201,$M22)&gt;0,
     COUNTIFS($AF$3:$AF$201,$M22)&gt;0,
     COUNTIFS($AG$3:$AG$201,$M22)&gt;0,
     COUNTIFS($AH$3:$AH$201,$M22)&gt;0,
     COUNTIFS($AI$3:$AI$201,$M22)&gt;0,
     COUNTIFS($AJ$3:$AJ$201,$M22)&gt;0,
     COUNTIFS($AK$3:$AK$201,$M22)&gt;0,
     COUNTIFS($AL$3:$AL$201,$M22)&gt;0,
     COUNTIFS($AM$3:$AM$201,$M22)&gt;0,
     COUNTIFS($AN$3:$AN$201,$M22)&gt;0,
     COUNTIFS($AO$3:$AO$201,$M22)&gt;0,
     COUNTIFS($AP$3:$AP$201,$M22)&gt;0,
     COUNTIFS($AQ$3:$AQ$201,$M22)&gt;0,
     COUNTIFS($AR$3:$AR$201,$M22)&gt;0,
     COUNTIFS($AS$3:$AS$201,$M22)&gt;0,
     COUNTIFS($AT$3:$AT$201,$M22)&gt;0,
     COUNTIFS($AU$3:$AU$201,$M22)&gt;0,
     COUNTIFS($AV$3:$AV$201,$M22)&gt;0,
     COUNTIFS($AW$3:$AW$201,$M22)&gt;0
   )),
  ),
  2
 ),
"")</f>
        <v/>
      </c>
      <c r="Q22" s="3" t="str" cm="1">
        <f t="array" aca="1" ref="Q22" ca="1">IFERROR(
 INDEX(
  _xlfn._xlws.FILTER($T$2:$AW$2,
   TRANSPOSE(
    CHOOSE({1;2;3;4;5;6;7;8;9;10;11;12;13;14;15;16;17;18;19;20;21;22;23;24;25;26;27;28;29;30},
     COUNTIFS($T$3:$T$201,$M22)&gt;0,
     COUNTIFS($U$3:$U$201,$M22)&gt;0,
     COUNTIFS($V$3:$V$201,$M22)&gt;0,
     COUNTIFS($W$3:$W$201,$M22)&gt;0,
     COUNTIFS($X$3:$X$201,$M22)&gt;0,
     COUNTIFS($Y$3:$Y$201,$M22)&gt;0,
     COUNTIFS($Z$3:$Z$201,$M22)&gt;0,
     COUNTIFS($AA$3:$AA$201,$M22)&gt;0,
     COUNTIFS($AB$3:$AB$201,$M22)&gt;0,
     COUNTIFS($AC$3:$AC$201,$M22)&gt;0,
     COUNTIFS($AD$3:$AD$201,$M22)&gt;0,
     COUNTIFS($AE$3:$AE$201,$M22)&gt;0,
     COUNTIFS($AF$3:$AF$201,$M22)&gt;0,
     COUNTIFS($AG$3:$AG$201,$M22)&gt;0,
     COUNTIFS($AH$3:$AH$201,$M22)&gt;0,
     COUNTIFS($AI$3:$AI$201,$M22)&gt;0,
     COUNTIFS($AJ$3:$AJ$201,$M22)&gt;0,
     COUNTIFS($AK$3:$AK$201,$M22)&gt;0,
     COUNTIFS($AL$3:$AL$201,$M22)&gt;0,
     COUNTIFS($AM$3:$AM$201,$M22)&gt;0,
     COUNTIFS($AN$3:$AN$201,$M22)&gt;0,
     COUNTIFS($AO$3:$AO$201,$M22)&gt;0,
     COUNTIFS($AP$3:$AP$201,$M22)&gt;0,
     COUNTIFS($AQ$3:$AQ$201,$M22)&gt;0,
     COUNTIFS($AR$3:$AR$201,$M22)&gt;0,
     COUNTIFS($AS$3:$AS$201,$M22)&gt;0,
     COUNTIFS($AT$3:$AT$201,$M22)&gt;0,
     COUNTIFS($AU$3:$AU$201,$M22)&gt;0,
     COUNTIFS($AV$3:$AV$201,$M22)&gt;0,
     COUNTIFS($AW$3:$AW$201,$M22)&gt;0
   )),
  ),
  3
 ),
"")</f>
        <v/>
      </c>
      <c r="R22" s="3" t="str" cm="1">
        <f t="array" aca="1" ref="R22" ca="1">IFERROR(
 INDEX(
  _xlfn._xlws.FILTER($T$2:$AW$2,
   TRANSPOSE(
    CHOOSE({1;2;3;4;5;6;7;8;9;10;11;12;13;14;15;16;17;18;19;20;21;22;23;24;25;26;27;28;29;30},
     COUNTIFS($T$3:$T$201,$M22)&gt;0,
     COUNTIFS($U$3:$U$201,$M22)&gt;0,
     COUNTIFS($V$3:$V$201,$M22)&gt;0,
     COUNTIFS($W$3:$W$201,$M22)&gt;0,
     COUNTIFS($X$3:$X$201,$M22)&gt;0,
     COUNTIFS($Y$3:$Y$201,$M22)&gt;0,
     COUNTIFS($Z$3:$Z$201,$M22)&gt;0,
     COUNTIFS($AA$3:$AA$201,$M22)&gt;0,
     COUNTIFS($AB$3:$AB$201,$M22)&gt;0,
     COUNTIFS($AC$3:$AC$201,$M22)&gt;0,
     COUNTIFS($AD$3:$AD$201,$M22)&gt;0,
     COUNTIFS($AE$3:$AE$201,$M22)&gt;0,
     COUNTIFS($AF$3:$AF$201,$M22)&gt;0,
     COUNTIFS($AG$3:$AG$201,$M22)&gt;0,
     COUNTIFS($AH$3:$AH$201,$M22)&gt;0,
     COUNTIFS($AI$3:$AI$201,$M22)&gt;0,
     COUNTIFS($AJ$3:$AJ$201,$M22)&gt;0,
     COUNTIFS($AK$3:$AK$201,$M22)&gt;0,
     COUNTIFS($AL$3:$AL$201,$M22)&gt;0,
     COUNTIFS($AM$3:$AM$201,$M22)&gt;0,
     COUNTIFS($AN$3:$AN$201,$M22)&gt;0,
     COUNTIFS($AO$3:$AO$201,$M22)&gt;0,
     COUNTIFS($AP$3:$AP$201,$M22)&gt;0,
     COUNTIFS($AQ$3:$AQ$201,$M22)&gt;0,
     COUNTIFS($AR$3:$AR$201,$M22)&gt;0,
     COUNTIFS($AS$3:$AS$201,$M22)&gt;0,
     COUNTIFS($AT$3:$AT$201,$M22)&gt;0,
     COUNTIFS($AU$3:$AU$201,$M22)&gt;0,
     COUNTIFS($AV$3:$AV$201,$M22)&gt;0,
     COUNTIFS($AW$3:$AW$201,$M22)&gt;0
   )),
  ),
  4
 ),
"")</f>
        <v/>
      </c>
      <c r="U22" t="str">
        <v>Saciar</v>
      </c>
      <c r="V22" t="str">
        <v>Realmbreaker, the Invasion Tree</v>
      </c>
      <c r="W22" t="str">
        <v>Prismatic Lens</v>
      </c>
      <c r="Y22" t="str">
        <v>Terras em Desenvolvimento</v>
      </c>
      <c r="Z22" t="str">
        <v>Treasure Cruise</v>
      </c>
      <c r="AW22" t="str">
        <v>Rumor Gatherer</v>
      </c>
      <c r="BA22" t="str">
        <f ca="1"/>
        <v>Midnight Guard</v>
      </c>
      <c r="BB22" t="str">
        <f ca="1"/>
        <v>Mind Stone</v>
      </c>
      <c r="BC22" t="str">
        <f ca="1"/>
        <v>Mountain</v>
      </c>
      <c r="BD22" t="str">
        <f ca="1"/>
        <v>Mergulhadora Celeste Ladra</v>
      </c>
      <c r="BH22" t="str">
        <f ca="1"/>
        <v>Sombra Mutável</v>
      </c>
      <c r="BO22" t="str">
        <f ca="1"/>
        <v>Rumor Gatherer</v>
      </c>
      <c r="BR22" t="str">
        <f ca="1"/>
        <v>Estorrar</v>
      </c>
      <c r="BS22" t="str">
        <f ca="1"/>
        <v>Esmoecer</v>
      </c>
      <c r="BT22" t="str">
        <f ca="1"/>
        <v>Leviatã de Kederekt</v>
      </c>
      <c r="BU22" t="str">
        <f ca="1"/>
        <v>Loxodon Warhammer</v>
      </c>
      <c r="BV22" t="str">
        <f ca="1"/>
        <v>Sinew Sliver</v>
      </c>
      <c r="BW22" t="str">
        <f ca="1"/>
        <v>Soul's Majesty</v>
      </c>
      <c r="BY22" t="str">
        <f ca="1"/>
        <v>Rumor Gatherer</v>
      </c>
      <c r="CA22" t="str">
        <f ca="1"/>
        <v>Clackbridge Troll</v>
      </c>
      <c r="CB22" t="str">
        <f ca="1"/>
        <v xml:space="preserve">Engenheira do Sítio de Escavação </v>
      </c>
      <c r="CC22" t="str">
        <f ca="1"/>
        <v>Lanterna Cromática</v>
      </c>
      <c r="CD22" t="str">
        <f ca="1"/>
        <v>Lulu, Halofante Leal</v>
      </c>
      <c r="CF22" t="str">
        <f ca="1"/>
        <v>Bruma Etérea</v>
      </c>
      <c r="CG22" t="str">
        <f ca="1"/>
        <v>Exarca Progenitor</v>
      </c>
      <c r="CI22" t="str">
        <f ca="1"/>
        <v>Barreira Psíquica</v>
      </c>
    </row>
    <row r="23" spans="1:87" x14ac:dyDescent="0.25">
      <c r="A23" t="str">
        <f ca="1"/>
        <v>Aura Mutation</v>
      </c>
      <c r="B23" s="3" t="str" cm="1">
        <f t="array" aca="1" ref="B23" ca="1">_xlfn.ANCHORARRAY(RESUMO!C22)</f>
        <v>Baylen</v>
      </c>
      <c r="C23" s="3" t="str">
        <f t="shared" ca="1" si="0"/>
        <v/>
      </c>
      <c r="E23" t="str">
        <f ca="1"/>
        <v>Beast Within</v>
      </c>
      <c r="F23" s="3">
        <f t="shared" ca="1" si="1"/>
        <v>1</v>
      </c>
      <c r="G23" s="3" t="str">
        <f t="shared" ca="1" si="2"/>
        <v>Sisay</v>
      </c>
      <c r="M23" t="str">
        <f ca="1"/>
        <v>Beast Within</v>
      </c>
      <c r="N23" s="3">
        <f t="shared" ca="1" si="3"/>
        <v>1</v>
      </c>
      <c r="O23" s="3" t="str">
        <f ca="1">IFERROR(
 INDEX($T$2:$AW$2,
  MATCH(TRUE,
   CHOOSE({1;2;3;4;5;6;7;8;9;10;11;12;13;14;15;16;17;18;19;20;21;22;23;24;25;26;27;28;29;30;31;32},
    COUNTIFS($T$3:$T$201,$M23)&gt;0,
    COUNTIFS($U$3:$U$201,$M23)&gt;0,
    COUNTIFS($V$3:$V$201,$M23)&gt;0,
    COUNTIFS($W$3:$W$201,$M23)&gt;0,
    COUNTIFS($X$3:$X$201,$M23)&gt;0,
    COUNTIFS($Y$3:$Y$201,$M23)&gt;0,
    COUNTIFS($Z$3:$Z$201,$M23)&gt;0,
    COUNTIFS($AA$3:$AA$201,$M23)&gt;0,
    COUNTIFS($AB$3:$AB$201,$M23)&gt;0,
    COUNTIFS($AC$3:$AC$201,$M23)&gt;0,
    COUNTIFS($AD$3:$AD$201,$M23)&gt;0,
    COUNTIFS($AE$3:$AE$201,$M23)&gt;0,
    COUNTIFS($AF$3:$AF$201,$M23)&gt;0,
    COUNTIFS($AG$3:$AG$201,$M23)&gt;0,
    COUNTIFS($AH$3:$AH$201,$M23)&gt;0,
    COUNTIFS($AI$3:$AI$201,$M23)&gt;0,
    COUNTIFS($AJ$3:$AJ$201,$M23)&gt;0,
    COUNTIFS($AK$3:$AK$201,$M23)&gt;0,
    COUNTIFS($AL$3:$AL$201,$M23)&gt;0,
    COUNTIFS($AM$3:$AM$201,$M23)&gt;0,
    COUNTIFS($AN$3:$AN$201,$M23)&gt;0,
    COUNTIFS($AO$3:$AO$201,$M23)&gt;0,
    COUNTIFS($AP$3:$AP$201,$M23)&gt;0,
    COUNTIFS($AQ$3:$AQ$201,$M23)&gt;0,
    COUNTIFS($AR$3:$AR$201,$M23)&gt;0,
    COUNTIFS($AS$3:$AS$201,$M23)&gt;0,
    COUNTIFS($AT$3:$AT$201,$M23)&gt;0,
    COUNTIFS($AU$3:$AU$201,$M23)&gt;0,
    COUNTIFS($AV$3:$AV$201,$M23)&gt;0,
    COUNTIFS($AW$3:$AW$201,$M23)&gt;0
   ),
  0)
 ),
"")</f>
        <v>Sisay</v>
      </c>
      <c r="P23" s="3" t="str" cm="1">
        <f t="array" aca="1" ref="P23" ca="1">IFERROR(
 INDEX(
  _xlfn._xlws.FILTER($T$2:$AW$2,
   TRANSPOSE(
    CHOOSE({1;2;3;4;5;6;7;8;9;10;11;12;13;14;15;16;17;18;19;20;21;22;23;24;25;26;27;28;29;30},
     COUNTIFS($T$3:$T$201,$M23)&gt;0,
     COUNTIFS($U$3:$U$201,$M23)&gt;0,
     COUNTIFS($V$3:$V$201,$M23)&gt;0,
     COUNTIFS($W$3:$W$201,$M23)&gt;0,
     COUNTIFS($X$3:$X$201,$M23)&gt;0,
     COUNTIFS($Y$3:$Y$201,$M23)&gt;0,
     COUNTIFS($Z$3:$Z$201,$M23)&gt;0,
     COUNTIFS($AA$3:$AA$201,$M23)&gt;0,
     COUNTIFS($AB$3:$AB$201,$M23)&gt;0,
     COUNTIFS($AC$3:$AC$201,$M23)&gt;0,
     COUNTIFS($AD$3:$AD$201,$M23)&gt;0,
     COUNTIFS($AE$3:$AE$201,$M23)&gt;0,
     COUNTIFS($AF$3:$AF$201,$M23)&gt;0,
     COUNTIFS($AG$3:$AG$201,$M23)&gt;0,
     COUNTIFS($AH$3:$AH$201,$M23)&gt;0,
     COUNTIFS($AI$3:$AI$201,$M23)&gt;0,
     COUNTIFS($AJ$3:$AJ$201,$M23)&gt;0,
     COUNTIFS($AK$3:$AK$201,$M23)&gt;0,
     COUNTIFS($AL$3:$AL$201,$M23)&gt;0,
     COUNTIFS($AM$3:$AM$201,$M23)&gt;0,
     COUNTIFS($AN$3:$AN$201,$M23)&gt;0,
     COUNTIFS($AO$3:$AO$201,$M23)&gt;0,
     COUNTIFS($AP$3:$AP$201,$M23)&gt;0,
     COUNTIFS($AQ$3:$AQ$201,$M23)&gt;0,
     COUNTIFS($AR$3:$AR$201,$M23)&gt;0,
     COUNTIFS($AS$3:$AS$201,$M23)&gt;0,
     COUNTIFS($AT$3:$AT$201,$M23)&gt;0,
     COUNTIFS($AU$3:$AU$201,$M23)&gt;0,
     COUNTIFS($AV$3:$AV$201,$M23)&gt;0,
     COUNTIFS($AW$3:$AW$201,$M23)&gt;0
   )),
  ),
  2
 ),
"")</f>
        <v/>
      </c>
      <c r="Q23" s="3" t="str" cm="1">
        <f t="array" aca="1" ref="Q23" ca="1">IFERROR(
 INDEX(
  _xlfn._xlws.FILTER($T$2:$AW$2,
   TRANSPOSE(
    CHOOSE({1;2;3;4;5;6;7;8;9;10;11;12;13;14;15;16;17;18;19;20;21;22;23;24;25;26;27;28;29;30},
     COUNTIFS($T$3:$T$201,$M23)&gt;0,
     COUNTIFS($U$3:$U$201,$M23)&gt;0,
     COUNTIFS($V$3:$V$201,$M23)&gt;0,
     COUNTIFS($W$3:$W$201,$M23)&gt;0,
     COUNTIFS($X$3:$X$201,$M23)&gt;0,
     COUNTIFS($Y$3:$Y$201,$M23)&gt;0,
     COUNTIFS($Z$3:$Z$201,$M23)&gt;0,
     COUNTIFS($AA$3:$AA$201,$M23)&gt;0,
     COUNTIFS($AB$3:$AB$201,$M23)&gt;0,
     COUNTIFS($AC$3:$AC$201,$M23)&gt;0,
     COUNTIFS($AD$3:$AD$201,$M23)&gt;0,
     COUNTIFS($AE$3:$AE$201,$M23)&gt;0,
     COUNTIFS($AF$3:$AF$201,$M23)&gt;0,
     COUNTIFS($AG$3:$AG$201,$M23)&gt;0,
     COUNTIFS($AH$3:$AH$201,$M23)&gt;0,
     COUNTIFS($AI$3:$AI$201,$M23)&gt;0,
     COUNTIFS($AJ$3:$AJ$201,$M23)&gt;0,
     COUNTIFS($AK$3:$AK$201,$M23)&gt;0,
     COUNTIFS($AL$3:$AL$201,$M23)&gt;0,
     COUNTIFS($AM$3:$AM$201,$M23)&gt;0,
     COUNTIFS($AN$3:$AN$201,$M23)&gt;0,
     COUNTIFS($AO$3:$AO$201,$M23)&gt;0,
     COUNTIFS($AP$3:$AP$201,$M23)&gt;0,
     COUNTIFS($AQ$3:$AQ$201,$M23)&gt;0,
     COUNTIFS($AR$3:$AR$201,$M23)&gt;0,
     COUNTIFS($AS$3:$AS$201,$M23)&gt;0,
     COUNTIFS($AT$3:$AT$201,$M23)&gt;0,
     COUNTIFS($AU$3:$AU$201,$M23)&gt;0,
     COUNTIFS($AV$3:$AV$201,$M23)&gt;0,
     COUNTIFS($AW$3:$AW$201,$M23)&gt;0
   )),
  ),
  3
 ),
"")</f>
        <v/>
      </c>
      <c r="R23" s="3" t="str" cm="1">
        <f t="array" aca="1" ref="R23" ca="1">IFERROR(
 INDEX(
  _xlfn._xlws.FILTER($T$2:$AW$2,
   TRANSPOSE(
    CHOOSE({1;2;3;4;5;6;7;8;9;10;11;12;13;14;15;16;17;18;19;20;21;22;23;24;25;26;27;28;29;30},
     COUNTIFS($T$3:$T$201,$M23)&gt;0,
     COUNTIFS($U$3:$U$201,$M23)&gt;0,
     COUNTIFS($V$3:$V$201,$M23)&gt;0,
     COUNTIFS($W$3:$W$201,$M23)&gt;0,
     COUNTIFS($X$3:$X$201,$M23)&gt;0,
     COUNTIFS($Y$3:$Y$201,$M23)&gt;0,
     COUNTIFS($Z$3:$Z$201,$M23)&gt;0,
     COUNTIFS($AA$3:$AA$201,$M23)&gt;0,
     COUNTIFS($AB$3:$AB$201,$M23)&gt;0,
     COUNTIFS($AC$3:$AC$201,$M23)&gt;0,
     COUNTIFS($AD$3:$AD$201,$M23)&gt;0,
     COUNTIFS($AE$3:$AE$201,$M23)&gt;0,
     COUNTIFS($AF$3:$AF$201,$M23)&gt;0,
     COUNTIFS($AG$3:$AG$201,$M23)&gt;0,
     COUNTIFS($AH$3:$AH$201,$M23)&gt;0,
     COUNTIFS($AI$3:$AI$201,$M23)&gt;0,
     COUNTIFS($AJ$3:$AJ$201,$M23)&gt;0,
     COUNTIFS($AK$3:$AK$201,$M23)&gt;0,
     COUNTIFS($AL$3:$AL$201,$M23)&gt;0,
     COUNTIFS($AM$3:$AM$201,$M23)&gt;0,
     COUNTIFS($AN$3:$AN$201,$M23)&gt;0,
     COUNTIFS($AO$3:$AO$201,$M23)&gt;0,
     COUNTIFS($AP$3:$AP$201,$M23)&gt;0,
     COUNTIFS($AQ$3:$AQ$201,$M23)&gt;0,
     COUNTIFS($AR$3:$AR$201,$M23)&gt;0,
     COUNTIFS($AS$3:$AS$201,$M23)&gt;0,
     COUNTIFS($AT$3:$AT$201,$M23)&gt;0,
     COUNTIFS($AU$3:$AU$201,$M23)&gt;0,
     COUNTIFS($AV$3:$AV$201,$M23)&gt;0,
     COUNTIFS($AW$3:$AW$201,$M23)&gt;0
   )),
  ),
  4
 ),
"")</f>
        <v/>
      </c>
      <c r="U23" t="str">
        <v>Scavenging Ooze</v>
      </c>
      <c r="V23" t="str">
        <v>Resposta // Ressurgimento</v>
      </c>
      <c r="W23" t="str">
        <v>Rebento de Halaster</v>
      </c>
      <c r="Y23" t="str">
        <v>Zona de Emergência</v>
      </c>
      <c r="Z23" t="str">
        <v>Watertrap Wizard</v>
      </c>
      <c r="AW23" t="str">
        <v>Runadi, Behemoth Caller</v>
      </c>
      <c r="BA23" t="str">
        <f ca="1"/>
        <v>Mountain</v>
      </c>
      <c r="BB23" t="str">
        <f ca="1"/>
        <v>Morbid Oportunist</v>
      </c>
      <c r="BC23" t="str">
        <f ca="1"/>
        <v>Panorama de Grixis</v>
      </c>
      <c r="BD23" t="str">
        <f ca="1"/>
        <v>Paisagem Agourenta</v>
      </c>
      <c r="BH23" t="str">
        <f ca="1"/>
        <v>Supreme Verdict</v>
      </c>
      <c r="BO23" t="str">
        <f ca="1"/>
        <v>Runadi, Behemoth Caller</v>
      </c>
      <c r="BR23" t="str">
        <f ca="1"/>
        <v>Eternal Witness</v>
      </c>
      <c r="BS23" t="str">
        <f ca="1"/>
        <v>Espião-mestre Goblin</v>
      </c>
      <c r="BT23" t="str">
        <f ca="1"/>
        <v>Molda-mundo</v>
      </c>
      <c r="BU23" t="str">
        <f ca="1"/>
        <v>Master of Death</v>
      </c>
      <c r="BV23" t="str">
        <f ca="1"/>
        <v>Swamp</v>
      </c>
      <c r="BW23" t="str">
        <f ca="1"/>
        <v>Storm's Wrath</v>
      </c>
      <c r="BY23" t="str">
        <f ca="1"/>
        <v>Runadi, Behemoth Caller</v>
      </c>
      <c r="CA23" t="str">
        <f ca="1"/>
        <v>Comando de Kayla</v>
      </c>
      <c r="CB23" t="str">
        <f ca="1"/>
        <v>Eterificar</v>
      </c>
      <c r="CC23" t="str">
        <f ca="1"/>
        <v>Masterful Replication</v>
      </c>
      <c r="CD23" t="str">
        <f ca="1"/>
        <v>Luta Encenada</v>
      </c>
      <c r="CF23" t="str">
        <f ca="1"/>
        <v>Buried Alive</v>
      </c>
      <c r="CG23" t="str">
        <f ca="1"/>
        <v>Feldon of the Third Path</v>
      </c>
      <c r="CI23" t="str">
        <f ca="1"/>
        <v>Beast Within</v>
      </c>
    </row>
    <row r="24" spans="1:87" x14ac:dyDescent="0.25">
      <c r="A24" t="str">
        <f ca="1"/>
        <v>Autoridade dos Cônsules</v>
      </c>
      <c r="B24" s="3" t="str" cm="1">
        <f t="array" aca="1" ref="B24" ca="1">_xlfn.ANCHORARRAY(RESUMO!C23)</f>
        <v>Carlos</v>
      </c>
      <c r="C24" s="3" t="str">
        <f t="shared" ca="1" si="0"/>
        <v/>
      </c>
      <c r="E24" t="str">
        <f ca="1"/>
        <v>Bolsa de Nobre</v>
      </c>
      <c r="F24" s="3">
        <f t="shared" ca="1" si="1"/>
        <v>1</v>
      </c>
      <c r="G24" s="3" t="str">
        <f t="shared" ca="1" si="2"/>
        <v>Baylen</v>
      </c>
      <c r="M24" t="str">
        <f ca="1"/>
        <v>Bolsa de Nobre</v>
      </c>
      <c r="N24" s="3">
        <f t="shared" ca="1" si="3"/>
        <v>1</v>
      </c>
      <c r="O24" s="3" t="str">
        <f ca="1">IFERROR(
 INDEX($T$2:$AW$2,
  MATCH(TRUE,
   CHOOSE({1;2;3;4;5;6;7;8;9;10;11;12;13;14;15;16;17;18;19;20;21;22;23;24;25;26;27;28;29;30;31;32},
    COUNTIFS($T$3:$T$201,$M24)&gt;0,
    COUNTIFS($U$3:$U$201,$M24)&gt;0,
    COUNTIFS($V$3:$V$201,$M24)&gt;0,
    COUNTIFS($W$3:$W$201,$M24)&gt;0,
    COUNTIFS($X$3:$X$201,$M24)&gt;0,
    COUNTIFS($Y$3:$Y$201,$M24)&gt;0,
    COUNTIFS($Z$3:$Z$201,$M24)&gt;0,
    COUNTIFS($AA$3:$AA$201,$M24)&gt;0,
    COUNTIFS($AB$3:$AB$201,$M24)&gt;0,
    COUNTIFS($AC$3:$AC$201,$M24)&gt;0,
    COUNTIFS($AD$3:$AD$201,$M24)&gt;0,
    COUNTIFS($AE$3:$AE$201,$M24)&gt;0,
    COUNTIFS($AF$3:$AF$201,$M24)&gt;0,
    COUNTIFS($AG$3:$AG$201,$M24)&gt;0,
    COUNTIFS($AH$3:$AH$201,$M24)&gt;0,
    COUNTIFS($AI$3:$AI$201,$M24)&gt;0,
    COUNTIFS($AJ$3:$AJ$201,$M24)&gt;0,
    COUNTIFS($AK$3:$AK$201,$M24)&gt;0,
    COUNTIFS($AL$3:$AL$201,$M24)&gt;0,
    COUNTIFS($AM$3:$AM$201,$M24)&gt;0,
    COUNTIFS($AN$3:$AN$201,$M24)&gt;0,
    COUNTIFS($AO$3:$AO$201,$M24)&gt;0,
    COUNTIFS($AP$3:$AP$201,$M24)&gt;0,
    COUNTIFS($AQ$3:$AQ$201,$M24)&gt;0,
    COUNTIFS($AR$3:$AR$201,$M24)&gt;0,
    COUNTIFS($AS$3:$AS$201,$M24)&gt;0,
    COUNTIFS($AT$3:$AT$201,$M24)&gt;0,
    COUNTIFS($AU$3:$AU$201,$M24)&gt;0,
    COUNTIFS($AV$3:$AV$201,$M24)&gt;0,
    COUNTIFS($AW$3:$AW$201,$M24)&gt;0
   ),
  0)
 ),
"")</f>
        <v>Baylen</v>
      </c>
      <c r="P24" s="3" t="str" cm="1">
        <f t="array" aca="1" ref="P24" ca="1">IFERROR(
 INDEX(
  _xlfn._xlws.FILTER($T$2:$AW$2,
   TRANSPOSE(
    CHOOSE({1;2;3;4;5;6;7;8;9;10;11;12;13;14;15;16;17;18;19;20;21;22;23;24;25;26;27;28;29;30},
     COUNTIFS($T$3:$T$201,$M24)&gt;0,
     COUNTIFS($U$3:$U$201,$M24)&gt;0,
     COUNTIFS($V$3:$V$201,$M24)&gt;0,
     COUNTIFS($W$3:$W$201,$M24)&gt;0,
     COUNTIFS($X$3:$X$201,$M24)&gt;0,
     COUNTIFS($Y$3:$Y$201,$M24)&gt;0,
     COUNTIFS($Z$3:$Z$201,$M24)&gt;0,
     COUNTIFS($AA$3:$AA$201,$M24)&gt;0,
     COUNTIFS($AB$3:$AB$201,$M24)&gt;0,
     COUNTIFS($AC$3:$AC$201,$M24)&gt;0,
     COUNTIFS($AD$3:$AD$201,$M24)&gt;0,
     COUNTIFS($AE$3:$AE$201,$M24)&gt;0,
     COUNTIFS($AF$3:$AF$201,$M24)&gt;0,
     COUNTIFS($AG$3:$AG$201,$M24)&gt;0,
     COUNTIFS($AH$3:$AH$201,$M24)&gt;0,
     COUNTIFS($AI$3:$AI$201,$M24)&gt;0,
     COUNTIFS($AJ$3:$AJ$201,$M24)&gt;0,
     COUNTIFS($AK$3:$AK$201,$M24)&gt;0,
     COUNTIFS($AL$3:$AL$201,$M24)&gt;0,
     COUNTIFS($AM$3:$AM$201,$M24)&gt;0,
     COUNTIFS($AN$3:$AN$201,$M24)&gt;0,
     COUNTIFS($AO$3:$AO$201,$M24)&gt;0,
     COUNTIFS($AP$3:$AP$201,$M24)&gt;0,
     COUNTIFS($AQ$3:$AQ$201,$M24)&gt;0,
     COUNTIFS($AR$3:$AR$201,$M24)&gt;0,
     COUNTIFS($AS$3:$AS$201,$M24)&gt;0,
     COUNTIFS($AT$3:$AT$201,$M24)&gt;0,
     COUNTIFS($AU$3:$AU$201,$M24)&gt;0,
     COUNTIFS($AV$3:$AV$201,$M24)&gt;0,
     COUNTIFS($AW$3:$AW$201,$M24)&gt;0
   )),
  ),
  2
 ),
"")</f>
        <v/>
      </c>
      <c r="Q24" s="3" t="str" cm="1">
        <f t="array" aca="1" ref="Q24" ca="1">IFERROR(
 INDEX(
  _xlfn._xlws.FILTER($T$2:$AW$2,
   TRANSPOSE(
    CHOOSE({1;2;3;4;5;6;7;8;9;10;11;12;13;14;15;16;17;18;19;20;21;22;23;24;25;26;27;28;29;30},
     COUNTIFS($T$3:$T$201,$M24)&gt;0,
     COUNTIFS($U$3:$U$201,$M24)&gt;0,
     COUNTIFS($V$3:$V$201,$M24)&gt;0,
     COUNTIFS($W$3:$W$201,$M24)&gt;0,
     COUNTIFS($X$3:$X$201,$M24)&gt;0,
     COUNTIFS($Y$3:$Y$201,$M24)&gt;0,
     COUNTIFS($Z$3:$Z$201,$M24)&gt;0,
     COUNTIFS($AA$3:$AA$201,$M24)&gt;0,
     COUNTIFS($AB$3:$AB$201,$M24)&gt;0,
     COUNTIFS($AC$3:$AC$201,$M24)&gt;0,
     COUNTIFS($AD$3:$AD$201,$M24)&gt;0,
     COUNTIFS($AE$3:$AE$201,$M24)&gt;0,
     COUNTIFS($AF$3:$AF$201,$M24)&gt;0,
     COUNTIFS($AG$3:$AG$201,$M24)&gt;0,
     COUNTIFS($AH$3:$AH$201,$M24)&gt;0,
     COUNTIFS($AI$3:$AI$201,$M24)&gt;0,
     COUNTIFS($AJ$3:$AJ$201,$M24)&gt;0,
     COUNTIFS($AK$3:$AK$201,$M24)&gt;0,
     COUNTIFS($AL$3:$AL$201,$M24)&gt;0,
     COUNTIFS($AM$3:$AM$201,$M24)&gt;0,
     COUNTIFS($AN$3:$AN$201,$M24)&gt;0,
     COUNTIFS($AO$3:$AO$201,$M24)&gt;0,
     COUNTIFS($AP$3:$AP$201,$M24)&gt;0,
     COUNTIFS($AQ$3:$AQ$201,$M24)&gt;0,
     COUNTIFS($AR$3:$AR$201,$M24)&gt;0,
     COUNTIFS($AS$3:$AS$201,$M24)&gt;0,
     COUNTIFS($AT$3:$AT$201,$M24)&gt;0,
     COUNTIFS($AU$3:$AU$201,$M24)&gt;0,
     COUNTIFS($AV$3:$AV$201,$M24)&gt;0,
     COUNTIFS($AW$3:$AW$201,$M24)&gt;0
   )),
  ),
  3
 ),
"")</f>
        <v/>
      </c>
      <c r="R24" s="3" t="str" cm="1">
        <f t="array" aca="1" ref="R24" ca="1">IFERROR(
 INDEX(
  _xlfn._xlws.FILTER($T$2:$AW$2,
   TRANSPOSE(
    CHOOSE({1;2;3;4;5;6;7;8;9;10;11;12;13;14;15;16;17;18;19;20;21;22;23;24;25;26;27;28;29;30},
     COUNTIFS($T$3:$T$201,$M24)&gt;0,
     COUNTIFS($U$3:$U$201,$M24)&gt;0,
     COUNTIFS($V$3:$V$201,$M24)&gt;0,
     COUNTIFS($W$3:$W$201,$M24)&gt;0,
     COUNTIFS($X$3:$X$201,$M24)&gt;0,
     COUNTIFS($Y$3:$Y$201,$M24)&gt;0,
     COUNTIFS($Z$3:$Z$201,$M24)&gt;0,
     COUNTIFS($AA$3:$AA$201,$M24)&gt;0,
     COUNTIFS($AB$3:$AB$201,$M24)&gt;0,
     COUNTIFS($AC$3:$AC$201,$M24)&gt;0,
     COUNTIFS($AD$3:$AD$201,$M24)&gt;0,
     COUNTIFS($AE$3:$AE$201,$M24)&gt;0,
     COUNTIFS($AF$3:$AF$201,$M24)&gt;0,
     COUNTIFS($AG$3:$AG$201,$M24)&gt;0,
     COUNTIFS($AH$3:$AH$201,$M24)&gt;0,
     COUNTIFS($AI$3:$AI$201,$M24)&gt;0,
     COUNTIFS($AJ$3:$AJ$201,$M24)&gt;0,
     COUNTIFS($AK$3:$AK$201,$M24)&gt;0,
     COUNTIFS($AL$3:$AL$201,$M24)&gt;0,
     COUNTIFS($AM$3:$AM$201,$M24)&gt;0,
     COUNTIFS($AN$3:$AN$201,$M24)&gt;0,
     COUNTIFS($AO$3:$AO$201,$M24)&gt;0,
     COUNTIFS($AP$3:$AP$201,$M24)&gt;0,
     COUNTIFS($AQ$3:$AQ$201,$M24)&gt;0,
     COUNTIFS($AR$3:$AR$201,$M24)&gt;0,
     COUNTIFS($AS$3:$AS$201,$M24)&gt;0,
     COUNTIFS($AT$3:$AT$201,$M24)&gt;0,
     COUNTIFS($AU$3:$AU$201,$M24)&gt;0,
     COUNTIFS($AV$3:$AV$201,$M24)&gt;0,
     COUNTIFS($AW$3:$AW$201,$M24)&gt;0
   )),
  ),
  4
 ),
"")</f>
        <v/>
      </c>
      <c r="U24" t="str">
        <v>Selesnya Sanctuary</v>
      </c>
      <c r="V24" t="str">
        <v>Saheeli, Artífice Sublime</v>
      </c>
      <c r="W24" t="str">
        <v>Revitalizing Repast</v>
      </c>
      <c r="AW24" t="str">
        <v>Sábio Primordial</v>
      </c>
      <c r="BA24" t="str">
        <f ca="1"/>
        <v>Noite da Vingança dos Doces</v>
      </c>
      <c r="BB24" t="str">
        <f ca="1"/>
        <v>Mountain</v>
      </c>
      <c r="BC24" t="str">
        <f ca="1"/>
        <v>Plains</v>
      </c>
      <c r="BD24" t="str">
        <f ca="1"/>
        <v>Recrecimento Turbilhonante</v>
      </c>
      <c r="BH24" t="str">
        <f ca="1"/>
        <v>Tenza, Godo's Maul</v>
      </c>
      <c r="BO24" t="str">
        <f ca="1"/>
        <v>Sábio Primordial</v>
      </c>
      <c r="BR24" t="str">
        <f ca="1"/>
        <v>Executor Impiedoso</v>
      </c>
      <c r="BS24" t="str">
        <f ca="1"/>
        <v>Espiral de Crescimento</v>
      </c>
      <c r="BT24" t="str">
        <f ca="1"/>
        <v>Montanha</v>
      </c>
      <c r="BU24" t="str">
        <f ca="1"/>
        <v>Medalhão de Bant</v>
      </c>
      <c r="BV24" t="str">
        <f ca="1"/>
        <v>Terras em Desenvolvimento</v>
      </c>
      <c r="BW24" t="str">
        <f ca="1"/>
        <v>Terraço do Condado</v>
      </c>
      <c r="BY24" t="str">
        <f ca="1"/>
        <v>Sábio Primordial</v>
      </c>
      <c r="CA24" t="str">
        <f ca="1"/>
        <v>Coronation of Chaos</v>
      </c>
      <c r="CB24" t="str">
        <f ca="1"/>
        <v>Explosão Ruinosa de Urza</v>
      </c>
      <c r="CC24" t="str">
        <f ca="1"/>
        <v>Mountain</v>
      </c>
      <c r="CD24" t="str">
        <f ca="1"/>
        <v>Mestre das Feras Abzan</v>
      </c>
      <c r="CF24" t="str">
        <f ca="1"/>
        <v>Callous Bloodmage</v>
      </c>
      <c r="CG24" t="str">
        <f ca="1"/>
        <v>Filigree Sages</v>
      </c>
      <c r="CI24" t="str">
        <f ca="1"/>
        <v>Bolsa de Nobre</v>
      </c>
    </row>
    <row r="25" spans="1:87" x14ac:dyDescent="0.25">
      <c r="A25" t="str">
        <f ca="1"/>
        <v>Back in Town</v>
      </c>
      <c r="B25" s="3" t="str" cm="1">
        <f t="array" aca="1" ref="B25" ca="1">_xlfn.ANCHORARRAY(RESUMO!C24)</f>
        <v>Piratas</v>
      </c>
      <c r="C25" s="3" t="str">
        <f t="shared" ca="1" si="0"/>
        <v/>
      </c>
      <c r="E25" t="str">
        <f ca="1"/>
        <v>Botas do Desbravador</v>
      </c>
      <c r="F25" s="3">
        <f t="shared" ca="1" si="1"/>
        <v>1</v>
      </c>
      <c r="G25" s="3" t="str">
        <f t="shared" ca="1" si="2"/>
        <v>Narset</v>
      </c>
      <c r="M25" t="str">
        <f ca="1"/>
        <v>Botas do Desbravador</v>
      </c>
      <c r="N25" s="3">
        <f t="shared" ca="1" si="3"/>
        <v>1</v>
      </c>
      <c r="O25" s="3" t="str">
        <f ca="1">IFERROR(
 INDEX($T$2:$AW$2,
  MATCH(TRUE,
   CHOOSE({1;2;3;4;5;6;7;8;9;10;11;12;13;14;15;16;17;18;19;20;21;22;23;24;25;26;27;28;29;30;31;32},
    COUNTIFS($T$3:$T$201,$M25)&gt;0,
    COUNTIFS($U$3:$U$201,$M25)&gt;0,
    COUNTIFS($V$3:$V$201,$M25)&gt;0,
    COUNTIFS($W$3:$W$201,$M25)&gt;0,
    COUNTIFS($X$3:$X$201,$M25)&gt;0,
    COUNTIFS($Y$3:$Y$201,$M25)&gt;0,
    COUNTIFS($Z$3:$Z$201,$M25)&gt;0,
    COUNTIFS($AA$3:$AA$201,$M25)&gt;0,
    COUNTIFS($AB$3:$AB$201,$M25)&gt;0,
    COUNTIFS($AC$3:$AC$201,$M25)&gt;0,
    COUNTIFS($AD$3:$AD$201,$M25)&gt;0,
    COUNTIFS($AE$3:$AE$201,$M25)&gt;0,
    COUNTIFS($AF$3:$AF$201,$M25)&gt;0,
    COUNTIFS($AG$3:$AG$201,$M25)&gt;0,
    COUNTIFS($AH$3:$AH$201,$M25)&gt;0,
    COUNTIFS($AI$3:$AI$201,$M25)&gt;0,
    COUNTIFS($AJ$3:$AJ$201,$M25)&gt;0,
    COUNTIFS($AK$3:$AK$201,$M25)&gt;0,
    COUNTIFS($AL$3:$AL$201,$M25)&gt;0,
    COUNTIFS($AM$3:$AM$201,$M25)&gt;0,
    COUNTIFS($AN$3:$AN$201,$M25)&gt;0,
    COUNTIFS($AO$3:$AO$201,$M25)&gt;0,
    COUNTIFS($AP$3:$AP$201,$M25)&gt;0,
    COUNTIFS($AQ$3:$AQ$201,$M25)&gt;0,
    COUNTIFS($AR$3:$AR$201,$M25)&gt;0,
    COUNTIFS($AS$3:$AS$201,$M25)&gt;0,
    COUNTIFS($AT$3:$AT$201,$M25)&gt;0,
    COUNTIFS($AU$3:$AU$201,$M25)&gt;0,
    COUNTIFS($AV$3:$AV$201,$M25)&gt;0,
    COUNTIFS($AW$3:$AW$201,$M25)&gt;0
   ),
  0)
 ),
"")</f>
        <v>Narset</v>
      </c>
      <c r="P25" s="3" t="str" cm="1">
        <f t="array" aca="1" ref="P25" ca="1">IFERROR(
 INDEX(
  _xlfn._xlws.FILTER($T$2:$AW$2,
   TRANSPOSE(
    CHOOSE({1;2;3;4;5;6;7;8;9;10;11;12;13;14;15;16;17;18;19;20;21;22;23;24;25;26;27;28;29;30},
     COUNTIFS($T$3:$T$201,$M25)&gt;0,
     COUNTIFS($U$3:$U$201,$M25)&gt;0,
     COUNTIFS($V$3:$V$201,$M25)&gt;0,
     COUNTIFS($W$3:$W$201,$M25)&gt;0,
     COUNTIFS($X$3:$X$201,$M25)&gt;0,
     COUNTIFS($Y$3:$Y$201,$M25)&gt;0,
     COUNTIFS($Z$3:$Z$201,$M25)&gt;0,
     COUNTIFS($AA$3:$AA$201,$M25)&gt;0,
     COUNTIFS($AB$3:$AB$201,$M25)&gt;0,
     COUNTIFS($AC$3:$AC$201,$M25)&gt;0,
     COUNTIFS($AD$3:$AD$201,$M25)&gt;0,
     COUNTIFS($AE$3:$AE$201,$M25)&gt;0,
     COUNTIFS($AF$3:$AF$201,$M25)&gt;0,
     COUNTIFS($AG$3:$AG$201,$M25)&gt;0,
     COUNTIFS($AH$3:$AH$201,$M25)&gt;0,
     COUNTIFS($AI$3:$AI$201,$M25)&gt;0,
     COUNTIFS($AJ$3:$AJ$201,$M25)&gt;0,
     COUNTIFS($AK$3:$AK$201,$M25)&gt;0,
     COUNTIFS($AL$3:$AL$201,$M25)&gt;0,
     COUNTIFS($AM$3:$AM$201,$M25)&gt;0,
     COUNTIFS($AN$3:$AN$201,$M25)&gt;0,
     COUNTIFS($AO$3:$AO$201,$M25)&gt;0,
     COUNTIFS($AP$3:$AP$201,$M25)&gt;0,
     COUNTIFS($AQ$3:$AQ$201,$M25)&gt;0,
     COUNTIFS($AR$3:$AR$201,$M25)&gt;0,
     COUNTIFS($AS$3:$AS$201,$M25)&gt;0,
     COUNTIFS($AT$3:$AT$201,$M25)&gt;0,
     COUNTIFS($AU$3:$AU$201,$M25)&gt;0,
     COUNTIFS($AV$3:$AV$201,$M25)&gt;0,
     COUNTIFS($AW$3:$AW$201,$M25)&gt;0
   )),
  ),
  2
 ),
"")</f>
        <v/>
      </c>
      <c r="Q25" s="3" t="str" cm="1">
        <f t="array" aca="1" ref="Q25" ca="1">IFERROR(
 INDEX(
  _xlfn._xlws.FILTER($T$2:$AW$2,
   TRANSPOSE(
    CHOOSE({1;2;3;4;5;6;7;8;9;10;11;12;13;14;15;16;17;18;19;20;21;22;23;24;25;26;27;28;29;30},
     COUNTIFS($T$3:$T$201,$M25)&gt;0,
     COUNTIFS($U$3:$U$201,$M25)&gt;0,
     COUNTIFS($V$3:$V$201,$M25)&gt;0,
     COUNTIFS($W$3:$W$201,$M25)&gt;0,
     COUNTIFS($X$3:$X$201,$M25)&gt;0,
     COUNTIFS($Y$3:$Y$201,$M25)&gt;0,
     COUNTIFS($Z$3:$Z$201,$M25)&gt;0,
     COUNTIFS($AA$3:$AA$201,$M25)&gt;0,
     COUNTIFS($AB$3:$AB$201,$M25)&gt;0,
     COUNTIFS($AC$3:$AC$201,$M25)&gt;0,
     COUNTIFS($AD$3:$AD$201,$M25)&gt;0,
     COUNTIFS($AE$3:$AE$201,$M25)&gt;0,
     COUNTIFS($AF$3:$AF$201,$M25)&gt;0,
     COUNTIFS($AG$3:$AG$201,$M25)&gt;0,
     COUNTIFS($AH$3:$AH$201,$M25)&gt;0,
     COUNTIFS($AI$3:$AI$201,$M25)&gt;0,
     COUNTIFS($AJ$3:$AJ$201,$M25)&gt;0,
     COUNTIFS($AK$3:$AK$201,$M25)&gt;0,
     COUNTIFS($AL$3:$AL$201,$M25)&gt;0,
     COUNTIFS($AM$3:$AM$201,$M25)&gt;0,
     COUNTIFS($AN$3:$AN$201,$M25)&gt;0,
     COUNTIFS($AO$3:$AO$201,$M25)&gt;0,
     COUNTIFS($AP$3:$AP$201,$M25)&gt;0,
     COUNTIFS($AQ$3:$AQ$201,$M25)&gt;0,
     COUNTIFS($AR$3:$AR$201,$M25)&gt;0,
     COUNTIFS($AS$3:$AS$201,$M25)&gt;0,
     COUNTIFS($AT$3:$AT$201,$M25)&gt;0,
     COUNTIFS($AU$3:$AU$201,$M25)&gt;0,
     COUNTIFS($AV$3:$AV$201,$M25)&gt;0,
     COUNTIFS($AW$3:$AW$201,$M25)&gt;0
   )),
  ),
  3
 ),
"")</f>
        <v/>
      </c>
      <c r="R25" s="3" t="str" cm="1">
        <f t="array" aca="1" ref="R25" ca="1">IFERROR(
 INDEX(
  _xlfn._xlws.FILTER($T$2:$AW$2,
   TRANSPOSE(
    CHOOSE({1;2;3;4;5;6;7;8;9;10;11;12;13;14;15;16;17;18;19;20;21;22;23;24;25;26;27;28;29;30},
     COUNTIFS($T$3:$T$201,$M25)&gt;0,
     COUNTIFS($U$3:$U$201,$M25)&gt;0,
     COUNTIFS($V$3:$V$201,$M25)&gt;0,
     COUNTIFS($W$3:$W$201,$M25)&gt;0,
     COUNTIFS($X$3:$X$201,$M25)&gt;0,
     COUNTIFS($Y$3:$Y$201,$M25)&gt;0,
     COUNTIFS($Z$3:$Z$201,$M25)&gt;0,
     COUNTIFS($AA$3:$AA$201,$M25)&gt;0,
     COUNTIFS($AB$3:$AB$201,$M25)&gt;0,
     COUNTIFS($AC$3:$AC$201,$M25)&gt;0,
     COUNTIFS($AD$3:$AD$201,$M25)&gt;0,
     COUNTIFS($AE$3:$AE$201,$M25)&gt;0,
     COUNTIFS($AF$3:$AF$201,$M25)&gt;0,
     COUNTIFS($AG$3:$AG$201,$M25)&gt;0,
     COUNTIFS($AH$3:$AH$201,$M25)&gt;0,
     COUNTIFS($AI$3:$AI$201,$M25)&gt;0,
     COUNTIFS($AJ$3:$AJ$201,$M25)&gt;0,
     COUNTIFS($AK$3:$AK$201,$M25)&gt;0,
     COUNTIFS($AL$3:$AL$201,$M25)&gt;0,
     COUNTIFS($AM$3:$AM$201,$M25)&gt;0,
     COUNTIFS($AN$3:$AN$201,$M25)&gt;0,
     COUNTIFS($AO$3:$AO$201,$M25)&gt;0,
     COUNTIFS($AP$3:$AP$201,$M25)&gt;0,
     COUNTIFS($AQ$3:$AQ$201,$M25)&gt;0,
     COUNTIFS($AR$3:$AR$201,$M25)&gt;0,
     COUNTIFS($AS$3:$AS$201,$M25)&gt;0,
     COUNTIFS($AT$3:$AT$201,$M25)&gt;0,
     COUNTIFS($AU$3:$AU$201,$M25)&gt;0,
     COUNTIFS($AV$3:$AV$201,$M25)&gt;0,
     COUNTIFS($AW$3:$AW$201,$M25)&gt;0
   )),
  ),
  4
 ),
"")</f>
        <v/>
      </c>
      <c r="U25" t="str">
        <v>Taverneiro Prospero</v>
      </c>
      <c r="V25" t="str">
        <v>Sanctum of Calm Waters</v>
      </c>
      <c r="W25" t="str">
        <v>Rumor Gatherer</v>
      </c>
      <c r="AW25" t="str">
        <v>Santuário dos Moldadores</v>
      </c>
      <c r="BA25" t="str">
        <f ca="1"/>
        <v>Panorama de Naya</v>
      </c>
      <c r="BB25" t="str">
        <f ca="1"/>
        <v>Omen of the Sea</v>
      </c>
      <c r="BC25" t="str">
        <f ca="1"/>
        <v>Ranger of Eos</v>
      </c>
      <c r="BD25" t="str">
        <f ca="1"/>
        <v>Recuperação das Gavinhas Bolorentas</v>
      </c>
      <c r="BH25" t="str">
        <f ca="1"/>
        <v>Urza Assembles the Titans</v>
      </c>
      <c r="BO25" t="str">
        <f ca="1"/>
        <v>Santuário dos Moldadores</v>
      </c>
      <c r="BR25" t="str">
        <f ca="1"/>
        <v>Forest</v>
      </c>
      <c r="BS25" t="str">
        <f ca="1"/>
        <v>Eureka Moment</v>
      </c>
      <c r="BT25" t="str">
        <f ca="1"/>
        <v>Pântano</v>
      </c>
      <c r="BU25" t="str">
        <f ca="1"/>
        <v>Nicol Bolas, Dragon-God</v>
      </c>
      <c r="BW25" t="str">
        <f ca="1"/>
        <v>Thirst for Knowledge</v>
      </c>
      <c r="BY25" t="str">
        <f ca="1"/>
        <v>Santuário dos Moldadores</v>
      </c>
      <c r="CA25" t="str">
        <f ca="1"/>
        <v>Counterflux</v>
      </c>
      <c r="CB25" t="str">
        <f ca="1"/>
        <v>Flagelo das Frotas</v>
      </c>
      <c r="CC25" t="str">
        <f ca="1"/>
        <v>Nezahal, Maré Primordial</v>
      </c>
      <c r="CD25" t="str">
        <f ca="1"/>
        <v>Mind Stone</v>
      </c>
      <c r="CF25" t="str">
        <f ca="1"/>
        <v>Canalizadora de Fluxos</v>
      </c>
      <c r="CG25" t="str">
        <f ca="1"/>
        <v>Floresta</v>
      </c>
      <c r="CI25" t="str">
        <f ca="1"/>
        <v>Botas do Desbravador</v>
      </c>
    </row>
    <row r="26" spans="1:87" x14ac:dyDescent="0.25">
      <c r="A26" t="str">
        <f ca="1"/>
        <v>Badgermole</v>
      </c>
      <c r="B26" s="3" t="str" cm="1">
        <f t="array" aca="1" ref="B26" ca="1">_xlfn.ANCHORARRAY(RESUMO!C25)</f>
        <v>Modular</v>
      </c>
      <c r="C26" s="3" t="str">
        <f t="shared" ca="1" si="0"/>
        <v/>
      </c>
      <c r="E26" t="str">
        <f ca="1"/>
        <v>Brainstorm</v>
      </c>
      <c r="F26" s="3">
        <f t="shared" ca="1" si="1"/>
        <v>1</v>
      </c>
      <c r="G26" s="3" t="str">
        <f t="shared" ca="1" si="2"/>
        <v>Muzzio</v>
      </c>
      <c r="M26" t="str">
        <f ca="1"/>
        <v>Brainstorm</v>
      </c>
      <c r="N26" s="3">
        <f t="shared" ca="1" si="3"/>
        <v>1</v>
      </c>
      <c r="O26" s="3" t="str">
        <f ca="1">IFERROR(
 INDEX($T$2:$AW$2,
  MATCH(TRUE,
   CHOOSE({1;2;3;4;5;6;7;8;9;10;11;12;13;14;15;16;17;18;19;20;21;22;23;24;25;26;27;28;29;30;31;32},
    COUNTIFS($T$3:$T$201,$M26)&gt;0,
    COUNTIFS($U$3:$U$201,$M26)&gt;0,
    COUNTIFS($V$3:$V$201,$M26)&gt;0,
    COUNTIFS($W$3:$W$201,$M26)&gt;0,
    COUNTIFS($X$3:$X$201,$M26)&gt;0,
    COUNTIFS($Y$3:$Y$201,$M26)&gt;0,
    COUNTIFS($Z$3:$Z$201,$M26)&gt;0,
    COUNTIFS($AA$3:$AA$201,$M26)&gt;0,
    COUNTIFS($AB$3:$AB$201,$M26)&gt;0,
    COUNTIFS($AC$3:$AC$201,$M26)&gt;0,
    COUNTIFS($AD$3:$AD$201,$M26)&gt;0,
    COUNTIFS($AE$3:$AE$201,$M26)&gt;0,
    COUNTIFS($AF$3:$AF$201,$M26)&gt;0,
    COUNTIFS($AG$3:$AG$201,$M26)&gt;0,
    COUNTIFS($AH$3:$AH$201,$M26)&gt;0,
    COUNTIFS($AI$3:$AI$201,$M26)&gt;0,
    COUNTIFS($AJ$3:$AJ$201,$M26)&gt;0,
    COUNTIFS($AK$3:$AK$201,$M26)&gt;0,
    COUNTIFS($AL$3:$AL$201,$M26)&gt;0,
    COUNTIFS($AM$3:$AM$201,$M26)&gt;0,
    COUNTIFS($AN$3:$AN$201,$M26)&gt;0,
    COUNTIFS($AO$3:$AO$201,$M26)&gt;0,
    COUNTIFS($AP$3:$AP$201,$M26)&gt;0,
    COUNTIFS($AQ$3:$AQ$201,$M26)&gt;0,
    COUNTIFS($AR$3:$AR$201,$M26)&gt;0,
    COUNTIFS($AS$3:$AS$201,$M26)&gt;0,
    COUNTIFS($AT$3:$AT$201,$M26)&gt;0,
    COUNTIFS($AU$3:$AU$201,$M26)&gt;0,
    COUNTIFS($AV$3:$AV$201,$M26)&gt;0,
    COUNTIFS($AW$3:$AW$201,$M26)&gt;0
   ),
  0)
 ),
"")</f>
        <v>Muzzio</v>
      </c>
      <c r="P26" s="3" t="str" cm="1">
        <f t="array" aca="1" ref="P26" ca="1">IFERROR(
 INDEX(
  _xlfn._xlws.FILTER($T$2:$AW$2,
   TRANSPOSE(
    CHOOSE({1;2;3;4;5;6;7;8;9;10;11;12;13;14;15;16;17;18;19;20;21;22;23;24;25;26;27;28;29;30},
     COUNTIFS($T$3:$T$201,$M26)&gt;0,
     COUNTIFS($U$3:$U$201,$M26)&gt;0,
     COUNTIFS($V$3:$V$201,$M26)&gt;0,
     COUNTIFS($W$3:$W$201,$M26)&gt;0,
     COUNTIFS($X$3:$X$201,$M26)&gt;0,
     COUNTIFS($Y$3:$Y$201,$M26)&gt;0,
     COUNTIFS($Z$3:$Z$201,$M26)&gt;0,
     COUNTIFS($AA$3:$AA$201,$M26)&gt;0,
     COUNTIFS($AB$3:$AB$201,$M26)&gt;0,
     COUNTIFS($AC$3:$AC$201,$M26)&gt;0,
     COUNTIFS($AD$3:$AD$201,$M26)&gt;0,
     COUNTIFS($AE$3:$AE$201,$M26)&gt;0,
     COUNTIFS($AF$3:$AF$201,$M26)&gt;0,
     COUNTIFS($AG$3:$AG$201,$M26)&gt;0,
     COUNTIFS($AH$3:$AH$201,$M26)&gt;0,
     COUNTIFS($AI$3:$AI$201,$M26)&gt;0,
     COUNTIFS($AJ$3:$AJ$201,$M26)&gt;0,
     COUNTIFS($AK$3:$AK$201,$M26)&gt;0,
     COUNTIFS($AL$3:$AL$201,$M26)&gt;0,
     COUNTIFS($AM$3:$AM$201,$M26)&gt;0,
     COUNTIFS($AN$3:$AN$201,$M26)&gt;0,
     COUNTIFS($AO$3:$AO$201,$M26)&gt;0,
     COUNTIFS($AP$3:$AP$201,$M26)&gt;0,
     COUNTIFS($AQ$3:$AQ$201,$M26)&gt;0,
     COUNTIFS($AR$3:$AR$201,$M26)&gt;0,
     COUNTIFS($AS$3:$AS$201,$M26)&gt;0,
     COUNTIFS($AT$3:$AT$201,$M26)&gt;0,
     COUNTIFS($AU$3:$AU$201,$M26)&gt;0,
     COUNTIFS($AV$3:$AV$201,$M26)&gt;0,
     COUNTIFS($AW$3:$AW$201,$M26)&gt;0
   )),
  ),
  2
 ),
"")</f>
        <v/>
      </c>
      <c r="Q26" s="3" t="str" cm="1">
        <f t="array" aca="1" ref="Q26" ca="1">IFERROR(
 INDEX(
  _xlfn._xlws.FILTER($T$2:$AW$2,
   TRANSPOSE(
    CHOOSE({1;2;3;4;5;6;7;8;9;10;11;12;13;14;15;16;17;18;19;20;21;22;23;24;25;26;27;28;29;30},
     COUNTIFS($T$3:$T$201,$M26)&gt;0,
     COUNTIFS($U$3:$U$201,$M26)&gt;0,
     COUNTIFS($V$3:$V$201,$M26)&gt;0,
     COUNTIFS($W$3:$W$201,$M26)&gt;0,
     COUNTIFS($X$3:$X$201,$M26)&gt;0,
     COUNTIFS($Y$3:$Y$201,$M26)&gt;0,
     COUNTIFS($Z$3:$Z$201,$M26)&gt;0,
     COUNTIFS($AA$3:$AA$201,$M26)&gt;0,
     COUNTIFS($AB$3:$AB$201,$M26)&gt;0,
     COUNTIFS($AC$3:$AC$201,$M26)&gt;0,
     COUNTIFS($AD$3:$AD$201,$M26)&gt;0,
     COUNTIFS($AE$3:$AE$201,$M26)&gt;0,
     COUNTIFS($AF$3:$AF$201,$M26)&gt;0,
     COUNTIFS($AG$3:$AG$201,$M26)&gt;0,
     COUNTIFS($AH$3:$AH$201,$M26)&gt;0,
     COUNTIFS($AI$3:$AI$201,$M26)&gt;0,
     COUNTIFS($AJ$3:$AJ$201,$M26)&gt;0,
     COUNTIFS($AK$3:$AK$201,$M26)&gt;0,
     COUNTIFS($AL$3:$AL$201,$M26)&gt;0,
     COUNTIFS($AM$3:$AM$201,$M26)&gt;0,
     COUNTIFS($AN$3:$AN$201,$M26)&gt;0,
     COUNTIFS($AO$3:$AO$201,$M26)&gt;0,
     COUNTIFS($AP$3:$AP$201,$M26)&gt;0,
     COUNTIFS($AQ$3:$AQ$201,$M26)&gt;0,
     COUNTIFS($AR$3:$AR$201,$M26)&gt;0,
     COUNTIFS($AS$3:$AS$201,$M26)&gt;0,
     COUNTIFS($AT$3:$AT$201,$M26)&gt;0,
     COUNTIFS($AU$3:$AU$201,$M26)&gt;0,
     COUNTIFS($AV$3:$AV$201,$M26)&gt;0,
     COUNTIFS($AW$3:$AW$201,$M26)&gt;0
   )),
  ),
  3
 ),
"")</f>
        <v/>
      </c>
      <c r="R26" s="3" t="str" cm="1">
        <f t="array" aca="1" ref="R26" ca="1">IFERROR(
 INDEX(
  _xlfn._xlws.FILTER($T$2:$AW$2,
   TRANSPOSE(
    CHOOSE({1;2;3;4;5;6;7;8;9;10;11;12;13;14;15;16;17;18;19;20;21;22;23;24;25;26;27;28;29;30},
     COUNTIFS($T$3:$T$201,$M26)&gt;0,
     COUNTIFS($U$3:$U$201,$M26)&gt;0,
     COUNTIFS($V$3:$V$201,$M26)&gt;0,
     COUNTIFS($W$3:$W$201,$M26)&gt;0,
     COUNTIFS($X$3:$X$201,$M26)&gt;0,
     COUNTIFS($Y$3:$Y$201,$M26)&gt;0,
     COUNTIFS($Z$3:$Z$201,$M26)&gt;0,
     COUNTIFS($AA$3:$AA$201,$M26)&gt;0,
     COUNTIFS($AB$3:$AB$201,$M26)&gt;0,
     COUNTIFS($AC$3:$AC$201,$M26)&gt;0,
     COUNTIFS($AD$3:$AD$201,$M26)&gt;0,
     COUNTIFS($AE$3:$AE$201,$M26)&gt;0,
     COUNTIFS($AF$3:$AF$201,$M26)&gt;0,
     COUNTIFS($AG$3:$AG$201,$M26)&gt;0,
     COUNTIFS($AH$3:$AH$201,$M26)&gt;0,
     COUNTIFS($AI$3:$AI$201,$M26)&gt;0,
     COUNTIFS($AJ$3:$AJ$201,$M26)&gt;0,
     COUNTIFS($AK$3:$AK$201,$M26)&gt;0,
     COUNTIFS($AL$3:$AL$201,$M26)&gt;0,
     COUNTIFS($AM$3:$AM$201,$M26)&gt;0,
     COUNTIFS($AN$3:$AN$201,$M26)&gt;0,
     COUNTIFS($AO$3:$AO$201,$M26)&gt;0,
     COUNTIFS($AP$3:$AP$201,$M26)&gt;0,
     COUNTIFS($AQ$3:$AQ$201,$M26)&gt;0,
     COUNTIFS($AR$3:$AR$201,$M26)&gt;0,
     COUNTIFS($AS$3:$AS$201,$M26)&gt;0,
     COUNTIFS($AT$3:$AT$201,$M26)&gt;0,
     COUNTIFS($AU$3:$AU$201,$M26)&gt;0,
     COUNTIFS($AV$3:$AV$201,$M26)&gt;0,
     COUNTIFS($AW$3:$AW$201,$M26)&gt;0
   )),
  ),
  4
 ),
"")</f>
        <v/>
      </c>
      <c r="U26" t="str">
        <v>Tempestade Serelepe</v>
      </c>
      <c r="V26" t="str">
        <v>Surto da Salvação</v>
      </c>
      <c r="W26" t="str">
        <v>Saqueador Saco-de-Carne</v>
      </c>
      <c r="AW26" t="str">
        <v>Urzal Ventoso</v>
      </c>
      <c r="BA26" t="str">
        <f ca="1"/>
        <v>Pilar das Origens</v>
      </c>
      <c r="BB26" t="str">
        <f ca="1"/>
        <v>Ominous Seas</v>
      </c>
      <c r="BC26" t="str">
        <f ca="1"/>
        <v>Reaper's Talisman</v>
      </c>
      <c r="BD26" t="str">
        <f ca="1"/>
        <v>Repudiar // Replicar</v>
      </c>
      <c r="BO26" t="str">
        <f ca="1"/>
        <v>Urzal Ventoso</v>
      </c>
      <c r="BR26" t="str">
        <f ca="1"/>
        <v>Forno da Bruxa</v>
      </c>
      <c r="BS26" t="str">
        <f ca="1"/>
        <v>Extraction Specialist</v>
      </c>
      <c r="BT26" t="str">
        <f ca="1"/>
        <v>Pentavus</v>
      </c>
      <c r="BU26" t="str">
        <f ca="1"/>
        <v>O Ancião Renascido</v>
      </c>
      <c r="BW26" t="str">
        <f ca="1"/>
        <v>Trophy Mage</v>
      </c>
      <c r="BY26" t="str">
        <f ca="1"/>
        <v>Urzal Ventoso</v>
      </c>
      <c r="CA26" t="str">
        <f ca="1"/>
        <v>Countersquall</v>
      </c>
      <c r="CB26" t="str">
        <f ca="1"/>
        <v>Forest</v>
      </c>
      <c r="CC26" t="str">
        <f ca="1"/>
        <v>Nimble Obstructionist</v>
      </c>
      <c r="CD26" t="str">
        <f ca="1"/>
        <v>Montanha</v>
      </c>
      <c r="CF26" t="str">
        <f ca="1"/>
        <v>Ceifador da Meia-Noite</v>
      </c>
      <c r="CG26" t="str">
        <f ca="1"/>
        <v>Forest</v>
      </c>
      <c r="CI26" t="str">
        <f ca="1"/>
        <v>Brainstorm</v>
      </c>
    </row>
    <row r="27" spans="1:87" x14ac:dyDescent="0.25">
      <c r="A27" t="str">
        <f ca="1"/>
        <v>Baral, Chief of Compliance</v>
      </c>
      <c r="B27" s="3" t="str" cm="1">
        <f t="array" aca="1" ref="B27" ca="1">_xlfn.ANCHORARRAY(RESUMO!C26)</f>
        <v>Rielle</v>
      </c>
      <c r="C27" s="3" t="str">
        <f t="shared" ca="1" si="0"/>
        <v/>
      </c>
      <c r="E27" t="str">
        <f ca="1"/>
        <v>Bruma Etérea</v>
      </c>
      <c r="F27" s="3">
        <f t="shared" ca="1" si="1"/>
        <v>1</v>
      </c>
      <c r="G27" s="3" t="str">
        <f t="shared" ca="1" si="2"/>
        <v>VialIshai</v>
      </c>
      <c r="M27" t="str">
        <f ca="1"/>
        <v>Bruma Etérea</v>
      </c>
      <c r="N27" s="3">
        <f t="shared" ca="1" si="3"/>
        <v>1</v>
      </c>
      <c r="O27" s="3" t="str">
        <f ca="1">IFERROR(
 INDEX($T$2:$AW$2,
  MATCH(TRUE,
   CHOOSE({1;2;3;4;5;6;7;8;9;10;11;12;13;14;15;16;17;18;19;20;21;22;23;24;25;26;27;28;29;30;31;32},
    COUNTIFS($T$3:$T$201,$M27)&gt;0,
    COUNTIFS($U$3:$U$201,$M27)&gt;0,
    COUNTIFS($V$3:$V$201,$M27)&gt;0,
    COUNTIFS($W$3:$W$201,$M27)&gt;0,
    COUNTIFS($X$3:$X$201,$M27)&gt;0,
    COUNTIFS($Y$3:$Y$201,$M27)&gt;0,
    COUNTIFS($Z$3:$Z$201,$M27)&gt;0,
    COUNTIFS($AA$3:$AA$201,$M27)&gt;0,
    COUNTIFS($AB$3:$AB$201,$M27)&gt;0,
    COUNTIFS($AC$3:$AC$201,$M27)&gt;0,
    COUNTIFS($AD$3:$AD$201,$M27)&gt;0,
    COUNTIFS($AE$3:$AE$201,$M27)&gt;0,
    COUNTIFS($AF$3:$AF$201,$M27)&gt;0,
    COUNTIFS($AG$3:$AG$201,$M27)&gt;0,
    COUNTIFS($AH$3:$AH$201,$M27)&gt;0,
    COUNTIFS($AI$3:$AI$201,$M27)&gt;0,
    COUNTIFS($AJ$3:$AJ$201,$M27)&gt;0,
    COUNTIFS($AK$3:$AK$201,$M27)&gt;0,
    COUNTIFS($AL$3:$AL$201,$M27)&gt;0,
    COUNTIFS($AM$3:$AM$201,$M27)&gt;0,
    COUNTIFS($AN$3:$AN$201,$M27)&gt;0,
    COUNTIFS($AO$3:$AO$201,$M27)&gt;0,
    COUNTIFS($AP$3:$AP$201,$M27)&gt;0,
    COUNTIFS($AQ$3:$AQ$201,$M27)&gt;0,
    COUNTIFS($AR$3:$AR$201,$M27)&gt;0,
    COUNTIFS($AS$3:$AS$201,$M27)&gt;0,
    COUNTIFS($AT$3:$AT$201,$M27)&gt;0,
    COUNTIFS($AU$3:$AU$201,$M27)&gt;0,
    COUNTIFS($AV$3:$AV$201,$M27)&gt;0,
    COUNTIFS($AW$3:$AW$201,$M27)&gt;0
   ),
  0)
 ),
"")</f>
        <v>VialIshai</v>
      </c>
      <c r="P27" s="3" t="str" cm="1">
        <f t="array" aca="1" ref="P27" ca="1">IFERROR(
 INDEX(
  _xlfn._xlws.FILTER($T$2:$AW$2,
   TRANSPOSE(
    CHOOSE({1;2;3;4;5;6;7;8;9;10;11;12;13;14;15;16;17;18;19;20;21;22;23;24;25;26;27;28;29;30},
     COUNTIFS($T$3:$T$201,$M27)&gt;0,
     COUNTIFS($U$3:$U$201,$M27)&gt;0,
     COUNTIFS($V$3:$V$201,$M27)&gt;0,
     COUNTIFS($W$3:$W$201,$M27)&gt;0,
     COUNTIFS($X$3:$X$201,$M27)&gt;0,
     COUNTIFS($Y$3:$Y$201,$M27)&gt;0,
     COUNTIFS($Z$3:$Z$201,$M27)&gt;0,
     COUNTIFS($AA$3:$AA$201,$M27)&gt;0,
     COUNTIFS($AB$3:$AB$201,$M27)&gt;0,
     COUNTIFS($AC$3:$AC$201,$M27)&gt;0,
     COUNTIFS($AD$3:$AD$201,$M27)&gt;0,
     COUNTIFS($AE$3:$AE$201,$M27)&gt;0,
     COUNTIFS($AF$3:$AF$201,$M27)&gt;0,
     COUNTIFS($AG$3:$AG$201,$M27)&gt;0,
     COUNTIFS($AH$3:$AH$201,$M27)&gt;0,
     COUNTIFS($AI$3:$AI$201,$M27)&gt;0,
     COUNTIFS($AJ$3:$AJ$201,$M27)&gt;0,
     COUNTIFS($AK$3:$AK$201,$M27)&gt;0,
     COUNTIFS($AL$3:$AL$201,$M27)&gt;0,
     COUNTIFS($AM$3:$AM$201,$M27)&gt;0,
     COUNTIFS($AN$3:$AN$201,$M27)&gt;0,
     COUNTIFS($AO$3:$AO$201,$M27)&gt;0,
     COUNTIFS($AP$3:$AP$201,$M27)&gt;0,
     COUNTIFS($AQ$3:$AQ$201,$M27)&gt;0,
     COUNTIFS($AR$3:$AR$201,$M27)&gt;0,
     COUNTIFS($AS$3:$AS$201,$M27)&gt;0,
     COUNTIFS($AT$3:$AT$201,$M27)&gt;0,
     COUNTIFS($AU$3:$AU$201,$M27)&gt;0,
     COUNTIFS($AV$3:$AV$201,$M27)&gt;0,
     COUNTIFS($AW$3:$AW$201,$M27)&gt;0
   )),
  ),
  2
 ),
"")</f>
        <v/>
      </c>
      <c r="Q27" s="3" t="str" cm="1">
        <f t="array" aca="1" ref="Q27" ca="1">IFERROR(
 INDEX(
  _xlfn._xlws.FILTER($T$2:$AW$2,
   TRANSPOSE(
    CHOOSE({1;2;3;4;5;6;7;8;9;10;11;12;13;14;15;16;17;18;19;20;21;22;23;24;25;26;27;28;29;30},
     COUNTIFS($T$3:$T$201,$M27)&gt;0,
     COUNTIFS($U$3:$U$201,$M27)&gt;0,
     COUNTIFS($V$3:$V$201,$M27)&gt;0,
     COUNTIFS($W$3:$W$201,$M27)&gt;0,
     COUNTIFS($X$3:$X$201,$M27)&gt;0,
     COUNTIFS($Y$3:$Y$201,$M27)&gt;0,
     COUNTIFS($Z$3:$Z$201,$M27)&gt;0,
     COUNTIFS($AA$3:$AA$201,$M27)&gt;0,
     COUNTIFS($AB$3:$AB$201,$M27)&gt;0,
     COUNTIFS($AC$3:$AC$201,$M27)&gt;0,
     COUNTIFS($AD$3:$AD$201,$M27)&gt;0,
     COUNTIFS($AE$3:$AE$201,$M27)&gt;0,
     COUNTIFS($AF$3:$AF$201,$M27)&gt;0,
     COUNTIFS($AG$3:$AG$201,$M27)&gt;0,
     COUNTIFS($AH$3:$AH$201,$M27)&gt;0,
     COUNTIFS($AI$3:$AI$201,$M27)&gt;0,
     COUNTIFS($AJ$3:$AJ$201,$M27)&gt;0,
     COUNTIFS($AK$3:$AK$201,$M27)&gt;0,
     COUNTIFS($AL$3:$AL$201,$M27)&gt;0,
     COUNTIFS($AM$3:$AM$201,$M27)&gt;0,
     COUNTIFS($AN$3:$AN$201,$M27)&gt;0,
     COUNTIFS($AO$3:$AO$201,$M27)&gt;0,
     COUNTIFS($AP$3:$AP$201,$M27)&gt;0,
     COUNTIFS($AQ$3:$AQ$201,$M27)&gt;0,
     COUNTIFS($AR$3:$AR$201,$M27)&gt;0,
     COUNTIFS($AS$3:$AS$201,$M27)&gt;0,
     COUNTIFS($AT$3:$AT$201,$M27)&gt;0,
     COUNTIFS($AU$3:$AU$201,$M27)&gt;0,
     COUNTIFS($AV$3:$AV$201,$M27)&gt;0,
     COUNTIFS($AW$3:$AW$201,$M27)&gt;0
   )),
  ),
  3
 ),
"")</f>
        <v/>
      </c>
      <c r="R27" s="3" t="str" cm="1">
        <f t="array" aca="1" ref="R27" ca="1">IFERROR(
 INDEX(
  _xlfn._xlws.FILTER($T$2:$AW$2,
   TRANSPOSE(
    CHOOSE({1;2;3;4;5;6;7;8;9;10;11;12;13;14;15;16;17;18;19;20;21;22;23;24;25;26;27;28;29;30},
     COUNTIFS($T$3:$T$201,$M27)&gt;0,
     COUNTIFS($U$3:$U$201,$M27)&gt;0,
     COUNTIFS($V$3:$V$201,$M27)&gt;0,
     COUNTIFS($W$3:$W$201,$M27)&gt;0,
     COUNTIFS($X$3:$X$201,$M27)&gt;0,
     COUNTIFS($Y$3:$Y$201,$M27)&gt;0,
     COUNTIFS($Z$3:$Z$201,$M27)&gt;0,
     COUNTIFS($AA$3:$AA$201,$M27)&gt;0,
     COUNTIFS($AB$3:$AB$201,$M27)&gt;0,
     COUNTIFS($AC$3:$AC$201,$M27)&gt;0,
     COUNTIFS($AD$3:$AD$201,$M27)&gt;0,
     COUNTIFS($AE$3:$AE$201,$M27)&gt;0,
     COUNTIFS($AF$3:$AF$201,$M27)&gt;0,
     COUNTIFS($AG$3:$AG$201,$M27)&gt;0,
     COUNTIFS($AH$3:$AH$201,$M27)&gt;0,
     COUNTIFS($AI$3:$AI$201,$M27)&gt;0,
     COUNTIFS($AJ$3:$AJ$201,$M27)&gt;0,
     COUNTIFS($AK$3:$AK$201,$M27)&gt;0,
     COUNTIFS($AL$3:$AL$201,$M27)&gt;0,
     COUNTIFS($AM$3:$AM$201,$M27)&gt;0,
     COUNTIFS($AN$3:$AN$201,$M27)&gt;0,
     COUNTIFS($AO$3:$AO$201,$M27)&gt;0,
     COUNTIFS($AP$3:$AP$201,$M27)&gt;0,
     COUNTIFS($AQ$3:$AQ$201,$M27)&gt;0,
     COUNTIFS($AR$3:$AR$201,$M27)&gt;0,
     COUNTIFS($AS$3:$AS$201,$M27)&gt;0,
     COUNTIFS($AT$3:$AT$201,$M27)&gt;0,
     COUNTIFS($AU$3:$AU$201,$M27)&gt;0,
     COUNTIFS($AV$3:$AV$201,$M27)&gt;0,
     COUNTIFS($AW$3:$AW$201,$M27)&gt;0
   )),
  ),
  4
 ),
"")</f>
        <v/>
      </c>
      <c r="U27" t="str">
        <v>Terras em Desenvolvimento</v>
      </c>
      <c r="V27" t="str">
        <v>Thrilling Discovery</v>
      </c>
      <c r="W27" t="str">
        <v>Scute Mob</v>
      </c>
      <c r="AW27" t="str">
        <v>Vigor</v>
      </c>
      <c r="BA27" t="str">
        <f ca="1"/>
        <v>Plains</v>
      </c>
      <c r="BB27" t="str">
        <f ca="1"/>
        <v>Optar</v>
      </c>
      <c r="BC27" t="str">
        <f ca="1"/>
        <v>Recifes de Nau-Terror</v>
      </c>
      <c r="BD27" t="str">
        <f ca="1"/>
        <v>Retorno a Natureza</v>
      </c>
      <c r="BO27" t="str">
        <f ca="1"/>
        <v>Vigor</v>
      </c>
      <c r="BR27" t="str">
        <f ca="1"/>
        <v>Fraying Sanity</v>
      </c>
      <c r="BS27" t="str">
        <f ca="1"/>
        <v>Floresta Flagelada</v>
      </c>
      <c r="BT27" t="str">
        <f ca="1"/>
        <v>Restituir</v>
      </c>
      <c r="BU27" t="str">
        <f ca="1"/>
        <v>Oversold Cemetery</v>
      </c>
      <c r="BW27" t="str">
        <f ca="1"/>
        <v>Tumulume</v>
      </c>
      <c r="BY27" t="str">
        <f ca="1"/>
        <v>Vigor</v>
      </c>
      <c r="CA27" t="str">
        <f ca="1"/>
        <v>Crib Swap</v>
      </c>
      <c r="CB27" t="str">
        <f ca="1"/>
        <v>Forja Mística</v>
      </c>
      <c r="CC27" t="str">
        <f ca="1"/>
        <v>Palácio Opulento</v>
      </c>
      <c r="CD27" t="str">
        <f ca="1"/>
        <v>Planície</v>
      </c>
      <c r="CF27" t="str">
        <f ca="1"/>
        <v>Cemetery Tampering</v>
      </c>
      <c r="CG27" t="str">
        <f ca="1"/>
        <v>Fundição dos Cônsules</v>
      </c>
      <c r="CI27" t="str">
        <f ca="1"/>
        <v>Bruma Etérea</v>
      </c>
    </row>
    <row r="28" spans="1:87" x14ac:dyDescent="0.25">
      <c r="A28" t="str">
        <f ca="1"/>
        <v>Batwing Brume</v>
      </c>
      <c r="B28" s="3" t="str" cm="1">
        <f t="array" aca="1" ref="B28" ca="1">_xlfn.ANCHORARRAY(RESUMO!C27)</f>
        <v>VialIshai</v>
      </c>
      <c r="C28" s="3" t="str">
        <f t="shared" ca="1" si="0"/>
        <v/>
      </c>
      <c r="E28" t="str">
        <f ca="1"/>
        <v>Buried Alive</v>
      </c>
      <c r="F28" s="3">
        <f t="shared" ca="1" si="1"/>
        <v>1</v>
      </c>
      <c r="G28" s="3" t="str">
        <f t="shared" ca="1" si="2"/>
        <v>Gritrog</v>
      </c>
      <c r="M28" t="str">
        <f ca="1"/>
        <v>Buried Alive</v>
      </c>
      <c r="N28" s="3">
        <f t="shared" ca="1" si="3"/>
        <v>1</v>
      </c>
      <c r="O28" s="3" t="str">
        <f ca="1">IFERROR(
 INDEX($T$2:$AW$2,
  MATCH(TRUE,
   CHOOSE({1;2;3;4;5;6;7;8;9;10;11;12;13;14;15;16;17;18;19;20;21;22;23;24;25;26;27;28;29;30;31;32},
    COUNTIFS($T$3:$T$201,$M28)&gt;0,
    COUNTIFS($U$3:$U$201,$M28)&gt;0,
    COUNTIFS($V$3:$V$201,$M28)&gt;0,
    COUNTIFS($W$3:$W$201,$M28)&gt;0,
    COUNTIFS($X$3:$X$201,$M28)&gt;0,
    COUNTIFS($Y$3:$Y$201,$M28)&gt;0,
    COUNTIFS($Z$3:$Z$201,$M28)&gt;0,
    COUNTIFS($AA$3:$AA$201,$M28)&gt;0,
    COUNTIFS($AB$3:$AB$201,$M28)&gt;0,
    COUNTIFS($AC$3:$AC$201,$M28)&gt;0,
    COUNTIFS($AD$3:$AD$201,$M28)&gt;0,
    COUNTIFS($AE$3:$AE$201,$M28)&gt;0,
    COUNTIFS($AF$3:$AF$201,$M28)&gt;0,
    COUNTIFS($AG$3:$AG$201,$M28)&gt;0,
    COUNTIFS($AH$3:$AH$201,$M28)&gt;0,
    COUNTIFS($AI$3:$AI$201,$M28)&gt;0,
    COUNTIFS($AJ$3:$AJ$201,$M28)&gt;0,
    COUNTIFS($AK$3:$AK$201,$M28)&gt;0,
    COUNTIFS($AL$3:$AL$201,$M28)&gt;0,
    COUNTIFS($AM$3:$AM$201,$M28)&gt;0,
    COUNTIFS($AN$3:$AN$201,$M28)&gt;0,
    COUNTIFS($AO$3:$AO$201,$M28)&gt;0,
    COUNTIFS($AP$3:$AP$201,$M28)&gt;0,
    COUNTIFS($AQ$3:$AQ$201,$M28)&gt;0,
    COUNTIFS($AR$3:$AR$201,$M28)&gt;0,
    COUNTIFS($AS$3:$AS$201,$M28)&gt;0,
    COUNTIFS($AT$3:$AT$201,$M28)&gt;0,
    COUNTIFS($AU$3:$AU$201,$M28)&gt;0,
    COUNTIFS($AV$3:$AV$201,$M28)&gt;0,
    COUNTIFS($AW$3:$AW$201,$M28)&gt;0
   ),
  0)
 ),
"")</f>
        <v>Gritrog</v>
      </c>
      <c r="P28" s="3" t="str" cm="1">
        <f t="array" aca="1" ref="P28" ca="1">IFERROR(
 INDEX(
  _xlfn._xlws.FILTER($T$2:$AW$2,
   TRANSPOSE(
    CHOOSE({1;2;3;4;5;6;7;8;9;10;11;12;13;14;15;16;17;18;19;20;21;22;23;24;25;26;27;28;29;30},
     COUNTIFS($T$3:$T$201,$M28)&gt;0,
     COUNTIFS($U$3:$U$201,$M28)&gt;0,
     COUNTIFS($V$3:$V$201,$M28)&gt;0,
     COUNTIFS($W$3:$W$201,$M28)&gt;0,
     COUNTIFS($X$3:$X$201,$M28)&gt;0,
     COUNTIFS($Y$3:$Y$201,$M28)&gt;0,
     COUNTIFS($Z$3:$Z$201,$M28)&gt;0,
     COUNTIFS($AA$3:$AA$201,$M28)&gt;0,
     COUNTIFS($AB$3:$AB$201,$M28)&gt;0,
     COUNTIFS($AC$3:$AC$201,$M28)&gt;0,
     COUNTIFS($AD$3:$AD$201,$M28)&gt;0,
     COUNTIFS($AE$3:$AE$201,$M28)&gt;0,
     COUNTIFS($AF$3:$AF$201,$M28)&gt;0,
     COUNTIFS($AG$3:$AG$201,$M28)&gt;0,
     COUNTIFS($AH$3:$AH$201,$M28)&gt;0,
     COUNTIFS($AI$3:$AI$201,$M28)&gt;0,
     COUNTIFS($AJ$3:$AJ$201,$M28)&gt;0,
     COUNTIFS($AK$3:$AK$201,$M28)&gt;0,
     COUNTIFS($AL$3:$AL$201,$M28)&gt;0,
     COUNTIFS($AM$3:$AM$201,$M28)&gt;0,
     COUNTIFS($AN$3:$AN$201,$M28)&gt;0,
     COUNTIFS($AO$3:$AO$201,$M28)&gt;0,
     COUNTIFS($AP$3:$AP$201,$M28)&gt;0,
     COUNTIFS($AQ$3:$AQ$201,$M28)&gt;0,
     COUNTIFS($AR$3:$AR$201,$M28)&gt;0,
     COUNTIFS($AS$3:$AS$201,$M28)&gt;0,
     COUNTIFS($AT$3:$AT$201,$M28)&gt;0,
     COUNTIFS($AU$3:$AU$201,$M28)&gt;0,
     COUNTIFS($AV$3:$AV$201,$M28)&gt;0,
     COUNTIFS($AW$3:$AW$201,$M28)&gt;0
   )),
  ),
  2
 ),
"")</f>
        <v/>
      </c>
      <c r="Q28" s="3" t="str" cm="1">
        <f t="array" aca="1" ref="Q28" ca="1">IFERROR(
 INDEX(
  _xlfn._xlws.FILTER($T$2:$AW$2,
   TRANSPOSE(
    CHOOSE({1;2;3;4;5;6;7;8;9;10;11;12;13;14;15;16;17;18;19;20;21;22;23;24;25;26;27;28;29;30},
     COUNTIFS($T$3:$T$201,$M28)&gt;0,
     COUNTIFS($U$3:$U$201,$M28)&gt;0,
     COUNTIFS($V$3:$V$201,$M28)&gt;0,
     COUNTIFS($W$3:$W$201,$M28)&gt;0,
     COUNTIFS($X$3:$X$201,$M28)&gt;0,
     COUNTIFS($Y$3:$Y$201,$M28)&gt;0,
     COUNTIFS($Z$3:$Z$201,$M28)&gt;0,
     COUNTIFS($AA$3:$AA$201,$M28)&gt;0,
     COUNTIFS($AB$3:$AB$201,$M28)&gt;0,
     COUNTIFS($AC$3:$AC$201,$M28)&gt;0,
     COUNTIFS($AD$3:$AD$201,$M28)&gt;0,
     COUNTIFS($AE$3:$AE$201,$M28)&gt;0,
     COUNTIFS($AF$3:$AF$201,$M28)&gt;0,
     COUNTIFS($AG$3:$AG$201,$M28)&gt;0,
     COUNTIFS($AH$3:$AH$201,$M28)&gt;0,
     COUNTIFS($AI$3:$AI$201,$M28)&gt;0,
     COUNTIFS($AJ$3:$AJ$201,$M28)&gt;0,
     COUNTIFS($AK$3:$AK$201,$M28)&gt;0,
     COUNTIFS($AL$3:$AL$201,$M28)&gt;0,
     COUNTIFS($AM$3:$AM$201,$M28)&gt;0,
     COUNTIFS($AN$3:$AN$201,$M28)&gt;0,
     COUNTIFS($AO$3:$AO$201,$M28)&gt;0,
     COUNTIFS($AP$3:$AP$201,$M28)&gt;0,
     COUNTIFS($AQ$3:$AQ$201,$M28)&gt;0,
     COUNTIFS($AR$3:$AR$201,$M28)&gt;0,
     COUNTIFS($AS$3:$AS$201,$M28)&gt;0,
     COUNTIFS($AT$3:$AT$201,$M28)&gt;0,
     COUNTIFS($AU$3:$AU$201,$M28)&gt;0,
     COUNTIFS($AV$3:$AV$201,$M28)&gt;0,
     COUNTIFS($AW$3:$AW$201,$M28)&gt;0
   )),
  ),
  3
 ),
"")</f>
        <v/>
      </c>
      <c r="R28" s="3" t="str" cm="1">
        <f t="array" aca="1" ref="R28" ca="1">IFERROR(
 INDEX(
  _xlfn._xlws.FILTER($T$2:$AW$2,
   TRANSPOSE(
    CHOOSE({1;2;3;4;5;6;7;8;9;10;11;12;13;14;15;16;17;18;19;20;21;22;23;24;25;26;27;28;29;30},
     COUNTIFS($T$3:$T$201,$M28)&gt;0,
     COUNTIFS($U$3:$U$201,$M28)&gt;0,
     COUNTIFS($V$3:$V$201,$M28)&gt;0,
     COUNTIFS($W$3:$W$201,$M28)&gt;0,
     COUNTIFS($X$3:$X$201,$M28)&gt;0,
     COUNTIFS($Y$3:$Y$201,$M28)&gt;0,
     COUNTIFS($Z$3:$Z$201,$M28)&gt;0,
     COUNTIFS($AA$3:$AA$201,$M28)&gt;0,
     COUNTIFS($AB$3:$AB$201,$M28)&gt;0,
     COUNTIFS($AC$3:$AC$201,$M28)&gt;0,
     COUNTIFS($AD$3:$AD$201,$M28)&gt;0,
     COUNTIFS($AE$3:$AE$201,$M28)&gt;0,
     COUNTIFS($AF$3:$AF$201,$M28)&gt;0,
     COUNTIFS($AG$3:$AG$201,$M28)&gt;0,
     COUNTIFS($AH$3:$AH$201,$M28)&gt;0,
     COUNTIFS($AI$3:$AI$201,$M28)&gt;0,
     COUNTIFS($AJ$3:$AJ$201,$M28)&gt;0,
     COUNTIFS($AK$3:$AK$201,$M28)&gt;0,
     COUNTIFS($AL$3:$AL$201,$M28)&gt;0,
     COUNTIFS($AM$3:$AM$201,$M28)&gt;0,
     COUNTIFS($AN$3:$AN$201,$M28)&gt;0,
     COUNTIFS($AO$3:$AO$201,$M28)&gt;0,
     COUNTIFS($AP$3:$AP$201,$M28)&gt;0,
     COUNTIFS($AQ$3:$AQ$201,$M28)&gt;0,
     COUNTIFS($AR$3:$AR$201,$M28)&gt;0,
     COUNTIFS($AS$3:$AS$201,$M28)&gt;0,
     COUNTIFS($AT$3:$AT$201,$M28)&gt;0,
     COUNTIFS($AU$3:$AU$201,$M28)&gt;0,
     COUNTIFS($AV$3:$AV$201,$M28)&gt;0,
     COUNTIFS($AW$3:$AW$201,$M28)&gt;0
   )),
  ),
  4
 ),
"")</f>
        <v/>
      </c>
      <c r="U28" t="str">
        <v>Titanic Ultimatum</v>
      </c>
      <c r="V28" t="str">
        <v>Tought Vessel</v>
      </c>
      <c r="W28" t="str">
        <v>Solidariedade dos Heróis</v>
      </c>
      <c r="AW28" t="str">
        <v>Wilderness Reclamation</v>
      </c>
      <c r="BA28" t="str">
        <f ca="1"/>
        <v>Polimorfismo em Massa</v>
      </c>
      <c r="BB28" t="str">
        <f ca="1"/>
        <v>Oversold Cemetery</v>
      </c>
      <c r="BC28" t="str">
        <f ca="1"/>
        <v>Rite of the Raging Storm</v>
      </c>
      <c r="BD28" t="str">
        <f ca="1"/>
        <v>Scavenging Ooze</v>
      </c>
      <c r="BO28" t="str">
        <f ca="1"/>
        <v>Wilderness Reclamation</v>
      </c>
      <c r="BR28" t="str">
        <f ca="1"/>
        <v>Garra Krosana</v>
      </c>
      <c r="BS28" t="str">
        <f ca="1"/>
        <v>Forest</v>
      </c>
      <c r="BT28" t="str">
        <f ca="1"/>
        <v>Salvamento Macabro</v>
      </c>
      <c r="BU28" t="str">
        <f ca="1"/>
        <v>Pântano</v>
      </c>
      <c r="BY28" t="str">
        <f ca="1"/>
        <v>Wilderness Reclamation</v>
      </c>
      <c r="CA28" t="str">
        <f ca="1"/>
        <v>Cut your Losses</v>
      </c>
      <c r="CB28" t="str">
        <f ca="1"/>
        <v>Garras do Capitão</v>
      </c>
      <c r="CC28" t="str">
        <f ca="1"/>
        <v>Pântano</v>
      </c>
      <c r="CD28" t="str">
        <f ca="1"/>
        <v>Portão da Guilda Orzhov</v>
      </c>
      <c r="CF28" t="str">
        <f ca="1"/>
        <v>Cervo Brunido</v>
      </c>
      <c r="CG28" t="str">
        <f ca="1"/>
        <v>Fúria de Kazuul</v>
      </c>
      <c r="CI28" t="str">
        <f ca="1"/>
        <v>Buried Alive</v>
      </c>
    </row>
    <row r="29" spans="1:87" x14ac:dyDescent="0.25">
      <c r="A29" t="str">
        <f ca="1"/>
        <v>Beast Within</v>
      </c>
      <c r="B29" s="3" t="str" cm="1">
        <f t="array" aca="1" ref="B29" ca="1">_xlfn.ANCHORARRAY(RESUMO!C28)</f>
        <v>Kumena</v>
      </c>
      <c r="C29" s="3" t="str">
        <f t="shared" ca="1" si="0"/>
        <v>Sisay</v>
      </c>
      <c r="E29" t="str">
        <f ca="1"/>
        <v>Cair sobre os Pecadores</v>
      </c>
      <c r="F29" s="3">
        <f t="shared" ca="1" si="1"/>
        <v>1</v>
      </c>
      <c r="G29" s="3" t="str">
        <f t="shared" ca="1" si="2"/>
        <v>Zedruu</v>
      </c>
      <c r="M29" t="str">
        <f ca="1"/>
        <v>Cair sobre os Pecadores</v>
      </c>
      <c r="N29" s="3">
        <f t="shared" ca="1" si="3"/>
        <v>1</v>
      </c>
      <c r="O29" s="3" t="str">
        <f ca="1">IFERROR(
 INDEX($T$2:$AW$2,
  MATCH(TRUE,
   CHOOSE({1;2;3;4;5;6;7;8;9;10;11;12;13;14;15;16;17;18;19;20;21;22;23;24;25;26;27;28;29;30;31;32},
    COUNTIFS($T$3:$T$201,$M29)&gt;0,
    COUNTIFS($U$3:$U$201,$M29)&gt;0,
    COUNTIFS($V$3:$V$201,$M29)&gt;0,
    COUNTIFS($W$3:$W$201,$M29)&gt;0,
    COUNTIFS($X$3:$X$201,$M29)&gt;0,
    COUNTIFS($Y$3:$Y$201,$M29)&gt;0,
    COUNTIFS($Z$3:$Z$201,$M29)&gt;0,
    COUNTIFS($AA$3:$AA$201,$M29)&gt;0,
    COUNTIFS($AB$3:$AB$201,$M29)&gt;0,
    COUNTIFS($AC$3:$AC$201,$M29)&gt;0,
    COUNTIFS($AD$3:$AD$201,$M29)&gt;0,
    COUNTIFS($AE$3:$AE$201,$M29)&gt;0,
    COUNTIFS($AF$3:$AF$201,$M29)&gt;0,
    COUNTIFS($AG$3:$AG$201,$M29)&gt;0,
    COUNTIFS($AH$3:$AH$201,$M29)&gt;0,
    COUNTIFS($AI$3:$AI$201,$M29)&gt;0,
    COUNTIFS($AJ$3:$AJ$201,$M29)&gt;0,
    COUNTIFS($AK$3:$AK$201,$M29)&gt;0,
    COUNTIFS($AL$3:$AL$201,$M29)&gt;0,
    COUNTIFS($AM$3:$AM$201,$M29)&gt;0,
    COUNTIFS($AN$3:$AN$201,$M29)&gt;0,
    COUNTIFS($AO$3:$AO$201,$M29)&gt;0,
    COUNTIFS($AP$3:$AP$201,$M29)&gt;0,
    COUNTIFS($AQ$3:$AQ$201,$M29)&gt;0,
    COUNTIFS($AR$3:$AR$201,$M29)&gt;0,
    COUNTIFS($AS$3:$AS$201,$M29)&gt;0,
    COUNTIFS($AT$3:$AT$201,$M29)&gt;0,
    COUNTIFS($AU$3:$AU$201,$M29)&gt;0,
    COUNTIFS($AV$3:$AV$201,$M29)&gt;0,
    COUNTIFS($AW$3:$AW$201,$M29)&gt;0
   ),
  0)
 ),
"")</f>
        <v>Zedruu</v>
      </c>
      <c r="P29" s="3" t="str" cm="1">
        <f t="array" aca="1" ref="P29" ca="1">IFERROR(
 INDEX(
  _xlfn._xlws.FILTER($T$2:$AW$2,
   TRANSPOSE(
    CHOOSE({1;2;3;4;5;6;7;8;9;10;11;12;13;14;15;16;17;18;19;20;21;22;23;24;25;26;27;28;29;30},
     COUNTIFS($T$3:$T$201,$M29)&gt;0,
     COUNTIFS($U$3:$U$201,$M29)&gt;0,
     COUNTIFS($V$3:$V$201,$M29)&gt;0,
     COUNTIFS($W$3:$W$201,$M29)&gt;0,
     COUNTIFS($X$3:$X$201,$M29)&gt;0,
     COUNTIFS($Y$3:$Y$201,$M29)&gt;0,
     COUNTIFS($Z$3:$Z$201,$M29)&gt;0,
     COUNTIFS($AA$3:$AA$201,$M29)&gt;0,
     COUNTIFS($AB$3:$AB$201,$M29)&gt;0,
     COUNTIFS($AC$3:$AC$201,$M29)&gt;0,
     COUNTIFS($AD$3:$AD$201,$M29)&gt;0,
     COUNTIFS($AE$3:$AE$201,$M29)&gt;0,
     COUNTIFS($AF$3:$AF$201,$M29)&gt;0,
     COUNTIFS($AG$3:$AG$201,$M29)&gt;0,
     COUNTIFS($AH$3:$AH$201,$M29)&gt;0,
     COUNTIFS($AI$3:$AI$201,$M29)&gt;0,
     COUNTIFS($AJ$3:$AJ$201,$M29)&gt;0,
     COUNTIFS($AK$3:$AK$201,$M29)&gt;0,
     COUNTIFS($AL$3:$AL$201,$M29)&gt;0,
     COUNTIFS($AM$3:$AM$201,$M29)&gt;0,
     COUNTIFS($AN$3:$AN$201,$M29)&gt;0,
     COUNTIFS($AO$3:$AO$201,$M29)&gt;0,
     COUNTIFS($AP$3:$AP$201,$M29)&gt;0,
     COUNTIFS($AQ$3:$AQ$201,$M29)&gt;0,
     COUNTIFS($AR$3:$AR$201,$M29)&gt;0,
     COUNTIFS($AS$3:$AS$201,$M29)&gt;0,
     COUNTIFS($AT$3:$AT$201,$M29)&gt;0,
     COUNTIFS($AU$3:$AU$201,$M29)&gt;0,
     COUNTIFS($AV$3:$AV$201,$M29)&gt;0,
     COUNTIFS($AW$3:$AW$201,$M29)&gt;0
   )),
  ),
  2
 ),
"")</f>
        <v/>
      </c>
      <c r="Q29" s="3" t="str" cm="1">
        <f t="array" aca="1" ref="Q29" ca="1">IFERROR(
 INDEX(
  _xlfn._xlws.FILTER($T$2:$AW$2,
   TRANSPOSE(
    CHOOSE({1;2;3;4;5;6;7;8;9;10;11;12;13;14;15;16;17;18;19;20;21;22;23;24;25;26;27;28;29;30},
     COUNTIFS($T$3:$T$201,$M29)&gt;0,
     COUNTIFS($U$3:$U$201,$M29)&gt;0,
     COUNTIFS($V$3:$V$201,$M29)&gt;0,
     COUNTIFS($W$3:$W$201,$M29)&gt;0,
     COUNTIFS($X$3:$X$201,$M29)&gt;0,
     COUNTIFS($Y$3:$Y$201,$M29)&gt;0,
     COUNTIFS($Z$3:$Z$201,$M29)&gt;0,
     COUNTIFS($AA$3:$AA$201,$M29)&gt;0,
     COUNTIFS($AB$3:$AB$201,$M29)&gt;0,
     COUNTIFS($AC$3:$AC$201,$M29)&gt;0,
     COUNTIFS($AD$3:$AD$201,$M29)&gt;0,
     COUNTIFS($AE$3:$AE$201,$M29)&gt;0,
     COUNTIFS($AF$3:$AF$201,$M29)&gt;0,
     COUNTIFS($AG$3:$AG$201,$M29)&gt;0,
     COUNTIFS($AH$3:$AH$201,$M29)&gt;0,
     COUNTIFS($AI$3:$AI$201,$M29)&gt;0,
     COUNTIFS($AJ$3:$AJ$201,$M29)&gt;0,
     COUNTIFS($AK$3:$AK$201,$M29)&gt;0,
     COUNTIFS($AL$3:$AL$201,$M29)&gt;0,
     COUNTIFS($AM$3:$AM$201,$M29)&gt;0,
     COUNTIFS($AN$3:$AN$201,$M29)&gt;0,
     COUNTIFS($AO$3:$AO$201,$M29)&gt;0,
     COUNTIFS($AP$3:$AP$201,$M29)&gt;0,
     COUNTIFS($AQ$3:$AQ$201,$M29)&gt;0,
     COUNTIFS($AR$3:$AR$201,$M29)&gt;0,
     COUNTIFS($AS$3:$AS$201,$M29)&gt;0,
     COUNTIFS($AT$3:$AT$201,$M29)&gt;0,
     COUNTIFS($AU$3:$AU$201,$M29)&gt;0,
     COUNTIFS($AV$3:$AV$201,$M29)&gt;0,
     COUNTIFS($AW$3:$AW$201,$M29)&gt;0
   )),
  ),
  3
 ),
"")</f>
        <v/>
      </c>
      <c r="R29" s="3" t="str" cm="1">
        <f t="array" aca="1" ref="R29" ca="1">IFERROR(
 INDEX(
  _xlfn._xlws.FILTER($T$2:$AW$2,
   TRANSPOSE(
    CHOOSE({1;2;3;4;5;6;7;8;9;10;11;12;13;14;15;16;17;18;19;20;21;22;23;24;25;26;27;28;29;30},
     COUNTIFS($T$3:$T$201,$M29)&gt;0,
     COUNTIFS($U$3:$U$201,$M29)&gt;0,
     COUNTIFS($V$3:$V$201,$M29)&gt;0,
     COUNTIFS($W$3:$W$201,$M29)&gt;0,
     COUNTIFS($X$3:$X$201,$M29)&gt;0,
     COUNTIFS($Y$3:$Y$201,$M29)&gt;0,
     COUNTIFS($Z$3:$Z$201,$M29)&gt;0,
     COUNTIFS($AA$3:$AA$201,$M29)&gt;0,
     COUNTIFS($AB$3:$AB$201,$M29)&gt;0,
     COUNTIFS($AC$3:$AC$201,$M29)&gt;0,
     COUNTIFS($AD$3:$AD$201,$M29)&gt;0,
     COUNTIFS($AE$3:$AE$201,$M29)&gt;0,
     COUNTIFS($AF$3:$AF$201,$M29)&gt;0,
     COUNTIFS($AG$3:$AG$201,$M29)&gt;0,
     COUNTIFS($AH$3:$AH$201,$M29)&gt;0,
     COUNTIFS($AI$3:$AI$201,$M29)&gt;0,
     COUNTIFS($AJ$3:$AJ$201,$M29)&gt;0,
     COUNTIFS($AK$3:$AK$201,$M29)&gt;0,
     COUNTIFS($AL$3:$AL$201,$M29)&gt;0,
     COUNTIFS($AM$3:$AM$201,$M29)&gt;0,
     COUNTIFS($AN$3:$AN$201,$M29)&gt;0,
     COUNTIFS($AO$3:$AO$201,$M29)&gt;0,
     COUNTIFS($AP$3:$AP$201,$M29)&gt;0,
     COUNTIFS($AQ$3:$AQ$201,$M29)&gt;0,
     COUNTIFS($AR$3:$AR$201,$M29)&gt;0,
     COUNTIFS($AS$3:$AS$201,$M29)&gt;0,
     COUNTIFS($AT$3:$AT$201,$M29)&gt;0,
     COUNTIFS($AU$3:$AU$201,$M29)&gt;0,
     COUNTIFS($AV$3:$AV$201,$M29)&gt;0,
     COUNTIFS($AW$3:$AW$201,$M29)&gt;0
   )),
  ),
  4
 ),
"")</f>
        <v/>
      </c>
      <c r="U29" t="str">
        <v>Trilha de Migalhas</v>
      </c>
      <c r="V29" t="str">
        <v>Traumatize</v>
      </c>
      <c r="W29" t="str">
        <v>Tuskguard Captain</v>
      </c>
      <c r="BA29" t="str">
        <f ca="1"/>
        <v>Presença de Gond</v>
      </c>
      <c r="BB29" t="str">
        <f ca="1"/>
        <v>Plaguecrafter</v>
      </c>
      <c r="BC29" t="str">
        <f ca="1"/>
        <v>Sanctuary Warden</v>
      </c>
      <c r="BD29" t="str">
        <f ca="1"/>
        <v>Spelunking</v>
      </c>
      <c r="BO29" t="e" vm="2">
        <f ca="1"/>
        <v>#VALUE!</v>
      </c>
      <c r="BR29" t="str">
        <f ca="1"/>
        <v>Gleba Gruul</v>
      </c>
      <c r="BS29" t="str">
        <f ca="1"/>
        <v>Fumiko, the Lowblood</v>
      </c>
      <c r="BT29" t="str">
        <f ca="1"/>
        <v>Sinete Golgari</v>
      </c>
      <c r="BU29" t="str">
        <f ca="1"/>
        <v>Powerbalance</v>
      </c>
      <c r="BY29" t="e">
        <f ca="1"/>
        <v>#REF!</v>
      </c>
      <c r="CA29" t="str">
        <f ca="1"/>
        <v>Deathreap Ritual</v>
      </c>
      <c r="CB29" t="str">
        <f ca="1"/>
        <v>Glimmer Lens</v>
      </c>
      <c r="CC29" t="str">
        <f ca="1"/>
        <v>Pensamento Sombrio</v>
      </c>
      <c r="CD29" t="str">
        <f ca="1"/>
        <v>Queda Solar</v>
      </c>
      <c r="CF29" t="str">
        <f ca="1"/>
        <v>Chaos Warp</v>
      </c>
      <c r="CG29" t="str">
        <f ca="1"/>
        <v>Gagueira Mágica</v>
      </c>
      <c r="CI29" t="str">
        <f ca="1"/>
        <v>Cair sobre os Pecadores</v>
      </c>
    </row>
    <row r="30" spans="1:87" x14ac:dyDescent="0.25">
      <c r="A30" t="str">
        <f ca="1"/>
        <v>Bojuka Bog</v>
      </c>
      <c r="B30" s="3" t="str" cm="1">
        <f t="array" aca="1" ref="B30" ca="1">_xlfn.ANCHORARRAY(RESUMO!C29)</f>
        <v>Piratas</v>
      </c>
      <c r="C30" s="3" t="str">
        <f t="shared" ca="1" si="0"/>
        <v/>
      </c>
      <c r="E30" t="str">
        <f ca="1"/>
        <v>Call to the Kindred</v>
      </c>
      <c r="F30" s="3">
        <f t="shared" ca="1" si="1"/>
        <v>1</v>
      </c>
      <c r="G30" s="3" t="str">
        <f t="shared" ca="1" si="2"/>
        <v>Fractius</v>
      </c>
      <c r="M30" t="str">
        <f ca="1"/>
        <v>Call to the Kindred</v>
      </c>
      <c r="N30" s="3">
        <f t="shared" ca="1" si="3"/>
        <v>1</v>
      </c>
      <c r="O30" s="3" t="str">
        <f ca="1">IFERROR(
 INDEX($T$2:$AW$2,
  MATCH(TRUE,
   CHOOSE({1;2;3;4;5;6;7;8;9;10;11;12;13;14;15;16;17;18;19;20;21;22;23;24;25;26;27;28;29;30;31;32},
    COUNTIFS($T$3:$T$201,$M30)&gt;0,
    COUNTIFS($U$3:$U$201,$M30)&gt;0,
    COUNTIFS($V$3:$V$201,$M30)&gt;0,
    COUNTIFS($W$3:$W$201,$M30)&gt;0,
    COUNTIFS($X$3:$X$201,$M30)&gt;0,
    COUNTIFS($Y$3:$Y$201,$M30)&gt;0,
    COUNTIFS($Z$3:$Z$201,$M30)&gt;0,
    COUNTIFS($AA$3:$AA$201,$M30)&gt;0,
    COUNTIFS($AB$3:$AB$201,$M30)&gt;0,
    COUNTIFS($AC$3:$AC$201,$M30)&gt;0,
    COUNTIFS($AD$3:$AD$201,$M30)&gt;0,
    COUNTIFS($AE$3:$AE$201,$M30)&gt;0,
    COUNTIFS($AF$3:$AF$201,$M30)&gt;0,
    COUNTIFS($AG$3:$AG$201,$M30)&gt;0,
    COUNTIFS($AH$3:$AH$201,$M30)&gt;0,
    COUNTIFS($AI$3:$AI$201,$M30)&gt;0,
    COUNTIFS($AJ$3:$AJ$201,$M30)&gt;0,
    COUNTIFS($AK$3:$AK$201,$M30)&gt;0,
    COUNTIFS($AL$3:$AL$201,$M30)&gt;0,
    COUNTIFS($AM$3:$AM$201,$M30)&gt;0,
    COUNTIFS($AN$3:$AN$201,$M30)&gt;0,
    COUNTIFS($AO$3:$AO$201,$M30)&gt;0,
    COUNTIFS($AP$3:$AP$201,$M30)&gt;0,
    COUNTIFS($AQ$3:$AQ$201,$M30)&gt;0,
    COUNTIFS($AR$3:$AR$201,$M30)&gt;0,
    COUNTIFS($AS$3:$AS$201,$M30)&gt;0,
    COUNTIFS($AT$3:$AT$201,$M30)&gt;0,
    COUNTIFS($AU$3:$AU$201,$M30)&gt;0,
    COUNTIFS($AV$3:$AV$201,$M30)&gt;0,
    COUNTIFS($AW$3:$AW$201,$M30)&gt;0
   ),
  0)
 ),
"")</f>
        <v>Fractius</v>
      </c>
      <c r="P30" s="3" t="str" cm="1">
        <f t="array" aca="1" ref="P30" ca="1">IFERROR(
 INDEX(
  _xlfn._xlws.FILTER($T$2:$AW$2,
   TRANSPOSE(
    CHOOSE({1;2;3;4;5;6;7;8;9;10;11;12;13;14;15;16;17;18;19;20;21;22;23;24;25;26;27;28;29;30},
     COUNTIFS($T$3:$T$201,$M30)&gt;0,
     COUNTIFS($U$3:$U$201,$M30)&gt;0,
     COUNTIFS($V$3:$V$201,$M30)&gt;0,
     COUNTIFS($W$3:$W$201,$M30)&gt;0,
     COUNTIFS($X$3:$X$201,$M30)&gt;0,
     COUNTIFS($Y$3:$Y$201,$M30)&gt;0,
     COUNTIFS($Z$3:$Z$201,$M30)&gt;0,
     COUNTIFS($AA$3:$AA$201,$M30)&gt;0,
     COUNTIFS($AB$3:$AB$201,$M30)&gt;0,
     COUNTIFS($AC$3:$AC$201,$M30)&gt;0,
     COUNTIFS($AD$3:$AD$201,$M30)&gt;0,
     COUNTIFS($AE$3:$AE$201,$M30)&gt;0,
     COUNTIFS($AF$3:$AF$201,$M30)&gt;0,
     COUNTIFS($AG$3:$AG$201,$M30)&gt;0,
     COUNTIFS($AH$3:$AH$201,$M30)&gt;0,
     COUNTIFS($AI$3:$AI$201,$M30)&gt;0,
     COUNTIFS($AJ$3:$AJ$201,$M30)&gt;0,
     COUNTIFS($AK$3:$AK$201,$M30)&gt;0,
     COUNTIFS($AL$3:$AL$201,$M30)&gt;0,
     COUNTIFS($AM$3:$AM$201,$M30)&gt;0,
     COUNTIFS($AN$3:$AN$201,$M30)&gt;0,
     COUNTIFS($AO$3:$AO$201,$M30)&gt;0,
     COUNTIFS($AP$3:$AP$201,$M30)&gt;0,
     COUNTIFS($AQ$3:$AQ$201,$M30)&gt;0,
     COUNTIFS($AR$3:$AR$201,$M30)&gt;0,
     COUNTIFS($AS$3:$AS$201,$M30)&gt;0,
     COUNTIFS($AT$3:$AT$201,$M30)&gt;0,
     COUNTIFS($AU$3:$AU$201,$M30)&gt;0,
     COUNTIFS($AV$3:$AV$201,$M30)&gt;0,
     COUNTIFS($AW$3:$AW$201,$M30)&gt;0
   )),
  ),
  2
 ),
"")</f>
        <v/>
      </c>
      <c r="Q30" s="3" t="str" cm="1">
        <f t="array" aca="1" ref="Q30" ca="1">IFERROR(
 INDEX(
  _xlfn._xlws.FILTER($T$2:$AW$2,
   TRANSPOSE(
    CHOOSE({1;2;3;4;5;6;7;8;9;10;11;12;13;14;15;16;17;18;19;20;21;22;23;24;25;26;27;28;29;30},
     COUNTIFS($T$3:$T$201,$M30)&gt;0,
     COUNTIFS($U$3:$U$201,$M30)&gt;0,
     COUNTIFS($V$3:$V$201,$M30)&gt;0,
     COUNTIFS($W$3:$W$201,$M30)&gt;0,
     COUNTIFS($X$3:$X$201,$M30)&gt;0,
     COUNTIFS($Y$3:$Y$201,$M30)&gt;0,
     COUNTIFS($Z$3:$Z$201,$M30)&gt;0,
     COUNTIFS($AA$3:$AA$201,$M30)&gt;0,
     COUNTIFS($AB$3:$AB$201,$M30)&gt;0,
     COUNTIFS($AC$3:$AC$201,$M30)&gt;0,
     COUNTIFS($AD$3:$AD$201,$M30)&gt;0,
     COUNTIFS($AE$3:$AE$201,$M30)&gt;0,
     COUNTIFS($AF$3:$AF$201,$M30)&gt;0,
     COUNTIFS($AG$3:$AG$201,$M30)&gt;0,
     COUNTIFS($AH$3:$AH$201,$M30)&gt;0,
     COUNTIFS($AI$3:$AI$201,$M30)&gt;0,
     COUNTIFS($AJ$3:$AJ$201,$M30)&gt;0,
     COUNTIFS($AK$3:$AK$201,$M30)&gt;0,
     COUNTIFS($AL$3:$AL$201,$M30)&gt;0,
     COUNTIFS($AM$3:$AM$201,$M30)&gt;0,
     COUNTIFS($AN$3:$AN$201,$M30)&gt;0,
     COUNTIFS($AO$3:$AO$201,$M30)&gt;0,
     COUNTIFS($AP$3:$AP$201,$M30)&gt;0,
     COUNTIFS($AQ$3:$AQ$201,$M30)&gt;0,
     COUNTIFS($AR$3:$AR$201,$M30)&gt;0,
     COUNTIFS($AS$3:$AS$201,$M30)&gt;0,
     COUNTIFS($AT$3:$AT$201,$M30)&gt;0,
     COUNTIFS($AU$3:$AU$201,$M30)&gt;0,
     COUNTIFS($AV$3:$AV$201,$M30)&gt;0,
     COUNTIFS($AW$3:$AW$201,$M30)&gt;0
   )),
  ),
  3
 ),
"")</f>
        <v/>
      </c>
      <c r="R30" s="3" t="str" cm="1">
        <f t="array" aca="1" ref="R30" ca="1">IFERROR(
 INDEX(
  _xlfn._xlws.FILTER($T$2:$AW$2,
   TRANSPOSE(
    CHOOSE({1;2;3;4;5;6;7;8;9;10;11;12;13;14;15;16;17;18;19;20;21;22;23;24;25;26;27;28;29;30},
     COUNTIFS($T$3:$T$201,$M30)&gt;0,
     COUNTIFS($U$3:$U$201,$M30)&gt;0,
     COUNTIFS($V$3:$V$201,$M30)&gt;0,
     COUNTIFS($W$3:$W$201,$M30)&gt;0,
     COUNTIFS($X$3:$X$201,$M30)&gt;0,
     COUNTIFS($Y$3:$Y$201,$M30)&gt;0,
     COUNTIFS($Z$3:$Z$201,$M30)&gt;0,
     COUNTIFS($AA$3:$AA$201,$M30)&gt;0,
     COUNTIFS($AB$3:$AB$201,$M30)&gt;0,
     COUNTIFS($AC$3:$AC$201,$M30)&gt;0,
     COUNTIFS($AD$3:$AD$201,$M30)&gt;0,
     COUNTIFS($AE$3:$AE$201,$M30)&gt;0,
     COUNTIFS($AF$3:$AF$201,$M30)&gt;0,
     COUNTIFS($AG$3:$AG$201,$M30)&gt;0,
     COUNTIFS($AH$3:$AH$201,$M30)&gt;0,
     COUNTIFS($AI$3:$AI$201,$M30)&gt;0,
     COUNTIFS($AJ$3:$AJ$201,$M30)&gt;0,
     COUNTIFS($AK$3:$AK$201,$M30)&gt;0,
     COUNTIFS($AL$3:$AL$201,$M30)&gt;0,
     COUNTIFS($AM$3:$AM$201,$M30)&gt;0,
     COUNTIFS($AN$3:$AN$201,$M30)&gt;0,
     COUNTIFS($AO$3:$AO$201,$M30)&gt;0,
     COUNTIFS($AP$3:$AP$201,$M30)&gt;0,
     COUNTIFS($AQ$3:$AQ$201,$M30)&gt;0,
     COUNTIFS($AR$3:$AR$201,$M30)&gt;0,
     COUNTIFS($AS$3:$AS$201,$M30)&gt;0,
     COUNTIFS($AT$3:$AT$201,$M30)&gt;0,
     COUNTIFS($AU$3:$AU$201,$M30)&gt;0,
     COUNTIFS($AV$3:$AV$201,$M30)&gt;0,
     COUNTIFS($AW$3:$AW$201,$M30)&gt;0
   )),
  ),
  4
 ),
"")</f>
        <v/>
      </c>
      <c r="V30" t="str">
        <v>Treasure Cruise</v>
      </c>
      <c r="BA30" t="str">
        <f ca="1"/>
        <v>Saciar</v>
      </c>
      <c r="BB30" t="str">
        <f ca="1"/>
        <v>Plains</v>
      </c>
      <c r="BC30" t="str">
        <f ca="1"/>
        <v>Servidão Imortal</v>
      </c>
      <c r="BD30" t="str">
        <f ca="1"/>
        <v>Teatro dos Maestros</v>
      </c>
      <c r="BR30" t="str">
        <f ca="1"/>
        <v>Goblin Bombardment</v>
      </c>
      <c r="BS30" t="str">
        <f ca="1"/>
        <v>Ginete Bronco Exaltado</v>
      </c>
      <c r="BT30" t="str">
        <f ca="1"/>
        <v>Sulfur Falls</v>
      </c>
      <c r="BU30" t="str">
        <f ca="1"/>
        <v>Protection Racket</v>
      </c>
      <c r="BY30" t="e" vm="2">
        <f ca="1"/>
        <v>#VALUE!</v>
      </c>
      <c r="CA30" t="str">
        <f ca="1"/>
        <v>Deeprooot Wayfinder</v>
      </c>
      <c r="CB30" t="str">
        <f ca="1"/>
        <v>Horn of Valhalla</v>
      </c>
      <c r="CC30" t="str">
        <f ca="1"/>
        <v>Piscar de Olhos</v>
      </c>
      <c r="CD30" t="str">
        <f ca="1"/>
        <v>Rampant Grow</v>
      </c>
      <c r="CF30" t="str">
        <f ca="1"/>
        <v>Charneca Estéril</v>
      </c>
      <c r="CG30" t="str">
        <f ca="1"/>
        <v>Ganso Dourado</v>
      </c>
      <c r="CI30" t="str">
        <f ca="1"/>
        <v>Call to the Kindred</v>
      </c>
    </row>
    <row r="31" spans="1:87" x14ac:dyDescent="0.25">
      <c r="A31" t="str">
        <f ca="1"/>
        <v>Boros Charm</v>
      </c>
      <c r="B31" s="3" t="str" cm="1">
        <f t="array" aca="1" ref="B31" ca="1">_xlfn.ANCHORARRAY(RESUMO!C30)</f>
        <v>Baylen</v>
      </c>
      <c r="C31" s="3" t="str">
        <f t="shared" ca="1" si="0"/>
        <v/>
      </c>
      <c r="E31" t="str">
        <f ca="1"/>
        <v>Callous Bloodmage</v>
      </c>
      <c r="F31" s="3">
        <f t="shared" ca="1" si="1"/>
        <v>1</v>
      </c>
      <c r="G31" s="3" t="str">
        <f t="shared" ca="1" si="2"/>
        <v>Carlos</v>
      </c>
      <c r="M31" t="str">
        <f ca="1"/>
        <v>Callous Bloodmage</v>
      </c>
      <c r="N31" s="3">
        <f t="shared" ca="1" si="3"/>
        <v>1</v>
      </c>
      <c r="O31" s="3" t="str">
        <f ca="1">IFERROR(
 INDEX($T$2:$AW$2,
  MATCH(TRUE,
   CHOOSE({1;2;3;4;5;6;7;8;9;10;11;12;13;14;15;16;17;18;19;20;21;22;23;24;25;26;27;28;29;30;31;32},
    COUNTIFS($T$3:$T$201,$M31)&gt;0,
    COUNTIFS($U$3:$U$201,$M31)&gt;0,
    COUNTIFS($V$3:$V$201,$M31)&gt;0,
    COUNTIFS($W$3:$W$201,$M31)&gt;0,
    COUNTIFS($X$3:$X$201,$M31)&gt;0,
    COUNTIFS($Y$3:$Y$201,$M31)&gt;0,
    COUNTIFS($Z$3:$Z$201,$M31)&gt;0,
    COUNTIFS($AA$3:$AA$201,$M31)&gt;0,
    COUNTIFS($AB$3:$AB$201,$M31)&gt;0,
    COUNTIFS($AC$3:$AC$201,$M31)&gt;0,
    COUNTIFS($AD$3:$AD$201,$M31)&gt;0,
    COUNTIFS($AE$3:$AE$201,$M31)&gt;0,
    COUNTIFS($AF$3:$AF$201,$M31)&gt;0,
    COUNTIFS($AG$3:$AG$201,$M31)&gt;0,
    COUNTIFS($AH$3:$AH$201,$M31)&gt;0,
    COUNTIFS($AI$3:$AI$201,$M31)&gt;0,
    COUNTIFS($AJ$3:$AJ$201,$M31)&gt;0,
    COUNTIFS($AK$3:$AK$201,$M31)&gt;0,
    COUNTIFS($AL$3:$AL$201,$M31)&gt;0,
    COUNTIFS($AM$3:$AM$201,$M31)&gt;0,
    COUNTIFS($AN$3:$AN$201,$M31)&gt;0,
    COUNTIFS($AO$3:$AO$201,$M31)&gt;0,
    COUNTIFS($AP$3:$AP$201,$M31)&gt;0,
    COUNTIFS($AQ$3:$AQ$201,$M31)&gt;0,
    COUNTIFS($AR$3:$AR$201,$M31)&gt;0,
    COUNTIFS($AS$3:$AS$201,$M31)&gt;0,
    COUNTIFS($AT$3:$AT$201,$M31)&gt;0,
    COUNTIFS($AU$3:$AU$201,$M31)&gt;0,
    COUNTIFS($AV$3:$AV$201,$M31)&gt;0,
    COUNTIFS($AW$3:$AW$201,$M31)&gt;0
   ),
  0)
 ),
"")</f>
        <v>Carlos</v>
      </c>
      <c r="P31" s="3" t="str" cm="1">
        <f t="array" aca="1" ref="P31" ca="1">IFERROR(
 INDEX(
  _xlfn._xlws.FILTER($T$2:$AW$2,
   TRANSPOSE(
    CHOOSE({1;2;3;4;5;6;7;8;9;10;11;12;13;14;15;16;17;18;19;20;21;22;23;24;25;26;27;28;29;30},
     COUNTIFS($T$3:$T$201,$M31)&gt;0,
     COUNTIFS($U$3:$U$201,$M31)&gt;0,
     COUNTIFS($V$3:$V$201,$M31)&gt;0,
     COUNTIFS($W$3:$W$201,$M31)&gt;0,
     COUNTIFS($X$3:$X$201,$M31)&gt;0,
     COUNTIFS($Y$3:$Y$201,$M31)&gt;0,
     COUNTIFS($Z$3:$Z$201,$M31)&gt;0,
     COUNTIFS($AA$3:$AA$201,$M31)&gt;0,
     COUNTIFS($AB$3:$AB$201,$M31)&gt;0,
     COUNTIFS($AC$3:$AC$201,$M31)&gt;0,
     COUNTIFS($AD$3:$AD$201,$M31)&gt;0,
     COUNTIFS($AE$3:$AE$201,$M31)&gt;0,
     COUNTIFS($AF$3:$AF$201,$M31)&gt;0,
     COUNTIFS($AG$3:$AG$201,$M31)&gt;0,
     COUNTIFS($AH$3:$AH$201,$M31)&gt;0,
     COUNTIFS($AI$3:$AI$201,$M31)&gt;0,
     COUNTIFS($AJ$3:$AJ$201,$M31)&gt;0,
     COUNTIFS($AK$3:$AK$201,$M31)&gt;0,
     COUNTIFS($AL$3:$AL$201,$M31)&gt;0,
     COUNTIFS($AM$3:$AM$201,$M31)&gt;0,
     COUNTIFS($AN$3:$AN$201,$M31)&gt;0,
     COUNTIFS($AO$3:$AO$201,$M31)&gt;0,
     COUNTIFS($AP$3:$AP$201,$M31)&gt;0,
     COUNTIFS($AQ$3:$AQ$201,$M31)&gt;0,
     COUNTIFS($AR$3:$AR$201,$M31)&gt;0,
     COUNTIFS($AS$3:$AS$201,$M31)&gt;0,
     COUNTIFS($AT$3:$AT$201,$M31)&gt;0,
     COUNTIFS($AU$3:$AU$201,$M31)&gt;0,
     COUNTIFS($AV$3:$AV$201,$M31)&gt;0,
     COUNTIFS($AW$3:$AW$201,$M31)&gt;0
   )),
  ),
  2
 ),
"")</f>
        <v/>
      </c>
      <c r="Q31" s="3" t="str" cm="1">
        <f t="array" aca="1" ref="Q31" ca="1">IFERROR(
 INDEX(
  _xlfn._xlws.FILTER($T$2:$AW$2,
   TRANSPOSE(
    CHOOSE({1;2;3;4;5;6;7;8;9;10;11;12;13;14;15;16;17;18;19;20;21;22;23;24;25;26;27;28;29;30},
     COUNTIFS($T$3:$T$201,$M31)&gt;0,
     COUNTIFS($U$3:$U$201,$M31)&gt;0,
     COUNTIFS($V$3:$V$201,$M31)&gt;0,
     COUNTIFS($W$3:$W$201,$M31)&gt;0,
     COUNTIFS($X$3:$X$201,$M31)&gt;0,
     COUNTIFS($Y$3:$Y$201,$M31)&gt;0,
     COUNTIFS($Z$3:$Z$201,$M31)&gt;0,
     COUNTIFS($AA$3:$AA$201,$M31)&gt;0,
     COUNTIFS($AB$3:$AB$201,$M31)&gt;0,
     COUNTIFS($AC$3:$AC$201,$M31)&gt;0,
     COUNTIFS($AD$3:$AD$201,$M31)&gt;0,
     COUNTIFS($AE$3:$AE$201,$M31)&gt;0,
     COUNTIFS($AF$3:$AF$201,$M31)&gt;0,
     COUNTIFS($AG$3:$AG$201,$M31)&gt;0,
     COUNTIFS($AH$3:$AH$201,$M31)&gt;0,
     COUNTIFS($AI$3:$AI$201,$M31)&gt;0,
     COUNTIFS($AJ$3:$AJ$201,$M31)&gt;0,
     COUNTIFS($AK$3:$AK$201,$M31)&gt;0,
     COUNTIFS($AL$3:$AL$201,$M31)&gt;0,
     COUNTIFS($AM$3:$AM$201,$M31)&gt;0,
     COUNTIFS($AN$3:$AN$201,$M31)&gt;0,
     COUNTIFS($AO$3:$AO$201,$M31)&gt;0,
     COUNTIFS($AP$3:$AP$201,$M31)&gt;0,
     COUNTIFS($AQ$3:$AQ$201,$M31)&gt;0,
     COUNTIFS($AR$3:$AR$201,$M31)&gt;0,
     COUNTIFS($AS$3:$AS$201,$M31)&gt;0,
     COUNTIFS($AT$3:$AT$201,$M31)&gt;0,
     COUNTIFS($AU$3:$AU$201,$M31)&gt;0,
     COUNTIFS($AV$3:$AV$201,$M31)&gt;0,
     COUNTIFS($AW$3:$AW$201,$M31)&gt;0
   )),
  ),
  3
 ),
"")</f>
        <v/>
      </c>
      <c r="R31" s="3" t="str" cm="1">
        <f t="array" aca="1" ref="R31" ca="1">IFERROR(
 INDEX(
  _xlfn._xlws.FILTER($T$2:$AW$2,
   TRANSPOSE(
    CHOOSE({1;2;3;4;5;6;7;8;9;10;11;12;13;14;15;16;17;18;19;20;21;22;23;24;25;26;27;28;29;30},
     COUNTIFS($T$3:$T$201,$M31)&gt;0,
     COUNTIFS($U$3:$U$201,$M31)&gt;0,
     COUNTIFS($V$3:$V$201,$M31)&gt;0,
     COUNTIFS($W$3:$W$201,$M31)&gt;0,
     COUNTIFS($X$3:$X$201,$M31)&gt;0,
     COUNTIFS($Y$3:$Y$201,$M31)&gt;0,
     COUNTIFS($Z$3:$Z$201,$M31)&gt;0,
     COUNTIFS($AA$3:$AA$201,$M31)&gt;0,
     COUNTIFS($AB$3:$AB$201,$M31)&gt;0,
     COUNTIFS($AC$3:$AC$201,$M31)&gt;0,
     COUNTIFS($AD$3:$AD$201,$M31)&gt;0,
     COUNTIFS($AE$3:$AE$201,$M31)&gt;0,
     COUNTIFS($AF$3:$AF$201,$M31)&gt;0,
     COUNTIFS($AG$3:$AG$201,$M31)&gt;0,
     COUNTIFS($AH$3:$AH$201,$M31)&gt;0,
     COUNTIFS($AI$3:$AI$201,$M31)&gt;0,
     COUNTIFS($AJ$3:$AJ$201,$M31)&gt;0,
     COUNTIFS($AK$3:$AK$201,$M31)&gt;0,
     COUNTIFS($AL$3:$AL$201,$M31)&gt;0,
     COUNTIFS($AM$3:$AM$201,$M31)&gt;0,
     COUNTIFS($AN$3:$AN$201,$M31)&gt;0,
     COUNTIFS($AO$3:$AO$201,$M31)&gt;0,
     COUNTIFS($AP$3:$AP$201,$M31)&gt;0,
     COUNTIFS($AQ$3:$AQ$201,$M31)&gt;0,
     COUNTIFS($AR$3:$AR$201,$M31)&gt;0,
     COUNTIFS($AS$3:$AS$201,$M31)&gt;0,
     COUNTIFS($AT$3:$AT$201,$M31)&gt;0,
     COUNTIFS($AU$3:$AU$201,$M31)&gt;0,
     COUNTIFS($AV$3:$AV$201,$M31)&gt;0,
     COUNTIFS($AW$3:$AW$201,$M31)&gt;0
   )),
  ),
  4
 ),
"")</f>
        <v/>
      </c>
      <c r="V31" t="str">
        <v>Young Pyromancer</v>
      </c>
      <c r="BA31" t="str">
        <f ca="1"/>
        <v>Scavenging Ooze</v>
      </c>
      <c r="BB31" t="str">
        <f ca="1"/>
        <v>Ponte Levadiça Esmagadora</v>
      </c>
      <c r="BC31" t="str">
        <f ca="1"/>
        <v>Skyclave Cleric</v>
      </c>
      <c r="BD31" t="str">
        <f ca="1"/>
        <v>The Hunger Tide Rises</v>
      </c>
      <c r="BR31" t="str">
        <f ca="1"/>
        <v>Grazilaxx, Illithid Scholar</v>
      </c>
      <c r="BS31" t="str">
        <f ca="1"/>
        <v>Guardiã da Aurora de Gavony</v>
      </c>
      <c r="BT31" t="str">
        <f ca="1"/>
        <v>Swamp</v>
      </c>
      <c r="BU31" t="str">
        <f ca="1"/>
        <v>Quasiduplicata</v>
      </c>
      <c r="CA31" t="str">
        <f ca="1"/>
        <v>Diamante B</v>
      </c>
      <c r="CB31" t="str">
        <f ca="1"/>
        <v>Ilha</v>
      </c>
      <c r="CC31" t="str">
        <f ca="1"/>
        <v>Praia Inundada</v>
      </c>
      <c r="CD31" t="str">
        <f ca="1"/>
        <v>Retreat to Kazandu</v>
      </c>
      <c r="CF31" t="str">
        <f ca="1"/>
        <v>Clackbridge Troll</v>
      </c>
      <c r="CG31" t="str">
        <f ca="1"/>
        <v>Godless Shrine</v>
      </c>
      <c r="CI31" t="str">
        <f ca="1"/>
        <v>Callous Bloodmage</v>
      </c>
    </row>
    <row r="32" spans="1:87" x14ac:dyDescent="0.25">
      <c r="A32" t="str">
        <f ca="1"/>
        <v>Bothersome Quasit</v>
      </c>
      <c r="B32" s="3" t="str" cm="1">
        <f t="array" aca="1" ref="B32" ca="1">_xlfn.ANCHORARRAY(RESUMO!C31)</f>
        <v>Rani</v>
      </c>
      <c r="C32" s="3" t="str">
        <f t="shared" ca="1" si="0"/>
        <v/>
      </c>
      <c r="E32" t="str">
        <f ca="1"/>
        <v>Câmara do Oráculo</v>
      </c>
      <c r="F32" s="3">
        <f t="shared" ca="1" si="1"/>
        <v>1</v>
      </c>
      <c r="G32" s="3" t="str">
        <f t="shared" ca="1" si="2"/>
        <v>Modular</v>
      </c>
      <c r="M32" t="str">
        <f ca="1"/>
        <v>Câmara do Oráculo</v>
      </c>
      <c r="N32" s="3">
        <f t="shared" ca="1" si="3"/>
        <v>1</v>
      </c>
      <c r="O32" s="3" t="str">
        <f ca="1">IFERROR(
 INDEX($T$2:$AW$2,
  MATCH(TRUE,
   CHOOSE({1;2;3;4;5;6;7;8;9;10;11;12;13;14;15;16;17;18;19;20;21;22;23;24;25;26;27;28;29;30;31;32},
    COUNTIFS($T$3:$T$201,$M32)&gt;0,
    COUNTIFS($U$3:$U$201,$M32)&gt;0,
    COUNTIFS($V$3:$V$201,$M32)&gt;0,
    COUNTIFS($W$3:$W$201,$M32)&gt;0,
    COUNTIFS($X$3:$X$201,$M32)&gt;0,
    COUNTIFS($Y$3:$Y$201,$M32)&gt;0,
    COUNTIFS($Z$3:$Z$201,$M32)&gt;0,
    COUNTIFS($AA$3:$AA$201,$M32)&gt;0,
    COUNTIFS($AB$3:$AB$201,$M32)&gt;0,
    COUNTIFS($AC$3:$AC$201,$M32)&gt;0,
    COUNTIFS($AD$3:$AD$201,$M32)&gt;0,
    COUNTIFS($AE$3:$AE$201,$M32)&gt;0,
    COUNTIFS($AF$3:$AF$201,$M32)&gt;0,
    COUNTIFS($AG$3:$AG$201,$M32)&gt;0,
    COUNTIFS($AH$3:$AH$201,$M32)&gt;0,
    COUNTIFS($AI$3:$AI$201,$M32)&gt;0,
    COUNTIFS($AJ$3:$AJ$201,$M32)&gt;0,
    COUNTIFS($AK$3:$AK$201,$M32)&gt;0,
    COUNTIFS($AL$3:$AL$201,$M32)&gt;0,
    COUNTIFS($AM$3:$AM$201,$M32)&gt;0,
    COUNTIFS($AN$3:$AN$201,$M32)&gt;0,
    COUNTIFS($AO$3:$AO$201,$M32)&gt;0,
    COUNTIFS($AP$3:$AP$201,$M32)&gt;0,
    COUNTIFS($AQ$3:$AQ$201,$M32)&gt;0,
    COUNTIFS($AR$3:$AR$201,$M32)&gt;0,
    COUNTIFS($AS$3:$AS$201,$M32)&gt;0,
    COUNTIFS($AT$3:$AT$201,$M32)&gt;0,
    COUNTIFS($AU$3:$AU$201,$M32)&gt;0,
    COUNTIFS($AV$3:$AV$201,$M32)&gt;0,
    COUNTIFS($AW$3:$AW$201,$M32)&gt;0
   ),
  0)
 ),
"")</f>
        <v>Modular</v>
      </c>
      <c r="P32" s="3" t="str" cm="1">
        <f t="array" aca="1" ref="P32" ca="1">IFERROR(
 INDEX(
  _xlfn._xlws.FILTER($T$2:$AW$2,
   TRANSPOSE(
    CHOOSE({1;2;3;4;5;6;7;8;9;10;11;12;13;14;15;16;17;18;19;20;21;22;23;24;25;26;27;28;29;30},
     COUNTIFS($T$3:$T$201,$M32)&gt;0,
     COUNTIFS($U$3:$U$201,$M32)&gt;0,
     COUNTIFS($V$3:$V$201,$M32)&gt;0,
     COUNTIFS($W$3:$W$201,$M32)&gt;0,
     COUNTIFS($X$3:$X$201,$M32)&gt;0,
     COUNTIFS($Y$3:$Y$201,$M32)&gt;0,
     COUNTIFS($Z$3:$Z$201,$M32)&gt;0,
     COUNTIFS($AA$3:$AA$201,$M32)&gt;0,
     COUNTIFS($AB$3:$AB$201,$M32)&gt;0,
     COUNTIFS($AC$3:$AC$201,$M32)&gt;0,
     COUNTIFS($AD$3:$AD$201,$M32)&gt;0,
     COUNTIFS($AE$3:$AE$201,$M32)&gt;0,
     COUNTIFS($AF$3:$AF$201,$M32)&gt;0,
     COUNTIFS($AG$3:$AG$201,$M32)&gt;0,
     COUNTIFS($AH$3:$AH$201,$M32)&gt;0,
     COUNTIFS($AI$3:$AI$201,$M32)&gt;0,
     COUNTIFS($AJ$3:$AJ$201,$M32)&gt;0,
     COUNTIFS($AK$3:$AK$201,$M32)&gt;0,
     COUNTIFS($AL$3:$AL$201,$M32)&gt;0,
     COUNTIFS($AM$3:$AM$201,$M32)&gt;0,
     COUNTIFS($AN$3:$AN$201,$M32)&gt;0,
     COUNTIFS($AO$3:$AO$201,$M32)&gt;0,
     COUNTIFS($AP$3:$AP$201,$M32)&gt;0,
     COUNTIFS($AQ$3:$AQ$201,$M32)&gt;0,
     COUNTIFS($AR$3:$AR$201,$M32)&gt;0,
     COUNTIFS($AS$3:$AS$201,$M32)&gt;0,
     COUNTIFS($AT$3:$AT$201,$M32)&gt;0,
     COUNTIFS($AU$3:$AU$201,$M32)&gt;0,
     COUNTIFS($AV$3:$AV$201,$M32)&gt;0,
     COUNTIFS($AW$3:$AW$201,$M32)&gt;0
   )),
  ),
  2
 ),
"")</f>
        <v/>
      </c>
      <c r="Q32" s="3" t="str" cm="1">
        <f t="array" aca="1" ref="Q32" ca="1">IFERROR(
 INDEX(
  _xlfn._xlws.FILTER($T$2:$AW$2,
   TRANSPOSE(
    CHOOSE({1;2;3;4;5;6;7;8;9;10;11;12;13;14;15;16;17;18;19;20;21;22;23;24;25;26;27;28;29;30},
     COUNTIFS($T$3:$T$201,$M32)&gt;0,
     COUNTIFS($U$3:$U$201,$M32)&gt;0,
     COUNTIFS($V$3:$V$201,$M32)&gt;0,
     COUNTIFS($W$3:$W$201,$M32)&gt;0,
     COUNTIFS($X$3:$X$201,$M32)&gt;0,
     COUNTIFS($Y$3:$Y$201,$M32)&gt;0,
     COUNTIFS($Z$3:$Z$201,$M32)&gt;0,
     COUNTIFS($AA$3:$AA$201,$M32)&gt;0,
     COUNTIFS($AB$3:$AB$201,$M32)&gt;0,
     COUNTIFS($AC$3:$AC$201,$M32)&gt;0,
     COUNTIFS($AD$3:$AD$201,$M32)&gt;0,
     COUNTIFS($AE$3:$AE$201,$M32)&gt;0,
     COUNTIFS($AF$3:$AF$201,$M32)&gt;0,
     COUNTIFS($AG$3:$AG$201,$M32)&gt;0,
     COUNTIFS($AH$3:$AH$201,$M32)&gt;0,
     COUNTIFS($AI$3:$AI$201,$M32)&gt;0,
     COUNTIFS($AJ$3:$AJ$201,$M32)&gt;0,
     COUNTIFS($AK$3:$AK$201,$M32)&gt;0,
     COUNTIFS($AL$3:$AL$201,$M32)&gt;0,
     COUNTIFS($AM$3:$AM$201,$M32)&gt;0,
     COUNTIFS($AN$3:$AN$201,$M32)&gt;0,
     COUNTIFS($AO$3:$AO$201,$M32)&gt;0,
     COUNTIFS($AP$3:$AP$201,$M32)&gt;0,
     COUNTIFS($AQ$3:$AQ$201,$M32)&gt;0,
     COUNTIFS($AR$3:$AR$201,$M32)&gt;0,
     COUNTIFS($AS$3:$AS$201,$M32)&gt;0,
     COUNTIFS($AT$3:$AT$201,$M32)&gt;0,
     COUNTIFS($AU$3:$AU$201,$M32)&gt;0,
     COUNTIFS($AV$3:$AV$201,$M32)&gt;0,
     COUNTIFS($AW$3:$AW$201,$M32)&gt;0
   )),
  ),
  3
 ),
"")</f>
        <v/>
      </c>
      <c r="R32" s="3" t="str" cm="1">
        <f t="array" aca="1" ref="R32" ca="1">IFERROR(
 INDEX(
  _xlfn._xlws.FILTER($T$2:$AW$2,
   TRANSPOSE(
    CHOOSE({1;2;3;4;5;6;7;8;9;10;11;12;13;14;15;16;17;18;19;20;21;22;23;24;25;26;27;28;29;30},
     COUNTIFS($T$3:$T$201,$M32)&gt;0,
     COUNTIFS($U$3:$U$201,$M32)&gt;0,
     COUNTIFS($V$3:$V$201,$M32)&gt;0,
     COUNTIFS($W$3:$W$201,$M32)&gt;0,
     COUNTIFS($X$3:$X$201,$M32)&gt;0,
     COUNTIFS($Y$3:$Y$201,$M32)&gt;0,
     COUNTIFS($Z$3:$Z$201,$M32)&gt;0,
     COUNTIFS($AA$3:$AA$201,$M32)&gt;0,
     COUNTIFS($AB$3:$AB$201,$M32)&gt;0,
     COUNTIFS($AC$3:$AC$201,$M32)&gt;0,
     COUNTIFS($AD$3:$AD$201,$M32)&gt;0,
     COUNTIFS($AE$3:$AE$201,$M32)&gt;0,
     COUNTIFS($AF$3:$AF$201,$M32)&gt;0,
     COUNTIFS($AG$3:$AG$201,$M32)&gt;0,
     COUNTIFS($AH$3:$AH$201,$M32)&gt;0,
     COUNTIFS($AI$3:$AI$201,$M32)&gt;0,
     COUNTIFS($AJ$3:$AJ$201,$M32)&gt;0,
     COUNTIFS($AK$3:$AK$201,$M32)&gt;0,
     COUNTIFS($AL$3:$AL$201,$M32)&gt;0,
     COUNTIFS($AM$3:$AM$201,$M32)&gt;0,
     COUNTIFS($AN$3:$AN$201,$M32)&gt;0,
     COUNTIFS($AO$3:$AO$201,$M32)&gt;0,
     COUNTIFS($AP$3:$AP$201,$M32)&gt;0,
     COUNTIFS($AQ$3:$AQ$201,$M32)&gt;0,
     COUNTIFS($AR$3:$AR$201,$M32)&gt;0,
     COUNTIFS($AS$3:$AS$201,$M32)&gt;0,
     COUNTIFS($AT$3:$AT$201,$M32)&gt;0,
     COUNTIFS($AU$3:$AU$201,$M32)&gt;0,
     COUNTIFS($AV$3:$AV$201,$M32)&gt;0,
     COUNTIFS($AW$3:$AW$201,$M32)&gt;0
   )),
  ),
  4
 ),
"")</f>
        <v/>
      </c>
      <c r="BA32" t="str">
        <f ca="1"/>
        <v>Selesnya Sanctuary</v>
      </c>
      <c r="BB32" t="str">
        <f ca="1"/>
        <v>Ponte Musgomosto</v>
      </c>
      <c r="BC32" t="str">
        <f ca="1"/>
        <v>Sontaran General</v>
      </c>
      <c r="BD32" t="str">
        <f ca="1"/>
        <v>Treasure Cruise</v>
      </c>
      <c r="BR32" t="str">
        <f ca="1"/>
        <v>Horda Germinal</v>
      </c>
      <c r="BS32" t="str">
        <f ca="1"/>
        <v>Harrow</v>
      </c>
      <c r="BT32" t="str">
        <f ca="1"/>
        <v>Swiftfoot Boots</v>
      </c>
      <c r="BU32" t="str">
        <f ca="1"/>
        <v>Repartir o Véu D'Água</v>
      </c>
      <c r="CA32" t="str">
        <f ca="1"/>
        <v>Diamante R</v>
      </c>
      <c r="CB32" t="str">
        <f ca="1"/>
        <v>Illusionist's Gambit</v>
      </c>
      <c r="CC32" t="str">
        <f ca="1"/>
        <v>Prismatic Lens</v>
      </c>
      <c r="CD32" t="str">
        <f ca="1"/>
        <v>Rootbound Crag</v>
      </c>
      <c r="CF32" t="str">
        <f ca="1"/>
        <v>Clifftop Retreat</v>
      </c>
      <c r="CG32" t="str">
        <f ca="1"/>
        <v>Grumgully, o Generoso</v>
      </c>
      <c r="CI32" t="str">
        <f ca="1"/>
        <v>Câmara do Oráculo</v>
      </c>
    </row>
    <row r="33" spans="1:87" x14ac:dyDescent="0.25">
      <c r="A33" t="str">
        <f ca="1"/>
        <v>Broadside Bombardiers</v>
      </c>
      <c r="B33" s="3" t="str" cm="1">
        <f t="array" aca="1" ref="B33" ca="1">_xlfn.ANCHORARRAY(RESUMO!C32)</f>
        <v>Piratas</v>
      </c>
      <c r="C33" s="3" t="str">
        <f t="shared" ca="1" si="0"/>
        <v/>
      </c>
      <c r="E33" t="str">
        <f ca="1"/>
        <v>Canalizadora de Fluxos</v>
      </c>
      <c r="F33" s="3">
        <f t="shared" ca="1" si="1"/>
        <v>1</v>
      </c>
      <c r="G33" s="3" t="str">
        <f t="shared" ca="1" si="2"/>
        <v>Sisay</v>
      </c>
      <c r="M33" t="str">
        <f ca="1"/>
        <v>Canalizadora de Fluxos</v>
      </c>
      <c r="N33" s="3">
        <f t="shared" ca="1" si="3"/>
        <v>1</v>
      </c>
      <c r="O33" s="3" t="str">
        <f ca="1">IFERROR(
 INDEX($T$2:$AW$2,
  MATCH(TRUE,
   CHOOSE({1;2;3;4;5;6;7;8;9;10;11;12;13;14;15;16;17;18;19;20;21;22;23;24;25;26;27;28;29;30;31;32},
    COUNTIFS($T$3:$T$201,$M33)&gt;0,
    COUNTIFS($U$3:$U$201,$M33)&gt;0,
    COUNTIFS($V$3:$V$201,$M33)&gt;0,
    COUNTIFS($W$3:$W$201,$M33)&gt;0,
    COUNTIFS($X$3:$X$201,$M33)&gt;0,
    COUNTIFS($Y$3:$Y$201,$M33)&gt;0,
    COUNTIFS($Z$3:$Z$201,$M33)&gt;0,
    COUNTIFS($AA$3:$AA$201,$M33)&gt;0,
    COUNTIFS($AB$3:$AB$201,$M33)&gt;0,
    COUNTIFS($AC$3:$AC$201,$M33)&gt;0,
    COUNTIFS($AD$3:$AD$201,$M33)&gt;0,
    COUNTIFS($AE$3:$AE$201,$M33)&gt;0,
    COUNTIFS($AF$3:$AF$201,$M33)&gt;0,
    COUNTIFS($AG$3:$AG$201,$M33)&gt;0,
    COUNTIFS($AH$3:$AH$201,$M33)&gt;0,
    COUNTIFS($AI$3:$AI$201,$M33)&gt;0,
    COUNTIFS($AJ$3:$AJ$201,$M33)&gt;0,
    COUNTIFS($AK$3:$AK$201,$M33)&gt;0,
    COUNTIFS($AL$3:$AL$201,$M33)&gt;0,
    COUNTIFS($AM$3:$AM$201,$M33)&gt;0,
    COUNTIFS($AN$3:$AN$201,$M33)&gt;0,
    COUNTIFS($AO$3:$AO$201,$M33)&gt;0,
    COUNTIFS($AP$3:$AP$201,$M33)&gt;0,
    COUNTIFS($AQ$3:$AQ$201,$M33)&gt;0,
    COUNTIFS($AR$3:$AR$201,$M33)&gt;0,
    COUNTIFS($AS$3:$AS$201,$M33)&gt;0,
    COUNTIFS($AT$3:$AT$201,$M33)&gt;0,
    COUNTIFS($AU$3:$AU$201,$M33)&gt;0,
    COUNTIFS($AV$3:$AV$201,$M33)&gt;0,
    COUNTIFS($AW$3:$AW$201,$M33)&gt;0
   ),
  0)
 ),
"")</f>
        <v>Sisay</v>
      </c>
      <c r="P33" s="3" t="str" cm="1">
        <f t="array" aca="1" ref="P33" ca="1">IFERROR(
 INDEX(
  _xlfn._xlws.FILTER($T$2:$AW$2,
   TRANSPOSE(
    CHOOSE({1;2;3;4;5;6;7;8;9;10;11;12;13;14;15;16;17;18;19;20;21;22;23;24;25;26;27;28;29;30},
     COUNTIFS($T$3:$T$201,$M33)&gt;0,
     COUNTIFS($U$3:$U$201,$M33)&gt;0,
     COUNTIFS($V$3:$V$201,$M33)&gt;0,
     COUNTIFS($W$3:$W$201,$M33)&gt;0,
     COUNTIFS($X$3:$X$201,$M33)&gt;0,
     COUNTIFS($Y$3:$Y$201,$M33)&gt;0,
     COUNTIFS($Z$3:$Z$201,$M33)&gt;0,
     COUNTIFS($AA$3:$AA$201,$M33)&gt;0,
     COUNTIFS($AB$3:$AB$201,$M33)&gt;0,
     COUNTIFS($AC$3:$AC$201,$M33)&gt;0,
     COUNTIFS($AD$3:$AD$201,$M33)&gt;0,
     COUNTIFS($AE$3:$AE$201,$M33)&gt;0,
     COUNTIFS($AF$3:$AF$201,$M33)&gt;0,
     COUNTIFS($AG$3:$AG$201,$M33)&gt;0,
     COUNTIFS($AH$3:$AH$201,$M33)&gt;0,
     COUNTIFS($AI$3:$AI$201,$M33)&gt;0,
     COUNTIFS($AJ$3:$AJ$201,$M33)&gt;0,
     COUNTIFS($AK$3:$AK$201,$M33)&gt;0,
     COUNTIFS($AL$3:$AL$201,$M33)&gt;0,
     COUNTIFS($AM$3:$AM$201,$M33)&gt;0,
     COUNTIFS($AN$3:$AN$201,$M33)&gt;0,
     COUNTIFS($AO$3:$AO$201,$M33)&gt;0,
     COUNTIFS($AP$3:$AP$201,$M33)&gt;0,
     COUNTIFS($AQ$3:$AQ$201,$M33)&gt;0,
     COUNTIFS($AR$3:$AR$201,$M33)&gt;0,
     COUNTIFS($AS$3:$AS$201,$M33)&gt;0,
     COUNTIFS($AT$3:$AT$201,$M33)&gt;0,
     COUNTIFS($AU$3:$AU$201,$M33)&gt;0,
     COUNTIFS($AV$3:$AV$201,$M33)&gt;0,
     COUNTIFS($AW$3:$AW$201,$M33)&gt;0
   )),
  ),
  2
 ),
"")</f>
        <v/>
      </c>
      <c r="Q33" s="3" t="str" cm="1">
        <f t="array" aca="1" ref="Q33" ca="1">IFERROR(
 INDEX(
  _xlfn._xlws.FILTER($T$2:$AW$2,
   TRANSPOSE(
    CHOOSE({1;2;3;4;5;6;7;8;9;10;11;12;13;14;15;16;17;18;19;20;21;22;23;24;25;26;27;28;29;30},
     COUNTIFS($T$3:$T$201,$M33)&gt;0,
     COUNTIFS($U$3:$U$201,$M33)&gt;0,
     COUNTIFS($V$3:$V$201,$M33)&gt;0,
     COUNTIFS($W$3:$W$201,$M33)&gt;0,
     COUNTIFS($X$3:$X$201,$M33)&gt;0,
     COUNTIFS($Y$3:$Y$201,$M33)&gt;0,
     COUNTIFS($Z$3:$Z$201,$M33)&gt;0,
     COUNTIFS($AA$3:$AA$201,$M33)&gt;0,
     COUNTIFS($AB$3:$AB$201,$M33)&gt;0,
     COUNTIFS($AC$3:$AC$201,$M33)&gt;0,
     COUNTIFS($AD$3:$AD$201,$M33)&gt;0,
     COUNTIFS($AE$3:$AE$201,$M33)&gt;0,
     COUNTIFS($AF$3:$AF$201,$M33)&gt;0,
     COUNTIFS($AG$3:$AG$201,$M33)&gt;0,
     COUNTIFS($AH$3:$AH$201,$M33)&gt;0,
     COUNTIFS($AI$3:$AI$201,$M33)&gt;0,
     COUNTIFS($AJ$3:$AJ$201,$M33)&gt;0,
     COUNTIFS($AK$3:$AK$201,$M33)&gt;0,
     COUNTIFS($AL$3:$AL$201,$M33)&gt;0,
     COUNTIFS($AM$3:$AM$201,$M33)&gt;0,
     COUNTIFS($AN$3:$AN$201,$M33)&gt;0,
     COUNTIFS($AO$3:$AO$201,$M33)&gt;0,
     COUNTIFS($AP$3:$AP$201,$M33)&gt;0,
     COUNTIFS($AQ$3:$AQ$201,$M33)&gt;0,
     COUNTIFS($AR$3:$AR$201,$M33)&gt;0,
     COUNTIFS($AS$3:$AS$201,$M33)&gt;0,
     COUNTIFS($AT$3:$AT$201,$M33)&gt;0,
     COUNTIFS($AU$3:$AU$201,$M33)&gt;0,
     COUNTIFS($AV$3:$AV$201,$M33)&gt;0,
     COUNTIFS($AW$3:$AW$201,$M33)&gt;0
   )),
  ),
  3
 ),
"")</f>
        <v/>
      </c>
      <c r="R33" s="3" t="str" cm="1">
        <f t="array" aca="1" ref="R33" ca="1">IFERROR(
 INDEX(
  _xlfn._xlws.FILTER($T$2:$AW$2,
   TRANSPOSE(
    CHOOSE({1;2;3;4;5;6;7;8;9;10;11;12;13;14;15;16;17;18;19;20;21;22;23;24;25;26;27;28;29;30},
     COUNTIFS($T$3:$T$201,$M33)&gt;0,
     COUNTIFS($U$3:$U$201,$M33)&gt;0,
     COUNTIFS($V$3:$V$201,$M33)&gt;0,
     COUNTIFS($W$3:$W$201,$M33)&gt;0,
     COUNTIFS($X$3:$X$201,$M33)&gt;0,
     COUNTIFS($Y$3:$Y$201,$M33)&gt;0,
     COUNTIFS($Z$3:$Z$201,$M33)&gt;0,
     COUNTIFS($AA$3:$AA$201,$M33)&gt;0,
     COUNTIFS($AB$3:$AB$201,$M33)&gt;0,
     COUNTIFS($AC$3:$AC$201,$M33)&gt;0,
     COUNTIFS($AD$3:$AD$201,$M33)&gt;0,
     COUNTIFS($AE$3:$AE$201,$M33)&gt;0,
     COUNTIFS($AF$3:$AF$201,$M33)&gt;0,
     COUNTIFS($AG$3:$AG$201,$M33)&gt;0,
     COUNTIFS($AH$3:$AH$201,$M33)&gt;0,
     COUNTIFS($AI$3:$AI$201,$M33)&gt;0,
     COUNTIFS($AJ$3:$AJ$201,$M33)&gt;0,
     COUNTIFS($AK$3:$AK$201,$M33)&gt;0,
     COUNTIFS($AL$3:$AL$201,$M33)&gt;0,
     COUNTIFS($AM$3:$AM$201,$M33)&gt;0,
     COUNTIFS($AN$3:$AN$201,$M33)&gt;0,
     COUNTIFS($AO$3:$AO$201,$M33)&gt;0,
     COUNTIFS($AP$3:$AP$201,$M33)&gt;0,
     COUNTIFS($AQ$3:$AQ$201,$M33)&gt;0,
     COUNTIFS($AR$3:$AR$201,$M33)&gt;0,
     COUNTIFS($AS$3:$AS$201,$M33)&gt;0,
     COUNTIFS($AT$3:$AT$201,$M33)&gt;0,
     COUNTIFS($AU$3:$AU$201,$M33)&gt;0,
     COUNTIFS($AV$3:$AV$201,$M33)&gt;0,
     COUNTIFS($AW$3:$AW$201,$M33)&gt;0
   )),
  ),
  4
 ),
"")</f>
        <v/>
      </c>
      <c r="BA33" t="str">
        <f ca="1"/>
        <v>Swamp</v>
      </c>
      <c r="BB33" t="str">
        <f ca="1"/>
        <v>Prismatic Lens</v>
      </c>
      <c r="BC33" t="str">
        <f ca="1"/>
        <v>Swamp</v>
      </c>
      <c r="BD33" t="str">
        <f ca="1"/>
        <v>Vale Afundado</v>
      </c>
      <c r="BR33" t="str">
        <f ca="1"/>
        <v>Inferno Duplo</v>
      </c>
      <c r="BS33" t="str">
        <f ca="1"/>
        <v>High Priest of Penance</v>
      </c>
      <c r="BT33" t="str">
        <f ca="1"/>
        <v>Thran Temporal Gateway</v>
      </c>
      <c r="BU33" t="str">
        <f ca="1"/>
        <v>Seguro de Vida</v>
      </c>
      <c r="CA33" t="str">
        <f ca="1"/>
        <v>Diamante U</v>
      </c>
      <c r="CB33" t="str">
        <f ca="1"/>
        <v>Island</v>
      </c>
      <c r="CC33" t="str">
        <f ca="1"/>
        <v>Procissão de Carniçais</v>
      </c>
      <c r="CD33" t="str">
        <f ca="1"/>
        <v>Rumor Gatherer</v>
      </c>
      <c r="CF33" t="str">
        <f ca="1"/>
        <v>Comando de Kayla</v>
      </c>
      <c r="CG33" t="str">
        <f ca="1"/>
        <v>Gwenna, Olhos de Gaia</v>
      </c>
      <c r="CI33" t="str">
        <f ca="1"/>
        <v>Canalizadora de Fluxos</v>
      </c>
    </row>
    <row r="34" spans="1:87" x14ac:dyDescent="0.25">
      <c r="A34" t="str">
        <f ca="1"/>
        <v>Brushland</v>
      </c>
      <c r="B34" s="3" t="str" cm="1">
        <f t="array" aca="1" ref="B34" ca="1">_xlfn.ANCHORARRAY(RESUMO!C33)</f>
        <v>Baylen</v>
      </c>
      <c r="C34" s="3" t="str">
        <f t="shared" ca="1" si="0"/>
        <v/>
      </c>
      <c r="E34" t="str">
        <f ca="1"/>
        <v>Ceifador da Meia-Noite</v>
      </c>
      <c r="F34" s="3">
        <f t="shared" ca="1" si="1"/>
        <v>1</v>
      </c>
      <c r="G34" s="3" t="str">
        <f t="shared" ca="1" si="2"/>
        <v>Tayam</v>
      </c>
      <c r="M34" t="str">
        <f ca="1"/>
        <v>Ceifador da Meia-Noite</v>
      </c>
      <c r="N34" s="3">
        <f t="shared" ca="1" si="3"/>
        <v>1</v>
      </c>
      <c r="O34" s="3" t="str">
        <f ca="1">IFERROR(
 INDEX($T$2:$AW$2,
  MATCH(TRUE,
   CHOOSE({1;2;3;4;5;6;7;8;9;10;11;12;13;14;15;16;17;18;19;20;21;22;23;24;25;26;27;28;29;30;31;32},
    COUNTIFS($T$3:$T$201,$M34)&gt;0,
    COUNTIFS($U$3:$U$201,$M34)&gt;0,
    COUNTIFS($V$3:$V$201,$M34)&gt;0,
    COUNTIFS($W$3:$W$201,$M34)&gt;0,
    COUNTIFS($X$3:$X$201,$M34)&gt;0,
    COUNTIFS($Y$3:$Y$201,$M34)&gt;0,
    COUNTIFS($Z$3:$Z$201,$M34)&gt;0,
    COUNTIFS($AA$3:$AA$201,$M34)&gt;0,
    COUNTIFS($AB$3:$AB$201,$M34)&gt;0,
    COUNTIFS($AC$3:$AC$201,$M34)&gt;0,
    COUNTIFS($AD$3:$AD$201,$M34)&gt;0,
    COUNTIFS($AE$3:$AE$201,$M34)&gt;0,
    COUNTIFS($AF$3:$AF$201,$M34)&gt;0,
    COUNTIFS($AG$3:$AG$201,$M34)&gt;0,
    COUNTIFS($AH$3:$AH$201,$M34)&gt;0,
    COUNTIFS($AI$3:$AI$201,$M34)&gt;0,
    COUNTIFS($AJ$3:$AJ$201,$M34)&gt;0,
    COUNTIFS($AK$3:$AK$201,$M34)&gt;0,
    COUNTIFS($AL$3:$AL$201,$M34)&gt;0,
    COUNTIFS($AM$3:$AM$201,$M34)&gt;0,
    COUNTIFS($AN$3:$AN$201,$M34)&gt;0,
    COUNTIFS($AO$3:$AO$201,$M34)&gt;0,
    COUNTIFS($AP$3:$AP$201,$M34)&gt;0,
    COUNTIFS($AQ$3:$AQ$201,$M34)&gt;0,
    COUNTIFS($AR$3:$AR$201,$M34)&gt;0,
    COUNTIFS($AS$3:$AS$201,$M34)&gt;0,
    COUNTIFS($AT$3:$AT$201,$M34)&gt;0,
    COUNTIFS($AU$3:$AU$201,$M34)&gt;0,
    COUNTIFS($AV$3:$AV$201,$M34)&gt;0,
    COUNTIFS($AW$3:$AW$201,$M34)&gt;0
   ),
  0)
 ),
"")</f>
        <v>Tayam</v>
      </c>
      <c r="P34" s="3" t="str" cm="1">
        <f t="array" aca="1" ref="P34" ca="1">IFERROR(
 INDEX(
  _xlfn._xlws.FILTER($T$2:$AW$2,
   TRANSPOSE(
    CHOOSE({1;2;3;4;5;6;7;8;9;10;11;12;13;14;15;16;17;18;19;20;21;22;23;24;25;26;27;28;29;30},
     COUNTIFS($T$3:$T$201,$M34)&gt;0,
     COUNTIFS($U$3:$U$201,$M34)&gt;0,
     COUNTIFS($V$3:$V$201,$M34)&gt;0,
     COUNTIFS($W$3:$W$201,$M34)&gt;0,
     COUNTIFS($X$3:$X$201,$M34)&gt;0,
     COUNTIFS($Y$3:$Y$201,$M34)&gt;0,
     COUNTIFS($Z$3:$Z$201,$M34)&gt;0,
     COUNTIFS($AA$3:$AA$201,$M34)&gt;0,
     COUNTIFS($AB$3:$AB$201,$M34)&gt;0,
     COUNTIFS($AC$3:$AC$201,$M34)&gt;0,
     COUNTIFS($AD$3:$AD$201,$M34)&gt;0,
     COUNTIFS($AE$3:$AE$201,$M34)&gt;0,
     COUNTIFS($AF$3:$AF$201,$M34)&gt;0,
     COUNTIFS($AG$3:$AG$201,$M34)&gt;0,
     COUNTIFS($AH$3:$AH$201,$M34)&gt;0,
     COUNTIFS($AI$3:$AI$201,$M34)&gt;0,
     COUNTIFS($AJ$3:$AJ$201,$M34)&gt;0,
     COUNTIFS($AK$3:$AK$201,$M34)&gt;0,
     COUNTIFS($AL$3:$AL$201,$M34)&gt;0,
     COUNTIFS($AM$3:$AM$201,$M34)&gt;0,
     COUNTIFS($AN$3:$AN$201,$M34)&gt;0,
     COUNTIFS($AO$3:$AO$201,$M34)&gt;0,
     COUNTIFS($AP$3:$AP$201,$M34)&gt;0,
     COUNTIFS($AQ$3:$AQ$201,$M34)&gt;0,
     COUNTIFS($AR$3:$AR$201,$M34)&gt;0,
     COUNTIFS($AS$3:$AS$201,$M34)&gt;0,
     COUNTIFS($AT$3:$AT$201,$M34)&gt;0,
     COUNTIFS($AU$3:$AU$201,$M34)&gt;0,
     COUNTIFS($AV$3:$AV$201,$M34)&gt;0,
     COUNTIFS($AW$3:$AW$201,$M34)&gt;0
   )),
  ),
  2
 ),
"")</f>
        <v/>
      </c>
      <c r="Q34" s="3" t="str" cm="1">
        <f t="array" aca="1" ref="Q34" ca="1">IFERROR(
 INDEX(
  _xlfn._xlws.FILTER($T$2:$AW$2,
   TRANSPOSE(
    CHOOSE({1;2;3;4;5;6;7;8;9;10;11;12;13;14;15;16;17;18;19;20;21;22;23;24;25;26;27;28;29;30},
     COUNTIFS($T$3:$T$201,$M34)&gt;0,
     COUNTIFS($U$3:$U$201,$M34)&gt;0,
     COUNTIFS($V$3:$V$201,$M34)&gt;0,
     COUNTIFS($W$3:$W$201,$M34)&gt;0,
     COUNTIFS($X$3:$X$201,$M34)&gt;0,
     COUNTIFS($Y$3:$Y$201,$M34)&gt;0,
     COUNTIFS($Z$3:$Z$201,$M34)&gt;0,
     COUNTIFS($AA$3:$AA$201,$M34)&gt;0,
     COUNTIFS($AB$3:$AB$201,$M34)&gt;0,
     COUNTIFS($AC$3:$AC$201,$M34)&gt;0,
     COUNTIFS($AD$3:$AD$201,$M34)&gt;0,
     COUNTIFS($AE$3:$AE$201,$M34)&gt;0,
     COUNTIFS($AF$3:$AF$201,$M34)&gt;0,
     COUNTIFS($AG$3:$AG$201,$M34)&gt;0,
     COUNTIFS($AH$3:$AH$201,$M34)&gt;0,
     COUNTIFS($AI$3:$AI$201,$M34)&gt;0,
     COUNTIFS($AJ$3:$AJ$201,$M34)&gt;0,
     COUNTIFS($AK$3:$AK$201,$M34)&gt;0,
     COUNTIFS($AL$3:$AL$201,$M34)&gt;0,
     COUNTIFS($AM$3:$AM$201,$M34)&gt;0,
     COUNTIFS($AN$3:$AN$201,$M34)&gt;0,
     COUNTIFS($AO$3:$AO$201,$M34)&gt;0,
     COUNTIFS($AP$3:$AP$201,$M34)&gt;0,
     COUNTIFS($AQ$3:$AQ$201,$M34)&gt;0,
     COUNTIFS($AR$3:$AR$201,$M34)&gt;0,
     COUNTIFS($AS$3:$AS$201,$M34)&gt;0,
     COUNTIFS($AT$3:$AT$201,$M34)&gt;0,
     COUNTIFS($AU$3:$AU$201,$M34)&gt;0,
     COUNTIFS($AV$3:$AV$201,$M34)&gt;0,
     COUNTIFS($AW$3:$AW$201,$M34)&gt;0
   )),
  ),
  3
 ),
"")</f>
        <v/>
      </c>
      <c r="R34" s="3" t="str" cm="1">
        <f t="array" aca="1" ref="R34" ca="1">IFERROR(
 INDEX(
  _xlfn._xlws.FILTER($T$2:$AW$2,
   TRANSPOSE(
    CHOOSE({1;2;3;4;5;6;7;8;9;10;11;12;13;14;15;16;17;18;19;20;21;22;23;24;25;26;27;28;29;30},
     COUNTIFS($T$3:$T$201,$M34)&gt;0,
     COUNTIFS($U$3:$U$201,$M34)&gt;0,
     COUNTIFS($V$3:$V$201,$M34)&gt;0,
     COUNTIFS($W$3:$W$201,$M34)&gt;0,
     COUNTIFS($X$3:$X$201,$M34)&gt;0,
     COUNTIFS($Y$3:$Y$201,$M34)&gt;0,
     COUNTIFS($Z$3:$Z$201,$M34)&gt;0,
     COUNTIFS($AA$3:$AA$201,$M34)&gt;0,
     COUNTIFS($AB$3:$AB$201,$M34)&gt;0,
     COUNTIFS($AC$3:$AC$201,$M34)&gt;0,
     COUNTIFS($AD$3:$AD$201,$M34)&gt;0,
     COUNTIFS($AE$3:$AE$201,$M34)&gt;0,
     COUNTIFS($AF$3:$AF$201,$M34)&gt;0,
     COUNTIFS($AG$3:$AG$201,$M34)&gt;0,
     COUNTIFS($AH$3:$AH$201,$M34)&gt;0,
     COUNTIFS($AI$3:$AI$201,$M34)&gt;0,
     COUNTIFS($AJ$3:$AJ$201,$M34)&gt;0,
     COUNTIFS($AK$3:$AK$201,$M34)&gt;0,
     COUNTIFS($AL$3:$AL$201,$M34)&gt;0,
     COUNTIFS($AM$3:$AM$201,$M34)&gt;0,
     COUNTIFS($AN$3:$AN$201,$M34)&gt;0,
     COUNTIFS($AO$3:$AO$201,$M34)&gt;0,
     COUNTIFS($AP$3:$AP$201,$M34)&gt;0,
     COUNTIFS($AQ$3:$AQ$201,$M34)&gt;0,
     COUNTIFS($AR$3:$AR$201,$M34)&gt;0,
     COUNTIFS($AS$3:$AS$201,$M34)&gt;0,
     COUNTIFS($AT$3:$AT$201,$M34)&gt;0,
     COUNTIFS($AU$3:$AU$201,$M34)&gt;0,
     COUNTIFS($AV$3:$AV$201,$M34)&gt;0,
     COUNTIFS($AW$3:$AW$201,$M34)&gt;0
   )),
  ),
  4
 ),
"")</f>
        <v/>
      </c>
      <c r="BA34" t="str">
        <f ca="1"/>
        <v>Taverneiro Prospero</v>
      </c>
      <c r="BB34" t="str">
        <f ca="1"/>
        <v>Realmbreaker, the Invasion Tree</v>
      </c>
      <c r="BC34" t="str">
        <f ca="1"/>
        <v>Terras em Desenvolvimento</v>
      </c>
      <c r="BD34" t="str">
        <f ca="1"/>
        <v>Watertrap Wizard</v>
      </c>
      <c r="BR34" t="str">
        <f ca="1"/>
        <v>Invasão da Horda Medonha</v>
      </c>
      <c r="BS34" t="str">
        <f ca="1"/>
        <v>Imagem Espelhada</v>
      </c>
      <c r="BT34" t="str">
        <f ca="1"/>
        <v>Transformações Divergentes</v>
      </c>
      <c r="BU34" t="str">
        <f ca="1"/>
        <v>Sombra Mutável</v>
      </c>
      <c r="CA34" t="str">
        <f ca="1"/>
        <v>Dire Fleet Poisoner</v>
      </c>
      <c r="CB34" t="str">
        <f ca="1"/>
        <v>Kasmina, Enigma Sage</v>
      </c>
      <c r="CC34" t="str">
        <f ca="1"/>
        <v>Reclamation Sage</v>
      </c>
      <c r="CD34" t="str">
        <f ca="1"/>
        <v>Runadi, Behemoth Caller</v>
      </c>
      <c r="CF34" t="str">
        <f ca="1"/>
        <v>Comando do Patriarca</v>
      </c>
      <c r="CG34" t="str">
        <f ca="1"/>
        <v>Ilha</v>
      </c>
      <c r="CI34" t="str">
        <f ca="1"/>
        <v>Ceifador da Meia-Noite</v>
      </c>
    </row>
    <row r="35" spans="1:87" x14ac:dyDescent="0.25">
      <c r="A35" t="str">
        <f ca="1"/>
        <v>Bugenhagen, Wise Elder</v>
      </c>
      <c r="B35" s="3" t="str" cm="1">
        <f t="array" aca="1" ref="B35" ca="1">_xlfn.ANCHORARRAY(RESUMO!C34)</f>
        <v>Kresh</v>
      </c>
      <c r="C35" s="3" t="str">
        <f t="shared" ca="1" si="0"/>
        <v/>
      </c>
      <c r="E35" t="str">
        <f ca="1"/>
        <v>Cemetery Tampering</v>
      </c>
      <c r="F35" s="3">
        <f t="shared" ca="1" si="1"/>
        <v>1</v>
      </c>
      <c r="G35" s="3" t="str">
        <f t="shared" ca="1" si="2"/>
        <v>Gritrog</v>
      </c>
      <c r="M35" t="str">
        <f ca="1"/>
        <v>Cemetery Tampering</v>
      </c>
      <c r="N35" s="3">
        <f t="shared" ca="1" si="3"/>
        <v>1</v>
      </c>
      <c r="O35" s="3" t="str">
        <f ca="1">IFERROR(
 INDEX($T$2:$AW$2,
  MATCH(TRUE,
   CHOOSE({1;2;3;4;5;6;7;8;9;10;11;12;13;14;15;16;17;18;19;20;21;22;23;24;25;26;27;28;29;30;31;32},
    COUNTIFS($T$3:$T$201,$M35)&gt;0,
    COUNTIFS($U$3:$U$201,$M35)&gt;0,
    COUNTIFS($V$3:$V$201,$M35)&gt;0,
    COUNTIFS($W$3:$W$201,$M35)&gt;0,
    COUNTIFS($X$3:$X$201,$M35)&gt;0,
    COUNTIFS($Y$3:$Y$201,$M35)&gt;0,
    COUNTIFS($Z$3:$Z$201,$M35)&gt;0,
    COUNTIFS($AA$3:$AA$201,$M35)&gt;0,
    COUNTIFS($AB$3:$AB$201,$M35)&gt;0,
    COUNTIFS($AC$3:$AC$201,$M35)&gt;0,
    COUNTIFS($AD$3:$AD$201,$M35)&gt;0,
    COUNTIFS($AE$3:$AE$201,$M35)&gt;0,
    COUNTIFS($AF$3:$AF$201,$M35)&gt;0,
    COUNTIFS($AG$3:$AG$201,$M35)&gt;0,
    COUNTIFS($AH$3:$AH$201,$M35)&gt;0,
    COUNTIFS($AI$3:$AI$201,$M35)&gt;0,
    COUNTIFS($AJ$3:$AJ$201,$M35)&gt;0,
    COUNTIFS($AK$3:$AK$201,$M35)&gt;0,
    COUNTIFS($AL$3:$AL$201,$M35)&gt;0,
    COUNTIFS($AM$3:$AM$201,$M35)&gt;0,
    COUNTIFS($AN$3:$AN$201,$M35)&gt;0,
    COUNTIFS($AO$3:$AO$201,$M35)&gt;0,
    COUNTIFS($AP$3:$AP$201,$M35)&gt;0,
    COUNTIFS($AQ$3:$AQ$201,$M35)&gt;0,
    COUNTIFS($AR$3:$AR$201,$M35)&gt;0,
    COUNTIFS($AS$3:$AS$201,$M35)&gt;0,
    COUNTIFS($AT$3:$AT$201,$M35)&gt;0,
    COUNTIFS($AU$3:$AU$201,$M35)&gt;0,
    COUNTIFS($AV$3:$AV$201,$M35)&gt;0,
    COUNTIFS($AW$3:$AW$201,$M35)&gt;0
   ),
  0)
 ),
"")</f>
        <v>Gritrog</v>
      </c>
      <c r="P35" s="3" t="str" cm="1">
        <f t="array" aca="1" ref="P35" ca="1">IFERROR(
 INDEX(
  _xlfn._xlws.FILTER($T$2:$AW$2,
   TRANSPOSE(
    CHOOSE({1;2;3;4;5;6;7;8;9;10;11;12;13;14;15;16;17;18;19;20;21;22;23;24;25;26;27;28;29;30},
     COUNTIFS($T$3:$T$201,$M35)&gt;0,
     COUNTIFS($U$3:$U$201,$M35)&gt;0,
     COUNTIFS($V$3:$V$201,$M35)&gt;0,
     COUNTIFS($W$3:$W$201,$M35)&gt;0,
     COUNTIFS($X$3:$X$201,$M35)&gt;0,
     COUNTIFS($Y$3:$Y$201,$M35)&gt;0,
     COUNTIFS($Z$3:$Z$201,$M35)&gt;0,
     COUNTIFS($AA$3:$AA$201,$M35)&gt;0,
     COUNTIFS($AB$3:$AB$201,$M35)&gt;0,
     COUNTIFS($AC$3:$AC$201,$M35)&gt;0,
     COUNTIFS($AD$3:$AD$201,$M35)&gt;0,
     COUNTIFS($AE$3:$AE$201,$M35)&gt;0,
     COUNTIFS($AF$3:$AF$201,$M35)&gt;0,
     COUNTIFS($AG$3:$AG$201,$M35)&gt;0,
     COUNTIFS($AH$3:$AH$201,$M35)&gt;0,
     COUNTIFS($AI$3:$AI$201,$M35)&gt;0,
     COUNTIFS($AJ$3:$AJ$201,$M35)&gt;0,
     COUNTIFS($AK$3:$AK$201,$M35)&gt;0,
     COUNTIFS($AL$3:$AL$201,$M35)&gt;0,
     COUNTIFS($AM$3:$AM$201,$M35)&gt;0,
     COUNTIFS($AN$3:$AN$201,$M35)&gt;0,
     COUNTIFS($AO$3:$AO$201,$M35)&gt;0,
     COUNTIFS($AP$3:$AP$201,$M35)&gt;0,
     COUNTIFS($AQ$3:$AQ$201,$M35)&gt;0,
     COUNTIFS($AR$3:$AR$201,$M35)&gt;0,
     COUNTIFS($AS$3:$AS$201,$M35)&gt;0,
     COUNTIFS($AT$3:$AT$201,$M35)&gt;0,
     COUNTIFS($AU$3:$AU$201,$M35)&gt;0,
     COUNTIFS($AV$3:$AV$201,$M35)&gt;0,
     COUNTIFS($AW$3:$AW$201,$M35)&gt;0
   )),
  ),
  2
 ),
"")</f>
        <v/>
      </c>
      <c r="Q35" s="3" t="str" cm="1">
        <f t="array" aca="1" ref="Q35" ca="1">IFERROR(
 INDEX(
  _xlfn._xlws.FILTER($T$2:$AW$2,
   TRANSPOSE(
    CHOOSE({1;2;3;4;5;6;7;8;9;10;11;12;13;14;15;16;17;18;19;20;21;22;23;24;25;26;27;28;29;30},
     COUNTIFS($T$3:$T$201,$M35)&gt;0,
     COUNTIFS($U$3:$U$201,$M35)&gt;0,
     COUNTIFS($V$3:$V$201,$M35)&gt;0,
     COUNTIFS($W$3:$W$201,$M35)&gt;0,
     COUNTIFS($X$3:$X$201,$M35)&gt;0,
     COUNTIFS($Y$3:$Y$201,$M35)&gt;0,
     COUNTIFS($Z$3:$Z$201,$M35)&gt;0,
     COUNTIFS($AA$3:$AA$201,$M35)&gt;0,
     COUNTIFS($AB$3:$AB$201,$M35)&gt;0,
     COUNTIFS($AC$3:$AC$201,$M35)&gt;0,
     COUNTIFS($AD$3:$AD$201,$M35)&gt;0,
     COUNTIFS($AE$3:$AE$201,$M35)&gt;0,
     COUNTIFS($AF$3:$AF$201,$M35)&gt;0,
     COUNTIFS($AG$3:$AG$201,$M35)&gt;0,
     COUNTIFS($AH$3:$AH$201,$M35)&gt;0,
     COUNTIFS($AI$3:$AI$201,$M35)&gt;0,
     COUNTIFS($AJ$3:$AJ$201,$M35)&gt;0,
     COUNTIFS($AK$3:$AK$201,$M35)&gt;0,
     COUNTIFS($AL$3:$AL$201,$M35)&gt;0,
     COUNTIFS($AM$3:$AM$201,$M35)&gt;0,
     COUNTIFS($AN$3:$AN$201,$M35)&gt;0,
     COUNTIFS($AO$3:$AO$201,$M35)&gt;0,
     COUNTIFS($AP$3:$AP$201,$M35)&gt;0,
     COUNTIFS($AQ$3:$AQ$201,$M35)&gt;0,
     COUNTIFS($AR$3:$AR$201,$M35)&gt;0,
     COUNTIFS($AS$3:$AS$201,$M35)&gt;0,
     COUNTIFS($AT$3:$AT$201,$M35)&gt;0,
     COUNTIFS($AU$3:$AU$201,$M35)&gt;0,
     COUNTIFS($AV$3:$AV$201,$M35)&gt;0,
     COUNTIFS($AW$3:$AW$201,$M35)&gt;0
   )),
  ),
  3
 ),
"")</f>
        <v/>
      </c>
      <c r="R35" s="3" t="str" cm="1">
        <f t="array" aca="1" ref="R35" ca="1">IFERROR(
 INDEX(
  _xlfn._xlws.FILTER($T$2:$AW$2,
   TRANSPOSE(
    CHOOSE({1;2;3;4;5;6;7;8;9;10;11;12;13;14;15;16;17;18;19;20;21;22;23;24;25;26;27;28;29;30},
     COUNTIFS($T$3:$T$201,$M35)&gt;0,
     COUNTIFS($U$3:$U$201,$M35)&gt;0,
     COUNTIFS($V$3:$V$201,$M35)&gt;0,
     COUNTIFS($W$3:$W$201,$M35)&gt;0,
     COUNTIFS($X$3:$X$201,$M35)&gt;0,
     COUNTIFS($Y$3:$Y$201,$M35)&gt;0,
     COUNTIFS($Z$3:$Z$201,$M35)&gt;0,
     COUNTIFS($AA$3:$AA$201,$M35)&gt;0,
     COUNTIFS($AB$3:$AB$201,$M35)&gt;0,
     COUNTIFS($AC$3:$AC$201,$M35)&gt;0,
     COUNTIFS($AD$3:$AD$201,$M35)&gt;0,
     COUNTIFS($AE$3:$AE$201,$M35)&gt;0,
     COUNTIFS($AF$3:$AF$201,$M35)&gt;0,
     COUNTIFS($AG$3:$AG$201,$M35)&gt;0,
     COUNTIFS($AH$3:$AH$201,$M35)&gt;0,
     COUNTIFS($AI$3:$AI$201,$M35)&gt;0,
     COUNTIFS($AJ$3:$AJ$201,$M35)&gt;0,
     COUNTIFS($AK$3:$AK$201,$M35)&gt;0,
     COUNTIFS($AL$3:$AL$201,$M35)&gt;0,
     COUNTIFS($AM$3:$AM$201,$M35)&gt;0,
     COUNTIFS($AN$3:$AN$201,$M35)&gt;0,
     COUNTIFS($AO$3:$AO$201,$M35)&gt;0,
     COUNTIFS($AP$3:$AP$201,$M35)&gt;0,
     COUNTIFS($AQ$3:$AQ$201,$M35)&gt;0,
     COUNTIFS($AR$3:$AR$201,$M35)&gt;0,
     COUNTIFS($AS$3:$AS$201,$M35)&gt;0,
     COUNTIFS($AT$3:$AT$201,$M35)&gt;0,
     COUNTIFS($AU$3:$AU$201,$M35)&gt;0,
     COUNTIFS($AV$3:$AV$201,$M35)&gt;0,
     COUNTIFS($AW$3:$AW$201,$M35)&gt;0
   )),
  ),
  4
 ),
"")</f>
        <v/>
      </c>
      <c r="BA35" t="str">
        <f ca="1"/>
        <v>Tempestade Serelepe</v>
      </c>
      <c r="BB35" t="str">
        <f ca="1"/>
        <v>Rebento de Halaster</v>
      </c>
      <c r="BC35" t="str">
        <f ca="1"/>
        <v>Tocasia's Welcome</v>
      </c>
      <c r="BR35" t="str">
        <f ca="1"/>
        <v>Investigação Minuciosa</v>
      </c>
      <c r="BS35" t="str">
        <f ca="1"/>
        <v>Island</v>
      </c>
      <c r="BT35" t="str">
        <f ca="1"/>
        <v>Urna de Mosco-lumes</v>
      </c>
      <c r="BU35" t="str">
        <f ca="1"/>
        <v>Sudden Spoiling</v>
      </c>
      <c r="CA35" t="str">
        <f ca="1"/>
        <v>Discipulo do Demônio</v>
      </c>
      <c r="CB35" t="str">
        <f ca="1"/>
        <v>Kraken do Mar Profundo</v>
      </c>
      <c r="CC35" t="str">
        <f ca="1"/>
        <v>Sacred Foundry</v>
      </c>
      <c r="CD35" t="str">
        <f ca="1"/>
        <v>Sábio Primordial</v>
      </c>
      <c r="CF35" t="str">
        <f ca="1"/>
        <v>Coronation of Chaos</v>
      </c>
      <c r="CG35" t="str">
        <f ca="1"/>
        <v>Inundação de Lágrimas</v>
      </c>
      <c r="CI35" t="str">
        <f ca="1"/>
        <v>Cemetery Tampering</v>
      </c>
    </row>
    <row r="36" spans="1:87" x14ac:dyDescent="0.25">
      <c r="A36" t="str">
        <f ca="1"/>
        <v>Burnt Offering</v>
      </c>
      <c r="B36" s="3" t="str" cm="1">
        <f t="array" aca="1" ref="B36" ca="1">_xlfn.ANCHORARRAY(RESUMO!C35)</f>
        <v>Inalla</v>
      </c>
      <c r="C36" s="3" t="str">
        <f t="shared" ca="1" si="0"/>
        <v/>
      </c>
      <c r="E36" t="str">
        <f ca="1"/>
        <v>Cervo Brunido</v>
      </c>
      <c r="F36" s="3">
        <f t="shared" ca="1" si="1"/>
        <v>1</v>
      </c>
      <c r="G36" s="3" t="str">
        <f t="shared" ca="1" si="2"/>
        <v>Tayam</v>
      </c>
      <c r="M36" t="str">
        <f ca="1"/>
        <v>Cervo Brunido</v>
      </c>
      <c r="N36" s="3">
        <f t="shared" ca="1" si="3"/>
        <v>1</v>
      </c>
      <c r="O36" s="3" t="str">
        <f ca="1">IFERROR(
 INDEX($T$2:$AW$2,
  MATCH(TRUE,
   CHOOSE({1;2;3;4;5;6;7;8;9;10;11;12;13;14;15;16;17;18;19;20;21;22;23;24;25;26;27;28;29;30;31;32},
    COUNTIFS($T$3:$T$201,$M36)&gt;0,
    COUNTIFS($U$3:$U$201,$M36)&gt;0,
    COUNTIFS($V$3:$V$201,$M36)&gt;0,
    COUNTIFS($W$3:$W$201,$M36)&gt;0,
    COUNTIFS($X$3:$X$201,$M36)&gt;0,
    COUNTIFS($Y$3:$Y$201,$M36)&gt;0,
    COUNTIFS($Z$3:$Z$201,$M36)&gt;0,
    COUNTIFS($AA$3:$AA$201,$M36)&gt;0,
    COUNTIFS($AB$3:$AB$201,$M36)&gt;0,
    COUNTIFS($AC$3:$AC$201,$M36)&gt;0,
    COUNTIFS($AD$3:$AD$201,$M36)&gt;0,
    COUNTIFS($AE$3:$AE$201,$M36)&gt;0,
    COUNTIFS($AF$3:$AF$201,$M36)&gt;0,
    COUNTIFS($AG$3:$AG$201,$M36)&gt;0,
    COUNTIFS($AH$3:$AH$201,$M36)&gt;0,
    COUNTIFS($AI$3:$AI$201,$M36)&gt;0,
    COUNTIFS($AJ$3:$AJ$201,$M36)&gt;0,
    COUNTIFS($AK$3:$AK$201,$M36)&gt;0,
    COUNTIFS($AL$3:$AL$201,$M36)&gt;0,
    COUNTIFS($AM$3:$AM$201,$M36)&gt;0,
    COUNTIFS($AN$3:$AN$201,$M36)&gt;0,
    COUNTIFS($AO$3:$AO$201,$M36)&gt;0,
    COUNTIFS($AP$3:$AP$201,$M36)&gt;0,
    COUNTIFS($AQ$3:$AQ$201,$M36)&gt;0,
    COUNTIFS($AR$3:$AR$201,$M36)&gt;0,
    COUNTIFS($AS$3:$AS$201,$M36)&gt;0,
    COUNTIFS($AT$3:$AT$201,$M36)&gt;0,
    COUNTIFS($AU$3:$AU$201,$M36)&gt;0,
    COUNTIFS($AV$3:$AV$201,$M36)&gt;0,
    COUNTIFS($AW$3:$AW$201,$M36)&gt;0
   ),
  0)
 ),
"")</f>
        <v>Tayam</v>
      </c>
      <c r="P36" s="3" t="str" cm="1">
        <f t="array" aca="1" ref="P36" ca="1">IFERROR(
 INDEX(
  _xlfn._xlws.FILTER($T$2:$AW$2,
   TRANSPOSE(
    CHOOSE({1;2;3;4;5;6;7;8;9;10;11;12;13;14;15;16;17;18;19;20;21;22;23;24;25;26;27;28;29;30},
     COUNTIFS($T$3:$T$201,$M36)&gt;0,
     COUNTIFS($U$3:$U$201,$M36)&gt;0,
     COUNTIFS($V$3:$V$201,$M36)&gt;0,
     COUNTIFS($W$3:$W$201,$M36)&gt;0,
     COUNTIFS($X$3:$X$201,$M36)&gt;0,
     COUNTIFS($Y$3:$Y$201,$M36)&gt;0,
     COUNTIFS($Z$3:$Z$201,$M36)&gt;0,
     COUNTIFS($AA$3:$AA$201,$M36)&gt;0,
     COUNTIFS($AB$3:$AB$201,$M36)&gt;0,
     COUNTIFS($AC$3:$AC$201,$M36)&gt;0,
     COUNTIFS($AD$3:$AD$201,$M36)&gt;0,
     COUNTIFS($AE$3:$AE$201,$M36)&gt;0,
     COUNTIFS($AF$3:$AF$201,$M36)&gt;0,
     COUNTIFS($AG$3:$AG$201,$M36)&gt;0,
     COUNTIFS($AH$3:$AH$201,$M36)&gt;0,
     COUNTIFS($AI$3:$AI$201,$M36)&gt;0,
     COUNTIFS($AJ$3:$AJ$201,$M36)&gt;0,
     COUNTIFS($AK$3:$AK$201,$M36)&gt;0,
     COUNTIFS($AL$3:$AL$201,$M36)&gt;0,
     COUNTIFS($AM$3:$AM$201,$M36)&gt;0,
     COUNTIFS($AN$3:$AN$201,$M36)&gt;0,
     COUNTIFS($AO$3:$AO$201,$M36)&gt;0,
     COUNTIFS($AP$3:$AP$201,$M36)&gt;0,
     COUNTIFS($AQ$3:$AQ$201,$M36)&gt;0,
     COUNTIFS($AR$3:$AR$201,$M36)&gt;0,
     COUNTIFS($AS$3:$AS$201,$M36)&gt;0,
     COUNTIFS($AT$3:$AT$201,$M36)&gt;0,
     COUNTIFS($AU$3:$AU$201,$M36)&gt;0,
     COUNTIFS($AV$3:$AV$201,$M36)&gt;0,
     COUNTIFS($AW$3:$AW$201,$M36)&gt;0
   )),
  ),
  2
 ),
"")</f>
        <v/>
      </c>
      <c r="Q36" s="3" t="str" cm="1">
        <f t="array" aca="1" ref="Q36" ca="1">IFERROR(
 INDEX(
  _xlfn._xlws.FILTER($T$2:$AW$2,
   TRANSPOSE(
    CHOOSE({1;2;3;4;5;6;7;8;9;10;11;12;13;14;15;16;17;18;19;20;21;22;23;24;25;26;27;28;29;30},
     COUNTIFS($T$3:$T$201,$M36)&gt;0,
     COUNTIFS($U$3:$U$201,$M36)&gt;0,
     COUNTIFS($V$3:$V$201,$M36)&gt;0,
     COUNTIFS($W$3:$W$201,$M36)&gt;0,
     COUNTIFS($X$3:$X$201,$M36)&gt;0,
     COUNTIFS($Y$3:$Y$201,$M36)&gt;0,
     COUNTIFS($Z$3:$Z$201,$M36)&gt;0,
     COUNTIFS($AA$3:$AA$201,$M36)&gt;0,
     COUNTIFS($AB$3:$AB$201,$M36)&gt;0,
     COUNTIFS($AC$3:$AC$201,$M36)&gt;0,
     COUNTIFS($AD$3:$AD$201,$M36)&gt;0,
     COUNTIFS($AE$3:$AE$201,$M36)&gt;0,
     COUNTIFS($AF$3:$AF$201,$M36)&gt;0,
     COUNTIFS($AG$3:$AG$201,$M36)&gt;0,
     COUNTIFS($AH$3:$AH$201,$M36)&gt;0,
     COUNTIFS($AI$3:$AI$201,$M36)&gt;0,
     COUNTIFS($AJ$3:$AJ$201,$M36)&gt;0,
     COUNTIFS($AK$3:$AK$201,$M36)&gt;0,
     COUNTIFS($AL$3:$AL$201,$M36)&gt;0,
     COUNTIFS($AM$3:$AM$201,$M36)&gt;0,
     COUNTIFS($AN$3:$AN$201,$M36)&gt;0,
     COUNTIFS($AO$3:$AO$201,$M36)&gt;0,
     COUNTIFS($AP$3:$AP$201,$M36)&gt;0,
     COUNTIFS($AQ$3:$AQ$201,$M36)&gt;0,
     COUNTIFS($AR$3:$AR$201,$M36)&gt;0,
     COUNTIFS($AS$3:$AS$201,$M36)&gt;0,
     COUNTIFS($AT$3:$AT$201,$M36)&gt;0,
     COUNTIFS($AU$3:$AU$201,$M36)&gt;0,
     COUNTIFS($AV$3:$AV$201,$M36)&gt;0,
     COUNTIFS($AW$3:$AW$201,$M36)&gt;0
   )),
  ),
  3
 ),
"")</f>
        <v/>
      </c>
      <c r="R36" s="3" t="str" cm="1">
        <f t="array" aca="1" ref="R36" ca="1">IFERROR(
 INDEX(
  _xlfn._xlws.FILTER($T$2:$AW$2,
   TRANSPOSE(
    CHOOSE({1;2;3;4;5;6;7;8;9;10;11;12;13;14;15;16;17;18;19;20;21;22;23;24;25;26;27;28;29;30},
     COUNTIFS($T$3:$T$201,$M36)&gt;0,
     COUNTIFS($U$3:$U$201,$M36)&gt;0,
     COUNTIFS($V$3:$V$201,$M36)&gt;0,
     COUNTIFS($W$3:$W$201,$M36)&gt;0,
     COUNTIFS($X$3:$X$201,$M36)&gt;0,
     COUNTIFS($Y$3:$Y$201,$M36)&gt;0,
     COUNTIFS($Z$3:$Z$201,$M36)&gt;0,
     COUNTIFS($AA$3:$AA$201,$M36)&gt;0,
     COUNTIFS($AB$3:$AB$201,$M36)&gt;0,
     COUNTIFS($AC$3:$AC$201,$M36)&gt;0,
     COUNTIFS($AD$3:$AD$201,$M36)&gt;0,
     COUNTIFS($AE$3:$AE$201,$M36)&gt;0,
     COUNTIFS($AF$3:$AF$201,$M36)&gt;0,
     COUNTIFS($AG$3:$AG$201,$M36)&gt;0,
     COUNTIFS($AH$3:$AH$201,$M36)&gt;0,
     COUNTIFS($AI$3:$AI$201,$M36)&gt;0,
     COUNTIFS($AJ$3:$AJ$201,$M36)&gt;0,
     COUNTIFS($AK$3:$AK$201,$M36)&gt;0,
     COUNTIFS($AL$3:$AL$201,$M36)&gt;0,
     COUNTIFS($AM$3:$AM$201,$M36)&gt;0,
     COUNTIFS($AN$3:$AN$201,$M36)&gt;0,
     COUNTIFS($AO$3:$AO$201,$M36)&gt;0,
     COUNTIFS($AP$3:$AP$201,$M36)&gt;0,
     COUNTIFS($AQ$3:$AQ$201,$M36)&gt;0,
     COUNTIFS($AR$3:$AR$201,$M36)&gt;0,
     COUNTIFS($AS$3:$AS$201,$M36)&gt;0,
     COUNTIFS($AT$3:$AT$201,$M36)&gt;0,
     COUNTIFS($AU$3:$AU$201,$M36)&gt;0,
     COUNTIFS($AV$3:$AV$201,$M36)&gt;0,
     COUNTIFS($AW$3:$AW$201,$M36)&gt;0
   )),
  ),
  4
 ),
"")</f>
        <v/>
      </c>
      <c r="BA36" t="str">
        <f ca="1"/>
        <v>Terras em Desenvolvimento</v>
      </c>
      <c r="BB36" t="str">
        <f ca="1"/>
        <v>Resposta // Ressurgimento</v>
      </c>
      <c r="BC36" t="str">
        <f ca="1"/>
        <v>Zona de Emergência</v>
      </c>
      <c r="BR36" t="str">
        <f ca="1"/>
        <v>Island</v>
      </c>
      <c r="BS36" t="str">
        <f ca="1"/>
        <v>Japaland</v>
      </c>
      <c r="BT36" t="str">
        <f ca="1"/>
        <v>Wall of Roots</v>
      </c>
      <c r="BU36" t="str">
        <f ca="1"/>
        <v>Supreme Verdict</v>
      </c>
      <c r="CA36" t="str">
        <f ca="1"/>
        <v>Ecological Appreciation</v>
      </c>
      <c r="CB36" t="str">
        <f ca="1"/>
        <v>Kusari-Gama</v>
      </c>
      <c r="CC36" t="str">
        <f ca="1"/>
        <v>Saheeli, Filigree Master</v>
      </c>
      <c r="CD36" t="str">
        <f ca="1"/>
        <v>Santuário dos Moldadores</v>
      </c>
      <c r="CF36" t="str">
        <f ca="1"/>
        <v>Counterflux</v>
      </c>
      <c r="CG36" t="str">
        <f ca="1"/>
        <v>Island</v>
      </c>
      <c r="CI36" t="str">
        <f ca="1"/>
        <v>Cervo Brunido</v>
      </c>
    </row>
    <row r="37" spans="1:87" x14ac:dyDescent="0.25">
      <c r="A37" t="str">
        <f ca="1"/>
        <v>Call to the Kindred</v>
      </c>
      <c r="B37" s="3" t="str" cm="1">
        <f t="array" aca="1" ref="B37" ca="1">_xlfn.ANCHORARRAY(RESUMO!C36)</f>
        <v>Kumena</v>
      </c>
      <c r="C37" s="3" t="str">
        <f t="shared" ca="1" si="0"/>
        <v>Fractius</v>
      </c>
      <c r="E37" t="str">
        <f ca="1"/>
        <v>Chaos Warp</v>
      </c>
      <c r="F37" s="3">
        <f t="shared" ca="1" si="1"/>
        <v>1</v>
      </c>
      <c r="G37" s="3" t="str">
        <f t="shared" ca="1" si="2"/>
        <v>Sisay</v>
      </c>
      <c r="M37" t="str">
        <f ca="1"/>
        <v>Chaos Warp</v>
      </c>
      <c r="N37" s="3">
        <f t="shared" ca="1" si="3"/>
        <v>1</v>
      </c>
      <c r="O37" s="3" t="str">
        <f ca="1">IFERROR(
 INDEX($T$2:$AW$2,
  MATCH(TRUE,
   CHOOSE({1;2;3;4;5;6;7;8;9;10;11;12;13;14;15;16;17;18;19;20;21;22;23;24;25;26;27;28;29;30;31;32},
    COUNTIFS($T$3:$T$201,$M37)&gt;0,
    COUNTIFS($U$3:$U$201,$M37)&gt;0,
    COUNTIFS($V$3:$V$201,$M37)&gt;0,
    COUNTIFS($W$3:$W$201,$M37)&gt;0,
    COUNTIFS($X$3:$X$201,$M37)&gt;0,
    COUNTIFS($Y$3:$Y$201,$M37)&gt;0,
    COUNTIFS($Z$3:$Z$201,$M37)&gt;0,
    COUNTIFS($AA$3:$AA$201,$M37)&gt;0,
    COUNTIFS($AB$3:$AB$201,$M37)&gt;0,
    COUNTIFS($AC$3:$AC$201,$M37)&gt;0,
    COUNTIFS($AD$3:$AD$201,$M37)&gt;0,
    COUNTIFS($AE$3:$AE$201,$M37)&gt;0,
    COUNTIFS($AF$3:$AF$201,$M37)&gt;0,
    COUNTIFS($AG$3:$AG$201,$M37)&gt;0,
    COUNTIFS($AH$3:$AH$201,$M37)&gt;0,
    COUNTIFS($AI$3:$AI$201,$M37)&gt;0,
    COUNTIFS($AJ$3:$AJ$201,$M37)&gt;0,
    COUNTIFS($AK$3:$AK$201,$M37)&gt;0,
    COUNTIFS($AL$3:$AL$201,$M37)&gt;0,
    COUNTIFS($AM$3:$AM$201,$M37)&gt;0,
    COUNTIFS($AN$3:$AN$201,$M37)&gt;0,
    COUNTIFS($AO$3:$AO$201,$M37)&gt;0,
    COUNTIFS($AP$3:$AP$201,$M37)&gt;0,
    COUNTIFS($AQ$3:$AQ$201,$M37)&gt;0,
    COUNTIFS($AR$3:$AR$201,$M37)&gt;0,
    COUNTIFS($AS$3:$AS$201,$M37)&gt;0,
    COUNTIFS($AT$3:$AT$201,$M37)&gt;0,
    COUNTIFS($AU$3:$AU$201,$M37)&gt;0,
    COUNTIFS($AV$3:$AV$201,$M37)&gt;0,
    COUNTIFS($AW$3:$AW$201,$M37)&gt;0
   ),
  0)
 ),
"")</f>
        <v>Sisay</v>
      </c>
      <c r="P37" s="3" t="str" cm="1">
        <f t="array" aca="1" ref="P37" ca="1">IFERROR(
 INDEX(
  _xlfn._xlws.FILTER($T$2:$AW$2,
   TRANSPOSE(
    CHOOSE({1;2;3;4;5;6;7;8;9;10;11;12;13;14;15;16;17;18;19;20;21;22;23;24;25;26;27;28;29;30},
     COUNTIFS($T$3:$T$201,$M37)&gt;0,
     COUNTIFS($U$3:$U$201,$M37)&gt;0,
     COUNTIFS($V$3:$V$201,$M37)&gt;0,
     COUNTIFS($W$3:$W$201,$M37)&gt;0,
     COUNTIFS($X$3:$X$201,$M37)&gt;0,
     COUNTIFS($Y$3:$Y$201,$M37)&gt;0,
     COUNTIFS($Z$3:$Z$201,$M37)&gt;0,
     COUNTIFS($AA$3:$AA$201,$M37)&gt;0,
     COUNTIFS($AB$3:$AB$201,$M37)&gt;0,
     COUNTIFS($AC$3:$AC$201,$M37)&gt;0,
     COUNTIFS($AD$3:$AD$201,$M37)&gt;0,
     COUNTIFS($AE$3:$AE$201,$M37)&gt;0,
     COUNTIFS($AF$3:$AF$201,$M37)&gt;0,
     COUNTIFS($AG$3:$AG$201,$M37)&gt;0,
     COUNTIFS($AH$3:$AH$201,$M37)&gt;0,
     COUNTIFS($AI$3:$AI$201,$M37)&gt;0,
     COUNTIFS($AJ$3:$AJ$201,$M37)&gt;0,
     COUNTIFS($AK$3:$AK$201,$M37)&gt;0,
     COUNTIFS($AL$3:$AL$201,$M37)&gt;0,
     COUNTIFS($AM$3:$AM$201,$M37)&gt;0,
     COUNTIFS($AN$3:$AN$201,$M37)&gt;0,
     COUNTIFS($AO$3:$AO$201,$M37)&gt;0,
     COUNTIFS($AP$3:$AP$201,$M37)&gt;0,
     COUNTIFS($AQ$3:$AQ$201,$M37)&gt;0,
     COUNTIFS($AR$3:$AR$201,$M37)&gt;0,
     COUNTIFS($AS$3:$AS$201,$M37)&gt;0,
     COUNTIFS($AT$3:$AT$201,$M37)&gt;0,
     COUNTIFS($AU$3:$AU$201,$M37)&gt;0,
     COUNTIFS($AV$3:$AV$201,$M37)&gt;0,
     COUNTIFS($AW$3:$AW$201,$M37)&gt;0
   )),
  ),
  2
 ),
"")</f>
        <v/>
      </c>
      <c r="Q37" s="3" t="str" cm="1">
        <f t="array" aca="1" ref="Q37" ca="1">IFERROR(
 INDEX(
  _xlfn._xlws.FILTER($T$2:$AW$2,
   TRANSPOSE(
    CHOOSE({1;2;3;4;5;6;7;8;9;10;11;12;13;14;15;16;17;18;19;20;21;22;23;24;25;26;27;28;29;30},
     COUNTIFS($T$3:$T$201,$M37)&gt;0,
     COUNTIFS($U$3:$U$201,$M37)&gt;0,
     COUNTIFS($V$3:$V$201,$M37)&gt;0,
     COUNTIFS($W$3:$W$201,$M37)&gt;0,
     COUNTIFS($X$3:$X$201,$M37)&gt;0,
     COUNTIFS($Y$3:$Y$201,$M37)&gt;0,
     COUNTIFS($Z$3:$Z$201,$M37)&gt;0,
     COUNTIFS($AA$3:$AA$201,$M37)&gt;0,
     COUNTIFS($AB$3:$AB$201,$M37)&gt;0,
     COUNTIFS($AC$3:$AC$201,$M37)&gt;0,
     COUNTIFS($AD$3:$AD$201,$M37)&gt;0,
     COUNTIFS($AE$3:$AE$201,$M37)&gt;0,
     COUNTIFS($AF$3:$AF$201,$M37)&gt;0,
     COUNTIFS($AG$3:$AG$201,$M37)&gt;0,
     COUNTIFS($AH$3:$AH$201,$M37)&gt;0,
     COUNTIFS($AI$3:$AI$201,$M37)&gt;0,
     COUNTIFS($AJ$3:$AJ$201,$M37)&gt;0,
     COUNTIFS($AK$3:$AK$201,$M37)&gt;0,
     COUNTIFS($AL$3:$AL$201,$M37)&gt;0,
     COUNTIFS($AM$3:$AM$201,$M37)&gt;0,
     COUNTIFS($AN$3:$AN$201,$M37)&gt;0,
     COUNTIFS($AO$3:$AO$201,$M37)&gt;0,
     COUNTIFS($AP$3:$AP$201,$M37)&gt;0,
     COUNTIFS($AQ$3:$AQ$201,$M37)&gt;0,
     COUNTIFS($AR$3:$AR$201,$M37)&gt;0,
     COUNTIFS($AS$3:$AS$201,$M37)&gt;0,
     COUNTIFS($AT$3:$AT$201,$M37)&gt;0,
     COUNTIFS($AU$3:$AU$201,$M37)&gt;0,
     COUNTIFS($AV$3:$AV$201,$M37)&gt;0,
     COUNTIFS($AW$3:$AW$201,$M37)&gt;0
   )),
  ),
  3
 ),
"")</f>
        <v/>
      </c>
      <c r="R37" s="3" t="str" cm="1">
        <f t="array" aca="1" ref="R37" ca="1">IFERROR(
 INDEX(
  _xlfn._xlws.FILTER($T$2:$AW$2,
   TRANSPOSE(
    CHOOSE({1;2;3;4;5;6;7;8;9;10;11;12;13;14;15;16;17;18;19;20;21;22;23;24;25;26;27;28;29;30},
     COUNTIFS($T$3:$T$201,$M37)&gt;0,
     COUNTIFS($U$3:$U$201,$M37)&gt;0,
     COUNTIFS($V$3:$V$201,$M37)&gt;0,
     COUNTIFS($W$3:$W$201,$M37)&gt;0,
     COUNTIFS($X$3:$X$201,$M37)&gt;0,
     COUNTIFS($Y$3:$Y$201,$M37)&gt;0,
     COUNTIFS($Z$3:$Z$201,$M37)&gt;0,
     COUNTIFS($AA$3:$AA$201,$M37)&gt;0,
     COUNTIFS($AB$3:$AB$201,$M37)&gt;0,
     COUNTIFS($AC$3:$AC$201,$M37)&gt;0,
     COUNTIFS($AD$3:$AD$201,$M37)&gt;0,
     COUNTIFS($AE$3:$AE$201,$M37)&gt;0,
     COUNTIFS($AF$3:$AF$201,$M37)&gt;0,
     COUNTIFS($AG$3:$AG$201,$M37)&gt;0,
     COUNTIFS($AH$3:$AH$201,$M37)&gt;0,
     COUNTIFS($AI$3:$AI$201,$M37)&gt;0,
     COUNTIFS($AJ$3:$AJ$201,$M37)&gt;0,
     COUNTIFS($AK$3:$AK$201,$M37)&gt;0,
     COUNTIFS($AL$3:$AL$201,$M37)&gt;0,
     COUNTIFS($AM$3:$AM$201,$M37)&gt;0,
     COUNTIFS($AN$3:$AN$201,$M37)&gt;0,
     COUNTIFS($AO$3:$AO$201,$M37)&gt;0,
     COUNTIFS($AP$3:$AP$201,$M37)&gt;0,
     COUNTIFS($AQ$3:$AQ$201,$M37)&gt;0,
     COUNTIFS($AR$3:$AR$201,$M37)&gt;0,
     COUNTIFS($AS$3:$AS$201,$M37)&gt;0,
     COUNTIFS($AT$3:$AT$201,$M37)&gt;0,
     COUNTIFS($AU$3:$AU$201,$M37)&gt;0,
     COUNTIFS($AV$3:$AV$201,$M37)&gt;0,
     COUNTIFS($AW$3:$AW$201,$M37)&gt;0
   )),
  ),
  4
 ),
"")</f>
        <v/>
      </c>
      <c r="BA37" t="str">
        <f ca="1"/>
        <v>Titanic Ultimatum</v>
      </c>
      <c r="BB37" t="str">
        <f ca="1"/>
        <v>Revitalizing Repast</v>
      </c>
      <c r="BR37" t="str">
        <f ca="1"/>
        <v>Lanterna Fantasma</v>
      </c>
      <c r="BS37" t="str">
        <f ca="1"/>
        <v>Lonis, Cryptozoologist</v>
      </c>
      <c r="BT37" t="str">
        <f ca="1"/>
        <v>Worn Powerstone</v>
      </c>
      <c r="BU37" t="str">
        <f ca="1"/>
        <v>Swamp</v>
      </c>
      <c r="CA37" t="str">
        <f ca="1"/>
        <v>Elrond, Lord of Rivendell</v>
      </c>
      <c r="CB37" t="str">
        <f ca="1"/>
        <v>Leviatã da Tormenta Marinha</v>
      </c>
      <c r="CC37" t="str">
        <f ca="1"/>
        <v>Savage Twister</v>
      </c>
      <c r="CD37" t="str">
        <f ca="1"/>
        <v>Swamp</v>
      </c>
      <c r="CF37" t="str">
        <f ca="1"/>
        <v>Countersquall</v>
      </c>
      <c r="CG37" t="str">
        <f ca="1"/>
        <v>Jarad's Orders</v>
      </c>
      <c r="CI37" t="str">
        <f ca="1"/>
        <v>Chaos Warp</v>
      </c>
    </row>
    <row r="38" spans="1:87" x14ac:dyDescent="0.25">
      <c r="A38" t="str">
        <f ca="1"/>
        <v>Cankerbloom</v>
      </c>
      <c r="B38" s="3" t="str" cm="1">
        <f t="array" aca="1" ref="B38" ca="1">_xlfn.ANCHORARRAY(RESUMO!C37)</f>
        <v>Tayam</v>
      </c>
      <c r="C38" s="3" t="str">
        <f t="shared" ca="1" si="0"/>
        <v/>
      </c>
      <c r="E38" t="str">
        <f ca="1"/>
        <v>Charneca Estéril</v>
      </c>
      <c r="F38" s="3">
        <f t="shared" ca="1" si="1"/>
        <v>1</v>
      </c>
      <c r="G38" s="3" t="str">
        <f t="shared" ca="1" si="2"/>
        <v>Rani</v>
      </c>
      <c r="M38" t="str">
        <f ca="1"/>
        <v>Charneca Estéril</v>
      </c>
      <c r="N38" s="3">
        <f t="shared" ca="1" si="3"/>
        <v>1</v>
      </c>
      <c r="O38" s="3" t="str">
        <f ca="1">IFERROR(
 INDEX($T$2:$AW$2,
  MATCH(TRUE,
   CHOOSE({1;2;3;4;5;6;7;8;9;10;11;12;13;14;15;16;17;18;19;20;21;22;23;24;25;26;27;28;29;30;31;32},
    COUNTIFS($T$3:$T$201,$M38)&gt;0,
    COUNTIFS($U$3:$U$201,$M38)&gt;0,
    COUNTIFS($V$3:$V$201,$M38)&gt;0,
    COUNTIFS($W$3:$W$201,$M38)&gt;0,
    COUNTIFS($X$3:$X$201,$M38)&gt;0,
    COUNTIFS($Y$3:$Y$201,$M38)&gt;0,
    COUNTIFS($Z$3:$Z$201,$M38)&gt;0,
    COUNTIFS($AA$3:$AA$201,$M38)&gt;0,
    COUNTIFS($AB$3:$AB$201,$M38)&gt;0,
    COUNTIFS($AC$3:$AC$201,$M38)&gt;0,
    COUNTIFS($AD$3:$AD$201,$M38)&gt;0,
    COUNTIFS($AE$3:$AE$201,$M38)&gt;0,
    COUNTIFS($AF$3:$AF$201,$M38)&gt;0,
    COUNTIFS($AG$3:$AG$201,$M38)&gt;0,
    COUNTIFS($AH$3:$AH$201,$M38)&gt;0,
    COUNTIFS($AI$3:$AI$201,$M38)&gt;0,
    COUNTIFS($AJ$3:$AJ$201,$M38)&gt;0,
    COUNTIFS($AK$3:$AK$201,$M38)&gt;0,
    COUNTIFS($AL$3:$AL$201,$M38)&gt;0,
    COUNTIFS($AM$3:$AM$201,$M38)&gt;0,
    COUNTIFS($AN$3:$AN$201,$M38)&gt;0,
    COUNTIFS($AO$3:$AO$201,$M38)&gt;0,
    COUNTIFS($AP$3:$AP$201,$M38)&gt;0,
    COUNTIFS($AQ$3:$AQ$201,$M38)&gt;0,
    COUNTIFS($AR$3:$AR$201,$M38)&gt;0,
    COUNTIFS($AS$3:$AS$201,$M38)&gt;0,
    COUNTIFS($AT$3:$AT$201,$M38)&gt;0,
    COUNTIFS($AU$3:$AU$201,$M38)&gt;0,
    COUNTIFS($AV$3:$AV$201,$M38)&gt;0,
    COUNTIFS($AW$3:$AW$201,$M38)&gt;0
   ),
  0)
 ),
"")</f>
        <v>Rani</v>
      </c>
      <c r="P38" s="3" t="str" cm="1">
        <f t="array" aca="1" ref="P38" ca="1">IFERROR(
 INDEX(
  _xlfn._xlws.FILTER($T$2:$AW$2,
   TRANSPOSE(
    CHOOSE({1;2;3;4;5;6;7;8;9;10;11;12;13;14;15;16;17;18;19;20;21;22;23;24;25;26;27;28;29;30},
     COUNTIFS($T$3:$T$201,$M38)&gt;0,
     COUNTIFS($U$3:$U$201,$M38)&gt;0,
     COUNTIFS($V$3:$V$201,$M38)&gt;0,
     COUNTIFS($W$3:$W$201,$M38)&gt;0,
     COUNTIFS($X$3:$X$201,$M38)&gt;0,
     COUNTIFS($Y$3:$Y$201,$M38)&gt;0,
     COUNTIFS($Z$3:$Z$201,$M38)&gt;0,
     COUNTIFS($AA$3:$AA$201,$M38)&gt;0,
     COUNTIFS($AB$3:$AB$201,$M38)&gt;0,
     COUNTIFS($AC$3:$AC$201,$M38)&gt;0,
     COUNTIFS($AD$3:$AD$201,$M38)&gt;0,
     COUNTIFS($AE$3:$AE$201,$M38)&gt;0,
     COUNTIFS($AF$3:$AF$201,$M38)&gt;0,
     COUNTIFS($AG$3:$AG$201,$M38)&gt;0,
     COUNTIFS($AH$3:$AH$201,$M38)&gt;0,
     COUNTIFS($AI$3:$AI$201,$M38)&gt;0,
     COUNTIFS($AJ$3:$AJ$201,$M38)&gt;0,
     COUNTIFS($AK$3:$AK$201,$M38)&gt;0,
     COUNTIFS($AL$3:$AL$201,$M38)&gt;0,
     COUNTIFS($AM$3:$AM$201,$M38)&gt;0,
     COUNTIFS($AN$3:$AN$201,$M38)&gt;0,
     COUNTIFS($AO$3:$AO$201,$M38)&gt;0,
     COUNTIFS($AP$3:$AP$201,$M38)&gt;0,
     COUNTIFS($AQ$3:$AQ$201,$M38)&gt;0,
     COUNTIFS($AR$3:$AR$201,$M38)&gt;0,
     COUNTIFS($AS$3:$AS$201,$M38)&gt;0,
     COUNTIFS($AT$3:$AT$201,$M38)&gt;0,
     COUNTIFS($AU$3:$AU$201,$M38)&gt;0,
     COUNTIFS($AV$3:$AV$201,$M38)&gt;0,
     COUNTIFS($AW$3:$AW$201,$M38)&gt;0
   )),
  ),
  2
 ),
"")</f>
        <v/>
      </c>
      <c r="Q38" s="3" t="str" cm="1">
        <f t="array" aca="1" ref="Q38" ca="1">IFERROR(
 INDEX(
  _xlfn._xlws.FILTER($T$2:$AW$2,
   TRANSPOSE(
    CHOOSE({1;2;3;4;5;6;7;8;9;10;11;12;13;14;15;16;17;18;19;20;21;22;23;24;25;26;27;28;29;30},
     COUNTIFS($T$3:$T$201,$M38)&gt;0,
     COUNTIFS($U$3:$U$201,$M38)&gt;0,
     COUNTIFS($V$3:$V$201,$M38)&gt;0,
     COUNTIFS($W$3:$W$201,$M38)&gt;0,
     COUNTIFS($X$3:$X$201,$M38)&gt;0,
     COUNTIFS($Y$3:$Y$201,$M38)&gt;0,
     COUNTIFS($Z$3:$Z$201,$M38)&gt;0,
     COUNTIFS($AA$3:$AA$201,$M38)&gt;0,
     COUNTIFS($AB$3:$AB$201,$M38)&gt;0,
     COUNTIFS($AC$3:$AC$201,$M38)&gt;0,
     COUNTIFS($AD$3:$AD$201,$M38)&gt;0,
     COUNTIFS($AE$3:$AE$201,$M38)&gt;0,
     COUNTIFS($AF$3:$AF$201,$M38)&gt;0,
     COUNTIFS($AG$3:$AG$201,$M38)&gt;0,
     COUNTIFS($AH$3:$AH$201,$M38)&gt;0,
     COUNTIFS($AI$3:$AI$201,$M38)&gt;0,
     COUNTIFS($AJ$3:$AJ$201,$M38)&gt;0,
     COUNTIFS($AK$3:$AK$201,$M38)&gt;0,
     COUNTIFS($AL$3:$AL$201,$M38)&gt;0,
     COUNTIFS($AM$3:$AM$201,$M38)&gt;0,
     COUNTIFS($AN$3:$AN$201,$M38)&gt;0,
     COUNTIFS($AO$3:$AO$201,$M38)&gt;0,
     COUNTIFS($AP$3:$AP$201,$M38)&gt;0,
     COUNTIFS($AQ$3:$AQ$201,$M38)&gt;0,
     COUNTIFS($AR$3:$AR$201,$M38)&gt;0,
     COUNTIFS($AS$3:$AS$201,$M38)&gt;0,
     COUNTIFS($AT$3:$AT$201,$M38)&gt;0,
     COUNTIFS($AU$3:$AU$201,$M38)&gt;0,
     COUNTIFS($AV$3:$AV$201,$M38)&gt;0,
     COUNTIFS($AW$3:$AW$201,$M38)&gt;0
   )),
  ),
  3
 ),
"")</f>
        <v/>
      </c>
      <c r="R38" s="3" t="str" cm="1">
        <f t="array" aca="1" ref="R38" ca="1">IFERROR(
 INDEX(
  _xlfn._xlws.FILTER($T$2:$AW$2,
   TRANSPOSE(
    CHOOSE({1;2;3;4;5;6;7;8;9;10;11;12;13;14;15;16;17;18;19;20;21;22;23;24;25;26;27;28;29;30},
     COUNTIFS($T$3:$T$201,$M38)&gt;0,
     COUNTIFS($U$3:$U$201,$M38)&gt;0,
     COUNTIFS($V$3:$V$201,$M38)&gt;0,
     COUNTIFS($W$3:$W$201,$M38)&gt;0,
     COUNTIFS($X$3:$X$201,$M38)&gt;0,
     COUNTIFS($Y$3:$Y$201,$M38)&gt;0,
     COUNTIFS($Z$3:$Z$201,$M38)&gt;0,
     COUNTIFS($AA$3:$AA$201,$M38)&gt;0,
     COUNTIFS($AB$3:$AB$201,$M38)&gt;0,
     COUNTIFS($AC$3:$AC$201,$M38)&gt;0,
     COUNTIFS($AD$3:$AD$201,$M38)&gt;0,
     COUNTIFS($AE$3:$AE$201,$M38)&gt;0,
     COUNTIFS($AF$3:$AF$201,$M38)&gt;0,
     COUNTIFS($AG$3:$AG$201,$M38)&gt;0,
     COUNTIFS($AH$3:$AH$201,$M38)&gt;0,
     COUNTIFS($AI$3:$AI$201,$M38)&gt;0,
     COUNTIFS($AJ$3:$AJ$201,$M38)&gt;0,
     COUNTIFS($AK$3:$AK$201,$M38)&gt;0,
     COUNTIFS($AL$3:$AL$201,$M38)&gt;0,
     COUNTIFS($AM$3:$AM$201,$M38)&gt;0,
     COUNTIFS($AN$3:$AN$201,$M38)&gt;0,
     COUNTIFS($AO$3:$AO$201,$M38)&gt;0,
     COUNTIFS($AP$3:$AP$201,$M38)&gt;0,
     COUNTIFS($AQ$3:$AQ$201,$M38)&gt;0,
     COUNTIFS($AR$3:$AR$201,$M38)&gt;0,
     COUNTIFS($AS$3:$AS$201,$M38)&gt;0,
     COUNTIFS($AT$3:$AT$201,$M38)&gt;0,
     COUNTIFS($AU$3:$AU$201,$M38)&gt;0,
     COUNTIFS($AV$3:$AV$201,$M38)&gt;0,
     COUNTIFS($AW$3:$AW$201,$M38)&gt;0
   )),
  ),
  4
 ),
"")</f>
        <v/>
      </c>
      <c r="BA38" t="str">
        <f ca="1"/>
        <v>Trilha de Migalhas</v>
      </c>
      <c r="BB38" t="str">
        <f ca="1"/>
        <v>Rumor Gatherer</v>
      </c>
      <c r="BR38" t="str">
        <f ca="1"/>
        <v>Medalhão de Naya</v>
      </c>
      <c r="BS38" t="str">
        <f ca="1"/>
        <v>Mascara da Longevisão</v>
      </c>
      <c r="BU38" t="str">
        <f ca="1"/>
        <v>Tenza, Godo's Maul</v>
      </c>
      <c r="CA38" t="str">
        <f ca="1"/>
        <v>Emboscada de Khalni</v>
      </c>
      <c r="CB38" t="str">
        <f ca="1"/>
        <v>Leviatã de Kederekt</v>
      </c>
      <c r="CC38" t="str">
        <f ca="1"/>
        <v>Simic Charm</v>
      </c>
      <c r="CD38" t="str">
        <f ca="1"/>
        <v>The Immortal Sun</v>
      </c>
      <c r="CF38" t="str">
        <f ca="1"/>
        <v>Crackling Doom</v>
      </c>
      <c r="CG38" t="str">
        <f ca="1"/>
        <v>Jungle Shrine</v>
      </c>
      <c r="CI38" t="str">
        <f ca="1"/>
        <v>Charneca Estéril</v>
      </c>
    </row>
    <row r="39" spans="1:87" x14ac:dyDescent="0.25">
      <c r="A39" t="str">
        <f ca="1"/>
        <v>Canopy Vista</v>
      </c>
      <c r="B39" s="3" t="str" cm="1">
        <f t="array" aca="1" ref="B39" ca="1">_xlfn.ANCHORARRAY(RESUMO!C38)</f>
        <v>Tayam</v>
      </c>
      <c r="C39" s="3" t="str">
        <f t="shared" ca="1" si="0"/>
        <v/>
      </c>
      <c r="E39" t="str">
        <f ca="1"/>
        <v>Cidadela da Estepe Arenosa</v>
      </c>
      <c r="F39" s="3">
        <f t="shared" ca="1" si="1"/>
        <v>1</v>
      </c>
      <c r="G39" s="3" t="str">
        <f t="shared" ca="1" si="2"/>
        <v>Fractius</v>
      </c>
      <c r="M39" t="str">
        <f ca="1"/>
        <v>Cidadela da Estepe Arenosa</v>
      </c>
      <c r="N39" s="3">
        <f t="shared" ca="1" si="3"/>
        <v>1</v>
      </c>
      <c r="O39" s="3" t="str">
        <f ca="1">IFERROR(
 INDEX($T$2:$AW$2,
  MATCH(TRUE,
   CHOOSE({1;2;3;4;5;6;7;8;9;10;11;12;13;14;15;16;17;18;19;20;21;22;23;24;25;26;27;28;29;30;31;32},
    COUNTIFS($T$3:$T$201,$M39)&gt;0,
    COUNTIFS($U$3:$U$201,$M39)&gt;0,
    COUNTIFS($V$3:$V$201,$M39)&gt;0,
    COUNTIFS($W$3:$W$201,$M39)&gt;0,
    COUNTIFS($X$3:$X$201,$M39)&gt;0,
    COUNTIFS($Y$3:$Y$201,$M39)&gt;0,
    COUNTIFS($Z$3:$Z$201,$M39)&gt;0,
    COUNTIFS($AA$3:$AA$201,$M39)&gt;0,
    COUNTIFS($AB$3:$AB$201,$M39)&gt;0,
    COUNTIFS($AC$3:$AC$201,$M39)&gt;0,
    COUNTIFS($AD$3:$AD$201,$M39)&gt;0,
    COUNTIFS($AE$3:$AE$201,$M39)&gt;0,
    COUNTIFS($AF$3:$AF$201,$M39)&gt;0,
    COUNTIFS($AG$3:$AG$201,$M39)&gt;0,
    COUNTIFS($AH$3:$AH$201,$M39)&gt;0,
    COUNTIFS($AI$3:$AI$201,$M39)&gt;0,
    COUNTIFS($AJ$3:$AJ$201,$M39)&gt;0,
    COUNTIFS($AK$3:$AK$201,$M39)&gt;0,
    COUNTIFS($AL$3:$AL$201,$M39)&gt;0,
    COUNTIFS($AM$3:$AM$201,$M39)&gt;0,
    COUNTIFS($AN$3:$AN$201,$M39)&gt;0,
    COUNTIFS($AO$3:$AO$201,$M39)&gt;0,
    COUNTIFS($AP$3:$AP$201,$M39)&gt;0,
    COUNTIFS($AQ$3:$AQ$201,$M39)&gt;0,
    COUNTIFS($AR$3:$AR$201,$M39)&gt;0,
    COUNTIFS($AS$3:$AS$201,$M39)&gt;0,
    COUNTIFS($AT$3:$AT$201,$M39)&gt;0,
    COUNTIFS($AU$3:$AU$201,$M39)&gt;0,
    COUNTIFS($AV$3:$AV$201,$M39)&gt;0,
    COUNTIFS($AW$3:$AW$201,$M39)&gt;0
   ),
  0)
 ),
"")</f>
        <v>Fractius</v>
      </c>
      <c r="P39" s="3" t="str" cm="1">
        <f t="array" aca="1" ref="P39" ca="1">IFERROR(
 INDEX(
  _xlfn._xlws.FILTER($T$2:$AW$2,
   TRANSPOSE(
    CHOOSE({1;2;3;4;5;6;7;8;9;10;11;12;13;14;15;16;17;18;19;20;21;22;23;24;25;26;27;28;29;30},
     COUNTIFS($T$3:$T$201,$M39)&gt;0,
     COUNTIFS($U$3:$U$201,$M39)&gt;0,
     COUNTIFS($V$3:$V$201,$M39)&gt;0,
     COUNTIFS($W$3:$W$201,$M39)&gt;0,
     COUNTIFS($X$3:$X$201,$M39)&gt;0,
     COUNTIFS($Y$3:$Y$201,$M39)&gt;0,
     COUNTIFS($Z$3:$Z$201,$M39)&gt;0,
     COUNTIFS($AA$3:$AA$201,$M39)&gt;0,
     COUNTIFS($AB$3:$AB$201,$M39)&gt;0,
     COUNTIFS($AC$3:$AC$201,$M39)&gt;0,
     COUNTIFS($AD$3:$AD$201,$M39)&gt;0,
     COUNTIFS($AE$3:$AE$201,$M39)&gt;0,
     COUNTIFS($AF$3:$AF$201,$M39)&gt;0,
     COUNTIFS($AG$3:$AG$201,$M39)&gt;0,
     COUNTIFS($AH$3:$AH$201,$M39)&gt;0,
     COUNTIFS($AI$3:$AI$201,$M39)&gt;0,
     COUNTIFS($AJ$3:$AJ$201,$M39)&gt;0,
     COUNTIFS($AK$3:$AK$201,$M39)&gt;0,
     COUNTIFS($AL$3:$AL$201,$M39)&gt;0,
     COUNTIFS($AM$3:$AM$201,$M39)&gt;0,
     COUNTIFS($AN$3:$AN$201,$M39)&gt;0,
     COUNTIFS($AO$3:$AO$201,$M39)&gt;0,
     COUNTIFS($AP$3:$AP$201,$M39)&gt;0,
     COUNTIFS($AQ$3:$AQ$201,$M39)&gt;0,
     COUNTIFS($AR$3:$AR$201,$M39)&gt;0,
     COUNTIFS($AS$3:$AS$201,$M39)&gt;0,
     COUNTIFS($AT$3:$AT$201,$M39)&gt;0,
     COUNTIFS($AU$3:$AU$201,$M39)&gt;0,
     COUNTIFS($AV$3:$AV$201,$M39)&gt;0,
     COUNTIFS($AW$3:$AW$201,$M39)&gt;0
   )),
  ),
  2
 ),
"")</f>
        <v/>
      </c>
      <c r="Q39" s="3" t="str" cm="1">
        <f t="array" aca="1" ref="Q39" ca="1">IFERROR(
 INDEX(
  _xlfn._xlws.FILTER($T$2:$AW$2,
   TRANSPOSE(
    CHOOSE({1;2;3;4;5;6;7;8;9;10;11;12;13;14;15;16;17;18;19;20;21;22;23;24;25;26;27;28;29;30},
     COUNTIFS($T$3:$T$201,$M39)&gt;0,
     COUNTIFS($U$3:$U$201,$M39)&gt;0,
     COUNTIFS($V$3:$V$201,$M39)&gt;0,
     COUNTIFS($W$3:$W$201,$M39)&gt;0,
     COUNTIFS($X$3:$X$201,$M39)&gt;0,
     COUNTIFS($Y$3:$Y$201,$M39)&gt;0,
     COUNTIFS($Z$3:$Z$201,$M39)&gt;0,
     COUNTIFS($AA$3:$AA$201,$M39)&gt;0,
     COUNTIFS($AB$3:$AB$201,$M39)&gt;0,
     COUNTIFS($AC$3:$AC$201,$M39)&gt;0,
     COUNTIFS($AD$3:$AD$201,$M39)&gt;0,
     COUNTIFS($AE$3:$AE$201,$M39)&gt;0,
     COUNTIFS($AF$3:$AF$201,$M39)&gt;0,
     COUNTIFS($AG$3:$AG$201,$M39)&gt;0,
     COUNTIFS($AH$3:$AH$201,$M39)&gt;0,
     COUNTIFS($AI$3:$AI$201,$M39)&gt;0,
     COUNTIFS($AJ$3:$AJ$201,$M39)&gt;0,
     COUNTIFS($AK$3:$AK$201,$M39)&gt;0,
     COUNTIFS($AL$3:$AL$201,$M39)&gt;0,
     COUNTIFS($AM$3:$AM$201,$M39)&gt;0,
     COUNTIFS($AN$3:$AN$201,$M39)&gt;0,
     COUNTIFS($AO$3:$AO$201,$M39)&gt;0,
     COUNTIFS($AP$3:$AP$201,$M39)&gt;0,
     COUNTIFS($AQ$3:$AQ$201,$M39)&gt;0,
     COUNTIFS($AR$3:$AR$201,$M39)&gt;0,
     COUNTIFS($AS$3:$AS$201,$M39)&gt;0,
     COUNTIFS($AT$3:$AT$201,$M39)&gt;0,
     COUNTIFS($AU$3:$AU$201,$M39)&gt;0,
     COUNTIFS($AV$3:$AV$201,$M39)&gt;0,
     COUNTIFS($AW$3:$AW$201,$M39)&gt;0
   )),
  ),
  3
 ),
"")</f>
        <v/>
      </c>
      <c r="R39" s="3" t="str" cm="1">
        <f t="array" aca="1" ref="R39" ca="1">IFERROR(
 INDEX(
  _xlfn._xlws.FILTER($T$2:$AW$2,
   TRANSPOSE(
    CHOOSE({1;2;3;4;5;6;7;8;9;10;11;12;13;14;15;16;17;18;19;20;21;22;23;24;25;26;27;28;29;30},
     COUNTIFS($T$3:$T$201,$M39)&gt;0,
     COUNTIFS($U$3:$U$201,$M39)&gt;0,
     COUNTIFS($V$3:$V$201,$M39)&gt;0,
     COUNTIFS($W$3:$W$201,$M39)&gt;0,
     COUNTIFS($X$3:$X$201,$M39)&gt;0,
     COUNTIFS($Y$3:$Y$201,$M39)&gt;0,
     COUNTIFS($Z$3:$Z$201,$M39)&gt;0,
     COUNTIFS($AA$3:$AA$201,$M39)&gt;0,
     COUNTIFS($AB$3:$AB$201,$M39)&gt;0,
     COUNTIFS($AC$3:$AC$201,$M39)&gt;0,
     COUNTIFS($AD$3:$AD$201,$M39)&gt;0,
     COUNTIFS($AE$3:$AE$201,$M39)&gt;0,
     COUNTIFS($AF$3:$AF$201,$M39)&gt;0,
     COUNTIFS($AG$3:$AG$201,$M39)&gt;0,
     COUNTIFS($AH$3:$AH$201,$M39)&gt;0,
     COUNTIFS($AI$3:$AI$201,$M39)&gt;0,
     COUNTIFS($AJ$3:$AJ$201,$M39)&gt;0,
     COUNTIFS($AK$3:$AK$201,$M39)&gt;0,
     COUNTIFS($AL$3:$AL$201,$M39)&gt;0,
     COUNTIFS($AM$3:$AM$201,$M39)&gt;0,
     COUNTIFS($AN$3:$AN$201,$M39)&gt;0,
     COUNTIFS($AO$3:$AO$201,$M39)&gt;0,
     COUNTIFS($AP$3:$AP$201,$M39)&gt;0,
     COUNTIFS($AQ$3:$AQ$201,$M39)&gt;0,
     COUNTIFS($AR$3:$AR$201,$M39)&gt;0,
     COUNTIFS($AS$3:$AS$201,$M39)&gt;0,
     COUNTIFS($AT$3:$AT$201,$M39)&gt;0,
     COUNTIFS($AU$3:$AU$201,$M39)&gt;0,
     COUNTIFS($AV$3:$AV$201,$M39)&gt;0,
     COUNTIFS($AW$3:$AW$201,$M39)&gt;0
   )),
  ),
  4
 ),
"")</f>
        <v/>
      </c>
      <c r="BB39" t="str">
        <f ca="1"/>
        <v>Saheeli, Artífice Sublime</v>
      </c>
      <c r="BR39" t="str">
        <f ca="1"/>
        <v>Midnight Guard</v>
      </c>
      <c r="BS39" t="str">
        <f ca="1"/>
        <v>Mergulhadora Celeste Ladra</v>
      </c>
      <c r="BU39" t="str">
        <f ca="1"/>
        <v>Terraço do Condado</v>
      </c>
      <c r="CA39" t="str">
        <f ca="1"/>
        <v>Encontro de Mentes</v>
      </c>
      <c r="CB39" t="str">
        <f ca="1"/>
        <v>Lizard Blades</v>
      </c>
      <c r="CC39" t="str">
        <f ca="1"/>
        <v>Sinew Sliver</v>
      </c>
      <c r="CD39" t="str">
        <f ca="1"/>
        <v>Urzal Ventoso</v>
      </c>
      <c r="CF39" t="str">
        <f ca="1"/>
        <v>Crawling Infestation</v>
      </c>
      <c r="CG39" t="str">
        <f ca="1"/>
        <v>Kiora's Follower</v>
      </c>
      <c r="CI39" t="str">
        <f ca="1"/>
        <v>Cidadela da Estepe Arenosa</v>
      </c>
    </row>
    <row r="40" spans="1:87" x14ac:dyDescent="0.25">
      <c r="A40" t="str">
        <f ca="1"/>
        <v>Careful Study</v>
      </c>
      <c r="B40" s="3" t="str" cm="1">
        <f t="array" aca="1" ref="B40" ca="1">_xlfn.ANCHORARRAY(RESUMO!C39)</f>
        <v>Rielle</v>
      </c>
      <c r="C40" s="3" t="str">
        <f t="shared" ca="1" si="0"/>
        <v/>
      </c>
      <c r="E40" t="str">
        <f ca="1"/>
        <v>Clackbridge Troll</v>
      </c>
      <c r="F40" s="3">
        <f t="shared" ca="1" si="1"/>
        <v>1</v>
      </c>
      <c r="G40" s="3" t="str">
        <f t="shared" ca="1" si="2"/>
        <v>Rani</v>
      </c>
      <c r="M40" t="str">
        <f ca="1"/>
        <v>Clackbridge Troll</v>
      </c>
      <c r="N40" s="3">
        <f t="shared" ca="1" si="3"/>
        <v>1</v>
      </c>
      <c r="O40" s="3" t="str">
        <f ca="1">IFERROR(
 INDEX($T$2:$AW$2,
  MATCH(TRUE,
   CHOOSE({1;2;3;4;5;6;7;8;9;10;11;12;13;14;15;16;17;18;19;20;21;22;23;24;25;26;27;28;29;30;31;32},
    COUNTIFS($T$3:$T$201,$M40)&gt;0,
    COUNTIFS($U$3:$U$201,$M40)&gt;0,
    COUNTIFS($V$3:$V$201,$M40)&gt;0,
    COUNTIFS($W$3:$W$201,$M40)&gt;0,
    COUNTIFS($X$3:$X$201,$M40)&gt;0,
    COUNTIFS($Y$3:$Y$201,$M40)&gt;0,
    COUNTIFS($Z$3:$Z$201,$M40)&gt;0,
    COUNTIFS($AA$3:$AA$201,$M40)&gt;0,
    COUNTIFS($AB$3:$AB$201,$M40)&gt;0,
    COUNTIFS($AC$3:$AC$201,$M40)&gt;0,
    COUNTIFS($AD$3:$AD$201,$M40)&gt;0,
    COUNTIFS($AE$3:$AE$201,$M40)&gt;0,
    COUNTIFS($AF$3:$AF$201,$M40)&gt;0,
    COUNTIFS($AG$3:$AG$201,$M40)&gt;0,
    COUNTIFS($AH$3:$AH$201,$M40)&gt;0,
    COUNTIFS($AI$3:$AI$201,$M40)&gt;0,
    COUNTIFS($AJ$3:$AJ$201,$M40)&gt;0,
    COUNTIFS($AK$3:$AK$201,$M40)&gt;0,
    COUNTIFS($AL$3:$AL$201,$M40)&gt;0,
    COUNTIFS($AM$3:$AM$201,$M40)&gt;0,
    COUNTIFS($AN$3:$AN$201,$M40)&gt;0,
    COUNTIFS($AO$3:$AO$201,$M40)&gt;0,
    COUNTIFS($AP$3:$AP$201,$M40)&gt;0,
    COUNTIFS($AQ$3:$AQ$201,$M40)&gt;0,
    COUNTIFS($AR$3:$AR$201,$M40)&gt;0,
    COUNTIFS($AS$3:$AS$201,$M40)&gt;0,
    COUNTIFS($AT$3:$AT$201,$M40)&gt;0,
    COUNTIFS($AU$3:$AU$201,$M40)&gt;0,
    COUNTIFS($AV$3:$AV$201,$M40)&gt;0,
    COUNTIFS($AW$3:$AW$201,$M40)&gt;0
   ),
  0)
 ),
"")</f>
        <v>Rani</v>
      </c>
      <c r="P40" s="3" t="str" cm="1">
        <f t="array" aca="1" ref="P40" ca="1">IFERROR(
 INDEX(
  _xlfn._xlws.FILTER($T$2:$AW$2,
   TRANSPOSE(
    CHOOSE({1;2;3;4;5;6;7;8;9;10;11;12;13;14;15;16;17;18;19;20;21;22;23;24;25;26;27;28;29;30},
     COUNTIFS($T$3:$T$201,$M40)&gt;0,
     COUNTIFS($U$3:$U$201,$M40)&gt;0,
     COUNTIFS($V$3:$V$201,$M40)&gt;0,
     COUNTIFS($W$3:$W$201,$M40)&gt;0,
     COUNTIFS($X$3:$X$201,$M40)&gt;0,
     COUNTIFS($Y$3:$Y$201,$M40)&gt;0,
     COUNTIFS($Z$3:$Z$201,$M40)&gt;0,
     COUNTIFS($AA$3:$AA$201,$M40)&gt;0,
     COUNTIFS($AB$3:$AB$201,$M40)&gt;0,
     COUNTIFS($AC$3:$AC$201,$M40)&gt;0,
     COUNTIFS($AD$3:$AD$201,$M40)&gt;0,
     COUNTIFS($AE$3:$AE$201,$M40)&gt;0,
     COUNTIFS($AF$3:$AF$201,$M40)&gt;0,
     COUNTIFS($AG$3:$AG$201,$M40)&gt;0,
     COUNTIFS($AH$3:$AH$201,$M40)&gt;0,
     COUNTIFS($AI$3:$AI$201,$M40)&gt;0,
     COUNTIFS($AJ$3:$AJ$201,$M40)&gt;0,
     COUNTIFS($AK$3:$AK$201,$M40)&gt;0,
     COUNTIFS($AL$3:$AL$201,$M40)&gt;0,
     COUNTIFS($AM$3:$AM$201,$M40)&gt;0,
     COUNTIFS($AN$3:$AN$201,$M40)&gt;0,
     COUNTIFS($AO$3:$AO$201,$M40)&gt;0,
     COUNTIFS($AP$3:$AP$201,$M40)&gt;0,
     COUNTIFS($AQ$3:$AQ$201,$M40)&gt;0,
     COUNTIFS($AR$3:$AR$201,$M40)&gt;0,
     COUNTIFS($AS$3:$AS$201,$M40)&gt;0,
     COUNTIFS($AT$3:$AT$201,$M40)&gt;0,
     COUNTIFS($AU$3:$AU$201,$M40)&gt;0,
     COUNTIFS($AV$3:$AV$201,$M40)&gt;0,
     COUNTIFS($AW$3:$AW$201,$M40)&gt;0
   )),
  ),
  2
 ),
"")</f>
        <v/>
      </c>
      <c r="Q40" s="3" t="str" cm="1">
        <f t="array" aca="1" ref="Q40" ca="1">IFERROR(
 INDEX(
  _xlfn._xlws.FILTER($T$2:$AW$2,
   TRANSPOSE(
    CHOOSE({1;2;3;4;5;6;7;8;9;10;11;12;13;14;15;16;17;18;19;20;21;22;23;24;25;26;27;28;29;30},
     COUNTIFS($T$3:$T$201,$M40)&gt;0,
     COUNTIFS($U$3:$U$201,$M40)&gt;0,
     COUNTIFS($V$3:$V$201,$M40)&gt;0,
     COUNTIFS($W$3:$W$201,$M40)&gt;0,
     COUNTIFS($X$3:$X$201,$M40)&gt;0,
     COUNTIFS($Y$3:$Y$201,$M40)&gt;0,
     COUNTIFS($Z$3:$Z$201,$M40)&gt;0,
     COUNTIFS($AA$3:$AA$201,$M40)&gt;0,
     COUNTIFS($AB$3:$AB$201,$M40)&gt;0,
     COUNTIFS($AC$3:$AC$201,$M40)&gt;0,
     COUNTIFS($AD$3:$AD$201,$M40)&gt;0,
     COUNTIFS($AE$3:$AE$201,$M40)&gt;0,
     COUNTIFS($AF$3:$AF$201,$M40)&gt;0,
     COUNTIFS($AG$3:$AG$201,$M40)&gt;0,
     COUNTIFS($AH$3:$AH$201,$M40)&gt;0,
     COUNTIFS($AI$3:$AI$201,$M40)&gt;0,
     COUNTIFS($AJ$3:$AJ$201,$M40)&gt;0,
     COUNTIFS($AK$3:$AK$201,$M40)&gt;0,
     COUNTIFS($AL$3:$AL$201,$M40)&gt;0,
     COUNTIFS($AM$3:$AM$201,$M40)&gt;0,
     COUNTIFS($AN$3:$AN$201,$M40)&gt;0,
     COUNTIFS($AO$3:$AO$201,$M40)&gt;0,
     COUNTIFS($AP$3:$AP$201,$M40)&gt;0,
     COUNTIFS($AQ$3:$AQ$201,$M40)&gt;0,
     COUNTIFS($AR$3:$AR$201,$M40)&gt;0,
     COUNTIFS($AS$3:$AS$201,$M40)&gt;0,
     COUNTIFS($AT$3:$AT$201,$M40)&gt;0,
     COUNTIFS($AU$3:$AU$201,$M40)&gt;0,
     COUNTIFS($AV$3:$AV$201,$M40)&gt;0,
     COUNTIFS($AW$3:$AW$201,$M40)&gt;0
   )),
  ),
  3
 ),
"")</f>
        <v/>
      </c>
      <c r="R40" s="3" t="str" cm="1">
        <f t="array" aca="1" ref="R40" ca="1">IFERROR(
 INDEX(
  _xlfn._xlws.FILTER($T$2:$AW$2,
   TRANSPOSE(
    CHOOSE({1;2;3;4;5;6;7;8;9;10;11;12;13;14;15;16;17;18;19;20;21;22;23;24;25;26;27;28;29;30},
     COUNTIFS($T$3:$T$201,$M40)&gt;0,
     COUNTIFS($U$3:$U$201,$M40)&gt;0,
     COUNTIFS($V$3:$V$201,$M40)&gt;0,
     COUNTIFS($W$3:$W$201,$M40)&gt;0,
     COUNTIFS($X$3:$X$201,$M40)&gt;0,
     COUNTIFS($Y$3:$Y$201,$M40)&gt;0,
     COUNTIFS($Z$3:$Z$201,$M40)&gt;0,
     COUNTIFS($AA$3:$AA$201,$M40)&gt;0,
     COUNTIFS($AB$3:$AB$201,$M40)&gt;0,
     COUNTIFS($AC$3:$AC$201,$M40)&gt;0,
     COUNTIFS($AD$3:$AD$201,$M40)&gt;0,
     COUNTIFS($AE$3:$AE$201,$M40)&gt;0,
     COUNTIFS($AF$3:$AF$201,$M40)&gt;0,
     COUNTIFS($AG$3:$AG$201,$M40)&gt;0,
     COUNTIFS($AH$3:$AH$201,$M40)&gt;0,
     COUNTIFS($AI$3:$AI$201,$M40)&gt;0,
     COUNTIFS($AJ$3:$AJ$201,$M40)&gt;0,
     COUNTIFS($AK$3:$AK$201,$M40)&gt;0,
     COUNTIFS($AL$3:$AL$201,$M40)&gt;0,
     COUNTIFS($AM$3:$AM$201,$M40)&gt;0,
     COUNTIFS($AN$3:$AN$201,$M40)&gt;0,
     COUNTIFS($AO$3:$AO$201,$M40)&gt;0,
     COUNTIFS($AP$3:$AP$201,$M40)&gt;0,
     COUNTIFS($AQ$3:$AQ$201,$M40)&gt;0,
     COUNTIFS($AR$3:$AR$201,$M40)&gt;0,
     COUNTIFS($AS$3:$AS$201,$M40)&gt;0,
     COUNTIFS($AT$3:$AT$201,$M40)&gt;0,
     COUNTIFS($AU$3:$AU$201,$M40)&gt;0,
     COUNTIFS($AV$3:$AV$201,$M40)&gt;0,
     COUNTIFS($AW$3:$AW$201,$M40)&gt;0
   )),
  ),
  4
 ),
"")</f>
        <v/>
      </c>
      <c r="BB40" t="str">
        <f ca="1"/>
        <v>Sanctum of Calm Waters</v>
      </c>
      <c r="BR40" t="str">
        <f ca="1"/>
        <v>Mind Stone</v>
      </c>
      <c r="BS40" t="str">
        <f ca="1"/>
        <v>Mestre de Cerimonias</v>
      </c>
      <c r="BU40" t="str">
        <f ca="1"/>
        <v>Urza Assembles the Titans</v>
      </c>
      <c r="CA40" t="str">
        <f ca="1"/>
        <v>Escória Fundida</v>
      </c>
      <c r="CB40" t="str">
        <f ca="1"/>
        <v>Loxodon Warhammer</v>
      </c>
      <c r="CC40" t="str">
        <f ca="1"/>
        <v>Sisay's Ring</v>
      </c>
      <c r="CD40" t="str">
        <f ca="1"/>
        <v>Vigor</v>
      </c>
      <c r="CF40" t="str">
        <f ca="1"/>
        <v>Crib Swap</v>
      </c>
      <c r="CG40" t="str">
        <f ca="1"/>
        <v>Lanterna Cromática</v>
      </c>
      <c r="CI40" t="str">
        <f ca="1"/>
        <v>Clackbridge Troll</v>
      </c>
    </row>
    <row r="41" spans="1:87" x14ac:dyDescent="0.25">
      <c r="A41" t="str">
        <f ca="1"/>
        <v>Castle Ardenvale</v>
      </c>
      <c r="B41" s="3" t="str" cm="1">
        <f t="array" aca="1" ref="B41" ca="1">_xlfn.ANCHORARRAY(RESUMO!C40)</f>
        <v>Baylen</v>
      </c>
      <c r="C41" s="3" t="str">
        <f t="shared" ca="1" si="0"/>
        <v/>
      </c>
      <c r="E41" t="str">
        <f ca="1"/>
        <v>Clifftop Retreat</v>
      </c>
      <c r="F41" s="3">
        <f t="shared" ca="1" si="1"/>
        <v>1</v>
      </c>
      <c r="G41" s="3" t="str">
        <f t="shared" ca="1" si="2"/>
        <v>VialIshai</v>
      </c>
      <c r="M41" t="str">
        <f ca="1"/>
        <v>Clifftop Retreat</v>
      </c>
      <c r="N41" s="3">
        <f t="shared" ca="1" si="3"/>
        <v>1</v>
      </c>
      <c r="O41" s="3" t="str">
        <f ca="1">IFERROR(
 INDEX($T$2:$AW$2,
  MATCH(TRUE,
   CHOOSE({1;2;3;4;5;6;7;8;9;10;11;12;13;14;15;16;17;18;19;20;21;22;23;24;25;26;27;28;29;30;31;32},
    COUNTIFS($T$3:$T$201,$M41)&gt;0,
    COUNTIFS($U$3:$U$201,$M41)&gt;0,
    COUNTIFS($V$3:$V$201,$M41)&gt;0,
    COUNTIFS($W$3:$W$201,$M41)&gt;0,
    COUNTIFS($X$3:$X$201,$M41)&gt;0,
    COUNTIFS($Y$3:$Y$201,$M41)&gt;0,
    COUNTIFS($Z$3:$Z$201,$M41)&gt;0,
    COUNTIFS($AA$3:$AA$201,$M41)&gt;0,
    COUNTIFS($AB$3:$AB$201,$M41)&gt;0,
    COUNTIFS($AC$3:$AC$201,$M41)&gt;0,
    COUNTIFS($AD$3:$AD$201,$M41)&gt;0,
    COUNTIFS($AE$3:$AE$201,$M41)&gt;0,
    COUNTIFS($AF$3:$AF$201,$M41)&gt;0,
    COUNTIFS($AG$3:$AG$201,$M41)&gt;0,
    COUNTIFS($AH$3:$AH$201,$M41)&gt;0,
    COUNTIFS($AI$3:$AI$201,$M41)&gt;0,
    COUNTIFS($AJ$3:$AJ$201,$M41)&gt;0,
    COUNTIFS($AK$3:$AK$201,$M41)&gt;0,
    COUNTIFS($AL$3:$AL$201,$M41)&gt;0,
    COUNTIFS($AM$3:$AM$201,$M41)&gt;0,
    COUNTIFS($AN$3:$AN$201,$M41)&gt;0,
    COUNTIFS($AO$3:$AO$201,$M41)&gt;0,
    COUNTIFS($AP$3:$AP$201,$M41)&gt;0,
    COUNTIFS($AQ$3:$AQ$201,$M41)&gt;0,
    COUNTIFS($AR$3:$AR$201,$M41)&gt;0,
    COUNTIFS($AS$3:$AS$201,$M41)&gt;0,
    COUNTIFS($AT$3:$AT$201,$M41)&gt;0,
    COUNTIFS($AU$3:$AU$201,$M41)&gt;0,
    COUNTIFS($AV$3:$AV$201,$M41)&gt;0,
    COUNTIFS($AW$3:$AW$201,$M41)&gt;0
   ),
  0)
 ),
"")</f>
        <v>VialIshai</v>
      </c>
      <c r="P41" s="3" t="str" cm="1">
        <f t="array" aca="1" ref="P41" ca="1">IFERROR(
 INDEX(
  _xlfn._xlws.FILTER($T$2:$AW$2,
   TRANSPOSE(
    CHOOSE({1;2;3;4;5;6;7;8;9;10;11;12;13;14;15;16;17;18;19;20;21;22;23;24;25;26;27;28;29;30},
     COUNTIFS($T$3:$T$201,$M41)&gt;0,
     COUNTIFS($U$3:$U$201,$M41)&gt;0,
     COUNTIFS($V$3:$V$201,$M41)&gt;0,
     COUNTIFS($W$3:$W$201,$M41)&gt;0,
     COUNTIFS($X$3:$X$201,$M41)&gt;0,
     COUNTIFS($Y$3:$Y$201,$M41)&gt;0,
     COUNTIFS($Z$3:$Z$201,$M41)&gt;0,
     COUNTIFS($AA$3:$AA$201,$M41)&gt;0,
     COUNTIFS($AB$3:$AB$201,$M41)&gt;0,
     COUNTIFS($AC$3:$AC$201,$M41)&gt;0,
     COUNTIFS($AD$3:$AD$201,$M41)&gt;0,
     COUNTIFS($AE$3:$AE$201,$M41)&gt;0,
     COUNTIFS($AF$3:$AF$201,$M41)&gt;0,
     COUNTIFS($AG$3:$AG$201,$M41)&gt;0,
     COUNTIFS($AH$3:$AH$201,$M41)&gt;0,
     COUNTIFS($AI$3:$AI$201,$M41)&gt;0,
     COUNTIFS($AJ$3:$AJ$201,$M41)&gt;0,
     COUNTIFS($AK$3:$AK$201,$M41)&gt;0,
     COUNTIFS($AL$3:$AL$201,$M41)&gt;0,
     COUNTIFS($AM$3:$AM$201,$M41)&gt;0,
     COUNTIFS($AN$3:$AN$201,$M41)&gt;0,
     COUNTIFS($AO$3:$AO$201,$M41)&gt;0,
     COUNTIFS($AP$3:$AP$201,$M41)&gt;0,
     COUNTIFS($AQ$3:$AQ$201,$M41)&gt;0,
     COUNTIFS($AR$3:$AR$201,$M41)&gt;0,
     COUNTIFS($AS$3:$AS$201,$M41)&gt;0,
     COUNTIFS($AT$3:$AT$201,$M41)&gt;0,
     COUNTIFS($AU$3:$AU$201,$M41)&gt;0,
     COUNTIFS($AV$3:$AV$201,$M41)&gt;0,
     COUNTIFS($AW$3:$AW$201,$M41)&gt;0
   )),
  ),
  2
 ),
"")</f>
        <v/>
      </c>
      <c r="Q41" s="3" t="str" cm="1">
        <f t="array" aca="1" ref="Q41" ca="1">IFERROR(
 INDEX(
  _xlfn._xlws.FILTER($T$2:$AW$2,
   TRANSPOSE(
    CHOOSE({1;2;3;4;5;6;7;8;9;10;11;12;13;14;15;16;17;18;19;20;21;22;23;24;25;26;27;28;29;30},
     COUNTIFS($T$3:$T$201,$M41)&gt;0,
     COUNTIFS($U$3:$U$201,$M41)&gt;0,
     COUNTIFS($V$3:$V$201,$M41)&gt;0,
     COUNTIFS($W$3:$W$201,$M41)&gt;0,
     COUNTIFS($X$3:$X$201,$M41)&gt;0,
     COUNTIFS($Y$3:$Y$201,$M41)&gt;0,
     COUNTIFS($Z$3:$Z$201,$M41)&gt;0,
     COUNTIFS($AA$3:$AA$201,$M41)&gt;0,
     COUNTIFS($AB$3:$AB$201,$M41)&gt;0,
     COUNTIFS($AC$3:$AC$201,$M41)&gt;0,
     COUNTIFS($AD$3:$AD$201,$M41)&gt;0,
     COUNTIFS($AE$3:$AE$201,$M41)&gt;0,
     COUNTIFS($AF$3:$AF$201,$M41)&gt;0,
     COUNTIFS($AG$3:$AG$201,$M41)&gt;0,
     COUNTIFS($AH$3:$AH$201,$M41)&gt;0,
     COUNTIFS($AI$3:$AI$201,$M41)&gt;0,
     COUNTIFS($AJ$3:$AJ$201,$M41)&gt;0,
     COUNTIFS($AK$3:$AK$201,$M41)&gt;0,
     COUNTIFS($AL$3:$AL$201,$M41)&gt;0,
     COUNTIFS($AM$3:$AM$201,$M41)&gt;0,
     COUNTIFS($AN$3:$AN$201,$M41)&gt;0,
     COUNTIFS($AO$3:$AO$201,$M41)&gt;0,
     COUNTIFS($AP$3:$AP$201,$M41)&gt;0,
     COUNTIFS($AQ$3:$AQ$201,$M41)&gt;0,
     COUNTIFS($AR$3:$AR$201,$M41)&gt;0,
     COUNTIFS($AS$3:$AS$201,$M41)&gt;0,
     COUNTIFS($AT$3:$AT$201,$M41)&gt;0,
     COUNTIFS($AU$3:$AU$201,$M41)&gt;0,
     COUNTIFS($AV$3:$AV$201,$M41)&gt;0,
     COUNTIFS($AW$3:$AW$201,$M41)&gt;0
   )),
  ),
  3
 ),
"")</f>
        <v/>
      </c>
      <c r="R41" s="3" t="str" cm="1">
        <f t="array" aca="1" ref="R41" ca="1">IFERROR(
 INDEX(
  _xlfn._xlws.FILTER($T$2:$AW$2,
   TRANSPOSE(
    CHOOSE({1;2;3;4;5;6;7;8;9;10;11;12;13;14;15;16;17;18;19;20;21;22;23;24;25;26;27;28;29;30},
     COUNTIFS($T$3:$T$201,$M41)&gt;0,
     COUNTIFS($U$3:$U$201,$M41)&gt;0,
     COUNTIFS($V$3:$V$201,$M41)&gt;0,
     COUNTIFS($W$3:$W$201,$M41)&gt;0,
     COUNTIFS($X$3:$X$201,$M41)&gt;0,
     COUNTIFS($Y$3:$Y$201,$M41)&gt;0,
     COUNTIFS($Z$3:$Z$201,$M41)&gt;0,
     COUNTIFS($AA$3:$AA$201,$M41)&gt;0,
     COUNTIFS($AB$3:$AB$201,$M41)&gt;0,
     COUNTIFS($AC$3:$AC$201,$M41)&gt;0,
     COUNTIFS($AD$3:$AD$201,$M41)&gt;0,
     COUNTIFS($AE$3:$AE$201,$M41)&gt;0,
     COUNTIFS($AF$3:$AF$201,$M41)&gt;0,
     COUNTIFS($AG$3:$AG$201,$M41)&gt;0,
     COUNTIFS($AH$3:$AH$201,$M41)&gt;0,
     COUNTIFS($AI$3:$AI$201,$M41)&gt;0,
     COUNTIFS($AJ$3:$AJ$201,$M41)&gt;0,
     COUNTIFS($AK$3:$AK$201,$M41)&gt;0,
     COUNTIFS($AL$3:$AL$201,$M41)&gt;0,
     COUNTIFS($AM$3:$AM$201,$M41)&gt;0,
     COUNTIFS($AN$3:$AN$201,$M41)&gt;0,
     COUNTIFS($AO$3:$AO$201,$M41)&gt;0,
     COUNTIFS($AP$3:$AP$201,$M41)&gt;0,
     COUNTIFS($AQ$3:$AQ$201,$M41)&gt;0,
     COUNTIFS($AR$3:$AR$201,$M41)&gt;0,
     COUNTIFS($AS$3:$AS$201,$M41)&gt;0,
     COUNTIFS($AT$3:$AT$201,$M41)&gt;0,
     COUNTIFS($AU$3:$AU$201,$M41)&gt;0,
     COUNTIFS($AV$3:$AV$201,$M41)&gt;0,
     COUNTIFS($AW$3:$AW$201,$M41)&gt;0
   )),
  ),
  4
 ),
"")</f>
        <v/>
      </c>
      <c r="BB41" t="str">
        <f ca="1"/>
        <v>Saqueador Saco-de-Carne</v>
      </c>
      <c r="BR41" t="str">
        <f ca="1"/>
        <v>Morbid Oportunist</v>
      </c>
      <c r="BS41" t="str">
        <f ca="1"/>
        <v>Mountain</v>
      </c>
      <c r="BU41" t="str">
        <f ca="1"/>
        <v>Vivid Marsh</v>
      </c>
      <c r="CA41" t="str">
        <f ca="1"/>
        <v>Esmoecer</v>
      </c>
      <c r="CB41" t="str">
        <f ca="1"/>
        <v>Master of Death</v>
      </c>
      <c r="CC41" t="str">
        <f ca="1"/>
        <v>Soul's Majesty</v>
      </c>
      <c r="CD41" t="str">
        <f ca="1"/>
        <v>Wilderness Reclamation</v>
      </c>
      <c r="CF41" t="str">
        <f ca="1"/>
        <v>Crotalus Mortífero</v>
      </c>
      <c r="CG41" t="str">
        <f ca="1"/>
        <v>Lulu, Halofante Leal</v>
      </c>
      <c r="CI41" t="str">
        <f ca="1"/>
        <v>Clifftop Retreat</v>
      </c>
    </row>
    <row r="42" spans="1:87" x14ac:dyDescent="0.25">
      <c r="A42" t="str">
        <f ca="1"/>
        <v>Caverna das Almas</v>
      </c>
      <c r="B42" s="3" t="str" cm="1">
        <f t="array" aca="1" ref="B42" ca="1">_xlfn.ANCHORARRAY(RESUMO!C41)</f>
        <v>Fractius</v>
      </c>
      <c r="C42" s="3" t="str">
        <f t="shared" ca="1" si="0"/>
        <v/>
      </c>
      <c r="E42" t="str">
        <f ca="1"/>
        <v>Comando de Kayla</v>
      </c>
      <c r="F42" s="3">
        <f t="shared" ca="1" si="1"/>
        <v>1</v>
      </c>
      <c r="G42" s="3" t="str">
        <f t="shared" ca="1" si="2"/>
        <v>Baylen</v>
      </c>
      <c r="M42" t="str">
        <f ca="1"/>
        <v>Comando de Kayla</v>
      </c>
      <c r="N42" s="3">
        <f t="shared" ca="1" si="3"/>
        <v>1</v>
      </c>
      <c r="O42" s="3" t="str">
        <f ca="1">IFERROR(
 INDEX($T$2:$AW$2,
  MATCH(TRUE,
   CHOOSE({1;2;3;4;5;6;7;8;9;10;11;12;13;14;15;16;17;18;19;20;21;22;23;24;25;26;27;28;29;30;31;32},
    COUNTIFS($T$3:$T$201,$M42)&gt;0,
    COUNTIFS($U$3:$U$201,$M42)&gt;0,
    COUNTIFS($V$3:$V$201,$M42)&gt;0,
    COUNTIFS($W$3:$W$201,$M42)&gt;0,
    COUNTIFS($X$3:$X$201,$M42)&gt;0,
    COUNTIFS($Y$3:$Y$201,$M42)&gt;0,
    COUNTIFS($Z$3:$Z$201,$M42)&gt;0,
    COUNTIFS($AA$3:$AA$201,$M42)&gt;0,
    COUNTIFS($AB$3:$AB$201,$M42)&gt;0,
    COUNTIFS($AC$3:$AC$201,$M42)&gt;0,
    COUNTIFS($AD$3:$AD$201,$M42)&gt;0,
    COUNTIFS($AE$3:$AE$201,$M42)&gt;0,
    COUNTIFS($AF$3:$AF$201,$M42)&gt;0,
    COUNTIFS($AG$3:$AG$201,$M42)&gt;0,
    COUNTIFS($AH$3:$AH$201,$M42)&gt;0,
    COUNTIFS($AI$3:$AI$201,$M42)&gt;0,
    COUNTIFS($AJ$3:$AJ$201,$M42)&gt;0,
    COUNTIFS($AK$3:$AK$201,$M42)&gt;0,
    COUNTIFS($AL$3:$AL$201,$M42)&gt;0,
    COUNTIFS($AM$3:$AM$201,$M42)&gt;0,
    COUNTIFS($AN$3:$AN$201,$M42)&gt;0,
    COUNTIFS($AO$3:$AO$201,$M42)&gt;0,
    COUNTIFS($AP$3:$AP$201,$M42)&gt;0,
    COUNTIFS($AQ$3:$AQ$201,$M42)&gt;0,
    COUNTIFS($AR$3:$AR$201,$M42)&gt;0,
    COUNTIFS($AS$3:$AS$201,$M42)&gt;0,
    COUNTIFS($AT$3:$AT$201,$M42)&gt;0,
    COUNTIFS($AU$3:$AU$201,$M42)&gt;0,
    COUNTIFS($AV$3:$AV$201,$M42)&gt;0,
    COUNTIFS($AW$3:$AW$201,$M42)&gt;0
   ),
  0)
 ),
"")</f>
        <v>Baylen</v>
      </c>
      <c r="P42" s="3" t="str" cm="1">
        <f t="array" aca="1" ref="P42" ca="1">IFERROR(
 INDEX(
  _xlfn._xlws.FILTER($T$2:$AW$2,
   TRANSPOSE(
    CHOOSE({1;2;3;4;5;6;7;8;9;10;11;12;13;14;15;16;17;18;19;20;21;22;23;24;25;26;27;28;29;30},
     COUNTIFS($T$3:$T$201,$M42)&gt;0,
     COUNTIFS($U$3:$U$201,$M42)&gt;0,
     COUNTIFS($V$3:$V$201,$M42)&gt;0,
     COUNTIFS($W$3:$W$201,$M42)&gt;0,
     COUNTIFS($X$3:$X$201,$M42)&gt;0,
     COUNTIFS($Y$3:$Y$201,$M42)&gt;0,
     COUNTIFS($Z$3:$Z$201,$M42)&gt;0,
     COUNTIFS($AA$3:$AA$201,$M42)&gt;0,
     COUNTIFS($AB$3:$AB$201,$M42)&gt;0,
     COUNTIFS($AC$3:$AC$201,$M42)&gt;0,
     COUNTIFS($AD$3:$AD$201,$M42)&gt;0,
     COUNTIFS($AE$3:$AE$201,$M42)&gt;0,
     COUNTIFS($AF$3:$AF$201,$M42)&gt;0,
     COUNTIFS($AG$3:$AG$201,$M42)&gt;0,
     COUNTIFS($AH$3:$AH$201,$M42)&gt;0,
     COUNTIFS($AI$3:$AI$201,$M42)&gt;0,
     COUNTIFS($AJ$3:$AJ$201,$M42)&gt;0,
     COUNTIFS($AK$3:$AK$201,$M42)&gt;0,
     COUNTIFS($AL$3:$AL$201,$M42)&gt;0,
     COUNTIFS($AM$3:$AM$201,$M42)&gt;0,
     COUNTIFS($AN$3:$AN$201,$M42)&gt;0,
     COUNTIFS($AO$3:$AO$201,$M42)&gt;0,
     COUNTIFS($AP$3:$AP$201,$M42)&gt;0,
     COUNTIFS($AQ$3:$AQ$201,$M42)&gt;0,
     COUNTIFS($AR$3:$AR$201,$M42)&gt;0,
     COUNTIFS($AS$3:$AS$201,$M42)&gt;0,
     COUNTIFS($AT$3:$AT$201,$M42)&gt;0,
     COUNTIFS($AU$3:$AU$201,$M42)&gt;0,
     COUNTIFS($AV$3:$AV$201,$M42)&gt;0,
     COUNTIFS($AW$3:$AW$201,$M42)&gt;0
   )),
  ),
  2
 ),
"")</f>
        <v/>
      </c>
      <c r="Q42" s="3" t="str" cm="1">
        <f t="array" aca="1" ref="Q42" ca="1">IFERROR(
 INDEX(
  _xlfn._xlws.FILTER($T$2:$AW$2,
   TRANSPOSE(
    CHOOSE({1;2;3;4;5;6;7;8;9;10;11;12;13;14;15;16;17;18;19;20;21;22;23;24;25;26;27;28;29;30},
     COUNTIFS($T$3:$T$201,$M42)&gt;0,
     COUNTIFS($U$3:$U$201,$M42)&gt;0,
     COUNTIFS($V$3:$V$201,$M42)&gt;0,
     COUNTIFS($W$3:$W$201,$M42)&gt;0,
     COUNTIFS($X$3:$X$201,$M42)&gt;0,
     COUNTIFS($Y$3:$Y$201,$M42)&gt;0,
     COUNTIFS($Z$3:$Z$201,$M42)&gt;0,
     COUNTIFS($AA$3:$AA$201,$M42)&gt;0,
     COUNTIFS($AB$3:$AB$201,$M42)&gt;0,
     COUNTIFS($AC$3:$AC$201,$M42)&gt;0,
     COUNTIFS($AD$3:$AD$201,$M42)&gt;0,
     COUNTIFS($AE$3:$AE$201,$M42)&gt;0,
     COUNTIFS($AF$3:$AF$201,$M42)&gt;0,
     COUNTIFS($AG$3:$AG$201,$M42)&gt;0,
     COUNTIFS($AH$3:$AH$201,$M42)&gt;0,
     COUNTIFS($AI$3:$AI$201,$M42)&gt;0,
     COUNTIFS($AJ$3:$AJ$201,$M42)&gt;0,
     COUNTIFS($AK$3:$AK$201,$M42)&gt;0,
     COUNTIFS($AL$3:$AL$201,$M42)&gt;0,
     COUNTIFS($AM$3:$AM$201,$M42)&gt;0,
     COUNTIFS($AN$3:$AN$201,$M42)&gt;0,
     COUNTIFS($AO$3:$AO$201,$M42)&gt;0,
     COUNTIFS($AP$3:$AP$201,$M42)&gt;0,
     COUNTIFS($AQ$3:$AQ$201,$M42)&gt;0,
     COUNTIFS($AR$3:$AR$201,$M42)&gt;0,
     COUNTIFS($AS$3:$AS$201,$M42)&gt;0,
     COUNTIFS($AT$3:$AT$201,$M42)&gt;0,
     COUNTIFS($AU$3:$AU$201,$M42)&gt;0,
     COUNTIFS($AV$3:$AV$201,$M42)&gt;0,
     COUNTIFS($AW$3:$AW$201,$M42)&gt;0
   )),
  ),
  3
 ),
"")</f>
        <v/>
      </c>
      <c r="R42" s="3" t="str" cm="1">
        <f t="array" aca="1" ref="R42" ca="1">IFERROR(
 INDEX(
  _xlfn._xlws.FILTER($T$2:$AW$2,
   TRANSPOSE(
    CHOOSE({1;2;3;4;5;6;7;8;9;10;11;12;13;14;15;16;17;18;19;20;21;22;23;24;25;26;27;28;29;30},
     COUNTIFS($T$3:$T$201,$M42)&gt;0,
     COUNTIFS($U$3:$U$201,$M42)&gt;0,
     COUNTIFS($V$3:$V$201,$M42)&gt;0,
     COUNTIFS($W$3:$W$201,$M42)&gt;0,
     COUNTIFS($X$3:$X$201,$M42)&gt;0,
     COUNTIFS($Y$3:$Y$201,$M42)&gt;0,
     COUNTIFS($Z$3:$Z$201,$M42)&gt;0,
     COUNTIFS($AA$3:$AA$201,$M42)&gt;0,
     COUNTIFS($AB$3:$AB$201,$M42)&gt;0,
     COUNTIFS($AC$3:$AC$201,$M42)&gt;0,
     COUNTIFS($AD$3:$AD$201,$M42)&gt;0,
     COUNTIFS($AE$3:$AE$201,$M42)&gt;0,
     COUNTIFS($AF$3:$AF$201,$M42)&gt;0,
     COUNTIFS($AG$3:$AG$201,$M42)&gt;0,
     COUNTIFS($AH$3:$AH$201,$M42)&gt;0,
     COUNTIFS($AI$3:$AI$201,$M42)&gt;0,
     COUNTIFS($AJ$3:$AJ$201,$M42)&gt;0,
     COUNTIFS($AK$3:$AK$201,$M42)&gt;0,
     COUNTIFS($AL$3:$AL$201,$M42)&gt;0,
     COUNTIFS($AM$3:$AM$201,$M42)&gt;0,
     COUNTIFS($AN$3:$AN$201,$M42)&gt;0,
     COUNTIFS($AO$3:$AO$201,$M42)&gt;0,
     COUNTIFS($AP$3:$AP$201,$M42)&gt;0,
     COUNTIFS($AQ$3:$AQ$201,$M42)&gt;0,
     COUNTIFS($AR$3:$AR$201,$M42)&gt;0,
     COUNTIFS($AS$3:$AS$201,$M42)&gt;0,
     COUNTIFS($AT$3:$AT$201,$M42)&gt;0,
     COUNTIFS($AU$3:$AU$201,$M42)&gt;0,
     COUNTIFS($AV$3:$AV$201,$M42)&gt;0,
     COUNTIFS($AW$3:$AW$201,$M42)&gt;0
   )),
  ),
  4
 ),
"")</f>
        <v/>
      </c>
      <c r="BB42" t="str">
        <f ca="1"/>
        <v>Scute Mob</v>
      </c>
      <c r="BR42" t="str">
        <f ca="1"/>
        <v>Mountain</v>
      </c>
      <c r="BS42" t="str">
        <f ca="1"/>
        <v>Paisagem Agourenta</v>
      </c>
      <c r="BU42" t="str">
        <f ca="1"/>
        <v>Whelming Wave</v>
      </c>
      <c r="CA42" t="str">
        <f ca="1"/>
        <v>Espião-mestre Goblin</v>
      </c>
      <c r="CB42" t="str">
        <f ca="1"/>
        <v>Medalhão de Bant</v>
      </c>
      <c r="CC42" t="str">
        <f ca="1"/>
        <v>Storm's Wrath</v>
      </c>
      <c r="CD42" t="str">
        <f ca="1"/>
        <v>Woe Strider</v>
      </c>
      <c r="CF42" t="str">
        <f ca="1"/>
        <v>Cut your Losses</v>
      </c>
      <c r="CG42" t="str">
        <f ca="1"/>
        <v>Luta Encenada</v>
      </c>
      <c r="CI42" t="str">
        <f ca="1"/>
        <v>Comando de Kayla</v>
      </c>
    </row>
    <row r="43" spans="1:87" x14ac:dyDescent="0.25">
      <c r="A43" t="str">
        <f ca="1"/>
        <v>Champion of Lambholt</v>
      </c>
      <c r="B43" s="3" t="str" cm="1">
        <f t="array" aca="1" ref="B43" ca="1">_xlfn.ANCHORARRAY(RESUMO!C42)</f>
        <v>Tayam</v>
      </c>
      <c r="C43" s="3" t="str">
        <f t="shared" ca="1" si="0"/>
        <v/>
      </c>
      <c r="E43" t="str">
        <f ca="1"/>
        <v>Comando do Patriarca</v>
      </c>
      <c r="F43" s="3">
        <f t="shared" ca="1" si="1"/>
        <v>1</v>
      </c>
      <c r="G43" s="3" t="str">
        <f t="shared" ca="1" si="2"/>
        <v>Inalla</v>
      </c>
      <c r="M43" t="str">
        <f ca="1"/>
        <v>Comando do Patriarca</v>
      </c>
      <c r="N43" s="3">
        <f t="shared" ca="1" si="3"/>
        <v>1</v>
      </c>
      <c r="O43" s="3" t="str">
        <f ca="1">IFERROR(
 INDEX($T$2:$AW$2,
  MATCH(TRUE,
   CHOOSE({1;2;3;4;5;6;7;8;9;10;11;12;13;14;15;16;17;18;19;20;21;22;23;24;25;26;27;28;29;30;31;32},
    COUNTIFS($T$3:$T$201,$M43)&gt;0,
    COUNTIFS($U$3:$U$201,$M43)&gt;0,
    COUNTIFS($V$3:$V$201,$M43)&gt;0,
    COUNTIFS($W$3:$W$201,$M43)&gt;0,
    COUNTIFS($X$3:$X$201,$M43)&gt;0,
    COUNTIFS($Y$3:$Y$201,$M43)&gt;0,
    COUNTIFS($Z$3:$Z$201,$M43)&gt;0,
    COUNTIFS($AA$3:$AA$201,$M43)&gt;0,
    COUNTIFS($AB$3:$AB$201,$M43)&gt;0,
    COUNTIFS($AC$3:$AC$201,$M43)&gt;0,
    COUNTIFS($AD$3:$AD$201,$M43)&gt;0,
    COUNTIFS($AE$3:$AE$201,$M43)&gt;0,
    COUNTIFS($AF$3:$AF$201,$M43)&gt;0,
    COUNTIFS($AG$3:$AG$201,$M43)&gt;0,
    COUNTIFS($AH$3:$AH$201,$M43)&gt;0,
    COUNTIFS($AI$3:$AI$201,$M43)&gt;0,
    COUNTIFS($AJ$3:$AJ$201,$M43)&gt;0,
    COUNTIFS($AK$3:$AK$201,$M43)&gt;0,
    COUNTIFS($AL$3:$AL$201,$M43)&gt;0,
    COUNTIFS($AM$3:$AM$201,$M43)&gt;0,
    COUNTIFS($AN$3:$AN$201,$M43)&gt;0,
    COUNTIFS($AO$3:$AO$201,$M43)&gt;0,
    COUNTIFS($AP$3:$AP$201,$M43)&gt;0,
    COUNTIFS($AQ$3:$AQ$201,$M43)&gt;0,
    COUNTIFS($AR$3:$AR$201,$M43)&gt;0,
    COUNTIFS($AS$3:$AS$201,$M43)&gt;0,
    COUNTIFS($AT$3:$AT$201,$M43)&gt;0,
    COUNTIFS($AU$3:$AU$201,$M43)&gt;0,
    COUNTIFS($AV$3:$AV$201,$M43)&gt;0,
    COUNTIFS($AW$3:$AW$201,$M43)&gt;0
   ),
  0)
 ),
"")</f>
        <v>Inalla</v>
      </c>
      <c r="P43" s="3" t="str" cm="1">
        <f t="array" aca="1" ref="P43" ca="1">IFERROR(
 INDEX(
  _xlfn._xlws.FILTER($T$2:$AW$2,
   TRANSPOSE(
    CHOOSE({1;2;3;4;5;6;7;8;9;10;11;12;13;14;15;16;17;18;19;20;21;22;23;24;25;26;27;28;29;30},
     COUNTIFS($T$3:$T$201,$M43)&gt;0,
     COUNTIFS($U$3:$U$201,$M43)&gt;0,
     COUNTIFS($V$3:$V$201,$M43)&gt;0,
     COUNTIFS($W$3:$W$201,$M43)&gt;0,
     COUNTIFS($X$3:$X$201,$M43)&gt;0,
     COUNTIFS($Y$3:$Y$201,$M43)&gt;0,
     COUNTIFS($Z$3:$Z$201,$M43)&gt;0,
     COUNTIFS($AA$3:$AA$201,$M43)&gt;0,
     COUNTIFS($AB$3:$AB$201,$M43)&gt;0,
     COUNTIFS($AC$3:$AC$201,$M43)&gt;0,
     COUNTIFS($AD$3:$AD$201,$M43)&gt;0,
     COUNTIFS($AE$3:$AE$201,$M43)&gt;0,
     COUNTIFS($AF$3:$AF$201,$M43)&gt;0,
     COUNTIFS($AG$3:$AG$201,$M43)&gt;0,
     COUNTIFS($AH$3:$AH$201,$M43)&gt;0,
     COUNTIFS($AI$3:$AI$201,$M43)&gt;0,
     COUNTIFS($AJ$3:$AJ$201,$M43)&gt;0,
     COUNTIFS($AK$3:$AK$201,$M43)&gt;0,
     COUNTIFS($AL$3:$AL$201,$M43)&gt;0,
     COUNTIFS($AM$3:$AM$201,$M43)&gt;0,
     COUNTIFS($AN$3:$AN$201,$M43)&gt;0,
     COUNTIFS($AO$3:$AO$201,$M43)&gt;0,
     COUNTIFS($AP$3:$AP$201,$M43)&gt;0,
     COUNTIFS($AQ$3:$AQ$201,$M43)&gt;0,
     COUNTIFS($AR$3:$AR$201,$M43)&gt;0,
     COUNTIFS($AS$3:$AS$201,$M43)&gt;0,
     COUNTIFS($AT$3:$AT$201,$M43)&gt;0,
     COUNTIFS($AU$3:$AU$201,$M43)&gt;0,
     COUNTIFS($AV$3:$AV$201,$M43)&gt;0,
     COUNTIFS($AW$3:$AW$201,$M43)&gt;0
   )),
  ),
  2
 ),
"")</f>
        <v/>
      </c>
      <c r="Q43" s="3" t="str" cm="1">
        <f t="array" aca="1" ref="Q43" ca="1">IFERROR(
 INDEX(
  _xlfn._xlws.FILTER($T$2:$AW$2,
   TRANSPOSE(
    CHOOSE({1;2;3;4;5;6;7;8;9;10;11;12;13;14;15;16;17;18;19;20;21;22;23;24;25;26;27;28;29;30},
     COUNTIFS($T$3:$T$201,$M43)&gt;0,
     COUNTIFS($U$3:$U$201,$M43)&gt;0,
     COUNTIFS($V$3:$V$201,$M43)&gt;0,
     COUNTIFS($W$3:$W$201,$M43)&gt;0,
     COUNTIFS($X$3:$X$201,$M43)&gt;0,
     COUNTIFS($Y$3:$Y$201,$M43)&gt;0,
     COUNTIFS($Z$3:$Z$201,$M43)&gt;0,
     COUNTIFS($AA$3:$AA$201,$M43)&gt;0,
     COUNTIFS($AB$3:$AB$201,$M43)&gt;0,
     COUNTIFS($AC$3:$AC$201,$M43)&gt;0,
     COUNTIFS($AD$3:$AD$201,$M43)&gt;0,
     COUNTIFS($AE$3:$AE$201,$M43)&gt;0,
     COUNTIFS($AF$3:$AF$201,$M43)&gt;0,
     COUNTIFS($AG$3:$AG$201,$M43)&gt;0,
     COUNTIFS($AH$3:$AH$201,$M43)&gt;0,
     COUNTIFS($AI$3:$AI$201,$M43)&gt;0,
     COUNTIFS($AJ$3:$AJ$201,$M43)&gt;0,
     COUNTIFS($AK$3:$AK$201,$M43)&gt;0,
     COUNTIFS($AL$3:$AL$201,$M43)&gt;0,
     COUNTIFS($AM$3:$AM$201,$M43)&gt;0,
     COUNTIFS($AN$3:$AN$201,$M43)&gt;0,
     COUNTIFS($AO$3:$AO$201,$M43)&gt;0,
     COUNTIFS($AP$3:$AP$201,$M43)&gt;0,
     COUNTIFS($AQ$3:$AQ$201,$M43)&gt;0,
     COUNTIFS($AR$3:$AR$201,$M43)&gt;0,
     COUNTIFS($AS$3:$AS$201,$M43)&gt;0,
     COUNTIFS($AT$3:$AT$201,$M43)&gt;0,
     COUNTIFS($AU$3:$AU$201,$M43)&gt;0,
     COUNTIFS($AV$3:$AV$201,$M43)&gt;0,
     COUNTIFS($AW$3:$AW$201,$M43)&gt;0
   )),
  ),
  3
 ),
"")</f>
        <v/>
      </c>
      <c r="R43" s="3" t="str" cm="1">
        <f t="array" aca="1" ref="R43" ca="1">IFERROR(
 INDEX(
  _xlfn._xlws.FILTER($T$2:$AW$2,
   TRANSPOSE(
    CHOOSE({1;2;3;4;5;6;7;8;9;10;11;12;13;14;15;16;17;18;19;20;21;22;23;24;25;26;27;28;29;30},
     COUNTIFS($T$3:$T$201,$M43)&gt;0,
     COUNTIFS($U$3:$U$201,$M43)&gt;0,
     COUNTIFS($V$3:$V$201,$M43)&gt;0,
     COUNTIFS($W$3:$W$201,$M43)&gt;0,
     COUNTIFS($X$3:$X$201,$M43)&gt;0,
     COUNTIFS($Y$3:$Y$201,$M43)&gt;0,
     COUNTIFS($Z$3:$Z$201,$M43)&gt;0,
     COUNTIFS($AA$3:$AA$201,$M43)&gt;0,
     COUNTIFS($AB$3:$AB$201,$M43)&gt;0,
     COUNTIFS($AC$3:$AC$201,$M43)&gt;0,
     COUNTIFS($AD$3:$AD$201,$M43)&gt;0,
     COUNTIFS($AE$3:$AE$201,$M43)&gt;0,
     COUNTIFS($AF$3:$AF$201,$M43)&gt;0,
     COUNTIFS($AG$3:$AG$201,$M43)&gt;0,
     COUNTIFS($AH$3:$AH$201,$M43)&gt;0,
     COUNTIFS($AI$3:$AI$201,$M43)&gt;0,
     COUNTIFS($AJ$3:$AJ$201,$M43)&gt;0,
     COUNTIFS($AK$3:$AK$201,$M43)&gt;0,
     COUNTIFS($AL$3:$AL$201,$M43)&gt;0,
     COUNTIFS($AM$3:$AM$201,$M43)&gt;0,
     COUNTIFS($AN$3:$AN$201,$M43)&gt;0,
     COUNTIFS($AO$3:$AO$201,$M43)&gt;0,
     COUNTIFS($AP$3:$AP$201,$M43)&gt;0,
     COUNTIFS($AQ$3:$AQ$201,$M43)&gt;0,
     COUNTIFS($AR$3:$AR$201,$M43)&gt;0,
     COUNTIFS($AS$3:$AS$201,$M43)&gt;0,
     COUNTIFS($AT$3:$AT$201,$M43)&gt;0,
     COUNTIFS($AU$3:$AU$201,$M43)&gt;0,
     COUNTIFS($AV$3:$AV$201,$M43)&gt;0,
     COUNTIFS($AW$3:$AW$201,$M43)&gt;0
   )),
  ),
  4
 ),
"")</f>
        <v/>
      </c>
      <c r="BB43" t="str">
        <f ca="1"/>
        <v>Solidariedade dos Heróis</v>
      </c>
      <c r="BR43" t="str">
        <f ca="1"/>
        <v>Noite da Vingança dos Doces</v>
      </c>
      <c r="BS43" t="str">
        <f ca="1"/>
        <v>Panorama de Grixis</v>
      </c>
      <c r="CA43" t="str">
        <f ca="1"/>
        <v>Espiral de Crescimento</v>
      </c>
      <c r="CB43" t="str">
        <f ca="1"/>
        <v>Molda-mundo</v>
      </c>
      <c r="CC43" t="str">
        <f ca="1"/>
        <v>Swamp</v>
      </c>
      <c r="CD43" t="e">
        <f ca="1"/>
        <v>#REF!</v>
      </c>
      <c r="CF43" t="str">
        <f ca="1"/>
        <v>Danitha Capashen, Paragon</v>
      </c>
      <c r="CG43" t="str">
        <f ca="1"/>
        <v>Masterful Replication</v>
      </c>
      <c r="CI43" t="str">
        <f ca="1"/>
        <v>Comando do Patriarca</v>
      </c>
    </row>
    <row r="44" spans="1:87" x14ac:dyDescent="0.25">
      <c r="A44" t="str">
        <f ca="1"/>
        <v>Champions from Beyond</v>
      </c>
      <c r="B44" s="3" t="str" cm="1">
        <f t="array" aca="1" ref="B44" ca="1">_xlfn.ANCHORARRAY(RESUMO!C43)</f>
        <v>Baylen</v>
      </c>
      <c r="C44" s="3" t="str">
        <f t="shared" ca="1" si="0"/>
        <v/>
      </c>
      <c r="E44" t="str">
        <f ca="1"/>
        <v>Consecrated Sphinx</v>
      </c>
      <c r="F44" s="3">
        <f t="shared" ca="1" si="1"/>
        <v>1</v>
      </c>
      <c r="G44" s="3" t="str">
        <f t="shared" ca="1" si="2"/>
        <v>Jhoira</v>
      </c>
      <c r="M44" t="str">
        <f ca="1"/>
        <v>Consecrated Sphinx</v>
      </c>
      <c r="N44" s="3">
        <f t="shared" ca="1" si="3"/>
        <v>1</v>
      </c>
      <c r="O44" s="3" t="str">
        <f ca="1">IFERROR(
 INDEX($T$2:$AW$2,
  MATCH(TRUE,
   CHOOSE({1;2;3;4;5;6;7;8;9;10;11;12;13;14;15;16;17;18;19;20;21;22;23;24;25;26;27;28;29;30;31;32},
    COUNTIFS($T$3:$T$201,$M44)&gt;0,
    COUNTIFS($U$3:$U$201,$M44)&gt;0,
    COUNTIFS($V$3:$V$201,$M44)&gt;0,
    COUNTIFS($W$3:$W$201,$M44)&gt;0,
    COUNTIFS($X$3:$X$201,$M44)&gt;0,
    COUNTIFS($Y$3:$Y$201,$M44)&gt;0,
    COUNTIFS($Z$3:$Z$201,$M44)&gt;0,
    COUNTIFS($AA$3:$AA$201,$M44)&gt;0,
    COUNTIFS($AB$3:$AB$201,$M44)&gt;0,
    COUNTIFS($AC$3:$AC$201,$M44)&gt;0,
    COUNTIFS($AD$3:$AD$201,$M44)&gt;0,
    COUNTIFS($AE$3:$AE$201,$M44)&gt;0,
    COUNTIFS($AF$3:$AF$201,$M44)&gt;0,
    COUNTIFS($AG$3:$AG$201,$M44)&gt;0,
    COUNTIFS($AH$3:$AH$201,$M44)&gt;0,
    COUNTIFS($AI$3:$AI$201,$M44)&gt;0,
    COUNTIFS($AJ$3:$AJ$201,$M44)&gt;0,
    COUNTIFS($AK$3:$AK$201,$M44)&gt;0,
    COUNTIFS($AL$3:$AL$201,$M44)&gt;0,
    COUNTIFS($AM$3:$AM$201,$M44)&gt;0,
    COUNTIFS($AN$3:$AN$201,$M44)&gt;0,
    COUNTIFS($AO$3:$AO$201,$M44)&gt;0,
    COUNTIFS($AP$3:$AP$201,$M44)&gt;0,
    COUNTIFS($AQ$3:$AQ$201,$M44)&gt;0,
    COUNTIFS($AR$3:$AR$201,$M44)&gt;0,
    COUNTIFS($AS$3:$AS$201,$M44)&gt;0,
    COUNTIFS($AT$3:$AT$201,$M44)&gt;0,
    COUNTIFS($AU$3:$AU$201,$M44)&gt;0,
    COUNTIFS($AV$3:$AV$201,$M44)&gt;0,
    COUNTIFS($AW$3:$AW$201,$M44)&gt;0
   ),
  0)
 ),
"")</f>
        <v>Jhoira</v>
      </c>
      <c r="P44" s="3" t="str" cm="1">
        <f t="array" aca="1" ref="P44" ca="1">IFERROR(
 INDEX(
  _xlfn._xlws.FILTER($T$2:$AW$2,
   TRANSPOSE(
    CHOOSE({1;2;3;4;5;6;7;8;9;10;11;12;13;14;15;16;17;18;19;20;21;22;23;24;25;26;27;28;29;30},
     COUNTIFS($T$3:$T$201,$M44)&gt;0,
     COUNTIFS($U$3:$U$201,$M44)&gt;0,
     COUNTIFS($V$3:$V$201,$M44)&gt;0,
     COUNTIFS($W$3:$W$201,$M44)&gt;0,
     COUNTIFS($X$3:$X$201,$M44)&gt;0,
     COUNTIFS($Y$3:$Y$201,$M44)&gt;0,
     COUNTIFS($Z$3:$Z$201,$M44)&gt;0,
     COUNTIFS($AA$3:$AA$201,$M44)&gt;0,
     COUNTIFS($AB$3:$AB$201,$M44)&gt;0,
     COUNTIFS($AC$3:$AC$201,$M44)&gt;0,
     COUNTIFS($AD$3:$AD$201,$M44)&gt;0,
     COUNTIFS($AE$3:$AE$201,$M44)&gt;0,
     COUNTIFS($AF$3:$AF$201,$M44)&gt;0,
     COUNTIFS($AG$3:$AG$201,$M44)&gt;0,
     COUNTIFS($AH$3:$AH$201,$M44)&gt;0,
     COUNTIFS($AI$3:$AI$201,$M44)&gt;0,
     COUNTIFS($AJ$3:$AJ$201,$M44)&gt;0,
     COUNTIFS($AK$3:$AK$201,$M44)&gt;0,
     COUNTIFS($AL$3:$AL$201,$M44)&gt;0,
     COUNTIFS($AM$3:$AM$201,$M44)&gt;0,
     COUNTIFS($AN$3:$AN$201,$M44)&gt;0,
     COUNTIFS($AO$3:$AO$201,$M44)&gt;0,
     COUNTIFS($AP$3:$AP$201,$M44)&gt;0,
     COUNTIFS($AQ$3:$AQ$201,$M44)&gt;0,
     COUNTIFS($AR$3:$AR$201,$M44)&gt;0,
     COUNTIFS($AS$3:$AS$201,$M44)&gt;0,
     COUNTIFS($AT$3:$AT$201,$M44)&gt;0,
     COUNTIFS($AU$3:$AU$201,$M44)&gt;0,
     COUNTIFS($AV$3:$AV$201,$M44)&gt;0,
     COUNTIFS($AW$3:$AW$201,$M44)&gt;0
   )),
  ),
  2
 ),
"")</f>
        <v/>
      </c>
      <c r="Q44" s="3" t="str" cm="1">
        <f t="array" aca="1" ref="Q44" ca="1">IFERROR(
 INDEX(
  _xlfn._xlws.FILTER($T$2:$AW$2,
   TRANSPOSE(
    CHOOSE({1;2;3;4;5;6;7;8;9;10;11;12;13;14;15;16;17;18;19;20;21;22;23;24;25;26;27;28;29;30},
     COUNTIFS($T$3:$T$201,$M44)&gt;0,
     COUNTIFS($U$3:$U$201,$M44)&gt;0,
     COUNTIFS($V$3:$V$201,$M44)&gt;0,
     COUNTIFS($W$3:$W$201,$M44)&gt;0,
     COUNTIFS($X$3:$X$201,$M44)&gt;0,
     COUNTIFS($Y$3:$Y$201,$M44)&gt;0,
     COUNTIFS($Z$3:$Z$201,$M44)&gt;0,
     COUNTIFS($AA$3:$AA$201,$M44)&gt;0,
     COUNTIFS($AB$3:$AB$201,$M44)&gt;0,
     COUNTIFS($AC$3:$AC$201,$M44)&gt;0,
     COUNTIFS($AD$3:$AD$201,$M44)&gt;0,
     COUNTIFS($AE$3:$AE$201,$M44)&gt;0,
     COUNTIFS($AF$3:$AF$201,$M44)&gt;0,
     COUNTIFS($AG$3:$AG$201,$M44)&gt;0,
     COUNTIFS($AH$3:$AH$201,$M44)&gt;0,
     COUNTIFS($AI$3:$AI$201,$M44)&gt;0,
     COUNTIFS($AJ$3:$AJ$201,$M44)&gt;0,
     COUNTIFS($AK$3:$AK$201,$M44)&gt;0,
     COUNTIFS($AL$3:$AL$201,$M44)&gt;0,
     COUNTIFS($AM$3:$AM$201,$M44)&gt;0,
     COUNTIFS($AN$3:$AN$201,$M44)&gt;0,
     COUNTIFS($AO$3:$AO$201,$M44)&gt;0,
     COUNTIFS($AP$3:$AP$201,$M44)&gt;0,
     COUNTIFS($AQ$3:$AQ$201,$M44)&gt;0,
     COUNTIFS($AR$3:$AR$201,$M44)&gt;0,
     COUNTIFS($AS$3:$AS$201,$M44)&gt;0,
     COUNTIFS($AT$3:$AT$201,$M44)&gt;0,
     COUNTIFS($AU$3:$AU$201,$M44)&gt;0,
     COUNTIFS($AV$3:$AV$201,$M44)&gt;0,
     COUNTIFS($AW$3:$AW$201,$M44)&gt;0
   )),
  ),
  3
 ),
"")</f>
        <v/>
      </c>
      <c r="R44" s="3" t="str" cm="1">
        <f t="array" aca="1" ref="R44" ca="1">IFERROR(
 INDEX(
  _xlfn._xlws.FILTER($T$2:$AW$2,
   TRANSPOSE(
    CHOOSE({1;2;3;4;5;6;7;8;9;10;11;12;13;14;15;16;17;18;19;20;21;22;23;24;25;26;27;28;29;30},
     COUNTIFS($T$3:$T$201,$M44)&gt;0,
     COUNTIFS($U$3:$U$201,$M44)&gt;0,
     COUNTIFS($V$3:$V$201,$M44)&gt;0,
     COUNTIFS($W$3:$W$201,$M44)&gt;0,
     COUNTIFS($X$3:$X$201,$M44)&gt;0,
     COUNTIFS($Y$3:$Y$201,$M44)&gt;0,
     COUNTIFS($Z$3:$Z$201,$M44)&gt;0,
     COUNTIFS($AA$3:$AA$201,$M44)&gt;0,
     COUNTIFS($AB$3:$AB$201,$M44)&gt;0,
     COUNTIFS($AC$3:$AC$201,$M44)&gt;0,
     COUNTIFS($AD$3:$AD$201,$M44)&gt;0,
     COUNTIFS($AE$3:$AE$201,$M44)&gt;0,
     COUNTIFS($AF$3:$AF$201,$M44)&gt;0,
     COUNTIFS($AG$3:$AG$201,$M44)&gt;0,
     COUNTIFS($AH$3:$AH$201,$M44)&gt;0,
     COUNTIFS($AI$3:$AI$201,$M44)&gt;0,
     COUNTIFS($AJ$3:$AJ$201,$M44)&gt;0,
     COUNTIFS($AK$3:$AK$201,$M44)&gt;0,
     COUNTIFS($AL$3:$AL$201,$M44)&gt;0,
     COUNTIFS($AM$3:$AM$201,$M44)&gt;0,
     COUNTIFS($AN$3:$AN$201,$M44)&gt;0,
     COUNTIFS($AO$3:$AO$201,$M44)&gt;0,
     COUNTIFS($AP$3:$AP$201,$M44)&gt;0,
     COUNTIFS($AQ$3:$AQ$201,$M44)&gt;0,
     COUNTIFS($AR$3:$AR$201,$M44)&gt;0,
     COUNTIFS($AS$3:$AS$201,$M44)&gt;0,
     COUNTIFS($AT$3:$AT$201,$M44)&gt;0,
     COUNTIFS($AU$3:$AU$201,$M44)&gt;0,
     COUNTIFS($AV$3:$AV$201,$M44)&gt;0,
     COUNTIFS($AW$3:$AW$201,$M44)&gt;0
   )),
  ),
  4
 ),
"")</f>
        <v/>
      </c>
      <c r="BB44" t="str">
        <f ca="1"/>
        <v>Surto da Salvação</v>
      </c>
      <c r="BR44" t="str">
        <f ca="1"/>
        <v>Omen of the Sea</v>
      </c>
      <c r="BS44" t="str">
        <f ca="1"/>
        <v>Plains</v>
      </c>
      <c r="CA44" t="str">
        <f ca="1"/>
        <v>Estorrar</v>
      </c>
      <c r="CB44" t="str">
        <f ca="1"/>
        <v>Montanha</v>
      </c>
      <c r="CC44" t="str">
        <f ca="1"/>
        <v>Terraço do Condado</v>
      </c>
      <c r="CD44" t="e" vm="2">
        <f ca="1"/>
        <v>#VALUE!</v>
      </c>
      <c r="CF44" t="str">
        <f ca="1"/>
        <v>Deathreap Ritual</v>
      </c>
      <c r="CG44" t="str">
        <f ca="1"/>
        <v>Mestre das Feras Abzan</v>
      </c>
      <c r="CI44" t="str">
        <f ca="1"/>
        <v>Consecrated Sphinx</v>
      </c>
    </row>
    <row r="45" spans="1:87" x14ac:dyDescent="0.25">
      <c r="A45" t="str">
        <f ca="1"/>
        <v>Chandra's Ignition</v>
      </c>
      <c r="B45" s="3" t="str" cm="1">
        <f t="array" aca="1" ref="B45" ca="1">_xlfn.ANCHORARRAY(RESUMO!C44)</f>
        <v>Kresh</v>
      </c>
      <c r="C45" s="3" t="str">
        <f t="shared" ca="1" si="0"/>
        <v/>
      </c>
      <c r="E45" t="str">
        <f ca="1"/>
        <v>Contrabandear Gado</v>
      </c>
      <c r="F45" s="3">
        <f t="shared" ca="1" si="1"/>
        <v>1</v>
      </c>
      <c r="G45" s="3" t="str">
        <f t="shared" ca="1" si="2"/>
        <v>Modular</v>
      </c>
      <c r="M45" t="str">
        <f ca="1"/>
        <v>Contrabandear Gado</v>
      </c>
      <c r="N45" s="3">
        <f t="shared" ca="1" si="3"/>
        <v>1</v>
      </c>
      <c r="O45" s="3" t="str">
        <f ca="1">IFERROR(
 INDEX($T$2:$AW$2,
  MATCH(TRUE,
   CHOOSE({1;2;3;4;5;6;7;8;9;10;11;12;13;14;15;16;17;18;19;20;21;22;23;24;25;26;27;28;29;30;31;32},
    COUNTIFS($T$3:$T$201,$M45)&gt;0,
    COUNTIFS($U$3:$U$201,$M45)&gt;0,
    COUNTIFS($V$3:$V$201,$M45)&gt;0,
    COUNTIFS($W$3:$W$201,$M45)&gt;0,
    COUNTIFS($X$3:$X$201,$M45)&gt;0,
    COUNTIFS($Y$3:$Y$201,$M45)&gt;0,
    COUNTIFS($Z$3:$Z$201,$M45)&gt;0,
    COUNTIFS($AA$3:$AA$201,$M45)&gt;0,
    COUNTIFS($AB$3:$AB$201,$M45)&gt;0,
    COUNTIFS($AC$3:$AC$201,$M45)&gt;0,
    COUNTIFS($AD$3:$AD$201,$M45)&gt;0,
    COUNTIFS($AE$3:$AE$201,$M45)&gt;0,
    COUNTIFS($AF$3:$AF$201,$M45)&gt;0,
    COUNTIFS($AG$3:$AG$201,$M45)&gt;0,
    COUNTIFS($AH$3:$AH$201,$M45)&gt;0,
    COUNTIFS($AI$3:$AI$201,$M45)&gt;0,
    COUNTIFS($AJ$3:$AJ$201,$M45)&gt;0,
    COUNTIFS($AK$3:$AK$201,$M45)&gt;0,
    COUNTIFS($AL$3:$AL$201,$M45)&gt;0,
    COUNTIFS($AM$3:$AM$201,$M45)&gt;0,
    COUNTIFS($AN$3:$AN$201,$M45)&gt;0,
    COUNTIFS($AO$3:$AO$201,$M45)&gt;0,
    COUNTIFS($AP$3:$AP$201,$M45)&gt;0,
    COUNTIFS($AQ$3:$AQ$201,$M45)&gt;0,
    COUNTIFS($AR$3:$AR$201,$M45)&gt;0,
    COUNTIFS($AS$3:$AS$201,$M45)&gt;0,
    COUNTIFS($AT$3:$AT$201,$M45)&gt;0,
    COUNTIFS($AU$3:$AU$201,$M45)&gt;0,
    COUNTIFS($AV$3:$AV$201,$M45)&gt;0,
    COUNTIFS($AW$3:$AW$201,$M45)&gt;0
   ),
  0)
 ),
"")</f>
        <v>Modular</v>
      </c>
      <c r="P45" s="3" t="str" cm="1">
        <f t="array" aca="1" ref="P45" ca="1">IFERROR(
 INDEX(
  _xlfn._xlws.FILTER($T$2:$AW$2,
   TRANSPOSE(
    CHOOSE({1;2;3;4;5;6;7;8;9;10;11;12;13;14;15;16;17;18;19;20;21;22;23;24;25;26;27;28;29;30},
     COUNTIFS($T$3:$T$201,$M45)&gt;0,
     COUNTIFS($U$3:$U$201,$M45)&gt;0,
     COUNTIFS($V$3:$V$201,$M45)&gt;0,
     COUNTIFS($W$3:$W$201,$M45)&gt;0,
     COUNTIFS($X$3:$X$201,$M45)&gt;0,
     COUNTIFS($Y$3:$Y$201,$M45)&gt;0,
     COUNTIFS($Z$3:$Z$201,$M45)&gt;0,
     COUNTIFS($AA$3:$AA$201,$M45)&gt;0,
     COUNTIFS($AB$3:$AB$201,$M45)&gt;0,
     COUNTIFS($AC$3:$AC$201,$M45)&gt;0,
     COUNTIFS($AD$3:$AD$201,$M45)&gt;0,
     COUNTIFS($AE$3:$AE$201,$M45)&gt;0,
     COUNTIFS($AF$3:$AF$201,$M45)&gt;0,
     COUNTIFS($AG$3:$AG$201,$M45)&gt;0,
     COUNTIFS($AH$3:$AH$201,$M45)&gt;0,
     COUNTIFS($AI$3:$AI$201,$M45)&gt;0,
     COUNTIFS($AJ$3:$AJ$201,$M45)&gt;0,
     COUNTIFS($AK$3:$AK$201,$M45)&gt;0,
     COUNTIFS($AL$3:$AL$201,$M45)&gt;0,
     COUNTIFS($AM$3:$AM$201,$M45)&gt;0,
     COUNTIFS($AN$3:$AN$201,$M45)&gt;0,
     COUNTIFS($AO$3:$AO$201,$M45)&gt;0,
     COUNTIFS($AP$3:$AP$201,$M45)&gt;0,
     COUNTIFS($AQ$3:$AQ$201,$M45)&gt;0,
     COUNTIFS($AR$3:$AR$201,$M45)&gt;0,
     COUNTIFS($AS$3:$AS$201,$M45)&gt;0,
     COUNTIFS($AT$3:$AT$201,$M45)&gt;0,
     COUNTIFS($AU$3:$AU$201,$M45)&gt;0,
     COUNTIFS($AV$3:$AV$201,$M45)&gt;0,
     COUNTIFS($AW$3:$AW$201,$M45)&gt;0
   )),
  ),
  2
 ),
"")</f>
        <v/>
      </c>
      <c r="Q45" s="3" t="str" cm="1">
        <f t="array" aca="1" ref="Q45" ca="1">IFERROR(
 INDEX(
  _xlfn._xlws.FILTER($T$2:$AW$2,
   TRANSPOSE(
    CHOOSE({1;2;3;4;5;6;7;8;9;10;11;12;13;14;15;16;17;18;19;20;21;22;23;24;25;26;27;28;29;30},
     COUNTIFS($T$3:$T$201,$M45)&gt;0,
     COUNTIFS($U$3:$U$201,$M45)&gt;0,
     COUNTIFS($V$3:$V$201,$M45)&gt;0,
     COUNTIFS($W$3:$W$201,$M45)&gt;0,
     COUNTIFS($X$3:$X$201,$M45)&gt;0,
     COUNTIFS($Y$3:$Y$201,$M45)&gt;0,
     COUNTIFS($Z$3:$Z$201,$M45)&gt;0,
     COUNTIFS($AA$3:$AA$201,$M45)&gt;0,
     COUNTIFS($AB$3:$AB$201,$M45)&gt;0,
     COUNTIFS($AC$3:$AC$201,$M45)&gt;0,
     COUNTIFS($AD$3:$AD$201,$M45)&gt;0,
     COUNTIFS($AE$3:$AE$201,$M45)&gt;0,
     COUNTIFS($AF$3:$AF$201,$M45)&gt;0,
     COUNTIFS($AG$3:$AG$201,$M45)&gt;0,
     COUNTIFS($AH$3:$AH$201,$M45)&gt;0,
     COUNTIFS($AI$3:$AI$201,$M45)&gt;0,
     COUNTIFS($AJ$3:$AJ$201,$M45)&gt;0,
     COUNTIFS($AK$3:$AK$201,$M45)&gt;0,
     COUNTIFS($AL$3:$AL$201,$M45)&gt;0,
     COUNTIFS($AM$3:$AM$201,$M45)&gt;0,
     COUNTIFS($AN$3:$AN$201,$M45)&gt;0,
     COUNTIFS($AO$3:$AO$201,$M45)&gt;0,
     COUNTIFS($AP$3:$AP$201,$M45)&gt;0,
     COUNTIFS($AQ$3:$AQ$201,$M45)&gt;0,
     COUNTIFS($AR$3:$AR$201,$M45)&gt;0,
     COUNTIFS($AS$3:$AS$201,$M45)&gt;0,
     COUNTIFS($AT$3:$AT$201,$M45)&gt;0,
     COUNTIFS($AU$3:$AU$201,$M45)&gt;0,
     COUNTIFS($AV$3:$AV$201,$M45)&gt;0,
     COUNTIFS($AW$3:$AW$201,$M45)&gt;0
   )),
  ),
  3
 ),
"")</f>
        <v/>
      </c>
      <c r="R45" s="3" t="str" cm="1">
        <f t="array" aca="1" ref="R45" ca="1">IFERROR(
 INDEX(
  _xlfn._xlws.FILTER($T$2:$AW$2,
   TRANSPOSE(
    CHOOSE({1;2;3;4;5;6;7;8;9;10;11;12;13;14;15;16;17;18;19;20;21;22;23;24;25;26;27;28;29;30},
     COUNTIFS($T$3:$T$201,$M45)&gt;0,
     COUNTIFS($U$3:$U$201,$M45)&gt;0,
     COUNTIFS($V$3:$V$201,$M45)&gt;0,
     COUNTIFS($W$3:$W$201,$M45)&gt;0,
     COUNTIFS($X$3:$X$201,$M45)&gt;0,
     COUNTIFS($Y$3:$Y$201,$M45)&gt;0,
     COUNTIFS($Z$3:$Z$201,$M45)&gt;0,
     COUNTIFS($AA$3:$AA$201,$M45)&gt;0,
     COUNTIFS($AB$3:$AB$201,$M45)&gt;0,
     COUNTIFS($AC$3:$AC$201,$M45)&gt;0,
     COUNTIFS($AD$3:$AD$201,$M45)&gt;0,
     COUNTIFS($AE$3:$AE$201,$M45)&gt;0,
     COUNTIFS($AF$3:$AF$201,$M45)&gt;0,
     COUNTIFS($AG$3:$AG$201,$M45)&gt;0,
     COUNTIFS($AH$3:$AH$201,$M45)&gt;0,
     COUNTIFS($AI$3:$AI$201,$M45)&gt;0,
     COUNTIFS($AJ$3:$AJ$201,$M45)&gt;0,
     COUNTIFS($AK$3:$AK$201,$M45)&gt;0,
     COUNTIFS($AL$3:$AL$201,$M45)&gt;0,
     COUNTIFS($AM$3:$AM$201,$M45)&gt;0,
     COUNTIFS($AN$3:$AN$201,$M45)&gt;0,
     COUNTIFS($AO$3:$AO$201,$M45)&gt;0,
     COUNTIFS($AP$3:$AP$201,$M45)&gt;0,
     COUNTIFS($AQ$3:$AQ$201,$M45)&gt;0,
     COUNTIFS($AR$3:$AR$201,$M45)&gt;0,
     COUNTIFS($AS$3:$AS$201,$M45)&gt;0,
     COUNTIFS($AT$3:$AT$201,$M45)&gt;0,
     COUNTIFS($AU$3:$AU$201,$M45)&gt;0,
     COUNTIFS($AV$3:$AV$201,$M45)&gt;0,
     COUNTIFS($AW$3:$AW$201,$M45)&gt;0
   )),
  ),
  4
 ),
"")</f>
        <v/>
      </c>
      <c r="BB45" t="str">
        <f ca="1"/>
        <v>Thrilling Discovery</v>
      </c>
      <c r="BR45" t="str">
        <f ca="1"/>
        <v>Ominous Seas</v>
      </c>
      <c r="BS45" t="str">
        <f ca="1"/>
        <v>Ranger of Eos</v>
      </c>
      <c r="CA45" t="str">
        <f ca="1"/>
        <v>Eternal Witness</v>
      </c>
      <c r="CB45" t="str">
        <f ca="1"/>
        <v>Nicol Bolas, Dragon-God</v>
      </c>
      <c r="CC45" t="str">
        <f ca="1"/>
        <v>Terras em Desenvolvimento</v>
      </c>
      <c r="CF45" t="str">
        <f ca="1"/>
        <v>Deeprooot Wayfinder</v>
      </c>
      <c r="CG45" t="str">
        <f ca="1"/>
        <v>Mind Stone</v>
      </c>
      <c r="CI45" t="str">
        <f ca="1"/>
        <v>Contrabandear Gado</v>
      </c>
    </row>
    <row r="46" spans="1:87" x14ac:dyDescent="0.25">
      <c r="A46" t="str">
        <f ca="1"/>
        <v>Chimil, o Sol Interior</v>
      </c>
      <c r="B46" s="3" t="str" cm="1">
        <f t="array" aca="1" ref="B46" ca="1">_xlfn.ANCHORARRAY(RESUMO!C45)</f>
        <v>Muzzio</v>
      </c>
      <c r="C46" s="3" t="str">
        <f t="shared" ca="1" si="0"/>
        <v/>
      </c>
      <c r="E46" t="str">
        <f ca="1"/>
        <v>Coronation of Chaos</v>
      </c>
      <c r="F46" s="3">
        <f t="shared" ca="1" si="1"/>
        <v>1</v>
      </c>
      <c r="G46" s="3" t="str">
        <f t="shared" ca="1" si="2"/>
        <v>Rani</v>
      </c>
      <c r="M46" t="str">
        <f ca="1"/>
        <v>Coronation of Chaos</v>
      </c>
      <c r="N46" s="3">
        <f t="shared" ca="1" si="3"/>
        <v>1</v>
      </c>
      <c r="O46" s="3" t="str">
        <f ca="1">IFERROR(
 INDEX($T$2:$AW$2,
  MATCH(TRUE,
   CHOOSE({1;2;3;4;5;6;7;8;9;10;11;12;13;14;15;16;17;18;19;20;21;22;23;24;25;26;27;28;29;30;31;32},
    COUNTIFS($T$3:$T$201,$M46)&gt;0,
    COUNTIFS($U$3:$U$201,$M46)&gt;0,
    COUNTIFS($V$3:$V$201,$M46)&gt;0,
    COUNTIFS($W$3:$W$201,$M46)&gt;0,
    COUNTIFS($X$3:$X$201,$M46)&gt;0,
    COUNTIFS($Y$3:$Y$201,$M46)&gt;0,
    COUNTIFS($Z$3:$Z$201,$M46)&gt;0,
    COUNTIFS($AA$3:$AA$201,$M46)&gt;0,
    COUNTIFS($AB$3:$AB$201,$M46)&gt;0,
    COUNTIFS($AC$3:$AC$201,$M46)&gt;0,
    COUNTIFS($AD$3:$AD$201,$M46)&gt;0,
    COUNTIFS($AE$3:$AE$201,$M46)&gt;0,
    COUNTIFS($AF$3:$AF$201,$M46)&gt;0,
    COUNTIFS($AG$3:$AG$201,$M46)&gt;0,
    COUNTIFS($AH$3:$AH$201,$M46)&gt;0,
    COUNTIFS($AI$3:$AI$201,$M46)&gt;0,
    COUNTIFS($AJ$3:$AJ$201,$M46)&gt;0,
    COUNTIFS($AK$3:$AK$201,$M46)&gt;0,
    COUNTIFS($AL$3:$AL$201,$M46)&gt;0,
    COUNTIFS($AM$3:$AM$201,$M46)&gt;0,
    COUNTIFS($AN$3:$AN$201,$M46)&gt;0,
    COUNTIFS($AO$3:$AO$201,$M46)&gt;0,
    COUNTIFS($AP$3:$AP$201,$M46)&gt;0,
    COUNTIFS($AQ$3:$AQ$201,$M46)&gt;0,
    COUNTIFS($AR$3:$AR$201,$M46)&gt;0,
    COUNTIFS($AS$3:$AS$201,$M46)&gt;0,
    COUNTIFS($AT$3:$AT$201,$M46)&gt;0,
    COUNTIFS($AU$3:$AU$201,$M46)&gt;0,
    COUNTIFS($AV$3:$AV$201,$M46)&gt;0,
    COUNTIFS($AW$3:$AW$201,$M46)&gt;0
   ),
  0)
 ),
"")</f>
        <v>Rani</v>
      </c>
      <c r="P46" s="3" t="str" cm="1">
        <f t="array" aca="1" ref="P46" ca="1">IFERROR(
 INDEX(
  _xlfn._xlws.FILTER($T$2:$AW$2,
   TRANSPOSE(
    CHOOSE({1;2;3;4;5;6;7;8;9;10;11;12;13;14;15;16;17;18;19;20;21;22;23;24;25;26;27;28;29;30},
     COUNTIFS($T$3:$T$201,$M46)&gt;0,
     COUNTIFS($U$3:$U$201,$M46)&gt;0,
     COUNTIFS($V$3:$V$201,$M46)&gt;0,
     COUNTIFS($W$3:$W$201,$M46)&gt;0,
     COUNTIFS($X$3:$X$201,$M46)&gt;0,
     COUNTIFS($Y$3:$Y$201,$M46)&gt;0,
     COUNTIFS($Z$3:$Z$201,$M46)&gt;0,
     COUNTIFS($AA$3:$AA$201,$M46)&gt;0,
     COUNTIFS($AB$3:$AB$201,$M46)&gt;0,
     COUNTIFS($AC$3:$AC$201,$M46)&gt;0,
     COUNTIFS($AD$3:$AD$201,$M46)&gt;0,
     COUNTIFS($AE$3:$AE$201,$M46)&gt;0,
     COUNTIFS($AF$3:$AF$201,$M46)&gt;0,
     COUNTIFS($AG$3:$AG$201,$M46)&gt;0,
     COUNTIFS($AH$3:$AH$201,$M46)&gt;0,
     COUNTIFS($AI$3:$AI$201,$M46)&gt;0,
     COUNTIFS($AJ$3:$AJ$201,$M46)&gt;0,
     COUNTIFS($AK$3:$AK$201,$M46)&gt;0,
     COUNTIFS($AL$3:$AL$201,$M46)&gt;0,
     COUNTIFS($AM$3:$AM$201,$M46)&gt;0,
     COUNTIFS($AN$3:$AN$201,$M46)&gt;0,
     COUNTIFS($AO$3:$AO$201,$M46)&gt;0,
     COUNTIFS($AP$3:$AP$201,$M46)&gt;0,
     COUNTIFS($AQ$3:$AQ$201,$M46)&gt;0,
     COUNTIFS($AR$3:$AR$201,$M46)&gt;0,
     COUNTIFS($AS$3:$AS$201,$M46)&gt;0,
     COUNTIFS($AT$3:$AT$201,$M46)&gt;0,
     COUNTIFS($AU$3:$AU$201,$M46)&gt;0,
     COUNTIFS($AV$3:$AV$201,$M46)&gt;0,
     COUNTIFS($AW$3:$AW$201,$M46)&gt;0
   )),
  ),
  2
 ),
"")</f>
        <v/>
      </c>
      <c r="Q46" s="3" t="str" cm="1">
        <f t="array" aca="1" ref="Q46" ca="1">IFERROR(
 INDEX(
  _xlfn._xlws.FILTER($T$2:$AW$2,
   TRANSPOSE(
    CHOOSE({1;2;3;4;5;6;7;8;9;10;11;12;13;14;15;16;17;18;19;20;21;22;23;24;25;26;27;28;29;30},
     COUNTIFS($T$3:$T$201,$M46)&gt;0,
     COUNTIFS($U$3:$U$201,$M46)&gt;0,
     COUNTIFS($V$3:$V$201,$M46)&gt;0,
     COUNTIFS($W$3:$W$201,$M46)&gt;0,
     COUNTIFS($X$3:$X$201,$M46)&gt;0,
     COUNTIFS($Y$3:$Y$201,$M46)&gt;0,
     COUNTIFS($Z$3:$Z$201,$M46)&gt;0,
     COUNTIFS($AA$3:$AA$201,$M46)&gt;0,
     COUNTIFS($AB$3:$AB$201,$M46)&gt;0,
     COUNTIFS($AC$3:$AC$201,$M46)&gt;0,
     COUNTIFS($AD$3:$AD$201,$M46)&gt;0,
     COUNTIFS($AE$3:$AE$201,$M46)&gt;0,
     COUNTIFS($AF$3:$AF$201,$M46)&gt;0,
     COUNTIFS($AG$3:$AG$201,$M46)&gt;0,
     COUNTIFS($AH$3:$AH$201,$M46)&gt;0,
     COUNTIFS($AI$3:$AI$201,$M46)&gt;0,
     COUNTIFS($AJ$3:$AJ$201,$M46)&gt;0,
     COUNTIFS($AK$3:$AK$201,$M46)&gt;0,
     COUNTIFS($AL$3:$AL$201,$M46)&gt;0,
     COUNTIFS($AM$3:$AM$201,$M46)&gt;0,
     COUNTIFS($AN$3:$AN$201,$M46)&gt;0,
     COUNTIFS($AO$3:$AO$201,$M46)&gt;0,
     COUNTIFS($AP$3:$AP$201,$M46)&gt;0,
     COUNTIFS($AQ$3:$AQ$201,$M46)&gt;0,
     COUNTIFS($AR$3:$AR$201,$M46)&gt;0,
     COUNTIFS($AS$3:$AS$201,$M46)&gt;0,
     COUNTIFS($AT$3:$AT$201,$M46)&gt;0,
     COUNTIFS($AU$3:$AU$201,$M46)&gt;0,
     COUNTIFS($AV$3:$AV$201,$M46)&gt;0,
     COUNTIFS($AW$3:$AW$201,$M46)&gt;0
   )),
  ),
  3
 ),
"")</f>
        <v/>
      </c>
      <c r="R46" s="3" t="str" cm="1">
        <f t="array" aca="1" ref="R46" ca="1">IFERROR(
 INDEX(
  _xlfn._xlws.FILTER($T$2:$AW$2,
   TRANSPOSE(
    CHOOSE({1;2;3;4;5;6;7;8;9;10;11;12;13;14;15;16;17;18;19;20;21;22;23;24;25;26;27;28;29;30},
     COUNTIFS($T$3:$T$201,$M46)&gt;0,
     COUNTIFS($U$3:$U$201,$M46)&gt;0,
     COUNTIFS($V$3:$V$201,$M46)&gt;0,
     COUNTIFS($W$3:$W$201,$M46)&gt;0,
     COUNTIFS($X$3:$X$201,$M46)&gt;0,
     COUNTIFS($Y$3:$Y$201,$M46)&gt;0,
     COUNTIFS($Z$3:$Z$201,$M46)&gt;0,
     COUNTIFS($AA$3:$AA$201,$M46)&gt;0,
     COUNTIFS($AB$3:$AB$201,$M46)&gt;0,
     COUNTIFS($AC$3:$AC$201,$M46)&gt;0,
     COUNTIFS($AD$3:$AD$201,$M46)&gt;0,
     COUNTIFS($AE$3:$AE$201,$M46)&gt;0,
     COUNTIFS($AF$3:$AF$201,$M46)&gt;0,
     COUNTIFS($AG$3:$AG$201,$M46)&gt;0,
     COUNTIFS($AH$3:$AH$201,$M46)&gt;0,
     COUNTIFS($AI$3:$AI$201,$M46)&gt;0,
     COUNTIFS($AJ$3:$AJ$201,$M46)&gt;0,
     COUNTIFS($AK$3:$AK$201,$M46)&gt;0,
     COUNTIFS($AL$3:$AL$201,$M46)&gt;0,
     COUNTIFS($AM$3:$AM$201,$M46)&gt;0,
     COUNTIFS($AN$3:$AN$201,$M46)&gt;0,
     COUNTIFS($AO$3:$AO$201,$M46)&gt;0,
     COUNTIFS($AP$3:$AP$201,$M46)&gt;0,
     COUNTIFS($AQ$3:$AQ$201,$M46)&gt;0,
     COUNTIFS($AR$3:$AR$201,$M46)&gt;0,
     COUNTIFS($AS$3:$AS$201,$M46)&gt;0,
     COUNTIFS($AT$3:$AT$201,$M46)&gt;0,
     COUNTIFS($AU$3:$AU$201,$M46)&gt;0,
     COUNTIFS($AV$3:$AV$201,$M46)&gt;0,
     COUNTIFS($AW$3:$AW$201,$M46)&gt;0
   )),
  ),
  4
 ),
"")</f>
        <v/>
      </c>
      <c r="BB46" t="str">
        <f ca="1"/>
        <v>Tought Vessel</v>
      </c>
      <c r="BR46" t="str">
        <f ca="1"/>
        <v>Optar</v>
      </c>
      <c r="BS46" t="str">
        <f ca="1"/>
        <v>Reaper's Talisman</v>
      </c>
      <c r="CA46" t="str">
        <f ca="1"/>
        <v>Eureka Moment</v>
      </c>
      <c r="CB46" t="str">
        <f ca="1"/>
        <v>O Ancião Renascido</v>
      </c>
      <c r="CC46" t="str">
        <f ca="1"/>
        <v>Thirst for Knowledge</v>
      </c>
      <c r="CF46" t="str">
        <f ca="1"/>
        <v>Despedaçamento Temporal de Jarn</v>
      </c>
      <c r="CG46" t="str">
        <f ca="1"/>
        <v>Montanha</v>
      </c>
      <c r="CI46" t="str">
        <f ca="1"/>
        <v>Coronation of Chaos</v>
      </c>
    </row>
    <row r="47" spans="1:87" x14ac:dyDescent="0.25">
      <c r="A47" t="str">
        <f ca="1"/>
        <v>Cid, Freeflier Pilot</v>
      </c>
      <c r="B47" s="3" t="str" cm="1">
        <f t="array" aca="1" ref="B47" ca="1">_xlfn.ANCHORARRAY(RESUMO!C46)</f>
        <v>Akiri</v>
      </c>
      <c r="C47" s="3" t="str">
        <f t="shared" ca="1" si="0"/>
        <v/>
      </c>
      <c r="E47" t="str">
        <f ca="1"/>
        <v>Counterflux</v>
      </c>
      <c r="F47" s="3">
        <f t="shared" ca="1" si="1"/>
        <v>1</v>
      </c>
      <c r="G47" s="3" t="str">
        <f t="shared" ca="1" si="2"/>
        <v>Rani</v>
      </c>
      <c r="M47" t="str">
        <f ca="1"/>
        <v>Counterflux</v>
      </c>
      <c r="N47" s="3">
        <f t="shared" ca="1" si="3"/>
        <v>1</v>
      </c>
      <c r="O47" s="3" t="str">
        <f ca="1">IFERROR(
 INDEX($T$2:$AW$2,
  MATCH(TRUE,
   CHOOSE({1;2;3;4;5;6;7;8;9;10;11;12;13;14;15;16;17;18;19;20;21;22;23;24;25;26;27;28;29;30;31;32},
    COUNTIFS($T$3:$T$201,$M47)&gt;0,
    COUNTIFS($U$3:$U$201,$M47)&gt;0,
    COUNTIFS($V$3:$V$201,$M47)&gt;0,
    COUNTIFS($W$3:$W$201,$M47)&gt;0,
    COUNTIFS($X$3:$X$201,$M47)&gt;0,
    COUNTIFS($Y$3:$Y$201,$M47)&gt;0,
    COUNTIFS($Z$3:$Z$201,$M47)&gt;0,
    COUNTIFS($AA$3:$AA$201,$M47)&gt;0,
    COUNTIFS($AB$3:$AB$201,$M47)&gt;0,
    COUNTIFS($AC$3:$AC$201,$M47)&gt;0,
    COUNTIFS($AD$3:$AD$201,$M47)&gt;0,
    COUNTIFS($AE$3:$AE$201,$M47)&gt;0,
    COUNTIFS($AF$3:$AF$201,$M47)&gt;0,
    COUNTIFS($AG$3:$AG$201,$M47)&gt;0,
    COUNTIFS($AH$3:$AH$201,$M47)&gt;0,
    COUNTIFS($AI$3:$AI$201,$M47)&gt;0,
    COUNTIFS($AJ$3:$AJ$201,$M47)&gt;0,
    COUNTIFS($AK$3:$AK$201,$M47)&gt;0,
    COUNTIFS($AL$3:$AL$201,$M47)&gt;0,
    COUNTIFS($AM$3:$AM$201,$M47)&gt;0,
    COUNTIFS($AN$3:$AN$201,$M47)&gt;0,
    COUNTIFS($AO$3:$AO$201,$M47)&gt;0,
    COUNTIFS($AP$3:$AP$201,$M47)&gt;0,
    COUNTIFS($AQ$3:$AQ$201,$M47)&gt;0,
    COUNTIFS($AR$3:$AR$201,$M47)&gt;0,
    COUNTIFS($AS$3:$AS$201,$M47)&gt;0,
    COUNTIFS($AT$3:$AT$201,$M47)&gt;0,
    COUNTIFS($AU$3:$AU$201,$M47)&gt;0,
    COUNTIFS($AV$3:$AV$201,$M47)&gt;0,
    COUNTIFS($AW$3:$AW$201,$M47)&gt;0
   ),
  0)
 ),
"")</f>
        <v>Rani</v>
      </c>
      <c r="P47" s="3" t="str" cm="1">
        <f t="array" aca="1" ref="P47" ca="1">IFERROR(
 INDEX(
  _xlfn._xlws.FILTER($T$2:$AW$2,
   TRANSPOSE(
    CHOOSE({1;2;3;4;5;6;7;8;9;10;11;12;13;14;15;16;17;18;19;20;21;22;23;24;25;26;27;28;29;30},
     COUNTIFS($T$3:$T$201,$M47)&gt;0,
     COUNTIFS($U$3:$U$201,$M47)&gt;0,
     COUNTIFS($V$3:$V$201,$M47)&gt;0,
     COUNTIFS($W$3:$W$201,$M47)&gt;0,
     COUNTIFS($X$3:$X$201,$M47)&gt;0,
     COUNTIFS($Y$3:$Y$201,$M47)&gt;0,
     COUNTIFS($Z$3:$Z$201,$M47)&gt;0,
     COUNTIFS($AA$3:$AA$201,$M47)&gt;0,
     COUNTIFS($AB$3:$AB$201,$M47)&gt;0,
     COUNTIFS($AC$3:$AC$201,$M47)&gt;0,
     COUNTIFS($AD$3:$AD$201,$M47)&gt;0,
     COUNTIFS($AE$3:$AE$201,$M47)&gt;0,
     COUNTIFS($AF$3:$AF$201,$M47)&gt;0,
     COUNTIFS($AG$3:$AG$201,$M47)&gt;0,
     COUNTIFS($AH$3:$AH$201,$M47)&gt;0,
     COUNTIFS($AI$3:$AI$201,$M47)&gt;0,
     COUNTIFS($AJ$3:$AJ$201,$M47)&gt;0,
     COUNTIFS($AK$3:$AK$201,$M47)&gt;0,
     COUNTIFS($AL$3:$AL$201,$M47)&gt;0,
     COUNTIFS($AM$3:$AM$201,$M47)&gt;0,
     COUNTIFS($AN$3:$AN$201,$M47)&gt;0,
     COUNTIFS($AO$3:$AO$201,$M47)&gt;0,
     COUNTIFS($AP$3:$AP$201,$M47)&gt;0,
     COUNTIFS($AQ$3:$AQ$201,$M47)&gt;0,
     COUNTIFS($AR$3:$AR$201,$M47)&gt;0,
     COUNTIFS($AS$3:$AS$201,$M47)&gt;0,
     COUNTIFS($AT$3:$AT$201,$M47)&gt;0,
     COUNTIFS($AU$3:$AU$201,$M47)&gt;0,
     COUNTIFS($AV$3:$AV$201,$M47)&gt;0,
     COUNTIFS($AW$3:$AW$201,$M47)&gt;0
   )),
  ),
  2
 ),
"")</f>
        <v/>
      </c>
      <c r="Q47" s="3" t="str" cm="1">
        <f t="array" aca="1" ref="Q47" ca="1">IFERROR(
 INDEX(
  _xlfn._xlws.FILTER($T$2:$AW$2,
   TRANSPOSE(
    CHOOSE({1;2;3;4;5;6;7;8;9;10;11;12;13;14;15;16;17;18;19;20;21;22;23;24;25;26;27;28;29;30},
     COUNTIFS($T$3:$T$201,$M47)&gt;0,
     COUNTIFS($U$3:$U$201,$M47)&gt;0,
     COUNTIFS($V$3:$V$201,$M47)&gt;0,
     COUNTIFS($W$3:$W$201,$M47)&gt;0,
     COUNTIFS($X$3:$X$201,$M47)&gt;0,
     COUNTIFS($Y$3:$Y$201,$M47)&gt;0,
     COUNTIFS($Z$3:$Z$201,$M47)&gt;0,
     COUNTIFS($AA$3:$AA$201,$M47)&gt;0,
     COUNTIFS($AB$3:$AB$201,$M47)&gt;0,
     COUNTIFS($AC$3:$AC$201,$M47)&gt;0,
     COUNTIFS($AD$3:$AD$201,$M47)&gt;0,
     COUNTIFS($AE$3:$AE$201,$M47)&gt;0,
     COUNTIFS($AF$3:$AF$201,$M47)&gt;0,
     COUNTIFS($AG$3:$AG$201,$M47)&gt;0,
     COUNTIFS($AH$3:$AH$201,$M47)&gt;0,
     COUNTIFS($AI$3:$AI$201,$M47)&gt;0,
     COUNTIFS($AJ$3:$AJ$201,$M47)&gt;0,
     COUNTIFS($AK$3:$AK$201,$M47)&gt;0,
     COUNTIFS($AL$3:$AL$201,$M47)&gt;0,
     COUNTIFS($AM$3:$AM$201,$M47)&gt;0,
     COUNTIFS($AN$3:$AN$201,$M47)&gt;0,
     COUNTIFS($AO$3:$AO$201,$M47)&gt;0,
     COUNTIFS($AP$3:$AP$201,$M47)&gt;0,
     COUNTIFS($AQ$3:$AQ$201,$M47)&gt;0,
     COUNTIFS($AR$3:$AR$201,$M47)&gt;0,
     COUNTIFS($AS$3:$AS$201,$M47)&gt;0,
     COUNTIFS($AT$3:$AT$201,$M47)&gt;0,
     COUNTIFS($AU$3:$AU$201,$M47)&gt;0,
     COUNTIFS($AV$3:$AV$201,$M47)&gt;0,
     COUNTIFS($AW$3:$AW$201,$M47)&gt;0
   )),
  ),
  3
 ),
"")</f>
        <v/>
      </c>
      <c r="R47" s="3" t="str" cm="1">
        <f t="array" aca="1" ref="R47" ca="1">IFERROR(
 INDEX(
  _xlfn._xlws.FILTER($T$2:$AW$2,
   TRANSPOSE(
    CHOOSE({1;2;3;4;5;6;7;8;9;10;11;12;13;14;15;16;17;18;19;20;21;22;23;24;25;26;27;28;29;30},
     COUNTIFS($T$3:$T$201,$M47)&gt;0,
     COUNTIFS($U$3:$U$201,$M47)&gt;0,
     COUNTIFS($V$3:$V$201,$M47)&gt;0,
     COUNTIFS($W$3:$W$201,$M47)&gt;0,
     COUNTIFS($X$3:$X$201,$M47)&gt;0,
     COUNTIFS($Y$3:$Y$201,$M47)&gt;0,
     COUNTIFS($Z$3:$Z$201,$M47)&gt;0,
     COUNTIFS($AA$3:$AA$201,$M47)&gt;0,
     COUNTIFS($AB$3:$AB$201,$M47)&gt;0,
     COUNTIFS($AC$3:$AC$201,$M47)&gt;0,
     COUNTIFS($AD$3:$AD$201,$M47)&gt;0,
     COUNTIFS($AE$3:$AE$201,$M47)&gt;0,
     COUNTIFS($AF$3:$AF$201,$M47)&gt;0,
     COUNTIFS($AG$3:$AG$201,$M47)&gt;0,
     COUNTIFS($AH$3:$AH$201,$M47)&gt;0,
     COUNTIFS($AI$3:$AI$201,$M47)&gt;0,
     COUNTIFS($AJ$3:$AJ$201,$M47)&gt;0,
     COUNTIFS($AK$3:$AK$201,$M47)&gt;0,
     COUNTIFS($AL$3:$AL$201,$M47)&gt;0,
     COUNTIFS($AM$3:$AM$201,$M47)&gt;0,
     COUNTIFS($AN$3:$AN$201,$M47)&gt;0,
     COUNTIFS($AO$3:$AO$201,$M47)&gt;0,
     COUNTIFS($AP$3:$AP$201,$M47)&gt;0,
     COUNTIFS($AQ$3:$AQ$201,$M47)&gt;0,
     COUNTIFS($AR$3:$AR$201,$M47)&gt;0,
     COUNTIFS($AS$3:$AS$201,$M47)&gt;0,
     COUNTIFS($AT$3:$AT$201,$M47)&gt;0,
     COUNTIFS($AU$3:$AU$201,$M47)&gt;0,
     COUNTIFS($AV$3:$AV$201,$M47)&gt;0,
     COUNTIFS($AW$3:$AW$201,$M47)&gt;0
   )),
  ),
  4
 ),
"")</f>
        <v/>
      </c>
      <c r="BB47" t="str">
        <f ca="1"/>
        <v>Traumatize</v>
      </c>
      <c r="BR47" t="str">
        <f ca="1"/>
        <v>Oversold Cemetery</v>
      </c>
      <c r="BS47" t="str">
        <f ca="1"/>
        <v>Recifes de Nau-Terror</v>
      </c>
      <c r="CA47" t="str">
        <f ca="1"/>
        <v>Executor Impiedoso</v>
      </c>
      <c r="CB47" t="str">
        <f ca="1"/>
        <v>Oversold Cemetery</v>
      </c>
      <c r="CC47" t="str">
        <f ca="1"/>
        <v>Trophy Mage</v>
      </c>
      <c r="CF47" t="str">
        <f ca="1"/>
        <v>Diamante B</v>
      </c>
      <c r="CG47" t="str">
        <f ca="1"/>
        <v>Mountain</v>
      </c>
      <c r="CI47" t="str">
        <f ca="1"/>
        <v>Counterflux</v>
      </c>
    </row>
    <row r="48" spans="1:87" x14ac:dyDescent="0.25">
      <c r="A48" t="str">
        <f ca="1"/>
        <v>Clifftop Retreat</v>
      </c>
      <c r="B48" s="3" t="str" cm="1">
        <f t="array" aca="1" ref="B48" ca="1">_xlfn.ANCHORARRAY(RESUMO!C47)</f>
        <v>Narset</v>
      </c>
      <c r="C48" s="3" t="str">
        <f t="shared" ca="1" si="0"/>
        <v>VialIshai</v>
      </c>
      <c r="E48" t="str">
        <f ca="1"/>
        <v>Countersquall</v>
      </c>
      <c r="F48" s="3">
        <f t="shared" ca="1" si="1"/>
        <v>1</v>
      </c>
      <c r="G48" s="3" t="str">
        <f t="shared" ca="1" si="2"/>
        <v>Rani</v>
      </c>
      <c r="M48" t="str">
        <f ca="1"/>
        <v>Countersquall</v>
      </c>
      <c r="N48" s="3">
        <f t="shared" ca="1" si="3"/>
        <v>1</v>
      </c>
      <c r="O48" s="3" t="str">
        <f ca="1">IFERROR(
 INDEX($T$2:$AW$2,
  MATCH(TRUE,
   CHOOSE({1;2;3;4;5;6;7;8;9;10;11;12;13;14;15;16;17;18;19;20;21;22;23;24;25;26;27;28;29;30;31;32},
    COUNTIFS($T$3:$T$201,$M48)&gt;0,
    COUNTIFS($U$3:$U$201,$M48)&gt;0,
    COUNTIFS($V$3:$V$201,$M48)&gt;0,
    COUNTIFS($W$3:$W$201,$M48)&gt;0,
    COUNTIFS($X$3:$X$201,$M48)&gt;0,
    COUNTIFS($Y$3:$Y$201,$M48)&gt;0,
    COUNTIFS($Z$3:$Z$201,$M48)&gt;0,
    COUNTIFS($AA$3:$AA$201,$M48)&gt;0,
    COUNTIFS($AB$3:$AB$201,$M48)&gt;0,
    COUNTIFS($AC$3:$AC$201,$M48)&gt;0,
    COUNTIFS($AD$3:$AD$201,$M48)&gt;0,
    COUNTIFS($AE$3:$AE$201,$M48)&gt;0,
    COUNTIFS($AF$3:$AF$201,$M48)&gt;0,
    COUNTIFS($AG$3:$AG$201,$M48)&gt;0,
    COUNTIFS($AH$3:$AH$201,$M48)&gt;0,
    COUNTIFS($AI$3:$AI$201,$M48)&gt;0,
    COUNTIFS($AJ$3:$AJ$201,$M48)&gt;0,
    COUNTIFS($AK$3:$AK$201,$M48)&gt;0,
    COUNTIFS($AL$3:$AL$201,$M48)&gt;0,
    COUNTIFS($AM$3:$AM$201,$M48)&gt;0,
    COUNTIFS($AN$3:$AN$201,$M48)&gt;0,
    COUNTIFS($AO$3:$AO$201,$M48)&gt;0,
    COUNTIFS($AP$3:$AP$201,$M48)&gt;0,
    COUNTIFS($AQ$3:$AQ$201,$M48)&gt;0,
    COUNTIFS($AR$3:$AR$201,$M48)&gt;0,
    COUNTIFS($AS$3:$AS$201,$M48)&gt;0,
    COUNTIFS($AT$3:$AT$201,$M48)&gt;0,
    COUNTIFS($AU$3:$AU$201,$M48)&gt;0,
    COUNTIFS($AV$3:$AV$201,$M48)&gt;0,
    COUNTIFS($AW$3:$AW$201,$M48)&gt;0
   ),
  0)
 ),
"")</f>
        <v>Rani</v>
      </c>
      <c r="P48" s="3" t="str" cm="1">
        <f t="array" aca="1" ref="P48" ca="1">IFERROR(
 INDEX(
  _xlfn._xlws.FILTER($T$2:$AW$2,
   TRANSPOSE(
    CHOOSE({1;2;3;4;5;6;7;8;9;10;11;12;13;14;15;16;17;18;19;20;21;22;23;24;25;26;27;28;29;30},
     COUNTIFS($T$3:$T$201,$M48)&gt;0,
     COUNTIFS($U$3:$U$201,$M48)&gt;0,
     COUNTIFS($V$3:$V$201,$M48)&gt;0,
     COUNTIFS($W$3:$W$201,$M48)&gt;0,
     COUNTIFS($X$3:$X$201,$M48)&gt;0,
     COUNTIFS($Y$3:$Y$201,$M48)&gt;0,
     COUNTIFS($Z$3:$Z$201,$M48)&gt;0,
     COUNTIFS($AA$3:$AA$201,$M48)&gt;0,
     COUNTIFS($AB$3:$AB$201,$M48)&gt;0,
     COUNTIFS($AC$3:$AC$201,$M48)&gt;0,
     COUNTIFS($AD$3:$AD$201,$M48)&gt;0,
     COUNTIFS($AE$3:$AE$201,$M48)&gt;0,
     COUNTIFS($AF$3:$AF$201,$M48)&gt;0,
     COUNTIFS($AG$3:$AG$201,$M48)&gt;0,
     COUNTIFS($AH$3:$AH$201,$M48)&gt;0,
     COUNTIFS($AI$3:$AI$201,$M48)&gt;0,
     COUNTIFS($AJ$3:$AJ$201,$M48)&gt;0,
     COUNTIFS($AK$3:$AK$201,$M48)&gt;0,
     COUNTIFS($AL$3:$AL$201,$M48)&gt;0,
     COUNTIFS($AM$3:$AM$201,$M48)&gt;0,
     COUNTIFS($AN$3:$AN$201,$M48)&gt;0,
     COUNTIFS($AO$3:$AO$201,$M48)&gt;0,
     COUNTIFS($AP$3:$AP$201,$M48)&gt;0,
     COUNTIFS($AQ$3:$AQ$201,$M48)&gt;0,
     COUNTIFS($AR$3:$AR$201,$M48)&gt;0,
     COUNTIFS($AS$3:$AS$201,$M48)&gt;0,
     COUNTIFS($AT$3:$AT$201,$M48)&gt;0,
     COUNTIFS($AU$3:$AU$201,$M48)&gt;0,
     COUNTIFS($AV$3:$AV$201,$M48)&gt;0,
     COUNTIFS($AW$3:$AW$201,$M48)&gt;0
   )),
  ),
  2
 ),
"")</f>
        <v/>
      </c>
      <c r="Q48" s="3" t="str" cm="1">
        <f t="array" aca="1" ref="Q48" ca="1">IFERROR(
 INDEX(
  _xlfn._xlws.FILTER($T$2:$AW$2,
   TRANSPOSE(
    CHOOSE({1;2;3;4;5;6;7;8;9;10;11;12;13;14;15;16;17;18;19;20;21;22;23;24;25;26;27;28;29;30},
     COUNTIFS($T$3:$T$201,$M48)&gt;0,
     COUNTIFS($U$3:$U$201,$M48)&gt;0,
     COUNTIFS($V$3:$V$201,$M48)&gt;0,
     COUNTIFS($W$3:$W$201,$M48)&gt;0,
     COUNTIFS($X$3:$X$201,$M48)&gt;0,
     COUNTIFS($Y$3:$Y$201,$M48)&gt;0,
     COUNTIFS($Z$3:$Z$201,$M48)&gt;0,
     COUNTIFS($AA$3:$AA$201,$M48)&gt;0,
     COUNTIFS($AB$3:$AB$201,$M48)&gt;0,
     COUNTIFS($AC$3:$AC$201,$M48)&gt;0,
     COUNTIFS($AD$3:$AD$201,$M48)&gt;0,
     COUNTIFS($AE$3:$AE$201,$M48)&gt;0,
     COUNTIFS($AF$3:$AF$201,$M48)&gt;0,
     COUNTIFS($AG$3:$AG$201,$M48)&gt;0,
     COUNTIFS($AH$3:$AH$201,$M48)&gt;0,
     COUNTIFS($AI$3:$AI$201,$M48)&gt;0,
     COUNTIFS($AJ$3:$AJ$201,$M48)&gt;0,
     COUNTIFS($AK$3:$AK$201,$M48)&gt;0,
     COUNTIFS($AL$3:$AL$201,$M48)&gt;0,
     COUNTIFS($AM$3:$AM$201,$M48)&gt;0,
     COUNTIFS($AN$3:$AN$201,$M48)&gt;0,
     COUNTIFS($AO$3:$AO$201,$M48)&gt;0,
     COUNTIFS($AP$3:$AP$201,$M48)&gt;0,
     COUNTIFS($AQ$3:$AQ$201,$M48)&gt;0,
     COUNTIFS($AR$3:$AR$201,$M48)&gt;0,
     COUNTIFS($AS$3:$AS$201,$M48)&gt;0,
     COUNTIFS($AT$3:$AT$201,$M48)&gt;0,
     COUNTIFS($AU$3:$AU$201,$M48)&gt;0,
     COUNTIFS($AV$3:$AV$201,$M48)&gt;0,
     COUNTIFS($AW$3:$AW$201,$M48)&gt;0
   )),
  ),
  3
 ),
"")</f>
        <v/>
      </c>
      <c r="R48" s="3" t="str" cm="1">
        <f t="array" aca="1" ref="R48" ca="1">IFERROR(
 INDEX(
  _xlfn._xlws.FILTER($T$2:$AW$2,
   TRANSPOSE(
    CHOOSE({1;2;3;4;5;6;7;8;9;10;11;12;13;14;15;16;17;18;19;20;21;22;23;24;25;26;27;28;29;30},
     COUNTIFS($T$3:$T$201,$M48)&gt;0,
     COUNTIFS($U$3:$U$201,$M48)&gt;0,
     COUNTIFS($V$3:$V$201,$M48)&gt;0,
     COUNTIFS($W$3:$W$201,$M48)&gt;0,
     COUNTIFS($X$3:$X$201,$M48)&gt;0,
     COUNTIFS($Y$3:$Y$201,$M48)&gt;0,
     COUNTIFS($Z$3:$Z$201,$M48)&gt;0,
     COUNTIFS($AA$3:$AA$201,$M48)&gt;0,
     COUNTIFS($AB$3:$AB$201,$M48)&gt;0,
     COUNTIFS($AC$3:$AC$201,$M48)&gt;0,
     COUNTIFS($AD$3:$AD$201,$M48)&gt;0,
     COUNTIFS($AE$3:$AE$201,$M48)&gt;0,
     COUNTIFS($AF$3:$AF$201,$M48)&gt;0,
     COUNTIFS($AG$3:$AG$201,$M48)&gt;0,
     COUNTIFS($AH$3:$AH$201,$M48)&gt;0,
     COUNTIFS($AI$3:$AI$201,$M48)&gt;0,
     COUNTIFS($AJ$3:$AJ$201,$M48)&gt;0,
     COUNTIFS($AK$3:$AK$201,$M48)&gt;0,
     COUNTIFS($AL$3:$AL$201,$M48)&gt;0,
     COUNTIFS($AM$3:$AM$201,$M48)&gt;0,
     COUNTIFS($AN$3:$AN$201,$M48)&gt;0,
     COUNTIFS($AO$3:$AO$201,$M48)&gt;0,
     COUNTIFS($AP$3:$AP$201,$M48)&gt;0,
     COUNTIFS($AQ$3:$AQ$201,$M48)&gt;0,
     COUNTIFS($AR$3:$AR$201,$M48)&gt;0,
     COUNTIFS($AS$3:$AS$201,$M48)&gt;0,
     COUNTIFS($AT$3:$AT$201,$M48)&gt;0,
     COUNTIFS($AU$3:$AU$201,$M48)&gt;0,
     COUNTIFS($AV$3:$AV$201,$M48)&gt;0,
     COUNTIFS($AW$3:$AW$201,$M48)&gt;0
   )),
  ),
  4
 ),
"")</f>
        <v/>
      </c>
      <c r="BB48" t="str">
        <f ca="1"/>
        <v>Treasure Cruise</v>
      </c>
      <c r="BR48" t="str">
        <f ca="1"/>
        <v>Panorama de Naya</v>
      </c>
      <c r="BS48" t="str">
        <f ca="1"/>
        <v>Recrecimento Turbilhonante</v>
      </c>
      <c r="CA48" t="str">
        <f ca="1"/>
        <v>Extraction Specialist</v>
      </c>
      <c r="CB48" t="str">
        <f ca="1"/>
        <v>Pântano</v>
      </c>
      <c r="CC48" t="str">
        <f ca="1"/>
        <v>Tumulume</v>
      </c>
      <c r="CF48" t="str">
        <f ca="1"/>
        <v>Diamante R</v>
      </c>
      <c r="CG48" t="str">
        <f ca="1"/>
        <v>Nezahal, Maré Primordial</v>
      </c>
      <c r="CI48" t="str">
        <f ca="1"/>
        <v>Countersquall</v>
      </c>
    </row>
    <row r="49" spans="1:87" x14ac:dyDescent="0.25">
      <c r="A49" t="str">
        <f ca="1"/>
        <v>Cloud, Midgar Mercenary</v>
      </c>
      <c r="B49" s="3" t="str" cm="1">
        <f t="array" aca="1" ref="B49" ca="1">_xlfn.ANCHORARRAY(RESUMO!C48)</f>
        <v>Akiri</v>
      </c>
      <c r="C49" s="3" t="str">
        <f t="shared" ca="1" si="0"/>
        <v/>
      </c>
      <c r="E49" t="str">
        <f ca="1"/>
        <v>Crackling Doom</v>
      </c>
      <c r="F49" s="3">
        <f t="shared" ca="1" si="1"/>
        <v>1</v>
      </c>
      <c r="G49" s="3" t="str">
        <f t="shared" ca="1" si="2"/>
        <v>VialIshai</v>
      </c>
      <c r="M49" t="str">
        <f ca="1"/>
        <v>Crackling Doom</v>
      </c>
      <c r="N49" s="3">
        <f t="shared" ca="1" si="3"/>
        <v>1</v>
      </c>
      <c r="O49" s="3" t="str">
        <f ca="1">IFERROR(
 INDEX($T$2:$AW$2,
  MATCH(TRUE,
   CHOOSE({1;2;3;4;5;6;7;8;9;10;11;12;13;14;15;16;17;18;19;20;21;22;23;24;25;26;27;28;29;30;31;32},
    COUNTIFS($T$3:$T$201,$M49)&gt;0,
    COUNTIFS($U$3:$U$201,$M49)&gt;0,
    COUNTIFS($V$3:$V$201,$M49)&gt;0,
    COUNTIFS($W$3:$W$201,$M49)&gt;0,
    COUNTIFS($X$3:$X$201,$M49)&gt;0,
    COUNTIFS($Y$3:$Y$201,$M49)&gt;0,
    COUNTIFS($Z$3:$Z$201,$M49)&gt;0,
    COUNTIFS($AA$3:$AA$201,$M49)&gt;0,
    COUNTIFS($AB$3:$AB$201,$M49)&gt;0,
    COUNTIFS($AC$3:$AC$201,$M49)&gt;0,
    COUNTIFS($AD$3:$AD$201,$M49)&gt;0,
    COUNTIFS($AE$3:$AE$201,$M49)&gt;0,
    COUNTIFS($AF$3:$AF$201,$M49)&gt;0,
    COUNTIFS($AG$3:$AG$201,$M49)&gt;0,
    COUNTIFS($AH$3:$AH$201,$M49)&gt;0,
    COUNTIFS($AI$3:$AI$201,$M49)&gt;0,
    COUNTIFS($AJ$3:$AJ$201,$M49)&gt;0,
    COUNTIFS($AK$3:$AK$201,$M49)&gt;0,
    COUNTIFS($AL$3:$AL$201,$M49)&gt;0,
    COUNTIFS($AM$3:$AM$201,$M49)&gt;0,
    COUNTIFS($AN$3:$AN$201,$M49)&gt;0,
    COUNTIFS($AO$3:$AO$201,$M49)&gt;0,
    COUNTIFS($AP$3:$AP$201,$M49)&gt;0,
    COUNTIFS($AQ$3:$AQ$201,$M49)&gt;0,
    COUNTIFS($AR$3:$AR$201,$M49)&gt;0,
    COUNTIFS($AS$3:$AS$201,$M49)&gt;0,
    COUNTIFS($AT$3:$AT$201,$M49)&gt;0,
    COUNTIFS($AU$3:$AU$201,$M49)&gt;0,
    COUNTIFS($AV$3:$AV$201,$M49)&gt;0,
    COUNTIFS($AW$3:$AW$201,$M49)&gt;0
   ),
  0)
 ),
"")</f>
        <v>VialIshai</v>
      </c>
      <c r="P49" s="3" t="str" cm="1">
        <f t="array" aca="1" ref="P49" ca="1">IFERROR(
 INDEX(
  _xlfn._xlws.FILTER($T$2:$AW$2,
   TRANSPOSE(
    CHOOSE({1;2;3;4;5;6;7;8;9;10;11;12;13;14;15;16;17;18;19;20;21;22;23;24;25;26;27;28;29;30},
     COUNTIFS($T$3:$T$201,$M49)&gt;0,
     COUNTIFS($U$3:$U$201,$M49)&gt;0,
     COUNTIFS($V$3:$V$201,$M49)&gt;0,
     COUNTIFS($W$3:$W$201,$M49)&gt;0,
     COUNTIFS($X$3:$X$201,$M49)&gt;0,
     COUNTIFS($Y$3:$Y$201,$M49)&gt;0,
     COUNTIFS($Z$3:$Z$201,$M49)&gt;0,
     COUNTIFS($AA$3:$AA$201,$M49)&gt;0,
     COUNTIFS($AB$3:$AB$201,$M49)&gt;0,
     COUNTIFS($AC$3:$AC$201,$M49)&gt;0,
     COUNTIFS($AD$3:$AD$201,$M49)&gt;0,
     COUNTIFS($AE$3:$AE$201,$M49)&gt;0,
     COUNTIFS($AF$3:$AF$201,$M49)&gt;0,
     COUNTIFS($AG$3:$AG$201,$M49)&gt;0,
     COUNTIFS($AH$3:$AH$201,$M49)&gt;0,
     COUNTIFS($AI$3:$AI$201,$M49)&gt;0,
     COUNTIFS($AJ$3:$AJ$201,$M49)&gt;0,
     COUNTIFS($AK$3:$AK$201,$M49)&gt;0,
     COUNTIFS($AL$3:$AL$201,$M49)&gt;0,
     COUNTIFS($AM$3:$AM$201,$M49)&gt;0,
     COUNTIFS($AN$3:$AN$201,$M49)&gt;0,
     COUNTIFS($AO$3:$AO$201,$M49)&gt;0,
     COUNTIFS($AP$3:$AP$201,$M49)&gt;0,
     COUNTIFS($AQ$3:$AQ$201,$M49)&gt;0,
     COUNTIFS($AR$3:$AR$201,$M49)&gt;0,
     COUNTIFS($AS$3:$AS$201,$M49)&gt;0,
     COUNTIFS($AT$3:$AT$201,$M49)&gt;0,
     COUNTIFS($AU$3:$AU$201,$M49)&gt;0,
     COUNTIFS($AV$3:$AV$201,$M49)&gt;0,
     COUNTIFS($AW$3:$AW$201,$M49)&gt;0
   )),
  ),
  2
 ),
"")</f>
        <v/>
      </c>
      <c r="Q49" s="3" t="str" cm="1">
        <f t="array" aca="1" ref="Q49" ca="1">IFERROR(
 INDEX(
  _xlfn._xlws.FILTER($T$2:$AW$2,
   TRANSPOSE(
    CHOOSE({1;2;3;4;5;6;7;8;9;10;11;12;13;14;15;16;17;18;19;20;21;22;23;24;25;26;27;28;29;30},
     COUNTIFS($T$3:$T$201,$M49)&gt;0,
     COUNTIFS($U$3:$U$201,$M49)&gt;0,
     COUNTIFS($V$3:$V$201,$M49)&gt;0,
     COUNTIFS($W$3:$W$201,$M49)&gt;0,
     COUNTIFS($X$3:$X$201,$M49)&gt;0,
     COUNTIFS($Y$3:$Y$201,$M49)&gt;0,
     COUNTIFS($Z$3:$Z$201,$M49)&gt;0,
     COUNTIFS($AA$3:$AA$201,$M49)&gt;0,
     COUNTIFS($AB$3:$AB$201,$M49)&gt;0,
     COUNTIFS($AC$3:$AC$201,$M49)&gt;0,
     COUNTIFS($AD$3:$AD$201,$M49)&gt;0,
     COUNTIFS($AE$3:$AE$201,$M49)&gt;0,
     COUNTIFS($AF$3:$AF$201,$M49)&gt;0,
     COUNTIFS($AG$3:$AG$201,$M49)&gt;0,
     COUNTIFS($AH$3:$AH$201,$M49)&gt;0,
     COUNTIFS($AI$3:$AI$201,$M49)&gt;0,
     COUNTIFS($AJ$3:$AJ$201,$M49)&gt;0,
     COUNTIFS($AK$3:$AK$201,$M49)&gt;0,
     COUNTIFS($AL$3:$AL$201,$M49)&gt;0,
     COUNTIFS($AM$3:$AM$201,$M49)&gt;0,
     COUNTIFS($AN$3:$AN$201,$M49)&gt;0,
     COUNTIFS($AO$3:$AO$201,$M49)&gt;0,
     COUNTIFS($AP$3:$AP$201,$M49)&gt;0,
     COUNTIFS($AQ$3:$AQ$201,$M49)&gt;0,
     COUNTIFS($AR$3:$AR$201,$M49)&gt;0,
     COUNTIFS($AS$3:$AS$201,$M49)&gt;0,
     COUNTIFS($AT$3:$AT$201,$M49)&gt;0,
     COUNTIFS($AU$3:$AU$201,$M49)&gt;0,
     COUNTIFS($AV$3:$AV$201,$M49)&gt;0,
     COUNTIFS($AW$3:$AW$201,$M49)&gt;0
   )),
  ),
  3
 ),
"")</f>
        <v/>
      </c>
      <c r="R49" s="3" t="str" cm="1">
        <f t="array" aca="1" ref="R49" ca="1">IFERROR(
 INDEX(
  _xlfn._xlws.FILTER($T$2:$AW$2,
   TRANSPOSE(
    CHOOSE({1;2;3;4;5;6;7;8;9;10;11;12;13;14;15;16;17;18;19;20;21;22;23;24;25;26;27;28;29;30},
     COUNTIFS($T$3:$T$201,$M49)&gt;0,
     COUNTIFS($U$3:$U$201,$M49)&gt;0,
     COUNTIFS($V$3:$V$201,$M49)&gt;0,
     COUNTIFS($W$3:$W$201,$M49)&gt;0,
     COUNTIFS($X$3:$X$201,$M49)&gt;0,
     COUNTIFS($Y$3:$Y$201,$M49)&gt;0,
     COUNTIFS($Z$3:$Z$201,$M49)&gt;0,
     COUNTIFS($AA$3:$AA$201,$M49)&gt;0,
     COUNTIFS($AB$3:$AB$201,$M49)&gt;0,
     COUNTIFS($AC$3:$AC$201,$M49)&gt;0,
     COUNTIFS($AD$3:$AD$201,$M49)&gt;0,
     COUNTIFS($AE$3:$AE$201,$M49)&gt;0,
     COUNTIFS($AF$3:$AF$201,$M49)&gt;0,
     COUNTIFS($AG$3:$AG$201,$M49)&gt;0,
     COUNTIFS($AH$3:$AH$201,$M49)&gt;0,
     COUNTIFS($AI$3:$AI$201,$M49)&gt;0,
     COUNTIFS($AJ$3:$AJ$201,$M49)&gt;0,
     COUNTIFS($AK$3:$AK$201,$M49)&gt;0,
     COUNTIFS($AL$3:$AL$201,$M49)&gt;0,
     COUNTIFS($AM$3:$AM$201,$M49)&gt;0,
     COUNTIFS($AN$3:$AN$201,$M49)&gt;0,
     COUNTIFS($AO$3:$AO$201,$M49)&gt;0,
     COUNTIFS($AP$3:$AP$201,$M49)&gt;0,
     COUNTIFS($AQ$3:$AQ$201,$M49)&gt;0,
     COUNTIFS($AR$3:$AR$201,$M49)&gt;0,
     COUNTIFS($AS$3:$AS$201,$M49)&gt;0,
     COUNTIFS($AT$3:$AT$201,$M49)&gt;0,
     COUNTIFS($AU$3:$AU$201,$M49)&gt;0,
     COUNTIFS($AV$3:$AV$201,$M49)&gt;0,
     COUNTIFS($AW$3:$AW$201,$M49)&gt;0
   )),
  ),
  4
 ),
"")</f>
        <v/>
      </c>
      <c r="BB49" t="str">
        <f ca="1"/>
        <v>Tuskguard Captain</v>
      </c>
      <c r="BR49" t="str">
        <f ca="1"/>
        <v>Pilar das Origens</v>
      </c>
      <c r="BS49" t="str">
        <f ca="1"/>
        <v>Recuperação das Gavinhas Bolorentas</v>
      </c>
      <c r="CA49" t="str">
        <f ca="1"/>
        <v>Floresta Flagelada</v>
      </c>
      <c r="CB49" t="str">
        <f ca="1"/>
        <v>Pentavus</v>
      </c>
      <c r="CF49" t="str">
        <f ca="1"/>
        <v>Diamante U</v>
      </c>
      <c r="CG49" t="str">
        <f ca="1"/>
        <v>Nimble Obstructionist</v>
      </c>
      <c r="CI49" t="str">
        <f ca="1"/>
        <v>Crackling Doom</v>
      </c>
    </row>
    <row r="50" spans="1:87" x14ac:dyDescent="0.25">
      <c r="A50" t="str">
        <f ca="1"/>
        <v>Collector's Vault</v>
      </c>
      <c r="B50" s="3" t="str" cm="1">
        <f t="array" aca="1" ref="B50" ca="1">_xlfn.ANCHORARRAY(RESUMO!C49)</f>
        <v>Rielle</v>
      </c>
      <c r="C50" s="3" t="str">
        <f t="shared" ca="1" si="0"/>
        <v/>
      </c>
      <c r="E50" t="str">
        <f ca="1"/>
        <v>Crawling Infestation</v>
      </c>
      <c r="F50" s="3">
        <f t="shared" ca="1" si="1"/>
        <v>1</v>
      </c>
      <c r="G50" s="3" t="str">
        <f t="shared" ca="1" si="2"/>
        <v>Gritrog</v>
      </c>
      <c r="M50" t="str">
        <f ca="1"/>
        <v>Crawling Infestation</v>
      </c>
      <c r="N50" s="3">
        <f t="shared" ca="1" si="3"/>
        <v>1</v>
      </c>
      <c r="O50" s="3" t="str">
        <f ca="1">IFERROR(
 INDEX($T$2:$AW$2,
  MATCH(TRUE,
   CHOOSE({1;2;3;4;5;6;7;8;9;10;11;12;13;14;15;16;17;18;19;20;21;22;23;24;25;26;27;28;29;30;31;32},
    COUNTIFS($T$3:$T$201,$M50)&gt;0,
    COUNTIFS($U$3:$U$201,$M50)&gt;0,
    COUNTIFS($V$3:$V$201,$M50)&gt;0,
    COUNTIFS($W$3:$W$201,$M50)&gt;0,
    COUNTIFS($X$3:$X$201,$M50)&gt;0,
    COUNTIFS($Y$3:$Y$201,$M50)&gt;0,
    COUNTIFS($Z$3:$Z$201,$M50)&gt;0,
    COUNTIFS($AA$3:$AA$201,$M50)&gt;0,
    COUNTIFS($AB$3:$AB$201,$M50)&gt;0,
    COUNTIFS($AC$3:$AC$201,$M50)&gt;0,
    COUNTIFS($AD$3:$AD$201,$M50)&gt;0,
    COUNTIFS($AE$3:$AE$201,$M50)&gt;0,
    COUNTIFS($AF$3:$AF$201,$M50)&gt;0,
    COUNTIFS($AG$3:$AG$201,$M50)&gt;0,
    COUNTIFS($AH$3:$AH$201,$M50)&gt;0,
    COUNTIFS($AI$3:$AI$201,$M50)&gt;0,
    COUNTIFS($AJ$3:$AJ$201,$M50)&gt;0,
    COUNTIFS($AK$3:$AK$201,$M50)&gt;0,
    COUNTIFS($AL$3:$AL$201,$M50)&gt;0,
    COUNTIFS($AM$3:$AM$201,$M50)&gt;0,
    COUNTIFS($AN$3:$AN$201,$M50)&gt;0,
    COUNTIFS($AO$3:$AO$201,$M50)&gt;0,
    COUNTIFS($AP$3:$AP$201,$M50)&gt;0,
    COUNTIFS($AQ$3:$AQ$201,$M50)&gt;0,
    COUNTIFS($AR$3:$AR$201,$M50)&gt;0,
    COUNTIFS($AS$3:$AS$201,$M50)&gt;0,
    COUNTIFS($AT$3:$AT$201,$M50)&gt;0,
    COUNTIFS($AU$3:$AU$201,$M50)&gt;0,
    COUNTIFS($AV$3:$AV$201,$M50)&gt;0,
    COUNTIFS($AW$3:$AW$201,$M50)&gt;0
   ),
  0)
 ),
"")</f>
        <v>Gritrog</v>
      </c>
      <c r="P50" s="3" t="str" cm="1">
        <f t="array" aca="1" ref="P50" ca="1">IFERROR(
 INDEX(
  _xlfn._xlws.FILTER($T$2:$AW$2,
   TRANSPOSE(
    CHOOSE({1;2;3;4;5;6;7;8;9;10;11;12;13;14;15;16;17;18;19;20;21;22;23;24;25;26;27;28;29;30},
     COUNTIFS($T$3:$T$201,$M50)&gt;0,
     COUNTIFS($U$3:$U$201,$M50)&gt;0,
     COUNTIFS($V$3:$V$201,$M50)&gt;0,
     COUNTIFS($W$3:$W$201,$M50)&gt;0,
     COUNTIFS($X$3:$X$201,$M50)&gt;0,
     COUNTIFS($Y$3:$Y$201,$M50)&gt;0,
     COUNTIFS($Z$3:$Z$201,$M50)&gt;0,
     COUNTIFS($AA$3:$AA$201,$M50)&gt;0,
     COUNTIFS($AB$3:$AB$201,$M50)&gt;0,
     COUNTIFS($AC$3:$AC$201,$M50)&gt;0,
     COUNTIFS($AD$3:$AD$201,$M50)&gt;0,
     COUNTIFS($AE$3:$AE$201,$M50)&gt;0,
     COUNTIFS($AF$3:$AF$201,$M50)&gt;0,
     COUNTIFS($AG$3:$AG$201,$M50)&gt;0,
     COUNTIFS($AH$3:$AH$201,$M50)&gt;0,
     COUNTIFS($AI$3:$AI$201,$M50)&gt;0,
     COUNTIFS($AJ$3:$AJ$201,$M50)&gt;0,
     COUNTIFS($AK$3:$AK$201,$M50)&gt;0,
     COUNTIFS($AL$3:$AL$201,$M50)&gt;0,
     COUNTIFS($AM$3:$AM$201,$M50)&gt;0,
     COUNTIFS($AN$3:$AN$201,$M50)&gt;0,
     COUNTIFS($AO$3:$AO$201,$M50)&gt;0,
     COUNTIFS($AP$3:$AP$201,$M50)&gt;0,
     COUNTIFS($AQ$3:$AQ$201,$M50)&gt;0,
     COUNTIFS($AR$3:$AR$201,$M50)&gt;0,
     COUNTIFS($AS$3:$AS$201,$M50)&gt;0,
     COUNTIFS($AT$3:$AT$201,$M50)&gt;0,
     COUNTIFS($AU$3:$AU$201,$M50)&gt;0,
     COUNTIFS($AV$3:$AV$201,$M50)&gt;0,
     COUNTIFS($AW$3:$AW$201,$M50)&gt;0
   )),
  ),
  2
 ),
"")</f>
        <v/>
      </c>
      <c r="Q50" s="3" t="str" cm="1">
        <f t="array" aca="1" ref="Q50" ca="1">IFERROR(
 INDEX(
  _xlfn._xlws.FILTER($T$2:$AW$2,
   TRANSPOSE(
    CHOOSE({1;2;3;4;5;6;7;8;9;10;11;12;13;14;15;16;17;18;19;20;21;22;23;24;25;26;27;28;29;30},
     COUNTIFS($T$3:$T$201,$M50)&gt;0,
     COUNTIFS($U$3:$U$201,$M50)&gt;0,
     COUNTIFS($V$3:$V$201,$M50)&gt;0,
     COUNTIFS($W$3:$W$201,$M50)&gt;0,
     COUNTIFS($X$3:$X$201,$M50)&gt;0,
     COUNTIFS($Y$3:$Y$201,$M50)&gt;0,
     COUNTIFS($Z$3:$Z$201,$M50)&gt;0,
     COUNTIFS($AA$3:$AA$201,$M50)&gt;0,
     COUNTIFS($AB$3:$AB$201,$M50)&gt;0,
     COUNTIFS($AC$3:$AC$201,$M50)&gt;0,
     COUNTIFS($AD$3:$AD$201,$M50)&gt;0,
     COUNTIFS($AE$3:$AE$201,$M50)&gt;0,
     COUNTIFS($AF$3:$AF$201,$M50)&gt;0,
     COUNTIFS($AG$3:$AG$201,$M50)&gt;0,
     COUNTIFS($AH$3:$AH$201,$M50)&gt;0,
     COUNTIFS($AI$3:$AI$201,$M50)&gt;0,
     COUNTIFS($AJ$3:$AJ$201,$M50)&gt;0,
     COUNTIFS($AK$3:$AK$201,$M50)&gt;0,
     COUNTIFS($AL$3:$AL$201,$M50)&gt;0,
     COUNTIFS($AM$3:$AM$201,$M50)&gt;0,
     COUNTIFS($AN$3:$AN$201,$M50)&gt;0,
     COUNTIFS($AO$3:$AO$201,$M50)&gt;0,
     COUNTIFS($AP$3:$AP$201,$M50)&gt;0,
     COUNTIFS($AQ$3:$AQ$201,$M50)&gt;0,
     COUNTIFS($AR$3:$AR$201,$M50)&gt;0,
     COUNTIFS($AS$3:$AS$201,$M50)&gt;0,
     COUNTIFS($AT$3:$AT$201,$M50)&gt;0,
     COUNTIFS($AU$3:$AU$201,$M50)&gt;0,
     COUNTIFS($AV$3:$AV$201,$M50)&gt;0,
     COUNTIFS($AW$3:$AW$201,$M50)&gt;0
   )),
  ),
  3
 ),
"")</f>
        <v/>
      </c>
      <c r="R50" s="3" t="str" cm="1">
        <f t="array" aca="1" ref="R50" ca="1">IFERROR(
 INDEX(
  _xlfn._xlws.FILTER($T$2:$AW$2,
   TRANSPOSE(
    CHOOSE({1;2;3;4;5;6;7;8;9;10;11;12;13;14;15;16;17;18;19;20;21;22;23;24;25;26;27;28;29;30},
     COUNTIFS($T$3:$T$201,$M50)&gt;0,
     COUNTIFS($U$3:$U$201,$M50)&gt;0,
     COUNTIFS($V$3:$V$201,$M50)&gt;0,
     COUNTIFS($W$3:$W$201,$M50)&gt;0,
     COUNTIFS($X$3:$X$201,$M50)&gt;0,
     COUNTIFS($Y$3:$Y$201,$M50)&gt;0,
     COUNTIFS($Z$3:$Z$201,$M50)&gt;0,
     COUNTIFS($AA$3:$AA$201,$M50)&gt;0,
     COUNTIFS($AB$3:$AB$201,$M50)&gt;0,
     COUNTIFS($AC$3:$AC$201,$M50)&gt;0,
     COUNTIFS($AD$3:$AD$201,$M50)&gt;0,
     COUNTIFS($AE$3:$AE$201,$M50)&gt;0,
     COUNTIFS($AF$3:$AF$201,$M50)&gt;0,
     COUNTIFS($AG$3:$AG$201,$M50)&gt;0,
     COUNTIFS($AH$3:$AH$201,$M50)&gt;0,
     COUNTIFS($AI$3:$AI$201,$M50)&gt;0,
     COUNTIFS($AJ$3:$AJ$201,$M50)&gt;0,
     COUNTIFS($AK$3:$AK$201,$M50)&gt;0,
     COUNTIFS($AL$3:$AL$201,$M50)&gt;0,
     COUNTIFS($AM$3:$AM$201,$M50)&gt;0,
     COUNTIFS($AN$3:$AN$201,$M50)&gt;0,
     COUNTIFS($AO$3:$AO$201,$M50)&gt;0,
     COUNTIFS($AP$3:$AP$201,$M50)&gt;0,
     COUNTIFS($AQ$3:$AQ$201,$M50)&gt;0,
     COUNTIFS($AR$3:$AR$201,$M50)&gt;0,
     COUNTIFS($AS$3:$AS$201,$M50)&gt;0,
     COUNTIFS($AT$3:$AT$201,$M50)&gt;0,
     COUNTIFS($AU$3:$AU$201,$M50)&gt;0,
     COUNTIFS($AV$3:$AV$201,$M50)&gt;0,
     COUNTIFS($AW$3:$AW$201,$M50)&gt;0
   )),
  ),
  4
 ),
"")</f>
        <v/>
      </c>
      <c r="BB50" t="str">
        <f ca="1"/>
        <v>Young Pyromancer</v>
      </c>
      <c r="BR50" t="str">
        <f ca="1"/>
        <v>Plaguecrafter</v>
      </c>
      <c r="BS50" t="str">
        <f ca="1"/>
        <v>Repudiar // Replicar</v>
      </c>
      <c r="CA50" t="str">
        <f ca="1"/>
        <v>Forest</v>
      </c>
      <c r="CB50" t="str">
        <f ca="1"/>
        <v>Powerbalance</v>
      </c>
      <c r="CF50" t="str">
        <f ca="1"/>
        <v>Dire Fleet Poisoner</v>
      </c>
      <c r="CG50" t="str">
        <f ca="1"/>
        <v>Palácio Opulento</v>
      </c>
      <c r="CI50" t="str">
        <f ca="1"/>
        <v>Crawling Infestation</v>
      </c>
    </row>
    <row r="51" spans="1:87" x14ac:dyDescent="0.25">
      <c r="A51" t="str">
        <f ca="1"/>
        <v>Commodore Guff</v>
      </c>
      <c r="B51" s="3" t="str" cm="1">
        <f t="array" aca="1" ref="B51" ca="1">_xlfn.ANCHORARRAY(RESUMO!C50)</f>
        <v>Sisay</v>
      </c>
      <c r="C51" s="3" t="str">
        <f t="shared" ca="1" si="0"/>
        <v/>
      </c>
      <c r="E51" t="str">
        <f ca="1"/>
        <v>Crib Swap</v>
      </c>
      <c r="F51" s="3">
        <f t="shared" ca="1" si="1"/>
        <v>1</v>
      </c>
      <c r="G51" s="3" t="str">
        <f t="shared" ca="1" si="2"/>
        <v>Baylen</v>
      </c>
      <c r="M51" t="str">
        <f ca="1"/>
        <v>Crib Swap</v>
      </c>
      <c r="N51" s="3">
        <f t="shared" ca="1" si="3"/>
        <v>1</v>
      </c>
      <c r="O51" s="3" t="str">
        <f ca="1">IFERROR(
 INDEX($T$2:$AW$2,
  MATCH(TRUE,
   CHOOSE({1;2;3;4;5;6;7;8;9;10;11;12;13;14;15;16;17;18;19;20;21;22;23;24;25;26;27;28;29;30;31;32},
    COUNTIFS($T$3:$T$201,$M51)&gt;0,
    COUNTIFS($U$3:$U$201,$M51)&gt;0,
    COUNTIFS($V$3:$V$201,$M51)&gt;0,
    COUNTIFS($W$3:$W$201,$M51)&gt;0,
    COUNTIFS($X$3:$X$201,$M51)&gt;0,
    COUNTIFS($Y$3:$Y$201,$M51)&gt;0,
    COUNTIFS($Z$3:$Z$201,$M51)&gt;0,
    COUNTIFS($AA$3:$AA$201,$M51)&gt;0,
    COUNTIFS($AB$3:$AB$201,$M51)&gt;0,
    COUNTIFS($AC$3:$AC$201,$M51)&gt;0,
    COUNTIFS($AD$3:$AD$201,$M51)&gt;0,
    COUNTIFS($AE$3:$AE$201,$M51)&gt;0,
    COUNTIFS($AF$3:$AF$201,$M51)&gt;0,
    COUNTIFS($AG$3:$AG$201,$M51)&gt;0,
    COUNTIFS($AH$3:$AH$201,$M51)&gt;0,
    COUNTIFS($AI$3:$AI$201,$M51)&gt;0,
    COUNTIFS($AJ$3:$AJ$201,$M51)&gt;0,
    COUNTIFS($AK$3:$AK$201,$M51)&gt;0,
    COUNTIFS($AL$3:$AL$201,$M51)&gt;0,
    COUNTIFS($AM$3:$AM$201,$M51)&gt;0,
    COUNTIFS($AN$3:$AN$201,$M51)&gt;0,
    COUNTIFS($AO$3:$AO$201,$M51)&gt;0,
    COUNTIFS($AP$3:$AP$201,$M51)&gt;0,
    COUNTIFS($AQ$3:$AQ$201,$M51)&gt;0,
    COUNTIFS($AR$3:$AR$201,$M51)&gt;0,
    COUNTIFS($AS$3:$AS$201,$M51)&gt;0,
    COUNTIFS($AT$3:$AT$201,$M51)&gt;0,
    COUNTIFS($AU$3:$AU$201,$M51)&gt;0,
    COUNTIFS($AV$3:$AV$201,$M51)&gt;0,
    COUNTIFS($AW$3:$AW$201,$M51)&gt;0
   ),
  0)
 ),
"")</f>
        <v>Baylen</v>
      </c>
      <c r="P51" s="3" t="str" cm="1">
        <f t="array" aca="1" ref="P51" ca="1">IFERROR(
 INDEX(
  _xlfn._xlws.FILTER($T$2:$AW$2,
   TRANSPOSE(
    CHOOSE({1;2;3;4;5;6;7;8;9;10;11;12;13;14;15;16;17;18;19;20;21;22;23;24;25;26;27;28;29;30},
     COUNTIFS($T$3:$T$201,$M51)&gt;0,
     COUNTIFS($U$3:$U$201,$M51)&gt;0,
     COUNTIFS($V$3:$V$201,$M51)&gt;0,
     COUNTIFS($W$3:$W$201,$M51)&gt;0,
     COUNTIFS($X$3:$X$201,$M51)&gt;0,
     COUNTIFS($Y$3:$Y$201,$M51)&gt;0,
     COUNTIFS($Z$3:$Z$201,$M51)&gt;0,
     COUNTIFS($AA$3:$AA$201,$M51)&gt;0,
     COUNTIFS($AB$3:$AB$201,$M51)&gt;0,
     COUNTIFS($AC$3:$AC$201,$M51)&gt;0,
     COUNTIFS($AD$3:$AD$201,$M51)&gt;0,
     COUNTIFS($AE$3:$AE$201,$M51)&gt;0,
     COUNTIFS($AF$3:$AF$201,$M51)&gt;0,
     COUNTIFS($AG$3:$AG$201,$M51)&gt;0,
     COUNTIFS($AH$3:$AH$201,$M51)&gt;0,
     COUNTIFS($AI$3:$AI$201,$M51)&gt;0,
     COUNTIFS($AJ$3:$AJ$201,$M51)&gt;0,
     COUNTIFS($AK$3:$AK$201,$M51)&gt;0,
     COUNTIFS($AL$3:$AL$201,$M51)&gt;0,
     COUNTIFS($AM$3:$AM$201,$M51)&gt;0,
     COUNTIFS($AN$3:$AN$201,$M51)&gt;0,
     COUNTIFS($AO$3:$AO$201,$M51)&gt;0,
     COUNTIFS($AP$3:$AP$201,$M51)&gt;0,
     COUNTIFS($AQ$3:$AQ$201,$M51)&gt;0,
     COUNTIFS($AR$3:$AR$201,$M51)&gt;0,
     COUNTIFS($AS$3:$AS$201,$M51)&gt;0,
     COUNTIFS($AT$3:$AT$201,$M51)&gt;0,
     COUNTIFS($AU$3:$AU$201,$M51)&gt;0,
     COUNTIFS($AV$3:$AV$201,$M51)&gt;0,
     COUNTIFS($AW$3:$AW$201,$M51)&gt;0
   )),
  ),
  2
 ),
"")</f>
        <v/>
      </c>
      <c r="Q51" s="3" t="str" cm="1">
        <f t="array" aca="1" ref="Q51" ca="1">IFERROR(
 INDEX(
  _xlfn._xlws.FILTER($T$2:$AW$2,
   TRANSPOSE(
    CHOOSE({1;2;3;4;5;6;7;8;9;10;11;12;13;14;15;16;17;18;19;20;21;22;23;24;25;26;27;28;29;30},
     COUNTIFS($T$3:$T$201,$M51)&gt;0,
     COUNTIFS($U$3:$U$201,$M51)&gt;0,
     COUNTIFS($V$3:$V$201,$M51)&gt;0,
     COUNTIFS($W$3:$W$201,$M51)&gt;0,
     COUNTIFS($X$3:$X$201,$M51)&gt;0,
     COUNTIFS($Y$3:$Y$201,$M51)&gt;0,
     COUNTIFS($Z$3:$Z$201,$M51)&gt;0,
     COUNTIFS($AA$3:$AA$201,$M51)&gt;0,
     COUNTIFS($AB$3:$AB$201,$M51)&gt;0,
     COUNTIFS($AC$3:$AC$201,$M51)&gt;0,
     COUNTIFS($AD$3:$AD$201,$M51)&gt;0,
     COUNTIFS($AE$3:$AE$201,$M51)&gt;0,
     COUNTIFS($AF$3:$AF$201,$M51)&gt;0,
     COUNTIFS($AG$3:$AG$201,$M51)&gt;0,
     COUNTIFS($AH$3:$AH$201,$M51)&gt;0,
     COUNTIFS($AI$3:$AI$201,$M51)&gt;0,
     COUNTIFS($AJ$3:$AJ$201,$M51)&gt;0,
     COUNTIFS($AK$3:$AK$201,$M51)&gt;0,
     COUNTIFS($AL$3:$AL$201,$M51)&gt;0,
     COUNTIFS($AM$3:$AM$201,$M51)&gt;0,
     COUNTIFS($AN$3:$AN$201,$M51)&gt;0,
     COUNTIFS($AO$3:$AO$201,$M51)&gt;0,
     COUNTIFS($AP$3:$AP$201,$M51)&gt;0,
     COUNTIFS($AQ$3:$AQ$201,$M51)&gt;0,
     COUNTIFS($AR$3:$AR$201,$M51)&gt;0,
     COUNTIFS($AS$3:$AS$201,$M51)&gt;0,
     COUNTIFS($AT$3:$AT$201,$M51)&gt;0,
     COUNTIFS($AU$3:$AU$201,$M51)&gt;0,
     COUNTIFS($AV$3:$AV$201,$M51)&gt;0,
     COUNTIFS($AW$3:$AW$201,$M51)&gt;0
   )),
  ),
  3
 ),
"")</f>
        <v/>
      </c>
      <c r="R51" s="3" t="str" cm="1">
        <f t="array" aca="1" ref="R51" ca="1">IFERROR(
 INDEX(
  _xlfn._xlws.FILTER($T$2:$AW$2,
   TRANSPOSE(
    CHOOSE({1;2;3;4;5;6;7;8;9;10;11;12;13;14;15;16;17;18;19;20;21;22;23;24;25;26;27;28;29;30},
     COUNTIFS($T$3:$T$201,$M51)&gt;0,
     COUNTIFS($U$3:$U$201,$M51)&gt;0,
     COUNTIFS($V$3:$V$201,$M51)&gt;0,
     COUNTIFS($W$3:$W$201,$M51)&gt;0,
     COUNTIFS($X$3:$X$201,$M51)&gt;0,
     COUNTIFS($Y$3:$Y$201,$M51)&gt;0,
     COUNTIFS($Z$3:$Z$201,$M51)&gt;0,
     COUNTIFS($AA$3:$AA$201,$M51)&gt;0,
     COUNTIFS($AB$3:$AB$201,$M51)&gt;0,
     COUNTIFS($AC$3:$AC$201,$M51)&gt;0,
     COUNTIFS($AD$3:$AD$201,$M51)&gt;0,
     COUNTIFS($AE$3:$AE$201,$M51)&gt;0,
     COUNTIFS($AF$3:$AF$201,$M51)&gt;0,
     COUNTIFS($AG$3:$AG$201,$M51)&gt;0,
     COUNTIFS($AH$3:$AH$201,$M51)&gt;0,
     COUNTIFS($AI$3:$AI$201,$M51)&gt;0,
     COUNTIFS($AJ$3:$AJ$201,$M51)&gt;0,
     COUNTIFS($AK$3:$AK$201,$M51)&gt;0,
     COUNTIFS($AL$3:$AL$201,$M51)&gt;0,
     COUNTIFS($AM$3:$AM$201,$M51)&gt;0,
     COUNTIFS($AN$3:$AN$201,$M51)&gt;0,
     COUNTIFS($AO$3:$AO$201,$M51)&gt;0,
     COUNTIFS($AP$3:$AP$201,$M51)&gt;0,
     COUNTIFS($AQ$3:$AQ$201,$M51)&gt;0,
     COUNTIFS($AR$3:$AR$201,$M51)&gt;0,
     COUNTIFS($AS$3:$AS$201,$M51)&gt;0,
     COUNTIFS($AT$3:$AT$201,$M51)&gt;0,
     COUNTIFS($AU$3:$AU$201,$M51)&gt;0,
     COUNTIFS($AV$3:$AV$201,$M51)&gt;0,
     COUNTIFS($AW$3:$AW$201,$M51)&gt;0
   )),
  ),
  4
 ),
"")</f>
        <v/>
      </c>
      <c r="BR51" t="str">
        <f ca="1"/>
        <v>Plains</v>
      </c>
      <c r="BS51" t="str">
        <f ca="1"/>
        <v>Retorno a Natureza</v>
      </c>
      <c r="CA51" t="str">
        <f ca="1"/>
        <v>Forno da Bruxa</v>
      </c>
      <c r="CB51" t="str">
        <f ca="1"/>
        <v>Protection Racket</v>
      </c>
      <c r="CF51" t="str">
        <f ca="1"/>
        <v>Discipulo do Demônio</v>
      </c>
      <c r="CG51" t="str">
        <f ca="1"/>
        <v>Pântano</v>
      </c>
      <c r="CI51" t="str">
        <f ca="1"/>
        <v>Crib Swap</v>
      </c>
    </row>
    <row r="52" spans="1:87" x14ac:dyDescent="0.25">
      <c r="A52" t="str">
        <f ca="1"/>
        <v>Counterspell</v>
      </c>
      <c r="B52" s="3" t="str" cm="1">
        <f t="array" aca="1" ref="B52" ca="1">_xlfn.ANCHORARRAY(RESUMO!C51)</f>
        <v>Rani</v>
      </c>
      <c r="C52" s="3" t="str">
        <f t="shared" ca="1" si="0"/>
        <v/>
      </c>
      <c r="E52" t="str">
        <f ca="1"/>
        <v>Crotalus Mortífero</v>
      </c>
      <c r="F52" s="3">
        <f t="shared" ca="1" si="1"/>
        <v>1</v>
      </c>
      <c r="G52" s="3" t="str">
        <f t="shared" ca="1" si="2"/>
        <v>Yuriko</v>
      </c>
      <c r="M52" t="str">
        <f ca="1"/>
        <v>Crotalus Mortífero</v>
      </c>
      <c r="N52" s="3">
        <f t="shared" ca="1" si="3"/>
        <v>1</v>
      </c>
      <c r="O52" s="3" t="str">
        <f ca="1">IFERROR(
 INDEX($T$2:$AW$2,
  MATCH(TRUE,
   CHOOSE({1;2;3;4;5;6;7;8;9;10;11;12;13;14;15;16;17;18;19;20;21;22;23;24;25;26;27;28;29;30;31;32},
    COUNTIFS($T$3:$T$201,$M52)&gt;0,
    COUNTIFS($U$3:$U$201,$M52)&gt;0,
    COUNTIFS($V$3:$V$201,$M52)&gt;0,
    COUNTIFS($W$3:$W$201,$M52)&gt;0,
    COUNTIFS($X$3:$X$201,$M52)&gt;0,
    COUNTIFS($Y$3:$Y$201,$M52)&gt;0,
    COUNTIFS($Z$3:$Z$201,$M52)&gt;0,
    COUNTIFS($AA$3:$AA$201,$M52)&gt;0,
    COUNTIFS($AB$3:$AB$201,$M52)&gt;0,
    COUNTIFS($AC$3:$AC$201,$M52)&gt;0,
    COUNTIFS($AD$3:$AD$201,$M52)&gt;0,
    COUNTIFS($AE$3:$AE$201,$M52)&gt;0,
    COUNTIFS($AF$3:$AF$201,$M52)&gt;0,
    COUNTIFS($AG$3:$AG$201,$M52)&gt;0,
    COUNTIFS($AH$3:$AH$201,$M52)&gt;0,
    COUNTIFS($AI$3:$AI$201,$M52)&gt;0,
    COUNTIFS($AJ$3:$AJ$201,$M52)&gt;0,
    COUNTIFS($AK$3:$AK$201,$M52)&gt;0,
    COUNTIFS($AL$3:$AL$201,$M52)&gt;0,
    COUNTIFS($AM$3:$AM$201,$M52)&gt;0,
    COUNTIFS($AN$3:$AN$201,$M52)&gt;0,
    COUNTIFS($AO$3:$AO$201,$M52)&gt;0,
    COUNTIFS($AP$3:$AP$201,$M52)&gt;0,
    COUNTIFS($AQ$3:$AQ$201,$M52)&gt;0,
    COUNTIFS($AR$3:$AR$201,$M52)&gt;0,
    COUNTIFS($AS$3:$AS$201,$M52)&gt;0,
    COUNTIFS($AT$3:$AT$201,$M52)&gt;0,
    COUNTIFS($AU$3:$AU$201,$M52)&gt;0,
    COUNTIFS($AV$3:$AV$201,$M52)&gt;0,
    COUNTIFS($AW$3:$AW$201,$M52)&gt;0
   ),
  0)
 ),
"")</f>
        <v>Yuriko</v>
      </c>
      <c r="P52" s="3" t="str" cm="1">
        <f t="array" aca="1" ref="P52" ca="1">IFERROR(
 INDEX(
  _xlfn._xlws.FILTER($T$2:$AW$2,
   TRANSPOSE(
    CHOOSE({1;2;3;4;5;6;7;8;9;10;11;12;13;14;15;16;17;18;19;20;21;22;23;24;25;26;27;28;29;30},
     COUNTIFS($T$3:$T$201,$M52)&gt;0,
     COUNTIFS($U$3:$U$201,$M52)&gt;0,
     COUNTIFS($V$3:$V$201,$M52)&gt;0,
     COUNTIFS($W$3:$W$201,$M52)&gt;0,
     COUNTIFS($X$3:$X$201,$M52)&gt;0,
     COUNTIFS($Y$3:$Y$201,$M52)&gt;0,
     COUNTIFS($Z$3:$Z$201,$M52)&gt;0,
     COUNTIFS($AA$3:$AA$201,$M52)&gt;0,
     COUNTIFS($AB$3:$AB$201,$M52)&gt;0,
     COUNTIFS($AC$3:$AC$201,$M52)&gt;0,
     COUNTIFS($AD$3:$AD$201,$M52)&gt;0,
     COUNTIFS($AE$3:$AE$201,$M52)&gt;0,
     COUNTIFS($AF$3:$AF$201,$M52)&gt;0,
     COUNTIFS($AG$3:$AG$201,$M52)&gt;0,
     COUNTIFS($AH$3:$AH$201,$M52)&gt;0,
     COUNTIFS($AI$3:$AI$201,$M52)&gt;0,
     COUNTIFS($AJ$3:$AJ$201,$M52)&gt;0,
     COUNTIFS($AK$3:$AK$201,$M52)&gt;0,
     COUNTIFS($AL$3:$AL$201,$M52)&gt;0,
     COUNTIFS($AM$3:$AM$201,$M52)&gt;0,
     COUNTIFS($AN$3:$AN$201,$M52)&gt;0,
     COUNTIFS($AO$3:$AO$201,$M52)&gt;0,
     COUNTIFS($AP$3:$AP$201,$M52)&gt;0,
     COUNTIFS($AQ$3:$AQ$201,$M52)&gt;0,
     COUNTIFS($AR$3:$AR$201,$M52)&gt;0,
     COUNTIFS($AS$3:$AS$201,$M52)&gt;0,
     COUNTIFS($AT$3:$AT$201,$M52)&gt;0,
     COUNTIFS($AU$3:$AU$201,$M52)&gt;0,
     COUNTIFS($AV$3:$AV$201,$M52)&gt;0,
     COUNTIFS($AW$3:$AW$201,$M52)&gt;0
   )),
  ),
  2
 ),
"")</f>
        <v/>
      </c>
      <c r="Q52" s="3" t="str" cm="1">
        <f t="array" aca="1" ref="Q52" ca="1">IFERROR(
 INDEX(
  _xlfn._xlws.FILTER($T$2:$AW$2,
   TRANSPOSE(
    CHOOSE({1;2;3;4;5;6;7;8;9;10;11;12;13;14;15;16;17;18;19;20;21;22;23;24;25;26;27;28;29;30},
     COUNTIFS($T$3:$T$201,$M52)&gt;0,
     COUNTIFS($U$3:$U$201,$M52)&gt;0,
     COUNTIFS($V$3:$V$201,$M52)&gt;0,
     COUNTIFS($W$3:$W$201,$M52)&gt;0,
     COUNTIFS($X$3:$X$201,$M52)&gt;0,
     COUNTIFS($Y$3:$Y$201,$M52)&gt;0,
     COUNTIFS($Z$3:$Z$201,$M52)&gt;0,
     COUNTIFS($AA$3:$AA$201,$M52)&gt;0,
     COUNTIFS($AB$3:$AB$201,$M52)&gt;0,
     COUNTIFS($AC$3:$AC$201,$M52)&gt;0,
     COUNTIFS($AD$3:$AD$201,$M52)&gt;0,
     COUNTIFS($AE$3:$AE$201,$M52)&gt;0,
     COUNTIFS($AF$3:$AF$201,$M52)&gt;0,
     COUNTIFS($AG$3:$AG$201,$M52)&gt;0,
     COUNTIFS($AH$3:$AH$201,$M52)&gt;0,
     COUNTIFS($AI$3:$AI$201,$M52)&gt;0,
     COUNTIFS($AJ$3:$AJ$201,$M52)&gt;0,
     COUNTIFS($AK$3:$AK$201,$M52)&gt;0,
     COUNTIFS($AL$3:$AL$201,$M52)&gt;0,
     COUNTIFS($AM$3:$AM$201,$M52)&gt;0,
     COUNTIFS($AN$3:$AN$201,$M52)&gt;0,
     COUNTIFS($AO$3:$AO$201,$M52)&gt;0,
     COUNTIFS($AP$3:$AP$201,$M52)&gt;0,
     COUNTIFS($AQ$3:$AQ$201,$M52)&gt;0,
     COUNTIFS($AR$3:$AR$201,$M52)&gt;0,
     COUNTIFS($AS$3:$AS$201,$M52)&gt;0,
     COUNTIFS($AT$3:$AT$201,$M52)&gt;0,
     COUNTIFS($AU$3:$AU$201,$M52)&gt;0,
     COUNTIFS($AV$3:$AV$201,$M52)&gt;0,
     COUNTIFS($AW$3:$AW$201,$M52)&gt;0
   )),
  ),
  3
 ),
"")</f>
        <v/>
      </c>
      <c r="R52" s="3" t="str" cm="1">
        <f t="array" aca="1" ref="R52" ca="1">IFERROR(
 INDEX(
  _xlfn._xlws.FILTER($T$2:$AW$2,
   TRANSPOSE(
    CHOOSE({1;2;3;4;5;6;7;8;9;10;11;12;13;14;15;16;17;18;19;20;21;22;23;24;25;26;27;28;29;30},
     COUNTIFS($T$3:$T$201,$M52)&gt;0,
     COUNTIFS($U$3:$U$201,$M52)&gt;0,
     COUNTIFS($V$3:$V$201,$M52)&gt;0,
     COUNTIFS($W$3:$W$201,$M52)&gt;0,
     COUNTIFS($X$3:$X$201,$M52)&gt;0,
     COUNTIFS($Y$3:$Y$201,$M52)&gt;0,
     COUNTIFS($Z$3:$Z$201,$M52)&gt;0,
     COUNTIFS($AA$3:$AA$201,$M52)&gt;0,
     COUNTIFS($AB$3:$AB$201,$M52)&gt;0,
     COUNTIFS($AC$3:$AC$201,$M52)&gt;0,
     COUNTIFS($AD$3:$AD$201,$M52)&gt;0,
     COUNTIFS($AE$3:$AE$201,$M52)&gt;0,
     COUNTIFS($AF$3:$AF$201,$M52)&gt;0,
     COUNTIFS($AG$3:$AG$201,$M52)&gt;0,
     COUNTIFS($AH$3:$AH$201,$M52)&gt;0,
     COUNTIFS($AI$3:$AI$201,$M52)&gt;0,
     COUNTIFS($AJ$3:$AJ$201,$M52)&gt;0,
     COUNTIFS($AK$3:$AK$201,$M52)&gt;0,
     COUNTIFS($AL$3:$AL$201,$M52)&gt;0,
     COUNTIFS($AM$3:$AM$201,$M52)&gt;0,
     COUNTIFS($AN$3:$AN$201,$M52)&gt;0,
     COUNTIFS($AO$3:$AO$201,$M52)&gt;0,
     COUNTIFS($AP$3:$AP$201,$M52)&gt;0,
     COUNTIFS($AQ$3:$AQ$201,$M52)&gt;0,
     COUNTIFS($AR$3:$AR$201,$M52)&gt;0,
     COUNTIFS($AS$3:$AS$201,$M52)&gt;0,
     COUNTIFS($AT$3:$AT$201,$M52)&gt;0,
     COUNTIFS($AU$3:$AU$201,$M52)&gt;0,
     COUNTIFS($AV$3:$AV$201,$M52)&gt;0,
     COUNTIFS($AW$3:$AW$201,$M52)&gt;0
   )),
  ),
  4
 ),
"")</f>
        <v/>
      </c>
      <c r="BR52" t="str">
        <f ca="1"/>
        <v>Polimorfismo em Massa</v>
      </c>
      <c r="BS52" t="str">
        <f ca="1"/>
        <v>Rite of the Raging Storm</v>
      </c>
      <c r="CA52" t="str">
        <f ca="1"/>
        <v>Fraying Sanity</v>
      </c>
      <c r="CB52" t="str">
        <f ca="1"/>
        <v>Quasiduplicata</v>
      </c>
      <c r="CF52" t="str">
        <f ca="1"/>
        <v>Dissipation Field</v>
      </c>
      <c r="CG52" t="str">
        <f ca="1"/>
        <v>Pensamento Sombrio</v>
      </c>
      <c r="CI52" t="str">
        <f ca="1"/>
        <v>Crotalus Mortífero</v>
      </c>
    </row>
    <row r="53" spans="1:87" x14ac:dyDescent="0.25">
      <c r="A53" t="str">
        <f ca="1"/>
        <v>Creeping Tar Pit</v>
      </c>
      <c r="B53" s="3" t="str" cm="1">
        <f t="array" aca="1" ref="B53" ca="1">_xlfn.ANCHORARRAY(RESUMO!C52)</f>
        <v>Yuriko</v>
      </c>
      <c r="C53" s="3" t="str">
        <f t="shared" ca="1" si="0"/>
        <v/>
      </c>
      <c r="E53" t="str">
        <f ca="1"/>
        <v>Culling Dais</v>
      </c>
      <c r="F53" s="3">
        <f t="shared" ca="1" si="1"/>
        <v>1</v>
      </c>
      <c r="G53" s="3" t="str">
        <f t="shared" ca="1" si="2"/>
        <v>Modular</v>
      </c>
      <c r="M53" t="str">
        <f ca="1"/>
        <v>Culling Dais</v>
      </c>
      <c r="N53" s="3">
        <f t="shared" ca="1" si="3"/>
        <v>1</v>
      </c>
      <c r="O53" s="3" t="str">
        <f ca="1">IFERROR(
 INDEX($T$2:$AW$2,
  MATCH(TRUE,
   CHOOSE({1;2;3;4;5;6;7;8;9;10;11;12;13;14;15;16;17;18;19;20;21;22;23;24;25;26;27;28;29;30;31;32},
    COUNTIFS($T$3:$T$201,$M53)&gt;0,
    COUNTIFS($U$3:$U$201,$M53)&gt;0,
    COUNTIFS($V$3:$V$201,$M53)&gt;0,
    COUNTIFS($W$3:$W$201,$M53)&gt;0,
    COUNTIFS($X$3:$X$201,$M53)&gt;0,
    COUNTIFS($Y$3:$Y$201,$M53)&gt;0,
    COUNTIFS($Z$3:$Z$201,$M53)&gt;0,
    COUNTIFS($AA$3:$AA$201,$M53)&gt;0,
    COUNTIFS($AB$3:$AB$201,$M53)&gt;0,
    COUNTIFS($AC$3:$AC$201,$M53)&gt;0,
    COUNTIFS($AD$3:$AD$201,$M53)&gt;0,
    COUNTIFS($AE$3:$AE$201,$M53)&gt;0,
    COUNTIFS($AF$3:$AF$201,$M53)&gt;0,
    COUNTIFS($AG$3:$AG$201,$M53)&gt;0,
    COUNTIFS($AH$3:$AH$201,$M53)&gt;0,
    COUNTIFS($AI$3:$AI$201,$M53)&gt;0,
    COUNTIFS($AJ$3:$AJ$201,$M53)&gt;0,
    COUNTIFS($AK$3:$AK$201,$M53)&gt;0,
    COUNTIFS($AL$3:$AL$201,$M53)&gt;0,
    COUNTIFS($AM$3:$AM$201,$M53)&gt;0,
    COUNTIFS($AN$3:$AN$201,$M53)&gt;0,
    COUNTIFS($AO$3:$AO$201,$M53)&gt;0,
    COUNTIFS($AP$3:$AP$201,$M53)&gt;0,
    COUNTIFS($AQ$3:$AQ$201,$M53)&gt;0,
    COUNTIFS($AR$3:$AR$201,$M53)&gt;0,
    COUNTIFS($AS$3:$AS$201,$M53)&gt;0,
    COUNTIFS($AT$3:$AT$201,$M53)&gt;0,
    COUNTIFS($AU$3:$AU$201,$M53)&gt;0,
    COUNTIFS($AV$3:$AV$201,$M53)&gt;0,
    COUNTIFS($AW$3:$AW$201,$M53)&gt;0
   ),
  0)
 ),
"")</f>
        <v>Modular</v>
      </c>
      <c r="P53" s="3" t="str" cm="1">
        <f t="array" aca="1" ref="P53" ca="1">IFERROR(
 INDEX(
  _xlfn._xlws.FILTER($T$2:$AW$2,
   TRANSPOSE(
    CHOOSE({1;2;3;4;5;6;7;8;9;10;11;12;13;14;15;16;17;18;19;20;21;22;23;24;25;26;27;28;29;30},
     COUNTIFS($T$3:$T$201,$M53)&gt;0,
     COUNTIFS($U$3:$U$201,$M53)&gt;0,
     COUNTIFS($V$3:$V$201,$M53)&gt;0,
     COUNTIFS($W$3:$W$201,$M53)&gt;0,
     COUNTIFS($X$3:$X$201,$M53)&gt;0,
     COUNTIFS($Y$3:$Y$201,$M53)&gt;0,
     COUNTIFS($Z$3:$Z$201,$M53)&gt;0,
     COUNTIFS($AA$3:$AA$201,$M53)&gt;0,
     COUNTIFS($AB$3:$AB$201,$M53)&gt;0,
     COUNTIFS($AC$3:$AC$201,$M53)&gt;0,
     COUNTIFS($AD$3:$AD$201,$M53)&gt;0,
     COUNTIFS($AE$3:$AE$201,$M53)&gt;0,
     COUNTIFS($AF$3:$AF$201,$M53)&gt;0,
     COUNTIFS($AG$3:$AG$201,$M53)&gt;0,
     COUNTIFS($AH$3:$AH$201,$M53)&gt;0,
     COUNTIFS($AI$3:$AI$201,$M53)&gt;0,
     COUNTIFS($AJ$3:$AJ$201,$M53)&gt;0,
     COUNTIFS($AK$3:$AK$201,$M53)&gt;0,
     COUNTIFS($AL$3:$AL$201,$M53)&gt;0,
     COUNTIFS($AM$3:$AM$201,$M53)&gt;0,
     COUNTIFS($AN$3:$AN$201,$M53)&gt;0,
     COUNTIFS($AO$3:$AO$201,$M53)&gt;0,
     COUNTIFS($AP$3:$AP$201,$M53)&gt;0,
     COUNTIFS($AQ$3:$AQ$201,$M53)&gt;0,
     COUNTIFS($AR$3:$AR$201,$M53)&gt;0,
     COUNTIFS($AS$3:$AS$201,$M53)&gt;0,
     COUNTIFS($AT$3:$AT$201,$M53)&gt;0,
     COUNTIFS($AU$3:$AU$201,$M53)&gt;0,
     COUNTIFS($AV$3:$AV$201,$M53)&gt;0,
     COUNTIFS($AW$3:$AW$201,$M53)&gt;0
   )),
  ),
  2
 ),
"")</f>
        <v/>
      </c>
      <c r="Q53" s="3" t="str" cm="1">
        <f t="array" aca="1" ref="Q53" ca="1">IFERROR(
 INDEX(
  _xlfn._xlws.FILTER($T$2:$AW$2,
   TRANSPOSE(
    CHOOSE({1;2;3;4;5;6;7;8;9;10;11;12;13;14;15;16;17;18;19;20;21;22;23;24;25;26;27;28;29;30},
     COUNTIFS($T$3:$T$201,$M53)&gt;0,
     COUNTIFS($U$3:$U$201,$M53)&gt;0,
     COUNTIFS($V$3:$V$201,$M53)&gt;0,
     COUNTIFS($W$3:$W$201,$M53)&gt;0,
     COUNTIFS($X$3:$X$201,$M53)&gt;0,
     COUNTIFS($Y$3:$Y$201,$M53)&gt;0,
     COUNTIFS($Z$3:$Z$201,$M53)&gt;0,
     COUNTIFS($AA$3:$AA$201,$M53)&gt;0,
     COUNTIFS($AB$3:$AB$201,$M53)&gt;0,
     COUNTIFS($AC$3:$AC$201,$M53)&gt;0,
     COUNTIFS($AD$3:$AD$201,$M53)&gt;0,
     COUNTIFS($AE$3:$AE$201,$M53)&gt;0,
     COUNTIFS($AF$3:$AF$201,$M53)&gt;0,
     COUNTIFS($AG$3:$AG$201,$M53)&gt;0,
     COUNTIFS($AH$3:$AH$201,$M53)&gt;0,
     COUNTIFS($AI$3:$AI$201,$M53)&gt;0,
     COUNTIFS($AJ$3:$AJ$201,$M53)&gt;0,
     COUNTIFS($AK$3:$AK$201,$M53)&gt;0,
     COUNTIFS($AL$3:$AL$201,$M53)&gt;0,
     COUNTIFS($AM$3:$AM$201,$M53)&gt;0,
     COUNTIFS($AN$3:$AN$201,$M53)&gt;0,
     COUNTIFS($AO$3:$AO$201,$M53)&gt;0,
     COUNTIFS($AP$3:$AP$201,$M53)&gt;0,
     COUNTIFS($AQ$3:$AQ$201,$M53)&gt;0,
     COUNTIFS($AR$3:$AR$201,$M53)&gt;0,
     COUNTIFS($AS$3:$AS$201,$M53)&gt;0,
     COUNTIFS($AT$3:$AT$201,$M53)&gt;0,
     COUNTIFS($AU$3:$AU$201,$M53)&gt;0,
     COUNTIFS($AV$3:$AV$201,$M53)&gt;0,
     COUNTIFS($AW$3:$AW$201,$M53)&gt;0
   )),
  ),
  3
 ),
"")</f>
        <v/>
      </c>
      <c r="R53" s="3" t="str" cm="1">
        <f t="array" aca="1" ref="R53" ca="1">IFERROR(
 INDEX(
  _xlfn._xlws.FILTER($T$2:$AW$2,
   TRANSPOSE(
    CHOOSE({1;2;3;4;5;6;7;8;9;10;11;12;13;14;15;16;17;18;19;20;21;22;23;24;25;26;27;28;29;30},
     COUNTIFS($T$3:$T$201,$M53)&gt;0,
     COUNTIFS($U$3:$U$201,$M53)&gt;0,
     COUNTIFS($V$3:$V$201,$M53)&gt;0,
     COUNTIFS($W$3:$W$201,$M53)&gt;0,
     COUNTIFS($X$3:$X$201,$M53)&gt;0,
     COUNTIFS($Y$3:$Y$201,$M53)&gt;0,
     COUNTIFS($Z$3:$Z$201,$M53)&gt;0,
     COUNTIFS($AA$3:$AA$201,$M53)&gt;0,
     COUNTIFS($AB$3:$AB$201,$M53)&gt;0,
     COUNTIFS($AC$3:$AC$201,$M53)&gt;0,
     COUNTIFS($AD$3:$AD$201,$M53)&gt;0,
     COUNTIFS($AE$3:$AE$201,$M53)&gt;0,
     COUNTIFS($AF$3:$AF$201,$M53)&gt;0,
     COUNTIFS($AG$3:$AG$201,$M53)&gt;0,
     COUNTIFS($AH$3:$AH$201,$M53)&gt;0,
     COUNTIFS($AI$3:$AI$201,$M53)&gt;0,
     COUNTIFS($AJ$3:$AJ$201,$M53)&gt;0,
     COUNTIFS($AK$3:$AK$201,$M53)&gt;0,
     COUNTIFS($AL$3:$AL$201,$M53)&gt;0,
     COUNTIFS($AM$3:$AM$201,$M53)&gt;0,
     COUNTIFS($AN$3:$AN$201,$M53)&gt;0,
     COUNTIFS($AO$3:$AO$201,$M53)&gt;0,
     COUNTIFS($AP$3:$AP$201,$M53)&gt;0,
     COUNTIFS($AQ$3:$AQ$201,$M53)&gt;0,
     COUNTIFS($AR$3:$AR$201,$M53)&gt;0,
     COUNTIFS($AS$3:$AS$201,$M53)&gt;0,
     COUNTIFS($AT$3:$AT$201,$M53)&gt;0,
     COUNTIFS($AU$3:$AU$201,$M53)&gt;0,
     COUNTIFS($AV$3:$AV$201,$M53)&gt;0,
     COUNTIFS($AW$3:$AW$201,$M53)&gt;0
   )),
  ),
  4
 ),
"")</f>
        <v/>
      </c>
      <c r="BR53" t="str">
        <f ca="1"/>
        <v>Ponte Levadiça Esmagadora</v>
      </c>
      <c r="BS53" t="str">
        <f ca="1"/>
        <v>Sanctuary Warden</v>
      </c>
      <c r="CA53" t="str">
        <f ca="1"/>
        <v>Fumiko, the Lowblood</v>
      </c>
      <c r="CB53" t="str">
        <f ca="1"/>
        <v>Repartir o Véu D'Água</v>
      </c>
      <c r="CF53" t="str">
        <f ca="1"/>
        <v>Drowned Catacomb</v>
      </c>
      <c r="CG53" t="str">
        <f ca="1"/>
        <v>Piscar de Olhos</v>
      </c>
      <c r="CI53" t="str">
        <f ca="1"/>
        <v>Culling Dais</v>
      </c>
    </row>
    <row r="54" spans="1:87" x14ac:dyDescent="0.25">
      <c r="A54" t="str">
        <f ca="1"/>
        <v>Crisol dos Mundos</v>
      </c>
      <c r="B54" s="3" t="str" cm="1">
        <f t="array" aca="1" ref="B54" ca="1">_xlfn.ANCHORARRAY(RESUMO!C53)</f>
        <v>Gritrog</v>
      </c>
      <c r="C54" s="3" t="str">
        <f t="shared" ca="1" si="0"/>
        <v/>
      </c>
      <c r="E54" t="str">
        <f ca="1"/>
        <v>Cultivadora de Lâminas</v>
      </c>
      <c r="F54" s="3">
        <f t="shared" ca="1" si="1"/>
        <v>1</v>
      </c>
      <c r="G54" s="3" t="str">
        <f t="shared" ca="1" si="2"/>
        <v>Modular</v>
      </c>
      <c r="M54" t="str">
        <f ca="1"/>
        <v>Cultivadora de Lâminas</v>
      </c>
      <c r="N54" s="3">
        <f t="shared" ca="1" si="3"/>
        <v>1</v>
      </c>
      <c r="O54" s="3" t="str">
        <f ca="1">IFERROR(
 INDEX($T$2:$AW$2,
  MATCH(TRUE,
   CHOOSE({1;2;3;4;5;6;7;8;9;10;11;12;13;14;15;16;17;18;19;20;21;22;23;24;25;26;27;28;29;30;31;32},
    COUNTIFS($T$3:$T$201,$M54)&gt;0,
    COUNTIFS($U$3:$U$201,$M54)&gt;0,
    COUNTIFS($V$3:$V$201,$M54)&gt;0,
    COUNTIFS($W$3:$W$201,$M54)&gt;0,
    COUNTIFS($X$3:$X$201,$M54)&gt;0,
    COUNTIFS($Y$3:$Y$201,$M54)&gt;0,
    COUNTIFS($Z$3:$Z$201,$M54)&gt;0,
    COUNTIFS($AA$3:$AA$201,$M54)&gt;0,
    COUNTIFS($AB$3:$AB$201,$M54)&gt;0,
    COUNTIFS($AC$3:$AC$201,$M54)&gt;0,
    COUNTIFS($AD$3:$AD$201,$M54)&gt;0,
    COUNTIFS($AE$3:$AE$201,$M54)&gt;0,
    COUNTIFS($AF$3:$AF$201,$M54)&gt;0,
    COUNTIFS($AG$3:$AG$201,$M54)&gt;0,
    COUNTIFS($AH$3:$AH$201,$M54)&gt;0,
    COUNTIFS($AI$3:$AI$201,$M54)&gt;0,
    COUNTIFS($AJ$3:$AJ$201,$M54)&gt;0,
    COUNTIFS($AK$3:$AK$201,$M54)&gt;0,
    COUNTIFS($AL$3:$AL$201,$M54)&gt;0,
    COUNTIFS($AM$3:$AM$201,$M54)&gt;0,
    COUNTIFS($AN$3:$AN$201,$M54)&gt;0,
    COUNTIFS($AO$3:$AO$201,$M54)&gt;0,
    COUNTIFS($AP$3:$AP$201,$M54)&gt;0,
    COUNTIFS($AQ$3:$AQ$201,$M54)&gt;0,
    COUNTIFS($AR$3:$AR$201,$M54)&gt;0,
    COUNTIFS($AS$3:$AS$201,$M54)&gt;0,
    COUNTIFS($AT$3:$AT$201,$M54)&gt;0,
    COUNTIFS($AU$3:$AU$201,$M54)&gt;0,
    COUNTIFS($AV$3:$AV$201,$M54)&gt;0,
    COUNTIFS($AW$3:$AW$201,$M54)&gt;0
   ),
  0)
 ),
"")</f>
        <v>Modular</v>
      </c>
      <c r="P54" s="3" t="str" cm="1">
        <f t="array" aca="1" ref="P54" ca="1">IFERROR(
 INDEX(
  _xlfn._xlws.FILTER($T$2:$AW$2,
   TRANSPOSE(
    CHOOSE({1;2;3;4;5;6;7;8;9;10;11;12;13;14;15;16;17;18;19;20;21;22;23;24;25;26;27;28;29;30},
     COUNTIFS($T$3:$T$201,$M54)&gt;0,
     COUNTIFS($U$3:$U$201,$M54)&gt;0,
     COUNTIFS($V$3:$V$201,$M54)&gt;0,
     COUNTIFS($W$3:$W$201,$M54)&gt;0,
     COUNTIFS($X$3:$X$201,$M54)&gt;0,
     COUNTIFS($Y$3:$Y$201,$M54)&gt;0,
     COUNTIFS($Z$3:$Z$201,$M54)&gt;0,
     COUNTIFS($AA$3:$AA$201,$M54)&gt;0,
     COUNTIFS($AB$3:$AB$201,$M54)&gt;0,
     COUNTIFS($AC$3:$AC$201,$M54)&gt;0,
     COUNTIFS($AD$3:$AD$201,$M54)&gt;0,
     COUNTIFS($AE$3:$AE$201,$M54)&gt;0,
     COUNTIFS($AF$3:$AF$201,$M54)&gt;0,
     COUNTIFS($AG$3:$AG$201,$M54)&gt;0,
     COUNTIFS($AH$3:$AH$201,$M54)&gt;0,
     COUNTIFS($AI$3:$AI$201,$M54)&gt;0,
     COUNTIFS($AJ$3:$AJ$201,$M54)&gt;0,
     COUNTIFS($AK$3:$AK$201,$M54)&gt;0,
     COUNTIFS($AL$3:$AL$201,$M54)&gt;0,
     COUNTIFS($AM$3:$AM$201,$M54)&gt;0,
     COUNTIFS($AN$3:$AN$201,$M54)&gt;0,
     COUNTIFS($AO$3:$AO$201,$M54)&gt;0,
     COUNTIFS($AP$3:$AP$201,$M54)&gt;0,
     COUNTIFS($AQ$3:$AQ$201,$M54)&gt;0,
     COUNTIFS($AR$3:$AR$201,$M54)&gt;0,
     COUNTIFS($AS$3:$AS$201,$M54)&gt;0,
     COUNTIFS($AT$3:$AT$201,$M54)&gt;0,
     COUNTIFS($AU$3:$AU$201,$M54)&gt;0,
     COUNTIFS($AV$3:$AV$201,$M54)&gt;0,
     COUNTIFS($AW$3:$AW$201,$M54)&gt;0
   )),
  ),
  2
 ),
"")</f>
        <v/>
      </c>
      <c r="Q54" s="3" t="str" cm="1">
        <f t="array" aca="1" ref="Q54" ca="1">IFERROR(
 INDEX(
  _xlfn._xlws.FILTER($T$2:$AW$2,
   TRANSPOSE(
    CHOOSE({1;2;3;4;5;6;7;8;9;10;11;12;13;14;15;16;17;18;19;20;21;22;23;24;25;26;27;28;29;30},
     COUNTIFS($T$3:$T$201,$M54)&gt;0,
     COUNTIFS($U$3:$U$201,$M54)&gt;0,
     COUNTIFS($V$3:$V$201,$M54)&gt;0,
     COUNTIFS($W$3:$W$201,$M54)&gt;0,
     COUNTIFS($X$3:$X$201,$M54)&gt;0,
     COUNTIFS($Y$3:$Y$201,$M54)&gt;0,
     COUNTIFS($Z$3:$Z$201,$M54)&gt;0,
     COUNTIFS($AA$3:$AA$201,$M54)&gt;0,
     COUNTIFS($AB$3:$AB$201,$M54)&gt;0,
     COUNTIFS($AC$3:$AC$201,$M54)&gt;0,
     COUNTIFS($AD$3:$AD$201,$M54)&gt;0,
     COUNTIFS($AE$3:$AE$201,$M54)&gt;0,
     COUNTIFS($AF$3:$AF$201,$M54)&gt;0,
     COUNTIFS($AG$3:$AG$201,$M54)&gt;0,
     COUNTIFS($AH$3:$AH$201,$M54)&gt;0,
     COUNTIFS($AI$3:$AI$201,$M54)&gt;0,
     COUNTIFS($AJ$3:$AJ$201,$M54)&gt;0,
     COUNTIFS($AK$3:$AK$201,$M54)&gt;0,
     COUNTIFS($AL$3:$AL$201,$M54)&gt;0,
     COUNTIFS($AM$3:$AM$201,$M54)&gt;0,
     COUNTIFS($AN$3:$AN$201,$M54)&gt;0,
     COUNTIFS($AO$3:$AO$201,$M54)&gt;0,
     COUNTIFS($AP$3:$AP$201,$M54)&gt;0,
     COUNTIFS($AQ$3:$AQ$201,$M54)&gt;0,
     COUNTIFS($AR$3:$AR$201,$M54)&gt;0,
     COUNTIFS($AS$3:$AS$201,$M54)&gt;0,
     COUNTIFS($AT$3:$AT$201,$M54)&gt;0,
     COUNTIFS($AU$3:$AU$201,$M54)&gt;0,
     COUNTIFS($AV$3:$AV$201,$M54)&gt;0,
     COUNTIFS($AW$3:$AW$201,$M54)&gt;0
   )),
  ),
  3
 ),
"")</f>
        <v/>
      </c>
      <c r="R54" s="3" t="str" cm="1">
        <f t="array" aca="1" ref="R54" ca="1">IFERROR(
 INDEX(
  _xlfn._xlws.FILTER($T$2:$AW$2,
   TRANSPOSE(
    CHOOSE({1;2;3;4;5;6;7;8;9;10;11;12;13;14;15;16;17;18;19;20;21;22;23;24;25;26;27;28;29;30},
     COUNTIFS($T$3:$T$201,$M54)&gt;0,
     COUNTIFS($U$3:$U$201,$M54)&gt;0,
     COUNTIFS($V$3:$V$201,$M54)&gt;0,
     COUNTIFS($W$3:$W$201,$M54)&gt;0,
     COUNTIFS($X$3:$X$201,$M54)&gt;0,
     COUNTIFS($Y$3:$Y$201,$M54)&gt;0,
     COUNTIFS($Z$3:$Z$201,$M54)&gt;0,
     COUNTIFS($AA$3:$AA$201,$M54)&gt;0,
     COUNTIFS($AB$3:$AB$201,$M54)&gt;0,
     COUNTIFS($AC$3:$AC$201,$M54)&gt;0,
     COUNTIFS($AD$3:$AD$201,$M54)&gt;0,
     COUNTIFS($AE$3:$AE$201,$M54)&gt;0,
     COUNTIFS($AF$3:$AF$201,$M54)&gt;0,
     COUNTIFS($AG$3:$AG$201,$M54)&gt;0,
     COUNTIFS($AH$3:$AH$201,$M54)&gt;0,
     COUNTIFS($AI$3:$AI$201,$M54)&gt;0,
     COUNTIFS($AJ$3:$AJ$201,$M54)&gt;0,
     COUNTIFS($AK$3:$AK$201,$M54)&gt;0,
     COUNTIFS($AL$3:$AL$201,$M54)&gt;0,
     COUNTIFS($AM$3:$AM$201,$M54)&gt;0,
     COUNTIFS($AN$3:$AN$201,$M54)&gt;0,
     COUNTIFS($AO$3:$AO$201,$M54)&gt;0,
     COUNTIFS($AP$3:$AP$201,$M54)&gt;0,
     COUNTIFS($AQ$3:$AQ$201,$M54)&gt;0,
     COUNTIFS($AR$3:$AR$201,$M54)&gt;0,
     COUNTIFS($AS$3:$AS$201,$M54)&gt;0,
     COUNTIFS($AT$3:$AT$201,$M54)&gt;0,
     COUNTIFS($AU$3:$AU$201,$M54)&gt;0,
     COUNTIFS($AV$3:$AV$201,$M54)&gt;0,
     COUNTIFS($AW$3:$AW$201,$M54)&gt;0
   )),
  ),
  4
 ),
"")</f>
        <v/>
      </c>
      <c r="BR54" t="str">
        <f ca="1"/>
        <v>Ponte Musgomosto</v>
      </c>
      <c r="BS54" t="str">
        <f ca="1"/>
        <v>Scavenging Ooze</v>
      </c>
      <c r="CA54" t="str">
        <f ca="1"/>
        <v>Garra Krosana</v>
      </c>
      <c r="CB54" t="str">
        <f ca="1"/>
        <v>Restituir</v>
      </c>
      <c r="CF54" t="str">
        <f ca="1"/>
        <v>Duplicant</v>
      </c>
      <c r="CG54" t="str">
        <f ca="1"/>
        <v>Planície</v>
      </c>
      <c r="CI54" t="str">
        <f ca="1"/>
        <v>Cultivadora de Lâminas</v>
      </c>
    </row>
    <row r="55" spans="1:87" x14ac:dyDescent="0.25">
      <c r="A55" t="str">
        <f ca="1"/>
        <v>Cyber Conversion</v>
      </c>
      <c r="B55" s="3" t="str" cm="1">
        <f t="array" aca="1" ref="B55" ca="1">_xlfn.ANCHORARRAY(RESUMO!C54)</f>
        <v>Rani</v>
      </c>
      <c r="C55" s="3" t="str">
        <f t="shared" ca="1" si="0"/>
        <v/>
      </c>
      <c r="E55" t="str">
        <f ca="1"/>
        <v>Cultivar</v>
      </c>
      <c r="F55" s="3">
        <f t="shared" ca="1" si="1"/>
        <v>1</v>
      </c>
      <c r="G55" s="3" t="str">
        <f t="shared" ca="1" si="2"/>
        <v>Modular</v>
      </c>
      <c r="M55" t="str">
        <f ca="1"/>
        <v>Cultivar</v>
      </c>
      <c r="N55" s="3">
        <f t="shared" ca="1" si="3"/>
        <v>1</v>
      </c>
      <c r="O55" s="3" t="str">
        <f ca="1">IFERROR(
 INDEX($T$2:$AW$2,
  MATCH(TRUE,
   CHOOSE({1;2;3;4;5;6;7;8;9;10;11;12;13;14;15;16;17;18;19;20;21;22;23;24;25;26;27;28;29;30;31;32},
    COUNTIFS($T$3:$T$201,$M55)&gt;0,
    COUNTIFS($U$3:$U$201,$M55)&gt;0,
    COUNTIFS($V$3:$V$201,$M55)&gt;0,
    COUNTIFS($W$3:$W$201,$M55)&gt;0,
    COUNTIFS($X$3:$X$201,$M55)&gt;0,
    COUNTIFS($Y$3:$Y$201,$M55)&gt;0,
    COUNTIFS($Z$3:$Z$201,$M55)&gt;0,
    COUNTIFS($AA$3:$AA$201,$M55)&gt;0,
    COUNTIFS($AB$3:$AB$201,$M55)&gt;0,
    COUNTIFS($AC$3:$AC$201,$M55)&gt;0,
    COUNTIFS($AD$3:$AD$201,$M55)&gt;0,
    COUNTIFS($AE$3:$AE$201,$M55)&gt;0,
    COUNTIFS($AF$3:$AF$201,$M55)&gt;0,
    COUNTIFS($AG$3:$AG$201,$M55)&gt;0,
    COUNTIFS($AH$3:$AH$201,$M55)&gt;0,
    COUNTIFS($AI$3:$AI$201,$M55)&gt;0,
    COUNTIFS($AJ$3:$AJ$201,$M55)&gt;0,
    COUNTIFS($AK$3:$AK$201,$M55)&gt;0,
    COUNTIFS($AL$3:$AL$201,$M55)&gt;0,
    COUNTIFS($AM$3:$AM$201,$M55)&gt;0,
    COUNTIFS($AN$3:$AN$201,$M55)&gt;0,
    COUNTIFS($AO$3:$AO$201,$M55)&gt;0,
    COUNTIFS($AP$3:$AP$201,$M55)&gt;0,
    COUNTIFS($AQ$3:$AQ$201,$M55)&gt;0,
    COUNTIFS($AR$3:$AR$201,$M55)&gt;0,
    COUNTIFS($AS$3:$AS$201,$M55)&gt;0,
    COUNTIFS($AT$3:$AT$201,$M55)&gt;0,
    COUNTIFS($AU$3:$AU$201,$M55)&gt;0,
    COUNTIFS($AV$3:$AV$201,$M55)&gt;0,
    COUNTIFS($AW$3:$AW$201,$M55)&gt;0
   ),
  0)
 ),
"")</f>
        <v>Modular</v>
      </c>
      <c r="P55" s="3" t="str" cm="1">
        <f t="array" aca="1" ref="P55" ca="1">IFERROR(
 INDEX(
  _xlfn._xlws.FILTER($T$2:$AW$2,
   TRANSPOSE(
    CHOOSE({1;2;3;4;5;6;7;8;9;10;11;12;13;14;15;16;17;18;19;20;21;22;23;24;25;26;27;28;29;30},
     COUNTIFS($T$3:$T$201,$M55)&gt;0,
     COUNTIFS($U$3:$U$201,$M55)&gt;0,
     COUNTIFS($V$3:$V$201,$M55)&gt;0,
     COUNTIFS($W$3:$W$201,$M55)&gt;0,
     COUNTIFS($X$3:$X$201,$M55)&gt;0,
     COUNTIFS($Y$3:$Y$201,$M55)&gt;0,
     COUNTIFS($Z$3:$Z$201,$M55)&gt;0,
     COUNTIFS($AA$3:$AA$201,$M55)&gt;0,
     COUNTIFS($AB$3:$AB$201,$M55)&gt;0,
     COUNTIFS($AC$3:$AC$201,$M55)&gt;0,
     COUNTIFS($AD$3:$AD$201,$M55)&gt;0,
     COUNTIFS($AE$3:$AE$201,$M55)&gt;0,
     COUNTIFS($AF$3:$AF$201,$M55)&gt;0,
     COUNTIFS($AG$3:$AG$201,$M55)&gt;0,
     COUNTIFS($AH$3:$AH$201,$M55)&gt;0,
     COUNTIFS($AI$3:$AI$201,$M55)&gt;0,
     COUNTIFS($AJ$3:$AJ$201,$M55)&gt;0,
     COUNTIFS($AK$3:$AK$201,$M55)&gt;0,
     COUNTIFS($AL$3:$AL$201,$M55)&gt;0,
     COUNTIFS($AM$3:$AM$201,$M55)&gt;0,
     COUNTIFS($AN$3:$AN$201,$M55)&gt;0,
     COUNTIFS($AO$3:$AO$201,$M55)&gt;0,
     COUNTIFS($AP$3:$AP$201,$M55)&gt;0,
     COUNTIFS($AQ$3:$AQ$201,$M55)&gt;0,
     COUNTIFS($AR$3:$AR$201,$M55)&gt;0,
     COUNTIFS($AS$3:$AS$201,$M55)&gt;0,
     COUNTIFS($AT$3:$AT$201,$M55)&gt;0,
     COUNTIFS($AU$3:$AU$201,$M55)&gt;0,
     COUNTIFS($AV$3:$AV$201,$M55)&gt;0,
     COUNTIFS($AW$3:$AW$201,$M55)&gt;0
   )),
  ),
  2
 ),
"")</f>
        <v/>
      </c>
      <c r="Q55" s="3" t="str" cm="1">
        <f t="array" aca="1" ref="Q55" ca="1">IFERROR(
 INDEX(
  _xlfn._xlws.FILTER($T$2:$AW$2,
   TRANSPOSE(
    CHOOSE({1;2;3;4;5;6;7;8;9;10;11;12;13;14;15;16;17;18;19;20;21;22;23;24;25;26;27;28;29;30},
     COUNTIFS($T$3:$T$201,$M55)&gt;0,
     COUNTIFS($U$3:$U$201,$M55)&gt;0,
     COUNTIFS($V$3:$V$201,$M55)&gt;0,
     COUNTIFS($W$3:$W$201,$M55)&gt;0,
     COUNTIFS($X$3:$X$201,$M55)&gt;0,
     COUNTIFS($Y$3:$Y$201,$M55)&gt;0,
     COUNTIFS($Z$3:$Z$201,$M55)&gt;0,
     COUNTIFS($AA$3:$AA$201,$M55)&gt;0,
     COUNTIFS($AB$3:$AB$201,$M55)&gt;0,
     COUNTIFS($AC$3:$AC$201,$M55)&gt;0,
     COUNTIFS($AD$3:$AD$201,$M55)&gt;0,
     COUNTIFS($AE$3:$AE$201,$M55)&gt;0,
     COUNTIFS($AF$3:$AF$201,$M55)&gt;0,
     COUNTIFS($AG$3:$AG$201,$M55)&gt;0,
     COUNTIFS($AH$3:$AH$201,$M55)&gt;0,
     COUNTIFS($AI$3:$AI$201,$M55)&gt;0,
     COUNTIFS($AJ$3:$AJ$201,$M55)&gt;0,
     COUNTIFS($AK$3:$AK$201,$M55)&gt;0,
     COUNTIFS($AL$3:$AL$201,$M55)&gt;0,
     COUNTIFS($AM$3:$AM$201,$M55)&gt;0,
     COUNTIFS($AN$3:$AN$201,$M55)&gt;0,
     COUNTIFS($AO$3:$AO$201,$M55)&gt;0,
     COUNTIFS($AP$3:$AP$201,$M55)&gt;0,
     COUNTIFS($AQ$3:$AQ$201,$M55)&gt;0,
     COUNTIFS($AR$3:$AR$201,$M55)&gt;0,
     COUNTIFS($AS$3:$AS$201,$M55)&gt;0,
     COUNTIFS($AT$3:$AT$201,$M55)&gt;0,
     COUNTIFS($AU$3:$AU$201,$M55)&gt;0,
     COUNTIFS($AV$3:$AV$201,$M55)&gt;0,
     COUNTIFS($AW$3:$AW$201,$M55)&gt;0
   )),
  ),
  3
 ),
"")</f>
        <v/>
      </c>
      <c r="R55" s="3" t="str" cm="1">
        <f t="array" aca="1" ref="R55" ca="1">IFERROR(
 INDEX(
  _xlfn._xlws.FILTER($T$2:$AW$2,
   TRANSPOSE(
    CHOOSE({1;2;3;4;5;6;7;8;9;10;11;12;13;14;15;16;17;18;19;20;21;22;23;24;25;26;27;28;29;30},
     COUNTIFS($T$3:$T$201,$M55)&gt;0,
     COUNTIFS($U$3:$U$201,$M55)&gt;0,
     COUNTIFS($V$3:$V$201,$M55)&gt;0,
     COUNTIFS($W$3:$W$201,$M55)&gt;0,
     COUNTIFS($X$3:$X$201,$M55)&gt;0,
     COUNTIFS($Y$3:$Y$201,$M55)&gt;0,
     COUNTIFS($Z$3:$Z$201,$M55)&gt;0,
     COUNTIFS($AA$3:$AA$201,$M55)&gt;0,
     COUNTIFS($AB$3:$AB$201,$M55)&gt;0,
     COUNTIFS($AC$3:$AC$201,$M55)&gt;0,
     COUNTIFS($AD$3:$AD$201,$M55)&gt;0,
     COUNTIFS($AE$3:$AE$201,$M55)&gt;0,
     COUNTIFS($AF$3:$AF$201,$M55)&gt;0,
     COUNTIFS($AG$3:$AG$201,$M55)&gt;0,
     COUNTIFS($AH$3:$AH$201,$M55)&gt;0,
     COUNTIFS($AI$3:$AI$201,$M55)&gt;0,
     COUNTIFS($AJ$3:$AJ$201,$M55)&gt;0,
     COUNTIFS($AK$3:$AK$201,$M55)&gt;0,
     COUNTIFS($AL$3:$AL$201,$M55)&gt;0,
     COUNTIFS($AM$3:$AM$201,$M55)&gt;0,
     COUNTIFS($AN$3:$AN$201,$M55)&gt;0,
     COUNTIFS($AO$3:$AO$201,$M55)&gt;0,
     COUNTIFS($AP$3:$AP$201,$M55)&gt;0,
     COUNTIFS($AQ$3:$AQ$201,$M55)&gt;0,
     COUNTIFS($AR$3:$AR$201,$M55)&gt;0,
     COUNTIFS($AS$3:$AS$201,$M55)&gt;0,
     COUNTIFS($AT$3:$AT$201,$M55)&gt;0,
     COUNTIFS($AU$3:$AU$201,$M55)&gt;0,
     COUNTIFS($AV$3:$AV$201,$M55)&gt;0,
     COUNTIFS($AW$3:$AW$201,$M55)&gt;0
   )),
  ),
  4
 ),
"")</f>
        <v/>
      </c>
      <c r="BR55" t="str">
        <f ca="1"/>
        <v>Presença de Gond</v>
      </c>
      <c r="BS55" t="str">
        <f ca="1"/>
        <v>Servidão Imortal</v>
      </c>
      <c r="CA55" t="str">
        <f ca="1"/>
        <v>Ginete Bronco Exaltado</v>
      </c>
      <c r="CB55" t="str">
        <f ca="1"/>
        <v>Salvamento Macabro</v>
      </c>
      <c r="CF55" t="str">
        <f ca="1"/>
        <v>Ecological Appreciation</v>
      </c>
      <c r="CG55" t="str">
        <f ca="1"/>
        <v>Portão da Guilda Orzhov</v>
      </c>
      <c r="CI55" t="str">
        <f ca="1"/>
        <v>Cultivar</v>
      </c>
    </row>
    <row r="56" spans="1:87" x14ac:dyDescent="0.25">
      <c r="A56" t="str">
        <f ca="1"/>
        <v>Daretti, Ingenious Iconoclast</v>
      </c>
      <c r="B56" s="3" t="str" cm="1">
        <f t="array" aca="1" ref="B56" ca="1">_xlfn.ANCHORARRAY(RESUMO!C55)</f>
        <v>Breya</v>
      </c>
      <c r="C56" s="3" t="str">
        <f t="shared" ca="1" si="0"/>
        <v/>
      </c>
      <c r="E56" t="str">
        <f ca="1"/>
        <v>Cut your Losses</v>
      </c>
      <c r="F56" s="3">
        <f t="shared" ca="1" si="1"/>
        <v>1</v>
      </c>
      <c r="G56" s="3" t="str">
        <f t="shared" ca="1" si="2"/>
        <v>Narset</v>
      </c>
      <c r="M56" t="str">
        <f ca="1"/>
        <v>Cut your Losses</v>
      </c>
      <c r="N56" s="3">
        <f t="shared" ca="1" si="3"/>
        <v>1</v>
      </c>
      <c r="O56" s="3" t="str">
        <f ca="1">IFERROR(
 INDEX($T$2:$AW$2,
  MATCH(TRUE,
   CHOOSE({1;2;3;4;5;6;7;8;9;10;11;12;13;14;15;16;17;18;19;20;21;22;23;24;25;26;27;28;29;30;31;32},
    COUNTIFS($T$3:$T$201,$M56)&gt;0,
    COUNTIFS($U$3:$U$201,$M56)&gt;0,
    COUNTIFS($V$3:$V$201,$M56)&gt;0,
    COUNTIFS($W$3:$W$201,$M56)&gt;0,
    COUNTIFS($X$3:$X$201,$M56)&gt;0,
    COUNTIFS($Y$3:$Y$201,$M56)&gt;0,
    COUNTIFS($Z$3:$Z$201,$M56)&gt;0,
    COUNTIFS($AA$3:$AA$201,$M56)&gt;0,
    COUNTIFS($AB$3:$AB$201,$M56)&gt;0,
    COUNTIFS($AC$3:$AC$201,$M56)&gt;0,
    COUNTIFS($AD$3:$AD$201,$M56)&gt;0,
    COUNTIFS($AE$3:$AE$201,$M56)&gt;0,
    COUNTIFS($AF$3:$AF$201,$M56)&gt;0,
    COUNTIFS($AG$3:$AG$201,$M56)&gt;0,
    COUNTIFS($AH$3:$AH$201,$M56)&gt;0,
    COUNTIFS($AI$3:$AI$201,$M56)&gt;0,
    COUNTIFS($AJ$3:$AJ$201,$M56)&gt;0,
    COUNTIFS($AK$3:$AK$201,$M56)&gt;0,
    COUNTIFS($AL$3:$AL$201,$M56)&gt;0,
    COUNTIFS($AM$3:$AM$201,$M56)&gt;0,
    COUNTIFS($AN$3:$AN$201,$M56)&gt;0,
    COUNTIFS($AO$3:$AO$201,$M56)&gt;0,
    COUNTIFS($AP$3:$AP$201,$M56)&gt;0,
    COUNTIFS($AQ$3:$AQ$201,$M56)&gt;0,
    COUNTIFS($AR$3:$AR$201,$M56)&gt;0,
    COUNTIFS($AS$3:$AS$201,$M56)&gt;0,
    COUNTIFS($AT$3:$AT$201,$M56)&gt;0,
    COUNTIFS($AU$3:$AU$201,$M56)&gt;0,
    COUNTIFS($AV$3:$AV$201,$M56)&gt;0,
    COUNTIFS($AW$3:$AW$201,$M56)&gt;0
   ),
  0)
 ),
"")</f>
        <v>Narset</v>
      </c>
      <c r="P56" s="3" t="str" cm="1">
        <f t="array" aca="1" ref="P56" ca="1">IFERROR(
 INDEX(
  _xlfn._xlws.FILTER($T$2:$AW$2,
   TRANSPOSE(
    CHOOSE({1;2;3;4;5;6;7;8;9;10;11;12;13;14;15;16;17;18;19;20;21;22;23;24;25;26;27;28;29;30},
     COUNTIFS($T$3:$T$201,$M56)&gt;0,
     COUNTIFS($U$3:$U$201,$M56)&gt;0,
     COUNTIFS($V$3:$V$201,$M56)&gt;0,
     COUNTIFS($W$3:$W$201,$M56)&gt;0,
     COUNTIFS($X$3:$X$201,$M56)&gt;0,
     COUNTIFS($Y$3:$Y$201,$M56)&gt;0,
     COUNTIFS($Z$3:$Z$201,$M56)&gt;0,
     COUNTIFS($AA$3:$AA$201,$M56)&gt;0,
     COUNTIFS($AB$3:$AB$201,$M56)&gt;0,
     COUNTIFS($AC$3:$AC$201,$M56)&gt;0,
     COUNTIFS($AD$3:$AD$201,$M56)&gt;0,
     COUNTIFS($AE$3:$AE$201,$M56)&gt;0,
     COUNTIFS($AF$3:$AF$201,$M56)&gt;0,
     COUNTIFS($AG$3:$AG$201,$M56)&gt;0,
     COUNTIFS($AH$3:$AH$201,$M56)&gt;0,
     COUNTIFS($AI$3:$AI$201,$M56)&gt;0,
     COUNTIFS($AJ$3:$AJ$201,$M56)&gt;0,
     COUNTIFS($AK$3:$AK$201,$M56)&gt;0,
     COUNTIFS($AL$3:$AL$201,$M56)&gt;0,
     COUNTIFS($AM$3:$AM$201,$M56)&gt;0,
     COUNTIFS($AN$3:$AN$201,$M56)&gt;0,
     COUNTIFS($AO$3:$AO$201,$M56)&gt;0,
     COUNTIFS($AP$3:$AP$201,$M56)&gt;0,
     COUNTIFS($AQ$3:$AQ$201,$M56)&gt;0,
     COUNTIFS($AR$3:$AR$201,$M56)&gt;0,
     COUNTIFS($AS$3:$AS$201,$M56)&gt;0,
     COUNTIFS($AT$3:$AT$201,$M56)&gt;0,
     COUNTIFS($AU$3:$AU$201,$M56)&gt;0,
     COUNTIFS($AV$3:$AV$201,$M56)&gt;0,
     COUNTIFS($AW$3:$AW$201,$M56)&gt;0
   )),
  ),
  2
 ),
"")</f>
        <v/>
      </c>
      <c r="Q56" s="3" t="str" cm="1">
        <f t="array" aca="1" ref="Q56" ca="1">IFERROR(
 INDEX(
  _xlfn._xlws.FILTER($T$2:$AW$2,
   TRANSPOSE(
    CHOOSE({1;2;3;4;5;6;7;8;9;10;11;12;13;14;15;16;17;18;19;20;21;22;23;24;25;26;27;28;29;30},
     COUNTIFS($T$3:$T$201,$M56)&gt;0,
     COUNTIFS($U$3:$U$201,$M56)&gt;0,
     COUNTIFS($V$3:$V$201,$M56)&gt;0,
     COUNTIFS($W$3:$W$201,$M56)&gt;0,
     COUNTIFS($X$3:$X$201,$M56)&gt;0,
     COUNTIFS($Y$3:$Y$201,$M56)&gt;0,
     COUNTIFS($Z$3:$Z$201,$M56)&gt;0,
     COUNTIFS($AA$3:$AA$201,$M56)&gt;0,
     COUNTIFS($AB$3:$AB$201,$M56)&gt;0,
     COUNTIFS($AC$3:$AC$201,$M56)&gt;0,
     COUNTIFS($AD$3:$AD$201,$M56)&gt;0,
     COUNTIFS($AE$3:$AE$201,$M56)&gt;0,
     COUNTIFS($AF$3:$AF$201,$M56)&gt;0,
     COUNTIFS($AG$3:$AG$201,$M56)&gt;0,
     COUNTIFS($AH$3:$AH$201,$M56)&gt;0,
     COUNTIFS($AI$3:$AI$201,$M56)&gt;0,
     COUNTIFS($AJ$3:$AJ$201,$M56)&gt;0,
     COUNTIFS($AK$3:$AK$201,$M56)&gt;0,
     COUNTIFS($AL$3:$AL$201,$M56)&gt;0,
     COUNTIFS($AM$3:$AM$201,$M56)&gt;0,
     COUNTIFS($AN$3:$AN$201,$M56)&gt;0,
     COUNTIFS($AO$3:$AO$201,$M56)&gt;0,
     COUNTIFS($AP$3:$AP$201,$M56)&gt;0,
     COUNTIFS($AQ$3:$AQ$201,$M56)&gt;0,
     COUNTIFS($AR$3:$AR$201,$M56)&gt;0,
     COUNTIFS($AS$3:$AS$201,$M56)&gt;0,
     COUNTIFS($AT$3:$AT$201,$M56)&gt;0,
     COUNTIFS($AU$3:$AU$201,$M56)&gt;0,
     COUNTIFS($AV$3:$AV$201,$M56)&gt;0,
     COUNTIFS($AW$3:$AW$201,$M56)&gt;0
   )),
  ),
  3
 ),
"")</f>
        <v/>
      </c>
      <c r="R56" s="3" t="str" cm="1">
        <f t="array" aca="1" ref="R56" ca="1">IFERROR(
 INDEX(
  _xlfn._xlws.FILTER($T$2:$AW$2,
   TRANSPOSE(
    CHOOSE({1;2;3;4;5;6;7;8;9;10;11;12;13;14;15;16;17;18;19;20;21;22;23;24;25;26;27;28;29;30},
     COUNTIFS($T$3:$T$201,$M56)&gt;0,
     COUNTIFS($U$3:$U$201,$M56)&gt;0,
     COUNTIFS($V$3:$V$201,$M56)&gt;0,
     COUNTIFS($W$3:$W$201,$M56)&gt;0,
     COUNTIFS($X$3:$X$201,$M56)&gt;0,
     COUNTIFS($Y$3:$Y$201,$M56)&gt;0,
     COUNTIFS($Z$3:$Z$201,$M56)&gt;0,
     COUNTIFS($AA$3:$AA$201,$M56)&gt;0,
     COUNTIFS($AB$3:$AB$201,$M56)&gt;0,
     COUNTIFS($AC$3:$AC$201,$M56)&gt;0,
     COUNTIFS($AD$3:$AD$201,$M56)&gt;0,
     COUNTIFS($AE$3:$AE$201,$M56)&gt;0,
     COUNTIFS($AF$3:$AF$201,$M56)&gt;0,
     COUNTIFS($AG$3:$AG$201,$M56)&gt;0,
     COUNTIFS($AH$3:$AH$201,$M56)&gt;0,
     COUNTIFS($AI$3:$AI$201,$M56)&gt;0,
     COUNTIFS($AJ$3:$AJ$201,$M56)&gt;0,
     COUNTIFS($AK$3:$AK$201,$M56)&gt;0,
     COUNTIFS($AL$3:$AL$201,$M56)&gt;0,
     COUNTIFS($AM$3:$AM$201,$M56)&gt;0,
     COUNTIFS($AN$3:$AN$201,$M56)&gt;0,
     COUNTIFS($AO$3:$AO$201,$M56)&gt;0,
     COUNTIFS($AP$3:$AP$201,$M56)&gt;0,
     COUNTIFS($AQ$3:$AQ$201,$M56)&gt;0,
     COUNTIFS($AR$3:$AR$201,$M56)&gt;0,
     COUNTIFS($AS$3:$AS$201,$M56)&gt;0,
     COUNTIFS($AT$3:$AT$201,$M56)&gt;0,
     COUNTIFS($AU$3:$AU$201,$M56)&gt;0,
     COUNTIFS($AV$3:$AV$201,$M56)&gt;0,
     COUNTIFS($AW$3:$AW$201,$M56)&gt;0
   )),
  ),
  4
 ),
"")</f>
        <v/>
      </c>
      <c r="BR56" t="str">
        <f ca="1"/>
        <v>Prismatic Lens</v>
      </c>
      <c r="BS56" t="str">
        <f ca="1"/>
        <v>Skyclave Cleric</v>
      </c>
      <c r="CA56" t="str">
        <f ca="1"/>
        <v>Gleba Gruul</v>
      </c>
      <c r="CB56" t="str">
        <f ca="1"/>
        <v>Seguro de Vida</v>
      </c>
      <c r="CF56" t="str">
        <f ca="1"/>
        <v>Elrond, Lord of Rivendell</v>
      </c>
      <c r="CG56" t="str">
        <f ca="1"/>
        <v>Praia Inundada</v>
      </c>
      <c r="CI56" t="str">
        <f ca="1"/>
        <v>Cut your Losses</v>
      </c>
    </row>
    <row r="57" spans="1:87" x14ac:dyDescent="0.25">
      <c r="A57" t="str">
        <f ca="1"/>
        <v>Deeproot Historian</v>
      </c>
      <c r="B57" s="3" t="str" cm="1">
        <f t="array" aca="1" ref="B57" ca="1">_xlfn.ANCHORARRAY(RESUMO!C56)</f>
        <v>Kumena</v>
      </c>
      <c r="C57" s="3" t="str">
        <f t="shared" ca="1" si="0"/>
        <v/>
      </c>
      <c r="E57" t="str">
        <f ca="1"/>
        <v>Danitha Capashen, Paragon</v>
      </c>
      <c r="F57" s="3">
        <f t="shared" ca="1" si="1"/>
        <v>1</v>
      </c>
      <c r="G57" s="3" t="str">
        <f t="shared" ca="1" si="2"/>
        <v>Akiri</v>
      </c>
      <c r="M57" t="str">
        <f ca="1"/>
        <v>Danitha Capashen, Paragon</v>
      </c>
      <c r="N57" s="3">
        <f t="shared" ca="1" si="3"/>
        <v>1</v>
      </c>
      <c r="O57" s="3" t="str">
        <f ca="1">IFERROR(
 INDEX($T$2:$AW$2,
  MATCH(TRUE,
   CHOOSE({1;2;3;4;5;6;7;8;9;10;11;12;13;14;15;16;17;18;19;20;21;22;23;24;25;26;27;28;29;30;31;32},
    COUNTIFS($T$3:$T$201,$M57)&gt;0,
    COUNTIFS($U$3:$U$201,$M57)&gt;0,
    COUNTIFS($V$3:$V$201,$M57)&gt;0,
    COUNTIFS($W$3:$W$201,$M57)&gt;0,
    COUNTIFS($X$3:$X$201,$M57)&gt;0,
    COUNTIFS($Y$3:$Y$201,$M57)&gt;0,
    COUNTIFS($Z$3:$Z$201,$M57)&gt;0,
    COUNTIFS($AA$3:$AA$201,$M57)&gt;0,
    COUNTIFS($AB$3:$AB$201,$M57)&gt;0,
    COUNTIFS($AC$3:$AC$201,$M57)&gt;0,
    COUNTIFS($AD$3:$AD$201,$M57)&gt;0,
    COUNTIFS($AE$3:$AE$201,$M57)&gt;0,
    COUNTIFS($AF$3:$AF$201,$M57)&gt;0,
    COUNTIFS($AG$3:$AG$201,$M57)&gt;0,
    COUNTIFS($AH$3:$AH$201,$M57)&gt;0,
    COUNTIFS($AI$3:$AI$201,$M57)&gt;0,
    COUNTIFS($AJ$3:$AJ$201,$M57)&gt;0,
    COUNTIFS($AK$3:$AK$201,$M57)&gt;0,
    COUNTIFS($AL$3:$AL$201,$M57)&gt;0,
    COUNTIFS($AM$3:$AM$201,$M57)&gt;0,
    COUNTIFS($AN$3:$AN$201,$M57)&gt;0,
    COUNTIFS($AO$3:$AO$201,$M57)&gt;0,
    COUNTIFS($AP$3:$AP$201,$M57)&gt;0,
    COUNTIFS($AQ$3:$AQ$201,$M57)&gt;0,
    COUNTIFS($AR$3:$AR$201,$M57)&gt;0,
    COUNTIFS($AS$3:$AS$201,$M57)&gt;0,
    COUNTIFS($AT$3:$AT$201,$M57)&gt;0,
    COUNTIFS($AU$3:$AU$201,$M57)&gt;0,
    COUNTIFS($AV$3:$AV$201,$M57)&gt;0,
    COUNTIFS($AW$3:$AW$201,$M57)&gt;0
   ),
  0)
 ),
"")</f>
        <v>Akiri</v>
      </c>
      <c r="P57" s="3" t="str" cm="1">
        <f t="array" aca="1" ref="P57" ca="1">IFERROR(
 INDEX(
  _xlfn._xlws.FILTER($T$2:$AW$2,
   TRANSPOSE(
    CHOOSE({1;2;3;4;5;6;7;8;9;10;11;12;13;14;15;16;17;18;19;20;21;22;23;24;25;26;27;28;29;30},
     COUNTIFS($T$3:$T$201,$M57)&gt;0,
     COUNTIFS($U$3:$U$201,$M57)&gt;0,
     COUNTIFS($V$3:$V$201,$M57)&gt;0,
     COUNTIFS($W$3:$W$201,$M57)&gt;0,
     COUNTIFS($X$3:$X$201,$M57)&gt;0,
     COUNTIFS($Y$3:$Y$201,$M57)&gt;0,
     COUNTIFS($Z$3:$Z$201,$M57)&gt;0,
     COUNTIFS($AA$3:$AA$201,$M57)&gt;0,
     COUNTIFS($AB$3:$AB$201,$M57)&gt;0,
     COUNTIFS($AC$3:$AC$201,$M57)&gt;0,
     COUNTIFS($AD$3:$AD$201,$M57)&gt;0,
     COUNTIFS($AE$3:$AE$201,$M57)&gt;0,
     COUNTIFS($AF$3:$AF$201,$M57)&gt;0,
     COUNTIFS($AG$3:$AG$201,$M57)&gt;0,
     COUNTIFS($AH$3:$AH$201,$M57)&gt;0,
     COUNTIFS($AI$3:$AI$201,$M57)&gt;0,
     COUNTIFS($AJ$3:$AJ$201,$M57)&gt;0,
     COUNTIFS($AK$3:$AK$201,$M57)&gt;0,
     COUNTIFS($AL$3:$AL$201,$M57)&gt;0,
     COUNTIFS($AM$3:$AM$201,$M57)&gt;0,
     COUNTIFS($AN$3:$AN$201,$M57)&gt;0,
     COUNTIFS($AO$3:$AO$201,$M57)&gt;0,
     COUNTIFS($AP$3:$AP$201,$M57)&gt;0,
     COUNTIFS($AQ$3:$AQ$201,$M57)&gt;0,
     COUNTIFS($AR$3:$AR$201,$M57)&gt;0,
     COUNTIFS($AS$3:$AS$201,$M57)&gt;0,
     COUNTIFS($AT$3:$AT$201,$M57)&gt;0,
     COUNTIFS($AU$3:$AU$201,$M57)&gt;0,
     COUNTIFS($AV$3:$AV$201,$M57)&gt;0,
     COUNTIFS($AW$3:$AW$201,$M57)&gt;0
   )),
  ),
  2
 ),
"")</f>
        <v/>
      </c>
      <c r="Q57" s="3" t="str" cm="1">
        <f t="array" aca="1" ref="Q57" ca="1">IFERROR(
 INDEX(
  _xlfn._xlws.FILTER($T$2:$AW$2,
   TRANSPOSE(
    CHOOSE({1;2;3;4;5;6;7;8;9;10;11;12;13;14;15;16;17;18;19;20;21;22;23;24;25;26;27;28;29;30},
     COUNTIFS($T$3:$T$201,$M57)&gt;0,
     COUNTIFS($U$3:$U$201,$M57)&gt;0,
     COUNTIFS($V$3:$V$201,$M57)&gt;0,
     COUNTIFS($W$3:$W$201,$M57)&gt;0,
     COUNTIFS($X$3:$X$201,$M57)&gt;0,
     COUNTIFS($Y$3:$Y$201,$M57)&gt;0,
     COUNTIFS($Z$3:$Z$201,$M57)&gt;0,
     COUNTIFS($AA$3:$AA$201,$M57)&gt;0,
     COUNTIFS($AB$3:$AB$201,$M57)&gt;0,
     COUNTIFS($AC$3:$AC$201,$M57)&gt;0,
     COUNTIFS($AD$3:$AD$201,$M57)&gt;0,
     COUNTIFS($AE$3:$AE$201,$M57)&gt;0,
     COUNTIFS($AF$3:$AF$201,$M57)&gt;0,
     COUNTIFS($AG$3:$AG$201,$M57)&gt;0,
     COUNTIFS($AH$3:$AH$201,$M57)&gt;0,
     COUNTIFS($AI$3:$AI$201,$M57)&gt;0,
     COUNTIFS($AJ$3:$AJ$201,$M57)&gt;0,
     COUNTIFS($AK$3:$AK$201,$M57)&gt;0,
     COUNTIFS($AL$3:$AL$201,$M57)&gt;0,
     COUNTIFS($AM$3:$AM$201,$M57)&gt;0,
     COUNTIFS($AN$3:$AN$201,$M57)&gt;0,
     COUNTIFS($AO$3:$AO$201,$M57)&gt;0,
     COUNTIFS($AP$3:$AP$201,$M57)&gt;0,
     COUNTIFS($AQ$3:$AQ$201,$M57)&gt;0,
     COUNTIFS($AR$3:$AR$201,$M57)&gt;0,
     COUNTIFS($AS$3:$AS$201,$M57)&gt;0,
     COUNTIFS($AT$3:$AT$201,$M57)&gt;0,
     COUNTIFS($AU$3:$AU$201,$M57)&gt;0,
     COUNTIFS($AV$3:$AV$201,$M57)&gt;0,
     COUNTIFS($AW$3:$AW$201,$M57)&gt;0
   )),
  ),
  3
 ),
"")</f>
        <v/>
      </c>
      <c r="R57" s="3" t="str" cm="1">
        <f t="array" aca="1" ref="R57" ca="1">IFERROR(
 INDEX(
  _xlfn._xlws.FILTER($T$2:$AW$2,
   TRANSPOSE(
    CHOOSE({1;2;3;4;5;6;7;8;9;10;11;12;13;14;15;16;17;18;19;20;21;22;23;24;25;26;27;28;29;30},
     COUNTIFS($T$3:$T$201,$M57)&gt;0,
     COUNTIFS($U$3:$U$201,$M57)&gt;0,
     COUNTIFS($V$3:$V$201,$M57)&gt;0,
     COUNTIFS($W$3:$W$201,$M57)&gt;0,
     COUNTIFS($X$3:$X$201,$M57)&gt;0,
     COUNTIFS($Y$3:$Y$201,$M57)&gt;0,
     COUNTIFS($Z$3:$Z$201,$M57)&gt;0,
     COUNTIFS($AA$3:$AA$201,$M57)&gt;0,
     COUNTIFS($AB$3:$AB$201,$M57)&gt;0,
     COUNTIFS($AC$3:$AC$201,$M57)&gt;0,
     COUNTIFS($AD$3:$AD$201,$M57)&gt;0,
     COUNTIFS($AE$3:$AE$201,$M57)&gt;0,
     COUNTIFS($AF$3:$AF$201,$M57)&gt;0,
     COUNTIFS($AG$3:$AG$201,$M57)&gt;0,
     COUNTIFS($AH$3:$AH$201,$M57)&gt;0,
     COUNTIFS($AI$3:$AI$201,$M57)&gt;0,
     COUNTIFS($AJ$3:$AJ$201,$M57)&gt;0,
     COUNTIFS($AK$3:$AK$201,$M57)&gt;0,
     COUNTIFS($AL$3:$AL$201,$M57)&gt;0,
     COUNTIFS($AM$3:$AM$201,$M57)&gt;0,
     COUNTIFS($AN$3:$AN$201,$M57)&gt;0,
     COUNTIFS($AO$3:$AO$201,$M57)&gt;0,
     COUNTIFS($AP$3:$AP$201,$M57)&gt;0,
     COUNTIFS($AQ$3:$AQ$201,$M57)&gt;0,
     COUNTIFS($AR$3:$AR$201,$M57)&gt;0,
     COUNTIFS($AS$3:$AS$201,$M57)&gt;0,
     COUNTIFS($AT$3:$AT$201,$M57)&gt;0,
     COUNTIFS($AU$3:$AU$201,$M57)&gt;0,
     COUNTIFS($AV$3:$AV$201,$M57)&gt;0,
     COUNTIFS($AW$3:$AW$201,$M57)&gt;0
   )),
  ),
  4
 ),
"")</f>
        <v/>
      </c>
      <c r="BR57" t="str">
        <f ca="1"/>
        <v>Realmbreaker, the Invasion Tree</v>
      </c>
      <c r="BS57" t="str">
        <f ca="1"/>
        <v>Sontaran General</v>
      </c>
      <c r="CA57" t="str">
        <f ca="1"/>
        <v>Goblin Bombardment</v>
      </c>
      <c r="CB57" t="str">
        <f ca="1"/>
        <v>Sinete Golgari</v>
      </c>
      <c r="CF57" t="str">
        <f ca="1"/>
        <v>Emboscada de Khalni</v>
      </c>
      <c r="CG57" t="str">
        <f ca="1"/>
        <v>Prismatic Lens</v>
      </c>
      <c r="CI57" t="str">
        <f ca="1"/>
        <v>Danitha Capashen, Paragon</v>
      </c>
    </row>
    <row r="58" spans="1:87" x14ac:dyDescent="0.25">
      <c r="A58" t="str">
        <f ca="1"/>
        <v>Delighted Halfling</v>
      </c>
      <c r="B58" s="3" t="str" cm="1">
        <f t="array" aca="1" ref="B58" ca="1">_xlfn.ANCHORARRAY(RESUMO!C57)</f>
        <v>Gritrog</v>
      </c>
      <c r="C58" s="3" t="str">
        <f t="shared" ca="1" si="0"/>
        <v/>
      </c>
      <c r="E58" t="str">
        <f ca="1"/>
        <v>Dawntreader Elk</v>
      </c>
      <c r="F58" s="3">
        <f t="shared" ca="1" si="1"/>
        <v>1</v>
      </c>
      <c r="G58" s="3" t="str">
        <f t="shared" ca="1" si="2"/>
        <v>Kresh</v>
      </c>
      <c r="M58" t="str">
        <f ca="1"/>
        <v>Dawntreader Elk</v>
      </c>
      <c r="N58" s="3">
        <f t="shared" ca="1" si="3"/>
        <v>1</v>
      </c>
      <c r="O58" s="3" t="str">
        <f ca="1">IFERROR(
 INDEX($T$2:$AW$2,
  MATCH(TRUE,
   CHOOSE({1;2;3;4;5;6;7;8;9;10;11;12;13;14;15;16;17;18;19;20;21;22;23;24;25;26;27;28;29;30;31;32},
    COUNTIFS($T$3:$T$201,$M58)&gt;0,
    COUNTIFS($U$3:$U$201,$M58)&gt;0,
    COUNTIFS($V$3:$V$201,$M58)&gt;0,
    COUNTIFS($W$3:$W$201,$M58)&gt;0,
    COUNTIFS($X$3:$X$201,$M58)&gt;0,
    COUNTIFS($Y$3:$Y$201,$M58)&gt;0,
    COUNTIFS($Z$3:$Z$201,$M58)&gt;0,
    COUNTIFS($AA$3:$AA$201,$M58)&gt;0,
    COUNTIFS($AB$3:$AB$201,$M58)&gt;0,
    COUNTIFS($AC$3:$AC$201,$M58)&gt;0,
    COUNTIFS($AD$3:$AD$201,$M58)&gt;0,
    COUNTIFS($AE$3:$AE$201,$M58)&gt;0,
    COUNTIFS($AF$3:$AF$201,$M58)&gt;0,
    COUNTIFS($AG$3:$AG$201,$M58)&gt;0,
    COUNTIFS($AH$3:$AH$201,$M58)&gt;0,
    COUNTIFS($AI$3:$AI$201,$M58)&gt;0,
    COUNTIFS($AJ$3:$AJ$201,$M58)&gt;0,
    COUNTIFS($AK$3:$AK$201,$M58)&gt;0,
    COUNTIFS($AL$3:$AL$201,$M58)&gt;0,
    COUNTIFS($AM$3:$AM$201,$M58)&gt;0,
    COUNTIFS($AN$3:$AN$201,$M58)&gt;0,
    COUNTIFS($AO$3:$AO$201,$M58)&gt;0,
    COUNTIFS($AP$3:$AP$201,$M58)&gt;0,
    COUNTIFS($AQ$3:$AQ$201,$M58)&gt;0,
    COUNTIFS($AR$3:$AR$201,$M58)&gt;0,
    COUNTIFS($AS$3:$AS$201,$M58)&gt;0,
    COUNTIFS($AT$3:$AT$201,$M58)&gt;0,
    COUNTIFS($AU$3:$AU$201,$M58)&gt;0,
    COUNTIFS($AV$3:$AV$201,$M58)&gt;0,
    COUNTIFS($AW$3:$AW$201,$M58)&gt;0
   ),
  0)
 ),
"")</f>
        <v>Kresh</v>
      </c>
      <c r="P58" s="3" t="str" cm="1">
        <f t="array" aca="1" ref="P58" ca="1">IFERROR(
 INDEX(
  _xlfn._xlws.FILTER($T$2:$AW$2,
   TRANSPOSE(
    CHOOSE({1;2;3;4;5;6;7;8;9;10;11;12;13;14;15;16;17;18;19;20;21;22;23;24;25;26;27;28;29;30},
     COUNTIFS($T$3:$T$201,$M58)&gt;0,
     COUNTIFS($U$3:$U$201,$M58)&gt;0,
     COUNTIFS($V$3:$V$201,$M58)&gt;0,
     COUNTIFS($W$3:$W$201,$M58)&gt;0,
     COUNTIFS($X$3:$X$201,$M58)&gt;0,
     COUNTIFS($Y$3:$Y$201,$M58)&gt;0,
     COUNTIFS($Z$3:$Z$201,$M58)&gt;0,
     COUNTIFS($AA$3:$AA$201,$M58)&gt;0,
     COUNTIFS($AB$3:$AB$201,$M58)&gt;0,
     COUNTIFS($AC$3:$AC$201,$M58)&gt;0,
     COUNTIFS($AD$3:$AD$201,$M58)&gt;0,
     COUNTIFS($AE$3:$AE$201,$M58)&gt;0,
     COUNTIFS($AF$3:$AF$201,$M58)&gt;0,
     COUNTIFS($AG$3:$AG$201,$M58)&gt;0,
     COUNTIFS($AH$3:$AH$201,$M58)&gt;0,
     COUNTIFS($AI$3:$AI$201,$M58)&gt;0,
     COUNTIFS($AJ$3:$AJ$201,$M58)&gt;0,
     COUNTIFS($AK$3:$AK$201,$M58)&gt;0,
     COUNTIFS($AL$3:$AL$201,$M58)&gt;0,
     COUNTIFS($AM$3:$AM$201,$M58)&gt;0,
     COUNTIFS($AN$3:$AN$201,$M58)&gt;0,
     COUNTIFS($AO$3:$AO$201,$M58)&gt;0,
     COUNTIFS($AP$3:$AP$201,$M58)&gt;0,
     COUNTIFS($AQ$3:$AQ$201,$M58)&gt;0,
     COUNTIFS($AR$3:$AR$201,$M58)&gt;0,
     COUNTIFS($AS$3:$AS$201,$M58)&gt;0,
     COUNTIFS($AT$3:$AT$201,$M58)&gt;0,
     COUNTIFS($AU$3:$AU$201,$M58)&gt;0,
     COUNTIFS($AV$3:$AV$201,$M58)&gt;0,
     COUNTIFS($AW$3:$AW$201,$M58)&gt;0
   )),
  ),
  2
 ),
"")</f>
        <v/>
      </c>
      <c r="Q58" s="3" t="str" cm="1">
        <f t="array" aca="1" ref="Q58" ca="1">IFERROR(
 INDEX(
  _xlfn._xlws.FILTER($T$2:$AW$2,
   TRANSPOSE(
    CHOOSE({1;2;3;4;5;6;7;8;9;10;11;12;13;14;15;16;17;18;19;20;21;22;23;24;25;26;27;28;29;30},
     COUNTIFS($T$3:$T$201,$M58)&gt;0,
     COUNTIFS($U$3:$U$201,$M58)&gt;0,
     COUNTIFS($V$3:$V$201,$M58)&gt;0,
     COUNTIFS($W$3:$W$201,$M58)&gt;0,
     COUNTIFS($X$3:$X$201,$M58)&gt;0,
     COUNTIFS($Y$3:$Y$201,$M58)&gt;0,
     COUNTIFS($Z$3:$Z$201,$M58)&gt;0,
     COUNTIFS($AA$3:$AA$201,$M58)&gt;0,
     COUNTIFS($AB$3:$AB$201,$M58)&gt;0,
     COUNTIFS($AC$3:$AC$201,$M58)&gt;0,
     COUNTIFS($AD$3:$AD$201,$M58)&gt;0,
     COUNTIFS($AE$3:$AE$201,$M58)&gt;0,
     COUNTIFS($AF$3:$AF$201,$M58)&gt;0,
     COUNTIFS($AG$3:$AG$201,$M58)&gt;0,
     COUNTIFS($AH$3:$AH$201,$M58)&gt;0,
     COUNTIFS($AI$3:$AI$201,$M58)&gt;0,
     COUNTIFS($AJ$3:$AJ$201,$M58)&gt;0,
     COUNTIFS($AK$3:$AK$201,$M58)&gt;0,
     COUNTIFS($AL$3:$AL$201,$M58)&gt;0,
     COUNTIFS($AM$3:$AM$201,$M58)&gt;0,
     COUNTIFS($AN$3:$AN$201,$M58)&gt;0,
     COUNTIFS($AO$3:$AO$201,$M58)&gt;0,
     COUNTIFS($AP$3:$AP$201,$M58)&gt;0,
     COUNTIFS($AQ$3:$AQ$201,$M58)&gt;0,
     COUNTIFS($AR$3:$AR$201,$M58)&gt;0,
     COUNTIFS($AS$3:$AS$201,$M58)&gt;0,
     COUNTIFS($AT$3:$AT$201,$M58)&gt;0,
     COUNTIFS($AU$3:$AU$201,$M58)&gt;0,
     COUNTIFS($AV$3:$AV$201,$M58)&gt;0,
     COUNTIFS($AW$3:$AW$201,$M58)&gt;0
   )),
  ),
  3
 ),
"")</f>
        <v/>
      </c>
      <c r="R58" s="3" t="str" cm="1">
        <f t="array" aca="1" ref="R58" ca="1">IFERROR(
 INDEX(
  _xlfn._xlws.FILTER($T$2:$AW$2,
   TRANSPOSE(
    CHOOSE({1;2;3;4;5;6;7;8;9;10;11;12;13;14;15;16;17;18;19;20;21;22;23;24;25;26;27;28;29;30},
     COUNTIFS($T$3:$T$201,$M58)&gt;0,
     COUNTIFS($U$3:$U$201,$M58)&gt;0,
     COUNTIFS($V$3:$V$201,$M58)&gt;0,
     COUNTIFS($W$3:$W$201,$M58)&gt;0,
     COUNTIFS($X$3:$X$201,$M58)&gt;0,
     COUNTIFS($Y$3:$Y$201,$M58)&gt;0,
     COUNTIFS($Z$3:$Z$201,$M58)&gt;0,
     COUNTIFS($AA$3:$AA$201,$M58)&gt;0,
     COUNTIFS($AB$3:$AB$201,$M58)&gt;0,
     COUNTIFS($AC$3:$AC$201,$M58)&gt;0,
     COUNTIFS($AD$3:$AD$201,$M58)&gt;0,
     COUNTIFS($AE$3:$AE$201,$M58)&gt;0,
     COUNTIFS($AF$3:$AF$201,$M58)&gt;0,
     COUNTIFS($AG$3:$AG$201,$M58)&gt;0,
     COUNTIFS($AH$3:$AH$201,$M58)&gt;0,
     COUNTIFS($AI$3:$AI$201,$M58)&gt;0,
     COUNTIFS($AJ$3:$AJ$201,$M58)&gt;0,
     COUNTIFS($AK$3:$AK$201,$M58)&gt;0,
     COUNTIFS($AL$3:$AL$201,$M58)&gt;0,
     COUNTIFS($AM$3:$AM$201,$M58)&gt;0,
     COUNTIFS($AN$3:$AN$201,$M58)&gt;0,
     COUNTIFS($AO$3:$AO$201,$M58)&gt;0,
     COUNTIFS($AP$3:$AP$201,$M58)&gt;0,
     COUNTIFS($AQ$3:$AQ$201,$M58)&gt;0,
     COUNTIFS($AR$3:$AR$201,$M58)&gt;0,
     COUNTIFS($AS$3:$AS$201,$M58)&gt;0,
     COUNTIFS($AT$3:$AT$201,$M58)&gt;0,
     COUNTIFS($AU$3:$AU$201,$M58)&gt;0,
     COUNTIFS($AV$3:$AV$201,$M58)&gt;0,
     COUNTIFS($AW$3:$AW$201,$M58)&gt;0
   )),
  ),
  4
 ),
"")</f>
        <v/>
      </c>
      <c r="BR58" t="str">
        <f ca="1"/>
        <v>Rebento de Halaster</v>
      </c>
      <c r="BS58" t="str">
        <f ca="1"/>
        <v>Spelunking</v>
      </c>
      <c r="CA58" t="str">
        <f ca="1"/>
        <v>Grazilaxx, Illithid Scholar</v>
      </c>
      <c r="CB58" t="str">
        <f ca="1"/>
        <v>Sombra Mutável</v>
      </c>
      <c r="CF58" t="str">
        <f ca="1"/>
        <v>Encontro de Mentes</v>
      </c>
      <c r="CG58" t="str">
        <f ca="1"/>
        <v>Procissão de Carniçais</v>
      </c>
      <c r="CI58" t="str">
        <f ca="1"/>
        <v>Dawntreader Elk</v>
      </c>
    </row>
    <row r="59" spans="1:87" x14ac:dyDescent="0.25">
      <c r="A59" t="str">
        <f ca="1"/>
        <v>Dever Além da Morte</v>
      </c>
      <c r="B59" s="3" t="str" cm="1">
        <f t="array" aca="1" ref="B59" ca="1">_xlfn.ANCHORARRAY(RESUMO!C58)</f>
        <v>Tayam</v>
      </c>
      <c r="C59" s="3" t="str">
        <f t="shared" ca="1" si="0"/>
        <v/>
      </c>
      <c r="E59" t="str">
        <f ca="1"/>
        <v>Deathreap Ritual</v>
      </c>
      <c r="F59" s="3">
        <f t="shared" ca="1" si="1"/>
        <v>1</v>
      </c>
      <c r="G59" s="3" t="str">
        <f t="shared" ca="1" si="2"/>
        <v>Zimone</v>
      </c>
      <c r="M59" t="str">
        <f ca="1"/>
        <v>Deathreap Ritual</v>
      </c>
      <c r="N59" s="3">
        <f t="shared" ca="1" si="3"/>
        <v>1</v>
      </c>
      <c r="O59" s="3" t="str">
        <f ca="1">IFERROR(
 INDEX($T$2:$AW$2,
  MATCH(TRUE,
   CHOOSE({1;2;3;4;5;6;7;8;9;10;11;12;13;14;15;16;17;18;19;20;21;22;23;24;25;26;27;28;29;30;31;32},
    COUNTIFS($T$3:$T$201,$M59)&gt;0,
    COUNTIFS($U$3:$U$201,$M59)&gt;0,
    COUNTIFS($V$3:$V$201,$M59)&gt;0,
    COUNTIFS($W$3:$W$201,$M59)&gt;0,
    COUNTIFS($X$3:$X$201,$M59)&gt;0,
    COUNTIFS($Y$3:$Y$201,$M59)&gt;0,
    COUNTIFS($Z$3:$Z$201,$M59)&gt;0,
    COUNTIFS($AA$3:$AA$201,$M59)&gt;0,
    COUNTIFS($AB$3:$AB$201,$M59)&gt;0,
    COUNTIFS($AC$3:$AC$201,$M59)&gt;0,
    COUNTIFS($AD$3:$AD$201,$M59)&gt;0,
    COUNTIFS($AE$3:$AE$201,$M59)&gt;0,
    COUNTIFS($AF$3:$AF$201,$M59)&gt;0,
    COUNTIFS($AG$3:$AG$201,$M59)&gt;0,
    COUNTIFS($AH$3:$AH$201,$M59)&gt;0,
    COUNTIFS($AI$3:$AI$201,$M59)&gt;0,
    COUNTIFS($AJ$3:$AJ$201,$M59)&gt;0,
    COUNTIFS($AK$3:$AK$201,$M59)&gt;0,
    COUNTIFS($AL$3:$AL$201,$M59)&gt;0,
    COUNTIFS($AM$3:$AM$201,$M59)&gt;0,
    COUNTIFS($AN$3:$AN$201,$M59)&gt;0,
    COUNTIFS($AO$3:$AO$201,$M59)&gt;0,
    COUNTIFS($AP$3:$AP$201,$M59)&gt;0,
    COUNTIFS($AQ$3:$AQ$201,$M59)&gt;0,
    COUNTIFS($AR$3:$AR$201,$M59)&gt;0,
    COUNTIFS($AS$3:$AS$201,$M59)&gt;0,
    COUNTIFS($AT$3:$AT$201,$M59)&gt;0,
    COUNTIFS($AU$3:$AU$201,$M59)&gt;0,
    COUNTIFS($AV$3:$AV$201,$M59)&gt;0,
    COUNTIFS($AW$3:$AW$201,$M59)&gt;0
   ),
  0)
 ),
"")</f>
        <v>Zimone</v>
      </c>
      <c r="P59" s="3" t="str" cm="1">
        <f t="array" aca="1" ref="P59" ca="1">IFERROR(
 INDEX(
  _xlfn._xlws.FILTER($T$2:$AW$2,
   TRANSPOSE(
    CHOOSE({1;2;3;4;5;6;7;8;9;10;11;12;13;14;15;16;17;18;19;20;21;22;23;24;25;26;27;28;29;30},
     COUNTIFS($T$3:$T$201,$M59)&gt;0,
     COUNTIFS($U$3:$U$201,$M59)&gt;0,
     COUNTIFS($V$3:$V$201,$M59)&gt;0,
     COUNTIFS($W$3:$W$201,$M59)&gt;0,
     COUNTIFS($X$3:$X$201,$M59)&gt;0,
     COUNTIFS($Y$3:$Y$201,$M59)&gt;0,
     COUNTIFS($Z$3:$Z$201,$M59)&gt;0,
     COUNTIFS($AA$3:$AA$201,$M59)&gt;0,
     COUNTIFS($AB$3:$AB$201,$M59)&gt;0,
     COUNTIFS($AC$3:$AC$201,$M59)&gt;0,
     COUNTIFS($AD$3:$AD$201,$M59)&gt;0,
     COUNTIFS($AE$3:$AE$201,$M59)&gt;0,
     COUNTIFS($AF$3:$AF$201,$M59)&gt;0,
     COUNTIFS($AG$3:$AG$201,$M59)&gt;0,
     COUNTIFS($AH$3:$AH$201,$M59)&gt;0,
     COUNTIFS($AI$3:$AI$201,$M59)&gt;0,
     COUNTIFS($AJ$3:$AJ$201,$M59)&gt;0,
     COUNTIFS($AK$3:$AK$201,$M59)&gt;0,
     COUNTIFS($AL$3:$AL$201,$M59)&gt;0,
     COUNTIFS($AM$3:$AM$201,$M59)&gt;0,
     COUNTIFS($AN$3:$AN$201,$M59)&gt;0,
     COUNTIFS($AO$3:$AO$201,$M59)&gt;0,
     COUNTIFS($AP$3:$AP$201,$M59)&gt;0,
     COUNTIFS($AQ$3:$AQ$201,$M59)&gt;0,
     COUNTIFS($AR$3:$AR$201,$M59)&gt;0,
     COUNTIFS($AS$3:$AS$201,$M59)&gt;0,
     COUNTIFS($AT$3:$AT$201,$M59)&gt;0,
     COUNTIFS($AU$3:$AU$201,$M59)&gt;0,
     COUNTIFS($AV$3:$AV$201,$M59)&gt;0,
     COUNTIFS($AW$3:$AW$201,$M59)&gt;0
   )),
  ),
  2
 ),
"")</f>
        <v/>
      </c>
      <c r="Q59" s="3" t="str" cm="1">
        <f t="array" aca="1" ref="Q59" ca="1">IFERROR(
 INDEX(
  _xlfn._xlws.FILTER($T$2:$AW$2,
   TRANSPOSE(
    CHOOSE({1;2;3;4;5;6;7;8;9;10;11;12;13;14;15;16;17;18;19;20;21;22;23;24;25;26;27;28;29;30},
     COUNTIFS($T$3:$T$201,$M59)&gt;0,
     COUNTIFS($U$3:$U$201,$M59)&gt;0,
     COUNTIFS($V$3:$V$201,$M59)&gt;0,
     COUNTIFS($W$3:$W$201,$M59)&gt;0,
     COUNTIFS($X$3:$X$201,$M59)&gt;0,
     COUNTIFS($Y$3:$Y$201,$M59)&gt;0,
     COUNTIFS($Z$3:$Z$201,$M59)&gt;0,
     COUNTIFS($AA$3:$AA$201,$M59)&gt;0,
     COUNTIFS($AB$3:$AB$201,$M59)&gt;0,
     COUNTIFS($AC$3:$AC$201,$M59)&gt;0,
     COUNTIFS($AD$3:$AD$201,$M59)&gt;0,
     COUNTIFS($AE$3:$AE$201,$M59)&gt;0,
     COUNTIFS($AF$3:$AF$201,$M59)&gt;0,
     COUNTIFS($AG$3:$AG$201,$M59)&gt;0,
     COUNTIFS($AH$3:$AH$201,$M59)&gt;0,
     COUNTIFS($AI$3:$AI$201,$M59)&gt;0,
     COUNTIFS($AJ$3:$AJ$201,$M59)&gt;0,
     COUNTIFS($AK$3:$AK$201,$M59)&gt;0,
     COUNTIFS($AL$3:$AL$201,$M59)&gt;0,
     COUNTIFS($AM$3:$AM$201,$M59)&gt;0,
     COUNTIFS($AN$3:$AN$201,$M59)&gt;0,
     COUNTIFS($AO$3:$AO$201,$M59)&gt;0,
     COUNTIFS($AP$3:$AP$201,$M59)&gt;0,
     COUNTIFS($AQ$3:$AQ$201,$M59)&gt;0,
     COUNTIFS($AR$3:$AR$201,$M59)&gt;0,
     COUNTIFS($AS$3:$AS$201,$M59)&gt;0,
     COUNTIFS($AT$3:$AT$201,$M59)&gt;0,
     COUNTIFS($AU$3:$AU$201,$M59)&gt;0,
     COUNTIFS($AV$3:$AV$201,$M59)&gt;0,
     COUNTIFS($AW$3:$AW$201,$M59)&gt;0
   )),
  ),
  3
 ),
"")</f>
        <v/>
      </c>
      <c r="R59" s="3" t="str" cm="1">
        <f t="array" aca="1" ref="R59" ca="1">IFERROR(
 INDEX(
  _xlfn._xlws.FILTER($T$2:$AW$2,
   TRANSPOSE(
    CHOOSE({1;2;3;4;5;6;7;8;9;10;11;12;13;14;15;16;17;18;19;20;21;22;23;24;25;26;27;28;29;30},
     COUNTIFS($T$3:$T$201,$M59)&gt;0,
     COUNTIFS($U$3:$U$201,$M59)&gt;0,
     COUNTIFS($V$3:$V$201,$M59)&gt;0,
     COUNTIFS($W$3:$W$201,$M59)&gt;0,
     COUNTIFS($X$3:$X$201,$M59)&gt;0,
     COUNTIFS($Y$3:$Y$201,$M59)&gt;0,
     COUNTIFS($Z$3:$Z$201,$M59)&gt;0,
     COUNTIFS($AA$3:$AA$201,$M59)&gt;0,
     COUNTIFS($AB$3:$AB$201,$M59)&gt;0,
     COUNTIFS($AC$3:$AC$201,$M59)&gt;0,
     COUNTIFS($AD$3:$AD$201,$M59)&gt;0,
     COUNTIFS($AE$3:$AE$201,$M59)&gt;0,
     COUNTIFS($AF$3:$AF$201,$M59)&gt;0,
     COUNTIFS($AG$3:$AG$201,$M59)&gt;0,
     COUNTIFS($AH$3:$AH$201,$M59)&gt;0,
     COUNTIFS($AI$3:$AI$201,$M59)&gt;0,
     COUNTIFS($AJ$3:$AJ$201,$M59)&gt;0,
     COUNTIFS($AK$3:$AK$201,$M59)&gt;0,
     COUNTIFS($AL$3:$AL$201,$M59)&gt;0,
     COUNTIFS($AM$3:$AM$201,$M59)&gt;0,
     COUNTIFS($AN$3:$AN$201,$M59)&gt;0,
     COUNTIFS($AO$3:$AO$201,$M59)&gt;0,
     COUNTIFS($AP$3:$AP$201,$M59)&gt;0,
     COUNTIFS($AQ$3:$AQ$201,$M59)&gt;0,
     COUNTIFS($AR$3:$AR$201,$M59)&gt;0,
     COUNTIFS($AS$3:$AS$201,$M59)&gt;0,
     COUNTIFS($AT$3:$AT$201,$M59)&gt;0,
     COUNTIFS($AU$3:$AU$201,$M59)&gt;0,
     COUNTIFS($AV$3:$AV$201,$M59)&gt;0,
     COUNTIFS($AW$3:$AW$201,$M59)&gt;0
   )),
  ),
  4
 ),
"")</f>
        <v/>
      </c>
      <c r="BR59" t="str">
        <f ca="1"/>
        <v>Resposta // Ressurgimento</v>
      </c>
      <c r="BS59" t="str">
        <f ca="1"/>
        <v>Swamp</v>
      </c>
      <c r="CA59" t="str">
        <f ca="1"/>
        <v>Guardiã da Aurora de Gavony</v>
      </c>
      <c r="CB59" t="str">
        <f ca="1"/>
        <v>Sudden Spoiling</v>
      </c>
      <c r="CF59" t="str">
        <f ca="1"/>
        <v xml:space="preserve">Engenheira do Sítio de Escavação </v>
      </c>
      <c r="CG59" t="str">
        <f ca="1"/>
        <v>Queda Solar</v>
      </c>
      <c r="CI59" t="str">
        <f ca="1"/>
        <v>Deathreap Ritual</v>
      </c>
    </row>
    <row r="60" spans="1:87" x14ac:dyDescent="0.25">
      <c r="A60" t="str">
        <f ca="1"/>
        <v>Devoted Druid</v>
      </c>
      <c r="B60" s="3" t="str" cm="1">
        <f t="array" aca="1" ref="B60" ca="1">_xlfn.ANCHORARRAY(RESUMO!C59)</f>
        <v>Tayam</v>
      </c>
      <c r="C60" s="3" t="str">
        <f t="shared" ca="1" si="0"/>
        <v/>
      </c>
      <c r="E60" t="str">
        <f ca="1"/>
        <v>Deeprooot Wayfinder</v>
      </c>
      <c r="F60" s="3">
        <f t="shared" ca="1" si="1"/>
        <v>1</v>
      </c>
      <c r="G60" s="3" t="str">
        <f t="shared" ca="1" si="2"/>
        <v>Kumena</v>
      </c>
      <c r="M60" t="str">
        <f ca="1"/>
        <v>Deeprooot Wayfinder</v>
      </c>
      <c r="N60" s="3">
        <f t="shared" ca="1" si="3"/>
        <v>1</v>
      </c>
      <c r="O60" s="3" t="str">
        <f ca="1">IFERROR(
 INDEX($T$2:$AW$2,
  MATCH(TRUE,
   CHOOSE({1;2;3;4;5;6;7;8;9;10;11;12;13;14;15;16;17;18;19;20;21;22;23;24;25;26;27;28;29;30;31;32},
    COUNTIFS($T$3:$T$201,$M60)&gt;0,
    COUNTIFS($U$3:$U$201,$M60)&gt;0,
    COUNTIFS($V$3:$V$201,$M60)&gt;0,
    COUNTIFS($W$3:$W$201,$M60)&gt;0,
    COUNTIFS($X$3:$X$201,$M60)&gt;0,
    COUNTIFS($Y$3:$Y$201,$M60)&gt;0,
    COUNTIFS($Z$3:$Z$201,$M60)&gt;0,
    COUNTIFS($AA$3:$AA$201,$M60)&gt;0,
    COUNTIFS($AB$3:$AB$201,$M60)&gt;0,
    COUNTIFS($AC$3:$AC$201,$M60)&gt;0,
    COUNTIFS($AD$3:$AD$201,$M60)&gt;0,
    COUNTIFS($AE$3:$AE$201,$M60)&gt;0,
    COUNTIFS($AF$3:$AF$201,$M60)&gt;0,
    COUNTIFS($AG$3:$AG$201,$M60)&gt;0,
    COUNTIFS($AH$3:$AH$201,$M60)&gt;0,
    COUNTIFS($AI$3:$AI$201,$M60)&gt;0,
    COUNTIFS($AJ$3:$AJ$201,$M60)&gt;0,
    COUNTIFS($AK$3:$AK$201,$M60)&gt;0,
    COUNTIFS($AL$3:$AL$201,$M60)&gt;0,
    COUNTIFS($AM$3:$AM$201,$M60)&gt;0,
    COUNTIFS($AN$3:$AN$201,$M60)&gt;0,
    COUNTIFS($AO$3:$AO$201,$M60)&gt;0,
    COUNTIFS($AP$3:$AP$201,$M60)&gt;0,
    COUNTIFS($AQ$3:$AQ$201,$M60)&gt;0,
    COUNTIFS($AR$3:$AR$201,$M60)&gt;0,
    COUNTIFS($AS$3:$AS$201,$M60)&gt;0,
    COUNTIFS($AT$3:$AT$201,$M60)&gt;0,
    COUNTIFS($AU$3:$AU$201,$M60)&gt;0,
    COUNTIFS($AV$3:$AV$201,$M60)&gt;0,
    COUNTIFS($AW$3:$AW$201,$M60)&gt;0
   ),
  0)
 ),
"")</f>
        <v>Kumena</v>
      </c>
      <c r="P60" s="3" t="str" cm="1">
        <f t="array" aca="1" ref="P60" ca="1">IFERROR(
 INDEX(
  _xlfn._xlws.FILTER($T$2:$AW$2,
   TRANSPOSE(
    CHOOSE({1;2;3;4;5;6;7;8;9;10;11;12;13;14;15;16;17;18;19;20;21;22;23;24;25;26;27;28;29;30},
     COUNTIFS($T$3:$T$201,$M60)&gt;0,
     COUNTIFS($U$3:$U$201,$M60)&gt;0,
     COUNTIFS($V$3:$V$201,$M60)&gt;0,
     COUNTIFS($W$3:$W$201,$M60)&gt;0,
     COUNTIFS($X$3:$X$201,$M60)&gt;0,
     COUNTIFS($Y$3:$Y$201,$M60)&gt;0,
     COUNTIFS($Z$3:$Z$201,$M60)&gt;0,
     COUNTIFS($AA$3:$AA$201,$M60)&gt;0,
     COUNTIFS($AB$3:$AB$201,$M60)&gt;0,
     COUNTIFS($AC$3:$AC$201,$M60)&gt;0,
     COUNTIFS($AD$3:$AD$201,$M60)&gt;0,
     COUNTIFS($AE$3:$AE$201,$M60)&gt;0,
     COUNTIFS($AF$3:$AF$201,$M60)&gt;0,
     COUNTIFS($AG$3:$AG$201,$M60)&gt;0,
     COUNTIFS($AH$3:$AH$201,$M60)&gt;0,
     COUNTIFS($AI$3:$AI$201,$M60)&gt;0,
     COUNTIFS($AJ$3:$AJ$201,$M60)&gt;0,
     COUNTIFS($AK$3:$AK$201,$M60)&gt;0,
     COUNTIFS($AL$3:$AL$201,$M60)&gt;0,
     COUNTIFS($AM$3:$AM$201,$M60)&gt;0,
     COUNTIFS($AN$3:$AN$201,$M60)&gt;0,
     COUNTIFS($AO$3:$AO$201,$M60)&gt;0,
     COUNTIFS($AP$3:$AP$201,$M60)&gt;0,
     COUNTIFS($AQ$3:$AQ$201,$M60)&gt;0,
     COUNTIFS($AR$3:$AR$201,$M60)&gt;0,
     COUNTIFS($AS$3:$AS$201,$M60)&gt;0,
     COUNTIFS($AT$3:$AT$201,$M60)&gt;0,
     COUNTIFS($AU$3:$AU$201,$M60)&gt;0,
     COUNTIFS($AV$3:$AV$201,$M60)&gt;0,
     COUNTIFS($AW$3:$AW$201,$M60)&gt;0
   )),
  ),
  2
 ),
"")</f>
        <v/>
      </c>
      <c r="Q60" s="3" t="str" cm="1">
        <f t="array" aca="1" ref="Q60" ca="1">IFERROR(
 INDEX(
  _xlfn._xlws.FILTER($T$2:$AW$2,
   TRANSPOSE(
    CHOOSE({1;2;3;4;5;6;7;8;9;10;11;12;13;14;15;16;17;18;19;20;21;22;23;24;25;26;27;28;29;30},
     COUNTIFS($T$3:$T$201,$M60)&gt;0,
     COUNTIFS($U$3:$U$201,$M60)&gt;0,
     COUNTIFS($V$3:$V$201,$M60)&gt;0,
     COUNTIFS($W$3:$W$201,$M60)&gt;0,
     COUNTIFS($X$3:$X$201,$M60)&gt;0,
     COUNTIFS($Y$3:$Y$201,$M60)&gt;0,
     COUNTIFS($Z$3:$Z$201,$M60)&gt;0,
     COUNTIFS($AA$3:$AA$201,$M60)&gt;0,
     COUNTIFS($AB$3:$AB$201,$M60)&gt;0,
     COUNTIFS($AC$3:$AC$201,$M60)&gt;0,
     COUNTIFS($AD$3:$AD$201,$M60)&gt;0,
     COUNTIFS($AE$3:$AE$201,$M60)&gt;0,
     COUNTIFS($AF$3:$AF$201,$M60)&gt;0,
     COUNTIFS($AG$3:$AG$201,$M60)&gt;0,
     COUNTIFS($AH$3:$AH$201,$M60)&gt;0,
     COUNTIFS($AI$3:$AI$201,$M60)&gt;0,
     COUNTIFS($AJ$3:$AJ$201,$M60)&gt;0,
     COUNTIFS($AK$3:$AK$201,$M60)&gt;0,
     COUNTIFS($AL$3:$AL$201,$M60)&gt;0,
     COUNTIFS($AM$3:$AM$201,$M60)&gt;0,
     COUNTIFS($AN$3:$AN$201,$M60)&gt;0,
     COUNTIFS($AO$3:$AO$201,$M60)&gt;0,
     COUNTIFS($AP$3:$AP$201,$M60)&gt;0,
     COUNTIFS($AQ$3:$AQ$201,$M60)&gt;0,
     COUNTIFS($AR$3:$AR$201,$M60)&gt;0,
     COUNTIFS($AS$3:$AS$201,$M60)&gt;0,
     COUNTIFS($AT$3:$AT$201,$M60)&gt;0,
     COUNTIFS($AU$3:$AU$201,$M60)&gt;0,
     COUNTIFS($AV$3:$AV$201,$M60)&gt;0,
     COUNTIFS($AW$3:$AW$201,$M60)&gt;0
   )),
  ),
  3
 ),
"")</f>
        <v/>
      </c>
      <c r="R60" s="3" t="str" cm="1">
        <f t="array" aca="1" ref="R60" ca="1">IFERROR(
 INDEX(
  _xlfn._xlws.FILTER($T$2:$AW$2,
   TRANSPOSE(
    CHOOSE({1;2;3;4;5;6;7;8;9;10;11;12;13;14;15;16;17;18;19;20;21;22;23;24;25;26;27;28;29;30},
     COUNTIFS($T$3:$T$201,$M60)&gt;0,
     COUNTIFS($U$3:$U$201,$M60)&gt;0,
     COUNTIFS($V$3:$V$201,$M60)&gt;0,
     COUNTIFS($W$3:$W$201,$M60)&gt;0,
     COUNTIFS($X$3:$X$201,$M60)&gt;0,
     COUNTIFS($Y$3:$Y$201,$M60)&gt;0,
     COUNTIFS($Z$3:$Z$201,$M60)&gt;0,
     COUNTIFS($AA$3:$AA$201,$M60)&gt;0,
     COUNTIFS($AB$3:$AB$201,$M60)&gt;0,
     COUNTIFS($AC$3:$AC$201,$M60)&gt;0,
     COUNTIFS($AD$3:$AD$201,$M60)&gt;0,
     COUNTIFS($AE$3:$AE$201,$M60)&gt;0,
     COUNTIFS($AF$3:$AF$201,$M60)&gt;0,
     COUNTIFS($AG$3:$AG$201,$M60)&gt;0,
     COUNTIFS($AH$3:$AH$201,$M60)&gt;0,
     COUNTIFS($AI$3:$AI$201,$M60)&gt;0,
     COUNTIFS($AJ$3:$AJ$201,$M60)&gt;0,
     COUNTIFS($AK$3:$AK$201,$M60)&gt;0,
     COUNTIFS($AL$3:$AL$201,$M60)&gt;0,
     COUNTIFS($AM$3:$AM$201,$M60)&gt;0,
     COUNTIFS($AN$3:$AN$201,$M60)&gt;0,
     COUNTIFS($AO$3:$AO$201,$M60)&gt;0,
     COUNTIFS($AP$3:$AP$201,$M60)&gt;0,
     COUNTIFS($AQ$3:$AQ$201,$M60)&gt;0,
     COUNTIFS($AR$3:$AR$201,$M60)&gt;0,
     COUNTIFS($AS$3:$AS$201,$M60)&gt;0,
     COUNTIFS($AT$3:$AT$201,$M60)&gt;0,
     COUNTIFS($AU$3:$AU$201,$M60)&gt;0,
     COUNTIFS($AV$3:$AV$201,$M60)&gt;0,
     COUNTIFS($AW$3:$AW$201,$M60)&gt;0
   )),
  ),
  4
 ),
"")</f>
        <v/>
      </c>
      <c r="BR60" t="str">
        <f ca="1"/>
        <v>Revitalizing Repast</v>
      </c>
      <c r="BS60" t="str">
        <f ca="1"/>
        <v>Teatro dos Maestros</v>
      </c>
      <c r="CA60" t="str">
        <f ca="1"/>
        <v>Harrow</v>
      </c>
      <c r="CB60" t="str">
        <f ca="1"/>
        <v>Sulfur Falls</v>
      </c>
      <c r="CF60" t="str">
        <f ca="1"/>
        <v>Escória Fundida</v>
      </c>
      <c r="CG60" t="str">
        <f ca="1"/>
        <v>Rampant Grow</v>
      </c>
      <c r="CI60" t="str">
        <f ca="1"/>
        <v>Deeprooot Wayfinder</v>
      </c>
    </row>
    <row r="61" spans="1:87" x14ac:dyDescent="0.25">
      <c r="A61" t="str">
        <f ca="1"/>
        <v>Diário de Tarrian</v>
      </c>
      <c r="B61" s="3" t="str" cm="1">
        <f t="array" aca="1" ref="B61" ca="1">_xlfn.ANCHORARRAY(RESUMO!C60)</f>
        <v>Inalla</v>
      </c>
      <c r="C61" s="3" t="str">
        <f t="shared" ca="1" si="0"/>
        <v/>
      </c>
      <c r="E61" t="str">
        <f ca="1"/>
        <v>Despedaçamento Temporal de Jarn</v>
      </c>
      <c r="F61" s="3">
        <f t="shared" ca="1" si="1"/>
        <v>1</v>
      </c>
      <c r="G61" s="3" t="str">
        <f t="shared" ca="1" si="2"/>
        <v>Yuriko</v>
      </c>
      <c r="M61" t="str">
        <f ca="1"/>
        <v>Despedaçamento Temporal de Jarn</v>
      </c>
      <c r="N61" s="3">
        <f t="shared" ca="1" si="3"/>
        <v>1</v>
      </c>
      <c r="O61" s="3" t="str">
        <f ca="1">IFERROR(
 INDEX($T$2:$AW$2,
  MATCH(TRUE,
   CHOOSE({1;2;3;4;5;6;7;8;9;10;11;12;13;14;15;16;17;18;19;20;21;22;23;24;25;26;27;28;29;30;31;32},
    COUNTIFS($T$3:$T$201,$M61)&gt;0,
    COUNTIFS($U$3:$U$201,$M61)&gt;0,
    COUNTIFS($V$3:$V$201,$M61)&gt;0,
    COUNTIFS($W$3:$W$201,$M61)&gt;0,
    COUNTIFS($X$3:$X$201,$M61)&gt;0,
    COUNTIFS($Y$3:$Y$201,$M61)&gt;0,
    COUNTIFS($Z$3:$Z$201,$M61)&gt;0,
    COUNTIFS($AA$3:$AA$201,$M61)&gt;0,
    COUNTIFS($AB$3:$AB$201,$M61)&gt;0,
    COUNTIFS($AC$3:$AC$201,$M61)&gt;0,
    COUNTIFS($AD$3:$AD$201,$M61)&gt;0,
    COUNTIFS($AE$3:$AE$201,$M61)&gt;0,
    COUNTIFS($AF$3:$AF$201,$M61)&gt;0,
    COUNTIFS($AG$3:$AG$201,$M61)&gt;0,
    COUNTIFS($AH$3:$AH$201,$M61)&gt;0,
    COUNTIFS($AI$3:$AI$201,$M61)&gt;0,
    COUNTIFS($AJ$3:$AJ$201,$M61)&gt;0,
    COUNTIFS($AK$3:$AK$201,$M61)&gt;0,
    COUNTIFS($AL$3:$AL$201,$M61)&gt;0,
    COUNTIFS($AM$3:$AM$201,$M61)&gt;0,
    COUNTIFS($AN$3:$AN$201,$M61)&gt;0,
    COUNTIFS($AO$3:$AO$201,$M61)&gt;0,
    COUNTIFS($AP$3:$AP$201,$M61)&gt;0,
    COUNTIFS($AQ$3:$AQ$201,$M61)&gt;0,
    COUNTIFS($AR$3:$AR$201,$M61)&gt;0,
    COUNTIFS($AS$3:$AS$201,$M61)&gt;0,
    COUNTIFS($AT$3:$AT$201,$M61)&gt;0,
    COUNTIFS($AU$3:$AU$201,$M61)&gt;0,
    COUNTIFS($AV$3:$AV$201,$M61)&gt;0,
    COUNTIFS($AW$3:$AW$201,$M61)&gt;0
   ),
  0)
 ),
"")</f>
        <v>Yuriko</v>
      </c>
      <c r="P61" s="3" t="str" cm="1">
        <f t="array" aca="1" ref="P61" ca="1">IFERROR(
 INDEX(
  _xlfn._xlws.FILTER($T$2:$AW$2,
   TRANSPOSE(
    CHOOSE({1;2;3;4;5;6;7;8;9;10;11;12;13;14;15;16;17;18;19;20;21;22;23;24;25;26;27;28;29;30},
     COUNTIFS($T$3:$T$201,$M61)&gt;0,
     COUNTIFS($U$3:$U$201,$M61)&gt;0,
     COUNTIFS($V$3:$V$201,$M61)&gt;0,
     COUNTIFS($W$3:$W$201,$M61)&gt;0,
     COUNTIFS($X$3:$X$201,$M61)&gt;0,
     COUNTIFS($Y$3:$Y$201,$M61)&gt;0,
     COUNTIFS($Z$3:$Z$201,$M61)&gt;0,
     COUNTIFS($AA$3:$AA$201,$M61)&gt;0,
     COUNTIFS($AB$3:$AB$201,$M61)&gt;0,
     COUNTIFS($AC$3:$AC$201,$M61)&gt;0,
     COUNTIFS($AD$3:$AD$201,$M61)&gt;0,
     COUNTIFS($AE$3:$AE$201,$M61)&gt;0,
     COUNTIFS($AF$3:$AF$201,$M61)&gt;0,
     COUNTIFS($AG$3:$AG$201,$M61)&gt;0,
     COUNTIFS($AH$3:$AH$201,$M61)&gt;0,
     COUNTIFS($AI$3:$AI$201,$M61)&gt;0,
     COUNTIFS($AJ$3:$AJ$201,$M61)&gt;0,
     COUNTIFS($AK$3:$AK$201,$M61)&gt;0,
     COUNTIFS($AL$3:$AL$201,$M61)&gt;0,
     COUNTIFS($AM$3:$AM$201,$M61)&gt;0,
     COUNTIFS($AN$3:$AN$201,$M61)&gt;0,
     COUNTIFS($AO$3:$AO$201,$M61)&gt;0,
     COUNTIFS($AP$3:$AP$201,$M61)&gt;0,
     COUNTIFS($AQ$3:$AQ$201,$M61)&gt;0,
     COUNTIFS($AR$3:$AR$201,$M61)&gt;0,
     COUNTIFS($AS$3:$AS$201,$M61)&gt;0,
     COUNTIFS($AT$3:$AT$201,$M61)&gt;0,
     COUNTIFS($AU$3:$AU$201,$M61)&gt;0,
     COUNTIFS($AV$3:$AV$201,$M61)&gt;0,
     COUNTIFS($AW$3:$AW$201,$M61)&gt;0
   )),
  ),
  2
 ),
"")</f>
        <v/>
      </c>
      <c r="Q61" s="3" t="str" cm="1">
        <f t="array" aca="1" ref="Q61" ca="1">IFERROR(
 INDEX(
  _xlfn._xlws.FILTER($T$2:$AW$2,
   TRANSPOSE(
    CHOOSE({1;2;3;4;5;6;7;8;9;10;11;12;13;14;15;16;17;18;19;20;21;22;23;24;25;26;27;28;29;30},
     COUNTIFS($T$3:$T$201,$M61)&gt;0,
     COUNTIFS($U$3:$U$201,$M61)&gt;0,
     COUNTIFS($V$3:$V$201,$M61)&gt;0,
     COUNTIFS($W$3:$W$201,$M61)&gt;0,
     COUNTIFS($X$3:$X$201,$M61)&gt;0,
     COUNTIFS($Y$3:$Y$201,$M61)&gt;0,
     COUNTIFS($Z$3:$Z$201,$M61)&gt;0,
     COUNTIFS($AA$3:$AA$201,$M61)&gt;0,
     COUNTIFS($AB$3:$AB$201,$M61)&gt;0,
     COUNTIFS($AC$3:$AC$201,$M61)&gt;0,
     COUNTIFS($AD$3:$AD$201,$M61)&gt;0,
     COUNTIFS($AE$3:$AE$201,$M61)&gt;0,
     COUNTIFS($AF$3:$AF$201,$M61)&gt;0,
     COUNTIFS($AG$3:$AG$201,$M61)&gt;0,
     COUNTIFS($AH$3:$AH$201,$M61)&gt;0,
     COUNTIFS($AI$3:$AI$201,$M61)&gt;0,
     COUNTIFS($AJ$3:$AJ$201,$M61)&gt;0,
     COUNTIFS($AK$3:$AK$201,$M61)&gt;0,
     COUNTIFS($AL$3:$AL$201,$M61)&gt;0,
     COUNTIFS($AM$3:$AM$201,$M61)&gt;0,
     COUNTIFS($AN$3:$AN$201,$M61)&gt;0,
     COUNTIFS($AO$3:$AO$201,$M61)&gt;0,
     COUNTIFS($AP$3:$AP$201,$M61)&gt;0,
     COUNTIFS($AQ$3:$AQ$201,$M61)&gt;0,
     COUNTIFS($AR$3:$AR$201,$M61)&gt;0,
     COUNTIFS($AS$3:$AS$201,$M61)&gt;0,
     COUNTIFS($AT$3:$AT$201,$M61)&gt;0,
     COUNTIFS($AU$3:$AU$201,$M61)&gt;0,
     COUNTIFS($AV$3:$AV$201,$M61)&gt;0,
     COUNTIFS($AW$3:$AW$201,$M61)&gt;0
   )),
  ),
  3
 ),
"")</f>
        <v/>
      </c>
      <c r="R61" s="3" t="str" cm="1">
        <f t="array" aca="1" ref="R61" ca="1">IFERROR(
 INDEX(
  _xlfn._xlws.FILTER($T$2:$AW$2,
   TRANSPOSE(
    CHOOSE({1;2;3;4;5;6;7;8;9;10;11;12;13;14;15;16;17;18;19;20;21;22;23;24;25;26;27;28;29;30},
     COUNTIFS($T$3:$T$201,$M61)&gt;0,
     COUNTIFS($U$3:$U$201,$M61)&gt;0,
     COUNTIFS($V$3:$V$201,$M61)&gt;0,
     COUNTIFS($W$3:$W$201,$M61)&gt;0,
     COUNTIFS($X$3:$X$201,$M61)&gt;0,
     COUNTIFS($Y$3:$Y$201,$M61)&gt;0,
     COUNTIFS($Z$3:$Z$201,$M61)&gt;0,
     COUNTIFS($AA$3:$AA$201,$M61)&gt;0,
     COUNTIFS($AB$3:$AB$201,$M61)&gt;0,
     COUNTIFS($AC$3:$AC$201,$M61)&gt;0,
     COUNTIFS($AD$3:$AD$201,$M61)&gt;0,
     COUNTIFS($AE$3:$AE$201,$M61)&gt;0,
     COUNTIFS($AF$3:$AF$201,$M61)&gt;0,
     COUNTIFS($AG$3:$AG$201,$M61)&gt;0,
     COUNTIFS($AH$3:$AH$201,$M61)&gt;0,
     COUNTIFS($AI$3:$AI$201,$M61)&gt;0,
     COUNTIFS($AJ$3:$AJ$201,$M61)&gt;0,
     COUNTIFS($AK$3:$AK$201,$M61)&gt;0,
     COUNTIFS($AL$3:$AL$201,$M61)&gt;0,
     COUNTIFS($AM$3:$AM$201,$M61)&gt;0,
     COUNTIFS($AN$3:$AN$201,$M61)&gt;0,
     COUNTIFS($AO$3:$AO$201,$M61)&gt;0,
     COUNTIFS($AP$3:$AP$201,$M61)&gt;0,
     COUNTIFS($AQ$3:$AQ$201,$M61)&gt;0,
     COUNTIFS($AR$3:$AR$201,$M61)&gt;0,
     COUNTIFS($AS$3:$AS$201,$M61)&gt;0,
     COUNTIFS($AT$3:$AT$201,$M61)&gt;0,
     COUNTIFS($AU$3:$AU$201,$M61)&gt;0,
     COUNTIFS($AV$3:$AV$201,$M61)&gt;0,
     COUNTIFS($AW$3:$AW$201,$M61)&gt;0
   )),
  ),
  4
 ),
"")</f>
        <v/>
      </c>
      <c r="BR61" t="str">
        <f ca="1"/>
        <v>Rumor Gatherer</v>
      </c>
      <c r="BS61" t="str">
        <f ca="1"/>
        <v>Terras em Desenvolvimento</v>
      </c>
      <c r="CA61" t="str">
        <f ca="1"/>
        <v>High Priest of Penance</v>
      </c>
      <c r="CB61" t="str">
        <f ca="1"/>
        <v>Supreme Verdict</v>
      </c>
      <c r="CF61" t="str">
        <f ca="1"/>
        <v>Esmoecer</v>
      </c>
      <c r="CG61" t="str">
        <f ca="1"/>
        <v>Reclamation Sage</v>
      </c>
      <c r="CI61" t="str">
        <f ca="1"/>
        <v>Despedaçamento Temporal de Jarn</v>
      </c>
    </row>
    <row r="62" spans="1:87" x14ac:dyDescent="0.25">
      <c r="A62" t="str">
        <f ca="1"/>
        <v>Dionus, Elvish Archdruid</v>
      </c>
      <c r="B62" s="3" t="str" cm="1">
        <f t="array" aca="1" ref="B62" ca="1">_xlfn.ANCHORARRAY(RESUMO!C61)</f>
        <v>Elfos</v>
      </c>
      <c r="C62" s="3" t="str">
        <f t="shared" ca="1" si="0"/>
        <v/>
      </c>
      <c r="E62" t="str">
        <f ca="1"/>
        <v>Diamante B</v>
      </c>
      <c r="F62" s="3">
        <f t="shared" ca="1" si="1"/>
        <v>1</v>
      </c>
      <c r="G62" s="3" t="str">
        <f t="shared" ca="1" si="2"/>
        <v>Rani</v>
      </c>
      <c r="M62" t="str">
        <f ca="1"/>
        <v>Diamante B</v>
      </c>
      <c r="N62" s="3">
        <f t="shared" ca="1" si="3"/>
        <v>1</v>
      </c>
      <c r="O62" s="3" t="str">
        <f ca="1">IFERROR(
 INDEX($T$2:$AW$2,
  MATCH(TRUE,
   CHOOSE({1;2;3;4;5;6;7;8;9;10;11;12;13;14;15;16;17;18;19;20;21;22;23;24;25;26;27;28;29;30;31;32},
    COUNTIFS($T$3:$T$201,$M62)&gt;0,
    COUNTIFS($U$3:$U$201,$M62)&gt;0,
    COUNTIFS($V$3:$V$201,$M62)&gt;0,
    COUNTIFS($W$3:$W$201,$M62)&gt;0,
    COUNTIFS($X$3:$X$201,$M62)&gt;0,
    COUNTIFS($Y$3:$Y$201,$M62)&gt;0,
    COUNTIFS($Z$3:$Z$201,$M62)&gt;0,
    COUNTIFS($AA$3:$AA$201,$M62)&gt;0,
    COUNTIFS($AB$3:$AB$201,$M62)&gt;0,
    COUNTIFS($AC$3:$AC$201,$M62)&gt;0,
    COUNTIFS($AD$3:$AD$201,$M62)&gt;0,
    COUNTIFS($AE$3:$AE$201,$M62)&gt;0,
    COUNTIFS($AF$3:$AF$201,$M62)&gt;0,
    COUNTIFS($AG$3:$AG$201,$M62)&gt;0,
    COUNTIFS($AH$3:$AH$201,$M62)&gt;0,
    COUNTIFS($AI$3:$AI$201,$M62)&gt;0,
    COUNTIFS($AJ$3:$AJ$201,$M62)&gt;0,
    COUNTIFS($AK$3:$AK$201,$M62)&gt;0,
    COUNTIFS($AL$3:$AL$201,$M62)&gt;0,
    COUNTIFS($AM$3:$AM$201,$M62)&gt;0,
    COUNTIFS($AN$3:$AN$201,$M62)&gt;0,
    COUNTIFS($AO$3:$AO$201,$M62)&gt;0,
    COUNTIFS($AP$3:$AP$201,$M62)&gt;0,
    COUNTIFS($AQ$3:$AQ$201,$M62)&gt;0,
    COUNTIFS($AR$3:$AR$201,$M62)&gt;0,
    COUNTIFS($AS$3:$AS$201,$M62)&gt;0,
    COUNTIFS($AT$3:$AT$201,$M62)&gt;0,
    COUNTIFS($AU$3:$AU$201,$M62)&gt;0,
    COUNTIFS($AV$3:$AV$201,$M62)&gt;0,
    COUNTIFS($AW$3:$AW$201,$M62)&gt;0
   ),
  0)
 ),
"")</f>
        <v>Rani</v>
      </c>
      <c r="P62" s="3" t="str" cm="1">
        <f t="array" aca="1" ref="P62" ca="1">IFERROR(
 INDEX(
  _xlfn._xlws.FILTER($T$2:$AW$2,
   TRANSPOSE(
    CHOOSE({1;2;3;4;5;6;7;8;9;10;11;12;13;14;15;16;17;18;19;20;21;22;23;24;25;26;27;28;29;30},
     COUNTIFS($T$3:$T$201,$M62)&gt;0,
     COUNTIFS($U$3:$U$201,$M62)&gt;0,
     COUNTIFS($V$3:$V$201,$M62)&gt;0,
     COUNTIFS($W$3:$W$201,$M62)&gt;0,
     COUNTIFS($X$3:$X$201,$M62)&gt;0,
     COUNTIFS($Y$3:$Y$201,$M62)&gt;0,
     COUNTIFS($Z$3:$Z$201,$M62)&gt;0,
     COUNTIFS($AA$3:$AA$201,$M62)&gt;0,
     COUNTIFS($AB$3:$AB$201,$M62)&gt;0,
     COUNTIFS($AC$3:$AC$201,$M62)&gt;0,
     COUNTIFS($AD$3:$AD$201,$M62)&gt;0,
     COUNTIFS($AE$3:$AE$201,$M62)&gt;0,
     COUNTIFS($AF$3:$AF$201,$M62)&gt;0,
     COUNTIFS($AG$3:$AG$201,$M62)&gt;0,
     COUNTIFS($AH$3:$AH$201,$M62)&gt;0,
     COUNTIFS($AI$3:$AI$201,$M62)&gt;0,
     COUNTIFS($AJ$3:$AJ$201,$M62)&gt;0,
     COUNTIFS($AK$3:$AK$201,$M62)&gt;0,
     COUNTIFS($AL$3:$AL$201,$M62)&gt;0,
     COUNTIFS($AM$3:$AM$201,$M62)&gt;0,
     COUNTIFS($AN$3:$AN$201,$M62)&gt;0,
     COUNTIFS($AO$3:$AO$201,$M62)&gt;0,
     COUNTIFS($AP$3:$AP$201,$M62)&gt;0,
     COUNTIFS($AQ$3:$AQ$201,$M62)&gt;0,
     COUNTIFS($AR$3:$AR$201,$M62)&gt;0,
     COUNTIFS($AS$3:$AS$201,$M62)&gt;0,
     COUNTIFS($AT$3:$AT$201,$M62)&gt;0,
     COUNTIFS($AU$3:$AU$201,$M62)&gt;0,
     COUNTIFS($AV$3:$AV$201,$M62)&gt;0,
     COUNTIFS($AW$3:$AW$201,$M62)&gt;0
   )),
  ),
  2
 ),
"")</f>
        <v/>
      </c>
      <c r="Q62" s="3" t="str" cm="1">
        <f t="array" aca="1" ref="Q62" ca="1">IFERROR(
 INDEX(
  _xlfn._xlws.FILTER($T$2:$AW$2,
   TRANSPOSE(
    CHOOSE({1;2;3;4;5;6;7;8;9;10;11;12;13;14;15;16;17;18;19;20;21;22;23;24;25;26;27;28;29;30},
     COUNTIFS($T$3:$T$201,$M62)&gt;0,
     COUNTIFS($U$3:$U$201,$M62)&gt;0,
     COUNTIFS($V$3:$V$201,$M62)&gt;0,
     COUNTIFS($W$3:$W$201,$M62)&gt;0,
     COUNTIFS($X$3:$X$201,$M62)&gt;0,
     COUNTIFS($Y$3:$Y$201,$M62)&gt;0,
     COUNTIFS($Z$3:$Z$201,$M62)&gt;0,
     COUNTIFS($AA$3:$AA$201,$M62)&gt;0,
     COUNTIFS($AB$3:$AB$201,$M62)&gt;0,
     COUNTIFS($AC$3:$AC$201,$M62)&gt;0,
     COUNTIFS($AD$3:$AD$201,$M62)&gt;0,
     COUNTIFS($AE$3:$AE$201,$M62)&gt;0,
     COUNTIFS($AF$3:$AF$201,$M62)&gt;0,
     COUNTIFS($AG$3:$AG$201,$M62)&gt;0,
     COUNTIFS($AH$3:$AH$201,$M62)&gt;0,
     COUNTIFS($AI$3:$AI$201,$M62)&gt;0,
     COUNTIFS($AJ$3:$AJ$201,$M62)&gt;0,
     COUNTIFS($AK$3:$AK$201,$M62)&gt;0,
     COUNTIFS($AL$3:$AL$201,$M62)&gt;0,
     COUNTIFS($AM$3:$AM$201,$M62)&gt;0,
     COUNTIFS($AN$3:$AN$201,$M62)&gt;0,
     COUNTIFS($AO$3:$AO$201,$M62)&gt;0,
     COUNTIFS($AP$3:$AP$201,$M62)&gt;0,
     COUNTIFS($AQ$3:$AQ$201,$M62)&gt;0,
     COUNTIFS($AR$3:$AR$201,$M62)&gt;0,
     COUNTIFS($AS$3:$AS$201,$M62)&gt;0,
     COUNTIFS($AT$3:$AT$201,$M62)&gt;0,
     COUNTIFS($AU$3:$AU$201,$M62)&gt;0,
     COUNTIFS($AV$3:$AV$201,$M62)&gt;0,
     COUNTIFS($AW$3:$AW$201,$M62)&gt;0
   )),
  ),
  3
 ),
"")</f>
        <v/>
      </c>
      <c r="R62" s="3" t="str" cm="1">
        <f t="array" aca="1" ref="R62" ca="1">IFERROR(
 INDEX(
  _xlfn._xlws.FILTER($T$2:$AW$2,
   TRANSPOSE(
    CHOOSE({1;2;3;4;5;6;7;8;9;10;11;12;13;14;15;16;17;18;19;20;21;22;23;24;25;26;27;28;29;30},
     COUNTIFS($T$3:$T$201,$M62)&gt;0,
     COUNTIFS($U$3:$U$201,$M62)&gt;0,
     COUNTIFS($V$3:$V$201,$M62)&gt;0,
     COUNTIFS($W$3:$W$201,$M62)&gt;0,
     COUNTIFS($X$3:$X$201,$M62)&gt;0,
     COUNTIFS($Y$3:$Y$201,$M62)&gt;0,
     COUNTIFS($Z$3:$Z$201,$M62)&gt;0,
     COUNTIFS($AA$3:$AA$201,$M62)&gt;0,
     COUNTIFS($AB$3:$AB$201,$M62)&gt;0,
     COUNTIFS($AC$3:$AC$201,$M62)&gt;0,
     COUNTIFS($AD$3:$AD$201,$M62)&gt;0,
     COUNTIFS($AE$3:$AE$201,$M62)&gt;0,
     COUNTIFS($AF$3:$AF$201,$M62)&gt;0,
     COUNTIFS($AG$3:$AG$201,$M62)&gt;0,
     COUNTIFS($AH$3:$AH$201,$M62)&gt;0,
     COUNTIFS($AI$3:$AI$201,$M62)&gt;0,
     COUNTIFS($AJ$3:$AJ$201,$M62)&gt;0,
     COUNTIFS($AK$3:$AK$201,$M62)&gt;0,
     COUNTIFS($AL$3:$AL$201,$M62)&gt;0,
     COUNTIFS($AM$3:$AM$201,$M62)&gt;0,
     COUNTIFS($AN$3:$AN$201,$M62)&gt;0,
     COUNTIFS($AO$3:$AO$201,$M62)&gt;0,
     COUNTIFS($AP$3:$AP$201,$M62)&gt;0,
     COUNTIFS($AQ$3:$AQ$201,$M62)&gt;0,
     COUNTIFS($AR$3:$AR$201,$M62)&gt;0,
     COUNTIFS($AS$3:$AS$201,$M62)&gt;0,
     COUNTIFS($AT$3:$AT$201,$M62)&gt;0,
     COUNTIFS($AU$3:$AU$201,$M62)&gt;0,
     COUNTIFS($AV$3:$AV$201,$M62)&gt;0,
     COUNTIFS($AW$3:$AW$201,$M62)&gt;0
   )),
  ),
  4
 ),
"")</f>
        <v/>
      </c>
      <c r="BR62" t="str">
        <f ca="1"/>
        <v>Saciar</v>
      </c>
      <c r="BS62" t="str">
        <f ca="1"/>
        <v>The Hunger Tide Rises</v>
      </c>
      <c r="CA62" t="str">
        <f ca="1"/>
        <v>Horda Germinal</v>
      </c>
      <c r="CB62" t="str">
        <f ca="1"/>
        <v>Swamp</v>
      </c>
      <c r="CF62" t="str">
        <f ca="1"/>
        <v>Espião-mestre Goblin</v>
      </c>
      <c r="CG62" t="str">
        <f ca="1"/>
        <v>Retreat to Kazandu</v>
      </c>
      <c r="CI62" t="str">
        <f ca="1"/>
        <v>Diamante B</v>
      </c>
    </row>
    <row r="63" spans="1:87" x14ac:dyDescent="0.25">
      <c r="A63" t="str">
        <f ca="1"/>
        <v>Dispatch</v>
      </c>
      <c r="B63" s="3" t="str" cm="1">
        <f t="array" aca="1" ref="B63" ca="1">_xlfn.ANCHORARRAY(RESUMO!C62)</f>
        <v>Modular</v>
      </c>
      <c r="C63" s="3" t="str">
        <f t="shared" ca="1" si="0"/>
        <v/>
      </c>
      <c r="E63" t="str">
        <f ca="1"/>
        <v>Diamante R</v>
      </c>
      <c r="F63" s="3">
        <f t="shared" ca="1" si="1"/>
        <v>1</v>
      </c>
      <c r="G63" s="3" t="str">
        <f t="shared" ca="1" si="2"/>
        <v>Rani</v>
      </c>
      <c r="M63" t="str">
        <f ca="1"/>
        <v>Diamante R</v>
      </c>
      <c r="N63" s="3">
        <f t="shared" ca="1" si="3"/>
        <v>1</v>
      </c>
      <c r="O63" s="3" t="str">
        <f ca="1">IFERROR(
 INDEX($T$2:$AW$2,
  MATCH(TRUE,
   CHOOSE({1;2;3;4;5;6;7;8;9;10;11;12;13;14;15;16;17;18;19;20;21;22;23;24;25;26;27;28;29;30;31;32},
    COUNTIFS($T$3:$T$201,$M63)&gt;0,
    COUNTIFS($U$3:$U$201,$M63)&gt;0,
    COUNTIFS($V$3:$V$201,$M63)&gt;0,
    COUNTIFS($W$3:$W$201,$M63)&gt;0,
    COUNTIFS($X$3:$X$201,$M63)&gt;0,
    COUNTIFS($Y$3:$Y$201,$M63)&gt;0,
    COUNTIFS($Z$3:$Z$201,$M63)&gt;0,
    COUNTIFS($AA$3:$AA$201,$M63)&gt;0,
    COUNTIFS($AB$3:$AB$201,$M63)&gt;0,
    COUNTIFS($AC$3:$AC$201,$M63)&gt;0,
    COUNTIFS($AD$3:$AD$201,$M63)&gt;0,
    COUNTIFS($AE$3:$AE$201,$M63)&gt;0,
    COUNTIFS($AF$3:$AF$201,$M63)&gt;0,
    COUNTIFS($AG$3:$AG$201,$M63)&gt;0,
    COUNTIFS($AH$3:$AH$201,$M63)&gt;0,
    COUNTIFS($AI$3:$AI$201,$M63)&gt;0,
    COUNTIFS($AJ$3:$AJ$201,$M63)&gt;0,
    COUNTIFS($AK$3:$AK$201,$M63)&gt;0,
    COUNTIFS($AL$3:$AL$201,$M63)&gt;0,
    COUNTIFS($AM$3:$AM$201,$M63)&gt;0,
    COUNTIFS($AN$3:$AN$201,$M63)&gt;0,
    COUNTIFS($AO$3:$AO$201,$M63)&gt;0,
    COUNTIFS($AP$3:$AP$201,$M63)&gt;0,
    COUNTIFS($AQ$3:$AQ$201,$M63)&gt;0,
    COUNTIFS($AR$3:$AR$201,$M63)&gt;0,
    COUNTIFS($AS$3:$AS$201,$M63)&gt;0,
    COUNTIFS($AT$3:$AT$201,$M63)&gt;0,
    COUNTIFS($AU$3:$AU$201,$M63)&gt;0,
    COUNTIFS($AV$3:$AV$201,$M63)&gt;0,
    COUNTIFS($AW$3:$AW$201,$M63)&gt;0
   ),
  0)
 ),
"")</f>
        <v>Rani</v>
      </c>
      <c r="P63" s="3" t="str" cm="1">
        <f t="array" aca="1" ref="P63" ca="1">IFERROR(
 INDEX(
  _xlfn._xlws.FILTER($T$2:$AW$2,
   TRANSPOSE(
    CHOOSE({1;2;3;4;5;6;7;8;9;10;11;12;13;14;15;16;17;18;19;20;21;22;23;24;25;26;27;28;29;30},
     COUNTIFS($T$3:$T$201,$M63)&gt;0,
     COUNTIFS($U$3:$U$201,$M63)&gt;0,
     COUNTIFS($V$3:$V$201,$M63)&gt;0,
     COUNTIFS($W$3:$W$201,$M63)&gt;0,
     COUNTIFS($X$3:$X$201,$M63)&gt;0,
     COUNTIFS($Y$3:$Y$201,$M63)&gt;0,
     COUNTIFS($Z$3:$Z$201,$M63)&gt;0,
     COUNTIFS($AA$3:$AA$201,$M63)&gt;0,
     COUNTIFS($AB$3:$AB$201,$M63)&gt;0,
     COUNTIFS($AC$3:$AC$201,$M63)&gt;0,
     COUNTIFS($AD$3:$AD$201,$M63)&gt;0,
     COUNTIFS($AE$3:$AE$201,$M63)&gt;0,
     COUNTIFS($AF$3:$AF$201,$M63)&gt;0,
     COUNTIFS($AG$3:$AG$201,$M63)&gt;0,
     COUNTIFS($AH$3:$AH$201,$M63)&gt;0,
     COUNTIFS($AI$3:$AI$201,$M63)&gt;0,
     COUNTIFS($AJ$3:$AJ$201,$M63)&gt;0,
     COUNTIFS($AK$3:$AK$201,$M63)&gt;0,
     COUNTIFS($AL$3:$AL$201,$M63)&gt;0,
     COUNTIFS($AM$3:$AM$201,$M63)&gt;0,
     COUNTIFS($AN$3:$AN$201,$M63)&gt;0,
     COUNTIFS($AO$3:$AO$201,$M63)&gt;0,
     COUNTIFS($AP$3:$AP$201,$M63)&gt;0,
     COUNTIFS($AQ$3:$AQ$201,$M63)&gt;0,
     COUNTIFS($AR$3:$AR$201,$M63)&gt;0,
     COUNTIFS($AS$3:$AS$201,$M63)&gt;0,
     COUNTIFS($AT$3:$AT$201,$M63)&gt;0,
     COUNTIFS($AU$3:$AU$201,$M63)&gt;0,
     COUNTIFS($AV$3:$AV$201,$M63)&gt;0,
     COUNTIFS($AW$3:$AW$201,$M63)&gt;0
   )),
  ),
  2
 ),
"")</f>
        <v/>
      </c>
      <c r="Q63" s="3" t="str" cm="1">
        <f t="array" aca="1" ref="Q63" ca="1">IFERROR(
 INDEX(
  _xlfn._xlws.FILTER($T$2:$AW$2,
   TRANSPOSE(
    CHOOSE({1;2;3;4;5;6;7;8;9;10;11;12;13;14;15;16;17;18;19;20;21;22;23;24;25;26;27;28;29;30},
     COUNTIFS($T$3:$T$201,$M63)&gt;0,
     COUNTIFS($U$3:$U$201,$M63)&gt;0,
     COUNTIFS($V$3:$V$201,$M63)&gt;0,
     COUNTIFS($W$3:$W$201,$M63)&gt;0,
     COUNTIFS($X$3:$X$201,$M63)&gt;0,
     COUNTIFS($Y$3:$Y$201,$M63)&gt;0,
     COUNTIFS($Z$3:$Z$201,$M63)&gt;0,
     COUNTIFS($AA$3:$AA$201,$M63)&gt;0,
     COUNTIFS($AB$3:$AB$201,$M63)&gt;0,
     COUNTIFS($AC$3:$AC$201,$M63)&gt;0,
     COUNTIFS($AD$3:$AD$201,$M63)&gt;0,
     COUNTIFS($AE$3:$AE$201,$M63)&gt;0,
     COUNTIFS($AF$3:$AF$201,$M63)&gt;0,
     COUNTIFS($AG$3:$AG$201,$M63)&gt;0,
     COUNTIFS($AH$3:$AH$201,$M63)&gt;0,
     COUNTIFS($AI$3:$AI$201,$M63)&gt;0,
     COUNTIFS($AJ$3:$AJ$201,$M63)&gt;0,
     COUNTIFS($AK$3:$AK$201,$M63)&gt;0,
     COUNTIFS($AL$3:$AL$201,$M63)&gt;0,
     COUNTIFS($AM$3:$AM$201,$M63)&gt;0,
     COUNTIFS($AN$3:$AN$201,$M63)&gt;0,
     COUNTIFS($AO$3:$AO$201,$M63)&gt;0,
     COUNTIFS($AP$3:$AP$201,$M63)&gt;0,
     COUNTIFS($AQ$3:$AQ$201,$M63)&gt;0,
     COUNTIFS($AR$3:$AR$201,$M63)&gt;0,
     COUNTIFS($AS$3:$AS$201,$M63)&gt;0,
     COUNTIFS($AT$3:$AT$201,$M63)&gt;0,
     COUNTIFS($AU$3:$AU$201,$M63)&gt;0,
     COUNTIFS($AV$3:$AV$201,$M63)&gt;0,
     COUNTIFS($AW$3:$AW$201,$M63)&gt;0
   )),
  ),
  3
 ),
"")</f>
        <v/>
      </c>
      <c r="R63" s="3" t="str" cm="1">
        <f t="array" aca="1" ref="R63" ca="1">IFERROR(
 INDEX(
  _xlfn._xlws.FILTER($T$2:$AW$2,
   TRANSPOSE(
    CHOOSE({1;2;3;4;5;6;7;8;9;10;11;12;13;14;15;16;17;18;19;20;21;22;23;24;25;26;27;28;29;30},
     COUNTIFS($T$3:$T$201,$M63)&gt;0,
     COUNTIFS($U$3:$U$201,$M63)&gt;0,
     COUNTIFS($V$3:$V$201,$M63)&gt;0,
     COUNTIFS($W$3:$W$201,$M63)&gt;0,
     COUNTIFS($X$3:$X$201,$M63)&gt;0,
     COUNTIFS($Y$3:$Y$201,$M63)&gt;0,
     COUNTIFS($Z$3:$Z$201,$M63)&gt;0,
     COUNTIFS($AA$3:$AA$201,$M63)&gt;0,
     COUNTIFS($AB$3:$AB$201,$M63)&gt;0,
     COUNTIFS($AC$3:$AC$201,$M63)&gt;0,
     COUNTIFS($AD$3:$AD$201,$M63)&gt;0,
     COUNTIFS($AE$3:$AE$201,$M63)&gt;0,
     COUNTIFS($AF$3:$AF$201,$M63)&gt;0,
     COUNTIFS($AG$3:$AG$201,$M63)&gt;0,
     COUNTIFS($AH$3:$AH$201,$M63)&gt;0,
     COUNTIFS($AI$3:$AI$201,$M63)&gt;0,
     COUNTIFS($AJ$3:$AJ$201,$M63)&gt;0,
     COUNTIFS($AK$3:$AK$201,$M63)&gt;0,
     COUNTIFS($AL$3:$AL$201,$M63)&gt;0,
     COUNTIFS($AM$3:$AM$201,$M63)&gt;0,
     COUNTIFS($AN$3:$AN$201,$M63)&gt;0,
     COUNTIFS($AO$3:$AO$201,$M63)&gt;0,
     COUNTIFS($AP$3:$AP$201,$M63)&gt;0,
     COUNTIFS($AQ$3:$AQ$201,$M63)&gt;0,
     COUNTIFS($AR$3:$AR$201,$M63)&gt;0,
     COUNTIFS($AS$3:$AS$201,$M63)&gt;0,
     COUNTIFS($AT$3:$AT$201,$M63)&gt;0,
     COUNTIFS($AU$3:$AU$201,$M63)&gt;0,
     COUNTIFS($AV$3:$AV$201,$M63)&gt;0,
     COUNTIFS($AW$3:$AW$201,$M63)&gt;0
   )),
  ),
  4
 ),
"")</f>
        <v/>
      </c>
      <c r="BR63" t="str">
        <f ca="1"/>
        <v>Saheeli, Artífice Sublime</v>
      </c>
      <c r="BS63" t="str">
        <f ca="1"/>
        <v>Tocasia's Welcome</v>
      </c>
      <c r="CA63" t="str">
        <f ca="1"/>
        <v>Imagem Espelhada</v>
      </c>
      <c r="CB63" t="str">
        <f ca="1"/>
        <v>Swiftfoot Boots</v>
      </c>
      <c r="CF63" t="str">
        <f ca="1"/>
        <v>Espiral de Crescimento</v>
      </c>
      <c r="CG63" t="str">
        <f ca="1"/>
        <v>Rootbound Crag</v>
      </c>
      <c r="CI63" t="str">
        <f ca="1"/>
        <v>Diamante R</v>
      </c>
    </row>
    <row r="64" spans="1:87" x14ac:dyDescent="0.25">
      <c r="A64" t="str">
        <f ca="1"/>
        <v>Dollmaker's Shop // Porcelain Gallery</v>
      </c>
      <c r="B64" s="3" t="str" cm="1">
        <f t="array" aca="1" ref="B64" ca="1">_xlfn.ANCHORARRAY(RESUMO!C63)</f>
        <v>OWA</v>
      </c>
      <c r="C64" s="3" t="str">
        <f t="shared" ca="1" si="0"/>
        <v/>
      </c>
      <c r="E64" t="str">
        <f ca="1"/>
        <v>Diamante U</v>
      </c>
      <c r="F64" s="3">
        <f t="shared" ca="1" si="1"/>
        <v>1</v>
      </c>
      <c r="G64" s="3" t="str">
        <f t="shared" ca="1" si="2"/>
        <v>Rani</v>
      </c>
      <c r="M64" t="str">
        <f ca="1"/>
        <v>Diamante U</v>
      </c>
      <c r="N64" s="3">
        <f t="shared" ca="1" si="3"/>
        <v>1</v>
      </c>
      <c r="O64" s="3" t="str">
        <f ca="1">IFERROR(
 INDEX($T$2:$AW$2,
  MATCH(TRUE,
   CHOOSE({1;2;3;4;5;6;7;8;9;10;11;12;13;14;15;16;17;18;19;20;21;22;23;24;25;26;27;28;29;30;31;32},
    COUNTIFS($T$3:$T$201,$M64)&gt;0,
    COUNTIFS($U$3:$U$201,$M64)&gt;0,
    COUNTIFS($V$3:$V$201,$M64)&gt;0,
    COUNTIFS($W$3:$W$201,$M64)&gt;0,
    COUNTIFS($X$3:$X$201,$M64)&gt;0,
    COUNTIFS($Y$3:$Y$201,$M64)&gt;0,
    COUNTIFS($Z$3:$Z$201,$M64)&gt;0,
    COUNTIFS($AA$3:$AA$201,$M64)&gt;0,
    COUNTIFS($AB$3:$AB$201,$M64)&gt;0,
    COUNTIFS($AC$3:$AC$201,$M64)&gt;0,
    COUNTIFS($AD$3:$AD$201,$M64)&gt;0,
    COUNTIFS($AE$3:$AE$201,$M64)&gt;0,
    COUNTIFS($AF$3:$AF$201,$M64)&gt;0,
    COUNTIFS($AG$3:$AG$201,$M64)&gt;0,
    COUNTIFS($AH$3:$AH$201,$M64)&gt;0,
    COUNTIFS($AI$3:$AI$201,$M64)&gt;0,
    COUNTIFS($AJ$3:$AJ$201,$M64)&gt;0,
    COUNTIFS($AK$3:$AK$201,$M64)&gt;0,
    COUNTIFS($AL$3:$AL$201,$M64)&gt;0,
    COUNTIFS($AM$3:$AM$201,$M64)&gt;0,
    COUNTIFS($AN$3:$AN$201,$M64)&gt;0,
    COUNTIFS($AO$3:$AO$201,$M64)&gt;0,
    COUNTIFS($AP$3:$AP$201,$M64)&gt;0,
    COUNTIFS($AQ$3:$AQ$201,$M64)&gt;0,
    COUNTIFS($AR$3:$AR$201,$M64)&gt;0,
    COUNTIFS($AS$3:$AS$201,$M64)&gt;0,
    COUNTIFS($AT$3:$AT$201,$M64)&gt;0,
    COUNTIFS($AU$3:$AU$201,$M64)&gt;0,
    COUNTIFS($AV$3:$AV$201,$M64)&gt;0,
    COUNTIFS($AW$3:$AW$201,$M64)&gt;0
   ),
  0)
 ),
"")</f>
        <v>Rani</v>
      </c>
      <c r="P64" s="3" t="str" cm="1">
        <f t="array" aca="1" ref="P64" ca="1">IFERROR(
 INDEX(
  _xlfn._xlws.FILTER($T$2:$AW$2,
   TRANSPOSE(
    CHOOSE({1;2;3;4;5;6;7;8;9;10;11;12;13;14;15;16;17;18;19;20;21;22;23;24;25;26;27;28;29;30},
     COUNTIFS($T$3:$T$201,$M64)&gt;0,
     COUNTIFS($U$3:$U$201,$M64)&gt;0,
     COUNTIFS($V$3:$V$201,$M64)&gt;0,
     COUNTIFS($W$3:$W$201,$M64)&gt;0,
     COUNTIFS($X$3:$X$201,$M64)&gt;0,
     COUNTIFS($Y$3:$Y$201,$M64)&gt;0,
     COUNTIFS($Z$3:$Z$201,$M64)&gt;0,
     COUNTIFS($AA$3:$AA$201,$M64)&gt;0,
     COUNTIFS($AB$3:$AB$201,$M64)&gt;0,
     COUNTIFS($AC$3:$AC$201,$M64)&gt;0,
     COUNTIFS($AD$3:$AD$201,$M64)&gt;0,
     COUNTIFS($AE$3:$AE$201,$M64)&gt;0,
     COUNTIFS($AF$3:$AF$201,$M64)&gt;0,
     COUNTIFS($AG$3:$AG$201,$M64)&gt;0,
     COUNTIFS($AH$3:$AH$201,$M64)&gt;0,
     COUNTIFS($AI$3:$AI$201,$M64)&gt;0,
     COUNTIFS($AJ$3:$AJ$201,$M64)&gt;0,
     COUNTIFS($AK$3:$AK$201,$M64)&gt;0,
     COUNTIFS($AL$3:$AL$201,$M64)&gt;0,
     COUNTIFS($AM$3:$AM$201,$M64)&gt;0,
     COUNTIFS($AN$3:$AN$201,$M64)&gt;0,
     COUNTIFS($AO$3:$AO$201,$M64)&gt;0,
     COUNTIFS($AP$3:$AP$201,$M64)&gt;0,
     COUNTIFS($AQ$3:$AQ$201,$M64)&gt;0,
     COUNTIFS($AR$3:$AR$201,$M64)&gt;0,
     COUNTIFS($AS$3:$AS$201,$M64)&gt;0,
     COUNTIFS($AT$3:$AT$201,$M64)&gt;0,
     COUNTIFS($AU$3:$AU$201,$M64)&gt;0,
     COUNTIFS($AV$3:$AV$201,$M64)&gt;0,
     COUNTIFS($AW$3:$AW$201,$M64)&gt;0
   )),
  ),
  2
 ),
"")</f>
        <v/>
      </c>
      <c r="Q64" s="3" t="str" cm="1">
        <f t="array" aca="1" ref="Q64" ca="1">IFERROR(
 INDEX(
  _xlfn._xlws.FILTER($T$2:$AW$2,
   TRANSPOSE(
    CHOOSE({1;2;3;4;5;6;7;8;9;10;11;12;13;14;15;16;17;18;19;20;21;22;23;24;25;26;27;28;29;30},
     COUNTIFS($T$3:$T$201,$M64)&gt;0,
     COUNTIFS($U$3:$U$201,$M64)&gt;0,
     COUNTIFS($V$3:$V$201,$M64)&gt;0,
     COUNTIFS($W$3:$W$201,$M64)&gt;0,
     COUNTIFS($X$3:$X$201,$M64)&gt;0,
     COUNTIFS($Y$3:$Y$201,$M64)&gt;0,
     COUNTIFS($Z$3:$Z$201,$M64)&gt;0,
     COUNTIFS($AA$3:$AA$201,$M64)&gt;0,
     COUNTIFS($AB$3:$AB$201,$M64)&gt;0,
     COUNTIFS($AC$3:$AC$201,$M64)&gt;0,
     COUNTIFS($AD$3:$AD$201,$M64)&gt;0,
     COUNTIFS($AE$3:$AE$201,$M64)&gt;0,
     COUNTIFS($AF$3:$AF$201,$M64)&gt;0,
     COUNTIFS($AG$3:$AG$201,$M64)&gt;0,
     COUNTIFS($AH$3:$AH$201,$M64)&gt;0,
     COUNTIFS($AI$3:$AI$201,$M64)&gt;0,
     COUNTIFS($AJ$3:$AJ$201,$M64)&gt;0,
     COUNTIFS($AK$3:$AK$201,$M64)&gt;0,
     COUNTIFS($AL$3:$AL$201,$M64)&gt;0,
     COUNTIFS($AM$3:$AM$201,$M64)&gt;0,
     COUNTIFS($AN$3:$AN$201,$M64)&gt;0,
     COUNTIFS($AO$3:$AO$201,$M64)&gt;0,
     COUNTIFS($AP$3:$AP$201,$M64)&gt;0,
     COUNTIFS($AQ$3:$AQ$201,$M64)&gt;0,
     COUNTIFS($AR$3:$AR$201,$M64)&gt;0,
     COUNTIFS($AS$3:$AS$201,$M64)&gt;0,
     COUNTIFS($AT$3:$AT$201,$M64)&gt;0,
     COUNTIFS($AU$3:$AU$201,$M64)&gt;0,
     COUNTIFS($AV$3:$AV$201,$M64)&gt;0,
     COUNTIFS($AW$3:$AW$201,$M64)&gt;0
   )),
  ),
  3
 ),
"")</f>
        <v/>
      </c>
      <c r="R64" s="3" t="str" cm="1">
        <f t="array" aca="1" ref="R64" ca="1">IFERROR(
 INDEX(
  _xlfn._xlws.FILTER($T$2:$AW$2,
   TRANSPOSE(
    CHOOSE({1;2;3;4;5;6;7;8;9;10;11;12;13;14;15;16;17;18;19;20;21;22;23;24;25;26;27;28;29;30},
     COUNTIFS($T$3:$T$201,$M64)&gt;0,
     COUNTIFS($U$3:$U$201,$M64)&gt;0,
     COUNTIFS($V$3:$V$201,$M64)&gt;0,
     COUNTIFS($W$3:$W$201,$M64)&gt;0,
     COUNTIFS($X$3:$X$201,$M64)&gt;0,
     COUNTIFS($Y$3:$Y$201,$M64)&gt;0,
     COUNTIFS($Z$3:$Z$201,$M64)&gt;0,
     COUNTIFS($AA$3:$AA$201,$M64)&gt;0,
     COUNTIFS($AB$3:$AB$201,$M64)&gt;0,
     COUNTIFS($AC$3:$AC$201,$M64)&gt;0,
     COUNTIFS($AD$3:$AD$201,$M64)&gt;0,
     COUNTIFS($AE$3:$AE$201,$M64)&gt;0,
     COUNTIFS($AF$3:$AF$201,$M64)&gt;0,
     COUNTIFS($AG$3:$AG$201,$M64)&gt;0,
     COUNTIFS($AH$3:$AH$201,$M64)&gt;0,
     COUNTIFS($AI$3:$AI$201,$M64)&gt;0,
     COUNTIFS($AJ$3:$AJ$201,$M64)&gt;0,
     COUNTIFS($AK$3:$AK$201,$M64)&gt;0,
     COUNTIFS($AL$3:$AL$201,$M64)&gt;0,
     COUNTIFS($AM$3:$AM$201,$M64)&gt;0,
     COUNTIFS($AN$3:$AN$201,$M64)&gt;0,
     COUNTIFS($AO$3:$AO$201,$M64)&gt;0,
     COUNTIFS($AP$3:$AP$201,$M64)&gt;0,
     COUNTIFS($AQ$3:$AQ$201,$M64)&gt;0,
     COUNTIFS($AR$3:$AR$201,$M64)&gt;0,
     COUNTIFS($AS$3:$AS$201,$M64)&gt;0,
     COUNTIFS($AT$3:$AT$201,$M64)&gt;0,
     COUNTIFS($AU$3:$AU$201,$M64)&gt;0,
     COUNTIFS($AV$3:$AV$201,$M64)&gt;0,
     COUNTIFS($AW$3:$AW$201,$M64)&gt;0
   )),
  ),
  4
 ),
"")</f>
        <v/>
      </c>
      <c r="BR64" t="str">
        <f ca="1"/>
        <v>Sanctum of Calm Waters</v>
      </c>
      <c r="BS64" t="str">
        <f ca="1"/>
        <v>Treasure Cruise</v>
      </c>
      <c r="CA64" t="str">
        <f ca="1"/>
        <v>Inferno Duplo</v>
      </c>
      <c r="CB64" t="str">
        <f ca="1"/>
        <v>Tenza, Godo's Maul</v>
      </c>
      <c r="CF64" t="str">
        <f ca="1"/>
        <v>Estorrar</v>
      </c>
      <c r="CG64" t="str">
        <f ca="1"/>
        <v>Rumor Gatherer</v>
      </c>
      <c r="CI64" t="str">
        <f ca="1"/>
        <v>Diamante U</v>
      </c>
    </row>
    <row r="65" spans="1:87" x14ac:dyDescent="0.25">
      <c r="A65" t="str">
        <f ca="1"/>
        <v>Drowned Catacomb</v>
      </c>
      <c r="B65" s="3" t="str" cm="1">
        <f t="array" aca="1" ref="B65" ca="1">_xlfn.ANCHORARRAY(RESUMO!C64)</f>
        <v>Rani</v>
      </c>
      <c r="C65" s="3" t="str">
        <f t="shared" ca="1" si="0"/>
        <v>VialIshai</v>
      </c>
      <c r="E65" t="str">
        <f ca="1"/>
        <v>Dire Fleet Poisoner</v>
      </c>
      <c r="F65" s="3">
        <f t="shared" ca="1" si="1"/>
        <v>1</v>
      </c>
      <c r="G65" s="3" t="str">
        <f t="shared" ca="1" si="2"/>
        <v>Piratas</v>
      </c>
      <c r="M65" t="str">
        <f ca="1"/>
        <v>Dire Fleet Poisoner</v>
      </c>
      <c r="N65" s="3">
        <f t="shared" ca="1" si="3"/>
        <v>1</v>
      </c>
      <c r="O65" s="3" t="str">
        <f ca="1">IFERROR(
 INDEX($T$2:$AW$2,
  MATCH(TRUE,
   CHOOSE({1;2;3;4;5;6;7;8;9;10;11;12;13;14;15;16;17;18;19;20;21;22;23;24;25;26;27;28;29;30;31;32},
    COUNTIFS($T$3:$T$201,$M65)&gt;0,
    COUNTIFS($U$3:$U$201,$M65)&gt;0,
    COUNTIFS($V$3:$V$201,$M65)&gt;0,
    COUNTIFS($W$3:$W$201,$M65)&gt;0,
    COUNTIFS($X$3:$X$201,$M65)&gt;0,
    COUNTIFS($Y$3:$Y$201,$M65)&gt;0,
    COUNTIFS($Z$3:$Z$201,$M65)&gt;0,
    COUNTIFS($AA$3:$AA$201,$M65)&gt;0,
    COUNTIFS($AB$3:$AB$201,$M65)&gt;0,
    COUNTIFS($AC$3:$AC$201,$M65)&gt;0,
    COUNTIFS($AD$3:$AD$201,$M65)&gt;0,
    COUNTIFS($AE$3:$AE$201,$M65)&gt;0,
    COUNTIFS($AF$3:$AF$201,$M65)&gt;0,
    COUNTIFS($AG$3:$AG$201,$M65)&gt;0,
    COUNTIFS($AH$3:$AH$201,$M65)&gt;0,
    COUNTIFS($AI$3:$AI$201,$M65)&gt;0,
    COUNTIFS($AJ$3:$AJ$201,$M65)&gt;0,
    COUNTIFS($AK$3:$AK$201,$M65)&gt;0,
    COUNTIFS($AL$3:$AL$201,$M65)&gt;0,
    COUNTIFS($AM$3:$AM$201,$M65)&gt;0,
    COUNTIFS($AN$3:$AN$201,$M65)&gt;0,
    COUNTIFS($AO$3:$AO$201,$M65)&gt;0,
    COUNTIFS($AP$3:$AP$201,$M65)&gt;0,
    COUNTIFS($AQ$3:$AQ$201,$M65)&gt;0,
    COUNTIFS($AR$3:$AR$201,$M65)&gt;0,
    COUNTIFS($AS$3:$AS$201,$M65)&gt;0,
    COUNTIFS($AT$3:$AT$201,$M65)&gt;0,
    COUNTIFS($AU$3:$AU$201,$M65)&gt;0,
    COUNTIFS($AV$3:$AV$201,$M65)&gt;0,
    COUNTIFS($AW$3:$AW$201,$M65)&gt;0
   ),
  0)
 ),
"")</f>
        <v>Piratas</v>
      </c>
      <c r="P65" s="3" t="str" cm="1">
        <f t="array" aca="1" ref="P65" ca="1">IFERROR(
 INDEX(
  _xlfn._xlws.FILTER($T$2:$AW$2,
   TRANSPOSE(
    CHOOSE({1;2;3;4;5;6;7;8;9;10;11;12;13;14;15;16;17;18;19;20;21;22;23;24;25;26;27;28;29;30},
     COUNTIFS($T$3:$T$201,$M65)&gt;0,
     COUNTIFS($U$3:$U$201,$M65)&gt;0,
     COUNTIFS($V$3:$V$201,$M65)&gt;0,
     COUNTIFS($W$3:$W$201,$M65)&gt;0,
     COUNTIFS($X$3:$X$201,$M65)&gt;0,
     COUNTIFS($Y$3:$Y$201,$M65)&gt;0,
     COUNTIFS($Z$3:$Z$201,$M65)&gt;0,
     COUNTIFS($AA$3:$AA$201,$M65)&gt;0,
     COUNTIFS($AB$3:$AB$201,$M65)&gt;0,
     COUNTIFS($AC$3:$AC$201,$M65)&gt;0,
     COUNTIFS($AD$3:$AD$201,$M65)&gt;0,
     COUNTIFS($AE$3:$AE$201,$M65)&gt;0,
     COUNTIFS($AF$3:$AF$201,$M65)&gt;0,
     COUNTIFS($AG$3:$AG$201,$M65)&gt;0,
     COUNTIFS($AH$3:$AH$201,$M65)&gt;0,
     COUNTIFS($AI$3:$AI$201,$M65)&gt;0,
     COUNTIFS($AJ$3:$AJ$201,$M65)&gt;0,
     COUNTIFS($AK$3:$AK$201,$M65)&gt;0,
     COUNTIFS($AL$3:$AL$201,$M65)&gt;0,
     COUNTIFS($AM$3:$AM$201,$M65)&gt;0,
     COUNTIFS($AN$3:$AN$201,$M65)&gt;0,
     COUNTIFS($AO$3:$AO$201,$M65)&gt;0,
     COUNTIFS($AP$3:$AP$201,$M65)&gt;0,
     COUNTIFS($AQ$3:$AQ$201,$M65)&gt;0,
     COUNTIFS($AR$3:$AR$201,$M65)&gt;0,
     COUNTIFS($AS$3:$AS$201,$M65)&gt;0,
     COUNTIFS($AT$3:$AT$201,$M65)&gt;0,
     COUNTIFS($AU$3:$AU$201,$M65)&gt;0,
     COUNTIFS($AV$3:$AV$201,$M65)&gt;0,
     COUNTIFS($AW$3:$AW$201,$M65)&gt;0
   )),
  ),
  2
 ),
"")</f>
        <v/>
      </c>
      <c r="Q65" s="3" t="str" cm="1">
        <f t="array" aca="1" ref="Q65" ca="1">IFERROR(
 INDEX(
  _xlfn._xlws.FILTER($T$2:$AW$2,
   TRANSPOSE(
    CHOOSE({1;2;3;4;5;6;7;8;9;10;11;12;13;14;15;16;17;18;19;20;21;22;23;24;25;26;27;28;29;30},
     COUNTIFS($T$3:$T$201,$M65)&gt;0,
     COUNTIFS($U$3:$U$201,$M65)&gt;0,
     COUNTIFS($V$3:$V$201,$M65)&gt;0,
     COUNTIFS($W$3:$W$201,$M65)&gt;0,
     COUNTIFS($X$3:$X$201,$M65)&gt;0,
     COUNTIFS($Y$3:$Y$201,$M65)&gt;0,
     COUNTIFS($Z$3:$Z$201,$M65)&gt;0,
     COUNTIFS($AA$3:$AA$201,$M65)&gt;0,
     COUNTIFS($AB$3:$AB$201,$M65)&gt;0,
     COUNTIFS($AC$3:$AC$201,$M65)&gt;0,
     COUNTIFS($AD$3:$AD$201,$M65)&gt;0,
     COUNTIFS($AE$3:$AE$201,$M65)&gt;0,
     COUNTIFS($AF$3:$AF$201,$M65)&gt;0,
     COUNTIFS($AG$3:$AG$201,$M65)&gt;0,
     COUNTIFS($AH$3:$AH$201,$M65)&gt;0,
     COUNTIFS($AI$3:$AI$201,$M65)&gt;0,
     COUNTIFS($AJ$3:$AJ$201,$M65)&gt;0,
     COUNTIFS($AK$3:$AK$201,$M65)&gt;0,
     COUNTIFS($AL$3:$AL$201,$M65)&gt;0,
     COUNTIFS($AM$3:$AM$201,$M65)&gt;0,
     COUNTIFS($AN$3:$AN$201,$M65)&gt;0,
     COUNTIFS($AO$3:$AO$201,$M65)&gt;0,
     COUNTIFS($AP$3:$AP$201,$M65)&gt;0,
     COUNTIFS($AQ$3:$AQ$201,$M65)&gt;0,
     COUNTIFS($AR$3:$AR$201,$M65)&gt;0,
     COUNTIFS($AS$3:$AS$201,$M65)&gt;0,
     COUNTIFS($AT$3:$AT$201,$M65)&gt;0,
     COUNTIFS($AU$3:$AU$201,$M65)&gt;0,
     COUNTIFS($AV$3:$AV$201,$M65)&gt;0,
     COUNTIFS($AW$3:$AW$201,$M65)&gt;0
   )),
  ),
  3
 ),
"")</f>
        <v/>
      </c>
      <c r="R65" s="3" t="str" cm="1">
        <f t="array" aca="1" ref="R65" ca="1">IFERROR(
 INDEX(
  _xlfn._xlws.FILTER($T$2:$AW$2,
   TRANSPOSE(
    CHOOSE({1;2;3;4;5;6;7;8;9;10;11;12;13;14;15;16;17;18;19;20;21;22;23;24;25;26;27;28;29;30},
     COUNTIFS($T$3:$T$201,$M65)&gt;0,
     COUNTIFS($U$3:$U$201,$M65)&gt;0,
     COUNTIFS($V$3:$V$201,$M65)&gt;0,
     COUNTIFS($W$3:$W$201,$M65)&gt;0,
     COUNTIFS($X$3:$X$201,$M65)&gt;0,
     COUNTIFS($Y$3:$Y$201,$M65)&gt;0,
     COUNTIFS($Z$3:$Z$201,$M65)&gt;0,
     COUNTIFS($AA$3:$AA$201,$M65)&gt;0,
     COUNTIFS($AB$3:$AB$201,$M65)&gt;0,
     COUNTIFS($AC$3:$AC$201,$M65)&gt;0,
     COUNTIFS($AD$3:$AD$201,$M65)&gt;0,
     COUNTIFS($AE$3:$AE$201,$M65)&gt;0,
     COUNTIFS($AF$3:$AF$201,$M65)&gt;0,
     COUNTIFS($AG$3:$AG$201,$M65)&gt;0,
     COUNTIFS($AH$3:$AH$201,$M65)&gt;0,
     COUNTIFS($AI$3:$AI$201,$M65)&gt;0,
     COUNTIFS($AJ$3:$AJ$201,$M65)&gt;0,
     COUNTIFS($AK$3:$AK$201,$M65)&gt;0,
     COUNTIFS($AL$3:$AL$201,$M65)&gt;0,
     COUNTIFS($AM$3:$AM$201,$M65)&gt;0,
     COUNTIFS($AN$3:$AN$201,$M65)&gt;0,
     COUNTIFS($AO$3:$AO$201,$M65)&gt;0,
     COUNTIFS($AP$3:$AP$201,$M65)&gt;0,
     COUNTIFS($AQ$3:$AQ$201,$M65)&gt;0,
     COUNTIFS($AR$3:$AR$201,$M65)&gt;0,
     COUNTIFS($AS$3:$AS$201,$M65)&gt;0,
     COUNTIFS($AT$3:$AT$201,$M65)&gt;0,
     COUNTIFS($AU$3:$AU$201,$M65)&gt;0,
     COUNTIFS($AV$3:$AV$201,$M65)&gt;0,
     COUNTIFS($AW$3:$AW$201,$M65)&gt;0
   )),
  ),
  4
 ),
"")</f>
        <v/>
      </c>
      <c r="BR65" t="str">
        <f ca="1"/>
        <v>Saqueador Saco-de-Carne</v>
      </c>
      <c r="BS65" t="str">
        <f ca="1"/>
        <v>Vale Afundado</v>
      </c>
      <c r="CA65" t="str">
        <f ca="1"/>
        <v>Invasão da Horda Medonha</v>
      </c>
      <c r="CB65" t="str">
        <f ca="1"/>
        <v>Terraço do Condado</v>
      </c>
      <c r="CF65" t="str">
        <f ca="1"/>
        <v>Eterificar</v>
      </c>
      <c r="CG65" t="str">
        <f ca="1"/>
        <v>Runadi, Behemoth Caller</v>
      </c>
      <c r="CI65" t="str">
        <f ca="1"/>
        <v>Dire Fleet Poisoner</v>
      </c>
    </row>
    <row r="66" spans="1:87" x14ac:dyDescent="0.25">
      <c r="A66" t="str">
        <f ca="1"/>
        <v>Dúplice Debochada</v>
      </c>
      <c r="B66" s="3" t="str" cm="1">
        <f t="array" aca="1" ref="B66" ca="1">_xlfn.ANCHORARRAY(RESUMO!C65)</f>
        <v>Rani</v>
      </c>
      <c r="C66" s="3" t="str">
        <f t="shared" ca="1" si="0"/>
        <v/>
      </c>
      <c r="E66" t="str">
        <f ca="1"/>
        <v>Discipulo do Demônio</v>
      </c>
      <c r="F66" s="3">
        <f t="shared" ca="1" si="1"/>
        <v>1</v>
      </c>
      <c r="G66" s="3" t="str">
        <f t="shared" ca="1" si="2"/>
        <v>Tayam</v>
      </c>
      <c r="M66" t="str">
        <f ca="1"/>
        <v>Discipulo do Demônio</v>
      </c>
      <c r="N66" s="3">
        <f t="shared" ca="1" si="3"/>
        <v>1</v>
      </c>
      <c r="O66" s="3" t="str">
        <f ca="1">IFERROR(
 INDEX($T$2:$AW$2,
  MATCH(TRUE,
   CHOOSE({1;2;3;4;5;6;7;8;9;10;11;12;13;14;15;16;17;18;19;20;21;22;23;24;25;26;27;28;29;30;31;32},
    COUNTIFS($T$3:$T$201,$M66)&gt;0,
    COUNTIFS($U$3:$U$201,$M66)&gt;0,
    COUNTIFS($V$3:$V$201,$M66)&gt;0,
    COUNTIFS($W$3:$W$201,$M66)&gt;0,
    COUNTIFS($X$3:$X$201,$M66)&gt;0,
    COUNTIFS($Y$3:$Y$201,$M66)&gt;0,
    COUNTIFS($Z$3:$Z$201,$M66)&gt;0,
    COUNTIFS($AA$3:$AA$201,$M66)&gt;0,
    COUNTIFS($AB$3:$AB$201,$M66)&gt;0,
    COUNTIFS($AC$3:$AC$201,$M66)&gt;0,
    COUNTIFS($AD$3:$AD$201,$M66)&gt;0,
    COUNTIFS($AE$3:$AE$201,$M66)&gt;0,
    COUNTIFS($AF$3:$AF$201,$M66)&gt;0,
    COUNTIFS($AG$3:$AG$201,$M66)&gt;0,
    COUNTIFS($AH$3:$AH$201,$M66)&gt;0,
    COUNTIFS($AI$3:$AI$201,$M66)&gt;0,
    COUNTIFS($AJ$3:$AJ$201,$M66)&gt;0,
    COUNTIFS($AK$3:$AK$201,$M66)&gt;0,
    COUNTIFS($AL$3:$AL$201,$M66)&gt;0,
    COUNTIFS($AM$3:$AM$201,$M66)&gt;0,
    COUNTIFS($AN$3:$AN$201,$M66)&gt;0,
    COUNTIFS($AO$3:$AO$201,$M66)&gt;0,
    COUNTIFS($AP$3:$AP$201,$M66)&gt;0,
    COUNTIFS($AQ$3:$AQ$201,$M66)&gt;0,
    COUNTIFS($AR$3:$AR$201,$M66)&gt;0,
    COUNTIFS($AS$3:$AS$201,$M66)&gt;0,
    COUNTIFS($AT$3:$AT$201,$M66)&gt;0,
    COUNTIFS($AU$3:$AU$201,$M66)&gt;0,
    COUNTIFS($AV$3:$AV$201,$M66)&gt;0,
    COUNTIFS($AW$3:$AW$201,$M66)&gt;0
   ),
  0)
 ),
"")</f>
        <v>Tayam</v>
      </c>
      <c r="P66" s="3" t="str" cm="1">
        <f t="array" aca="1" ref="P66" ca="1">IFERROR(
 INDEX(
  _xlfn._xlws.FILTER($T$2:$AW$2,
   TRANSPOSE(
    CHOOSE({1;2;3;4;5;6;7;8;9;10;11;12;13;14;15;16;17;18;19;20;21;22;23;24;25;26;27;28;29;30},
     COUNTIFS($T$3:$T$201,$M66)&gt;0,
     COUNTIFS($U$3:$U$201,$M66)&gt;0,
     COUNTIFS($V$3:$V$201,$M66)&gt;0,
     COUNTIFS($W$3:$W$201,$M66)&gt;0,
     COUNTIFS($X$3:$X$201,$M66)&gt;0,
     COUNTIFS($Y$3:$Y$201,$M66)&gt;0,
     COUNTIFS($Z$3:$Z$201,$M66)&gt;0,
     COUNTIFS($AA$3:$AA$201,$M66)&gt;0,
     COUNTIFS($AB$3:$AB$201,$M66)&gt;0,
     COUNTIFS($AC$3:$AC$201,$M66)&gt;0,
     COUNTIFS($AD$3:$AD$201,$M66)&gt;0,
     COUNTIFS($AE$3:$AE$201,$M66)&gt;0,
     COUNTIFS($AF$3:$AF$201,$M66)&gt;0,
     COUNTIFS($AG$3:$AG$201,$M66)&gt;0,
     COUNTIFS($AH$3:$AH$201,$M66)&gt;0,
     COUNTIFS($AI$3:$AI$201,$M66)&gt;0,
     COUNTIFS($AJ$3:$AJ$201,$M66)&gt;0,
     COUNTIFS($AK$3:$AK$201,$M66)&gt;0,
     COUNTIFS($AL$3:$AL$201,$M66)&gt;0,
     COUNTIFS($AM$3:$AM$201,$M66)&gt;0,
     COUNTIFS($AN$3:$AN$201,$M66)&gt;0,
     COUNTIFS($AO$3:$AO$201,$M66)&gt;0,
     COUNTIFS($AP$3:$AP$201,$M66)&gt;0,
     COUNTIFS($AQ$3:$AQ$201,$M66)&gt;0,
     COUNTIFS($AR$3:$AR$201,$M66)&gt;0,
     COUNTIFS($AS$3:$AS$201,$M66)&gt;0,
     COUNTIFS($AT$3:$AT$201,$M66)&gt;0,
     COUNTIFS($AU$3:$AU$201,$M66)&gt;0,
     COUNTIFS($AV$3:$AV$201,$M66)&gt;0,
     COUNTIFS($AW$3:$AW$201,$M66)&gt;0
   )),
  ),
  2
 ),
"")</f>
        <v/>
      </c>
      <c r="Q66" s="3" t="str" cm="1">
        <f t="array" aca="1" ref="Q66" ca="1">IFERROR(
 INDEX(
  _xlfn._xlws.FILTER($T$2:$AW$2,
   TRANSPOSE(
    CHOOSE({1;2;3;4;5;6;7;8;9;10;11;12;13;14;15;16;17;18;19;20;21;22;23;24;25;26;27;28;29;30},
     COUNTIFS($T$3:$T$201,$M66)&gt;0,
     COUNTIFS($U$3:$U$201,$M66)&gt;0,
     COUNTIFS($V$3:$V$201,$M66)&gt;0,
     COUNTIFS($W$3:$W$201,$M66)&gt;0,
     COUNTIFS($X$3:$X$201,$M66)&gt;0,
     COUNTIFS($Y$3:$Y$201,$M66)&gt;0,
     COUNTIFS($Z$3:$Z$201,$M66)&gt;0,
     COUNTIFS($AA$3:$AA$201,$M66)&gt;0,
     COUNTIFS($AB$3:$AB$201,$M66)&gt;0,
     COUNTIFS($AC$3:$AC$201,$M66)&gt;0,
     COUNTIFS($AD$3:$AD$201,$M66)&gt;0,
     COUNTIFS($AE$3:$AE$201,$M66)&gt;0,
     COUNTIFS($AF$3:$AF$201,$M66)&gt;0,
     COUNTIFS($AG$3:$AG$201,$M66)&gt;0,
     COUNTIFS($AH$3:$AH$201,$M66)&gt;0,
     COUNTIFS($AI$3:$AI$201,$M66)&gt;0,
     COUNTIFS($AJ$3:$AJ$201,$M66)&gt;0,
     COUNTIFS($AK$3:$AK$201,$M66)&gt;0,
     COUNTIFS($AL$3:$AL$201,$M66)&gt;0,
     COUNTIFS($AM$3:$AM$201,$M66)&gt;0,
     COUNTIFS($AN$3:$AN$201,$M66)&gt;0,
     COUNTIFS($AO$3:$AO$201,$M66)&gt;0,
     COUNTIFS($AP$3:$AP$201,$M66)&gt;0,
     COUNTIFS($AQ$3:$AQ$201,$M66)&gt;0,
     COUNTIFS($AR$3:$AR$201,$M66)&gt;0,
     COUNTIFS($AS$3:$AS$201,$M66)&gt;0,
     COUNTIFS($AT$3:$AT$201,$M66)&gt;0,
     COUNTIFS($AU$3:$AU$201,$M66)&gt;0,
     COUNTIFS($AV$3:$AV$201,$M66)&gt;0,
     COUNTIFS($AW$3:$AW$201,$M66)&gt;0
   )),
  ),
  3
 ),
"")</f>
        <v/>
      </c>
      <c r="R66" s="3" t="str" cm="1">
        <f t="array" aca="1" ref="R66" ca="1">IFERROR(
 INDEX(
  _xlfn._xlws.FILTER($T$2:$AW$2,
   TRANSPOSE(
    CHOOSE({1;2;3;4;5;6;7;8;9;10;11;12;13;14;15;16;17;18;19;20;21;22;23;24;25;26;27;28;29;30},
     COUNTIFS($T$3:$T$201,$M66)&gt;0,
     COUNTIFS($U$3:$U$201,$M66)&gt;0,
     COUNTIFS($V$3:$V$201,$M66)&gt;0,
     COUNTIFS($W$3:$W$201,$M66)&gt;0,
     COUNTIFS($X$3:$X$201,$M66)&gt;0,
     COUNTIFS($Y$3:$Y$201,$M66)&gt;0,
     COUNTIFS($Z$3:$Z$201,$M66)&gt;0,
     COUNTIFS($AA$3:$AA$201,$M66)&gt;0,
     COUNTIFS($AB$3:$AB$201,$M66)&gt;0,
     COUNTIFS($AC$3:$AC$201,$M66)&gt;0,
     COUNTIFS($AD$3:$AD$201,$M66)&gt;0,
     COUNTIFS($AE$3:$AE$201,$M66)&gt;0,
     COUNTIFS($AF$3:$AF$201,$M66)&gt;0,
     COUNTIFS($AG$3:$AG$201,$M66)&gt;0,
     COUNTIFS($AH$3:$AH$201,$M66)&gt;0,
     COUNTIFS($AI$3:$AI$201,$M66)&gt;0,
     COUNTIFS($AJ$3:$AJ$201,$M66)&gt;0,
     COUNTIFS($AK$3:$AK$201,$M66)&gt;0,
     COUNTIFS($AL$3:$AL$201,$M66)&gt;0,
     COUNTIFS($AM$3:$AM$201,$M66)&gt;0,
     COUNTIFS($AN$3:$AN$201,$M66)&gt;0,
     COUNTIFS($AO$3:$AO$201,$M66)&gt;0,
     COUNTIFS($AP$3:$AP$201,$M66)&gt;0,
     COUNTIFS($AQ$3:$AQ$201,$M66)&gt;0,
     COUNTIFS($AR$3:$AR$201,$M66)&gt;0,
     COUNTIFS($AS$3:$AS$201,$M66)&gt;0,
     COUNTIFS($AT$3:$AT$201,$M66)&gt;0,
     COUNTIFS($AU$3:$AU$201,$M66)&gt;0,
     COUNTIFS($AV$3:$AV$201,$M66)&gt;0,
     COUNTIFS($AW$3:$AW$201,$M66)&gt;0
   )),
  ),
  4
 ),
"")</f>
        <v/>
      </c>
      <c r="BR66" t="str">
        <f ca="1"/>
        <v>Scavenging Ooze</v>
      </c>
      <c r="BS66" t="str">
        <f ca="1"/>
        <v>Watertrap Wizard</v>
      </c>
      <c r="CA66" t="str">
        <f ca="1"/>
        <v>Investigação Minuciosa</v>
      </c>
      <c r="CB66" t="str">
        <f ca="1"/>
        <v>Thran Temporal Gateway</v>
      </c>
      <c r="CF66" t="str">
        <f ca="1"/>
        <v>Eternal Witness</v>
      </c>
      <c r="CG66" t="str">
        <f ca="1"/>
        <v>Sábio Primordial</v>
      </c>
      <c r="CI66" t="str">
        <f ca="1"/>
        <v>Discipulo do Demônio</v>
      </c>
    </row>
    <row r="67" spans="1:87" x14ac:dyDescent="0.25">
      <c r="A67" t="str">
        <f ca="1"/>
        <v>Duty Beyond Death</v>
      </c>
      <c r="B67" s="3" t="str" cm="1">
        <f t="array" aca="1" ref="B67" ca="1">_xlfn.ANCHORARRAY(RESUMO!C66)</f>
        <v>Modular</v>
      </c>
      <c r="C67" s="3" t="str">
        <f t="shared" ref="C67:C130" ca="1" si="4">IFERROR(_xlfn.XLOOKUP($A67,$E:$E,$G:$G),"")</f>
        <v/>
      </c>
      <c r="E67" t="str">
        <f ca="1"/>
        <v>Dissipation Field</v>
      </c>
      <c r="F67" s="3">
        <f t="shared" ref="F67:F130" ca="1" si="5">COUNTIF(T:AY,E67)+COUNTIF(K:K,E67)</f>
        <v>1</v>
      </c>
      <c r="G67" s="3" t="str">
        <f t="shared" ref="G67:G130" ca="1" si="6">_xlfn.XLOOKUP($E67,$M:$M,$O:$O,"Guardado")</f>
        <v>VialIshai</v>
      </c>
      <c r="M67" t="str">
        <f ca="1"/>
        <v>Dissipation Field</v>
      </c>
      <c r="N67" s="3">
        <f t="shared" ref="N67:N130" ca="1" si="7">COUNTIF(T:AW,M67)</f>
        <v>1</v>
      </c>
      <c r="O67" s="3" t="str">
        <f ca="1">IFERROR(
 INDEX($T$2:$AW$2,
  MATCH(TRUE,
   CHOOSE({1;2;3;4;5;6;7;8;9;10;11;12;13;14;15;16;17;18;19;20;21;22;23;24;25;26;27;28;29;30;31;32},
    COUNTIFS($T$3:$T$201,$M67)&gt;0,
    COUNTIFS($U$3:$U$201,$M67)&gt;0,
    COUNTIFS($V$3:$V$201,$M67)&gt;0,
    COUNTIFS($W$3:$W$201,$M67)&gt;0,
    COUNTIFS($X$3:$X$201,$M67)&gt;0,
    COUNTIFS($Y$3:$Y$201,$M67)&gt;0,
    COUNTIFS($Z$3:$Z$201,$M67)&gt;0,
    COUNTIFS($AA$3:$AA$201,$M67)&gt;0,
    COUNTIFS($AB$3:$AB$201,$M67)&gt;0,
    COUNTIFS($AC$3:$AC$201,$M67)&gt;0,
    COUNTIFS($AD$3:$AD$201,$M67)&gt;0,
    COUNTIFS($AE$3:$AE$201,$M67)&gt;0,
    COUNTIFS($AF$3:$AF$201,$M67)&gt;0,
    COUNTIFS($AG$3:$AG$201,$M67)&gt;0,
    COUNTIFS($AH$3:$AH$201,$M67)&gt;0,
    COUNTIFS($AI$3:$AI$201,$M67)&gt;0,
    COUNTIFS($AJ$3:$AJ$201,$M67)&gt;0,
    COUNTIFS($AK$3:$AK$201,$M67)&gt;0,
    COUNTIFS($AL$3:$AL$201,$M67)&gt;0,
    COUNTIFS($AM$3:$AM$201,$M67)&gt;0,
    COUNTIFS($AN$3:$AN$201,$M67)&gt;0,
    COUNTIFS($AO$3:$AO$201,$M67)&gt;0,
    COUNTIFS($AP$3:$AP$201,$M67)&gt;0,
    COUNTIFS($AQ$3:$AQ$201,$M67)&gt;0,
    COUNTIFS($AR$3:$AR$201,$M67)&gt;0,
    COUNTIFS($AS$3:$AS$201,$M67)&gt;0,
    COUNTIFS($AT$3:$AT$201,$M67)&gt;0,
    COUNTIFS($AU$3:$AU$201,$M67)&gt;0,
    COUNTIFS($AV$3:$AV$201,$M67)&gt;0,
    COUNTIFS($AW$3:$AW$201,$M67)&gt;0
   ),
  0)
 ),
"")</f>
        <v>VialIshai</v>
      </c>
      <c r="P67" s="3" t="str" cm="1">
        <f t="array" aca="1" ref="P67" ca="1">IFERROR(
 INDEX(
  _xlfn._xlws.FILTER($T$2:$AW$2,
   TRANSPOSE(
    CHOOSE({1;2;3;4;5;6;7;8;9;10;11;12;13;14;15;16;17;18;19;20;21;22;23;24;25;26;27;28;29;30},
     COUNTIFS($T$3:$T$201,$M67)&gt;0,
     COUNTIFS($U$3:$U$201,$M67)&gt;0,
     COUNTIFS($V$3:$V$201,$M67)&gt;0,
     COUNTIFS($W$3:$W$201,$M67)&gt;0,
     COUNTIFS($X$3:$X$201,$M67)&gt;0,
     COUNTIFS($Y$3:$Y$201,$M67)&gt;0,
     COUNTIFS($Z$3:$Z$201,$M67)&gt;0,
     COUNTIFS($AA$3:$AA$201,$M67)&gt;0,
     COUNTIFS($AB$3:$AB$201,$M67)&gt;0,
     COUNTIFS($AC$3:$AC$201,$M67)&gt;0,
     COUNTIFS($AD$3:$AD$201,$M67)&gt;0,
     COUNTIFS($AE$3:$AE$201,$M67)&gt;0,
     COUNTIFS($AF$3:$AF$201,$M67)&gt;0,
     COUNTIFS($AG$3:$AG$201,$M67)&gt;0,
     COUNTIFS($AH$3:$AH$201,$M67)&gt;0,
     COUNTIFS($AI$3:$AI$201,$M67)&gt;0,
     COUNTIFS($AJ$3:$AJ$201,$M67)&gt;0,
     COUNTIFS($AK$3:$AK$201,$M67)&gt;0,
     COUNTIFS($AL$3:$AL$201,$M67)&gt;0,
     COUNTIFS($AM$3:$AM$201,$M67)&gt;0,
     COUNTIFS($AN$3:$AN$201,$M67)&gt;0,
     COUNTIFS($AO$3:$AO$201,$M67)&gt;0,
     COUNTIFS($AP$3:$AP$201,$M67)&gt;0,
     COUNTIFS($AQ$3:$AQ$201,$M67)&gt;0,
     COUNTIFS($AR$3:$AR$201,$M67)&gt;0,
     COUNTIFS($AS$3:$AS$201,$M67)&gt;0,
     COUNTIFS($AT$3:$AT$201,$M67)&gt;0,
     COUNTIFS($AU$3:$AU$201,$M67)&gt;0,
     COUNTIFS($AV$3:$AV$201,$M67)&gt;0,
     COUNTIFS($AW$3:$AW$201,$M67)&gt;0
   )),
  ),
  2
 ),
"")</f>
        <v/>
      </c>
      <c r="Q67" s="3" t="str" cm="1">
        <f t="array" aca="1" ref="Q67" ca="1">IFERROR(
 INDEX(
  _xlfn._xlws.FILTER($T$2:$AW$2,
   TRANSPOSE(
    CHOOSE({1;2;3;4;5;6;7;8;9;10;11;12;13;14;15;16;17;18;19;20;21;22;23;24;25;26;27;28;29;30},
     COUNTIFS($T$3:$T$201,$M67)&gt;0,
     COUNTIFS($U$3:$U$201,$M67)&gt;0,
     COUNTIFS($V$3:$V$201,$M67)&gt;0,
     COUNTIFS($W$3:$W$201,$M67)&gt;0,
     COUNTIFS($X$3:$X$201,$M67)&gt;0,
     COUNTIFS($Y$3:$Y$201,$M67)&gt;0,
     COUNTIFS($Z$3:$Z$201,$M67)&gt;0,
     COUNTIFS($AA$3:$AA$201,$M67)&gt;0,
     COUNTIFS($AB$3:$AB$201,$M67)&gt;0,
     COUNTIFS($AC$3:$AC$201,$M67)&gt;0,
     COUNTIFS($AD$3:$AD$201,$M67)&gt;0,
     COUNTIFS($AE$3:$AE$201,$M67)&gt;0,
     COUNTIFS($AF$3:$AF$201,$M67)&gt;0,
     COUNTIFS($AG$3:$AG$201,$M67)&gt;0,
     COUNTIFS($AH$3:$AH$201,$M67)&gt;0,
     COUNTIFS($AI$3:$AI$201,$M67)&gt;0,
     COUNTIFS($AJ$3:$AJ$201,$M67)&gt;0,
     COUNTIFS($AK$3:$AK$201,$M67)&gt;0,
     COUNTIFS($AL$3:$AL$201,$M67)&gt;0,
     COUNTIFS($AM$3:$AM$201,$M67)&gt;0,
     COUNTIFS($AN$3:$AN$201,$M67)&gt;0,
     COUNTIFS($AO$3:$AO$201,$M67)&gt;0,
     COUNTIFS($AP$3:$AP$201,$M67)&gt;0,
     COUNTIFS($AQ$3:$AQ$201,$M67)&gt;0,
     COUNTIFS($AR$3:$AR$201,$M67)&gt;0,
     COUNTIFS($AS$3:$AS$201,$M67)&gt;0,
     COUNTIFS($AT$3:$AT$201,$M67)&gt;0,
     COUNTIFS($AU$3:$AU$201,$M67)&gt;0,
     COUNTIFS($AV$3:$AV$201,$M67)&gt;0,
     COUNTIFS($AW$3:$AW$201,$M67)&gt;0
   )),
  ),
  3
 ),
"")</f>
        <v/>
      </c>
      <c r="R67" s="3" t="str" cm="1">
        <f t="array" aca="1" ref="R67" ca="1">IFERROR(
 INDEX(
  _xlfn._xlws.FILTER($T$2:$AW$2,
   TRANSPOSE(
    CHOOSE({1;2;3;4;5;6;7;8;9;10;11;12;13;14;15;16;17;18;19;20;21;22;23;24;25;26;27;28;29;30},
     COUNTIFS($T$3:$T$201,$M67)&gt;0,
     COUNTIFS($U$3:$U$201,$M67)&gt;0,
     COUNTIFS($V$3:$V$201,$M67)&gt;0,
     COUNTIFS($W$3:$W$201,$M67)&gt;0,
     COUNTIFS($X$3:$X$201,$M67)&gt;0,
     COUNTIFS($Y$3:$Y$201,$M67)&gt;0,
     COUNTIFS($Z$3:$Z$201,$M67)&gt;0,
     COUNTIFS($AA$3:$AA$201,$M67)&gt;0,
     COUNTIFS($AB$3:$AB$201,$M67)&gt;0,
     COUNTIFS($AC$3:$AC$201,$M67)&gt;0,
     COUNTIFS($AD$3:$AD$201,$M67)&gt;0,
     COUNTIFS($AE$3:$AE$201,$M67)&gt;0,
     COUNTIFS($AF$3:$AF$201,$M67)&gt;0,
     COUNTIFS($AG$3:$AG$201,$M67)&gt;0,
     COUNTIFS($AH$3:$AH$201,$M67)&gt;0,
     COUNTIFS($AI$3:$AI$201,$M67)&gt;0,
     COUNTIFS($AJ$3:$AJ$201,$M67)&gt;0,
     COUNTIFS($AK$3:$AK$201,$M67)&gt;0,
     COUNTIFS($AL$3:$AL$201,$M67)&gt;0,
     COUNTIFS($AM$3:$AM$201,$M67)&gt;0,
     COUNTIFS($AN$3:$AN$201,$M67)&gt;0,
     COUNTIFS($AO$3:$AO$201,$M67)&gt;0,
     COUNTIFS($AP$3:$AP$201,$M67)&gt;0,
     COUNTIFS($AQ$3:$AQ$201,$M67)&gt;0,
     COUNTIFS($AR$3:$AR$201,$M67)&gt;0,
     COUNTIFS($AS$3:$AS$201,$M67)&gt;0,
     COUNTIFS($AT$3:$AT$201,$M67)&gt;0,
     COUNTIFS($AU$3:$AU$201,$M67)&gt;0,
     COUNTIFS($AV$3:$AV$201,$M67)&gt;0,
     COUNTIFS($AW$3:$AW$201,$M67)&gt;0
   )),
  ),
  4
 ),
"")</f>
        <v/>
      </c>
      <c r="BR67" t="str">
        <f ca="1"/>
        <v>Scute Mob</v>
      </c>
      <c r="BS67" t="str">
        <f ca="1"/>
        <v>Zona de Emergência</v>
      </c>
      <c r="CA67" t="str">
        <f ca="1"/>
        <v>Island</v>
      </c>
      <c r="CB67" t="str">
        <f ca="1"/>
        <v>Transformações Divergentes</v>
      </c>
      <c r="CF67" t="str">
        <f ca="1"/>
        <v>Eureka Moment</v>
      </c>
      <c r="CG67" t="str">
        <f ca="1"/>
        <v>Sacred Foundry</v>
      </c>
      <c r="CI67" t="str">
        <f ca="1"/>
        <v>Dissipation Field</v>
      </c>
    </row>
    <row r="68" spans="1:87" x14ac:dyDescent="0.25">
      <c r="A68" t="str">
        <f ca="1"/>
        <v>Earth Rumble</v>
      </c>
      <c r="B68" s="3" t="str" cm="1">
        <f t="array" aca="1" ref="B68" ca="1">_xlfn.ANCHORARRAY(RESUMO!C67)</f>
        <v>Modular</v>
      </c>
      <c r="C68" s="3" t="str">
        <f t="shared" ca="1" si="4"/>
        <v/>
      </c>
      <c r="E68" t="str">
        <f ca="1"/>
        <v>Divine Visitation</v>
      </c>
      <c r="F68" s="3">
        <f t="shared" ca="1" si="5"/>
        <v>1</v>
      </c>
      <c r="G68" s="3" t="str">
        <f t="shared" ca="1" si="6"/>
        <v>Alela</v>
      </c>
      <c r="M68" t="str">
        <f ca="1"/>
        <v>Divine Visitation</v>
      </c>
      <c r="N68" s="3">
        <f t="shared" ca="1" si="7"/>
        <v>1</v>
      </c>
      <c r="O68" s="3" t="str">
        <f ca="1">IFERROR(
 INDEX($T$2:$AW$2,
  MATCH(TRUE,
   CHOOSE({1;2;3;4;5;6;7;8;9;10;11;12;13;14;15;16;17;18;19;20;21;22;23;24;25;26;27;28;29;30;31;32},
    COUNTIFS($T$3:$T$201,$M68)&gt;0,
    COUNTIFS($U$3:$U$201,$M68)&gt;0,
    COUNTIFS($V$3:$V$201,$M68)&gt;0,
    COUNTIFS($W$3:$W$201,$M68)&gt;0,
    COUNTIFS($X$3:$X$201,$M68)&gt;0,
    COUNTIFS($Y$3:$Y$201,$M68)&gt;0,
    COUNTIFS($Z$3:$Z$201,$M68)&gt;0,
    COUNTIFS($AA$3:$AA$201,$M68)&gt;0,
    COUNTIFS($AB$3:$AB$201,$M68)&gt;0,
    COUNTIFS($AC$3:$AC$201,$M68)&gt;0,
    COUNTIFS($AD$3:$AD$201,$M68)&gt;0,
    COUNTIFS($AE$3:$AE$201,$M68)&gt;0,
    COUNTIFS($AF$3:$AF$201,$M68)&gt;0,
    COUNTIFS($AG$3:$AG$201,$M68)&gt;0,
    COUNTIFS($AH$3:$AH$201,$M68)&gt;0,
    COUNTIFS($AI$3:$AI$201,$M68)&gt;0,
    COUNTIFS($AJ$3:$AJ$201,$M68)&gt;0,
    COUNTIFS($AK$3:$AK$201,$M68)&gt;0,
    COUNTIFS($AL$3:$AL$201,$M68)&gt;0,
    COUNTIFS($AM$3:$AM$201,$M68)&gt;0,
    COUNTIFS($AN$3:$AN$201,$M68)&gt;0,
    COUNTIFS($AO$3:$AO$201,$M68)&gt;0,
    COUNTIFS($AP$3:$AP$201,$M68)&gt;0,
    COUNTIFS($AQ$3:$AQ$201,$M68)&gt;0,
    COUNTIFS($AR$3:$AR$201,$M68)&gt;0,
    COUNTIFS($AS$3:$AS$201,$M68)&gt;0,
    COUNTIFS($AT$3:$AT$201,$M68)&gt;0,
    COUNTIFS($AU$3:$AU$201,$M68)&gt;0,
    COUNTIFS($AV$3:$AV$201,$M68)&gt;0,
    COUNTIFS($AW$3:$AW$201,$M68)&gt;0
   ),
  0)
 ),
"")</f>
        <v>Alela</v>
      </c>
      <c r="P68" s="3" t="str" cm="1">
        <f t="array" aca="1" ref="P68" ca="1">IFERROR(
 INDEX(
  _xlfn._xlws.FILTER($T$2:$AW$2,
   TRANSPOSE(
    CHOOSE({1;2;3;4;5;6;7;8;9;10;11;12;13;14;15;16;17;18;19;20;21;22;23;24;25;26;27;28;29;30},
     COUNTIFS($T$3:$T$201,$M68)&gt;0,
     COUNTIFS($U$3:$U$201,$M68)&gt;0,
     COUNTIFS($V$3:$V$201,$M68)&gt;0,
     COUNTIFS($W$3:$W$201,$M68)&gt;0,
     COUNTIFS($X$3:$X$201,$M68)&gt;0,
     COUNTIFS($Y$3:$Y$201,$M68)&gt;0,
     COUNTIFS($Z$3:$Z$201,$M68)&gt;0,
     COUNTIFS($AA$3:$AA$201,$M68)&gt;0,
     COUNTIFS($AB$3:$AB$201,$M68)&gt;0,
     COUNTIFS($AC$3:$AC$201,$M68)&gt;0,
     COUNTIFS($AD$3:$AD$201,$M68)&gt;0,
     COUNTIFS($AE$3:$AE$201,$M68)&gt;0,
     COUNTIFS($AF$3:$AF$201,$M68)&gt;0,
     COUNTIFS($AG$3:$AG$201,$M68)&gt;0,
     COUNTIFS($AH$3:$AH$201,$M68)&gt;0,
     COUNTIFS($AI$3:$AI$201,$M68)&gt;0,
     COUNTIFS($AJ$3:$AJ$201,$M68)&gt;0,
     COUNTIFS($AK$3:$AK$201,$M68)&gt;0,
     COUNTIFS($AL$3:$AL$201,$M68)&gt;0,
     COUNTIFS($AM$3:$AM$201,$M68)&gt;0,
     COUNTIFS($AN$3:$AN$201,$M68)&gt;0,
     COUNTIFS($AO$3:$AO$201,$M68)&gt;0,
     COUNTIFS($AP$3:$AP$201,$M68)&gt;0,
     COUNTIFS($AQ$3:$AQ$201,$M68)&gt;0,
     COUNTIFS($AR$3:$AR$201,$M68)&gt;0,
     COUNTIFS($AS$3:$AS$201,$M68)&gt;0,
     COUNTIFS($AT$3:$AT$201,$M68)&gt;0,
     COUNTIFS($AU$3:$AU$201,$M68)&gt;0,
     COUNTIFS($AV$3:$AV$201,$M68)&gt;0,
     COUNTIFS($AW$3:$AW$201,$M68)&gt;0
   )),
  ),
  2
 ),
"")</f>
        <v/>
      </c>
      <c r="Q68" s="3" t="str" cm="1">
        <f t="array" aca="1" ref="Q68" ca="1">IFERROR(
 INDEX(
  _xlfn._xlws.FILTER($T$2:$AW$2,
   TRANSPOSE(
    CHOOSE({1;2;3;4;5;6;7;8;9;10;11;12;13;14;15;16;17;18;19;20;21;22;23;24;25;26;27;28;29;30},
     COUNTIFS($T$3:$T$201,$M68)&gt;0,
     COUNTIFS($U$3:$U$201,$M68)&gt;0,
     COUNTIFS($V$3:$V$201,$M68)&gt;0,
     COUNTIFS($W$3:$W$201,$M68)&gt;0,
     COUNTIFS($X$3:$X$201,$M68)&gt;0,
     COUNTIFS($Y$3:$Y$201,$M68)&gt;0,
     COUNTIFS($Z$3:$Z$201,$M68)&gt;0,
     COUNTIFS($AA$3:$AA$201,$M68)&gt;0,
     COUNTIFS($AB$3:$AB$201,$M68)&gt;0,
     COUNTIFS($AC$3:$AC$201,$M68)&gt;0,
     COUNTIFS($AD$3:$AD$201,$M68)&gt;0,
     COUNTIFS($AE$3:$AE$201,$M68)&gt;0,
     COUNTIFS($AF$3:$AF$201,$M68)&gt;0,
     COUNTIFS($AG$3:$AG$201,$M68)&gt;0,
     COUNTIFS($AH$3:$AH$201,$M68)&gt;0,
     COUNTIFS($AI$3:$AI$201,$M68)&gt;0,
     COUNTIFS($AJ$3:$AJ$201,$M68)&gt;0,
     COUNTIFS($AK$3:$AK$201,$M68)&gt;0,
     COUNTIFS($AL$3:$AL$201,$M68)&gt;0,
     COUNTIFS($AM$3:$AM$201,$M68)&gt;0,
     COUNTIFS($AN$3:$AN$201,$M68)&gt;0,
     COUNTIFS($AO$3:$AO$201,$M68)&gt;0,
     COUNTIFS($AP$3:$AP$201,$M68)&gt;0,
     COUNTIFS($AQ$3:$AQ$201,$M68)&gt;0,
     COUNTIFS($AR$3:$AR$201,$M68)&gt;0,
     COUNTIFS($AS$3:$AS$201,$M68)&gt;0,
     COUNTIFS($AT$3:$AT$201,$M68)&gt;0,
     COUNTIFS($AU$3:$AU$201,$M68)&gt;0,
     COUNTIFS($AV$3:$AV$201,$M68)&gt;0,
     COUNTIFS($AW$3:$AW$201,$M68)&gt;0
   )),
  ),
  3
 ),
"")</f>
        <v/>
      </c>
      <c r="R68" s="3" t="str" cm="1">
        <f t="array" aca="1" ref="R68" ca="1">IFERROR(
 INDEX(
  _xlfn._xlws.FILTER($T$2:$AW$2,
   TRANSPOSE(
    CHOOSE({1;2;3;4;5;6;7;8;9;10;11;12;13;14;15;16;17;18;19;20;21;22;23;24;25;26;27;28;29;30},
     COUNTIFS($T$3:$T$201,$M68)&gt;0,
     COUNTIFS($U$3:$U$201,$M68)&gt;0,
     COUNTIFS($V$3:$V$201,$M68)&gt;0,
     COUNTIFS($W$3:$W$201,$M68)&gt;0,
     COUNTIFS($X$3:$X$201,$M68)&gt;0,
     COUNTIFS($Y$3:$Y$201,$M68)&gt;0,
     COUNTIFS($Z$3:$Z$201,$M68)&gt;0,
     COUNTIFS($AA$3:$AA$201,$M68)&gt;0,
     COUNTIFS($AB$3:$AB$201,$M68)&gt;0,
     COUNTIFS($AC$3:$AC$201,$M68)&gt;0,
     COUNTIFS($AD$3:$AD$201,$M68)&gt;0,
     COUNTIFS($AE$3:$AE$201,$M68)&gt;0,
     COUNTIFS($AF$3:$AF$201,$M68)&gt;0,
     COUNTIFS($AG$3:$AG$201,$M68)&gt;0,
     COUNTIFS($AH$3:$AH$201,$M68)&gt;0,
     COUNTIFS($AI$3:$AI$201,$M68)&gt;0,
     COUNTIFS($AJ$3:$AJ$201,$M68)&gt;0,
     COUNTIFS($AK$3:$AK$201,$M68)&gt;0,
     COUNTIFS($AL$3:$AL$201,$M68)&gt;0,
     COUNTIFS($AM$3:$AM$201,$M68)&gt;0,
     COUNTIFS($AN$3:$AN$201,$M68)&gt;0,
     COUNTIFS($AO$3:$AO$201,$M68)&gt;0,
     COUNTIFS($AP$3:$AP$201,$M68)&gt;0,
     COUNTIFS($AQ$3:$AQ$201,$M68)&gt;0,
     COUNTIFS($AR$3:$AR$201,$M68)&gt;0,
     COUNTIFS($AS$3:$AS$201,$M68)&gt;0,
     COUNTIFS($AT$3:$AT$201,$M68)&gt;0,
     COUNTIFS($AU$3:$AU$201,$M68)&gt;0,
     COUNTIFS($AV$3:$AV$201,$M68)&gt;0,
     COUNTIFS($AW$3:$AW$201,$M68)&gt;0
   )),
  ),
  4
 ),
"")</f>
        <v/>
      </c>
      <c r="BR68" t="str">
        <f ca="1"/>
        <v>Selesnya Sanctuary</v>
      </c>
      <c r="CA68" t="str">
        <f ca="1"/>
        <v>Japaland</v>
      </c>
      <c r="CB68" t="str">
        <f ca="1"/>
        <v>Urna de Mosco-lumes</v>
      </c>
      <c r="CF68" t="str">
        <f ca="1"/>
        <v>Executor Impiedoso</v>
      </c>
      <c r="CG68" t="str">
        <f ca="1"/>
        <v>Saheeli, Filigree Master</v>
      </c>
      <c r="CI68" t="str">
        <f ca="1"/>
        <v>Divine Visitation</v>
      </c>
    </row>
    <row r="69" spans="1:87" x14ac:dyDescent="0.25">
      <c r="A69" t="str">
        <f ca="1"/>
        <v>Earthbending Student</v>
      </c>
      <c r="B69" s="3" t="str" cm="1">
        <f t="array" aca="1" ref="B69" ca="1">_xlfn.ANCHORARRAY(RESUMO!C68)</f>
        <v>Modular</v>
      </c>
      <c r="C69" s="3" t="str">
        <f t="shared" ca="1" si="4"/>
        <v/>
      </c>
      <c r="E69" t="str">
        <f ca="1"/>
        <v>Drowned Catacomb</v>
      </c>
      <c r="F69" s="3">
        <f t="shared" ca="1" si="5"/>
        <v>1</v>
      </c>
      <c r="G69" s="3" t="str">
        <f t="shared" ca="1" si="6"/>
        <v>VialIshai</v>
      </c>
      <c r="M69" t="str">
        <f ca="1"/>
        <v>Drowned Catacomb</v>
      </c>
      <c r="N69" s="3">
        <f t="shared" ca="1" si="7"/>
        <v>1</v>
      </c>
      <c r="O69" s="3" t="str">
        <f ca="1">IFERROR(
 INDEX($T$2:$AW$2,
  MATCH(TRUE,
   CHOOSE({1;2;3;4;5;6;7;8;9;10;11;12;13;14;15;16;17;18;19;20;21;22;23;24;25;26;27;28;29;30;31;32},
    COUNTIFS($T$3:$T$201,$M69)&gt;0,
    COUNTIFS($U$3:$U$201,$M69)&gt;0,
    COUNTIFS($V$3:$V$201,$M69)&gt;0,
    COUNTIFS($W$3:$W$201,$M69)&gt;0,
    COUNTIFS($X$3:$X$201,$M69)&gt;0,
    COUNTIFS($Y$3:$Y$201,$M69)&gt;0,
    COUNTIFS($Z$3:$Z$201,$M69)&gt;0,
    COUNTIFS($AA$3:$AA$201,$M69)&gt;0,
    COUNTIFS($AB$3:$AB$201,$M69)&gt;0,
    COUNTIFS($AC$3:$AC$201,$M69)&gt;0,
    COUNTIFS($AD$3:$AD$201,$M69)&gt;0,
    COUNTIFS($AE$3:$AE$201,$M69)&gt;0,
    COUNTIFS($AF$3:$AF$201,$M69)&gt;0,
    COUNTIFS($AG$3:$AG$201,$M69)&gt;0,
    COUNTIFS($AH$3:$AH$201,$M69)&gt;0,
    COUNTIFS($AI$3:$AI$201,$M69)&gt;0,
    COUNTIFS($AJ$3:$AJ$201,$M69)&gt;0,
    COUNTIFS($AK$3:$AK$201,$M69)&gt;0,
    COUNTIFS($AL$3:$AL$201,$M69)&gt;0,
    COUNTIFS($AM$3:$AM$201,$M69)&gt;0,
    COUNTIFS($AN$3:$AN$201,$M69)&gt;0,
    COUNTIFS($AO$3:$AO$201,$M69)&gt;0,
    COUNTIFS($AP$3:$AP$201,$M69)&gt;0,
    COUNTIFS($AQ$3:$AQ$201,$M69)&gt;0,
    COUNTIFS($AR$3:$AR$201,$M69)&gt;0,
    COUNTIFS($AS$3:$AS$201,$M69)&gt;0,
    COUNTIFS($AT$3:$AT$201,$M69)&gt;0,
    COUNTIFS($AU$3:$AU$201,$M69)&gt;0,
    COUNTIFS($AV$3:$AV$201,$M69)&gt;0,
    COUNTIFS($AW$3:$AW$201,$M69)&gt;0
   ),
  0)
 ),
"")</f>
        <v>VialIshai</v>
      </c>
      <c r="P69" s="3" t="str" cm="1">
        <f t="array" aca="1" ref="P69" ca="1">IFERROR(
 INDEX(
  _xlfn._xlws.FILTER($T$2:$AW$2,
   TRANSPOSE(
    CHOOSE({1;2;3;4;5;6;7;8;9;10;11;12;13;14;15;16;17;18;19;20;21;22;23;24;25;26;27;28;29;30},
     COUNTIFS($T$3:$T$201,$M69)&gt;0,
     COUNTIFS($U$3:$U$201,$M69)&gt;0,
     COUNTIFS($V$3:$V$201,$M69)&gt;0,
     COUNTIFS($W$3:$W$201,$M69)&gt;0,
     COUNTIFS($X$3:$X$201,$M69)&gt;0,
     COUNTIFS($Y$3:$Y$201,$M69)&gt;0,
     COUNTIFS($Z$3:$Z$201,$M69)&gt;0,
     COUNTIFS($AA$3:$AA$201,$M69)&gt;0,
     COUNTIFS($AB$3:$AB$201,$M69)&gt;0,
     COUNTIFS($AC$3:$AC$201,$M69)&gt;0,
     COUNTIFS($AD$3:$AD$201,$M69)&gt;0,
     COUNTIFS($AE$3:$AE$201,$M69)&gt;0,
     COUNTIFS($AF$3:$AF$201,$M69)&gt;0,
     COUNTIFS($AG$3:$AG$201,$M69)&gt;0,
     COUNTIFS($AH$3:$AH$201,$M69)&gt;0,
     COUNTIFS($AI$3:$AI$201,$M69)&gt;0,
     COUNTIFS($AJ$3:$AJ$201,$M69)&gt;0,
     COUNTIFS($AK$3:$AK$201,$M69)&gt;0,
     COUNTIFS($AL$3:$AL$201,$M69)&gt;0,
     COUNTIFS($AM$3:$AM$201,$M69)&gt;0,
     COUNTIFS($AN$3:$AN$201,$M69)&gt;0,
     COUNTIFS($AO$3:$AO$201,$M69)&gt;0,
     COUNTIFS($AP$3:$AP$201,$M69)&gt;0,
     COUNTIFS($AQ$3:$AQ$201,$M69)&gt;0,
     COUNTIFS($AR$3:$AR$201,$M69)&gt;0,
     COUNTIFS($AS$3:$AS$201,$M69)&gt;0,
     COUNTIFS($AT$3:$AT$201,$M69)&gt;0,
     COUNTIFS($AU$3:$AU$201,$M69)&gt;0,
     COUNTIFS($AV$3:$AV$201,$M69)&gt;0,
     COUNTIFS($AW$3:$AW$201,$M69)&gt;0
   )),
  ),
  2
 ),
"")</f>
        <v/>
      </c>
      <c r="Q69" s="3" t="str" cm="1">
        <f t="array" aca="1" ref="Q69" ca="1">IFERROR(
 INDEX(
  _xlfn._xlws.FILTER($T$2:$AW$2,
   TRANSPOSE(
    CHOOSE({1;2;3;4;5;6;7;8;9;10;11;12;13;14;15;16;17;18;19;20;21;22;23;24;25;26;27;28;29;30},
     COUNTIFS($T$3:$T$201,$M69)&gt;0,
     COUNTIFS($U$3:$U$201,$M69)&gt;0,
     COUNTIFS($V$3:$V$201,$M69)&gt;0,
     COUNTIFS($W$3:$W$201,$M69)&gt;0,
     COUNTIFS($X$3:$X$201,$M69)&gt;0,
     COUNTIFS($Y$3:$Y$201,$M69)&gt;0,
     COUNTIFS($Z$3:$Z$201,$M69)&gt;0,
     COUNTIFS($AA$3:$AA$201,$M69)&gt;0,
     COUNTIFS($AB$3:$AB$201,$M69)&gt;0,
     COUNTIFS($AC$3:$AC$201,$M69)&gt;0,
     COUNTIFS($AD$3:$AD$201,$M69)&gt;0,
     COUNTIFS($AE$3:$AE$201,$M69)&gt;0,
     COUNTIFS($AF$3:$AF$201,$M69)&gt;0,
     COUNTIFS($AG$3:$AG$201,$M69)&gt;0,
     COUNTIFS($AH$3:$AH$201,$M69)&gt;0,
     COUNTIFS($AI$3:$AI$201,$M69)&gt;0,
     COUNTIFS($AJ$3:$AJ$201,$M69)&gt;0,
     COUNTIFS($AK$3:$AK$201,$M69)&gt;0,
     COUNTIFS($AL$3:$AL$201,$M69)&gt;0,
     COUNTIFS($AM$3:$AM$201,$M69)&gt;0,
     COUNTIFS($AN$3:$AN$201,$M69)&gt;0,
     COUNTIFS($AO$3:$AO$201,$M69)&gt;0,
     COUNTIFS($AP$3:$AP$201,$M69)&gt;0,
     COUNTIFS($AQ$3:$AQ$201,$M69)&gt;0,
     COUNTIFS($AR$3:$AR$201,$M69)&gt;0,
     COUNTIFS($AS$3:$AS$201,$M69)&gt;0,
     COUNTIFS($AT$3:$AT$201,$M69)&gt;0,
     COUNTIFS($AU$3:$AU$201,$M69)&gt;0,
     COUNTIFS($AV$3:$AV$201,$M69)&gt;0,
     COUNTIFS($AW$3:$AW$201,$M69)&gt;0
   )),
  ),
  3
 ),
"")</f>
        <v/>
      </c>
      <c r="R69" s="3" t="str" cm="1">
        <f t="array" aca="1" ref="R69" ca="1">IFERROR(
 INDEX(
  _xlfn._xlws.FILTER($T$2:$AW$2,
   TRANSPOSE(
    CHOOSE({1;2;3;4;5;6;7;8;9;10;11;12;13;14;15;16;17;18;19;20;21;22;23;24;25;26;27;28;29;30},
     COUNTIFS($T$3:$T$201,$M69)&gt;0,
     COUNTIFS($U$3:$U$201,$M69)&gt;0,
     COUNTIFS($V$3:$V$201,$M69)&gt;0,
     COUNTIFS($W$3:$W$201,$M69)&gt;0,
     COUNTIFS($X$3:$X$201,$M69)&gt;0,
     COUNTIFS($Y$3:$Y$201,$M69)&gt;0,
     COUNTIFS($Z$3:$Z$201,$M69)&gt;0,
     COUNTIFS($AA$3:$AA$201,$M69)&gt;0,
     COUNTIFS($AB$3:$AB$201,$M69)&gt;0,
     COUNTIFS($AC$3:$AC$201,$M69)&gt;0,
     COUNTIFS($AD$3:$AD$201,$M69)&gt;0,
     COUNTIFS($AE$3:$AE$201,$M69)&gt;0,
     COUNTIFS($AF$3:$AF$201,$M69)&gt;0,
     COUNTIFS($AG$3:$AG$201,$M69)&gt;0,
     COUNTIFS($AH$3:$AH$201,$M69)&gt;0,
     COUNTIFS($AI$3:$AI$201,$M69)&gt;0,
     COUNTIFS($AJ$3:$AJ$201,$M69)&gt;0,
     COUNTIFS($AK$3:$AK$201,$M69)&gt;0,
     COUNTIFS($AL$3:$AL$201,$M69)&gt;0,
     COUNTIFS($AM$3:$AM$201,$M69)&gt;0,
     COUNTIFS($AN$3:$AN$201,$M69)&gt;0,
     COUNTIFS($AO$3:$AO$201,$M69)&gt;0,
     COUNTIFS($AP$3:$AP$201,$M69)&gt;0,
     COUNTIFS($AQ$3:$AQ$201,$M69)&gt;0,
     COUNTIFS($AR$3:$AR$201,$M69)&gt;0,
     COUNTIFS($AS$3:$AS$201,$M69)&gt;0,
     COUNTIFS($AT$3:$AT$201,$M69)&gt;0,
     COUNTIFS($AU$3:$AU$201,$M69)&gt;0,
     COUNTIFS($AV$3:$AV$201,$M69)&gt;0,
     COUNTIFS($AW$3:$AW$201,$M69)&gt;0
   )),
  ),
  4
 ),
"")</f>
        <v/>
      </c>
      <c r="BR69" t="str">
        <f ca="1"/>
        <v>Solidariedade dos Heróis</v>
      </c>
      <c r="CA69" t="str">
        <f ca="1"/>
        <v>Lanterna Fantasma</v>
      </c>
      <c r="CB69" t="str">
        <f ca="1"/>
        <v>Urza Assembles the Titans</v>
      </c>
      <c r="CF69" t="str">
        <f ca="1"/>
        <v>Explosão Ruinosa de Urza</v>
      </c>
      <c r="CG69" t="str">
        <f ca="1"/>
        <v>Santuário dos Moldadores</v>
      </c>
      <c r="CI69" t="str">
        <f ca="1"/>
        <v>Drowned Catacomb</v>
      </c>
    </row>
    <row r="70" spans="1:87" x14ac:dyDescent="0.25">
      <c r="A70" t="str">
        <f ca="1"/>
        <v>Elspeth, Sun's Champion</v>
      </c>
      <c r="B70" s="3" t="str" cm="1">
        <f t="array" aca="1" ref="B70" ca="1">_xlfn.ANCHORARRAY(RESUMO!C69)</f>
        <v>Sisay</v>
      </c>
      <c r="C70" s="3" t="str">
        <f t="shared" ca="1" si="4"/>
        <v/>
      </c>
      <c r="E70" t="str">
        <f ca="1"/>
        <v>Duplicant</v>
      </c>
      <c r="F70" s="3">
        <f t="shared" ca="1" si="5"/>
        <v>1</v>
      </c>
      <c r="G70" s="3" t="str">
        <f t="shared" ca="1" si="6"/>
        <v>Muzzio</v>
      </c>
      <c r="M70" t="str">
        <f ca="1"/>
        <v>Duplicant</v>
      </c>
      <c r="N70" s="3">
        <f t="shared" ca="1" si="7"/>
        <v>1</v>
      </c>
      <c r="O70" s="3" t="str">
        <f ca="1">IFERROR(
 INDEX($T$2:$AW$2,
  MATCH(TRUE,
   CHOOSE({1;2;3;4;5;6;7;8;9;10;11;12;13;14;15;16;17;18;19;20;21;22;23;24;25;26;27;28;29;30;31;32},
    COUNTIFS($T$3:$T$201,$M70)&gt;0,
    COUNTIFS($U$3:$U$201,$M70)&gt;0,
    COUNTIFS($V$3:$V$201,$M70)&gt;0,
    COUNTIFS($W$3:$W$201,$M70)&gt;0,
    COUNTIFS($X$3:$X$201,$M70)&gt;0,
    COUNTIFS($Y$3:$Y$201,$M70)&gt;0,
    COUNTIFS($Z$3:$Z$201,$M70)&gt;0,
    COUNTIFS($AA$3:$AA$201,$M70)&gt;0,
    COUNTIFS($AB$3:$AB$201,$M70)&gt;0,
    COUNTIFS($AC$3:$AC$201,$M70)&gt;0,
    COUNTIFS($AD$3:$AD$201,$M70)&gt;0,
    COUNTIFS($AE$3:$AE$201,$M70)&gt;0,
    COUNTIFS($AF$3:$AF$201,$M70)&gt;0,
    COUNTIFS($AG$3:$AG$201,$M70)&gt;0,
    COUNTIFS($AH$3:$AH$201,$M70)&gt;0,
    COUNTIFS($AI$3:$AI$201,$M70)&gt;0,
    COUNTIFS($AJ$3:$AJ$201,$M70)&gt;0,
    COUNTIFS($AK$3:$AK$201,$M70)&gt;0,
    COUNTIFS($AL$3:$AL$201,$M70)&gt;0,
    COUNTIFS($AM$3:$AM$201,$M70)&gt;0,
    COUNTIFS($AN$3:$AN$201,$M70)&gt;0,
    COUNTIFS($AO$3:$AO$201,$M70)&gt;0,
    COUNTIFS($AP$3:$AP$201,$M70)&gt;0,
    COUNTIFS($AQ$3:$AQ$201,$M70)&gt;0,
    COUNTIFS($AR$3:$AR$201,$M70)&gt;0,
    COUNTIFS($AS$3:$AS$201,$M70)&gt;0,
    COUNTIFS($AT$3:$AT$201,$M70)&gt;0,
    COUNTIFS($AU$3:$AU$201,$M70)&gt;0,
    COUNTIFS($AV$3:$AV$201,$M70)&gt;0,
    COUNTIFS($AW$3:$AW$201,$M70)&gt;0
   ),
  0)
 ),
"")</f>
        <v>Muzzio</v>
      </c>
      <c r="P70" s="3" t="str" cm="1">
        <f t="array" aca="1" ref="P70" ca="1">IFERROR(
 INDEX(
  _xlfn._xlws.FILTER($T$2:$AW$2,
   TRANSPOSE(
    CHOOSE({1;2;3;4;5;6;7;8;9;10;11;12;13;14;15;16;17;18;19;20;21;22;23;24;25;26;27;28;29;30},
     COUNTIFS($T$3:$T$201,$M70)&gt;0,
     COUNTIFS($U$3:$U$201,$M70)&gt;0,
     COUNTIFS($V$3:$V$201,$M70)&gt;0,
     COUNTIFS($W$3:$W$201,$M70)&gt;0,
     COUNTIFS($X$3:$X$201,$M70)&gt;0,
     COUNTIFS($Y$3:$Y$201,$M70)&gt;0,
     COUNTIFS($Z$3:$Z$201,$M70)&gt;0,
     COUNTIFS($AA$3:$AA$201,$M70)&gt;0,
     COUNTIFS($AB$3:$AB$201,$M70)&gt;0,
     COUNTIFS($AC$3:$AC$201,$M70)&gt;0,
     COUNTIFS($AD$3:$AD$201,$M70)&gt;0,
     COUNTIFS($AE$3:$AE$201,$M70)&gt;0,
     COUNTIFS($AF$3:$AF$201,$M70)&gt;0,
     COUNTIFS($AG$3:$AG$201,$M70)&gt;0,
     COUNTIFS($AH$3:$AH$201,$M70)&gt;0,
     COUNTIFS($AI$3:$AI$201,$M70)&gt;0,
     COUNTIFS($AJ$3:$AJ$201,$M70)&gt;0,
     COUNTIFS($AK$3:$AK$201,$M70)&gt;0,
     COUNTIFS($AL$3:$AL$201,$M70)&gt;0,
     COUNTIFS($AM$3:$AM$201,$M70)&gt;0,
     COUNTIFS($AN$3:$AN$201,$M70)&gt;0,
     COUNTIFS($AO$3:$AO$201,$M70)&gt;0,
     COUNTIFS($AP$3:$AP$201,$M70)&gt;0,
     COUNTIFS($AQ$3:$AQ$201,$M70)&gt;0,
     COUNTIFS($AR$3:$AR$201,$M70)&gt;0,
     COUNTIFS($AS$3:$AS$201,$M70)&gt;0,
     COUNTIFS($AT$3:$AT$201,$M70)&gt;0,
     COUNTIFS($AU$3:$AU$201,$M70)&gt;0,
     COUNTIFS($AV$3:$AV$201,$M70)&gt;0,
     COUNTIFS($AW$3:$AW$201,$M70)&gt;0
   )),
  ),
  2
 ),
"")</f>
        <v/>
      </c>
      <c r="Q70" s="3" t="str" cm="1">
        <f t="array" aca="1" ref="Q70" ca="1">IFERROR(
 INDEX(
  _xlfn._xlws.FILTER($T$2:$AW$2,
   TRANSPOSE(
    CHOOSE({1;2;3;4;5;6;7;8;9;10;11;12;13;14;15;16;17;18;19;20;21;22;23;24;25;26;27;28;29;30},
     COUNTIFS($T$3:$T$201,$M70)&gt;0,
     COUNTIFS($U$3:$U$201,$M70)&gt;0,
     COUNTIFS($V$3:$V$201,$M70)&gt;0,
     COUNTIFS($W$3:$W$201,$M70)&gt;0,
     COUNTIFS($X$3:$X$201,$M70)&gt;0,
     COUNTIFS($Y$3:$Y$201,$M70)&gt;0,
     COUNTIFS($Z$3:$Z$201,$M70)&gt;0,
     COUNTIFS($AA$3:$AA$201,$M70)&gt;0,
     COUNTIFS($AB$3:$AB$201,$M70)&gt;0,
     COUNTIFS($AC$3:$AC$201,$M70)&gt;0,
     COUNTIFS($AD$3:$AD$201,$M70)&gt;0,
     COUNTIFS($AE$3:$AE$201,$M70)&gt;0,
     COUNTIFS($AF$3:$AF$201,$M70)&gt;0,
     COUNTIFS($AG$3:$AG$201,$M70)&gt;0,
     COUNTIFS($AH$3:$AH$201,$M70)&gt;0,
     COUNTIFS($AI$3:$AI$201,$M70)&gt;0,
     COUNTIFS($AJ$3:$AJ$201,$M70)&gt;0,
     COUNTIFS($AK$3:$AK$201,$M70)&gt;0,
     COUNTIFS($AL$3:$AL$201,$M70)&gt;0,
     COUNTIFS($AM$3:$AM$201,$M70)&gt;0,
     COUNTIFS($AN$3:$AN$201,$M70)&gt;0,
     COUNTIFS($AO$3:$AO$201,$M70)&gt;0,
     COUNTIFS($AP$3:$AP$201,$M70)&gt;0,
     COUNTIFS($AQ$3:$AQ$201,$M70)&gt;0,
     COUNTIFS($AR$3:$AR$201,$M70)&gt;0,
     COUNTIFS($AS$3:$AS$201,$M70)&gt;0,
     COUNTIFS($AT$3:$AT$201,$M70)&gt;0,
     COUNTIFS($AU$3:$AU$201,$M70)&gt;0,
     COUNTIFS($AV$3:$AV$201,$M70)&gt;0,
     COUNTIFS($AW$3:$AW$201,$M70)&gt;0
   )),
  ),
  3
 ),
"")</f>
        <v/>
      </c>
      <c r="R70" s="3" t="str" cm="1">
        <f t="array" aca="1" ref="R70" ca="1">IFERROR(
 INDEX(
  _xlfn._xlws.FILTER($T$2:$AW$2,
   TRANSPOSE(
    CHOOSE({1;2;3;4;5;6;7;8;9;10;11;12;13;14;15;16;17;18;19;20;21;22;23;24;25;26;27;28;29;30},
     COUNTIFS($T$3:$T$201,$M70)&gt;0,
     COUNTIFS($U$3:$U$201,$M70)&gt;0,
     COUNTIFS($V$3:$V$201,$M70)&gt;0,
     COUNTIFS($W$3:$W$201,$M70)&gt;0,
     COUNTIFS($X$3:$X$201,$M70)&gt;0,
     COUNTIFS($Y$3:$Y$201,$M70)&gt;0,
     COUNTIFS($Z$3:$Z$201,$M70)&gt;0,
     COUNTIFS($AA$3:$AA$201,$M70)&gt;0,
     COUNTIFS($AB$3:$AB$201,$M70)&gt;0,
     COUNTIFS($AC$3:$AC$201,$M70)&gt;0,
     COUNTIFS($AD$3:$AD$201,$M70)&gt;0,
     COUNTIFS($AE$3:$AE$201,$M70)&gt;0,
     COUNTIFS($AF$3:$AF$201,$M70)&gt;0,
     COUNTIFS($AG$3:$AG$201,$M70)&gt;0,
     COUNTIFS($AH$3:$AH$201,$M70)&gt;0,
     COUNTIFS($AI$3:$AI$201,$M70)&gt;0,
     COUNTIFS($AJ$3:$AJ$201,$M70)&gt;0,
     COUNTIFS($AK$3:$AK$201,$M70)&gt;0,
     COUNTIFS($AL$3:$AL$201,$M70)&gt;0,
     COUNTIFS($AM$3:$AM$201,$M70)&gt;0,
     COUNTIFS($AN$3:$AN$201,$M70)&gt;0,
     COUNTIFS($AO$3:$AO$201,$M70)&gt;0,
     COUNTIFS($AP$3:$AP$201,$M70)&gt;0,
     COUNTIFS($AQ$3:$AQ$201,$M70)&gt;0,
     COUNTIFS($AR$3:$AR$201,$M70)&gt;0,
     COUNTIFS($AS$3:$AS$201,$M70)&gt;0,
     COUNTIFS($AT$3:$AT$201,$M70)&gt;0,
     COUNTIFS($AU$3:$AU$201,$M70)&gt;0,
     COUNTIFS($AV$3:$AV$201,$M70)&gt;0,
     COUNTIFS($AW$3:$AW$201,$M70)&gt;0
   )),
  ),
  4
 ),
"")</f>
        <v/>
      </c>
      <c r="BR70" t="str">
        <f ca="1"/>
        <v>Surto da Salvação</v>
      </c>
      <c r="CA70" t="str">
        <f ca="1"/>
        <v>Lonis, Cryptozoologist</v>
      </c>
      <c r="CB70" t="str">
        <f ca="1"/>
        <v>Vivid Marsh</v>
      </c>
      <c r="CF70" t="str">
        <f ca="1"/>
        <v>Extraction Specialist</v>
      </c>
      <c r="CG70" t="str">
        <f ca="1"/>
        <v>Savage Twister</v>
      </c>
      <c r="CI70" t="str">
        <f ca="1"/>
        <v>Duplicant</v>
      </c>
    </row>
    <row r="71" spans="1:87" x14ac:dyDescent="0.25">
      <c r="A71" t="str">
        <f ca="1"/>
        <v>Elvish Reclaimer</v>
      </c>
      <c r="B71" s="3" t="str" cm="1">
        <f t="array" aca="1" ref="B71" ca="1">_xlfn.ANCHORARRAY(RESUMO!C70)</f>
        <v>Modular</v>
      </c>
      <c r="C71" s="3" t="str">
        <f t="shared" ca="1" si="4"/>
        <v/>
      </c>
      <c r="E71" t="str">
        <f ca="1"/>
        <v>Ecological Appreciation</v>
      </c>
      <c r="F71" s="3">
        <f t="shared" ca="1" si="5"/>
        <v>1</v>
      </c>
      <c r="G71" s="3" t="str">
        <f t="shared" ca="1" si="6"/>
        <v>Zimone</v>
      </c>
      <c r="M71" t="str">
        <f ca="1"/>
        <v>Ecological Appreciation</v>
      </c>
      <c r="N71" s="3">
        <f t="shared" ca="1" si="7"/>
        <v>1</v>
      </c>
      <c r="O71" s="3" t="str">
        <f ca="1">IFERROR(
 INDEX($T$2:$AW$2,
  MATCH(TRUE,
   CHOOSE({1;2;3;4;5;6;7;8;9;10;11;12;13;14;15;16;17;18;19;20;21;22;23;24;25;26;27;28;29;30;31;32},
    COUNTIFS($T$3:$T$201,$M71)&gt;0,
    COUNTIFS($U$3:$U$201,$M71)&gt;0,
    COUNTIFS($V$3:$V$201,$M71)&gt;0,
    COUNTIFS($W$3:$W$201,$M71)&gt;0,
    COUNTIFS($X$3:$X$201,$M71)&gt;0,
    COUNTIFS($Y$3:$Y$201,$M71)&gt;0,
    COUNTIFS($Z$3:$Z$201,$M71)&gt;0,
    COUNTIFS($AA$3:$AA$201,$M71)&gt;0,
    COUNTIFS($AB$3:$AB$201,$M71)&gt;0,
    COUNTIFS($AC$3:$AC$201,$M71)&gt;0,
    COUNTIFS($AD$3:$AD$201,$M71)&gt;0,
    COUNTIFS($AE$3:$AE$201,$M71)&gt;0,
    COUNTIFS($AF$3:$AF$201,$M71)&gt;0,
    COUNTIFS($AG$3:$AG$201,$M71)&gt;0,
    COUNTIFS($AH$3:$AH$201,$M71)&gt;0,
    COUNTIFS($AI$3:$AI$201,$M71)&gt;0,
    COUNTIFS($AJ$3:$AJ$201,$M71)&gt;0,
    COUNTIFS($AK$3:$AK$201,$M71)&gt;0,
    COUNTIFS($AL$3:$AL$201,$M71)&gt;0,
    COUNTIFS($AM$3:$AM$201,$M71)&gt;0,
    COUNTIFS($AN$3:$AN$201,$M71)&gt;0,
    COUNTIFS($AO$3:$AO$201,$M71)&gt;0,
    COUNTIFS($AP$3:$AP$201,$M71)&gt;0,
    COUNTIFS($AQ$3:$AQ$201,$M71)&gt;0,
    COUNTIFS($AR$3:$AR$201,$M71)&gt;0,
    COUNTIFS($AS$3:$AS$201,$M71)&gt;0,
    COUNTIFS($AT$3:$AT$201,$M71)&gt;0,
    COUNTIFS($AU$3:$AU$201,$M71)&gt;0,
    COUNTIFS($AV$3:$AV$201,$M71)&gt;0,
    COUNTIFS($AW$3:$AW$201,$M71)&gt;0
   ),
  0)
 ),
"")</f>
        <v>Zimone</v>
      </c>
      <c r="P71" s="3" t="str" cm="1">
        <f t="array" aca="1" ref="P71" ca="1">IFERROR(
 INDEX(
  _xlfn._xlws.FILTER($T$2:$AW$2,
   TRANSPOSE(
    CHOOSE({1;2;3;4;5;6;7;8;9;10;11;12;13;14;15;16;17;18;19;20;21;22;23;24;25;26;27;28;29;30},
     COUNTIFS($T$3:$T$201,$M71)&gt;0,
     COUNTIFS($U$3:$U$201,$M71)&gt;0,
     COUNTIFS($V$3:$V$201,$M71)&gt;0,
     COUNTIFS($W$3:$W$201,$M71)&gt;0,
     COUNTIFS($X$3:$X$201,$M71)&gt;0,
     COUNTIFS($Y$3:$Y$201,$M71)&gt;0,
     COUNTIFS($Z$3:$Z$201,$M71)&gt;0,
     COUNTIFS($AA$3:$AA$201,$M71)&gt;0,
     COUNTIFS($AB$3:$AB$201,$M71)&gt;0,
     COUNTIFS($AC$3:$AC$201,$M71)&gt;0,
     COUNTIFS($AD$3:$AD$201,$M71)&gt;0,
     COUNTIFS($AE$3:$AE$201,$M71)&gt;0,
     COUNTIFS($AF$3:$AF$201,$M71)&gt;0,
     COUNTIFS($AG$3:$AG$201,$M71)&gt;0,
     COUNTIFS($AH$3:$AH$201,$M71)&gt;0,
     COUNTIFS($AI$3:$AI$201,$M71)&gt;0,
     COUNTIFS($AJ$3:$AJ$201,$M71)&gt;0,
     COUNTIFS($AK$3:$AK$201,$M71)&gt;0,
     COUNTIFS($AL$3:$AL$201,$M71)&gt;0,
     COUNTIFS($AM$3:$AM$201,$M71)&gt;0,
     COUNTIFS($AN$3:$AN$201,$M71)&gt;0,
     COUNTIFS($AO$3:$AO$201,$M71)&gt;0,
     COUNTIFS($AP$3:$AP$201,$M71)&gt;0,
     COUNTIFS($AQ$3:$AQ$201,$M71)&gt;0,
     COUNTIFS($AR$3:$AR$201,$M71)&gt;0,
     COUNTIFS($AS$3:$AS$201,$M71)&gt;0,
     COUNTIFS($AT$3:$AT$201,$M71)&gt;0,
     COUNTIFS($AU$3:$AU$201,$M71)&gt;0,
     COUNTIFS($AV$3:$AV$201,$M71)&gt;0,
     COUNTIFS($AW$3:$AW$201,$M71)&gt;0
   )),
  ),
  2
 ),
"")</f>
        <v/>
      </c>
      <c r="Q71" s="3" t="str" cm="1">
        <f t="array" aca="1" ref="Q71" ca="1">IFERROR(
 INDEX(
  _xlfn._xlws.FILTER($T$2:$AW$2,
   TRANSPOSE(
    CHOOSE({1;2;3;4;5;6;7;8;9;10;11;12;13;14;15;16;17;18;19;20;21;22;23;24;25;26;27;28;29;30},
     COUNTIFS($T$3:$T$201,$M71)&gt;0,
     COUNTIFS($U$3:$U$201,$M71)&gt;0,
     COUNTIFS($V$3:$V$201,$M71)&gt;0,
     COUNTIFS($W$3:$W$201,$M71)&gt;0,
     COUNTIFS($X$3:$X$201,$M71)&gt;0,
     COUNTIFS($Y$3:$Y$201,$M71)&gt;0,
     COUNTIFS($Z$3:$Z$201,$M71)&gt;0,
     COUNTIFS($AA$3:$AA$201,$M71)&gt;0,
     COUNTIFS($AB$3:$AB$201,$M71)&gt;0,
     COUNTIFS($AC$3:$AC$201,$M71)&gt;0,
     COUNTIFS($AD$3:$AD$201,$M71)&gt;0,
     COUNTIFS($AE$3:$AE$201,$M71)&gt;0,
     COUNTIFS($AF$3:$AF$201,$M71)&gt;0,
     COUNTIFS($AG$3:$AG$201,$M71)&gt;0,
     COUNTIFS($AH$3:$AH$201,$M71)&gt;0,
     COUNTIFS($AI$3:$AI$201,$M71)&gt;0,
     COUNTIFS($AJ$3:$AJ$201,$M71)&gt;0,
     COUNTIFS($AK$3:$AK$201,$M71)&gt;0,
     COUNTIFS($AL$3:$AL$201,$M71)&gt;0,
     COUNTIFS($AM$3:$AM$201,$M71)&gt;0,
     COUNTIFS($AN$3:$AN$201,$M71)&gt;0,
     COUNTIFS($AO$3:$AO$201,$M71)&gt;0,
     COUNTIFS($AP$3:$AP$201,$M71)&gt;0,
     COUNTIFS($AQ$3:$AQ$201,$M71)&gt;0,
     COUNTIFS($AR$3:$AR$201,$M71)&gt;0,
     COUNTIFS($AS$3:$AS$201,$M71)&gt;0,
     COUNTIFS($AT$3:$AT$201,$M71)&gt;0,
     COUNTIFS($AU$3:$AU$201,$M71)&gt;0,
     COUNTIFS($AV$3:$AV$201,$M71)&gt;0,
     COUNTIFS($AW$3:$AW$201,$M71)&gt;0
   )),
  ),
  3
 ),
"")</f>
        <v/>
      </c>
      <c r="R71" s="3" t="str" cm="1">
        <f t="array" aca="1" ref="R71" ca="1">IFERROR(
 INDEX(
  _xlfn._xlws.FILTER($T$2:$AW$2,
   TRANSPOSE(
    CHOOSE({1;2;3;4;5;6;7;8;9;10;11;12;13;14;15;16;17;18;19;20;21;22;23;24;25;26;27;28;29;30},
     COUNTIFS($T$3:$T$201,$M71)&gt;0,
     COUNTIFS($U$3:$U$201,$M71)&gt;0,
     COUNTIFS($V$3:$V$201,$M71)&gt;0,
     COUNTIFS($W$3:$W$201,$M71)&gt;0,
     COUNTIFS($X$3:$X$201,$M71)&gt;0,
     COUNTIFS($Y$3:$Y$201,$M71)&gt;0,
     COUNTIFS($Z$3:$Z$201,$M71)&gt;0,
     COUNTIFS($AA$3:$AA$201,$M71)&gt;0,
     COUNTIFS($AB$3:$AB$201,$M71)&gt;0,
     COUNTIFS($AC$3:$AC$201,$M71)&gt;0,
     COUNTIFS($AD$3:$AD$201,$M71)&gt;0,
     COUNTIFS($AE$3:$AE$201,$M71)&gt;0,
     COUNTIFS($AF$3:$AF$201,$M71)&gt;0,
     COUNTIFS($AG$3:$AG$201,$M71)&gt;0,
     COUNTIFS($AH$3:$AH$201,$M71)&gt;0,
     COUNTIFS($AI$3:$AI$201,$M71)&gt;0,
     COUNTIFS($AJ$3:$AJ$201,$M71)&gt;0,
     COUNTIFS($AK$3:$AK$201,$M71)&gt;0,
     COUNTIFS($AL$3:$AL$201,$M71)&gt;0,
     COUNTIFS($AM$3:$AM$201,$M71)&gt;0,
     COUNTIFS($AN$3:$AN$201,$M71)&gt;0,
     COUNTIFS($AO$3:$AO$201,$M71)&gt;0,
     COUNTIFS($AP$3:$AP$201,$M71)&gt;0,
     COUNTIFS($AQ$3:$AQ$201,$M71)&gt;0,
     COUNTIFS($AR$3:$AR$201,$M71)&gt;0,
     COUNTIFS($AS$3:$AS$201,$M71)&gt;0,
     COUNTIFS($AT$3:$AT$201,$M71)&gt;0,
     COUNTIFS($AU$3:$AU$201,$M71)&gt;0,
     COUNTIFS($AV$3:$AV$201,$M71)&gt;0,
     COUNTIFS($AW$3:$AW$201,$M71)&gt;0
   )),
  ),
  4
 ),
"")</f>
        <v/>
      </c>
      <c r="BR71" t="str">
        <f ca="1"/>
        <v>Swamp</v>
      </c>
      <c r="CA71" t="str">
        <f ca="1"/>
        <v>Mascara da Longevisão</v>
      </c>
      <c r="CB71" t="str">
        <f ca="1"/>
        <v>Wall of Roots</v>
      </c>
      <c r="CF71" t="str">
        <f ca="1"/>
        <v>Flagelo das Frotas</v>
      </c>
      <c r="CG71" t="str">
        <f ca="1"/>
        <v>Simic Charm</v>
      </c>
      <c r="CI71" t="str">
        <f ca="1"/>
        <v>Ecological Appreciation</v>
      </c>
    </row>
    <row r="72" spans="1:87" x14ac:dyDescent="0.25">
      <c r="A72" t="str">
        <f ca="1"/>
        <v>Emberwilde Captain</v>
      </c>
      <c r="B72" s="3" t="str" cm="1">
        <f t="array" aca="1" ref="B72" ca="1">_xlfn.ANCHORARRAY(RESUMO!C71)</f>
        <v>Piratas</v>
      </c>
      <c r="C72" s="3" t="str">
        <f t="shared" ca="1" si="4"/>
        <v/>
      </c>
      <c r="E72" t="str">
        <f ca="1"/>
        <v>Elas il-Kor, Sadistic Pilgrim</v>
      </c>
      <c r="F72" s="3">
        <f t="shared" ca="1" si="5"/>
        <v>1</v>
      </c>
      <c r="G72" s="3" t="str">
        <f t="shared" ca="1" si="6"/>
        <v>OWA</v>
      </c>
      <c r="M72" t="str">
        <f ca="1"/>
        <v>Elas il-Kor, Sadistic Pilgrim</v>
      </c>
      <c r="N72" s="3">
        <f t="shared" ca="1" si="7"/>
        <v>1</v>
      </c>
      <c r="O72" s="3" t="str">
        <f ca="1">IFERROR(
 INDEX($T$2:$AW$2,
  MATCH(TRUE,
   CHOOSE({1;2;3;4;5;6;7;8;9;10;11;12;13;14;15;16;17;18;19;20;21;22;23;24;25;26;27;28;29;30;31;32},
    COUNTIFS($T$3:$T$201,$M72)&gt;0,
    COUNTIFS($U$3:$U$201,$M72)&gt;0,
    COUNTIFS($V$3:$V$201,$M72)&gt;0,
    COUNTIFS($W$3:$W$201,$M72)&gt;0,
    COUNTIFS($X$3:$X$201,$M72)&gt;0,
    COUNTIFS($Y$3:$Y$201,$M72)&gt;0,
    COUNTIFS($Z$3:$Z$201,$M72)&gt;0,
    COUNTIFS($AA$3:$AA$201,$M72)&gt;0,
    COUNTIFS($AB$3:$AB$201,$M72)&gt;0,
    COUNTIFS($AC$3:$AC$201,$M72)&gt;0,
    COUNTIFS($AD$3:$AD$201,$M72)&gt;0,
    COUNTIFS($AE$3:$AE$201,$M72)&gt;0,
    COUNTIFS($AF$3:$AF$201,$M72)&gt;0,
    COUNTIFS($AG$3:$AG$201,$M72)&gt;0,
    COUNTIFS($AH$3:$AH$201,$M72)&gt;0,
    COUNTIFS($AI$3:$AI$201,$M72)&gt;0,
    COUNTIFS($AJ$3:$AJ$201,$M72)&gt;0,
    COUNTIFS($AK$3:$AK$201,$M72)&gt;0,
    COUNTIFS($AL$3:$AL$201,$M72)&gt;0,
    COUNTIFS($AM$3:$AM$201,$M72)&gt;0,
    COUNTIFS($AN$3:$AN$201,$M72)&gt;0,
    COUNTIFS($AO$3:$AO$201,$M72)&gt;0,
    COUNTIFS($AP$3:$AP$201,$M72)&gt;0,
    COUNTIFS($AQ$3:$AQ$201,$M72)&gt;0,
    COUNTIFS($AR$3:$AR$201,$M72)&gt;0,
    COUNTIFS($AS$3:$AS$201,$M72)&gt;0,
    COUNTIFS($AT$3:$AT$201,$M72)&gt;0,
    COUNTIFS($AU$3:$AU$201,$M72)&gt;0,
    COUNTIFS($AV$3:$AV$201,$M72)&gt;0,
    COUNTIFS($AW$3:$AW$201,$M72)&gt;0
   ),
  0)
 ),
"")</f>
        <v>OWA</v>
      </c>
      <c r="P72" s="3" t="str" cm="1">
        <f t="array" aca="1" ref="P72" ca="1">IFERROR(
 INDEX(
  _xlfn._xlws.FILTER($T$2:$AW$2,
   TRANSPOSE(
    CHOOSE({1;2;3;4;5;6;7;8;9;10;11;12;13;14;15;16;17;18;19;20;21;22;23;24;25;26;27;28;29;30},
     COUNTIFS($T$3:$T$201,$M72)&gt;0,
     COUNTIFS($U$3:$U$201,$M72)&gt;0,
     COUNTIFS($V$3:$V$201,$M72)&gt;0,
     COUNTIFS($W$3:$W$201,$M72)&gt;0,
     COUNTIFS($X$3:$X$201,$M72)&gt;0,
     COUNTIFS($Y$3:$Y$201,$M72)&gt;0,
     COUNTIFS($Z$3:$Z$201,$M72)&gt;0,
     COUNTIFS($AA$3:$AA$201,$M72)&gt;0,
     COUNTIFS($AB$3:$AB$201,$M72)&gt;0,
     COUNTIFS($AC$3:$AC$201,$M72)&gt;0,
     COUNTIFS($AD$3:$AD$201,$M72)&gt;0,
     COUNTIFS($AE$3:$AE$201,$M72)&gt;0,
     COUNTIFS($AF$3:$AF$201,$M72)&gt;0,
     COUNTIFS($AG$3:$AG$201,$M72)&gt;0,
     COUNTIFS($AH$3:$AH$201,$M72)&gt;0,
     COUNTIFS($AI$3:$AI$201,$M72)&gt;0,
     COUNTIFS($AJ$3:$AJ$201,$M72)&gt;0,
     COUNTIFS($AK$3:$AK$201,$M72)&gt;0,
     COUNTIFS($AL$3:$AL$201,$M72)&gt;0,
     COUNTIFS($AM$3:$AM$201,$M72)&gt;0,
     COUNTIFS($AN$3:$AN$201,$M72)&gt;0,
     COUNTIFS($AO$3:$AO$201,$M72)&gt;0,
     COUNTIFS($AP$3:$AP$201,$M72)&gt;0,
     COUNTIFS($AQ$3:$AQ$201,$M72)&gt;0,
     COUNTIFS($AR$3:$AR$201,$M72)&gt;0,
     COUNTIFS($AS$3:$AS$201,$M72)&gt;0,
     COUNTIFS($AT$3:$AT$201,$M72)&gt;0,
     COUNTIFS($AU$3:$AU$201,$M72)&gt;0,
     COUNTIFS($AV$3:$AV$201,$M72)&gt;0,
     COUNTIFS($AW$3:$AW$201,$M72)&gt;0
   )),
  ),
  2
 ),
"")</f>
        <v/>
      </c>
      <c r="Q72" s="3" t="str" cm="1">
        <f t="array" aca="1" ref="Q72" ca="1">IFERROR(
 INDEX(
  _xlfn._xlws.FILTER($T$2:$AW$2,
   TRANSPOSE(
    CHOOSE({1;2;3;4;5;6;7;8;9;10;11;12;13;14;15;16;17;18;19;20;21;22;23;24;25;26;27;28;29;30},
     COUNTIFS($T$3:$T$201,$M72)&gt;0,
     COUNTIFS($U$3:$U$201,$M72)&gt;0,
     COUNTIFS($V$3:$V$201,$M72)&gt;0,
     COUNTIFS($W$3:$W$201,$M72)&gt;0,
     COUNTIFS($X$3:$X$201,$M72)&gt;0,
     COUNTIFS($Y$3:$Y$201,$M72)&gt;0,
     COUNTIFS($Z$3:$Z$201,$M72)&gt;0,
     COUNTIFS($AA$3:$AA$201,$M72)&gt;0,
     COUNTIFS($AB$3:$AB$201,$M72)&gt;0,
     COUNTIFS($AC$3:$AC$201,$M72)&gt;0,
     COUNTIFS($AD$3:$AD$201,$M72)&gt;0,
     COUNTIFS($AE$3:$AE$201,$M72)&gt;0,
     COUNTIFS($AF$3:$AF$201,$M72)&gt;0,
     COUNTIFS($AG$3:$AG$201,$M72)&gt;0,
     COUNTIFS($AH$3:$AH$201,$M72)&gt;0,
     COUNTIFS($AI$3:$AI$201,$M72)&gt;0,
     COUNTIFS($AJ$3:$AJ$201,$M72)&gt;0,
     COUNTIFS($AK$3:$AK$201,$M72)&gt;0,
     COUNTIFS($AL$3:$AL$201,$M72)&gt;0,
     COUNTIFS($AM$3:$AM$201,$M72)&gt;0,
     COUNTIFS($AN$3:$AN$201,$M72)&gt;0,
     COUNTIFS($AO$3:$AO$201,$M72)&gt;0,
     COUNTIFS($AP$3:$AP$201,$M72)&gt;0,
     COUNTIFS($AQ$3:$AQ$201,$M72)&gt;0,
     COUNTIFS($AR$3:$AR$201,$M72)&gt;0,
     COUNTIFS($AS$3:$AS$201,$M72)&gt;0,
     COUNTIFS($AT$3:$AT$201,$M72)&gt;0,
     COUNTIFS($AU$3:$AU$201,$M72)&gt;0,
     COUNTIFS($AV$3:$AV$201,$M72)&gt;0,
     COUNTIFS($AW$3:$AW$201,$M72)&gt;0
   )),
  ),
  3
 ),
"")</f>
        <v/>
      </c>
      <c r="R72" s="3" t="str" cm="1">
        <f t="array" aca="1" ref="R72" ca="1">IFERROR(
 INDEX(
  _xlfn._xlws.FILTER($T$2:$AW$2,
   TRANSPOSE(
    CHOOSE({1;2;3;4;5;6;7;8;9;10;11;12;13;14;15;16;17;18;19;20;21;22;23;24;25;26;27;28;29;30},
     COUNTIFS($T$3:$T$201,$M72)&gt;0,
     COUNTIFS($U$3:$U$201,$M72)&gt;0,
     COUNTIFS($V$3:$V$201,$M72)&gt;0,
     COUNTIFS($W$3:$W$201,$M72)&gt;0,
     COUNTIFS($X$3:$X$201,$M72)&gt;0,
     COUNTIFS($Y$3:$Y$201,$M72)&gt;0,
     COUNTIFS($Z$3:$Z$201,$M72)&gt;0,
     COUNTIFS($AA$3:$AA$201,$M72)&gt;0,
     COUNTIFS($AB$3:$AB$201,$M72)&gt;0,
     COUNTIFS($AC$3:$AC$201,$M72)&gt;0,
     COUNTIFS($AD$3:$AD$201,$M72)&gt;0,
     COUNTIFS($AE$3:$AE$201,$M72)&gt;0,
     COUNTIFS($AF$3:$AF$201,$M72)&gt;0,
     COUNTIFS($AG$3:$AG$201,$M72)&gt;0,
     COUNTIFS($AH$3:$AH$201,$M72)&gt;0,
     COUNTIFS($AI$3:$AI$201,$M72)&gt;0,
     COUNTIFS($AJ$3:$AJ$201,$M72)&gt;0,
     COUNTIFS($AK$3:$AK$201,$M72)&gt;0,
     COUNTIFS($AL$3:$AL$201,$M72)&gt;0,
     COUNTIFS($AM$3:$AM$201,$M72)&gt;0,
     COUNTIFS($AN$3:$AN$201,$M72)&gt;0,
     COUNTIFS($AO$3:$AO$201,$M72)&gt;0,
     COUNTIFS($AP$3:$AP$201,$M72)&gt;0,
     COUNTIFS($AQ$3:$AQ$201,$M72)&gt;0,
     COUNTIFS($AR$3:$AR$201,$M72)&gt;0,
     COUNTIFS($AS$3:$AS$201,$M72)&gt;0,
     COUNTIFS($AT$3:$AT$201,$M72)&gt;0,
     COUNTIFS($AU$3:$AU$201,$M72)&gt;0,
     COUNTIFS($AV$3:$AV$201,$M72)&gt;0,
     COUNTIFS($AW$3:$AW$201,$M72)&gt;0
   )),
  ),
  4
 ),
"")</f>
        <v/>
      </c>
      <c r="BR72" t="str">
        <f ca="1"/>
        <v>Taverneiro Prospero</v>
      </c>
      <c r="CA72" t="str">
        <f ca="1"/>
        <v>Medalhão de Naya</v>
      </c>
      <c r="CB72" t="str">
        <f ca="1"/>
        <v>Whelming Wave</v>
      </c>
      <c r="CF72" t="str">
        <f ca="1"/>
        <v>Floresta Flagelada</v>
      </c>
      <c r="CG72" t="str">
        <f ca="1"/>
        <v>Sinew Sliver</v>
      </c>
      <c r="CI72" t="str">
        <f ca="1"/>
        <v>Elas il-Kor, Sadistic Pilgrim</v>
      </c>
    </row>
    <row r="73" spans="1:87" x14ac:dyDescent="0.25">
      <c r="A73" t="str">
        <f ca="1"/>
        <v>Emergency Eject</v>
      </c>
      <c r="B73" s="3" t="str" cm="1">
        <f t="array" aca="1" ref="B73" ca="1">_xlfn.ANCHORARRAY(RESUMO!C72)</f>
        <v>Zedruu</v>
      </c>
      <c r="C73" s="3" t="str">
        <f t="shared" ca="1" si="4"/>
        <v/>
      </c>
      <c r="E73" t="str">
        <f ca="1"/>
        <v>Elrond, Lord of Rivendell</v>
      </c>
      <c r="F73" s="3">
        <f t="shared" ca="1" si="5"/>
        <v>1</v>
      </c>
      <c r="G73" s="3" t="str">
        <f t="shared" ca="1" si="6"/>
        <v>Kumena</v>
      </c>
      <c r="M73" t="str">
        <f ca="1"/>
        <v>Elrond, Lord of Rivendell</v>
      </c>
      <c r="N73" s="3">
        <f t="shared" ca="1" si="7"/>
        <v>1</v>
      </c>
      <c r="O73" s="3" t="str">
        <f ca="1">IFERROR(
 INDEX($T$2:$AW$2,
  MATCH(TRUE,
   CHOOSE({1;2;3;4;5;6;7;8;9;10;11;12;13;14;15;16;17;18;19;20;21;22;23;24;25;26;27;28;29;30;31;32},
    COUNTIFS($T$3:$T$201,$M73)&gt;0,
    COUNTIFS($U$3:$U$201,$M73)&gt;0,
    COUNTIFS($V$3:$V$201,$M73)&gt;0,
    COUNTIFS($W$3:$W$201,$M73)&gt;0,
    COUNTIFS($X$3:$X$201,$M73)&gt;0,
    COUNTIFS($Y$3:$Y$201,$M73)&gt;0,
    COUNTIFS($Z$3:$Z$201,$M73)&gt;0,
    COUNTIFS($AA$3:$AA$201,$M73)&gt;0,
    COUNTIFS($AB$3:$AB$201,$M73)&gt;0,
    COUNTIFS($AC$3:$AC$201,$M73)&gt;0,
    COUNTIFS($AD$3:$AD$201,$M73)&gt;0,
    COUNTIFS($AE$3:$AE$201,$M73)&gt;0,
    COUNTIFS($AF$3:$AF$201,$M73)&gt;0,
    COUNTIFS($AG$3:$AG$201,$M73)&gt;0,
    COUNTIFS($AH$3:$AH$201,$M73)&gt;0,
    COUNTIFS($AI$3:$AI$201,$M73)&gt;0,
    COUNTIFS($AJ$3:$AJ$201,$M73)&gt;0,
    COUNTIFS($AK$3:$AK$201,$M73)&gt;0,
    COUNTIFS($AL$3:$AL$201,$M73)&gt;0,
    COUNTIFS($AM$3:$AM$201,$M73)&gt;0,
    COUNTIFS($AN$3:$AN$201,$M73)&gt;0,
    COUNTIFS($AO$3:$AO$201,$M73)&gt;0,
    COUNTIFS($AP$3:$AP$201,$M73)&gt;0,
    COUNTIFS($AQ$3:$AQ$201,$M73)&gt;0,
    COUNTIFS($AR$3:$AR$201,$M73)&gt;0,
    COUNTIFS($AS$3:$AS$201,$M73)&gt;0,
    COUNTIFS($AT$3:$AT$201,$M73)&gt;0,
    COUNTIFS($AU$3:$AU$201,$M73)&gt;0,
    COUNTIFS($AV$3:$AV$201,$M73)&gt;0,
    COUNTIFS($AW$3:$AW$201,$M73)&gt;0
   ),
  0)
 ),
"")</f>
        <v>Kumena</v>
      </c>
      <c r="P73" s="3" t="str" cm="1">
        <f t="array" aca="1" ref="P73" ca="1">IFERROR(
 INDEX(
  _xlfn._xlws.FILTER($T$2:$AW$2,
   TRANSPOSE(
    CHOOSE({1;2;3;4;5;6;7;8;9;10;11;12;13;14;15;16;17;18;19;20;21;22;23;24;25;26;27;28;29;30},
     COUNTIFS($T$3:$T$201,$M73)&gt;0,
     COUNTIFS($U$3:$U$201,$M73)&gt;0,
     COUNTIFS($V$3:$V$201,$M73)&gt;0,
     COUNTIFS($W$3:$W$201,$M73)&gt;0,
     COUNTIFS($X$3:$X$201,$M73)&gt;0,
     COUNTIFS($Y$3:$Y$201,$M73)&gt;0,
     COUNTIFS($Z$3:$Z$201,$M73)&gt;0,
     COUNTIFS($AA$3:$AA$201,$M73)&gt;0,
     COUNTIFS($AB$3:$AB$201,$M73)&gt;0,
     COUNTIFS($AC$3:$AC$201,$M73)&gt;0,
     COUNTIFS($AD$3:$AD$201,$M73)&gt;0,
     COUNTIFS($AE$3:$AE$201,$M73)&gt;0,
     COUNTIFS($AF$3:$AF$201,$M73)&gt;0,
     COUNTIFS($AG$3:$AG$201,$M73)&gt;0,
     COUNTIFS($AH$3:$AH$201,$M73)&gt;0,
     COUNTIFS($AI$3:$AI$201,$M73)&gt;0,
     COUNTIFS($AJ$3:$AJ$201,$M73)&gt;0,
     COUNTIFS($AK$3:$AK$201,$M73)&gt;0,
     COUNTIFS($AL$3:$AL$201,$M73)&gt;0,
     COUNTIFS($AM$3:$AM$201,$M73)&gt;0,
     COUNTIFS($AN$3:$AN$201,$M73)&gt;0,
     COUNTIFS($AO$3:$AO$201,$M73)&gt;0,
     COUNTIFS($AP$3:$AP$201,$M73)&gt;0,
     COUNTIFS($AQ$3:$AQ$201,$M73)&gt;0,
     COUNTIFS($AR$3:$AR$201,$M73)&gt;0,
     COUNTIFS($AS$3:$AS$201,$M73)&gt;0,
     COUNTIFS($AT$3:$AT$201,$M73)&gt;0,
     COUNTIFS($AU$3:$AU$201,$M73)&gt;0,
     COUNTIFS($AV$3:$AV$201,$M73)&gt;0,
     COUNTIFS($AW$3:$AW$201,$M73)&gt;0
   )),
  ),
  2
 ),
"")</f>
        <v/>
      </c>
      <c r="Q73" s="3" t="str" cm="1">
        <f t="array" aca="1" ref="Q73" ca="1">IFERROR(
 INDEX(
  _xlfn._xlws.FILTER($T$2:$AW$2,
   TRANSPOSE(
    CHOOSE({1;2;3;4;5;6;7;8;9;10;11;12;13;14;15;16;17;18;19;20;21;22;23;24;25;26;27;28;29;30},
     COUNTIFS($T$3:$T$201,$M73)&gt;0,
     COUNTIFS($U$3:$U$201,$M73)&gt;0,
     COUNTIFS($V$3:$V$201,$M73)&gt;0,
     COUNTIFS($W$3:$W$201,$M73)&gt;0,
     COUNTIFS($X$3:$X$201,$M73)&gt;0,
     COUNTIFS($Y$3:$Y$201,$M73)&gt;0,
     COUNTIFS($Z$3:$Z$201,$M73)&gt;0,
     COUNTIFS($AA$3:$AA$201,$M73)&gt;0,
     COUNTIFS($AB$3:$AB$201,$M73)&gt;0,
     COUNTIFS($AC$3:$AC$201,$M73)&gt;0,
     COUNTIFS($AD$3:$AD$201,$M73)&gt;0,
     COUNTIFS($AE$3:$AE$201,$M73)&gt;0,
     COUNTIFS($AF$3:$AF$201,$M73)&gt;0,
     COUNTIFS($AG$3:$AG$201,$M73)&gt;0,
     COUNTIFS($AH$3:$AH$201,$M73)&gt;0,
     COUNTIFS($AI$3:$AI$201,$M73)&gt;0,
     COUNTIFS($AJ$3:$AJ$201,$M73)&gt;0,
     COUNTIFS($AK$3:$AK$201,$M73)&gt;0,
     COUNTIFS($AL$3:$AL$201,$M73)&gt;0,
     COUNTIFS($AM$3:$AM$201,$M73)&gt;0,
     COUNTIFS($AN$3:$AN$201,$M73)&gt;0,
     COUNTIFS($AO$3:$AO$201,$M73)&gt;0,
     COUNTIFS($AP$3:$AP$201,$M73)&gt;0,
     COUNTIFS($AQ$3:$AQ$201,$M73)&gt;0,
     COUNTIFS($AR$3:$AR$201,$M73)&gt;0,
     COUNTIFS($AS$3:$AS$201,$M73)&gt;0,
     COUNTIFS($AT$3:$AT$201,$M73)&gt;0,
     COUNTIFS($AU$3:$AU$201,$M73)&gt;0,
     COUNTIFS($AV$3:$AV$201,$M73)&gt;0,
     COUNTIFS($AW$3:$AW$201,$M73)&gt;0
   )),
  ),
  3
 ),
"")</f>
        <v/>
      </c>
      <c r="R73" s="3" t="str" cm="1">
        <f t="array" aca="1" ref="R73" ca="1">IFERROR(
 INDEX(
  _xlfn._xlws.FILTER($T$2:$AW$2,
   TRANSPOSE(
    CHOOSE({1;2;3;4;5;6;7;8;9;10;11;12;13;14;15;16;17;18;19;20;21;22;23;24;25;26;27;28;29;30},
     COUNTIFS($T$3:$T$201,$M73)&gt;0,
     COUNTIFS($U$3:$U$201,$M73)&gt;0,
     COUNTIFS($V$3:$V$201,$M73)&gt;0,
     COUNTIFS($W$3:$W$201,$M73)&gt;0,
     COUNTIFS($X$3:$X$201,$M73)&gt;0,
     COUNTIFS($Y$3:$Y$201,$M73)&gt;0,
     COUNTIFS($Z$3:$Z$201,$M73)&gt;0,
     COUNTIFS($AA$3:$AA$201,$M73)&gt;0,
     COUNTIFS($AB$3:$AB$201,$M73)&gt;0,
     COUNTIFS($AC$3:$AC$201,$M73)&gt;0,
     COUNTIFS($AD$3:$AD$201,$M73)&gt;0,
     COUNTIFS($AE$3:$AE$201,$M73)&gt;0,
     COUNTIFS($AF$3:$AF$201,$M73)&gt;0,
     COUNTIFS($AG$3:$AG$201,$M73)&gt;0,
     COUNTIFS($AH$3:$AH$201,$M73)&gt;0,
     COUNTIFS($AI$3:$AI$201,$M73)&gt;0,
     COUNTIFS($AJ$3:$AJ$201,$M73)&gt;0,
     COUNTIFS($AK$3:$AK$201,$M73)&gt;0,
     COUNTIFS($AL$3:$AL$201,$M73)&gt;0,
     COUNTIFS($AM$3:$AM$201,$M73)&gt;0,
     COUNTIFS($AN$3:$AN$201,$M73)&gt;0,
     COUNTIFS($AO$3:$AO$201,$M73)&gt;0,
     COUNTIFS($AP$3:$AP$201,$M73)&gt;0,
     COUNTIFS($AQ$3:$AQ$201,$M73)&gt;0,
     COUNTIFS($AR$3:$AR$201,$M73)&gt;0,
     COUNTIFS($AS$3:$AS$201,$M73)&gt;0,
     COUNTIFS($AT$3:$AT$201,$M73)&gt;0,
     COUNTIFS($AU$3:$AU$201,$M73)&gt;0,
     COUNTIFS($AV$3:$AV$201,$M73)&gt;0,
     COUNTIFS($AW$3:$AW$201,$M73)&gt;0
   )),
  ),
  4
 ),
"")</f>
        <v/>
      </c>
      <c r="BR73" t="str">
        <f ca="1"/>
        <v>Tempestade Serelepe</v>
      </c>
      <c r="CA73" t="str">
        <f ca="1"/>
        <v>Mergulhadora Celeste Ladra</v>
      </c>
      <c r="CB73" t="str">
        <f ca="1"/>
        <v>Worn Powerstone</v>
      </c>
      <c r="CF73" t="str">
        <f ca="1"/>
        <v>Forest</v>
      </c>
      <c r="CG73" t="str">
        <f ca="1"/>
        <v>Sisay's Ring</v>
      </c>
      <c r="CI73" t="str">
        <f ca="1"/>
        <v>Elrond, Lord of Rivendell</v>
      </c>
    </row>
    <row r="74" spans="1:87" x14ac:dyDescent="0.25">
      <c r="A74" t="str">
        <f ca="1"/>
        <v>Emrakul, um Novo Mundo</v>
      </c>
      <c r="B74" s="3" t="str" cm="1">
        <f t="array" aca="1" ref="B74" ca="1">_xlfn.ANCHORARRAY(RESUMO!C73)</f>
        <v>JhoiraB</v>
      </c>
      <c r="C74" s="3" t="str">
        <f t="shared" ca="1" si="4"/>
        <v/>
      </c>
      <c r="E74" t="str">
        <f ca="1"/>
        <v>Elves of Deep Shadow</v>
      </c>
      <c r="F74" s="3">
        <f t="shared" ca="1" si="5"/>
        <v>1</v>
      </c>
      <c r="G74" s="3" t="str">
        <f t="shared" ca="1" si="6"/>
        <v>OWA</v>
      </c>
      <c r="M74" t="str">
        <f ca="1"/>
        <v>Elves of Deep Shadow</v>
      </c>
      <c r="N74" s="3">
        <f t="shared" ca="1" si="7"/>
        <v>1</v>
      </c>
      <c r="O74" s="3" t="str">
        <f ca="1">IFERROR(
 INDEX($T$2:$AW$2,
  MATCH(TRUE,
   CHOOSE({1;2;3;4;5;6;7;8;9;10;11;12;13;14;15;16;17;18;19;20;21;22;23;24;25;26;27;28;29;30;31;32},
    COUNTIFS($T$3:$T$201,$M74)&gt;0,
    COUNTIFS($U$3:$U$201,$M74)&gt;0,
    COUNTIFS($V$3:$V$201,$M74)&gt;0,
    COUNTIFS($W$3:$W$201,$M74)&gt;0,
    COUNTIFS($X$3:$X$201,$M74)&gt;0,
    COUNTIFS($Y$3:$Y$201,$M74)&gt;0,
    COUNTIFS($Z$3:$Z$201,$M74)&gt;0,
    COUNTIFS($AA$3:$AA$201,$M74)&gt;0,
    COUNTIFS($AB$3:$AB$201,$M74)&gt;0,
    COUNTIFS($AC$3:$AC$201,$M74)&gt;0,
    COUNTIFS($AD$3:$AD$201,$M74)&gt;0,
    COUNTIFS($AE$3:$AE$201,$M74)&gt;0,
    COUNTIFS($AF$3:$AF$201,$M74)&gt;0,
    COUNTIFS($AG$3:$AG$201,$M74)&gt;0,
    COUNTIFS($AH$3:$AH$201,$M74)&gt;0,
    COUNTIFS($AI$3:$AI$201,$M74)&gt;0,
    COUNTIFS($AJ$3:$AJ$201,$M74)&gt;0,
    COUNTIFS($AK$3:$AK$201,$M74)&gt;0,
    COUNTIFS($AL$3:$AL$201,$M74)&gt;0,
    COUNTIFS($AM$3:$AM$201,$M74)&gt;0,
    COUNTIFS($AN$3:$AN$201,$M74)&gt;0,
    COUNTIFS($AO$3:$AO$201,$M74)&gt;0,
    COUNTIFS($AP$3:$AP$201,$M74)&gt;0,
    COUNTIFS($AQ$3:$AQ$201,$M74)&gt;0,
    COUNTIFS($AR$3:$AR$201,$M74)&gt;0,
    COUNTIFS($AS$3:$AS$201,$M74)&gt;0,
    COUNTIFS($AT$3:$AT$201,$M74)&gt;0,
    COUNTIFS($AU$3:$AU$201,$M74)&gt;0,
    COUNTIFS($AV$3:$AV$201,$M74)&gt;0,
    COUNTIFS($AW$3:$AW$201,$M74)&gt;0
   ),
  0)
 ),
"")</f>
        <v>OWA</v>
      </c>
      <c r="P74" s="3" t="str" cm="1">
        <f t="array" aca="1" ref="P74" ca="1">IFERROR(
 INDEX(
  _xlfn._xlws.FILTER($T$2:$AW$2,
   TRANSPOSE(
    CHOOSE({1;2;3;4;5;6;7;8;9;10;11;12;13;14;15;16;17;18;19;20;21;22;23;24;25;26;27;28;29;30},
     COUNTIFS($T$3:$T$201,$M74)&gt;0,
     COUNTIFS($U$3:$U$201,$M74)&gt;0,
     COUNTIFS($V$3:$V$201,$M74)&gt;0,
     COUNTIFS($W$3:$W$201,$M74)&gt;0,
     COUNTIFS($X$3:$X$201,$M74)&gt;0,
     COUNTIFS($Y$3:$Y$201,$M74)&gt;0,
     COUNTIFS($Z$3:$Z$201,$M74)&gt;0,
     COUNTIFS($AA$3:$AA$201,$M74)&gt;0,
     COUNTIFS($AB$3:$AB$201,$M74)&gt;0,
     COUNTIFS($AC$3:$AC$201,$M74)&gt;0,
     COUNTIFS($AD$3:$AD$201,$M74)&gt;0,
     COUNTIFS($AE$3:$AE$201,$M74)&gt;0,
     COUNTIFS($AF$3:$AF$201,$M74)&gt;0,
     COUNTIFS($AG$3:$AG$201,$M74)&gt;0,
     COUNTIFS($AH$3:$AH$201,$M74)&gt;0,
     COUNTIFS($AI$3:$AI$201,$M74)&gt;0,
     COUNTIFS($AJ$3:$AJ$201,$M74)&gt;0,
     COUNTIFS($AK$3:$AK$201,$M74)&gt;0,
     COUNTIFS($AL$3:$AL$201,$M74)&gt;0,
     COUNTIFS($AM$3:$AM$201,$M74)&gt;0,
     COUNTIFS($AN$3:$AN$201,$M74)&gt;0,
     COUNTIFS($AO$3:$AO$201,$M74)&gt;0,
     COUNTIFS($AP$3:$AP$201,$M74)&gt;0,
     COUNTIFS($AQ$3:$AQ$201,$M74)&gt;0,
     COUNTIFS($AR$3:$AR$201,$M74)&gt;0,
     COUNTIFS($AS$3:$AS$201,$M74)&gt;0,
     COUNTIFS($AT$3:$AT$201,$M74)&gt;0,
     COUNTIFS($AU$3:$AU$201,$M74)&gt;0,
     COUNTIFS($AV$3:$AV$201,$M74)&gt;0,
     COUNTIFS($AW$3:$AW$201,$M74)&gt;0
   )),
  ),
  2
 ),
"")</f>
        <v/>
      </c>
      <c r="Q74" s="3" t="str" cm="1">
        <f t="array" aca="1" ref="Q74" ca="1">IFERROR(
 INDEX(
  _xlfn._xlws.FILTER($T$2:$AW$2,
   TRANSPOSE(
    CHOOSE({1;2;3;4;5;6;7;8;9;10;11;12;13;14;15;16;17;18;19;20;21;22;23;24;25;26;27;28;29;30},
     COUNTIFS($T$3:$T$201,$M74)&gt;0,
     COUNTIFS($U$3:$U$201,$M74)&gt;0,
     COUNTIFS($V$3:$V$201,$M74)&gt;0,
     COUNTIFS($W$3:$W$201,$M74)&gt;0,
     COUNTIFS($X$3:$X$201,$M74)&gt;0,
     COUNTIFS($Y$3:$Y$201,$M74)&gt;0,
     COUNTIFS($Z$3:$Z$201,$M74)&gt;0,
     COUNTIFS($AA$3:$AA$201,$M74)&gt;0,
     COUNTIFS($AB$3:$AB$201,$M74)&gt;0,
     COUNTIFS($AC$3:$AC$201,$M74)&gt;0,
     COUNTIFS($AD$3:$AD$201,$M74)&gt;0,
     COUNTIFS($AE$3:$AE$201,$M74)&gt;0,
     COUNTIFS($AF$3:$AF$201,$M74)&gt;0,
     COUNTIFS($AG$3:$AG$201,$M74)&gt;0,
     COUNTIFS($AH$3:$AH$201,$M74)&gt;0,
     COUNTIFS($AI$3:$AI$201,$M74)&gt;0,
     COUNTIFS($AJ$3:$AJ$201,$M74)&gt;0,
     COUNTIFS($AK$3:$AK$201,$M74)&gt;0,
     COUNTIFS($AL$3:$AL$201,$M74)&gt;0,
     COUNTIFS($AM$3:$AM$201,$M74)&gt;0,
     COUNTIFS($AN$3:$AN$201,$M74)&gt;0,
     COUNTIFS($AO$3:$AO$201,$M74)&gt;0,
     COUNTIFS($AP$3:$AP$201,$M74)&gt;0,
     COUNTIFS($AQ$3:$AQ$201,$M74)&gt;0,
     COUNTIFS($AR$3:$AR$201,$M74)&gt;0,
     COUNTIFS($AS$3:$AS$201,$M74)&gt;0,
     COUNTIFS($AT$3:$AT$201,$M74)&gt;0,
     COUNTIFS($AU$3:$AU$201,$M74)&gt;0,
     COUNTIFS($AV$3:$AV$201,$M74)&gt;0,
     COUNTIFS($AW$3:$AW$201,$M74)&gt;0
   )),
  ),
  3
 ),
"")</f>
        <v/>
      </c>
      <c r="R74" s="3" t="str" cm="1">
        <f t="array" aca="1" ref="R74" ca="1">IFERROR(
 INDEX(
  _xlfn._xlws.FILTER($T$2:$AW$2,
   TRANSPOSE(
    CHOOSE({1;2;3;4;5;6;7;8;9;10;11;12;13;14;15;16;17;18;19;20;21;22;23;24;25;26;27;28;29;30},
     COUNTIFS($T$3:$T$201,$M74)&gt;0,
     COUNTIFS($U$3:$U$201,$M74)&gt;0,
     COUNTIFS($V$3:$V$201,$M74)&gt;0,
     COUNTIFS($W$3:$W$201,$M74)&gt;0,
     COUNTIFS($X$3:$X$201,$M74)&gt;0,
     COUNTIFS($Y$3:$Y$201,$M74)&gt;0,
     COUNTIFS($Z$3:$Z$201,$M74)&gt;0,
     COUNTIFS($AA$3:$AA$201,$M74)&gt;0,
     COUNTIFS($AB$3:$AB$201,$M74)&gt;0,
     COUNTIFS($AC$3:$AC$201,$M74)&gt;0,
     COUNTIFS($AD$3:$AD$201,$M74)&gt;0,
     COUNTIFS($AE$3:$AE$201,$M74)&gt;0,
     COUNTIFS($AF$3:$AF$201,$M74)&gt;0,
     COUNTIFS($AG$3:$AG$201,$M74)&gt;0,
     COUNTIFS($AH$3:$AH$201,$M74)&gt;0,
     COUNTIFS($AI$3:$AI$201,$M74)&gt;0,
     COUNTIFS($AJ$3:$AJ$201,$M74)&gt;0,
     COUNTIFS($AK$3:$AK$201,$M74)&gt;0,
     COUNTIFS($AL$3:$AL$201,$M74)&gt;0,
     COUNTIFS($AM$3:$AM$201,$M74)&gt;0,
     COUNTIFS($AN$3:$AN$201,$M74)&gt;0,
     COUNTIFS($AO$3:$AO$201,$M74)&gt;0,
     COUNTIFS($AP$3:$AP$201,$M74)&gt;0,
     COUNTIFS($AQ$3:$AQ$201,$M74)&gt;0,
     COUNTIFS($AR$3:$AR$201,$M74)&gt;0,
     COUNTIFS($AS$3:$AS$201,$M74)&gt;0,
     COUNTIFS($AT$3:$AT$201,$M74)&gt;0,
     COUNTIFS($AU$3:$AU$201,$M74)&gt;0,
     COUNTIFS($AV$3:$AV$201,$M74)&gt;0,
     COUNTIFS($AW$3:$AW$201,$M74)&gt;0
   )),
  ),
  4
 ),
"")</f>
        <v/>
      </c>
      <c r="BR74" t="str">
        <f ca="1"/>
        <v>Terras em Desenvolvimento</v>
      </c>
      <c r="CA74" t="str">
        <f ca="1"/>
        <v>Mestre de Cerimonias</v>
      </c>
      <c r="CF74" t="str">
        <f ca="1"/>
        <v>Forja Mística</v>
      </c>
      <c r="CG74" t="str">
        <f ca="1"/>
        <v>Soul's Majesty</v>
      </c>
      <c r="CI74" t="str">
        <f ca="1"/>
        <v>Elves of Deep Shadow</v>
      </c>
    </row>
    <row r="75" spans="1:87" x14ac:dyDescent="0.25">
      <c r="A75" t="str">
        <f ca="1"/>
        <v>Enduring Innocence</v>
      </c>
      <c r="B75" s="3" t="str" cm="1">
        <f t="array" aca="1" ref="B75" ca="1">_xlfn.ANCHORARRAY(RESUMO!C74)</f>
        <v>Carlos</v>
      </c>
      <c r="C75" s="3" t="str">
        <f t="shared" ca="1" si="4"/>
        <v/>
      </c>
      <c r="E75" t="str">
        <f ca="1"/>
        <v>Emboscada de Khalni</v>
      </c>
      <c r="F75" s="3">
        <f t="shared" ca="1" si="5"/>
        <v>1</v>
      </c>
      <c r="G75" s="3" t="str">
        <f t="shared" ca="1" si="6"/>
        <v>Tayam</v>
      </c>
      <c r="M75" t="str">
        <f ca="1"/>
        <v>Emboscada de Khalni</v>
      </c>
      <c r="N75" s="3">
        <f t="shared" ca="1" si="7"/>
        <v>1</v>
      </c>
      <c r="O75" s="3" t="str">
        <f ca="1">IFERROR(
 INDEX($T$2:$AW$2,
  MATCH(TRUE,
   CHOOSE({1;2;3;4;5;6;7;8;9;10;11;12;13;14;15;16;17;18;19;20;21;22;23;24;25;26;27;28;29;30;31;32},
    COUNTIFS($T$3:$T$201,$M75)&gt;0,
    COUNTIFS($U$3:$U$201,$M75)&gt;0,
    COUNTIFS($V$3:$V$201,$M75)&gt;0,
    COUNTIFS($W$3:$W$201,$M75)&gt;0,
    COUNTIFS($X$3:$X$201,$M75)&gt;0,
    COUNTIFS($Y$3:$Y$201,$M75)&gt;0,
    COUNTIFS($Z$3:$Z$201,$M75)&gt;0,
    COUNTIFS($AA$3:$AA$201,$M75)&gt;0,
    COUNTIFS($AB$3:$AB$201,$M75)&gt;0,
    COUNTIFS($AC$3:$AC$201,$M75)&gt;0,
    COUNTIFS($AD$3:$AD$201,$M75)&gt;0,
    COUNTIFS($AE$3:$AE$201,$M75)&gt;0,
    COUNTIFS($AF$3:$AF$201,$M75)&gt;0,
    COUNTIFS($AG$3:$AG$201,$M75)&gt;0,
    COUNTIFS($AH$3:$AH$201,$M75)&gt;0,
    COUNTIFS($AI$3:$AI$201,$M75)&gt;0,
    COUNTIFS($AJ$3:$AJ$201,$M75)&gt;0,
    COUNTIFS($AK$3:$AK$201,$M75)&gt;0,
    COUNTIFS($AL$3:$AL$201,$M75)&gt;0,
    COUNTIFS($AM$3:$AM$201,$M75)&gt;0,
    COUNTIFS($AN$3:$AN$201,$M75)&gt;0,
    COUNTIFS($AO$3:$AO$201,$M75)&gt;0,
    COUNTIFS($AP$3:$AP$201,$M75)&gt;0,
    COUNTIFS($AQ$3:$AQ$201,$M75)&gt;0,
    COUNTIFS($AR$3:$AR$201,$M75)&gt;0,
    COUNTIFS($AS$3:$AS$201,$M75)&gt;0,
    COUNTIFS($AT$3:$AT$201,$M75)&gt;0,
    COUNTIFS($AU$3:$AU$201,$M75)&gt;0,
    COUNTIFS($AV$3:$AV$201,$M75)&gt;0,
    COUNTIFS($AW$3:$AW$201,$M75)&gt;0
   ),
  0)
 ),
"")</f>
        <v>Tayam</v>
      </c>
      <c r="P75" s="3" t="str" cm="1">
        <f t="array" aca="1" ref="P75" ca="1">IFERROR(
 INDEX(
  _xlfn._xlws.FILTER($T$2:$AW$2,
   TRANSPOSE(
    CHOOSE({1;2;3;4;5;6;7;8;9;10;11;12;13;14;15;16;17;18;19;20;21;22;23;24;25;26;27;28;29;30},
     COUNTIFS($T$3:$T$201,$M75)&gt;0,
     COUNTIFS($U$3:$U$201,$M75)&gt;0,
     COUNTIFS($V$3:$V$201,$M75)&gt;0,
     COUNTIFS($W$3:$W$201,$M75)&gt;0,
     COUNTIFS($X$3:$X$201,$M75)&gt;0,
     COUNTIFS($Y$3:$Y$201,$M75)&gt;0,
     COUNTIFS($Z$3:$Z$201,$M75)&gt;0,
     COUNTIFS($AA$3:$AA$201,$M75)&gt;0,
     COUNTIFS($AB$3:$AB$201,$M75)&gt;0,
     COUNTIFS($AC$3:$AC$201,$M75)&gt;0,
     COUNTIFS($AD$3:$AD$201,$M75)&gt;0,
     COUNTIFS($AE$3:$AE$201,$M75)&gt;0,
     COUNTIFS($AF$3:$AF$201,$M75)&gt;0,
     COUNTIFS($AG$3:$AG$201,$M75)&gt;0,
     COUNTIFS($AH$3:$AH$201,$M75)&gt;0,
     COUNTIFS($AI$3:$AI$201,$M75)&gt;0,
     COUNTIFS($AJ$3:$AJ$201,$M75)&gt;0,
     COUNTIFS($AK$3:$AK$201,$M75)&gt;0,
     COUNTIFS($AL$3:$AL$201,$M75)&gt;0,
     COUNTIFS($AM$3:$AM$201,$M75)&gt;0,
     COUNTIFS($AN$3:$AN$201,$M75)&gt;0,
     COUNTIFS($AO$3:$AO$201,$M75)&gt;0,
     COUNTIFS($AP$3:$AP$201,$M75)&gt;0,
     COUNTIFS($AQ$3:$AQ$201,$M75)&gt;0,
     COUNTIFS($AR$3:$AR$201,$M75)&gt;0,
     COUNTIFS($AS$3:$AS$201,$M75)&gt;0,
     COUNTIFS($AT$3:$AT$201,$M75)&gt;0,
     COUNTIFS($AU$3:$AU$201,$M75)&gt;0,
     COUNTIFS($AV$3:$AV$201,$M75)&gt;0,
     COUNTIFS($AW$3:$AW$201,$M75)&gt;0
   )),
  ),
  2
 ),
"")</f>
        <v/>
      </c>
      <c r="Q75" s="3" t="str" cm="1">
        <f t="array" aca="1" ref="Q75" ca="1">IFERROR(
 INDEX(
  _xlfn._xlws.FILTER($T$2:$AW$2,
   TRANSPOSE(
    CHOOSE({1;2;3;4;5;6;7;8;9;10;11;12;13;14;15;16;17;18;19;20;21;22;23;24;25;26;27;28;29;30},
     COUNTIFS($T$3:$T$201,$M75)&gt;0,
     COUNTIFS($U$3:$U$201,$M75)&gt;0,
     COUNTIFS($V$3:$V$201,$M75)&gt;0,
     COUNTIFS($W$3:$W$201,$M75)&gt;0,
     COUNTIFS($X$3:$X$201,$M75)&gt;0,
     COUNTIFS($Y$3:$Y$201,$M75)&gt;0,
     COUNTIFS($Z$3:$Z$201,$M75)&gt;0,
     COUNTIFS($AA$3:$AA$201,$M75)&gt;0,
     COUNTIFS($AB$3:$AB$201,$M75)&gt;0,
     COUNTIFS($AC$3:$AC$201,$M75)&gt;0,
     COUNTIFS($AD$3:$AD$201,$M75)&gt;0,
     COUNTIFS($AE$3:$AE$201,$M75)&gt;0,
     COUNTIFS($AF$3:$AF$201,$M75)&gt;0,
     COUNTIFS($AG$3:$AG$201,$M75)&gt;0,
     COUNTIFS($AH$3:$AH$201,$M75)&gt;0,
     COUNTIFS($AI$3:$AI$201,$M75)&gt;0,
     COUNTIFS($AJ$3:$AJ$201,$M75)&gt;0,
     COUNTIFS($AK$3:$AK$201,$M75)&gt;0,
     COUNTIFS($AL$3:$AL$201,$M75)&gt;0,
     COUNTIFS($AM$3:$AM$201,$M75)&gt;0,
     COUNTIFS($AN$3:$AN$201,$M75)&gt;0,
     COUNTIFS($AO$3:$AO$201,$M75)&gt;0,
     COUNTIFS($AP$3:$AP$201,$M75)&gt;0,
     COUNTIFS($AQ$3:$AQ$201,$M75)&gt;0,
     COUNTIFS($AR$3:$AR$201,$M75)&gt;0,
     COUNTIFS($AS$3:$AS$201,$M75)&gt;0,
     COUNTIFS($AT$3:$AT$201,$M75)&gt;0,
     COUNTIFS($AU$3:$AU$201,$M75)&gt;0,
     COUNTIFS($AV$3:$AV$201,$M75)&gt;0,
     COUNTIFS($AW$3:$AW$201,$M75)&gt;0
   )),
  ),
  3
 ),
"")</f>
        <v/>
      </c>
      <c r="R75" s="3" t="str" cm="1">
        <f t="array" aca="1" ref="R75" ca="1">IFERROR(
 INDEX(
  _xlfn._xlws.FILTER($T$2:$AW$2,
   TRANSPOSE(
    CHOOSE({1;2;3;4;5;6;7;8;9;10;11;12;13;14;15;16;17;18;19;20;21;22;23;24;25;26;27;28;29;30},
     COUNTIFS($T$3:$T$201,$M75)&gt;0,
     COUNTIFS($U$3:$U$201,$M75)&gt;0,
     COUNTIFS($V$3:$V$201,$M75)&gt;0,
     COUNTIFS($W$3:$W$201,$M75)&gt;0,
     COUNTIFS($X$3:$X$201,$M75)&gt;0,
     COUNTIFS($Y$3:$Y$201,$M75)&gt;0,
     COUNTIFS($Z$3:$Z$201,$M75)&gt;0,
     COUNTIFS($AA$3:$AA$201,$M75)&gt;0,
     COUNTIFS($AB$3:$AB$201,$M75)&gt;0,
     COUNTIFS($AC$3:$AC$201,$M75)&gt;0,
     COUNTIFS($AD$3:$AD$201,$M75)&gt;0,
     COUNTIFS($AE$3:$AE$201,$M75)&gt;0,
     COUNTIFS($AF$3:$AF$201,$M75)&gt;0,
     COUNTIFS($AG$3:$AG$201,$M75)&gt;0,
     COUNTIFS($AH$3:$AH$201,$M75)&gt;0,
     COUNTIFS($AI$3:$AI$201,$M75)&gt;0,
     COUNTIFS($AJ$3:$AJ$201,$M75)&gt;0,
     COUNTIFS($AK$3:$AK$201,$M75)&gt;0,
     COUNTIFS($AL$3:$AL$201,$M75)&gt;0,
     COUNTIFS($AM$3:$AM$201,$M75)&gt;0,
     COUNTIFS($AN$3:$AN$201,$M75)&gt;0,
     COUNTIFS($AO$3:$AO$201,$M75)&gt;0,
     COUNTIFS($AP$3:$AP$201,$M75)&gt;0,
     COUNTIFS($AQ$3:$AQ$201,$M75)&gt;0,
     COUNTIFS($AR$3:$AR$201,$M75)&gt;0,
     COUNTIFS($AS$3:$AS$201,$M75)&gt;0,
     COUNTIFS($AT$3:$AT$201,$M75)&gt;0,
     COUNTIFS($AU$3:$AU$201,$M75)&gt;0,
     COUNTIFS($AV$3:$AV$201,$M75)&gt;0,
     COUNTIFS($AW$3:$AW$201,$M75)&gt;0
   )),
  ),
  4
 ),
"")</f>
        <v/>
      </c>
      <c r="BR75" t="str">
        <f ca="1"/>
        <v>Thrilling Discovery</v>
      </c>
      <c r="CA75" t="str">
        <f ca="1"/>
        <v>Midnight Guard</v>
      </c>
      <c r="CF75" t="str">
        <f ca="1"/>
        <v>Forno da Bruxa</v>
      </c>
      <c r="CG75" t="str">
        <f ca="1"/>
        <v>Storm's Wrath</v>
      </c>
      <c r="CI75" t="str">
        <f ca="1"/>
        <v>Emboscada de Khalni</v>
      </c>
    </row>
    <row r="76" spans="1:87" x14ac:dyDescent="0.25">
      <c r="A76" t="str">
        <f ca="1"/>
        <v>Entomb</v>
      </c>
      <c r="B76" s="3" t="str" cm="1">
        <f t="array" aca="1" ref="B76" ca="1">_xlfn.ANCHORARRAY(RESUMO!C75)</f>
        <v>Gritrog</v>
      </c>
      <c r="C76" s="3" t="str">
        <f t="shared" ca="1" si="4"/>
        <v/>
      </c>
      <c r="E76" t="str">
        <f ca="1"/>
        <v>Encontro de Mentes</v>
      </c>
      <c r="F76" s="3">
        <f t="shared" ca="1" si="5"/>
        <v>1</v>
      </c>
      <c r="G76" s="3" t="str">
        <f t="shared" ca="1" si="6"/>
        <v>Kumena</v>
      </c>
      <c r="M76" t="str">
        <f ca="1"/>
        <v>Encontro de Mentes</v>
      </c>
      <c r="N76" s="3">
        <f t="shared" ca="1" si="7"/>
        <v>1</v>
      </c>
      <c r="O76" s="3" t="str">
        <f ca="1">IFERROR(
 INDEX($T$2:$AW$2,
  MATCH(TRUE,
   CHOOSE({1;2;3;4;5;6;7;8;9;10;11;12;13;14;15;16;17;18;19;20;21;22;23;24;25;26;27;28;29;30;31;32},
    COUNTIFS($T$3:$T$201,$M76)&gt;0,
    COUNTIFS($U$3:$U$201,$M76)&gt;0,
    COUNTIFS($V$3:$V$201,$M76)&gt;0,
    COUNTIFS($W$3:$W$201,$M76)&gt;0,
    COUNTIFS($X$3:$X$201,$M76)&gt;0,
    COUNTIFS($Y$3:$Y$201,$M76)&gt;0,
    COUNTIFS($Z$3:$Z$201,$M76)&gt;0,
    COUNTIFS($AA$3:$AA$201,$M76)&gt;0,
    COUNTIFS($AB$3:$AB$201,$M76)&gt;0,
    COUNTIFS($AC$3:$AC$201,$M76)&gt;0,
    COUNTIFS($AD$3:$AD$201,$M76)&gt;0,
    COUNTIFS($AE$3:$AE$201,$M76)&gt;0,
    COUNTIFS($AF$3:$AF$201,$M76)&gt;0,
    COUNTIFS($AG$3:$AG$201,$M76)&gt;0,
    COUNTIFS($AH$3:$AH$201,$M76)&gt;0,
    COUNTIFS($AI$3:$AI$201,$M76)&gt;0,
    COUNTIFS($AJ$3:$AJ$201,$M76)&gt;0,
    COUNTIFS($AK$3:$AK$201,$M76)&gt;0,
    COUNTIFS($AL$3:$AL$201,$M76)&gt;0,
    COUNTIFS($AM$3:$AM$201,$M76)&gt;0,
    COUNTIFS($AN$3:$AN$201,$M76)&gt;0,
    COUNTIFS($AO$3:$AO$201,$M76)&gt;0,
    COUNTIFS($AP$3:$AP$201,$M76)&gt;0,
    COUNTIFS($AQ$3:$AQ$201,$M76)&gt;0,
    COUNTIFS($AR$3:$AR$201,$M76)&gt;0,
    COUNTIFS($AS$3:$AS$201,$M76)&gt;0,
    COUNTIFS($AT$3:$AT$201,$M76)&gt;0,
    COUNTIFS($AU$3:$AU$201,$M76)&gt;0,
    COUNTIFS($AV$3:$AV$201,$M76)&gt;0,
    COUNTIFS($AW$3:$AW$201,$M76)&gt;0
   ),
  0)
 ),
"")</f>
        <v>Kumena</v>
      </c>
      <c r="P76" s="3" t="str" cm="1">
        <f t="array" aca="1" ref="P76" ca="1">IFERROR(
 INDEX(
  _xlfn._xlws.FILTER($T$2:$AW$2,
   TRANSPOSE(
    CHOOSE({1;2;3;4;5;6;7;8;9;10;11;12;13;14;15;16;17;18;19;20;21;22;23;24;25;26;27;28;29;30},
     COUNTIFS($T$3:$T$201,$M76)&gt;0,
     COUNTIFS($U$3:$U$201,$M76)&gt;0,
     COUNTIFS($V$3:$V$201,$M76)&gt;0,
     COUNTIFS($W$3:$W$201,$M76)&gt;0,
     COUNTIFS($X$3:$X$201,$M76)&gt;0,
     COUNTIFS($Y$3:$Y$201,$M76)&gt;0,
     COUNTIFS($Z$3:$Z$201,$M76)&gt;0,
     COUNTIFS($AA$3:$AA$201,$M76)&gt;0,
     COUNTIFS($AB$3:$AB$201,$M76)&gt;0,
     COUNTIFS($AC$3:$AC$201,$M76)&gt;0,
     COUNTIFS($AD$3:$AD$201,$M76)&gt;0,
     COUNTIFS($AE$3:$AE$201,$M76)&gt;0,
     COUNTIFS($AF$3:$AF$201,$M76)&gt;0,
     COUNTIFS($AG$3:$AG$201,$M76)&gt;0,
     COUNTIFS($AH$3:$AH$201,$M76)&gt;0,
     COUNTIFS($AI$3:$AI$201,$M76)&gt;0,
     COUNTIFS($AJ$3:$AJ$201,$M76)&gt;0,
     COUNTIFS($AK$3:$AK$201,$M76)&gt;0,
     COUNTIFS($AL$3:$AL$201,$M76)&gt;0,
     COUNTIFS($AM$3:$AM$201,$M76)&gt;0,
     COUNTIFS($AN$3:$AN$201,$M76)&gt;0,
     COUNTIFS($AO$3:$AO$201,$M76)&gt;0,
     COUNTIFS($AP$3:$AP$201,$M76)&gt;0,
     COUNTIFS($AQ$3:$AQ$201,$M76)&gt;0,
     COUNTIFS($AR$3:$AR$201,$M76)&gt;0,
     COUNTIFS($AS$3:$AS$201,$M76)&gt;0,
     COUNTIFS($AT$3:$AT$201,$M76)&gt;0,
     COUNTIFS($AU$3:$AU$201,$M76)&gt;0,
     COUNTIFS($AV$3:$AV$201,$M76)&gt;0,
     COUNTIFS($AW$3:$AW$201,$M76)&gt;0
   )),
  ),
  2
 ),
"")</f>
        <v/>
      </c>
      <c r="Q76" s="3" t="str" cm="1">
        <f t="array" aca="1" ref="Q76" ca="1">IFERROR(
 INDEX(
  _xlfn._xlws.FILTER($T$2:$AW$2,
   TRANSPOSE(
    CHOOSE({1;2;3;4;5;6;7;8;9;10;11;12;13;14;15;16;17;18;19;20;21;22;23;24;25;26;27;28;29;30},
     COUNTIFS($T$3:$T$201,$M76)&gt;0,
     COUNTIFS($U$3:$U$201,$M76)&gt;0,
     COUNTIFS($V$3:$V$201,$M76)&gt;0,
     COUNTIFS($W$3:$W$201,$M76)&gt;0,
     COUNTIFS($X$3:$X$201,$M76)&gt;0,
     COUNTIFS($Y$3:$Y$201,$M76)&gt;0,
     COUNTIFS($Z$3:$Z$201,$M76)&gt;0,
     COUNTIFS($AA$3:$AA$201,$M76)&gt;0,
     COUNTIFS($AB$3:$AB$201,$M76)&gt;0,
     COUNTIFS($AC$3:$AC$201,$M76)&gt;0,
     COUNTIFS($AD$3:$AD$201,$M76)&gt;0,
     COUNTIFS($AE$3:$AE$201,$M76)&gt;0,
     COUNTIFS($AF$3:$AF$201,$M76)&gt;0,
     COUNTIFS($AG$3:$AG$201,$M76)&gt;0,
     COUNTIFS($AH$3:$AH$201,$M76)&gt;0,
     COUNTIFS($AI$3:$AI$201,$M76)&gt;0,
     COUNTIFS($AJ$3:$AJ$201,$M76)&gt;0,
     COUNTIFS($AK$3:$AK$201,$M76)&gt;0,
     COUNTIFS($AL$3:$AL$201,$M76)&gt;0,
     COUNTIFS($AM$3:$AM$201,$M76)&gt;0,
     COUNTIFS($AN$3:$AN$201,$M76)&gt;0,
     COUNTIFS($AO$3:$AO$201,$M76)&gt;0,
     COUNTIFS($AP$3:$AP$201,$M76)&gt;0,
     COUNTIFS($AQ$3:$AQ$201,$M76)&gt;0,
     COUNTIFS($AR$3:$AR$201,$M76)&gt;0,
     COUNTIFS($AS$3:$AS$201,$M76)&gt;0,
     COUNTIFS($AT$3:$AT$201,$M76)&gt;0,
     COUNTIFS($AU$3:$AU$201,$M76)&gt;0,
     COUNTIFS($AV$3:$AV$201,$M76)&gt;0,
     COUNTIFS($AW$3:$AW$201,$M76)&gt;0
   )),
  ),
  3
 ),
"")</f>
        <v/>
      </c>
      <c r="R76" s="3" t="str" cm="1">
        <f t="array" aca="1" ref="R76" ca="1">IFERROR(
 INDEX(
  _xlfn._xlws.FILTER($T$2:$AW$2,
   TRANSPOSE(
    CHOOSE({1;2;3;4;5;6;7;8;9;10;11;12;13;14;15;16;17;18;19;20;21;22;23;24;25;26;27;28;29;30},
     COUNTIFS($T$3:$T$201,$M76)&gt;0,
     COUNTIFS($U$3:$U$201,$M76)&gt;0,
     COUNTIFS($V$3:$V$201,$M76)&gt;0,
     COUNTIFS($W$3:$W$201,$M76)&gt;0,
     COUNTIFS($X$3:$X$201,$M76)&gt;0,
     COUNTIFS($Y$3:$Y$201,$M76)&gt;0,
     COUNTIFS($Z$3:$Z$201,$M76)&gt;0,
     COUNTIFS($AA$3:$AA$201,$M76)&gt;0,
     COUNTIFS($AB$3:$AB$201,$M76)&gt;0,
     COUNTIFS($AC$3:$AC$201,$M76)&gt;0,
     COUNTIFS($AD$3:$AD$201,$M76)&gt;0,
     COUNTIFS($AE$3:$AE$201,$M76)&gt;0,
     COUNTIFS($AF$3:$AF$201,$M76)&gt;0,
     COUNTIFS($AG$3:$AG$201,$M76)&gt;0,
     COUNTIFS($AH$3:$AH$201,$M76)&gt;0,
     COUNTIFS($AI$3:$AI$201,$M76)&gt;0,
     COUNTIFS($AJ$3:$AJ$201,$M76)&gt;0,
     COUNTIFS($AK$3:$AK$201,$M76)&gt;0,
     COUNTIFS($AL$3:$AL$201,$M76)&gt;0,
     COUNTIFS($AM$3:$AM$201,$M76)&gt;0,
     COUNTIFS($AN$3:$AN$201,$M76)&gt;0,
     COUNTIFS($AO$3:$AO$201,$M76)&gt;0,
     COUNTIFS($AP$3:$AP$201,$M76)&gt;0,
     COUNTIFS($AQ$3:$AQ$201,$M76)&gt;0,
     COUNTIFS($AR$3:$AR$201,$M76)&gt;0,
     COUNTIFS($AS$3:$AS$201,$M76)&gt;0,
     COUNTIFS($AT$3:$AT$201,$M76)&gt;0,
     COUNTIFS($AU$3:$AU$201,$M76)&gt;0,
     COUNTIFS($AV$3:$AV$201,$M76)&gt;0,
     COUNTIFS($AW$3:$AW$201,$M76)&gt;0
   )),
  ),
  4
 ),
"")</f>
        <v/>
      </c>
      <c r="BR76" t="str">
        <f ca="1"/>
        <v>Titanic Ultimatum</v>
      </c>
      <c r="CA76" t="str">
        <f ca="1"/>
        <v>Mind Stone</v>
      </c>
      <c r="CF76" t="str">
        <f ca="1"/>
        <v>Fraying Sanity</v>
      </c>
      <c r="CG76" t="str">
        <f ca="1"/>
        <v>Swamp</v>
      </c>
      <c r="CI76" t="str">
        <f ca="1"/>
        <v>Encontro de Mentes</v>
      </c>
    </row>
    <row r="77" spans="1:87" x14ac:dyDescent="0.25">
      <c r="A77" t="str">
        <f ca="1"/>
        <v>Espada da Riqueza e do Poder</v>
      </c>
      <c r="B77" s="3" t="str" cm="1">
        <f t="array" aca="1" ref="B77" ca="1">_xlfn.ANCHORARRAY(RESUMO!C76)</f>
        <v>Akiri</v>
      </c>
      <c r="C77" s="3" t="str">
        <f t="shared" ca="1" si="4"/>
        <v/>
      </c>
      <c r="E77" t="str">
        <f ca="1"/>
        <v xml:space="preserve">Engenheira do Sítio de Escavação </v>
      </c>
      <c r="F77" s="3">
        <f t="shared" ca="1" si="5"/>
        <v>1</v>
      </c>
      <c r="G77" s="3" t="str">
        <f t="shared" ca="1" si="6"/>
        <v>Akiri</v>
      </c>
      <c r="M77" t="str">
        <f ca="1"/>
        <v xml:space="preserve">Engenheira do Sítio de Escavação </v>
      </c>
      <c r="N77" s="3">
        <f t="shared" ca="1" si="7"/>
        <v>1</v>
      </c>
      <c r="O77" s="3" t="str">
        <f ca="1">IFERROR(
 INDEX($T$2:$AW$2,
  MATCH(TRUE,
   CHOOSE({1;2;3;4;5;6;7;8;9;10;11;12;13;14;15;16;17;18;19;20;21;22;23;24;25;26;27;28;29;30;31;32},
    COUNTIFS($T$3:$T$201,$M77)&gt;0,
    COUNTIFS($U$3:$U$201,$M77)&gt;0,
    COUNTIFS($V$3:$V$201,$M77)&gt;0,
    COUNTIFS($W$3:$W$201,$M77)&gt;0,
    COUNTIFS($X$3:$X$201,$M77)&gt;0,
    COUNTIFS($Y$3:$Y$201,$M77)&gt;0,
    COUNTIFS($Z$3:$Z$201,$M77)&gt;0,
    COUNTIFS($AA$3:$AA$201,$M77)&gt;0,
    COUNTIFS($AB$3:$AB$201,$M77)&gt;0,
    COUNTIFS($AC$3:$AC$201,$M77)&gt;0,
    COUNTIFS($AD$3:$AD$201,$M77)&gt;0,
    COUNTIFS($AE$3:$AE$201,$M77)&gt;0,
    COUNTIFS($AF$3:$AF$201,$M77)&gt;0,
    COUNTIFS($AG$3:$AG$201,$M77)&gt;0,
    COUNTIFS($AH$3:$AH$201,$M77)&gt;0,
    COUNTIFS($AI$3:$AI$201,$M77)&gt;0,
    COUNTIFS($AJ$3:$AJ$201,$M77)&gt;0,
    COUNTIFS($AK$3:$AK$201,$M77)&gt;0,
    COUNTIFS($AL$3:$AL$201,$M77)&gt;0,
    COUNTIFS($AM$3:$AM$201,$M77)&gt;0,
    COUNTIFS($AN$3:$AN$201,$M77)&gt;0,
    COUNTIFS($AO$3:$AO$201,$M77)&gt;0,
    COUNTIFS($AP$3:$AP$201,$M77)&gt;0,
    COUNTIFS($AQ$3:$AQ$201,$M77)&gt;0,
    COUNTIFS($AR$3:$AR$201,$M77)&gt;0,
    COUNTIFS($AS$3:$AS$201,$M77)&gt;0,
    COUNTIFS($AT$3:$AT$201,$M77)&gt;0,
    COUNTIFS($AU$3:$AU$201,$M77)&gt;0,
    COUNTIFS($AV$3:$AV$201,$M77)&gt;0,
    COUNTIFS($AW$3:$AW$201,$M77)&gt;0
   ),
  0)
 ),
"")</f>
        <v>Akiri</v>
      </c>
      <c r="P77" s="3" t="str" cm="1">
        <f t="array" aca="1" ref="P77" ca="1">IFERROR(
 INDEX(
  _xlfn._xlws.FILTER($T$2:$AW$2,
   TRANSPOSE(
    CHOOSE({1;2;3;4;5;6;7;8;9;10;11;12;13;14;15;16;17;18;19;20;21;22;23;24;25;26;27;28;29;30},
     COUNTIFS($T$3:$T$201,$M77)&gt;0,
     COUNTIFS($U$3:$U$201,$M77)&gt;0,
     COUNTIFS($V$3:$V$201,$M77)&gt;0,
     COUNTIFS($W$3:$W$201,$M77)&gt;0,
     COUNTIFS($X$3:$X$201,$M77)&gt;0,
     COUNTIFS($Y$3:$Y$201,$M77)&gt;0,
     COUNTIFS($Z$3:$Z$201,$M77)&gt;0,
     COUNTIFS($AA$3:$AA$201,$M77)&gt;0,
     COUNTIFS($AB$3:$AB$201,$M77)&gt;0,
     COUNTIFS($AC$3:$AC$201,$M77)&gt;0,
     COUNTIFS($AD$3:$AD$201,$M77)&gt;0,
     COUNTIFS($AE$3:$AE$201,$M77)&gt;0,
     COUNTIFS($AF$3:$AF$201,$M77)&gt;0,
     COUNTIFS($AG$3:$AG$201,$M77)&gt;0,
     COUNTIFS($AH$3:$AH$201,$M77)&gt;0,
     COUNTIFS($AI$3:$AI$201,$M77)&gt;0,
     COUNTIFS($AJ$3:$AJ$201,$M77)&gt;0,
     COUNTIFS($AK$3:$AK$201,$M77)&gt;0,
     COUNTIFS($AL$3:$AL$201,$M77)&gt;0,
     COUNTIFS($AM$3:$AM$201,$M77)&gt;0,
     COUNTIFS($AN$3:$AN$201,$M77)&gt;0,
     COUNTIFS($AO$3:$AO$201,$M77)&gt;0,
     COUNTIFS($AP$3:$AP$201,$M77)&gt;0,
     COUNTIFS($AQ$3:$AQ$201,$M77)&gt;0,
     COUNTIFS($AR$3:$AR$201,$M77)&gt;0,
     COUNTIFS($AS$3:$AS$201,$M77)&gt;0,
     COUNTIFS($AT$3:$AT$201,$M77)&gt;0,
     COUNTIFS($AU$3:$AU$201,$M77)&gt;0,
     COUNTIFS($AV$3:$AV$201,$M77)&gt;0,
     COUNTIFS($AW$3:$AW$201,$M77)&gt;0
   )),
  ),
  2
 ),
"")</f>
        <v/>
      </c>
      <c r="Q77" s="3" t="str" cm="1">
        <f t="array" aca="1" ref="Q77" ca="1">IFERROR(
 INDEX(
  _xlfn._xlws.FILTER($T$2:$AW$2,
   TRANSPOSE(
    CHOOSE({1;2;3;4;5;6;7;8;9;10;11;12;13;14;15;16;17;18;19;20;21;22;23;24;25;26;27;28;29;30},
     COUNTIFS($T$3:$T$201,$M77)&gt;0,
     COUNTIFS($U$3:$U$201,$M77)&gt;0,
     COUNTIFS($V$3:$V$201,$M77)&gt;0,
     COUNTIFS($W$3:$W$201,$M77)&gt;0,
     COUNTIFS($X$3:$X$201,$M77)&gt;0,
     COUNTIFS($Y$3:$Y$201,$M77)&gt;0,
     COUNTIFS($Z$3:$Z$201,$M77)&gt;0,
     COUNTIFS($AA$3:$AA$201,$M77)&gt;0,
     COUNTIFS($AB$3:$AB$201,$M77)&gt;0,
     COUNTIFS($AC$3:$AC$201,$M77)&gt;0,
     COUNTIFS($AD$3:$AD$201,$M77)&gt;0,
     COUNTIFS($AE$3:$AE$201,$M77)&gt;0,
     COUNTIFS($AF$3:$AF$201,$M77)&gt;0,
     COUNTIFS($AG$3:$AG$201,$M77)&gt;0,
     COUNTIFS($AH$3:$AH$201,$M77)&gt;0,
     COUNTIFS($AI$3:$AI$201,$M77)&gt;0,
     COUNTIFS($AJ$3:$AJ$201,$M77)&gt;0,
     COUNTIFS($AK$3:$AK$201,$M77)&gt;0,
     COUNTIFS($AL$3:$AL$201,$M77)&gt;0,
     COUNTIFS($AM$3:$AM$201,$M77)&gt;0,
     COUNTIFS($AN$3:$AN$201,$M77)&gt;0,
     COUNTIFS($AO$3:$AO$201,$M77)&gt;0,
     COUNTIFS($AP$3:$AP$201,$M77)&gt;0,
     COUNTIFS($AQ$3:$AQ$201,$M77)&gt;0,
     COUNTIFS($AR$3:$AR$201,$M77)&gt;0,
     COUNTIFS($AS$3:$AS$201,$M77)&gt;0,
     COUNTIFS($AT$3:$AT$201,$M77)&gt;0,
     COUNTIFS($AU$3:$AU$201,$M77)&gt;0,
     COUNTIFS($AV$3:$AV$201,$M77)&gt;0,
     COUNTIFS($AW$3:$AW$201,$M77)&gt;0
   )),
  ),
  3
 ),
"")</f>
        <v/>
      </c>
      <c r="R77" s="3" t="str" cm="1">
        <f t="array" aca="1" ref="R77" ca="1">IFERROR(
 INDEX(
  _xlfn._xlws.FILTER($T$2:$AW$2,
   TRANSPOSE(
    CHOOSE({1;2;3;4;5;6;7;8;9;10;11;12;13;14;15;16;17;18;19;20;21;22;23;24;25;26;27;28;29;30},
     COUNTIFS($T$3:$T$201,$M77)&gt;0,
     COUNTIFS($U$3:$U$201,$M77)&gt;0,
     COUNTIFS($V$3:$V$201,$M77)&gt;0,
     COUNTIFS($W$3:$W$201,$M77)&gt;0,
     COUNTIFS($X$3:$X$201,$M77)&gt;0,
     COUNTIFS($Y$3:$Y$201,$M77)&gt;0,
     COUNTIFS($Z$3:$Z$201,$M77)&gt;0,
     COUNTIFS($AA$3:$AA$201,$M77)&gt;0,
     COUNTIFS($AB$3:$AB$201,$M77)&gt;0,
     COUNTIFS($AC$3:$AC$201,$M77)&gt;0,
     COUNTIFS($AD$3:$AD$201,$M77)&gt;0,
     COUNTIFS($AE$3:$AE$201,$M77)&gt;0,
     COUNTIFS($AF$3:$AF$201,$M77)&gt;0,
     COUNTIFS($AG$3:$AG$201,$M77)&gt;0,
     COUNTIFS($AH$3:$AH$201,$M77)&gt;0,
     COUNTIFS($AI$3:$AI$201,$M77)&gt;0,
     COUNTIFS($AJ$3:$AJ$201,$M77)&gt;0,
     COUNTIFS($AK$3:$AK$201,$M77)&gt;0,
     COUNTIFS($AL$3:$AL$201,$M77)&gt;0,
     COUNTIFS($AM$3:$AM$201,$M77)&gt;0,
     COUNTIFS($AN$3:$AN$201,$M77)&gt;0,
     COUNTIFS($AO$3:$AO$201,$M77)&gt;0,
     COUNTIFS($AP$3:$AP$201,$M77)&gt;0,
     COUNTIFS($AQ$3:$AQ$201,$M77)&gt;0,
     COUNTIFS($AR$3:$AR$201,$M77)&gt;0,
     COUNTIFS($AS$3:$AS$201,$M77)&gt;0,
     COUNTIFS($AT$3:$AT$201,$M77)&gt;0,
     COUNTIFS($AU$3:$AU$201,$M77)&gt;0,
     COUNTIFS($AV$3:$AV$201,$M77)&gt;0,
     COUNTIFS($AW$3:$AW$201,$M77)&gt;0
   )),
  ),
  4
 ),
"")</f>
        <v/>
      </c>
      <c r="BR77" t="str">
        <f ca="1"/>
        <v>Tought Vessel</v>
      </c>
      <c r="CA77" t="str">
        <f ca="1"/>
        <v>Morbid Oportunist</v>
      </c>
      <c r="CF77" t="str">
        <f ca="1"/>
        <v>Fumiko, the Lowblood</v>
      </c>
      <c r="CG77" t="str">
        <f ca="1"/>
        <v>Terraço do Condado</v>
      </c>
      <c r="CI77" t="str">
        <f ca="1"/>
        <v xml:space="preserve">Engenheira do Sítio de Escavação </v>
      </c>
    </row>
    <row r="78" spans="1:87" x14ac:dyDescent="0.25">
      <c r="A78" t="str">
        <f ca="1"/>
        <v>Espada de Banquete e Fome</v>
      </c>
      <c r="B78" s="3" t="str" cm="1">
        <f t="array" aca="1" ref="B78" ca="1">_xlfn.ANCHORARRAY(RESUMO!C77)</f>
        <v>Akiri</v>
      </c>
      <c r="C78" s="3" t="str">
        <f t="shared" ca="1" si="4"/>
        <v/>
      </c>
      <c r="E78" t="str">
        <f ca="1"/>
        <v>Escória Fundida</v>
      </c>
      <c r="F78" s="3">
        <f t="shared" ca="1" si="5"/>
        <v>1</v>
      </c>
      <c r="G78" s="3" t="str">
        <f t="shared" ca="1" si="6"/>
        <v>Rani</v>
      </c>
      <c r="M78" t="str">
        <f ca="1"/>
        <v>Escória Fundida</v>
      </c>
      <c r="N78" s="3">
        <f t="shared" ca="1" si="7"/>
        <v>1</v>
      </c>
      <c r="O78" s="3" t="str">
        <f ca="1">IFERROR(
 INDEX($T$2:$AW$2,
  MATCH(TRUE,
   CHOOSE({1;2;3;4;5;6;7;8;9;10;11;12;13;14;15;16;17;18;19;20;21;22;23;24;25;26;27;28;29;30;31;32},
    COUNTIFS($T$3:$T$201,$M78)&gt;0,
    COUNTIFS($U$3:$U$201,$M78)&gt;0,
    COUNTIFS($V$3:$V$201,$M78)&gt;0,
    COUNTIFS($W$3:$W$201,$M78)&gt;0,
    COUNTIFS($X$3:$X$201,$M78)&gt;0,
    COUNTIFS($Y$3:$Y$201,$M78)&gt;0,
    COUNTIFS($Z$3:$Z$201,$M78)&gt;0,
    COUNTIFS($AA$3:$AA$201,$M78)&gt;0,
    COUNTIFS($AB$3:$AB$201,$M78)&gt;0,
    COUNTIFS($AC$3:$AC$201,$M78)&gt;0,
    COUNTIFS($AD$3:$AD$201,$M78)&gt;0,
    COUNTIFS($AE$3:$AE$201,$M78)&gt;0,
    COUNTIFS($AF$3:$AF$201,$M78)&gt;0,
    COUNTIFS($AG$3:$AG$201,$M78)&gt;0,
    COUNTIFS($AH$3:$AH$201,$M78)&gt;0,
    COUNTIFS($AI$3:$AI$201,$M78)&gt;0,
    COUNTIFS($AJ$3:$AJ$201,$M78)&gt;0,
    COUNTIFS($AK$3:$AK$201,$M78)&gt;0,
    COUNTIFS($AL$3:$AL$201,$M78)&gt;0,
    COUNTIFS($AM$3:$AM$201,$M78)&gt;0,
    COUNTIFS($AN$3:$AN$201,$M78)&gt;0,
    COUNTIFS($AO$3:$AO$201,$M78)&gt;0,
    COUNTIFS($AP$3:$AP$201,$M78)&gt;0,
    COUNTIFS($AQ$3:$AQ$201,$M78)&gt;0,
    COUNTIFS($AR$3:$AR$201,$M78)&gt;0,
    COUNTIFS($AS$3:$AS$201,$M78)&gt;0,
    COUNTIFS($AT$3:$AT$201,$M78)&gt;0,
    COUNTIFS($AU$3:$AU$201,$M78)&gt;0,
    COUNTIFS($AV$3:$AV$201,$M78)&gt;0,
    COUNTIFS($AW$3:$AW$201,$M78)&gt;0
   ),
  0)
 ),
"")</f>
        <v>Rani</v>
      </c>
      <c r="P78" s="3" t="str" cm="1">
        <f t="array" aca="1" ref="P78" ca="1">IFERROR(
 INDEX(
  _xlfn._xlws.FILTER($T$2:$AW$2,
   TRANSPOSE(
    CHOOSE({1;2;3;4;5;6;7;8;9;10;11;12;13;14;15;16;17;18;19;20;21;22;23;24;25;26;27;28;29;30},
     COUNTIFS($T$3:$T$201,$M78)&gt;0,
     COUNTIFS($U$3:$U$201,$M78)&gt;0,
     COUNTIFS($V$3:$V$201,$M78)&gt;0,
     COUNTIFS($W$3:$W$201,$M78)&gt;0,
     COUNTIFS($X$3:$X$201,$M78)&gt;0,
     COUNTIFS($Y$3:$Y$201,$M78)&gt;0,
     COUNTIFS($Z$3:$Z$201,$M78)&gt;0,
     COUNTIFS($AA$3:$AA$201,$M78)&gt;0,
     COUNTIFS($AB$3:$AB$201,$M78)&gt;0,
     COUNTIFS($AC$3:$AC$201,$M78)&gt;0,
     COUNTIFS($AD$3:$AD$201,$M78)&gt;0,
     COUNTIFS($AE$3:$AE$201,$M78)&gt;0,
     COUNTIFS($AF$3:$AF$201,$M78)&gt;0,
     COUNTIFS($AG$3:$AG$201,$M78)&gt;0,
     COUNTIFS($AH$3:$AH$201,$M78)&gt;0,
     COUNTIFS($AI$3:$AI$201,$M78)&gt;0,
     COUNTIFS($AJ$3:$AJ$201,$M78)&gt;0,
     COUNTIFS($AK$3:$AK$201,$M78)&gt;0,
     COUNTIFS($AL$3:$AL$201,$M78)&gt;0,
     COUNTIFS($AM$3:$AM$201,$M78)&gt;0,
     COUNTIFS($AN$3:$AN$201,$M78)&gt;0,
     COUNTIFS($AO$3:$AO$201,$M78)&gt;0,
     COUNTIFS($AP$3:$AP$201,$M78)&gt;0,
     COUNTIFS($AQ$3:$AQ$201,$M78)&gt;0,
     COUNTIFS($AR$3:$AR$201,$M78)&gt;0,
     COUNTIFS($AS$3:$AS$201,$M78)&gt;0,
     COUNTIFS($AT$3:$AT$201,$M78)&gt;0,
     COUNTIFS($AU$3:$AU$201,$M78)&gt;0,
     COUNTIFS($AV$3:$AV$201,$M78)&gt;0,
     COUNTIFS($AW$3:$AW$201,$M78)&gt;0
   )),
  ),
  2
 ),
"")</f>
        <v/>
      </c>
      <c r="Q78" s="3" t="str" cm="1">
        <f t="array" aca="1" ref="Q78" ca="1">IFERROR(
 INDEX(
  _xlfn._xlws.FILTER($T$2:$AW$2,
   TRANSPOSE(
    CHOOSE({1;2;3;4;5;6;7;8;9;10;11;12;13;14;15;16;17;18;19;20;21;22;23;24;25;26;27;28;29;30},
     COUNTIFS($T$3:$T$201,$M78)&gt;0,
     COUNTIFS($U$3:$U$201,$M78)&gt;0,
     COUNTIFS($V$3:$V$201,$M78)&gt;0,
     COUNTIFS($W$3:$W$201,$M78)&gt;0,
     COUNTIFS($X$3:$X$201,$M78)&gt;0,
     COUNTIFS($Y$3:$Y$201,$M78)&gt;0,
     COUNTIFS($Z$3:$Z$201,$M78)&gt;0,
     COUNTIFS($AA$3:$AA$201,$M78)&gt;0,
     COUNTIFS($AB$3:$AB$201,$M78)&gt;0,
     COUNTIFS($AC$3:$AC$201,$M78)&gt;0,
     COUNTIFS($AD$3:$AD$201,$M78)&gt;0,
     COUNTIFS($AE$3:$AE$201,$M78)&gt;0,
     COUNTIFS($AF$3:$AF$201,$M78)&gt;0,
     COUNTIFS($AG$3:$AG$201,$M78)&gt;0,
     COUNTIFS($AH$3:$AH$201,$M78)&gt;0,
     COUNTIFS($AI$3:$AI$201,$M78)&gt;0,
     COUNTIFS($AJ$3:$AJ$201,$M78)&gt;0,
     COUNTIFS($AK$3:$AK$201,$M78)&gt;0,
     COUNTIFS($AL$3:$AL$201,$M78)&gt;0,
     COUNTIFS($AM$3:$AM$201,$M78)&gt;0,
     COUNTIFS($AN$3:$AN$201,$M78)&gt;0,
     COUNTIFS($AO$3:$AO$201,$M78)&gt;0,
     COUNTIFS($AP$3:$AP$201,$M78)&gt;0,
     COUNTIFS($AQ$3:$AQ$201,$M78)&gt;0,
     COUNTIFS($AR$3:$AR$201,$M78)&gt;0,
     COUNTIFS($AS$3:$AS$201,$M78)&gt;0,
     COUNTIFS($AT$3:$AT$201,$M78)&gt;0,
     COUNTIFS($AU$3:$AU$201,$M78)&gt;0,
     COUNTIFS($AV$3:$AV$201,$M78)&gt;0,
     COUNTIFS($AW$3:$AW$201,$M78)&gt;0
   )),
  ),
  3
 ),
"")</f>
        <v/>
      </c>
      <c r="R78" s="3" t="str" cm="1">
        <f t="array" aca="1" ref="R78" ca="1">IFERROR(
 INDEX(
  _xlfn._xlws.FILTER($T$2:$AW$2,
   TRANSPOSE(
    CHOOSE({1;2;3;4;5;6;7;8;9;10;11;12;13;14;15;16;17;18;19;20;21;22;23;24;25;26;27;28;29;30},
     COUNTIFS($T$3:$T$201,$M78)&gt;0,
     COUNTIFS($U$3:$U$201,$M78)&gt;0,
     COUNTIFS($V$3:$V$201,$M78)&gt;0,
     COUNTIFS($W$3:$W$201,$M78)&gt;0,
     COUNTIFS($X$3:$X$201,$M78)&gt;0,
     COUNTIFS($Y$3:$Y$201,$M78)&gt;0,
     COUNTIFS($Z$3:$Z$201,$M78)&gt;0,
     COUNTIFS($AA$3:$AA$201,$M78)&gt;0,
     COUNTIFS($AB$3:$AB$201,$M78)&gt;0,
     COUNTIFS($AC$3:$AC$201,$M78)&gt;0,
     COUNTIFS($AD$3:$AD$201,$M78)&gt;0,
     COUNTIFS($AE$3:$AE$201,$M78)&gt;0,
     COUNTIFS($AF$3:$AF$201,$M78)&gt;0,
     COUNTIFS($AG$3:$AG$201,$M78)&gt;0,
     COUNTIFS($AH$3:$AH$201,$M78)&gt;0,
     COUNTIFS($AI$3:$AI$201,$M78)&gt;0,
     COUNTIFS($AJ$3:$AJ$201,$M78)&gt;0,
     COUNTIFS($AK$3:$AK$201,$M78)&gt;0,
     COUNTIFS($AL$3:$AL$201,$M78)&gt;0,
     COUNTIFS($AM$3:$AM$201,$M78)&gt;0,
     COUNTIFS($AN$3:$AN$201,$M78)&gt;0,
     COUNTIFS($AO$3:$AO$201,$M78)&gt;0,
     COUNTIFS($AP$3:$AP$201,$M78)&gt;0,
     COUNTIFS($AQ$3:$AQ$201,$M78)&gt;0,
     COUNTIFS($AR$3:$AR$201,$M78)&gt;0,
     COUNTIFS($AS$3:$AS$201,$M78)&gt;0,
     COUNTIFS($AT$3:$AT$201,$M78)&gt;0,
     COUNTIFS($AU$3:$AU$201,$M78)&gt;0,
     COUNTIFS($AV$3:$AV$201,$M78)&gt;0,
     COUNTIFS($AW$3:$AW$201,$M78)&gt;0
   )),
  ),
  4
 ),
"")</f>
        <v/>
      </c>
      <c r="BR78" t="str">
        <f ca="1"/>
        <v>Traumatize</v>
      </c>
      <c r="CA78" t="str">
        <f ca="1"/>
        <v>Mountain</v>
      </c>
      <c r="CF78" t="str">
        <f ca="1"/>
        <v>Garra Krosana</v>
      </c>
      <c r="CG78" t="str">
        <f ca="1"/>
        <v>Terras em Desenvolvimento</v>
      </c>
      <c r="CI78" t="str">
        <f ca="1"/>
        <v>Escória Fundida</v>
      </c>
    </row>
    <row r="79" spans="1:87" x14ac:dyDescent="0.25">
      <c r="A79" t="str">
        <f ca="1"/>
        <v>Espada de Fogo e Gelo</v>
      </c>
      <c r="B79" s="3" t="str" cm="1">
        <f t="array" aca="1" ref="B79" ca="1">_xlfn.ANCHORARRAY(RESUMO!C78)</f>
        <v>Akiri</v>
      </c>
      <c r="C79" s="3" t="str">
        <f t="shared" ca="1" si="4"/>
        <v/>
      </c>
      <c r="E79" t="str">
        <f ca="1"/>
        <v>Esmoecer</v>
      </c>
      <c r="F79" s="3">
        <f t="shared" ca="1" si="5"/>
        <v>1</v>
      </c>
      <c r="G79" s="3" t="str">
        <f t="shared" ca="1" si="6"/>
        <v>Kumena</v>
      </c>
      <c r="M79" t="str">
        <f ca="1"/>
        <v>Esmoecer</v>
      </c>
      <c r="N79" s="3">
        <f t="shared" ca="1" si="7"/>
        <v>1</v>
      </c>
      <c r="O79" s="3" t="str">
        <f ca="1">IFERROR(
 INDEX($T$2:$AW$2,
  MATCH(TRUE,
   CHOOSE({1;2;3;4;5;6;7;8;9;10;11;12;13;14;15;16;17;18;19;20;21;22;23;24;25;26;27;28;29;30;31;32},
    COUNTIFS($T$3:$T$201,$M79)&gt;0,
    COUNTIFS($U$3:$U$201,$M79)&gt;0,
    COUNTIFS($V$3:$V$201,$M79)&gt;0,
    COUNTIFS($W$3:$W$201,$M79)&gt;0,
    COUNTIFS($X$3:$X$201,$M79)&gt;0,
    COUNTIFS($Y$3:$Y$201,$M79)&gt;0,
    COUNTIFS($Z$3:$Z$201,$M79)&gt;0,
    COUNTIFS($AA$3:$AA$201,$M79)&gt;0,
    COUNTIFS($AB$3:$AB$201,$M79)&gt;0,
    COUNTIFS($AC$3:$AC$201,$M79)&gt;0,
    COUNTIFS($AD$3:$AD$201,$M79)&gt;0,
    COUNTIFS($AE$3:$AE$201,$M79)&gt;0,
    COUNTIFS($AF$3:$AF$201,$M79)&gt;0,
    COUNTIFS($AG$3:$AG$201,$M79)&gt;0,
    COUNTIFS($AH$3:$AH$201,$M79)&gt;0,
    COUNTIFS($AI$3:$AI$201,$M79)&gt;0,
    COUNTIFS($AJ$3:$AJ$201,$M79)&gt;0,
    COUNTIFS($AK$3:$AK$201,$M79)&gt;0,
    COUNTIFS($AL$3:$AL$201,$M79)&gt;0,
    COUNTIFS($AM$3:$AM$201,$M79)&gt;0,
    COUNTIFS($AN$3:$AN$201,$M79)&gt;0,
    COUNTIFS($AO$3:$AO$201,$M79)&gt;0,
    COUNTIFS($AP$3:$AP$201,$M79)&gt;0,
    COUNTIFS($AQ$3:$AQ$201,$M79)&gt;0,
    COUNTIFS($AR$3:$AR$201,$M79)&gt;0,
    COUNTIFS($AS$3:$AS$201,$M79)&gt;0,
    COUNTIFS($AT$3:$AT$201,$M79)&gt;0,
    COUNTIFS($AU$3:$AU$201,$M79)&gt;0,
    COUNTIFS($AV$3:$AV$201,$M79)&gt;0,
    COUNTIFS($AW$3:$AW$201,$M79)&gt;0
   ),
  0)
 ),
"")</f>
        <v>Kumena</v>
      </c>
      <c r="P79" s="3" t="str" cm="1">
        <f t="array" aca="1" ref="P79" ca="1">IFERROR(
 INDEX(
  _xlfn._xlws.FILTER($T$2:$AW$2,
   TRANSPOSE(
    CHOOSE({1;2;3;4;5;6;7;8;9;10;11;12;13;14;15;16;17;18;19;20;21;22;23;24;25;26;27;28;29;30},
     COUNTIFS($T$3:$T$201,$M79)&gt;0,
     COUNTIFS($U$3:$U$201,$M79)&gt;0,
     COUNTIFS($V$3:$V$201,$M79)&gt;0,
     COUNTIFS($W$3:$W$201,$M79)&gt;0,
     COUNTIFS($X$3:$X$201,$M79)&gt;0,
     COUNTIFS($Y$3:$Y$201,$M79)&gt;0,
     COUNTIFS($Z$3:$Z$201,$M79)&gt;0,
     COUNTIFS($AA$3:$AA$201,$M79)&gt;0,
     COUNTIFS($AB$3:$AB$201,$M79)&gt;0,
     COUNTIFS($AC$3:$AC$201,$M79)&gt;0,
     COUNTIFS($AD$3:$AD$201,$M79)&gt;0,
     COUNTIFS($AE$3:$AE$201,$M79)&gt;0,
     COUNTIFS($AF$3:$AF$201,$M79)&gt;0,
     COUNTIFS($AG$3:$AG$201,$M79)&gt;0,
     COUNTIFS($AH$3:$AH$201,$M79)&gt;0,
     COUNTIFS($AI$3:$AI$201,$M79)&gt;0,
     COUNTIFS($AJ$3:$AJ$201,$M79)&gt;0,
     COUNTIFS($AK$3:$AK$201,$M79)&gt;0,
     COUNTIFS($AL$3:$AL$201,$M79)&gt;0,
     COUNTIFS($AM$3:$AM$201,$M79)&gt;0,
     COUNTIFS($AN$3:$AN$201,$M79)&gt;0,
     COUNTIFS($AO$3:$AO$201,$M79)&gt;0,
     COUNTIFS($AP$3:$AP$201,$M79)&gt;0,
     COUNTIFS($AQ$3:$AQ$201,$M79)&gt;0,
     COUNTIFS($AR$3:$AR$201,$M79)&gt;0,
     COUNTIFS($AS$3:$AS$201,$M79)&gt;0,
     COUNTIFS($AT$3:$AT$201,$M79)&gt;0,
     COUNTIFS($AU$3:$AU$201,$M79)&gt;0,
     COUNTIFS($AV$3:$AV$201,$M79)&gt;0,
     COUNTIFS($AW$3:$AW$201,$M79)&gt;0
   )),
  ),
  2
 ),
"")</f>
        <v/>
      </c>
      <c r="Q79" s="3" t="str" cm="1">
        <f t="array" aca="1" ref="Q79" ca="1">IFERROR(
 INDEX(
  _xlfn._xlws.FILTER($T$2:$AW$2,
   TRANSPOSE(
    CHOOSE({1;2;3;4;5;6;7;8;9;10;11;12;13;14;15;16;17;18;19;20;21;22;23;24;25;26;27;28;29;30},
     COUNTIFS($T$3:$T$201,$M79)&gt;0,
     COUNTIFS($U$3:$U$201,$M79)&gt;0,
     COUNTIFS($V$3:$V$201,$M79)&gt;0,
     COUNTIFS($W$3:$W$201,$M79)&gt;0,
     COUNTIFS($X$3:$X$201,$M79)&gt;0,
     COUNTIFS($Y$3:$Y$201,$M79)&gt;0,
     COUNTIFS($Z$3:$Z$201,$M79)&gt;0,
     COUNTIFS($AA$3:$AA$201,$M79)&gt;0,
     COUNTIFS($AB$3:$AB$201,$M79)&gt;0,
     COUNTIFS($AC$3:$AC$201,$M79)&gt;0,
     COUNTIFS($AD$3:$AD$201,$M79)&gt;0,
     COUNTIFS($AE$3:$AE$201,$M79)&gt;0,
     COUNTIFS($AF$3:$AF$201,$M79)&gt;0,
     COUNTIFS($AG$3:$AG$201,$M79)&gt;0,
     COUNTIFS($AH$3:$AH$201,$M79)&gt;0,
     COUNTIFS($AI$3:$AI$201,$M79)&gt;0,
     COUNTIFS($AJ$3:$AJ$201,$M79)&gt;0,
     COUNTIFS($AK$3:$AK$201,$M79)&gt;0,
     COUNTIFS($AL$3:$AL$201,$M79)&gt;0,
     COUNTIFS($AM$3:$AM$201,$M79)&gt;0,
     COUNTIFS($AN$3:$AN$201,$M79)&gt;0,
     COUNTIFS($AO$3:$AO$201,$M79)&gt;0,
     COUNTIFS($AP$3:$AP$201,$M79)&gt;0,
     COUNTIFS($AQ$3:$AQ$201,$M79)&gt;0,
     COUNTIFS($AR$3:$AR$201,$M79)&gt;0,
     COUNTIFS($AS$3:$AS$201,$M79)&gt;0,
     COUNTIFS($AT$3:$AT$201,$M79)&gt;0,
     COUNTIFS($AU$3:$AU$201,$M79)&gt;0,
     COUNTIFS($AV$3:$AV$201,$M79)&gt;0,
     COUNTIFS($AW$3:$AW$201,$M79)&gt;0
   )),
  ),
  3
 ),
"")</f>
        <v/>
      </c>
      <c r="R79" s="3" t="str" cm="1">
        <f t="array" aca="1" ref="R79" ca="1">IFERROR(
 INDEX(
  _xlfn._xlws.FILTER($T$2:$AW$2,
   TRANSPOSE(
    CHOOSE({1;2;3;4;5;6;7;8;9;10;11;12;13;14;15;16;17;18;19;20;21;22;23;24;25;26;27;28;29;30},
     COUNTIFS($T$3:$T$201,$M79)&gt;0,
     COUNTIFS($U$3:$U$201,$M79)&gt;0,
     COUNTIFS($V$3:$V$201,$M79)&gt;0,
     COUNTIFS($W$3:$W$201,$M79)&gt;0,
     COUNTIFS($X$3:$X$201,$M79)&gt;0,
     COUNTIFS($Y$3:$Y$201,$M79)&gt;0,
     COUNTIFS($Z$3:$Z$201,$M79)&gt;0,
     COUNTIFS($AA$3:$AA$201,$M79)&gt;0,
     COUNTIFS($AB$3:$AB$201,$M79)&gt;0,
     COUNTIFS($AC$3:$AC$201,$M79)&gt;0,
     COUNTIFS($AD$3:$AD$201,$M79)&gt;0,
     COUNTIFS($AE$3:$AE$201,$M79)&gt;0,
     COUNTIFS($AF$3:$AF$201,$M79)&gt;0,
     COUNTIFS($AG$3:$AG$201,$M79)&gt;0,
     COUNTIFS($AH$3:$AH$201,$M79)&gt;0,
     COUNTIFS($AI$3:$AI$201,$M79)&gt;0,
     COUNTIFS($AJ$3:$AJ$201,$M79)&gt;0,
     COUNTIFS($AK$3:$AK$201,$M79)&gt;0,
     COUNTIFS($AL$3:$AL$201,$M79)&gt;0,
     COUNTIFS($AM$3:$AM$201,$M79)&gt;0,
     COUNTIFS($AN$3:$AN$201,$M79)&gt;0,
     COUNTIFS($AO$3:$AO$201,$M79)&gt;0,
     COUNTIFS($AP$3:$AP$201,$M79)&gt;0,
     COUNTIFS($AQ$3:$AQ$201,$M79)&gt;0,
     COUNTIFS($AR$3:$AR$201,$M79)&gt;0,
     COUNTIFS($AS$3:$AS$201,$M79)&gt;0,
     COUNTIFS($AT$3:$AT$201,$M79)&gt;0,
     COUNTIFS($AU$3:$AU$201,$M79)&gt;0,
     COUNTIFS($AV$3:$AV$201,$M79)&gt;0,
     COUNTIFS($AW$3:$AW$201,$M79)&gt;0
   )),
  ),
  4
 ),
"")</f>
        <v/>
      </c>
      <c r="BR79" t="str">
        <f ca="1"/>
        <v>Treasure Cruise</v>
      </c>
      <c r="CA79" t="str">
        <f ca="1"/>
        <v>Noite da Vingança dos Doces</v>
      </c>
      <c r="CF79" t="str">
        <f ca="1"/>
        <v>Garras do Capitão</v>
      </c>
      <c r="CG79" t="str">
        <f ca="1"/>
        <v>The Immortal Sun</v>
      </c>
      <c r="CI79" t="str">
        <f ca="1"/>
        <v>Esmoecer</v>
      </c>
    </row>
    <row r="80" spans="1:87" x14ac:dyDescent="0.25">
      <c r="A80" t="str">
        <f ca="1"/>
        <v>Espada de Luz e Sombra</v>
      </c>
      <c r="B80" s="3" t="str" cm="1">
        <f t="array" aca="1" ref="B80" ca="1">_xlfn.ANCHORARRAY(RESUMO!C79)</f>
        <v>Akiri</v>
      </c>
      <c r="C80" s="3" t="str">
        <f t="shared" ca="1" si="4"/>
        <v/>
      </c>
      <c r="E80" t="str">
        <f ca="1"/>
        <v>Espião-mestre Goblin</v>
      </c>
      <c r="F80" s="3">
        <f t="shared" ca="1" si="5"/>
        <v>1</v>
      </c>
      <c r="G80" s="3" t="str">
        <f t="shared" ca="1" si="6"/>
        <v>Rani</v>
      </c>
      <c r="M80" t="str">
        <f ca="1"/>
        <v>Espião-mestre Goblin</v>
      </c>
      <c r="N80" s="3">
        <f t="shared" ca="1" si="7"/>
        <v>1</v>
      </c>
      <c r="O80" s="3" t="str">
        <f ca="1">IFERROR(
 INDEX($T$2:$AW$2,
  MATCH(TRUE,
   CHOOSE({1;2;3;4;5;6;7;8;9;10;11;12;13;14;15;16;17;18;19;20;21;22;23;24;25;26;27;28;29;30;31;32},
    COUNTIFS($T$3:$T$201,$M80)&gt;0,
    COUNTIFS($U$3:$U$201,$M80)&gt;0,
    COUNTIFS($V$3:$V$201,$M80)&gt;0,
    COUNTIFS($W$3:$W$201,$M80)&gt;0,
    COUNTIFS($X$3:$X$201,$M80)&gt;0,
    COUNTIFS($Y$3:$Y$201,$M80)&gt;0,
    COUNTIFS($Z$3:$Z$201,$M80)&gt;0,
    COUNTIFS($AA$3:$AA$201,$M80)&gt;0,
    COUNTIFS($AB$3:$AB$201,$M80)&gt;0,
    COUNTIFS($AC$3:$AC$201,$M80)&gt;0,
    COUNTIFS($AD$3:$AD$201,$M80)&gt;0,
    COUNTIFS($AE$3:$AE$201,$M80)&gt;0,
    COUNTIFS($AF$3:$AF$201,$M80)&gt;0,
    COUNTIFS($AG$3:$AG$201,$M80)&gt;0,
    COUNTIFS($AH$3:$AH$201,$M80)&gt;0,
    COUNTIFS($AI$3:$AI$201,$M80)&gt;0,
    COUNTIFS($AJ$3:$AJ$201,$M80)&gt;0,
    COUNTIFS($AK$3:$AK$201,$M80)&gt;0,
    COUNTIFS($AL$3:$AL$201,$M80)&gt;0,
    COUNTIFS($AM$3:$AM$201,$M80)&gt;0,
    COUNTIFS($AN$3:$AN$201,$M80)&gt;0,
    COUNTIFS($AO$3:$AO$201,$M80)&gt;0,
    COUNTIFS($AP$3:$AP$201,$M80)&gt;0,
    COUNTIFS($AQ$3:$AQ$201,$M80)&gt;0,
    COUNTIFS($AR$3:$AR$201,$M80)&gt;0,
    COUNTIFS($AS$3:$AS$201,$M80)&gt;0,
    COUNTIFS($AT$3:$AT$201,$M80)&gt;0,
    COUNTIFS($AU$3:$AU$201,$M80)&gt;0,
    COUNTIFS($AV$3:$AV$201,$M80)&gt;0,
    COUNTIFS($AW$3:$AW$201,$M80)&gt;0
   ),
  0)
 ),
"")</f>
        <v>Rani</v>
      </c>
      <c r="P80" s="3" t="str" cm="1">
        <f t="array" aca="1" ref="P80" ca="1">IFERROR(
 INDEX(
  _xlfn._xlws.FILTER($T$2:$AW$2,
   TRANSPOSE(
    CHOOSE({1;2;3;4;5;6;7;8;9;10;11;12;13;14;15;16;17;18;19;20;21;22;23;24;25;26;27;28;29;30},
     COUNTIFS($T$3:$T$201,$M80)&gt;0,
     COUNTIFS($U$3:$U$201,$M80)&gt;0,
     COUNTIFS($V$3:$V$201,$M80)&gt;0,
     COUNTIFS($W$3:$W$201,$M80)&gt;0,
     COUNTIFS($X$3:$X$201,$M80)&gt;0,
     COUNTIFS($Y$3:$Y$201,$M80)&gt;0,
     COUNTIFS($Z$3:$Z$201,$M80)&gt;0,
     COUNTIFS($AA$3:$AA$201,$M80)&gt;0,
     COUNTIFS($AB$3:$AB$201,$M80)&gt;0,
     COUNTIFS($AC$3:$AC$201,$M80)&gt;0,
     COUNTIFS($AD$3:$AD$201,$M80)&gt;0,
     COUNTIFS($AE$3:$AE$201,$M80)&gt;0,
     COUNTIFS($AF$3:$AF$201,$M80)&gt;0,
     COUNTIFS($AG$3:$AG$201,$M80)&gt;0,
     COUNTIFS($AH$3:$AH$201,$M80)&gt;0,
     COUNTIFS($AI$3:$AI$201,$M80)&gt;0,
     COUNTIFS($AJ$3:$AJ$201,$M80)&gt;0,
     COUNTIFS($AK$3:$AK$201,$M80)&gt;0,
     COUNTIFS($AL$3:$AL$201,$M80)&gt;0,
     COUNTIFS($AM$3:$AM$201,$M80)&gt;0,
     COUNTIFS($AN$3:$AN$201,$M80)&gt;0,
     COUNTIFS($AO$3:$AO$201,$M80)&gt;0,
     COUNTIFS($AP$3:$AP$201,$M80)&gt;0,
     COUNTIFS($AQ$3:$AQ$201,$M80)&gt;0,
     COUNTIFS($AR$3:$AR$201,$M80)&gt;0,
     COUNTIFS($AS$3:$AS$201,$M80)&gt;0,
     COUNTIFS($AT$3:$AT$201,$M80)&gt;0,
     COUNTIFS($AU$3:$AU$201,$M80)&gt;0,
     COUNTIFS($AV$3:$AV$201,$M80)&gt;0,
     COUNTIFS($AW$3:$AW$201,$M80)&gt;0
   )),
  ),
  2
 ),
"")</f>
        <v/>
      </c>
      <c r="Q80" s="3" t="str" cm="1">
        <f t="array" aca="1" ref="Q80" ca="1">IFERROR(
 INDEX(
  _xlfn._xlws.FILTER($T$2:$AW$2,
   TRANSPOSE(
    CHOOSE({1;2;3;4;5;6;7;8;9;10;11;12;13;14;15;16;17;18;19;20;21;22;23;24;25;26;27;28;29;30},
     COUNTIFS($T$3:$T$201,$M80)&gt;0,
     COUNTIFS($U$3:$U$201,$M80)&gt;0,
     COUNTIFS($V$3:$V$201,$M80)&gt;0,
     COUNTIFS($W$3:$W$201,$M80)&gt;0,
     COUNTIFS($X$3:$X$201,$M80)&gt;0,
     COUNTIFS($Y$3:$Y$201,$M80)&gt;0,
     COUNTIFS($Z$3:$Z$201,$M80)&gt;0,
     COUNTIFS($AA$3:$AA$201,$M80)&gt;0,
     COUNTIFS($AB$3:$AB$201,$M80)&gt;0,
     COUNTIFS($AC$3:$AC$201,$M80)&gt;0,
     COUNTIFS($AD$3:$AD$201,$M80)&gt;0,
     COUNTIFS($AE$3:$AE$201,$M80)&gt;0,
     COUNTIFS($AF$3:$AF$201,$M80)&gt;0,
     COUNTIFS($AG$3:$AG$201,$M80)&gt;0,
     COUNTIFS($AH$3:$AH$201,$M80)&gt;0,
     COUNTIFS($AI$3:$AI$201,$M80)&gt;0,
     COUNTIFS($AJ$3:$AJ$201,$M80)&gt;0,
     COUNTIFS($AK$3:$AK$201,$M80)&gt;0,
     COUNTIFS($AL$3:$AL$201,$M80)&gt;0,
     COUNTIFS($AM$3:$AM$201,$M80)&gt;0,
     COUNTIFS($AN$3:$AN$201,$M80)&gt;0,
     COUNTIFS($AO$3:$AO$201,$M80)&gt;0,
     COUNTIFS($AP$3:$AP$201,$M80)&gt;0,
     COUNTIFS($AQ$3:$AQ$201,$M80)&gt;0,
     COUNTIFS($AR$3:$AR$201,$M80)&gt;0,
     COUNTIFS($AS$3:$AS$201,$M80)&gt;0,
     COUNTIFS($AT$3:$AT$201,$M80)&gt;0,
     COUNTIFS($AU$3:$AU$201,$M80)&gt;0,
     COUNTIFS($AV$3:$AV$201,$M80)&gt;0,
     COUNTIFS($AW$3:$AW$201,$M80)&gt;0
   )),
  ),
  3
 ),
"")</f>
        <v/>
      </c>
      <c r="R80" s="3" t="str" cm="1">
        <f t="array" aca="1" ref="R80" ca="1">IFERROR(
 INDEX(
  _xlfn._xlws.FILTER($T$2:$AW$2,
   TRANSPOSE(
    CHOOSE({1;2;3;4;5;6;7;8;9;10;11;12;13;14;15;16;17;18;19;20;21;22;23;24;25;26;27;28;29;30},
     COUNTIFS($T$3:$T$201,$M80)&gt;0,
     COUNTIFS($U$3:$U$201,$M80)&gt;0,
     COUNTIFS($V$3:$V$201,$M80)&gt;0,
     COUNTIFS($W$3:$W$201,$M80)&gt;0,
     COUNTIFS($X$3:$X$201,$M80)&gt;0,
     COUNTIFS($Y$3:$Y$201,$M80)&gt;0,
     COUNTIFS($Z$3:$Z$201,$M80)&gt;0,
     COUNTIFS($AA$3:$AA$201,$M80)&gt;0,
     COUNTIFS($AB$3:$AB$201,$M80)&gt;0,
     COUNTIFS($AC$3:$AC$201,$M80)&gt;0,
     COUNTIFS($AD$3:$AD$201,$M80)&gt;0,
     COUNTIFS($AE$3:$AE$201,$M80)&gt;0,
     COUNTIFS($AF$3:$AF$201,$M80)&gt;0,
     COUNTIFS($AG$3:$AG$201,$M80)&gt;0,
     COUNTIFS($AH$3:$AH$201,$M80)&gt;0,
     COUNTIFS($AI$3:$AI$201,$M80)&gt;0,
     COUNTIFS($AJ$3:$AJ$201,$M80)&gt;0,
     COUNTIFS($AK$3:$AK$201,$M80)&gt;0,
     COUNTIFS($AL$3:$AL$201,$M80)&gt;0,
     COUNTIFS($AM$3:$AM$201,$M80)&gt;0,
     COUNTIFS($AN$3:$AN$201,$M80)&gt;0,
     COUNTIFS($AO$3:$AO$201,$M80)&gt;0,
     COUNTIFS($AP$3:$AP$201,$M80)&gt;0,
     COUNTIFS($AQ$3:$AQ$201,$M80)&gt;0,
     COUNTIFS($AR$3:$AR$201,$M80)&gt;0,
     COUNTIFS($AS$3:$AS$201,$M80)&gt;0,
     COUNTIFS($AT$3:$AT$201,$M80)&gt;0,
     COUNTIFS($AU$3:$AU$201,$M80)&gt;0,
     COUNTIFS($AV$3:$AV$201,$M80)&gt;0,
     COUNTIFS($AW$3:$AW$201,$M80)&gt;0
   )),
  ),
  4
 ),
"")</f>
        <v/>
      </c>
      <c r="BR80" t="str">
        <f ca="1"/>
        <v>Trilha de Migalhas</v>
      </c>
      <c r="CA80" t="str">
        <f ca="1"/>
        <v>Omen of the Sea</v>
      </c>
      <c r="CF80" t="str">
        <f ca="1"/>
        <v>Ginete Bronco Exaltado</v>
      </c>
      <c r="CG80" t="str">
        <f ca="1"/>
        <v>Thirst for Knowledge</v>
      </c>
      <c r="CI80" t="str">
        <f ca="1"/>
        <v>Espião-mestre Goblin</v>
      </c>
    </row>
    <row r="81" spans="1:87" x14ac:dyDescent="0.25">
      <c r="A81" t="str">
        <f ca="1"/>
        <v>Espada de Verdade e Justiça</v>
      </c>
      <c r="B81" s="3" t="str" cm="1">
        <f t="array" aca="1" ref="B81" ca="1">_xlfn.ANCHORARRAY(RESUMO!C80)</f>
        <v>Akiri</v>
      </c>
      <c r="C81" s="3" t="str">
        <f t="shared" ca="1" si="4"/>
        <v/>
      </c>
      <c r="E81" t="str">
        <f ca="1"/>
        <v>Espiral de Crescimento</v>
      </c>
      <c r="F81" s="3">
        <f t="shared" ca="1" si="5"/>
        <v>1</v>
      </c>
      <c r="G81" s="3" t="str">
        <f t="shared" ca="1" si="6"/>
        <v>Kumena</v>
      </c>
      <c r="M81" t="str">
        <f ca="1"/>
        <v>Espiral de Crescimento</v>
      </c>
      <c r="N81" s="3">
        <f t="shared" ca="1" si="7"/>
        <v>1</v>
      </c>
      <c r="O81" s="3" t="str">
        <f ca="1">IFERROR(
 INDEX($T$2:$AW$2,
  MATCH(TRUE,
   CHOOSE({1;2;3;4;5;6;7;8;9;10;11;12;13;14;15;16;17;18;19;20;21;22;23;24;25;26;27;28;29;30;31;32},
    COUNTIFS($T$3:$T$201,$M81)&gt;0,
    COUNTIFS($U$3:$U$201,$M81)&gt;0,
    COUNTIFS($V$3:$V$201,$M81)&gt;0,
    COUNTIFS($W$3:$W$201,$M81)&gt;0,
    COUNTIFS($X$3:$X$201,$M81)&gt;0,
    COUNTIFS($Y$3:$Y$201,$M81)&gt;0,
    COUNTIFS($Z$3:$Z$201,$M81)&gt;0,
    COUNTIFS($AA$3:$AA$201,$M81)&gt;0,
    COUNTIFS($AB$3:$AB$201,$M81)&gt;0,
    COUNTIFS($AC$3:$AC$201,$M81)&gt;0,
    COUNTIFS($AD$3:$AD$201,$M81)&gt;0,
    COUNTIFS($AE$3:$AE$201,$M81)&gt;0,
    COUNTIFS($AF$3:$AF$201,$M81)&gt;0,
    COUNTIFS($AG$3:$AG$201,$M81)&gt;0,
    COUNTIFS($AH$3:$AH$201,$M81)&gt;0,
    COUNTIFS($AI$3:$AI$201,$M81)&gt;0,
    COUNTIFS($AJ$3:$AJ$201,$M81)&gt;0,
    COUNTIFS($AK$3:$AK$201,$M81)&gt;0,
    COUNTIFS($AL$3:$AL$201,$M81)&gt;0,
    COUNTIFS($AM$3:$AM$201,$M81)&gt;0,
    COUNTIFS($AN$3:$AN$201,$M81)&gt;0,
    COUNTIFS($AO$3:$AO$201,$M81)&gt;0,
    COUNTIFS($AP$3:$AP$201,$M81)&gt;0,
    COUNTIFS($AQ$3:$AQ$201,$M81)&gt;0,
    COUNTIFS($AR$3:$AR$201,$M81)&gt;0,
    COUNTIFS($AS$3:$AS$201,$M81)&gt;0,
    COUNTIFS($AT$3:$AT$201,$M81)&gt;0,
    COUNTIFS($AU$3:$AU$201,$M81)&gt;0,
    COUNTIFS($AV$3:$AV$201,$M81)&gt;0,
    COUNTIFS($AW$3:$AW$201,$M81)&gt;0
   ),
  0)
 ),
"")</f>
        <v>Kumena</v>
      </c>
      <c r="P81" s="3" t="str" cm="1">
        <f t="array" aca="1" ref="P81" ca="1">IFERROR(
 INDEX(
  _xlfn._xlws.FILTER($T$2:$AW$2,
   TRANSPOSE(
    CHOOSE({1;2;3;4;5;6;7;8;9;10;11;12;13;14;15;16;17;18;19;20;21;22;23;24;25;26;27;28;29;30},
     COUNTIFS($T$3:$T$201,$M81)&gt;0,
     COUNTIFS($U$3:$U$201,$M81)&gt;0,
     COUNTIFS($V$3:$V$201,$M81)&gt;0,
     COUNTIFS($W$3:$W$201,$M81)&gt;0,
     COUNTIFS($X$3:$X$201,$M81)&gt;0,
     COUNTIFS($Y$3:$Y$201,$M81)&gt;0,
     COUNTIFS($Z$3:$Z$201,$M81)&gt;0,
     COUNTIFS($AA$3:$AA$201,$M81)&gt;0,
     COUNTIFS($AB$3:$AB$201,$M81)&gt;0,
     COUNTIFS($AC$3:$AC$201,$M81)&gt;0,
     COUNTIFS($AD$3:$AD$201,$M81)&gt;0,
     COUNTIFS($AE$3:$AE$201,$M81)&gt;0,
     COUNTIFS($AF$3:$AF$201,$M81)&gt;0,
     COUNTIFS($AG$3:$AG$201,$M81)&gt;0,
     COUNTIFS($AH$3:$AH$201,$M81)&gt;0,
     COUNTIFS($AI$3:$AI$201,$M81)&gt;0,
     COUNTIFS($AJ$3:$AJ$201,$M81)&gt;0,
     COUNTIFS($AK$3:$AK$201,$M81)&gt;0,
     COUNTIFS($AL$3:$AL$201,$M81)&gt;0,
     COUNTIFS($AM$3:$AM$201,$M81)&gt;0,
     COUNTIFS($AN$3:$AN$201,$M81)&gt;0,
     COUNTIFS($AO$3:$AO$201,$M81)&gt;0,
     COUNTIFS($AP$3:$AP$201,$M81)&gt;0,
     COUNTIFS($AQ$3:$AQ$201,$M81)&gt;0,
     COUNTIFS($AR$3:$AR$201,$M81)&gt;0,
     COUNTIFS($AS$3:$AS$201,$M81)&gt;0,
     COUNTIFS($AT$3:$AT$201,$M81)&gt;0,
     COUNTIFS($AU$3:$AU$201,$M81)&gt;0,
     COUNTIFS($AV$3:$AV$201,$M81)&gt;0,
     COUNTIFS($AW$3:$AW$201,$M81)&gt;0
   )),
  ),
  2
 ),
"")</f>
        <v/>
      </c>
      <c r="Q81" s="3" t="str" cm="1">
        <f t="array" aca="1" ref="Q81" ca="1">IFERROR(
 INDEX(
  _xlfn._xlws.FILTER($T$2:$AW$2,
   TRANSPOSE(
    CHOOSE({1;2;3;4;5;6;7;8;9;10;11;12;13;14;15;16;17;18;19;20;21;22;23;24;25;26;27;28;29;30},
     COUNTIFS($T$3:$T$201,$M81)&gt;0,
     COUNTIFS($U$3:$U$201,$M81)&gt;0,
     COUNTIFS($V$3:$V$201,$M81)&gt;0,
     COUNTIFS($W$3:$W$201,$M81)&gt;0,
     COUNTIFS($X$3:$X$201,$M81)&gt;0,
     COUNTIFS($Y$3:$Y$201,$M81)&gt;0,
     COUNTIFS($Z$3:$Z$201,$M81)&gt;0,
     COUNTIFS($AA$3:$AA$201,$M81)&gt;0,
     COUNTIFS($AB$3:$AB$201,$M81)&gt;0,
     COUNTIFS($AC$3:$AC$201,$M81)&gt;0,
     COUNTIFS($AD$3:$AD$201,$M81)&gt;0,
     COUNTIFS($AE$3:$AE$201,$M81)&gt;0,
     COUNTIFS($AF$3:$AF$201,$M81)&gt;0,
     COUNTIFS($AG$3:$AG$201,$M81)&gt;0,
     COUNTIFS($AH$3:$AH$201,$M81)&gt;0,
     COUNTIFS($AI$3:$AI$201,$M81)&gt;0,
     COUNTIFS($AJ$3:$AJ$201,$M81)&gt;0,
     COUNTIFS($AK$3:$AK$201,$M81)&gt;0,
     COUNTIFS($AL$3:$AL$201,$M81)&gt;0,
     COUNTIFS($AM$3:$AM$201,$M81)&gt;0,
     COUNTIFS($AN$3:$AN$201,$M81)&gt;0,
     COUNTIFS($AO$3:$AO$201,$M81)&gt;0,
     COUNTIFS($AP$3:$AP$201,$M81)&gt;0,
     COUNTIFS($AQ$3:$AQ$201,$M81)&gt;0,
     COUNTIFS($AR$3:$AR$201,$M81)&gt;0,
     COUNTIFS($AS$3:$AS$201,$M81)&gt;0,
     COUNTIFS($AT$3:$AT$201,$M81)&gt;0,
     COUNTIFS($AU$3:$AU$201,$M81)&gt;0,
     COUNTIFS($AV$3:$AV$201,$M81)&gt;0,
     COUNTIFS($AW$3:$AW$201,$M81)&gt;0
   )),
  ),
  3
 ),
"")</f>
        <v/>
      </c>
      <c r="R81" s="3" t="str" cm="1">
        <f t="array" aca="1" ref="R81" ca="1">IFERROR(
 INDEX(
  _xlfn._xlws.FILTER($T$2:$AW$2,
   TRANSPOSE(
    CHOOSE({1;2;3;4;5;6;7;8;9;10;11;12;13;14;15;16;17;18;19;20;21;22;23;24;25;26;27;28;29;30},
     COUNTIFS($T$3:$T$201,$M81)&gt;0,
     COUNTIFS($U$3:$U$201,$M81)&gt;0,
     COUNTIFS($V$3:$V$201,$M81)&gt;0,
     COUNTIFS($W$3:$W$201,$M81)&gt;0,
     COUNTIFS($X$3:$X$201,$M81)&gt;0,
     COUNTIFS($Y$3:$Y$201,$M81)&gt;0,
     COUNTIFS($Z$3:$Z$201,$M81)&gt;0,
     COUNTIFS($AA$3:$AA$201,$M81)&gt;0,
     COUNTIFS($AB$3:$AB$201,$M81)&gt;0,
     COUNTIFS($AC$3:$AC$201,$M81)&gt;0,
     COUNTIFS($AD$3:$AD$201,$M81)&gt;0,
     COUNTIFS($AE$3:$AE$201,$M81)&gt;0,
     COUNTIFS($AF$3:$AF$201,$M81)&gt;0,
     COUNTIFS($AG$3:$AG$201,$M81)&gt;0,
     COUNTIFS($AH$3:$AH$201,$M81)&gt;0,
     COUNTIFS($AI$3:$AI$201,$M81)&gt;0,
     COUNTIFS($AJ$3:$AJ$201,$M81)&gt;0,
     COUNTIFS($AK$3:$AK$201,$M81)&gt;0,
     COUNTIFS($AL$3:$AL$201,$M81)&gt;0,
     COUNTIFS($AM$3:$AM$201,$M81)&gt;0,
     COUNTIFS($AN$3:$AN$201,$M81)&gt;0,
     COUNTIFS($AO$3:$AO$201,$M81)&gt;0,
     COUNTIFS($AP$3:$AP$201,$M81)&gt;0,
     COUNTIFS($AQ$3:$AQ$201,$M81)&gt;0,
     COUNTIFS($AR$3:$AR$201,$M81)&gt;0,
     COUNTIFS($AS$3:$AS$201,$M81)&gt;0,
     COUNTIFS($AT$3:$AT$201,$M81)&gt;0,
     COUNTIFS($AU$3:$AU$201,$M81)&gt;0,
     COUNTIFS($AV$3:$AV$201,$M81)&gt;0,
     COUNTIFS($AW$3:$AW$201,$M81)&gt;0
   )),
  ),
  4
 ),
"")</f>
        <v/>
      </c>
      <c r="BR81" t="str">
        <f ca="1"/>
        <v>Tuskguard Captain</v>
      </c>
      <c r="CA81" t="str">
        <f ca="1"/>
        <v>Ominous Seas</v>
      </c>
      <c r="CF81" t="str">
        <f ca="1"/>
        <v>Gleba Gruul</v>
      </c>
      <c r="CG81" t="str">
        <f ca="1"/>
        <v>Trophy Mage</v>
      </c>
      <c r="CI81" t="str">
        <f ca="1"/>
        <v>Espiral de Crescimento</v>
      </c>
    </row>
    <row r="82" spans="1:87" x14ac:dyDescent="0.25">
      <c r="A82" t="str">
        <f ca="1"/>
        <v>Esper Sentinel</v>
      </c>
      <c r="B82" s="3" t="str" cm="1">
        <f t="array" aca="1" ref="B82" ca="1">_xlfn.ANCHORARRAY(RESUMO!C81)</f>
        <v>Modular</v>
      </c>
      <c r="C82" s="3" t="str">
        <f t="shared" ca="1" si="4"/>
        <v/>
      </c>
      <c r="E82" t="str">
        <f ca="1"/>
        <v>Estorrar</v>
      </c>
      <c r="F82" s="3">
        <f t="shared" ca="1" si="5"/>
        <v>1</v>
      </c>
      <c r="G82" s="3" t="str">
        <f t="shared" ca="1" si="6"/>
        <v>Baylen</v>
      </c>
      <c r="M82" t="str">
        <f ca="1"/>
        <v>Estorrar</v>
      </c>
      <c r="N82" s="3">
        <f t="shared" ca="1" si="7"/>
        <v>1</v>
      </c>
      <c r="O82" s="3" t="str">
        <f ca="1">IFERROR(
 INDEX($T$2:$AW$2,
  MATCH(TRUE,
   CHOOSE({1;2;3;4;5;6;7;8;9;10;11;12;13;14;15;16;17;18;19;20;21;22;23;24;25;26;27;28;29;30;31;32},
    COUNTIFS($T$3:$T$201,$M82)&gt;0,
    COUNTIFS($U$3:$U$201,$M82)&gt;0,
    COUNTIFS($V$3:$V$201,$M82)&gt;0,
    COUNTIFS($W$3:$W$201,$M82)&gt;0,
    COUNTIFS($X$3:$X$201,$M82)&gt;0,
    COUNTIFS($Y$3:$Y$201,$M82)&gt;0,
    COUNTIFS($Z$3:$Z$201,$M82)&gt;0,
    COUNTIFS($AA$3:$AA$201,$M82)&gt;0,
    COUNTIFS($AB$3:$AB$201,$M82)&gt;0,
    COUNTIFS($AC$3:$AC$201,$M82)&gt;0,
    COUNTIFS($AD$3:$AD$201,$M82)&gt;0,
    COUNTIFS($AE$3:$AE$201,$M82)&gt;0,
    COUNTIFS($AF$3:$AF$201,$M82)&gt;0,
    COUNTIFS($AG$3:$AG$201,$M82)&gt;0,
    COUNTIFS($AH$3:$AH$201,$M82)&gt;0,
    COUNTIFS($AI$3:$AI$201,$M82)&gt;0,
    COUNTIFS($AJ$3:$AJ$201,$M82)&gt;0,
    COUNTIFS($AK$3:$AK$201,$M82)&gt;0,
    COUNTIFS($AL$3:$AL$201,$M82)&gt;0,
    COUNTIFS($AM$3:$AM$201,$M82)&gt;0,
    COUNTIFS($AN$3:$AN$201,$M82)&gt;0,
    COUNTIFS($AO$3:$AO$201,$M82)&gt;0,
    COUNTIFS($AP$3:$AP$201,$M82)&gt;0,
    COUNTIFS($AQ$3:$AQ$201,$M82)&gt;0,
    COUNTIFS($AR$3:$AR$201,$M82)&gt;0,
    COUNTIFS($AS$3:$AS$201,$M82)&gt;0,
    COUNTIFS($AT$3:$AT$201,$M82)&gt;0,
    COUNTIFS($AU$3:$AU$201,$M82)&gt;0,
    COUNTIFS($AV$3:$AV$201,$M82)&gt;0,
    COUNTIFS($AW$3:$AW$201,$M82)&gt;0
   ),
  0)
 ),
"")</f>
        <v>Baylen</v>
      </c>
      <c r="P82" s="3" t="str" cm="1">
        <f t="array" aca="1" ref="P82" ca="1">IFERROR(
 INDEX(
  _xlfn._xlws.FILTER($T$2:$AW$2,
   TRANSPOSE(
    CHOOSE({1;2;3;4;5;6;7;8;9;10;11;12;13;14;15;16;17;18;19;20;21;22;23;24;25;26;27;28;29;30},
     COUNTIFS($T$3:$T$201,$M82)&gt;0,
     COUNTIFS($U$3:$U$201,$M82)&gt;0,
     COUNTIFS($V$3:$V$201,$M82)&gt;0,
     COUNTIFS($W$3:$W$201,$M82)&gt;0,
     COUNTIFS($X$3:$X$201,$M82)&gt;0,
     COUNTIFS($Y$3:$Y$201,$M82)&gt;0,
     COUNTIFS($Z$3:$Z$201,$M82)&gt;0,
     COUNTIFS($AA$3:$AA$201,$M82)&gt;0,
     COUNTIFS($AB$3:$AB$201,$M82)&gt;0,
     COUNTIFS($AC$3:$AC$201,$M82)&gt;0,
     COUNTIFS($AD$3:$AD$201,$M82)&gt;0,
     COUNTIFS($AE$3:$AE$201,$M82)&gt;0,
     COUNTIFS($AF$3:$AF$201,$M82)&gt;0,
     COUNTIFS($AG$3:$AG$201,$M82)&gt;0,
     COUNTIFS($AH$3:$AH$201,$M82)&gt;0,
     COUNTIFS($AI$3:$AI$201,$M82)&gt;0,
     COUNTIFS($AJ$3:$AJ$201,$M82)&gt;0,
     COUNTIFS($AK$3:$AK$201,$M82)&gt;0,
     COUNTIFS($AL$3:$AL$201,$M82)&gt;0,
     COUNTIFS($AM$3:$AM$201,$M82)&gt;0,
     COUNTIFS($AN$3:$AN$201,$M82)&gt;0,
     COUNTIFS($AO$3:$AO$201,$M82)&gt;0,
     COUNTIFS($AP$3:$AP$201,$M82)&gt;0,
     COUNTIFS($AQ$3:$AQ$201,$M82)&gt;0,
     COUNTIFS($AR$3:$AR$201,$M82)&gt;0,
     COUNTIFS($AS$3:$AS$201,$M82)&gt;0,
     COUNTIFS($AT$3:$AT$201,$M82)&gt;0,
     COUNTIFS($AU$3:$AU$201,$M82)&gt;0,
     COUNTIFS($AV$3:$AV$201,$M82)&gt;0,
     COUNTIFS($AW$3:$AW$201,$M82)&gt;0
   )),
  ),
  2
 ),
"")</f>
        <v/>
      </c>
      <c r="Q82" s="3" t="str" cm="1">
        <f t="array" aca="1" ref="Q82" ca="1">IFERROR(
 INDEX(
  _xlfn._xlws.FILTER($T$2:$AW$2,
   TRANSPOSE(
    CHOOSE({1;2;3;4;5;6;7;8;9;10;11;12;13;14;15;16;17;18;19;20;21;22;23;24;25;26;27;28;29;30},
     COUNTIFS($T$3:$T$201,$M82)&gt;0,
     COUNTIFS($U$3:$U$201,$M82)&gt;0,
     COUNTIFS($V$3:$V$201,$M82)&gt;0,
     COUNTIFS($W$3:$W$201,$M82)&gt;0,
     COUNTIFS($X$3:$X$201,$M82)&gt;0,
     COUNTIFS($Y$3:$Y$201,$M82)&gt;0,
     COUNTIFS($Z$3:$Z$201,$M82)&gt;0,
     COUNTIFS($AA$3:$AA$201,$M82)&gt;0,
     COUNTIFS($AB$3:$AB$201,$M82)&gt;0,
     COUNTIFS($AC$3:$AC$201,$M82)&gt;0,
     COUNTIFS($AD$3:$AD$201,$M82)&gt;0,
     COUNTIFS($AE$3:$AE$201,$M82)&gt;0,
     COUNTIFS($AF$3:$AF$201,$M82)&gt;0,
     COUNTIFS($AG$3:$AG$201,$M82)&gt;0,
     COUNTIFS($AH$3:$AH$201,$M82)&gt;0,
     COUNTIFS($AI$3:$AI$201,$M82)&gt;0,
     COUNTIFS($AJ$3:$AJ$201,$M82)&gt;0,
     COUNTIFS($AK$3:$AK$201,$M82)&gt;0,
     COUNTIFS($AL$3:$AL$201,$M82)&gt;0,
     COUNTIFS($AM$3:$AM$201,$M82)&gt;0,
     COUNTIFS($AN$3:$AN$201,$M82)&gt;0,
     COUNTIFS($AO$3:$AO$201,$M82)&gt;0,
     COUNTIFS($AP$3:$AP$201,$M82)&gt;0,
     COUNTIFS($AQ$3:$AQ$201,$M82)&gt;0,
     COUNTIFS($AR$3:$AR$201,$M82)&gt;0,
     COUNTIFS($AS$3:$AS$201,$M82)&gt;0,
     COUNTIFS($AT$3:$AT$201,$M82)&gt;0,
     COUNTIFS($AU$3:$AU$201,$M82)&gt;0,
     COUNTIFS($AV$3:$AV$201,$M82)&gt;0,
     COUNTIFS($AW$3:$AW$201,$M82)&gt;0
   )),
  ),
  3
 ),
"")</f>
        <v/>
      </c>
      <c r="R82" s="3" t="str" cm="1">
        <f t="array" aca="1" ref="R82" ca="1">IFERROR(
 INDEX(
  _xlfn._xlws.FILTER($T$2:$AW$2,
   TRANSPOSE(
    CHOOSE({1;2;3;4;5;6;7;8;9;10;11;12;13;14;15;16;17;18;19;20;21;22;23;24;25;26;27;28;29;30},
     COUNTIFS($T$3:$T$201,$M82)&gt;0,
     COUNTIFS($U$3:$U$201,$M82)&gt;0,
     COUNTIFS($V$3:$V$201,$M82)&gt;0,
     COUNTIFS($W$3:$W$201,$M82)&gt;0,
     COUNTIFS($X$3:$X$201,$M82)&gt;0,
     COUNTIFS($Y$3:$Y$201,$M82)&gt;0,
     COUNTIFS($Z$3:$Z$201,$M82)&gt;0,
     COUNTIFS($AA$3:$AA$201,$M82)&gt;0,
     COUNTIFS($AB$3:$AB$201,$M82)&gt;0,
     COUNTIFS($AC$3:$AC$201,$M82)&gt;0,
     COUNTIFS($AD$3:$AD$201,$M82)&gt;0,
     COUNTIFS($AE$3:$AE$201,$M82)&gt;0,
     COUNTIFS($AF$3:$AF$201,$M82)&gt;0,
     COUNTIFS($AG$3:$AG$201,$M82)&gt;0,
     COUNTIFS($AH$3:$AH$201,$M82)&gt;0,
     COUNTIFS($AI$3:$AI$201,$M82)&gt;0,
     COUNTIFS($AJ$3:$AJ$201,$M82)&gt;0,
     COUNTIFS($AK$3:$AK$201,$M82)&gt;0,
     COUNTIFS($AL$3:$AL$201,$M82)&gt;0,
     COUNTIFS($AM$3:$AM$201,$M82)&gt;0,
     COUNTIFS($AN$3:$AN$201,$M82)&gt;0,
     COUNTIFS($AO$3:$AO$201,$M82)&gt;0,
     COUNTIFS($AP$3:$AP$201,$M82)&gt;0,
     COUNTIFS($AQ$3:$AQ$201,$M82)&gt;0,
     COUNTIFS($AR$3:$AR$201,$M82)&gt;0,
     COUNTIFS($AS$3:$AS$201,$M82)&gt;0,
     COUNTIFS($AT$3:$AT$201,$M82)&gt;0,
     COUNTIFS($AU$3:$AU$201,$M82)&gt;0,
     COUNTIFS($AV$3:$AV$201,$M82)&gt;0,
     COUNTIFS($AW$3:$AW$201,$M82)&gt;0
   )),
  ),
  4
 ),
"")</f>
        <v/>
      </c>
      <c r="BR82" t="str">
        <f ca="1"/>
        <v>Young Pyromancer</v>
      </c>
      <c r="CA82" t="str">
        <f ca="1"/>
        <v>Optar</v>
      </c>
      <c r="CF82" t="str">
        <f ca="1"/>
        <v>Glimmer Lens</v>
      </c>
      <c r="CG82" t="str">
        <f ca="1"/>
        <v>Tumulume</v>
      </c>
      <c r="CI82" t="str">
        <f ca="1"/>
        <v>Estorrar</v>
      </c>
    </row>
    <row r="83" spans="1:87" x14ac:dyDescent="0.25">
      <c r="A83" t="str">
        <f ca="1"/>
        <v>Evendo Brushrazer</v>
      </c>
      <c r="B83" s="3" t="str" cm="1">
        <f t="array" aca="1" ref="B83" ca="1">_xlfn.ANCHORARRAY(RESUMO!C82)</f>
        <v>Modular</v>
      </c>
      <c r="C83" s="3" t="str">
        <f t="shared" ca="1" si="4"/>
        <v/>
      </c>
      <c r="E83" t="str">
        <f ca="1"/>
        <v>Eterificar</v>
      </c>
      <c r="F83" s="3">
        <f t="shared" ca="1" si="5"/>
        <v>1</v>
      </c>
      <c r="G83" s="3" t="str">
        <f t="shared" ca="1" si="6"/>
        <v>Muzzio</v>
      </c>
      <c r="M83" t="str">
        <f ca="1"/>
        <v>Eterificar</v>
      </c>
      <c r="N83" s="3">
        <f t="shared" ca="1" si="7"/>
        <v>1</v>
      </c>
      <c r="O83" s="3" t="str">
        <f ca="1">IFERROR(
 INDEX($T$2:$AW$2,
  MATCH(TRUE,
   CHOOSE({1;2;3;4;5;6;7;8;9;10;11;12;13;14;15;16;17;18;19;20;21;22;23;24;25;26;27;28;29;30;31;32},
    COUNTIFS($T$3:$T$201,$M83)&gt;0,
    COUNTIFS($U$3:$U$201,$M83)&gt;0,
    COUNTIFS($V$3:$V$201,$M83)&gt;0,
    COUNTIFS($W$3:$W$201,$M83)&gt;0,
    COUNTIFS($X$3:$X$201,$M83)&gt;0,
    COUNTIFS($Y$3:$Y$201,$M83)&gt;0,
    COUNTIFS($Z$3:$Z$201,$M83)&gt;0,
    COUNTIFS($AA$3:$AA$201,$M83)&gt;0,
    COUNTIFS($AB$3:$AB$201,$M83)&gt;0,
    COUNTIFS($AC$3:$AC$201,$M83)&gt;0,
    COUNTIFS($AD$3:$AD$201,$M83)&gt;0,
    COUNTIFS($AE$3:$AE$201,$M83)&gt;0,
    COUNTIFS($AF$3:$AF$201,$M83)&gt;0,
    COUNTIFS($AG$3:$AG$201,$M83)&gt;0,
    COUNTIFS($AH$3:$AH$201,$M83)&gt;0,
    COUNTIFS($AI$3:$AI$201,$M83)&gt;0,
    COUNTIFS($AJ$3:$AJ$201,$M83)&gt;0,
    COUNTIFS($AK$3:$AK$201,$M83)&gt;0,
    COUNTIFS($AL$3:$AL$201,$M83)&gt;0,
    COUNTIFS($AM$3:$AM$201,$M83)&gt;0,
    COUNTIFS($AN$3:$AN$201,$M83)&gt;0,
    COUNTIFS($AO$3:$AO$201,$M83)&gt;0,
    COUNTIFS($AP$3:$AP$201,$M83)&gt;0,
    COUNTIFS($AQ$3:$AQ$201,$M83)&gt;0,
    COUNTIFS($AR$3:$AR$201,$M83)&gt;0,
    COUNTIFS($AS$3:$AS$201,$M83)&gt;0,
    COUNTIFS($AT$3:$AT$201,$M83)&gt;0,
    COUNTIFS($AU$3:$AU$201,$M83)&gt;0,
    COUNTIFS($AV$3:$AV$201,$M83)&gt;0,
    COUNTIFS($AW$3:$AW$201,$M83)&gt;0
   ),
  0)
 ),
"")</f>
        <v>Muzzio</v>
      </c>
      <c r="P83" s="3" t="str" cm="1">
        <f t="array" aca="1" ref="P83" ca="1">IFERROR(
 INDEX(
  _xlfn._xlws.FILTER($T$2:$AW$2,
   TRANSPOSE(
    CHOOSE({1;2;3;4;5;6;7;8;9;10;11;12;13;14;15;16;17;18;19;20;21;22;23;24;25;26;27;28;29;30},
     COUNTIFS($T$3:$T$201,$M83)&gt;0,
     COUNTIFS($U$3:$U$201,$M83)&gt;0,
     COUNTIFS($V$3:$V$201,$M83)&gt;0,
     COUNTIFS($W$3:$W$201,$M83)&gt;0,
     COUNTIFS($X$3:$X$201,$M83)&gt;0,
     COUNTIFS($Y$3:$Y$201,$M83)&gt;0,
     COUNTIFS($Z$3:$Z$201,$M83)&gt;0,
     COUNTIFS($AA$3:$AA$201,$M83)&gt;0,
     COUNTIFS($AB$3:$AB$201,$M83)&gt;0,
     COUNTIFS($AC$3:$AC$201,$M83)&gt;0,
     COUNTIFS($AD$3:$AD$201,$M83)&gt;0,
     COUNTIFS($AE$3:$AE$201,$M83)&gt;0,
     COUNTIFS($AF$3:$AF$201,$M83)&gt;0,
     COUNTIFS($AG$3:$AG$201,$M83)&gt;0,
     COUNTIFS($AH$3:$AH$201,$M83)&gt;0,
     COUNTIFS($AI$3:$AI$201,$M83)&gt;0,
     COUNTIFS($AJ$3:$AJ$201,$M83)&gt;0,
     COUNTIFS($AK$3:$AK$201,$M83)&gt;0,
     COUNTIFS($AL$3:$AL$201,$M83)&gt;0,
     COUNTIFS($AM$3:$AM$201,$M83)&gt;0,
     COUNTIFS($AN$3:$AN$201,$M83)&gt;0,
     COUNTIFS($AO$3:$AO$201,$M83)&gt;0,
     COUNTIFS($AP$3:$AP$201,$M83)&gt;0,
     COUNTIFS($AQ$3:$AQ$201,$M83)&gt;0,
     COUNTIFS($AR$3:$AR$201,$M83)&gt;0,
     COUNTIFS($AS$3:$AS$201,$M83)&gt;0,
     COUNTIFS($AT$3:$AT$201,$M83)&gt;0,
     COUNTIFS($AU$3:$AU$201,$M83)&gt;0,
     COUNTIFS($AV$3:$AV$201,$M83)&gt;0,
     COUNTIFS($AW$3:$AW$201,$M83)&gt;0
   )),
  ),
  2
 ),
"")</f>
        <v/>
      </c>
      <c r="Q83" s="3" t="str" cm="1">
        <f t="array" aca="1" ref="Q83" ca="1">IFERROR(
 INDEX(
  _xlfn._xlws.FILTER($T$2:$AW$2,
   TRANSPOSE(
    CHOOSE({1;2;3;4;5;6;7;8;9;10;11;12;13;14;15;16;17;18;19;20;21;22;23;24;25;26;27;28;29;30},
     COUNTIFS($T$3:$T$201,$M83)&gt;0,
     COUNTIFS($U$3:$U$201,$M83)&gt;0,
     COUNTIFS($V$3:$V$201,$M83)&gt;0,
     COUNTIFS($W$3:$W$201,$M83)&gt;0,
     COUNTIFS($X$3:$X$201,$M83)&gt;0,
     COUNTIFS($Y$3:$Y$201,$M83)&gt;0,
     COUNTIFS($Z$3:$Z$201,$M83)&gt;0,
     COUNTIFS($AA$3:$AA$201,$M83)&gt;0,
     COUNTIFS($AB$3:$AB$201,$M83)&gt;0,
     COUNTIFS($AC$3:$AC$201,$M83)&gt;0,
     COUNTIFS($AD$3:$AD$201,$M83)&gt;0,
     COUNTIFS($AE$3:$AE$201,$M83)&gt;0,
     COUNTIFS($AF$3:$AF$201,$M83)&gt;0,
     COUNTIFS($AG$3:$AG$201,$M83)&gt;0,
     COUNTIFS($AH$3:$AH$201,$M83)&gt;0,
     COUNTIFS($AI$3:$AI$201,$M83)&gt;0,
     COUNTIFS($AJ$3:$AJ$201,$M83)&gt;0,
     COUNTIFS($AK$3:$AK$201,$M83)&gt;0,
     COUNTIFS($AL$3:$AL$201,$M83)&gt;0,
     COUNTIFS($AM$3:$AM$201,$M83)&gt;0,
     COUNTIFS($AN$3:$AN$201,$M83)&gt;0,
     COUNTIFS($AO$3:$AO$201,$M83)&gt;0,
     COUNTIFS($AP$3:$AP$201,$M83)&gt;0,
     COUNTIFS($AQ$3:$AQ$201,$M83)&gt;0,
     COUNTIFS($AR$3:$AR$201,$M83)&gt;0,
     COUNTIFS($AS$3:$AS$201,$M83)&gt;0,
     COUNTIFS($AT$3:$AT$201,$M83)&gt;0,
     COUNTIFS($AU$3:$AU$201,$M83)&gt;0,
     COUNTIFS($AV$3:$AV$201,$M83)&gt;0,
     COUNTIFS($AW$3:$AW$201,$M83)&gt;0
   )),
  ),
  3
 ),
"")</f>
        <v/>
      </c>
      <c r="R83" s="3" t="str" cm="1">
        <f t="array" aca="1" ref="R83" ca="1">IFERROR(
 INDEX(
  _xlfn._xlws.FILTER($T$2:$AW$2,
   TRANSPOSE(
    CHOOSE({1;2;3;4;5;6;7;8;9;10;11;12;13;14;15;16;17;18;19;20;21;22;23;24;25;26;27;28;29;30},
     COUNTIFS($T$3:$T$201,$M83)&gt;0,
     COUNTIFS($U$3:$U$201,$M83)&gt;0,
     COUNTIFS($V$3:$V$201,$M83)&gt;0,
     COUNTIFS($W$3:$W$201,$M83)&gt;0,
     COUNTIFS($X$3:$X$201,$M83)&gt;0,
     COUNTIFS($Y$3:$Y$201,$M83)&gt;0,
     COUNTIFS($Z$3:$Z$201,$M83)&gt;0,
     COUNTIFS($AA$3:$AA$201,$M83)&gt;0,
     COUNTIFS($AB$3:$AB$201,$M83)&gt;0,
     COUNTIFS($AC$3:$AC$201,$M83)&gt;0,
     COUNTIFS($AD$3:$AD$201,$M83)&gt;0,
     COUNTIFS($AE$3:$AE$201,$M83)&gt;0,
     COUNTIFS($AF$3:$AF$201,$M83)&gt;0,
     COUNTIFS($AG$3:$AG$201,$M83)&gt;0,
     COUNTIFS($AH$3:$AH$201,$M83)&gt;0,
     COUNTIFS($AI$3:$AI$201,$M83)&gt;0,
     COUNTIFS($AJ$3:$AJ$201,$M83)&gt;0,
     COUNTIFS($AK$3:$AK$201,$M83)&gt;0,
     COUNTIFS($AL$3:$AL$201,$M83)&gt;0,
     COUNTIFS($AM$3:$AM$201,$M83)&gt;0,
     COUNTIFS($AN$3:$AN$201,$M83)&gt;0,
     COUNTIFS($AO$3:$AO$201,$M83)&gt;0,
     COUNTIFS($AP$3:$AP$201,$M83)&gt;0,
     COUNTIFS($AQ$3:$AQ$201,$M83)&gt;0,
     COUNTIFS($AR$3:$AR$201,$M83)&gt;0,
     COUNTIFS($AS$3:$AS$201,$M83)&gt;0,
     COUNTIFS($AT$3:$AT$201,$M83)&gt;0,
     COUNTIFS($AU$3:$AU$201,$M83)&gt;0,
     COUNTIFS($AV$3:$AV$201,$M83)&gt;0,
     COUNTIFS($AW$3:$AW$201,$M83)&gt;0
   )),
  ),
  4
 ),
"")</f>
        <v/>
      </c>
      <c r="CA83" t="str">
        <f ca="1"/>
        <v>Oversold Cemetery</v>
      </c>
      <c r="CF83" t="str">
        <f ca="1"/>
        <v>Goblin Bombardment</v>
      </c>
      <c r="CG83" t="str">
        <f ca="1"/>
        <v>Urzal Ventoso</v>
      </c>
      <c r="CI83" t="str">
        <f ca="1"/>
        <v>Eterificar</v>
      </c>
    </row>
    <row r="84" spans="1:87" x14ac:dyDescent="0.25">
      <c r="A84" t="str">
        <f ca="1"/>
        <v>Evendo, Waking Haven</v>
      </c>
      <c r="B84" s="3" t="str" cm="1">
        <f t="array" aca="1" ref="B84" ca="1">_xlfn.ANCHORARRAY(RESUMO!C83)</f>
        <v>Elfos</v>
      </c>
      <c r="C84" s="3" t="str">
        <f t="shared" ca="1" si="4"/>
        <v/>
      </c>
      <c r="E84" t="str">
        <f ca="1"/>
        <v>Eternal Witness</v>
      </c>
      <c r="F84" s="3">
        <f t="shared" ca="1" si="5"/>
        <v>2</v>
      </c>
      <c r="G84" s="3" t="str">
        <f t="shared" ca="1" si="6"/>
        <v>Tayam</v>
      </c>
      <c r="M84" t="str">
        <f ca="1"/>
        <v>Eternal Witness</v>
      </c>
      <c r="N84" s="3">
        <f t="shared" ca="1" si="7"/>
        <v>2</v>
      </c>
      <c r="O84" s="3" t="str">
        <f ca="1">IFERROR(
 INDEX($T$2:$AW$2,
  MATCH(TRUE,
   CHOOSE({1;2;3;4;5;6;7;8;9;10;11;12;13;14;15;16;17;18;19;20;21;22;23;24;25;26;27;28;29;30;31;32},
    COUNTIFS($T$3:$T$201,$M84)&gt;0,
    COUNTIFS($U$3:$U$201,$M84)&gt;0,
    COUNTIFS($V$3:$V$201,$M84)&gt;0,
    COUNTIFS($W$3:$W$201,$M84)&gt;0,
    COUNTIFS($X$3:$X$201,$M84)&gt;0,
    COUNTIFS($Y$3:$Y$201,$M84)&gt;0,
    COUNTIFS($Z$3:$Z$201,$M84)&gt;0,
    COUNTIFS($AA$3:$AA$201,$M84)&gt;0,
    COUNTIFS($AB$3:$AB$201,$M84)&gt;0,
    COUNTIFS($AC$3:$AC$201,$M84)&gt;0,
    COUNTIFS($AD$3:$AD$201,$M84)&gt;0,
    COUNTIFS($AE$3:$AE$201,$M84)&gt;0,
    COUNTIFS($AF$3:$AF$201,$M84)&gt;0,
    COUNTIFS($AG$3:$AG$201,$M84)&gt;0,
    COUNTIFS($AH$3:$AH$201,$M84)&gt;0,
    COUNTIFS($AI$3:$AI$201,$M84)&gt;0,
    COUNTIFS($AJ$3:$AJ$201,$M84)&gt;0,
    COUNTIFS($AK$3:$AK$201,$M84)&gt;0,
    COUNTIFS($AL$3:$AL$201,$M84)&gt;0,
    COUNTIFS($AM$3:$AM$201,$M84)&gt;0,
    COUNTIFS($AN$3:$AN$201,$M84)&gt;0,
    COUNTIFS($AO$3:$AO$201,$M84)&gt;0,
    COUNTIFS($AP$3:$AP$201,$M84)&gt;0,
    COUNTIFS($AQ$3:$AQ$201,$M84)&gt;0,
    COUNTIFS($AR$3:$AR$201,$M84)&gt;0,
    COUNTIFS($AS$3:$AS$201,$M84)&gt;0,
    COUNTIFS($AT$3:$AT$201,$M84)&gt;0,
    COUNTIFS($AU$3:$AU$201,$M84)&gt;0,
    COUNTIFS($AV$3:$AV$201,$M84)&gt;0,
    COUNTIFS($AW$3:$AW$201,$M84)&gt;0
   ),
  0)
 ),
"")</f>
        <v>Tayam</v>
      </c>
      <c r="P84" s="3" t="str" cm="1">
        <f t="array" aca="1" ref="P84" ca="1">IFERROR(
 INDEX(
  _xlfn._xlws.FILTER($T$2:$AW$2,
   TRANSPOSE(
    CHOOSE({1;2;3;4;5;6;7;8;9;10;11;12;13;14;15;16;17;18;19;20;21;22;23;24;25;26;27;28;29;30},
     COUNTIFS($T$3:$T$201,$M84)&gt;0,
     COUNTIFS($U$3:$U$201,$M84)&gt;0,
     COUNTIFS($V$3:$V$201,$M84)&gt;0,
     COUNTIFS($W$3:$W$201,$M84)&gt;0,
     COUNTIFS($X$3:$X$201,$M84)&gt;0,
     COUNTIFS($Y$3:$Y$201,$M84)&gt;0,
     COUNTIFS($Z$3:$Z$201,$M84)&gt;0,
     COUNTIFS($AA$3:$AA$201,$M84)&gt;0,
     COUNTIFS($AB$3:$AB$201,$M84)&gt;0,
     COUNTIFS($AC$3:$AC$201,$M84)&gt;0,
     COUNTIFS($AD$3:$AD$201,$M84)&gt;0,
     COUNTIFS($AE$3:$AE$201,$M84)&gt;0,
     COUNTIFS($AF$3:$AF$201,$M84)&gt;0,
     COUNTIFS($AG$3:$AG$201,$M84)&gt;0,
     COUNTIFS($AH$3:$AH$201,$M84)&gt;0,
     COUNTIFS($AI$3:$AI$201,$M84)&gt;0,
     COUNTIFS($AJ$3:$AJ$201,$M84)&gt;0,
     COUNTIFS($AK$3:$AK$201,$M84)&gt;0,
     COUNTIFS($AL$3:$AL$201,$M84)&gt;0,
     COUNTIFS($AM$3:$AM$201,$M84)&gt;0,
     COUNTIFS($AN$3:$AN$201,$M84)&gt;0,
     COUNTIFS($AO$3:$AO$201,$M84)&gt;0,
     COUNTIFS($AP$3:$AP$201,$M84)&gt;0,
     COUNTIFS($AQ$3:$AQ$201,$M84)&gt;0,
     COUNTIFS($AR$3:$AR$201,$M84)&gt;0,
     COUNTIFS($AS$3:$AS$201,$M84)&gt;0,
     COUNTIFS($AT$3:$AT$201,$M84)&gt;0,
     COUNTIFS($AU$3:$AU$201,$M84)&gt;0,
     COUNTIFS($AV$3:$AV$201,$M84)&gt;0,
     COUNTIFS($AW$3:$AW$201,$M84)&gt;0
   )),
  ),
  2
 ),
"")</f>
        <v>Thrakiri</v>
      </c>
      <c r="Q84" s="3" t="str" cm="1">
        <f t="array" aca="1" ref="Q84" ca="1">IFERROR(
 INDEX(
  _xlfn._xlws.FILTER($T$2:$AW$2,
   TRANSPOSE(
    CHOOSE({1;2;3;4;5;6;7;8;9;10;11;12;13;14;15;16;17;18;19;20;21;22;23;24;25;26;27;28;29;30},
     COUNTIFS($T$3:$T$201,$M84)&gt;0,
     COUNTIFS($U$3:$U$201,$M84)&gt;0,
     COUNTIFS($V$3:$V$201,$M84)&gt;0,
     COUNTIFS($W$3:$W$201,$M84)&gt;0,
     COUNTIFS($X$3:$X$201,$M84)&gt;0,
     COUNTIFS($Y$3:$Y$201,$M84)&gt;0,
     COUNTIFS($Z$3:$Z$201,$M84)&gt;0,
     COUNTIFS($AA$3:$AA$201,$M84)&gt;0,
     COUNTIFS($AB$3:$AB$201,$M84)&gt;0,
     COUNTIFS($AC$3:$AC$201,$M84)&gt;0,
     COUNTIFS($AD$3:$AD$201,$M84)&gt;0,
     COUNTIFS($AE$3:$AE$201,$M84)&gt;0,
     COUNTIFS($AF$3:$AF$201,$M84)&gt;0,
     COUNTIFS($AG$3:$AG$201,$M84)&gt;0,
     COUNTIFS($AH$3:$AH$201,$M84)&gt;0,
     COUNTIFS($AI$3:$AI$201,$M84)&gt;0,
     COUNTIFS($AJ$3:$AJ$201,$M84)&gt;0,
     COUNTIFS($AK$3:$AK$201,$M84)&gt;0,
     COUNTIFS($AL$3:$AL$201,$M84)&gt;0,
     COUNTIFS($AM$3:$AM$201,$M84)&gt;0,
     COUNTIFS($AN$3:$AN$201,$M84)&gt;0,
     COUNTIFS($AO$3:$AO$201,$M84)&gt;0,
     COUNTIFS($AP$3:$AP$201,$M84)&gt;0,
     COUNTIFS($AQ$3:$AQ$201,$M84)&gt;0,
     COUNTIFS($AR$3:$AR$201,$M84)&gt;0,
     COUNTIFS($AS$3:$AS$201,$M84)&gt;0,
     COUNTIFS($AT$3:$AT$201,$M84)&gt;0,
     COUNTIFS($AU$3:$AU$201,$M84)&gt;0,
     COUNTIFS($AV$3:$AV$201,$M84)&gt;0,
     COUNTIFS($AW$3:$AW$201,$M84)&gt;0
   )),
  ),
  3
 ),
"")</f>
        <v/>
      </c>
      <c r="R84" s="3" t="str" cm="1">
        <f t="array" aca="1" ref="R84" ca="1">IFERROR(
 INDEX(
  _xlfn._xlws.FILTER($T$2:$AW$2,
   TRANSPOSE(
    CHOOSE({1;2;3;4;5;6;7;8;9;10;11;12;13;14;15;16;17;18;19;20;21;22;23;24;25;26;27;28;29;30},
     COUNTIFS($T$3:$T$201,$M84)&gt;0,
     COUNTIFS($U$3:$U$201,$M84)&gt;0,
     COUNTIFS($V$3:$V$201,$M84)&gt;0,
     COUNTIFS($W$3:$W$201,$M84)&gt;0,
     COUNTIFS($X$3:$X$201,$M84)&gt;0,
     COUNTIFS($Y$3:$Y$201,$M84)&gt;0,
     COUNTIFS($Z$3:$Z$201,$M84)&gt;0,
     COUNTIFS($AA$3:$AA$201,$M84)&gt;0,
     COUNTIFS($AB$3:$AB$201,$M84)&gt;0,
     COUNTIFS($AC$3:$AC$201,$M84)&gt;0,
     COUNTIFS($AD$3:$AD$201,$M84)&gt;0,
     COUNTIFS($AE$3:$AE$201,$M84)&gt;0,
     COUNTIFS($AF$3:$AF$201,$M84)&gt;0,
     COUNTIFS($AG$3:$AG$201,$M84)&gt;0,
     COUNTIFS($AH$3:$AH$201,$M84)&gt;0,
     COUNTIFS($AI$3:$AI$201,$M84)&gt;0,
     COUNTIFS($AJ$3:$AJ$201,$M84)&gt;0,
     COUNTIFS($AK$3:$AK$201,$M84)&gt;0,
     COUNTIFS($AL$3:$AL$201,$M84)&gt;0,
     COUNTIFS($AM$3:$AM$201,$M84)&gt;0,
     COUNTIFS($AN$3:$AN$201,$M84)&gt;0,
     COUNTIFS($AO$3:$AO$201,$M84)&gt;0,
     COUNTIFS($AP$3:$AP$201,$M84)&gt;0,
     COUNTIFS($AQ$3:$AQ$201,$M84)&gt;0,
     COUNTIFS($AR$3:$AR$201,$M84)&gt;0,
     COUNTIFS($AS$3:$AS$201,$M84)&gt;0,
     COUNTIFS($AT$3:$AT$201,$M84)&gt;0,
     COUNTIFS($AU$3:$AU$201,$M84)&gt;0,
     COUNTIFS($AV$3:$AV$201,$M84)&gt;0,
     COUNTIFS($AW$3:$AW$201,$M84)&gt;0
   )),
  ),
  4
 ),
"")</f>
        <v/>
      </c>
      <c r="CA84" t="str">
        <f ca="1"/>
        <v>Paisagem Agourenta</v>
      </c>
      <c r="CF84" t="str">
        <f ca="1"/>
        <v>Grazilaxx, Illithid Scholar</v>
      </c>
      <c r="CG84" t="str">
        <f ca="1"/>
        <v>Vigor</v>
      </c>
      <c r="CI84" t="str">
        <f ca="1"/>
        <v>Eternal Witness</v>
      </c>
    </row>
    <row r="85" spans="1:87" x14ac:dyDescent="0.25">
      <c r="A85" t="str">
        <f ca="1"/>
        <v>Exalted Sunborn</v>
      </c>
      <c r="B85" s="3" t="str" cm="1">
        <f t="array" aca="1" ref="B85" ca="1">_xlfn.ANCHORARRAY(RESUMO!C84)</f>
        <v>Baylen</v>
      </c>
      <c r="C85" s="3" t="str">
        <f t="shared" ca="1" si="4"/>
        <v/>
      </c>
      <c r="E85" t="str">
        <f ca="1"/>
        <v>Eureka Moment</v>
      </c>
      <c r="F85" s="3">
        <f t="shared" ca="1" si="5"/>
        <v>1</v>
      </c>
      <c r="G85" s="3" t="str">
        <f t="shared" ca="1" si="6"/>
        <v>Kumena</v>
      </c>
      <c r="M85" t="str">
        <f ca="1"/>
        <v>Eureka Moment</v>
      </c>
      <c r="N85" s="3">
        <f t="shared" ca="1" si="7"/>
        <v>1</v>
      </c>
      <c r="O85" s="3" t="str">
        <f ca="1">IFERROR(
 INDEX($T$2:$AW$2,
  MATCH(TRUE,
   CHOOSE({1;2;3;4;5;6;7;8;9;10;11;12;13;14;15;16;17;18;19;20;21;22;23;24;25;26;27;28;29;30;31;32},
    COUNTIFS($T$3:$T$201,$M85)&gt;0,
    COUNTIFS($U$3:$U$201,$M85)&gt;0,
    COUNTIFS($V$3:$V$201,$M85)&gt;0,
    COUNTIFS($W$3:$W$201,$M85)&gt;0,
    COUNTIFS($X$3:$X$201,$M85)&gt;0,
    COUNTIFS($Y$3:$Y$201,$M85)&gt;0,
    COUNTIFS($Z$3:$Z$201,$M85)&gt;0,
    COUNTIFS($AA$3:$AA$201,$M85)&gt;0,
    COUNTIFS($AB$3:$AB$201,$M85)&gt;0,
    COUNTIFS($AC$3:$AC$201,$M85)&gt;0,
    COUNTIFS($AD$3:$AD$201,$M85)&gt;0,
    COUNTIFS($AE$3:$AE$201,$M85)&gt;0,
    COUNTIFS($AF$3:$AF$201,$M85)&gt;0,
    COUNTIFS($AG$3:$AG$201,$M85)&gt;0,
    COUNTIFS($AH$3:$AH$201,$M85)&gt;0,
    COUNTIFS($AI$3:$AI$201,$M85)&gt;0,
    COUNTIFS($AJ$3:$AJ$201,$M85)&gt;0,
    COUNTIFS($AK$3:$AK$201,$M85)&gt;0,
    COUNTIFS($AL$3:$AL$201,$M85)&gt;0,
    COUNTIFS($AM$3:$AM$201,$M85)&gt;0,
    COUNTIFS($AN$3:$AN$201,$M85)&gt;0,
    COUNTIFS($AO$3:$AO$201,$M85)&gt;0,
    COUNTIFS($AP$3:$AP$201,$M85)&gt;0,
    COUNTIFS($AQ$3:$AQ$201,$M85)&gt;0,
    COUNTIFS($AR$3:$AR$201,$M85)&gt;0,
    COUNTIFS($AS$3:$AS$201,$M85)&gt;0,
    COUNTIFS($AT$3:$AT$201,$M85)&gt;0,
    COUNTIFS($AU$3:$AU$201,$M85)&gt;0,
    COUNTIFS($AV$3:$AV$201,$M85)&gt;0,
    COUNTIFS($AW$3:$AW$201,$M85)&gt;0
   ),
  0)
 ),
"")</f>
        <v>Kumena</v>
      </c>
      <c r="P85" s="3" t="str" cm="1">
        <f t="array" aca="1" ref="P85" ca="1">IFERROR(
 INDEX(
  _xlfn._xlws.FILTER($T$2:$AW$2,
   TRANSPOSE(
    CHOOSE({1;2;3;4;5;6;7;8;9;10;11;12;13;14;15;16;17;18;19;20;21;22;23;24;25;26;27;28;29;30},
     COUNTIFS($T$3:$T$201,$M85)&gt;0,
     COUNTIFS($U$3:$U$201,$M85)&gt;0,
     COUNTIFS($V$3:$V$201,$M85)&gt;0,
     COUNTIFS($W$3:$W$201,$M85)&gt;0,
     COUNTIFS($X$3:$X$201,$M85)&gt;0,
     COUNTIFS($Y$3:$Y$201,$M85)&gt;0,
     COUNTIFS($Z$3:$Z$201,$M85)&gt;0,
     COUNTIFS($AA$3:$AA$201,$M85)&gt;0,
     COUNTIFS($AB$3:$AB$201,$M85)&gt;0,
     COUNTIFS($AC$3:$AC$201,$M85)&gt;0,
     COUNTIFS($AD$3:$AD$201,$M85)&gt;0,
     COUNTIFS($AE$3:$AE$201,$M85)&gt;0,
     COUNTIFS($AF$3:$AF$201,$M85)&gt;0,
     COUNTIFS($AG$3:$AG$201,$M85)&gt;0,
     COUNTIFS($AH$3:$AH$201,$M85)&gt;0,
     COUNTIFS($AI$3:$AI$201,$M85)&gt;0,
     COUNTIFS($AJ$3:$AJ$201,$M85)&gt;0,
     COUNTIFS($AK$3:$AK$201,$M85)&gt;0,
     COUNTIFS($AL$3:$AL$201,$M85)&gt;0,
     COUNTIFS($AM$3:$AM$201,$M85)&gt;0,
     COUNTIFS($AN$3:$AN$201,$M85)&gt;0,
     COUNTIFS($AO$3:$AO$201,$M85)&gt;0,
     COUNTIFS($AP$3:$AP$201,$M85)&gt;0,
     COUNTIFS($AQ$3:$AQ$201,$M85)&gt;0,
     COUNTIFS($AR$3:$AR$201,$M85)&gt;0,
     COUNTIFS($AS$3:$AS$201,$M85)&gt;0,
     COUNTIFS($AT$3:$AT$201,$M85)&gt;0,
     COUNTIFS($AU$3:$AU$201,$M85)&gt;0,
     COUNTIFS($AV$3:$AV$201,$M85)&gt;0,
     COUNTIFS($AW$3:$AW$201,$M85)&gt;0
   )),
  ),
  2
 ),
"")</f>
        <v/>
      </c>
      <c r="Q85" s="3" t="str" cm="1">
        <f t="array" aca="1" ref="Q85" ca="1">IFERROR(
 INDEX(
  _xlfn._xlws.FILTER($T$2:$AW$2,
   TRANSPOSE(
    CHOOSE({1;2;3;4;5;6;7;8;9;10;11;12;13;14;15;16;17;18;19;20;21;22;23;24;25;26;27;28;29;30},
     COUNTIFS($T$3:$T$201,$M85)&gt;0,
     COUNTIFS($U$3:$U$201,$M85)&gt;0,
     COUNTIFS($V$3:$V$201,$M85)&gt;0,
     COUNTIFS($W$3:$W$201,$M85)&gt;0,
     COUNTIFS($X$3:$X$201,$M85)&gt;0,
     COUNTIFS($Y$3:$Y$201,$M85)&gt;0,
     COUNTIFS($Z$3:$Z$201,$M85)&gt;0,
     COUNTIFS($AA$3:$AA$201,$M85)&gt;0,
     COUNTIFS($AB$3:$AB$201,$M85)&gt;0,
     COUNTIFS($AC$3:$AC$201,$M85)&gt;0,
     COUNTIFS($AD$3:$AD$201,$M85)&gt;0,
     COUNTIFS($AE$3:$AE$201,$M85)&gt;0,
     COUNTIFS($AF$3:$AF$201,$M85)&gt;0,
     COUNTIFS($AG$3:$AG$201,$M85)&gt;0,
     COUNTIFS($AH$3:$AH$201,$M85)&gt;0,
     COUNTIFS($AI$3:$AI$201,$M85)&gt;0,
     COUNTIFS($AJ$3:$AJ$201,$M85)&gt;0,
     COUNTIFS($AK$3:$AK$201,$M85)&gt;0,
     COUNTIFS($AL$3:$AL$201,$M85)&gt;0,
     COUNTIFS($AM$3:$AM$201,$M85)&gt;0,
     COUNTIFS($AN$3:$AN$201,$M85)&gt;0,
     COUNTIFS($AO$3:$AO$201,$M85)&gt;0,
     COUNTIFS($AP$3:$AP$201,$M85)&gt;0,
     COUNTIFS($AQ$3:$AQ$201,$M85)&gt;0,
     COUNTIFS($AR$3:$AR$201,$M85)&gt;0,
     COUNTIFS($AS$3:$AS$201,$M85)&gt;0,
     COUNTIFS($AT$3:$AT$201,$M85)&gt;0,
     COUNTIFS($AU$3:$AU$201,$M85)&gt;0,
     COUNTIFS($AV$3:$AV$201,$M85)&gt;0,
     COUNTIFS($AW$3:$AW$201,$M85)&gt;0
   )),
  ),
  3
 ),
"")</f>
        <v/>
      </c>
      <c r="R85" s="3" t="str" cm="1">
        <f t="array" aca="1" ref="R85" ca="1">IFERROR(
 INDEX(
  _xlfn._xlws.FILTER($T$2:$AW$2,
   TRANSPOSE(
    CHOOSE({1;2;3;4;5;6;7;8;9;10;11;12;13;14;15;16;17;18;19;20;21;22;23;24;25;26;27;28;29;30},
     COUNTIFS($T$3:$T$201,$M85)&gt;0,
     COUNTIFS($U$3:$U$201,$M85)&gt;0,
     COUNTIFS($V$3:$V$201,$M85)&gt;0,
     COUNTIFS($W$3:$W$201,$M85)&gt;0,
     COUNTIFS($X$3:$X$201,$M85)&gt;0,
     COUNTIFS($Y$3:$Y$201,$M85)&gt;0,
     COUNTIFS($Z$3:$Z$201,$M85)&gt;0,
     COUNTIFS($AA$3:$AA$201,$M85)&gt;0,
     COUNTIFS($AB$3:$AB$201,$M85)&gt;0,
     COUNTIFS($AC$3:$AC$201,$M85)&gt;0,
     COUNTIFS($AD$3:$AD$201,$M85)&gt;0,
     COUNTIFS($AE$3:$AE$201,$M85)&gt;0,
     COUNTIFS($AF$3:$AF$201,$M85)&gt;0,
     COUNTIFS($AG$3:$AG$201,$M85)&gt;0,
     COUNTIFS($AH$3:$AH$201,$M85)&gt;0,
     COUNTIFS($AI$3:$AI$201,$M85)&gt;0,
     COUNTIFS($AJ$3:$AJ$201,$M85)&gt;0,
     COUNTIFS($AK$3:$AK$201,$M85)&gt;0,
     COUNTIFS($AL$3:$AL$201,$M85)&gt;0,
     COUNTIFS($AM$3:$AM$201,$M85)&gt;0,
     COUNTIFS($AN$3:$AN$201,$M85)&gt;0,
     COUNTIFS($AO$3:$AO$201,$M85)&gt;0,
     COUNTIFS($AP$3:$AP$201,$M85)&gt;0,
     COUNTIFS($AQ$3:$AQ$201,$M85)&gt;0,
     COUNTIFS($AR$3:$AR$201,$M85)&gt;0,
     COUNTIFS($AS$3:$AS$201,$M85)&gt;0,
     COUNTIFS($AT$3:$AT$201,$M85)&gt;0,
     COUNTIFS($AU$3:$AU$201,$M85)&gt;0,
     COUNTIFS($AV$3:$AV$201,$M85)&gt;0,
     COUNTIFS($AW$3:$AW$201,$M85)&gt;0
   )),
  ),
  4
 ),
"")</f>
        <v/>
      </c>
      <c r="CA85" t="str">
        <f ca="1"/>
        <v>Panorama de Grixis</v>
      </c>
      <c r="CF85" t="str">
        <f ca="1"/>
        <v>Guardiã da Aurora de Gavony</v>
      </c>
      <c r="CG85" t="str">
        <f ca="1"/>
        <v>Wilderness Reclamation</v>
      </c>
      <c r="CI85" t="str">
        <f ca="1"/>
        <v>Eureka Moment</v>
      </c>
    </row>
    <row r="86" spans="1:87" x14ac:dyDescent="0.25">
      <c r="A86" t="str">
        <f ca="1"/>
        <v>Exemplar of Light</v>
      </c>
      <c r="B86" s="3" t="str" cm="1">
        <f t="array" aca="1" ref="B86" ca="1">_xlfn.ANCHORARRAY(RESUMO!C85)</f>
        <v>Carlos</v>
      </c>
      <c r="C86" s="3" t="str">
        <f t="shared" ca="1" si="4"/>
        <v/>
      </c>
      <c r="E86" t="str">
        <f ca="1"/>
        <v>Exarca Progenitor</v>
      </c>
      <c r="F86" s="3">
        <f t="shared" ca="1" si="5"/>
        <v>1</v>
      </c>
      <c r="G86" s="3" t="str">
        <f t="shared" ca="1" si="6"/>
        <v>Modular</v>
      </c>
      <c r="M86" t="str">
        <f ca="1"/>
        <v>Exarca Progenitor</v>
      </c>
      <c r="N86" s="3">
        <f t="shared" ca="1" si="7"/>
        <v>1</v>
      </c>
      <c r="O86" s="3" t="str">
        <f ca="1">IFERROR(
 INDEX($T$2:$AW$2,
  MATCH(TRUE,
   CHOOSE({1;2;3;4;5;6;7;8;9;10;11;12;13;14;15;16;17;18;19;20;21;22;23;24;25;26;27;28;29;30;31;32},
    COUNTIFS($T$3:$T$201,$M86)&gt;0,
    COUNTIFS($U$3:$U$201,$M86)&gt;0,
    COUNTIFS($V$3:$V$201,$M86)&gt;0,
    COUNTIFS($W$3:$W$201,$M86)&gt;0,
    COUNTIFS($X$3:$X$201,$M86)&gt;0,
    COUNTIFS($Y$3:$Y$201,$M86)&gt;0,
    COUNTIFS($Z$3:$Z$201,$M86)&gt;0,
    COUNTIFS($AA$3:$AA$201,$M86)&gt;0,
    COUNTIFS($AB$3:$AB$201,$M86)&gt;0,
    COUNTIFS($AC$3:$AC$201,$M86)&gt;0,
    COUNTIFS($AD$3:$AD$201,$M86)&gt;0,
    COUNTIFS($AE$3:$AE$201,$M86)&gt;0,
    COUNTIFS($AF$3:$AF$201,$M86)&gt;0,
    COUNTIFS($AG$3:$AG$201,$M86)&gt;0,
    COUNTIFS($AH$3:$AH$201,$M86)&gt;0,
    COUNTIFS($AI$3:$AI$201,$M86)&gt;0,
    COUNTIFS($AJ$3:$AJ$201,$M86)&gt;0,
    COUNTIFS($AK$3:$AK$201,$M86)&gt;0,
    COUNTIFS($AL$3:$AL$201,$M86)&gt;0,
    COUNTIFS($AM$3:$AM$201,$M86)&gt;0,
    COUNTIFS($AN$3:$AN$201,$M86)&gt;0,
    COUNTIFS($AO$3:$AO$201,$M86)&gt;0,
    COUNTIFS($AP$3:$AP$201,$M86)&gt;0,
    COUNTIFS($AQ$3:$AQ$201,$M86)&gt;0,
    COUNTIFS($AR$3:$AR$201,$M86)&gt;0,
    COUNTIFS($AS$3:$AS$201,$M86)&gt;0,
    COUNTIFS($AT$3:$AT$201,$M86)&gt;0,
    COUNTIFS($AU$3:$AU$201,$M86)&gt;0,
    COUNTIFS($AV$3:$AV$201,$M86)&gt;0,
    COUNTIFS($AW$3:$AW$201,$M86)&gt;0
   ),
  0)
 ),
"")</f>
        <v>Modular</v>
      </c>
      <c r="P86" s="3" t="str" cm="1">
        <f t="array" aca="1" ref="P86" ca="1">IFERROR(
 INDEX(
  _xlfn._xlws.FILTER($T$2:$AW$2,
   TRANSPOSE(
    CHOOSE({1;2;3;4;5;6;7;8;9;10;11;12;13;14;15;16;17;18;19;20;21;22;23;24;25;26;27;28;29;30},
     COUNTIFS($T$3:$T$201,$M86)&gt;0,
     COUNTIFS($U$3:$U$201,$M86)&gt;0,
     COUNTIFS($V$3:$V$201,$M86)&gt;0,
     COUNTIFS($W$3:$W$201,$M86)&gt;0,
     COUNTIFS($X$3:$X$201,$M86)&gt;0,
     COUNTIFS($Y$3:$Y$201,$M86)&gt;0,
     COUNTIFS($Z$3:$Z$201,$M86)&gt;0,
     COUNTIFS($AA$3:$AA$201,$M86)&gt;0,
     COUNTIFS($AB$3:$AB$201,$M86)&gt;0,
     COUNTIFS($AC$3:$AC$201,$M86)&gt;0,
     COUNTIFS($AD$3:$AD$201,$M86)&gt;0,
     COUNTIFS($AE$3:$AE$201,$M86)&gt;0,
     COUNTIFS($AF$3:$AF$201,$M86)&gt;0,
     COUNTIFS($AG$3:$AG$201,$M86)&gt;0,
     COUNTIFS($AH$3:$AH$201,$M86)&gt;0,
     COUNTIFS($AI$3:$AI$201,$M86)&gt;0,
     COUNTIFS($AJ$3:$AJ$201,$M86)&gt;0,
     COUNTIFS($AK$3:$AK$201,$M86)&gt;0,
     COUNTIFS($AL$3:$AL$201,$M86)&gt;0,
     COUNTIFS($AM$3:$AM$201,$M86)&gt;0,
     COUNTIFS($AN$3:$AN$201,$M86)&gt;0,
     COUNTIFS($AO$3:$AO$201,$M86)&gt;0,
     COUNTIFS($AP$3:$AP$201,$M86)&gt;0,
     COUNTIFS($AQ$3:$AQ$201,$M86)&gt;0,
     COUNTIFS($AR$3:$AR$201,$M86)&gt;0,
     COUNTIFS($AS$3:$AS$201,$M86)&gt;0,
     COUNTIFS($AT$3:$AT$201,$M86)&gt;0,
     COUNTIFS($AU$3:$AU$201,$M86)&gt;0,
     COUNTIFS($AV$3:$AV$201,$M86)&gt;0,
     COUNTIFS($AW$3:$AW$201,$M86)&gt;0
   )),
  ),
  2
 ),
"")</f>
        <v/>
      </c>
      <c r="Q86" s="3" t="str" cm="1">
        <f t="array" aca="1" ref="Q86" ca="1">IFERROR(
 INDEX(
  _xlfn._xlws.FILTER($T$2:$AW$2,
   TRANSPOSE(
    CHOOSE({1;2;3;4;5;6;7;8;9;10;11;12;13;14;15;16;17;18;19;20;21;22;23;24;25;26;27;28;29;30},
     COUNTIFS($T$3:$T$201,$M86)&gt;0,
     COUNTIFS($U$3:$U$201,$M86)&gt;0,
     COUNTIFS($V$3:$V$201,$M86)&gt;0,
     COUNTIFS($W$3:$W$201,$M86)&gt;0,
     COUNTIFS($X$3:$X$201,$M86)&gt;0,
     COUNTIFS($Y$3:$Y$201,$M86)&gt;0,
     COUNTIFS($Z$3:$Z$201,$M86)&gt;0,
     COUNTIFS($AA$3:$AA$201,$M86)&gt;0,
     COUNTIFS($AB$3:$AB$201,$M86)&gt;0,
     COUNTIFS($AC$3:$AC$201,$M86)&gt;0,
     COUNTIFS($AD$3:$AD$201,$M86)&gt;0,
     COUNTIFS($AE$3:$AE$201,$M86)&gt;0,
     COUNTIFS($AF$3:$AF$201,$M86)&gt;0,
     COUNTIFS($AG$3:$AG$201,$M86)&gt;0,
     COUNTIFS($AH$3:$AH$201,$M86)&gt;0,
     COUNTIFS($AI$3:$AI$201,$M86)&gt;0,
     COUNTIFS($AJ$3:$AJ$201,$M86)&gt;0,
     COUNTIFS($AK$3:$AK$201,$M86)&gt;0,
     COUNTIFS($AL$3:$AL$201,$M86)&gt;0,
     COUNTIFS($AM$3:$AM$201,$M86)&gt;0,
     COUNTIFS($AN$3:$AN$201,$M86)&gt;0,
     COUNTIFS($AO$3:$AO$201,$M86)&gt;0,
     COUNTIFS($AP$3:$AP$201,$M86)&gt;0,
     COUNTIFS($AQ$3:$AQ$201,$M86)&gt;0,
     COUNTIFS($AR$3:$AR$201,$M86)&gt;0,
     COUNTIFS($AS$3:$AS$201,$M86)&gt;0,
     COUNTIFS($AT$3:$AT$201,$M86)&gt;0,
     COUNTIFS($AU$3:$AU$201,$M86)&gt;0,
     COUNTIFS($AV$3:$AV$201,$M86)&gt;0,
     COUNTIFS($AW$3:$AW$201,$M86)&gt;0
   )),
  ),
  3
 ),
"")</f>
        <v/>
      </c>
      <c r="R86" s="3" t="str" cm="1">
        <f t="array" aca="1" ref="R86" ca="1">IFERROR(
 INDEX(
  _xlfn._xlws.FILTER($T$2:$AW$2,
   TRANSPOSE(
    CHOOSE({1;2;3;4;5;6;7;8;9;10;11;12;13;14;15;16;17;18;19;20;21;22;23;24;25;26;27;28;29;30},
     COUNTIFS($T$3:$T$201,$M86)&gt;0,
     COUNTIFS($U$3:$U$201,$M86)&gt;0,
     COUNTIFS($V$3:$V$201,$M86)&gt;0,
     COUNTIFS($W$3:$W$201,$M86)&gt;0,
     COUNTIFS($X$3:$X$201,$M86)&gt;0,
     COUNTIFS($Y$3:$Y$201,$M86)&gt;0,
     COUNTIFS($Z$3:$Z$201,$M86)&gt;0,
     COUNTIFS($AA$3:$AA$201,$M86)&gt;0,
     COUNTIFS($AB$3:$AB$201,$M86)&gt;0,
     COUNTIFS($AC$3:$AC$201,$M86)&gt;0,
     COUNTIFS($AD$3:$AD$201,$M86)&gt;0,
     COUNTIFS($AE$3:$AE$201,$M86)&gt;0,
     COUNTIFS($AF$3:$AF$201,$M86)&gt;0,
     COUNTIFS($AG$3:$AG$201,$M86)&gt;0,
     COUNTIFS($AH$3:$AH$201,$M86)&gt;0,
     COUNTIFS($AI$3:$AI$201,$M86)&gt;0,
     COUNTIFS($AJ$3:$AJ$201,$M86)&gt;0,
     COUNTIFS($AK$3:$AK$201,$M86)&gt;0,
     COUNTIFS($AL$3:$AL$201,$M86)&gt;0,
     COUNTIFS($AM$3:$AM$201,$M86)&gt;0,
     COUNTIFS($AN$3:$AN$201,$M86)&gt;0,
     COUNTIFS($AO$3:$AO$201,$M86)&gt;0,
     COUNTIFS($AP$3:$AP$201,$M86)&gt;0,
     COUNTIFS($AQ$3:$AQ$201,$M86)&gt;0,
     COUNTIFS($AR$3:$AR$201,$M86)&gt;0,
     COUNTIFS($AS$3:$AS$201,$M86)&gt;0,
     COUNTIFS($AT$3:$AT$201,$M86)&gt;0,
     COUNTIFS($AU$3:$AU$201,$M86)&gt;0,
     COUNTIFS($AV$3:$AV$201,$M86)&gt;0,
     COUNTIFS($AW$3:$AW$201,$M86)&gt;0
   )),
  ),
  4
 ),
"")</f>
        <v/>
      </c>
      <c r="CA86" t="str">
        <f ca="1"/>
        <v>Panorama de Naya</v>
      </c>
      <c r="CF86" t="str">
        <f ca="1"/>
        <v>Harrow</v>
      </c>
      <c r="CG86" t="str">
        <f ca="1"/>
        <v>Woe Strider</v>
      </c>
      <c r="CI86" t="str">
        <f ca="1"/>
        <v>Exarca Progenitor</v>
      </c>
    </row>
    <row r="87" spans="1:87" x14ac:dyDescent="0.25">
      <c r="A87" t="str">
        <f ca="1"/>
        <v>Extinguisher Battleship</v>
      </c>
      <c r="B87" s="3" t="str" cm="1">
        <f t="array" aca="1" ref="B87" ca="1">_xlfn.ANCHORARRAY(RESUMO!C86)</f>
        <v>Muzzio</v>
      </c>
      <c r="C87" s="3" t="str">
        <f t="shared" ca="1" si="4"/>
        <v/>
      </c>
      <c r="E87" t="str">
        <f ca="1"/>
        <v>Executor Impiedoso</v>
      </c>
      <c r="F87" s="3">
        <f t="shared" ca="1" si="5"/>
        <v>1</v>
      </c>
      <c r="G87" s="3" t="str">
        <f t="shared" ca="1" si="6"/>
        <v>Tayam</v>
      </c>
      <c r="M87" t="str">
        <f ca="1"/>
        <v>Executor Impiedoso</v>
      </c>
      <c r="N87" s="3">
        <f t="shared" ca="1" si="7"/>
        <v>1</v>
      </c>
      <c r="O87" s="3" t="str">
        <f ca="1">IFERROR(
 INDEX($T$2:$AW$2,
  MATCH(TRUE,
   CHOOSE({1;2;3;4;5;6;7;8;9;10;11;12;13;14;15;16;17;18;19;20;21;22;23;24;25;26;27;28;29;30;31;32},
    COUNTIFS($T$3:$T$201,$M87)&gt;0,
    COUNTIFS($U$3:$U$201,$M87)&gt;0,
    COUNTIFS($V$3:$V$201,$M87)&gt;0,
    COUNTIFS($W$3:$W$201,$M87)&gt;0,
    COUNTIFS($X$3:$X$201,$M87)&gt;0,
    COUNTIFS($Y$3:$Y$201,$M87)&gt;0,
    COUNTIFS($Z$3:$Z$201,$M87)&gt;0,
    COUNTIFS($AA$3:$AA$201,$M87)&gt;0,
    COUNTIFS($AB$3:$AB$201,$M87)&gt;0,
    COUNTIFS($AC$3:$AC$201,$M87)&gt;0,
    COUNTIFS($AD$3:$AD$201,$M87)&gt;0,
    COUNTIFS($AE$3:$AE$201,$M87)&gt;0,
    COUNTIFS($AF$3:$AF$201,$M87)&gt;0,
    COUNTIFS($AG$3:$AG$201,$M87)&gt;0,
    COUNTIFS($AH$3:$AH$201,$M87)&gt;0,
    COUNTIFS($AI$3:$AI$201,$M87)&gt;0,
    COUNTIFS($AJ$3:$AJ$201,$M87)&gt;0,
    COUNTIFS($AK$3:$AK$201,$M87)&gt;0,
    COUNTIFS($AL$3:$AL$201,$M87)&gt;0,
    COUNTIFS($AM$3:$AM$201,$M87)&gt;0,
    COUNTIFS($AN$3:$AN$201,$M87)&gt;0,
    COUNTIFS($AO$3:$AO$201,$M87)&gt;0,
    COUNTIFS($AP$3:$AP$201,$M87)&gt;0,
    COUNTIFS($AQ$3:$AQ$201,$M87)&gt;0,
    COUNTIFS($AR$3:$AR$201,$M87)&gt;0,
    COUNTIFS($AS$3:$AS$201,$M87)&gt;0,
    COUNTIFS($AT$3:$AT$201,$M87)&gt;0,
    COUNTIFS($AU$3:$AU$201,$M87)&gt;0,
    COUNTIFS($AV$3:$AV$201,$M87)&gt;0,
    COUNTIFS($AW$3:$AW$201,$M87)&gt;0
   ),
  0)
 ),
"")</f>
        <v>Tayam</v>
      </c>
      <c r="P87" s="3" t="str" cm="1">
        <f t="array" aca="1" ref="P87" ca="1">IFERROR(
 INDEX(
  _xlfn._xlws.FILTER($T$2:$AW$2,
   TRANSPOSE(
    CHOOSE({1;2;3;4;5;6;7;8;9;10;11;12;13;14;15;16;17;18;19;20;21;22;23;24;25;26;27;28;29;30},
     COUNTIFS($T$3:$T$201,$M87)&gt;0,
     COUNTIFS($U$3:$U$201,$M87)&gt;0,
     COUNTIFS($V$3:$V$201,$M87)&gt;0,
     COUNTIFS($W$3:$W$201,$M87)&gt;0,
     COUNTIFS($X$3:$X$201,$M87)&gt;0,
     COUNTIFS($Y$3:$Y$201,$M87)&gt;0,
     COUNTIFS($Z$3:$Z$201,$M87)&gt;0,
     COUNTIFS($AA$3:$AA$201,$M87)&gt;0,
     COUNTIFS($AB$3:$AB$201,$M87)&gt;0,
     COUNTIFS($AC$3:$AC$201,$M87)&gt;0,
     COUNTIFS($AD$3:$AD$201,$M87)&gt;0,
     COUNTIFS($AE$3:$AE$201,$M87)&gt;0,
     COUNTIFS($AF$3:$AF$201,$M87)&gt;0,
     COUNTIFS($AG$3:$AG$201,$M87)&gt;0,
     COUNTIFS($AH$3:$AH$201,$M87)&gt;0,
     COUNTIFS($AI$3:$AI$201,$M87)&gt;0,
     COUNTIFS($AJ$3:$AJ$201,$M87)&gt;0,
     COUNTIFS($AK$3:$AK$201,$M87)&gt;0,
     COUNTIFS($AL$3:$AL$201,$M87)&gt;0,
     COUNTIFS($AM$3:$AM$201,$M87)&gt;0,
     COUNTIFS($AN$3:$AN$201,$M87)&gt;0,
     COUNTIFS($AO$3:$AO$201,$M87)&gt;0,
     COUNTIFS($AP$3:$AP$201,$M87)&gt;0,
     COUNTIFS($AQ$3:$AQ$201,$M87)&gt;0,
     COUNTIFS($AR$3:$AR$201,$M87)&gt;0,
     COUNTIFS($AS$3:$AS$201,$M87)&gt;0,
     COUNTIFS($AT$3:$AT$201,$M87)&gt;0,
     COUNTIFS($AU$3:$AU$201,$M87)&gt;0,
     COUNTIFS($AV$3:$AV$201,$M87)&gt;0,
     COUNTIFS($AW$3:$AW$201,$M87)&gt;0
   )),
  ),
  2
 ),
"")</f>
        <v/>
      </c>
      <c r="Q87" s="3" t="str" cm="1">
        <f t="array" aca="1" ref="Q87" ca="1">IFERROR(
 INDEX(
  _xlfn._xlws.FILTER($T$2:$AW$2,
   TRANSPOSE(
    CHOOSE({1;2;3;4;5;6;7;8;9;10;11;12;13;14;15;16;17;18;19;20;21;22;23;24;25;26;27;28;29;30},
     COUNTIFS($T$3:$T$201,$M87)&gt;0,
     COUNTIFS($U$3:$U$201,$M87)&gt;0,
     COUNTIFS($V$3:$V$201,$M87)&gt;0,
     COUNTIFS($W$3:$W$201,$M87)&gt;0,
     COUNTIFS($X$3:$X$201,$M87)&gt;0,
     COUNTIFS($Y$3:$Y$201,$M87)&gt;0,
     COUNTIFS($Z$3:$Z$201,$M87)&gt;0,
     COUNTIFS($AA$3:$AA$201,$M87)&gt;0,
     COUNTIFS($AB$3:$AB$201,$M87)&gt;0,
     COUNTIFS($AC$3:$AC$201,$M87)&gt;0,
     COUNTIFS($AD$3:$AD$201,$M87)&gt;0,
     COUNTIFS($AE$3:$AE$201,$M87)&gt;0,
     COUNTIFS($AF$3:$AF$201,$M87)&gt;0,
     COUNTIFS($AG$3:$AG$201,$M87)&gt;0,
     COUNTIFS($AH$3:$AH$201,$M87)&gt;0,
     COUNTIFS($AI$3:$AI$201,$M87)&gt;0,
     COUNTIFS($AJ$3:$AJ$201,$M87)&gt;0,
     COUNTIFS($AK$3:$AK$201,$M87)&gt;0,
     COUNTIFS($AL$3:$AL$201,$M87)&gt;0,
     COUNTIFS($AM$3:$AM$201,$M87)&gt;0,
     COUNTIFS($AN$3:$AN$201,$M87)&gt;0,
     COUNTIFS($AO$3:$AO$201,$M87)&gt;0,
     COUNTIFS($AP$3:$AP$201,$M87)&gt;0,
     COUNTIFS($AQ$3:$AQ$201,$M87)&gt;0,
     COUNTIFS($AR$3:$AR$201,$M87)&gt;0,
     COUNTIFS($AS$3:$AS$201,$M87)&gt;0,
     COUNTIFS($AT$3:$AT$201,$M87)&gt;0,
     COUNTIFS($AU$3:$AU$201,$M87)&gt;0,
     COUNTIFS($AV$3:$AV$201,$M87)&gt;0,
     COUNTIFS($AW$3:$AW$201,$M87)&gt;0
   )),
  ),
  3
 ),
"")</f>
        <v/>
      </c>
      <c r="R87" s="3" t="str" cm="1">
        <f t="array" aca="1" ref="R87" ca="1">IFERROR(
 INDEX(
  _xlfn._xlws.FILTER($T$2:$AW$2,
   TRANSPOSE(
    CHOOSE({1;2;3;4;5;6;7;8;9;10;11;12;13;14;15;16;17;18;19;20;21;22;23;24;25;26;27;28;29;30},
     COUNTIFS($T$3:$T$201,$M87)&gt;0,
     COUNTIFS($U$3:$U$201,$M87)&gt;0,
     COUNTIFS($V$3:$V$201,$M87)&gt;0,
     COUNTIFS($W$3:$W$201,$M87)&gt;0,
     COUNTIFS($X$3:$X$201,$M87)&gt;0,
     COUNTIFS($Y$3:$Y$201,$M87)&gt;0,
     COUNTIFS($Z$3:$Z$201,$M87)&gt;0,
     COUNTIFS($AA$3:$AA$201,$M87)&gt;0,
     COUNTIFS($AB$3:$AB$201,$M87)&gt;0,
     COUNTIFS($AC$3:$AC$201,$M87)&gt;0,
     COUNTIFS($AD$3:$AD$201,$M87)&gt;0,
     COUNTIFS($AE$3:$AE$201,$M87)&gt;0,
     COUNTIFS($AF$3:$AF$201,$M87)&gt;0,
     COUNTIFS($AG$3:$AG$201,$M87)&gt;0,
     COUNTIFS($AH$3:$AH$201,$M87)&gt;0,
     COUNTIFS($AI$3:$AI$201,$M87)&gt;0,
     COUNTIFS($AJ$3:$AJ$201,$M87)&gt;0,
     COUNTIFS($AK$3:$AK$201,$M87)&gt;0,
     COUNTIFS($AL$3:$AL$201,$M87)&gt;0,
     COUNTIFS($AM$3:$AM$201,$M87)&gt;0,
     COUNTIFS($AN$3:$AN$201,$M87)&gt;0,
     COUNTIFS($AO$3:$AO$201,$M87)&gt;0,
     COUNTIFS($AP$3:$AP$201,$M87)&gt;0,
     COUNTIFS($AQ$3:$AQ$201,$M87)&gt;0,
     COUNTIFS($AR$3:$AR$201,$M87)&gt;0,
     COUNTIFS($AS$3:$AS$201,$M87)&gt;0,
     COUNTIFS($AT$3:$AT$201,$M87)&gt;0,
     COUNTIFS($AU$3:$AU$201,$M87)&gt;0,
     COUNTIFS($AV$3:$AV$201,$M87)&gt;0,
     COUNTIFS($AW$3:$AW$201,$M87)&gt;0
   )),
  ),
  4
 ),
"")</f>
        <v/>
      </c>
      <c r="CA87" t="str">
        <f ca="1"/>
        <v>Pilar das Origens</v>
      </c>
      <c r="CF87" t="str">
        <f ca="1"/>
        <v>High Priest of Penance</v>
      </c>
      <c r="CG87" t="e">
        <f ca="1"/>
        <v>#REF!</v>
      </c>
      <c r="CI87" t="str">
        <f ca="1"/>
        <v>Executor Impiedoso</v>
      </c>
    </row>
    <row r="88" spans="1:87" x14ac:dyDescent="0.25">
      <c r="A88" t="str">
        <f ca="1"/>
        <v>Fabled Passage</v>
      </c>
      <c r="B88" s="3" t="str" cm="1">
        <f t="array" aca="1" ref="B88" ca="1">_xlfn.ANCHORARRAY(RESUMO!C87)</f>
        <v>Piratas</v>
      </c>
      <c r="C88" s="3" t="str">
        <f t="shared" ca="1" si="4"/>
        <v/>
      </c>
      <c r="E88" t="str">
        <f ca="1"/>
        <v>Explosão Ruinosa de Urza</v>
      </c>
      <c r="F88" s="3">
        <f t="shared" ca="1" si="5"/>
        <v>1</v>
      </c>
      <c r="G88" s="3" t="str">
        <f t="shared" ca="1" si="6"/>
        <v>Sisay</v>
      </c>
      <c r="M88" t="str">
        <f ca="1"/>
        <v>Explosão Ruinosa de Urza</v>
      </c>
      <c r="N88" s="3">
        <f t="shared" ca="1" si="7"/>
        <v>1</v>
      </c>
      <c r="O88" s="3" t="str">
        <f ca="1">IFERROR(
 INDEX($T$2:$AW$2,
  MATCH(TRUE,
   CHOOSE({1;2;3;4;5;6;7;8;9;10;11;12;13;14;15;16;17;18;19;20;21;22;23;24;25;26;27;28;29;30;31;32},
    COUNTIFS($T$3:$T$201,$M88)&gt;0,
    COUNTIFS($U$3:$U$201,$M88)&gt;0,
    COUNTIFS($V$3:$V$201,$M88)&gt;0,
    COUNTIFS($W$3:$W$201,$M88)&gt;0,
    COUNTIFS($X$3:$X$201,$M88)&gt;0,
    COUNTIFS($Y$3:$Y$201,$M88)&gt;0,
    COUNTIFS($Z$3:$Z$201,$M88)&gt;0,
    COUNTIFS($AA$3:$AA$201,$M88)&gt;0,
    COUNTIFS($AB$3:$AB$201,$M88)&gt;0,
    COUNTIFS($AC$3:$AC$201,$M88)&gt;0,
    COUNTIFS($AD$3:$AD$201,$M88)&gt;0,
    COUNTIFS($AE$3:$AE$201,$M88)&gt;0,
    COUNTIFS($AF$3:$AF$201,$M88)&gt;0,
    COUNTIFS($AG$3:$AG$201,$M88)&gt;0,
    COUNTIFS($AH$3:$AH$201,$M88)&gt;0,
    COUNTIFS($AI$3:$AI$201,$M88)&gt;0,
    COUNTIFS($AJ$3:$AJ$201,$M88)&gt;0,
    COUNTIFS($AK$3:$AK$201,$M88)&gt;0,
    COUNTIFS($AL$3:$AL$201,$M88)&gt;0,
    COUNTIFS($AM$3:$AM$201,$M88)&gt;0,
    COUNTIFS($AN$3:$AN$201,$M88)&gt;0,
    COUNTIFS($AO$3:$AO$201,$M88)&gt;0,
    COUNTIFS($AP$3:$AP$201,$M88)&gt;0,
    COUNTIFS($AQ$3:$AQ$201,$M88)&gt;0,
    COUNTIFS($AR$3:$AR$201,$M88)&gt;0,
    COUNTIFS($AS$3:$AS$201,$M88)&gt;0,
    COUNTIFS($AT$3:$AT$201,$M88)&gt;0,
    COUNTIFS($AU$3:$AU$201,$M88)&gt;0,
    COUNTIFS($AV$3:$AV$201,$M88)&gt;0,
    COUNTIFS($AW$3:$AW$201,$M88)&gt;0
   ),
  0)
 ),
"")</f>
        <v>Sisay</v>
      </c>
      <c r="P88" s="3" t="str" cm="1">
        <f t="array" aca="1" ref="P88" ca="1">IFERROR(
 INDEX(
  _xlfn._xlws.FILTER($T$2:$AW$2,
   TRANSPOSE(
    CHOOSE({1;2;3;4;5;6;7;8;9;10;11;12;13;14;15;16;17;18;19;20;21;22;23;24;25;26;27;28;29;30},
     COUNTIFS($T$3:$T$201,$M88)&gt;0,
     COUNTIFS($U$3:$U$201,$M88)&gt;0,
     COUNTIFS($V$3:$V$201,$M88)&gt;0,
     COUNTIFS($W$3:$W$201,$M88)&gt;0,
     COUNTIFS($X$3:$X$201,$M88)&gt;0,
     COUNTIFS($Y$3:$Y$201,$M88)&gt;0,
     COUNTIFS($Z$3:$Z$201,$M88)&gt;0,
     COUNTIFS($AA$3:$AA$201,$M88)&gt;0,
     COUNTIFS($AB$3:$AB$201,$M88)&gt;0,
     COUNTIFS($AC$3:$AC$201,$M88)&gt;0,
     COUNTIFS($AD$3:$AD$201,$M88)&gt;0,
     COUNTIFS($AE$3:$AE$201,$M88)&gt;0,
     COUNTIFS($AF$3:$AF$201,$M88)&gt;0,
     COUNTIFS($AG$3:$AG$201,$M88)&gt;0,
     COUNTIFS($AH$3:$AH$201,$M88)&gt;0,
     COUNTIFS($AI$3:$AI$201,$M88)&gt;0,
     COUNTIFS($AJ$3:$AJ$201,$M88)&gt;0,
     COUNTIFS($AK$3:$AK$201,$M88)&gt;0,
     COUNTIFS($AL$3:$AL$201,$M88)&gt;0,
     COUNTIFS($AM$3:$AM$201,$M88)&gt;0,
     COUNTIFS($AN$3:$AN$201,$M88)&gt;0,
     COUNTIFS($AO$3:$AO$201,$M88)&gt;0,
     COUNTIFS($AP$3:$AP$201,$M88)&gt;0,
     COUNTIFS($AQ$3:$AQ$201,$M88)&gt;0,
     COUNTIFS($AR$3:$AR$201,$M88)&gt;0,
     COUNTIFS($AS$3:$AS$201,$M88)&gt;0,
     COUNTIFS($AT$3:$AT$201,$M88)&gt;0,
     COUNTIFS($AU$3:$AU$201,$M88)&gt;0,
     COUNTIFS($AV$3:$AV$201,$M88)&gt;0,
     COUNTIFS($AW$3:$AW$201,$M88)&gt;0
   )),
  ),
  2
 ),
"")</f>
        <v/>
      </c>
      <c r="Q88" s="3" t="str" cm="1">
        <f t="array" aca="1" ref="Q88" ca="1">IFERROR(
 INDEX(
  _xlfn._xlws.FILTER($T$2:$AW$2,
   TRANSPOSE(
    CHOOSE({1;2;3;4;5;6;7;8;9;10;11;12;13;14;15;16;17;18;19;20;21;22;23;24;25;26;27;28;29;30},
     COUNTIFS($T$3:$T$201,$M88)&gt;0,
     COUNTIFS($U$3:$U$201,$M88)&gt;0,
     COUNTIFS($V$3:$V$201,$M88)&gt;0,
     COUNTIFS($W$3:$W$201,$M88)&gt;0,
     COUNTIFS($X$3:$X$201,$M88)&gt;0,
     COUNTIFS($Y$3:$Y$201,$M88)&gt;0,
     COUNTIFS($Z$3:$Z$201,$M88)&gt;0,
     COUNTIFS($AA$3:$AA$201,$M88)&gt;0,
     COUNTIFS($AB$3:$AB$201,$M88)&gt;0,
     COUNTIFS($AC$3:$AC$201,$M88)&gt;0,
     COUNTIFS($AD$3:$AD$201,$M88)&gt;0,
     COUNTIFS($AE$3:$AE$201,$M88)&gt;0,
     COUNTIFS($AF$3:$AF$201,$M88)&gt;0,
     COUNTIFS($AG$3:$AG$201,$M88)&gt;0,
     COUNTIFS($AH$3:$AH$201,$M88)&gt;0,
     COUNTIFS($AI$3:$AI$201,$M88)&gt;0,
     COUNTIFS($AJ$3:$AJ$201,$M88)&gt;0,
     COUNTIFS($AK$3:$AK$201,$M88)&gt;0,
     COUNTIFS($AL$3:$AL$201,$M88)&gt;0,
     COUNTIFS($AM$3:$AM$201,$M88)&gt;0,
     COUNTIFS($AN$3:$AN$201,$M88)&gt;0,
     COUNTIFS($AO$3:$AO$201,$M88)&gt;0,
     COUNTIFS($AP$3:$AP$201,$M88)&gt;0,
     COUNTIFS($AQ$3:$AQ$201,$M88)&gt;0,
     COUNTIFS($AR$3:$AR$201,$M88)&gt;0,
     COUNTIFS($AS$3:$AS$201,$M88)&gt;0,
     COUNTIFS($AT$3:$AT$201,$M88)&gt;0,
     COUNTIFS($AU$3:$AU$201,$M88)&gt;0,
     COUNTIFS($AV$3:$AV$201,$M88)&gt;0,
     COUNTIFS($AW$3:$AW$201,$M88)&gt;0
   )),
  ),
  3
 ),
"")</f>
        <v/>
      </c>
      <c r="R88" s="3" t="str" cm="1">
        <f t="array" aca="1" ref="R88" ca="1">IFERROR(
 INDEX(
  _xlfn._xlws.FILTER($T$2:$AW$2,
   TRANSPOSE(
    CHOOSE({1;2;3;4;5;6;7;8;9;10;11;12;13;14;15;16;17;18;19;20;21;22;23;24;25;26;27;28;29;30},
     COUNTIFS($T$3:$T$201,$M88)&gt;0,
     COUNTIFS($U$3:$U$201,$M88)&gt;0,
     COUNTIFS($V$3:$V$201,$M88)&gt;0,
     COUNTIFS($W$3:$W$201,$M88)&gt;0,
     COUNTIFS($X$3:$X$201,$M88)&gt;0,
     COUNTIFS($Y$3:$Y$201,$M88)&gt;0,
     COUNTIFS($Z$3:$Z$201,$M88)&gt;0,
     COUNTIFS($AA$3:$AA$201,$M88)&gt;0,
     COUNTIFS($AB$3:$AB$201,$M88)&gt;0,
     COUNTIFS($AC$3:$AC$201,$M88)&gt;0,
     COUNTIFS($AD$3:$AD$201,$M88)&gt;0,
     COUNTIFS($AE$3:$AE$201,$M88)&gt;0,
     COUNTIFS($AF$3:$AF$201,$M88)&gt;0,
     COUNTIFS($AG$3:$AG$201,$M88)&gt;0,
     COUNTIFS($AH$3:$AH$201,$M88)&gt;0,
     COUNTIFS($AI$3:$AI$201,$M88)&gt;0,
     COUNTIFS($AJ$3:$AJ$201,$M88)&gt;0,
     COUNTIFS($AK$3:$AK$201,$M88)&gt;0,
     COUNTIFS($AL$3:$AL$201,$M88)&gt;0,
     COUNTIFS($AM$3:$AM$201,$M88)&gt;0,
     COUNTIFS($AN$3:$AN$201,$M88)&gt;0,
     COUNTIFS($AO$3:$AO$201,$M88)&gt;0,
     COUNTIFS($AP$3:$AP$201,$M88)&gt;0,
     COUNTIFS($AQ$3:$AQ$201,$M88)&gt;0,
     COUNTIFS($AR$3:$AR$201,$M88)&gt;0,
     COUNTIFS($AS$3:$AS$201,$M88)&gt;0,
     COUNTIFS($AT$3:$AT$201,$M88)&gt;0,
     COUNTIFS($AU$3:$AU$201,$M88)&gt;0,
     COUNTIFS($AV$3:$AV$201,$M88)&gt;0,
     COUNTIFS($AW$3:$AW$201,$M88)&gt;0
   )),
  ),
  4
 ),
"")</f>
        <v/>
      </c>
      <c r="CA88" t="str">
        <f ca="1"/>
        <v>Plaguecrafter</v>
      </c>
      <c r="CF88" t="str">
        <f ca="1"/>
        <v>Horda Germinal</v>
      </c>
      <c r="CG88" t="e" vm="2">
        <f ca="1"/>
        <v>#VALUE!</v>
      </c>
      <c r="CI88" t="str">
        <f ca="1"/>
        <v>Explosão Ruinosa de Urza</v>
      </c>
    </row>
    <row r="89" spans="1:87" x14ac:dyDescent="0.25">
      <c r="A89" t="str">
        <f ca="1"/>
        <v>Faerie Slumber Party</v>
      </c>
      <c r="B89" s="3" t="str" cm="1">
        <f t="array" aca="1" ref="B89" ca="1">_xlfn.ANCHORARRAY(RESUMO!C88)</f>
        <v>Yuriko</v>
      </c>
      <c r="C89" s="3" t="str">
        <f t="shared" ca="1" si="4"/>
        <v/>
      </c>
      <c r="E89" t="str">
        <f ca="1"/>
        <v>Extraction Specialist</v>
      </c>
      <c r="F89" s="3">
        <f t="shared" ca="1" si="5"/>
        <v>1</v>
      </c>
      <c r="G89" s="3" t="str">
        <f t="shared" ca="1" si="6"/>
        <v>Carlos</v>
      </c>
      <c r="M89" t="str">
        <f ca="1"/>
        <v>Extraction Specialist</v>
      </c>
      <c r="N89" s="3">
        <f t="shared" ca="1" si="7"/>
        <v>1</v>
      </c>
      <c r="O89" s="3" t="str">
        <f ca="1">IFERROR(
 INDEX($T$2:$AW$2,
  MATCH(TRUE,
   CHOOSE({1;2;3;4;5;6;7;8;9;10;11;12;13;14;15;16;17;18;19;20;21;22;23;24;25;26;27;28;29;30;31;32},
    COUNTIFS($T$3:$T$201,$M89)&gt;0,
    COUNTIFS($U$3:$U$201,$M89)&gt;0,
    COUNTIFS($V$3:$V$201,$M89)&gt;0,
    COUNTIFS($W$3:$W$201,$M89)&gt;0,
    COUNTIFS($X$3:$X$201,$M89)&gt;0,
    COUNTIFS($Y$3:$Y$201,$M89)&gt;0,
    COUNTIFS($Z$3:$Z$201,$M89)&gt;0,
    COUNTIFS($AA$3:$AA$201,$M89)&gt;0,
    COUNTIFS($AB$3:$AB$201,$M89)&gt;0,
    COUNTIFS($AC$3:$AC$201,$M89)&gt;0,
    COUNTIFS($AD$3:$AD$201,$M89)&gt;0,
    COUNTIFS($AE$3:$AE$201,$M89)&gt;0,
    COUNTIFS($AF$3:$AF$201,$M89)&gt;0,
    COUNTIFS($AG$3:$AG$201,$M89)&gt;0,
    COUNTIFS($AH$3:$AH$201,$M89)&gt;0,
    COUNTIFS($AI$3:$AI$201,$M89)&gt;0,
    COUNTIFS($AJ$3:$AJ$201,$M89)&gt;0,
    COUNTIFS($AK$3:$AK$201,$M89)&gt;0,
    COUNTIFS($AL$3:$AL$201,$M89)&gt;0,
    COUNTIFS($AM$3:$AM$201,$M89)&gt;0,
    COUNTIFS($AN$3:$AN$201,$M89)&gt;0,
    COUNTIFS($AO$3:$AO$201,$M89)&gt;0,
    COUNTIFS($AP$3:$AP$201,$M89)&gt;0,
    COUNTIFS($AQ$3:$AQ$201,$M89)&gt;0,
    COUNTIFS($AR$3:$AR$201,$M89)&gt;0,
    COUNTIFS($AS$3:$AS$201,$M89)&gt;0,
    COUNTIFS($AT$3:$AT$201,$M89)&gt;0,
    COUNTIFS($AU$3:$AU$201,$M89)&gt;0,
    COUNTIFS($AV$3:$AV$201,$M89)&gt;0,
    COUNTIFS($AW$3:$AW$201,$M89)&gt;0
   ),
  0)
 ),
"")</f>
        <v>Carlos</v>
      </c>
      <c r="P89" s="3" t="str" cm="1">
        <f t="array" aca="1" ref="P89" ca="1">IFERROR(
 INDEX(
  _xlfn._xlws.FILTER($T$2:$AW$2,
   TRANSPOSE(
    CHOOSE({1;2;3;4;5;6;7;8;9;10;11;12;13;14;15;16;17;18;19;20;21;22;23;24;25;26;27;28;29;30},
     COUNTIFS($T$3:$T$201,$M89)&gt;0,
     COUNTIFS($U$3:$U$201,$M89)&gt;0,
     COUNTIFS($V$3:$V$201,$M89)&gt;0,
     COUNTIFS($W$3:$W$201,$M89)&gt;0,
     COUNTIFS($X$3:$X$201,$M89)&gt;0,
     COUNTIFS($Y$3:$Y$201,$M89)&gt;0,
     COUNTIFS($Z$3:$Z$201,$M89)&gt;0,
     COUNTIFS($AA$3:$AA$201,$M89)&gt;0,
     COUNTIFS($AB$3:$AB$201,$M89)&gt;0,
     COUNTIFS($AC$3:$AC$201,$M89)&gt;0,
     COUNTIFS($AD$3:$AD$201,$M89)&gt;0,
     COUNTIFS($AE$3:$AE$201,$M89)&gt;0,
     COUNTIFS($AF$3:$AF$201,$M89)&gt;0,
     COUNTIFS($AG$3:$AG$201,$M89)&gt;0,
     COUNTIFS($AH$3:$AH$201,$M89)&gt;0,
     COUNTIFS($AI$3:$AI$201,$M89)&gt;0,
     COUNTIFS($AJ$3:$AJ$201,$M89)&gt;0,
     COUNTIFS($AK$3:$AK$201,$M89)&gt;0,
     COUNTIFS($AL$3:$AL$201,$M89)&gt;0,
     COUNTIFS($AM$3:$AM$201,$M89)&gt;0,
     COUNTIFS($AN$3:$AN$201,$M89)&gt;0,
     COUNTIFS($AO$3:$AO$201,$M89)&gt;0,
     COUNTIFS($AP$3:$AP$201,$M89)&gt;0,
     COUNTIFS($AQ$3:$AQ$201,$M89)&gt;0,
     COUNTIFS($AR$3:$AR$201,$M89)&gt;0,
     COUNTIFS($AS$3:$AS$201,$M89)&gt;0,
     COUNTIFS($AT$3:$AT$201,$M89)&gt;0,
     COUNTIFS($AU$3:$AU$201,$M89)&gt;0,
     COUNTIFS($AV$3:$AV$201,$M89)&gt;0,
     COUNTIFS($AW$3:$AW$201,$M89)&gt;0
   )),
  ),
  2
 ),
"")</f>
        <v/>
      </c>
      <c r="Q89" s="3" t="str" cm="1">
        <f t="array" aca="1" ref="Q89" ca="1">IFERROR(
 INDEX(
  _xlfn._xlws.FILTER($T$2:$AW$2,
   TRANSPOSE(
    CHOOSE({1;2;3;4;5;6;7;8;9;10;11;12;13;14;15;16;17;18;19;20;21;22;23;24;25;26;27;28;29;30},
     COUNTIFS($T$3:$T$201,$M89)&gt;0,
     COUNTIFS($U$3:$U$201,$M89)&gt;0,
     COUNTIFS($V$3:$V$201,$M89)&gt;0,
     COUNTIFS($W$3:$W$201,$M89)&gt;0,
     COUNTIFS($X$3:$X$201,$M89)&gt;0,
     COUNTIFS($Y$3:$Y$201,$M89)&gt;0,
     COUNTIFS($Z$3:$Z$201,$M89)&gt;0,
     COUNTIFS($AA$3:$AA$201,$M89)&gt;0,
     COUNTIFS($AB$3:$AB$201,$M89)&gt;0,
     COUNTIFS($AC$3:$AC$201,$M89)&gt;0,
     COUNTIFS($AD$3:$AD$201,$M89)&gt;0,
     COUNTIFS($AE$3:$AE$201,$M89)&gt;0,
     COUNTIFS($AF$3:$AF$201,$M89)&gt;0,
     COUNTIFS($AG$3:$AG$201,$M89)&gt;0,
     COUNTIFS($AH$3:$AH$201,$M89)&gt;0,
     COUNTIFS($AI$3:$AI$201,$M89)&gt;0,
     COUNTIFS($AJ$3:$AJ$201,$M89)&gt;0,
     COUNTIFS($AK$3:$AK$201,$M89)&gt;0,
     COUNTIFS($AL$3:$AL$201,$M89)&gt;0,
     COUNTIFS($AM$3:$AM$201,$M89)&gt;0,
     COUNTIFS($AN$3:$AN$201,$M89)&gt;0,
     COUNTIFS($AO$3:$AO$201,$M89)&gt;0,
     COUNTIFS($AP$3:$AP$201,$M89)&gt;0,
     COUNTIFS($AQ$3:$AQ$201,$M89)&gt;0,
     COUNTIFS($AR$3:$AR$201,$M89)&gt;0,
     COUNTIFS($AS$3:$AS$201,$M89)&gt;0,
     COUNTIFS($AT$3:$AT$201,$M89)&gt;0,
     COUNTIFS($AU$3:$AU$201,$M89)&gt;0,
     COUNTIFS($AV$3:$AV$201,$M89)&gt;0,
     COUNTIFS($AW$3:$AW$201,$M89)&gt;0
   )),
  ),
  3
 ),
"")</f>
        <v/>
      </c>
      <c r="R89" s="3" t="str" cm="1">
        <f t="array" aca="1" ref="R89" ca="1">IFERROR(
 INDEX(
  _xlfn._xlws.FILTER($T$2:$AW$2,
   TRANSPOSE(
    CHOOSE({1;2;3;4;5;6;7;8;9;10;11;12;13;14;15;16;17;18;19;20;21;22;23;24;25;26;27;28;29;30},
     COUNTIFS($T$3:$T$201,$M89)&gt;0,
     COUNTIFS($U$3:$U$201,$M89)&gt;0,
     COUNTIFS($V$3:$V$201,$M89)&gt;0,
     COUNTIFS($W$3:$W$201,$M89)&gt;0,
     COUNTIFS($X$3:$X$201,$M89)&gt;0,
     COUNTIFS($Y$3:$Y$201,$M89)&gt;0,
     COUNTIFS($Z$3:$Z$201,$M89)&gt;0,
     COUNTIFS($AA$3:$AA$201,$M89)&gt;0,
     COUNTIFS($AB$3:$AB$201,$M89)&gt;0,
     COUNTIFS($AC$3:$AC$201,$M89)&gt;0,
     COUNTIFS($AD$3:$AD$201,$M89)&gt;0,
     COUNTIFS($AE$3:$AE$201,$M89)&gt;0,
     COUNTIFS($AF$3:$AF$201,$M89)&gt;0,
     COUNTIFS($AG$3:$AG$201,$M89)&gt;0,
     COUNTIFS($AH$3:$AH$201,$M89)&gt;0,
     COUNTIFS($AI$3:$AI$201,$M89)&gt;0,
     COUNTIFS($AJ$3:$AJ$201,$M89)&gt;0,
     COUNTIFS($AK$3:$AK$201,$M89)&gt;0,
     COUNTIFS($AL$3:$AL$201,$M89)&gt;0,
     COUNTIFS($AM$3:$AM$201,$M89)&gt;0,
     COUNTIFS($AN$3:$AN$201,$M89)&gt;0,
     COUNTIFS($AO$3:$AO$201,$M89)&gt;0,
     COUNTIFS($AP$3:$AP$201,$M89)&gt;0,
     COUNTIFS($AQ$3:$AQ$201,$M89)&gt;0,
     COUNTIFS($AR$3:$AR$201,$M89)&gt;0,
     COUNTIFS($AS$3:$AS$201,$M89)&gt;0,
     COUNTIFS($AT$3:$AT$201,$M89)&gt;0,
     COUNTIFS($AU$3:$AU$201,$M89)&gt;0,
     COUNTIFS($AV$3:$AV$201,$M89)&gt;0,
     COUNTIFS($AW$3:$AW$201,$M89)&gt;0
   )),
  ),
  4
 ),
"")</f>
        <v/>
      </c>
      <c r="CA89" t="str">
        <f ca="1"/>
        <v>Plains</v>
      </c>
      <c r="CF89" t="str">
        <f ca="1"/>
        <v>Horn of Valhalla</v>
      </c>
      <c r="CI89" t="str">
        <f ca="1"/>
        <v>Extraction Specialist</v>
      </c>
    </row>
    <row r="90" spans="1:87" x14ac:dyDescent="0.25">
      <c r="A90" t="str">
        <f ca="1"/>
        <v>Farmer Cotton</v>
      </c>
      <c r="B90" s="3" t="str" cm="1">
        <f t="array" aca="1" ref="B90" ca="1">_xlfn.ANCHORARRAY(RESUMO!C89)</f>
        <v>Baylen</v>
      </c>
      <c r="C90" s="3" t="str">
        <f t="shared" ca="1" si="4"/>
        <v/>
      </c>
      <c r="E90" t="str">
        <f ca="1"/>
        <v>Feldon of the Third Path</v>
      </c>
      <c r="F90" s="3">
        <f t="shared" ca="1" si="5"/>
        <v>1</v>
      </c>
      <c r="G90" s="3" t="str">
        <f t="shared" ca="1" si="6"/>
        <v>Kresh</v>
      </c>
      <c r="M90" t="str">
        <f ca="1"/>
        <v>Feldon of the Third Path</v>
      </c>
      <c r="N90" s="3">
        <f t="shared" ca="1" si="7"/>
        <v>1</v>
      </c>
      <c r="O90" s="3" t="str">
        <f ca="1">IFERROR(
 INDEX($T$2:$AW$2,
  MATCH(TRUE,
   CHOOSE({1;2;3;4;5;6;7;8;9;10;11;12;13;14;15;16;17;18;19;20;21;22;23;24;25;26;27;28;29;30;31;32},
    COUNTIFS($T$3:$T$201,$M90)&gt;0,
    COUNTIFS($U$3:$U$201,$M90)&gt;0,
    COUNTIFS($V$3:$V$201,$M90)&gt;0,
    COUNTIFS($W$3:$W$201,$M90)&gt;0,
    COUNTIFS($X$3:$X$201,$M90)&gt;0,
    COUNTIFS($Y$3:$Y$201,$M90)&gt;0,
    COUNTIFS($Z$3:$Z$201,$M90)&gt;0,
    COUNTIFS($AA$3:$AA$201,$M90)&gt;0,
    COUNTIFS($AB$3:$AB$201,$M90)&gt;0,
    COUNTIFS($AC$3:$AC$201,$M90)&gt;0,
    COUNTIFS($AD$3:$AD$201,$M90)&gt;0,
    COUNTIFS($AE$3:$AE$201,$M90)&gt;0,
    COUNTIFS($AF$3:$AF$201,$M90)&gt;0,
    COUNTIFS($AG$3:$AG$201,$M90)&gt;0,
    COUNTIFS($AH$3:$AH$201,$M90)&gt;0,
    COUNTIFS($AI$3:$AI$201,$M90)&gt;0,
    COUNTIFS($AJ$3:$AJ$201,$M90)&gt;0,
    COUNTIFS($AK$3:$AK$201,$M90)&gt;0,
    COUNTIFS($AL$3:$AL$201,$M90)&gt;0,
    COUNTIFS($AM$3:$AM$201,$M90)&gt;0,
    COUNTIFS($AN$3:$AN$201,$M90)&gt;0,
    COUNTIFS($AO$3:$AO$201,$M90)&gt;0,
    COUNTIFS($AP$3:$AP$201,$M90)&gt;0,
    COUNTIFS($AQ$3:$AQ$201,$M90)&gt;0,
    COUNTIFS($AR$3:$AR$201,$M90)&gt;0,
    COUNTIFS($AS$3:$AS$201,$M90)&gt;0,
    COUNTIFS($AT$3:$AT$201,$M90)&gt;0,
    COUNTIFS($AU$3:$AU$201,$M90)&gt;0,
    COUNTIFS($AV$3:$AV$201,$M90)&gt;0,
    COUNTIFS($AW$3:$AW$201,$M90)&gt;0
   ),
  0)
 ),
"")</f>
        <v>Kresh</v>
      </c>
      <c r="P90" s="3" t="str" cm="1">
        <f t="array" aca="1" ref="P90" ca="1">IFERROR(
 INDEX(
  _xlfn._xlws.FILTER($T$2:$AW$2,
   TRANSPOSE(
    CHOOSE({1;2;3;4;5;6;7;8;9;10;11;12;13;14;15;16;17;18;19;20;21;22;23;24;25;26;27;28;29;30},
     COUNTIFS($T$3:$T$201,$M90)&gt;0,
     COUNTIFS($U$3:$U$201,$M90)&gt;0,
     COUNTIFS($V$3:$V$201,$M90)&gt;0,
     COUNTIFS($W$3:$W$201,$M90)&gt;0,
     COUNTIFS($X$3:$X$201,$M90)&gt;0,
     COUNTIFS($Y$3:$Y$201,$M90)&gt;0,
     COUNTIFS($Z$3:$Z$201,$M90)&gt;0,
     COUNTIFS($AA$3:$AA$201,$M90)&gt;0,
     COUNTIFS($AB$3:$AB$201,$M90)&gt;0,
     COUNTIFS($AC$3:$AC$201,$M90)&gt;0,
     COUNTIFS($AD$3:$AD$201,$M90)&gt;0,
     COUNTIFS($AE$3:$AE$201,$M90)&gt;0,
     COUNTIFS($AF$3:$AF$201,$M90)&gt;0,
     COUNTIFS($AG$3:$AG$201,$M90)&gt;0,
     COUNTIFS($AH$3:$AH$201,$M90)&gt;0,
     COUNTIFS($AI$3:$AI$201,$M90)&gt;0,
     COUNTIFS($AJ$3:$AJ$201,$M90)&gt;0,
     COUNTIFS($AK$3:$AK$201,$M90)&gt;0,
     COUNTIFS($AL$3:$AL$201,$M90)&gt;0,
     COUNTIFS($AM$3:$AM$201,$M90)&gt;0,
     COUNTIFS($AN$3:$AN$201,$M90)&gt;0,
     COUNTIFS($AO$3:$AO$201,$M90)&gt;0,
     COUNTIFS($AP$3:$AP$201,$M90)&gt;0,
     COUNTIFS($AQ$3:$AQ$201,$M90)&gt;0,
     COUNTIFS($AR$3:$AR$201,$M90)&gt;0,
     COUNTIFS($AS$3:$AS$201,$M90)&gt;0,
     COUNTIFS($AT$3:$AT$201,$M90)&gt;0,
     COUNTIFS($AU$3:$AU$201,$M90)&gt;0,
     COUNTIFS($AV$3:$AV$201,$M90)&gt;0,
     COUNTIFS($AW$3:$AW$201,$M90)&gt;0
   )),
  ),
  2
 ),
"")</f>
        <v/>
      </c>
      <c r="Q90" s="3" t="str" cm="1">
        <f t="array" aca="1" ref="Q90" ca="1">IFERROR(
 INDEX(
  _xlfn._xlws.FILTER($T$2:$AW$2,
   TRANSPOSE(
    CHOOSE({1;2;3;4;5;6;7;8;9;10;11;12;13;14;15;16;17;18;19;20;21;22;23;24;25;26;27;28;29;30},
     COUNTIFS($T$3:$T$201,$M90)&gt;0,
     COUNTIFS($U$3:$U$201,$M90)&gt;0,
     COUNTIFS($V$3:$V$201,$M90)&gt;0,
     COUNTIFS($W$3:$W$201,$M90)&gt;0,
     COUNTIFS($X$3:$X$201,$M90)&gt;0,
     COUNTIFS($Y$3:$Y$201,$M90)&gt;0,
     COUNTIFS($Z$3:$Z$201,$M90)&gt;0,
     COUNTIFS($AA$3:$AA$201,$M90)&gt;0,
     COUNTIFS($AB$3:$AB$201,$M90)&gt;0,
     COUNTIFS($AC$3:$AC$201,$M90)&gt;0,
     COUNTIFS($AD$3:$AD$201,$M90)&gt;0,
     COUNTIFS($AE$3:$AE$201,$M90)&gt;0,
     COUNTIFS($AF$3:$AF$201,$M90)&gt;0,
     COUNTIFS($AG$3:$AG$201,$M90)&gt;0,
     COUNTIFS($AH$3:$AH$201,$M90)&gt;0,
     COUNTIFS($AI$3:$AI$201,$M90)&gt;0,
     COUNTIFS($AJ$3:$AJ$201,$M90)&gt;0,
     COUNTIFS($AK$3:$AK$201,$M90)&gt;0,
     COUNTIFS($AL$3:$AL$201,$M90)&gt;0,
     COUNTIFS($AM$3:$AM$201,$M90)&gt;0,
     COUNTIFS($AN$3:$AN$201,$M90)&gt;0,
     COUNTIFS($AO$3:$AO$201,$M90)&gt;0,
     COUNTIFS($AP$3:$AP$201,$M90)&gt;0,
     COUNTIFS($AQ$3:$AQ$201,$M90)&gt;0,
     COUNTIFS($AR$3:$AR$201,$M90)&gt;0,
     COUNTIFS($AS$3:$AS$201,$M90)&gt;0,
     COUNTIFS($AT$3:$AT$201,$M90)&gt;0,
     COUNTIFS($AU$3:$AU$201,$M90)&gt;0,
     COUNTIFS($AV$3:$AV$201,$M90)&gt;0,
     COUNTIFS($AW$3:$AW$201,$M90)&gt;0
   )),
  ),
  3
 ),
"")</f>
        <v/>
      </c>
      <c r="R90" s="3" t="str" cm="1">
        <f t="array" aca="1" ref="R90" ca="1">IFERROR(
 INDEX(
  _xlfn._xlws.FILTER($T$2:$AW$2,
   TRANSPOSE(
    CHOOSE({1;2;3;4;5;6;7;8;9;10;11;12;13;14;15;16;17;18;19;20;21;22;23;24;25;26;27;28;29;30},
     COUNTIFS($T$3:$T$201,$M90)&gt;0,
     COUNTIFS($U$3:$U$201,$M90)&gt;0,
     COUNTIFS($V$3:$V$201,$M90)&gt;0,
     COUNTIFS($W$3:$W$201,$M90)&gt;0,
     COUNTIFS($X$3:$X$201,$M90)&gt;0,
     COUNTIFS($Y$3:$Y$201,$M90)&gt;0,
     COUNTIFS($Z$3:$Z$201,$M90)&gt;0,
     COUNTIFS($AA$3:$AA$201,$M90)&gt;0,
     COUNTIFS($AB$3:$AB$201,$M90)&gt;0,
     COUNTIFS($AC$3:$AC$201,$M90)&gt;0,
     COUNTIFS($AD$3:$AD$201,$M90)&gt;0,
     COUNTIFS($AE$3:$AE$201,$M90)&gt;0,
     COUNTIFS($AF$3:$AF$201,$M90)&gt;0,
     COUNTIFS($AG$3:$AG$201,$M90)&gt;0,
     COUNTIFS($AH$3:$AH$201,$M90)&gt;0,
     COUNTIFS($AI$3:$AI$201,$M90)&gt;0,
     COUNTIFS($AJ$3:$AJ$201,$M90)&gt;0,
     COUNTIFS($AK$3:$AK$201,$M90)&gt;0,
     COUNTIFS($AL$3:$AL$201,$M90)&gt;0,
     COUNTIFS($AM$3:$AM$201,$M90)&gt;0,
     COUNTIFS($AN$3:$AN$201,$M90)&gt;0,
     COUNTIFS($AO$3:$AO$201,$M90)&gt;0,
     COUNTIFS($AP$3:$AP$201,$M90)&gt;0,
     COUNTIFS($AQ$3:$AQ$201,$M90)&gt;0,
     COUNTIFS($AR$3:$AR$201,$M90)&gt;0,
     COUNTIFS($AS$3:$AS$201,$M90)&gt;0,
     COUNTIFS($AT$3:$AT$201,$M90)&gt;0,
     COUNTIFS($AU$3:$AU$201,$M90)&gt;0,
     COUNTIFS($AV$3:$AV$201,$M90)&gt;0,
     COUNTIFS($AW$3:$AW$201,$M90)&gt;0
   )),
  ),
  4
 ),
"")</f>
        <v/>
      </c>
      <c r="CA90" t="str">
        <f ca="1"/>
        <v>Polimorfismo em Massa</v>
      </c>
      <c r="CF90" t="str">
        <f ca="1"/>
        <v>Ilha</v>
      </c>
      <c r="CI90" t="str">
        <f ca="1"/>
        <v>Feldon of the Third Path</v>
      </c>
    </row>
    <row r="91" spans="1:87" x14ac:dyDescent="0.25">
      <c r="A91" t="str">
        <f ca="1"/>
        <v>Farseek</v>
      </c>
      <c r="B91" s="3" t="str" cm="1">
        <f t="array" aca="1" ref="B91" ca="1">_xlfn.ANCHORARRAY(RESUMO!C90)</f>
        <v>Baylen</v>
      </c>
      <c r="C91" s="3" t="str">
        <f t="shared" ca="1" si="4"/>
        <v/>
      </c>
      <c r="E91" t="str">
        <f ca="1"/>
        <v>Filigree Sages</v>
      </c>
      <c r="F91" s="3">
        <f t="shared" ca="1" si="5"/>
        <v>1</v>
      </c>
      <c r="G91" s="3" t="str">
        <f t="shared" ca="1" si="6"/>
        <v>Oona</v>
      </c>
      <c r="M91" t="str">
        <f ca="1"/>
        <v>Filigree Sages</v>
      </c>
      <c r="N91" s="3">
        <f t="shared" ca="1" si="7"/>
        <v>1</v>
      </c>
      <c r="O91" s="3" t="str">
        <f ca="1">IFERROR(
 INDEX($T$2:$AW$2,
  MATCH(TRUE,
   CHOOSE({1;2;3;4;5;6;7;8;9;10;11;12;13;14;15;16;17;18;19;20;21;22;23;24;25;26;27;28;29;30;31;32},
    COUNTIFS($T$3:$T$201,$M91)&gt;0,
    COUNTIFS($U$3:$U$201,$M91)&gt;0,
    COUNTIFS($V$3:$V$201,$M91)&gt;0,
    COUNTIFS($W$3:$W$201,$M91)&gt;0,
    COUNTIFS($X$3:$X$201,$M91)&gt;0,
    COUNTIFS($Y$3:$Y$201,$M91)&gt;0,
    COUNTIFS($Z$3:$Z$201,$M91)&gt;0,
    COUNTIFS($AA$3:$AA$201,$M91)&gt;0,
    COUNTIFS($AB$3:$AB$201,$M91)&gt;0,
    COUNTIFS($AC$3:$AC$201,$M91)&gt;0,
    COUNTIFS($AD$3:$AD$201,$M91)&gt;0,
    COUNTIFS($AE$3:$AE$201,$M91)&gt;0,
    COUNTIFS($AF$3:$AF$201,$M91)&gt;0,
    COUNTIFS($AG$3:$AG$201,$M91)&gt;0,
    COUNTIFS($AH$3:$AH$201,$M91)&gt;0,
    COUNTIFS($AI$3:$AI$201,$M91)&gt;0,
    COUNTIFS($AJ$3:$AJ$201,$M91)&gt;0,
    COUNTIFS($AK$3:$AK$201,$M91)&gt;0,
    COUNTIFS($AL$3:$AL$201,$M91)&gt;0,
    COUNTIFS($AM$3:$AM$201,$M91)&gt;0,
    COUNTIFS($AN$3:$AN$201,$M91)&gt;0,
    COUNTIFS($AO$3:$AO$201,$M91)&gt;0,
    COUNTIFS($AP$3:$AP$201,$M91)&gt;0,
    COUNTIFS($AQ$3:$AQ$201,$M91)&gt;0,
    COUNTIFS($AR$3:$AR$201,$M91)&gt;0,
    COUNTIFS($AS$3:$AS$201,$M91)&gt;0,
    COUNTIFS($AT$3:$AT$201,$M91)&gt;0,
    COUNTIFS($AU$3:$AU$201,$M91)&gt;0,
    COUNTIFS($AV$3:$AV$201,$M91)&gt;0,
    COUNTIFS($AW$3:$AW$201,$M91)&gt;0
   ),
  0)
 ),
"")</f>
        <v>Oona</v>
      </c>
      <c r="P91" s="3" t="str" cm="1">
        <f t="array" aca="1" ref="P91" ca="1">IFERROR(
 INDEX(
  _xlfn._xlws.FILTER($T$2:$AW$2,
   TRANSPOSE(
    CHOOSE({1;2;3;4;5;6;7;8;9;10;11;12;13;14;15;16;17;18;19;20;21;22;23;24;25;26;27;28;29;30},
     COUNTIFS($T$3:$T$201,$M91)&gt;0,
     COUNTIFS($U$3:$U$201,$M91)&gt;0,
     COUNTIFS($V$3:$V$201,$M91)&gt;0,
     COUNTIFS($W$3:$W$201,$M91)&gt;0,
     COUNTIFS($X$3:$X$201,$M91)&gt;0,
     COUNTIFS($Y$3:$Y$201,$M91)&gt;0,
     COUNTIFS($Z$3:$Z$201,$M91)&gt;0,
     COUNTIFS($AA$3:$AA$201,$M91)&gt;0,
     COUNTIFS($AB$3:$AB$201,$M91)&gt;0,
     COUNTIFS($AC$3:$AC$201,$M91)&gt;0,
     COUNTIFS($AD$3:$AD$201,$M91)&gt;0,
     COUNTIFS($AE$3:$AE$201,$M91)&gt;0,
     COUNTIFS($AF$3:$AF$201,$M91)&gt;0,
     COUNTIFS($AG$3:$AG$201,$M91)&gt;0,
     COUNTIFS($AH$3:$AH$201,$M91)&gt;0,
     COUNTIFS($AI$3:$AI$201,$M91)&gt;0,
     COUNTIFS($AJ$3:$AJ$201,$M91)&gt;0,
     COUNTIFS($AK$3:$AK$201,$M91)&gt;0,
     COUNTIFS($AL$3:$AL$201,$M91)&gt;0,
     COUNTIFS($AM$3:$AM$201,$M91)&gt;0,
     COUNTIFS($AN$3:$AN$201,$M91)&gt;0,
     COUNTIFS($AO$3:$AO$201,$M91)&gt;0,
     COUNTIFS($AP$3:$AP$201,$M91)&gt;0,
     COUNTIFS($AQ$3:$AQ$201,$M91)&gt;0,
     COUNTIFS($AR$3:$AR$201,$M91)&gt;0,
     COUNTIFS($AS$3:$AS$201,$M91)&gt;0,
     COUNTIFS($AT$3:$AT$201,$M91)&gt;0,
     COUNTIFS($AU$3:$AU$201,$M91)&gt;0,
     COUNTIFS($AV$3:$AV$201,$M91)&gt;0,
     COUNTIFS($AW$3:$AW$201,$M91)&gt;0
   )),
  ),
  2
 ),
"")</f>
        <v/>
      </c>
      <c r="Q91" s="3" t="str" cm="1">
        <f t="array" aca="1" ref="Q91" ca="1">IFERROR(
 INDEX(
  _xlfn._xlws.FILTER($T$2:$AW$2,
   TRANSPOSE(
    CHOOSE({1;2;3;4;5;6;7;8;9;10;11;12;13;14;15;16;17;18;19;20;21;22;23;24;25;26;27;28;29;30},
     COUNTIFS($T$3:$T$201,$M91)&gt;0,
     COUNTIFS($U$3:$U$201,$M91)&gt;0,
     COUNTIFS($V$3:$V$201,$M91)&gt;0,
     COUNTIFS($W$3:$W$201,$M91)&gt;0,
     COUNTIFS($X$3:$X$201,$M91)&gt;0,
     COUNTIFS($Y$3:$Y$201,$M91)&gt;0,
     COUNTIFS($Z$3:$Z$201,$M91)&gt;0,
     COUNTIFS($AA$3:$AA$201,$M91)&gt;0,
     COUNTIFS($AB$3:$AB$201,$M91)&gt;0,
     COUNTIFS($AC$3:$AC$201,$M91)&gt;0,
     COUNTIFS($AD$3:$AD$201,$M91)&gt;0,
     COUNTIFS($AE$3:$AE$201,$M91)&gt;0,
     COUNTIFS($AF$3:$AF$201,$M91)&gt;0,
     COUNTIFS($AG$3:$AG$201,$M91)&gt;0,
     COUNTIFS($AH$3:$AH$201,$M91)&gt;0,
     COUNTIFS($AI$3:$AI$201,$M91)&gt;0,
     COUNTIFS($AJ$3:$AJ$201,$M91)&gt;0,
     COUNTIFS($AK$3:$AK$201,$M91)&gt;0,
     COUNTIFS($AL$3:$AL$201,$M91)&gt;0,
     COUNTIFS($AM$3:$AM$201,$M91)&gt;0,
     COUNTIFS($AN$3:$AN$201,$M91)&gt;0,
     COUNTIFS($AO$3:$AO$201,$M91)&gt;0,
     COUNTIFS($AP$3:$AP$201,$M91)&gt;0,
     COUNTIFS($AQ$3:$AQ$201,$M91)&gt;0,
     COUNTIFS($AR$3:$AR$201,$M91)&gt;0,
     COUNTIFS($AS$3:$AS$201,$M91)&gt;0,
     COUNTIFS($AT$3:$AT$201,$M91)&gt;0,
     COUNTIFS($AU$3:$AU$201,$M91)&gt;0,
     COUNTIFS($AV$3:$AV$201,$M91)&gt;0,
     COUNTIFS($AW$3:$AW$201,$M91)&gt;0
   )),
  ),
  3
 ),
"")</f>
        <v/>
      </c>
      <c r="R91" s="3" t="str" cm="1">
        <f t="array" aca="1" ref="R91" ca="1">IFERROR(
 INDEX(
  _xlfn._xlws.FILTER($T$2:$AW$2,
   TRANSPOSE(
    CHOOSE({1;2;3;4;5;6;7;8;9;10;11;12;13;14;15;16;17;18;19;20;21;22;23;24;25;26;27;28;29;30},
     COUNTIFS($T$3:$T$201,$M91)&gt;0,
     COUNTIFS($U$3:$U$201,$M91)&gt;0,
     COUNTIFS($V$3:$V$201,$M91)&gt;0,
     COUNTIFS($W$3:$W$201,$M91)&gt;0,
     COUNTIFS($X$3:$X$201,$M91)&gt;0,
     COUNTIFS($Y$3:$Y$201,$M91)&gt;0,
     COUNTIFS($Z$3:$Z$201,$M91)&gt;0,
     COUNTIFS($AA$3:$AA$201,$M91)&gt;0,
     COUNTIFS($AB$3:$AB$201,$M91)&gt;0,
     COUNTIFS($AC$3:$AC$201,$M91)&gt;0,
     COUNTIFS($AD$3:$AD$201,$M91)&gt;0,
     COUNTIFS($AE$3:$AE$201,$M91)&gt;0,
     COUNTIFS($AF$3:$AF$201,$M91)&gt;0,
     COUNTIFS($AG$3:$AG$201,$M91)&gt;0,
     COUNTIFS($AH$3:$AH$201,$M91)&gt;0,
     COUNTIFS($AI$3:$AI$201,$M91)&gt;0,
     COUNTIFS($AJ$3:$AJ$201,$M91)&gt;0,
     COUNTIFS($AK$3:$AK$201,$M91)&gt;0,
     COUNTIFS($AL$3:$AL$201,$M91)&gt;0,
     COUNTIFS($AM$3:$AM$201,$M91)&gt;0,
     COUNTIFS($AN$3:$AN$201,$M91)&gt;0,
     COUNTIFS($AO$3:$AO$201,$M91)&gt;0,
     COUNTIFS($AP$3:$AP$201,$M91)&gt;0,
     COUNTIFS($AQ$3:$AQ$201,$M91)&gt;0,
     COUNTIFS($AR$3:$AR$201,$M91)&gt;0,
     COUNTIFS($AS$3:$AS$201,$M91)&gt;0,
     COUNTIFS($AT$3:$AT$201,$M91)&gt;0,
     COUNTIFS($AU$3:$AU$201,$M91)&gt;0,
     COUNTIFS($AV$3:$AV$201,$M91)&gt;0,
     COUNTIFS($AW$3:$AW$201,$M91)&gt;0
   )),
  ),
  4
 ),
"")</f>
        <v/>
      </c>
      <c r="CA91" t="str">
        <f ca="1"/>
        <v>Ponte Levadiça Esmagadora</v>
      </c>
      <c r="CF91" t="str">
        <f ca="1"/>
        <v>Illusionist's Gambit</v>
      </c>
      <c r="CI91" t="str">
        <f ca="1"/>
        <v>Filigree Sages</v>
      </c>
    </row>
    <row r="92" spans="1:87" x14ac:dyDescent="0.25">
      <c r="A92" t="str">
        <f ca="1"/>
        <v>Fellwar Stone</v>
      </c>
      <c r="B92" s="3" t="str" cm="1">
        <f t="array" aca="1" ref="B92" ca="1">_xlfn.ANCHORARRAY(RESUMO!C91)</f>
        <v>Rani</v>
      </c>
      <c r="C92" s="3" t="str">
        <f t="shared" ca="1" si="4"/>
        <v/>
      </c>
      <c r="E92" t="str">
        <f ca="1"/>
        <v>Flagelo das Frotas</v>
      </c>
      <c r="F92" s="3">
        <f t="shared" ca="1" si="5"/>
        <v>1</v>
      </c>
      <c r="G92" s="3" t="str">
        <f t="shared" ca="1" si="6"/>
        <v>JhoiraB</v>
      </c>
      <c r="M92" t="str">
        <f ca="1"/>
        <v>Flagelo das Frotas</v>
      </c>
      <c r="N92" s="3">
        <f t="shared" ca="1" si="7"/>
        <v>1</v>
      </c>
      <c r="O92" s="3" t="str">
        <f ca="1">IFERROR(
 INDEX($T$2:$AW$2,
  MATCH(TRUE,
   CHOOSE({1;2;3;4;5;6;7;8;9;10;11;12;13;14;15;16;17;18;19;20;21;22;23;24;25;26;27;28;29;30;31;32},
    COUNTIFS($T$3:$T$201,$M92)&gt;0,
    COUNTIFS($U$3:$U$201,$M92)&gt;0,
    COUNTIFS($V$3:$V$201,$M92)&gt;0,
    COUNTIFS($W$3:$W$201,$M92)&gt;0,
    COUNTIFS($X$3:$X$201,$M92)&gt;0,
    COUNTIFS($Y$3:$Y$201,$M92)&gt;0,
    COUNTIFS($Z$3:$Z$201,$M92)&gt;0,
    COUNTIFS($AA$3:$AA$201,$M92)&gt;0,
    COUNTIFS($AB$3:$AB$201,$M92)&gt;0,
    COUNTIFS($AC$3:$AC$201,$M92)&gt;0,
    COUNTIFS($AD$3:$AD$201,$M92)&gt;0,
    COUNTIFS($AE$3:$AE$201,$M92)&gt;0,
    COUNTIFS($AF$3:$AF$201,$M92)&gt;0,
    COUNTIFS($AG$3:$AG$201,$M92)&gt;0,
    COUNTIFS($AH$3:$AH$201,$M92)&gt;0,
    COUNTIFS($AI$3:$AI$201,$M92)&gt;0,
    COUNTIFS($AJ$3:$AJ$201,$M92)&gt;0,
    COUNTIFS($AK$3:$AK$201,$M92)&gt;0,
    COUNTIFS($AL$3:$AL$201,$M92)&gt;0,
    COUNTIFS($AM$3:$AM$201,$M92)&gt;0,
    COUNTIFS($AN$3:$AN$201,$M92)&gt;0,
    COUNTIFS($AO$3:$AO$201,$M92)&gt;0,
    COUNTIFS($AP$3:$AP$201,$M92)&gt;0,
    COUNTIFS($AQ$3:$AQ$201,$M92)&gt;0,
    COUNTIFS($AR$3:$AR$201,$M92)&gt;0,
    COUNTIFS($AS$3:$AS$201,$M92)&gt;0,
    COUNTIFS($AT$3:$AT$201,$M92)&gt;0,
    COUNTIFS($AU$3:$AU$201,$M92)&gt;0,
    COUNTIFS($AV$3:$AV$201,$M92)&gt;0,
    COUNTIFS($AW$3:$AW$201,$M92)&gt;0
   ),
  0)
 ),
"")</f>
        <v>JhoiraB</v>
      </c>
      <c r="P92" s="3" t="str" cm="1">
        <f t="array" aca="1" ref="P92" ca="1">IFERROR(
 INDEX(
  _xlfn._xlws.FILTER($T$2:$AW$2,
   TRANSPOSE(
    CHOOSE({1;2;3;4;5;6;7;8;9;10;11;12;13;14;15;16;17;18;19;20;21;22;23;24;25;26;27;28;29;30},
     COUNTIFS($T$3:$T$201,$M92)&gt;0,
     COUNTIFS($U$3:$U$201,$M92)&gt;0,
     COUNTIFS($V$3:$V$201,$M92)&gt;0,
     COUNTIFS($W$3:$W$201,$M92)&gt;0,
     COUNTIFS($X$3:$X$201,$M92)&gt;0,
     COUNTIFS($Y$3:$Y$201,$M92)&gt;0,
     COUNTIFS($Z$3:$Z$201,$M92)&gt;0,
     COUNTIFS($AA$3:$AA$201,$M92)&gt;0,
     COUNTIFS($AB$3:$AB$201,$M92)&gt;0,
     COUNTIFS($AC$3:$AC$201,$M92)&gt;0,
     COUNTIFS($AD$3:$AD$201,$M92)&gt;0,
     COUNTIFS($AE$3:$AE$201,$M92)&gt;0,
     COUNTIFS($AF$3:$AF$201,$M92)&gt;0,
     COUNTIFS($AG$3:$AG$201,$M92)&gt;0,
     COUNTIFS($AH$3:$AH$201,$M92)&gt;0,
     COUNTIFS($AI$3:$AI$201,$M92)&gt;0,
     COUNTIFS($AJ$3:$AJ$201,$M92)&gt;0,
     COUNTIFS($AK$3:$AK$201,$M92)&gt;0,
     COUNTIFS($AL$3:$AL$201,$M92)&gt;0,
     COUNTIFS($AM$3:$AM$201,$M92)&gt;0,
     COUNTIFS($AN$3:$AN$201,$M92)&gt;0,
     COUNTIFS($AO$3:$AO$201,$M92)&gt;0,
     COUNTIFS($AP$3:$AP$201,$M92)&gt;0,
     COUNTIFS($AQ$3:$AQ$201,$M92)&gt;0,
     COUNTIFS($AR$3:$AR$201,$M92)&gt;0,
     COUNTIFS($AS$3:$AS$201,$M92)&gt;0,
     COUNTIFS($AT$3:$AT$201,$M92)&gt;0,
     COUNTIFS($AU$3:$AU$201,$M92)&gt;0,
     COUNTIFS($AV$3:$AV$201,$M92)&gt;0,
     COUNTIFS($AW$3:$AW$201,$M92)&gt;0
   )),
  ),
  2
 ),
"")</f>
        <v/>
      </c>
      <c r="Q92" s="3" t="str" cm="1">
        <f t="array" aca="1" ref="Q92" ca="1">IFERROR(
 INDEX(
  _xlfn._xlws.FILTER($T$2:$AW$2,
   TRANSPOSE(
    CHOOSE({1;2;3;4;5;6;7;8;9;10;11;12;13;14;15;16;17;18;19;20;21;22;23;24;25;26;27;28;29;30},
     COUNTIFS($T$3:$T$201,$M92)&gt;0,
     COUNTIFS($U$3:$U$201,$M92)&gt;0,
     COUNTIFS($V$3:$V$201,$M92)&gt;0,
     COUNTIFS($W$3:$W$201,$M92)&gt;0,
     COUNTIFS($X$3:$X$201,$M92)&gt;0,
     COUNTIFS($Y$3:$Y$201,$M92)&gt;0,
     COUNTIFS($Z$3:$Z$201,$M92)&gt;0,
     COUNTIFS($AA$3:$AA$201,$M92)&gt;0,
     COUNTIFS($AB$3:$AB$201,$M92)&gt;0,
     COUNTIFS($AC$3:$AC$201,$M92)&gt;0,
     COUNTIFS($AD$3:$AD$201,$M92)&gt;0,
     COUNTIFS($AE$3:$AE$201,$M92)&gt;0,
     COUNTIFS($AF$3:$AF$201,$M92)&gt;0,
     COUNTIFS($AG$3:$AG$201,$M92)&gt;0,
     COUNTIFS($AH$3:$AH$201,$M92)&gt;0,
     COUNTIFS($AI$3:$AI$201,$M92)&gt;0,
     COUNTIFS($AJ$3:$AJ$201,$M92)&gt;0,
     COUNTIFS($AK$3:$AK$201,$M92)&gt;0,
     COUNTIFS($AL$3:$AL$201,$M92)&gt;0,
     COUNTIFS($AM$3:$AM$201,$M92)&gt;0,
     COUNTIFS($AN$3:$AN$201,$M92)&gt;0,
     COUNTIFS($AO$3:$AO$201,$M92)&gt;0,
     COUNTIFS($AP$3:$AP$201,$M92)&gt;0,
     COUNTIFS($AQ$3:$AQ$201,$M92)&gt;0,
     COUNTIFS($AR$3:$AR$201,$M92)&gt;0,
     COUNTIFS($AS$3:$AS$201,$M92)&gt;0,
     COUNTIFS($AT$3:$AT$201,$M92)&gt;0,
     COUNTIFS($AU$3:$AU$201,$M92)&gt;0,
     COUNTIFS($AV$3:$AV$201,$M92)&gt;0,
     COUNTIFS($AW$3:$AW$201,$M92)&gt;0
   )),
  ),
  3
 ),
"")</f>
        <v/>
      </c>
      <c r="R92" s="3" t="str" cm="1">
        <f t="array" aca="1" ref="R92" ca="1">IFERROR(
 INDEX(
  _xlfn._xlws.FILTER($T$2:$AW$2,
   TRANSPOSE(
    CHOOSE({1;2;3;4;5;6;7;8;9;10;11;12;13;14;15;16;17;18;19;20;21;22;23;24;25;26;27;28;29;30},
     COUNTIFS($T$3:$T$201,$M92)&gt;0,
     COUNTIFS($U$3:$U$201,$M92)&gt;0,
     COUNTIFS($V$3:$V$201,$M92)&gt;0,
     COUNTIFS($W$3:$W$201,$M92)&gt;0,
     COUNTIFS($X$3:$X$201,$M92)&gt;0,
     COUNTIFS($Y$3:$Y$201,$M92)&gt;0,
     COUNTIFS($Z$3:$Z$201,$M92)&gt;0,
     COUNTIFS($AA$3:$AA$201,$M92)&gt;0,
     COUNTIFS($AB$3:$AB$201,$M92)&gt;0,
     COUNTIFS($AC$3:$AC$201,$M92)&gt;0,
     COUNTIFS($AD$3:$AD$201,$M92)&gt;0,
     COUNTIFS($AE$3:$AE$201,$M92)&gt;0,
     COUNTIFS($AF$3:$AF$201,$M92)&gt;0,
     COUNTIFS($AG$3:$AG$201,$M92)&gt;0,
     COUNTIFS($AH$3:$AH$201,$M92)&gt;0,
     COUNTIFS($AI$3:$AI$201,$M92)&gt;0,
     COUNTIFS($AJ$3:$AJ$201,$M92)&gt;0,
     COUNTIFS($AK$3:$AK$201,$M92)&gt;0,
     COUNTIFS($AL$3:$AL$201,$M92)&gt;0,
     COUNTIFS($AM$3:$AM$201,$M92)&gt;0,
     COUNTIFS($AN$3:$AN$201,$M92)&gt;0,
     COUNTIFS($AO$3:$AO$201,$M92)&gt;0,
     COUNTIFS($AP$3:$AP$201,$M92)&gt;0,
     COUNTIFS($AQ$3:$AQ$201,$M92)&gt;0,
     COUNTIFS($AR$3:$AR$201,$M92)&gt;0,
     COUNTIFS($AS$3:$AS$201,$M92)&gt;0,
     COUNTIFS($AT$3:$AT$201,$M92)&gt;0,
     COUNTIFS($AU$3:$AU$201,$M92)&gt;0,
     COUNTIFS($AV$3:$AV$201,$M92)&gt;0,
     COUNTIFS($AW$3:$AW$201,$M92)&gt;0
   )),
  ),
  4
 ),
"")</f>
        <v/>
      </c>
      <c r="CA92" t="str">
        <f ca="1"/>
        <v>Ponte Musgomosto</v>
      </c>
      <c r="CF92" t="str">
        <f ca="1"/>
        <v>Imagem Espelhada</v>
      </c>
      <c r="CI92" t="str">
        <f ca="1"/>
        <v>Flagelo das Frotas</v>
      </c>
    </row>
    <row r="93" spans="1:87" x14ac:dyDescent="0.25">
      <c r="A93" t="str">
        <f ca="1"/>
        <v>Filigree Vector</v>
      </c>
      <c r="B93" s="3" t="str" cm="1">
        <f t="array" aca="1" ref="B93" ca="1">_xlfn.ANCHORARRAY(RESUMO!C92)</f>
        <v>Modular</v>
      </c>
      <c r="C93" s="3" t="str">
        <f t="shared" ca="1" si="4"/>
        <v/>
      </c>
      <c r="E93" t="str">
        <f ca="1"/>
        <v>Floresta</v>
      </c>
      <c r="F93" s="3">
        <f t="shared" ca="1" si="5"/>
        <v>1</v>
      </c>
      <c r="G93" s="3" t="str">
        <f t="shared" ca="1" si="6"/>
        <v>Arcades</v>
      </c>
      <c r="M93" t="str">
        <f ca="1"/>
        <v>Floresta</v>
      </c>
      <c r="N93" s="3">
        <f t="shared" ca="1" si="7"/>
        <v>1</v>
      </c>
      <c r="O93" s="3" t="str">
        <f ca="1">IFERROR(
 INDEX($T$2:$AW$2,
  MATCH(TRUE,
   CHOOSE({1;2;3;4;5;6;7;8;9;10;11;12;13;14;15;16;17;18;19;20;21;22;23;24;25;26;27;28;29;30;31;32},
    COUNTIFS($T$3:$T$201,$M93)&gt;0,
    COUNTIFS($U$3:$U$201,$M93)&gt;0,
    COUNTIFS($V$3:$V$201,$M93)&gt;0,
    COUNTIFS($W$3:$W$201,$M93)&gt;0,
    COUNTIFS($X$3:$X$201,$M93)&gt;0,
    COUNTIFS($Y$3:$Y$201,$M93)&gt;0,
    COUNTIFS($Z$3:$Z$201,$M93)&gt;0,
    COUNTIFS($AA$3:$AA$201,$M93)&gt;0,
    COUNTIFS($AB$3:$AB$201,$M93)&gt;0,
    COUNTIFS($AC$3:$AC$201,$M93)&gt;0,
    COUNTIFS($AD$3:$AD$201,$M93)&gt;0,
    COUNTIFS($AE$3:$AE$201,$M93)&gt;0,
    COUNTIFS($AF$3:$AF$201,$M93)&gt;0,
    COUNTIFS($AG$3:$AG$201,$M93)&gt;0,
    COUNTIFS($AH$3:$AH$201,$M93)&gt;0,
    COUNTIFS($AI$3:$AI$201,$M93)&gt;0,
    COUNTIFS($AJ$3:$AJ$201,$M93)&gt;0,
    COUNTIFS($AK$3:$AK$201,$M93)&gt;0,
    COUNTIFS($AL$3:$AL$201,$M93)&gt;0,
    COUNTIFS($AM$3:$AM$201,$M93)&gt;0,
    COUNTIFS($AN$3:$AN$201,$M93)&gt;0,
    COUNTIFS($AO$3:$AO$201,$M93)&gt;0,
    COUNTIFS($AP$3:$AP$201,$M93)&gt;0,
    COUNTIFS($AQ$3:$AQ$201,$M93)&gt;0,
    COUNTIFS($AR$3:$AR$201,$M93)&gt;0,
    COUNTIFS($AS$3:$AS$201,$M93)&gt;0,
    COUNTIFS($AT$3:$AT$201,$M93)&gt;0,
    COUNTIFS($AU$3:$AU$201,$M93)&gt;0,
    COUNTIFS($AV$3:$AV$201,$M93)&gt;0,
    COUNTIFS($AW$3:$AW$201,$M93)&gt;0
   ),
  0)
 ),
"")</f>
        <v>Arcades</v>
      </c>
      <c r="P93" s="3" t="str" cm="1">
        <f t="array" aca="1" ref="P93" ca="1">IFERROR(
 INDEX(
  _xlfn._xlws.FILTER($T$2:$AW$2,
   TRANSPOSE(
    CHOOSE({1;2;3;4;5;6;7;8;9;10;11;12;13;14;15;16;17;18;19;20;21;22;23;24;25;26;27;28;29;30},
     COUNTIFS($T$3:$T$201,$M93)&gt;0,
     COUNTIFS($U$3:$U$201,$M93)&gt;0,
     COUNTIFS($V$3:$V$201,$M93)&gt;0,
     COUNTIFS($W$3:$W$201,$M93)&gt;0,
     COUNTIFS($X$3:$X$201,$M93)&gt;0,
     COUNTIFS($Y$3:$Y$201,$M93)&gt;0,
     COUNTIFS($Z$3:$Z$201,$M93)&gt;0,
     COUNTIFS($AA$3:$AA$201,$M93)&gt;0,
     COUNTIFS($AB$3:$AB$201,$M93)&gt;0,
     COUNTIFS($AC$3:$AC$201,$M93)&gt;0,
     COUNTIFS($AD$3:$AD$201,$M93)&gt;0,
     COUNTIFS($AE$3:$AE$201,$M93)&gt;0,
     COUNTIFS($AF$3:$AF$201,$M93)&gt;0,
     COUNTIFS($AG$3:$AG$201,$M93)&gt;0,
     COUNTIFS($AH$3:$AH$201,$M93)&gt;0,
     COUNTIFS($AI$3:$AI$201,$M93)&gt;0,
     COUNTIFS($AJ$3:$AJ$201,$M93)&gt;0,
     COUNTIFS($AK$3:$AK$201,$M93)&gt;0,
     COUNTIFS($AL$3:$AL$201,$M93)&gt;0,
     COUNTIFS($AM$3:$AM$201,$M93)&gt;0,
     COUNTIFS($AN$3:$AN$201,$M93)&gt;0,
     COUNTIFS($AO$3:$AO$201,$M93)&gt;0,
     COUNTIFS($AP$3:$AP$201,$M93)&gt;0,
     COUNTIFS($AQ$3:$AQ$201,$M93)&gt;0,
     COUNTIFS($AR$3:$AR$201,$M93)&gt;0,
     COUNTIFS($AS$3:$AS$201,$M93)&gt;0,
     COUNTIFS($AT$3:$AT$201,$M93)&gt;0,
     COUNTIFS($AU$3:$AU$201,$M93)&gt;0,
     COUNTIFS($AV$3:$AV$201,$M93)&gt;0,
     COUNTIFS($AW$3:$AW$201,$M93)&gt;0
   )),
  ),
  2
 ),
"")</f>
        <v/>
      </c>
      <c r="Q93" s="3" t="str" cm="1">
        <f t="array" aca="1" ref="Q93" ca="1">IFERROR(
 INDEX(
  _xlfn._xlws.FILTER($T$2:$AW$2,
   TRANSPOSE(
    CHOOSE({1;2;3;4;5;6;7;8;9;10;11;12;13;14;15;16;17;18;19;20;21;22;23;24;25;26;27;28;29;30},
     COUNTIFS($T$3:$T$201,$M93)&gt;0,
     COUNTIFS($U$3:$U$201,$M93)&gt;0,
     COUNTIFS($V$3:$V$201,$M93)&gt;0,
     COUNTIFS($W$3:$W$201,$M93)&gt;0,
     COUNTIFS($X$3:$X$201,$M93)&gt;0,
     COUNTIFS($Y$3:$Y$201,$M93)&gt;0,
     COUNTIFS($Z$3:$Z$201,$M93)&gt;0,
     COUNTIFS($AA$3:$AA$201,$M93)&gt;0,
     COUNTIFS($AB$3:$AB$201,$M93)&gt;0,
     COUNTIFS($AC$3:$AC$201,$M93)&gt;0,
     COUNTIFS($AD$3:$AD$201,$M93)&gt;0,
     COUNTIFS($AE$3:$AE$201,$M93)&gt;0,
     COUNTIFS($AF$3:$AF$201,$M93)&gt;0,
     COUNTIFS($AG$3:$AG$201,$M93)&gt;0,
     COUNTIFS($AH$3:$AH$201,$M93)&gt;0,
     COUNTIFS($AI$3:$AI$201,$M93)&gt;0,
     COUNTIFS($AJ$3:$AJ$201,$M93)&gt;0,
     COUNTIFS($AK$3:$AK$201,$M93)&gt;0,
     COUNTIFS($AL$3:$AL$201,$M93)&gt;0,
     COUNTIFS($AM$3:$AM$201,$M93)&gt;0,
     COUNTIFS($AN$3:$AN$201,$M93)&gt;0,
     COUNTIFS($AO$3:$AO$201,$M93)&gt;0,
     COUNTIFS($AP$3:$AP$201,$M93)&gt;0,
     COUNTIFS($AQ$3:$AQ$201,$M93)&gt;0,
     COUNTIFS($AR$3:$AR$201,$M93)&gt;0,
     COUNTIFS($AS$3:$AS$201,$M93)&gt;0,
     COUNTIFS($AT$3:$AT$201,$M93)&gt;0,
     COUNTIFS($AU$3:$AU$201,$M93)&gt;0,
     COUNTIFS($AV$3:$AV$201,$M93)&gt;0,
     COUNTIFS($AW$3:$AW$201,$M93)&gt;0
   )),
  ),
  3
 ),
"")</f>
        <v/>
      </c>
      <c r="R93" s="3" t="str" cm="1">
        <f t="array" aca="1" ref="R93" ca="1">IFERROR(
 INDEX(
  _xlfn._xlws.FILTER($T$2:$AW$2,
   TRANSPOSE(
    CHOOSE({1;2;3;4;5;6;7;8;9;10;11;12;13;14;15;16;17;18;19;20;21;22;23;24;25;26;27;28;29;30},
     COUNTIFS($T$3:$T$201,$M93)&gt;0,
     COUNTIFS($U$3:$U$201,$M93)&gt;0,
     COUNTIFS($V$3:$V$201,$M93)&gt;0,
     COUNTIFS($W$3:$W$201,$M93)&gt;0,
     COUNTIFS($X$3:$X$201,$M93)&gt;0,
     COUNTIFS($Y$3:$Y$201,$M93)&gt;0,
     COUNTIFS($Z$3:$Z$201,$M93)&gt;0,
     COUNTIFS($AA$3:$AA$201,$M93)&gt;0,
     COUNTIFS($AB$3:$AB$201,$M93)&gt;0,
     COUNTIFS($AC$3:$AC$201,$M93)&gt;0,
     COUNTIFS($AD$3:$AD$201,$M93)&gt;0,
     COUNTIFS($AE$3:$AE$201,$M93)&gt;0,
     COUNTIFS($AF$3:$AF$201,$M93)&gt;0,
     COUNTIFS($AG$3:$AG$201,$M93)&gt;0,
     COUNTIFS($AH$3:$AH$201,$M93)&gt;0,
     COUNTIFS($AI$3:$AI$201,$M93)&gt;0,
     COUNTIFS($AJ$3:$AJ$201,$M93)&gt;0,
     COUNTIFS($AK$3:$AK$201,$M93)&gt;0,
     COUNTIFS($AL$3:$AL$201,$M93)&gt;0,
     COUNTIFS($AM$3:$AM$201,$M93)&gt;0,
     COUNTIFS($AN$3:$AN$201,$M93)&gt;0,
     COUNTIFS($AO$3:$AO$201,$M93)&gt;0,
     COUNTIFS($AP$3:$AP$201,$M93)&gt;0,
     COUNTIFS($AQ$3:$AQ$201,$M93)&gt;0,
     COUNTIFS($AR$3:$AR$201,$M93)&gt;0,
     COUNTIFS($AS$3:$AS$201,$M93)&gt;0,
     COUNTIFS($AT$3:$AT$201,$M93)&gt;0,
     COUNTIFS($AU$3:$AU$201,$M93)&gt;0,
     COUNTIFS($AV$3:$AV$201,$M93)&gt;0,
     COUNTIFS($AW$3:$AW$201,$M93)&gt;0
   )),
  ),
  4
 ),
"")</f>
        <v/>
      </c>
      <c r="CA93" t="str">
        <f ca="1"/>
        <v>Presença de Gond</v>
      </c>
      <c r="CF93" t="str">
        <f ca="1"/>
        <v>Inferno Duplo</v>
      </c>
      <c r="CI93" t="str">
        <f ca="1"/>
        <v>Floresta</v>
      </c>
    </row>
    <row r="94" spans="1:87" x14ac:dyDescent="0.25">
      <c r="A94" t="str">
        <f ca="1"/>
        <v>Firion, Wild Rose Warrior</v>
      </c>
      <c r="B94" s="3" t="str" cm="1">
        <f t="array" aca="1" ref="B94" ca="1">_xlfn.ANCHORARRAY(RESUMO!C93)</f>
        <v>Akiri</v>
      </c>
      <c r="C94" s="3" t="str">
        <f t="shared" ca="1" si="4"/>
        <v/>
      </c>
      <c r="E94" t="str">
        <f ca="1"/>
        <v>Floresta Flagelada</v>
      </c>
      <c r="F94" s="3">
        <f t="shared" ca="1" si="5"/>
        <v>1</v>
      </c>
      <c r="G94" s="3" t="str">
        <f t="shared" ca="1" si="6"/>
        <v>Kumena</v>
      </c>
      <c r="M94" t="str">
        <f ca="1"/>
        <v>Floresta Flagelada</v>
      </c>
      <c r="N94" s="3">
        <f t="shared" ca="1" si="7"/>
        <v>1</v>
      </c>
      <c r="O94" s="3" t="str">
        <f ca="1">IFERROR(
 INDEX($T$2:$AW$2,
  MATCH(TRUE,
   CHOOSE({1;2;3;4;5;6;7;8;9;10;11;12;13;14;15;16;17;18;19;20;21;22;23;24;25;26;27;28;29;30;31;32},
    COUNTIFS($T$3:$T$201,$M94)&gt;0,
    COUNTIFS($U$3:$U$201,$M94)&gt;0,
    COUNTIFS($V$3:$V$201,$M94)&gt;0,
    COUNTIFS($W$3:$W$201,$M94)&gt;0,
    COUNTIFS($X$3:$X$201,$M94)&gt;0,
    COUNTIFS($Y$3:$Y$201,$M94)&gt;0,
    COUNTIFS($Z$3:$Z$201,$M94)&gt;0,
    COUNTIFS($AA$3:$AA$201,$M94)&gt;0,
    COUNTIFS($AB$3:$AB$201,$M94)&gt;0,
    COUNTIFS($AC$3:$AC$201,$M94)&gt;0,
    COUNTIFS($AD$3:$AD$201,$M94)&gt;0,
    COUNTIFS($AE$3:$AE$201,$M94)&gt;0,
    COUNTIFS($AF$3:$AF$201,$M94)&gt;0,
    COUNTIFS($AG$3:$AG$201,$M94)&gt;0,
    COUNTIFS($AH$3:$AH$201,$M94)&gt;0,
    COUNTIFS($AI$3:$AI$201,$M94)&gt;0,
    COUNTIFS($AJ$3:$AJ$201,$M94)&gt;0,
    COUNTIFS($AK$3:$AK$201,$M94)&gt;0,
    COUNTIFS($AL$3:$AL$201,$M94)&gt;0,
    COUNTIFS($AM$3:$AM$201,$M94)&gt;0,
    COUNTIFS($AN$3:$AN$201,$M94)&gt;0,
    COUNTIFS($AO$3:$AO$201,$M94)&gt;0,
    COUNTIFS($AP$3:$AP$201,$M94)&gt;0,
    COUNTIFS($AQ$3:$AQ$201,$M94)&gt;0,
    COUNTIFS($AR$3:$AR$201,$M94)&gt;0,
    COUNTIFS($AS$3:$AS$201,$M94)&gt;0,
    COUNTIFS($AT$3:$AT$201,$M94)&gt;0,
    COUNTIFS($AU$3:$AU$201,$M94)&gt;0,
    COUNTIFS($AV$3:$AV$201,$M94)&gt;0,
    COUNTIFS($AW$3:$AW$201,$M94)&gt;0
   ),
  0)
 ),
"")</f>
        <v>Kumena</v>
      </c>
      <c r="P94" s="3" t="str" cm="1">
        <f t="array" aca="1" ref="P94" ca="1">IFERROR(
 INDEX(
  _xlfn._xlws.FILTER($T$2:$AW$2,
   TRANSPOSE(
    CHOOSE({1;2;3;4;5;6;7;8;9;10;11;12;13;14;15;16;17;18;19;20;21;22;23;24;25;26;27;28;29;30},
     COUNTIFS($T$3:$T$201,$M94)&gt;0,
     COUNTIFS($U$3:$U$201,$M94)&gt;0,
     COUNTIFS($V$3:$V$201,$M94)&gt;0,
     COUNTIFS($W$3:$W$201,$M94)&gt;0,
     COUNTIFS($X$3:$X$201,$M94)&gt;0,
     COUNTIFS($Y$3:$Y$201,$M94)&gt;0,
     COUNTIFS($Z$3:$Z$201,$M94)&gt;0,
     COUNTIFS($AA$3:$AA$201,$M94)&gt;0,
     COUNTIFS($AB$3:$AB$201,$M94)&gt;0,
     COUNTIFS($AC$3:$AC$201,$M94)&gt;0,
     COUNTIFS($AD$3:$AD$201,$M94)&gt;0,
     COUNTIFS($AE$3:$AE$201,$M94)&gt;0,
     COUNTIFS($AF$3:$AF$201,$M94)&gt;0,
     COUNTIFS($AG$3:$AG$201,$M94)&gt;0,
     COUNTIFS($AH$3:$AH$201,$M94)&gt;0,
     COUNTIFS($AI$3:$AI$201,$M94)&gt;0,
     COUNTIFS($AJ$3:$AJ$201,$M94)&gt;0,
     COUNTIFS($AK$3:$AK$201,$M94)&gt;0,
     COUNTIFS($AL$3:$AL$201,$M94)&gt;0,
     COUNTIFS($AM$3:$AM$201,$M94)&gt;0,
     COUNTIFS($AN$3:$AN$201,$M94)&gt;0,
     COUNTIFS($AO$3:$AO$201,$M94)&gt;0,
     COUNTIFS($AP$3:$AP$201,$M94)&gt;0,
     COUNTIFS($AQ$3:$AQ$201,$M94)&gt;0,
     COUNTIFS($AR$3:$AR$201,$M94)&gt;0,
     COUNTIFS($AS$3:$AS$201,$M94)&gt;0,
     COUNTIFS($AT$3:$AT$201,$M94)&gt;0,
     COUNTIFS($AU$3:$AU$201,$M94)&gt;0,
     COUNTIFS($AV$3:$AV$201,$M94)&gt;0,
     COUNTIFS($AW$3:$AW$201,$M94)&gt;0
   )),
  ),
  2
 ),
"")</f>
        <v/>
      </c>
      <c r="Q94" s="3" t="str" cm="1">
        <f t="array" aca="1" ref="Q94" ca="1">IFERROR(
 INDEX(
  _xlfn._xlws.FILTER($T$2:$AW$2,
   TRANSPOSE(
    CHOOSE({1;2;3;4;5;6;7;8;9;10;11;12;13;14;15;16;17;18;19;20;21;22;23;24;25;26;27;28;29;30},
     COUNTIFS($T$3:$T$201,$M94)&gt;0,
     COUNTIFS($U$3:$U$201,$M94)&gt;0,
     COUNTIFS($V$3:$V$201,$M94)&gt;0,
     COUNTIFS($W$3:$W$201,$M94)&gt;0,
     COUNTIFS($X$3:$X$201,$M94)&gt;0,
     COUNTIFS($Y$3:$Y$201,$M94)&gt;0,
     COUNTIFS($Z$3:$Z$201,$M94)&gt;0,
     COUNTIFS($AA$3:$AA$201,$M94)&gt;0,
     COUNTIFS($AB$3:$AB$201,$M94)&gt;0,
     COUNTIFS($AC$3:$AC$201,$M94)&gt;0,
     COUNTIFS($AD$3:$AD$201,$M94)&gt;0,
     COUNTIFS($AE$3:$AE$201,$M94)&gt;0,
     COUNTIFS($AF$3:$AF$201,$M94)&gt;0,
     COUNTIFS($AG$3:$AG$201,$M94)&gt;0,
     COUNTIFS($AH$3:$AH$201,$M94)&gt;0,
     COUNTIFS($AI$3:$AI$201,$M94)&gt;0,
     COUNTIFS($AJ$3:$AJ$201,$M94)&gt;0,
     COUNTIFS($AK$3:$AK$201,$M94)&gt;0,
     COUNTIFS($AL$3:$AL$201,$M94)&gt;0,
     COUNTIFS($AM$3:$AM$201,$M94)&gt;0,
     COUNTIFS($AN$3:$AN$201,$M94)&gt;0,
     COUNTIFS($AO$3:$AO$201,$M94)&gt;0,
     COUNTIFS($AP$3:$AP$201,$M94)&gt;0,
     COUNTIFS($AQ$3:$AQ$201,$M94)&gt;0,
     COUNTIFS($AR$3:$AR$201,$M94)&gt;0,
     COUNTIFS($AS$3:$AS$201,$M94)&gt;0,
     COUNTIFS($AT$3:$AT$201,$M94)&gt;0,
     COUNTIFS($AU$3:$AU$201,$M94)&gt;0,
     COUNTIFS($AV$3:$AV$201,$M94)&gt;0,
     COUNTIFS($AW$3:$AW$201,$M94)&gt;0
   )),
  ),
  3
 ),
"")</f>
        <v/>
      </c>
      <c r="R94" s="3" t="str" cm="1">
        <f t="array" aca="1" ref="R94" ca="1">IFERROR(
 INDEX(
  _xlfn._xlws.FILTER($T$2:$AW$2,
   TRANSPOSE(
    CHOOSE({1;2;3;4;5;6;7;8;9;10;11;12;13;14;15;16;17;18;19;20;21;22;23;24;25;26;27;28;29;30},
     COUNTIFS($T$3:$T$201,$M94)&gt;0,
     COUNTIFS($U$3:$U$201,$M94)&gt;0,
     COUNTIFS($V$3:$V$201,$M94)&gt;0,
     COUNTIFS($W$3:$W$201,$M94)&gt;0,
     COUNTIFS($X$3:$X$201,$M94)&gt;0,
     COUNTIFS($Y$3:$Y$201,$M94)&gt;0,
     COUNTIFS($Z$3:$Z$201,$M94)&gt;0,
     COUNTIFS($AA$3:$AA$201,$M94)&gt;0,
     COUNTIFS($AB$3:$AB$201,$M94)&gt;0,
     COUNTIFS($AC$3:$AC$201,$M94)&gt;0,
     COUNTIFS($AD$3:$AD$201,$M94)&gt;0,
     COUNTIFS($AE$3:$AE$201,$M94)&gt;0,
     COUNTIFS($AF$3:$AF$201,$M94)&gt;0,
     COUNTIFS($AG$3:$AG$201,$M94)&gt;0,
     COUNTIFS($AH$3:$AH$201,$M94)&gt;0,
     COUNTIFS($AI$3:$AI$201,$M94)&gt;0,
     COUNTIFS($AJ$3:$AJ$201,$M94)&gt;0,
     COUNTIFS($AK$3:$AK$201,$M94)&gt;0,
     COUNTIFS($AL$3:$AL$201,$M94)&gt;0,
     COUNTIFS($AM$3:$AM$201,$M94)&gt;0,
     COUNTIFS($AN$3:$AN$201,$M94)&gt;0,
     COUNTIFS($AO$3:$AO$201,$M94)&gt;0,
     COUNTIFS($AP$3:$AP$201,$M94)&gt;0,
     COUNTIFS($AQ$3:$AQ$201,$M94)&gt;0,
     COUNTIFS($AR$3:$AR$201,$M94)&gt;0,
     COUNTIFS($AS$3:$AS$201,$M94)&gt;0,
     COUNTIFS($AT$3:$AT$201,$M94)&gt;0,
     COUNTIFS($AU$3:$AU$201,$M94)&gt;0,
     COUNTIFS($AV$3:$AV$201,$M94)&gt;0,
     COUNTIFS($AW$3:$AW$201,$M94)&gt;0
   )),
  ),
  4
 ),
"")</f>
        <v/>
      </c>
      <c r="CA94" t="str">
        <f ca="1"/>
        <v>Prismatic Lens</v>
      </c>
      <c r="CF94" t="str">
        <f ca="1"/>
        <v>Invasão da Horda Medonha</v>
      </c>
      <c r="CI94" t="str">
        <f ca="1"/>
        <v>Floresta Flagelada</v>
      </c>
    </row>
    <row r="95" spans="1:87" x14ac:dyDescent="0.25">
      <c r="A95" t="str">
        <f ca="1"/>
        <v>Firkraag, Cunning Instigator</v>
      </c>
      <c r="B95" s="3" t="str" cm="1">
        <f t="array" aca="1" ref="B95" ca="1">_xlfn.ANCHORARRAY(RESUMO!C94)</f>
        <v>Rani</v>
      </c>
      <c r="C95" s="3" t="str">
        <f t="shared" ca="1" si="4"/>
        <v/>
      </c>
      <c r="E95" t="str">
        <f ca="1"/>
        <v>Forest</v>
      </c>
      <c r="F95" s="3">
        <f t="shared" ca="1" si="5"/>
        <v>10</v>
      </c>
      <c r="G95" s="3" t="str">
        <f t="shared" ca="1" si="6"/>
        <v>Baylen</v>
      </c>
      <c r="M95" t="str">
        <f ca="1"/>
        <v>Forest</v>
      </c>
      <c r="N95" s="3">
        <f t="shared" ca="1" si="7"/>
        <v>10</v>
      </c>
      <c r="O95" s="3" t="str">
        <f ca="1">IFERROR(
 INDEX($T$2:$AW$2,
  MATCH(TRUE,
   CHOOSE({1;2;3;4;5;6;7;8;9;10;11;12;13;14;15;16;17;18;19;20;21;22;23;24;25;26;27;28;29;30;31;32},
    COUNTIFS($T$3:$T$201,$M95)&gt;0,
    COUNTIFS($U$3:$U$201,$M95)&gt;0,
    COUNTIFS($V$3:$V$201,$M95)&gt;0,
    COUNTIFS($W$3:$W$201,$M95)&gt;0,
    COUNTIFS($X$3:$X$201,$M95)&gt;0,
    COUNTIFS($Y$3:$Y$201,$M95)&gt;0,
    COUNTIFS($Z$3:$Z$201,$M95)&gt;0,
    COUNTIFS($AA$3:$AA$201,$M95)&gt;0,
    COUNTIFS($AB$3:$AB$201,$M95)&gt;0,
    COUNTIFS($AC$3:$AC$201,$M95)&gt;0,
    COUNTIFS($AD$3:$AD$201,$M95)&gt;0,
    COUNTIFS($AE$3:$AE$201,$M95)&gt;0,
    COUNTIFS($AF$3:$AF$201,$M95)&gt;0,
    COUNTIFS($AG$3:$AG$201,$M95)&gt;0,
    COUNTIFS($AH$3:$AH$201,$M95)&gt;0,
    COUNTIFS($AI$3:$AI$201,$M95)&gt;0,
    COUNTIFS($AJ$3:$AJ$201,$M95)&gt;0,
    COUNTIFS($AK$3:$AK$201,$M95)&gt;0,
    COUNTIFS($AL$3:$AL$201,$M95)&gt;0,
    COUNTIFS($AM$3:$AM$201,$M95)&gt;0,
    COUNTIFS($AN$3:$AN$201,$M95)&gt;0,
    COUNTIFS($AO$3:$AO$201,$M95)&gt;0,
    COUNTIFS($AP$3:$AP$201,$M95)&gt;0,
    COUNTIFS($AQ$3:$AQ$201,$M95)&gt;0,
    COUNTIFS($AR$3:$AR$201,$M95)&gt;0,
    COUNTIFS($AS$3:$AS$201,$M95)&gt;0,
    COUNTIFS($AT$3:$AT$201,$M95)&gt;0,
    COUNTIFS($AU$3:$AU$201,$M95)&gt;0,
    COUNTIFS($AV$3:$AV$201,$M95)&gt;0,
    COUNTIFS($AW$3:$AW$201,$M95)&gt;0
   ),
  0)
 ),
"")</f>
        <v>Baylen</v>
      </c>
      <c r="P95" s="3" t="str" cm="1">
        <f t="array" aca="1" ref="P95" ca="1">IFERROR(
 INDEX(
  _xlfn._xlws.FILTER($T$2:$AW$2,
   TRANSPOSE(
    CHOOSE({1;2;3;4;5;6;7;8;9;10;11;12;13;14;15;16;17;18;19;20;21;22;23;24;25;26;27;28;29;30},
     COUNTIFS($T$3:$T$201,$M95)&gt;0,
     COUNTIFS($U$3:$U$201,$M95)&gt;0,
     COUNTIFS($V$3:$V$201,$M95)&gt;0,
     COUNTIFS($W$3:$W$201,$M95)&gt;0,
     COUNTIFS($X$3:$X$201,$M95)&gt;0,
     COUNTIFS($Y$3:$Y$201,$M95)&gt;0,
     COUNTIFS($Z$3:$Z$201,$M95)&gt;0,
     COUNTIFS($AA$3:$AA$201,$M95)&gt;0,
     COUNTIFS($AB$3:$AB$201,$M95)&gt;0,
     COUNTIFS($AC$3:$AC$201,$M95)&gt;0,
     COUNTIFS($AD$3:$AD$201,$M95)&gt;0,
     COUNTIFS($AE$3:$AE$201,$M95)&gt;0,
     COUNTIFS($AF$3:$AF$201,$M95)&gt;0,
     COUNTIFS($AG$3:$AG$201,$M95)&gt;0,
     COUNTIFS($AH$3:$AH$201,$M95)&gt;0,
     COUNTIFS($AI$3:$AI$201,$M95)&gt;0,
     COUNTIFS($AJ$3:$AJ$201,$M95)&gt;0,
     COUNTIFS($AK$3:$AK$201,$M95)&gt;0,
     COUNTIFS($AL$3:$AL$201,$M95)&gt;0,
     COUNTIFS($AM$3:$AM$201,$M95)&gt;0,
     COUNTIFS($AN$3:$AN$201,$M95)&gt;0,
     COUNTIFS($AO$3:$AO$201,$M95)&gt;0,
     COUNTIFS($AP$3:$AP$201,$M95)&gt;0,
     COUNTIFS($AQ$3:$AQ$201,$M95)&gt;0,
     COUNTIFS($AR$3:$AR$201,$M95)&gt;0,
     COUNTIFS($AS$3:$AS$201,$M95)&gt;0,
     COUNTIFS($AT$3:$AT$201,$M95)&gt;0,
     COUNTIFS($AU$3:$AU$201,$M95)&gt;0,
     COUNTIFS($AV$3:$AV$201,$M95)&gt;0,
     COUNTIFS($AW$3:$AW$201,$M95)&gt;0
   )),
  ),
  2
 ),
"")</f>
        <v>Tayam</v>
      </c>
      <c r="Q95" s="3" t="str" cm="1">
        <f t="array" aca="1" ref="Q95" ca="1">IFERROR(
 INDEX(
  _xlfn._xlws.FILTER($T$2:$AW$2,
   TRANSPOSE(
    CHOOSE({1;2;3;4;5;6;7;8;9;10;11;12;13;14;15;16;17;18;19;20;21;22;23;24;25;26;27;28;29;30},
     COUNTIFS($T$3:$T$201,$M95)&gt;0,
     COUNTIFS($U$3:$U$201,$M95)&gt;0,
     COUNTIFS($V$3:$V$201,$M95)&gt;0,
     COUNTIFS($W$3:$W$201,$M95)&gt;0,
     COUNTIFS($X$3:$X$201,$M95)&gt;0,
     COUNTIFS($Y$3:$Y$201,$M95)&gt;0,
     COUNTIFS($Z$3:$Z$201,$M95)&gt;0,
     COUNTIFS($AA$3:$AA$201,$M95)&gt;0,
     COUNTIFS($AB$3:$AB$201,$M95)&gt;0,
     COUNTIFS($AC$3:$AC$201,$M95)&gt;0,
     COUNTIFS($AD$3:$AD$201,$M95)&gt;0,
     COUNTIFS($AE$3:$AE$201,$M95)&gt;0,
     COUNTIFS($AF$3:$AF$201,$M95)&gt;0,
     COUNTIFS($AG$3:$AG$201,$M95)&gt;0,
     COUNTIFS($AH$3:$AH$201,$M95)&gt;0,
     COUNTIFS($AI$3:$AI$201,$M95)&gt;0,
     COUNTIFS($AJ$3:$AJ$201,$M95)&gt;0,
     COUNTIFS($AK$3:$AK$201,$M95)&gt;0,
     COUNTIFS($AL$3:$AL$201,$M95)&gt;0,
     COUNTIFS($AM$3:$AM$201,$M95)&gt;0,
     COUNTIFS($AN$3:$AN$201,$M95)&gt;0,
     COUNTIFS($AO$3:$AO$201,$M95)&gt;0,
     COUNTIFS($AP$3:$AP$201,$M95)&gt;0,
     COUNTIFS($AQ$3:$AQ$201,$M95)&gt;0,
     COUNTIFS($AR$3:$AR$201,$M95)&gt;0,
     COUNTIFS($AS$3:$AS$201,$M95)&gt;0,
     COUNTIFS($AT$3:$AT$201,$M95)&gt;0,
     COUNTIFS($AU$3:$AU$201,$M95)&gt;0,
     COUNTIFS($AV$3:$AV$201,$M95)&gt;0,
     COUNTIFS($AW$3:$AW$201,$M95)&gt;0
   )),
  ),
  3
 ),
"")</f>
        <v>Kumena</v>
      </c>
      <c r="R95" s="3" t="str" cm="1">
        <f t="array" aca="1" ref="R95" ca="1">IFERROR(
 INDEX(
  _xlfn._xlws.FILTER($T$2:$AW$2,
   TRANSPOSE(
    CHOOSE({1;2;3;4;5;6;7;8;9;10;11;12;13;14;15;16;17;18;19;20;21;22;23;24;25;26;27;28;29;30},
     COUNTIFS($T$3:$T$201,$M95)&gt;0,
     COUNTIFS($U$3:$U$201,$M95)&gt;0,
     COUNTIFS($V$3:$V$201,$M95)&gt;0,
     COUNTIFS($W$3:$W$201,$M95)&gt;0,
     COUNTIFS($X$3:$X$201,$M95)&gt;0,
     COUNTIFS($Y$3:$Y$201,$M95)&gt;0,
     COUNTIFS($Z$3:$Z$201,$M95)&gt;0,
     COUNTIFS($AA$3:$AA$201,$M95)&gt;0,
     COUNTIFS($AB$3:$AB$201,$M95)&gt;0,
     COUNTIFS($AC$3:$AC$201,$M95)&gt;0,
     COUNTIFS($AD$3:$AD$201,$M95)&gt;0,
     COUNTIFS($AE$3:$AE$201,$M95)&gt;0,
     COUNTIFS($AF$3:$AF$201,$M95)&gt;0,
     COUNTIFS($AG$3:$AG$201,$M95)&gt;0,
     COUNTIFS($AH$3:$AH$201,$M95)&gt;0,
     COUNTIFS($AI$3:$AI$201,$M95)&gt;0,
     COUNTIFS($AJ$3:$AJ$201,$M95)&gt;0,
     COUNTIFS($AK$3:$AK$201,$M95)&gt;0,
     COUNTIFS($AL$3:$AL$201,$M95)&gt;0,
     COUNTIFS($AM$3:$AM$201,$M95)&gt;0,
     COUNTIFS($AN$3:$AN$201,$M95)&gt;0,
     COUNTIFS($AO$3:$AO$201,$M95)&gt;0,
     COUNTIFS($AP$3:$AP$201,$M95)&gt;0,
     COUNTIFS($AQ$3:$AQ$201,$M95)&gt;0,
     COUNTIFS($AR$3:$AR$201,$M95)&gt;0,
     COUNTIFS($AS$3:$AS$201,$M95)&gt;0,
     COUNTIFS($AT$3:$AT$201,$M95)&gt;0,
     COUNTIFS($AU$3:$AU$201,$M95)&gt;0,
     COUNTIFS($AV$3:$AV$201,$M95)&gt;0,
     COUNTIFS($AW$3:$AW$201,$M95)&gt;0
   )),
  ),
  4
 ),
"")</f>
        <v>Gritrog</v>
      </c>
      <c r="CA95" t="str">
        <f ca="1"/>
        <v>Ranger of Eos</v>
      </c>
      <c r="CF95" t="str">
        <f ca="1"/>
        <v>Investigação Minuciosa</v>
      </c>
      <c r="CI95" t="str">
        <f ca="1"/>
        <v>Forest</v>
      </c>
    </row>
    <row r="96" spans="1:87" x14ac:dyDescent="0.25">
      <c r="A96" t="str">
        <f ca="1"/>
        <v>Forest</v>
      </c>
      <c r="B96" s="3" t="str" cm="1">
        <f t="array" aca="1" ref="B96" ca="1">_xlfn.ANCHORARRAY(RESUMO!C95)</f>
        <v>Tayam</v>
      </c>
      <c r="C96" s="3" t="str">
        <f t="shared" ca="1" si="4"/>
        <v>Baylen</v>
      </c>
      <c r="E96" t="str">
        <f ca="1"/>
        <v>Forja Mística</v>
      </c>
      <c r="F96" s="3">
        <f t="shared" ca="1" si="5"/>
        <v>1</v>
      </c>
      <c r="G96" s="3" t="str">
        <f t="shared" ca="1" si="6"/>
        <v>Akiri</v>
      </c>
      <c r="M96" t="str">
        <f ca="1"/>
        <v>Forja Mística</v>
      </c>
      <c r="N96" s="3">
        <f t="shared" ca="1" si="7"/>
        <v>1</v>
      </c>
      <c r="O96" s="3" t="str">
        <f ca="1">IFERROR(
 INDEX($T$2:$AW$2,
  MATCH(TRUE,
   CHOOSE({1;2;3;4;5;6;7;8;9;10;11;12;13;14;15;16;17;18;19;20;21;22;23;24;25;26;27;28;29;30;31;32},
    COUNTIFS($T$3:$T$201,$M96)&gt;0,
    COUNTIFS($U$3:$U$201,$M96)&gt;0,
    COUNTIFS($V$3:$V$201,$M96)&gt;0,
    COUNTIFS($W$3:$W$201,$M96)&gt;0,
    COUNTIFS($X$3:$X$201,$M96)&gt;0,
    COUNTIFS($Y$3:$Y$201,$M96)&gt;0,
    COUNTIFS($Z$3:$Z$201,$M96)&gt;0,
    COUNTIFS($AA$3:$AA$201,$M96)&gt;0,
    COUNTIFS($AB$3:$AB$201,$M96)&gt;0,
    COUNTIFS($AC$3:$AC$201,$M96)&gt;0,
    COUNTIFS($AD$3:$AD$201,$M96)&gt;0,
    COUNTIFS($AE$3:$AE$201,$M96)&gt;0,
    COUNTIFS($AF$3:$AF$201,$M96)&gt;0,
    COUNTIFS($AG$3:$AG$201,$M96)&gt;0,
    COUNTIFS($AH$3:$AH$201,$M96)&gt;0,
    COUNTIFS($AI$3:$AI$201,$M96)&gt;0,
    COUNTIFS($AJ$3:$AJ$201,$M96)&gt;0,
    COUNTIFS($AK$3:$AK$201,$M96)&gt;0,
    COUNTIFS($AL$3:$AL$201,$M96)&gt;0,
    COUNTIFS($AM$3:$AM$201,$M96)&gt;0,
    COUNTIFS($AN$3:$AN$201,$M96)&gt;0,
    COUNTIFS($AO$3:$AO$201,$M96)&gt;0,
    COUNTIFS($AP$3:$AP$201,$M96)&gt;0,
    COUNTIFS($AQ$3:$AQ$201,$M96)&gt;0,
    COUNTIFS($AR$3:$AR$201,$M96)&gt;0,
    COUNTIFS($AS$3:$AS$201,$M96)&gt;0,
    COUNTIFS($AT$3:$AT$201,$M96)&gt;0,
    COUNTIFS($AU$3:$AU$201,$M96)&gt;0,
    COUNTIFS($AV$3:$AV$201,$M96)&gt;0,
    COUNTIFS($AW$3:$AW$201,$M96)&gt;0
   ),
  0)
 ),
"")</f>
        <v>Akiri</v>
      </c>
      <c r="P96" s="3" t="str" cm="1">
        <f t="array" aca="1" ref="P96" ca="1">IFERROR(
 INDEX(
  _xlfn._xlws.FILTER($T$2:$AW$2,
   TRANSPOSE(
    CHOOSE({1;2;3;4;5;6;7;8;9;10;11;12;13;14;15;16;17;18;19;20;21;22;23;24;25;26;27;28;29;30},
     COUNTIFS($T$3:$T$201,$M96)&gt;0,
     COUNTIFS($U$3:$U$201,$M96)&gt;0,
     COUNTIFS($V$3:$V$201,$M96)&gt;0,
     COUNTIFS($W$3:$W$201,$M96)&gt;0,
     COUNTIFS($X$3:$X$201,$M96)&gt;0,
     COUNTIFS($Y$3:$Y$201,$M96)&gt;0,
     COUNTIFS($Z$3:$Z$201,$M96)&gt;0,
     COUNTIFS($AA$3:$AA$201,$M96)&gt;0,
     COUNTIFS($AB$3:$AB$201,$M96)&gt;0,
     COUNTIFS($AC$3:$AC$201,$M96)&gt;0,
     COUNTIFS($AD$3:$AD$201,$M96)&gt;0,
     COUNTIFS($AE$3:$AE$201,$M96)&gt;0,
     COUNTIFS($AF$3:$AF$201,$M96)&gt;0,
     COUNTIFS($AG$3:$AG$201,$M96)&gt;0,
     COUNTIFS($AH$3:$AH$201,$M96)&gt;0,
     COUNTIFS($AI$3:$AI$201,$M96)&gt;0,
     COUNTIFS($AJ$3:$AJ$201,$M96)&gt;0,
     COUNTIFS($AK$3:$AK$201,$M96)&gt;0,
     COUNTIFS($AL$3:$AL$201,$M96)&gt;0,
     COUNTIFS($AM$3:$AM$201,$M96)&gt;0,
     COUNTIFS($AN$3:$AN$201,$M96)&gt;0,
     COUNTIFS($AO$3:$AO$201,$M96)&gt;0,
     COUNTIFS($AP$3:$AP$201,$M96)&gt;0,
     COUNTIFS($AQ$3:$AQ$201,$M96)&gt;0,
     COUNTIFS($AR$3:$AR$201,$M96)&gt;0,
     COUNTIFS($AS$3:$AS$201,$M96)&gt;0,
     COUNTIFS($AT$3:$AT$201,$M96)&gt;0,
     COUNTIFS($AU$3:$AU$201,$M96)&gt;0,
     COUNTIFS($AV$3:$AV$201,$M96)&gt;0,
     COUNTIFS($AW$3:$AW$201,$M96)&gt;0
   )),
  ),
  2
 ),
"")</f>
        <v/>
      </c>
      <c r="Q96" s="3" t="str" cm="1">
        <f t="array" aca="1" ref="Q96" ca="1">IFERROR(
 INDEX(
  _xlfn._xlws.FILTER($T$2:$AW$2,
   TRANSPOSE(
    CHOOSE({1;2;3;4;5;6;7;8;9;10;11;12;13;14;15;16;17;18;19;20;21;22;23;24;25;26;27;28;29;30},
     COUNTIFS($T$3:$T$201,$M96)&gt;0,
     COUNTIFS($U$3:$U$201,$M96)&gt;0,
     COUNTIFS($V$3:$V$201,$M96)&gt;0,
     COUNTIFS($W$3:$W$201,$M96)&gt;0,
     COUNTIFS($X$3:$X$201,$M96)&gt;0,
     COUNTIFS($Y$3:$Y$201,$M96)&gt;0,
     COUNTIFS($Z$3:$Z$201,$M96)&gt;0,
     COUNTIFS($AA$3:$AA$201,$M96)&gt;0,
     COUNTIFS($AB$3:$AB$201,$M96)&gt;0,
     COUNTIFS($AC$3:$AC$201,$M96)&gt;0,
     COUNTIFS($AD$3:$AD$201,$M96)&gt;0,
     COUNTIFS($AE$3:$AE$201,$M96)&gt;0,
     COUNTIFS($AF$3:$AF$201,$M96)&gt;0,
     COUNTIFS($AG$3:$AG$201,$M96)&gt;0,
     COUNTIFS($AH$3:$AH$201,$M96)&gt;0,
     COUNTIFS($AI$3:$AI$201,$M96)&gt;0,
     COUNTIFS($AJ$3:$AJ$201,$M96)&gt;0,
     COUNTIFS($AK$3:$AK$201,$M96)&gt;0,
     COUNTIFS($AL$3:$AL$201,$M96)&gt;0,
     COUNTIFS($AM$3:$AM$201,$M96)&gt;0,
     COUNTIFS($AN$3:$AN$201,$M96)&gt;0,
     COUNTIFS($AO$3:$AO$201,$M96)&gt;0,
     COUNTIFS($AP$3:$AP$201,$M96)&gt;0,
     COUNTIFS($AQ$3:$AQ$201,$M96)&gt;0,
     COUNTIFS($AR$3:$AR$201,$M96)&gt;0,
     COUNTIFS($AS$3:$AS$201,$M96)&gt;0,
     COUNTIFS($AT$3:$AT$201,$M96)&gt;0,
     COUNTIFS($AU$3:$AU$201,$M96)&gt;0,
     COUNTIFS($AV$3:$AV$201,$M96)&gt;0,
     COUNTIFS($AW$3:$AW$201,$M96)&gt;0
   )),
  ),
  3
 ),
"")</f>
        <v/>
      </c>
      <c r="R96" s="3" t="str" cm="1">
        <f t="array" aca="1" ref="R96" ca="1">IFERROR(
 INDEX(
  _xlfn._xlws.FILTER($T$2:$AW$2,
   TRANSPOSE(
    CHOOSE({1;2;3;4;5;6;7;8;9;10;11;12;13;14;15;16;17;18;19;20;21;22;23;24;25;26;27;28;29;30},
     COUNTIFS($T$3:$T$201,$M96)&gt;0,
     COUNTIFS($U$3:$U$201,$M96)&gt;0,
     COUNTIFS($V$3:$V$201,$M96)&gt;0,
     COUNTIFS($W$3:$W$201,$M96)&gt;0,
     COUNTIFS($X$3:$X$201,$M96)&gt;0,
     COUNTIFS($Y$3:$Y$201,$M96)&gt;0,
     COUNTIFS($Z$3:$Z$201,$M96)&gt;0,
     COUNTIFS($AA$3:$AA$201,$M96)&gt;0,
     COUNTIFS($AB$3:$AB$201,$M96)&gt;0,
     COUNTIFS($AC$3:$AC$201,$M96)&gt;0,
     COUNTIFS($AD$3:$AD$201,$M96)&gt;0,
     COUNTIFS($AE$3:$AE$201,$M96)&gt;0,
     COUNTIFS($AF$3:$AF$201,$M96)&gt;0,
     COUNTIFS($AG$3:$AG$201,$M96)&gt;0,
     COUNTIFS($AH$3:$AH$201,$M96)&gt;0,
     COUNTIFS($AI$3:$AI$201,$M96)&gt;0,
     COUNTIFS($AJ$3:$AJ$201,$M96)&gt;0,
     COUNTIFS($AK$3:$AK$201,$M96)&gt;0,
     COUNTIFS($AL$3:$AL$201,$M96)&gt;0,
     COUNTIFS($AM$3:$AM$201,$M96)&gt;0,
     COUNTIFS($AN$3:$AN$201,$M96)&gt;0,
     COUNTIFS($AO$3:$AO$201,$M96)&gt;0,
     COUNTIFS($AP$3:$AP$201,$M96)&gt;0,
     COUNTIFS($AQ$3:$AQ$201,$M96)&gt;0,
     COUNTIFS($AR$3:$AR$201,$M96)&gt;0,
     COUNTIFS($AS$3:$AS$201,$M96)&gt;0,
     COUNTIFS($AT$3:$AT$201,$M96)&gt;0,
     COUNTIFS($AU$3:$AU$201,$M96)&gt;0,
     COUNTIFS($AV$3:$AV$201,$M96)&gt;0,
     COUNTIFS($AW$3:$AW$201,$M96)&gt;0
   )),
  ),
  4
 ),
"")</f>
        <v/>
      </c>
      <c r="CA96" t="str">
        <f ca="1"/>
        <v>Realmbreaker, the Invasion Tree</v>
      </c>
      <c r="CF96" t="str">
        <f ca="1"/>
        <v>Island</v>
      </c>
      <c r="CI96" t="str">
        <f ca="1"/>
        <v>Forja Mística</v>
      </c>
    </row>
    <row r="97" spans="1:87" x14ac:dyDescent="0.25">
      <c r="A97" t="str">
        <f ca="1"/>
        <v>Frenzied Gorespawn</v>
      </c>
      <c r="B97" s="3" t="str" cm="1">
        <f t="array" aca="1" ref="B97" ca="1">_xlfn.ANCHORARRAY(RESUMO!C96)</f>
        <v>Rani</v>
      </c>
      <c r="C97" s="3" t="str">
        <f t="shared" ca="1" si="4"/>
        <v/>
      </c>
      <c r="E97" t="str">
        <f ca="1"/>
        <v>Forno da Bruxa</v>
      </c>
      <c r="F97" s="3">
        <f t="shared" ca="1" si="5"/>
        <v>1</v>
      </c>
      <c r="G97" s="3" t="str">
        <f t="shared" ca="1" si="6"/>
        <v>Baylen</v>
      </c>
      <c r="M97" t="str">
        <f ca="1"/>
        <v>Forno da Bruxa</v>
      </c>
      <c r="N97" s="3">
        <f t="shared" ca="1" si="7"/>
        <v>1</v>
      </c>
      <c r="O97" s="3" t="str">
        <f ca="1">IFERROR(
 INDEX($T$2:$AW$2,
  MATCH(TRUE,
   CHOOSE({1;2;3;4;5;6;7;8;9;10;11;12;13;14;15;16;17;18;19;20;21;22;23;24;25;26;27;28;29;30;31;32},
    COUNTIFS($T$3:$T$201,$M97)&gt;0,
    COUNTIFS($U$3:$U$201,$M97)&gt;0,
    COUNTIFS($V$3:$V$201,$M97)&gt;0,
    COUNTIFS($W$3:$W$201,$M97)&gt;0,
    COUNTIFS($X$3:$X$201,$M97)&gt;0,
    COUNTIFS($Y$3:$Y$201,$M97)&gt;0,
    COUNTIFS($Z$3:$Z$201,$M97)&gt;0,
    COUNTIFS($AA$3:$AA$201,$M97)&gt;0,
    COUNTIFS($AB$3:$AB$201,$M97)&gt;0,
    COUNTIFS($AC$3:$AC$201,$M97)&gt;0,
    COUNTIFS($AD$3:$AD$201,$M97)&gt;0,
    COUNTIFS($AE$3:$AE$201,$M97)&gt;0,
    COUNTIFS($AF$3:$AF$201,$M97)&gt;0,
    COUNTIFS($AG$3:$AG$201,$M97)&gt;0,
    COUNTIFS($AH$3:$AH$201,$M97)&gt;0,
    COUNTIFS($AI$3:$AI$201,$M97)&gt;0,
    COUNTIFS($AJ$3:$AJ$201,$M97)&gt;0,
    COUNTIFS($AK$3:$AK$201,$M97)&gt;0,
    COUNTIFS($AL$3:$AL$201,$M97)&gt;0,
    COUNTIFS($AM$3:$AM$201,$M97)&gt;0,
    COUNTIFS($AN$3:$AN$201,$M97)&gt;0,
    COUNTIFS($AO$3:$AO$201,$M97)&gt;0,
    COUNTIFS($AP$3:$AP$201,$M97)&gt;0,
    COUNTIFS($AQ$3:$AQ$201,$M97)&gt;0,
    COUNTIFS($AR$3:$AR$201,$M97)&gt;0,
    COUNTIFS($AS$3:$AS$201,$M97)&gt;0,
    COUNTIFS($AT$3:$AT$201,$M97)&gt;0,
    COUNTIFS($AU$3:$AU$201,$M97)&gt;0,
    COUNTIFS($AV$3:$AV$201,$M97)&gt;0,
    COUNTIFS($AW$3:$AW$201,$M97)&gt;0
   ),
  0)
 ),
"")</f>
        <v>Baylen</v>
      </c>
      <c r="P97" s="3" t="str" cm="1">
        <f t="array" aca="1" ref="P97" ca="1">IFERROR(
 INDEX(
  _xlfn._xlws.FILTER($T$2:$AW$2,
   TRANSPOSE(
    CHOOSE({1;2;3;4;5;6;7;8;9;10;11;12;13;14;15;16;17;18;19;20;21;22;23;24;25;26;27;28;29;30},
     COUNTIFS($T$3:$T$201,$M97)&gt;0,
     COUNTIFS($U$3:$U$201,$M97)&gt;0,
     COUNTIFS($V$3:$V$201,$M97)&gt;0,
     COUNTIFS($W$3:$W$201,$M97)&gt;0,
     COUNTIFS($X$3:$X$201,$M97)&gt;0,
     COUNTIFS($Y$3:$Y$201,$M97)&gt;0,
     COUNTIFS($Z$3:$Z$201,$M97)&gt;0,
     COUNTIFS($AA$3:$AA$201,$M97)&gt;0,
     COUNTIFS($AB$3:$AB$201,$M97)&gt;0,
     COUNTIFS($AC$3:$AC$201,$M97)&gt;0,
     COUNTIFS($AD$3:$AD$201,$M97)&gt;0,
     COUNTIFS($AE$3:$AE$201,$M97)&gt;0,
     COUNTIFS($AF$3:$AF$201,$M97)&gt;0,
     COUNTIFS($AG$3:$AG$201,$M97)&gt;0,
     COUNTIFS($AH$3:$AH$201,$M97)&gt;0,
     COUNTIFS($AI$3:$AI$201,$M97)&gt;0,
     COUNTIFS($AJ$3:$AJ$201,$M97)&gt;0,
     COUNTIFS($AK$3:$AK$201,$M97)&gt;0,
     COUNTIFS($AL$3:$AL$201,$M97)&gt;0,
     COUNTIFS($AM$3:$AM$201,$M97)&gt;0,
     COUNTIFS($AN$3:$AN$201,$M97)&gt;0,
     COUNTIFS($AO$3:$AO$201,$M97)&gt;0,
     COUNTIFS($AP$3:$AP$201,$M97)&gt;0,
     COUNTIFS($AQ$3:$AQ$201,$M97)&gt;0,
     COUNTIFS($AR$3:$AR$201,$M97)&gt;0,
     COUNTIFS($AS$3:$AS$201,$M97)&gt;0,
     COUNTIFS($AT$3:$AT$201,$M97)&gt;0,
     COUNTIFS($AU$3:$AU$201,$M97)&gt;0,
     COUNTIFS($AV$3:$AV$201,$M97)&gt;0,
     COUNTIFS($AW$3:$AW$201,$M97)&gt;0
   )),
  ),
  2
 ),
"")</f>
        <v/>
      </c>
      <c r="Q97" s="3" t="str" cm="1">
        <f t="array" aca="1" ref="Q97" ca="1">IFERROR(
 INDEX(
  _xlfn._xlws.FILTER($T$2:$AW$2,
   TRANSPOSE(
    CHOOSE({1;2;3;4;5;6;7;8;9;10;11;12;13;14;15;16;17;18;19;20;21;22;23;24;25;26;27;28;29;30},
     COUNTIFS($T$3:$T$201,$M97)&gt;0,
     COUNTIFS($U$3:$U$201,$M97)&gt;0,
     COUNTIFS($V$3:$V$201,$M97)&gt;0,
     COUNTIFS($W$3:$W$201,$M97)&gt;0,
     COUNTIFS($X$3:$X$201,$M97)&gt;0,
     COUNTIFS($Y$3:$Y$201,$M97)&gt;0,
     COUNTIFS($Z$3:$Z$201,$M97)&gt;0,
     COUNTIFS($AA$3:$AA$201,$M97)&gt;0,
     COUNTIFS($AB$3:$AB$201,$M97)&gt;0,
     COUNTIFS($AC$3:$AC$201,$M97)&gt;0,
     COUNTIFS($AD$3:$AD$201,$M97)&gt;0,
     COUNTIFS($AE$3:$AE$201,$M97)&gt;0,
     COUNTIFS($AF$3:$AF$201,$M97)&gt;0,
     COUNTIFS($AG$3:$AG$201,$M97)&gt;0,
     COUNTIFS($AH$3:$AH$201,$M97)&gt;0,
     COUNTIFS($AI$3:$AI$201,$M97)&gt;0,
     COUNTIFS($AJ$3:$AJ$201,$M97)&gt;0,
     COUNTIFS($AK$3:$AK$201,$M97)&gt;0,
     COUNTIFS($AL$3:$AL$201,$M97)&gt;0,
     COUNTIFS($AM$3:$AM$201,$M97)&gt;0,
     COUNTIFS($AN$3:$AN$201,$M97)&gt;0,
     COUNTIFS($AO$3:$AO$201,$M97)&gt;0,
     COUNTIFS($AP$3:$AP$201,$M97)&gt;0,
     COUNTIFS($AQ$3:$AQ$201,$M97)&gt;0,
     COUNTIFS($AR$3:$AR$201,$M97)&gt;0,
     COUNTIFS($AS$3:$AS$201,$M97)&gt;0,
     COUNTIFS($AT$3:$AT$201,$M97)&gt;0,
     COUNTIFS($AU$3:$AU$201,$M97)&gt;0,
     COUNTIFS($AV$3:$AV$201,$M97)&gt;0,
     COUNTIFS($AW$3:$AW$201,$M97)&gt;0
   )),
  ),
  3
 ),
"")</f>
        <v/>
      </c>
      <c r="R97" s="3" t="str" cm="1">
        <f t="array" aca="1" ref="R97" ca="1">IFERROR(
 INDEX(
  _xlfn._xlws.FILTER($T$2:$AW$2,
   TRANSPOSE(
    CHOOSE({1;2;3;4;5;6;7;8;9;10;11;12;13;14;15;16;17;18;19;20;21;22;23;24;25;26;27;28;29;30},
     COUNTIFS($T$3:$T$201,$M97)&gt;0,
     COUNTIFS($U$3:$U$201,$M97)&gt;0,
     COUNTIFS($V$3:$V$201,$M97)&gt;0,
     COUNTIFS($W$3:$W$201,$M97)&gt;0,
     COUNTIFS($X$3:$X$201,$M97)&gt;0,
     COUNTIFS($Y$3:$Y$201,$M97)&gt;0,
     COUNTIFS($Z$3:$Z$201,$M97)&gt;0,
     COUNTIFS($AA$3:$AA$201,$M97)&gt;0,
     COUNTIFS($AB$3:$AB$201,$M97)&gt;0,
     COUNTIFS($AC$3:$AC$201,$M97)&gt;0,
     COUNTIFS($AD$3:$AD$201,$M97)&gt;0,
     COUNTIFS($AE$3:$AE$201,$M97)&gt;0,
     COUNTIFS($AF$3:$AF$201,$M97)&gt;0,
     COUNTIFS($AG$3:$AG$201,$M97)&gt;0,
     COUNTIFS($AH$3:$AH$201,$M97)&gt;0,
     COUNTIFS($AI$3:$AI$201,$M97)&gt;0,
     COUNTIFS($AJ$3:$AJ$201,$M97)&gt;0,
     COUNTIFS($AK$3:$AK$201,$M97)&gt;0,
     COUNTIFS($AL$3:$AL$201,$M97)&gt;0,
     COUNTIFS($AM$3:$AM$201,$M97)&gt;0,
     COUNTIFS($AN$3:$AN$201,$M97)&gt;0,
     COUNTIFS($AO$3:$AO$201,$M97)&gt;0,
     COUNTIFS($AP$3:$AP$201,$M97)&gt;0,
     COUNTIFS($AQ$3:$AQ$201,$M97)&gt;0,
     COUNTIFS($AR$3:$AR$201,$M97)&gt;0,
     COUNTIFS($AS$3:$AS$201,$M97)&gt;0,
     COUNTIFS($AT$3:$AT$201,$M97)&gt;0,
     COUNTIFS($AU$3:$AU$201,$M97)&gt;0,
     COUNTIFS($AV$3:$AV$201,$M97)&gt;0,
     COUNTIFS($AW$3:$AW$201,$M97)&gt;0
   )),
  ),
  4
 ),
"")</f>
        <v/>
      </c>
      <c r="CA97" t="str">
        <f ca="1"/>
        <v>Reaper's Talisman</v>
      </c>
      <c r="CF97" t="str">
        <f ca="1"/>
        <v>Japaland</v>
      </c>
      <c r="CI97" t="str">
        <f ca="1"/>
        <v>Forno da Bruxa</v>
      </c>
    </row>
    <row r="98" spans="1:87" x14ac:dyDescent="0.25">
      <c r="A98" t="str">
        <f ca="1"/>
        <v>Freyalise, Llanowar's Fury</v>
      </c>
      <c r="B98" s="3" t="str" cm="1">
        <f t="array" aca="1" ref="B98" ca="1">_xlfn.ANCHORARRAY(RESUMO!C97)</f>
        <v>Sisay</v>
      </c>
      <c r="C98" s="3" t="str">
        <f t="shared" ca="1" si="4"/>
        <v/>
      </c>
      <c r="E98" t="str">
        <f ca="1"/>
        <v>Fraying Sanity</v>
      </c>
      <c r="F98" s="3">
        <f t="shared" ca="1" si="5"/>
        <v>1</v>
      </c>
      <c r="G98" s="3" t="str">
        <f t="shared" ca="1" si="6"/>
        <v>Narset</v>
      </c>
      <c r="M98" t="str">
        <f ca="1"/>
        <v>Fraying Sanity</v>
      </c>
      <c r="N98" s="3">
        <f t="shared" ca="1" si="7"/>
        <v>1</v>
      </c>
      <c r="O98" s="3" t="str">
        <f ca="1">IFERROR(
 INDEX($T$2:$AW$2,
  MATCH(TRUE,
   CHOOSE({1;2;3;4;5;6;7;8;9;10;11;12;13;14;15;16;17;18;19;20;21;22;23;24;25;26;27;28;29;30;31;32},
    COUNTIFS($T$3:$T$201,$M98)&gt;0,
    COUNTIFS($U$3:$U$201,$M98)&gt;0,
    COUNTIFS($V$3:$V$201,$M98)&gt;0,
    COUNTIFS($W$3:$W$201,$M98)&gt;0,
    COUNTIFS($X$3:$X$201,$M98)&gt;0,
    COUNTIFS($Y$3:$Y$201,$M98)&gt;0,
    COUNTIFS($Z$3:$Z$201,$M98)&gt;0,
    COUNTIFS($AA$3:$AA$201,$M98)&gt;0,
    COUNTIFS($AB$3:$AB$201,$M98)&gt;0,
    COUNTIFS($AC$3:$AC$201,$M98)&gt;0,
    COUNTIFS($AD$3:$AD$201,$M98)&gt;0,
    COUNTIFS($AE$3:$AE$201,$M98)&gt;0,
    COUNTIFS($AF$3:$AF$201,$M98)&gt;0,
    COUNTIFS($AG$3:$AG$201,$M98)&gt;0,
    COUNTIFS($AH$3:$AH$201,$M98)&gt;0,
    COUNTIFS($AI$3:$AI$201,$M98)&gt;0,
    COUNTIFS($AJ$3:$AJ$201,$M98)&gt;0,
    COUNTIFS($AK$3:$AK$201,$M98)&gt;0,
    COUNTIFS($AL$3:$AL$201,$M98)&gt;0,
    COUNTIFS($AM$3:$AM$201,$M98)&gt;0,
    COUNTIFS($AN$3:$AN$201,$M98)&gt;0,
    COUNTIFS($AO$3:$AO$201,$M98)&gt;0,
    COUNTIFS($AP$3:$AP$201,$M98)&gt;0,
    COUNTIFS($AQ$3:$AQ$201,$M98)&gt;0,
    COUNTIFS($AR$3:$AR$201,$M98)&gt;0,
    COUNTIFS($AS$3:$AS$201,$M98)&gt;0,
    COUNTIFS($AT$3:$AT$201,$M98)&gt;0,
    COUNTIFS($AU$3:$AU$201,$M98)&gt;0,
    COUNTIFS($AV$3:$AV$201,$M98)&gt;0,
    COUNTIFS($AW$3:$AW$201,$M98)&gt;0
   ),
  0)
 ),
"")</f>
        <v>Narset</v>
      </c>
      <c r="P98" s="3" t="str" cm="1">
        <f t="array" aca="1" ref="P98" ca="1">IFERROR(
 INDEX(
  _xlfn._xlws.FILTER($T$2:$AW$2,
   TRANSPOSE(
    CHOOSE({1;2;3;4;5;6;7;8;9;10;11;12;13;14;15;16;17;18;19;20;21;22;23;24;25;26;27;28;29;30},
     COUNTIFS($T$3:$T$201,$M98)&gt;0,
     COUNTIFS($U$3:$U$201,$M98)&gt;0,
     COUNTIFS($V$3:$V$201,$M98)&gt;0,
     COUNTIFS($W$3:$W$201,$M98)&gt;0,
     COUNTIFS($X$3:$X$201,$M98)&gt;0,
     COUNTIFS($Y$3:$Y$201,$M98)&gt;0,
     COUNTIFS($Z$3:$Z$201,$M98)&gt;0,
     COUNTIFS($AA$3:$AA$201,$M98)&gt;0,
     COUNTIFS($AB$3:$AB$201,$M98)&gt;0,
     COUNTIFS($AC$3:$AC$201,$M98)&gt;0,
     COUNTIFS($AD$3:$AD$201,$M98)&gt;0,
     COUNTIFS($AE$3:$AE$201,$M98)&gt;0,
     COUNTIFS($AF$3:$AF$201,$M98)&gt;0,
     COUNTIFS($AG$3:$AG$201,$M98)&gt;0,
     COUNTIFS($AH$3:$AH$201,$M98)&gt;0,
     COUNTIFS($AI$3:$AI$201,$M98)&gt;0,
     COUNTIFS($AJ$3:$AJ$201,$M98)&gt;0,
     COUNTIFS($AK$3:$AK$201,$M98)&gt;0,
     COUNTIFS($AL$3:$AL$201,$M98)&gt;0,
     COUNTIFS($AM$3:$AM$201,$M98)&gt;0,
     COUNTIFS($AN$3:$AN$201,$M98)&gt;0,
     COUNTIFS($AO$3:$AO$201,$M98)&gt;0,
     COUNTIFS($AP$3:$AP$201,$M98)&gt;0,
     COUNTIFS($AQ$3:$AQ$201,$M98)&gt;0,
     COUNTIFS($AR$3:$AR$201,$M98)&gt;0,
     COUNTIFS($AS$3:$AS$201,$M98)&gt;0,
     COUNTIFS($AT$3:$AT$201,$M98)&gt;0,
     COUNTIFS($AU$3:$AU$201,$M98)&gt;0,
     COUNTIFS($AV$3:$AV$201,$M98)&gt;0,
     COUNTIFS($AW$3:$AW$201,$M98)&gt;0
   )),
  ),
  2
 ),
"")</f>
        <v/>
      </c>
      <c r="Q98" s="3" t="str" cm="1">
        <f t="array" aca="1" ref="Q98" ca="1">IFERROR(
 INDEX(
  _xlfn._xlws.FILTER($T$2:$AW$2,
   TRANSPOSE(
    CHOOSE({1;2;3;4;5;6;7;8;9;10;11;12;13;14;15;16;17;18;19;20;21;22;23;24;25;26;27;28;29;30},
     COUNTIFS($T$3:$T$201,$M98)&gt;0,
     COUNTIFS($U$3:$U$201,$M98)&gt;0,
     COUNTIFS($V$3:$V$201,$M98)&gt;0,
     COUNTIFS($W$3:$W$201,$M98)&gt;0,
     COUNTIFS($X$3:$X$201,$M98)&gt;0,
     COUNTIFS($Y$3:$Y$201,$M98)&gt;0,
     COUNTIFS($Z$3:$Z$201,$M98)&gt;0,
     COUNTIFS($AA$3:$AA$201,$M98)&gt;0,
     COUNTIFS($AB$3:$AB$201,$M98)&gt;0,
     COUNTIFS($AC$3:$AC$201,$M98)&gt;0,
     COUNTIFS($AD$3:$AD$201,$M98)&gt;0,
     COUNTIFS($AE$3:$AE$201,$M98)&gt;0,
     COUNTIFS($AF$3:$AF$201,$M98)&gt;0,
     COUNTIFS($AG$3:$AG$201,$M98)&gt;0,
     COUNTIFS($AH$3:$AH$201,$M98)&gt;0,
     COUNTIFS($AI$3:$AI$201,$M98)&gt;0,
     COUNTIFS($AJ$3:$AJ$201,$M98)&gt;0,
     COUNTIFS($AK$3:$AK$201,$M98)&gt;0,
     COUNTIFS($AL$3:$AL$201,$M98)&gt;0,
     COUNTIFS($AM$3:$AM$201,$M98)&gt;0,
     COUNTIFS($AN$3:$AN$201,$M98)&gt;0,
     COUNTIFS($AO$3:$AO$201,$M98)&gt;0,
     COUNTIFS($AP$3:$AP$201,$M98)&gt;0,
     COUNTIFS($AQ$3:$AQ$201,$M98)&gt;0,
     COUNTIFS($AR$3:$AR$201,$M98)&gt;0,
     COUNTIFS($AS$3:$AS$201,$M98)&gt;0,
     COUNTIFS($AT$3:$AT$201,$M98)&gt;0,
     COUNTIFS($AU$3:$AU$201,$M98)&gt;0,
     COUNTIFS($AV$3:$AV$201,$M98)&gt;0,
     COUNTIFS($AW$3:$AW$201,$M98)&gt;0
   )),
  ),
  3
 ),
"")</f>
        <v/>
      </c>
      <c r="R98" s="3" t="str" cm="1">
        <f t="array" aca="1" ref="R98" ca="1">IFERROR(
 INDEX(
  _xlfn._xlws.FILTER($T$2:$AW$2,
   TRANSPOSE(
    CHOOSE({1;2;3;4;5;6;7;8;9;10;11;12;13;14;15;16;17;18;19;20;21;22;23;24;25;26;27;28;29;30},
     COUNTIFS($T$3:$T$201,$M98)&gt;0,
     COUNTIFS($U$3:$U$201,$M98)&gt;0,
     COUNTIFS($V$3:$V$201,$M98)&gt;0,
     COUNTIFS($W$3:$W$201,$M98)&gt;0,
     COUNTIFS($X$3:$X$201,$M98)&gt;0,
     COUNTIFS($Y$3:$Y$201,$M98)&gt;0,
     COUNTIFS($Z$3:$Z$201,$M98)&gt;0,
     COUNTIFS($AA$3:$AA$201,$M98)&gt;0,
     COUNTIFS($AB$3:$AB$201,$M98)&gt;0,
     COUNTIFS($AC$3:$AC$201,$M98)&gt;0,
     COUNTIFS($AD$3:$AD$201,$M98)&gt;0,
     COUNTIFS($AE$3:$AE$201,$M98)&gt;0,
     COUNTIFS($AF$3:$AF$201,$M98)&gt;0,
     COUNTIFS($AG$3:$AG$201,$M98)&gt;0,
     COUNTIFS($AH$3:$AH$201,$M98)&gt;0,
     COUNTIFS($AI$3:$AI$201,$M98)&gt;0,
     COUNTIFS($AJ$3:$AJ$201,$M98)&gt;0,
     COUNTIFS($AK$3:$AK$201,$M98)&gt;0,
     COUNTIFS($AL$3:$AL$201,$M98)&gt;0,
     COUNTIFS($AM$3:$AM$201,$M98)&gt;0,
     COUNTIFS($AN$3:$AN$201,$M98)&gt;0,
     COUNTIFS($AO$3:$AO$201,$M98)&gt;0,
     COUNTIFS($AP$3:$AP$201,$M98)&gt;0,
     COUNTIFS($AQ$3:$AQ$201,$M98)&gt;0,
     COUNTIFS($AR$3:$AR$201,$M98)&gt;0,
     COUNTIFS($AS$3:$AS$201,$M98)&gt;0,
     COUNTIFS($AT$3:$AT$201,$M98)&gt;0,
     COUNTIFS($AU$3:$AU$201,$M98)&gt;0,
     COUNTIFS($AV$3:$AV$201,$M98)&gt;0,
     COUNTIFS($AW$3:$AW$201,$M98)&gt;0
   )),
  ),
  4
 ),
"")</f>
        <v/>
      </c>
      <c r="CA98" t="str">
        <f ca="1"/>
        <v>Rebento de Halaster</v>
      </c>
      <c r="CF98" t="str">
        <f ca="1"/>
        <v>Kasmina, Enigma Sage</v>
      </c>
      <c r="CI98" t="str">
        <f ca="1"/>
        <v>Fraying Sanity</v>
      </c>
    </row>
    <row r="99" spans="1:87" x14ac:dyDescent="0.25">
      <c r="A99" t="str">
        <f ca="1"/>
        <v>Full Throttle</v>
      </c>
      <c r="B99" s="3" t="str" cm="1">
        <f t="array" aca="1" ref="B99" ca="1">_xlfn.ANCHORARRAY(RESUMO!C98)</f>
        <v>Narset</v>
      </c>
      <c r="C99" s="3" t="str">
        <f t="shared" ca="1" si="4"/>
        <v/>
      </c>
      <c r="E99" t="str">
        <f ca="1"/>
        <v>Fumiko, the Lowblood</v>
      </c>
      <c r="F99" s="3">
        <f t="shared" ca="1" si="5"/>
        <v>1</v>
      </c>
      <c r="G99" s="3" t="str">
        <f t="shared" ca="1" si="6"/>
        <v>Rani</v>
      </c>
      <c r="M99" t="str">
        <f ca="1"/>
        <v>Fumiko, the Lowblood</v>
      </c>
      <c r="N99" s="3">
        <f t="shared" ca="1" si="7"/>
        <v>1</v>
      </c>
      <c r="O99" s="3" t="str">
        <f ca="1">IFERROR(
 INDEX($T$2:$AW$2,
  MATCH(TRUE,
   CHOOSE({1;2;3;4;5;6;7;8;9;10;11;12;13;14;15;16;17;18;19;20;21;22;23;24;25;26;27;28;29;30;31;32},
    COUNTIFS($T$3:$T$201,$M99)&gt;0,
    COUNTIFS($U$3:$U$201,$M99)&gt;0,
    COUNTIFS($V$3:$V$201,$M99)&gt;0,
    COUNTIFS($W$3:$W$201,$M99)&gt;0,
    COUNTIFS($X$3:$X$201,$M99)&gt;0,
    COUNTIFS($Y$3:$Y$201,$M99)&gt;0,
    COUNTIFS($Z$3:$Z$201,$M99)&gt;0,
    COUNTIFS($AA$3:$AA$201,$M99)&gt;0,
    COUNTIFS($AB$3:$AB$201,$M99)&gt;0,
    COUNTIFS($AC$3:$AC$201,$M99)&gt;0,
    COUNTIFS($AD$3:$AD$201,$M99)&gt;0,
    COUNTIFS($AE$3:$AE$201,$M99)&gt;0,
    COUNTIFS($AF$3:$AF$201,$M99)&gt;0,
    COUNTIFS($AG$3:$AG$201,$M99)&gt;0,
    COUNTIFS($AH$3:$AH$201,$M99)&gt;0,
    COUNTIFS($AI$3:$AI$201,$M99)&gt;0,
    COUNTIFS($AJ$3:$AJ$201,$M99)&gt;0,
    COUNTIFS($AK$3:$AK$201,$M99)&gt;0,
    COUNTIFS($AL$3:$AL$201,$M99)&gt;0,
    COUNTIFS($AM$3:$AM$201,$M99)&gt;0,
    COUNTIFS($AN$3:$AN$201,$M99)&gt;0,
    COUNTIFS($AO$3:$AO$201,$M99)&gt;0,
    COUNTIFS($AP$3:$AP$201,$M99)&gt;0,
    COUNTIFS($AQ$3:$AQ$201,$M99)&gt;0,
    COUNTIFS($AR$3:$AR$201,$M99)&gt;0,
    COUNTIFS($AS$3:$AS$201,$M99)&gt;0,
    COUNTIFS($AT$3:$AT$201,$M99)&gt;0,
    COUNTIFS($AU$3:$AU$201,$M99)&gt;0,
    COUNTIFS($AV$3:$AV$201,$M99)&gt;0,
    COUNTIFS($AW$3:$AW$201,$M99)&gt;0
   ),
  0)
 ),
"")</f>
        <v>Rani</v>
      </c>
      <c r="P99" s="3" t="str" cm="1">
        <f t="array" aca="1" ref="P99" ca="1">IFERROR(
 INDEX(
  _xlfn._xlws.FILTER($T$2:$AW$2,
   TRANSPOSE(
    CHOOSE({1;2;3;4;5;6;7;8;9;10;11;12;13;14;15;16;17;18;19;20;21;22;23;24;25;26;27;28;29;30},
     COUNTIFS($T$3:$T$201,$M99)&gt;0,
     COUNTIFS($U$3:$U$201,$M99)&gt;0,
     COUNTIFS($V$3:$V$201,$M99)&gt;0,
     COUNTIFS($W$3:$W$201,$M99)&gt;0,
     COUNTIFS($X$3:$X$201,$M99)&gt;0,
     COUNTIFS($Y$3:$Y$201,$M99)&gt;0,
     COUNTIFS($Z$3:$Z$201,$M99)&gt;0,
     COUNTIFS($AA$3:$AA$201,$M99)&gt;0,
     COUNTIFS($AB$3:$AB$201,$M99)&gt;0,
     COUNTIFS($AC$3:$AC$201,$M99)&gt;0,
     COUNTIFS($AD$3:$AD$201,$M99)&gt;0,
     COUNTIFS($AE$3:$AE$201,$M99)&gt;0,
     COUNTIFS($AF$3:$AF$201,$M99)&gt;0,
     COUNTIFS($AG$3:$AG$201,$M99)&gt;0,
     COUNTIFS($AH$3:$AH$201,$M99)&gt;0,
     COUNTIFS($AI$3:$AI$201,$M99)&gt;0,
     COUNTIFS($AJ$3:$AJ$201,$M99)&gt;0,
     COUNTIFS($AK$3:$AK$201,$M99)&gt;0,
     COUNTIFS($AL$3:$AL$201,$M99)&gt;0,
     COUNTIFS($AM$3:$AM$201,$M99)&gt;0,
     COUNTIFS($AN$3:$AN$201,$M99)&gt;0,
     COUNTIFS($AO$3:$AO$201,$M99)&gt;0,
     COUNTIFS($AP$3:$AP$201,$M99)&gt;0,
     COUNTIFS($AQ$3:$AQ$201,$M99)&gt;0,
     COUNTIFS($AR$3:$AR$201,$M99)&gt;0,
     COUNTIFS($AS$3:$AS$201,$M99)&gt;0,
     COUNTIFS($AT$3:$AT$201,$M99)&gt;0,
     COUNTIFS($AU$3:$AU$201,$M99)&gt;0,
     COUNTIFS($AV$3:$AV$201,$M99)&gt;0,
     COUNTIFS($AW$3:$AW$201,$M99)&gt;0
   )),
  ),
  2
 ),
"")</f>
        <v/>
      </c>
      <c r="Q99" s="3" t="str" cm="1">
        <f t="array" aca="1" ref="Q99" ca="1">IFERROR(
 INDEX(
  _xlfn._xlws.FILTER($T$2:$AW$2,
   TRANSPOSE(
    CHOOSE({1;2;3;4;5;6;7;8;9;10;11;12;13;14;15;16;17;18;19;20;21;22;23;24;25;26;27;28;29;30},
     COUNTIFS($T$3:$T$201,$M99)&gt;0,
     COUNTIFS($U$3:$U$201,$M99)&gt;0,
     COUNTIFS($V$3:$V$201,$M99)&gt;0,
     COUNTIFS($W$3:$W$201,$M99)&gt;0,
     COUNTIFS($X$3:$X$201,$M99)&gt;0,
     COUNTIFS($Y$3:$Y$201,$M99)&gt;0,
     COUNTIFS($Z$3:$Z$201,$M99)&gt;0,
     COUNTIFS($AA$3:$AA$201,$M99)&gt;0,
     COUNTIFS($AB$3:$AB$201,$M99)&gt;0,
     COUNTIFS($AC$3:$AC$201,$M99)&gt;0,
     COUNTIFS($AD$3:$AD$201,$M99)&gt;0,
     COUNTIFS($AE$3:$AE$201,$M99)&gt;0,
     COUNTIFS($AF$3:$AF$201,$M99)&gt;0,
     COUNTIFS($AG$3:$AG$201,$M99)&gt;0,
     COUNTIFS($AH$3:$AH$201,$M99)&gt;0,
     COUNTIFS($AI$3:$AI$201,$M99)&gt;0,
     COUNTIFS($AJ$3:$AJ$201,$M99)&gt;0,
     COUNTIFS($AK$3:$AK$201,$M99)&gt;0,
     COUNTIFS($AL$3:$AL$201,$M99)&gt;0,
     COUNTIFS($AM$3:$AM$201,$M99)&gt;0,
     COUNTIFS($AN$3:$AN$201,$M99)&gt;0,
     COUNTIFS($AO$3:$AO$201,$M99)&gt;0,
     COUNTIFS($AP$3:$AP$201,$M99)&gt;0,
     COUNTIFS($AQ$3:$AQ$201,$M99)&gt;0,
     COUNTIFS($AR$3:$AR$201,$M99)&gt;0,
     COUNTIFS($AS$3:$AS$201,$M99)&gt;0,
     COUNTIFS($AT$3:$AT$201,$M99)&gt;0,
     COUNTIFS($AU$3:$AU$201,$M99)&gt;0,
     COUNTIFS($AV$3:$AV$201,$M99)&gt;0,
     COUNTIFS($AW$3:$AW$201,$M99)&gt;0
   )),
  ),
  3
 ),
"")</f>
        <v/>
      </c>
      <c r="R99" s="3" t="str" cm="1">
        <f t="array" aca="1" ref="R99" ca="1">IFERROR(
 INDEX(
  _xlfn._xlws.FILTER($T$2:$AW$2,
   TRANSPOSE(
    CHOOSE({1;2;3;4;5;6;7;8;9;10;11;12;13;14;15;16;17;18;19;20;21;22;23;24;25;26;27;28;29;30},
     COUNTIFS($T$3:$T$201,$M99)&gt;0,
     COUNTIFS($U$3:$U$201,$M99)&gt;0,
     COUNTIFS($V$3:$V$201,$M99)&gt;0,
     COUNTIFS($W$3:$W$201,$M99)&gt;0,
     COUNTIFS($X$3:$X$201,$M99)&gt;0,
     COUNTIFS($Y$3:$Y$201,$M99)&gt;0,
     COUNTIFS($Z$3:$Z$201,$M99)&gt;0,
     COUNTIFS($AA$3:$AA$201,$M99)&gt;0,
     COUNTIFS($AB$3:$AB$201,$M99)&gt;0,
     COUNTIFS($AC$3:$AC$201,$M99)&gt;0,
     COUNTIFS($AD$3:$AD$201,$M99)&gt;0,
     COUNTIFS($AE$3:$AE$201,$M99)&gt;0,
     COUNTIFS($AF$3:$AF$201,$M99)&gt;0,
     COUNTIFS($AG$3:$AG$201,$M99)&gt;0,
     COUNTIFS($AH$3:$AH$201,$M99)&gt;0,
     COUNTIFS($AI$3:$AI$201,$M99)&gt;0,
     COUNTIFS($AJ$3:$AJ$201,$M99)&gt;0,
     COUNTIFS($AK$3:$AK$201,$M99)&gt;0,
     COUNTIFS($AL$3:$AL$201,$M99)&gt;0,
     COUNTIFS($AM$3:$AM$201,$M99)&gt;0,
     COUNTIFS($AN$3:$AN$201,$M99)&gt;0,
     COUNTIFS($AO$3:$AO$201,$M99)&gt;0,
     COUNTIFS($AP$3:$AP$201,$M99)&gt;0,
     COUNTIFS($AQ$3:$AQ$201,$M99)&gt;0,
     COUNTIFS($AR$3:$AR$201,$M99)&gt;0,
     COUNTIFS($AS$3:$AS$201,$M99)&gt;0,
     COUNTIFS($AT$3:$AT$201,$M99)&gt;0,
     COUNTIFS($AU$3:$AU$201,$M99)&gt;0,
     COUNTIFS($AV$3:$AV$201,$M99)&gt;0,
     COUNTIFS($AW$3:$AW$201,$M99)&gt;0
   )),
  ),
  4
 ),
"")</f>
        <v/>
      </c>
      <c r="CA99" t="str">
        <f ca="1"/>
        <v>Recifes de Nau-Terror</v>
      </c>
      <c r="CF99" t="str">
        <f ca="1"/>
        <v>Kraken do Mar Profundo</v>
      </c>
      <c r="CI99" t="str">
        <f ca="1"/>
        <v>Fumiko, the Lowblood</v>
      </c>
    </row>
    <row r="100" spans="1:87" x14ac:dyDescent="0.25">
      <c r="A100" t="str">
        <f ca="1"/>
        <v>Gallifrey Council Chamber</v>
      </c>
      <c r="B100" s="3" t="str" cm="1">
        <f t="array" aca="1" ref="B100" ca="1">_xlfn.ANCHORARRAY(RESUMO!C99)</f>
        <v>Rani</v>
      </c>
      <c r="C100" s="3" t="str">
        <f t="shared" ca="1" si="4"/>
        <v/>
      </c>
      <c r="E100" t="str">
        <f ca="1"/>
        <v>Fundição dos Cônsules</v>
      </c>
      <c r="F100" s="3">
        <f t="shared" ca="1" si="5"/>
        <v>1</v>
      </c>
      <c r="G100" s="3" t="str">
        <f t="shared" ca="1" si="6"/>
        <v>Breya</v>
      </c>
      <c r="M100" t="str">
        <f ca="1"/>
        <v>Fundição dos Cônsules</v>
      </c>
      <c r="N100" s="3">
        <f t="shared" ca="1" si="7"/>
        <v>1</v>
      </c>
      <c r="O100" s="3" t="str">
        <f ca="1">IFERROR(
 INDEX($T$2:$AW$2,
  MATCH(TRUE,
   CHOOSE({1;2;3;4;5;6;7;8;9;10;11;12;13;14;15;16;17;18;19;20;21;22;23;24;25;26;27;28;29;30;31;32},
    COUNTIFS($T$3:$T$201,$M100)&gt;0,
    COUNTIFS($U$3:$U$201,$M100)&gt;0,
    COUNTIFS($V$3:$V$201,$M100)&gt;0,
    COUNTIFS($W$3:$W$201,$M100)&gt;0,
    COUNTIFS($X$3:$X$201,$M100)&gt;0,
    COUNTIFS($Y$3:$Y$201,$M100)&gt;0,
    COUNTIFS($Z$3:$Z$201,$M100)&gt;0,
    COUNTIFS($AA$3:$AA$201,$M100)&gt;0,
    COUNTIFS($AB$3:$AB$201,$M100)&gt;0,
    COUNTIFS($AC$3:$AC$201,$M100)&gt;0,
    COUNTIFS($AD$3:$AD$201,$M100)&gt;0,
    COUNTIFS($AE$3:$AE$201,$M100)&gt;0,
    COUNTIFS($AF$3:$AF$201,$M100)&gt;0,
    COUNTIFS($AG$3:$AG$201,$M100)&gt;0,
    COUNTIFS($AH$3:$AH$201,$M100)&gt;0,
    COUNTIFS($AI$3:$AI$201,$M100)&gt;0,
    COUNTIFS($AJ$3:$AJ$201,$M100)&gt;0,
    COUNTIFS($AK$3:$AK$201,$M100)&gt;0,
    COUNTIFS($AL$3:$AL$201,$M100)&gt;0,
    COUNTIFS($AM$3:$AM$201,$M100)&gt;0,
    COUNTIFS($AN$3:$AN$201,$M100)&gt;0,
    COUNTIFS($AO$3:$AO$201,$M100)&gt;0,
    COUNTIFS($AP$3:$AP$201,$M100)&gt;0,
    COUNTIFS($AQ$3:$AQ$201,$M100)&gt;0,
    COUNTIFS($AR$3:$AR$201,$M100)&gt;0,
    COUNTIFS($AS$3:$AS$201,$M100)&gt;0,
    COUNTIFS($AT$3:$AT$201,$M100)&gt;0,
    COUNTIFS($AU$3:$AU$201,$M100)&gt;0,
    COUNTIFS($AV$3:$AV$201,$M100)&gt;0,
    COUNTIFS($AW$3:$AW$201,$M100)&gt;0
   ),
  0)
 ),
"")</f>
        <v>Breya</v>
      </c>
      <c r="P100" s="3" t="str" cm="1">
        <f t="array" aca="1" ref="P100" ca="1">IFERROR(
 INDEX(
  _xlfn._xlws.FILTER($T$2:$AW$2,
   TRANSPOSE(
    CHOOSE({1;2;3;4;5;6;7;8;9;10;11;12;13;14;15;16;17;18;19;20;21;22;23;24;25;26;27;28;29;30},
     COUNTIFS($T$3:$T$201,$M100)&gt;0,
     COUNTIFS($U$3:$U$201,$M100)&gt;0,
     COUNTIFS($V$3:$V$201,$M100)&gt;0,
     COUNTIFS($W$3:$W$201,$M100)&gt;0,
     COUNTIFS($X$3:$X$201,$M100)&gt;0,
     COUNTIFS($Y$3:$Y$201,$M100)&gt;0,
     COUNTIFS($Z$3:$Z$201,$M100)&gt;0,
     COUNTIFS($AA$3:$AA$201,$M100)&gt;0,
     COUNTIFS($AB$3:$AB$201,$M100)&gt;0,
     COUNTIFS($AC$3:$AC$201,$M100)&gt;0,
     COUNTIFS($AD$3:$AD$201,$M100)&gt;0,
     COUNTIFS($AE$3:$AE$201,$M100)&gt;0,
     COUNTIFS($AF$3:$AF$201,$M100)&gt;0,
     COUNTIFS($AG$3:$AG$201,$M100)&gt;0,
     COUNTIFS($AH$3:$AH$201,$M100)&gt;0,
     COUNTIFS($AI$3:$AI$201,$M100)&gt;0,
     COUNTIFS($AJ$3:$AJ$201,$M100)&gt;0,
     COUNTIFS($AK$3:$AK$201,$M100)&gt;0,
     COUNTIFS($AL$3:$AL$201,$M100)&gt;0,
     COUNTIFS($AM$3:$AM$201,$M100)&gt;0,
     COUNTIFS($AN$3:$AN$201,$M100)&gt;0,
     COUNTIFS($AO$3:$AO$201,$M100)&gt;0,
     COUNTIFS($AP$3:$AP$201,$M100)&gt;0,
     COUNTIFS($AQ$3:$AQ$201,$M100)&gt;0,
     COUNTIFS($AR$3:$AR$201,$M100)&gt;0,
     COUNTIFS($AS$3:$AS$201,$M100)&gt;0,
     COUNTIFS($AT$3:$AT$201,$M100)&gt;0,
     COUNTIFS($AU$3:$AU$201,$M100)&gt;0,
     COUNTIFS($AV$3:$AV$201,$M100)&gt;0,
     COUNTIFS($AW$3:$AW$201,$M100)&gt;0
   )),
  ),
  2
 ),
"")</f>
        <v/>
      </c>
      <c r="Q100" s="3" t="str" cm="1">
        <f t="array" aca="1" ref="Q100" ca="1">IFERROR(
 INDEX(
  _xlfn._xlws.FILTER($T$2:$AW$2,
   TRANSPOSE(
    CHOOSE({1;2;3;4;5;6;7;8;9;10;11;12;13;14;15;16;17;18;19;20;21;22;23;24;25;26;27;28;29;30},
     COUNTIFS($T$3:$T$201,$M100)&gt;0,
     COUNTIFS($U$3:$U$201,$M100)&gt;0,
     COUNTIFS($V$3:$V$201,$M100)&gt;0,
     COUNTIFS($W$3:$W$201,$M100)&gt;0,
     COUNTIFS($X$3:$X$201,$M100)&gt;0,
     COUNTIFS($Y$3:$Y$201,$M100)&gt;0,
     COUNTIFS($Z$3:$Z$201,$M100)&gt;0,
     COUNTIFS($AA$3:$AA$201,$M100)&gt;0,
     COUNTIFS($AB$3:$AB$201,$M100)&gt;0,
     COUNTIFS($AC$3:$AC$201,$M100)&gt;0,
     COUNTIFS($AD$3:$AD$201,$M100)&gt;0,
     COUNTIFS($AE$3:$AE$201,$M100)&gt;0,
     COUNTIFS($AF$3:$AF$201,$M100)&gt;0,
     COUNTIFS($AG$3:$AG$201,$M100)&gt;0,
     COUNTIFS($AH$3:$AH$201,$M100)&gt;0,
     COUNTIFS($AI$3:$AI$201,$M100)&gt;0,
     COUNTIFS($AJ$3:$AJ$201,$M100)&gt;0,
     COUNTIFS($AK$3:$AK$201,$M100)&gt;0,
     COUNTIFS($AL$3:$AL$201,$M100)&gt;0,
     COUNTIFS($AM$3:$AM$201,$M100)&gt;0,
     COUNTIFS($AN$3:$AN$201,$M100)&gt;0,
     COUNTIFS($AO$3:$AO$201,$M100)&gt;0,
     COUNTIFS($AP$3:$AP$201,$M100)&gt;0,
     COUNTIFS($AQ$3:$AQ$201,$M100)&gt;0,
     COUNTIFS($AR$3:$AR$201,$M100)&gt;0,
     COUNTIFS($AS$3:$AS$201,$M100)&gt;0,
     COUNTIFS($AT$3:$AT$201,$M100)&gt;0,
     COUNTIFS($AU$3:$AU$201,$M100)&gt;0,
     COUNTIFS($AV$3:$AV$201,$M100)&gt;0,
     COUNTIFS($AW$3:$AW$201,$M100)&gt;0
   )),
  ),
  3
 ),
"")</f>
        <v/>
      </c>
      <c r="R100" s="3" t="str" cm="1">
        <f t="array" aca="1" ref="R100" ca="1">IFERROR(
 INDEX(
  _xlfn._xlws.FILTER($T$2:$AW$2,
   TRANSPOSE(
    CHOOSE({1;2;3;4;5;6;7;8;9;10;11;12;13;14;15;16;17;18;19;20;21;22;23;24;25;26;27;28;29;30},
     COUNTIFS($T$3:$T$201,$M100)&gt;0,
     COUNTIFS($U$3:$U$201,$M100)&gt;0,
     COUNTIFS($V$3:$V$201,$M100)&gt;0,
     COUNTIFS($W$3:$W$201,$M100)&gt;0,
     COUNTIFS($X$3:$X$201,$M100)&gt;0,
     COUNTIFS($Y$3:$Y$201,$M100)&gt;0,
     COUNTIFS($Z$3:$Z$201,$M100)&gt;0,
     COUNTIFS($AA$3:$AA$201,$M100)&gt;0,
     COUNTIFS($AB$3:$AB$201,$M100)&gt;0,
     COUNTIFS($AC$3:$AC$201,$M100)&gt;0,
     COUNTIFS($AD$3:$AD$201,$M100)&gt;0,
     COUNTIFS($AE$3:$AE$201,$M100)&gt;0,
     COUNTIFS($AF$3:$AF$201,$M100)&gt;0,
     COUNTIFS($AG$3:$AG$201,$M100)&gt;0,
     COUNTIFS($AH$3:$AH$201,$M100)&gt;0,
     COUNTIFS($AI$3:$AI$201,$M100)&gt;0,
     COUNTIFS($AJ$3:$AJ$201,$M100)&gt;0,
     COUNTIFS($AK$3:$AK$201,$M100)&gt;0,
     COUNTIFS($AL$3:$AL$201,$M100)&gt;0,
     COUNTIFS($AM$3:$AM$201,$M100)&gt;0,
     COUNTIFS($AN$3:$AN$201,$M100)&gt;0,
     COUNTIFS($AO$3:$AO$201,$M100)&gt;0,
     COUNTIFS($AP$3:$AP$201,$M100)&gt;0,
     COUNTIFS($AQ$3:$AQ$201,$M100)&gt;0,
     COUNTIFS($AR$3:$AR$201,$M100)&gt;0,
     COUNTIFS($AS$3:$AS$201,$M100)&gt;0,
     COUNTIFS($AT$3:$AT$201,$M100)&gt;0,
     COUNTIFS($AU$3:$AU$201,$M100)&gt;0,
     COUNTIFS($AV$3:$AV$201,$M100)&gt;0,
     COUNTIFS($AW$3:$AW$201,$M100)&gt;0
   )),
  ),
  4
 ),
"")</f>
        <v/>
      </c>
      <c r="CA100" t="str">
        <f ca="1"/>
        <v>Recrecimento Turbilhonante</v>
      </c>
      <c r="CF100" t="str">
        <f ca="1"/>
        <v>Kusari-Gama</v>
      </c>
      <c r="CI100" t="str">
        <f ca="1"/>
        <v>Fundição dos Cônsules</v>
      </c>
    </row>
    <row r="101" spans="1:87" x14ac:dyDescent="0.25">
      <c r="A101" t="str">
        <f ca="1"/>
        <v>Gavony Township</v>
      </c>
      <c r="B101" s="3" t="str" cm="1">
        <f t="array" aca="1" ref="B101" ca="1">_xlfn.ANCHORARRAY(RESUMO!C100)</f>
        <v>Baylen</v>
      </c>
      <c r="C101" s="3" t="str">
        <f t="shared" ca="1" si="4"/>
        <v/>
      </c>
      <c r="E101" t="str">
        <f ca="1"/>
        <v>Fúria de Kazuul</v>
      </c>
      <c r="F101" s="3">
        <f t="shared" ca="1" si="5"/>
        <v>1</v>
      </c>
      <c r="G101" s="3" t="str">
        <f t="shared" ca="1" si="6"/>
        <v>Modular</v>
      </c>
      <c r="M101" t="str">
        <f ca="1"/>
        <v>Fúria de Kazuul</v>
      </c>
      <c r="N101" s="3">
        <f t="shared" ca="1" si="7"/>
        <v>1</v>
      </c>
      <c r="O101" s="3" t="str">
        <f ca="1">IFERROR(
 INDEX($T$2:$AW$2,
  MATCH(TRUE,
   CHOOSE({1;2;3;4;5;6;7;8;9;10;11;12;13;14;15;16;17;18;19;20;21;22;23;24;25;26;27;28;29;30;31;32},
    COUNTIFS($T$3:$T$201,$M101)&gt;0,
    COUNTIFS($U$3:$U$201,$M101)&gt;0,
    COUNTIFS($V$3:$V$201,$M101)&gt;0,
    COUNTIFS($W$3:$W$201,$M101)&gt;0,
    COUNTIFS($X$3:$X$201,$M101)&gt;0,
    COUNTIFS($Y$3:$Y$201,$M101)&gt;0,
    COUNTIFS($Z$3:$Z$201,$M101)&gt;0,
    COUNTIFS($AA$3:$AA$201,$M101)&gt;0,
    COUNTIFS($AB$3:$AB$201,$M101)&gt;0,
    COUNTIFS($AC$3:$AC$201,$M101)&gt;0,
    COUNTIFS($AD$3:$AD$201,$M101)&gt;0,
    COUNTIFS($AE$3:$AE$201,$M101)&gt;0,
    COUNTIFS($AF$3:$AF$201,$M101)&gt;0,
    COUNTIFS($AG$3:$AG$201,$M101)&gt;0,
    COUNTIFS($AH$3:$AH$201,$M101)&gt;0,
    COUNTIFS($AI$3:$AI$201,$M101)&gt;0,
    COUNTIFS($AJ$3:$AJ$201,$M101)&gt;0,
    COUNTIFS($AK$3:$AK$201,$M101)&gt;0,
    COUNTIFS($AL$3:$AL$201,$M101)&gt;0,
    COUNTIFS($AM$3:$AM$201,$M101)&gt;0,
    COUNTIFS($AN$3:$AN$201,$M101)&gt;0,
    COUNTIFS($AO$3:$AO$201,$M101)&gt;0,
    COUNTIFS($AP$3:$AP$201,$M101)&gt;0,
    COUNTIFS($AQ$3:$AQ$201,$M101)&gt;0,
    COUNTIFS($AR$3:$AR$201,$M101)&gt;0,
    COUNTIFS($AS$3:$AS$201,$M101)&gt;0,
    COUNTIFS($AT$3:$AT$201,$M101)&gt;0,
    COUNTIFS($AU$3:$AU$201,$M101)&gt;0,
    COUNTIFS($AV$3:$AV$201,$M101)&gt;0,
    COUNTIFS($AW$3:$AW$201,$M101)&gt;0
   ),
  0)
 ),
"")</f>
        <v>Modular</v>
      </c>
      <c r="P101" s="3" t="str" cm="1">
        <f t="array" aca="1" ref="P101" ca="1">IFERROR(
 INDEX(
  _xlfn._xlws.FILTER($T$2:$AW$2,
   TRANSPOSE(
    CHOOSE({1;2;3;4;5;6;7;8;9;10;11;12;13;14;15;16;17;18;19;20;21;22;23;24;25;26;27;28;29;30},
     COUNTIFS($T$3:$T$201,$M101)&gt;0,
     COUNTIFS($U$3:$U$201,$M101)&gt;0,
     COUNTIFS($V$3:$V$201,$M101)&gt;0,
     COUNTIFS($W$3:$W$201,$M101)&gt;0,
     COUNTIFS($X$3:$X$201,$M101)&gt;0,
     COUNTIFS($Y$3:$Y$201,$M101)&gt;0,
     COUNTIFS($Z$3:$Z$201,$M101)&gt;0,
     COUNTIFS($AA$3:$AA$201,$M101)&gt;0,
     COUNTIFS($AB$3:$AB$201,$M101)&gt;0,
     COUNTIFS($AC$3:$AC$201,$M101)&gt;0,
     COUNTIFS($AD$3:$AD$201,$M101)&gt;0,
     COUNTIFS($AE$3:$AE$201,$M101)&gt;0,
     COUNTIFS($AF$3:$AF$201,$M101)&gt;0,
     COUNTIFS($AG$3:$AG$201,$M101)&gt;0,
     COUNTIFS($AH$3:$AH$201,$M101)&gt;0,
     COUNTIFS($AI$3:$AI$201,$M101)&gt;0,
     COUNTIFS($AJ$3:$AJ$201,$M101)&gt;0,
     COUNTIFS($AK$3:$AK$201,$M101)&gt;0,
     COUNTIFS($AL$3:$AL$201,$M101)&gt;0,
     COUNTIFS($AM$3:$AM$201,$M101)&gt;0,
     COUNTIFS($AN$3:$AN$201,$M101)&gt;0,
     COUNTIFS($AO$3:$AO$201,$M101)&gt;0,
     COUNTIFS($AP$3:$AP$201,$M101)&gt;0,
     COUNTIFS($AQ$3:$AQ$201,$M101)&gt;0,
     COUNTIFS($AR$3:$AR$201,$M101)&gt;0,
     COUNTIFS($AS$3:$AS$201,$M101)&gt;0,
     COUNTIFS($AT$3:$AT$201,$M101)&gt;0,
     COUNTIFS($AU$3:$AU$201,$M101)&gt;0,
     COUNTIFS($AV$3:$AV$201,$M101)&gt;0,
     COUNTIFS($AW$3:$AW$201,$M101)&gt;0
   )),
  ),
  2
 ),
"")</f>
        <v/>
      </c>
      <c r="Q101" s="3" t="str" cm="1">
        <f t="array" aca="1" ref="Q101" ca="1">IFERROR(
 INDEX(
  _xlfn._xlws.FILTER($T$2:$AW$2,
   TRANSPOSE(
    CHOOSE({1;2;3;4;5;6;7;8;9;10;11;12;13;14;15;16;17;18;19;20;21;22;23;24;25;26;27;28;29;30},
     COUNTIFS($T$3:$T$201,$M101)&gt;0,
     COUNTIFS($U$3:$U$201,$M101)&gt;0,
     COUNTIFS($V$3:$V$201,$M101)&gt;0,
     COUNTIFS($W$3:$W$201,$M101)&gt;0,
     COUNTIFS($X$3:$X$201,$M101)&gt;0,
     COUNTIFS($Y$3:$Y$201,$M101)&gt;0,
     COUNTIFS($Z$3:$Z$201,$M101)&gt;0,
     COUNTIFS($AA$3:$AA$201,$M101)&gt;0,
     COUNTIFS($AB$3:$AB$201,$M101)&gt;0,
     COUNTIFS($AC$3:$AC$201,$M101)&gt;0,
     COUNTIFS($AD$3:$AD$201,$M101)&gt;0,
     COUNTIFS($AE$3:$AE$201,$M101)&gt;0,
     COUNTIFS($AF$3:$AF$201,$M101)&gt;0,
     COUNTIFS($AG$3:$AG$201,$M101)&gt;0,
     COUNTIFS($AH$3:$AH$201,$M101)&gt;0,
     COUNTIFS($AI$3:$AI$201,$M101)&gt;0,
     COUNTIFS($AJ$3:$AJ$201,$M101)&gt;0,
     COUNTIFS($AK$3:$AK$201,$M101)&gt;0,
     COUNTIFS($AL$3:$AL$201,$M101)&gt;0,
     COUNTIFS($AM$3:$AM$201,$M101)&gt;0,
     COUNTIFS($AN$3:$AN$201,$M101)&gt;0,
     COUNTIFS($AO$3:$AO$201,$M101)&gt;0,
     COUNTIFS($AP$3:$AP$201,$M101)&gt;0,
     COUNTIFS($AQ$3:$AQ$201,$M101)&gt;0,
     COUNTIFS($AR$3:$AR$201,$M101)&gt;0,
     COUNTIFS($AS$3:$AS$201,$M101)&gt;0,
     COUNTIFS($AT$3:$AT$201,$M101)&gt;0,
     COUNTIFS($AU$3:$AU$201,$M101)&gt;0,
     COUNTIFS($AV$3:$AV$201,$M101)&gt;0,
     COUNTIFS($AW$3:$AW$201,$M101)&gt;0
   )),
  ),
  3
 ),
"")</f>
        <v/>
      </c>
      <c r="R101" s="3" t="str" cm="1">
        <f t="array" aca="1" ref="R101" ca="1">IFERROR(
 INDEX(
  _xlfn._xlws.FILTER($T$2:$AW$2,
   TRANSPOSE(
    CHOOSE({1;2;3;4;5;6;7;8;9;10;11;12;13;14;15;16;17;18;19;20;21;22;23;24;25;26;27;28;29;30},
     COUNTIFS($T$3:$T$201,$M101)&gt;0,
     COUNTIFS($U$3:$U$201,$M101)&gt;0,
     COUNTIFS($V$3:$V$201,$M101)&gt;0,
     COUNTIFS($W$3:$W$201,$M101)&gt;0,
     COUNTIFS($X$3:$X$201,$M101)&gt;0,
     COUNTIFS($Y$3:$Y$201,$M101)&gt;0,
     COUNTIFS($Z$3:$Z$201,$M101)&gt;0,
     COUNTIFS($AA$3:$AA$201,$M101)&gt;0,
     COUNTIFS($AB$3:$AB$201,$M101)&gt;0,
     COUNTIFS($AC$3:$AC$201,$M101)&gt;0,
     COUNTIFS($AD$3:$AD$201,$M101)&gt;0,
     COUNTIFS($AE$3:$AE$201,$M101)&gt;0,
     COUNTIFS($AF$3:$AF$201,$M101)&gt;0,
     COUNTIFS($AG$3:$AG$201,$M101)&gt;0,
     COUNTIFS($AH$3:$AH$201,$M101)&gt;0,
     COUNTIFS($AI$3:$AI$201,$M101)&gt;0,
     COUNTIFS($AJ$3:$AJ$201,$M101)&gt;0,
     COUNTIFS($AK$3:$AK$201,$M101)&gt;0,
     COUNTIFS($AL$3:$AL$201,$M101)&gt;0,
     COUNTIFS($AM$3:$AM$201,$M101)&gt;0,
     COUNTIFS($AN$3:$AN$201,$M101)&gt;0,
     COUNTIFS($AO$3:$AO$201,$M101)&gt;0,
     COUNTIFS($AP$3:$AP$201,$M101)&gt;0,
     COUNTIFS($AQ$3:$AQ$201,$M101)&gt;0,
     COUNTIFS($AR$3:$AR$201,$M101)&gt;0,
     COUNTIFS($AS$3:$AS$201,$M101)&gt;0,
     COUNTIFS($AT$3:$AT$201,$M101)&gt;0,
     COUNTIFS($AU$3:$AU$201,$M101)&gt;0,
     COUNTIFS($AV$3:$AV$201,$M101)&gt;0,
     COUNTIFS($AW$3:$AW$201,$M101)&gt;0
   )),
  ),
  4
 ),
"")</f>
        <v/>
      </c>
      <c r="CA101" t="str">
        <f ca="1"/>
        <v>Recuperação das Gavinhas Bolorentas</v>
      </c>
      <c r="CF101" t="str">
        <f ca="1"/>
        <v>Lanterna Fantasma</v>
      </c>
      <c r="CI101" t="str">
        <f ca="1"/>
        <v>Fúria de Kazuul</v>
      </c>
    </row>
    <row r="102" spans="1:87" x14ac:dyDescent="0.25">
      <c r="A102" t="str">
        <f ca="1"/>
        <v>Generous Gift</v>
      </c>
      <c r="B102" s="3" t="str" cm="1">
        <f t="array" aca="1" ref="B102" ca="1">_xlfn.ANCHORARRAY(RESUMO!C101)</f>
        <v>Baylen</v>
      </c>
      <c r="C102" s="3" t="str">
        <f t="shared" ca="1" si="4"/>
        <v/>
      </c>
      <c r="E102" t="str">
        <f ca="1"/>
        <v>Gagueira Mágica</v>
      </c>
      <c r="F102" s="3">
        <f t="shared" ca="1" si="5"/>
        <v>1</v>
      </c>
      <c r="G102" s="3" t="str">
        <f t="shared" ca="1" si="6"/>
        <v>Oona</v>
      </c>
      <c r="M102" t="str">
        <f ca="1"/>
        <v>Gagueira Mágica</v>
      </c>
      <c r="N102" s="3">
        <f t="shared" ca="1" si="7"/>
        <v>1</v>
      </c>
      <c r="O102" s="3" t="str">
        <f ca="1">IFERROR(
 INDEX($T$2:$AW$2,
  MATCH(TRUE,
   CHOOSE({1;2;3;4;5;6;7;8;9;10;11;12;13;14;15;16;17;18;19;20;21;22;23;24;25;26;27;28;29;30;31;32},
    COUNTIFS($T$3:$T$201,$M102)&gt;0,
    COUNTIFS($U$3:$U$201,$M102)&gt;0,
    COUNTIFS($V$3:$V$201,$M102)&gt;0,
    COUNTIFS($W$3:$W$201,$M102)&gt;0,
    COUNTIFS($X$3:$X$201,$M102)&gt;0,
    COUNTIFS($Y$3:$Y$201,$M102)&gt;0,
    COUNTIFS($Z$3:$Z$201,$M102)&gt;0,
    COUNTIFS($AA$3:$AA$201,$M102)&gt;0,
    COUNTIFS($AB$3:$AB$201,$M102)&gt;0,
    COUNTIFS($AC$3:$AC$201,$M102)&gt;0,
    COUNTIFS($AD$3:$AD$201,$M102)&gt;0,
    COUNTIFS($AE$3:$AE$201,$M102)&gt;0,
    COUNTIFS($AF$3:$AF$201,$M102)&gt;0,
    COUNTIFS($AG$3:$AG$201,$M102)&gt;0,
    COUNTIFS($AH$3:$AH$201,$M102)&gt;0,
    COUNTIFS($AI$3:$AI$201,$M102)&gt;0,
    COUNTIFS($AJ$3:$AJ$201,$M102)&gt;0,
    COUNTIFS($AK$3:$AK$201,$M102)&gt;0,
    COUNTIFS($AL$3:$AL$201,$M102)&gt;0,
    COUNTIFS($AM$3:$AM$201,$M102)&gt;0,
    COUNTIFS($AN$3:$AN$201,$M102)&gt;0,
    COUNTIFS($AO$3:$AO$201,$M102)&gt;0,
    COUNTIFS($AP$3:$AP$201,$M102)&gt;0,
    COUNTIFS($AQ$3:$AQ$201,$M102)&gt;0,
    COUNTIFS($AR$3:$AR$201,$M102)&gt;0,
    COUNTIFS($AS$3:$AS$201,$M102)&gt;0,
    COUNTIFS($AT$3:$AT$201,$M102)&gt;0,
    COUNTIFS($AU$3:$AU$201,$M102)&gt;0,
    COUNTIFS($AV$3:$AV$201,$M102)&gt;0,
    COUNTIFS($AW$3:$AW$201,$M102)&gt;0
   ),
  0)
 ),
"")</f>
        <v>Oona</v>
      </c>
      <c r="P102" s="3" t="str" cm="1">
        <f t="array" aca="1" ref="P102" ca="1">IFERROR(
 INDEX(
  _xlfn._xlws.FILTER($T$2:$AW$2,
   TRANSPOSE(
    CHOOSE({1;2;3;4;5;6;7;8;9;10;11;12;13;14;15;16;17;18;19;20;21;22;23;24;25;26;27;28;29;30},
     COUNTIFS($T$3:$T$201,$M102)&gt;0,
     COUNTIFS($U$3:$U$201,$M102)&gt;0,
     COUNTIFS($V$3:$V$201,$M102)&gt;0,
     COUNTIFS($W$3:$W$201,$M102)&gt;0,
     COUNTIFS($X$3:$X$201,$M102)&gt;0,
     COUNTIFS($Y$3:$Y$201,$M102)&gt;0,
     COUNTIFS($Z$3:$Z$201,$M102)&gt;0,
     COUNTIFS($AA$3:$AA$201,$M102)&gt;0,
     COUNTIFS($AB$3:$AB$201,$M102)&gt;0,
     COUNTIFS($AC$3:$AC$201,$M102)&gt;0,
     COUNTIFS($AD$3:$AD$201,$M102)&gt;0,
     COUNTIFS($AE$3:$AE$201,$M102)&gt;0,
     COUNTIFS($AF$3:$AF$201,$M102)&gt;0,
     COUNTIFS($AG$3:$AG$201,$M102)&gt;0,
     COUNTIFS($AH$3:$AH$201,$M102)&gt;0,
     COUNTIFS($AI$3:$AI$201,$M102)&gt;0,
     COUNTIFS($AJ$3:$AJ$201,$M102)&gt;0,
     COUNTIFS($AK$3:$AK$201,$M102)&gt;0,
     COUNTIFS($AL$3:$AL$201,$M102)&gt;0,
     COUNTIFS($AM$3:$AM$201,$M102)&gt;0,
     COUNTIFS($AN$3:$AN$201,$M102)&gt;0,
     COUNTIFS($AO$3:$AO$201,$M102)&gt;0,
     COUNTIFS($AP$3:$AP$201,$M102)&gt;0,
     COUNTIFS($AQ$3:$AQ$201,$M102)&gt;0,
     COUNTIFS($AR$3:$AR$201,$M102)&gt;0,
     COUNTIFS($AS$3:$AS$201,$M102)&gt;0,
     COUNTIFS($AT$3:$AT$201,$M102)&gt;0,
     COUNTIFS($AU$3:$AU$201,$M102)&gt;0,
     COUNTIFS($AV$3:$AV$201,$M102)&gt;0,
     COUNTIFS($AW$3:$AW$201,$M102)&gt;0
   )),
  ),
  2
 ),
"")</f>
        <v/>
      </c>
      <c r="Q102" s="3" t="str" cm="1">
        <f t="array" aca="1" ref="Q102" ca="1">IFERROR(
 INDEX(
  _xlfn._xlws.FILTER($T$2:$AW$2,
   TRANSPOSE(
    CHOOSE({1;2;3;4;5;6;7;8;9;10;11;12;13;14;15;16;17;18;19;20;21;22;23;24;25;26;27;28;29;30},
     COUNTIFS($T$3:$T$201,$M102)&gt;0,
     COUNTIFS($U$3:$U$201,$M102)&gt;0,
     COUNTIFS($V$3:$V$201,$M102)&gt;0,
     COUNTIFS($W$3:$W$201,$M102)&gt;0,
     COUNTIFS($X$3:$X$201,$M102)&gt;0,
     COUNTIFS($Y$3:$Y$201,$M102)&gt;0,
     COUNTIFS($Z$3:$Z$201,$M102)&gt;0,
     COUNTIFS($AA$3:$AA$201,$M102)&gt;0,
     COUNTIFS($AB$3:$AB$201,$M102)&gt;0,
     COUNTIFS($AC$3:$AC$201,$M102)&gt;0,
     COUNTIFS($AD$3:$AD$201,$M102)&gt;0,
     COUNTIFS($AE$3:$AE$201,$M102)&gt;0,
     COUNTIFS($AF$3:$AF$201,$M102)&gt;0,
     COUNTIFS($AG$3:$AG$201,$M102)&gt;0,
     COUNTIFS($AH$3:$AH$201,$M102)&gt;0,
     COUNTIFS($AI$3:$AI$201,$M102)&gt;0,
     COUNTIFS($AJ$3:$AJ$201,$M102)&gt;0,
     COUNTIFS($AK$3:$AK$201,$M102)&gt;0,
     COUNTIFS($AL$3:$AL$201,$M102)&gt;0,
     COUNTIFS($AM$3:$AM$201,$M102)&gt;0,
     COUNTIFS($AN$3:$AN$201,$M102)&gt;0,
     COUNTIFS($AO$3:$AO$201,$M102)&gt;0,
     COUNTIFS($AP$3:$AP$201,$M102)&gt;0,
     COUNTIFS($AQ$3:$AQ$201,$M102)&gt;0,
     COUNTIFS($AR$3:$AR$201,$M102)&gt;0,
     COUNTIFS($AS$3:$AS$201,$M102)&gt;0,
     COUNTIFS($AT$3:$AT$201,$M102)&gt;0,
     COUNTIFS($AU$3:$AU$201,$M102)&gt;0,
     COUNTIFS($AV$3:$AV$201,$M102)&gt;0,
     COUNTIFS($AW$3:$AW$201,$M102)&gt;0
   )),
  ),
  3
 ),
"")</f>
        <v/>
      </c>
      <c r="R102" s="3" t="str" cm="1">
        <f t="array" aca="1" ref="R102" ca="1">IFERROR(
 INDEX(
  _xlfn._xlws.FILTER($T$2:$AW$2,
   TRANSPOSE(
    CHOOSE({1;2;3;4;5;6;7;8;9;10;11;12;13;14;15;16;17;18;19;20;21;22;23;24;25;26;27;28;29;30},
     COUNTIFS($T$3:$T$201,$M102)&gt;0,
     COUNTIFS($U$3:$U$201,$M102)&gt;0,
     COUNTIFS($V$3:$V$201,$M102)&gt;0,
     COUNTIFS($W$3:$W$201,$M102)&gt;0,
     COUNTIFS($X$3:$X$201,$M102)&gt;0,
     COUNTIFS($Y$3:$Y$201,$M102)&gt;0,
     COUNTIFS($Z$3:$Z$201,$M102)&gt;0,
     COUNTIFS($AA$3:$AA$201,$M102)&gt;0,
     COUNTIFS($AB$3:$AB$201,$M102)&gt;0,
     COUNTIFS($AC$3:$AC$201,$M102)&gt;0,
     COUNTIFS($AD$3:$AD$201,$M102)&gt;0,
     COUNTIFS($AE$3:$AE$201,$M102)&gt;0,
     COUNTIFS($AF$3:$AF$201,$M102)&gt;0,
     COUNTIFS($AG$3:$AG$201,$M102)&gt;0,
     COUNTIFS($AH$3:$AH$201,$M102)&gt;0,
     COUNTIFS($AI$3:$AI$201,$M102)&gt;0,
     COUNTIFS($AJ$3:$AJ$201,$M102)&gt;0,
     COUNTIFS($AK$3:$AK$201,$M102)&gt;0,
     COUNTIFS($AL$3:$AL$201,$M102)&gt;0,
     COUNTIFS($AM$3:$AM$201,$M102)&gt;0,
     COUNTIFS($AN$3:$AN$201,$M102)&gt;0,
     COUNTIFS($AO$3:$AO$201,$M102)&gt;0,
     COUNTIFS($AP$3:$AP$201,$M102)&gt;0,
     COUNTIFS($AQ$3:$AQ$201,$M102)&gt;0,
     COUNTIFS($AR$3:$AR$201,$M102)&gt;0,
     COUNTIFS($AS$3:$AS$201,$M102)&gt;0,
     COUNTIFS($AT$3:$AT$201,$M102)&gt;0,
     COUNTIFS($AU$3:$AU$201,$M102)&gt;0,
     COUNTIFS($AV$3:$AV$201,$M102)&gt;0,
     COUNTIFS($AW$3:$AW$201,$M102)&gt;0
   )),
  ),
  4
 ),
"")</f>
        <v/>
      </c>
      <c r="CA102" t="str">
        <f ca="1"/>
        <v>Repudiar // Replicar</v>
      </c>
      <c r="CF102" t="str">
        <f ca="1"/>
        <v>Leviatã da Tormenta Marinha</v>
      </c>
      <c r="CI102" t="str">
        <f ca="1"/>
        <v>Gagueira Mágica</v>
      </c>
    </row>
    <row r="103" spans="1:87" x14ac:dyDescent="0.25">
      <c r="A103" t="str">
        <f ca="1"/>
        <v>Genji Glove</v>
      </c>
      <c r="B103" s="3" t="str" cm="1">
        <f t="array" aca="1" ref="B103" ca="1">_xlfn.ANCHORARRAY(RESUMO!C102)</f>
        <v>Narset</v>
      </c>
      <c r="C103" s="3" t="str">
        <f t="shared" ca="1" si="4"/>
        <v/>
      </c>
      <c r="E103" t="str">
        <f ca="1"/>
        <v>Ganso Dourado</v>
      </c>
      <c r="F103" s="3">
        <f t="shared" ca="1" si="5"/>
        <v>1</v>
      </c>
      <c r="G103" s="3" t="str">
        <f t="shared" ca="1" si="6"/>
        <v>OWA</v>
      </c>
      <c r="M103" t="str">
        <f ca="1"/>
        <v>Ganso Dourado</v>
      </c>
      <c r="N103" s="3">
        <f t="shared" ca="1" si="7"/>
        <v>1</v>
      </c>
      <c r="O103" s="3" t="str">
        <f ca="1">IFERROR(
 INDEX($T$2:$AW$2,
  MATCH(TRUE,
   CHOOSE({1;2;3;4;5;6;7;8;9;10;11;12;13;14;15;16;17;18;19;20;21;22;23;24;25;26;27;28;29;30;31;32},
    COUNTIFS($T$3:$T$201,$M103)&gt;0,
    COUNTIFS($U$3:$U$201,$M103)&gt;0,
    COUNTIFS($V$3:$V$201,$M103)&gt;0,
    COUNTIFS($W$3:$W$201,$M103)&gt;0,
    COUNTIFS($X$3:$X$201,$M103)&gt;0,
    COUNTIFS($Y$3:$Y$201,$M103)&gt;0,
    COUNTIFS($Z$3:$Z$201,$M103)&gt;0,
    COUNTIFS($AA$3:$AA$201,$M103)&gt;0,
    COUNTIFS($AB$3:$AB$201,$M103)&gt;0,
    COUNTIFS($AC$3:$AC$201,$M103)&gt;0,
    COUNTIFS($AD$3:$AD$201,$M103)&gt;0,
    COUNTIFS($AE$3:$AE$201,$M103)&gt;0,
    COUNTIFS($AF$3:$AF$201,$M103)&gt;0,
    COUNTIFS($AG$3:$AG$201,$M103)&gt;0,
    COUNTIFS($AH$3:$AH$201,$M103)&gt;0,
    COUNTIFS($AI$3:$AI$201,$M103)&gt;0,
    COUNTIFS($AJ$3:$AJ$201,$M103)&gt;0,
    COUNTIFS($AK$3:$AK$201,$M103)&gt;0,
    COUNTIFS($AL$3:$AL$201,$M103)&gt;0,
    COUNTIFS($AM$3:$AM$201,$M103)&gt;0,
    COUNTIFS($AN$3:$AN$201,$M103)&gt;0,
    COUNTIFS($AO$3:$AO$201,$M103)&gt;0,
    COUNTIFS($AP$3:$AP$201,$M103)&gt;0,
    COUNTIFS($AQ$3:$AQ$201,$M103)&gt;0,
    COUNTIFS($AR$3:$AR$201,$M103)&gt;0,
    COUNTIFS($AS$3:$AS$201,$M103)&gt;0,
    COUNTIFS($AT$3:$AT$201,$M103)&gt;0,
    COUNTIFS($AU$3:$AU$201,$M103)&gt;0,
    COUNTIFS($AV$3:$AV$201,$M103)&gt;0,
    COUNTIFS($AW$3:$AW$201,$M103)&gt;0
   ),
  0)
 ),
"")</f>
        <v>OWA</v>
      </c>
      <c r="P103" s="3" t="str" cm="1">
        <f t="array" aca="1" ref="P103" ca="1">IFERROR(
 INDEX(
  _xlfn._xlws.FILTER($T$2:$AW$2,
   TRANSPOSE(
    CHOOSE({1;2;3;4;5;6;7;8;9;10;11;12;13;14;15;16;17;18;19;20;21;22;23;24;25;26;27;28;29;30},
     COUNTIFS($T$3:$T$201,$M103)&gt;0,
     COUNTIFS($U$3:$U$201,$M103)&gt;0,
     COUNTIFS($V$3:$V$201,$M103)&gt;0,
     COUNTIFS($W$3:$W$201,$M103)&gt;0,
     COUNTIFS($X$3:$X$201,$M103)&gt;0,
     COUNTIFS($Y$3:$Y$201,$M103)&gt;0,
     COUNTIFS($Z$3:$Z$201,$M103)&gt;0,
     COUNTIFS($AA$3:$AA$201,$M103)&gt;0,
     COUNTIFS($AB$3:$AB$201,$M103)&gt;0,
     COUNTIFS($AC$3:$AC$201,$M103)&gt;0,
     COUNTIFS($AD$3:$AD$201,$M103)&gt;0,
     COUNTIFS($AE$3:$AE$201,$M103)&gt;0,
     COUNTIFS($AF$3:$AF$201,$M103)&gt;0,
     COUNTIFS($AG$3:$AG$201,$M103)&gt;0,
     COUNTIFS($AH$3:$AH$201,$M103)&gt;0,
     COUNTIFS($AI$3:$AI$201,$M103)&gt;0,
     COUNTIFS($AJ$3:$AJ$201,$M103)&gt;0,
     COUNTIFS($AK$3:$AK$201,$M103)&gt;0,
     COUNTIFS($AL$3:$AL$201,$M103)&gt;0,
     COUNTIFS($AM$3:$AM$201,$M103)&gt;0,
     COUNTIFS($AN$3:$AN$201,$M103)&gt;0,
     COUNTIFS($AO$3:$AO$201,$M103)&gt;0,
     COUNTIFS($AP$3:$AP$201,$M103)&gt;0,
     COUNTIFS($AQ$3:$AQ$201,$M103)&gt;0,
     COUNTIFS($AR$3:$AR$201,$M103)&gt;0,
     COUNTIFS($AS$3:$AS$201,$M103)&gt;0,
     COUNTIFS($AT$3:$AT$201,$M103)&gt;0,
     COUNTIFS($AU$3:$AU$201,$M103)&gt;0,
     COUNTIFS($AV$3:$AV$201,$M103)&gt;0,
     COUNTIFS($AW$3:$AW$201,$M103)&gt;0
   )),
  ),
  2
 ),
"")</f>
        <v/>
      </c>
      <c r="Q103" s="3" t="str" cm="1">
        <f t="array" aca="1" ref="Q103" ca="1">IFERROR(
 INDEX(
  _xlfn._xlws.FILTER($T$2:$AW$2,
   TRANSPOSE(
    CHOOSE({1;2;3;4;5;6;7;8;9;10;11;12;13;14;15;16;17;18;19;20;21;22;23;24;25;26;27;28;29;30},
     COUNTIFS($T$3:$T$201,$M103)&gt;0,
     COUNTIFS($U$3:$U$201,$M103)&gt;0,
     COUNTIFS($V$3:$V$201,$M103)&gt;0,
     COUNTIFS($W$3:$W$201,$M103)&gt;0,
     COUNTIFS($X$3:$X$201,$M103)&gt;0,
     COUNTIFS($Y$3:$Y$201,$M103)&gt;0,
     COUNTIFS($Z$3:$Z$201,$M103)&gt;0,
     COUNTIFS($AA$3:$AA$201,$M103)&gt;0,
     COUNTIFS($AB$3:$AB$201,$M103)&gt;0,
     COUNTIFS($AC$3:$AC$201,$M103)&gt;0,
     COUNTIFS($AD$3:$AD$201,$M103)&gt;0,
     COUNTIFS($AE$3:$AE$201,$M103)&gt;0,
     COUNTIFS($AF$3:$AF$201,$M103)&gt;0,
     COUNTIFS($AG$3:$AG$201,$M103)&gt;0,
     COUNTIFS($AH$3:$AH$201,$M103)&gt;0,
     COUNTIFS($AI$3:$AI$201,$M103)&gt;0,
     COUNTIFS($AJ$3:$AJ$201,$M103)&gt;0,
     COUNTIFS($AK$3:$AK$201,$M103)&gt;0,
     COUNTIFS($AL$3:$AL$201,$M103)&gt;0,
     COUNTIFS($AM$3:$AM$201,$M103)&gt;0,
     COUNTIFS($AN$3:$AN$201,$M103)&gt;0,
     COUNTIFS($AO$3:$AO$201,$M103)&gt;0,
     COUNTIFS($AP$3:$AP$201,$M103)&gt;0,
     COUNTIFS($AQ$3:$AQ$201,$M103)&gt;0,
     COUNTIFS($AR$3:$AR$201,$M103)&gt;0,
     COUNTIFS($AS$3:$AS$201,$M103)&gt;0,
     COUNTIFS($AT$3:$AT$201,$M103)&gt;0,
     COUNTIFS($AU$3:$AU$201,$M103)&gt;0,
     COUNTIFS($AV$3:$AV$201,$M103)&gt;0,
     COUNTIFS($AW$3:$AW$201,$M103)&gt;0
   )),
  ),
  3
 ),
"")</f>
        <v/>
      </c>
      <c r="R103" s="3" t="str" cm="1">
        <f t="array" aca="1" ref="R103" ca="1">IFERROR(
 INDEX(
  _xlfn._xlws.FILTER($T$2:$AW$2,
   TRANSPOSE(
    CHOOSE({1;2;3;4;5;6;7;8;9;10;11;12;13;14;15;16;17;18;19;20;21;22;23;24;25;26;27;28;29;30},
     COUNTIFS($T$3:$T$201,$M103)&gt;0,
     COUNTIFS($U$3:$U$201,$M103)&gt;0,
     COUNTIFS($V$3:$V$201,$M103)&gt;0,
     COUNTIFS($W$3:$W$201,$M103)&gt;0,
     COUNTIFS($X$3:$X$201,$M103)&gt;0,
     COUNTIFS($Y$3:$Y$201,$M103)&gt;0,
     COUNTIFS($Z$3:$Z$201,$M103)&gt;0,
     COUNTIFS($AA$3:$AA$201,$M103)&gt;0,
     COUNTIFS($AB$3:$AB$201,$M103)&gt;0,
     COUNTIFS($AC$3:$AC$201,$M103)&gt;0,
     COUNTIFS($AD$3:$AD$201,$M103)&gt;0,
     COUNTIFS($AE$3:$AE$201,$M103)&gt;0,
     COUNTIFS($AF$3:$AF$201,$M103)&gt;0,
     COUNTIFS($AG$3:$AG$201,$M103)&gt;0,
     COUNTIFS($AH$3:$AH$201,$M103)&gt;0,
     COUNTIFS($AI$3:$AI$201,$M103)&gt;0,
     COUNTIFS($AJ$3:$AJ$201,$M103)&gt;0,
     COUNTIFS($AK$3:$AK$201,$M103)&gt;0,
     COUNTIFS($AL$3:$AL$201,$M103)&gt;0,
     COUNTIFS($AM$3:$AM$201,$M103)&gt;0,
     COUNTIFS($AN$3:$AN$201,$M103)&gt;0,
     COUNTIFS($AO$3:$AO$201,$M103)&gt;0,
     COUNTIFS($AP$3:$AP$201,$M103)&gt;0,
     COUNTIFS($AQ$3:$AQ$201,$M103)&gt;0,
     COUNTIFS($AR$3:$AR$201,$M103)&gt;0,
     COUNTIFS($AS$3:$AS$201,$M103)&gt;0,
     COUNTIFS($AT$3:$AT$201,$M103)&gt;0,
     COUNTIFS($AU$3:$AU$201,$M103)&gt;0,
     COUNTIFS($AV$3:$AV$201,$M103)&gt;0,
     COUNTIFS($AW$3:$AW$201,$M103)&gt;0
   )),
  ),
  4
 ),
"")</f>
        <v/>
      </c>
      <c r="CA103" t="str">
        <f ca="1"/>
        <v>Resposta // Ressurgimento</v>
      </c>
      <c r="CF103" t="str">
        <f ca="1"/>
        <v>Leviatã de Kederekt</v>
      </c>
      <c r="CI103" t="str">
        <f ca="1"/>
        <v>Ganso Dourado</v>
      </c>
    </row>
    <row r="104" spans="1:87" x14ac:dyDescent="0.25">
      <c r="A104" t="str">
        <f ca="1"/>
        <v>Gerrard's Hourglass Pendant</v>
      </c>
      <c r="B104" s="3" t="str" cm="1">
        <f t="array" aca="1" ref="B104" ca="1">_xlfn.ANCHORARRAY(RESUMO!C103)</f>
        <v>Muzzio</v>
      </c>
      <c r="C104" s="3" t="str">
        <f t="shared" ca="1" si="4"/>
        <v/>
      </c>
      <c r="E104" t="str">
        <f ca="1"/>
        <v>Garra Krosana</v>
      </c>
      <c r="F104" s="3">
        <f t="shared" ca="1" si="5"/>
        <v>1</v>
      </c>
      <c r="G104" s="3" t="str">
        <f t="shared" ca="1" si="6"/>
        <v>Baylen</v>
      </c>
      <c r="M104" t="str">
        <f ca="1"/>
        <v>Garra Krosana</v>
      </c>
      <c r="N104" s="3">
        <f t="shared" ca="1" si="7"/>
        <v>1</v>
      </c>
      <c r="O104" s="3" t="str">
        <f ca="1">IFERROR(
 INDEX($T$2:$AW$2,
  MATCH(TRUE,
   CHOOSE({1;2;3;4;5;6;7;8;9;10;11;12;13;14;15;16;17;18;19;20;21;22;23;24;25;26;27;28;29;30;31;32},
    COUNTIFS($T$3:$T$201,$M104)&gt;0,
    COUNTIFS($U$3:$U$201,$M104)&gt;0,
    COUNTIFS($V$3:$V$201,$M104)&gt;0,
    COUNTIFS($W$3:$W$201,$M104)&gt;0,
    COUNTIFS($X$3:$X$201,$M104)&gt;0,
    COUNTIFS($Y$3:$Y$201,$M104)&gt;0,
    COUNTIFS($Z$3:$Z$201,$M104)&gt;0,
    COUNTIFS($AA$3:$AA$201,$M104)&gt;0,
    COUNTIFS($AB$3:$AB$201,$M104)&gt;0,
    COUNTIFS($AC$3:$AC$201,$M104)&gt;0,
    COUNTIFS($AD$3:$AD$201,$M104)&gt;0,
    COUNTIFS($AE$3:$AE$201,$M104)&gt;0,
    COUNTIFS($AF$3:$AF$201,$M104)&gt;0,
    COUNTIFS($AG$3:$AG$201,$M104)&gt;0,
    COUNTIFS($AH$3:$AH$201,$M104)&gt;0,
    COUNTIFS($AI$3:$AI$201,$M104)&gt;0,
    COUNTIFS($AJ$3:$AJ$201,$M104)&gt;0,
    COUNTIFS($AK$3:$AK$201,$M104)&gt;0,
    COUNTIFS($AL$3:$AL$201,$M104)&gt;0,
    COUNTIFS($AM$3:$AM$201,$M104)&gt;0,
    COUNTIFS($AN$3:$AN$201,$M104)&gt;0,
    COUNTIFS($AO$3:$AO$201,$M104)&gt;0,
    COUNTIFS($AP$3:$AP$201,$M104)&gt;0,
    COUNTIFS($AQ$3:$AQ$201,$M104)&gt;0,
    COUNTIFS($AR$3:$AR$201,$M104)&gt;0,
    COUNTIFS($AS$3:$AS$201,$M104)&gt;0,
    COUNTIFS($AT$3:$AT$201,$M104)&gt;0,
    COUNTIFS($AU$3:$AU$201,$M104)&gt;0,
    COUNTIFS($AV$3:$AV$201,$M104)&gt;0,
    COUNTIFS($AW$3:$AW$201,$M104)&gt;0
   ),
  0)
 ),
"")</f>
        <v>Baylen</v>
      </c>
      <c r="P104" s="3" t="str" cm="1">
        <f t="array" aca="1" ref="P104" ca="1">IFERROR(
 INDEX(
  _xlfn._xlws.FILTER($T$2:$AW$2,
   TRANSPOSE(
    CHOOSE({1;2;3;4;5;6;7;8;9;10;11;12;13;14;15;16;17;18;19;20;21;22;23;24;25;26;27;28;29;30},
     COUNTIFS($T$3:$T$201,$M104)&gt;0,
     COUNTIFS($U$3:$U$201,$M104)&gt;0,
     COUNTIFS($V$3:$V$201,$M104)&gt;0,
     COUNTIFS($W$3:$W$201,$M104)&gt;0,
     COUNTIFS($X$3:$X$201,$M104)&gt;0,
     COUNTIFS($Y$3:$Y$201,$M104)&gt;0,
     COUNTIFS($Z$3:$Z$201,$M104)&gt;0,
     COUNTIFS($AA$3:$AA$201,$M104)&gt;0,
     COUNTIFS($AB$3:$AB$201,$M104)&gt;0,
     COUNTIFS($AC$3:$AC$201,$M104)&gt;0,
     COUNTIFS($AD$3:$AD$201,$M104)&gt;0,
     COUNTIFS($AE$3:$AE$201,$M104)&gt;0,
     COUNTIFS($AF$3:$AF$201,$M104)&gt;0,
     COUNTIFS($AG$3:$AG$201,$M104)&gt;0,
     COUNTIFS($AH$3:$AH$201,$M104)&gt;0,
     COUNTIFS($AI$3:$AI$201,$M104)&gt;0,
     COUNTIFS($AJ$3:$AJ$201,$M104)&gt;0,
     COUNTIFS($AK$3:$AK$201,$M104)&gt;0,
     COUNTIFS($AL$3:$AL$201,$M104)&gt;0,
     COUNTIFS($AM$3:$AM$201,$M104)&gt;0,
     COUNTIFS($AN$3:$AN$201,$M104)&gt;0,
     COUNTIFS($AO$3:$AO$201,$M104)&gt;0,
     COUNTIFS($AP$3:$AP$201,$M104)&gt;0,
     COUNTIFS($AQ$3:$AQ$201,$M104)&gt;0,
     COUNTIFS($AR$3:$AR$201,$M104)&gt;0,
     COUNTIFS($AS$3:$AS$201,$M104)&gt;0,
     COUNTIFS($AT$3:$AT$201,$M104)&gt;0,
     COUNTIFS($AU$3:$AU$201,$M104)&gt;0,
     COUNTIFS($AV$3:$AV$201,$M104)&gt;0,
     COUNTIFS($AW$3:$AW$201,$M104)&gt;0
   )),
  ),
  2
 ),
"")</f>
        <v/>
      </c>
      <c r="Q104" s="3" t="str" cm="1">
        <f t="array" aca="1" ref="Q104" ca="1">IFERROR(
 INDEX(
  _xlfn._xlws.FILTER($T$2:$AW$2,
   TRANSPOSE(
    CHOOSE({1;2;3;4;5;6;7;8;9;10;11;12;13;14;15;16;17;18;19;20;21;22;23;24;25;26;27;28;29;30},
     COUNTIFS($T$3:$T$201,$M104)&gt;0,
     COUNTIFS($U$3:$U$201,$M104)&gt;0,
     COUNTIFS($V$3:$V$201,$M104)&gt;0,
     COUNTIFS($W$3:$W$201,$M104)&gt;0,
     COUNTIFS($X$3:$X$201,$M104)&gt;0,
     COUNTIFS($Y$3:$Y$201,$M104)&gt;0,
     COUNTIFS($Z$3:$Z$201,$M104)&gt;0,
     COUNTIFS($AA$3:$AA$201,$M104)&gt;0,
     COUNTIFS($AB$3:$AB$201,$M104)&gt;0,
     COUNTIFS($AC$3:$AC$201,$M104)&gt;0,
     COUNTIFS($AD$3:$AD$201,$M104)&gt;0,
     COUNTIFS($AE$3:$AE$201,$M104)&gt;0,
     COUNTIFS($AF$3:$AF$201,$M104)&gt;0,
     COUNTIFS($AG$3:$AG$201,$M104)&gt;0,
     COUNTIFS($AH$3:$AH$201,$M104)&gt;0,
     COUNTIFS($AI$3:$AI$201,$M104)&gt;0,
     COUNTIFS($AJ$3:$AJ$201,$M104)&gt;0,
     COUNTIFS($AK$3:$AK$201,$M104)&gt;0,
     COUNTIFS($AL$3:$AL$201,$M104)&gt;0,
     COUNTIFS($AM$3:$AM$201,$M104)&gt;0,
     COUNTIFS($AN$3:$AN$201,$M104)&gt;0,
     COUNTIFS($AO$3:$AO$201,$M104)&gt;0,
     COUNTIFS($AP$3:$AP$201,$M104)&gt;0,
     COUNTIFS($AQ$3:$AQ$201,$M104)&gt;0,
     COUNTIFS($AR$3:$AR$201,$M104)&gt;0,
     COUNTIFS($AS$3:$AS$201,$M104)&gt;0,
     COUNTIFS($AT$3:$AT$201,$M104)&gt;0,
     COUNTIFS($AU$3:$AU$201,$M104)&gt;0,
     COUNTIFS($AV$3:$AV$201,$M104)&gt;0,
     COUNTIFS($AW$3:$AW$201,$M104)&gt;0
   )),
  ),
  3
 ),
"")</f>
        <v/>
      </c>
      <c r="R104" s="3" t="str" cm="1">
        <f t="array" aca="1" ref="R104" ca="1">IFERROR(
 INDEX(
  _xlfn._xlws.FILTER($T$2:$AW$2,
   TRANSPOSE(
    CHOOSE({1;2;3;4;5;6;7;8;9;10;11;12;13;14;15;16;17;18;19;20;21;22;23;24;25;26;27;28;29;30},
     COUNTIFS($T$3:$T$201,$M104)&gt;0,
     COUNTIFS($U$3:$U$201,$M104)&gt;0,
     COUNTIFS($V$3:$V$201,$M104)&gt;0,
     COUNTIFS($W$3:$W$201,$M104)&gt;0,
     COUNTIFS($X$3:$X$201,$M104)&gt;0,
     COUNTIFS($Y$3:$Y$201,$M104)&gt;0,
     COUNTIFS($Z$3:$Z$201,$M104)&gt;0,
     COUNTIFS($AA$3:$AA$201,$M104)&gt;0,
     COUNTIFS($AB$3:$AB$201,$M104)&gt;0,
     COUNTIFS($AC$3:$AC$201,$M104)&gt;0,
     COUNTIFS($AD$3:$AD$201,$M104)&gt;0,
     COUNTIFS($AE$3:$AE$201,$M104)&gt;0,
     COUNTIFS($AF$3:$AF$201,$M104)&gt;0,
     COUNTIFS($AG$3:$AG$201,$M104)&gt;0,
     COUNTIFS($AH$3:$AH$201,$M104)&gt;0,
     COUNTIFS($AI$3:$AI$201,$M104)&gt;0,
     COUNTIFS($AJ$3:$AJ$201,$M104)&gt;0,
     COUNTIFS($AK$3:$AK$201,$M104)&gt;0,
     COUNTIFS($AL$3:$AL$201,$M104)&gt;0,
     COUNTIFS($AM$3:$AM$201,$M104)&gt;0,
     COUNTIFS($AN$3:$AN$201,$M104)&gt;0,
     COUNTIFS($AO$3:$AO$201,$M104)&gt;0,
     COUNTIFS($AP$3:$AP$201,$M104)&gt;0,
     COUNTIFS($AQ$3:$AQ$201,$M104)&gt;0,
     COUNTIFS($AR$3:$AR$201,$M104)&gt;0,
     COUNTIFS($AS$3:$AS$201,$M104)&gt;0,
     COUNTIFS($AT$3:$AT$201,$M104)&gt;0,
     COUNTIFS($AU$3:$AU$201,$M104)&gt;0,
     COUNTIFS($AV$3:$AV$201,$M104)&gt;0,
     COUNTIFS($AW$3:$AW$201,$M104)&gt;0
   )),
  ),
  4
 ),
"")</f>
        <v/>
      </c>
      <c r="CA104" t="str">
        <f ca="1"/>
        <v>Retorno a Natureza</v>
      </c>
      <c r="CF104" t="str">
        <f ca="1"/>
        <v>Lizard Blades</v>
      </c>
      <c r="CI104" t="str">
        <f ca="1"/>
        <v>Garra Krosana</v>
      </c>
    </row>
    <row r="105" spans="1:87" x14ac:dyDescent="0.25">
      <c r="A105" t="str">
        <f ca="1"/>
        <v>Ghostly Prison</v>
      </c>
      <c r="B105" s="3" t="str" cm="1">
        <f t="array" aca="1" ref="B105" ca="1">_xlfn.ANCHORARRAY(RESUMO!C104)</f>
        <v>Narset</v>
      </c>
      <c r="C105" s="3" t="str">
        <f t="shared" ca="1" si="4"/>
        <v/>
      </c>
      <c r="E105" t="str">
        <f ca="1"/>
        <v>Garras do Capitão</v>
      </c>
      <c r="F105" s="3">
        <f t="shared" ca="1" si="5"/>
        <v>1</v>
      </c>
      <c r="G105" s="3" t="str">
        <f t="shared" ca="1" si="6"/>
        <v>Akiri</v>
      </c>
      <c r="M105" t="str">
        <f ca="1"/>
        <v>Garras do Capitão</v>
      </c>
      <c r="N105" s="3">
        <f t="shared" ca="1" si="7"/>
        <v>1</v>
      </c>
      <c r="O105" s="3" t="str">
        <f ca="1">IFERROR(
 INDEX($T$2:$AW$2,
  MATCH(TRUE,
   CHOOSE({1;2;3;4;5;6;7;8;9;10;11;12;13;14;15;16;17;18;19;20;21;22;23;24;25;26;27;28;29;30;31;32},
    COUNTIFS($T$3:$T$201,$M105)&gt;0,
    COUNTIFS($U$3:$U$201,$M105)&gt;0,
    COUNTIFS($V$3:$V$201,$M105)&gt;0,
    COUNTIFS($W$3:$W$201,$M105)&gt;0,
    COUNTIFS($X$3:$X$201,$M105)&gt;0,
    COUNTIFS($Y$3:$Y$201,$M105)&gt;0,
    COUNTIFS($Z$3:$Z$201,$M105)&gt;0,
    COUNTIFS($AA$3:$AA$201,$M105)&gt;0,
    COUNTIFS($AB$3:$AB$201,$M105)&gt;0,
    COUNTIFS($AC$3:$AC$201,$M105)&gt;0,
    COUNTIFS($AD$3:$AD$201,$M105)&gt;0,
    COUNTIFS($AE$3:$AE$201,$M105)&gt;0,
    COUNTIFS($AF$3:$AF$201,$M105)&gt;0,
    COUNTIFS($AG$3:$AG$201,$M105)&gt;0,
    COUNTIFS($AH$3:$AH$201,$M105)&gt;0,
    COUNTIFS($AI$3:$AI$201,$M105)&gt;0,
    COUNTIFS($AJ$3:$AJ$201,$M105)&gt;0,
    COUNTIFS($AK$3:$AK$201,$M105)&gt;0,
    COUNTIFS($AL$3:$AL$201,$M105)&gt;0,
    COUNTIFS($AM$3:$AM$201,$M105)&gt;0,
    COUNTIFS($AN$3:$AN$201,$M105)&gt;0,
    COUNTIFS($AO$3:$AO$201,$M105)&gt;0,
    COUNTIFS($AP$3:$AP$201,$M105)&gt;0,
    COUNTIFS($AQ$3:$AQ$201,$M105)&gt;0,
    COUNTIFS($AR$3:$AR$201,$M105)&gt;0,
    COUNTIFS($AS$3:$AS$201,$M105)&gt;0,
    COUNTIFS($AT$3:$AT$201,$M105)&gt;0,
    COUNTIFS($AU$3:$AU$201,$M105)&gt;0,
    COUNTIFS($AV$3:$AV$201,$M105)&gt;0,
    COUNTIFS($AW$3:$AW$201,$M105)&gt;0
   ),
  0)
 ),
"")</f>
        <v>Akiri</v>
      </c>
      <c r="P105" s="3" t="str" cm="1">
        <f t="array" aca="1" ref="P105" ca="1">IFERROR(
 INDEX(
  _xlfn._xlws.FILTER($T$2:$AW$2,
   TRANSPOSE(
    CHOOSE({1;2;3;4;5;6;7;8;9;10;11;12;13;14;15;16;17;18;19;20;21;22;23;24;25;26;27;28;29;30},
     COUNTIFS($T$3:$T$201,$M105)&gt;0,
     COUNTIFS($U$3:$U$201,$M105)&gt;0,
     COUNTIFS($V$3:$V$201,$M105)&gt;0,
     COUNTIFS($W$3:$W$201,$M105)&gt;0,
     COUNTIFS($X$3:$X$201,$M105)&gt;0,
     COUNTIFS($Y$3:$Y$201,$M105)&gt;0,
     COUNTIFS($Z$3:$Z$201,$M105)&gt;0,
     COUNTIFS($AA$3:$AA$201,$M105)&gt;0,
     COUNTIFS($AB$3:$AB$201,$M105)&gt;0,
     COUNTIFS($AC$3:$AC$201,$M105)&gt;0,
     COUNTIFS($AD$3:$AD$201,$M105)&gt;0,
     COUNTIFS($AE$3:$AE$201,$M105)&gt;0,
     COUNTIFS($AF$3:$AF$201,$M105)&gt;0,
     COUNTIFS($AG$3:$AG$201,$M105)&gt;0,
     COUNTIFS($AH$3:$AH$201,$M105)&gt;0,
     COUNTIFS($AI$3:$AI$201,$M105)&gt;0,
     COUNTIFS($AJ$3:$AJ$201,$M105)&gt;0,
     COUNTIFS($AK$3:$AK$201,$M105)&gt;0,
     COUNTIFS($AL$3:$AL$201,$M105)&gt;0,
     COUNTIFS($AM$3:$AM$201,$M105)&gt;0,
     COUNTIFS($AN$3:$AN$201,$M105)&gt;0,
     COUNTIFS($AO$3:$AO$201,$M105)&gt;0,
     COUNTIFS($AP$3:$AP$201,$M105)&gt;0,
     COUNTIFS($AQ$3:$AQ$201,$M105)&gt;0,
     COUNTIFS($AR$3:$AR$201,$M105)&gt;0,
     COUNTIFS($AS$3:$AS$201,$M105)&gt;0,
     COUNTIFS($AT$3:$AT$201,$M105)&gt;0,
     COUNTIFS($AU$3:$AU$201,$M105)&gt;0,
     COUNTIFS($AV$3:$AV$201,$M105)&gt;0,
     COUNTIFS($AW$3:$AW$201,$M105)&gt;0
   )),
  ),
  2
 ),
"")</f>
        <v/>
      </c>
      <c r="Q105" s="3" t="str" cm="1">
        <f t="array" aca="1" ref="Q105" ca="1">IFERROR(
 INDEX(
  _xlfn._xlws.FILTER($T$2:$AW$2,
   TRANSPOSE(
    CHOOSE({1;2;3;4;5;6;7;8;9;10;11;12;13;14;15;16;17;18;19;20;21;22;23;24;25;26;27;28;29;30},
     COUNTIFS($T$3:$T$201,$M105)&gt;0,
     COUNTIFS($U$3:$U$201,$M105)&gt;0,
     COUNTIFS($V$3:$V$201,$M105)&gt;0,
     COUNTIFS($W$3:$W$201,$M105)&gt;0,
     COUNTIFS($X$3:$X$201,$M105)&gt;0,
     COUNTIFS($Y$3:$Y$201,$M105)&gt;0,
     COUNTIFS($Z$3:$Z$201,$M105)&gt;0,
     COUNTIFS($AA$3:$AA$201,$M105)&gt;0,
     COUNTIFS($AB$3:$AB$201,$M105)&gt;0,
     COUNTIFS($AC$3:$AC$201,$M105)&gt;0,
     COUNTIFS($AD$3:$AD$201,$M105)&gt;0,
     COUNTIFS($AE$3:$AE$201,$M105)&gt;0,
     COUNTIFS($AF$3:$AF$201,$M105)&gt;0,
     COUNTIFS($AG$3:$AG$201,$M105)&gt;0,
     COUNTIFS($AH$3:$AH$201,$M105)&gt;0,
     COUNTIFS($AI$3:$AI$201,$M105)&gt;0,
     COUNTIFS($AJ$3:$AJ$201,$M105)&gt;0,
     COUNTIFS($AK$3:$AK$201,$M105)&gt;0,
     COUNTIFS($AL$3:$AL$201,$M105)&gt;0,
     COUNTIFS($AM$3:$AM$201,$M105)&gt;0,
     COUNTIFS($AN$3:$AN$201,$M105)&gt;0,
     COUNTIFS($AO$3:$AO$201,$M105)&gt;0,
     COUNTIFS($AP$3:$AP$201,$M105)&gt;0,
     COUNTIFS($AQ$3:$AQ$201,$M105)&gt;0,
     COUNTIFS($AR$3:$AR$201,$M105)&gt;0,
     COUNTIFS($AS$3:$AS$201,$M105)&gt;0,
     COUNTIFS($AT$3:$AT$201,$M105)&gt;0,
     COUNTIFS($AU$3:$AU$201,$M105)&gt;0,
     COUNTIFS($AV$3:$AV$201,$M105)&gt;0,
     COUNTIFS($AW$3:$AW$201,$M105)&gt;0
   )),
  ),
  3
 ),
"")</f>
        <v/>
      </c>
      <c r="R105" s="3" t="str" cm="1">
        <f t="array" aca="1" ref="R105" ca="1">IFERROR(
 INDEX(
  _xlfn._xlws.FILTER($T$2:$AW$2,
   TRANSPOSE(
    CHOOSE({1;2;3;4;5;6;7;8;9;10;11;12;13;14;15;16;17;18;19;20;21;22;23;24;25;26;27;28;29;30},
     COUNTIFS($T$3:$T$201,$M105)&gt;0,
     COUNTIFS($U$3:$U$201,$M105)&gt;0,
     COUNTIFS($V$3:$V$201,$M105)&gt;0,
     COUNTIFS($W$3:$W$201,$M105)&gt;0,
     COUNTIFS($X$3:$X$201,$M105)&gt;0,
     COUNTIFS($Y$3:$Y$201,$M105)&gt;0,
     COUNTIFS($Z$3:$Z$201,$M105)&gt;0,
     COUNTIFS($AA$3:$AA$201,$M105)&gt;0,
     COUNTIFS($AB$3:$AB$201,$M105)&gt;0,
     COUNTIFS($AC$3:$AC$201,$M105)&gt;0,
     COUNTIFS($AD$3:$AD$201,$M105)&gt;0,
     COUNTIFS($AE$3:$AE$201,$M105)&gt;0,
     COUNTIFS($AF$3:$AF$201,$M105)&gt;0,
     COUNTIFS($AG$3:$AG$201,$M105)&gt;0,
     COUNTIFS($AH$3:$AH$201,$M105)&gt;0,
     COUNTIFS($AI$3:$AI$201,$M105)&gt;0,
     COUNTIFS($AJ$3:$AJ$201,$M105)&gt;0,
     COUNTIFS($AK$3:$AK$201,$M105)&gt;0,
     COUNTIFS($AL$3:$AL$201,$M105)&gt;0,
     COUNTIFS($AM$3:$AM$201,$M105)&gt;0,
     COUNTIFS($AN$3:$AN$201,$M105)&gt;0,
     COUNTIFS($AO$3:$AO$201,$M105)&gt;0,
     COUNTIFS($AP$3:$AP$201,$M105)&gt;0,
     COUNTIFS($AQ$3:$AQ$201,$M105)&gt;0,
     COUNTIFS($AR$3:$AR$201,$M105)&gt;0,
     COUNTIFS($AS$3:$AS$201,$M105)&gt;0,
     COUNTIFS($AT$3:$AT$201,$M105)&gt;0,
     COUNTIFS($AU$3:$AU$201,$M105)&gt;0,
     COUNTIFS($AV$3:$AV$201,$M105)&gt;0,
     COUNTIFS($AW$3:$AW$201,$M105)&gt;0
   )),
  ),
  4
 ),
"")</f>
        <v/>
      </c>
      <c r="CA105" t="str">
        <f ca="1"/>
        <v>Revitalizing Repast</v>
      </c>
      <c r="CF105" t="str">
        <f ca="1"/>
        <v>Lonis, Cryptozoologist</v>
      </c>
      <c r="CI105" t="str">
        <f ca="1"/>
        <v>Garras do Capitão</v>
      </c>
    </row>
    <row r="106" spans="1:87" x14ac:dyDescent="0.25">
      <c r="A106" t="str">
        <f ca="1"/>
        <v>Ghoulish Impetus</v>
      </c>
      <c r="B106" s="3" t="str" cm="1">
        <f t="array" aca="1" ref="B106" ca="1">_xlfn.ANCHORARRAY(RESUMO!C105)</f>
        <v>Rani</v>
      </c>
      <c r="C106" s="3" t="str">
        <f t="shared" ca="1" si="4"/>
        <v/>
      </c>
      <c r="E106" t="str">
        <f ca="1"/>
        <v>Ginete Bronco Exaltado</v>
      </c>
      <c r="F106" s="3">
        <f t="shared" ca="1" si="5"/>
        <v>1</v>
      </c>
      <c r="G106" s="3" t="str">
        <f t="shared" ca="1" si="6"/>
        <v>Rani</v>
      </c>
      <c r="M106" t="str">
        <f ca="1"/>
        <v>Ginete Bronco Exaltado</v>
      </c>
      <c r="N106" s="3">
        <f t="shared" ca="1" si="7"/>
        <v>1</v>
      </c>
      <c r="O106" s="3" t="str">
        <f ca="1">IFERROR(
 INDEX($T$2:$AW$2,
  MATCH(TRUE,
   CHOOSE({1;2;3;4;5;6;7;8;9;10;11;12;13;14;15;16;17;18;19;20;21;22;23;24;25;26;27;28;29;30;31;32},
    COUNTIFS($T$3:$T$201,$M106)&gt;0,
    COUNTIFS($U$3:$U$201,$M106)&gt;0,
    COUNTIFS($V$3:$V$201,$M106)&gt;0,
    COUNTIFS($W$3:$W$201,$M106)&gt;0,
    COUNTIFS($X$3:$X$201,$M106)&gt;0,
    COUNTIFS($Y$3:$Y$201,$M106)&gt;0,
    COUNTIFS($Z$3:$Z$201,$M106)&gt;0,
    COUNTIFS($AA$3:$AA$201,$M106)&gt;0,
    COUNTIFS($AB$3:$AB$201,$M106)&gt;0,
    COUNTIFS($AC$3:$AC$201,$M106)&gt;0,
    COUNTIFS($AD$3:$AD$201,$M106)&gt;0,
    COUNTIFS($AE$3:$AE$201,$M106)&gt;0,
    COUNTIFS($AF$3:$AF$201,$M106)&gt;0,
    COUNTIFS($AG$3:$AG$201,$M106)&gt;0,
    COUNTIFS($AH$3:$AH$201,$M106)&gt;0,
    COUNTIFS($AI$3:$AI$201,$M106)&gt;0,
    COUNTIFS($AJ$3:$AJ$201,$M106)&gt;0,
    COUNTIFS($AK$3:$AK$201,$M106)&gt;0,
    COUNTIFS($AL$3:$AL$201,$M106)&gt;0,
    COUNTIFS($AM$3:$AM$201,$M106)&gt;0,
    COUNTIFS($AN$3:$AN$201,$M106)&gt;0,
    COUNTIFS($AO$3:$AO$201,$M106)&gt;0,
    COUNTIFS($AP$3:$AP$201,$M106)&gt;0,
    COUNTIFS($AQ$3:$AQ$201,$M106)&gt;0,
    COUNTIFS($AR$3:$AR$201,$M106)&gt;0,
    COUNTIFS($AS$3:$AS$201,$M106)&gt;0,
    COUNTIFS($AT$3:$AT$201,$M106)&gt;0,
    COUNTIFS($AU$3:$AU$201,$M106)&gt;0,
    COUNTIFS($AV$3:$AV$201,$M106)&gt;0,
    COUNTIFS($AW$3:$AW$201,$M106)&gt;0
   ),
  0)
 ),
"")</f>
        <v>Rani</v>
      </c>
      <c r="P106" s="3" t="str" cm="1">
        <f t="array" aca="1" ref="P106" ca="1">IFERROR(
 INDEX(
  _xlfn._xlws.FILTER($T$2:$AW$2,
   TRANSPOSE(
    CHOOSE({1;2;3;4;5;6;7;8;9;10;11;12;13;14;15;16;17;18;19;20;21;22;23;24;25;26;27;28;29;30},
     COUNTIFS($T$3:$T$201,$M106)&gt;0,
     COUNTIFS($U$3:$U$201,$M106)&gt;0,
     COUNTIFS($V$3:$V$201,$M106)&gt;0,
     COUNTIFS($W$3:$W$201,$M106)&gt;0,
     COUNTIFS($X$3:$X$201,$M106)&gt;0,
     COUNTIFS($Y$3:$Y$201,$M106)&gt;0,
     COUNTIFS($Z$3:$Z$201,$M106)&gt;0,
     COUNTIFS($AA$3:$AA$201,$M106)&gt;0,
     COUNTIFS($AB$3:$AB$201,$M106)&gt;0,
     COUNTIFS($AC$3:$AC$201,$M106)&gt;0,
     COUNTIFS($AD$3:$AD$201,$M106)&gt;0,
     COUNTIFS($AE$3:$AE$201,$M106)&gt;0,
     COUNTIFS($AF$3:$AF$201,$M106)&gt;0,
     COUNTIFS($AG$3:$AG$201,$M106)&gt;0,
     COUNTIFS($AH$3:$AH$201,$M106)&gt;0,
     COUNTIFS($AI$3:$AI$201,$M106)&gt;0,
     COUNTIFS($AJ$3:$AJ$201,$M106)&gt;0,
     COUNTIFS($AK$3:$AK$201,$M106)&gt;0,
     COUNTIFS($AL$3:$AL$201,$M106)&gt;0,
     COUNTIFS($AM$3:$AM$201,$M106)&gt;0,
     COUNTIFS($AN$3:$AN$201,$M106)&gt;0,
     COUNTIFS($AO$3:$AO$201,$M106)&gt;0,
     COUNTIFS($AP$3:$AP$201,$M106)&gt;0,
     COUNTIFS($AQ$3:$AQ$201,$M106)&gt;0,
     COUNTIFS($AR$3:$AR$201,$M106)&gt;0,
     COUNTIFS($AS$3:$AS$201,$M106)&gt;0,
     COUNTIFS($AT$3:$AT$201,$M106)&gt;0,
     COUNTIFS($AU$3:$AU$201,$M106)&gt;0,
     COUNTIFS($AV$3:$AV$201,$M106)&gt;0,
     COUNTIFS($AW$3:$AW$201,$M106)&gt;0
   )),
  ),
  2
 ),
"")</f>
        <v/>
      </c>
      <c r="Q106" s="3" t="str" cm="1">
        <f t="array" aca="1" ref="Q106" ca="1">IFERROR(
 INDEX(
  _xlfn._xlws.FILTER($T$2:$AW$2,
   TRANSPOSE(
    CHOOSE({1;2;3;4;5;6;7;8;9;10;11;12;13;14;15;16;17;18;19;20;21;22;23;24;25;26;27;28;29;30},
     COUNTIFS($T$3:$T$201,$M106)&gt;0,
     COUNTIFS($U$3:$U$201,$M106)&gt;0,
     COUNTIFS($V$3:$V$201,$M106)&gt;0,
     COUNTIFS($W$3:$W$201,$M106)&gt;0,
     COUNTIFS($X$3:$X$201,$M106)&gt;0,
     COUNTIFS($Y$3:$Y$201,$M106)&gt;0,
     COUNTIFS($Z$3:$Z$201,$M106)&gt;0,
     COUNTIFS($AA$3:$AA$201,$M106)&gt;0,
     COUNTIFS($AB$3:$AB$201,$M106)&gt;0,
     COUNTIFS($AC$3:$AC$201,$M106)&gt;0,
     COUNTIFS($AD$3:$AD$201,$M106)&gt;0,
     COUNTIFS($AE$3:$AE$201,$M106)&gt;0,
     COUNTIFS($AF$3:$AF$201,$M106)&gt;0,
     COUNTIFS($AG$3:$AG$201,$M106)&gt;0,
     COUNTIFS($AH$3:$AH$201,$M106)&gt;0,
     COUNTIFS($AI$3:$AI$201,$M106)&gt;0,
     COUNTIFS($AJ$3:$AJ$201,$M106)&gt;0,
     COUNTIFS($AK$3:$AK$201,$M106)&gt;0,
     COUNTIFS($AL$3:$AL$201,$M106)&gt;0,
     COUNTIFS($AM$3:$AM$201,$M106)&gt;0,
     COUNTIFS($AN$3:$AN$201,$M106)&gt;0,
     COUNTIFS($AO$3:$AO$201,$M106)&gt;0,
     COUNTIFS($AP$3:$AP$201,$M106)&gt;0,
     COUNTIFS($AQ$3:$AQ$201,$M106)&gt;0,
     COUNTIFS($AR$3:$AR$201,$M106)&gt;0,
     COUNTIFS($AS$3:$AS$201,$M106)&gt;0,
     COUNTIFS($AT$3:$AT$201,$M106)&gt;0,
     COUNTIFS($AU$3:$AU$201,$M106)&gt;0,
     COUNTIFS($AV$3:$AV$201,$M106)&gt;0,
     COUNTIFS($AW$3:$AW$201,$M106)&gt;0
   )),
  ),
  3
 ),
"")</f>
        <v/>
      </c>
      <c r="R106" s="3" t="str" cm="1">
        <f t="array" aca="1" ref="R106" ca="1">IFERROR(
 INDEX(
  _xlfn._xlws.FILTER($T$2:$AW$2,
   TRANSPOSE(
    CHOOSE({1;2;3;4;5;6;7;8;9;10;11;12;13;14;15;16;17;18;19;20;21;22;23;24;25;26;27;28;29;30},
     COUNTIFS($T$3:$T$201,$M106)&gt;0,
     COUNTIFS($U$3:$U$201,$M106)&gt;0,
     COUNTIFS($V$3:$V$201,$M106)&gt;0,
     COUNTIFS($W$3:$W$201,$M106)&gt;0,
     COUNTIFS($X$3:$X$201,$M106)&gt;0,
     COUNTIFS($Y$3:$Y$201,$M106)&gt;0,
     COUNTIFS($Z$3:$Z$201,$M106)&gt;0,
     COUNTIFS($AA$3:$AA$201,$M106)&gt;0,
     COUNTIFS($AB$3:$AB$201,$M106)&gt;0,
     COUNTIFS($AC$3:$AC$201,$M106)&gt;0,
     COUNTIFS($AD$3:$AD$201,$M106)&gt;0,
     COUNTIFS($AE$3:$AE$201,$M106)&gt;0,
     COUNTIFS($AF$3:$AF$201,$M106)&gt;0,
     COUNTIFS($AG$3:$AG$201,$M106)&gt;0,
     COUNTIFS($AH$3:$AH$201,$M106)&gt;0,
     COUNTIFS($AI$3:$AI$201,$M106)&gt;0,
     COUNTIFS($AJ$3:$AJ$201,$M106)&gt;0,
     COUNTIFS($AK$3:$AK$201,$M106)&gt;0,
     COUNTIFS($AL$3:$AL$201,$M106)&gt;0,
     COUNTIFS($AM$3:$AM$201,$M106)&gt;0,
     COUNTIFS($AN$3:$AN$201,$M106)&gt;0,
     COUNTIFS($AO$3:$AO$201,$M106)&gt;0,
     COUNTIFS($AP$3:$AP$201,$M106)&gt;0,
     COUNTIFS($AQ$3:$AQ$201,$M106)&gt;0,
     COUNTIFS($AR$3:$AR$201,$M106)&gt;0,
     COUNTIFS($AS$3:$AS$201,$M106)&gt;0,
     COUNTIFS($AT$3:$AT$201,$M106)&gt;0,
     COUNTIFS($AU$3:$AU$201,$M106)&gt;0,
     COUNTIFS($AV$3:$AV$201,$M106)&gt;0,
     COUNTIFS($AW$3:$AW$201,$M106)&gt;0
   )),
  ),
  4
 ),
"")</f>
        <v/>
      </c>
      <c r="CA106" t="str">
        <f ca="1"/>
        <v>Rite of the Raging Storm</v>
      </c>
      <c r="CF106" t="str">
        <f ca="1"/>
        <v>Loxodon Warhammer</v>
      </c>
      <c r="CI106" t="str">
        <f ca="1"/>
        <v>Ginete Bronco Exaltado</v>
      </c>
    </row>
    <row r="107" spans="1:87" x14ac:dyDescent="0.25">
      <c r="A107" t="str">
        <f ca="1"/>
        <v>Giver of Runes</v>
      </c>
      <c r="B107" s="3" t="str" cm="1">
        <f t="array" aca="1" ref="B107" ca="1">_xlfn.ANCHORARRAY(RESUMO!C106)</f>
        <v>Carlos</v>
      </c>
      <c r="C107" s="3" t="str">
        <f t="shared" ca="1" si="4"/>
        <v/>
      </c>
      <c r="E107" t="str">
        <f ca="1"/>
        <v>Gleba Gruul</v>
      </c>
      <c r="F107" s="3">
        <f t="shared" ca="1" si="5"/>
        <v>1</v>
      </c>
      <c r="G107" s="3" t="str">
        <f t="shared" ca="1" si="6"/>
        <v>Baylen</v>
      </c>
      <c r="M107" t="str">
        <f ca="1"/>
        <v>Gleba Gruul</v>
      </c>
      <c r="N107" s="3">
        <f t="shared" ca="1" si="7"/>
        <v>1</v>
      </c>
      <c r="O107" s="3" t="str">
        <f ca="1">IFERROR(
 INDEX($T$2:$AW$2,
  MATCH(TRUE,
   CHOOSE({1;2;3;4;5;6;7;8;9;10;11;12;13;14;15;16;17;18;19;20;21;22;23;24;25;26;27;28;29;30;31;32},
    COUNTIFS($T$3:$T$201,$M107)&gt;0,
    COUNTIFS($U$3:$U$201,$M107)&gt;0,
    COUNTIFS($V$3:$V$201,$M107)&gt;0,
    COUNTIFS($W$3:$W$201,$M107)&gt;0,
    COUNTIFS($X$3:$X$201,$M107)&gt;0,
    COUNTIFS($Y$3:$Y$201,$M107)&gt;0,
    COUNTIFS($Z$3:$Z$201,$M107)&gt;0,
    COUNTIFS($AA$3:$AA$201,$M107)&gt;0,
    COUNTIFS($AB$3:$AB$201,$M107)&gt;0,
    COUNTIFS($AC$3:$AC$201,$M107)&gt;0,
    COUNTIFS($AD$3:$AD$201,$M107)&gt;0,
    COUNTIFS($AE$3:$AE$201,$M107)&gt;0,
    COUNTIFS($AF$3:$AF$201,$M107)&gt;0,
    COUNTIFS($AG$3:$AG$201,$M107)&gt;0,
    COUNTIFS($AH$3:$AH$201,$M107)&gt;0,
    COUNTIFS($AI$3:$AI$201,$M107)&gt;0,
    COUNTIFS($AJ$3:$AJ$201,$M107)&gt;0,
    COUNTIFS($AK$3:$AK$201,$M107)&gt;0,
    COUNTIFS($AL$3:$AL$201,$M107)&gt;0,
    COUNTIFS($AM$3:$AM$201,$M107)&gt;0,
    COUNTIFS($AN$3:$AN$201,$M107)&gt;0,
    COUNTIFS($AO$3:$AO$201,$M107)&gt;0,
    COUNTIFS($AP$3:$AP$201,$M107)&gt;0,
    COUNTIFS($AQ$3:$AQ$201,$M107)&gt;0,
    COUNTIFS($AR$3:$AR$201,$M107)&gt;0,
    COUNTIFS($AS$3:$AS$201,$M107)&gt;0,
    COUNTIFS($AT$3:$AT$201,$M107)&gt;0,
    COUNTIFS($AU$3:$AU$201,$M107)&gt;0,
    COUNTIFS($AV$3:$AV$201,$M107)&gt;0,
    COUNTIFS($AW$3:$AW$201,$M107)&gt;0
   ),
  0)
 ),
"")</f>
        <v>Baylen</v>
      </c>
      <c r="P107" s="3" t="str" cm="1">
        <f t="array" aca="1" ref="P107" ca="1">IFERROR(
 INDEX(
  _xlfn._xlws.FILTER($T$2:$AW$2,
   TRANSPOSE(
    CHOOSE({1;2;3;4;5;6;7;8;9;10;11;12;13;14;15;16;17;18;19;20;21;22;23;24;25;26;27;28;29;30},
     COUNTIFS($T$3:$T$201,$M107)&gt;0,
     COUNTIFS($U$3:$U$201,$M107)&gt;0,
     COUNTIFS($V$3:$V$201,$M107)&gt;0,
     COUNTIFS($W$3:$W$201,$M107)&gt;0,
     COUNTIFS($X$3:$X$201,$M107)&gt;0,
     COUNTIFS($Y$3:$Y$201,$M107)&gt;0,
     COUNTIFS($Z$3:$Z$201,$M107)&gt;0,
     COUNTIFS($AA$3:$AA$201,$M107)&gt;0,
     COUNTIFS($AB$3:$AB$201,$M107)&gt;0,
     COUNTIFS($AC$3:$AC$201,$M107)&gt;0,
     COUNTIFS($AD$3:$AD$201,$M107)&gt;0,
     COUNTIFS($AE$3:$AE$201,$M107)&gt;0,
     COUNTIFS($AF$3:$AF$201,$M107)&gt;0,
     COUNTIFS($AG$3:$AG$201,$M107)&gt;0,
     COUNTIFS($AH$3:$AH$201,$M107)&gt;0,
     COUNTIFS($AI$3:$AI$201,$M107)&gt;0,
     COUNTIFS($AJ$3:$AJ$201,$M107)&gt;0,
     COUNTIFS($AK$3:$AK$201,$M107)&gt;0,
     COUNTIFS($AL$3:$AL$201,$M107)&gt;0,
     COUNTIFS($AM$3:$AM$201,$M107)&gt;0,
     COUNTIFS($AN$3:$AN$201,$M107)&gt;0,
     COUNTIFS($AO$3:$AO$201,$M107)&gt;0,
     COUNTIFS($AP$3:$AP$201,$M107)&gt;0,
     COUNTIFS($AQ$3:$AQ$201,$M107)&gt;0,
     COUNTIFS($AR$3:$AR$201,$M107)&gt;0,
     COUNTIFS($AS$3:$AS$201,$M107)&gt;0,
     COUNTIFS($AT$3:$AT$201,$M107)&gt;0,
     COUNTIFS($AU$3:$AU$201,$M107)&gt;0,
     COUNTIFS($AV$3:$AV$201,$M107)&gt;0,
     COUNTIFS($AW$3:$AW$201,$M107)&gt;0
   )),
  ),
  2
 ),
"")</f>
        <v/>
      </c>
      <c r="Q107" s="3" t="str" cm="1">
        <f t="array" aca="1" ref="Q107" ca="1">IFERROR(
 INDEX(
  _xlfn._xlws.FILTER($T$2:$AW$2,
   TRANSPOSE(
    CHOOSE({1;2;3;4;5;6;7;8;9;10;11;12;13;14;15;16;17;18;19;20;21;22;23;24;25;26;27;28;29;30},
     COUNTIFS($T$3:$T$201,$M107)&gt;0,
     COUNTIFS($U$3:$U$201,$M107)&gt;0,
     COUNTIFS($V$3:$V$201,$M107)&gt;0,
     COUNTIFS($W$3:$W$201,$M107)&gt;0,
     COUNTIFS($X$3:$X$201,$M107)&gt;0,
     COUNTIFS($Y$3:$Y$201,$M107)&gt;0,
     COUNTIFS($Z$3:$Z$201,$M107)&gt;0,
     COUNTIFS($AA$3:$AA$201,$M107)&gt;0,
     COUNTIFS($AB$3:$AB$201,$M107)&gt;0,
     COUNTIFS($AC$3:$AC$201,$M107)&gt;0,
     COUNTIFS($AD$3:$AD$201,$M107)&gt;0,
     COUNTIFS($AE$3:$AE$201,$M107)&gt;0,
     COUNTIFS($AF$3:$AF$201,$M107)&gt;0,
     COUNTIFS($AG$3:$AG$201,$M107)&gt;0,
     COUNTIFS($AH$3:$AH$201,$M107)&gt;0,
     COUNTIFS($AI$3:$AI$201,$M107)&gt;0,
     COUNTIFS($AJ$3:$AJ$201,$M107)&gt;0,
     COUNTIFS($AK$3:$AK$201,$M107)&gt;0,
     COUNTIFS($AL$3:$AL$201,$M107)&gt;0,
     COUNTIFS($AM$3:$AM$201,$M107)&gt;0,
     COUNTIFS($AN$3:$AN$201,$M107)&gt;0,
     COUNTIFS($AO$3:$AO$201,$M107)&gt;0,
     COUNTIFS($AP$3:$AP$201,$M107)&gt;0,
     COUNTIFS($AQ$3:$AQ$201,$M107)&gt;0,
     COUNTIFS($AR$3:$AR$201,$M107)&gt;0,
     COUNTIFS($AS$3:$AS$201,$M107)&gt;0,
     COUNTIFS($AT$3:$AT$201,$M107)&gt;0,
     COUNTIFS($AU$3:$AU$201,$M107)&gt;0,
     COUNTIFS($AV$3:$AV$201,$M107)&gt;0,
     COUNTIFS($AW$3:$AW$201,$M107)&gt;0
   )),
  ),
  3
 ),
"")</f>
        <v/>
      </c>
      <c r="R107" s="3" t="str" cm="1">
        <f t="array" aca="1" ref="R107" ca="1">IFERROR(
 INDEX(
  _xlfn._xlws.FILTER($T$2:$AW$2,
   TRANSPOSE(
    CHOOSE({1;2;3;4;5;6;7;8;9;10;11;12;13;14;15;16;17;18;19;20;21;22;23;24;25;26;27;28;29;30},
     COUNTIFS($T$3:$T$201,$M107)&gt;0,
     COUNTIFS($U$3:$U$201,$M107)&gt;0,
     COUNTIFS($V$3:$V$201,$M107)&gt;0,
     COUNTIFS($W$3:$W$201,$M107)&gt;0,
     COUNTIFS($X$3:$X$201,$M107)&gt;0,
     COUNTIFS($Y$3:$Y$201,$M107)&gt;0,
     COUNTIFS($Z$3:$Z$201,$M107)&gt;0,
     COUNTIFS($AA$3:$AA$201,$M107)&gt;0,
     COUNTIFS($AB$3:$AB$201,$M107)&gt;0,
     COUNTIFS($AC$3:$AC$201,$M107)&gt;0,
     COUNTIFS($AD$3:$AD$201,$M107)&gt;0,
     COUNTIFS($AE$3:$AE$201,$M107)&gt;0,
     COUNTIFS($AF$3:$AF$201,$M107)&gt;0,
     COUNTIFS($AG$3:$AG$201,$M107)&gt;0,
     COUNTIFS($AH$3:$AH$201,$M107)&gt;0,
     COUNTIFS($AI$3:$AI$201,$M107)&gt;0,
     COUNTIFS($AJ$3:$AJ$201,$M107)&gt;0,
     COUNTIFS($AK$3:$AK$201,$M107)&gt;0,
     COUNTIFS($AL$3:$AL$201,$M107)&gt;0,
     COUNTIFS($AM$3:$AM$201,$M107)&gt;0,
     COUNTIFS($AN$3:$AN$201,$M107)&gt;0,
     COUNTIFS($AO$3:$AO$201,$M107)&gt;0,
     COUNTIFS($AP$3:$AP$201,$M107)&gt;0,
     COUNTIFS($AQ$3:$AQ$201,$M107)&gt;0,
     COUNTIFS($AR$3:$AR$201,$M107)&gt;0,
     COUNTIFS($AS$3:$AS$201,$M107)&gt;0,
     COUNTIFS($AT$3:$AT$201,$M107)&gt;0,
     COUNTIFS($AU$3:$AU$201,$M107)&gt;0,
     COUNTIFS($AV$3:$AV$201,$M107)&gt;0,
     COUNTIFS($AW$3:$AW$201,$M107)&gt;0
   )),
  ),
  4
 ),
"")</f>
        <v/>
      </c>
      <c r="CA107" t="str">
        <f ca="1"/>
        <v>Rumor Gatherer</v>
      </c>
      <c r="CF107" t="str">
        <f ca="1"/>
        <v>Mascara da Longevisão</v>
      </c>
      <c r="CI107" t="str">
        <f ca="1"/>
        <v>Gleba Gruul</v>
      </c>
    </row>
    <row r="108" spans="1:87" x14ac:dyDescent="0.25">
      <c r="A108" t="str">
        <f ca="1"/>
        <v>Glasspool Mimic</v>
      </c>
      <c r="B108" s="3" t="str" cm="1">
        <f t="array" aca="1" ref="B108" ca="1">_xlfn.ANCHORARRAY(RESUMO!C107)</f>
        <v>Inalla</v>
      </c>
      <c r="C108" s="3" t="str">
        <f t="shared" ca="1" si="4"/>
        <v/>
      </c>
      <c r="E108" t="str">
        <f ca="1"/>
        <v>Glimmer Lens</v>
      </c>
      <c r="F108" s="3">
        <f t="shared" ca="1" si="5"/>
        <v>1</v>
      </c>
      <c r="G108" s="3" t="str">
        <f t="shared" ca="1" si="6"/>
        <v>Akiri</v>
      </c>
      <c r="M108" t="str">
        <f ca="1"/>
        <v>Glimmer Lens</v>
      </c>
      <c r="N108" s="3">
        <f t="shared" ca="1" si="7"/>
        <v>1</v>
      </c>
      <c r="O108" s="3" t="str">
        <f ca="1">IFERROR(
 INDEX($T$2:$AW$2,
  MATCH(TRUE,
   CHOOSE({1;2;3;4;5;6;7;8;9;10;11;12;13;14;15;16;17;18;19;20;21;22;23;24;25;26;27;28;29;30;31;32},
    COUNTIFS($T$3:$T$201,$M108)&gt;0,
    COUNTIFS($U$3:$U$201,$M108)&gt;0,
    COUNTIFS($V$3:$V$201,$M108)&gt;0,
    COUNTIFS($W$3:$W$201,$M108)&gt;0,
    COUNTIFS($X$3:$X$201,$M108)&gt;0,
    COUNTIFS($Y$3:$Y$201,$M108)&gt;0,
    COUNTIFS($Z$3:$Z$201,$M108)&gt;0,
    COUNTIFS($AA$3:$AA$201,$M108)&gt;0,
    COUNTIFS($AB$3:$AB$201,$M108)&gt;0,
    COUNTIFS($AC$3:$AC$201,$M108)&gt;0,
    COUNTIFS($AD$3:$AD$201,$M108)&gt;0,
    COUNTIFS($AE$3:$AE$201,$M108)&gt;0,
    COUNTIFS($AF$3:$AF$201,$M108)&gt;0,
    COUNTIFS($AG$3:$AG$201,$M108)&gt;0,
    COUNTIFS($AH$3:$AH$201,$M108)&gt;0,
    COUNTIFS($AI$3:$AI$201,$M108)&gt;0,
    COUNTIFS($AJ$3:$AJ$201,$M108)&gt;0,
    COUNTIFS($AK$3:$AK$201,$M108)&gt;0,
    COUNTIFS($AL$3:$AL$201,$M108)&gt;0,
    COUNTIFS($AM$3:$AM$201,$M108)&gt;0,
    COUNTIFS($AN$3:$AN$201,$M108)&gt;0,
    COUNTIFS($AO$3:$AO$201,$M108)&gt;0,
    COUNTIFS($AP$3:$AP$201,$M108)&gt;0,
    COUNTIFS($AQ$3:$AQ$201,$M108)&gt;0,
    COUNTIFS($AR$3:$AR$201,$M108)&gt;0,
    COUNTIFS($AS$3:$AS$201,$M108)&gt;0,
    COUNTIFS($AT$3:$AT$201,$M108)&gt;0,
    COUNTIFS($AU$3:$AU$201,$M108)&gt;0,
    COUNTIFS($AV$3:$AV$201,$M108)&gt;0,
    COUNTIFS($AW$3:$AW$201,$M108)&gt;0
   ),
  0)
 ),
"")</f>
        <v>Akiri</v>
      </c>
      <c r="P108" s="3" t="str" cm="1">
        <f t="array" aca="1" ref="P108" ca="1">IFERROR(
 INDEX(
  _xlfn._xlws.FILTER($T$2:$AW$2,
   TRANSPOSE(
    CHOOSE({1;2;3;4;5;6;7;8;9;10;11;12;13;14;15;16;17;18;19;20;21;22;23;24;25;26;27;28;29;30},
     COUNTIFS($T$3:$T$201,$M108)&gt;0,
     COUNTIFS($U$3:$U$201,$M108)&gt;0,
     COUNTIFS($V$3:$V$201,$M108)&gt;0,
     COUNTIFS($W$3:$W$201,$M108)&gt;0,
     COUNTIFS($X$3:$X$201,$M108)&gt;0,
     COUNTIFS($Y$3:$Y$201,$M108)&gt;0,
     COUNTIFS($Z$3:$Z$201,$M108)&gt;0,
     COUNTIFS($AA$3:$AA$201,$M108)&gt;0,
     COUNTIFS($AB$3:$AB$201,$M108)&gt;0,
     COUNTIFS($AC$3:$AC$201,$M108)&gt;0,
     COUNTIFS($AD$3:$AD$201,$M108)&gt;0,
     COUNTIFS($AE$3:$AE$201,$M108)&gt;0,
     COUNTIFS($AF$3:$AF$201,$M108)&gt;0,
     COUNTIFS($AG$3:$AG$201,$M108)&gt;0,
     COUNTIFS($AH$3:$AH$201,$M108)&gt;0,
     COUNTIFS($AI$3:$AI$201,$M108)&gt;0,
     COUNTIFS($AJ$3:$AJ$201,$M108)&gt;0,
     COUNTIFS($AK$3:$AK$201,$M108)&gt;0,
     COUNTIFS($AL$3:$AL$201,$M108)&gt;0,
     COUNTIFS($AM$3:$AM$201,$M108)&gt;0,
     COUNTIFS($AN$3:$AN$201,$M108)&gt;0,
     COUNTIFS($AO$3:$AO$201,$M108)&gt;0,
     COUNTIFS($AP$3:$AP$201,$M108)&gt;0,
     COUNTIFS($AQ$3:$AQ$201,$M108)&gt;0,
     COUNTIFS($AR$3:$AR$201,$M108)&gt;0,
     COUNTIFS($AS$3:$AS$201,$M108)&gt;0,
     COUNTIFS($AT$3:$AT$201,$M108)&gt;0,
     COUNTIFS($AU$3:$AU$201,$M108)&gt;0,
     COUNTIFS($AV$3:$AV$201,$M108)&gt;0,
     COUNTIFS($AW$3:$AW$201,$M108)&gt;0
   )),
  ),
  2
 ),
"")</f>
        <v/>
      </c>
      <c r="Q108" s="3" t="str" cm="1">
        <f t="array" aca="1" ref="Q108" ca="1">IFERROR(
 INDEX(
  _xlfn._xlws.FILTER($T$2:$AW$2,
   TRANSPOSE(
    CHOOSE({1;2;3;4;5;6;7;8;9;10;11;12;13;14;15;16;17;18;19;20;21;22;23;24;25;26;27;28;29;30},
     COUNTIFS($T$3:$T$201,$M108)&gt;0,
     COUNTIFS($U$3:$U$201,$M108)&gt;0,
     COUNTIFS($V$3:$V$201,$M108)&gt;0,
     COUNTIFS($W$3:$W$201,$M108)&gt;0,
     COUNTIFS($X$3:$X$201,$M108)&gt;0,
     COUNTIFS($Y$3:$Y$201,$M108)&gt;0,
     COUNTIFS($Z$3:$Z$201,$M108)&gt;0,
     COUNTIFS($AA$3:$AA$201,$M108)&gt;0,
     COUNTIFS($AB$3:$AB$201,$M108)&gt;0,
     COUNTIFS($AC$3:$AC$201,$M108)&gt;0,
     COUNTIFS($AD$3:$AD$201,$M108)&gt;0,
     COUNTIFS($AE$3:$AE$201,$M108)&gt;0,
     COUNTIFS($AF$3:$AF$201,$M108)&gt;0,
     COUNTIFS($AG$3:$AG$201,$M108)&gt;0,
     COUNTIFS($AH$3:$AH$201,$M108)&gt;0,
     COUNTIFS($AI$3:$AI$201,$M108)&gt;0,
     COUNTIFS($AJ$3:$AJ$201,$M108)&gt;0,
     COUNTIFS($AK$3:$AK$201,$M108)&gt;0,
     COUNTIFS($AL$3:$AL$201,$M108)&gt;0,
     COUNTIFS($AM$3:$AM$201,$M108)&gt;0,
     COUNTIFS($AN$3:$AN$201,$M108)&gt;0,
     COUNTIFS($AO$3:$AO$201,$M108)&gt;0,
     COUNTIFS($AP$3:$AP$201,$M108)&gt;0,
     COUNTIFS($AQ$3:$AQ$201,$M108)&gt;0,
     COUNTIFS($AR$3:$AR$201,$M108)&gt;0,
     COUNTIFS($AS$3:$AS$201,$M108)&gt;0,
     COUNTIFS($AT$3:$AT$201,$M108)&gt;0,
     COUNTIFS($AU$3:$AU$201,$M108)&gt;0,
     COUNTIFS($AV$3:$AV$201,$M108)&gt;0,
     COUNTIFS($AW$3:$AW$201,$M108)&gt;0
   )),
  ),
  3
 ),
"")</f>
        <v/>
      </c>
      <c r="R108" s="3" t="str" cm="1">
        <f t="array" aca="1" ref="R108" ca="1">IFERROR(
 INDEX(
  _xlfn._xlws.FILTER($T$2:$AW$2,
   TRANSPOSE(
    CHOOSE({1;2;3;4;5;6;7;8;9;10;11;12;13;14;15;16;17;18;19;20;21;22;23;24;25;26;27;28;29;30},
     COUNTIFS($T$3:$T$201,$M108)&gt;0,
     COUNTIFS($U$3:$U$201,$M108)&gt;0,
     COUNTIFS($V$3:$V$201,$M108)&gt;0,
     COUNTIFS($W$3:$W$201,$M108)&gt;0,
     COUNTIFS($X$3:$X$201,$M108)&gt;0,
     COUNTIFS($Y$3:$Y$201,$M108)&gt;0,
     COUNTIFS($Z$3:$Z$201,$M108)&gt;0,
     COUNTIFS($AA$3:$AA$201,$M108)&gt;0,
     COUNTIFS($AB$3:$AB$201,$M108)&gt;0,
     COUNTIFS($AC$3:$AC$201,$M108)&gt;0,
     COUNTIFS($AD$3:$AD$201,$M108)&gt;0,
     COUNTIFS($AE$3:$AE$201,$M108)&gt;0,
     COUNTIFS($AF$3:$AF$201,$M108)&gt;0,
     COUNTIFS($AG$3:$AG$201,$M108)&gt;0,
     COUNTIFS($AH$3:$AH$201,$M108)&gt;0,
     COUNTIFS($AI$3:$AI$201,$M108)&gt;0,
     COUNTIFS($AJ$3:$AJ$201,$M108)&gt;0,
     COUNTIFS($AK$3:$AK$201,$M108)&gt;0,
     COUNTIFS($AL$3:$AL$201,$M108)&gt;0,
     COUNTIFS($AM$3:$AM$201,$M108)&gt;0,
     COUNTIFS($AN$3:$AN$201,$M108)&gt;0,
     COUNTIFS($AO$3:$AO$201,$M108)&gt;0,
     COUNTIFS($AP$3:$AP$201,$M108)&gt;0,
     COUNTIFS($AQ$3:$AQ$201,$M108)&gt;0,
     COUNTIFS($AR$3:$AR$201,$M108)&gt;0,
     COUNTIFS($AS$3:$AS$201,$M108)&gt;0,
     COUNTIFS($AT$3:$AT$201,$M108)&gt;0,
     COUNTIFS($AU$3:$AU$201,$M108)&gt;0,
     COUNTIFS($AV$3:$AV$201,$M108)&gt;0,
     COUNTIFS($AW$3:$AW$201,$M108)&gt;0
   )),
  ),
  4
 ),
"")</f>
        <v/>
      </c>
      <c r="CA108" t="str">
        <f ca="1"/>
        <v>Saciar</v>
      </c>
      <c r="CF108" t="str">
        <f ca="1"/>
        <v>Master of Death</v>
      </c>
      <c r="CI108" t="str">
        <f ca="1"/>
        <v>Glimmer Lens</v>
      </c>
    </row>
    <row r="109" spans="1:87" x14ac:dyDescent="0.25">
      <c r="A109" t="str">
        <f ca="1"/>
        <v>Glint-Horn Buccaneer</v>
      </c>
      <c r="B109" s="3" t="str" cm="1">
        <f t="array" aca="1" ref="B109" ca="1">_xlfn.ANCHORARRAY(RESUMO!C108)</f>
        <v>Piratas</v>
      </c>
      <c r="C109" s="3" t="str">
        <f t="shared" ca="1" si="4"/>
        <v/>
      </c>
      <c r="E109" t="str">
        <f ca="1"/>
        <v>Goblin Bombardment</v>
      </c>
      <c r="F109" s="3">
        <f t="shared" ca="1" si="5"/>
        <v>1</v>
      </c>
      <c r="G109" s="3" t="str">
        <f t="shared" ca="1" si="6"/>
        <v>Baylen</v>
      </c>
      <c r="M109" t="str">
        <f ca="1"/>
        <v>Goblin Bombardment</v>
      </c>
      <c r="N109" s="3">
        <f t="shared" ca="1" si="7"/>
        <v>1</v>
      </c>
      <c r="O109" s="3" t="str">
        <f ca="1">IFERROR(
 INDEX($T$2:$AW$2,
  MATCH(TRUE,
   CHOOSE({1;2;3;4;5;6;7;8;9;10;11;12;13;14;15;16;17;18;19;20;21;22;23;24;25;26;27;28;29;30;31;32},
    COUNTIFS($T$3:$T$201,$M109)&gt;0,
    COUNTIFS($U$3:$U$201,$M109)&gt;0,
    COUNTIFS($V$3:$V$201,$M109)&gt;0,
    COUNTIFS($W$3:$W$201,$M109)&gt;0,
    COUNTIFS($X$3:$X$201,$M109)&gt;0,
    COUNTIFS($Y$3:$Y$201,$M109)&gt;0,
    COUNTIFS($Z$3:$Z$201,$M109)&gt;0,
    COUNTIFS($AA$3:$AA$201,$M109)&gt;0,
    COUNTIFS($AB$3:$AB$201,$M109)&gt;0,
    COUNTIFS($AC$3:$AC$201,$M109)&gt;0,
    COUNTIFS($AD$3:$AD$201,$M109)&gt;0,
    COUNTIFS($AE$3:$AE$201,$M109)&gt;0,
    COUNTIFS($AF$3:$AF$201,$M109)&gt;0,
    COUNTIFS($AG$3:$AG$201,$M109)&gt;0,
    COUNTIFS($AH$3:$AH$201,$M109)&gt;0,
    COUNTIFS($AI$3:$AI$201,$M109)&gt;0,
    COUNTIFS($AJ$3:$AJ$201,$M109)&gt;0,
    COUNTIFS($AK$3:$AK$201,$M109)&gt;0,
    COUNTIFS($AL$3:$AL$201,$M109)&gt;0,
    COUNTIFS($AM$3:$AM$201,$M109)&gt;0,
    COUNTIFS($AN$3:$AN$201,$M109)&gt;0,
    COUNTIFS($AO$3:$AO$201,$M109)&gt;0,
    COUNTIFS($AP$3:$AP$201,$M109)&gt;0,
    COUNTIFS($AQ$3:$AQ$201,$M109)&gt;0,
    COUNTIFS($AR$3:$AR$201,$M109)&gt;0,
    COUNTIFS($AS$3:$AS$201,$M109)&gt;0,
    COUNTIFS($AT$3:$AT$201,$M109)&gt;0,
    COUNTIFS($AU$3:$AU$201,$M109)&gt;0,
    COUNTIFS($AV$3:$AV$201,$M109)&gt;0,
    COUNTIFS($AW$3:$AW$201,$M109)&gt;0
   ),
  0)
 ),
"")</f>
        <v>Baylen</v>
      </c>
      <c r="P109" s="3" t="str" cm="1">
        <f t="array" aca="1" ref="P109" ca="1">IFERROR(
 INDEX(
  _xlfn._xlws.FILTER($T$2:$AW$2,
   TRANSPOSE(
    CHOOSE({1;2;3;4;5;6;7;8;9;10;11;12;13;14;15;16;17;18;19;20;21;22;23;24;25;26;27;28;29;30},
     COUNTIFS($T$3:$T$201,$M109)&gt;0,
     COUNTIFS($U$3:$U$201,$M109)&gt;0,
     COUNTIFS($V$3:$V$201,$M109)&gt;0,
     COUNTIFS($W$3:$W$201,$M109)&gt;0,
     COUNTIFS($X$3:$X$201,$M109)&gt;0,
     COUNTIFS($Y$3:$Y$201,$M109)&gt;0,
     COUNTIFS($Z$3:$Z$201,$M109)&gt;0,
     COUNTIFS($AA$3:$AA$201,$M109)&gt;0,
     COUNTIFS($AB$3:$AB$201,$M109)&gt;0,
     COUNTIFS($AC$3:$AC$201,$M109)&gt;0,
     COUNTIFS($AD$3:$AD$201,$M109)&gt;0,
     COUNTIFS($AE$3:$AE$201,$M109)&gt;0,
     COUNTIFS($AF$3:$AF$201,$M109)&gt;0,
     COUNTIFS($AG$3:$AG$201,$M109)&gt;0,
     COUNTIFS($AH$3:$AH$201,$M109)&gt;0,
     COUNTIFS($AI$3:$AI$201,$M109)&gt;0,
     COUNTIFS($AJ$3:$AJ$201,$M109)&gt;0,
     COUNTIFS($AK$3:$AK$201,$M109)&gt;0,
     COUNTIFS($AL$3:$AL$201,$M109)&gt;0,
     COUNTIFS($AM$3:$AM$201,$M109)&gt;0,
     COUNTIFS($AN$3:$AN$201,$M109)&gt;0,
     COUNTIFS($AO$3:$AO$201,$M109)&gt;0,
     COUNTIFS($AP$3:$AP$201,$M109)&gt;0,
     COUNTIFS($AQ$3:$AQ$201,$M109)&gt;0,
     COUNTIFS($AR$3:$AR$201,$M109)&gt;0,
     COUNTIFS($AS$3:$AS$201,$M109)&gt;0,
     COUNTIFS($AT$3:$AT$201,$M109)&gt;0,
     COUNTIFS($AU$3:$AU$201,$M109)&gt;0,
     COUNTIFS($AV$3:$AV$201,$M109)&gt;0,
     COUNTIFS($AW$3:$AW$201,$M109)&gt;0
   )),
  ),
  2
 ),
"")</f>
        <v/>
      </c>
      <c r="Q109" s="3" t="str" cm="1">
        <f t="array" aca="1" ref="Q109" ca="1">IFERROR(
 INDEX(
  _xlfn._xlws.FILTER($T$2:$AW$2,
   TRANSPOSE(
    CHOOSE({1;2;3;4;5;6;7;8;9;10;11;12;13;14;15;16;17;18;19;20;21;22;23;24;25;26;27;28;29;30},
     COUNTIFS($T$3:$T$201,$M109)&gt;0,
     COUNTIFS($U$3:$U$201,$M109)&gt;0,
     COUNTIFS($V$3:$V$201,$M109)&gt;0,
     COUNTIFS($W$3:$W$201,$M109)&gt;0,
     COUNTIFS($X$3:$X$201,$M109)&gt;0,
     COUNTIFS($Y$3:$Y$201,$M109)&gt;0,
     COUNTIFS($Z$3:$Z$201,$M109)&gt;0,
     COUNTIFS($AA$3:$AA$201,$M109)&gt;0,
     COUNTIFS($AB$3:$AB$201,$M109)&gt;0,
     COUNTIFS($AC$3:$AC$201,$M109)&gt;0,
     COUNTIFS($AD$3:$AD$201,$M109)&gt;0,
     COUNTIFS($AE$3:$AE$201,$M109)&gt;0,
     COUNTIFS($AF$3:$AF$201,$M109)&gt;0,
     COUNTIFS($AG$3:$AG$201,$M109)&gt;0,
     COUNTIFS($AH$3:$AH$201,$M109)&gt;0,
     COUNTIFS($AI$3:$AI$201,$M109)&gt;0,
     COUNTIFS($AJ$3:$AJ$201,$M109)&gt;0,
     COUNTIFS($AK$3:$AK$201,$M109)&gt;0,
     COUNTIFS($AL$3:$AL$201,$M109)&gt;0,
     COUNTIFS($AM$3:$AM$201,$M109)&gt;0,
     COUNTIFS($AN$3:$AN$201,$M109)&gt;0,
     COUNTIFS($AO$3:$AO$201,$M109)&gt;0,
     COUNTIFS($AP$3:$AP$201,$M109)&gt;0,
     COUNTIFS($AQ$3:$AQ$201,$M109)&gt;0,
     COUNTIFS($AR$3:$AR$201,$M109)&gt;0,
     COUNTIFS($AS$3:$AS$201,$M109)&gt;0,
     COUNTIFS($AT$3:$AT$201,$M109)&gt;0,
     COUNTIFS($AU$3:$AU$201,$M109)&gt;0,
     COUNTIFS($AV$3:$AV$201,$M109)&gt;0,
     COUNTIFS($AW$3:$AW$201,$M109)&gt;0
   )),
  ),
  3
 ),
"")</f>
        <v/>
      </c>
      <c r="R109" s="3" t="str" cm="1">
        <f t="array" aca="1" ref="R109" ca="1">IFERROR(
 INDEX(
  _xlfn._xlws.FILTER($T$2:$AW$2,
   TRANSPOSE(
    CHOOSE({1;2;3;4;5;6;7;8;9;10;11;12;13;14;15;16;17;18;19;20;21;22;23;24;25;26;27;28;29;30},
     COUNTIFS($T$3:$T$201,$M109)&gt;0,
     COUNTIFS($U$3:$U$201,$M109)&gt;0,
     COUNTIFS($V$3:$V$201,$M109)&gt;0,
     COUNTIFS($W$3:$W$201,$M109)&gt;0,
     COUNTIFS($X$3:$X$201,$M109)&gt;0,
     COUNTIFS($Y$3:$Y$201,$M109)&gt;0,
     COUNTIFS($Z$3:$Z$201,$M109)&gt;0,
     COUNTIFS($AA$3:$AA$201,$M109)&gt;0,
     COUNTIFS($AB$3:$AB$201,$M109)&gt;0,
     COUNTIFS($AC$3:$AC$201,$M109)&gt;0,
     COUNTIFS($AD$3:$AD$201,$M109)&gt;0,
     COUNTIFS($AE$3:$AE$201,$M109)&gt;0,
     COUNTIFS($AF$3:$AF$201,$M109)&gt;0,
     COUNTIFS($AG$3:$AG$201,$M109)&gt;0,
     COUNTIFS($AH$3:$AH$201,$M109)&gt;0,
     COUNTIFS($AI$3:$AI$201,$M109)&gt;0,
     COUNTIFS($AJ$3:$AJ$201,$M109)&gt;0,
     COUNTIFS($AK$3:$AK$201,$M109)&gt;0,
     COUNTIFS($AL$3:$AL$201,$M109)&gt;0,
     COUNTIFS($AM$3:$AM$201,$M109)&gt;0,
     COUNTIFS($AN$3:$AN$201,$M109)&gt;0,
     COUNTIFS($AO$3:$AO$201,$M109)&gt;0,
     COUNTIFS($AP$3:$AP$201,$M109)&gt;0,
     COUNTIFS($AQ$3:$AQ$201,$M109)&gt;0,
     COUNTIFS($AR$3:$AR$201,$M109)&gt;0,
     COUNTIFS($AS$3:$AS$201,$M109)&gt;0,
     COUNTIFS($AT$3:$AT$201,$M109)&gt;0,
     COUNTIFS($AU$3:$AU$201,$M109)&gt;0,
     COUNTIFS($AV$3:$AV$201,$M109)&gt;0,
     COUNTIFS($AW$3:$AW$201,$M109)&gt;0
   )),
  ),
  4
 ),
"")</f>
        <v/>
      </c>
      <c r="CA109" t="str">
        <f ca="1"/>
        <v>Saheeli, Artífice Sublime</v>
      </c>
      <c r="CF109" t="str">
        <f ca="1"/>
        <v>Medalhão de Bant</v>
      </c>
      <c r="CI109" t="str">
        <f ca="1"/>
        <v>Goblin Bombardment</v>
      </c>
    </row>
    <row r="110" spans="1:87" x14ac:dyDescent="0.25">
      <c r="A110" t="str">
        <f ca="1"/>
        <v>Grave Pact</v>
      </c>
      <c r="B110" s="3" t="str" cm="1">
        <f t="array" aca="1" ref="B110" ca="1">_xlfn.ANCHORARRAY(RESUMO!C109)</f>
        <v>Zimone</v>
      </c>
      <c r="C110" s="3" t="str">
        <f t="shared" ca="1" si="4"/>
        <v/>
      </c>
      <c r="E110" t="str">
        <f ca="1"/>
        <v>Godless Shrine</v>
      </c>
      <c r="F110" s="3">
        <f t="shared" ca="1" si="5"/>
        <v>1</v>
      </c>
      <c r="G110" s="3" t="str">
        <f t="shared" ca="1" si="6"/>
        <v>Fractius</v>
      </c>
      <c r="M110" t="str">
        <f ca="1"/>
        <v>Godless Shrine</v>
      </c>
      <c r="N110" s="3">
        <f t="shared" ca="1" si="7"/>
        <v>1</v>
      </c>
      <c r="O110" s="3" t="str">
        <f ca="1">IFERROR(
 INDEX($T$2:$AW$2,
  MATCH(TRUE,
   CHOOSE({1;2;3;4;5;6;7;8;9;10;11;12;13;14;15;16;17;18;19;20;21;22;23;24;25;26;27;28;29;30;31;32},
    COUNTIFS($T$3:$T$201,$M110)&gt;0,
    COUNTIFS($U$3:$U$201,$M110)&gt;0,
    COUNTIFS($V$3:$V$201,$M110)&gt;0,
    COUNTIFS($W$3:$W$201,$M110)&gt;0,
    COUNTIFS($X$3:$X$201,$M110)&gt;0,
    COUNTIFS($Y$3:$Y$201,$M110)&gt;0,
    COUNTIFS($Z$3:$Z$201,$M110)&gt;0,
    COUNTIFS($AA$3:$AA$201,$M110)&gt;0,
    COUNTIFS($AB$3:$AB$201,$M110)&gt;0,
    COUNTIFS($AC$3:$AC$201,$M110)&gt;0,
    COUNTIFS($AD$3:$AD$201,$M110)&gt;0,
    COUNTIFS($AE$3:$AE$201,$M110)&gt;0,
    COUNTIFS($AF$3:$AF$201,$M110)&gt;0,
    COUNTIFS($AG$3:$AG$201,$M110)&gt;0,
    COUNTIFS($AH$3:$AH$201,$M110)&gt;0,
    COUNTIFS($AI$3:$AI$201,$M110)&gt;0,
    COUNTIFS($AJ$3:$AJ$201,$M110)&gt;0,
    COUNTIFS($AK$3:$AK$201,$M110)&gt;0,
    COUNTIFS($AL$3:$AL$201,$M110)&gt;0,
    COUNTIFS($AM$3:$AM$201,$M110)&gt;0,
    COUNTIFS($AN$3:$AN$201,$M110)&gt;0,
    COUNTIFS($AO$3:$AO$201,$M110)&gt;0,
    COUNTIFS($AP$3:$AP$201,$M110)&gt;0,
    COUNTIFS($AQ$3:$AQ$201,$M110)&gt;0,
    COUNTIFS($AR$3:$AR$201,$M110)&gt;0,
    COUNTIFS($AS$3:$AS$201,$M110)&gt;0,
    COUNTIFS($AT$3:$AT$201,$M110)&gt;0,
    COUNTIFS($AU$3:$AU$201,$M110)&gt;0,
    COUNTIFS($AV$3:$AV$201,$M110)&gt;0,
    COUNTIFS($AW$3:$AW$201,$M110)&gt;0
   ),
  0)
 ),
"")</f>
        <v>Fractius</v>
      </c>
      <c r="P110" s="3" t="str" cm="1">
        <f t="array" aca="1" ref="P110" ca="1">IFERROR(
 INDEX(
  _xlfn._xlws.FILTER($T$2:$AW$2,
   TRANSPOSE(
    CHOOSE({1;2;3;4;5;6;7;8;9;10;11;12;13;14;15;16;17;18;19;20;21;22;23;24;25;26;27;28;29;30},
     COUNTIFS($T$3:$T$201,$M110)&gt;0,
     COUNTIFS($U$3:$U$201,$M110)&gt;0,
     COUNTIFS($V$3:$V$201,$M110)&gt;0,
     COUNTIFS($W$3:$W$201,$M110)&gt;0,
     COUNTIFS($X$3:$X$201,$M110)&gt;0,
     COUNTIFS($Y$3:$Y$201,$M110)&gt;0,
     COUNTIFS($Z$3:$Z$201,$M110)&gt;0,
     COUNTIFS($AA$3:$AA$201,$M110)&gt;0,
     COUNTIFS($AB$3:$AB$201,$M110)&gt;0,
     COUNTIFS($AC$3:$AC$201,$M110)&gt;0,
     COUNTIFS($AD$3:$AD$201,$M110)&gt;0,
     COUNTIFS($AE$3:$AE$201,$M110)&gt;0,
     COUNTIFS($AF$3:$AF$201,$M110)&gt;0,
     COUNTIFS($AG$3:$AG$201,$M110)&gt;0,
     COUNTIFS($AH$3:$AH$201,$M110)&gt;0,
     COUNTIFS($AI$3:$AI$201,$M110)&gt;0,
     COUNTIFS($AJ$3:$AJ$201,$M110)&gt;0,
     COUNTIFS($AK$3:$AK$201,$M110)&gt;0,
     COUNTIFS($AL$3:$AL$201,$M110)&gt;0,
     COUNTIFS($AM$3:$AM$201,$M110)&gt;0,
     COUNTIFS($AN$3:$AN$201,$M110)&gt;0,
     COUNTIFS($AO$3:$AO$201,$M110)&gt;0,
     COUNTIFS($AP$3:$AP$201,$M110)&gt;0,
     COUNTIFS($AQ$3:$AQ$201,$M110)&gt;0,
     COUNTIFS($AR$3:$AR$201,$M110)&gt;0,
     COUNTIFS($AS$3:$AS$201,$M110)&gt;0,
     COUNTIFS($AT$3:$AT$201,$M110)&gt;0,
     COUNTIFS($AU$3:$AU$201,$M110)&gt;0,
     COUNTIFS($AV$3:$AV$201,$M110)&gt;0,
     COUNTIFS($AW$3:$AW$201,$M110)&gt;0
   )),
  ),
  2
 ),
"")</f>
        <v/>
      </c>
      <c r="Q110" s="3" t="str" cm="1">
        <f t="array" aca="1" ref="Q110" ca="1">IFERROR(
 INDEX(
  _xlfn._xlws.FILTER($T$2:$AW$2,
   TRANSPOSE(
    CHOOSE({1;2;3;4;5;6;7;8;9;10;11;12;13;14;15;16;17;18;19;20;21;22;23;24;25;26;27;28;29;30},
     COUNTIFS($T$3:$T$201,$M110)&gt;0,
     COUNTIFS($U$3:$U$201,$M110)&gt;0,
     COUNTIFS($V$3:$V$201,$M110)&gt;0,
     COUNTIFS($W$3:$W$201,$M110)&gt;0,
     COUNTIFS($X$3:$X$201,$M110)&gt;0,
     COUNTIFS($Y$3:$Y$201,$M110)&gt;0,
     COUNTIFS($Z$3:$Z$201,$M110)&gt;0,
     COUNTIFS($AA$3:$AA$201,$M110)&gt;0,
     COUNTIFS($AB$3:$AB$201,$M110)&gt;0,
     COUNTIFS($AC$3:$AC$201,$M110)&gt;0,
     COUNTIFS($AD$3:$AD$201,$M110)&gt;0,
     COUNTIFS($AE$3:$AE$201,$M110)&gt;0,
     COUNTIFS($AF$3:$AF$201,$M110)&gt;0,
     COUNTIFS($AG$3:$AG$201,$M110)&gt;0,
     COUNTIFS($AH$3:$AH$201,$M110)&gt;0,
     COUNTIFS($AI$3:$AI$201,$M110)&gt;0,
     COUNTIFS($AJ$3:$AJ$201,$M110)&gt;0,
     COUNTIFS($AK$3:$AK$201,$M110)&gt;0,
     COUNTIFS($AL$3:$AL$201,$M110)&gt;0,
     COUNTIFS($AM$3:$AM$201,$M110)&gt;0,
     COUNTIFS($AN$3:$AN$201,$M110)&gt;0,
     COUNTIFS($AO$3:$AO$201,$M110)&gt;0,
     COUNTIFS($AP$3:$AP$201,$M110)&gt;0,
     COUNTIFS($AQ$3:$AQ$201,$M110)&gt;0,
     COUNTIFS($AR$3:$AR$201,$M110)&gt;0,
     COUNTIFS($AS$3:$AS$201,$M110)&gt;0,
     COUNTIFS($AT$3:$AT$201,$M110)&gt;0,
     COUNTIFS($AU$3:$AU$201,$M110)&gt;0,
     COUNTIFS($AV$3:$AV$201,$M110)&gt;0,
     COUNTIFS($AW$3:$AW$201,$M110)&gt;0
   )),
  ),
  3
 ),
"")</f>
        <v/>
      </c>
      <c r="R110" s="3" t="str" cm="1">
        <f t="array" aca="1" ref="R110" ca="1">IFERROR(
 INDEX(
  _xlfn._xlws.FILTER($T$2:$AW$2,
   TRANSPOSE(
    CHOOSE({1;2;3;4;5;6;7;8;9;10;11;12;13;14;15;16;17;18;19;20;21;22;23;24;25;26;27;28;29;30},
     COUNTIFS($T$3:$T$201,$M110)&gt;0,
     COUNTIFS($U$3:$U$201,$M110)&gt;0,
     COUNTIFS($V$3:$V$201,$M110)&gt;0,
     COUNTIFS($W$3:$W$201,$M110)&gt;0,
     COUNTIFS($X$3:$X$201,$M110)&gt;0,
     COUNTIFS($Y$3:$Y$201,$M110)&gt;0,
     COUNTIFS($Z$3:$Z$201,$M110)&gt;0,
     COUNTIFS($AA$3:$AA$201,$M110)&gt;0,
     COUNTIFS($AB$3:$AB$201,$M110)&gt;0,
     COUNTIFS($AC$3:$AC$201,$M110)&gt;0,
     COUNTIFS($AD$3:$AD$201,$M110)&gt;0,
     COUNTIFS($AE$3:$AE$201,$M110)&gt;0,
     COUNTIFS($AF$3:$AF$201,$M110)&gt;0,
     COUNTIFS($AG$3:$AG$201,$M110)&gt;0,
     COUNTIFS($AH$3:$AH$201,$M110)&gt;0,
     COUNTIFS($AI$3:$AI$201,$M110)&gt;0,
     COUNTIFS($AJ$3:$AJ$201,$M110)&gt;0,
     COUNTIFS($AK$3:$AK$201,$M110)&gt;0,
     COUNTIFS($AL$3:$AL$201,$M110)&gt;0,
     COUNTIFS($AM$3:$AM$201,$M110)&gt;0,
     COUNTIFS($AN$3:$AN$201,$M110)&gt;0,
     COUNTIFS($AO$3:$AO$201,$M110)&gt;0,
     COUNTIFS($AP$3:$AP$201,$M110)&gt;0,
     COUNTIFS($AQ$3:$AQ$201,$M110)&gt;0,
     COUNTIFS($AR$3:$AR$201,$M110)&gt;0,
     COUNTIFS($AS$3:$AS$201,$M110)&gt;0,
     COUNTIFS($AT$3:$AT$201,$M110)&gt;0,
     COUNTIFS($AU$3:$AU$201,$M110)&gt;0,
     COUNTIFS($AV$3:$AV$201,$M110)&gt;0,
     COUNTIFS($AW$3:$AW$201,$M110)&gt;0
   )),
  ),
  4
 ),
"")</f>
        <v/>
      </c>
      <c r="CA110" t="str">
        <f ca="1"/>
        <v>Sanctuary Warden</v>
      </c>
      <c r="CF110" t="str">
        <f ca="1"/>
        <v>Medalhão de Naya</v>
      </c>
      <c r="CI110" t="str">
        <f ca="1"/>
        <v>Godless Shrine</v>
      </c>
    </row>
    <row r="111" spans="1:87" x14ac:dyDescent="0.25">
      <c r="A111" t="str">
        <f ca="1"/>
        <v>Great Furnace</v>
      </c>
      <c r="B111" s="3" t="str" cm="1">
        <f t="array" aca="1" ref="B111" ca="1">_xlfn.ANCHORARRAY(RESUMO!C110)</f>
        <v>Modular</v>
      </c>
      <c r="C111" s="3" t="str">
        <f t="shared" ca="1" si="4"/>
        <v/>
      </c>
      <c r="E111" t="str">
        <f ca="1"/>
        <v>Grazilaxx, Illithid Scholar</v>
      </c>
      <c r="F111" s="3">
        <f t="shared" ca="1" si="5"/>
        <v>1</v>
      </c>
      <c r="G111" s="3" t="str">
        <f t="shared" ca="1" si="6"/>
        <v>Piratas</v>
      </c>
      <c r="M111" t="str">
        <f ca="1"/>
        <v>Grazilaxx, Illithid Scholar</v>
      </c>
      <c r="N111" s="3">
        <f t="shared" ca="1" si="7"/>
        <v>1</v>
      </c>
      <c r="O111" s="3" t="str">
        <f ca="1">IFERROR(
 INDEX($T$2:$AW$2,
  MATCH(TRUE,
   CHOOSE({1;2;3;4;5;6;7;8;9;10;11;12;13;14;15;16;17;18;19;20;21;22;23;24;25;26;27;28;29;30;31;32},
    COUNTIFS($T$3:$T$201,$M111)&gt;0,
    COUNTIFS($U$3:$U$201,$M111)&gt;0,
    COUNTIFS($V$3:$V$201,$M111)&gt;0,
    COUNTIFS($W$3:$W$201,$M111)&gt;0,
    COUNTIFS($X$3:$X$201,$M111)&gt;0,
    COUNTIFS($Y$3:$Y$201,$M111)&gt;0,
    COUNTIFS($Z$3:$Z$201,$M111)&gt;0,
    COUNTIFS($AA$3:$AA$201,$M111)&gt;0,
    COUNTIFS($AB$3:$AB$201,$M111)&gt;0,
    COUNTIFS($AC$3:$AC$201,$M111)&gt;0,
    COUNTIFS($AD$3:$AD$201,$M111)&gt;0,
    COUNTIFS($AE$3:$AE$201,$M111)&gt;0,
    COUNTIFS($AF$3:$AF$201,$M111)&gt;0,
    COUNTIFS($AG$3:$AG$201,$M111)&gt;0,
    COUNTIFS($AH$3:$AH$201,$M111)&gt;0,
    COUNTIFS($AI$3:$AI$201,$M111)&gt;0,
    COUNTIFS($AJ$3:$AJ$201,$M111)&gt;0,
    COUNTIFS($AK$3:$AK$201,$M111)&gt;0,
    COUNTIFS($AL$3:$AL$201,$M111)&gt;0,
    COUNTIFS($AM$3:$AM$201,$M111)&gt;0,
    COUNTIFS($AN$3:$AN$201,$M111)&gt;0,
    COUNTIFS($AO$3:$AO$201,$M111)&gt;0,
    COUNTIFS($AP$3:$AP$201,$M111)&gt;0,
    COUNTIFS($AQ$3:$AQ$201,$M111)&gt;0,
    COUNTIFS($AR$3:$AR$201,$M111)&gt;0,
    COUNTIFS($AS$3:$AS$201,$M111)&gt;0,
    COUNTIFS($AT$3:$AT$201,$M111)&gt;0,
    COUNTIFS($AU$3:$AU$201,$M111)&gt;0,
    COUNTIFS($AV$3:$AV$201,$M111)&gt;0,
    COUNTIFS($AW$3:$AW$201,$M111)&gt;0
   ),
  0)
 ),
"")</f>
        <v>Piratas</v>
      </c>
      <c r="P111" s="3" t="str" cm="1">
        <f t="array" aca="1" ref="P111" ca="1">IFERROR(
 INDEX(
  _xlfn._xlws.FILTER($T$2:$AW$2,
   TRANSPOSE(
    CHOOSE({1;2;3;4;5;6;7;8;9;10;11;12;13;14;15;16;17;18;19;20;21;22;23;24;25;26;27;28;29;30},
     COUNTIFS($T$3:$T$201,$M111)&gt;0,
     COUNTIFS($U$3:$U$201,$M111)&gt;0,
     COUNTIFS($V$3:$V$201,$M111)&gt;0,
     COUNTIFS($W$3:$W$201,$M111)&gt;0,
     COUNTIFS($X$3:$X$201,$M111)&gt;0,
     COUNTIFS($Y$3:$Y$201,$M111)&gt;0,
     COUNTIFS($Z$3:$Z$201,$M111)&gt;0,
     COUNTIFS($AA$3:$AA$201,$M111)&gt;0,
     COUNTIFS($AB$3:$AB$201,$M111)&gt;0,
     COUNTIFS($AC$3:$AC$201,$M111)&gt;0,
     COUNTIFS($AD$3:$AD$201,$M111)&gt;0,
     COUNTIFS($AE$3:$AE$201,$M111)&gt;0,
     COUNTIFS($AF$3:$AF$201,$M111)&gt;0,
     COUNTIFS($AG$3:$AG$201,$M111)&gt;0,
     COUNTIFS($AH$3:$AH$201,$M111)&gt;0,
     COUNTIFS($AI$3:$AI$201,$M111)&gt;0,
     COUNTIFS($AJ$3:$AJ$201,$M111)&gt;0,
     COUNTIFS($AK$3:$AK$201,$M111)&gt;0,
     COUNTIFS($AL$3:$AL$201,$M111)&gt;0,
     COUNTIFS($AM$3:$AM$201,$M111)&gt;0,
     COUNTIFS($AN$3:$AN$201,$M111)&gt;0,
     COUNTIFS($AO$3:$AO$201,$M111)&gt;0,
     COUNTIFS($AP$3:$AP$201,$M111)&gt;0,
     COUNTIFS($AQ$3:$AQ$201,$M111)&gt;0,
     COUNTIFS($AR$3:$AR$201,$M111)&gt;0,
     COUNTIFS($AS$3:$AS$201,$M111)&gt;0,
     COUNTIFS($AT$3:$AT$201,$M111)&gt;0,
     COUNTIFS($AU$3:$AU$201,$M111)&gt;0,
     COUNTIFS($AV$3:$AV$201,$M111)&gt;0,
     COUNTIFS($AW$3:$AW$201,$M111)&gt;0
   )),
  ),
  2
 ),
"")</f>
        <v/>
      </c>
      <c r="Q111" s="3" t="str" cm="1">
        <f t="array" aca="1" ref="Q111" ca="1">IFERROR(
 INDEX(
  _xlfn._xlws.FILTER($T$2:$AW$2,
   TRANSPOSE(
    CHOOSE({1;2;3;4;5;6;7;8;9;10;11;12;13;14;15;16;17;18;19;20;21;22;23;24;25;26;27;28;29;30},
     COUNTIFS($T$3:$T$201,$M111)&gt;0,
     COUNTIFS($U$3:$U$201,$M111)&gt;0,
     COUNTIFS($V$3:$V$201,$M111)&gt;0,
     COUNTIFS($W$3:$W$201,$M111)&gt;0,
     COUNTIFS($X$3:$X$201,$M111)&gt;0,
     COUNTIFS($Y$3:$Y$201,$M111)&gt;0,
     COUNTIFS($Z$3:$Z$201,$M111)&gt;0,
     COUNTIFS($AA$3:$AA$201,$M111)&gt;0,
     COUNTIFS($AB$3:$AB$201,$M111)&gt;0,
     COUNTIFS($AC$3:$AC$201,$M111)&gt;0,
     COUNTIFS($AD$3:$AD$201,$M111)&gt;0,
     COUNTIFS($AE$3:$AE$201,$M111)&gt;0,
     COUNTIFS($AF$3:$AF$201,$M111)&gt;0,
     COUNTIFS($AG$3:$AG$201,$M111)&gt;0,
     COUNTIFS($AH$3:$AH$201,$M111)&gt;0,
     COUNTIFS($AI$3:$AI$201,$M111)&gt;0,
     COUNTIFS($AJ$3:$AJ$201,$M111)&gt;0,
     COUNTIFS($AK$3:$AK$201,$M111)&gt;0,
     COUNTIFS($AL$3:$AL$201,$M111)&gt;0,
     COUNTIFS($AM$3:$AM$201,$M111)&gt;0,
     COUNTIFS($AN$3:$AN$201,$M111)&gt;0,
     COUNTIFS($AO$3:$AO$201,$M111)&gt;0,
     COUNTIFS($AP$3:$AP$201,$M111)&gt;0,
     COUNTIFS($AQ$3:$AQ$201,$M111)&gt;0,
     COUNTIFS($AR$3:$AR$201,$M111)&gt;0,
     COUNTIFS($AS$3:$AS$201,$M111)&gt;0,
     COUNTIFS($AT$3:$AT$201,$M111)&gt;0,
     COUNTIFS($AU$3:$AU$201,$M111)&gt;0,
     COUNTIFS($AV$3:$AV$201,$M111)&gt;0,
     COUNTIFS($AW$3:$AW$201,$M111)&gt;0
   )),
  ),
  3
 ),
"")</f>
        <v/>
      </c>
      <c r="R111" s="3" t="str" cm="1">
        <f t="array" aca="1" ref="R111" ca="1">IFERROR(
 INDEX(
  _xlfn._xlws.FILTER($T$2:$AW$2,
   TRANSPOSE(
    CHOOSE({1;2;3;4;5;6;7;8;9;10;11;12;13;14;15;16;17;18;19;20;21;22;23;24;25;26;27;28;29;30},
     COUNTIFS($T$3:$T$201,$M111)&gt;0,
     COUNTIFS($U$3:$U$201,$M111)&gt;0,
     COUNTIFS($V$3:$V$201,$M111)&gt;0,
     COUNTIFS($W$3:$W$201,$M111)&gt;0,
     COUNTIFS($X$3:$X$201,$M111)&gt;0,
     COUNTIFS($Y$3:$Y$201,$M111)&gt;0,
     COUNTIFS($Z$3:$Z$201,$M111)&gt;0,
     COUNTIFS($AA$3:$AA$201,$M111)&gt;0,
     COUNTIFS($AB$3:$AB$201,$M111)&gt;0,
     COUNTIFS($AC$3:$AC$201,$M111)&gt;0,
     COUNTIFS($AD$3:$AD$201,$M111)&gt;0,
     COUNTIFS($AE$3:$AE$201,$M111)&gt;0,
     COUNTIFS($AF$3:$AF$201,$M111)&gt;0,
     COUNTIFS($AG$3:$AG$201,$M111)&gt;0,
     COUNTIFS($AH$3:$AH$201,$M111)&gt;0,
     COUNTIFS($AI$3:$AI$201,$M111)&gt;0,
     COUNTIFS($AJ$3:$AJ$201,$M111)&gt;0,
     COUNTIFS($AK$3:$AK$201,$M111)&gt;0,
     COUNTIFS($AL$3:$AL$201,$M111)&gt;0,
     COUNTIFS($AM$3:$AM$201,$M111)&gt;0,
     COUNTIFS($AN$3:$AN$201,$M111)&gt;0,
     COUNTIFS($AO$3:$AO$201,$M111)&gt;0,
     COUNTIFS($AP$3:$AP$201,$M111)&gt;0,
     COUNTIFS($AQ$3:$AQ$201,$M111)&gt;0,
     COUNTIFS($AR$3:$AR$201,$M111)&gt;0,
     COUNTIFS($AS$3:$AS$201,$M111)&gt;0,
     COUNTIFS($AT$3:$AT$201,$M111)&gt;0,
     COUNTIFS($AU$3:$AU$201,$M111)&gt;0,
     COUNTIFS($AV$3:$AV$201,$M111)&gt;0,
     COUNTIFS($AW$3:$AW$201,$M111)&gt;0
   )),
  ),
  4
 ),
"")</f>
        <v/>
      </c>
      <c r="CA111" t="str">
        <f ca="1"/>
        <v>Sanctum of Calm Waters</v>
      </c>
      <c r="CF111" t="str">
        <f ca="1"/>
        <v>Mergulhadora Celeste Ladra</v>
      </c>
      <c r="CI111" t="str">
        <f ca="1"/>
        <v>Grazilaxx, Illithid Scholar</v>
      </c>
    </row>
    <row r="112" spans="1:87" x14ac:dyDescent="0.25">
      <c r="A112" t="str">
        <f ca="1"/>
        <v>Guia das Almas</v>
      </c>
      <c r="B112" s="3" t="str" cm="1">
        <f t="array" aca="1" ref="B112" ca="1">_xlfn.ANCHORARRAY(RESUMO!C111)</f>
        <v>Carlos</v>
      </c>
      <c r="C112" s="3" t="str">
        <f t="shared" ca="1" si="4"/>
        <v/>
      </c>
      <c r="E112" t="str">
        <f ca="1"/>
        <v>Grumgully, o Generoso</v>
      </c>
      <c r="F112" s="3">
        <f t="shared" ca="1" si="5"/>
        <v>1</v>
      </c>
      <c r="G112" s="3" t="str">
        <f t="shared" ca="1" si="6"/>
        <v>Modular</v>
      </c>
      <c r="M112" t="str">
        <f ca="1"/>
        <v>Grumgully, o Generoso</v>
      </c>
      <c r="N112" s="3">
        <f t="shared" ca="1" si="7"/>
        <v>1</v>
      </c>
      <c r="O112" s="3" t="str">
        <f ca="1">IFERROR(
 INDEX($T$2:$AW$2,
  MATCH(TRUE,
   CHOOSE({1;2;3;4;5;6;7;8;9;10;11;12;13;14;15;16;17;18;19;20;21;22;23;24;25;26;27;28;29;30;31;32},
    COUNTIFS($T$3:$T$201,$M112)&gt;0,
    COUNTIFS($U$3:$U$201,$M112)&gt;0,
    COUNTIFS($V$3:$V$201,$M112)&gt;0,
    COUNTIFS($W$3:$W$201,$M112)&gt;0,
    COUNTIFS($X$3:$X$201,$M112)&gt;0,
    COUNTIFS($Y$3:$Y$201,$M112)&gt;0,
    COUNTIFS($Z$3:$Z$201,$M112)&gt;0,
    COUNTIFS($AA$3:$AA$201,$M112)&gt;0,
    COUNTIFS($AB$3:$AB$201,$M112)&gt;0,
    COUNTIFS($AC$3:$AC$201,$M112)&gt;0,
    COUNTIFS($AD$3:$AD$201,$M112)&gt;0,
    COUNTIFS($AE$3:$AE$201,$M112)&gt;0,
    COUNTIFS($AF$3:$AF$201,$M112)&gt;0,
    COUNTIFS($AG$3:$AG$201,$M112)&gt;0,
    COUNTIFS($AH$3:$AH$201,$M112)&gt;0,
    COUNTIFS($AI$3:$AI$201,$M112)&gt;0,
    COUNTIFS($AJ$3:$AJ$201,$M112)&gt;0,
    COUNTIFS($AK$3:$AK$201,$M112)&gt;0,
    COUNTIFS($AL$3:$AL$201,$M112)&gt;0,
    COUNTIFS($AM$3:$AM$201,$M112)&gt;0,
    COUNTIFS($AN$3:$AN$201,$M112)&gt;0,
    COUNTIFS($AO$3:$AO$201,$M112)&gt;0,
    COUNTIFS($AP$3:$AP$201,$M112)&gt;0,
    COUNTIFS($AQ$3:$AQ$201,$M112)&gt;0,
    COUNTIFS($AR$3:$AR$201,$M112)&gt;0,
    COUNTIFS($AS$3:$AS$201,$M112)&gt;0,
    COUNTIFS($AT$3:$AT$201,$M112)&gt;0,
    COUNTIFS($AU$3:$AU$201,$M112)&gt;0,
    COUNTIFS($AV$3:$AV$201,$M112)&gt;0,
    COUNTIFS($AW$3:$AW$201,$M112)&gt;0
   ),
  0)
 ),
"")</f>
        <v>Modular</v>
      </c>
      <c r="P112" s="3" t="str" cm="1">
        <f t="array" aca="1" ref="P112" ca="1">IFERROR(
 INDEX(
  _xlfn._xlws.FILTER($T$2:$AW$2,
   TRANSPOSE(
    CHOOSE({1;2;3;4;5;6;7;8;9;10;11;12;13;14;15;16;17;18;19;20;21;22;23;24;25;26;27;28;29;30},
     COUNTIFS($T$3:$T$201,$M112)&gt;0,
     COUNTIFS($U$3:$U$201,$M112)&gt;0,
     COUNTIFS($V$3:$V$201,$M112)&gt;0,
     COUNTIFS($W$3:$W$201,$M112)&gt;0,
     COUNTIFS($X$3:$X$201,$M112)&gt;0,
     COUNTIFS($Y$3:$Y$201,$M112)&gt;0,
     COUNTIFS($Z$3:$Z$201,$M112)&gt;0,
     COUNTIFS($AA$3:$AA$201,$M112)&gt;0,
     COUNTIFS($AB$3:$AB$201,$M112)&gt;0,
     COUNTIFS($AC$3:$AC$201,$M112)&gt;0,
     COUNTIFS($AD$3:$AD$201,$M112)&gt;0,
     COUNTIFS($AE$3:$AE$201,$M112)&gt;0,
     COUNTIFS($AF$3:$AF$201,$M112)&gt;0,
     COUNTIFS($AG$3:$AG$201,$M112)&gt;0,
     COUNTIFS($AH$3:$AH$201,$M112)&gt;0,
     COUNTIFS($AI$3:$AI$201,$M112)&gt;0,
     COUNTIFS($AJ$3:$AJ$201,$M112)&gt;0,
     COUNTIFS($AK$3:$AK$201,$M112)&gt;0,
     COUNTIFS($AL$3:$AL$201,$M112)&gt;0,
     COUNTIFS($AM$3:$AM$201,$M112)&gt;0,
     COUNTIFS($AN$3:$AN$201,$M112)&gt;0,
     COUNTIFS($AO$3:$AO$201,$M112)&gt;0,
     COUNTIFS($AP$3:$AP$201,$M112)&gt;0,
     COUNTIFS($AQ$3:$AQ$201,$M112)&gt;0,
     COUNTIFS($AR$3:$AR$201,$M112)&gt;0,
     COUNTIFS($AS$3:$AS$201,$M112)&gt;0,
     COUNTIFS($AT$3:$AT$201,$M112)&gt;0,
     COUNTIFS($AU$3:$AU$201,$M112)&gt;0,
     COUNTIFS($AV$3:$AV$201,$M112)&gt;0,
     COUNTIFS($AW$3:$AW$201,$M112)&gt;0
   )),
  ),
  2
 ),
"")</f>
        <v/>
      </c>
      <c r="Q112" s="3" t="str" cm="1">
        <f t="array" aca="1" ref="Q112" ca="1">IFERROR(
 INDEX(
  _xlfn._xlws.FILTER($T$2:$AW$2,
   TRANSPOSE(
    CHOOSE({1;2;3;4;5;6;7;8;9;10;11;12;13;14;15;16;17;18;19;20;21;22;23;24;25;26;27;28;29;30},
     COUNTIFS($T$3:$T$201,$M112)&gt;0,
     COUNTIFS($U$3:$U$201,$M112)&gt;0,
     COUNTIFS($V$3:$V$201,$M112)&gt;0,
     COUNTIFS($W$3:$W$201,$M112)&gt;0,
     COUNTIFS($X$3:$X$201,$M112)&gt;0,
     COUNTIFS($Y$3:$Y$201,$M112)&gt;0,
     COUNTIFS($Z$3:$Z$201,$M112)&gt;0,
     COUNTIFS($AA$3:$AA$201,$M112)&gt;0,
     COUNTIFS($AB$3:$AB$201,$M112)&gt;0,
     COUNTIFS($AC$3:$AC$201,$M112)&gt;0,
     COUNTIFS($AD$3:$AD$201,$M112)&gt;0,
     COUNTIFS($AE$3:$AE$201,$M112)&gt;0,
     COUNTIFS($AF$3:$AF$201,$M112)&gt;0,
     COUNTIFS($AG$3:$AG$201,$M112)&gt;0,
     COUNTIFS($AH$3:$AH$201,$M112)&gt;0,
     COUNTIFS($AI$3:$AI$201,$M112)&gt;0,
     COUNTIFS($AJ$3:$AJ$201,$M112)&gt;0,
     COUNTIFS($AK$3:$AK$201,$M112)&gt;0,
     COUNTIFS($AL$3:$AL$201,$M112)&gt;0,
     COUNTIFS($AM$3:$AM$201,$M112)&gt;0,
     COUNTIFS($AN$3:$AN$201,$M112)&gt;0,
     COUNTIFS($AO$3:$AO$201,$M112)&gt;0,
     COUNTIFS($AP$3:$AP$201,$M112)&gt;0,
     COUNTIFS($AQ$3:$AQ$201,$M112)&gt;0,
     COUNTIFS($AR$3:$AR$201,$M112)&gt;0,
     COUNTIFS($AS$3:$AS$201,$M112)&gt;0,
     COUNTIFS($AT$3:$AT$201,$M112)&gt;0,
     COUNTIFS($AU$3:$AU$201,$M112)&gt;0,
     COUNTIFS($AV$3:$AV$201,$M112)&gt;0,
     COUNTIFS($AW$3:$AW$201,$M112)&gt;0
   )),
  ),
  3
 ),
"")</f>
        <v/>
      </c>
      <c r="R112" s="3" t="str" cm="1">
        <f t="array" aca="1" ref="R112" ca="1">IFERROR(
 INDEX(
  _xlfn._xlws.FILTER($T$2:$AW$2,
   TRANSPOSE(
    CHOOSE({1;2;3;4;5;6;7;8;9;10;11;12;13;14;15;16;17;18;19;20;21;22;23;24;25;26;27;28;29;30},
     COUNTIFS($T$3:$T$201,$M112)&gt;0,
     COUNTIFS($U$3:$U$201,$M112)&gt;0,
     COUNTIFS($V$3:$V$201,$M112)&gt;0,
     COUNTIFS($W$3:$W$201,$M112)&gt;0,
     COUNTIFS($X$3:$X$201,$M112)&gt;0,
     COUNTIFS($Y$3:$Y$201,$M112)&gt;0,
     COUNTIFS($Z$3:$Z$201,$M112)&gt;0,
     COUNTIFS($AA$3:$AA$201,$M112)&gt;0,
     COUNTIFS($AB$3:$AB$201,$M112)&gt;0,
     COUNTIFS($AC$3:$AC$201,$M112)&gt;0,
     COUNTIFS($AD$3:$AD$201,$M112)&gt;0,
     COUNTIFS($AE$3:$AE$201,$M112)&gt;0,
     COUNTIFS($AF$3:$AF$201,$M112)&gt;0,
     COUNTIFS($AG$3:$AG$201,$M112)&gt;0,
     COUNTIFS($AH$3:$AH$201,$M112)&gt;0,
     COUNTIFS($AI$3:$AI$201,$M112)&gt;0,
     COUNTIFS($AJ$3:$AJ$201,$M112)&gt;0,
     COUNTIFS($AK$3:$AK$201,$M112)&gt;0,
     COUNTIFS($AL$3:$AL$201,$M112)&gt;0,
     COUNTIFS($AM$3:$AM$201,$M112)&gt;0,
     COUNTIFS($AN$3:$AN$201,$M112)&gt;0,
     COUNTIFS($AO$3:$AO$201,$M112)&gt;0,
     COUNTIFS($AP$3:$AP$201,$M112)&gt;0,
     COUNTIFS($AQ$3:$AQ$201,$M112)&gt;0,
     COUNTIFS($AR$3:$AR$201,$M112)&gt;0,
     COUNTIFS($AS$3:$AS$201,$M112)&gt;0,
     COUNTIFS($AT$3:$AT$201,$M112)&gt;0,
     COUNTIFS($AU$3:$AU$201,$M112)&gt;0,
     COUNTIFS($AV$3:$AV$201,$M112)&gt;0,
     COUNTIFS($AW$3:$AW$201,$M112)&gt;0
   )),
  ),
  4
 ),
"")</f>
        <v/>
      </c>
      <c r="CA112" t="str">
        <f ca="1"/>
        <v>Saqueador Saco-de-Carne</v>
      </c>
      <c r="CF112" t="str">
        <f ca="1"/>
        <v>Mestre de Cerimonias</v>
      </c>
      <c r="CI112" t="str">
        <f ca="1"/>
        <v>Grumgully, o Generoso</v>
      </c>
    </row>
    <row r="113" spans="1:87" x14ac:dyDescent="0.25">
      <c r="A113" t="str">
        <f ca="1"/>
        <v>Gyre Sage</v>
      </c>
      <c r="B113" s="3" t="str" cm="1">
        <f t="array" aca="1" ref="B113" ca="1">_xlfn.ANCHORARRAY(RESUMO!C112)</f>
        <v>Tayam</v>
      </c>
      <c r="C113" s="3" t="str">
        <f t="shared" ca="1" si="4"/>
        <v/>
      </c>
      <c r="E113" t="str">
        <f ca="1"/>
        <v>Guardiã da Aurora de Gavony</v>
      </c>
      <c r="F113" s="3">
        <f t="shared" ca="1" si="5"/>
        <v>1</v>
      </c>
      <c r="G113" s="3" t="str">
        <f t="shared" ca="1" si="6"/>
        <v>Carlos</v>
      </c>
      <c r="M113" t="str">
        <f ca="1"/>
        <v>Guardiã da Aurora de Gavony</v>
      </c>
      <c r="N113" s="3">
        <f t="shared" ca="1" si="7"/>
        <v>1</v>
      </c>
      <c r="O113" s="3" t="str">
        <f ca="1">IFERROR(
 INDEX($T$2:$AW$2,
  MATCH(TRUE,
   CHOOSE({1;2;3;4;5;6;7;8;9;10;11;12;13;14;15;16;17;18;19;20;21;22;23;24;25;26;27;28;29;30;31;32},
    COUNTIFS($T$3:$T$201,$M113)&gt;0,
    COUNTIFS($U$3:$U$201,$M113)&gt;0,
    COUNTIFS($V$3:$V$201,$M113)&gt;0,
    COUNTIFS($W$3:$W$201,$M113)&gt;0,
    COUNTIFS($X$3:$X$201,$M113)&gt;0,
    COUNTIFS($Y$3:$Y$201,$M113)&gt;0,
    COUNTIFS($Z$3:$Z$201,$M113)&gt;0,
    COUNTIFS($AA$3:$AA$201,$M113)&gt;0,
    COUNTIFS($AB$3:$AB$201,$M113)&gt;0,
    COUNTIFS($AC$3:$AC$201,$M113)&gt;0,
    COUNTIFS($AD$3:$AD$201,$M113)&gt;0,
    COUNTIFS($AE$3:$AE$201,$M113)&gt;0,
    COUNTIFS($AF$3:$AF$201,$M113)&gt;0,
    COUNTIFS($AG$3:$AG$201,$M113)&gt;0,
    COUNTIFS($AH$3:$AH$201,$M113)&gt;0,
    COUNTIFS($AI$3:$AI$201,$M113)&gt;0,
    COUNTIFS($AJ$3:$AJ$201,$M113)&gt;0,
    COUNTIFS($AK$3:$AK$201,$M113)&gt;0,
    COUNTIFS($AL$3:$AL$201,$M113)&gt;0,
    COUNTIFS($AM$3:$AM$201,$M113)&gt;0,
    COUNTIFS($AN$3:$AN$201,$M113)&gt;0,
    COUNTIFS($AO$3:$AO$201,$M113)&gt;0,
    COUNTIFS($AP$3:$AP$201,$M113)&gt;0,
    COUNTIFS($AQ$3:$AQ$201,$M113)&gt;0,
    COUNTIFS($AR$3:$AR$201,$M113)&gt;0,
    COUNTIFS($AS$3:$AS$201,$M113)&gt;0,
    COUNTIFS($AT$3:$AT$201,$M113)&gt;0,
    COUNTIFS($AU$3:$AU$201,$M113)&gt;0,
    COUNTIFS($AV$3:$AV$201,$M113)&gt;0,
    COUNTIFS($AW$3:$AW$201,$M113)&gt;0
   ),
  0)
 ),
"")</f>
        <v>Carlos</v>
      </c>
      <c r="P113" s="3" t="str" cm="1">
        <f t="array" aca="1" ref="P113" ca="1">IFERROR(
 INDEX(
  _xlfn._xlws.FILTER($T$2:$AW$2,
   TRANSPOSE(
    CHOOSE({1;2;3;4;5;6;7;8;9;10;11;12;13;14;15;16;17;18;19;20;21;22;23;24;25;26;27;28;29;30},
     COUNTIFS($T$3:$T$201,$M113)&gt;0,
     COUNTIFS($U$3:$U$201,$M113)&gt;0,
     COUNTIFS($V$3:$V$201,$M113)&gt;0,
     COUNTIFS($W$3:$W$201,$M113)&gt;0,
     COUNTIFS($X$3:$X$201,$M113)&gt;0,
     COUNTIFS($Y$3:$Y$201,$M113)&gt;0,
     COUNTIFS($Z$3:$Z$201,$M113)&gt;0,
     COUNTIFS($AA$3:$AA$201,$M113)&gt;0,
     COUNTIFS($AB$3:$AB$201,$M113)&gt;0,
     COUNTIFS($AC$3:$AC$201,$M113)&gt;0,
     COUNTIFS($AD$3:$AD$201,$M113)&gt;0,
     COUNTIFS($AE$3:$AE$201,$M113)&gt;0,
     COUNTIFS($AF$3:$AF$201,$M113)&gt;0,
     COUNTIFS($AG$3:$AG$201,$M113)&gt;0,
     COUNTIFS($AH$3:$AH$201,$M113)&gt;0,
     COUNTIFS($AI$3:$AI$201,$M113)&gt;0,
     COUNTIFS($AJ$3:$AJ$201,$M113)&gt;0,
     COUNTIFS($AK$3:$AK$201,$M113)&gt;0,
     COUNTIFS($AL$3:$AL$201,$M113)&gt;0,
     COUNTIFS($AM$3:$AM$201,$M113)&gt;0,
     COUNTIFS($AN$3:$AN$201,$M113)&gt;0,
     COUNTIFS($AO$3:$AO$201,$M113)&gt;0,
     COUNTIFS($AP$3:$AP$201,$M113)&gt;0,
     COUNTIFS($AQ$3:$AQ$201,$M113)&gt;0,
     COUNTIFS($AR$3:$AR$201,$M113)&gt;0,
     COUNTIFS($AS$3:$AS$201,$M113)&gt;0,
     COUNTIFS($AT$3:$AT$201,$M113)&gt;0,
     COUNTIFS($AU$3:$AU$201,$M113)&gt;0,
     COUNTIFS($AV$3:$AV$201,$M113)&gt;0,
     COUNTIFS($AW$3:$AW$201,$M113)&gt;0
   )),
  ),
  2
 ),
"")</f>
        <v/>
      </c>
      <c r="Q113" s="3" t="str" cm="1">
        <f t="array" aca="1" ref="Q113" ca="1">IFERROR(
 INDEX(
  _xlfn._xlws.FILTER($T$2:$AW$2,
   TRANSPOSE(
    CHOOSE({1;2;3;4;5;6;7;8;9;10;11;12;13;14;15;16;17;18;19;20;21;22;23;24;25;26;27;28;29;30},
     COUNTIFS($T$3:$T$201,$M113)&gt;0,
     COUNTIFS($U$3:$U$201,$M113)&gt;0,
     COUNTIFS($V$3:$V$201,$M113)&gt;0,
     COUNTIFS($W$3:$W$201,$M113)&gt;0,
     COUNTIFS($X$3:$X$201,$M113)&gt;0,
     COUNTIFS($Y$3:$Y$201,$M113)&gt;0,
     COUNTIFS($Z$3:$Z$201,$M113)&gt;0,
     COUNTIFS($AA$3:$AA$201,$M113)&gt;0,
     COUNTIFS($AB$3:$AB$201,$M113)&gt;0,
     COUNTIFS($AC$3:$AC$201,$M113)&gt;0,
     COUNTIFS($AD$3:$AD$201,$M113)&gt;0,
     COUNTIFS($AE$3:$AE$201,$M113)&gt;0,
     COUNTIFS($AF$3:$AF$201,$M113)&gt;0,
     COUNTIFS($AG$3:$AG$201,$M113)&gt;0,
     COUNTIFS($AH$3:$AH$201,$M113)&gt;0,
     COUNTIFS($AI$3:$AI$201,$M113)&gt;0,
     COUNTIFS($AJ$3:$AJ$201,$M113)&gt;0,
     COUNTIFS($AK$3:$AK$201,$M113)&gt;0,
     COUNTIFS($AL$3:$AL$201,$M113)&gt;0,
     COUNTIFS($AM$3:$AM$201,$M113)&gt;0,
     COUNTIFS($AN$3:$AN$201,$M113)&gt;0,
     COUNTIFS($AO$3:$AO$201,$M113)&gt;0,
     COUNTIFS($AP$3:$AP$201,$M113)&gt;0,
     COUNTIFS($AQ$3:$AQ$201,$M113)&gt;0,
     COUNTIFS($AR$3:$AR$201,$M113)&gt;0,
     COUNTIFS($AS$3:$AS$201,$M113)&gt;0,
     COUNTIFS($AT$3:$AT$201,$M113)&gt;0,
     COUNTIFS($AU$3:$AU$201,$M113)&gt;0,
     COUNTIFS($AV$3:$AV$201,$M113)&gt;0,
     COUNTIFS($AW$3:$AW$201,$M113)&gt;0
   )),
  ),
  3
 ),
"")</f>
        <v/>
      </c>
      <c r="R113" s="3" t="str" cm="1">
        <f t="array" aca="1" ref="R113" ca="1">IFERROR(
 INDEX(
  _xlfn._xlws.FILTER($T$2:$AW$2,
   TRANSPOSE(
    CHOOSE({1;2;3;4;5;6;7;8;9;10;11;12;13;14;15;16;17;18;19;20;21;22;23;24;25;26;27;28;29;30},
     COUNTIFS($T$3:$T$201,$M113)&gt;0,
     COUNTIFS($U$3:$U$201,$M113)&gt;0,
     COUNTIFS($V$3:$V$201,$M113)&gt;0,
     COUNTIFS($W$3:$W$201,$M113)&gt;0,
     COUNTIFS($X$3:$X$201,$M113)&gt;0,
     COUNTIFS($Y$3:$Y$201,$M113)&gt;0,
     COUNTIFS($Z$3:$Z$201,$M113)&gt;0,
     COUNTIFS($AA$3:$AA$201,$M113)&gt;0,
     COUNTIFS($AB$3:$AB$201,$M113)&gt;0,
     COUNTIFS($AC$3:$AC$201,$M113)&gt;0,
     COUNTIFS($AD$3:$AD$201,$M113)&gt;0,
     COUNTIFS($AE$3:$AE$201,$M113)&gt;0,
     COUNTIFS($AF$3:$AF$201,$M113)&gt;0,
     COUNTIFS($AG$3:$AG$201,$M113)&gt;0,
     COUNTIFS($AH$3:$AH$201,$M113)&gt;0,
     COUNTIFS($AI$3:$AI$201,$M113)&gt;0,
     COUNTIFS($AJ$3:$AJ$201,$M113)&gt;0,
     COUNTIFS($AK$3:$AK$201,$M113)&gt;0,
     COUNTIFS($AL$3:$AL$201,$M113)&gt;0,
     COUNTIFS($AM$3:$AM$201,$M113)&gt;0,
     COUNTIFS($AN$3:$AN$201,$M113)&gt;0,
     COUNTIFS($AO$3:$AO$201,$M113)&gt;0,
     COUNTIFS($AP$3:$AP$201,$M113)&gt;0,
     COUNTIFS($AQ$3:$AQ$201,$M113)&gt;0,
     COUNTIFS($AR$3:$AR$201,$M113)&gt;0,
     COUNTIFS($AS$3:$AS$201,$M113)&gt;0,
     COUNTIFS($AT$3:$AT$201,$M113)&gt;0,
     COUNTIFS($AU$3:$AU$201,$M113)&gt;0,
     COUNTIFS($AV$3:$AV$201,$M113)&gt;0,
     COUNTIFS($AW$3:$AW$201,$M113)&gt;0
   )),
  ),
  4
 ),
"")</f>
        <v/>
      </c>
      <c r="CA113" t="str">
        <f ca="1"/>
        <v>Scavenging Ooze</v>
      </c>
      <c r="CF113" t="str">
        <f ca="1"/>
        <v>Midnight Guard</v>
      </c>
      <c r="CI113" t="str">
        <f ca="1"/>
        <v>Guardiã da Aurora de Gavony</v>
      </c>
    </row>
    <row r="114" spans="1:87" x14ac:dyDescent="0.25">
      <c r="A114" t="str">
        <f ca="1"/>
        <v>Haru, Hidden Talent</v>
      </c>
      <c r="B114" s="3" t="str" cm="1">
        <f t="array" aca="1" ref="B114" ca="1">_xlfn.ANCHORARRAY(RESUMO!C113)</f>
        <v>Modular</v>
      </c>
      <c r="C114" s="3" t="str">
        <f t="shared" ca="1" si="4"/>
        <v/>
      </c>
      <c r="E114" t="str">
        <f ca="1"/>
        <v>Gwenna, Olhos de Gaia</v>
      </c>
      <c r="F114" s="3">
        <f t="shared" ca="1" si="5"/>
        <v>1</v>
      </c>
      <c r="G114" s="3" t="str">
        <f t="shared" ca="1" si="6"/>
        <v>Modular</v>
      </c>
      <c r="M114" t="str">
        <f ca="1"/>
        <v>Gwenna, Olhos de Gaia</v>
      </c>
      <c r="N114" s="3">
        <f t="shared" ca="1" si="7"/>
        <v>1</v>
      </c>
      <c r="O114" s="3" t="str">
        <f ca="1">IFERROR(
 INDEX($T$2:$AW$2,
  MATCH(TRUE,
   CHOOSE({1;2;3;4;5;6;7;8;9;10;11;12;13;14;15;16;17;18;19;20;21;22;23;24;25;26;27;28;29;30;31;32},
    COUNTIFS($T$3:$T$201,$M114)&gt;0,
    COUNTIFS($U$3:$U$201,$M114)&gt;0,
    COUNTIFS($V$3:$V$201,$M114)&gt;0,
    COUNTIFS($W$3:$W$201,$M114)&gt;0,
    COUNTIFS($X$3:$X$201,$M114)&gt;0,
    COUNTIFS($Y$3:$Y$201,$M114)&gt;0,
    COUNTIFS($Z$3:$Z$201,$M114)&gt;0,
    COUNTIFS($AA$3:$AA$201,$M114)&gt;0,
    COUNTIFS($AB$3:$AB$201,$M114)&gt;0,
    COUNTIFS($AC$3:$AC$201,$M114)&gt;0,
    COUNTIFS($AD$3:$AD$201,$M114)&gt;0,
    COUNTIFS($AE$3:$AE$201,$M114)&gt;0,
    COUNTIFS($AF$3:$AF$201,$M114)&gt;0,
    COUNTIFS($AG$3:$AG$201,$M114)&gt;0,
    COUNTIFS($AH$3:$AH$201,$M114)&gt;0,
    COUNTIFS($AI$3:$AI$201,$M114)&gt;0,
    COUNTIFS($AJ$3:$AJ$201,$M114)&gt;0,
    COUNTIFS($AK$3:$AK$201,$M114)&gt;0,
    COUNTIFS($AL$3:$AL$201,$M114)&gt;0,
    COUNTIFS($AM$3:$AM$201,$M114)&gt;0,
    COUNTIFS($AN$3:$AN$201,$M114)&gt;0,
    COUNTIFS($AO$3:$AO$201,$M114)&gt;0,
    COUNTIFS($AP$3:$AP$201,$M114)&gt;0,
    COUNTIFS($AQ$3:$AQ$201,$M114)&gt;0,
    COUNTIFS($AR$3:$AR$201,$M114)&gt;0,
    COUNTIFS($AS$3:$AS$201,$M114)&gt;0,
    COUNTIFS($AT$3:$AT$201,$M114)&gt;0,
    COUNTIFS($AU$3:$AU$201,$M114)&gt;0,
    COUNTIFS($AV$3:$AV$201,$M114)&gt;0,
    COUNTIFS($AW$3:$AW$201,$M114)&gt;0
   ),
  0)
 ),
"")</f>
        <v>Modular</v>
      </c>
      <c r="P114" s="3" t="str" cm="1">
        <f t="array" aca="1" ref="P114" ca="1">IFERROR(
 INDEX(
  _xlfn._xlws.FILTER($T$2:$AW$2,
   TRANSPOSE(
    CHOOSE({1;2;3;4;5;6;7;8;9;10;11;12;13;14;15;16;17;18;19;20;21;22;23;24;25;26;27;28;29;30},
     COUNTIFS($T$3:$T$201,$M114)&gt;0,
     COUNTIFS($U$3:$U$201,$M114)&gt;0,
     COUNTIFS($V$3:$V$201,$M114)&gt;0,
     COUNTIFS($W$3:$W$201,$M114)&gt;0,
     COUNTIFS($X$3:$X$201,$M114)&gt;0,
     COUNTIFS($Y$3:$Y$201,$M114)&gt;0,
     COUNTIFS($Z$3:$Z$201,$M114)&gt;0,
     COUNTIFS($AA$3:$AA$201,$M114)&gt;0,
     COUNTIFS($AB$3:$AB$201,$M114)&gt;0,
     COUNTIFS($AC$3:$AC$201,$M114)&gt;0,
     COUNTIFS($AD$3:$AD$201,$M114)&gt;0,
     COUNTIFS($AE$3:$AE$201,$M114)&gt;0,
     COUNTIFS($AF$3:$AF$201,$M114)&gt;0,
     COUNTIFS($AG$3:$AG$201,$M114)&gt;0,
     COUNTIFS($AH$3:$AH$201,$M114)&gt;0,
     COUNTIFS($AI$3:$AI$201,$M114)&gt;0,
     COUNTIFS($AJ$3:$AJ$201,$M114)&gt;0,
     COUNTIFS($AK$3:$AK$201,$M114)&gt;0,
     COUNTIFS($AL$3:$AL$201,$M114)&gt;0,
     COUNTIFS($AM$3:$AM$201,$M114)&gt;0,
     COUNTIFS($AN$3:$AN$201,$M114)&gt;0,
     COUNTIFS($AO$3:$AO$201,$M114)&gt;0,
     COUNTIFS($AP$3:$AP$201,$M114)&gt;0,
     COUNTIFS($AQ$3:$AQ$201,$M114)&gt;0,
     COUNTIFS($AR$3:$AR$201,$M114)&gt;0,
     COUNTIFS($AS$3:$AS$201,$M114)&gt;0,
     COUNTIFS($AT$3:$AT$201,$M114)&gt;0,
     COUNTIFS($AU$3:$AU$201,$M114)&gt;0,
     COUNTIFS($AV$3:$AV$201,$M114)&gt;0,
     COUNTIFS($AW$3:$AW$201,$M114)&gt;0
   )),
  ),
  2
 ),
"")</f>
        <v/>
      </c>
      <c r="Q114" s="3" t="str" cm="1">
        <f t="array" aca="1" ref="Q114" ca="1">IFERROR(
 INDEX(
  _xlfn._xlws.FILTER($T$2:$AW$2,
   TRANSPOSE(
    CHOOSE({1;2;3;4;5;6;7;8;9;10;11;12;13;14;15;16;17;18;19;20;21;22;23;24;25;26;27;28;29;30},
     COUNTIFS($T$3:$T$201,$M114)&gt;0,
     COUNTIFS($U$3:$U$201,$M114)&gt;0,
     COUNTIFS($V$3:$V$201,$M114)&gt;0,
     COUNTIFS($W$3:$W$201,$M114)&gt;0,
     COUNTIFS($X$3:$X$201,$M114)&gt;0,
     COUNTIFS($Y$3:$Y$201,$M114)&gt;0,
     COUNTIFS($Z$3:$Z$201,$M114)&gt;0,
     COUNTIFS($AA$3:$AA$201,$M114)&gt;0,
     COUNTIFS($AB$3:$AB$201,$M114)&gt;0,
     COUNTIFS($AC$3:$AC$201,$M114)&gt;0,
     COUNTIFS($AD$3:$AD$201,$M114)&gt;0,
     COUNTIFS($AE$3:$AE$201,$M114)&gt;0,
     COUNTIFS($AF$3:$AF$201,$M114)&gt;0,
     COUNTIFS($AG$3:$AG$201,$M114)&gt;0,
     COUNTIFS($AH$3:$AH$201,$M114)&gt;0,
     COUNTIFS($AI$3:$AI$201,$M114)&gt;0,
     COUNTIFS($AJ$3:$AJ$201,$M114)&gt;0,
     COUNTIFS($AK$3:$AK$201,$M114)&gt;0,
     COUNTIFS($AL$3:$AL$201,$M114)&gt;0,
     COUNTIFS($AM$3:$AM$201,$M114)&gt;0,
     COUNTIFS($AN$3:$AN$201,$M114)&gt;0,
     COUNTIFS($AO$3:$AO$201,$M114)&gt;0,
     COUNTIFS($AP$3:$AP$201,$M114)&gt;0,
     COUNTIFS($AQ$3:$AQ$201,$M114)&gt;0,
     COUNTIFS($AR$3:$AR$201,$M114)&gt;0,
     COUNTIFS($AS$3:$AS$201,$M114)&gt;0,
     COUNTIFS($AT$3:$AT$201,$M114)&gt;0,
     COUNTIFS($AU$3:$AU$201,$M114)&gt;0,
     COUNTIFS($AV$3:$AV$201,$M114)&gt;0,
     COUNTIFS($AW$3:$AW$201,$M114)&gt;0
   )),
  ),
  3
 ),
"")</f>
        <v/>
      </c>
      <c r="R114" s="3" t="str" cm="1">
        <f t="array" aca="1" ref="R114" ca="1">IFERROR(
 INDEX(
  _xlfn._xlws.FILTER($T$2:$AW$2,
   TRANSPOSE(
    CHOOSE({1;2;3;4;5;6;7;8;9;10;11;12;13;14;15;16;17;18;19;20;21;22;23;24;25;26;27;28;29;30},
     COUNTIFS($T$3:$T$201,$M114)&gt;0,
     COUNTIFS($U$3:$U$201,$M114)&gt;0,
     COUNTIFS($V$3:$V$201,$M114)&gt;0,
     COUNTIFS($W$3:$W$201,$M114)&gt;0,
     COUNTIFS($X$3:$X$201,$M114)&gt;0,
     COUNTIFS($Y$3:$Y$201,$M114)&gt;0,
     COUNTIFS($Z$3:$Z$201,$M114)&gt;0,
     COUNTIFS($AA$3:$AA$201,$M114)&gt;0,
     COUNTIFS($AB$3:$AB$201,$M114)&gt;0,
     COUNTIFS($AC$3:$AC$201,$M114)&gt;0,
     COUNTIFS($AD$3:$AD$201,$M114)&gt;0,
     COUNTIFS($AE$3:$AE$201,$M114)&gt;0,
     COUNTIFS($AF$3:$AF$201,$M114)&gt;0,
     COUNTIFS($AG$3:$AG$201,$M114)&gt;0,
     COUNTIFS($AH$3:$AH$201,$M114)&gt;0,
     COUNTIFS($AI$3:$AI$201,$M114)&gt;0,
     COUNTIFS($AJ$3:$AJ$201,$M114)&gt;0,
     COUNTIFS($AK$3:$AK$201,$M114)&gt;0,
     COUNTIFS($AL$3:$AL$201,$M114)&gt;0,
     COUNTIFS($AM$3:$AM$201,$M114)&gt;0,
     COUNTIFS($AN$3:$AN$201,$M114)&gt;0,
     COUNTIFS($AO$3:$AO$201,$M114)&gt;0,
     COUNTIFS($AP$3:$AP$201,$M114)&gt;0,
     COUNTIFS($AQ$3:$AQ$201,$M114)&gt;0,
     COUNTIFS($AR$3:$AR$201,$M114)&gt;0,
     COUNTIFS($AS$3:$AS$201,$M114)&gt;0,
     COUNTIFS($AT$3:$AT$201,$M114)&gt;0,
     COUNTIFS($AU$3:$AU$201,$M114)&gt;0,
     COUNTIFS($AV$3:$AV$201,$M114)&gt;0,
     COUNTIFS($AW$3:$AW$201,$M114)&gt;0
   )),
  ),
  4
 ),
"")</f>
        <v/>
      </c>
      <c r="CA114" t="str">
        <f ca="1"/>
        <v>Scute Mob</v>
      </c>
      <c r="CF114" t="str">
        <f ca="1"/>
        <v>Mind Stone</v>
      </c>
      <c r="CI114" t="str">
        <f ca="1"/>
        <v>Gwenna, Olhos de Gaia</v>
      </c>
    </row>
    <row r="115" spans="1:87" x14ac:dyDescent="0.25">
      <c r="A115" t="str">
        <f ca="1"/>
        <v>Harvest Season</v>
      </c>
      <c r="B115" s="3" t="str" cm="1">
        <f t="array" aca="1" ref="B115" ca="1">_xlfn.ANCHORARRAY(RESUMO!C114)</f>
        <v>Kumena</v>
      </c>
      <c r="C115" s="3" t="str">
        <f t="shared" ca="1" si="4"/>
        <v/>
      </c>
      <c r="E115" t="str">
        <f ca="1"/>
        <v>Harrow</v>
      </c>
      <c r="F115" s="3">
        <f t="shared" ca="1" si="5"/>
        <v>1</v>
      </c>
      <c r="G115" s="3" t="str">
        <f t="shared" ca="1" si="6"/>
        <v>Zimone</v>
      </c>
      <c r="M115" t="str">
        <f ca="1"/>
        <v>Harrow</v>
      </c>
      <c r="N115" s="3">
        <f t="shared" ca="1" si="7"/>
        <v>1</v>
      </c>
      <c r="O115" s="3" t="str">
        <f ca="1">IFERROR(
 INDEX($T$2:$AW$2,
  MATCH(TRUE,
   CHOOSE({1;2;3;4;5;6;7;8;9;10;11;12;13;14;15;16;17;18;19;20;21;22;23;24;25;26;27;28;29;30;31;32},
    COUNTIFS($T$3:$T$201,$M115)&gt;0,
    COUNTIFS($U$3:$U$201,$M115)&gt;0,
    COUNTIFS($V$3:$V$201,$M115)&gt;0,
    COUNTIFS($W$3:$W$201,$M115)&gt;0,
    COUNTIFS($X$3:$X$201,$M115)&gt;0,
    COUNTIFS($Y$3:$Y$201,$M115)&gt;0,
    COUNTIFS($Z$3:$Z$201,$M115)&gt;0,
    COUNTIFS($AA$3:$AA$201,$M115)&gt;0,
    COUNTIFS($AB$3:$AB$201,$M115)&gt;0,
    COUNTIFS($AC$3:$AC$201,$M115)&gt;0,
    COUNTIFS($AD$3:$AD$201,$M115)&gt;0,
    COUNTIFS($AE$3:$AE$201,$M115)&gt;0,
    COUNTIFS($AF$3:$AF$201,$M115)&gt;0,
    COUNTIFS($AG$3:$AG$201,$M115)&gt;0,
    COUNTIFS($AH$3:$AH$201,$M115)&gt;0,
    COUNTIFS($AI$3:$AI$201,$M115)&gt;0,
    COUNTIFS($AJ$3:$AJ$201,$M115)&gt;0,
    COUNTIFS($AK$3:$AK$201,$M115)&gt;0,
    COUNTIFS($AL$3:$AL$201,$M115)&gt;0,
    COUNTIFS($AM$3:$AM$201,$M115)&gt;0,
    COUNTIFS($AN$3:$AN$201,$M115)&gt;0,
    COUNTIFS($AO$3:$AO$201,$M115)&gt;0,
    COUNTIFS($AP$3:$AP$201,$M115)&gt;0,
    COUNTIFS($AQ$3:$AQ$201,$M115)&gt;0,
    COUNTIFS($AR$3:$AR$201,$M115)&gt;0,
    COUNTIFS($AS$3:$AS$201,$M115)&gt;0,
    COUNTIFS($AT$3:$AT$201,$M115)&gt;0,
    COUNTIFS($AU$3:$AU$201,$M115)&gt;0,
    COUNTIFS($AV$3:$AV$201,$M115)&gt;0,
    COUNTIFS($AW$3:$AW$201,$M115)&gt;0
   ),
  0)
 ),
"")</f>
        <v>Zimone</v>
      </c>
      <c r="P115" s="3" t="str" cm="1">
        <f t="array" aca="1" ref="P115" ca="1">IFERROR(
 INDEX(
  _xlfn._xlws.FILTER($T$2:$AW$2,
   TRANSPOSE(
    CHOOSE({1;2;3;4;5;6;7;8;9;10;11;12;13;14;15;16;17;18;19;20;21;22;23;24;25;26;27;28;29;30},
     COUNTIFS($T$3:$T$201,$M115)&gt;0,
     COUNTIFS($U$3:$U$201,$M115)&gt;0,
     COUNTIFS($V$3:$V$201,$M115)&gt;0,
     COUNTIFS($W$3:$W$201,$M115)&gt;0,
     COUNTIFS($X$3:$X$201,$M115)&gt;0,
     COUNTIFS($Y$3:$Y$201,$M115)&gt;0,
     COUNTIFS($Z$3:$Z$201,$M115)&gt;0,
     COUNTIFS($AA$3:$AA$201,$M115)&gt;0,
     COUNTIFS($AB$3:$AB$201,$M115)&gt;0,
     COUNTIFS($AC$3:$AC$201,$M115)&gt;0,
     COUNTIFS($AD$3:$AD$201,$M115)&gt;0,
     COUNTIFS($AE$3:$AE$201,$M115)&gt;0,
     COUNTIFS($AF$3:$AF$201,$M115)&gt;0,
     COUNTIFS($AG$3:$AG$201,$M115)&gt;0,
     COUNTIFS($AH$3:$AH$201,$M115)&gt;0,
     COUNTIFS($AI$3:$AI$201,$M115)&gt;0,
     COUNTIFS($AJ$3:$AJ$201,$M115)&gt;0,
     COUNTIFS($AK$3:$AK$201,$M115)&gt;0,
     COUNTIFS($AL$3:$AL$201,$M115)&gt;0,
     COUNTIFS($AM$3:$AM$201,$M115)&gt;0,
     COUNTIFS($AN$3:$AN$201,$M115)&gt;0,
     COUNTIFS($AO$3:$AO$201,$M115)&gt;0,
     COUNTIFS($AP$3:$AP$201,$M115)&gt;0,
     COUNTIFS($AQ$3:$AQ$201,$M115)&gt;0,
     COUNTIFS($AR$3:$AR$201,$M115)&gt;0,
     COUNTIFS($AS$3:$AS$201,$M115)&gt;0,
     COUNTIFS($AT$3:$AT$201,$M115)&gt;0,
     COUNTIFS($AU$3:$AU$201,$M115)&gt;0,
     COUNTIFS($AV$3:$AV$201,$M115)&gt;0,
     COUNTIFS($AW$3:$AW$201,$M115)&gt;0
   )),
  ),
  2
 ),
"")</f>
        <v/>
      </c>
      <c r="Q115" s="3" t="str" cm="1">
        <f t="array" aca="1" ref="Q115" ca="1">IFERROR(
 INDEX(
  _xlfn._xlws.FILTER($T$2:$AW$2,
   TRANSPOSE(
    CHOOSE({1;2;3;4;5;6;7;8;9;10;11;12;13;14;15;16;17;18;19;20;21;22;23;24;25;26;27;28;29;30},
     COUNTIFS($T$3:$T$201,$M115)&gt;0,
     COUNTIFS($U$3:$U$201,$M115)&gt;0,
     COUNTIFS($V$3:$V$201,$M115)&gt;0,
     COUNTIFS($W$3:$W$201,$M115)&gt;0,
     COUNTIFS($X$3:$X$201,$M115)&gt;0,
     COUNTIFS($Y$3:$Y$201,$M115)&gt;0,
     COUNTIFS($Z$3:$Z$201,$M115)&gt;0,
     COUNTIFS($AA$3:$AA$201,$M115)&gt;0,
     COUNTIFS($AB$3:$AB$201,$M115)&gt;0,
     COUNTIFS($AC$3:$AC$201,$M115)&gt;0,
     COUNTIFS($AD$3:$AD$201,$M115)&gt;0,
     COUNTIFS($AE$3:$AE$201,$M115)&gt;0,
     COUNTIFS($AF$3:$AF$201,$M115)&gt;0,
     COUNTIFS($AG$3:$AG$201,$M115)&gt;0,
     COUNTIFS($AH$3:$AH$201,$M115)&gt;0,
     COUNTIFS($AI$3:$AI$201,$M115)&gt;0,
     COUNTIFS($AJ$3:$AJ$201,$M115)&gt;0,
     COUNTIFS($AK$3:$AK$201,$M115)&gt;0,
     COUNTIFS($AL$3:$AL$201,$M115)&gt;0,
     COUNTIFS($AM$3:$AM$201,$M115)&gt;0,
     COUNTIFS($AN$3:$AN$201,$M115)&gt;0,
     COUNTIFS($AO$3:$AO$201,$M115)&gt;0,
     COUNTIFS($AP$3:$AP$201,$M115)&gt;0,
     COUNTIFS($AQ$3:$AQ$201,$M115)&gt;0,
     COUNTIFS($AR$3:$AR$201,$M115)&gt;0,
     COUNTIFS($AS$3:$AS$201,$M115)&gt;0,
     COUNTIFS($AT$3:$AT$201,$M115)&gt;0,
     COUNTIFS($AU$3:$AU$201,$M115)&gt;0,
     COUNTIFS($AV$3:$AV$201,$M115)&gt;0,
     COUNTIFS($AW$3:$AW$201,$M115)&gt;0
   )),
  ),
  3
 ),
"")</f>
        <v/>
      </c>
      <c r="R115" s="3" t="str" cm="1">
        <f t="array" aca="1" ref="R115" ca="1">IFERROR(
 INDEX(
  _xlfn._xlws.FILTER($T$2:$AW$2,
   TRANSPOSE(
    CHOOSE({1;2;3;4;5;6;7;8;9;10;11;12;13;14;15;16;17;18;19;20;21;22;23;24;25;26;27;28;29;30},
     COUNTIFS($T$3:$T$201,$M115)&gt;0,
     COUNTIFS($U$3:$U$201,$M115)&gt;0,
     COUNTIFS($V$3:$V$201,$M115)&gt;0,
     COUNTIFS($W$3:$W$201,$M115)&gt;0,
     COUNTIFS($X$3:$X$201,$M115)&gt;0,
     COUNTIFS($Y$3:$Y$201,$M115)&gt;0,
     COUNTIFS($Z$3:$Z$201,$M115)&gt;0,
     COUNTIFS($AA$3:$AA$201,$M115)&gt;0,
     COUNTIFS($AB$3:$AB$201,$M115)&gt;0,
     COUNTIFS($AC$3:$AC$201,$M115)&gt;0,
     COUNTIFS($AD$3:$AD$201,$M115)&gt;0,
     COUNTIFS($AE$3:$AE$201,$M115)&gt;0,
     COUNTIFS($AF$3:$AF$201,$M115)&gt;0,
     COUNTIFS($AG$3:$AG$201,$M115)&gt;0,
     COUNTIFS($AH$3:$AH$201,$M115)&gt;0,
     COUNTIFS($AI$3:$AI$201,$M115)&gt;0,
     COUNTIFS($AJ$3:$AJ$201,$M115)&gt;0,
     COUNTIFS($AK$3:$AK$201,$M115)&gt;0,
     COUNTIFS($AL$3:$AL$201,$M115)&gt;0,
     COUNTIFS($AM$3:$AM$201,$M115)&gt;0,
     COUNTIFS($AN$3:$AN$201,$M115)&gt;0,
     COUNTIFS($AO$3:$AO$201,$M115)&gt;0,
     COUNTIFS($AP$3:$AP$201,$M115)&gt;0,
     COUNTIFS($AQ$3:$AQ$201,$M115)&gt;0,
     COUNTIFS($AR$3:$AR$201,$M115)&gt;0,
     COUNTIFS($AS$3:$AS$201,$M115)&gt;0,
     COUNTIFS($AT$3:$AT$201,$M115)&gt;0,
     COUNTIFS($AU$3:$AU$201,$M115)&gt;0,
     COUNTIFS($AV$3:$AV$201,$M115)&gt;0,
     COUNTIFS($AW$3:$AW$201,$M115)&gt;0
   )),
  ),
  4
 ),
"")</f>
        <v/>
      </c>
      <c r="CA115" t="str">
        <f ca="1"/>
        <v>Selesnya Sanctuary</v>
      </c>
      <c r="CF115" t="str">
        <f ca="1"/>
        <v>Molda-mundo</v>
      </c>
      <c r="CI115" t="str">
        <f ca="1"/>
        <v>Harrow</v>
      </c>
    </row>
    <row r="116" spans="1:87" x14ac:dyDescent="0.25">
      <c r="A116" t="str">
        <f ca="1"/>
        <v>Havengul Laboratory</v>
      </c>
      <c r="B116" s="3" t="str" cm="1">
        <f t="array" aca="1" ref="B116" ca="1">_xlfn.ANCHORARRAY(RESUMO!C115)</f>
        <v>Rani</v>
      </c>
      <c r="C116" s="3" t="str">
        <f t="shared" ca="1" si="4"/>
        <v/>
      </c>
      <c r="E116" t="str">
        <f ca="1"/>
        <v>High Priest of Penance</v>
      </c>
      <c r="F116" s="3">
        <f t="shared" ca="1" si="5"/>
        <v>1</v>
      </c>
      <c r="G116" s="3" t="str">
        <f t="shared" ca="1" si="6"/>
        <v>Carlos</v>
      </c>
      <c r="M116" t="str">
        <f ca="1"/>
        <v>High Priest of Penance</v>
      </c>
      <c r="N116" s="3">
        <f t="shared" ca="1" si="7"/>
        <v>1</v>
      </c>
      <c r="O116" s="3" t="str">
        <f ca="1">IFERROR(
 INDEX($T$2:$AW$2,
  MATCH(TRUE,
   CHOOSE({1;2;3;4;5;6;7;8;9;10;11;12;13;14;15;16;17;18;19;20;21;22;23;24;25;26;27;28;29;30;31;32},
    COUNTIFS($T$3:$T$201,$M116)&gt;0,
    COUNTIFS($U$3:$U$201,$M116)&gt;0,
    COUNTIFS($V$3:$V$201,$M116)&gt;0,
    COUNTIFS($W$3:$W$201,$M116)&gt;0,
    COUNTIFS($X$3:$X$201,$M116)&gt;0,
    COUNTIFS($Y$3:$Y$201,$M116)&gt;0,
    COUNTIFS($Z$3:$Z$201,$M116)&gt;0,
    COUNTIFS($AA$3:$AA$201,$M116)&gt;0,
    COUNTIFS($AB$3:$AB$201,$M116)&gt;0,
    COUNTIFS($AC$3:$AC$201,$M116)&gt;0,
    COUNTIFS($AD$3:$AD$201,$M116)&gt;0,
    COUNTIFS($AE$3:$AE$201,$M116)&gt;0,
    COUNTIFS($AF$3:$AF$201,$M116)&gt;0,
    COUNTIFS($AG$3:$AG$201,$M116)&gt;0,
    COUNTIFS($AH$3:$AH$201,$M116)&gt;0,
    COUNTIFS($AI$3:$AI$201,$M116)&gt;0,
    COUNTIFS($AJ$3:$AJ$201,$M116)&gt;0,
    COUNTIFS($AK$3:$AK$201,$M116)&gt;0,
    COUNTIFS($AL$3:$AL$201,$M116)&gt;0,
    COUNTIFS($AM$3:$AM$201,$M116)&gt;0,
    COUNTIFS($AN$3:$AN$201,$M116)&gt;0,
    COUNTIFS($AO$3:$AO$201,$M116)&gt;0,
    COUNTIFS($AP$3:$AP$201,$M116)&gt;0,
    COUNTIFS($AQ$3:$AQ$201,$M116)&gt;0,
    COUNTIFS($AR$3:$AR$201,$M116)&gt;0,
    COUNTIFS($AS$3:$AS$201,$M116)&gt;0,
    COUNTIFS($AT$3:$AT$201,$M116)&gt;0,
    COUNTIFS($AU$3:$AU$201,$M116)&gt;0,
    COUNTIFS($AV$3:$AV$201,$M116)&gt;0,
    COUNTIFS($AW$3:$AW$201,$M116)&gt;0
   ),
  0)
 ),
"")</f>
        <v>Carlos</v>
      </c>
      <c r="P116" s="3" t="str" cm="1">
        <f t="array" aca="1" ref="P116" ca="1">IFERROR(
 INDEX(
  _xlfn._xlws.FILTER($T$2:$AW$2,
   TRANSPOSE(
    CHOOSE({1;2;3;4;5;6;7;8;9;10;11;12;13;14;15;16;17;18;19;20;21;22;23;24;25;26;27;28;29;30},
     COUNTIFS($T$3:$T$201,$M116)&gt;0,
     COUNTIFS($U$3:$U$201,$M116)&gt;0,
     COUNTIFS($V$3:$V$201,$M116)&gt;0,
     COUNTIFS($W$3:$W$201,$M116)&gt;0,
     COUNTIFS($X$3:$X$201,$M116)&gt;0,
     COUNTIFS($Y$3:$Y$201,$M116)&gt;0,
     COUNTIFS($Z$3:$Z$201,$M116)&gt;0,
     COUNTIFS($AA$3:$AA$201,$M116)&gt;0,
     COUNTIFS($AB$3:$AB$201,$M116)&gt;0,
     COUNTIFS($AC$3:$AC$201,$M116)&gt;0,
     COUNTIFS($AD$3:$AD$201,$M116)&gt;0,
     COUNTIFS($AE$3:$AE$201,$M116)&gt;0,
     COUNTIFS($AF$3:$AF$201,$M116)&gt;0,
     COUNTIFS($AG$3:$AG$201,$M116)&gt;0,
     COUNTIFS($AH$3:$AH$201,$M116)&gt;0,
     COUNTIFS($AI$3:$AI$201,$M116)&gt;0,
     COUNTIFS($AJ$3:$AJ$201,$M116)&gt;0,
     COUNTIFS($AK$3:$AK$201,$M116)&gt;0,
     COUNTIFS($AL$3:$AL$201,$M116)&gt;0,
     COUNTIFS($AM$3:$AM$201,$M116)&gt;0,
     COUNTIFS($AN$3:$AN$201,$M116)&gt;0,
     COUNTIFS($AO$3:$AO$201,$M116)&gt;0,
     COUNTIFS($AP$3:$AP$201,$M116)&gt;0,
     COUNTIFS($AQ$3:$AQ$201,$M116)&gt;0,
     COUNTIFS($AR$3:$AR$201,$M116)&gt;0,
     COUNTIFS($AS$3:$AS$201,$M116)&gt;0,
     COUNTIFS($AT$3:$AT$201,$M116)&gt;0,
     COUNTIFS($AU$3:$AU$201,$M116)&gt;0,
     COUNTIFS($AV$3:$AV$201,$M116)&gt;0,
     COUNTIFS($AW$3:$AW$201,$M116)&gt;0
   )),
  ),
  2
 ),
"")</f>
        <v/>
      </c>
      <c r="Q116" s="3" t="str" cm="1">
        <f t="array" aca="1" ref="Q116" ca="1">IFERROR(
 INDEX(
  _xlfn._xlws.FILTER($T$2:$AW$2,
   TRANSPOSE(
    CHOOSE({1;2;3;4;5;6;7;8;9;10;11;12;13;14;15;16;17;18;19;20;21;22;23;24;25;26;27;28;29;30},
     COUNTIFS($T$3:$T$201,$M116)&gt;0,
     COUNTIFS($U$3:$U$201,$M116)&gt;0,
     COUNTIFS($V$3:$V$201,$M116)&gt;0,
     COUNTIFS($W$3:$W$201,$M116)&gt;0,
     COUNTIFS($X$3:$X$201,$M116)&gt;0,
     COUNTIFS($Y$3:$Y$201,$M116)&gt;0,
     COUNTIFS($Z$3:$Z$201,$M116)&gt;0,
     COUNTIFS($AA$3:$AA$201,$M116)&gt;0,
     COUNTIFS($AB$3:$AB$201,$M116)&gt;0,
     COUNTIFS($AC$3:$AC$201,$M116)&gt;0,
     COUNTIFS($AD$3:$AD$201,$M116)&gt;0,
     COUNTIFS($AE$3:$AE$201,$M116)&gt;0,
     COUNTIFS($AF$3:$AF$201,$M116)&gt;0,
     COUNTIFS($AG$3:$AG$201,$M116)&gt;0,
     COUNTIFS($AH$3:$AH$201,$M116)&gt;0,
     COUNTIFS($AI$3:$AI$201,$M116)&gt;0,
     COUNTIFS($AJ$3:$AJ$201,$M116)&gt;0,
     COUNTIFS($AK$3:$AK$201,$M116)&gt;0,
     COUNTIFS($AL$3:$AL$201,$M116)&gt;0,
     COUNTIFS($AM$3:$AM$201,$M116)&gt;0,
     COUNTIFS($AN$3:$AN$201,$M116)&gt;0,
     COUNTIFS($AO$3:$AO$201,$M116)&gt;0,
     COUNTIFS($AP$3:$AP$201,$M116)&gt;0,
     COUNTIFS($AQ$3:$AQ$201,$M116)&gt;0,
     COUNTIFS($AR$3:$AR$201,$M116)&gt;0,
     COUNTIFS($AS$3:$AS$201,$M116)&gt;0,
     COUNTIFS($AT$3:$AT$201,$M116)&gt;0,
     COUNTIFS($AU$3:$AU$201,$M116)&gt;0,
     COUNTIFS($AV$3:$AV$201,$M116)&gt;0,
     COUNTIFS($AW$3:$AW$201,$M116)&gt;0
   )),
  ),
  3
 ),
"")</f>
        <v/>
      </c>
      <c r="R116" s="3" t="str" cm="1">
        <f t="array" aca="1" ref="R116" ca="1">IFERROR(
 INDEX(
  _xlfn._xlws.FILTER($T$2:$AW$2,
   TRANSPOSE(
    CHOOSE({1;2;3;4;5;6;7;8;9;10;11;12;13;14;15;16;17;18;19;20;21;22;23;24;25;26;27;28;29;30},
     COUNTIFS($T$3:$T$201,$M116)&gt;0,
     COUNTIFS($U$3:$U$201,$M116)&gt;0,
     COUNTIFS($V$3:$V$201,$M116)&gt;0,
     COUNTIFS($W$3:$W$201,$M116)&gt;0,
     COUNTIFS($X$3:$X$201,$M116)&gt;0,
     COUNTIFS($Y$3:$Y$201,$M116)&gt;0,
     COUNTIFS($Z$3:$Z$201,$M116)&gt;0,
     COUNTIFS($AA$3:$AA$201,$M116)&gt;0,
     COUNTIFS($AB$3:$AB$201,$M116)&gt;0,
     COUNTIFS($AC$3:$AC$201,$M116)&gt;0,
     COUNTIFS($AD$3:$AD$201,$M116)&gt;0,
     COUNTIFS($AE$3:$AE$201,$M116)&gt;0,
     COUNTIFS($AF$3:$AF$201,$M116)&gt;0,
     COUNTIFS($AG$3:$AG$201,$M116)&gt;0,
     COUNTIFS($AH$3:$AH$201,$M116)&gt;0,
     COUNTIFS($AI$3:$AI$201,$M116)&gt;0,
     COUNTIFS($AJ$3:$AJ$201,$M116)&gt;0,
     COUNTIFS($AK$3:$AK$201,$M116)&gt;0,
     COUNTIFS($AL$3:$AL$201,$M116)&gt;0,
     COUNTIFS($AM$3:$AM$201,$M116)&gt;0,
     COUNTIFS($AN$3:$AN$201,$M116)&gt;0,
     COUNTIFS($AO$3:$AO$201,$M116)&gt;0,
     COUNTIFS($AP$3:$AP$201,$M116)&gt;0,
     COUNTIFS($AQ$3:$AQ$201,$M116)&gt;0,
     COUNTIFS($AR$3:$AR$201,$M116)&gt;0,
     COUNTIFS($AS$3:$AS$201,$M116)&gt;0,
     COUNTIFS($AT$3:$AT$201,$M116)&gt;0,
     COUNTIFS($AU$3:$AU$201,$M116)&gt;0,
     COUNTIFS($AV$3:$AV$201,$M116)&gt;0,
     COUNTIFS($AW$3:$AW$201,$M116)&gt;0
   )),
  ),
  4
 ),
"")</f>
        <v/>
      </c>
      <c r="CA116" t="str">
        <f ca="1"/>
        <v>Servidão Imortal</v>
      </c>
      <c r="CF116" t="str">
        <f ca="1"/>
        <v>Montanha</v>
      </c>
      <c r="CI116" t="str">
        <f ca="1"/>
        <v>High Priest of Penance</v>
      </c>
    </row>
    <row r="117" spans="1:87" x14ac:dyDescent="0.25">
      <c r="A117" t="str">
        <f ca="1"/>
        <v>Haywire Mite</v>
      </c>
      <c r="B117" s="3" t="str" cm="1">
        <f t="array" aca="1" ref="B117" ca="1">_xlfn.ANCHORARRAY(RESUMO!C116)</f>
        <v>Modular</v>
      </c>
      <c r="C117" s="3" t="str">
        <f t="shared" ca="1" si="4"/>
        <v/>
      </c>
      <c r="E117" t="str">
        <f ca="1"/>
        <v>Horda Germinal</v>
      </c>
      <c r="F117" s="3">
        <f t="shared" ca="1" si="5"/>
        <v>1</v>
      </c>
      <c r="G117" s="3" t="str">
        <f t="shared" ca="1" si="6"/>
        <v>Baylen</v>
      </c>
      <c r="M117" t="str">
        <f ca="1"/>
        <v>Horda Germinal</v>
      </c>
      <c r="N117" s="3">
        <f t="shared" ca="1" si="7"/>
        <v>1</v>
      </c>
      <c r="O117" s="3" t="str">
        <f ca="1">IFERROR(
 INDEX($T$2:$AW$2,
  MATCH(TRUE,
   CHOOSE({1;2;3;4;5;6;7;8;9;10;11;12;13;14;15;16;17;18;19;20;21;22;23;24;25;26;27;28;29;30;31;32},
    COUNTIFS($T$3:$T$201,$M117)&gt;0,
    COUNTIFS($U$3:$U$201,$M117)&gt;0,
    COUNTIFS($V$3:$V$201,$M117)&gt;0,
    COUNTIFS($W$3:$W$201,$M117)&gt;0,
    COUNTIFS($X$3:$X$201,$M117)&gt;0,
    COUNTIFS($Y$3:$Y$201,$M117)&gt;0,
    COUNTIFS($Z$3:$Z$201,$M117)&gt;0,
    COUNTIFS($AA$3:$AA$201,$M117)&gt;0,
    COUNTIFS($AB$3:$AB$201,$M117)&gt;0,
    COUNTIFS($AC$3:$AC$201,$M117)&gt;0,
    COUNTIFS($AD$3:$AD$201,$M117)&gt;0,
    COUNTIFS($AE$3:$AE$201,$M117)&gt;0,
    COUNTIFS($AF$3:$AF$201,$M117)&gt;0,
    COUNTIFS($AG$3:$AG$201,$M117)&gt;0,
    COUNTIFS($AH$3:$AH$201,$M117)&gt;0,
    COUNTIFS($AI$3:$AI$201,$M117)&gt;0,
    COUNTIFS($AJ$3:$AJ$201,$M117)&gt;0,
    COUNTIFS($AK$3:$AK$201,$M117)&gt;0,
    COUNTIFS($AL$3:$AL$201,$M117)&gt;0,
    COUNTIFS($AM$3:$AM$201,$M117)&gt;0,
    COUNTIFS($AN$3:$AN$201,$M117)&gt;0,
    COUNTIFS($AO$3:$AO$201,$M117)&gt;0,
    COUNTIFS($AP$3:$AP$201,$M117)&gt;0,
    COUNTIFS($AQ$3:$AQ$201,$M117)&gt;0,
    COUNTIFS($AR$3:$AR$201,$M117)&gt;0,
    COUNTIFS($AS$3:$AS$201,$M117)&gt;0,
    COUNTIFS($AT$3:$AT$201,$M117)&gt;0,
    COUNTIFS($AU$3:$AU$201,$M117)&gt;0,
    COUNTIFS($AV$3:$AV$201,$M117)&gt;0,
    COUNTIFS($AW$3:$AW$201,$M117)&gt;0
   ),
  0)
 ),
"")</f>
        <v>Baylen</v>
      </c>
      <c r="P117" s="3" t="str" cm="1">
        <f t="array" aca="1" ref="P117" ca="1">IFERROR(
 INDEX(
  _xlfn._xlws.FILTER($T$2:$AW$2,
   TRANSPOSE(
    CHOOSE({1;2;3;4;5;6;7;8;9;10;11;12;13;14;15;16;17;18;19;20;21;22;23;24;25;26;27;28;29;30},
     COUNTIFS($T$3:$T$201,$M117)&gt;0,
     COUNTIFS($U$3:$U$201,$M117)&gt;0,
     COUNTIFS($V$3:$V$201,$M117)&gt;0,
     COUNTIFS($W$3:$W$201,$M117)&gt;0,
     COUNTIFS($X$3:$X$201,$M117)&gt;0,
     COUNTIFS($Y$3:$Y$201,$M117)&gt;0,
     COUNTIFS($Z$3:$Z$201,$M117)&gt;0,
     COUNTIFS($AA$3:$AA$201,$M117)&gt;0,
     COUNTIFS($AB$3:$AB$201,$M117)&gt;0,
     COUNTIFS($AC$3:$AC$201,$M117)&gt;0,
     COUNTIFS($AD$3:$AD$201,$M117)&gt;0,
     COUNTIFS($AE$3:$AE$201,$M117)&gt;0,
     COUNTIFS($AF$3:$AF$201,$M117)&gt;0,
     COUNTIFS($AG$3:$AG$201,$M117)&gt;0,
     COUNTIFS($AH$3:$AH$201,$M117)&gt;0,
     COUNTIFS($AI$3:$AI$201,$M117)&gt;0,
     COUNTIFS($AJ$3:$AJ$201,$M117)&gt;0,
     COUNTIFS($AK$3:$AK$201,$M117)&gt;0,
     COUNTIFS($AL$3:$AL$201,$M117)&gt;0,
     COUNTIFS($AM$3:$AM$201,$M117)&gt;0,
     COUNTIFS($AN$3:$AN$201,$M117)&gt;0,
     COUNTIFS($AO$3:$AO$201,$M117)&gt;0,
     COUNTIFS($AP$3:$AP$201,$M117)&gt;0,
     COUNTIFS($AQ$3:$AQ$201,$M117)&gt;0,
     COUNTIFS($AR$3:$AR$201,$M117)&gt;0,
     COUNTIFS($AS$3:$AS$201,$M117)&gt;0,
     COUNTIFS($AT$3:$AT$201,$M117)&gt;0,
     COUNTIFS($AU$3:$AU$201,$M117)&gt;0,
     COUNTIFS($AV$3:$AV$201,$M117)&gt;0,
     COUNTIFS($AW$3:$AW$201,$M117)&gt;0
   )),
  ),
  2
 ),
"")</f>
        <v/>
      </c>
      <c r="Q117" s="3" t="str" cm="1">
        <f t="array" aca="1" ref="Q117" ca="1">IFERROR(
 INDEX(
  _xlfn._xlws.FILTER($T$2:$AW$2,
   TRANSPOSE(
    CHOOSE({1;2;3;4;5;6;7;8;9;10;11;12;13;14;15;16;17;18;19;20;21;22;23;24;25;26;27;28;29;30},
     COUNTIFS($T$3:$T$201,$M117)&gt;0,
     COUNTIFS($U$3:$U$201,$M117)&gt;0,
     COUNTIFS($V$3:$V$201,$M117)&gt;0,
     COUNTIFS($W$3:$W$201,$M117)&gt;0,
     COUNTIFS($X$3:$X$201,$M117)&gt;0,
     COUNTIFS($Y$3:$Y$201,$M117)&gt;0,
     COUNTIFS($Z$3:$Z$201,$M117)&gt;0,
     COUNTIFS($AA$3:$AA$201,$M117)&gt;0,
     COUNTIFS($AB$3:$AB$201,$M117)&gt;0,
     COUNTIFS($AC$3:$AC$201,$M117)&gt;0,
     COUNTIFS($AD$3:$AD$201,$M117)&gt;0,
     COUNTIFS($AE$3:$AE$201,$M117)&gt;0,
     COUNTIFS($AF$3:$AF$201,$M117)&gt;0,
     COUNTIFS($AG$3:$AG$201,$M117)&gt;0,
     COUNTIFS($AH$3:$AH$201,$M117)&gt;0,
     COUNTIFS($AI$3:$AI$201,$M117)&gt;0,
     COUNTIFS($AJ$3:$AJ$201,$M117)&gt;0,
     COUNTIFS($AK$3:$AK$201,$M117)&gt;0,
     COUNTIFS($AL$3:$AL$201,$M117)&gt;0,
     COUNTIFS($AM$3:$AM$201,$M117)&gt;0,
     COUNTIFS($AN$3:$AN$201,$M117)&gt;0,
     COUNTIFS($AO$3:$AO$201,$M117)&gt;0,
     COUNTIFS($AP$3:$AP$201,$M117)&gt;0,
     COUNTIFS($AQ$3:$AQ$201,$M117)&gt;0,
     COUNTIFS($AR$3:$AR$201,$M117)&gt;0,
     COUNTIFS($AS$3:$AS$201,$M117)&gt;0,
     COUNTIFS($AT$3:$AT$201,$M117)&gt;0,
     COUNTIFS($AU$3:$AU$201,$M117)&gt;0,
     COUNTIFS($AV$3:$AV$201,$M117)&gt;0,
     COUNTIFS($AW$3:$AW$201,$M117)&gt;0
   )),
  ),
  3
 ),
"")</f>
        <v/>
      </c>
      <c r="R117" s="3" t="str" cm="1">
        <f t="array" aca="1" ref="R117" ca="1">IFERROR(
 INDEX(
  _xlfn._xlws.FILTER($T$2:$AW$2,
   TRANSPOSE(
    CHOOSE({1;2;3;4;5;6;7;8;9;10;11;12;13;14;15;16;17;18;19;20;21;22;23;24;25;26;27;28;29;30},
     COUNTIFS($T$3:$T$201,$M117)&gt;0,
     COUNTIFS($U$3:$U$201,$M117)&gt;0,
     COUNTIFS($V$3:$V$201,$M117)&gt;0,
     COUNTIFS($W$3:$W$201,$M117)&gt;0,
     COUNTIFS($X$3:$X$201,$M117)&gt;0,
     COUNTIFS($Y$3:$Y$201,$M117)&gt;0,
     COUNTIFS($Z$3:$Z$201,$M117)&gt;0,
     COUNTIFS($AA$3:$AA$201,$M117)&gt;0,
     COUNTIFS($AB$3:$AB$201,$M117)&gt;0,
     COUNTIFS($AC$3:$AC$201,$M117)&gt;0,
     COUNTIFS($AD$3:$AD$201,$M117)&gt;0,
     COUNTIFS($AE$3:$AE$201,$M117)&gt;0,
     COUNTIFS($AF$3:$AF$201,$M117)&gt;0,
     COUNTIFS($AG$3:$AG$201,$M117)&gt;0,
     COUNTIFS($AH$3:$AH$201,$M117)&gt;0,
     COUNTIFS($AI$3:$AI$201,$M117)&gt;0,
     COUNTIFS($AJ$3:$AJ$201,$M117)&gt;0,
     COUNTIFS($AK$3:$AK$201,$M117)&gt;0,
     COUNTIFS($AL$3:$AL$201,$M117)&gt;0,
     COUNTIFS($AM$3:$AM$201,$M117)&gt;0,
     COUNTIFS($AN$3:$AN$201,$M117)&gt;0,
     COUNTIFS($AO$3:$AO$201,$M117)&gt;0,
     COUNTIFS($AP$3:$AP$201,$M117)&gt;0,
     COUNTIFS($AQ$3:$AQ$201,$M117)&gt;0,
     COUNTIFS($AR$3:$AR$201,$M117)&gt;0,
     COUNTIFS($AS$3:$AS$201,$M117)&gt;0,
     COUNTIFS($AT$3:$AT$201,$M117)&gt;0,
     COUNTIFS($AU$3:$AU$201,$M117)&gt;0,
     COUNTIFS($AV$3:$AV$201,$M117)&gt;0,
     COUNTIFS($AW$3:$AW$201,$M117)&gt;0
   )),
  ),
  4
 ),
"")</f>
        <v/>
      </c>
      <c r="CA117" t="str">
        <f ca="1"/>
        <v>Skyclave Cleric</v>
      </c>
      <c r="CF117" t="str">
        <f ca="1"/>
        <v>Morbid Oportunist</v>
      </c>
      <c r="CI117" t="str">
        <f ca="1"/>
        <v>Horda Germinal</v>
      </c>
    </row>
    <row r="118" spans="1:87" x14ac:dyDescent="0.25">
      <c r="A118" t="str">
        <f ca="1"/>
        <v>Hedge Shredder</v>
      </c>
      <c r="B118" s="3" t="str" cm="1">
        <f t="array" aca="1" ref="B118" ca="1">_xlfn.ANCHORARRAY(RESUMO!C117)</f>
        <v>Gritrog</v>
      </c>
      <c r="C118" s="3" t="str">
        <f t="shared" ca="1" si="4"/>
        <v/>
      </c>
      <c r="E118" t="str">
        <f ca="1"/>
        <v>Horn of Valhalla</v>
      </c>
      <c r="F118" s="3">
        <f t="shared" ca="1" si="5"/>
        <v>1</v>
      </c>
      <c r="G118" s="3" t="str">
        <f t="shared" ca="1" si="6"/>
        <v>Akiri</v>
      </c>
      <c r="M118" t="str">
        <f ca="1"/>
        <v>Horn of Valhalla</v>
      </c>
      <c r="N118" s="3">
        <f t="shared" ca="1" si="7"/>
        <v>1</v>
      </c>
      <c r="O118" s="3" t="str">
        <f ca="1">IFERROR(
 INDEX($T$2:$AW$2,
  MATCH(TRUE,
   CHOOSE({1;2;3;4;5;6;7;8;9;10;11;12;13;14;15;16;17;18;19;20;21;22;23;24;25;26;27;28;29;30;31;32},
    COUNTIFS($T$3:$T$201,$M118)&gt;0,
    COUNTIFS($U$3:$U$201,$M118)&gt;0,
    COUNTIFS($V$3:$V$201,$M118)&gt;0,
    COUNTIFS($W$3:$W$201,$M118)&gt;0,
    COUNTIFS($X$3:$X$201,$M118)&gt;0,
    COUNTIFS($Y$3:$Y$201,$M118)&gt;0,
    COUNTIFS($Z$3:$Z$201,$M118)&gt;0,
    COUNTIFS($AA$3:$AA$201,$M118)&gt;0,
    COUNTIFS($AB$3:$AB$201,$M118)&gt;0,
    COUNTIFS($AC$3:$AC$201,$M118)&gt;0,
    COUNTIFS($AD$3:$AD$201,$M118)&gt;0,
    COUNTIFS($AE$3:$AE$201,$M118)&gt;0,
    COUNTIFS($AF$3:$AF$201,$M118)&gt;0,
    COUNTIFS($AG$3:$AG$201,$M118)&gt;0,
    COUNTIFS($AH$3:$AH$201,$M118)&gt;0,
    COUNTIFS($AI$3:$AI$201,$M118)&gt;0,
    COUNTIFS($AJ$3:$AJ$201,$M118)&gt;0,
    COUNTIFS($AK$3:$AK$201,$M118)&gt;0,
    COUNTIFS($AL$3:$AL$201,$M118)&gt;0,
    COUNTIFS($AM$3:$AM$201,$M118)&gt;0,
    COUNTIFS($AN$3:$AN$201,$M118)&gt;0,
    COUNTIFS($AO$3:$AO$201,$M118)&gt;0,
    COUNTIFS($AP$3:$AP$201,$M118)&gt;0,
    COUNTIFS($AQ$3:$AQ$201,$M118)&gt;0,
    COUNTIFS($AR$3:$AR$201,$M118)&gt;0,
    COUNTIFS($AS$3:$AS$201,$M118)&gt;0,
    COUNTIFS($AT$3:$AT$201,$M118)&gt;0,
    COUNTIFS($AU$3:$AU$201,$M118)&gt;0,
    COUNTIFS($AV$3:$AV$201,$M118)&gt;0,
    COUNTIFS($AW$3:$AW$201,$M118)&gt;0
   ),
  0)
 ),
"")</f>
        <v>Akiri</v>
      </c>
      <c r="P118" s="3" t="str" cm="1">
        <f t="array" aca="1" ref="P118" ca="1">IFERROR(
 INDEX(
  _xlfn._xlws.FILTER($T$2:$AW$2,
   TRANSPOSE(
    CHOOSE({1;2;3;4;5;6;7;8;9;10;11;12;13;14;15;16;17;18;19;20;21;22;23;24;25;26;27;28;29;30},
     COUNTIFS($T$3:$T$201,$M118)&gt;0,
     COUNTIFS($U$3:$U$201,$M118)&gt;0,
     COUNTIFS($V$3:$V$201,$M118)&gt;0,
     COUNTIFS($W$3:$W$201,$M118)&gt;0,
     COUNTIFS($X$3:$X$201,$M118)&gt;0,
     COUNTIFS($Y$3:$Y$201,$M118)&gt;0,
     COUNTIFS($Z$3:$Z$201,$M118)&gt;0,
     COUNTIFS($AA$3:$AA$201,$M118)&gt;0,
     COUNTIFS($AB$3:$AB$201,$M118)&gt;0,
     COUNTIFS($AC$3:$AC$201,$M118)&gt;0,
     COUNTIFS($AD$3:$AD$201,$M118)&gt;0,
     COUNTIFS($AE$3:$AE$201,$M118)&gt;0,
     COUNTIFS($AF$3:$AF$201,$M118)&gt;0,
     COUNTIFS($AG$3:$AG$201,$M118)&gt;0,
     COUNTIFS($AH$3:$AH$201,$M118)&gt;0,
     COUNTIFS($AI$3:$AI$201,$M118)&gt;0,
     COUNTIFS($AJ$3:$AJ$201,$M118)&gt;0,
     COUNTIFS($AK$3:$AK$201,$M118)&gt;0,
     COUNTIFS($AL$3:$AL$201,$M118)&gt;0,
     COUNTIFS($AM$3:$AM$201,$M118)&gt;0,
     COUNTIFS($AN$3:$AN$201,$M118)&gt;0,
     COUNTIFS($AO$3:$AO$201,$M118)&gt;0,
     COUNTIFS($AP$3:$AP$201,$M118)&gt;0,
     COUNTIFS($AQ$3:$AQ$201,$M118)&gt;0,
     COUNTIFS($AR$3:$AR$201,$M118)&gt;0,
     COUNTIFS($AS$3:$AS$201,$M118)&gt;0,
     COUNTIFS($AT$3:$AT$201,$M118)&gt;0,
     COUNTIFS($AU$3:$AU$201,$M118)&gt;0,
     COUNTIFS($AV$3:$AV$201,$M118)&gt;0,
     COUNTIFS($AW$3:$AW$201,$M118)&gt;0
   )),
  ),
  2
 ),
"")</f>
        <v/>
      </c>
      <c r="Q118" s="3" t="str" cm="1">
        <f t="array" aca="1" ref="Q118" ca="1">IFERROR(
 INDEX(
  _xlfn._xlws.FILTER($T$2:$AW$2,
   TRANSPOSE(
    CHOOSE({1;2;3;4;5;6;7;8;9;10;11;12;13;14;15;16;17;18;19;20;21;22;23;24;25;26;27;28;29;30},
     COUNTIFS($T$3:$T$201,$M118)&gt;0,
     COUNTIFS($U$3:$U$201,$M118)&gt;0,
     COUNTIFS($V$3:$V$201,$M118)&gt;0,
     COUNTIFS($W$3:$W$201,$M118)&gt;0,
     COUNTIFS($X$3:$X$201,$M118)&gt;0,
     COUNTIFS($Y$3:$Y$201,$M118)&gt;0,
     COUNTIFS($Z$3:$Z$201,$M118)&gt;0,
     COUNTIFS($AA$3:$AA$201,$M118)&gt;0,
     COUNTIFS($AB$3:$AB$201,$M118)&gt;0,
     COUNTIFS($AC$3:$AC$201,$M118)&gt;0,
     COUNTIFS($AD$3:$AD$201,$M118)&gt;0,
     COUNTIFS($AE$3:$AE$201,$M118)&gt;0,
     COUNTIFS($AF$3:$AF$201,$M118)&gt;0,
     COUNTIFS($AG$3:$AG$201,$M118)&gt;0,
     COUNTIFS($AH$3:$AH$201,$M118)&gt;0,
     COUNTIFS($AI$3:$AI$201,$M118)&gt;0,
     COUNTIFS($AJ$3:$AJ$201,$M118)&gt;0,
     COUNTIFS($AK$3:$AK$201,$M118)&gt;0,
     COUNTIFS($AL$3:$AL$201,$M118)&gt;0,
     COUNTIFS($AM$3:$AM$201,$M118)&gt;0,
     COUNTIFS($AN$3:$AN$201,$M118)&gt;0,
     COUNTIFS($AO$3:$AO$201,$M118)&gt;0,
     COUNTIFS($AP$3:$AP$201,$M118)&gt;0,
     COUNTIFS($AQ$3:$AQ$201,$M118)&gt;0,
     COUNTIFS($AR$3:$AR$201,$M118)&gt;0,
     COUNTIFS($AS$3:$AS$201,$M118)&gt;0,
     COUNTIFS($AT$3:$AT$201,$M118)&gt;0,
     COUNTIFS($AU$3:$AU$201,$M118)&gt;0,
     COUNTIFS($AV$3:$AV$201,$M118)&gt;0,
     COUNTIFS($AW$3:$AW$201,$M118)&gt;0
   )),
  ),
  3
 ),
"")</f>
        <v/>
      </c>
      <c r="R118" s="3" t="str" cm="1">
        <f t="array" aca="1" ref="R118" ca="1">IFERROR(
 INDEX(
  _xlfn._xlws.FILTER($T$2:$AW$2,
   TRANSPOSE(
    CHOOSE({1;2;3;4;5;6;7;8;9;10;11;12;13;14;15;16;17;18;19;20;21;22;23;24;25;26;27;28;29;30},
     COUNTIFS($T$3:$T$201,$M118)&gt;0,
     COUNTIFS($U$3:$U$201,$M118)&gt;0,
     COUNTIFS($V$3:$V$201,$M118)&gt;0,
     COUNTIFS($W$3:$W$201,$M118)&gt;0,
     COUNTIFS($X$3:$X$201,$M118)&gt;0,
     COUNTIFS($Y$3:$Y$201,$M118)&gt;0,
     COUNTIFS($Z$3:$Z$201,$M118)&gt;0,
     COUNTIFS($AA$3:$AA$201,$M118)&gt;0,
     COUNTIFS($AB$3:$AB$201,$M118)&gt;0,
     COUNTIFS($AC$3:$AC$201,$M118)&gt;0,
     COUNTIFS($AD$3:$AD$201,$M118)&gt;0,
     COUNTIFS($AE$3:$AE$201,$M118)&gt;0,
     COUNTIFS($AF$3:$AF$201,$M118)&gt;0,
     COUNTIFS($AG$3:$AG$201,$M118)&gt;0,
     COUNTIFS($AH$3:$AH$201,$M118)&gt;0,
     COUNTIFS($AI$3:$AI$201,$M118)&gt;0,
     COUNTIFS($AJ$3:$AJ$201,$M118)&gt;0,
     COUNTIFS($AK$3:$AK$201,$M118)&gt;0,
     COUNTIFS($AL$3:$AL$201,$M118)&gt;0,
     COUNTIFS($AM$3:$AM$201,$M118)&gt;0,
     COUNTIFS($AN$3:$AN$201,$M118)&gt;0,
     COUNTIFS($AO$3:$AO$201,$M118)&gt;0,
     COUNTIFS($AP$3:$AP$201,$M118)&gt;0,
     COUNTIFS($AQ$3:$AQ$201,$M118)&gt;0,
     COUNTIFS($AR$3:$AR$201,$M118)&gt;0,
     COUNTIFS($AS$3:$AS$201,$M118)&gt;0,
     COUNTIFS($AT$3:$AT$201,$M118)&gt;0,
     COUNTIFS($AU$3:$AU$201,$M118)&gt;0,
     COUNTIFS($AV$3:$AV$201,$M118)&gt;0,
     COUNTIFS($AW$3:$AW$201,$M118)&gt;0
   )),
  ),
  4
 ),
"")</f>
        <v/>
      </c>
      <c r="CA118" t="str">
        <f ca="1"/>
        <v>Solidariedade dos Heróis</v>
      </c>
      <c r="CF118" t="str">
        <f ca="1"/>
        <v>Mountain</v>
      </c>
      <c r="CI118" t="str">
        <f ca="1"/>
        <v>Horn of Valhalla</v>
      </c>
    </row>
    <row r="119" spans="1:87" x14ac:dyDescent="0.25">
      <c r="A119" t="str">
        <f ca="1"/>
        <v>Hedron Detonator</v>
      </c>
      <c r="B119" s="3" t="str" cm="1">
        <f t="array" aca="1" ref="B119" ca="1">_xlfn.ANCHORARRAY(RESUMO!C118)</f>
        <v>Piratas</v>
      </c>
      <c r="C119" s="3" t="str">
        <f t="shared" ca="1" si="4"/>
        <v/>
      </c>
      <c r="E119" t="str">
        <f ca="1"/>
        <v>Ilha</v>
      </c>
      <c r="F119" s="3">
        <f t="shared" ca="1" si="5"/>
        <v>9</v>
      </c>
      <c r="G119" s="3" t="str">
        <f t="shared" ca="1" si="6"/>
        <v>JhoiraB</v>
      </c>
      <c r="M119" t="str">
        <f ca="1"/>
        <v>Ilha</v>
      </c>
      <c r="N119" s="3">
        <f t="shared" ca="1" si="7"/>
        <v>9</v>
      </c>
      <c r="O119" s="3" t="str">
        <f ca="1">IFERROR(
 INDEX($T$2:$AW$2,
  MATCH(TRUE,
   CHOOSE({1;2;3;4;5;6;7;8;9;10;11;12;13;14;15;16;17;18;19;20;21;22;23;24;25;26;27;28;29;30;31;32},
    COUNTIFS($T$3:$T$201,$M119)&gt;0,
    COUNTIFS($U$3:$U$201,$M119)&gt;0,
    COUNTIFS($V$3:$V$201,$M119)&gt;0,
    COUNTIFS($W$3:$W$201,$M119)&gt;0,
    COUNTIFS($X$3:$X$201,$M119)&gt;0,
    COUNTIFS($Y$3:$Y$201,$M119)&gt;0,
    COUNTIFS($Z$3:$Z$201,$M119)&gt;0,
    COUNTIFS($AA$3:$AA$201,$M119)&gt;0,
    COUNTIFS($AB$3:$AB$201,$M119)&gt;0,
    COUNTIFS($AC$3:$AC$201,$M119)&gt;0,
    COUNTIFS($AD$3:$AD$201,$M119)&gt;0,
    COUNTIFS($AE$3:$AE$201,$M119)&gt;0,
    COUNTIFS($AF$3:$AF$201,$M119)&gt;0,
    COUNTIFS($AG$3:$AG$201,$M119)&gt;0,
    COUNTIFS($AH$3:$AH$201,$M119)&gt;0,
    COUNTIFS($AI$3:$AI$201,$M119)&gt;0,
    COUNTIFS($AJ$3:$AJ$201,$M119)&gt;0,
    COUNTIFS($AK$3:$AK$201,$M119)&gt;0,
    COUNTIFS($AL$3:$AL$201,$M119)&gt;0,
    COUNTIFS($AM$3:$AM$201,$M119)&gt;0,
    COUNTIFS($AN$3:$AN$201,$M119)&gt;0,
    COUNTIFS($AO$3:$AO$201,$M119)&gt;0,
    COUNTIFS($AP$3:$AP$201,$M119)&gt;0,
    COUNTIFS($AQ$3:$AQ$201,$M119)&gt;0,
    COUNTIFS($AR$3:$AR$201,$M119)&gt;0,
    COUNTIFS($AS$3:$AS$201,$M119)&gt;0,
    COUNTIFS($AT$3:$AT$201,$M119)&gt;0,
    COUNTIFS($AU$3:$AU$201,$M119)&gt;0,
    COUNTIFS($AV$3:$AV$201,$M119)&gt;0,
    COUNTIFS($AW$3:$AW$201,$M119)&gt;0
   ),
  0)
 ),
"")</f>
        <v>JhoiraB</v>
      </c>
      <c r="P119" s="3" t="str" cm="1">
        <f t="array" aca="1" ref="P119" ca="1">IFERROR(
 INDEX(
  _xlfn._xlws.FILTER($T$2:$AW$2,
   TRANSPOSE(
    CHOOSE({1;2;3;4;5;6;7;8;9;10;11;12;13;14;15;16;17;18;19;20;21;22;23;24;25;26;27;28;29;30},
     COUNTIFS($T$3:$T$201,$M119)&gt;0,
     COUNTIFS($U$3:$U$201,$M119)&gt;0,
     COUNTIFS($V$3:$V$201,$M119)&gt;0,
     COUNTIFS($W$3:$W$201,$M119)&gt;0,
     COUNTIFS($X$3:$X$201,$M119)&gt;0,
     COUNTIFS($Y$3:$Y$201,$M119)&gt;0,
     COUNTIFS($Z$3:$Z$201,$M119)&gt;0,
     COUNTIFS($AA$3:$AA$201,$M119)&gt;0,
     COUNTIFS($AB$3:$AB$201,$M119)&gt;0,
     COUNTIFS($AC$3:$AC$201,$M119)&gt;0,
     COUNTIFS($AD$3:$AD$201,$M119)&gt;0,
     COUNTIFS($AE$3:$AE$201,$M119)&gt;0,
     COUNTIFS($AF$3:$AF$201,$M119)&gt;0,
     COUNTIFS($AG$3:$AG$201,$M119)&gt;0,
     COUNTIFS($AH$3:$AH$201,$M119)&gt;0,
     COUNTIFS($AI$3:$AI$201,$M119)&gt;0,
     COUNTIFS($AJ$3:$AJ$201,$M119)&gt;0,
     COUNTIFS($AK$3:$AK$201,$M119)&gt;0,
     COUNTIFS($AL$3:$AL$201,$M119)&gt;0,
     COUNTIFS($AM$3:$AM$201,$M119)&gt;0,
     COUNTIFS($AN$3:$AN$201,$M119)&gt;0,
     COUNTIFS($AO$3:$AO$201,$M119)&gt;0,
     COUNTIFS($AP$3:$AP$201,$M119)&gt;0,
     COUNTIFS($AQ$3:$AQ$201,$M119)&gt;0,
     COUNTIFS($AR$3:$AR$201,$M119)&gt;0,
     COUNTIFS($AS$3:$AS$201,$M119)&gt;0,
     COUNTIFS($AT$3:$AT$201,$M119)&gt;0,
     COUNTIFS($AU$3:$AU$201,$M119)&gt;0,
     COUNTIFS($AV$3:$AV$201,$M119)&gt;0,
     COUNTIFS($AW$3:$AW$201,$M119)&gt;0
   )),
  ),
  2
 ),
"")</f>
        <v>VialIshai</v>
      </c>
      <c r="Q119" s="3" t="str" cm="1">
        <f t="array" aca="1" ref="Q119" ca="1">IFERROR(
 INDEX(
  _xlfn._xlws.FILTER($T$2:$AW$2,
   TRANSPOSE(
    CHOOSE({1;2;3;4;5;6;7;8;9;10;11;12;13;14;15;16;17;18;19;20;21;22;23;24;25;26;27;28;29;30},
     COUNTIFS($T$3:$T$201,$M119)&gt;0,
     COUNTIFS($U$3:$U$201,$M119)&gt;0,
     COUNTIFS($V$3:$V$201,$M119)&gt;0,
     COUNTIFS($W$3:$W$201,$M119)&gt;0,
     COUNTIFS($X$3:$X$201,$M119)&gt;0,
     COUNTIFS($Y$3:$Y$201,$M119)&gt;0,
     COUNTIFS($Z$3:$Z$201,$M119)&gt;0,
     COUNTIFS($AA$3:$AA$201,$M119)&gt;0,
     COUNTIFS($AB$3:$AB$201,$M119)&gt;0,
     COUNTIFS($AC$3:$AC$201,$M119)&gt;0,
     COUNTIFS($AD$3:$AD$201,$M119)&gt;0,
     COUNTIFS($AE$3:$AE$201,$M119)&gt;0,
     COUNTIFS($AF$3:$AF$201,$M119)&gt;0,
     COUNTIFS($AG$3:$AG$201,$M119)&gt;0,
     COUNTIFS($AH$3:$AH$201,$M119)&gt;0,
     COUNTIFS($AI$3:$AI$201,$M119)&gt;0,
     COUNTIFS($AJ$3:$AJ$201,$M119)&gt;0,
     COUNTIFS($AK$3:$AK$201,$M119)&gt;0,
     COUNTIFS($AL$3:$AL$201,$M119)&gt;0,
     COUNTIFS($AM$3:$AM$201,$M119)&gt;0,
     COUNTIFS($AN$3:$AN$201,$M119)&gt;0,
     COUNTIFS($AO$3:$AO$201,$M119)&gt;0,
     COUNTIFS($AP$3:$AP$201,$M119)&gt;0,
     COUNTIFS($AQ$3:$AQ$201,$M119)&gt;0,
     COUNTIFS($AR$3:$AR$201,$M119)&gt;0,
     COUNTIFS($AS$3:$AS$201,$M119)&gt;0,
     COUNTIFS($AT$3:$AT$201,$M119)&gt;0,
     COUNTIFS($AU$3:$AU$201,$M119)&gt;0,
     COUNTIFS($AV$3:$AV$201,$M119)&gt;0,
     COUNTIFS($AW$3:$AW$201,$M119)&gt;0
   )),
  ),
  3
 ),
"")</f>
        <v>Inalla</v>
      </c>
      <c r="R119" s="3" t="str" cm="1">
        <f t="array" aca="1" ref="R119" ca="1">IFERROR(
 INDEX(
  _xlfn._xlws.FILTER($T$2:$AW$2,
   TRANSPOSE(
    CHOOSE({1;2;3;4;5;6;7;8;9;10;11;12;13;14;15;16;17;18;19;20;21;22;23;24;25;26;27;28;29;30},
     COUNTIFS($T$3:$T$201,$M119)&gt;0,
     COUNTIFS($U$3:$U$201,$M119)&gt;0,
     COUNTIFS($V$3:$V$201,$M119)&gt;0,
     COUNTIFS($W$3:$W$201,$M119)&gt;0,
     COUNTIFS($X$3:$X$201,$M119)&gt;0,
     COUNTIFS($Y$3:$Y$201,$M119)&gt;0,
     COUNTIFS($Z$3:$Z$201,$M119)&gt;0,
     COUNTIFS($AA$3:$AA$201,$M119)&gt;0,
     COUNTIFS($AB$3:$AB$201,$M119)&gt;0,
     COUNTIFS($AC$3:$AC$201,$M119)&gt;0,
     COUNTIFS($AD$3:$AD$201,$M119)&gt;0,
     COUNTIFS($AE$3:$AE$201,$M119)&gt;0,
     COUNTIFS($AF$3:$AF$201,$M119)&gt;0,
     COUNTIFS($AG$3:$AG$201,$M119)&gt;0,
     COUNTIFS($AH$3:$AH$201,$M119)&gt;0,
     COUNTIFS($AI$3:$AI$201,$M119)&gt;0,
     COUNTIFS($AJ$3:$AJ$201,$M119)&gt;0,
     COUNTIFS($AK$3:$AK$201,$M119)&gt;0,
     COUNTIFS($AL$3:$AL$201,$M119)&gt;0,
     COUNTIFS($AM$3:$AM$201,$M119)&gt;0,
     COUNTIFS($AN$3:$AN$201,$M119)&gt;0,
     COUNTIFS($AO$3:$AO$201,$M119)&gt;0,
     COUNTIFS($AP$3:$AP$201,$M119)&gt;0,
     COUNTIFS($AQ$3:$AQ$201,$M119)&gt;0,
     COUNTIFS($AR$3:$AR$201,$M119)&gt;0,
     COUNTIFS($AS$3:$AS$201,$M119)&gt;0,
     COUNTIFS($AT$3:$AT$201,$M119)&gt;0,
     COUNTIFS($AU$3:$AU$201,$M119)&gt;0,
     COUNTIFS($AV$3:$AV$201,$M119)&gt;0,
     COUNTIFS($AW$3:$AW$201,$M119)&gt;0
   )),
  ),
  4
 ),
"")</f>
        <v>Jhoira</v>
      </c>
      <c r="CA119" t="str">
        <f ca="1"/>
        <v>Sontaran General</v>
      </c>
      <c r="CF119" t="str">
        <f ca="1"/>
        <v>Nicol Bolas, Dragon-God</v>
      </c>
      <c r="CI119" t="str">
        <f ca="1"/>
        <v>Ilha</v>
      </c>
    </row>
    <row r="120" spans="1:87" x14ac:dyDescent="0.25">
      <c r="A120" t="str">
        <f ca="1"/>
        <v>Herald of Secret Streams</v>
      </c>
      <c r="B120" s="3" t="str" cm="1">
        <f t="array" aca="1" ref="B120" ca="1">_xlfn.ANCHORARRAY(RESUMO!C119)</f>
        <v>Kumena</v>
      </c>
      <c r="C120" s="3" t="str">
        <f t="shared" ca="1" si="4"/>
        <v/>
      </c>
      <c r="E120" t="str">
        <f ca="1"/>
        <v>Illusionist's Gambit</v>
      </c>
      <c r="F120" s="3">
        <f t="shared" ca="1" si="5"/>
        <v>1</v>
      </c>
      <c r="G120" s="3" t="str">
        <f t="shared" ca="1" si="6"/>
        <v>VialIshai</v>
      </c>
      <c r="M120" t="str">
        <f ca="1"/>
        <v>Illusionist's Gambit</v>
      </c>
      <c r="N120" s="3">
        <f t="shared" ca="1" si="7"/>
        <v>1</v>
      </c>
      <c r="O120" s="3" t="str">
        <f ca="1">IFERROR(
 INDEX($T$2:$AW$2,
  MATCH(TRUE,
   CHOOSE({1;2;3;4;5;6;7;8;9;10;11;12;13;14;15;16;17;18;19;20;21;22;23;24;25;26;27;28;29;30;31;32},
    COUNTIFS($T$3:$T$201,$M120)&gt;0,
    COUNTIFS($U$3:$U$201,$M120)&gt;0,
    COUNTIFS($V$3:$V$201,$M120)&gt;0,
    COUNTIFS($W$3:$W$201,$M120)&gt;0,
    COUNTIFS($X$3:$X$201,$M120)&gt;0,
    COUNTIFS($Y$3:$Y$201,$M120)&gt;0,
    COUNTIFS($Z$3:$Z$201,$M120)&gt;0,
    COUNTIFS($AA$3:$AA$201,$M120)&gt;0,
    COUNTIFS($AB$3:$AB$201,$M120)&gt;0,
    COUNTIFS($AC$3:$AC$201,$M120)&gt;0,
    COUNTIFS($AD$3:$AD$201,$M120)&gt;0,
    COUNTIFS($AE$3:$AE$201,$M120)&gt;0,
    COUNTIFS($AF$3:$AF$201,$M120)&gt;0,
    COUNTIFS($AG$3:$AG$201,$M120)&gt;0,
    COUNTIFS($AH$3:$AH$201,$M120)&gt;0,
    COUNTIFS($AI$3:$AI$201,$M120)&gt;0,
    COUNTIFS($AJ$3:$AJ$201,$M120)&gt;0,
    COUNTIFS($AK$3:$AK$201,$M120)&gt;0,
    COUNTIFS($AL$3:$AL$201,$M120)&gt;0,
    COUNTIFS($AM$3:$AM$201,$M120)&gt;0,
    COUNTIFS($AN$3:$AN$201,$M120)&gt;0,
    COUNTIFS($AO$3:$AO$201,$M120)&gt;0,
    COUNTIFS($AP$3:$AP$201,$M120)&gt;0,
    COUNTIFS($AQ$3:$AQ$201,$M120)&gt;0,
    COUNTIFS($AR$3:$AR$201,$M120)&gt;0,
    COUNTIFS($AS$3:$AS$201,$M120)&gt;0,
    COUNTIFS($AT$3:$AT$201,$M120)&gt;0,
    COUNTIFS($AU$3:$AU$201,$M120)&gt;0,
    COUNTIFS($AV$3:$AV$201,$M120)&gt;0,
    COUNTIFS($AW$3:$AW$201,$M120)&gt;0
   ),
  0)
 ),
"")</f>
        <v>VialIshai</v>
      </c>
      <c r="P120" s="3" t="str" cm="1">
        <f t="array" aca="1" ref="P120" ca="1">IFERROR(
 INDEX(
  _xlfn._xlws.FILTER($T$2:$AW$2,
   TRANSPOSE(
    CHOOSE({1;2;3;4;5;6;7;8;9;10;11;12;13;14;15;16;17;18;19;20;21;22;23;24;25;26;27;28;29;30},
     COUNTIFS($T$3:$T$201,$M120)&gt;0,
     COUNTIFS($U$3:$U$201,$M120)&gt;0,
     COUNTIFS($V$3:$V$201,$M120)&gt;0,
     COUNTIFS($W$3:$W$201,$M120)&gt;0,
     COUNTIFS($X$3:$X$201,$M120)&gt;0,
     COUNTIFS($Y$3:$Y$201,$M120)&gt;0,
     COUNTIFS($Z$3:$Z$201,$M120)&gt;0,
     COUNTIFS($AA$3:$AA$201,$M120)&gt;0,
     COUNTIFS($AB$3:$AB$201,$M120)&gt;0,
     COUNTIFS($AC$3:$AC$201,$M120)&gt;0,
     COUNTIFS($AD$3:$AD$201,$M120)&gt;0,
     COUNTIFS($AE$3:$AE$201,$M120)&gt;0,
     COUNTIFS($AF$3:$AF$201,$M120)&gt;0,
     COUNTIFS($AG$3:$AG$201,$M120)&gt;0,
     COUNTIFS($AH$3:$AH$201,$M120)&gt;0,
     COUNTIFS($AI$3:$AI$201,$M120)&gt;0,
     COUNTIFS($AJ$3:$AJ$201,$M120)&gt;0,
     COUNTIFS($AK$3:$AK$201,$M120)&gt;0,
     COUNTIFS($AL$3:$AL$201,$M120)&gt;0,
     COUNTIFS($AM$3:$AM$201,$M120)&gt;0,
     COUNTIFS($AN$3:$AN$201,$M120)&gt;0,
     COUNTIFS($AO$3:$AO$201,$M120)&gt;0,
     COUNTIFS($AP$3:$AP$201,$M120)&gt;0,
     COUNTIFS($AQ$3:$AQ$201,$M120)&gt;0,
     COUNTIFS($AR$3:$AR$201,$M120)&gt;0,
     COUNTIFS($AS$3:$AS$201,$M120)&gt;0,
     COUNTIFS($AT$3:$AT$201,$M120)&gt;0,
     COUNTIFS($AU$3:$AU$201,$M120)&gt;0,
     COUNTIFS($AV$3:$AV$201,$M120)&gt;0,
     COUNTIFS($AW$3:$AW$201,$M120)&gt;0
   )),
  ),
  2
 ),
"")</f>
        <v/>
      </c>
      <c r="Q120" s="3" t="str" cm="1">
        <f t="array" aca="1" ref="Q120" ca="1">IFERROR(
 INDEX(
  _xlfn._xlws.FILTER($T$2:$AW$2,
   TRANSPOSE(
    CHOOSE({1;2;3;4;5;6;7;8;9;10;11;12;13;14;15;16;17;18;19;20;21;22;23;24;25;26;27;28;29;30},
     COUNTIFS($T$3:$T$201,$M120)&gt;0,
     COUNTIFS($U$3:$U$201,$M120)&gt;0,
     COUNTIFS($V$3:$V$201,$M120)&gt;0,
     COUNTIFS($W$3:$W$201,$M120)&gt;0,
     COUNTIFS($X$3:$X$201,$M120)&gt;0,
     COUNTIFS($Y$3:$Y$201,$M120)&gt;0,
     COUNTIFS($Z$3:$Z$201,$M120)&gt;0,
     COUNTIFS($AA$3:$AA$201,$M120)&gt;0,
     COUNTIFS($AB$3:$AB$201,$M120)&gt;0,
     COUNTIFS($AC$3:$AC$201,$M120)&gt;0,
     COUNTIFS($AD$3:$AD$201,$M120)&gt;0,
     COUNTIFS($AE$3:$AE$201,$M120)&gt;0,
     COUNTIFS($AF$3:$AF$201,$M120)&gt;0,
     COUNTIFS($AG$3:$AG$201,$M120)&gt;0,
     COUNTIFS($AH$3:$AH$201,$M120)&gt;0,
     COUNTIFS($AI$3:$AI$201,$M120)&gt;0,
     COUNTIFS($AJ$3:$AJ$201,$M120)&gt;0,
     COUNTIFS($AK$3:$AK$201,$M120)&gt;0,
     COUNTIFS($AL$3:$AL$201,$M120)&gt;0,
     COUNTIFS($AM$3:$AM$201,$M120)&gt;0,
     COUNTIFS($AN$3:$AN$201,$M120)&gt;0,
     COUNTIFS($AO$3:$AO$201,$M120)&gt;0,
     COUNTIFS($AP$3:$AP$201,$M120)&gt;0,
     COUNTIFS($AQ$3:$AQ$201,$M120)&gt;0,
     COUNTIFS($AR$3:$AR$201,$M120)&gt;0,
     COUNTIFS($AS$3:$AS$201,$M120)&gt;0,
     COUNTIFS($AT$3:$AT$201,$M120)&gt;0,
     COUNTIFS($AU$3:$AU$201,$M120)&gt;0,
     COUNTIFS($AV$3:$AV$201,$M120)&gt;0,
     COUNTIFS($AW$3:$AW$201,$M120)&gt;0
   )),
  ),
  3
 ),
"")</f>
        <v/>
      </c>
      <c r="R120" s="3" t="str" cm="1">
        <f t="array" aca="1" ref="R120" ca="1">IFERROR(
 INDEX(
  _xlfn._xlws.FILTER($T$2:$AW$2,
   TRANSPOSE(
    CHOOSE({1;2;3;4;5;6;7;8;9;10;11;12;13;14;15;16;17;18;19;20;21;22;23;24;25;26;27;28;29;30},
     COUNTIFS($T$3:$T$201,$M120)&gt;0,
     COUNTIFS($U$3:$U$201,$M120)&gt;0,
     COUNTIFS($V$3:$V$201,$M120)&gt;0,
     COUNTIFS($W$3:$W$201,$M120)&gt;0,
     COUNTIFS($X$3:$X$201,$M120)&gt;0,
     COUNTIFS($Y$3:$Y$201,$M120)&gt;0,
     COUNTIFS($Z$3:$Z$201,$M120)&gt;0,
     COUNTIFS($AA$3:$AA$201,$M120)&gt;0,
     COUNTIFS($AB$3:$AB$201,$M120)&gt;0,
     COUNTIFS($AC$3:$AC$201,$M120)&gt;0,
     COUNTIFS($AD$3:$AD$201,$M120)&gt;0,
     COUNTIFS($AE$3:$AE$201,$M120)&gt;0,
     COUNTIFS($AF$3:$AF$201,$M120)&gt;0,
     COUNTIFS($AG$3:$AG$201,$M120)&gt;0,
     COUNTIFS($AH$3:$AH$201,$M120)&gt;0,
     COUNTIFS($AI$3:$AI$201,$M120)&gt;0,
     COUNTIFS($AJ$3:$AJ$201,$M120)&gt;0,
     COUNTIFS($AK$3:$AK$201,$M120)&gt;0,
     COUNTIFS($AL$3:$AL$201,$M120)&gt;0,
     COUNTIFS($AM$3:$AM$201,$M120)&gt;0,
     COUNTIFS($AN$3:$AN$201,$M120)&gt;0,
     COUNTIFS($AO$3:$AO$201,$M120)&gt;0,
     COUNTIFS($AP$3:$AP$201,$M120)&gt;0,
     COUNTIFS($AQ$3:$AQ$201,$M120)&gt;0,
     COUNTIFS($AR$3:$AR$201,$M120)&gt;0,
     COUNTIFS($AS$3:$AS$201,$M120)&gt;0,
     COUNTIFS($AT$3:$AT$201,$M120)&gt;0,
     COUNTIFS($AU$3:$AU$201,$M120)&gt;0,
     COUNTIFS($AV$3:$AV$201,$M120)&gt;0,
     COUNTIFS($AW$3:$AW$201,$M120)&gt;0
   )),
  ),
  4
 ),
"")</f>
        <v/>
      </c>
      <c r="CA120" t="str">
        <f ca="1"/>
        <v>Spelunking</v>
      </c>
      <c r="CF120" t="str">
        <f ca="1"/>
        <v>Noite da Vingança dos Doces</v>
      </c>
      <c r="CI120" t="str">
        <f ca="1"/>
        <v>Illusionist's Gambit</v>
      </c>
    </row>
    <row r="121" spans="1:87" x14ac:dyDescent="0.25">
      <c r="A121" t="str">
        <f ca="1"/>
        <v>Hierofante de Elenda</v>
      </c>
      <c r="B121" s="3" t="str" cm="1">
        <f t="array" aca="1" ref="B121" ca="1">_xlfn.ANCHORARRAY(RESUMO!C120)</f>
        <v>Carlos</v>
      </c>
      <c r="C121" s="3" t="str">
        <f t="shared" ca="1" si="4"/>
        <v/>
      </c>
      <c r="E121" t="str">
        <f ca="1"/>
        <v>Imagem Espelhada</v>
      </c>
      <c r="F121" s="3">
        <f t="shared" ca="1" si="5"/>
        <v>1</v>
      </c>
      <c r="G121" s="3" t="str">
        <f t="shared" ca="1" si="6"/>
        <v>Kumena</v>
      </c>
      <c r="M121" t="str">
        <f ca="1"/>
        <v>Imagem Espelhada</v>
      </c>
      <c r="N121" s="3">
        <f t="shared" ca="1" si="7"/>
        <v>1</v>
      </c>
      <c r="O121" s="3" t="str">
        <f ca="1">IFERROR(
 INDEX($T$2:$AW$2,
  MATCH(TRUE,
   CHOOSE({1;2;3;4;5;6;7;8;9;10;11;12;13;14;15;16;17;18;19;20;21;22;23;24;25;26;27;28;29;30;31;32},
    COUNTIFS($T$3:$T$201,$M121)&gt;0,
    COUNTIFS($U$3:$U$201,$M121)&gt;0,
    COUNTIFS($V$3:$V$201,$M121)&gt;0,
    COUNTIFS($W$3:$W$201,$M121)&gt;0,
    COUNTIFS($X$3:$X$201,$M121)&gt;0,
    COUNTIFS($Y$3:$Y$201,$M121)&gt;0,
    COUNTIFS($Z$3:$Z$201,$M121)&gt;0,
    COUNTIFS($AA$3:$AA$201,$M121)&gt;0,
    COUNTIFS($AB$3:$AB$201,$M121)&gt;0,
    COUNTIFS($AC$3:$AC$201,$M121)&gt;0,
    COUNTIFS($AD$3:$AD$201,$M121)&gt;0,
    COUNTIFS($AE$3:$AE$201,$M121)&gt;0,
    COUNTIFS($AF$3:$AF$201,$M121)&gt;0,
    COUNTIFS($AG$3:$AG$201,$M121)&gt;0,
    COUNTIFS($AH$3:$AH$201,$M121)&gt;0,
    COUNTIFS($AI$3:$AI$201,$M121)&gt;0,
    COUNTIFS($AJ$3:$AJ$201,$M121)&gt;0,
    COUNTIFS($AK$3:$AK$201,$M121)&gt;0,
    COUNTIFS($AL$3:$AL$201,$M121)&gt;0,
    COUNTIFS($AM$3:$AM$201,$M121)&gt;0,
    COUNTIFS($AN$3:$AN$201,$M121)&gt;0,
    COUNTIFS($AO$3:$AO$201,$M121)&gt;0,
    COUNTIFS($AP$3:$AP$201,$M121)&gt;0,
    COUNTIFS($AQ$3:$AQ$201,$M121)&gt;0,
    COUNTIFS($AR$3:$AR$201,$M121)&gt;0,
    COUNTIFS($AS$3:$AS$201,$M121)&gt;0,
    COUNTIFS($AT$3:$AT$201,$M121)&gt;0,
    COUNTIFS($AU$3:$AU$201,$M121)&gt;0,
    COUNTIFS($AV$3:$AV$201,$M121)&gt;0,
    COUNTIFS($AW$3:$AW$201,$M121)&gt;0
   ),
  0)
 ),
"")</f>
        <v>Kumena</v>
      </c>
      <c r="P121" s="3" t="str" cm="1">
        <f t="array" aca="1" ref="P121" ca="1">IFERROR(
 INDEX(
  _xlfn._xlws.FILTER($T$2:$AW$2,
   TRANSPOSE(
    CHOOSE({1;2;3;4;5;6;7;8;9;10;11;12;13;14;15;16;17;18;19;20;21;22;23;24;25;26;27;28;29;30},
     COUNTIFS($T$3:$T$201,$M121)&gt;0,
     COUNTIFS($U$3:$U$201,$M121)&gt;0,
     COUNTIFS($V$3:$V$201,$M121)&gt;0,
     COUNTIFS($W$3:$W$201,$M121)&gt;0,
     COUNTIFS($X$3:$X$201,$M121)&gt;0,
     COUNTIFS($Y$3:$Y$201,$M121)&gt;0,
     COUNTIFS($Z$3:$Z$201,$M121)&gt;0,
     COUNTIFS($AA$3:$AA$201,$M121)&gt;0,
     COUNTIFS($AB$3:$AB$201,$M121)&gt;0,
     COUNTIFS($AC$3:$AC$201,$M121)&gt;0,
     COUNTIFS($AD$3:$AD$201,$M121)&gt;0,
     COUNTIFS($AE$3:$AE$201,$M121)&gt;0,
     COUNTIFS($AF$3:$AF$201,$M121)&gt;0,
     COUNTIFS($AG$3:$AG$201,$M121)&gt;0,
     COUNTIFS($AH$3:$AH$201,$M121)&gt;0,
     COUNTIFS($AI$3:$AI$201,$M121)&gt;0,
     COUNTIFS($AJ$3:$AJ$201,$M121)&gt;0,
     COUNTIFS($AK$3:$AK$201,$M121)&gt;0,
     COUNTIFS($AL$3:$AL$201,$M121)&gt;0,
     COUNTIFS($AM$3:$AM$201,$M121)&gt;0,
     COUNTIFS($AN$3:$AN$201,$M121)&gt;0,
     COUNTIFS($AO$3:$AO$201,$M121)&gt;0,
     COUNTIFS($AP$3:$AP$201,$M121)&gt;0,
     COUNTIFS($AQ$3:$AQ$201,$M121)&gt;0,
     COUNTIFS($AR$3:$AR$201,$M121)&gt;0,
     COUNTIFS($AS$3:$AS$201,$M121)&gt;0,
     COUNTIFS($AT$3:$AT$201,$M121)&gt;0,
     COUNTIFS($AU$3:$AU$201,$M121)&gt;0,
     COUNTIFS($AV$3:$AV$201,$M121)&gt;0,
     COUNTIFS($AW$3:$AW$201,$M121)&gt;0
   )),
  ),
  2
 ),
"")</f>
        <v/>
      </c>
      <c r="Q121" s="3" t="str" cm="1">
        <f t="array" aca="1" ref="Q121" ca="1">IFERROR(
 INDEX(
  _xlfn._xlws.FILTER($T$2:$AW$2,
   TRANSPOSE(
    CHOOSE({1;2;3;4;5;6;7;8;9;10;11;12;13;14;15;16;17;18;19;20;21;22;23;24;25;26;27;28;29;30},
     COUNTIFS($T$3:$T$201,$M121)&gt;0,
     COUNTIFS($U$3:$U$201,$M121)&gt;0,
     COUNTIFS($V$3:$V$201,$M121)&gt;0,
     COUNTIFS($W$3:$W$201,$M121)&gt;0,
     COUNTIFS($X$3:$X$201,$M121)&gt;0,
     COUNTIFS($Y$3:$Y$201,$M121)&gt;0,
     COUNTIFS($Z$3:$Z$201,$M121)&gt;0,
     COUNTIFS($AA$3:$AA$201,$M121)&gt;0,
     COUNTIFS($AB$3:$AB$201,$M121)&gt;0,
     COUNTIFS($AC$3:$AC$201,$M121)&gt;0,
     COUNTIFS($AD$3:$AD$201,$M121)&gt;0,
     COUNTIFS($AE$3:$AE$201,$M121)&gt;0,
     COUNTIFS($AF$3:$AF$201,$M121)&gt;0,
     COUNTIFS($AG$3:$AG$201,$M121)&gt;0,
     COUNTIFS($AH$3:$AH$201,$M121)&gt;0,
     COUNTIFS($AI$3:$AI$201,$M121)&gt;0,
     COUNTIFS($AJ$3:$AJ$201,$M121)&gt;0,
     COUNTIFS($AK$3:$AK$201,$M121)&gt;0,
     COUNTIFS($AL$3:$AL$201,$M121)&gt;0,
     COUNTIFS($AM$3:$AM$201,$M121)&gt;0,
     COUNTIFS($AN$3:$AN$201,$M121)&gt;0,
     COUNTIFS($AO$3:$AO$201,$M121)&gt;0,
     COUNTIFS($AP$3:$AP$201,$M121)&gt;0,
     COUNTIFS($AQ$3:$AQ$201,$M121)&gt;0,
     COUNTIFS($AR$3:$AR$201,$M121)&gt;0,
     COUNTIFS($AS$3:$AS$201,$M121)&gt;0,
     COUNTIFS($AT$3:$AT$201,$M121)&gt;0,
     COUNTIFS($AU$3:$AU$201,$M121)&gt;0,
     COUNTIFS($AV$3:$AV$201,$M121)&gt;0,
     COUNTIFS($AW$3:$AW$201,$M121)&gt;0
   )),
  ),
  3
 ),
"")</f>
        <v/>
      </c>
      <c r="R121" s="3" t="str" cm="1">
        <f t="array" aca="1" ref="R121" ca="1">IFERROR(
 INDEX(
  _xlfn._xlws.FILTER($T$2:$AW$2,
   TRANSPOSE(
    CHOOSE({1;2;3;4;5;6;7;8;9;10;11;12;13;14;15;16;17;18;19;20;21;22;23;24;25;26;27;28;29;30},
     COUNTIFS($T$3:$T$201,$M121)&gt;0,
     COUNTIFS($U$3:$U$201,$M121)&gt;0,
     COUNTIFS($V$3:$V$201,$M121)&gt;0,
     COUNTIFS($W$3:$W$201,$M121)&gt;0,
     COUNTIFS($X$3:$X$201,$M121)&gt;0,
     COUNTIFS($Y$3:$Y$201,$M121)&gt;0,
     COUNTIFS($Z$3:$Z$201,$M121)&gt;0,
     COUNTIFS($AA$3:$AA$201,$M121)&gt;0,
     COUNTIFS($AB$3:$AB$201,$M121)&gt;0,
     COUNTIFS($AC$3:$AC$201,$M121)&gt;0,
     COUNTIFS($AD$3:$AD$201,$M121)&gt;0,
     COUNTIFS($AE$3:$AE$201,$M121)&gt;0,
     COUNTIFS($AF$3:$AF$201,$M121)&gt;0,
     COUNTIFS($AG$3:$AG$201,$M121)&gt;0,
     COUNTIFS($AH$3:$AH$201,$M121)&gt;0,
     COUNTIFS($AI$3:$AI$201,$M121)&gt;0,
     COUNTIFS($AJ$3:$AJ$201,$M121)&gt;0,
     COUNTIFS($AK$3:$AK$201,$M121)&gt;0,
     COUNTIFS($AL$3:$AL$201,$M121)&gt;0,
     COUNTIFS($AM$3:$AM$201,$M121)&gt;0,
     COUNTIFS($AN$3:$AN$201,$M121)&gt;0,
     COUNTIFS($AO$3:$AO$201,$M121)&gt;0,
     COUNTIFS($AP$3:$AP$201,$M121)&gt;0,
     COUNTIFS($AQ$3:$AQ$201,$M121)&gt;0,
     COUNTIFS($AR$3:$AR$201,$M121)&gt;0,
     COUNTIFS($AS$3:$AS$201,$M121)&gt;0,
     COUNTIFS($AT$3:$AT$201,$M121)&gt;0,
     COUNTIFS($AU$3:$AU$201,$M121)&gt;0,
     COUNTIFS($AV$3:$AV$201,$M121)&gt;0,
     COUNTIFS($AW$3:$AW$201,$M121)&gt;0
   )),
  ),
  4
 ),
"")</f>
        <v/>
      </c>
      <c r="CA121" t="str">
        <f ca="1"/>
        <v>Surto da Salvação</v>
      </c>
      <c r="CF121" t="str">
        <f ca="1"/>
        <v>O Ancião Renascido</v>
      </c>
      <c r="CI121" t="str">
        <f ca="1"/>
        <v>Imagem Espelhada</v>
      </c>
    </row>
    <row r="122" spans="1:87" x14ac:dyDescent="0.25">
      <c r="A122" t="str">
        <f ca="1"/>
        <v>High Market</v>
      </c>
      <c r="B122" s="3" t="str" cm="1">
        <f t="array" aca="1" ref="B122" ca="1">_xlfn.ANCHORARRAY(RESUMO!C121)</f>
        <v>Modular</v>
      </c>
      <c r="C122" s="3" t="str">
        <f t="shared" ca="1" si="4"/>
        <v/>
      </c>
      <c r="E122" t="str">
        <f ca="1"/>
        <v>Inferno Duplo</v>
      </c>
      <c r="F122" s="3">
        <f t="shared" ca="1" si="5"/>
        <v>1</v>
      </c>
      <c r="G122" s="3" t="str">
        <f t="shared" ca="1" si="6"/>
        <v>Narset</v>
      </c>
      <c r="M122" t="str">
        <f ca="1"/>
        <v>Inferno Duplo</v>
      </c>
      <c r="N122" s="3">
        <f t="shared" ca="1" si="7"/>
        <v>1</v>
      </c>
      <c r="O122" s="3" t="str">
        <f ca="1">IFERROR(
 INDEX($T$2:$AW$2,
  MATCH(TRUE,
   CHOOSE({1;2;3;4;5;6;7;8;9;10;11;12;13;14;15;16;17;18;19;20;21;22;23;24;25;26;27;28;29;30;31;32},
    COUNTIFS($T$3:$T$201,$M122)&gt;0,
    COUNTIFS($U$3:$U$201,$M122)&gt;0,
    COUNTIFS($V$3:$V$201,$M122)&gt;0,
    COUNTIFS($W$3:$W$201,$M122)&gt;0,
    COUNTIFS($X$3:$X$201,$M122)&gt;0,
    COUNTIFS($Y$3:$Y$201,$M122)&gt;0,
    COUNTIFS($Z$3:$Z$201,$M122)&gt;0,
    COUNTIFS($AA$3:$AA$201,$M122)&gt;0,
    COUNTIFS($AB$3:$AB$201,$M122)&gt;0,
    COUNTIFS($AC$3:$AC$201,$M122)&gt;0,
    COUNTIFS($AD$3:$AD$201,$M122)&gt;0,
    COUNTIFS($AE$3:$AE$201,$M122)&gt;0,
    COUNTIFS($AF$3:$AF$201,$M122)&gt;0,
    COUNTIFS($AG$3:$AG$201,$M122)&gt;0,
    COUNTIFS($AH$3:$AH$201,$M122)&gt;0,
    COUNTIFS($AI$3:$AI$201,$M122)&gt;0,
    COUNTIFS($AJ$3:$AJ$201,$M122)&gt;0,
    COUNTIFS($AK$3:$AK$201,$M122)&gt;0,
    COUNTIFS($AL$3:$AL$201,$M122)&gt;0,
    COUNTIFS($AM$3:$AM$201,$M122)&gt;0,
    COUNTIFS($AN$3:$AN$201,$M122)&gt;0,
    COUNTIFS($AO$3:$AO$201,$M122)&gt;0,
    COUNTIFS($AP$3:$AP$201,$M122)&gt;0,
    COUNTIFS($AQ$3:$AQ$201,$M122)&gt;0,
    COUNTIFS($AR$3:$AR$201,$M122)&gt;0,
    COUNTIFS($AS$3:$AS$201,$M122)&gt;0,
    COUNTIFS($AT$3:$AT$201,$M122)&gt;0,
    COUNTIFS($AU$3:$AU$201,$M122)&gt;0,
    COUNTIFS($AV$3:$AV$201,$M122)&gt;0,
    COUNTIFS($AW$3:$AW$201,$M122)&gt;0
   ),
  0)
 ),
"")</f>
        <v>Narset</v>
      </c>
      <c r="P122" s="3" t="str" cm="1">
        <f t="array" aca="1" ref="P122" ca="1">IFERROR(
 INDEX(
  _xlfn._xlws.FILTER($T$2:$AW$2,
   TRANSPOSE(
    CHOOSE({1;2;3;4;5;6;7;8;9;10;11;12;13;14;15;16;17;18;19;20;21;22;23;24;25;26;27;28;29;30},
     COUNTIFS($T$3:$T$201,$M122)&gt;0,
     COUNTIFS($U$3:$U$201,$M122)&gt;0,
     COUNTIFS($V$3:$V$201,$M122)&gt;0,
     COUNTIFS($W$3:$W$201,$M122)&gt;0,
     COUNTIFS($X$3:$X$201,$M122)&gt;0,
     COUNTIFS($Y$3:$Y$201,$M122)&gt;0,
     COUNTIFS($Z$3:$Z$201,$M122)&gt;0,
     COUNTIFS($AA$3:$AA$201,$M122)&gt;0,
     COUNTIFS($AB$3:$AB$201,$M122)&gt;0,
     COUNTIFS($AC$3:$AC$201,$M122)&gt;0,
     COUNTIFS($AD$3:$AD$201,$M122)&gt;0,
     COUNTIFS($AE$3:$AE$201,$M122)&gt;0,
     COUNTIFS($AF$3:$AF$201,$M122)&gt;0,
     COUNTIFS($AG$3:$AG$201,$M122)&gt;0,
     COUNTIFS($AH$3:$AH$201,$M122)&gt;0,
     COUNTIFS($AI$3:$AI$201,$M122)&gt;0,
     COUNTIFS($AJ$3:$AJ$201,$M122)&gt;0,
     COUNTIFS($AK$3:$AK$201,$M122)&gt;0,
     COUNTIFS($AL$3:$AL$201,$M122)&gt;0,
     COUNTIFS($AM$3:$AM$201,$M122)&gt;0,
     COUNTIFS($AN$3:$AN$201,$M122)&gt;0,
     COUNTIFS($AO$3:$AO$201,$M122)&gt;0,
     COUNTIFS($AP$3:$AP$201,$M122)&gt;0,
     COUNTIFS($AQ$3:$AQ$201,$M122)&gt;0,
     COUNTIFS($AR$3:$AR$201,$M122)&gt;0,
     COUNTIFS($AS$3:$AS$201,$M122)&gt;0,
     COUNTIFS($AT$3:$AT$201,$M122)&gt;0,
     COUNTIFS($AU$3:$AU$201,$M122)&gt;0,
     COUNTIFS($AV$3:$AV$201,$M122)&gt;0,
     COUNTIFS($AW$3:$AW$201,$M122)&gt;0
   )),
  ),
  2
 ),
"")</f>
        <v/>
      </c>
      <c r="Q122" s="3" t="str" cm="1">
        <f t="array" aca="1" ref="Q122" ca="1">IFERROR(
 INDEX(
  _xlfn._xlws.FILTER($T$2:$AW$2,
   TRANSPOSE(
    CHOOSE({1;2;3;4;5;6;7;8;9;10;11;12;13;14;15;16;17;18;19;20;21;22;23;24;25;26;27;28;29;30},
     COUNTIFS($T$3:$T$201,$M122)&gt;0,
     COUNTIFS($U$3:$U$201,$M122)&gt;0,
     COUNTIFS($V$3:$V$201,$M122)&gt;0,
     COUNTIFS($W$3:$W$201,$M122)&gt;0,
     COUNTIFS($X$3:$X$201,$M122)&gt;0,
     COUNTIFS($Y$3:$Y$201,$M122)&gt;0,
     COUNTIFS($Z$3:$Z$201,$M122)&gt;0,
     COUNTIFS($AA$3:$AA$201,$M122)&gt;0,
     COUNTIFS($AB$3:$AB$201,$M122)&gt;0,
     COUNTIFS($AC$3:$AC$201,$M122)&gt;0,
     COUNTIFS($AD$3:$AD$201,$M122)&gt;0,
     COUNTIFS($AE$3:$AE$201,$M122)&gt;0,
     COUNTIFS($AF$3:$AF$201,$M122)&gt;0,
     COUNTIFS($AG$3:$AG$201,$M122)&gt;0,
     COUNTIFS($AH$3:$AH$201,$M122)&gt;0,
     COUNTIFS($AI$3:$AI$201,$M122)&gt;0,
     COUNTIFS($AJ$3:$AJ$201,$M122)&gt;0,
     COUNTIFS($AK$3:$AK$201,$M122)&gt;0,
     COUNTIFS($AL$3:$AL$201,$M122)&gt;0,
     COUNTIFS($AM$3:$AM$201,$M122)&gt;0,
     COUNTIFS($AN$3:$AN$201,$M122)&gt;0,
     COUNTIFS($AO$3:$AO$201,$M122)&gt;0,
     COUNTIFS($AP$3:$AP$201,$M122)&gt;0,
     COUNTIFS($AQ$3:$AQ$201,$M122)&gt;0,
     COUNTIFS($AR$3:$AR$201,$M122)&gt;0,
     COUNTIFS($AS$3:$AS$201,$M122)&gt;0,
     COUNTIFS($AT$3:$AT$201,$M122)&gt;0,
     COUNTIFS($AU$3:$AU$201,$M122)&gt;0,
     COUNTIFS($AV$3:$AV$201,$M122)&gt;0,
     COUNTIFS($AW$3:$AW$201,$M122)&gt;0
   )),
  ),
  3
 ),
"")</f>
        <v/>
      </c>
      <c r="R122" s="3" t="str" cm="1">
        <f t="array" aca="1" ref="R122" ca="1">IFERROR(
 INDEX(
  _xlfn._xlws.FILTER($T$2:$AW$2,
   TRANSPOSE(
    CHOOSE({1;2;3;4;5;6;7;8;9;10;11;12;13;14;15;16;17;18;19;20;21;22;23;24;25;26;27;28;29;30},
     COUNTIFS($T$3:$T$201,$M122)&gt;0,
     COUNTIFS($U$3:$U$201,$M122)&gt;0,
     COUNTIFS($V$3:$V$201,$M122)&gt;0,
     COUNTIFS($W$3:$W$201,$M122)&gt;0,
     COUNTIFS($X$3:$X$201,$M122)&gt;0,
     COUNTIFS($Y$3:$Y$201,$M122)&gt;0,
     COUNTIFS($Z$3:$Z$201,$M122)&gt;0,
     COUNTIFS($AA$3:$AA$201,$M122)&gt;0,
     COUNTIFS($AB$3:$AB$201,$M122)&gt;0,
     COUNTIFS($AC$3:$AC$201,$M122)&gt;0,
     COUNTIFS($AD$3:$AD$201,$M122)&gt;0,
     COUNTIFS($AE$3:$AE$201,$M122)&gt;0,
     COUNTIFS($AF$3:$AF$201,$M122)&gt;0,
     COUNTIFS($AG$3:$AG$201,$M122)&gt;0,
     COUNTIFS($AH$3:$AH$201,$M122)&gt;0,
     COUNTIFS($AI$3:$AI$201,$M122)&gt;0,
     COUNTIFS($AJ$3:$AJ$201,$M122)&gt;0,
     COUNTIFS($AK$3:$AK$201,$M122)&gt;0,
     COUNTIFS($AL$3:$AL$201,$M122)&gt;0,
     COUNTIFS($AM$3:$AM$201,$M122)&gt;0,
     COUNTIFS($AN$3:$AN$201,$M122)&gt;0,
     COUNTIFS($AO$3:$AO$201,$M122)&gt;0,
     COUNTIFS($AP$3:$AP$201,$M122)&gt;0,
     COUNTIFS($AQ$3:$AQ$201,$M122)&gt;0,
     COUNTIFS($AR$3:$AR$201,$M122)&gt;0,
     COUNTIFS($AS$3:$AS$201,$M122)&gt;0,
     COUNTIFS($AT$3:$AT$201,$M122)&gt;0,
     COUNTIFS($AU$3:$AU$201,$M122)&gt;0,
     COUNTIFS($AV$3:$AV$201,$M122)&gt;0,
     COUNTIFS($AW$3:$AW$201,$M122)&gt;0
   )),
  ),
  4
 ),
"")</f>
        <v/>
      </c>
      <c r="CA122" t="str">
        <f ca="1"/>
        <v>Swamp</v>
      </c>
      <c r="CF122" t="str">
        <f ca="1"/>
        <v>Omen of the Sea</v>
      </c>
      <c r="CI122" t="str">
        <f ca="1"/>
        <v>Inferno Duplo</v>
      </c>
    </row>
    <row r="123" spans="1:87" x14ac:dyDescent="0.25">
      <c r="A123" t="str">
        <f ca="1"/>
        <v>High-Society Hunter</v>
      </c>
      <c r="B123" s="3" t="str" cm="1">
        <f t="array" aca="1" ref="B123" ca="1">_xlfn.ANCHORARRAY(RESUMO!C122)</f>
        <v>Kresh</v>
      </c>
      <c r="C123" s="3" t="str">
        <f t="shared" ca="1" si="4"/>
        <v/>
      </c>
      <c r="E123" t="str">
        <f ca="1"/>
        <v>Inundação de Lágrimas</v>
      </c>
      <c r="F123" s="3">
        <f t="shared" ca="1" si="5"/>
        <v>1</v>
      </c>
      <c r="G123" s="3" t="str">
        <f t="shared" ca="1" si="6"/>
        <v>Jhoira</v>
      </c>
      <c r="M123" t="str">
        <f ca="1"/>
        <v>Inundação de Lágrimas</v>
      </c>
      <c r="N123" s="3">
        <f t="shared" ca="1" si="7"/>
        <v>1</v>
      </c>
      <c r="O123" s="3" t="str">
        <f ca="1">IFERROR(
 INDEX($T$2:$AW$2,
  MATCH(TRUE,
   CHOOSE({1;2;3;4;5;6;7;8;9;10;11;12;13;14;15;16;17;18;19;20;21;22;23;24;25;26;27;28;29;30;31;32},
    COUNTIFS($T$3:$T$201,$M123)&gt;0,
    COUNTIFS($U$3:$U$201,$M123)&gt;0,
    COUNTIFS($V$3:$V$201,$M123)&gt;0,
    COUNTIFS($W$3:$W$201,$M123)&gt;0,
    COUNTIFS($X$3:$X$201,$M123)&gt;0,
    COUNTIFS($Y$3:$Y$201,$M123)&gt;0,
    COUNTIFS($Z$3:$Z$201,$M123)&gt;0,
    COUNTIFS($AA$3:$AA$201,$M123)&gt;0,
    COUNTIFS($AB$3:$AB$201,$M123)&gt;0,
    COUNTIFS($AC$3:$AC$201,$M123)&gt;0,
    COUNTIFS($AD$3:$AD$201,$M123)&gt;0,
    COUNTIFS($AE$3:$AE$201,$M123)&gt;0,
    COUNTIFS($AF$3:$AF$201,$M123)&gt;0,
    COUNTIFS($AG$3:$AG$201,$M123)&gt;0,
    COUNTIFS($AH$3:$AH$201,$M123)&gt;0,
    COUNTIFS($AI$3:$AI$201,$M123)&gt;0,
    COUNTIFS($AJ$3:$AJ$201,$M123)&gt;0,
    COUNTIFS($AK$3:$AK$201,$M123)&gt;0,
    COUNTIFS($AL$3:$AL$201,$M123)&gt;0,
    COUNTIFS($AM$3:$AM$201,$M123)&gt;0,
    COUNTIFS($AN$3:$AN$201,$M123)&gt;0,
    COUNTIFS($AO$3:$AO$201,$M123)&gt;0,
    COUNTIFS($AP$3:$AP$201,$M123)&gt;0,
    COUNTIFS($AQ$3:$AQ$201,$M123)&gt;0,
    COUNTIFS($AR$3:$AR$201,$M123)&gt;0,
    COUNTIFS($AS$3:$AS$201,$M123)&gt;0,
    COUNTIFS($AT$3:$AT$201,$M123)&gt;0,
    COUNTIFS($AU$3:$AU$201,$M123)&gt;0,
    COUNTIFS($AV$3:$AV$201,$M123)&gt;0,
    COUNTIFS($AW$3:$AW$201,$M123)&gt;0
   ),
  0)
 ),
"")</f>
        <v>Jhoira</v>
      </c>
      <c r="P123" s="3" t="str" cm="1">
        <f t="array" aca="1" ref="P123" ca="1">IFERROR(
 INDEX(
  _xlfn._xlws.FILTER($T$2:$AW$2,
   TRANSPOSE(
    CHOOSE({1;2;3;4;5;6;7;8;9;10;11;12;13;14;15;16;17;18;19;20;21;22;23;24;25;26;27;28;29;30},
     COUNTIFS($T$3:$T$201,$M123)&gt;0,
     COUNTIFS($U$3:$U$201,$M123)&gt;0,
     COUNTIFS($V$3:$V$201,$M123)&gt;0,
     COUNTIFS($W$3:$W$201,$M123)&gt;0,
     COUNTIFS($X$3:$X$201,$M123)&gt;0,
     COUNTIFS($Y$3:$Y$201,$M123)&gt;0,
     COUNTIFS($Z$3:$Z$201,$M123)&gt;0,
     COUNTIFS($AA$3:$AA$201,$M123)&gt;0,
     COUNTIFS($AB$3:$AB$201,$M123)&gt;0,
     COUNTIFS($AC$3:$AC$201,$M123)&gt;0,
     COUNTIFS($AD$3:$AD$201,$M123)&gt;0,
     COUNTIFS($AE$3:$AE$201,$M123)&gt;0,
     COUNTIFS($AF$3:$AF$201,$M123)&gt;0,
     COUNTIFS($AG$3:$AG$201,$M123)&gt;0,
     COUNTIFS($AH$3:$AH$201,$M123)&gt;0,
     COUNTIFS($AI$3:$AI$201,$M123)&gt;0,
     COUNTIFS($AJ$3:$AJ$201,$M123)&gt;0,
     COUNTIFS($AK$3:$AK$201,$M123)&gt;0,
     COUNTIFS($AL$3:$AL$201,$M123)&gt;0,
     COUNTIFS($AM$3:$AM$201,$M123)&gt;0,
     COUNTIFS($AN$3:$AN$201,$M123)&gt;0,
     COUNTIFS($AO$3:$AO$201,$M123)&gt;0,
     COUNTIFS($AP$3:$AP$201,$M123)&gt;0,
     COUNTIFS($AQ$3:$AQ$201,$M123)&gt;0,
     COUNTIFS($AR$3:$AR$201,$M123)&gt;0,
     COUNTIFS($AS$3:$AS$201,$M123)&gt;0,
     COUNTIFS($AT$3:$AT$201,$M123)&gt;0,
     COUNTIFS($AU$3:$AU$201,$M123)&gt;0,
     COUNTIFS($AV$3:$AV$201,$M123)&gt;0,
     COUNTIFS($AW$3:$AW$201,$M123)&gt;0
   )),
  ),
  2
 ),
"")</f>
        <v/>
      </c>
      <c r="Q123" s="3" t="str" cm="1">
        <f t="array" aca="1" ref="Q123" ca="1">IFERROR(
 INDEX(
  _xlfn._xlws.FILTER($T$2:$AW$2,
   TRANSPOSE(
    CHOOSE({1;2;3;4;5;6;7;8;9;10;11;12;13;14;15;16;17;18;19;20;21;22;23;24;25;26;27;28;29;30},
     COUNTIFS($T$3:$T$201,$M123)&gt;0,
     COUNTIFS($U$3:$U$201,$M123)&gt;0,
     COUNTIFS($V$3:$V$201,$M123)&gt;0,
     COUNTIFS($W$3:$W$201,$M123)&gt;0,
     COUNTIFS($X$3:$X$201,$M123)&gt;0,
     COUNTIFS($Y$3:$Y$201,$M123)&gt;0,
     COUNTIFS($Z$3:$Z$201,$M123)&gt;0,
     COUNTIFS($AA$3:$AA$201,$M123)&gt;0,
     COUNTIFS($AB$3:$AB$201,$M123)&gt;0,
     COUNTIFS($AC$3:$AC$201,$M123)&gt;0,
     COUNTIFS($AD$3:$AD$201,$M123)&gt;0,
     COUNTIFS($AE$3:$AE$201,$M123)&gt;0,
     COUNTIFS($AF$3:$AF$201,$M123)&gt;0,
     COUNTIFS($AG$3:$AG$201,$M123)&gt;0,
     COUNTIFS($AH$3:$AH$201,$M123)&gt;0,
     COUNTIFS($AI$3:$AI$201,$M123)&gt;0,
     COUNTIFS($AJ$3:$AJ$201,$M123)&gt;0,
     COUNTIFS($AK$3:$AK$201,$M123)&gt;0,
     COUNTIFS($AL$3:$AL$201,$M123)&gt;0,
     COUNTIFS($AM$3:$AM$201,$M123)&gt;0,
     COUNTIFS($AN$3:$AN$201,$M123)&gt;0,
     COUNTIFS($AO$3:$AO$201,$M123)&gt;0,
     COUNTIFS($AP$3:$AP$201,$M123)&gt;0,
     COUNTIFS($AQ$3:$AQ$201,$M123)&gt;0,
     COUNTIFS($AR$3:$AR$201,$M123)&gt;0,
     COUNTIFS($AS$3:$AS$201,$M123)&gt;0,
     COUNTIFS($AT$3:$AT$201,$M123)&gt;0,
     COUNTIFS($AU$3:$AU$201,$M123)&gt;0,
     COUNTIFS($AV$3:$AV$201,$M123)&gt;0,
     COUNTIFS($AW$3:$AW$201,$M123)&gt;0
   )),
  ),
  3
 ),
"")</f>
        <v/>
      </c>
      <c r="R123" s="3" t="str" cm="1">
        <f t="array" aca="1" ref="R123" ca="1">IFERROR(
 INDEX(
  _xlfn._xlws.FILTER($T$2:$AW$2,
   TRANSPOSE(
    CHOOSE({1;2;3;4;5;6;7;8;9;10;11;12;13;14;15;16;17;18;19;20;21;22;23;24;25;26;27;28;29;30},
     COUNTIFS($T$3:$T$201,$M123)&gt;0,
     COUNTIFS($U$3:$U$201,$M123)&gt;0,
     COUNTIFS($V$3:$V$201,$M123)&gt;0,
     COUNTIFS($W$3:$W$201,$M123)&gt;0,
     COUNTIFS($X$3:$X$201,$M123)&gt;0,
     COUNTIFS($Y$3:$Y$201,$M123)&gt;0,
     COUNTIFS($Z$3:$Z$201,$M123)&gt;0,
     COUNTIFS($AA$3:$AA$201,$M123)&gt;0,
     COUNTIFS($AB$3:$AB$201,$M123)&gt;0,
     COUNTIFS($AC$3:$AC$201,$M123)&gt;0,
     COUNTIFS($AD$3:$AD$201,$M123)&gt;0,
     COUNTIFS($AE$3:$AE$201,$M123)&gt;0,
     COUNTIFS($AF$3:$AF$201,$M123)&gt;0,
     COUNTIFS($AG$3:$AG$201,$M123)&gt;0,
     COUNTIFS($AH$3:$AH$201,$M123)&gt;0,
     COUNTIFS($AI$3:$AI$201,$M123)&gt;0,
     COUNTIFS($AJ$3:$AJ$201,$M123)&gt;0,
     COUNTIFS($AK$3:$AK$201,$M123)&gt;0,
     COUNTIFS($AL$3:$AL$201,$M123)&gt;0,
     COUNTIFS($AM$3:$AM$201,$M123)&gt;0,
     COUNTIFS($AN$3:$AN$201,$M123)&gt;0,
     COUNTIFS($AO$3:$AO$201,$M123)&gt;0,
     COUNTIFS($AP$3:$AP$201,$M123)&gt;0,
     COUNTIFS($AQ$3:$AQ$201,$M123)&gt;0,
     COUNTIFS($AR$3:$AR$201,$M123)&gt;0,
     COUNTIFS($AS$3:$AS$201,$M123)&gt;0,
     COUNTIFS($AT$3:$AT$201,$M123)&gt;0,
     COUNTIFS($AU$3:$AU$201,$M123)&gt;0,
     COUNTIFS($AV$3:$AV$201,$M123)&gt;0,
     COUNTIFS($AW$3:$AW$201,$M123)&gt;0
   )),
  ),
  4
 ),
"")</f>
        <v/>
      </c>
      <c r="CA123" t="str">
        <f ca="1"/>
        <v>Taverneiro Prospero</v>
      </c>
      <c r="CF123" t="str">
        <f ca="1"/>
        <v>Ominous Seas</v>
      </c>
      <c r="CI123" t="str">
        <f ca="1"/>
        <v>Inundação de Lágrimas</v>
      </c>
    </row>
    <row r="124" spans="1:87" x14ac:dyDescent="0.25">
      <c r="A124" t="str">
        <f ca="1"/>
        <v>Homeward Path</v>
      </c>
      <c r="B124" s="3" t="str" cm="1">
        <f t="array" aca="1" ref="B124" ca="1">_xlfn.ANCHORARRAY(RESUMO!C123)</f>
        <v>Zedruu</v>
      </c>
      <c r="C124" s="3" t="str">
        <f t="shared" ca="1" si="4"/>
        <v/>
      </c>
      <c r="E124" t="str">
        <f ca="1"/>
        <v>Invasão da Horda Medonha</v>
      </c>
      <c r="F124" s="3">
        <f t="shared" ca="1" si="5"/>
        <v>1</v>
      </c>
      <c r="G124" s="3" t="str">
        <f t="shared" ca="1" si="6"/>
        <v>Tayam</v>
      </c>
      <c r="M124" t="str">
        <f ca="1"/>
        <v>Invasão da Horda Medonha</v>
      </c>
      <c r="N124" s="3">
        <f t="shared" ca="1" si="7"/>
        <v>1</v>
      </c>
      <c r="O124" s="3" t="str">
        <f ca="1">IFERROR(
 INDEX($T$2:$AW$2,
  MATCH(TRUE,
   CHOOSE({1;2;3;4;5;6;7;8;9;10;11;12;13;14;15;16;17;18;19;20;21;22;23;24;25;26;27;28;29;30;31;32},
    COUNTIFS($T$3:$T$201,$M124)&gt;0,
    COUNTIFS($U$3:$U$201,$M124)&gt;0,
    COUNTIFS($V$3:$V$201,$M124)&gt;0,
    COUNTIFS($W$3:$W$201,$M124)&gt;0,
    COUNTIFS($X$3:$X$201,$M124)&gt;0,
    COUNTIFS($Y$3:$Y$201,$M124)&gt;0,
    COUNTIFS($Z$3:$Z$201,$M124)&gt;0,
    COUNTIFS($AA$3:$AA$201,$M124)&gt;0,
    COUNTIFS($AB$3:$AB$201,$M124)&gt;0,
    COUNTIFS($AC$3:$AC$201,$M124)&gt;0,
    COUNTIFS($AD$3:$AD$201,$M124)&gt;0,
    COUNTIFS($AE$3:$AE$201,$M124)&gt;0,
    COUNTIFS($AF$3:$AF$201,$M124)&gt;0,
    COUNTIFS($AG$3:$AG$201,$M124)&gt;0,
    COUNTIFS($AH$3:$AH$201,$M124)&gt;0,
    COUNTIFS($AI$3:$AI$201,$M124)&gt;0,
    COUNTIFS($AJ$3:$AJ$201,$M124)&gt;0,
    COUNTIFS($AK$3:$AK$201,$M124)&gt;0,
    COUNTIFS($AL$3:$AL$201,$M124)&gt;0,
    COUNTIFS($AM$3:$AM$201,$M124)&gt;0,
    COUNTIFS($AN$3:$AN$201,$M124)&gt;0,
    COUNTIFS($AO$3:$AO$201,$M124)&gt;0,
    COUNTIFS($AP$3:$AP$201,$M124)&gt;0,
    COUNTIFS($AQ$3:$AQ$201,$M124)&gt;0,
    COUNTIFS($AR$3:$AR$201,$M124)&gt;0,
    COUNTIFS($AS$3:$AS$201,$M124)&gt;0,
    COUNTIFS($AT$3:$AT$201,$M124)&gt;0,
    COUNTIFS($AU$3:$AU$201,$M124)&gt;0,
    COUNTIFS($AV$3:$AV$201,$M124)&gt;0,
    COUNTIFS($AW$3:$AW$201,$M124)&gt;0
   ),
  0)
 ),
"")</f>
        <v>Tayam</v>
      </c>
      <c r="P124" s="3" t="str" cm="1">
        <f t="array" aca="1" ref="P124" ca="1">IFERROR(
 INDEX(
  _xlfn._xlws.FILTER($T$2:$AW$2,
   TRANSPOSE(
    CHOOSE({1;2;3;4;5;6;7;8;9;10;11;12;13;14;15;16;17;18;19;20;21;22;23;24;25;26;27;28;29;30},
     COUNTIFS($T$3:$T$201,$M124)&gt;0,
     COUNTIFS($U$3:$U$201,$M124)&gt;0,
     COUNTIFS($V$3:$V$201,$M124)&gt;0,
     COUNTIFS($W$3:$W$201,$M124)&gt;0,
     COUNTIFS($X$3:$X$201,$M124)&gt;0,
     COUNTIFS($Y$3:$Y$201,$M124)&gt;0,
     COUNTIFS($Z$3:$Z$201,$M124)&gt;0,
     COUNTIFS($AA$3:$AA$201,$M124)&gt;0,
     COUNTIFS($AB$3:$AB$201,$M124)&gt;0,
     COUNTIFS($AC$3:$AC$201,$M124)&gt;0,
     COUNTIFS($AD$3:$AD$201,$M124)&gt;0,
     COUNTIFS($AE$3:$AE$201,$M124)&gt;0,
     COUNTIFS($AF$3:$AF$201,$M124)&gt;0,
     COUNTIFS($AG$3:$AG$201,$M124)&gt;0,
     COUNTIFS($AH$3:$AH$201,$M124)&gt;0,
     COUNTIFS($AI$3:$AI$201,$M124)&gt;0,
     COUNTIFS($AJ$3:$AJ$201,$M124)&gt;0,
     COUNTIFS($AK$3:$AK$201,$M124)&gt;0,
     COUNTIFS($AL$3:$AL$201,$M124)&gt;0,
     COUNTIFS($AM$3:$AM$201,$M124)&gt;0,
     COUNTIFS($AN$3:$AN$201,$M124)&gt;0,
     COUNTIFS($AO$3:$AO$201,$M124)&gt;0,
     COUNTIFS($AP$3:$AP$201,$M124)&gt;0,
     COUNTIFS($AQ$3:$AQ$201,$M124)&gt;0,
     COUNTIFS($AR$3:$AR$201,$M124)&gt;0,
     COUNTIFS($AS$3:$AS$201,$M124)&gt;0,
     COUNTIFS($AT$3:$AT$201,$M124)&gt;0,
     COUNTIFS($AU$3:$AU$201,$M124)&gt;0,
     COUNTIFS($AV$3:$AV$201,$M124)&gt;0,
     COUNTIFS($AW$3:$AW$201,$M124)&gt;0
   )),
  ),
  2
 ),
"")</f>
        <v/>
      </c>
      <c r="Q124" s="3" t="str" cm="1">
        <f t="array" aca="1" ref="Q124" ca="1">IFERROR(
 INDEX(
  _xlfn._xlws.FILTER($T$2:$AW$2,
   TRANSPOSE(
    CHOOSE({1;2;3;4;5;6;7;8;9;10;11;12;13;14;15;16;17;18;19;20;21;22;23;24;25;26;27;28;29;30},
     COUNTIFS($T$3:$T$201,$M124)&gt;0,
     COUNTIFS($U$3:$U$201,$M124)&gt;0,
     COUNTIFS($V$3:$V$201,$M124)&gt;0,
     COUNTIFS($W$3:$W$201,$M124)&gt;0,
     COUNTIFS($X$3:$X$201,$M124)&gt;0,
     COUNTIFS($Y$3:$Y$201,$M124)&gt;0,
     COUNTIFS($Z$3:$Z$201,$M124)&gt;0,
     COUNTIFS($AA$3:$AA$201,$M124)&gt;0,
     COUNTIFS($AB$3:$AB$201,$M124)&gt;0,
     COUNTIFS($AC$3:$AC$201,$M124)&gt;0,
     COUNTIFS($AD$3:$AD$201,$M124)&gt;0,
     COUNTIFS($AE$3:$AE$201,$M124)&gt;0,
     COUNTIFS($AF$3:$AF$201,$M124)&gt;0,
     COUNTIFS($AG$3:$AG$201,$M124)&gt;0,
     COUNTIFS($AH$3:$AH$201,$M124)&gt;0,
     COUNTIFS($AI$3:$AI$201,$M124)&gt;0,
     COUNTIFS($AJ$3:$AJ$201,$M124)&gt;0,
     COUNTIFS($AK$3:$AK$201,$M124)&gt;0,
     COUNTIFS($AL$3:$AL$201,$M124)&gt;0,
     COUNTIFS($AM$3:$AM$201,$M124)&gt;0,
     COUNTIFS($AN$3:$AN$201,$M124)&gt;0,
     COUNTIFS($AO$3:$AO$201,$M124)&gt;0,
     COUNTIFS($AP$3:$AP$201,$M124)&gt;0,
     COUNTIFS($AQ$3:$AQ$201,$M124)&gt;0,
     COUNTIFS($AR$3:$AR$201,$M124)&gt;0,
     COUNTIFS($AS$3:$AS$201,$M124)&gt;0,
     COUNTIFS($AT$3:$AT$201,$M124)&gt;0,
     COUNTIFS($AU$3:$AU$201,$M124)&gt;0,
     COUNTIFS($AV$3:$AV$201,$M124)&gt;0,
     COUNTIFS($AW$3:$AW$201,$M124)&gt;0
   )),
  ),
  3
 ),
"")</f>
        <v/>
      </c>
      <c r="R124" s="3" t="str" cm="1">
        <f t="array" aca="1" ref="R124" ca="1">IFERROR(
 INDEX(
  _xlfn._xlws.FILTER($T$2:$AW$2,
   TRANSPOSE(
    CHOOSE({1;2;3;4;5;6;7;8;9;10;11;12;13;14;15;16;17;18;19;20;21;22;23;24;25;26;27;28;29;30},
     COUNTIFS($T$3:$T$201,$M124)&gt;0,
     COUNTIFS($U$3:$U$201,$M124)&gt;0,
     COUNTIFS($V$3:$V$201,$M124)&gt;0,
     COUNTIFS($W$3:$W$201,$M124)&gt;0,
     COUNTIFS($X$3:$X$201,$M124)&gt;0,
     COUNTIFS($Y$3:$Y$201,$M124)&gt;0,
     COUNTIFS($Z$3:$Z$201,$M124)&gt;0,
     COUNTIFS($AA$3:$AA$201,$M124)&gt;0,
     COUNTIFS($AB$3:$AB$201,$M124)&gt;0,
     COUNTIFS($AC$3:$AC$201,$M124)&gt;0,
     COUNTIFS($AD$3:$AD$201,$M124)&gt;0,
     COUNTIFS($AE$3:$AE$201,$M124)&gt;0,
     COUNTIFS($AF$3:$AF$201,$M124)&gt;0,
     COUNTIFS($AG$3:$AG$201,$M124)&gt;0,
     COUNTIFS($AH$3:$AH$201,$M124)&gt;0,
     COUNTIFS($AI$3:$AI$201,$M124)&gt;0,
     COUNTIFS($AJ$3:$AJ$201,$M124)&gt;0,
     COUNTIFS($AK$3:$AK$201,$M124)&gt;0,
     COUNTIFS($AL$3:$AL$201,$M124)&gt;0,
     COUNTIFS($AM$3:$AM$201,$M124)&gt;0,
     COUNTIFS($AN$3:$AN$201,$M124)&gt;0,
     COUNTIFS($AO$3:$AO$201,$M124)&gt;0,
     COUNTIFS($AP$3:$AP$201,$M124)&gt;0,
     COUNTIFS($AQ$3:$AQ$201,$M124)&gt;0,
     COUNTIFS($AR$3:$AR$201,$M124)&gt;0,
     COUNTIFS($AS$3:$AS$201,$M124)&gt;0,
     COUNTIFS($AT$3:$AT$201,$M124)&gt;0,
     COUNTIFS($AU$3:$AU$201,$M124)&gt;0,
     COUNTIFS($AV$3:$AV$201,$M124)&gt;0,
     COUNTIFS($AW$3:$AW$201,$M124)&gt;0
   )),
  ),
  4
 ),
"")</f>
        <v/>
      </c>
      <c r="CA124" t="str">
        <f ca="1"/>
        <v>Teatro dos Maestros</v>
      </c>
      <c r="CF124" t="str">
        <f ca="1"/>
        <v>Optar</v>
      </c>
      <c r="CI124" t="str">
        <f ca="1"/>
        <v>Invasão da Horda Medonha</v>
      </c>
    </row>
    <row r="125" spans="1:87" x14ac:dyDescent="0.25">
      <c r="A125" t="str">
        <f ca="1"/>
        <v>Horizon Explorer</v>
      </c>
      <c r="B125" s="3" t="str" cm="1">
        <f t="array" aca="1" ref="B125" ca="1">_xlfn.ANCHORARRAY(RESUMO!C124)</f>
        <v>Zimone</v>
      </c>
      <c r="C125" s="3" t="str">
        <f t="shared" ca="1" si="4"/>
        <v/>
      </c>
      <c r="E125" t="str">
        <f ca="1"/>
        <v>Investigação Minuciosa</v>
      </c>
      <c r="F125" s="3">
        <f t="shared" ca="1" si="5"/>
        <v>1</v>
      </c>
      <c r="G125" s="3" t="str">
        <f t="shared" ca="1" si="6"/>
        <v>Baylen</v>
      </c>
      <c r="M125" t="str">
        <f ca="1"/>
        <v>Investigação Minuciosa</v>
      </c>
      <c r="N125" s="3">
        <f t="shared" ca="1" si="7"/>
        <v>1</v>
      </c>
      <c r="O125" s="3" t="str">
        <f ca="1">IFERROR(
 INDEX($T$2:$AW$2,
  MATCH(TRUE,
   CHOOSE({1;2;3;4;5;6;7;8;9;10;11;12;13;14;15;16;17;18;19;20;21;22;23;24;25;26;27;28;29;30;31;32},
    COUNTIFS($T$3:$T$201,$M125)&gt;0,
    COUNTIFS($U$3:$U$201,$M125)&gt;0,
    COUNTIFS($V$3:$V$201,$M125)&gt;0,
    COUNTIFS($W$3:$W$201,$M125)&gt;0,
    COUNTIFS($X$3:$X$201,$M125)&gt;0,
    COUNTIFS($Y$3:$Y$201,$M125)&gt;0,
    COUNTIFS($Z$3:$Z$201,$M125)&gt;0,
    COUNTIFS($AA$3:$AA$201,$M125)&gt;0,
    COUNTIFS($AB$3:$AB$201,$M125)&gt;0,
    COUNTIFS($AC$3:$AC$201,$M125)&gt;0,
    COUNTIFS($AD$3:$AD$201,$M125)&gt;0,
    COUNTIFS($AE$3:$AE$201,$M125)&gt;0,
    COUNTIFS($AF$3:$AF$201,$M125)&gt;0,
    COUNTIFS($AG$3:$AG$201,$M125)&gt;0,
    COUNTIFS($AH$3:$AH$201,$M125)&gt;0,
    COUNTIFS($AI$3:$AI$201,$M125)&gt;0,
    COUNTIFS($AJ$3:$AJ$201,$M125)&gt;0,
    COUNTIFS($AK$3:$AK$201,$M125)&gt;0,
    COUNTIFS($AL$3:$AL$201,$M125)&gt;0,
    COUNTIFS($AM$3:$AM$201,$M125)&gt;0,
    COUNTIFS($AN$3:$AN$201,$M125)&gt;0,
    COUNTIFS($AO$3:$AO$201,$M125)&gt;0,
    COUNTIFS($AP$3:$AP$201,$M125)&gt;0,
    COUNTIFS($AQ$3:$AQ$201,$M125)&gt;0,
    COUNTIFS($AR$3:$AR$201,$M125)&gt;0,
    COUNTIFS($AS$3:$AS$201,$M125)&gt;0,
    COUNTIFS($AT$3:$AT$201,$M125)&gt;0,
    COUNTIFS($AU$3:$AU$201,$M125)&gt;0,
    COUNTIFS($AV$3:$AV$201,$M125)&gt;0,
    COUNTIFS($AW$3:$AW$201,$M125)&gt;0
   ),
  0)
 ),
"")</f>
        <v>Baylen</v>
      </c>
      <c r="P125" s="3" t="str" cm="1">
        <f t="array" aca="1" ref="P125" ca="1">IFERROR(
 INDEX(
  _xlfn._xlws.FILTER($T$2:$AW$2,
   TRANSPOSE(
    CHOOSE({1;2;3;4;5;6;7;8;9;10;11;12;13;14;15;16;17;18;19;20;21;22;23;24;25;26;27;28;29;30},
     COUNTIFS($T$3:$T$201,$M125)&gt;0,
     COUNTIFS($U$3:$U$201,$M125)&gt;0,
     COUNTIFS($V$3:$V$201,$M125)&gt;0,
     COUNTIFS($W$3:$W$201,$M125)&gt;0,
     COUNTIFS($X$3:$X$201,$M125)&gt;0,
     COUNTIFS($Y$3:$Y$201,$M125)&gt;0,
     COUNTIFS($Z$3:$Z$201,$M125)&gt;0,
     COUNTIFS($AA$3:$AA$201,$M125)&gt;0,
     COUNTIFS($AB$3:$AB$201,$M125)&gt;0,
     COUNTIFS($AC$3:$AC$201,$M125)&gt;0,
     COUNTIFS($AD$3:$AD$201,$M125)&gt;0,
     COUNTIFS($AE$3:$AE$201,$M125)&gt;0,
     COUNTIFS($AF$3:$AF$201,$M125)&gt;0,
     COUNTIFS($AG$3:$AG$201,$M125)&gt;0,
     COUNTIFS($AH$3:$AH$201,$M125)&gt;0,
     COUNTIFS($AI$3:$AI$201,$M125)&gt;0,
     COUNTIFS($AJ$3:$AJ$201,$M125)&gt;0,
     COUNTIFS($AK$3:$AK$201,$M125)&gt;0,
     COUNTIFS($AL$3:$AL$201,$M125)&gt;0,
     COUNTIFS($AM$3:$AM$201,$M125)&gt;0,
     COUNTIFS($AN$3:$AN$201,$M125)&gt;0,
     COUNTIFS($AO$3:$AO$201,$M125)&gt;0,
     COUNTIFS($AP$3:$AP$201,$M125)&gt;0,
     COUNTIFS($AQ$3:$AQ$201,$M125)&gt;0,
     COUNTIFS($AR$3:$AR$201,$M125)&gt;0,
     COUNTIFS($AS$3:$AS$201,$M125)&gt;0,
     COUNTIFS($AT$3:$AT$201,$M125)&gt;0,
     COUNTIFS($AU$3:$AU$201,$M125)&gt;0,
     COUNTIFS($AV$3:$AV$201,$M125)&gt;0,
     COUNTIFS($AW$3:$AW$201,$M125)&gt;0
   )),
  ),
  2
 ),
"")</f>
        <v/>
      </c>
      <c r="Q125" s="3" t="str" cm="1">
        <f t="array" aca="1" ref="Q125" ca="1">IFERROR(
 INDEX(
  _xlfn._xlws.FILTER($T$2:$AW$2,
   TRANSPOSE(
    CHOOSE({1;2;3;4;5;6;7;8;9;10;11;12;13;14;15;16;17;18;19;20;21;22;23;24;25;26;27;28;29;30},
     COUNTIFS($T$3:$T$201,$M125)&gt;0,
     COUNTIFS($U$3:$U$201,$M125)&gt;0,
     COUNTIFS($V$3:$V$201,$M125)&gt;0,
     COUNTIFS($W$3:$W$201,$M125)&gt;0,
     COUNTIFS($X$3:$X$201,$M125)&gt;0,
     COUNTIFS($Y$3:$Y$201,$M125)&gt;0,
     COUNTIFS($Z$3:$Z$201,$M125)&gt;0,
     COUNTIFS($AA$3:$AA$201,$M125)&gt;0,
     COUNTIFS($AB$3:$AB$201,$M125)&gt;0,
     COUNTIFS($AC$3:$AC$201,$M125)&gt;0,
     COUNTIFS($AD$3:$AD$201,$M125)&gt;0,
     COUNTIFS($AE$3:$AE$201,$M125)&gt;0,
     COUNTIFS($AF$3:$AF$201,$M125)&gt;0,
     COUNTIFS($AG$3:$AG$201,$M125)&gt;0,
     COUNTIFS($AH$3:$AH$201,$M125)&gt;0,
     COUNTIFS($AI$3:$AI$201,$M125)&gt;0,
     COUNTIFS($AJ$3:$AJ$201,$M125)&gt;0,
     COUNTIFS($AK$3:$AK$201,$M125)&gt;0,
     COUNTIFS($AL$3:$AL$201,$M125)&gt;0,
     COUNTIFS($AM$3:$AM$201,$M125)&gt;0,
     COUNTIFS($AN$3:$AN$201,$M125)&gt;0,
     COUNTIFS($AO$3:$AO$201,$M125)&gt;0,
     COUNTIFS($AP$3:$AP$201,$M125)&gt;0,
     COUNTIFS($AQ$3:$AQ$201,$M125)&gt;0,
     COUNTIFS($AR$3:$AR$201,$M125)&gt;0,
     COUNTIFS($AS$3:$AS$201,$M125)&gt;0,
     COUNTIFS($AT$3:$AT$201,$M125)&gt;0,
     COUNTIFS($AU$3:$AU$201,$M125)&gt;0,
     COUNTIFS($AV$3:$AV$201,$M125)&gt;0,
     COUNTIFS($AW$3:$AW$201,$M125)&gt;0
   )),
  ),
  3
 ),
"")</f>
        <v/>
      </c>
      <c r="R125" s="3" t="str" cm="1">
        <f t="array" aca="1" ref="R125" ca="1">IFERROR(
 INDEX(
  _xlfn._xlws.FILTER($T$2:$AW$2,
   TRANSPOSE(
    CHOOSE({1;2;3;4;5;6;7;8;9;10;11;12;13;14;15;16;17;18;19;20;21;22;23;24;25;26;27;28;29;30},
     COUNTIFS($T$3:$T$201,$M125)&gt;0,
     COUNTIFS($U$3:$U$201,$M125)&gt;0,
     COUNTIFS($V$3:$V$201,$M125)&gt;0,
     COUNTIFS($W$3:$W$201,$M125)&gt;0,
     COUNTIFS($X$3:$X$201,$M125)&gt;0,
     COUNTIFS($Y$3:$Y$201,$M125)&gt;0,
     COUNTIFS($Z$3:$Z$201,$M125)&gt;0,
     COUNTIFS($AA$3:$AA$201,$M125)&gt;0,
     COUNTIFS($AB$3:$AB$201,$M125)&gt;0,
     COUNTIFS($AC$3:$AC$201,$M125)&gt;0,
     COUNTIFS($AD$3:$AD$201,$M125)&gt;0,
     COUNTIFS($AE$3:$AE$201,$M125)&gt;0,
     COUNTIFS($AF$3:$AF$201,$M125)&gt;0,
     COUNTIFS($AG$3:$AG$201,$M125)&gt;0,
     COUNTIFS($AH$3:$AH$201,$M125)&gt;0,
     COUNTIFS($AI$3:$AI$201,$M125)&gt;0,
     COUNTIFS($AJ$3:$AJ$201,$M125)&gt;0,
     COUNTIFS($AK$3:$AK$201,$M125)&gt;0,
     COUNTIFS($AL$3:$AL$201,$M125)&gt;0,
     COUNTIFS($AM$3:$AM$201,$M125)&gt;0,
     COUNTIFS($AN$3:$AN$201,$M125)&gt;0,
     COUNTIFS($AO$3:$AO$201,$M125)&gt;0,
     COUNTIFS($AP$3:$AP$201,$M125)&gt;0,
     COUNTIFS($AQ$3:$AQ$201,$M125)&gt;0,
     COUNTIFS($AR$3:$AR$201,$M125)&gt;0,
     COUNTIFS($AS$3:$AS$201,$M125)&gt;0,
     COUNTIFS($AT$3:$AT$201,$M125)&gt;0,
     COUNTIFS($AU$3:$AU$201,$M125)&gt;0,
     COUNTIFS($AV$3:$AV$201,$M125)&gt;0,
     COUNTIFS($AW$3:$AW$201,$M125)&gt;0
   )),
  ),
  4
 ),
"")</f>
        <v/>
      </c>
      <c r="CA125" t="str">
        <f ca="1"/>
        <v>Tempestade Serelepe</v>
      </c>
      <c r="CF125" t="str">
        <f ca="1"/>
        <v>Oversold Cemetery</v>
      </c>
      <c r="CI125" t="str">
        <f ca="1"/>
        <v>Investigação Minuciosa</v>
      </c>
    </row>
    <row r="126" spans="1:87" x14ac:dyDescent="0.25">
      <c r="A126" t="str">
        <f ca="1"/>
        <v>Hydra's Growth</v>
      </c>
      <c r="B126" s="3" t="str" cm="1">
        <f t="array" aca="1" ref="B126" ca="1">_xlfn.ANCHORARRAY(RESUMO!C125)</f>
        <v>Tayam</v>
      </c>
      <c r="C126" s="3" t="str">
        <f t="shared" ca="1" si="4"/>
        <v/>
      </c>
      <c r="E126" t="str">
        <f ca="1"/>
        <v>Island</v>
      </c>
      <c r="F126" s="3">
        <f t="shared" ca="1" si="5"/>
        <v>17</v>
      </c>
      <c r="G126" s="3" t="str">
        <f t="shared" ca="1" si="6"/>
        <v>Piratas</v>
      </c>
      <c r="M126" t="str">
        <f ca="1"/>
        <v>Island</v>
      </c>
      <c r="N126" s="3">
        <f t="shared" ca="1" si="7"/>
        <v>17</v>
      </c>
      <c r="O126" s="3" t="str">
        <f ca="1">IFERROR(
 INDEX($T$2:$AW$2,
  MATCH(TRUE,
   CHOOSE({1;2;3;4;5;6;7;8;9;10;11;12;13;14;15;16;17;18;19;20;21;22;23;24;25;26;27;28;29;30;31;32},
    COUNTIFS($T$3:$T$201,$M126)&gt;0,
    COUNTIFS($U$3:$U$201,$M126)&gt;0,
    COUNTIFS($V$3:$V$201,$M126)&gt;0,
    COUNTIFS($W$3:$W$201,$M126)&gt;0,
    COUNTIFS($X$3:$X$201,$M126)&gt;0,
    COUNTIFS($Y$3:$Y$201,$M126)&gt;0,
    COUNTIFS($Z$3:$Z$201,$M126)&gt;0,
    COUNTIFS($AA$3:$AA$201,$M126)&gt;0,
    COUNTIFS($AB$3:$AB$201,$M126)&gt;0,
    COUNTIFS($AC$3:$AC$201,$M126)&gt;0,
    COUNTIFS($AD$3:$AD$201,$M126)&gt;0,
    COUNTIFS($AE$3:$AE$201,$M126)&gt;0,
    COUNTIFS($AF$3:$AF$201,$M126)&gt;0,
    COUNTIFS($AG$3:$AG$201,$M126)&gt;0,
    COUNTIFS($AH$3:$AH$201,$M126)&gt;0,
    COUNTIFS($AI$3:$AI$201,$M126)&gt;0,
    COUNTIFS($AJ$3:$AJ$201,$M126)&gt;0,
    COUNTIFS($AK$3:$AK$201,$M126)&gt;0,
    COUNTIFS($AL$3:$AL$201,$M126)&gt;0,
    COUNTIFS($AM$3:$AM$201,$M126)&gt;0,
    COUNTIFS($AN$3:$AN$201,$M126)&gt;0,
    COUNTIFS($AO$3:$AO$201,$M126)&gt;0,
    COUNTIFS($AP$3:$AP$201,$M126)&gt;0,
    COUNTIFS($AQ$3:$AQ$201,$M126)&gt;0,
    COUNTIFS($AR$3:$AR$201,$M126)&gt;0,
    COUNTIFS($AS$3:$AS$201,$M126)&gt;0,
    COUNTIFS($AT$3:$AT$201,$M126)&gt;0,
    COUNTIFS($AU$3:$AU$201,$M126)&gt;0,
    COUNTIFS($AV$3:$AV$201,$M126)&gt;0,
    COUNTIFS($AW$3:$AW$201,$M126)&gt;0
   ),
  0)
 ),
"")</f>
        <v>Piratas</v>
      </c>
      <c r="P126" s="3" t="str" cm="1">
        <f t="array" aca="1" ref="P126" ca="1">IFERROR(
 INDEX(
  _xlfn._xlws.FILTER($T$2:$AW$2,
   TRANSPOSE(
    CHOOSE({1;2;3;4;5;6;7;8;9;10;11;12;13;14;15;16;17;18;19;20;21;22;23;24;25;26;27;28;29;30},
     COUNTIFS($T$3:$T$201,$M126)&gt;0,
     COUNTIFS($U$3:$U$201,$M126)&gt;0,
     COUNTIFS($V$3:$V$201,$M126)&gt;0,
     COUNTIFS($W$3:$W$201,$M126)&gt;0,
     COUNTIFS($X$3:$X$201,$M126)&gt;0,
     COUNTIFS($Y$3:$Y$201,$M126)&gt;0,
     COUNTIFS($Z$3:$Z$201,$M126)&gt;0,
     COUNTIFS($AA$3:$AA$201,$M126)&gt;0,
     COUNTIFS($AB$3:$AB$201,$M126)&gt;0,
     COUNTIFS($AC$3:$AC$201,$M126)&gt;0,
     COUNTIFS($AD$3:$AD$201,$M126)&gt;0,
     COUNTIFS($AE$3:$AE$201,$M126)&gt;0,
     COUNTIFS($AF$3:$AF$201,$M126)&gt;0,
     COUNTIFS($AG$3:$AG$201,$M126)&gt;0,
     COUNTIFS($AH$3:$AH$201,$M126)&gt;0,
     COUNTIFS($AI$3:$AI$201,$M126)&gt;0,
     COUNTIFS($AJ$3:$AJ$201,$M126)&gt;0,
     COUNTIFS($AK$3:$AK$201,$M126)&gt;0,
     COUNTIFS($AL$3:$AL$201,$M126)&gt;0,
     COUNTIFS($AM$3:$AM$201,$M126)&gt;0,
     COUNTIFS($AN$3:$AN$201,$M126)&gt;0,
     COUNTIFS($AO$3:$AO$201,$M126)&gt;0,
     COUNTIFS($AP$3:$AP$201,$M126)&gt;0,
     COUNTIFS($AQ$3:$AQ$201,$M126)&gt;0,
     COUNTIFS($AR$3:$AR$201,$M126)&gt;0,
     COUNTIFS($AS$3:$AS$201,$M126)&gt;0,
     COUNTIFS($AT$3:$AT$201,$M126)&gt;0,
     COUNTIFS($AU$3:$AU$201,$M126)&gt;0,
     COUNTIFS($AV$3:$AV$201,$M126)&gt;0,
     COUNTIFS($AW$3:$AW$201,$M126)&gt;0
   )),
  ),
  2
 ),
"")</f>
        <v>Narset</v>
      </c>
      <c r="Q126" s="3" t="str" cm="1">
        <f t="array" aca="1" ref="Q126" ca="1">IFERROR(
 INDEX(
  _xlfn._xlws.FILTER($T$2:$AW$2,
   TRANSPOSE(
    CHOOSE({1;2;3;4;5;6;7;8;9;10;11;12;13;14;15;16;17;18;19;20;21;22;23;24;25;26;27;28;29;30},
     COUNTIFS($T$3:$T$201,$M126)&gt;0,
     COUNTIFS($U$3:$U$201,$M126)&gt;0,
     COUNTIFS($V$3:$V$201,$M126)&gt;0,
     COUNTIFS($W$3:$W$201,$M126)&gt;0,
     COUNTIFS($X$3:$X$201,$M126)&gt;0,
     COUNTIFS($Y$3:$Y$201,$M126)&gt;0,
     COUNTIFS($Z$3:$Z$201,$M126)&gt;0,
     COUNTIFS($AA$3:$AA$201,$M126)&gt;0,
     COUNTIFS($AB$3:$AB$201,$M126)&gt;0,
     COUNTIFS($AC$3:$AC$201,$M126)&gt;0,
     COUNTIFS($AD$3:$AD$201,$M126)&gt;0,
     COUNTIFS($AE$3:$AE$201,$M126)&gt;0,
     COUNTIFS($AF$3:$AF$201,$M126)&gt;0,
     COUNTIFS($AG$3:$AG$201,$M126)&gt;0,
     COUNTIFS($AH$3:$AH$201,$M126)&gt;0,
     COUNTIFS($AI$3:$AI$201,$M126)&gt;0,
     COUNTIFS($AJ$3:$AJ$201,$M126)&gt;0,
     COUNTIFS($AK$3:$AK$201,$M126)&gt;0,
     COUNTIFS($AL$3:$AL$201,$M126)&gt;0,
     COUNTIFS($AM$3:$AM$201,$M126)&gt;0,
     COUNTIFS($AN$3:$AN$201,$M126)&gt;0,
     COUNTIFS($AO$3:$AO$201,$M126)&gt;0,
     COUNTIFS($AP$3:$AP$201,$M126)&gt;0,
     COUNTIFS($AQ$3:$AQ$201,$M126)&gt;0,
     COUNTIFS($AR$3:$AR$201,$M126)&gt;0,
     COUNTIFS($AS$3:$AS$201,$M126)&gt;0,
     COUNTIFS($AT$3:$AT$201,$M126)&gt;0,
     COUNTIFS($AU$3:$AU$201,$M126)&gt;0,
     COUNTIFS($AV$3:$AV$201,$M126)&gt;0,
     COUNTIFS($AW$3:$AW$201,$M126)&gt;0
   )),
  ),
  3
 ),
"")</f>
        <v>Rani</v>
      </c>
      <c r="R126" s="3" t="str" cm="1">
        <f t="array" aca="1" ref="R126" ca="1">IFERROR(
 INDEX(
  _xlfn._xlws.FILTER($T$2:$AW$2,
   TRANSPOSE(
    CHOOSE({1;2;3;4;5;6;7;8;9;10;11;12;13;14;15;16;17;18;19;20;21;22;23;24;25;26;27;28;29;30},
     COUNTIFS($T$3:$T$201,$M126)&gt;0,
     COUNTIFS($U$3:$U$201,$M126)&gt;0,
     COUNTIFS($V$3:$V$201,$M126)&gt;0,
     COUNTIFS($W$3:$W$201,$M126)&gt;0,
     COUNTIFS($X$3:$X$201,$M126)&gt;0,
     COUNTIFS($Y$3:$Y$201,$M126)&gt;0,
     COUNTIFS($Z$3:$Z$201,$M126)&gt;0,
     COUNTIFS($AA$3:$AA$201,$M126)&gt;0,
     COUNTIFS($AB$3:$AB$201,$M126)&gt;0,
     COUNTIFS($AC$3:$AC$201,$M126)&gt;0,
     COUNTIFS($AD$3:$AD$201,$M126)&gt;0,
     COUNTIFS($AE$3:$AE$201,$M126)&gt;0,
     COUNTIFS($AF$3:$AF$201,$M126)&gt;0,
     COUNTIFS($AG$3:$AG$201,$M126)&gt;0,
     COUNTIFS($AH$3:$AH$201,$M126)&gt;0,
     COUNTIFS($AI$3:$AI$201,$M126)&gt;0,
     COUNTIFS($AJ$3:$AJ$201,$M126)&gt;0,
     COUNTIFS($AK$3:$AK$201,$M126)&gt;0,
     COUNTIFS($AL$3:$AL$201,$M126)&gt;0,
     COUNTIFS($AM$3:$AM$201,$M126)&gt;0,
     COUNTIFS($AN$3:$AN$201,$M126)&gt;0,
     COUNTIFS($AO$3:$AO$201,$M126)&gt;0,
     COUNTIFS($AP$3:$AP$201,$M126)&gt;0,
     COUNTIFS($AQ$3:$AQ$201,$M126)&gt;0,
     COUNTIFS($AR$3:$AR$201,$M126)&gt;0,
     COUNTIFS($AS$3:$AS$201,$M126)&gt;0,
     COUNTIFS($AT$3:$AT$201,$M126)&gt;0,
     COUNTIFS($AU$3:$AU$201,$M126)&gt;0,
     COUNTIFS($AV$3:$AV$201,$M126)&gt;0,
     COUNTIFS($AW$3:$AW$201,$M126)&gt;0
   )),
  ),
  4
 ),
"")</f>
        <v>Kumena</v>
      </c>
      <c r="CA126" t="str">
        <f ca="1"/>
        <v>Terras em Desenvolvimento</v>
      </c>
      <c r="CF126" t="str">
        <f ca="1"/>
        <v>Paisagem Agourenta</v>
      </c>
      <c r="CI126" t="str">
        <f ca="1"/>
        <v>Island</v>
      </c>
    </row>
    <row r="127" spans="1:87" x14ac:dyDescent="0.25">
      <c r="A127" t="str">
        <f ca="1"/>
        <v>Illustrious Wanderglyph</v>
      </c>
      <c r="B127" s="3" t="str" cm="1">
        <f t="array" aca="1" ref="B127" ca="1">_xlfn.ANCHORARRAY(RESUMO!C126)</f>
        <v>OWA</v>
      </c>
      <c r="C127" s="3" t="str">
        <f t="shared" ca="1" si="4"/>
        <v/>
      </c>
      <c r="E127" t="str">
        <f ca="1"/>
        <v>Japaland</v>
      </c>
      <c r="F127" s="3">
        <f t="shared" ca="1" si="5"/>
        <v>1</v>
      </c>
      <c r="G127" s="3" t="str">
        <f t="shared" ca="1" si="6"/>
        <v>Carlos</v>
      </c>
      <c r="M127" t="str">
        <f ca="1"/>
        <v>Japaland</v>
      </c>
      <c r="N127" s="3">
        <f t="shared" ca="1" si="7"/>
        <v>1</v>
      </c>
      <c r="O127" s="3" t="str">
        <f ca="1">IFERROR(
 INDEX($T$2:$AW$2,
  MATCH(TRUE,
   CHOOSE({1;2;3;4;5;6;7;8;9;10;11;12;13;14;15;16;17;18;19;20;21;22;23;24;25;26;27;28;29;30;31;32},
    COUNTIFS($T$3:$T$201,$M127)&gt;0,
    COUNTIFS($U$3:$U$201,$M127)&gt;0,
    COUNTIFS($V$3:$V$201,$M127)&gt;0,
    COUNTIFS($W$3:$W$201,$M127)&gt;0,
    COUNTIFS($X$3:$X$201,$M127)&gt;0,
    COUNTIFS($Y$3:$Y$201,$M127)&gt;0,
    COUNTIFS($Z$3:$Z$201,$M127)&gt;0,
    COUNTIFS($AA$3:$AA$201,$M127)&gt;0,
    COUNTIFS($AB$3:$AB$201,$M127)&gt;0,
    COUNTIFS($AC$3:$AC$201,$M127)&gt;0,
    COUNTIFS($AD$3:$AD$201,$M127)&gt;0,
    COUNTIFS($AE$3:$AE$201,$M127)&gt;0,
    COUNTIFS($AF$3:$AF$201,$M127)&gt;0,
    COUNTIFS($AG$3:$AG$201,$M127)&gt;0,
    COUNTIFS($AH$3:$AH$201,$M127)&gt;0,
    COUNTIFS($AI$3:$AI$201,$M127)&gt;0,
    COUNTIFS($AJ$3:$AJ$201,$M127)&gt;0,
    COUNTIFS($AK$3:$AK$201,$M127)&gt;0,
    COUNTIFS($AL$3:$AL$201,$M127)&gt;0,
    COUNTIFS($AM$3:$AM$201,$M127)&gt;0,
    COUNTIFS($AN$3:$AN$201,$M127)&gt;0,
    COUNTIFS($AO$3:$AO$201,$M127)&gt;0,
    COUNTIFS($AP$3:$AP$201,$M127)&gt;0,
    COUNTIFS($AQ$3:$AQ$201,$M127)&gt;0,
    COUNTIFS($AR$3:$AR$201,$M127)&gt;0,
    COUNTIFS($AS$3:$AS$201,$M127)&gt;0,
    COUNTIFS($AT$3:$AT$201,$M127)&gt;0,
    COUNTIFS($AU$3:$AU$201,$M127)&gt;0,
    COUNTIFS($AV$3:$AV$201,$M127)&gt;0,
    COUNTIFS($AW$3:$AW$201,$M127)&gt;0
   ),
  0)
 ),
"")</f>
        <v>Carlos</v>
      </c>
      <c r="P127" s="3" t="str" cm="1">
        <f t="array" aca="1" ref="P127" ca="1">IFERROR(
 INDEX(
  _xlfn._xlws.FILTER($T$2:$AW$2,
   TRANSPOSE(
    CHOOSE({1;2;3;4;5;6;7;8;9;10;11;12;13;14;15;16;17;18;19;20;21;22;23;24;25;26;27;28;29;30},
     COUNTIFS($T$3:$T$201,$M127)&gt;0,
     COUNTIFS($U$3:$U$201,$M127)&gt;0,
     COUNTIFS($V$3:$V$201,$M127)&gt;0,
     COUNTIFS($W$3:$W$201,$M127)&gt;0,
     COUNTIFS($X$3:$X$201,$M127)&gt;0,
     COUNTIFS($Y$3:$Y$201,$M127)&gt;0,
     COUNTIFS($Z$3:$Z$201,$M127)&gt;0,
     COUNTIFS($AA$3:$AA$201,$M127)&gt;0,
     COUNTIFS($AB$3:$AB$201,$M127)&gt;0,
     COUNTIFS($AC$3:$AC$201,$M127)&gt;0,
     COUNTIFS($AD$3:$AD$201,$M127)&gt;0,
     COUNTIFS($AE$3:$AE$201,$M127)&gt;0,
     COUNTIFS($AF$3:$AF$201,$M127)&gt;0,
     COUNTIFS($AG$3:$AG$201,$M127)&gt;0,
     COUNTIFS($AH$3:$AH$201,$M127)&gt;0,
     COUNTIFS($AI$3:$AI$201,$M127)&gt;0,
     COUNTIFS($AJ$3:$AJ$201,$M127)&gt;0,
     COUNTIFS($AK$3:$AK$201,$M127)&gt;0,
     COUNTIFS($AL$3:$AL$201,$M127)&gt;0,
     COUNTIFS($AM$3:$AM$201,$M127)&gt;0,
     COUNTIFS($AN$3:$AN$201,$M127)&gt;0,
     COUNTIFS($AO$3:$AO$201,$M127)&gt;0,
     COUNTIFS($AP$3:$AP$201,$M127)&gt;0,
     COUNTIFS($AQ$3:$AQ$201,$M127)&gt;0,
     COUNTIFS($AR$3:$AR$201,$M127)&gt;0,
     COUNTIFS($AS$3:$AS$201,$M127)&gt;0,
     COUNTIFS($AT$3:$AT$201,$M127)&gt;0,
     COUNTIFS($AU$3:$AU$201,$M127)&gt;0,
     COUNTIFS($AV$3:$AV$201,$M127)&gt;0,
     COUNTIFS($AW$3:$AW$201,$M127)&gt;0
   )),
  ),
  2
 ),
"")</f>
        <v/>
      </c>
      <c r="Q127" s="3" t="str" cm="1">
        <f t="array" aca="1" ref="Q127" ca="1">IFERROR(
 INDEX(
  _xlfn._xlws.FILTER($T$2:$AW$2,
   TRANSPOSE(
    CHOOSE({1;2;3;4;5;6;7;8;9;10;11;12;13;14;15;16;17;18;19;20;21;22;23;24;25;26;27;28;29;30},
     COUNTIFS($T$3:$T$201,$M127)&gt;0,
     COUNTIFS($U$3:$U$201,$M127)&gt;0,
     COUNTIFS($V$3:$V$201,$M127)&gt;0,
     COUNTIFS($W$3:$W$201,$M127)&gt;0,
     COUNTIFS($X$3:$X$201,$M127)&gt;0,
     COUNTIFS($Y$3:$Y$201,$M127)&gt;0,
     COUNTIFS($Z$3:$Z$201,$M127)&gt;0,
     COUNTIFS($AA$3:$AA$201,$M127)&gt;0,
     COUNTIFS($AB$3:$AB$201,$M127)&gt;0,
     COUNTIFS($AC$3:$AC$201,$M127)&gt;0,
     COUNTIFS($AD$3:$AD$201,$M127)&gt;0,
     COUNTIFS($AE$3:$AE$201,$M127)&gt;0,
     COUNTIFS($AF$3:$AF$201,$M127)&gt;0,
     COUNTIFS($AG$3:$AG$201,$M127)&gt;0,
     COUNTIFS($AH$3:$AH$201,$M127)&gt;0,
     COUNTIFS($AI$3:$AI$201,$M127)&gt;0,
     COUNTIFS($AJ$3:$AJ$201,$M127)&gt;0,
     COUNTIFS($AK$3:$AK$201,$M127)&gt;0,
     COUNTIFS($AL$3:$AL$201,$M127)&gt;0,
     COUNTIFS($AM$3:$AM$201,$M127)&gt;0,
     COUNTIFS($AN$3:$AN$201,$M127)&gt;0,
     COUNTIFS($AO$3:$AO$201,$M127)&gt;0,
     COUNTIFS($AP$3:$AP$201,$M127)&gt;0,
     COUNTIFS($AQ$3:$AQ$201,$M127)&gt;0,
     COUNTIFS($AR$3:$AR$201,$M127)&gt;0,
     COUNTIFS($AS$3:$AS$201,$M127)&gt;0,
     COUNTIFS($AT$3:$AT$201,$M127)&gt;0,
     COUNTIFS($AU$3:$AU$201,$M127)&gt;0,
     COUNTIFS($AV$3:$AV$201,$M127)&gt;0,
     COUNTIFS($AW$3:$AW$201,$M127)&gt;0
   )),
  ),
  3
 ),
"")</f>
        <v/>
      </c>
      <c r="R127" s="3" t="str" cm="1">
        <f t="array" aca="1" ref="R127" ca="1">IFERROR(
 INDEX(
  _xlfn._xlws.FILTER($T$2:$AW$2,
   TRANSPOSE(
    CHOOSE({1;2;3;4;5;6;7;8;9;10;11;12;13;14;15;16;17;18;19;20;21;22;23;24;25;26;27;28;29;30},
     COUNTIFS($T$3:$T$201,$M127)&gt;0,
     COUNTIFS($U$3:$U$201,$M127)&gt;0,
     COUNTIFS($V$3:$V$201,$M127)&gt;0,
     COUNTIFS($W$3:$W$201,$M127)&gt;0,
     COUNTIFS($X$3:$X$201,$M127)&gt;0,
     COUNTIFS($Y$3:$Y$201,$M127)&gt;0,
     COUNTIFS($Z$3:$Z$201,$M127)&gt;0,
     COUNTIFS($AA$3:$AA$201,$M127)&gt;0,
     COUNTIFS($AB$3:$AB$201,$M127)&gt;0,
     COUNTIFS($AC$3:$AC$201,$M127)&gt;0,
     COUNTIFS($AD$3:$AD$201,$M127)&gt;0,
     COUNTIFS($AE$3:$AE$201,$M127)&gt;0,
     COUNTIFS($AF$3:$AF$201,$M127)&gt;0,
     COUNTIFS($AG$3:$AG$201,$M127)&gt;0,
     COUNTIFS($AH$3:$AH$201,$M127)&gt;0,
     COUNTIFS($AI$3:$AI$201,$M127)&gt;0,
     COUNTIFS($AJ$3:$AJ$201,$M127)&gt;0,
     COUNTIFS($AK$3:$AK$201,$M127)&gt;0,
     COUNTIFS($AL$3:$AL$201,$M127)&gt;0,
     COUNTIFS($AM$3:$AM$201,$M127)&gt;0,
     COUNTIFS($AN$3:$AN$201,$M127)&gt;0,
     COUNTIFS($AO$3:$AO$201,$M127)&gt;0,
     COUNTIFS($AP$3:$AP$201,$M127)&gt;0,
     COUNTIFS($AQ$3:$AQ$201,$M127)&gt;0,
     COUNTIFS($AR$3:$AR$201,$M127)&gt;0,
     COUNTIFS($AS$3:$AS$201,$M127)&gt;0,
     COUNTIFS($AT$3:$AT$201,$M127)&gt;0,
     COUNTIFS($AU$3:$AU$201,$M127)&gt;0,
     COUNTIFS($AV$3:$AV$201,$M127)&gt;0,
     COUNTIFS($AW$3:$AW$201,$M127)&gt;0
   )),
  ),
  4
 ),
"")</f>
        <v/>
      </c>
      <c r="CA127" t="str">
        <f ca="1"/>
        <v>The Hunger Tide Rises</v>
      </c>
      <c r="CF127" t="str">
        <f ca="1"/>
        <v>Panorama de Grixis</v>
      </c>
      <c r="CI127" t="str">
        <f ca="1"/>
        <v>Japaland</v>
      </c>
    </row>
    <row r="128" spans="1:87" x14ac:dyDescent="0.25">
      <c r="A128" t="str">
        <f ca="1"/>
        <v>Incendiary Command</v>
      </c>
      <c r="B128" s="3" t="str" cm="1">
        <f t="array" aca="1" ref="B128" ca="1">_xlfn.ANCHORARRAY(RESUMO!C127)</f>
        <v>Narset</v>
      </c>
      <c r="C128" s="3" t="str">
        <f t="shared" ca="1" si="4"/>
        <v/>
      </c>
      <c r="E128" t="str">
        <f ca="1"/>
        <v>Jarad's Orders</v>
      </c>
      <c r="F128" s="3">
        <f t="shared" ca="1" si="5"/>
        <v>1</v>
      </c>
      <c r="G128" s="3" t="str">
        <f t="shared" ca="1" si="6"/>
        <v>Kresh</v>
      </c>
      <c r="M128" t="str">
        <f ca="1"/>
        <v>Jarad's Orders</v>
      </c>
      <c r="N128" s="3">
        <f t="shared" ca="1" si="7"/>
        <v>1</v>
      </c>
      <c r="O128" s="3" t="str">
        <f ca="1">IFERROR(
 INDEX($T$2:$AW$2,
  MATCH(TRUE,
   CHOOSE({1;2;3;4;5;6;7;8;9;10;11;12;13;14;15;16;17;18;19;20;21;22;23;24;25;26;27;28;29;30;31;32},
    COUNTIFS($T$3:$T$201,$M128)&gt;0,
    COUNTIFS($U$3:$U$201,$M128)&gt;0,
    COUNTIFS($V$3:$V$201,$M128)&gt;0,
    COUNTIFS($W$3:$W$201,$M128)&gt;0,
    COUNTIFS($X$3:$X$201,$M128)&gt;0,
    COUNTIFS($Y$3:$Y$201,$M128)&gt;0,
    COUNTIFS($Z$3:$Z$201,$M128)&gt;0,
    COUNTIFS($AA$3:$AA$201,$M128)&gt;0,
    COUNTIFS($AB$3:$AB$201,$M128)&gt;0,
    COUNTIFS($AC$3:$AC$201,$M128)&gt;0,
    COUNTIFS($AD$3:$AD$201,$M128)&gt;0,
    COUNTIFS($AE$3:$AE$201,$M128)&gt;0,
    COUNTIFS($AF$3:$AF$201,$M128)&gt;0,
    COUNTIFS($AG$3:$AG$201,$M128)&gt;0,
    COUNTIFS($AH$3:$AH$201,$M128)&gt;0,
    COUNTIFS($AI$3:$AI$201,$M128)&gt;0,
    COUNTIFS($AJ$3:$AJ$201,$M128)&gt;0,
    COUNTIFS($AK$3:$AK$201,$M128)&gt;0,
    COUNTIFS($AL$3:$AL$201,$M128)&gt;0,
    COUNTIFS($AM$3:$AM$201,$M128)&gt;0,
    COUNTIFS($AN$3:$AN$201,$M128)&gt;0,
    COUNTIFS($AO$3:$AO$201,$M128)&gt;0,
    COUNTIFS($AP$3:$AP$201,$M128)&gt;0,
    COUNTIFS($AQ$3:$AQ$201,$M128)&gt;0,
    COUNTIFS($AR$3:$AR$201,$M128)&gt;0,
    COUNTIFS($AS$3:$AS$201,$M128)&gt;0,
    COUNTIFS($AT$3:$AT$201,$M128)&gt;0,
    COUNTIFS($AU$3:$AU$201,$M128)&gt;0,
    COUNTIFS($AV$3:$AV$201,$M128)&gt;0,
    COUNTIFS($AW$3:$AW$201,$M128)&gt;0
   ),
  0)
 ),
"")</f>
        <v>Kresh</v>
      </c>
      <c r="P128" s="3" t="str" cm="1">
        <f t="array" aca="1" ref="P128" ca="1">IFERROR(
 INDEX(
  _xlfn._xlws.FILTER($T$2:$AW$2,
   TRANSPOSE(
    CHOOSE({1;2;3;4;5;6;7;8;9;10;11;12;13;14;15;16;17;18;19;20;21;22;23;24;25;26;27;28;29;30},
     COUNTIFS($T$3:$T$201,$M128)&gt;0,
     COUNTIFS($U$3:$U$201,$M128)&gt;0,
     COUNTIFS($V$3:$V$201,$M128)&gt;0,
     COUNTIFS($W$3:$W$201,$M128)&gt;0,
     COUNTIFS($X$3:$X$201,$M128)&gt;0,
     COUNTIFS($Y$3:$Y$201,$M128)&gt;0,
     COUNTIFS($Z$3:$Z$201,$M128)&gt;0,
     COUNTIFS($AA$3:$AA$201,$M128)&gt;0,
     COUNTIFS($AB$3:$AB$201,$M128)&gt;0,
     COUNTIFS($AC$3:$AC$201,$M128)&gt;0,
     COUNTIFS($AD$3:$AD$201,$M128)&gt;0,
     COUNTIFS($AE$3:$AE$201,$M128)&gt;0,
     COUNTIFS($AF$3:$AF$201,$M128)&gt;0,
     COUNTIFS($AG$3:$AG$201,$M128)&gt;0,
     COUNTIFS($AH$3:$AH$201,$M128)&gt;0,
     COUNTIFS($AI$3:$AI$201,$M128)&gt;0,
     COUNTIFS($AJ$3:$AJ$201,$M128)&gt;0,
     COUNTIFS($AK$3:$AK$201,$M128)&gt;0,
     COUNTIFS($AL$3:$AL$201,$M128)&gt;0,
     COUNTIFS($AM$3:$AM$201,$M128)&gt;0,
     COUNTIFS($AN$3:$AN$201,$M128)&gt;0,
     COUNTIFS($AO$3:$AO$201,$M128)&gt;0,
     COUNTIFS($AP$3:$AP$201,$M128)&gt;0,
     COUNTIFS($AQ$3:$AQ$201,$M128)&gt;0,
     COUNTIFS($AR$3:$AR$201,$M128)&gt;0,
     COUNTIFS($AS$3:$AS$201,$M128)&gt;0,
     COUNTIFS($AT$3:$AT$201,$M128)&gt;0,
     COUNTIFS($AU$3:$AU$201,$M128)&gt;0,
     COUNTIFS($AV$3:$AV$201,$M128)&gt;0,
     COUNTIFS($AW$3:$AW$201,$M128)&gt;0
   )),
  ),
  2
 ),
"")</f>
        <v/>
      </c>
      <c r="Q128" s="3" t="str" cm="1">
        <f t="array" aca="1" ref="Q128" ca="1">IFERROR(
 INDEX(
  _xlfn._xlws.FILTER($T$2:$AW$2,
   TRANSPOSE(
    CHOOSE({1;2;3;4;5;6;7;8;9;10;11;12;13;14;15;16;17;18;19;20;21;22;23;24;25;26;27;28;29;30},
     COUNTIFS($T$3:$T$201,$M128)&gt;0,
     COUNTIFS($U$3:$U$201,$M128)&gt;0,
     COUNTIFS($V$3:$V$201,$M128)&gt;0,
     COUNTIFS($W$3:$W$201,$M128)&gt;0,
     COUNTIFS($X$3:$X$201,$M128)&gt;0,
     COUNTIFS($Y$3:$Y$201,$M128)&gt;0,
     COUNTIFS($Z$3:$Z$201,$M128)&gt;0,
     COUNTIFS($AA$3:$AA$201,$M128)&gt;0,
     COUNTIFS($AB$3:$AB$201,$M128)&gt;0,
     COUNTIFS($AC$3:$AC$201,$M128)&gt;0,
     COUNTIFS($AD$3:$AD$201,$M128)&gt;0,
     COUNTIFS($AE$3:$AE$201,$M128)&gt;0,
     COUNTIFS($AF$3:$AF$201,$M128)&gt;0,
     COUNTIFS($AG$3:$AG$201,$M128)&gt;0,
     COUNTIFS($AH$3:$AH$201,$M128)&gt;0,
     COUNTIFS($AI$3:$AI$201,$M128)&gt;0,
     COUNTIFS($AJ$3:$AJ$201,$M128)&gt;0,
     COUNTIFS($AK$3:$AK$201,$M128)&gt;0,
     COUNTIFS($AL$3:$AL$201,$M128)&gt;0,
     COUNTIFS($AM$3:$AM$201,$M128)&gt;0,
     COUNTIFS($AN$3:$AN$201,$M128)&gt;0,
     COUNTIFS($AO$3:$AO$201,$M128)&gt;0,
     COUNTIFS($AP$3:$AP$201,$M128)&gt;0,
     COUNTIFS($AQ$3:$AQ$201,$M128)&gt;0,
     COUNTIFS($AR$3:$AR$201,$M128)&gt;0,
     COUNTIFS($AS$3:$AS$201,$M128)&gt;0,
     COUNTIFS($AT$3:$AT$201,$M128)&gt;0,
     COUNTIFS($AU$3:$AU$201,$M128)&gt;0,
     COUNTIFS($AV$3:$AV$201,$M128)&gt;0,
     COUNTIFS($AW$3:$AW$201,$M128)&gt;0
   )),
  ),
  3
 ),
"")</f>
        <v/>
      </c>
      <c r="R128" s="3" t="str" cm="1">
        <f t="array" aca="1" ref="R128" ca="1">IFERROR(
 INDEX(
  _xlfn._xlws.FILTER($T$2:$AW$2,
   TRANSPOSE(
    CHOOSE({1;2;3;4;5;6;7;8;9;10;11;12;13;14;15;16;17;18;19;20;21;22;23;24;25;26;27;28;29;30},
     COUNTIFS($T$3:$T$201,$M128)&gt;0,
     COUNTIFS($U$3:$U$201,$M128)&gt;0,
     COUNTIFS($V$3:$V$201,$M128)&gt;0,
     COUNTIFS($W$3:$W$201,$M128)&gt;0,
     COUNTIFS($X$3:$X$201,$M128)&gt;0,
     COUNTIFS($Y$3:$Y$201,$M128)&gt;0,
     COUNTIFS($Z$3:$Z$201,$M128)&gt;0,
     COUNTIFS($AA$3:$AA$201,$M128)&gt;0,
     COUNTIFS($AB$3:$AB$201,$M128)&gt;0,
     COUNTIFS($AC$3:$AC$201,$M128)&gt;0,
     COUNTIFS($AD$3:$AD$201,$M128)&gt;0,
     COUNTIFS($AE$3:$AE$201,$M128)&gt;0,
     COUNTIFS($AF$3:$AF$201,$M128)&gt;0,
     COUNTIFS($AG$3:$AG$201,$M128)&gt;0,
     COUNTIFS($AH$3:$AH$201,$M128)&gt;0,
     COUNTIFS($AI$3:$AI$201,$M128)&gt;0,
     COUNTIFS($AJ$3:$AJ$201,$M128)&gt;0,
     COUNTIFS($AK$3:$AK$201,$M128)&gt;0,
     COUNTIFS($AL$3:$AL$201,$M128)&gt;0,
     COUNTIFS($AM$3:$AM$201,$M128)&gt;0,
     COUNTIFS($AN$3:$AN$201,$M128)&gt;0,
     COUNTIFS($AO$3:$AO$201,$M128)&gt;0,
     COUNTIFS($AP$3:$AP$201,$M128)&gt;0,
     COUNTIFS($AQ$3:$AQ$201,$M128)&gt;0,
     COUNTIFS($AR$3:$AR$201,$M128)&gt;0,
     COUNTIFS($AS$3:$AS$201,$M128)&gt;0,
     COUNTIFS($AT$3:$AT$201,$M128)&gt;0,
     COUNTIFS($AU$3:$AU$201,$M128)&gt;0,
     COUNTIFS($AV$3:$AV$201,$M128)&gt;0,
     COUNTIFS($AW$3:$AW$201,$M128)&gt;0
   )),
  ),
  4
 ),
"")</f>
        <v/>
      </c>
      <c r="CA128" t="str">
        <f ca="1"/>
        <v>Thrilling Discovery</v>
      </c>
      <c r="CF128" t="str">
        <f ca="1"/>
        <v>Panorama de Naya</v>
      </c>
      <c r="CI128" t="str">
        <f ca="1"/>
        <v>Jarad's Orders</v>
      </c>
    </row>
    <row r="129" spans="1:87" x14ac:dyDescent="0.25">
      <c r="A129" t="str">
        <f ca="1"/>
        <v>Incubation Druid</v>
      </c>
      <c r="B129" s="3" t="str" cm="1">
        <f t="array" aca="1" ref="B129" ca="1">_xlfn.ANCHORARRAY(RESUMO!C128)</f>
        <v>Tayam</v>
      </c>
      <c r="C129" s="3" t="str">
        <f t="shared" ca="1" si="4"/>
        <v/>
      </c>
      <c r="E129" t="str">
        <f ca="1"/>
        <v>Jungle Shrine</v>
      </c>
      <c r="F129" s="3">
        <f t="shared" ca="1" si="5"/>
        <v>1</v>
      </c>
      <c r="G129" s="3" t="str">
        <f t="shared" ca="1" si="6"/>
        <v>Fractius</v>
      </c>
      <c r="M129" t="str">
        <f ca="1"/>
        <v>Jungle Shrine</v>
      </c>
      <c r="N129" s="3">
        <f t="shared" ca="1" si="7"/>
        <v>1</v>
      </c>
      <c r="O129" s="3" t="str">
        <f ca="1">IFERROR(
 INDEX($T$2:$AW$2,
  MATCH(TRUE,
   CHOOSE({1;2;3;4;5;6;7;8;9;10;11;12;13;14;15;16;17;18;19;20;21;22;23;24;25;26;27;28;29;30;31;32},
    COUNTIFS($T$3:$T$201,$M129)&gt;0,
    COUNTIFS($U$3:$U$201,$M129)&gt;0,
    COUNTIFS($V$3:$V$201,$M129)&gt;0,
    COUNTIFS($W$3:$W$201,$M129)&gt;0,
    COUNTIFS($X$3:$X$201,$M129)&gt;0,
    COUNTIFS($Y$3:$Y$201,$M129)&gt;0,
    COUNTIFS($Z$3:$Z$201,$M129)&gt;0,
    COUNTIFS($AA$3:$AA$201,$M129)&gt;0,
    COUNTIFS($AB$3:$AB$201,$M129)&gt;0,
    COUNTIFS($AC$3:$AC$201,$M129)&gt;0,
    COUNTIFS($AD$3:$AD$201,$M129)&gt;0,
    COUNTIFS($AE$3:$AE$201,$M129)&gt;0,
    COUNTIFS($AF$3:$AF$201,$M129)&gt;0,
    COUNTIFS($AG$3:$AG$201,$M129)&gt;0,
    COUNTIFS($AH$3:$AH$201,$M129)&gt;0,
    COUNTIFS($AI$3:$AI$201,$M129)&gt;0,
    COUNTIFS($AJ$3:$AJ$201,$M129)&gt;0,
    COUNTIFS($AK$3:$AK$201,$M129)&gt;0,
    COUNTIFS($AL$3:$AL$201,$M129)&gt;0,
    COUNTIFS($AM$3:$AM$201,$M129)&gt;0,
    COUNTIFS($AN$3:$AN$201,$M129)&gt;0,
    COUNTIFS($AO$3:$AO$201,$M129)&gt;0,
    COUNTIFS($AP$3:$AP$201,$M129)&gt;0,
    COUNTIFS($AQ$3:$AQ$201,$M129)&gt;0,
    COUNTIFS($AR$3:$AR$201,$M129)&gt;0,
    COUNTIFS($AS$3:$AS$201,$M129)&gt;0,
    COUNTIFS($AT$3:$AT$201,$M129)&gt;0,
    COUNTIFS($AU$3:$AU$201,$M129)&gt;0,
    COUNTIFS($AV$3:$AV$201,$M129)&gt;0,
    COUNTIFS($AW$3:$AW$201,$M129)&gt;0
   ),
  0)
 ),
"")</f>
        <v>Fractius</v>
      </c>
      <c r="P129" s="3" t="str" cm="1">
        <f t="array" aca="1" ref="P129" ca="1">IFERROR(
 INDEX(
  _xlfn._xlws.FILTER($T$2:$AW$2,
   TRANSPOSE(
    CHOOSE({1;2;3;4;5;6;7;8;9;10;11;12;13;14;15;16;17;18;19;20;21;22;23;24;25;26;27;28;29;30},
     COUNTIFS($T$3:$T$201,$M129)&gt;0,
     COUNTIFS($U$3:$U$201,$M129)&gt;0,
     COUNTIFS($V$3:$V$201,$M129)&gt;0,
     COUNTIFS($W$3:$W$201,$M129)&gt;0,
     COUNTIFS($X$3:$X$201,$M129)&gt;0,
     COUNTIFS($Y$3:$Y$201,$M129)&gt;0,
     COUNTIFS($Z$3:$Z$201,$M129)&gt;0,
     COUNTIFS($AA$3:$AA$201,$M129)&gt;0,
     COUNTIFS($AB$3:$AB$201,$M129)&gt;0,
     COUNTIFS($AC$3:$AC$201,$M129)&gt;0,
     COUNTIFS($AD$3:$AD$201,$M129)&gt;0,
     COUNTIFS($AE$3:$AE$201,$M129)&gt;0,
     COUNTIFS($AF$3:$AF$201,$M129)&gt;0,
     COUNTIFS($AG$3:$AG$201,$M129)&gt;0,
     COUNTIFS($AH$3:$AH$201,$M129)&gt;0,
     COUNTIFS($AI$3:$AI$201,$M129)&gt;0,
     COUNTIFS($AJ$3:$AJ$201,$M129)&gt;0,
     COUNTIFS($AK$3:$AK$201,$M129)&gt;0,
     COUNTIFS($AL$3:$AL$201,$M129)&gt;0,
     COUNTIFS($AM$3:$AM$201,$M129)&gt;0,
     COUNTIFS($AN$3:$AN$201,$M129)&gt;0,
     COUNTIFS($AO$3:$AO$201,$M129)&gt;0,
     COUNTIFS($AP$3:$AP$201,$M129)&gt;0,
     COUNTIFS($AQ$3:$AQ$201,$M129)&gt;0,
     COUNTIFS($AR$3:$AR$201,$M129)&gt;0,
     COUNTIFS($AS$3:$AS$201,$M129)&gt;0,
     COUNTIFS($AT$3:$AT$201,$M129)&gt;0,
     COUNTIFS($AU$3:$AU$201,$M129)&gt;0,
     COUNTIFS($AV$3:$AV$201,$M129)&gt;0,
     COUNTIFS($AW$3:$AW$201,$M129)&gt;0
   )),
  ),
  2
 ),
"")</f>
        <v/>
      </c>
      <c r="Q129" s="3" t="str" cm="1">
        <f t="array" aca="1" ref="Q129" ca="1">IFERROR(
 INDEX(
  _xlfn._xlws.FILTER($T$2:$AW$2,
   TRANSPOSE(
    CHOOSE({1;2;3;4;5;6;7;8;9;10;11;12;13;14;15;16;17;18;19;20;21;22;23;24;25;26;27;28;29;30},
     COUNTIFS($T$3:$T$201,$M129)&gt;0,
     COUNTIFS($U$3:$U$201,$M129)&gt;0,
     COUNTIFS($V$3:$V$201,$M129)&gt;0,
     COUNTIFS($W$3:$W$201,$M129)&gt;0,
     COUNTIFS($X$3:$X$201,$M129)&gt;0,
     COUNTIFS($Y$3:$Y$201,$M129)&gt;0,
     COUNTIFS($Z$3:$Z$201,$M129)&gt;0,
     COUNTIFS($AA$3:$AA$201,$M129)&gt;0,
     COUNTIFS($AB$3:$AB$201,$M129)&gt;0,
     COUNTIFS($AC$3:$AC$201,$M129)&gt;0,
     COUNTIFS($AD$3:$AD$201,$M129)&gt;0,
     COUNTIFS($AE$3:$AE$201,$M129)&gt;0,
     COUNTIFS($AF$3:$AF$201,$M129)&gt;0,
     COUNTIFS($AG$3:$AG$201,$M129)&gt;0,
     COUNTIFS($AH$3:$AH$201,$M129)&gt;0,
     COUNTIFS($AI$3:$AI$201,$M129)&gt;0,
     COUNTIFS($AJ$3:$AJ$201,$M129)&gt;0,
     COUNTIFS($AK$3:$AK$201,$M129)&gt;0,
     COUNTIFS($AL$3:$AL$201,$M129)&gt;0,
     COUNTIFS($AM$3:$AM$201,$M129)&gt;0,
     COUNTIFS($AN$3:$AN$201,$M129)&gt;0,
     COUNTIFS($AO$3:$AO$201,$M129)&gt;0,
     COUNTIFS($AP$3:$AP$201,$M129)&gt;0,
     COUNTIFS($AQ$3:$AQ$201,$M129)&gt;0,
     COUNTIFS($AR$3:$AR$201,$M129)&gt;0,
     COUNTIFS($AS$3:$AS$201,$M129)&gt;0,
     COUNTIFS($AT$3:$AT$201,$M129)&gt;0,
     COUNTIFS($AU$3:$AU$201,$M129)&gt;0,
     COUNTIFS($AV$3:$AV$201,$M129)&gt;0,
     COUNTIFS($AW$3:$AW$201,$M129)&gt;0
   )),
  ),
  3
 ),
"")</f>
        <v/>
      </c>
      <c r="R129" s="3" t="str" cm="1">
        <f t="array" aca="1" ref="R129" ca="1">IFERROR(
 INDEX(
  _xlfn._xlws.FILTER($T$2:$AW$2,
   TRANSPOSE(
    CHOOSE({1;2;3;4;5;6;7;8;9;10;11;12;13;14;15;16;17;18;19;20;21;22;23;24;25;26;27;28;29;30},
     COUNTIFS($T$3:$T$201,$M129)&gt;0,
     COUNTIFS($U$3:$U$201,$M129)&gt;0,
     COUNTIFS($V$3:$V$201,$M129)&gt;0,
     COUNTIFS($W$3:$W$201,$M129)&gt;0,
     COUNTIFS($X$3:$X$201,$M129)&gt;0,
     COUNTIFS($Y$3:$Y$201,$M129)&gt;0,
     COUNTIFS($Z$3:$Z$201,$M129)&gt;0,
     COUNTIFS($AA$3:$AA$201,$M129)&gt;0,
     COUNTIFS($AB$3:$AB$201,$M129)&gt;0,
     COUNTIFS($AC$3:$AC$201,$M129)&gt;0,
     COUNTIFS($AD$3:$AD$201,$M129)&gt;0,
     COUNTIFS($AE$3:$AE$201,$M129)&gt;0,
     COUNTIFS($AF$3:$AF$201,$M129)&gt;0,
     COUNTIFS($AG$3:$AG$201,$M129)&gt;0,
     COUNTIFS($AH$3:$AH$201,$M129)&gt;0,
     COUNTIFS($AI$3:$AI$201,$M129)&gt;0,
     COUNTIFS($AJ$3:$AJ$201,$M129)&gt;0,
     COUNTIFS($AK$3:$AK$201,$M129)&gt;0,
     COUNTIFS($AL$3:$AL$201,$M129)&gt;0,
     COUNTIFS($AM$3:$AM$201,$M129)&gt;0,
     COUNTIFS($AN$3:$AN$201,$M129)&gt;0,
     COUNTIFS($AO$3:$AO$201,$M129)&gt;0,
     COUNTIFS($AP$3:$AP$201,$M129)&gt;0,
     COUNTIFS($AQ$3:$AQ$201,$M129)&gt;0,
     COUNTIFS($AR$3:$AR$201,$M129)&gt;0,
     COUNTIFS($AS$3:$AS$201,$M129)&gt;0,
     COUNTIFS($AT$3:$AT$201,$M129)&gt;0,
     COUNTIFS($AU$3:$AU$201,$M129)&gt;0,
     COUNTIFS($AV$3:$AV$201,$M129)&gt;0,
     COUNTIFS($AW$3:$AW$201,$M129)&gt;0
   )),
  ),
  4
 ),
"")</f>
        <v/>
      </c>
      <c r="CA129" t="str">
        <f ca="1"/>
        <v>Titanic Ultimatum</v>
      </c>
      <c r="CF129" t="str">
        <f ca="1"/>
        <v>Pântano</v>
      </c>
      <c r="CI129" t="str">
        <f ca="1"/>
        <v>Jungle Shrine</v>
      </c>
    </row>
    <row r="130" spans="1:87" x14ac:dyDescent="0.25">
      <c r="A130" t="str">
        <f ca="1"/>
        <v>Inkmoth Nexus</v>
      </c>
      <c r="B130" s="3" t="str" cm="1">
        <f t="array" aca="1" ref="B130" ca="1">_xlfn.ANCHORARRAY(RESUMO!C129)</f>
        <v>Modular</v>
      </c>
      <c r="C130" s="3" t="str">
        <f t="shared" ca="1" si="4"/>
        <v/>
      </c>
      <c r="E130" t="str">
        <f ca="1"/>
        <v>Kasmina, Enigma Sage</v>
      </c>
      <c r="F130" s="3">
        <f t="shared" ca="1" si="5"/>
        <v>1</v>
      </c>
      <c r="G130" s="3" t="str">
        <f t="shared" ca="1" si="6"/>
        <v>Sisay</v>
      </c>
      <c r="M130" t="str">
        <f ca="1"/>
        <v>Kasmina, Enigma Sage</v>
      </c>
      <c r="N130" s="3">
        <f t="shared" ca="1" si="7"/>
        <v>1</v>
      </c>
      <c r="O130" s="3" t="str">
        <f ca="1">IFERROR(
 INDEX($T$2:$AW$2,
  MATCH(TRUE,
   CHOOSE({1;2;3;4;5;6;7;8;9;10;11;12;13;14;15;16;17;18;19;20;21;22;23;24;25;26;27;28;29;30;31;32},
    COUNTIFS($T$3:$T$201,$M130)&gt;0,
    COUNTIFS($U$3:$U$201,$M130)&gt;0,
    COUNTIFS($V$3:$V$201,$M130)&gt;0,
    COUNTIFS($W$3:$W$201,$M130)&gt;0,
    COUNTIFS($X$3:$X$201,$M130)&gt;0,
    COUNTIFS($Y$3:$Y$201,$M130)&gt;0,
    COUNTIFS($Z$3:$Z$201,$M130)&gt;0,
    COUNTIFS($AA$3:$AA$201,$M130)&gt;0,
    COUNTIFS($AB$3:$AB$201,$M130)&gt;0,
    COUNTIFS($AC$3:$AC$201,$M130)&gt;0,
    COUNTIFS($AD$3:$AD$201,$M130)&gt;0,
    COUNTIFS($AE$3:$AE$201,$M130)&gt;0,
    COUNTIFS($AF$3:$AF$201,$M130)&gt;0,
    COUNTIFS($AG$3:$AG$201,$M130)&gt;0,
    COUNTIFS($AH$3:$AH$201,$M130)&gt;0,
    COUNTIFS($AI$3:$AI$201,$M130)&gt;0,
    COUNTIFS($AJ$3:$AJ$201,$M130)&gt;0,
    COUNTIFS($AK$3:$AK$201,$M130)&gt;0,
    COUNTIFS($AL$3:$AL$201,$M130)&gt;0,
    COUNTIFS($AM$3:$AM$201,$M130)&gt;0,
    COUNTIFS($AN$3:$AN$201,$M130)&gt;0,
    COUNTIFS($AO$3:$AO$201,$M130)&gt;0,
    COUNTIFS($AP$3:$AP$201,$M130)&gt;0,
    COUNTIFS($AQ$3:$AQ$201,$M130)&gt;0,
    COUNTIFS($AR$3:$AR$201,$M130)&gt;0,
    COUNTIFS($AS$3:$AS$201,$M130)&gt;0,
    COUNTIFS($AT$3:$AT$201,$M130)&gt;0,
    COUNTIFS($AU$3:$AU$201,$M130)&gt;0,
    COUNTIFS($AV$3:$AV$201,$M130)&gt;0,
    COUNTIFS($AW$3:$AW$201,$M130)&gt;0
   ),
  0)
 ),
"")</f>
        <v>Sisay</v>
      </c>
      <c r="P130" s="3" t="str" cm="1">
        <f t="array" aca="1" ref="P130" ca="1">IFERROR(
 INDEX(
  _xlfn._xlws.FILTER($T$2:$AW$2,
   TRANSPOSE(
    CHOOSE({1;2;3;4;5;6;7;8;9;10;11;12;13;14;15;16;17;18;19;20;21;22;23;24;25;26;27;28;29;30},
     COUNTIFS($T$3:$T$201,$M130)&gt;0,
     COUNTIFS($U$3:$U$201,$M130)&gt;0,
     COUNTIFS($V$3:$V$201,$M130)&gt;0,
     COUNTIFS($W$3:$W$201,$M130)&gt;0,
     COUNTIFS($X$3:$X$201,$M130)&gt;0,
     COUNTIFS($Y$3:$Y$201,$M130)&gt;0,
     COUNTIFS($Z$3:$Z$201,$M130)&gt;0,
     COUNTIFS($AA$3:$AA$201,$M130)&gt;0,
     COUNTIFS($AB$3:$AB$201,$M130)&gt;0,
     COUNTIFS($AC$3:$AC$201,$M130)&gt;0,
     COUNTIFS($AD$3:$AD$201,$M130)&gt;0,
     COUNTIFS($AE$3:$AE$201,$M130)&gt;0,
     COUNTIFS($AF$3:$AF$201,$M130)&gt;0,
     COUNTIFS($AG$3:$AG$201,$M130)&gt;0,
     COUNTIFS($AH$3:$AH$201,$M130)&gt;0,
     COUNTIFS($AI$3:$AI$201,$M130)&gt;0,
     COUNTIFS($AJ$3:$AJ$201,$M130)&gt;0,
     COUNTIFS($AK$3:$AK$201,$M130)&gt;0,
     COUNTIFS($AL$3:$AL$201,$M130)&gt;0,
     COUNTIFS($AM$3:$AM$201,$M130)&gt;0,
     COUNTIFS($AN$3:$AN$201,$M130)&gt;0,
     COUNTIFS($AO$3:$AO$201,$M130)&gt;0,
     COUNTIFS($AP$3:$AP$201,$M130)&gt;0,
     COUNTIFS($AQ$3:$AQ$201,$M130)&gt;0,
     COUNTIFS($AR$3:$AR$201,$M130)&gt;0,
     COUNTIFS($AS$3:$AS$201,$M130)&gt;0,
     COUNTIFS($AT$3:$AT$201,$M130)&gt;0,
     COUNTIFS($AU$3:$AU$201,$M130)&gt;0,
     COUNTIFS($AV$3:$AV$201,$M130)&gt;0,
     COUNTIFS($AW$3:$AW$201,$M130)&gt;0
   )),
  ),
  2
 ),
"")</f>
        <v/>
      </c>
      <c r="Q130" s="3" t="str" cm="1">
        <f t="array" aca="1" ref="Q130" ca="1">IFERROR(
 INDEX(
  _xlfn._xlws.FILTER($T$2:$AW$2,
   TRANSPOSE(
    CHOOSE({1;2;3;4;5;6;7;8;9;10;11;12;13;14;15;16;17;18;19;20;21;22;23;24;25;26;27;28;29;30},
     COUNTIFS($T$3:$T$201,$M130)&gt;0,
     COUNTIFS($U$3:$U$201,$M130)&gt;0,
     COUNTIFS($V$3:$V$201,$M130)&gt;0,
     COUNTIFS($W$3:$W$201,$M130)&gt;0,
     COUNTIFS($X$3:$X$201,$M130)&gt;0,
     COUNTIFS($Y$3:$Y$201,$M130)&gt;0,
     COUNTIFS($Z$3:$Z$201,$M130)&gt;0,
     COUNTIFS($AA$3:$AA$201,$M130)&gt;0,
     COUNTIFS($AB$3:$AB$201,$M130)&gt;0,
     COUNTIFS($AC$3:$AC$201,$M130)&gt;0,
     COUNTIFS($AD$3:$AD$201,$M130)&gt;0,
     COUNTIFS($AE$3:$AE$201,$M130)&gt;0,
     COUNTIFS($AF$3:$AF$201,$M130)&gt;0,
     COUNTIFS($AG$3:$AG$201,$M130)&gt;0,
     COUNTIFS($AH$3:$AH$201,$M130)&gt;0,
     COUNTIFS($AI$3:$AI$201,$M130)&gt;0,
     COUNTIFS($AJ$3:$AJ$201,$M130)&gt;0,
     COUNTIFS($AK$3:$AK$201,$M130)&gt;0,
     COUNTIFS($AL$3:$AL$201,$M130)&gt;0,
     COUNTIFS($AM$3:$AM$201,$M130)&gt;0,
     COUNTIFS($AN$3:$AN$201,$M130)&gt;0,
     COUNTIFS($AO$3:$AO$201,$M130)&gt;0,
     COUNTIFS($AP$3:$AP$201,$M130)&gt;0,
     COUNTIFS($AQ$3:$AQ$201,$M130)&gt;0,
     COUNTIFS($AR$3:$AR$201,$M130)&gt;0,
     COUNTIFS($AS$3:$AS$201,$M130)&gt;0,
     COUNTIFS($AT$3:$AT$201,$M130)&gt;0,
     COUNTIFS($AU$3:$AU$201,$M130)&gt;0,
     COUNTIFS($AV$3:$AV$201,$M130)&gt;0,
     COUNTIFS($AW$3:$AW$201,$M130)&gt;0
   )),
  ),
  3
 ),
"")</f>
        <v/>
      </c>
      <c r="R130" s="3" t="str" cm="1">
        <f t="array" aca="1" ref="R130" ca="1">IFERROR(
 INDEX(
  _xlfn._xlws.FILTER($T$2:$AW$2,
   TRANSPOSE(
    CHOOSE({1;2;3;4;5;6;7;8;9;10;11;12;13;14;15;16;17;18;19;20;21;22;23;24;25;26;27;28;29;30},
     COUNTIFS($T$3:$T$201,$M130)&gt;0,
     COUNTIFS($U$3:$U$201,$M130)&gt;0,
     COUNTIFS($V$3:$V$201,$M130)&gt;0,
     COUNTIFS($W$3:$W$201,$M130)&gt;0,
     COUNTIFS($X$3:$X$201,$M130)&gt;0,
     COUNTIFS($Y$3:$Y$201,$M130)&gt;0,
     COUNTIFS($Z$3:$Z$201,$M130)&gt;0,
     COUNTIFS($AA$3:$AA$201,$M130)&gt;0,
     COUNTIFS($AB$3:$AB$201,$M130)&gt;0,
     COUNTIFS($AC$3:$AC$201,$M130)&gt;0,
     COUNTIFS($AD$3:$AD$201,$M130)&gt;0,
     COUNTIFS($AE$3:$AE$201,$M130)&gt;0,
     COUNTIFS($AF$3:$AF$201,$M130)&gt;0,
     COUNTIFS($AG$3:$AG$201,$M130)&gt;0,
     COUNTIFS($AH$3:$AH$201,$M130)&gt;0,
     COUNTIFS($AI$3:$AI$201,$M130)&gt;0,
     COUNTIFS($AJ$3:$AJ$201,$M130)&gt;0,
     COUNTIFS($AK$3:$AK$201,$M130)&gt;0,
     COUNTIFS($AL$3:$AL$201,$M130)&gt;0,
     COUNTIFS($AM$3:$AM$201,$M130)&gt;0,
     COUNTIFS($AN$3:$AN$201,$M130)&gt;0,
     COUNTIFS($AO$3:$AO$201,$M130)&gt;0,
     COUNTIFS($AP$3:$AP$201,$M130)&gt;0,
     COUNTIFS($AQ$3:$AQ$201,$M130)&gt;0,
     COUNTIFS($AR$3:$AR$201,$M130)&gt;0,
     COUNTIFS($AS$3:$AS$201,$M130)&gt;0,
     COUNTIFS($AT$3:$AT$201,$M130)&gt;0,
     COUNTIFS($AU$3:$AU$201,$M130)&gt;0,
     COUNTIFS($AV$3:$AV$201,$M130)&gt;0,
     COUNTIFS($AW$3:$AW$201,$M130)&gt;0
   )),
  ),
  4
 ),
"")</f>
        <v/>
      </c>
      <c r="CA130" t="str">
        <f ca="1"/>
        <v>Tocasia's Welcome</v>
      </c>
      <c r="CF130" t="str">
        <f ca="1"/>
        <v>Pentavus</v>
      </c>
      <c r="CI130" t="str">
        <f ca="1"/>
        <v>Kasmina, Enigma Sage</v>
      </c>
    </row>
    <row r="131" spans="1:87" x14ac:dyDescent="0.25">
      <c r="A131" t="str">
        <f ca="1"/>
        <v>Invasion of Segovia</v>
      </c>
      <c r="B131" s="3" t="str" cm="1">
        <f t="array" aca="1" ref="B131" ca="1">_xlfn.ANCHORARRAY(RESUMO!C130)</f>
        <v>Oona</v>
      </c>
      <c r="C131" s="3" t="str">
        <f t="shared" ref="C131:C194" ca="1" si="8">IFERROR(_xlfn.XLOOKUP($A131,$E:$E,$G:$G),"")</f>
        <v/>
      </c>
      <c r="E131" t="str">
        <f ca="1"/>
        <v>Kiora's Follower</v>
      </c>
      <c r="F131" s="3">
        <f t="shared" ref="F131:F194" ca="1" si="9">COUNTIF(T:AY,E131)+COUNTIF(K:K,E131)</f>
        <v>1</v>
      </c>
      <c r="G131" s="3" t="str">
        <f t="shared" ref="G131:G194" ca="1" si="10">_xlfn.XLOOKUP($E131,$M:$M,$O:$O,"Guardado")</f>
        <v>Elfos</v>
      </c>
      <c r="M131" t="str">
        <f ca="1"/>
        <v>Kiora's Follower</v>
      </c>
      <c r="N131" s="3">
        <f t="shared" ref="N131:N194" ca="1" si="11">COUNTIF(T:AW,M131)</f>
        <v>1</v>
      </c>
      <c r="O131" s="3" t="str">
        <f ca="1">IFERROR(
 INDEX($T$2:$AW$2,
  MATCH(TRUE,
   CHOOSE({1;2;3;4;5;6;7;8;9;10;11;12;13;14;15;16;17;18;19;20;21;22;23;24;25;26;27;28;29;30;31;32},
    COUNTIFS($T$3:$T$201,$M131)&gt;0,
    COUNTIFS($U$3:$U$201,$M131)&gt;0,
    COUNTIFS($V$3:$V$201,$M131)&gt;0,
    COUNTIFS($W$3:$W$201,$M131)&gt;0,
    COUNTIFS($X$3:$X$201,$M131)&gt;0,
    COUNTIFS($Y$3:$Y$201,$M131)&gt;0,
    COUNTIFS($Z$3:$Z$201,$M131)&gt;0,
    COUNTIFS($AA$3:$AA$201,$M131)&gt;0,
    COUNTIFS($AB$3:$AB$201,$M131)&gt;0,
    COUNTIFS($AC$3:$AC$201,$M131)&gt;0,
    COUNTIFS($AD$3:$AD$201,$M131)&gt;0,
    COUNTIFS($AE$3:$AE$201,$M131)&gt;0,
    COUNTIFS($AF$3:$AF$201,$M131)&gt;0,
    COUNTIFS($AG$3:$AG$201,$M131)&gt;0,
    COUNTIFS($AH$3:$AH$201,$M131)&gt;0,
    COUNTIFS($AI$3:$AI$201,$M131)&gt;0,
    COUNTIFS($AJ$3:$AJ$201,$M131)&gt;0,
    COUNTIFS($AK$3:$AK$201,$M131)&gt;0,
    COUNTIFS($AL$3:$AL$201,$M131)&gt;0,
    COUNTIFS($AM$3:$AM$201,$M131)&gt;0,
    COUNTIFS($AN$3:$AN$201,$M131)&gt;0,
    COUNTIFS($AO$3:$AO$201,$M131)&gt;0,
    COUNTIFS($AP$3:$AP$201,$M131)&gt;0,
    COUNTIFS($AQ$3:$AQ$201,$M131)&gt;0,
    COUNTIFS($AR$3:$AR$201,$M131)&gt;0,
    COUNTIFS($AS$3:$AS$201,$M131)&gt;0,
    COUNTIFS($AT$3:$AT$201,$M131)&gt;0,
    COUNTIFS($AU$3:$AU$201,$M131)&gt;0,
    COUNTIFS($AV$3:$AV$201,$M131)&gt;0,
    COUNTIFS($AW$3:$AW$201,$M131)&gt;0
   ),
  0)
 ),
"")</f>
        <v>Elfos</v>
      </c>
      <c r="P131" s="3" t="str" cm="1">
        <f t="array" aca="1" ref="P131" ca="1">IFERROR(
 INDEX(
  _xlfn._xlws.FILTER($T$2:$AW$2,
   TRANSPOSE(
    CHOOSE({1;2;3;4;5;6;7;8;9;10;11;12;13;14;15;16;17;18;19;20;21;22;23;24;25;26;27;28;29;30},
     COUNTIFS($T$3:$T$201,$M131)&gt;0,
     COUNTIFS($U$3:$U$201,$M131)&gt;0,
     COUNTIFS($V$3:$V$201,$M131)&gt;0,
     COUNTIFS($W$3:$W$201,$M131)&gt;0,
     COUNTIFS($X$3:$X$201,$M131)&gt;0,
     COUNTIFS($Y$3:$Y$201,$M131)&gt;0,
     COUNTIFS($Z$3:$Z$201,$M131)&gt;0,
     COUNTIFS($AA$3:$AA$201,$M131)&gt;0,
     COUNTIFS($AB$3:$AB$201,$M131)&gt;0,
     COUNTIFS($AC$3:$AC$201,$M131)&gt;0,
     COUNTIFS($AD$3:$AD$201,$M131)&gt;0,
     COUNTIFS($AE$3:$AE$201,$M131)&gt;0,
     COUNTIFS($AF$3:$AF$201,$M131)&gt;0,
     COUNTIFS($AG$3:$AG$201,$M131)&gt;0,
     COUNTIFS($AH$3:$AH$201,$M131)&gt;0,
     COUNTIFS($AI$3:$AI$201,$M131)&gt;0,
     COUNTIFS($AJ$3:$AJ$201,$M131)&gt;0,
     COUNTIFS($AK$3:$AK$201,$M131)&gt;0,
     COUNTIFS($AL$3:$AL$201,$M131)&gt;0,
     COUNTIFS($AM$3:$AM$201,$M131)&gt;0,
     COUNTIFS($AN$3:$AN$201,$M131)&gt;0,
     COUNTIFS($AO$3:$AO$201,$M131)&gt;0,
     COUNTIFS($AP$3:$AP$201,$M131)&gt;0,
     COUNTIFS($AQ$3:$AQ$201,$M131)&gt;0,
     COUNTIFS($AR$3:$AR$201,$M131)&gt;0,
     COUNTIFS($AS$3:$AS$201,$M131)&gt;0,
     COUNTIFS($AT$3:$AT$201,$M131)&gt;0,
     COUNTIFS($AU$3:$AU$201,$M131)&gt;0,
     COUNTIFS($AV$3:$AV$201,$M131)&gt;0,
     COUNTIFS($AW$3:$AW$201,$M131)&gt;0
   )),
  ),
  2
 ),
"")</f>
        <v/>
      </c>
      <c r="Q131" s="3" t="str" cm="1">
        <f t="array" aca="1" ref="Q131" ca="1">IFERROR(
 INDEX(
  _xlfn._xlws.FILTER($T$2:$AW$2,
   TRANSPOSE(
    CHOOSE({1;2;3;4;5;6;7;8;9;10;11;12;13;14;15;16;17;18;19;20;21;22;23;24;25;26;27;28;29;30},
     COUNTIFS($T$3:$T$201,$M131)&gt;0,
     COUNTIFS($U$3:$U$201,$M131)&gt;0,
     COUNTIFS($V$3:$V$201,$M131)&gt;0,
     COUNTIFS($W$3:$W$201,$M131)&gt;0,
     COUNTIFS($X$3:$X$201,$M131)&gt;0,
     COUNTIFS($Y$3:$Y$201,$M131)&gt;0,
     COUNTIFS($Z$3:$Z$201,$M131)&gt;0,
     COUNTIFS($AA$3:$AA$201,$M131)&gt;0,
     COUNTIFS($AB$3:$AB$201,$M131)&gt;0,
     COUNTIFS($AC$3:$AC$201,$M131)&gt;0,
     COUNTIFS($AD$3:$AD$201,$M131)&gt;0,
     COUNTIFS($AE$3:$AE$201,$M131)&gt;0,
     COUNTIFS($AF$3:$AF$201,$M131)&gt;0,
     COUNTIFS($AG$3:$AG$201,$M131)&gt;0,
     COUNTIFS($AH$3:$AH$201,$M131)&gt;0,
     COUNTIFS($AI$3:$AI$201,$M131)&gt;0,
     COUNTIFS($AJ$3:$AJ$201,$M131)&gt;0,
     COUNTIFS($AK$3:$AK$201,$M131)&gt;0,
     COUNTIFS($AL$3:$AL$201,$M131)&gt;0,
     COUNTIFS($AM$3:$AM$201,$M131)&gt;0,
     COUNTIFS($AN$3:$AN$201,$M131)&gt;0,
     COUNTIFS($AO$3:$AO$201,$M131)&gt;0,
     COUNTIFS($AP$3:$AP$201,$M131)&gt;0,
     COUNTIFS($AQ$3:$AQ$201,$M131)&gt;0,
     COUNTIFS($AR$3:$AR$201,$M131)&gt;0,
     COUNTIFS($AS$3:$AS$201,$M131)&gt;0,
     COUNTIFS($AT$3:$AT$201,$M131)&gt;0,
     COUNTIFS($AU$3:$AU$201,$M131)&gt;0,
     COUNTIFS($AV$3:$AV$201,$M131)&gt;0,
     COUNTIFS($AW$3:$AW$201,$M131)&gt;0
   )),
  ),
  3
 ),
"")</f>
        <v/>
      </c>
      <c r="R131" s="3" t="str" cm="1">
        <f t="array" aca="1" ref="R131" ca="1">IFERROR(
 INDEX(
  _xlfn._xlws.FILTER($T$2:$AW$2,
   TRANSPOSE(
    CHOOSE({1;2;3;4;5;6;7;8;9;10;11;12;13;14;15;16;17;18;19;20;21;22;23;24;25;26;27;28;29;30},
     COUNTIFS($T$3:$T$201,$M131)&gt;0,
     COUNTIFS($U$3:$U$201,$M131)&gt;0,
     COUNTIFS($V$3:$V$201,$M131)&gt;0,
     COUNTIFS($W$3:$W$201,$M131)&gt;0,
     COUNTIFS($X$3:$X$201,$M131)&gt;0,
     COUNTIFS($Y$3:$Y$201,$M131)&gt;0,
     COUNTIFS($Z$3:$Z$201,$M131)&gt;0,
     COUNTIFS($AA$3:$AA$201,$M131)&gt;0,
     COUNTIFS($AB$3:$AB$201,$M131)&gt;0,
     COUNTIFS($AC$3:$AC$201,$M131)&gt;0,
     COUNTIFS($AD$3:$AD$201,$M131)&gt;0,
     COUNTIFS($AE$3:$AE$201,$M131)&gt;0,
     COUNTIFS($AF$3:$AF$201,$M131)&gt;0,
     COUNTIFS($AG$3:$AG$201,$M131)&gt;0,
     COUNTIFS($AH$3:$AH$201,$M131)&gt;0,
     COUNTIFS($AI$3:$AI$201,$M131)&gt;0,
     COUNTIFS($AJ$3:$AJ$201,$M131)&gt;0,
     COUNTIFS($AK$3:$AK$201,$M131)&gt;0,
     COUNTIFS($AL$3:$AL$201,$M131)&gt;0,
     COUNTIFS($AM$3:$AM$201,$M131)&gt;0,
     COUNTIFS($AN$3:$AN$201,$M131)&gt;0,
     COUNTIFS($AO$3:$AO$201,$M131)&gt;0,
     COUNTIFS($AP$3:$AP$201,$M131)&gt;0,
     COUNTIFS($AQ$3:$AQ$201,$M131)&gt;0,
     COUNTIFS($AR$3:$AR$201,$M131)&gt;0,
     COUNTIFS($AS$3:$AS$201,$M131)&gt;0,
     COUNTIFS($AT$3:$AT$201,$M131)&gt;0,
     COUNTIFS($AU$3:$AU$201,$M131)&gt;0,
     COUNTIFS($AV$3:$AV$201,$M131)&gt;0,
     COUNTIFS($AW$3:$AW$201,$M131)&gt;0
   )),
  ),
  4
 ),
"")</f>
        <v/>
      </c>
      <c r="CA131" t="str">
        <f ca="1"/>
        <v>Tought Vessel</v>
      </c>
      <c r="CF131" t="str">
        <f ca="1"/>
        <v>Pilar das Origens</v>
      </c>
      <c r="CI131" t="str">
        <f ca="1"/>
        <v>Kiora's Follower</v>
      </c>
    </row>
    <row r="132" spans="1:87" x14ac:dyDescent="0.25">
      <c r="A132" t="str">
        <f ca="1"/>
        <v>Inventors' Fair</v>
      </c>
      <c r="B132" s="3" t="str" cm="1">
        <f t="array" aca="1" ref="B132" ca="1">_xlfn.ANCHORARRAY(RESUMO!C131)</f>
        <v>Muzzio</v>
      </c>
      <c r="C132" s="3" t="str">
        <f t="shared" ca="1" si="8"/>
        <v/>
      </c>
      <c r="E132" t="str">
        <f ca="1"/>
        <v>Kraken do Mar Profundo</v>
      </c>
      <c r="F132" s="3">
        <f t="shared" ca="1" si="9"/>
        <v>1</v>
      </c>
      <c r="G132" s="3" t="str">
        <f t="shared" ca="1" si="10"/>
        <v>JhoiraB</v>
      </c>
      <c r="M132" t="str">
        <f ca="1"/>
        <v>Kraken do Mar Profundo</v>
      </c>
      <c r="N132" s="3">
        <f t="shared" ca="1" si="11"/>
        <v>1</v>
      </c>
      <c r="O132" s="3" t="str">
        <f ca="1">IFERROR(
 INDEX($T$2:$AW$2,
  MATCH(TRUE,
   CHOOSE({1;2;3;4;5;6;7;8;9;10;11;12;13;14;15;16;17;18;19;20;21;22;23;24;25;26;27;28;29;30;31;32},
    COUNTIFS($T$3:$T$201,$M132)&gt;0,
    COUNTIFS($U$3:$U$201,$M132)&gt;0,
    COUNTIFS($V$3:$V$201,$M132)&gt;0,
    COUNTIFS($W$3:$W$201,$M132)&gt;0,
    COUNTIFS($X$3:$X$201,$M132)&gt;0,
    COUNTIFS($Y$3:$Y$201,$M132)&gt;0,
    COUNTIFS($Z$3:$Z$201,$M132)&gt;0,
    COUNTIFS($AA$3:$AA$201,$M132)&gt;0,
    COUNTIFS($AB$3:$AB$201,$M132)&gt;0,
    COUNTIFS($AC$3:$AC$201,$M132)&gt;0,
    COUNTIFS($AD$3:$AD$201,$M132)&gt;0,
    COUNTIFS($AE$3:$AE$201,$M132)&gt;0,
    COUNTIFS($AF$3:$AF$201,$M132)&gt;0,
    COUNTIFS($AG$3:$AG$201,$M132)&gt;0,
    COUNTIFS($AH$3:$AH$201,$M132)&gt;0,
    COUNTIFS($AI$3:$AI$201,$M132)&gt;0,
    COUNTIFS($AJ$3:$AJ$201,$M132)&gt;0,
    COUNTIFS($AK$3:$AK$201,$M132)&gt;0,
    COUNTIFS($AL$3:$AL$201,$M132)&gt;0,
    COUNTIFS($AM$3:$AM$201,$M132)&gt;0,
    COUNTIFS($AN$3:$AN$201,$M132)&gt;0,
    COUNTIFS($AO$3:$AO$201,$M132)&gt;0,
    COUNTIFS($AP$3:$AP$201,$M132)&gt;0,
    COUNTIFS($AQ$3:$AQ$201,$M132)&gt;0,
    COUNTIFS($AR$3:$AR$201,$M132)&gt;0,
    COUNTIFS($AS$3:$AS$201,$M132)&gt;0,
    COUNTIFS($AT$3:$AT$201,$M132)&gt;0,
    COUNTIFS($AU$3:$AU$201,$M132)&gt;0,
    COUNTIFS($AV$3:$AV$201,$M132)&gt;0,
    COUNTIFS($AW$3:$AW$201,$M132)&gt;0
   ),
  0)
 ),
"")</f>
        <v>JhoiraB</v>
      </c>
      <c r="P132" s="3" t="str" cm="1">
        <f t="array" aca="1" ref="P132" ca="1">IFERROR(
 INDEX(
  _xlfn._xlws.FILTER($T$2:$AW$2,
   TRANSPOSE(
    CHOOSE({1;2;3;4;5;6;7;8;9;10;11;12;13;14;15;16;17;18;19;20;21;22;23;24;25;26;27;28;29;30},
     COUNTIFS($T$3:$T$201,$M132)&gt;0,
     COUNTIFS($U$3:$U$201,$M132)&gt;0,
     COUNTIFS($V$3:$V$201,$M132)&gt;0,
     COUNTIFS($W$3:$W$201,$M132)&gt;0,
     COUNTIFS($X$3:$X$201,$M132)&gt;0,
     COUNTIFS($Y$3:$Y$201,$M132)&gt;0,
     COUNTIFS($Z$3:$Z$201,$M132)&gt;0,
     COUNTIFS($AA$3:$AA$201,$M132)&gt;0,
     COUNTIFS($AB$3:$AB$201,$M132)&gt;0,
     COUNTIFS($AC$3:$AC$201,$M132)&gt;0,
     COUNTIFS($AD$3:$AD$201,$M132)&gt;0,
     COUNTIFS($AE$3:$AE$201,$M132)&gt;0,
     COUNTIFS($AF$3:$AF$201,$M132)&gt;0,
     COUNTIFS($AG$3:$AG$201,$M132)&gt;0,
     COUNTIFS($AH$3:$AH$201,$M132)&gt;0,
     COUNTIFS($AI$3:$AI$201,$M132)&gt;0,
     COUNTIFS($AJ$3:$AJ$201,$M132)&gt;0,
     COUNTIFS($AK$3:$AK$201,$M132)&gt;0,
     COUNTIFS($AL$3:$AL$201,$M132)&gt;0,
     COUNTIFS($AM$3:$AM$201,$M132)&gt;0,
     COUNTIFS($AN$3:$AN$201,$M132)&gt;0,
     COUNTIFS($AO$3:$AO$201,$M132)&gt;0,
     COUNTIFS($AP$3:$AP$201,$M132)&gt;0,
     COUNTIFS($AQ$3:$AQ$201,$M132)&gt;0,
     COUNTIFS($AR$3:$AR$201,$M132)&gt;0,
     COUNTIFS($AS$3:$AS$201,$M132)&gt;0,
     COUNTIFS($AT$3:$AT$201,$M132)&gt;0,
     COUNTIFS($AU$3:$AU$201,$M132)&gt;0,
     COUNTIFS($AV$3:$AV$201,$M132)&gt;0,
     COUNTIFS($AW$3:$AW$201,$M132)&gt;0
   )),
  ),
  2
 ),
"")</f>
        <v/>
      </c>
      <c r="Q132" s="3" t="str" cm="1">
        <f t="array" aca="1" ref="Q132" ca="1">IFERROR(
 INDEX(
  _xlfn._xlws.FILTER($T$2:$AW$2,
   TRANSPOSE(
    CHOOSE({1;2;3;4;5;6;7;8;9;10;11;12;13;14;15;16;17;18;19;20;21;22;23;24;25;26;27;28;29;30},
     COUNTIFS($T$3:$T$201,$M132)&gt;0,
     COUNTIFS($U$3:$U$201,$M132)&gt;0,
     COUNTIFS($V$3:$V$201,$M132)&gt;0,
     COUNTIFS($W$3:$W$201,$M132)&gt;0,
     COUNTIFS($X$3:$X$201,$M132)&gt;0,
     COUNTIFS($Y$3:$Y$201,$M132)&gt;0,
     COUNTIFS($Z$3:$Z$201,$M132)&gt;0,
     COUNTIFS($AA$3:$AA$201,$M132)&gt;0,
     COUNTIFS($AB$3:$AB$201,$M132)&gt;0,
     COUNTIFS($AC$3:$AC$201,$M132)&gt;0,
     COUNTIFS($AD$3:$AD$201,$M132)&gt;0,
     COUNTIFS($AE$3:$AE$201,$M132)&gt;0,
     COUNTIFS($AF$3:$AF$201,$M132)&gt;0,
     COUNTIFS($AG$3:$AG$201,$M132)&gt;0,
     COUNTIFS($AH$3:$AH$201,$M132)&gt;0,
     COUNTIFS($AI$3:$AI$201,$M132)&gt;0,
     COUNTIFS($AJ$3:$AJ$201,$M132)&gt;0,
     COUNTIFS($AK$3:$AK$201,$M132)&gt;0,
     COUNTIFS($AL$3:$AL$201,$M132)&gt;0,
     COUNTIFS($AM$3:$AM$201,$M132)&gt;0,
     COUNTIFS($AN$3:$AN$201,$M132)&gt;0,
     COUNTIFS($AO$3:$AO$201,$M132)&gt;0,
     COUNTIFS($AP$3:$AP$201,$M132)&gt;0,
     COUNTIFS($AQ$3:$AQ$201,$M132)&gt;0,
     COUNTIFS($AR$3:$AR$201,$M132)&gt;0,
     COUNTIFS($AS$3:$AS$201,$M132)&gt;0,
     COUNTIFS($AT$3:$AT$201,$M132)&gt;0,
     COUNTIFS($AU$3:$AU$201,$M132)&gt;0,
     COUNTIFS($AV$3:$AV$201,$M132)&gt;0,
     COUNTIFS($AW$3:$AW$201,$M132)&gt;0
   )),
  ),
  3
 ),
"")</f>
        <v/>
      </c>
      <c r="R132" s="3" t="str" cm="1">
        <f t="array" aca="1" ref="R132" ca="1">IFERROR(
 INDEX(
  _xlfn._xlws.FILTER($T$2:$AW$2,
   TRANSPOSE(
    CHOOSE({1;2;3;4;5;6;7;8;9;10;11;12;13;14;15;16;17;18;19;20;21;22;23;24;25;26;27;28;29;30},
     COUNTIFS($T$3:$T$201,$M132)&gt;0,
     COUNTIFS($U$3:$U$201,$M132)&gt;0,
     COUNTIFS($V$3:$V$201,$M132)&gt;0,
     COUNTIFS($W$3:$W$201,$M132)&gt;0,
     COUNTIFS($X$3:$X$201,$M132)&gt;0,
     COUNTIFS($Y$3:$Y$201,$M132)&gt;0,
     COUNTIFS($Z$3:$Z$201,$M132)&gt;0,
     COUNTIFS($AA$3:$AA$201,$M132)&gt;0,
     COUNTIFS($AB$3:$AB$201,$M132)&gt;0,
     COUNTIFS($AC$3:$AC$201,$M132)&gt;0,
     COUNTIFS($AD$3:$AD$201,$M132)&gt;0,
     COUNTIFS($AE$3:$AE$201,$M132)&gt;0,
     COUNTIFS($AF$3:$AF$201,$M132)&gt;0,
     COUNTIFS($AG$3:$AG$201,$M132)&gt;0,
     COUNTIFS($AH$3:$AH$201,$M132)&gt;0,
     COUNTIFS($AI$3:$AI$201,$M132)&gt;0,
     COUNTIFS($AJ$3:$AJ$201,$M132)&gt;0,
     COUNTIFS($AK$3:$AK$201,$M132)&gt;0,
     COUNTIFS($AL$3:$AL$201,$M132)&gt;0,
     COUNTIFS($AM$3:$AM$201,$M132)&gt;0,
     COUNTIFS($AN$3:$AN$201,$M132)&gt;0,
     COUNTIFS($AO$3:$AO$201,$M132)&gt;0,
     COUNTIFS($AP$3:$AP$201,$M132)&gt;0,
     COUNTIFS($AQ$3:$AQ$201,$M132)&gt;0,
     COUNTIFS($AR$3:$AR$201,$M132)&gt;0,
     COUNTIFS($AS$3:$AS$201,$M132)&gt;0,
     COUNTIFS($AT$3:$AT$201,$M132)&gt;0,
     COUNTIFS($AU$3:$AU$201,$M132)&gt;0,
     COUNTIFS($AV$3:$AV$201,$M132)&gt;0,
     COUNTIFS($AW$3:$AW$201,$M132)&gt;0
   )),
  ),
  4
 ),
"")</f>
        <v/>
      </c>
      <c r="CA132" t="str">
        <f ca="1"/>
        <v>Traumatize</v>
      </c>
      <c r="CF132" t="str">
        <f ca="1"/>
        <v>Plaguecrafter</v>
      </c>
      <c r="CI132" t="str">
        <f ca="1"/>
        <v>Kraken do Mar Profundo</v>
      </c>
    </row>
    <row r="133" spans="1:87" x14ac:dyDescent="0.25">
      <c r="A133" t="str">
        <f ca="1"/>
        <v>Irenicus's Vile Duplication</v>
      </c>
      <c r="B133" s="3" t="str" cm="1">
        <f t="array" aca="1" ref="B133" ca="1">_xlfn.ANCHORARRAY(RESUMO!C132)</f>
        <v>Narset</v>
      </c>
      <c r="C133" s="3" t="str">
        <f t="shared" ca="1" si="8"/>
        <v/>
      </c>
      <c r="E133" t="str">
        <f ca="1"/>
        <v>Kusari-Gama</v>
      </c>
      <c r="F133" s="3">
        <f t="shared" ca="1" si="9"/>
        <v>1</v>
      </c>
      <c r="G133" s="3" t="str">
        <f t="shared" ca="1" si="10"/>
        <v>Akiri</v>
      </c>
      <c r="M133" t="str">
        <f ca="1"/>
        <v>Kusari-Gama</v>
      </c>
      <c r="N133" s="3">
        <f t="shared" ca="1" si="11"/>
        <v>1</v>
      </c>
      <c r="O133" s="3" t="str">
        <f ca="1">IFERROR(
 INDEX($T$2:$AW$2,
  MATCH(TRUE,
   CHOOSE({1;2;3;4;5;6;7;8;9;10;11;12;13;14;15;16;17;18;19;20;21;22;23;24;25;26;27;28;29;30;31;32},
    COUNTIFS($T$3:$T$201,$M133)&gt;0,
    COUNTIFS($U$3:$U$201,$M133)&gt;0,
    COUNTIFS($V$3:$V$201,$M133)&gt;0,
    COUNTIFS($W$3:$W$201,$M133)&gt;0,
    COUNTIFS($X$3:$X$201,$M133)&gt;0,
    COUNTIFS($Y$3:$Y$201,$M133)&gt;0,
    COUNTIFS($Z$3:$Z$201,$M133)&gt;0,
    COUNTIFS($AA$3:$AA$201,$M133)&gt;0,
    COUNTIFS($AB$3:$AB$201,$M133)&gt;0,
    COUNTIFS($AC$3:$AC$201,$M133)&gt;0,
    COUNTIFS($AD$3:$AD$201,$M133)&gt;0,
    COUNTIFS($AE$3:$AE$201,$M133)&gt;0,
    COUNTIFS($AF$3:$AF$201,$M133)&gt;0,
    COUNTIFS($AG$3:$AG$201,$M133)&gt;0,
    COUNTIFS($AH$3:$AH$201,$M133)&gt;0,
    COUNTIFS($AI$3:$AI$201,$M133)&gt;0,
    COUNTIFS($AJ$3:$AJ$201,$M133)&gt;0,
    COUNTIFS($AK$3:$AK$201,$M133)&gt;0,
    COUNTIFS($AL$3:$AL$201,$M133)&gt;0,
    COUNTIFS($AM$3:$AM$201,$M133)&gt;0,
    COUNTIFS($AN$3:$AN$201,$M133)&gt;0,
    COUNTIFS($AO$3:$AO$201,$M133)&gt;0,
    COUNTIFS($AP$3:$AP$201,$M133)&gt;0,
    COUNTIFS($AQ$3:$AQ$201,$M133)&gt;0,
    COUNTIFS($AR$3:$AR$201,$M133)&gt;0,
    COUNTIFS($AS$3:$AS$201,$M133)&gt;0,
    COUNTIFS($AT$3:$AT$201,$M133)&gt;0,
    COUNTIFS($AU$3:$AU$201,$M133)&gt;0,
    COUNTIFS($AV$3:$AV$201,$M133)&gt;0,
    COUNTIFS($AW$3:$AW$201,$M133)&gt;0
   ),
  0)
 ),
"")</f>
        <v>Akiri</v>
      </c>
      <c r="P133" s="3" t="str" cm="1">
        <f t="array" aca="1" ref="P133" ca="1">IFERROR(
 INDEX(
  _xlfn._xlws.FILTER($T$2:$AW$2,
   TRANSPOSE(
    CHOOSE({1;2;3;4;5;6;7;8;9;10;11;12;13;14;15;16;17;18;19;20;21;22;23;24;25;26;27;28;29;30},
     COUNTIFS($T$3:$T$201,$M133)&gt;0,
     COUNTIFS($U$3:$U$201,$M133)&gt;0,
     COUNTIFS($V$3:$V$201,$M133)&gt;0,
     COUNTIFS($W$3:$W$201,$M133)&gt;0,
     COUNTIFS($X$3:$X$201,$M133)&gt;0,
     COUNTIFS($Y$3:$Y$201,$M133)&gt;0,
     COUNTIFS($Z$3:$Z$201,$M133)&gt;0,
     COUNTIFS($AA$3:$AA$201,$M133)&gt;0,
     COUNTIFS($AB$3:$AB$201,$M133)&gt;0,
     COUNTIFS($AC$3:$AC$201,$M133)&gt;0,
     COUNTIFS($AD$3:$AD$201,$M133)&gt;0,
     COUNTIFS($AE$3:$AE$201,$M133)&gt;0,
     COUNTIFS($AF$3:$AF$201,$M133)&gt;0,
     COUNTIFS($AG$3:$AG$201,$M133)&gt;0,
     COUNTIFS($AH$3:$AH$201,$M133)&gt;0,
     COUNTIFS($AI$3:$AI$201,$M133)&gt;0,
     COUNTIFS($AJ$3:$AJ$201,$M133)&gt;0,
     COUNTIFS($AK$3:$AK$201,$M133)&gt;0,
     COUNTIFS($AL$3:$AL$201,$M133)&gt;0,
     COUNTIFS($AM$3:$AM$201,$M133)&gt;0,
     COUNTIFS($AN$3:$AN$201,$M133)&gt;0,
     COUNTIFS($AO$3:$AO$201,$M133)&gt;0,
     COUNTIFS($AP$3:$AP$201,$M133)&gt;0,
     COUNTIFS($AQ$3:$AQ$201,$M133)&gt;0,
     COUNTIFS($AR$3:$AR$201,$M133)&gt;0,
     COUNTIFS($AS$3:$AS$201,$M133)&gt;0,
     COUNTIFS($AT$3:$AT$201,$M133)&gt;0,
     COUNTIFS($AU$3:$AU$201,$M133)&gt;0,
     COUNTIFS($AV$3:$AV$201,$M133)&gt;0,
     COUNTIFS($AW$3:$AW$201,$M133)&gt;0
   )),
  ),
  2
 ),
"")</f>
        <v/>
      </c>
      <c r="Q133" s="3" t="str" cm="1">
        <f t="array" aca="1" ref="Q133" ca="1">IFERROR(
 INDEX(
  _xlfn._xlws.FILTER($T$2:$AW$2,
   TRANSPOSE(
    CHOOSE({1;2;3;4;5;6;7;8;9;10;11;12;13;14;15;16;17;18;19;20;21;22;23;24;25;26;27;28;29;30},
     COUNTIFS($T$3:$T$201,$M133)&gt;0,
     COUNTIFS($U$3:$U$201,$M133)&gt;0,
     COUNTIFS($V$3:$V$201,$M133)&gt;0,
     COUNTIFS($W$3:$W$201,$M133)&gt;0,
     COUNTIFS($X$3:$X$201,$M133)&gt;0,
     COUNTIFS($Y$3:$Y$201,$M133)&gt;0,
     COUNTIFS($Z$3:$Z$201,$M133)&gt;0,
     COUNTIFS($AA$3:$AA$201,$M133)&gt;0,
     COUNTIFS($AB$3:$AB$201,$M133)&gt;0,
     COUNTIFS($AC$3:$AC$201,$M133)&gt;0,
     COUNTIFS($AD$3:$AD$201,$M133)&gt;0,
     COUNTIFS($AE$3:$AE$201,$M133)&gt;0,
     COUNTIFS($AF$3:$AF$201,$M133)&gt;0,
     COUNTIFS($AG$3:$AG$201,$M133)&gt;0,
     COUNTIFS($AH$3:$AH$201,$M133)&gt;0,
     COUNTIFS($AI$3:$AI$201,$M133)&gt;0,
     COUNTIFS($AJ$3:$AJ$201,$M133)&gt;0,
     COUNTIFS($AK$3:$AK$201,$M133)&gt;0,
     COUNTIFS($AL$3:$AL$201,$M133)&gt;0,
     COUNTIFS($AM$3:$AM$201,$M133)&gt;0,
     COUNTIFS($AN$3:$AN$201,$M133)&gt;0,
     COUNTIFS($AO$3:$AO$201,$M133)&gt;0,
     COUNTIFS($AP$3:$AP$201,$M133)&gt;0,
     COUNTIFS($AQ$3:$AQ$201,$M133)&gt;0,
     COUNTIFS($AR$3:$AR$201,$M133)&gt;0,
     COUNTIFS($AS$3:$AS$201,$M133)&gt;0,
     COUNTIFS($AT$3:$AT$201,$M133)&gt;0,
     COUNTIFS($AU$3:$AU$201,$M133)&gt;0,
     COUNTIFS($AV$3:$AV$201,$M133)&gt;0,
     COUNTIFS($AW$3:$AW$201,$M133)&gt;0
   )),
  ),
  3
 ),
"")</f>
        <v/>
      </c>
      <c r="R133" s="3" t="str" cm="1">
        <f t="array" aca="1" ref="R133" ca="1">IFERROR(
 INDEX(
  _xlfn._xlws.FILTER($T$2:$AW$2,
   TRANSPOSE(
    CHOOSE({1;2;3;4;5;6;7;8;9;10;11;12;13;14;15;16;17;18;19;20;21;22;23;24;25;26;27;28;29;30},
     COUNTIFS($T$3:$T$201,$M133)&gt;0,
     COUNTIFS($U$3:$U$201,$M133)&gt;0,
     COUNTIFS($V$3:$V$201,$M133)&gt;0,
     COUNTIFS($W$3:$W$201,$M133)&gt;0,
     COUNTIFS($X$3:$X$201,$M133)&gt;0,
     COUNTIFS($Y$3:$Y$201,$M133)&gt;0,
     COUNTIFS($Z$3:$Z$201,$M133)&gt;0,
     COUNTIFS($AA$3:$AA$201,$M133)&gt;0,
     COUNTIFS($AB$3:$AB$201,$M133)&gt;0,
     COUNTIFS($AC$3:$AC$201,$M133)&gt;0,
     COUNTIFS($AD$3:$AD$201,$M133)&gt;0,
     COUNTIFS($AE$3:$AE$201,$M133)&gt;0,
     COUNTIFS($AF$3:$AF$201,$M133)&gt;0,
     COUNTIFS($AG$3:$AG$201,$M133)&gt;0,
     COUNTIFS($AH$3:$AH$201,$M133)&gt;0,
     COUNTIFS($AI$3:$AI$201,$M133)&gt;0,
     COUNTIFS($AJ$3:$AJ$201,$M133)&gt;0,
     COUNTIFS($AK$3:$AK$201,$M133)&gt;0,
     COUNTIFS($AL$3:$AL$201,$M133)&gt;0,
     COUNTIFS($AM$3:$AM$201,$M133)&gt;0,
     COUNTIFS($AN$3:$AN$201,$M133)&gt;0,
     COUNTIFS($AO$3:$AO$201,$M133)&gt;0,
     COUNTIFS($AP$3:$AP$201,$M133)&gt;0,
     COUNTIFS($AQ$3:$AQ$201,$M133)&gt;0,
     COUNTIFS($AR$3:$AR$201,$M133)&gt;0,
     COUNTIFS($AS$3:$AS$201,$M133)&gt;0,
     COUNTIFS($AT$3:$AT$201,$M133)&gt;0,
     COUNTIFS($AU$3:$AU$201,$M133)&gt;0,
     COUNTIFS($AV$3:$AV$201,$M133)&gt;0,
     COUNTIFS($AW$3:$AW$201,$M133)&gt;0
   )),
  ),
  4
 ),
"")</f>
        <v/>
      </c>
      <c r="CA133" t="str">
        <f ca="1"/>
        <v>Treasure Cruise</v>
      </c>
      <c r="CF133" t="str">
        <f ca="1"/>
        <v>Plains</v>
      </c>
      <c r="CI133" t="str">
        <f ca="1"/>
        <v>Kusari-Gama</v>
      </c>
    </row>
    <row r="134" spans="1:87" x14ac:dyDescent="0.25">
      <c r="A134" t="str">
        <f ca="1"/>
        <v>Jacked Rabbit</v>
      </c>
      <c r="B134" s="3" t="str" cm="1">
        <f t="array" aca="1" ref="B134" ca="1">_xlfn.ANCHORARRAY(RESUMO!C133)</f>
        <v>Baylen</v>
      </c>
      <c r="C134" s="3" t="str">
        <f t="shared" ca="1" si="8"/>
        <v/>
      </c>
      <c r="E134" t="str">
        <f ca="1"/>
        <v>Lanterna Cromática</v>
      </c>
      <c r="F134" s="3">
        <f t="shared" ca="1" si="9"/>
        <v>1</v>
      </c>
      <c r="G134" s="3" t="str">
        <f t="shared" ca="1" si="10"/>
        <v>Thrakiri</v>
      </c>
      <c r="M134" t="str">
        <f ca="1"/>
        <v>Lanterna Cromática</v>
      </c>
      <c r="N134" s="3">
        <f t="shared" ca="1" si="11"/>
        <v>1</v>
      </c>
      <c r="O134" s="3" t="str">
        <f ca="1">IFERROR(
 INDEX($T$2:$AW$2,
  MATCH(TRUE,
   CHOOSE({1;2;3;4;5;6;7;8;9;10;11;12;13;14;15;16;17;18;19;20;21;22;23;24;25;26;27;28;29;30;31;32},
    COUNTIFS($T$3:$T$201,$M134)&gt;0,
    COUNTIFS($U$3:$U$201,$M134)&gt;0,
    COUNTIFS($V$3:$V$201,$M134)&gt;0,
    COUNTIFS($W$3:$W$201,$M134)&gt;0,
    COUNTIFS($X$3:$X$201,$M134)&gt;0,
    COUNTIFS($Y$3:$Y$201,$M134)&gt;0,
    COUNTIFS($Z$3:$Z$201,$M134)&gt;0,
    COUNTIFS($AA$3:$AA$201,$M134)&gt;0,
    COUNTIFS($AB$3:$AB$201,$M134)&gt;0,
    COUNTIFS($AC$3:$AC$201,$M134)&gt;0,
    COUNTIFS($AD$3:$AD$201,$M134)&gt;0,
    COUNTIFS($AE$3:$AE$201,$M134)&gt;0,
    COUNTIFS($AF$3:$AF$201,$M134)&gt;0,
    COUNTIFS($AG$3:$AG$201,$M134)&gt;0,
    COUNTIFS($AH$3:$AH$201,$M134)&gt;0,
    COUNTIFS($AI$3:$AI$201,$M134)&gt;0,
    COUNTIFS($AJ$3:$AJ$201,$M134)&gt;0,
    COUNTIFS($AK$3:$AK$201,$M134)&gt;0,
    COUNTIFS($AL$3:$AL$201,$M134)&gt;0,
    COUNTIFS($AM$3:$AM$201,$M134)&gt;0,
    COUNTIFS($AN$3:$AN$201,$M134)&gt;0,
    COUNTIFS($AO$3:$AO$201,$M134)&gt;0,
    COUNTIFS($AP$3:$AP$201,$M134)&gt;0,
    COUNTIFS($AQ$3:$AQ$201,$M134)&gt;0,
    COUNTIFS($AR$3:$AR$201,$M134)&gt;0,
    COUNTIFS($AS$3:$AS$201,$M134)&gt;0,
    COUNTIFS($AT$3:$AT$201,$M134)&gt;0,
    COUNTIFS($AU$3:$AU$201,$M134)&gt;0,
    COUNTIFS($AV$3:$AV$201,$M134)&gt;0,
    COUNTIFS($AW$3:$AW$201,$M134)&gt;0
   ),
  0)
 ),
"")</f>
        <v>Thrakiri</v>
      </c>
      <c r="P134" s="3" t="str" cm="1">
        <f t="array" aca="1" ref="P134" ca="1">IFERROR(
 INDEX(
  _xlfn._xlws.FILTER($T$2:$AW$2,
   TRANSPOSE(
    CHOOSE({1;2;3;4;5;6;7;8;9;10;11;12;13;14;15;16;17;18;19;20;21;22;23;24;25;26;27;28;29;30},
     COUNTIFS($T$3:$T$201,$M134)&gt;0,
     COUNTIFS($U$3:$U$201,$M134)&gt;0,
     COUNTIFS($V$3:$V$201,$M134)&gt;0,
     COUNTIFS($W$3:$W$201,$M134)&gt;0,
     COUNTIFS($X$3:$X$201,$M134)&gt;0,
     COUNTIFS($Y$3:$Y$201,$M134)&gt;0,
     COUNTIFS($Z$3:$Z$201,$M134)&gt;0,
     COUNTIFS($AA$3:$AA$201,$M134)&gt;0,
     COUNTIFS($AB$3:$AB$201,$M134)&gt;0,
     COUNTIFS($AC$3:$AC$201,$M134)&gt;0,
     COUNTIFS($AD$3:$AD$201,$M134)&gt;0,
     COUNTIFS($AE$3:$AE$201,$M134)&gt;0,
     COUNTIFS($AF$3:$AF$201,$M134)&gt;0,
     COUNTIFS($AG$3:$AG$201,$M134)&gt;0,
     COUNTIFS($AH$3:$AH$201,$M134)&gt;0,
     COUNTIFS($AI$3:$AI$201,$M134)&gt;0,
     COUNTIFS($AJ$3:$AJ$201,$M134)&gt;0,
     COUNTIFS($AK$3:$AK$201,$M134)&gt;0,
     COUNTIFS($AL$3:$AL$201,$M134)&gt;0,
     COUNTIFS($AM$3:$AM$201,$M134)&gt;0,
     COUNTIFS($AN$3:$AN$201,$M134)&gt;0,
     COUNTIFS($AO$3:$AO$201,$M134)&gt;0,
     COUNTIFS($AP$3:$AP$201,$M134)&gt;0,
     COUNTIFS($AQ$3:$AQ$201,$M134)&gt;0,
     COUNTIFS($AR$3:$AR$201,$M134)&gt;0,
     COUNTIFS($AS$3:$AS$201,$M134)&gt;0,
     COUNTIFS($AT$3:$AT$201,$M134)&gt;0,
     COUNTIFS($AU$3:$AU$201,$M134)&gt;0,
     COUNTIFS($AV$3:$AV$201,$M134)&gt;0,
     COUNTIFS($AW$3:$AW$201,$M134)&gt;0
   )),
  ),
  2
 ),
"")</f>
        <v/>
      </c>
      <c r="Q134" s="3" t="str" cm="1">
        <f t="array" aca="1" ref="Q134" ca="1">IFERROR(
 INDEX(
  _xlfn._xlws.FILTER($T$2:$AW$2,
   TRANSPOSE(
    CHOOSE({1;2;3;4;5;6;7;8;9;10;11;12;13;14;15;16;17;18;19;20;21;22;23;24;25;26;27;28;29;30},
     COUNTIFS($T$3:$T$201,$M134)&gt;0,
     COUNTIFS($U$3:$U$201,$M134)&gt;0,
     COUNTIFS($V$3:$V$201,$M134)&gt;0,
     COUNTIFS($W$3:$W$201,$M134)&gt;0,
     COUNTIFS($X$3:$X$201,$M134)&gt;0,
     COUNTIFS($Y$3:$Y$201,$M134)&gt;0,
     COUNTIFS($Z$3:$Z$201,$M134)&gt;0,
     COUNTIFS($AA$3:$AA$201,$M134)&gt;0,
     COUNTIFS($AB$3:$AB$201,$M134)&gt;0,
     COUNTIFS($AC$3:$AC$201,$M134)&gt;0,
     COUNTIFS($AD$3:$AD$201,$M134)&gt;0,
     COUNTIFS($AE$3:$AE$201,$M134)&gt;0,
     COUNTIFS($AF$3:$AF$201,$M134)&gt;0,
     COUNTIFS($AG$3:$AG$201,$M134)&gt;0,
     COUNTIFS($AH$3:$AH$201,$M134)&gt;0,
     COUNTIFS($AI$3:$AI$201,$M134)&gt;0,
     COUNTIFS($AJ$3:$AJ$201,$M134)&gt;0,
     COUNTIFS($AK$3:$AK$201,$M134)&gt;0,
     COUNTIFS($AL$3:$AL$201,$M134)&gt;0,
     COUNTIFS($AM$3:$AM$201,$M134)&gt;0,
     COUNTIFS($AN$3:$AN$201,$M134)&gt;0,
     COUNTIFS($AO$3:$AO$201,$M134)&gt;0,
     COUNTIFS($AP$3:$AP$201,$M134)&gt;0,
     COUNTIFS($AQ$3:$AQ$201,$M134)&gt;0,
     COUNTIFS($AR$3:$AR$201,$M134)&gt;0,
     COUNTIFS($AS$3:$AS$201,$M134)&gt;0,
     COUNTIFS($AT$3:$AT$201,$M134)&gt;0,
     COUNTIFS($AU$3:$AU$201,$M134)&gt;0,
     COUNTIFS($AV$3:$AV$201,$M134)&gt;0,
     COUNTIFS($AW$3:$AW$201,$M134)&gt;0
   )),
  ),
  3
 ),
"")</f>
        <v/>
      </c>
      <c r="R134" s="3" t="str" cm="1">
        <f t="array" aca="1" ref="R134" ca="1">IFERROR(
 INDEX(
  _xlfn._xlws.FILTER($T$2:$AW$2,
   TRANSPOSE(
    CHOOSE({1;2;3;4;5;6;7;8;9;10;11;12;13;14;15;16;17;18;19;20;21;22;23;24;25;26;27;28;29;30},
     COUNTIFS($T$3:$T$201,$M134)&gt;0,
     COUNTIFS($U$3:$U$201,$M134)&gt;0,
     COUNTIFS($V$3:$V$201,$M134)&gt;0,
     COUNTIFS($W$3:$W$201,$M134)&gt;0,
     COUNTIFS($X$3:$X$201,$M134)&gt;0,
     COUNTIFS($Y$3:$Y$201,$M134)&gt;0,
     COUNTIFS($Z$3:$Z$201,$M134)&gt;0,
     COUNTIFS($AA$3:$AA$201,$M134)&gt;0,
     COUNTIFS($AB$3:$AB$201,$M134)&gt;0,
     COUNTIFS($AC$3:$AC$201,$M134)&gt;0,
     COUNTIFS($AD$3:$AD$201,$M134)&gt;0,
     COUNTIFS($AE$3:$AE$201,$M134)&gt;0,
     COUNTIFS($AF$3:$AF$201,$M134)&gt;0,
     COUNTIFS($AG$3:$AG$201,$M134)&gt;0,
     COUNTIFS($AH$3:$AH$201,$M134)&gt;0,
     COUNTIFS($AI$3:$AI$201,$M134)&gt;0,
     COUNTIFS($AJ$3:$AJ$201,$M134)&gt;0,
     COUNTIFS($AK$3:$AK$201,$M134)&gt;0,
     COUNTIFS($AL$3:$AL$201,$M134)&gt;0,
     COUNTIFS($AM$3:$AM$201,$M134)&gt;0,
     COUNTIFS($AN$3:$AN$201,$M134)&gt;0,
     COUNTIFS($AO$3:$AO$201,$M134)&gt;0,
     COUNTIFS($AP$3:$AP$201,$M134)&gt;0,
     COUNTIFS($AQ$3:$AQ$201,$M134)&gt;0,
     COUNTIFS($AR$3:$AR$201,$M134)&gt;0,
     COUNTIFS($AS$3:$AS$201,$M134)&gt;0,
     COUNTIFS($AT$3:$AT$201,$M134)&gt;0,
     COUNTIFS($AU$3:$AU$201,$M134)&gt;0,
     COUNTIFS($AV$3:$AV$201,$M134)&gt;0,
     COUNTIFS($AW$3:$AW$201,$M134)&gt;0
   )),
  ),
  4
 ),
"")</f>
        <v/>
      </c>
      <c r="CA134" t="str">
        <f ca="1"/>
        <v>Trilha de Migalhas</v>
      </c>
      <c r="CF134" t="str">
        <f ca="1"/>
        <v>Polimorfismo em Massa</v>
      </c>
      <c r="CI134" t="str">
        <f ca="1"/>
        <v>Lanterna Cromática</v>
      </c>
    </row>
    <row r="135" spans="1:87" x14ac:dyDescent="0.25">
      <c r="A135" t="str">
        <f ca="1"/>
        <v>Jadar, Ghoulcaller of Nephalia</v>
      </c>
      <c r="B135" s="3" t="str" cm="1">
        <f t="array" aca="1" ref="B135" ca="1">_xlfn.ANCHORARRAY(RESUMO!C134)</f>
        <v>Zimone</v>
      </c>
      <c r="C135" s="3" t="str">
        <f t="shared" ca="1" si="8"/>
        <v/>
      </c>
      <c r="E135" t="str">
        <f ca="1"/>
        <v>Lanterna Fantasma</v>
      </c>
      <c r="F135" s="3">
        <f t="shared" ca="1" si="9"/>
        <v>1</v>
      </c>
      <c r="G135" s="3" t="str">
        <f t="shared" ca="1" si="10"/>
        <v>Tayam</v>
      </c>
      <c r="M135" t="str">
        <f ca="1"/>
        <v>Lanterna Fantasma</v>
      </c>
      <c r="N135" s="3">
        <f t="shared" ca="1" si="11"/>
        <v>1</v>
      </c>
      <c r="O135" s="3" t="str">
        <f ca="1">IFERROR(
 INDEX($T$2:$AW$2,
  MATCH(TRUE,
   CHOOSE({1;2;3;4;5;6;7;8;9;10;11;12;13;14;15;16;17;18;19;20;21;22;23;24;25;26;27;28;29;30;31;32},
    COUNTIFS($T$3:$T$201,$M135)&gt;0,
    COUNTIFS($U$3:$U$201,$M135)&gt;0,
    COUNTIFS($V$3:$V$201,$M135)&gt;0,
    COUNTIFS($W$3:$W$201,$M135)&gt;0,
    COUNTIFS($X$3:$X$201,$M135)&gt;0,
    COUNTIFS($Y$3:$Y$201,$M135)&gt;0,
    COUNTIFS($Z$3:$Z$201,$M135)&gt;0,
    COUNTIFS($AA$3:$AA$201,$M135)&gt;0,
    COUNTIFS($AB$3:$AB$201,$M135)&gt;0,
    COUNTIFS($AC$3:$AC$201,$M135)&gt;0,
    COUNTIFS($AD$3:$AD$201,$M135)&gt;0,
    COUNTIFS($AE$3:$AE$201,$M135)&gt;0,
    COUNTIFS($AF$3:$AF$201,$M135)&gt;0,
    COUNTIFS($AG$3:$AG$201,$M135)&gt;0,
    COUNTIFS($AH$3:$AH$201,$M135)&gt;0,
    COUNTIFS($AI$3:$AI$201,$M135)&gt;0,
    COUNTIFS($AJ$3:$AJ$201,$M135)&gt;0,
    COUNTIFS($AK$3:$AK$201,$M135)&gt;0,
    COUNTIFS($AL$3:$AL$201,$M135)&gt;0,
    COUNTIFS($AM$3:$AM$201,$M135)&gt;0,
    COUNTIFS($AN$3:$AN$201,$M135)&gt;0,
    COUNTIFS($AO$3:$AO$201,$M135)&gt;0,
    COUNTIFS($AP$3:$AP$201,$M135)&gt;0,
    COUNTIFS($AQ$3:$AQ$201,$M135)&gt;0,
    COUNTIFS($AR$3:$AR$201,$M135)&gt;0,
    COUNTIFS($AS$3:$AS$201,$M135)&gt;0,
    COUNTIFS($AT$3:$AT$201,$M135)&gt;0,
    COUNTIFS($AU$3:$AU$201,$M135)&gt;0,
    COUNTIFS($AV$3:$AV$201,$M135)&gt;0,
    COUNTIFS($AW$3:$AW$201,$M135)&gt;0
   ),
  0)
 ),
"")</f>
        <v>Tayam</v>
      </c>
      <c r="P135" s="3" t="str" cm="1">
        <f t="array" aca="1" ref="P135" ca="1">IFERROR(
 INDEX(
  _xlfn._xlws.FILTER($T$2:$AW$2,
   TRANSPOSE(
    CHOOSE({1;2;3;4;5;6;7;8;9;10;11;12;13;14;15;16;17;18;19;20;21;22;23;24;25;26;27;28;29;30},
     COUNTIFS($T$3:$T$201,$M135)&gt;0,
     COUNTIFS($U$3:$U$201,$M135)&gt;0,
     COUNTIFS($V$3:$V$201,$M135)&gt;0,
     COUNTIFS($W$3:$W$201,$M135)&gt;0,
     COUNTIFS($X$3:$X$201,$M135)&gt;0,
     COUNTIFS($Y$3:$Y$201,$M135)&gt;0,
     COUNTIFS($Z$3:$Z$201,$M135)&gt;0,
     COUNTIFS($AA$3:$AA$201,$M135)&gt;0,
     COUNTIFS($AB$3:$AB$201,$M135)&gt;0,
     COUNTIFS($AC$3:$AC$201,$M135)&gt;0,
     COUNTIFS($AD$3:$AD$201,$M135)&gt;0,
     COUNTIFS($AE$3:$AE$201,$M135)&gt;0,
     COUNTIFS($AF$3:$AF$201,$M135)&gt;0,
     COUNTIFS($AG$3:$AG$201,$M135)&gt;0,
     COUNTIFS($AH$3:$AH$201,$M135)&gt;0,
     COUNTIFS($AI$3:$AI$201,$M135)&gt;0,
     COUNTIFS($AJ$3:$AJ$201,$M135)&gt;0,
     COUNTIFS($AK$3:$AK$201,$M135)&gt;0,
     COUNTIFS($AL$3:$AL$201,$M135)&gt;0,
     COUNTIFS($AM$3:$AM$201,$M135)&gt;0,
     COUNTIFS($AN$3:$AN$201,$M135)&gt;0,
     COUNTIFS($AO$3:$AO$201,$M135)&gt;0,
     COUNTIFS($AP$3:$AP$201,$M135)&gt;0,
     COUNTIFS($AQ$3:$AQ$201,$M135)&gt;0,
     COUNTIFS($AR$3:$AR$201,$M135)&gt;0,
     COUNTIFS($AS$3:$AS$201,$M135)&gt;0,
     COUNTIFS($AT$3:$AT$201,$M135)&gt;0,
     COUNTIFS($AU$3:$AU$201,$M135)&gt;0,
     COUNTIFS($AV$3:$AV$201,$M135)&gt;0,
     COUNTIFS($AW$3:$AW$201,$M135)&gt;0
   )),
  ),
  2
 ),
"")</f>
        <v/>
      </c>
      <c r="Q135" s="3" t="str" cm="1">
        <f t="array" aca="1" ref="Q135" ca="1">IFERROR(
 INDEX(
  _xlfn._xlws.FILTER($T$2:$AW$2,
   TRANSPOSE(
    CHOOSE({1;2;3;4;5;6;7;8;9;10;11;12;13;14;15;16;17;18;19;20;21;22;23;24;25;26;27;28;29;30},
     COUNTIFS($T$3:$T$201,$M135)&gt;0,
     COUNTIFS($U$3:$U$201,$M135)&gt;0,
     COUNTIFS($V$3:$V$201,$M135)&gt;0,
     COUNTIFS($W$3:$W$201,$M135)&gt;0,
     COUNTIFS($X$3:$X$201,$M135)&gt;0,
     COUNTIFS($Y$3:$Y$201,$M135)&gt;0,
     COUNTIFS($Z$3:$Z$201,$M135)&gt;0,
     COUNTIFS($AA$3:$AA$201,$M135)&gt;0,
     COUNTIFS($AB$3:$AB$201,$M135)&gt;0,
     COUNTIFS($AC$3:$AC$201,$M135)&gt;0,
     COUNTIFS($AD$3:$AD$201,$M135)&gt;0,
     COUNTIFS($AE$3:$AE$201,$M135)&gt;0,
     COUNTIFS($AF$3:$AF$201,$M135)&gt;0,
     COUNTIFS($AG$3:$AG$201,$M135)&gt;0,
     COUNTIFS($AH$3:$AH$201,$M135)&gt;0,
     COUNTIFS($AI$3:$AI$201,$M135)&gt;0,
     COUNTIFS($AJ$3:$AJ$201,$M135)&gt;0,
     COUNTIFS($AK$3:$AK$201,$M135)&gt;0,
     COUNTIFS($AL$3:$AL$201,$M135)&gt;0,
     COUNTIFS($AM$3:$AM$201,$M135)&gt;0,
     COUNTIFS($AN$3:$AN$201,$M135)&gt;0,
     COUNTIFS($AO$3:$AO$201,$M135)&gt;0,
     COUNTIFS($AP$3:$AP$201,$M135)&gt;0,
     COUNTIFS($AQ$3:$AQ$201,$M135)&gt;0,
     COUNTIFS($AR$3:$AR$201,$M135)&gt;0,
     COUNTIFS($AS$3:$AS$201,$M135)&gt;0,
     COUNTIFS($AT$3:$AT$201,$M135)&gt;0,
     COUNTIFS($AU$3:$AU$201,$M135)&gt;0,
     COUNTIFS($AV$3:$AV$201,$M135)&gt;0,
     COUNTIFS($AW$3:$AW$201,$M135)&gt;0
   )),
  ),
  3
 ),
"")</f>
        <v/>
      </c>
      <c r="R135" s="3" t="str" cm="1">
        <f t="array" aca="1" ref="R135" ca="1">IFERROR(
 INDEX(
  _xlfn._xlws.FILTER($T$2:$AW$2,
   TRANSPOSE(
    CHOOSE({1;2;3;4;5;6;7;8;9;10;11;12;13;14;15;16;17;18;19;20;21;22;23;24;25;26;27;28;29;30},
     COUNTIFS($T$3:$T$201,$M135)&gt;0,
     COUNTIFS($U$3:$U$201,$M135)&gt;0,
     COUNTIFS($V$3:$V$201,$M135)&gt;0,
     COUNTIFS($W$3:$W$201,$M135)&gt;0,
     COUNTIFS($X$3:$X$201,$M135)&gt;0,
     COUNTIFS($Y$3:$Y$201,$M135)&gt;0,
     COUNTIFS($Z$3:$Z$201,$M135)&gt;0,
     COUNTIFS($AA$3:$AA$201,$M135)&gt;0,
     COUNTIFS($AB$3:$AB$201,$M135)&gt;0,
     COUNTIFS($AC$3:$AC$201,$M135)&gt;0,
     COUNTIFS($AD$3:$AD$201,$M135)&gt;0,
     COUNTIFS($AE$3:$AE$201,$M135)&gt;0,
     COUNTIFS($AF$3:$AF$201,$M135)&gt;0,
     COUNTIFS($AG$3:$AG$201,$M135)&gt;0,
     COUNTIFS($AH$3:$AH$201,$M135)&gt;0,
     COUNTIFS($AI$3:$AI$201,$M135)&gt;0,
     COUNTIFS($AJ$3:$AJ$201,$M135)&gt;0,
     COUNTIFS($AK$3:$AK$201,$M135)&gt;0,
     COUNTIFS($AL$3:$AL$201,$M135)&gt;0,
     COUNTIFS($AM$3:$AM$201,$M135)&gt;0,
     COUNTIFS($AN$3:$AN$201,$M135)&gt;0,
     COUNTIFS($AO$3:$AO$201,$M135)&gt;0,
     COUNTIFS($AP$3:$AP$201,$M135)&gt;0,
     COUNTIFS($AQ$3:$AQ$201,$M135)&gt;0,
     COUNTIFS($AR$3:$AR$201,$M135)&gt;0,
     COUNTIFS($AS$3:$AS$201,$M135)&gt;0,
     COUNTIFS($AT$3:$AT$201,$M135)&gt;0,
     COUNTIFS($AU$3:$AU$201,$M135)&gt;0,
     COUNTIFS($AV$3:$AV$201,$M135)&gt;0,
     COUNTIFS($AW$3:$AW$201,$M135)&gt;0
   )),
  ),
  4
 ),
"")</f>
        <v/>
      </c>
      <c r="CA135" t="str">
        <f ca="1"/>
        <v>Tuskguard Captain</v>
      </c>
      <c r="CF135" t="str">
        <f ca="1"/>
        <v>Ponte Levadiça Esmagadora</v>
      </c>
      <c r="CI135" t="str">
        <f ca="1"/>
        <v>Lanterna Fantasma</v>
      </c>
    </row>
    <row r="136" spans="1:87" x14ac:dyDescent="0.25">
      <c r="A136" t="str">
        <f ca="1"/>
        <v>Jenova, Ancient Calamity</v>
      </c>
      <c r="B136" s="3" t="str" cm="1">
        <f t="array" aca="1" ref="B136" ca="1">_xlfn.ANCHORARRAY(RESUMO!C135)</f>
        <v>Kresh</v>
      </c>
      <c r="C136" s="3" t="str">
        <f t="shared" ca="1" si="8"/>
        <v/>
      </c>
      <c r="E136" t="str">
        <f ca="1"/>
        <v>Leviatã da Tormenta Marinha</v>
      </c>
      <c r="F136" s="3">
        <f t="shared" ca="1" si="9"/>
        <v>1</v>
      </c>
      <c r="G136" s="3" t="str">
        <f t="shared" ca="1" si="10"/>
        <v>JhoiraB</v>
      </c>
      <c r="M136" t="str">
        <f ca="1"/>
        <v>Leviatã da Tormenta Marinha</v>
      </c>
      <c r="N136" s="3">
        <f t="shared" ca="1" si="11"/>
        <v>1</v>
      </c>
      <c r="O136" s="3" t="str">
        <f ca="1">IFERROR(
 INDEX($T$2:$AW$2,
  MATCH(TRUE,
   CHOOSE({1;2;3;4;5;6;7;8;9;10;11;12;13;14;15;16;17;18;19;20;21;22;23;24;25;26;27;28;29;30;31;32},
    COUNTIFS($T$3:$T$201,$M136)&gt;0,
    COUNTIFS($U$3:$U$201,$M136)&gt;0,
    COUNTIFS($V$3:$V$201,$M136)&gt;0,
    COUNTIFS($W$3:$W$201,$M136)&gt;0,
    COUNTIFS($X$3:$X$201,$M136)&gt;0,
    COUNTIFS($Y$3:$Y$201,$M136)&gt;0,
    COUNTIFS($Z$3:$Z$201,$M136)&gt;0,
    COUNTIFS($AA$3:$AA$201,$M136)&gt;0,
    COUNTIFS($AB$3:$AB$201,$M136)&gt;0,
    COUNTIFS($AC$3:$AC$201,$M136)&gt;0,
    COUNTIFS($AD$3:$AD$201,$M136)&gt;0,
    COUNTIFS($AE$3:$AE$201,$M136)&gt;0,
    COUNTIFS($AF$3:$AF$201,$M136)&gt;0,
    COUNTIFS($AG$3:$AG$201,$M136)&gt;0,
    COUNTIFS($AH$3:$AH$201,$M136)&gt;0,
    COUNTIFS($AI$3:$AI$201,$M136)&gt;0,
    COUNTIFS($AJ$3:$AJ$201,$M136)&gt;0,
    COUNTIFS($AK$3:$AK$201,$M136)&gt;0,
    COUNTIFS($AL$3:$AL$201,$M136)&gt;0,
    COUNTIFS($AM$3:$AM$201,$M136)&gt;0,
    COUNTIFS($AN$3:$AN$201,$M136)&gt;0,
    COUNTIFS($AO$3:$AO$201,$M136)&gt;0,
    COUNTIFS($AP$3:$AP$201,$M136)&gt;0,
    COUNTIFS($AQ$3:$AQ$201,$M136)&gt;0,
    COUNTIFS($AR$3:$AR$201,$M136)&gt;0,
    COUNTIFS($AS$3:$AS$201,$M136)&gt;0,
    COUNTIFS($AT$3:$AT$201,$M136)&gt;0,
    COUNTIFS($AU$3:$AU$201,$M136)&gt;0,
    COUNTIFS($AV$3:$AV$201,$M136)&gt;0,
    COUNTIFS($AW$3:$AW$201,$M136)&gt;0
   ),
  0)
 ),
"")</f>
        <v>JhoiraB</v>
      </c>
      <c r="P136" s="3" t="str" cm="1">
        <f t="array" aca="1" ref="P136" ca="1">IFERROR(
 INDEX(
  _xlfn._xlws.FILTER($T$2:$AW$2,
   TRANSPOSE(
    CHOOSE({1;2;3;4;5;6;7;8;9;10;11;12;13;14;15;16;17;18;19;20;21;22;23;24;25;26;27;28;29;30},
     COUNTIFS($T$3:$T$201,$M136)&gt;0,
     COUNTIFS($U$3:$U$201,$M136)&gt;0,
     COUNTIFS($V$3:$V$201,$M136)&gt;0,
     COUNTIFS($W$3:$W$201,$M136)&gt;0,
     COUNTIFS($X$3:$X$201,$M136)&gt;0,
     COUNTIFS($Y$3:$Y$201,$M136)&gt;0,
     COUNTIFS($Z$3:$Z$201,$M136)&gt;0,
     COUNTIFS($AA$3:$AA$201,$M136)&gt;0,
     COUNTIFS($AB$3:$AB$201,$M136)&gt;0,
     COUNTIFS($AC$3:$AC$201,$M136)&gt;0,
     COUNTIFS($AD$3:$AD$201,$M136)&gt;0,
     COUNTIFS($AE$3:$AE$201,$M136)&gt;0,
     COUNTIFS($AF$3:$AF$201,$M136)&gt;0,
     COUNTIFS($AG$3:$AG$201,$M136)&gt;0,
     COUNTIFS($AH$3:$AH$201,$M136)&gt;0,
     COUNTIFS($AI$3:$AI$201,$M136)&gt;0,
     COUNTIFS($AJ$3:$AJ$201,$M136)&gt;0,
     COUNTIFS($AK$3:$AK$201,$M136)&gt;0,
     COUNTIFS($AL$3:$AL$201,$M136)&gt;0,
     COUNTIFS($AM$3:$AM$201,$M136)&gt;0,
     COUNTIFS($AN$3:$AN$201,$M136)&gt;0,
     COUNTIFS($AO$3:$AO$201,$M136)&gt;0,
     COUNTIFS($AP$3:$AP$201,$M136)&gt;0,
     COUNTIFS($AQ$3:$AQ$201,$M136)&gt;0,
     COUNTIFS($AR$3:$AR$201,$M136)&gt;0,
     COUNTIFS($AS$3:$AS$201,$M136)&gt;0,
     COUNTIFS($AT$3:$AT$201,$M136)&gt;0,
     COUNTIFS($AU$3:$AU$201,$M136)&gt;0,
     COUNTIFS($AV$3:$AV$201,$M136)&gt;0,
     COUNTIFS($AW$3:$AW$201,$M136)&gt;0
   )),
  ),
  2
 ),
"")</f>
        <v/>
      </c>
      <c r="Q136" s="3" t="str" cm="1">
        <f t="array" aca="1" ref="Q136" ca="1">IFERROR(
 INDEX(
  _xlfn._xlws.FILTER($T$2:$AW$2,
   TRANSPOSE(
    CHOOSE({1;2;3;4;5;6;7;8;9;10;11;12;13;14;15;16;17;18;19;20;21;22;23;24;25;26;27;28;29;30},
     COUNTIFS($T$3:$T$201,$M136)&gt;0,
     COUNTIFS($U$3:$U$201,$M136)&gt;0,
     COUNTIFS($V$3:$V$201,$M136)&gt;0,
     COUNTIFS($W$3:$W$201,$M136)&gt;0,
     COUNTIFS($X$3:$X$201,$M136)&gt;0,
     COUNTIFS($Y$3:$Y$201,$M136)&gt;0,
     COUNTIFS($Z$3:$Z$201,$M136)&gt;0,
     COUNTIFS($AA$3:$AA$201,$M136)&gt;0,
     COUNTIFS($AB$3:$AB$201,$M136)&gt;0,
     COUNTIFS($AC$3:$AC$201,$M136)&gt;0,
     COUNTIFS($AD$3:$AD$201,$M136)&gt;0,
     COUNTIFS($AE$3:$AE$201,$M136)&gt;0,
     COUNTIFS($AF$3:$AF$201,$M136)&gt;0,
     COUNTIFS($AG$3:$AG$201,$M136)&gt;0,
     COUNTIFS($AH$3:$AH$201,$M136)&gt;0,
     COUNTIFS($AI$3:$AI$201,$M136)&gt;0,
     COUNTIFS($AJ$3:$AJ$201,$M136)&gt;0,
     COUNTIFS($AK$3:$AK$201,$M136)&gt;0,
     COUNTIFS($AL$3:$AL$201,$M136)&gt;0,
     COUNTIFS($AM$3:$AM$201,$M136)&gt;0,
     COUNTIFS($AN$3:$AN$201,$M136)&gt;0,
     COUNTIFS($AO$3:$AO$201,$M136)&gt;0,
     COUNTIFS($AP$3:$AP$201,$M136)&gt;0,
     COUNTIFS($AQ$3:$AQ$201,$M136)&gt;0,
     COUNTIFS($AR$3:$AR$201,$M136)&gt;0,
     COUNTIFS($AS$3:$AS$201,$M136)&gt;0,
     COUNTIFS($AT$3:$AT$201,$M136)&gt;0,
     COUNTIFS($AU$3:$AU$201,$M136)&gt;0,
     COUNTIFS($AV$3:$AV$201,$M136)&gt;0,
     COUNTIFS($AW$3:$AW$201,$M136)&gt;0
   )),
  ),
  3
 ),
"")</f>
        <v/>
      </c>
      <c r="R136" s="3" t="str" cm="1">
        <f t="array" aca="1" ref="R136" ca="1">IFERROR(
 INDEX(
  _xlfn._xlws.FILTER($T$2:$AW$2,
   TRANSPOSE(
    CHOOSE({1;2;3;4;5;6;7;8;9;10;11;12;13;14;15;16;17;18;19;20;21;22;23;24;25;26;27;28;29;30},
     COUNTIFS($T$3:$T$201,$M136)&gt;0,
     COUNTIFS($U$3:$U$201,$M136)&gt;0,
     COUNTIFS($V$3:$V$201,$M136)&gt;0,
     COUNTIFS($W$3:$W$201,$M136)&gt;0,
     COUNTIFS($X$3:$X$201,$M136)&gt;0,
     COUNTIFS($Y$3:$Y$201,$M136)&gt;0,
     COUNTIFS($Z$3:$Z$201,$M136)&gt;0,
     COUNTIFS($AA$3:$AA$201,$M136)&gt;0,
     COUNTIFS($AB$3:$AB$201,$M136)&gt;0,
     COUNTIFS($AC$3:$AC$201,$M136)&gt;0,
     COUNTIFS($AD$3:$AD$201,$M136)&gt;0,
     COUNTIFS($AE$3:$AE$201,$M136)&gt;0,
     COUNTIFS($AF$3:$AF$201,$M136)&gt;0,
     COUNTIFS($AG$3:$AG$201,$M136)&gt;0,
     COUNTIFS($AH$3:$AH$201,$M136)&gt;0,
     COUNTIFS($AI$3:$AI$201,$M136)&gt;0,
     COUNTIFS($AJ$3:$AJ$201,$M136)&gt;0,
     COUNTIFS($AK$3:$AK$201,$M136)&gt;0,
     COUNTIFS($AL$3:$AL$201,$M136)&gt;0,
     COUNTIFS($AM$3:$AM$201,$M136)&gt;0,
     COUNTIFS($AN$3:$AN$201,$M136)&gt;0,
     COUNTIFS($AO$3:$AO$201,$M136)&gt;0,
     COUNTIFS($AP$3:$AP$201,$M136)&gt;0,
     COUNTIFS($AQ$3:$AQ$201,$M136)&gt;0,
     COUNTIFS($AR$3:$AR$201,$M136)&gt;0,
     COUNTIFS($AS$3:$AS$201,$M136)&gt;0,
     COUNTIFS($AT$3:$AT$201,$M136)&gt;0,
     COUNTIFS($AU$3:$AU$201,$M136)&gt;0,
     COUNTIFS($AV$3:$AV$201,$M136)&gt;0,
     COUNTIFS($AW$3:$AW$201,$M136)&gt;0
   )),
  ),
  4
 ),
"")</f>
        <v/>
      </c>
      <c r="CA136" t="str">
        <f ca="1"/>
        <v>Vale Afundado</v>
      </c>
      <c r="CF136" t="str">
        <f ca="1"/>
        <v>Ponte Musgomosto</v>
      </c>
      <c r="CI136" t="str">
        <f ca="1"/>
        <v>Leviatã da Tormenta Marinha</v>
      </c>
    </row>
    <row r="137" spans="1:87" x14ac:dyDescent="0.25">
      <c r="A137" t="str">
        <f ca="1"/>
        <v>Jetmir, Nexus of Revels</v>
      </c>
      <c r="B137" s="3" t="str" cm="1">
        <f t="array" aca="1" ref="B137" ca="1">_xlfn.ANCHORARRAY(RESUMO!C136)</f>
        <v>Baylen</v>
      </c>
      <c r="C137" s="3" t="str">
        <f t="shared" ca="1" si="8"/>
        <v/>
      </c>
      <c r="E137" t="str">
        <f ca="1"/>
        <v>Leviatã de Kederekt</v>
      </c>
      <c r="F137" s="3">
        <f t="shared" ca="1" si="9"/>
        <v>1</v>
      </c>
      <c r="G137" s="3" t="str">
        <f t="shared" ca="1" si="10"/>
        <v>JhoiraB</v>
      </c>
      <c r="M137" t="str">
        <f ca="1"/>
        <v>Leviatã de Kederekt</v>
      </c>
      <c r="N137" s="3">
        <f t="shared" ca="1" si="11"/>
        <v>1</v>
      </c>
      <c r="O137" s="3" t="str">
        <f ca="1">IFERROR(
 INDEX($T$2:$AW$2,
  MATCH(TRUE,
   CHOOSE({1;2;3;4;5;6;7;8;9;10;11;12;13;14;15;16;17;18;19;20;21;22;23;24;25;26;27;28;29;30;31;32},
    COUNTIFS($T$3:$T$201,$M137)&gt;0,
    COUNTIFS($U$3:$U$201,$M137)&gt;0,
    COUNTIFS($V$3:$V$201,$M137)&gt;0,
    COUNTIFS($W$3:$W$201,$M137)&gt;0,
    COUNTIFS($X$3:$X$201,$M137)&gt;0,
    COUNTIFS($Y$3:$Y$201,$M137)&gt;0,
    COUNTIFS($Z$3:$Z$201,$M137)&gt;0,
    COUNTIFS($AA$3:$AA$201,$M137)&gt;0,
    COUNTIFS($AB$3:$AB$201,$M137)&gt;0,
    COUNTIFS($AC$3:$AC$201,$M137)&gt;0,
    COUNTIFS($AD$3:$AD$201,$M137)&gt;0,
    COUNTIFS($AE$3:$AE$201,$M137)&gt;0,
    COUNTIFS($AF$3:$AF$201,$M137)&gt;0,
    COUNTIFS($AG$3:$AG$201,$M137)&gt;0,
    COUNTIFS($AH$3:$AH$201,$M137)&gt;0,
    COUNTIFS($AI$3:$AI$201,$M137)&gt;0,
    COUNTIFS($AJ$3:$AJ$201,$M137)&gt;0,
    COUNTIFS($AK$3:$AK$201,$M137)&gt;0,
    COUNTIFS($AL$3:$AL$201,$M137)&gt;0,
    COUNTIFS($AM$3:$AM$201,$M137)&gt;0,
    COUNTIFS($AN$3:$AN$201,$M137)&gt;0,
    COUNTIFS($AO$3:$AO$201,$M137)&gt;0,
    COUNTIFS($AP$3:$AP$201,$M137)&gt;0,
    COUNTIFS($AQ$3:$AQ$201,$M137)&gt;0,
    COUNTIFS($AR$3:$AR$201,$M137)&gt;0,
    COUNTIFS($AS$3:$AS$201,$M137)&gt;0,
    COUNTIFS($AT$3:$AT$201,$M137)&gt;0,
    COUNTIFS($AU$3:$AU$201,$M137)&gt;0,
    COUNTIFS($AV$3:$AV$201,$M137)&gt;0,
    COUNTIFS($AW$3:$AW$201,$M137)&gt;0
   ),
  0)
 ),
"")</f>
        <v>JhoiraB</v>
      </c>
      <c r="P137" s="3" t="str" cm="1">
        <f t="array" aca="1" ref="P137" ca="1">IFERROR(
 INDEX(
  _xlfn._xlws.FILTER($T$2:$AW$2,
   TRANSPOSE(
    CHOOSE({1;2;3;4;5;6;7;8;9;10;11;12;13;14;15;16;17;18;19;20;21;22;23;24;25;26;27;28;29;30},
     COUNTIFS($T$3:$T$201,$M137)&gt;0,
     COUNTIFS($U$3:$U$201,$M137)&gt;0,
     COUNTIFS($V$3:$V$201,$M137)&gt;0,
     COUNTIFS($W$3:$W$201,$M137)&gt;0,
     COUNTIFS($X$3:$X$201,$M137)&gt;0,
     COUNTIFS($Y$3:$Y$201,$M137)&gt;0,
     COUNTIFS($Z$3:$Z$201,$M137)&gt;0,
     COUNTIFS($AA$3:$AA$201,$M137)&gt;0,
     COUNTIFS($AB$3:$AB$201,$M137)&gt;0,
     COUNTIFS($AC$3:$AC$201,$M137)&gt;0,
     COUNTIFS($AD$3:$AD$201,$M137)&gt;0,
     COUNTIFS($AE$3:$AE$201,$M137)&gt;0,
     COUNTIFS($AF$3:$AF$201,$M137)&gt;0,
     COUNTIFS($AG$3:$AG$201,$M137)&gt;0,
     COUNTIFS($AH$3:$AH$201,$M137)&gt;0,
     COUNTIFS($AI$3:$AI$201,$M137)&gt;0,
     COUNTIFS($AJ$3:$AJ$201,$M137)&gt;0,
     COUNTIFS($AK$3:$AK$201,$M137)&gt;0,
     COUNTIFS($AL$3:$AL$201,$M137)&gt;0,
     COUNTIFS($AM$3:$AM$201,$M137)&gt;0,
     COUNTIFS($AN$3:$AN$201,$M137)&gt;0,
     COUNTIFS($AO$3:$AO$201,$M137)&gt;0,
     COUNTIFS($AP$3:$AP$201,$M137)&gt;0,
     COUNTIFS($AQ$3:$AQ$201,$M137)&gt;0,
     COUNTIFS($AR$3:$AR$201,$M137)&gt;0,
     COUNTIFS($AS$3:$AS$201,$M137)&gt;0,
     COUNTIFS($AT$3:$AT$201,$M137)&gt;0,
     COUNTIFS($AU$3:$AU$201,$M137)&gt;0,
     COUNTIFS($AV$3:$AV$201,$M137)&gt;0,
     COUNTIFS($AW$3:$AW$201,$M137)&gt;0
   )),
  ),
  2
 ),
"")</f>
        <v/>
      </c>
      <c r="Q137" s="3" t="str" cm="1">
        <f t="array" aca="1" ref="Q137" ca="1">IFERROR(
 INDEX(
  _xlfn._xlws.FILTER($T$2:$AW$2,
   TRANSPOSE(
    CHOOSE({1;2;3;4;5;6;7;8;9;10;11;12;13;14;15;16;17;18;19;20;21;22;23;24;25;26;27;28;29;30},
     COUNTIFS($T$3:$T$201,$M137)&gt;0,
     COUNTIFS($U$3:$U$201,$M137)&gt;0,
     COUNTIFS($V$3:$V$201,$M137)&gt;0,
     COUNTIFS($W$3:$W$201,$M137)&gt;0,
     COUNTIFS($X$3:$X$201,$M137)&gt;0,
     COUNTIFS($Y$3:$Y$201,$M137)&gt;0,
     COUNTIFS($Z$3:$Z$201,$M137)&gt;0,
     COUNTIFS($AA$3:$AA$201,$M137)&gt;0,
     COUNTIFS($AB$3:$AB$201,$M137)&gt;0,
     COUNTIFS($AC$3:$AC$201,$M137)&gt;0,
     COUNTIFS($AD$3:$AD$201,$M137)&gt;0,
     COUNTIFS($AE$3:$AE$201,$M137)&gt;0,
     COUNTIFS($AF$3:$AF$201,$M137)&gt;0,
     COUNTIFS($AG$3:$AG$201,$M137)&gt;0,
     COUNTIFS($AH$3:$AH$201,$M137)&gt;0,
     COUNTIFS($AI$3:$AI$201,$M137)&gt;0,
     COUNTIFS($AJ$3:$AJ$201,$M137)&gt;0,
     COUNTIFS($AK$3:$AK$201,$M137)&gt;0,
     COUNTIFS($AL$3:$AL$201,$M137)&gt;0,
     COUNTIFS($AM$3:$AM$201,$M137)&gt;0,
     COUNTIFS($AN$3:$AN$201,$M137)&gt;0,
     COUNTIFS($AO$3:$AO$201,$M137)&gt;0,
     COUNTIFS($AP$3:$AP$201,$M137)&gt;0,
     COUNTIFS($AQ$3:$AQ$201,$M137)&gt;0,
     COUNTIFS($AR$3:$AR$201,$M137)&gt;0,
     COUNTIFS($AS$3:$AS$201,$M137)&gt;0,
     COUNTIFS($AT$3:$AT$201,$M137)&gt;0,
     COUNTIFS($AU$3:$AU$201,$M137)&gt;0,
     COUNTIFS($AV$3:$AV$201,$M137)&gt;0,
     COUNTIFS($AW$3:$AW$201,$M137)&gt;0
   )),
  ),
  3
 ),
"")</f>
        <v/>
      </c>
      <c r="R137" s="3" t="str" cm="1">
        <f t="array" aca="1" ref="R137" ca="1">IFERROR(
 INDEX(
  _xlfn._xlws.FILTER($T$2:$AW$2,
   TRANSPOSE(
    CHOOSE({1;2;3;4;5;6;7;8;9;10;11;12;13;14;15;16;17;18;19;20;21;22;23;24;25;26;27;28;29;30},
     COUNTIFS($T$3:$T$201,$M137)&gt;0,
     COUNTIFS($U$3:$U$201,$M137)&gt;0,
     COUNTIFS($V$3:$V$201,$M137)&gt;0,
     COUNTIFS($W$3:$W$201,$M137)&gt;0,
     COUNTIFS($X$3:$X$201,$M137)&gt;0,
     COUNTIFS($Y$3:$Y$201,$M137)&gt;0,
     COUNTIFS($Z$3:$Z$201,$M137)&gt;0,
     COUNTIFS($AA$3:$AA$201,$M137)&gt;0,
     COUNTIFS($AB$3:$AB$201,$M137)&gt;0,
     COUNTIFS($AC$3:$AC$201,$M137)&gt;0,
     COUNTIFS($AD$3:$AD$201,$M137)&gt;0,
     COUNTIFS($AE$3:$AE$201,$M137)&gt;0,
     COUNTIFS($AF$3:$AF$201,$M137)&gt;0,
     COUNTIFS($AG$3:$AG$201,$M137)&gt;0,
     COUNTIFS($AH$3:$AH$201,$M137)&gt;0,
     COUNTIFS($AI$3:$AI$201,$M137)&gt;0,
     COUNTIFS($AJ$3:$AJ$201,$M137)&gt;0,
     COUNTIFS($AK$3:$AK$201,$M137)&gt;0,
     COUNTIFS($AL$3:$AL$201,$M137)&gt;0,
     COUNTIFS($AM$3:$AM$201,$M137)&gt;0,
     COUNTIFS($AN$3:$AN$201,$M137)&gt;0,
     COUNTIFS($AO$3:$AO$201,$M137)&gt;0,
     COUNTIFS($AP$3:$AP$201,$M137)&gt;0,
     COUNTIFS($AQ$3:$AQ$201,$M137)&gt;0,
     COUNTIFS($AR$3:$AR$201,$M137)&gt;0,
     COUNTIFS($AS$3:$AS$201,$M137)&gt;0,
     COUNTIFS($AT$3:$AT$201,$M137)&gt;0,
     COUNTIFS($AU$3:$AU$201,$M137)&gt;0,
     COUNTIFS($AV$3:$AV$201,$M137)&gt;0,
     COUNTIFS($AW$3:$AW$201,$M137)&gt;0
   )),
  ),
  4
 ),
"")</f>
        <v/>
      </c>
      <c r="CA137" t="str">
        <f ca="1"/>
        <v>Watertrap Wizard</v>
      </c>
      <c r="CF137" t="str">
        <f ca="1"/>
        <v>Powerbalance</v>
      </c>
      <c r="CI137" t="str">
        <f ca="1"/>
        <v>Leviatã de Kederekt</v>
      </c>
    </row>
    <row r="138" spans="1:87" x14ac:dyDescent="0.25">
      <c r="A138" t="str">
        <f ca="1"/>
        <v>Jetmir's Garden</v>
      </c>
      <c r="B138" s="3" t="str" cm="1">
        <f t="array" aca="1" ref="B138" ca="1">_xlfn.ANCHORARRAY(RESUMO!C137)</f>
        <v>Fractius</v>
      </c>
      <c r="C138" s="3" t="str">
        <f t="shared" ca="1" si="8"/>
        <v/>
      </c>
      <c r="E138" t="str">
        <f ca="1"/>
        <v>Lizard Blades</v>
      </c>
      <c r="F138" s="3">
        <f t="shared" ca="1" si="9"/>
        <v>1</v>
      </c>
      <c r="G138" s="3" t="str">
        <f t="shared" ca="1" si="10"/>
        <v>Akiri</v>
      </c>
      <c r="M138" t="str">
        <f ca="1"/>
        <v>Lizard Blades</v>
      </c>
      <c r="N138" s="3">
        <f t="shared" ca="1" si="11"/>
        <v>1</v>
      </c>
      <c r="O138" s="3" t="str">
        <f ca="1">IFERROR(
 INDEX($T$2:$AW$2,
  MATCH(TRUE,
   CHOOSE({1;2;3;4;5;6;7;8;9;10;11;12;13;14;15;16;17;18;19;20;21;22;23;24;25;26;27;28;29;30;31;32},
    COUNTIFS($T$3:$T$201,$M138)&gt;0,
    COUNTIFS($U$3:$U$201,$M138)&gt;0,
    COUNTIFS($V$3:$V$201,$M138)&gt;0,
    COUNTIFS($W$3:$W$201,$M138)&gt;0,
    COUNTIFS($X$3:$X$201,$M138)&gt;0,
    COUNTIFS($Y$3:$Y$201,$M138)&gt;0,
    COUNTIFS($Z$3:$Z$201,$M138)&gt;0,
    COUNTIFS($AA$3:$AA$201,$M138)&gt;0,
    COUNTIFS($AB$3:$AB$201,$M138)&gt;0,
    COUNTIFS($AC$3:$AC$201,$M138)&gt;0,
    COUNTIFS($AD$3:$AD$201,$M138)&gt;0,
    COUNTIFS($AE$3:$AE$201,$M138)&gt;0,
    COUNTIFS($AF$3:$AF$201,$M138)&gt;0,
    COUNTIFS($AG$3:$AG$201,$M138)&gt;0,
    COUNTIFS($AH$3:$AH$201,$M138)&gt;0,
    COUNTIFS($AI$3:$AI$201,$M138)&gt;0,
    COUNTIFS($AJ$3:$AJ$201,$M138)&gt;0,
    COUNTIFS($AK$3:$AK$201,$M138)&gt;0,
    COUNTIFS($AL$3:$AL$201,$M138)&gt;0,
    COUNTIFS($AM$3:$AM$201,$M138)&gt;0,
    COUNTIFS($AN$3:$AN$201,$M138)&gt;0,
    COUNTIFS($AO$3:$AO$201,$M138)&gt;0,
    COUNTIFS($AP$3:$AP$201,$M138)&gt;0,
    COUNTIFS($AQ$3:$AQ$201,$M138)&gt;0,
    COUNTIFS($AR$3:$AR$201,$M138)&gt;0,
    COUNTIFS($AS$3:$AS$201,$M138)&gt;0,
    COUNTIFS($AT$3:$AT$201,$M138)&gt;0,
    COUNTIFS($AU$3:$AU$201,$M138)&gt;0,
    COUNTIFS($AV$3:$AV$201,$M138)&gt;0,
    COUNTIFS($AW$3:$AW$201,$M138)&gt;0
   ),
  0)
 ),
"")</f>
        <v>Akiri</v>
      </c>
      <c r="P138" s="3" t="str" cm="1">
        <f t="array" aca="1" ref="P138" ca="1">IFERROR(
 INDEX(
  _xlfn._xlws.FILTER($T$2:$AW$2,
   TRANSPOSE(
    CHOOSE({1;2;3;4;5;6;7;8;9;10;11;12;13;14;15;16;17;18;19;20;21;22;23;24;25;26;27;28;29;30},
     COUNTIFS($T$3:$T$201,$M138)&gt;0,
     COUNTIFS($U$3:$U$201,$M138)&gt;0,
     COUNTIFS($V$3:$V$201,$M138)&gt;0,
     COUNTIFS($W$3:$W$201,$M138)&gt;0,
     COUNTIFS($X$3:$X$201,$M138)&gt;0,
     COUNTIFS($Y$3:$Y$201,$M138)&gt;0,
     COUNTIFS($Z$3:$Z$201,$M138)&gt;0,
     COUNTIFS($AA$3:$AA$201,$M138)&gt;0,
     COUNTIFS($AB$3:$AB$201,$M138)&gt;0,
     COUNTIFS($AC$3:$AC$201,$M138)&gt;0,
     COUNTIFS($AD$3:$AD$201,$M138)&gt;0,
     COUNTIFS($AE$3:$AE$201,$M138)&gt;0,
     COUNTIFS($AF$3:$AF$201,$M138)&gt;0,
     COUNTIFS($AG$3:$AG$201,$M138)&gt;0,
     COUNTIFS($AH$3:$AH$201,$M138)&gt;0,
     COUNTIFS($AI$3:$AI$201,$M138)&gt;0,
     COUNTIFS($AJ$3:$AJ$201,$M138)&gt;0,
     COUNTIFS($AK$3:$AK$201,$M138)&gt;0,
     COUNTIFS($AL$3:$AL$201,$M138)&gt;0,
     COUNTIFS($AM$3:$AM$201,$M138)&gt;0,
     COUNTIFS($AN$3:$AN$201,$M138)&gt;0,
     COUNTIFS($AO$3:$AO$201,$M138)&gt;0,
     COUNTIFS($AP$3:$AP$201,$M138)&gt;0,
     COUNTIFS($AQ$3:$AQ$201,$M138)&gt;0,
     COUNTIFS($AR$3:$AR$201,$M138)&gt;0,
     COUNTIFS($AS$3:$AS$201,$M138)&gt;0,
     COUNTIFS($AT$3:$AT$201,$M138)&gt;0,
     COUNTIFS($AU$3:$AU$201,$M138)&gt;0,
     COUNTIFS($AV$3:$AV$201,$M138)&gt;0,
     COUNTIFS($AW$3:$AW$201,$M138)&gt;0
   )),
  ),
  2
 ),
"")</f>
        <v/>
      </c>
      <c r="Q138" s="3" t="str" cm="1">
        <f t="array" aca="1" ref="Q138" ca="1">IFERROR(
 INDEX(
  _xlfn._xlws.FILTER($T$2:$AW$2,
   TRANSPOSE(
    CHOOSE({1;2;3;4;5;6;7;8;9;10;11;12;13;14;15;16;17;18;19;20;21;22;23;24;25;26;27;28;29;30},
     COUNTIFS($T$3:$T$201,$M138)&gt;0,
     COUNTIFS($U$3:$U$201,$M138)&gt;0,
     COUNTIFS($V$3:$V$201,$M138)&gt;0,
     COUNTIFS($W$3:$W$201,$M138)&gt;0,
     COUNTIFS($X$3:$X$201,$M138)&gt;0,
     COUNTIFS($Y$3:$Y$201,$M138)&gt;0,
     COUNTIFS($Z$3:$Z$201,$M138)&gt;0,
     COUNTIFS($AA$3:$AA$201,$M138)&gt;0,
     COUNTIFS($AB$3:$AB$201,$M138)&gt;0,
     COUNTIFS($AC$3:$AC$201,$M138)&gt;0,
     COUNTIFS($AD$3:$AD$201,$M138)&gt;0,
     COUNTIFS($AE$3:$AE$201,$M138)&gt;0,
     COUNTIFS($AF$3:$AF$201,$M138)&gt;0,
     COUNTIFS($AG$3:$AG$201,$M138)&gt;0,
     COUNTIFS($AH$3:$AH$201,$M138)&gt;0,
     COUNTIFS($AI$3:$AI$201,$M138)&gt;0,
     COUNTIFS($AJ$3:$AJ$201,$M138)&gt;0,
     COUNTIFS($AK$3:$AK$201,$M138)&gt;0,
     COUNTIFS($AL$3:$AL$201,$M138)&gt;0,
     COUNTIFS($AM$3:$AM$201,$M138)&gt;0,
     COUNTIFS($AN$3:$AN$201,$M138)&gt;0,
     COUNTIFS($AO$3:$AO$201,$M138)&gt;0,
     COUNTIFS($AP$3:$AP$201,$M138)&gt;0,
     COUNTIFS($AQ$3:$AQ$201,$M138)&gt;0,
     COUNTIFS($AR$3:$AR$201,$M138)&gt;0,
     COUNTIFS($AS$3:$AS$201,$M138)&gt;0,
     COUNTIFS($AT$3:$AT$201,$M138)&gt;0,
     COUNTIFS($AU$3:$AU$201,$M138)&gt;0,
     COUNTIFS($AV$3:$AV$201,$M138)&gt;0,
     COUNTIFS($AW$3:$AW$201,$M138)&gt;0
   )),
  ),
  3
 ),
"")</f>
        <v/>
      </c>
      <c r="R138" s="3" t="str" cm="1">
        <f t="array" aca="1" ref="R138" ca="1">IFERROR(
 INDEX(
  _xlfn._xlws.FILTER($T$2:$AW$2,
   TRANSPOSE(
    CHOOSE({1;2;3;4;5;6;7;8;9;10;11;12;13;14;15;16;17;18;19;20;21;22;23;24;25;26;27;28;29;30},
     COUNTIFS($T$3:$T$201,$M138)&gt;0,
     COUNTIFS($U$3:$U$201,$M138)&gt;0,
     COUNTIFS($V$3:$V$201,$M138)&gt;0,
     COUNTIFS($W$3:$W$201,$M138)&gt;0,
     COUNTIFS($X$3:$X$201,$M138)&gt;0,
     COUNTIFS($Y$3:$Y$201,$M138)&gt;0,
     COUNTIFS($Z$3:$Z$201,$M138)&gt;0,
     COUNTIFS($AA$3:$AA$201,$M138)&gt;0,
     COUNTIFS($AB$3:$AB$201,$M138)&gt;0,
     COUNTIFS($AC$3:$AC$201,$M138)&gt;0,
     COUNTIFS($AD$3:$AD$201,$M138)&gt;0,
     COUNTIFS($AE$3:$AE$201,$M138)&gt;0,
     COUNTIFS($AF$3:$AF$201,$M138)&gt;0,
     COUNTIFS($AG$3:$AG$201,$M138)&gt;0,
     COUNTIFS($AH$3:$AH$201,$M138)&gt;0,
     COUNTIFS($AI$3:$AI$201,$M138)&gt;0,
     COUNTIFS($AJ$3:$AJ$201,$M138)&gt;0,
     COUNTIFS($AK$3:$AK$201,$M138)&gt;0,
     COUNTIFS($AL$3:$AL$201,$M138)&gt;0,
     COUNTIFS($AM$3:$AM$201,$M138)&gt;0,
     COUNTIFS($AN$3:$AN$201,$M138)&gt;0,
     COUNTIFS($AO$3:$AO$201,$M138)&gt;0,
     COUNTIFS($AP$3:$AP$201,$M138)&gt;0,
     COUNTIFS($AQ$3:$AQ$201,$M138)&gt;0,
     COUNTIFS($AR$3:$AR$201,$M138)&gt;0,
     COUNTIFS($AS$3:$AS$201,$M138)&gt;0,
     COUNTIFS($AT$3:$AT$201,$M138)&gt;0,
     COUNTIFS($AU$3:$AU$201,$M138)&gt;0,
     COUNTIFS($AV$3:$AV$201,$M138)&gt;0,
     COUNTIFS($AW$3:$AW$201,$M138)&gt;0
   )),
  ),
  4
 ),
"")</f>
        <v/>
      </c>
      <c r="CA138" t="str">
        <f ca="1"/>
        <v>Young Pyromancer</v>
      </c>
      <c r="CF138" t="str">
        <f ca="1"/>
        <v>Presença de Gond</v>
      </c>
      <c r="CI138" t="str">
        <f ca="1"/>
        <v>Lizard Blades</v>
      </c>
    </row>
    <row r="139" spans="1:87" x14ac:dyDescent="0.25">
      <c r="A139" t="str">
        <f ca="1"/>
        <v>Jidoor, Aristocratic Capital // Overture</v>
      </c>
      <c r="B139" s="3" t="str" cm="1">
        <f t="array" aca="1" ref="B139" ca="1">_xlfn.ANCHORARRAY(RESUMO!C138)</f>
        <v>Narset</v>
      </c>
      <c r="C139" s="3" t="str">
        <f t="shared" ca="1" si="8"/>
        <v/>
      </c>
      <c r="E139" t="str">
        <f ca="1"/>
        <v>Lonis, Cryptozoologist</v>
      </c>
      <c r="F139" s="3">
        <f t="shared" ca="1" si="9"/>
        <v>1</v>
      </c>
      <c r="G139" s="3" t="str">
        <f t="shared" ca="1" si="10"/>
        <v>Kumena</v>
      </c>
      <c r="M139" t="str">
        <f ca="1"/>
        <v>Lonis, Cryptozoologist</v>
      </c>
      <c r="N139" s="3">
        <f t="shared" ca="1" si="11"/>
        <v>1</v>
      </c>
      <c r="O139" s="3" t="str">
        <f ca="1">IFERROR(
 INDEX($T$2:$AW$2,
  MATCH(TRUE,
   CHOOSE({1;2;3;4;5;6;7;8;9;10;11;12;13;14;15;16;17;18;19;20;21;22;23;24;25;26;27;28;29;30;31;32},
    COUNTIFS($T$3:$T$201,$M139)&gt;0,
    COUNTIFS($U$3:$U$201,$M139)&gt;0,
    COUNTIFS($V$3:$V$201,$M139)&gt;0,
    COUNTIFS($W$3:$W$201,$M139)&gt;0,
    COUNTIFS($X$3:$X$201,$M139)&gt;0,
    COUNTIFS($Y$3:$Y$201,$M139)&gt;0,
    COUNTIFS($Z$3:$Z$201,$M139)&gt;0,
    COUNTIFS($AA$3:$AA$201,$M139)&gt;0,
    COUNTIFS($AB$3:$AB$201,$M139)&gt;0,
    COUNTIFS($AC$3:$AC$201,$M139)&gt;0,
    COUNTIFS($AD$3:$AD$201,$M139)&gt;0,
    COUNTIFS($AE$3:$AE$201,$M139)&gt;0,
    COUNTIFS($AF$3:$AF$201,$M139)&gt;0,
    COUNTIFS($AG$3:$AG$201,$M139)&gt;0,
    COUNTIFS($AH$3:$AH$201,$M139)&gt;0,
    COUNTIFS($AI$3:$AI$201,$M139)&gt;0,
    COUNTIFS($AJ$3:$AJ$201,$M139)&gt;0,
    COUNTIFS($AK$3:$AK$201,$M139)&gt;0,
    COUNTIFS($AL$3:$AL$201,$M139)&gt;0,
    COUNTIFS($AM$3:$AM$201,$M139)&gt;0,
    COUNTIFS($AN$3:$AN$201,$M139)&gt;0,
    COUNTIFS($AO$3:$AO$201,$M139)&gt;0,
    COUNTIFS($AP$3:$AP$201,$M139)&gt;0,
    COUNTIFS($AQ$3:$AQ$201,$M139)&gt;0,
    COUNTIFS($AR$3:$AR$201,$M139)&gt;0,
    COUNTIFS($AS$3:$AS$201,$M139)&gt;0,
    COUNTIFS($AT$3:$AT$201,$M139)&gt;0,
    COUNTIFS($AU$3:$AU$201,$M139)&gt;0,
    COUNTIFS($AV$3:$AV$201,$M139)&gt;0,
    COUNTIFS($AW$3:$AW$201,$M139)&gt;0
   ),
  0)
 ),
"")</f>
        <v>Kumena</v>
      </c>
      <c r="P139" s="3" t="str" cm="1">
        <f t="array" aca="1" ref="P139" ca="1">IFERROR(
 INDEX(
  _xlfn._xlws.FILTER($T$2:$AW$2,
   TRANSPOSE(
    CHOOSE({1;2;3;4;5;6;7;8;9;10;11;12;13;14;15;16;17;18;19;20;21;22;23;24;25;26;27;28;29;30},
     COUNTIFS($T$3:$T$201,$M139)&gt;0,
     COUNTIFS($U$3:$U$201,$M139)&gt;0,
     COUNTIFS($V$3:$V$201,$M139)&gt;0,
     COUNTIFS($W$3:$W$201,$M139)&gt;0,
     COUNTIFS($X$3:$X$201,$M139)&gt;0,
     COUNTIFS($Y$3:$Y$201,$M139)&gt;0,
     COUNTIFS($Z$3:$Z$201,$M139)&gt;0,
     COUNTIFS($AA$3:$AA$201,$M139)&gt;0,
     COUNTIFS($AB$3:$AB$201,$M139)&gt;0,
     COUNTIFS($AC$3:$AC$201,$M139)&gt;0,
     COUNTIFS($AD$3:$AD$201,$M139)&gt;0,
     COUNTIFS($AE$3:$AE$201,$M139)&gt;0,
     COUNTIFS($AF$3:$AF$201,$M139)&gt;0,
     COUNTIFS($AG$3:$AG$201,$M139)&gt;0,
     COUNTIFS($AH$3:$AH$201,$M139)&gt;0,
     COUNTIFS($AI$3:$AI$201,$M139)&gt;0,
     COUNTIFS($AJ$3:$AJ$201,$M139)&gt;0,
     COUNTIFS($AK$3:$AK$201,$M139)&gt;0,
     COUNTIFS($AL$3:$AL$201,$M139)&gt;0,
     COUNTIFS($AM$3:$AM$201,$M139)&gt;0,
     COUNTIFS($AN$3:$AN$201,$M139)&gt;0,
     COUNTIFS($AO$3:$AO$201,$M139)&gt;0,
     COUNTIFS($AP$3:$AP$201,$M139)&gt;0,
     COUNTIFS($AQ$3:$AQ$201,$M139)&gt;0,
     COUNTIFS($AR$3:$AR$201,$M139)&gt;0,
     COUNTIFS($AS$3:$AS$201,$M139)&gt;0,
     COUNTIFS($AT$3:$AT$201,$M139)&gt;0,
     COUNTIFS($AU$3:$AU$201,$M139)&gt;0,
     COUNTIFS($AV$3:$AV$201,$M139)&gt;0,
     COUNTIFS($AW$3:$AW$201,$M139)&gt;0
   )),
  ),
  2
 ),
"")</f>
        <v/>
      </c>
      <c r="Q139" s="3" t="str" cm="1">
        <f t="array" aca="1" ref="Q139" ca="1">IFERROR(
 INDEX(
  _xlfn._xlws.FILTER($T$2:$AW$2,
   TRANSPOSE(
    CHOOSE({1;2;3;4;5;6;7;8;9;10;11;12;13;14;15;16;17;18;19;20;21;22;23;24;25;26;27;28;29;30},
     COUNTIFS($T$3:$T$201,$M139)&gt;0,
     COUNTIFS($U$3:$U$201,$M139)&gt;0,
     COUNTIFS($V$3:$V$201,$M139)&gt;0,
     COUNTIFS($W$3:$W$201,$M139)&gt;0,
     COUNTIFS($X$3:$X$201,$M139)&gt;0,
     COUNTIFS($Y$3:$Y$201,$M139)&gt;0,
     COUNTIFS($Z$3:$Z$201,$M139)&gt;0,
     COUNTIFS($AA$3:$AA$201,$M139)&gt;0,
     COUNTIFS($AB$3:$AB$201,$M139)&gt;0,
     COUNTIFS($AC$3:$AC$201,$M139)&gt;0,
     COUNTIFS($AD$3:$AD$201,$M139)&gt;0,
     COUNTIFS($AE$3:$AE$201,$M139)&gt;0,
     COUNTIFS($AF$3:$AF$201,$M139)&gt;0,
     COUNTIFS($AG$3:$AG$201,$M139)&gt;0,
     COUNTIFS($AH$3:$AH$201,$M139)&gt;0,
     COUNTIFS($AI$3:$AI$201,$M139)&gt;0,
     COUNTIFS($AJ$3:$AJ$201,$M139)&gt;0,
     COUNTIFS($AK$3:$AK$201,$M139)&gt;0,
     COUNTIFS($AL$3:$AL$201,$M139)&gt;0,
     COUNTIFS($AM$3:$AM$201,$M139)&gt;0,
     COUNTIFS($AN$3:$AN$201,$M139)&gt;0,
     COUNTIFS($AO$3:$AO$201,$M139)&gt;0,
     COUNTIFS($AP$3:$AP$201,$M139)&gt;0,
     COUNTIFS($AQ$3:$AQ$201,$M139)&gt;0,
     COUNTIFS($AR$3:$AR$201,$M139)&gt;0,
     COUNTIFS($AS$3:$AS$201,$M139)&gt;0,
     COUNTIFS($AT$3:$AT$201,$M139)&gt;0,
     COUNTIFS($AU$3:$AU$201,$M139)&gt;0,
     COUNTIFS($AV$3:$AV$201,$M139)&gt;0,
     COUNTIFS($AW$3:$AW$201,$M139)&gt;0
   )),
  ),
  3
 ),
"")</f>
        <v/>
      </c>
      <c r="R139" s="3" t="str" cm="1">
        <f t="array" aca="1" ref="R139" ca="1">IFERROR(
 INDEX(
  _xlfn._xlws.FILTER($T$2:$AW$2,
   TRANSPOSE(
    CHOOSE({1;2;3;4;5;6;7;8;9;10;11;12;13;14;15;16;17;18;19;20;21;22;23;24;25;26;27;28;29;30},
     COUNTIFS($T$3:$T$201,$M139)&gt;0,
     COUNTIFS($U$3:$U$201,$M139)&gt;0,
     COUNTIFS($V$3:$V$201,$M139)&gt;0,
     COUNTIFS($W$3:$W$201,$M139)&gt;0,
     COUNTIFS($X$3:$X$201,$M139)&gt;0,
     COUNTIFS($Y$3:$Y$201,$M139)&gt;0,
     COUNTIFS($Z$3:$Z$201,$M139)&gt;0,
     COUNTIFS($AA$3:$AA$201,$M139)&gt;0,
     COUNTIFS($AB$3:$AB$201,$M139)&gt;0,
     COUNTIFS($AC$3:$AC$201,$M139)&gt;0,
     COUNTIFS($AD$3:$AD$201,$M139)&gt;0,
     COUNTIFS($AE$3:$AE$201,$M139)&gt;0,
     COUNTIFS($AF$3:$AF$201,$M139)&gt;0,
     COUNTIFS($AG$3:$AG$201,$M139)&gt;0,
     COUNTIFS($AH$3:$AH$201,$M139)&gt;0,
     COUNTIFS($AI$3:$AI$201,$M139)&gt;0,
     COUNTIFS($AJ$3:$AJ$201,$M139)&gt;0,
     COUNTIFS($AK$3:$AK$201,$M139)&gt;0,
     COUNTIFS($AL$3:$AL$201,$M139)&gt;0,
     COUNTIFS($AM$3:$AM$201,$M139)&gt;0,
     COUNTIFS($AN$3:$AN$201,$M139)&gt;0,
     COUNTIFS($AO$3:$AO$201,$M139)&gt;0,
     COUNTIFS($AP$3:$AP$201,$M139)&gt;0,
     COUNTIFS($AQ$3:$AQ$201,$M139)&gt;0,
     COUNTIFS($AR$3:$AR$201,$M139)&gt;0,
     COUNTIFS($AS$3:$AS$201,$M139)&gt;0,
     COUNTIFS($AT$3:$AT$201,$M139)&gt;0,
     COUNTIFS($AU$3:$AU$201,$M139)&gt;0,
     COUNTIFS($AV$3:$AV$201,$M139)&gt;0,
     COUNTIFS($AW$3:$AW$201,$M139)&gt;0
   )),
  ),
  4
 ),
"")</f>
        <v/>
      </c>
      <c r="CA139" t="str">
        <f ca="1"/>
        <v>Zona de Emergência</v>
      </c>
      <c r="CF139" t="str">
        <f ca="1"/>
        <v>Prismatic Lens</v>
      </c>
      <c r="CI139" t="str">
        <f ca="1"/>
        <v>Lonis, Cryptozoologist</v>
      </c>
    </row>
    <row r="140" spans="1:87" x14ac:dyDescent="0.25">
      <c r="A140" t="str">
        <f ca="1"/>
        <v>Jitte Perdida</v>
      </c>
      <c r="B140" s="3" t="str" cm="1">
        <f t="array" aca="1" ref="B140" ca="1">_xlfn.ANCHORARRAY(RESUMO!C139)</f>
        <v>Akiri</v>
      </c>
      <c r="C140" s="3" t="str">
        <f t="shared" ca="1" si="8"/>
        <v/>
      </c>
      <c r="E140" t="str">
        <f ca="1"/>
        <v>Loxodon Warhammer</v>
      </c>
      <c r="F140" s="3">
        <f t="shared" ca="1" si="9"/>
        <v>1</v>
      </c>
      <c r="G140" s="3" t="str">
        <f t="shared" ca="1" si="10"/>
        <v>Akiri</v>
      </c>
      <c r="M140" t="str">
        <f ca="1"/>
        <v>Loxodon Warhammer</v>
      </c>
      <c r="N140" s="3">
        <f t="shared" ca="1" si="11"/>
        <v>1</v>
      </c>
      <c r="O140" s="3" t="str">
        <f ca="1">IFERROR(
 INDEX($T$2:$AW$2,
  MATCH(TRUE,
   CHOOSE({1;2;3;4;5;6;7;8;9;10;11;12;13;14;15;16;17;18;19;20;21;22;23;24;25;26;27;28;29;30;31;32},
    COUNTIFS($T$3:$T$201,$M140)&gt;0,
    COUNTIFS($U$3:$U$201,$M140)&gt;0,
    COUNTIFS($V$3:$V$201,$M140)&gt;0,
    COUNTIFS($W$3:$W$201,$M140)&gt;0,
    COUNTIFS($X$3:$X$201,$M140)&gt;0,
    COUNTIFS($Y$3:$Y$201,$M140)&gt;0,
    COUNTIFS($Z$3:$Z$201,$M140)&gt;0,
    COUNTIFS($AA$3:$AA$201,$M140)&gt;0,
    COUNTIFS($AB$3:$AB$201,$M140)&gt;0,
    COUNTIFS($AC$3:$AC$201,$M140)&gt;0,
    COUNTIFS($AD$3:$AD$201,$M140)&gt;0,
    COUNTIFS($AE$3:$AE$201,$M140)&gt;0,
    COUNTIFS($AF$3:$AF$201,$M140)&gt;0,
    COUNTIFS($AG$3:$AG$201,$M140)&gt;0,
    COUNTIFS($AH$3:$AH$201,$M140)&gt;0,
    COUNTIFS($AI$3:$AI$201,$M140)&gt;0,
    COUNTIFS($AJ$3:$AJ$201,$M140)&gt;0,
    COUNTIFS($AK$3:$AK$201,$M140)&gt;0,
    COUNTIFS($AL$3:$AL$201,$M140)&gt;0,
    COUNTIFS($AM$3:$AM$201,$M140)&gt;0,
    COUNTIFS($AN$3:$AN$201,$M140)&gt;0,
    COUNTIFS($AO$3:$AO$201,$M140)&gt;0,
    COUNTIFS($AP$3:$AP$201,$M140)&gt;0,
    COUNTIFS($AQ$3:$AQ$201,$M140)&gt;0,
    COUNTIFS($AR$3:$AR$201,$M140)&gt;0,
    COUNTIFS($AS$3:$AS$201,$M140)&gt;0,
    COUNTIFS($AT$3:$AT$201,$M140)&gt;0,
    COUNTIFS($AU$3:$AU$201,$M140)&gt;0,
    COUNTIFS($AV$3:$AV$201,$M140)&gt;0,
    COUNTIFS($AW$3:$AW$201,$M140)&gt;0
   ),
  0)
 ),
"")</f>
        <v>Akiri</v>
      </c>
      <c r="P140" s="3" t="str" cm="1">
        <f t="array" aca="1" ref="P140" ca="1">IFERROR(
 INDEX(
  _xlfn._xlws.FILTER($T$2:$AW$2,
   TRANSPOSE(
    CHOOSE({1;2;3;4;5;6;7;8;9;10;11;12;13;14;15;16;17;18;19;20;21;22;23;24;25;26;27;28;29;30},
     COUNTIFS($T$3:$T$201,$M140)&gt;0,
     COUNTIFS($U$3:$U$201,$M140)&gt;0,
     COUNTIFS($V$3:$V$201,$M140)&gt;0,
     COUNTIFS($W$3:$W$201,$M140)&gt;0,
     COUNTIFS($X$3:$X$201,$M140)&gt;0,
     COUNTIFS($Y$3:$Y$201,$M140)&gt;0,
     COUNTIFS($Z$3:$Z$201,$M140)&gt;0,
     COUNTIFS($AA$3:$AA$201,$M140)&gt;0,
     COUNTIFS($AB$3:$AB$201,$M140)&gt;0,
     COUNTIFS($AC$3:$AC$201,$M140)&gt;0,
     COUNTIFS($AD$3:$AD$201,$M140)&gt;0,
     COUNTIFS($AE$3:$AE$201,$M140)&gt;0,
     COUNTIFS($AF$3:$AF$201,$M140)&gt;0,
     COUNTIFS($AG$3:$AG$201,$M140)&gt;0,
     COUNTIFS($AH$3:$AH$201,$M140)&gt;0,
     COUNTIFS($AI$3:$AI$201,$M140)&gt;0,
     COUNTIFS($AJ$3:$AJ$201,$M140)&gt;0,
     COUNTIFS($AK$3:$AK$201,$M140)&gt;0,
     COUNTIFS($AL$3:$AL$201,$M140)&gt;0,
     COUNTIFS($AM$3:$AM$201,$M140)&gt;0,
     COUNTIFS($AN$3:$AN$201,$M140)&gt;0,
     COUNTIFS($AO$3:$AO$201,$M140)&gt;0,
     COUNTIFS($AP$3:$AP$201,$M140)&gt;0,
     COUNTIFS($AQ$3:$AQ$201,$M140)&gt;0,
     COUNTIFS($AR$3:$AR$201,$M140)&gt;0,
     COUNTIFS($AS$3:$AS$201,$M140)&gt;0,
     COUNTIFS($AT$3:$AT$201,$M140)&gt;0,
     COUNTIFS($AU$3:$AU$201,$M140)&gt;0,
     COUNTIFS($AV$3:$AV$201,$M140)&gt;0,
     COUNTIFS($AW$3:$AW$201,$M140)&gt;0
   )),
  ),
  2
 ),
"")</f>
        <v/>
      </c>
      <c r="Q140" s="3" t="str" cm="1">
        <f t="array" aca="1" ref="Q140" ca="1">IFERROR(
 INDEX(
  _xlfn._xlws.FILTER($T$2:$AW$2,
   TRANSPOSE(
    CHOOSE({1;2;3;4;5;6;7;8;9;10;11;12;13;14;15;16;17;18;19;20;21;22;23;24;25;26;27;28;29;30},
     COUNTIFS($T$3:$T$201,$M140)&gt;0,
     COUNTIFS($U$3:$U$201,$M140)&gt;0,
     COUNTIFS($V$3:$V$201,$M140)&gt;0,
     COUNTIFS($W$3:$W$201,$M140)&gt;0,
     COUNTIFS($X$3:$X$201,$M140)&gt;0,
     COUNTIFS($Y$3:$Y$201,$M140)&gt;0,
     COUNTIFS($Z$3:$Z$201,$M140)&gt;0,
     COUNTIFS($AA$3:$AA$201,$M140)&gt;0,
     COUNTIFS($AB$3:$AB$201,$M140)&gt;0,
     COUNTIFS($AC$3:$AC$201,$M140)&gt;0,
     COUNTIFS($AD$3:$AD$201,$M140)&gt;0,
     COUNTIFS($AE$3:$AE$201,$M140)&gt;0,
     COUNTIFS($AF$3:$AF$201,$M140)&gt;0,
     COUNTIFS($AG$3:$AG$201,$M140)&gt;0,
     COUNTIFS($AH$3:$AH$201,$M140)&gt;0,
     COUNTIFS($AI$3:$AI$201,$M140)&gt;0,
     COUNTIFS($AJ$3:$AJ$201,$M140)&gt;0,
     COUNTIFS($AK$3:$AK$201,$M140)&gt;0,
     COUNTIFS($AL$3:$AL$201,$M140)&gt;0,
     COUNTIFS($AM$3:$AM$201,$M140)&gt;0,
     COUNTIFS($AN$3:$AN$201,$M140)&gt;0,
     COUNTIFS($AO$3:$AO$201,$M140)&gt;0,
     COUNTIFS($AP$3:$AP$201,$M140)&gt;0,
     COUNTIFS($AQ$3:$AQ$201,$M140)&gt;0,
     COUNTIFS($AR$3:$AR$201,$M140)&gt;0,
     COUNTIFS($AS$3:$AS$201,$M140)&gt;0,
     COUNTIFS($AT$3:$AT$201,$M140)&gt;0,
     COUNTIFS($AU$3:$AU$201,$M140)&gt;0,
     COUNTIFS($AV$3:$AV$201,$M140)&gt;0,
     COUNTIFS($AW$3:$AW$201,$M140)&gt;0
   )),
  ),
  3
 ),
"")</f>
        <v/>
      </c>
      <c r="R140" s="3" t="str" cm="1">
        <f t="array" aca="1" ref="R140" ca="1">IFERROR(
 INDEX(
  _xlfn._xlws.FILTER($T$2:$AW$2,
   TRANSPOSE(
    CHOOSE({1;2;3;4;5;6;7;8;9;10;11;12;13;14;15;16;17;18;19;20;21;22;23;24;25;26;27;28;29;30},
     COUNTIFS($T$3:$T$201,$M140)&gt;0,
     COUNTIFS($U$3:$U$201,$M140)&gt;0,
     COUNTIFS($V$3:$V$201,$M140)&gt;0,
     COUNTIFS($W$3:$W$201,$M140)&gt;0,
     COUNTIFS($X$3:$X$201,$M140)&gt;0,
     COUNTIFS($Y$3:$Y$201,$M140)&gt;0,
     COUNTIFS($Z$3:$Z$201,$M140)&gt;0,
     COUNTIFS($AA$3:$AA$201,$M140)&gt;0,
     COUNTIFS($AB$3:$AB$201,$M140)&gt;0,
     COUNTIFS($AC$3:$AC$201,$M140)&gt;0,
     COUNTIFS($AD$3:$AD$201,$M140)&gt;0,
     COUNTIFS($AE$3:$AE$201,$M140)&gt;0,
     COUNTIFS($AF$3:$AF$201,$M140)&gt;0,
     COUNTIFS($AG$3:$AG$201,$M140)&gt;0,
     COUNTIFS($AH$3:$AH$201,$M140)&gt;0,
     COUNTIFS($AI$3:$AI$201,$M140)&gt;0,
     COUNTIFS($AJ$3:$AJ$201,$M140)&gt;0,
     COUNTIFS($AK$3:$AK$201,$M140)&gt;0,
     COUNTIFS($AL$3:$AL$201,$M140)&gt;0,
     COUNTIFS($AM$3:$AM$201,$M140)&gt;0,
     COUNTIFS($AN$3:$AN$201,$M140)&gt;0,
     COUNTIFS($AO$3:$AO$201,$M140)&gt;0,
     COUNTIFS($AP$3:$AP$201,$M140)&gt;0,
     COUNTIFS($AQ$3:$AQ$201,$M140)&gt;0,
     COUNTIFS($AR$3:$AR$201,$M140)&gt;0,
     COUNTIFS($AS$3:$AS$201,$M140)&gt;0,
     COUNTIFS($AT$3:$AT$201,$M140)&gt;0,
     COUNTIFS($AU$3:$AU$201,$M140)&gt;0,
     COUNTIFS($AV$3:$AV$201,$M140)&gt;0,
     COUNTIFS($AW$3:$AW$201,$M140)&gt;0
   )),
  ),
  4
 ),
"")</f>
        <v/>
      </c>
      <c r="CF140" t="str">
        <f ca="1"/>
        <v>Protection Racket</v>
      </c>
      <c r="CI140" t="str">
        <f ca="1"/>
        <v>Loxodon Warhammer</v>
      </c>
    </row>
    <row r="141" spans="1:87" x14ac:dyDescent="0.25">
      <c r="A141" t="str">
        <f ca="1"/>
        <v>Karn Liberated</v>
      </c>
      <c r="B141" s="3" t="str" cm="1">
        <f t="array" aca="1" ref="B141" ca="1">_xlfn.ANCHORARRAY(RESUMO!C140)</f>
        <v>Sisay</v>
      </c>
      <c r="C141" s="3" t="str">
        <f t="shared" ca="1" si="8"/>
        <v/>
      </c>
      <c r="E141" t="str">
        <f ca="1"/>
        <v>Lulu, Halofante Leal</v>
      </c>
      <c r="F141" s="3">
        <f t="shared" ca="1" si="9"/>
        <v>1</v>
      </c>
      <c r="G141" s="3" t="str">
        <f t="shared" ca="1" si="10"/>
        <v>Modular</v>
      </c>
      <c r="M141" t="str">
        <f ca="1"/>
        <v>Lulu, Halofante Leal</v>
      </c>
      <c r="N141" s="3">
        <f t="shared" ca="1" si="11"/>
        <v>1</v>
      </c>
      <c r="O141" s="3" t="str">
        <f ca="1">IFERROR(
 INDEX($T$2:$AW$2,
  MATCH(TRUE,
   CHOOSE({1;2;3;4;5;6;7;8;9;10;11;12;13;14;15;16;17;18;19;20;21;22;23;24;25;26;27;28;29;30;31;32},
    COUNTIFS($T$3:$T$201,$M141)&gt;0,
    COUNTIFS($U$3:$U$201,$M141)&gt;0,
    COUNTIFS($V$3:$V$201,$M141)&gt;0,
    COUNTIFS($W$3:$W$201,$M141)&gt;0,
    COUNTIFS($X$3:$X$201,$M141)&gt;0,
    COUNTIFS($Y$3:$Y$201,$M141)&gt;0,
    COUNTIFS($Z$3:$Z$201,$M141)&gt;0,
    COUNTIFS($AA$3:$AA$201,$M141)&gt;0,
    COUNTIFS($AB$3:$AB$201,$M141)&gt;0,
    COUNTIFS($AC$3:$AC$201,$M141)&gt;0,
    COUNTIFS($AD$3:$AD$201,$M141)&gt;0,
    COUNTIFS($AE$3:$AE$201,$M141)&gt;0,
    COUNTIFS($AF$3:$AF$201,$M141)&gt;0,
    COUNTIFS($AG$3:$AG$201,$M141)&gt;0,
    COUNTIFS($AH$3:$AH$201,$M141)&gt;0,
    COUNTIFS($AI$3:$AI$201,$M141)&gt;0,
    COUNTIFS($AJ$3:$AJ$201,$M141)&gt;0,
    COUNTIFS($AK$3:$AK$201,$M141)&gt;0,
    COUNTIFS($AL$3:$AL$201,$M141)&gt;0,
    COUNTIFS($AM$3:$AM$201,$M141)&gt;0,
    COUNTIFS($AN$3:$AN$201,$M141)&gt;0,
    COUNTIFS($AO$3:$AO$201,$M141)&gt;0,
    COUNTIFS($AP$3:$AP$201,$M141)&gt;0,
    COUNTIFS($AQ$3:$AQ$201,$M141)&gt;0,
    COUNTIFS($AR$3:$AR$201,$M141)&gt;0,
    COUNTIFS($AS$3:$AS$201,$M141)&gt;0,
    COUNTIFS($AT$3:$AT$201,$M141)&gt;0,
    COUNTIFS($AU$3:$AU$201,$M141)&gt;0,
    COUNTIFS($AV$3:$AV$201,$M141)&gt;0,
    COUNTIFS($AW$3:$AW$201,$M141)&gt;0
   ),
  0)
 ),
"")</f>
        <v>Modular</v>
      </c>
      <c r="P141" s="3" t="str" cm="1">
        <f t="array" aca="1" ref="P141" ca="1">IFERROR(
 INDEX(
  _xlfn._xlws.FILTER($T$2:$AW$2,
   TRANSPOSE(
    CHOOSE({1;2;3;4;5;6;7;8;9;10;11;12;13;14;15;16;17;18;19;20;21;22;23;24;25;26;27;28;29;30},
     COUNTIFS($T$3:$T$201,$M141)&gt;0,
     COUNTIFS($U$3:$U$201,$M141)&gt;0,
     COUNTIFS($V$3:$V$201,$M141)&gt;0,
     COUNTIFS($W$3:$W$201,$M141)&gt;0,
     COUNTIFS($X$3:$X$201,$M141)&gt;0,
     COUNTIFS($Y$3:$Y$201,$M141)&gt;0,
     COUNTIFS($Z$3:$Z$201,$M141)&gt;0,
     COUNTIFS($AA$3:$AA$201,$M141)&gt;0,
     COUNTIFS($AB$3:$AB$201,$M141)&gt;0,
     COUNTIFS($AC$3:$AC$201,$M141)&gt;0,
     COUNTIFS($AD$3:$AD$201,$M141)&gt;0,
     COUNTIFS($AE$3:$AE$201,$M141)&gt;0,
     COUNTIFS($AF$3:$AF$201,$M141)&gt;0,
     COUNTIFS($AG$3:$AG$201,$M141)&gt;0,
     COUNTIFS($AH$3:$AH$201,$M141)&gt;0,
     COUNTIFS($AI$3:$AI$201,$M141)&gt;0,
     COUNTIFS($AJ$3:$AJ$201,$M141)&gt;0,
     COUNTIFS($AK$3:$AK$201,$M141)&gt;0,
     COUNTIFS($AL$3:$AL$201,$M141)&gt;0,
     COUNTIFS($AM$3:$AM$201,$M141)&gt;0,
     COUNTIFS($AN$3:$AN$201,$M141)&gt;0,
     COUNTIFS($AO$3:$AO$201,$M141)&gt;0,
     COUNTIFS($AP$3:$AP$201,$M141)&gt;0,
     COUNTIFS($AQ$3:$AQ$201,$M141)&gt;0,
     COUNTIFS($AR$3:$AR$201,$M141)&gt;0,
     COUNTIFS($AS$3:$AS$201,$M141)&gt;0,
     COUNTIFS($AT$3:$AT$201,$M141)&gt;0,
     COUNTIFS($AU$3:$AU$201,$M141)&gt;0,
     COUNTIFS($AV$3:$AV$201,$M141)&gt;0,
     COUNTIFS($AW$3:$AW$201,$M141)&gt;0
   )),
  ),
  2
 ),
"")</f>
        <v/>
      </c>
      <c r="Q141" s="3" t="str" cm="1">
        <f t="array" aca="1" ref="Q141" ca="1">IFERROR(
 INDEX(
  _xlfn._xlws.FILTER($T$2:$AW$2,
   TRANSPOSE(
    CHOOSE({1;2;3;4;5;6;7;8;9;10;11;12;13;14;15;16;17;18;19;20;21;22;23;24;25;26;27;28;29;30},
     COUNTIFS($T$3:$T$201,$M141)&gt;0,
     COUNTIFS($U$3:$U$201,$M141)&gt;0,
     COUNTIFS($V$3:$V$201,$M141)&gt;0,
     COUNTIFS($W$3:$W$201,$M141)&gt;0,
     COUNTIFS($X$3:$X$201,$M141)&gt;0,
     COUNTIFS($Y$3:$Y$201,$M141)&gt;0,
     COUNTIFS($Z$3:$Z$201,$M141)&gt;0,
     COUNTIFS($AA$3:$AA$201,$M141)&gt;0,
     COUNTIFS($AB$3:$AB$201,$M141)&gt;0,
     COUNTIFS($AC$3:$AC$201,$M141)&gt;0,
     COUNTIFS($AD$3:$AD$201,$M141)&gt;0,
     COUNTIFS($AE$3:$AE$201,$M141)&gt;0,
     COUNTIFS($AF$3:$AF$201,$M141)&gt;0,
     COUNTIFS($AG$3:$AG$201,$M141)&gt;0,
     COUNTIFS($AH$3:$AH$201,$M141)&gt;0,
     COUNTIFS($AI$3:$AI$201,$M141)&gt;0,
     COUNTIFS($AJ$3:$AJ$201,$M141)&gt;0,
     COUNTIFS($AK$3:$AK$201,$M141)&gt;0,
     COUNTIFS($AL$3:$AL$201,$M141)&gt;0,
     COUNTIFS($AM$3:$AM$201,$M141)&gt;0,
     COUNTIFS($AN$3:$AN$201,$M141)&gt;0,
     COUNTIFS($AO$3:$AO$201,$M141)&gt;0,
     COUNTIFS($AP$3:$AP$201,$M141)&gt;0,
     COUNTIFS($AQ$3:$AQ$201,$M141)&gt;0,
     COUNTIFS($AR$3:$AR$201,$M141)&gt;0,
     COUNTIFS($AS$3:$AS$201,$M141)&gt;0,
     COUNTIFS($AT$3:$AT$201,$M141)&gt;0,
     COUNTIFS($AU$3:$AU$201,$M141)&gt;0,
     COUNTIFS($AV$3:$AV$201,$M141)&gt;0,
     COUNTIFS($AW$3:$AW$201,$M141)&gt;0
   )),
  ),
  3
 ),
"")</f>
        <v/>
      </c>
      <c r="R141" s="3" t="str" cm="1">
        <f t="array" aca="1" ref="R141" ca="1">IFERROR(
 INDEX(
  _xlfn._xlws.FILTER($T$2:$AW$2,
   TRANSPOSE(
    CHOOSE({1;2;3;4;5;6;7;8;9;10;11;12;13;14;15;16;17;18;19;20;21;22;23;24;25;26;27;28;29;30},
     COUNTIFS($T$3:$T$201,$M141)&gt;0,
     COUNTIFS($U$3:$U$201,$M141)&gt;0,
     COUNTIFS($V$3:$V$201,$M141)&gt;0,
     COUNTIFS($W$3:$W$201,$M141)&gt;0,
     COUNTIFS($X$3:$X$201,$M141)&gt;0,
     COUNTIFS($Y$3:$Y$201,$M141)&gt;0,
     COUNTIFS($Z$3:$Z$201,$M141)&gt;0,
     COUNTIFS($AA$3:$AA$201,$M141)&gt;0,
     COUNTIFS($AB$3:$AB$201,$M141)&gt;0,
     COUNTIFS($AC$3:$AC$201,$M141)&gt;0,
     COUNTIFS($AD$3:$AD$201,$M141)&gt;0,
     COUNTIFS($AE$3:$AE$201,$M141)&gt;0,
     COUNTIFS($AF$3:$AF$201,$M141)&gt;0,
     COUNTIFS($AG$3:$AG$201,$M141)&gt;0,
     COUNTIFS($AH$3:$AH$201,$M141)&gt;0,
     COUNTIFS($AI$3:$AI$201,$M141)&gt;0,
     COUNTIFS($AJ$3:$AJ$201,$M141)&gt;0,
     COUNTIFS($AK$3:$AK$201,$M141)&gt;0,
     COUNTIFS($AL$3:$AL$201,$M141)&gt;0,
     COUNTIFS($AM$3:$AM$201,$M141)&gt;0,
     COUNTIFS($AN$3:$AN$201,$M141)&gt;0,
     COUNTIFS($AO$3:$AO$201,$M141)&gt;0,
     COUNTIFS($AP$3:$AP$201,$M141)&gt;0,
     COUNTIFS($AQ$3:$AQ$201,$M141)&gt;0,
     COUNTIFS($AR$3:$AR$201,$M141)&gt;0,
     COUNTIFS($AS$3:$AS$201,$M141)&gt;0,
     COUNTIFS($AT$3:$AT$201,$M141)&gt;0,
     COUNTIFS($AU$3:$AU$201,$M141)&gt;0,
     COUNTIFS($AV$3:$AV$201,$M141)&gt;0,
     COUNTIFS($AW$3:$AW$201,$M141)&gt;0
   )),
  ),
  4
 ),
"")</f>
        <v/>
      </c>
      <c r="CF141" t="str">
        <f ca="1"/>
        <v>Quasiduplicata</v>
      </c>
      <c r="CI141" t="str">
        <f ca="1"/>
        <v>Lulu, Halofante Leal</v>
      </c>
    </row>
    <row r="142" spans="1:87" x14ac:dyDescent="0.25">
      <c r="A142" t="str">
        <f ca="1"/>
        <v>Karn's Bastion</v>
      </c>
      <c r="B142" s="3" t="str" cm="1">
        <f t="array" aca="1" ref="B142" ca="1">_xlfn.ANCHORARRAY(RESUMO!C141)</f>
        <v>Modular</v>
      </c>
      <c r="C142" s="3" t="str">
        <f t="shared" ca="1" si="8"/>
        <v/>
      </c>
      <c r="E142" t="str">
        <f ca="1"/>
        <v>Luta Encenada</v>
      </c>
      <c r="F142" s="3">
        <f t="shared" ca="1" si="9"/>
        <v>1</v>
      </c>
      <c r="G142" s="3" t="str">
        <f t="shared" ca="1" si="10"/>
        <v>Modular</v>
      </c>
      <c r="M142" t="str">
        <f ca="1"/>
        <v>Luta Encenada</v>
      </c>
      <c r="N142" s="3">
        <f t="shared" ca="1" si="11"/>
        <v>1</v>
      </c>
      <c r="O142" s="3" t="str">
        <f ca="1">IFERROR(
 INDEX($T$2:$AW$2,
  MATCH(TRUE,
   CHOOSE({1;2;3;4;5;6;7;8;9;10;11;12;13;14;15;16;17;18;19;20;21;22;23;24;25;26;27;28;29;30;31;32},
    COUNTIFS($T$3:$T$201,$M142)&gt;0,
    COUNTIFS($U$3:$U$201,$M142)&gt;0,
    COUNTIFS($V$3:$V$201,$M142)&gt;0,
    COUNTIFS($W$3:$W$201,$M142)&gt;0,
    COUNTIFS($X$3:$X$201,$M142)&gt;0,
    COUNTIFS($Y$3:$Y$201,$M142)&gt;0,
    COUNTIFS($Z$3:$Z$201,$M142)&gt;0,
    COUNTIFS($AA$3:$AA$201,$M142)&gt;0,
    COUNTIFS($AB$3:$AB$201,$M142)&gt;0,
    COUNTIFS($AC$3:$AC$201,$M142)&gt;0,
    COUNTIFS($AD$3:$AD$201,$M142)&gt;0,
    COUNTIFS($AE$3:$AE$201,$M142)&gt;0,
    COUNTIFS($AF$3:$AF$201,$M142)&gt;0,
    COUNTIFS($AG$3:$AG$201,$M142)&gt;0,
    COUNTIFS($AH$3:$AH$201,$M142)&gt;0,
    COUNTIFS($AI$3:$AI$201,$M142)&gt;0,
    COUNTIFS($AJ$3:$AJ$201,$M142)&gt;0,
    COUNTIFS($AK$3:$AK$201,$M142)&gt;0,
    COUNTIFS($AL$3:$AL$201,$M142)&gt;0,
    COUNTIFS($AM$3:$AM$201,$M142)&gt;0,
    COUNTIFS($AN$3:$AN$201,$M142)&gt;0,
    COUNTIFS($AO$3:$AO$201,$M142)&gt;0,
    COUNTIFS($AP$3:$AP$201,$M142)&gt;0,
    COUNTIFS($AQ$3:$AQ$201,$M142)&gt;0,
    COUNTIFS($AR$3:$AR$201,$M142)&gt;0,
    COUNTIFS($AS$3:$AS$201,$M142)&gt;0,
    COUNTIFS($AT$3:$AT$201,$M142)&gt;0,
    COUNTIFS($AU$3:$AU$201,$M142)&gt;0,
    COUNTIFS($AV$3:$AV$201,$M142)&gt;0,
    COUNTIFS($AW$3:$AW$201,$M142)&gt;0
   ),
  0)
 ),
"")</f>
        <v>Modular</v>
      </c>
      <c r="P142" s="3" t="str" cm="1">
        <f t="array" aca="1" ref="P142" ca="1">IFERROR(
 INDEX(
  _xlfn._xlws.FILTER($T$2:$AW$2,
   TRANSPOSE(
    CHOOSE({1;2;3;4;5;6;7;8;9;10;11;12;13;14;15;16;17;18;19;20;21;22;23;24;25;26;27;28;29;30},
     COUNTIFS($T$3:$T$201,$M142)&gt;0,
     COUNTIFS($U$3:$U$201,$M142)&gt;0,
     COUNTIFS($V$3:$V$201,$M142)&gt;0,
     COUNTIFS($W$3:$W$201,$M142)&gt;0,
     COUNTIFS($X$3:$X$201,$M142)&gt;0,
     COUNTIFS($Y$3:$Y$201,$M142)&gt;0,
     COUNTIFS($Z$3:$Z$201,$M142)&gt;0,
     COUNTIFS($AA$3:$AA$201,$M142)&gt;0,
     COUNTIFS($AB$3:$AB$201,$M142)&gt;0,
     COUNTIFS($AC$3:$AC$201,$M142)&gt;0,
     COUNTIFS($AD$3:$AD$201,$M142)&gt;0,
     COUNTIFS($AE$3:$AE$201,$M142)&gt;0,
     COUNTIFS($AF$3:$AF$201,$M142)&gt;0,
     COUNTIFS($AG$3:$AG$201,$M142)&gt;0,
     COUNTIFS($AH$3:$AH$201,$M142)&gt;0,
     COUNTIFS($AI$3:$AI$201,$M142)&gt;0,
     COUNTIFS($AJ$3:$AJ$201,$M142)&gt;0,
     COUNTIFS($AK$3:$AK$201,$M142)&gt;0,
     COUNTIFS($AL$3:$AL$201,$M142)&gt;0,
     COUNTIFS($AM$3:$AM$201,$M142)&gt;0,
     COUNTIFS($AN$3:$AN$201,$M142)&gt;0,
     COUNTIFS($AO$3:$AO$201,$M142)&gt;0,
     COUNTIFS($AP$3:$AP$201,$M142)&gt;0,
     COUNTIFS($AQ$3:$AQ$201,$M142)&gt;0,
     COUNTIFS($AR$3:$AR$201,$M142)&gt;0,
     COUNTIFS($AS$3:$AS$201,$M142)&gt;0,
     COUNTIFS($AT$3:$AT$201,$M142)&gt;0,
     COUNTIFS($AU$3:$AU$201,$M142)&gt;0,
     COUNTIFS($AV$3:$AV$201,$M142)&gt;0,
     COUNTIFS($AW$3:$AW$201,$M142)&gt;0
   )),
  ),
  2
 ),
"")</f>
        <v/>
      </c>
      <c r="Q142" s="3" t="str" cm="1">
        <f t="array" aca="1" ref="Q142" ca="1">IFERROR(
 INDEX(
  _xlfn._xlws.FILTER($T$2:$AW$2,
   TRANSPOSE(
    CHOOSE({1;2;3;4;5;6;7;8;9;10;11;12;13;14;15;16;17;18;19;20;21;22;23;24;25;26;27;28;29;30},
     COUNTIFS($T$3:$T$201,$M142)&gt;0,
     COUNTIFS($U$3:$U$201,$M142)&gt;0,
     COUNTIFS($V$3:$V$201,$M142)&gt;0,
     COUNTIFS($W$3:$W$201,$M142)&gt;0,
     COUNTIFS($X$3:$X$201,$M142)&gt;0,
     COUNTIFS($Y$3:$Y$201,$M142)&gt;0,
     COUNTIFS($Z$3:$Z$201,$M142)&gt;0,
     COUNTIFS($AA$3:$AA$201,$M142)&gt;0,
     COUNTIFS($AB$3:$AB$201,$M142)&gt;0,
     COUNTIFS($AC$3:$AC$201,$M142)&gt;0,
     COUNTIFS($AD$3:$AD$201,$M142)&gt;0,
     COUNTIFS($AE$3:$AE$201,$M142)&gt;0,
     COUNTIFS($AF$3:$AF$201,$M142)&gt;0,
     COUNTIFS($AG$3:$AG$201,$M142)&gt;0,
     COUNTIFS($AH$3:$AH$201,$M142)&gt;0,
     COUNTIFS($AI$3:$AI$201,$M142)&gt;0,
     COUNTIFS($AJ$3:$AJ$201,$M142)&gt;0,
     COUNTIFS($AK$3:$AK$201,$M142)&gt;0,
     COUNTIFS($AL$3:$AL$201,$M142)&gt;0,
     COUNTIFS($AM$3:$AM$201,$M142)&gt;0,
     COUNTIFS($AN$3:$AN$201,$M142)&gt;0,
     COUNTIFS($AO$3:$AO$201,$M142)&gt;0,
     COUNTIFS($AP$3:$AP$201,$M142)&gt;0,
     COUNTIFS($AQ$3:$AQ$201,$M142)&gt;0,
     COUNTIFS($AR$3:$AR$201,$M142)&gt;0,
     COUNTIFS($AS$3:$AS$201,$M142)&gt;0,
     COUNTIFS($AT$3:$AT$201,$M142)&gt;0,
     COUNTIFS($AU$3:$AU$201,$M142)&gt;0,
     COUNTIFS($AV$3:$AV$201,$M142)&gt;0,
     COUNTIFS($AW$3:$AW$201,$M142)&gt;0
   )),
  ),
  3
 ),
"")</f>
        <v/>
      </c>
      <c r="R142" s="3" t="str" cm="1">
        <f t="array" aca="1" ref="R142" ca="1">IFERROR(
 INDEX(
  _xlfn._xlws.FILTER($T$2:$AW$2,
   TRANSPOSE(
    CHOOSE({1;2;3;4;5;6;7;8;9;10;11;12;13;14;15;16;17;18;19;20;21;22;23;24;25;26;27;28;29;30},
     COUNTIFS($T$3:$T$201,$M142)&gt;0,
     COUNTIFS($U$3:$U$201,$M142)&gt;0,
     COUNTIFS($V$3:$V$201,$M142)&gt;0,
     COUNTIFS($W$3:$W$201,$M142)&gt;0,
     COUNTIFS($X$3:$X$201,$M142)&gt;0,
     COUNTIFS($Y$3:$Y$201,$M142)&gt;0,
     COUNTIFS($Z$3:$Z$201,$M142)&gt;0,
     COUNTIFS($AA$3:$AA$201,$M142)&gt;0,
     COUNTIFS($AB$3:$AB$201,$M142)&gt;0,
     COUNTIFS($AC$3:$AC$201,$M142)&gt;0,
     COUNTIFS($AD$3:$AD$201,$M142)&gt;0,
     COUNTIFS($AE$3:$AE$201,$M142)&gt;0,
     COUNTIFS($AF$3:$AF$201,$M142)&gt;0,
     COUNTIFS($AG$3:$AG$201,$M142)&gt;0,
     COUNTIFS($AH$3:$AH$201,$M142)&gt;0,
     COUNTIFS($AI$3:$AI$201,$M142)&gt;0,
     COUNTIFS($AJ$3:$AJ$201,$M142)&gt;0,
     COUNTIFS($AK$3:$AK$201,$M142)&gt;0,
     COUNTIFS($AL$3:$AL$201,$M142)&gt;0,
     COUNTIFS($AM$3:$AM$201,$M142)&gt;0,
     COUNTIFS($AN$3:$AN$201,$M142)&gt;0,
     COUNTIFS($AO$3:$AO$201,$M142)&gt;0,
     COUNTIFS($AP$3:$AP$201,$M142)&gt;0,
     COUNTIFS($AQ$3:$AQ$201,$M142)&gt;0,
     COUNTIFS($AR$3:$AR$201,$M142)&gt;0,
     COUNTIFS($AS$3:$AS$201,$M142)&gt;0,
     COUNTIFS($AT$3:$AT$201,$M142)&gt;0,
     COUNTIFS($AU$3:$AU$201,$M142)&gt;0,
     COUNTIFS($AV$3:$AV$201,$M142)&gt;0,
     COUNTIFS($AW$3:$AW$201,$M142)&gt;0
   )),
  ),
  4
 ),
"")</f>
        <v/>
      </c>
      <c r="CF142" t="str">
        <f ca="1"/>
        <v>Ranger of Eos</v>
      </c>
      <c r="CI142" t="str">
        <f ca="1"/>
        <v>Luta Encenada</v>
      </c>
    </row>
    <row r="143" spans="1:87" x14ac:dyDescent="0.25">
      <c r="A143" t="str">
        <f ca="1"/>
        <v>Karplusan Forest</v>
      </c>
      <c r="B143" s="3" t="str" cm="1">
        <f t="array" aca="1" ref="B143" ca="1">_xlfn.ANCHORARRAY(RESUMO!C142)</f>
        <v>Baylen</v>
      </c>
      <c r="C143" s="3" t="str">
        <f t="shared" ca="1" si="8"/>
        <v/>
      </c>
      <c r="E143" t="str">
        <f ca="1"/>
        <v>Mascara da Longevisão</v>
      </c>
      <c r="F143" s="3">
        <f t="shared" ca="1" si="9"/>
        <v>1</v>
      </c>
      <c r="G143" s="3" t="str">
        <f t="shared" ca="1" si="10"/>
        <v>Kumena</v>
      </c>
      <c r="M143" t="str">
        <f ca="1"/>
        <v>Mascara da Longevisão</v>
      </c>
      <c r="N143" s="3">
        <f t="shared" ca="1" si="11"/>
        <v>1</v>
      </c>
      <c r="O143" s="3" t="str">
        <f ca="1">IFERROR(
 INDEX($T$2:$AW$2,
  MATCH(TRUE,
   CHOOSE({1;2;3;4;5;6;7;8;9;10;11;12;13;14;15;16;17;18;19;20;21;22;23;24;25;26;27;28;29;30;31;32},
    COUNTIFS($T$3:$T$201,$M143)&gt;0,
    COUNTIFS($U$3:$U$201,$M143)&gt;0,
    COUNTIFS($V$3:$V$201,$M143)&gt;0,
    COUNTIFS($W$3:$W$201,$M143)&gt;0,
    COUNTIFS($X$3:$X$201,$M143)&gt;0,
    COUNTIFS($Y$3:$Y$201,$M143)&gt;0,
    COUNTIFS($Z$3:$Z$201,$M143)&gt;0,
    COUNTIFS($AA$3:$AA$201,$M143)&gt;0,
    COUNTIFS($AB$3:$AB$201,$M143)&gt;0,
    COUNTIFS($AC$3:$AC$201,$M143)&gt;0,
    COUNTIFS($AD$3:$AD$201,$M143)&gt;0,
    COUNTIFS($AE$3:$AE$201,$M143)&gt;0,
    COUNTIFS($AF$3:$AF$201,$M143)&gt;0,
    COUNTIFS($AG$3:$AG$201,$M143)&gt;0,
    COUNTIFS($AH$3:$AH$201,$M143)&gt;0,
    COUNTIFS($AI$3:$AI$201,$M143)&gt;0,
    COUNTIFS($AJ$3:$AJ$201,$M143)&gt;0,
    COUNTIFS($AK$3:$AK$201,$M143)&gt;0,
    COUNTIFS($AL$3:$AL$201,$M143)&gt;0,
    COUNTIFS($AM$3:$AM$201,$M143)&gt;0,
    COUNTIFS($AN$3:$AN$201,$M143)&gt;0,
    COUNTIFS($AO$3:$AO$201,$M143)&gt;0,
    COUNTIFS($AP$3:$AP$201,$M143)&gt;0,
    COUNTIFS($AQ$3:$AQ$201,$M143)&gt;0,
    COUNTIFS($AR$3:$AR$201,$M143)&gt;0,
    COUNTIFS($AS$3:$AS$201,$M143)&gt;0,
    COUNTIFS($AT$3:$AT$201,$M143)&gt;0,
    COUNTIFS($AU$3:$AU$201,$M143)&gt;0,
    COUNTIFS($AV$3:$AV$201,$M143)&gt;0,
    COUNTIFS($AW$3:$AW$201,$M143)&gt;0
   ),
  0)
 ),
"")</f>
        <v>Kumena</v>
      </c>
      <c r="P143" s="3" t="str" cm="1">
        <f t="array" aca="1" ref="P143" ca="1">IFERROR(
 INDEX(
  _xlfn._xlws.FILTER($T$2:$AW$2,
   TRANSPOSE(
    CHOOSE({1;2;3;4;5;6;7;8;9;10;11;12;13;14;15;16;17;18;19;20;21;22;23;24;25;26;27;28;29;30},
     COUNTIFS($T$3:$T$201,$M143)&gt;0,
     COUNTIFS($U$3:$U$201,$M143)&gt;0,
     COUNTIFS($V$3:$V$201,$M143)&gt;0,
     COUNTIFS($W$3:$W$201,$M143)&gt;0,
     COUNTIFS($X$3:$X$201,$M143)&gt;0,
     COUNTIFS($Y$3:$Y$201,$M143)&gt;0,
     COUNTIFS($Z$3:$Z$201,$M143)&gt;0,
     COUNTIFS($AA$3:$AA$201,$M143)&gt;0,
     COUNTIFS($AB$3:$AB$201,$M143)&gt;0,
     COUNTIFS($AC$3:$AC$201,$M143)&gt;0,
     COUNTIFS($AD$3:$AD$201,$M143)&gt;0,
     COUNTIFS($AE$3:$AE$201,$M143)&gt;0,
     COUNTIFS($AF$3:$AF$201,$M143)&gt;0,
     COUNTIFS($AG$3:$AG$201,$M143)&gt;0,
     COUNTIFS($AH$3:$AH$201,$M143)&gt;0,
     COUNTIFS($AI$3:$AI$201,$M143)&gt;0,
     COUNTIFS($AJ$3:$AJ$201,$M143)&gt;0,
     COUNTIFS($AK$3:$AK$201,$M143)&gt;0,
     COUNTIFS($AL$3:$AL$201,$M143)&gt;0,
     COUNTIFS($AM$3:$AM$201,$M143)&gt;0,
     COUNTIFS($AN$3:$AN$201,$M143)&gt;0,
     COUNTIFS($AO$3:$AO$201,$M143)&gt;0,
     COUNTIFS($AP$3:$AP$201,$M143)&gt;0,
     COUNTIFS($AQ$3:$AQ$201,$M143)&gt;0,
     COUNTIFS($AR$3:$AR$201,$M143)&gt;0,
     COUNTIFS($AS$3:$AS$201,$M143)&gt;0,
     COUNTIFS($AT$3:$AT$201,$M143)&gt;0,
     COUNTIFS($AU$3:$AU$201,$M143)&gt;0,
     COUNTIFS($AV$3:$AV$201,$M143)&gt;0,
     COUNTIFS($AW$3:$AW$201,$M143)&gt;0
   )),
  ),
  2
 ),
"")</f>
        <v/>
      </c>
      <c r="Q143" s="3" t="str" cm="1">
        <f t="array" aca="1" ref="Q143" ca="1">IFERROR(
 INDEX(
  _xlfn._xlws.FILTER($T$2:$AW$2,
   TRANSPOSE(
    CHOOSE({1;2;3;4;5;6;7;8;9;10;11;12;13;14;15;16;17;18;19;20;21;22;23;24;25;26;27;28;29;30},
     COUNTIFS($T$3:$T$201,$M143)&gt;0,
     COUNTIFS($U$3:$U$201,$M143)&gt;0,
     COUNTIFS($V$3:$V$201,$M143)&gt;0,
     COUNTIFS($W$3:$W$201,$M143)&gt;0,
     COUNTIFS($X$3:$X$201,$M143)&gt;0,
     COUNTIFS($Y$3:$Y$201,$M143)&gt;0,
     COUNTIFS($Z$3:$Z$201,$M143)&gt;0,
     COUNTIFS($AA$3:$AA$201,$M143)&gt;0,
     COUNTIFS($AB$3:$AB$201,$M143)&gt;0,
     COUNTIFS($AC$3:$AC$201,$M143)&gt;0,
     COUNTIFS($AD$3:$AD$201,$M143)&gt;0,
     COUNTIFS($AE$3:$AE$201,$M143)&gt;0,
     COUNTIFS($AF$3:$AF$201,$M143)&gt;0,
     COUNTIFS($AG$3:$AG$201,$M143)&gt;0,
     COUNTIFS($AH$3:$AH$201,$M143)&gt;0,
     COUNTIFS($AI$3:$AI$201,$M143)&gt;0,
     COUNTIFS($AJ$3:$AJ$201,$M143)&gt;0,
     COUNTIFS($AK$3:$AK$201,$M143)&gt;0,
     COUNTIFS($AL$3:$AL$201,$M143)&gt;0,
     COUNTIFS($AM$3:$AM$201,$M143)&gt;0,
     COUNTIFS($AN$3:$AN$201,$M143)&gt;0,
     COUNTIFS($AO$3:$AO$201,$M143)&gt;0,
     COUNTIFS($AP$3:$AP$201,$M143)&gt;0,
     COUNTIFS($AQ$3:$AQ$201,$M143)&gt;0,
     COUNTIFS($AR$3:$AR$201,$M143)&gt;0,
     COUNTIFS($AS$3:$AS$201,$M143)&gt;0,
     COUNTIFS($AT$3:$AT$201,$M143)&gt;0,
     COUNTIFS($AU$3:$AU$201,$M143)&gt;0,
     COUNTIFS($AV$3:$AV$201,$M143)&gt;0,
     COUNTIFS($AW$3:$AW$201,$M143)&gt;0
   )),
  ),
  3
 ),
"")</f>
        <v/>
      </c>
      <c r="R143" s="3" t="str" cm="1">
        <f t="array" aca="1" ref="R143" ca="1">IFERROR(
 INDEX(
  _xlfn._xlws.FILTER($T$2:$AW$2,
   TRANSPOSE(
    CHOOSE({1;2;3;4;5;6;7;8;9;10;11;12;13;14;15;16;17;18;19;20;21;22;23;24;25;26;27;28;29;30},
     COUNTIFS($T$3:$T$201,$M143)&gt;0,
     COUNTIFS($U$3:$U$201,$M143)&gt;0,
     COUNTIFS($V$3:$V$201,$M143)&gt;0,
     COUNTIFS($W$3:$W$201,$M143)&gt;0,
     COUNTIFS($X$3:$X$201,$M143)&gt;0,
     COUNTIFS($Y$3:$Y$201,$M143)&gt;0,
     COUNTIFS($Z$3:$Z$201,$M143)&gt;0,
     COUNTIFS($AA$3:$AA$201,$M143)&gt;0,
     COUNTIFS($AB$3:$AB$201,$M143)&gt;0,
     COUNTIFS($AC$3:$AC$201,$M143)&gt;0,
     COUNTIFS($AD$3:$AD$201,$M143)&gt;0,
     COUNTIFS($AE$3:$AE$201,$M143)&gt;0,
     COUNTIFS($AF$3:$AF$201,$M143)&gt;0,
     COUNTIFS($AG$3:$AG$201,$M143)&gt;0,
     COUNTIFS($AH$3:$AH$201,$M143)&gt;0,
     COUNTIFS($AI$3:$AI$201,$M143)&gt;0,
     COUNTIFS($AJ$3:$AJ$201,$M143)&gt;0,
     COUNTIFS($AK$3:$AK$201,$M143)&gt;0,
     COUNTIFS($AL$3:$AL$201,$M143)&gt;0,
     COUNTIFS($AM$3:$AM$201,$M143)&gt;0,
     COUNTIFS($AN$3:$AN$201,$M143)&gt;0,
     COUNTIFS($AO$3:$AO$201,$M143)&gt;0,
     COUNTIFS($AP$3:$AP$201,$M143)&gt;0,
     COUNTIFS($AQ$3:$AQ$201,$M143)&gt;0,
     COUNTIFS($AR$3:$AR$201,$M143)&gt;0,
     COUNTIFS($AS$3:$AS$201,$M143)&gt;0,
     COUNTIFS($AT$3:$AT$201,$M143)&gt;0,
     COUNTIFS($AU$3:$AU$201,$M143)&gt;0,
     COUNTIFS($AV$3:$AV$201,$M143)&gt;0,
     COUNTIFS($AW$3:$AW$201,$M143)&gt;0
   )),
  ),
  4
 ),
"")</f>
        <v/>
      </c>
      <c r="CF143" t="str">
        <f ca="1"/>
        <v>Realmbreaker, the Invasion Tree</v>
      </c>
      <c r="CI143" t="str">
        <f ca="1"/>
        <v>Mascara da Longevisão</v>
      </c>
    </row>
    <row r="144" spans="1:87" x14ac:dyDescent="0.25">
      <c r="A144" t="str">
        <f ca="1"/>
        <v>Kaya the Inexorable</v>
      </c>
      <c r="B144" s="3" t="str" cm="1">
        <f t="array" aca="1" ref="B144" ca="1">_xlfn.ANCHORARRAY(RESUMO!C143)</f>
        <v>Sisay</v>
      </c>
      <c r="C144" s="3" t="str">
        <f t="shared" ca="1" si="8"/>
        <v/>
      </c>
      <c r="E144" t="str">
        <f ca="1"/>
        <v>Master of Death</v>
      </c>
      <c r="F144" s="3">
        <f t="shared" ca="1" si="9"/>
        <v>1</v>
      </c>
      <c r="G144" s="3" t="str">
        <f t="shared" ca="1" si="10"/>
        <v>Inalla</v>
      </c>
      <c r="M144" t="str">
        <f ca="1"/>
        <v>Master of Death</v>
      </c>
      <c r="N144" s="3">
        <f t="shared" ca="1" si="11"/>
        <v>1</v>
      </c>
      <c r="O144" s="3" t="str">
        <f ca="1">IFERROR(
 INDEX($T$2:$AW$2,
  MATCH(TRUE,
   CHOOSE({1;2;3;4;5;6;7;8;9;10;11;12;13;14;15;16;17;18;19;20;21;22;23;24;25;26;27;28;29;30;31;32},
    COUNTIFS($T$3:$T$201,$M144)&gt;0,
    COUNTIFS($U$3:$U$201,$M144)&gt;0,
    COUNTIFS($V$3:$V$201,$M144)&gt;0,
    COUNTIFS($W$3:$W$201,$M144)&gt;0,
    COUNTIFS($X$3:$X$201,$M144)&gt;0,
    COUNTIFS($Y$3:$Y$201,$M144)&gt;0,
    COUNTIFS($Z$3:$Z$201,$M144)&gt;0,
    COUNTIFS($AA$3:$AA$201,$M144)&gt;0,
    COUNTIFS($AB$3:$AB$201,$M144)&gt;0,
    COUNTIFS($AC$3:$AC$201,$M144)&gt;0,
    COUNTIFS($AD$3:$AD$201,$M144)&gt;0,
    COUNTIFS($AE$3:$AE$201,$M144)&gt;0,
    COUNTIFS($AF$3:$AF$201,$M144)&gt;0,
    COUNTIFS($AG$3:$AG$201,$M144)&gt;0,
    COUNTIFS($AH$3:$AH$201,$M144)&gt;0,
    COUNTIFS($AI$3:$AI$201,$M144)&gt;0,
    COUNTIFS($AJ$3:$AJ$201,$M144)&gt;0,
    COUNTIFS($AK$3:$AK$201,$M144)&gt;0,
    COUNTIFS($AL$3:$AL$201,$M144)&gt;0,
    COUNTIFS($AM$3:$AM$201,$M144)&gt;0,
    COUNTIFS($AN$3:$AN$201,$M144)&gt;0,
    COUNTIFS($AO$3:$AO$201,$M144)&gt;0,
    COUNTIFS($AP$3:$AP$201,$M144)&gt;0,
    COUNTIFS($AQ$3:$AQ$201,$M144)&gt;0,
    COUNTIFS($AR$3:$AR$201,$M144)&gt;0,
    COUNTIFS($AS$3:$AS$201,$M144)&gt;0,
    COUNTIFS($AT$3:$AT$201,$M144)&gt;0,
    COUNTIFS($AU$3:$AU$201,$M144)&gt;0,
    COUNTIFS($AV$3:$AV$201,$M144)&gt;0,
    COUNTIFS($AW$3:$AW$201,$M144)&gt;0
   ),
  0)
 ),
"")</f>
        <v>Inalla</v>
      </c>
      <c r="P144" s="3" t="str" cm="1">
        <f t="array" aca="1" ref="P144" ca="1">IFERROR(
 INDEX(
  _xlfn._xlws.FILTER($T$2:$AW$2,
   TRANSPOSE(
    CHOOSE({1;2;3;4;5;6;7;8;9;10;11;12;13;14;15;16;17;18;19;20;21;22;23;24;25;26;27;28;29;30},
     COUNTIFS($T$3:$T$201,$M144)&gt;0,
     COUNTIFS($U$3:$U$201,$M144)&gt;0,
     COUNTIFS($V$3:$V$201,$M144)&gt;0,
     COUNTIFS($W$3:$W$201,$M144)&gt;0,
     COUNTIFS($X$3:$X$201,$M144)&gt;0,
     COUNTIFS($Y$3:$Y$201,$M144)&gt;0,
     COUNTIFS($Z$3:$Z$201,$M144)&gt;0,
     COUNTIFS($AA$3:$AA$201,$M144)&gt;0,
     COUNTIFS($AB$3:$AB$201,$M144)&gt;0,
     COUNTIFS($AC$3:$AC$201,$M144)&gt;0,
     COUNTIFS($AD$3:$AD$201,$M144)&gt;0,
     COUNTIFS($AE$3:$AE$201,$M144)&gt;0,
     COUNTIFS($AF$3:$AF$201,$M144)&gt;0,
     COUNTIFS($AG$3:$AG$201,$M144)&gt;0,
     COUNTIFS($AH$3:$AH$201,$M144)&gt;0,
     COUNTIFS($AI$3:$AI$201,$M144)&gt;0,
     COUNTIFS($AJ$3:$AJ$201,$M144)&gt;0,
     COUNTIFS($AK$3:$AK$201,$M144)&gt;0,
     COUNTIFS($AL$3:$AL$201,$M144)&gt;0,
     COUNTIFS($AM$3:$AM$201,$M144)&gt;0,
     COUNTIFS($AN$3:$AN$201,$M144)&gt;0,
     COUNTIFS($AO$3:$AO$201,$M144)&gt;0,
     COUNTIFS($AP$3:$AP$201,$M144)&gt;0,
     COUNTIFS($AQ$3:$AQ$201,$M144)&gt;0,
     COUNTIFS($AR$3:$AR$201,$M144)&gt;0,
     COUNTIFS($AS$3:$AS$201,$M144)&gt;0,
     COUNTIFS($AT$3:$AT$201,$M144)&gt;0,
     COUNTIFS($AU$3:$AU$201,$M144)&gt;0,
     COUNTIFS($AV$3:$AV$201,$M144)&gt;0,
     COUNTIFS($AW$3:$AW$201,$M144)&gt;0
   )),
  ),
  2
 ),
"")</f>
        <v/>
      </c>
      <c r="Q144" s="3" t="str" cm="1">
        <f t="array" aca="1" ref="Q144" ca="1">IFERROR(
 INDEX(
  _xlfn._xlws.FILTER($T$2:$AW$2,
   TRANSPOSE(
    CHOOSE({1;2;3;4;5;6;7;8;9;10;11;12;13;14;15;16;17;18;19;20;21;22;23;24;25;26;27;28;29;30},
     COUNTIFS($T$3:$T$201,$M144)&gt;0,
     COUNTIFS($U$3:$U$201,$M144)&gt;0,
     COUNTIFS($V$3:$V$201,$M144)&gt;0,
     COUNTIFS($W$3:$W$201,$M144)&gt;0,
     COUNTIFS($X$3:$X$201,$M144)&gt;0,
     COUNTIFS($Y$3:$Y$201,$M144)&gt;0,
     COUNTIFS($Z$3:$Z$201,$M144)&gt;0,
     COUNTIFS($AA$3:$AA$201,$M144)&gt;0,
     COUNTIFS($AB$3:$AB$201,$M144)&gt;0,
     COUNTIFS($AC$3:$AC$201,$M144)&gt;0,
     COUNTIFS($AD$3:$AD$201,$M144)&gt;0,
     COUNTIFS($AE$3:$AE$201,$M144)&gt;0,
     COUNTIFS($AF$3:$AF$201,$M144)&gt;0,
     COUNTIFS($AG$3:$AG$201,$M144)&gt;0,
     COUNTIFS($AH$3:$AH$201,$M144)&gt;0,
     COUNTIFS($AI$3:$AI$201,$M144)&gt;0,
     COUNTIFS($AJ$3:$AJ$201,$M144)&gt;0,
     COUNTIFS($AK$3:$AK$201,$M144)&gt;0,
     COUNTIFS($AL$3:$AL$201,$M144)&gt;0,
     COUNTIFS($AM$3:$AM$201,$M144)&gt;0,
     COUNTIFS($AN$3:$AN$201,$M144)&gt;0,
     COUNTIFS($AO$3:$AO$201,$M144)&gt;0,
     COUNTIFS($AP$3:$AP$201,$M144)&gt;0,
     COUNTIFS($AQ$3:$AQ$201,$M144)&gt;0,
     COUNTIFS($AR$3:$AR$201,$M144)&gt;0,
     COUNTIFS($AS$3:$AS$201,$M144)&gt;0,
     COUNTIFS($AT$3:$AT$201,$M144)&gt;0,
     COUNTIFS($AU$3:$AU$201,$M144)&gt;0,
     COUNTIFS($AV$3:$AV$201,$M144)&gt;0,
     COUNTIFS($AW$3:$AW$201,$M144)&gt;0
   )),
  ),
  3
 ),
"")</f>
        <v/>
      </c>
      <c r="R144" s="3" t="str" cm="1">
        <f t="array" aca="1" ref="R144" ca="1">IFERROR(
 INDEX(
  _xlfn._xlws.FILTER($T$2:$AW$2,
   TRANSPOSE(
    CHOOSE({1;2;3;4;5;6;7;8;9;10;11;12;13;14;15;16;17;18;19;20;21;22;23;24;25;26;27;28;29;30},
     COUNTIFS($T$3:$T$201,$M144)&gt;0,
     COUNTIFS($U$3:$U$201,$M144)&gt;0,
     COUNTIFS($V$3:$V$201,$M144)&gt;0,
     COUNTIFS($W$3:$W$201,$M144)&gt;0,
     COUNTIFS($X$3:$X$201,$M144)&gt;0,
     COUNTIFS($Y$3:$Y$201,$M144)&gt;0,
     COUNTIFS($Z$3:$Z$201,$M144)&gt;0,
     COUNTIFS($AA$3:$AA$201,$M144)&gt;0,
     COUNTIFS($AB$3:$AB$201,$M144)&gt;0,
     COUNTIFS($AC$3:$AC$201,$M144)&gt;0,
     COUNTIFS($AD$3:$AD$201,$M144)&gt;0,
     COUNTIFS($AE$3:$AE$201,$M144)&gt;0,
     COUNTIFS($AF$3:$AF$201,$M144)&gt;0,
     COUNTIFS($AG$3:$AG$201,$M144)&gt;0,
     COUNTIFS($AH$3:$AH$201,$M144)&gt;0,
     COUNTIFS($AI$3:$AI$201,$M144)&gt;0,
     COUNTIFS($AJ$3:$AJ$201,$M144)&gt;0,
     COUNTIFS($AK$3:$AK$201,$M144)&gt;0,
     COUNTIFS($AL$3:$AL$201,$M144)&gt;0,
     COUNTIFS($AM$3:$AM$201,$M144)&gt;0,
     COUNTIFS($AN$3:$AN$201,$M144)&gt;0,
     COUNTIFS($AO$3:$AO$201,$M144)&gt;0,
     COUNTIFS($AP$3:$AP$201,$M144)&gt;0,
     COUNTIFS($AQ$3:$AQ$201,$M144)&gt;0,
     COUNTIFS($AR$3:$AR$201,$M144)&gt;0,
     COUNTIFS($AS$3:$AS$201,$M144)&gt;0,
     COUNTIFS($AT$3:$AT$201,$M144)&gt;0,
     COUNTIFS($AU$3:$AU$201,$M144)&gt;0,
     COUNTIFS($AV$3:$AV$201,$M144)&gt;0,
     COUNTIFS($AW$3:$AW$201,$M144)&gt;0
   )),
  ),
  4
 ),
"")</f>
        <v/>
      </c>
      <c r="CF144" t="str">
        <f ca="1"/>
        <v>Reaper's Talisman</v>
      </c>
      <c r="CI144" t="str">
        <f ca="1"/>
        <v>Master of Death</v>
      </c>
    </row>
    <row r="145" spans="1:87" x14ac:dyDescent="0.25">
      <c r="A145" t="str">
        <f ca="1"/>
        <v>Keen Duelist</v>
      </c>
      <c r="B145" s="3" t="str" cm="1">
        <f t="array" aca="1" ref="B145" ca="1">_xlfn.ANCHORARRAY(RESUMO!C144)</f>
        <v>Carlos</v>
      </c>
      <c r="C145" s="3" t="str">
        <f t="shared" ca="1" si="8"/>
        <v/>
      </c>
      <c r="E145" t="str">
        <f ca="1"/>
        <v>Masterful Replication</v>
      </c>
      <c r="F145" s="3">
        <f t="shared" ca="1" si="9"/>
        <v>1</v>
      </c>
      <c r="G145" s="3" t="str">
        <f t="shared" ca="1" si="10"/>
        <v>Oona</v>
      </c>
      <c r="M145" t="str">
        <f ca="1"/>
        <v>Masterful Replication</v>
      </c>
      <c r="N145" s="3">
        <f t="shared" ca="1" si="11"/>
        <v>1</v>
      </c>
      <c r="O145" s="3" t="str">
        <f ca="1">IFERROR(
 INDEX($T$2:$AW$2,
  MATCH(TRUE,
   CHOOSE({1;2;3;4;5;6;7;8;9;10;11;12;13;14;15;16;17;18;19;20;21;22;23;24;25;26;27;28;29;30;31;32},
    COUNTIFS($T$3:$T$201,$M145)&gt;0,
    COUNTIFS($U$3:$U$201,$M145)&gt;0,
    COUNTIFS($V$3:$V$201,$M145)&gt;0,
    COUNTIFS($W$3:$W$201,$M145)&gt;0,
    COUNTIFS($X$3:$X$201,$M145)&gt;0,
    COUNTIFS($Y$3:$Y$201,$M145)&gt;0,
    COUNTIFS($Z$3:$Z$201,$M145)&gt;0,
    COUNTIFS($AA$3:$AA$201,$M145)&gt;0,
    COUNTIFS($AB$3:$AB$201,$M145)&gt;0,
    COUNTIFS($AC$3:$AC$201,$M145)&gt;0,
    COUNTIFS($AD$3:$AD$201,$M145)&gt;0,
    COUNTIFS($AE$3:$AE$201,$M145)&gt;0,
    COUNTIFS($AF$3:$AF$201,$M145)&gt;0,
    COUNTIFS($AG$3:$AG$201,$M145)&gt;0,
    COUNTIFS($AH$3:$AH$201,$M145)&gt;0,
    COUNTIFS($AI$3:$AI$201,$M145)&gt;0,
    COUNTIFS($AJ$3:$AJ$201,$M145)&gt;0,
    COUNTIFS($AK$3:$AK$201,$M145)&gt;0,
    COUNTIFS($AL$3:$AL$201,$M145)&gt;0,
    COUNTIFS($AM$3:$AM$201,$M145)&gt;0,
    COUNTIFS($AN$3:$AN$201,$M145)&gt;0,
    COUNTIFS($AO$3:$AO$201,$M145)&gt;0,
    COUNTIFS($AP$3:$AP$201,$M145)&gt;0,
    COUNTIFS($AQ$3:$AQ$201,$M145)&gt;0,
    COUNTIFS($AR$3:$AR$201,$M145)&gt;0,
    COUNTIFS($AS$3:$AS$201,$M145)&gt;0,
    COUNTIFS($AT$3:$AT$201,$M145)&gt;0,
    COUNTIFS($AU$3:$AU$201,$M145)&gt;0,
    COUNTIFS($AV$3:$AV$201,$M145)&gt;0,
    COUNTIFS($AW$3:$AW$201,$M145)&gt;0
   ),
  0)
 ),
"")</f>
        <v>Oona</v>
      </c>
      <c r="P145" s="3" t="str" cm="1">
        <f t="array" aca="1" ref="P145" ca="1">IFERROR(
 INDEX(
  _xlfn._xlws.FILTER($T$2:$AW$2,
   TRANSPOSE(
    CHOOSE({1;2;3;4;5;6;7;8;9;10;11;12;13;14;15;16;17;18;19;20;21;22;23;24;25;26;27;28;29;30},
     COUNTIFS($T$3:$T$201,$M145)&gt;0,
     COUNTIFS($U$3:$U$201,$M145)&gt;0,
     COUNTIFS($V$3:$V$201,$M145)&gt;0,
     COUNTIFS($W$3:$W$201,$M145)&gt;0,
     COUNTIFS($X$3:$X$201,$M145)&gt;0,
     COUNTIFS($Y$3:$Y$201,$M145)&gt;0,
     COUNTIFS($Z$3:$Z$201,$M145)&gt;0,
     COUNTIFS($AA$3:$AA$201,$M145)&gt;0,
     COUNTIFS($AB$3:$AB$201,$M145)&gt;0,
     COUNTIFS($AC$3:$AC$201,$M145)&gt;0,
     COUNTIFS($AD$3:$AD$201,$M145)&gt;0,
     COUNTIFS($AE$3:$AE$201,$M145)&gt;0,
     COUNTIFS($AF$3:$AF$201,$M145)&gt;0,
     COUNTIFS($AG$3:$AG$201,$M145)&gt;0,
     COUNTIFS($AH$3:$AH$201,$M145)&gt;0,
     COUNTIFS($AI$3:$AI$201,$M145)&gt;0,
     COUNTIFS($AJ$3:$AJ$201,$M145)&gt;0,
     COUNTIFS($AK$3:$AK$201,$M145)&gt;0,
     COUNTIFS($AL$3:$AL$201,$M145)&gt;0,
     COUNTIFS($AM$3:$AM$201,$M145)&gt;0,
     COUNTIFS($AN$3:$AN$201,$M145)&gt;0,
     COUNTIFS($AO$3:$AO$201,$M145)&gt;0,
     COUNTIFS($AP$3:$AP$201,$M145)&gt;0,
     COUNTIFS($AQ$3:$AQ$201,$M145)&gt;0,
     COUNTIFS($AR$3:$AR$201,$M145)&gt;0,
     COUNTIFS($AS$3:$AS$201,$M145)&gt;0,
     COUNTIFS($AT$3:$AT$201,$M145)&gt;0,
     COUNTIFS($AU$3:$AU$201,$M145)&gt;0,
     COUNTIFS($AV$3:$AV$201,$M145)&gt;0,
     COUNTIFS($AW$3:$AW$201,$M145)&gt;0
   )),
  ),
  2
 ),
"")</f>
        <v/>
      </c>
      <c r="Q145" s="3" t="str" cm="1">
        <f t="array" aca="1" ref="Q145" ca="1">IFERROR(
 INDEX(
  _xlfn._xlws.FILTER($T$2:$AW$2,
   TRANSPOSE(
    CHOOSE({1;2;3;4;5;6;7;8;9;10;11;12;13;14;15;16;17;18;19;20;21;22;23;24;25;26;27;28;29;30},
     COUNTIFS($T$3:$T$201,$M145)&gt;0,
     COUNTIFS($U$3:$U$201,$M145)&gt;0,
     COUNTIFS($V$3:$V$201,$M145)&gt;0,
     COUNTIFS($W$3:$W$201,$M145)&gt;0,
     COUNTIFS($X$3:$X$201,$M145)&gt;0,
     COUNTIFS($Y$3:$Y$201,$M145)&gt;0,
     COUNTIFS($Z$3:$Z$201,$M145)&gt;0,
     COUNTIFS($AA$3:$AA$201,$M145)&gt;0,
     COUNTIFS($AB$3:$AB$201,$M145)&gt;0,
     COUNTIFS($AC$3:$AC$201,$M145)&gt;0,
     COUNTIFS($AD$3:$AD$201,$M145)&gt;0,
     COUNTIFS($AE$3:$AE$201,$M145)&gt;0,
     COUNTIFS($AF$3:$AF$201,$M145)&gt;0,
     COUNTIFS($AG$3:$AG$201,$M145)&gt;0,
     COUNTIFS($AH$3:$AH$201,$M145)&gt;0,
     COUNTIFS($AI$3:$AI$201,$M145)&gt;0,
     COUNTIFS($AJ$3:$AJ$201,$M145)&gt;0,
     COUNTIFS($AK$3:$AK$201,$M145)&gt;0,
     COUNTIFS($AL$3:$AL$201,$M145)&gt;0,
     COUNTIFS($AM$3:$AM$201,$M145)&gt;0,
     COUNTIFS($AN$3:$AN$201,$M145)&gt;0,
     COUNTIFS($AO$3:$AO$201,$M145)&gt;0,
     COUNTIFS($AP$3:$AP$201,$M145)&gt;0,
     COUNTIFS($AQ$3:$AQ$201,$M145)&gt;0,
     COUNTIFS($AR$3:$AR$201,$M145)&gt;0,
     COUNTIFS($AS$3:$AS$201,$M145)&gt;0,
     COUNTIFS($AT$3:$AT$201,$M145)&gt;0,
     COUNTIFS($AU$3:$AU$201,$M145)&gt;0,
     COUNTIFS($AV$3:$AV$201,$M145)&gt;0,
     COUNTIFS($AW$3:$AW$201,$M145)&gt;0
   )),
  ),
  3
 ),
"")</f>
        <v/>
      </c>
      <c r="R145" s="3" t="str" cm="1">
        <f t="array" aca="1" ref="R145" ca="1">IFERROR(
 INDEX(
  _xlfn._xlws.FILTER($T$2:$AW$2,
   TRANSPOSE(
    CHOOSE({1;2;3;4;5;6;7;8;9;10;11;12;13;14;15;16;17;18;19;20;21;22;23;24;25;26;27;28;29;30},
     COUNTIFS($T$3:$T$201,$M145)&gt;0,
     COUNTIFS($U$3:$U$201,$M145)&gt;0,
     COUNTIFS($V$3:$V$201,$M145)&gt;0,
     COUNTIFS($W$3:$W$201,$M145)&gt;0,
     COUNTIFS($X$3:$X$201,$M145)&gt;0,
     COUNTIFS($Y$3:$Y$201,$M145)&gt;0,
     COUNTIFS($Z$3:$Z$201,$M145)&gt;0,
     COUNTIFS($AA$3:$AA$201,$M145)&gt;0,
     COUNTIFS($AB$3:$AB$201,$M145)&gt;0,
     COUNTIFS($AC$3:$AC$201,$M145)&gt;0,
     COUNTIFS($AD$3:$AD$201,$M145)&gt;0,
     COUNTIFS($AE$3:$AE$201,$M145)&gt;0,
     COUNTIFS($AF$3:$AF$201,$M145)&gt;0,
     COUNTIFS($AG$3:$AG$201,$M145)&gt;0,
     COUNTIFS($AH$3:$AH$201,$M145)&gt;0,
     COUNTIFS($AI$3:$AI$201,$M145)&gt;0,
     COUNTIFS($AJ$3:$AJ$201,$M145)&gt;0,
     COUNTIFS($AK$3:$AK$201,$M145)&gt;0,
     COUNTIFS($AL$3:$AL$201,$M145)&gt;0,
     COUNTIFS($AM$3:$AM$201,$M145)&gt;0,
     COUNTIFS($AN$3:$AN$201,$M145)&gt;0,
     COUNTIFS($AO$3:$AO$201,$M145)&gt;0,
     COUNTIFS($AP$3:$AP$201,$M145)&gt;0,
     COUNTIFS($AQ$3:$AQ$201,$M145)&gt;0,
     COUNTIFS($AR$3:$AR$201,$M145)&gt;0,
     COUNTIFS($AS$3:$AS$201,$M145)&gt;0,
     COUNTIFS($AT$3:$AT$201,$M145)&gt;0,
     COUNTIFS($AU$3:$AU$201,$M145)&gt;0,
     COUNTIFS($AV$3:$AV$201,$M145)&gt;0,
     COUNTIFS($AW$3:$AW$201,$M145)&gt;0
   )),
  ),
  4
 ),
"")</f>
        <v/>
      </c>
      <c r="CF145" t="str">
        <f ca="1"/>
        <v>Rebento de Halaster</v>
      </c>
      <c r="CI145" t="str">
        <f ca="1"/>
        <v>Masterful Replication</v>
      </c>
    </row>
    <row r="146" spans="1:87" x14ac:dyDescent="0.25">
      <c r="A146" t="str">
        <f ca="1"/>
        <v>Kellan, the Fae-Blooded // Birthright Boon</v>
      </c>
      <c r="B146" s="3" t="str" cm="1">
        <f t="array" aca="1" ref="B146" ca="1">_xlfn.ANCHORARRAY(RESUMO!C145)</f>
        <v>Akiri</v>
      </c>
      <c r="C146" s="3" t="str">
        <f t="shared" ca="1" si="8"/>
        <v/>
      </c>
      <c r="E146" t="str">
        <f ca="1"/>
        <v>Medalhão de Bant</v>
      </c>
      <c r="F146" s="3">
        <f t="shared" ca="1" si="9"/>
        <v>1</v>
      </c>
      <c r="G146" s="3" t="str">
        <f t="shared" ca="1" si="10"/>
        <v>Sisay</v>
      </c>
      <c r="M146" t="str">
        <f ca="1"/>
        <v>Medalhão de Bant</v>
      </c>
      <c r="N146" s="3">
        <f t="shared" ca="1" si="11"/>
        <v>1</v>
      </c>
      <c r="O146" s="3" t="str">
        <f ca="1">IFERROR(
 INDEX($T$2:$AW$2,
  MATCH(TRUE,
   CHOOSE({1;2;3;4;5;6;7;8;9;10;11;12;13;14;15;16;17;18;19;20;21;22;23;24;25;26;27;28;29;30;31;32},
    COUNTIFS($T$3:$T$201,$M146)&gt;0,
    COUNTIFS($U$3:$U$201,$M146)&gt;0,
    COUNTIFS($V$3:$V$201,$M146)&gt;0,
    COUNTIFS($W$3:$W$201,$M146)&gt;0,
    COUNTIFS($X$3:$X$201,$M146)&gt;0,
    COUNTIFS($Y$3:$Y$201,$M146)&gt;0,
    COUNTIFS($Z$3:$Z$201,$M146)&gt;0,
    COUNTIFS($AA$3:$AA$201,$M146)&gt;0,
    COUNTIFS($AB$3:$AB$201,$M146)&gt;0,
    COUNTIFS($AC$3:$AC$201,$M146)&gt;0,
    COUNTIFS($AD$3:$AD$201,$M146)&gt;0,
    COUNTIFS($AE$3:$AE$201,$M146)&gt;0,
    COUNTIFS($AF$3:$AF$201,$M146)&gt;0,
    COUNTIFS($AG$3:$AG$201,$M146)&gt;0,
    COUNTIFS($AH$3:$AH$201,$M146)&gt;0,
    COUNTIFS($AI$3:$AI$201,$M146)&gt;0,
    COUNTIFS($AJ$3:$AJ$201,$M146)&gt;0,
    COUNTIFS($AK$3:$AK$201,$M146)&gt;0,
    COUNTIFS($AL$3:$AL$201,$M146)&gt;0,
    COUNTIFS($AM$3:$AM$201,$M146)&gt;0,
    COUNTIFS($AN$3:$AN$201,$M146)&gt;0,
    COUNTIFS($AO$3:$AO$201,$M146)&gt;0,
    COUNTIFS($AP$3:$AP$201,$M146)&gt;0,
    COUNTIFS($AQ$3:$AQ$201,$M146)&gt;0,
    COUNTIFS($AR$3:$AR$201,$M146)&gt;0,
    COUNTIFS($AS$3:$AS$201,$M146)&gt;0,
    COUNTIFS($AT$3:$AT$201,$M146)&gt;0,
    COUNTIFS($AU$3:$AU$201,$M146)&gt;0,
    COUNTIFS($AV$3:$AV$201,$M146)&gt;0,
    COUNTIFS($AW$3:$AW$201,$M146)&gt;0
   ),
  0)
 ),
"")</f>
        <v>Sisay</v>
      </c>
      <c r="P146" s="3" t="str" cm="1">
        <f t="array" aca="1" ref="P146" ca="1">IFERROR(
 INDEX(
  _xlfn._xlws.FILTER($T$2:$AW$2,
   TRANSPOSE(
    CHOOSE({1;2;3;4;5;6;7;8;9;10;11;12;13;14;15;16;17;18;19;20;21;22;23;24;25;26;27;28;29;30},
     COUNTIFS($T$3:$T$201,$M146)&gt;0,
     COUNTIFS($U$3:$U$201,$M146)&gt;0,
     COUNTIFS($V$3:$V$201,$M146)&gt;0,
     COUNTIFS($W$3:$W$201,$M146)&gt;0,
     COUNTIFS($X$3:$X$201,$M146)&gt;0,
     COUNTIFS($Y$3:$Y$201,$M146)&gt;0,
     COUNTIFS($Z$3:$Z$201,$M146)&gt;0,
     COUNTIFS($AA$3:$AA$201,$M146)&gt;0,
     COUNTIFS($AB$3:$AB$201,$M146)&gt;0,
     COUNTIFS($AC$3:$AC$201,$M146)&gt;0,
     COUNTIFS($AD$3:$AD$201,$M146)&gt;0,
     COUNTIFS($AE$3:$AE$201,$M146)&gt;0,
     COUNTIFS($AF$3:$AF$201,$M146)&gt;0,
     COUNTIFS($AG$3:$AG$201,$M146)&gt;0,
     COUNTIFS($AH$3:$AH$201,$M146)&gt;0,
     COUNTIFS($AI$3:$AI$201,$M146)&gt;0,
     COUNTIFS($AJ$3:$AJ$201,$M146)&gt;0,
     COUNTIFS($AK$3:$AK$201,$M146)&gt;0,
     COUNTIFS($AL$3:$AL$201,$M146)&gt;0,
     COUNTIFS($AM$3:$AM$201,$M146)&gt;0,
     COUNTIFS($AN$3:$AN$201,$M146)&gt;0,
     COUNTIFS($AO$3:$AO$201,$M146)&gt;0,
     COUNTIFS($AP$3:$AP$201,$M146)&gt;0,
     COUNTIFS($AQ$3:$AQ$201,$M146)&gt;0,
     COUNTIFS($AR$3:$AR$201,$M146)&gt;0,
     COUNTIFS($AS$3:$AS$201,$M146)&gt;0,
     COUNTIFS($AT$3:$AT$201,$M146)&gt;0,
     COUNTIFS($AU$3:$AU$201,$M146)&gt;0,
     COUNTIFS($AV$3:$AV$201,$M146)&gt;0,
     COUNTIFS($AW$3:$AW$201,$M146)&gt;0
   )),
  ),
  2
 ),
"")</f>
        <v/>
      </c>
      <c r="Q146" s="3" t="str" cm="1">
        <f t="array" aca="1" ref="Q146" ca="1">IFERROR(
 INDEX(
  _xlfn._xlws.FILTER($T$2:$AW$2,
   TRANSPOSE(
    CHOOSE({1;2;3;4;5;6;7;8;9;10;11;12;13;14;15;16;17;18;19;20;21;22;23;24;25;26;27;28;29;30},
     COUNTIFS($T$3:$T$201,$M146)&gt;0,
     COUNTIFS($U$3:$U$201,$M146)&gt;0,
     COUNTIFS($V$3:$V$201,$M146)&gt;0,
     COUNTIFS($W$3:$W$201,$M146)&gt;0,
     COUNTIFS($X$3:$X$201,$M146)&gt;0,
     COUNTIFS($Y$3:$Y$201,$M146)&gt;0,
     COUNTIFS($Z$3:$Z$201,$M146)&gt;0,
     COUNTIFS($AA$3:$AA$201,$M146)&gt;0,
     COUNTIFS($AB$3:$AB$201,$M146)&gt;0,
     COUNTIFS($AC$3:$AC$201,$M146)&gt;0,
     COUNTIFS($AD$3:$AD$201,$M146)&gt;0,
     COUNTIFS($AE$3:$AE$201,$M146)&gt;0,
     COUNTIFS($AF$3:$AF$201,$M146)&gt;0,
     COUNTIFS($AG$3:$AG$201,$M146)&gt;0,
     COUNTIFS($AH$3:$AH$201,$M146)&gt;0,
     COUNTIFS($AI$3:$AI$201,$M146)&gt;0,
     COUNTIFS($AJ$3:$AJ$201,$M146)&gt;0,
     COUNTIFS($AK$3:$AK$201,$M146)&gt;0,
     COUNTIFS($AL$3:$AL$201,$M146)&gt;0,
     COUNTIFS($AM$3:$AM$201,$M146)&gt;0,
     COUNTIFS($AN$3:$AN$201,$M146)&gt;0,
     COUNTIFS($AO$3:$AO$201,$M146)&gt;0,
     COUNTIFS($AP$3:$AP$201,$M146)&gt;0,
     COUNTIFS($AQ$3:$AQ$201,$M146)&gt;0,
     COUNTIFS($AR$3:$AR$201,$M146)&gt;0,
     COUNTIFS($AS$3:$AS$201,$M146)&gt;0,
     COUNTIFS($AT$3:$AT$201,$M146)&gt;0,
     COUNTIFS($AU$3:$AU$201,$M146)&gt;0,
     COUNTIFS($AV$3:$AV$201,$M146)&gt;0,
     COUNTIFS($AW$3:$AW$201,$M146)&gt;0
   )),
  ),
  3
 ),
"")</f>
        <v/>
      </c>
      <c r="R146" s="3" t="str" cm="1">
        <f t="array" aca="1" ref="R146" ca="1">IFERROR(
 INDEX(
  _xlfn._xlws.FILTER($T$2:$AW$2,
   TRANSPOSE(
    CHOOSE({1;2;3;4;5;6;7;8;9;10;11;12;13;14;15;16;17;18;19;20;21;22;23;24;25;26;27;28;29;30},
     COUNTIFS($T$3:$T$201,$M146)&gt;0,
     COUNTIFS($U$3:$U$201,$M146)&gt;0,
     COUNTIFS($V$3:$V$201,$M146)&gt;0,
     COUNTIFS($W$3:$W$201,$M146)&gt;0,
     COUNTIFS($X$3:$X$201,$M146)&gt;0,
     COUNTIFS($Y$3:$Y$201,$M146)&gt;0,
     COUNTIFS($Z$3:$Z$201,$M146)&gt;0,
     COUNTIFS($AA$3:$AA$201,$M146)&gt;0,
     COUNTIFS($AB$3:$AB$201,$M146)&gt;0,
     COUNTIFS($AC$3:$AC$201,$M146)&gt;0,
     COUNTIFS($AD$3:$AD$201,$M146)&gt;0,
     COUNTIFS($AE$3:$AE$201,$M146)&gt;0,
     COUNTIFS($AF$3:$AF$201,$M146)&gt;0,
     COUNTIFS($AG$3:$AG$201,$M146)&gt;0,
     COUNTIFS($AH$3:$AH$201,$M146)&gt;0,
     COUNTIFS($AI$3:$AI$201,$M146)&gt;0,
     COUNTIFS($AJ$3:$AJ$201,$M146)&gt;0,
     COUNTIFS($AK$3:$AK$201,$M146)&gt;0,
     COUNTIFS($AL$3:$AL$201,$M146)&gt;0,
     COUNTIFS($AM$3:$AM$201,$M146)&gt;0,
     COUNTIFS($AN$3:$AN$201,$M146)&gt;0,
     COUNTIFS($AO$3:$AO$201,$M146)&gt;0,
     COUNTIFS($AP$3:$AP$201,$M146)&gt;0,
     COUNTIFS($AQ$3:$AQ$201,$M146)&gt;0,
     COUNTIFS($AR$3:$AR$201,$M146)&gt;0,
     COUNTIFS($AS$3:$AS$201,$M146)&gt;0,
     COUNTIFS($AT$3:$AT$201,$M146)&gt;0,
     COUNTIFS($AU$3:$AU$201,$M146)&gt;0,
     COUNTIFS($AV$3:$AV$201,$M146)&gt;0,
     COUNTIFS($AW$3:$AW$201,$M146)&gt;0
   )),
  ),
  4
 ),
"")</f>
        <v/>
      </c>
      <c r="CF146" t="str">
        <f ca="1"/>
        <v>Recifes de Nau-Terror</v>
      </c>
      <c r="CI146" t="str">
        <f ca="1"/>
        <v>Medalhão de Bant</v>
      </c>
    </row>
    <row r="147" spans="1:87" x14ac:dyDescent="0.25">
      <c r="A147" t="str">
        <f ca="1"/>
        <v>Khorvath's Fury</v>
      </c>
      <c r="B147" s="3" t="str" cm="1">
        <f t="array" aca="1" ref="B147" ca="1">_xlfn.ANCHORARRAY(RESUMO!C146)</f>
        <v>Narset</v>
      </c>
      <c r="C147" s="3" t="str">
        <f t="shared" ca="1" si="8"/>
        <v/>
      </c>
      <c r="E147" t="str">
        <f ca="1"/>
        <v>Medalhão de Naya</v>
      </c>
      <c r="F147" s="3">
        <f t="shared" ca="1" si="9"/>
        <v>1</v>
      </c>
      <c r="G147" s="3" t="str">
        <f t="shared" ca="1" si="10"/>
        <v>Baylen</v>
      </c>
      <c r="M147" t="str">
        <f ca="1"/>
        <v>Medalhão de Naya</v>
      </c>
      <c r="N147" s="3">
        <f t="shared" ca="1" si="11"/>
        <v>1</v>
      </c>
      <c r="O147" s="3" t="str">
        <f ca="1">IFERROR(
 INDEX($T$2:$AW$2,
  MATCH(TRUE,
   CHOOSE({1;2;3;4;5;6;7;8;9;10;11;12;13;14;15;16;17;18;19;20;21;22;23;24;25;26;27;28;29;30;31;32},
    COUNTIFS($T$3:$T$201,$M147)&gt;0,
    COUNTIFS($U$3:$U$201,$M147)&gt;0,
    COUNTIFS($V$3:$V$201,$M147)&gt;0,
    COUNTIFS($W$3:$W$201,$M147)&gt;0,
    COUNTIFS($X$3:$X$201,$M147)&gt;0,
    COUNTIFS($Y$3:$Y$201,$M147)&gt;0,
    COUNTIFS($Z$3:$Z$201,$M147)&gt;0,
    COUNTIFS($AA$3:$AA$201,$M147)&gt;0,
    COUNTIFS($AB$3:$AB$201,$M147)&gt;0,
    COUNTIFS($AC$3:$AC$201,$M147)&gt;0,
    COUNTIFS($AD$3:$AD$201,$M147)&gt;0,
    COUNTIFS($AE$3:$AE$201,$M147)&gt;0,
    COUNTIFS($AF$3:$AF$201,$M147)&gt;0,
    COUNTIFS($AG$3:$AG$201,$M147)&gt;0,
    COUNTIFS($AH$3:$AH$201,$M147)&gt;0,
    COUNTIFS($AI$3:$AI$201,$M147)&gt;0,
    COUNTIFS($AJ$3:$AJ$201,$M147)&gt;0,
    COUNTIFS($AK$3:$AK$201,$M147)&gt;0,
    COUNTIFS($AL$3:$AL$201,$M147)&gt;0,
    COUNTIFS($AM$3:$AM$201,$M147)&gt;0,
    COUNTIFS($AN$3:$AN$201,$M147)&gt;0,
    COUNTIFS($AO$3:$AO$201,$M147)&gt;0,
    COUNTIFS($AP$3:$AP$201,$M147)&gt;0,
    COUNTIFS($AQ$3:$AQ$201,$M147)&gt;0,
    COUNTIFS($AR$3:$AR$201,$M147)&gt;0,
    COUNTIFS($AS$3:$AS$201,$M147)&gt;0,
    COUNTIFS($AT$3:$AT$201,$M147)&gt;0,
    COUNTIFS($AU$3:$AU$201,$M147)&gt;0,
    COUNTIFS($AV$3:$AV$201,$M147)&gt;0,
    COUNTIFS($AW$3:$AW$201,$M147)&gt;0
   ),
  0)
 ),
"")</f>
        <v>Baylen</v>
      </c>
      <c r="P147" s="3" t="str" cm="1">
        <f t="array" aca="1" ref="P147" ca="1">IFERROR(
 INDEX(
  _xlfn._xlws.FILTER($T$2:$AW$2,
   TRANSPOSE(
    CHOOSE({1;2;3;4;5;6;7;8;9;10;11;12;13;14;15;16;17;18;19;20;21;22;23;24;25;26;27;28;29;30},
     COUNTIFS($T$3:$T$201,$M147)&gt;0,
     COUNTIFS($U$3:$U$201,$M147)&gt;0,
     COUNTIFS($V$3:$V$201,$M147)&gt;0,
     COUNTIFS($W$3:$W$201,$M147)&gt;0,
     COUNTIFS($X$3:$X$201,$M147)&gt;0,
     COUNTIFS($Y$3:$Y$201,$M147)&gt;0,
     COUNTIFS($Z$3:$Z$201,$M147)&gt;0,
     COUNTIFS($AA$3:$AA$201,$M147)&gt;0,
     COUNTIFS($AB$3:$AB$201,$M147)&gt;0,
     COUNTIFS($AC$3:$AC$201,$M147)&gt;0,
     COUNTIFS($AD$3:$AD$201,$M147)&gt;0,
     COUNTIFS($AE$3:$AE$201,$M147)&gt;0,
     COUNTIFS($AF$3:$AF$201,$M147)&gt;0,
     COUNTIFS($AG$3:$AG$201,$M147)&gt;0,
     COUNTIFS($AH$3:$AH$201,$M147)&gt;0,
     COUNTIFS($AI$3:$AI$201,$M147)&gt;0,
     COUNTIFS($AJ$3:$AJ$201,$M147)&gt;0,
     COUNTIFS($AK$3:$AK$201,$M147)&gt;0,
     COUNTIFS($AL$3:$AL$201,$M147)&gt;0,
     COUNTIFS($AM$3:$AM$201,$M147)&gt;0,
     COUNTIFS($AN$3:$AN$201,$M147)&gt;0,
     COUNTIFS($AO$3:$AO$201,$M147)&gt;0,
     COUNTIFS($AP$3:$AP$201,$M147)&gt;0,
     COUNTIFS($AQ$3:$AQ$201,$M147)&gt;0,
     COUNTIFS($AR$3:$AR$201,$M147)&gt;0,
     COUNTIFS($AS$3:$AS$201,$M147)&gt;0,
     COUNTIFS($AT$3:$AT$201,$M147)&gt;0,
     COUNTIFS($AU$3:$AU$201,$M147)&gt;0,
     COUNTIFS($AV$3:$AV$201,$M147)&gt;0,
     COUNTIFS($AW$3:$AW$201,$M147)&gt;0
   )),
  ),
  2
 ),
"")</f>
        <v/>
      </c>
      <c r="Q147" s="3" t="str" cm="1">
        <f t="array" aca="1" ref="Q147" ca="1">IFERROR(
 INDEX(
  _xlfn._xlws.FILTER($T$2:$AW$2,
   TRANSPOSE(
    CHOOSE({1;2;3;4;5;6;7;8;9;10;11;12;13;14;15;16;17;18;19;20;21;22;23;24;25;26;27;28;29;30},
     COUNTIFS($T$3:$T$201,$M147)&gt;0,
     COUNTIFS($U$3:$U$201,$M147)&gt;0,
     COUNTIFS($V$3:$V$201,$M147)&gt;0,
     COUNTIFS($W$3:$W$201,$M147)&gt;0,
     COUNTIFS($X$3:$X$201,$M147)&gt;0,
     COUNTIFS($Y$3:$Y$201,$M147)&gt;0,
     COUNTIFS($Z$3:$Z$201,$M147)&gt;0,
     COUNTIFS($AA$3:$AA$201,$M147)&gt;0,
     COUNTIFS($AB$3:$AB$201,$M147)&gt;0,
     COUNTIFS($AC$3:$AC$201,$M147)&gt;0,
     COUNTIFS($AD$3:$AD$201,$M147)&gt;0,
     COUNTIFS($AE$3:$AE$201,$M147)&gt;0,
     COUNTIFS($AF$3:$AF$201,$M147)&gt;0,
     COUNTIFS($AG$3:$AG$201,$M147)&gt;0,
     COUNTIFS($AH$3:$AH$201,$M147)&gt;0,
     COUNTIFS($AI$3:$AI$201,$M147)&gt;0,
     COUNTIFS($AJ$3:$AJ$201,$M147)&gt;0,
     COUNTIFS($AK$3:$AK$201,$M147)&gt;0,
     COUNTIFS($AL$3:$AL$201,$M147)&gt;0,
     COUNTIFS($AM$3:$AM$201,$M147)&gt;0,
     COUNTIFS($AN$3:$AN$201,$M147)&gt;0,
     COUNTIFS($AO$3:$AO$201,$M147)&gt;0,
     COUNTIFS($AP$3:$AP$201,$M147)&gt;0,
     COUNTIFS($AQ$3:$AQ$201,$M147)&gt;0,
     COUNTIFS($AR$3:$AR$201,$M147)&gt;0,
     COUNTIFS($AS$3:$AS$201,$M147)&gt;0,
     COUNTIFS($AT$3:$AT$201,$M147)&gt;0,
     COUNTIFS($AU$3:$AU$201,$M147)&gt;0,
     COUNTIFS($AV$3:$AV$201,$M147)&gt;0,
     COUNTIFS($AW$3:$AW$201,$M147)&gt;0
   )),
  ),
  3
 ),
"")</f>
        <v/>
      </c>
      <c r="R147" s="3" t="str" cm="1">
        <f t="array" aca="1" ref="R147" ca="1">IFERROR(
 INDEX(
  _xlfn._xlws.FILTER($T$2:$AW$2,
   TRANSPOSE(
    CHOOSE({1;2;3;4;5;6;7;8;9;10;11;12;13;14;15;16;17;18;19;20;21;22;23;24;25;26;27;28;29;30},
     COUNTIFS($T$3:$T$201,$M147)&gt;0,
     COUNTIFS($U$3:$U$201,$M147)&gt;0,
     COUNTIFS($V$3:$V$201,$M147)&gt;0,
     COUNTIFS($W$3:$W$201,$M147)&gt;0,
     COUNTIFS($X$3:$X$201,$M147)&gt;0,
     COUNTIFS($Y$3:$Y$201,$M147)&gt;0,
     COUNTIFS($Z$3:$Z$201,$M147)&gt;0,
     COUNTIFS($AA$3:$AA$201,$M147)&gt;0,
     COUNTIFS($AB$3:$AB$201,$M147)&gt;0,
     COUNTIFS($AC$3:$AC$201,$M147)&gt;0,
     COUNTIFS($AD$3:$AD$201,$M147)&gt;0,
     COUNTIFS($AE$3:$AE$201,$M147)&gt;0,
     COUNTIFS($AF$3:$AF$201,$M147)&gt;0,
     COUNTIFS($AG$3:$AG$201,$M147)&gt;0,
     COUNTIFS($AH$3:$AH$201,$M147)&gt;0,
     COUNTIFS($AI$3:$AI$201,$M147)&gt;0,
     COUNTIFS($AJ$3:$AJ$201,$M147)&gt;0,
     COUNTIFS($AK$3:$AK$201,$M147)&gt;0,
     COUNTIFS($AL$3:$AL$201,$M147)&gt;0,
     COUNTIFS($AM$3:$AM$201,$M147)&gt;0,
     COUNTIFS($AN$3:$AN$201,$M147)&gt;0,
     COUNTIFS($AO$3:$AO$201,$M147)&gt;0,
     COUNTIFS($AP$3:$AP$201,$M147)&gt;0,
     COUNTIFS($AQ$3:$AQ$201,$M147)&gt;0,
     COUNTIFS($AR$3:$AR$201,$M147)&gt;0,
     COUNTIFS($AS$3:$AS$201,$M147)&gt;0,
     COUNTIFS($AT$3:$AT$201,$M147)&gt;0,
     COUNTIFS($AU$3:$AU$201,$M147)&gt;0,
     COUNTIFS($AV$3:$AV$201,$M147)&gt;0,
     COUNTIFS($AW$3:$AW$201,$M147)&gt;0
   )),
  ),
  4
 ),
"")</f>
        <v/>
      </c>
      <c r="CF147" t="str">
        <f ca="1"/>
        <v>Recrecimento Turbilhonante</v>
      </c>
      <c r="CI147" t="str">
        <f ca="1"/>
        <v>Medalhão de Naya</v>
      </c>
    </row>
    <row r="148" spans="1:87" x14ac:dyDescent="0.25">
      <c r="A148" t="str">
        <f ca="1"/>
        <v>Kodama of the West Tree</v>
      </c>
      <c r="B148" s="3" t="str" cm="1">
        <f t="array" aca="1" ref="B148" ca="1">_xlfn.ANCHORARRAY(RESUMO!C147)</f>
        <v>Modular</v>
      </c>
      <c r="C148" s="3" t="str">
        <f t="shared" ca="1" si="8"/>
        <v/>
      </c>
      <c r="E148" t="str">
        <f ca="1"/>
        <v>Mergulhadora Celeste Ladra</v>
      </c>
      <c r="F148" s="3">
        <f t="shared" ca="1" si="9"/>
        <v>1</v>
      </c>
      <c r="G148" s="3" t="str">
        <f t="shared" ca="1" si="10"/>
        <v>Kumena</v>
      </c>
      <c r="M148" t="str">
        <f ca="1"/>
        <v>Mergulhadora Celeste Ladra</v>
      </c>
      <c r="N148" s="3">
        <f t="shared" ca="1" si="11"/>
        <v>1</v>
      </c>
      <c r="O148" s="3" t="str">
        <f ca="1">IFERROR(
 INDEX($T$2:$AW$2,
  MATCH(TRUE,
   CHOOSE({1;2;3;4;5;6;7;8;9;10;11;12;13;14;15;16;17;18;19;20;21;22;23;24;25;26;27;28;29;30;31;32},
    COUNTIFS($T$3:$T$201,$M148)&gt;0,
    COUNTIFS($U$3:$U$201,$M148)&gt;0,
    COUNTIFS($V$3:$V$201,$M148)&gt;0,
    COUNTIFS($W$3:$W$201,$M148)&gt;0,
    COUNTIFS($X$3:$X$201,$M148)&gt;0,
    COUNTIFS($Y$3:$Y$201,$M148)&gt;0,
    COUNTIFS($Z$3:$Z$201,$M148)&gt;0,
    COUNTIFS($AA$3:$AA$201,$M148)&gt;0,
    COUNTIFS($AB$3:$AB$201,$M148)&gt;0,
    COUNTIFS($AC$3:$AC$201,$M148)&gt;0,
    COUNTIFS($AD$3:$AD$201,$M148)&gt;0,
    COUNTIFS($AE$3:$AE$201,$M148)&gt;0,
    COUNTIFS($AF$3:$AF$201,$M148)&gt;0,
    COUNTIFS($AG$3:$AG$201,$M148)&gt;0,
    COUNTIFS($AH$3:$AH$201,$M148)&gt;0,
    COUNTIFS($AI$3:$AI$201,$M148)&gt;0,
    COUNTIFS($AJ$3:$AJ$201,$M148)&gt;0,
    COUNTIFS($AK$3:$AK$201,$M148)&gt;0,
    COUNTIFS($AL$3:$AL$201,$M148)&gt;0,
    COUNTIFS($AM$3:$AM$201,$M148)&gt;0,
    COUNTIFS($AN$3:$AN$201,$M148)&gt;0,
    COUNTIFS($AO$3:$AO$201,$M148)&gt;0,
    COUNTIFS($AP$3:$AP$201,$M148)&gt;0,
    COUNTIFS($AQ$3:$AQ$201,$M148)&gt;0,
    COUNTIFS($AR$3:$AR$201,$M148)&gt;0,
    COUNTIFS($AS$3:$AS$201,$M148)&gt;0,
    COUNTIFS($AT$3:$AT$201,$M148)&gt;0,
    COUNTIFS($AU$3:$AU$201,$M148)&gt;0,
    COUNTIFS($AV$3:$AV$201,$M148)&gt;0,
    COUNTIFS($AW$3:$AW$201,$M148)&gt;0
   ),
  0)
 ),
"")</f>
        <v>Kumena</v>
      </c>
      <c r="P148" s="3" t="str" cm="1">
        <f t="array" aca="1" ref="P148" ca="1">IFERROR(
 INDEX(
  _xlfn._xlws.FILTER($T$2:$AW$2,
   TRANSPOSE(
    CHOOSE({1;2;3;4;5;6;7;8;9;10;11;12;13;14;15;16;17;18;19;20;21;22;23;24;25;26;27;28;29;30},
     COUNTIFS($T$3:$T$201,$M148)&gt;0,
     COUNTIFS($U$3:$U$201,$M148)&gt;0,
     COUNTIFS($V$3:$V$201,$M148)&gt;0,
     COUNTIFS($W$3:$W$201,$M148)&gt;0,
     COUNTIFS($X$3:$X$201,$M148)&gt;0,
     COUNTIFS($Y$3:$Y$201,$M148)&gt;0,
     COUNTIFS($Z$3:$Z$201,$M148)&gt;0,
     COUNTIFS($AA$3:$AA$201,$M148)&gt;0,
     COUNTIFS($AB$3:$AB$201,$M148)&gt;0,
     COUNTIFS($AC$3:$AC$201,$M148)&gt;0,
     COUNTIFS($AD$3:$AD$201,$M148)&gt;0,
     COUNTIFS($AE$3:$AE$201,$M148)&gt;0,
     COUNTIFS($AF$3:$AF$201,$M148)&gt;0,
     COUNTIFS($AG$3:$AG$201,$M148)&gt;0,
     COUNTIFS($AH$3:$AH$201,$M148)&gt;0,
     COUNTIFS($AI$3:$AI$201,$M148)&gt;0,
     COUNTIFS($AJ$3:$AJ$201,$M148)&gt;0,
     COUNTIFS($AK$3:$AK$201,$M148)&gt;0,
     COUNTIFS($AL$3:$AL$201,$M148)&gt;0,
     COUNTIFS($AM$3:$AM$201,$M148)&gt;0,
     COUNTIFS($AN$3:$AN$201,$M148)&gt;0,
     COUNTIFS($AO$3:$AO$201,$M148)&gt;0,
     COUNTIFS($AP$3:$AP$201,$M148)&gt;0,
     COUNTIFS($AQ$3:$AQ$201,$M148)&gt;0,
     COUNTIFS($AR$3:$AR$201,$M148)&gt;0,
     COUNTIFS($AS$3:$AS$201,$M148)&gt;0,
     COUNTIFS($AT$3:$AT$201,$M148)&gt;0,
     COUNTIFS($AU$3:$AU$201,$M148)&gt;0,
     COUNTIFS($AV$3:$AV$201,$M148)&gt;0,
     COUNTIFS($AW$3:$AW$201,$M148)&gt;0
   )),
  ),
  2
 ),
"")</f>
        <v/>
      </c>
      <c r="Q148" s="3" t="str" cm="1">
        <f t="array" aca="1" ref="Q148" ca="1">IFERROR(
 INDEX(
  _xlfn._xlws.FILTER($T$2:$AW$2,
   TRANSPOSE(
    CHOOSE({1;2;3;4;5;6;7;8;9;10;11;12;13;14;15;16;17;18;19;20;21;22;23;24;25;26;27;28;29;30},
     COUNTIFS($T$3:$T$201,$M148)&gt;0,
     COUNTIFS($U$3:$U$201,$M148)&gt;0,
     COUNTIFS($V$3:$V$201,$M148)&gt;0,
     COUNTIFS($W$3:$W$201,$M148)&gt;0,
     COUNTIFS($X$3:$X$201,$M148)&gt;0,
     COUNTIFS($Y$3:$Y$201,$M148)&gt;0,
     COUNTIFS($Z$3:$Z$201,$M148)&gt;0,
     COUNTIFS($AA$3:$AA$201,$M148)&gt;0,
     COUNTIFS($AB$3:$AB$201,$M148)&gt;0,
     COUNTIFS($AC$3:$AC$201,$M148)&gt;0,
     COUNTIFS($AD$3:$AD$201,$M148)&gt;0,
     COUNTIFS($AE$3:$AE$201,$M148)&gt;0,
     COUNTIFS($AF$3:$AF$201,$M148)&gt;0,
     COUNTIFS($AG$3:$AG$201,$M148)&gt;0,
     COUNTIFS($AH$3:$AH$201,$M148)&gt;0,
     COUNTIFS($AI$3:$AI$201,$M148)&gt;0,
     COUNTIFS($AJ$3:$AJ$201,$M148)&gt;0,
     COUNTIFS($AK$3:$AK$201,$M148)&gt;0,
     COUNTIFS($AL$3:$AL$201,$M148)&gt;0,
     COUNTIFS($AM$3:$AM$201,$M148)&gt;0,
     COUNTIFS($AN$3:$AN$201,$M148)&gt;0,
     COUNTIFS($AO$3:$AO$201,$M148)&gt;0,
     COUNTIFS($AP$3:$AP$201,$M148)&gt;0,
     COUNTIFS($AQ$3:$AQ$201,$M148)&gt;0,
     COUNTIFS($AR$3:$AR$201,$M148)&gt;0,
     COUNTIFS($AS$3:$AS$201,$M148)&gt;0,
     COUNTIFS($AT$3:$AT$201,$M148)&gt;0,
     COUNTIFS($AU$3:$AU$201,$M148)&gt;0,
     COUNTIFS($AV$3:$AV$201,$M148)&gt;0,
     COUNTIFS($AW$3:$AW$201,$M148)&gt;0
   )),
  ),
  3
 ),
"")</f>
        <v/>
      </c>
      <c r="R148" s="3" t="str" cm="1">
        <f t="array" aca="1" ref="R148" ca="1">IFERROR(
 INDEX(
  _xlfn._xlws.FILTER($T$2:$AW$2,
   TRANSPOSE(
    CHOOSE({1;2;3;4;5;6;7;8;9;10;11;12;13;14;15;16;17;18;19;20;21;22;23;24;25;26;27;28;29;30},
     COUNTIFS($T$3:$T$201,$M148)&gt;0,
     COUNTIFS($U$3:$U$201,$M148)&gt;0,
     COUNTIFS($V$3:$V$201,$M148)&gt;0,
     COUNTIFS($W$3:$W$201,$M148)&gt;0,
     COUNTIFS($X$3:$X$201,$M148)&gt;0,
     COUNTIFS($Y$3:$Y$201,$M148)&gt;0,
     COUNTIFS($Z$3:$Z$201,$M148)&gt;0,
     COUNTIFS($AA$3:$AA$201,$M148)&gt;0,
     COUNTIFS($AB$3:$AB$201,$M148)&gt;0,
     COUNTIFS($AC$3:$AC$201,$M148)&gt;0,
     COUNTIFS($AD$3:$AD$201,$M148)&gt;0,
     COUNTIFS($AE$3:$AE$201,$M148)&gt;0,
     COUNTIFS($AF$3:$AF$201,$M148)&gt;0,
     COUNTIFS($AG$3:$AG$201,$M148)&gt;0,
     COUNTIFS($AH$3:$AH$201,$M148)&gt;0,
     COUNTIFS($AI$3:$AI$201,$M148)&gt;0,
     COUNTIFS($AJ$3:$AJ$201,$M148)&gt;0,
     COUNTIFS($AK$3:$AK$201,$M148)&gt;0,
     COUNTIFS($AL$3:$AL$201,$M148)&gt;0,
     COUNTIFS($AM$3:$AM$201,$M148)&gt;0,
     COUNTIFS($AN$3:$AN$201,$M148)&gt;0,
     COUNTIFS($AO$3:$AO$201,$M148)&gt;0,
     COUNTIFS($AP$3:$AP$201,$M148)&gt;0,
     COUNTIFS($AQ$3:$AQ$201,$M148)&gt;0,
     COUNTIFS($AR$3:$AR$201,$M148)&gt;0,
     COUNTIFS($AS$3:$AS$201,$M148)&gt;0,
     COUNTIFS($AT$3:$AT$201,$M148)&gt;0,
     COUNTIFS($AU$3:$AU$201,$M148)&gt;0,
     COUNTIFS($AV$3:$AV$201,$M148)&gt;0,
     COUNTIFS($AW$3:$AW$201,$M148)&gt;0
   )),
  ),
  4
 ),
"")</f>
        <v/>
      </c>
      <c r="CF148" t="str">
        <f ca="1"/>
        <v>Recuperação das Gavinhas Bolorentas</v>
      </c>
      <c r="CI148" t="str">
        <f ca="1"/>
        <v>Mergulhadora Celeste Ladra</v>
      </c>
    </row>
    <row r="149" spans="1:87" x14ac:dyDescent="0.25">
      <c r="A149" t="str">
        <f ca="1"/>
        <v>Kodama's Reach</v>
      </c>
      <c r="B149" s="3" t="str" cm="1">
        <f t="array" aca="1" ref="B149" ca="1">_xlfn.ANCHORARRAY(RESUMO!C148)</f>
        <v>Kumena</v>
      </c>
      <c r="C149" s="3" t="str">
        <f t="shared" ca="1" si="8"/>
        <v/>
      </c>
      <c r="E149" t="str">
        <f ca="1"/>
        <v>Mestre das Feras Abzan</v>
      </c>
      <c r="F149" s="3">
        <f t="shared" ca="1" si="9"/>
        <v>1</v>
      </c>
      <c r="G149" s="3" t="str">
        <f t="shared" ca="1" si="10"/>
        <v>Modular</v>
      </c>
      <c r="M149" t="str">
        <f ca="1"/>
        <v>Mestre das Feras Abzan</v>
      </c>
      <c r="N149" s="3">
        <f t="shared" ca="1" si="11"/>
        <v>1</v>
      </c>
      <c r="O149" s="3" t="str">
        <f ca="1">IFERROR(
 INDEX($T$2:$AW$2,
  MATCH(TRUE,
   CHOOSE({1;2;3;4;5;6;7;8;9;10;11;12;13;14;15;16;17;18;19;20;21;22;23;24;25;26;27;28;29;30;31;32},
    COUNTIFS($T$3:$T$201,$M149)&gt;0,
    COUNTIFS($U$3:$U$201,$M149)&gt;0,
    COUNTIFS($V$3:$V$201,$M149)&gt;0,
    COUNTIFS($W$3:$W$201,$M149)&gt;0,
    COUNTIFS($X$3:$X$201,$M149)&gt;0,
    COUNTIFS($Y$3:$Y$201,$M149)&gt;0,
    COUNTIFS($Z$3:$Z$201,$M149)&gt;0,
    COUNTIFS($AA$3:$AA$201,$M149)&gt;0,
    COUNTIFS($AB$3:$AB$201,$M149)&gt;0,
    COUNTIFS($AC$3:$AC$201,$M149)&gt;0,
    COUNTIFS($AD$3:$AD$201,$M149)&gt;0,
    COUNTIFS($AE$3:$AE$201,$M149)&gt;0,
    COUNTIFS($AF$3:$AF$201,$M149)&gt;0,
    COUNTIFS($AG$3:$AG$201,$M149)&gt;0,
    COUNTIFS($AH$3:$AH$201,$M149)&gt;0,
    COUNTIFS($AI$3:$AI$201,$M149)&gt;0,
    COUNTIFS($AJ$3:$AJ$201,$M149)&gt;0,
    COUNTIFS($AK$3:$AK$201,$M149)&gt;0,
    COUNTIFS($AL$3:$AL$201,$M149)&gt;0,
    COUNTIFS($AM$3:$AM$201,$M149)&gt;0,
    COUNTIFS($AN$3:$AN$201,$M149)&gt;0,
    COUNTIFS($AO$3:$AO$201,$M149)&gt;0,
    COUNTIFS($AP$3:$AP$201,$M149)&gt;0,
    COUNTIFS($AQ$3:$AQ$201,$M149)&gt;0,
    COUNTIFS($AR$3:$AR$201,$M149)&gt;0,
    COUNTIFS($AS$3:$AS$201,$M149)&gt;0,
    COUNTIFS($AT$3:$AT$201,$M149)&gt;0,
    COUNTIFS($AU$3:$AU$201,$M149)&gt;0,
    COUNTIFS($AV$3:$AV$201,$M149)&gt;0,
    COUNTIFS($AW$3:$AW$201,$M149)&gt;0
   ),
  0)
 ),
"")</f>
        <v>Modular</v>
      </c>
      <c r="P149" s="3" t="str" cm="1">
        <f t="array" aca="1" ref="P149" ca="1">IFERROR(
 INDEX(
  _xlfn._xlws.FILTER($T$2:$AW$2,
   TRANSPOSE(
    CHOOSE({1;2;3;4;5;6;7;8;9;10;11;12;13;14;15;16;17;18;19;20;21;22;23;24;25;26;27;28;29;30},
     COUNTIFS($T$3:$T$201,$M149)&gt;0,
     COUNTIFS($U$3:$U$201,$M149)&gt;0,
     COUNTIFS($V$3:$V$201,$M149)&gt;0,
     COUNTIFS($W$3:$W$201,$M149)&gt;0,
     COUNTIFS($X$3:$X$201,$M149)&gt;0,
     COUNTIFS($Y$3:$Y$201,$M149)&gt;0,
     COUNTIFS($Z$3:$Z$201,$M149)&gt;0,
     COUNTIFS($AA$3:$AA$201,$M149)&gt;0,
     COUNTIFS($AB$3:$AB$201,$M149)&gt;0,
     COUNTIFS($AC$3:$AC$201,$M149)&gt;0,
     COUNTIFS($AD$3:$AD$201,$M149)&gt;0,
     COUNTIFS($AE$3:$AE$201,$M149)&gt;0,
     COUNTIFS($AF$3:$AF$201,$M149)&gt;0,
     COUNTIFS($AG$3:$AG$201,$M149)&gt;0,
     COUNTIFS($AH$3:$AH$201,$M149)&gt;0,
     COUNTIFS($AI$3:$AI$201,$M149)&gt;0,
     COUNTIFS($AJ$3:$AJ$201,$M149)&gt;0,
     COUNTIFS($AK$3:$AK$201,$M149)&gt;0,
     COUNTIFS($AL$3:$AL$201,$M149)&gt;0,
     COUNTIFS($AM$3:$AM$201,$M149)&gt;0,
     COUNTIFS($AN$3:$AN$201,$M149)&gt;0,
     COUNTIFS($AO$3:$AO$201,$M149)&gt;0,
     COUNTIFS($AP$3:$AP$201,$M149)&gt;0,
     COUNTIFS($AQ$3:$AQ$201,$M149)&gt;0,
     COUNTIFS($AR$3:$AR$201,$M149)&gt;0,
     COUNTIFS($AS$3:$AS$201,$M149)&gt;0,
     COUNTIFS($AT$3:$AT$201,$M149)&gt;0,
     COUNTIFS($AU$3:$AU$201,$M149)&gt;0,
     COUNTIFS($AV$3:$AV$201,$M149)&gt;0,
     COUNTIFS($AW$3:$AW$201,$M149)&gt;0
   )),
  ),
  2
 ),
"")</f>
        <v/>
      </c>
      <c r="Q149" s="3" t="str" cm="1">
        <f t="array" aca="1" ref="Q149" ca="1">IFERROR(
 INDEX(
  _xlfn._xlws.FILTER($T$2:$AW$2,
   TRANSPOSE(
    CHOOSE({1;2;3;4;5;6;7;8;9;10;11;12;13;14;15;16;17;18;19;20;21;22;23;24;25;26;27;28;29;30},
     COUNTIFS($T$3:$T$201,$M149)&gt;0,
     COUNTIFS($U$3:$U$201,$M149)&gt;0,
     COUNTIFS($V$3:$V$201,$M149)&gt;0,
     COUNTIFS($W$3:$W$201,$M149)&gt;0,
     COUNTIFS($X$3:$X$201,$M149)&gt;0,
     COUNTIFS($Y$3:$Y$201,$M149)&gt;0,
     COUNTIFS($Z$3:$Z$201,$M149)&gt;0,
     COUNTIFS($AA$3:$AA$201,$M149)&gt;0,
     COUNTIFS($AB$3:$AB$201,$M149)&gt;0,
     COUNTIFS($AC$3:$AC$201,$M149)&gt;0,
     COUNTIFS($AD$3:$AD$201,$M149)&gt;0,
     COUNTIFS($AE$3:$AE$201,$M149)&gt;0,
     COUNTIFS($AF$3:$AF$201,$M149)&gt;0,
     COUNTIFS($AG$3:$AG$201,$M149)&gt;0,
     COUNTIFS($AH$3:$AH$201,$M149)&gt;0,
     COUNTIFS($AI$3:$AI$201,$M149)&gt;0,
     COUNTIFS($AJ$3:$AJ$201,$M149)&gt;0,
     COUNTIFS($AK$3:$AK$201,$M149)&gt;0,
     COUNTIFS($AL$3:$AL$201,$M149)&gt;0,
     COUNTIFS($AM$3:$AM$201,$M149)&gt;0,
     COUNTIFS($AN$3:$AN$201,$M149)&gt;0,
     COUNTIFS($AO$3:$AO$201,$M149)&gt;0,
     COUNTIFS($AP$3:$AP$201,$M149)&gt;0,
     COUNTIFS($AQ$3:$AQ$201,$M149)&gt;0,
     COUNTIFS($AR$3:$AR$201,$M149)&gt;0,
     COUNTIFS($AS$3:$AS$201,$M149)&gt;0,
     COUNTIFS($AT$3:$AT$201,$M149)&gt;0,
     COUNTIFS($AU$3:$AU$201,$M149)&gt;0,
     COUNTIFS($AV$3:$AV$201,$M149)&gt;0,
     COUNTIFS($AW$3:$AW$201,$M149)&gt;0
   )),
  ),
  3
 ),
"")</f>
        <v/>
      </c>
      <c r="R149" s="3" t="str" cm="1">
        <f t="array" aca="1" ref="R149" ca="1">IFERROR(
 INDEX(
  _xlfn._xlws.FILTER($T$2:$AW$2,
   TRANSPOSE(
    CHOOSE({1;2;3;4;5;6;7;8;9;10;11;12;13;14;15;16;17;18;19;20;21;22;23;24;25;26;27;28;29;30},
     COUNTIFS($T$3:$T$201,$M149)&gt;0,
     COUNTIFS($U$3:$U$201,$M149)&gt;0,
     COUNTIFS($V$3:$V$201,$M149)&gt;0,
     COUNTIFS($W$3:$W$201,$M149)&gt;0,
     COUNTIFS($X$3:$X$201,$M149)&gt;0,
     COUNTIFS($Y$3:$Y$201,$M149)&gt;0,
     COUNTIFS($Z$3:$Z$201,$M149)&gt;0,
     COUNTIFS($AA$3:$AA$201,$M149)&gt;0,
     COUNTIFS($AB$3:$AB$201,$M149)&gt;0,
     COUNTIFS($AC$3:$AC$201,$M149)&gt;0,
     COUNTIFS($AD$3:$AD$201,$M149)&gt;0,
     COUNTIFS($AE$3:$AE$201,$M149)&gt;0,
     COUNTIFS($AF$3:$AF$201,$M149)&gt;0,
     COUNTIFS($AG$3:$AG$201,$M149)&gt;0,
     COUNTIFS($AH$3:$AH$201,$M149)&gt;0,
     COUNTIFS($AI$3:$AI$201,$M149)&gt;0,
     COUNTIFS($AJ$3:$AJ$201,$M149)&gt;0,
     COUNTIFS($AK$3:$AK$201,$M149)&gt;0,
     COUNTIFS($AL$3:$AL$201,$M149)&gt;0,
     COUNTIFS($AM$3:$AM$201,$M149)&gt;0,
     COUNTIFS($AN$3:$AN$201,$M149)&gt;0,
     COUNTIFS($AO$3:$AO$201,$M149)&gt;0,
     COUNTIFS($AP$3:$AP$201,$M149)&gt;0,
     COUNTIFS($AQ$3:$AQ$201,$M149)&gt;0,
     COUNTIFS($AR$3:$AR$201,$M149)&gt;0,
     COUNTIFS($AS$3:$AS$201,$M149)&gt;0,
     COUNTIFS($AT$3:$AT$201,$M149)&gt;0,
     COUNTIFS($AU$3:$AU$201,$M149)&gt;0,
     COUNTIFS($AV$3:$AV$201,$M149)&gt;0,
     COUNTIFS($AW$3:$AW$201,$M149)&gt;0
   )),
  ),
  4
 ),
"")</f>
        <v/>
      </c>
      <c r="CF149" t="str">
        <f ca="1"/>
        <v>Repartir o Véu D'Água</v>
      </c>
      <c r="CI149" t="str">
        <f ca="1"/>
        <v>Mestre das Feras Abzan</v>
      </c>
    </row>
    <row r="150" spans="1:87" x14ac:dyDescent="0.25">
      <c r="A150" t="str">
        <f ca="1"/>
        <v>Kozilek, the Broken Reality</v>
      </c>
      <c r="B150" s="3" t="str" cm="1">
        <f t="array" aca="1" ref="B150" ca="1">_xlfn.ANCHORARRAY(RESUMO!C149)</f>
        <v>JhoiraB</v>
      </c>
      <c r="C150" s="3" t="str">
        <f t="shared" ca="1" si="8"/>
        <v/>
      </c>
      <c r="E150" t="str">
        <f ca="1"/>
        <v>Mestre de Cerimonias</v>
      </c>
      <c r="F150" s="3">
        <f t="shared" ca="1" si="9"/>
        <v>1</v>
      </c>
      <c r="G150" s="3" t="str">
        <f t="shared" ca="1" si="10"/>
        <v>Carlos</v>
      </c>
      <c r="M150" t="str">
        <f ca="1"/>
        <v>Mestre de Cerimonias</v>
      </c>
      <c r="N150" s="3">
        <f t="shared" ca="1" si="11"/>
        <v>1</v>
      </c>
      <c r="O150" s="3" t="str">
        <f ca="1">IFERROR(
 INDEX($T$2:$AW$2,
  MATCH(TRUE,
   CHOOSE({1;2;3;4;5;6;7;8;9;10;11;12;13;14;15;16;17;18;19;20;21;22;23;24;25;26;27;28;29;30;31;32},
    COUNTIFS($T$3:$T$201,$M150)&gt;0,
    COUNTIFS($U$3:$U$201,$M150)&gt;0,
    COUNTIFS($V$3:$V$201,$M150)&gt;0,
    COUNTIFS($W$3:$W$201,$M150)&gt;0,
    COUNTIFS($X$3:$X$201,$M150)&gt;0,
    COUNTIFS($Y$3:$Y$201,$M150)&gt;0,
    COUNTIFS($Z$3:$Z$201,$M150)&gt;0,
    COUNTIFS($AA$3:$AA$201,$M150)&gt;0,
    COUNTIFS($AB$3:$AB$201,$M150)&gt;0,
    COUNTIFS($AC$3:$AC$201,$M150)&gt;0,
    COUNTIFS($AD$3:$AD$201,$M150)&gt;0,
    COUNTIFS($AE$3:$AE$201,$M150)&gt;0,
    COUNTIFS($AF$3:$AF$201,$M150)&gt;0,
    COUNTIFS($AG$3:$AG$201,$M150)&gt;0,
    COUNTIFS($AH$3:$AH$201,$M150)&gt;0,
    COUNTIFS($AI$3:$AI$201,$M150)&gt;0,
    COUNTIFS($AJ$3:$AJ$201,$M150)&gt;0,
    COUNTIFS($AK$3:$AK$201,$M150)&gt;0,
    COUNTIFS($AL$3:$AL$201,$M150)&gt;0,
    COUNTIFS($AM$3:$AM$201,$M150)&gt;0,
    COUNTIFS($AN$3:$AN$201,$M150)&gt;0,
    COUNTIFS($AO$3:$AO$201,$M150)&gt;0,
    COUNTIFS($AP$3:$AP$201,$M150)&gt;0,
    COUNTIFS($AQ$3:$AQ$201,$M150)&gt;0,
    COUNTIFS($AR$3:$AR$201,$M150)&gt;0,
    COUNTIFS($AS$3:$AS$201,$M150)&gt;0,
    COUNTIFS($AT$3:$AT$201,$M150)&gt;0,
    COUNTIFS($AU$3:$AU$201,$M150)&gt;0,
    COUNTIFS($AV$3:$AV$201,$M150)&gt;0,
    COUNTIFS($AW$3:$AW$201,$M150)&gt;0
   ),
  0)
 ),
"")</f>
        <v>Carlos</v>
      </c>
      <c r="P150" s="3" t="str" cm="1">
        <f t="array" aca="1" ref="P150" ca="1">IFERROR(
 INDEX(
  _xlfn._xlws.FILTER($T$2:$AW$2,
   TRANSPOSE(
    CHOOSE({1;2;3;4;5;6;7;8;9;10;11;12;13;14;15;16;17;18;19;20;21;22;23;24;25;26;27;28;29;30},
     COUNTIFS($T$3:$T$201,$M150)&gt;0,
     COUNTIFS($U$3:$U$201,$M150)&gt;0,
     COUNTIFS($V$3:$V$201,$M150)&gt;0,
     COUNTIFS($W$3:$W$201,$M150)&gt;0,
     COUNTIFS($X$3:$X$201,$M150)&gt;0,
     COUNTIFS($Y$3:$Y$201,$M150)&gt;0,
     COUNTIFS($Z$3:$Z$201,$M150)&gt;0,
     COUNTIFS($AA$3:$AA$201,$M150)&gt;0,
     COUNTIFS($AB$3:$AB$201,$M150)&gt;0,
     COUNTIFS($AC$3:$AC$201,$M150)&gt;0,
     COUNTIFS($AD$3:$AD$201,$M150)&gt;0,
     COUNTIFS($AE$3:$AE$201,$M150)&gt;0,
     COUNTIFS($AF$3:$AF$201,$M150)&gt;0,
     COUNTIFS($AG$3:$AG$201,$M150)&gt;0,
     COUNTIFS($AH$3:$AH$201,$M150)&gt;0,
     COUNTIFS($AI$3:$AI$201,$M150)&gt;0,
     COUNTIFS($AJ$3:$AJ$201,$M150)&gt;0,
     COUNTIFS($AK$3:$AK$201,$M150)&gt;0,
     COUNTIFS($AL$3:$AL$201,$M150)&gt;0,
     COUNTIFS($AM$3:$AM$201,$M150)&gt;0,
     COUNTIFS($AN$3:$AN$201,$M150)&gt;0,
     COUNTIFS($AO$3:$AO$201,$M150)&gt;0,
     COUNTIFS($AP$3:$AP$201,$M150)&gt;0,
     COUNTIFS($AQ$3:$AQ$201,$M150)&gt;0,
     COUNTIFS($AR$3:$AR$201,$M150)&gt;0,
     COUNTIFS($AS$3:$AS$201,$M150)&gt;0,
     COUNTIFS($AT$3:$AT$201,$M150)&gt;0,
     COUNTIFS($AU$3:$AU$201,$M150)&gt;0,
     COUNTIFS($AV$3:$AV$201,$M150)&gt;0,
     COUNTIFS($AW$3:$AW$201,$M150)&gt;0
   )),
  ),
  2
 ),
"")</f>
        <v/>
      </c>
      <c r="Q150" s="3" t="str" cm="1">
        <f t="array" aca="1" ref="Q150" ca="1">IFERROR(
 INDEX(
  _xlfn._xlws.FILTER($T$2:$AW$2,
   TRANSPOSE(
    CHOOSE({1;2;3;4;5;6;7;8;9;10;11;12;13;14;15;16;17;18;19;20;21;22;23;24;25;26;27;28;29;30},
     COUNTIFS($T$3:$T$201,$M150)&gt;0,
     COUNTIFS($U$3:$U$201,$M150)&gt;0,
     COUNTIFS($V$3:$V$201,$M150)&gt;0,
     COUNTIFS($W$3:$W$201,$M150)&gt;0,
     COUNTIFS($X$3:$X$201,$M150)&gt;0,
     COUNTIFS($Y$3:$Y$201,$M150)&gt;0,
     COUNTIFS($Z$3:$Z$201,$M150)&gt;0,
     COUNTIFS($AA$3:$AA$201,$M150)&gt;0,
     COUNTIFS($AB$3:$AB$201,$M150)&gt;0,
     COUNTIFS($AC$3:$AC$201,$M150)&gt;0,
     COUNTIFS($AD$3:$AD$201,$M150)&gt;0,
     COUNTIFS($AE$3:$AE$201,$M150)&gt;0,
     COUNTIFS($AF$3:$AF$201,$M150)&gt;0,
     COUNTIFS($AG$3:$AG$201,$M150)&gt;0,
     COUNTIFS($AH$3:$AH$201,$M150)&gt;0,
     COUNTIFS($AI$3:$AI$201,$M150)&gt;0,
     COUNTIFS($AJ$3:$AJ$201,$M150)&gt;0,
     COUNTIFS($AK$3:$AK$201,$M150)&gt;0,
     COUNTIFS($AL$3:$AL$201,$M150)&gt;0,
     COUNTIFS($AM$3:$AM$201,$M150)&gt;0,
     COUNTIFS($AN$3:$AN$201,$M150)&gt;0,
     COUNTIFS($AO$3:$AO$201,$M150)&gt;0,
     COUNTIFS($AP$3:$AP$201,$M150)&gt;0,
     COUNTIFS($AQ$3:$AQ$201,$M150)&gt;0,
     COUNTIFS($AR$3:$AR$201,$M150)&gt;0,
     COUNTIFS($AS$3:$AS$201,$M150)&gt;0,
     COUNTIFS($AT$3:$AT$201,$M150)&gt;0,
     COUNTIFS($AU$3:$AU$201,$M150)&gt;0,
     COUNTIFS($AV$3:$AV$201,$M150)&gt;0,
     COUNTIFS($AW$3:$AW$201,$M150)&gt;0
   )),
  ),
  3
 ),
"")</f>
        <v/>
      </c>
      <c r="R150" s="3" t="str" cm="1">
        <f t="array" aca="1" ref="R150" ca="1">IFERROR(
 INDEX(
  _xlfn._xlws.FILTER($T$2:$AW$2,
   TRANSPOSE(
    CHOOSE({1;2;3;4;5;6;7;8;9;10;11;12;13;14;15;16;17;18;19;20;21;22;23;24;25;26;27;28;29;30},
     COUNTIFS($T$3:$T$201,$M150)&gt;0,
     COUNTIFS($U$3:$U$201,$M150)&gt;0,
     COUNTIFS($V$3:$V$201,$M150)&gt;0,
     COUNTIFS($W$3:$W$201,$M150)&gt;0,
     COUNTIFS($X$3:$X$201,$M150)&gt;0,
     COUNTIFS($Y$3:$Y$201,$M150)&gt;0,
     COUNTIFS($Z$3:$Z$201,$M150)&gt;0,
     COUNTIFS($AA$3:$AA$201,$M150)&gt;0,
     COUNTIFS($AB$3:$AB$201,$M150)&gt;0,
     COUNTIFS($AC$3:$AC$201,$M150)&gt;0,
     COUNTIFS($AD$3:$AD$201,$M150)&gt;0,
     COUNTIFS($AE$3:$AE$201,$M150)&gt;0,
     COUNTIFS($AF$3:$AF$201,$M150)&gt;0,
     COUNTIFS($AG$3:$AG$201,$M150)&gt;0,
     COUNTIFS($AH$3:$AH$201,$M150)&gt;0,
     COUNTIFS($AI$3:$AI$201,$M150)&gt;0,
     COUNTIFS($AJ$3:$AJ$201,$M150)&gt;0,
     COUNTIFS($AK$3:$AK$201,$M150)&gt;0,
     COUNTIFS($AL$3:$AL$201,$M150)&gt;0,
     COUNTIFS($AM$3:$AM$201,$M150)&gt;0,
     COUNTIFS($AN$3:$AN$201,$M150)&gt;0,
     COUNTIFS($AO$3:$AO$201,$M150)&gt;0,
     COUNTIFS($AP$3:$AP$201,$M150)&gt;0,
     COUNTIFS($AQ$3:$AQ$201,$M150)&gt;0,
     COUNTIFS($AR$3:$AR$201,$M150)&gt;0,
     COUNTIFS($AS$3:$AS$201,$M150)&gt;0,
     COUNTIFS($AT$3:$AT$201,$M150)&gt;0,
     COUNTIFS($AU$3:$AU$201,$M150)&gt;0,
     COUNTIFS($AV$3:$AV$201,$M150)&gt;0,
     COUNTIFS($AW$3:$AW$201,$M150)&gt;0
   )),
  ),
  4
 ),
"")</f>
        <v/>
      </c>
      <c r="CF150" t="str">
        <f ca="1"/>
        <v>Repudiar // Replicar</v>
      </c>
      <c r="CI150" t="str">
        <f ca="1"/>
        <v>Mestre de Cerimonias</v>
      </c>
    </row>
    <row r="151" spans="1:87" x14ac:dyDescent="0.25">
      <c r="A151" t="str">
        <f ca="1"/>
        <v>Kutzil, Malamet Exemplar</v>
      </c>
      <c r="B151" s="3" t="str" cm="1">
        <f t="array" aca="1" ref="B151" ca="1">_xlfn.ANCHORARRAY(RESUMO!C150)</f>
        <v>Tayam</v>
      </c>
      <c r="C151" s="3" t="str">
        <f t="shared" ca="1" si="8"/>
        <v/>
      </c>
      <c r="E151" t="str">
        <f ca="1"/>
        <v>Midnight Guard</v>
      </c>
      <c r="F151" s="3">
        <f t="shared" ca="1" si="9"/>
        <v>1</v>
      </c>
      <c r="G151" s="3" t="str">
        <f t="shared" ca="1" si="10"/>
        <v>Baylen</v>
      </c>
      <c r="M151" t="str">
        <f ca="1"/>
        <v>Midnight Guard</v>
      </c>
      <c r="N151" s="3">
        <f t="shared" ca="1" si="11"/>
        <v>1</v>
      </c>
      <c r="O151" s="3" t="str">
        <f ca="1">IFERROR(
 INDEX($T$2:$AW$2,
  MATCH(TRUE,
   CHOOSE({1;2;3;4;5;6;7;8;9;10;11;12;13;14;15;16;17;18;19;20;21;22;23;24;25;26;27;28;29;30;31;32},
    COUNTIFS($T$3:$T$201,$M151)&gt;0,
    COUNTIFS($U$3:$U$201,$M151)&gt;0,
    COUNTIFS($V$3:$V$201,$M151)&gt;0,
    COUNTIFS($W$3:$W$201,$M151)&gt;0,
    COUNTIFS($X$3:$X$201,$M151)&gt;0,
    COUNTIFS($Y$3:$Y$201,$M151)&gt;0,
    COUNTIFS($Z$3:$Z$201,$M151)&gt;0,
    COUNTIFS($AA$3:$AA$201,$M151)&gt;0,
    COUNTIFS($AB$3:$AB$201,$M151)&gt;0,
    COUNTIFS($AC$3:$AC$201,$M151)&gt;0,
    COUNTIFS($AD$3:$AD$201,$M151)&gt;0,
    COUNTIFS($AE$3:$AE$201,$M151)&gt;0,
    COUNTIFS($AF$3:$AF$201,$M151)&gt;0,
    COUNTIFS($AG$3:$AG$201,$M151)&gt;0,
    COUNTIFS($AH$3:$AH$201,$M151)&gt;0,
    COUNTIFS($AI$3:$AI$201,$M151)&gt;0,
    COUNTIFS($AJ$3:$AJ$201,$M151)&gt;0,
    COUNTIFS($AK$3:$AK$201,$M151)&gt;0,
    COUNTIFS($AL$3:$AL$201,$M151)&gt;0,
    COUNTIFS($AM$3:$AM$201,$M151)&gt;0,
    COUNTIFS($AN$3:$AN$201,$M151)&gt;0,
    COUNTIFS($AO$3:$AO$201,$M151)&gt;0,
    COUNTIFS($AP$3:$AP$201,$M151)&gt;0,
    COUNTIFS($AQ$3:$AQ$201,$M151)&gt;0,
    COUNTIFS($AR$3:$AR$201,$M151)&gt;0,
    COUNTIFS($AS$3:$AS$201,$M151)&gt;0,
    COUNTIFS($AT$3:$AT$201,$M151)&gt;0,
    COUNTIFS($AU$3:$AU$201,$M151)&gt;0,
    COUNTIFS($AV$3:$AV$201,$M151)&gt;0,
    COUNTIFS($AW$3:$AW$201,$M151)&gt;0
   ),
  0)
 ),
"")</f>
        <v>Baylen</v>
      </c>
      <c r="P151" s="3" t="str" cm="1">
        <f t="array" aca="1" ref="P151" ca="1">IFERROR(
 INDEX(
  _xlfn._xlws.FILTER($T$2:$AW$2,
   TRANSPOSE(
    CHOOSE({1;2;3;4;5;6;7;8;9;10;11;12;13;14;15;16;17;18;19;20;21;22;23;24;25;26;27;28;29;30},
     COUNTIFS($T$3:$T$201,$M151)&gt;0,
     COUNTIFS($U$3:$U$201,$M151)&gt;0,
     COUNTIFS($V$3:$V$201,$M151)&gt;0,
     COUNTIFS($W$3:$W$201,$M151)&gt;0,
     COUNTIFS($X$3:$X$201,$M151)&gt;0,
     COUNTIFS($Y$3:$Y$201,$M151)&gt;0,
     COUNTIFS($Z$3:$Z$201,$M151)&gt;0,
     COUNTIFS($AA$3:$AA$201,$M151)&gt;0,
     COUNTIFS($AB$3:$AB$201,$M151)&gt;0,
     COUNTIFS($AC$3:$AC$201,$M151)&gt;0,
     COUNTIFS($AD$3:$AD$201,$M151)&gt;0,
     COUNTIFS($AE$3:$AE$201,$M151)&gt;0,
     COUNTIFS($AF$3:$AF$201,$M151)&gt;0,
     COUNTIFS($AG$3:$AG$201,$M151)&gt;0,
     COUNTIFS($AH$3:$AH$201,$M151)&gt;0,
     COUNTIFS($AI$3:$AI$201,$M151)&gt;0,
     COUNTIFS($AJ$3:$AJ$201,$M151)&gt;0,
     COUNTIFS($AK$3:$AK$201,$M151)&gt;0,
     COUNTIFS($AL$3:$AL$201,$M151)&gt;0,
     COUNTIFS($AM$3:$AM$201,$M151)&gt;0,
     COUNTIFS($AN$3:$AN$201,$M151)&gt;0,
     COUNTIFS($AO$3:$AO$201,$M151)&gt;0,
     COUNTIFS($AP$3:$AP$201,$M151)&gt;0,
     COUNTIFS($AQ$3:$AQ$201,$M151)&gt;0,
     COUNTIFS($AR$3:$AR$201,$M151)&gt;0,
     COUNTIFS($AS$3:$AS$201,$M151)&gt;0,
     COUNTIFS($AT$3:$AT$201,$M151)&gt;0,
     COUNTIFS($AU$3:$AU$201,$M151)&gt;0,
     COUNTIFS($AV$3:$AV$201,$M151)&gt;0,
     COUNTIFS($AW$3:$AW$201,$M151)&gt;0
   )),
  ),
  2
 ),
"")</f>
        <v/>
      </c>
      <c r="Q151" s="3" t="str" cm="1">
        <f t="array" aca="1" ref="Q151" ca="1">IFERROR(
 INDEX(
  _xlfn._xlws.FILTER($T$2:$AW$2,
   TRANSPOSE(
    CHOOSE({1;2;3;4;5;6;7;8;9;10;11;12;13;14;15;16;17;18;19;20;21;22;23;24;25;26;27;28;29;30},
     COUNTIFS($T$3:$T$201,$M151)&gt;0,
     COUNTIFS($U$3:$U$201,$M151)&gt;0,
     COUNTIFS($V$3:$V$201,$M151)&gt;0,
     COUNTIFS($W$3:$W$201,$M151)&gt;0,
     COUNTIFS($X$3:$X$201,$M151)&gt;0,
     COUNTIFS($Y$3:$Y$201,$M151)&gt;0,
     COUNTIFS($Z$3:$Z$201,$M151)&gt;0,
     COUNTIFS($AA$3:$AA$201,$M151)&gt;0,
     COUNTIFS($AB$3:$AB$201,$M151)&gt;0,
     COUNTIFS($AC$3:$AC$201,$M151)&gt;0,
     COUNTIFS($AD$3:$AD$201,$M151)&gt;0,
     COUNTIFS($AE$3:$AE$201,$M151)&gt;0,
     COUNTIFS($AF$3:$AF$201,$M151)&gt;0,
     COUNTIFS($AG$3:$AG$201,$M151)&gt;0,
     COUNTIFS($AH$3:$AH$201,$M151)&gt;0,
     COUNTIFS($AI$3:$AI$201,$M151)&gt;0,
     COUNTIFS($AJ$3:$AJ$201,$M151)&gt;0,
     COUNTIFS($AK$3:$AK$201,$M151)&gt;0,
     COUNTIFS($AL$3:$AL$201,$M151)&gt;0,
     COUNTIFS($AM$3:$AM$201,$M151)&gt;0,
     COUNTIFS($AN$3:$AN$201,$M151)&gt;0,
     COUNTIFS($AO$3:$AO$201,$M151)&gt;0,
     COUNTIFS($AP$3:$AP$201,$M151)&gt;0,
     COUNTIFS($AQ$3:$AQ$201,$M151)&gt;0,
     COUNTIFS($AR$3:$AR$201,$M151)&gt;0,
     COUNTIFS($AS$3:$AS$201,$M151)&gt;0,
     COUNTIFS($AT$3:$AT$201,$M151)&gt;0,
     COUNTIFS($AU$3:$AU$201,$M151)&gt;0,
     COUNTIFS($AV$3:$AV$201,$M151)&gt;0,
     COUNTIFS($AW$3:$AW$201,$M151)&gt;0
   )),
  ),
  3
 ),
"")</f>
        <v/>
      </c>
      <c r="R151" s="3" t="str" cm="1">
        <f t="array" aca="1" ref="R151" ca="1">IFERROR(
 INDEX(
  _xlfn._xlws.FILTER($T$2:$AW$2,
   TRANSPOSE(
    CHOOSE({1;2;3;4;5;6;7;8;9;10;11;12;13;14;15;16;17;18;19;20;21;22;23;24;25;26;27;28;29;30},
     COUNTIFS($T$3:$T$201,$M151)&gt;0,
     COUNTIFS($U$3:$U$201,$M151)&gt;0,
     COUNTIFS($V$3:$V$201,$M151)&gt;0,
     COUNTIFS($W$3:$W$201,$M151)&gt;0,
     COUNTIFS($X$3:$X$201,$M151)&gt;0,
     COUNTIFS($Y$3:$Y$201,$M151)&gt;0,
     COUNTIFS($Z$3:$Z$201,$M151)&gt;0,
     COUNTIFS($AA$3:$AA$201,$M151)&gt;0,
     COUNTIFS($AB$3:$AB$201,$M151)&gt;0,
     COUNTIFS($AC$3:$AC$201,$M151)&gt;0,
     COUNTIFS($AD$3:$AD$201,$M151)&gt;0,
     COUNTIFS($AE$3:$AE$201,$M151)&gt;0,
     COUNTIFS($AF$3:$AF$201,$M151)&gt;0,
     COUNTIFS($AG$3:$AG$201,$M151)&gt;0,
     COUNTIFS($AH$3:$AH$201,$M151)&gt;0,
     COUNTIFS($AI$3:$AI$201,$M151)&gt;0,
     COUNTIFS($AJ$3:$AJ$201,$M151)&gt;0,
     COUNTIFS($AK$3:$AK$201,$M151)&gt;0,
     COUNTIFS($AL$3:$AL$201,$M151)&gt;0,
     COUNTIFS($AM$3:$AM$201,$M151)&gt;0,
     COUNTIFS($AN$3:$AN$201,$M151)&gt;0,
     COUNTIFS($AO$3:$AO$201,$M151)&gt;0,
     COUNTIFS($AP$3:$AP$201,$M151)&gt;0,
     COUNTIFS($AQ$3:$AQ$201,$M151)&gt;0,
     COUNTIFS($AR$3:$AR$201,$M151)&gt;0,
     COUNTIFS($AS$3:$AS$201,$M151)&gt;0,
     COUNTIFS($AT$3:$AT$201,$M151)&gt;0,
     COUNTIFS($AU$3:$AU$201,$M151)&gt;0,
     COUNTIFS($AV$3:$AV$201,$M151)&gt;0,
     COUNTIFS($AW$3:$AW$201,$M151)&gt;0
   )),
  ),
  4
 ),
"")</f>
        <v/>
      </c>
      <c r="CF151" t="str">
        <f ca="1"/>
        <v>Resposta // Ressurgimento</v>
      </c>
      <c r="CI151" t="str">
        <f ca="1"/>
        <v>Midnight Guard</v>
      </c>
    </row>
    <row r="152" spans="1:87" x14ac:dyDescent="0.25">
      <c r="A152" t="str">
        <f ca="1"/>
        <v>Lae'zel, Vlaakith's Champion</v>
      </c>
      <c r="B152" s="3" t="str" cm="1">
        <f t="array" aca="1" ref="B152" ca="1">_xlfn.ANCHORARRAY(RESUMO!C151)</f>
        <v>Tayam</v>
      </c>
      <c r="C152" s="3" t="str">
        <f t="shared" ca="1" si="8"/>
        <v/>
      </c>
      <c r="E152" t="str">
        <f ca="1"/>
        <v>Mind Stone</v>
      </c>
      <c r="F152" s="3">
        <f t="shared" ca="1" si="9"/>
        <v>2</v>
      </c>
      <c r="G152" s="3" t="str">
        <f t="shared" ca="1" si="10"/>
        <v>Tayam</v>
      </c>
      <c r="M152" t="str">
        <f ca="1"/>
        <v>Mind Stone</v>
      </c>
      <c r="N152" s="3">
        <f t="shared" ca="1" si="11"/>
        <v>2</v>
      </c>
      <c r="O152" s="3" t="str">
        <f ca="1">IFERROR(
 INDEX($T$2:$AW$2,
  MATCH(TRUE,
   CHOOSE({1;2;3;4;5;6;7;8;9;10;11;12;13;14;15;16;17;18;19;20;21;22;23;24;25;26;27;28;29;30;31;32},
    COUNTIFS($T$3:$T$201,$M152)&gt;0,
    COUNTIFS($U$3:$U$201,$M152)&gt;0,
    COUNTIFS($V$3:$V$201,$M152)&gt;0,
    COUNTIFS($W$3:$W$201,$M152)&gt;0,
    COUNTIFS($X$3:$X$201,$M152)&gt;0,
    COUNTIFS($Y$3:$Y$201,$M152)&gt;0,
    COUNTIFS($Z$3:$Z$201,$M152)&gt;0,
    COUNTIFS($AA$3:$AA$201,$M152)&gt;0,
    COUNTIFS($AB$3:$AB$201,$M152)&gt;0,
    COUNTIFS($AC$3:$AC$201,$M152)&gt;0,
    COUNTIFS($AD$3:$AD$201,$M152)&gt;0,
    COUNTIFS($AE$3:$AE$201,$M152)&gt;0,
    COUNTIFS($AF$3:$AF$201,$M152)&gt;0,
    COUNTIFS($AG$3:$AG$201,$M152)&gt;0,
    COUNTIFS($AH$3:$AH$201,$M152)&gt;0,
    COUNTIFS($AI$3:$AI$201,$M152)&gt;0,
    COUNTIFS($AJ$3:$AJ$201,$M152)&gt;0,
    COUNTIFS($AK$3:$AK$201,$M152)&gt;0,
    COUNTIFS($AL$3:$AL$201,$M152)&gt;0,
    COUNTIFS($AM$3:$AM$201,$M152)&gt;0,
    COUNTIFS($AN$3:$AN$201,$M152)&gt;0,
    COUNTIFS($AO$3:$AO$201,$M152)&gt;0,
    COUNTIFS($AP$3:$AP$201,$M152)&gt;0,
    COUNTIFS($AQ$3:$AQ$201,$M152)&gt;0,
    COUNTIFS($AR$3:$AR$201,$M152)&gt;0,
    COUNTIFS($AS$3:$AS$201,$M152)&gt;0,
    COUNTIFS($AT$3:$AT$201,$M152)&gt;0,
    COUNTIFS($AU$3:$AU$201,$M152)&gt;0,
    COUNTIFS($AV$3:$AV$201,$M152)&gt;0,
    COUNTIFS($AW$3:$AW$201,$M152)&gt;0
   ),
  0)
 ),
"")</f>
        <v>Tayam</v>
      </c>
      <c r="P152" s="3" t="str" cm="1">
        <f t="array" aca="1" ref="P152" ca="1">IFERROR(
 INDEX(
  _xlfn._xlws.FILTER($T$2:$AW$2,
   TRANSPOSE(
    CHOOSE({1;2;3;4;5;6;7;8;9;10;11;12;13;14;15;16;17;18;19;20;21;22;23;24;25;26;27;28;29;30},
     COUNTIFS($T$3:$T$201,$M152)&gt;0,
     COUNTIFS($U$3:$U$201,$M152)&gt;0,
     COUNTIFS($V$3:$V$201,$M152)&gt;0,
     COUNTIFS($W$3:$W$201,$M152)&gt;0,
     COUNTIFS($X$3:$X$201,$M152)&gt;0,
     COUNTIFS($Y$3:$Y$201,$M152)&gt;0,
     COUNTIFS($Z$3:$Z$201,$M152)&gt;0,
     COUNTIFS($AA$3:$AA$201,$M152)&gt;0,
     COUNTIFS($AB$3:$AB$201,$M152)&gt;0,
     COUNTIFS($AC$3:$AC$201,$M152)&gt;0,
     COUNTIFS($AD$3:$AD$201,$M152)&gt;0,
     COUNTIFS($AE$3:$AE$201,$M152)&gt;0,
     COUNTIFS($AF$3:$AF$201,$M152)&gt;0,
     COUNTIFS($AG$3:$AG$201,$M152)&gt;0,
     COUNTIFS($AH$3:$AH$201,$M152)&gt;0,
     COUNTIFS($AI$3:$AI$201,$M152)&gt;0,
     COUNTIFS($AJ$3:$AJ$201,$M152)&gt;0,
     COUNTIFS($AK$3:$AK$201,$M152)&gt;0,
     COUNTIFS($AL$3:$AL$201,$M152)&gt;0,
     COUNTIFS($AM$3:$AM$201,$M152)&gt;0,
     COUNTIFS($AN$3:$AN$201,$M152)&gt;0,
     COUNTIFS($AO$3:$AO$201,$M152)&gt;0,
     COUNTIFS($AP$3:$AP$201,$M152)&gt;0,
     COUNTIFS($AQ$3:$AQ$201,$M152)&gt;0,
     COUNTIFS($AR$3:$AR$201,$M152)&gt;0,
     COUNTIFS($AS$3:$AS$201,$M152)&gt;0,
     COUNTIFS($AT$3:$AT$201,$M152)&gt;0,
     COUNTIFS($AU$3:$AU$201,$M152)&gt;0,
     COUNTIFS($AV$3:$AV$201,$M152)&gt;0,
     COUNTIFS($AW$3:$AW$201,$M152)&gt;0
   )),
  ),
  2
 ),
"")</f>
        <v>Modular</v>
      </c>
      <c r="Q152" s="3" t="str" cm="1">
        <f t="array" aca="1" ref="Q152" ca="1">IFERROR(
 INDEX(
  _xlfn._xlws.FILTER($T$2:$AW$2,
   TRANSPOSE(
    CHOOSE({1;2;3;4;5;6;7;8;9;10;11;12;13;14;15;16;17;18;19;20;21;22;23;24;25;26;27;28;29;30},
     COUNTIFS($T$3:$T$201,$M152)&gt;0,
     COUNTIFS($U$3:$U$201,$M152)&gt;0,
     COUNTIFS($V$3:$V$201,$M152)&gt;0,
     COUNTIFS($W$3:$W$201,$M152)&gt;0,
     COUNTIFS($X$3:$X$201,$M152)&gt;0,
     COUNTIFS($Y$3:$Y$201,$M152)&gt;0,
     COUNTIFS($Z$3:$Z$201,$M152)&gt;0,
     COUNTIFS($AA$3:$AA$201,$M152)&gt;0,
     COUNTIFS($AB$3:$AB$201,$M152)&gt;0,
     COUNTIFS($AC$3:$AC$201,$M152)&gt;0,
     COUNTIFS($AD$3:$AD$201,$M152)&gt;0,
     COUNTIFS($AE$3:$AE$201,$M152)&gt;0,
     COUNTIFS($AF$3:$AF$201,$M152)&gt;0,
     COUNTIFS($AG$3:$AG$201,$M152)&gt;0,
     COUNTIFS($AH$3:$AH$201,$M152)&gt;0,
     COUNTIFS($AI$3:$AI$201,$M152)&gt;0,
     COUNTIFS($AJ$3:$AJ$201,$M152)&gt;0,
     COUNTIFS($AK$3:$AK$201,$M152)&gt;0,
     COUNTIFS($AL$3:$AL$201,$M152)&gt;0,
     COUNTIFS($AM$3:$AM$201,$M152)&gt;0,
     COUNTIFS($AN$3:$AN$201,$M152)&gt;0,
     COUNTIFS($AO$3:$AO$201,$M152)&gt;0,
     COUNTIFS($AP$3:$AP$201,$M152)&gt;0,
     COUNTIFS($AQ$3:$AQ$201,$M152)&gt;0,
     COUNTIFS($AR$3:$AR$201,$M152)&gt;0,
     COUNTIFS($AS$3:$AS$201,$M152)&gt;0,
     COUNTIFS($AT$3:$AT$201,$M152)&gt;0,
     COUNTIFS($AU$3:$AU$201,$M152)&gt;0,
     COUNTIFS($AV$3:$AV$201,$M152)&gt;0,
     COUNTIFS($AW$3:$AW$201,$M152)&gt;0
   )),
  ),
  3
 ),
"")</f>
        <v/>
      </c>
      <c r="R152" s="3" t="str" cm="1">
        <f t="array" aca="1" ref="R152" ca="1">IFERROR(
 INDEX(
  _xlfn._xlws.FILTER($T$2:$AW$2,
   TRANSPOSE(
    CHOOSE({1;2;3;4;5;6;7;8;9;10;11;12;13;14;15;16;17;18;19;20;21;22;23;24;25;26;27;28;29;30},
     COUNTIFS($T$3:$T$201,$M152)&gt;0,
     COUNTIFS($U$3:$U$201,$M152)&gt;0,
     COUNTIFS($V$3:$V$201,$M152)&gt;0,
     COUNTIFS($W$3:$W$201,$M152)&gt;0,
     COUNTIFS($X$3:$X$201,$M152)&gt;0,
     COUNTIFS($Y$3:$Y$201,$M152)&gt;0,
     COUNTIFS($Z$3:$Z$201,$M152)&gt;0,
     COUNTIFS($AA$3:$AA$201,$M152)&gt;0,
     COUNTIFS($AB$3:$AB$201,$M152)&gt;0,
     COUNTIFS($AC$3:$AC$201,$M152)&gt;0,
     COUNTIFS($AD$3:$AD$201,$M152)&gt;0,
     COUNTIFS($AE$3:$AE$201,$M152)&gt;0,
     COUNTIFS($AF$3:$AF$201,$M152)&gt;0,
     COUNTIFS($AG$3:$AG$201,$M152)&gt;0,
     COUNTIFS($AH$3:$AH$201,$M152)&gt;0,
     COUNTIFS($AI$3:$AI$201,$M152)&gt;0,
     COUNTIFS($AJ$3:$AJ$201,$M152)&gt;0,
     COUNTIFS($AK$3:$AK$201,$M152)&gt;0,
     COUNTIFS($AL$3:$AL$201,$M152)&gt;0,
     COUNTIFS($AM$3:$AM$201,$M152)&gt;0,
     COUNTIFS($AN$3:$AN$201,$M152)&gt;0,
     COUNTIFS($AO$3:$AO$201,$M152)&gt;0,
     COUNTIFS($AP$3:$AP$201,$M152)&gt;0,
     COUNTIFS($AQ$3:$AQ$201,$M152)&gt;0,
     COUNTIFS($AR$3:$AR$201,$M152)&gt;0,
     COUNTIFS($AS$3:$AS$201,$M152)&gt;0,
     COUNTIFS($AT$3:$AT$201,$M152)&gt;0,
     COUNTIFS($AU$3:$AU$201,$M152)&gt;0,
     COUNTIFS($AV$3:$AV$201,$M152)&gt;0,
     COUNTIFS($AW$3:$AW$201,$M152)&gt;0
   )),
  ),
  4
 ),
"")</f>
        <v/>
      </c>
      <c r="CF152" t="str">
        <f ca="1"/>
        <v>Restituir</v>
      </c>
      <c r="CI152" t="str">
        <f ca="1"/>
        <v>Mind Stone</v>
      </c>
    </row>
    <row r="153" spans="1:87" x14ac:dyDescent="0.25">
      <c r="A153" t="str">
        <f ca="1"/>
        <v>Lagoa Espelhada</v>
      </c>
      <c r="B153" s="3" t="str" cm="1">
        <f t="array" aca="1" ref="B153" ca="1">_xlfn.ANCHORARRAY(RESUMO!C152)</f>
        <v>Alela</v>
      </c>
      <c r="C153" s="3" t="str">
        <f t="shared" ca="1" si="8"/>
        <v/>
      </c>
      <c r="E153" t="str">
        <f ca="1"/>
        <v>Molda-mundo</v>
      </c>
      <c r="F153" s="3">
        <f t="shared" ca="1" si="9"/>
        <v>1</v>
      </c>
      <c r="G153" s="3" t="str">
        <f t="shared" ca="1" si="10"/>
        <v>Gritrog</v>
      </c>
      <c r="M153" t="str">
        <f ca="1"/>
        <v>Molda-mundo</v>
      </c>
      <c r="N153" s="3">
        <f t="shared" ca="1" si="11"/>
        <v>1</v>
      </c>
      <c r="O153" s="3" t="str">
        <f ca="1">IFERROR(
 INDEX($T$2:$AW$2,
  MATCH(TRUE,
   CHOOSE({1;2;3;4;5;6;7;8;9;10;11;12;13;14;15;16;17;18;19;20;21;22;23;24;25;26;27;28;29;30;31;32},
    COUNTIFS($T$3:$T$201,$M153)&gt;0,
    COUNTIFS($U$3:$U$201,$M153)&gt;0,
    COUNTIFS($V$3:$V$201,$M153)&gt;0,
    COUNTIFS($W$3:$W$201,$M153)&gt;0,
    COUNTIFS($X$3:$X$201,$M153)&gt;0,
    COUNTIFS($Y$3:$Y$201,$M153)&gt;0,
    COUNTIFS($Z$3:$Z$201,$M153)&gt;0,
    COUNTIFS($AA$3:$AA$201,$M153)&gt;0,
    COUNTIFS($AB$3:$AB$201,$M153)&gt;0,
    COUNTIFS($AC$3:$AC$201,$M153)&gt;0,
    COUNTIFS($AD$3:$AD$201,$M153)&gt;0,
    COUNTIFS($AE$3:$AE$201,$M153)&gt;0,
    COUNTIFS($AF$3:$AF$201,$M153)&gt;0,
    COUNTIFS($AG$3:$AG$201,$M153)&gt;0,
    COUNTIFS($AH$3:$AH$201,$M153)&gt;0,
    COUNTIFS($AI$3:$AI$201,$M153)&gt;0,
    COUNTIFS($AJ$3:$AJ$201,$M153)&gt;0,
    COUNTIFS($AK$3:$AK$201,$M153)&gt;0,
    COUNTIFS($AL$3:$AL$201,$M153)&gt;0,
    COUNTIFS($AM$3:$AM$201,$M153)&gt;0,
    COUNTIFS($AN$3:$AN$201,$M153)&gt;0,
    COUNTIFS($AO$3:$AO$201,$M153)&gt;0,
    COUNTIFS($AP$3:$AP$201,$M153)&gt;0,
    COUNTIFS($AQ$3:$AQ$201,$M153)&gt;0,
    COUNTIFS($AR$3:$AR$201,$M153)&gt;0,
    COUNTIFS($AS$3:$AS$201,$M153)&gt;0,
    COUNTIFS($AT$3:$AT$201,$M153)&gt;0,
    COUNTIFS($AU$3:$AU$201,$M153)&gt;0,
    COUNTIFS($AV$3:$AV$201,$M153)&gt;0,
    COUNTIFS($AW$3:$AW$201,$M153)&gt;0
   ),
  0)
 ),
"")</f>
        <v>Gritrog</v>
      </c>
      <c r="P153" s="3" t="str" cm="1">
        <f t="array" aca="1" ref="P153" ca="1">IFERROR(
 INDEX(
  _xlfn._xlws.FILTER($T$2:$AW$2,
   TRANSPOSE(
    CHOOSE({1;2;3;4;5;6;7;8;9;10;11;12;13;14;15;16;17;18;19;20;21;22;23;24;25;26;27;28;29;30},
     COUNTIFS($T$3:$T$201,$M153)&gt;0,
     COUNTIFS($U$3:$U$201,$M153)&gt;0,
     COUNTIFS($V$3:$V$201,$M153)&gt;0,
     COUNTIFS($W$3:$W$201,$M153)&gt;0,
     COUNTIFS($X$3:$X$201,$M153)&gt;0,
     COUNTIFS($Y$3:$Y$201,$M153)&gt;0,
     COUNTIFS($Z$3:$Z$201,$M153)&gt;0,
     COUNTIFS($AA$3:$AA$201,$M153)&gt;0,
     COUNTIFS($AB$3:$AB$201,$M153)&gt;0,
     COUNTIFS($AC$3:$AC$201,$M153)&gt;0,
     COUNTIFS($AD$3:$AD$201,$M153)&gt;0,
     COUNTIFS($AE$3:$AE$201,$M153)&gt;0,
     COUNTIFS($AF$3:$AF$201,$M153)&gt;0,
     COUNTIFS($AG$3:$AG$201,$M153)&gt;0,
     COUNTIFS($AH$3:$AH$201,$M153)&gt;0,
     COUNTIFS($AI$3:$AI$201,$M153)&gt;0,
     COUNTIFS($AJ$3:$AJ$201,$M153)&gt;0,
     COUNTIFS($AK$3:$AK$201,$M153)&gt;0,
     COUNTIFS($AL$3:$AL$201,$M153)&gt;0,
     COUNTIFS($AM$3:$AM$201,$M153)&gt;0,
     COUNTIFS($AN$3:$AN$201,$M153)&gt;0,
     COUNTIFS($AO$3:$AO$201,$M153)&gt;0,
     COUNTIFS($AP$3:$AP$201,$M153)&gt;0,
     COUNTIFS($AQ$3:$AQ$201,$M153)&gt;0,
     COUNTIFS($AR$3:$AR$201,$M153)&gt;0,
     COUNTIFS($AS$3:$AS$201,$M153)&gt;0,
     COUNTIFS($AT$3:$AT$201,$M153)&gt;0,
     COUNTIFS($AU$3:$AU$201,$M153)&gt;0,
     COUNTIFS($AV$3:$AV$201,$M153)&gt;0,
     COUNTIFS($AW$3:$AW$201,$M153)&gt;0
   )),
  ),
  2
 ),
"")</f>
        <v/>
      </c>
      <c r="Q153" s="3" t="str" cm="1">
        <f t="array" aca="1" ref="Q153" ca="1">IFERROR(
 INDEX(
  _xlfn._xlws.FILTER($T$2:$AW$2,
   TRANSPOSE(
    CHOOSE({1;2;3;4;5;6;7;8;9;10;11;12;13;14;15;16;17;18;19;20;21;22;23;24;25;26;27;28;29;30},
     COUNTIFS($T$3:$T$201,$M153)&gt;0,
     COUNTIFS($U$3:$U$201,$M153)&gt;0,
     COUNTIFS($V$3:$V$201,$M153)&gt;0,
     COUNTIFS($W$3:$W$201,$M153)&gt;0,
     COUNTIFS($X$3:$X$201,$M153)&gt;0,
     COUNTIFS($Y$3:$Y$201,$M153)&gt;0,
     COUNTIFS($Z$3:$Z$201,$M153)&gt;0,
     COUNTIFS($AA$3:$AA$201,$M153)&gt;0,
     COUNTIFS($AB$3:$AB$201,$M153)&gt;0,
     COUNTIFS($AC$3:$AC$201,$M153)&gt;0,
     COUNTIFS($AD$3:$AD$201,$M153)&gt;0,
     COUNTIFS($AE$3:$AE$201,$M153)&gt;0,
     COUNTIFS($AF$3:$AF$201,$M153)&gt;0,
     COUNTIFS($AG$3:$AG$201,$M153)&gt;0,
     COUNTIFS($AH$3:$AH$201,$M153)&gt;0,
     COUNTIFS($AI$3:$AI$201,$M153)&gt;0,
     COUNTIFS($AJ$3:$AJ$201,$M153)&gt;0,
     COUNTIFS($AK$3:$AK$201,$M153)&gt;0,
     COUNTIFS($AL$3:$AL$201,$M153)&gt;0,
     COUNTIFS($AM$3:$AM$201,$M153)&gt;0,
     COUNTIFS($AN$3:$AN$201,$M153)&gt;0,
     COUNTIFS($AO$3:$AO$201,$M153)&gt;0,
     COUNTIFS($AP$3:$AP$201,$M153)&gt;0,
     COUNTIFS($AQ$3:$AQ$201,$M153)&gt;0,
     COUNTIFS($AR$3:$AR$201,$M153)&gt;0,
     COUNTIFS($AS$3:$AS$201,$M153)&gt;0,
     COUNTIFS($AT$3:$AT$201,$M153)&gt;0,
     COUNTIFS($AU$3:$AU$201,$M153)&gt;0,
     COUNTIFS($AV$3:$AV$201,$M153)&gt;0,
     COUNTIFS($AW$3:$AW$201,$M153)&gt;0
   )),
  ),
  3
 ),
"")</f>
        <v/>
      </c>
      <c r="R153" s="3" t="str" cm="1">
        <f t="array" aca="1" ref="R153" ca="1">IFERROR(
 INDEX(
  _xlfn._xlws.FILTER($T$2:$AW$2,
   TRANSPOSE(
    CHOOSE({1;2;3;4;5;6;7;8;9;10;11;12;13;14;15;16;17;18;19;20;21;22;23;24;25;26;27;28;29;30},
     COUNTIFS($T$3:$T$201,$M153)&gt;0,
     COUNTIFS($U$3:$U$201,$M153)&gt;0,
     COUNTIFS($V$3:$V$201,$M153)&gt;0,
     COUNTIFS($W$3:$W$201,$M153)&gt;0,
     COUNTIFS($X$3:$X$201,$M153)&gt;0,
     COUNTIFS($Y$3:$Y$201,$M153)&gt;0,
     COUNTIFS($Z$3:$Z$201,$M153)&gt;0,
     COUNTIFS($AA$3:$AA$201,$M153)&gt;0,
     COUNTIFS($AB$3:$AB$201,$M153)&gt;0,
     COUNTIFS($AC$3:$AC$201,$M153)&gt;0,
     COUNTIFS($AD$3:$AD$201,$M153)&gt;0,
     COUNTIFS($AE$3:$AE$201,$M153)&gt;0,
     COUNTIFS($AF$3:$AF$201,$M153)&gt;0,
     COUNTIFS($AG$3:$AG$201,$M153)&gt;0,
     COUNTIFS($AH$3:$AH$201,$M153)&gt;0,
     COUNTIFS($AI$3:$AI$201,$M153)&gt;0,
     COUNTIFS($AJ$3:$AJ$201,$M153)&gt;0,
     COUNTIFS($AK$3:$AK$201,$M153)&gt;0,
     COUNTIFS($AL$3:$AL$201,$M153)&gt;0,
     COUNTIFS($AM$3:$AM$201,$M153)&gt;0,
     COUNTIFS($AN$3:$AN$201,$M153)&gt;0,
     COUNTIFS($AO$3:$AO$201,$M153)&gt;0,
     COUNTIFS($AP$3:$AP$201,$M153)&gt;0,
     COUNTIFS($AQ$3:$AQ$201,$M153)&gt;0,
     COUNTIFS($AR$3:$AR$201,$M153)&gt;0,
     COUNTIFS($AS$3:$AS$201,$M153)&gt;0,
     COUNTIFS($AT$3:$AT$201,$M153)&gt;0,
     COUNTIFS($AU$3:$AU$201,$M153)&gt;0,
     COUNTIFS($AV$3:$AV$201,$M153)&gt;0,
     COUNTIFS($AW$3:$AW$201,$M153)&gt;0
   )),
  ),
  4
 ),
"")</f>
        <v/>
      </c>
      <c r="CF153" t="str">
        <f ca="1"/>
        <v>Retorno a Natureza</v>
      </c>
      <c r="CI153" t="str">
        <f ca="1"/>
        <v>Molda-mundo</v>
      </c>
    </row>
    <row r="154" spans="1:87" x14ac:dyDescent="0.25">
      <c r="A154" t="str">
        <f ca="1"/>
        <v>Life of the Party</v>
      </c>
      <c r="B154" s="3" t="str" cm="1">
        <f t="array" aca="1" ref="B154" ca="1">_xlfn.ANCHORARRAY(RESUMO!C153)</f>
        <v>Rani</v>
      </c>
      <c r="C154" s="3" t="str">
        <f t="shared" ca="1" si="8"/>
        <v/>
      </c>
      <c r="E154" t="str">
        <f ca="1"/>
        <v>Montanha</v>
      </c>
      <c r="F154" s="3">
        <f t="shared" ca="1" si="9"/>
        <v>2</v>
      </c>
      <c r="G154" s="3" t="str">
        <f t="shared" ca="1" si="10"/>
        <v>JhoiraB</v>
      </c>
      <c r="M154" t="str">
        <f ca="1"/>
        <v>Montanha</v>
      </c>
      <c r="N154" s="3">
        <f t="shared" ca="1" si="11"/>
        <v>2</v>
      </c>
      <c r="O154" s="3" t="str">
        <f ca="1">IFERROR(
 INDEX($T$2:$AW$2,
  MATCH(TRUE,
   CHOOSE({1;2;3;4;5;6;7;8;9;10;11;12;13;14;15;16;17;18;19;20;21;22;23;24;25;26;27;28;29;30;31;32},
    COUNTIFS($T$3:$T$201,$M154)&gt;0,
    COUNTIFS($U$3:$U$201,$M154)&gt;0,
    COUNTIFS($V$3:$V$201,$M154)&gt;0,
    COUNTIFS($W$3:$W$201,$M154)&gt;0,
    COUNTIFS($X$3:$X$201,$M154)&gt;0,
    COUNTIFS($Y$3:$Y$201,$M154)&gt;0,
    COUNTIFS($Z$3:$Z$201,$M154)&gt;0,
    COUNTIFS($AA$3:$AA$201,$M154)&gt;0,
    COUNTIFS($AB$3:$AB$201,$M154)&gt;0,
    COUNTIFS($AC$3:$AC$201,$M154)&gt;0,
    COUNTIFS($AD$3:$AD$201,$M154)&gt;0,
    COUNTIFS($AE$3:$AE$201,$M154)&gt;0,
    COUNTIFS($AF$3:$AF$201,$M154)&gt;0,
    COUNTIFS($AG$3:$AG$201,$M154)&gt;0,
    COUNTIFS($AH$3:$AH$201,$M154)&gt;0,
    COUNTIFS($AI$3:$AI$201,$M154)&gt;0,
    COUNTIFS($AJ$3:$AJ$201,$M154)&gt;0,
    COUNTIFS($AK$3:$AK$201,$M154)&gt;0,
    COUNTIFS($AL$3:$AL$201,$M154)&gt;0,
    COUNTIFS($AM$3:$AM$201,$M154)&gt;0,
    COUNTIFS($AN$3:$AN$201,$M154)&gt;0,
    COUNTIFS($AO$3:$AO$201,$M154)&gt;0,
    COUNTIFS($AP$3:$AP$201,$M154)&gt;0,
    COUNTIFS($AQ$3:$AQ$201,$M154)&gt;0,
    COUNTIFS($AR$3:$AR$201,$M154)&gt;0,
    COUNTIFS($AS$3:$AS$201,$M154)&gt;0,
    COUNTIFS($AT$3:$AT$201,$M154)&gt;0,
    COUNTIFS($AU$3:$AU$201,$M154)&gt;0,
    COUNTIFS($AV$3:$AV$201,$M154)&gt;0,
    COUNTIFS($AW$3:$AW$201,$M154)&gt;0
   ),
  0)
 ),
"")</f>
        <v>JhoiraB</v>
      </c>
      <c r="P154" s="3" t="str" cm="1">
        <f t="array" aca="1" ref="P154" ca="1">IFERROR(
 INDEX(
  _xlfn._xlws.FILTER($T$2:$AW$2,
   TRANSPOSE(
    CHOOSE({1;2;3;4;5;6;7;8;9;10;11;12;13;14;15;16;17;18;19;20;21;22;23;24;25;26;27;28;29;30},
     COUNTIFS($T$3:$T$201,$M154)&gt;0,
     COUNTIFS($U$3:$U$201,$M154)&gt;0,
     COUNTIFS($V$3:$V$201,$M154)&gt;0,
     COUNTIFS($W$3:$W$201,$M154)&gt;0,
     COUNTIFS($X$3:$X$201,$M154)&gt;0,
     COUNTIFS($Y$3:$Y$201,$M154)&gt;0,
     COUNTIFS($Z$3:$Z$201,$M154)&gt;0,
     COUNTIFS($AA$3:$AA$201,$M154)&gt;0,
     COUNTIFS($AB$3:$AB$201,$M154)&gt;0,
     COUNTIFS($AC$3:$AC$201,$M154)&gt;0,
     COUNTIFS($AD$3:$AD$201,$M154)&gt;0,
     COUNTIFS($AE$3:$AE$201,$M154)&gt;0,
     COUNTIFS($AF$3:$AF$201,$M154)&gt;0,
     COUNTIFS($AG$3:$AG$201,$M154)&gt;0,
     COUNTIFS($AH$3:$AH$201,$M154)&gt;0,
     COUNTIFS($AI$3:$AI$201,$M154)&gt;0,
     COUNTIFS($AJ$3:$AJ$201,$M154)&gt;0,
     COUNTIFS($AK$3:$AK$201,$M154)&gt;0,
     COUNTIFS($AL$3:$AL$201,$M154)&gt;0,
     COUNTIFS($AM$3:$AM$201,$M154)&gt;0,
     COUNTIFS($AN$3:$AN$201,$M154)&gt;0,
     COUNTIFS($AO$3:$AO$201,$M154)&gt;0,
     COUNTIFS($AP$3:$AP$201,$M154)&gt;0,
     COUNTIFS($AQ$3:$AQ$201,$M154)&gt;0,
     COUNTIFS($AR$3:$AR$201,$M154)&gt;0,
     COUNTIFS($AS$3:$AS$201,$M154)&gt;0,
     COUNTIFS($AT$3:$AT$201,$M154)&gt;0,
     COUNTIFS($AU$3:$AU$201,$M154)&gt;0,
     COUNTIFS($AV$3:$AV$201,$M154)&gt;0,
     COUNTIFS($AW$3:$AW$201,$M154)&gt;0
   )),
  ),
  2
 ),
"")</f>
        <v>Zedruu</v>
      </c>
      <c r="Q154" s="3" t="str" cm="1">
        <f t="array" aca="1" ref="Q154" ca="1">IFERROR(
 INDEX(
  _xlfn._xlws.FILTER($T$2:$AW$2,
   TRANSPOSE(
    CHOOSE({1;2;3;4;5;6;7;8;9;10;11;12;13;14;15;16;17;18;19;20;21;22;23;24;25;26;27;28;29;30},
     COUNTIFS($T$3:$T$201,$M154)&gt;0,
     COUNTIFS($U$3:$U$201,$M154)&gt;0,
     COUNTIFS($V$3:$V$201,$M154)&gt;0,
     COUNTIFS($W$3:$W$201,$M154)&gt;0,
     COUNTIFS($X$3:$X$201,$M154)&gt;0,
     COUNTIFS($Y$3:$Y$201,$M154)&gt;0,
     COUNTIFS($Z$3:$Z$201,$M154)&gt;0,
     COUNTIFS($AA$3:$AA$201,$M154)&gt;0,
     COUNTIFS($AB$3:$AB$201,$M154)&gt;0,
     COUNTIFS($AC$3:$AC$201,$M154)&gt;0,
     COUNTIFS($AD$3:$AD$201,$M154)&gt;0,
     COUNTIFS($AE$3:$AE$201,$M154)&gt;0,
     COUNTIFS($AF$3:$AF$201,$M154)&gt;0,
     COUNTIFS($AG$3:$AG$201,$M154)&gt;0,
     COUNTIFS($AH$3:$AH$201,$M154)&gt;0,
     COUNTIFS($AI$3:$AI$201,$M154)&gt;0,
     COUNTIFS($AJ$3:$AJ$201,$M154)&gt;0,
     COUNTIFS($AK$3:$AK$201,$M154)&gt;0,
     COUNTIFS($AL$3:$AL$201,$M154)&gt;0,
     COUNTIFS($AM$3:$AM$201,$M154)&gt;0,
     COUNTIFS($AN$3:$AN$201,$M154)&gt;0,
     COUNTIFS($AO$3:$AO$201,$M154)&gt;0,
     COUNTIFS($AP$3:$AP$201,$M154)&gt;0,
     COUNTIFS($AQ$3:$AQ$201,$M154)&gt;0,
     COUNTIFS($AR$3:$AR$201,$M154)&gt;0,
     COUNTIFS($AS$3:$AS$201,$M154)&gt;0,
     COUNTIFS($AT$3:$AT$201,$M154)&gt;0,
     COUNTIFS($AU$3:$AU$201,$M154)&gt;0,
     COUNTIFS($AV$3:$AV$201,$M154)&gt;0,
     COUNTIFS($AW$3:$AW$201,$M154)&gt;0
   )),
  ),
  3
 ),
"")</f>
        <v/>
      </c>
      <c r="R154" s="3" t="str" cm="1">
        <f t="array" aca="1" ref="R154" ca="1">IFERROR(
 INDEX(
  _xlfn._xlws.FILTER($T$2:$AW$2,
   TRANSPOSE(
    CHOOSE({1;2;3;4;5;6;7;8;9;10;11;12;13;14;15;16;17;18;19;20;21;22;23;24;25;26;27;28;29;30},
     COUNTIFS($T$3:$T$201,$M154)&gt;0,
     COUNTIFS($U$3:$U$201,$M154)&gt;0,
     COUNTIFS($V$3:$V$201,$M154)&gt;0,
     COUNTIFS($W$3:$W$201,$M154)&gt;0,
     COUNTIFS($X$3:$X$201,$M154)&gt;0,
     COUNTIFS($Y$3:$Y$201,$M154)&gt;0,
     COUNTIFS($Z$3:$Z$201,$M154)&gt;0,
     COUNTIFS($AA$3:$AA$201,$M154)&gt;0,
     COUNTIFS($AB$3:$AB$201,$M154)&gt;0,
     COUNTIFS($AC$3:$AC$201,$M154)&gt;0,
     COUNTIFS($AD$3:$AD$201,$M154)&gt;0,
     COUNTIFS($AE$3:$AE$201,$M154)&gt;0,
     COUNTIFS($AF$3:$AF$201,$M154)&gt;0,
     COUNTIFS($AG$3:$AG$201,$M154)&gt;0,
     COUNTIFS($AH$3:$AH$201,$M154)&gt;0,
     COUNTIFS($AI$3:$AI$201,$M154)&gt;0,
     COUNTIFS($AJ$3:$AJ$201,$M154)&gt;0,
     COUNTIFS($AK$3:$AK$201,$M154)&gt;0,
     COUNTIFS($AL$3:$AL$201,$M154)&gt;0,
     COUNTIFS($AM$3:$AM$201,$M154)&gt;0,
     COUNTIFS($AN$3:$AN$201,$M154)&gt;0,
     COUNTIFS($AO$3:$AO$201,$M154)&gt;0,
     COUNTIFS($AP$3:$AP$201,$M154)&gt;0,
     COUNTIFS($AQ$3:$AQ$201,$M154)&gt;0,
     COUNTIFS($AR$3:$AR$201,$M154)&gt;0,
     COUNTIFS($AS$3:$AS$201,$M154)&gt;0,
     COUNTIFS($AT$3:$AT$201,$M154)&gt;0,
     COUNTIFS($AU$3:$AU$201,$M154)&gt;0,
     COUNTIFS($AV$3:$AV$201,$M154)&gt;0,
     COUNTIFS($AW$3:$AW$201,$M154)&gt;0
   )),
  ),
  4
 ),
"")</f>
        <v/>
      </c>
      <c r="CF154" t="str">
        <f ca="1"/>
        <v>Revitalizing Repast</v>
      </c>
      <c r="CI154" t="str">
        <f ca="1"/>
        <v>Montanha</v>
      </c>
    </row>
    <row r="155" spans="1:87" x14ac:dyDescent="0.25">
      <c r="A155" t="str">
        <f ca="1"/>
        <v>Lightning Greaves</v>
      </c>
      <c r="B155" s="3" t="str" cm="1">
        <f t="array" aca="1" ref="B155" ca="1">_xlfn.ANCHORARRAY(RESUMO!C154)</f>
        <v>Baylen</v>
      </c>
      <c r="C155" s="3" t="str">
        <f t="shared" ca="1" si="8"/>
        <v/>
      </c>
      <c r="E155" t="str">
        <f ca="1"/>
        <v>Morbid Oportunist</v>
      </c>
      <c r="F155" s="3">
        <f t="shared" ca="1" si="9"/>
        <v>1</v>
      </c>
      <c r="G155" s="3" t="str">
        <f t="shared" ca="1" si="10"/>
        <v>Tayam</v>
      </c>
      <c r="M155" t="str">
        <f ca="1"/>
        <v>Morbid Oportunist</v>
      </c>
      <c r="N155" s="3">
        <f t="shared" ca="1" si="11"/>
        <v>1</v>
      </c>
      <c r="O155" s="3" t="str">
        <f ca="1">IFERROR(
 INDEX($T$2:$AW$2,
  MATCH(TRUE,
   CHOOSE({1;2;3;4;5;6;7;8;9;10;11;12;13;14;15;16;17;18;19;20;21;22;23;24;25;26;27;28;29;30;31;32},
    COUNTIFS($T$3:$T$201,$M155)&gt;0,
    COUNTIFS($U$3:$U$201,$M155)&gt;0,
    COUNTIFS($V$3:$V$201,$M155)&gt;0,
    COUNTIFS($W$3:$W$201,$M155)&gt;0,
    COUNTIFS($X$3:$X$201,$M155)&gt;0,
    COUNTIFS($Y$3:$Y$201,$M155)&gt;0,
    COUNTIFS($Z$3:$Z$201,$M155)&gt;0,
    COUNTIFS($AA$3:$AA$201,$M155)&gt;0,
    COUNTIFS($AB$3:$AB$201,$M155)&gt;0,
    COUNTIFS($AC$3:$AC$201,$M155)&gt;0,
    COUNTIFS($AD$3:$AD$201,$M155)&gt;0,
    COUNTIFS($AE$3:$AE$201,$M155)&gt;0,
    COUNTIFS($AF$3:$AF$201,$M155)&gt;0,
    COUNTIFS($AG$3:$AG$201,$M155)&gt;0,
    COUNTIFS($AH$3:$AH$201,$M155)&gt;0,
    COUNTIFS($AI$3:$AI$201,$M155)&gt;0,
    COUNTIFS($AJ$3:$AJ$201,$M155)&gt;0,
    COUNTIFS($AK$3:$AK$201,$M155)&gt;0,
    COUNTIFS($AL$3:$AL$201,$M155)&gt;0,
    COUNTIFS($AM$3:$AM$201,$M155)&gt;0,
    COUNTIFS($AN$3:$AN$201,$M155)&gt;0,
    COUNTIFS($AO$3:$AO$201,$M155)&gt;0,
    COUNTIFS($AP$3:$AP$201,$M155)&gt;0,
    COUNTIFS($AQ$3:$AQ$201,$M155)&gt;0,
    COUNTIFS($AR$3:$AR$201,$M155)&gt;0,
    COUNTIFS($AS$3:$AS$201,$M155)&gt;0,
    COUNTIFS($AT$3:$AT$201,$M155)&gt;0,
    COUNTIFS($AU$3:$AU$201,$M155)&gt;0,
    COUNTIFS($AV$3:$AV$201,$M155)&gt;0,
    COUNTIFS($AW$3:$AW$201,$M155)&gt;0
   ),
  0)
 ),
"")</f>
        <v>Tayam</v>
      </c>
      <c r="P155" s="3" t="str" cm="1">
        <f t="array" aca="1" ref="P155" ca="1">IFERROR(
 INDEX(
  _xlfn._xlws.FILTER($T$2:$AW$2,
   TRANSPOSE(
    CHOOSE({1;2;3;4;5;6;7;8;9;10;11;12;13;14;15;16;17;18;19;20;21;22;23;24;25;26;27;28;29;30},
     COUNTIFS($T$3:$T$201,$M155)&gt;0,
     COUNTIFS($U$3:$U$201,$M155)&gt;0,
     COUNTIFS($V$3:$V$201,$M155)&gt;0,
     COUNTIFS($W$3:$W$201,$M155)&gt;0,
     COUNTIFS($X$3:$X$201,$M155)&gt;0,
     COUNTIFS($Y$3:$Y$201,$M155)&gt;0,
     COUNTIFS($Z$3:$Z$201,$M155)&gt;0,
     COUNTIFS($AA$3:$AA$201,$M155)&gt;0,
     COUNTIFS($AB$3:$AB$201,$M155)&gt;0,
     COUNTIFS($AC$3:$AC$201,$M155)&gt;0,
     COUNTIFS($AD$3:$AD$201,$M155)&gt;0,
     COUNTIFS($AE$3:$AE$201,$M155)&gt;0,
     COUNTIFS($AF$3:$AF$201,$M155)&gt;0,
     COUNTIFS($AG$3:$AG$201,$M155)&gt;0,
     COUNTIFS($AH$3:$AH$201,$M155)&gt;0,
     COUNTIFS($AI$3:$AI$201,$M155)&gt;0,
     COUNTIFS($AJ$3:$AJ$201,$M155)&gt;0,
     COUNTIFS($AK$3:$AK$201,$M155)&gt;0,
     COUNTIFS($AL$3:$AL$201,$M155)&gt;0,
     COUNTIFS($AM$3:$AM$201,$M155)&gt;0,
     COUNTIFS($AN$3:$AN$201,$M155)&gt;0,
     COUNTIFS($AO$3:$AO$201,$M155)&gt;0,
     COUNTIFS($AP$3:$AP$201,$M155)&gt;0,
     COUNTIFS($AQ$3:$AQ$201,$M155)&gt;0,
     COUNTIFS($AR$3:$AR$201,$M155)&gt;0,
     COUNTIFS($AS$3:$AS$201,$M155)&gt;0,
     COUNTIFS($AT$3:$AT$201,$M155)&gt;0,
     COUNTIFS($AU$3:$AU$201,$M155)&gt;0,
     COUNTIFS($AV$3:$AV$201,$M155)&gt;0,
     COUNTIFS($AW$3:$AW$201,$M155)&gt;0
   )),
  ),
  2
 ),
"")</f>
        <v/>
      </c>
      <c r="Q155" s="3" t="str" cm="1">
        <f t="array" aca="1" ref="Q155" ca="1">IFERROR(
 INDEX(
  _xlfn._xlws.FILTER($T$2:$AW$2,
   TRANSPOSE(
    CHOOSE({1;2;3;4;5;6;7;8;9;10;11;12;13;14;15;16;17;18;19;20;21;22;23;24;25;26;27;28;29;30},
     COUNTIFS($T$3:$T$201,$M155)&gt;0,
     COUNTIFS($U$3:$U$201,$M155)&gt;0,
     COUNTIFS($V$3:$V$201,$M155)&gt;0,
     COUNTIFS($W$3:$W$201,$M155)&gt;0,
     COUNTIFS($X$3:$X$201,$M155)&gt;0,
     COUNTIFS($Y$3:$Y$201,$M155)&gt;0,
     COUNTIFS($Z$3:$Z$201,$M155)&gt;0,
     COUNTIFS($AA$3:$AA$201,$M155)&gt;0,
     COUNTIFS($AB$3:$AB$201,$M155)&gt;0,
     COUNTIFS($AC$3:$AC$201,$M155)&gt;0,
     COUNTIFS($AD$3:$AD$201,$M155)&gt;0,
     COUNTIFS($AE$3:$AE$201,$M155)&gt;0,
     COUNTIFS($AF$3:$AF$201,$M155)&gt;0,
     COUNTIFS($AG$3:$AG$201,$M155)&gt;0,
     COUNTIFS($AH$3:$AH$201,$M155)&gt;0,
     COUNTIFS($AI$3:$AI$201,$M155)&gt;0,
     COUNTIFS($AJ$3:$AJ$201,$M155)&gt;0,
     COUNTIFS($AK$3:$AK$201,$M155)&gt;0,
     COUNTIFS($AL$3:$AL$201,$M155)&gt;0,
     COUNTIFS($AM$3:$AM$201,$M155)&gt;0,
     COUNTIFS($AN$3:$AN$201,$M155)&gt;0,
     COUNTIFS($AO$3:$AO$201,$M155)&gt;0,
     COUNTIFS($AP$3:$AP$201,$M155)&gt;0,
     COUNTIFS($AQ$3:$AQ$201,$M155)&gt;0,
     COUNTIFS($AR$3:$AR$201,$M155)&gt;0,
     COUNTIFS($AS$3:$AS$201,$M155)&gt;0,
     COUNTIFS($AT$3:$AT$201,$M155)&gt;0,
     COUNTIFS($AU$3:$AU$201,$M155)&gt;0,
     COUNTIFS($AV$3:$AV$201,$M155)&gt;0,
     COUNTIFS($AW$3:$AW$201,$M155)&gt;0
   )),
  ),
  3
 ),
"")</f>
        <v/>
      </c>
      <c r="R155" s="3" t="str" cm="1">
        <f t="array" aca="1" ref="R155" ca="1">IFERROR(
 INDEX(
  _xlfn._xlws.FILTER($T$2:$AW$2,
   TRANSPOSE(
    CHOOSE({1;2;3;4;5;6;7;8;9;10;11;12;13;14;15;16;17;18;19;20;21;22;23;24;25;26;27;28;29;30},
     COUNTIFS($T$3:$T$201,$M155)&gt;0,
     COUNTIFS($U$3:$U$201,$M155)&gt;0,
     COUNTIFS($V$3:$V$201,$M155)&gt;0,
     COUNTIFS($W$3:$W$201,$M155)&gt;0,
     COUNTIFS($X$3:$X$201,$M155)&gt;0,
     COUNTIFS($Y$3:$Y$201,$M155)&gt;0,
     COUNTIFS($Z$3:$Z$201,$M155)&gt;0,
     COUNTIFS($AA$3:$AA$201,$M155)&gt;0,
     COUNTIFS($AB$3:$AB$201,$M155)&gt;0,
     COUNTIFS($AC$3:$AC$201,$M155)&gt;0,
     COUNTIFS($AD$3:$AD$201,$M155)&gt;0,
     COUNTIFS($AE$3:$AE$201,$M155)&gt;0,
     COUNTIFS($AF$3:$AF$201,$M155)&gt;0,
     COUNTIFS($AG$3:$AG$201,$M155)&gt;0,
     COUNTIFS($AH$3:$AH$201,$M155)&gt;0,
     COUNTIFS($AI$3:$AI$201,$M155)&gt;0,
     COUNTIFS($AJ$3:$AJ$201,$M155)&gt;0,
     COUNTIFS($AK$3:$AK$201,$M155)&gt;0,
     COUNTIFS($AL$3:$AL$201,$M155)&gt;0,
     COUNTIFS($AM$3:$AM$201,$M155)&gt;0,
     COUNTIFS($AN$3:$AN$201,$M155)&gt;0,
     COUNTIFS($AO$3:$AO$201,$M155)&gt;0,
     COUNTIFS($AP$3:$AP$201,$M155)&gt;0,
     COUNTIFS($AQ$3:$AQ$201,$M155)&gt;0,
     COUNTIFS($AR$3:$AR$201,$M155)&gt;0,
     COUNTIFS($AS$3:$AS$201,$M155)&gt;0,
     COUNTIFS($AT$3:$AT$201,$M155)&gt;0,
     COUNTIFS($AU$3:$AU$201,$M155)&gt;0,
     COUNTIFS($AV$3:$AV$201,$M155)&gt;0,
     COUNTIFS($AW$3:$AW$201,$M155)&gt;0
   )),
  ),
  4
 ),
"")</f>
        <v/>
      </c>
      <c r="CF155" t="str">
        <f ca="1"/>
        <v>Rite of the Raging Storm</v>
      </c>
      <c r="CI155" t="str">
        <f ca="1"/>
        <v>Morbid Oportunist</v>
      </c>
    </row>
    <row r="156" spans="1:87" x14ac:dyDescent="0.25">
      <c r="A156" t="str">
        <f ca="1"/>
        <v>Lithoform Engine</v>
      </c>
      <c r="B156" s="3" t="str" cm="1">
        <f t="array" aca="1" ref="B156" ca="1">_xlfn.ANCHORARRAY(RESUMO!C155)</f>
        <v>Modular</v>
      </c>
      <c r="C156" s="3" t="str">
        <f t="shared" ca="1" si="8"/>
        <v/>
      </c>
      <c r="E156" t="str">
        <f ca="1"/>
        <v>Mountain</v>
      </c>
      <c r="F156" s="3">
        <f t="shared" ca="1" si="9"/>
        <v>11</v>
      </c>
      <c r="G156" s="3" t="str">
        <f t="shared" ca="1" si="10"/>
        <v>Piratas</v>
      </c>
      <c r="M156" t="str">
        <f ca="1"/>
        <v>Mountain</v>
      </c>
      <c r="N156" s="3">
        <f t="shared" ca="1" si="11"/>
        <v>11</v>
      </c>
      <c r="O156" s="3" t="str">
        <f ca="1">IFERROR(
 INDEX($T$2:$AW$2,
  MATCH(TRUE,
   CHOOSE({1;2;3;4;5;6;7;8;9;10;11;12;13;14;15;16;17;18;19;20;21;22;23;24;25;26;27;28;29;30;31;32},
    COUNTIFS($T$3:$T$201,$M156)&gt;0,
    COUNTIFS($U$3:$U$201,$M156)&gt;0,
    COUNTIFS($V$3:$V$201,$M156)&gt;0,
    COUNTIFS($W$3:$W$201,$M156)&gt;0,
    COUNTIFS($X$3:$X$201,$M156)&gt;0,
    COUNTIFS($Y$3:$Y$201,$M156)&gt;0,
    COUNTIFS($Z$3:$Z$201,$M156)&gt;0,
    COUNTIFS($AA$3:$AA$201,$M156)&gt;0,
    COUNTIFS($AB$3:$AB$201,$M156)&gt;0,
    COUNTIFS($AC$3:$AC$201,$M156)&gt;0,
    COUNTIFS($AD$3:$AD$201,$M156)&gt;0,
    COUNTIFS($AE$3:$AE$201,$M156)&gt;0,
    COUNTIFS($AF$3:$AF$201,$M156)&gt;0,
    COUNTIFS($AG$3:$AG$201,$M156)&gt;0,
    COUNTIFS($AH$3:$AH$201,$M156)&gt;0,
    COUNTIFS($AI$3:$AI$201,$M156)&gt;0,
    COUNTIFS($AJ$3:$AJ$201,$M156)&gt;0,
    COUNTIFS($AK$3:$AK$201,$M156)&gt;0,
    COUNTIFS($AL$3:$AL$201,$M156)&gt;0,
    COUNTIFS($AM$3:$AM$201,$M156)&gt;0,
    COUNTIFS($AN$3:$AN$201,$M156)&gt;0,
    COUNTIFS($AO$3:$AO$201,$M156)&gt;0,
    COUNTIFS($AP$3:$AP$201,$M156)&gt;0,
    COUNTIFS($AQ$3:$AQ$201,$M156)&gt;0,
    COUNTIFS($AR$3:$AR$201,$M156)&gt;0,
    COUNTIFS($AS$3:$AS$201,$M156)&gt;0,
    COUNTIFS($AT$3:$AT$201,$M156)&gt;0,
    COUNTIFS($AU$3:$AU$201,$M156)&gt;0,
    COUNTIFS($AV$3:$AV$201,$M156)&gt;0,
    COUNTIFS($AW$3:$AW$201,$M156)&gt;0
   ),
  0)
 ),
"")</f>
        <v>Piratas</v>
      </c>
      <c r="P156" s="3" t="str" cm="1">
        <f t="array" aca="1" ref="P156" ca="1">IFERROR(
 INDEX(
  _xlfn._xlws.FILTER($T$2:$AW$2,
   TRANSPOSE(
    CHOOSE({1;2;3;4;5;6;7;8;9;10;11;12;13;14;15;16;17;18;19;20;21;22;23;24;25;26;27;28;29;30},
     COUNTIFS($T$3:$T$201,$M156)&gt;0,
     COUNTIFS($U$3:$U$201,$M156)&gt;0,
     COUNTIFS($V$3:$V$201,$M156)&gt;0,
     COUNTIFS($W$3:$W$201,$M156)&gt;0,
     COUNTIFS($X$3:$X$201,$M156)&gt;0,
     COUNTIFS($Y$3:$Y$201,$M156)&gt;0,
     COUNTIFS($Z$3:$Z$201,$M156)&gt;0,
     COUNTIFS($AA$3:$AA$201,$M156)&gt;0,
     COUNTIFS($AB$3:$AB$201,$M156)&gt;0,
     COUNTIFS($AC$3:$AC$201,$M156)&gt;0,
     COUNTIFS($AD$3:$AD$201,$M156)&gt;0,
     COUNTIFS($AE$3:$AE$201,$M156)&gt;0,
     COUNTIFS($AF$3:$AF$201,$M156)&gt;0,
     COUNTIFS($AG$3:$AG$201,$M156)&gt;0,
     COUNTIFS($AH$3:$AH$201,$M156)&gt;0,
     COUNTIFS($AI$3:$AI$201,$M156)&gt;0,
     COUNTIFS($AJ$3:$AJ$201,$M156)&gt;0,
     COUNTIFS($AK$3:$AK$201,$M156)&gt;0,
     COUNTIFS($AL$3:$AL$201,$M156)&gt;0,
     COUNTIFS($AM$3:$AM$201,$M156)&gt;0,
     COUNTIFS($AN$3:$AN$201,$M156)&gt;0,
     COUNTIFS($AO$3:$AO$201,$M156)&gt;0,
     COUNTIFS($AP$3:$AP$201,$M156)&gt;0,
     COUNTIFS($AQ$3:$AQ$201,$M156)&gt;0,
     COUNTIFS($AR$3:$AR$201,$M156)&gt;0,
     COUNTIFS($AS$3:$AS$201,$M156)&gt;0,
     COUNTIFS($AT$3:$AT$201,$M156)&gt;0,
     COUNTIFS($AU$3:$AU$201,$M156)&gt;0,
     COUNTIFS($AV$3:$AV$201,$M156)&gt;0,
     COUNTIFS($AW$3:$AW$201,$M156)&gt;0
   )),
  ),
  2
 ),
"")</f>
        <v>Baylen</v>
      </c>
      <c r="Q156" s="3" t="str" cm="1">
        <f t="array" aca="1" ref="Q156" ca="1">IFERROR(
 INDEX(
  _xlfn._xlws.FILTER($T$2:$AW$2,
   TRANSPOSE(
    CHOOSE({1;2;3;4;5;6;7;8;9;10;11;12;13;14;15;16;17;18;19;20;21;22;23;24;25;26;27;28;29;30},
     COUNTIFS($T$3:$T$201,$M156)&gt;0,
     COUNTIFS($U$3:$U$201,$M156)&gt;0,
     COUNTIFS($V$3:$V$201,$M156)&gt;0,
     COUNTIFS($W$3:$W$201,$M156)&gt;0,
     COUNTIFS($X$3:$X$201,$M156)&gt;0,
     COUNTIFS($Y$3:$Y$201,$M156)&gt;0,
     COUNTIFS($Z$3:$Z$201,$M156)&gt;0,
     COUNTIFS($AA$3:$AA$201,$M156)&gt;0,
     COUNTIFS($AB$3:$AB$201,$M156)&gt;0,
     COUNTIFS($AC$3:$AC$201,$M156)&gt;0,
     COUNTIFS($AD$3:$AD$201,$M156)&gt;0,
     COUNTIFS($AE$3:$AE$201,$M156)&gt;0,
     COUNTIFS($AF$3:$AF$201,$M156)&gt;0,
     COUNTIFS($AG$3:$AG$201,$M156)&gt;0,
     COUNTIFS($AH$3:$AH$201,$M156)&gt;0,
     COUNTIFS($AI$3:$AI$201,$M156)&gt;0,
     COUNTIFS($AJ$3:$AJ$201,$M156)&gt;0,
     COUNTIFS($AK$3:$AK$201,$M156)&gt;0,
     COUNTIFS($AL$3:$AL$201,$M156)&gt;0,
     COUNTIFS($AM$3:$AM$201,$M156)&gt;0,
     COUNTIFS($AN$3:$AN$201,$M156)&gt;0,
     COUNTIFS($AO$3:$AO$201,$M156)&gt;0,
     COUNTIFS($AP$3:$AP$201,$M156)&gt;0,
     COUNTIFS($AQ$3:$AQ$201,$M156)&gt;0,
     COUNTIFS($AR$3:$AR$201,$M156)&gt;0,
     COUNTIFS($AS$3:$AS$201,$M156)&gt;0,
     COUNTIFS($AT$3:$AT$201,$M156)&gt;0,
     COUNTIFS($AU$3:$AU$201,$M156)&gt;0,
     COUNTIFS($AV$3:$AV$201,$M156)&gt;0,
     COUNTIFS($AW$3:$AW$201,$M156)&gt;0
   )),
  ),
  3
 ),
"")</f>
        <v>Narset</v>
      </c>
      <c r="R156" s="3" t="str" cm="1">
        <f t="array" aca="1" ref="R156" ca="1">IFERROR(
 INDEX(
  _xlfn._xlws.FILTER($T$2:$AW$2,
   TRANSPOSE(
    CHOOSE({1;2;3;4;5;6;7;8;9;10;11;12;13;14;15;16;17;18;19;20;21;22;23;24;25;26;27;28;29;30},
     COUNTIFS($T$3:$T$201,$M156)&gt;0,
     COUNTIFS($U$3:$U$201,$M156)&gt;0,
     COUNTIFS($V$3:$V$201,$M156)&gt;0,
     COUNTIFS($W$3:$W$201,$M156)&gt;0,
     COUNTIFS($X$3:$X$201,$M156)&gt;0,
     COUNTIFS($Y$3:$Y$201,$M156)&gt;0,
     COUNTIFS($Z$3:$Z$201,$M156)&gt;0,
     COUNTIFS($AA$3:$AA$201,$M156)&gt;0,
     COUNTIFS($AB$3:$AB$201,$M156)&gt;0,
     COUNTIFS($AC$3:$AC$201,$M156)&gt;0,
     COUNTIFS($AD$3:$AD$201,$M156)&gt;0,
     COUNTIFS($AE$3:$AE$201,$M156)&gt;0,
     COUNTIFS($AF$3:$AF$201,$M156)&gt;0,
     COUNTIFS($AG$3:$AG$201,$M156)&gt;0,
     COUNTIFS($AH$3:$AH$201,$M156)&gt;0,
     COUNTIFS($AI$3:$AI$201,$M156)&gt;0,
     COUNTIFS($AJ$3:$AJ$201,$M156)&gt;0,
     COUNTIFS($AK$3:$AK$201,$M156)&gt;0,
     COUNTIFS($AL$3:$AL$201,$M156)&gt;0,
     COUNTIFS($AM$3:$AM$201,$M156)&gt;0,
     COUNTIFS($AN$3:$AN$201,$M156)&gt;0,
     COUNTIFS($AO$3:$AO$201,$M156)&gt;0,
     COUNTIFS($AP$3:$AP$201,$M156)&gt;0,
     COUNTIFS($AQ$3:$AQ$201,$M156)&gt;0,
     COUNTIFS($AR$3:$AR$201,$M156)&gt;0,
     COUNTIFS($AS$3:$AS$201,$M156)&gt;0,
     COUNTIFS($AT$3:$AT$201,$M156)&gt;0,
     COUNTIFS($AU$3:$AU$201,$M156)&gt;0,
     COUNTIFS($AV$3:$AV$201,$M156)&gt;0,
     COUNTIFS($AW$3:$AW$201,$M156)&gt;0
   )),
  ),
  4
 ),
"")</f>
        <v>Rani</v>
      </c>
      <c r="CF156" t="str">
        <f ca="1"/>
        <v>Rumor Gatherer</v>
      </c>
      <c r="CI156" t="str">
        <f ca="1"/>
        <v>Mountain</v>
      </c>
    </row>
    <row r="157" spans="1:87" x14ac:dyDescent="0.25">
      <c r="A157" t="str">
        <f ca="1"/>
        <v>Llanowar Wastes</v>
      </c>
      <c r="B157" s="3" t="str" cm="1">
        <f t="array" aca="1" ref="B157" ca="1">_xlfn.ANCHORARRAY(RESUMO!C156)</f>
        <v>Tayam</v>
      </c>
      <c r="C157" s="3" t="str">
        <f t="shared" ca="1" si="8"/>
        <v/>
      </c>
      <c r="E157" t="str">
        <f ca="1"/>
        <v>Nezahal, Maré Primordial</v>
      </c>
      <c r="F157" s="3">
        <f t="shared" ca="1" si="9"/>
        <v>1</v>
      </c>
      <c r="G157" s="3" t="str">
        <f t="shared" ca="1" si="10"/>
        <v>Jhoira</v>
      </c>
      <c r="M157" t="str">
        <f ca="1"/>
        <v>Nezahal, Maré Primordial</v>
      </c>
      <c r="N157" s="3">
        <f t="shared" ca="1" si="11"/>
        <v>1</v>
      </c>
      <c r="O157" s="3" t="str">
        <f ca="1">IFERROR(
 INDEX($T$2:$AW$2,
  MATCH(TRUE,
   CHOOSE({1;2;3;4;5;6;7;8;9;10;11;12;13;14;15;16;17;18;19;20;21;22;23;24;25;26;27;28;29;30;31;32},
    COUNTIFS($T$3:$T$201,$M157)&gt;0,
    COUNTIFS($U$3:$U$201,$M157)&gt;0,
    COUNTIFS($V$3:$V$201,$M157)&gt;0,
    COUNTIFS($W$3:$W$201,$M157)&gt;0,
    COUNTIFS($X$3:$X$201,$M157)&gt;0,
    COUNTIFS($Y$3:$Y$201,$M157)&gt;0,
    COUNTIFS($Z$3:$Z$201,$M157)&gt;0,
    COUNTIFS($AA$3:$AA$201,$M157)&gt;0,
    COUNTIFS($AB$3:$AB$201,$M157)&gt;0,
    COUNTIFS($AC$3:$AC$201,$M157)&gt;0,
    COUNTIFS($AD$3:$AD$201,$M157)&gt;0,
    COUNTIFS($AE$3:$AE$201,$M157)&gt;0,
    COUNTIFS($AF$3:$AF$201,$M157)&gt;0,
    COUNTIFS($AG$3:$AG$201,$M157)&gt;0,
    COUNTIFS($AH$3:$AH$201,$M157)&gt;0,
    COUNTIFS($AI$3:$AI$201,$M157)&gt;0,
    COUNTIFS($AJ$3:$AJ$201,$M157)&gt;0,
    COUNTIFS($AK$3:$AK$201,$M157)&gt;0,
    COUNTIFS($AL$3:$AL$201,$M157)&gt;0,
    COUNTIFS($AM$3:$AM$201,$M157)&gt;0,
    COUNTIFS($AN$3:$AN$201,$M157)&gt;0,
    COUNTIFS($AO$3:$AO$201,$M157)&gt;0,
    COUNTIFS($AP$3:$AP$201,$M157)&gt;0,
    COUNTIFS($AQ$3:$AQ$201,$M157)&gt;0,
    COUNTIFS($AR$3:$AR$201,$M157)&gt;0,
    COUNTIFS($AS$3:$AS$201,$M157)&gt;0,
    COUNTIFS($AT$3:$AT$201,$M157)&gt;0,
    COUNTIFS($AU$3:$AU$201,$M157)&gt;0,
    COUNTIFS($AV$3:$AV$201,$M157)&gt;0,
    COUNTIFS($AW$3:$AW$201,$M157)&gt;0
   ),
  0)
 ),
"")</f>
        <v>Jhoira</v>
      </c>
      <c r="P157" s="3" t="str" cm="1">
        <f t="array" aca="1" ref="P157" ca="1">IFERROR(
 INDEX(
  _xlfn._xlws.FILTER($T$2:$AW$2,
   TRANSPOSE(
    CHOOSE({1;2;3;4;5;6;7;8;9;10;11;12;13;14;15;16;17;18;19;20;21;22;23;24;25;26;27;28;29;30},
     COUNTIFS($T$3:$T$201,$M157)&gt;0,
     COUNTIFS($U$3:$U$201,$M157)&gt;0,
     COUNTIFS($V$3:$V$201,$M157)&gt;0,
     COUNTIFS($W$3:$W$201,$M157)&gt;0,
     COUNTIFS($X$3:$X$201,$M157)&gt;0,
     COUNTIFS($Y$3:$Y$201,$M157)&gt;0,
     COUNTIFS($Z$3:$Z$201,$M157)&gt;0,
     COUNTIFS($AA$3:$AA$201,$M157)&gt;0,
     COUNTIFS($AB$3:$AB$201,$M157)&gt;0,
     COUNTIFS($AC$3:$AC$201,$M157)&gt;0,
     COUNTIFS($AD$3:$AD$201,$M157)&gt;0,
     COUNTIFS($AE$3:$AE$201,$M157)&gt;0,
     COUNTIFS($AF$3:$AF$201,$M157)&gt;0,
     COUNTIFS($AG$3:$AG$201,$M157)&gt;0,
     COUNTIFS($AH$3:$AH$201,$M157)&gt;0,
     COUNTIFS($AI$3:$AI$201,$M157)&gt;0,
     COUNTIFS($AJ$3:$AJ$201,$M157)&gt;0,
     COUNTIFS($AK$3:$AK$201,$M157)&gt;0,
     COUNTIFS($AL$3:$AL$201,$M157)&gt;0,
     COUNTIFS($AM$3:$AM$201,$M157)&gt;0,
     COUNTIFS($AN$3:$AN$201,$M157)&gt;0,
     COUNTIFS($AO$3:$AO$201,$M157)&gt;0,
     COUNTIFS($AP$3:$AP$201,$M157)&gt;0,
     COUNTIFS($AQ$3:$AQ$201,$M157)&gt;0,
     COUNTIFS($AR$3:$AR$201,$M157)&gt;0,
     COUNTIFS($AS$3:$AS$201,$M157)&gt;0,
     COUNTIFS($AT$3:$AT$201,$M157)&gt;0,
     COUNTIFS($AU$3:$AU$201,$M157)&gt;0,
     COUNTIFS($AV$3:$AV$201,$M157)&gt;0,
     COUNTIFS($AW$3:$AW$201,$M157)&gt;0
   )),
  ),
  2
 ),
"")</f>
        <v/>
      </c>
      <c r="Q157" s="3" t="str" cm="1">
        <f t="array" aca="1" ref="Q157" ca="1">IFERROR(
 INDEX(
  _xlfn._xlws.FILTER($T$2:$AW$2,
   TRANSPOSE(
    CHOOSE({1;2;3;4;5;6;7;8;9;10;11;12;13;14;15;16;17;18;19;20;21;22;23;24;25;26;27;28;29;30},
     COUNTIFS($T$3:$T$201,$M157)&gt;0,
     COUNTIFS($U$3:$U$201,$M157)&gt;0,
     COUNTIFS($V$3:$V$201,$M157)&gt;0,
     COUNTIFS($W$3:$W$201,$M157)&gt;0,
     COUNTIFS($X$3:$X$201,$M157)&gt;0,
     COUNTIFS($Y$3:$Y$201,$M157)&gt;0,
     COUNTIFS($Z$3:$Z$201,$M157)&gt;0,
     COUNTIFS($AA$3:$AA$201,$M157)&gt;0,
     COUNTIFS($AB$3:$AB$201,$M157)&gt;0,
     COUNTIFS($AC$3:$AC$201,$M157)&gt;0,
     COUNTIFS($AD$3:$AD$201,$M157)&gt;0,
     COUNTIFS($AE$3:$AE$201,$M157)&gt;0,
     COUNTIFS($AF$3:$AF$201,$M157)&gt;0,
     COUNTIFS($AG$3:$AG$201,$M157)&gt;0,
     COUNTIFS($AH$3:$AH$201,$M157)&gt;0,
     COUNTIFS($AI$3:$AI$201,$M157)&gt;0,
     COUNTIFS($AJ$3:$AJ$201,$M157)&gt;0,
     COUNTIFS($AK$3:$AK$201,$M157)&gt;0,
     COUNTIFS($AL$3:$AL$201,$M157)&gt;0,
     COUNTIFS($AM$3:$AM$201,$M157)&gt;0,
     COUNTIFS($AN$3:$AN$201,$M157)&gt;0,
     COUNTIFS($AO$3:$AO$201,$M157)&gt;0,
     COUNTIFS($AP$3:$AP$201,$M157)&gt;0,
     COUNTIFS($AQ$3:$AQ$201,$M157)&gt;0,
     COUNTIFS($AR$3:$AR$201,$M157)&gt;0,
     COUNTIFS($AS$3:$AS$201,$M157)&gt;0,
     COUNTIFS($AT$3:$AT$201,$M157)&gt;0,
     COUNTIFS($AU$3:$AU$201,$M157)&gt;0,
     COUNTIFS($AV$3:$AV$201,$M157)&gt;0,
     COUNTIFS($AW$3:$AW$201,$M157)&gt;0
   )),
  ),
  3
 ),
"")</f>
        <v/>
      </c>
      <c r="R157" s="3" t="str" cm="1">
        <f t="array" aca="1" ref="R157" ca="1">IFERROR(
 INDEX(
  _xlfn._xlws.FILTER($T$2:$AW$2,
   TRANSPOSE(
    CHOOSE({1;2;3;4;5;6;7;8;9;10;11;12;13;14;15;16;17;18;19;20;21;22;23;24;25;26;27;28;29;30},
     COUNTIFS($T$3:$T$201,$M157)&gt;0,
     COUNTIFS($U$3:$U$201,$M157)&gt;0,
     COUNTIFS($V$3:$V$201,$M157)&gt;0,
     COUNTIFS($W$3:$W$201,$M157)&gt;0,
     COUNTIFS($X$3:$X$201,$M157)&gt;0,
     COUNTIFS($Y$3:$Y$201,$M157)&gt;0,
     COUNTIFS($Z$3:$Z$201,$M157)&gt;0,
     COUNTIFS($AA$3:$AA$201,$M157)&gt;0,
     COUNTIFS($AB$3:$AB$201,$M157)&gt;0,
     COUNTIFS($AC$3:$AC$201,$M157)&gt;0,
     COUNTIFS($AD$3:$AD$201,$M157)&gt;0,
     COUNTIFS($AE$3:$AE$201,$M157)&gt;0,
     COUNTIFS($AF$3:$AF$201,$M157)&gt;0,
     COUNTIFS($AG$3:$AG$201,$M157)&gt;0,
     COUNTIFS($AH$3:$AH$201,$M157)&gt;0,
     COUNTIFS($AI$3:$AI$201,$M157)&gt;0,
     COUNTIFS($AJ$3:$AJ$201,$M157)&gt;0,
     COUNTIFS($AK$3:$AK$201,$M157)&gt;0,
     COUNTIFS($AL$3:$AL$201,$M157)&gt;0,
     COUNTIFS($AM$3:$AM$201,$M157)&gt;0,
     COUNTIFS($AN$3:$AN$201,$M157)&gt;0,
     COUNTIFS($AO$3:$AO$201,$M157)&gt;0,
     COUNTIFS($AP$3:$AP$201,$M157)&gt;0,
     COUNTIFS($AQ$3:$AQ$201,$M157)&gt;0,
     COUNTIFS($AR$3:$AR$201,$M157)&gt;0,
     COUNTIFS($AS$3:$AS$201,$M157)&gt;0,
     COUNTIFS($AT$3:$AT$201,$M157)&gt;0,
     COUNTIFS($AU$3:$AU$201,$M157)&gt;0,
     COUNTIFS($AV$3:$AV$201,$M157)&gt;0,
     COUNTIFS($AW$3:$AW$201,$M157)&gt;0
   )),
  ),
  4
 ),
"")</f>
        <v/>
      </c>
      <c r="CF157" t="str">
        <f ca="1"/>
        <v>Saciar</v>
      </c>
      <c r="CI157" t="str">
        <f ca="1"/>
        <v>Nezahal, Maré Primordial</v>
      </c>
    </row>
    <row r="158" spans="1:87" x14ac:dyDescent="0.25">
      <c r="A158" t="str">
        <f ca="1"/>
        <v>Lolth, Rainha Aranha</v>
      </c>
      <c r="B158" s="3" t="str" cm="1">
        <f t="array" aca="1" ref="B158" ca="1">_xlfn.ANCHORARRAY(RESUMO!C157)</f>
        <v>Sisay</v>
      </c>
      <c r="C158" s="3" t="str">
        <f t="shared" ca="1" si="8"/>
        <v/>
      </c>
      <c r="E158" t="str">
        <f ca="1"/>
        <v>Nicol Bolas, Dragon-God</v>
      </c>
      <c r="F158" s="3">
        <f t="shared" ca="1" si="9"/>
        <v>1</v>
      </c>
      <c r="G158" s="3" t="str">
        <f t="shared" ca="1" si="10"/>
        <v>Sisay</v>
      </c>
      <c r="M158" t="str">
        <f ca="1"/>
        <v>Nicol Bolas, Dragon-God</v>
      </c>
      <c r="N158" s="3">
        <f t="shared" ca="1" si="11"/>
        <v>1</v>
      </c>
      <c r="O158" s="3" t="str">
        <f ca="1">IFERROR(
 INDEX($T$2:$AW$2,
  MATCH(TRUE,
   CHOOSE({1;2;3;4;5;6;7;8;9;10;11;12;13;14;15;16;17;18;19;20;21;22;23;24;25;26;27;28;29;30;31;32},
    COUNTIFS($T$3:$T$201,$M158)&gt;0,
    COUNTIFS($U$3:$U$201,$M158)&gt;0,
    COUNTIFS($V$3:$V$201,$M158)&gt;0,
    COUNTIFS($W$3:$W$201,$M158)&gt;0,
    COUNTIFS($X$3:$X$201,$M158)&gt;0,
    COUNTIFS($Y$3:$Y$201,$M158)&gt;0,
    COUNTIFS($Z$3:$Z$201,$M158)&gt;0,
    COUNTIFS($AA$3:$AA$201,$M158)&gt;0,
    COUNTIFS($AB$3:$AB$201,$M158)&gt;0,
    COUNTIFS($AC$3:$AC$201,$M158)&gt;0,
    COUNTIFS($AD$3:$AD$201,$M158)&gt;0,
    COUNTIFS($AE$3:$AE$201,$M158)&gt;0,
    COUNTIFS($AF$3:$AF$201,$M158)&gt;0,
    COUNTIFS($AG$3:$AG$201,$M158)&gt;0,
    COUNTIFS($AH$3:$AH$201,$M158)&gt;0,
    COUNTIFS($AI$3:$AI$201,$M158)&gt;0,
    COUNTIFS($AJ$3:$AJ$201,$M158)&gt;0,
    COUNTIFS($AK$3:$AK$201,$M158)&gt;0,
    COUNTIFS($AL$3:$AL$201,$M158)&gt;0,
    COUNTIFS($AM$3:$AM$201,$M158)&gt;0,
    COUNTIFS($AN$3:$AN$201,$M158)&gt;0,
    COUNTIFS($AO$3:$AO$201,$M158)&gt;0,
    COUNTIFS($AP$3:$AP$201,$M158)&gt;0,
    COUNTIFS($AQ$3:$AQ$201,$M158)&gt;0,
    COUNTIFS($AR$3:$AR$201,$M158)&gt;0,
    COUNTIFS($AS$3:$AS$201,$M158)&gt;0,
    COUNTIFS($AT$3:$AT$201,$M158)&gt;0,
    COUNTIFS($AU$3:$AU$201,$M158)&gt;0,
    COUNTIFS($AV$3:$AV$201,$M158)&gt;0,
    COUNTIFS($AW$3:$AW$201,$M158)&gt;0
   ),
  0)
 ),
"")</f>
        <v>Sisay</v>
      </c>
      <c r="P158" s="3" t="str" cm="1">
        <f t="array" aca="1" ref="P158" ca="1">IFERROR(
 INDEX(
  _xlfn._xlws.FILTER($T$2:$AW$2,
   TRANSPOSE(
    CHOOSE({1;2;3;4;5;6;7;8;9;10;11;12;13;14;15;16;17;18;19;20;21;22;23;24;25;26;27;28;29;30},
     COUNTIFS($T$3:$T$201,$M158)&gt;0,
     COUNTIFS($U$3:$U$201,$M158)&gt;0,
     COUNTIFS($V$3:$V$201,$M158)&gt;0,
     COUNTIFS($W$3:$W$201,$M158)&gt;0,
     COUNTIFS($X$3:$X$201,$M158)&gt;0,
     COUNTIFS($Y$3:$Y$201,$M158)&gt;0,
     COUNTIFS($Z$3:$Z$201,$M158)&gt;0,
     COUNTIFS($AA$3:$AA$201,$M158)&gt;0,
     COUNTIFS($AB$3:$AB$201,$M158)&gt;0,
     COUNTIFS($AC$3:$AC$201,$M158)&gt;0,
     COUNTIFS($AD$3:$AD$201,$M158)&gt;0,
     COUNTIFS($AE$3:$AE$201,$M158)&gt;0,
     COUNTIFS($AF$3:$AF$201,$M158)&gt;0,
     COUNTIFS($AG$3:$AG$201,$M158)&gt;0,
     COUNTIFS($AH$3:$AH$201,$M158)&gt;0,
     COUNTIFS($AI$3:$AI$201,$M158)&gt;0,
     COUNTIFS($AJ$3:$AJ$201,$M158)&gt;0,
     COUNTIFS($AK$3:$AK$201,$M158)&gt;0,
     COUNTIFS($AL$3:$AL$201,$M158)&gt;0,
     COUNTIFS($AM$3:$AM$201,$M158)&gt;0,
     COUNTIFS($AN$3:$AN$201,$M158)&gt;0,
     COUNTIFS($AO$3:$AO$201,$M158)&gt;0,
     COUNTIFS($AP$3:$AP$201,$M158)&gt;0,
     COUNTIFS($AQ$3:$AQ$201,$M158)&gt;0,
     COUNTIFS($AR$3:$AR$201,$M158)&gt;0,
     COUNTIFS($AS$3:$AS$201,$M158)&gt;0,
     COUNTIFS($AT$3:$AT$201,$M158)&gt;0,
     COUNTIFS($AU$3:$AU$201,$M158)&gt;0,
     COUNTIFS($AV$3:$AV$201,$M158)&gt;0,
     COUNTIFS($AW$3:$AW$201,$M158)&gt;0
   )),
  ),
  2
 ),
"")</f>
        <v/>
      </c>
      <c r="Q158" s="3" t="str" cm="1">
        <f t="array" aca="1" ref="Q158" ca="1">IFERROR(
 INDEX(
  _xlfn._xlws.FILTER($T$2:$AW$2,
   TRANSPOSE(
    CHOOSE({1;2;3;4;5;6;7;8;9;10;11;12;13;14;15;16;17;18;19;20;21;22;23;24;25;26;27;28;29;30},
     COUNTIFS($T$3:$T$201,$M158)&gt;0,
     COUNTIFS($U$3:$U$201,$M158)&gt;0,
     COUNTIFS($V$3:$V$201,$M158)&gt;0,
     COUNTIFS($W$3:$W$201,$M158)&gt;0,
     COUNTIFS($X$3:$X$201,$M158)&gt;0,
     COUNTIFS($Y$3:$Y$201,$M158)&gt;0,
     COUNTIFS($Z$3:$Z$201,$M158)&gt;0,
     COUNTIFS($AA$3:$AA$201,$M158)&gt;0,
     COUNTIFS($AB$3:$AB$201,$M158)&gt;0,
     COUNTIFS($AC$3:$AC$201,$M158)&gt;0,
     COUNTIFS($AD$3:$AD$201,$M158)&gt;0,
     COUNTIFS($AE$3:$AE$201,$M158)&gt;0,
     COUNTIFS($AF$3:$AF$201,$M158)&gt;0,
     COUNTIFS($AG$3:$AG$201,$M158)&gt;0,
     COUNTIFS($AH$3:$AH$201,$M158)&gt;0,
     COUNTIFS($AI$3:$AI$201,$M158)&gt;0,
     COUNTIFS($AJ$3:$AJ$201,$M158)&gt;0,
     COUNTIFS($AK$3:$AK$201,$M158)&gt;0,
     COUNTIFS($AL$3:$AL$201,$M158)&gt;0,
     COUNTIFS($AM$3:$AM$201,$M158)&gt;0,
     COUNTIFS($AN$3:$AN$201,$M158)&gt;0,
     COUNTIFS($AO$3:$AO$201,$M158)&gt;0,
     COUNTIFS($AP$3:$AP$201,$M158)&gt;0,
     COUNTIFS($AQ$3:$AQ$201,$M158)&gt;0,
     COUNTIFS($AR$3:$AR$201,$M158)&gt;0,
     COUNTIFS($AS$3:$AS$201,$M158)&gt;0,
     COUNTIFS($AT$3:$AT$201,$M158)&gt;0,
     COUNTIFS($AU$3:$AU$201,$M158)&gt;0,
     COUNTIFS($AV$3:$AV$201,$M158)&gt;0,
     COUNTIFS($AW$3:$AW$201,$M158)&gt;0
   )),
  ),
  3
 ),
"")</f>
        <v/>
      </c>
      <c r="R158" s="3" t="str" cm="1">
        <f t="array" aca="1" ref="R158" ca="1">IFERROR(
 INDEX(
  _xlfn._xlws.FILTER($T$2:$AW$2,
   TRANSPOSE(
    CHOOSE({1;2;3;4;5;6;7;8;9;10;11;12;13;14;15;16;17;18;19;20;21;22;23;24;25;26;27;28;29;30},
     COUNTIFS($T$3:$T$201,$M158)&gt;0,
     COUNTIFS($U$3:$U$201,$M158)&gt;0,
     COUNTIFS($V$3:$V$201,$M158)&gt;0,
     COUNTIFS($W$3:$W$201,$M158)&gt;0,
     COUNTIFS($X$3:$X$201,$M158)&gt;0,
     COUNTIFS($Y$3:$Y$201,$M158)&gt;0,
     COUNTIFS($Z$3:$Z$201,$M158)&gt;0,
     COUNTIFS($AA$3:$AA$201,$M158)&gt;0,
     COUNTIFS($AB$3:$AB$201,$M158)&gt;0,
     COUNTIFS($AC$3:$AC$201,$M158)&gt;0,
     COUNTIFS($AD$3:$AD$201,$M158)&gt;0,
     COUNTIFS($AE$3:$AE$201,$M158)&gt;0,
     COUNTIFS($AF$3:$AF$201,$M158)&gt;0,
     COUNTIFS($AG$3:$AG$201,$M158)&gt;0,
     COUNTIFS($AH$3:$AH$201,$M158)&gt;0,
     COUNTIFS($AI$3:$AI$201,$M158)&gt;0,
     COUNTIFS($AJ$3:$AJ$201,$M158)&gt;0,
     COUNTIFS($AK$3:$AK$201,$M158)&gt;0,
     COUNTIFS($AL$3:$AL$201,$M158)&gt;0,
     COUNTIFS($AM$3:$AM$201,$M158)&gt;0,
     COUNTIFS($AN$3:$AN$201,$M158)&gt;0,
     COUNTIFS($AO$3:$AO$201,$M158)&gt;0,
     COUNTIFS($AP$3:$AP$201,$M158)&gt;0,
     COUNTIFS($AQ$3:$AQ$201,$M158)&gt;0,
     COUNTIFS($AR$3:$AR$201,$M158)&gt;0,
     COUNTIFS($AS$3:$AS$201,$M158)&gt;0,
     COUNTIFS($AT$3:$AT$201,$M158)&gt;0,
     COUNTIFS($AU$3:$AU$201,$M158)&gt;0,
     COUNTIFS($AV$3:$AV$201,$M158)&gt;0,
     COUNTIFS($AW$3:$AW$201,$M158)&gt;0
   )),
  ),
  4
 ),
"")</f>
        <v/>
      </c>
      <c r="CF158" t="str">
        <f ca="1"/>
        <v>Saheeli, Artífice Sublime</v>
      </c>
      <c r="CI158" t="str">
        <f ca="1"/>
        <v>Nicol Bolas, Dragon-God</v>
      </c>
    </row>
    <row r="159" spans="1:87" x14ac:dyDescent="0.25">
      <c r="A159" t="str">
        <f ca="1"/>
        <v>Lord of Atlantis</v>
      </c>
      <c r="B159" s="3" t="str" cm="1">
        <f t="array" aca="1" ref="B159" ca="1">_xlfn.ANCHORARRAY(RESUMO!C158)</f>
        <v>Kumena</v>
      </c>
      <c r="C159" s="3" t="str">
        <f t="shared" ca="1" si="8"/>
        <v/>
      </c>
      <c r="E159" t="str">
        <f ca="1"/>
        <v>Nimble Obstructionist</v>
      </c>
      <c r="F159" s="3">
        <f t="shared" ca="1" si="9"/>
        <v>1</v>
      </c>
      <c r="G159" s="3" t="str">
        <f t="shared" ca="1" si="10"/>
        <v>Rielle</v>
      </c>
      <c r="M159" t="str">
        <f ca="1"/>
        <v>Nimble Obstructionist</v>
      </c>
      <c r="N159" s="3">
        <f t="shared" ca="1" si="11"/>
        <v>1</v>
      </c>
      <c r="O159" s="3" t="str">
        <f ca="1">IFERROR(
 INDEX($T$2:$AW$2,
  MATCH(TRUE,
   CHOOSE({1;2;3;4;5;6;7;8;9;10;11;12;13;14;15;16;17;18;19;20;21;22;23;24;25;26;27;28;29;30;31;32},
    COUNTIFS($T$3:$T$201,$M159)&gt;0,
    COUNTIFS($U$3:$U$201,$M159)&gt;0,
    COUNTIFS($V$3:$V$201,$M159)&gt;0,
    COUNTIFS($W$3:$W$201,$M159)&gt;0,
    COUNTIFS($X$3:$X$201,$M159)&gt;0,
    COUNTIFS($Y$3:$Y$201,$M159)&gt;0,
    COUNTIFS($Z$3:$Z$201,$M159)&gt;0,
    COUNTIFS($AA$3:$AA$201,$M159)&gt;0,
    COUNTIFS($AB$3:$AB$201,$M159)&gt;0,
    COUNTIFS($AC$3:$AC$201,$M159)&gt;0,
    COUNTIFS($AD$3:$AD$201,$M159)&gt;0,
    COUNTIFS($AE$3:$AE$201,$M159)&gt;0,
    COUNTIFS($AF$3:$AF$201,$M159)&gt;0,
    COUNTIFS($AG$3:$AG$201,$M159)&gt;0,
    COUNTIFS($AH$3:$AH$201,$M159)&gt;0,
    COUNTIFS($AI$3:$AI$201,$M159)&gt;0,
    COUNTIFS($AJ$3:$AJ$201,$M159)&gt;0,
    COUNTIFS($AK$3:$AK$201,$M159)&gt;0,
    COUNTIFS($AL$3:$AL$201,$M159)&gt;0,
    COUNTIFS($AM$3:$AM$201,$M159)&gt;0,
    COUNTIFS($AN$3:$AN$201,$M159)&gt;0,
    COUNTIFS($AO$3:$AO$201,$M159)&gt;0,
    COUNTIFS($AP$3:$AP$201,$M159)&gt;0,
    COUNTIFS($AQ$3:$AQ$201,$M159)&gt;0,
    COUNTIFS($AR$3:$AR$201,$M159)&gt;0,
    COUNTIFS($AS$3:$AS$201,$M159)&gt;0,
    COUNTIFS($AT$3:$AT$201,$M159)&gt;0,
    COUNTIFS($AU$3:$AU$201,$M159)&gt;0,
    COUNTIFS($AV$3:$AV$201,$M159)&gt;0,
    COUNTIFS($AW$3:$AW$201,$M159)&gt;0
   ),
  0)
 ),
"")</f>
        <v>Rielle</v>
      </c>
      <c r="P159" s="3" t="str" cm="1">
        <f t="array" aca="1" ref="P159" ca="1">IFERROR(
 INDEX(
  _xlfn._xlws.FILTER($T$2:$AW$2,
   TRANSPOSE(
    CHOOSE({1;2;3;4;5;6;7;8;9;10;11;12;13;14;15;16;17;18;19;20;21;22;23;24;25;26;27;28;29;30},
     COUNTIFS($T$3:$T$201,$M159)&gt;0,
     COUNTIFS($U$3:$U$201,$M159)&gt;0,
     COUNTIFS($V$3:$V$201,$M159)&gt;0,
     COUNTIFS($W$3:$W$201,$M159)&gt;0,
     COUNTIFS($X$3:$X$201,$M159)&gt;0,
     COUNTIFS($Y$3:$Y$201,$M159)&gt;0,
     COUNTIFS($Z$3:$Z$201,$M159)&gt;0,
     COUNTIFS($AA$3:$AA$201,$M159)&gt;0,
     COUNTIFS($AB$3:$AB$201,$M159)&gt;0,
     COUNTIFS($AC$3:$AC$201,$M159)&gt;0,
     COUNTIFS($AD$3:$AD$201,$M159)&gt;0,
     COUNTIFS($AE$3:$AE$201,$M159)&gt;0,
     COUNTIFS($AF$3:$AF$201,$M159)&gt;0,
     COUNTIFS($AG$3:$AG$201,$M159)&gt;0,
     COUNTIFS($AH$3:$AH$201,$M159)&gt;0,
     COUNTIFS($AI$3:$AI$201,$M159)&gt;0,
     COUNTIFS($AJ$3:$AJ$201,$M159)&gt;0,
     COUNTIFS($AK$3:$AK$201,$M159)&gt;0,
     COUNTIFS($AL$3:$AL$201,$M159)&gt;0,
     COUNTIFS($AM$3:$AM$201,$M159)&gt;0,
     COUNTIFS($AN$3:$AN$201,$M159)&gt;0,
     COUNTIFS($AO$3:$AO$201,$M159)&gt;0,
     COUNTIFS($AP$3:$AP$201,$M159)&gt;0,
     COUNTIFS($AQ$3:$AQ$201,$M159)&gt;0,
     COUNTIFS($AR$3:$AR$201,$M159)&gt;0,
     COUNTIFS($AS$3:$AS$201,$M159)&gt;0,
     COUNTIFS($AT$3:$AT$201,$M159)&gt;0,
     COUNTIFS($AU$3:$AU$201,$M159)&gt;0,
     COUNTIFS($AV$3:$AV$201,$M159)&gt;0,
     COUNTIFS($AW$3:$AW$201,$M159)&gt;0
   )),
  ),
  2
 ),
"")</f>
        <v/>
      </c>
      <c r="Q159" s="3" t="str" cm="1">
        <f t="array" aca="1" ref="Q159" ca="1">IFERROR(
 INDEX(
  _xlfn._xlws.FILTER($T$2:$AW$2,
   TRANSPOSE(
    CHOOSE({1;2;3;4;5;6;7;8;9;10;11;12;13;14;15;16;17;18;19;20;21;22;23;24;25;26;27;28;29;30},
     COUNTIFS($T$3:$T$201,$M159)&gt;0,
     COUNTIFS($U$3:$U$201,$M159)&gt;0,
     COUNTIFS($V$3:$V$201,$M159)&gt;0,
     COUNTIFS($W$3:$W$201,$M159)&gt;0,
     COUNTIFS($X$3:$X$201,$M159)&gt;0,
     COUNTIFS($Y$3:$Y$201,$M159)&gt;0,
     COUNTIFS($Z$3:$Z$201,$M159)&gt;0,
     COUNTIFS($AA$3:$AA$201,$M159)&gt;0,
     COUNTIFS($AB$3:$AB$201,$M159)&gt;0,
     COUNTIFS($AC$3:$AC$201,$M159)&gt;0,
     COUNTIFS($AD$3:$AD$201,$M159)&gt;0,
     COUNTIFS($AE$3:$AE$201,$M159)&gt;0,
     COUNTIFS($AF$3:$AF$201,$M159)&gt;0,
     COUNTIFS($AG$3:$AG$201,$M159)&gt;0,
     COUNTIFS($AH$3:$AH$201,$M159)&gt;0,
     COUNTIFS($AI$3:$AI$201,$M159)&gt;0,
     COUNTIFS($AJ$3:$AJ$201,$M159)&gt;0,
     COUNTIFS($AK$3:$AK$201,$M159)&gt;0,
     COUNTIFS($AL$3:$AL$201,$M159)&gt;0,
     COUNTIFS($AM$3:$AM$201,$M159)&gt;0,
     COUNTIFS($AN$3:$AN$201,$M159)&gt;0,
     COUNTIFS($AO$3:$AO$201,$M159)&gt;0,
     COUNTIFS($AP$3:$AP$201,$M159)&gt;0,
     COUNTIFS($AQ$3:$AQ$201,$M159)&gt;0,
     COUNTIFS($AR$3:$AR$201,$M159)&gt;0,
     COUNTIFS($AS$3:$AS$201,$M159)&gt;0,
     COUNTIFS($AT$3:$AT$201,$M159)&gt;0,
     COUNTIFS($AU$3:$AU$201,$M159)&gt;0,
     COUNTIFS($AV$3:$AV$201,$M159)&gt;0,
     COUNTIFS($AW$3:$AW$201,$M159)&gt;0
   )),
  ),
  3
 ),
"")</f>
        <v/>
      </c>
      <c r="R159" s="3" t="str" cm="1">
        <f t="array" aca="1" ref="R159" ca="1">IFERROR(
 INDEX(
  _xlfn._xlws.FILTER($T$2:$AW$2,
   TRANSPOSE(
    CHOOSE({1;2;3;4;5;6;7;8;9;10;11;12;13;14;15;16;17;18;19;20;21;22;23;24;25;26;27;28;29;30},
     COUNTIFS($T$3:$T$201,$M159)&gt;0,
     COUNTIFS($U$3:$U$201,$M159)&gt;0,
     COUNTIFS($V$3:$V$201,$M159)&gt;0,
     COUNTIFS($W$3:$W$201,$M159)&gt;0,
     COUNTIFS($X$3:$X$201,$M159)&gt;0,
     COUNTIFS($Y$3:$Y$201,$M159)&gt;0,
     COUNTIFS($Z$3:$Z$201,$M159)&gt;0,
     COUNTIFS($AA$3:$AA$201,$M159)&gt;0,
     COUNTIFS($AB$3:$AB$201,$M159)&gt;0,
     COUNTIFS($AC$3:$AC$201,$M159)&gt;0,
     COUNTIFS($AD$3:$AD$201,$M159)&gt;0,
     COUNTIFS($AE$3:$AE$201,$M159)&gt;0,
     COUNTIFS($AF$3:$AF$201,$M159)&gt;0,
     COUNTIFS($AG$3:$AG$201,$M159)&gt;0,
     COUNTIFS($AH$3:$AH$201,$M159)&gt;0,
     COUNTIFS($AI$3:$AI$201,$M159)&gt;0,
     COUNTIFS($AJ$3:$AJ$201,$M159)&gt;0,
     COUNTIFS($AK$3:$AK$201,$M159)&gt;0,
     COUNTIFS($AL$3:$AL$201,$M159)&gt;0,
     COUNTIFS($AM$3:$AM$201,$M159)&gt;0,
     COUNTIFS($AN$3:$AN$201,$M159)&gt;0,
     COUNTIFS($AO$3:$AO$201,$M159)&gt;0,
     COUNTIFS($AP$3:$AP$201,$M159)&gt;0,
     COUNTIFS($AQ$3:$AQ$201,$M159)&gt;0,
     COUNTIFS($AR$3:$AR$201,$M159)&gt;0,
     COUNTIFS($AS$3:$AS$201,$M159)&gt;0,
     COUNTIFS($AT$3:$AT$201,$M159)&gt;0,
     COUNTIFS($AU$3:$AU$201,$M159)&gt;0,
     COUNTIFS($AV$3:$AV$201,$M159)&gt;0,
     COUNTIFS($AW$3:$AW$201,$M159)&gt;0
   )),
  ),
  4
 ),
"")</f>
        <v/>
      </c>
      <c r="CF159" t="str">
        <f ca="1"/>
        <v>Salvamento Macabro</v>
      </c>
      <c r="CI159" t="str">
        <f ca="1"/>
        <v>Nimble Obstructionist</v>
      </c>
    </row>
    <row r="160" spans="1:87" x14ac:dyDescent="0.25">
      <c r="A160" t="str">
        <f ca="1"/>
        <v>Lotus Field</v>
      </c>
      <c r="B160" s="3" t="str" cm="1">
        <f t="array" aca="1" ref="B160" ca="1">_xlfn.ANCHORARRAY(RESUMO!C159)</f>
        <v>Modular</v>
      </c>
      <c r="C160" s="3" t="str">
        <f t="shared" ca="1" si="8"/>
        <v/>
      </c>
      <c r="E160" t="str">
        <f ca="1"/>
        <v>Noite da Vingança dos Doces</v>
      </c>
      <c r="F160" s="3">
        <f t="shared" ca="1" si="9"/>
        <v>1</v>
      </c>
      <c r="G160" s="3" t="str">
        <f t="shared" ca="1" si="10"/>
        <v>Baylen</v>
      </c>
      <c r="M160" t="str">
        <f ca="1"/>
        <v>Noite da Vingança dos Doces</v>
      </c>
      <c r="N160" s="3">
        <f t="shared" ca="1" si="11"/>
        <v>1</v>
      </c>
      <c r="O160" s="3" t="str">
        <f ca="1">IFERROR(
 INDEX($T$2:$AW$2,
  MATCH(TRUE,
   CHOOSE({1;2;3;4;5;6;7;8;9;10;11;12;13;14;15;16;17;18;19;20;21;22;23;24;25;26;27;28;29;30;31;32},
    COUNTIFS($T$3:$T$201,$M160)&gt;0,
    COUNTIFS($U$3:$U$201,$M160)&gt;0,
    COUNTIFS($V$3:$V$201,$M160)&gt;0,
    COUNTIFS($W$3:$W$201,$M160)&gt;0,
    COUNTIFS($X$3:$X$201,$M160)&gt;0,
    COUNTIFS($Y$3:$Y$201,$M160)&gt;0,
    COUNTIFS($Z$3:$Z$201,$M160)&gt;0,
    COUNTIFS($AA$3:$AA$201,$M160)&gt;0,
    COUNTIFS($AB$3:$AB$201,$M160)&gt;0,
    COUNTIFS($AC$3:$AC$201,$M160)&gt;0,
    COUNTIFS($AD$3:$AD$201,$M160)&gt;0,
    COUNTIFS($AE$3:$AE$201,$M160)&gt;0,
    COUNTIFS($AF$3:$AF$201,$M160)&gt;0,
    COUNTIFS($AG$3:$AG$201,$M160)&gt;0,
    COUNTIFS($AH$3:$AH$201,$M160)&gt;0,
    COUNTIFS($AI$3:$AI$201,$M160)&gt;0,
    COUNTIFS($AJ$3:$AJ$201,$M160)&gt;0,
    COUNTIFS($AK$3:$AK$201,$M160)&gt;0,
    COUNTIFS($AL$3:$AL$201,$M160)&gt;0,
    COUNTIFS($AM$3:$AM$201,$M160)&gt;0,
    COUNTIFS($AN$3:$AN$201,$M160)&gt;0,
    COUNTIFS($AO$3:$AO$201,$M160)&gt;0,
    COUNTIFS($AP$3:$AP$201,$M160)&gt;0,
    COUNTIFS($AQ$3:$AQ$201,$M160)&gt;0,
    COUNTIFS($AR$3:$AR$201,$M160)&gt;0,
    COUNTIFS($AS$3:$AS$201,$M160)&gt;0,
    COUNTIFS($AT$3:$AT$201,$M160)&gt;0,
    COUNTIFS($AU$3:$AU$201,$M160)&gt;0,
    COUNTIFS($AV$3:$AV$201,$M160)&gt;0,
    COUNTIFS($AW$3:$AW$201,$M160)&gt;0
   ),
  0)
 ),
"")</f>
        <v>Baylen</v>
      </c>
      <c r="P160" s="3" t="str" cm="1">
        <f t="array" aca="1" ref="P160" ca="1">IFERROR(
 INDEX(
  _xlfn._xlws.FILTER($T$2:$AW$2,
   TRANSPOSE(
    CHOOSE({1;2;3;4;5;6;7;8;9;10;11;12;13;14;15;16;17;18;19;20;21;22;23;24;25;26;27;28;29;30},
     COUNTIFS($T$3:$T$201,$M160)&gt;0,
     COUNTIFS($U$3:$U$201,$M160)&gt;0,
     COUNTIFS($V$3:$V$201,$M160)&gt;0,
     COUNTIFS($W$3:$W$201,$M160)&gt;0,
     COUNTIFS($X$3:$X$201,$M160)&gt;0,
     COUNTIFS($Y$3:$Y$201,$M160)&gt;0,
     COUNTIFS($Z$3:$Z$201,$M160)&gt;0,
     COUNTIFS($AA$3:$AA$201,$M160)&gt;0,
     COUNTIFS($AB$3:$AB$201,$M160)&gt;0,
     COUNTIFS($AC$3:$AC$201,$M160)&gt;0,
     COUNTIFS($AD$3:$AD$201,$M160)&gt;0,
     COUNTIFS($AE$3:$AE$201,$M160)&gt;0,
     COUNTIFS($AF$3:$AF$201,$M160)&gt;0,
     COUNTIFS($AG$3:$AG$201,$M160)&gt;0,
     COUNTIFS($AH$3:$AH$201,$M160)&gt;0,
     COUNTIFS($AI$3:$AI$201,$M160)&gt;0,
     COUNTIFS($AJ$3:$AJ$201,$M160)&gt;0,
     COUNTIFS($AK$3:$AK$201,$M160)&gt;0,
     COUNTIFS($AL$3:$AL$201,$M160)&gt;0,
     COUNTIFS($AM$3:$AM$201,$M160)&gt;0,
     COUNTIFS($AN$3:$AN$201,$M160)&gt;0,
     COUNTIFS($AO$3:$AO$201,$M160)&gt;0,
     COUNTIFS($AP$3:$AP$201,$M160)&gt;0,
     COUNTIFS($AQ$3:$AQ$201,$M160)&gt;0,
     COUNTIFS($AR$3:$AR$201,$M160)&gt;0,
     COUNTIFS($AS$3:$AS$201,$M160)&gt;0,
     COUNTIFS($AT$3:$AT$201,$M160)&gt;0,
     COUNTIFS($AU$3:$AU$201,$M160)&gt;0,
     COUNTIFS($AV$3:$AV$201,$M160)&gt;0,
     COUNTIFS($AW$3:$AW$201,$M160)&gt;0
   )),
  ),
  2
 ),
"")</f>
        <v/>
      </c>
      <c r="Q160" s="3" t="str" cm="1">
        <f t="array" aca="1" ref="Q160" ca="1">IFERROR(
 INDEX(
  _xlfn._xlws.FILTER($T$2:$AW$2,
   TRANSPOSE(
    CHOOSE({1;2;3;4;5;6;7;8;9;10;11;12;13;14;15;16;17;18;19;20;21;22;23;24;25;26;27;28;29;30},
     COUNTIFS($T$3:$T$201,$M160)&gt;0,
     COUNTIFS($U$3:$U$201,$M160)&gt;0,
     COUNTIFS($V$3:$V$201,$M160)&gt;0,
     COUNTIFS($W$3:$W$201,$M160)&gt;0,
     COUNTIFS($X$3:$X$201,$M160)&gt;0,
     COUNTIFS($Y$3:$Y$201,$M160)&gt;0,
     COUNTIFS($Z$3:$Z$201,$M160)&gt;0,
     COUNTIFS($AA$3:$AA$201,$M160)&gt;0,
     COUNTIFS($AB$3:$AB$201,$M160)&gt;0,
     COUNTIFS($AC$3:$AC$201,$M160)&gt;0,
     COUNTIFS($AD$3:$AD$201,$M160)&gt;0,
     COUNTIFS($AE$3:$AE$201,$M160)&gt;0,
     COUNTIFS($AF$3:$AF$201,$M160)&gt;0,
     COUNTIFS($AG$3:$AG$201,$M160)&gt;0,
     COUNTIFS($AH$3:$AH$201,$M160)&gt;0,
     COUNTIFS($AI$3:$AI$201,$M160)&gt;0,
     COUNTIFS($AJ$3:$AJ$201,$M160)&gt;0,
     COUNTIFS($AK$3:$AK$201,$M160)&gt;0,
     COUNTIFS($AL$3:$AL$201,$M160)&gt;0,
     COUNTIFS($AM$3:$AM$201,$M160)&gt;0,
     COUNTIFS($AN$3:$AN$201,$M160)&gt;0,
     COUNTIFS($AO$3:$AO$201,$M160)&gt;0,
     COUNTIFS($AP$3:$AP$201,$M160)&gt;0,
     COUNTIFS($AQ$3:$AQ$201,$M160)&gt;0,
     COUNTIFS($AR$3:$AR$201,$M160)&gt;0,
     COUNTIFS($AS$3:$AS$201,$M160)&gt;0,
     COUNTIFS($AT$3:$AT$201,$M160)&gt;0,
     COUNTIFS($AU$3:$AU$201,$M160)&gt;0,
     COUNTIFS($AV$3:$AV$201,$M160)&gt;0,
     COUNTIFS($AW$3:$AW$201,$M160)&gt;0
   )),
  ),
  3
 ),
"")</f>
        <v/>
      </c>
      <c r="R160" s="3" t="str" cm="1">
        <f t="array" aca="1" ref="R160" ca="1">IFERROR(
 INDEX(
  _xlfn._xlws.FILTER($T$2:$AW$2,
   TRANSPOSE(
    CHOOSE({1;2;3;4;5;6;7;8;9;10;11;12;13;14;15;16;17;18;19;20;21;22;23;24;25;26;27;28;29;30},
     COUNTIFS($T$3:$T$201,$M160)&gt;0,
     COUNTIFS($U$3:$U$201,$M160)&gt;0,
     COUNTIFS($V$3:$V$201,$M160)&gt;0,
     COUNTIFS($W$3:$W$201,$M160)&gt;0,
     COUNTIFS($X$3:$X$201,$M160)&gt;0,
     COUNTIFS($Y$3:$Y$201,$M160)&gt;0,
     COUNTIFS($Z$3:$Z$201,$M160)&gt;0,
     COUNTIFS($AA$3:$AA$201,$M160)&gt;0,
     COUNTIFS($AB$3:$AB$201,$M160)&gt;0,
     COUNTIFS($AC$3:$AC$201,$M160)&gt;0,
     COUNTIFS($AD$3:$AD$201,$M160)&gt;0,
     COUNTIFS($AE$3:$AE$201,$M160)&gt;0,
     COUNTIFS($AF$3:$AF$201,$M160)&gt;0,
     COUNTIFS($AG$3:$AG$201,$M160)&gt;0,
     COUNTIFS($AH$3:$AH$201,$M160)&gt;0,
     COUNTIFS($AI$3:$AI$201,$M160)&gt;0,
     COUNTIFS($AJ$3:$AJ$201,$M160)&gt;0,
     COUNTIFS($AK$3:$AK$201,$M160)&gt;0,
     COUNTIFS($AL$3:$AL$201,$M160)&gt;0,
     COUNTIFS($AM$3:$AM$201,$M160)&gt;0,
     COUNTIFS($AN$3:$AN$201,$M160)&gt;0,
     COUNTIFS($AO$3:$AO$201,$M160)&gt;0,
     COUNTIFS($AP$3:$AP$201,$M160)&gt;0,
     COUNTIFS($AQ$3:$AQ$201,$M160)&gt;0,
     COUNTIFS($AR$3:$AR$201,$M160)&gt;0,
     COUNTIFS($AS$3:$AS$201,$M160)&gt;0,
     COUNTIFS($AT$3:$AT$201,$M160)&gt;0,
     COUNTIFS($AU$3:$AU$201,$M160)&gt;0,
     COUNTIFS($AV$3:$AV$201,$M160)&gt;0,
     COUNTIFS($AW$3:$AW$201,$M160)&gt;0
   )),
  ),
  4
 ),
"")</f>
        <v/>
      </c>
      <c r="CF160" t="str">
        <f ca="1"/>
        <v>Sanctuary Warden</v>
      </c>
      <c r="CI160" t="str">
        <f ca="1"/>
        <v>Noite da Vingança dos Doces</v>
      </c>
    </row>
    <row r="161" spans="1:87" x14ac:dyDescent="0.25">
      <c r="A161" t="str">
        <f ca="1"/>
        <v>Louisoix's Sacrifice</v>
      </c>
      <c r="B161" s="3" t="str" cm="1">
        <f t="array" aca="1" ref="B161" ca="1">_xlfn.ANCHORARRAY(RESUMO!C160)</f>
        <v>Yuriko</v>
      </c>
      <c r="C161" s="3" t="str">
        <f t="shared" ca="1" si="8"/>
        <v/>
      </c>
      <c r="E161" t="str">
        <f ca="1"/>
        <v>O Ancião Renascido</v>
      </c>
      <c r="F161" s="3">
        <f t="shared" ca="1" si="9"/>
        <v>1</v>
      </c>
      <c r="G161" s="3" t="str">
        <f t="shared" ca="1" si="10"/>
        <v>Sisay</v>
      </c>
      <c r="M161" t="str">
        <f ca="1"/>
        <v>O Ancião Renascido</v>
      </c>
      <c r="N161" s="3">
        <f t="shared" ca="1" si="11"/>
        <v>1</v>
      </c>
      <c r="O161" s="3" t="str">
        <f ca="1">IFERROR(
 INDEX($T$2:$AW$2,
  MATCH(TRUE,
   CHOOSE({1;2;3;4;5;6;7;8;9;10;11;12;13;14;15;16;17;18;19;20;21;22;23;24;25;26;27;28;29;30;31;32},
    COUNTIFS($T$3:$T$201,$M161)&gt;0,
    COUNTIFS($U$3:$U$201,$M161)&gt;0,
    COUNTIFS($V$3:$V$201,$M161)&gt;0,
    COUNTIFS($W$3:$W$201,$M161)&gt;0,
    COUNTIFS($X$3:$X$201,$M161)&gt;0,
    COUNTIFS($Y$3:$Y$201,$M161)&gt;0,
    COUNTIFS($Z$3:$Z$201,$M161)&gt;0,
    COUNTIFS($AA$3:$AA$201,$M161)&gt;0,
    COUNTIFS($AB$3:$AB$201,$M161)&gt;0,
    COUNTIFS($AC$3:$AC$201,$M161)&gt;0,
    COUNTIFS($AD$3:$AD$201,$M161)&gt;0,
    COUNTIFS($AE$3:$AE$201,$M161)&gt;0,
    COUNTIFS($AF$3:$AF$201,$M161)&gt;0,
    COUNTIFS($AG$3:$AG$201,$M161)&gt;0,
    COUNTIFS($AH$3:$AH$201,$M161)&gt;0,
    COUNTIFS($AI$3:$AI$201,$M161)&gt;0,
    COUNTIFS($AJ$3:$AJ$201,$M161)&gt;0,
    COUNTIFS($AK$3:$AK$201,$M161)&gt;0,
    COUNTIFS($AL$3:$AL$201,$M161)&gt;0,
    COUNTIFS($AM$3:$AM$201,$M161)&gt;0,
    COUNTIFS($AN$3:$AN$201,$M161)&gt;0,
    COUNTIFS($AO$3:$AO$201,$M161)&gt;0,
    COUNTIFS($AP$3:$AP$201,$M161)&gt;0,
    COUNTIFS($AQ$3:$AQ$201,$M161)&gt;0,
    COUNTIFS($AR$3:$AR$201,$M161)&gt;0,
    COUNTIFS($AS$3:$AS$201,$M161)&gt;0,
    COUNTIFS($AT$3:$AT$201,$M161)&gt;0,
    COUNTIFS($AU$3:$AU$201,$M161)&gt;0,
    COUNTIFS($AV$3:$AV$201,$M161)&gt;0,
    COUNTIFS($AW$3:$AW$201,$M161)&gt;0
   ),
  0)
 ),
"")</f>
        <v>Sisay</v>
      </c>
      <c r="P161" s="3" t="str" cm="1">
        <f t="array" aca="1" ref="P161" ca="1">IFERROR(
 INDEX(
  _xlfn._xlws.FILTER($T$2:$AW$2,
   TRANSPOSE(
    CHOOSE({1;2;3;4;5;6;7;8;9;10;11;12;13;14;15;16;17;18;19;20;21;22;23;24;25;26;27;28;29;30},
     COUNTIFS($T$3:$T$201,$M161)&gt;0,
     COUNTIFS($U$3:$U$201,$M161)&gt;0,
     COUNTIFS($V$3:$V$201,$M161)&gt;0,
     COUNTIFS($W$3:$W$201,$M161)&gt;0,
     COUNTIFS($X$3:$X$201,$M161)&gt;0,
     COUNTIFS($Y$3:$Y$201,$M161)&gt;0,
     COUNTIFS($Z$3:$Z$201,$M161)&gt;0,
     COUNTIFS($AA$3:$AA$201,$M161)&gt;0,
     COUNTIFS($AB$3:$AB$201,$M161)&gt;0,
     COUNTIFS($AC$3:$AC$201,$M161)&gt;0,
     COUNTIFS($AD$3:$AD$201,$M161)&gt;0,
     COUNTIFS($AE$3:$AE$201,$M161)&gt;0,
     COUNTIFS($AF$3:$AF$201,$M161)&gt;0,
     COUNTIFS($AG$3:$AG$201,$M161)&gt;0,
     COUNTIFS($AH$3:$AH$201,$M161)&gt;0,
     COUNTIFS($AI$3:$AI$201,$M161)&gt;0,
     COUNTIFS($AJ$3:$AJ$201,$M161)&gt;0,
     COUNTIFS($AK$3:$AK$201,$M161)&gt;0,
     COUNTIFS($AL$3:$AL$201,$M161)&gt;0,
     COUNTIFS($AM$3:$AM$201,$M161)&gt;0,
     COUNTIFS($AN$3:$AN$201,$M161)&gt;0,
     COUNTIFS($AO$3:$AO$201,$M161)&gt;0,
     COUNTIFS($AP$3:$AP$201,$M161)&gt;0,
     COUNTIFS($AQ$3:$AQ$201,$M161)&gt;0,
     COUNTIFS($AR$3:$AR$201,$M161)&gt;0,
     COUNTIFS($AS$3:$AS$201,$M161)&gt;0,
     COUNTIFS($AT$3:$AT$201,$M161)&gt;0,
     COUNTIFS($AU$3:$AU$201,$M161)&gt;0,
     COUNTIFS($AV$3:$AV$201,$M161)&gt;0,
     COUNTIFS($AW$3:$AW$201,$M161)&gt;0
   )),
  ),
  2
 ),
"")</f>
        <v/>
      </c>
      <c r="Q161" s="3" t="str" cm="1">
        <f t="array" aca="1" ref="Q161" ca="1">IFERROR(
 INDEX(
  _xlfn._xlws.FILTER($T$2:$AW$2,
   TRANSPOSE(
    CHOOSE({1;2;3;4;5;6;7;8;9;10;11;12;13;14;15;16;17;18;19;20;21;22;23;24;25;26;27;28;29;30},
     COUNTIFS($T$3:$T$201,$M161)&gt;0,
     COUNTIFS($U$3:$U$201,$M161)&gt;0,
     COUNTIFS($V$3:$V$201,$M161)&gt;0,
     COUNTIFS($W$3:$W$201,$M161)&gt;0,
     COUNTIFS($X$3:$X$201,$M161)&gt;0,
     COUNTIFS($Y$3:$Y$201,$M161)&gt;0,
     COUNTIFS($Z$3:$Z$201,$M161)&gt;0,
     COUNTIFS($AA$3:$AA$201,$M161)&gt;0,
     COUNTIFS($AB$3:$AB$201,$M161)&gt;0,
     COUNTIFS($AC$3:$AC$201,$M161)&gt;0,
     COUNTIFS($AD$3:$AD$201,$M161)&gt;0,
     COUNTIFS($AE$3:$AE$201,$M161)&gt;0,
     COUNTIFS($AF$3:$AF$201,$M161)&gt;0,
     COUNTIFS($AG$3:$AG$201,$M161)&gt;0,
     COUNTIFS($AH$3:$AH$201,$M161)&gt;0,
     COUNTIFS($AI$3:$AI$201,$M161)&gt;0,
     COUNTIFS($AJ$3:$AJ$201,$M161)&gt;0,
     COUNTIFS($AK$3:$AK$201,$M161)&gt;0,
     COUNTIFS($AL$3:$AL$201,$M161)&gt;0,
     COUNTIFS($AM$3:$AM$201,$M161)&gt;0,
     COUNTIFS($AN$3:$AN$201,$M161)&gt;0,
     COUNTIFS($AO$3:$AO$201,$M161)&gt;0,
     COUNTIFS($AP$3:$AP$201,$M161)&gt;0,
     COUNTIFS($AQ$3:$AQ$201,$M161)&gt;0,
     COUNTIFS($AR$3:$AR$201,$M161)&gt;0,
     COUNTIFS($AS$3:$AS$201,$M161)&gt;0,
     COUNTIFS($AT$3:$AT$201,$M161)&gt;0,
     COUNTIFS($AU$3:$AU$201,$M161)&gt;0,
     COUNTIFS($AV$3:$AV$201,$M161)&gt;0,
     COUNTIFS($AW$3:$AW$201,$M161)&gt;0
   )),
  ),
  3
 ),
"")</f>
        <v/>
      </c>
      <c r="R161" s="3" t="str" cm="1">
        <f t="array" aca="1" ref="R161" ca="1">IFERROR(
 INDEX(
  _xlfn._xlws.FILTER($T$2:$AW$2,
   TRANSPOSE(
    CHOOSE({1;2;3;4;5;6;7;8;9;10;11;12;13;14;15;16;17;18;19;20;21;22;23;24;25;26;27;28;29;30},
     COUNTIFS($T$3:$T$201,$M161)&gt;0,
     COUNTIFS($U$3:$U$201,$M161)&gt;0,
     COUNTIFS($V$3:$V$201,$M161)&gt;0,
     COUNTIFS($W$3:$W$201,$M161)&gt;0,
     COUNTIFS($X$3:$X$201,$M161)&gt;0,
     COUNTIFS($Y$3:$Y$201,$M161)&gt;0,
     COUNTIFS($Z$3:$Z$201,$M161)&gt;0,
     COUNTIFS($AA$3:$AA$201,$M161)&gt;0,
     COUNTIFS($AB$3:$AB$201,$M161)&gt;0,
     COUNTIFS($AC$3:$AC$201,$M161)&gt;0,
     COUNTIFS($AD$3:$AD$201,$M161)&gt;0,
     COUNTIFS($AE$3:$AE$201,$M161)&gt;0,
     COUNTIFS($AF$3:$AF$201,$M161)&gt;0,
     COUNTIFS($AG$3:$AG$201,$M161)&gt;0,
     COUNTIFS($AH$3:$AH$201,$M161)&gt;0,
     COUNTIFS($AI$3:$AI$201,$M161)&gt;0,
     COUNTIFS($AJ$3:$AJ$201,$M161)&gt;0,
     COUNTIFS($AK$3:$AK$201,$M161)&gt;0,
     COUNTIFS($AL$3:$AL$201,$M161)&gt;0,
     COUNTIFS($AM$3:$AM$201,$M161)&gt;0,
     COUNTIFS($AN$3:$AN$201,$M161)&gt;0,
     COUNTIFS($AO$3:$AO$201,$M161)&gt;0,
     COUNTIFS($AP$3:$AP$201,$M161)&gt;0,
     COUNTIFS($AQ$3:$AQ$201,$M161)&gt;0,
     COUNTIFS($AR$3:$AR$201,$M161)&gt;0,
     COUNTIFS($AS$3:$AS$201,$M161)&gt;0,
     COUNTIFS($AT$3:$AT$201,$M161)&gt;0,
     COUNTIFS($AU$3:$AU$201,$M161)&gt;0,
     COUNTIFS($AV$3:$AV$201,$M161)&gt;0,
     COUNTIFS($AW$3:$AW$201,$M161)&gt;0
   )),
  ),
  4
 ),
"")</f>
        <v/>
      </c>
      <c r="CF161" t="str">
        <f ca="1"/>
        <v>Sanctum of Calm Waters</v>
      </c>
      <c r="CI161" t="str">
        <f ca="1"/>
        <v>O Ancião Renascido</v>
      </c>
    </row>
    <row r="162" spans="1:87" x14ac:dyDescent="0.25">
      <c r="A162" t="str">
        <f ca="1"/>
        <v>Lullmage Mentor</v>
      </c>
      <c r="B162" s="3" t="str" cm="1">
        <f t="array" aca="1" ref="B162" ca="1">_xlfn.ANCHORARRAY(RESUMO!C161)</f>
        <v>Kumena</v>
      </c>
      <c r="C162" s="3" t="str">
        <f t="shared" ca="1" si="8"/>
        <v/>
      </c>
      <c r="E162" t="str">
        <f ca="1"/>
        <v>Omen of the Sea</v>
      </c>
      <c r="F162" s="3">
        <f t="shared" ca="1" si="9"/>
        <v>1</v>
      </c>
      <c r="G162" s="3" t="str">
        <f t="shared" ca="1" si="10"/>
        <v>Narset</v>
      </c>
      <c r="M162" t="str">
        <f ca="1"/>
        <v>Omen of the Sea</v>
      </c>
      <c r="N162" s="3">
        <f t="shared" ca="1" si="11"/>
        <v>1</v>
      </c>
      <c r="O162" s="3" t="str">
        <f ca="1">IFERROR(
 INDEX($T$2:$AW$2,
  MATCH(TRUE,
   CHOOSE({1;2;3;4;5;6;7;8;9;10;11;12;13;14;15;16;17;18;19;20;21;22;23;24;25;26;27;28;29;30;31;32},
    COUNTIFS($T$3:$T$201,$M162)&gt;0,
    COUNTIFS($U$3:$U$201,$M162)&gt;0,
    COUNTIFS($V$3:$V$201,$M162)&gt;0,
    COUNTIFS($W$3:$W$201,$M162)&gt;0,
    COUNTIFS($X$3:$X$201,$M162)&gt;0,
    COUNTIFS($Y$3:$Y$201,$M162)&gt;0,
    COUNTIFS($Z$3:$Z$201,$M162)&gt;0,
    COUNTIFS($AA$3:$AA$201,$M162)&gt;0,
    COUNTIFS($AB$3:$AB$201,$M162)&gt;0,
    COUNTIFS($AC$3:$AC$201,$M162)&gt;0,
    COUNTIFS($AD$3:$AD$201,$M162)&gt;0,
    COUNTIFS($AE$3:$AE$201,$M162)&gt;0,
    COUNTIFS($AF$3:$AF$201,$M162)&gt;0,
    COUNTIFS($AG$3:$AG$201,$M162)&gt;0,
    COUNTIFS($AH$3:$AH$201,$M162)&gt;0,
    COUNTIFS($AI$3:$AI$201,$M162)&gt;0,
    COUNTIFS($AJ$3:$AJ$201,$M162)&gt;0,
    COUNTIFS($AK$3:$AK$201,$M162)&gt;0,
    COUNTIFS($AL$3:$AL$201,$M162)&gt;0,
    COUNTIFS($AM$3:$AM$201,$M162)&gt;0,
    COUNTIFS($AN$3:$AN$201,$M162)&gt;0,
    COUNTIFS($AO$3:$AO$201,$M162)&gt;0,
    COUNTIFS($AP$3:$AP$201,$M162)&gt;0,
    COUNTIFS($AQ$3:$AQ$201,$M162)&gt;0,
    COUNTIFS($AR$3:$AR$201,$M162)&gt;0,
    COUNTIFS($AS$3:$AS$201,$M162)&gt;0,
    COUNTIFS($AT$3:$AT$201,$M162)&gt;0,
    COUNTIFS($AU$3:$AU$201,$M162)&gt;0,
    COUNTIFS($AV$3:$AV$201,$M162)&gt;0,
    COUNTIFS($AW$3:$AW$201,$M162)&gt;0
   ),
  0)
 ),
"")</f>
        <v>Narset</v>
      </c>
      <c r="P162" s="3" t="str" cm="1">
        <f t="array" aca="1" ref="P162" ca="1">IFERROR(
 INDEX(
  _xlfn._xlws.FILTER($T$2:$AW$2,
   TRANSPOSE(
    CHOOSE({1;2;3;4;5;6;7;8;9;10;11;12;13;14;15;16;17;18;19;20;21;22;23;24;25;26;27;28;29;30},
     COUNTIFS($T$3:$T$201,$M162)&gt;0,
     COUNTIFS($U$3:$U$201,$M162)&gt;0,
     COUNTIFS($V$3:$V$201,$M162)&gt;0,
     COUNTIFS($W$3:$W$201,$M162)&gt;0,
     COUNTIFS($X$3:$X$201,$M162)&gt;0,
     COUNTIFS($Y$3:$Y$201,$M162)&gt;0,
     COUNTIFS($Z$3:$Z$201,$M162)&gt;0,
     COUNTIFS($AA$3:$AA$201,$M162)&gt;0,
     COUNTIFS($AB$3:$AB$201,$M162)&gt;0,
     COUNTIFS($AC$3:$AC$201,$M162)&gt;0,
     COUNTIFS($AD$3:$AD$201,$M162)&gt;0,
     COUNTIFS($AE$3:$AE$201,$M162)&gt;0,
     COUNTIFS($AF$3:$AF$201,$M162)&gt;0,
     COUNTIFS($AG$3:$AG$201,$M162)&gt;0,
     COUNTIFS($AH$3:$AH$201,$M162)&gt;0,
     COUNTIFS($AI$3:$AI$201,$M162)&gt;0,
     COUNTIFS($AJ$3:$AJ$201,$M162)&gt;0,
     COUNTIFS($AK$3:$AK$201,$M162)&gt;0,
     COUNTIFS($AL$3:$AL$201,$M162)&gt;0,
     COUNTIFS($AM$3:$AM$201,$M162)&gt;0,
     COUNTIFS($AN$3:$AN$201,$M162)&gt;0,
     COUNTIFS($AO$3:$AO$201,$M162)&gt;0,
     COUNTIFS($AP$3:$AP$201,$M162)&gt;0,
     COUNTIFS($AQ$3:$AQ$201,$M162)&gt;0,
     COUNTIFS($AR$3:$AR$201,$M162)&gt;0,
     COUNTIFS($AS$3:$AS$201,$M162)&gt;0,
     COUNTIFS($AT$3:$AT$201,$M162)&gt;0,
     COUNTIFS($AU$3:$AU$201,$M162)&gt;0,
     COUNTIFS($AV$3:$AV$201,$M162)&gt;0,
     COUNTIFS($AW$3:$AW$201,$M162)&gt;0
   )),
  ),
  2
 ),
"")</f>
        <v/>
      </c>
      <c r="Q162" s="3" t="str" cm="1">
        <f t="array" aca="1" ref="Q162" ca="1">IFERROR(
 INDEX(
  _xlfn._xlws.FILTER($T$2:$AW$2,
   TRANSPOSE(
    CHOOSE({1;2;3;4;5;6;7;8;9;10;11;12;13;14;15;16;17;18;19;20;21;22;23;24;25;26;27;28;29;30},
     COUNTIFS($T$3:$T$201,$M162)&gt;0,
     COUNTIFS($U$3:$U$201,$M162)&gt;0,
     COUNTIFS($V$3:$V$201,$M162)&gt;0,
     COUNTIFS($W$3:$W$201,$M162)&gt;0,
     COUNTIFS($X$3:$X$201,$M162)&gt;0,
     COUNTIFS($Y$3:$Y$201,$M162)&gt;0,
     COUNTIFS($Z$3:$Z$201,$M162)&gt;0,
     COUNTIFS($AA$3:$AA$201,$M162)&gt;0,
     COUNTIFS($AB$3:$AB$201,$M162)&gt;0,
     COUNTIFS($AC$3:$AC$201,$M162)&gt;0,
     COUNTIFS($AD$3:$AD$201,$M162)&gt;0,
     COUNTIFS($AE$3:$AE$201,$M162)&gt;0,
     COUNTIFS($AF$3:$AF$201,$M162)&gt;0,
     COUNTIFS($AG$3:$AG$201,$M162)&gt;0,
     COUNTIFS($AH$3:$AH$201,$M162)&gt;0,
     COUNTIFS($AI$3:$AI$201,$M162)&gt;0,
     COUNTIFS($AJ$3:$AJ$201,$M162)&gt;0,
     COUNTIFS($AK$3:$AK$201,$M162)&gt;0,
     COUNTIFS($AL$3:$AL$201,$M162)&gt;0,
     COUNTIFS($AM$3:$AM$201,$M162)&gt;0,
     COUNTIFS($AN$3:$AN$201,$M162)&gt;0,
     COUNTIFS($AO$3:$AO$201,$M162)&gt;0,
     COUNTIFS($AP$3:$AP$201,$M162)&gt;0,
     COUNTIFS($AQ$3:$AQ$201,$M162)&gt;0,
     COUNTIFS($AR$3:$AR$201,$M162)&gt;0,
     COUNTIFS($AS$3:$AS$201,$M162)&gt;0,
     COUNTIFS($AT$3:$AT$201,$M162)&gt;0,
     COUNTIFS($AU$3:$AU$201,$M162)&gt;0,
     COUNTIFS($AV$3:$AV$201,$M162)&gt;0,
     COUNTIFS($AW$3:$AW$201,$M162)&gt;0
   )),
  ),
  3
 ),
"")</f>
        <v/>
      </c>
      <c r="R162" s="3" t="str" cm="1">
        <f t="array" aca="1" ref="R162" ca="1">IFERROR(
 INDEX(
  _xlfn._xlws.FILTER($T$2:$AW$2,
   TRANSPOSE(
    CHOOSE({1;2;3;4;5;6;7;8;9;10;11;12;13;14;15;16;17;18;19;20;21;22;23;24;25;26;27;28;29;30},
     COUNTIFS($T$3:$T$201,$M162)&gt;0,
     COUNTIFS($U$3:$U$201,$M162)&gt;0,
     COUNTIFS($V$3:$V$201,$M162)&gt;0,
     COUNTIFS($W$3:$W$201,$M162)&gt;0,
     COUNTIFS($X$3:$X$201,$M162)&gt;0,
     COUNTIFS($Y$3:$Y$201,$M162)&gt;0,
     COUNTIFS($Z$3:$Z$201,$M162)&gt;0,
     COUNTIFS($AA$3:$AA$201,$M162)&gt;0,
     COUNTIFS($AB$3:$AB$201,$M162)&gt;0,
     COUNTIFS($AC$3:$AC$201,$M162)&gt;0,
     COUNTIFS($AD$3:$AD$201,$M162)&gt;0,
     COUNTIFS($AE$3:$AE$201,$M162)&gt;0,
     COUNTIFS($AF$3:$AF$201,$M162)&gt;0,
     COUNTIFS($AG$3:$AG$201,$M162)&gt;0,
     COUNTIFS($AH$3:$AH$201,$M162)&gt;0,
     COUNTIFS($AI$3:$AI$201,$M162)&gt;0,
     COUNTIFS($AJ$3:$AJ$201,$M162)&gt;0,
     COUNTIFS($AK$3:$AK$201,$M162)&gt;0,
     COUNTIFS($AL$3:$AL$201,$M162)&gt;0,
     COUNTIFS($AM$3:$AM$201,$M162)&gt;0,
     COUNTIFS($AN$3:$AN$201,$M162)&gt;0,
     COUNTIFS($AO$3:$AO$201,$M162)&gt;0,
     COUNTIFS($AP$3:$AP$201,$M162)&gt;0,
     COUNTIFS($AQ$3:$AQ$201,$M162)&gt;0,
     COUNTIFS($AR$3:$AR$201,$M162)&gt;0,
     COUNTIFS($AS$3:$AS$201,$M162)&gt;0,
     COUNTIFS($AT$3:$AT$201,$M162)&gt;0,
     COUNTIFS($AU$3:$AU$201,$M162)&gt;0,
     COUNTIFS($AV$3:$AV$201,$M162)&gt;0,
     COUNTIFS($AW$3:$AW$201,$M162)&gt;0
   )),
  ),
  4
 ),
"")</f>
        <v/>
      </c>
      <c r="CF162" t="str">
        <f ca="1"/>
        <v>Saqueador Saco-de-Carne</v>
      </c>
      <c r="CI162" t="str">
        <f ca="1"/>
        <v>Omen of the Sea</v>
      </c>
    </row>
    <row r="163" spans="1:87" x14ac:dyDescent="0.25">
      <c r="A163" t="str">
        <f ca="1"/>
        <v>Luxury Suite</v>
      </c>
      <c r="B163" s="3" t="str" cm="1">
        <f t="array" aca="1" ref="B163" ca="1">_xlfn.ANCHORARRAY(RESUMO!C162)</f>
        <v>VialIshai</v>
      </c>
      <c r="C163" s="3" t="str">
        <f t="shared" ca="1" si="8"/>
        <v/>
      </c>
      <c r="E163" t="str">
        <f ca="1"/>
        <v>Ominous Seas</v>
      </c>
      <c r="F163" s="3">
        <f t="shared" ca="1" si="9"/>
        <v>1</v>
      </c>
      <c r="G163" s="3" t="str">
        <f t="shared" ca="1" si="10"/>
        <v>Narset</v>
      </c>
      <c r="M163" t="str">
        <f ca="1"/>
        <v>Ominous Seas</v>
      </c>
      <c r="N163" s="3">
        <f t="shared" ca="1" si="11"/>
        <v>1</v>
      </c>
      <c r="O163" s="3" t="str">
        <f ca="1">IFERROR(
 INDEX($T$2:$AW$2,
  MATCH(TRUE,
   CHOOSE({1;2;3;4;5;6;7;8;9;10;11;12;13;14;15;16;17;18;19;20;21;22;23;24;25;26;27;28;29;30;31;32},
    COUNTIFS($T$3:$T$201,$M163)&gt;0,
    COUNTIFS($U$3:$U$201,$M163)&gt;0,
    COUNTIFS($V$3:$V$201,$M163)&gt;0,
    COUNTIFS($W$3:$W$201,$M163)&gt;0,
    COUNTIFS($X$3:$X$201,$M163)&gt;0,
    COUNTIFS($Y$3:$Y$201,$M163)&gt;0,
    COUNTIFS($Z$3:$Z$201,$M163)&gt;0,
    COUNTIFS($AA$3:$AA$201,$M163)&gt;0,
    COUNTIFS($AB$3:$AB$201,$M163)&gt;0,
    COUNTIFS($AC$3:$AC$201,$M163)&gt;0,
    COUNTIFS($AD$3:$AD$201,$M163)&gt;0,
    COUNTIFS($AE$3:$AE$201,$M163)&gt;0,
    COUNTIFS($AF$3:$AF$201,$M163)&gt;0,
    COUNTIFS($AG$3:$AG$201,$M163)&gt;0,
    COUNTIFS($AH$3:$AH$201,$M163)&gt;0,
    COUNTIFS($AI$3:$AI$201,$M163)&gt;0,
    COUNTIFS($AJ$3:$AJ$201,$M163)&gt;0,
    COUNTIFS($AK$3:$AK$201,$M163)&gt;0,
    COUNTIFS($AL$3:$AL$201,$M163)&gt;0,
    COUNTIFS($AM$3:$AM$201,$M163)&gt;0,
    COUNTIFS($AN$3:$AN$201,$M163)&gt;0,
    COUNTIFS($AO$3:$AO$201,$M163)&gt;0,
    COUNTIFS($AP$3:$AP$201,$M163)&gt;0,
    COUNTIFS($AQ$3:$AQ$201,$M163)&gt;0,
    COUNTIFS($AR$3:$AR$201,$M163)&gt;0,
    COUNTIFS($AS$3:$AS$201,$M163)&gt;0,
    COUNTIFS($AT$3:$AT$201,$M163)&gt;0,
    COUNTIFS($AU$3:$AU$201,$M163)&gt;0,
    COUNTIFS($AV$3:$AV$201,$M163)&gt;0,
    COUNTIFS($AW$3:$AW$201,$M163)&gt;0
   ),
  0)
 ),
"")</f>
        <v>Narset</v>
      </c>
      <c r="P163" s="3" t="str" cm="1">
        <f t="array" aca="1" ref="P163" ca="1">IFERROR(
 INDEX(
  _xlfn._xlws.FILTER($T$2:$AW$2,
   TRANSPOSE(
    CHOOSE({1;2;3;4;5;6;7;8;9;10;11;12;13;14;15;16;17;18;19;20;21;22;23;24;25;26;27;28;29;30},
     COUNTIFS($T$3:$T$201,$M163)&gt;0,
     COUNTIFS($U$3:$U$201,$M163)&gt;0,
     COUNTIFS($V$3:$V$201,$M163)&gt;0,
     COUNTIFS($W$3:$W$201,$M163)&gt;0,
     COUNTIFS($X$3:$X$201,$M163)&gt;0,
     COUNTIFS($Y$3:$Y$201,$M163)&gt;0,
     COUNTIFS($Z$3:$Z$201,$M163)&gt;0,
     COUNTIFS($AA$3:$AA$201,$M163)&gt;0,
     COUNTIFS($AB$3:$AB$201,$M163)&gt;0,
     COUNTIFS($AC$3:$AC$201,$M163)&gt;0,
     COUNTIFS($AD$3:$AD$201,$M163)&gt;0,
     COUNTIFS($AE$3:$AE$201,$M163)&gt;0,
     COUNTIFS($AF$3:$AF$201,$M163)&gt;0,
     COUNTIFS($AG$3:$AG$201,$M163)&gt;0,
     COUNTIFS($AH$3:$AH$201,$M163)&gt;0,
     COUNTIFS($AI$3:$AI$201,$M163)&gt;0,
     COUNTIFS($AJ$3:$AJ$201,$M163)&gt;0,
     COUNTIFS($AK$3:$AK$201,$M163)&gt;0,
     COUNTIFS($AL$3:$AL$201,$M163)&gt;0,
     COUNTIFS($AM$3:$AM$201,$M163)&gt;0,
     COUNTIFS($AN$3:$AN$201,$M163)&gt;0,
     COUNTIFS($AO$3:$AO$201,$M163)&gt;0,
     COUNTIFS($AP$3:$AP$201,$M163)&gt;0,
     COUNTIFS($AQ$3:$AQ$201,$M163)&gt;0,
     COUNTIFS($AR$3:$AR$201,$M163)&gt;0,
     COUNTIFS($AS$3:$AS$201,$M163)&gt;0,
     COUNTIFS($AT$3:$AT$201,$M163)&gt;0,
     COUNTIFS($AU$3:$AU$201,$M163)&gt;0,
     COUNTIFS($AV$3:$AV$201,$M163)&gt;0,
     COUNTIFS($AW$3:$AW$201,$M163)&gt;0
   )),
  ),
  2
 ),
"")</f>
        <v/>
      </c>
      <c r="Q163" s="3" t="str" cm="1">
        <f t="array" aca="1" ref="Q163" ca="1">IFERROR(
 INDEX(
  _xlfn._xlws.FILTER($T$2:$AW$2,
   TRANSPOSE(
    CHOOSE({1;2;3;4;5;6;7;8;9;10;11;12;13;14;15;16;17;18;19;20;21;22;23;24;25;26;27;28;29;30},
     COUNTIFS($T$3:$T$201,$M163)&gt;0,
     COUNTIFS($U$3:$U$201,$M163)&gt;0,
     COUNTIFS($V$3:$V$201,$M163)&gt;0,
     COUNTIFS($W$3:$W$201,$M163)&gt;0,
     COUNTIFS($X$3:$X$201,$M163)&gt;0,
     COUNTIFS($Y$3:$Y$201,$M163)&gt;0,
     COUNTIFS($Z$3:$Z$201,$M163)&gt;0,
     COUNTIFS($AA$3:$AA$201,$M163)&gt;0,
     COUNTIFS($AB$3:$AB$201,$M163)&gt;0,
     COUNTIFS($AC$3:$AC$201,$M163)&gt;0,
     COUNTIFS($AD$3:$AD$201,$M163)&gt;0,
     COUNTIFS($AE$3:$AE$201,$M163)&gt;0,
     COUNTIFS($AF$3:$AF$201,$M163)&gt;0,
     COUNTIFS($AG$3:$AG$201,$M163)&gt;0,
     COUNTIFS($AH$3:$AH$201,$M163)&gt;0,
     COUNTIFS($AI$3:$AI$201,$M163)&gt;0,
     COUNTIFS($AJ$3:$AJ$201,$M163)&gt;0,
     COUNTIFS($AK$3:$AK$201,$M163)&gt;0,
     COUNTIFS($AL$3:$AL$201,$M163)&gt;0,
     COUNTIFS($AM$3:$AM$201,$M163)&gt;0,
     COUNTIFS($AN$3:$AN$201,$M163)&gt;0,
     COUNTIFS($AO$3:$AO$201,$M163)&gt;0,
     COUNTIFS($AP$3:$AP$201,$M163)&gt;0,
     COUNTIFS($AQ$3:$AQ$201,$M163)&gt;0,
     COUNTIFS($AR$3:$AR$201,$M163)&gt;0,
     COUNTIFS($AS$3:$AS$201,$M163)&gt;0,
     COUNTIFS($AT$3:$AT$201,$M163)&gt;0,
     COUNTIFS($AU$3:$AU$201,$M163)&gt;0,
     COUNTIFS($AV$3:$AV$201,$M163)&gt;0,
     COUNTIFS($AW$3:$AW$201,$M163)&gt;0
   )),
  ),
  3
 ),
"")</f>
        <v/>
      </c>
      <c r="R163" s="3" t="str" cm="1">
        <f t="array" aca="1" ref="R163" ca="1">IFERROR(
 INDEX(
  _xlfn._xlws.FILTER($T$2:$AW$2,
   TRANSPOSE(
    CHOOSE({1;2;3;4;5;6;7;8;9;10;11;12;13;14;15;16;17;18;19;20;21;22;23;24;25;26;27;28;29;30},
     COUNTIFS($T$3:$T$201,$M163)&gt;0,
     COUNTIFS($U$3:$U$201,$M163)&gt;0,
     COUNTIFS($V$3:$V$201,$M163)&gt;0,
     COUNTIFS($W$3:$W$201,$M163)&gt;0,
     COUNTIFS($X$3:$X$201,$M163)&gt;0,
     COUNTIFS($Y$3:$Y$201,$M163)&gt;0,
     COUNTIFS($Z$3:$Z$201,$M163)&gt;0,
     COUNTIFS($AA$3:$AA$201,$M163)&gt;0,
     COUNTIFS($AB$3:$AB$201,$M163)&gt;0,
     COUNTIFS($AC$3:$AC$201,$M163)&gt;0,
     COUNTIFS($AD$3:$AD$201,$M163)&gt;0,
     COUNTIFS($AE$3:$AE$201,$M163)&gt;0,
     COUNTIFS($AF$3:$AF$201,$M163)&gt;0,
     COUNTIFS($AG$3:$AG$201,$M163)&gt;0,
     COUNTIFS($AH$3:$AH$201,$M163)&gt;0,
     COUNTIFS($AI$3:$AI$201,$M163)&gt;0,
     COUNTIFS($AJ$3:$AJ$201,$M163)&gt;0,
     COUNTIFS($AK$3:$AK$201,$M163)&gt;0,
     COUNTIFS($AL$3:$AL$201,$M163)&gt;0,
     COUNTIFS($AM$3:$AM$201,$M163)&gt;0,
     COUNTIFS($AN$3:$AN$201,$M163)&gt;0,
     COUNTIFS($AO$3:$AO$201,$M163)&gt;0,
     COUNTIFS($AP$3:$AP$201,$M163)&gt;0,
     COUNTIFS($AQ$3:$AQ$201,$M163)&gt;0,
     COUNTIFS($AR$3:$AR$201,$M163)&gt;0,
     COUNTIFS($AS$3:$AS$201,$M163)&gt;0,
     COUNTIFS($AT$3:$AT$201,$M163)&gt;0,
     COUNTIFS($AU$3:$AU$201,$M163)&gt;0,
     COUNTIFS($AV$3:$AV$201,$M163)&gt;0,
     COUNTIFS($AW$3:$AW$201,$M163)&gt;0
   )),
  ),
  4
 ),
"")</f>
        <v/>
      </c>
      <c r="CF163" t="str">
        <f ca="1"/>
        <v>Scavenging Ooze</v>
      </c>
      <c r="CI163" t="str">
        <f ca="1"/>
        <v>Ominous Seas</v>
      </c>
    </row>
    <row r="164" spans="1:87" x14ac:dyDescent="0.25">
      <c r="A164" t="str">
        <f ca="1"/>
        <v>Maddening Cacophony</v>
      </c>
      <c r="B164" s="3" t="str" cm="1">
        <f t="array" aca="1" ref="B164" ca="1">_xlfn.ANCHORARRAY(RESUMO!C163)</f>
        <v>Narset</v>
      </c>
      <c r="C164" s="3" t="str">
        <f t="shared" ca="1" si="8"/>
        <v/>
      </c>
      <c r="E164" t="str">
        <f ca="1"/>
        <v>Optar</v>
      </c>
      <c r="F164" s="3">
        <f t="shared" ca="1" si="9"/>
        <v>1</v>
      </c>
      <c r="G164" s="3" t="str">
        <f t="shared" ca="1" si="10"/>
        <v>Narset</v>
      </c>
      <c r="M164" t="str">
        <f ca="1"/>
        <v>Optar</v>
      </c>
      <c r="N164" s="3">
        <f t="shared" ca="1" si="11"/>
        <v>1</v>
      </c>
      <c r="O164" s="3" t="str">
        <f ca="1">IFERROR(
 INDEX($T$2:$AW$2,
  MATCH(TRUE,
   CHOOSE({1;2;3;4;5;6;7;8;9;10;11;12;13;14;15;16;17;18;19;20;21;22;23;24;25;26;27;28;29;30;31;32},
    COUNTIFS($T$3:$T$201,$M164)&gt;0,
    COUNTIFS($U$3:$U$201,$M164)&gt;0,
    COUNTIFS($V$3:$V$201,$M164)&gt;0,
    COUNTIFS($W$3:$W$201,$M164)&gt;0,
    COUNTIFS($X$3:$X$201,$M164)&gt;0,
    COUNTIFS($Y$3:$Y$201,$M164)&gt;0,
    COUNTIFS($Z$3:$Z$201,$M164)&gt;0,
    COUNTIFS($AA$3:$AA$201,$M164)&gt;0,
    COUNTIFS($AB$3:$AB$201,$M164)&gt;0,
    COUNTIFS($AC$3:$AC$201,$M164)&gt;0,
    COUNTIFS($AD$3:$AD$201,$M164)&gt;0,
    COUNTIFS($AE$3:$AE$201,$M164)&gt;0,
    COUNTIFS($AF$3:$AF$201,$M164)&gt;0,
    COUNTIFS($AG$3:$AG$201,$M164)&gt;0,
    COUNTIFS($AH$3:$AH$201,$M164)&gt;0,
    COUNTIFS($AI$3:$AI$201,$M164)&gt;0,
    COUNTIFS($AJ$3:$AJ$201,$M164)&gt;0,
    COUNTIFS($AK$3:$AK$201,$M164)&gt;0,
    COUNTIFS($AL$3:$AL$201,$M164)&gt;0,
    COUNTIFS($AM$3:$AM$201,$M164)&gt;0,
    COUNTIFS($AN$3:$AN$201,$M164)&gt;0,
    COUNTIFS($AO$3:$AO$201,$M164)&gt;0,
    COUNTIFS($AP$3:$AP$201,$M164)&gt;0,
    COUNTIFS($AQ$3:$AQ$201,$M164)&gt;0,
    COUNTIFS($AR$3:$AR$201,$M164)&gt;0,
    COUNTIFS($AS$3:$AS$201,$M164)&gt;0,
    COUNTIFS($AT$3:$AT$201,$M164)&gt;0,
    COUNTIFS($AU$3:$AU$201,$M164)&gt;0,
    COUNTIFS($AV$3:$AV$201,$M164)&gt;0,
    COUNTIFS($AW$3:$AW$201,$M164)&gt;0
   ),
  0)
 ),
"")</f>
        <v>Narset</v>
      </c>
      <c r="P164" s="3" t="str" cm="1">
        <f t="array" aca="1" ref="P164" ca="1">IFERROR(
 INDEX(
  _xlfn._xlws.FILTER($T$2:$AW$2,
   TRANSPOSE(
    CHOOSE({1;2;3;4;5;6;7;8;9;10;11;12;13;14;15;16;17;18;19;20;21;22;23;24;25;26;27;28;29;30},
     COUNTIFS($T$3:$T$201,$M164)&gt;0,
     COUNTIFS($U$3:$U$201,$M164)&gt;0,
     COUNTIFS($V$3:$V$201,$M164)&gt;0,
     COUNTIFS($W$3:$W$201,$M164)&gt;0,
     COUNTIFS($X$3:$X$201,$M164)&gt;0,
     COUNTIFS($Y$3:$Y$201,$M164)&gt;0,
     COUNTIFS($Z$3:$Z$201,$M164)&gt;0,
     COUNTIFS($AA$3:$AA$201,$M164)&gt;0,
     COUNTIFS($AB$3:$AB$201,$M164)&gt;0,
     COUNTIFS($AC$3:$AC$201,$M164)&gt;0,
     COUNTIFS($AD$3:$AD$201,$M164)&gt;0,
     COUNTIFS($AE$3:$AE$201,$M164)&gt;0,
     COUNTIFS($AF$3:$AF$201,$M164)&gt;0,
     COUNTIFS($AG$3:$AG$201,$M164)&gt;0,
     COUNTIFS($AH$3:$AH$201,$M164)&gt;0,
     COUNTIFS($AI$3:$AI$201,$M164)&gt;0,
     COUNTIFS($AJ$3:$AJ$201,$M164)&gt;0,
     COUNTIFS($AK$3:$AK$201,$M164)&gt;0,
     COUNTIFS($AL$3:$AL$201,$M164)&gt;0,
     COUNTIFS($AM$3:$AM$201,$M164)&gt;0,
     COUNTIFS($AN$3:$AN$201,$M164)&gt;0,
     COUNTIFS($AO$3:$AO$201,$M164)&gt;0,
     COUNTIFS($AP$3:$AP$201,$M164)&gt;0,
     COUNTIFS($AQ$3:$AQ$201,$M164)&gt;0,
     COUNTIFS($AR$3:$AR$201,$M164)&gt;0,
     COUNTIFS($AS$3:$AS$201,$M164)&gt;0,
     COUNTIFS($AT$3:$AT$201,$M164)&gt;0,
     COUNTIFS($AU$3:$AU$201,$M164)&gt;0,
     COUNTIFS($AV$3:$AV$201,$M164)&gt;0,
     COUNTIFS($AW$3:$AW$201,$M164)&gt;0
   )),
  ),
  2
 ),
"")</f>
        <v/>
      </c>
      <c r="Q164" s="3" t="str" cm="1">
        <f t="array" aca="1" ref="Q164" ca="1">IFERROR(
 INDEX(
  _xlfn._xlws.FILTER($T$2:$AW$2,
   TRANSPOSE(
    CHOOSE({1;2;3;4;5;6;7;8;9;10;11;12;13;14;15;16;17;18;19;20;21;22;23;24;25;26;27;28;29;30},
     COUNTIFS($T$3:$T$201,$M164)&gt;0,
     COUNTIFS($U$3:$U$201,$M164)&gt;0,
     COUNTIFS($V$3:$V$201,$M164)&gt;0,
     COUNTIFS($W$3:$W$201,$M164)&gt;0,
     COUNTIFS($X$3:$X$201,$M164)&gt;0,
     COUNTIFS($Y$3:$Y$201,$M164)&gt;0,
     COUNTIFS($Z$3:$Z$201,$M164)&gt;0,
     COUNTIFS($AA$3:$AA$201,$M164)&gt;0,
     COUNTIFS($AB$3:$AB$201,$M164)&gt;0,
     COUNTIFS($AC$3:$AC$201,$M164)&gt;0,
     COUNTIFS($AD$3:$AD$201,$M164)&gt;0,
     COUNTIFS($AE$3:$AE$201,$M164)&gt;0,
     COUNTIFS($AF$3:$AF$201,$M164)&gt;0,
     COUNTIFS($AG$3:$AG$201,$M164)&gt;0,
     COUNTIFS($AH$3:$AH$201,$M164)&gt;0,
     COUNTIFS($AI$3:$AI$201,$M164)&gt;0,
     COUNTIFS($AJ$3:$AJ$201,$M164)&gt;0,
     COUNTIFS($AK$3:$AK$201,$M164)&gt;0,
     COUNTIFS($AL$3:$AL$201,$M164)&gt;0,
     COUNTIFS($AM$3:$AM$201,$M164)&gt;0,
     COUNTIFS($AN$3:$AN$201,$M164)&gt;0,
     COUNTIFS($AO$3:$AO$201,$M164)&gt;0,
     COUNTIFS($AP$3:$AP$201,$M164)&gt;0,
     COUNTIFS($AQ$3:$AQ$201,$M164)&gt;0,
     COUNTIFS($AR$3:$AR$201,$M164)&gt;0,
     COUNTIFS($AS$3:$AS$201,$M164)&gt;0,
     COUNTIFS($AT$3:$AT$201,$M164)&gt;0,
     COUNTIFS($AU$3:$AU$201,$M164)&gt;0,
     COUNTIFS($AV$3:$AV$201,$M164)&gt;0,
     COUNTIFS($AW$3:$AW$201,$M164)&gt;0
   )),
  ),
  3
 ),
"")</f>
        <v/>
      </c>
      <c r="R164" s="3" t="str" cm="1">
        <f t="array" aca="1" ref="R164" ca="1">IFERROR(
 INDEX(
  _xlfn._xlws.FILTER($T$2:$AW$2,
   TRANSPOSE(
    CHOOSE({1;2;3;4;5;6;7;8;9;10;11;12;13;14;15;16;17;18;19;20;21;22;23;24;25;26;27;28;29;30},
     COUNTIFS($T$3:$T$201,$M164)&gt;0,
     COUNTIFS($U$3:$U$201,$M164)&gt;0,
     COUNTIFS($V$3:$V$201,$M164)&gt;0,
     COUNTIFS($W$3:$W$201,$M164)&gt;0,
     COUNTIFS($X$3:$X$201,$M164)&gt;0,
     COUNTIFS($Y$3:$Y$201,$M164)&gt;0,
     COUNTIFS($Z$3:$Z$201,$M164)&gt;0,
     COUNTIFS($AA$3:$AA$201,$M164)&gt;0,
     COUNTIFS($AB$3:$AB$201,$M164)&gt;0,
     COUNTIFS($AC$3:$AC$201,$M164)&gt;0,
     COUNTIFS($AD$3:$AD$201,$M164)&gt;0,
     COUNTIFS($AE$3:$AE$201,$M164)&gt;0,
     COUNTIFS($AF$3:$AF$201,$M164)&gt;0,
     COUNTIFS($AG$3:$AG$201,$M164)&gt;0,
     COUNTIFS($AH$3:$AH$201,$M164)&gt;0,
     COUNTIFS($AI$3:$AI$201,$M164)&gt;0,
     COUNTIFS($AJ$3:$AJ$201,$M164)&gt;0,
     COUNTIFS($AK$3:$AK$201,$M164)&gt;0,
     COUNTIFS($AL$3:$AL$201,$M164)&gt;0,
     COUNTIFS($AM$3:$AM$201,$M164)&gt;0,
     COUNTIFS($AN$3:$AN$201,$M164)&gt;0,
     COUNTIFS($AO$3:$AO$201,$M164)&gt;0,
     COUNTIFS($AP$3:$AP$201,$M164)&gt;0,
     COUNTIFS($AQ$3:$AQ$201,$M164)&gt;0,
     COUNTIFS($AR$3:$AR$201,$M164)&gt;0,
     COUNTIFS($AS$3:$AS$201,$M164)&gt;0,
     COUNTIFS($AT$3:$AT$201,$M164)&gt;0,
     COUNTIFS($AU$3:$AU$201,$M164)&gt;0,
     COUNTIFS($AV$3:$AV$201,$M164)&gt;0,
     COUNTIFS($AW$3:$AW$201,$M164)&gt;0
   )),
  ),
  4
 ),
"")</f>
        <v/>
      </c>
      <c r="CF164" t="str">
        <f ca="1"/>
        <v>Scute Mob</v>
      </c>
      <c r="CI164" t="str">
        <f ca="1"/>
        <v>Optar</v>
      </c>
    </row>
    <row r="165" spans="1:87" x14ac:dyDescent="0.25">
      <c r="A165" t="str">
        <f ca="1"/>
        <v>Maester Seymour</v>
      </c>
      <c r="B165" s="3" t="str" cm="1">
        <f t="array" aca="1" ref="B165" ca="1">_xlfn.ANCHORARRAY(RESUMO!C164)</f>
        <v>Tayam</v>
      </c>
      <c r="C165" s="3" t="str">
        <f t="shared" ca="1" si="8"/>
        <v/>
      </c>
      <c r="E165" t="str">
        <f ca="1"/>
        <v>Oversold Cemetery</v>
      </c>
      <c r="F165" s="3">
        <f t="shared" ca="1" si="9"/>
        <v>2</v>
      </c>
      <c r="G165" s="3" t="str">
        <f t="shared" ca="1" si="10"/>
        <v>Tayam</v>
      </c>
      <c r="M165" t="str">
        <f ca="1"/>
        <v>Oversold Cemetery</v>
      </c>
      <c r="N165" s="3">
        <f t="shared" ca="1" si="11"/>
        <v>2</v>
      </c>
      <c r="O165" s="3" t="str">
        <f ca="1">IFERROR(
 INDEX($T$2:$AW$2,
  MATCH(TRUE,
   CHOOSE({1;2;3;4;5;6;7;8;9;10;11;12;13;14;15;16;17;18;19;20;21;22;23;24;25;26;27;28;29;30;31;32},
    COUNTIFS($T$3:$T$201,$M165)&gt;0,
    COUNTIFS($U$3:$U$201,$M165)&gt;0,
    COUNTIFS($V$3:$V$201,$M165)&gt;0,
    COUNTIFS($W$3:$W$201,$M165)&gt;0,
    COUNTIFS($X$3:$X$201,$M165)&gt;0,
    COUNTIFS($Y$3:$Y$201,$M165)&gt;0,
    COUNTIFS($Z$3:$Z$201,$M165)&gt;0,
    COUNTIFS($AA$3:$AA$201,$M165)&gt;0,
    COUNTIFS($AB$3:$AB$201,$M165)&gt;0,
    COUNTIFS($AC$3:$AC$201,$M165)&gt;0,
    COUNTIFS($AD$3:$AD$201,$M165)&gt;0,
    COUNTIFS($AE$3:$AE$201,$M165)&gt;0,
    COUNTIFS($AF$3:$AF$201,$M165)&gt;0,
    COUNTIFS($AG$3:$AG$201,$M165)&gt;0,
    COUNTIFS($AH$3:$AH$201,$M165)&gt;0,
    COUNTIFS($AI$3:$AI$201,$M165)&gt;0,
    COUNTIFS($AJ$3:$AJ$201,$M165)&gt;0,
    COUNTIFS($AK$3:$AK$201,$M165)&gt;0,
    COUNTIFS($AL$3:$AL$201,$M165)&gt;0,
    COUNTIFS($AM$3:$AM$201,$M165)&gt;0,
    COUNTIFS($AN$3:$AN$201,$M165)&gt;0,
    COUNTIFS($AO$3:$AO$201,$M165)&gt;0,
    COUNTIFS($AP$3:$AP$201,$M165)&gt;0,
    COUNTIFS($AQ$3:$AQ$201,$M165)&gt;0,
    COUNTIFS($AR$3:$AR$201,$M165)&gt;0,
    COUNTIFS($AS$3:$AS$201,$M165)&gt;0,
    COUNTIFS($AT$3:$AT$201,$M165)&gt;0,
    COUNTIFS($AU$3:$AU$201,$M165)&gt;0,
    COUNTIFS($AV$3:$AV$201,$M165)&gt;0,
    COUNTIFS($AW$3:$AW$201,$M165)&gt;0
   ),
  0)
 ),
"")</f>
        <v>Tayam</v>
      </c>
      <c r="P165" s="3" t="str" cm="1">
        <f t="array" aca="1" ref="P165" ca="1">IFERROR(
 INDEX(
  _xlfn._xlws.FILTER($T$2:$AW$2,
   TRANSPOSE(
    CHOOSE({1;2;3;4;5;6;7;8;9;10;11;12;13;14;15;16;17;18;19;20;21;22;23;24;25;26;27;28;29;30},
     COUNTIFS($T$3:$T$201,$M165)&gt;0,
     COUNTIFS($U$3:$U$201,$M165)&gt;0,
     COUNTIFS($V$3:$V$201,$M165)&gt;0,
     COUNTIFS($W$3:$W$201,$M165)&gt;0,
     COUNTIFS($X$3:$X$201,$M165)&gt;0,
     COUNTIFS($Y$3:$Y$201,$M165)&gt;0,
     COUNTIFS($Z$3:$Z$201,$M165)&gt;0,
     COUNTIFS($AA$3:$AA$201,$M165)&gt;0,
     COUNTIFS($AB$3:$AB$201,$M165)&gt;0,
     COUNTIFS($AC$3:$AC$201,$M165)&gt;0,
     COUNTIFS($AD$3:$AD$201,$M165)&gt;0,
     COUNTIFS($AE$3:$AE$201,$M165)&gt;0,
     COUNTIFS($AF$3:$AF$201,$M165)&gt;0,
     COUNTIFS($AG$3:$AG$201,$M165)&gt;0,
     COUNTIFS($AH$3:$AH$201,$M165)&gt;0,
     COUNTIFS($AI$3:$AI$201,$M165)&gt;0,
     COUNTIFS($AJ$3:$AJ$201,$M165)&gt;0,
     COUNTIFS($AK$3:$AK$201,$M165)&gt;0,
     COUNTIFS($AL$3:$AL$201,$M165)&gt;0,
     COUNTIFS($AM$3:$AM$201,$M165)&gt;0,
     COUNTIFS($AN$3:$AN$201,$M165)&gt;0,
     COUNTIFS($AO$3:$AO$201,$M165)&gt;0,
     COUNTIFS($AP$3:$AP$201,$M165)&gt;0,
     COUNTIFS($AQ$3:$AQ$201,$M165)&gt;0,
     COUNTIFS($AR$3:$AR$201,$M165)&gt;0,
     COUNTIFS($AS$3:$AS$201,$M165)&gt;0,
     COUNTIFS($AT$3:$AT$201,$M165)&gt;0,
     COUNTIFS($AU$3:$AU$201,$M165)&gt;0,
     COUNTIFS($AV$3:$AV$201,$M165)&gt;0,
     COUNTIFS($AW$3:$AW$201,$M165)&gt;0
   )),
  ),
  2
 ),
"")</f>
        <v>Inalla</v>
      </c>
      <c r="Q165" s="3" t="str" cm="1">
        <f t="array" aca="1" ref="Q165" ca="1">IFERROR(
 INDEX(
  _xlfn._xlws.FILTER($T$2:$AW$2,
   TRANSPOSE(
    CHOOSE({1;2;3;4;5;6;7;8;9;10;11;12;13;14;15;16;17;18;19;20;21;22;23;24;25;26;27;28;29;30},
     COUNTIFS($T$3:$T$201,$M165)&gt;0,
     COUNTIFS($U$3:$U$201,$M165)&gt;0,
     COUNTIFS($V$3:$V$201,$M165)&gt;0,
     COUNTIFS($W$3:$W$201,$M165)&gt;0,
     COUNTIFS($X$3:$X$201,$M165)&gt;0,
     COUNTIFS($Y$3:$Y$201,$M165)&gt;0,
     COUNTIFS($Z$3:$Z$201,$M165)&gt;0,
     COUNTIFS($AA$3:$AA$201,$M165)&gt;0,
     COUNTIFS($AB$3:$AB$201,$M165)&gt;0,
     COUNTIFS($AC$3:$AC$201,$M165)&gt;0,
     COUNTIFS($AD$3:$AD$201,$M165)&gt;0,
     COUNTIFS($AE$3:$AE$201,$M165)&gt;0,
     COUNTIFS($AF$3:$AF$201,$M165)&gt;0,
     COUNTIFS($AG$3:$AG$201,$M165)&gt;0,
     COUNTIFS($AH$3:$AH$201,$M165)&gt;0,
     COUNTIFS($AI$3:$AI$201,$M165)&gt;0,
     COUNTIFS($AJ$3:$AJ$201,$M165)&gt;0,
     COUNTIFS($AK$3:$AK$201,$M165)&gt;0,
     COUNTIFS($AL$3:$AL$201,$M165)&gt;0,
     COUNTIFS($AM$3:$AM$201,$M165)&gt;0,
     COUNTIFS($AN$3:$AN$201,$M165)&gt;0,
     COUNTIFS($AO$3:$AO$201,$M165)&gt;0,
     COUNTIFS($AP$3:$AP$201,$M165)&gt;0,
     COUNTIFS($AQ$3:$AQ$201,$M165)&gt;0,
     COUNTIFS($AR$3:$AR$201,$M165)&gt;0,
     COUNTIFS($AS$3:$AS$201,$M165)&gt;0,
     COUNTIFS($AT$3:$AT$201,$M165)&gt;0,
     COUNTIFS($AU$3:$AU$201,$M165)&gt;0,
     COUNTIFS($AV$3:$AV$201,$M165)&gt;0,
     COUNTIFS($AW$3:$AW$201,$M165)&gt;0
   )),
  ),
  3
 ),
"")</f>
        <v/>
      </c>
      <c r="R165" s="3" t="str" cm="1">
        <f t="array" aca="1" ref="R165" ca="1">IFERROR(
 INDEX(
  _xlfn._xlws.FILTER($T$2:$AW$2,
   TRANSPOSE(
    CHOOSE({1;2;3;4;5;6;7;8;9;10;11;12;13;14;15;16;17;18;19;20;21;22;23;24;25;26;27;28;29;30},
     COUNTIFS($T$3:$T$201,$M165)&gt;0,
     COUNTIFS($U$3:$U$201,$M165)&gt;0,
     COUNTIFS($V$3:$V$201,$M165)&gt;0,
     COUNTIFS($W$3:$W$201,$M165)&gt;0,
     COUNTIFS($X$3:$X$201,$M165)&gt;0,
     COUNTIFS($Y$3:$Y$201,$M165)&gt;0,
     COUNTIFS($Z$3:$Z$201,$M165)&gt;0,
     COUNTIFS($AA$3:$AA$201,$M165)&gt;0,
     COUNTIFS($AB$3:$AB$201,$M165)&gt;0,
     COUNTIFS($AC$3:$AC$201,$M165)&gt;0,
     COUNTIFS($AD$3:$AD$201,$M165)&gt;0,
     COUNTIFS($AE$3:$AE$201,$M165)&gt;0,
     COUNTIFS($AF$3:$AF$201,$M165)&gt;0,
     COUNTIFS($AG$3:$AG$201,$M165)&gt;0,
     COUNTIFS($AH$3:$AH$201,$M165)&gt;0,
     COUNTIFS($AI$3:$AI$201,$M165)&gt;0,
     COUNTIFS($AJ$3:$AJ$201,$M165)&gt;0,
     COUNTIFS($AK$3:$AK$201,$M165)&gt;0,
     COUNTIFS($AL$3:$AL$201,$M165)&gt;0,
     COUNTIFS($AM$3:$AM$201,$M165)&gt;0,
     COUNTIFS($AN$3:$AN$201,$M165)&gt;0,
     COUNTIFS($AO$3:$AO$201,$M165)&gt;0,
     COUNTIFS($AP$3:$AP$201,$M165)&gt;0,
     COUNTIFS($AQ$3:$AQ$201,$M165)&gt;0,
     COUNTIFS($AR$3:$AR$201,$M165)&gt;0,
     COUNTIFS($AS$3:$AS$201,$M165)&gt;0,
     COUNTIFS($AT$3:$AT$201,$M165)&gt;0,
     COUNTIFS($AU$3:$AU$201,$M165)&gt;0,
     COUNTIFS($AV$3:$AV$201,$M165)&gt;0,
     COUNTIFS($AW$3:$AW$201,$M165)&gt;0
   )),
  ),
  4
 ),
"")</f>
        <v/>
      </c>
      <c r="CF165" t="str">
        <f ca="1"/>
        <v>Seguro de Vida</v>
      </c>
      <c r="CI165" t="str">
        <f ca="1"/>
        <v>Oversold Cemetery</v>
      </c>
    </row>
    <row r="166" spans="1:87" x14ac:dyDescent="0.25">
      <c r="A166" t="str">
        <f ca="1"/>
        <v>Managorger Hydra</v>
      </c>
      <c r="B166" s="3" t="str" cm="1">
        <f t="array" aca="1" ref="B166" ca="1">_xlfn.ANCHORARRAY(RESUMO!C165)</f>
        <v>Tayam</v>
      </c>
      <c r="C166" s="3" t="str">
        <f t="shared" ca="1" si="8"/>
        <v/>
      </c>
      <c r="E166" t="str">
        <f ca="1"/>
        <v>Paisagem Agourenta</v>
      </c>
      <c r="F166" s="3">
        <f t="shared" ca="1" si="9"/>
        <v>1</v>
      </c>
      <c r="G166" s="3" t="str">
        <f t="shared" ca="1" si="10"/>
        <v>Zimone</v>
      </c>
      <c r="M166" t="str">
        <f ca="1"/>
        <v>Paisagem Agourenta</v>
      </c>
      <c r="N166" s="3">
        <f t="shared" ca="1" si="11"/>
        <v>1</v>
      </c>
      <c r="O166" s="3" t="str">
        <f ca="1">IFERROR(
 INDEX($T$2:$AW$2,
  MATCH(TRUE,
   CHOOSE({1;2;3;4;5;6;7;8;9;10;11;12;13;14;15;16;17;18;19;20;21;22;23;24;25;26;27;28;29;30;31;32},
    COUNTIFS($T$3:$T$201,$M166)&gt;0,
    COUNTIFS($U$3:$U$201,$M166)&gt;0,
    COUNTIFS($V$3:$V$201,$M166)&gt;0,
    COUNTIFS($W$3:$W$201,$M166)&gt;0,
    COUNTIFS($X$3:$X$201,$M166)&gt;0,
    COUNTIFS($Y$3:$Y$201,$M166)&gt;0,
    COUNTIFS($Z$3:$Z$201,$M166)&gt;0,
    COUNTIFS($AA$3:$AA$201,$M166)&gt;0,
    COUNTIFS($AB$3:$AB$201,$M166)&gt;0,
    COUNTIFS($AC$3:$AC$201,$M166)&gt;0,
    COUNTIFS($AD$3:$AD$201,$M166)&gt;0,
    COUNTIFS($AE$3:$AE$201,$M166)&gt;0,
    COUNTIFS($AF$3:$AF$201,$M166)&gt;0,
    COUNTIFS($AG$3:$AG$201,$M166)&gt;0,
    COUNTIFS($AH$3:$AH$201,$M166)&gt;0,
    COUNTIFS($AI$3:$AI$201,$M166)&gt;0,
    COUNTIFS($AJ$3:$AJ$201,$M166)&gt;0,
    COUNTIFS($AK$3:$AK$201,$M166)&gt;0,
    COUNTIFS($AL$3:$AL$201,$M166)&gt;0,
    COUNTIFS($AM$3:$AM$201,$M166)&gt;0,
    COUNTIFS($AN$3:$AN$201,$M166)&gt;0,
    COUNTIFS($AO$3:$AO$201,$M166)&gt;0,
    COUNTIFS($AP$3:$AP$201,$M166)&gt;0,
    COUNTIFS($AQ$3:$AQ$201,$M166)&gt;0,
    COUNTIFS($AR$3:$AR$201,$M166)&gt;0,
    COUNTIFS($AS$3:$AS$201,$M166)&gt;0,
    COUNTIFS($AT$3:$AT$201,$M166)&gt;0,
    COUNTIFS($AU$3:$AU$201,$M166)&gt;0,
    COUNTIFS($AV$3:$AV$201,$M166)&gt;0,
    COUNTIFS($AW$3:$AW$201,$M166)&gt;0
   ),
  0)
 ),
"")</f>
        <v>Zimone</v>
      </c>
      <c r="P166" s="3" t="str" cm="1">
        <f t="array" aca="1" ref="P166" ca="1">IFERROR(
 INDEX(
  _xlfn._xlws.FILTER($T$2:$AW$2,
   TRANSPOSE(
    CHOOSE({1;2;3;4;5;6;7;8;9;10;11;12;13;14;15;16;17;18;19;20;21;22;23;24;25;26;27;28;29;30},
     COUNTIFS($T$3:$T$201,$M166)&gt;0,
     COUNTIFS($U$3:$U$201,$M166)&gt;0,
     COUNTIFS($V$3:$V$201,$M166)&gt;0,
     COUNTIFS($W$3:$W$201,$M166)&gt;0,
     COUNTIFS($X$3:$X$201,$M166)&gt;0,
     COUNTIFS($Y$3:$Y$201,$M166)&gt;0,
     COUNTIFS($Z$3:$Z$201,$M166)&gt;0,
     COUNTIFS($AA$3:$AA$201,$M166)&gt;0,
     COUNTIFS($AB$3:$AB$201,$M166)&gt;0,
     COUNTIFS($AC$3:$AC$201,$M166)&gt;0,
     COUNTIFS($AD$3:$AD$201,$M166)&gt;0,
     COUNTIFS($AE$3:$AE$201,$M166)&gt;0,
     COUNTIFS($AF$3:$AF$201,$M166)&gt;0,
     COUNTIFS($AG$3:$AG$201,$M166)&gt;0,
     COUNTIFS($AH$3:$AH$201,$M166)&gt;0,
     COUNTIFS($AI$3:$AI$201,$M166)&gt;0,
     COUNTIFS($AJ$3:$AJ$201,$M166)&gt;0,
     COUNTIFS($AK$3:$AK$201,$M166)&gt;0,
     COUNTIFS($AL$3:$AL$201,$M166)&gt;0,
     COUNTIFS($AM$3:$AM$201,$M166)&gt;0,
     COUNTIFS($AN$3:$AN$201,$M166)&gt;0,
     COUNTIFS($AO$3:$AO$201,$M166)&gt;0,
     COUNTIFS($AP$3:$AP$201,$M166)&gt;0,
     COUNTIFS($AQ$3:$AQ$201,$M166)&gt;0,
     COUNTIFS($AR$3:$AR$201,$M166)&gt;0,
     COUNTIFS($AS$3:$AS$201,$M166)&gt;0,
     COUNTIFS($AT$3:$AT$201,$M166)&gt;0,
     COUNTIFS($AU$3:$AU$201,$M166)&gt;0,
     COUNTIFS($AV$3:$AV$201,$M166)&gt;0,
     COUNTIFS($AW$3:$AW$201,$M166)&gt;0
   )),
  ),
  2
 ),
"")</f>
        <v/>
      </c>
      <c r="Q166" s="3" t="str" cm="1">
        <f t="array" aca="1" ref="Q166" ca="1">IFERROR(
 INDEX(
  _xlfn._xlws.FILTER($T$2:$AW$2,
   TRANSPOSE(
    CHOOSE({1;2;3;4;5;6;7;8;9;10;11;12;13;14;15;16;17;18;19;20;21;22;23;24;25;26;27;28;29;30},
     COUNTIFS($T$3:$T$201,$M166)&gt;0,
     COUNTIFS($U$3:$U$201,$M166)&gt;0,
     COUNTIFS($V$3:$V$201,$M166)&gt;0,
     COUNTIFS($W$3:$W$201,$M166)&gt;0,
     COUNTIFS($X$3:$X$201,$M166)&gt;0,
     COUNTIFS($Y$3:$Y$201,$M166)&gt;0,
     COUNTIFS($Z$3:$Z$201,$M166)&gt;0,
     COUNTIFS($AA$3:$AA$201,$M166)&gt;0,
     COUNTIFS($AB$3:$AB$201,$M166)&gt;0,
     COUNTIFS($AC$3:$AC$201,$M166)&gt;0,
     COUNTIFS($AD$3:$AD$201,$M166)&gt;0,
     COUNTIFS($AE$3:$AE$201,$M166)&gt;0,
     COUNTIFS($AF$3:$AF$201,$M166)&gt;0,
     COUNTIFS($AG$3:$AG$201,$M166)&gt;0,
     COUNTIFS($AH$3:$AH$201,$M166)&gt;0,
     COUNTIFS($AI$3:$AI$201,$M166)&gt;0,
     COUNTIFS($AJ$3:$AJ$201,$M166)&gt;0,
     COUNTIFS($AK$3:$AK$201,$M166)&gt;0,
     COUNTIFS($AL$3:$AL$201,$M166)&gt;0,
     COUNTIFS($AM$3:$AM$201,$M166)&gt;0,
     COUNTIFS($AN$3:$AN$201,$M166)&gt;0,
     COUNTIFS($AO$3:$AO$201,$M166)&gt;0,
     COUNTIFS($AP$3:$AP$201,$M166)&gt;0,
     COUNTIFS($AQ$3:$AQ$201,$M166)&gt;0,
     COUNTIFS($AR$3:$AR$201,$M166)&gt;0,
     COUNTIFS($AS$3:$AS$201,$M166)&gt;0,
     COUNTIFS($AT$3:$AT$201,$M166)&gt;0,
     COUNTIFS($AU$3:$AU$201,$M166)&gt;0,
     COUNTIFS($AV$3:$AV$201,$M166)&gt;0,
     COUNTIFS($AW$3:$AW$201,$M166)&gt;0
   )),
  ),
  3
 ),
"")</f>
        <v/>
      </c>
      <c r="R166" s="3" t="str" cm="1">
        <f t="array" aca="1" ref="R166" ca="1">IFERROR(
 INDEX(
  _xlfn._xlws.FILTER($T$2:$AW$2,
   TRANSPOSE(
    CHOOSE({1;2;3;4;5;6;7;8;9;10;11;12;13;14;15;16;17;18;19;20;21;22;23;24;25;26;27;28;29;30},
     COUNTIFS($T$3:$T$201,$M166)&gt;0,
     COUNTIFS($U$3:$U$201,$M166)&gt;0,
     COUNTIFS($V$3:$V$201,$M166)&gt;0,
     COUNTIFS($W$3:$W$201,$M166)&gt;0,
     COUNTIFS($X$3:$X$201,$M166)&gt;0,
     COUNTIFS($Y$3:$Y$201,$M166)&gt;0,
     COUNTIFS($Z$3:$Z$201,$M166)&gt;0,
     COUNTIFS($AA$3:$AA$201,$M166)&gt;0,
     COUNTIFS($AB$3:$AB$201,$M166)&gt;0,
     COUNTIFS($AC$3:$AC$201,$M166)&gt;0,
     COUNTIFS($AD$3:$AD$201,$M166)&gt;0,
     COUNTIFS($AE$3:$AE$201,$M166)&gt;0,
     COUNTIFS($AF$3:$AF$201,$M166)&gt;0,
     COUNTIFS($AG$3:$AG$201,$M166)&gt;0,
     COUNTIFS($AH$3:$AH$201,$M166)&gt;0,
     COUNTIFS($AI$3:$AI$201,$M166)&gt;0,
     COUNTIFS($AJ$3:$AJ$201,$M166)&gt;0,
     COUNTIFS($AK$3:$AK$201,$M166)&gt;0,
     COUNTIFS($AL$3:$AL$201,$M166)&gt;0,
     COUNTIFS($AM$3:$AM$201,$M166)&gt;0,
     COUNTIFS($AN$3:$AN$201,$M166)&gt;0,
     COUNTIFS($AO$3:$AO$201,$M166)&gt;0,
     COUNTIFS($AP$3:$AP$201,$M166)&gt;0,
     COUNTIFS($AQ$3:$AQ$201,$M166)&gt;0,
     COUNTIFS($AR$3:$AR$201,$M166)&gt;0,
     COUNTIFS($AS$3:$AS$201,$M166)&gt;0,
     COUNTIFS($AT$3:$AT$201,$M166)&gt;0,
     COUNTIFS($AU$3:$AU$201,$M166)&gt;0,
     COUNTIFS($AV$3:$AV$201,$M166)&gt;0,
     COUNTIFS($AW$3:$AW$201,$M166)&gt;0
   )),
  ),
  4
 ),
"")</f>
        <v/>
      </c>
      <c r="CF166" t="str">
        <f ca="1"/>
        <v>Selesnya Sanctuary</v>
      </c>
      <c r="CI166" t="str">
        <f ca="1"/>
        <v>Paisagem Agourenta</v>
      </c>
    </row>
    <row r="167" spans="1:87" x14ac:dyDescent="0.25">
      <c r="A167" t="str">
        <f ca="1"/>
        <v>Mandate of Peace</v>
      </c>
      <c r="B167" s="3" t="str" cm="1">
        <f t="array" aca="1" ref="B167" ca="1">_xlfn.ANCHORARRAY(RESUMO!C166)</f>
        <v>VialIshai</v>
      </c>
      <c r="C167" s="3" t="str">
        <f t="shared" ca="1" si="8"/>
        <v/>
      </c>
      <c r="E167" t="str">
        <f ca="1"/>
        <v>Palácio Opulento</v>
      </c>
      <c r="F167" s="3">
        <f t="shared" ca="1" si="9"/>
        <v>1</v>
      </c>
      <c r="G167" s="3" t="str">
        <f t="shared" ca="1" si="10"/>
        <v>Fractius</v>
      </c>
      <c r="M167" t="str">
        <f ca="1"/>
        <v>Palácio Opulento</v>
      </c>
      <c r="N167" s="3">
        <f t="shared" ca="1" si="11"/>
        <v>1</v>
      </c>
      <c r="O167" s="3" t="str">
        <f ca="1">IFERROR(
 INDEX($T$2:$AW$2,
  MATCH(TRUE,
   CHOOSE({1;2;3;4;5;6;7;8;9;10;11;12;13;14;15;16;17;18;19;20;21;22;23;24;25;26;27;28;29;30;31;32},
    COUNTIFS($T$3:$T$201,$M167)&gt;0,
    COUNTIFS($U$3:$U$201,$M167)&gt;0,
    COUNTIFS($V$3:$V$201,$M167)&gt;0,
    COUNTIFS($W$3:$W$201,$M167)&gt;0,
    COUNTIFS($X$3:$X$201,$M167)&gt;0,
    COUNTIFS($Y$3:$Y$201,$M167)&gt;0,
    COUNTIFS($Z$3:$Z$201,$M167)&gt;0,
    COUNTIFS($AA$3:$AA$201,$M167)&gt;0,
    COUNTIFS($AB$3:$AB$201,$M167)&gt;0,
    COUNTIFS($AC$3:$AC$201,$M167)&gt;0,
    COUNTIFS($AD$3:$AD$201,$M167)&gt;0,
    COUNTIFS($AE$3:$AE$201,$M167)&gt;0,
    COUNTIFS($AF$3:$AF$201,$M167)&gt;0,
    COUNTIFS($AG$3:$AG$201,$M167)&gt;0,
    COUNTIFS($AH$3:$AH$201,$M167)&gt;0,
    COUNTIFS($AI$3:$AI$201,$M167)&gt;0,
    COUNTIFS($AJ$3:$AJ$201,$M167)&gt;0,
    COUNTIFS($AK$3:$AK$201,$M167)&gt;0,
    COUNTIFS($AL$3:$AL$201,$M167)&gt;0,
    COUNTIFS($AM$3:$AM$201,$M167)&gt;0,
    COUNTIFS($AN$3:$AN$201,$M167)&gt;0,
    COUNTIFS($AO$3:$AO$201,$M167)&gt;0,
    COUNTIFS($AP$3:$AP$201,$M167)&gt;0,
    COUNTIFS($AQ$3:$AQ$201,$M167)&gt;0,
    COUNTIFS($AR$3:$AR$201,$M167)&gt;0,
    COUNTIFS($AS$3:$AS$201,$M167)&gt;0,
    COUNTIFS($AT$3:$AT$201,$M167)&gt;0,
    COUNTIFS($AU$3:$AU$201,$M167)&gt;0,
    COUNTIFS($AV$3:$AV$201,$M167)&gt;0,
    COUNTIFS($AW$3:$AW$201,$M167)&gt;0
   ),
  0)
 ),
"")</f>
        <v>Fractius</v>
      </c>
      <c r="P167" s="3" t="str" cm="1">
        <f t="array" aca="1" ref="P167" ca="1">IFERROR(
 INDEX(
  _xlfn._xlws.FILTER($T$2:$AW$2,
   TRANSPOSE(
    CHOOSE({1;2;3;4;5;6;7;8;9;10;11;12;13;14;15;16;17;18;19;20;21;22;23;24;25;26;27;28;29;30},
     COUNTIFS($T$3:$T$201,$M167)&gt;0,
     COUNTIFS($U$3:$U$201,$M167)&gt;0,
     COUNTIFS($V$3:$V$201,$M167)&gt;0,
     COUNTIFS($W$3:$W$201,$M167)&gt;0,
     COUNTIFS($X$3:$X$201,$M167)&gt;0,
     COUNTIFS($Y$3:$Y$201,$M167)&gt;0,
     COUNTIFS($Z$3:$Z$201,$M167)&gt;0,
     COUNTIFS($AA$3:$AA$201,$M167)&gt;0,
     COUNTIFS($AB$3:$AB$201,$M167)&gt;0,
     COUNTIFS($AC$3:$AC$201,$M167)&gt;0,
     COUNTIFS($AD$3:$AD$201,$M167)&gt;0,
     COUNTIFS($AE$3:$AE$201,$M167)&gt;0,
     COUNTIFS($AF$3:$AF$201,$M167)&gt;0,
     COUNTIFS($AG$3:$AG$201,$M167)&gt;0,
     COUNTIFS($AH$3:$AH$201,$M167)&gt;0,
     COUNTIFS($AI$3:$AI$201,$M167)&gt;0,
     COUNTIFS($AJ$3:$AJ$201,$M167)&gt;0,
     COUNTIFS($AK$3:$AK$201,$M167)&gt;0,
     COUNTIFS($AL$3:$AL$201,$M167)&gt;0,
     COUNTIFS($AM$3:$AM$201,$M167)&gt;0,
     COUNTIFS($AN$3:$AN$201,$M167)&gt;0,
     COUNTIFS($AO$3:$AO$201,$M167)&gt;0,
     COUNTIFS($AP$3:$AP$201,$M167)&gt;0,
     COUNTIFS($AQ$3:$AQ$201,$M167)&gt;0,
     COUNTIFS($AR$3:$AR$201,$M167)&gt;0,
     COUNTIFS($AS$3:$AS$201,$M167)&gt;0,
     COUNTIFS($AT$3:$AT$201,$M167)&gt;0,
     COUNTIFS($AU$3:$AU$201,$M167)&gt;0,
     COUNTIFS($AV$3:$AV$201,$M167)&gt;0,
     COUNTIFS($AW$3:$AW$201,$M167)&gt;0
   )),
  ),
  2
 ),
"")</f>
        <v/>
      </c>
      <c r="Q167" s="3" t="str" cm="1">
        <f t="array" aca="1" ref="Q167" ca="1">IFERROR(
 INDEX(
  _xlfn._xlws.FILTER($T$2:$AW$2,
   TRANSPOSE(
    CHOOSE({1;2;3;4;5;6;7;8;9;10;11;12;13;14;15;16;17;18;19;20;21;22;23;24;25;26;27;28;29;30},
     COUNTIFS($T$3:$T$201,$M167)&gt;0,
     COUNTIFS($U$3:$U$201,$M167)&gt;0,
     COUNTIFS($V$3:$V$201,$M167)&gt;0,
     COUNTIFS($W$3:$W$201,$M167)&gt;0,
     COUNTIFS($X$3:$X$201,$M167)&gt;0,
     COUNTIFS($Y$3:$Y$201,$M167)&gt;0,
     COUNTIFS($Z$3:$Z$201,$M167)&gt;0,
     COUNTIFS($AA$3:$AA$201,$M167)&gt;0,
     COUNTIFS($AB$3:$AB$201,$M167)&gt;0,
     COUNTIFS($AC$3:$AC$201,$M167)&gt;0,
     COUNTIFS($AD$3:$AD$201,$M167)&gt;0,
     COUNTIFS($AE$3:$AE$201,$M167)&gt;0,
     COUNTIFS($AF$3:$AF$201,$M167)&gt;0,
     COUNTIFS($AG$3:$AG$201,$M167)&gt;0,
     COUNTIFS($AH$3:$AH$201,$M167)&gt;0,
     COUNTIFS($AI$3:$AI$201,$M167)&gt;0,
     COUNTIFS($AJ$3:$AJ$201,$M167)&gt;0,
     COUNTIFS($AK$3:$AK$201,$M167)&gt;0,
     COUNTIFS($AL$3:$AL$201,$M167)&gt;0,
     COUNTIFS($AM$3:$AM$201,$M167)&gt;0,
     COUNTIFS($AN$3:$AN$201,$M167)&gt;0,
     COUNTIFS($AO$3:$AO$201,$M167)&gt;0,
     COUNTIFS($AP$3:$AP$201,$M167)&gt;0,
     COUNTIFS($AQ$3:$AQ$201,$M167)&gt;0,
     COUNTIFS($AR$3:$AR$201,$M167)&gt;0,
     COUNTIFS($AS$3:$AS$201,$M167)&gt;0,
     COUNTIFS($AT$3:$AT$201,$M167)&gt;0,
     COUNTIFS($AU$3:$AU$201,$M167)&gt;0,
     COUNTIFS($AV$3:$AV$201,$M167)&gt;0,
     COUNTIFS($AW$3:$AW$201,$M167)&gt;0
   )),
  ),
  3
 ),
"")</f>
        <v/>
      </c>
      <c r="R167" s="3" t="str" cm="1">
        <f t="array" aca="1" ref="R167" ca="1">IFERROR(
 INDEX(
  _xlfn._xlws.FILTER($T$2:$AW$2,
   TRANSPOSE(
    CHOOSE({1;2;3;4;5;6;7;8;9;10;11;12;13;14;15;16;17;18;19;20;21;22;23;24;25;26;27;28;29;30},
     COUNTIFS($T$3:$T$201,$M167)&gt;0,
     COUNTIFS($U$3:$U$201,$M167)&gt;0,
     COUNTIFS($V$3:$V$201,$M167)&gt;0,
     COUNTIFS($W$3:$W$201,$M167)&gt;0,
     COUNTIFS($X$3:$X$201,$M167)&gt;0,
     COUNTIFS($Y$3:$Y$201,$M167)&gt;0,
     COUNTIFS($Z$3:$Z$201,$M167)&gt;0,
     COUNTIFS($AA$3:$AA$201,$M167)&gt;0,
     COUNTIFS($AB$3:$AB$201,$M167)&gt;0,
     COUNTIFS($AC$3:$AC$201,$M167)&gt;0,
     COUNTIFS($AD$3:$AD$201,$M167)&gt;0,
     COUNTIFS($AE$3:$AE$201,$M167)&gt;0,
     COUNTIFS($AF$3:$AF$201,$M167)&gt;0,
     COUNTIFS($AG$3:$AG$201,$M167)&gt;0,
     COUNTIFS($AH$3:$AH$201,$M167)&gt;0,
     COUNTIFS($AI$3:$AI$201,$M167)&gt;0,
     COUNTIFS($AJ$3:$AJ$201,$M167)&gt;0,
     COUNTIFS($AK$3:$AK$201,$M167)&gt;0,
     COUNTIFS($AL$3:$AL$201,$M167)&gt;0,
     COUNTIFS($AM$3:$AM$201,$M167)&gt;0,
     COUNTIFS($AN$3:$AN$201,$M167)&gt;0,
     COUNTIFS($AO$3:$AO$201,$M167)&gt;0,
     COUNTIFS($AP$3:$AP$201,$M167)&gt;0,
     COUNTIFS($AQ$3:$AQ$201,$M167)&gt;0,
     COUNTIFS($AR$3:$AR$201,$M167)&gt;0,
     COUNTIFS($AS$3:$AS$201,$M167)&gt;0,
     COUNTIFS($AT$3:$AT$201,$M167)&gt;0,
     COUNTIFS($AU$3:$AU$201,$M167)&gt;0,
     COUNTIFS($AV$3:$AV$201,$M167)&gt;0,
     COUNTIFS($AW$3:$AW$201,$M167)&gt;0
   )),
  ),
  4
 ),
"")</f>
        <v/>
      </c>
      <c r="CF167" t="str">
        <f ca="1"/>
        <v>Servidão Imortal</v>
      </c>
      <c r="CI167" t="str">
        <f ca="1"/>
        <v>Palácio Opulento</v>
      </c>
    </row>
    <row r="168" spans="1:87" x14ac:dyDescent="0.25">
      <c r="A168" t="str">
        <f ca="1"/>
        <v>Marcha dos Canonizados</v>
      </c>
      <c r="B168" s="3" t="str" cm="1">
        <f t="array" aca="1" ref="B168" ca="1">_xlfn.ANCHORARRAY(RESUMO!C167)</f>
        <v>Baylen</v>
      </c>
      <c r="C168" s="3" t="str">
        <f t="shared" ca="1" si="8"/>
        <v/>
      </c>
      <c r="E168" t="str">
        <f ca="1"/>
        <v>Panorama de Grixis</v>
      </c>
      <c r="F168" s="3">
        <f t="shared" ca="1" si="9"/>
        <v>1</v>
      </c>
      <c r="G168" s="3" t="str">
        <f t="shared" ca="1" si="10"/>
        <v>Rani</v>
      </c>
      <c r="M168" t="str">
        <f ca="1"/>
        <v>Panorama de Grixis</v>
      </c>
      <c r="N168" s="3">
        <f t="shared" ca="1" si="11"/>
        <v>1</v>
      </c>
      <c r="O168" s="3" t="str">
        <f ca="1">IFERROR(
 INDEX($T$2:$AW$2,
  MATCH(TRUE,
   CHOOSE({1;2;3;4;5;6;7;8;9;10;11;12;13;14;15;16;17;18;19;20;21;22;23;24;25;26;27;28;29;30;31;32},
    COUNTIFS($T$3:$T$201,$M168)&gt;0,
    COUNTIFS($U$3:$U$201,$M168)&gt;0,
    COUNTIFS($V$3:$V$201,$M168)&gt;0,
    COUNTIFS($W$3:$W$201,$M168)&gt;0,
    COUNTIFS($X$3:$X$201,$M168)&gt;0,
    COUNTIFS($Y$3:$Y$201,$M168)&gt;0,
    COUNTIFS($Z$3:$Z$201,$M168)&gt;0,
    COUNTIFS($AA$3:$AA$201,$M168)&gt;0,
    COUNTIFS($AB$3:$AB$201,$M168)&gt;0,
    COUNTIFS($AC$3:$AC$201,$M168)&gt;0,
    COUNTIFS($AD$3:$AD$201,$M168)&gt;0,
    COUNTIFS($AE$3:$AE$201,$M168)&gt;0,
    COUNTIFS($AF$3:$AF$201,$M168)&gt;0,
    COUNTIFS($AG$3:$AG$201,$M168)&gt;0,
    COUNTIFS($AH$3:$AH$201,$M168)&gt;0,
    COUNTIFS($AI$3:$AI$201,$M168)&gt;0,
    COUNTIFS($AJ$3:$AJ$201,$M168)&gt;0,
    COUNTIFS($AK$3:$AK$201,$M168)&gt;0,
    COUNTIFS($AL$3:$AL$201,$M168)&gt;0,
    COUNTIFS($AM$3:$AM$201,$M168)&gt;0,
    COUNTIFS($AN$3:$AN$201,$M168)&gt;0,
    COUNTIFS($AO$3:$AO$201,$M168)&gt;0,
    COUNTIFS($AP$3:$AP$201,$M168)&gt;0,
    COUNTIFS($AQ$3:$AQ$201,$M168)&gt;0,
    COUNTIFS($AR$3:$AR$201,$M168)&gt;0,
    COUNTIFS($AS$3:$AS$201,$M168)&gt;0,
    COUNTIFS($AT$3:$AT$201,$M168)&gt;0,
    COUNTIFS($AU$3:$AU$201,$M168)&gt;0,
    COUNTIFS($AV$3:$AV$201,$M168)&gt;0,
    COUNTIFS($AW$3:$AW$201,$M168)&gt;0
   ),
  0)
 ),
"")</f>
        <v>Rani</v>
      </c>
      <c r="P168" s="3" t="str" cm="1">
        <f t="array" aca="1" ref="P168" ca="1">IFERROR(
 INDEX(
  _xlfn._xlws.FILTER($T$2:$AW$2,
   TRANSPOSE(
    CHOOSE({1;2;3;4;5;6;7;8;9;10;11;12;13;14;15;16;17;18;19;20;21;22;23;24;25;26;27;28;29;30},
     COUNTIFS($T$3:$T$201,$M168)&gt;0,
     COUNTIFS($U$3:$U$201,$M168)&gt;0,
     COUNTIFS($V$3:$V$201,$M168)&gt;0,
     COUNTIFS($W$3:$W$201,$M168)&gt;0,
     COUNTIFS($X$3:$X$201,$M168)&gt;0,
     COUNTIFS($Y$3:$Y$201,$M168)&gt;0,
     COUNTIFS($Z$3:$Z$201,$M168)&gt;0,
     COUNTIFS($AA$3:$AA$201,$M168)&gt;0,
     COUNTIFS($AB$3:$AB$201,$M168)&gt;0,
     COUNTIFS($AC$3:$AC$201,$M168)&gt;0,
     COUNTIFS($AD$3:$AD$201,$M168)&gt;0,
     COUNTIFS($AE$3:$AE$201,$M168)&gt;0,
     COUNTIFS($AF$3:$AF$201,$M168)&gt;0,
     COUNTIFS($AG$3:$AG$201,$M168)&gt;0,
     COUNTIFS($AH$3:$AH$201,$M168)&gt;0,
     COUNTIFS($AI$3:$AI$201,$M168)&gt;0,
     COUNTIFS($AJ$3:$AJ$201,$M168)&gt;0,
     COUNTIFS($AK$3:$AK$201,$M168)&gt;0,
     COUNTIFS($AL$3:$AL$201,$M168)&gt;0,
     COUNTIFS($AM$3:$AM$201,$M168)&gt;0,
     COUNTIFS($AN$3:$AN$201,$M168)&gt;0,
     COUNTIFS($AO$3:$AO$201,$M168)&gt;0,
     COUNTIFS($AP$3:$AP$201,$M168)&gt;0,
     COUNTIFS($AQ$3:$AQ$201,$M168)&gt;0,
     COUNTIFS($AR$3:$AR$201,$M168)&gt;0,
     COUNTIFS($AS$3:$AS$201,$M168)&gt;0,
     COUNTIFS($AT$3:$AT$201,$M168)&gt;0,
     COUNTIFS($AU$3:$AU$201,$M168)&gt;0,
     COUNTIFS($AV$3:$AV$201,$M168)&gt;0,
     COUNTIFS($AW$3:$AW$201,$M168)&gt;0
   )),
  ),
  2
 ),
"")</f>
        <v/>
      </c>
      <c r="Q168" s="3" t="str" cm="1">
        <f t="array" aca="1" ref="Q168" ca="1">IFERROR(
 INDEX(
  _xlfn._xlws.FILTER($T$2:$AW$2,
   TRANSPOSE(
    CHOOSE({1;2;3;4;5;6;7;8;9;10;11;12;13;14;15;16;17;18;19;20;21;22;23;24;25;26;27;28;29;30},
     COUNTIFS($T$3:$T$201,$M168)&gt;0,
     COUNTIFS($U$3:$U$201,$M168)&gt;0,
     COUNTIFS($V$3:$V$201,$M168)&gt;0,
     COUNTIFS($W$3:$W$201,$M168)&gt;0,
     COUNTIFS($X$3:$X$201,$M168)&gt;0,
     COUNTIFS($Y$3:$Y$201,$M168)&gt;0,
     COUNTIFS($Z$3:$Z$201,$M168)&gt;0,
     COUNTIFS($AA$3:$AA$201,$M168)&gt;0,
     COUNTIFS($AB$3:$AB$201,$M168)&gt;0,
     COUNTIFS($AC$3:$AC$201,$M168)&gt;0,
     COUNTIFS($AD$3:$AD$201,$M168)&gt;0,
     COUNTIFS($AE$3:$AE$201,$M168)&gt;0,
     COUNTIFS($AF$3:$AF$201,$M168)&gt;0,
     COUNTIFS($AG$3:$AG$201,$M168)&gt;0,
     COUNTIFS($AH$3:$AH$201,$M168)&gt;0,
     COUNTIFS($AI$3:$AI$201,$M168)&gt;0,
     COUNTIFS($AJ$3:$AJ$201,$M168)&gt;0,
     COUNTIFS($AK$3:$AK$201,$M168)&gt;0,
     COUNTIFS($AL$3:$AL$201,$M168)&gt;0,
     COUNTIFS($AM$3:$AM$201,$M168)&gt;0,
     COUNTIFS($AN$3:$AN$201,$M168)&gt;0,
     COUNTIFS($AO$3:$AO$201,$M168)&gt;0,
     COUNTIFS($AP$3:$AP$201,$M168)&gt;0,
     COUNTIFS($AQ$3:$AQ$201,$M168)&gt;0,
     COUNTIFS($AR$3:$AR$201,$M168)&gt;0,
     COUNTIFS($AS$3:$AS$201,$M168)&gt;0,
     COUNTIFS($AT$3:$AT$201,$M168)&gt;0,
     COUNTIFS($AU$3:$AU$201,$M168)&gt;0,
     COUNTIFS($AV$3:$AV$201,$M168)&gt;0,
     COUNTIFS($AW$3:$AW$201,$M168)&gt;0
   )),
  ),
  3
 ),
"")</f>
        <v/>
      </c>
      <c r="R168" s="3" t="str" cm="1">
        <f t="array" aca="1" ref="R168" ca="1">IFERROR(
 INDEX(
  _xlfn._xlws.FILTER($T$2:$AW$2,
   TRANSPOSE(
    CHOOSE({1;2;3;4;5;6;7;8;9;10;11;12;13;14;15;16;17;18;19;20;21;22;23;24;25;26;27;28;29;30},
     COUNTIFS($T$3:$T$201,$M168)&gt;0,
     COUNTIFS($U$3:$U$201,$M168)&gt;0,
     COUNTIFS($V$3:$V$201,$M168)&gt;0,
     COUNTIFS($W$3:$W$201,$M168)&gt;0,
     COUNTIFS($X$3:$X$201,$M168)&gt;0,
     COUNTIFS($Y$3:$Y$201,$M168)&gt;0,
     COUNTIFS($Z$3:$Z$201,$M168)&gt;0,
     COUNTIFS($AA$3:$AA$201,$M168)&gt;0,
     COUNTIFS($AB$3:$AB$201,$M168)&gt;0,
     COUNTIFS($AC$3:$AC$201,$M168)&gt;0,
     COUNTIFS($AD$3:$AD$201,$M168)&gt;0,
     COUNTIFS($AE$3:$AE$201,$M168)&gt;0,
     COUNTIFS($AF$3:$AF$201,$M168)&gt;0,
     COUNTIFS($AG$3:$AG$201,$M168)&gt;0,
     COUNTIFS($AH$3:$AH$201,$M168)&gt;0,
     COUNTIFS($AI$3:$AI$201,$M168)&gt;0,
     COUNTIFS($AJ$3:$AJ$201,$M168)&gt;0,
     COUNTIFS($AK$3:$AK$201,$M168)&gt;0,
     COUNTIFS($AL$3:$AL$201,$M168)&gt;0,
     COUNTIFS($AM$3:$AM$201,$M168)&gt;0,
     COUNTIFS($AN$3:$AN$201,$M168)&gt;0,
     COUNTIFS($AO$3:$AO$201,$M168)&gt;0,
     COUNTIFS($AP$3:$AP$201,$M168)&gt;0,
     COUNTIFS($AQ$3:$AQ$201,$M168)&gt;0,
     COUNTIFS($AR$3:$AR$201,$M168)&gt;0,
     COUNTIFS($AS$3:$AS$201,$M168)&gt;0,
     COUNTIFS($AT$3:$AT$201,$M168)&gt;0,
     COUNTIFS($AU$3:$AU$201,$M168)&gt;0,
     COUNTIFS($AV$3:$AV$201,$M168)&gt;0,
     COUNTIFS($AW$3:$AW$201,$M168)&gt;0
   )),
  ),
  4
 ),
"")</f>
        <v/>
      </c>
      <c r="CF168" t="str">
        <f ca="1"/>
        <v>Sinete Golgari</v>
      </c>
      <c r="CI168" t="str">
        <f ca="1"/>
        <v>Panorama de Grixis</v>
      </c>
    </row>
    <row r="169" spans="1:87" x14ac:dyDescent="0.25">
      <c r="A169" t="str">
        <f ca="1"/>
        <v>Matoya, Archon Elder</v>
      </c>
      <c r="B169" s="3" t="str" cm="1">
        <f t="array" aca="1" ref="B169" ca="1">_xlfn.ANCHORARRAY(RESUMO!C168)</f>
        <v>Thrakiri</v>
      </c>
      <c r="C169" s="3" t="str">
        <f t="shared" ca="1" si="8"/>
        <v/>
      </c>
      <c r="E169" t="str">
        <f ca="1"/>
        <v>Panorama de Naya</v>
      </c>
      <c r="F169" s="3">
        <f t="shared" ca="1" si="9"/>
        <v>1</v>
      </c>
      <c r="G169" s="3" t="str">
        <f t="shared" ca="1" si="10"/>
        <v>Baylen</v>
      </c>
      <c r="M169" t="str">
        <f ca="1"/>
        <v>Panorama de Naya</v>
      </c>
      <c r="N169" s="3">
        <f t="shared" ca="1" si="11"/>
        <v>1</v>
      </c>
      <c r="O169" s="3" t="str">
        <f ca="1">IFERROR(
 INDEX($T$2:$AW$2,
  MATCH(TRUE,
   CHOOSE({1;2;3;4;5;6;7;8;9;10;11;12;13;14;15;16;17;18;19;20;21;22;23;24;25;26;27;28;29;30;31;32},
    COUNTIFS($T$3:$T$201,$M169)&gt;0,
    COUNTIFS($U$3:$U$201,$M169)&gt;0,
    COUNTIFS($V$3:$V$201,$M169)&gt;0,
    COUNTIFS($W$3:$W$201,$M169)&gt;0,
    COUNTIFS($X$3:$X$201,$M169)&gt;0,
    COUNTIFS($Y$3:$Y$201,$M169)&gt;0,
    COUNTIFS($Z$3:$Z$201,$M169)&gt;0,
    COUNTIFS($AA$3:$AA$201,$M169)&gt;0,
    COUNTIFS($AB$3:$AB$201,$M169)&gt;0,
    COUNTIFS($AC$3:$AC$201,$M169)&gt;0,
    COUNTIFS($AD$3:$AD$201,$M169)&gt;0,
    COUNTIFS($AE$3:$AE$201,$M169)&gt;0,
    COUNTIFS($AF$3:$AF$201,$M169)&gt;0,
    COUNTIFS($AG$3:$AG$201,$M169)&gt;0,
    COUNTIFS($AH$3:$AH$201,$M169)&gt;0,
    COUNTIFS($AI$3:$AI$201,$M169)&gt;0,
    COUNTIFS($AJ$3:$AJ$201,$M169)&gt;0,
    COUNTIFS($AK$3:$AK$201,$M169)&gt;0,
    COUNTIFS($AL$3:$AL$201,$M169)&gt;0,
    COUNTIFS($AM$3:$AM$201,$M169)&gt;0,
    COUNTIFS($AN$3:$AN$201,$M169)&gt;0,
    COUNTIFS($AO$3:$AO$201,$M169)&gt;0,
    COUNTIFS($AP$3:$AP$201,$M169)&gt;0,
    COUNTIFS($AQ$3:$AQ$201,$M169)&gt;0,
    COUNTIFS($AR$3:$AR$201,$M169)&gt;0,
    COUNTIFS($AS$3:$AS$201,$M169)&gt;0,
    COUNTIFS($AT$3:$AT$201,$M169)&gt;0,
    COUNTIFS($AU$3:$AU$201,$M169)&gt;0,
    COUNTIFS($AV$3:$AV$201,$M169)&gt;0,
    COUNTIFS($AW$3:$AW$201,$M169)&gt;0
   ),
  0)
 ),
"")</f>
        <v>Baylen</v>
      </c>
      <c r="P169" s="3" t="str" cm="1">
        <f t="array" aca="1" ref="P169" ca="1">IFERROR(
 INDEX(
  _xlfn._xlws.FILTER($T$2:$AW$2,
   TRANSPOSE(
    CHOOSE({1;2;3;4;5;6;7;8;9;10;11;12;13;14;15;16;17;18;19;20;21;22;23;24;25;26;27;28;29;30},
     COUNTIFS($T$3:$T$201,$M169)&gt;0,
     COUNTIFS($U$3:$U$201,$M169)&gt;0,
     COUNTIFS($V$3:$V$201,$M169)&gt;0,
     COUNTIFS($W$3:$W$201,$M169)&gt;0,
     COUNTIFS($X$3:$X$201,$M169)&gt;0,
     COUNTIFS($Y$3:$Y$201,$M169)&gt;0,
     COUNTIFS($Z$3:$Z$201,$M169)&gt;0,
     COUNTIFS($AA$3:$AA$201,$M169)&gt;0,
     COUNTIFS($AB$3:$AB$201,$M169)&gt;0,
     COUNTIFS($AC$3:$AC$201,$M169)&gt;0,
     COUNTIFS($AD$3:$AD$201,$M169)&gt;0,
     COUNTIFS($AE$3:$AE$201,$M169)&gt;0,
     COUNTIFS($AF$3:$AF$201,$M169)&gt;0,
     COUNTIFS($AG$3:$AG$201,$M169)&gt;0,
     COUNTIFS($AH$3:$AH$201,$M169)&gt;0,
     COUNTIFS($AI$3:$AI$201,$M169)&gt;0,
     COUNTIFS($AJ$3:$AJ$201,$M169)&gt;0,
     COUNTIFS($AK$3:$AK$201,$M169)&gt;0,
     COUNTIFS($AL$3:$AL$201,$M169)&gt;0,
     COUNTIFS($AM$3:$AM$201,$M169)&gt;0,
     COUNTIFS($AN$3:$AN$201,$M169)&gt;0,
     COUNTIFS($AO$3:$AO$201,$M169)&gt;0,
     COUNTIFS($AP$3:$AP$201,$M169)&gt;0,
     COUNTIFS($AQ$3:$AQ$201,$M169)&gt;0,
     COUNTIFS($AR$3:$AR$201,$M169)&gt;0,
     COUNTIFS($AS$3:$AS$201,$M169)&gt;0,
     COUNTIFS($AT$3:$AT$201,$M169)&gt;0,
     COUNTIFS($AU$3:$AU$201,$M169)&gt;0,
     COUNTIFS($AV$3:$AV$201,$M169)&gt;0,
     COUNTIFS($AW$3:$AW$201,$M169)&gt;0
   )),
  ),
  2
 ),
"")</f>
        <v/>
      </c>
      <c r="Q169" s="3" t="str" cm="1">
        <f t="array" aca="1" ref="Q169" ca="1">IFERROR(
 INDEX(
  _xlfn._xlws.FILTER($T$2:$AW$2,
   TRANSPOSE(
    CHOOSE({1;2;3;4;5;6;7;8;9;10;11;12;13;14;15;16;17;18;19;20;21;22;23;24;25;26;27;28;29;30},
     COUNTIFS($T$3:$T$201,$M169)&gt;0,
     COUNTIFS($U$3:$U$201,$M169)&gt;0,
     COUNTIFS($V$3:$V$201,$M169)&gt;0,
     COUNTIFS($W$3:$W$201,$M169)&gt;0,
     COUNTIFS($X$3:$X$201,$M169)&gt;0,
     COUNTIFS($Y$3:$Y$201,$M169)&gt;0,
     COUNTIFS($Z$3:$Z$201,$M169)&gt;0,
     COUNTIFS($AA$3:$AA$201,$M169)&gt;0,
     COUNTIFS($AB$3:$AB$201,$M169)&gt;0,
     COUNTIFS($AC$3:$AC$201,$M169)&gt;0,
     COUNTIFS($AD$3:$AD$201,$M169)&gt;0,
     COUNTIFS($AE$3:$AE$201,$M169)&gt;0,
     COUNTIFS($AF$3:$AF$201,$M169)&gt;0,
     COUNTIFS($AG$3:$AG$201,$M169)&gt;0,
     COUNTIFS($AH$3:$AH$201,$M169)&gt;0,
     COUNTIFS($AI$3:$AI$201,$M169)&gt;0,
     COUNTIFS($AJ$3:$AJ$201,$M169)&gt;0,
     COUNTIFS($AK$3:$AK$201,$M169)&gt;0,
     COUNTIFS($AL$3:$AL$201,$M169)&gt;0,
     COUNTIFS($AM$3:$AM$201,$M169)&gt;0,
     COUNTIFS($AN$3:$AN$201,$M169)&gt;0,
     COUNTIFS($AO$3:$AO$201,$M169)&gt;0,
     COUNTIFS($AP$3:$AP$201,$M169)&gt;0,
     COUNTIFS($AQ$3:$AQ$201,$M169)&gt;0,
     COUNTIFS($AR$3:$AR$201,$M169)&gt;0,
     COUNTIFS($AS$3:$AS$201,$M169)&gt;0,
     COUNTIFS($AT$3:$AT$201,$M169)&gt;0,
     COUNTIFS($AU$3:$AU$201,$M169)&gt;0,
     COUNTIFS($AV$3:$AV$201,$M169)&gt;0,
     COUNTIFS($AW$3:$AW$201,$M169)&gt;0
   )),
  ),
  3
 ),
"")</f>
        <v/>
      </c>
      <c r="R169" s="3" t="str" cm="1">
        <f t="array" aca="1" ref="R169" ca="1">IFERROR(
 INDEX(
  _xlfn._xlws.FILTER($T$2:$AW$2,
   TRANSPOSE(
    CHOOSE({1;2;3;4;5;6;7;8;9;10;11;12;13;14;15;16;17;18;19;20;21;22;23;24;25;26;27;28;29;30},
     COUNTIFS($T$3:$T$201,$M169)&gt;0,
     COUNTIFS($U$3:$U$201,$M169)&gt;0,
     COUNTIFS($V$3:$V$201,$M169)&gt;0,
     COUNTIFS($W$3:$W$201,$M169)&gt;0,
     COUNTIFS($X$3:$X$201,$M169)&gt;0,
     COUNTIFS($Y$3:$Y$201,$M169)&gt;0,
     COUNTIFS($Z$3:$Z$201,$M169)&gt;0,
     COUNTIFS($AA$3:$AA$201,$M169)&gt;0,
     COUNTIFS($AB$3:$AB$201,$M169)&gt;0,
     COUNTIFS($AC$3:$AC$201,$M169)&gt;0,
     COUNTIFS($AD$3:$AD$201,$M169)&gt;0,
     COUNTIFS($AE$3:$AE$201,$M169)&gt;0,
     COUNTIFS($AF$3:$AF$201,$M169)&gt;0,
     COUNTIFS($AG$3:$AG$201,$M169)&gt;0,
     COUNTIFS($AH$3:$AH$201,$M169)&gt;0,
     COUNTIFS($AI$3:$AI$201,$M169)&gt;0,
     COUNTIFS($AJ$3:$AJ$201,$M169)&gt;0,
     COUNTIFS($AK$3:$AK$201,$M169)&gt;0,
     COUNTIFS($AL$3:$AL$201,$M169)&gt;0,
     COUNTIFS($AM$3:$AM$201,$M169)&gt;0,
     COUNTIFS($AN$3:$AN$201,$M169)&gt;0,
     COUNTIFS($AO$3:$AO$201,$M169)&gt;0,
     COUNTIFS($AP$3:$AP$201,$M169)&gt;0,
     COUNTIFS($AQ$3:$AQ$201,$M169)&gt;0,
     COUNTIFS($AR$3:$AR$201,$M169)&gt;0,
     COUNTIFS($AS$3:$AS$201,$M169)&gt;0,
     COUNTIFS($AT$3:$AT$201,$M169)&gt;0,
     COUNTIFS($AU$3:$AU$201,$M169)&gt;0,
     COUNTIFS($AV$3:$AV$201,$M169)&gt;0,
     COUNTIFS($AW$3:$AW$201,$M169)&gt;0
   )),
  ),
  4
 ),
"")</f>
        <v/>
      </c>
      <c r="CF169" t="str">
        <f ca="1"/>
        <v>Skyclave Cleric</v>
      </c>
      <c r="CI169" t="str">
        <f ca="1"/>
        <v>Panorama de Naya</v>
      </c>
    </row>
    <row r="170" spans="1:87" x14ac:dyDescent="0.25">
      <c r="A170" t="str">
        <f ca="1"/>
        <v>Memory Erosion</v>
      </c>
      <c r="B170" s="3" t="str" cm="1">
        <f t="array" aca="1" ref="B170" ca="1">_xlfn.ANCHORARRAY(RESUMO!C169)</f>
        <v>Narset</v>
      </c>
      <c r="C170" s="3" t="str">
        <f t="shared" ca="1" si="8"/>
        <v/>
      </c>
      <c r="E170" t="str">
        <f ca="1"/>
        <v>Pântano</v>
      </c>
      <c r="F170" s="3">
        <f t="shared" ca="1" si="9"/>
        <v>3</v>
      </c>
      <c r="G170" s="3" t="str">
        <f t="shared" ca="1" si="10"/>
        <v>VialIshai</v>
      </c>
      <c r="M170" t="str">
        <f ca="1"/>
        <v>Pântano</v>
      </c>
      <c r="N170" s="3">
        <f t="shared" ca="1" si="11"/>
        <v>3</v>
      </c>
      <c r="O170" s="3" t="str">
        <f ca="1">IFERROR(
 INDEX($T$2:$AW$2,
  MATCH(TRUE,
   CHOOSE({1;2;3;4;5;6;7;8;9;10;11;12;13;14;15;16;17;18;19;20;21;22;23;24;25;26;27;28;29;30;31;32},
    COUNTIFS($T$3:$T$201,$M170)&gt;0,
    COUNTIFS($U$3:$U$201,$M170)&gt;0,
    COUNTIFS($V$3:$V$201,$M170)&gt;0,
    COUNTIFS($W$3:$W$201,$M170)&gt;0,
    COUNTIFS($X$3:$X$201,$M170)&gt;0,
    COUNTIFS($Y$3:$Y$201,$M170)&gt;0,
    COUNTIFS($Z$3:$Z$201,$M170)&gt;0,
    COUNTIFS($AA$3:$AA$201,$M170)&gt;0,
    COUNTIFS($AB$3:$AB$201,$M170)&gt;0,
    COUNTIFS($AC$3:$AC$201,$M170)&gt;0,
    COUNTIFS($AD$3:$AD$201,$M170)&gt;0,
    COUNTIFS($AE$3:$AE$201,$M170)&gt;0,
    COUNTIFS($AF$3:$AF$201,$M170)&gt;0,
    COUNTIFS($AG$3:$AG$201,$M170)&gt;0,
    COUNTIFS($AH$3:$AH$201,$M170)&gt;0,
    COUNTIFS($AI$3:$AI$201,$M170)&gt;0,
    COUNTIFS($AJ$3:$AJ$201,$M170)&gt;0,
    COUNTIFS($AK$3:$AK$201,$M170)&gt;0,
    COUNTIFS($AL$3:$AL$201,$M170)&gt;0,
    COUNTIFS($AM$3:$AM$201,$M170)&gt;0,
    COUNTIFS($AN$3:$AN$201,$M170)&gt;0,
    COUNTIFS($AO$3:$AO$201,$M170)&gt;0,
    COUNTIFS($AP$3:$AP$201,$M170)&gt;0,
    COUNTIFS($AQ$3:$AQ$201,$M170)&gt;0,
    COUNTIFS($AR$3:$AR$201,$M170)&gt;0,
    COUNTIFS($AS$3:$AS$201,$M170)&gt;0,
    COUNTIFS($AT$3:$AT$201,$M170)&gt;0,
    COUNTIFS($AU$3:$AU$201,$M170)&gt;0,
    COUNTIFS($AV$3:$AV$201,$M170)&gt;0,
    COUNTIFS($AW$3:$AW$201,$M170)&gt;0
   ),
  0)
 ),
"")</f>
        <v>VialIshai</v>
      </c>
      <c r="P170" s="3" t="str" cm="1">
        <f t="array" aca="1" ref="P170" ca="1">IFERROR(
 INDEX(
  _xlfn._xlws.FILTER($T$2:$AW$2,
   TRANSPOSE(
    CHOOSE({1;2;3;4;5;6;7;8;9;10;11;12;13;14;15;16;17;18;19;20;21;22;23;24;25;26;27;28;29;30},
     COUNTIFS($T$3:$T$201,$M170)&gt;0,
     COUNTIFS($U$3:$U$201,$M170)&gt;0,
     COUNTIFS($V$3:$V$201,$M170)&gt;0,
     COUNTIFS($W$3:$W$201,$M170)&gt;0,
     COUNTIFS($X$3:$X$201,$M170)&gt;0,
     COUNTIFS($Y$3:$Y$201,$M170)&gt;0,
     COUNTIFS($Z$3:$Z$201,$M170)&gt;0,
     COUNTIFS($AA$3:$AA$201,$M170)&gt;0,
     COUNTIFS($AB$3:$AB$201,$M170)&gt;0,
     COUNTIFS($AC$3:$AC$201,$M170)&gt;0,
     COUNTIFS($AD$3:$AD$201,$M170)&gt;0,
     COUNTIFS($AE$3:$AE$201,$M170)&gt;0,
     COUNTIFS($AF$3:$AF$201,$M170)&gt;0,
     COUNTIFS($AG$3:$AG$201,$M170)&gt;0,
     COUNTIFS($AH$3:$AH$201,$M170)&gt;0,
     COUNTIFS($AI$3:$AI$201,$M170)&gt;0,
     COUNTIFS($AJ$3:$AJ$201,$M170)&gt;0,
     COUNTIFS($AK$3:$AK$201,$M170)&gt;0,
     COUNTIFS($AL$3:$AL$201,$M170)&gt;0,
     COUNTIFS($AM$3:$AM$201,$M170)&gt;0,
     COUNTIFS($AN$3:$AN$201,$M170)&gt;0,
     COUNTIFS($AO$3:$AO$201,$M170)&gt;0,
     COUNTIFS($AP$3:$AP$201,$M170)&gt;0,
     COUNTIFS($AQ$3:$AQ$201,$M170)&gt;0,
     COUNTIFS($AR$3:$AR$201,$M170)&gt;0,
     COUNTIFS($AS$3:$AS$201,$M170)&gt;0,
     COUNTIFS($AT$3:$AT$201,$M170)&gt;0,
     COUNTIFS($AU$3:$AU$201,$M170)&gt;0,
     COUNTIFS($AV$3:$AV$201,$M170)&gt;0,
     COUNTIFS($AW$3:$AW$201,$M170)&gt;0
   )),
  ),
  2
 ),
"")</f>
        <v>Inalla</v>
      </c>
      <c r="Q170" s="3" t="str" cm="1">
        <f t="array" aca="1" ref="Q170" ca="1">IFERROR(
 INDEX(
  _xlfn._xlws.FILTER($T$2:$AW$2,
   TRANSPOSE(
    CHOOSE({1;2;3;4;5;6;7;8;9;10;11;12;13;14;15;16;17;18;19;20;21;22;23;24;25;26;27;28;29;30},
     COUNTIFS($T$3:$T$201,$M170)&gt;0,
     COUNTIFS($U$3:$U$201,$M170)&gt;0,
     COUNTIFS($V$3:$V$201,$M170)&gt;0,
     COUNTIFS($W$3:$W$201,$M170)&gt;0,
     COUNTIFS($X$3:$X$201,$M170)&gt;0,
     COUNTIFS($Y$3:$Y$201,$M170)&gt;0,
     COUNTIFS($Z$3:$Z$201,$M170)&gt;0,
     COUNTIFS($AA$3:$AA$201,$M170)&gt;0,
     COUNTIFS($AB$3:$AB$201,$M170)&gt;0,
     COUNTIFS($AC$3:$AC$201,$M170)&gt;0,
     COUNTIFS($AD$3:$AD$201,$M170)&gt;0,
     COUNTIFS($AE$3:$AE$201,$M170)&gt;0,
     COUNTIFS($AF$3:$AF$201,$M170)&gt;0,
     COUNTIFS($AG$3:$AG$201,$M170)&gt;0,
     COUNTIFS($AH$3:$AH$201,$M170)&gt;0,
     COUNTIFS($AI$3:$AI$201,$M170)&gt;0,
     COUNTIFS($AJ$3:$AJ$201,$M170)&gt;0,
     COUNTIFS($AK$3:$AK$201,$M170)&gt;0,
     COUNTIFS($AL$3:$AL$201,$M170)&gt;0,
     COUNTIFS($AM$3:$AM$201,$M170)&gt;0,
     COUNTIFS($AN$3:$AN$201,$M170)&gt;0,
     COUNTIFS($AO$3:$AO$201,$M170)&gt;0,
     COUNTIFS($AP$3:$AP$201,$M170)&gt;0,
     COUNTIFS($AQ$3:$AQ$201,$M170)&gt;0,
     COUNTIFS($AR$3:$AR$201,$M170)&gt;0,
     COUNTIFS($AS$3:$AS$201,$M170)&gt;0,
     COUNTIFS($AT$3:$AT$201,$M170)&gt;0,
     COUNTIFS($AU$3:$AU$201,$M170)&gt;0,
     COUNTIFS($AV$3:$AV$201,$M170)&gt;0,
     COUNTIFS($AW$3:$AW$201,$M170)&gt;0
   )),
  ),
  3
 ),
"")</f>
        <v>Oona</v>
      </c>
      <c r="R170" s="3" t="str" cm="1">
        <f t="array" aca="1" ref="R170" ca="1">IFERROR(
 INDEX(
  _xlfn._xlws.FILTER($T$2:$AW$2,
   TRANSPOSE(
    CHOOSE({1;2;3;4;5;6;7;8;9;10;11;12;13;14;15;16;17;18;19;20;21;22;23;24;25;26;27;28;29;30},
     COUNTIFS($T$3:$T$201,$M170)&gt;0,
     COUNTIFS($U$3:$U$201,$M170)&gt;0,
     COUNTIFS($V$3:$V$201,$M170)&gt;0,
     COUNTIFS($W$3:$W$201,$M170)&gt;0,
     COUNTIFS($X$3:$X$201,$M170)&gt;0,
     COUNTIFS($Y$3:$Y$201,$M170)&gt;0,
     COUNTIFS($Z$3:$Z$201,$M170)&gt;0,
     COUNTIFS($AA$3:$AA$201,$M170)&gt;0,
     COUNTIFS($AB$3:$AB$201,$M170)&gt;0,
     COUNTIFS($AC$3:$AC$201,$M170)&gt;0,
     COUNTIFS($AD$3:$AD$201,$M170)&gt;0,
     COUNTIFS($AE$3:$AE$201,$M170)&gt;0,
     COUNTIFS($AF$3:$AF$201,$M170)&gt;0,
     COUNTIFS($AG$3:$AG$201,$M170)&gt;0,
     COUNTIFS($AH$3:$AH$201,$M170)&gt;0,
     COUNTIFS($AI$3:$AI$201,$M170)&gt;0,
     COUNTIFS($AJ$3:$AJ$201,$M170)&gt;0,
     COUNTIFS($AK$3:$AK$201,$M170)&gt;0,
     COUNTIFS($AL$3:$AL$201,$M170)&gt;0,
     COUNTIFS($AM$3:$AM$201,$M170)&gt;0,
     COUNTIFS($AN$3:$AN$201,$M170)&gt;0,
     COUNTIFS($AO$3:$AO$201,$M170)&gt;0,
     COUNTIFS($AP$3:$AP$201,$M170)&gt;0,
     COUNTIFS($AQ$3:$AQ$201,$M170)&gt;0,
     COUNTIFS($AR$3:$AR$201,$M170)&gt;0,
     COUNTIFS($AS$3:$AS$201,$M170)&gt;0,
     COUNTIFS($AT$3:$AT$201,$M170)&gt;0,
     COUNTIFS($AU$3:$AU$201,$M170)&gt;0,
     COUNTIFS($AV$3:$AV$201,$M170)&gt;0,
     COUNTIFS($AW$3:$AW$201,$M170)&gt;0
   )),
  ),
  4
 ),
"")</f>
        <v/>
      </c>
      <c r="CF170" t="str">
        <f ca="1"/>
        <v>Solidariedade dos Heróis</v>
      </c>
      <c r="CI170" t="str">
        <f ca="1"/>
        <v>Pântano</v>
      </c>
    </row>
    <row r="171" spans="1:87" x14ac:dyDescent="0.25">
      <c r="A171" t="str">
        <f ca="1"/>
        <v>Merrow Commerce</v>
      </c>
      <c r="B171" s="3" t="str" cm="1">
        <f t="array" aca="1" ref="B171" ca="1">_xlfn.ANCHORARRAY(RESUMO!C170)</f>
        <v>Kumena</v>
      </c>
      <c r="C171" s="3" t="str">
        <f t="shared" ca="1" si="8"/>
        <v/>
      </c>
      <c r="E171" t="str">
        <f ca="1"/>
        <v>Pensamento Sombrio</v>
      </c>
      <c r="F171" s="3">
        <f t="shared" ca="1" si="9"/>
        <v>1</v>
      </c>
      <c r="G171" s="3" t="str">
        <f t="shared" ca="1" si="10"/>
        <v>Rielle</v>
      </c>
      <c r="M171" t="str">
        <f ca="1"/>
        <v>Pensamento Sombrio</v>
      </c>
      <c r="N171" s="3">
        <f t="shared" ca="1" si="11"/>
        <v>1</v>
      </c>
      <c r="O171" s="3" t="str">
        <f ca="1">IFERROR(
 INDEX($T$2:$AW$2,
  MATCH(TRUE,
   CHOOSE({1;2;3;4;5;6;7;8;9;10;11;12;13;14;15;16;17;18;19;20;21;22;23;24;25;26;27;28;29;30;31;32},
    COUNTIFS($T$3:$T$201,$M171)&gt;0,
    COUNTIFS($U$3:$U$201,$M171)&gt;0,
    COUNTIFS($V$3:$V$201,$M171)&gt;0,
    COUNTIFS($W$3:$W$201,$M171)&gt;0,
    COUNTIFS($X$3:$X$201,$M171)&gt;0,
    COUNTIFS($Y$3:$Y$201,$M171)&gt;0,
    COUNTIFS($Z$3:$Z$201,$M171)&gt;0,
    COUNTIFS($AA$3:$AA$201,$M171)&gt;0,
    COUNTIFS($AB$3:$AB$201,$M171)&gt;0,
    COUNTIFS($AC$3:$AC$201,$M171)&gt;0,
    COUNTIFS($AD$3:$AD$201,$M171)&gt;0,
    COUNTIFS($AE$3:$AE$201,$M171)&gt;0,
    COUNTIFS($AF$3:$AF$201,$M171)&gt;0,
    COUNTIFS($AG$3:$AG$201,$M171)&gt;0,
    COUNTIFS($AH$3:$AH$201,$M171)&gt;0,
    COUNTIFS($AI$3:$AI$201,$M171)&gt;0,
    COUNTIFS($AJ$3:$AJ$201,$M171)&gt;0,
    COUNTIFS($AK$3:$AK$201,$M171)&gt;0,
    COUNTIFS($AL$3:$AL$201,$M171)&gt;0,
    COUNTIFS($AM$3:$AM$201,$M171)&gt;0,
    COUNTIFS($AN$3:$AN$201,$M171)&gt;0,
    COUNTIFS($AO$3:$AO$201,$M171)&gt;0,
    COUNTIFS($AP$3:$AP$201,$M171)&gt;0,
    COUNTIFS($AQ$3:$AQ$201,$M171)&gt;0,
    COUNTIFS($AR$3:$AR$201,$M171)&gt;0,
    COUNTIFS($AS$3:$AS$201,$M171)&gt;0,
    COUNTIFS($AT$3:$AT$201,$M171)&gt;0,
    COUNTIFS($AU$3:$AU$201,$M171)&gt;0,
    COUNTIFS($AV$3:$AV$201,$M171)&gt;0,
    COUNTIFS($AW$3:$AW$201,$M171)&gt;0
   ),
  0)
 ),
"")</f>
        <v>Rielle</v>
      </c>
      <c r="P171" s="3" t="str" cm="1">
        <f t="array" aca="1" ref="P171" ca="1">IFERROR(
 INDEX(
  _xlfn._xlws.FILTER($T$2:$AW$2,
   TRANSPOSE(
    CHOOSE({1;2;3;4;5;6;7;8;9;10;11;12;13;14;15;16;17;18;19;20;21;22;23;24;25;26;27;28;29;30},
     COUNTIFS($T$3:$T$201,$M171)&gt;0,
     COUNTIFS($U$3:$U$201,$M171)&gt;0,
     COUNTIFS($V$3:$V$201,$M171)&gt;0,
     COUNTIFS($W$3:$W$201,$M171)&gt;0,
     COUNTIFS($X$3:$X$201,$M171)&gt;0,
     COUNTIFS($Y$3:$Y$201,$M171)&gt;0,
     COUNTIFS($Z$3:$Z$201,$M171)&gt;0,
     COUNTIFS($AA$3:$AA$201,$M171)&gt;0,
     COUNTIFS($AB$3:$AB$201,$M171)&gt;0,
     COUNTIFS($AC$3:$AC$201,$M171)&gt;0,
     COUNTIFS($AD$3:$AD$201,$M171)&gt;0,
     COUNTIFS($AE$3:$AE$201,$M171)&gt;0,
     COUNTIFS($AF$3:$AF$201,$M171)&gt;0,
     COUNTIFS($AG$3:$AG$201,$M171)&gt;0,
     COUNTIFS($AH$3:$AH$201,$M171)&gt;0,
     COUNTIFS($AI$3:$AI$201,$M171)&gt;0,
     COUNTIFS($AJ$3:$AJ$201,$M171)&gt;0,
     COUNTIFS($AK$3:$AK$201,$M171)&gt;0,
     COUNTIFS($AL$3:$AL$201,$M171)&gt;0,
     COUNTIFS($AM$3:$AM$201,$M171)&gt;0,
     COUNTIFS($AN$3:$AN$201,$M171)&gt;0,
     COUNTIFS($AO$3:$AO$201,$M171)&gt;0,
     COUNTIFS($AP$3:$AP$201,$M171)&gt;0,
     COUNTIFS($AQ$3:$AQ$201,$M171)&gt;0,
     COUNTIFS($AR$3:$AR$201,$M171)&gt;0,
     COUNTIFS($AS$3:$AS$201,$M171)&gt;0,
     COUNTIFS($AT$3:$AT$201,$M171)&gt;0,
     COUNTIFS($AU$3:$AU$201,$M171)&gt;0,
     COUNTIFS($AV$3:$AV$201,$M171)&gt;0,
     COUNTIFS($AW$3:$AW$201,$M171)&gt;0
   )),
  ),
  2
 ),
"")</f>
        <v/>
      </c>
      <c r="Q171" s="3" t="str" cm="1">
        <f t="array" aca="1" ref="Q171" ca="1">IFERROR(
 INDEX(
  _xlfn._xlws.FILTER($T$2:$AW$2,
   TRANSPOSE(
    CHOOSE({1;2;3;4;5;6;7;8;9;10;11;12;13;14;15;16;17;18;19;20;21;22;23;24;25;26;27;28;29;30},
     COUNTIFS($T$3:$T$201,$M171)&gt;0,
     COUNTIFS($U$3:$U$201,$M171)&gt;0,
     COUNTIFS($V$3:$V$201,$M171)&gt;0,
     COUNTIFS($W$3:$W$201,$M171)&gt;0,
     COUNTIFS($X$3:$X$201,$M171)&gt;0,
     COUNTIFS($Y$3:$Y$201,$M171)&gt;0,
     COUNTIFS($Z$3:$Z$201,$M171)&gt;0,
     COUNTIFS($AA$3:$AA$201,$M171)&gt;0,
     COUNTIFS($AB$3:$AB$201,$M171)&gt;0,
     COUNTIFS($AC$3:$AC$201,$M171)&gt;0,
     COUNTIFS($AD$3:$AD$201,$M171)&gt;0,
     COUNTIFS($AE$3:$AE$201,$M171)&gt;0,
     COUNTIFS($AF$3:$AF$201,$M171)&gt;0,
     COUNTIFS($AG$3:$AG$201,$M171)&gt;0,
     COUNTIFS($AH$3:$AH$201,$M171)&gt;0,
     COUNTIFS($AI$3:$AI$201,$M171)&gt;0,
     COUNTIFS($AJ$3:$AJ$201,$M171)&gt;0,
     COUNTIFS($AK$3:$AK$201,$M171)&gt;0,
     COUNTIFS($AL$3:$AL$201,$M171)&gt;0,
     COUNTIFS($AM$3:$AM$201,$M171)&gt;0,
     COUNTIFS($AN$3:$AN$201,$M171)&gt;0,
     COUNTIFS($AO$3:$AO$201,$M171)&gt;0,
     COUNTIFS($AP$3:$AP$201,$M171)&gt;0,
     COUNTIFS($AQ$3:$AQ$201,$M171)&gt;0,
     COUNTIFS($AR$3:$AR$201,$M171)&gt;0,
     COUNTIFS($AS$3:$AS$201,$M171)&gt;0,
     COUNTIFS($AT$3:$AT$201,$M171)&gt;0,
     COUNTIFS($AU$3:$AU$201,$M171)&gt;0,
     COUNTIFS($AV$3:$AV$201,$M171)&gt;0,
     COUNTIFS($AW$3:$AW$201,$M171)&gt;0
   )),
  ),
  3
 ),
"")</f>
        <v/>
      </c>
      <c r="R171" s="3" t="str" cm="1">
        <f t="array" aca="1" ref="R171" ca="1">IFERROR(
 INDEX(
  _xlfn._xlws.FILTER($T$2:$AW$2,
   TRANSPOSE(
    CHOOSE({1;2;3;4;5;6;7;8;9;10;11;12;13;14;15;16;17;18;19;20;21;22;23;24;25;26;27;28;29;30},
     COUNTIFS($T$3:$T$201,$M171)&gt;0,
     COUNTIFS($U$3:$U$201,$M171)&gt;0,
     COUNTIFS($V$3:$V$201,$M171)&gt;0,
     COUNTIFS($W$3:$W$201,$M171)&gt;0,
     COUNTIFS($X$3:$X$201,$M171)&gt;0,
     COUNTIFS($Y$3:$Y$201,$M171)&gt;0,
     COUNTIFS($Z$3:$Z$201,$M171)&gt;0,
     COUNTIFS($AA$3:$AA$201,$M171)&gt;0,
     COUNTIFS($AB$3:$AB$201,$M171)&gt;0,
     COUNTIFS($AC$3:$AC$201,$M171)&gt;0,
     COUNTIFS($AD$3:$AD$201,$M171)&gt;0,
     COUNTIFS($AE$3:$AE$201,$M171)&gt;0,
     COUNTIFS($AF$3:$AF$201,$M171)&gt;0,
     COUNTIFS($AG$3:$AG$201,$M171)&gt;0,
     COUNTIFS($AH$3:$AH$201,$M171)&gt;0,
     COUNTIFS($AI$3:$AI$201,$M171)&gt;0,
     COUNTIFS($AJ$3:$AJ$201,$M171)&gt;0,
     COUNTIFS($AK$3:$AK$201,$M171)&gt;0,
     COUNTIFS($AL$3:$AL$201,$M171)&gt;0,
     COUNTIFS($AM$3:$AM$201,$M171)&gt;0,
     COUNTIFS($AN$3:$AN$201,$M171)&gt;0,
     COUNTIFS($AO$3:$AO$201,$M171)&gt;0,
     COUNTIFS($AP$3:$AP$201,$M171)&gt;0,
     COUNTIFS($AQ$3:$AQ$201,$M171)&gt;0,
     COUNTIFS($AR$3:$AR$201,$M171)&gt;0,
     COUNTIFS($AS$3:$AS$201,$M171)&gt;0,
     COUNTIFS($AT$3:$AT$201,$M171)&gt;0,
     COUNTIFS($AU$3:$AU$201,$M171)&gt;0,
     COUNTIFS($AV$3:$AV$201,$M171)&gt;0,
     COUNTIFS($AW$3:$AW$201,$M171)&gt;0
   )),
  ),
  4
 ),
"")</f>
        <v/>
      </c>
      <c r="CF171" t="str">
        <f ca="1"/>
        <v>Sombra Mutável</v>
      </c>
      <c r="CI171" t="str">
        <f ca="1"/>
        <v>Pensamento Sombrio</v>
      </c>
    </row>
    <row r="172" spans="1:87" x14ac:dyDescent="0.25">
      <c r="A172" t="str">
        <f ca="1"/>
        <v>Merrow Harbinger</v>
      </c>
      <c r="B172" s="3" t="str" cm="1">
        <f t="array" aca="1" ref="B172" ca="1">_xlfn.ANCHORARRAY(RESUMO!C171)</f>
        <v>Kumena</v>
      </c>
      <c r="C172" s="3" t="str">
        <f t="shared" ca="1" si="8"/>
        <v/>
      </c>
      <c r="E172" t="str">
        <f ca="1"/>
        <v>Pentavus</v>
      </c>
      <c r="F172" s="3">
        <f t="shared" ca="1" si="9"/>
        <v>1</v>
      </c>
      <c r="G172" s="3" t="str">
        <f t="shared" ca="1" si="10"/>
        <v>Muzzio</v>
      </c>
      <c r="M172" t="str">
        <f ca="1"/>
        <v>Pentavus</v>
      </c>
      <c r="N172" s="3">
        <f t="shared" ca="1" si="11"/>
        <v>1</v>
      </c>
      <c r="O172" s="3" t="str">
        <f ca="1">IFERROR(
 INDEX($T$2:$AW$2,
  MATCH(TRUE,
   CHOOSE({1;2;3;4;5;6;7;8;9;10;11;12;13;14;15;16;17;18;19;20;21;22;23;24;25;26;27;28;29;30;31;32},
    COUNTIFS($T$3:$T$201,$M172)&gt;0,
    COUNTIFS($U$3:$U$201,$M172)&gt;0,
    COUNTIFS($V$3:$V$201,$M172)&gt;0,
    COUNTIFS($W$3:$W$201,$M172)&gt;0,
    COUNTIFS($X$3:$X$201,$M172)&gt;0,
    COUNTIFS($Y$3:$Y$201,$M172)&gt;0,
    COUNTIFS($Z$3:$Z$201,$M172)&gt;0,
    COUNTIFS($AA$3:$AA$201,$M172)&gt;0,
    COUNTIFS($AB$3:$AB$201,$M172)&gt;0,
    COUNTIFS($AC$3:$AC$201,$M172)&gt;0,
    COUNTIFS($AD$3:$AD$201,$M172)&gt;0,
    COUNTIFS($AE$3:$AE$201,$M172)&gt;0,
    COUNTIFS($AF$3:$AF$201,$M172)&gt;0,
    COUNTIFS($AG$3:$AG$201,$M172)&gt;0,
    COUNTIFS($AH$3:$AH$201,$M172)&gt;0,
    COUNTIFS($AI$3:$AI$201,$M172)&gt;0,
    COUNTIFS($AJ$3:$AJ$201,$M172)&gt;0,
    COUNTIFS($AK$3:$AK$201,$M172)&gt;0,
    COUNTIFS($AL$3:$AL$201,$M172)&gt;0,
    COUNTIFS($AM$3:$AM$201,$M172)&gt;0,
    COUNTIFS($AN$3:$AN$201,$M172)&gt;0,
    COUNTIFS($AO$3:$AO$201,$M172)&gt;0,
    COUNTIFS($AP$3:$AP$201,$M172)&gt;0,
    COUNTIFS($AQ$3:$AQ$201,$M172)&gt;0,
    COUNTIFS($AR$3:$AR$201,$M172)&gt;0,
    COUNTIFS($AS$3:$AS$201,$M172)&gt;0,
    COUNTIFS($AT$3:$AT$201,$M172)&gt;0,
    COUNTIFS($AU$3:$AU$201,$M172)&gt;0,
    COUNTIFS($AV$3:$AV$201,$M172)&gt;0,
    COUNTIFS($AW$3:$AW$201,$M172)&gt;0
   ),
  0)
 ),
"")</f>
        <v>Muzzio</v>
      </c>
      <c r="P172" s="3" t="str" cm="1">
        <f t="array" aca="1" ref="P172" ca="1">IFERROR(
 INDEX(
  _xlfn._xlws.FILTER($T$2:$AW$2,
   TRANSPOSE(
    CHOOSE({1;2;3;4;5;6;7;8;9;10;11;12;13;14;15;16;17;18;19;20;21;22;23;24;25;26;27;28;29;30},
     COUNTIFS($T$3:$T$201,$M172)&gt;0,
     COUNTIFS($U$3:$U$201,$M172)&gt;0,
     COUNTIFS($V$3:$V$201,$M172)&gt;0,
     COUNTIFS($W$3:$W$201,$M172)&gt;0,
     COUNTIFS($X$3:$X$201,$M172)&gt;0,
     COUNTIFS($Y$3:$Y$201,$M172)&gt;0,
     COUNTIFS($Z$3:$Z$201,$M172)&gt;0,
     COUNTIFS($AA$3:$AA$201,$M172)&gt;0,
     COUNTIFS($AB$3:$AB$201,$M172)&gt;0,
     COUNTIFS($AC$3:$AC$201,$M172)&gt;0,
     COUNTIFS($AD$3:$AD$201,$M172)&gt;0,
     COUNTIFS($AE$3:$AE$201,$M172)&gt;0,
     COUNTIFS($AF$3:$AF$201,$M172)&gt;0,
     COUNTIFS($AG$3:$AG$201,$M172)&gt;0,
     COUNTIFS($AH$3:$AH$201,$M172)&gt;0,
     COUNTIFS($AI$3:$AI$201,$M172)&gt;0,
     COUNTIFS($AJ$3:$AJ$201,$M172)&gt;0,
     COUNTIFS($AK$3:$AK$201,$M172)&gt;0,
     COUNTIFS($AL$3:$AL$201,$M172)&gt;0,
     COUNTIFS($AM$3:$AM$201,$M172)&gt;0,
     COUNTIFS($AN$3:$AN$201,$M172)&gt;0,
     COUNTIFS($AO$3:$AO$201,$M172)&gt;0,
     COUNTIFS($AP$3:$AP$201,$M172)&gt;0,
     COUNTIFS($AQ$3:$AQ$201,$M172)&gt;0,
     COUNTIFS($AR$3:$AR$201,$M172)&gt;0,
     COUNTIFS($AS$3:$AS$201,$M172)&gt;0,
     COUNTIFS($AT$3:$AT$201,$M172)&gt;0,
     COUNTIFS($AU$3:$AU$201,$M172)&gt;0,
     COUNTIFS($AV$3:$AV$201,$M172)&gt;0,
     COUNTIFS($AW$3:$AW$201,$M172)&gt;0
   )),
  ),
  2
 ),
"")</f>
        <v/>
      </c>
      <c r="Q172" s="3" t="str" cm="1">
        <f t="array" aca="1" ref="Q172" ca="1">IFERROR(
 INDEX(
  _xlfn._xlws.FILTER($T$2:$AW$2,
   TRANSPOSE(
    CHOOSE({1;2;3;4;5;6;7;8;9;10;11;12;13;14;15;16;17;18;19;20;21;22;23;24;25;26;27;28;29;30},
     COUNTIFS($T$3:$T$201,$M172)&gt;0,
     COUNTIFS($U$3:$U$201,$M172)&gt;0,
     COUNTIFS($V$3:$V$201,$M172)&gt;0,
     COUNTIFS($W$3:$W$201,$M172)&gt;0,
     COUNTIFS($X$3:$X$201,$M172)&gt;0,
     COUNTIFS($Y$3:$Y$201,$M172)&gt;0,
     COUNTIFS($Z$3:$Z$201,$M172)&gt;0,
     COUNTIFS($AA$3:$AA$201,$M172)&gt;0,
     COUNTIFS($AB$3:$AB$201,$M172)&gt;0,
     COUNTIFS($AC$3:$AC$201,$M172)&gt;0,
     COUNTIFS($AD$3:$AD$201,$M172)&gt;0,
     COUNTIFS($AE$3:$AE$201,$M172)&gt;0,
     COUNTIFS($AF$3:$AF$201,$M172)&gt;0,
     COUNTIFS($AG$3:$AG$201,$M172)&gt;0,
     COUNTIFS($AH$3:$AH$201,$M172)&gt;0,
     COUNTIFS($AI$3:$AI$201,$M172)&gt;0,
     COUNTIFS($AJ$3:$AJ$201,$M172)&gt;0,
     COUNTIFS($AK$3:$AK$201,$M172)&gt;0,
     COUNTIFS($AL$3:$AL$201,$M172)&gt;0,
     COUNTIFS($AM$3:$AM$201,$M172)&gt;0,
     COUNTIFS($AN$3:$AN$201,$M172)&gt;0,
     COUNTIFS($AO$3:$AO$201,$M172)&gt;0,
     COUNTIFS($AP$3:$AP$201,$M172)&gt;0,
     COUNTIFS($AQ$3:$AQ$201,$M172)&gt;0,
     COUNTIFS($AR$3:$AR$201,$M172)&gt;0,
     COUNTIFS($AS$3:$AS$201,$M172)&gt;0,
     COUNTIFS($AT$3:$AT$201,$M172)&gt;0,
     COUNTIFS($AU$3:$AU$201,$M172)&gt;0,
     COUNTIFS($AV$3:$AV$201,$M172)&gt;0,
     COUNTIFS($AW$3:$AW$201,$M172)&gt;0
   )),
  ),
  3
 ),
"")</f>
        <v/>
      </c>
      <c r="R172" s="3" t="str" cm="1">
        <f t="array" aca="1" ref="R172" ca="1">IFERROR(
 INDEX(
  _xlfn._xlws.FILTER($T$2:$AW$2,
   TRANSPOSE(
    CHOOSE({1;2;3;4;5;6;7;8;9;10;11;12;13;14;15;16;17;18;19;20;21;22;23;24;25;26;27;28;29;30},
     COUNTIFS($T$3:$T$201,$M172)&gt;0,
     COUNTIFS($U$3:$U$201,$M172)&gt;0,
     COUNTIFS($V$3:$V$201,$M172)&gt;0,
     COUNTIFS($W$3:$W$201,$M172)&gt;0,
     COUNTIFS($X$3:$X$201,$M172)&gt;0,
     COUNTIFS($Y$3:$Y$201,$M172)&gt;0,
     COUNTIFS($Z$3:$Z$201,$M172)&gt;0,
     COUNTIFS($AA$3:$AA$201,$M172)&gt;0,
     COUNTIFS($AB$3:$AB$201,$M172)&gt;0,
     COUNTIFS($AC$3:$AC$201,$M172)&gt;0,
     COUNTIFS($AD$3:$AD$201,$M172)&gt;0,
     COUNTIFS($AE$3:$AE$201,$M172)&gt;0,
     COUNTIFS($AF$3:$AF$201,$M172)&gt;0,
     COUNTIFS($AG$3:$AG$201,$M172)&gt;0,
     COUNTIFS($AH$3:$AH$201,$M172)&gt;0,
     COUNTIFS($AI$3:$AI$201,$M172)&gt;0,
     COUNTIFS($AJ$3:$AJ$201,$M172)&gt;0,
     COUNTIFS($AK$3:$AK$201,$M172)&gt;0,
     COUNTIFS($AL$3:$AL$201,$M172)&gt;0,
     COUNTIFS($AM$3:$AM$201,$M172)&gt;0,
     COUNTIFS($AN$3:$AN$201,$M172)&gt;0,
     COUNTIFS($AO$3:$AO$201,$M172)&gt;0,
     COUNTIFS($AP$3:$AP$201,$M172)&gt;0,
     COUNTIFS($AQ$3:$AQ$201,$M172)&gt;0,
     COUNTIFS($AR$3:$AR$201,$M172)&gt;0,
     COUNTIFS($AS$3:$AS$201,$M172)&gt;0,
     COUNTIFS($AT$3:$AT$201,$M172)&gt;0,
     COUNTIFS($AU$3:$AU$201,$M172)&gt;0,
     COUNTIFS($AV$3:$AV$201,$M172)&gt;0,
     COUNTIFS($AW$3:$AW$201,$M172)&gt;0
   )),
  ),
  4
 ),
"")</f>
        <v/>
      </c>
      <c r="CF172" t="str">
        <f ca="1"/>
        <v>Sontaran General</v>
      </c>
      <c r="CI172" t="str">
        <f ca="1"/>
        <v>Pentavus</v>
      </c>
    </row>
    <row r="173" spans="1:87" x14ac:dyDescent="0.25">
      <c r="A173" t="str">
        <f ca="1"/>
        <v>Mines of Moria</v>
      </c>
      <c r="B173" s="3" t="str" cm="1">
        <f t="array" aca="1" ref="B173" ca="1">_xlfn.ANCHORARRAY(RESUMO!C172)</f>
        <v>Piratas</v>
      </c>
      <c r="C173" s="3" t="str">
        <f t="shared" ca="1" si="8"/>
        <v/>
      </c>
      <c r="E173" t="str">
        <f ca="1"/>
        <v>Pilar das Origens</v>
      </c>
      <c r="F173" s="3">
        <f t="shared" ca="1" si="9"/>
        <v>1</v>
      </c>
      <c r="G173" s="3" t="str">
        <f t="shared" ca="1" si="10"/>
        <v>Piratas</v>
      </c>
      <c r="M173" t="str">
        <f ca="1"/>
        <v>Pilar das Origens</v>
      </c>
      <c r="N173" s="3">
        <f t="shared" ca="1" si="11"/>
        <v>1</v>
      </c>
      <c r="O173" s="3" t="str">
        <f ca="1">IFERROR(
 INDEX($T$2:$AW$2,
  MATCH(TRUE,
   CHOOSE({1;2;3;4;5;6;7;8;9;10;11;12;13;14;15;16;17;18;19;20;21;22;23;24;25;26;27;28;29;30;31;32},
    COUNTIFS($T$3:$T$201,$M173)&gt;0,
    COUNTIFS($U$3:$U$201,$M173)&gt;0,
    COUNTIFS($V$3:$V$201,$M173)&gt;0,
    COUNTIFS($W$3:$W$201,$M173)&gt;0,
    COUNTIFS($X$3:$X$201,$M173)&gt;0,
    COUNTIFS($Y$3:$Y$201,$M173)&gt;0,
    COUNTIFS($Z$3:$Z$201,$M173)&gt;0,
    COUNTIFS($AA$3:$AA$201,$M173)&gt;0,
    COUNTIFS($AB$3:$AB$201,$M173)&gt;0,
    COUNTIFS($AC$3:$AC$201,$M173)&gt;0,
    COUNTIFS($AD$3:$AD$201,$M173)&gt;0,
    COUNTIFS($AE$3:$AE$201,$M173)&gt;0,
    COUNTIFS($AF$3:$AF$201,$M173)&gt;0,
    COUNTIFS($AG$3:$AG$201,$M173)&gt;0,
    COUNTIFS($AH$3:$AH$201,$M173)&gt;0,
    COUNTIFS($AI$3:$AI$201,$M173)&gt;0,
    COUNTIFS($AJ$3:$AJ$201,$M173)&gt;0,
    COUNTIFS($AK$3:$AK$201,$M173)&gt;0,
    COUNTIFS($AL$3:$AL$201,$M173)&gt;0,
    COUNTIFS($AM$3:$AM$201,$M173)&gt;0,
    COUNTIFS($AN$3:$AN$201,$M173)&gt;0,
    COUNTIFS($AO$3:$AO$201,$M173)&gt;0,
    COUNTIFS($AP$3:$AP$201,$M173)&gt;0,
    COUNTIFS($AQ$3:$AQ$201,$M173)&gt;0,
    COUNTIFS($AR$3:$AR$201,$M173)&gt;0,
    COUNTIFS($AS$3:$AS$201,$M173)&gt;0,
    COUNTIFS($AT$3:$AT$201,$M173)&gt;0,
    COUNTIFS($AU$3:$AU$201,$M173)&gt;0,
    COUNTIFS($AV$3:$AV$201,$M173)&gt;0,
    COUNTIFS($AW$3:$AW$201,$M173)&gt;0
   ),
  0)
 ),
"")</f>
        <v>Piratas</v>
      </c>
      <c r="P173" s="3" t="str" cm="1">
        <f t="array" aca="1" ref="P173" ca="1">IFERROR(
 INDEX(
  _xlfn._xlws.FILTER($T$2:$AW$2,
   TRANSPOSE(
    CHOOSE({1;2;3;4;5;6;7;8;9;10;11;12;13;14;15;16;17;18;19;20;21;22;23;24;25;26;27;28;29;30},
     COUNTIFS($T$3:$T$201,$M173)&gt;0,
     COUNTIFS($U$3:$U$201,$M173)&gt;0,
     COUNTIFS($V$3:$V$201,$M173)&gt;0,
     COUNTIFS($W$3:$W$201,$M173)&gt;0,
     COUNTIFS($X$3:$X$201,$M173)&gt;0,
     COUNTIFS($Y$3:$Y$201,$M173)&gt;0,
     COUNTIFS($Z$3:$Z$201,$M173)&gt;0,
     COUNTIFS($AA$3:$AA$201,$M173)&gt;0,
     COUNTIFS($AB$3:$AB$201,$M173)&gt;0,
     COUNTIFS($AC$3:$AC$201,$M173)&gt;0,
     COUNTIFS($AD$3:$AD$201,$M173)&gt;0,
     COUNTIFS($AE$3:$AE$201,$M173)&gt;0,
     COUNTIFS($AF$3:$AF$201,$M173)&gt;0,
     COUNTIFS($AG$3:$AG$201,$M173)&gt;0,
     COUNTIFS($AH$3:$AH$201,$M173)&gt;0,
     COUNTIFS($AI$3:$AI$201,$M173)&gt;0,
     COUNTIFS($AJ$3:$AJ$201,$M173)&gt;0,
     COUNTIFS($AK$3:$AK$201,$M173)&gt;0,
     COUNTIFS($AL$3:$AL$201,$M173)&gt;0,
     COUNTIFS($AM$3:$AM$201,$M173)&gt;0,
     COUNTIFS($AN$3:$AN$201,$M173)&gt;0,
     COUNTIFS($AO$3:$AO$201,$M173)&gt;0,
     COUNTIFS($AP$3:$AP$201,$M173)&gt;0,
     COUNTIFS($AQ$3:$AQ$201,$M173)&gt;0,
     COUNTIFS($AR$3:$AR$201,$M173)&gt;0,
     COUNTIFS($AS$3:$AS$201,$M173)&gt;0,
     COUNTIFS($AT$3:$AT$201,$M173)&gt;0,
     COUNTIFS($AU$3:$AU$201,$M173)&gt;0,
     COUNTIFS($AV$3:$AV$201,$M173)&gt;0,
     COUNTIFS($AW$3:$AW$201,$M173)&gt;0
   )),
  ),
  2
 ),
"")</f>
        <v/>
      </c>
      <c r="Q173" s="3" t="str" cm="1">
        <f t="array" aca="1" ref="Q173" ca="1">IFERROR(
 INDEX(
  _xlfn._xlws.FILTER($T$2:$AW$2,
   TRANSPOSE(
    CHOOSE({1;2;3;4;5;6;7;8;9;10;11;12;13;14;15;16;17;18;19;20;21;22;23;24;25;26;27;28;29;30},
     COUNTIFS($T$3:$T$201,$M173)&gt;0,
     COUNTIFS($U$3:$U$201,$M173)&gt;0,
     COUNTIFS($V$3:$V$201,$M173)&gt;0,
     COUNTIFS($W$3:$W$201,$M173)&gt;0,
     COUNTIFS($X$3:$X$201,$M173)&gt;0,
     COUNTIFS($Y$3:$Y$201,$M173)&gt;0,
     COUNTIFS($Z$3:$Z$201,$M173)&gt;0,
     COUNTIFS($AA$3:$AA$201,$M173)&gt;0,
     COUNTIFS($AB$3:$AB$201,$M173)&gt;0,
     COUNTIFS($AC$3:$AC$201,$M173)&gt;0,
     COUNTIFS($AD$3:$AD$201,$M173)&gt;0,
     COUNTIFS($AE$3:$AE$201,$M173)&gt;0,
     COUNTIFS($AF$3:$AF$201,$M173)&gt;0,
     COUNTIFS($AG$3:$AG$201,$M173)&gt;0,
     COUNTIFS($AH$3:$AH$201,$M173)&gt;0,
     COUNTIFS($AI$3:$AI$201,$M173)&gt;0,
     COUNTIFS($AJ$3:$AJ$201,$M173)&gt;0,
     COUNTIFS($AK$3:$AK$201,$M173)&gt;0,
     COUNTIFS($AL$3:$AL$201,$M173)&gt;0,
     COUNTIFS($AM$3:$AM$201,$M173)&gt;0,
     COUNTIFS($AN$3:$AN$201,$M173)&gt;0,
     COUNTIFS($AO$3:$AO$201,$M173)&gt;0,
     COUNTIFS($AP$3:$AP$201,$M173)&gt;0,
     COUNTIFS($AQ$3:$AQ$201,$M173)&gt;0,
     COUNTIFS($AR$3:$AR$201,$M173)&gt;0,
     COUNTIFS($AS$3:$AS$201,$M173)&gt;0,
     COUNTIFS($AT$3:$AT$201,$M173)&gt;0,
     COUNTIFS($AU$3:$AU$201,$M173)&gt;0,
     COUNTIFS($AV$3:$AV$201,$M173)&gt;0,
     COUNTIFS($AW$3:$AW$201,$M173)&gt;0
   )),
  ),
  3
 ),
"")</f>
        <v/>
      </c>
      <c r="R173" s="3" t="str" cm="1">
        <f t="array" aca="1" ref="R173" ca="1">IFERROR(
 INDEX(
  _xlfn._xlws.FILTER($T$2:$AW$2,
   TRANSPOSE(
    CHOOSE({1;2;3;4;5;6;7;8;9;10;11;12;13;14;15;16;17;18;19;20;21;22;23;24;25;26;27;28;29;30},
     COUNTIFS($T$3:$T$201,$M173)&gt;0,
     COUNTIFS($U$3:$U$201,$M173)&gt;0,
     COUNTIFS($V$3:$V$201,$M173)&gt;0,
     COUNTIFS($W$3:$W$201,$M173)&gt;0,
     COUNTIFS($X$3:$X$201,$M173)&gt;0,
     COUNTIFS($Y$3:$Y$201,$M173)&gt;0,
     COUNTIFS($Z$3:$Z$201,$M173)&gt;0,
     COUNTIFS($AA$3:$AA$201,$M173)&gt;0,
     COUNTIFS($AB$3:$AB$201,$M173)&gt;0,
     COUNTIFS($AC$3:$AC$201,$M173)&gt;0,
     COUNTIFS($AD$3:$AD$201,$M173)&gt;0,
     COUNTIFS($AE$3:$AE$201,$M173)&gt;0,
     COUNTIFS($AF$3:$AF$201,$M173)&gt;0,
     COUNTIFS($AG$3:$AG$201,$M173)&gt;0,
     COUNTIFS($AH$3:$AH$201,$M173)&gt;0,
     COUNTIFS($AI$3:$AI$201,$M173)&gt;0,
     COUNTIFS($AJ$3:$AJ$201,$M173)&gt;0,
     COUNTIFS($AK$3:$AK$201,$M173)&gt;0,
     COUNTIFS($AL$3:$AL$201,$M173)&gt;0,
     COUNTIFS($AM$3:$AM$201,$M173)&gt;0,
     COUNTIFS($AN$3:$AN$201,$M173)&gt;0,
     COUNTIFS($AO$3:$AO$201,$M173)&gt;0,
     COUNTIFS($AP$3:$AP$201,$M173)&gt;0,
     COUNTIFS($AQ$3:$AQ$201,$M173)&gt;0,
     COUNTIFS($AR$3:$AR$201,$M173)&gt;0,
     COUNTIFS($AS$3:$AS$201,$M173)&gt;0,
     COUNTIFS($AT$3:$AT$201,$M173)&gt;0,
     COUNTIFS($AU$3:$AU$201,$M173)&gt;0,
     COUNTIFS($AV$3:$AV$201,$M173)&gt;0,
     COUNTIFS($AW$3:$AW$201,$M173)&gt;0
   )),
  ),
  4
 ),
"")</f>
        <v/>
      </c>
      <c r="CF173" t="str">
        <f ca="1"/>
        <v>Spelunking</v>
      </c>
      <c r="CI173" t="str">
        <f ca="1"/>
        <v>Pilar das Origens</v>
      </c>
    </row>
    <row r="174" spans="1:87" x14ac:dyDescent="0.25">
      <c r="A174" t="str">
        <f ca="1"/>
        <v>Mirrex</v>
      </c>
      <c r="B174" s="3" t="str" cm="1">
        <f t="array" aca="1" ref="B174" ca="1">_xlfn.ANCHORARRAY(RESUMO!C173)</f>
        <v>Muzzio</v>
      </c>
      <c r="C174" s="3" t="str">
        <f t="shared" ca="1" si="8"/>
        <v/>
      </c>
      <c r="E174" t="str">
        <f ca="1"/>
        <v>Piscar de Olhos</v>
      </c>
      <c r="F174" s="3">
        <f t="shared" ca="1" si="9"/>
        <v>1</v>
      </c>
      <c r="G174" s="3" t="str">
        <f t="shared" ca="1" si="10"/>
        <v>Oona</v>
      </c>
      <c r="M174" t="str">
        <f ca="1"/>
        <v>Piscar de Olhos</v>
      </c>
      <c r="N174" s="3">
        <f t="shared" ca="1" si="11"/>
        <v>1</v>
      </c>
      <c r="O174" s="3" t="str">
        <f ca="1">IFERROR(
 INDEX($T$2:$AW$2,
  MATCH(TRUE,
   CHOOSE({1;2;3;4;5;6;7;8;9;10;11;12;13;14;15;16;17;18;19;20;21;22;23;24;25;26;27;28;29;30;31;32},
    COUNTIFS($T$3:$T$201,$M174)&gt;0,
    COUNTIFS($U$3:$U$201,$M174)&gt;0,
    COUNTIFS($V$3:$V$201,$M174)&gt;0,
    COUNTIFS($W$3:$W$201,$M174)&gt;0,
    COUNTIFS($X$3:$X$201,$M174)&gt;0,
    COUNTIFS($Y$3:$Y$201,$M174)&gt;0,
    COUNTIFS($Z$3:$Z$201,$M174)&gt;0,
    COUNTIFS($AA$3:$AA$201,$M174)&gt;0,
    COUNTIFS($AB$3:$AB$201,$M174)&gt;0,
    COUNTIFS($AC$3:$AC$201,$M174)&gt;0,
    COUNTIFS($AD$3:$AD$201,$M174)&gt;0,
    COUNTIFS($AE$3:$AE$201,$M174)&gt;0,
    COUNTIFS($AF$3:$AF$201,$M174)&gt;0,
    COUNTIFS($AG$3:$AG$201,$M174)&gt;0,
    COUNTIFS($AH$3:$AH$201,$M174)&gt;0,
    COUNTIFS($AI$3:$AI$201,$M174)&gt;0,
    COUNTIFS($AJ$3:$AJ$201,$M174)&gt;0,
    COUNTIFS($AK$3:$AK$201,$M174)&gt;0,
    COUNTIFS($AL$3:$AL$201,$M174)&gt;0,
    COUNTIFS($AM$3:$AM$201,$M174)&gt;0,
    COUNTIFS($AN$3:$AN$201,$M174)&gt;0,
    COUNTIFS($AO$3:$AO$201,$M174)&gt;0,
    COUNTIFS($AP$3:$AP$201,$M174)&gt;0,
    COUNTIFS($AQ$3:$AQ$201,$M174)&gt;0,
    COUNTIFS($AR$3:$AR$201,$M174)&gt;0,
    COUNTIFS($AS$3:$AS$201,$M174)&gt;0,
    COUNTIFS($AT$3:$AT$201,$M174)&gt;0,
    COUNTIFS($AU$3:$AU$201,$M174)&gt;0,
    COUNTIFS($AV$3:$AV$201,$M174)&gt;0,
    COUNTIFS($AW$3:$AW$201,$M174)&gt;0
   ),
  0)
 ),
"")</f>
        <v>Oona</v>
      </c>
      <c r="P174" s="3" t="str" cm="1">
        <f t="array" aca="1" ref="P174" ca="1">IFERROR(
 INDEX(
  _xlfn._xlws.FILTER($T$2:$AW$2,
   TRANSPOSE(
    CHOOSE({1;2;3;4;5;6;7;8;9;10;11;12;13;14;15;16;17;18;19;20;21;22;23;24;25;26;27;28;29;30},
     COUNTIFS($T$3:$T$201,$M174)&gt;0,
     COUNTIFS($U$3:$U$201,$M174)&gt;0,
     COUNTIFS($V$3:$V$201,$M174)&gt;0,
     COUNTIFS($W$3:$W$201,$M174)&gt;0,
     COUNTIFS($X$3:$X$201,$M174)&gt;0,
     COUNTIFS($Y$3:$Y$201,$M174)&gt;0,
     COUNTIFS($Z$3:$Z$201,$M174)&gt;0,
     COUNTIFS($AA$3:$AA$201,$M174)&gt;0,
     COUNTIFS($AB$3:$AB$201,$M174)&gt;0,
     COUNTIFS($AC$3:$AC$201,$M174)&gt;0,
     COUNTIFS($AD$3:$AD$201,$M174)&gt;0,
     COUNTIFS($AE$3:$AE$201,$M174)&gt;0,
     COUNTIFS($AF$3:$AF$201,$M174)&gt;0,
     COUNTIFS($AG$3:$AG$201,$M174)&gt;0,
     COUNTIFS($AH$3:$AH$201,$M174)&gt;0,
     COUNTIFS($AI$3:$AI$201,$M174)&gt;0,
     COUNTIFS($AJ$3:$AJ$201,$M174)&gt;0,
     COUNTIFS($AK$3:$AK$201,$M174)&gt;0,
     COUNTIFS($AL$3:$AL$201,$M174)&gt;0,
     COUNTIFS($AM$3:$AM$201,$M174)&gt;0,
     COUNTIFS($AN$3:$AN$201,$M174)&gt;0,
     COUNTIFS($AO$3:$AO$201,$M174)&gt;0,
     COUNTIFS($AP$3:$AP$201,$M174)&gt;0,
     COUNTIFS($AQ$3:$AQ$201,$M174)&gt;0,
     COUNTIFS($AR$3:$AR$201,$M174)&gt;0,
     COUNTIFS($AS$3:$AS$201,$M174)&gt;0,
     COUNTIFS($AT$3:$AT$201,$M174)&gt;0,
     COUNTIFS($AU$3:$AU$201,$M174)&gt;0,
     COUNTIFS($AV$3:$AV$201,$M174)&gt;0,
     COUNTIFS($AW$3:$AW$201,$M174)&gt;0
   )),
  ),
  2
 ),
"")</f>
        <v/>
      </c>
      <c r="Q174" s="3" t="str" cm="1">
        <f t="array" aca="1" ref="Q174" ca="1">IFERROR(
 INDEX(
  _xlfn._xlws.FILTER($T$2:$AW$2,
   TRANSPOSE(
    CHOOSE({1;2;3;4;5;6;7;8;9;10;11;12;13;14;15;16;17;18;19;20;21;22;23;24;25;26;27;28;29;30},
     COUNTIFS($T$3:$T$201,$M174)&gt;0,
     COUNTIFS($U$3:$U$201,$M174)&gt;0,
     COUNTIFS($V$3:$V$201,$M174)&gt;0,
     COUNTIFS($W$3:$W$201,$M174)&gt;0,
     COUNTIFS($X$3:$X$201,$M174)&gt;0,
     COUNTIFS($Y$3:$Y$201,$M174)&gt;0,
     COUNTIFS($Z$3:$Z$201,$M174)&gt;0,
     COUNTIFS($AA$3:$AA$201,$M174)&gt;0,
     COUNTIFS($AB$3:$AB$201,$M174)&gt;0,
     COUNTIFS($AC$3:$AC$201,$M174)&gt;0,
     COUNTIFS($AD$3:$AD$201,$M174)&gt;0,
     COUNTIFS($AE$3:$AE$201,$M174)&gt;0,
     COUNTIFS($AF$3:$AF$201,$M174)&gt;0,
     COUNTIFS($AG$3:$AG$201,$M174)&gt;0,
     COUNTIFS($AH$3:$AH$201,$M174)&gt;0,
     COUNTIFS($AI$3:$AI$201,$M174)&gt;0,
     COUNTIFS($AJ$3:$AJ$201,$M174)&gt;0,
     COUNTIFS($AK$3:$AK$201,$M174)&gt;0,
     COUNTIFS($AL$3:$AL$201,$M174)&gt;0,
     COUNTIFS($AM$3:$AM$201,$M174)&gt;0,
     COUNTIFS($AN$3:$AN$201,$M174)&gt;0,
     COUNTIFS($AO$3:$AO$201,$M174)&gt;0,
     COUNTIFS($AP$3:$AP$201,$M174)&gt;0,
     COUNTIFS($AQ$3:$AQ$201,$M174)&gt;0,
     COUNTIFS($AR$3:$AR$201,$M174)&gt;0,
     COUNTIFS($AS$3:$AS$201,$M174)&gt;0,
     COUNTIFS($AT$3:$AT$201,$M174)&gt;0,
     COUNTIFS($AU$3:$AU$201,$M174)&gt;0,
     COUNTIFS($AV$3:$AV$201,$M174)&gt;0,
     COUNTIFS($AW$3:$AW$201,$M174)&gt;0
   )),
  ),
  3
 ),
"")</f>
        <v/>
      </c>
      <c r="R174" s="3" t="str" cm="1">
        <f t="array" aca="1" ref="R174" ca="1">IFERROR(
 INDEX(
  _xlfn._xlws.FILTER($T$2:$AW$2,
   TRANSPOSE(
    CHOOSE({1;2;3;4;5;6;7;8;9;10;11;12;13;14;15;16;17;18;19;20;21;22;23;24;25;26;27;28;29;30},
     COUNTIFS($T$3:$T$201,$M174)&gt;0,
     COUNTIFS($U$3:$U$201,$M174)&gt;0,
     COUNTIFS($V$3:$V$201,$M174)&gt;0,
     COUNTIFS($W$3:$W$201,$M174)&gt;0,
     COUNTIFS($X$3:$X$201,$M174)&gt;0,
     COUNTIFS($Y$3:$Y$201,$M174)&gt;0,
     COUNTIFS($Z$3:$Z$201,$M174)&gt;0,
     COUNTIFS($AA$3:$AA$201,$M174)&gt;0,
     COUNTIFS($AB$3:$AB$201,$M174)&gt;0,
     COUNTIFS($AC$3:$AC$201,$M174)&gt;0,
     COUNTIFS($AD$3:$AD$201,$M174)&gt;0,
     COUNTIFS($AE$3:$AE$201,$M174)&gt;0,
     COUNTIFS($AF$3:$AF$201,$M174)&gt;0,
     COUNTIFS($AG$3:$AG$201,$M174)&gt;0,
     COUNTIFS($AH$3:$AH$201,$M174)&gt;0,
     COUNTIFS($AI$3:$AI$201,$M174)&gt;0,
     COUNTIFS($AJ$3:$AJ$201,$M174)&gt;0,
     COUNTIFS($AK$3:$AK$201,$M174)&gt;0,
     COUNTIFS($AL$3:$AL$201,$M174)&gt;0,
     COUNTIFS($AM$3:$AM$201,$M174)&gt;0,
     COUNTIFS($AN$3:$AN$201,$M174)&gt;0,
     COUNTIFS($AO$3:$AO$201,$M174)&gt;0,
     COUNTIFS($AP$3:$AP$201,$M174)&gt;0,
     COUNTIFS($AQ$3:$AQ$201,$M174)&gt;0,
     COUNTIFS($AR$3:$AR$201,$M174)&gt;0,
     COUNTIFS($AS$3:$AS$201,$M174)&gt;0,
     COUNTIFS($AT$3:$AT$201,$M174)&gt;0,
     COUNTIFS($AU$3:$AU$201,$M174)&gt;0,
     COUNTIFS($AV$3:$AV$201,$M174)&gt;0,
     COUNTIFS($AW$3:$AW$201,$M174)&gt;0
   )),
  ),
  4
 ),
"")</f>
        <v/>
      </c>
      <c r="CF174" t="str">
        <f ca="1"/>
        <v>Sudden Spoiling</v>
      </c>
      <c r="CI174" t="str">
        <f ca="1"/>
        <v>Piscar de Olhos</v>
      </c>
    </row>
    <row r="175" spans="1:87" x14ac:dyDescent="0.25">
      <c r="A175" t="str">
        <f ca="1"/>
        <v>Mistbind Clique</v>
      </c>
      <c r="B175" s="3" t="str" cm="1">
        <f t="array" aca="1" ref="B175" ca="1">_xlfn.ANCHORARRAY(RESUMO!C174)</f>
        <v>Inalla</v>
      </c>
      <c r="C175" s="3" t="str">
        <f t="shared" ca="1" si="8"/>
        <v/>
      </c>
      <c r="E175" t="str">
        <f ca="1"/>
        <v>Plaguecrafter</v>
      </c>
      <c r="F175" s="3">
        <f t="shared" ca="1" si="9"/>
        <v>1</v>
      </c>
      <c r="G175" s="3" t="str">
        <f t="shared" ca="1" si="10"/>
        <v>Tayam</v>
      </c>
      <c r="M175" t="str">
        <f ca="1"/>
        <v>Plaguecrafter</v>
      </c>
      <c r="N175" s="3">
        <f t="shared" ca="1" si="11"/>
        <v>1</v>
      </c>
      <c r="O175" s="3" t="str">
        <f ca="1">IFERROR(
 INDEX($T$2:$AW$2,
  MATCH(TRUE,
   CHOOSE({1;2;3;4;5;6;7;8;9;10;11;12;13;14;15;16;17;18;19;20;21;22;23;24;25;26;27;28;29;30;31;32},
    COUNTIFS($T$3:$T$201,$M175)&gt;0,
    COUNTIFS($U$3:$U$201,$M175)&gt;0,
    COUNTIFS($V$3:$V$201,$M175)&gt;0,
    COUNTIFS($W$3:$W$201,$M175)&gt;0,
    COUNTIFS($X$3:$X$201,$M175)&gt;0,
    COUNTIFS($Y$3:$Y$201,$M175)&gt;0,
    COUNTIFS($Z$3:$Z$201,$M175)&gt;0,
    COUNTIFS($AA$3:$AA$201,$M175)&gt;0,
    COUNTIFS($AB$3:$AB$201,$M175)&gt;0,
    COUNTIFS($AC$3:$AC$201,$M175)&gt;0,
    COUNTIFS($AD$3:$AD$201,$M175)&gt;0,
    COUNTIFS($AE$3:$AE$201,$M175)&gt;0,
    COUNTIFS($AF$3:$AF$201,$M175)&gt;0,
    COUNTIFS($AG$3:$AG$201,$M175)&gt;0,
    COUNTIFS($AH$3:$AH$201,$M175)&gt;0,
    COUNTIFS($AI$3:$AI$201,$M175)&gt;0,
    COUNTIFS($AJ$3:$AJ$201,$M175)&gt;0,
    COUNTIFS($AK$3:$AK$201,$M175)&gt;0,
    COUNTIFS($AL$3:$AL$201,$M175)&gt;0,
    COUNTIFS($AM$3:$AM$201,$M175)&gt;0,
    COUNTIFS($AN$3:$AN$201,$M175)&gt;0,
    COUNTIFS($AO$3:$AO$201,$M175)&gt;0,
    COUNTIFS($AP$3:$AP$201,$M175)&gt;0,
    COUNTIFS($AQ$3:$AQ$201,$M175)&gt;0,
    COUNTIFS($AR$3:$AR$201,$M175)&gt;0,
    COUNTIFS($AS$3:$AS$201,$M175)&gt;0,
    COUNTIFS($AT$3:$AT$201,$M175)&gt;0,
    COUNTIFS($AU$3:$AU$201,$M175)&gt;0,
    COUNTIFS($AV$3:$AV$201,$M175)&gt;0,
    COUNTIFS($AW$3:$AW$201,$M175)&gt;0
   ),
  0)
 ),
"")</f>
        <v>Tayam</v>
      </c>
      <c r="P175" s="3" t="str" cm="1">
        <f t="array" aca="1" ref="P175" ca="1">IFERROR(
 INDEX(
  _xlfn._xlws.FILTER($T$2:$AW$2,
   TRANSPOSE(
    CHOOSE({1;2;3;4;5;6;7;8;9;10;11;12;13;14;15;16;17;18;19;20;21;22;23;24;25;26;27;28;29;30},
     COUNTIFS($T$3:$T$201,$M175)&gt;0,
     COUNTIFS($U$3:$U$201,$M175)&gt;0,
     COUNTIFS($V$3:$V$201,$M175)&gt;0,
     COUNTIFS($W$3:$W$201,$M175)&gt;0,
     COUNTIFS($X$3:$X$201,$M175)&gt;0,
     COUNTIFS($Y$3:$Y$201,$M175)&gt;0,
     COUNTIFS($Z$3:$Z$201,$M175)&gt;0,
     COUNTIFS($AA$3:$AA$201,$M175)&gt;0,
     COUNTIFS($AB$3:$AB$201,$M175)&gt;0,
     COUNTIFS($AC$3:$AC$201,$M175)&gt;0,
     COUNTIFS($AD$3:$AD$201,$M175)&gt;0,
     COUNTIFS($AE$3:$AE$201,$M175)&gt;0,
     COUNTIFS($AF$3:$AF$201,$M175)&gt;0,
     COUNTIFS($AG$3:$AG$201,$M175)&gt;0,
     COUNTIFS($AH$3:$AH$201,$M175)&gt;0,
     COUNTIFS($AI$3:$AI$201,$M175)&gt;0,
     COUNTIFS($AJ$3:$AJ$201,$M175)&gt;0,
     COUNTIFS($AK$3:$AK$201,$M175)&gt;0,
     COUNTIFS($AL$3:$AL$201,$M175)&gt;0,
     COUNTIFS($AM$3:$AM$201,$M175)&gt;0,
     COUNTIFS($AN$3:$AN$201,$M175)&gt;0,
     COUNTIFS($AO$3:$AO$201,$M175)&gt;0,
     COUNTIFS($AP$3:$AP$201,$M175)&gt;0,
     COUNTIFS($AQ$3:$AQ$201,$M175)&gt;0,
     COUNTIFS($AR$3:$AR$201,$M175)&gt;0,
     COUNTIFS($AS$3:$AS$201,$M175)&gt;0,
     COUNTIFS($AT$3:$AT$201,$M175)&gt;0,
     COUNTIFS($AU$3:$AU$201,$M175)&gt;0,
     COUNTIFS($AV$3:$AV$201,$M175)&gt;0,
     COUNTIFS($AW$3:$AW$201,$M175)&gt;0
   )),
  ),
  2
 ),
"")</f>
        <v/>
      </c>
      <c r="Q175" s="3" t="str" cm="1">
        <f t="array" aca="1" ref="Q175" ca="1">IFERROR(
 INDEX(
  _xlfn._xlws.FILTER($T$2:$AW$2,
   TRANSPOSE(
    CHOOSE({1;2;3;4;5;6;7;8;9;10;11;12;13;14;15;16;17;18;19;20;21;22;23;24;25;26;27;28;29;30},
     COUNTIFS($T$3:$T$201,$M175)&gt;0,
     COUNTIFS($U$3:$U$201,$M175)&gt;0,
     COUNTIFS($V$3:$V$201,$M175)&gt;0,
     COUNTIFS($W$3:$W$201,$M175)&gt;0,
     COUNTIFS($X$3:$X$201,$M175)&gt;0,
     COUNTIFS($Y$3:$Y$201,$M175)&gt;0,
     COUNTIFS($Z$3:$Z$201,$M175)&gt;0,
     COUNTIFS($AA$3:$AA$201,$M175)&gt;0,
     COUNTIFS($AB$3:$AB$201,$M175)&gt;0,
     COUNTIFS($AC$3:$AC$201,$M175)&gt;0,
     COUNTIFS($AD$3:$AD$201,$M175)&gt;0,
     COUNTIFS($AE$3:$AE$201,$M175)&gt;0,
     COUNTIFS($AF$3:$AF$201,$M175)&gt;0,
     COUNTIFS($AG$3:$AG$201,$M175)&gt;0,
     COUNTIFS($AH$3:$AH$201,$M175)&gt;0,
     COUNTIFS($AI$3:$AI$201,$M175)&gt;0,
     COUNTIFS($AJ$3:$AJ$201,$M175)&gt;0,
     COUNTIFS($AK$3:$AK$201,$M175)&gt;0,
     COUNTIFS($AL$3:$AL$201,$M175)&gt;0,
     COUNTIFS($AM$3:$AM$201,$M175)&gt;0,
     COUNTIFS($AN$3:$AN$201,$M175)&gt;0,
     COUNTIFS($AO$3:$AO$201,$M175)&gt;0,
     COUNTIFS($AP$3:$AP$201,$M175)&gt;0,
     COUNTIFS($AQ$3:$AQ$201,$M175)&gt;0,
     COUNTIFS($AR$3:$AR$201,$M175)&gt;0,
     COUNTIFS($AS$3:$AS$201,$M175)&gt;0,
     COUNTIFS($AT$3:$AT$201,$M175)&gt;0,
     COUNTIFS($AU$3:$AU$201,$M175)&gt;0,
     COUNTIFS($AV$3:$AV$201,$M175)&gt;0,
     COUNTIFS($AW$3:$AW$201,$M175)&gt;0
   )),
  ),
  3
 ),
"")</f>
        <v/>
      </c>
      <c r="R175" s="3" t="str" cm="1">
        <f t="array" aca="1" ref="R175" ca="1">IFERROR(
 INDEX(
  _xlfn._xlws.FILTER($T$2:$AW$2,
   TRANSPOSE(
    CHOOSE({1;2;3;4;5;6;7;8;9;10;11;12;13;14;15;16;17;18;19;20;21;22;23;24;25;26;27;28;29;30},
     COUNTIFS($T$3:$T$201,$M175)&gt;0,
     COUNTIFS($U$3:$U$201,$M175)&gt;0,
     COUNTIFS($V$3:$V$201,$M175)&gt;0,
     COUNTIFS($W$3:$W$201,$M175)&gt;0,
     COUNTIFS($X$3:$X$201,$M175)&gt;0,
     COUNTIFS($Y$3:$Y$201,$M175)&gt;0,
     COUNTIFS($Z$3:$Z$201,$M175)&gt;0,
     COUNTIFS($AA$3:$AA$201,$M175)&gt;0,
     COUNTIFS($AB$3:$AB$201,$M175)&gt;0,
     COUNTIFS($AC$3:$AC$201,$M175)&gt;0,
     COUNTIFS($AD$3:$AD$201,$M175)&gt;0,
     COUNTIFS($AE$3:$AE$201,$M175)&gt;0,
     COUNTIFS($AF$3:$AF$201,$M175)&gt;0,
     COUNTIFS($AG$3:$AG$201,$M175)&gt;0,
     COUNTIFS($AH$3:$AH$201,$M175)&gt;0,
     COUNTIFS($AI$3:$AI$201,$M175)&gt;0,
     COUNTIFS($AJ$3:$AJ$201,$M175)&gt;0,
     COUNTIFS($AK$3:$AK$201,$M175)&gt;0,
     COUNTIFS($AL$3:$AL$201,$M175)&gt;0,
     COUNTIFS($AM$3:$AM$201,$M175)&gt;0,
     COUNTIFS($AN$3:$AN$201,$M175)&gt;0,
     COUNTIFS($AO$3:$AO$201,$M175)&gt;0,
     COUNTIFS($AP$3:$AP$201,$M175)&gt;0,
     COUNTIFS($AQ$3:$AQ$201,$M175)&gt;0,
     COUNTIFS($AR$3:$AR$201,$M175)&gt;0,
     COUNTIFS($AS$3:$AS$201,$M175)&gt;0,
     COUNTIFS($AT$3:$AT$201,$M175)&gt;0,
     COUNTIFS($AU$3:$AU$201,$M175)&gt;0,
     COUNTIFS($AV$3:$AV$201,$M175)&gt;0,
     COUNTIFS($AW$3:$AW$201,$M175)&gt;0
   )),
  ),
  4
 ),
"")</f>
        <v/>
      </c>
      <c r="CF175" t="str">
        <f ca="1"/>
        <v>Sulfur Falls</v>
      </c>
      <c r="CI175" t="str">
        <f ca="1"/>
        <v>Plaguecrafter</v>
      </c>
    </row>
    <row r="176" spans="1:87" x14ac:dyDescent="0.25">
      <c r="A176" t="str">
        <f ca="1"/>
        <v>Mistrise Village</v>
      </c>
      <c r="B176" s="3" t="str" cm="1">
        <f t="array" aca="1" ref="B176" ca="1">_xlfn.ANCHORARRAY(RESUMO!C175)</f>
        <v>JhoiraB</v>
      </c>
      <c r="C176" s="3" t="str">
        <f t="shared" ca="1" si="8"/>
        <v/>
      </c>
      <c r="E176" t="str">
        <f ca="1"/>
        <v>Plains</v>
      </c>
      <c r="F176" s="3">
        <f t="shared" ca="1" si="9"/>
        <v>5</v>
      </c>
      <c r="G176" s="3" t="str">
        <f t="shared" ca="1" si="10"/>
        <v>Baylen</v>
      </c>
      <c r="M176" t="str">
        <f ca="1"/>
        <v>Plains</v>
      </c>
      <c r="N176" s="3">
        <f t="shared" ca="1" si="11"/>
        <v>5</v>
      </c>
      <c r="O176" s="3" t="str">
        <f ca="1">IFERROR(
 INDEX($T$2:$AW$2,
  MATCH(TRUE,
   CHOOSE({1;2;3;4;5;6;7;8;9;10;11;12;13;14;15;16;17;18;19;20;21;22;23;24;25;26;27;28;29;30;31;32},
    COUNTIFS($T$3:$T$201,$M176)&gt;0,
    COUNTIFS($U$3:$U$201,$M176)&gt;0,
    COUNTIFS($V$3:$V$201,$M176)&gt;0,
    COUNTIFS($W$3:$W$201,$M176)&gt;0,
    COUNTIFS($X$3:$X$201,$M176)&gt;0,
    COUNTIFS($Y$3:$Y$201,$M176)&gt;0,
    COUNTIFS($Z$3:$Z$201,$M176)&gt;0,
    COUNTIFS($AA$3:$AA$201,$M176)&gt;0,
    COUNTIFS($AB$3:$AB$201,$M176)&gt;0,
    COUNTIFS($AC$3:$AC$201,$M176)&gt;0,
    COUNTIFS($AD$3:$AD$201,$M176)&gt;0,
    COUNTIFS($AE$3:$AE$201,$M176)&gt;0,
    COUNTIFS($AF$3:$AF$201,$M176)&gt;0,
    COUNTIFS($AG$3:$AG$201,$M176)&gt;0,
    COUNTIFS($AH$3:$AH$201,$M176)&gt;0,
    COUNTIFS($AI$3:$AI$201,$M176)&gt;0,
    COUNTIFS($AJ$3:$AJ$201,$M176)&gt;0,
    COUNTIFS($AK$3:$AK$201,$M176)&gt;0,
    COUNTIFS($AL$3:$AL$201,$M176)&gt;0,
    COUNTIFS($AM$3:$AM$201,$M176)&gt;0,
    COUNTIFS($AN$3:$AN$201,$M176)&gt;0,
    COUNTIFS($AO$3:$AO$201,$M176)&gt;0,
    COUNTIFS($AP$3:$AP$201,$M176)&gt;0,
    COUNTIFS($AQ$3:$AQ$201,$M176)&gt;0,
    COUNTIFS($AR$3:$AR$201,$M176)&gt;0,
    COUNTIFS($AS$3:$AS$201,$M176)&gt;0,
    COUNTIFS($AT$3:$AT$201,$M176)&gt;0,
    COUNTIFS($AU$3:$AU$201,$M176)&gt;0,
    COUNTIFS($AV$3:$AV$201,$M176)&gt;0,
    COUNTIFS($AW$3:$AW$201,$M176)&gt;0
   ),
  0)
 ),
"")</f>
        <v>Baylen</v>
      </c>
      <c r="P176" s="3" t="str" cm="1">
        <f t="array" aca="1" ref="P176" ca="1">IFERROR(
 INDEX(
  _xlfn._xlws.FILTER($T$2:$AW$2,
   TRANSPOSE(
    CHOOSE({1;2;3;4;5;6;7;8;9;10;11;12;13;14;15;16;17;18;19;20;21;22;23;24;25;26;27;28;29;30},
     COUNTIFS($T$3:$T$201,$M176)&gt;0,
     COUNTIFS($U$3:$U$201,$M176)&gt;0,
     COUNTIFS($V$3:$V$201,$M176)&gt;0,
     COUNTIFS($W$3:$W$201,$M176)&gt;0,
     COUNTIFS($X$3:$X$201,$M176)&gt;0,
     COUNTIFS($Y$3:$Y$201,$M176)&gt;0,
     COUNTIFS($Z$3:$Z$201,$M176)&gt;0,
     COUNTIFS($AA$3:$AA$201,$M176)&gt;0,
     COUNTIFS($AB$3:$AB$201,$M176)&gt;0,
     COUNTIFS($AC$3:$AC$201,$M176)&gt;0,
     COUNTIFS($AD$3:$AD$201,$M176)&gt;0,
     COUNTIFS($AE$3:$AE$201,$M176)&gt;0,
     COUNTIFS($AF$3:$AF$201,$M176)&gt;0,
     COUNTIFS($AG$3:$AG$201,$M176)&gt;0,
     COUNTIFS($AH$3:$AH$201,$M176)&gt;0,
     COUNTIFS($AI$3:$AI$201,$M176)&gt;0,
     COUNTIFS($AJ$3:$AJ$201,$M176)&gt;0,
     COUNTIFS($AK$3:$AK$201,$M176)&gt;0,
     COUNTIFS($AL$3:$AL$201,$M176)&gt;0,
     COUNTIFS($AM$3:$AM$201,$M176)&gt;0,
     COUNTIFS($AN$3:$AN$201,$M176)&gt;0,
     COUNTIFS($AO$3:$AO$201,$M176)&gt;0,
     COUNTIFS($AP$3:$AP$201,$M176)&gt;0,
     COUNTIFS($AQ$3:$AQ$201,$M176)&gt;0,
     COUNTIFS($AR$3:$AR$201,$M176)&gt;0,
     COUNTIFS($AS$3:$AS$201,$M176)&gt;0,
     COUNTIFS($AT$3:$AT$201,$M176)&gt;0,
     COUNTIFS($AU$3:$AU$201,$M176)&gt;0,
     COUNTIFS($AV$3:$AV$201,$M176)&gt;0,
     COUNTIFS($AW$3:$AW$201,$M176)&gt;0
   )),
  ),
  2
 ),
"")</f>
        <v>Narset</v>
      </c>
      <c r="Q176" s="3" t="str" cm="1">
        <f t="array" aca="1" ref="Q176" ca="1">IFERROR(
 INDEX(
  _xlfn._xlws.FILTER($T$2:$AW$2,
   TRANSPOSE(
    CHOOSE({1;2;3;4;5;6;7;8;9;10;11;12;13;14;15;16;17;18;19;20;21;22;23;24;25;26;27;28;29;30},
     COUNTIFS($T$3:$T$201,$M176)&gt;0,
     COUNTIFS($U$3:$U$201,$M176)&gt;0,
     COUNTIFS($V$3:$V$201,$M176)&gt;0,
     COUNTIFS($W$3:$W$201,$M176)&gt;0,
     COUNTIFS($X$3:$X$201,$M176)&gt;0,
     COUNTIFS($Y$3:$Y$201,$M176)&gt;0,
     COUNTIFS($Z$3:$Z$201,$M176)&gt;0,
     COUNTIFS($AA$3:$AA$201,$M176)&gt;0,
     COUNTIFS($AB$3:$AB$201,$M176)&gt;0,
     COUNTIFS($AC$3:$AC$201,$M176)&gt;0,
     COUNTIFS($AD$3:$AD$201,$M176)&gt;0,
     COUNTIFS($AE$3:$AE$201,$M176)&gt;0,
     COUNTIFS($AF$3:$AF$201,$M176)&gt;0,
     COUNTIFS($AG$3:$AG$201,$M176)&gt;0,
     COUNTIFS($AH$3:$AH$201,$M176)&gt;0,
     COUNTIFS($AI$3:$AI$201,$M176)&gt;0,
     COUNTIFS($AJ$3:$AJ$201,$M176)&gt;0,
     COUNTIFS($AK$3:$AK$201,$M176)&gt;0,
     COUNTIFS($AL$3:$AL$201,$M176)&gt;0,
     COUNTIFS($AM$3:$AM$201,$M176)&gt;0,
     COUNTIFS($AN$3:$AN$201,$M176)&gt;0,
     COUNTIFS($AO$3:$AO$201,$M176)&gt;0,
     COUNTIFS($AP$3:$AP$201,$M176)&gt;0,
     COUNTIFS($AQ$3:$AQ$201,$M176)&gt;0,
     COUNTIFS($AR$3:$AR$201,$M176)&gt;0,
     COUNTIFS($AS$3:$AS$201,$M176)&gt;0,
     COUNTIFS($AT$3:$AT$201,$M176)&gt;0,
     COUNTIFS($AU$3:$AU$201,$M176)&gt;0,
     COUNTIFS($AV$3:$AV$201,$M176)&gt;0,
     COUNTIFS($AW$3:$AW$201,$M176)&gt;0
   )),
  ),
  3
 ),
"")</f>
        <v>Carlos</v>
      </c>
      <c r="R176" s="3" t="str" cm="1">
        <f t="array" aca="1" ref="R176" ca="1">IFERROR(
 INDEX(
  _xlfn._xlws.FILTER($T$2:$AW$2,
   TRANSPOSE(
    CHOOSE({1;2;3;4;5;6;7;8;9;10;11;12;13;14;15;16;17;18;19;20;21;22;23;24;25;26;27;28;29;30},
     COUNTIFS($T$3:$T$201,$M176)&gt;0,
     COUNTIFS($U$3:$U$201,$M176)&gt;0,
     COUNTIFS($V$3:$V$201,$M176)&gt;0,
     COUNTIFS($W$3:$W$201,$M176)&gt;0,
     COUNTIFS($X$3:$X$201,$M176)&gt;0,
     COUNTIFS($Y$3:$Y$201,$M176)&gt;0,
     COUNTIFS($Z$3:$Z$201,$M176)&gt;0,
     COUNTIFS($AA$3:$AA$201,$M176)&gt;0,
     COUNTIFS($AB$3:$AB$201,$M176)&gt;0,
     COUNTIFS($AC$3:$AC$201,$M176)&gt;0,
     COUNTIFS($AD$3:$AD$201,$M176)&gt;0,
     COUNTIFS($AE$3:$AE$201,$M176)&gt;0,
     COUNTIFS($AF$3:$AF$201,$M176)&gt;0,
     COUNTIFS($AG$3:$AG$201,$M176)&gt;0,
     COUNTIFS($AH$3:$AH$201,$M176)&gt;0,
     COUNTIFS($AI$3:$AI$201,$M176)&gt;0,
     COUNTIFS($AJ$3:$AJ$201,$M176)&gt;0,
     COUNTIFS($AK$3:$AK$201,$M176)&gt;0,
     COUNTIFS($AL$3:$AL$201,$M176)&gt;0,
     COUNTIFS($AM$3:$AM$201,$M176)&gt;0,
     COUNTIFS($AN$3:$AN$201,$M176)&gt;0,
     COUNTIFS($AO$3:$AO$201,$M176)&gt;0,
     COUNTIFS($AP$3:$AP$201,$M176)&gt;0,
     COUNTIFS($AQ$3:$AQ$201,$M176)&gt;0,
     COUNTIFS($AR$3:$AR$201,$M176)&gt;0,
     COUNTIFS($AS$3:$AS$201,$M176)&gt;0,
     COUNTIFS($AT$3:$AT$201,$M176)&gt;0,
     COUNTIFS($AU$3:$AU$201,$M176)&gt;0,
     COUNTIFS($AV$3:$AV$201,$M176)&gt;0,
     COUNTIFS($AW$3:$AW$201,$M176)&gt;0
   )),
  ),
  4
 ),
"")</f>
        <v/>
      </c>
      <c r="CF176" t="str">
        <f ca="1"/>
        <v>Supreme Verdict</v>
      </c>
      <c r="CI176" t="str">
        <f ca="1"/>
        <v>Plains</v>
      </c>
    </row>
    <row r="177" spans="1:87" x14ac:dyDescent="0.25">
      <c r="A177" t="str">
        <f ca="1"/>
        <v>Misty Rainforest</v>
      </c>
      <c r="B177" s="3" t="str" cm="1">
        <f t="array" aca="1" ref="B177" ca="1">_xlfn.ANCHORARRAY(RESUMO!C176)</f>
        <v>Zimone</v>
      </c>
      <c r="C177" s="3" t="str">
        <f t="shared" ca="1" si="8"/>
        <v/>
      </c>
      <c r="E177" t="str">
        <f ca="1"/>
        <v>Planície</v>
      </c>
      <c r="F177" s="3">
        <f t="shared" ca="1" si="9"/>
        <v>3</v>
      </c>
      <c r="G177" s="3" t="str">
        <f t="shared" ca="1" si="10"/>
        <v>Alela</v>
      </c>
      <c r="M177" t="str">
        <f ca="1"/>
        <v>Planície</v>
      </c>
      <c r="N177" s="3">
        <f t="shared" ca="1" si="11"/>
        <v>3</v>
      </c>
      <c r="O177" s="3" t="str">
        <f ca="1">IFERROR(
 INDEX($T$2:$AW$2,
  MATCH(TRUE,
   CHOOSE({1;2;3;4;5;6;7;8;9;10;11;12;13;14;15;16;17;18;19;20;21;22;23;24;25;26;27;28;29;30;31;32},
    COUNTIFS($T$3:$T$201,$M177)&gt;0,
    COUNTIFS($U$3:$U$201,$M177)&gt;0,
    COUNTIFS($V$3:$V$201,$M177)&gt;0,
    COUNTIFS($W$3:$W$201,$M177)&gt;0,
    COUNTIFS($X$3:$X$201,$M177)&gt;0,
    COUNTIFS($Y$3:$Y$201,$M177)&gt;0,
    COUNTIFS($Z$3:$Z$201,$M177)&gt;0,
    COUNTIFS($AA$3:$AA$201,$M177)&gt;0,
    COUNTIFS($AB$3:$AB$201,$M177)&gt;0,
    COUNTIFS($AC$3:$AC$201,$M177)&gt;0,
    COUNTIFS($AD$3:$AD$201,$M177)&gt;0,
    COUNTIFS($AE$3:$AE$201,$M177)&gt;0,
    COUNTIFS($AF$3:$AF$201,$M177)&gt;0,
    COUNTIFS($AG$3:$AG$201,$M177)&gt;0,
    COUNTIFS($AH$3:$AH$201,$M177)&gt;0,
    COUNTIFS($AI$3:$AI$201,$M177)&gt;0,
    COUNTIFS($AJ$3:$AJ$201,$M177)&gt;0,
    COUNTIFS($AK$3:$AK$201,$M177)&gt;0,
    COUNTIFS($AL$3:$AL$201,$M177)&gt;0,
    COUNTIFS($AM$3:$AM$201,$M177)&gt;0,
    COUNTIFS($AN$3:$AN$201,$M177)&gt;0,
    COUNTIFS($AO$3:$AO$201,$M177)&gt;0,
    COUNTIFS($AP$3:$AP$201,$M177)&gt;0,
    COUNTIFS($AQ$3:$AQ$201,$M177)&gt;0,
    COUNTIFS($AR$3:$AR$201,$M177)&gt;0,
    COUNTIFS($AS$3:$AS$201,$M177)&gt;0,
    COUNTIFS($AT$3:$AT$201,$M177)&gt;0,
    COUNTIFS($AU$3:$AU$201,$M177)&gt;0,
    COUNTIFS($AV$3:$AV$201,$M177)&gt;0,
    COUNTIFS($AW$3:$AW$201,$M177)&gt;0
   ),
  0)
 ),
"")</f>
        <v>Alela</v>
      </c>
      <c r="P177" s="3" t="str" cm="1">
        <f t="array" aca="1" ref="P177" ca="1">IFERROR(
 INDEX(
  _xlfn._xlws.FILTER($T$2:$AW$2,
   TRANSPOSE(
    CHOOSE({1;2;3;4;5;6;7;8;9;10;11;12;13;14;15;16;17;18;19;20;21;22;23;24;25;26;27;28;29;30},
     COUNTIFS($T$3:$T$201,$M177)&gt;0,
     COUNTIFS($U$3:$U$201,$M177)&gt;0,
     COUNTIFS($V$3:$V$201,$M177)&gt;0,
     COUNTIFS($W$3:$W$201,$M177)&gt;0,
     COUNTIFS($X$3:$X$201,$M177)&gt;0,
     COUNTIFS($Y$3:$Y$201,$M177)&gt;0,
     COUNTIFS($Z$3:$Z$201,$M177)&gt;0,
     COUNTIFS($AA$3:$AA$201,$M177)&gt;0,
     COUNTIFS($AB$3:$AB$201,$M177)&gt;0,
     COUNTIFS($AC$3:$AC$201,$M177)&gt;0,
     COUNTIFS($AD$3:$AD$201,$M177)&gt;0,
     COUNTIFS($AE$3:$AE$201,$M177)&gt;0,
     COUNTIFS($AF$3:$AF$201,$M177)&gt;0,
     COUNTIFS($AG$3:$AG$201,$M177)&gt;0,
     COUNTIFS($AH$3:$AH$201,$M177)&gt;0,
     COUNTIFS($AI$3:$AI$201,$M177)&gt;0,
     COUNTIFS($AJ$3:$AJ$201,$M177)&gt;0,
     COUNTIFS($AK$3:$AK$201,$M177)&gt;0,
     COUNTIFS($AL$3:$AL$201,$M177)&gt;0,
     COUNTIFS($AM$3:$AM$201,$M177)&gt;0,
     COUNTIFS($AN$3:$AN$201,$M177)&gt;0,
     COUNTIFS($AO$3:$AO$201,$M177)&gt;0,
     COUNTIFS($AP$3:$AP$201,$M177)&gt;0,
     COUNTIFS($AQ$3:$AQ$201,$M177)&gt;0,
     COUNTIFS($AR$3:$AR$201,$M177)&gt;0,
     COUNTIFS($AS$3:$AS$201,$M177)&gt;0,
     COUNTIFS($AT$3:$AT$201,$M177)&gt;0,
     COUNTIFS($AU$3:$AU$201,$M177)&gt;0,
     COUNTIFS($AV$3:$AV$201,$M177)&gt;0,
     COUNTIFS($AW$3:$AW$201,$M177)&gt;0
   )),
  ),
  2
 ),
"")</f>
        <v/>
      </c>
      <c r="Q177" s="3" t="str" cm="1">
        <f t="array" aca="1" ref="Q177" ca="1">IFERROR(
 INDEX(
  _xlfn._xlws.FILTER($T$2:$AW$2,
   TRANSPOSE(
    CHOOSE({1;2;3;4;5;6;7;8;9;10;11;12;13;14;15;16;17;18;19;20;21;22;23;24;25;26;27;28;29;30},
     COUNTIFS($T$3:$T$201,$M177)&gt;0,
     COUNTIFS($U$3:$U$201,$M177)&gt;0,
     COUNTIFS($V$3:$V$201,$M177)&gt;0,
     COUNTIFS($W$3:$W$201,$M177)&gt;0,
     COUNTIFS($X$3:$X$201,$M177)&gt;0,
     COUNTIFS($Y$3:$Y$201,$M177)&gt;0,
     COUNTIFS($Z$3:$Z$201,$M177)&gt;0,
     COUNTIFS($AA$3:$AA$201,$M177)&gt;0,
     COUNTIFS($AB$3:$AB$201,$M177)&gt;0,
     COUNTIFS($AC$3:$AC$201,$M177)&gt;0,
     COUNTIFS($AD$3:$AD$201,$M177)&gt;0,
     COUNTIFS($AE$3:$AE$201,$M177)&gt;0,
     COUNTIFS($AF$3:$AF$201,$M177)&gt;0,
     COUNTIFS($AG$3:$AG$201,$M177)&gt;0,
     COUNTIFS($AH$3:$AH$201,$M177)&gt;0,
     COUNTIFS($AI$3:$AI$201,$M177)&gt;0,
     COUNTIFS($AJ$3:$AJ$201,$M177)&gt;0,
     COUNTIFS($AK$3:$AK$201,$M177)&gt;0,
     COUNTIFS($AL$3:$AL$201,$M177)&gt;0,
     COUNTIFS($AM$3:$AM$201,$M177)&gt;0,
     COUNTIFS($AN$3:$AN$201,$M177)&gt;0,
     COUNTIFS($AO$3:$AO$201,$M177)&gt;0,
     COUNTIFS($AP$3:$AP$201,$M177)&gt;0,
     COUNTIFS($AQ$3:$AQ$201,$M177)&gt;0,
     COUNTIFS($AR$3:$AR$201,$M177)&gt;0,
     COUNTIFS($AS$3:$AS$201,$M177)&gt;0,
     COUNTIFS($AT$3:$AT$201,$M177)&gt;0,
     COUNTIFS($AU$3:$AU$201,$M177)&gt;0,
     COUNTIFS($AV$3:$AV$201,$M177)&gt;0,
     COUNTIFS($AW$3:$AW$201,$M177)&gt;0
   )),
  ),
  3
 ),
"")</f>
        <v/>
      </c>
      <c r="R177" s="3" t="str" cm="1">
        <f t="array" aca="1" ref="R177" ca="1">IFERROR(
 INDEX(
  _xlfn._xlws.FILTER($T$2:$AW$2,
   TRANSPOSE(
    CHOOSE({1;2;3;4;5;6;7;8;9;10;11;12;13;14;15;16;17;18;19;20;21;22;23;24;25;26;27;28;29;30},
     COUNTIFS($T$3:$T$201,$M177)&gt;0,
     COUNTIFS($U$3:$U$201,$M177)&gt;0,
     COUNTIFS($V$3:$V$201,$M177)&gt;0,
     COUNTIFS($W$3:$W$201,$M177)&gt;0,
     COUNTIFS($X$3:$X$201,$M177)&gt;0,
     COUNTIFS($Y$3:$Y$201,$M177)&gt;0,
     COUNTIFS($Z$3:$Z$201,$M177)&gt;0,
     COUNTIFS($AA$3:$AA$201,$M177)&gt;0,
     COUNTIFS($AB$3:$AB$201,$M177)&gt;0,
     COUNTIFS($AC$3:$AC$201,$M177)&gt;0,
     COUNTIFS($AD$3:$AD$201,$M177)&gt;0,
     COUNTIFS($AE$3:$AE$201,$M177)&gt;0,
     COUNTIFS($AF$3:$AF$201,$M177)&gt;0,
     COUNTIFS($AG$3:$AG$201,$M177)&gt;0,
     COUNTIFS($AH$3:$AH$201,$M177)&gt;0,
     COUNTIFS($AI$3:$AI$201,$M177)&gt;0,
     COUNTIFS($AJ$3:$AJ$201,$M177)&gt;0,
     COUNTIFS($AK$3:$AK$201,$M177)&gt;0,
     COUNTIFS($AL$3:$AL$201,$M177)&gt;0,
     COUNTIFS($AM$3:$AM$201,$M177)&gt;0,
     COUNTIFS($AN$3:$AN$201,$M177)&gt;0,
     COUNTIFS($AO$3:$AO$201,$M177)&gt;0,
     COUNTIFS($AP$3:$AP$201,$M177)&gt;0,
     COUNTIFS($AQ$3:$AQ$201,$M177)&gt;0,
     COUNTIFS($AR$3:$AR$201,$M177)&gt;0,
     COUNTIFS($AS$3:$AS$201,$M177)&gt;0,
     COUNTIFS($AT$3:$AT$201,$M177)&gt;0,
     COUNTIFS($AU$3:$AU$201,$M177)&gt;0,
     COUNTIFS($AV$3:$AV$201,$M177)&gt;0,
     COUNTIFS($AW$3:$AW$201,$M177)&gt;0
   )),
  ),
  4
 ),
"")</f>
        <v/>
      </c>
      <c r="CF177" t="str">
        <f ca="1"/>
        <v>Surto da Salvação</v>
      </c>
      <c r="CI177" t="str">
        <f ca="1"/>
        <v>Planície</v>
      </c>
    </row>
    <row r="178" spans="1:87" x14ac:dyDescent="0.25">
      <c r="A178" t="str">
        <f ca="1"/>
        <v>Molten Echoes</v>
      </c>
      <c r="B178" s="3" t="str" cm="1">
        <f t="array" aca="1" ref="B178" ca="1">_xlfn.ANCHORARRAY(RESUMO!C177)</f>
        <v>Inalla</v>
      </c>
      <c r="C178" s="3" t="str">
        <f t="shared" ca="1" si="8"/>
        <v/>
      </c>
      <c r="E178" t="str">
        <f ca="1"/>
        <v>Polimorfismo em Massa</v>
      </c>
      <c r="F178" s="3">
        <f t="shared" ca="1" si="9"/>
        <v>1</v>
      </c>
      <c r="G178" s="3" t="str">
        <f t="shared" ca="1" si="10"/>
        <v>Piratas</v>
      </c>
      <c r="M178" t="str">
        <f ca="1"/>
        <v>Polimorfismo em Massa</v>
      </c>
      <c r="N178" s="3">
        <f t="shared" ca="1" si="11"/>
        <v>1</v>
      </c>
      <c r="O178" s="3" t="str">
        <f ca="1">IFERROR(
 INDEX($T$2:$AW$2,
  MATCH(TRUE,
   CHOOSE({1;2;3;4;5;6;7;8;9;10;11;12;13;14;15;16;17;18;19;20;21;22;23;24;25;26;27;28;29;30;31;32},
    COUNTIFS($T$3:$T$201,$M178)&gt;0,
    COUNTIFS($U$3:$U$201,$M178)&gt;0,
    COUNTIFS($V$3:$V$201,$M178)&gt;0,
    COUNTIFS($W$3:$W$201,$M178)&gt;0,
    COUNTIFS($X$3:$X$201,$M178)&gt;0,
    COUNTIFS($Y$3:$Y$201,$M178)&gt;0,
    COUNTIFS($Z$3:$Z$201,$M178)&gt;0,
    COUNTIFS($AA$3:$AA$201,$M178)&gt;0,
    COUNTIFS($AB$3:$AB$201,$M178)&gt;0,
    COUNTIFS($AC$3:$AC$201,$M178)&gt;0,
    COUNTIFS($AD$3:$AD$201,$M178)&gt;0,
    COUNTIFS($AE$3:$AE$201,$M178)&gt;0,
    COUNTIFS($AF$3:$AF$201,$M178)&gt;0,
    COUNTIFS($AG$3:$AG$201,$M178)&gt;0,
    COUNTIFS($AH$3:$AH$201,$M178)&gt;0,
    COUNTIFS($AI$3:$AI$201,$M178)&gt;0,
    COUNTIFS($AJ$3:$AJ$201,$M178)&gt;0,
    COUNTIFS($AK$3:$AK$201,$M178)&gt;0,
    COUNTIFS($AL$3:$AL$201,$M178)&gt;0,
    COUNTIFS($AM$3:$AM$201,$M178)&gt;0,
    COUNTIFS($AN$3:$AN$201,$M178)&gt;0,
    COUNTIFS($AO$3:$AO$201,$M178)&gt;0,
    COUNTIFS($AP$3:$AP$201,$M178)&gt;0,
    COUNTIFS($AQ$3:$AQ$201,$M178)&gt;0,
    COUNTIFS($AR$3:$AR$201,$M178)&gt;0,
    COUNTIFS($AS$3:$AS$201,$M178)&gt;0,
    COUNTIFS($AT$3:$AT$201,$M178)&gt;0,
    COUNTIFS($AU$3:$AU$201,$M178)&gt;0,
    COUNTIFS($AV$3:$AV$201,$M178)&gt;0,
    COUNTIFS($AW$3:$AW$201,$M178)&gt;0
   ),
  0)
 ),
"")</f>
        <v>Piratas</v>
      </c>
      <c r="P178" s="3" t="str" cm="1">
        <f t="array" aca="1" ref="P178" ca="1">IFERROR(
 INDEX(
  _xlfn._xlws.FILTER($T$2:$AW$2,
   TRANSPOSE(
    CHOOSE({1;2;3;4;5;6;7;8;9;10;11;12;13;14;15;16;17;18;19;20;21;22;23;24;25;26;27;28;29;30},
     COUNTIFS($T$3:$T$201,$M178)&gt;0,
     COUNTIFS($U$3:$U$201,$M178)&gt;0,
     COUNTIFS($V$3:$V$201,$M178)&gt;0,
     COUNTIFS($W$3:$W$201,$M178)&gt;0,
     COUNTIFS($X$3:$X$201,$M178)&gt;0,
     COUNTIFS($Y$3:$Y$201,$M178)&gt;0,
     COUNTIFS($Z$3:$Z$201,$M178)&gt;0,
     COUNTIFS($AA$3:$AA$201,$M178)&gt;0,
     COUNTIFS($AB$3:$AB$201,$M178)&gt;0,
     COUNTIFS($AC$3:$AC$201,$M178)&gt;0,
     COUNTIFS($AD$3:$AD$201,$M178)&gt;0,
     COUNTIFS($AE$3:$AE$201,$M178)&gt;0,
     COUNTIFS($AF$3:$AF$201,$M178)&gt;0,
     COUNTIFS($AG$3:$AG$201,$M178)&gt;0,
     COUNTIFS($AH$3:$AH$201,$M178)&gt;0,
     COUNTIFS($AI$3:$AI$201,$M178)&gt;0,
     COUNTIFS($AJ$3:$AJ$201,$M178)&gt;0,
     COUNTIFS($AK$3:$AK$201,$M178)&gt;0,
     COUNTIFS($AL$3:$AL$201,$M178)&gt;0,
     COUNTIFS($AM$3:$AM$201,$M178)&gt;0,
     COUNTIFS($AN$3:$AN$201,$M178)&gt;0,
     COUNTIFS($AO$3:$AO$201,$M178)&gt;0,
     COUNTIFS($AP$3:$AP$201,$M178)&gt;0,
     COUNTIFS($AQ$3:$AQ$201,$M178)&gt;0,
     COUNTIFS($AR$3:$AR$201,$M178)&gt;0,
     COUNTIFS($AS$3:$AS$201,$M178)&gt;0,
     COUNTIFS($AT$3:$AT$201,$M178)&gt;0,
     COUNTIFS($AU$3:$AU$201,$M178)&gt;0,
     COUNTIFS($AV$3:$AV$201,$M178)&gt;0,
     COUNTIFS($AW$3:$AW$201,$M178)&gt;0
   )),
  ),
  2
 ),
"")</f>
        <v/>
      </c>
      <c r="Q178" s="3" t="str" cm="1">
        <f t="array" aca="1" ref="Q178" ca="1">IFERROR(
 INDEX(
  _xlfn._xlws.FILTER($T$2:$AW$2,
   TRANSPOSE(
    CHOOSE({1;2;3;4;5;6;7;8;9;10;11;12;13;14;15;16;17;18;19;20;21;22;23;24;25;26;27;28;29;30},
     COUNTIFS($T$3:$T$201,$M178)&gt;0,
     COUNTIFS($U$3:$U$201,$M178)&gt;0,
     COUNTIFS($V$3:$V$201,$M178)&gt;0,
     COUNTIFS($W$3:$W$201,$M178)&gt;0,
     COUNTIFS($X$3:$X$201,$M178)&gt;0,
     COUNTIFS($Y$3:$Y$201,$M178)&gt;0,
     COUNTIFS($Z$3:$Z$201,$M178)&gt;0,
     COUNTIFS($AA$3:$AA$201,$M178)&gt;0,
     COUNTIFS($AB$3:$AB$201,$M178)&gt;0,
     COUNTIFS($AC$3:$AC$201,$M178)&gt;0,
     COUNTIFS($AD$3:$AD$201,$M178)&gt;0,
     COUNTIFS($AE$3:$AE$201,$M178)&gt;0,
     COUNTIFS($AF$3:$AF$201,$M178)&gt;0,
     COUNTIFS($AG$3:$AG$201,$M178)&gt;0,
     COUNTIFS($AH$3:$AH$201,$M178)&gt;0,
     COUNTIFS($AI$3:$AI$201,$M178)&gt;0,
     COUNTIFS($AJ$3:$AJ$201,$M178)&gt;0,
     COUNTIFS($AK$3:$AK$201,$M178)&gt;0,
     COUNTIFS($AL$3:$AL$201,$M178)&gt;0,
     COUNTIFS($AM$3:$AM$201,$M178)&gt;0,
     COUNTIFS($AN$3:$AN$201,$M178)&gt;0,
     COUNTIFS($AO$3:$AO$201,$M178)&gt;0,
     COUNTIFS($AP$3:$AP$201,$M178)&gt;0,
     COUNTIFS($AQ$3:$AQ$201,$M178)&gt;0,
     COUNTIFS($AR$3:$AR$201,$M178)&gt;0,
     COUNTIFS($AS$3:$AS$201,$M178)&gt;0,
     COUNTIFS($AT$3:$AT$201,$M178)&gt;0,
     COUNTIFS($AU$3:$AU$201,$M178)&gt;0,
     COUNTIFS($AV$3:$AV$201,$M178)&gt;0,
     COUNTIFS($AW$3:$AW$201,$M178)&gt;0
   )),
  ),
  3
 ),
"")</f>
        <v/>
      </c>
      <c r="R178" s="3" t="str" cm="1">
        <f t="array" aca="1" ref="R178" ca="1">IFERROR(
 INDEX(
  _xlfn._xlws.FILTER($T$2:$AW$2,
   TRANSPOSE(
    CHOOSE({1;2;3;4;5;6;7;8;9;10;11;12;13;14;15;16;17;18;19;20;21;22;23;24;25;26;27;28;29;30},
     COUNTIFS($T$3:$T$201,$M178)&gt;0,
     COUNTIFS($U$3:$U$201,$M178)&gt;0,
     COUNTIFS($V$3:$V$201,$M178)&gt;0,
     COUNTIFS($W$3:$W$201,$M178)&gt;0,
     COUNTIFS($X$3:$X$201,$M178)&gt;0,
     COUNTIFS($Y$3:$Y$201,$M178)&gt;0,
     COUNTIFS($Z$3:$Z$201,$M178)&gt;0,
     COUNTIFS($AA$3:$AA$201,$M178)&gt;0,
     COUNTIFS($AB$3:$AB$201,$M178)&gt;0,
     COUNTIFS($AC$3:$AC$201,$M178)&gt;0,
     COUNTIFS($AD$3:$AD$201,$M178)&gt;0,
     COUNTIFS($AE$3:$AE$201,$M178)&gt;0,
     COUNTIFS($AF$3:$AF$201,$M178)&gt;0,
     COUNTIFS($AG$3:$AG$201,$M178)&gt;0,
     COUNTIFS($AH$3:$AH$201,$M178)&gt;0,
     COUNTIFS($AI$3:$AI$201,$M178)&gt;0,
     COUNTIFS($AJ$3:$AJ$201,$M178)&gt;0,
     COUNTIFS($AK$3:$AK$201,$M178)&gt;0,
     COUNTIFS($AL$3:$AL$201,$M178)&gt;0,
     COUNTIFS($AM$3:$AM$201,$M178)&gt;0,
     COUNTIFS($AN$3:$AN$201,$M178)&gt;0,
     COUNTIFS($AO$3:$AO$201,$M178)&gt;0,
     COUNTIFS($AP$3:$AP$201,$M178)&gt;0,
     COUNTIFS($AQ$3:$AQ$201,$M178)&gt;0,
     COUNTIFS($AR$3:$AR$201,$M178)&gt;0,
     COUNTIFS($AS$3:$AS$201,$M178)&gt;0,
     COUNTIFS($AT$3:$AT$201,$M178)&gt;0,
     COUNTIFS($AU$3:$AU$201,$M178)&gt;0,
     COUNTIFS($AV$3:$AV$201,$M178)&gt;0,
     COUNTIFS($AW$3:$AW$201,$M178)&gt;0
   )),
  ),
  4
 ),
"")</f>
        <v/>
      </c>
      <c r="CF178" t="str">
        <f ca="1"/>
        <v>Swamp</v>
      </c>
      <c r="CI178" t="str">
        <f ca="1"/>
        <v>Polimorfismo em Massa</v>
      </c>
    </row>
    <row r="179" spans="1:87" x14ac:dyDescent="0.25">
      <c r="A179" t="str">
        <f ca="1"/>
        <v>Monastery Siege</v>
      </c>
      <c r="B179" s="3" t="str" cm="1">
        <f t="array" aca="1" ref="B179" ca="1">_xlfn.ANCHORARRAY(RESUMO!C178)</f>
        <v>Narset</v>
      </c>
      <c r="C179" s="3" t="str">
        <f t="shared" ca="1" si="8"/>
        <v/>
      </c>
      <c r="E179" t="str">
        <f ca="1"/>
        <v>Ponte Levadiça Esmagadora</v>
      </c>
      <c r="F179" s="3">
        <f t="shared" ca="1" si="9"/>
        <v>1</v>
      </c>
      <c r="G179" s="3" t="str">
        <f t="shared" ca="1" si="10"/>
        <v>Narset</v>
      </c>
      <c r="M179" t="str">
        <f ca="1"/>
        <v>Ponte Levadiça Esmagadora</v>
      </c>
      <c r="N179" s="3">
        <f t="shared" ca="1" si="11"/>
        <v>1</v>
      </c>
      <c r="O179" s="3" t="str">
        <f ca="1">IFERROR(
 INDEX($T$2:$AW$2,
  MATCH(TRUE,
   CHOOSE({1;2;3;4;5;6;7;8;9;10;11;12;13;14;15;16;17;18;19;20;21;22;23;24;25;26;27;28;29;30;31;32},
    COUNTIFS($T$3:$T$201,$M179)&gt;0,
    COUNTIFS($U$3:$U$201,$M179)&gt;0,
    COUNTIFS($V$3:$V$201,$M179)&gt;0,
    COUNTIFS($W$3:$W$201,$M179)&gt;0,
    COUNTIFS($X$3:$X$201,$M179)&gt;0,
    COUNTIFS($Y$3:$Y$201,$M179)&gt;0,
    COUNTIFS($Z$3:$Z$201,$M179)&gt;0,
    COUNTIFS($AA$3:$AA$201,$M179)&gt;0,
    COUNTIFS($AB$3:$AB$201,$M179)&gt;0,
    COUNTIFS($AC$3:$AC$201,$M179)&gt;0,
    COUNTIFS($AD$3:$AD$201,$M179)&gt;0,
    COUNTIFS($AE$3:$AE$201,$M179)&gt;0,
    COUNTIFS($AF$3:$AF$201,$M179)&gt;0,
    COUNTIFS($AG$3:$AG$201,$M179)&gt;0,
    COUNTIFS($AH$3:$AH$201,$M179)&gt;0,
    COUNTIFS($AI$3:$AI$201,$M179)&gt;0,
    COUNTIFS($AJ$3:$AJ$201,$M179)&gt;0,
    COUNTIFS($AK$3:$AK$201,$M179)&gt;0,
    COUNTIFS($AL$3:$AL$201,$M179)&gt;0,
    COUNTIFS($AM$3:$AM$201,$M179)&gt;0,
    COUNTIFS($AN$3:$AN$201,$M179)&gt;0,
    COUNTIFS($AO$3:$AO$201,$M179)&gt;0,
    COUNTIFS($AP$3:$AP$201,$M179)&gt;0,
    COUNTIFS($AQ$3:$AQ$201,$M179)&gt;0,
    COUNTIFS($AR$3:$AR$201,$M179)&gt;0,
    COUNTIFS($AS$3:$AS$201,$M179)&gt;0,
    COUNTIFS($AT$3:$AT$201,$M179)&gt;0,
    COUNTIFS($AU$3:$AU$201,$M179)&gt;0,
    COUNTIFS($AV$3:$AV$201,$M179)&gt;0,
    COUNTIFS($AW$3:$AW$201,$M179)&gt;0
   ),
  0)
 ),
"")</f>
        <v>Narset</v>
      </c>
      <c r="P179" s="3" t="str" cm="1">
        <f t="array" aca="1" ref="P179" ca="1">IFERROR(
 INDEX(
  _xlfn._xlws.FILTER($T$2:$AW$2,
   TRANSPOSE(
    CHOOSE({1;2;3;4;5;6;7;8;9;10;11;12;13;14;15;16;17;18;19;20;21;22;23;24;25;26;27;28;29;30},
     COUNTIFS($T$3:$T$201,$M179)&gt;0,
     COUNTIFS($U$3:$U$201,$M179)&gt;0,
     COUNTIFS($V$3:$V$201,$M179)&gt;0,
     COUNTIFS($W$3:$W$201,$M179)&gt;0,
     COUNTIFS($X$3:$X$201,$M179)&gt;0,
     COUNTIFS($Y$3:$Y$201,$M179)&gt;0,
     COUNTIFS($Z$3:$Z$201,$M179)&gt;0,
     COUNTIFS($AA$3:$AA$201,$M179)&gt;0,
     COUNTIFS($AB$3:$AB$201,$M179)&gt;0,
     COUNTIFS($AC$3:$AC$201,$M179)&gt;0,
     COUNTIFS($AD$3:$AD$201,$M179)&gt;0,
     COUNTIFS($AE$3:$AE$201,$M179)&gt;0,
     COUNTIFS($AF$3:$AF$201,$M179)&gt;0,
     COUNTIFS($AG$3:$AG$201,$M179)&gt;0,
     COUNTIFS($AH$3:$AH$201,$M179)&gt;0,
     COUNTIFS($AI$3:$AI$201,$M179)&gt;0,
     COUNTIFS($AJ$3:$AJ$201,$M179)&gt;0,
     COUNTIFS($AK$3:$AK$201,$M179)&gt;0,
     COUNTIFS($AL$3:$AL$201,$M179)&gt;0,
     COUNTIFS($AM$3:$AM$201,$M179)&gt;0,
     COUNTIFS($AN$3:$AN$201,$M179)&gt;0,
     COUNTIFS($AO$3:$AO$201,$M179)&gt;0,
     COUNTIFS($AP$3:$AP$201,$M179)&gt;0,
     COUNTIFS($AQ$3:$AQ$201,$M179)&gt;0,
     COUNTIFS($AR$3:$AR$201,$M179)&gt;0,
     COUNTIFS($AS$3:$AS$201,$M179)&gt;0,
     COUNTIFS($AT$3:$AT$201,$M179)&gt;0,
     COUNTIFS($AU$3:$AU$201,$M179)&gt;0,
     COUNTIFS($AV$3:$AV$201,$M179)&gt;0,
     COUNTIFS($AW$3:$AW$201,$M179)&gt;0
   )),
  ),
  2
 ),
"")</f>
        <v/>
      </c>
      <c r="Q179" s="3" t="str" cm="1">
        <f t="array" aca="1" ref="Q179" ca="1">IFERROR(
 INDEX(
  _xlfn._xlws.FILTER($T$2:$AW$2,
   TRANSPOSE(
    CHOOSE({1;2;3;4;5;6;7;8;9;10;11;12;13;14;15;16;17;18;19;20;21;22;23;24;25;26;27;28;29;30},
     COUNTIFS($T$3:$T$201,$M179)&gt;0,
     COUNTIFS($U$3:$U$201,$M179)&gt;0,
     COUNTIFS($V$3:$V$201,$M179)&gt;0,
     COUNTIFS($W$3:$W$201,$M179)&gt;0,
     COUNTIFS($X$3:$X$201,$M179)&gt;0,
     COUNTIFS($Y$3:$Y$201,$M179)&gt;0,
     COUNTIFS($Z$3:$Z$201,$M179)&gt;0,
     COUNTIFS($AA$3:$AA$201,$M179)&gt;0,
     COUNTIFS($AB$3:$AB$201,$M179)&gt;0,
     COUNTIFS($AC$3:$AC$201,$M179)&gt;0,
     COUNTIFS($AD$3:$AD$201,$M179)&gt;0,
     COUNTIFS($AE$3:$AE$201,$M179)&gt;0,
     COUNTIFS($AF$3:$AF$201,$M179)&gt;0,
     COUNTIFS($AG$3:$AG$201,$M179)&gt;0,
     COUNTIFS($AH$3:$AH$201,$M179)&gt;0,
     COUNTIFS($AI$3:$AI$201,$M179)&gt;0,
     COUNTIFS($AJ$3:$AJ$201,$M179)&gt;0,
     COUNTIFS($AK$3:$AK$201,$M179)&gt;0,
     COUNTIFS($AL$3:$AL$201,$M179)&gt;0,
     COUNTIFS($AM$3:$AM$201,$M179)&gt;0,
     COUNTIFS($AN$3:$AN$201,$M179)&gt;0,
     COUNTIFS($AO$3:$AO$201,$M179)&gt;0,
     COUNTIFS($AP$3:$AP$201,$M179)&gt;0,
     COUNTIFS($AQ$3:$AQ$201,$M179)&gt;0,
     COUNTIFS($AR$3:$AR$201,$M179)&gt;0,
     COUNTIFS($AS$3:$AS$201,$M179)&gt;0,
     COUNTIFS($AT$3:$AT$201,$M179)&gt;0,
     COUNTIFS($AU$3:$AU$201,$M179)&gt;0,
     COUNTIFS($AV$3:$AV$201,$M179)&gt;0,
     COUNTIFS($AW$3:$AW$201,$M179)&gt;0
   )),
  ),
  3
 ),
"")</f>
        <v/>
      </c>
      <c r="R179" s="3" t="str" cm="1">
        <f t="array" aca="1" ref="R179" ca="1">IFERROR(
 INDEX(
  _xlfn._xlws.FILTER($T$2:$AW$2,
   TRANSPOSE(
    CHOOSE({1;2;3;4;5;6;7;8;9;10;11;12;13;14;15;16;17;18;19;20;21;22;23;24;25;26;27;28;29;30},
     COUNTIFS($T$3:$T$201,$M179)&gt;0,
     COUNTIFS($U$3:$U$201,$M179)&gt;0,
     COUNTIFS($V$3:$V$201,$M179)&gt;0,
     COUNTIFS($W$3:$W$201,$M179)&gt;0,
     COUNTIFS($X$3:$X$201,$M179)&gt;0,
     COUNTIFS($Y$3:$Y$201,$M179)&gt;0,
     COUNTIFS($Z$3:$Z$201,$M179)&gt;0,
     COUNTIFS($AA$3:$AA$201,$M179)&gt;0,
     COUNTIFS($AB$3:$AB$201,$M179)&gt;0,
     COUNTIFS($AC$3:$AC$201,$M179)&gt;0,
     COUNTIFS($AD$3:$AD$201,$M179)&gt;0,
     COUNTIFS($AE$3:$AE$201,$M179)&gt;0,
     COUNTIFS($AF$3:$AF$201,$M179)&gt;0,
     COUNTIFS($AG$3:$AG$201,$M179)&gt;0,
     COUNTIFS($AH$3:$AH$201,$M179)&gt;0,
     COUNTIFS($AI$3:$AI$201,$M179)&gt;0,
     COUNTIFS($AJ$3:$AJ$201,$M179)&gt;0,
     COUNTIFS($AK$3:$AK$201,$M179)&gt;0,
     COUNTIFS($AL$3:$AL$201,$M179)&gt;0,
     COUNTIFS($AM$3:$AM$201,$M179)&gt;0,
     COUNTIFS($AN$3:$AN$201,$M179)&gt;0,
     COUNTIFS($AO$3:$AO$201,$M179)&gt;0,
     COUNTIFS($AP$3:$AP$201,$M179)&gt;0,
     COUNTIFS($AQ$3:$AQ$201,$M179)&gt;0,
     COUNTIFS($AR$3:$AR$201,$M179)&gt;0,
     COUNTIFS($AS$3:$AS$201,$M179)&gt;0,
     COUNTIFS($AT$3:$AT$201,$M179)&gt;0,
     COUNTIFS($AU$3:$AU$201,$M179)&gt;0,
     COUNTIFS($AV$3:$AV$201,$M179)&gt;0,
     COUNTIFS($AW$3:$AW$201,$M179)&gt;0
   )),
  ),
  4
 ),
"")</f>
        <v/>
      </c>
      <c r="CF179" t="str">
        <f ca="1"/>
        <v>Swiftfoot Boots</v>
      </c>
      <c r="CI179" t="str">
        <f ca="1"/>
        <v>Ponte Levadiça Esmagadora</v>
      </c>
    </row>
    <row r="180" spans="1:87" x14ac:dyDescent="0.25">
      <c r="A180" t="str">
        <f ca="1"/>
        <v>Monumental Henge</v>
      </c>
      <c r="B180" s="3" t="str" cm="1">
        <f t="array" aca="1" ref="B180" ca="1">_xlfn.ANCHORARRAY(RESUMO!C179)</f>
        <v>Modular</v>
      </c>
      <c r="C180" s="3" t="str">
        <f t="shared" ca="1" si="8"/>
        <v/>
      </c>
      <c r="E180" t="str">
        <f ca="1"/>
        <v>Ponte Musgomosto</v>
      </c>
      <c r="F180" s="3">
        <f t="shared" ca="1" si="9"/>
        <v>1</v>
      </c>
      <c r="G180" s="3" t="str">
        <f t="shared" ca="1" si="10"/>
        <v>Tayam</v>
      </c>
      <c r="M180" t="str">
        <f ca="1"/>
        <v>Ponte Musgomosto</v>
      </c>
      <c r="N180" s="3">
        <f t="shared" ca="1" si="11"/>
        <v>1</v>
      </c>
      <c r="O180" s="3" t="str">
        <f ca="1">IFERROR(
 INDEX($T$2:$AW$2,
  MATCH(TRUE,
   CHOOSE({1;2;3;4;5;6;7;8;9;10;11;12;13;14;15;16;17;18;19;20;21;22;23;24;25;26;27;28;29;30;31;32},
    COUNTIFS($T$3:$T$201,$M180)&gt;0,
    COUNTIFS($U$3:$U$201,$M180)&gt;0,
    COUNTIFS($V$3:$V$201,$M180)&gt;0,
    COUNTIFS($W$3:$W$201,$M180)&gt;0,
    COUNTIFS($X$3:$X$201,$M180)&gt;0,
    COUNTIFS($Y$3:$Y$201,$M180)&gt;0,
    COUNTIFS($Z$3:$Z$201,$M180)&gt;0,
    COUNTIFS($AA$3:$AA$201,$M180)&gt;0,
    COUNTIFS($AB$3:$AB$201,$M180)&gt;0,
    COUNTIFS($AC$3:$AC$201,$M180)&gt;0,
    COUNTIFS($AD$3:$AD$201,$M180)&gt;0,
    COUNTIFS($AE$3:$AE$201,$M180)&gt;0,
    COUNTIFS($AF$3:$AF$201,$M180)&gt;0,
    COUNTIFS($AG$3:$AG$201,$M180)&gt;0,
    COUNTIFS($AH$3:$AH$201,$M180)&gt;0,
    COUNTIFS($AI$3:$AI$201,$M180)&gt;0,
    COUNTIFS($AJ$3:$AJ$201,$M180)&gt;0,
    COUNTIFS($AK$3:$AK$201,$M180)&gt;0,
    COUNTIFS($AL$3:$AL$201,$M180)&gt;0,
    COUNTIFS($AM$3:$AM$201,$M180)&gt;0,
    COUNTIFS($AN$3:$AN$201,$M180)&gt;0,
    COUNTIFS($AO$3:$AO$201,$M180)&gt;0,
    COUNTIFS($AP$3:$AP$201,$M180)&gt;0,
    COUNTIFS($AQ$3:$AQ$201,$M180)&gt;0,
    COUNTIFS($AR$3:$AR$201,$M180)&gt;0,
    COUNTIFS($AS$3:$AS$201,$M180)&gt;0,
    COUNTIFS($AT$3:$AT$201,$M180)&gt;0,
    COUNTIFS($AU$3:$AU$201,$M180)&gt;0,
    COUNTIFS($AV$3:$AV$201,$M180)&gt;0,
    COUNTIFS($AW$3:$AW$201,$M180)&gt;0
   ),
  0)
 ),
"")</f>
        <v>Tayam</v>
      </c>
      <c r="P180" s="3" t="str" cm="1">
        <f t="array" aca="1" ref="P180" ca="1">IFERROR(
 INDEX(
  _xlfn._xlws.FILTER($T$2:$AW$2,
   TRANSPOSE(
    CHOOSE({1;2;3;4;5;6;7;8;9;10;11;12;13;14;15;16;17;18;19;20;21;22;23;24;25;26;27;28;29;30},
     COUNTIFS($T$3:$T$201,$M180)&gt;0,
     COUNTIFS($U$3:$U$201,$M180)&gt;0,
     COUNTIFS($V$3:$V$201,$M180)&gt;0,
     COUNTIFS($W$3:$W$201,$M180)&gt;0,
     COUNTIFS($X$3:$X$201,$M180)&gt;0,
     COUNTIFS($Y$3:$Y$201,$M180)&gt;0,
     COUNTIFS($Z$3:$Z$201,$M180)&gt;0,
     COUNTIFS($AA$3:$AA$201,$M180)&gt;0,
     COUNTIFS($AB$3:$AB$201,$M180)&gt;0,
     COUNTIFS($AC$3:$AC$201,$M180)&gt;0,
     COUNTIFS($AD$3:$AD$201,$M180)&gt;0,
     COUNTIFS($AE$3:$AE$201,$M180)&gt;0,
     COUNTIFS($AF$3:$AF$201,$M180)&gt;0,
     COUNTIFS($AG$3:$AG$201,$M180)&gt;0,
     COUNTIFS($AH$3:$AH$201,$M180)&gt;0,
     COUNTIFS($AI$3:$AI$201,$M180)&gt;0,
     COUNTIFS($AJ$3:$AJ$201,$M180)&gt;0,
     COUNTIFS($AK$3:$AK$201,$M180)&gt;0,
     COUNTIFS($AL$3:$AL$201,$M180)&gt;0,
     COUNTIFS($AM$3:$AM$201,$M180)&gt;0,
     COUNTIFS($AN$3:$AN$201,$M180)&gt;0,
     COUNTIFS($AO$3:$AO$201,$M180)&gt;0,
     COUNTIFS($AP$3:$AP$201,$M180)&gt;0,
     COUNTIFS($AQ$3:$AQ$201,$M180)&gt;0,
     COUNTIFS($AR$3:$AR$201,$M180)&gt;0,
     COUNTIFS($AS$3:$AS$201,$M180)&gt;0,
     COUNTIFS($AT$3:$AT$201,$M180)&gt;0,
     COUNTIFS($AU$3:$AU$201,$M180)&gt;0,
     COUNTIFS($AV$3:$AV$201,$M180)&gt;0,
     COUNTIFS($AW$3:$AW$201,$M180)&gt;0
   )),
  ),
  2
 ),
"")</f>
        <v/>
      </c>
      <c r="Q180" s="3" t="str" cm="1">
        <f t="array" aca="1" ref="Q180" ca="1">IFERROR(
 INDEX(
  _xlfn._xlws.FILTER($T$2:$AW$2,
   TRANSPOSE(
    CHOOSE({1;2;3;4;5;6;7;8;9;10;11;12;13;14;15;16;17;18;19;20;21;22;23;24;25;26;27;28;29;30},
     COUNTIFS($T$3:$T$201,$M180)&gt;0,
     COUNTIFS($U$3:$U$201,$M180)&gt;0,
     COUNTIFS($V$3:$V$201,$M180)&gt;0,
     COUNTIFS($W$3:$W$201,$M180)&gt;0,
     COUNTIFS($X$3:$X$201,$M180)&gt;0,
     COUNTIFS($Y$3:$Y$201,$M180)&gt;0,
     COUNTIFS($Z$3:$Z$201,$M180)&gt;0,
     COUNTIFS($AA$3:$AA$201,$M180)&gt;0,
     COUNTIFS($AB$3:$AB$201,$M180)&gt;0,
     COUNTIFS($AC$3:$AC$201,$M180)&gt;0,
     COUNTIFS($AD$3:$AD$201,$M180)&gt;0,
     COUNTIFS($AE$3:$AE$201,$M180)&gt;0,
     COUNTIFS($AF$3:$AF$201,$M180)&gt;0,
     COUNTIFS($AG$3:$AG$201,$M180)&gt;0,
     COUNTIFS($AH$3:$AH$201,$M180)&gt;0,
     COUNTIFS($AI$3:$AI$201,$M180)&gt;0,
     COUNTIFS($AJ$3:$AJ$201,$M180)&gt;0,
     COUNTIFS($AK$3:$AK$201,$M180)&gt;0,
     COUNTIFS($AL$3:$AL$201,$M180)&gt;0,
     COUNTIFS($AM$3:$AM$201,$M180)&gt;0,
     COUNTIFS($AN$3:$AN$201,$M180)&gt;0,
     COUNTIFS($AO$3:$AO$201,$M180)&gt;0,
     COUNTIFS($AP$3:$AP$201,$M180)&gt;0,
     COUNTIFS($AQ$3:$AQ$201,$M180)&gt;0,
     COUNTIFS($AR$3:$AR$201,$M180)&gt;0,
     COUNTIFS($AS$3:$AS$201,$M180)&gt;0,
     COUNTIFS($AT$3:$AT$201,$M180)&gt;0,
     COUNTIFS($AU$3:$AU$201,$M180)&gt;0,
     COUNTIFS($AV$3:$AV$201,$M180)&gt;0,
     COUNTIFS($AW$3:$AW$201,$M180)&gt;0
   )),
  ),
  3
 ),
"")</f>
        <v/>
      </c>
      <c r="R180" s="3" t="str" cm="1">
        <f t="array" aca="1" ref="R180" ca="1">IFERROR(
 INDEX(
  _xlfn._xlws.FILTER($T$2:$AW$2,
   TRANSPOSE(
    CHOOSE({1;2;3;4;5;6;7;8;9;10;11;12;13;14;15;16;17;18;19;20;21;22;23;24;25;26;27;28;29;30},
     COUNTIFS($T$3:$T$201,$M180)&gt;0,
     COUNTIFS($U$3:$U$201,$M180)&gt;0,
     COUNTIFS($V$3:$V$201,$M180)&gt;0,
     COUNTIFS($W$3:$W$201,$M180)&gt;0,
     COUNTIFS($X$3:$X$201,$M180)&gt;0,
     COUNTIFS($Y$3:$Y$201,$M180)&gt;0,
     COUNTIFS($Z$3:$Z$201,$M180)&gt;0,
     COUNTIFS($AA$3:$AA$201,$M180)&gt;0,
     COUNTIFS($AB$3:$AB$201,$M180)&gt;0,
     COUNTIFS($AC$3:$AC$201,$M180)&gt;0,
     COUNTIFS($AD$3:$AD$201,$M180)&gt;0,
     COUNTIFS($AE$3:$AE$201,$M180)&gt;0,
     COUNTIFS($AF$3:$AF$201,$M180)&gt;0,
     COUNTIFS($AG$3:$AG$201,$M180)&gt;0,
     COUNTIFS($AH$3:$AH$201,$M180)&gt;0,
     COUNTIFS($AI$3:$AI$201,$M180)&gt;0,
     COUNTIFS($AJ$3:$AJ$201,$M180)&gt;0,
     COUNTIFS($AK$3:$AK$201,$M180)&gt;0,
     COUNTIFS($AL$3:$AL$201,$M180)&gt;0,
     COUNTIFS($AM$3:$AM$201,$M180)&gt;0,
     COUNTIFS($AN$3:$AN$201,$M180)&gt;0,
     COUNTIFS($AO$3:$AO$201,$M180)&gt;0,
     COUNTIFS($AP$3:$AP$201,$M180)&gt;0,
     COUNTIFS($AQ$3:$AQ$201,$M180)&gt;0,
     COUNTIFS($AR$3:$AR$201,$M180)&gt;0,
     COUNTIFS($AS$3:$AS$201,$M180)&gt;0,
     COUNTIFS($AT$3:$AT$201,$M180)&gt;0,
     COUNTIFS($AU$3:$AU$201,$M180)&gt;0,
     COUNTIFS($AV$3:$AV$201,$M180)&gt;0,
     COUNTIFS($AW$3:$AW$201,$M180)&gt;0
   )),
  ),
  4
 ),
"")</f>
        <v/>
      </c>
      <c r="CF180" t="str">
        <f ca="1"/>
        <v>Taverneiro Prospero</v>
      </c>
      <c r="CI180" t="str">
        <f ca="1"/>
        <v>Ponte Musgomosto</v>
      </c>
    </row>
    <row r="181" spans="1:87" x14ac:dyDescent="0.25">
      <c r="A181" t="str">
        <f ca="1"/>
        <v>Morphic Pool</v>
      </c>
      <c r="B181" s="3" t="str" cm="1">
        <f t="array" aca="1" ref="B181" ca="1">_xlfn.ANCHORARRAY(RESUMO!C180)</f>
        <v>Yuriko</v>
      </c>
      <c r="C181" s="3" t="str">
        <f t="shared" ca="1" si="8"/>
        <v/>
      </c>
      <c r="E181" t="str">
        <f ca="1"/>
        <v>Portão da Guilda Orzhov</v>
      </c>
      <c r="F181" s="3">
        <f t="shared" ca="1" si="9"/>
        <v>1</v>
      </c>
      <c r="G181" s="3" t="str">
        <f t="shared" ca="1" si="10"/>
        <v>OWA</v>
      </c>
      <c r="M181" t="str">
        <f ca="1"/>
        <v>Portão da Guilda Orzhov</v>
      </c>
      <c r="N181" s="3">
        <f t="shared" ca="1" si="11"/>
        <v>1</v>
      </c>
      <c r="O181" s="3" t="str">
        <f ca="1">IFERROR(
 INDEX($T$2:$AW$2,
  MATCH(TRUE,
   CHOOSE({1;2;3;4;5;6;7;8;9;10;11;12;13;14;15;16;17;18;19;20;21;22;23;24;25;26;27;28;29;30;31;32},
    COUNTIFS($T$3:$T$201,$M181)&gt;0,
    COUNTIFS($U$3:$U$201,$M181)&gt;0,
    COUNTIFS($V$3:$V$201,$M181)&gt;0,
    COUNTIFS($W$3:$W$201,$M181)&gt;0,
    COUNTIFS($X$3:$X$201,$M181)&gt;0,
    COUNTIFS($Y$3:$Y$201,$M181)&gt;0,
    COUNTIFS($Z$3:$Z$201,$M181)&gt;0,
    COUNTIFS($AA$3:$AA$201,$M181)&gt;0,
    COUNTIFS($AB$3:$AB$201,$M181)&gt;0,
    COUNTIFS($AC$3:$AC$201,$M181)&gt;0,
    COUNTIFS($AD$3:$AD$201,$M181)&gt;0,
    COUNTIFS($AE$3:$AE$201,$M181)&gt;0,
    COUNTIFS($AF$3:$AF$201,$M181)&gt;0,
    COUNTIFS($AG$3:$AG$201,$M181)&gt;0,
    COUNTIFS($AH$3:$AH$201,$M181)&gt;0,
    COUNTIFS($AI$3:$AI$201,$M181)&gt;0,
    COUNTIFS($AJ$3:$AJ$201,$M181)&gt;0,
    COUNTIFS($AK$3:$AK$201,$M181)&gt;0,
    COUNTIFS($AL$3:$AL$201,$M181)&gt;0,
    COUNTIFS($AM$3:$AM$201,$M181)&gt;0,
    COUNTIFS($AN$3:$AN$201,$M181)&gt;0,
    COUNTIFS($AO$3:$AO$201,$M181)&gt;0,
    COUNTIFS($AP$3:$AP$201,$M181)&gt;0,
    COUNTIFS($AQ$3:$AQ$201,$M181)&gt;0,
    COUNTIFS($AR$3:$AR$201,$M181)&gt;0,
    COUNTIFS($AS$3:$AS$201,$M181)&gt;0,
    COUNTIFS($AT$3:$AT$201,$M181)&gt;0,
    COUNTIFS($AU$3:$AU$201,$M181)&gt;0,
    COUNTIFS($AV$3:$AV$201,$M181)&gt;0,
    COUNTIFS($AW$3:$AW$201,$M181)&gt;0
   ),
  0)
 ),
"")</f>
        <v>OWA</v>
      </c>
      <c r="P181" s="3" t="str" cm="1">
        <f t="array" aca="1" ref="P181" ca="1">IFERROR(
 INDEX(
  _xlfn._xlws.FILTER($T$2:$AW$2,
   TRANSPOSE(
    CHOOSE({1;2;3;4;5;6;7;8;9;10;11;12;13;14;15;16;17;18;19;20;21;22;23;24;25;26;27;28;29;30},
     COUNTIFS($T$3:$T$201,$M181)&gt;0,
     COUNTIFS($U$3:$U$201,$M181)&gt;0,
     COUNTIFS($V$3:$V$201,$M181)&gt;0,
     COUNTIFS($W$3:$W$201,$M181)&gt;0,
     COUNTIFS($X$3:$X$201,$M181)&gt;0,
     COUNTIFS($Y$3:$Y$201,$M181)&gt;0,
     COUNTIFS($Z$3:$Z$201,$M181)&gt;0,
     COUNTIFS($AA$3:$AA$201,$M181)&gt;0,
     COUNTIFS($AB$3:$AB$201,$M181)&gt;0,
     COUNTIFS($AC$3:$AC$201,$M181)&gt;0,
     COUNTIFS($AD$3:$AD$201,$M181)&gt;0,
     COUNTIFS($AE$3:$AE$201,$M181)&gt;0,
     COUNTIFS($AF$3:$AF$201,$M181)&gt;0,
     COUNTIFS($AG$3:$AG$201,$M181)&gt;0,
     COUNTIFS($AH$3:$AH$201,$M181)&gt;0,
     COUNTIFS($AI$3:$AI$201,$M181)&gt;0,
     COUNTIFS($AJ$3:$AJ$201,$M181)&gt;0,
     COUNTIFS($AK$3:$AK$201,$M181)&gt;0,
     COUNTIFS($AL$3:$AL$201,$M181)&gt;0,
     COUNTIFS($AM$3:$AM$201,$M181)&gt;0,
     COUNTIFS($AN$3:$AN$201,$M181)&gt;0,
     COUNTIFS($AO$3:$AO$201,$M181)&gt;0,
     COUNTIFS($AP$3:$AP$201,$M181)&gt;0,
     COUNTIFS($AQ$3:$AQ$201,$M181)&gt;0,
     COUNTIFS($AR$3:$AR$201,$M181)&gt;0,
     COUNTIFS($AS$3:$AS$201,$M181)&gt;0,
     COUNTIFS($AT$3:$AT$201,$M181)&gt;0,
     COUNTIFS($AU$3:$AU$201,$M181)&gt;0,
     COUNTIFS($AV$3:$AV$201,$M181)&gt;0,
     COUNTIFS($AW$3:$AW$201,$M181)&gt;0
   )),
  ),
  2
 ),
"")</f>
        <v/>
      </c>
      <c r="Q181" s="3" t="str" cm="1">
        <f t="array" aca="1" ref="Q181" ca="1">IFERROR(
 INDEX(
  _xlfn._xlws.FILTER($T$2:$AW$2,
   TRANSPOSE(
    CHOOSE({1;2;3;4;5;6;7;8;9;10;11;12;13;14;15;16;17;18;19;20;21;22;23;24;25;26;27;28;29;30},
     COUNTIFS($T$3:$T$201,$M181)&gt;0,
     COUNTIFS($U$3:$U$201,$M181)&gt;0,
     COUNTIFS($V$3:$V$201,$M181)&gt;0,
     COUNTIFS($W$3:$W$201,$M181)&gt;0,
     COUNTIFS($X$3:$X$201,$M181)&gt;0,
     COUNTIFS($Y$3:$Y$201,$M181)&gt;0,
     COUNTIFS($Z$3:$Z$201,$M181)&gt;0,
     COUNTIFS($AA$3:$AA$201,$M181)&gt;0,
     COUNTIFS($AB$3:$AB$201,$M181)&gt;0,
     COUNTIFS($AC$3:$AC$201,$M181)&gt;0,
     COUNTIFS($AD$3:$AD$201,$M181)&gt;0,
     COUNTIFS($AE$3:$AE$201,$M181)&gt;0,
     COUNTIFS($AF$3:$AF$201,$M181)&gt;0,
     COUNTIFS($AG$3:$AG$201,$M181)&gt;0,
     COUNTIFS($AH$3:$AH$201,$M181)&gt;0,
     COUNTIFS($AI$3:$AI$201,$M181)&gt;0,
     COUNTIFS($AJ$3:$AJ$201,$M181)&gt;0,
     COUNTIFS($AK$3:$AK$201,$M181)&gt;0,
     COUNTIFS($AL$3:$AL$201,$M181)&gt;0,
     COUNTIFS($AM$3:$AM$201,$M181)&gt;0,
     COUNTIFS($AN$3:$AN$201,$M181)&gt;0,
     COUNTIFS($AO$3:$AO$201,$M181)&gt;0,
     COUNTIFS($AP$3:$AP$201,$M181)&gt;0,
     COUNTIFS($AQ$3:$AQ$201,$M181)&gt;0,
     COUNTIFS($AR$3:$AR$201,$M181)&gt;0,
     COUNTIFS($AS$3:$AS$201,$M181)&gt;0,
     COUNTIFS($AT$3:$AT$201,$M181)&gt;0,
     COUNTIFS($AU$3:$AU$201,$M181)&gt;0,
     COUNTIFS($AV$3:$AV$201,$M181)&gt;0,
     COUNTIFS($AW$3:$AW$201,$M181)&gt;0
   )),
  ),
  3
 ),
"")</f>
        <v/>
      </c>
      <c r="R181" s="3" t="str" cm="1">
        <f t="array" aca="1" ref="R181" ca="1">IFERROR(
 INDEX(
  _xlfn._xlws.FILTER($T$2:$AW$2,
   TRANSPOSE(
    CHOOSE({1;2;3;4;5;6;7;8;9;10;11;12;13;14;15;16;17;18;19;20;21;22;23;24;25;26;27;28;29;30},
     COUNTIFS($T$3:$T$201,$M181)&gt;0,
     COUNTIFS($U$3:$U$201,$M181)&gt;0,
     COUNTIFS($V$3:$V$201,$M181)&gt;0,
     COUNTIFS($W$3:$W$201,$M181)&gt;0,
     COUNTIFS($X$3:$X$201,$M181)&gt;0,
     COUNTIFS($Y$3:$Y$201,$M181)&gt;0,
     COUNTIFS($Z$3:$Z$201,$M181)&gt;0,
     COUNTIFS($AA$3:$AA$201,$M181)&gt;0,
     COUNTIFS($AB$3:$AB$201,$M181)&gt;0,
     COUNTIFS($AC$3:$AC$201,$M181)&gt;0,
     COUNTIFS($AD$3:$AD$201,$M181)&gt;0,
     COUNTIFS($AE$3:$AE$201,$M181)&gt;0,
     COUNTIFS($AF$3:$AF$201,$M181)&gt;0,
     COUNTIFS($AG$3:$AG$201,$M181)&gt;0,
     COUNTIFS($AH$3:$AH$201,$M181)&gt;0,
     COUNTIFS($AI$3:$AI$201,$M181)&gt;0,
     COUNTIFS($AJ$3:$AJ$201,$M181)&gt;0,
     COUNTIFS($AK$3:$AK$201,$M181)&gt;0,
     COUNTIFS($AL$3:$AL$201,$M181)&gt;0,
     COUNTIFS($AM$3:$AM$201,$M181)&gt;0,
     COUNTIFS($AN$3:$AN$201,$M181)&gt;0,
     COUNTIFS($AO$3:$AO$201,$M181)&gt;0,
     COUNTIFS($AP$3:$AP$201,$M181)&gt;0,
     COUNTIFS($AQ$3:$AQ$201,$M181)&gt;0,
     COUNTIFS($AR$3:$AR$201,$M181)&gt;0,
     COUNTIFS($AS$3:$AS$201,$M181)&gt;0,
     COUNTIFS($AT$3:$AT$201,$M181)&gt;0,
     COUNTIFS($AU$3:$AU$201,$M181)&gt;0,
     COUNTIFS($AV$3:$AV$201,$M181)&gt;0,
     COUNTIFS($AW$3:$AW$201,$M181)&gt;0
   )),
  ),
  4
 ),
"")</f>
        <v/>
      </c>
      <c r="CF181" t="str">
        <f ca="1"/>
        <v>Teatro dos Maestros</v>
      </c>
      <c r="CI181" t="str">
        <f ca="1"/>
        <v>Portão da Guilda Orzhov</v>
      </c>
    </row>
    <row r="182" spans="1:87" x14ac:dyDescent="0.25">
      <c r="A182" t="str">
        <f ca="1"/>
        <v>Mother of runes</v>
      </c>
      <c r="B182" s="3" t="str" cm="1">
        <f t="array" aca="1" ref="B182" ca="1">_xlfn.ANCHORARRAY(RESUMO!C181)</f>
        <v>Carlos</v>
      </c>
      <c r="C182" s="3" t="str">
        <f t="shared" ca="1" si="8"/>
        <v/>
      </c>
      <c r="E182" t="str">
        <f ca="1"/>
        <v>Powerbalance</v>
      </c>
      <c r="F182" s="3">
        <f t="shared" ca="1" si="9"/>
        <v>1</v>
      </c>
      <c r="G182" s="3" t="str">
        <f t="shared" ca="1" si="10"/>
        <v>Inalla</v>
      </c>
      <c r="M182" t="str">
        <f ca="1"/>
        <v>Powerbalance</v>
      </c>
      <c r="N182" s="3">
        <f t="shared" ca="1" si="11"/>
        <v>1</v>
      </c>
      <c r="O182" s="3" t="str">
        <f ca="1">IFERROR(
 INDEX($T$2:$AW$2,
  MATCH(TRUE,
   CHOOSE({1;2;3;4;5;6;7;8;9;10;11;12;13;14;15;16;17;18;19;20;21;22;23;24;25;26;27;28;29;30;31;32},
    COUNTIFS($T$3:$T$201,$M182)&gt;0,
    COUNTIFS($U$3:$U$201,$M182)&gt;0,
    COUNTIFS($V$3:$V$201,$M182)&gt;0,
    COUNTIFS($W$3:$W$201,$M182)&gt;0,
    COUNTIFS($X$3:$X$201,$M182)&gt;0,
    COUNTIFS($Y$3:$Y$201,$M182)&gt;0,
    COUNTIFS($Z$3:$Z$201,$M182)&gt;0,
    COUNTIFS($AA$3:$AA$201,$M182)&gt;0,
    COUNTIFS($AB$3:$AB$201,$M182)&gt;0,
    COUNTIFS($AC$3:$AC$201,$M182)&gt;0,
    COUNTIFS($AD$3:$AD$201,$M182)&gt;0,
    COUNTIFS($AE$3:$AE$201,$M182)&gt;0,
    COUNTIFS($AF$3:$AF$201,$M182)&gt;0,
    COUNTIFS($AG$3:$AG$201,$M182)&gt;0,
    COUNTIFS($AH$3:$AH$201,$M182)&gt;0,
    COUNTIFS($AI$3:$AI$201,$M182)&gt;0,
    COUNTIFS($AJ$3:$AJ$201,$M182)&gt;0,
    COUNTIFS($AK$3:$AK$201,$M182)&gt;0,
    COUNTIFS($AL$3:$AL$201,$M182)&gt;0,
    COUNTIFS($AM$3:$AM$201,$M182)&gt;0,
    COUNTIFS($AN$3:$AN$201,$M182)&gt;0,
    COUNTIFS($AO$3:$AO$201,$M182)&gt;0,
    COUNTIFS($AP$3:$AP$201,$M182)&gt;0,
    COUNTIFS($AQ$3:$AQ$201,$M182)&gt;0,
    COUNTIFS($AR$3:$AR$201,$M182)&gt;0,
    COUNTIFS($AS$3:$AS$201,$M182)&gt;0,
    COUNTIFS($AT$3:$AT$201,$M182)&gt;0,
    COUNTIFS($AU$3:$AU$201,$M182)&gt;0,
    COUNTIFS($AV$3:$AV$201,$M182)&gt;0,
    COUNTIFS($AW$3:$AW$201,$M182)&gt;0
   ),
  0)
 ),
"")</f>
        <v>Inalla</v>
      </c>
      <c r="P182" s="3" t="str" cm="1">
        <f t="array" aca="1" ref="P182" ca="1">IFERROR(
 INDEX(
  _xlfn._xlws.FILTER($T$2:$AW$2,
   TRANSPOSE(
    CHOOSE({1;2;3;4;5;6;7;8;9;10;11;12;13;14;15;16;17;18;19;20;21;22;23;24;25;26;27;28;29;30},
     COUNTIFS($T$3:$T$201,$M182)&gt;0,
     COUNTIFS($U$3:$U$201,$M182)&gt;0,
     COUNTIFS($V$3:$V$201,$M182)&gt;0,
     COUNTIFS($W$3:$W$201,$M182)&gt;0,
     COUNTIFS($X$3:$X$201,$M182)&gt;0,
     COUNTIFS($Y$3:$Y$201,$M182)&gt;0,
     COUNTIFS($Z$3:$Z$201,$M182)&gt;0,
     COUNTIFS($AA$3:$AA$201,$M182)&gt;0,
     COUNTIFS($AB$3:$AB$201,$M182)&gt;0,
     COUNTIFS($AC$3:$AC$201,$M182)&gt;0,
     COUNTIFS($AD$3:$AD$201,$M182)&gt;0,
     COUNTIFS($AE$3:$AE$201,$M182)&gt;0,
     COUNTIFS($AF$3:$AF$201,$M182)&gt;0,
     COUNTIFS($AG$3:$AG$201,$M182)&gt;0,
     COUNTIFS($AH$3:$AH$201,$M182)&gt;0,
     COUNTIFS($AI$3:$AI$201,$M182)&gt;0,
     COUNTIFS($AJ$3:$AJ$201,$M182)&gt;0,
     COUNTIFS($AK$3:$AK$201,$M182)&gt;0,
     COUNTIFS($AL$3:$AL$201,$M182)&gt;0,
     COUNTIFS($AM$3:$AM$201,$M182)&gt;0,
     COUNTIFS($AN$3:$AN$201,$M182)&gt;0,
     COUNTIFS($AO$3:$AO$201,$M182)&gt;0,
     COUNTIFS($AP$3:$AP$201,$M182)&gt;0,
     COUNTIFS($AQ$3:$AQ$201,$M182)&gt;0,
     COUNTIFS($AR$3:$AR$201,$M182)&gt;0,
     COUNTIFS($AS$3:$AS$201,$M182)&gt;0,
     COUNTIFS($AT$3:$AT$201,$M182)&gt;0,
     COUNTIFS($AU$3:$AU$201,$M182)&gt;0,
     COUNTIFS($AV$3:$AV$201,$M182)&gt;0,
     COUNTIFS($AW$3:$AW$201,$M182)&gt;0
   )),
  ),
  2
 ),
"")</f>
        <v/>
      </c>
      <c r="Q182" s="3" t="str" cm="1">
        <f t="array" aca="1" ref="Q182" ca="1">IFERROR(
 INDEX(
  _xlfn._xlws.FILTER($T$2:$AW$2,
   TRANSPOSE(
    CHOOSE({1;2;3;4;5;6;7;8;9;10;11;12;13;14;15;16;17;18;19;20;21;22;23;24;25;26;27;28;29;30},
     COUNTIFS($T$3:$T$201,$M182)&gt;0,
     COUNTIFS($U$3:$U$201,$M182)&gt;0,
     COUNTIFS($V$3:$V$201,$M182)&gt;0,
     COUNTIFS($W$3:$W$201,$M182)&gt;0,
     COUNTIFS($X$3:$X$201,$M182)&gt;0,
     COUNTIFS($Y$3:$Y$201,$M182)&gt;0,
     COUNTIFS($Z$3:$Z$201,$M182)&gt;0,
     COUNTIFS($AA$3:$AA$201,$M182)&gt;0,
     COUNTIFS($AB$3:$AB$201,$M182)&gt;0,
     COUNTIFS($AC$3:$AC$201,$M182)&gt;0,
     COUNTIFS($AD$3:$AD$201,$M182)&gt;0,
     COUNTIFS($AE$3:$AE$201,$M182)&gt;0,
     COUNTIFS($AF$3:$AF$201,$M182)&gt;0,
     COUNTIFS($AG$3:$AG$201,$M182)&gt;0,
     COUNTIFS($AH$3:$AH$201,$M182)&gt;0,
     COUNTIFS($AI$3:$AI$201,$M182)&gt;0,
     COUNTIFS($AJ$3:$AJ$201,$M182)&gt;0,
     COUNTIFS($AK$3:$AK$201,$M182)&gt;0,
     COUNTIFS($AL$3:$AL$201,$M182)&gt;0,
     COUNTIFS($AM$3:$AM$201,$M182)&gt;0,
     COUNTIFS($AN$3:$AN$201,$M182)&gt;0,
     COUNTIFS($AO$3:$AO$201,$M182)&gt;0,
     COUNTIFS($AP$3:$AP$201,$M182)&gt;0,
     COUNTIFS($AQ$3:$AQ$201,$M182)&gt;0,
     COUNTIFS($AR$3:$AR$201,$M182)&gt;0,
     COUNTIFS($AS$3:$AS$201,$M182)&gt;0,
     COUNTIFS($AT$3:$AT$201,$M182)&gt;0,
     COUNTIFS($AU$3:$AU$201,$M182)&gt;0,
     COUNTIFS($AV$3:$AV$201,$M182)&gt;0,
     COUNTIFS($AW$3:$AW$201,$M182)&gt;0
   )),
  ),
  3
 ),
"")</f>
        <v/>
      </c>
      <c r="R182" s="3" t="str" cm="1">
        <f t="array" aca="1" ref="R182" ca="1">IFERROR(
 INDEX(
  _xlfn._xlws.FILTER($T$2:$AW$2,
   TRANSPOSE(
    CHOOSE({1;2;3;4;5;6;7;8;9;10;11;12;13;14;15;16;17;18;19;20;21;22;23;24;25;26;27;28;29;30},
     COUNTIFS($T$3:$T$201,$M182)&gt;0,
     COUNTIFS($U$3:$U$201,$M182)&gt;0,
     COUNTIFS($V$3:$V$201,$M182)&gt;0,
     COUNTIFS($W$3:$W$201,$M182)&gt;0,
     COUNTIFS($X$3:$X$201,$M182)&gt;0,
     COUNTIFS($Y$3:$Y$201,$M182)&gt;0,
     COUNTIFS($Z$3:$Z$201,$M182)&gt;0,
     COUNTIFS($AA$3:$AA$201,$M182)&gt;0,
     COUNTIFS($AB$3:$AB$201,$M182)&gt;0,
     COUNTIFS($AC$3:$AC$201,$M182)&gt;0,
     COUNTIFS($AD$3:$AD$201,$M182)&gt;0,
     COUNTIFS($AE$3:$AE$201,$M182)&gt;0,
     COUNTIFS($AF$3:$AF$201,$M182)&gt;0,
     COUNTIFS($AG$3:$AG$201,$M182)&gt;0,
     COUNTIFS($AH$3:$AH$201,$M182)&gt;0,
     COUNTIFS($AI$3:$AI$201,$M182)&gt;0,
     COUNTIFS($AJ$3:$AJ$201,$M182)&gt;0,
     COUNTIFS($AK$3:$AK$201,$M182)&gt;0,
     COUNTIFS($AL$3:$AL$201,$M182)&gt;0,
     COUNTIFS($AM$3:$AM$201,$M182)&gt;0,
     COUNTIFS($AN$3:$AN$201,$M182)&gt;0,
     COUNTIFS($AO$3:$AO$201,$M182)&gt;0,
     COUNTIFS($AP$3:$AP$201,$M182)&gt;0,
     COUNTIFS($AQ$3:$AQ$201,$M182)&gt;0,
     COUNTIFS($AR$3:$AR$201,$M182)&gt;0,
     COUNTIFS($AS$3:$AS$201,$M182)&gt;0,
     COUNTIFS($AT$3:$AT$201,$M182)&gt;0,
     COUNTIFS($AU$3:$AU$201,$M182)&gt;0,
     COUNTIFS($AV$3:$AV$201,$M182)&gt;0,
     COUNTIFS($AW$3:$AW$201,$M182)&gt;0
   )),
  ),
  4
 ),
"")</f>
        <v/>
      </c>
      <c r="CF182" t="str">
        <f ca="1"/>
        <v>Tempestade Serelepe</v>
      </c>
      <c r="CI182" t="str">
        <f ca="1"/>
        <v>Powerbalance</v>
      </c>
    </row>
    <row r="183" spans="1:87" x14ac:dyDescent="0.25">
      <c r="A183" t="str">
        <f ca="1"/>
        <v>Mox Tantalite</v>
      </c>
      <c r="B183" s="3" t="str" cm="1">
        <f t="array" aca="1" ref="B183" ca="1">_xlfn.ANCHORARRAY(RESUMO!C182)</f>
        <v>JhoiraB</v>
      </c>
      <c r="C183" s="3" t="str">
        <f t="shared" ca="1" si="8"/>
        <v/>
      </c>
      <c r="E183" t="str">
        <f ca="1"/>
        <v>Praia Inundada</v>
      </c>
      <c r="F183" s="3">
        <f t="shared" ca="1" si="9"/>
        <v>1</v>
      </c>
      <c r="G183" s="3" t="str">
        <f t="shared" ca="1" si="10"/>
        <v>Fractius</v>
      </c>
      <c r="M183" t="str">
        <f ca="1"/>
        <v>Praia Inundada</v>
      </c>
      <c r="N183" s="3">
        <f t="shared" ca="1" si="11"/>
        <v>1</v>
      </c>
      <c r="O183" s="3" t="str">
        <f ca="1">IFERROR(
 INDEX($T$2:$AW$2,
  MATCH(TRUE,
   CHOOSE({1;2;3;4;5;6;7;8;9;10;11;12;13;14;15;16;17;18;19;20;21;22;23;24;25;26;27;28;29;30;31;32},
    COUNTIFS($T$3:$T$201,$M183)&gt;0,
    COUNTIFS($U$3:$U$201,$M183)&gt;0,
    COUNTIFS($V$3:$V$201,$M183)&gt;0,
    COUNTIFS($W$3:$W$201,$M183)&gt;0,
    COUNTIFS($X$3:$X$201,$M183)&gt;0,
    COUNTIFS($Y$3:$Y$201,$M183)&gt;0,
    COUNTIFS($Z$3:$Z$201,$M183)&gt;0,
    COUNTIFS($AA$3:$AA$201,$M183)&gt;0,
    COUNTIFS($AB$3:$AB$201,$M183)&gt;0,
    COUNTIFS($AC$3:$AC$201,$M183)&gt;0,
    COUNTIFS($AD$3:$AD$201,$M183)&gt;0,
    COUNTIFS($AE$3:$AE$201,$M183)&gt;0,
    COUNTIFS($AF$3:$AF$201,$M183)&gt;0,
    COUNTIFS($AG$3:$AG$201,$M183)&gt;0,
    COUNTIFS($AH$3:$AH$201,$M183)&gt;0,
    COUNTIFS($AI$3:$AI$201,$M183)&gt;0,
    COUNTIFS($AJ$3:$AJ$201,$M183)&gt;0,
    COUNTIFS($AK$3:$AK$201,$M183)&gt;0,
    COUNTIFS($AL$3:$AL$201,$M183)&gt;0,
    COUNTIFS($AM$3:$AM$201,$M183)&gt;0,
    COUNTIFS($AN$3:$AN$201,$M183)&gt;0,
    COUNTIFS($AO$3:$AO$201,$M183)&gt;0,
    COUNTIFS($AP$3:$AP$201,$M183)&gt;0,
    COUNTIFS($AQ$3:$AQ$201,$M183)&gt;0,
    COUNTIFS($AR$3:$AR$201,$M183)&gt;0,
    COUNTIFS($AS$3:$AS$201,$M183)&gt;0,
    COUNTIFS($AT$3:$AT$201,$M183)&gt;0,
    COUNTIFS($AU$3:$AU$201,$M183)&gt;0,
    COUNTIFS($AV$3:$AV$201,$M183)&gt;0,
    COUNTIFS($AW$3:$AW$201,$M183)&gt;0
   ),
  0)
 ),
"")</f>
        <v>Fractius</v>
      </c>
      <c r="P183" s="3" t="str" cm="1">
        <f t="array" aca="1" ref="P183" ca="1">IFERROR(
 INDEX(
  _xlfn._xlws.FILTER($T$2:$AW$2,
   TRANSPOSE(
    CHOOSE({1;2;3;4;5;6;7;8;9;10;11;12;13;14;15;16;17;18;19;20;21;22;23;24;25;26;27;28;29;30},
     COUNTIFS($T$3:$T$201,$M183)&gt;0,
     COUNTIFS($U$3:$U$201,$M183)&gt;0,
     COUNTIFS($V$3:$V$201,$M183)&gt;0,
     COUNTIFS($W$3:$W$201,$M183)&gt;0,
     COUNTIFS($X$3:$X$201,$M183)&gt;0,
     COUNTIFS($Y$3:$Y$201,$M183)&gt;0,
     COUNTIFS($Z$3:$Z$201,$M183)&gt;0,
     COUNTIFS($AA$3:$AA$201,$M183)&gt;0,
     COUNTIFS($AB$3:$AB$201,$M183)&gt;0,
     COUNTIFS($AC$3:$AC$201,$M183)&gt;0,
     COUNTIFS($AD$3:$AD$201,$M183)&gt;0,
     COUNTIFS($AE$3:$AE$201,$M183)&gt;0,
     COUNTIFS($AF$3:$AF$201,$M183)&gt;0,
     COUNTIFS($AG$3:$AG$201,$M183)&gt;0,
     COUNTIFS($AH$3:$AH$201,$M183)&gt;0,
     COUNTIFS($AI$3:$AI$201,$M183)&gt;0,
     COUNTIFS($AJ$3:$AJ$201,$M183)&gt;0,
     COUNTIFS($AK$3:$AK$201,$M183)&gt;0,
     COUNTIFS($AL$3:$AL$201,$M183)&gt;0,
     COUNTIFS($AM$3:$AM$201,$M183)&gt;0,
     COUNTIFS($AN$3:$AN$201,$M183)&gt;0,
     COUNTIFS($AO$3:$AO$201,$M183)&gt;0,
     COUNTIFS($AP$3:$AP$201,$M183)&gt;0,
     COUNTIFS($AQ$3:$AQ$201,$M183)&gt;0,
     COUNTIFS($AR$3:$AR$201,$M183)&gt;0,
     COUNTIFS($AS$3:$AS$201,$M183)&gt;0,
     COUNTIFS($AT$3:$AT$201,$M183)&gt;0,
     COUNTIFS($AU$3:$AU$201,$M183)&gt;0,
     COUNTIFS($AV$3:$AV$201,$M183)&gt;0,
     COUNTIFS($AW$3:$AW$201,$M183)&gt;0
   )),
  ),
  2
 ),
"")</f>
        <v/>
      </c>
      <c r="Q183" s="3" t="str" cm="1">
        <f t="array" aca="1" ref="Q183" ca="1">IFERROR(
 INDEX(
  _xlfn._xlws.FILTER($T$2:$AW$2,
   TRANSPOSE(
    CHOOSE({1;2;3;4;5;6;7;8;9;10;11;12;13;14;15;16;17;18;19;20;21;22;23;24;25;26;27;28;29;30},
     COUNTIFS($T$3:$T$201,$M183)&gt;0,
     COUNTIFS($U$3:$U$201,$M183)&gt;0,
     COUNTIFS($V$3:$V$201,$M183)&gt;0,
     COUNTIFS($W$3:$W$201,$M183)&gt;0,
     COUNTIFS($X$3:$X$201,$M183)&gt;0,
     COUNTIFS($Y$3:$Y$201,$M183)&gt;0,
     COUNTIFS($Z$3:$Z$201,$M183)&gt;0,
     COUNTIFS($AA$3:$AA$201,$M183)&gt;0,
     COUNTIFS($AB$3:$AB$201,$M183)&gt;0,
     COUNTIFS($AC$3:$AC$201,$M183)&gt;0,
     COUNTIFS($AD$3:$AD$201,$M183)&gt;0,
     COUNTIFS($AE$3:$AE$201,$M183)&gt;0,
     COUNTIFS($AF$3:$AF$201,$M183)&gt;0,
     COUNTIFS($AG$3:$AG$201,$M183)&gt;0,
     COUNTIFS($AH$3:$AH$201,$M183)&gt;0,
     COUNTIFS($AI$3:$AI$201,$M183)&gt;0,
     COUNTIFS($AJ$3:$AJ$201,$M183)&gt;0,
     COUNTIFS($AK$3:$AK$201,$M183)&gt;0,
     COUNTIFS($AL$3:$AL$201,$M183)&gt;0,
     COUNTIFS($AM$3:$AM$201,$M183)&gt;0,
     COUNTIFS($AN$3:$AN$201,$M183)&gt;0,
     COUNTIFS($AO$3:$AO$201,$M183)&gt;0,
     COUNTIFS($AP$3:$AP$201,$M183)&gt;0,
     COUNTIFS($AQ$3:$AQ$201,$M183)&gt;0,
     COUNTIFS($AR$3:$AR$201,$M183)&gt;0,
     COUNTIFS($AS$3:$AS$201,$M183)&gt;0,
     COUNTIFS($AT$3:$AT$201,$M183)&gt;0,
     COUNTIFS($AU$3:$AU$201,$M183)&gt;0,
     COUNTIFS($AV$3:$AV$201,$M183)&gt;0,
     COUNTIFS($AW$3:$AW$201,$M183)&gt;0
   )),
  ),
  3
 ),
"")</f>
        <v/>
      </c>
      <c r="R183" s="3" t="str" cm="1">
        <f t="array" aca="1" ref="R183" ca="1">IFERROR(
 INDEX(
  _xlfn._xlws.FILTER($T$2:$AW$2,
   TRANSPOSE(
    CHOOSE({1;2;3;4;5;6;7;8;9;10;11;12;13;14;15;16;17;18;19;20;21;22;23;24;25;26;27;28;29;30},
     COUNTIFS($T$3:$T$201,$M183)&gt;0,
     COUNTIFS($U$3:$U$201,$M183)&gt;0,
     COUNTIFS($V$3:$V$201,$M183)&gt;0,
     COUNTIFS($W$3:$W$201,$M183)&gt;0,
     COUNTIFS($X$3:$X$201,$M183)&gt;0,
     COUNTIFS($Y$3:$Y$201,$M183)&gt;0,
     COUNTIFS($Z$3:$Z$201,$M183)&gt;0,
     COUNTIFS($AA$3:$AA$201,$M183)&gt;0,
     COUNTIFS($AB$3:$AB$201,$M183)&gt;0,
     COUNTIFS($AC$3:$AC$201,$M183)&gt;0,
     COUNTIFS($AD$3:$AD$201,$M183)&gt;0,
     COUNTIFS($AE$3:$AE$201,$M183)&gt;0,
     COUNTIFS($AF$3:$AF$201,$M183)&gt;0,
     COUNTIFS($AG$3:$AG$201,$M183)&gt;0,
     COUNTIFS($AH$3:$AH$201,$M183)&gt;0,
     COUNTIFS($AI$3:$AI$201,$M183)&gt;0,
     COUNTIFS($AJ$3:$AJ$201,$M183)&gt;0,
     COUNTIFS($AK$3:$AK$201,$M183)&gt;0,
     COUNTIFS($AL$3:$AL$201,$M183)&gt;0,
     COUNTIFS($AM$3:$AM$201,$M183)&gt;0,
     COUNTIFS($AN$3:$AN$201,$M183)&gt;0,
     COUNTIFS($AO$3:$AO$201,$M183)&gt;0,
     COUNTIFS($AP$3:$AP$201,$M183)&gt;0,
     COUNTIFS($AQ$3:$AQ$201,$M183)&gt;0,
     COUNTIFS($AR$3:$AR$201,$M183)&gt;0,
     COUNTIFS($AS$3:$AS$201,$M183)&gt;0,
     COUNTIFS($AT$3:$AT$201,$M183)&gt;0,
     COUNTIFS($AU$3:$AU$201,$M183)&gt;0,
     COUNTIFS($AV$3:$AV$201,$M183)&gt;0,
     COUNTIFS($AW$3:$AW$201,$M183)&gt;0
   )),
  ),
  4
 ),
"")</f>
        <v/>
      </c>
      <c r="CF183" t="str">
        <f ca="1"/>
        <v>Tenza, Godo's Maul</v>
      </c>
      <c r="CI183" t="str">
        <f ca="1"/>
        <v>Praia Inundada</v>
      </c>
    </row>
    <row r="184" spans="1:87" x14ac:dyDescent="0.25">
      <c r="A184" t="str">
        <f ca="1"/>
        <v>Mystic Forge</v>
      </c>
      <c r="B184" s="3" t="str" cm="1">
        <f t="array" aca="1" ref="B184" ca="1">_xlfn.ANCHORARRAY(RESUMO!C183)</f>
        <v>Modular</v>
      </c>
      <c r="C184" s="3" t="str">
        <f t="shared" ca="1" si="8"/>
        <v/>
      </c>
      <c r="E184" t="str">
        <f ca="1"/>
        <v>Presença de Gond</v>
      </c>
      <c r="F184" s="3">
        <f t="shared" ca="1" si="9"/>
        <v>1</v>
      </c>
      <c r="G184" s="3" t="str">
        <f t="shared" ca="1" si="10"/>
        <v>Baylen</v>
      </c>
      <c r="M184" t="str">
        <f ca="1"/>
        <v>Presença de Gond</v>
      </c>
      <c r="N184" s="3">
        <f t="shared" ca="1" si="11"/>
        <v>1</v>
      </c>
      <c r="O184" s="3" t="str">
        <f ca="1">IFERROR(
 INDEX($T$2:$AW$2,
  MATCH(TRUE,
   CHOOSE({1;2;3;4;5;6;7;8;9;10;11;12;13;14;15;16;17;18;19;20;21;22;23;24;25;26;27;28;29;30;31;32},
    COUNTIFS($T$3:$T$201,$M184)&gt;0,
    COUNTIFS($U$3:$U$201,$M184)&gt;0,
    COUNTIFS($V$3:$V$201,$M184)&gt;0,
    COUNTIFS($W$3:$W$201,$M184)&gt;0,
    COUNTIFS($X$3:$X$201,$M184)&gt;0,
    COUNTIFS($Y$3:$Y$201,$M184)&gt;0,
    COUNTIFS($Z$3:$Z$201,$M184)&gt;0,
    COUNTIFS($AA$3:$AA$201,$M184)&gt;0,
    COUNTIFS($AB$3:$AB$201,$M184)&gt;0,
    COUNTIFS($AC$3:$AC$201,$M184)&gt;0,
    COUNTIFS($AD$3:$AD$201,$M184)&gt;0,
    COUNTIFS($AE$3:$AE$201,$M184)&gt;0,
    COUNTIFS($AF$3:$AF$201,$M184)&gt;0,
    COUNTIFS($AG$3:$AG$201,$M184)&gt;0,
    COUNTIFS($AH$3:$AH$201,$M184)&gt;0,
    COUNTIFS($AI$3:$AI$201,$M184)&gt;0,
    COUNTIFS($AJ$3:$AJ$201,$M184)&gt;0,
    COUNTIFS($AK$3:$AK$201,$M184)&gt;0,
    COUNTIFS($AL$3:$AL$201,$M184)&gt;0,
    COUNTIFS($AM$3:$AM$201,$M184)&gt;0,
    COUNTIFS($AN$3:$AN$201,$M184)&gt;0,
    COUNTIFS($AO$3:$AO$201,$M184)&gt;0,
    COUNTIFS($AP$3:$AP$201,$M184)&gt;0,
    COUNTIFS($AQ$3:$AQ$201,$M184)&gt;0,
    COUNTIFS($AR$3:$AR$201,$M184)&gt;0,
    COUNTIFS($AS$3:$AS$201,$M184)&gt;0,
    COUNTIFS($AT$3:$AT$201,$M184)&gt;0,
    COUNTIFS($AU$3:$AU$201,$M184)&gt;0,
    COUNTIFS($AV$3:$AV$201,$M184)&gt;0,
    COUNTIFS($AW$3:$AW$201,$M184)&gt;0
   ),
  0)
 ),
"")</f>
        <v>Baylen</v>
      </c>
      <c r="P184" s="3" t="str" cm="1">
        <f t="array" aca="1" ref="P184" ca="1">IFERROR(
 INDEX(
  _xlfn._xlws.FILTER($T$2:$AW$2,
   TRANSPOSE(
    CHOOSE({1;2;3;4;5;6;7;8;9;10;11;12;13;14;15;16;17;18;19;20;21;22;23;24;25;26;27;28;29;30},
     COUNTIFS($T$3:$T$201,$M184)&gt;0,
     COUNTIFS($U$3:$U$201,$M184)&gt;0,
     COUNTIFS($V$3:$V$201,$M184)&gt;0,
     COUNTIFS($W$3:$W$201,$M184)&gt;0,
     COUNTIFS($X$3:$X$201,$M184)&gt;0,
     COUNTIFS($Y$3:$Y$201,$M184)&gt;0,
     COUNTIFS($Z$3:$Z$201,$M184)&gt;0,
     COUNTIFS($AA$3:$AA$201,$M184)&gt;0,
     COUNTIFS($AB$3:$AB$201,$M184)&gt;0,
     COUNTIFS($AC$3:$AC$201,$M184)&gt;0,
     COUNTIFS($AD$3:$AD$201,$M184)&gt;0,
     COUNTIFS($AE$3:$AE$201,$M184)&gt;0,
     COUNTIFS($AF$3:$AF$201,$M184)&gt;0,
     COUNTIFS($AG$3:$AG$201,$M184)&gt;0,
     COUNTIFS($AH$3:$AH$201,$M184)&gt;0,
     COUNTIFS($AI$3:$AI$201,$M184)&gt;0,
     COUNTIFS($AJ$3:$AJ$201,$M184)&gt;0,
     COUNTIFS($AK$3:$AK$201,$M184)&gt;0,
     COUNTIFS($AL$3:$AL$201,$M184)&gt;0,
     COUNTIFS($AM$3:$AM$201,$M184)&gt;0,
     COUNTIFS($AN$3:$AN$201,$M184)&gt;0,
     COUNTIFS($AO$3:$AO$201,$M184)&gt;0,
     COUNTIFS($AP$3:$AP$201,$M184)&gt;0,
     COUNTIFS($AQ$3:$AQ$201,$M184)&gt;0,
     COUNTIFS($AR$3:$AR$201,$M184)&gt;0,
     COUNTIFS($AS$3:$AS$201,$M184)&gt;0,
     COUNTIFS($AT$3:$AT$201,$M184)&gt;0,
     COUNTIFS($AU$3:$AU$201,$M184)&gt;0,
     COUNTIFS($AV$3:$AV$201,$M184)&gt;0,
     COUNTIFS($AW$3:$AW$201,$M184)&gt;0
   )),
  ),
  2
 ),
"")</f>
        <v/>
      </c>
      <c r="Q184" s="3" t="str" cm="1">
        <f t="array" aca="1" ref="Q184" ca="1">IFERROR(
 INDEX(
  _xlfn._xlws.FILTER($T$2:$AW$2,
   TRANSPOSE(
    CHOOSE({1;2;3;4;5;6;7;8;9;10;11;12;13;14;15;16;17;18;19;20;21;22;23;24;25;26;27;28;29;30},
     COUNTIFS($T$3:$T$201,$M184)&gt;0,
     COUNTIFS($U$3:$U$201,$M184)&gt;0,
     COUNTIFS($V$3:$V$201,$M184)&gt;0,
     COUNTIFS($W$3:$W$201,$M184)&gt;0,
     COUNTIFS($X$3:$X$201,$M184)&gt;0,
     COUNTIFS($Y$3:$Y$201,$M184)&gt;0,
     COUNTIFS($Z$3:$Z$201,$M184)&gt;0,
     COUNTIFS($AA$3:$AA$201,$M184)&gt;0,
     COUNTIFS($AB$3:$AB$201,$M184)&gt;0,
     COUNTIFS($AC$3:$AC$201,$M184)&gt;0,
     COUNTIFS($AD$3:$AD$201,$M184)&gt;0,
     COUNTIFS($AE$3:$AE$201,$M184)&gt;0,
     COUNTIFS($AF$3:$AF$201,$M184)&gt;0,
     COUNTIFS($AG$3:$AG$201,$M184)&gt;0,
     COUNTIFS($AH$3:$AH$201,$M184)&gt;0,
     COUNTIFS($AI$3:$AI$201,$M184)&gt;0,
     COUNTIFS($AJ$3:$AJ$201,$M184)&gt;0,
     COUNTIFS($AK$3:$AK$201,$M184)&gt;0,
     COUNTIFS($AL$3:$AL$201,$M184)&gt;0,
     COUNTIFS($AM$3:$AM$201,$M184)&gt;0,
     COUNTIFS($AN$3:$AN$201,$M184)&gt;0,
     COUNTIFS($AO$3:$AO$201,$M184)&gt;0,
     COUNTIFS($AP$3:$AP$201,$M184)&gt;0,
     COUNTIFS($AQ$3:$AQ$201,$M184)&gt;0,
     COUNTIFS($AR$3:$AR$201,$M184)&gt;0,
     COUNTIFS($AS$3:$AS$201,$M184)&gt;0,
     COUNTIFS($AT$3:$AT$201,$M184)&gt;0,
     COUNTIFS($AU$3:$AU$201,$M184)&gt;0,
     COUNTIFS($AV$3:$AV$201,$M184)&gt;0,
     COUNTIFS($AW$3:$AW$201,$M184)&gt;0
   )),
  ),
  3
 ),
"")</f>
        <v/>
      </c>
      <c r="R184" s="3" t="str" cm="1">
        <f t="array" aca="1" ref="R184" ca="1">IFERROR(
 INDEX(
  _xlfn._xlws.FILTER($T$2:$AW$2,
   TRANSPOSE(
    CHOOSE({1;2;3;4;5;6;7;8;9;10;11;12;13;14;15;16;17;18;19;20;21;22;23;24;25;26;27;28;29;30},
     COUNTIFS($T$3:$T$201,$M184)&gt;0,
     COUNTIFS($U$3:$U$201,$M184)&gt;0,
     COUNTIFS($V$3:$V$201,$M184)&gt;0,
     COUNTIFS($W$3:$W$201,$M184)&gt;0,
     COUNTIFS($X$3:$X$201,$M184)&gt;0,
     COUNTIFS($Y$3:$Y$201,$M184)&gt;0,
     COUNTIFS($Z$3:$Z$201,$M184)&gt;0,
     COUNTIFS($AA$3:$AA$201,$M184)&gt;0,
     COUNTIFS($AB$3:$AB$201,$M184)&gt;0,
     COUNTIFS($AC$3:$AC$201,$M184)&gt;0,
     COUNTIFS($AD$3:$AD$201,$M184)&gt;0,
     COUNTIFS($AE$3:$AE$201,$M184)&gt;0,
     COUNTIFS($AF$3:$AF$201,$M184)&gt;0,
     COUNTIFS($AG$3:$AG$201,$M184)&gt;0,
     COUNTIFS($AH$3:$AH$201,$M184)&gt;0,
     COUNTIFS($AI$3:$AI$201,$M184)&gt;0,
     COUNTIFS($AJ$3:$AJ$201,$M184)&gt;0,
     COUNTIFS($AK$3:$AK$201,$M184)&gt;0,
     COUNTIFS($AL$3:$AL$201,$M184)&gt;0,
     COUNTIFS($AM$3:$AM$201,$M184)&gt;0,
     COUNTIFS($AN$3:$AN$201,$M184)&gt;0,
     COUNTIFS($AO$3:$AO$201,$M184)&gt;0,
     COUNTIFS($AP$3:$AP$201,$M184)&gt;0,
     COUNTIFS($AQ$3:$AQ$201,$M184)&gt;0,
     COUNTIFS($AR$3:$AR$201,$M184)&gt;0,
     COUNTIFS($AS$3:$AS$201,$M184)&gt;0,
     COUNTIFS($AT$3:$AT$201,$M184)&gt;0,
     COUNTIFS($AU$3:$AU$201,$M184)&gt;0,
     COUNTIFS($AV$3:$AV$201,$M184)&gt;0,
     COUNTIFS($AW$3:$AW$201,$M184)&gt;0
   )),
  ),
  4
 ),
"")</f>
        <v/>
      </c>
      <c r="CF184" t="str">
        <f ca="1"/>
        <v>Terraço do Condado</v>
      </c>
      <c r="CI184" t="str">
        <f ca="1"/>
        <v>Presença de Gond</v>
      </c>
    </row>
    <row r="185" spans="1:87" x14ac:dyDescent="0.25">
      <c r="A185" t="str">
        <f ca="1"/>
        <v>Nibelheim Aflame</v>
      </c>
      <c r="B185" s="3" t="str" cm="1">
        <f t="array" aca="1" ref="B185" ca="1">_xlfn.ANCHORARRAY(RESUMO!C184)</f>
        <v>Kresh</v>
      </c>
      <c r="C185" s="3" t="str">
        <f t="shared" ca="1" si="8"/>
        <v/>
      </c>
      <c r="E185" t="str">
        <f ca="1"/>
        <v>Prismatic Lens</v>
      </c>
      <c r="F185" s="3">
        <f t="shared" ca="1" si="9"/>
        <v>2</v>
      </c>
      <c r="G185" s="3" t="str">
        <f t="shared" ca="1" si="10"/>
        <v>Tayam</v>
      </c>
      <c r="M185" t="str">
        <f ca="1"/>
        <v>Prismatic Lens</v>
      </c>
      <c r="N185" s="3">
        <f t="shared" ca="1" si="11"/>
        <v>2</v>
      </c>
      <c r="O185" s="3" t="str">
        <f ca="1">IFERROR(
 INDEX($T$2:$AW$2,
  MATCH(TRUE,
   CHOOSE({1;2;3;4;5;6;7;8;9;10;11;12;13;14;15;16;17;18;19;20;21;22;23;24;25;26;27;28;29;30;31;32},
    COUNTIFS($T$3:$T$201,$M185)&gt;0,
    COUNTIFS($U$3:$U$201,$M185)&gt;0,
    COUNTIFS($V$3:$V$201,$M185)&gt;0,
    COUNTIFS($W$3:$W$201,$M185)&gt;0,
    COUNTIFS($X$3:$X$201,$M185)&gt;0,
    COUNTIFS($Y$3:$Y$201,$M185)&gt;0,
    COUNTIFS($Z$3:$Z$201,$M185)&gt;0,
    COUNTIFS($AA$3:$AA$201,$M185)&gt;0,
    COUNTIFS($AB$3:$AB$201,$M185)&gt;0,
    COUNTIFS($AC$3:$AC$201,$M185)&gt;0,
    COUNTIFS($AD$3:$AD$201,$M185)&gt;0,
    COUNTIFS($AE$3:$AE$201,$M185)&gt;0,
    COUNTIFS($AF$3:$AF$201,$M185)&gt;0,
    COUNTIFS($AG$3:$AG$201,$M185)&gt;0,
    COUNTIFS($AH$3:$AH$201,$M185)&gt;0,
    COUNTIFS($AI$3:$AI$201,$M185)&gt;0,
    COUNTIFS($AJ$3:$AJ$201,$M185)&gt;0,
    COUNTIFS($AK$3:$AK$201,$M185)&gt;0,
    COUNTIFS($AL$3:$AL$201,$M185)&gt;0,
    COUNTIFS($AM$3:$AM$201,$M185)&gt;0,
    COUNTIFS($AN$3:$AN$201,$M185)&gt;0,
    COUNTIFS($AO$3:$AO$201,$M185)&gt;0,
    COUNTIFS($AP$3:$AP$201,$M185)&gt;0,
    COUNTIFS($AQ$3:$AQ$201,$M185)&gt;0,
    COUNTIFS($AR$3:$AR$201,$M185)&gt;0,
    COUNTIFS($AS$3:$AS$201,$M185)&gt;0,
    COUNTIFS($AT$3:$AT$201,$M185)&gt;0,
    COUNTIFS($AU$3:$AU$201,$M185)&gt;0,
    COUNTIFS($AV$3:$AV$201,$M185)&gt;0,
    COUNTIFS($AW$3:$AW$201,$M185)&gt;0
   ),
  0)
 ),
"")</f>
        <v>Tayam</v>
      </c>
      <c r="P185" s="3" t="str" cm="1">
        <f t="array" aca="1" ref="P185" ca="1">IFERROR(
 INDEX(
  _xlfn._xlws.FILTER($T$2:$AW$2,
   TRANSPOSE(
    CHOOSE({1;2;3;4;5;6;7;8;9;10;11;12;13;14;15;16;17;18;19;20;21;22;23;24;25;26;27;28;29;30},
     COUNTIFS($T$3:$T$201,$M185)&gt;0,
     COUNTIFS($U$3:$U$201,$M185)&gt;0,
     COUNTIFS($V$3:$V$201,$M185)&gt;0,
     COUNTIFS($W$3:$W$201,$M185)&gt;0,
     COUNTIFS($X$3:$X$201,$M185)&gt;0,
     COUNTIFS($Y$3:$Y$201,$M185)&gt;0,
     COUNTIFS($Z$3:$Z$201,$M185)&gt;0,
     COUNTIFS($AA$3:$AA$201,$M185)&gt;0,
     COUNTIFS($AB$3:$AB$201,$M185)&gt;0,
     COUNTIFS($AC$3:$AC$201,$M185)&gt;0,
     COUNTIFS($AD$3:$AD$201,$M185)&gt;0,
     COUNTIFS($AE$3:$AE$201,$M185)&gt;0,
     COUNTIFS($AF$3:$AF$201,$M185)&gt;0,
     COUNTIFS($AG$3:$AG$201,$M185)&gt;0,
     COUNTIFS($AH$3:$AH$201,$M185)&gt;0,
     COUNTIFS($AI$3:$AI$201,$M185)&gt;0,
     COUNTIFS($AJ$3:$AJ$201,$M185)&gt;0,
     COUNTIFS($AK$3:$AK$201,$M185)&gt;0,
     COUNTIFS($AL$3:$AL$201,$M185)&gt;0,
     COUNTIFS($AM$3:$AM$201,$M185)&gt;0,
     COUNTIFS($AN$3:$AN$201,$M185)&gt;0,
     COUNTIFS($AO$3:$AO$201,$M185)&gt;0,
     COUNTIFS($AP$3:$AP$201,$M185)&gt;0,
     COUNTIFS($AQ$3:$AQ$201,$M185)&gt;0,
     COUNTIFS($AR$3:$AR$201,$M185)&gt;0,
     COUNTIFS($AS$3:$AS$201,$M185)&gt;0,
     COUNTIFS($AT$3:$AT$201,$M185)&gt;0,
     COUNTIFS($AU$3:$AU$201,$M185)&gt;0,
     COUNTIFS($AV$3:$AV$201,$M185)&gt;0,
     COUNTIFS($AW$3:$AW$201,$M185)&gt;0
   )),
  ),
  2
 ),
"")</f>
        <v>Thrakiri</v>
      </c>
      <c r="Q185" s="3" t="str" cm="1">
        <f t="array" aca="1" ref="Q185" ca="1">IFERROR(
 INDEX(
  _xlfn._xlws.FILTER($T$2:$AW$2,
   TRANSPOSE(
    CHOOSE({1;2;3;4;5;6;7;8;9;10;11;12;13;14;15;16;17;18;19;20;21;22;23;24;25;26;27;28;29;30},
     COUNTIFS($T$3:$T$201,$M185)&gt;0,
     COUNTIFS($U$3:$U$201,$M185)&gt;0,
     COUNTIFS($V$3:$V$201,$M185)&gt;0,
     COUNTIFS($W$3:$W$201,$M185)&gt;0,
     COUNTIFS($X$3:$X$201,$M185)&gt;0,
     COUNTIFS($Y$3:$Y$201,$M185)&gt;0,
     COUNTIFS($Z$3:$Z$201,$M185)&gt;0,
     COUNTIFS($AA$3:$AA$201,$M185)&gt;0,
     COUNTIFS($AB$3:$AB$201,$M185)&gt;0,
     COUNTIFS($AC$3:$AC$201,$M185)&gt;0,
     COUNTIFS($AD$3:$AD$201,$M185)&gt;0,
     COUNTIFS($AE$3:$AE$201,$M185)&gt;0,
     COUNTIFS($AF$3:$AF$201,$M185)&gt;0,
     COUNTIFS($AG$3:$AG$201,$M185)&gt;0,
     COUNTIFS($AH$3:$AH$201,$M185)&gt;0,
     COUNTIFS($AI$3:$AI$201,$M185)&gt;0,
     COUNTIFS($AJ$3:$AJ$201,$M185)&gt;0,
     COUNTIFS($AK$3:$AK$201,$M185)&gt;0,
     COUNTIFS($AL$3:$AL$201,$M185)&gt;0,
     COUNTIFS($AM$3:$AM$201,$M185)&gt;0,
     COUNTIFS($AN$3:$AN$201,$M185)&gt;0,
     COUNTIFS($AO$3:$AO$201,$M185)&gt;0,
     COUNTIFS($AP$3:$AP$201,$M185)&gt;0,
     COUNTIFS($AQ$3:$AQ$201,$M185)&gt;0,
     COUNTIFS($AR$3:$AR$201,$M185)&gt;0,
     COUNTIFS($AS$3:$AS$201,$M185)&gt;0,
     COUNTIFS($AT$3:$AT$201,$M185)&gt;0,
     COUNTIFS($AU$3:$AU$201,$M185)&gt;0,
     COUNTIFS($AV$3:$AV$201,$M185)&gt;0,
     COUNTIFS($AW$3:$AW$201,$M185)&gt;0
   )),
  ),
  3
 ),
"")</f>
        <v/>
      </c>
      <c r="R185" s="3" t="str" cm="1">
        <f t="array" aca="1" ref="R185" ca="1">IFERROR(
 INDEX(
  _xlfn._xlws.FILTER($T$2:$AW$2,
   TRANSPOSE(
    CHOOSE({1;2;3;4;5;6;7;8;9;10;11;12;13;14;15;16;17;18;19;20;21;22;23;24;25;26;27;28;29;30},
     COUNTIFS($T$3:$T$201,$M185)&gt;0,
     COUNTIFS($U$3:$U$201,$M185)&gt;0,
     COUNTIFS($V$3:$V$201,$M185)&gt;0,
     COUNTIFS($W$3:$W$201,$M185)&gt;0,
     COUNTIFS($X$3:$X$201,$M185)&gt;0,
     COUNTIFS($Y$3:$Y$201,$M185)&gt;0,
     COUNTIFS($Z$3:$Z$201,$M185)&gt;0,
     COUNTIFS($AA$3:$AA$201,$M185)&gt;0,
     COUNTIFS($AB$3:$AB$201,$M185)&gt;0,
     COUNTIFS($AC$3:$AC$201,$M185)&gt;0,
     COUNTIFS($AD$3:$AD$201,$M185)&gt;0,
     COUNTIFS($AE$3:$AE$201,$M185)&gt;0,
     COUNTIFS($AF$3:$AF$201,$M185)&gt;0,
     COUNTIFS($AG$3:$AG$201,$M185)&gt;0,
     COUNTIFS($AH$3:$AH$201,$M185)&gt;0,
     COUNTIFS($AI$3:$AI$201,$M185)&gt;0,
     COUNTIFS($AJ$3:$AJ$201,$M185)&gt;0,
     COUNTIFS($AK$3:$AK$201,$M185)&gt;0,
     COUNTIFS($AL$3:$AL$201,$M185)&gt;0,
     COUNTIFS($AM$3:$AM$201,$M185)&gt;0,
     COUNTIFS($AN$3:$AN$201,$M185)&gt;0,
     COUNTIFS($AO$3:$AO$201,$M185)&gt;0,
     COUNTIFS($AP$3:$AP$201,$M185)&gt;0,
     COUNTIFS($AQ$3:$AQ$201,$M185)&gt;0,
     COUNTIFS($AR$3:$AR$201,$M185)&gt;0,
     COUNTIFS($AS$3:$AS$201,$M185)&gt;0,
     COUNTIFS($AT$3:$AT$201,$M185)&gt;0,
     COUNTIFS($AU$3:$AU$201,$M185)&gt;0,
     COUNTIFS($AV$3:$AV$201,$M185)&gt;0,
     COUNTIFS($AW$3:$AW$201,$M185)&gt;0
   )),
  ),
  4
 ),
"")</f>
        <v/>
      </c>
      <c r="CF185" t="str">
        <f ca="1"/>
        <v>Terras em Desenvolvimento</v>
      </c>
      <c r="CI185" t="str">
        <f ca="1"/>
        <v>Prismatic Lens</v>
      </c>
    </row>
    <row r="186" spans="1:87" x14ac:dyDescent="0.25">
      <c r="A186" t="str">
        <f ca="1"/>
        <v>Nicol Bolas, God-Pharaoh</v>
      </c>
      <c r="B186" s="3" t="str" cm="1">
        <f t="array" aca="1" ref="B186" ca="1">_xlfn.ANCHORARRAY(RESUMO!C185)</f>
        <v>Sisay</v>
      </c>
      <c r="C186" s="3" t="str">
        <f t="shared" ca="1" si="8"/>
        <v/>
      </c>
      <c r="E186" t="str">
        <f ca="1"/>
        <v>Procissão de Carniçais</v>
      </c>
      <c r="F186" s="3">
        <f t="shared" ca="1" si="9"/>
        <v>1</v>
      </c>
      <c r="G186" s="3" t="str">
        <f t="shared" ca="1" si="10"/>
        <v>Kresh</v>
      </c>
      <c r="M186" t="str">
        <f ca="1"/>
        <v>Procissão de Carniçais</v>
      </c>
      <c r="N186" s="3">
        <f t="shared" ca="1" si="11"/>
        <v>1</v>
      </c>
      <c r="O186" s="3" t="str">
        <f ca="1">IFERROR(
 INDEX($T$2:$AW$2,
  MATCH(TRUE,
   CHOOSE({1;2;3;4;5;6;7;8;9;10;11;12;13;14;15;16;17;18;19;20;21;22;23;24;25;26;27;28;29;30;31;32},
    COUNTIFS($T$3:$T$201,$M186)&gt;0,
    COUNTIFS($U$3:$U$201,$M186)&gt;0,
    COUNTIFS($V$3:$V$201,$M186)&gt;0,
    COUNTIFS($W$3:$W$201,$M186)&gt;0,
    COUNTIFS($X$3:$X$201,$M186)&gt;0,
    COUNTIFS($Y$3:$Y$201,$M186)&gt;0,
    COUNTIFS($Z$3:$Z$201,$M186)&gt;0,
    COUNTIFS($AA$3:$AA$201,$M186)&gt;0,
    COUNTIFS($AB$3:$AB$201,$M186)&gt;0,
    COUNTIFS($AC$3:$AC$201,$M186)&gt;0,
    COUNTIFS($AD$3:$AD$201,$M186)&gt;0,
    COUNTIFS($AE$3:$AE$201,$M186)&gt;0,
    COUNTIFS($AF$3:$AF$201,$M186)&gt;0,
    COUNTIFS($AG$3:$AG$201,$M186)&gt;0,
    COUNTIFS($AH$3:$AH$201,$M186)&gt;0,
    COUNTIFS($AI$3:$AI$201,$M186)&gt;0,
    COUNTIFS($AJ$3:$AJ$201,$M186)&gt;0,
    COUNTIFS($AK$3:$AK$201,$M186)&gt;0,
    COUNTIFS($AL$3:$AL$201,$M186)&gt;0,
    COUNTIFS($AM$3:$AM$201,$M186)&gt;0,
    COUNTIFS($AN$3:$AN$201,$M186)&gt;0,
    COUNTIFS($AO$3:$AO$201,$M186)&gt;0,
    COUNTIFS($AP$3:$AP$201,$M186)&gt;0,
    COUNTIFS($AQ$3:$AQ$201,$M186)&gt;0,
    COUNTIFS($AR$3:$AR$201,$M186)&gt;0,
    COUNTIFS($AS$3:$AS$201,$M186)&gt;0,
    COUNTIFS($AT$3:$AT$201,$M186)&gt;0,
    COUNTIFS($AU$3:$AU$201,$M186)&gt;0,
    COUNTIFS($AV$3:$AV$201,$M186)&gt;0,
    COUNTIFS($AW$3:$AW$201,$M186)&gt;0
   ),
  0)
 ),
"")</f>
        <v>Kresh</v>
      </c>
      <c r="P186" s="3" t="str" cm="1">
        <f t="array" aca="1" ref="P186" ca="1">IFERROR(
 INDEX(
  _xlfn._xlws.FILTER($T$2:$AW$2,
   TRANSPOSE(
    CHOOSE({1;2;3;4;5;6;7;8;9;10;11;12;13;14;15;16;17;18;19;20;21;22;23;24;25;26;27;28;29;30},
     COUNTIFS($T$3:$T$201,$M186)&gt;0,
     COUNTIFS($U$3:$U$201,$M186)&gt;0,
     COUNTIFS($V$3:$V$201,$M186)&gt;0,
     COUNTIFS($W$3:$W$201,$M186)&gt;0,
     COUNTIFS($X$3:$X$201,$M186)&gt;0,
     COUNTIFS($Y$3:$Y$201,$M186)&gt;0,
     COUNTIFS($Z$3:$Z$201,$M186)&gt;0,
     COUNTIFS($AA$3:$AA$201,$M186)&gt;0,
     COUNTIFS($AB$3:$AB$201,$M186)&gt;0,
     COUNTIFS($AC$3:$AC$201,$M186)&gt;0,
     COUNTIFS($AD$3:$AD$201,$M186)&gt;0,
     COUNTIFS($AE$3:$AE$201,$M186)&gt;0,
     COUNTIFS($AF$3:$AF$201,$M186)&gt;0,
     COUNTIFS($AG$3:$AG$201,$M186)&gt;0,
     COUNTIFS($AH$3:$AH$201,$M186)&gt;0,
     COUNTIFS($AI$3:$AI$201,$M186)&gt;0,
     COUNTIFS($AJ$3:$AJ$201,$M186)&gt;0,
     COUNTIFS($AK$3:$AK$201,$M186)&gt;0,
     COUNTIFS($AL$3:$AL$201,$M186)&gt;0,
     COUNTIFS($AM$3:$AM$201,$M186)&gt;0,
     COUNTIFS($AN$3:$AN$201,$M186)&gt;0,
     COUNTIFS($AO$3:$AO$201,$M186)&gt;0,
     COUNTIFS($AP$3:$AP$201,$M186)&gt;0,
     COUNTIFS($AQ$3:$AQ$201,$M186)&gt;0,
     COUNTIFS($AR$3:$AR$201,$M186)&gt;0,
     COUNTIFS($AS$3:$AS$201,$M186)&gt;0,
     COUNTIFS($AT$3:$AT$201,$M186)&gt;0,
     COUNTIFS($AU$3:$AU$201,$M186)&gt;0,
     COUNTIFS($AV$3:$AV$201,$M186)&gt;0,
     COUNTIFS($AW$3:$AW$201,$M186)&gt;0
   )),
  ),
  2
 ),
"")</f>
        <v/>
      </c>
      <c r="Q186" s="3" t="str" cm="1">
        <f t="array" aca="1" ref="Q186" ca="1">IFERROR(
 INDEX(
  _xlfn._xlws.FILTER($T$2:$AW$2,
   TRANSPOSE(
    CHOOSE({1;2;3;4;5;6;7;8;9;10;11;12;13;14;15;16;17;18;19;20;21;22;23;24;25;26;27;28;29;30},
     COUNTIFS($T$3:$T$201,$M186)&gt;0,
     COUNTIFS($U$3:$U$201,$M186)&gt;0,
     COUNTIFS($V$3:$V$201,$M186)&gt;0,
     COUNTIFS($W$3:$W$201,$M186)&gt;0,
     COUNTIFS($X$3:$X$201,$M186)&gt;0,
     COUNTIFS($Y$3:$Y$201,$M186)&gt;0,
     COUNTIFS($Z$3:$Z$201,$M186)&gt;0,
     COUNTIFS($AA$3:$AA$201,$M186)&gt;0,
     COUNTIFS($AB$3:$AB$201,$M186)&gt;0,
     COUNTIFS($AC$3:$AC$201,$M186)&gt;0,
     COUNTIFS($AD$3:$AD$201,$M186)&gt;0,
     COUNTIFS($AE$3:$AE$201,$M186)&gt;0,
     COUNTIFS($AF$3:$AF$201,$M186)&gt;0,
     COUNTIFS($AG$3:$AG$201,$M186)&gt;0,
     COUNTIFS($AH$3:$AH$201,$M186)&gt;0,
     COUNTIFS($AI$3:$AI$201,$M186)&gt;0,
     COUNTIFS($AJ$3:$AJ$201,$M186)&gt;0,
     COUNTIFS($AK$3:$AK$201,$M186)&gt;0,
     COUNTIFS($AL$3:$AL$201,$M186)&gt;0,
     COUNTIFS($AM$3:$AM$201,$M186)&gt;0,
     COUNTIFS($AN$3:$AN$201,$M186)&gt;0,
     COUNTIFS($AO$3:$AO$201,$M186)&gt;0,
     COUNTIFS($AP$3:$AP$201,$M186)&gt;0,
     COUNTIFS($AQ$3:$AQ$201,$M186)&gt;0,
     COUNTIFS($AR$3:$AR$201,$M186)&gt;0,
     COUNTIFS($AS$3:$AS$201,$M186)&gt;0,
     COUNTIFS($AT$3:$AT$201,$M186)&gt;0,
     COUNTIFS($AU$3:$AU$201,$M186)&gt;0,
     COUNTIFS($AV$3:$AV$201,$M186)&gt;0,
     COUNTIFS($AW$3:$AW$201,$M186)&gt;0
   )),
  ),
  3
 ),
"")</f>
        <v/>
      </c>
      <c r="R186" s="3" t="str" cm="1">
        <f t="array" aca="1" ref="R186" ca="1">IFERROR(
 INDEX(
  _xlfn._xlws.FILTER($T$2:$AW$2,
   TRANSPOSE(
    CHOOSE({1;2;3;4;5;6;7;8;9;10;11;12;13;14;15;16;17;18;19;20;21;22;23;24;25;26;27;28;29;30},
     COUNTIFS($T$3:$T$201,$M186)&gt;0,
     COUNTIFS($U$3:$U$201,$M186)&gt;0,
     COUNTIFS($V$3:$V$201,$M186)&gt;0,
     COUNTIFS($W$3:$W$201,$M186)&gt;0,
     COUNTIFS($X$3:$X$201,$M186)&gt;0,
     COUNTIFS($Y$3:$Y$201,$M186)&gt;0,
     COUNTIFS($Z$3:$Z$201,$M186)&gt;0,
     COUNTIFS($AA$3:$AA$201,$M186)&gt;0,
     COUNTIFS($AB$3:$AB$201,$M186)&gt;0,
     COUNTIFS($AC$3:$AC$201,$M186)&gt;0,
     COUNTIFS($AD$3:$AD$201,$M186)&gt;0,
     COUNTIFS($AE$3:$AE$201,$M186)&gt;0,
     COUNTIFS($AF$3:$AF$201,$M186)&gt;0,
     COUNTIFS($AG$3:$AG$201,$M186)&gt;0,
     COUNTIFS($AH$3:$AH$201,$M186)&gt;0,
     COUNTIFS($AI$3:$AI$201,$M186)&gt;0,
     COUNTIFS($AJ$3:$AJ$201,$M186)&gt;0,
     COUNTIFS($AK$3:$AK$201,$M186)&gt;0,
     COUNTIFS($AL$3:$AL$201,$M186)&gt;0,
     COUNTIFS($AM$3:$AM$201,$M186)&gt;0,
     COUNTIFS($AN$3:$AN$201,$M186)&gt;0,
     COUNTIFS($AO$3:$AO$201,$M186)&gt;0,
     COUNTIFS($AP$3:$AP$201,$M186)&gt;0,
     COUNTIFS($AQ$3:$AQ$201,$M186)&gt;0,
     COUNTIFS($AR$3:$AR$201,$M186)&gt;0,
     COUNTIFS($AS$3:$AS$201,$M186)&gt;0,
     COUNTIFS($AT$3:$AT$201,$M186)&gt;0,
     COUNTIFS($AU$3:$AU$201,$M186)&gt;0,
     COUNTIFS($AV$3:$AV$201,$M186)&gt;0,
     COUNTIFS($AW$3:$AW$201,$M186)&gt;0
   )),
  ),
  4
 ),
"")</f>
        <v/>
      </c>
      <c r="CF186" t="str">
        <f ca="1"/>
        <v>The Hunger Tide Rises</v>
      </c>
      <c r="CI186" t="str">
        <f ca="1"/>
        <v>Procissão de Carniçais</v>
      </c>
    </row>
    <row r="187" spans="1:87" x14ac:dyDescent="0.25">
      <c r="A187" t="str">
        <f ca="1"/>
        <v>Nissa, Resurgent Animist</v>
      </c>
      <c r="B187" s="3" t="str" cm="1">
        <f t="array" aca="1" ref="B187" ca="1">_xlfn.ANCHORARRAY(RESUMO!C186)</f>
        <v>Elfos</v>
      </c>
      <c r="C187" s="3" t="str">
        <f t="shared" ca="1" si="8"/>
        <v/>
      </c>
      <c r="E187" t="str">
        <f ca="1"/>
        <v>Protection Racket</v>
      </c>
      <c r="F187" s="3">
        <f t="shared" ca="1" si="9"/>
        <v>1</v>
      </c>
      <c r="G187" s="3" t="str">
        <f t="shared" ca="1" si="10"/>
        <v>Yuriko</v>
      </c>
      <c r="M187" t="str">
        <f ca="1"/>
        <v>Protection Racket</v>
      </c>
      <c r="N187" s="3">
        <f t="shared" ca="1" si="11"/>
        <v>1</v>
      </c>
      <c r="O187" s="3" t="str">
        <f ca="1">IFERROR(
 INDEX($T$2:$AW$2,
  MATCH(TRUE,
   CHOOSE({1;2;3;4;5;6;7;8;9;10;11;12;13;14;15;16;17;18;19;20;21;22;23;24;25;26;27;28;29;30;31;32},
    COUNTIFS($T$3:$T$201,$M187)&gt;0,
    COUNTIFS($U$3:$U$201,$M187)&gt;0,
    COUNTIFS($V$3:$V$201,$M187)&gt;0,
    COUNTIFS($W$3:$W$201,$M187)&gt;0,
    COUNTIFS($X$3:$X$201,$M187)&gt;0,
    COUNTIFS($Y$3:$Y$201,$M187)&gt;0,
    COUNTIFS($Z$3:$Z$201,$M187)&gt;0,
    COUNTIFS($AA$3:$AA$201,$M187)&gt;0,
    COUNTIFS($AB$3:$AB$201,$M187)&gt;0,
    COUNTIFS($AC$3:$AC$201,$M187)&gt;0,
    COUNTIFS($AD$3:$AD$201,$M187)&gt;0,
    COUNTIFS($AE$3:$AE$201,$M187)&gt;0,
    COUNTIFS($AF$3:$AF$201,$M187)&gt;0,
    COUNTIFS($AG$3:$AG$201,$M187)&gt;0,
    COUNTIFS($AH$3:$AH$201,$M187)&gt;0,
    COUNTIFS($AI$3:$AI$201,$M187)&gt;0,
    COUNTIFS($AJ$3:$AJ$201,$M187)&gt;0,
    COUNTIFS($AK$3:$AK$201,$M187)&gt;0,
    COUNTIFS($AL$3:$AL$201,$M187)&gt;0,
    COUNTIFS($AM$3:$AM$201,$M187)&gt;0,
    COUNTIFS($AN$3:$AN$201,$M187)&gt;0,
    COUNTIFS($AO$3:$AO$201,$M187)&gt;0,
    COUNTIFS($AP$3:$AP$201,$M187)&gt;0,
    COUNTIFS($AQ$3:$AQ$201,$M187)&gt;0,
    COUNTIFS($AR$3:$AR$201,$M187)&gt;0,
    COUNTIFS($AS$3:$AS$201,$M187)&gt;0,
    COUNTIFS($AT$3:$AT$201,$M187)&gt;0,
    COUNTIFS($AU$3:$AU$201,$M187)&gt;0,
    COUNTIFS($AV$3:$AV$201,$M187)&gt;0,
    COUNTIFS($AW$3:$AW$201,$M187)&gt;0
   ),
  0)
 ),
"")</f>
        <v>Yuriko</v>
      </c>
      <c r="P187" s="3" t="str" cm="1">
        <f t="array" aca="1" ref="P187" ca="1">IFERROR(
 INDEX(
  _xlfn._xlws.FILTER($T$2:$AW$2,
   TRANSPOSE(
    CHOOSE({1;2;3;4;5;6;7;8;9;10;11;12;13;14;15;16;17;18;19;20;21;22;23;24;25;26;27;28;29;30},
     COUNTIFS($T$3:$T$201,$M187)&gt;0,
     COUNTIFS($U$3:$U$201,$M187)&gt;0,
     COUNTIFS($V$3:$V$201,$M187)&gt;0,
     COUNTIFS($W$3:$W$201,$M187)&gt;0,
     COUNTIFS($X$3:$X$201,$M187)&gt;0,
     COUNTIFS($Y$3:$Y$201,$M187)&gt;0,
     COUNTIFS($Z$3:$Z$201,$M187)&gt;0,
     COUNTIFS($AA$3:$AA$201,$M187)&gt;0,
     COUNTIFS($AB$3:$AB$201,$M187)&gt;0,
     COUNTIFS($AC$3:$AC$201,$M187)&gt;0,
     COUNTIFS($AD$3:$AD$201,$M187)&gt;0,
     COUNTIFS($AE$3:$AE$201,$M187)&gt;0,
     COUNTIFS($AF$3:$AF$201,$M187)&gt;0,
     COUNTIFS($AG$3:$AG$201,$M187)&gt;0,
     COUNTIFS($AH$3:$AH$201,$M187)&gt;0,
     COUNTIFS($AI$3:$AI$201,$M187)&gt;0,
     COUNTIFS($AJ$3:$AJ$201,$M187)&gt;0,
     COUNTIFS($AK$3:$AK$201,$M187)&gt;0,
     COUNTIFS($AL$3:$AL$201,$M187)&gt;0,
     COUNTIFS($AM$3:$AM$201,$M187)&gt;0,
     COUNTIFS($AN$3:$AN$201,$M187)&gt;0,
     COUNTIFS($AO$3:$AO$201,$M187)&gt;0,
     COUNTIFS($AP$3:$AP$201,$M187)&gt;0,
     COUNTIFS($AQ$3:$AQ$201,$M187)&gt;0,
     COUNTIFS($AR$3:$AR$201,$M187)&gt;0,
     COUNTIFS($AS$3:$AS$201,$M187)&gt;0,
     COUNTIFS($AT$3:$AT$201,$M187)&gt;0,
     COUNTIFS($AU$3:$AU$201,$M187)&gt;0,
     COUNTIFS($AV$3:$AV$201,$M187)&gt;0,
     COUNTIFS($AW$3:$AW$201,$M187)&gt;0
   )),
  ),
  2
 ),
"")</f>
        <v/>
      </c>
      <c r="Q187" s="3" t="str" cm="1">
        <f t="array" aca="1" ref="Q187" ca="1">IFERROR(
 INDEX(
  _xlfn._xlws.FILTER($T$2:$AW$2,
   TRANSPOSE(
    CHOOSE({1;2;3;4;5;6;7;8;9;10;11;12;13;14;15;16;17;18;19;20;21;22;23;24;25;26;27;28;29;30},
     COUNTIFS($T$3:$T$201,$M187)&gt;0,
     COUNTIFS($U$3:$U$201,$M187)&gt;0,
     COUNTIFS($V$3:$V$201,$M187)&gt;0,
     COUNTIFS($W$3:$W$201,$M187)&gt;0,
     COUNTIFS($X$3:$X$201,$M187)&gt;0,
     COUNTIFS($Y$3:$Y$201,$M187)&gt;0,
     COUNTIFS($Z$3:$Z$201,$M187)&gt;0,
     COUNTIFS($AA$3:$AA$201,$M187)&gt;0,
     COUNTIFS($AB$3:$AB$201,$M187)&gt;0,
     COUNTIFS($AC$3:$AC$201,$M187)&gt;0,
     COUNTIFS($AD$3:$AD$201,$M187)&gt;0,
     COUNTIFS($AE$3:$AE$201,$M187)&gt;0,
     COUNTIFS($AF$3:$AF$201,$M187)&gt;0,
     COUNTIFS($AG$3:$AG$201,$M187)&gt;0,
     COUNTIFS($AH$3:$AH$201,$M187)&gt;0,
     COUNTIFS($AI$3:$AI$201,$M187)&gt;0,
     COUNTIFS($AJ$3:$AJ$201,$M187)&gt;0,
     COUNTIFS($AK$3:$AK$201,$M187)&gt;0,
     COUNTIFS($AL$3:$AL$201,$M187)&gt;0,
     COUNTIFS($AM$3:$AM$201,$M187)&gt;0,
     COUNTIFS($AN$3:$AN$201,$M187)&gt;0,
     COUNTIFS($AO$3:$AO$201,$M187)&gt;0,
     COUNTIFS($AP$3:$AP$201,$M187)&gt;0,
     COUNTIFS($AQ$3:$AQ$201,$M187)&gt;0,
     COUNTIFS($AR$3:$AR$201,$M187)&gt;0,
     COUNTIFS($AS$3:$AS$201,$M187)&gt;0,
     COUNTIFS($AT$3:$AT$201,$M187)&gt;0,
     COUNTIFS($AU$3:$AU$201,$M187)&gt;0,
     COUNTIFS($AV$3:$AV$201,$M187)&gt;0,
     COUNTIFS($AW$3:$AW$201,$M187)&gt;0
   )),
  ),
  3
 ),
"")</f>
        <v/>
      </c>
      <c r="R187" s="3" t="str" cm="1">
        <f t="array" aca="1" ref="R187" ca="1">IFERROR(
 INDEX(
  _xlfn._xlws.FILTER($T$2:$AW$2,
   TRANSPOSE(
    CHOOSE({1;2;3;4;5;6;7;8;9;10;11;12;13;14;15;16;17;18;19;20;21;22;23;24;25;26;27;28;29;30},
     COUNTIFS($T$3:$T$201,$M187)&gt;0,
     COUNTIFS($U$3:$U$201,$M187)&gt;0,
     COUNTIFS($V$3:$V$201,$M187)&gt;0,
     COUNTIFS($W$3:$W$201,$M187)&gt;0,
     COUNTIFS($X$3:$X$201,$M187)&gt;0,
     COUNTIFS($Y$3:$Y$201,$M187)&gt;0,
     COUNTIFS($Z$3:$Z$201,$M187)&gt;0,
     COUNTIFS($AA$3:$AA$201,$M187)&gt;0,
     COUNTIFS($AB$3:$AB$201,$M187)&gt;0,
     COUNTIFS($AC$3:$AC$201,$M187)&gt;0,
     COUNTIFS($AD$3:$AD$201,$M187)&gt;0,
     COUNTIFS($AE$3:$AE$201,$M187)&gt;0,
     COUNTIFS($AF$3:$AF$201,$M187)&gt;0,
     COUNTIFS($AG$3:$AG$201,$M187)&gt;0,
     COUNTIFS($AH$3:$AH$201,$M187)&gt;0,
     COUNTIFS($AI$3:$AI$201,$M187)&gt;0,
     COUNTIFS($AJ$3:$AJ$201,$M187)&gt;0,
     COUNTIFS($AK$3:$AK$201,$M187)&gt;0,
     COUNTIFS($AL$3:$AL$201,$M187)&gt;0,
     COUNTIFS($AM$3:$AM$201,$M187)&gt;0,
     COUNTIFS($AN$3:$AN$201,$M187)&gt;0,
     COUNTIFS($AO$3:$AO$201,$M187)&gt;0,
     COUNTIFS($AP$3:$AP$201,$M187)&gt;0,
     COUNTIFS($AQ$3:$AQ$201,$M187)&gt;0,
     COUNTIFS($AR$3:$AR$201,$M187)&gt;0,
     COUNTIFS($AS$3:$AS$201,$M187)&gt;0,
     COUNTIFS($AT$3:$AT$201,$M187)&gt;0,
     COUNTIFS($AU$3:$AU$201,$M187)&gt;0,
     COUNTIFS($AV$3:$AV$201,$M187)&gt;0,
     COUNTIFS($AW$3:$AW$201,$M187)&gt;0
   )),
  ),
  4
 ),
"")</f>
        <v/>
      </c>
      <c r="CF187" t="str">
        <f ca="1"/>
        <v>Thran Temporal Gateway</v>
      </c>
      <c r="CI187" t="str">
        <f ca="1"/>
        <v>Protection Racket</v>
      </c>
    </row>
    <row r="188" spans="1:87" x14ac:dyDescent="0.25">
      <c r="A188" t="str">
        <f ca="1"/>
        <v>O Dínamo Peregrino</v>
      </c>
      <c r="B188" s="3" t="str" cm="1">
        <f t="array" aca="1" ref="B188" ca="1">_xlfn.ANCHORARRAY(RESUMO!C187)</f>
        <v>Sisay</v>
      </c>
      <c r="C188" s="3" t="str">
        <f t="shared" ca="1" si="8"/>
        <v/>
      </c>
      <c r="E188" t="str">
        <f ca="1"/>
        <v>Quasiduplicata</v>
      </c>
      <c r="F188" s="3">
        <f t="shared" ca="1" si="9"/>
        <v>1</v>
      </c>
      <c r="G188" s="3" t="str">
        <f t="shared" ca="1" si="10"/>
        <v>Inalla</v>
      </c>
      <c r="M188" t="str">
        <f ca="1"/>
        <v>Quasiduplicata</v>
      </c>
      <c r="N188" s="3">
        <f t="shared" ca="1" si="11"/>
        <v>1</v>
      </c>
      <c r="O188" s="3" t="str">
        <f ca="1">IFERROR(
 INDEX($T$2:$AW$2,
  MATCH(TRUE,
   CHOOSE({1;2;3;4;5;6;7;8;9;10;11;12;13;14;15;16;17;18;19;20;21;22;23;24;25;26;27;28;29;30;31;32},
    COUNTIFS($T$3:$T$201,$M188)&gt;0,
    COUNTIFS($U$3:$U$201,$M188)&gt;0,
    COUNTIFS($V$3:$V$201,$M188)&gt;0,
    COUNTIFS($W$3:$W$201,$M188)&gt;0,
    COUNTIFS($X$3:$X$201,$M188)&gt;0,
    COUNTIFS($Y$3:$Y$201,$M188)&gt;0,
    COUNTIFS($Z$3:$Z$201,$M188)&gt;0,
    COUNTIFS($AA$3:$AA$201,$M188)&gt;0,
    COUNTIFS($AB$3:$AB$201,$M188)&gt;0,
    COUNTIFS($AC$3:$AC$201,$M188)&gt;0,
    COUNTIFS($AD$3:$AD$201,$M188)&gt;0,
    COUNTIFS($AE$3:$AE$201,$M188)&gt;0,
    COUNTIFS($AF$3:$AF$201,$M188)&gt;0,
    COUNTIFS($AG$3:$AG$201,$M188)&gt;0,
    COUNTIFS($AH$3:$AH$201,$M188)&gt;0,
    COUNTIFS($AI$3:$AI$201,$M188)&gt;0,
    COUNTIFS($AJ$3:$AJ$201,$M188)&gt;0,
    COUNTIFS($AK$3:$AK$201,$M188)&gt;0,
    COUNTIFS($AL$3:$AL$201,$M188)&gt;0,
    COUNTIFS($AM$3:$AM$201,$M188)&gt;0,
    COUNTIFS($AN$3:$AN$201,$M188)&gt;0,
    COUNTIFS($AO$3:$AO$201,$M188)&gt;0,
    COUNTIFS($AP$3:$AP$201,$M188)&gt;0,
    COUNTIFS($AQ$3:$AQ$201,$M188)&gt;0,
    COUNTIFS($AR$3:$AR$201,$M188)&gt;0,
    COUNTIFS($AS$3:$AS$201,$M188)&gt;0,
    COUNTIFS($AT$3:$AT$201,$M188)&gt;0,
    COUNTIFS($AU$3:$AU$201,$M188)&gt;0,
    COUNTIFS($AV$3:$AV$201,$M188)&gt;0,
    COUNTIFS($AW$3:$AW$201,$M188)&gt;0
   ),
  0)
 ),
"")</f>
        <v>Inalla</v>
      </c>
      <c r="P188" s="3" t="str" cm="1">
        <f t="array" aca="1" ref="P188" ca="1">IFERROR(
 INDEX(
  _xlfn._xlws.FILTER($T$2:$AW$2,
   TRANSPOSE(
    CHOOSE({1;2;3;4;5;6;7;8;9;10;11;12;13;14;15;16;17;18;19;20;21;22;23;24;25;26;27;28;29;30},
     COUNTIFS($T$3:$T$201,$M188)&gt;0,
     COUNTIFS($U$3:$U$201,$M188)&gt;0,
     COUNTIFS($V$3:$V$201,$M188)&gt;0,
     COUNTIFS($W$3:$W$201,$M188)&gt;0,
     COUNTIFS($X$3:$X$201,$M188)&gt;0,
     COUNTIFS($Y$3:$Y$201,$M188)&gt;0,
     COUNTIFS($Z$3:$Z$201,$M188)&gt;0,
     COUNTIFS($AA$3:$AA$201,$M188)&gt;0,
     COUNTIFS($AB$3:$AB$201,$M188)&gt;0,
     COUNTIFS($AC$3:$AC$201,$M188)&gt;0,
     COUNTIFS($AD$3:$AD$201,$M188)&gt;0,
     COUNTIFS($AE$3:$AE$201,$M188)&gt;0,
     COUNTIFS($AF$3:$AF$201,$M188)&gt;0,
     COUNTIFS($AG$3:$AG$201,$M188)&gt;0,
     COUNTIFS($AH$3:$AH$201,$M188)&gt;0,
     COUNTIFS($AI$3:$AI$201,$M188)&gt;0,
     COUNTIFS($AJ$3:$AJ$201,$M188)&gt;0,
     COUNTIFS($AK$3:$AK$201,$M188)&gt;0,
     COUNTIFS($AL$3:$AL$201,$M188)&gt;0,
     COUNTIFS($AM$3:$AM$201,$M188)&gt;0,
     COUNTIFS($AN$3:$AN$201,$M188)&gt;0,
     COUNTIFS($AO$3:$AO$201,$M188)&gt;0,
     COUNTIFS($AP$3:$AP$201,$M188)&gt;0,
     COUNTIFS($AQ$3:$AQ$201,$M188)&gt;0,
     COUNTIFS($AR$3:$AR$201,$M188)&gt;0,
     COUNTIFS($AS$3:$AS$201,$M188)&gt;0,
     COUNTIFS($AT$3:$AT$201,$M188)&gt;0,
     COUNTIFS($AU$3:$AU$201,$M188)&gt;0,
     COUNTIFS($AV$3:$AV$201,$M188)&gt;0,
     COUNTIFS($AW$3:$AW$201,$M188)&gt;0
   )),
  ),
  2
 ),
"")</f>
        <v/>
      </c>
      <c r="Q188" s="3" t="str" cm="1">
        <f t="array" aca="1" ref="Q188" ca="1">IFERROR(
 INDEX(
  _xlfn._xlws.FILTER($T$2:$AW$2,
   TRANSPOSE(
    CHOOSE({1;2;3;4;5;6;7;8;9;10;11;12;13;14;15;16;17;18;19;20;21;22;23;24;25;26;27;28;29;30},
     COUNTIFS($T$3:$T$201,$M188)&gt;0,
     COUNTIFS($U$3:$U$201,$M188)&gt;0,
     COUNTIFS($V$3:$V$201,$M188)&gt;0,
     COUNTIFS($W$3:$W$201,$M188)&gt;0,
     COUNTIFS($X$3:$X$201,$M188)&gt;0,
     COUNTIFS($Y$3:$Y$201,$M188)&gt;0,
     COUNTIFS($Z$3:$Z$201,$M188)&gt;0,
     COUNTIFS($AA$3:$AA$201,$M188)&gt;0,
     COUNTIFS($AB$3:$AB$201,$M188)&gt;0,
     COUNTIFS($AC$3:$AC$201,$M188)&gt;0,
     COUNTIFS($AD$3:$AD$201,$M188)&gt;0,
     COUNTIFS($AE$3:$AE$201,$M188)&gt;0,
     COUNTIFS($AF$3:$AF$201,$M188)&gt;0,
     COUNTIFS($AG$3:$AG$201,$M188)&gt;0,
     COUNTIFS($AH$3:$AH$201,$M188)&gt;0,
     COUNTIFS($AI$3:$AI$201,$M188)&gt;0,
     COUNTIFS($AJ$3:$AJ$201,$M188)&gt;0,
     COUNTIFS($AK$3:$AK$201,$M188)&gt;0,
     COUNTIFS($AL$3:$AL$201,$M188)&gt;0,
     COUNTIFS($AM$3:$AM$201,$M188)&gt;0,
     COUNTIFS($AN$3:$AN$201,$M188)&gt;0,
     COUNTIFS($AO$3:$AO$201,$M188)&gt;0,
     COUNTIFS($AP$3:$AP$201,$M188)&gt;0,
     COUNTIFS($AQ$3:$AQ$201,$M188)&gt;0,
     COUNTIFS($AR$3:$AR$201,$M188)&gt;0,
     COUNTIFS($AS$3:$AS$201,$M188)&gt;0,
     COUNTIFS($AT$3:$AT$201,$M188)&gt;0,
     COUNTIFS($AU$3:$AU$201,$M188)&gt;0,
     COUNTIFS($AV$3:$AV$201,$M188)&gt;0,
     COUNTIFS($AW$3:$AW$201,$M188)&gt;0
   )),
  ),
  3
 ),
"")</f>
        <v/>
      </c>
      <c r="R188" s="3" t="str" cm="1">
        <f t="array" aca="1" ref="R188" ca="1">IFERROR(
 INDEX(
  _xlfn._xlws.FILTER($T$2:$AW$2,
   TRANSPOSE(
    CHOOSE({1;2;3;4;5;6;7;8;9;10;11;12;13;14;15;16;17;18;19;20;21;22;23;24;25;26;27;28;29;30},
     COUNTIFS($T$3:$T$201,$M188)&gt;0,
     COUNTIFS($U$3:$U$201,$M188)&gt;0,
     COUNTIFS($V$3:$V$201,$M188)&gt;0,
     COUNTIFS($W$3:$W$201,$M188)&gt;0,
     COUNTIFS($X$3:$X$201,$M188)&gt;0,
     COUNTIFS($Y$3:$Y$201,$M188)&gt;0,
     COUNTIFS($Z$3:$Z$201,$M188)&gt;0,
     COUNTIFS($AA$3:$AA$201,$M188)&gt;0,
     COUNTIFS($AB$3:$AB$201,$M188)&gt;0,
     COUNTIFS($AC$3:$AC$201,$M188)&gt;0,
     COUNTIFS($AD$3:$AD$201,$M188)&gt;0,
     COUNTIFS($AE$3:$AE$201,$M188)&gt;0,
     COUNTIFS($AF$3:$AF$201,$M188)&gt;0,
     COUNTIFS($AG$3:$AG$201,$M188)&gt;0,
     COUNTIFS($AH$3:$AH$201,$M188)&gt;0,
     COUNTIFS($AI$3:$AI$201,$M188)&gt;0,
     COUNTIFS($AJ$3:$AJ$201,$M188)&gt;0,
     COUNTIFS($AK$3:$AK$201,$M188)&gt;0,
     COUNTIFS($AL$3:$AL$201,$M188)&gt;0,
     COUNTIFS($AM$3:$AM$201,$M188)&gt;0,
     COUNTIFS($AN$3:$AN$201,$M188)&gt;0,
     COUNTIFS($AO$3:$AO$201,$M188)&gt;0,
     COUNTIFS($AP$3:$AP$201,$M188)&gt;0,
     COUNTIFS($AQ$3:$AQ$201,$M188)&gt;0,
     COUNTIFS($AR$3:$AR$201,$M188)&gt;0,
     COUNTIFS($AS$3:$AS$201,$M188)&gt;0,
     COUNTIFS($AT$3:$AT$201,$M188)&gt;0,
     COUNTIFS($AU$3:$AU$201,$M188)&gt;0,
     COUNTIFS($AV$3:$AV$201,$M188)&gt;0,
     COUNTIFS($AW$3:$AW$201,$M188)&gt;0
   )),
  ),
  4
 ),
"")</f>
        <v/>
      </c>
      <c r="CF188" t="str">
        <f ca="1"/>
        <v>Thrilling Discovery</v>
      </c>
      <c r="CI188" t="str">
        <f ca="1"/>
        <v>Quasiduplicata</v>
      </c>
    </row>
    <row r="189" spans="1:87" x14ac:dyDescent="0.25">
      <c r="A189" t="str">
        <f ca="1"/>
        <v>Obelisco de Obsidiana</v>
      </c>
      <c r="B189" s="3" t="str" cm="1">
        <f t="array" aca="1" ref="B189" ca="1">_xlfn.ANCHORARRAY(RESUMO!C188)</f>
        <v>Thrakiri</v>
      </c>
      <c r="C189" s="3" t="str">
        <f t="shared" ca="1" si="8"/>
        <v/>
      </c>
      <c r="E189" t="str">
        <f ca="1"/>
        <v>Queda Solar</v>
      </c>
      <c r="F189" s="3">
        <f t="shared" ca="1" si="9"/>
        <v>1</v>
      </c>
      <c r="G189" s="3" t="str">
        <f t="shared" ca="1" si="10"/>
        <v>Zedruu</v>
      </c>
      <c r="M189" t="str">
        <f ca="1"/>
        <v>Queda Solar</v>
      </c>
      <c r="N189" s="3">
        <f t="shared" ca="1" si="11"/>
        <v>1</v>
      </c>
      <c r="O189" s="3" t="str">
        <f ca="1">IFERROR(
 INDEX($T$2:$AW$2,
  MATCH(TRUE,
   CHOOSE({1;2;3;4;5;6;7;8;9;10;11;12;13;14;15;16;17;18;19;20;21;22;23;24;25;26;27;28;29;30;31;32},
    COUNTIFS($T$3:$T$201,$M189)&gt;0,
    COUNTIFS($U$3:$U$201,$M189)&gt;0,
    COUNTIFS($V$3:$V$201,$M189)&gt;0,
    COUNTIFS($W$3:$W$201,$M189)&gt;0,
    COUNTIFS($X$3:$X$201,$M189)&gt;0,
    COUNTIFS($Y$3:$Y$201,$M189)&gt;0,
    COUNTIFS($Z$3:$Z$201,$M189)&gt;0,
    COUNTIFS($AA$3:$AA$201,$M189)&gt;0,
    COUNTIFS($AB$3:$AB$201,$M189)&gt;0,
    COUNTIFS($AC$3:$AC$201,$M189)&gt;0,
    COUNTIFS($AD$3:$AD$201,$M189)&gt;0,
    COUNTIFS($AE$3:$AE$201,$M189)&gt;0,
    COUNTIFS($AF$3:$AF$201,$M189)&gt;0,
    COUNTIFS($AG$3:$AG$201,$M189)&gt;0,
    COUNTIFS($AH$3:$AH$201,$M189)&gt;0,
    COUNTIFS($AI$3:$AI$201,$M189)&gt;0,
    COUNTIFS($AJ$3:$AJ$201,$M189)&gt;0,
    COUNTIFS($AK$3:$AK$201,$M189)&gt;0,
    COUNTIFS($AL$3:$AL$201,$M189)&gt;0,
    COUNTIFS($AM$3:$AM$201,$M189)&gt;0,
    COUNTIFS($AN$3:$AN$201,$M189)&gt;0,
    COUNTIFS($AO$3:$AO$201,$M189)&gt;0,
    COUNTIFS($AP$3:$AP$201,$M189)&gt;0,
    COUNTIFS($AQ$3:$AQ$201,$M189)&gt;0,
    COUNTIFS($AR$3:$AR$201,$M189)&gt;0,
    COUNTIFS($AS$3:$AS$201,$M189)&gt;0,
    COUNTIFS($AT$3:$AT$201,$M189)&gt;0,
    COUNTIFS($AU$3:$AU$201,$M189)&gt;0,
    COUNTIFS($AV$3:$AV$201,$M189)&gt;0,
    COUNTIFS($AW$3:$AW$201,$M189)&gt;0
   ),
  0)
 ),
"")</f>
        <v>Zedruu</v>
      </c>
      <c r="P189" s="3" t="str" cm="1">
        <f t="array" aca="1" ref="P189" ca="1">IFERROR(
 INDEX(
  _xlfn._xlws.FILTER($T$2:$AW$2,
   TRANSPOSE(
    CHOOSE({1;2;3;4;5;6;7;8;9;10;11;12;13;14;15;16;17;18;19;20;21;22;23;24;25;26;27;28;29;30},
     COUNTIFS($T$3:$T$201,$M189)&gt;0,
     COUNTIFS($U$3:$U$201,$M189)&gt;0,
     COUNTIFS($V$3:$V$201,$M189)&gt;0,
     COUNTIFS($W$3:$W$201,$M189)&gt;0,
     COUNTIFS($X$3:$X$201,$M189)&gt;0,
     COUNTIFS($Y$3:$Y$201,$M189)&gt;0,
     COUNTIFS($Z$3:$Z$201,$M189)&gt;0,
     COUNTIFS($AA$3:$AA$201,$M189)&gt;0,
     COUNTIFS($AB$3:$AB$201,$M189)&gt;0,
     COUNTIFS($AC$3:$AC$201,$M189)&gt;0,
     COUNTIFS($AD$3:$AD$201,$M189)&gt;0,
     COUNTIFS($AE$3:$AE$201,$M189)&gt;0,
     COUNTIFS($AF$3:$AF$201,$M189)&gt;0,
     COUNTIFS($AG$3:$AG$201,$M189)&gt;0,
     COUNTIFS($AH$3:$AH$201,$M189)&gt;0,
     COUNTIFS($AI$3:$AI$201,$M189)&gt;0,
     COUNTIFS($AJ$3:$AJ$201,$M189)&gt;0,
     COUNTIFS($AK$3:$AK$201,$M189)&gt;0,
     COUNTIFS($AL$3:$AL$201,$M189)&gt;0,
     COUNTIFS($AM$3:$AM$201,$M189)&gt;0,
     COUNTIFS($AN$3:$AN$201,$M189)&gt;0,
     COUNTIFS($AO$3:$AO$201,$M189)&gt;0,
     COUNTIFS($AP$3:$AP$201,$M189)&gt;0,
     COUNTIFS($AQ$3:$AQ$201,$M189)&gt;0,
     COUNTIFS($AR$3:$AR$201,$M189)&gt;0,
     COUNTIFS($AS$3:$AS$201,$M189)&gt;0,
     COUNTIFS($AT$3:$AT$201,$M189)&gt;0,
     COUNTIFS($AU$3:$AU$201,$M189)&gt;0,
     COUNTIFS($AV$3:$AV$201,$M189)&gt;0,
     COUNTIFS($AW$3:$AW$201,$M189)&gt;0
   )),
  ),
  2
 ),
"")</f>
        <v/>
      </c>
      <c r="Q189" s="3" t="str" cm="1">
        <f t="array" aca="1" ref="Q189" ca="1">IFERROR(
 INDEX(
  _xlfn._xlws.FILTER($T$2:$AW$2,
   TRANSPOSE(
    CHOOSE({1;2;3;4;5;6;7;8;9;10;11;12;13;14;15;16;17;18;19;20;21;22;23;24;25;26;27;28;29;30},
     COUNTIFS($T$3:$T$201,$M189)&gt;0,
     COUNTIFS($U$3:$U$201,$M189)&gt;0,
     COUNTIFS($V$3:$V$201,$M189)&gt;0,
     COUNTIFS($W$3:$W$201,$M189)&gt;0,
     COUNTIFS($X$3:$X$201,$M189)&gt;0,
     COUNTIFS($Y$3:$Y$201,$M189)&gt;0,
     COUNTIFS($Z$3:$Z$201,$M189)&gt;0,
     COUNTIFS($AA$3:$AA$201,$M189)&gt;0,
     COUNTIFS($AB$3:$AB$201,$M189)&gt;0,
     COUNTIFS($AC$3:$AC$201,$M189)&gt;0,
     COUNTIFS($AD$3:$AD$201,$M189)&gt;0,
     COUNTIFS($AE$3:$AE$201,$M189)&gt;0,
     COUNTIFS($AF$3:$AF$201,$M189)&gt;0,
     COUNTIFS($AG$3:$AG$201,$M189)&gt;0,
     COUNTIFS($AH$3:$AH$201,$M189)&gt;0,
     COUNTIFS($AI$3:$AI$201,$M189)&gt;0,
     COUNTIFS($AJ$3:$AJ$201,$M189)&gt;0,
     COUNTIFS($AK$3:$AK$201,$M189)&gt;0,
     COUNTIFS($AL$3:$AL$201,$M189)&gt;0,
     COUNTIFS($AM$3:$AM$201,$M189)&gt;0,
     COUNTIFS($AN$3:$AN$201,$M189)&gt;0,
     COUNTIFS($AO$3:$AO$201,$M189)&gt;0,
     COUNTIFS($AP$3:$AP$201,$M189)&gt;0,
     COUNTIFS($AQ$3:$AQ$201,$M189)&gt;0,
     COUNTIFS($AR$3:$AR$201,$M189)&gt;0,
     COUNTIFS($AS$3:$AS$201,$M189)&gt;0,
     COUNTIFS($AT$3:$AT$201,$M189)&gt;0,
     COUNTIFS($AU$3:$AU$201,$M189)&gt;0,
     COUNTIFS($AV$3:$AV$201,$M189)&gt;0,
     COUNTIFS($AW$3:$AW$201,$M189)&gt;0
   )),
  ),
  3
 ),
"")</f>
        <v/>
      </c>
      <c r="R189" s="3" t="str" cm="1">
        <f t="array" aca="1" ref="R189" ca="1">IFERROR(
 INDEX(
  _xlfn._xlws.FILTER($T$2:$AW$2,
   TRANSPOSE(
    CHOOSE({1;2;3;4;5;6;7;8;9;10;11;12;13;14;15;16;17;18;19;20;21;22;23;24;25;26;27;28;29;30},
     COUNTIFS($T$3:$T$201,$M189)&gt;0,
     COUNTIFS($U$3:$U$201,$M189)&gt;0,
     COUNTIFS($V$3:$V$201,$M189)&gt;0,
     COUNTIFS($W$3:$W$201,$M189)&gt;0,
     COUNTIFS($X$3:$X$201,$M189)&gt;0,
     COUNTIFS($Y$3:$Y$201,$M189)&gt;0,
     COUNTIFS($Z$3:$Z$201,$M189)&gt;0,
     COUNTIFS($AA$3:$AA$201,$M189)&gt;0,
     COUNTIFS($AB$3:$AB$201,$M189)&gt;0,
     COUNTIFS($AC$3:$AC$201,$M189)&gt;0,
     COUNTIFS($AD$3:$AD$201,$M189)&gt;0,
     COUNTIFS($AE$3:$AE$201,$M189)&gt;0,
     COUNTIFS($AF$3:$AF$201,$M189)&gt;0,
     COUNTIFS($AG$3:$AG$201,$M189)&gt;0,
     COUNTIFS($AH$3:$AH$201,$M189)&gt;0,
     COUNTIFS($AI$3:$AI$201,$M189)&gt;0,
     COUNTIFS($AJ$3:$AJ$201,$M189)&gt;0,
     COUNTIFS($AK$3:$AK$201,$M189)&gt;0,
     COUNTIFS($AL$3:$AL$201,$M189)&gt;0,
     COUNTIFS($AM$3:$AM$201,$M189)&gt;0,
     COUNTIFS($AN$3:$AN$201,$M189)&gt;0,
     COUNTIFS($AO$3:$AO$201,$M189)&gt;0,
     COUNTIFS($AP$3:$AP$201,$M189)&gt;0,
     COUNTIFS($AQ$3:$AQ$201,$M189)&gt;0,
     COUNTIFS($AR$3:$AR$201,$M189)&gt;0,
     COUNTIFS($AS$3:$AS$201,$M189)&gt;0,
     COUNTIFS($AT$3:$AT$201,$M189)&gt;0,
     COUNTIFS($AU$3:$AU$201,$M189)&gt;0,
     COUNTIFS($AV$3:$AV$201,$M189)&gt;0,
     COUNTIFS($AW$3:$AW$201,$M189)&gt;0
   )),
  ),
  4
 ),
"")</f>
        <v/>
      </c>
      <c r="CF189" t="str">
        <f ca="1"/>
        <v>Titanic Ultimatum</v>
      </c>
      <c r="CI189" t="str">
        <f ca="1"/>
        <v>Queda Solar</v>
      </c>
    </row>
    <row r="190" spans="1:87" x14ac:dyDescent="0.25">
      <c r="A190" t="str">
        <f ca="1"/>
        <v>Ojer Pakpatiq, Era Profunda</v>
      </c>
      <c r="B190" s="3" t="str" cm="1">
        <f t="array" aca="1" ref="B190" ca="1">_xlfn.ANCHORARRAY(RESUMO!C189)</f>
        <v>Rielle</v>
      </c>
      <c r="C190" s="3" t="str">
        <f t="shared" ca="1" si="8"/>
        <v/>
      </c>
      <c r="E190" t="str">
        <f ca="1"/>
        <v>Rampant Grow</v>
      </c>
      <c r="F190" s="3">
        <f t="shared" ca="1" si="9"/>
        <v>1</v>
      </c>
      <c r="G190" s="3" t="str">
        <f t="shared" ca="1" si="10"/>
        <v>Modular</v>
      </c>
      <c r="M190" t="str">
        <f ca="1"/>
        <v>Rampant Grow</v>
      </c>
      <c r="N190" s="3">
        <f t="shared" ca="1" si="11"/>
        <v>1</v>
      </c>
      <c r="O190" s="3" t="str">
        <f ca="1">IFERROR(
 INDEX($T$2:$AW$2,
  MATCH(TRUE,
   CHOOSE({1;2;3;4;5;6;7;8;9;10;11;12;13;14;15;16;17;18;19;20;21;22;23;24;25;26;27;28;29;30;31;32},
    COUNTIFS($T$3:$T$201,$M190)&gt;0,
    COUNTIFS($U$3:$U$201,$M190)&gt;0,
    COUNTIFS($V$3:$V$201,$M190)&gt;0,
    COUNTIFS($W$3:$W$201,$M190)&gt;0,
    COUNTIFS($X$3:$X$201,$M190)&gt;0,
    COUNTIFS($Y$3:$Y$201,$M190)&gt;0,
    COUNTIFS($Z$3:$Z$201,$M190)&gt;0,
    COUNTIFS($AA$3:$AA$201,$M190)&gt;0,
    COUNTIFS($AB$3:$AB$201,$M190)&gt;0,
    COUNTIFS($AC$3:$AC$201,$M190)&gt;0,
    COUNTIFS($AD$3:$AD$201,$M190)&gt;0,
    COUNTIFS($AE$3:$AE$201,$M190)&gt;0,
    COUNTIFS($AF$3:$AF$201,$M190)&gt;0,
    COUNTIFS($AG$3:$AG$201,$M190)&gt;0,
    COUNTIFS($AH$3:$AH$201,$M190)&gt;0,
    COUNTIFS($AI$3:$AI$201,$M190)&gt;0,
    COUNTIFS($AJ$3:$AJ$201,$M190)&gt;0,
    COUNTIFS($AK$3:$AK$201,$M190)&gt;0,
    COUNTIFS($AL$3:$AL$201,$M190)&gt;0,
    COUNTIFS($AM$3:$AM$201,$M190)&gt;0,
    COUNTIFS($AN$3:$AN$201,$M190)&gt;0,
    COUNTIFS($AO$3:$AO$201,$M190)&gt;0,
    COUNTIFS($AP$3:$AP$201,$M190)&gt;0,
    COUNTIFS($AQ$3:$AQ$201,$M190)&gt;0,
    COUNTIFS($AR$3:$AR$201,$M190)&gt;0,
    COUNTIFS($AS$3:$AS$201,$M190)&gt;0,
    COUNTIFS($AT$3:$AT$201,$M190)&gt;0,
    COUNTIFS($AU$3:$AU$201,$M190)&gt;0,
    COUNTIFS($AV$3:$AV$201,$M190)&gt;0,
    COUNTIFS($AW$3:$AW$201,$M190)&gt;0
   ),
  0)
 ),
"")</f>
        <v>Modular</v>
      </c>
      <c r="P190" s="3" t="str" cm="1">
        <f t="array" aca="1" ref="P190" ca="1">IFERROR(
 INDEX(
  _xlfn._xlws.FILTER($T$2:$AW$2,
   TRANSPOSE(
    CHOOSE({1;2;3;4;5;6;7;8;9;10;11;12;13;14;15;16;17;18;19;20;21;22;23;24;25;26;27;28;29;30},
     COUNTIFS($T$3:$T$201,$M190)&gt;0,
     COUNTIFS($U$3:$U$201,$M190)&gt;0,
     COUNTIFS($V$3:$V$201,$M190)&gt;0,
     COUNTIFS($W$3:$W$201,$M190)&gt;0,
     COUNTIFS($X$3:$X$201,$M190)&gt;0,
     COUNTIFS($Y$3:$Y$201,$M190)&gt;0,
     COUNTIFS($Z$3:$Z$201,$M190)&gt;0,
     COUNTIFS($AA$3:$AA$201,$M190)&gt;0,
     COUNTIFS($AB$3:$AB$201,$M190)&gt;0,
     COUNTIFS($AC$3:$AC$201,$M190)&gt;0,
     COUNTIFS($AD$3:$AD$201,$M190)&gt;0,
     COUNTIFS($AE$3:$AE$201,$M190)&gt;0,
     COUNTIFS($AF$3:$AF$201,$M190)&gt;0,
     COUNTIFS($AG$3:$AG$201,$M190)&gt;0,
     COUNTIFS($AH$3:$AH$201,$M190)&gt;0,
     COUNTIFS($AI$3:$AI$201,$M190)&gt;0,
     COUNTIFS($AJ$3:$AJ$201,$M190)&gt;0,
     COUNTIFS($AK$3:$AK$201,$M190)&gt;0,
     COUNTIFS($AL$3:$AL$201,$M190)&gt;0,
     COUNTIFS($AM$3:$AM$201,$M190)&gt;0,
     COUNTIFS($AN$3:$AN$201,$M190)&gt;0,
     COUNTIFS($AO$3:$AO$201,$M190)&gt;0,
     COUNTIFS($AP$3:$AP$201,$M190)&gt;0,
     COUNTIFS($AQ$3:$AQ$201,$M190)&gt;0,
     COUNTIFS($AR$3:$AR$201,$M190)&gt;0,
     COUNTIFS($AS$3:$AS$201,$M190)&gt;0,
     COUNTIFS($AT$3:$AT$201,$M190)&gt;0,
     COUNTIFS($AU$3:$AU$201,$M190)&gt;0,
     COUNTIFS($AV$3:$AV$201,$M190)&gt;0,
     COUNTIFS($AW$3:$AW$201,$M190)&gt;0
   )),
  ),
  2
 ),
"")</f>
        <v/>
      </c>
      <c r="Q190" s="3" t="str" cm="1">
        <f t="array" aca="1" ref="Q190" ca="1">IFERROR(
 INDEX(
  _xlfn._xlws.FILTER($T$2:$AW$2,
   TRANSPOSE(
    CHOOSE({1;2;3;4;5;6;7;8;9;10;11;12;13;14;15;16;17;18;19;20;21;22;23;24;25;26;27;28;29;30},
     COUNTIFS($T$3:$T$201,$M190)&gt;0,
     COUNTIFS($U$3:$U$201,$M190)&gt;0,
     COUNTIFS($V$3:$V$201,$M190)&gt;0,
     COUNTIFS($W$3:$W$201,$M190)&gt;0,
     COUNTIFS($X$3:$X$201,$M190)&gt;0,
     COUNTIFS($Y$3:$Y$201,$M190)&gt;0,
     COUNTIFS($Z$3:$Z$201,$M190)&gt;0,
     COUNTIFS($AA$3:$AA$201,$M190)&gt;0,
     COUNTIFS($AB$3:$AB$201,$M190)&gt;0,
     COUNTIFS($AC$3:$AC$201,$M190)&gt;0,
     COUNTIFS($AD$3:$AD$201,$M190)&gt;0,
     COUNTIFS($AE$3:$AE$201,$M190)&gt;0,
     COUNTIFS($AF$3:$AF$201,$M190)&gt;0,
     COUNTIFS($AG$3:$AG$201,$M190)&gt;0,
     COUNTIFS($AH$3:$AH$201,$M190)&gt;0,
     COUNTIFS($AI$3:$AI$201,$M190)&gt;0,
     COUNTIFS($AJ$3:$AJ$201,$M190)&gt;0,
     COUNTIFS($AK$3:$AK$201,$M190)&gt;0,
     COUNTIFS($AL$3:$AL$201,$M190)&gt;0,
     COUNTIFS($AM$3:$AM$201,$M190)&gt;0,
     COUNTIFS($AN$3:$AN$201,$M190)&gt;0,
     COUNTIFS($AO$3:$AO$201,$M190)&gt;0,
     COUNTIFS($AP$3:$AP$201,$M190)&gt;0,
     COUNTIFS($AQ$3:$AQ$201,$M190)&gt;0,
     COUNTIFS($AR$3:$AR$201,$M190)&gt;0,
     COUNTIFS($AS$3:$AS$201,$M190)&gt;0,
     COUNTIFS($AT$3:$AT$201,$M190)&gt;0,
     COUNTIFS($AU$3:$AU$201,$M190)&gt;0,
     COUNTIFS($AV$3:$AV$201,$M190)&gt;0,
     COUNTIFS($AW$3:$AW$201,$M190)&gt;0
   )),
  ),
  3
 ),
"")</f>
        <v/>
      </c>
      <c r="R190" s="3" t="str" cm="1">
        <f t="array" aca="1" ref="R190" ca="1">IFERROR(
 INDEX(
  _xlfn._xlws.FILTER($T$2:$AW$2,
   TRANSPOSE(
    CHOOSE({1;2;3;4;5;6;7;8;9;10;11;12;13;14;15;16;17;18;19;20;21;22;23;24;25;26;27;28;29;30},
     COUNTIFS($T$3:$T$201,$M190)&gt;0,
     COUNTIFS($U$3:$U$201,$M190)&gt;0,
     COUNTIFS($V$3:$V$201,$M190)&gt;0,
     COUNTIFS($W$3:$W$201,$M190)&gt;0,
     COUNTIFS($X$3:$X$201,$M190)&gt;0,
     COUNTIFS($Y$3:$Y$201,$M190)&gt;0,
     COUNTIFS($Z$3:$Z$201,$M190)&gt;0,
     COUNTIFS($AA$3:$AA$201,$M190)&gt;0,
     COUNTIFS($AB$3:$AB$201,$M190)&gt;0,
     COUNTIFS($AC$3:$AC$201,$M190)&gt;0,
     COUNTIFS($AD$3:$AD$201,$M190)&gt;0,
     COUNTIFS($AE$3:$AE$201,$M190)&gt;0,
     COUNTIFS($AF$3:$AF$201,$M190)&gt;0,
     COUNTIFS($AG$3:$AG$201,$M190)&gt;0,
     COUNTIFS($AH$3:$AH$201,$M190)&gt;0,
     COUNTIFS($AI$3:$AI$201,$M190)&gt;0,
     COUNTIFS($AJ$3:$AJ$201,$M190)&gt;0,
     COUNTIFS($AK$3:$AK$201,$M190)&gt;0,
     COUNTIFS($AL$3:$AL$201,$M190)&gt;0,
     COUNTIFS($AM$3:$AM$201,$M190)&gt;0,
     COUNTIFS($AN$3:$AN$201,$M190)&gt;0,
     COUNTIFS($AO$3:$AO$201,$M190)&gt;0,
     COUNTIFS($AP$3:$AP$201,$M190)&gt;0,
     COUNTIFS($AQ$3:$AQ$201,$M190)&gt;0,
     COUNTIFS($AR$3:$AR$201,$M190)&gt;0,
     COUNTIFS($AS$3:$AS$201,$M190)&gt;0,
     COUNTIFS($AT$3:$AT$201,$M190)&gt;0,
     COUNTIFS($AU$3:$AU$201,$M190)&gt;0,
     COUNTIFS($AV$3:$AV$201,$M190)&gt;0,
     COUNTIFS($AW$3:$AW$201,$M190)&gt;0
   )),
  ),
  4
 ),
"")</f>
        <v/>
      </c>
      <c r="CF190" t="str">
        <f ca="1"/>
        <v>Tocasia's Welcome</v>
      </c>
      <c r="CI190" t="str">
        <f ca="1"/>
        <v>Rampant Grow</v>
      </c>
    </row>
    <row r="191" spans="1:87" x14ac:dyDescent="0.25">
      <c r="A191" t="str">
        <f ca="1"/>
        <v>Oko, Thief of Crowns</v>
      </c>
      <c r="B191" s="3" t="str" cm="1">
        <f t="array" aca="1" ref="B191" ca="1">_xlfn.ANCHORARRAY(RESUMO!C190)</f>
        <v>Sisay</v>
      </c>
      <c r="C191" s="3" t="str">
        <f t="shared" ca="1" si="8"/>
        <v/>
      </c>
      <c r="E191" t="str">
        <f ca="1"/>
        <v>Ranger of Eos</v>
      </c>
      <c r="F191" s="3">
        <f t="shared" ca="1" si="9"/>
        <v>1</v>
      </c>
      <c r="G191" s="3" t="str">
        <f t="shared" ca="1" si="10"/>
        <v>Carlos</v>
      </c>
      <c r="M191" t="str">
        <f ca="1"/>
        <v>Ranger of Eos</v>
      </c>
      <c r="N191" s="3">
        <f t="shared" ca="1" si="11"/>
        <v>1</v>
      </c>
      <c r="O191" s="3" t="str">
        <f ca="1">IFERROR(
 INDEX($T$2:$AW$2,
  MATCH(TRUE,
   CHOOSE({1;2;3;4;5;6;7;8;9;10;11;12;13;14;15;16;17;18;19;20;21;22;23;24;25;26;27;28;29;30;31;32},
    COUNTIFS($T$3:$T$201,$M191)&gt;0,
    COUNTIFS($U$3:$U$201,$M191)&gt;0,
    COUNTIFS($V$3:$V$201,$M191)&gt;0,
    COUNTIFS($W$3:$W$201,$M191)&gt;0,
    COUNTIFS($X$3:$X$201,$M191)&gt;0,
    COUNTIFS($Y$3:$Y$201,$M191)&gt;0,
    COUNTIFS($Z$3:$Z$201,$M191)&gt;0,
    COUNTIFS($AA$3:$AA$201,$M191)&gt;0,
    COUNTIFS($AB$3:$AB$201,$M191)&gt;0,
    COUNTIFS($AC$3:$AC$201,$M191)&gt;0,
    COUNTIFS($AD$3:$AD$201,$M191)&gt;0,
    COUNTIFS($AE$3:$AE$201,$M191)&gt;0,
    COUNTIFS($AF$3:$AF$201,$M191)&gt;0,
    COUNTIFS($AG$3:$AG$201,$M191)&gt;0,
    COUNTIFS($AH$3:$AH$201,$M191)&gt;0,
    COUNTIFS($AI$3:$AI$201,$M191)&gt;0,
    COUNTIFS($AJ$3:$AJ$201,$M191)&gt;0,
    COUNTIFS($AK$3:$AK$201,$M191)&gt;0,
    COUNTIFS($AL$3:$AL$201,$M191)&gt;0,
    COUNTIFS($AM$3:$AM$201,$M191)&gt;0,
    COUNTIFS($AN$3:$AN$201,$M191)&gt;0,
    COUNTIFS($AO$3:$AO$201,$M191)&gt;0,
    COUNTIFS($AP$3:$AP$201,$M191)&gt;0,
    COUNTIFS($AQ$3:$AQ$201,$M191)&gt;0,
    COUNTIFS($AR$3:$AR$201,$M191)&gt;0,
    COUNTIFS($AS$3:$AS$201,$M191)&gt;0,
    COUNTIFS($AT$3:$AT$201,$M191)&gt;0,
    COUNTIFS($AU$3:$AU$201,$M191)&gt;0,
    COUNTIFS($AV$3:$AV$201,$M191)&gt;0,
    COUNTIFS($AW$3:$AW$201,$M191)&gt;0
   ),
  0)
 ),
"")</f>
        <v>Carlos</v>
      </c>
      <c r="P191" s="3" t="str" cm="1">
        <f t="array" aca="1" ref="P191" ca="1">IFERROR(
 INDEX(
  _xlfn._xlws.FILTER($T$2:$AW$2,
   TRANSPOSE(
    CHOOSE({1;2;3;4;5;6;7;8;9;10;11;12;13;14;15;16;17;18;19;20;21;22;23;24;25;26;27;28;29;30},
     COUNTIFS($T$3:$T$201,$M191)&gt;0,
     COUNTIFS($U$3:$U$201,$M191)&gt;0,
     COUNTIFS($V$3:$V$201,$M191)&gt;0,
     COUNTIFS($W$3:$W$201,$M191)&gt;0,
     COUNTIFS($X$3:$X$201,$M191)&gt;0,
     COUNTIFS($Y$3:$Y$201,$M191)&gt;0,
     COUNTIFS($Z$3:$Z$201,$M191)&gt;0,
     COUNTIFS($AA$3:$AA$201,$M191)&gt;0,
     COUNTIFS($AB$3:$AB$201,$M191)&gt;0,
     COUNTIFS($AC$3:$AC$201,$M191)&gt;0,
     COUNTIFS($AD$3:$AD$201,$M191)&gt;0,
     COUNTIFS($AE$3:$AE$201,$M191)&gt;0,
     COUNTIFS($AF$3:$AF$201,$M191)&gt;0,
     COUNTIFS($AG$3:$AG$201,$M191)&gt;0,
     COUNTIFS($AH$3:$AH$201,$M191)&gt;0,
     COUNTIFS($AI$3:$AI$201,$M191)&gt;0,
     COUNTIFS($AJ$3:$AJ$201,$M191)&gt;0,
     COUNTIFS($AK$3:$AK$201,$M191)&gt;0,
     COUNTIFS($AL$3:$AL$201,$M191)&gt;0,
     COUNTIFS($AM$3:$AM$201,$M191)&gt;0,
     COUNTIFS($AN$3:$AN$201,$M191)&gt;0,
     COUNTIFS($AO$3:$AO$201,$M191)&gt;0,
     COUNTIFS($AP$3:$AP$201,$M191)&gt;0,
     COUNTIFS($AQ$3:$AQ$201,$M191)&gt;0,
     COUNTIFS($AR$3:$AR$201,$M191)&gt;0,
     COUNTIFS($AS$3:$AS$201,$M191)&gt;0,
     COUNTIFS($AT$3:$AT$201,$M191)&gt;0,
     COUNTIFS($AU$3:$AU$201,$M191)&gt;0,
     COUNTIFS($AV$3:$AV$201,$M191)&gt;0,
     COUNTIFS($AW$3:$AW$201,$M191)&gt;0
   )),
  ),
  2
 ),
"")</f>
        <v/>
      </c>
      <c r="Q191" s="3" t="str" cm="1">
        <f t="array" aca="1" ref="Q191" ca="1">IFERROR(
 INDEX(
  _xlfn._xlws.FILTER($T$2:$AW$2,
   TRANSPOSE(
    CHOOSE({1;2;3;4;5;6;7;8;9;10;11;12;13;14;15;16;17;18;19;20;21;22;23;24;25;26;27;28;29;30},
     COUNTIFS($T$3:$T$201,$M191)&gt;0,
     COUNTIFS($U$3:$U$201,$M191)&gt;0,
     COUNTIFS($V$3:$V$201,$M191)&gt;0,
     COUNTIFS($W$3:$W$201,$M191)&gt;0,
     COUNTIFS($X$3:$X$201,$M191)&gt;0,
     COUNTIFS($Y$3:$Y$201,$M191)&gt;0,
     COUNTIFS($Z$3:$Z$201,$M191)&gt;0,
     COUNTIFS($AA$3:$AA$201,$M191)&gt;0,
     COUNTIFS($AB$3:$AB$201,$M191)&gt;0,
     COUNTIFS($AC$3:$AC$201,$M191)&gt;0,
     COUNTIFS($AD$3:$AD$201,$M191)&gt;0,
     COUNTIFS($AE$3:$AE$201,$M191)&gt;0,
     COUNTIFS($AF$3:$AF$201,$M191)&gt;0,
     COUNTIFS($AG$3:$AG$201,$M191)&gt;0,
     COUNTIFS($AH$3:$AH$201,$M191)&gt;0,
     COUNTIFS($AI$3:$AI$201,$M191)&gt;0,
     COUNTIFS($AJ$3:$AJ$201,$M191)&gt;0,
     COUNTIFS($AK$3:$AK$201,$M191)&gt;0,
     COUNTIFS($AL$3:$AL$201,$M191)&gt;0,
     COUNTIFS($AM$3:$AM$201,$M191)&gt;0,
     COUNTIFS($AN$3:$AN$201,$M191)&gt;0,
     COUNTIFS($AO$3:$AO$201,$M191)&gt;0,
     COUNTIFS($AP$3:$AP$201,$M191)&gt;0,
     COUNTIFS($AQ$3:$AQ$201,$M191)&gt;0,
     COUNTIFS($AR$3:$AR$201,$M191)&gt;0,
     COUNTIFS($AS$3:$AS$201,$M191)&gt;0,
     COUNTIFS($AT$3:$AT$201,$M191)&gt;0,
     COUNTIFS($AU$3:$AU$201,$M191)&gt;0,
     COUNTIFS($AV$3:$AV$201,$M191)&gt;0,
     COUNTIFS($AW$3:$AW$201,$M191)&gt;0
   )),
  ),
  3
 ),
"")</f>
        <v/>
      </c>
      <c r="R191" s="3" t="str" cm="1">
        <f t="array" aca="1" ref="R191" ca="1">IFERROR(
 INDEX(
  _xlfn._xlws.FILTER($T$2:$AW$2,
   TRANSPOSE(
    CHOOSE({1;2;3;4;5;6;7;8;9;10;11;12;13;14;15;16;17;18;19;20;21;22;23;24;25;26;27;28;29;30},
     COUNTIFS($T$3:$T$201,$M191)&gt;0,
     COUNTIFS($U$3:$U$201,$M191)&gt;0,
     COUNTIFS($V$3:$V$201,$M191)&gt;0,
     COUNTIFS($W$3:$W$201,$M191)&gt;0,
     COUNTIFS($X$3:$X$201,$M191)&gt;0,
     COUNTIFS($Y$3:$Y$201,$M191)&gt;0,
     COUNTIFS($Z$3:$Z$201,$M191)&gt;0,
     COUNTIFS($AA$3:$AA$201,$M191)&gt;0,
     COUNTIFS($AB$3:$AB$201,$M191)&gt;0,
     COUNTIFS($AC$3:$AC$201,$M191)&gt;0,
     COUNTIFS($AD$3:$AD$201,$M191)&gt;0,
     COUNTIFS($AE$3:$AE$201,$M191)&gt;0,
     COUNTIFS($AF$3:$AF$201,$M191)&gt;0,
     COUNTIFS($AG$3:$AG$201,$M191)&gt;0,
     COUNTIFS($AH$3:$AH$201,$M191)&gt;0,
     COUNTIFS($AI$3:$AI$201,$M191)&gt;0,
     COUNTIFS($AJ$3:$AJ$201,$M191)&gt;0,
     COUNTIFS($AK$3:$AK$201,$M191)&gt;0,
     COUNTIFS($AL$3:$AL$201,$M191)&gt;0,
     COUNTIFS($AM$3:$AM$201,$M191)&gt;0,
     COUNTIFS($AN$3:$AN$201,$M191)&gt;0,
     COUNTIFS($AO$3:$AO$201,$M191)&gt;0,
     COUNTIFS($AP$3:$AP$201,$M191)&gt;0,
     COUNTIFS($AQ$3:$AQ$201,$M191)&gt;0,
     COUNTIFS($AR$3:$AR$201,$M191)&gt;0,
     COUNTIFS($AS$3:$AS$201,$M191)&gt;0,
     COUNTIFS($AT$3:$AT$201,$M191)&gt;0,
     COUNTIFS($AU$3:$AU$201,$M191)&gt;0,
     COUNTIFS($AV$3:$AV$201,$M191)&gt;0,
     COUNTIFS($AW$3:$AW$201,$M191)&gt;0
   )),
  ),
  4
 ),
"")</f>
        <v/>
      </c>
      <c r="CF191" t="str">
        <f ca="1"/>
        <v>Tought Vessel</v>
      </c>
      <c r="CI191" t="str">
        <f ca="1"/>
        <v>Ranger of Eos</v>
      </c>
    </row>
    <row r="192" spans="1:87" x14ac:dyDescent="0.25">
      <c r="A192" t="str">
        <f ca="1"/>
        <v>Olho de Ojer Taq</v>
      </c>
      <c r="B192" s="3" t="str" cm="1">
        <f t="array" aca="1" ref="B192" ca="1">_xlfn.ANCHORARRAY(RESUMO!C191)</f>
        <v>Alela</v>
      </c>
      <c r="C192" s="3" t="str">
        <f t="shared" ca="1" si="8"/>
        <v/>
      </c>
      <c r="E192" t="str">
        <f ca="1"/>
        <v>Realmbreaker, the Invasion Tree</v>
      </c>
      <c r="F192" s="3">
        <f t="shared" ca="1" si="9"/>
        <v>1</v>
      </c>
      <c r="G192" s="3" t="str">
        <f t="shared" ca="1" si="10"/>
        <v>Narset</v>
      </c>
      <c r="M192" t="str">
        <f ca="1"/>
        <v>Realmbreaker, the Invasion Tree</v>
      </c>
      <c r="N192" s="3">
        <f t="shared" ca="1" si="11"/>
        <v>1</v>
      </c>
      <c r="O192" s="3" t="str">
        <f ca="1">IFERROR(
 INDEX($T$2:$AW$2,
  MATCH(TRUE,
   CHOOSE({1;2;3;4;5;6;7;8;9;10;11;12;13;14;15;16;17;18;19;20;21;22;23;24;25;26;27;28;29;30;31;32},
    COUNTIFS($T$3:$T$201,$M192)&gt;0,
    COUNTIFS($U$3:$U$201,$M192)&gt;0,
    COUNTIFS($V$3:$V$201,$M192)&gt;0,
    COUNTIFS($W$3:$W$201,$M192)&gt;0,
    COUNTIFS($X$3:$X$201,$M192)&gt;0,
    COUNTIFS($Y$3:$Y$201,$M192)&gt;0,
    COUNTIFS($Z$3:$Z$201,$M192)&gt;0,
    COUNTIFS($AA$3:$AA$201,$M192)&gt;0,
    COUNTIFS($AB$3:$AB$201,$M192)&gt;0,
    COUNTIFS($AC$3:$AC$201,$M192)&gt;0,
    COUNTIFS($AD$3:$AD$201,$M192)&gt;0,
    COUNTIFS($AE$3:$AE$201,$M192)&gt;0,
    COUNTIFS($AF$3:$AF$201,$M192)&gt;0,
    COUNTIFS($AG$3:$AG$201,$M192)&gt;0,
    COUNTIFS($AH$3:$AH$201,$M192)&gt;0,
    COUNTIFS($AI$3:$AI$201,$M192)&gt;0,
    COUNTIFS($AJ$3:$AJ$201,$M192)&gt;0,
    COUNTIFS($AK$3:$AK$201,$M192)&gt;0,
    COUNTIFS($AL$3:$AL$201,$M192)&gt;0,
    COUNTIFS($AM$3:$AM$201,$M192)&gt;0,
    COUNTIFS($AN$3:$AN$201,$M192)&gt;0,
    COUNTIFS($AO$3:$AO$201,$M192)&gt;0,
    COUNTIFS($AP$3:$AP$201,$M192)&gt;0,
    COUNTIFS($AQ$3:$AQ$201,$M192)&gt;0,
    COUNTIFS($AR$3:$AR$201,$M192)&gt;0,
    COUNTIFS($AS$3:$AS$201,$M192)&gt;0,
    COUNTIFS($AT$3:$AT$201,$M192)&gt;0,
    COUNTIFS($AU$3:$AU$201,$M192)&gt;0,
    COUNTIFS($AV$3:$AV$201,$M192)&gt;0,
    COUNTIFS($AW$3:$AW$201,$M192)&gt;0
   ),
  0)
 ),
"")</f>
        <v>Narset</v>
      </c>
      <c r="P192" s="3" t="str" cm="1">
        <f t="array" aca="1" ref="P192" ca="1">IFERROR(
 INDEX(
  _xlfn._xlws.FILTER($T$2:$AW$2,
   TRANSPOSE(
    CHOOSE({1;2;3;4;5;6;7;8;9;10;11;12;13;14;15;16;17;18;19;20;21;22;23;24;25;26;27;28;29;30},
     COUNTIFS($T$3:$T$201,$M192)&gt;0,
     COUNTIFS($U$3:$U$201,$M192)&gt;0,
     COUNTIFS($V$3:$V$201,$M192)&gt;0,
     COUNTIFS($W$3:$W$201,$M192)&gt;0,
     COUNTIFS($X$3:$X$201,$M192)&gt;0,
     COUNTIFS($Y$3:$Y$201,$M192)&gt;0,
     COUNTIFS($Z$3:$Z$201,$M192)&gt;0,
     COUNTIFS($AA$3:$AA$201,$M192)&gt;0,
     COUNTIFS($AB$3:$AB$201,$M192)&gt;0,
     COUNTIFS($AC$3:$AC$201,$M192)&gt;0,
     COUNTIFS($AD$3:$AD$201,$M192)&gt;0,
     COUNTIFS($AE$3:$AE$201,$M192)&gt;0,
     COUNTIFS($AF$3:$AF$201,$M192)&gt;0,
     COUNTIFS($AG$3:$AG$201,$M192)&gt;0,
     COUNTIFS($AH$3:$AH$201,$M192)&gt;0,
     COUNTIFS($AI$3:$AI$201,$M192)&gt;0,
     COUNTIFS($AJ$3:$AJ$201,$M192)&gt;0,
     COUNTIFS($AK$3:$AK$201,$M192)&gt;0,
     COUNTIFS($AL$3:$AL$201,$M192)&gt;0,
     COUNTIFS($AM$3:$AM$201,$M192)&gt;0,
     COUNTIFS($AN$3:$AN$201,$M192)&gt;0,
     COUNTIFS($AO$3:$AO$201,$M192)&gt;0,
     COUNTIFS($AP$3:$AP$201,$M192)&gt;0,
     COUNTIFS($AQ$3:$AQ$201,$M192)&gt;0,
     COUNTIFS($AR$3:$AR$201,$M192)&gt;0,
     COUNTIFS($AS$3:$AS$201,$M192)&gt;0,
     COUNTIFS($AT$3:$AT$201,$M192)&gt;0,
     COUNTIFS($AU$3:$AU$201,$M192)&gt;0,
     COUNTIFS($AV$3:$AV$201,$M192)&gt;0,
     COUNTIFS($AW$3:$AW$201,$M192)&gt;0
   )),
  ),
  2
 ),
"")</f>
        <v/>
      </c>
      <c r="Q192" s="3" t="str" cm="1">
        <f t="array" aca="1" ref="Q192" ca="1">IFERROR(
 INDEX(
  _xlfn._xlws.FILTER($T$2:$AW$2,
   TRANSPOSE(
    CHOOSE({1;2;3;4;5;6;7;8;9;10;11;12;13;14;15;16;17;18;19;20;21;22;23;24;25;26;27;28;29;30},
     COUNTIFS($T$3:$T$201,$M192)&gt;0,
     COUNTIFS($U$3:$U$201,$M192)&gt;0,
     COUNTIFS($V$3:$V$201,$M192)&gt;0,
     COUNTIFS($W$3:$W$201,$M192)&gt;0,
     COUNTIFS($X$3:$X$201,$M192)&gt;0,
     COUNTIFS($Y$3:$Y$201,$M192)&gt;0,
     COUNTIFS($Z$3:$Z$201,$M192)&gt;0,
     COUNTIFS($AA$3:$AA$201,$M192)&gt;0,
     COUNTIFS($AB$3:$AB$201,$M192)&gt;0,
     COUNTIFS($AC$3:$AC$201,$M192)&gt;0,
     COUNTIFS($AD$3:$AD$201,$M192)&gt;0,
     COUNTIFS($AE$3:$AE$201,$M192)&gt;0,
     COUNTIFS($AF$3:$AF$201,$M192)&gt;0,
     COUNTIFS($AG$3:$AG$201,$M192)&gt;0,
     COUNTIFS($AH$3:$AH$201,$M192)&gt;0,
     COUNTIFS($AI$3:$AI$201,$M192)&gt;0,
     COUNTIFS($AJ$3:$AJ$201,$M192)&gt;0,
     COUNTIFS($AK$3:$AK$201,$M192)&gt;0,
     COUNTIFS($AL$3:$AL$201,$M192)&gt;0,
     COUNTIFS($AM$3:$AM$201,$M192)&gt;0,
     COUNTIFS($AN$3:$AN$201,$M192)&gt;0,
     COUNTIFS($AO$3:$AO$201,$M192)&gt;0,
     COUNTIFS($AP$3:$AP$201,$M192)&gt;0,
     COUNTIFS($AQ$3:$AQ$201,$M192)&gt;0,
     COUNTIFS($AR$3:$AR$201,$M192)&gt;0,
     COUNTIFS($AS$3:$AS$201,$M192)&gt;0,
     COUNTIFS($AT$3:$AT$201,$M192)&gt;0,
     COUNTIFS($AU$3:$AU$201,$M192)&gt;0,
     COUNTIFS($AV$3:$AV$201,$M192)&gt;0,
     COUNTIFS($AW$3:$AW$201,$M192)&gt;0
   )),
  ),
  3
 ),
"")</f>
        <v/>
      </c>
      <c r="R192" s="3" t="str" cm="1">
        <f t="array" aca="1" ref="R192" ca="1">IFERROR(
 INDEX(
  _xlfn._xlws.FILTER($T$2:$AW$2,
   TRANSPOSE(
    CHOOSE({1;2;3;4;5;6;7;8;9;10;11;12;13;14;15;16;17;18;19;20;21;22;23;24;25;26;27;28;29;30},
     COUNTIFS($T$3:$T$201,$M192)&gt;0,
     COUNTIFS($U$3:$U$201,$M192)&gt;0,
     COUNTIFS($V$3:$V$201,$M192)&gt;0,
     COUNTIFS($W$3:$W$201,$M192)&gt;0,
     COUNTIFS($X$3:$X$201,$M192)&gt;0,
     COUNTIFS($Y$3:$Y$201,$M192)&gt;0,
     COUNTIFS($Z$3:$Z$201,$M192)&gt;0,
     COUNTIFS($AA$3:$AA$201,$M192)&gt;0,
     COUNTIFS($AB$3:$AB$201,$M192)&gt;0,
     COUNTIFS($AC$3:$AC$201,$M192)&gt;0,
     COUNTIFS($AD$3:$AD$201,$M192)&gt;0,
     COUNTIFS($AE$3:$AE$201,$M192)&gt;0,
     COUNTIFS($AF$3:$AF$201,$M192)&gt;0,
     COUNTIFS($AG$3:$AG$201,$M192)&gt;0,
     COUNTIFS($AH$3:$AH$201,$M192)&gt;0,
     COUNTIFS($AI$3:$AI$201,$M192)&gt;0,
     COUNTIFS($AJ$3:$AJ$201,$M192)&gt;0,
     COUNTIFS($AK$3:$AK$201,$M192)&gt;0,
     COUNTIFS($AL$3:$AL$201,$M192)&gt;0,
     COUNTIFS($AM$3:$AM$201,$M192)&gt;0,
     COUNTIFS($AN$3:$AN$201,$M192)&gt;0,
     COUNTIFS($AO$3:$AO$201,$M192)&gt;0,
     COUNTIFS($AP$3:$AP$201,$M192)&gt;0,
     COUNTIFS($AQ$3:$AQ$201,$M192)&gt;0,
     COUNTIFS($AR$3:$AR$201,$M192)&gt;0,
     COUNTIFS($AS$3:$AS$201,$M192)&gt;0,
     COUNTIFS($AT$3:$AT$201,$M192)&gt;0,
     COUNTIFS($AU$3:$AU$201,$M192)&gt;0,
     COUNTIFS($AV$3:$AV$201,$M192)&gt;0,
     COUNTIFS($AW$3:$AW$201,$M192)&gt;0
   )),
  ),
  4
 ),
"")</f>
        <v/>
      </c>
      <c r="CF192" t="str">
        <f ca="1"/>
        <v>Transformações Divergentes</v>
      </c>
      <c r="CI192" t="str">
        <f ca="1"/>
        <v>Realmbreaker, the Invasion Tree</v>
      </c>
    </row>
    <row r="193" spans="1:87" x14ac:dyDescent="0.25">
      <c r="A193" t="str">
        <f ca="1"/>
        <v>Overgrown Tomb</v>
      </c>
      <c r="B193" s="3" t="str" cm="1">
        <f t="array" aca="1" ref="B193" ca="1">_xlfn.ANCHORARRAY(RESUMO!C192)</f>
        <v>Elfos</v>
      </c>
      <c r="C193" s="3" t="str">
        <f t="shared" ca="1" si="8"/>
        <v/>
      </c>
      <c r="E193" t="str">
        <f ca="1"/>
        <v>Reaper's Talisman</v>
      </c>
      <c r="F193" s="3">
        <f t="shared" ca="1" si="9"/>
        <v>1</v>
      </c>
      <c r="G193" s="3" t="str">
        <f t="shared" ca="1" si="10"/>
        <v>Carlos</v>
      </c>
      <c r="M193" t="str">
        <f ca="1"/>
        <v>Reaper's Talisman</v>
      </c>
      <c r="N193" s="3">
        <f t="shared" ca="1" si="11"/>
        <v>1</v>
      </c>
      <c r="O193" s="3" t="str">
        <f ca="1">IFERROR(
 INDEX($T$2:$AW$2,
  MATCH(TRUE,
   CHOOSE({1;2;3;4;5;6;7;8;9;10;11;12;13;14;15;16;17;18;19;20;21;22;23;24;25;26;27;28;29;30;31;32},
    COUNTIFS($T$3:$T$201,$M193)&gt;0,
    COUNTIFS($U$3:$U$201,$M193)&gt;0,
    COUNTIFS($V$3:$V$201,$M193)&gt;0,
    COUNTIFS($W$3:$W$201,$M193)&gt;0,
    COUNTIFS($X$3:$X$201,$M193)&gt;0,
    COUNTIFS($Y$3:$Y$201,$M193)&gt;0,
    COUNTIFS($Z$3:$Z$201,$M193)&gt;0,
    COUNTIFS($AA$3:$AA$201,$M193)&gt;0,
    COUNTIFS($AB$3:$AB$201,$M193)&gt;0,
    COUNTIFS($AC$3:$AC$201,$M193)&gt;0,
    COUNTIFS($AD$3:$AD$201,$M193)&gt;0,
    COUNTIFS($AE$3:$AE$201,$M193)&gt;0,
    COUNTIFS($AF$3:$AF$201,$M193)&gt;0,
    COUNTIFS($AG$3:$AG$201,$M193)&gt;0,
    COUNTIFS($AH$3:$AH$201,$M193)&gt;0,
    COUNTIFS($AI$3:$AI$201,$M193)&gt;0,
    COUNTIFS($AJ$3:$AJ$201,$M193)&gt;0,
    COUNTIFS($AK$3:$AK$201,$M193)&gt;0,
    COUNTIFS($AL$3:$AL$201,$M193)&gt;0,
    COUNTIFS($AM$3:$AM$201,$M193)&gt;0,
    COUNTIFS($AN$3:$AN$201,$M193)&gt;0,
    COUNTIFS($AO$3:$AO$201,$M193)&gt;0,
    COUNTIFS($AP$3:$AP$201,$M193)&gt;0,
    COUNTIFS($AQ$3:$AQ$201,$M193)&gt;0,
    COUNTIFS($AR$3:$AR$201,$M193)&gt;0,
    COUNTIFS($AS$3:$AS$201,$M193)&gt;0,
    COUNTIFS($AT$3:$AT$201,$M193)&gt;0,
    COUNTIFS($AU$3:$AU$201,$M193)&gt;0,
    COUNTIFS($AV$3:$AV$201,$M193)&gt;0,
    COUNTIFS($AW$3:$AW$201,$M193)&gt;0
   ),
  0)
 ),
"")</f>
        <v>Carlos</v>
      </c>
      <c r="P193" s="3" t="str" cm="1">
        <f t="array" aca="1" ref="P193" ca="1">IFERROR(
 INDEX(
  _xlfn._xlws.FILTER($T$2:$AW$2,
   TRANSPOSE(
    CHOOSE({1;2;3;4;5;6;7;8;9;10;11;12;13;14;15;16;17;18;19;20;21;22;23;24;25;26;27;28;29;30},
     COUNTIFS($T$3:$T$201,$M193)&gt;0,
     COUNTIFS($U$3:$U$201,$M193)&gt;0,
     COUNTIFS($V$3:$V$201,$M193)&gt;0,
     COUNTIFS($W$3:$W$201,$M193)&gt;0,
     COUNTIFS($X$3:$X$201,$M193)&gt;0,
     COUNTIFS($Y$3:$Y$201,$M193)&gt;0,
     COUNTIFS($Z$3:$Z$201,$M193)&gt;0,
     COUNTIFS($AA$3:$AA$201,$M193)&gt;0,
     COUNTIFS($AB$3:$AB$201,$M193)&gt;0,
     COUNTIFS($AC$3:$AC$201,$M193)&gt;0,
     COUNTIFS($AD$3:$AD$201,$M193)&gt;0,
     COUNTIFS($AE$3:$AE$201,$M193)&gt;0,
     COUNTIFS($AF$3:$AF$201,$M193)&gt;0,
     COUNTIFS($AG$3:$AG$201,$M193)&gt;0,
     COUNTIFS($AH$3:$AH$201,$M193)&gt;0,
     COUNTIFS($AI$3:$AI$201,$M193)&gt;0,
     COUNTIFS($AJ$3:$AJ$201,$M193)&gt;0,
     COUNTIFS($AK$3:$AK$201,$M193)&gt;0,
     COUNTIFS($AL$3:$AL$201,$M193)&gt;0,
     COUNTIFS($AM$3:$AM$201,$M193)&gt;0,
     COUNTIFS($AN$3:$AN$201,$M193)&gt;0,
     COUNTIFS($AO$3:$AO$201,$M193)&gt;0,
     COUNTIFS($AP$3:$AP$201,$M193)&gt;0,
     COUNTIFS($AQ$3:$AQ$201,$M193)&gt;0,
     COUNTIFS($AR$3:$AR$201,$M193)&gt;0,
     COUNTIFS($AS$3:$AS$201,$M193)&gt;0,
     COUNTIFS($AT$3:$AT$201,$M193)&gt;0,
     COUNTIFS($AU$3:$AU$201,$M193)&gt;0,
     COUNTIFS($AV$3:$AV$201,$M193)&gt;0,
     COUNTIFS($AW$3:$AW$201,$M193)&gt;0
   )),
  ),
  2
 ),
"")</f>
        <v/>
      </c>
      <c r="Q193" s="3" t="str" cm="1">
        <f t="array" aca="1" ref="Q193" ca="1">IFERROR(
 INDEX(
  _xlfn._xlws.FILTER($T$2:$AW$2,
   TRANSPOSE(
    CHOOSE({1;2;3;4;5;6;7;8;9;10;11;12;13;14;15;16;17;18;19;20;21;22;23;24;25;26;27;28;29;30},
     COUNTIFS($T$3:$T$201,$M193)&gt;0,
     COUNTIFS($U$3:$U$201,$M193)&gt;0,
     COUNTIFS($V$3:$V$201,$M193)&gt;0,
     COUNTIFS($W$3:$W$201,$M193)&gt;0,
     COUNTIFS($X$3:$X$201,$M193)&gt;0,
     COUNTIFS($Y$3:$Y$201,$M193)&gt;0,
     COUNTIFS($Z$3:$Z$201,$M193)&gt;0,
     COUNTIFS($AA$3:$AA$201,$M193)&gt;0,
     COUNTIFS($AB$3:$AB$201,$M193)&gt;0,
     COUNTIFS($AC$3:$AC$201,$M193)&gt;0,
     COUNTIFS($AD$3:$AD$201,$M193)&gt;0,
     COUNTIFS($AE$3:$AE$201,$M193)&gt;0,
     COUNTIFS($AF$3:$AF$201,$M193)&gt;0,
     COUNTIFS($AG$3:$AG$201,$M193)&gt;0,
     COUNTIFS($AH$3:$AH$201,$M193)&gt;0,
     COUNTIFS($AI$3:$AI$201,$M193)&gt;0,
     COUNTIFS($AJ$3:$AJ$201,$M193)&gt;0,
     COUNTIFS($AK$3:$AK$201,$M193)&gt;0,
     COUNTIFS($AL$3:$AL$201,$M193)&gt;0,
     COUNTIFS($AM$3:$AM$201,$M193)&gt;0,
     COUNTIFS($AN$3:$AN$201,$M193)&gt;0,
     COUNTIFS($AO$3:$AO$201,$M193)&gt;0,
     COUNTIFS($AP$3:$AP$201,$M193)&gt;0,
     COUNTIFS($AQ$3:$AQ$201,$M193)&gt;0,
     COUNTIFS($AR$3:$AR$201,$M193)&gt;0,
     COUNTIFS($AS$3:$AS$201,$M193)&gt;0,
     COUNTIFS($AT$3:$AT$201,$M193)&gt;0,
     COUNTIFS($AU$3:$AU$201,$M193)&gt;0,
     COUNTIFS($AV$3:$AV$201,$M193)&gt;0,
     COUNTIFS($AW$3:$AW$201,$M193)&gt;0
   )),
  ),
  3
 ),
"")</f>
        <v/>
      </c>
      <c r="R193" s="3" t="str" cm="1">
        <f t="array" aca="1" ref="R193" ca="1">IFERROR(
 INDEX(
  _xlfn._xlws.FILTER($T$2:$AW$2,
   TRANSPOSE(
    CHOOSE({1;2;3;4;5;6;7;8;9;10;11;12;13;14;15;16;17;18;19;20;21;22;23;24;25;26;27;28;29;30},
     COUNTIFS($T$3:$T$201,$M193)&gt;0,
     COUNTIFS($U$3:$U$201,$M193)&gt;0,
     COUNTIFS($V$3:$V$201,$M193)&gt;0,
     COUNTIFS($W$3:$W$201,$M193)&gt;0,
     COUNTIFS($X$3:$X$201,$M193)&gt;0,
     COUNTIFS($Y$3:$Y$201,$M193)&gt;0,
     COUNTIFS($Z$3:$Z$201,$M193)&gt;0,
     COUNTIFS($AA$3:$AA$201,$M193)&gt;0,
     COUNTIFS($AB$3:$AB$201,$M193)&gt;0,
     COUNTIFS($AC$3:$AC$201,$M193)&gt;0,
     COUNTIFS($AD$3:$AD$201,$M193)&gt;0,
     COUNTIFS($AE$3:$AE$201,$M193)&gt;0,
     COUNTIFS($AF$3:$AF$201,$M193)&gt;0,
     COUNTIFS($AG$3:$AG$201,$M193)&gt;0,
     COUNTIFS($AH$3:$AH$201,$M193)&gt;0,
     COUNTIFS($AI$3:$AI$201,$M193)&gt;0,
     COUNTIFS($AJ$3:$AJ$201,$M193)&gt;0,
     COUNTIFS($AK$3:$AK$201,$M193)&gt;0,
     COUNTIFS($AL$3:$AL$201,$M193)&gt;0,
     COUNTIFS($AM$3:$AM$201,$M193)&gt;0,
     COUNTIFS($AN$3:$AN$201,$M193)&gt;0,
     COUNTIFS($AO$3:$AO$201,$M193)&gt;0,
     COUNTIFS($AP$3:$AP$201,$M193)&gt;0,
     COUNTIFS($AQ$3:$AQ$201,$M193)&gt;0,
     COUNTIFS($AR$3:$AR$201,$M193)&gt;0,
     COUNTIFS($AS$3:$AS$201,$M193)&gt;0,
     COUNTIFS($AT$3:$AT$201,$M193)&gt;0,
     COUNTIFS($AU$3:$AU$201,$M193)&gt;0,
     COUNTIFS($AV$3:$AV$201,$M193)&gt;0,
     COUNTIFS($AW$3:$AW$201,$M193)&gt;0
   )),
  ),
  4
 ),
"")</f>
        <v/>
      </c>
      <c r="CF193" t="str">
        <f ca="1"/>
        <v>Traumatize</v>
      </c>
      <c r="CI193" t="str">
        <f ca="1"/>
        <v>Reaper's Talisman</v>
      </c>
    </row>
    <row r="194" spans="1:87" x14ac:dyDescent="0.25">
      <c r="A194" t="str">
        <f ca="1"/>
        <v>Ozolith, the Shattered Spire</v>
      </c>
      <c r="B194" s="3" t="str" cm="1">
        <f t="array" aca="1" ref="B194" ca="1">_xlfn.ANCHORARRAY(RESUMO!C193)</f>
        <v>Tayam</v>
      </c>
      <c r="C194" s="3" t="str">
        <f t="shared" ca="1" si="8"/>
        <v/>
      </c>
      <c r="E194" t="str">
        <f ca="1"/>
        <v>Rebento de Halaster</v>
      </c>
      <c r="F194" s="3">
        <f t="shared" ca="1" si="9"/>
        <v>1</v>
      </c>
      <c r="G194" s="3" t="str">
        <f t="shared" ca="1" si="10"/>
        <v>Tayam</v>
      </c>
      <c r="M194" t="str">
        <f ca="1"/>
        <v>Rebento de Halaster</v>
      </c>
      <c r="N194" s="3">
        <f t="shared" ca="1" si="11"/>
        <v>1</v>
      </c>
      <c r="O194" s="3" t="str">
        <f ca="1">IFERROR(
 INDEX($T$2:$AW$2,
  MATCH(TRUE,
   CHOOSE({1;2;3;4;5;6;7;8;9;10;11;12;13;14;15;16;17;18;19;20;21;22;23;24;25;26;27;28;29;30;31;32},
    COUNTIFS($T$3:$T$201,$M194)&gt;0,
    COUNTIFS($U$3:$U$201,$M194)&gt;0,
    COUNTIFS($V$3:$V$201,$M194)&gt;0,
    COUNTIFS($W$3:$W$201,$M194)&gt;0,
    COUNTIFS($X$3:$X$201,$M194)&gt;0,
    COUNTIFS($Y$3:$Y$201,$M194)&gt;0,
    COUNTIFS($Z$3:$Z$201,$M194)&gt;0,
    COUNTIFS($AA$3:$AA$201,$M194)&gt;0,
    COUNTIFS($AB$3:$AB$201,$M194)&gt;0,
    COUNTIFS($AC$3:$AC$201,$M194)&gt;0,
    COUNTIFS($AD$3:$AD$201,$M194)&gt;0,
    COUNTIFS($AE$3:$AE$201,$M194)&gt;0,
    COUNTIFS($AF$3:$AF$201,$M194)&gt;0,
    COUNTIFS($AG$3:$AG$201,$M194)&gt;0,
    COUNTIFS($AH$3:$AH$201,$M194)&gt;0,
    COUNTIFS($AI$3:$AI$201,$M194)&gt;0,
    COUNTIFS($AJ$3:$AJ$201,$M194)&gt;0,
    COUNTIFS($AK$3:$AK$201,$M194)&gt;0,
    COUNTIFS($AL$3:$AL$201,$M194)&gt;0,
    COUNTIFS($AM$3:$AM$201,$M194)&gt;0,
    COUNTIFS($AN$3:$AN$201,$M194)&gt;0,
    COUNTIFS($AO$3:$AO$201,$M194)&gt;0,
    COUNTIFS($AP$3:$AP$201,$M194)&gt;0,
    COUNTIFS($AQ$3:$AQ$201,$M194)&gt;0,
    COUNTIFS($AR$3:$AR$201,$M194)&gt;0,
    COUNTIFS($AS$3:$AS$201,$M194)&gt;0,
    COUNTIFS($AT$3:$AT$201,$M194)&gt;0,
    COUNTIFS($AU$3:$AU$201,$M194)&gt;0,
    COUNTIFS($AV$3:$AV$201,$M194)&gt;0,
    COUNTIFS($AW$3:$AW$201,$M194)&gt;0
   ),
  0)
 ),
"")</f>
        <v>Tayam</v>
      </c>
      <c r="P194" s="3" t="str" cm="1">
        <f t="array" aca="1" ref="P194" ca="1">IFERROR(
 INDEX(
  _xlfn._xlws.FILTER($T$2:$AW$2,
   TRANSPOSE(
    CHOOSE({1;2;3;4;5;6;7;8;9;10;11;12;13;14;15;16;17;18;19;20;21;22;23;24;25;26;27;28;29;30},
     COUNTIFS($T$3:$T$201,$M194)&gt;0,
     COUNTIFS($U$3:$U$201,$M194)&gt;0,
     COUNTIFS($V$3:$V$201,$M194)&gt;0,
     COUNTIFS($W$3:$W$201,$M194)&gt;0,
     COUNTIFS($X$3:$X$201,$M194)&gt;0,
     COUNTIFS($Y$3:$Y$201,$M194)&gt;0,
     COUNTIFS($Z$3:$Z$201,$M194)&gt;0,
     COUNTIFS($AA$3:$AA$201,$M194)&gt;0,
     COUNTIFS($AB$3:$AB$201,$M194)&gt;0,
     COUNTIFS($AC$3:$AC$201,$M194)&gt;0,
     COUNTIFS($AD$3:$AD$201,$M194)&gt;0,
     COUNTIFS($AE$3:$AE$201,$M194)&gt;0,
     COUNTIFS($AF$3:$AF$201,$M194)&gt;0,
     COUNTIFS($AG$3:$AG$201,$M194)&gt;0,
     COUNTIFS($AH$3:$AH$201,$M194)&gt;0,
     COUNTIFS($AI$3:$AI$201,$M194)&gt;0,
     COUNTIFS($AJ$3:$AJ$201,$M194)&gt;0,
     COUNTIFS($AK$3:$AK$201,$M194)&gt;0,
     COUNTIFS($AL$3:$AL$201,$M194)&gt;0,
     COUNTIFS($AM$3:$AM$201,$M194)&gt;0,
     COUNTIFS($AN$3:$AN$201,$M194)&gt;0,
     COUNTIFS($AO$3:$AO$201,$M194)&gt;0,
     COUNTIFS($AP$3:$AP$201,$M194)&gt;0,
     COUNTIFS($AQ$3:$AQ$201,$M194)&gt;0,
     COUNTIFS($AR$3:$AR$201,$M194)&gt;0,
     COUNTIFS($AS$3:$AS$201,$M194)&gt;0,
     COUNTIFS($AT$3:$AT$201,$M194)&gt;0,
     COUNTIFS($AU$3:$AU$201,$M194)&gt;0,
     COUNTIFS($AV$3:$AV$201,$M194)&gt;0,
     COUNTIFS($AW$3:$AW$201,$M194)&gt;0
   )),
  ),
  2
 ),
"")</f>
        <v/>
      </c>
      <c r="Q194" s="3" t="str" cm="1">
        <f t="array" aca="1" ref="Q194" ca="1">IFERROR(
 INDEX(
  _xlfn._xlws.FILTER($T$2:$AW$2,
   TRANSPOSE(
    CHOOSE({1;2;3;4;5;6;7;8;9;10;11;12;13;14;15;16;17;18;19;20;21;22;23;24;25;26;27;28;29;30},
     COUNTIFS($T$3:$T$201,$M194)&gt;0,
     COUNTIFS($U$3:$U$201,$M194)&gt;0,
     COUNTIFS($V$3:$V$201,$M194)&gt;0,
     COUNTIFS($W$3:$W$201,$M194)&gt;0,
     COUNTIFS($X$3:$X$201,$M194)&gt;0,
     COUNTIFS($Y$3:$Y$201,$M194)&gt;0,
     COUNTIFS($Z$3:$Z$201,$M194)&gt;0,
     COUNTIFS($AA$3:$AA$201,$M194)&gt;0,
     COUNTIFS($AB$3:$AB$201,$M194)&gt;0,
     COUNTIFS($AC$3:$AC$201,$M194)&gt;0,
     COUNTIFS($AD$3:$AD$201,$M194)&gt;0,
     COUNTIFS($AE$3:$AE$201,$M194)&gt;0,
     COUNTIFS($AF$3:$AF$201,$M194)&gt;0,
     COUNTIFS($AG$3:$AG$201,$M194)&gt;0,
     COUNTIFS($AH$3:$AH$201,$M194)&gt;0,
     COUNTIFS($AI$3:$AI$201,$M194)&gt;0,
     COUNTIFS($AJ$3:$AJ$201,$M194)&gt;0,
     COUNTIFS($AK$3:$AK$201,$M194)&gt;0,
     COUNTIFS($AL$3:$AL$201,$M194)&gt;0,
     COUNTIFS($AM$3:$AM$201,$M194)&gt;0,
     COUNTIFS($AN$3:$AN$201,$M194)&gt;0,
     COUNTIFS($AO$3:$AO$201,$M194)&gt;0,
     COUNTIFS($AP$3:$AP$201,$M194)&gt;0,
     COUNTIFS($AQ$3:$AQ$201,$M194)&gt;0,
     COUNTIFS($AR$3:$AR$201,$M194)&gt;0,
     COUNTIFS($AS$3:$AS$201,$M194)&gt;0,
     COUNTIFS($AT$3:$AT$201,$M194)&gt;0,
     COUNTIFS($AU$3:$AU$201,$M194)&gt;0,
     COUNTIFS($AV$3:$AV$201,$M194)&gt;0,
     COUNTIFS($AW$3:$AW$201,$M194)&gt;0
   )),
  ),
  3
 ),
"")</f>
        <v/>
      </c>
      <c r="R194" s="3" t="str" cm="1">
        <f t="array" aca="1" ref="R194" ca="1">IFERROR(
 INDEX(
  _xlfn._xlws.FILTER($T$2:$AW$2,
   TRANSPOSE(
    CHOOSE({1;2;3;4;5;6;7;8;9;10;11;12;13;14;15;16;17;18;19;20;21;22;23;24;25;26;27;28;29;30},
     COUNTIFS($T$3:$T$201,$M194)&gt;0,
     COUNTIFS($U$3:$U$201,$M194)&gt;0,
     COUNTIFS($V$3:$V$201,$M194)&gt;0,
     COUNTIFS($W$3:$W$201,$M194)&gt;0,
     COUNTIFS($X$3:$X$201,$M194)&gt;0,
     COUNTIFS($Y$3:$Y$201,$M194)&gt;0,
     COUNTIFS($Z$3:$Z$201,$M194)&gt;0,
     COUNTIFS($AA$3:$AA$201,$M194)&gt;0,
     COUNTIFS($AB$3:$AB$201,$M194)&gt;0,
     COUNTIFS($AC$3:$AC$201,$M194)&gt;0,
     COUNTIFS($AD$3:$AD$201,$M194)&gt;0,
     COUNTIFS($AE$3:$AE$201,$M194)&gt;0,
     COUNTIFS($AF$3:$AF$201,$M194)&gt;0,
     COUNTIFS($AG$3:$AG$201,$M194)&gt;0,
     COUNTIFS($AH$3:$AH$201,$M194)&gt;0,
     COUNTIFS($AI$3:$AI$201,$M194)&gt;0,
     COUNTIFS($AJ$3:$AJ$201,$M194)&gt;0,
     COUNTIFS($AK$3:$AK$201,$M194)&gt;0,
     COUNTIFS($AL$3:$AL$201,$M194)&gt;0,
     COUNTIFS($AM$3:$AM$201,$M194)&gt;0,
     COUNTIFS($AN$3:$AN$201,$M194)&gt;0,
     COUNTIFS($AO$3:$AO$201,$M194)&gt;0,
     COUNTIFS($AP$3:$AP$201,$M194)&gt;0,
     COUNTIFS($AQ$3:$AQ$201,$M194)&gt;0,
     COUNTIFS($AR$3:$AR$201,$M194)&gt;0,
     COUNTIFS($AS$3:$AS$201,$M194)&gt;0,
     COUNTIFS($AT$3:$AT$201,$M194)&gt;0,
     COUNTIFS($AU$3:$AU$201,$M194)&gt;0,
     COUNTIFS($AV$3:$AV$201,$M194)&gt;0,
     COUNTIFS($AW$3:$AW$201,$M194)&gt;0
   )),
  ),
  4
 ),
"")</f>
        <v/>
      </c>
      <c r="CF194" t="str">
        <f ca="1"/>
        <v>Treasure Cruise</v>
      </c>
      <c r="CI194" t="str">
        <f ca="1"/>
        <v>Rebento de Halaster</v>
      </c>
    </row>
    <row r="195" spans="1:87" x14ac:dyDescent="0.25">
      <c r="A195" t="str">
        <f ca="1"/>
        <v>Pain for All</v>
      </c>
      <c r="B195" s="3" t="str" cm="1">
        <f t="array" aca="1" ref="B195" ca="1">_xlfn.ANCHORARRAY(RESUMO!C194)</f>
        <v>Kresh</v>
      </c>
      <c r="C195" s="3" t="str">
        <f t="shared" ref="C195:C258" ca="1" si="12">IFERROR(_xlfn.XLOOKUP($A195,$E:$E,$G:$G),"")</f>
        <v/>
      </c>
      <c r="E195" t="str">
        <f ca="1"/>
        <v>Recifes de Nau-Terror</v>
      </c>
      <c r="F195" s="3">
        <f t="shared" ref="F195:F258" ca="1" si="13">COUNTIF(T:AY,E195)+COUNTIF(K:K,E195)</f>
        <v>1</v>
      </c>
      <c r="G195" s="3" t="str">
        <f t="shared" ref="G195:G258" ca="1" si="14">_xlfn.XLOOKUP($E195,$M:$M,$O:$O,"Guardado")</f>
        <v>Rani</v>
      </c>
      <c r="M195" t="str">
        <f ca="1"/>
        <v>Recifes de Nau-Terror</v>
      </c>
      <c r="N195" s="3">
        <f t="shared" ref="N195:N258" ca="1" si="15">COUNTIF(T:AW,M195)</f>
        <v>1</v>
      </c>
      <c r="O195" s="3" t="str">
        <f ca="1">IFERROR(
 INDEX($T$2:$AW$2,
  MATCH(TRUE,
   CHOOSE({1;2;3;4;5;6;7;8;9;10;11;12;13;14;15;16;17;18;19;20;21;22;23;24;25;26;27;28;29;30;31;32},
    COUNTIFS($T$3:$T$201,$M195)&gt;0,
    COUNTIFS($U$3:$U$201,$M195)&gt;0,
    COUNTIFS($V$3:$V$201,$M195)&gt;0,
    COUNTIFS($W$3:$W$201,$M195)&gt;0,
    COUNTIFS($X$3:$X$201,$M195)&gt;0,
    COUNTIFS($Y$3:$Y$201,$M195)&gt;0,
    COUNTIFS($Z$3:$Z$201,$M195)&gt;0,
    COUNTIFS($AA$3:$AA$201,$M195)&gt;0,
    COUNTIFS($AB$3:$AB$201,$M195)&gt;0,
    COUNTIFS($AC$3:$AC$201,$M195)&gt;0,
    COUNTIFS($AD$3:$AD$201,$M195)&gt;0,
    COUNTIFS($AE$3:$AE$201,$M195)&gt;0,
    COUNTIFS($AF$3:$AF$201,$M195)&gt;0,
    COUNTIFS($AG$3:$AG$201,$M195)&gt;0,
    COUNTIFS($AH$3:$AH$201,$M195)&gt;0,
    COUNTIFS($AI$3:$AI$201,$M195)&gt;0,
    COUNTIFS($AJ$3:$AJ$201,$M195)&gt;0,
    COUNTIFS($AK$3:$AK$201,$M195)&gt;0,
    COUNTIFS($AL$3:$AL$201,$M195)&gt;0,
    COUNTIFS($AM$3:$AM$201,$M195)&gt;0,
    COUNTIFS($AN$3:$AN$201,$M195)&gt;0,
    COUNTIFS($AO$3:$AO$201,$M195)&gt;0,
    COUNTIFS($AP$3:$AP$201,$M195)&gt;0,
    COUNTIFS($AQ$3:$AQ$201,$M195)&gt;0,
    COUNTIFS($AR$3:$AR$201,$M195)&gt;0,
    COUNTIFS($AS$3:$AS$201,$M195)&gt;0,
    COUNTIFS($AT$3:$AT$201,$M195)&gt;0,
    COUNTIFS($AU$3:$AU$201,$M195)&gt;0,
    COUNTIFS($AV$3:$AV$201,$M195)&gt;0,
    COUNTIFS($AW$3:$AW$201,$M195)&gt;0
   ),
  0)
 ),
"")</f>
        <v>Rani</v>
      </c>
      <c r="P195" s="3" t="str" cm="1">
        <f t="array" aca="1" ref="P195" ca="1">IFERROR(
 INDEX(
  _xlfn._xlws.FILTER($T$2:$AW$2,
   TRANSPOSE(
    CHOOSE({1;2;3;4;5;6;7;8;9;10;11;12;13;14;15;16;17;18;19;20;21;22;23;24;25;26;27;28;29;30},
     COUNTIFS($T$3:$T$201,$M195)&gt;0,
     COUNTIFS($U$3:$U$201,$M195)&gt;0,
     COUNTIFS($V$3:$V$201,$M195)&gt;0,
     COUNTIFS($W$3:$W$201,$M195)&gt;0,
     COUNTIFS($X$3:$X$201,$M195)&gt;0,
     COUNTIFS($Y$3:$Y$201,$M195)&gt;0,
     COUNTIFS($Z$3:$Z$201,$M195)&gt;0,
     COUNTIFS($AA$3:$AA$201,$M195)&gt;0,
     COUNTIFS($AB$3:$AB$201,$M195)&gt;0,
     COUNTIFS($AC$3:$AC$201,$M195)&gt;0,
     COUNTIFS($AD$3:$AD$201,$M195)&gt;0,
     COUNTIFS($AE$3:$AE$201,$M195)&gt;0,
     COUNTIFS($AF$3:$AF$201,$M195)&gt;0,
     COUNTIFS($AG$3:$AG$201,$M195)&gt;0,
     COUNTIFS($AH$3:$AH$201,$M195)&gt;0,
     COUNTIFS($AI$3:$AI$201,$M195)&gt;0,
     COUNTIFS($AJ$3:$AJ$201,$M195)&gt;0,
     COUNTIFS($AK$3:$AK$201,$M195)&gt;0,
     COUNTIFS($AL$3:$AL$201,$M195)&gt;0,
     COUNTIFS($AM$3:$AM$201,$M195)&gt;0,
     COUNTIFS($AN$3:$AN$201,$M195)&gt;0,
     COUNTIFS($AO$3:$AO$201,$M195)&gt;0,
     COUNTIFS($AP$3:$AP$201,$M195)&gt;0,
     COUNTIFS($AQ$3:$AQ$201,$M195)&gt;0,
     COUNTIFS($AR$3:$AR$201,$M195)&gt;0,
     COUNTIFS($AS$3:$AS$201,$M195)&gt;0,
     COUNTIFS($AT$3:$AT$201,$M195)&gt;0,
     COUNTIFS($AU$3:$AU$201,$M195)&gt;0,
     COUNTIFS($AV$3:$AV$201,$M195)&gt;0,
     COUNTIFS($AW$3:$AW$201,$M195)&gt;0
   )),
  ),
  2
 ),
"")</f>
        <v/>
      </c>
      <c r="Q195" s="3" t="str" cm="1">
        <f t="array" aca="1" ref="Q195" ca="1">IFERROR(
 INDEX(
  _xlfn._xlws.FILTER($T$2:$AW$2,
   TRANSPOSE(
    CHOOSE({1;2;3;4;5;6;7;8;9;10;11;12;13;14;15;16;17;18;19;20;21;22;23;24;25;26;27;28;29;30},
     COUNTIFS($T$3:$T$201,$M195)&gt;0,
     COUNTIFS($U$3:$U$201,$M195)&gt;0,
     COUNTIFS($V$3:$V$201,$M195)&gt;0,
     COUNTIFS($W$3:$W$201,$M195)&gt;0,
     COUNTIFS($X$3:$X$201,$M195)&gt;0,
     COUNTIFS($Y$3:$Y$201,$M195)&gt;0,
     COUNTIFS($Z$3:$Z$201,$M195)&gt;0,
     COUNTIFS($AA$3:$AA$201,$M195)&gt;0,
     COUNTIFS($AB$3:$AB$201,$M195)&gt;0,
     COUNTIFS($AC$3:$AC$201,$M195)&gt;0,
     COUNTIFS($AD$3:$AD$201,$M195)&gt;0,
     COUNTIFS($AE$3:$AE$201,$M195)&gt;0,
     COUNTIFS($AF$3:$AF$201,$M195)&gt;0,
     COUNTIFS($AG$3:$AG$201,$M195)&gt;0,
     COUNTIFS($AH$3:$AH$201,$M195)&gt;0,
     COUNTIFS($AI$3:$AI$201,$M195)&gt;0,
     COUNTIFS($AJ$3:$AJ$201,$M195)&gt;0,
     COUNTIFS($AK$3:$AK$201,$M195)&gt;0,
     COUNTIFS($AL$3:$AL$201,$M195)&gt;0,
     COUNTIFS($AM$3:$AM$201,$M195)&gt;0,
     COUNTIFS($AN$3:$AN$201,$M195)&gt;0,
     COUNTIFS($AO$3:$AO$201,$M195)&gt;0,
     COUNTIFS($AP$3:$AP$201,$M195)&gt;0,
     COUNTIFS($AQ$3:$AQ$201,$M195)&gt;0,
     COUNTIFS($AR$3:$AR$201,$M195)&gt;0,
     COUNTIFS($AS$3:$AS$201,$M195)&gt;0,
     COUNTIFS($AT$3:$AT$201,$M195)&gt;0,
     COUNTIFS($AU$3:$AU$201,$M195)&gt;0,
     COUNTIFS($AV$3:$AV$201,$M195)&gt;0,
     COUNTIFS($AW$3:$AW$201,$M195)&gt;0
   )),
  ),
  3
 ),
"")</f>
        <v/>
      </c>
      <c r="R195" s="3" t="str" cm="1">
        <f t="array" aca="1" ref="R195" ca="1">IFERROR(
 INDEX(
  _xlfn._xlws.FILTER($T$2:$AW$2,
   TRANSPOSE(
    CHOOSE({1;2;3;4;5;6;7;8;9;10;11;12;13;14;15;16;17;18;19;20;21;22;23;24;25;26;27;28;29;30},
     COUNTIFS($T$3:$T$201,$M195)&gt;0,
     COUNTIFS($U$3:$U$201,$M195)&gt;0,
     COUNTIFS($V$3:$V$201,$M195)&gt;0,
     COUNTIFS($W$3:$W$201,$M195)&gt;0,
     COUNTIFS($X$3:$X$201,$M195)&gt;0,
     COUNTIFS($Y$3:$Y$201,$M195)&gt;0,
     COUNTIFS($Z$3:$Z$201,$M195)&gt;0,
     COUNTIFS($AA$3:$AA$201,$M195)&gt;0,
     COUNTIFS($AB$3:$AB$201,$M195)&gt;0,
     COUNTIFS($AC$3:$AC$201,$M195)&gt;0,
     COUNTIFS($AD$3:$AD$201,$M195)&gt;0,
     COUNTIFS($AE$3:$AE$201,$M195)&gt;0,
     COUNTIFS($AF$3:$AF$201,$M195)&gt;0,
     COUNTIFS($AG$3:$AG$201,$M195)&gt;0,
     COUNTIFS($AH$3:$AH$201,$M195)&gt;0,
     COUNTIFS($AI$3:$AI$201,$M195)&gt;0,
     COUNTIFS($AJ$3:$AJ$201,$M195)&gt;0,
     COUNTIFS($AK$3:$AK$201,$M195)&gt;0,
     COUNTIFS($AL$3:$AL$201,$M195)&gt;0,
     COUNTIFS($AM$3:$AM$201,$M195)&gt;0,
     COUNTIFS($AN$3:$AN$201,$M195)&gt;0,
     COUNTIFS($AO$3:$AO$201,$M195)&gt;0,
     COUNTIFS($AP$3:$AP$201,$M195)&gt;0,
     COUNTIFS($AQ$3:$AQ$201,$M195)&gt;0,
     COUNTIFS($AR$3:$AR$201,$M195)&gt;0,
     COUNTIFS($AS$3:$AS$201,$M195)&gt;0,
     COUNTIFS($AT$3:$AT$201,$M195)&gt;0,
     COUNTIFS($AU$3:$AU$201,$M195)&gt;0,
     COUNTIFS($AV$3:$AV$201,$M195)&gt;0,
     COUNTIFS($AW$3:$AW$201,$M195)&gt;0
   )),
  ),
  4
 ),
"")</f>
        <v/>
      </c>
      <c r="CF195" t="str">
        <f ca="1"/>
        <v>Trilha de Migalhas</v>
      </c>
      <c r="CI195" t="str">
        <f ca="1"/>
        <v>Recifes de Nau-Terror</v>
      </c>
    </row>
    <row r="196" spans="1:87" x14ac:dyDescent="0.25">
      <c r="A196" t="str">
        <f ca="1"/>
        <v>Patrolling Peacemaker</v>
      </c>
      <c r="B196" s="3" t="str" cm="1">
        <f t="array" aca="1" ref="B196" ca="1">_xlfn.ANCHORARRAY(RESUMO!C195)</f>
        <v>Tayam</v>
      </c>
      <c r="C196" s="3" t="str">
        <f t="shared" ca="1" si="12"/>
        <v/>
      </c>
      <c r="E196" t="str">
        <f ca="1"/>
        <v>Reclamation Sage</v>
      </c>
      <c r="F196" s="3">
        <f t="shared" ca="1" si="13"/>
        <v>1</v>
      </c>
      <c r="G196" s="3" t="str">
        <f t="shared" ca="1" si="14"/>
        <v>Kresh</v>
      </c>
      <c r="M196" t="str">
        <f ca="1"/>
        <v>Reclamation Sage</v>
      </c>
      <c r="N196" s="3">
        <f t="shared" ca="1" si="15"/>
        <v>1</v>
      </c>
      <c r="O196" s="3" t="str">
        <f ca="1">IFERROR(
 INDEX($T$2:$AW$2,
  MATCH(TRUE,
   CHOOSE({1;2;3;4;5;6;7;8;9;10;11;12;13;14;15;16;17;18;19;20;21;22;23;24;25;26;27;28;29;30;31;32},
    COUNTIFS($T$3:$T$201,$M196)&gt;0,
    COUNTIFS($U$3:$U$201,$M196)&gt;0,
    COUNTIFS($V$3:$V$201,$M196)&gt;0,
    COUNTIFS($W$3:$W$201,$M196)&gt;0,
    COUNTIFS($X$3:$X$201,$M196)&gt;0,
    COUNTIFS($Y$3:$Y$201,$M196)&gt;0,
    COUNTIFS($Z$3:$Z$201,$M196)&gt;0,
    COUNTIFS($AA$3:$AA$201,$M196)&gt;0,
    COUNTIFS($AB$3:$AB$201,$M196)&gt;0,
    COUNTIFS($AC$3:$AC$201,$M196)&gt;0,
    COUNTIFS($AD$3:$AD$201,$M196)&gt;0,
    COUNTIFS($AE$3:$AE$201,$M196)&gt;0,
    COUNTIFS($AF$3:$AF$201,$M196)&gt;0,
    COUNTIFS($AG$3:$AG$201,$M196)&gt;0,
    COUNTIFS($AH$3:$AH$201,$M196)&gt;0,
    COUNTIFS($AI$3:$AI$201,$M196)&gt;0,
    COUNTIFS($AJ$3:$AJ$201,$M196)&gt;0,
    COUNTIFS($AK$3:$AK$201,$M196)&gt;0,
    COUNTIFS($AL$3:$AL$201,$M196)&gt;0,
    COUNTIFS($AM$3:$AM$201,$M196)&gt;0,
    COUNTIFS($AN$3:$AN$201,$M196)&gt;0,
    COUNTIFS($AO$3:$AO$201,$M196)&gt;0,
    COUNTIFS($AP$3:$AP$201,$M196)&gt;0,
    COUNTIFS($AQ$3:$AQ$201,$M196)&gt;0,
    COUNTIFS($AR$3:$AR$201,$M196)&gt;0,
    COUNTIFS($AS$3:$AS$201,$M196)&gt;0,
    COUNTIFS($AT$3:$AT$201,$M196)&gt;0,
    COUNTIFS($AU$3:$AU$201,$M196)&gt;0,
    COUNTIFS($AV$3:$AV$201,$M196)&gt;0,
    COUNTIFS($AW$3:$AW$201,$M196)&gt;0
   ),
  0)
 ),
"")</f>
        <v>Kresh</v>
      </c>
      <c r="P196" s="3" t="str" cm="1">
        <f t="array" aca="1" ref="P196" ca="1">IFERROR(
 INDEX(
  _xlfn._xlws.FILTER($T$2:$AW$2,
   TRANSPOSE(
    CHOOSE({1;2;3;4;5;6;7;8;9;10;11;12;13;14;15;16;17;18;19;20;21;22;23;24;25;26;27;28;29;30},
     COUNTIFS($T$3:$T$201,$M196)&gt;0,
     COUNTIFS($U$3:$U$201,$M196)&gt;0,
     COUNTIFS($V$3:$V$201,$M196)&gt;0,
     COUNTIFS($W$3:$W$201,$M196)&gt;0,
     COUNTIFS($X$3:$X$201,$M196)&gt;0,
     COUNTIFS($Y$3:$Y$201,$M196)&gt;0,
     COUNTIFS($Z$3:$Z$201,$M196)&gt;0,
     COUNTIFS($AA$3:$AA$201,$M196)&gt;0,
     COUNTIFS($AB$3:$AB$201,$M196)&gt;0,
     COUNTIFS($AC$3:$AC$201,$M196)&gt;0,
     COUNTIFS($AD$3:$AD$201,$M196)&gt;0,
     COUNTIFS($AE$3:$AE$201,$M196)&gt;0,
     COUNTIFS($AF$3:$AF$201,$M196)&gt;0,
     COUNTIFS($AG$3:$AG$201,$M196)&gt;0,
     COUNTIFS($AH$3:$AH$201,$M196)&gt;0,
     COUNTIFS($AI$3:$AI$201,$M196)&gt;0,
     COUNTIFS($AJ$3:$AJ$201,$M196)&gt;0,
     COUNTIFS($AK$3:$AK$201,$M196)&gt;0,
     COUNTIFS($AL$3:$AL$201,$M196)&gt;0,
     COUNTIFS($AM$3:$AM$201,$M196)&gt;0,
     COUNTIFS($AN$3:$AN$201,$M196)&gt;0,
     COUNTIFS($AO$3:$AO$201,$M196)&gt;0,
     COUNTIFS($AP$3:$AP$201,$M196)&gt;0,
     COUNTIFS($AQ$3:$AQ$201,$M196)&gt;0,
     COUNTIFS($AR$3:$AR$201,$M196)&gt;0,
     COUNTIFS($AS$3:$AS$201,$M196)&gt;0,
     COUNTIFS($AT$3:$AT$201,$M196)&gt;0,
     COUNTIFS($AU$3:$AU$201,$M196)&gt;0,
     COUNTIFS($AV$3:$AV$201,$M196)&gt;0,
     COUNTIFS($AW$3:$AW$201,$M196)&gt;0
   )),
  ),
  2
 ),
"")</f>
        <v/>
      </c>
      <c r="Q196" s="3" t="str" cm="1">
        <f t="array" aca="1" ref="Q196" ca="1">IFERROR(
 INDEX(
  _xlfn._xlws.FILTER($T$2:$AW$2,
   TRANSPOSE(
    CHOOSE({1;2;3;4;5;6;7;8;9;10;11;12;13;14;15;16;17;18;19;20;21;22;23;24;25;26;27;28;29;30},
     COUNTIFS($T$3:$T$201,$M196)&gt;0,
     COUNTIFS($U$3:$U$201,$M196)&gt;0,
     COUNTIFS($V$3:$V$201,$M196)&gt;0,
     COUNTIFS($W$3:$W$201,$M196)&gt;0,
     COUNTIFS($X$3:$X$201,$M196)&gt;0,
     COUNTIFS($Y$3:$Y$201,$M196)&gt;0,
     COUNTIFS($Z$3:$Z$201,$M196)&gt;0,
     COUNTIFS($AA$3:$AA$201,$M196)&gt;0,
     COUNTIFS($AB$3:$AB$201,$M196)&gt;0,
     COUNTIFS($AC$3:$AC$201,$M196)&gt;0,
     COUNTIFS($AD$3:$AD$201,$M196)&gt;0,
     COUNTIFS($AE$3:$AE$201,$M196)&gt;0,
     COUNTIFS($AF$3:$AF$201,$M196)&gt;0,
     COUNTIFS($AG$3:$AG$201,$M196)&gt;0,
     COUNTIFS($AH$3:$AH$201,$M196)&gt;0,
     COUNTIFS($AI$3:$AI$201,$M196)&gt;0,
     COUNTIFS($AJ$3:$AJ$201,$M196)&gt;0,
     COUNTIFS($AK$3:$AK$201,$M196)&gt;0,
     COUNTIFS($AL$3:$AL$201,$M196)&gt;0,
     COUNTIFS($AM$3:$AM$201,$M196)&gt;0,
     COUNTIFS($AN$3:$AN$201,$M196)&gt;0,
     COUNTIFS($AO$3:$AO$201,$M196)&gt;0,
     COUNTIFS($AP$3:$AP$201,$M196)&gt;0,
     COUNTIFS($AQ$3:$AQ$201,$M196)&gt;0,
     COUNTIFS($AR$3:$AR$201,$M196)&gt;0,
     COUNTIFS($AS$3:$AS$201,$M196)&gt;0,
     COUNTIFS($AT$3:$AT$201,$M196)&gt;0,
     COUNTIFS($AU$3:$AU$201,$M196)&gt;0,
     COUNTIFS($AV$3:$AV$201,$M196)&gt;0,
     COUNTIFS($AW$3:$AW$201,$M196)&gt;0
   )),
  ),
  3
 ),
"")</f>
        <v/>
      </c>
      <c r="R196" s="3" t="str" cm="1">
        <f t="array" aca="1" ref="R196" ca="1">IFERROR(
 INDEX(
  _xlfn._xlws.FILTER($T$2:$AW$2,
   TRANSPOSE(
    CHOOSE({1;2;3;4;5;6;7;8;9;10;11;12;13;14;15;16;17;18;19;20;21;22;23;24;25;26;27;28;29;30},
     COUNTIFS($T$3:$T$201,$M196)&gt;0,
     COUNTIFS($U$3:$U$201,$M196)&gt;0,
     COUNTIFS($V$3:$V$201,$M196)&gt;0,
     COUNTIFS($W$3:$W$201,$M196)&gt;0,
     COUNTIFS($X$3:$X$201,$M196)&gt;0,
     COUNTIFS($Y$3:$Y$201,$M196)&gt;0,
     COUNTIFS($Z$3:$Z$201,$M196)&gt;0,
     COUNTIFS($AA$3:$AA$201,$M196)&gt;0,
     COUNTIFS($AB$3:$AB$201,$M196)&gt;0,
     COUNTIFS($AC$3:$AC$201,$M196)&gt;0,
     COUNTIFS($AD$3:$AD$201,$M196)&gt;0,
     COUNTIFS($AE$3:$AE$201,$M196)&gt;0,
     COUNTIFS($AF$3:$AF$201,$M196)&gt;0,
     COUNTIFS($AG$3:$AG$201,$M196)&gt;0,
     COUNTIFS($AH$3:$AH$201,$M196)&gt;0,
     COUNTIFS($AI$3:$AI$201,$M196)&gt;0,
     COUNTIFS($AJ$3:$AJ$201,$M196)&gt;0,
     COUNTIFS($AK$3:$AK$201,$M196)&gt;0,
     COUNTIFS($AL$3:$AL$201,$M196)&gt;0,
     COUNTIFS($AM$3:$AM$201,$M196)&gt;0,
     COUNTIFS($AN$3:$AN$201,$M196)&gt;0,
     COUNTIFS($AO$3:$AO$201,$M196)&gt;0,
     COUNTIFS($AP$3:$AP$201,$M196)&gt;0,
     COUNTIFS($AQ$3:$AQ$201,$M196)&gt;0,
     COUNTIFS($AR$3:$AR$201,$M196)&gt;0,
     COUNTIFS($AS$3:$AS$201,$M196)&gt;0,
     COUNTIFS($AT$3:$AT$201,$M196)&gt;0,
     COUNTIFS($AU$3:$AU$201,$M196)&gt;0,
     COUNTIFS($AV$3:$AV$201,$M196)&gt;0,
     COUNTIFS($AW$3:$AW$201,$M196)&gt;0
   )),
  ),
  4
 ),
"")</f>
        <v/>
      </c>
      <c r="CF196" t="str">
        <f ca="1"/>
        <v>Tuskguard Captain</v>
      </c>
      <c r="CI196" t="str">
        <f ca="1"/>
        <v>Reclamation Sage</v>
      </c>
    </row>
    <row r="197" spans="1:87" x14ac:dyDescent="0.25">
      <c r="A197" t="str">
        <f ca="1"/>
        <v>Petrified Field</v>
      </c>
      <c r="B197" s="3" t="str" cm="1">
        <f t="array" aca="1" ref="B197" ca="1">_xlfn.ANCHORARRAY(RESUMO!C196)</f>
        <v>Gritrog</v>
      </c>
      <c r="C197" s="3" t="str">
        <f t="shared" ca="1" si="12"/>
        <v/>
      </c>
      <c r="E197" t="str">
        <f ca="1"/>
        <v>Recrecimento Turbilhonante</v>
      </c>
      <c r="F197" s="3">
        <f t="shared" ca="1" si="13"/>
        <v>1</v>
      </c>
      <c r="G197" s="3" t="str">
        <f t="shared" ca="1" si="14"/>
        <v>Zimone</v>
      </c>
      <c r="M197" t="str">
        <f ca="1"/>
        <v>Recrecimento Turbilhonante</v>
      </c>
      <c r="N197" s="3">
        <f t="shared" ca="1" si="15"/>
        <v>1</v>
      </c>
      <c r="O197" s="3" t="str">
        <f ca="1">IFERROR(
 INDEX($T$2:$AW$2,
  MATCH(TRUE,
   CHOOSE({1;2;3;4;5;6;7;8;9;10;11;12;13;14;15;16;17;18;19;20;21;22;23;24;25;26;27;28;29;30;31;32},
    COUNTIFS($T$3:$T$201,$M197)&gt;0,
    COUNTIFS($U$3:$U$201,$M197)&gt;0,
    COUNTIFS($V$3:$V$201,$M197)&gt;0,
    COUNTIFS($W$3:$W$201,$M197)&gt;0,
    COUNTIFS($X$3:$X$201,$M197)&gt;0,
    COUNTIFS($Y$3:$Y$201,$M197)&gt;0,
    COUNTIFS($Z$3:$Z$201,$M197)&gt;0,
    COUNTIFS($AA$3:$AA$201,$M197)&gt;0,
    COUNTIFS($AB$3:$AB$201,$M197)&gt;0,
    COUNTIFS($AC$3:$AC$201,$M197)&gt;0,
    COUNTIFS($AD$3:$AD$201,$M197)&gt;0,
    COUNTIFS($AE$3:$AE$201,$M197)&gt;0,
    COUNTIFS($AF$3:$AF$201,$M197)&gt;0,
    COUNTIFS($AG$3:$AG$201,$M197)&gt;0,
    COUNTIFS($AH$3:$AH$201,$M197)&gt;0,
    COUNTIFS($AI$3:$AI$201,$M197)&gt;0,
    COUNTIFS($AJ$3:$AJ$201,$M197)&gt;0,
    COUNTIFS($AK$3:$AK$201,$M197)&gt;0,
    COUNTIFS($AL$3:$AL$201,$M197)&gt;0,
    COUNTIFS($AM$3:$AM$201,$M197)&gt;0,
    COUNTIFS($AN$3:$AN$201,$M197)&gt;0,
    COUNTIFS($AO$3:$AO$201,$M197)&gt;0,
    COUNTIFS($AP$3:$AP$201,$M197)&gt;0,
    COUNTIFS($AQ$3:$AQ$201,$M197)&gt;0,
    COUNTIFS($AR$3:$AR$201,$M197)&gt;0,
    COUNTIFS($AS$3:$AS$201,$M197)&gt;0,
    COUNTIFS($AT$3:$AT$201,$M197)&gt;0,
    COUNTIFS($AU$3:$AU$201,$M197)&gt;0,
    COUNTIFS($AV$3:$AV$201,$M197)&gt;0,
    COUNTIFS($AW$3:$AW$201,$M197)&gt;0
   ),
  0)
 ),
"")</f>
        <v>Zimone</v>
      </c>
      <c r="P197" s="3" t="str" cm="1">
        <f t="array" aca="1" ref="P197" ca="1">IFERROR(
 INDEX(
  _xlfn._xlws.FILTER($T$2:$AW$2,
   TRANSPOSE(
    CHOOSE({1;2;3;4;5;6;7;8;9;10;11;12;13;14;15;16;17;18;19;20;21;22;23;24;25;26;27;28;29;30},
     COUNTIFS($T$3:$T$201,$M197)&gt;0,
     COUNTIFS($U$3:$U$201,$M197)&gt;0,
     COUNTIFS($V$3:$V$201,$M197)&gt;0,
     COUNTIFS($W$3:$W$201,$M197)&gt;0,
     COUNTIFS($X$3:$X$201,$M197)&gt;0,
     COUNTIFS($Y$3:$Y$201,$M197)&gt;0,
     COUNTIFS($Z$3:$Z$201,$M197)&gt;0,
     COUNTIFS($AA$3:$AA$201,$M197)&gt;0,
     COUNTIFS($AB$3:$AB$201,$M197)&gt;0,
     COUNTIFS($AC$3:$AC$201,$M197)&gt;0,
     COUNTIFS($AD$3:$AD$201,$M197)&gt;0,
     COUNTIFS($AE$3:$AE$201,$M197)&gt;0,
     COUNTIFS($AF$3:$AF$201,$M197)&gt;0,
     COUNTIFS($AG$3:$AG$201,$M197)&gt;0,
     COUNTIFS($AH$3:$AH$201,$M197)&gt;0,
     COUNTIFS($AI$3:$AI$201,$M197)&gt;0,
     COUNTIFS($AJ$3:$AJ$201,$M197)&gt;0,
     COUNTIFS($AK$3:$AK$201,$M197)&gt;0,
     COUNTIFS($AL$3:$AL$201,$M197)&gt;0,
     COUNTIFS($AM$3:$AM$201,$M197)&gt;0,
     COUNTIFS($AN$3:$AN$201,$M197)&gt;0,
     COUNTIFS($AO$3:$AO$201,$M197)&gt;0,
     COUNTIFS($AP$3:$AP$201,$M197)&gt;0,
     COUNTIFS($AQ$3:$AQ$201,$M197)&gt;0,
     COUNTIFS($AR$3:$AR$201,$M197)&gt;0,
     COUNTIFS($AS$3:$AS$201,$M197)&gt;0,
     COUNTIFS($AT$3:$AT$201,$M197)&gt;0,
     COUNTIFS($AU$3:$AU$201,$M197)&gt;0,
     COUNTIFS($AV$3:$AV$201,$M197)&gt;0,
     COUNTIFS($AW$3:$AW$201,$M197)&gt;0
   )),
  ),
  2
 ),
"")</f>
        <v/>
      </c>
      <c r="Q197" s="3" t="str" cm="1">
        <f t="array" aca="1" ref="Q197" ca="1">IFERROR(
 INDEX(
  _xlfn._xlws.FILTER($T$2:$AW$2,
   TRANSPOSE(
    CHOOSE({1;2;3;4;5;6;7;8;9;10;11;12;13;14;15;16;17;18;19;20;21;22;23;24;25;26;27;28;29;30},
     COUNTIFS($T$3:$T$201,$M197)&gt;0,
     COUNTIFS($U$3:$U$201,$M197)&gt;0,
     COUNTIFS($V$3:$V$201,$M197)&gt;0,
     COUNTIFS($W$3:$W$201,$M197)&gt;0,
     COUNTIFS($X$3:$X$201,$M197)&gt;0,
     COUNTIFS($Y$3:$Y$201,$M197)&gt;0,
     COUNTIFS($Z$3:$Z$201,$M197)&gt;0,
     COUNTIFS($AA$3:$AA$201,$M197)&gt;0,
     COUNTIFS($AB$3:$AB$201,$M197)&gt;0,
     COUNTIFS($AC$3:$AC$201,$M197)&gt;0,
     COUNTIFS($AD$3:$AD$201,$M197)&gt;0,
     COUNTIFS($AE$3:$AE$201,$M197)&gt;0,
     COUNTIFS($AF$3:$AF$201,$M197)&gt;0,
     COUNTIFS($AG$3:$AG$201,$M197)&gt;0,
     COUNTIFS($AH$3:$AH$201,$M197)&gt;0,
     COUNTIFS($AI$3:$AI$201,$M197)&gt;0,
     COUNTIFS($AJ$3:$AJ$201,$M197)&gt;0,
     COUNTIFS($AK$3:$AK$201,$M197)&gt;0,
     COUNTIFS($AL$3:$AL$201,$M197)&gt;0,
     COUNTIFS($AM$3:$AM$201,$M197)&gt;0,
     COUNTIFS($AN$3:$AN$201,$M197)&gt;0,
     COUNTIFS($AO$3:$AO$201,$M197)&gt;0,
     COUNTIFS($AP$3:$AP$201,$M197)&gt;0,
     COUNTIFS($AQ$3:$AQ$201,$M197)&gt;0,
     COUNTIFS($AR$3:$AR$201,$M197)&gt;0,
     COUNTIFS($AS$3:$AS$201,$M197)&gt;0,
     COUNTIFS($AT$3:$AT$201,$M197)&gt;0,
     COUNTIFS($AU$3:$AU$201,$M197)&gt;0,
     COUNTIFS($AV$3:$AV$201,$M197)&gt;0,
     COUNTIFS($AW$3:$AW$201,$M197)&gt;0
   )),
  ),
  3
 ),
"")</f>
        <v/>
      </c>
      <c r="R197" s="3" t="str" cm="1">
        <f t="array" aca="1" ref="R197" ca="1">IFERROR(
 INDEX(
  _xlfn._xlws.FILTER($T$2:$AW$2,
   TRANSPOSE(
    CHOOSE({1;2;3;4;5;6;7;8;9;10;11;12;13;14;15;16;17;18;19;20;21;22;23;24;25;26;27;28;29;30},
     COUNTIFS($T$3:$T$201,$M197)&gt;0,
     COUNTIFS($U$3:$U$201,$M197)&gt;0,
     COUNTIFS($V$3:$V$201,$M197)&gt;0,
     COUNTIFS($W$3:$W$201,$M197)&gt;0,
     COUNTIFS($X$3:$X$201,$M197)&gt;0,
     COUNTIFS($Y$3:$Y$201,$M197)&gt;0,
     COUNTIFS($Z$3:$Z$201,$M197)&gt;0,
     COUNTIFS($AA$3:$AA$201,$M197)&gt;0,
     COUNTIFS($AB$3:$AB$201,$M197)&gt;0,
     COUNTIFS($AC$3:$AC$201,$M197)&gt;0,
     COUNTIFS($AD$3:$AD$201,$M197)&gt;0,
     COUNTIFS($AE$3:$AE$201,$M197)&gt;0,
     COUNTIFS($AF$3:$AF$201,$M197)&gt;0,
     COUNTIFS($AG$3:$AG$201,$M197)&gt;0,
     COUNTIFS($AH$3:$AH$201,$M197)&gt;0,
     COUNTIFS($AI$3:$AI$201,$M197)&gt;0,
     COUNTIFS($AJ$3:$AJ$201,$M197)&gt;0,
     COUNTIFS($AK$3:$AK$201,$M197)&gt;0,
     COUNTIFS($AL$3:$AL$201,$M197)&gt;0,
     COUNTIFS($AM$3:$AM$201,$M197)&gt;0,
     COUNTIFS($AN$3:$AN$201,$M197)&gt;0,
     COUNTIFS($AO$3:$AO$201,$M197)&gt;0,
     COUNTIFS($AP$3:$AP$201,$M197)&gt;0,
     COUNTIFS($AQ$3:$AQ$201,$M197)&gt;0,
     COUNTIFS($AR$3:$AR$201,$M197)&gt;0,
     COUNTIFS($AS$3:$AS$201,$M197)&gt;0,
     COUNTIFS($AT$3:$AT$201,$M197)&gt;0,
     COUNTIFS($AU$3:$AU$201,$M197)&gt;0,
     COUNTIFS($AV$3:$AV$201,$M197)&gt;0,
     COUNTIFS($AW$3:$AW$201,$M197)&gt;0
   )),
  ),
  4
 ),
"")</f>
        <v/>
      </c>
      <c r="CF197" t="str">
        <f ca="1"/>
        <v>Urna de Mosco-lumes</v>
      </c>
      <c r="CI197" t="str">
        <f ca="1"/>
        <v>Recrecimento Turbilhonante</v>
      </c>
    </row>
    <row r="198" spans="1:87" x14ac:dyDescent="0.25">
      <c r="A198" t="str">
        <f ca="1"/>
        <v>Phyrexian Tower</v>
      </c>
      <c r="B198" s="3" t="str" cm="1">
        <f t="array" aca="1" ref="B198" ca="1">_xlfn.ANCHORARRAY(RESUMO!C197)</f>
        <v>Gritrog</v>
      </c>
      <c r="C198" s="3" t="str">
        <f t="shared" ca="1" si="12"/>
        <v/>
      </c>
      <c r="E198" t="str">
        <f ca="1"/>
        <v>Recuperação das Gavinhas Bolorentas</v>
      </c>
      <c r="F198" s="3">
        <f t="shared" ca="1" si="13"/>
        <v>1</v>
      </c>
      <c r="G198" s="3" t="str">
        <f t="shared" ca="1" si="14"/>
        <v>Zimone</v>
      </c>
      <c r="M198" t="str">
        <f ca="1"/>
        <v>Recuperação das Gavinhas Bolorentas</v>
      </c>
      <c r="N198" s="3">
        <f t="shared" ca="1" si="15"/>
        <v>1</v>
      </c>
      <c r="O198" s="3" t="str">
        <f ca="1">IFERROR(
 INDEX($T$2:$AW$2,
  MATCH(TRUE,
   CHOOSE({1;2;3;4;5;6;7;8;9;10;11;12;13;14;15;16;17;18;19;20;21;22;23;24;25;26;27;28;29;30;31;32},
    COUNTIFS($T$3:$T$201,$M198)&gt;0,
    COUNTIFS($U$3:$U$201,$M198)&gt;0,
    COUNTIFS($V$3:$V$201,$M198)&gt;0,
    COUNTIFS($W$3:$W$201,$M198)&gt;0,
    COUNTIFS($X$3:$X$201,$M198)&gt;0,
    COUNTIFS($Y$3:$Y$201,$M198)&gt;0,
    COUNTIFS($Z$3:$Z$201,$M198)&gt;0,
    COUNTIFS($AA$3:$AA$201,$M198)&gt;0,
    COUNTIFS($AB$3:$AB$201,$M198)&gt;0,
    COUNTIFS($AC$3:$AC$201,$M198)&gt;0,
    COUNTIFS($AD$3:$AD$201,$M198)&gt;0,
    COUNTIFS($AE$3:$AE$201,$M198)&gt;0,
    COUNTIFS($AF$3:$AF$201,$M198)&gt;0,
    COUNTIFS($AG$3:$AG$201,$M198)&gt;0,
    COUNTIFS($AH$3:$AH$201,$M198)&gt;0,
    COUNTIFS($AI$3:$AI$201,$M198)&gt;0,
    COUNTIFS($AJ$3:$AJ$201,$M198)&gt;0,
    COUNTIFS($AK$3:$AK$201,$M198)&gt;0,
    COUNTIFS($AL$3:$AL$201,$M198)&gt;0,
    COUNTIFS($AM$3:$AM$201,$M198)&gt;0,
    COUNTIFS($AN$3:$AN$201,$M198)&gt;0,
    COUNTIFS($AO$3:$AO$201,$M198)&gt;0,
    COUNTIFS($AP$3:$AP$201,$M198)&gt;0,
    COUNTIFS($AQ$3:$AQ$201,$M198)&gt;0,
    COUNTIFS($AR$3:$AR$201,$M198)&gt;0,
    COUNTIFS($AS$3:$AS$201,$M198)&gt;0,
    COUNTIFS($AT$3:$AT$201,$M198)&gt;0,
    COUNTIFS($AU$3:$AU$201,$M198)&gt;0,
    COUNTIFS($AV$3:$AV$201,$M198)&gt;0,
    COUNTIFS($AW$3:$AW$201,$M198)&gt;0
   ),
  0)
 ),
"")</f>
        <v>Zimone</v>
      </c>
      <c r="P198" s="3" t="str" cm="1">
        <f t="array" aca="1" ref="P198" ca="1">IFERROR(
 INDEX(
  _xlfn._xlws.FILTER($T$2:$AW$2,
   TRANSPOSE(
    CHOOSE({1;2;3;4;5;6;7;8;9;10;11;12;13;14;15;16;17;18;19;20;21;22;23;24;25;26;27;28;29;30},
     COUNTIFS($T$3:$T$201,$M198)&gt;0,
     COUNTIFS($U$3:$U$201,$M198)&gt;0,
     COUNTIFS($V$3:$V$201,$M198)&gt;0,
     COUNTIFS($W$3:$W$201,$M198)&gt;0,
     COUNTIFS($X$3:$X$201,$M198)&gt;0,
     COUNTIFS($Y$3:$Y$201,$M198)&gt;0,
     COUNTIFS($Z$3:$Z$201,$M198)&gt;0,
     COUNTIFS($AA$3:$AA$201,$M198)&gt;0,
     COUNTIFS($AB$3:$AB$201,$M198)&gt;0,
     COUNTIFS($AC$3:$AC$201,$M198)&gt;0,
     COUNTIFS($AD$3:$AD$201,$M198)&gt;0,
     COUNTIFS($AE$3:$AE$201,$M198)&gt;0,
     COUNTIFS($AF$3:$AF$201,$M198)&gt;0,
     COUNTIFS($AG$3:$AG$201,$M198)&gt;0,
     COUNTIFS($AH$3:$AH$201,$M198)&gt;0,
     COUNTIFS($AI$3:$AI$201,$M198)&gt;0,
     COUNTIFS($AJ$3:$AJ$201,$M198)&gt;0,
     COUNTIFS($AK$3:$AK$201,$M198)&gt;0,
     COUNTIFS($AL$3:$AL$201,$M198)&gt;0,
     COUNTIFS($AM$3:$AM$201,$M198)&gt;0,
     COUNTIFS($AN$3:$AN$201,$M198)&gt;0,
     COUNTIFS($AO$3:$AO$201,$M198)&gt;0,
     COUNTIFS($AP$3:$AP$201,$M198)&gt;0,
     COUNTIFS($AQ$3:$AQ$201,$M198)&gt;0,
     COUNTIFS($AR$3:$AR$201,$M198)&gt;0,
     COUNTIFS($AS$3:$AS$201,$M198)&gt;0,
     COUNTIFS($AT$3:$AT$201,$M198)&gt;0,
     COUNTIFS($AU$3:$AU$201,$M198)&gt;0,
     COUNTIFS($AV$3:$AV$201,$M198)&gt;0,
     COUNTIFS($AW$3:$AW$201,$M198)&gt;0
   )),
  ),
  2
 ),
"")</f>
        <v/>
      </c>
      <c r="Q198" s="3" t="str" cm="1">
        <f t="array" aca="1" ref="Q198" ca="1">IFERROR(
 INDEX(
  _xlfn._xlws.FILTER($T$2:$AW$2,
   TRANSPOSE(
    CHOOSE({1;2;3;4;5;6;7;8;9;10;11;12;13;14;15;16;17;18;19;20;21;22;23;24;25;26;27;28;29;30},
     COUNTIFS($T$3:$T$201,$M198)&gt;0,
     COUNTIFS($U$3:$U$201,$M198)&gt;0,
     COUNTIFS($V$3:$V$201,$M198)&gt;0,
     COUNTIFS($W$3:$W$201,$M198)&gt;0,
     COUNTIFS($X$3:$X$201,$M198)&gt;0,
     COUNTIFS($Y$3:$Y$201,$M198)&gt;0,
     COUNTIFS($Z$3:$Z$201,$M198)&gt;0,
     COUNTIFS($AA$3:$AA$201,$M198)&gt;0,
     COUNTIFS($AB$3:$AB$201,$M198)&gt;0,
     COUNTIFS($AC$3:$AC$201,$M198)&gt;0,
     COUNTIFS($AD$3:$AD$201,$M198)&gt;0,
     COUNTIFS($AE$3:$AE$201,$M198)&gt;0,
     COUNTIFS($AF$3:$AF$201,$M198)&gt;0,
     COUNTIFS($AG$3:$AG$201,$M198)&gt;0,
     COUNTIFS($AH$3:$AH$201,$M198)&gt;0,
     COUNTIFS($AI$3:$AI$201,$M198)&gt;0,
     COUNTIFS($AJ$3:$AJ$201,$M198)&gt;0,
     COUNTIFS($AK$3:$AK$201,$M198)&gt;0,
     COUNTIFS($AL$3:$AL$201,$M198)&gt;0,
     COUNTIFS($AM$3:$AM$201,$M198)&gt;0,
     COUNTIFS($AN$3:$AN$201,$M198)&gt;0,
     COUNTIFS($AO$3:$AO$201,$M198)&gt;0,
     COUNTIFS($AP$3:$AP$201,$M198)&gt;0,
     COUNTIFS($AQ$3:$AQ$201,$M198)&gt;0,
     COUNTIFS($AR$3:$AR$201,$M198)&gt;0,
     COUNTIFS($AS$3:$AS$201,$M198)&gt;0,
     COUNTIFS($AT$3:$AT$201,$M198)&gt;0,
     COUNTIFS($AU$3:$AU$201,$M198)&gt;0,
     COUNTIFS($AV$3:$AV$201,$M198)&gt;0,
     COUNTIFS($AW$3:$AW$201,$M198)&gt;0
   )),
  ),
  3
 ),
"")</f>
        <v/>
      </c>
      <c r="R198" s="3" t="str" cm="1">
        <f t="array" aca="1" ref="R198" ca="1">IFERROR(
 INDEX(
  _xlfn._xlws.FILTER($T$2:$AW$2,
   TRANSPOSE(
    CHOOSE({1;2;3;4;5;6;7;8;9;10;11;12;13;14;15;16;17;18;19;20;21;22;23;24;25;26;27;28;29;30},
     COUNTIFS($T$3:$T$201,$M198)&gt;0,
     COUNTIFS($U$3:$U$201,$M198)&gt;0,
     COUNTIFS($V$3:$V$201,$M198)&gt;0,
     COUNTIFS($W$3:$W$201,$M198)&gt;0,
     COUNTIFS($X$3:$X$201,$M198)&gt;0,
     COUNTIFS($Y$3:$Y$201,$M198)&gt;0,
     COUNTIFS($Z$3:$Z$201,$M198)&gt;0,
     COUNTIFS($AA$3:$AA$201,$M198)&gt;0,
     COUNTIFS($AB$3:$AB$201,$M198)&gt;0,
     COUNTIFS($AC$3:$AC$201,$M198)&gt;0,
     COUNTIFS($AD$3:$AD$201,$M198)&gt;0,
     COUNTIFS($AE$3:$AE$201,$M198)&gt;0,
     COUNTIFS($AF$3:$AF$201,$M198)&gt;0,
     COUNTIFS($AG$3:$AG$201,$M198)&gt;0,
     COUNTIFS($AH$3:$AH$201,$M198)&gt;0,
     COUNTIFS($AI$3:$AI$201,$M198)&gt;0,
     COUNTIFS($AJ$3:$AJ$201,$M198)&gt;0,
     COUNTIFS($AK$3:$AK$201,$M198)&gt;0,
     COUNTIFS($AL$3:$AL$201,$M198)&gt;0,
     COUNTIFS($AM$3:$AM$201,$M198)&gt;0,
     COUNTIFS($AN$3:$AN$201,$M198)&gt;0,
     COUNTIFS($AO$3:$AO$201,$M198)&gt;0,
     COUNTIFS($AP$3:$AP$201,$M198)&gt;0,
     COUNTIFS($AQ$3:$AQ$201,$M198)&gt;0,
     COUNTIFS($AR$3:$AR$201,$M198)&gt;0,
     COUNTIFS($AS$3:$AS$201,$M198)&gt;0,
     COUNTIFS($AT$3:$AT$201,$M198)&gt;0,
     COUNTIFS($AU$3:$AU$201,$M198)&gt;0,
     COUNTIFS($AV$3:$AV$201,$M198)&gt;0,
     COUNTIFS($AW$3:$AW$201,$M198)&gt;0
   )),
  ),
  4
 ),
"")</f>
        <v/>
      </c>
      <c r="CF198" t="str">
        <f ca="1"/>
        <v>Urza Assembles the Titans</v>
      </c>
      <c r="CI198" t="str">
        <f ca="1"/>
        <v>Recuperação das Gavinhas Bolorentas</v>
      </c>
    </row>
    <row r="199" spans="1:87" x14ac:dyDescent="0.25">
      <c r="A199" t="str">
        <f ca="1"/>
        <v>Planetary Annihilation</v>
      </c>
      <c r="B199" s="3" t="str" cm="1">
        <f t="array" aca="1" ref="B199" ca="1">_xlfn.ANCHORARRAY(RESUMO!C198)</f>
        <v>Jhoira</v>
      </c>
      <c r="C199" s="3" t="str">
        <f t="shared" ca="1" si="12"/>
        <v/>
      </c>
      <c r="E199" t="str">
        <f ca="1"/>
        <v>Repartir o Véu D'Água</v>
      </c>
      <c r="F199" s="3">
        <f t="shared" ca="1" si="13"/>
        <v>1</v>
      </c>
      <c r="G199" s="3" t="str">
        <f t="shared" ca="1" si="14"/>
        <v>Yuriko</v>
      </c>
      <c r="M199" t="str">
        <f ca="1"/>
        <v>Repartir o Véu D'Água</v>
      </c>
      <c r="N199" s="3">
        <f t="shared" ca="1" si="15"/>
        <v>1</v>
      </c>
      <c r="O199" s="3" t="str">
        <f ca="1">IFERROR(
 INDEX($T$2:$AW$2,
  MATCH(TRUE,
   CHOOSE({1;2;3;4;5;6;7;8;9;10;11;12;13;14;15;16;17;18;19;20;21;22;23;24;25;26;27;28;29;30;31;32},
    COUNTIFS($T$3:$T$201,$M199)&gt;0,
    COUNTIFS($U$3:$U$201,$M199)&gt;0,
    COUNTIFS($V$3:$V$201,$M199)&gt;0,
    COUNTIFS($W$3:$W$201,$M199)&gt;0,
    COUNTIFS($X$3:$X$201,$M199)&gt;0,
    COUNTIFS($Y$3:$Y$201,$M199)&gt;0,
    COUNTIFS($Z$3:$Z$201,$M199)&gt;0,
    COUNTIFS($AA$3:$AA$201,$M199)&gt;0,
    COUNTIFS($AB$3:$AB$201,$M199)&gt;0,
    COUNTIFS($AC$3:$AC$201,$M199)&gt;0,
    COUNTIFS($AD$3:$AD$201,$M199)&gt;0,
    COUNTIFS($AE$3:$AE$201,$M199)&gt;0,
    COUNTIFS($AF$3:$AF$201,$M199)&gt;0,
    COUNTIFS($AG$3:$AG$201,$M199)&gt;0,
    COUNTIFS($AH$3:$AH$201,$M199)&gt;0,
    COUNTIFS($AI$3:$AI$201,$M199)&gt;0,
    COUNTIFS($AJ$3:$AJ$201,$M199)&gt;0,
    COUNTIFS($AK$3:$AK$201,$M199)&gt;0,
    COUNTIFS($AL$3:$AL$201,$M199)&gt;0,
    COUNTIFS($AM$3:$AM$201,$M199)&gt;0,
    COUNTIFS($AN$3:$AN$201,$M199)&gt;0,
    COUNTIFS($AO$3:$AO$201,$M199)&gt;0,
    COUNTIFS($AP$3:$AP$201,$M199)&gt;0,
    COUNTIFS($AQ$3:$AQ$201,$M199)&gt;0,
    COUNTIFS($AR$3:$AR$201,$M199)&gt;0,
    COUNTIFS($AS$3:$AS$201,$M199)&gt;0,
    COUNTIFS($AT$3:$AT$201,$M199)&gt;0,
    COUNTIFS($AU$3:$AU$201,$M199)&gt;0,
    COUNTIFS($AV$3:$AV$201,$M199)&gt;0,
    COUNTIFS($AW$3:$AW$201,$M199)&gt;0
   ),
  0)
 ),
"")</f>
        <v>Yuriko</v>
      </c>
      <c r="P199" s="3" t="str" cm="1">
        <f t="array" aca="1" ref="P199" ca="1">IFERROR(
 INDEX(
  _xlfn._xlws.FILTER($T$2:$AW$2,
   TRANSPOSE(
    CHOOSE({1;2;3;4;5;6;7;8;9;10;11;12;13;14;15;16;17;18;19;20;21;22;23;24;25;26;27;28;29;30},
     COUNTIFS($T$3:$T$201,$M199)&gt;0,
     COUNTIFS($U$3:$U$201,$M199)&gt;0,
     COUNTIFS($V$3:$V$201,$M199)&gt;0,
     COUNTIFS($W$3:$W$201,$M199)&gt;0,
     COUNTIFS($X$3:$X$201,$M199)&gt;0,
     COUNTIFS($Y$3:$Y$201,$M199)&gt;0,
     COUNTIFS($Z$3:$Z$201,$M199)&gt;0,
     COUNTIFS($AA$3:$AA$201,$M199)&gt;0,
     COUNTIFS($AB$3:$AB$201,$M199)&gt;0,
     COUNTIFS($AC$3:$AC$201,$M199)&gt;0,
     COUNTIFS($AD$3:$AD$201,$M199)&gt;0,
     COUNTIFS($AE$3:$AE$201,$M199)&gt;0,
     COUNTIFS($AF$3:$AF$201,$M199)&gt;0,
     COUNTIFS($AG$3:$AG$201,$M199)&gt;0,
     COUNTIFS($AH$3:$AH$201,$M199)&gt;0,
     COUNTIFS($AI$3:$AI$201,$M199)&gt;0,
     COUNTIFS($AJ$3:$AJ$201,$M199)&gt;0,
     COUNTIFS($AK$3:$AK$201,$M199)&gt;0,
     COUNTIFS($AL$3:$AL$201,$M199)&gt;0,
     COUNTIFS($AM$3:$AM$201,$M199)&gt;0,
     COUNTIFS($AN$3:$AN$201,$M199)&gt;0,
     COUNTIFS($AO$3:$AO$201,$M199)&gt;0,
     COUNTIFS($AP$3:$AP$201,$M199)&gt;0,
     COUNTIFS($AQ$3:$AQ$201,$M199)&gt;0,
     COUNTIFS($AR$3:$AR$201,$M199)&gt;0,
     COUNTIFS($AS$3:$AS$201,$M199)&gt;0,
     COUNTIFS($AT$3:$AT$201,$M199)&gt;0,
     COUNTIFS($AU$3:$AU$201,$M199)&gt;0,
     COUNTIFS($AV$3:$AV$201,$M199)&gt;0,
     COUNTIFS($AW$3:$AW$201,$M199)&gt;0
   )),
  ),
  2
 ),
"")</f>
        <v/>
      </c>
      <c r="Q199" s="3" t="str" cm="1">
        <f t="array" aca="1" ref="Q199" ca="1">IFERROR(
 INDEX(
  _xlfn._xlws.FILTER($T$2:$AW$2,
   TRANSPOSE(
    CHOOSE({1;2;3;4;5;6;7;8;9;10;11;12;13;14;15;16;17;18;19;20;21;22;23;24;25;26;27;28;29;30},
     COUNTIFS($T$3:$T$201,$M199)&gt;0,
     COUNTIFS($U$3:$U$201,$M199)&gt;0,
     COUNTIFS($V$3:$V$201,$M199)&gt;0,
     COUNTIFS($W$3:$W$201,$M199)&gt;0,
     COUNTIFS($X$3:$X$201,$M199)&gt;0,
     COUNTIFS($Y$3:$Y$201,$M199)&gt;0,
     COUNTIFS($Z$3:$Z$201,$M199)&gt;0,
     COUNTIFS($AA$3:$AA$201,$M199)&gt;0,
     COUNTIFS($AB$3:$AB$201,$M199)&gt;0,
     COUNTIFS($AC$3:$AC$201,$M199)&gt;0,
     COUNTIFS($AD$3:$AD$201,$M199)&gt;0,
     COUNTIFS($AE$3:$AE$201,$M199)&gt;0,
     COUNTIFS($AF$3:$AF$201,$M199)&gt;0,
     COUNTIFS($AG$3:$AG$201,$M199)&gt;0,
     COUNTIFS($AH$3:$AH$201,$M199)&gt;0,
     COUNTIFS($AI$3:$AI$201,$M199)&gt;0,
     COUNTIFS($AJ$3:$AJ$201,$M199)&gt;0,
     COUNTIFS($AK$3:$AK$201,$M199)&gt;0,
     COUNTIFS($AL$3:$AL$201,$M199)&gt;0,
     COUNTIFS($AM$3:$AM$201,$M199)&gt;0,
     COUNTIFS($AN$3:$AN$201,$M199)&gt;0,
     COUNTIFS($AO$3:$AO$201,$M199)&gt;0,
     COUNTIFS($AP$3:$AP$201,$M199)&gt;0,
     COUNTIFS($AQ$3:$AQ$201,$M199)&gt;0,
     COUNTIFS($AR$3:$AR$201,$M199)&gt;0,
     COUNTIFS($AS$3:$AS$201,$M199)&gt;0,
     COUNTIFS($AT$3:$AT$201,$M199)&gt;0,
     COUNTIFS($AU$3:$AU$201,$M199)&gt;0,
     COUNTIFS($AV$3:$AV$201,$M199)&gt;0,
     COUNTIFS($AW$3:$AW$201,$M199)&gt;0
   )),
  ),
  3
 ),
"")</f>
        <v/>
      </c>
      <c r="R199" s="3" t="str" cm="1">
        <f t="array" aca="1" ref="R199" ca="1">IFERROR(
 INDEX(
  _xlfn._xlws.FILTER($T$2:$AW$2,
   TRANSPOSE(
    CHOOSE({1;2;3;4;5;6;7;8;9;10;11;12;13;14;15;16;17;18;19;20;21;22;23;24;25;26;27;28;29;30},
     COUNTIFS($T$3:$T$201,$M199)&gt;0,
     COUNTIFS($U$3:$U$201,$M199)&gt;0,
     COUNTIFS($V$3:$V$201,$M199)&gt;0,
     COUNTIFS($W$3:$W$201,$M199)&gt;0,
     COUNTIFS($X$3:$X$201,$M199)&gt;0,
     COUNTIFS($Y$3:$Y$201,$M199)&gt;0,
     COUNTIFS($Z$3:$Z$201,$M199)&gt;0,
     COUNTIFS($AA$3:$AA$201,$M199)&gt;0,
     COUNTIFS($AB$3:$AB$201,$M199)&gt;0,
     COUNTIFS($AC$3:$AC$201,$M199)&gt;0,
     COUNTIFS($AD$3:$AD$201,$M199)&gt;0,
     COUNTIFS($AE$3:$AE$201,$M199)&gt;0,
     COUNTIFS($AF$3:$AF$201,$M199)&gt;0,
     COUNTIFS($AG$3:$AG$201,$M199)&gt;0,
     COUNTIFS($AH$3:$AH$201,$M199)&gt;0,
     COUNTIFS($AI$3:$AI$201,$M199)&gt;0,
     COUNTIFS($AJ$3:$AJ$201,$M199)&gt;0,
     COUNTIFS($AK$3:$AK$201,$M199)&gt;0,
     COUNTIFS($AL$3:$AL$201,$M199)&gt;0,
     COUNTIFS($AM$3:$AM$201,$M199)&gt;0,
     COUNTIFS($AN$3:$AN$201,$M199)&gt;0,
     COUNTIFS($AO$3:$AO$201,$M199)&gt;0,
     COUNTIFS($AP$3:$AP$201,$M199)&gt;0,
     COUNTIFS($AQ$3:$AQ$201,$M199)&gt;0,
     COUNTIFS($AR$3:$AR$201,$M199)&gt;0,
     COUNTIFS($AS$3:$AS$201,$M199)&gt;0,
     COUNTIFS($AT$3:$AT$201,$M199)&gt;0,
     COUNTIFS($AU$3:$AU$201,$M199)&gt;0,
     COUNTIFS($AV$3:$AV$201,$M199)&gt;0,
     COUNTIFS($AW$3:$AW$201,$M199)&gt;0
   )),
  ),
  4
 ),
"")</f>
        <v/>
      </c>
      <c r="CF199" t="str">
        <f ca="1"/>
        <v>Vale Afundado</v>
      </c>
      <c r="CI199" t="str">
        <f ca="1"/>
        <v>Repartir o Véu D'Água</v>
      </c>
    </row>
    <row r="200" spans="1:87" x14ac:dyDescent="0.25">
      <c r="A200" t="str">
        <f ca="1"/>
        <v>Polluted Delta</v>
      </c>
      <c r="B200" s="3" t="str" cm="1">
        <f t="array" aca="1" ref="B200" ca="1">_xlfn.ANCHORARRAY(RESUMO!C199)</f>
        <v>VialIshai</v>
      </c>
      <c r="C200" s="3" t="str">
        <f t="shared" ca="1" si="12"/>
        <v/>
      </c>
      <c r="E200" t="str">
        <f ca="1"/>
        <v>Repudiar // Replicar</v>
      </c>
      <c r="F200" s="3">
        <f t="shared" ca="1" si="13"/>
        <v>1</v>
      </c>
      <c r="G200" s="3" t="str">
        <f t="shared" ca="1" si="14"/>
        <v>Kumena</v>
      </c>
      <c r="M200" t="str">
        <f ca="1"/>
        <v>Repudiar // Replicar</v>
      </c>
      <c r="N200" s="3">
        <f t="shared" ca="1" si="15"/>
        <v>1</v>
      </c>
      <c r="O200" s="3" t="str">
        <f ca="1">IFERROR(
 INDEX($T$2:$AW$2,
  MATCH(TRUE,
   CHOOSE({1;2;3;4;5;6;7;8;9;10;11;12;13;14;15;16;17;18;19;20;21;22;23;24;25;26;27;28;29;30;31;32},
    COUNTIFS($T$3:$T$201,$M200)&gt;0,
    COUNTIFS($U$3:$U$201,$M200)&gt;0,
    COUNTIFS($V$3:$V$201,$M200)&gt;0,
    COUNTIFS($W$3:$W$201,$M200)&gt;0,
    COUNTIFS($X$3:$X$201,$M200)&gt;0,
    COUNTIFS($Y$3:$Y$201,$M200)&gt;0,
    COUNTIFS($Z$3:$Z$201,$M200)&gt;0,
    COUNTIFS($AA$3:$AA$201,$M200)&gt;0,
    COUNTIFS($AB$3:$AB$201,$M200)&gt;0,
    COUNTIFS($AC$3:$AC$201,$M200)&gt;0,
    COUNTIFS($AD$3:$AD$201,$M200)&gt;0,
    COUNTIFS($AE$3:$AE$201,$M200)&gt;0,
    COUNTIFS($AF$3:$AF$201,$M200)&gt;0,
    COUNTIFS($AG$3:$AG$201,$M200)&gt;0,
    COUNTIFS($AH$3:$AH$201,$M200)&gt;0,
    COUNTIFS($AI$3:$AI$201,$M200)&gt;0,
    COUNTIFS($AJ$3:$AJ$201,$M200)&gt;0,
    COUNTIFS($AK$3:$AK$201,$M200)&gt;0,
    COUNTIFS($AL$3:$AL$201,$M200)&gt;0,
    COUNTIFS($AM$3:$AM$201,$M200)&gt;0,
    COUNTIFS($AN$3:$AN$201,$M200)&gt;0,
    COUNTIFS($AO$3:$AO$201,$M200)&gt;0,
    COUNTIFS($AP$3:$AP$201,$M200)&gt;0,
    COUNTIFS($AQ$3:$AQ$201,$M200)&gt;0,
    COUNTIFS($AR$3:$AR$201,$M200)&gt;0,
    COUNTIFS($AS$3:$AS$201,$M200)&gt;0,
    COUNTIFS($AT$3:$AT$201,$M200)&gt;0,
    COUNTIFS($AU$3:$AU$201,$M200)&gt;0,
    COUNTIFS($AV$3:$AV$201,$M200)&gt;0,
    COUNTIFS($AW$3:$AW$201,$M200)&gt;0
   ),
  0)
 ),
"")</f>
        <v>Kumena</v>
      </c>
      <c r="P200" s="3" t="str" cm="1">
        <f t="array" aca="1" ref="P200" ca="1">IFERROR(
 INDEX(
  _xlfn._xlws.FILTER($T$2:$AW$2,
   TRANSPOSE(
    CHOOSE({1;2;3;4;5;6;7;8;9;10;11;12;13;14;15;16;17;18;19;20;21;22;23;24;25;26;27;28;29;30},
     COUNTIFS($T$3:$T$201,$M200)&gt;0,
     COUNTIFS($U$3:$U$201,$M200)&gt;0,
     COUNTIFS($V$3:$V$201,$M200)&gt;0,
     COUNTIFS($W$3:$W$201,$M200)&gt;0,
     COUNTIFS($X$3:$X$201,$M200)&gt;0,
     COUNTIFS($Y$3:$Y$201,$M200)&gt;0,
     COUNTIFS($Z$3:$Z$201,$M200)&gt;0,
     COUNTIFS($AA$3:$AA$201,$M200)&gt;0,
     COUNTIFS($AB$3:$AB$201,$M200)&gt;0,
     COUNTIFS($AC$3:$AC$201,$M200)&gt;0,
     COUNTIFS($AD$3:$AD$201,$M200)&gt;0,
     COUNTIFS($AE$3:$AE$201,$M200)&gt;0,
     COUNTIFS($AF$3:$AF$201,$M200)&gt;0,
     COUNTIFS($AG$3:$AG$201,$M200)&gt;0,
     COUNTIFS($AH$3:$AH$201,$M200)&gt;0,
     COUNTIFS($AI$3:$AI$201,$M200)&gt;0,
     COUNTIFS($AJ$3:$AJ$201,$M200)&gt;0,
     COUNTIFS($AK$3:$AK$201,$M200)&gt;0,
     COUNTIFS($AL$3:$AL$201,$M200)&gt;0,
     COUNTIFS($AM$3:$AM$201,$M200)&gt;0,
     COUNTIFS($AN$3:$AN$201,$M200)&gt;0,
     COUNTIFS($AO$3:$AO$201,$M200)&gt;0,
     COUNTIFS($AP$3:$AP$201,$M200)&gt;0,
     COUNTIFS($AQ$3:$AQ$201,$M200)&gt;0,
     COUNTIFS($AR$3:$AR$201,$M200)&gt;0,
     COUNTIFS($AS$3:$AS$201,$M200)&gt;0,
     COUNTIFS($AT$3:$AT$201,$M200)&gt;0,
     COUNTIFS($AU$3:$AU$201,$M200)&gt;0,
     COUNTIFS($AV$3:$AV$201,$M200)&gt;0,
     COUNTIFS($AW$3:$AW$201,$M200)&gt;0
   )),
  ),
  2
 ),
"")</f>
        <v/>
      </c>
      <c r="Q200" s="3" t="str" cm="1">
        <f t="array" aca="1" ref="Q200" ca="1">IFERROR(
 INDEX(
  _xlfn._xlws.FILTER($T$2:$AW$2,
   TRANSPOSE(
    CHOOSE({1;2;3;4;5;6;7;8;9;10;11;12;13;14;15;16;17;18;19;20;21;22;23;24;25;26;27;28;29;30},
     COUNTIFS($T$3:$T$201,$M200)&gt;0,
     COUNTIFS($U$3:$U$201,$M200)&gt;0,
     COUNTIFS($V$3:$V$201,$M200)&gt;0,
     COUNTIFS($W$3:$W$201,$M200)&gt;0,
     COUNTIFS($X$3:$X$201,$M200)&gt;0,
     COUNTIFS($Y$3:$Y$201,$M200)&gt;0,
     COUNTIFS($Z$3:$Z$201,$M200)&gt;0,
     COUNTIFS($AA$3:$AA$201,$M200)&gt;0,
     COUNTIFS($AB$3:$AB$201,$M200)&gt;0,
     COUNTIFS($AC$3:$AC$201,$M200)&gt;0,
     COUNTIFS($AD$3:$AD$201,$M200)&gt;0,
     COUNTIFS($AE$3:$AE$201,$M200)&gt;0,
     COUNTIFS($AF$3:$AF$201,$M200)&gt;0,
     COUNTIFS($AG$3:$AG$201,$M200)&gt;0,
     COUNTIFS($AH$3:$AH$201,$M200)&gt;0,
     COUNTIFS($AI$3:$AI$201,$M200)&gt;0,
     COUNTIFS($AJ$3:$AJ$201,$M200)&gt;0,
     COUNTIFS($AK$3:$AK$201,$M200)&gt;0,
     COUNTIFS($AL$3:$AL$201,$M200)&gt;0,
     COUNTIFS($AM$3:$AM$201,$M200)&gt;0,
     COUNTIFS($AN$3:$AN$201,$M200)&gt;0,
     COUNTIFS($AO$3:$AO$201,$M200)&gt;0,
     COUNTIFS($AP$3:$AP$201,$M200)&gt;0,
     COUNTIFS($AQ$3:$AQ$201,$M200)&gt;0,
     COUNTIFS($AR$3:$AR$201,$M200)&gt;0,
     COUNTIFS($AS$3:$AS$201,$M200)&gt;0,
     COUNTIFS($AT$3:$AT$201,$M200)&gt;0,
     COUNTIFS($AU$3:$AU$201,$M200)&gt;0,
     COUNTIFS($AV$3:$AV$201,$M200)&gt;0,
     COUNTIFS($AW$3:$AW$201,$M200)&gt;0
   )),
  ),
  3
 ),
"")</f>
        <v/>
      </c>
      <c r="R200" s="3" t="str" cm="1">
        <f t="array" aca="1" ref="R200" ca="1">IFERROR(
 INDEX(
  _xlfn._xlws.FILTER($T$2:$AW$2,
   TRANSPOSE(
    CHOOSE({1;2;3;4;5;6;7;8;9;10;11;12;13;14;15;16;17;18;19;20;21;22;23;24;25;26;27;28;29;30},
     COUNTIFS($T$3:$T$201,$M200)&gt;0,
     COUNTIFS($U$3:$U$201,$M200)&gt;0,
     COUNTIFS($V$3:$V$201,$M200)&gt;0,
     COUNTIFS($W$3:$W$201,$M200)&gt;0,
     COUNTIFS($X$3:$X$201,$M200)&gt;0,
     COUNTIFS($Y$3:$Y$201,$M200)&gt;0,
     COUNTIFS($Z$3:$Z$201,$M200)&gt;0,
     COUNTIFS($AA$3:$AA$201,$M200)&gt;0,
     COUNTIFS($AB$3:$AB$201,$M200)&gt;0,
     COUNTIFS($AC$3:$AC$201,$M200)&gt;0,
     COUNTIFS($AD$3:$AD$201,$M200)&gt;0,
     COUNTIFS($AE$3:$AE$201,$M200)&gt;0,
     COUNTIFS($AF$3:$AF$201,$M200)&gt;0,
     COUNTIFS($AG$3:$AG$201,$M200)&gt;0,
     COUNTIFS($AH$3:$AH$201,$M200)&gt;0,
     COUNTIFS($AI$3:$AI$201,$M200)&gt;0,
     COUNTIFS($AJ$3:$AJ$201,$M200)&gt;0,
     COUNTIFS($AK$3:$AK$201,$M200)&gt;0,
     COUNTIFS($AL$3:$AL$201,$M200)&gt;0,
     COUNTIFS($AM$3:$AM$201,$M200)&gt;0,
     COUNTIFS($AN$3:$AN$201,$M200)&gt;0,
     COUNTIFS($AO$3:$AO$201,$M200)&gt;0,
     COUNTIFS($AP$3:$AP$201,$M200)&gt;0,
     COUNTIFS($AQ$3:$AQ$201,$M200)&gt;0,
     COUNTIFS($AR$3:$AR$201,$M200)&gt;0,
     COUNTIFS($AS$3:$AS$201,$M200)&gt;0,
     COUNTIFS($AT$3:$AT$201,$M200)&gt;0,
     COUNTIFS($AU$3:$AU$201,$M200)&gt;0,
     COUNTIFS($AV$3:$AV$201,$M200)&gt;0,
     COUNTIFS($AW$3:$AW$201,$M200)&gt;0
   )),
  ),
  4
 ),
"")</f>
        <v/>
      </c>
      <c r="CF200" t="str">
        <f ca="1"/>
        <v>Vivid Marsh</v>
      </c>
      <c r="CI200" t="str">
        <f ca="1"/>
        <v>Repudiar // Replicar</v>
      </c>
    </row>
    <row r="201" spans="1:87" x14ac:dyDescent="0.25">
      <c r="A201" t="str">
        <f ca="1"/>
        <v>Portal to Phyrexia</v>
      </c>
      <c r="B201" s="3" t="str" cm="1">
        <f t="array" aca="1" ref="B201" ca="1">_xlfn.ANCHORARRAY(RESUMO!C200)</f>
        <v>Muzzio</v>
      </c>
      <c r="C201" s="3" t="str">
        <f t="shared" ca="1" si="12"/>
        <v/>
      </c>
      <c r="E201" t="str">
        <f ca="1"/>
        <v>Resposta // Ressurgimento</v>
      </c>
      <c r="F201" s="3">
        <f t="shared" ca="1" si="13"/>
        <v>1</v>
      </c>
      <c r="G201" s="3" t="str">
        <f t="shared" ca="1" si="14"/>
        <v>Narset</v>
      </c>
      <c r="M201" t="str">
        <f ca="1"/>
        <v>Resposta // Ressurgimento</v>
      </c>
      <c r="N201" s="3">
        <f t="shared" ca="1" si="15"/>
        <v>1</v>
      </c>
      <c r="O201" s="3" t="str">
        <f ca="1">IFERROR(
 INDEX($T$2:$AW$2,
  MATCH(TRUE,
   CHOOSE({1;2;3;4;5;6;7;8;9;10;11;12;13;14;15;16;17;18;19;20;21;22;23;24;25;26;27;28;29;30;31;32},
    COUNTIFS($T$3:$T$201,$M201)&gt;0,
    COUNTIFS($U$3:$U$201,$M201)&gt;0,
    COUNTIFS($V$3:$V$201,$M201)&gt;0,
    COUNTIFS($W$3:$W$201,$M201)&gt;0,
    COUNTIFS($X$3:$X$201,$M201)&gt;0,
    COUNTIFS($Y$3:$Y$201,$M201)&gt;0,
    COUNTIFS($Z$3:$Z$201,$M201)&gt;0,
    COUNTIFS($AA$3:$AA$201,$M201)&gt;0,
    COUNTIFS($AB$3:$AB$201,$M201)&gt;0,
    COUNTIFS($AC$3:$AC$201,$M201)&gt;0,
    COUNTIFS($AD$3:$AD$201,$M201)&gt;0,
    COUNTIFS($AE$3:$AE$201,$M201)&gt;0,
    COUNTIFS($AF$3:$AF$201,$M201)&gt;0,
    COUNTIFS($AG$3:$AG$201,$M201)&gt;0,
    COUNTIFS($AH$3:$AH$201,$M201)&gt;0,
    COUNTIFS($AI$3:$AI$201,$M201)&gt;0,
    COUNTIFS($AJ$3:$AJ$201,$M201)&gt;0,
    COUNTIFS($AK$3:$AK$201,$M201)&gt;0,
    COUNTIFS($AL$3:$AL$201,$M201)&gt;0,
    COUNTIFS($AM$3:$AM$201,$M201)&gt;0,
    COUNTIFS($AN$3:$AN$201,$M201)&gt;0,
    COUNTIFS($AO$3:$AO$201,$M201)&gt;0,
    COUNTIFS($AP$3:$AP$201,$M201)&gt;0,
    COUNTIFS($AQ$3:$AQ$201,$M201)&gt;0,
    COUNTIFS($AR$3:$AR$201,$M201)&gt;0,
    COUNTIFS($AS$3:$AS$201,$M201)&gt;0,
    COUNTIFS($AT$3:$AT$201,$M201)&gt;0,
    COUNTIFS($AU$3:$AU$201,$M201)&gt;0,
    COUNTIFS($AV$3:$AV$201,$M201)&gt;0,
    COUNTIFS($AW$3:$AW$201,$M201)&gt;0
   ),
  0)
 ),
"")</f>
        <v>Narset</v>
      </c>
      <c r="P201" s="3" t="str" cm="1">
        <f t="array" aca="1" ref="P201" ca="1">IFERROR(
 INDEX(
  _xlfn._xlws.FILTER($T$2:$AW$2,
   TRANSPOSE(
    CHOOSE({1;2;3;4;5;6;7;8;9;10;11;12;13;14;15;16;17;18;19;20;21;22;23;24;25;26;27;28;29;30},
     COUNTIFS($T$3:$T$201,$M201)&gt;0,
     COUNTIFS($U$3:$U$201,$M201)&gt;0,
     COUNTIFS($V$3:$V$201,$M201)&gt;0,
     COUNTIFS($W$3:$W$201,$M201)&gt;0,
     COUNTIFS($X$3:$X$201,$M201)&gt;0,
     COUNTIFS($Y$3:$Y$201,$M201)&gt;0,
     COUNTIFS($Z$3:$Z$201,$M201)&gt;0,
     COUNTIFS($AA$3:$AA$201,$M201)&gt;0,
     COUNTIFS($AB$3:$AB$201,$M201)&gt;0,
     COUNTIFS($AC$3:$AC$201,$M201)&gt;0,
     COUNTIFS($AD$3:$AD$201,$M201)&gt;0,
     COUNTIFS($AE$3:$AE$201,$M201)&gt;0,
     COUNTIFS($AF$3:$AF$201,$M201)&gt;0,
     COUNTIFS($AG$3:$AG$201,$M201)&gt;0,
     COUNTIFS($AH$3:$AH$201,$M201)&gt;0,
     COUNTIFS($AI$3:$AI$201,$M201)&gt;0,
     COUNTIFS($AJ$3:$AJ$201,$M201)&gt;0,
     COUNTIFS($AK$3:$AK$201,$M201)&gt;0,
     COUNTIFS($AL$3:$AL$201,$M201)&gt;0,
     COUNTIFS($AM$3:$AM$201,$M201)&gt;0,
     COUNTIFS($AN$3:$AN$201,$M201)&gt;0,
     COUNTIFS($AO$3:$AO$201,$M201)&gt;0,
     COUNTIFS($AP$3:$AP$201,$M201)&gt;0,
     COUNTIFS($AQ$3:$AQ$201,$M201)&gt;0,
     COUNTIFS($AR$3:$AR$201,$M201)&gt;0,
     COUNTIFS($AS$3:$AS$201,$M201)&gt;0,
     COUNTIFS($AT$3:$AT$201,$M201)&gt;0,
     COUNTIFS($AU$3:$AU$201,$M201)&gt;0,
     COUNTIFS($AV$3:$AV$201,$M201)&gt;0,
     COUNTIFS($AW$3:$AW$201,$M201)&gt;0
   )),
  ),
  2
 ),
"")</f>
        <v/>
      </c>
      <c r="Q201" s="3" t="str" cm="1">
        <f t="array" aca="1" ref="Q201" ca="1">IFERROR(
 INDEX(
  _xlfn._xlws.FILTER($T$2:$AW$2,
   TRANSPOSE(
    CHOOSE({1;2;3;4;5;6;7;8;9;10;11;12;13;14;15;16;17;18;19;20;21;22;23;24;25;26;27;28;29;30},
     COUNTIFS($T$3:$T$201,$M201)&gt;0,
     COUNTIFS($U$3:$U$201,$M201)&gt;0,
     COUNTIFS($V$3:$V$201,$M201)&gt;0,
     COUNTIFS($W$3:$W$201,$M201)&gt;0,
     COUNTIFS($X$3:$X$201,$M201)&gt;0,
     COUNTIFS($Y$3:$Y$201,$M201)&gt;0,
     COUNTIFS($Z$3:$Z$201,$M201)&gt;0,
     COUNTIFS($AA$3:$AA$201,$M201)&gt;0,
     COUNTIFS($AB$3:$AB$201,$M201)&gt;0,
     COUNTIFS($AC$3:$AC$201,$M201)&gt;0,
     COUNTIFS($AD$3:$AD$201,$M201)&gt;0,
     COUNTIFS($AE$3:$AE$201,$M201)&gt;0,
     COUNTIFS($AF$3:$AF$201,$M201)&gt;0,
     COUNTIFS($AG$3:$AG$201,$M201)&gt;0,
     COUNTIFS($AH$3:$AH$201,$M201)&gt;0,
     COUNTIFS($AI$3:$AI$201,$M201)&gt;0,
     COUNTIFS($AJ$3:$AJ$201,$M201)&gt;0,
     COUNTIFS($AK$3:$AK$201,$M201)&gt;0,
     COUNTIFS($AL$3:$AL$201,$M201)&gt;0,
     COUNTIFS($AM$3:$AM$201,$M201)&gt;0,
     COUNTIFS($AN$3:$AN$201,$M201)&gt;0,
     COUNTIFS($AO$3:$AO$201,$M201)&gt;0,
     COUNTIFS($AP$3:$AP$201,$M201)&gt;0,
     COUNTIFS($AQ$3:$AQ$201,$M201)&gt;0,
     COUNTIFS($AR$3:$AR$201,$M201)&gt;0,
     COUNTIFS($AS$3:$AS$201,$M201)&gt;0,
     COUNTIFS($AT$3:$AT$201,$M201)&gt;0,
     COUNTIFS($AU$3:$AU$201,$M201)&gt;0,
     COUNTIFS($AV$3:$AV$201,$M201)&gt;0,
     COUNTIFS($AW$3:$AW$201,$M201)&gt;0
   )),
  ),
  3
 ),
"")</f>
        <v/>
      </c>
      <c r="R201" s="3" t="str" cm="1">
        <f t="array" aca="1" ref="R201" ca="1">IFERROR(
 INDEX(
  _xlfn._xlws.FILTER($T$2:$AW$2,
   TRANSPOSE(
    CHOOSE({1;2;3;4;5;6;7;8;9;10;11;12;13;14;15;16;17;18;19;20;21;22;23;24;25;26;27;28;29;30},
     COUNTIFS($T$3:$T$201,$M201)&gt;0,
     COUNTIFS($U$3:$U$201,$M201)&gt;0,
     COUNTIFS($V$3:$V$201,$M201)&gt;0,
     COUNTIFS($W$3:$W$201,$M201)&gt;0,
     COUNTIFS($X$3:$X$201,$M201)&gt;0,
     COUNTIFS($Y$3:$Y$201,$M201)&gt;0,
     COUNTIFS($Z$3:$Z$201,$M201)&gt;0,
     COUNTIFS($AA$3:$AA$201,$M201)&gt;0,
     COUNTIFS($AB$3:$AB$201,$M201)&gt;0,
     COUNTIFS($AC$3:$AC$201,$M201)&gt;0,
     COUNTIFS($AD$3:$AD$201,$M201)&gt;0,
     COUNTIFS($AE$3:$AE$201,$M201)&gt;0,
     COUNTIFS($AF$3:$AF$201,$M201)&gt;0,
     COUNTIFS($AG$3:$AG$201,$M201)&gt;0,
     COUNTIFS($AH$3:$AH$201,$M201)&gt;0,
     COUNTIFS($AI$3:$AI$201,$M201)&gt;0,
     COUNTIFS($AJ$3:$AJ$201,$M201)&gt;0,
     COUNTIFS($AK$3:$AK$201,$M201)&gt;0,
     COUNTIFS($AL$3:$AL$201,$M201)&gt;0,
     COUNTIFS($AM$3:$AM$201,$M201)&gt;0,
     COUNTIFS($AN$3:$AN$201,$M201)&gt;0,
     COUNTIFS($AO$3:$AO$201,$M201)&gt;0,
     COUNTIFS($AP$3:$AP$201,$M201)&gt;0,
     COUNTIFS($AQ$3:$AQ$201,$M201)&gt;0,
     COUNTIFS($AR$3:$AR$201,$M201)&gt;0,
     COUNTIFS($AS$3:$AS$201,$M201)&gt;0,
     COUNTIFS($AT$3:$AT$201,$M201)&gt;0,
     COUNTIFS($AU$3:$AU$201,$M201)&gt;0,
     COUNTIFS($AV$3:$AV$201,$M201)&gt;0,
     COUNTIFS($AW$3:$AW$201,$M201)&gt;0
   )),
  ),
  4
 ),
"")</f>
        <v/>
      </c>
      <c r="CF201" t="str">
        <f ca="1"/>
        <v>Wall of Roots</v>
      </c>
      <c r="CI201" t="str">
        <f ca="1"/>
        <v>Resposta // Ressurgimento</v>
      </c>
    </row>
    <row r="202" spans="1:87" x14ac:dyDescent="0.25">
      <c r="A202" t="str">
        <f ca="1"/>
        <v>Prosperous Partnership</v>
      </c>
      <c r="B202" s="3" t="str" cm="1">
        <f t="array" aca="1" ref="B202" ca="1">_xlfn.ANCHORARRAY(RESUMO!C201)</f>
        <v>Baylen</v>
      </c>
      <c r="C202" s="3" t="str">
        <f t="shared" ca="1" si="12"/>
        <v/>
      </c>
      <c r="E202" t="str">
        <f ca="1"/>
        <v>Restituir</v>
      </c>
      <c r="F202" s="3">
        <f t="shared" ca="1" si="13"/>
        <v>1</v>
      </c>
      <c r="G202" s="3" t="str">
        <f t="shared" ca="1" si="14"/>
        <v>Gritrog</v>
      </c>
      <c r="M202" t="str">
        <f ca="1"/>
        <v>Restituir</v>
      </c>
      <c r="N202" s="3">
        <f t="shared" ca="1" si="15"/>
        <v>1</v>
      </c>
      <c r="O202" s="3" t="str">
        <f ca="1">IFERROR(
 INDEX($T$2:$AW$2,
  MATCH(TRUE,
   CHOOSE({1;2;3;4;5;6;7;8;9;10;11;12;13;14;15;16;17;18;19;20;21;22;23;24;25;26;27;28;29;30;31;32},
    COUNTIFS($T$3:$T$201,$M202)&gt;0,
    COUNTIFS($U$3:$U$201,$M202)&gt;0,
    COUNTIFS($V$3:$V$201,$M202)&gt;0,
    COUNTIFS($W$3:$W$201,$M202)&gt;0,
    COUNTIFS($X$3:$X$201,$M202)&gt;0,
    COUNTIFS($Y$3:$Y$201,$M202)&gt;0,
    COUNTIFS($Z$3:$Z$201,$M202)&gt;0,
    COUNTIFS($AA$3:$AA$201,$M202)&gt;0,
    COUNTIFS($AB$3:$AB$201,$M202)&gt;0,
    COUNTIFS($AC$3:$AC$201,$M202)&gt;0,
    COUNTIFS($AD$3:$AD$201,$M202)&gt;0,
    COUNTIFS($AE$3:$AE$201,$M202)&gt;0,
    COUNTIFS($AF$3:$AF$201,$M202)&gt;0,
    COUNTIFS($AG$3:$AG$201,$M202)&gt;0,
    COUNTIFS($AH$3:$AH$201,$M202)&gt;0,
    COUNTIFS($AI$3:$AI$201,$M202)&gt;0,
    COUNTIFS($AJ$3:$AJ$201,$M202)&gt;0,
    COUNTIFS($AK$3:$AK$201,$M202)&gt;0,
    COUNTIFS($AL$3:$AL$201,$M202)&gt;0,
    COUNTIFS($AM$3:$AM$201,$M202)&gt;0,
    COUNTIFS($AN$3:$AN$201,$M202)&gt;0,
    COUNTIFS($AO$3:$AO$201,$M202)&gt;0,
    COUNTIFS($AP$3:$AP$201,$M202)&gt;0,
    COUNTIFS($AQ$3:$AQ$201,$M202)&gt;0,
    COUNTIFS($AR$3:$AR$201,$M202)&gt;0,
    COUNTIFS($AS$3:$AS$201,$M202)&gt;0,
    COUNTIFS($AT$3:$AT$201,$M202)&gt;0,
    COUNTIFS($AU$3:$AU$201,$M202)&gt;0,
    COUNTIFS($AV$3:$AV$201,$M202)&gt;0,
    COUNTIFS($AW$3:$AW$201,$M202)&gt;0
   ),
  0)
 ),
"")</f>
        <v>Gritrog</v>
      </c>
      <c r="P202" s="3" t="str" cm="1">
        <f t="array" aca="1" ref="P202" ca="1">IFERROR(
 INDEX(
  _xlfn._xlws.FILTER($T$2:$AW$2,
   TRANSPOSE(
    CHOOSE({1;2;3;4;5;6;7;8;9;10;11;12;13;14;15;16;17;18;19;20;21;22;23;24;25;26;27;28;29;30},
     COUNTIFS($T$3:$T$201,$M202)&gt;0,
     COUNTIFS($U$3:$U$201,$M202)&gt;0,
     COUNTIFS($V$3:$V$201,$M202)&gt;0,
     COUNTIFS($W$3:$W$201,$M202)&gt;0,
     COUNTIFS($X$3:$X$201,$M202)&gt;0,
     COUNTIFS($Y$3:$Y$201,$M202)&gt;0,
     COUNTIFS($Z$3:$Z$201,$M202)&gt;0,
     COUNTIFS($AA$3:$AA$201,$M202)&gt;0,
     COUNTIFS($AB$3:$AB$201,$M202)&gt;0,
     COUNTIFS($AC$3:$AC$201,$M202)&gt;0,
     COUNTIFS($AD$3:$AD$201,$M202)&gt;0,
     COUNTIFS($AE$3:$AE$201,$M202)&gt;0,
     COUNTIFS($AF$3:$AF$201,$M202)&gt;0,
     COUNTIFS($AG$3:$AG$201,$M202)&gt;0,
     COUNTIFS($AH$3:$AH$201,$M202)&gt;0,
     COUNTIFS($AI$3:$AI$201,$M202)&gt;0,
     COUNTIFS($AJ$3:$AJ$201,$M202)&gt;0,
     COUNTIFS($AK$3:$AK$201,$M202)&gt;0,
     COUNTIFS($AL$3:$AL$201,$M202)&gt;0,
     COUNTIFS($AM$3:$AM$201,$M202)&gt;0,
     COUNTIFS($AN$3:$AN$201,$M202)&gt;0,
     COUNTIFS($AO$3:$AO$201,$M202)&gt;0,
     COUNTIFS($AP$3:$AP$201,$M202)&gt;0,
     COUNTIFS($AQ$3:$AQ$201,$M202)&gt;0,
     COUNTIFS($AR$3:$AR$201,$M202)&gt;0,
     COUNTIFS($AS$3:$AS$201,$M202)&gt;0,
     COUNTIFS($AT$3:$AT$201,$M202)&gt;0,
     COUNTIFS($AU$3:$AU$201,$M202)&gt;0,
     COUNTIFS($AV$3:$AV$201,$M202)&gt;0,
     COUNTIFS($AW$3:$AW$201,$M202)&gt;0
   )),
  ),
  2
 ),
"")</f>
        <v/>
      </c>
      <c r="Q202" s="3" t="str" cm="1">
        <f t="array" aca="1" ref="Q202" ca="1">IFERROR(
 INDEX(
  _xlfn._xlws.FILTER($T$2:$AW$2,
   TRANSPOSE(
    CHOOSE({1;2;3;4;5;6;7;8;9;10;11;12;13;14;15;16;17;18;19;20;21;22;23;24;25;26;27;28;29;30},
     COUNTIFS($T$3:$T$201,$M202)&gt;0,
     COUNTIFS($U$3:$U$201,$M202)&gt;0,
     COUNTIFS($V$3:$V$201,$M202)&gt;0,
     COUNTIFS($W$3:$W$201,$M202)&gt;0,
     COUNTIFS($X$3:$X$201,$M202)&gt;0,
     COUNTIFS($Y$3:$Y$201,$M202)&gt;0,
     COUNTIFS($Z$3:$Z$201,$M202)&gt;0,
     COUNTIFS($AA$3:$AA$201,$M202)&gt;0,
     COUNTIFS($AB$3:$AB$201,$M202)&gt;0,
     COUNTIFS($AC$3:$AC$201,$M202)&gt;0,
     COUNTIFS($AD$3:$AD$201,$M202)&gt;0,
     COUNTIFS($AE$3:$AE$201,$M202)&gt;0,
     COUNTIFS($AF$3:$AF$201,$M202)&gt;0,
     COUNTIFS($AG$3:$AG$201,$M202)&gt;0,
     COUNTIFS($AH$3:$AH$201,$M202)&gt;0,
     COUNTIFS($AI$3:$AI$201,$M202)&gt;0,
     COUNTIFS($AJ$3:$AJ$201,$M202)&gt;0,
     COUNTIFS($AK$3:$AK$201,$M202)&gt;0,
     COUNTIFS($AL$3:$AL$201,$M202)&gt;0,
     COUNTIFS($AM$3:$AM$201,$M202)&gt;0,
     COUNTIFS($AN$3:$AN$201,$M202)&gt;0,
     COUNTIFS($AO$3:$AO$201,$M202)&gt;0,
     COUNTIFS($AP$3:$AP$201,$M202)&gt;0,
     COUNTIFS($AQ$3:$AQ$201,$M202)&gt;0,
     COUNTIFS($AR$3:$AR$201,$M202)&gt;0,
     COUNTIFS($AS$3:$AS$201,$M202)&gt;0,
     COUNTIFS($AT$3:$AT$201,$M202)&gt;0,
     COUNTIFS($AU$3:$AU$201,$M202)&gt;0,
     COUNTIFS($AV$3:$AV$201,$M202)&gt;0,
     COUNTIFS($AW$3:$AW$201,$M202)&gt;0
   )),
  ),
  3
 ),
"")</f>
        <v/>
      </c>
      <c r="R202" s="3" t="str" cm="1">
        <f t="array" aca="1" ref="R202" ca="1">IFERROR(
 INDEX(
  _xlfn._xlws.FILTER($T$2:$AW$2,
   TRANSPOSE(
    CHOOSE({1;2;3;4;5;6;7;8;9;10;11;12;13;14;15;16;17;18;19;20;21;22;23;24;25;26;27;28;29;30},
     COUNTIFS($T$3:$T$201,$M202)&gt;0,
     COUNTIFS($U$3:$U$201,$M202)&gt;0,
     COUNTIFS($V$3:$V$201,$M202)&gt;0,
     COUNTIFS($W$3:$W$201,$M202)&gt;0,
     COUNTIFS($X$3:$X$201,$M202)&gt;0,
     COUNTIFS($Y$3:$Y$201,$M202)&gt;0,
     COUNTIFS($Z$3:$Z$201,$M202)&gt;0,
     COUNTIFS($AA$3:$AA$201,$M202)&gt;0,
     COUNTIFS($AB$3:$AB$201,$M202)&gt;0,
     COUNTIFS($AC$3:$AC$201,$M202)&gt;0,
     COUNTIFS($AD$3:$AD$201,$M202)&gt;0,
     COUNTIFS($AE$3:$AE$201,$M202)&gt;0,
     COUNTIFS($AF$3:$AF$201,$M202)&gt;0,
     COUNTIFS($AG$3:$AG$201,$M202)&gt;0,
     COUNTIFS($AH$3:$AH$201,$M202)&gt;0,
     COUNTIFS($AI$3:$AI$201,$M202)&gt;0,
     COUNTIFS($AJ$3:$AJ$201,$M202)&gt;0,
     COUNTIFS($AK$3:$AK$201,$M202)&gt;0,
     COUNTIFS($AL$3:$AL$201,$M202)&gt;0,
     COUNTIFS($AM$3:$AM$201,$M202)&gt;0,
     COUNTIFS($AN$3:$AN$201,$M202)&gt;0,
     COUNTIFS($AO$3:$AO$201,$M202)&gt;0,
     COUNTIFS($AP$3:$AP$201,$M202)&gt;0,
     COUNTIFS($AQ$3:$AQ$201,$M202)&gt;0,
     COUNTIFS($AR$3:$AR$201,$M202)&gt;0,
     COUNTIFS($AS$3:$AS$201,$M202)&gt;0,
     COUNTIFS($AT$3:$AT$201,$M202)&gt;0,
     COUNTIFS($AU$3:$AU$201,$M202)&gt;0,
     COUNTIFS($AV$3:$AV$201,$M202)&gt;0,
     COUNTIFS($AW$3:$AW$201,$M202)&gt;0
   )),
  ),
  4
 ),
"")</f>
        <v/>
      </c>
      <c r="CF202" t="str">
        <f ca="1"/>
        <v>Watertrap Wizard</v>
      </c>
      <c r="CI202" t="str">
        <f ca="1"/>
        <v>Restituir</v>
      </c>
    </row>
    <row r="203" spans="1:87" x14ac:dyDescent="0.25">
      <c r="A203" t="str">
        <f ca="1"/>
        <v>Protection Magic</v>
      </c>
      <c r="B203" s="3" t="str" cm="1">
        <f t="array" aca="1" ref="B203" ca="1">_xlfn.ANCHORARRAY(RESUMO!C202)</f>
        <v>Tayam</v>
      </c>
      <c r="C203" s="3" t="str">
        <f t="shared" ca="1" si="12"/>
        <v/>
      </c>
      <c r="E203" t="str">
        <f ca="1"/>
        <v>Retorno a Natureza</v>
      </c>
      <c r="F203" s="3">
        <f t="shared" ca="1" si="13"/>
        <v>1</v>
      </c>
      <c r="G203" s="3" t="str">
        <f t="shared" ca="1" si="14"/>
        <v>Kumena</v>
      </c>
      <c r="M203" t="str">
        <f ca="1"/>
        <v>Retorno a Natureza</v>
      </c>
      <c r="N203" s="3">
        <f t="shared" ca="1" si="15"/>
        <v>1</v>
      </c>
      <c r="O203" s="3" t="str">
        <f ca="1">IFERROR(
 INDEX($T$2:$AW$2,
  MATCH(TRUE,
   CHOOSE({1;2;3;4;5;6;7;8;9;10;11;12;13;14;15;16;17;18;19;20;21;22;23;24;25;26;27;28;29;30;31;32},
    COUNTIFS($T$3:$T$201,$M203)&gt;0,
    COUNTIFS($U$3:$U$201,$M203)&gt;0,
    COUNTIFS($V$3:$V$201,$M203)&gt;0,
    COUNTIFS($W$3:$W$201,$M203)&gt;0,
    COUNTIFS($X$3:$X$201,$M203)&gt;0,
    COUNTIFS($Y$3:$Y$201,$M203)&gt;0,
    COUNTIFS($Z$3:$Z$201,$M203)&gt;0,
    COUNTIFS($AA$3:$AA$201,$M203)&gt;0,
    COUNTIFS($AB$3:$AB$201,$M203)&gt;0,
    COUNTIFS($AC$3:$AC$201,$M203)&gt;0,
    COUNTIFS($AD$3:$AD$201,$M203)&gt;0,
    COUNTIFS($AE$3:$AE$201,$M203)&gt;0,
    COUNTIFS($AF$3:$AF$201,$M203)&gt;0,
    COUNTIFS($AG$3:$AG$201,$M203)&gt;0,
    COUNTIFS($AH$3:$AH$201,$M203)&gt;0,
    COUNTIFS($AI$3:$AI$201,$M203)&gt;0,
    COUNTIFS($AJ$3:$AJ$201,$M203)&gt;0,
    COUNTIFS($AK$3:$AK$201,$M203)&gt;0,
    COUNTIFS($AL$3:$AL$201,$M203)&gt;0,
    COUNTIFS($AM$3:$AM$201,$M203)&gt;0,
    COUNTIFS($AN$3:$AN$201,$M203)&gt;0,
    COUNTIFS($AO$3:$AO$201,$M203)&gt;0,
    COUNTIFS($AP$3:$AP$201,$M203)&gt;0,
    COUNTIFS($AQ$3:$AQ$201,$M203)&gt;0,
    COUNTIFS($AR$3:$AR$201,$M203)&gt;0,
    COUNTIFS($AS$3:$AS$201,$M203)&gt;0,
    COUNTIFS($AT$3:$AT$201,$M203)&gt;0,
    COUNTIFS($AU$3:$AU$201,$M203)&gt;0,
    COUNTIFS($AV$3:$AV$201,$M203)&gt;0,
    COUNTIFS($AW$3:$AW$201,$M203)&gt;0
   ),
  0)
 ),
"")</f>
        <v>Kumena</v>
      </c>
      <c r="P203" s="3" t="str" cm="1">
        <f t="array" aca="1" ref="P203" ca="1">IFERROR(
 INDEX(
  _xlfn._xlws.FILTER($T$2:$AW$2,
   TRANSPOSE(
    CHOOSE({1;2;3;4;5;6;7;8;9;10;11;12;13;14;15;16;17;18;19;20;21;22;23;24;25;26;27;28;29;30},
     COUNTIFS($T$3:$T$201,$M203)&gt;0,
     COUNTIFS($U$3:$U$201,$M203)&gt;0,
     COUNTIFS($V$3:$V$201,$M203)&gt;0,
     COUNTIFS($W$3:$W$201,$M203)&gt;0,
     COUNTIFS($X$3:$X$201,$M203)&gt;0,
     COUNTIFS($Y$3:$Y$201,$M203)&gt;0,
     COUNTIFS($Z$3:$Z$201,$M203)&gt;0,
     COUNTIFS($AA$3:$AA$201,$M203)&gt;0,
     COUNTIFS($AB$3:$AB$201,$M203)&gt;0,
     COUNTIFS($AC$3:$AC$201,$M203)&gt;0,
     COUNTIFS($AD$3:$AD$201,$M203)&gt;0,
     COUNTIFS($AE$3:$AE$201,$M203)&gt;0,
     COUNTIFS($AF$3:$AF$201,$M203)&gt;0,
     COUNTIFS($AG$3:$AG$201,$M203)&gt;0,
     COUNTIFS($AH$3:$AH$201,$M203)&gt;0,
     COUNTIFS($AI$3:$AI$201,$M203)&gt;0,
     COUNTIFS($AJ$3:$AJ$201,$M203)&gt;0,
     COUNTIFS($AK$3:$AK$201,$M203)&gt;0,
     COUNTIFS($AL$3:$AL$201,$M203)&gt;0,
     COUNTIFS($AM$3:$AM$201,$M203)&gt;0,
     COUNTIFS($AN$3:$AN$201,$M203)&gt;0,
     COUNTIFS($AO$3:$AO$201,$M203)&gt;0,
     COUNTIFS($AP$3:$AP$201,$M203)&gt;0,
     COUNTIFS($AQ$3:$AQ$201,$M203)&gt;0,
     COUNTIFS($AR$3:$AR$201,$M203)&gt;0,
     COUNTIFS($AS$3:$AS$201,$M203)&gt;0,
     COUNTIFS($AT$3:$AT$201,$M203)&gt;0,
     COUNTIFS($AU$3:$AU$201,$M203)&gt;0,
     COUNTIFS($AV$3:$AV$201,$M203)&gt;0,
     COUNTIFS($AW$3:$AW$201,$M203)&gt;0
   )),
  ),
  2
 ),
"")</f>
        <v/>
      </c>
      <c r="Q203" s="3" t="str" cm="1">
        <f t="array" aca="1" ref="Q203" ca="1">IFERROR(
 INDEX(
  _xlfn._xlws.FILTER($T$2:$AW$2,
   TRANSPOSE(
    CHOOSE({1;2;3;4;5;6;7;8;9;10;11;12;13;14;15;16;17;18;19;20;21;22;23;24;25;26;27;28;29;30},
     COUNTIFS($T$3:$T$201,$M203)&gt;0,
     COUNTIFS($U$3:$U$201,$M203)&gt;0,
     COUNTIFS($V$3:$V$201,$M203)&gt;0,
     COUNTIFS($W$3:$W$201,$M203)&gt;0,
     COUNTIFS($X$3:$X$201,$M203)&gt;0,
     COUNTIFS($Y$3:$Y$201,$M203)&gt;0,
     COUNTIFS($Z$3:$Z$201,$M203)&gt;0,
     COUNTIFS($AA$3:$AA$201,$M203)&gt;0,
     COUNTIFS($AB$3:$AB$201,$M203)&gt;0,
     COUNTIFS($AC$3:$AC$201,$M203)&gt;0,
     COUNTIFS($AD$3:$AD$201,$M203)&gt;0,
     COUNTIFS($AE$3:$AE$201,$M203)&gt;0,
     COUNTIFS($AF$3:$AF$201,$M203)&gt;0,
     COUNTIFS($AG$3:$AG$201,$M203)&gt;0,
     COUNTIFS($AH$3:$AH$201,$M203)&gt;0,
     COUNTIFS($AI$3:$AI$201,$M203)&gt;0,
     COUNTIFS($AJ$3:$AJ$201,$M203)&gt;0,
     COUNTIFS($AK$3:$AK$201,$M203)&gt;0,
     COUNTIFS($AL$3:$AL$201,$M203)&gt;0,
     COUNTIFS($AM$3:$AM$201,$M203)&gt;0,
     COUNTIFS($AN$3:$AN$201,$M203)&gt;0,
     COUNTIFS($AO$3:$AO$201,$M203)&gt;0,
     COUNTIFS($AP$3:$AP$201,$M203)&gt;0,
     COUNTIFS($AQ$3:$AQ$201,$M203)&gt;0,
     COUNTIFS($AR$3:$AR$201,$M203)&gt;0,
     COUNTIFS($AS$3:$AS$201,$M203)&gt;0,
     COUNTIFS($AT$3:$AT$201,$M203)&gt;0,
     COUNTIFS($AU$3:$AU$201,$M203)&gt;0,
     COUNTIFS($AV$3:$AV$201,$M203)&gt;0,
     COUNTIFS($AW$3:$AW$201,$M203)&gt;0
   )),
  ),
  3
 ),
"")</f>
        <v/>
      </c>
      <c r="R203" s="3" t="str" cm="1">
        <f t="array" aca="1" ref="R203" ca="1">IFERROR(
 INDEX(
  _xlfn._xlws.FILTER($T$2:$AW$2,
   TRANSPOSE(
    CHOOSE({1;2;3;4;5;6;7;8;9;10;11;12;13;14;15;16;17;18;19;20;21;22;23;24;25;26;27;28;29;30},
     COUNTIFS($T$3:$T$201,$M203)&gt;0,
     COUNTIFS($U$3:$U$201,$M203)&gt;0,
     COUNTIFS($V$3:$V$201,$M203)&gt;0,
     COUNTIFS($W$3:$W$201,$M203)&gt;0,
     COUNTIFS($X$3:$X$201,$M203)&gt;0,
     COUNTIFS($Y$3:$Y$201,$M203)&gt;0,
     COUNTIFS($Z$3:$Z$201,$M203)&gt;0,
     COUNTIFS($AA$3:$AA$201,$M203)&gt;0,
     COUNTIFS($AB$3:$AB$201,$M203)&gt;0,
     COUNTIFS($AC$3:$AC$201,$M203)&gt;0,
     COUNTIFS($AD$3:$AD$201,$M203)&gt;0,
     COUNTIFS($AE$3:$AE$201,$M203)&gt;0,
     COUNTIFS($AF$3:$AF$201,$M203)&gt;0,
     COUNTIFS($AG$3:$AG$201,$M203)&gt;0,
     COUNTIFS($AH$3:$AH$201,$M203)&gt;0,
     COUNTIFS($AI$3:$AI$201,$M203)&gt;0,
     COUNTIFS($AJ$3:$AJ$201,$M203)&gt;0,
     COUNTIFS($AK$3:$AK$201,$M203)&gt;0,
     COUNTIFS($AL$3:$AL$201,$M203)&gt;0,
     COUNTIFS($AM$3:$AM$201,$M203)&gt;0,
     COUNTIFS($AN$3:$AN$201,$M203)&gt;0,
     COUNTIFS($AO$3:$AO$201,$M203)&gt;0,
     COUNTIFS($AP$3:$AP$201,$M203)&gt;0,
     COUNTIFS($AQ$3:$AQ$201,$M203)&gt;0,
     COUNTIFS($AR$3:$AR$201,$M203)&gt;0,
     COUNTIFS($AS$3:$AS$201,$M203)&gt;0,
     COUNTIFS($AT$3:$AT$201,$M203)&gt;0,
     COUNTIFS($AU$3:$AU$201,$M203)&gt;0,
     COUNTIFS($AV$3:$AV$201,$M203)&gt;0,
     COUNTIFS($AW$3:$AW$201,$M203)&gt;0
   )),
  ),
  4
 ),
"")</f>
        <v/>
      </c>
      <c r="CF203" t="str">
        <f ca="1"/>
        <v>Whelming Wave</v>
      </c>
      <c r="CI203" t="str">
        <f ca="1"/>
        <v>Retorno a Natureza</v>
      </c>
    </row>
    <row r="204" spans="1:87" x14ac:dyDescent="0.25">
      <c r="A204" t="str">
        <f ca="1"/>
        <v>Psychic Corrosion</v>
      </c>
      <c r="B204" s="3" t="str" cm="1">
        <f t="array" aca="1" ref="B204" ca="1">_xlfn.ANCHORARRAY(RESUMO!C203)</f>
        <v>Narset</v>
      </c>
      <c r="C204" s="3" t="str">
        <f t="shared" ca="1" si="12"/>
        <v/>
      </c>
      <c r="E204" t="str">
        <f ca="1"/>
        <v>Retreat to Kazandu</v>
      </c>
      <c r="F204" s="3">
        <f t="shared" ca="1" si="13"/>
        <v>1</v>
      </c>
      <c r="G204" s="3" t="str">
        <f t="shared" ca="1" si="14"/>
        <v>Modular</v>
      </c>
      <c r="M204" t="str">
        <f ca="1"/>
        <v>Retreat to Kazandu</v>
      </c>
      <c r="N204" s="3">
        <f t="shared" ca="1" si="15"/>
        <v>1</v>
      </c>
      <c r="O204" s="3" t="str">
        <f ca="1">IFERROR(
 INDEX($T$2:$AW$2,
  MATCH(TRUE,
   CHOOSE({1;2;3;4;5;6;7;8;9;10;11;12;13;14;15;16;17;18;19;20;21;22;23;24;25;26;27;28;29;30;31;32},
    COUNTIFS($T$3:$T$201,$M204)&gt;0,
    COUNTIFS($U$3:$U$201,$M204)&gt;0,
    COUNTIFS($V$3:$V$201,$M204)&gt;0,
    COUNTIFS($W$3:$W$201,$M204)&gt;0,
    COUNTIFS($X$3:$X$201,$M204)&gt;0,
    COUNTIFS($Y$3:$Y$201,$M204)&gt;0,
    COUNTIFS($Z$3:$Z$201,$M204)&gt;0,
    COUNTIFS($AA$3:$AA$201,$M204)&gt;0,
    COUNTIFS($AB$3:$AB$201,$M204)&gt;0,
    COUNTIFS($AC$3:$AC$201,$M204)&gt;0,
    COUNTIFS($AD$3:$AD$201,$M204)&gt;0,
    COUNTIFS($AE$3:$AE$201,$M204)&gt;0,
    COUNTIFS($AF$3:$AF$201,$M204)&gt;0,
    COUNTIFS($AG$3:$AG$201,$M204)&gt;0,
    COUNTIFS($AH$3:$AH$201,$M204)&gt;0,
    COUNTIFS($AI$3:$AI$201,$M204)&gt;0,
    COUNTIFS($AJ$3:$AJ$201,$M204)&gt;0,
    COUNTIFS($AK$3:$AK$201,$M204)&gt;0,
    COUNTIFS($AL$3:$AL$201,$M204)&gt;0,
    COUNTIFS($AM$3:$AM$201,$M204)&gt;0,
    COUNTIFS($AN$3:$AN$201,$M204)&gt;0,
    COUNTIFS($AO$3:$AO$201,$M204)&gt;0,
    COUNTIFS($AP$3:$AP$201,$M204)&gt;0,
    COUNTIFS($AQ$3:$AQ$201,$M204)&gt;0,
    COUNTIFS($AR$3:$AR$201,$M204)&gt;0,
    COUNTIFS($AS$3:$AS$201,$M204)&gt;0,
    COUNTIFS($AT$3:$AT$201,$M204)&gt;0,
    COUNTIFS($AU$3:$AU$201,$M204)&gt;0,
    COUNTIFS($AV$3:$AV$201,$M204)&gt;0,
    COUNTIFS($AW$3:$AW$201,$M204)&gt;0
   ),
  0)
 ),
"")</f>
        <v>Modular</v>
      </c>
      <c r="P204" s="3" t="str" cm="1">
        <f t="array" aca="1" ref="P204" ca="1">IFERROR(
 INDEX(
  _xlfn._xlws.FILTER($T$2:$AW$2,
   TRANSPOSE(
    CHOOSE({1;2;3;4;5;6;7;8;9;10;11;12;13;14;15;16;17;18;19;20;21;22;23;24;25;26;27;28;29;30},
     COUNTIFS($T$3:$T$201,$M204)&gt;0,
     COUNTIFS($U$3:$U$201,$M204)&gt;0,
     COUNTIFS($V$3:$V$201,$M204)&gt;0,
     COUNTIFS($W$3:$W$201,$M204)&gt;0,
     COUNTIFS($X$3:$X$201,$M204)&gt;0,
     COUNTIFS($Y$3:$Y$201,$M204)&gt;0,
     COUNTIFS($Z$3:$Z$201,$M204)&gt;0,
     COUNTIFS($AA$3:$AA$201,$M204)&gt;0,
     COUNTIFS($AB$3:$AB$201,$M204)&gt;0,
     COUNTIFS($AC$3:$AC$201,$M204)&gt;0,
     COUNTIFS($AD$3:$AD$201,$M204)&gt;0,
     COUNTIFS($AE$3:$AE$201,$M204)&gt;0,
     COUNTIFS($AF$3:$AF$201,$M204)&gt;0,
     COUNTIFS($AG$3:$AG$201,$M204)&gt;0,
     COUNTIFS($AH$3:$AH$201,$M204)&gt;0,
     COUNTIFS($AI$3:$AI$201,$M204)&gt;0,
     COUNTIFS($AJ$3:$AJ$201,$M204)&gt;0,
     COUNTIFS($AK$3:$AK$201,$M204)&gt;0,
     COUNTIFS($AL$3:$AL$201,$M204)&gt;0,
     COUNTIFS($AM$3:$AM$201,$M204)&gt;0,
     COUNTIFS($AN$3:$AN$201,$M204)&gt;0,
     COUNTIFS($AO$3:$AO$201,$M204)&gt;0,
     COUNTIFS($AP$3:$AP$201,$M204)&gt;0,
     COUNTIFS($AQ$3:$AQ$201,$M204)&gt;0,
     COUNTIFS($AR$3:$AR$201,$M204)&gt;0,
     COUNTIFS($AS$3:$AS$201,$M204)&gt;0,
     COUNTIFS($AT$3:$AT$201,$M204)&gt;0,
     COUNTIFS($AU$3:$AU$201,$M204)&gt;0,
     COUNTIFS($AV$3:$AV$201,$M204)&gt;0,
     COUNTIFS($AW$3:$AW$201,$M204)&gt;0
   )),
  ),
  2
 ),
"")</f>
        <v/>
      </c>
      <c r="Q204" s="3" t="str" cm="1">
        <f t="array" aca="1" ref="Q204" ca="1">IFERROR(
 INDEX(
  _xlfn._xlws.FILTER($T$2:$AW$2,
   TRANSPOSE(
    CHOOSE({1;2;3;4;5;6;7;8;9;10;11;12;13;14;15;16;17;18;19;20;21;22;23;24;25;26;27;28;29;30},
     COUNTIFS($T$3:$T$201,$M204)&gt;0,
     COUNTIFS($U$3:$U$201,$M204)&gt;0,
     COUNTIFS($V$3:$V$201,$M204)&gt;0,
     COUNTIFS($W$3:$W$201,$M204)&gt;0,
     COUNTIFS($X$3:$X$201,$M204)&gt;0,
     COUNTIFS($Y$3:$Y$201,$M204)&gt;0,
     COUNTIFS($Z$3:$Z$201,$M204)&gt;0,
     COUNTIFS($AA$3:$AA$201,$M204)&gt;0,
     COUNTIFS($AB$3:$AB$201,$M204)&gt;0,
     COUNTIFS($AC$3:$AC$201,$M204)&gt;0,
     COUNTIFS($AD$3:$AD$201,$M204)&gt;0,
     COUNTIFS($AE$3:$AE$201,$M204)&gt;0,
     COUNTIFS($AF$3:$AF$201,$M204)&gt;0,
     COUNTIFS($AG$3:$AG$201,$M204)&gt;0,
     COUNTIFS($AH$3:$AH$201,$M204)&gt;0,
     COUNTIFS($AI$3:$AI$201,$M204)&gt;0,
     COUNTIFS($AJ$3:$AJ$201,$M204)&gt;0,
     COUNTIFS($AK$3:$AK$201,$M204)&gt;0,
     COUNTIFS($AL$3:$AL$201,$M204)&gt;0,
     COUNTIFS($AM$3:$AM$201,$M204)&gt;0,
     COUNTIFS($AN$3:$AN$201,$M204)&gt;0,
     COUNTIFS($AO$3:$AO$201,$M204)&gt;0,
     COUNTIFS($AP$3:$AP$201,$M204)&gt;0,
     COUNTIFS($AQ$3:$AQ$201,$M204)&gt;0,
     COUNTIFS($AR$3:$AR$201,$M204)&gt;0,
     COUNTIFS($AS$3:$AS$201,$M204)&gt;0,
     COUNTIFS($AT$3:$AT$201,$M204)&gt;0,
     COUNTIFS($AU$3:$AU$201,$M204)&gt;0,
     COUNTIFS($AV$3:$AV$201,$M204)&gt;0,
     COUNTIFS($AW$3:$AW$201,$M204)&gt;0
   )),
  ),
  3
 ),
"")</f>
        <v/>
      </c>
      <c r="R204" s="3" t="str" cm="1">
        <f t="array" aca="1" ref="R204" ca="1">IFERROR(
 INDEX(
  _xlfn._xlws.FILTER($T$2:$AW$2,
   TRANSPOSE(
    CHOOSE({1;2;3;4;5;6;7;8;9;10;11;12;13;14;15;16;17;18;19;20;21;22;23;24;25;26;27;28;29;30},
     COUNTIFS($T$3:$T$201,$M204)&gt;0,
     COUNTIFS($U$3:$U$201,$M204)&gt;0,
     COUNTIFS($V$3:$V$201,$M204)&gt;0,
     COUNTIFS($W$3:$W$201,$M204)&gt;0,
     COUNTIFS($X$3:$X$201,$M204)&gt;0,
     COUNTIFS($Y$3:$Y$201,$M204)&gt;0,
     COUNTIFS($Z$3:$Z$201,$M204)&gt;0,
     COUNTIFS($AA$3:$AA$201,$M204)&gt;0,
     COUNTIFS($AB$3:$AB$201,$M204)&gt;0,
     COUNTIFS($AC$3:$AC$201,$M204)&gt;0,
     COUNTIFS($AD$3:$AD$201,$M204)&gt;0,
     COUNTIFS($AE$3:$AE$201,$M204)&gt;0,
     COUNTIFS($AF$3:$AF$201,$M204)&gt;0,
     COUNTIFS($AG$3:$AG$201,$M204)&gt;0,
     COUNTIFS($AH$3:$AH$201,$M204)&gt;0,
     COUNTIFS($AI$3:$AI$201,$M204)&gt;0,
     COUNTIFS($AJ$3:$AJ$201,$M204)&gt;0,
     COUNTIFS($AK$3:$AK$201,$M204)&gt;0,
     COUNTIFS($AL$3:$AL$201,$M204)&gt;0,
     COUNTIFS($AM$3:$AM$201,$M204)&gt;0,
     COUNTIFS($AN$3:$AN$201,$M204)&gt;0,
     COUNTIFS($AO$3:$AO$201,$M204)&gt;0,
     COUNTIFS($AP$3:$AP$201,$M204)&gt;0,
     COUNTIFS($AQ$3:$AQ$201,$M204)&gt;0,
     COUNTIFS($AR$3:$AR$201,$M204)&gt;0,
     COUNTIFS($AS$3:$AS$201,$M204)&gt;0,
     COUNTIFS($AT$3:$AT$201,$M204)&gt;0,
     COUNTIFS($AU$3:$AU$201,$M204)&gt;0,
     COUNTIFS($AV$3:$AV$201,$M204)&gt;0,
     COUNTIFS($AW$3:$AW$201,$M204)&gt;0
   )),
  ),
  4
 ),
"")</f>
        <v/>
      </c>
      <c r="CF204" t="str">
        <f ca="1"/>
        <v>Worn Powerstone</v>
      </c>
      <c r="CI204" t="str">
        <f ca="1"/>
        <v>Retreat to Kazandu</v>
      </c>
    </row>
    <row r="205" spans="1:87" x14ac:dyDescent="0.25">
      <c r="A205" t="str">
        <f ca="1"/>
        <v>Purphoros, God of the Forge</v>
      </c>
      <c r="B205" s="3" t="str" cm="1">
        <f t="array" aca="1" ref="B205" ca="1">_xlfn.ANCHORARRAY(RESUMO!C204)</f>
        <v>Baylen</v>
      </c>
      <c r="C205" s="3" t="str">
        <f t="shared" ca="1" si="12"/>
        <v/>
      </c>
      <c r="E205" t="str">
        <f ca="1"/>
        <v>Revitalizing Repast</v>
      </c>
      <c r="F205" s="3">
        <f t="shared" ca="1" si="13"/>
        <v>1</v>
      </c>
      <c r="G205" s="3" t="str">
        <f t="shared" ca="1" si="14"/>
        <v>Tayam</v>
      </c>
      <c r="M205" t="str">
        <f ca="1"/>
        <v>Revitalizing Repast</v>
      </c>
      <c r="N205" s="3">
        <f t="shared" ca="1" si="15"/>
        <v>1</v>
      </c>
      <c r="O205" s="3" t="str">
        <f ca="1">IFERROR(
 INDEX($T$2:$AW$2,
  MATCH(TRUE,
   CHOOSE({1;2;3;4;5;6;7;8;9;10;11;12;13;14;15;16;17;18;19;20;21;22;23;24;25;26;27;28;29;30;31;32},
    COUNTIFS($T$3:$T$201,$M205)&gt;0,
    COUNTIFS($U$3:$U$201,$M205)&gt;0,
    COUNTIFS($V$3:$V$201,$M205)&gt;0,
    COUNTIFS($W$3:$W$201,$M205)&gt;0,
    COUNTIFS($X$3:$X$201,$M205)&gt;0,
    COUNTIFS($Y$3:$Y$201,$M205)&gt;0,
    COUNTIFS($Z$3:$Z$201,$M205)&gt;0,
    COUNTIFS($AA$3:$AA$201,$M205)&gt;0,
    COUNTIFS($AB$3:$AB$201,$M205)&gt;0,
    COUNTIFS($AC$3:$AC$201,$M205)&gt;0,
    COUNTIFS($AD$3:$AD$201,$M205)&gt;0,
    COUNTIFS($AE$3:$AE$201,$M205)&gt;0,
    COUNTIFS($AF$3:$AF$201,$M205)&gt;0,
    COUNTIFS($AG$3:$AG$201,$M205)&gt;0,
    COUNTIFS($AH$3:$AH$201,$M205)&gt;0,
    COUNTIFS($AI$3:$AI$201,$M205)&gt;0,
    COUNTIFS($AJ$3:$AJ$201,$M205)&gt;0,
    COUNTIFS($AK$3:$AK$201,$M205)&gt;0,
    COUNTIFS($AL$3:$AL$201,$M205)&gt;0,
    COUNTIFS($AM$3:$AM$201,$M205)&gt;0,
    COUNTIFS($AN$3:$AN$201,$M205)&gt;0,
    COUNTIFS($AO$3:$AO$201,$M205)&gt;0,
    COUNTIFS($AP$3:$AP$201,$M205)&gt;0,
    COUNTIFS($AQ$3:$AQ$201,$M205)&gt;0,
    COUNTIFS($AR$3:$AR$201,$M205)&gt;0,
    COUNTIFS($AS$3:$AS$201,$M205)&gt;0,
    COUNTIFS($AT$3:$AT$201,$M205)&gt;0,
    COUNTIFS($AU$3:$AU$201,$M205)&gt;0,
    COUNTIFS($AV$3:$AV$201,$M205)&gt;0,
    COUNTIFS($AW$3:$AW$201,$M205)&gt;0
   ),
  0)
 ),
"")</f>
        <v>Tayam</v>
      </c>
      <c r="P205" s="3" t="str" cm="1">
        <f t="array" aca="1" ref="P205" ca="1">IFERROR(
 INDEX(
  _xlfn._xlws.FILTER($T$2:$AW$2,
   TRANSPOSE(
    CHOOSE({1;2;3;4;5;6;7;8;9;10;11;12;13;14;15;16;17;18;19;20;21;22;23;24;25;26;27;28;29;30},
     COUNTIFS($T$3:$T$201,$M205)&gt;0,
     COUNTIFS($U$3:$U$201,$M205)&gt;0,
     COUNTIFS($V$3:$V$201,$M205)&gt;0,
     COUNTIFS($W$3:$W$201,$M205)&gt;0,
     COUNTIFS($X$3:$X$201,$M205)&gt;0,
     COUNTIFS($Y$3:$Y$201,$M205)&gt;0,
     COUNTIFS($Z$3:$Z$201,$M205)&gt;0,
     COUNTIFS($AA$3:$AA$201,$M205)&gt;0,
     COUNTIFS($AB$3:$AB$201,$M205)&gt;0,
     COUNTIFS($AC$3:$AC$201,$M205)&gt;0,
     COUNTIFS($AD$3:$AD$201,$M205)&gt;0,
     COUNTIFS($AE$3:$AE$201,$M205)&gt;0,
     COUNTIFS($AF$3:$AF$201,$M205)&gt;0,
     COUNTIFS($AG$3:$AG$201,$M205)&gt;0,
     COUNTIFS($AH$3:$AH$201,$M205)&gt;0,
     COUNTIFS($AI$3:$AI$201,$M205)&gt;0,
     COUNTIFS($AJ$3:$AJ$201,$M205)&gt;0,
     COUNTIFS($AK$3:$AK$201,$M205)&gt;0,
     COUNTIFS($AL$3:$AL$201,$M205)&gt;0,
     COUNTIFS($AM$3:$AM$201,$M205)&gt;0,
     COUNTIFS($AN$3:$AN$201,$M205)&gt;0,
     COUNTIFS($AO$3:$AO$201,$M205)&gt;0,
     COUNTIFS($AP$3:$AP$201,$M205)&gt;0,
     COUNTIFS($AQ$3:$AQ$201,$M205)&gt;0,
     COUNTIFS($AR$3:$AR$201,$M205)&gt;0,
     COUNTIFS($AS$3:$AS$201,$M205)&gt;0,
     COUNTIFS($AT$3:$AT$201,$M205)&gt;0,
     COUNTIFS($AU$3:$AU$201,$M205)&gt;0,
     COUNTIFS($AV$3:$AV$201,$M205)&gt;0,
     COUNTIFS($AW$3:$AW$201,$M205)&gt;0
   )),
  ),
  2
 ),
"")</f>
        <v/>
      </c>
      <c r="Q205" s="3" t="str" cm="1">
        <f t="array" aca="1" ref="Q205" ca="1">IFERROR(
 INDEX(
  _xlfn._xlws.FILTER($T$2:$AW$2,
   TRANSPOSE(
    CHOOSE({1;2;3;4;5;6;7;8;9;10;11;12;13;14;15;16;17;18;19;20;21;22;23;24;25;26;27;28;29;30},
     COUNTIFS($T$3:$T$201,$M205)&gt;0,
     COUNTIFS($U$3:$U$201,$M205)&gt;0,
     COUNTIFS($V$3:$V$201,$M205)&gt;0,
     COUNTIFS($W$3:$W$201,$M205)&gt;0,
     COUNTIFS($X$3:$X$201,$M205)&gt;0,
     COUNTIFS($Y$3:$Y$201,$M205)&gt;0,
     COUNTIFS($Z$3:$Z$201,$M205)&gt;0,
     COUNTIFS($AA$3:$AA$201,$M205)&gt;0,
     COUNTIFS($AB$3:$AB$201,$M205)&gt;0,
     COUNTIFS($AC$3:$AC$201,$M205)&gt;0,
     COUNTIFS($AD$3:$AD$201,$M205)&gt;0,
     COUNTIFS($AE$3:$AE$201,$M205)&gt;0,
     COUNTIFS($AF$3:$AF$201,$M205)&gt;0,
     COUNTIFS($AG$3:$AG$201,$M205)&gt;0,
     COUNTIFS($AH$3:$AH$201,$M205)&gt;0,
     COUNTIFS($AI$3:$AI$201,$M205)&gt;0,
     COUNTIFS($AJ$3:$AJ$201,$M205)&gt;0,
     COUNTIFS($AK$3:$AK$201,$M205)&gt;0,
     COUNTIFS($AL$3:$AL$201,$M205)&gt;0,
     COUNTIFS($AM$3:$AM$201,$M205)&gt;0,
     COUNTIFS($AN$3:$AN$201,$M205)&gt;0,
     COUNTIFS($AO$3:$AO$201,$M205)&gt;0,
     COUNTIFS($AP$3:$AP$201,$M205)&gt;0,
     COUNTIFS($AQ$3:$AQ$201,$M205)&gt;0,
     COUNTIFS($AR$3:$AR$201,$M205)&gt;0,
     COUNTIFS($AS$3:$AS$201,$M205)&gt;0,
     COUNTIFS($AT$3:$AT$201,$M205)&gt;0,
     COUNTIFS($AU$3:$AU$201,$M205)&gt;0,
     COUNTIFS($AV$3:$AV$201,$M205)&gt;0,
     COUNTIFS($AW$3:$AW$201,$M205)&gt;0
   )),
  ),
  3
 ),
"")</f>
        <v/>
      </c>
      <c r="R205" s="3" t="str" cm="1">
        <f t="array" aca="1" ref="R205" ca="1">IFERROR(
 INDEX(
  _xlfn._xlws.FILTER($T$2:$AW$2,
   TRANSPOSE(
    CHOOSE({1;2;3;4;5;6;7;8;9;10;11;12;13;14;15;16;17;18;19;20;21;22;23;24;25;26;27;28;29;30},
     COUNTIFS($T$3:$T$201,$M205)&gt;0,
     COUNTIFS($U$3:$U$201,$M205)&gt;0,
     COUNTIFS($V$3:$V$201,$M205)&gt;0,
     COUNTIFS($W$3:$W$201,$M205)&gt;0,
     COUNTIFS($X$3:$X$201,$M205)&gt;0,
     COUNTIFS($Y$3:$Y$201,$M205)&gt;0,
     COUNTIFS($Z$3:$Z$201,$M205)&gt;0,
     COUNTIFS($AA$3:$AA$201,$M205)&gt;0,
     COUNTIFS($AB$3:$AB$201,$M205)&gt;0,
     COUNTIFS($AC$3:$AC$201,$M205)&gt;0,
     COUNTIFS($AD$3:$AD$201,$M205)&gt;0,
     COUNTIFS($AE$3:$AE$201,$M205)&gt;0,
     COUNTIFS($AF$3:$AF$201,$M205)&gt;0,
     COUNTIFS($AG$3:$AG$201,$M205)&gt;0,
     COUNTIFS($AH$3:$AH$201,$M205)&gt;0,
     COUNTIFS($AI$3:$AI$201,$M205)&gt;0,
     COUNTIFS($AJ$3:$AJ$201,$M205)&gt;0,
     COUNTIFS($AK$3:$AK$201,$M205)&gt;0,
     COUNTIFS($AL$3:$AL$201,$M205)&gt;0,
     COUNTIFS($AM$3:$AM$201,$M205)&gt;0,
     COUNTIFS($AN$3:$AN$201,$M205)&gt;0,
     COUNTIFS($AO$3:$AO$201,$M205)&gt;0,
     COUNTIFS($AP$3:$AP$201,$M205)&gt;0,
     COUNTIFS($AQ$3:$AQ$201,$M205)&gt;0,
     COUNTIFS($AR$3:$AR$201,$M205)&gt;0,
     COUNTIFS($AS$3:$AS$201,$M205)&gt;0,
     COUNTIFS($AT$3:$AT$201,$M205)&gt;0,
     COUNTIFS($AU$3:$AU$201,$M205)&gt;0,
     COUNTIFS($AV$3:$AV$201,$M205)&gt;0,
     COUNTIFS($AW$3:$AW$201,$M205)&gt;0
   )),
  ),
  4
 ),
"")</f>
        <v/>
      </c>
      <c r="CF205" t="str">
        <f ca="1"/>
        <v>Young Pyromancer</v>
      </c>
      <c r="CI205" t="str">
        <f ca="1"/>
        <v>Revitalizing Repast</v>
      </c>
    </row>
    <row r="206" spans="1:87" x14ac:dyDescent="0.25">
      <c r="A206" t="str">
        <f ca="1"/>
        <v>Raffine's Tower</v>
      </c>
      <c r="B206" s="3" t="str" cm="1">
        <f t="array" aca="1" ref="B206" ca="1">_xlfn.ANCHORARRAY(RESUMO!C205)</f>
        <v>Fractius</v>
      </c>
      <c r="C206" s="3" t="str">
        <f t="shared" ca="1" si="12"/>
        <v/>
      </c>
      <c r="E206" t="str">
        <f ca="1"/>
        <v>Rite of the Raging Storm</v>
      </c>
      <c r="F206" s="3">
        <f t="shared" ca="1" si="13"/>
        <v>1</v>
      </c>
      <c r="G206" s="3" t="str">
        <f t="shared" ca="1" si="14"/>
        <v>Rani</v>
      </c>
      <c r="M206" t="str">
        <f ca="1"/>
        <v>Rite of the Raging Storm</v>
      </c>
      <c r="N206" s="3">
        <f t="shared" ca="1" si="15"/>
        <v>1</v>
      </c>
      <c r="O206" s="3" t="str">
        <f ca="1">IFERROR(
 INDEX($T$2:$AW$2,
  MATCH(TRUE,
   CHOOSE({1;2;3;4;5;6;7;8;9;10;11;12;13;14;15;16;17;18;19;20;21;22;23;24;25;26;27;28;29;30;31;32},
    COUNTIFS($T$3:$T$201,$M206)&gt;0,
    COUNTIFS($U$3:$U$201,$M206)&gt;0,
    COUNTIFS($V$3:$V$201,$M206)&gt;0,
    COUNTIFS($W$3:$W$201,$M206)&gt;0,
    COUNTIFS($X$3:$X$201,$M206)&gt;0,
    COUNTIFS($Y$3:$Y$201,$M206)&gt;0,
    COUNTIFS($Z$3:$Z$201,$M206)&gt;0,
    COUNTIFS($AA$3:$AA$201,$M206)&gt;0,
    COUNTIFS($AB$3:$AB$201,$M206)&gt;0,
    COUNTIFS($AC$3:$AC$201,$M206)&gt;0,
    COUNTIFS($AD$3:$AD$201,$M206)&gt;0,
    COUNTIFS($AE$3:$AE$201,$M206)&gt;0,
    COUNTIFS($AF$3:$AF$201,$M206)&gt;0,
    COUNTIFS($AG$3:$AG$201,$M206)&gt;0,
    COUNTIFS($AH$3:$AH$201,$M206)&gt;0,
    COUNTIFS($AI$3:$AI$201,$M206)&gt;0,
    COUNTIFS($AJ$3:$AJ$201,$M206)&gt;0,
    COUNTIFS($AK$3:$AK$201,$M206)&gt;0,
    COUNTIFS($AL$3:$AL$201,$M206)&gt;0,
    COUNTIFS($AM$3:$AM$201,$M206)&gt;0,
    COUNTIFS($AN$3:$AN$201,$M206)&gt;0,
    COUNTIFS($AO$3:$AO$201,$M206)&gt;0,
    COUNTIFS($AP$3:$AP$201,$M206)&gt;0,
    COUNTIFS($AQ$3:$AQ$201,$M206)&gt;0,
    COUNTIFS($AR$3:$AR$201,$M206)&gt;0,
    COUNTIFS($AS$3:$AS$201,$M206)&gt;0,
    COUNTIFS($AT$3:$AT$201,$M206)&gt;0,
    COUNTIFS($AU$3:$AU$201,$M206)&gt;0,
    COUNTIFS($AV$3:$AV$201,$M206)&gt;0,
    COUNTIFS($AW$3:$AW$201,$M206)&gt;0
   ),
  0)
 ),
"")</f>
        <v>Rani</v>
      </c>
      <c r="P206" s="3" t="str" cm="1">
        <f t="array" aca="1" ref="P206" ca="1">IFERROR(
 INDEX(
  _xlfn._xlws.FILTER($T$2:$AW$2,
   TRANSPOSE(
    CHOOSE({1;2;3;4;5;6;7;8;9;10;11;12;13;14;15;16;17;18;19;20;21;22;23;24;25;26;27;28;29;30},
     COUNTIFS($T$3:$T$201,$M206)&gt;0,
     COUNTIFS($U$3:$U$201,$M206)&gt;0,
     COUNTIFS($V$3:$V$201,$M206)&gt;0,
     COUNTIFS($W$3:$W$201,$M206)&gt;0,
     COUNTIFS($X$3:$X$201,$M206)&gt;0,
     COUNTIFS($Y$3:$Y$201,$M206)&gt;0,
     COUNTIFS($Z$3:$Z$201,$M206)&gt;0,
     COUNTIFS($AA$3:$AA$201,$M206)&gt;0,
     COUNTIFS($AB$3:$AB$201,$M206)&gt;0,
     COUNTIFS($AC$3:$AC$201,$M206)&gt;0,
     COUNTIFS($AD$3:$AD$201,$M206)&gt;0,
     COUNTIFS($AE$3:$AE$201,$M206)&gt;0,
     COUNTIFS($AF$3:$AF$201,$M206)&gt;0,
     COUNTIFS($AG$3:$AG$201,$M206)&gt;0,
     COUNTIFS($AH$3:$AH$201,$M206)&gt;0,
     COUNTIFS($AI$3:$AI$201,$M206)&gt;0,
     COUNTIFS($AJ$3:$AJ$201,$M206)&gt;0,
     COUNTIFS($AK$3:$AK$201,$M206)&gt;0,
     COUNTIFS($AL$3:$AL$201,$M206)&gt;0,
     COUNTIFS($AM$3:$AM$201,$M206)&gt;0,
     COUNTIFS($AN$3:$AN$201,$M206)&gt;0,
     COUNTIFS($AO$3:$AO$201,$M206)&gt;0,
     COUNTIFS($AP$3:$AP$201,$M206)&gt;0,
     COUNTIFS($AQ$3:$AQ$201,$M206)&gt;0,
     COUNTIFS($AR$3:$AR$201,$M206)&gt;0,
     COUNTIFS($AS$3:$AS$201,$M206)&gt;0,
     COUNTIFS($AT$3:$AT$201,$M206)&gt;0,
     COUNTIFS($AU$3:$AU$201,$M206)&gt;0,
     COUNTIFS($AV$3:$AV$201,$M206)&gt;0,
     COUNTIFS($AW$3:$AW$201,$M206)&gt;0
   )),
  ),
  2
 ),
"")</f>
        <v/>
      </c>
      <c r="Q206" s="3" t="str" cm="1">
        <f t="array" aca="1" ref="Q206" ca="1">IFERROR(
 INDEX(
  _xlfn._xlws.FILTER($T$2:$AW$2,
   TRANSPOSE(
    CHOOSE({1;2;3;4;5;6;7;8;9;10;11;12;13;14;15;16;17;18;19;20;21;22;23;24;25;26;27;28;29;30},
     COUNTIFS($T$3:$T$201,$M206)&gt;0,
     COUNTIFS($U$3:$U$201,$M206)&gt;0,
     COUNTIFS($V$3:$V$201,$M206)&gt;0,
     COUNTIFS($W$3:$W$201,$M206)&gt;0,
     COUNTIFS($X$3:$X$201,$M206)&gt;0,
     COUNTIFS($Y$3:$Y$201,$M206)&gt;0,
     COUNTIFS($Z$3:$Z$201,$M206)&gt;0,
     COUNTIFS($AA$3:$AA$201,$M206)&gt;0,
     COUNTIFS($AB$3:$AB$201,$M206)&gt;0,
     COUNTIFS($AC$3:$AC$201,$M206)&gt;0,
     COUNTIFS($AD$3:$AD$201,$M206)&gt;0,
     COUNTIFS($AE$3:$AE$201,$M206)&gt;0,
     COUNTIFS($AF$3:$AF$201,$M206)&gt;0,
     COUNTIFS($AG$3:$AG$201,$M206)&gt;0,
     COUNTIFS($AH$3:$AH$201,$M206)&gt;0,
     COUNTIFS($AI$3:$AI$201,$M206)&gt;0,
     COUNTIFS($AJ$3:$AJ$201,$M206)&gt;0,
     COUNTIFS($AK$3:$AK$201,$M206)&gt;0,
     COUNTIFS($AL$3:$AL$201,$M206)&gt;0,
     COUNTIFS($AM$3:$AM$201,$M206)&gt;0,
     COUNTIFS($AN$3:$AN$201,$M206)&gt;0,
     COUNTIFS($AO$3:$AO$201,$M206)&gt;0,
     COUNTIFS($AP$3:$AP$201,$M206)&gt;0,
     COUNTIFS($AQ$3:$AQ$201,$M206)&gt;0,
     COUNTIFS($AR$3:$AR$201,$M206)&gt;0,
     COUNTIFS($AS$3:$AS$201,$M206)&gt;0,
     COUNTIFS($AT$3:$AT$201,$M206)&gt;0,
     COUNTIFS($AU$3:$AU$201,$M206)&gt;0,
     COUNTIFS($AV$3:$AV$201,$M206)&gt;0,
     COUNTIFS($AW$3:$AW$201,$M206)&gt;0
   )),
  ),
  3
 ),
"")</f>
        <v/>
      </c>
      <c r="R206" s="3" t="str" cm="1">
        <f t="array" aca="1" ref="R206" ca="1">IFERROR(
 INDEX(
  _xlfn._xlws.FILTER($T$2:$AW$2,
   TRANSPOSE(
    CHOOSE({1;2;3;4;5;6;7;8;9;10;11;12;13;14;15;16;17;18;19;20;21;22;23;24;25;26;27;28;29;30},
     COUNTIFS($T$3:$T$201,$M206)&gt;0,
     COUNTIFS($U$3:$U$201,$M206)&gt;0,
     COUNTIFS($V$3:$V$201,$M206)&gt;0,
     COUNTIFS($W$3:$W$201,$M206)&gt;0,
     COUNTIFS($X$3:$X$201,$M206)&gt;0,
     COUNTIFS($Y$3:$Y$201,$M206)&gt;0,
     COUNTIFS($Z$3:$Z$201,$M206)&gt;0,
     COUNTIFS($AA$3:$AA$201,$M206)&gt;0,
     COUNTIFS($AB$3:$AB$201,$M206)&gt;0,
     COUNTIFS($AC$3:$AC$201,$M206)&gt;0,
     COUNTIFS($AD$3:$AD$201,$M206)&gt;0,
     COUNTIFS($AE$3:$AE$201,$M206)&gt;0,
     COUNTIFS($AF$3:$AF$201,$M206)&gt;0,
     COUNTIFS($AG$3:$AG$201,$M206)&gt;0,
     COUNTIFS($AH$3:$AH$201,$M206)&gt;0,
     COUNTIFS($AI$3:$AI$201,$M206)&gt;0,
     COUNTIFS($AJ$3:$AJ$201,$M206)&gt;0,
     COUNTIFS($AK$3:$AK$201,$M206)&gt;0,
     COUNTIFS($AL$3:$AL$201,$M206)&gt;0,
     COUNTIFS($AM$3:$AM$201,$M206)&gt;0,
     COUNTIFS($AN$3:$AN$201,$M206)&gt;0,
     COUNTIFS($AO$3:$AO$201,$M206)&gt;0,
     COUNTIFS($AP$3:$AP$201,$M206)&gt;0,
     COUNTIFS($AQ$3:$AQ$201,$M206)&gt;0,
     COUNTIFS($AR$3:$AR$201,$M206)&gt;0,
     COUNTIFS($AS$3:$AS$201,$M206)&gt;0,
     COUNTIFS($AT$3:$AT$201,$M206)&gt;0,
     COUNTIFS($AU$3:$AU$201,$M206)&gt;0,
     COUNTIFS($AV$3:$AV$201,$M206)&gt;0,
     COUNTIFS($AW$3:$AW$201,$M206)&gt;0
   )),
  ),
  4
 ),
"")</f>
        <v/>
      </c>
      <c r="CF206" t="str">
        <f ca="1"/>
        <v>Zona de Emergência</v>
      </c>
      <c r="CI206" t="str">
        <f ca="1"/>
        <v>Rite of the Raging Storm</v>
      </c>
    </row>
    <row r="207" spans="1:87" x14ac:dyDescent="0.25">
      <c r="A207" t="str">
        <f ca="1"/>
        <v>Red XIII, Proud Warrior</v>
      </c>
      <c r="B207" s="3" t="str" cm="1">
        <f t="array" aca="1" ref="B207" ca="1">_xlfn.ANCHORARRAY(RESUMO!C206)</f>
        <v>Kresh</v>
      </c>
      <c r="C207" s="3" t="str">
        <f t="shared" ca="1" si="12"/>
        <v/>
      </c>
      <c r="E207" t="str">
        <f ca="1"/>
        <v>Rootbound Crag</v>
      </c>
      <c r="F207" s="3">
        <f t="shared" ca="1" si="13"/>
        <v>1</v>
      </c>
      <c r="G207" s="3" t="str">
        <f t="shared" ca="1" si="14"/>
        <v>Modular</v>
      </c>
      <c r="M207" t="str">
        <f ca="1"/>
        <v>Rootbound Crag</v>
      </c>
      <c r="N207" s="3">
        <f t="shared" ca="1" si="15"/>
        <v>1</v>
      </c>
      <c r="O207" s="3" t="str">
        <f ca="1">IFERROR(
 INDEX($T$2:$AW$2,
  MATCH(TRUE,
   CHOOSE({1;2;3;4;5;6;7;8;9;10;11;12;13;14;15;16;17;18;19;20;21;22;23;24;25;26;27;28;29;30;31;32},
    COUNTIFS($T$3:$T$201,$M207)&gt;0,
    COUNTIFS($U$3:$U$201,$M207)&gt;0,
    COUNTIFS($V$3:$V$201,$M207)&gt;0,
    COUNTIFS($W$3:$W$201,$M207)&gt;0,
    COUNTIFS($X$3:$X$201,$M207)&gt;0,
    COUNTIFS($Y$3:$Y$201,$M207)&gt;0,
    COUNTIFS($Z$3:$Z$201,$M207)&gt;0,
    COUNTIFS($AA$3:$AA$201,$M207)&gt;0,
    COUNTIFS($AB$3:$AB$201,$M207)&gt;0,
    COUNTIFS($AC$3:$AC$201,$M207)&gt;0,
    COUNTIFS($AD$3:$AD$201,$M207)&gt;0,
    COUNTIFS($AE$3:$AE$201,$M207)&gt;0,
    COUNTIFS($AF$3:$AF$201,$M207)&gt;0,
    COUNTIFS($AG$3:$AG$201,$M207)&gt;0,
    COUNTIFS($AH$3:$AH$201,$M207)&gt;0,
    COUNTIFS($AI$3:$AI$201,$M207)&gt;0,
    COUNTIFS($AJ$3:$AJ$201,$M207)&gt;0,
    COUNTIFS($AK$3:$AK$201,$M207)&gt;0,
    COUNTIFS($AL$3:$AL$201,$M207)&gt;0,
    COUNTIFS($AM$3:$AM$201,$M207)&gt;0,
    COUNTIFS($AN$3:$AN$201,$M207)&gt;0,
    COUNTIFS($AO$3:$AO$201,$M207)&gt;0,
    COUNTIFS($AP$3:$AP$201,$M207)&gt;0,
    COUNTIFS($AQ$3:$AQ$201,$M207)&gt;0,
    COUNTIFS($AR$3:$AR$201,$M207)&gt;0,
    COUNTIFS($AS$3:$AS$201,$M207)&gt;0,
    COUNTIFS($AT$3:$AT$201,$M207)&gt;0,
    COUNTIFS($AU$3:$AU$201,$M207)&gt;0,
    COUNTIFS($AV$3:$AV$201,$M207)&gt;0,
    COUNTIFS($AW$3:$AW$201,$M207)&gt;0
   ),
  0)
 ),
"")</f>
        <v>Modular</v>
      </c>
      <c r="P207" s="3" t="str" cm="1">
        <f t="array" aca="1" ref="P207" ca="1">IFERROR(
 INDEX(
  _xlfn._xlws.FILTER($T$2:$AW$2,
   TRANSPOSE(
    CHOOSE({1;2;3;4;5;6;7;8;9;10;11;12;13;14;15;16;17;18;19;20;21;22;23;24;25;26;27;28;29;30},
     COUNTIFS($T$3:$T$201,$M207)&gt;0,
     COUNTIFS($U$3:$U$201,$M207)&gt;0,
     COUNTIFS($V$3:$V$201,$M207)&gt;0,
     COUNTIFS($W$3:$W$201,$M207)&gt;0,
     COUNTIFS($X$3:$X$201,$M207)&gt;0,
     COUNTIFS($Y$3:$Y$201,$M207)&gt;0,
     COUNTIFS($Z$3:$Z$201,$M207)&gt;0,
     COUNTIFS($AA$3:$AA$201,$M207)&gt;0,
     COUNTIFS($AB$3:$AB$201,$M207)&gt;0,
     COUNTIFS($AC$3:$AC$201,$M207)&gt;0,
     COUNTIFS($AD$3:$AD$201,$M207)&gt;0,
     COUNTIFS($AE$3:$AE$201,$M207)&gt;0,
     COUNTIFS($AF$3:$AF$201,$M207)&gt;0,
     COUNTIFS($AG$3:$AG$201,$M207)&gt;0,
     COUNTIFS($AH$3:$AH$201,$M207)&gt;0,
     COUNTIFS($AI$3:$AI$201,$M207)&gt;0,
     COUNTIFS($AJ$3:$AJ$201,$M207)&gt;0,
     COUNTIFS($AK$3:$AK$201,$M207)&gt;0,
     COUNTIFS($AL$3:$AL$201,$M207)&gt;0,
     COUNTIFS($AM$3:$AM$201,$M207)&gt;0,
     COUNTIFS($AN$3:$AN$201,$M207)&gt;0,
     COUNTIFS($AO$3:$AO$201,$M207)&gt;0,
     COUNTIFS($AP$3:$AP$201,$M207)&gt;0,
     COUNTIFS($AQ$3:$AQ$201,$M207)&gt;0,
     COUNTIFS($AR$3:$AR$201,$M207)&gt;0,
     COUNTIFS($AS$3:$AS$201,$M207)&gt;0,
     COUNTIFS($AT$3:$AT$201,$M207)&gt;0,
     COUNTIFS($AU$3:$AU$201,$M207)&gt;0,
     COUNTIFS($AV$3:$AV$201,$M207)&gt;0,
     COUNTIFS($AW$3:$AW$201,$M207)&gt;0
   )),
  ),
  2
 ),
"")</f>
        <v/>
      </c>
      <c r="Q207" s="3" t="str" cm="1">
        <f t="array" aca="1" ref="Q207" ca="1">IFERROR(
 INDEX(
  _xlfn._xlws.FILTER($T$2:$AW$2,
   TRANSPOSE(
    CHOOSE({1;2;3;4;5;6;7;8;9;10;11;12;13;14;15;16;17;18;19;20;21;22;23;24;25;26;27;28;29;30},
     COUNTIFS($T$3:$T$201,$M207)&gt;0,
     COUNTIFS($U$3:$U$201,$M207)&gt;0,
     COUNTIFS($V$3:$V$201,$M207)&gt;0,
     COUNTIFS($W$3:$W$201,$M207)&gt;0,
     COUNTIFS($X$3:$X$201,$M207)&gt;0,
     COUNTIFS($Y$3:$Y$201,$M207)&gt;0,
     COUNTIFS($Z$3:$Z$201,$M207)&gt;0,
     COUNTIFS($AA$3:$AA$201,$M207)&gt;0,
     COUNTIFS($AB$3:$AB$201,$M207)&gt;0,
     COUNTIFS($AC$3:$AC$201,$M207)&gt;0,
     COUNTIFS($AD$3:$AD$201,$M207)&gt;0,
     COUNTIFS($AE$3:$AE$201,$M207)&gt;0,
     COUNTIFS($AF$3:$AF$201,$M207)&gt;0,
     COUNTIFS($AG$3:$AG$201,$M207)&gt;0,
     COUNTIFS($AH$3:$AH$201,$M207)&gt;0,
     COUNTIFS($AI$3:$AI$201,$M207)&gt;0,
     COUNTIFS($AJ$3:$AJ$201,$M207)&gt;0,
     COUNTIFS($AK$3:$AK$201,$M207)&gt;0,
     COUNTIFS($AL$3:$AL$201,$M207)&gt;0,
     COUNTIFS($AM$3:$AM$201,$M207)&gt;0,
     COUNTIFS($AN$3:$AN$201,$M207)&gt;0,
     COUNTIFS($AO$3:$AO$201,$M207)&gt;0,
     COUNTIFS($AP$3:$AP$201,$M207)&gt;0,
     COUNTIFS($AQ$3:$AQ$201,$M207)&gt;0,
     COUNTIFS($AR$3:$AR$201,$M207)&gt;0,
     COUNTIFS($AS$3:$AS$201,$M207)&gt;0,
     COUNTIFS($AT$3:$AT$201,$M207)&gt;0,
     COUNTIFS($AU$3:$AU$201,$M207)&gt;0,
     COUNTIFS($AV$3:$AV$201,$M207)&gt;0,
     COUNTIFS($AW$3:$AW$201,$M207)&gt;0
   )),
  ),
  3
 ),
"")</f>
        <v/>
      </c>
      <c r="R207" s="3" t="str" cm="1">
        <f t="array" aca="1" ref="R207" ca="1">IFERROR(
 INDEX(
  _xlfn._xlws.FILTER($T$2:$AW$2,
   TRANSPOSE(
    CHOOSE({1;2;3;4;5;6;7;8;9;10;11;12;13;14;15;16;17;18;19;20;21;22;23;24;25;26;27;28;29;30},
     COUNTIFS($T$3:$T$201,$M207)&gt;0,
     COUNTIFS($U$3:$U$201,$M207)&gt;0,
     COUNTIFS($V$3:$V$201,$M207)&gt;0,
     COUNTIFS($W$3:$W$201,$M207)&gt;0,
     COUNTIFS($X$3:$X$201,$M207)&gt;0,
     COUNTIFS($Y$3:$Y$201,$M207)&gt;0,
     COUNTIFS($Z$3:$Z$201,$M207)&gt;0,
     COUNTIFS($AA$3:$AA$201,$M207)&gt;0,
     COUNTIFS($AB$3:$AB$201,$M207)&gt;0,
     COUNTIFS($AC$3:$AC$201,$M207)&gt;0,
     COUNTIFS($AD$3:$AD$201,$M207)&gt;0,
     COUNTIFS($AE$3:$AE$201,$M207)&gt;0,
     COUNTIFS($AF$3:$AF$201,$M207)&gt;0,
     COUNTIFS($AG$3:$AG$201,$M207)&gt;0,
     COUNTIFS($AH$3:$AH$201,$M207)&gt;0,
     COUNTIFS($AI$3:$AI$201,$M207)&gt;0,
     COUNTIFS($AJ$3:$AJ$201,$M207)&gt;0,
     COUNTIFS($AK$3:$AK$201,$M207)&gt;0,
     COUNTIFS($AL$3:$AL$201,$M207)&gt;0,
     COUNTIFS($AM$3:$AM$201,$M207)&gt;0,
     COUNTIFS($AN$3:$AN$201,$M207)&gt;0,
     COUNTIFS($AO$3:$AO$201,$M207)&gt;0,
     COUNTIFS($AP$3:$AP$201,$M207)&gt;0,
     COUNTIFS($AQ$3:$AQ$201,$M207)&gt;0,
     COUNTIFS($AR$3:$AR$201,$M207)&gt;0,
     COUNTIFS($AS$3:$AS$201,$M207)&gt;0,
     COUNTIFS($AT$3:$AT$201,$M207)&gt;0,
     COUNTIFS($AU$3:$AU$201,$M207)&gt;0,
     COUNTIFS($AV$3:$AV$201,$M207)&gt;0,
     COUNTIFS($AW$3:$AW$201,$M207)&gt;0
   )),
  ),
  4
 ),
"")</f>
        <v/>
      </c>
      <c r="CI207" t="str">
        <f ca="1"/>
        <v>Rootbound Crag</v>
      </c>
    </row>
    <row r="208" spans="1:87" x14ac:dyDescent="0.25">
      <c r="A208" t="str">
        <f ca="1"/>
        <v>Reflecting Pool</v>
      </c>
      <c r="B208" s="3" t="str" cm="1">
        <f t="array" aca="1" ref="B208" ca="1">_xlfn.ANCHORARRAY(RESUMO!C207)</f>
        <v>Breya</v>
      </c>
      <c r="C208" s="3" t="str">
        <f t="shared" ca="1" si="12"/>
        <v/>
      </c>
      <c r="E208" t="str">
        <f ca="1"/>
        <v>Rumor Gatherer</v>
      </c>
      <c r="F208" s="3">
        <f t="shared" ca="1" si="13"/>
        <v>2</v>
      </c>
      <c r="G208" s="3" t="str">
        <f t="shared" ca="1" si="14"/>
        <v>Tayam</v>
      </c>
      <c r="M208" t="str">
        <f ca="1"/>
        <v>Rumor Gatherer</v>
      </c>
      <c r="N208" s="3">
        <f t="shared" ca="1" si="15"/>
        <v>2</v>
      </c>
      <c r="O208" s="3" t="str">
        <f ca="1">IFERROR(
 INDEX($T$2:$AW$2,
  MATCH(TRUE,
   CHOOSE({1;2;3;4;5;6;7;8;9;10;11;12;13;14;15;16;17;18;19;20;21;22;23;24;25;26;27;28;29;30;31;32},
    COUNTIFS($T$3:$T$201,$M208)&gt;0,
    COUNTIFS($U$3:$U$201,$M208)&gt;0,
    COUNTIFS($V$3:$V$201,$M208)&gt;0,
    COUNTIFS($W$3:$W$201,$M208)&gt;0,
    COUNTIFS($X$3:$X$201,$M208)&gt;0,
    COUNTIFS($Y$3:$Y$201,$M208)&gt;0,
    COUNTIFS($Z$3:$Z$201,$M208)&gt;0,
    COUNTIFS($AA$3:$AA$201,$M208)&gt;0,
    COUNTIFS($AB$3:$AB$201,$M208)&gt;0,
    COUNTIFS($AC$3:$AC$201,$M208)&gt;0,
    COUNTIFS($AD$3:$AD$201,$M208)&gt;0,
    COUNTIFS($AE$3:$AE$201,$M208)&gt;0,
    COUNTIFS($AF$3:$AF$201,$M208)&gt;0,
    COUNTIFS($AG$3:$AG$201,$M208)&gt;0,
    COUNTIFS($AH$3:$AH$201,$M208)&gt;0,
    COUNTIFS($AI$3:$AI$201,$M208)&gt;0,
    COUNTIFS($AJ$3:$AJ$201,$M208)&gt;0,
    COUNTIFS($AK$3:$AK$201,$M208)&gt;0,
    COUNTIFS($AL$3:$AL$201,$M208)&gt;0,
    COUNTIFS($AM$3:$AM$201,$M208)&gt;0,
    COUNTIFS($AN$3:$AN$201,$M208)&gt;0,
    COUNTIFS($AO$3:$AO$201,$M208)&gt;0,
    COUNTIFS($AP$3:$AP$201,$M208)&gt;0,
    COUNTIFS($AQ$3:$AQ$201,$M208)&gt;0,
    COUNTIFS($AR$3:$AR$201,$M208)&gt;0,
    COUNTIFS($AS$3:$AS$201,$M208)&gt;0,
    COUNTIFS($AT$3:$AT$201,$M208)&gt;0,
    COUNTIFS($AU$3:$AU$201,$M208)&gt;0,
    COUNTIFS($AV$3:$AV$201,$M208)&gt;0,
    COUNTIFS($AW$3:$AW$201,$M208)&gt;0
   ),
  0)
 ),
"")</f>
        <v>Tayam</v>
      </c>
      <c r="P208" s="3" t="str" cm="1">
        <f t="array" aca="1" ref="P208" ca="1">IFERROR(
 INDEX(
  _xlfn._xlws.FILTER($T$2:$AW$2,
   TRANSPOSE(
    CHOOSE({1;2;3;4;5;6;7;8;9;10;11;12;13;14;15;16;17;18;19;20;21;22;23;24;25;26;27;28;29;30},
     COUNTIFS($T$3:$T$201,$M208)&gt;0,
     COUNTIFS($U$3:$U$201,$M208)&gt;0,
     COUNTIFS($V$3:$V$201,$M208)&gt;0,
     COUNTIFS($W$3:$W$201,$M208)&gt;0,
     COUNTIFS($X$3:$X$201,$M208)&gt;0,
     COUNTIFS($Y$3:$Y$201,$M208)&gt;0,
     COUNTIFS($Z$3:$Z$201,$M208)&gt;0,
     COUNTIFS($AA$3:$AA$201,$M208)&gt;0,
     COUNTIFS($AB$3:$AB$201,$M208)&gt;0,
     COUNTIFS($AC$3:$AC$201,$M208)&gt;0,
     COUNTIFS($AD$3:$AD$201,$M208)&gt;0,
     COUNTIFS($AE$3:$AE$201,$M208)&gt;0,
     COUNTIFS($AF$3:$AF$201,$M208)&gt;0,
     COUNTIFS($AG$3:$AG$201,$M208)&gt;0,
     COUNTIFS($AH$3:$AH$201,$M208)&gt;0,
     COUNTIFS($AI$3:$AI$201,$M208)&gt;0,
     COUNTIFS($AJ$3:$AJ$201,$M208)&gt;0,
     COUNTIFS($AK$3:$AK$201,$M208)&gt;0,
     COUNTIFS($AL$3:$AL$201,$M208)&gt;0,
     COUNTIFS($AM$3:$AM$201,$M208)&gt;0,
     COUNTIFS($AN$3:$AN$201,$M208)&gt;0,
     COUNTIFS($AO$3:$AO$201,$M208)&gt;0,
     COUNTIFS($AP$3:$AP$201,$M208)&gt;0,
     COUNTIFS($AQ$3:$AQ$201,$M208)&gt;0,
     COUNTIFS($AR$3:$AR$201,$M208)&gt;0,
     COUNTIFS($AS$3:$AS$201,$M208)&gt;0,
     COUNTIFS($AT$3:$AT$201,$M208)&gt;0,
     COUNTIFS($AU$3:$AU$201,$M208)&gt;0,
     COUNTIFS($AV$3:$AV$201,$M208)&gt;0,
     COUNTIFS($AW$3:$AW$201,$M208)&gt;0
   )),
  ),
  2
 ),
"")</f>
        <v>Modular</v>
      </c>
      <c r="Q208" s="3" t="str" cm="1">
        <f t="array" aca="1" ref="Q208" ca="1">IFERROR(
 INDEX(
  _xlfn._xlws.FILTER($T$2:$AW$2,
   TRANSPOSE(
    CHOOSE({1;2;3;4;5;6;7;8;9;10;11;12;13;14;15;16;17;18;19;20;21;22;23;24;25;26;27;28;29;30},
     COUNTIFS($T$3:$T$201,$M208)&gt;0,
     COUNTIFS($U$3:$U$201,$M208)&gt;0,
     COUNTIFS($V$3:$V$201,$M208)&gt;0,
     COUNTIFS($W$3:$W$201,$M208)&gt;0,
     COUNTIFS($X$3:$X$201,$M208)&gt;0,
     COUNTIFS($Y$3:$Y$201,$M208)&gt;0,
     COUNTIFS($Z$3:$Z$201,$M208)&gt;0,
     COUNTIFS($AA$3:$AA$201,$M208)&gt;0,
     COUNTIFS($AB$3:$AB$201,$M208)&gt;0,
     COUNTIFS($AC$3:$AC$201,$M208)&gt;0,
     COUNTIFS($AD$3:$AD$201,$M208)&gt;0,
     COUNTIFS($AE$3:$AE$201,$M208)&gt;0,
     COUNTIFS($AF$3:$AF$201,$M208)&gt;0,
     COUNTIFS($AG$3:$AG$201,$M208)&gt;0,
     COUNTIFS($AH$3:$AH$201,$M208)&gt;0,
     COUNTIFS($AI$3:$AI$201,$M208)&gt;0,
     COUNTIFS($AJ$3:$AJ$201,$M208)&gt;0,
     COUNTIFS($AK$3:$AK$201,$M208)&gt;0,
     COUNTIFS($AL$3:$AL$201,$M208)&gt;0,
     COUNTIFS($AM$3:$AM$201,$M208)&gt;0,
     COUNTIFS($AN$3:$AN$201,$M208)&gt;0,
     COUNTIFS($AO$3:$AO$201,$M208)&gt;0,
     COUNTIFS($AP$3:$AP$201,$M208)&gt;0,
     COUNTIFS($AQ$3:$AQ$201,$M208)&gt;0,
     COUNTIFS($AR$3:$AR$201,$M208)&gt;0,
     COUNTIFS($AS$3:$AS$201,$M208)&gt;0,
     COUNTIFS($AT$3:$AT$201,$M208)&gt;0,
     COUNTIFS($AU$3:$AU$201,$M208)&gt;0,
     COUNTIFS($AV$3:$AV$201,$M208)&gt;0,
     COUNTIFS($AW$3:$AW$201,$M208)&gt;0
   )),
  ),
  3
 ),
"")</f>
        <v/>
      </c>
      <c r="R208" s="3" t="str" cm="1">
        <f t="array" aca="1" ref="R208" ca="1">IFERROR(
 INDEX(
  _xlfn._xlws.FILTER($T$2:$AW$2,
   TRANSPOSE(
    CHOOSE({1;2;3;4;5;6;7;8;9;10;11;12;13;14;15;16;17;18;19;20;21;22;23;24;25;26;27;28;29;30},
     COUNTIFS($T$3:$T$201,$M208)&gt;0,
     COUNTIFS($U$3:$U$201,$M208)&gt;0,
     COUNTIFS($V$3:$V$201,$M208)&gt;0,
     COUNTIFS($W$3:$W$201,$M208)&gt;0,
     COUNTIFS($X$3:$X$201,$M208)&gt;0,
     COUNTIFS($Y$3:$Y$201,$M208)&gt;0,
     COUNTIFS($Z$3:$Z$201,$M208)&gt;0,
     COUNTIFS($AA$3:$AA$201,$M208)&gt;0,
     COUNTIFS($AB$3:$AB$201,$M208)&gt;0,
     COUNTIFS($AC$3:$AC$201,$M208)&gt;0,
     COUNTIFS($AD$3:$AD$201,$M208)&gt;0,
     COUNTIFS($AE$3:$AE$201,$M208)&gt;0,
     COUNTIFS($AF$3:$AF$201,$M208)&gt;0,
     COUNTIFS($AG$3:$AG$201,$M208)&gt;0,
     COUNTIFS($AH$3:$AH$201,$M208)&gt;0,
     COUNTIFS($AI$3:$AI$201,$M208)&gt;0,
     COUNTIFS($AJ$3:$AJ$201,$M208)&gt;0,
     COUNTIFS($AK$3:$AK$201,$M208)&gt;0,
     COUNTIFS($AL$3:$AL$201,$M208)&gt;0,
     COUNTIFS($AM$3:$AM$201,$M208)&gt;0,
     COUNTIFS($AN$3:$AN$201,$M208)&gt;0,
     COUNTIFS($AO$3:$AO$201,$M208)&gt;0,
     COUNTIFS($AP$3:$AP$201,$M208)&gt;0,
     COUNTIFS($AQ$3:$AQ$201,$M208)&gt;0,
     COUNTIFS($AR$3:$AR$201,$M208)&gt;0,
     COUNTIFS($AS$3:$AS$201,$M208)&gt;0,
     COUNTIFS($AT$3:$AT$201,$M208)&gt;0,
     COUNTIFS($AU$3:$AU$201,$M208)&gt;0,
     COUNTIFS($AV$3:$AV$201,$M208)&gt;0,
     COUNTIFS($AW$3:$AW$201,$M208)&gt;0
   )),
  ),
  4
 ),
"")</f>
        <v/>
      </c>
      <c r="CI208" t="str">
        <f ca="1"/>
        <v>Rumor Gatherer</v>
      </c>
    </row>
    <row r="209" spans="1:87" x14ac:dyDescent="0.25">
      <c r="A209" t="str">
        <f ca="1"/>
        <v>Reforge the Soul</v>
      </c>
      <c r="B209" s="3" t="str" cm="1">
        <f t="array" aca="1" ref="B209" ca="1">_xlfn.ANCHORARRAY(RESUMO!C208)</f>
        <v>Narset</v>
      </c>
      <c r="C209" s="3" t="str">
        <f t="shared" ca="1" si="12"/>
        <v/>
      </c>
      <c r="E209" t="str">
        <f ca="1"/>
        <v>Runadi, Behemoth Caller</v>
      </c>
      <c r="F209" s="3">
        <f t="shared" ca="1" si="13"/>
        <v>1</v>
      </c>
      <c r="G209" s="3" t="str">
        <f t="shared" ca="1" si="14"/>
        <v>Modular</v>
      </c>
      <c r="M209" t="str">
        <f ca="1"/>
        <v>Runadi, Behemoth Caller</v>
      </c>
      <c r="N209" s="3">
        <f t="shared" ca="1" si="15"/>
        <v>1</v>
      </c>
      <c r="O209" s="3" t="str">
        <f ca="1">IFERROR(
 INDEX($T$2:$AW$2,
  MATCH(TRUE,
   CHOOSE({1;2;3;4;5;6;7;8;9;10;11;12;13;14;15;16;17;18;19;20;21;22;23;24;25;26;27;28;29;30;31;32},
    COUNTIFS($T$3:$T$201,$M209)&gt;0,
    COUNTIFS($U$3:$U$201,$M209)&gt;0,
    COUNTIFS($V$3:$V$201,$M209)&gt;0,
    COUNTIFS($W$3:$W$201,$M209)&gt;0,
    COUNTIFS($X$3:$X$201,$M209)&gt;0,
    COUNTIFS($Y$3:$Y$201,$M209)&gt;0,
    COUNTIFS($Z$3:$Z$201,$M209)&gt;0,
    COUNTIFS($AA$3:$AA$201,$M209)&gt;0,
    COUNTIFS($AB$3:$AB$201,$M209)&gt;0,
    COUNTIFS($AC$3:$AC$201,$M209)&gt;0,
    COUNTIFS($AD$3:$AD$201,$M209)&gt;0,
    COUNTIFS($AE$3:$AE$201,$M209)&gt;0,
    COUNTIFS($AF$3:$AF$201,$M209)&gt;0,
    COUNTIFS($AG$3:$AG$201,$M209)&gt;0,
    COUNTIFS($AH$3:$AH$201,$M209)&gt;0,
    COUNTIFS($AI$3:$AI$201,$M209)&gt;0,
    COUNTIFS($AJ$3:$AJ$201,$M209)&gt;0,
    COUNTIFS($AK$3:$AK$201,$M209)&gt;0,
    COUNTIFS($AL$3:$AL$201,$M209)&gt;0,
    COUNTIFS($AM$3:$AM$201,$M209)&gt;0,
    COUNTIFS($AN$3:$AN$201,$M209)&gt;0,
    COUNTIFS($AO$3:$AO$201,$M209)&gt;0,
    COUNTIFS($AP$3:$AP$201,$M209)&gt;0,
    COUNTIFS($AQ$3:$AQ$201,$M209)&gt;0,
    COUNTIFS($AR$3:$AR$201,$M209)&gt;0,
    COUNTIFS($AS$3:$AS$201,$M209)&gt;0,
    COUNTIFS($AT$3:$AT$201,$M209)&gt;0,
    COUNTIFS($AU$3:$AU$201,$M209)&gt;0,
    COUNTIFS($AV$3:$AV$201,$M209)&gt;0,
    COUNTIFS($AW$3:$AW$201,$M209)&gt;0
   ),
  0)
 ),
"")</f>
        <v>Modular</v>
      </c>
      <c r="P209" s="3" t="str" cm="1">
        <f t="array" aca="1" ref="P209" ca="1">IFERROR(
 INDEX(
  _xlfn._xlws.FILTER($T$2:$AW$2,
   TRANSPOSE(
    CHOOSE({1;2;3;4;5;6;7;8;9;10;11;12;13;14;15;16;17;18;19;20;21;22;23;24;25;26;27;28;29;30},
     COUNTIFS($T$3:$T$201,$M209)&gt;0,
     COUNTIFS($U$3:$U$201,$M209)&gt;0,
     COUNTIFS($V$3:$V$201,$M209)&gt;0,
     COUNTIFS($W$3:$W$201,$M209)&gt;0,
     COUNTIFS($X$3:$X$201,$M209)&gt;0,
     COUNTIFS($Y$3:$Y$201,$M209)&gt;0,
     COUNTIFS($Z$3:$Z$201,$M209)&gt;0,
     COUNTIFS($AA$3:$AA$201,$M209)&gt;0,
     COUNTIFS($AB$3:$AB$201,$M209)&gt;0,
     COUNTIFS($AC$3:$AC$201,$M209)&gt;0,
     COUNTIFS($AD$3:$AD$201,$M209)&gt;0,
     COUNTIFS($AE$3:$AE$201,$M209)&gt;0,
     COUNTIFS($AF$3:$AF$201,$M209)&gt;0,
     COUNTIFS($AG$3:$AG$201,$M209)&gt;0,
     COUNTIFS($AH$3:$AH$201,$M209)&gt;0,
     COUNTIFS($AI$3:$AI$201,$M209)&gt;0,
     COUNTIFS($AJ$3:$AJ$201,$M209)&gt;0,
     COUNTIFS($AK$3:$AK$201,$M209)&gt;0,
     COUNTIFS($AL$3:$AL$201,$M209)&gt;0,
     COUNTIFS($AM$3:$AM$201,$M209)&gt;0,
     COUNTIFS($AN$3:$AN$201,$M209)&gt;0,
     COUNTIFS($AO$3:$AO$201,$M209)&gt;0,
     COUNTIFS($AP$3:$AP$201,$M209)&gt;0,
     COUNTIFS($AQ$3:$AQ$201,$M209)&gt;0,
     COUNTIFS($AR$3:$AR$201,$M209)&gt;0,
     COUNTIFS($AS$3:$AS$201,$M209)&gt;0,
     COUNTIFS($AT$3:$AT$201,$M209)&gt;0,
     COUNTIFS($AU$3:$AU$201,$M209)&gt;0,
     COUNTIFS($AV$3:$AV$201,$M209)&gt;0,
     COUNTIFS($AW$3:$AW$201,$M209)&gt;0
   )),
  ),
  2
 ),
"")</f>
        <v/>
      </c>
      <c r="Q209" s="3" t="str" cm="1">
        <f t="array" aca="1" ref="Q209" ca="1">IFERROR(
 INDEX(
  _xlfn._xlws.FILTER($T$2:$AW$2,
   TRANSPOSE(
    CHOOSE({1;2;3;4;5;6;7;8;9;10;11;12;13;14;15;16;17;18;19;20;21;22;23;24;25;26;27;28;29;30},
     COUNTIFS($T$3:$T$201,$M209)&gt;0,
     COUNTIFS($U$3:$U$201,$M209)&gt;0,
     COUNTIFS($V$3:$V$201,$M209)&gt;0,
     COUNTIFS($W$3:$W$201,$M209)&gt;0,
     COUNTIFS($X$3:$X$201,$M209)&gt;0,
     COUNTIFS($Y$3:$Y$201,$M209)&gt;0,
     COUNTIFS($Z$3:$Z$201,$M209)&gt;0,
     COUNTIFS($AA$3:$AA$201,$M209)&gt;0,
     COUNTIFS($AB$3:$AB$201,$M209)&gt;0,
     COUNTIFS($AC$3:$AC$201,$M209)&gt;0,
     COUNTIFS($AD$3:$AD$201,$M209)&gt;0,
     COUNTIFS($AE$3:$AE$201,$M209)&gt;0,
     COUNTIFS($AF$3:$AF$201,$M209)&gt;0,
     COUNTIFS($AG$3:$AG$201,$M209)&gt;0,
     COUNTIFS($AH$3:$AH$201,$M209)&gt;0,
     COUNTIFS($AI$3:$AI$201,$M209)&gt;0,
     COUNTIFS($AJ$3:$AJ$201,$M209)&gt;0,
     COUNTIFS($AK$3:$AK$201,$M209)&gt;0,
     COUNTIFS($AL$3:$AL$201,$M209)&gt;0,
     COUNTIFS($AM$3:$AM$201,$M209)&gt;0,
     COUNTIFS($AN$3:$AN$201,$M209)&gt;0,
     COUNTIFS($AO$3:$AO$201,$M209)&gt;0,
     COUNTIFS($AP$3:$AP$201,$M209)&gt;0,
     COUNTIFS($AQ$3:$AQ$201,$M209)&gt;0,
     COUNTIFS($AR$3:$AR$201,$M209)&gt;0,
     COUNTIFS($AS$3:$AS$201,$M209)&gt;0,
     COUNTIFS($AT$3:$AT$201,$M209)&gt;0,
     COUNTIFS($AU$3:$AU$201,$M209)&gt;0,
     COUNTIFS($AV$3:$AV$201,$M209)&gt;0,
     COUNTIFS($AW$3:$AW$201,$M209)&gt;0
   )),
  ),
  3
 ),
"")</f>
        <v/>
      </c>
      <c r="R209" s="3" t="str" cm="1">
        <f t="array" aca="1" ref="R209" ca="1">IFERROR(
 INDEX(
  _xlfn._xlws.FILTER($T$2:$AW$2,
   TRANSPOSE(
    CHOOSE({1;2;3;4;5;6;7;8;9;10;11;12;13;14;15;16;17;18;19;20;21;22;23;24;25;26;27;28;29;30},
     COUNTIFS($T$3:$T$201,$M209)&gt;0,
     COUNTIFS($U$3:$U$201,$M209)&gt;0,
     COUNTIFS($V$3:$V$201,$M209)&gt;0,
     COUNTIFS($W$3:$W$201,$M209)&gt;0,
     COUNTIFS($X$3:$X$201,$M209)&gt;0,
     COUNTIFS($Y$3:$Y$201,$M209)&gt;0,
     COUNTIFS($Z$3:$Z$201,$M209)&gt;0,
     COUNTIFS($AA$3:$AA$201,$M209)&gt;0,
     COUNTIFS($AB$3:$AB$201,$M209)&gt;0,
     COUNTIFS($AC$3:$AC$201,$M209)&gt;0,
     COUNTIFS($AD$3:$AD$201,$M209)&gt;0,
     COUNTIFS($AE$3:$AE$201,$M209)&gt;0,
     COUNTIFS($AF$3:$AF$201,$M209)&gt;0,
     COUNTIFS($AG$3:$AG$201,$M209)&gt;0,
     COUNTIFS($AH$3:$AH$201,$M209)&gt;0,
     COUNTIFS($AI$3:$AI$201,$M209)&gt;0,
     COUNTIFS($AJ$3:$AJ$201,$M209)&gt;0,
     COUNTIFS($AK$3:$AK$201,$M209)&gt;0,
     COUNTIFS($AL$3:$AL$201,$M209)&gt;0,
     COUNTIFS($AM$3:$AM$201,$M209)&gt;0,
     COUNTIFS($AN$3:$AN$201,$M209)&gt;0,
     COUNTIFS($AO$3:$AO$201,$M209)&gt;0,
     COUNTIFS($AP$3:$AP$201,$M209)&gt;0,
     COUNTIFS($AQ$3:$AQ$201,$M209)&gt;0,
     COUNTIFS($AR$3:$AR$201,$M209)&gt;0,
     COUNTIFS($AS$3:$AS$201,$M209)&gt;0,
     COUNTIFS($AT$3:$AT$201,$M209)&gt;0,
     COUNTIFS($AU$3:$AU$201,$M209)&gt;0,
     COUNTIFS($AV$3:$AV$201,$M209)&gt;0,
     COUNTIFS($AW$3:$AW$201,$M209)&gt;0
   )),
  ),
  4
 ),
"")</f>
        <v/>
      </c>
      <c r="CI209" t="str">
        <f ca="1"/>
        <v>Runadi, Behemoth Caller</v>
      </c>
    </row>
    <row r="210" spans="1:87" x14ac:dyDescent="0.25">
      <c r="A210" t="str">
        <f ca="1"/>
        <v>Relentless Assault</v>
      </c>
      <c r="B210" s="3" t="str" cm="1">
        <f t="array" aca="1" ref="B210" ca="1">_xlfn.ANCHORARRAY(RESUMO!C209)</f>
        <v>Narset</v>
      </c>
      <c r="C210" s="3" t="str">
        <f t="shared" ca="1" si="12"/>
        <v/>
      </c>
      <c r="E210" t="str">
        <f ca="1"/>
        <v>Sábio Primordial</v>
      </c>
      <c r="F210" s="3">
        <f t="shared" ca="1" si="13"/>
        <v>1</v>
      </c>
      <c r="G210" s="3" t="str">
        <f t="shared" ca="1" si="14"/>
        <v>Modular</v>
      </c>
      <c r="M210" t="str">
        <f ca="1"/>
        <v>Sábio Primordial</v>
      </c>
      <c r="N210" s="3">
        <f t="shared" ca="1" si="15"/>
        <v>1</v>
      </c>
      <c r="O210" s="3" t="str">
        <f ca="1">IFERROR(
 INDEX($T$2:$AW$2,
  MATCH(TRUE,
   CHOOSE({1;2;3;4;5;6;7;8;9;10;11;12;13;14;15;16;17;18;19;20;21;22;23;24;25;26;27;28;29;30;31;32},
    COUNTIFS($T$3:$T$201,$M210)&gt;0,
    COUNTIFS($U$3:$U$201,$M210)&gt;0,
    COUNTIFS($V$3:$V$201,$M210)&gt;0,
    COUNTIFS($W$3:$W$201,$M210)&gt;0,
    COUNTIFS($X$3:$X$201,$M210)&gt;0,
    COUNTIFS($Y$3:$Y$201,$M210)&gt;0,
    COUNTIFS($Z$3:$Z$201,$M210)&gt;0,
    COUNTIFS($AA$3:$AA$201,$M210)&gt;0,
    COUNTIFS($AB$3:$AB$201,$M210)&gt;0,
    COUNTIFS($AC$3:$AC$201,$M210)&gt;0,
    COUNTIFS($AD$3:$AD$201,$M210)&gt;0,
    COUNTIFS($AE$3:$AE$201,$M210)&gt;0,
    COUNTIFS($AF$3:$AF$201,$M210)&gt;0,
    COUNTIFS($AG$3:$AG$201,$M210)&gt;0,
    COUNTIFS($AH$3:$AH$201,$M210)&gt;0,
    COUNTIFS($AI$3:$AI$201,$M210)&gt;0,
    COUNTIFS($AJ$3:$AJ$201,$M210)&gt;0,
    COUNTIFS($AK$3:$AK$201,$M210)&gt;0,
    COUNTIFS($AL$3:$AL$201,$M210)&gt;0,
    COUNTIFS($AM$3:$AM$201,$M210)&gt;0,
    COUNTIFS($AN$3:$AN$201,$M210)&gt;0,
    COUNTIFS($AO$3:$AO$201,$M210)&gt;0,
    COUNTIFS($AP$3:$AP$201,$M210)&gt;0,
    COUNTIFS($AQ$3:$AQ$201,$M210)&gt;0,
    COUNTIFS($AR$3:$AR$201,$M210)&gt;0,
    COUNTIFS($AS$3:$AS$201,$M210)&gt;0,
    COUNTIFS($AT$3:$AT$201,$M210)&gt;0,
    COUNTIFS($AU$3:$AU$201,$M210)&gt;0,
    COUNTIFS($AV$3:$AV$201,$M210)&gt;0,
    COUNTIFS($AW$3:$AW$201,$M210)&gt;0
   ),
  0)
 ),
"")</f>
        <v>Modular</v>
      </c>
      <c r="P210" s="3" t="str" cm="1">
        <f t="array" aca="1" ref="P210" ca="1">IFERROR(
 INDEX(
  _xlfn._xlws.FILTER($T$2:$AW$2,
   TRANSPOSE(
    CHOOSE({1;2;3;4;5;6;7;8;9;10;11;12;13;14;15;16;17;18;19;20;21;22;23;24;25;26;27;28;29;30},
     COUNTIFS($T$3:$T$201,$M210)&gt;0,
     COUNTIFS($U$3:$U$201,$M210)&gt;0,
     COUNTIFS($V$3:$V$201,$M210)&gt;0,
     COUNTIFS($W$3:$W$201,$M210)&gt;0,
     COUNTIFS($X$3:$X$201,$M210)&gt;0,
     COUNTIFS($Y$3:$Y$201,$M210)&gt;0,
     COUNTIFS($Z$3:$Z$201,$M210)&gt;0,
     COUNTIFS($AA$3:$AA$201,$M210)&gt;0,
     COUNTIFS($AB$3:$AB$201,$M210)&gt;0,
     COUNTIFS($AC$3:$AC$201,$M210)&gt;0,
     COUNTIFS($AD$3:$AD$201,$M210)&gt;0,
     COUNTIFS($AE$3:$AE$201,$M210)&gt;0,
     COUNTIFS($AF$3:$AF$201,$M210)&gt;0,
     COUNTIFS($AG$3:$AG$201,$M210)&gt;0,
     COUNTIFS($AH$3:$AH$201,$M210)&gt;0,
     COUNTIFS($AI$3:$AI$201,$M210)&gt;0,
     COUNTIFS($AJ$3:$AJ$201,$M210)&gt;0,
     COUNTIFS($AK$3:$AK$201,$M210)&gt;0,
     COUNTIFS($AL$3:$AL$201,$M210)&gt;0,
     COUNTIFS($AM$3:$AM$201,$M210)&gt;0,
     COUNTIFS($AN$3:$AN$201,$M210)&gt;0,
     COUNTIFS($AO$3:$AO$201,$M210)&gt;0,
     COUNTIFS($AP$3:$AP$201,$M210)&gt;0,
     COUNTIFS($AQ$3:$AQ$201,$M210)&gt;0,
     COUNTIFS($AR$3:$AR$201,$M210)&gt;0,
     COUNTIFS($AS$3:$AS$201,$M210)&gt;0,
     COUNTIFS($AT$3:$AT$201,$M210)&gt;0,
     COUNTIFS($AU$3:$AU$201,$M210)&gt;0,
     COUNTIFS($AV$3:$AV$201,$M210)&gt;0,
     COUNTIFS($AW$3:$AW$201,$M210)&gt;0
   )),
  ),
  2
 ),
"")</f>
        <v/>
      </c>
      <c r="Q210" s="3" t="str" cm="1">
        <f t="array" aca="1" ref="Q210" ca="1">IFERROR(
 INDEX(
  _xlfn._xlws.FILTER($T$2:$AW$2,
   TRANSPOSE(
    CHOOSE({1;2;3;4;5;6;7;8;9;10;11;12;13;14;15;16;17;18;19;20;21;22;23;24;25;26;27;28;29;30},
     COUNTIFS($T$3:$T$201,$M210)&gt;0,
     COUNTIFS($U$3:$U$201,$M210)&gt;0,
     COUNTIFS($V$3:$V$201,$M210)&gt;0,
     COUNTIFS($W$3:$W$201,$M210)&gt;0,
     COUNTIFS($X$3:$X$201,$M210)&gt;0,
     COUNTIFS($Y$3:$Y$201,$M210)&gt;0,
     COUNTIFS($Z$3:$Z$201,$M210)&gt;0,
     COUNTIFS($AA$3:$AA$201,$M210)&gt;0,
     COUNTIFS($AB$3:$AB$201,$M210)&gt;0,
     COUNTIFS($AC$3:$AC$201,$M210)&gt;0,
     COUNTIFS($AD$3:$AD$201,$M210)&gt;0,
     COUNTIFS($AE$3:$AE$201,$M210)&gt;0,
     COUNTIFS($AF$3:$AF$201,$M210)&gt;0,
     COUNTIFS($AG$3:$AG$201,$M210)&gt;0,
     COUNTIFS($AH$3:$AH$201,$M210)&gt;0,
     COUNTIFS($AI$3:$AI$201,$M210)&gt;0,
     COUNTIFS($AJ$3:$AJ$201,$M210)&gt;0,
     COUNTIFS($AK$3:$AK$201,$M210)&gt;0,
     COUNTIFS($AL$3:$AL$201,$M210)&gt;0,
     COUNTIFS($AM$3:$AM$201,$M210)&gt;0,
     COUNTIFS($AN$3:$AN$201,$M210)&gt;0,
     COUNTIFS($AO$3:$AO$201,$M210)&gt;0,
     COUNTIFS($AP$3:$AP$201,$M210)&gt;0,
     COUNTIFS($AQ$3:$AQ$201,$M210)&gt;0,
     COUNTIFS($AR$3:$AR$201,$M210)&gt;0,
     COUNTIFS($AS$3:$AS$201,$M210)&gt;0,
     COUNTIFS($AT$3:$AT$201,$M210)&gt;0,
     COUNTIFS($AU$3:$AU$201,$M210)&gt;0,
     COUNTIFS($AV$3:$AV$201,$M210)&gt;0,
     COUNTIFS($AW$3:$AW$201,$M210)&gt;0
   )),
  ),
  3
 ),
"")</f>
        <v/>
      </c>
      <c r="R210" s="3" t="str" cm="1">
        <f t="array" aca="1" ref="R210" ca="1">IFERROR(
 INDEX(
  _xlfn._xlws.FILTER($T$2:$AW$2,
   TRANSPOSE(
    CHOOSE({1;2;3;4;5;6;7;8;9;10;11;12;13;14;15;16;17;18;19;20;21;22;23;24;25;26;27;28;29;30},
     COUNTIFS($T$3:$T$201,$M210)&gt;0,
     COUNTIFS($U$3:$U$201,$M210)&gt;0,
     COUNTIFS($V$3:$V$201,$M210)&gt;0,
     COUNTIFS($W$3:$W$201,$M210)&gt;0,
     COUNTIFS($X$3:$X$201,$M210)&gt;0,
     COUNTIFS($Y$3:$Y$201,$M210)&gt;0,
     COUNTIFS($Z$3:$Z$201,$M210)&gt;0,
     COUNTIFS($AA$3:$AA$201,$M210)&gt;0,
     COUNTIFS($AB$3:$AB$201,$M210)&gt;0,
     COUNTIFS($AC$3:$AC$201,$M210)&gt;0,
     COUNTIFS($AD$3:$AD$201,$M210)&gt;0,
     COUNTIFS($AE$3:$AE$201,$M210)&gt;0,
     COUNTIFS($AF$3:$AF$201,$M210)&gt;0,
     COUNTIFS($AG$3:$AG$201,$M210)&gt;0,
     COUNTIFS($AH$3:$AH$201,$M210)&gt;0,
     COUNTIFS($AI$3:$AI$201,$M210)&gt;0,
     COUNTIFS($AJ$3:$AJ$201,$M210)&gt;0,
     COUNTIFS($AK$3:$AK$201,$M210)&gt;0,
     COUNTIFS($AL$3:$AL$201,$M210)&gt;0,
     COUNTIFS($AM$3:$AM$201,$M210)&gt;0,
     COUNTIFS($AN$3:$AN$201,$M210)&gt;0,
     COUNTIFS($AO$3:$AO$201,$M210)&gt;0,
     COUNTIFS($AP$3:$AP$201,$M210)&gt;0,
     COUNTIFS($AQ$3:$AQ$201,$M210)&gt;0,
     COUNTIFS($AR$3:$AR$201,$M210)&gt;0,
     COUNTIFS($AS$3:$AS$201,$M210)&gt;0,
     COUNTIFS($AT$3:$AT$201,$M210)&gt;0,
     COUNTIFS($AU$3:$AU$201,$M210)&gt;0,
     COUNTIFS($AV$3:$AV$201,$M210)&gt;0,
     COUNTIFS($AW$3:$AW$201,$M210)&gt;0
   )),
  ),
  4
 ),
"")</f>
        <v/>
      </c>
      <c r="CI210" t="str">
        <f ca="1"/>
        <v>Sábio Primordial</v>
      </c>
    </row>
    <row r="211" spans="1:87" x14ac:dyDescent="0.25">
      <c r="A211" t="str">
        <f ca="1"/>
        <v>Reliquary Tower</v>
      </c>
      <c r="B211" s="3" t="str" cm="1">
        <f t="array" aca="1" ref="B211" ca="1">_xlfn.ANCHORARRAY(RESUMO!C210)</f>
        <v>Piratas</v>
      </c>
      <c r="C211" s="3" t="str">
        <f t="shared" ca="1" si="12"/>
        <v/>
      </c>
      <c r="E211" t="str">
        <f ca="1"/>
        <v>Saciar</v>
      </c>
      <c r="F211" s="3">
        <f t="shared" ca="1" si="13"/>
        <v>1</v>
      </c>
      <c r="G211" s="3" t="str">
        <f t="shared" ca="1" si="14"/>
        <v>Baylen</v>
      </c>
      <c r="M211" t="str">
        <f ca="1"/>
        <v>Saciar</v>
      </c>
      <c r="N211" s="3">
        <f t="shared" ca="1" si="15"/>
        <v>1</v>
      </c>
      <c r="O211" s="3" t="str">
        <f ca="1">IFERROR(
 INDEX($T$2:$AW$2,
  MATCH(TRUE,
   CHOOSE({1;2;3;4;5;6;7;8;9;10;11;12;13;14;15;16;17;18;19;20;21;22;23;24;25;26;27;28;29;30;31;32},
    COUNTIFS($T$3:$T$201,$M211)&gt;0,
    COUNTIFS($U$3:$U$201,$M211)&gt;0,
    COUNTIFS($V$3:$V$201,$M211)&gt;0,
    COUNTIFS($W$3:$W$201,$M211)&gt;0,
    COUNTIFS($X$3:$X$201,$M211)&gt;0,
    COUNTIFS($Y$3:$Y$201,$M211)&gt;0,
    COUNTIFS($Z$3:$Z$201,$M211)&gt;0,
    COUNTIFS($AA$3:$AA$201,$M211)&gt;0,
    COUNTIFS($AB$3:$AB$201,$M211)&gt;0,
    COUNTIFS($AC$3:$AC$201,$M211)&gt;0,
    COUNTIFS($AD$3:$AD$201,$M211)&gt;0,
    COUNTIFS($AE$3:$AE$201,$M211)&gt;0,
    COUNTIFS($AF$3:$AF$201,$M211)&gt;0,
    COUNTIFS($AG$3:$AG$201,$M211)&gt;0,
    COUNTIFS($AH$3:$AH$201,$M211)&gt;0,
    COUNTIFS($AI$3:$AI$201,$M211)&gt;0,
    COUNTIFS($AJ$3:$AJ$201,$M211)&gt;0,
    COUNTIFS($AK$3:$AK$201,$M211)&gt;0,
    COUNTIFS($AL$3:$AL$201,$M211)&gt;0,
    COUNTIFS($AM$3:$AM$201,$M211)&gt;0,
    COUNTIFS($AN$3:$AN$201,$M211)&gt;0,
    COUNTIFS($AO$3:$AO$201,$M211)&gt;0,
    COUNTIFS($AP$3:$AP$201,$M211)&gt;0,
    COUNTIFS($AQ$3:$AQ$201,$M211)&gt;0,
    COUNTIFS($AR$3:$AR$201,$M211)&gt;0,
    COUNTIFS($AS$3:$AS$201,$M211)&gt;0,
    COUNTIFS($AT$3:$AT$201,$M211)&gt;0,
    COUNTIFS($AU$3:$AU$201,$M211)&gt;0,
    COUNTIFS($AV$3:$AV$201,$M211)&gt;0,
    COUNTIFS($AW$3:$AW$201,$M211)&gt;0
   ),
  0)
 ),
"")</f>
        <v>Baylen</v>
      </c>
      <c r="P211" s="3" t="str" cm="1">
        <f t="array" aca="1" ref="P211" ca="1">IFERROR(
 INDEX(
  _xlfn._xlws.FILTER($T$2:$AW$2,
   TRANSPOSE(
    CHOOSE({1;2;3;4;5;6;7;8;9;10;11;12;13;14;15;16;17;18;19;20;21;22;23;24;25;26;27;28;29;30},
     COUNTIFS($T$3:$T$201,$M211)&gt;0,
     COUNTIFS($U$3:$U$201,$M211)&gt;0,
     COUNTIFS($V$3:$V$201,$M211)&gt;0,
     COUNTIFS($W$3:$W$201,$M211)&gt;0,
     COUNTIFS($X$3:$X$201,$M211)&gt;0,
     COUNTIFS($Y$3:$Y$201,$M211)&gt;0,
     COUNTIFS($Z$3:$Z$201,$M211)&gt;0,
     COUNTIFS($AA$3:$AA$201,$M211)&gt;0,
     COUNTIFS($AB$3:$AB$201,$M211)&gt;0,
     COUNTIFS($AC$3:$AC$201,$M211)&gt;0,
     COUNTIFS($AD$3:$AD$201,$M211)&gt;0,
     COUNTIFS($AE$3:$AE$201,$M211)&gt;0,
     COUNTIFS($AF$3:$AF$201,$M211)&gt;0,
     COUNTIFS($AG$3:$AG$201,$M211)&gt;0,
     COUNTIFS($AH$3:$AH$201,$M211)&gt;0,
     COUNTIFS($AI$3:$AI$201,$M211)&gt;0,
     COUNTIFS($AJ$3:$AJ$201,$M211)&gt;0,
     COUNTIFS($AK$3:$AK$201,$M211)&gt;0,
     COUNTIFS($AL$3:$AL$201,$M211)&gt;0,
     COUNTIFS($AM$3:$AM$201,$M211)&gt;0,
     COUNTIFS($AN$3:$AN$201,$M211)&gt;0,
     COUNTIFS($AO$3:$AO$201,$M211)&gt;0,
     COUNTIFS($AP$3:$AP$201,$M211)&gt;0,
     COUNTIFS($AQ$3:$AQ$201,$M211)&gt;0,
     COUNTIFS($AR$3:$AR$201,$M211)&gt;0,
     COUNTIFS($AS$3:$AS$201,$M211)&gt;0,
     COUNTIFS($AT$3:$AT$201,$M211)&gt;0,
     COUNTIFS($AU$3:$AU$201,$M211)&gt;0,
     COUNTIFS($AV$3:$AV$201,$M211)&gt;0,
     COUNTIFS($AW$3:$AW$201,$M211)&gt;0
   )),
  ),
  2
 ),
"")</f>
        <v/>
      </c>
      <c r="Q211" s="3" t="str" cm="1">
        <f t="array" aca="1" ref="Q211" ca="1">IFERROR(
 INDEX(
  _xlfn._xlws.FILTER($T$2:$AW$2,
   TRANSPOSE(
    CHOOSE({1;2;3;4;5;6;7;8;9;10;11;12;13;14;15;16;17;18;19;20;21;22;23;24;25;26;27;28;29;30},
     COUNTIFS($T$3:$T$201,$M211)&gt;0,
     COUNTIFS($U$3:$U$201,$M211)&gt;0,
     COUNTIFS($V$3:$V$201,$M211)&gt;0,
     COUNTIFS($W$3:$W$201,$M211)&gt;0,
     COUNTIFS($X$3:$X$201,$M211)&gt;0,
     COUNTIFS($Y$3:$Y$201,$M211)&gt;0,
     COUNTIFS($Z$3:$Z$201,$M211)&gt;0,
     COUNTIFS($AA$3:$AA$201,$M211)&gt;0,
     COUNTIFS($AB$3:$AB$201,$M211)&gt;0,
     COUNTIFS($AC$3:$AC$201,$M211)&gt;0,
     COUNTIFS($AD$3:$AD$201,$M211)&gt;0,
     COUNTIFS($AE$3:$AE$201,$M211)&gt;0,
     COUNTIFS($AF$3:$AF$201,$M211)&gt;0,
     COUNTIFS($AG$3:$AG$201,$M211)&gt;0,
     COUNTIFS($AH$3:$AH$201,$M211)&gt;0,
     COUNTIFS($AI$3:$AI$201,$M211)&gt;0,
     COUNTIFS($AJ$3:$AJ$201,$M211)&gt;0,
     COUNTIFS($AK$3:$AK$201,$M211)&gt;0,
     COUNTIFS($AL$3:$AL$201,$M211)&gt;0,
     COUNTIFS($AM$3:$AM$201,$M211)&gt;0,
     COUNTIFS($AN$3:$AN$201,$M211)&gt;0,
     COUNTIFS($AO$3:$AO$201,$M211)&gt;0,
     COUNTIFS($AP$3:$AP$201,$M211)&gt;0,
     COUNTIFS($AQ$3:$AQ$201,$M211)&gt;0,
     COUNTIFS($AR$3:$AR$201,$M211)&gt;0,
     COUNTIFS($AS$3:$AS$201,$M211)&gt;0,
     COUNTIFS($AT$3:$AT$201,$M211)&gt;0,
     COUNTIFS($AU$3:$AU$201,$M211)&gt;0,
     COUNTIFS($AV$3:$AV$201,$M211)&gt;0,
     COUNTIFS($AW$3:$AW$201,$M211)&gt;0
   )),
  ),
  3
 ),
"")</f>
        <v/>
      </c>
      <c r="R211" s="3" t="str" cm="1">
        <f t="array" aca="1" ref="R211" ca="1">IFERROR(
 INDEX(
  _xlfn._xlws.FILTER($T$2:$AW$2,
   TRANSPOSE(
    CHOOSE({1;2;3;4;5;6;7;8;9;10;11;12;13;14;15;16;17;18;19;20;21;22;23;24;25;26;27;28;29;30},
     COUNTIFS($T$3:$T$201,$M211)&gt;0,
     COUNTIFS($U$3:$U$201,$M211)&gt;0,
     COUNTIFS($V$3:$V$201,$M211)&gt;0,
     COUNTIFS($W$3:$W$201,$M211)&gt;0,
     COUNTIFS($X$3:$X$201,$M211)&gt;0,
     COUNTIFS($Y$3:$Y$201,$M211)&gt;0,
     COUNTIFS($Z$3:$Z$201,$M211)&gt;0,
     COUNTIFS($AA$3:$AA$201,$M211)&gt;0,
     COUNTIFS($AB$3:$AB$201,$M211)&gt;0,
     COUNTIFS($AC$3:$AC$201,$M211)&gt;0,
     COUNTIFS($AD$3:$AD$201,$M211)&gt;0,
     COUNTIFS($AE$3:$AE$201,$M211)&gt;0,
     COUNTIFS($AF$3:$AF$201,$M211)&gt;0,
     COUNTIFS($AG$3:$AG$201,$M211)&gt;0,
     COUNTIFS($AH$3:$AH$201,$M211)&gt;0,
     COUNTIFS($AI$3:$AI$201,$M211)&gt;0,
     COUNTIFS($AJ$3:$AJ$201,$M211)&gt;0,
     COUNTIFS($AK$3:$AK$201,$M211)&gt;0,
     COUNTIFS($AL$3:$AL$201,$M211)&gt;0,
     COUNTIFS($AM$3:$AM$201,$M211)&gt;0,
     COUNTIFS($AN$3:$AN$201,$M211)&gt;0,
     COUNTIFS($AO$3:$AO$201,$M211)&gt;0,
     COUNTIFS($AP$3:$AP$201,$M211)&gt;0,
     COUNTIFS($AQ$3:$AQ$201,$M211)&gt;0,
     COUNTIFS($AR$3:$AR$201,$M211)&gt;0,
     COUNTIFS($AS$3:$AS$201,$M211)&gt;0,
     COUNTIFS($AT$3:$AT$201,$M211)&gt;0,
     COUNTIFS($AU$3:$AU$201,$M211)&gt;0,
     COUNTIFS($AV$3:$AV$201,$M211)&gt;0,
     COUNTIFS($AW$3:$AW$201,$M211)&gt;0
   )),
  ),
  4
 ),
"")</f>
        <v/>
      </c>
      <c r="CI211" t="str">
        <f ca="1"/>
        <v>Saciar</v>
      </c>
    </row>
    <row r="212" spans="1:87" x14ac:dyDescent="0.25">
      <c r="A212" t="str">
        <f ca="1"/>
        <v>Renewed Solidarity</v>
      </c>
      <c r="B212" s="3" t="str" cm="1">
        <f t="array" aca="1" ref="B212" ca="1">_xlfn.ANCHORARRAY(RESUMO!C211)</f>
        <v>Alela</v>
      </c>
      <c r="C212" s="3" t="str">
        <f t="shared" ca="1" si="12"/>
        <v/>
      </c>
      <c r="E212" t="str">
        <f ca="1"/>
        <v>Sacred Foundry</v>
      </c>
      <c r="F212" s="3">
        <f t="shared" ca="1" si="13"/>
        <v>1</v>
      </c>
      <c r="G212" s="3" t="str">
        <f t="shared" ca="1" si="14"/>
        <v>Fractius</v>
      </c>
      <c r="M212" t="str">
        <f ca="1"/>
        <v>Sacred Foundry</v>
      </c>
      <c r="N212" s="3">
        <f t="shared" ca="1" si="15"/>
        <v>1</v>
      </c>
      <c r="O212" s="3" t="str">
        <f ca="1">IFERROR(
 INDEX($T$2:$AW$2,
  MATCH(TRUE,
   CHOOSE({1;2;3;4;5;6;7;8;9;10;11;12;13;14;15;16;17;18;19;20;21;22;23;24;25;26;27;28;29;30;31;32},
    COUNTIFS($T$3:$T$201,$M212)&gt;0,
    COUNTIFS($U$3:$U$201,$M212)&gt;0,
    COUNTIFS($V$3:$V$201,$M212)&gt;0,
    COUNTIFS($W$3:$W$201,$M212)&gt;0,
    COUNTIFS($X$3:$X$201,$M212)&gt;0,
    COUNTIFS($Y$3:$Y$201,$M212)&gt;0,
    COUNTIFS($Z$3:$Z$201,$M212)&gt;0,
    COUNTIFS($AA$3:$AA$201,$M212)&gt;0,
    COUNTIFS($AB$3:$AB$201,$M212)&gt;0,
    COUNTIFS($AC$3:$AC$201,$M212)&gt;0,
    COUNTIFS($AD$3:$AD$201,$M212)&gt;0,
    COUNTIFS($AE$3:$AE$201,$M212)&gt;0,
    COUNTIFS($AF$3:$AF$201,$M212)&gt;0,
    COUNTIFS($AG$3:$AG$201,$M212)&gt;0,
    COUNTIFS($AH$3:$AH$201,$M212)&gt;0,
    COUNTIFS($AI$3:$AI$201,$M212)&gt;0,
    COUNTIFS($AJ$3:$AJ$201,$M212)&gt;0,
    COUNTIFS($AK$3:$AK$201,$M212)&gt;0,
    COUNTIFS($AL$3:$AL$201,$M212)&gt;0,
    COUNTIFS($AM$3:$AM$201,$M212)&gt;0,
    COUNTIFS($AN$3:$AN$201,$M212)&gt;0,
    COUNTIFS($AO$3:$AO$201,$M212)&gt;0,
    COUNTIFS($AP$3:$AP$201,$M212)&gt;0,
    COUNTIFS($AQ$3:$AQ$201,$M212)&gt;0,
    COUNTIFS($AR$3:$AR$201,$M212)&gt;0,
    COUNTIFS($AS$3:$AS$201,$M212)&gt;0,
    COUNTIFS($AT$3:$AT$201,$M212)&gt;0,
    COUNTIFS($AU$3:$AU$201,$M212)&gt;0,
    COUNTIFS($AV$3:$AV$201,$M212)&gt;0,
    COUNTIFS($AW$3:$AW$201,$M212)&gt;0
   ),
  0)
 ),
"")</f>
        <v>Fractius</v>
      </c>
      <c r="P212" s="3" t="str" cm="1">
        <f t="array" aca="1" ref="P212" ca="1">IFERROR(
 INDEX(
  _xlfn._xlws.FILTER($T$2:$AW$2,
   TRANSPOSE(
    CHOOSE({1;2;3;4;5;6;7;8;9;10;11;12;13;14;15;16;17;18;19;20;21;22;23;24;25;26;27;28;29;30},
     COUNTIFS($T$3:$T$201,$M212)&gt;0,
     COUNTIFS($U$3:$U$201,$M212)&gt;0,
     COUNTIFS($V$3:$V$201,$M212)&gt;0,
     COUNTIFS($W$3:$W$201,$M212)&gt;0,
     COUNTIFS($X$3:$X$201,$M212)&gt;0,
     COUNTIFS($Y$3:$Y$201,$M212)&gt;0,
     COUNTIFS($Z$3:$Z$201,$M212)&gt;0,
     COUNTIFS($AA$3:$AA$201,$M212)&gt;0,
     COUNTIFS($AB$3:$AB$201,$M212)&gt;0,
     COUNTIFS($AC$3:$AC$201,$M212)&gt;0,
     COUNTIFS($AD$3:$AD$201,$M212)&gt;0,
     COUNTIFS($AE$3:$AE$201,$M212)&gt;0,
     COUNTIFS($AF$3:$AF$201,$M212)&gt;0,
     COUNTIFS($AG$3:$AG$201,$M212)&gt;0,
     COUNTIFS($AH$3:$AH$201,$M212)&gt;0,
     COUNTIFS($AI$3:$AI$201,$M212)&gt;0,
     COUNTIFS($AJ$3:$AJ$201,$M212)&gt;0,
     COUNTIFS($AK$3:$AK$201,$M212)&gt;0,
     COUNTIFS($AL$3:$AL$201,$M212)&gt;0,
     COUNTIFS($AM$3:$AM$201,$M212)&gt;0,
     COUNTIFS($AN$3:$AN$201,$M212)&gt;0,
     COUNTIFS($AO$3:$AO$201,$M212)&gt;0,
     COUNTIFS($AP$3:$AP$201,$M212)&gt;0,
     COUNTIFS($AQ$3:$AQ$201,$M212)&gt;0,
     COUNTIFS($AR$3:$AR$201,$M212)&gt;0,
     COUNTIFS($AS$3:$AS$201,$M212)&gt;0,
     COUNTIFS($AT$3:$AT$201,$M212)&gt;0,
     COUNTIFS($AU$3:$AU$201,$M212)&gt;0,
     COUNTIFS($AV$3:$AV$201,$M212)&gt;0,
     COUNTIFS($AW$3:$AW$201,$M212)&gt;0
   )),
  ),
  2
 ),
"")</f>
        <v/>
      </c>
      <c r="Q212" s="3" t="str" cm="1">
        <f t="array" aca="1" ref="Q212" ca="1">IFERROR(
 INDEX(
  _xlfn._xlws.FILTER($T$2:$AW$2,
   TRANSPOSE(
    CHOOSE({1;2;3;4;5;6;7;8;9;10;11;12;13;14;15;16;17;18;19;20;21;22;23;24;25;26;27;28;29;30},
     COUNTIFS($T$3:$T$201,$M212)&gt;0,
     COUNTIFS($U$3:$U$201,$M212)&gt;0,
     COUNTIFS($V$3:$V$201,$M212)&gt;0,
     COUNTIFS($W$3:$W$201,$M212)&gt;0,
     COUNTIFS($X$3:$X$201,$M212)&gt;0,
     COUNTIFS($Y$3:$Y$201,$M212)&gt;0,
     COUNTIFS($Z$3:$Z$201,$M212)&gt;0,
     COUNTIFS($AA$3:$AA$201,$M212)&gt;0,
     COUNTIFS($AB$3:$AB$201,$M212)&gt;0,
     COUNTIFS($AC$3:$AC$201,$M212)&gt;0,
     COUNTIFS($AD$3:$AD$201,$M212)&gt;0,
     COUNTIFS($AE$3:$AE$201,$M212)&gt;0,
     COUNTIFS($AF$3:$AF$201,$M212)&gt;0,
     COUNTIFS($AG$3:$AG$201,$M212)&gt;0,
     COUNTIFS($AH$3:$AH$201,$M212)&gt;0,
     COUNTIFS($AI$3:$AI$201,$M212)&gt;0,
     COUNTIFS($AJ$3:$AJ$201,$M212)&gt;0,
     COUNTIFS($AK$3:$AK$201,$M212)&gt;0,
     COUNTIFS($AL$3:$AL$201,$M212)&gt;0,
     COUNTIFS($AM$3:$AM$201,$M212)&gt;0,
     COUNTIFS($AN$3:$AN$201,$M212)&gt;0,
     COUNTIFS($AO$3:$AO$201,$M212)&gt;0,
     COUNTIFS($AP$3:$AP$201,$M212)&gt;0,
     COUNTIFS($AQ$3:$AQ$201,$M212)&gt;0,
     COUNTIFS($AR$3:$AR$201,$M212)&gt;0,
     COUNTIFS($AS$3:$AS$201,$M212)&gt;0,
     COUNTIFS($AT$3:$AT$201,$M212)&gt;0,
     COUNTIFS($AU$3:$AU$201,$M212)&gt;0,
     COUNTIFS($AV$3:$AV$201,$M212)&gt;0,
     COUNTIFS($AW$3:$AW$201,$M212)&gt;0
   )),
  ),
  3
 ),
"")</f>
        <v/>
      </c>
      <c r="R212" s="3" t="str" cm="1">
        <f t="array" aca="1" ref="R212" ca="1">IFERROR(
 INDEX(
  _xlfn._xlws.FILTER($T$2:$AW$2,
   TRANSPOSE(
    CHOOSE({1;2;3;4;5;6;7;8;9;10;11;12;13;14;15;16;17;18;19;20;21;22;23;24;25;26;27;28;29;30},
     COUNTIFS($T$3:$T$201,$M212)&gt;0,
     COUNTIFS($U$3:$U$201,$M212)&gt;0,
     COUNTIFS($V$3:$V$201,$M212)&gt;0,
     COUNTIFS($W$3:$W$201,$M212)&gt;0,
     COUNTIFS($X$3:$X$201,$M212)&gt;0,
     COUNTIFS($Y$3:$Y$201,$M212)&gt;0,
     COUNTIFS($Z$3:$Z$201,$M212)&gt;0,
     COUNTIFS($AA$3:$AA$201,$M212)&gt;0,
     COUNTIFS($AB$3:$AB$201,$M212)&gt;0,
     COUNTIFS($AC$3:$AC$201,$M212)&gt;0,
     COUNTIFS($AD$3:$AD$201,$M212)&gt;0,
     COUNTIFS($AE$3:$AE$201,$M212)&gt;0,
     COUNTIFS($AF$3:$AF$201,$M212)&gt;0,
     COUNTIFS($AG$3:$AG$201,$M212)&gt;0,
     COUNTIFS($AH$3:$AH$201,$M212)&gt;0,
     COUNTIFS($AI$3:$AI$201,$M212)&gt;0,
     COUNTIFS($AJ$3:$AJ$201,$M212)&gt;0,
     COUNTIFS($AK$3:$AK$201,$M212)&gt;0,
     COUNTIFS($AL$3:$AL$201,$M212)&gt;0,
     COUNTIFS($AM$3:$AM$201,$M212)&gt;0,
     COUNTIFS($AN$3:$AN$201,$M212)&gt;0,
     COUNTIFS($AO$3:$AO$201,$M212)&gt;0,
     COUNTIFS($AP$3:$AP$201,$M212)&gt;0,
     COUNTIFS($AQ$3:$AQ$201,$M212)&gt;0,
     COUNTIFS($AR$3:$AR$201,$M212)&gt;0,
     COUNTIFS($AS$3:$AS$201,$M212)&gt;0,
     COUNTIFS($AT$3:$AT$201,$M212)&gt;0,
     COUNTIFS($AU$3:$AU$201,$M212)&gt;0,
     COUNTIFS($AV$3:$AV$201,$M212)&gt;0,
     COUNTIFS($AW$3:$AW$201,$M212)&gt;0
   )),
  ),
  4
 ),
"")</f>
        <v/>
      </c>
      <c r="CI212" t="str">
        <f ca="1"/>
        <v>Sacred Foundry</v>
      </c>
    </row>
    <row r="213" spans="1:87" x14ac:dyDescent="0.25">
      <c r="A213" t="str">
        <f ca="1"/>
        <v>Resourceful Defense</v>
      </c>
      <c r="B213" s="3" t="str" cm="1">
        <f t="array" aca="1" ref="B213" ca="1">_xlfn.ANCHORARRAY(RESUMO!C212)</f>
        <v>Tayam</v>
      </c>
      <c r="C213" s="3" t="str">
        <f t="shared" ca="1" si="12"/>
        <v/>
      </c>
      <c r="E213" t="str">
        <f ca="1"/>
        <v>Saheeli, Artífice Sublime</v>
      </c>
      <c r="F213" s="3">
        <f t="shared" ca="1" si="13"/>
        <v>1</v>
      </c>
      <c r="G213" s="3" t="str">
        <f t="shared" ca="1" si="14"/>
        <v>Narset</v>
      </c>
      <c r="M213" t="str">
        <f ca="1"/>
        <v>Saheeli, Artífice Sublime</v>
      </c>
      <c r="N213" s="3">
        <f t="shared" ca="1" si="15"/>
        <v>1</v>
      </c>
      <c r="O213" s="3" t="str">
        <f ca="1">IFERROR(
 INDEX($T$2:$AW$2,
  MATCH(TRUE,
   CHOOSE({1;2;3;4;5;6;7;8;9;10;11;12;13;14;15;16;17;18;19;20;21;22;23;24;25;26;27;28;29;30;31;32},
    COUNTIFS($T$3:$T$201,$M213)&gt;0,
    COUNTIFS($U$3:$U$201,$M213)&gt;0,
    COUNTIFS($V$3:$V$201,$M213)&gt;0,
    COUNTIFS($W$3:$W$201,$M213)&gt;0,
    COUNTIFS($X$3:$X$201,$M213)&gt;0,
    COUNTIFS($Y$3:$Y$201,$M213)&gt;0,
    COUNTIFS($Z$3:$Z$201,$M213)&gt;0,
    COUNTIFS($AA$3:$AA$201,$M213)&gt;0,
    COUNTIFS($AB$3:$AB$201,$M213)&gt;0,
    COUNTIFS($AC$3:$AC$201,$M213)&gt;0,
    COUNTIFS($AD$3:$AD$201,$M213)&gt;0,
    COUNTIFS($AE$3:$AE$201,$M213)&gt;0,
    COUNTIFS($AF$3:$AF$201,$M213)&gt;0,
    COUNTIFS($AG$3:$AG$201,$M213)&gt;0,
    COUNTIFS($AH$3:$AH$201,$M213)&gt;0,
    COUNTIFS($AI$3:$AI$201,$M213)&gt;0,
    COUNTIFS($AJ$3:$AJ$201,$M213)&gt;0,
    COUNTIFS($AK$3:$AK$201,$M213)&gt;0,
    COUNTIFS($AL$3:$AL$201,$M213)&gt;0,
    COUNTIFS($AM$3:$AM$201,$M213)&gt;0,
    COUNTIFS($AN$3:$AN$201,$M213)&gt;0,
    COUNTIFS($AO$3:$AO$201,$M213)&gt;0,
    COUNTIFS($AP$3:$AP$201,$M213)&gt;0,
    COUNTIFS($AQ$3:$AQ$201,$M213)&gt;0,
    COUNTIFS($AR$3:$AR$201,$M213)&gt;0,
    COUNTIFS($AS$3:$AS$201,$M213)&gt;0,
    COUNTIFS($AT$3:$AT$201,$M213)&gt;0,
    COUNTIFS($AU$3:$AU$201,$M213)&gt;0,
    COUNTIFS($AV$3:$AV$201,$M213)&gt;0,
    COUNTIFS($AW$3:$AW$201,$M213)&gt;0
   ),
  0)
 ),
"")</f>
        <v>Narset</v>
      </c>
      <c r="P213" s="3" t="str" cm="1">
        <f t="array" aca="1" ref="P213" ca="1">IFERROR(
 INDEX(
  _xlfn._xlws.FILTER($T$2:$AW$2,
   TRANSPOSE(
    CHOOSE({1;2;3;4;5;6;7;8;9;10;11;12;13;14;15;16;17;18;19;20;21;22;23;24;25;26;27;28;29;30},
     COUNTIFS($T$3:$T$201,$M213)&gt;0,
     COUNTIFS($U$3:$U$201,$M213)&gt;0,
     COUNTIFS($V$3:$V$201,$M213)&gt;0,
     COUNTIFS($W$3:$W$201,$M213)&gt;0,
     COUNTIFS($X$3:$X$201,$M213)&gt;0,
     COUNTIFS($Y$3:$Y$201,$M213)&gt;0,
     COUNTIFS($Z$3:$Z$201,$M213)&gt;0,
     COUNTIFS($AA$3:$AA$201,$M213)&gt;0,
     COUNTIFS($AB$3:$AB$201,$M213)&gt;0,
     COUNTIFS($AC$3:$AC$201,$M213)&gt;0,
     COUNTIFS($AD$3:$AD$201,$M213)&gt;0,
     COUNTIFS($AE$3:$AE$201,$M213)&gt;0,
     COUNTIFS($AF$3:$AF$201,$M213)&gt;0,
     COUNTIFS($AG$3:$AG$201,$M213)&gt;0,
     COUNTIFS($AH$3:$AH$201,$M213)&gt;0,
     COUNTIFS($AI$3:$AI$201,$M213)&gt;0,
     COUNTIFS($AJ$3:$AJ$201,$M213)&gt;0,
     COUNTIFS($AK$3:$AK$201,$M213)&gt;0,
     COUNTIFS($AL$3:$AL$201,$M213)&gt;0,
     COUNTIFS($AM$3:$AM$201,$M213)&gt;0,
     COUNTIFS($AN$3:$AN$201,$M213)&gt;0,
     COUNTIFS($AO$3:$AO$201,$M213)&gt;0,
     COUNTIFS($AP$3:$AP$201,$M213)&gt;0,
     COUNTIFS($AQ$3:$AQ$201,$M213)&gt;0,
     COUNTIFS($AR$3:$AR$201,$M213)&gt;0,
     COUNTIFS($AS$3:$AS$201,$M213)&gt;0,
     COUNTIFS($AT$3:$AT$201,$M213)&gt;0,
     COUNTIFS($AU$3:$AU$201,$M213)&gt;0,
     COUNTIFS($AV$3:$AV$201,$M213)&gt;0,
     COUNTIFS($AW$3:$AW$201,$M213)&gt;0
   )),
  ),
  2
 ),
"")</f>
        <v/>
      </c>
      <c r="Q213" s="3" t="str" cm="1">
        <f t="array" aca="1" ref="Q213" ca="1">IFERROR(
 INDEX(
  _xlfn._xlws.FILTER($T$2:$AW$2,
   TRANSPOSE(
    CHOOSE({1;2;3;4;5;6;7;8;9;10;11;12;13;14;15;16;17;18;19;20;21;22;23;24;25;26;27;28;29;30},
     COUNTIFS($T$3:$T$201,$M213)&gt;0,
     COUNTIFS($U$3:$U$201,$M213)&gt;0,
     COUNTIFS($V$3:$V$201,$M213)&gt;0,
     COUNTIFS($W$3:$W$201,$M213)&gt;0,
     COUNTIFS($X$3:$X$201,$M213)&gt;0,
     COUNTIFS($Y$3:$Y$201,$M213)&gt;0,
     COUNTIFS($Z$3:$Z$201,$M213)&gt;0,
     COUNTIFS($AA$3:$AA$201,$M213)&gt;0,
     COUNTIFS($AB$3:$AB$201,$M213)&gt;0,
     COUNTIFS($AC$3:$AC$201,$M213)&gt;0,
     COUNTIFS($AD$3:$AD$201,$M213)&gt;0,
     COUNTIFS($AE$3:$AE$201,$M213)&gt;0,
     COUNTIFS($AF$3:$AF$201,$M213)&gt;0,
     COUNTIFS($AG$3:$AG$201,$M213)&gt;0,
     COUNTIFS($AH$3:$AH$201,$M213)&gt;0,
     COUNTIFS($AI$3:$AI$201,$M213)&gt;0,
     COUNTIFS($AJ$3:$AJ$201,$M213)&gt;0,
     COUNTIFS($AK$3:$AK$201,$M213)&gt;0,
     COUNTIFS($AL$3:$AL$201,$M213)&gt;0,
     COUNTIFS($AM$3:$AM$201,$M213)&gt;0,
     COUNTIFS($AN$3:$AN$201,$M213)&gt;0,
     COUNTIFS($AO$3:$AO$201,$M213)&gt;0,
     COUNTIFS($AP$3:$AP$201,$M213)&gt;0,
     COUNTIFS($AQ$3:$AQ$201,$M213)&gt;0,
     COUNTIFS($AR$3:$AR$201,$M213)&gt;0,
     COUNTIFS($AS$3:$AS$201,$M213)&gt;0,
     COUNTIFS($AT$3:$AT$201,$M213)&gt;0,
     COUNTIFS($AU$3:$AU$201,$M213)&gt;0,
     COUNTIFS($AV$3:$AV$201,$M213)&gt;0,
     COUNTIFS($AW$3:$AW$201,$M213)&gt;0
   )),
  ),
  3
 ),
"")</f>
        <v/>
      </c>
      <c r="R213" s="3" t="str" cm="1">
        <f t="array" aca="1" ref="R213" ca="1">IFERROR(
 INDEX(
  _xlfn._xlws.FILTER($T$2:$AW$2,
   TRANSPOSE(
    CHOOSE({1;2;3;4;5;6;7;8;9;10;11;12;13;14;15;16;17;18;19;20;21;22;23;24;25;26;27;28;29;30},
     COUNTIFS($T$3:$T$201,$M213)&gt;0,
     COUNTIFS($U$3:$U$201,$M213)&gt;0,
     COUNTIFS($V$3:$V$201,$M213)&gt;0,
     COUNTIFS($W$3:$W$201,$M213)&gt;0,
     COUNTIFS($X$3:$X$201,$M213)&gt;0,
     COUNTIFS($Y$3:$Y$201,$M213)&gt;0,
     COUNTIFS($Z$3:$Z$201,$M213)&gt;0,
     COUNTIFS($AA$3:$AA$201,$M213)&gt;0,
     COUNTIFS($AB$3:$AB$201,$M213)&gt;0,
     COUNTIFS($AC$3:$AC$201,$M213)&gt;0,
     COUNTIFS($AD$3:$AD$201,$M213)&gt;0,
     COUNTIFS($AE$3:$AE$201,$M213)&gt;0,
     COUNTIFS($AF$3:$AF$201,$M213)&gt;0,
     COUNTIFS($AG$3:$AG$201,$M213)&gt;0,
     COUNTIFS($AH$3:$AH$201,$M213)&gt;0,
     COUNTIFS($AI$3:$AI$201,$M213)&gt;0,
     COUNTIFS($AJ$3:$AJ$201,$M213)&gt;0,
     COUNTIFS($AK$3:$AK$201,$M213)&gt;0,
     COUNTIFS($AL$3:$AL$201,$M213)&gt;0,
     COUNTIFS($AM$3:$AM$201,$M213)&gt;0,
     COUNTIFS($AN$3:$AN$201,$M213)&gt;0,
     COUNTIFS($AO$3:$AO$201,$M213)&gt;0,
     COUNTIFS($AP$3:$AP$201,$M213)&gt;0,
     COUNTIFS($AQ$3:$AQ$201,$M213)&gt;0,
     COUNTIFS($AR$3:$AR$201,$M213)&gt;0,
     COUNTIFS($AS$3:$AS$201,$M213)&gt;0,
     COUNTIFS($AT$3:$AT$201,$M213)&gt;0,
     COUNTIFS($AU$3:$AU$201,$M213)&gt;0,
     COUNTIFS($AV$3:$AV$201,$M213)&gt;0,
     COUNTIFS($AW$3:$AW$201,$M213)&gt;0
   )),
  ),
  4
 ),
"")</f>
        <v/>
      </c>
      <c r="CI213" t="str">
        <f ca="1"/>
        <v>Saheeli, Artífice Sublime</v>
      </c>
    </row>
    <row r="214" spans="1:87" x14ac:dyDescent="0.25">
      <c r="A214" t="str">
        <f ca="1"/>
        <v>Reyhan, Last of the Abzan</v>
      </c>
      <c r="B214" s="3" t="str" cm="1">
        <f t="array" aca="1" ref="B214" ca="1">_xlfn.ANCHORARRAY(RESUMO!C213)</f>
        <v>Tayam</v>
      </c>
      <c r="C214" s="3" t="str">
        <f t="shared" ca="1" si="12"/>
        <v/>
      </c>
      <c r="E214" t="str">
        <f ca="1"/>
        <v>Saheeli, Filigree Master</v>
      </c>
      <c r="F214" s="3">
        <f t="shared" ca="1" si="13"/>
        <v>1</v>
      </c>
      <c r="G214" s="3" t="str">
        <f t="shared" ca="1" si="14"/>
        <v>Breya</v>
      </c>
      <c r="M214" t="str">
        <f ca="1"/>
        <v>Saheeli, Filigree Master</v>
      </c>
      <c r="N214" s="3">
        <f t="shared" ca="1" si="15"/>
        <v>1</v>
      </c>
      <c r="O214" s="3" t="str">
        <f ca="1">IFERROR(
 INDEX($T$2:$AW$2,
  MATCH(TRUE,
   CHOOSE({1;2;3;4;5;6;7;8;9;10;11;12;13;14;15;16;17;18;19;20;21;22;23;24;25;26;27;28;29;30;31;32},
    COUNTIFS($T$3:$T$201,$M214)&gt;0,
    COUNTIFS($U$3:$U$201,$M214)&gt;0,
    COUNTIFS($V$3:$V$201,$M214)&gt;0,
    COUNTIFS($W$3:$W$201,$M214)&gt;0,
    COUNTIFS($X$3:$X$201,$M214)&gt;0,
    COUNTIFS($Y$3:$Y$201,$M214)&gt;0,
    COUNTIFS($Z$3:$Z$201,$M214)&gt;0,
    COUNTIFS($AA$3:$AA$201,$M214)&gt;0,
    COUNTIFS($AB$3:$AB$201,$M214)&gt;0,
    COUNTIFS($AC$3:$AC$201,$M214)&gt;0,
    COUNTIFS($AD$3:$AD$201,$M214)&gt;0,
    COUNTIFS($AE$3:$AE$201,$M214)&gt;0,
    COUNTIFS($AF$3:$AF$201,$M214)&gt;0,
    COUNTIFS($AG$3:$AG$201,$M214)&gt;0,
    COUNTIFS($AH$3:$AH$201,$M214)&gt;0,
    COUNTIFS($AI$3:$AI$201,$M214)&gt;0,
    COUNTIFS($AJ$3:$AJ$201,$M214)&gt;0,
    COUNTIFS($AK$3:$AK$201,$M214)&gt;0,
    COUNTIFS($AL$3:$AL$201,$M214)&gt;0,
    COUNTIFS($AM$3:$AM$201,$M214)&gt;0,
    COUNTIFS($AN$3:$AN$201,$M214)&gt;0,
    COUNTIFS($AO$3:$AO$201,$M214)&gt;0,
    COUNTIFS($AP$3:$AP$201,$M214)&gt;0,
    COUNTIFS($AQ$3:$AQ$201,$M214)&gt;0,
    COUNTIFS($AR$3:$AR$201,$M214)&gt;0,
    COUNTIFS($AS$3:$AS$201,$M214)&gt;0,
    COUNTIFS($AT$3:$AT$201,$M214)&gt;0,
    COUNTIFS($AU$3:$AU$201,$M214)&gt;0,
    COUNTIFS($AV$3:$AV$201,$M214)&gt;0,
    COUNTIFS($AW$3:$AW$201,$M214)&gt;0
   ),
  0)
 ),
"")</f>
        <v>Breya</v>
      </c>
      <c r="P214" s="3" t="str" cm="1">
        <f t="array" aca="1" ref="P214" ca="1">IFERROR(
 INDEX(
  _xlfn._xlws.FILTER($T$2:$AW$2,
   TRANSPOSE(
    CHOOSE({1;2;3;4;5;6;7;8;9;10;11;12;13;14;15;16;17;18;19;20;21;22;23;24;25;26;27;28;29;30},
     COUNTIFS($T$3:$T$201,$M214)&gt;0,
     COUNTIFS($U$3:$U$201,$M214)&gt;0,
     COUNTIFS($V$3:$V$201,$M214)&gt;0,
     COUNTIFS($W$3:$W$201,$M214)&gt;0,
     COUNTIFS($X$3:$X$201,$M214)&gt;0,
     COUNTIFS($Y$3:$Y$201,$M214)&gt;0,
     COUNTIFS($Z$3:$Z$201,$M214)&gt;0,
     COUNTIFS($AA$3:$AA$201,$M214)&gt;0,
     COUNTIFS($AB$3:$AB$201,$M214)&gt;0,
     COUNTIFS($AC$3:$AC$201,$M214)&gt;0,
     COUNTIFS($AD$3:$AD$201,$M214)&gt;0,
     COUNTIFS($AE$3:$AE$201,$M214)&gt;0,
     COUNTIFS($AF$3:$AF$201,$M214)&gt;0,
     COUNTIFS($AG$3:$AG$201,$M214)&gt;0,
     COUNTIFS($AH$3:$AH$201,$M214)&gt;0,
     COUNTIFS($AI$3:$AI$201,$M214)&gt;0,
     COUNTIFS($AJ$3:$AJ$201,$M214)&gt;0,
     COUNTIFS($AK$3:$AK$201,$M214)&gt;0,
     COUNTIFS($AL$3:$AL$201,$M214)&gt;0,
     COUNTIFS($AM$3:$AM$201,$M214)&gt;0,
     COUNTIFS($AN$3:$AN$201,$M214)&gt;0,
     COUNTIFS($AO$3:$AO$201,$M214)&gt;0,
     COUNTIFS($AP$3:$AP$201,$M214)&gt;0,
     COUNTIFS($AQ$3:$AQ$201,$M214)&gt;0,
     COUNTIFS($AR$3:$AR$201,$M214)&gt;0,
     COUNTIFS($AS$3:$AS$201,$M214)&gt;0,
     COUNTIFS($AT$3:$AT$201,$M214)&gt;0,
     COUNTIFS($AU$3:$AU$201,$M214)&gt;0,
     COUNTIFS($AV$3:$AV$201,$M214)&gt;0,
     COUNTIFS($AW$3:$AW$201,$M214)&gt;0
   )),
  ),
  2
 ),
"")</f>
        <v/>
      </c>
      <c r="Q214" s="3" t="str" cm="1">
        <f t="array" aca="1" ref="Q214" ca="1">IFERROR(
 INDEX(
  _xlfn._xlws.FILTER($T$2:$AW$2,
   TRANSPOSE(
    CHOOSE({1;2;3;4;5;6;7;8;9;10;11;12;13;14;15;16;17;18;19;20;21;22;23;24;25;26;27;28;29;30},
     COUNTIFS($T$3:$T$201,$M214)&gt;0,
     COUNTIFS($U$3:$U$201,$M214)&gt;0,
     COUNTIFS($V$3:$V$201,$M214)&gt;0,
     COUNTIFS($W$3:$W$201,$M214)&gt;0,
     COUNTIFS($X$3:$X$201,$M214)&gt;0,
     COUNTIFS($Y$3:$Y$201,$M214)&gt;0,
     COUNTIFS($Z$3:$Z$201,$M214)&gt;0,
     COUNTIFS($AA$3:$AA$201,$M214)&gt;0,
     COUNTIFS($AB$3:$AB$201,$M214)&gt;0,
     COUNTIFS($AC$3:$AC$201,$M214)&gt;0,
     COUNTIFS($AD$3:$AD$201,$M214)&gt;0,
     COUNTIFS($AE$3:$AE$201,$M214)&gt;0,
     COUNTIFS($AF$3:$AF$201,$M214)&gt;0,
     COUNTIFS($AG$3:$AG$201,$M214)&gt;0,
     COUNTIFS($AH$3:$AH$201,$M214)&gt;0,
     COUNTIFS($AI$3:$AI$201,$M214)&gt;0,
     COUNTIFS($AJ$3:$AJ$201,$M214)&gt;0,
     COUNTIFS($AK$3:$AK$201,$M214)&gt;0,
     COUNTIFS($AL$3:$AL$201,$M214)&gt;0,
     COUNTIFS($AM$3:$AM$201,$M214)&gt;0,
     COUNTIFS($AN$3:$AN$201,$M214)&gt;0,
     COUNTIFS($AO$3:$AO$201,$M214)&gt;0,
     COUNTIFS($AP$3:$AP$201,$M214)&gt;0,
     COUNTIFS($AQ$3:$AQ$201,$M214)&gt;0,
     COUNTIFS($AR$3:$AR$201,$M214)&gt;0,
     COUNTIFS($AS$3:$AS$201,$M214)&gt;0,
     COUNTIFS($AT$3:$AT$201,$M214)&gt;0,
     COUNTIFS($AU$3:$AU$201,$M214)&gt;0,
     COUNTIFS($AV$3:$AV$201,$M214)&gt;0,
     COUNTIFS($AW$3:$AW$201,$M214)&gt;0
   )),
  ),
  3
 ),
"")</f>
        <v/>
      </c>
      <c r="R214" s="3" t="str" cm="1">
        <f t="array" aca="1" ref="R214" ca="1">IFERROR(
 INDEX(
  _xlfn._xlws.FILTER($T$2:$AW$2,
   TRANSPOSE(
    CHOOSE({1;2;3;4;5;6;7;8;9;10;11;12;13;14;15;16;17;18;19;20;21;22;23;24;25;26;27;28;29;30},
     COUNTIFS($T$3:$T$201,$M214)&gt;0,
     COUNTIFS($U$3:$U$201,$M214)&gt;0,
     COUNTIFS($V$3:$V$201,$M214)&gt;0,
     COUNTIFS($W$3:$W$201,$M214)&gt;0,
     COUNTIFS($X$3:$X$201,$M214)&gt;0,
     COUNTIFS($Y$3:$Y$201,$M214)&gt;0,
     COUNTIFS($Z$3:$Z$201,$M214)&gt;0,
     COUNTIFS($AA$3:$AA$201,$M214)&gt;0,
     COUNTIFS($AB$3:$AB$201,$M214)&gt;0,
     COUNTIFS($AC$3:$AC$201,$M214)&gt;0,
     COUNTIFS($AD$3:$AD$201,$M214)&gt;0,
     COUNTIFS($AE$3:$AE$201,$M214)&gt;0,
     COUNTIFS($AF$3:$AF$201,$M214)&gt;0,
     COUNTIFS($AG$3:$AG$201,$M214)&gt;0,
     COUNTIFS($AH$3:$AH$201,$M214)&gt;0,
     COUNTIFS($AI$3:$AI$201,$M214)&gt;0,
     COUNTIFS($AJ$3:$AJ$201,$M214)&gt;0,
     COUNTIFS($AK$3:$AK$201,$M214)&gt;0,
     COUNTIFS($AL$3:$AL$201,$M214)&gt;0,
     COUNTIFS($AM$3:$AM$201,$M214)&gt;0,
     COUNTIFS($AN$3:$AN$201,$M214)&gt;0,
     COUNTIFS($AO$3:$AO$201,$M214)&gt;0,
     COUNTIFS($AP$3:$AP$201,$M214)&gt;0,
     COUNTIFS($AQ$3:$AQ$201,$M214)&gt;0,
     COUNTIFS($AR$3:$AR$201,$M214)&gt;0,
     COUNTIFS($AS$3:$AS$201,$M214)&gt;0,
     COUNTIFS($AT$3:$AT$201,$M214)&gt;0,
     COUNTIFS($AU$3:$AU$201,$M214)&gt;0,
     COUNTIFS($AV$3:$AV$201,$M214)&gt;0,
     COUNTIFS($AW$3:$AW$201,$M214)&gt;0
   )),
  ),
  4
 ),
"")</f>
        <v/>
      </c>
      <c r="CI214" t="str">
        <f ca="1"/>
        <v>Saheeli, Filigree Master</v>
      </c>
    </row>
    <row r="215" spans="1:87" x14ac:dyDescent="0.25">
      <c r="A215" t="str">
        <f ca="1"/>
        <v>Rings of Brighthearth</v>
      </c>
      <c r="B215" s="3" t="str" cm="1">
        <f t="array" aca="1" ref="B215" ca="1">_xlfn.ANCHORARRAY(RESUMO!C214)</f>
        <v>Muzzio</v>
      </c>
      <c r="C215" s="3" t="str">
        <f t="shared" ca="1" si="12"/>
        <v/>
      </c>
      <c r="E215" t="str">
        <f ca="1"/>
        <v>Salvamento Macabro</v>
      </c>
      <c r="F215" s="3">
        <f t="shared" ca="1" si="13"/>
        <v>1</v>
      </c>
      <c r="G215" s="3" t="str">
        <f t="shared" ca="1" si="14"/>
        <v>Gritrog</v>
      </c>
      <c r="M215" t="str">
        <f ca="1"/>
        <v>Salvamento Macabro</v>
      </c>
      <c r="N215" s="3">
        <f t="shared" ca="1" si="15"/>
        <v>1</v>
      </c>
      <c r="O215" s="3" t="str">
        <f ca="1">IFERROR(
 INDEX($T$2:$AW$2,
  MATCH(TRUE,
   CHOOSE({1;2;3;4;5;6;7;8;9;10;11;12;13;14;15;16;17;18;19;20;21;22;23;24;25;26;27;28;29;30;31;32},
    COUNTIFS($T$3:$T$201,$M215)&gt;0,
    COUNTIFS($U$3:$U$201,$M215)&gt;0,
    COUNTIFS($V$3:$V$201,$M215)&gt;0,
    COUNTIFS($W$3:$W$201,$M215)&gt;0,
    COUNTIFS($X$3:$X$201,$M215)&gt;0,
    COUNTIFS($Y$3:$Y$201,$M215)&gt;0,
    COUNTIFS($Z$3:$Z$201,$M215)&gt;0,
    COUNTIFS($AA$3:$AA$201,$M215)&gt;0,
    COUNTIFS($AB$3:$AB$201,$M215)&gt;0,
    COUNTIFS($AC$3:$AC$201,$M215)&gt;0,
    COUNTIFS($AD$3:$AD$201,$M215)&gt;0,
    COUNTIFS($AE$3:$AE$201,$M215)&gt;0,
    COUNTIFS($AF$3:$AF$201,$M215)&gt;0,
    COUNTIFS($AG$3:$AG$201,$M215)&gt;0,
    COUNTIFS($AH$3:$AH$201,$M215)&gt;0,
    COUNTIFS($AI$3:$AI$201,$M215)&gt;0,
    COUNTIFS($AJ$3:$AJ$201,$M215)&gt;0,
    COUNTIFS($AK$3:$AK$201,$M215)&gt;0,
    COUNTIFS($AL$3:$AL$201,$M215)&gt;0,
    COUNTIFS($AM$3:$AM$201,$M215)&gt;0,
    COUNTIFS($AN$3:$AN$201,$M215)&gt;0,
    COUNTIFS($AO$3:$AO$201,$M215)&gt;0,
    COUNTIFS($AP$3:$AP$201,$M215)&gt;0,
    COUNTIFS($AQ$3:$AQ$201,$M215)&gt;0,
    COUNTIFS($AR$3:$AR$201,$M215)&gt;0,
    COUNTIFS($AS$3:$AS$201,$M215)&gt;0,
    COUNTIFS($AT$3:$AT$201,$M215)&gt;0,
    COUNTIFS($AU$3:$AU$201,$M215)&gt;0,
    COUNTIFS($AV$3:$AV$201,$M215)&gt;0,
    COUNTIFS($AW$3:$AW$201,$M215)&gt;0
   ),
  0)
 ),
"")</f>
        <v>Gritrog</v>
      </c>
      <c r="P215" s="3" t="str" cm="1">
        <f t="array" aca="1" ref="P215" ca="1">IFERROR(
 INDEX(
  _xlfn._xlws.FILTER($T$2:$AW$2,
   TRANSPOSE(
    CHOOSE({1;2;3;4;5;6;7;8;9;10;11;12;13;14;15;16;17;18;19;20;21;22;23;24;25;26;27;28;29;30},
     COUNTIFS($T$3:$T$201,$M215)&gt;0,
     COUNTIFS($U$3:$U$201,$M215)&gt;0,
     COUNTIFS($V$3:$V$201,$M215)&gt;0,
     COUNTIFS($W$3:$W$201,$M215)&gt;0,
     COUNTIFS($X$3:$X$201,$M215)&gt;0,
     COUNTIFS($Y$3:$Y$201,$M215)&gt;0,
     COUNTIFS($Z$3:$Z$201,$M215)&gt;0,
     COUNTIFS($AA$3:$AA$201,$M215)&gt;0,
     COUNTIFS($AB$3:$AB$201,$M215)&gt;0,
     COUNTIFS($AC$3:$AC$201,$M215)&gt;0,
     COUNTIFS($AD$3:$AD$201,$M215)&gt;0,
     COUNTIFS($AE$3:$AE$201,$M215)&gt;0,
     COUNTIFS($AF$3:$AF$201,$M215)&gt;0,
     COUNTIFS($AG$3:$AG$201,$M215)&gt;0,
     COUNTIFS($AH$3:$AH$201,$M215)&gt;0,
     COUNTIFS($AI$3:$AI$201,$M215)&gt;0,
     COUNTIFS($AJ$3:$AJ$201,$M215)&gt;0,
     COUNTIFS($AK$3:$AK$201,$M215)&gt;0,
     COUNTIFS($AL$3:$AL$201,$M215)&gt;0,
     COUNTIFS($AM$3:$AM$201,$M215)&gt;0,
     COUNTIFS($AN$3:$AN$201,$M215)&gt;0,
     COUNTIFS($AO$3:$AO$201,$M215)&gt;0,
     COUNTIFS($AP$3:$AP$201,$M215)&gt;0,
     COUNTIFS($AQ$3:$AQ$201,$M215)&gt;0,
     COUNTIFS($AR$3:$AR$201,$M215)&gt;0,
     COUNTIFS($AS$3:$AS$201,$M215)&gt;0,
     COUNTIFS($AT$3:$AT$201,$M215)&gt;0,
     COUNTIFS($AU$3:$AU$201,$M215)&gt;0,
     COUNTIFS($AV$3:$AV$201,$M215)&gt;0,
     COUNTIFS($AW$3:$AW$201,$M215)&gt;0
   )),
  ),
  2
 ),
"")</f>
        <v/>
      </c>
      <c r="Q215" s="3" t="str" cm="1">
        <f t="array" aca="1" ref="Q215" ca="1">IFERROR(
 INDEX(
  _xlfn._xlws.FILTER($T$2:$AW$2,
   TRANSPOSE(
    CHOOSE({1;2;3;4;5;6;7;8;9;10;11;12;13;14;15;16;17;18;19;20;21;22;23;24;25;26;27;28;29;30},
     COUNTIFS($T$3:$T$201,$M215)&gt;0,
     COUNTIFS($U$3:$U$201,$M215)&gt;0,
     COUNTIFS($V$3:$V$201,$M215)&gt;0,
     COUNTIFS($W$3:$W$201,$M215)&gt;0,
     COUNTIFS($X$3:$X$201,$M215)&gt;0,
     COUNTIFS($Y$3:$Y$201,$M215)&gt;0,
     COUNTIFS($Z$3:$Z$201,$M215)&gt;0,
     COUNTIFS($AA$3:$AA$201,$M215)&gt;0,
     COUNTIFS($AB$3:$AB$201,$M215)&gt;0,
     COUNTIFS($AC$3:$AC$201,$M215)&gt;0,
     COUNTIFS($AD$3:$AD$201,$M215)&gt;0,
     COUNTIFS($AE$3:$AE$201,$M215)&gt;0,
     COUNTIFS($AF$3:$AF$201,$M215)&gt;0,
     COUNTIFS($AG$3:$AG$201,$M215)&gt;0,
     COUNTIFS($AH$3:$AH$201,$M215)&gt;0,
     COUNTIFS($AI$3:$AI$201,$M215)&gt;0,
     COUNTIFS($AJ$3:$AJ$201,$M215)&gt;0,
     COUNTIFS($AK$3:$AK$201,$M215)&gt;0,
     COUNTIFS($AL$3:$AL$201,$M215)&gt;0,
     COUNTIFS($AM$3:$AM$201,$M215)&gt;0,
     COUNTIFS($AN$3:$AN$201,$M215)&gt;0,
     COUNTIFS($AO$3:$AO$201,$M215)&gt;0,
     COUNTIFS($AP$3:$AP$201,$M215)&gt;0,
     COUNTIFS($AQ$3:$AQ$201,$M215)&gt;0,
     COUNTIFS($AR$3:$AR$201,$M215)&gt;0,
     COUNTIFS($AS$3:$AS$201,$M215)&gt;0,
     COUNTIFS($AT$3:$AT$201,$M215)&gt;0,
     COUNTIFS($AU$3:$AU$201,$M215)&gt;0,
     COUNTIFS($AV$3:$AV$201,$M215)&gt;0,
     COUNTIFS($AW$3:$AW$201,$M215)&gt;0
   )),
  ),
  3
 ),
"")</f>
        <v/>
      </c>
      <c r="R215" s="3" t="str" cm="1">
        <f t="array" aca="1" ref="R215" ca="1">IFERROR(
 INDEX(
  _xlfn._xlws.FILTER($T$2:$AW$2,
   TRANSPOSE(
    CHOOSE({1;2;3;4;5;6;7;8;9;10;11;12;13;14;15;16;17;18;19;20;21;22;23;24;25;26;27;28;29;30},
     COUNTIFS($T$3:$T$201,$M215)&gt;0,
     COUNTIFS($U$3:$U$201,$M215)&gt;0,
     COUNTIFS($V$3:$V$201,$M215)&gt;0,
     COUNTIFS($W$3:$W$201,$M215)&gt;0,
     COUNTIFS($X$3:$X$201,$M215)&gt;0,
     COUNTIFS($Y$3:$Y$201,$M215)&gt;0,
     COUNTIFS($Z$3:$Z$201,$M215)&gt;0,
     COUNTIFS($AA$3:$AA$201,$M215)&gt;0,
     COUNTIFS($AB$3:$AB$201,$M215)&gt;0,
     COUNTIFS($AC$3:$AC$201,$M215)&gt;0,
     COUNTIFS($AD$3:$AD$201,$M215)&gt;0,
     COUNTIFS($AE$3:$AE$201,$M215)&gt;0,
     COUNTIFS($AF$3:$AF$201,$M215)&gt;0,
     COUNTIFS($AG$3:$AG$201,$M215)&gt;0,
     COUNTIFS($AH$3:$AH$201,$M215)&gt;0,
     COUNTIFS($AI$3:$AI$201,$M215)&gt;0,
     COUNTIFS($AJ$3:$AJ$201,$M215)&gt;0,
     COUNTIFS($AK$3:$AK$201,$M215)&gt;0,
     COUNTIFS($AL$3:$AL$201,$M215)&gt;0,
     COUNTIFS($AM$3:$AM$201,$M215)&gt;0,
     COUNTIFS($AN$3:$AN$201,$M215)&gt;0,
     COUNTIFS($AO$3:$AO$201,$M215)&gt;0,
     COUNTIFS($AP$3:$AP$201,$M215)&gt;0,
     COUNTIFS($AQ$3:$AQ$201,$M215)&gt;0,
     COUNTIFS($AR$3:$AR$201,$M215)&gt;0,
     COUNTIFS($AS$3:$AS$201,$M215)&gt;0,
     COUNTIFS($AT$3:$AT$201,$M215)&gt;0,
     COUNTIFS($AU$3:$AU$201,$M215)&gt;0,
     COUNTIFS($AV$3:$AV$201,$M215)&gt;0,
     COUNTIFS($AW$3:$AW$201,$M215)&gt;0
   )),
  ),
  4
 ),
"")</f>
        <v/>
      </c>
      <c r="CI215" t="str">
        <f ca="1"/>
        <v>Salvamento Macabro</v>
      </c>
    </row>
    <row r="216" spans="1:87" x14ac:dyDescent="0.25">
      <c r="A216" t="str">
        <f ca="1"/>
        <v>Ripples of Potential</v>
      </c>
      <c r="B216" s="3" t="str" cm="1">
        <f t="array" aca="1" ref="B216" ca="1">_xlfn.ANCHORARRAY(RESUMO!C215)</f>
        <v>Sisay</v>
      </c>
      <c r="C216" s="3" t="str">
        <f t="shared" ca="1" si="12"/>
        <v/>
      </c>
      <c r="E216" t="str">
        <f ca="1"/>
        <v>Sanctuary Warden</v>
      </c>
      <c r="F216" s="3">
        <f t="shared" ca="1" si="13"/>
        <v>1</v>
      </c>
      <c r="G216" s="3" t="str">
        <f t="shared" ca="1" si="14"/>
        <v>Carlos</v>
      </c>
      <c r="M216" t="str">
        <f ca="1"/>
        <v>Sanctuary Warden</v>
      </c>
      <c r="N216" s="3">
        <f t="shared" ca="1" si="15"/>
        <v>1</v>
      </c>
      <c r="O216" s="3" t="str">
        <f ca="1">IFERROR(
 INDEX($T$2:$AW$2,
  MATCH(TRUE,
   CHOOSE({1;2;3;4;5;6;7;8;9;10;11;12;13;14;15;16;17;18;19;20;21;22;23;24;25;26;27;28;29;30;31;32},
    COUNTIFS($T$3:$T$201,$M216)&gt;0,
    COUNTIFS($U$3:$U$201,$M216)&gt;0,
    COUNTIFS($V$3:$V$201,$M216)&gt;0,
    COUNTIFS($W$3:$W$201,$M216)&gt;0,
    COUNTIFS($X$3:$X$201,$M216)&gt;0,
    COUNTIFS($Y$3:$Y$201,$M216)&gt;0,
    COUNTIFS($Z$3:$Z$201,$M216)&gt;0,
    COUNTIFS($AA$3:$AA$201,$M216)&gt;0,
    COUNTIFS($AB$3:$AB$201,$M216)&gt;0,
    COUNTIFS($AC$3:$AC$201,$M216)&gt;0,
    COUNTIFS($AD$3:$AD$201,$M216)&gt;0,
    COUNTIFS($AE$3:$AE$201,$M216)&gt;0,
    COUNTIFS($AF$3:$AF$201,$M216)&gt;0,
    COUNTIFS($AG$3:$AG$201,$M216)&gt;0,
    COUNTIFS($AH$3:$AH$201,$M216)&gt;0,
    COUNTIFS($AI$3:$AI$201,$M216)&gt;0,
    COUNTIFS($AJ$3:$AJ$201,$M216)&gt;0,
    COUNTIFS($AK$3:$AK$201,$M216)&gt;0,
    COUNTIFS($AL$3:$AL$201,$M216)&gt;0,
    COUNTIFS($AM$3:$AM$201,$M216)&gt;0,
    COUNTIFS($AN$3:$AN$201,$M216)&gt;0,
    COUNTIFS($AO$3:$AO$201,$M216)&gt;0,
    COUNTIFS($AP$3:$AP$201,$M216)&gt;0,
    COUNTIFS($AQ$3:$AQ$201,$M216)&gt;0,
    COUNTIFS($AR$3:$AR$201,$M216)&gt;0,
    COUNTIFS($AS$3:$AS$201,$M216)&gt;0,
    COUNTIFS($AT$3:$AT$201,$M216)&gt;0,
    COUNTIFS($AU$3:$AU$201,$M216)&gt;0,
    COUNTIFS($AV$3:$AV$201,$M216)&gt;0,
    COUNTIFS($AW$3:$AW$201,$M216)&gt;0
   ),
  0)
 ),
"")</f>
        <v>Carlos</v>
      </c>
      <c r="P216" s="3" t="str" cm="1">
        <f t="array" aca="1" ref="P216" ca="1">IFERROR(
 INDEX(
  _xlfn._xlws.FILTER($T$2:$AW$2,
   TRANSPOSE(
    CHOOSE({1;2;3;4;5;6;7;8;9;10;11;12;13;14;15;16;17;18;19;20;21;22;23;24;25;26;27;28;29;30},
     COUNTIFS($T$3:$T$201,$M216)&gt;0,
     COUNTIFS($U$3:$U$201,$M216)&gt;0,
     COUNTIFS($V$3:$V$201,$M216)&gt;0,
     COUNTIFS($W$3:$W$201,$M216)&gt;0,
     COUNTIFS($X$3:$X$201,$M216)&gt;0,
     COUNTIFS($Y$3:$Y$201,$M216)&gt;0,
     COUNTIFS($Z$3:$Z$201,$M216)&gt;0,
     COUNTIFS($AA$3:$AA$201,$M216)&gt;0,
     COUNTIFS($AB$3:$AB$201,$M216)&gt;0,
     COUNTIFS($AC$3:$AC$201,$M216)&gt;0,
     COUNTIFS($AD$3:$AD$201,$M216)&gt;0,
     COUNTIFS($AE$3:$AE$201,$M216)&gt;0,
     COUNTIFS($AF$3:$AF$201,$M216)&gt;0,
     COUNTIFS($AG$3:$AG$201,$M216)&gt;0,
     COUNTIFS($AH$3:$AH$201,$M216)&gt;0,
     COUNTIFS($AI$3:$AI$201,$M216)&gt;0,
     COUNTIFS($AJ$3:$AJ$201,$M216)&gt;0,
     COUNTIFS($AK$3:$AK$201,$M216)&gt;0,
     COUNTIFS($AL$3:$AL$201,$M216)&gt;0,
     COUNTIFS($AM$3:$AM$201,$M216)&gt;0,
     COUNTIFS($AN$3:$AN$201,$M216)&gt;0,
     COUNTIFS($AO$3:$AO$201,$M216)&gt;0,
     COUNTIFS($AP$3:$AP$201,$M216)&gt;0,
     COUNTIFS($AQ$3:$AQ$201,$M216)&gt;0,
     COUNTIFS($AR$3:$AR$201,$M216)&gt;0,
     COUNTIFS($AS$3:$AS$201,$M216)&gt;0,
     COUNTIFS($AT$3:$AT$201,$M216)&gt;0,
     COUNTIFS($AU$3:$AU$201,$M216)&gt;0,
     COUNTIFS($AV$3:$AV$201,$M216)&gt;0,
     COUNTIFS($AW$3:$AW$201,$M216)&gt;0
   )),
  ),
  2
 ),
"")</f>
        <v/>
      </c>
      <c r="Q216" s="3" t="str" cm="1">
        <f t="array" aca="1" ref="Q216" ca="1">IFERROR(
 INDEX(
  _xlfn._xlws.FILTER($T$2:$AW$2,
   TRANSPOSE(
    CHOOSE({1;2;3;4;5;6;7;8;9;10;11;12;13;14;15;16;17;18;19;20;21;22;23;24;25;26;27;28;29;30},
     COUNTIFS($T$3:$T$201,$M216)&gt;0,
     COUNTIFS($U$3:$U$201,$M216)&gt;0,
     COUNTIFS($V$3:$V$201,$M216)&gt;0,
     COUNTIFS($W$3:$W$201,$M216)&gt;0,
     COUNTIFS($X$3:$X$201,$M216)&gt;0,
     COUNTIFS($Y$3:$Y$201,$M216)&gt;0,
     COUNTIFS($Z$3:$Z$201,$M216)&gt;0,
     COUNTIFS($AA$3:$AA$201,$M216)&gt;0,
     COUNTIFS($AB$3:$AB$201,$M216)&gt;0,
     COUNTIFS($AC$3:$AC$201,$M216)&gt;0,
     COUNTIFS($AD$3:$AD$201,$M216)&gt;0,
     COUNTIFS($AE$3:$AE$201,$M216)&gt;0,
     COUNTIFS($AF$3:$AF$201,$M216)&gt;0,
     COUNTIFS($AG$3:$AG$201,$M216)&gt;0,
     COUNTIFS($AH$3:$AH$201,$M216)&gt;0,
     COUNTIFS($AI$3:$AI$201,$M216)&gt;0,
     COUNTIFS($AJ$3:$AJ$201,$M216)&gt;0,
     COUNTIFS($AK$3:$AK$201,$M216)&gt;0,
     COUNTIFS($AL$3:$AL$201,$M216)&gt;0,
     COUNTIFS($AM$3:$AM$201,$M216)&gt;0,
     COUNTIFS($AN$3:$AN$201,$M216)&gt;0,
     COUNTIFS($AO$3:$AO$201,$M216)&gt;0,
     COUNTIFS($AP$3:$AP$201,$M216)&gt;0,
     COUNTIFS($AQ$3:$AQ$201,$M216)&gt;0,
     COUNTIFS($AR$3:$AR$201,$M216)&gt;0,
     COUNTIFS($AS$3:$AS$201,$M216)&gt;0,
     COUNTIFS($AT$3:$AT$201,$M216)&gt;0,
     COUNTIFS($AU$3:$AU$201,$M216)&gt;0,
     COUNTIFS($AV$3:$AV$201,$M216)&gt;0,
     COUNTIFS($AW$3:$AW$201,$M216)&gt;0
   )),
  ),
  3
 ),
"")</f>
        <v/>
      </c>
      <c r="R216" s="3" t="str" cm="1">
        <f t="array" aca="1" ref="R216" ca="1">IFERROR(
 INDEX(
  _xlfn._xlws.FILTER($T$2:$AW$2,
   TRANSPOSE(
    CHOOSE({1;2;3;4;5;6;7;8;9;10;11;12;13;14;15;16;17;18;19;20;21;22;23;24;25;26;27;28;29;30},
     COUNTIFS($T$3:$T$201,$M216)&gt;0,
     COUNTIFS($U$3:$U$201,$M216)&gt;0,
     COUNTIFS($V$3:$V$201,$M216)&gt;0,
     COUNTIFS($W$3:$W$201,$M216)&gt;0,
     COUNTIFS($X$3:$X$201,$M216)&gt;0,
     COUNTIFS($Y$3:$Y$201,$M216)&gt;0,
     COUNTIFS($Z$3:$Z$201,$M216)&gt;0,
     COUNTIFS($AA$3:$AA$201,$M216)&gt;0,
     COUNTIFS($AB$3:$AB$201,$M216)&gt;0,
     COUNTIFS($AC$3:$AC$201,$M216)&gt;0,
     COUNTIFS($AD$3:$AD$201,$M216)&gt;0,
     COUNTIFS($AE$3:$AE$201,$M216)&gt;0,
     COUNTIFS($AF$3:$AF$201,$M216)&gt;0,
     COUNTIFS($AG$3:$AG$201,$M216)&gt;0,
     COUNTIFS($AH$3:$AH$201,$M216)&gt;0,
     COUNTIFS($AI$3:$AI$201,$M216)&gt;0,
     COUNTIFS($AJ$3:$AJ$201,$M216)&gt;0,
     COUNTIFS($AK$3:$AK$201,$M216)&gt;0,
     COUNTIFS($AL$3:$AL$201,$M216)&gt;0,
     COUNTIFS($AM$3:$AM$201,$M216)&gt;0,
     COUNTIFS($AN$3:$AN$201,$M216)&gt;0,
     COUNTIFS($AO$3:$AO$201,$M216)&gt;0,
     COUNTIFS($AP$3:$AP$201,$M216)&gt;0,
     COUNTIFS($AQ$3:$AQ$201,$M216)&gt;0,
     COUNTIFS($AR$3:$AR$201,$M216)&gt;0,
     COUNTIFS($AS$3:$AS$201,$M216)&gt;0,
     COUNTIFS($AT$3:$AT$201,$M216)&gt;0,
     COUNTIFS($AU$3:$AU$201,$M216)&gt;0,
     COUNTIFS($AV$3:$AV$201,$M216)&gt;0,
     COUNTIFS($AW$3:$AW$201,$M216)&gt;0
   )),
  ),
  4
 ),
"")</f>
        <v/>
      </c>
      <c r="CI216" t="str">
        <f ca="1"/>
        <v>Sanctuary Warden</v>
      </c>
    </row>
    <row r="217" spans="1:87" x14ac:dyDescent="0.25">
      <c r="A217" t="str">
        <f ca="1"/>
        <v>Ripples of Undeath</v>
      </c>
      <c r="B217" s="3" t="str" cm="1">
        <f t="array" aca="1" ref="B217" ca="1">_xlfn.ANCHORARRAY(RESUMO!C216)</f>
        <v>Gritrog</v>
      </c>
      <c r="C217" s="3" t="str">
        <f t="shared" ca="1" si="12"/>
        <v/>
      </c>
      <c r="E217" t="str">
        <f ca="1"/>
        <v>Sanctum of Calm Waters</v>
      </c>
      <c r="F217" s="3">
        <f t="shared" ca="1" si="13"/>
        <v>1</v>
      </c>
      <c r="G217" s="3" t="str">
        <f t="shared" ca="1" si="14"/>
        <v>Narset</v>
      </c>
      <c r="M217" t="str">
        <f ca="1"/>
        <v>Sanctum of Calm Waters</v>
      </c>
      <c r="N217" s="3">
        <f t="shared" ca="1" si="15"/>
        <v>1</v>
      </c>
      <c r="O217" s="3" t="str">
        <f ca="1">IFERROR(
 INDEX($T$2:$AW$2,
  MATCH(TRUE,
   CHOOSE({1;2;3;4;5;6;7;8;9;10;11;12;13;14;15;16;17;18;19;20;21;22;23;24;25;26;27;28;29;30;31;32},
    COUNTIFS($T$3:$T$201,$M217)&gt;0,
    COUNTIFS($U$3:$U$201,$M217)&gt;0,
    COUNTIFS($V$3:$V$201,$M217)&gt;0,
    COUNTIFS($W$3:$W$201,$M217)&gt;0,
    COUNTIFS($X$3:$X$201,$M217)&gt;0,
    COUNTIFS($Y$3:$Y$201,$M217)&gt;0,
    COUNTIFS($Z$3:$Z$201,$M217)&gt;0,
    COUNTIFS($AA$3:$AA$201,$M217)&gt;0,
    COUNTIFS($AB$3:$AB$201,$M217)&gt;0,
    COUNTIFS($AC$3:$AC$201,$M217)&gt;0,
    COUNTIFS($AD$3:$AD$201,$M217)&gt;0,
    COUNTIFS($AE$3:$AE$201,$M217)&gt;0,
    COUNTIFS($AF$3:$AF$201,$M217)&gt;0,
    COUNTIFS($AG$3:$AG$201,$M217)&gt;0,
    COUNTIFS($AH$3:$AH$201,$M217)&gt;0,
    COUNTIFS($AI$3:$AI$201,$M217)&gt;0,
    COUNTIFS($AJ$3:$AJ$201,$M217)&gt;0,
    COUNTIFS($AK$3:$AK$201,$M217)&gt;0,
    COUNTIFS($AL$3:$AL$201,$M217)&gt;0,
    COUNTIFS($AM$3:$AM$201,$M217)&gt;0,
    COUNTIFS($AN$3:$AN$201,$M217)&gt;0,
    COUNTIFS($AO$3:$AO$201,$M217)&gt;0,
    COUNTIFS($AP$3:$AP$201,$M217)&gt;0,
    COUNTIFS($AQ$3:$AQ$201,$M217)&gt;0,
    COUNTIFS($AR$3:$AR$201,$M217)&gt;0,
    COUNTIFS($AS$3:$AS$201,$M217)&gt;0,
    COUNTIFS($AT$3:$AT$201,$M217)&gt;0,
    COUNTIFS($AU$3:$AU$201,$M217)&gt;0,
    COUNTIFS($AV$3:$AV$201,$M217)&gt;0,
    COUNTIFS($AW$3:$AW$201,$M217)&gt;0
   ),
  0)
 ),
"")</f>
        <v>Narset</v>
      </c>
      <c r="P217" s="3" t="str" cm="1">
        <f t="array" aca="1" ref="P217" ca="1">IFERROR(
 INDEX(
  _xlfn._xlws.FILTER($T$2:$AW$2,
   TRANSPOSE(
    CHOOSE({1;2;3;4;5;6;7;8;9;10;11;12;13;14;15;16;17;18;19;20;21;22;23;24;25;26;27;28;29;30},
     COUNTIFS($T$3:$T$201,$M217)&gt;0,
     COUNTIFS($U$3:$U$201,$M217)&gt;0,
     COUNTIFS($V$3:$V$201,$M217)&gt;0,
     COUNTIFS($W$3:$W$201,$M217)&gt;0,
     COUNTIFS($X$3:$X$201,$M217)&gt;0,
     COUNTIFS($Y$3:$Y$201,$M217)&gt;0,
     COUNTIFS($Z$3:$Z$201,$M217)&gt;0,
     COUNTIFS($AA$3:$AA$201,$M217)&gt;0,
     COUNTIFS($AB$3:$AB$201,$M217)&gt;0,
     COUNTIFS($AC$3:$AC$201,$M217)&gt;0,
     COUNTIFS($AD$3:$AD$201,$M217)&gt;0,
     COUNTIFS($AE$3:$AE$201,$M217)&gt;0,
     COUNTIFS($AF$3:$AF$201,$M217)&gt;0,
     COUNTIFS($AG$3:$AG$201,$M217)&gt;0,
     COUNTIFS($AH$3:$AH$201,$M217)&gt;0,
     COUNTIFS($AI$3:$AI$201,$M217)&gt;0,
     COUNTIFS($AJ$3:$AJ$201,$M217)&gt;0,
     COUNTIFS($AK$3:$AK$201,$M217)&gt;0,
     COUNTIFS($AL$3:$AL$201,$M217)&gt;0,
     COUNTIFS($AM$3:$AM$201,$M217)&gt;0,
     COUNTIFS($AN$3:$AN$201,$M217)&gt;0,
     COUNTIFS($AO$3:$AO$201,$M217)&gt;0,
     COUNTIFS($AP$3:$AP$201,$M217)&gt;0,
     COUNTIFS($AQ$3:$AQ$201,$M217)&gt;0,
     COUNTIFS($AR$3:$AR$201,$M217)&gt;0,
     COUNTIFS($AS$3:$AS$201,$M217)&gt;0,
     COUNTIFS($AT$3:$AT$201,$M217)&gt;0,
     COUNTIFS($AU$3:$AU$201,$M217)&gt;0,
     COUNTIFS($AV$3:$AV$201,$M217)&gt;0,
     COUNTIFS($AW$3:$AW$201,$M217)&gt;0
   )),
  ),
  2
 ),
"")</f>
        <v/>
      </c>
      <c r="Q217" s="3" t="str" cm="1">
        <f t="array" aca="1" ref="Q217" ca="1">IFERROR(
 INDEX(
  _xlfn._xlws.FILTER($T$2:$AW$2,
   TRANSPOSE(
    CHOOSE({1;2;3;4;5;6;7;8;9;10;11;12;13;14;15;16;17;18;19;20;21;22;23;24;25;26;27;28;29;30},
     COUNTIFS($T$3:$T$201,$M217)&gt;0,
     COUNTIFS($U$3:$U$201,$M217)&gt;0,
     COUNTIFS($V$3:$V$201,$M217)&gt;0,
     COUNTIFS($W$3:$W$201,$M217)&gt;0,
     COUNTIFS($X$3:$X$201,$M217)&gt;0,
     COUNTIFS($Y$3:$Y$201,$M217)&gt;0,
     COUNTIFS($Z$3:$Z$201,$M217)&gt;0,
     COUNTIFS($AA$3:$AA$201,$M217)&gt;0,
     COUNTIFS($AB$3:$AB$201,$M217)&gt;0,
     COUNTIFS($AC$3:$AC$201,$M217)&gt;0,
     COUNTIFS($AD$3:$AD$201,$M217)&gt;0,
     COUNTIFS($AE$3:$AE$201,$M217)&gt;0,
     COUNTIFS($AF$3:$AF$201,$M217)&gt;0,
     COUNTIFS($AG$3:$AG$201,$M217)&gt;0,
     COUNTIFS($AH$3:$AH$201,$M217)&gt;0,
     COUNTIFS($AI$3:$AI$201,$M217)&gt;0,
     COUNTIFS($AJ$3:$AJ$201,$M217)&gt;0,
     COUNTIFS($AK$3:$AK$201,$M217)&gt;0,
     COUNTIFS($AL$3:$AL$201,$M217)&gt;0,
     COUNTIFS($AM$3:$AM$201,$M217)&gt;0,
     COUNTIFS($AN$3:$AN$201,$M217)&gt;0,
     COUNTIFS($AO$3:$AO$201,$M217)&gt;0,
     COUNTIFS($AP$3:$AP$201,$M217)&gt;0,
     COUNTIFS($AQ$3:$AQ$201,$M217)&gt;0,
     COUNTIFS($AR$3:$AR$201,$M217)&gt;0,
     COUNTIFS($AS$3:$AS$201,$M217)&gt;0,
     COUNTIFS($AT$3:$AT$201,$M217)&gt;0,
     COUNTIFS($AU$3:$AU$201,$M217)&gt;0,
     COUNTIFS($AV$3:$AV$201,$M217)&gt;0,
     COUNTIFS($AW$3:$AW$201,$M217)&gt;0
   )),
  ),
  3
 ),
"")</f>
        <v/>
      </c>
      <c r="R217" s="3" t="str" cm="1">
        <f t="array" aca="1" ref="R217" ca="1">IFERROR(
 INDEX(
  _xlfn._xlws.FILTER($T$2:$AW$2,
   TRANSPOSE(
    CHOOSE({1;2;3;4;5;6;7;8;9;10;11;12;13;14;15;16;17;18;19;20;21;22;23;24;25;26;27;28;29;30},
     COUNTIFS($T$3:$T$201,$M217)&gt;0,
     COUNTIFS($U$3:$U$201,$M217)&gt;0,
     COUNTIFS($V$3:$V$201,$M217)&gt;0,
     COUNTIFS($W$3:$W$201,$M217)&gt;0,
     COUNTIFS($X$3:$X$201,$M217)&gt;0,
     COUNTIFS($Y$3:$Y$201,$M217)&gt;0,
     COUNTIFS($Z$3:$Z$201,$M217)&gt;0,
     COUNTIFS($AA$3:$AA$201,$M217)&gt;0,
     COUNTIFS($AB$3:$AB$201,$M217)&gt;0,
     COUNTIFS($AC$3:$AC$201,$M217)&gt;0,
     COUNTIFS($AD$3:$AD$201,$M217)&gt;0,
     COUNTIFS($AE$3:$AE$201,$M217)&gt;0,
     COUNTIFS($AF$3:$AF$201,$M217)&gt;0,
     COUNTIFS($AG$3:$AG$201,$M217)&gt;0,
     COUNTIFS($AH$3:$AH$201,$M217)&gt;0,
     COUNTIFS($AI$3:$AI$201,$M217)&gt;0,
     COUNTIFS($AJ$3:$AJ$201,$M217)&gt;0,
     COUNTIFS($AK$3:$AK$201,$M217)&gt;0,
     COUNTIFS($AL$3:$AL$201,$M217)&gt;0,
     COUNTIFS($AM$3:$AM$201,$M217)&gt;0,
     COUNTIFS($AN$3:$AN$201,$M217)&gt;0,
     COUNTIFS($AO$3:$AO$201,$M217)&gt;0,
     COUNTIFS($AP$3:$AP$201,$M217)&gt;0,
     COUNTIFS($AQ$3:$AQ$201,$M217)&gt;0,
     COUNTIFS($AR$3:$AR$201,$M217)&gt;0,
     COUNTIFS($AS$3:$AS$201,$M217)&gt;0,
     COUNTIFS($AT$3:$AT$201,$M217)&gt;0,
     COUNTIFS($AU$3:$AU$201,$M217)&gt;0,
     COUNTIFS($AV$3:$AV$201,$M217)&gt;0,
     COUNTIFS($AW$3:$AW$201,$M217)&gt;0
   )),
  ),
  4
 ),
"")</f>
        <v/>
      </c>
      <c r="CI217" t="str">
        <f ca="1"/>
        <v>Sanctum of Calm Waters</v>
      </c>
    </row>
    <row r="218" spans="1:87" x14ac:dyDescent="0.25">
      <c r="A218" t="str">
        <f ca="1"/>
        <v>Rise of the Eldrazi</v>
      </c>
      <c r="B218" s="3" t="str" cm="1">
        <f t="array" aca="1" ref="B218" ca="1">_xlfn.ANCHORARRAY(RESUMO!C217)</f>
        <v>JhoiraB</v>
      </c>
      <c r="C218" s="3" t="str">
        <f t="shared" ca="1" si="12"/>
        <v/>
      </c>
      <c r="E218" t="str">
        <f ca="1"/>
        <v>Santuário dos Moldadores</v>
      </c>
      <c r="F218" s="3">
        <f t="shared" ca="1" si="13"/>
        <v>1</v>
      </c>
      <c r="G218" s="3" t="str">
        <f t="shared" ca="1" si="14"/>
        <v>Modular</v>
      </c>
      <c r="M218" t="str">
        <f ca="1"/>
        <v>Santuário dos Moldadores</v>
      </c>
      <c r="N218" s="3">
        <f t="shared" ca="1" si="15"/>
        <v>1</v>
      </c>
      <c r="O218" s="3" t="str">
        <f ca="1">IFERROR(
 INDEX($T$2:$AW$2,
  MATCH(TRUE,
   CHOOSE({1;2;3;4;5;6;7;8;9;10;11;12;13;14;15;16;17;18;19;20;21;22;23;24;25;26;27;28;29;30;31;32},
    COUNTIFS($T$3:$T$201,$M218)&gt;0,
    COUNTIFS($U$3:$U$201,$M218)&gt;0,
    COUNTIFS($V$3:$V$201,$M218)&gt;0,
    COUNTIFS($W$3:$W$201,$M218)&gt;0,
    COUNTIFS($X$3:$X$201,$M218)&gt;0,
    COUNTIFS($Y$3:$Y$201,$M218)&gt;0,
    COUNTIFS($Z$3:$Z$201,$M218)&gt;0,
    COUNTIFS($AA$3:$AA$201,$M218)&gt;0,
    COUNTIFS($AB$3:$AB$201,$M218)&gt;0,
    COUNTIFS($AC$3:$AC$201,$M218)&gt;0,
    COUNTIFS($AD$3:$AD$201,$M218)&gt;0,
    COUNTIFS($AE$3:$AE$201,$M218)&gt;0,
    COUNTIFS($AF$3:$AF$201,$M218)&gt;0,
    COUNTIFS($AG$3:$AG$201,$M218)&gt;0,
    COUNTIFS($AH$3:$AH$201,$M218)&gt;0,
    COUNTIFS($AI$3:$AI$201,$M218)&gt;0,
    COUNTIFS($AJ$3:$AJ$201,$M218)&gt;0,
    COUNTIFS($AK$3:$AK$201,$M218)&gt;0,
    COUNTIFS($AL$3:$AL$201,$M218)&gt;0,
    COUNTIFS($AM$3:$AM$201,$M218)&gt;0,
    COUNTIFS($AN$3:$AN$201,$M218)&gt;0,
    COUNTIFS($AO$3:$AO$201,$M218)&gt;0,
    COUNTIFS($AP$3:$AP$201,$M218)&gt;0,
    COUNTIFS($AQ$3:$AQ$201,$M218)&gt;0,
    COUNTIFS($AR$3:$AR$201,$M218)&gt;0,
    COUNTIFS($AS$3:$AS$201,$M218)&gt;0,
    COUNTIFS($AT$3:$AT$201,$M218)&gt;0,
    COUNTIFS($AU$3:$AU$201,$M218)&gt;0,
    COUNTIFS($AV$3:$AV$201,$M218)&gt;0,
    COUNTIFS($AW$3:$AW$201,$M218)&gt;0
   ),
  0)
 ),
"")</f>
        <v>Modular</v>
      </c>
      <c r="P218" s="3" t="str" cm="1">
        <f t="array" aca="1" ref="P218" ca="1">IFERROR(
 INDEX(
  _xlfn._xlws.FILTER($T$2:$AW$2,
   TRANSPOSE(
    CHOOSE({1;2;3;4;5;6;7;8;9;10;11;12;13;14;15;16;17;18;19;20;21;22;23;24;25;26;27;28;29;30},
     COUNTIFS($T$3:$T$201,$M218)&gt;0,
     COUNTIFS($U$3:$U$201,$M218)&gt;0,
     COUNTIFS($V$3:$V$201,$M218)&gt;0,
     COUNTIFS($W$3:$W$201,$M218)&gt;0,
     COUNTIFS($X$3:$X$201,$M218)&gt;0,
     COUNTIFS($Y$3:$Y$201,$M218)&gt;0,
     COUNTIFS($Z$3:$Z$201,$M218)&gt;0,
     COUNTIFS($AA$3:$AA$201,$M218)&gt;0,
     COUNTIFS($AB$3:$AB$201,$M218)&gt;0,
     COUNTIFS($AC$3:$AC$201,$M218)&gt;0,
     COUNTIFS($AD$3:$AD$201,$M218)&gt;0,
     COUNTIFS($AE$3:$AE$201,$M218)&gt;0,
     COUNTIFS($AF$3:$AF$201,$M218)&gt;0,
     COUNTIFS($AG$3:$AG$201,$M218)&gt;0,
     COUNTIFS($AH$3:$AH$201,$M218)&gt;0,
     COUNTIFS($AI$3:$AI$201,$M218)&gt;0,
     COUNTIFS($AJ$3:$AJ$201,$M218)&gt;0,
     COUNTIFS($AK$3:$AK$201,$M218)&gt;0,
     COUNTIFS($AL$3:$AL$201,$M218)&gt;0,
     COUNTIFS($AM$3:$AM$201,$M218)&gt;0,
     COUNTIFS($AN$3:$AN$201,$M218)&gt;0,
     COUNTIFS($AO$3:$AO$201,$M218)&gt;0,
     COUNTIFS($AP$3:$AP$201,$M218)&gt;0,
     COUNTIFS($AQ$3:$AQ$201,$M218)&gt;0,
     COUNTIFS($AR$3:$AR$201,$M218)&gt;0,
     COUNTIFS($AS$3:$AS$201,$M218)&gt;0,
     COUNTIFS($AT$3:$AT$201,$M218)&gt;0,
     COUNTIFS($AU$3:$AU$201,$M218)&gt;0,
     COUNTIFS($AV$3:$AV$201,$M218)&gt;0,
     COUNTIFS($AW$3:$AW$201,$M218)&gt;0
   )),
  ),
  2
 ),
"")</f>
        <v/>
      </c>
      <c r="Q218" s="3" t="str" cm="1">
        <f t="array" aca="1" ref="Q218" ca="1">IFERROR(
 INDEX(
  _xlfn._xlws.FILTER($T$2:$AW$2,
   TRANSPOSE(
    CHOOSE({1;2;3;4;5;6;7;8;9;10;11;12;13;14;15;16;17;18;19;20;21;22;23;24;25;26;27;28;29;30},
     COUNTIFS($T$3:$T$201,$M218)&gt;0,
     COUNTIFS($U$3:$U$201,$M218)&gt;0,
     COUNTIFS($V$3:$V$201,$M218)&gt;0,
     COUNTIFS($W$3:$W$201,$M218)&gt;0,
     COUNTIFS($X$3:$X$201,$M218)&gt;0,
     COUNTIFS($Y$3:$Y$201,$M218)&gt;0,
     COUNTIFS($Z$3:$Z$201,$M218)&gt;0,
     COUNTIFS($AA$3:$AA$201,$M218)&gt;0,
     COUNTIFS($AB$3:$AB$201,$M218)&gt;0,
     COUNTIFS($AC$3:$AC$201,$M218)&gt;0,
     COUNTIFS($AD$3:$AD$201,$M218)&gt;0,
     COUNTIFS($AE$3:$AE$201,$M218)&gt;0,
     COUNTIFS($AF$3:$AF$201,$M218)&gt;0,
     COUNTIFS($AG$3:$AG$201,$M218)&gt;0,
     COUNTIFS($AH$3:$AH$201,$M218)&gt;0,
     COUNTIFS($AI$3:$AI$201,$M218)&gt;0,
     COUNTIFS($AJ$3:$AJ$201,$M218)&gt;0,
     COUNTIFS($AK$3:$AK$201,$M218)&gt;0,
     COUNTIFS($AL$3:$AL$201,$M218)&gt;0,
     COUNTIFS($AM$3:$AM$201,$M218)&gt;0,
     COUNTIFS($AN$3:$AN$201,$M218)&gt;0,
     COUNTIFS($AO$3:$AO$201,$M218)&gt;0,
     COUNTIFS($AP$3:$AP$201,$M218)&gt;0,
     COUNTIFS($AQ$3:$AQ$201,$M218)&gt;0,
     COUNTIFS($AR$3:$AR$201,$M218)&gt;0,
     COUNTIFS($AS$3:$AS$201,$M218)&gt;0,
     COUNTIFS($AT$3:$AT$201,$M218)&gt;0,
     COUNTIFS($AU$3:$AU$201,$M218)&gt;0,
     COUNTIFS($AV$3:$AV$201,$M218)&gt;0,
     COUNTIFS($AW$3:$AW$201,$M218)&gt;0
   )),
  ),
  3
 ),
"")</f>
        <v/>
      </c>
      <c r="R218" s="3" t="str" cm="1">
        <f t="array" aca="1" ref="R218" ca="1">IFERROR(
 INDEX(
  _xlfn._xlws.FILTER($T$2:$AW$2,
   TRANSPOSE(
    CHOOSE({1;2;3;4;5;6;7;8;9;10;11;12;13;14;15;16;17;18;19;20;21;22;23;24;25;26;27;28;29;30},
     COUNTIFS($T$3:$T$201,$M218)&gt;0,
     COUNTIFS($U$3:$U$201,$M218)&gt;0,
     COUNTIFS($V$3:$V$201,$M218)&gt;0,
     COUNTIFS($W$3:$W$201,$M218)&gt;0,
     COUNTIFS($X$3:$X$201,$M218)&gt;0,
     COUNTIFS($Y$3:$Y$201,$M218)&gt;0,
     COUNTIFS($Z$3:$Z$201,$M218)&gt;0,
     COUNTIFS($AA$3:$AA$201,$M218)&gt;0,
     COUNTIFS($AB$3:$AB$201,$M218)&gt;0,
     COUNTIFS($AC$3:$AC$201,$M218)&gt;0,
     COUNTIFS($AD$3:$AD$201,$M218)&gt;0,
     COUNTIFS($AE$3:$AE$201,$M218)&gt;0,
     COUNTIFS($AF$3:$AF$201,$M218)&gt;0,
     COUNTIFS($AG$3:$AG$201,$M218)&gt;0,
     COUNTIFS($AH$3:$AH$201,$M218)&gt;0,
     COUNTIFS($AI$3:$AI$201,$M218)&gt;0,
     COUNTIFS($AJ$3:$AJ$201,$M218)&gt;0,
     COUNTIFS($AK$3:$AK$201,$M218)&gt;0,
     COUNTIFS($AL$3:$AL$201,$M218)&gt;0,
     COUNTIFS($AM$3:$AM$201,$M218)&gt;0,
     COUNTIFS($AN$3:$AN$201,$M218)&gt;0,
     COUNTIFS($AO$3:$AO$201,$M218)&gt;0,
     COUNTIFS($AP$3:$AP$201,$M218)&gt;0,
     COUNTIFS($AQ$3:$AQ$201,$M218)&gt;0,
     COUNTIFS($AR$3:$AR$201,$M218)&gt;0,
     COUNTIFS($AS$3:$AS$201,$M218)&gt;0,
     COUNTIFS($AT$3:$AT$201,$M218)&gt;0,
     COUNTIFS($AU$3:$AU$201,$M218)&gt;0,
     COUNTIFS($AV$3:$AV$201,$M218)&gt;0,
     COUNTIFS($AW$3:$AW$201,$M218)&gt;0
   )),
  ),
  4
 ),
"")</f>
        <v/>
      </c>
      <c r="CI218" t="str">
        <f ca="1"/>
        <v>Santuário dos Moldadores</v>
      </c>
    </row>
    <row r="219" spans="1:87" x14ac:dyDescent="0.25">
      <c r="A219" t="str">
        <f ca="1"/>
        <v>Rogue's Passage</v>
      </c>
      <c r="B219" s="3" t="str" cm="1">
        <f t="array" aca="1" ref="B219" ca="1">_xlfn.ANCHORARRAY(RESUMO!C218)</f>
        <v>Baylen</v>
      </c>
      <c r="C219" s="3" t="str">
        <f t="shared" ca="1" si="12"/>
        <v/>
      </c>
      <c r="E219" t="str">
        <f ca="1"/>
        <v>Saqueador Saco-de-Carne</v>
      </c>
      <c r="F219" s="3">
        <f t="shared" ca="1" si="13"/>
        <v>1</v>
      </c>
      <c r="G219" s="3" t="str">
        <f t="shared" ca="1" si="14"/>
        <v>Tayam</v>
      </c>
      <c r="M219" t="str">
        <f ca="1"/>
        <v>Saqueador Saco-de-Carne</v>
      </c>
      <c r="N219" s="3">
        <f t="shared" ca="1" si="15"/>
        <v>1</v>
      </c>
      <c r="O219" s="3" t="str">
        <f ca="1">IFERROR(
 INDEX($T$2:$AW$2,
  MATCH(TRUE,
   CHOOSE({1;2;3;4;5;6;7;8;9;10;11;12;13;14;15;16;17;18;19;20;21;22;23;24;25;26;27;28;29;30;31;32},
    COUNTIFS($T$3:$T$201,$M219)&gt;0,
    COUNTIFS($U$3:$U$201,$M219)&gt;0,
    COUNTIFS($V$3:$V$201,$M219)&gt;0,
    COUNTIFS($W$3:$W$201,$M219)&gt;0,
    COUNTIFS($X$3:$X$201,$M219)&gt;0,
    COUNTIFS($Y$3:$Y$201,$M219)&gt;0,
    COUNTIFS($Z$3:$Z$201,$M219)&gt;0,
    COUNTIFS($AA$3:$AA$201,$M219)&gt;0,
    COUNTIFS($AB$3:$AB$201,$M219)&gt;0,
    COUNTIFS($AC$3:$AC$201,$M219)&gt;0,
    COUNTIFS($AD$3:$AD$201,$M219)&gt;0,
    COUNTIFS($AE$3:$AE$201,$M219)&gt;0,
    COUNTIFS($AF$3:$AF$201,$M219)&gt;0,
    COUNTIFS($AG$3:$AG$201,$M219)&gt;0,
    COUNTIFS($AH$3:$AH$201,$M219)&gt;0,
    COUNTIFS($AI$3:$AI$201,$M219)&gt;0,
    COUNTIFS($AJ$3:$AJ$201,$M219)&gt;0,
    COUNTIFS($AK$3:$AK$201,$M219)&gt;0,
    COUNTIFS($AL$3:$AL$201,$M219)&gt;0,
    COUNTIFS($AM$3:$AM$201,$M219)&gt;0,
    COUNTIFS($AN$3:$AN$201,$M219)&gt;0,
    COUNTIFS($AO$3:$AO$201,$M219)&gt;0,
    COUNTIFS($AP$3:$AP$201,$M219)&gt;0,
    COUNTIFS($AQ$3:$AQ$201,$M219)&gt;0,
    COUNTIFS($AR$3:$AR$201,$M219)&gt;0,
    COUNTIFS($AS$3:$AS$201,$M219)&gt;0,
    COUNTIFS($AT$3:$AT$201,$M219)&gt;0,
    COUNTIFS($AU$3:$AU$201,$M219)&gt;0,
    COUNTIFS($AV$3:$AV$201,$M219)&gt;0,
    COUNTIFS($AW$3:$AW$201,$M219)&gt;0
   ),
  0)
 ),
"")</f>
        <v>Tayam</v>
      </c>
      <c r="P219" s="3" t="str" cm="1">
        <f t="array" aca="1" ref="P219" ca="1">IFERROR(
 INDEX(
  _xlfn._xlws.FILTER($T$2:$AW$2,
   TRANSPOSE(
    CHOOSE({1;2;3;4;5;6;7;8;9;10;11;12;13;14;15;16;17;18;19;20;21;22;23;24;25;26;27;28;29;30},
     COUNTIFS($T$3:$T$201,$M219)&gt;0,
     COUNTIFS($U$3:$U$201,$M219)&gt;0,
     COUNTIFS($V$3:$V$201,$M219)&gt;0,
     COUNTIFS($W$3:$W$201,$M219)&gt;0,
     COUNTIFS($X$3:$X$201,$M219)&gt;0,
     COUNTIFS($Y$3:$Y$201,$M219)&gt;0,
     COUNTIFS($Z$3:$Z$201,$M219)&gt;0,
     COUNTIFS($AA$3:$AA$201,$M219)&gt;0,
     COUNTIFS($AB$3:$AB$201,$M219)&gt;0,
     COUNTIFS($AC$3:$AC$201,$M219)&gt;0,
     COUNTIFS($AD$3:$AD$201,$M219)&gt;0,
     COUNTIFS($AE$3:$AE$201,$M219)&gt;0,
     COUNTIFS($AF$3:$AF$201,$M219)&gt;0,
     COUNTIFS($AG$3:$AG$201,$M219)&gt;0,
     COUNTIFS($AH$3:$AH$201,$M219)&gt;0,
     COUNTIFS($AI$3:$AI$201,$M219)&gt;0,
     COUNTIFS($AJ$3:$AJ$201,$M219)&gt;0,
     COUNTIFS($AK$3:$AK$201,$M219)&gt;0,
     COUNTIFS($AL$3:$AL$201,$M219)&gt;0,
     COUNTIFS($AM$3:$AM$201,$M219)&gt;0,
     COUNTIFS($AN$3:$AN$201,$M219)&gt;0,
     COUNTIFS($AO$3:$AO$201,$M219)&gt;0,
     COUNTIFS($AP$3:$AP$201,$M219)&gt;0,
     COUNTIFS($AQ$3:$AQ$201,$M219)&gt;0,
     COUNTIFS($AR$3:$AR$201,$M219)&gt;0,
     COUNTIFS($AS$3:$AS$201,$M219)&gt;0,
     COUNTIFS($AT$3:$AT$201,$M219)&gt;0,
     COUNTIFS($AU$3:$AU$201,$M219)&gt;0,
     COUNTIFS($AV$3:$AV$201,$M219)&gt;0,
     COUNTIFS($AW$3:$AW$201,$M219)&gt;0
   )),
  ),
  2
 ),
"")</f>
        <v/>
      </c>
      <c r="Q219" s="3" t="str" cm="1">
        <f t="array" aca="1" ref="Q219" ca="1">IFERROR(
 INDEX(
  _xlfn._xlws.FILTER($T$2:$AW$2,
   TRANSPOSE(
    CHOOSE({1;2;3;4;5;6;7;8;9;10;11;12;13;14;15;16;17;18;19;20;21;22;23;24;25;26;27;28;29;30},
     COUNTIFS($T$3:$T$201,$M219)&gt;0,
     COUNTIFS($U$3:$U$201,$M219)&gt;0,
     COUNTIFS($V$3:$V$201,$M219)&gt;0,
     COUNTIFS($W$3:$W$201,$M219)&gt;0,
     COUNTIFS($X$3:$X$201,$M219)&gt;0,
     COUNTIFS($Y$3:$Y$201,$M219)&gt;0,
     COUNTIFS($Z$3:$Z$201,$M219)&gt;0,
     COUNTIFS($AA$3:$AA$201,$M219)&gt;0,
     COUNTIFS($AB$3:$AB$201,$M219)&gt;0,
     COUNTIFS($AC$3:$AC$201,$M219)&gt;0,
     COUNTIFS($AD$3:$AD$201,$M219)&gt;0,
     COUNTIFS($AE$3:$AE$201,$M219)&gt;0,
     COUNTIFS($AF$3:$AF$201,$M219)&gt;0,
     COUNTIFS($AG$3:$AG$201,$M219)&gt;0,
     COUNTIFS($AH$3:$AH$201,$M219)&gt;0,
     COUNTIFS($AI$3:$AI$201,$M219)&gt;0,
     COUNTIFS($AJ$3:$AJ$201,$M219)&gt;0,
     COUNTIFS($AK$3:$AK$201,$M219)&gt;0,
     COUNTIFS($AL$3:$AL$201,$M219)&gt;0,
     COUNTIFS($AM$3:$AM$201,$M219)&gt;0,
     COUNTIFS($AN$3:$AN$201,$M219)&gt;0,
     COUNTIFS($AO$3:$AO$201,$M219)&gt;0,
     COUNTIFS($AP$3:$AP$201,$M219)&gt;0,
     COUNTIFS($AQ$3:$AQ$201,$M219)&gt;0,
     COUNTIFS($AR$3:$AR$201,$M219)&gt;0,
     COUNTIFS($AS$3:$AS$201,$M219)&gt;0,
     COUNTIFS($AT$3:$AT$201,$M219)&gt;0,
     COUNTIFS($AU$3:$AU$201,$M219)&gt;0,
     COUNTIFS($AV$3:$AV$201,$M219)&gt;0,
     COUNTIFS($AW$3:$AW$201,$M219)&gt;0
   )),
  ),
  3
 ),
"")</f>
        <v/>
      </c>
      <c r="R219" s="3" t="str" cm="1">
        <f t="array" aca="1" ref="R219" ca="1">IFERROR(
 INDEX(
  _xlfn._xlws.FILTER($T$2:$AW$2,
   TRANSPOSE(
    CHOOSE({1;2;3;4;5;6;7;8;9;10;11;12;13;14;15;16;17;18;19;20;21;22;23;24;25;26;27;28;29;30},
     COUNTIFS($T$3:$T$201,$M219)&gt;0,
     COUNTIFS($U$3:$U$201,$M219)&gt;0,
     COUNTIFS($V$3:$V$201,$M219)&gt;0,
     COUNTIFS($W$3:$W$201,$M219)&gt;0,
     COUNTIFS($X$3:$X$201,$M219)&gt;0,
     COUNTIFS($Y$3:$Y$201,$M219)&gt;0,
     COUNTIFS($Z$3:$Z$201,$M219)&gt;0,
     COUNTIFS($AA$3:$AA$201,$M219)&gt;0,
     COUNTIFS($AB$3:$AB$201,$M219)&gt;0,
     COUNTIFS($AC$3:$AC$201,$M219)&gt;0,
     COUNTIFS($AD$3:$AD$201,$M219)&gt;0,
     COUNTIFS($AE$3:$AE$201,$M219)&gt;0,
     COUNTIFS($AF$3:$AF$201,$M219)&gt;0,
     COUNTIFS($AG$3:$AG$201,$M219)&gt;0,
     COUNTIFS($AH$3:$AH$201,$M219)&gt;0,
     COUNTIFS($AI$3:$AI$201,$M219)&gt;0,
     COUNTIFS($AJ$3:$AJ$201,$M219)&gt;0,
     COUNTIFS($AK$3:$AK$201,$M219)&gt;0,
     COUNTIFS($AL$3:$AL$201,$M219)&gt;0,
     COUNTIFS($AM$3:$AM$201,$M219)&gt;0,
     COUNTIFS($AN$3:$AN$201,$M219)&gt;0,
     COUNTIFS($AO$3:$AO$201,$M219)&gt;0,
     COUNTIFS($AP$3:$AP$201,$M219)&gt;0,
     COUNTIFS($AQ$3:$AQ$201,$M219)&gt;0,
     COUNTIFS($AR$3:$AR$201,$M219)&gt;0,
     COUNTIFS($AS$3:$AS$201,$M219)&gt;0,
     COUNTIFS($AT$3:$AT$201,$M219)&gt;0,
     COUNTIFS($AU$3:$AU$201,$M219)&gt;0,
     COUNTIFS($AV$3:$AV$201,$M219)&gt;0,
     COUNTIFS($AW$3:$AW$201,$M219)&gt;0
   )),
  ),
  4
 ),
"")</f>
        <v/>
      </c>
      <c r="CI219" t="str">
        <f ca="1"/>
        <v>Saqueador Saco-de-Carne</v>
      </c>
    </row>
    <row r="220" spans="1:87" x14ac:dyDescent="0.25">
      <c r="A220" t="str">
        <f ca="1"/>
        <v>Rotating Fireplace</v>
      </c>
      <c r="B220" s="3" t="str" cm="1">
        <f t="array" aca="1" ref="B220" ca="1">_xlfn.ANCHORARRAY(RESUMO!C219)</f>
        <v>JhoiraB</v>
      </c>
      <c r="C220" s="3" t="str">
        <f t="shared" ca="1" si="12"/>
        <v/>
      </c>
      <c r="E220" t="str">
        <f ca="1"/>
        <v>Savage Twister</v>
      </c>
      <c r="F220" s="3">
        <f t="shared" ca="1" si="13"/>
        <v>1</v>
      </c>
      <c r="G220" s="3" t="str">
        <f t="shared" ca="1" si="14"/>
        <v>Kresh</v>
      </c>
      <c r="M220" t="str">
        <f ca="1"/>
        <v>Savage Twister</v>
      </c>
      <c r="N220" s="3">
        <f t="shared" ca="1" si="15"/>
        <v>1</v>
      </c>
      <c r="O220" s="3" t="str">
        <f ca="1">IFERROR(
 INDEX($T$2:$AW$2,
  MATCH(TRUE,
   CHOOSE({1;2;3;4;5;6;7;8;9;10;11;12;13;14;15;16;17;18;19;20;21;22;23;24;25;26;27;28;29;30;31;32},
    COUNTIFS($T$3:$T$201,$M220)&gt;0,
    COUNTIFS($U$3:$U$201,$M220)&gt;0,
    COUNTIFS($V$3:$V$201,$M220)&gt;0,
    COUNTIFS($W$3:$W$201,$M220)&gt;0,
    COUNTIFS($X$3:$X$201,$M220)&gt;0,
    COUNTIFS($Y$3:$Y$201,$M220)&gt;0,
    COUNTIFS($Z$3:$Z$201,$M220)&gt;0,
    COUNTIFS($AA$3:$AA$201,$M220)&gt;0,
    COUNTIFS($AB$3:$AB$201,$M220)&gt;0,
    COUNTIFS($AC$3:$AC$201,$M220)&gt;0,
    COUNTIFS($AD$3:$AD$201,$M220)&gt;0,
    COUNTIFS($AE$3:$AE$201,$M220)&gt;0,
    COUNTIFS($AF$3:$AF$201,$M220)&gt;0,
    COUNTIFS($AG$3:$AG$201,$M220)&gt;0,
    COUNTIFS($AH$3:$AH$201,$M220)&gt;0,
    COUNTIFS($AI$3:$AI$201,$M220)&gt;0,
    COUNTIFS($AJ$3:$AJ$201,$M220)&gt;0,
    COUNTIFS($AK$3:$AK$201,$M220)&gt;0,
    COUNTIFS($AL$3:$AL$201,$M220)&gt;0,
    COUNTIFS($AM$3:$AM$201,$M220)&gt;0,
    COUNTIFS($AN$3:$AN$201,$M220)&gt;0,
    COUNTIFS($AO$3:$AO$201,$M220)&gt;0,
    COUNTIFS($AP$3:$AP$201,$M220)&gt;0,
    COUNTIFS($AQ$3:$AQ$201,$M220)&gt;0,
    COUNTIFS($AR$3:$AR$201,$M220)&gt;0,
    COUNTIFS($AS$3:$AS$201,$M220)&gt;0,
    COUNTIFS($AT$3:$AT$201,$M220)&gt;0,
    COUNTIFS($AU$3:$AU$201,$M220)&gt;0,
    COUNTIFS($AV$3:$AV$201,$M220)&gt;0,
    COUNTIFS($AW$3:$AW$201,$M220)&gt;0
   ),
  0)
 ),
"")</f>
        <v>Kresh</v>
      </c>
      <c r="P220" s="3" t="str" cm="1">
        <f t="array" aca="1" ref="P220" ca="1">IFERROR(
 INDEX(
  _xlfn._xlws.FILTER($T$2:$AW$2,
   TRANSPOSE(
    CHOOSE({1;2;3;4;5;6;7;8;9;10;11;12;13;14;15;16;17;18;19;20;21;22;23;24;25;26;27;28;29;30},
     COUNTIFS($T$3:$T$201,$M220)&gt;0,
     COUNTIFS($U$3:$U$201,$M220)&gt;0,
     COUNTIFS($V$3:$V$201,$M220)&gt;0,
     COUNTIFS($W$3:$W$201,$M220)&gt;0,
     COUNTIFS($X$3:$X$201,$M220)&gt;0,
     COUNTIFS($Y$3:$Y$201,$M220)&gt;0,
     COUNTIFS($Z$3:$Z$201,$M220)&gt;0,
     COUNTIFS($AA$3:$AA$201,$M220)&gt;0,
     COUNTIFS($AB$3:$AB$201,$M220)&gt;0,
     COUNTIFS($AC$3:$AC$201,$M220)&gt;0,
     COUNTIFS($AD$3:$AD$201,$M220)&gt;0,
     COUNTIFS($AE$3:$AE$201,$M220)&gt;0,
     COUNTIFS($AF$3:$AF$201,$M220)&gt;0,
     COUNTIFS($AG$3:$AG$201,$M220)&gt;0,
     COUNTIFS($AH$3:$AH$201,$M220)&gt;0,
     COUNTIFS($AI$3:$AI$201,$M220)&gt;0,
     COUNTIFS($AJ$3:$AJ$201,$M220)&gt;0,
     COUNTIFS($AK$3:$AK$201,$M220)&gt;0,
     COUNTIFS($AL$3:$AL$201,$M220)&gt;0,
     COUNTIFS($AM$3:$AM$201,$M220)&gt;0,
     COUNTIFS($AN$3:$AN$201,$M220)&gt;0,
     COUNTIFS($AO$3:$AO$201,$M220)&gt;0,
     COUNTIFS($AP$3:$AP$201,$M220)&gt;0,
     COUNTIFS($AQ$3:$AQ$201,$M220)&gt;0,
     COUNTIFS($AR$3:$AR$201,$M220)&gt;0,
     COUNTIFS($AS$3:$AS$201,$M220)&gt;0,
     COUNTIFS($AT$3:$AT$201,$M220)&gt;0,
     COUNTIFS($AU$3:$AU$201,$M220)&gt;0,
     COUNTIFS($AV$3:$AV$201,$M220)&gt;0,
     COUNTIFS($AW$3:$AW$201,$M220)&gt;0
   )),
  ),
  2
 ),
"")</f>
        <v/>
      </c>
      <c r="Q220" s="3" t="str" cm="1">
        <f t="array" aca="1" ref="Q220" ca="1">IFERROR(
 INDEX(
  _xlfn._xlws.FILTER($T$2:$AW$2,
   TRANSPOSE(
    CHOOSE({1;2;3;4;5;6;7;8;9;10;11;12;13;14;15;16;17;18;19;20;21;22;23;24;25;26;27;28;29;30},
     COUNTIFS($T$3:$T$201,$M220)&gt;0,
     COUNTIFS($U$3:$U$201,$M220)&gt;0,
     COUNTIFS($V$3:$V$201,$M220)&gt;0,
     COUNTIFS($W$3:$W$201,$M220)&gt;0,
     COUNTIFS($X$3:$X$201,$M220)&gt;0,
     COUNTIFS($Y$3:$Y$201,$M220)&gt;0,
     COUNTIFS($Z$3:$Z$201,$M220)&gt;0,
     COUNTIFS($AA$3:$AA$201,$M220)&gt;0,
     COUNTIFS($AB$3:$AB$201,$M220)&gt;0,
     COUNTIFS($AC$3:$AC$201,$M220)&gt;0,
     COUNTIFS($AD$3:$AD$201,$M220)&gt;0,
     COUNTIFS($AE$3:$AE$201,$M220)&gt;0,
     COUNTIFS($AF$3:$AF$201,$M220)&gt;0,
     COUNTIFS($AG$3:$AG$201,$M220)&gt;0,
     COUNTIFS($AH$3:$AH$201,$M220)&gt;0,
     COUNTIFS($AI$3:$AI$201,$M220)&gt;0,
     COUNTIFS($AJ$3:$AJ$201,$M220)&gt;0,
     COUNTIFS($AK$3:$AK$201,$M220)&gt;0,
     COUNTIFS($AL$3:$AL$201,$M220)&gt;0,
     COUNTIFS($AM$3:$AM$201,$M220)&gt;0,
     COUNTIFS($AN$3:$AN$201,$M220)&gt;0,
     COUNTIFS($AO$3:$AO$201,$M220)&gt;0,
     COUNTIFS($AP$3:$AP$201,$M220)&gt;0,
     COUNTIFS($AQ$3:$AQ$201,$M220)&gt;0,
     COUNTIFS($AR$3:$AR$201,$M220)&gt;0,
     COUNTIFS($AS$3:$AS$201,$M220)&gt;0,
     COUNTIFS($AT$3:$AT$201,$M220)&gt;0,
     COUNTIFS($AU$3:$AU$201,$M220)&gt;0,
     COUNTIFS($AV$3:$AV$201,$M220)&gt;0,
     COUNTIFS($AW$3:$AW$201,$M220)&gt;0
   )),
  ),
  3
 ),
"")</f>
        <v/>
      </c>
      <c r="R220" s="3" t="str" cm="1">
        <f t="array" aca="1" ref="R220" ca="1">IFERROR(
 INDEX(
  _xlfn._xlws.FILTER($T$2:$AW$2,
   TRANSPOSE(
    CHOOSE({1;2;3;4;5;6;7;8;9;10;11;12;13;14;15;16;17;18;19;20;21;22;23;24;25;26;27;28;29;30},
     COUNTIFS($T$3:$T$201,$M220)&gt;0,
     COUNTIFS($U$3:$U$201,$M220)&gt;0,
     COUNTIFS($V$3:$V$201,$M220)&gt;0,
     COUNTIFS($W$3:$W$201,$M220)&gt;0,
     COUNTIFS($X$3:$X$201,$M220)&gt;0,
     COUNTIFS($Y$3:$Y$201,$M220)&gt;0,
     COUNTIFS($Z$3:$Z$201,$M220)&gt;0,
     COUNTIFS($AA$3:$AA$201,$M220)&gt;0,
     COUNTIFS($AB$3:$AB$201,$M220)&gt;0,
     COUNTIFS($AC$3:$AC$201,$M220)&gt;0,
     COUNTIFS($AD$3:$AD$201,$M220)&gt;0,
     COUNTIFS($AE$3:$AE$201,$M220)&gt;0,
     COUNTIFS($AF$3:$AF$201,$M220)&gt;0,
     COUNTIFS($AG$3:$AG$201,$M220)&gt;0,
     COUNTIFS($AH$3:$AH$201,$M220)&gt;0,
     COUNTIFS($AI$3:$AI$201,$M220)&gt;0,
     COUNTIFS($AJ$3:$AJ$201,$M220)&gt;0,
     COUNTIFS($AK$3:$AK$201,$M220)&gt;0,
     COUNTIFS($AL$3:$AL$201,$M220)&gt;0,
     COUNTIFS($AM$3:$AM$201,$M220)&gt;0,
     COUNTIFS($AN$3:$AN$201,$M220)&gt;0,
     COUNTIFS($AO$3:$AO$201,$M220)&gt;0,
     COUNTIFS($AP$3:$AP$201,$M220)&gt;0,
     COUNTIFS($AQ$3:$AQ$201,$M220)&gt;0,
     COUNTIFS($AR$3:$AR$201,$M220)&gt;0,
     COUNTIFS($AS$3:$AS$201,$M220)&gt;0,
     COUNTIFS($AT$3:$AT$201,$M220)&gt;0,
     COUNTIFS($AU$3:$AU$201,$M220)&gt;0,
     COUNTIFS($AV$3:$AV$201,$M220)&gt;0,
     COUNTIFS($AW$3:$AW$201,$M220)&gt;0
   )),
  ),
  4
 ),
"")</f>
        <v/>
      </c>
      <c r="CI220" t="str">
        <f ca="1"/>
        <v>Savage Twister</v>
      </c>
    </row>
    <row r="221" spans="1:87" x14ac:dyDescent="0.25">
      <c r="A221" t="str">
        <f ca="1"/>
        <v>Rustvale Bridge</v>
      </c>
      <c r="B221" s="3" t="str" cm="1">
        <f t="array" aca="1" ref="B221" ca="1">_xlfn.ANCHORARRAY(RESUMO!C220)</f>
        <v>Modular</v>
      </c>
      <c r="C221" s="3" t="str">
        <f t="shared" ca="1" si="12"/>
        <v/>
      </c>
      <c r="E221" t="str">
        <f ca="1"/>
        <v>Scavenging Ooze</v>
      </c>
      <c r="F221" s="3">
        <f t="shared" ca="1" si="13"/>
        <v>2</v>
      </c>
      <c r="G221" s="3" t="str">
        <f t="shared" ca="1" si="14"/>
        <v>Baylen</v>
      </c>
      <c r="M221" t="str">
        <f ca="1"/>
        <v>Scavenging Ooze</v>
      </c>
      <c r="N221" s="3">
        <f t="shared" ca="1" si="15"/>
        <v>2</v>
      </c>
      <c r="O221" s="3" t="str">
        <f ca="1">IFERROR(
 INDEX($T$2:$AW$2,
  MATCH(TRUE,
   CHOOSE({1;2;3;4;5;6;7;8;9;10;11;12;13;14;15;16;17;18;19;20;21;22;23;24;25;26;27;28;29;30;31;32},
    COUNTIFS($T$3:$T$201,$M221)&gt;0,
    COUNTIFS($U$3:$U$201,$M221)&gt;0,
    COUNTIFS($V$3:$V$201,$M221)&gt;0,
    COUNTIFS($W$3:$W$201,$M221)&gt;0,
    COUNTIFS($X$3:$X$201,$M221)&gt;0,
    COUNTIFS($Y$3:$Y$201,$M221)&gt;0,
    COUNTIFS($Z$3:$Z$201,$M221)&gt;0,
    COUNTIFS($AA$3:$AA$201,$M221)&gt;0,
    COUNTIFS($AB$3:$AB$201,$M221)&gt;0,
    COUNTIFS($AC$3:$AC$201,$M221)&gt;0,
    COUNTIFS($AD$3:$AD$201,$M221)&gt;0,
    COUNTIFS($AE$3:$AE$201,$M221)&gt;0,
    COUNTIFS($AF$3:$AF$201,$M221)&gt;0,
    COUNTIFS($AG$3:$AG$201,$M221)&gt;0,
    COUNTIFS($AH$3:$AH$201,$M221)&gt;0,
    COUNTIFS($AI$3:$AI$201,$M221)&gt;0,
    COUNTIFS($AJ$3:$AJ$201,$M221)&gt;0,
    COUNTIFS($AK$3:$AK$201,$M221)&gt;0,
    COUNTIFS($AL$3:$AL$201,$M221)&gt;0,
    COUNTIFS($AM$3:$AM$201,$M221)&gt;0,
    COUNTIFS($AN$3:$AN$201,$M221)&gt;0,
    COUNTIFS($AO$3:$AO$201,$M221)&gt;0,
    COUNTIFS($AP$3:$AP$201,$M221)&gt;0,
    COUNTIFS($AQ$3:$AQ$201,$M221)&gt;0,
    COUNTIFS($AR$3:$AR$201,$M221)&gt;0,
    COUNTIFS($AS$3:$AS$201,$M221)&gt;0,
    COUNTIFS($AT$3:$AT$201,$M221)&gt;0,
    COUNTIFS($AU$3:$AU$201,$M221)&gt;0,
    COUNTIFS($AV$3:$AV$201,$M221)&gt;0,
    COUNTIFS($AW$3:$AW$201,$M221)&gt;0
   ),
  0)
 ),
"")</f>
        <v>Baylen</v>
      </c>
      <c r="P221" s="3" t="str" cm="1">
        <f t="array" aca="1" ref="P221" ca="1">IFERROR(
 INDEX(
  _xlfn._xlws.FILTER($T$2:$AW$2,
   TRANSPOSE(
    CHOOSE({1;2;3;4;5;6;7;8;9;10;11;12;13;14;15;16;17;18;19;20;21;22;23;24;25;26;27;28;29;30},
     COUNTIFS($T$3:$T$201,$M221)&gt;0,
     COUNTIFS($U$3:$U$201,$M221)&gt;0,
     COUNTIFS($V$3:$V$201,$M221)&gt;0,
     COUNTIFS($W$3:$W$201,$M221)&gt;0,
     COUNTIFS($X$3:$X$201,$M221)&gt;0,
     COUNTIFS($Y$3:$Y$201,$M221)&gt;0,
     COUNTIFS($Z$3:$Z$201,$M221)&gt;0,
     COUNTIFS($AA$3:$AA$201,$M221)&gt;0,
     COUNTIFS($AB$3:$AB$201,$M221)&gt;0,
     COUNTIFS($AC$3:$AC$201,$M221)&gt;0,
     COUNTIFS($AD$3:$AD$201,$M221)&gt;0,
     COUNTIFS($AE$3:$AE$201,$M221)&gt;0,
     COUNTIFS($AF$3:$AF$201,$M221)&gt;0,
     COUNTIFS($AG$3:$AG$201,$M221)&gt;0,
     COUNTIFS($AH$3:$AH$201,$M221)&gt;0,
     COUNTIFS($AI$3:$AI$201,$M221)&gt;0,
     COUNTIFS($AJ$3:$AJ$201,$M221)&gt;0,
     COUNTIFS($AK$3:$AK$201,$M221)&gt;0,
     COUNTIFS($AL$3:$AL$201,$M221)&gt;0,
     COUNTIFS($AM$3:$AM$201,$M221)&gt;0,
     COUNTIFS($AN$3:$AN$201,$M221)&gt;0,
     COUNTIFS($AO$3:$AO$201,$M221)&gt;0,
     COUNTIFS($AP$3:$AP$201,$M221)&gt;0,
     COUNTIFS($AQ$3:$AQ$201,$M221)&gt;0,
     COUNTIFS($AR$3:$AR$201,$M221)&gt;0,
     COUNTIFS($AS$3:$AS$201,$M221)&gt;0,
     COUNTIFS($AT$3:$AT$201,$M221)&gt;0,
     COUNTIFS($AU$3:$AU$201,$M221)&gt;0,
     COUNTIFS($AV$3:$AV$201,$M221)&gt;0,
     COUNTIFS($AW$3:$AW$201,$M221)&gt;0
   )),
  ),
  2
 ),
"")</f>
        <v>Kumena</v>
      </c>
      <c r="Q221" s="3" t="str" cm="1">
        <f t="array" aca="1" ref="Q221" ca="1">IFERROR(
 INDEX(
  _xlfn._xlws.FILTER($T$2:$AW$2,
   TRANSPOSE(
    CHOOSE({1;2;3;4;5;6;7;8;9;10;11;12;13;14;15;16;17;18;19;20;21;22;23;24;25;26;27;28;29;30},
     COUNTIFS($T$3:$T$201,$M221)&gt;0,
     COUNTIFS($U$3:$U$201,$M221)&gt;0,
     COUNTIFS($V$3:$V$201,$M221)&gt;0,
     COUNTIFS($W$3:$W$201,$M221)&gt;0,
     COUNTIFS($X$3:$X$201,$M221)&gt;0,
     COUNTIFS($Y$3:$Y$201,$M221)&gt;0,
     COUNTIFS($Z$3:$Z$201,$M221)&gt;0,
     COUNTIFS($AA$3:$AA$201,$M221)&gt;0,
     COUNTIFS($AB$3:$AB$201,$M221)&gt;0,
     COUNTIFS($AC$3:$AC$201,$M221)&gt;0,
     COUNTIFS($AD$3:$AD$201,$M221)&gt;0,
     COUNTIFS($AE$3:$AE$201,$M221)&gt;0,
     COUNTIFS($AF$3:$AF$201,$M221)&gt;0,
     COUNTIFS($AG$3:$AG$201,$M221)&gt;0,
     COUNTIFS($AH$3:$AH$201,$M221)&gt;0,
     COUNTIFS($AI$3:$AI$201,$M221)&gt;0,
     COUNTIFS($AJ$3:$AJ$201,$M221)&gt;0,
     COUNTIFS($AK$3:$AK$201,$M221)&gt;0,
     COUNTIFS($AL$3:$AL$201,$M221)&gt;0,
     COUNTIFS($AM$3:$AM$201,$M221)&gt;0,
     COUNTIFS($AN$3:$AN$201,$M221)&gt;0,
     COUNTIFS($AO$3:$AO$201,$M221)&gt;0,
     COUNTIFS($AP$3:$AP$201,$M221)&gt;0,
     COUNTIFS($AQ$3:$AQ$201,$M221)&gt;0,
     COUNTIFS($AR$3:$AR$201,$M221)&gt;0,
     COUNTIFS($AS$3:$AS$201,$M221)&gt;0,
     COUNTIFS($AT$3:$AT$201,$M221)&gt;0,
     COUNTIFS($AU$3:$AU$201,$M221)&gt;0,
     COUNTIFS($AV$3:$AV$201,$M221)&gt;0,
     COUNTIFS($AW$3:$AW$201,$M221)&gt;0
   )),
  ),
  3
 ),
"")</f>
        <v/>
      </c>
      <c r="R221" s="3" t="str" cm="1">
        <f t="array" aca="1" ref="R221" ca="1">IFERROR(
 INDEX(
  _xlfn._xlws.FILTER($T$2:$AW$2,
   TRANSPOSE(
    CHOOSE({1;2;3;4;5;6;7;8;9;10;11;12;13;14;15;16;17;18;19;20;21;22;23;24;25;26;27;28;29;30},
     COUNTIFS($T$3:$T$201,$M221)&gt;0,
     COUNTIFS($U$3:$U$201,$M221)&gt;0,
     COUNTIFS($V$3:$V$201,$M221)&gt;0,
     COUNTIFS($W$3:$W$201,$M221)&gt;0,
     COUNTIFS($X$3:$X$201,$M221)&gt;0,
     COUNTIFS($Y$3:$Y$201,$M221)&gt;0,
     COUNTIFS($Z$3:$Z$201,$M221)&gt;0,
     COUNTIFS($AA$3:$AA$201,$M221)&gt;0,
     COUNTIFS($AB$3:$AB$201,$M221)&gt;0,
     COUNTIFS($AC$3:$AC$201,$M221)&gt;0,
     COUNTIFS($AD$3:$AD$201,$M221)&gt;0,
     COUNTIFS($AE$3:$AE$201,$M221)&gt;0,
     COUNTIFS($AF$3:$AF$201,$M221)&gt;0,
     COUNTIFS($AG$3:$AG$201,$M221)&gt;0,
     COUNTIFS($AH$3:$AH$201,$M221)&gt;0,
     COUNTIFS($AI$3:$AI$201,$M221)&gt;0,
     COUNTIFS($AJ$3:$AJ$201,$M221)&gt;0,
     COUNTIFS($AK$3:$AK$201,$M221)&gt;0,
     COUNTIFS($AL$3:$AL$201,$M221)&gt;0,
     COUNTIFS($AM$3:$AM$201,$M221)&gt;0,
     COUNTIFS($AN$3:$AN$201,$M221)&gt;0,
     COUNTIFS($AO$3:$AO$201,$M221)&gt;0,
     COUNTIFS($AP$3:$AP$201,$M221)&gt;0,
     COUNTIFS($AQ$3:$AQ$201,$M221)&gt;0,
     COUNTIFS($AR$3:$AR$201,$M221)&gt;0,
     COUNTIFS($AS$3:$AS$201,$M221)&gt;0,
     COUNTIFS($AT$3:$AT$201,$M221)&gt;0,
     COUNTIFS($AU$3:$AU$201,$M221)&gt;0,
     COUNTIFS($AV$3:$AV$201,$M221)&gt;0,
     COUNTIFS($AW$3:$AW$201,$M221)&gt;0
   )),
  ),
  4
 ),
"")</f>
        <v/>
      </c>
      <c r="CI221" t="str">
        <f ca="1"/>
        <v>Scavenging Ooze</v>
      </c>
    </row>
    <row r="222" spans="1:87" x14ac:dyDescent="0.25">
      <c r="A222" t="str">
        <f ca="1"/>
        <v>Sacred Ground</v>
      </c>
      <c r="B222" s="3" t="str" cm="1">
        <f t="array" aca="1" ref="B222" ca="1">_xlfn.ANCHORARRAY(RESUMO!C221)</f>
        <v>Modular</v>
      </c>
      <c r="C222" s="3" t="str">
        <f t="shared" ca="1" si="12"/>
        <v/>
      </c>
      <c r="E222" t="str">
        <f ca="1"/>
        <v>Scute Mob</v>
      </c>
      <c r="F222" s="3">
        <f t="shared" ca="1" si="13"/>
        <v>1</v>
      </c>
      <c r="G222" s="3" t="str">
        <f t="shared" ca="1" si="14"/>
        <v>Tayam</v>
      </c>
      <c r="M222" t="str">
        <f ca="1"/>
        <v>Scute Mob</v>
      </c>
      <c r="N222" s="3">
        <f t="shared" ca="1" si="15"/>
        <v>1</v>
      </c>
      <c r="O222" s="3" t="str">
        <f ca="1">IFERROR(
 INDEX($T$2:$AW$2,
  MATCH(TRUE,
   CHOOSE({1;2;3;4;5;6;7;8;9;10;11;12;13;14;15;16;17;18;19;20;21;22;23;24;25;26;27;28;29;30;31;32},
    COUNTIFS($T$3:$T$201,$M222)&gt;0,
    COUNTIFS($U$3:$U$201,$M222)&gt;0,
    COUNTIFS($V$3:$V$201,$M222)&gt;0,
    COUNTIFS($W$3:$W$201,$M222)&gt;0,
    COUNTIFS($X$3:$X$201,$M222)&gt;0,
    COUNTIFS($Y$3:$Y$201,$M222)&gt;0,
    COUNTIFS($Z$3:$Z$201,$M222)&gt;0,
    COUNTIFS($AA$3:$AA$201,$M222)&gt;0,
    COUNTIFS($AB$3:$AB$201,$M222)&gt;0,
    COUNTIFS($AC$3:$AC$201,$M222)&gt;0,
    COUNTIFS($AD$3:$AD$201,$M222)&gt;0,
    COUNTIFS($AE$3:$AE$201,$M222)&gt;0,
    COUNTIFS($AF$3:$AF$201,$M222)&gt;0,
    COUNTIFS($AG$3:$AG$201,$M222)&gt;0,
    COUNTIFS($AH$3:$AH$201,$M222)&gt;0,
    COUNTIFS($AI$3:$AI$201,$M222)&gt;0,
    COUNTIFS($AJ$3:$AJ$201,$M222)&gt;0,
    COUNTIFS($AK$3:$AK$201,$M222)&gt;0,
    COUNTIFS($AL$3:$AL$201,$M222)&gt;0,
    COUNTIFS($AM$3:$AM$201,$M222)&gt;0,
    COUNTIFS($AN$3:$AN$201,$M222)&gt;0,
    COUNTIFS($AO$3:$AO$201,$M222)&gt;0,
    COUNTIFS($AP$3:$AP$201,$M222)&gt;0,
    COUNTIFS($AQ$3:$AQ$201,$M222)&gt;0,
    COUNTIFS($AR$3:$AR$201,$M222)&gt;0,
    COUNTIFS($AS$3:$AS$201,$M222)&gt;0,
    COUNTIFS($AT$3:$AT$201,$M222)&gt;0,
    COUNTIFS($AU$3:$AU$201,$M222)&gt;0,
    COUNTIFS($AV$3:$AV$201,$M222)&gt;0,
    COUNTIFS($AW$3:$AW$201,$M222)&gt;0
   ),
  0)
 ),
"")</f>
        <v>Tayam</v>
      </c>
      <c r="P222" s="3" t="str" cm="1">
        <f t="array" aca="1" ref="P222" ca="1">IFERROR(
 INDEX(
  _xlfn._xlws.FILTER($T$2:$AW$2,
   TRANSPOSE(
    CHOOSE({1;2;3;4;5;6;7;8;9;10;11;12;13;14;15;16;17;18;19;20;21;22;23;24;25;26;27;28;29;30},
     COUNTIFS($T$3:$T$201,$M222)&gt;0,
     COUNTIFS($U$3:$U$201,$M222)&gt;0,
     COUNTIFS($V$3:$V$201,$M222)&gt;0,
     COUNTIFS($W$3:$W$201,$M222)&gt;0,
     COUNTIFS($X$3:$X$201,$M222)&gt;0,
     COUNTIFS($Y$3:$Y$201,$M222)&gt;0,
     COUNTIFS($Z$3:$Z$201,$M222)&gt;0,
     COUNTIFS($AA$3:$AA$201,$M222)&gt;0,
     COUNTIFS($AB$3:$AB$201,$M222)&gt;0,
     COUNTIFS($AC$3:$AC$201,$M222)&gt;0,
     COUNTIFS($AD$3:$AD$201,$M222)&gt;0,
     COUNTIFS($AE$3:$AE$201,$M222)&gt;0,
     COUNTIFS($AF$3:$AF$201,$M222)&gt;0,
     COUNTIFS($AG$3:$AG$201,$M222)&gt;0,
     COUNTIFS($AH$3:$AH$201,$M222)&gt;0,
     COUNTIFS($AI$3:$AI$201,$M222)&gt;0,
     COUNTIFS($AJ$3:$AJ$201,$M222)&gt;0,
     COUNTIFS($AK$3:$AK$201,$M222)&gt;0,
     COUNTIFS($AL$3:$AL$201,$M222)&gt;0,
     COUNTIFS($AM$3:$AM$201,$M222)&gt;0,
     COUNTIFS($AN$3:$AN$201,$M222)&gt;0,
     COUNTIFS($AO$3:$AO$201,$M222)&gt;0,
     COUNTIFS($AP$3:$AP$201,$M222)&gt;0,
     COUNTIFS($AQ$3:$AQ$201,$M222)&gt;0,
     COUNTIFS($AR$3:$AR$201,$M222)&gt;0,
     COUNTIFS($AS$3:$AS$201,$M222)&gt;0,
     COUNTIFS($AT$3:$AT$201,$M222)&gt;0,
     COUNTIFS($AU$3:$AU$201,$M222)&gt;0,
     COUNTIFS($AV$3:$AV$201,$M222)&gt;0,
     COUNTIFS($AW$3:$AW$201,$M222)&gt;0
   )),
  ),
  2
 ),
"")</f>
        <v/>
      </c>
      <c r="Q222" s="3" t="str" cm="1">
        <f t="array" aca="1" ref="Q222" ca="1">IFERROR(
 INDEX(
  _xlfn._xlws.FILTER($T$2:$AW$2,
   TRANSPOSE(
    CHOOSE({1;2;3;4;5;6;7;8;9;10;11;12;13;14;15;16;17;18;19;20;21;22;23;24;25;26;27;28;29;30},
     COUNTIFS($T$3:$T$201,$M222)&gt;0,
     COUNTIFS($U$3:$U$201,$M222)&gt;0,
     COUNTIFS($V$3:$V$201,$M222)&gt;0,
     COUNTIFS($W$3:$W$201,$M222)&gt;0,
     COUNTIFS($X$3:$X$201,$M222)&gt;0,
     COUNTIFS($Y$3:$Y$201,$M222)&gt;0,
     COUNTIFS($Z$3:$Z$201,$M222)&gt;0,
     COUNTIFS($AA$3:$AA$201,$M222)&gt;0,
     COUNTIFS($AB$3:$AB$201,$M222)&gt;0,
     COUNTIFS($AC$3:$AC$201,$M222)&gt;0,
     COUNTIFS($AD$3:$AD$201,$M222)&gt;0,
     COUNTIFS($AE$3:$AE$201,$M222)&gt;0,
     COUNTIFS($AF$3:$AF$201,$M222)&gt;0,
     COUNTIFS($AG$3:$AG$201,$M222)&gt;0,
     COUNTIFS($AH$3:$AH$201,$M222)&gt;0,
     COUNTIFS($AI$3:$AI$201,$M222)&gt;0,
     COUNTIFS($AJ$3:$AJ$201,$M222)&gt;0,
     COUNTIFS($AK$3:$AK$201,$M222)&gt;0,
     COUNTIFS($AL$3:$AL$201,$M222)&gt;0,
     COUNTIFS($AM$3:$AM$201,$M222)&gt;0,
     COUNTIFS($AN$3:$AN$201,$M222)&gt;0,
     COUNTIFS($AO$3:$AO$201,$M222)&gt;0,
     COUNTIFS($AP$3:$AP$201,$M222)&gt;0,
     COUNTIFS($AQ$3:$AQ$201,$M222)&gt;0,
     COUNTIFS($AR$3:$AR$201,$M222)&gt;0,
     COUNTIFS($AS$3:$AS$201,$M222)&gt;0,
     COUNTIFS($AT$3:$AT$201,$M222)&gt;0,
     COUNTIFS($AU$3:$AU$201,$M222)&gt;0,
     COUNTIFS($AV$3:$AV$201,$M222)&gt;0,
     COUNTIFS($AW$3:$AW$201,$M222)&gt;0
   )),
  ),
  3
 ),
"")</f>
        <v/>
      </c>
      <c r="R222" s="3" t="str" cm="1">
        <f t="array" aca="1" ref="R222" ca="1">IFERROR(
 INDEX(
  _xlfn._xlws.FILTER($T$2:$AW$2,
   TRANSPOSE(
    CHOOSE({1;2;3;4;5;6;7;8;9;10;11;12;13;14;15;16;17;18;19;20;21;22;23;24;25;26;27;28;29;30},
     COUNTIFS($T$3:$T$201,$M222)&gt;0,
     COUNTIFS($U$3:$U$201,$M222)&gt;0,
     COUNTIFS($V$3:$V$201,$M222)&gt;0,
     COUNTIFS($W$3:$W$201,$M222)&gt;0,
     COUNTIFS($X$3:$X$201,$M222)&gt;0,
     COUNTIFS($Y$3:$Y$201,$M222)&gt;0,
     COUNTIFS($Z$3:$Z$201,$M222)&gt;0,
     COUNTIFS($AA$3:$AA$201,$M222)&gt;0,
     COUNTIFS($AB$3:$AB$201,$M222)&gt;0,
     COUNTIFS($AC$3:$AC$201,$M222)&gt;0,
     COUNTIFS($AD$3:$AD$201,$M222)&gt;0,
     COUNTIFS($AE$3:$AE$201,$M222)&gt;0,
     COUNTIFS($AF$3:$AF$201,$M222)&gt;0,
     COUNTIFS($AG$3:$AG$201,$M222)&gt;0,
     COUNTIFS($AH$3:$AH$201,$M222)&gt;0,
     COUNTIFS($AI$3:$AI$201,$M222)&gt;0,
     COUNTIFS($AJ$3:$AJ$201,$M222)&gt;0,
     COUNTIFS($AK$3:$AK$201,$M222)&gt;0,
     COUNTIFS($AL$3:$AL$201,$M222)&gt;0,
     COUNTIFS($AM$3:$AM$201,$M222)&gt;0,
     COUNTIFS($AN$3:$AN$201,$M222)&gt;0,
     COUNTIFS($AO$3:$AO$201,$M222)&gt;0,
     COUNTIFS($AP$3:$AP$201,$M222)&gt;0,
     COUNTIFS($AQ$3:$AQ$201,$M222)&gt;0,
     COUNTIFS($AR$3:$AR$201,$M222)&gt;0,
     COUNTIFS($AS$3:$AS$201,$M222)&gt;0,
     COUNTIFS($AT$3:$AT$201,$M222)&gt;0,
     COUNTIFS($AU$3:$AU$201,$M222)&gt;0,
     COUNTIFS($AV$3:$AV$201,$M222)&gt;0,
     COUNTIFS($AW$3:$AW$201,$M222)&gt;0
   )),
  ),
  4
 ),
"")</f>
        <v/>
      </c>
      <c r="CI222" t="str">
        <f ca="1"/>
        <v>Scute Mob</v>
      </c>
    </row>
    <row r="223" spans="1:87" x14ac:dyDescent="0.25">
      <c r="A223" t="str">
        <f ca="1"/>
        <v>Saqueador Amaldiçoado</v>
      </c>
      <c r="B223" s="3" t="str" cm="1">
        <f t="array" aca="1" ref="B223" ca="1">_xlfn.ANCHORARRAY(RESUMO!C222)</f>
        <v>Kresh</v>
      </c>
      <c r="C223" s="3" t="str">
        <f t="shared" ca="1" si="12"/>
        <v/>
      </c>
      <c r="E223" t="str">
        <f ca="1"/>
        <v>Seguro de Vida</v>
      </c>
      <c r="F223" s="3">
        <f t="shared" ca="1" si="13"/>
        <v>1</v>
      </c>
      <c r="G223" s="3" t="str">
        <f t="shared" ca="1" si="14"/>
        <v>Sisay</v>
      </c>
      <c r="M223" t="str">
        <f ca="1"/>
        <v>Seguro de Vida</v>
      </c>
      <c r="N223" s="3">
        <f t="shared" ca="1" si="15"/>
        <v>1</v>
      </c>
      <c r="O223" s="3" t="str">
        <f ca="1">IFERROR(
 INDEX($T$2:$AW$2,
  MATCH(TRUE,
   CHOOSE({1;2;3;4;5;6;7;8;9;10;11;12;13;14;15;16;17;18;19;20;21;22;23;24;25;26;27;28;29;30;31;32},
    COUNTIFS($T$3:$T$201,$M223)&gt;0,
    COUNTIFS($U$3:$U$201,$M223)&gt;0,
    COUNTIFS($V$3:$V$201,$M223)&gt;0,
    COUNTIFS($W$3:$W$201,$M223)&gt;0,
    COUNTIFS($X$3:$X$201,$M223)&gt;0,
    COUNTIFS($Y$3:$Y$201,$M223)&gt;0,
    COUNTIFS($Z$3:$Z$201,$M223)&gt;0,
    COUNTIFS($AA$3:$AA$201,$M223)&gt;0,
    COUNTIFS($AB$3:$AB$201,$M223)&gt;0,
    COUNTIFS($AC$3:$AC$201,$M223)&gt;0,
    COUNTIFS($AD$3:$AD$201,$M223)&gt;0,
    COUNTIFS($AE$3:$AE$201,$M223)&gt;0,
    COUNTIFS($AF$3:$AF$201,$M223)&gt;0,
    COUNTIFS($AG$3:$AG$201,$M223)&gt;0,
    COUNTIFS($AH$3:$AH$201,$M223)&gt;0,
    COUNTIFS($AI$3:$AI$201,$M223)&gt;0,
    COUNTIFS($AJ$3:$AJ$201,$M223)&gt;0,
    COUNTIFS($AK$3:$AK$201,$M223)&gt;0,
    COUNTIFS($AL$3:$AL$201,$M223)&gt;0,
    COUNTIFS($AM$3:$AM$201,$M223)&gt;0,
    COUNTIFS($AN$3:$AN$201,$M223)&gt;0,
    COUNTIFS($AO$3:$AO$201,$M223)&gt;0,
    COUNTIFS($AP$3:$AP$201,$M223)&gt;0,
    COUNTIFS($AQ$3:$AQ$201,$M223)&gt;0,
    COUNTIFS($AR$3:$AR$201,$M223)&gt;0,
    COUNTIFS($AS$3:$AS$201,$M223)&gt;0,
    COUNTIFS($AT$3:$AT$201,$M223)&gt;0,
    COUNTIFS($AU$3:$AU$201,$M223)&gt;0,
    COUNTIFS($AV$3:$AV$201,$M223)&gt;0,
    COUNTIFS($AW$3:$AW$201,$M223)&gt;0
   ),
  0)
 ),
"")</f>
        <v>Sisay</v>
      </c>
      <c r="P223" s="3" t="str" cm="1">
        <f t="array" aca="1" ref="P223" ca="1">IFERROR(
 INDEX(
  _xlfn._xlws.FILTER($T$2:$AW$2,
   TRANSPOSE(
    CHOOSE({1;2;3;4;5;6;7;8;9;10;11;12;13;14;15;16;17;18;19;20;21;22;23;24;25;26;27;28;29;30},
     COUNTIFS($T$3:$T$201,$M223)&gt;0,
     COUNTIFS($U$3:$U$201,$M223)&gt;0,
     COUNTIFS($V$3:$V$201,$M223)&gt;0,
     COUNTIFS($W$3:$W$201,$M223)&gt;0,
     COUNTIFS($X$3:$X$201,$M223)&gt;0,
     COUNTIFS($Y$3:$Y$201,$M223)&gt;0,
     COUNTIFS($Z$3:$Z$201,$M223)&gt;0,
     COUNTIFS($AA$3:$AA$201,$M223)&gt;0,
     COUNTIFS($AB$3:$AB$201,$M223)&gt;0,
     COUNTIFS($AC$3:$AC$201,$M223)&gt;0,
     COUNTIFS($AD$3:$AD$201,$M223)&gt;0,
     COUNTIFS($AE$3:$AE$201,$M223)&gt;0,
     COUNTIFS($AF$3:$AF$201,$M223)&gt;0,
     COUNTIFS($AG$3:$AG$201,$M223)&gt;0,
     COUNTIFS($AH$3:$AH$201,$M223)&gt;0,
     COUNTIFS($AI$3:$AI$201,$M223)&gt;0,
     COUNTIFS($AJ$3:$AJ$201,$M223)&gt;0,
     COUNTIFS($AK$3:$AK$201,$M223)&gt;0,
     COUNTIFS($AL$3:$AL$201,$M223)&gt;0,
     COUNTIFS($AM$3:$AM$201,$M223)&gt;0,
     COUNTIFS($AN$3:$AN$201,$M223)&gt;0,
     COUNTIFS($AO$3:$AO$201,$M223)&gt;0,
     COUNTIFS($AP$3:$AP$201,$M223)&gt;0,
     COUNTIFS($AQ$3:$AQ$201,$M223)&gt;0,
     COUNTIFS($AR$3:$AR$201,$M223)&gt;0,
     COUNTIFS($AS$3:$AS$201,$M223)&gt;0,
     COUNTIFS($AT$3:$AT$201,$M223)&gt;0,
     COUNTIFS($AU$3:$AU$201,$M223)&gt;0,
     COUNTIFS($AV$3:$AV$201,$M223)&gt;0,
     COUNTIFS($AW$3:$AW$201,$M223)&gt;0
   )),
  ),
  2
 ),
"")</f>
        <v/>
      </c>
      <c r="Q223" s="3" t="str" cm="1">
        <f t="array" aca="1" ref="Q223" ca="1">IFERROR(
 INDEX(
  _xlfn._xlws.FILTER($T$2:$AW$2,
   TRANSPOSE(
    CHOOSE({1;2;3;4;5;6;7;8;9;10;11;12;13;14;15;16;17;18;19;20;21;22;23;24;25;26;27;28;29;30},
     COUNTIFS($T$3:$T$201,$M223)&gt;0,
     COUNTIFS($U$3:$U$201,$M223)&gt;0,
     COUNTIFS($V$3:$V$201,$M223)&gt;0,
     COUNTIFS($W$3:$W$201,$M223)&gt;0,
     COUNTIFS($X$3:$X$201,$M223)&gt;0,
     COUNTIFS($Y$3:$Y$201,$M223)&gt;0,
     COUNTIFS($Z$3:$Z$201,$M223)&gt;0,
     COUNTIFS($AA$3:$AA$201,$M223)&gt;0,
     COUNTIFS($AB$3:$AB$201,$M223)&gt;0,
     COUNTIFS($AC$3:$AC$201,$M223)&gt;0,
     COUNTIFS($AD$3:$AD$201,$M223)&gt;0,
     COUNTIFS($AE$3:$AE$201,$M223)&gt;0,
     COUNTIFS($AF$3:$AF$201,$M223)&gt;0,
     COUNTIFS($AG$3:$AG$201,$M223)&gt;0,
     COUNTIFS($AH$3:$AH$201,$M223)&gt;0,
     COUNTIFS($AI$3:$AI$201,$M223)&gt;0,
     COUNTIFS($AJ$3:$AJ$201,$M223)&gt;0,
     COUNTIFS($AK$3:$AK$201,$M223)&gt;0,
     COUNTIFS($AL$3:$AL$201,$M223)&gt;0,
     COUNTIFS($AM$3:$AM$201,$M223)&gt;0,
     COUNTIFS($AN$3:$AN$201,$M223)&gt;0,
     COUNTIFS($AO$3:$AO$201,$M223)&gt;0,
     COUNTIFS($AP$3:$AP$201,$M223)&gt;0,
     COUNTIFS($AQ$3:$AQ$201,$M223)&gt;0,
     COUNTIFS($AR$3:$AR$201,$M223)&gt;0,
     COUNTIFS($AS$3:$AS$201,$M223)&gt;0,
     COUNTIFS($AT$3:$AT$201,$M223)&gt;0,
     COUNTIFS($AU$3:$AU$201,$M223)&gt;0,
     COUNTIFS($AV$3:$AV$201,$M223)&gt;0,
     COUNTIFS($AW$3:$AW$201,$M223)&gt;0
   )),
  ),
  3
 ),
"")</f>
        <v/>
      </c>
      <c r="R223" s="3" t="str" cm="1">
        <f t="array" aca="1" ref="R223" ca="1">IFERROR(
 INDEX(
  _xlfn._xlws.FILTER($T$2:$AW$2,
   TRANSPOSE(
    CHOOSE({1;2;3;4;5;6;7;8;9;10;11;12;13;14;15;16;17;18;19;20;21;22;23;24;25;26;27;28;29;30},
     COUNTIFS($T$3:$T$201,$M223)&gt;0,
     COUNTIFS($U$3:$U$201,$M223)&gt;0,
     COUNTIFS($V$3:$V$201,$M223)&gt;0,
     COUNTIFS($W$3:$W$201,$M223)&gt;0,
     COUNTIFS($X$3:$X$201,$M223)&gt;0,
     COUNTIFS($Y$3:$Y$201,$M223)&gt;0,
     COUNTIFS($Z$3:$Z$201,$M223)&gt;0,
     COUNTIFS($AA$3:$AA$201,$M223)&gt;0,
     COUNTIFS($AB$3:$AB$201,$M223)&gt;0,
     COUNTIFS($AC$3:$AC$201,$M223)&gt;0,
     COUNTIFS($AD$3:$AD$201,$M223)&gt;0,
     COUNTIFS($AE$3:$AE$201,$M223)&gt;0,
     COUNTIFS($AF$3:$AF$201,$M223)&gt;0,
     COUNTIFS($AG$3:$AG$201,$M223)&gt;0,
     COUNTIFS($AH$3:$AH$201,$M223)&gt;0,
     COUNTIFS($AI$3:$AI$201,$M223)&gt;0,
     COUNTIFS($AJ$3:$AJ$201,$M223)&gt;0,
     COUNTIFS($AK$3:$AK$201,$M223)&gt;0,
     COUNTIFS($AL$3:$AL$201,$M223)&gt;0,
     COUNTIFS($AM$3:$AM$201,$M223)&gt;0,
     COUNTIFS($AN$3:$AN$201,$M223)&gt;0,
     COUNTIFS($AO$3:$AO$201,$M223)&gt;0,
     COUNTIFS($AP$3:$AP$201,$M223)&gt;0,
     COUNTIFS($AQ$3:$AQ$201,$M223)&gt;0,
     COUNTIFS($AR$3:$AR$201,$M223)&gt;0,
     COUNTIFS($AS$3:$AS$201,$M223)&gt;0,
     COUNTIFS($AT$3:$AT$201,$M223)&gt;0,
     COUNTIFS($AU$3:$AU$201,$M223)&gt;0,
     COUNTIFS($AV$3:$AV$201,$M223)&gt;0,
     COUNTIFS($AW$3:$AW$201,$M223)&gt;0
   )),
  ),
  4
 ),
"")</f>
        <v/>
      </c>
      <c r="CI223" t="str">
        <f ca="1"/>
        <v>Seguro de Vida</v>
      </c>
    </row>
    <row r="224" spans="1:87" x14ac:dyDescent="0.25">
      <c r="A224" t="str">
        <f ca="1"/>
        <v>Satoru, the Infiltrator</v>
      </c>
      <c r="B224" s="3" t="str" cm="1">
        <f t="array" aca="1" ref="B224" ca="1">_xlfn.ANCHORARRAY(RESUMO!C223)</f>
        <v>Yuriko</v>
      </c>
      <c r="C224" s="3" t="str">
        <f t="shared" ca="1" si="12"/>
        <v/>
      </c>
      <c r="E224" t="str">
        <f ca="1"/>
        <v>Selesnya Sanctuary</v>
      </c>
      <c r="F224" s="3">
        <f t="shared" ca="1" si="13"/>
        <v>1</v>
      </c>
      <c r="G224" s="3" t="str">
        <f t="shared" ca="1" si="14"/>
        <v>Baylen</v>
      </c>
      <c r="M224" t="str">
        <f ca="1"/>
        <v>Selesnya Sanctuary</v>
      </c>
      <c r="N224" s="3">
        <f t="shared" ca="1" si="15"/>
        <v>1</v>
      </c>
      <c r="O224" s="3" t="str">
        <f ca="1">IFERROR(
 INDEX($T$2:$AW$2,
  MATCH(TRUE,
   CHOOSE({1;2;3;4;5;6;7;8;9;10;11;12;13;14;15;16;17;18;19;20;21;22;23;24;25;26;27;28;29;30;31;32},
    COUNTIFS($T$3:$T$201,$M224)&gt;0,
    COUNTIFS($U$3:$U$201,$M224)&gt;0,
    COUNTIFS($V$3:$V$201,$M224)&gt;0,
    COUNTIFS($W$3:$W$201,$M224)&gt;0,
    COUNTIFS($X$3:$X$201,$M224)&gt;0,
    COUNTIFS($Y$3:$Y$201,$M224)&gt;0,
    COUNTIFS($Z$3:$Z$201,$M224)&gt;0,
    COUNTIFS($AA$3:$AA$201,$M224)&gt;0,
    COUNTIFS($AB$3:$AB$201,$M224)&gt;0,
    COUNTIFS($AC$3:$AC$201,$M224)&gt;0,
    COUNTIFS($AD$3:$AD$201,$M224)&gt;0,
    COUNTIFS($AE$3:$AE$201,$M224)&gt;0,
    COUNTIFS($AF$3:$AF$201,$M224)&gt;0,
    COUNTIFS($AG$3:$AG$201,$M224)&gt;0,
    COUNTIFS($AH$3:$AH$201,$M224)&gt;0,
    COUNTIFS($AI$3:$AI$201,$M224)&gt;0,
    COUNTIFS($AJ$3:$AJ$201,$M224)&gt;0,
    COUNTIFS($AK$3:$AK$201,$M224)&gt;0,
    COUNTIFS($AL$3:$AL$201,$M224)&gt;0,
    COUNTIFS($AM$3:$AM$201,$M224)&gt;0,
    COUNTIFS($AN$3:$AN$201,$M224)&gt;0,
    COUNTIFS($AO$3:$AO$201,$M224)&gt;0,
    COUNTIFS($AP$3:$AP$201,$M224)&gt;0,
    COUNTIFS($AQ$3:$AQ$201,$M224)&gt;0,
    COUNTIFS($AR$3:$AR$201,$M224)&gt;0,
    COUNTIFS($AS$3:$AS$201,$M224)&gt;0,
    COUNTIFS($AT$3:$AT$201,$M224)&gt;0,
    COUNTIFS($AU$3:$AU$201,$M224)&gt;0,
    COUNTIFS($AV$3:$AV$201,$M224)&gt;0,
    COUNTIFS($AW$3:$AW$201,$M224)&gt;0
   ),
  0)
 ),
"")</f>
        <v>Baylen</v>
      </c>
      <c r="P224" s="3" t="str" cm="1">
        <f t="array" aca="1" ref="P224" ca="1">IFERROR(
 INDEX(
  _xlfn._xlws.FILTER($T$2:$AW$2,
   TRANSPOSE(
    CHOOSE({1;2;3;4;5;6;7;8;9;10;11;12;13;14;15;16;17;18;19;20;21;22;23;24;25;26;27;28;29;30},
     COUNTIFS($T$3:$T$201,$M224)&gt;0,
     COUNTIFS($U$3:$U$201,$M224)&gt;0,
     COUNTIFS($V$3:$V$201,$M224)&gt;0,
     COUNTIFS($W$3:$W$201,$M224)&gt;0,
     COUNTIFS($X$3:$X$201,$M224)&gt;0,
     COUNTIFS($Y$3:$Y$201,$M224)&gt;0,
     COUNTIFS($Z$3:$Z$201,$M224)&gt;0,
     COUNTIFS($AA$3:$AA$201,$M224)&gt;0,
     COUNTIFS($AB$3:$AB$201,$M224)&gt;0,
     COUNTIFS($AC$3:$AC$201,$M224)&gt;0,
     COUNTIFS($AD$3:$AD$201,$M224)&gt;0,
     COUNTIFS($AE$3:$AE$201,$M224)&gt;0,
     COUNTIFS($AF$3:$AF$201,$M224)&gt;0,
     COUNTIFS($AG$3:$AG$201,$M224)&gt;0,
     COUNTIFS($AH$3:$AH$201,$M224)&gt;0,
     COUNTIFS($AI$3:$AI$201,$M224)&gt;0,
     COUNTIFS($AJ$3:$AJ$201,$M224)&gt;0,
     COUNTIFS($AK$3:$AK$201,$M224)&gt;0,
     COUNTIFS($AL$3:$AL$201,$M224)&gt;0,
     COUNTIFS($AM$3:$AM$201,$M224)&gt;0,
     COUNTIFS($AN$3:$AN$201,$M224)&gt;0,
     COUNTIFS($AO$3:$AO$201,$M224)&gt;0,
     COUNTIFS($AP$3:$AP$201,$M224)&gt;0,
     COUNTIFS($AQ$3:$AQ$201,$M224)&gt;0,
     COUNTIFS($AR$3:$AR$201,$M224)&gt;0,
     COUNTIFS($AS$3:$AS$201,$M224)&gt;0,
     COUNTIFS($AT$3:$AT$201,$M224)&gt;0,
     COUNTIFS($AU$3:$AU$201,$M224)&gt;0,
     COUNTIFS($AV$3:$AV$201,$M224)&gt;0,
     COUNTIFS($AW$3:$AW$201,$M224)&gt;0
   )),
  ),
  2
 ),
"")</f>
        <v/>
      </c>
      <c r="Q224" s="3" t="str" cm="1">
        <f t="array" aca="1" ref="Q224" ca="1">IFERROR(
 INDEX(
  _xlfn._xlws.FILTER($T$2:$AW$2,
   TRANSPOSE(
    CHOOSE({1;2;3;4;5;6;7;8;9;10;11;12;13;14;15;16;17;18;19;20;21;22;23;24;25;26;27;28;29;30},
     COUNTIFS($T$3:$T$201,$M224)&gt;0,
     COUNTIFS($U$3:$U$201,$M224)&gt;0,
     COUNTIFS($V$3:$V$201,$M224)&gt;0,
     COUNTIFS($W$3:$W$201,$M224)&gt;0,
     COUNTIFS($X$3:$X$201,$M224)&gt;0,
     COUNTIFS($Y$3:$Y$201,$M224)&gt;0,
     COUNTIFS($Z$3:$Z$201,$M224)&gt;0,
     COUNTIFS($AA$3:$AA$201,$M224)&gt;0,
     COUNTIFS($AB$3:$AB$201,$M224)&gt;0,
     COUNTIFS($AC$3:$AC$201,$M224)&gt;0,
     COUNTIFS($AD$3:$AD$201,$M224)&gt;0,
     COUNTIFS($AE$3:$AE$201,$M224)&gt;0,
     COUNTIFS($AF$3:$AF$201,$M224)&gt;0,
     COUNTIFS($AG$3:$AG$201,$M224)&gt;0,
     COUNTIFS($AH$3:$AH$201,$M224)&gt;0,
     COUNTIFS($AI$3:$AI$201,$M224)&gt;0,
     COUNTIFS($AJ$3:$AJ$201,$M224)&gt;0,
     COUNTIFS($AK$3:$AK$201,$M224)&gt;0,
     COUNTIFS($AL$3:$AL$201,$M224)&gt;0,
     COUNTIFS($AM$3:$AM$201,$M224)&gt;0,
     COUNTIFS($AN$3:$AN$201,$M224)&gt;0,
     COUNTIFS($AO$3:$AO$201,$M224)&gt;0,
     COUNTIFS($AP$3:$AP$201,$M224)&gt;0,
     COUNTIFS($AQ$3:$AQ$201,$M224)&gt;0,
     COUNTIFS($AR$3:$AR$201,$M224)&gt;0,
     COUNTIFS($AS$3:$AS$201,$M224)&gt;0,
     COUNTIFS($AT$3:$AT$201,$M224)&gt;0,
     COUNTIFS($AU$3:$AU$201,$M224)&gt;0,
     COUNTIFS($AV$3:$AV$201,$M224)&gt;0,
     COUNTIFS($AW$3:$AW$201,$M224)&gt;0
   )),
  ),
  3
 ),
"")</f>
        <v/>
      </c>
      <c r="R224" s="3" t="str" cm="1">
        <f t="array" aca="1" ref="R224" ca="1">IFERROR(
 INDEX(
  _xlfn._xlws.FILTER($T$2:$AW$2,
   TRANSPOSE(
    CHOOSE({1;2;3;4;5;6;7;8;9;10;11;12;13;14;15;16;17;18;19;20;21;22;23;24;25;26;27;28;29;30},
     COUNTIFS($T$3:$T$201,$M224)&gt;0,
     COUNTIFS($U$3:$U$201,$M224)&gt;0,
     COUNTIFS($V$3:$V$201,$M224)&gt;0,
     COUNTIFS($W$3:$W$201,$M224)&gt;0,
     COUNTIFS($X$3:$X$201,$M224)&gt;0,
     COUNTIFS($Y$3:$Y$201,$M224)&gt;0,
     COUNTIFS($Z$3:$Z$201,$M224)&gt;0,
     COUNTIFS($AA$3:$AA$201,$M224)&gt;0,
     COUNTIFS($AB$3:$AB$201,$M224)&gt;0,
     COUNTIFS($AC$3:$AC$201,$M224)&gt;0,
     COUNTIFS($AD$3:$AD$201,$M224)&gt;0,
     COUNTIFS($AE$3:$AE$201,$M224)&gt;0,
     COUNTIFS($AF$3:$AF$201,$M224)&gt;0,
     COUNTIFS($AG$3:$AG$201,$M224)&gt;0,
     COUNTIFS($AH$3:$AH$201,$M224)&gt;0,
     COUNTIFS($AI$3:$AI$201,$M224)&gt;0,
     COUNTIFS($AJ$3:$AJ$201,$M224)&gt;0,
     COUNTIFS($AK$3:$AK$201,$M224)&gt;0,
     COUNTIFS($AL$3:$AL$201,$M224)&gt;0,
     COUNTIFS($AM$3:$AM$201,$M224)&gt;0,
     COUNTIFS($AN$3:$AN$201,$M224)&gt;0,
     COUNTIFS($AO$3:$AO$201,$M224)&gt;0,
     COUNTIFS($AP$3:$AP$201,$M224)&gt;0,
     COUNTIFS($AQ$3:$AQ$201,$M224)&gt;0,
     COUNTIFS($AR$3:$AR$201,$M224)&gt;0,
     COUNTIFS($AS$3:$AS$201,$M224)&gt;0,
     COUNTIFS($AT$3:$AT$201,$M224)&gt;0,
     COUNTIFS($AU$3:$AU$201,$M224)&gt;0,
     COUNTIFS($AV$3:$AV$201,$M224)&gt;0,
     COUNTIFS($AW$3:$AW$201,$M224)&gt;0
   )),
  ),
  4
 ),
"")</f>
        <v/>
      </c>
      <c r="CI224" t="str">
        <f ca="1"/>
        <v>Selesnya Sanctuary</v>
      </c>
    </row>
    <row r="225" spans="1:87" x14ac:dyDescent="0.25">
      <c r="A225" t="str">
        <f ca="1"/>
        <v>Saw in Half</v>
      </c>
      <c r="B225" s="3" t="str" cm="1">
        <f t="array" aca="1" ref="B225" ca="1">_xlfn.ANCHORARRAY(RESUMO!C224)</f>
        <v>Inalla</v>
      </c>
      <c r="C225" s="3" t="str">
        <f t="shared" ca="1" si="12"/>
        <v/>
      </c>
      <c r="E225" t="str">
        <f ca="1"/>
        <v>Servidão Imortal</v>
      </c>
      <c r="F225" s="3">
        <f t="shared" ca="1" si="13"/>
        <v>1</v>
      </c>
      <c r="G225" s="3" t="str">
        <f t="shared" ca="1" si="14"/>
        <v>Carlos</v>
      </c>
      <c r="M225" t="str">
        <f ca="1"/>
        <v>Servidão Imortal</v>
      </c>
      <c r="N225" s="3">
        <f t="shared" ca="1" si="15"/>
        <v>1</v>
      </c>
      <c r="O225" s="3" t="str">
        <f ca="1">IFERROR(
 INDEX($T$2:$AW$2,
  MATCH(TRUE,
   CHOOSE({1;2;3;4;5;6;7;8;9;10;11;12;13;14;15;16;17;18;19;20;21;22;23;24;25;26;27;28;29;30;31;32},
    COUNTIFS($T$3:$T$201,$M225)&gt;0,
    COUNTIFS($U$3:$U$201,$M225)&gt;0,
    COUNTIFS($V$3:$V$201,$M225)&gt;0,
    COUNTIFS($W$3:$W$201,$M225)&gt;0,
    COUNTIFS($X$3:$X$201,$M225)&gt;0,
    COUNTIFS($Y$3:$Y$201,$M225)&gt;0,
    COUNTIFS($Z$3:$Z$201,$M225)&gt;0,
    COUNTIFS($AA$3:$AA$201,$M225)&gt;0,
    COUNTIFS($AB$3:$AB$201,$M225)&gt;0,
    COUNTIFS($AC$3:$AC$201,$M225)&gt;0,
    COUNTIFS($AD$3:$AD$201,$M225)&gt;0,
    COUNTIFS($AE$3:$AE$201,$M225)&gt;0,
    COUNTIFS($AF$3:$AF$201,$M225)&gt;0,
    COUNTIFS($AG$3:$AG$201,$M225)&gt;0,
    COUNTIFS($AH$3:$AH$201,$M225)&gt;0,
    COUNTIFS($AI$3:$AI$201,$M225)&gt;0,
    COUNTIFS($AJ$3:$AJ$201,$M225)&gt;0,
    COUNTIFS($AK$3:$AK$201,$M225)&gt;0,
    COUNTIFS($AL$3:$AL$201,$M225)&gt;0,
    COUNTIFS($AM$3:$AM$201,$M225)&gt;0,
    COUNTIFS($AN$3:$AN$201,$M225)&gt;0,
    COUNTIFS($AO$3:$AO$201,$M225)&gt;0,
    COUNTIFS($AP$3:$AP$201,$M225)&gt;0,
    COUNTIFS($AQ$3:$AQ$201,$M225)&gt;0,
    COUNTIFS($AR$3:$AR$201,$M225)&gt;0,
    COUNTIFS($AS$3:$AS$201,$M225)&gt;0,
    COUNTIFS($AT$3:$AT$201,$M225)&gt;0,
    COUNTIFS($AU$3:$AU$201,$M225)&gt;0,
    COUNTIFS($AV$3:$AV$201,$M225)&gt;0,
    COUNTIFS($AW$3:$AW$201,$M225)&gt;0
   ),
  0)
 ),
"")</f>
        <v>Carlos</v>
      </c>
      <c r="P225" s="3" t="str" cm="1">
        <f t="array" aca="1" ref="P225" ca="1">IFERROR(
 INDEX(
  _xlfn._xlws.FILTER($T$2:$AW$2,
   TRANSPOSE(
    CHOOSE({1;2;3;4;5;6;7;8;9;10;11;12;13;14;15;16;17;18;19;20;21;22;23;24;25;26;27;28;29;30},
     COUNTIFS($T$3:$T$201,$M225)&gt;0,
     COUNTIFS($U$3:$U$201,$M225)&gt;0,
     COUNTIFS($V$3:$V$201,$M225)&gt;0,
     COUNTIFS($W$3:$W$201,$M225)&gt;0,
     COUNTIFS($X$3:$X$201,$M225)&gt;0,
     COUNTIFS($Y$3:$Y$201,$M225)&gt;0,
     COUNTIFS($Z$3:$Z$201,$M225)&gt;0,
     COUNTIFS($AA$3:$AA$201,$M225)&gt;0,
     COUNTIFS($AB$3:$AB$201,$M225)&gt;0,
     COUNTIFS($AC$3:$AC$201,$M225)&gt;0,
     COUNTIFS($AD$3:$AD$201,$M225)&gt;0,
     COUNTIFS($AE$3:$AE$201,$M225)&gt;0,
     COUNTIFS($AF$3:$AF$201,$M225)&gt;0,
     COUNTIFS($AG$3:$AG$201,$M225)&gt;0,
     COUNTIFS($AH$3:$AH$201,$M225)&gt;0,
     COUNTIFS($AI$3:$AI$201,$M225)&gt;0,
     COUNTIFS($AJ$3:$AJ$201,$M225)&gt;0,
     COUNTIFS($AK$3:$AK$201,$M225)&gt;0,
     COUNTIFS($AL$3:$AL$201,$M225)&gt;0,
     COUNTIFS($AM$3:$AM$201,$M225)&gt;0,
     COUNTIFS($AN$3:$AN$201,$M225)&gt;0,
     COUNTIFS($AO$3:$AO$201,$M225)&gt;0,
     COUNTIFS($AP$3:$AP$201,$M225)&gt;0,
     COUNTIFS($AQ$3:$AQ$201,$M225)&gt;0,
     COUNTIFS($AR$3:$AR$201,$M225)&gt;0,
     COUNTIFS($AS$3:$AS$201,$M225)&gt;0,
     COUNTIFS($AT$3:$AT$201,$M225)&gt;0,
     COUNTIFS($AU$3:$AU$201,$M225)&gt;0,
     COUNTIFS($AV$3:$AV$201,$M225)&gt;0,
     COUNTIFS($AW$3:$AW$201,$M225)&gt;0
   )),
  ),
  2
 ),
"")</f>
        <v/>
      </c>
      <c r="Q225" s="3" t="str" cm="1">
        <f t="array" aca="1" ref="Q225" ca="1">IFERROR(
 INDEX(
  _xlfn._xlws.FILTER($T$2:$AW$2,
   TRANSPOSE(
    CHOOSE({1;2;3;4;5;6;7;8;9;10;11;12;13;14;15;16;17;18;19;20;21;22;23;24;25;26;27;28;29;30},
     COUNTIFS($T$3:$T$201,$M225)&gt;0,
     COUNTIFS($U$3:$U$201,$M225)&gt;0,
     COUNTIFS($V$3:$V$201,$M225)&gt;0,
     COUNTIFS($W$3:$W$201,$M225)&gt;0,
     COUNTIFS($X$3:$X$201,$M225)&gt;0,
     COUNTIFS($Y$3:$Y$201,$M225)&gt;0,
     COUNTIFS($Z$3:$Z$201,$M225)&gt;0,
     COUNTIFS($AA$3:$AA$201,$M225)&gt;0,
     COUNTIFS($AB$3:$AB$201,$M225)&gt;0,
     COUNTIFS($AC$3:$AC$201,$M225)&gt;0,
     COUNTIFS($AD$3:$AD$201,$M225)&gt;0,
     COUNTIFS($AE$3:$AE$201,$M225)&gt;0,
     COUNTIFS($AF$3:$AF$201,$M225)&gt;0,
     COUNTIFS($AG$3:$AG$201,$M225)&gt;0,
     COUNTIFS($AH$3:$AH$201,$M225)&gt;0,
     COUNTIFS($AI$3:$AI$201,$M225)&gt;0,
     COUNTIFS($AJ$3:$AJ$201,$M225)&gt;0,
     COUNTIFS($AK$3:$AK$201,$M225)&gt;0,
     COUNTIFS($AL$3:$AL$201,$M225)&gt;0,
     COUNTIFS($AM$3:$AM$201,$M225)&gt;0,
     COUNTIFS($AN$3:$AN$201,$M225)&gt;0,
     COUNTIFS($AO$3:$AO$201,$M225)&gt;0,
     COUNTIFS($AP$3:$AP$201,$M225)&gt;0,
     COUNTIFS($AQ$3:$AQ$201,$M225)&gt;0,
     COUNTIFS($AR$3:$AR$201,$M225)&gt;0,
     COUNTIFS($AS$3:$AS$201,$M225)&gt;0,
     COUNTIFS($AT$3:$AT$201,$M225)&gt;0,
     COUNTIFS($AU$3:$AU$201,$M225)&gt;0,
     COUNTIFS($AV$3:$AV$201,$M225)&gt;0,
     COUNTIFS($AW$3:$AW$201,$M225)&gt;0
   )),
  ),
  3
 ),
"")</f>
        <v/>
      </c>
      <c r="R225" s="3" t="str" cm="1">
        <f t="array" aca="1" ref="R225" ca="1">IFERROR(
 INDEX(
  _xlfn._xlws.FILTER($T$2:$AW$2,
   TRANSPOSE(
    CHOOSE({1;2;3;4;5;6;7;8;9;10;11;12;13;14;15;16;17;18;19;20;21;22;23;24;25;26;27;28;29;30},
     COUNTIFS($T$3:$T$201,$M225)&gt;0,
     COUNTIFS($U$3:$U$201,$M225)&gt;0,
     COUNTIFS($V$3:$V$201,$M225)&gt;0,
     COUNTIFS($W$3:$W$201,$M225)&gt;0,
     COUNTIFS($X$3:$X$201,$M225)&gt;0,
     COUNTIFS($Y$3:$Y$201,$M225)&gt;0,
     COUNTIFS($Z$3:$Z$201,$M225)&gt;0,
     COUNTIFS($AA$3:$AA$201,$M225)&gt;0,
     COUNTIFS($AB$3:$AB$201,$M225)&gt;0,
     COUNTIFS($AC$3:$AC$201,$M225)&gt;0,
     COUNTIFS($AD$3:$AD$201,$M225)&gt;0,
     COUNTIFS($AE$3:$AE$201,$M225)&gt;0,
     COUNTIFS($AF$3:$AF$201,$M225)&gt;0,
     COUNTIFS($AG$3:$AG$201,$M225)&gt;0,
     COUNTIFS($AH$3:$AH$201,$M225)&gt;0,
     COUNTIFS($AI$3:$AI$201,$M225)&gt;0,
     COUNTIFS($AJ$3:$AJ$201,$M225)&gt;0,
     COUNTIFS($AK$3:$AK$201,$M225)&gt;0,
     COUNTIFS($AL$3:$AL$201,$M225)&gt;0,
     COUNTIFS($AM$3:$AM$201,$M225)&gt;0,
     COUNTIFS($AN$3:$AN$201,$M225)&gt;0,
     COUNTIFS($AO$3:$AO$201,$M225)&gt;0,
     COUNTIFS($AP$3:$AP$201,$M225)&gt;0,
     COUNTIFS($AQ$3:$AQ$201,$M225)&gt;0,
     COUNTIFS($AR$3:$AR$201,$M225)&gt;0,
     COUNTIFS($AS$3:$AS$201,$M225)&gt;0,
     COUNTIFS($AT$3:$AT$201,$M225)&gt;0,
     COUNTIFS($AU$3:$AU$201,$M225)&gt;0,
     COUNTIFS($AV$3:$AV$201,$M225)&gt;0,
     COUNTIFS($AW$3:$AW$201,$M225)&gt;0
   )),
  ),
  4
 ),
"")</f>
        <v/>
      </c>
      <c r="CI225" t="str">
        <f ca="1"/>
        <v>Servidão Imortal</v>
      </c>
    </row>
    <row r="226" spans="1:87" x14ac:dyDescent="0.25">
      <c r="A226" t="str">
        <f ca="1"/>
        <v>Scalding Tarn</v>
      </c>
      <c r="B226" s="3" t="str" cm="1">
        <f t="array" aca="1" ref="B226" ca="1">_xlfn.ANCHORARRAY(RESUMO!C225)</f>
        <v>Zimone</v>
      </c>
      <c r="C226" s="3" t="str">
        <f t="shared" ca="1" si="12"/>
        <v/>
      </c>
      <c r="E226" t="str">
        <f ca="1"/>
        <v>Simic Charm</v>
      </c>
      <c r="F226" s="3">
        <f t="shared" ca="1" si="13"/>
        <v>1</v>
      </c>
      <c r="G226" s="3" t="str">
        <f t="shared" ca="1" si="14"/>
        <v>Elfos</v>
      </c>
      <c r="M226" t="str">
        <f ca="1"/>
        <v>Simic Charm</v>
      </c>
      <c r="N226" s="3">
        <f t="shared" ca="1" si="15"/>
        <v>1</v>
      </c>
      <c r="O226" s="3" t="str">
        <f ca="1">IFERROR(
 INDEX($T$2:$AW$2,
  MATCH(TRUE,
   CHOOSE({1;2;3;4;5;6;7;8;9;10;11;12;13;14;15;16;17;18;19;20;21;22;23;24;25;26;27;28;29;30;31;32},
    COUNTIFS($T$3:$T$201,$M226)&gt;0,
    COUNTIFS($U$3:$U$201,$M226)&gt;0,
    COUNTIFS($V$3:$V$201,$M226)&gt;0,
    COUNTIFS($W$3:$W$201,$M226)&gt;0,
    COUNTIFS($X$3:$X$201,$M226)&gt;0,
    COUNTIFS($Y$3:$Y$201,$M226)&gt;0,
    COUNTIFS($Z$3:$Z$201,$M226)&gt;0,
    COUNTIFS($AA$3:$AA$201,$M226)&gt;0,
    COUNTIFS($AB$3:$AB$201,$M226)&gt;0,
    COUNTIFS($AC$3:$AC$201,$M226)&gt;0,
    COUNTIFS($AD$3:$AD$201,$M226)&gt;0,
    COUNTIFS($AE$3:$AE$201,$M226)&gt;0,
    COUNTIFS($AF$3:$AF$201,$M226)&gt;0,
    COUNTIFS($AG$3:$AG$201,$M226)&gt;0,
    COUNTIFS($AH$3:$AH$201,$M226)&gt;0,
    COUNTIFS($AI$3:$AI$201,$M226)&gt;0,
    COUNTIFS($AJ$3:$AJ$201,$M226)&gt;0,
    COUNTIFS($AK$3:$AK$201,$M226)&gt;0,
    COUNTIFS($AL$3:$AL$201,$M226)&gt;0,
    COUNTIFS($AM$3:$AM$201,$M226)&gt;0,
    COUNTIFS($AN$3:$AN$201,$M226)&gt;0,
    COUNTIFS($AO$3:$AO$201,$M226)&gt;0,
    COUNTIFS($AP$3:$AP$201,$M226)&gt;0,
    COUNTIFS($AQ$3:$AQ$201,$M226)&gt;0,
    COUNTIFS($AR$3:$AR$201,$M226)&gt;0,
    COUNTIFS($AS$3:$AS$201,$M226)&gt;0,
    COUNTIFS($AT$3:$AT$201,$M226)&gt;0,
    COUNTIFS($AU$3:$AU$201,$M226)&gt;0,
    COUNTIFS($AV$3:$AV$201,$M226)&gt;0,
    COUNTIFS($AW$3:$AW$201,$M226)&gt;0
   ),
  0)
 ),
"")</f>
        <v>Elfos</v>
      </c>
      <c r="P226" s="3" t="str" cm="1">
        <f t="array" aca="1" ref="P226" ca="1">IFERROR(
 INDEX(
  _xlfn._xlws.FILTER($T$2:$AW$2,
   TRANSPOSE(
    CHOOSE({1;2;3;4;5;6;7;8;9;10;11;12;13;14;15;16;17;18;19;20;21;22;23;24;25;26;27;28;29;30},
     COUNTIFS($T$3:$T$201,$M226)&gt;0,
     COUNTIFS($U$3:$U$201,$M226)&gt;0,
     COUNTIFS($V$3:$V$201,$M226)&gt;0,
     COUNTIFS($W$3:$W$201,$M226)&gt;0,
     COUNTIFS($X$3:$X$201,$M226)&gt;0,
     COUNTIFS($Y$3:$Y$201,$M226)&gt;0,
     COUNTIFS($Z$3:$Z$201,$M226)&gt;0,
     COUNTIFS($AA$3:$AA$201,$M226)&gt;0,
     COUNTIFS($AB$3:$AB$201,$M226)&gt;0,
     COUNTIFS($AC$3:$AC$201,$M226)&gt;0,
     COUNTIFS($AD$3:$AD$201,$M226)&gt;0,
     COUNTIFS($AE$3:$AE$201,$M226)&gt;0,
     COUNTIFS($AF$3:$AF$201,$M226)&gt;0,
     COUNTIFS($AG$3:$AG$201,$M226)&gt;0,
     COUNTIFS($AH$3:$AH$201,$M226)&gt;0,
     COUNTIFS($AI$3:$AI$201,$M226)&gt;0,
     COUNTIFS($AJ$3:$AJ$201,$M226)&gt;0,
     COUNTIFS($AK$3:$AK$201,$M226)&gt;0,
     COUNTIFS($AL$3:$AL$201,$M226)&gt;0,
     COUNTIFS($AM$3:$AM$201,$M226)&gt;0,
     COUNTIFS($AN$3:$AN$201,$M226)&gt;0,
     COUNTIFS($AO$3:$AO$201,$M226)&gt;0,
     COUNTIFS($AP$3:$AP$201,$M226)&gt;0,
     COUNTIFS($AQ$3:$AQ$201,$M226)&gt;0,
     COUNTIFS($AR$3:$AR$201,$M226)&gt;0,
     COUNTIFS($AS$3:$AS$201,$M226)&gt;0,
     COUNTIFS($AT$3:$AT$201,$M226)&gt;0,
     COUNTIFS($AU$3:$AU$201,$M226)&gt;0,
     COUNTIFS($AV$3:$AV$201,$M226)&gt;0,
     COUNTIFS($AW$3:$AW$201,$M226)&gt;0
   )),
  ),
  2
 ),
"")</f>
        <v/>
      </c>
      <c r="Q226" s="3" t="str" cm="1">
        <f t="array" aca="1" ref="Q226" ca="1">IFERROR(
 INDEX(
  _xlfn._xlws.FILTER($T$2:$AW$2,
   TRANSPOSE(
    CHOOSE({1;2;3;4;5;6;7;8;9;10;11;12;13;14;15;16;17;18;19;20;21;22;23;24;25;26;27;28;29;30},
     COUNTIFS($T$3:$T$201,$M226)&gt;0,
     COUNTIFS($U$3:$U$201,$M226)&gt;0,
     COUNTIFS($V$3:$V$201,$M226)&gt;0,
     COUNTIFS($W$3:$W$201,$M226)&gt;0,
     COUNTIFS($X$3:$X$201,$M226)&gt;0,
     COUNTIFS($Y$3:$Y$201,$M226)&gt;0,
     COUNTIFS($Z$3:$Z$201,$M226)&gt;0,
     COUNTIFS($AA$3:$AA$201,$M226)&gt;0,
     COUNTIFS($AB$3:$AB$201,$M226)&gt;0,
     COUNTIFS($AC$3:$AC$201,$M226)&gt;0,
     COUNTIFS($AD$3:$AD$201,$M226)&gt;0,
     COUNTIFS($AE$3:$AE$201,$M226)&gt;0,
     COUNTIFS($AF$3:$AF$201,$M226)&gt;0,
     COUNTIFS($AG$3:$AG$201,$M226)&gt;0,
     COUNTIFS($AH$3:$AH$201,$M226)&gt;0,
     COUNTIFS($AI$3:$AI$201,$M226)&gt;0,
     COUNTIFS($AJ$3:$AJ$201,$M226)&gt;0,
     COUNTIFS($AK$3:$AK$201,$M226)&gt;0,
     COUNTIFS($AL$3:$AL$201,$M226)&gt;0,
     COUNTIFS($AM$3:$AM$201,$M226)&gt;0,
     COUNTIFS($AN$3:$AN$201,$M226)&gt;0,
     COUNTIFS($AO$3:$AO$201,$M226)&gt;0,
     COUNTIFS($AP$3:$AP$201,$M226)&gt;0,
     COUNTIFS($AQ$3:$AQ$201,$M226)&gt;0,
     COUNTIFS($AR$3:$AR$201,$M226)&gt;0,
     COUNTIFS($AS$3:$AS$201,$M226)&gt;0,
     COUNTIFS($AT$3:$AT$201,$M226)&gt;0,
     COUNTIFS($AU$3:$AU$201,$M226)&gt;0,
     COUNTIFS($AV$3:$AV$201,$M226)&gt;0,
     COUNTIFS($AW$3:$AW$201,$M226)&gt;0
   )),
  ),
  3
 ),
"")</f>
        <v/>
      </c>
      <c r="R226" s="3" t="str" cm="1">
        <f t="array" aca="1" ref="R226" ca="1">IFERROR(
 INDEX(
  _xlfn._xlws.FILTER($T$2:$AW$2,
   TRANSPOSE(
    CHOOSE({1;2;3;4;5;6;7;8;9;10;11;12;13;14;15;16;17;18;19;20;21;22;23;24;25;26;27;28;29;30},
     COUNTIFS($T$3:$T$201,$M226)&gt;0,
     COUNTIFS($U$3:$U$201,$M226)&gt;0,
     COUNTIFS($V$3:$V$201,$M226)&gt;0,
     COUNTIFS($W$3:$W$201,$M226)&gt;0,
     COUNTIFS($X$3:$X$201,$M226)&gt;0,
     COUNTIFS($Y$3:$Y$201,$M226)&gt;0,
     COUNTIFS($Z$3:$Z$201,$M226)&gt;0,
     COUNTIFS($AA$3:$AA$201,$M226)&gt;0,
     COUNTIFS($AB$3:$AB$201,$M226)&gt;0,
     COUNTIFS($AC$3:$AC$201,$M226)&gt;0,
     COUNTIFS($AD$3:$AD$201,$M226)&gt;0,
     COUNTIFS($AE$3:$AE$201,$M226)&gt;0,
     COUNTIFS($AF$3:$AF$201,$M226)&gt;0,
     COUNTIFS($AG$3:$AG$201,$M226)&gt;0,
     COUNTIFS($AH$3:$AH$201,$M226)&gt;0,
     COUNTIFS($AI$3:$AI$201,$M226)&gt;0,
     COUNTIFS($AJ$3:$AJ$201,$M226)&gt;0,
     COUNTIFS($AK$3:$AK$201,$M226)&gt;0,
     COUNTIFS($AL$3:$AL$201,$M226)&gt;0,
     COUNTIFS($AM$3:$AM$201,$M226)&gt;0,
     COUNTIFS($AN$3:$AN$201,$M226)&gt;0,
     COUNTIFS($AO$3:$AO$201,$M226)&gt;0,
     COUNTIFS($AP$3:$AP$201,$M226)&gt;0,
     COUNTIFS($AQ$3:$AQ$201,$M226)&gt;0,
     COUNTIFS($AR$3:$AR$201,$M226)&gt;0,
     COUNTIFS($AS$3:$AS$201,$M226)&gt;0,
     COUNTIFS($AT$3:$AT$201,$M226)&gt;0,
     COUNTIFS($AU$3:$AU$201,$M226)&gt;0,
     COUNTIFS($AV$3:$AV$201,$M226)&gt;0,
     COUNTIFS($AW$3:$AW$201,$M226)&gt;0
   )),
  ),
  4
 ),
"")</f>
        <v/>
      </c>
      <c r="CI226" t="str">
        <f ca="1"/>
        <v>Simic Charm</v>
      </c>
    </row>
    <row r="227" spans="1:87" x14ac:dyDescent="0.25">
      <c r="A227" t="str">
        <f ca="1"/>
        <v>Scattered Groves</v>
      </c>
      <c r="B227" s="3" t="str" cm="1">
        <f t="array" aca="1" ref="B227" ca="1">_xlfn.ANCHORARRAY(RESUMO!C226)</f>
        <v>OWA</v>
      </c>
      <c r="C227" s="3" t="str">
        <f t="shared" ca="1" si="12"/>
        <v/>
      </c>
      <c r="E227" t="str">
        <f ca="1"/>
        <v>Sinete Golgari</v>
      </c>
      <c r="F227" s="3">
        <f t="shared" ca="1" si="13"/>
        <v>1</v>
      </c>
      <c r="G227" s="3" t="str">
        <f t="shared" ca="1" si="14"/>
        <v>Gritrog</v>
      </c>
      <c r="M227" t="str">
        <f ca="1"/>
        <v>Sinete Golgari</v>
      </c>
      <c r="N227" s="3">
        <f t="shared" ca="1" si="15"/>
        <v>1</v>
      </c>
      <c r="O227" s="3" t="str">
        <f ca="1">IFERROR(
 INDEX($T$2:$AW$2,
  MATCH(TRUE,
   CHOOSE({1;2;3;4;5;6;7;8;9;10;11;12;13;14;15;16;17;18;19;20;21;22;23;24;25;26;27;28;29;30;31;32},
    COUNTIFS($T$3:$T$201,$M227)&gt;0,
    COUNTIFS($U$3:$U$201,$M227)&gt;0,
    COUNTIFS($V$3:$V$201,$M227)&gt;0,
    COUNTIFS($W$3:$W$201,$M227)&gt;0,
    COUNTIFS($X$3:$X$201,$M227)&gt;0,
    COUNTIFS($Y$3:$Y$201,$M227)&gt;0,
    COUNTIFS($Z$3:$Z$201,$M227)&gt;0,
    COUNTIFS($AA$3:$AA$201,$M227)&gt;0,
    COUNTIFS($AB$3:$AB$201,$M227)&gt;0,
    COUNTIFS($AC$3:$AC$201,$M227)&gt;0,
    COUNTIFS($AD$3:$AD$201,$M227)&gt;0,
    COUNTIFS($AE$3:$AE$201,$M227)&gt;0,
    COUNTIFS($AF$3:$AF$201,$M227)&gt;0,
    COUNTIFS($AG$3:$AG$201,$M227)&gt;0,
    COUNTIFS($AH$3:$AH$201,$M227)&gt;0,
    COUNTIFS($AI$3:$AI$201,$M227)&gt;0,
    COUNTIFS($AJ$3:$AJ$201,$M227)&gt;0,
    COUNTIFS($AK$3:$AK$201,$M227)&gt;0,
    COUNTIFS($AL$3:$AL$201,$M227)&gt;0,
    COUNTIFS($AM$3:$AM$201,$M227)&gt;0,
    COUNTIFS($AN$3:$AN$201,$M227)&gt;0,
    COUNTIFS($AO$3:$AO$201,$M227)&gt;0,
    COUNTIFS($AP$3:$AP$201,$M227)&gt;0,
    COUNTIFS($AQ$3:$AQ$201,$M227)&gt;0,
    COUNTIFS($AR$3:$AR$201,$M227)&gt;0,
    COUNTIFS($AS$3:$AS$201,$M227)&gt;0,
    COUNTIFS($AT$3:$AT$201,$M227)&gt;0,
    COUNTIFS($AU$3:$AU$201,$M227)&gt;0,
    COUNTIFS($AV$3:$AV$201,$M227)&gt;0,
    COUNTIFS($AW$3:$AW$201,$M227)&gt;0
   ),
  0)
 ),
"")</f>
        <v>Gritrog</v>
      </c>
      <c r="P227" s="3" t="str" cm="1">
        <f t="array" aca="1" ref="P227" ca="1">IFERROR(
 INDEX(
  _xlfn._xlws.FILTER($T$2:$AW$2,
   TRANSPOSE(
    CHOOSE({1;2;3;4;5;6;7;8;9;10;11;12;13;14;15;16;17;18;19;20;21;22;23;24;25;26;27;28;29;30},
     COUNTIFS($T$3:$T$201,$M227)&gt;0,
     COUNTIFS($U$3:$U$201,$M227)&gt;0,
     COUNTIFS($V$3:$V$201,$M227)&gt;0,
     COUNTIFS($W$3:$W$201,$M227)&gt;0,
     COUNTIFS($X$3:$X$201,$M227)&gt;0,
     COUNTIFS($Y$3:$Y$201,$M227)&gt;0,
     COUNTIFS($Z$3:$Z$201,$M227)&gt;0,
     COUNTIFS($AA$3:$AA$201,$M227)&gt;0,
     COUNTIFS($AB$3:$AB$201,$M227)&gt;0,
     COUNTIFS($AC$3:$AC$201,$M227)&gt;0,
     COUNTIFS($AD$3:$AD$201,$M227)&gt;0,
     COUNTIFS($AE$3:$AE$201,$M227)&gt;0,
     COUNTIFS($AF$3:$AF$201,$M227)&gt;0,
     COUNTIFS($AG$3:$AG$201,$M227)&gt;0,
     COUNTIFS($AH$3:$AH$201,$M227)&gt;0,
     COUNTIFS($AI$3:$AI$201,$M227)&gt;0,
     COUNTIFS($AJ$3:$AJ$201,$M227)&gt;0,
     COUNTIFS($AK$3:$AK$201,$M227)&gt;0,
     COUNTIFS($AL$3:$AL$201,$M227)&gt;0,
     COUNTIFS($AM$3:$AM$201,$M227)&gt;0,
     COUNTIFS($AN$3:$AN$201,$M227)&gt;0,
     COUNTIFS($AO$3:$AO$201,$M227)&gt;0,
     COUNTIFS($AP$3:$AP$201,$M227)&gt;0,
     COUNTIFS($AQ$3:$AQ$201,$M227)&gt;0,
     COUNTIFS($AR$3:$AR$201,$M227)&gt;0,
     COUNTIFS($AS$3:$AS$201,$M227)&gt;0,
     COUNTIFS($AT$3:$AT$201,$M227)&gt;0,
     COUNTIFS($AU$3:$AU$201,$M227)&gt;0,
     COUNTIFS($AV$3:$AV$201,$M227)&gt;0,
     COUNTIFS($AW$3:$AW$201,$M227)&gt;0
   )),
  ),
  2
 ),
"")</f>
        <v/>
      </c>
      <c r="Q227" s="3" t="str" cm="1">
        <f t="array" aca="1" ref="Q227" ca="1">IFERROR(
 INDEX(
  _xlfn._xlws.FILTER($T$2:$AW$2,
   TRANSPOSE(
    CHOOSE({1;2;3;4;5;6;7;8;9;10;11;12;13;14;15;16;17;18;19;20;21;22;23;24;25;26;27;28;29;30},
     COUNTIFS($T$3:$T$201,$M227)&gt;0,
     COUNTIFS($U$3:$U$201,$M227)&gt;0,
     COUNTIFS($V$3:$V$201,$M227)&gt;0,
     COUNTIFS($W$3:$W$201,$M227)&gt;0,
     COUNTIFS($X$3:$X$201,$M227)&gt;0,
     COUNTIFS($Y$3:$Y$201,$M227)&gt;0,
     COUNTIFS($Z$3:$Z$201,$M227)&gt;0,
     COUNTIFS($AA$3:$AA$201,$M227)&gt;0,
     COUNTIFS($AB$3:$AB$201,$M227)&gt;0,
     COUNTIFS($AC$3:$AC$201,$M227)&gt;0,
     COUNTIFS($AD$3:$AD$201,$M227)&gt;0,
     COUNTIFS($AE$3:$AE$201,$M227)&gt;0,
     COUNTIFS($AF$3:$AF$201,$M227)&gt;0,
     COUNTIFS($AG$3:$AG$201,$M227)&gt;0,
     COUNTIFS($AH$3:$AH$201,$M227)&gt;0,
     COUNTIFS($AI$3:$AI$201,$M227)&gt;0,
     COUNTIFS($AJ$3:$AJ$201,$M227)&gt;0,
     COUNTIFS($AK$3:$AK$201,$M227)&gt;0,
     COUNTIFS($AL$3:$AL$201,$M227)&gt;0,
     COUNTIFS($AM$3:$AM$201,$M227)&gt;0,
     COUNTIFS($AN$3:$AN$201,$M227)&gt;0,
     COUNTIFS($AO$3:$AO$201,$M227)&gt;0,
     COUNTIFS($AP$3:$AP$201,$M227)&gt;0,
     COUNTIFS($AQ$3:$AQ$201,$M227)&gt;0,
     COUNTIFS($AR$3:$AR$201,$M227)&gt;0,
     COUNTIFS($AS$3:$AS$201,$M227)&gt;0,
     COUNTIFS($AT$3:$AT$201,$M227)&gt;0,
     COUNTIFS($AU$3:$AU$201,$M227)&gt;0,
     COUNTIFS($AV$3:$AV$201,$M227)&gt;0,
     COUNTIFS($AW$3:$AW$201,$M227)&gt;0
   )),
  ),
  3
 ),
"")</f>
        <v/>
      </c>
      <c r="R227" s="3" t="str" cm="1">
        <f t="array" aca="1" ref="R227" ca="1">IFERROR(
 INDEX(
  _xlfn._xlws.FILTER($T$2:$AW$2,
   TRANSPOSE(
    CHOOSE({1;2;3;4;5;6;7;8;9;10;11;12;13;14;15;16;17;18;19;20;21;22;23;24;25;26;27;28;29;30},
     COUNTIFS($T$3:$T$201,$M227)&gt;0,
     COUNTIFS($U$3:$U$201,$M227)&gt;0,
     COUNTIFS($V$3:$V$201,$M227)&gt;0,
     COUNTIFS($W$3:$W$201,$M227)&gt;0,
     COUNTIFS($X$3:$X$201,$M227)&gt;0,
     COUNTIFS($Y$3:$Y$201,$M227)&gt;0,
     COUNTIFS($Z$3:$Z$201,$M227)&gt;0,
     COUNTIFS($AA$3:$AA$201,$M227)&gt;0,
     COUNTIFS($AB$3:$AB$201,$M227)&gt;0,
     COUNTIFS($AC$3:$AC$201,$M227)&gt;0,
     COUNTIFS($AD$3:$AD$201,$M227)&gt;0,
     COUNTIFS($AE$3:$AE$201,$M227)&gt;0,
     COUNTIFS($AF$3:$AF$201,$M227)&gt;0,
     COUNTIFS($AG$3:$AG$201,$M227)&gt;0,
     COUNTIFS($AH$3:$AH$201,$M227)&gt;0,
     COUNTIFS($AI$3:$AI$201,$M227)&gt;0,
     COUNTIFS($AJ$3:$AJ$201,$M227)&gt;0,
     COUNTIFS($AK$3:$AK$201,$M227)&gt;0,
     COUNTIFS($AL$3:$AL$201,$M227)&gt;0,
     COUNTIFS($AM$3:$AM$201,$M227)&gt;0,
     COUNTIFS($AN$3:$AN$201,$M227)&gt;0,
     COUNTIFS($AO$3:$AO$201,$M227)&gt;0,
     COUNTIFS($AP$3:$AP$201,$M227)&gt;0,
     COUNTIFS($AQ$3:$AQ$201,$M227)&gt;0,
     COUNTIFS($AR$3:$AR$201,$M227)&gt;0,
     COUNTIFS($AS$3:$AS$201,$M227)&gt;0,
     COUNTIFS($AT$3:$AT$201,$M227)&gt;0,
     COUNTIFS($AU$3:$AU$201,$M227)&gt;0,
     COUNTIFS($AV$3:$AV$201,$M227)&gt;0,
     COUNTIFS($AW$3:$AW$201,$M227)&gt;0
   )),
  ),
  4
 ),
"")</f>
        <v/>
      </c>
      <c r="CI227" t="str">
        <f ca="1"/>
        <v>Sinete Golgari</v>
      </c>
    </row>
    <row r="228" spans="1:87" x14ac:dyDescent="0.25">
      <c r="A228" t="str">
        <f ca="1"/>
        <v>Scour for Scrap</v>
      </c>
      <c r="B228" s="3" t="str" cm="1">
        <f t="array" aca="1" ref="B228" ca="1">_xlfn.ANCHORARRAY(RESUMO!C227)</f>
        <v>Oona</v>
      </c>
      <c r="C228" s="3" t="str">
        <f t="shared" ca="1" si="12"/>
        <v/>
      </c>
      <c r="E228" t="str">
        <f ca="1"/>
        <v>Sinew Sliver</v>
      </c>
      <c r="F228" s="3">
        <f t="shared" ca="1" si="13"/>
        <v>1</v>
      </c>
      <c r="G228" s="3" t="str">
        <f t="shared" ca="1" si="14"/>
        <v>Fractius</v>
      </c>
      <c r="M228" t="str">
        <f ca="1"/>
        <v>Sinew Sliver</v>
      </c>
      <c r="N228" s="3">
        <f t="shared" ca="1" si="15"/>
        <v>1</v>
      </c>
      <c r="O228" s="3" t="str">
        <f ca="1">IFERROR(
 INDEX($T$2:$AW$2,
  MATCH(TRUE,
   CHOOSE({1;2;3;4;5;6;7;8;9;10;11;12;13;14;15;16;17;18;19;20;21;22;23;24;25;26;27;28;29;30;31;32},
    COUNTIFS($T$3:$T$201,$M228)&gt;0,
    COUNTIFS($U$3:$U$201,$M228)&gt;0,
    COUNTIFS($V$3:$V$201,$M228)&gt;0,
    COUNTIFS($W$3:$W$201,$M228)&gt;0,
    COUNTIFS($X$3:$X$201,$M228)&gt;0,
    COUNTIFS($Y$3:$Y$201,$M228)&gt;0,
    COUNTIFS($Z$3:$Z$201,$M228)&gt;0,
    COUNTIFS($AA$3:$AA$201,$M228)&gt;0,
    COUNTIFS($AB$3:$AB$201,$M228)&gt;0,
    COUNTIFS($AC$3:$AC$201,$M228)&gt;0,
    COUNTIFS($AD$3:$AD$201,$M228)&gt;0,
    COUNTIFS($AE$3:$AE$201,$M228)&gt;0,
    COUNTIFS($AF$3:$AF$201,$M228)&gt;0,
    COUNTIFS($AG$3:$AG$201,$M228)&gt;0,
    COUNTIFS($AH$3:$AH$201,$M228)&gt;0,
    COUNTIFS($AI$3:$AI$201,$M228)&gt;0,
    COUNTIFS($AJ$3:$AJ$201,$M228)&gt;0,
    COUNTIFS($AK$3:$AK$201,$M228)&gt;0,
    COUNTIFS($AL$3:$AL$201,$M228)&gt;0,
    COUNTIFS($AM$3:$AM$201,$M228)&gt;0,
    COUNTIFS($AN$3:$AN$201,$M228)&gt;0,
    COUNTIFS($AO$3:$AO$201,$M228)&gt;0,
    COUNTIFS($AP$3:$AP$201,$M228)&gt;0,
    COUNTIFS($AQ$3:$AQ$201,$M228)&gt;0,
    COUNTIFS($AR$3:$AR$201,$M228)&gt;0,
    COUNTIFS($AS$3:$AS$201,$M228)&gt;0,
    COUNTIFS($AT$3:$AT$201,$M228)&gt;0,
    COUNTIFS($AU$3:$AU$201,$M228)&gt;0,
    COUNTIFS($AV$3:$AV$201,$M228)&gt;0,
    COUNTIFS($AW$3:$AW$201,$M228)&gt;0
   ),
  0)
 ),
"")</f>
        <v>Fractius</v>
      </c>
      <c r="P228" s="3" t="str" cm="1">
        <f t="array" aca="1" ref="P228" ca="1">IFERROR(
 INDEX(
  _xlfn._xlws.FILTER($T$2:$AW$2,
   TRANSPOSE(
    CHOOSE({1;2;3;4;5;6;7;8;9;10;11;12;13;14;15;16;17;18;19;20;21;22;23;24;25;26;27;28;29;30},
     COUNTIFS($T$3:$T$201,$M228)&gt;0,
     COUNTIFS($U$3:$U$201,$M228)&gt;0,
     COUNTIFS($V$3:$V$201,$M228)&gt;0,
     COUNTIFS($W$3:$W$201,$M228)&gt;0,
     COUNTIFS($X$3:$X$201,$M228)&gt;0,
     COUNTIFS($Y$3:$Y$201,$M228)&gt;0,
     COUNTIFS($Z$3:$Z$201,$M228)&gt;0,
     COUNTIFS($AA$3:$AA$201,$M228)&gt;0,
     COUNTIFS($AB$3:$AB$201,$M228)&gt;0,
     COUNTIFS($AC$3:$AC$201,$M228)&gt;0,
     COUNTIFS($AD$3:$AD$201,$M228)&gt;0,
     COUNTIFS($AE$3:$AE$201,$M228)&gt;0,
     COUNTIFS($AF$3:$AF$201,$M228)&gt;0,
     COUNTIFS($AG$3:$AG$201,$M228)&gt;0,
     COUNTIFS($AH$3:$AH$201,$M228)&gt;0,
     COUNTIFS($AI$3:$AI$201,$M228)&gt;0,
     COUNTIFS($AJ$3:$AJ$201,$M228)&gt;0,
     COUNTIFS($AK$3:$AK$201,$M228)&gt;0,
     COUNTIFS($AL$3:$AL$201,$M228)&gt;0,
     COUNTIFS($AM$3:$AM$201,$M228)&gt;0,
     COUNTIFS($AN$3:$AN$201,$M228)&gt;0,
     COUNTIFS($AO$3:$AO$201,$M228)&gt;0,
     COUNTIFS($AP$3:$AP$201,$M228)&gt;0,
     COUNTIFS($AQ$3:$AQ$201,$M228)&gt;0,
     COUNTIFS($AR$3:$AR$201,$M228)&gt;0,
     COUNTIFS($AS$3:$AS$201,$M228)&gt;0,
     COUNTIFS($AT$3:$AT$201,$M228)&gt;0,
     COUNTIFS($AU$3:$AU$201,$M228)&gt;0,
     COUNTIFS($AV$3:$AV$201,$M228)&gt;0,
     COUNTIFS($AW$3:$AW$201,$M228)&gt;0
   )),
  ),
  2
 ),
"")</f>
        <v/>
      </c>
      <c r="Q228" s="3" t="str" cm="1">
        <f t="array" aca="1" ref="Q228" ca="1">IFERROR(
 INDEX(
  _xlfn._xlws.FILTER($T$2:$AW$2,
   TRANSPOSE(
    CHOOSE({1;2;3;4;5;6;7;8;9;10;11;12;13;14;15;16;17;18;19;20;21;22;23;24;25;26;27;28;29;30},
     COUNTIFS($T$3:$T$201,$M228)&gt;0,
     COUNTIFS($U$3:$U$201,$M228)&gt;0,
     COUNTIFS($V$3:$V$201,$M228)&gt;0,
     COUNTIFS($W$3:$W$201,$M228)&gt;0,
     COUNTIFS($X$3:$X$201,$M228)&gt;0,
     COUNTIFS($Y$3:$Y$201,$M228)&gt;0,
     COUNTIFS($Z$3:$Z$201,$M228)&gt;0,
     COUNTIFS($AA$3:$AA$201,$M228)&gt;0,
     COUNTIFS($AB$3:$AB$201,$M228)&gt;0,
     COUNTIFS($AC$3:$AC$201,$M228)&gt;0,
     COUNTIFS($AD$3:$AD$201,$M228)&gt;0,
     COUNTIFS($AE$3:$AE$201,$M228)&gt;0,
     COUNTIFS($AF$3:$AF$201,$M228)&gt;0,
     COUNTIFS($AG$3:$AG$201,$M228)&gt;0,
     COUNTIFS($AH$3:$AH$201,$M228)&gt;0,
     COUNTIFS($AI$3:$AI$201,$M228)&gt;0,
     COUNTIFS($AJ$3:$AJ$201,$M228)&gt;0,
     COUNTIFS($AK$3:$AK$201,$M228)&gt;0,
     COUNTIFS($AL$3:$AL$201,$M228)&gt;0,
     COUNTIFS($AM$3:$AM$201,$M228)&gt;0,
     COUNTIFS($AN$3:$AN$201,$M228)&gt;0,
     COUNTIFS($AO$3:$AO$201,$M228)&gt;0,
     COUNTIFS($AP$3:$AP$201,$M228)&gt;0,
     COUNTIFS($AQ$3:$AQ$201,$M228)&gt;0,
     COUNTIFS($AR$3:$AR$201,$M228)&gt;0,
     COUNTIFS($AS$3:$AS$201,$M228)&gt;0,
     COUNTIFS($AT$3:$AT$201,$M228)&gt;0,
     COUNTIFS($AU$3:$AU$201,$M228)&gt;0,
     COUNTIFS($AV$3:$AV$201,$M228)&gt;0,
     COUNTIFS($AW$3:$AW$201,$M228)&gt;0
   )),
  ),
  3
 ),
"")</f>
        <v/>
      </c>
      <c r="R228" s="3" t="str" cm="1">
        <f t="array" aca="1" ref="R228" ca="1">IFERROR(
 INDEX(
  _xlfn._xlws.FILTER($T$2:$AW$2,
   TRANSPOSE(
    CHOOSE({1;2;3;4;5;6;7;8;9;10;11;12;13;14;15;16;17;18;19;20;21;22;23;24;25;26;27;28;29;30},
     COUNTIFS($T$3:$T$201,$M228)&gt;0,
     COUNTIFS($U$3:$U$201,$M228)&gt;0,
     COUNTIFS($V$3:$V$201,$M228)&gt;0,
     COUNTIFS($W$3:$W$201,$M228)&gt;0,
     COUNTIFS($X$3:$X$201,$M228)&gt;0,
     COUNTIFS($Y$3:$Y$201,$M228)&gt;0,
     COUNTIFS($Z$3:$Z$201,$M228)&gt;0,
     COUNTIFS($AA$3:$AA$201,$M228)&gt;0,
     COUNTIFS($AB$3:$AB$201,$M228)&gt;0,
     COUNTIFS($AC$3:$AC$201,$M228)&gt;0,
     COUNTIFS($AD$3:$AD$201,$M228)&gt;0,
     COUNTIFS($AE$3:$AE$201,$M228)&gt;0,
     COUNTIFS($AF$3:$AF$201,$M228)&gt;0,
     COUNTIFS($AG$3:$AG$201,$M228)&gt;0,
     COUNTIFS($AH$3:$AH$201,$M228)&gt;0,
     COUNTIFS($AI$3:$AI$201,$M228)&gt;0,
     COUNTIFS($AJ$3:$AJ$201,$M228)&gt;0,
     COUNTIFS($AK$3:$AK$201,$M228)&gt;0,
     COUNTIFS($AL$3:$AL$201,$M228)&gt;0,
     COUNTIFS($AM$3:$AM$201,$M228)&gt;0,
     COUNTIFS($AN$3:$AN$201,$M228)&gt;0,
     COUNTIFS($AO$3:$AO$201,$M228)&gt;0,
     COUNTIFS($AP$3:$AP$201,$M228)&gt;0,
     COUNTIFS($AQ$3:$AQ$201,$M228)&gt;0,
     COUNTIFS($AR$3:$AR$201,$M228)&gt;0,
     COUNTIFS($AS$3:$AS$201,$M228)&gt;0,
     COUNTIFS($AT$3:$AT$201,$M228)&gt;0,
     COUNTIFS($AU$3:$AU$201,$M228)&gt;0,
     COUNTIFS($AV$3:$AV$201,$M228)&gt;0,
     COUNTIFS($AW$3:$AW$201,$M228)&gt;0
   )),
  ),
  4
 ),
"")</f>
        <v/>
      </c>
      <c r="CI228" t="str">
        <f ca="1"/>
        <v>Sinew Sliver</v>
      </c>
    </row>
    <row r="229" spans="1:87" x14ac:dyDescent="0.25">
      <c r="A229" t="str">
        <f ca="1"/>
        <v>Sea Gate Restoration</v>
      </c>
      <c r="B229" s="3" t="str" cm="1">
        <f t="array" aca="1" ref="B229" ca="1">_xlfn.ANCHORARRAY(RESUMO!C228)</f>
        <v>Yuriko</v>
      </c>
      <c r="C229" s="3" t="str">
        <f t="shared" ca="1" si="12"/>
        <v/>
      </c>
      <c r="E229" t="str">
        <f ca="1"/>
        <v>Sisay's Ring</v>
      </c>
      <c r="F229" s="3">
        <f t="shared" ca="1" si="13"/>
        <v>1</v>
      </c>
      <c r="G229" s="3" t="str">
        <f t="shared" ca="1" si="14"/>
        <v>Oona</v>
      </c>
      <c r="M229" t="str">
        <f ca="1"/>
        <v>Sisay's Ring</v>
      </c>
      <c r="N229" s="3">
        <f t="shared" ca="1" si="15"/>
        <v>1</v>
      </c>
      <c r="O229" s="3" t="str">
        <f ca="1">IFERROR(
 INDEX($T$2:$AW$2,
  MATCH(TRUE,
   CHOOSE({1;2;3;4;5;6;7;8;9;10;11;12;13;14;15;16;17;18;19;20;21;22;23;24;25;26;27;28;29;30;31;32},
    COUNTIFS($T$3:$T$201,$M229)&gt;0,
    COUNTIFS($U$3:$U$201,$M229)&gt;0,
    COUNTIFS($V$3:$V$201,$M229)&gt;0,
    COUNTIFS($W$3:$W$201,$M229)&gt;0,
    COUNTIFS($X$3:$X$201,$M229)&gt;0,
    COUNTIFS($Y$3:$Y$201,$M229)&gt;0,
    COUNTIFS($Z$3:$Z$201,$M229)&gt;0,
    COUNTIFS($AA$3:$AA$201,$M229)&gt;0,
    COUNTIFS($AB$3:$AB$201,$M229)&gt;0,
    COUNTIFS($AC$3:$AC$201,$M229)&gt;0,
    COUNTIFS($AD$3:$AD$201,$M229)&gt;0,
    COUNTIFS($AE$3:$AE$201,$M229)&gt;0,
    COUNTIFS($AF$3:$AF$201,$M229)&gt;0,
    COUNTIFS($AG$3:$AG$201,$M229)&gt;0,
    COUNTIFS($AH$3:$AH$201,$M229)&gt;0,
    COUNTIFS($AI$3:$AI$201,$M229)&gt;0,
    COUNTIFS($AJ$3:$AJ$201,$M229)&gt;0,
    COUNTIFS($AK$3:$AK$201,$M229)&gt;0,
    COUNTIFS($AL$3:$AL$201,$M229)&gt;0,
    COUNTIFS($AM$3:$AM$201,$M229)&gt;0,
    COUNTIFS($AN$3:$AN$201,$M229)&gt;0,
    COUNTIFS($AO$3:$AO$201,$M229)&gt;0,
    COUNTIFS($AP$3:$AP$201,$M229)&gt;0,
    COUNTIFS($AQ$3:$AQ$201,$M229)&gt;0,
    COUNTIFS($AR$3:$AR$201,$M229)&gt;0,
    COUNTIFS($AS$3:$AS$201,$M229)&gt;0,
    COUNTIFS($AT$3:$AT$201,$M229)&gt;0,
    COUNTIFS($AU$3:$AU$201,$M229)&gt;0,
    COUNTIFS($AV$3:$AV$201,$M229)&gt;0,
    COUNTIFS($AW$3:$AW$201,$M229)&gt;0
   ),
  0)
 ),
"")</f>
        <v>Oona</v>
      </c>
      <c r="P229" s="3" t="str" cm="1">
        <f t="array" aca="1" ref="P229" ca="1">IFERROR(
 INDEX(
  _xlfn._xlws.FILTER($T$2:$AW$2,
   TRANSPOSE(
    CHOOSE({1;2;3;4;5;6;7;8;9;10;11;12;13;14;15;16;17;18;19;20;21;22;23;24;25;26;27;28;29;30},
     COUNTIFS($T$3:$T$201,$M229)&gt;0,
     COUNTIFS($U$3:$U$201,$M229)&gt;0,
     COUNTIFS($V$3:$V$201,$M229)&gt;0,
     COUNTIFS($W$3:$W$201,$M229)&gt;0,
     COUNTIFS($X$3:$X$201,$M229)&gt;0,
     COUNTIFS($Y$3:$Y$201,$M229)&gt;0,
     COUNTIFS($Z$3:$Z$201,$M229)&gt;0,
     COUNTIFS($AA$3:$AA$201,$M229)&gt;0,
     COUNTIFS($AB$3:$AB$201,$M229)&gt;0,
     COUNTIFS($AC$3:$AC$201,$M229)&gt;0,
     COUNTIFS($AD$3:$AD$201,$M229)&gt;0,
     COUNTIFS($AE$3:$AE$201,$M229)&gt;0,
     COUNTIFS($AF$3:$AF$201,$M229)&gt;0,
     COUNTIFS($AG$3:$AG$201,$M229)&gt;0,
     COUNTIFS($AH$3:$AH$201,$M229)&gt;0,
     COUNTIFS($AI$3:$AI$201,$M229)&gt;0,
     COUNTIFS($AJ$3:$AJ$201,$M229)&gt;0,
     COUNTIFS($AK$3:$AK$201,$M229)&gt;0,
     COUNTIFS($AL$3:$AL$201,$M229)&gt;0,
     COUNTIFS($AM$3:$AM$201,$M229)&gt;0,
     COUNTIFS($AN$3:$AN$201,$M229)&gt;0,
     COUNTIFS($AO$3:$AO$201,$M229)&gt;0,
     COUNTIFS($AP$3:$AP$201,$M229)&gt;0,
     COUNTIFS($AQ$3:$AQ$201,$M229)&gt;0,
     COUNTIFS($AR$3:$AR$201,$M229)&gt;0,
     COUNTIFS($AS$3:$AS$201,$M229)&gt;0,
     COUNTIFS($AT$3:$AT$201,$M229)&gt;0,
     COUNTIFS($AU$3:$AU$201,$M229)&gt;0,
     COUNTIFS($AV$3:$AV$201,$M229)&gt;0,
     COUNTIFS($AW$3:$AW$201,$M229)&gt;0
   )),
  ),
  2
 ),
"")</f>
        <v/>
      </c>
      <c r="Q229" s="3" t="str" cm="1">
        <f t="array" aca="1" ref="Q229" ca="1">IFERROR(
 INDEX(
  _xlfn._xlws.FILTER($T$2:$AW$2,
   TRANSPOSE(
    CHOOSE({1;2;3;4;5;6;7;8;9;10;11;12;13;14;15;16;17;18;19;20;21;22;23;24;25;26;27;28;29;30},
     COUNTIFS($T$3:$T$201,$M229)&gt;0,
     COUNTIFS($U$3:$U$201,$M229)&gt;0,
     COUNTIFS($V$3:$V$201,$M229)&gt;0,
     COUNTIFS($W$3:$W$201,$M229)&gt;0,
     COUNTIFS($X$3:$X$201,$M229)&gt;0,
     COUNTIFS($Y$3:$Y$201,$M229)&gt;0,
     COUNTIFS($Z$3:$Z$201,$M229)&gt;0,
     COUNTIFS($AA$3:$AA$201,$M229)&gt;0,
     COUNTIFS($AB$3:$AB$201,$M229)&gt;0,
     COUNTIFS($AC$3:$AC$201,$M229)&gt;0,
     COUNTIFS($AD$3:$AD$201,$M229)&gt;0,
     COUNTIFS($AE$3:$AE$201,$M229)&gt;0,
     COUNTIFS($AF$3:$AF$201,$M229)&gt;0,
     COUNTIFS($AG$3:$AG$201,$M229)&gt;0,
     COUNTIFS($AH$3:$AH$201,$M229)&gt;0,
     COUNTIFS($AI$3:$AI$201,$M229)&gt;0,
     COUNTIFS($AJ$3:$AJ$201,$M229)&gt;0,
     COUNTIFS($AK$3:$AK$201,$M229)&gt;0,
     COUNTIFS($AL$3:$AL$201,$M229)&gt;0,
     COUNTIFS($AM$3:$AM$201,$M229)&gt;0,
     COUNTIFS($AN$3:$AN$201,$M229)&gt;0,
     COUNTIFS($AO$3:$AO$201,$M229)&gt;0,
     COUNTIFS($AP$3:$AP$201,$M229)&gt;0,
     COUNTIFS($AQ$3:$AQ$201,$M229)&gt;0,
     COUNTIFS($AR$3:$AR$201,$M229)&gt;0,
     COUNTIFS($AS$3:$AS$201,$M229)&gt;0,
     COUNTIFS($AT$3:$AT$201,$M229)&gt;0,
     COUNTIFS($AU$3:$AU$201,$M229)&gt;0,
     COUNTIFS($AV$3:$AV$201,$M229)&gt;0,
     COUNTIFS($AW$3:$AW$201,$M229)&gt;0
   )),
  ),
  3
 ),
"")</f>
        <v/>
      </c>
      <c r="R229" s="3" t="str" cm="1">
        <f t="array" aca="1" ref="R229" ca="1">IFERROR(
 INDEX(
  _xlfn._xlws.FILTER($T$2:$AW$2,
   TRANSPOSE(
    CHOOSE({1;2;3;4;5;6;7;8;9;10;11;12;13;14;15;16;17;18;19;20;21;22;23;24;25;26;27;28;29;30},
     COUNTIFS($T$3:$T$201,$M229)&gt;0,
     COUNTIFS($U$3:$U$201,$M229)&gt;0,
     COUNTIFS($V$3:$V$201,$M229)&gt;0,
     COUNTIFS($W$3:$W$201,$M229)&gt;0,
     COUNTIFS($X$3:$X$201,$M229)&gt;0,
     COUNTIFS($Y$3:$Y$201,$M229)&gt;0,
     COUNTIFS($Z$3:$Z$201,$M229)&gt;0,
     COUNTIFS($AA$3:$AA$201,$M229)&gt;0,
     COUNTIFS($AB$3:$AB$201,$M229)&gt;0,
     COUNTIFS($AC$3:$AC$201,$M229)&gt;0,
     COUNTIFS($AD$3:$AD$201,$M229)&gt;0,
     COUNTIFS($AE$3:$AE$201,$M229)&gt;0,
     COUNTIFS($AF$3:$AF$201,$M229)&gt;0,
     COUNTIFS($AG$3:$AG$201,$M229)&gt;0,
     COUNTIFS($AH$3:$AH$201,$M229)&gt;0,
     COUNTIFS($AI$3:$AI$201,$M229)&gt;0,
     COUNTIFS($AJ$3:$AJ$201,$M229)&gt;0,
     COUNTIFS($AK$3:$AK$201,$M229)&gt;0,
     COUNTIFS($AL$3:$AL$201,$M229)&gt;0,
     COUNTIFS($AM$3:$AM$201,$M229)&gt;0,
     COUNTIFS($AN$3:$AN$201,$M229)&gt;0,
     COUNTIFS($AO$3:$AO$201,$M229)&gt;0,
     COUNTIFS($AP$3:$AP$201,$M229)&gt;0,
     COUNTIFS($AQ$3:$AQ$201,$M229)&gt;0,
     COUNTIFS($AR$3:$AR$201,$M229)&gt;0,
     COUNTIFS($AS$3:$AS$201,$M229)&gt;0,
     COUNTIFS($AT$3:$AT$201,$M229)&gt;0,
     COUNTIFS($AU$3:$AU$201,$M229)&gt;0,
     COUNTIFS($AV$3:$AV$201,$M229)&gt;0,
     COUNTIFS($AW$3:$AW$201,$M229)&gt;0
   )),
  ),
  4
 ),
"")</f>
        <v/>
      </c>
      <c r="CI229" t="str">
        <f ca="1"/>
        <v>Sisay's Ring</v>
      </c>
    </row>
    <row r="230" spans="1:87" x14ac:dyDescent="0.25">
      <c r="A230" t="str">
        <f ca="1"/>
        <v>Sea of Clouds</v>
      </c>
      <c r="B230" s="3" t="str" cm="1">
        <f t="array" aca="1" ref="B230" ca="1">_xlfn.ANCHORARRAY(RESUMO!C229)</f>
        <v>Narset</v>
      </c>
      <c r="C230" s="3" t="str">
        <f t="shared" ca="1" si="12"/>
        <v/>
      </c>
      <c r="E230" t="str">
        <f ca="1"/>
        <v>Skyclave Cleric</v>
      </c>
      <c r="F230" s="3">
        <f t="shared" ca="1" si="13"/>
        <v>1</v>
      </c>
      <c r="G230" s="3" t="str">
        <f t="shared" ca="1" si="14"/>
        <v>Carlos</v>
      </c>
      <c r="M230" t="str">
        <f ca="1"/>
        <v>Skyclave Cleric</v>
      </c>
      <c r="N230" s="3">
        <f t="shared" ca="1" si="15"/>
        <v>1</v>
      </c>
      <c r="O230" s="3" t="str">
        <f ca="1">IFERROR(
 INDEX($T$2:$AW$2,
  MATCH(TRUE,
   CHOOSE({1;2;3;4;5;6;7;8;9;10;11;12;13;14;15;16;17;18;19;20;21;22;23;24;25;26;27;28;29;30;31;32},
    COUNTIFS($T$3:$T$201,$M230)&gt;0,
    COUNTIFS($U$3:$U$201,$M230)&gt;0,
    COUNTIFS($V$3:$V$201,$M230)&gt;0,
    COUNTIFS($W$3:$W$201,$M230)&gt;0,
    COUNTIFS($X$3:$X$201,$M230)&gt;0,
    COUNTIFS($Y$3:$Y$201,$M230)&gt;0,
    COUNTIFS($Z$3:$Z$201,$M230)&gt;0,
    COUNTIFS($AA$3:$AA$201,$M230)&gt;0,
    COUNTIFS($AB$3:$AB$201,$M230)&gt;0,
    COUNTIFS($AC$3:$AC$201,$M230)&gt;0,
    COUNTIFS($AD$3:$AD$201,$M230)&gt;0,
    COUNTIFS($AE$3:$AE$201,$M230)&gt;0,
    COUNTIFS($AF$3:$AF$201,$M230)&gt;0,
    COUNTIFS($AG$3:$AG$201,$M230)&gt;0,
    COUNTIFS($AH$3:$AH$201,$M230)&gt;0,
    COUNTIFS($AI$3:$AI$201,$M230)&gt;0,
    COUNTIFS($AJ$3:$AJ$201,$M230)&gt;0,
    COUNTIFS($AK$3:$AK$201,$M230)&gt;0,
    COUNTIFS($AL$3:$AL$201,$M230)&gt;0,
    COUNTIFS($AM$3:$AM$201,$M230)&gt;0,
    COUNTIFS($AN$3:$AN$201,$M230)&gt;0,
    COUNTIFS($AO$3:$AO$201,$M230)&gt;0,
    COUNTIFS($AP$3:$AP$201,$M230)&gt;0,
    COUNTIFS($AQ$3:$AQ$201,$M230)&gt;0,
    COUNTIFS($AR$3:$AR$201,$M230)&gt;0,
    COUNTIFS($AS$3:$AS$201,$M230)&gt;0,
    COUNTIFS($AT$3:$AT$201,$M230)&gt;0,
    COUNTIFS($AU$3:$AU$201,$M230)&gt;0,
    COUNTIFS($AV$3:$AV$201,$M230)&gt;0,
    COUNTIFS($AW$3:$AW$201,$M230)&gt;0
   ),
  0)
 ),
"")</f>
        <v>Carlos</v>
      </c>
      <c r="P230" s="3" t="str" cm="1">
        <f t="array" aca="1" ref="P230" ca="1">IFERROR(
 INDEX(
  _xlfn._xlws.FILTER($T$2:$AW$2,
   TRANSPOSE(
    CHOOSE({1;2;3;4;5;6;7;8;9;10;11;12;13;14;15;16;17;18;19;20;21;22;23;24;25;26;27;28;29;30},
     COUNTIFS($T$3:$T$201,$M230)&gt;0,
     COUNTIFS($U$3:$U$201,$M230)&gt;0,
     COUNTIFS($V$3:$V$201,$M230)&gt;0,
     COUNTIFS($W$3:$W$201,$M230)&gt;0,
     COUNTIFS($X$3:$X$201,$M230)&gt;0,
     COUNTIFS($Y$3:$Y$201,$M230)&gt;0,
     COUNTIFS($Z$3:$Z$201,$M230)&gt;0,
     COUNTIFS($AA$3:$AA$201,$M230)&gt;0,
     COUNTIFS($AB$3:$AB$201,$M230)&gt;0,
     COUNTIFS($AC$3:$AC$201,$M230)&gt;0,
     COUNTIFS($AD$3:$AD$201,$M230)&gt;0,
     COUNTIFS($AE$3:$AE$201,$M230)&gt;0,
     COUNTIFS($AF$3:$AF$201,$M230)&gt;0,
     COUNTIFS($AG$3:$AG$201,$M230)&gt;0,
     COUNTIFS($AH$3:$AH$201,$M230)&gt;0,
     COUNTIFS($AI$3:$AI$201,$M230)&gt;0,
     COUNTIFS($AJ$3:$AJ$201,$M230)&gt;0,
     COUNTIFS($AK$3:$AK$201,$M230)&gt;0,
     COUNTIFS($AL$3:$AL$201,$M230)&gt;0,
     COUNTIFS($AM$3:$AM$201,$M230)&gt;0,
     COUNTIFS($AN$3:$AN$201,$M230)&gt;0,
     COUNTIFS($AO$3:$AO$201,$M230)&gt;0,
     COUNTIFS($AP$3:$AP$201,$M230)&gt;0,
     COUNTIFS($AQ$3:$AQ$201,$M230)&gt;0,
     COUNTIFS($AR$3:$AR$201,$M230)&gt;0,
     COUNTIFS($AS$3:$AS$201,$M230)&gt;0,
     COUNTIFS($AT$3:$AT$201,$M230)&gt;0,
     COUNTIFS($AU$3:$AU$201,$M230)&gt;0,
     COUNTIFS($AV$3:$AV$201,$M230)&gt;0,
     COUNTIFS($AW$3:$AW$201,$M230)&gt;0
   )),
  ),
  2
 ),
"")</f>
        <v/>
      </c>
      <c r="Q230" s="3" t="str" cm="1">
        <f t="array" aca="1" ref="Q230" ca="1">IFERROR(
 INDEX(
  _xlfn._xlws.FILTER($T$2:$AW$2,
   TRANSPOSE(
    CHOOSE({1;2;3;4;5;6;7;8;9;10;11;12;13;14;15;16;17;18;19;20;21;22;23;24;25;26;27;28;29;30},
     COUNTIFS($T$3:$T$201,$M230)&gt;0,
     COUNTIFS($U$3:$U$201,$M230)&gt;0,
     COUNTIFS($V$3:$V$201,$M230)&gt;0,
     COUNTIFS($W$3:$W$201,$M230)&gt;0,
     COUNTIFS($X$3:$X$201,$M230)&gt;0,
     COUNTIFS($Y$3:$Y$201,$M230)&gt;0,
     COUNTIFS($Z$3:$Z$201,$M230)&gt;0,
     COUNTIFS($AA$3:$AA$201,$M230)&gt;0,
     COUNTIFS($AB$3:$AB$201,$M230)&gt;0,
     COUNTIFS($AC$3:$AC$201,$M230)&gt;0,
     COUNTIFS($AD$3:$AD$201,$M230)&gt;0,
     COUNTIFS($AE$3:$AE$201,$M230)&gt;0,
     COUNTIFS($AF$3:$AF$201,$M230)&gt;0,
     COUNTIFS($AG$3:$AG$201,$M230)&gt;0,
     COUNTIFS($AH$3:$AH$201,$M230)&gt;0,
     COUNTIFS($AI$3:$AI$201,$M230)&gt;0,
     COUNTIFS($AJ$3:$AJ$201,$M230)&gt;0,
     COUNTIFS($AK$3:$AK$201,$M230)&gt;0,
     COUNTIFS($AL$3:$AL$201,$M230)&gt;0,
     COUNTIFS($AM$3:$AM$201,$M230)&gt;0,
     COUNTIFS($AN$3:$AN$201,$M230)&gt;0,
     COUNTIFS($AO$3:$AO$201,$M230)&gt;0,
     COUNTIFS($AP$3:$AP$201,$M230)&gt;0,
     COUNTIFS($AQ$3:$AQ$201,$M230)&gt;0,
     COUNTIFS($AR$3:$AR$201,$M230)&gt;0,
     COUNTIFS($AS$3:$AS$201,$M230)&gt;0,
     COUNTIFS($AT$3:$AT$201,$M230)&gt;0,
     COUNTIFS($AU$3:$AU$201,$M230)&gt;0,
     COUNTIFS($AV$3:$AV$201,$M230)&gt;0,
     COUNTIFS($AW$3:$AW$201,$M230)&gt;0
   )),
  ),
  3
 ),
"")</f>
        <v/>
      </c>
      <c r="R230" s="3" t="str" cm="1">
        <f t="array" aca="1" ref="R230" ca="1">IFERROR(
 INDEX(
  _xlfn._xlws.FILTER($T$2:$AW$2,
   TRANSPOSE(
    CHOOSE({1;2;3;4;5;6;7;8;9;10;11;12;13;14;15;16;17;18;19;20;21;22;23;24;25;26;27;28;29;30},
     COUNTIFS($T$3:$T$201,$M230)&gt;0,
     COUNTIFS($U$3:$U$201,$M230)&gt;0,
     COUNTIFS($V$3:$V$201,$M230)&gt;0,
     COUNTIFS($W$3:$W$201,$M230)&gt;0,
     COUNTIFS($X$3:$X$201,$M230)&gt;0,
     COUNTIFS($Y$3:$Y$201,$M230)&gt;0,
     COUNTIFS($Z$3:$Z$201,$M230)&gt;0,
     COUNTIFS($AA$3:$AA$201,$M230)&gt;0,
     COUNTIFS($AB$3:$AB$201,$M230)&gt;0,
     COUNTIFS($AC$3:$AC$201,$M230)&gt;0,
     COUNTIFS($AD$3:$AD$201,$M230)&gt;0,
     COUNTIFS($AE$3:$AE$201,$M230)&gt;0,
     COUNTIFS($AF$3:$AF$201,$M230)&gt;0,
     COUNTIFS($AG$3:$AG$201,$M230)&gt;0,
     COUNTIFS($AH$3:$AH$201,$M230)&gt;0,
     COUNTIFS($AI$3:$AI$201,$M230)&gt;0,
     COUNTIFS($AJ$3:$AJ$201,$M230)&gt;0,
     COUNTIFS($AK$3:$AK$201,$M230)&gt;0,
     COUNTIFS($AL$3:$AL$201,$M230)&gt;0,
     COUNTIFS($AM$3:$AM$201,$M230)&gt;0,
     COUNTIFS($AN$3:$AN$201,$M230)&gt;0,
     COUNTIFS($AO$3:$AO$201,$M230)&gt;0,
     COUNTIFS($AP$3:$AP$201,$M230)&gt;0,
     COUNTIFS($AQ$3:$AQ$201,$M230)&gt;0,
     COUNTIFS($AR$3:$AR$201,$M230)&gt;0,
     COUNTIFS($AS$3:$AS$201,$M230)&gt;0,
     COUNTIFS($AT$3:$AT$201,$M230)&gt;0,
     COUNTIFS($AU$3:$AU$201,$M230)&gt;0,
     COUNTIFS($AV$3:$AV$201,$M230)&gt;0,
     COUNTIFS($AW$3:$AW$201,$M230)&gt;0
   )),
  ),
  4
 ),
"")</f>
        <v/>
      </c>
      <c r="CI230" t="str">
        <f ca="1"/>
        <v>Skyclave Cleric</v>
      </c>
    </row>
    <row r="231" spans="1:87" x14ac:dyDescent="0.25">
      <c r="A231" t="str">
        <f ca="1"/>
        <v>Seahunter</v>
      </c>
      <c r="B231" s="3" t="str" cm="1">
        <f t="array" aca="1" ref="B231" ca="1">_xlfn.ANCHORARRAY(RESUMO!C230)</f>
        <v>Kumena</v>
      </c>
      <c r="C231" s="3" t="str">
        <f t="shared" ca="1" si="12"/>
        <v/>
      </c>
      <c r="E231" t="str">
        <f ca="1"/>
        <v>Solidariedade dos Heróis</v>
      </c>
      <c r="F231" s="3">
        <f t="shared" ca="1" si="13"/>
        <v>1</v>
      </c>
      <c r="G231" s="3" t="str">
        <f t="shared" ca="1" si="14"/>
        <v>Tayam</v>
      </c>
      <c r="M231" t="str">
        <f ca="1"/>
        <v>Solidariedade dos Heróis</v>
      </c>
      <c r="N231" s="3">
        <f t="shared" ca="1" si="15"/>
        <v>1</v>
      </c>
      <c r="O231" s="3" t="str">
        <f ca="1">IFERROR(
 INDEX($T$2:$AW$2,
  MATCH(TRUE,
   CHOOSE({1;2;3;4;5;6;7;8;9;10;11;12;13;14;15;16;17;18;19;20;21;22;23;24;25;26;27;28;29;30;31;32},
    COUNTIFS($T$3:$T$201,$M231)&gt;0,
    COUNTIFS($U$3:$U$201,$M231)&gt;0,
    COUNTIFS($V$3:$V$201,$M231)&gt;0,
    COUNTIFS($W$3:$W$201,$M231)&gt;0,
    COUNTIFS($X$3:$X$201,$M231)&gt;0,
    COUNTIFS($Y$3:$Y$201,$M231)&gt;0,
    COUNTIFS($Z$3:$Z$201,$M231)&gt;0,
    COUNTIFS($AA$3:$AA$201,$M231)&gt;0,
    COUNTIFS($AB$3:$AB$201,$M231)&gt;0,
    COUNTIFS($AC$3:$AC$201,$M231)&gt;0,
    COUNTIFS($AD$3:$AD$201,$M231)&gt;0,
    COUNTIFS($AE$3:$AE$201,$M231)&gt;0,
    COUNTIFS($AF$3:$AF$201,$M231)&gt;0,
    COUNTIFS($AG$3:$AG$201,$M231)&gt;0,
    COUNTIFS($AH$3:$AH$201,$M231)&gt;0,
    COUNTIFS($AI$3:$AI$201,$M231)&gt;0,
    COUNTIFS($AJ$3:$AJ$201,$M231)&gt;0,
    COUNTIFS($AK$3:$AK$201,$M231)&gt;0,
    COUNTIFS($AL$3:$AL$201,$M231)&gt;0,
    COUNTIFS($AM$3:$AM$201,$M231)&gt;0,
    COUNTIFS($AN$3:$AN$201,$M231)&gt;0,
    COUNTIFS($AO$3:$AO$201,$M231)&gt;0,
    COUNTIFS($AP$3:$AP$201,$M231)&gt;0,
    COUNTIFS($AQ$3:$AQ$201,$M231)&gt;0,
    COUNTIFS($AR$3:$AR$201,$M231)&gt;0,
    COUNTIFS($AS$3:$AS$201,$M231)&gt;0,
    COUNTIFS($AT$3:$AT$201,$M231)&gt;0,
    COUNTIFS($AU$3:$AU$201,$M231)&gt;0,
    COUNTIFS($AV$3:$AV$201,$M231)&gt;0,
    COUNTIFS($AW$3:$AW$201,$M231)&gt;0
   ),
  0)
 ),
"")</f>
        <v>Tayam</v>
      </c>
      <c r="P231" s="3" t="str" cm="1">
        <f t="array" aca="1" ref="P231" ca="1">IFERROR(
 INDEX(
  _xlfn._xlws.FILTER($T$2:$AW$2,
   TRANSPOSE(
    CHOOSE({1;2;3;4;5;6;7;8;9;10;11;12;13;14;15;16;17;18;19;20;21;22;23;24;25;26;27;28;29;30},
     COUNTIFS($T$3:$T$201,$M231)&gt;0,
     COUNTIFS($U$3:$U$201,$M231)&gt;0,
     COUNTIFS($V$3:$V$201,$M231)&gt;0,
     COUNTIFS($W$3:$W$201,$M231)&gt;0,
     COUNTIFS($X$3:$X$201,$M231)&gt;0,
     COUNTIFS($Y$3:$Y$201,$M231)&gt;0,
     COUNTIFS($Z$3:$Z$201,$M231)&gt;0,
     COUNTIFS($AA$3:$AA$201,$M231)&gt;0,
     COUNTIFS($AB$3:$AB$201,$M231)&gt;0,
     COUNTIFS($AC$3:$AC$201,$M231)&gt;0,
     COUNTIFS($AD$3:$AD$201,$M231)&gt;0,
     COUNTIFS($AE$3:$AE$201,$M231)&gt;0,
     COUNTIFS($AF$3:$AF$201,$M231)&gt;0,
     COUNTIFS($AG$3:$AG$201,$M231)&gt;0,
     COUNTIFS($AH$3:$AH$201,$M231)&gt;0,
     COUNTIFS($AI$3:$AI$201,$M231)&gt;0,
     COUNTIFS($AJ$3:$AJ$201,$M231)&gt;0,
     COUNTIFS($AK$3:$AK$201,$M231)&gt;0,
     COUNTIFS($AL$3:$AL$201,$M231)&gt;0,
     COUNTIFS($AM$3:$AM$201,$M231)&gt;0,
     COUNTIFS($AN$3:$AN$201,$M231)&gt;0,
     COUNTIFS($AO$3:$AO$201,$M231)&gt;0,
     COUNTIFS($AP$3:$AP$201,$M231)&gt;0,
     COUNTIFS($AQ$3:$AQ$201,$M231)&gt;0,
     COUNTIFS($AR$3:$AR$201,$M231)&gt;0,
     COUNTIFS($AS$3:$AS$201,$M231)&gt;0,
     COUNTIFS($AT$3:$AT$201,$M231)&gt;0,
     COUNTIFS($AU$3:$AU$201,$M231)&gt;0,
     COUNTIFS($AV$3:$AV$201,$M231)&gt;0,
     COUNTIFS($AW$3:$AW$201,$M231)&gt;0
   )),
  ),
  2
 ),
"")</f>
        <v/>
      </c>
      <c r="Q231" s="3" t="str" cm="1">
        <f t="array" aca="1" ref="Q231" ca="1">IFERROR(
 INDEX(
  _xlfn._xlws.FILTER($T$2:$AW$2,
   TRANSPOSE(
    CHOOSE({1;2;3;4;5;6;7;8;9;10;11;12;13;14;15;16;17;18;19;20;21;22;23;24;25;26;27;28;29;30},
     COUNTIFS($T$3:$T$201,$M231)&gt;0,
     COUNTIFS($U$3:$U$201,$M231)&gt;0,
     COUNTIFS($V$3:$V$201,$M231)&gt;0,
     COUNTIFS($W$3:$W$201,$M231)&gt;0,
     COUNTIFS($X$3:$X$201,$M231)&gt;0,
     COUNTIFS($Y$3:$Y$201,$M231)&gt;0,
     COUNTIFS($Z$3:$Z$201,$M231)&gt;0,
     COUNTIFS($AA$3:$AA$201,$M231)&gt;0,
     COUNTIFS($AB$3:$AB$201,$M231)&gt;0,
     COUNTIFS($AC$3:$AC$201,$M231)&gt;0,
     COUNTIFS($AD$3:$AD$201,$M231)&gt;0,
     COUNTIFS($AE$3:$AE$201,$M231)&gt;0,
     COUNTIFS($AF$3:$AF$201,$M231)&gt;0,
     COUNTIFS($AG$3:$AG$201,$M231)&gt;0,
     COUNTIFS($AH$3:$AH$201,$M231)&gt;0,
     COUNTIFS($AI$3:$AI$201,$M231)&gt;0,
     COUNTIFS($AJ$3:$AJ$201,$M231)&gt;0,
     COUNTIFS($AK$3:$AK$201,$M231)&gt;0,
     COUNTIFS($AL$3:$AL$201,$M231)&gt;0,
     COUNTIFS($AM$3:$AM$201,$M231)&gt;0,
     COUNTIFS($AN$3:$AN$201,$M231)&gt;0,
     COUNTIFS($AO$3:$AO$201,$M231)&gt;0,
     COUNTIFS($AP$3:$AP$201,$M231)&gt;0,
     COUNTIFS($AQ$3:$AQ$201,$M231)&gt;0,
     COUNTIFS($AR$3:$AR$201,$M231)&gt;0,
     COUNTIFS($AS$3:$AS$201,$M231)&gt;0,
     COUNTIFS($AT$3:$AT$201,$M231)&gt;0,
     COUNTIFS($AU$3:$AU$201,$M231)&gt;0,
     COUNTIFS($AV$3:$AV$201,$M231)&gt;0,
     COUNTIFS($AW$3:$AW$201,$M231)&gt;0
   )),
  ),
  3
 ),
"")</f>
        <v/>
      </c>
      <c r="R231" s="3" t="str" cm="1">
        <f t="array" aca="1" ref="R231" ca="1">IFERROR(
 INDEX(
  _xlfn._xlws.FILTER($T$2:$AW$2,
   TRANSPOSE(
    CHOOSE({1;2;3;4;5;6;7;8;9;10;11;12;13;14;15;16;17;18;19;20;21;22;23;24;25;26;27;28;29;30},
     COUNTIFS($T$3:$T$201,$M231)&gt;0,
     COUNTIFS($U$3:$U$201,$M231)&gt;0,
     COUNTIFS($V$3:$V$201,$M231)&gt;0,
     COUNTIFS($W$3:$W$201,$M231)&gt;0,
     COUNTIFS($X$3:$X$201,$M231)&gt;0,
     COUNTIFS($Y$3:$Y$201,$M231)&gt;0,
     COUNTIFS($Z$3:$Z$201,$M231)&gt;0,
     COUNTIFS($AA$3:$AA$201,$M231)&gt;0,
     COUNTIFS($AB$3:$AB$201,$M231)&gt;0,
     COUNTIFS($AC$3:$AC$201,$M231)&gt;0,
     COUNTIFS($AD$3:$AD$201,$M231)&gt;0,
     COUNTIFS($AE$3:$AE$201,$M231)&gt;0,
     COUNTIFS($AF$3:$AF$201,$M231)&gt;0,
     COUNTIFS($AG$3:$AG$201,$M231)&gt;0,
     COUNTIFS($AH$3:$AH$201,$M231)&gt;0,
     COUNTIFS($AI$3:$AI$201,$M231)&gt;0,
     COUNTIFS($AJ$3:$AJ$201,$M231)&gt;0,
     COUNTIFS($AK$3:$AK$201,$M231)&gt;0,
     COUNTIFS($AL$3:$AL$201,$M231)&gt;0,
     COUNTIFS($AM$3:$AM$201,$M231)&gt;0,
     COUNTIFS($AN$3:$AN$201,$M231)&gt;0,
     COUNTIFS($AO$3:$AO$201,$M231)&gt;0,
     COUNTIFS($AP$3:$AP$201,$M231)&gt;0,
     COUNTIFS($AQ$3:$AQ$201,$M231)&gt;0,
     COUNTIFS($AR$3:$AR$201,$M231)&gt;0,
     COUNTIFS($AS$3:$AS$201,$M231)&gt;0,
     COUNTIFS($AT$3:$AT$201,$M231)&gt;0,
     COUNTIFS($AU$3:$AU$201,$M231)&gt;0,
     COUNTIFS($AV$3:$AV$201,$M231)&gt;0,
     COUNTIFS($AW$3:$AW$201,$M231)&gt;0
   )),
  ),
  4
 ),
"")</f>
        <v/>
      </c>
      <c r="CI231" t="str">
        <f ca="1"/>
        <v>Solidariedade dos Heróis</v>
      </c>
    </row>
    <row r="232" spans="1:87" x14ac:dyDescent="0.25">
      <c r="A232" t="str">
        <f ca="1"/>
        <v>Season of Weaving</v>
      </c>
      <c r="B232" s="3" t="str" cm="1">
        <f t="array" aca="1" ref="B232" ca="1">_xlfn.ANCHORARRAY(RESUMO!C231)</f>
        <v>Oona</v>
      </c>
      <c r="C232" s="3" t="str">
        <f t="shared" ca="1" si="12"/>
        <v/>
      </c>
      <c r="E232" t="str">
        <f ca="1"/>
        <v>Sombra Mutável</v>
      </c>
      <c r="F232" s="3">
        <f t="shared" ca="1" si="13"/>
        <v>1</v>
      </c>
      <c r="G232" s="3" t="str">
        <f t="shared" ca="1" si="14"/>
        <v>Akiri</v>
      </c>
      <c r="M232" t="str">
        <f ca="1"/>
        <v>Sombra Mutável</v>
      </c>
      <c r="N232" s="3">
        <f t="shared" ca="1" si="15"/>
        <v>1</v>
      </c>
      <c r="O232" s="3" t="str">
        <f ca="1">IFERROR(
 INDEX($T$2:$AW$2,
  MATCH(TRUE,
   CHOOSE({1;2;3;4;5;6;7;8;9;10;11;12;13;14;15;16;17;18;19;20;21;22;23;24;25;26;27;28;29;30;31;32},
    COUNTIFS($T$3:$T$201,$M232)&gt;0,
    COUNTIFS($U$3:$U$201,$M232)&gt;0,
    COUNTIFS($V$3:$V$201,$M232)&gt;0,
    COUNTIFS($W$3:$W$201,$M232)&gt;0,
    COUNTIFS($X$3:$X$201,$M232)&gt;0,
    COUNTIFS($Y$3:$Y$201,$M232)&gt;0,
    COUNTIFS($Z$3:$Z$201,$M232)&gt;0,
    COUNTIFS($AA$3:$AA$201,$M232)&gt;0,
    COUNTIFS($AB$3:$AB$201,$M232)&gt;0,
    COUNTIFS($AC$3:$AC$201,$M232)&gt;0,
    COUNTIFS($AD$3:$AD$201,$M232)&gt;0,
    COUNTIFS($AE$3:$AE$201,$M232)&gt;0,
    COUNTIFS($AF$3:$AF$201,$M232)&gt;0,
    COUNTIFS($AG$3:$AG$201,$M232)&gt;0,
    COUNTIFS($AH$3:$AH$201,$M232)&gt;0,
    COUNTIFS($AI$3:$AI$201,$M232)&gt;0,
    COUNTIFS($AJ$3:$AJ$201,$M232)&gt;0,
    COUNTIFS($AK$3:$AK$201,$M232)&gt;0,
    COUNTIFS($AL$3:$AL$201,$M232)&gt;0,
    COUNTIFS($AM$3:$AM$201,$M232)&gt;0,
    COUNTIFS($AN$3:$AN$201,$M232)&gt;0,
    COUNTIFS($AO$3:$AO$201,$M232)&gt;0,
    COUNTIFS($AP$3:$AP$201,$M232)&gt;0,
    COUNTIFS($AQ$3:$AQ$201,$M232)&gt;0,
    COUNTIFS($AR$3:$AR$201,$M232)&gt;0,
    COUNTIFS($AS$3:$AS$201,$M232)&gt;0,
    COUNTIFS($AT$3:$AT$201,$M232)&gt;0,
    COUNTIFS($AU$3:$AU$201,$M232)&gt;0,
    COUNTIFS($AV$3:$AV$201,$M232)&gt;0,
    COUNTIFS($AW$3:$AW$201,$M232)&gt;0
   ),
  0)
 ),
"")</f>
        <v>Akiri</v>
      </c>
      <c r="P232" s="3" t="str" cm="1">
        <f t="array" aca="1" ref="P232" ca="1">IFERROR(
 INDEX(
  _xlfn._xlws.FILTER($T$2:$AW$2,
   TRANSPOSE(
    CHOOSE({1;2;3;4;5;6;7;8;9;10;11;12;13;14;15;16;17;18;19;20;21;22;23;24;25;26;27;28;29;30},
     COUNTIFS($T$3:$T$201,$M232)&gt;0,
     COUNTIFS($U$3:$U$201,$M232)&gt;0,
     COUNTIFS($V$3:$V$201,$M232)&gt;0,
     COUNTIFS($W$3:$W$201,$M232)&gt;0,
     COUNTIFS($X$3:$X$201,$M232)&gt;0,
     COUNTIFS($Y$3:$Y$201,$M232)&gt;0,
     COUNTIFS($Z$3:$Z$201,$M232)&gt;0,
     COUNTIFS($AA$3:$AA$201,$M232)&gt;0,
     COUNTIFS($AB$3:$AB$201,$M232)&gt;0,
     COUNTIFS($AC$3:$AC$201,$M232)&gt;0,
     COUNTIFS($AD$3:$AD$201,$M232)&gt;0,
     COUNTIFS($AE$3:$AE$201,$M232)&gt;0,
     COUNTIFS($AF$3:$AF$201,$M232)&gt;0,
     COUNTIFS($AG$3:$AG$201,$M232)&gt;0,
     COUNTIFS($AH$3:$AH$201,$M232)&gt;0,
     COUNTIFS($AI$3:$AI$201,$M232)&gt;0,
     COUNTIFS($AJ$3:$AJ$201,$M232)&gt;0,
     COUNTIFS($AK$3:$AK$201,$M232)&gt;0,
     COUNTIFS($AL$3:$AL$201,$M232)&gt;0,
     COUNTIFS($AM$3:$AM$201,$M232)&gt;0,
     COUNTIFS($AN$3:$AN$201,$M232)&gt;0,
     COUNTIFS($AO$3:$AO$201,$M232)&gt;0,
     COUNTIFS($AP$3:$AP$201,$M232)&gt;0,
     COUNTIFS($AQ$3:$AQ$201,$M232)&gt;0,
     COUNTIFS($AR$3:$AR$201,$M232)&gt;0,
     COUNTIFS($AS$3:$AS$201,$M232)&gt;0,
     COUNTIFS($AT$3:$AT$201,$M232)&gt;0,
     COUNTIFS($AU$3:$AU$201,$M232)&gt;0,
     COUNTIFS($AV$3:$AV$201,$M232)&gt;0,
     COUNTIFS($AW$3:$AW$201,$M232)&gt;0
   )),
  ),
  2
 ),
"")</f>
        <v/>
      </c>
      <c r="Q232" s="3" t="str" cm="1">
        <f t="array" aca="1" ref="Q232" ca="1">IFERROR(
 INDEX(
  _xlfn._xlws.FILTER($T$2:$AW$2,
   TRANSPOSE(
    CHOOSE({1;2;3;4;5;6;7;8;9;10;11;12;13;14;15;16;17;18;19;20;21;22;23;24;25;26;27;28;29;30},
     COUNTIFS($T$3:$T$201,$M232)&gt;0,
     COUNTIFS($U$3:$U$201,$M232)&gt;0,
     COUNTIFS($V$3:$V$201,$M232)&gt;0,
     COUNTIFS($W$3:$W$201,$M232)&gt;0,
     COUNTIFS($X$3:$X$201,$M232)&gt;0,
     COUNTIFS($Y$3:$Y$201,$M232)&gt;0,
     COUNTIFS($Z$3:$Z$201,$M232)&gt;0,
     COUNTIFS($AA$3:$AA$201,$M232)&gt;0,
     COUNTIFS($AB$3:$AB$201,$M232)&gt;0,
     COUNTIFS($AC$3:$AC$201,$M232)&gt;0,
     COUNTIFS($AD$3:$AD$201,$M232)&gt;0,
     COUNTIFS($AE$3:$AE$201,$M232)&gt;0,
     COUNTIFS($AF$3:$AF$201,$M232)&gt;0,
     COUNTIFS($AG$3:$AG$201,$M232)&gt;0,
     COUNTIFS($AH$3:$AH$201,$M232)&gt;0,
     COUNTIFS($AI$3:$AI$201,$M232)&gt;0,
     COUNTIFS($AJ$3:$AJ$201,$M232)&gt;0,
     COUNTIFS($AK$3:$AK$201,$M232)&gt;0,
     COUNTIFS($AL$3:$AL$201,$M232)&gt;0,
     COUNTIFS($AM$3:$AM$201,$M232)&gt;0,
     COUNTIFS($AN$3:$AN$201,$M232)&gt;0,
     COUNTIFS($AO$3:$AO$201,$M232)&gt;0,
     COUNTIFS($AP$3:$AP$201,$M232)&gt;0,
     COUNTIFS($AQ$3:$AQ$201,$M232)&gt;0,
     COUNTIFS($AR$3:$AR$201,$M232)&gt;0,
     COUNTIFS($AS$3:$AS$201,$M232)&gt;0,
     COUNTIFS($AT$3:$AT$201,$M232)&gt;0,
     COUNTIFS($AU$3:$AU$201,$M232)&gt;0,
     COUNTIFS($AV$3:$AV$201,$M232)&gt;0,
     COUNTIFS($AW$3:$AW$201,$M232)&gt;0
   )),
  ),
  3
 ),
"")</f>
        <v/>
      </c>
      <c r="R232" s="3" t="str" cm="1">
        <f t="array" aca="1" ref="R232" ca="1">IFERROR(
 INDEX(
  _xlfn._xlws.FILTER($T$2:$AW$2,
   TRANSPOSE(
    CHOOSE({1;2;3;4;5;6;7;8;9;10;11;12;13;14;15;16;17;18;19;20;21;22;23;24;25;26;27;28;29;30},
     COUNTIFS($T$3:$T$201,$M232)&gt;0,
     COUNTIFS($U$3:$U$201,$M232)&gt;0,
     COUNTIFS($V$3:$V$201,$M232)&gt;0,
     COUNTIFS($W$3:$W$201,$M232)&gt;0,
     COUNTIFS($X$3:$X$201,$M232)&gt;0,
     COUNTIFS($Y$3:$Y$201,$M232)&gt;0,
     COUNTIFS($Z$3:$Z$201,$M232)&gt;0,
     COUNTIFS($AA$3:$AA$201,$M232)&gt;0,
     COUNTIFS($AB$3:$AB$201,$M232)&gt;0,
     COUNTIFS($AC$3:$AC$201,$M232)&gt;0,
     COUNTIFS($AD$3:$AD$201,$M232)&gt;0,
     COUNTIFS($AE$3:$AE$201,$M232)&gt;0,
     COUNTIFS($AF$3:$AF$201,$M232)&gt;0,
     COUNTIFS($AG$3:$AG$201,$M232)&gt;0,
     COUNTIFS($AH$3:$AH$201,$M232)&gt;0,
     COUNTIFS($AI$3:$AI$201,$M232)&gt;0,
     COUNTIFS($AJ$3:$AJ$201,$M232)&gt;0,
     COUNTIFS($AK$3:$AK$201,$M232)&gt;0,
     COUNTIFS($AL$3:$AL$201,$M232)&gt;0,
     COUNTIFS($AM$3:$AM$201,$M232)&gt;0,
     COUNTIFS($AN$3:$AN$201,$M232)&gt;0,
     COUNTIFS($AO$3:$AO$201,$M232)&gt;0,
     COUNTIFS($AP$3:$AP$201,$M232)&gt;0,
     COUNTIFS($AQ$3:$AQ$201,$M232)&gt;0,
     COUNTIFS($AR$3:$AR$201,$M232)&gt;0,
     COUNTIFS($AS$3:$AS$201,$M232)&gt;0,
     COUNTIFS($AT$3:$AT$201,$M232)&gt;0,
     COUNTIFS($AU$3:$AU$201,$M232)&gt;0,
     COUNTIFS($AV$3:$AV$201,$M232)&gt;0,
     COUNTIFS($AW$3:$AW$201,$M232)&gt;0
   )),
  ),
  4
 ),
"")</f>
        <v/>
      </c>
      <c r="CI232" t="str">
        <f ca="1"/>
        <v>Sombra Mutável</v>
      </c>
    </row>
    <row r="233" spans="1:87" x14ac:dyDescent="0.25">
      <c r="A233" t="str">
        <f ca="1"/>
        <v>Secluded Courtyard</v>
      </c>
      <c r="B233" s="3" t="str" cm="1">
        <f t="array" aca="1" ref="B233" ca="1">_xlfn.ANCHORARRAY(RESUMO!C232)</f>
        <v>Piratas</v>
      </c>
      <c r="C233" s="3" t="str">
        <f t="shared" ca="1" si="12"/>
        <v/>
      </c>
      <c r="E233" t="str">
        <f ca="1"/>
        <v>Sontaran General</v>
      </c>
      <c r="F233" s="3">
        <f t="shared" ca="1" si="13"/>
        <v>1</v>
      </c>
      <c r="G233" s="3" t="str">
        <f t="shared" ca="1" si="14"/>
        <v>Rani</v>
      </c>
      <c r="M233" t="str">
        <f ca="1"/>
        <v>Sontaran General</v>
      </c>
      <c r="N233" s="3">
        <f t="shared" ca="1" si="15"/>
        <v>1</v>
      </c>
      <c r="O233" s="3" t="str">
        <f ca="1">IFERROR(
 INDEX($T$2:$AW$2,
  MATCH(TRUE,
   CHOOSE({1;2;3;4;5;6;7;8;9;10;11;12;13;14;15;16;17;18;19;20;21;22;23;24;25;26;27;28;29;30;31;32},
    COUNTIFS($T$3:$T$201,$M233)&gt;0,
    COUNTIFS($U$3:$U$201,$M233)&gt;0,
    COUNTIFS($V$3:$V$201,$M233)&gt;0,
    COUNTIFS($W$3:$W$201,$M233)&gt;0,
    COUNTIFS($X$3:$X$201,$M233)&gt;0,
    COUNTIFS($Y$3:$Y$201,$M233)&gt;0,
    COUNTIFS($Z$3:$Z$201,$M233)&gt;0,
    COUNTIFS($AA$3:$AA$201,$M233)&gt;0,
    COUNTIFS($AB$3:$AB$201,$M233)&gt;0,
    COUNTIFS($AC$3:$AC$201,$M233)&gt;0,
    COUNTIFS($AD$3:$AD$201,$M233)&gt;0,
    COUNTIFS($AE$3:$AE$201,$M233)&gt;0,
    COUNTIFS($AF$3:$AF$201,$M233)&gt;0,
    COUNTIFS($AG$3:$AG$201,$M233)&gt;0,
    COUNTIFS($AH$3:$AH$201,$M233)&gt;0,
    COUNTIFS($AI$3:$AI$201,$M233)&gt;0,
    COUNTIFS($AJ$3:$AJ$201,$M233)&gt;0,
    COUNTIFS($AK$3:$AK$201,$M233)&gt;0,
    COUNTIFS($AL$3:$AL$201,$M233)&gt;0,
    COUNTIFS($AM$3:$AM$201,$M233)&gt;0,
    COUNTIFS($AN$3:$AN$201,$M233)&gt;0,
    COUNTIFS($AO$3:$AO$201,$M233)&gt;0,
    COUNTIFS($AP$3:$AP$201,$M233)&gt;0,
    COUNTIFS($AQ$3:$AQ$201,$M233)&gt;0,
    COUNTIFS($AR$3:$AR$201,$M233)&gt;0,
    COUNTIFS($AS$3:$AS$201,$M233)&gt;0,
    COUNTIFS($AT$3:$AT$201,$M233)&gt;0,
    COUNTIFS($AU$3:$AU$201,$M233)&gt;0,
    COUNTIFS($AV$3:$AV$201,$M233)&gt;0,
    COUNTIFS($AW$3:$AW$201,$M233)&gt;0
   ),
  0)
 ),
"")</f>
        <v>Rani</v>
      </c>
      <c r="P233" s="3" t="str" cm="1">
        <f t="array" aca="1" ref="P233" ca="1">IFERROR(
 INDEX(
  _xlfn._xlws.FILTER($T$2:$AW$2,
   TRANSPOSE(
    CHOOSE({1;2;3;4;5;6;7;8;9;10;11;12;13;14;15;16;17;18;19;20;21;22;23;24;25;26;27;28;29;30},
     COUNTIFS($T$3:$T$201,$M233)&gt;0,
     COUNTIFS($U$3:$U$201,$M233)&gt;0,
     COUNTIFS($V$3:$V$201,$M233)&gt;0,
     COUNTIFS($W$3:$W$201,$M233)&gt;0,
     COUNTIFS($X$3:$X$201,$M233)&gt;0,
     COUNTIFS($Y$3:$Y$201,$M233)&gt;0,
     COUNTIFS($Z$3:$Z$201,$M233)&gt;0,
     COUNTIFS($AA$3:$AA$201,$M233)&gt;0,
     COUNTIFS($AB$3:$AB$201,$M233)&gt;0,
     COUNTIFS($AC$3:$AC$201,$M233)&gt;0,
     COUNTIFS($AD$3:$AD$201,$M233)&gt;0,
     COUNTIFS($AE$3:$AE$201,$M233)&gt;0,
     COUNTIFS($AF$3:$AF$201,$M233)&gt;0,
     COUNTIFS($AG$3:$AG$201,$M233)&gt;0,
     COUNTIFS($AH$3:$AH$201,$M233)&gt;0,
     COUNTIFS($AI$3:$AI$201,$M233)&gt;0,
     COUNTIFS($AJ$3:$AJ$201,$M233)&gt;0,
     COUNTIFS($AK$3:$AK$201,$M233)&gt;0,
     COUNTIFS($AL$3:$AL$201,$M233)&gt;0,
     COUNTIFS($AM$3:$AM$201,$M233)&gt;0,
     COUNTIFS($AN$3:$AN$201,$M233)&gt;0,
     COUNTIFS($AO$3:$AO$201,$M233)&gt;0,
     COUNTIFS($AP$3:$AP$201,$M233)&gt;0,
     COUNTIFS($AQ$3:$AQ$201,$M233)&gt;0,
     COUNTIFS($AR$3:$AR$201,$M233)&gt;0,
     COUNTIFS($AS$3:$AS$201,$M233)&gt;0,
     COUNTIFS($AT$3:$AT$201,$M233)&gt;0,
     COUNTIFS($AU$3:$AU$201,$M233)&gt;0,
     COUNTIFS($AV$3:$AV$201,$M233)&gt;0,
     COUNTIFS($AW$3:$AW$201,$M233)&gt;0
   )),
  ),
  2
 ),
"")</f>
        <v/>
      </c>
      <c r="Q233" s="3" t="str" cm="1">
        <f t="array" aca="1" ref="Q233" ca="1">IFERROR(
 INDEX(
  _xlfn._xlws.FILTER($T$2:$AW$2,
   TRANSPOSE(
    CHOOSE({1;2;3;4;5;6;7;8;9;10;11;12;13;14;15;16;17;18;19;20;21;22;23;24;25;26;27;28;29;30},
     COUNTIFS($T$3:$T$201,$M233)&gt;0,
     COUNTIFS($U$3:$U$201,$M233)&gt;0,
     COUNTIFS($V$3:$V$201,$M233)&gt;0,
     COUNTIFS($W$3:$W$201,$M233)&gt;0,
     COUNTIFS($X$3:$X$201,$M233)&gt;0,
     COUNTIFS($Y$3:$Y$201,$M233)&gt;0,
     COUNTIFS($Z$3:$Z$201,$M233)&gt;0,
     COUNTIFS($AA$3:$AA$201,$M233)&gt;0,
     COUNTIFS($AB$3:$AB$201,$M233)&gt;0,
     COUNTIFS($AC$3:$AC$201,$M233)&gt;0,
     COUNTIFS($AD$3:$AD$201,$M233)&gt;0,
     COUNTIFS($AE$3:$AE$201,$M233)&gt;0,
     COUNTIFS($AF$3:$AF$201,$M233)&gt;0,
     COUNTIFS($AG$3:$AG$201,$M233)&gt;0,
     COUNTIFS($AH$3:$AH$201,$M233)&gt;0,
     COUNTIFS($AI$3:$AI$201,$M233)&gt;0,
     COUNTIFS($AJ$3:$AJ$201,$M233)&gt;0,
     COUNTIFS($AK$3:$AK$201,$M233)&gt;0,
     COUNTIFS($AL$3:$AL$201,$M233)&gt;0,
     COUNTIFS($AM$3:$AM$201,$M233)&gt;0,
     COUNTIFS($AN$3:$AN$201,$M233)&gt;0,
     COUNTIFS($AO$3:$AO$201,$M233)&gt;0,
     COUNTIFS($AP$3:$AP$201,$M233)&gt;0,
     COUNTIFS($AQ$3:$AQ$201,$M233)&gt;0,
     COUNTIFS($AR$3:$AR$201,$M233)&gt;0,
     COUNTIFS($AS$3:$AS$201,$M233)&gt;0,
     COUNTIFS($AT$3:$AT$201,$M233)&gt;0,
     COUNTIFS($AU$3:$AU$201,$M233)&gt;0,
     COUNTIFS($AV$3:$AV$201,$M233)&gt;0,
     COUNTIFS($AW$3:$AW$201,$M233)&gt;0
   )),
  ),
  3
 ),
"")</f>
        <v/>
      </c>
      <c r="R233" s="3" t="str" cm="1">
        <f t="array" aca="1" ref="R233" ca="1">IFERROR(
 INDEX(
  _xlfn._xlws.FILTER($T$2:$AW$2,
   TRANSPOSE(
    CHOOSE({1;2;3;4;5;6;7;8;9;10;11;12;13;14;15;16;17;18;19;20;21;22;23;24;25;26;27;28;29;30},
     COUNTIFS($T$3:$T$201,$M233)&gt;0,
     COUNTIFS($U$3:$U$201,$M233)&gt;0,
     COUNTIFS($V$3:$V$201,$M233)&gt;0,
     COUNTIFS($W$3:$W$201,$M233)&gt;0,
     COUNTIFS($X$3:$X$201,$M233)&gt;0,
     COUNTIFS($Y$3:$Y$201,$M233)&gt;0,
     COUNTIFS($Z$3:$Z$201,$M233)&gt;0,
     COUNTIFS($AA$3:$AA$201,$M233)&gt;0,
     COUNTIFS($AB$3:$AB$201,$M233)&gt;0,
     COUNTIFS($AC$3:$AC$201,$M233)&gt;0,
     COUNTIFS($AD$3:$AD$201,$M233)&gt;0,
     COUNTIFS($AE$3:$AE$201,$M233)&gt;0,
     COUNTIFS($AF$3:$AF$201,$M233)&gt;0,
     COUNTIFS($AG$3:$AG$201,$M233)&gt;0,
     COUNTIFS($AH$3:$AH$201,$M233)&gt;0,
     COUNTIFS($AI$3:$AI$201,$M233)&gt;0,
     COUNTIFS($AJ$3:$AJ$201,$M233)&gt;0,
     COUNTIFS($AK$3:$AK$201,$M233)&gt;0,
     COUNTIFS($AL$3:$AL$201,$M233)&gt;0,
     COUNTIFS($AM$3:$AM$201,$M233)&gt;0,
     COUNTIFS($AN$3:$AN$201,$M233)&gt;0,
     COUNTIFS($AO$3:$AO$201,$M233)&gt;0,
     COUNTIFS($AP$3:$AP$201,$M233)&gt;0,
     COUNTIFS($AQ$3:$AQ$201,$M233)&gt;0,
     COUNTIFS($AR$3:$AR$201,$M233)&gt;0,
     COUNTIFS($AS$3:$AS$201,$M233)&gt;0,
     COUNTIFS($AT$3:$AT$201,$M233)&gt;0,
     COUNTIFS($AU$3:$AU$201,$M233)&gt;0,
     COUNTIFS($AV$3:$AV$201,$M233)&gt;0,
     COUNTIFS($AW$3:$AW$201,$M233)&gt;0
   )),
  ),
  4
 ),
"")</f>
        <v/>
      </c>
      <c r="CI233" t="str">
        <f ca="1"/>
        <v>Sontaran General</v>
      </c>
    </row>
    <row r="234" spans="1:87" x14ac:dyDescent="0.25">
      <c r="A234" t="str">
        <f ca="1"/>
        <v>Second Harvest</v>
      </c>
      <c r="B234" s="3" t="str" cm="1">
        <f t="array" aca="1" ref="B234" ca="1">_xlfn.ANCHORARRAY(RESUMO!C233)</f>
        <v>Baylen</v>
      </c>
      <c r="C234" s="3" t="str">
        <f t="shared" ca="1" si="12"/>
        <v/>
      </c>
      <c r="E234" t="str">
        <f ca="1"/>
        <v>Soul's Majesty</v>
      </c>
      <c r="F234" s="3">
        <f t="shared" ca="1" si="13"/>
        <v>1</v>
      </c>
      <c r="G234" s="3" t="str">
        <f t="shared" ca="1" si="14"/>
        <v>Kresh</v>
      </c>
      <c r="M234" t="str">
        <f ca="1"/>
        <v>Soul's Majesty</v>
      </c>
      <c r="N234" s="3">
        <f t="shared" ca="1" si="15"/>
        <v>1</v>
      </c>
      <c r="O234" s="3" t="str">
        <f ca="1">IFERROR(
 INDEX($T$2:$AW$2,
  MATCH(TRUE,
   CHOOSE({1;2;3;4;5;6;7;8;9;10;11;12;13;14;15;16;17;18;19;20;21;22;23;24;25;26;27;28;29;30;31;32},
    COUNTIFS($T$3:$T$201,$M234)&gt;0,
    COUNTIFS($U$3:$U$201,$M234)&gt;0,
    COUNTIFS($V$3:$V$201,$M234)&gt;0,
    COUNTIFS($W$3:$W$201,$M234)&gt;0,
    COUNTIFS($X$3:$X$201,$M234)&gt;0,
    COUNTIFS($Y$3:$Y$201,$M234)&gt;0,
    COUNTIFS($Z$3:$Z$201,$M234)&gt;0,
    COUNTIFS($AA$3:$AA$201,$M234)&gt;0,
    COUNTIFS($AB$3:$AB$201,$M234)&gt;0,
    COUNTIFS($AC$3:$AC$201,$M234)&gt;0,
    COUNTIFS($AD$3:$AD$201,$M234)&gt;0,
    COUNTIFS($AE$3:$AE$201,$M234)&gt;0,
    COUNTIFS($AF$3:$AF$201,$M234)&gt;0,
    COUNTIFS($AG$3:$AG$201,$M234)&gt;0,
    COUNTIFS($AH$3:$AH$201,$M234)&gt;0,
    COUNTIFS($AI$3:$AI$201,$M234)&gt;0,
    COUNTIFS($AJ$3:$AJ$201,$M234)&gt;0,
    COUNTIFS($AK$3:$AK$201,$M234)&gt;0,
    COUNTIFS($AL$3:$AL$201,$M234)&gt;0,
    COUNTIFS($AM$3:$AM$201,$M234)&gt;0,
    COUNTIFS($AN$3:$AN$201,$M234)&gt;0,
    COUNTIFS($AO$3:$AO$201,$M234)&gt;0,
    COUNTIFS($AP$3:$AP$201,$M234)&gt;0,
    COUNTIFS($AQ$3:$AQ$201,$M234)&gt;0,
    COUNTIFS($AR$3:$AR$201,$M234)&gt;0,
    COUNTIFS($AS$3:$AS$201,$M234)&gt;0,
    COUNTIFS($AT$3:$AT$201,$M234)&gt;0,
    COUNTIFS($AU$3:$AU$201,$M234)&gt;0,
    COUNTIFS($AV$3:$AV$201,$M234)&gt;0,
    COUNTIFS($AW$3:$AW$201,$M234)&gt;0
   ),
  0)
 ),
"")</f>
        <v>Kresh</v>
      </c>
      <c r="P234" s="3" t="str" cm="1">
        <f t="array" aca="1" ref="P234" ca="1">IFERROR(
 INDEX(
  _xlfn._xlws.FILTER($T$2:$AW$2,
   TRANSPOSE(
    CHOOSE({1;2;3;4;5;6;7;8;9;10;11;12;13;14;15;16;17;18;19;20;21;22;23;24;25;26;27;28;29;30},
     COUNTIFS($T$3:$T$201,$M234)&gt;0,
     COUNTIFS($U$3:$U$201,$M234)&gt;0,
     COUNTIFS($V$3:$V$201,$M234)&gt;0,
     COUNTIFS($W$3:$W$201,$M234)&gt;0,
     COUNTIFS($X$3:$X$201,$M234)&gt;0,
     COUNTIFS($Y$3:$Y$201,$M234)&gt;0,
     COUNTIFS($Z$3:$Z$201,$M234)&gt;0,
     COUNTIFS($AA$3:$AA$201,$M234)&gt;0,
     COUNTIFS($AB$3:$AB$201,$M234)&gt;0,
     COUNTIFS($AC$3:$AC$201,$M234)&gt;0,
     COUNTIFS($AD$3:$AD$201,$M234)&gt;0,
     COUNTIFS($AE$3:$AE$201,$M234)&gt;0,
     COUNTIFS($AF$3:$AF$201,$M234)&gt;0,
     COUNTIFS($AG$3:$AG$201,$M234)&gt;0,
     COUNTIFS($AH$3:$AH$201,$M234)&gt;0,
     COUNTIFS($AI$3:$AI$201,$M234)&gt;0,
     COUNTIFS($AJ$3:$AJ$201,$M234)&gt;0,
     COUNTIFS($AK$3:$AK$201,$M234)&gt;0,
     COUNTIFS($AL$3:$AL$201,$M234)&gt;0,
     COUNTIFS($AM$3:$AM$201,$M234)&gt;0,
     COUNTIFS($AN$3:$AN$201,$M234)&gt;0,
     COUNTIFS($AO$3:$AO$201,$M234)&gt;0,
     COUNTIFS($AP$3:$AP$201,$M234)&gt;0,
     COUNTIFS($AQ$3:$AQ$201,$M234)&gt;0,
     COUNTIFS($AR$3:$AR$201,$M234)&gt;0,
     COUNTIFS($AS$3:$AS$201,$M234)&gt;0,
     COUNTIFS($AT$3:$AT$201,$M234)&gt;0,
     COUNTIFS($AU$3:$AU$201,$M234)&gt;0,
     COUNTIFS($AV$3:$AV$201,$M234)&gt;0,
     COUNTIFS($AW$3:$AW$201,$M234)&gt;0
   )),
  ),
  2
 ),
"")</f>
        <v/>
      </c>
      <c r="Q234" s="3" t="str" cm="1">
        <f t="array" aca="1" ref="Q234" ca="1">IFERROR(
 INDEX(
  _xlfn._xlws.FILTER($T$2:$AW$2,
   TRANSPOSE(
    CHOOSE({1;2;3;4;5;6;7;8;9;10;11;12;13;14;15;16;17;18;19;20;21;22;23;24;25;26;27;28;29;30},
     COUNTIFS($T$3:$T$201,$M234)&gt;0,
     COUNTIFS($U$3:$U$201,$M234)&gt;0,
     COUNTIFS($V$3:$V$201,$M234)&gt;0,
     COUNTIFS($W$3:$W$201,$M234)&gt;0,
     COUNTIFS($X$3:$X$201,$M234)&gt;0,
     COUNTIFS($Y$3:$Y$201,$M234)&gt;0,
     COUNTIFS($Z$3:$Z$201,$M234)&gt;0,
     COUNTIFS($AA$3:$AA$201,$M234)&gt;0,
     COUNTIFS($AB$3:$AB$201,$M234)&gt;0,
     COUNTIFS($AC$3:$AC$201,$M234)&gt;0,
     COUNTIFS($AD$3:$AD$201,$M234)&gt;0,
     COUNTIFS($AE$3:$AE$201,$M234)&gt;0,
     COUNTIFS($AF$3:$AF$201,$M234)&gt;0,
     COUNTIFS($AG$3:$AG$201,$M234)&gt;0,
     COUNTIFS($AH$3:$AH$201,$M234)&gt;0,
     COUNTIFS($AI$3:$AI$201,$M234)&gt;0,
     COUNTIFS($AJ$3:$AJ$201,$M234)&gt;0,
     COUNTIFS($AK$3:$AK$201,$M234)&gt;0,
     COUNTIFS($AL$3:$AL$201,$M234)&gt;0,
     COUNTIFS($AM$3:$AM$201,$M234)&gt;0,
     COUNTIFS($AN$3:$AN$201,$M234)&gt;0,
     COUNTIFS($AO$3:$AO$201,$M234)&gt;0,
     COUNTIFS($AP$3:$AP$201,$M234)&gt;0,
     COUNTIFS($AQ$3:$AQ$201,$M234)&gt;0,
     COUNTIFS($AR$3:$AR$201,$M234)&gt;0,
     COUNTIFS($AS$3:$AS$201,$M234)&gt;0,
     COUNTIFS($AT$3:$AT$201,$M234)&gt;0,
     COUNTIFS($AU$3:$AU$201,$M234)&gt;0,
     COUNTIFS($AV$3:$AV$201,$M234)&gt;0,
     COUNTIFS($AW$3:$AW$201,$M234)&gt;0
   )),
  ),
  3
 ),
"")</f>
        <v/>
      </c>
      <c r="R234" s="3" t="str" cm="1">
        <f t="array" aca="1" ref="R234" ca="1">IFERROR(
 INDEX(
  _xlfn._xlws.FILTER($T$2:$AW$2,
   TRANSPOSE(
    CHOOSE({1;2;3;4;5;6;7;8;9;10;11;12;13;14;15;16;17;18;19;20;21;22;23;24;25;26;27;28;29;30},
     COUNTIFS($T$3:$T$201,$M234)&gt;0,
     COUNTIFS($U$3:$U$201,$M234)&gt;0,
     COUNTIFS($V$3:$V$201,$M234)&gt;0,
     COUNTIFS($W$3:$W$201,$M234)&gt;0,
     COUNTIFS($X$3:$X$201,$M234)&gt;0,
     COUNTIFS($Y$3:$Y$201,$M234)&gt;0,
     COUNTIFS($Z$3:$Z$201,$M234)&gt;0,
     COUNTIFS($AA$3:$AA$201,$M234)&gt;0,
     COUNTIFS($AB$3:$AB$201,$M234)&gt;0,
     COUNTIFS($AC$3:$AC$201,$M234)&gt;0,
     COUNTIFS($AD$3:$AD$201,$M234)&gt;0,
     COUNTIFS($AE$3:$AE$201,$M234)&gt;0,
     COUNTIFS($AF$3:$AF$201,$M234)&gt;0,
     COUNTIFS($AG$3:$AG$201,$M234)&gt;0,
     COUNTIFS($AH$3:$AH$201,$M234)&gt;0,
     COUNTIFS($AI$3:$AI$201,$M234)&gt;0,
     COUNTIFS($AJ$3:$AJ$201,$M234)&gt;0,
     COUNTIFS($AK$3:$AK$201,$M234)&gt;0,
     COUNTIFS($AL$3:$AL$201,$M234)&gt;0,
     COUNTIFS($AM$3:$AM$201,$M234)&gt;0,
     COUNTIFS($AN$3:$AN$201,$M234)&gt;0,
     COUNTIFS($AO$3:$AO$201,$M234)&gt;0,
     COUNTIFS($AP$3:$AP$201,$M234)&gt;0,
     COUNTIFS($AQ$3:$AQ$201,$M234)&gt;0,
     COUNTIFS($AR$3:$AR$201,$M234)&gt;0,
     COUNTIFS($AS$3:$AS$201,$M234)&gt;0,
     COUNTIFS($AT$3:$AT$201,$M234)&gt;0,
     COUNTIFS($AU$3:$AU$201,$M234)&gt;0,
     COUNTIFS($AV$3:$AV$201,$M234)&gt;0,
     COUNTIFS($AW$3:$AW$201,$M234)&gt;0
   )),
  ),
  4
 ),
"")</f>
        <v/>
      </c>
      <c r="CI234" t="str">
        <f ca="1"/>
        <v>Soul's Majesty</v>
      </c>
    </row>
    <row r="235" spans="1:87" x14ac:dyDescent="0.25">
      <c r="A235" t="str">
        <f ca="1"/>
        <v>Seedborn Muse</v>
      </c>
      <c r="B235" s="3" t="str" cm="1">
        <f t="array" aca="1" ref="B235" ca="1">_xlfn.ANCHORARRAY(RESUMO!C234)</f>
        <v>Baylen</v>
      </c>
      <c r="C235" s="3" t="str">
        <f t="shared" ca="1" si="12"/>
        <v/>
      </c>
      <c r="E235" t="str">
        <f ca="1"/>
        <v>Spelunking</v>
      </c>
      <c r="F235" s="3">
        <f t="shared" ca="1" si="13"/>
        <v>1</v>
      </c>
      <c r="G235" s="3" t="str">
        <f t="shared" ca="1" si="14"/>
        <v>Zimone</v>
      </c>
      <c r="M235" t="str">
        <f ca="1"/>
        <v>Spelunking</v>
      </c>
      <c r="N235" s="3">
        <f t="shared" ca="1" si="15"/>
        <v>1</v>
      </c>
      <c r="O235" s="3" t="str">
        <f ca="1">IFERROR(
 INDEX($T$2:$AW$2,
  MATCH(TRUE,
   CHOOSE({1;2;3;4;5;6;7;8;9;10;11;12;13;14;15;16;17;18;19;20;21;22;23;24;25;26;27;28;29;30;31;32},
    COUNTIFS($T$3:$T$201,$M235)&gt;0,
    COUNTIFS($U$3:$U$201,$M235)&gt;0,
    COUNTIFS($V$3:$V$201,$M235)&gt;0,
    COUNTIFS($W$3:$W$201,$M235)&gt;0,
    COUNTIFS($X$3:$X$201,$M235)&gt;0,
    COUNTIFS($Y$3:$Y$201,$M235)&gt;0,
    COUNTIFS($Z$3:$Z$201,$M235)&gt;0,
    COUNTIFS($AA$3:$AA$201,$M235)&gt;0,
    COUNTIFS($AB$3:$AB$201,$M235)&gt;0,
    COUNTIFS($AC$3:$AC$201,$M235)&gt;0,
    COUNTIFS($AD$3:$AD$201,$M235)&gt;0,
    COUNTIFS($AE$3:$AE$201,$M235)&gt;0,
    COUNTIFS($AF$3:$AF$201,$M235)&gt;0,
    COUNTIFS($AG$3:$AG$201,$M235)&gt;0,
    COUNTIFS($AH$3:$AH$201,$M235)&gt;0,
    COUNTIFS($AI$3:$AI$201,$M235)&gt;0,
    COUNTIFS($AJ$3:$AJ$201,$M235)&gt;0,
    COUNTIFS($AK$3:$AK$201,$M235)&gt;0,
    COUNTIFS($AL$3:$AL$201,$M235)&gt;0,
    COUNTIFS($AM$3:$AM$201,$M235)&gt;0,
    COUNTIFS($AN$3:$AN$201,$M235)&gt;0,
    COUNTIFS($AO$3:$AO$201,$M235)&gt;0,
    COUNTIFS($AP$3:$AP$201,$M235)&gt;0,
    COUNTIFS($AQ$3:$AQ$201,$M235)&gt;0,
    COUNTIFS($AR$3:$AR$201,$M235)&gt;0,
    COUNTIFS($AS$3:$AS$201,$M235)&gt;0,
    COUNTIFS($AT$3:$AT$201,$M235)&gt;0,
    COUNTIFS($AU$3:$AU$201,$M235)&gt;0,
    COUNTIFS($AV$3:$AV$201,$M235)&gt;0,
    COUNTIFS($AW$3:$AW$201,$M235)&gt;0
   ),
  0)
 ),
"")</f>
        <v>Zimone</v>
      </c>
      <c r="P235" s="3" t="str" cm="1">
        <f t="array" aca="1" ref="P235" ca="1">IFERROR(
 INDEX(
  _xlfn._xlws.FILTER($T$2:$AW$2,
   TRANSPOSE(
    CHOOSE({1;2;3;4;5;6;7;8;9;10;11;12;13;14;15;16;17;18;19;20;21;22;23;24;25;26;27;28;29;30},
     COUNTIFS($T$3:$T$201,$M235)&gt;0,
     COUNTIFS($U$3:$U$201,$M235)&gt;0,
     COUNTIFS($V$3:$V$201,$M235)&gt;0,
     COUNTIFS($W$3:$W$201,$M235)&gt;0,
     COUNTIFS($X$3:$X$201,$M235)&gt;0,
     COUNTIFS($Y$3:$Y$201,$M235)&gt;0,
     COUNTIFS($Z$3:$Z$201,$M235)&gt;0,
     COUNTIFS($AA$3:$AA$201,$M235)&gt;0,
     COUNTIFS($AB$3:$AB$201,$M235)&gt;0,
     COUNTIFS($AC$3:$AC$201,$M235)&gt;0,
     COUNTIFS($AD$3:$AD$201,$M235)&gt;0,
     COUNTIFS($AE$3:$AE$201,$M235)&gt;0,
     COUNTIFS($AF$3:$AF$201,$M235)&gt;0,
     COUNTIFS($AG$3:$AG$201,$M235)&gt;0,
     COUNTIFS($AH$3:$AH$201,$M235)&gt;0,
     COUNTIFS($AI$3:$AI$201,$M235)&gt;0,
     COUNTIFS($AJ$3:$AJ$201,$M235)&gt;0,
     COUNTIFS($AK$3:$AK$201,$M235)&gt;0,
     COUNTIFS($AL$3:$AL$201,$M235)&gt;0,
     COUNTIFS($AM$3:$AM$201,$M235)&gt;0,
     COUNTIFS($AN$3:$AN$201,$M235)&gt;0,
     COUNTIFS($AO$3:$AO$201,$M235)&gt;0,
     COUNTIFS($AP$3:$AP$201,$M235)&gt;0,
     COUNTIFS($AQ$3:$AQ$201,$M235)&gt;0,
     COUNTIFS($AR$3:$AR$201,$M235)&gt;0,
     COUNTIFS($AS$3:$AS$201,$M235)&gt;0,
     COUNTIFS($AT$3:$AT$201,$M235)&gt;0,
     COUNTIFS($AU$3:$AU$201,$M235)&gt;0,
     COUNTIFS($AV$3:$AV$201,$M235)&gt;0,
     COUNTIFS($AW$3:$AW$201,$M235)&gt;0
   )),
  ),
  2
 ),
"")</f>
        <v/>
      </c>
      <c r="Q235" s="3" t="str" cm="1">
        <f t="array" aca="1" ref="Q235" ca="1">IFERROR(
 INDEX(
  _xlfn._xlws.FILTER($T$2:$AW$2,
   TRANSPOSE(
    CHOOSE({1;2;3;4;5;6;7;8;9;10;11;12;13;14;15;16;17;18;19;20;21;22;23;24;25;26;27;28;29;30},
     COUNTIFS($T$3:$T$201,$M235)&gt;0,
     COUNTIFS($U$3:$U$201,$M235)&gt;0,
     COUNTIFS($V$3:$V$201,$M235)&gt;0,
     COUNTIFS($W$3:$W$201,$M235)&gt;0,
     COUNTIFS($X$3:$X$201,$M235)&gt;0,
     COUNTIFS($Y$3:$Y$201,$M235)&gt;0,
     COUNTIFS($Z$3:$Z$201,$M235)&gt;0,
     COUNTIFS($AA$3:$AA$201,$M235)&gt;0,
     COUNTIFS($AB$3:$AB$201,$M235)&gt;0,
     COUNTIFS($AC$3:$AC$201,$M235)&gt;0,
     COUNTIFS($AD$3:$AD$201,$M235)&gt;0,
     COUNTIFS($AE$3:$AE$201,$M235)&gt;0,
     COUNTIFS($AF$3:$AF$201,$M235)&gt;0,
     COUNTIFS($AG$3:$AG$201,$M235)&gt;0,
     COUNTIFS($AH$3:$AH$201,$M235)&gt;0,
     COUNTIFS($AI$3:$AI$201,$M235)&gt;0,
     COUNTIFS($AJ$3:$AJ$201,$M235)&gt;0,
     COUNTIFS($AK$3:$AK$201,$M235)&gt;0,
     COUNTIFS($AL$3:$AL$201,$M235)&gt;0,
     COUNTIFS($AM$3:$AM$201,$M235)&gt;0,
     COUNTIFS($AN$3:$AN$201,$M235)&gt;0,
     COUNTIFS($AO$3:$AO$201,$M235)&gt;0,
     COUNTIFS($AP$3:$AP$201,$M235)&gt;0,
     COUNTIFS($AQ$3:$AQ$201,$M235)&gt;0,
     COUNTIFS($AR$3:$AR$201,$M235)&gt;0,
     COUNTIFS($AS$3:$AS$201,$M235)&gt;0,
     COUNTIFS($AT$3:$AT$201,$M235)&gt;0,
     COUNTIFS($AU$3:$AU$201,$M235)&gt;0,
     COUNTIFS($AV$3:$AV$201,$M235)&gt;0,
     COUNTIFS($AW$3:$AW$201,$M235)&gt;0
   )),
  ),
  3
 ),
"")</f>
        <v/>
      </c>
      <c r="R235" s="3" t="str" cm="1">
        <f t="array" aca="1" ref="R235" ca="1">IFERROR(
 INDEX(
  _xlfn._xlws.FILTER($T$2:$AW$2,
   TRANSPOSE(
    CHOOSE({1;2;3;4;5;6;7;8;9;10;11;12;13;14;15;16;17;18;19;20;21;22;23;24;25;26;27;28;29;30},
     COUNTIFS($T$3:$T$201,$M235)&gt;0,
     COUNTIFS($U$3:$U$201,$M235)&gt;0,
     COUNTIFS($V$3:$V$201,$M235)&gt;0,
     COUNTIFS($W$3:$W$201,$M235)&gt;0,
     COUNTIFS($X$3:$X$201,$M235)&gt;0,
     COUNTIFS($Y$3:$Y$201,$M235)&gt;0,
     COUNTIFS($Z$3:$Z$201,$M235)&gt;0,
     COUNTIFS($AA$3:$AA$201,$M235)&gt;0,
     COUNTIFS($AB$3:$AB$201,$M235)&gt;0,
     COUNTIFS($AC$3:$AC$201,$M235)&gt;0,
     COUNTIFS($AD$3:$AD$201,$M235)&gt;0,
     COUNTIFS($AE$3:$AE$201,$M235)&gt;0,
     COUNTIFS($AF$3:$AF$201,$M235)&gt;0,
     COUNTIFS($AG$3:$AG$201,$M235)&gt;0,
     COUNTIFS($AH$3:$AH$201,$M235)&gt;0,
     COUNTIFS($AI$3:$AI$201,$M235)&gt;0,
     COUNTIFS($AJ$3:$AJ$201,$M235)&gt;0,
     COUNTIFS($AK$3:$AK$201,$M235)&gt;0,
     COUNTIFS($AL$3:$AL$201,$M235)&gt;0,
     COUNTIFS($AM$3:$AM$201,$M235)&gt;0,
     COUNTIFS($AN$3:$AN$201,$M235)&gt;0,
     COUNTIFS($AO$3:$AO$201,$M235)&gt;0,
     COUNTIFS($AP$3:$AP$201,$M235)&gt;0,
     COUNTIFS($AQ$3:$AQ$201,$M235)&gt;0,
     COUNTIFS($AR$3:$AR$201,$M235)&gt;0,
     COUNTIFS($AS$3:$AS$201,$M235)&gt;0,
     COUNTIFS($AT$3:$AT$201,$M235)&gt;0,
     COUNTIFS($AU$3:$AU$201,$M235)&gt;0,
     COUNTIFS($AV$3:$AV$201,$M235)&gt;0,
     COUNTIFS($AW$3:$AW$201,$M235)&gt;0
   )),
  ),
  4
 ),
"")</f>
        <v/>
      </c>
      <c r="CI235" t="str">
        <f ca="1"/>
        <v>Spelunking</v>
      </c>
    </row>
    <row r="236" spans="1:87" x14ac:dyDescent="0.25">
      <c r="A236" t="str">
        <f ca="1"/>
        <v>Serenata das Estriges</v>
      </c>
      <c r="B236" s="3" t="str" cm="1">
        <f t="array" aca="1" ref="B236" ca="1">_xlfn.ANCHORARRAY(RESUMO!C235)</f>
        <v>Rielle</v>
      </c>
      <c r="C236" s="3" t="str">
        <f t="shared" ca="1" si="12"/>
        <v/>
      </c>
      <c r="E236" t="str">
        <f ca="1"/>
        <v>Storm's Wrath</v>
      </c>
      <c r="F236" s="3">
        <f t="shared" ca="1" si="13"/>
        <v>1</v>
      </c>
      <c r="G236" s="3" t="str">
        <f t="shared" ca="1" si="14"/>
        <v>Kresh</v>
      </c>
      <c r="M236" t="str">
        <f ca="1"/>
        <v>Storm's Wrath</v>
      </c>
      <c r="N236" s="3">
        <f t="shared" ca="1" si="15"/>
        <v>1</v>
      </c>
      <c r="O236" s="3" t="str">
        <f ca="1">IFERROR(
 INDEX($T$2:$AW$2,
  MATCH(TRUE,
   CHOOSE({1;2;3;4;5;6;7;8;9;10;11;12;13;14;15;16;17;18;19;20;21;22;23;24;25;26;27;28;29;30;31;32},
    COUNTIFS($T$3:$T$201,$M236)&gt;0,
    COUNTIFS($U$3:$U$201,$M236)&gt;0,
    COUNTIFS($V$3:$V$201,$M236)&gt;0,
    COUNTIFS($W$3:$W$201,$M236)&gt;0,
    COUNTIFS($X$3:$X$201,$M236)&gt;0,
    COUNTIFS($Y$3:$Y$201,$M236)&gt;0,
    COUNTIFS($Z$3:$Z$201,$M236)&gt;0,
    COUNTIFS($AA$3:$AA$201,$M236)&gt;0,
    COUNTIFS($AB$3:$AB$201,$M236)&gt;0,
    COUNTIFS($AC$3:$AC$201,$M236)&gt;0,
    COUNTIFS($AD$3:$AD$201,$M236)&gt;0,
    COUNTIFS($AE$3:$AE$201,$M236)&gt;0,
    COUNTIFS($AF$3:$AF$201,$M236)&gt;0,
    COUNTIFS($AG$3:$AG$201,$M236)&gt;0,
    COUNTIFS($AH$3:$AH$201,$M236)&gt;0,
    COUNTIFS($AI$3:$AI$201,$M236)&gt;0,
    COUNTIFS($AJ$3:$AJ$201,$M236)&gt;0,
    COUNTIFS($AK$3:$AK$201,$M236)&gt;0,
    COUNTIFS($AL$3:$AL$201,$M236)&gt;0,
    COUNTIFS($AM$3:$AM$201,$M236)&gt;0,
    COUNTIFS($AN$3:$AN$201,$M236)&gt;0,
    COUNTIFS($AO$3:$AO$201,$M236)&gt;0,
    COUNTIFS($AP$3:$AP$201,$M236)&gt;0,
    COUNTIFS($AQ$3:$AQ$201,$M236)&gt;0,
    COUNTIFS($AR$3:$AR$201,$M236)&gt;0,
    COUNTIFS($AS$3:$AS$201,$M236)&gt;0,
    COUNTIFS($AT$3:$AT$201,$M236)&gt;0,
    COUNTIFS($AU$3:$AU$201,$M236)&gt;0,
    COUNTIFS($AV$3:$AV$201,$M236)&gt;0,
    COUNTIFS($AW$3:$AW$201,$M236)&gt;0
   ),
  0)
 ),
"")</f>
        <v>Kresh</v>
      </c>
      <c r="P236" s="3" t="str" cm="1">
        <f t="array" aca="1" ref="P236" ca="1">IFERROR(
 INDEX(
  _xlfn._xlws.FILTER($T$2:$AW$2,
   TRANSPOSE(
    CHOOSE({1;2;3;4;5;6;7;8;9;10;11;12;13;14;15;16;17;18;19;20;21;22;23;24;25;26;27;28;29;30},
     COUNTIFS($T$3:$T$201,$M236)&gt;0,
     COUNTIFS($U$3:$U$201,$M236)&gt;0,
     COUNTIFS($V$3:$V$201,$M236)&gt;0,
     COUNTIFS($W$3:$W$201,$M236)&gt;0,
     COUNTIFS($X$3:$X$201,$M236)&gt;0,
     COUNTIFS($Y$3:$Y$201,$M236)&gt;0,
     COUNTIFS($Z$3:$Z$201,$M236)&gt;0,
     COUNTIFS($AA$3:$AA$201,$M236)&gt;0,
     COUNTIFS($AB$3:$AB$201,$M236)&gt;0,
     COUNTIFS($AC$3:$AC$201,$M236)&gt;0,
     COUNTIFS($AD$3:$AD$201,$M236)&gt;0,
     COUNTIFS($AE$3:$AE$201,$M236)&gt;0,
     COUNTIFS($AF$3:$AF$201,$M236)&gt;0,
     COUNTIFS($AG$3:$AG$201,$M236)&gt;0,
     COUNTIFS($AH$3:$AH$201,$M236)&gt;0,
     COUNTIFS($AI$3:$AI$201,$M236)&gt;0,
     COUNTIFS($AJ$3:$AJ$201,$M236)&gt;0,
     COUNTIFS($AK$3:$AK$201,$M236)&gt;0,
     COUNTIFS($AL$3:$AL$201,$M236)&gt;0,
     COUNTIFS($AM$3:$AM$201,$M236)&gt;0,
     COUNTIFS($AN$3:$AN$201,$M236)&gt;0,
     COUNTIFS($AO$3:$AO$201,$M236)&gt;0,
     COUNTIFS($AP$3:$AP$201,$M236)&gt;0,
     COUNTIFS($AQ$3:$AQ$201,$M236)&gt;0,
     COUNTIFS($AR$3:$AR$201,$M236)&gt;0,
     COUNTIFS($AS$3:$AS$201,$M236)&gt;0,
     COUNTIFS($AT$3:$AT$201,$M236)&gt;0,
     COUNTIFS($AU$3:$AU$201,$M236)&gt;0,
     COUNTIFS($AV$3:$AV$201,$M236)&gt;0,
     COUNTIFS($AW$3:$AW$201,$M236)&gt;0
   )),
  ),
  2
 ),
"")</f>
        <v/>
      </c>
      <c r="Q236" s="3" t="str" cm="1">
        <f t="array" aca="1" ref="Q236" ca="1">IFERROR(
 INDEX(
  _xlfn._xlws.FILTER($T$2:$AW$2,
   TRANSPOSE(
    CHOOSE({1;2;3;4;5;6;7;8;9;10;11;12;13;14;15;16;17;18;19;20;21;22;23;24;25;26;27;28;29;30},
     COUNTIFS($T$3:$T$201,$M236)&gt;0,
     COUNTIFS($U$3:$U$201,$M236)&gt;0,
     COUNTIFS($V$3:$V$201,$M236)&gt;0,
     COUNTIFS($W$3:$W$201,$M236)&gt;0,
     COUNTIFS($X$3:$X$201,$M236)&gt;0,
     COUNTIFS($Y$3:$Y$201,$M236)&gt;0,
     COUNTIFS($Z$3:$Z$201,$M236)&gt;0,
     COUNTIFS($AA$3:$AA$201,$M236)&gt;0,
     COUNTIFS($AB$3:$AB$201,$M236)&gt;0,
     COUNTIFS($AC$3:$AC$201,$M236)&gt;0,
     COUNTIFS($AD$3:$AD$201,$M236)&gt;0,
     COUNTIFS($AE$3:$AE$201,$M236)&gt;0,
     COUNTIFS($AF$3:$AF$201,$M236)&gt;0,
     COUNTIFS($AG$3:$AG$201,$M236)&gt;0,
     COUNTIFS($AH$3:$AH$201,$M236)&gt;0,
     COUNTIFS($AI$3:$AI$201,$M236)&gt;0,
     COUNTIFS($AJ$3:$AJ$201,$M236)&gt;0,
     COUNTIFS($AK$3:$AK$201,$M236)&gt;0,
     COUNTIFS($AL$3:$AL$201,$M236)&gt;0,
     COUNTIFS($AM$3:$AM$201,$M236)&gt;0,
     COUNTIFS($AN$3:$AN$201,$M236)&gt;0,
     COUNTIFS($AO$3:$AO$201,$M236)&gt;0,
     COUNTIFS($AP$3:$AP$201,$M236)&gt;0,
     COUNTIFS($AQ$3:$AQ$201,$M236)&gt;0,
     COUNTIFS($AR$3:$AR$201,$M236)&gt;0,
     COUNTIFS($AS$3:$AS$201,$M236)&gt;0,
     COUNTIFS($AT$3:$AT$201,$M236)&gt;0,
     COUNTIFS($AU$3:$AU$201,$M236)&gt;0,
     COUNTIFS($AV$3:$AV$201,$M236)&gt;0,
     COUNTIFS($AW$3:$AW$201,$M236)&gt;0
   )),
  ),
  3
 ),
"")</f>
        <v/>
      </c>
      <c r="R236" s="3" t="str" cm="1">
        <f t="array" aca="1" ref="R236" ca="1">IFERROR(
 INDEX(
  _xlfn._xlws.FILTER($T$2:$AW$2,
   TRANSPOSE(
    CHOOSE({1;2;3;4;5;6;7;8;9;10;11;12;13;14;15;16;17;18;19;20;21;22;23;24;25;26;27;28;29;30},
     COUNTIFS($T$3:$T$201,$M236)&gt;0,
     COUNTIFS($U$3:$U$201,$M236)&gt;0,
     COUNTIFS($V$3:$V$201,$M236)&gt;0,
     COUNTIFS($W$3:$W$201,$M236)&gt;0,
     COUNTIFS($X$3:$X$201,$M236)&gt;0,
     COUNTIFS($Y$3:$Y$201,$M236)&gt;0,
     COUNTIFS($Z$3:$Z$201,$M236)&gt;0,
     COUNTIFS($AA$3:$AA$201,$M236)&gt;0,
     COUNTIFS($AB$3:$AB$201,$M236)&gt;0,
     COUNTIFS($AC$3:$AC$201,$M236)&gt;0,
     COUNTIFS($AD$3:$AD$201,$M236)&gt;0,
     COUNTIFS($AE$3:$AE$201,$M236)&gt;0,
     COUNTIFS($AF$3:$AF$201,$M236)&gt;0,
     COUNTIFS($AG$3:$AG$201,$M236)&gt;0,
     COUNTIFS($AH$3:$AH$201,$M236)&gt;0,
     COUNTIFS($AI$3:$AI$201,$M236)&gt;0,
     COUNTIFS($AJ$3:$AJ$201,$M236)&gt;0,
     COUNTIFS($AK$3:$AK$201,$M236)&gt;0,
     COUNTIFS($AL$3:$AL$201,$M236)&gt;0,
     COUNTIFS($AM$3:$AM$201,$M236)&gt;0,
     COUNTIFS($AN$3:$AN$201,$M236)&gt;0,
     COUNTIFS($AO$3:$AO$201,$M236)&gt;0,
     COUNTIFS($AP$3:$AP$201,$M236)&gt;0,
     COUNTIFS($AQ$3:$AQ$201,$M236)&gt;0,
     COUNTIFS($AR$3:$AR$201,$M236)&gt;0,
     COUNTIFS($AS$3:$AS$201,$M236)&gt;0,
     COUNTIFS($AT$3:$AT$201,$M236)&gt;0,
     COUNTIFS($AU$3:$AU$201,$M236)&gt;0,
     COUNTIFS($AV$3:$AV$201,$M236)&gt;0,
     COUNTIFS($AW$3:$AW$201,$M236)&gt;0
   )),
  ),
  4
 ),
"")</f>
        <v/>
      </c>
      <c r="CI236" t="str">
        <f ca="1"/>
        <v>Storm's Wrath</v>
      </c>
    </row>
    <row r="237" spans="1:87" x14ac:dyDescent="0.25">
      <c r="A237" t="str">
        <f ca="1"/>
        <v>Sevinne's Reclamation</v>
      </c>
      <c r="B237" s="3" t="str" cm="1">
        <f t="array" aca="1" ref="B237" ca="1">_xlfn.ANCHORARRAY(RESUMO!C236)</f>
        <v>Carlos</v>
      </c>
      <c r="C237" s="3" t="str">
        <f t="shared" ca="1" si="12"/>
        <v/>
      </c>
      <c r="E237" t="str">
        <f ca="1"/>
        <v>Sudden Spoiling</v>
      </c>
      <c r="F237" s="3">
        <f t="shared" ca="1" si="13"/>
        <v>1</v>
      </c>
      <c r="G237" s="3" t="str">
        <f t="shared" ca="1" si="14"/>
        <v>Inalla</v>
      </c>
      <c r="M237" t="str">
        <f ca="1"/>
        <v>Sudden Spoiling</v>
      </c>
      <c r="N237" s="3">
        <f t="shared" ca="1" si="15"/>
        <v>1</v>
      </c>
      <c r="O237" s="3" t="str">
        <f ca="1">IFERROR(
 INDEX($T$2:$AW$2,
  MATCH(TRUE,
   CHOOSE({1;2;3;4;5;6;7;8;9;10;11;12;13;14;15;16;17;18;19;20;21;22;23;24;25;26;27;28;29;30;31;32},
    COUNTIFS($T$3:$T$201,$M237)&gt;0,
    COUNTIFS($U$3:$U$201,$M237)&gt;0,
    COUNTIFS($V$3:$V$201,$M237)&gt;0,
    COUNTIFS($W$3:$W$201,$M237)&gt;0,
    COUNTIFS($X$3:$X$201,$M237)&gt;0,
    COUNTIFS($Y$3:$Y$201,$M237)&gt;0,
    COUNTIFS($Z$3:$Z$201,$M237)&gt;0,
    COUNTIFS($AA$3:$AA$201,$M237)&gt;0,
    COUNTIFS($AB$3:$AB$201,$M237)&gt;0,
    COUNTIFS($AC$3:$AC$201,$M237)&gt;0,
    COUNTIFS($AD$3:$AD$201,$M237)&gt;0,
    COUNTIFS($AE$3:$AE$201,$M237)&gt;0,
    COUNTIFS($AF$3:$AF$201,$M237)&gt;0,
    COUNTIFS($AG$3:$AG$201,$M237)&gt;0,
    COUNTIFS($AH$3:$AH$201,$M237)&gt;0,
    COUNTIFS($AI$3:$AI$201,$M237)&gt;0,
    COUNTIFS($AJ$3:$AJ$201,$M237)&gt;0,
    COUNTIFS($AK$3:$AK$201,$M237)&gt;0,
    COUNTIFS($AL$3:$AL$201,$M237)&gt;0,
    COUNTIFS($AM$3:$AM$201,$M237)&gt;0,
    COUNTIFS($AN$3:$AN$201,$M237)&gt;0,
    COUNTIFS($AO$3:$AO$201,$M237)&gt;0,
    COUNTIFS($AP$3:$AP$201,$M237)&gt;0,
    COUNTIFS($AQ$3:$AQ$201,$M237)&gt;0,
    COUNTIFS($AR$3:$AR$201,$M237)&gt;0,
    COUNTIFS($AS$3:$AS$201,$M237)&gt;0,
    COUNTIFS($AT$3:$AT$201,$M237)&gt;0,
    COUNTIFS($AU$3:$AU$201,$M237)&gt;0,
    COUNTIFS($AV$3:$AV$201,$M237)&gt;0,
    COUNTIFS($AW$3:$AW$201,$M237)&gt;0
   ),
  0)
 ),
"")</f>
        <v>Inalla</v>
      </c>
      <c r="P237" s="3" t="str" cm="1">
        <f t="array" aca="1" ref="P237" ca="1">IFERROR(
 INDEX(
  _xlfn._xlws.FILTER($T$2:$AW$2,
   TRANSPOSE(
    CHOOSE({1;2;3;4;5;6;7;8;9;10;11;12;13;14;15;16;17;18;19;20;21;22;23;24;25;26;27;28;29;30},
     COUNTIFS($T$3:$T$201,$M237)&gt;0,
     COUNTIFS($U$3:$U$201,$M237)&gt;0,
     COUNTIFS($V$3:$V$201,$M237)&gt;0,
     COUNTIFS($W$3:$W$201,$M237)&gt;0,
     COUNTIFS($X$3:$X$201,$M237)&gt;0,
     COUNTIFS($Y$3:$Y$201,$M237)&gt;0,
     COUNTIFS($Z$3:$Z$201,$M237)&gt;0,
     COUNTIFS($AA$3:$AA$201,$M237)&gt;0,
     COUNTIFS($AB$3:$AB$201,$M237)&gt;0,
     COUNTIFS($AC$3:$AC$201,$M237)&gt;0,
     COUNTIFS($AD$3:$AD$201,$M237)&gt;0,
     COUNTIFS($AE$3:$AE$201,$M237)&gt;0,
     COUNTIFS($AF$3:$AF$201,$M237)&gt;0,
     COUNTIFS($AG$3:$AG$201,$M237)&gt;0,
     COUNTIFS($AH$3:$AH$201,$M237)&gt;0,
     COUNTIFS($AI$3:$AI$201,$M237)&gt;0,
     COUNTIFS($AJ$3:$AJ$201,$M237)&gt;0,
     COUNTIFS($AK$3:$AK$201,$M237)&gt;0,
     COUNTIFS($AL$3:$AL$201,$M237)&gt;0,
     COUNTIFS($AM$3:$AM$201,$M237)&gt;0,
     COUNTIFS($AN$3:$AN$201,$M237)&gt;0,
     COUNTIFS($AO$3:$AO$201,$M237)&gt;0,
     COUNTIFS($AP$3:$AP$201,$M237)&gt;0,
     COUNTIFS($AQ$3:$AQ$201,$M237)&gt;0,
     COUNTIFS($AR$3:$AR$201,$M237)&gt;0,
     COUNTIFS($AS$3:$AS$201,$M237)&gt;0,
     COUNTIFS($AT$3:$AT$201,$M237)&gt;0,
     COUNTIFS($AU$3:$AU$201,$M237)&gt;0,
     COUNTIFS($AV$3:$AV$201,$M237)&gt;0,
     COUNTIFS($AW$3:$AW$201,$M237)&gt;0
   )),
  ),
  2
 ),
"")</f>
        <v/>
      </c>
      <c r="Q237" s="3" t="str" cm="1">
        <f t="array" aca="1" ref="Q237" ca="1">IFERROR(
 INDEX(
  _xlfn._xlws.FILTER($T$2:$AW$2,
   TRANSPOSE(
    CHOOSE({1;2;3;4;5;6;7;8;9;10;11;12;13;14;15;16;17;18;19;20;21;22;23;24;25;26;27;28;29;30},
     COUNTIFS($T$3:$T$201,$M237)&gt;0,
     COUNTIFS($U$3:$U$201,$M237)&gt;0,
     COUNTIFS($V$3:$V$201,$M237)&gt;0,
     COUNTIFS($W$3:$W$201,$M237)&gt;0,
     COUNTIFS($X$3:$X$201,$M237)&gt;0,
     COUNTIFS($Y$3:$Y$201,$M237)&gt;0,
     COUNTIFS($Z$3:$Z$201,$M237)&gt;0,
     COUNTIFS($AA$3:$AA$201,$M237)&gt;0,
     COUNTIFS($AB$3:$AB$201,$M237)&gt;0,
     COUNTIFS($AC$3:$AC$201,$M237)&gt;0,
     COUNTIFS($AD$3:$AD$201,$M237)&gt;0,
     COUNTIFS($AE$3:$AE$201,$M237)&gt;0,
     COUNTIFS($AF$3:$AF$201,$M237)&gt;0,
     COUNTIFS($AG$3:$AG$201,$M237)&gt;0,
     COUNTIFS($AH$3:$AH$201,$M237)&gt;0,
     COUNTIFS($AI$3:$AI$201,$M237)&gt;0,
     COUNTIFS($AJ$3:$AJ$201,$M237)&gt;0,
     COUNTIFS($AK$3:$AK$201,$M237)&gt;0,
     COUNTIFS($AL$3:$AL$201,$M237)&gt;0,
     COUNTIFS($AM$3:$AM$201,$M237)&gt;0,
     COUNTIFS($AN$3:$AN$201,$M237)&gt;0,
     COUNTIFS($AO$3:$AO$201,$M237)&gt;0,
     COUNTIFS($AP$3:$AP$201,$M237)&gt;0,
     COUNTIFS($AQ$3:$AQ$201,$M237)&gt;0,
     COUNTIFS($AR$3:$AR$201,$M237)&gt;0,
     COUNTIFS($AS$3:$AS$201,$M237)&gt;0,
     COUNTIFS($AT$3:$AT$201,$M237)&gt;0,
     COUNTIFS($AU$3:$AU$201,$M237)&gt;0,
     COUNTIFS($AV$3:$AV$201,$M237)&gt;0,
     COUNTIFS($AW$3:$AW$201,$M237)&gt;0
   )),
  ),
  3
 ),
"")</f>
        <v/>
      </c>
      <c r="R237" s="3" t="str" cm="1">
        <f t="array" aca="1" ref="R237" ca="1">IFERROR(
 INDEX(
  _xlfn._xlws.FILTER($T$2:$AW$2,
   TRANSPOSE(
    CHOOSE({1;2;3;4;5;6;7;8;9;10;11;12;13;14;15;16;17;18;19;20;21;22;23;24;25;26;27;28;29;30},
     COUNTIFS($T$3:$T$201,$M237)&gt;0,
     COUNTIFS($U$3:$U$201,$M237)&gt;0,
     COUNTIFS($V$3:$V$201,$M237)&gt;0,
     COUNTIFS($W$3:$W$201,$M237)&gt;0,
     COUNTIFS($X$3:$X$201,$M237)&gt;0,
     COUNTIFS($Y$3:$Y$201,$M237)&gt;0,
     COUNTIFS($Z$3:$Z$201,$M237)&gt;0,
     COUNTIFS($AA$3:$AA$201,$M237)&gt;0,
     COUNTIFS($AB$3:$AB$201,$M237)&gt;0,
     COUNTIFS($AC$3:$AC$201,$M237)&gt;0,
     COUNTIFS($AD$3:$AD$201,$M237)&gt;0,
     COUNTIFS($AE$3:$AE$201,$M237)&gt;0,
     COUNTIFS($AF$3:$AF$201,$M237)&gt;0,
     COUNTIFS($AG$3:$AG$201,$M237)&gt;0,
     COUNTIFS($AH$3:$AH$201,$M237)&gt;0,
     COUNTIFS($AI$3:$AI$201,$M237)&gt;0,
     COUNTIFS($AJ$3:$AJ$201,$M237)&gt;0,
     COUNTIFS($AK$3:$AK$201,$M237)&gt;0,
     COUNTIFS($AL$3:$AL$201,$M237)&gt;0,
     COUNTIFS($AM$3:$AM$201,$M237)&gt;0,
     COUNTIFS($AN$3:$AN$201,$M237)&gt;0,
     COUNTIFS($AO$3:$AO$201,$M237)&gt;0,
     COUNTIFS($AP$3:$AP$201,$M237)&gt;0,
     COUNTIFS($AQ$3:$AQ$201,$M237)&gt;0,
     COUNTIFS($AR$3:$AR$201,$M237)&gt;0,
     COUNTIFS($AS$3:$AS$201,$M237)&gt;0,
     COUNTIFS($AT$3:$AT$201,$M237)&gt;0,
     COUNTIFS($AU$3:$AU$201,$M237)&gt;0,
     COUNTIFS($AV$3:$AV$201,$M237)&gt;0,
     COUNTIFS($AW$3:$AW$201,$M237)&gt;0
   )),
  ),
  4
 ),
"")</f>
        <v/>
      </c>
      <c r="CI237" t="str">
        <f ca="1"/>
        <v>Sudden Spoiling</v>
      </c>
    </row>
    <row r="238" spans="1:87" x14ac:dyDescent="0.25">
      <c r="A238" t="str">
        <f ca="1"/>
        <v>Shaku da Honra Desgastada</v>
      </c>
      <c r="B238" s="3" t="str" cm="1">
        <f t="array" aca="1" ref="B238" ca="1">_xlfn.ANCHORARRAY(RESUMO!C237)</f>
        <v>Thrakiri</v>
      </c>
      <c r="C238" s="3" t="str">
        <f t="shared" ca="1" si="12"/>
        <v/>
      </c>
      <c r="E238" t="str">
        <f ca="1"/>
        <v>Sulfur Falls</v>
      </c>
      <c r="F238" s="3">
        <f t="shared" ca="1" si="13"/>
        <v>1</v>
      </c>
      <c r="G238" s="3" t="str">
        <f t="shared" ca="1" si="14"/>
        <v>VialIshai</v>
      </c>
      <c r="M238" t="str">
        <f ca="1"/>
        <v>Sulfur Falls</v>
      </c>
      <c r="N238" s="3">
        <f t="shared" ca="1" si="15"/>
        <v>1</v>
      </c>
      <c r="O238" s="3" t="str">
        <f ca="1">IFERROR(
 INDEX($T$2:$AW$2,
  MATCH(TRUE,
   CHOOSE({1;2;3;4;5;6;7;8;9;10;11;12;13;14;15;16;17;18;19;20;21;22;23;24;25;26;27;28;29;30;31;32},
    COUNTIFS($T$3:$T$201,$M238)&gt;0,
    COUNTIFS($U$3:$U$201,$M238)&gt;0,
    COUNTIFS($V$3:$V$201,$M238)&gt;0,
    COUNTIFS($W$3:$W$201,$M238)&gt;0,
    COUNTIFS($X$3:$X$201,$M238)&gt;0,
    COUNTIFS($Y$3:$Y$201,$M238)&gt;0,
    COUNTIFS($Z$3:$Z$201,$M238)&gt;0,
    COUNTIFS($AA$3:$AA$201,$M238)&gt;0,
    COUNTIFS($AB$3:$AB$201,$M238)&gt;0,
    COUNTIFS($AC$3:$AC$201,$M238)&gt;0,
    COUNTIFS($AD$3:$AD$201,$M238)&gt;0,
    COUNTIFS($AE$3:$AE$201,$M238)&gt;0,
    COUNTIFS($AF$3:$AF$201,$M238)&gt;0,
    COUNTIFS($AG$3:$AG$201,$M238)&gt;0,
    COUNTIFS($AH$3:$AH$201,$M238)&gt;0,
    COUNTIFS($AI$3:$AI$201,$M238)&gt;0,
    COUNTIFS($AJ$3:$AJ$201,$M238)&gt;0,
    COUNTIFS($AK$3:$AK$201,$M238)&gt;0,
    COUNTIFS($AL$3:$AL$201,$M238)&gt;0,
    COUNTIFS($AM$3:$AM$201,$M238)&gt;0,
    COUNTIFS($AN$3:$AN$201,$M238)&gt;0,
    COUNTIFS($AO$3:$AO$201,$M238)&gt;0,
    COUNTIFS($AP$3:$AP$201,$M238)&gt;0,
    COUNTIFS($AQ$3:$AQ$201,$M238)&gt;0,
    COUNTIFS($AR$3:$AR$201,$M238)&gt;0,
    COUNTIFS($AS$3:$AS$201,$M238)&gt;0,
    COUNTIFS($AT$3:$AT$201,$M238)&gt;0,
    COUNTIFS($AU$3:$AU$201,$M238)&gt;0,
    COUNTIFS($AV$3:$AV$201,$M238)&gt;0,
    COUNTIFS($AW$3:$AW$201,$M238)&gt;0
   ),
  0)
 ),
"")</f>
        <v>VialIshai</v>
      </c>
      <c r="P238" s="3" t="str" cm="1">
        <f t="array" aca="1" ref="P238" ca="1">IFERROR(
 INDEX(
  _xlfn._xlws.FILTER($T$2:$AW$2,
   TRANSPOSE(
    CHOOSE({1;2;3;4;5;6;7;8;9;10;11;12;13;14;15;16;17;18;19;20;21;22;23;24;25;26;27;28;29;30},
     COUNTIFS($T$3:$T$201,$M238)&gt;0,
     COUNTIFS($U$3:$U$201,$M238)&gt;0,
     COUNTIFS($V$3:$V$201,$M238)&gt;0,
     COUNTIFS($W$3:$W$201,$M238)&gt;0,
     COUNTIFS($X$3:$X$201,$M238)&gt;0,
     COUNTIFS($Y$3:$Y$201,$M238)&gt;0,
     COUNTIFS($Z$3:$Z$201,$M238)&gt;0,
     COUNTIFS($AA$3:$AA$201,$M238)&gt;0,
     COUNTIFS($AB$3:$AB$201,$M238)&gt;0,
     COUNTIFS($AC$3:$AC$201,$M238)&gt;0,
     COUNTIFS($AD$3:$AD$201,$M238)&gt;0,
     COUNTIFS($AE$3:$AE$201,$M238)&gt;0,
     COUNTIFS($AF$3:$AF$201,$M238)&gt;0,
     COUNTIFS($AG$3:$AG$201,$M238)&gt;0,
     COUNTIFS($AH$3:$AH$201,$M238)&gt;0,
     COUNTIFS($AI$3:$AI$201,$M238)&gt;0,
     COUNTIFS($AJ$3:$AJ$201,$M238)&gt;0,
     COUNTIFS($AK$3:$AK$201,$M238)&gt;0,
     COUNTIFS($AL$3:$AL$201,$M238)&gt;0,
     COUNTIFS($AM$3:$AM$201,$M238)&gt;0,
     COUNTIFS($AN$3:$AN$201,$M238)&gt;0,
     COUNTIFS($AO$3:$AO$201,$M238)&gt;0,
     COUNTIFS($AP$3:$AP$201,$M238)&gt;0,
     COUNTIFS($AQ$3:$AQ$201,$M238)&gt;0,
     COUNTIFS($AR$3:$AR$201,$M238)&gt;0,
     COUNTIFS($AS$3:$AS$201,$M238)&gt;0,
     COUNTIFS($AT$3:$AT$201,$M238)&gt;0,
     COUNTIFS($AU$3:$AU$201,$M238)&gt;0,
     COUNTIFS($AV$3:$AV$201,$M238)&gt;0,
     COUNTIFS($AW$3:$AW$201,$M238)&gt;0
   )),
  ),
  2
 ),
"")</f>
        <v/>
      </c>
      <c r="Q238" s="3" t="str" cm="1">
        <f t="array" aca="1" ref="Q238" ca="1">IFERROR(
 INDEX(
  _xlfn._xlws.FILTER($T$2:$AW$2,
   TRANSPOSE(
    CHOOSE({1;2;3;4;5;6;7;8;9;10;11;12;13;14;15;16;17;18;19;20;21;22;23;24;25;26;27;28;29;30},
     COUNTIFS($T$3:$T$201,$M238)&gt;0,
     COUNTIFS($U$3:$U$201,$M238)&gt;0,
     COUNTIFS($V$3:$V$201,$M238)&gt;0,
     COUNTIFS($W$3:$W$201,$M238)&gt;0,
     COUNTIFS($X$3:$X$201,$M238)&gt;0,
     COUNTIFS($Y$3:$Y$201,$M238)&gt;0,
     COUNTIFS($Z$3:$Z$201,$M238)&gt;0,
     COUNTIFS($AA$3:$AA$201,$M238)&gt;0,
     COUNTIFS($AB$3:$AB$201,$M238)&gt;0,
     COUNTIFS($AC$3:$AC$201,$M238)&gt;0,
     COUNTIFS($AD$3:$AD$201,$M238)&gt;0,
     COUNTIFS($AE$3:$AE$201,$M238)&gt;0,
     COUNTIFS($AF$3:$AF$201,$M238)&gt;0,
     COUNTIFS($AG$3:$AG$201,$M238)&gt;0,
     COUNTIFS($AH$3:$AH$201,$M238)&gt;0,
     COUNTIFS($AI$3:$AI$201,$M238)&gt;0,
     COUNTIFS($AJ$3:$AJ$201,$M238)&gt;0,
     COUNTIFS($AK$3:$AK$201,$M238)&gt;0,
     COUNTIFS($AL$3:$AL$201,$M238)&gt;0,
     COUNTIFS($AM$3:$AM$201,$M238)&gt;0,
     COUNTIFS($AN$3:$AN$201,$M238)&gt;0,
     COUNTIFS($AO$3:$AO$201,$M238)&gt;0,
     COUNTIFS($AP$3:$AP$201,$M238)&gt;0,
     COUNTIFS($AQ$3:$AQ$201,$M238)&gt;0,
     COUNTIFS($AR$3:$AR$201,$M238)&gt;0,
     COUNTIFS($AS$3:$AS$201,$M238)&gt;0,
     COUNTIFS($AT$3:$AT$201,$M238)&gt;0,
     COUNTIFS($AU$3:$AU$201,$M238)&gt;0,
     COUNTIFS($AV$3:$AV$201,$M238)&gt;0,
     COUNTIFS($AW$3:$AW$201,$M238)&gt;0
   )),
  ),
  3
 ),
"")</f>
        <v/>
      </c>
      <c r="R238" s="3" t="str" cm="1">
        <f t="array" aca="1" ref="R238" ca="1">IFERROR(
 INDEX(
  _xlfn._xlws.FILTER($T$2:$AW$2,
   TRANSPOSE(
    CHOOSE({1;2;3;4;5;6;7;8;9;10;11;12;13;14;15;16;17;18;19;20;21;22;23;24;25;26;27;28;29;30},
     COUNTIFS($T$3:$T$201,$M238)&gt;0,
     COUNTIFS($U$3:$U$201,$M238)&gt;0,
     COUNTIFS($V$3:$V$201,$M238)&gt;0,
     COUNTIFS($W$3:$W$201,$M238)&gt;0,
     COUNTIFS($X$3:$X$201,$M238)&gt;0,
     COUNTIFS($Y$3:$Y$201,$M238)&gt;0,
     COUNTIFS($Z$3:$Z$201,$M238)&gt;0,
     COUNTIFS($AA$3:$AA$201,$M238)&gt;0,
     COUNTIFS($AB$3:$AB$201,$M238)&gt;0,
     COUNTIFS($AC$3:$AC$201,$M238)&gt;0,
     COUNTIFS($AD$3:$AD$201,$M238)&gt;0,
     COUNTIFS($AE$3:$AE$201,$M238)&gt;0,
     COUNTIFS($AF$3:$AF$201,$M238)&gt;0,
     COUNTIFS($AG$3:$AG$201,$M238)&gt;0,
     COUNTIFS($AH$3:$AH$201,$M238)&gt;0,
     COUNTIFS($AI$3:$AI$201,$M238)&gt;0,
     COUNTIFS($AJ$3:$AJ$201,$M238)&gt;0,
     COUNTIFS($AK$3:$AK$201,$M238)&gt;0,
     COUNTIFS($AL$3:$AL$201,$M238)&gt;0,
     COUNTIFS($AM$3:$AM$201,$M238)&gt;0,
     COUNTIFS($AN$3:$AN$201,$M238)&gt;0,
     COUNTIFS($AO$3:$AO$201,$M238)&gt;0,
     COUNTIFS($AP$3:$AP$201,$M238)&gt;0,
     COUNTIFS($AQ$3:$AQ$201,$M238)&gt;0,
     COUNTIFS($AR$3:$AR$201,$M238)&gt;0,
     COUNTIFS($AS$3:$AS$201,$M238)&gt;0,
     COUNTIFS($AT$3:$AT$201,$M238)&gt;0,
     COUNTIFS($AU$3:$AU$201,$M238)&gt;0,
     COUNTIFS($AV$3:$AV$201,$M238)&gt;0,
     COUNTIFS($AW$3:$AW$201,$M238)&gt;0
   )),
  ),
  4
 ),
"")</f>
        <v/>
      </c>
      <c r="CI238" t="str">
        <f ca="1"/>
        <v>Sulfur Falls</v>
      </c>
    </row>
    <row r="239" spans="1:87" x14ac:dyDescent="0.25">
      <c r="A239" t="str">
        <f ca="1"/>
        <v>Shelinda, Yevon Acolyte</v>
      </c>
      <c r="B239" s="3" t="str" cm="1">
        <f t="array" aca="1" ref="B239" ca="1">_xlfn.ANCHORARRAY(RESUMO!C238)</f>
        <v>Tayam</v>
      </c>
      <c r="C239" s="3" t="str">
        <f t="shared" ca="1" si="12"/>
        <v/>
      </c>
      <c r="E239" t="str">
        <f ca="1"/>
        <v>Supreme Verdict</v>
      </c>
      <c r="F239" s="3">
        <f t="shared" ca="1" si="13"/>
        <v>1</v>
      </c>
      <c r="G239" s="3" t="str">
        <f t="shared" ca="1" si="14"/>
        <v>Sisay</v>
      </c>
      <c r="M239" t="str">
        <f ca="1"/>
        <v>Supreme Verdict</v>
      </c>
      <c r="N239" s="3">
        <f t="shared" ca="1" si="15"/>
        <v>1</v>
      </c>
      <c r="O239" s="3" t="str">
        <f ca="1">IFERROR(
 INDEX($T$2:$AW$2,
  MATCH(TRUE,
   CHOOSE({1;2;3;4;5;6;7;8;9;10;11;12;13;14;15;16;17;18;19;20;21;22;23;24;25;26;27;28;29;30;31;32},
    COUNTIFS($T$3:$T$201,$M239)&gt;0,
    COUNTIFS($U$3:$U$201,$M239)&gt;0,
    COUNTIFS($V$3:$V$201,$M239)&gt;0,
    COUNTIFS($W$3:$W$201,$M239)&gt;0,
    COUNTIFS($X$3:$X$201,$M239)&gt;0,
    COUNTIFS($Y$3:$Y$201,$M239)&gt;0,
    COUNTIFS($Z$3:$Z$201,$M239)&gt;0,
    COUNTIFS($AA$3:$AA$201,$M239)&gt;0,
    COUNTIFS($AB$3:$AB$201,$M239)&gt;0,
    COUNTIFS($AC$3:$AC$201,$M239)&gt;0,
    COUNTIFS($AD$3:$AD$201,$M239)&gt;0,
    COUNTIFS($AE$3:$AE$201,$M239)&gt;0,
    COUNTIFS($AF$3:$AF$201,$M239)&gt;0,
    COUNTIFS($AG$3:$AG$201,$M239)&gt;0,
    COUNTIFS($AH$3:$AH$201,$M239)&gt;0,
    COUNTIFS($AI$3:$AI$201,$M239)&gt;0,
    COUNTIFS($AJ$3:$AJ$201,$M239)&gt;0,
    COUNTIFS($AK$3:$AK$201,$M239)&gt;0,
    COUNTIFS($AL$3:$AL$201,$M239)&gt;0,
    COUNTIFS($AM$3:$AM$201,$M239)&gt;0,
    COUNTIFS($AN$3:$AN$201,$M239)&gt;0,
    COUNTIFS($AO$3:$AO$201,$M239)&gt;0,
    COUNTIFS($AP$3:$AP$201,$M239)&gt;0,
    COUNTIFS($AQ$3:$AQ$201,$M239)&gt;0,
    COUNTIFS($AR$3:$AR$201,$M239)&gt;0,
    COUNTIFS($AS$3:$AS$201,$M239)&gt;0,
    COUNTIFS($AT$3:$AT$201,$M239)&gt;0,
    COUNTIFS($AU$3:$AU$201,$M239)&gt;0,
    COUNTIFS($AV$3:$AV$201,$M239)&gt;0,
    COUNTIFS($AW$3:$AW$201,$M239)&gt;0
   ),
  0)
 ),
"")</f>
        <v>Sisay</v>
      </c>
      <c r="P239" s="3" t="str" cm="1">
        <f t="array" aca="1" ref="P239" ca="1">IFERROR(
 INDEX(
  _xlfn._xlws.FILTER($T$2:$AW$2,
   TRANSPOSE(
    CHOOSE({1;2;3;4;5;6;7;8;9;10;11;12;13;14;15;16;17;18;19;20;21;22;23;24;25;26;27;28;29;30},
     COUNTIFS($T$3:$T$201,$M239)&gt;0,
     COUNTIFS($U$3:$U$201,$M239)&gt;0,
     COUNTIFS($V$3:$V$201,$M239)&gt;0,
     COUNTIFS($W$3:$W$201,$M239)&gt;0,
     COUNTIFS($X$3:$X$201,$M239)&gt;0,
     COUNTIFS($Y$3:$Y$201,$M239)&gt;0,
     COUNTIFS($Z$3:$Z$201,$M239)&gt;0,
     COUNTIFS($AA$3:$AA$201,$M239)&gt;0,
     COUNTIFS($AB$3:$AB$201,$M239)&gt;0,
     COUNTIFS($AC$3:$AC$201,$M239)&gt;0,
     COUNTIFS($AD$3:$AD$201,$M239)&gt;0,
     COUNTIFS($AE$3:$AE$201,$M239)&gt;0,
     COUNTIFS($AF$3:$AF$201,$M239)&gt;0,
     COUNTIFS($AG$3:$AG$201,$M239)&gt;0,
     COUNTIFS($AH$3:$AH$201,$M239)&gt;0,
     COUNTIFS($AI$3:$AI$201,$M239)&gt;0,
     COUNTIFS($AJ$3:$AJ$201,$M239)&gt;0,
     COUNTIFS($AK$3:$AK$201,$M239)&gt;0,
     COUNTIFS($AL$3:$AL$201,$M239)&gt;0,
     COUNTIFS($AM$3:$AM$201,$M239)&gt;0,
     COUNTIFS($AN$3:$AN$201,$M239)&gt;0,
     COUNTIFS($AO$3:$AO$201,$M239)&gt;0,
     COUNTIFS($AP$3:$AP$201,$M239)&gt;0,
     COUNTIFS($AQ$3:$AQ$201,$M239)&gt;0,
     COUNTIFS($AR$3:$AR$201,$M239)&gt;0,
     COUNTIFS($AS$3:$AS$201,$M239)&gt;0,
     COUNTIFS($AT$3:$AT$201,$M239)&gt;0,
     COUNTIFS($AU$3:$AU$201,$M239)&gt;0,
     COUNTIFS($AV$3:$AV$201,$M239)&gt;0,
     COUNTIFS($AW$3:$AW$201,$M239)&gt;0
   )),
  ),
  2
 ),
"")</f>
        <v/>
      </c>
      <c r="Q239" s="3" t="str" cm="1">
        <f t="array" aca="1" ref="Q239" ca="1">IFERROR(
 INDEX(
  _xlfn._xlws.FILTER($T$2:$AW$2,
   TRANSPOSE(
    CHOOSE({1;2;3;4;5;6;7;8;9;10;11;12;13;14;15;16;17;18;19;20;21;22;23;24;25;26;27;28;29;30},
     COUNTIFS($T$3:$T$201,$M239)&gt;0,
     COUNTIFS($U$3:$U$201,$M239)&gt;0,
     COUNTIFS($V$3:$V$201,$M239)&gt;0,
     COUNTIFS($W$3:$W$201,$M239)&gt;0,
     COUNTIFS($X$3:$X$201,$M239)&gt;0,
     COUNTIFS($Y$3:$Y$201,$M239)&gt;0,
     COUNTIFS($Z$3:$Z$201,$M239)&gt;0,
     COUNTIFS($AA$3:$AA$201,$M239)&gt;0,
     COUNTIFS($AB$3:$AB$201,$M239)&gt;0,
     COUNTIFS($AC$3:$AC$201,$M239)&gt;0,
     COUNTIFS($AD$3:$AD$201,$M239)&gt;0,
     COUNTIFS($AE$3:$AE$201,$M239)&gt;0,
     COUNTIFS($AF$3:$AF$201,$M239)&gt;0,
     COUNTIFS($AG$3:$AG$201,$M239)&gt;0,
     COUNTIFS($AH$3:$AH$201,$M239)&gt;0,
     COUNTIFS($AI$3:$AI$201,$M239)&gt;0,
     COUNTIFS($AJ$3:$AJ$201,$M239)&gt;0,
     COUNTIFS($AK$3:$AK$201,$M239)&gt;0,
     COUNTIFS($AL$3:$AL$201,$M239)&gt;0,
     COUNTIFS($AM$3:$AM$201,$M239)&gt;0,
     COUNTIFS($AN$3:$AN$201,$M239)&gt;0,
     COUNTIFS($AO$3:$AO$201,$M239)&gt;0,
     COUNTIFS($AP$3:$AP$201,$M239)&gt;0,
     COUNTIFS($AQ$3:$AQ$201,$M239)&gt;0,
     COUNTIFS($AR$3:$AR$201,$M239)&gt;0,
     COUNTIFS($AS$3:$AS$201,$M239)&gt;0,
     COUNTIFS($AT$3:$AT$201,$M239)&gt;0,
     COUNTIFS($AU$3:$AU$201,$M239)&gt;0,
     COUNTIFS($AV$3:$AV$201,$M239)&gt;0,
     COUNTIFS($AW$3:$AW$201,$M239)&gt;0
   )),
  ),
  3
 ),
"")</f>
        <v/>
      </c>
      <c r="R239" s="3" t="str" cm="1">
        <f t="array" aca="1" ref="R239" ca="1">IFERROR(
 INDEX(
  _xlfn._xlws.FILTER($T$2:$AW$2,
   TRANSPOSE(
    CHOOSE({1;2;3;4;5;6;7;8;9;10;11;12;13;14;15;16;17;18;19;20;21;22;23;24;25;26;27;28;29;30},
     COUNTIFS($T$3:$T$201,$M239)&gt;0,
     COUNTIFS($U$3:$U$201,$M239)&gt;0,
     COUNTIFS($V$3:$V$201,$M239)&gt;0,
     COUNTIFS($W$3:$W$201,$M239)&gt;0,
     COUNTIFS($X$3:$X$201,$M239)&gt;0,
     COUNTIFS($Y$3:$Y$201,$M239)&gt;0,
     COUNTIFS($Z$3:$Z$201,$M239)&gt;0,
     COUNTIFS($AA$3:$AA$201,$M239)&gt;0,
     COUNTIFS($AB$3:$AB$201,$M239)&gt;0,
     COUNTIFS($AC$3:$AC$201,$M239)&gt;0,
     COUNTIFS($AD$3:$AD$201,$M239)&gt;0,
     COUNTIFS($AE$3:$AE$201,$M239)&gt;0,
     COUNTIFS($AF$3:$AF$201,$M239)&gt;0,
     COUNTIFS($AG$3:$AG$201,$M239)&gt;0,
     COUNTIFS($AH$3:$AH$201,$M239)&gt;0,
     COUNTIFS($AI$3:$AI$201,$M239)&gt;0,
     COUNTIFS($AJ$3:$AJ$201,$M239)&gt;0,
     COUNTIFS($AK$3:$AK$201,$M239)&gt;0,
     COUNTIFS($AL$3:$AL$201,$M239)&gt;0,
     COUNTIFS($AM$3:$AM$201,$M239)&gt;0,
     COUNTIFS($AN$3:$AN$201,$M239)&gt;0,
     COUNTIFS($AO$3:$AO$201,$M239)&gt;0,
     COUNTIFS($AP$3:$AP$201,$M239)&gt;0,
     COUNTIFS($AQ$3:$AQ$201,$M239)&gt;0,
     COUNTIFS($AR$3:$AR$201,$M239)&gt;0,
     COUNTIFS($AS$3:$AS$201,$M239)&gt;0,
     COUNTIFS($AT$3:$AT$201,$M239)&gt;0,
     COUNTIFS($AU$3:$AU$201,$M239)&gt;0,
     COUNTIFS($AV$3:$AV$201,$M239)&gt;0,
     COUNTIFS($AW$3:$AW$201,$M239)&gt;0
   )),
  ),
  4
 ),
"")</f>
        <v/>
      </c>
      <c r="CI239" t="str">
        <f ca="1"/>
        <v>Supreme Verdict</v>
      </c>
    </row>
    <row r="240" spans="1:87" x14ac:dyDescent="0.25">
      <c r="A240" t="str">
        <f ca="1"/>
        <v>Shizo, Death's Storehouse</v>
      </c>
      <c r="B240" s="3" t="str" cm="1">
        <f t="array" aca="1" ref="B240" ca="1">_xlfn.ANCHORARRAY(RESUMO!C239)</f>
        <v>Yuriko</v>
      </c>
      <c r="C240" s="3" t="str">
        <f t="shared" ca="1" si="12"/>
        <v/>
      </c>
      <c r="E240" t="str">
        <f ca="1"/>
        <v>Surto da Salvação</v>
      </c>
      <c r="F240" s="3">
        <f t="shared" ca="1" si="13"/>
        <v>1</v>
      </c>
      <c r="G240" s="3" t="str">
        <f t="shared" ca="1" si="14"/>
        <v>Narset</v>
      </c>
      <c r="M240" t="str">
        <f ca="1"/>
        <v>Surto da Salvação</v>
      </c>
      <c r="N240" s="3">
        <f t="shared" ca="1" si="15"/>
        <v>1</v>
      </c>
      <c r="O240" s="3" t="str">
        <f ca="1">IFERROR(
 INDEX($T$2:$AW$2,
  MATCH(TRUE,
   CHOOSE({1;2;3;4;5;6;7;8;9;10;11;12;13;14;15;16;17;18;19;20;21;22;23;24;25;26;27;28;29;30;31;32},
    COUNTIFS($T$3:$T$201,$M240)&gt;0,
    COUNTIFS($U$3:$U$201,$M240)&gt;0,
    COUNTIFS($V$3:$V$201,$M240)&gt;0,
    COUNTIFS($W$3:$W$201,$M240)&gt;0,
    COUNTIFS($X$3:$X$201,$M240)&gt;0,
    COUNTIFS($Y$3:$Y$201,$M240)&gt;0,
    COUNTIFS($Z$3:$Z$201,$M240)&gt;0,
    COUNTIFS($AA$3:$AA$201,$M240)&gt;0,
    COUNTIFS($AB$3:$AB$201,$M240)&gt;0,
    COUNTIFS($AC$3:$AC$201,$M240)&gt;0,
    COUNTIFS($AD$3:$AD$201,$M240)&gt;0,
    COUNTIFS($AE$3:$AE$201,$M240)&gt;0,
    COUNTIFS($AF$3:$AF$201,$M240)&gt;0,
    COUNTIFS($AG$3:$AG$201,$M240)&gt;0,
    COUNTIFS($AH$3:$AH$201,$M240)&gt;0,
    COUNTIFS($AI$3:$AI$201,$M240)&gt;0,
    COUNTIFS($AJ$3:$AJ$201,$M240)&gt;0,
    COUNTIFS($AK$3:$AK$201,$M240)&gt;0,
    COUNTIFS($AL$3:$AL$201,$M240)&gt;0,
    COUNTIFS($AM$3:$AM$201,$M240)&gt;0,
    COUNTIFS($AN$3:$AN$201,$M240)&gt;0,
    COUNTIFS($AO$3:$AO$201,$M240)&gt;0,
    COUNTIFS($AP$3:$AP$201,$M240)&gt;0,
    COUNTIFS($AQ$3:$AQ$201,$M240)&gt;0,
    COUNTIFS($AR$3:$AR$201,$M240)&gt;0,
    COUNTIFS($AS$3:$AS$201,$M240)&gt;0,
    COUNTIFS($AT$3:$AT$201,$M240)&gt;0,
    COUNTIFS($AU$3:$AU$201,$M240)&gt;0,
    COUNTIFS($AV$3:$AV$201,$M240)&gt;0,
    COUNTIFS($AW$3:$AW$201,$M240)&gt;0
   ),
  0)
 ),
"")</f>
        <v>Narset</v>
      </c>
      <c r="P240" s="3" t="str" cm="1">
        <f t="array" aca="1" ref="P240" ca="1">IFERROR(
 INDEX(
  _xlfn._xlws.FILTER($T$2:$AW$2,
   TRANSPOSE(
    CHOOSE({1;2;3;4;5;6;7;8;9;10;11;12;13;14;15;16;17;18;19;20;21;22;23;24;25;26;27;28;29;30},
     COUNTIFS($T$3:$T$201,$M240)&gt;0,
     COUNTIFS($U$3:$U$201,$M240)&gt;0,
     COUNTIFS($V$3:$V$201,$M240)&gt;0,
     COUNTIFS($W$3:$W$201,$M240)&gt;0,
     COUNTIFS($X$3:$X$201,$M240)&gt;0,
     COUNTIFS($Y$3:$Y$201,$M240)&gt;0,
     COUNTIFS($Z$3:$Z$201,$M240)&gt;0,
     COUNTIFS($AA$3:$AA$201,$M240)&gt;0,
     COUNTIFS($AB$3:$AB$201,$M240)&gt;0,
     COUNTIFS($AC$3:$AC$201,$M240)&gt;0,
     COUNTIFS($AD$3:$AD$201,$M240)&gt;0,
     COUNTIFS($AE$3:$AE$201,$M240)&gt;0,
     COUNTIFS($AF$3:$AF$201,$M240)&gt;0,
     COUNTIFS($AG$3:$AG$201,$M240)&gt;0,
     COUNTIFS($AH$3:$AH$201,$M240)&gt;0,
     COUNTIFS($AI$3:$AI$201,$M240)&gt;0,
     COUNTIFS($AJ$3:$AJ$201,$M240)&gt;0,
     COUNTIFS($AK$3:$AK$201,$M240)&gt;0,
     COUNTIFS($AL$3:$AL$201,$M240)&gt;0,
     COUNTIFS($AM$3:$AM$201,$M240)&gt;0,
     COUNTIFS($AN$3:$AN$201,$M240)&gt;0,
     COUNTIFS($AO$3:$AO$201,$M240)&gt;0,
     COUNTIFS($AP$3:$AP$201,$M240)&gt;0,
     COUNTIFS($AQ$3:$AQ$201,$M240)&gt;0,
     COUNTIFS($AR$3:$AR$201,$M240)&gt;0,
     COUNTIFS($AS$3:$AS$201,$M240)&gt;0,
     COUNTIFS($AT$3:$AT$201,$M240)&gt;0,
     COUNTIFS($AU$3:$AU$201,$M240)&gt;0,
     COUNTIFS($AV$3:$AV$201,$M240)&gt;0,
     COUNTIFS($AW$3:$AW$201,$M240)&gt;0
   )),
  ),
  2
 ),
"")</f>
        <v/>
      </c>
      <c r="Q240" s="3" t="str" cm="1">
        <f t="array" aca="1" ref="Q240" ca="1">IFERROR(
 INDEX(
  _xlfn._xlws.FILTER($T$2:$AW$2,
   TRANSPOSE(
    CHOOSE({1;2;3;4;5;6;7;8;9;10;11;12;13;14;15;16;17;18;19;20;21;22;23;24;25;26;27;28;29;30},
     COUNTIFS($T$3:$T$201,$M240)&gt;0,
     COUNTIFS($U$3:$U$201,$M240)&gt;0,
     COUNTIFS($V$3:$V$201,$M240)&gt;0,
     COUNTIFS($W$3:$W$201,$M240)&gt;0,
     COUNTIFS($X$3:$X$201,$M240)&gt;0,
     COUNTIFS($Y$3:$Y$201,$M240)&gt;0,
     COUNTIFS($Z$3:$Z$201,$M240)&gt;0,
     COUNTIFS($AA$3:$AA$201,$M240)&gt;0,
     COUNTIFS($AB$3:$AB$201,$M240)&gt;0,
     COUNTIFS($AC$3:$AC$201,$M240)&gt;0,
     COUNTIFS($AD$3:$AD$201,$M240)&gt;0,
     COUNTIFS($AE$3:$AE$201,$M240)&gt;0,
     COUNTIFS($AF$3:$AF$201,$M240)&gt;0,
     COUNTIFS($AG$3:$AG$201,$M240)&gt;0,
     COUNTIFS($AH$3:$AH$201,$M240)&gt;0,
     COUNTIFS($AI$3:$AI$201,$M240)&gt;0,
     COUNTIFS($AJ$3:$AJ$201,$M240)&gt;0,
     COUNTIFS($AK$3:$AK$201,$M240)&gt;0,
     COUNTIFS($AL$3:$AL$201,$M240)&gt;0,
     COUNTIFS($AM$3:$AM$201,$M240)&gt;0,
     COUNTIFS($AN$3:$AN$201,$M240)&gt;0,
     COUNTIFS($AO$3:$AO$201,$M240)&gt;0,
     COUNTIFS($AP$3:$AP$201,$M240)&gt;0,
     COUNTIFS($AQ$3:$AQ$201,$M240)&gt;0,
     COUNTIFS($AR$3:$AR$201,$M240)&gt;0,
     COUNTIFS($AS$3:$AS$201,$M240)&gt;0,
     COUNTIFS($AT$3:$AT$201,$M240)&gt;0,
     COUNTIFS($AU$3:$AU$201,$M240)&gt;0,
     COUNTIFS($AV$3:$AV$201,$M240)&gt;0,
     COUNTIFS($AW$3:$AW$201,$M240)&gt;0
   )),
  ),
  3
 ),
"")</f>
        <v/>
      </c>
      <c r="R240" s="3" t="str" cm="1">
        <f t="array" aca="1" ref="R240" ca="1">IFERROR(
 INDEX(
  _xlfn._xlws.FILTER($T$2:$AW$2,
   TRANSPOSE(
    CHOOSE({1;2;3;4;5;6;7;8;9;10;11;12;13;14;15;16;17;18;19;20;21;22;23;24;25;26;27;28;29;30},
     COUNTIFS($T$3:$T$201,$M240)&gt;0,
     COUNTIFS($U$3:$U$201,$M240)&gt;0,
     COUNTIFS($V$3:$V$201,$M240)&gt;0,
     COUNTIFS($W$3:$W$201,$M240)&gt;0,
     COUNTIFS($X$3:$X$201,$M240)&gt;0,
     COUNTIFS($Y$3:$Y$201,$M240)&gt;0,
     COUNTIFS($Z$3:$Z$201,$M240)&gt;0,
     COUNTIFS($AA$3:$AA$201,$M240)&gt;0,
     COUNTIFS($AB$3:$AB$201,$M240)&gt;0,
     COUNTIFS($AC$3:$AC$201,$M240)&gt;0,
     COUNTIFS($AD$3:$AD$201,$M240)&gt;0,
     COUNTIFS($AE$3:$AE$201,$M240)&gt;0,
     COUNTIFS($AF$3:$AF$201,$M240)&gt;0,
     COUNTIFS($AG$3:$AG$201,$M240)&gt;0,
     COUNTIFS($AH$3:$AH$201,$M240)&gt;0,
     COUNTIFS($AI$3:$AI$201,$M240)&gt;0,
     COUNTIFS($AJ$3:$AJ$201,$M240)&gt;0,
     COUNTIFS($AK$3:$AK$201,$M240)&gt;0,
     COUNTIFS($AL$3:$AL$201,$M240)&gt;0,
     COUNTIFS($AM$3:$AM$201,$M240)&gt;0,
     COUNTIFS($AN$3:$AN$201,$M240)&gt;0,
     COUNTIFS($AO$3:$AO$201,$M240)&gt;0,
     COUNTIFS($AP$3:$AP$201,$M240)&gt;0,
     COUNTIFS($AQ$3:$AQ$201,$M240)&gt;0,
     COUNTIFS($AR$3:$AR$201,$M240)&gt;0,
     COUNTIFS($AS$3:$AS$201,$M240)&gt;0,
     COUNTIFS($AT$3:$AT$201,$M240)&gt;0,
     COUNTIFS($AU$3:$AU$201,$M240)&gt;0,
     COUNTIFS($AV$3:$AV$201,$M240)&gt;0,
     COUNTIFS($AW$3:$AW$201,$M240)&gt;0
   )),
  ),
  4
 ),
"")</f>
        <v/>
      </c>
      <c r="CI240" t="str">
        <f ca="1"/>
        <v>Surto da Salvação</v>
      </c>
    </row>
    <row r="241" spans="1:87" x14ac:dyDescent="0.25">
      <c r="A241" t="str">
        <f ca="1"/>
        <v>Shoot the Sheriff</v>
      </c>
      <c r="B241" s="3" t="str" cm="1">
        <f t="array" aca="1" ref="B241" ca="1">_xlfn.ANCHORARRAY(RESUMO!C240)</f>
        <v>Piratas</v>
      </c>
      <c r="C241" s="3" t="str">
        <f t="shared" ca="1" si="12"/>
        <v/>
      </c>
      <c r="E241" t="str">
        <f ca="1"/>
        <v>Swamp</v>
      </c>
      <c r="F241" s="3">
        <f t="shared" ca="1" si="13"/>
        <v>13</v>
      </c>
      <c r="G241" s="3" t="str">
        <f t="shared" ca="1" si="14"/>
        <v>Piratas</v>
      </c>
      <c r="M241" t="str">
        <f ca="1"/>
        <v>Swamp</v>
      </c>
      <c r="N241" s="3">
        <f t="shared" ca="1" si="15"/>
        <v>13</v>
      </c>
      <c r="O241" s="3" t="str">
        <f ca="1">IFERROR(
 INDEX($T$2:$AW$2,
  MATCH(TRUE,
   CHOOSE({1;2;3;4;5;6;7;8;9;10;11;12;13;14;15;16;17;18;19;20;21;22;23;24;25;26;27;28;29;30;31;32},
    COUNTIFS($T$3:$T$201,$M241)&gt;0,
    COUNTIFS($U$3:$U$201,$M241)&gt;0,
    COUNTIFS($V$3:$V$201,$M241)&gt;0,
    COUNTIFS($W$3:$W$201,$M241)&gt;0,
    COUNTIFS($X$3:$X$201,$M241)&gt;0,
    COUNTIFS($Y$3:$Y$201,$M241)&gt;0,
    COUNTIFS($Z$3:$Z$201,$M241)&gt;0,
    COUNTIFS($AA$3:$AA$201,$M241)&gt;0,
    COUNTIFS($AB$3:$AB$201,$M241)&gt;0,
    COUNTIFS($AC$3:$AC$201,$M241)&gt;0,
    COUNTIFS($AD$3:$AD$201,$M241)&gt;0,
    COUNTIFS($AE$3:$AE$201,$M241)&gt;0,
    COUNTIFS($AF$3:$AF$201,$M241)&gt;0,
    COUNTIFS($AG$3:$AG$201,$M241)&gt;0,
    COUNTIFS($AH$3:$AH$201,$M241)&gt;0,
    COUNTIFS($AI$3:$AI$201,$M241)&gt;0,
    COUNTIFS($AJ$3:$AJ$201,$M241)&gt;0,
    COUNTIFS($AK$3:$AK$201,$M241)&gt;0,
    COUNTIFS($AL$3:$AL$201,$M241)&gt;0,
    COUNTIFS($AM$3:$AM$201,$M241)&gt;0,
    COUNTIFS($AN$3:$AN$201,$M241)&gt;0,
    COUNTIFS($AO$3:$AO$201,$M241)&gt;0,
    COUNTIFS($AP$3:$AP$201,$M241)&gt;0,
    COUNTIFS($AQ$3:$AQ$201,$M241)&gt;0,
    COUNTIFS($AR$3:$AR$201,$M241)&gt;0,
    COUNTIFS($AS$3:$AS$201,$M241)&gt;0,
    COUNTIFS($AT$3:$AT$201,$M241)&gt;0,
    COUNTIFS($AU$3:$AU$201,$M241)&gt;0,
    COUNTIFS($AV$3:$AV$201,$M241)&gt;0,
    COUNTIFS($AW$3:$AW$201,$M241)&gt;0
   ),
  0)
 ),
"")</f>
        <v>Piratas</v>
      </c>
      <c r="P241" s="3" t="str" cm="1">
        <f t="array" aca="1" ref="P241" ca="1">IFERROR(
 INDEX(
  _xlfn._xlws.FILTER($T$2:$AW$2,
   TRANSPOSE(
    CHOOSE({1;2;3;4;5;6;7;8;9;10;11;12;13;14;15;16;17;18;19;20;21;22;23;24;25;26;27;28;29;30},
     COUNTIFS($T$3:$T$201,$M241)&gt;0,
     COUNTIFS($U$3:$U$201,$M241)&gt;0,
     COUNTIFS($V$3:$V$201,$M241)&gt;0,
     COUNTIFS($W$3:$W$201,$M241)&gt;0,
     COUNTIFS($X$3:$X$201,$M241)&gt;0,
     COUNTIFS($Y$3:$Y$201,$M241)&gt;0,
     COUNTIFS($Z$3:$Z$201,$M241)&gt;0,
     COUNTIFS($AA$3:$AA$201,$M241)&gt;0,
     COUNTIFS($AB$3:$AB$201,$M241)&gt;0,
     COUNTIFS($AC$3:$AC$201,$M241)&gt;0,
     COUNTIFS($AD$3:$AD$201,$M241)&gt;0,
     COUNTIFS($AE$3:$AE$201,$M241)&gt;0,
     COUNTIFS($AF$3:$AF$201,$M241)&gt;0,
     COUNTIFS($AG$3:$AG$201,$M241)&gt;0,
     COUNTIFS($AH$3:$AH$201,$M241)&gt;0,
     COUNTIFS($AI$3:$AI$201,$M241)&gt;0,
     COUNTIFS($AJ$3:$AJ$201,$M241)&gt;0,
     COUNTIFS($AK$3:$AK$201,$M241)&gt;0,
     COUNTIFS($AL$3:$AL$201,$M241)&gt;0,
     COUNTIFS($AM$3:$AM$201,$M241)&gt;0,
     COUNTIFS($AN$3:$AN$201,$M241)&gt;0,
     COUNTIFS($AO$3:$AO$201,$M241)&gt;0,
     COUNTIFS($AP$3:$AP$201,$M241)&gt;0,
     COUNTIFS($AQ$3:$AQ$201,$M241)&gt;0,
     COUNTIFS($AR$3:$AR$201,$M241)&gt;0,
     COUNTIFS($AS$3:$AS$201,$M241)&gt;0,
     COUNTIFS($AT$3:$AT$201,$M241)&gt;0,
     COUNTIFS($AU$3:$AU$201,$M241)&gt;0,
     COUNTIFS($AV$3:$AV$201,$M241)&gt;0,
     COUNTIFS($AW$3:$AW$201,$M241)&gt;0
   )),
  ),
  2
 ),
"")</f>
        <v>Rani</v>
      </c>
      <c r="Q241" s="3" t="str" cm="1">
        <f t="array" aca="1" ref="Q241" ca="1">IFERROR(
 INDEX(
  _xlfn._xlws.FILTER($T$2:$AW$2,
   TRANSPOSE(
    CHOOSE({1;2;3;4;5;6;7;8;9;10;11;12;13;14;15;16;17;18;19;20;21;22;23;24;25;26;27;28;29;30},
     COUNTIFS($T$3:$T$201,$M241)&gt;0,
     COUNTIFS($U$3:$U$201,$M241)&gt;0,
     COUNTIFS($V$3:$V$201,$M241)&gt;0,
     COUNTIFS($W$3:$W$201,$M241)&gt;0,
     COUNTIFS($X$3:$X$201,$M241)&gt;0,
     COUNTIFS($Y$3:$Y$201,$M241)&gt;0,
     COUNTIFS($Z$3:$Z$201,$M241)&gt;0,
     COUNTIFS($AA$3:$AA$201,$M241)&gt;0,
     COUNTIFS($AB$3:$AB$201,$M241)&gt;0,
     COUNTIFS($AC$3:$AC$201,$M241)&gt;0,
     COUNTIFS($AD$3:$AD$201,$M241)&gt;0,
     COUNTIFS($AE$3:$AE$201,$M241)&gt;0,
     COUNTIFS($AF$3:$AF$201,$M241)&gt;0,
     COUNTIFS($AG$3:$AG$201,$M241)&gt;0,
     COUNTIFS($AH$3:$AH$201,$M241)&gt;0,
     COUNTIFS($AI$3:$AI$201,$M241)&gt;0,
     COUNTIFS($AJ$3:$AJ$201,$M241)&gt;0,
     COUNTIFS($AK$3:$AK$201,$M241)&gt;0,
     COUNTIFS($AL$3:$AL$201,$M241)&gt;0,
     COUNTIFS($AM$3:$AM$201,$M241)&gt;0,
     COUNTIFS($AN$3:$AN$201,$M241)&gt;0,
     COUNTIFS($AO$3:$AO$201,$M241)&gt;0,
     COUNTIFS($AP$3:$AP$201,$M241)&gt;0,
     COUNTIFS($AQ$3:$AQ$201,$M241)&gt;0,
     COUNTIFS($AR$3:$AR$201,$M241)&gt;0,
     COUNTIFS($AS$3:$AS$201,$M241)&gt;0,
     COUNTIFS($AT$3:$AT$201,$M241)&gt;0,
     COUNTIFS($AU$3:$AU$201,$M241)&gt;0,
     COUNTIFS($AV$3:$AV$201,$M241)&gt;0,
     COUNTIFS($AW$3:$AW$201,$M241)&gt;0
   )),
  ),
  3
 ),
"")</f>
        <v>Gritrog</v>
      </c>
      <c r="R241" s="3" t="str" cm="1">
        <f t="array" aca="1" ref="R241" ca="1">IFERROR(
 INDEX(
  _xlfn._xlws.FILTER($T$2:$AW$2,
   TRANSPOSE(
    CHOOSE({1;2;3;4;5;6;7;8;9;10;11;12;13;14;15;16;17;18;19;20;21;22;23;24;25;26;27;28;29;30},
     COUNTIFS($T$3:$T$201,$M241)&gt;0,
     COUNTIFS($U$3:$U$201,$M241)&gt;0,
     COUNTIFS($V$3:$V$201,$M241)&gt;0,
     COUNTIFS($W$3:$W$201,$M241)&gt;0,
     COUNTIFS($X$3:$X$201,$M241)&gt;0,
     COUNTIFS($Y$3:$Y$201,$M241)&gt;0,
     COUNTIFS($Z$3:$Z$201,$M241)&gt;0,
     COUNTIFS($AA$3:$AA$201,$M241)&gt;0,
     COUNTIFS($AB$3:$AB$201,$M241)&gt;0,
     COUNTIFS($AC$3:$AC$201,$M241)&gt;0,
     COUNTIFS($AD$3:$AD$201,$M241)&gt;0,
     COUNTIFS($AE$3:$AE$201,$M241)&gt;0,
     COUNTIFS($AF$3:$AF$201,$M241)&gt;0,
     COUNTIFS($AG$3:$AG$201,$M241)&gt;0,
     COUNTIFS($AH$3:$AH$201,$M241)&gt;0,
     COUNTIFS($AI$3:$AI$201,$M241)&gt;0,
     COUNTIFS($AJ$3:$AJ$201,$M241)&gt;0,
     COUNTIFS($AK$3:$AK$201,$M241)&gt;0,
     COUNTIFS($AL$3:$AL$201,$M241)&gt;0,
     COUNTIFS($AM$3:$AM$201,$M241)&gt;0,
     COUNTIFS($AN$3:$AN$201,$M241)&gt;0,
     COUNTIFS($AO$3:$AO$201,$M241)&gt;0,
     COUNTIFS($AP$3:$AP$201,$M241)&gt;0,
     COUNTIFS($AQ$3:$AQ$201,$M241)&gt;0,
     COUNTIFS($AR$3:$AR$201,$M241)&gt;0,
     COUNTIFS($AS$3:$AS$201,$M241)&gt;0,
     COUNTIFS($AT$3:$AT$201,$M241)&gt;0,
     COUNTIFS($AU$3:$AU$201,$M241)&gt;0,
     COUNTIFS($AV$3:$AV$201,$M241)&gt;0,
     COUNTIFS($AW$3:$AW$201,$M241)&gt;0
   )),
  ),
  4
 ),
"")</f>
        <v>Yuriko</v>
      </c>
      <c r="CI241" t="str">
        <f ca="1"/>
        <v>Swamp</v>
      </c>
    </row>
    <row r="242" spans="1:87" x14ac:dyDescent="0.25">
      <c r="A242" t="str">
        <f ca="1"/>
        <v>Simic Charm</v>
      </c>
      <c r="B242" s="3" t="str" cm="1">
        <f t="array" aca="1" ref="B242" ca="1">_xlfn.ANCHORARRAY(RESUMO!C241)</f>
        <v>Kumena</v>
      </c>
      <c r="C242" s="3" t="str">
        <f t="shared" ca="1" si="12"/>
        <v>Elfos</v>
      </c>
      <c r="E242" t="str">
        <f ca="1"/>
        <v>Swiftfoot Boots</v>
      </c>
      <c r="F242" s="3">
        <f t="shared" ca="1" si="13"/>
        <v>1</v>
      </c>
      <c r="G242" s="3" t="str">
        <f t="shared" ca="1" si="14"/>
        <v>Muzzio</v>
      </c>
      <c r="M242" t="str">
        <f ca="1"/>
        <v>Swiftfoot Boots</v>
      </c>
      <c r="N242" s="3">
        <f t="shared" ca="1" si="15"/>
        <v>1</v>
      </c>
      <c r="O242" s="3" t="str">
        <f ca="1">IFERROR(
 INDEX($T$2:$AW$2,
  MATCH(TRUE,
   CHOOSE({1;2;3;4;5;6;7;8;9;10;11;12;13;14;15;16;17;18;19;20;21;22;23;24;25;26;27;28;29;30;31;32},
    COUNTIFS($T$3:$T$201,$M242)&gt;0,
    COUNTIFS($U$3:$U$201,$M242)&gt;0,
    COUNTIFS($V$3:$V$201,$M242)&gt;0,
    COUNTIFS($W$3:$W$201,$M242)&gt;0,
    COUNTIFS($X$3:$X$201,$M242)&gt;0,
    COUNTIFS($Y$3:$Y$201,$M242)&gt;0,
    COUNTIFS($Z$3:$Z$201,$M242)&gt;0,
    COUNTIFS($AA$3:$AA$201,$M242)&gt;0,
    COUNTIFS($AB$3:$AB$201,$M242)&gt;0,
    COUNTIFS($AC$3:$AC$201,$M242)&gt;0,
    COUNTIFS($AD$3:$AD$201,$M242)&gt;0,
    COUNTIFS($AE$3:$AE$201,$M242)&gt;0,
    COUNTIFS($AF$3:$AF$201,$M242)&gt;0,
    COUNTIFS($AG$3:$AG$201,$M242)&gt;0,
    COUNTIFS($AH$3:$AH$201,$M242)&gt;0,
    COUNTIFS($AI$3:$AI$201,$M242)&gt;0,
    COUNTIFS($AJ$3:$AJ$201,$M242)&gt;0,
    COUNTIFS($AK$3:$AK$201,$M242)&gt;0,
    COUNTIFS($AL$3:$AL$201,$M242)&gt;0,
    COUNTIFS($AM$3:$AM$201,$M242)&gt;0,
    COUNTIFS($AN$3:$AN$201,$M242)&gt;0,
    COUNTIFS($AO$3:$AO$201,$M242)&gt;0,
    COUNTIFS($AP$3:$AP$201,$M242)&gt;0,
    COUNTIFS($AQ$3:$AQ$201,$M242)&gt;0,
    COUNTIFS($AR$3:$AR$201,$M242)&gt;0,
    COUNTIFS($AS$3:$AS$201,$M242)&gt;0,
    COUNTIFS($AT$3:$AT$201,$M242)&gt;0,
    COUNTIFS($AU$3:$AU$201,$M242)&gt;0,
    COUNTIFS($AV$3:$AV$201,$M242)&gt;0,
    COUNTIFS($AW$3:$AW$201,$M242)&gt;0
   ),
  0)
 ),
"")</f>
        <v>Muzzio</v>
      </c>
      <c r="P242" s="3" t="str" cm="1">
        <f t="array" aca="1" ref="P242" ca="1">IFERROR(
 INDEX(
  _xlfn._xlws.FILTER($T$2:$AW$2,
   TRANSPOSE(
    CHOOSE({1;2;3;4;5;6;7;8;9;10;11;12;13;14;15;16;17;18;19;20;21;22;23;24;25;26;27;28;29;30},
     COUNTIFS($T$3:$T$201,$M242)&gt;0,
     COUNTIFS($U$3:$U$201,$M242)&gt;0,
     COUNTIFS($V$3:$V$201,$M242)&gt;0,
     COUNTIFS($W$3:$W$201,$M242)&gt;0,
     COUNTIFS($X$3:$X$201,$M242)&gt;0,
     COUNTIFS($Y$3:$Y$201,$M242)&gt;0,
     COUNTIFS($Z$3:$Z$201,$M242)&gt;0,
     COUNTIFS($AA$3:$AA$201,$M242)&gt;0,
     COUNTIFS($AB$3:$AB$201,$M242)&gt;0,
     COUNTIFS($AC$3:$AC$201,$M242)&gt;0,
     COUNTIFS($AD$3:$AD$201,$M242)&gt;0,
     COUNTIFS($AE$3:$AE$201,$M242)&gt;0,
     COUNTIFS($AF$3:$AF$201,$M242)&gt;0,
     COUNTIFS($AG$3:$AG$201,$M242)&gt;0,
     COUNTIFS($AH$3:$AH$201,$M242)&gt;0,
     COUNTIFS($AI$3:$AI$201,$M242)&gt;0,
     COUNTIFS($AJ$3:$AJ$201,$M242)&gt;0,
     COUNTIFS($AK$3:$AK$201,$M242)&gt;0,
     COUNTIFS($AL$3:$AL$201,$M242)&gt;0,
     COUNTIFS($AM$3:$AM$201,$M242)&gt;0,
     COUNTIFS($AN$3:$AN$201,$M242)&gt;0,
     COUNTIFS($AO$3:$AO$201,$M242)&gt;0,
     COUNTIFS($AP$3:$AP$201,$M242)&gt;0,
     COUNTIFS($AQ$3:$AQ$201,$M242)&gt;0,
     COUNTIFS($AR$3:$AR$201,$M242)&gt;0,
     COUNTIFS($AS$3:$AS$201,$M242)&gt;0,
     COUNTIFS($AT$3:$AT$201,$M242)&gt;0,
     COUNTIFS($AU$3:$AU$201,$M242)&gt;0,
     COUNTIFS($AV$3:$AV$201,$M242)&gt;0,
     COUNTIFS($AW$3:$AW$201,$M242)&gt;0
   )),
  ),
  2
 ),
"")</f>
        <v/>
      </c>
      <c r="Q242" s="3" t="str" cm="1">
        <f t="array" aca="1" ref="Q242" ca="1">IFERROR(
 INDEX(
  _xlfn._xlws.FILTER($T$2:$AW$2,
   TRANSPOSE(
    CHOOSE({1;2;3;4;5;6;7;8;9;10;11;12;13;14;15;16;17;18;19;20;21;22;23;24;25;26;27;28;29;30},
     COUNTIFS($T$3:$T$201,$M242)&gt;0,
     COUNTIFS($U$3:$U$201,$M242)&gt;0,
     COUNTIFS($V$3:$V$201,$M242)&gt;0,
     COUNTIFS($W$3:$W$201,$M242)&gt;0,
     COUNTIFS($X$3:$X$201,$M242)&gt;0,
     COUNTIFS($Y$3:$Y$201,$M242)&gt;0,
     COUNTIFS($Z$3:$Z$201,$M242)&gt;0,
     COUNTIFS($AA$3:$AA$201,$M242)&gt;0,
     COUNTIFS($AB$3:$AB$201,$M242)&gt;0,
     COUNTIFS($AC$3:$AC$201,$M242)&gt;0,
     COUNTIFS($AD$3:$AD$201,$M242)&gt;0,
     COUNTIFS($AE$3:$AE$201,$M242)&gt;0,
     COUNTIFS($AF$3:$AF$201,$M242)&gt;0,
     COUNTIFS($AG$3:$AG$201,$M242)&gt;0,
     COUNTIFS($AH$3:$AH$201,$M242)&gt;0,
     COUNTIFS($AI$3:$AI$201,$M242)&gt;0,
     COUNTIFS($AJ$3:$AJ$201,$M242)&gt;0,
     COUNTIFS($AK$3:$AK$201,$M242)&gt;0,
     COUNTIFS($AL$3:$AL$201,$M242)&gt;0,
     COUNTIFS($AM$3:$AM$201,$M242)&gt;0,
     COUNTIFS($AN$3:$AN$201,$M242)&gt;0,
     COUNTIFS($AO$3:$AO$201,$M242)&gt;0,
     COUNTIFS($AP$3:$AP$201,$M242)&gt;0,
     COUNTIFS($AQ$3:$AQ$201,$M242)&gt;0,
     COUNTIFS($AR$3:$AR$201,$M242)&gt;0,
     COUNTIFS($AS$3:$AS$201,$M242)&gt;0,
     COUNTIFS($AT$3:$AT$201,$M242)&gt;0,
     COUNTIFS($AU$3:$AU$201,$M242)&gt;0,
     COUNTIFS($AV$3:$AV$201,$M242)&gt;0,
     COUNTIFS($AW$3:$AW$201,$M242)&gt;0
   )),
  ),
  3
 ),
"")</f>
        <v/>
      </c>
      <c r="R242" s="3" t="str" cm="1">
        <f t="array" aca="1" ref="R242" ca="1">IFERROR(
 INDEX(
  _xlfn._xlws.FILTER($T$2:$AW$2,
   TRANSPOSE(
    CHOOSE({1;2;3;4;5;6;7;8;9;10;11;12;13;14;15;16;17;18;19;20;21;22;23;24;25;26;27;28;29;30},
     COUNTIFS($T$3:$T$201,$M242)&gt;0,
     COUNTIFS($U$3:$U$201,$M242)&gt;0,
     COUNTIFS($V$3:$V$201,$M242)&gt;0,
     COUNTIFS($W$3:$W$201,$M242)&gt;0,
     COUNTIFS($X$3:$X$201,$M242)&gt;0,
     COUNTIFS($Y$3:$Y$201,$M242)&gt;0,
     COUNTIFS($Z$3:$Z$201,$M242)&gt;0,
     COUNTIFS($AA$3:$AA$201,$M242)&gt;0,
     COUNTIFS($AB$3:$AB$201,$M242)&gt;0,
     COUNTIFS($AC$3:$AC$201,$M242)&gt;0,
     COUNTIFS($AD$3:$AD$201,$M242)&gt;0,
     COUNTIFS($AE$3:$AE$201,$M242)&gt;0,
     COUNTIFS($AF$3:$AF$201,$M242)&gt;0,
     COUNTIFS($AG$3:$AG$201,$M242)&gt;0,
     COUNTIFS($AH$3:$AH$201,$M242)&gt;0,
     COUNTIFS($AI$3:$AI$201,$M242)&gt;0,
     COUNTIFS($AJ$3:$AJ$201,$M242)&gt;0,
     COUNTIFS($AK$3:$AK$201,$M242)&gt;0,
     COUNTIFS($AL$3:$AL$201,$M242)&gt;0,
     COUNTIFS($AM$3:$AM$201,$M242)&gt;0,
     COUNTIFS($AN$3:$AN$201,$M242)&gt;0,
     COUNTIFS($AO$3:$AO$201,$M242)&gt;0,
     COUNTIFS($AP$3:$AP$201,$M242)&gt;0,
     COUNTIFS($AQ$3:$AQ$201,$M242)&gt;0,
     COUNTIFS($AR$3:$AR$201,$M242)&gt;0,
     COUNTIFS($AS$3:$AS$201,$M242)&gt;0,
     COUNTIFS($AT$3:$AT$201,$M242)&gt;0,
     COUNTIFS($AU$3:$AU$201,$M242)&gt;0,
     COUNTIFS($AV$3:$AV$201,$M242)&gt;0,
     COUNTIFS($AW$3:$AW$201,$M242)&gt;0
   )),
  ),
  4
 ),
"")</f>
        <v/>
      </c>
      <c r="CI242" t="str">
        <f ca="1"/>
        <v>Swiftfoot Boots</v>
      </c>
    </row>
    <row r="243" spans="1:87" x14ac:dyDescent="0.25">
      <c r="A243" t="str">
        <f ca="1"/>
        <v>Singer of Swift Rivers</v>
      </c>
      <c r="B243" s="3" t="str" cm="1">
        <f t="array" aca="1" ref="B243" ca="1">_xlfn.ANCHORARRAY(RESUMO!C242)</f>
        <v>Kumena</v>
      </c>
      <c r="C243" s="3" t="str">
        <f t="shared" ca="1" si="12"/>
        <v/>
      </c>
      <c r="E243" t="str">
        <f ca="1"/>
        <v>Taverneiro Prospero</v>
      </c>
      <c r="F243" s="3">
        <f t="shared" ca="1" si="13"/>
        <v>1</v>
      </c>
      <c r="G243" s="3" t="str">
        <f t="shared" ca="1" si="14"/>
        <v>Baylen</v>
      </c>
      <c r="M243" t="str">
        <f ca="1"/>
        <v>Taverneiro Prospero</v>
      </c>
      <c r="N243" s="3">
        <f t="shared" ca="1" si="15"/>
        <v>1</v>
      </c>
      <c r="O243" s="3" t="str">
        <f ca="1">IFERROR(
 INDEX($T$2:$AW$2,
  MATCH(TRUE,
   CHOOSE({1;2;3;4;5;6;7;8;9;10;11;12;13;14;15;16;17;18;19;20;21;22;23;24;25;26;27;28;29;30;31;32},
    COUNTIFS($T$3:$T$201,$M243)&gt;0,
    COUNTIFS($U$3:$U$201,$M243)&gt;0,
    COUNTIFS($V$3:$V$201,$M243)&gt;0,
    COUNTIFS($W$3:$W$201,$M243)&gt;0,
    COUNTIFS($X$3:$X$201,$M243)&gt;0,
    COUNTIFS($Y$3:$Y$201,$M243)&gt;0,
    COUNTIFS($Z$3:$Z$201,$M243)&gt;0,
    COUNTIFS($AA$3:$AA$201,$M243)&gt;0,
    COUNTIFS($AB$3:$AB$201,$M243)&gt;0,
    COUNTIFS($AC$3:$AC$201,$M243)&gt;0,
    COUNTIFS($AD$3:$AD$201,$M243)&gt;0,
    COUNTIFS($AE$3:$AE$201,$M243)&gt;0,
    COUNTIFS($AF$3:$AF$201,$M243)&gt;0,
    COUNTIFS($AG$3:$AG$201,$M243)&gt;0,
    COUNTIFS($AH$3:$AH$201,$M243)&gt;0,
    COUNTIFS($AI$3:$AI$201,$M243)&gt;0,
    COUNTIFS($AJ$3:$AJ$201,$M243)&gt;0,
    COUNTIFS($AK$3:$AK$201,$M243)&gt;0,
    COUNTIFS($AL$3:$AL$201,$M243)&gt;0,
    COUNTIFS($AM$3:$AM$201,$M243)&gt;0,
    COUNTIFS($AN$3:$AN$201,$M243)&gt;0,
    COUNTIFS($AO$3:$AO$201,$M243)&gt;0,
    COUNTIFS($AP$3:$AP$201,$M243)&gt;0,
    COUNTIFS($AQ$3:$AQ$201,$M243)&gt;0,
    COUNTIFS($AR$3:$AR$201,$M243)&gt;0,
    COUNTIFS($AS$3:$AS$201,$M243)&gt;0,
    COUNTIFS($AT$3:$AT$201,$M243)&gt;0,
    COUNTIFS($AU$3:$AU$201,$M243)&gt;0,
    COUNTIFS($AV$3:$AV$201,$M243)&gt;0,
    COUNTIFS($AW$3:$AW$201,$M243)&gt;0
   ),
  0)
 ),
"")</f>
        <v>Baylen</v>
      </c>
      <c r="P243" s="3" t="str" cm="1">
        <f t="array" aca="1" ref="P243" ca="1">IFERROR(
 INDEX(
  _xlfn._xlws.FILTER($T$2:$AW$2,
   TRANSPOSE(
    CHOOSE({1;2;3;4;5;6;7;8;9;10;11;12;13;14;15;16;17;18;19;20;21;22;23;24;25;26;27;28;29;30},
     COUNTIFS($T$3:$T$201,$M243)&gt;0,
     COUNTIFS($U$3:$U$201,$M243)&gt;0,
     COUNTIFS($V$3:$V$201,$M243)&gt;0,
     COUNTIFS($W$3:$W$201,$M243)&gt;0,
     COUNTIFS($X$3:$X$201,$M243)&gt;0,
     COUNTIFS($Y$3:$Y$201,$M243)&gt;0,
     COUNTIFS($Z$3:$Z$201,$M243)&gt;0,
     COUNTIFS($AA$3:$AA$201,$M243)&gt;0,
     COUNTIFS($AB$3:$AB$201,$M243)&gt;0,
     COUNTIFS($AC$3:$AC$201,$M243)&gt;0,
     COUNTIFS($AD$3:$AD$201,$M243)&gt;0,
     COUNTIFS($AE$3:$AE$201,$M243)&gt;0,
     COUNTIFS($AF$3:$AF$201,$M243)&gt;0,
     COUNTIFS($AG$3:$AG$201,$M243)&gt;0,
     COUNTIFS($AH$3:$AH$201,$M243)&gt;0,
     COUNTIFS($AI$3:$AI$201,$M243)&gt;0,
     COUNTIFS($AJ$3:$AJ$201,$M243)&gt;0,
     COUNTIFS($AK$3:$AK$201,$M243)&gt;0,
     COUNTIFS($AL$3:$AL$201,$M243)&gt;0,
     COUNTIFS($AM$3:$AM$201,$M243)&gt;0,
     COUNTIFS($AN$3:$AN$201,$M243)&gt;0,
     COUNTIFS($AO$3:$AO$201,$M243)&gt;0,
     COUNTIFS($AP$3:$AP$201,$M243)&gt;0,
     COUNTIFS($AQ$3:$AQ$201,$M243)&gt;0,
     COUNTIFS($AR$3:$AR$201,$M243)&gt;0,
     COUNTIFS($AS$3:$AS$201,$M243)&gt;0,
     COUNTIFS($AT$3:$AT$201,$M243)&gt;0,
     COUNTIFS($AU$3:$AU$201,$M243)&gt;0,
     COUNTIFS($AV$3:$AV$201,$M243)&gt;0,
     COUNTIFS($AW$3:$AW$201,$M243)&gt;0
   )),
  ),
  2
 ),
"")</f>
        <v/>
      </c>
      <c r="Q243" s="3" t="str" cm="1">
        <f t="array" aca="1" ref="Q243" ca="1">IFERROR(
 INDEX(
  _xlfn._xlws.FILTER($T$2:$AW$2,
   TRANSPOSE(
    CHOOSE({1;2;3;4;5;6;7;8;9;10;11;12;13;14;15;16;17;18;19;20;21;22;23;24;25;26;27;28;29;30},
     COUNTIFS($T$3:$T$201,$M243)&gt;0,
     COUNTIFS($U$3:$U$201,$M243)&gt;0,
     COUNTIFS($V$3:$V$201,$M243)&gt;0,
     COUNTIFS($W$3:$W$201,$M243)&gt;0,
     COUNTIFS($X$3:$X$201,$M243)&gt;0,
     COUNTIFS($Y$3:$Y$201,$M243)&gt;0,
     COUNTIFS($Z$3:$Z$201,$M243)&gt;0,
     COUNTIFS($AA$3:$AA$201,$M243)&gt;0,
     COUNTIFS($AB$3:$AB$201,$M243)&gt;0,
     COUNTIFS($AC$3:$AC$201,$M243)&gt;0,
     COUNTIFS($AD$3:$AD$201,$M243)&gt;0,
     COUNTIFS($AE$3:$AE$201,$M243)&gt;0,
     COUNTIFS($AF$3:$AF$201,$M243)&gt;0,
     COUNTIFS($AG$3:$AG$201,$M243)&gt;0,
     COUNTIFS($AH$3:$AH$201,$M243)&gt;0,
     COUNTIFS($AI$3:$AI$201,$M243)&gt;0,
     COUNTIFS($AJ$3:$AJ$201,$M243)&gt;0,
     COUNTIFS($AK$3:$AK$201,$M243)&gt;0,
     COUNTIFS($AL$3:$AL$201,$M243)&gt;0,
     COUNTIFS($AM$3:$AM$201,$M243)&gt;0,
     COUNTIFS($AN$3:$AN$201,$M243)&gt;0,
     COUNTIFS($AO$3:$AO$201,$M243)&gt;0,
     COUNTIFS($AP$3:$AP$201,$M243)&gt;0,
     COUNTIFS($AQ$3:$AQ$201,$M243)&gt;0,
     COUNTIFS($AR$3:$AR$201,$M243)&gt;0,
     COUNTIFS($AS$3:$AS$201,$M243)&gt;0,
     COUNTIFS($AT$3:$AT$201,$M243)&gt;0,
     COUNTIFS($AU$3:$AU$201,$M243)&gt;0,
     COUNTIFS($AV$3:$AV$201,$M243)&gt;0,
     COUNTIFS($AW$3:$AW$201,$M243)&gt;0
   )),
  ),
  3
 ),
"")</f>
        <v/>
      </c>
      <c r="R243" s="3" t="str" cm="1">
        <f t="array" aca="1" ref="R243" ca="1">IFERROR(
 INDEX(
  _xlfn._xlws.FILTER($T$2:$AW$2,
   TRANSPOSE(
    CHOOSE({1;2;3;4;5;6;7;8;9;10;11;12;13;14;15;16;17;18;19;20;21;22;23;24;25;26;27;28;29;30},
     COUNTIFS($T$3:$T$201,$M243)&gt;0,
     COUNTIFS($U$3:$U$201,$M243)&gt;0,
     COUNTIFS($V$3:$V$201,$M243)&gt;0,
     COUNTIFS($W$3:$W$201,$M243)&gt;0,
     COUNTIFS($X$3:$X$201,$M243)&gt;0,
     COUNTIFS($Y$3:$Y$201,$M243)&gt;0,
     COUNTIFS($Z$3:$Z$201,$M243)&gt;0,
     COUNTIFS($AA$3:$AA$201,$M243)&gt;0,
     COUNTIFS($AB$3:$AB$201,$M243)&gt;0,
     COUNTIFS($AC$3:$AC$201,$M243)&gt;0,
     COUNTIFS($AD$3:$AD$201,$M243)&gt;0,
     COUNTIFS($AE$3:$AE$201,$M243)&gt;0,
     COUNTIFS($AF$3:$AF$201,$M243)&gt;0,
     COUNTIFS($AG$3:$AG$201,$M243)&gt;0,
     COUNTIFS($AH$3:$AH$201,$M243)&gt;0,
     COUNTIFS($AI$3:$AI$201,$M243)&gt;0,
     COUNTIFS($AJ$3:$AJ$201,$M243)&gt;0,
     COUNTIFS($AK$3:$AK$201,$M243)&gt;0,
     COUNTIFS($AL$3:$AL$201,$M243)&gt;0,
     COUNTIFS($AM$3:$AM$201,$M243)&gt;0,
     COUNTIFS($AN$3:$AN$201,$M243)&gt;0,
     COUNTIFS($AO$3:$AO$201,$M243)&gt;0,
     COUNTIFS($AP$3:$AP$201,$M243)&gt;0,
     COUNTIFS($AQ$3:$AQ$201,$M243)&gt;0,
     COUNTIFS($AR$3:$AR$201,$M243)&gt;0,
     COUNTIFS($AS$3:$AS$201,$M243)&gt;0,
     COUNTIFS($AT$3:$AT$201,$M243)&gt;0,
     COUNTIFS($AU$3:$AU$201,$M243)&gt;0,
     COUNTIFS($AV$3:$AV$201,$M243)&gt;0,
     COUNTIFS($AW$3:$AW$201,$M243)&gt;0
   )),
  ),
  4
 ),
"")</f>
        <v/>
      </c>
      <c r="CI243" t="str">
        <f ca="1"/>
        <v>Taverneiro Prospero</v>
      </c>
    </row>
    <row r="244" spans="1:87" x14ac:dyDescent="0.25">
      <c r="A244" t="str">
        <f ca="1"/>
        <v>Slagwoods Bridge</v>
      </c>
      <c r="B244" s="3" t="str" cm="1">
        <f t="array" aca="1" ref="B244" ca="1">_xlfn.ANCHORARRAY(RESUMO!C243)</f>
        <v>Modular</v>
      </c>
      <c r="C244" s="3" t="str">
        <f t="shared" ca="1" si="12"/>
        <v/>
      </c>
      <c r="E244" t="str">
        <f ca="1"/>
        <v>Teatro dos Maestros</v>
      </c>
      <c r="F244" s="3">
        <f t="shared" ca="1" si="13"/>
        <v>1</v>
      </c>
      <c r="G244" s="3" t="str">
        <f t="shared" ca="1" si="14"/>
        <v>Zimone</v>
      </c>
      <c r="M244" t="str">
        <f ca="1"/>
        <v>Teatro dos Maestros</v>
      </c>
      <c r="N244" s="3">
        <f t="shared" ca="1" si="15"/>
        <v>1</v>
      </c>
      <c r="O244" s="3" t="str">
        <f ca="1">IFERROR(
 INDEX($T$2:$AW$2,
  MATCH(TRUE,
   CHOOSE({1;2;3;4;5;6;7;8;9;10;11;12;13;14;15;16;17;18;19;20;21;22;23;24;25;26;27;28;29;30;31;32},
    COUNTIFS($T$3:$T$201,$M244)&gt;0,
    COUNTIFS($U$3:$U$201,$M244)&gt;0,
    COUNTIFS($V$3:$V$201,$M244)&gt;0,
    COUNTIFS($W$3:$W$201,$M244)&gt;0,
    COUNTIFS($X$3:$X$201,$M244)&gt;0,
    COUNTIFS($Y$3:$Y$201,$M244)&gt;0,
    COUNTIFS($Z$3:$Z$201,$M244)&gt;0,
    COUNTIFS($AA$3:$AA$201,$M244)&gt;0,
    COUNTIFS($AB$3:$AB$201,$M244)&gt;0,
    COUNTIFS($AC$3:$AC$201,$M244)&gt;0,
    COUNTIFS($AD$3:$AD$201,$M244)&gt;0,
    COUNTIFS($AE$3:$AE$201,$M244)&gt;0,
    COUNTIFS($AF$3:$AF$201,$M244)&gt;0,
    COUNTIFS($AG$3:$AG$201,$M244)&gt;0,
    COUNTIFS($AH$3:$AH$201,$M244)&gt;0,
    COUNTIFS($AI$3:$AI$201,$M244)&gt;0,
    COUNTIFS($AJ$3:$AJ$201,$M244)&gt;0,
    COUNTIFS($AK$3:$AK$201,$M244)&gt;0,
    COUNTIFS($AL$3:$AL$201,$M244)&gt;0,
    COUNTIFS($AM$3:$AM$201,$M244)&gt;0,
    COUNTIFS($AN$3:$AN$201,$M244)&gt;0,
    COUNTIFS($AO$3:$AO$201,$M244)&gt;0,
    COUNTIFS($AP$3:$AP$201,$M244)&gt;0,
    COUNTIFS($AQ$3:$AQ$201,$M244)&gt;0,
    COUNTIFS($AR$3:$AR$201,$M244)&gt;0,
    COUNTIFS($AS$3:$AS$201,$M244)&gt;0,
    COUNTIFS($AT$3:$AT$201,$M244)&gt;0,
    COUNTIFS($AU$3:$AU$201,$M244)&gt;0,
    COUNTIFS($AV$3:$AV$201,$M244)&gt;0,
    COUNTIFS($AW$3:$AW$201,$M244)&gt;0
   ),
  0)
 ),
"")</f>
        <v>Zimone</v>
      </c>
      <c r="P244" s="3" t="str" cm="1">
        <f t="array" aca="1" ref="P244" ca="1">IFERROR(
 INDEX(
  _xlfn._xlws.FILTER($T$2:$AW$2,
   TRANSPOSE(
    CHOOSE({1;2;3;4;5;6;7;8;9;10;11;12;13;14;15;16;17;18;19;20;21;22;23;24;25;26;27;28;29;30},
     COUNTIFS($T$3:$T$201,$M244)&gt;0,
     COUNTIFS($U$3:$U$201,$M244)&gt;0,
     COUNTIFS($V$3:$V$201,$M244)&gt;0,
     COUNTIFS($W$3:$W$201,$M244)&gt;0,
     COUNTIFS($X$3:$X$201,$M244)&gt;0,
     COUNTIFS($Y$3:$Y$201,$M244)&gt;0,
     COUNTIFS($Z$3:$Z$201,$M244)&gt;0,
     COUNTIFS($AA$3:$AA$201,$M244)&gt;0,
     COUNTIFS($AB$3:$AB$201,$M244)&gt;0,
     COUNTIFS($AC$3:$AC$201,$M244)&gt;0,
     COUNTIFS($AD$3:$AD$201,$M244)&gt;0,
     COUNTIFS($AE$3:$AE$201,$M244)&gt;0,
     COUNTIFS($AF$3:$AF$201,$M244)&gt;0,
     COUNTIFS($AG$3:$AG$201,$M244)&gt;0,
     COUNTIFS($AH$3:$AH$201,$M244)&gt;0,
     COUNTIFS($AI$3:$AI$201,$M244)&gt;0,
     COUNTIFS($AJ$3:$AJ$201,$M244)&gt;0,
     COUNTIFS($AK$3:$AK$201,$M244)&gt;0,
     COUNTIFS($AL$3:$AL$201,$M244)&gt;0,
     COUNTIFS($AM$3:$AM$201,$M244)&gt;0,
     COUNTIFS($AN$3:$AN$201,$M244)&gt;0,
     COUNTIFS($AO$3:$AO$201,$M244)&gt;0,
     COUNTIFS($AP$3:$AP$201,$M244)&gt;0,
     COUNTIFS($AQ$3:$AQ$201,$M244)&gt;0,
     COUNTIFS($AR$3:$AR$201,$M244)&gt;0,
     COUNTIFS($AS$3:$AS$201,$M244)&gt;0,
     COUNTIFS($AT$3:$AT$201,$M244)&gt;0,
     COUNTIFS($AU$3:$AU$201,$M244)&gt;0,
     COUNTIFS($AV$3:$AV$201,$M244)&gt;0,
     COUNTIFS($AW$3:$AW$201,$M244)&gt;0
   )),
  ),
  2
 ),
"")</f>
        <v/>
      </c>
      <c r="Q244" s="3" t="str" cm="1">
        <f t="array" aca="1" ref="Q244" ca="1">IFERROR(
 INDEX(
  _xlfn._xlws.FILTER($T$2:$AW$2,
   TRANSPOSE(
    CHOOSE({1;2;3;4;5;6;7;8;9;10;11;12;13;14;15;16;17;18;19;20;21;22;23;24;25;26;27;28;29;30},
     COUNTIFS($T$3:$T$201,$M244)&gt;0,
     COUNTIFS($U$3:$U$201,$M244)&gt;0,
     COUNTIFS($V$3:$V$201,$M244)&gt;0,
     COUNTIFS($W$3:$W$201,$M244)&gt;0,
     COUNTIFS($X$3:$X$201,$M244)&gt;0,
     COUNTIFS($Y$3:$Y$201,$M244)&gt;0,
     COUNTIFS($Z$3:$Z$201,$M244)&gt;0,
     COUNTIFS($AA$3:$AA$201,$M244)&gt;0,
     COUNTIFS($AB$3:$AB$201,$M244)&gt;0,
     COUNTIFS($AC$3:$AC$201,$M244)&gt;0,
     COUNTIFS($AD$3:$AD$201,$M244)&gt;0,
     COUNTIFS($AE$3:$AE$201,$M244)&gt;0,
     COUNTIFS($AF$3:$AF$201,$M244)&gt;0,
     COUNTIFS($AG$3:$AG$201,$M244)&gt;0,
     COUNTIFS($AH$3:$AH$201,$M244)&gt;0,
     COUNTIFS($AI$3:$AI$201,$M244)&gt;0,
     COUNTIFS($AJ$3:$AJ$201,$M244)&gt;0,
     COUNTIFS($AK$3:$AK$201,$M244)&gt;0,
     COUNTIFS($AL$3:$AL$201,$M244)&gt;0,
     COUNTIFS($AM$3:$AM$201,$M244)&gt;0,
     COUNTIFS($AN$3:$AN$201,$M244)&gt;0,
     COUNTIFS($AO$3:$AO$201,$M244)&gt;0,
     COUNTIFS($AP$3:$AP$201,$M244)&gt;0,
     COUNTIFS($AQ$3:$AQ$201,$M244)&gt;0,
     COUNTIFS($AR$3:$AR$201,$M244)&gt;0,
     COUNTIFS($AS$3:$AS$201,$M244)&gt;0,
     COUNTIFS($AT$3:$AT$201,$M244)&gt;0,
     COUNTIFS($AU$3:$AU$201,$M244)&gt;0,
     COUNTIFS($AV$3:$AV$201,$M244)&gt;0,
     COUNTIFS($AW$3:$AW$201,$M244)&gt;0
   )),
  ),
  3
 ),
"")</f>
        <v/>
      </c>
      <c r="R244" s="3" t="str" cm="1">
        <f t="array" aca="1" ref="R244" ca="1">IFERROR(
 INDEX(
  _xlfn._xlws.FILTER($T$2:$AW$2,
   TRANSPOSE(
    CHOOSE({1;2;3;4;5;6;7;8;9;10;11;12;13;14;15;16;17;18;19;20;21;22;23;24;25;26;27;28;29;30},
     COUNTIFS($T$3:$T$201,$M244)&gt;0,
     COUNTIFS($U$3:$U$201,$M244)&gt;0,
     COUNTIFS($V$3:$V$201,$M244)&gt;0,
     COUNTIFS($W$3:$W$201,$M244)&gt;0,
     COUNTIFS($X$3:$X$201,$M244)&gt;0,
     COUNTIFS($Y$3:$Y$201,$M244)&gt;0,
     COUNTIFS($Z$3:$Z$201,$M244)&gt;0,
     COUNTIFS($AA$3:$AA$201,$M244)&gt;0,
     COUNTIFS($AB$3:$AB$201,$M244)&gt;0,
     COUNTIFS($AC$3:$AC$201,$M244)&gt;0,
     COUNTIFS($AD$3:$AD$201,$M244)&gt;0,
     COUNTIFS($AE$3:$AE$201,$M244)&gt;0,
     COUNTIFS($AF$3:$AF$201,$M244)&gt;0,
     COUNTIFS($AG$3:$AG$201,$M244)&gt;0,
     COUNTIFS($AH$3:$AH$201,$M244)&gt;0,
     COUNTIFS($AI$3:$AI$201,$M244)&gt;0,
     COUNTIFS($AJ$3:$AJ$201,$M244)&gt;0,
     COUNTIFS($AK$3:$AK$201,$M244)&gt;0,
     COUNTIFS($AL$3:$AL$201,$M244)&gt;0,
     COUNTIFS($AM$3:$AM$201,$M244)&gt;0,
     COUNTIFS($AN$3:$AN$201,$M244)&gt;0,
     COUNTIFS($AO$3:$AO$201,$M244)&gt;0,
     COUNTIFS($AP$3:$AP$201,$M244)&gt;0,
     COUNTIFS($AQ$3:$AQ$201,$M244)&gt;0,
     COUNTIFS($AR$3:$AR$201,$M244)&gt;0,
     COUNTIFS($AS$3:$AS$201,$M244)&gt;0,
     COUNTIFS($AT$3:$AT$201,$M244)&gt;0,
     COUNTIFS($AU$3:$AU$201,$M244)&gt;0,
     COUNTIFS($AV$3:$AV$201,$M244)&gt;0,
     COUNTIFS($AW$3:$AW$201,$M244)&gt;0
   )),
  ),
  4
 ),
"")</f>
        <v/>
      </c>
      <c r="CI244" t="str">
        <f ca="1"/>
        <v>Teatro dos Maestros</v>
      </c>
    </row>
    <row r="245" spans="1:87" x14ac:dyDescent="0.25">
      <c r="A245" t="str">
        <f ca="1"/>
        <v>Slash the Ranks</v>
      </c>
      <c r="B245" s="3" t="str" cm="1">
        <f t="array" aca="1" ref="B245" ca="1">_xlfn.ANCHORARRAY(RESUMO!C244)</f>
        <v>Narset</v>
      </c>
      <c r="C245" s="3" t="str">
        <f t="shared" ca="1" si="12"/>
        <v/>
      </c>
      <c r="E245" t="str">
        <f ca="1"/>
        <v>Tempestade Serelepe</v>
      </c>
      <c r="F245" s="3">
        <f t="shared" ca="1" si="13"/>
        <v>1</v>
      </c>
      <c r="G245" s="3" t="str">
        <f t="shared" ca="1" si="14"/>
        <v>Baylen</v>
      </c>
      <c r="M245" t="str">
        <f ca="1"/>
        <v>Tempestade Serelepe</v>
      </c>
      <c r="N245" s="3">
        <f t="shared" ca="1" si="15"/>
        <v>1</v>
      </c>
      <c r="O245" s="3" t="str">
        <f ca="1">IFERROR(
 INDEX($T$2:$AW$2,
  MATCH(TRUE,
   CHOOSE({1;2;3;4;5;6;7;8;9;10;11;12;13;14;15;16;17;18;19;20;21;22;23;24;25;26;27;28;29;30;31;32},
    COUNTIFS($T$3:$T$201,$M245)&gt;0,
    COUNTIFS($U$3:$U$201,$M245)&gt;0,
    COUNTIFS($V$3:$V$201,$M245)&gt;0,
    COUNTIFS($W$3:$W$201,$M245)&gt;0,
    COUNTIFS($X$3:$X$201,$M245)&gt;0,
    COUNTIFS($Y$3:$Y$201,$M245)&gt;0,
    COUNTIFS($Z$3:$Z$201,$M245)&gt;0,
    COUNTIFS($AA$3:$AA$201,$M245)&gt;0,
    COUNTIFS($AB$3:$AB$201,$M245)&gt;0,
    COUNTIFS($AC$3:$AC$201,$M245)&gt;0,
    COUNTIFS($AD$3:$AD$201,$M245)&gt;0,
    COUNTIFS($AE$3:$AE$201,$M245)&gt;0,
    COUNTIFS($AF$3:$AF$201,$M245)&gt;0,
    COUNTIFS($AG$3:$AG$201,$M245)&gt;0,
    COUNTIFS($AH$3:$AH$201,$M245)&gt;0,
    COUNTIFS($AI$3:$AI$201,$M245)&gt;0,
    COUNTIFS($AJ$3:$AJ$201,$M245)&gt;0,
    COUNTIFS($AK$3:$AK$201,$M245)&gt;0,
    COUNTIFS($AL$3:$AL$201,$M245)&gt;0,
    COUNTIFS($AM$3:$AM$201,$M245)&gt;0,
    COUNTIFS($AN$3:$AN$201,$M245)&gt;0,
    COUNTIFS($AO$3:$AO$201,$M245)&gt;0,
    COUNTIFS($AP$3:$AP$201,$M245)&gt;0,
    COUNTIFS($AQ$3:$AQ$201,$M245)&gt;0,
    COUNTIFS($AR$3:$AR$201,$M245)&gt;0,
    COUNTIFS($AS$3:$AS$201,$M245)&gt;0,
    COUNTIFS($AT$3:$AT$201,$M245)&gt;0,
    COUNTIFS($AU$3:$AU$201,$M245)&gt;0,
    COUNTIFS($AV$3:$AV$201,$M245)&gt;0,
    COUNTIFS($AW$3:$AW$201,$M245)&gt;0
   ),
  0)
 ),
"")</f>
        <v>Baylen</v>
      </c>
      <c r="P245" s="3" t="str" cm="1">
        <f t="array" aca="1" ref="P245" ca="1">IFERROR(
 INDEX(
  _xlfn._xlws.FILTER($T$2:$AW$2,
   TRANSPOSE(
    CHOOSE({1;2;3;4;5;6;7;8;9;10;11;12;13;14;15;16;17;18;19;20;21;22;23;24;25;26;27;28;29;30},
     COUNTIFS($T$3:$T$201,$M245)&gt;0,
     COUNTIFS($U$3:$U$201,$M245)&gt;0,
     COUNTIFS($V$3:$V$201,$M245)&gt;0,
     COUNTIFS($W$3:$W$201,$M245)&gt;0,
     COUNTIFS($X$3:$X$201,$M245)&gt;0,
     COUNTIFS($Y$3:$Y$201,$M245)&gt;0,
     COUNTIFS($Z$3:$Z$201,$M245)&gt;0,
     COUNTIFS($AA$3:$AA$201,$M245)&gt;0,
     COUNTIFS($AB$3:$AB$201,$M245)&gt;0,
     COUNTIFS($AC$3:$AC$201,$M245)&gt;0,
     COUNTIFS($AD$3:$AD$201,$M245)&gt;0,
     COUNTIFS($AE$3:$AE$201,$M245)&gt;0,
     COUNTIFS($AF$3:$AF$201,$M245)&gt;0,
     COUNTIFS($AG$3:$AG$201,$M245)&gt;0,
     COUNTIFS($AH$3:$AH$201,$M245)&gt;0,
     COUNTIFS($AI$3:$AI$201,$M245)&gt;0,
     COUNTIFS($AJ$3:$AJ$201,$M245)&gt;0,
     COUNTIFS($AK$3:$AK$201,$M245)&gt;0,
     COUNTIFS($AL$3:$AL$201,$M245)&gt;0,
     COUNTIFS($AM$3:$AM$201,$M245)&gt;0,
     COUNTIFS($AN$3:$AN$201,$M245)&gt;0,
     COUNTIFS($AO$3:$AO$201,$M245)&gt;0,
     COUNTIFS($AP$3:$AP$201,$M245)&gt;0,
     COUNTIFS($AQ$3:$AQ$201,$M245)&gt;0,
     COUNTIFS($AR$3:$AR$201,$M245)&gt;0,
     COUNTIFS($AS$3:$AS$201,$M245)&gt;0,
     COUNTIFS($AT$3:$AT$201,$M245)&gt;0,
     COUNTIFS($AU$3:$AU$201,$M245)&gt;0,
     COUNTIFS($AV$3:$AV$201,$M245)&gt;0,
     COUNTIFS($AW$3:$AW$201,$M245)&gt;0
   )),
  ),
  2
 ),
"")</f>
        <v/>
      </c>
      <c r="Q245" s="3" t="str" cm="1">
        <f t="array" aca="1" ref="Q245" ca="1">IFERROR(
 INDEX(
  _xlfn._xlws.FILTER($T$2:$AW$2,
   TRANSPOSE(
    CHOOSE({1;2;3;4;5;6;7;8;9;10;11;12;13;14;15;16;17;18;19;20;21;22;23;24;25;26;27;28;29;30},
     COUNTIFS($T$3:$T$201,$M245)&gt;0,
     COUNTIFS($U$3:$U$201,$M245)&gt;0,
     COUNTIFS($V$3:$V$201,$M245)&gt;0,
     COUNTIFS($W$3:$W$201,$M245)&gt;0,
     COUNTIFS($X$3:$X$201,$M245)&gt;0,
     COUNTIFS($Y$3:$Y$201,$M245)&gt;0,
     COUNTIFS($Z$3:$Z$201,$M245)&gt;0,
     COUNTIFS($AA$3:$AA$201,$M245)&gt;0,
     COUNTIFS($AB$3:$AB$201,$M245)&gt;0,
     COUNTIFS($AC$3:$AC$201,$M245)&gt;0,
     COUNTIFS($AD$3:$AD$201,$M245)&gt;0,
     COUNTIFS($AE$3:$AE$201,$M245)&gt;0,
     COUNTIFS($AF$3:$AF$201,$M245)&gt;0,
     COUNTIFS($AG$3:$AG$201,$M245)&gt;0,
     COUNTIFS($AH$3:$AH$201,$M245)&gt;0,
     COUNTIFS($AI$3:$AI$201,$M245)&gt;0,
     COUNTIFS($AJ$3:$AJ$201,$M245)&gt;0,
     COUNTIFS($AK$3:$AK$201,$M245)&gt;0,
     COUNTIFS($AL$3:$AL$201,$M245)&gt;0,
     COUNTIFS($AM$3:$AM$201,$M245)&gt;0,
     COUNTIFS($AN$3:$AN$201,$M245)&gt;0,
     COUNTIFS($AO$3:$AO$201,$M245)&gt;0,
     COUNTIFS($AP$3:$AP$201,$M245)&gt;0,
     COUNTIFS($AQ$3:$AQ$201,$M245)&gt;0,
     COUNTIFS($AR$3:$AR$201,$M245)&gt;0,
     COUNTIFS($AS$3:$AS$201,$M245)&gt;0,
     COUNTIFS($AT$3:$AT$201,$M245)&gt;0,
     COUNTIFS($AU$3:$AU$201,$M245)&gt;0,
     COUNTIFS($AV$3:$AV$201,$M245)&gt;0,
     COUNTIFS($AW$3:$AW$201,$M245)&gt;0
   )),
  ),
  3
 ),
"")</f>
        <v/>
      </c>
      <c r="R245" s="3" t="str" cm="1">
        <f t="array" aca="1" ref="R245" ca="1">IFERROR(
 INDEX(
  _xlfn._xlws.FILTER($T$2:$AW$2,
   TRANSPOSE(
    CHOOSE({1;2;3;4;5;6;7;8;9;10;11;12;13;14;15;16;17;18;19;20;21;22;23;24;25;26;27;28;29;30},
     COUNTIFS($T$3:$T$201,$M245)&gt;0,
     COUNTIFS($U$3:$U$201,$M245)&gt;0,
     COUNTIFS($V$3:$V$201,$M245)&gt;0,
     COUNTIFS($W$3:$W$201,$M245)&gt;0,
     COUNTIFS($X$3:$X$201,$M245)&gt;0,
     COUNTIFS($Y$3:$Y$201,$M245)&gt;0,
     COUNTIFS($Z$3:$Z$201,$M245)&gt;0,
     COUNTIFS($AA$3:$AA$201,$M245)&gt;0,
     COUNTIFS($AB$3:$AB$201,$M245)&gt;0,
     COUNTIFS($AC$3:$AC$201,$M245)&gt;0,
     COUNTIFS($AD$3:$AD$201,$M245)&gt;0,
     COUNTIFS($AE$3:$AE$201,$M245)&gt;0,
     COUNTIFS($AF$3:$AF$201,$M245)&gt;0,
     COUNTIFS($AG$3:$AG$201,$M245)&gt;0,
     COUNTIFS($AH$3:$AH$201,$M245)&gt;0,
     COUNTIFS($AI$3:$AI$201,$M245)&gt;0,
     COUNTIFS($AJ$3:$AJ$201,$M245)&gt;0,
     COUNTIFS($AK$3:$AK$201,$M245)&gt;0,
     COUNTIFS($AL$3:$AL$201,$M245)&gt;0,
     COUNTIFS($AM$3:$AM$201,$M245)&gt;0,
     COUNTIFS($AN$3:$AN$201,$M245)&gt;0,
     COUNTIFS($AO$3:$AO$201,$M245)&gt;0,
     COUNTIFS($AP$3:$AP$201,$M245)&gt;0,
     COUNTIFS($AQ$3:$AQ$201,$M245)&gt;0,
     COUNTIFS($AR$3:$AR$201,$M245)&gt;0,
     COUNTIFS($AS$3:$AS$201,$M245)&gt;0,
     COUNTIFS($AT$3:$AT$201,$M245)&gt;0,
     COUNTIFS($AU$3:$AU$201,$M245)&gt;0,
     COUNTIFS($AV$3:$AV$201,$M245)&gt;0,
     COUNTIFS($AW$3:$AW$201,$M245)&gt;0
   )),
  ),
  4
 ),
"")</f>
        <v/>
      </c>
      <c r="CI245" t="str">
        <f ca="1"/>
        <v>Tempestade Serelepe</v>
      </c>
    </row>
    <row r="246" spans="1:87" x14ac:dyDescent="0.25">
      <c r="A246" t="str">
        <f ca="1"/>
        <v>Slayers' Stronghold</v>
      </c>
      <c r="B246" s="3" t="str" cm="1">
        <f t="array" aca="1" ref="B246" ca="1">_xlfn.ANCHORARRAY(RESUMO!C245)</f>
        <v>Narset</v>
      </c>
      <c r="C246" s="3" t="str">
        <f t="shared" ca="1" si="12"/>
        <v/>
      </c>
      <c r="E246" t="str">
        <f ca="1"/>
        <v>Tenza, Godo's Maul</v>
      </c>
      <c r="F246" s="3">
        <f t="shared" ca="1" si="13"/>
        <v>1</v>
      </c>
      <c r="G246" s="3" t="str">
        <f t="shared" ca="1" si="14"/>
        <v>Akiri</v>
      </c>
      <c r="M246" t="str">
        <f ca="1"/>
        <v>Tenza, Godo's Maul</v>
      </c>
      <c r="N246" s="3">
        <f t="shared" ca="1" si="15"/>
        <v>1</v>
      </c>
      <c r="O246" s="3" t="str">
        <f ca="1">IFERROR(
 INDEX($T$2:$AW$2,
  MATCH(TRUE,
   CHOOSE({1;2;3;4;5;6;7;8;9;10;11;12;13;14;15;16;17;18;19;20;21;22;23;24;25;26;27;28;29;30;31;32},
    COUNTIFS($T$3:$T$201,$M246)&gt;0,
    COUNTIFS($U$3:$U$201,$M246)&gt;0,
    COUNTIFS($V$3:$V$201,$M246)&gt;0,
    COUNTIFS($W$3:$W$201,$M246)&gt;0,
    COUNTIFS($X$3:$X$201,$M246)&gt;0,
    COUNTIFS($Y$3:$Y$201,$M246)&gt;0,
    COUNTIFS($Z$3:$Z$201,$M246)&gt;0,
    COUNTIFS($AA$3:$AA$201,$M246)&gt;0,
    COUNTIFS($AB$3:$AB$201,$M246)&gt;0,
    COUNTIFS($AC$3:$AC$201,$M246)&gt;0,
    COUNTIFS($AD$3:$AD$201,$M246)&gt;0,
    COUNTIFS($AE$3:$AE$201,$M246)&gt;0,
    COUNTIFS($AF$3:$AF$201,$M246)&gt;0,
    COUNTIFS($AG$3:$AG$201,$M246)&gt;0,
    COUNTIFS($AH$3:$AH$201,$M246)&gt;0,
    COUNTIFS($AI$3:$AI$201,$M246)&gt;0,
    COUNTIFS($AJ$3:$AJ$201,$M246)&gt;0,
    COUNTIFS($AK$3:$AK$201,$M246)&gt;0,
    COUNTIFS($AL$3:$AL$201,$M246)&gt;0,
    COUNTIFS($AM$3:$AM$201,$M246)&gt;0,
    COUNTIFS($AN$3:$AN$201,$M246)&gt;0,
    COUNTIFS($AO$3:$AO$201,$M246)&gt;0,
    COUNTIFS($AP$3:$AP$201,$M246)&gt;0,
    COUNTIFS($AQ$3:$AQ$201,$M246)&gt;0,
    COUNTIFS($AR$3:$AR$201,$M246)&gt;0,
    COUNTIFS($AS$3:$AS$201,$M246)&gt;0,
    COUNTIFS($AT$3:$AT$201,$M246)&gt;0,
    COUNTIFS($AU$3:$AU$201,$M246)&gt;0,
    COUNTIFS($AV$3:$AV$201,$M246)&gt;0,
    COUNTIFS($AW$3:$AW$201,$M246)&gt;0
   ),
  0)
 ),
"")</f>
        <v>Akiri</v>
      </c>
      <c r="P246" s="3" t="str" cm="1">
        <f t="array" aca="1" ref="P246" ca="1">IFERROR(
 INDEX(
  _xlfn._xlws.FILTER($T$2:$AW$2,
   TRANSPOSE(
    CHOOSE({1;2;3;4;5;6;7;8;9;10;11;12;13;14;15;16;17;18;19;20;21;22;23;24;25;26;27;28;29;30},
     COUNTIFS($T$3:$T$201,$M246)&gt;0,
     COUNTIFS($U$3:$U$201,$M246)&gt;0,
     COUNTIFS($V$3:$V$201,$M246)&gt;0,
     COUNTIFS($W$3:$W$201,$M246)&gt;0,
     COUNTIFS($X$3:$X$201,$M246)&gt;0,
     COUNTIFS($Y$3:$Y$201,$M246)&gt;0,
     COUNTIFS($Z$3:$Z$201,$M246)&gt;0,
     COUNTIFS($AA$3:$AA$201,$M246)&gt;0,
     COUNTIFS($AB$3:$AB$201,$M246)&gt;0,
     COUNTIFS($AC$3:$AC$201,$M246)&gt;0,
     COUNTIFS($AD$3:$AD$201,$M246)&gt;0,
     COUNTIFS($AE$3:$AE$201,$M246)&gt;0,
     COUNTIFS($AF$3:$AF$201,$M246)&gt;0,
     COUNTIFS($AG$3:$AG$201,$M246)&gt;0,
     COUNTIFS($AH$3:$AH$201,$M246)&gt;0,
     COUNTIFS($AI$3:$AI$201,$M246)&gt;0,
     COUNTIFS($AJ$3:$AJ$201,$M246)&gt;0,
     COUNTIFS($AK$3:$AK$201,$M246)&gt;0,
     COUNTIFS($AL$3:$AL$201,$M246)&gt;0,
     COUNTIFS($AM$3:$AM$201,$M246)&gt;0,
     COUNTIFS($AN$3:$AN$201,$M246)&gt;0,
     COUNTIFS($AO$3:$AO$201,$M246)&gt;0,
     COUNTIFS($AP$3:$AP$201,$M246)&gt;0,
     COUNTIFS($AQ$3:$AQ$201,$M246)&gt;0,
     COUNTIFS($AR$3:$AR$201,$M246)&gt;0,
     COUNTIFS($AS$3:$AS$201,$M246)&gt;0,
     COUNTIFS($AT$3:$AT$201,$M246)&gt;0,
     COUNTIFS($AU$3:$AU$201,$M246)&gt;0,
     COUNTIFS($AV$3:$AV$201,$M246)&gt;0,
     COUNTIFS($AW$3:$AW$201,$M246)&gt;0
   )),
  ),
  2
 ),
"")</f>
        <v/>
      </c>
      <c r="Q246" s="3" t="str" cm="1">
        <f t="array" aca="1" ref="Q246" ca="1">IFERROR(
 INDEX(
  _xlfn._xlws.FILTER($T$2:$AW$2,
   TRANSPOSE(
    CHOOSE({1;2;3;4;5;6;7;8;9;10;11;12;13;14;15;16;17;18;19;20;21;22;23;24;25;26;27;28;29;30},
     COUNTIFS($T$3:$T$201,$M246)&gt;0,
     COUNTIFS($U$3:$U$201,$M246)&gt;0,
     COUNTIFS($V$3:$V$201,$M246)&gt;0,
     COUNTIFS($W$3:$W$201,$M246)&gt;0,
     COUNTIFS($X$3:$X$201,$M246)&gt;0,
     COUNTIFS($Y$3:$Y$201,$M246)&gt;0,
     COUNTIFS($Z$3:$Z$201,$M246)&gt;0,
     COUNTIFS($AA$3:$AA$201,$M246)&gt;0,
     COUNTIFS($AB$3:$AB$201,$M246)&gt;0,
     COUNTIFS($AC$3:$AC$201,$M246)&gt;0,
     COUNTIFS($AD$3:$AD$201,$M246)&gt;0,
     COUNTIFS($AE$3:$AE$201,$M246)&gt;0,
     COUNTIFS($AF$3:$AF$201,$M246)&gt;0,
     COUNTIFS($AG$3:$AG$201,$M246)&gt;0,
     COUNTIFS($AH$3:$AH$201,$M246)&gt;0,
     COUNTIFS($AI$3:$AI$201,$M246)&gt;0,
     COUNTIFS($AJ$3:$AJ$201,$M246)&gt;0,
     COUNTIFS($AK$3:$AK$201,$M246)&gt;0,
     COUNTIFS($AL$3:$AL$201,$M246)&gt;0,
     COUNTIFS($AM$3:$AM$201,$M246)&gt;0,
     COUNTIFS($AN$3:$AN$201,$M246)&gt;0,
     COUNTIFS($AO$3:$AO$201,$M246)&gt;0,
     COUNTIFS($AP$3:$AP$201,$M246)&gt;0,
     COUNTIFS($AQ$3:$AQ$201,$M246)&gt;0,
     COUNTIFS($AR$3:$AR$201,$M246)&gt;0,
     COUNTIFS($AS$3:$AS$201,$M246)&gt;0,
     COUNTIFS($AT$3:$AT$201,$M246)&gt;0,
     COUNTIFS($AU$3:$AU$201,$M246)&gt;0,
     COUNTIFS($AV$3:$AV$201,$M246)&gt;0,
     COUNTIFS($AW$3:$AW$201,$M246)&gt;0
   )),
  ),
  3
 ),
"")</f>
        <v/>
      </c>
      <c r="R246" s="3" t="str" cm="1">
        <f t="array" aca="1" ref="R246" ca="1">IFERROR(
 INDEX(
  _xlfn._xlws.FILTER($T$2:$AW$2,
   TRANSPOSE(
    CHOOSE({1;2;3;4;5;6;7;8;9;10;11;12;13;14;15;16;17;18;19;20;21;22;23;24;25;26;27;28;29;30},
     COUNTIFS($T$3:$T$201,$M246)&gt;0,
     COUNTIFS($U$3:$U$201,$M246)&gt;0,
     COUNTIFS($V$3:$V$201,$M246)&gt;0,
     COUNTIFS($W$3:$W$201,$M246)&gt;0,
     COUNTIFS($X$3:$X$201,$M246)&gt;0,
     COUNTIFS($Y$3:$Y$201,$M246)&gt;0,
     COUNTIFS($Z$3:$Z$201,$M246)&gt;0,
     COUNTIFS($AA$3:$AA$201,$M246)&gt;0,
     COUNTIFS($AB$3:$AB$201,$M246)&gt;0,
     COUNTIFS($AC$3:$AC$201,$M246)&gt;0,
     COUNTIFS($AD$3:$AD$201,$M246)&gt;0,
     COUNTIFS($AE$3:$AE$201,$M246)&gt;0,
     COUNTIFS($AF$3:$AF$201,$M246)&gt;0,
     COUNTIFS($AG$3:$AG$201,$M246)&gt;0,
     COUNTIFS($AH$3:$AH$201,$M246)&gt;0,
     COUNTIFS($AI$3:$AI$201,$M246)&gt;0,
     COUNTIFS($AJ$3:$AJ$201,$M246)&gt;0,
     COUNTIFS($AK$3:$AK$201,$M246)&gt;0,
     COUNTIFS($AL$3:$AL$201,$M246)&gt;0,
     COUNTIFS($AM$3:$AM$201,$M246)&gt;0,
     COUNTIFS($AN$3:$AN$201,$M246)&gt;0,
     COUNTIFS($AO$3:$AO$201,$M246)&gt;0,
     COUNTIFS($AP$3:$AP$201,$M246)&gt;0,
     COUNTIFS($AQ$3:$AQ$201,$M246)&gt;0,
     COUNTIFS($AR$3:$AR$201,$M246)&gt;0,
     COUNTIFS($AS$3:$AS$201,$M246)&gt;0,
     COUNTIFS($AT$3:$AT$201,$M246)&gt;0,
     COUNTIFS($AU$3:$AU$201,$M246)&gt;0,
     COUNTIFS($AV$3:$AV$201,$M246)&gt;0,
     COUNTIFS($AW$3:$AW$201,$M246)&gt;0
   )),
  ),
  4
 ),
"")</f>
        <v/>
      </c>
      <c r="CI246" t="str">
        <f ca="1"/>
        <v>Tenza, Godo's Maul</v>
      </c>
    </row>
    <row r="247" spans="1:87" x14ac:dyDescent="0.25">
      <c r="A247" t="str">
        <f ca="1"/>
        <v>Sliver Gravemother</v>
      </c>
      <c r="B247" s="3" t="str" cm="1">
        <f t="array" aca="1" ref="B247" ca="1">_xlfn.ANCHORARRAY(RESUMO!C246)</f>
        <v>Fractius</v>
      </c>
      <c r="C247" s="3" t="str">
        <f t="shared" ca="1" si="12"/>
        <v/>
      </c>
      <c r="E247" t="str">
        <f ca="1"/>
        <v>Terraço do Condado</v>
      </c>
      <c r="F247" s="3">
        <f t="shared" ca="1" si="13"/>
        <v>2</v>
      </c>
      <c r="G247" s="3" t="str">
        <f t="shared" ca="1" si="14"/>
        <v>Inalla</v>
      </c>
      <c r="M247" t="str">
        <f ca="1"/>
        <v>Terraço do Condado</v>
      </c>
      <c r="N247" s="3">
        <f t="shared" ca="1" si="15"/>
        <v>2</v>
      </c>
      <c r="O247" s="3" t="str">
        <f ca="1">IFERROR(
 INDEX($T$2:$AW$2,
  MATCH(TRUE,
   CHOOSE({1;2;3;4;5;6;7;8;9;10;11;12;13;14;15;16;17;18;19;20;21;22;23;24;25;26;27;28;29;30;31;32},
    COUNTIFS($T$3:$T$201,$M247)&gt;0,
    COUNTIFS($U$3:$U$201,$M247)&gt;0,
    COUNTIFS($V$3:$V$201,$M247)&gt;0,
    COUNTIFS($W$3:$W$201,$M247)&gt;0,
    COUNTIFS($X$3:$X$201,$M247)&gt;0,
    COUNTIFS($Y$3:$Y$201,$M247)&gt;0,
    COUNTIFS($Z$3:$Z$201,$M247)&gt;0,
    COUNTIFS($AA$3:$AA$201,$M247)&gt;0,
    COUNTIFS($AB$3:$AB$201,$M247)&gt;0,
    COUNTIFS($AC$3:$AC$201,$M247)&gt;0,
    COUNTIFS($AD$3:$AD$201,$M247)&gt;0,
    COUNTIFS($AE$3:$AE$201,$M247)&gt;0,
    COUNTIFS($AF$3:$AF$201,$M247)&gt;0,
    COUNTIFS($AG$3:$AG$201,$M247)&gt;0,
    COUNTIFS($AH$3:$AH$201,$M247)&gt;0,
    COUNTIFS($AI$3:$AI$201,$M247)&gt;0,
    COUNTIFS($AJ$3:$AJ$201,$M247)&gt;0,
    COUNTIFS($AK$3:$AK$201,$M247)&gt;0,
    COUNTIFS($AL$3:$AL$201,$M247)&gt;0,
    COUNTIFS($AM$3:$AM$201,$M247)&gt;0,
    COUNTIFS($AN$3:$AN$201,$M247)&gt;0,
    COUNTIFS($AO$3:$AO$201,$M247)&gt;0,
    COUNTIFS($AP$3:$AP$201,$M247)&gt;0,
    COUNTIFS($AQ$3:$AQ$201,$M247)&gt;0,
    COUNTIFS($AR$3:$AR$201,$M247)&gt;0,
    COUNTIFS($AS$3:$AS$201,$M247)&gt;0,
    COUNTIFS($AT$3:$AT$201,$M247)&gt;0,
    COUNTIFS($AU$3:$AU$201,$M247)&gt;0,
    COUNTIFS($AV$3:$AV$201,$M247)&gt;0,
    COUNTIFS($AW$3:$AW$201,$M247)&gt;0
   ),
  0)
 ),
"")</f>
        <v>Inalla</v>
      </c>
      <c r="P247" s="3" t="str" cm="1">
        <f t="array" aca="1" ref="P247" ca="1">IFERROR(
 INDEX(
  _xlfn._xlws.FILTER($T$2:$AW$2,
   TRANSPOSE(
    CHOOSE({1;2;3;4;5;6;7;8;9;10;11;12;13;14;15;16;17;18;19;20;21;22;23;24;25;26;27;28;29;30},
     COUNTIFS($T$3:$T$201,$M247)&gt;0,
     COUNTIFS($U$3:$U$201,$M247)&gt;0,
     COUNTIFS($V$3:$V$201,$M247)&gt;0,
     COUNTIFS($W$3:$W$201,$M247)&gt;0,
     COUNTIFS($X$3:$X$201,$M247)&gt;0,
     COUNTIFS($Y$3:$Y$201,$M247)&gt;0,
     COUNTIFS($Z$3:$Z$201,$M247)&gt;0,
     COUNTIFS($AA$3:$AA$201,$M247)&gt;0,
     COUNTIFS($AB$3:$AB$201,$M247)&gt;0,
     COUNTIFS($AC$3:$AC$201,$M247)&gt;0,
     COUNTIFS($AD$3:$AD$201,$M247)&gt;0,
     COUNTIFS($AE$3:$AE$201,$M247)&gt;0,
     COUNTIFS($AF$3:$AF$201,$M247)&gt;0,
     COUNTIFS($AG$3:$AG$201,$M247)&gt;0,
     COUNTIFS($AH$3:$AH$201,$M247)&gt;0,
     COUNTIFS($AI$3:$AI$201,$M247)&gt;0,
     COUNTIFS($AJ$3:$AJ$201,$M247)&gt;0,
     COUNTIFS($AK$3:$AK$201,$M247)&gt;0,
     COUNTIFS($AL$3:$AL$201,$M247)&gt;0,
     COUNTIFS($AM$3:$AM$201,$M247)&gt;0,
     COUNTIFS($AN$3:$AN$201,$M247)&gt;0,
     COUNTIFS($AO$3:$AO$201,$M247)&gt;0,
     COUNTIFS($AP$3:$AP$201,$M247)&gt;0,
     COUNTIFS($AQ$3:$AQ$201,$M247)&gt;0,
     COUNTIFS($AR$3:$AR$201,$M247)&gt;0,
     COUNTIFS($AS$3:$AS$201,$M247)&gt;0,
     COUNTIFS($AT$3:$AT$201,$M247)&gt;0,
     COUNTIFS($AU$3:$AU$201,$M247)&gt;0,
     COUNTIFS($AV$3:$AV$201,$M247)&gt;0,
     COUNTIFS($AW$3:$AW$201,$M247)&gt;0
   )),
  ),
  2
 ),
"")</f>
        <v>Rielle</v>
      </c>
      <c r="Q247" s="3" t="str" cm="1">
        <f t="array" aca="1" ref="Q247" ca="1">IFERROR(
 INDEX(
  _xlfn._xlws.FILTER($T$2:$AW$2,
   TRANSPOSE(
    CHOOSE({1;2;3;4;5;6;7;8;9;10;11;12;13;14;15;16;17;18;19;20;21;22;23;24;25;26;27;28;29;30},
     COUNTIFS($T$3:$T$201,$M247)&gt;0,
     COUNTIFS($U$3:$U$201,$M247)&gt;0,
     COUNTIFS($V$3:$V$201,$M247)&gt;0,
     COUNTIFS($W$3:$W$201,$M247)&gt;0,
     COUNTIFS($X$3:$X$201,$M247)&gt;0,
     COUNTIFS($Y$3:$Y$201,$M247)&gt;0,
     COUNTIFS($Z$3:$Z$201,$M247)&gt;0,
     COUNTIFS($AA$3:$AA$201,$M247)&gt;0,
     COUNTIFS($AB$3:$AB$201,$M247)&gt;0,
     COUNTIFS($AC$3:$AC$201,$M247)&gt;0,
     COUNTIFS($AD$3:$AD$201,$M247)&gt;0,
     COUNTIFS($AE$3:$AE$201,$M247)&gt;0,
     COUNTIFS($AF$3:$AF$201,$M247)&gt;0,
     COUNTIFS($AG$3:$AG$201,$M247)&gt;0,
     COUNTIFS($AH$3:$AH$201,$M247)&gt;0,
     COUNTIFS($AI$3:$AI$201,$M247)&gt;0,
     COUNTIFS($AJ$3:$AJ$201,$M247)&gt;0,
     COUNTIFS($AK$3:$AK$201,$M247)&gt;0,
     COUNTIFS($AL$3:$AL$201,$M247)&gt;0,
     COUNTIFS($AM$3:$AM$201,$M247)&gt;0,
     COUNTIFS($AN$3:$AN$201,$M247)&gt;0,
     COUNTIFS($AO$3:$AO$201,$M247)&gt;0,
     COUNTIFS($AP$3:$AP$201,$M247)&gt;0,
     COUNTIFS($AQ$3:$AQ$201,$M247)&gt;0,
     COUNTIFS($AR$3:$AR$201,$M247)&gt;0,
     COUNTIFS($AS$3:$AS$201,$M247)&gt;0,
     COUNTIFS($AT$3:$AT$201,$M247)&gt;0,
     COUNTIFS($AU$3:$AU$201,$M247)&gt;0,
     COUNTIFS($AV$3:$AV$201,$M247)&gt;0,
     COUNTIFS($AW$3:$AW$201,$M247)&gt;0
   )),
  ),
  3
 ),
"")</f>
        <v/>
      </c>
      <c r="R247" s="3" t="str" cm="1">
        <f t="array" aca="1" ref="R247" ca="1">IFERROR(
 INDEX(
  _xlfn._xlws.FILTER($T$2:$AW$2,
   TRANSPOSE(
    CHOOSE({1;2;3;4;5;6;7;8;9;10;11;12;13;14;15;16;17;18;19;20;21;22;23;24;25;26;27;28;29;30},
     COUNTIFS($T$3:$T$201,$M247)&gt;0,
     COUNTIFS($U$3:$U$201,$M247)&gt;0,
     COUNTIFS($V$3:$V$201,$M247)&gt;0,
     COUNTIFS($W$3:$W$201,$M247)&gt;0,
     COUNTIFS($X$3:$X$201,$M247)&gt;0,
     COUNTIFS($Y$3:$Y$201,$M247)&gt;0,
     COUNTIFS($Z$3:$Z$201,$M247)&gt;0,
     COUNTIFS($AA$3:$AA$201,$M247)&gt;0,
     COUNTIFS($AB$3:$AB$201,$M247)&gt;0,
     COUNTIFS($AC$3:$AC$201,$M247)&gt;0,
     COUNTIFS($AD$3:$AD$201,$M247)&gt;0,
     COUNTIFS($AE$3:$AE$201,$M247)&gt;0,
     COUNTIFS($AF$3:$AF$201,$M247)&gt;0,
     COUNTIFS($AG$3:$AG$201,$M247)&gt;0,
     COUNTIFS($AH$3:$AH$201,$M247)&gt;0,
     COUNTIFS($AI$3:$AI$201,$M247)&gt;0,
     COUNTIFS($AJ$3:$AJ$201,$M247)&gt;0,
     COUNTIFS($AK$3:$AK$201,$M247)&gt;0,
     COUNTIFS($AL$3:$AL$201,$M247)&gt;0,
     COUNTIFS($AM$3:$AM$201,$M247)&gt;0,
     COUNTIFS($AN$3:$AN$201,$M247)&gt;0,
     COUNTIFS($AO$3:$AO$201,$M247)&gt;0,
     COUNTIFS($AP$3:$AP$201,$M247)&gt;0,
     COUNTIFS($AQ$3:$AQ$201,$M247)&gt;0,
     COUNTIFS($AR$3:$AR$201,$M247)&gt;0,
     COUNTIFS($AS$3:$AS$201,$M247)&gt;0,
     COUNTIFS($AT$3:$AT$201,$M247)&gt;0,
     COUNTIFS($AU$3:$AU$201,$M247)&gt;0,
     COUNTIFS($AV$3:$AV$201,$M247)&gt;0,
     COUNTIFS($AW$3:$AW$201,$M247)&gt;0
   )),
  ),
  4
 ),
"")</f>
        <v/>
      </c>
      <c r="CI247" t="str">
        <f ca="1"/>
        <v>Terraço do Condado</v>
      </c>
    </row>
    <row r="248" spans="1:87" x14ac:dyDescent="0.25">
      <c r="A248" t="str">
        <f ca="1"/>
        <v>Smuggler's Share</v>
      </c>
      <c r="B248" s="3" t="str" cm="1">
        <f t="array" aca="1" ref="B248" ca="1">_xlfn.ANCHORARRAY(RESUMO!C247)</f>
        <v>Narset</v>
      </c>
      <c r="C248" s="3" t="str">
        <f t="shared" ca="1" si="12"/>
        <v/>
      </c>
      <c r="E248" t="str">
        <f ca="1"/>
        <v>Terras em Desenvolvimento</v>
      </c>
      <c r="F248" s="3">
        <f t="shared" ca="1" si="13"/>
        <v>3</v>
      </c>
      <c r="G248" s="3" t="str">
        <f t="shared" ca="1" si="14"/>
        <v>Baylen</v>
      </c>
      <c r="M248" t="str">
        <f ca="1"/>
        <v>Terras em Desenvolvimento</v>
      </c>
      <c r="N248" s="3">
        <f t="shared" ca="1" si="15"/>
        <v>3</v>
      </c>
      <c r="O248" s="3" t="str">
        <f ca="1">IFERROR(
 INDEX($T$2:$AW$2,
  MATCH(TRUE,
   CHOOSE({1;2;3;4;5;6;7;8;9;10;11;12;13;14;15;16;17;18;19;20;21;22;23;24;25;26;27;28;29;30;31;32},
    COUNTIFS($T$3:$T$201,$M248)&gt;0,
    COUNTIFS($U$3:$U$201,$M248)&gt;0,
    COUNTIFS($V$3:$V$201,$M248)&gt;0,
    COUNTIFS($W$3:$W$201,$M248)&gt;0,
    COUNTIFS($X$3:$X$201,$M248)&gt;0,
    COUNTIFS($Y$3:$Y$201,$M248)&gt;0,
    COUNTIFS($Z$3:$Z$201,$M248)&gt;0,
    COUNTIFS($AA$3:$AA$201,$M248)&gt;0,
    COUNTIFS($AB$3:$AB$201,$M248)&gt;0,
    COUNTIFS($AC$3:$AC$201,$M248)&gt;0,
    COUNTIFS($AD$3:$AD$201,$M248)&gt;0,
    COUNTIFS($AE$3:$AE$201,$M248)&gt;0,
    COUNTIFS($AF$3:$AF$201,$M248)&gt;0,
    COUNTIFS($AG$3:$AG$201,$M248)&gt;0,
    COUNTIFS($AH$3:$AH$201,$M248)&gt;0,
    COUNTIFS($AI$3:$AI$201,$M248)&gt;0,
    COUNTIFS($AJ$3:$AJ$201,$M248)&gt;0,
    COUNTIFS($AK$3:$AK$201,$M248)&gt;0,
    COUNTIFS($AL$3:$AL$201,$M248)&gt;0,
    COUNTIFS($AM$3:$AM$201,$M248)&gt;0,
    COUNTIFS($AN$3:$AN$201,$M248)&gt;0,
    COUNTIFS($AO$3:$AO$201,$M248)&gt;0,
    COUNTIFS($AP$3:$AP$201,$M248)&gt;0,
    COUNTIFS($AQ$3:$AQ$201,$M248)&gt;0,
    COUNTIFS($AR$3:$AR$201,$M248)&gt;0,
    COUNTIFS($AS$3:$AS$201,$M248)&gt;0,
    COUNTIFS($AT$3:$AT$201,$M248)&gt;0,
    COUNTIFS($AU$3:$AU$201,$M248)&gt;0,
    COUNTIFS($AV$3:$AV$201,$M248)&gt;0,
    COUNTIFS($AW$3:$AW$201,$M248)&gt;0
   ),
  0)
 ),
"")</f>
        <v>Baylen</v>
      </c>
      <c r="P248" s="3" t="str" cm="1">
        <f t="array" aca="1" ref="P248" ca="1">IFERROR(
 INDEX(
  _xlfn._xlws.FILTER($T$2:$AW$2,
   TRANSPOSE(
    CHOOSE({1;2;3;4;5;6;7;8;9;10;11;12;13;14;15;16;17;18;19;20;21;22;23;24;25;26;27;28;29;30},
     COUNTIFS($T$3:$T$201,$M248)&gt;0,
     COUNTIFS($U$3:$U$201,$M248)&gt;0,
     COUNTIFS($V$3:$V$201,$M248)&gt;0,
     COUNTIFS($W$3:$W$201,$M248)&gt;0,
     COUNTIFS($X$3:$X$201,$M248)&gt;0,
     COUNTIFS($Y$3:$Y$201,$M248)&gt;0,
     COUNTIFS($Z$3:$Z$201,$M248)&gt;0,
     COUNTIFS($AA$3:$AA$201,$M248)&gt;0,
     COUNTIFS($AB$3:$AB$201,$M248)&gt;0,
     COUNTIFS($AC$3:$AC$201,$M248)&gt;0,
     COUNTIFS($AD$3:$AD$201,$M248)&gt;0,
     COUNTIFS($AE$3:$AE$201,$M248)&gt;0,
     COUNTIFS($AF$3:$AF$201,$M248)&gt;0,
     COUNTIFS($AG$3:$AG$201,$M248)&gt;0,
     COUNTIFS($AH$3:$AH$201,$M248)&gt;0,
     COUNTIFS($AI$3:$AI$201,$M248)&gt;0,
     COUNTIFS($AJ$3:$AJ$201,$M248)&gt;0,
     COUNTIFS($AK$3:$AK$201,$M248)&gt;0,
     COUNTIFS($AL$3:$AL$201,$M248)&gt;0,
     COUNTIFS($AM$3:$AM$201,$M248)&gt;0,
     COUNTIFS($AN$3:$AN$201,$M248)&gt;0,
     COUNTIFS($AO$3:$AO$201,$M248)&gt;0,
     COUNTIFS($AP$3:$AP$201,$M248)&gt;0,
     COUNTIFS($AQ$3:$AQ$201,$M248)&gt;0,
     COUNTIFS($AR$3:$AR$201,$M248)&gt;0,
     COUNTIFS($AS$3:$AS$201,$M248)&gt;0,
     COUNTIFS($AT$3:$AT$201,$M248)&gt;0,
     COUNTIFS($AU$3:$AU$201,$M248)&gt;0,
     COUNTIFS($AV$3:$AV$201,$M248)&gt;0,
     COUNTIFS($AW$3:$AW$201,$M248)&gt;0
   )),
  ),
  2
 ),
"")</f>
        <v>Rani</v>
      </c>
      <c r="Q248" s="3" t="str" cm="1">
        <f t="array" aca="1" ref="Q248" ca="1">IFERROR(
 INDEX(
  _xlfn._xlws.FILTER($T$2:$AW$2,
   TRANSPOSE(
    CHOOSE({1;2;3;4;5;6;7;8;9;10;11;12;13;14;15;16;17;18;19;20;21;22;23;24;25;26;27;28;29;30},
     COUNTIFS($T$3:$T$201,$M248)&gt;0,
     COUNTIFS($U$3:$U$201,$M248)&gt;0,
     COUNTIFS($V$3:$V$201,$M248)&gt;0,
     COUNTIFS($W$3:$W$201,$M248)&gt;0,
     COUNTIFS($X$3:$X$201,$M248)&gt;0,
     COUNTIFS($Y$3:$Y$201,$M248)&gt;0,
     COUNTIFS($Z$3:$Z$201,$M248)&gt;0,
     COUNTIFS($AA$3:$AA$201,$M248)&gt;0,
     COUNTIFS($AB$3:$AB$201,$M248)&gt;0,
     COUNTIFS($AC$3:$AC$201,$M248)&gt;0,
     COUNTIFS($AD$3:$AD$201,$M248)&gt;0,
     COUNTIFS($AE$3:$AE$201,$M248)&gt;0,
     COUNTIFS($AF$3:$AF$201,$M248)&gt;0,
     COUNTIFS($AG$3:$AG$201,$M248)&gt;0,
     COUNTIFS($AH$3:$AH$201,$M248)&gt;0,
     COUNTIFS($AI$3:$AI$201,$M248)&gt;0,
     COUNTIFS($AJ$3:$AJ$201,$M248)&gt;0,
     COUNTIFS($AK$3:$AK$201,$M248)&gt;0,
     COUNTIFS($AL$3:$AL$201,$M248)&gt;0,
     COUNTIFS($AM$3:$AM$201,$M248)&gt;0,
     COUNTIFS($AN$3:$AN$201,$M248)&gt;0,
     COUNTIFS($AO$3:$AO$201,$M248)&gt;0,
     COUNTIFS($AP$3:$AP$201,$M248)&gt;0,
     COUNTIFS($AQ$3:$AQ$201,$M248)&gt;0,
     COUNTIFS($AR$3:$AR$201,$M248)&gt;0,
     COUNTIFS($AS$3:$AS$201,$M248)&gt;0,
     COUNTIFS($AT$3:$AT$201,$M248)&gt;0,
     COUNTIFS($AU$3:$AU$201,$M248)&gt;0,
     COUNTIFS($AV$3:$AV$201,$M248)&gt;0,
     COUNTIFS($AW$3:$AW$201,$M248)&gt;0
   )),
  ),
  3
 ),
"")</f>
        <v>Elfos</v>
      </c>
      <c r="R248" s="3" t="str" cm="1">
        <f t="array" aca="1" ref="R248" ca="1">IFERROR(
 INDEX(
  _xlfn._xlws.FILTER($T$2:$AW$2,
   TRANSPOSE(
    CHOOSE({1;2;3;4;5;6;7;8;9;10;11;12;13;14;15;16;17;18;19;20;21;22;23;24;25;26;27;28;29;30},
     COUNTIFS($T$3:$T$201,$M248)&gt;0,
     COUNTIFS($U$3:$U$201,$M248)&gt;0,
     COUNTIFS($V$3:$V$201,$M248)&gt;0,
     COUNTIFS($W$3:$W$201,$M248)&gt;0,
     COUNTIFS($X$3:$X$201,$M248)&gt;0,
     COUNTIFS($Y$3:$Y$201,$M248)&gt;0,
     COUNTIFS($Z$3:$Z$201,$M248)&gt;0,
     COUNTIFS($AA$3:$AA$201,$M248)&gt;0,
     COUNTIFS($AB$3:$AB$201,$M248)&gt;0,
     COUNTIFS($AC$3:$AC$201,$M248)&gt;0,
     COUNTIFS($AD$3:$AD$201,$M248)&gt;0,
     COUNTIFS($AE$3:$AE$201,$M248)&gt;0,
     COUNTIFS($AF$3:$AF$201,$M248)&gt;0,
     COUNTIFS($AG$3:$AG$201,$M248)&gt;0,
     COUNTIFS($AH$3:$AH$201,$M248)&gt;0,
     COUNTIFS($AI$3:$AI$201,$M248)&gt;0,
     COUNTIFS($AJ$3:$AJ$201,$M248)&gt;0,
     COUNTIFS($AK$3:$AK$201,$M248)&gt;0,
     COUNTIFS($AL$3:$AL$201,$M248)&gt;0,
     COUNTIFS($AM$3:$AM$201,$M248)&gt;0,
     COUNTIFS($AN$3:$AN$201,$M248)&gt;0,
     COUNTIFS($AO$3:$AO$201,$M248)&gt;0,
     COUNTIFS($AP$3:$AP$201,$M248)&gt;0,
     COUNTIFS($AQ$3:$AQ$201,$M248)&gt;0,
     COUNTIFS($AR$3:$AR$201,$M248)&gt;0,
     COUNTIFS($AS$3:$AS$201,$M248)&gt;0,
     COUNTIFS($AT$3:$AT$201,$M248)&gt;0,
     COUNTIFS($AU$3:$AU$201,$M248)&gt;0,
     COUNTIFS($AV$3:$AV$201,$M248)&gt;0,
     COUNTIFS($AW$3:$AW$201,$M248)&gt;0
   )),
  ),
  4
 ),
"")</f>
        <v/>
      </c>
      <c r="CI248" t="str">
        <f ca="1"/>
        <v>Terras em Desenvolvimento</v>
      </c>
    </row>
    <row r="249" spans="1:87" x14ac:dyDescent="0.25">
      <c r="A249" t="str">
        <f ca="1"/>
        <v>Sokenzan, Crisol da Afronta</v>
      </c>
      <c r="B249" s="3" t="str" cm="1">
        <f t="array" aca="1" ref="B249" ca="1">_xlfn.ANCHORARRAY(RESUMO!C248)</f>
        <v>Rielle</v>
      </c>
      <c r="C249" s="3" t="str">
        <f t="shared" ca="1" si="12"/>
        <v/>
      </c>
      <c r="E249" t="str">
        <f ca="1"/>
        <v>The Hunger Tide Rises</v>
      </c>
      <c r="F249" s="3">
        <f t="shared" ca="1" si="13"/>
        <v>1</v>
      </c>
      <c r="G249" s="3" t="str">
        <f t="shared" ca="1" si="14"/>
        <v>Zimone</v>
      </c>
      <c r="M249" t="str">
        <f ca="1"/>
        <v>The Hunger Tide Rises</v>
      </c>
      <c r="N249" s="3">
        <f t="shared" ca="1" si="15"/>
        <v>1</v>
      </c>
      <c r="O249" s="3" t="str">
        <f ca="1">IFERROR(
 INDEX($T$2:$AW$2,
  MATCH(TRUE,
   CHOOSE({1;2;3;4;5;6;7;8;9;10;11;12;13;14;15;16;17;18;19;20;21;22;23;24;25;26;27;28;29;30;31;32},
    COUNTIFS($T$3:$T$201,$M249)&gt;0,
    COUNTIFS($U$3:$U$201,$M249)&gt;0,
    COUNTIFS($V$3:$V$201,$M249)&gt;0,
    COUNTIFS($W$3:$W$201,$M249)&gt;0,
    COUNTIFS($X$3:$X$201,$M249)&gt;0,
    COUNTIFS($Y$3:$Y$201,$M249)&gt;0,
    COUNTIFS($Z$3:$Z$201,$M249)&gt;0,
    COUNTIFS($AA$3:$AA$201,$M249)&gt;0,
    COUNTIFS($AB$3:$AB$201,$M249)&gt;0,
    COUNTIFS($AC$3:$AC$201,$M249)&gt;0,
    COUNTIFS($AD$3:$AD$201,$M249)&gt;0,
    COUNTIFS($AE$3:$AE$201,$M249)&gt;0,
    COUNTIFS($AF$3:$AF$201,$M249)&gt;0,
    COUNTIFS($AG$3:$AG$201,$M249)&gt;0,
    COUNTIFS($AH$3:$AH$201,$M249)&gt;0,
    COUNTIFS($AI$3:$AI$201,$M249)&gt;0,
    COUNTIFS($AJ$3:$AJ$201,$M249)&gt;0,
    COUNTIFS($AK$3:$AK$201,$M249)&gt;0,
    COUNTIFS($AL$3:$AL$201,$M249)&gt;0,
    COUNTIFS($AM$3:$AM$201,$M249)&gt;0,
    COUNTIFS($AN$3:$AN$201,$M249)&gt;0,
    COUNTIFS($AO$3:$AO$201,$M249)&gt;0,
    COUNTIFS($AP$3:$AP$201,$M249)&gt;0,
    COUNTIFS($AQ$3:$AQ$201,$M249)&gt;0,
    COUNTIFS($AR$3:$AR$201,$M249)&gt;0,
    COUNTIFS($AS$3:$AS$201,$M249)&gt;0,
    COUNTIFS($AT$3:$AT$201,$M249)&gt;0,
    COUNTIFS($AU$3:$AU$201,$M249)&gt;0,
    COUNTIFS($AV$3:$AV$201,$M249)&gt;0,
    COUNTIFS($AW$3:$AW$201,$M249)&gt;0
   ),
  0)
 ),
"")</f>
        <v>Zimone</v>
      </c>
      <c r="P249" s="3" t="str" cm="1">
        <f t="array" aca="1" ref="P249" ca="1">IFERROR(
 INDEX(
  _xlfn._xlws.FILTER($T$2:$AW$2,
   TRANSPOSE(
    CHOOSE({1;2;3;4;5;6;7;8;9;10;11;12;13;14;15;16;17;18;19;20;21;22;23;24;25;26;27;28;29;30},
     COUNTIFS($T$3:$T$201,$M249)&gt;0,
     COUNTIFS($U$3:$U$201,$M249)&gt;0,
     COUNTIFS($V$3:$V$201,$M249)&gt;0,
     COUNTIFS($W$3:$W$201,$M249)&gt;0,
     COUNTIFS($X$3:$X$201,$M249)&gt;0,
     COUNTIFS($Y$3:$Y$201,$M249)&gt;0,
     COUNTIFS($Z$3:$Z$201,$M249)&gt;0,
     COUNTIFS($AA$3:$AA$201,$M249)&gt;0,
     COUNTIFS($AB$3:$AB$201,$M249)&gt;0,
     COUNTIFS($AC$3:$AC$201,$M249)&gt;0,
     COUNTIFS($AD$3:$AD$201,$M249)&gt;0,
     COUNTIFS($AE$3:$AE$201,$M249)&gt;0,
     COUNTIFS($AF$3:$AF$201,$M249)&gt;0,
     COUNTIFS($AG$3:$AG$201,$M249)&gt;0,
     COUNTIFS($AH$3:$AH$201,$M249)&gt;0,
     COUNTIFS($AI$3:$AI$201,$M249)&gt;0,
     COUNTIFS($AJ$3:$AJ$201,$M249)&gt;0,
     COUNTIFS($AK$3:$AK$201,$M249)&gt;0,
     COUNTIFS($AL$3:$AL$201,$M249)&gt;0,
     COUNTIFS($AM$3:$AM$201,$M249)&gt;0,
     COUNTIFS($AN$3:$AN$201,$M249)&gt;0,
     COUNTIFS($AO$3:$AO$201,$M249)&gt;0,
     COUNTIFS($AP$3:$AP$201,$M249)&gt;0,
     COUNTIFS($AQ$3:$AQ$201,$M249)&gt;0,
     COUNTIFS($AR$3:$AR$201,$M249)&gt;0,
     COUNTIFS($AS$3:$AS$201,$M249)&gt;0,
     COUNTIFS($AT$3:$AT$201,$M249)&gt;0,
     COUNTIFS($AU$3:$AU$201,$M249)&gt;0,
     COUNTIFS($AV$3:$AV$201,$M249)&gt;0,
     COUNTIFS($AW$3:$AW$201,$M249)&gt;0
   )),
  ),
  2
 ),
"")</f>
        <v/>
      </c>
      <c r="Q249" s="3" t="str" cm="1">
        <f t="array" aca="1" ref="Q249" ca="1">IFERROR(
 INDEX(
  _xlfn._xlws.FILTER($T$2:$AW$2,
   TRANSPOSE(
    CHOOSE({1;2;3;4;5;6;7;8;9;10;11;12;13;14;15;16;17;18;19;20;21;22;23;24;25;26;27;28;29;30},
     COUNTIFS($T$3:$T$201,$M249)&gt;0,
     COUNTIFS($U$3:$U$201,$M249)&gt;0,
     COUNTIFS($V$3:$V$201,$M249)&gt;0,
     COUNTIFS($W$3:$W$201,$M249)&gt;0,
     COUNTIFS($X$3:$X$201,$M249)&gt;0,
     COUNTIFS($Y$3:$Y$201,$M249)&gt;0,
     COUNTIFS($Z$3:$Z$201,$M249)&gt;0,
     COUNTIFS($AA$3:$AA$201,$M249)&gt;0,
     COUNTIFS($AB$3:$AB$201,$M249)&gt;0,
     COUNTIFS($AC$3:$AC$201,$M249)&gt;0,
     COUNTIFS($AD$3:$AD$201,$M249)&gt;0,
     COUNTIFS($AE$3:$AE$201,$M249)&gt;0,
     COUNTIFS($AF$3:$AF$201,$M249)&gt;0,
     COUNTIFS($AG$3:$AG$201,$M249)&gt;0,
     COUNTIFS($AH$3:$AH$201,$M249)&gt;0,
     COUNTIFS($AI$3:$AI$201,$M249)&gt;0,
     COUNTIFS($AJ$3:$AJ$201,$M249)&gt;0,
     COUNTIFS($AK$3:$AK$201,$M249)&gt;0,
     COUNTIFS($AL$3:$AL$201,$M249)&gt;0,
     COUNTIFS($AM$3:$AM$201,$M249)&gt;0,
     COUNTIFS($AN$3:$AN$201,$M249)&gt;0,
     COUNTIFS($AO$3:$AO$201,$M249)&gt;0,
     COUNTIFS($AP$3:$AP$201,$M249)&gt;0,
     COUNTIFS($AQ$3:$AQ$201,$M249)&gt;0,
     COUNTIFS($AR$3:$AR$201,$M249)&gt;0,
     COUNTIFS($AS$3:$AS$201,$M249)&gt;0,
     COUNTIFS($AT$3:$AT$201,$M249)&gt;0,
     COUNTIFS($AU$3:$AU$201,$M249)&gt;0,
     COUNTIFS($AV$3:$AV$201,$M249)&gt;0,
     COUNTIFS($AW$3:$AW$201,$M249)&gt;0
   )),
  ),
  3
 ),
"")</f>
        <v/>
      </c>
      <c r="R249" s="3" t="str" cm="1">
        <f t="array" aca="1" ref="R249" ca="1">IFERROR(
 INDEX(
  _xlfn._xlws.FILTER($T$2:$AW$2,
   TRANSPOSE(
    CHOOSE({1;2;3;4;5;6;7;8;9;10;11;12;13;14;15;16;17;18;19;20;21;22;23;24;25;26;27;28;29;30},
     COUNTIFS($T$3:$T$201,$M249)&gt;0,
     COUNTIFS($U$3:$U$201,$M249)&gt;0,
     COUNTIFS($V$3:$V$201,$M249)&gt;0,
     COUNTIFS($W$3:$W$201,$M249)&gt;0,
     COUNTIFS($X$3:$X$201,$M249)&gt;0,
     COUNTIFS($Y$3:$Y$201,$M249)&gt;0,
     COUNTIFS($Z$3:$Z$201,$M249)&gt;0,
     COUNTIFS($AA$3:$AA$201,$M249)&gt;0,
     COUNTIFS($AB$3:$AB$201,$M249)&gt;0,
     COUNTIFS($AC$3:$AC$201,$M249)&gt;0,
     COUNTIFS($AD$3:$AD$201,$M249)&gt;0,
     COUNTIFS($AE$3:$AE$201,$M249)&gt;0,
     COUNTIFS($AF$3:$AF$201,$M249)&gt;0,
     COUNTIFS($AG$3:$AG$201,$M249)&gt;0,
     COUNTIFS($AH$3:$AH$201,$M249)&gt;0,
     COUNTIFS($AI$3:$AI$201,$M249)&gt;0,
     COUNTIFS($AJ$3:$AJ$201,$M249)&gt;0,
     COUNTIFS($AK$3:$AK$201,$M249)&gt;0,
     COUNTIFS($AL$3:$AL$201,$M249)&gt;0,
     COUNTIFS($AM$3:$AM$201,$M249)&gt;0,
     COUNTIFS($AN$3:$AN$201,$M249)&gt;0,
     COUNTIFS($AO$3:$AO$201,$M249)&gt;0,
     COUNTIFS($AP$3:$AP$201,$M249)&gt;0,
     COUNTIFS($AQ$3:$AQ$201,$M249)&gt;0,
     COUNTIFS($AR$3:$AR$201,$M249)&gt;0,
     COUNTIFS($AS$3:$AS$201,$M249)&gt;0,
     COUNTIFS($AT$3:$AT$201,$M249)&gt;0,
     COUNTIFS($AU$3:$AU$201,$M249)&gt;0,
     COUNTIFS($AV$3:$AV$201,$M249)&gt;0,
     COUNTIFS($AW$3:$AW$201,$M249)&gt;0
   )),
  ),
  4
 ),
"")</f>
        <v/>
      </c>
      <c r="CI249" t="str">
        <f ca="1"/>
        <v>The Hunger Tide Rises</v>
      </c>
    </row>
    <row r="250" spans="1:87" x14ac:dyDescent="0.25">
      <c r="A250" t="str">
        <f ca="1"/>
        <v>Sokenzan, Crucible of Defiance</v>
      </c>
      <c r="B250" s="3" t="str" cm="1">
        <f t="array" aca="1" ref="B250" ca="1">_xlfn.ANCHORARRAY(RESUMO!C249)</f>
        <v>Narset</v>
      </c>
      <c r="C250" s="3" t="str">
        <f t="shared" ca="1" si="12"/>
        <v/>
      </c>
      <c r="E250" t="str">
        <f ca="1"/>
        <v>The Immortal Sun</v>
      </c>
      <c r="F250" s="3">
        <f t="shared" ca="1" si="13"/>
        <v>1</v>
      </c>
      <c r="G250" s="3" t="str">
        <f t="shared" ca="1" si="14"/>
        <v>Alela</v>
      </c>
      <c r="M250" t="str">
        <f ca="1"/>
        <v>The Immortal Sun</v>
      </c>
      <c r="N250" s="3">
        <f t="shared" ca="1" si="15"/>
        <v>1</v>
      </c>
      <c r="O250" s="3" t="str">
        <f ca="1">IFERROR(
 INDEX($T$2:$AW$2,
  MATCH(TRUE,
   CHOOSE({1;2;3;4;5;6;7;8;9;10;11;12;13;14;15;16;17;18;19;20;21;22;23;24;25;26;27;28;29;30;31;32},
    COUNTIFS($T$3:$T$201,$M250)&gt;0,
    COUNTIFS($U$3:$U$201,$M250)&gt;0,
    COUNTIFS($V$3:$V$201,$M250)&gt;0,
    COUNTIFS($W$3:$W$201,$M250)&gt;0,
    COUNTIFS($X$3:$X$201,$M250)&gt;0,
    COUNTIFS($Y$3:$Y$201,$M250)&gt;0,
    COUNTIFS($Z$3:$Z$201,$M250)&gt;0,
    COUNTIFS($AA$3:$AA$201,$M250)&gt;0,
    COUNTIFS($AB$3:$AB$201,$M250)&gt;0,
    COUNTIFS($AC$3:$AC$201,$M250)&gt;0,
    COUNTIFS($AD$3:$AD$201,$M250)&gt;0,
    COUNTIFS($AE$3:$AE$201,$M250)&gt;0,
    COUNTIFS($AF$3:$AF$201,$M250)&gt;0,
    COUNTIFS($AG$3:$AG$201,$M250)&gt;0,
    COUNTIFS($AH$3:$AH$201,$M250)&gt;0,
    COUNTIFS($AI$3:$AI$201,$M250)&gt;0,
    COUNTIFS($AJ$3:$AJ$201,$M250)&gt;0,
    COUNTIFS($AK$3:$AK$201,$M250)&gt;0,
    COUNTIFS($AL$3:$AL$201,$M250)&gt;0,
    COUNTIFS($AM$3:$AM$201,$M250)&gt;0,
    COUNTIFS($AN$3:$AN$201,$M250)&gt;0,
    COUNTIFS($AO$3:$AO$201,$M250)&gt;0,
    COUNTIFS($AP$3:$AP$201,$M250)&gt;0,
    COUNTIFS($AQ$3:$AQ$201,$M250)&gt;0,
    COUNTIFS($AR$3:$AR$201,$M250)&gt;0,
    COUNTIFS($AS$3:$AS$201,$M250)&gt;0,
    COUNTIFS($AT$3:$AT$201,$M250)&gt;0,
    COUNTIFS($AU$3:$AU$201,$M250)&gt;0,
    COUNTIFS($AV$3:$AV$201,$M250)&gt;0,
    COUNTIFS($AW$3:$AW$201,$M250)&gt;0
   ),
  0)
 ),
"")</f>
        <v>Alela</v>
      </c>
      <c r="P250" s="3" t="str" cm="1">
        <f t="array" aca="1" ref="P250" ca="1">IFERROR(
 INDEX(
  _xlfn._xlws.FILTER($T$2:$AW$2,
   TRANSPOSE(
    CHOOSE({1;2;3;4;5;6;7;8;9;10;11;12;13;14;15;16;17;18;19;20;21;22;23;24;25;26;27;28;29;30},
     COUNTIFS($T$3:$T$201,$M250)&gt;0,
     COUNTIFS($U$3:$U$201,$M250)&gt;0,
     COUNTIFS($V$3:$V$201,$M250)&gt;0,
     COUNTIFS($W$3:$W$201,$M250)&gt;0,
     COUNTIFS($X$3:$X$201,$M250)&gt;0,
     COUNTIFS($Y$3:$Y$201,$M250)&gt;0,
     COUNTIFS($Z$3:$Z$201,$M250)&gt;0,
     COUNTIFS($AA$3:$AA$201,$M250)&gt;0,
     COUNTIFS($AB$3:$AB$201,$M250)&gt;0,
     COUNTIFS($AC$3:$AC$201,$M250)&gt;0,
     COUNTIFS($AD$3:$AD$201,$M250)&gt;0,
     COUNTIFS($AE$3:$AE$201,$M250)&gt;0,
     COUNTIFS($AF$3:$AF$201,$M250)&gt;0,
     COUNTIFS($AG$3:$AG$201,$M250)&gt;0,
     COUNTIFS($AH$3:$AH$201,$M250)&gt;0,
     COUNTIFS($AI$3:$AI$201,$M250)&gt;0,
     COUNTIFS($AJ$3:$AJ$201,$M250)&gt;0,
     COUNTIFS($AK$3:$AK$201,$M250)&gt;0,
     COUNTIFS($AL$3:$AL$201,$M250)&gt;0,
     COUNTIFS($AM$3:$AM$201,$M250)&gt;0,
     COUNTIFS($AN$3:$AN$201,$M250)&gt;0,
     COUNTIFS($AO$3:$AO$201,$M250)&gt;0,
     COUNTIFS($AP$3:$AP$201,$M250)&gt;0,
     COUNTIFS($AQ$3:$AQ$201,$M250)&gt;0,
     COUNTIFS($AR$3:$AR$201,$M250)&gt;0,
     COUNTIFS($AS$3:$AS$201,$M250)&gt;0,
     COUNTIFS($AT$3:$AT$201,$M250)&gt;0,
     COUNTIFS($AU$3:$AU$201,$M250)&gt;0,
     COUNTIFS($AV$3:$AV$201,$M250)&gt;0,
     COUNTIFS($AW$3:$AW$201,$M250)&gt;0
   )),
  ),
  2
 ),
"")</f>
        <v/>
      </c>
      <c r="Q250" s="3" t="str" cm="1">
        <f t="array" aca="1" ref="Q250" ca="1">IFERROR(
 INDEX(
  _xlfn._xlws.FILTER($T$2:$AW$2,
   TRANSPOSE(
    CHOOSE({1;2;3;4;5;6;7;8;9;10;11;12;13;14;15;16;17;18;19;20;21;22;23;24;25;26;27;28;29;30},
     COUNTIFS($T$3:$T$201,$M250)&gt;0,
     COUNTIFS($U$3:$U$201,$M250)&gt;0,
     COUNTIFS($V$3:$V$201,$M250)&gt;0,
     COUNTIFS($W$3:$W$201,$M250)&gt;0,
     COUNTIFS($X$3:$X$201,$M250)&gt;0,
     COUNTIFS($Y$3:$Y$201,$M250)&gt;0,
     COUNTIFS($Z$3:$Z$201,$M250)&gt;0,
     COUNTIFS($AA$3:$AA$201,$M250)&gt;0,
     COUNTIFS($AB$3:$AB$201,$M250)&gt;0,
     COUNTIFS($AC$3:$AC$201,$M250)&gt;0,
     COUNTIFS($AD$3:$AD$201,$M250)&gt;0,
     COUNTIFS($AE$3:$AE$201,$M250)&gt;0,
     COUNTIFS($AF$3:$AF$201,$M250)&gt;0,
     COUNTIFS($AG$3:$AG$201,$M250)&gt;0,
     COUNTIFS($AH$3:$AH$201,$M250)&gt;0,
     COUNTIFS($AI$3:$AI$201,$M250)&gt;0,
     COUNTIFS($AJ$3:$AJ$201,$M250)&gt;0,
     COUNTIFS($AK$3:$AK$201,$M250)&gt;0,
     COUNTIFS($AL$3:$AL$201,$M250)&gt;0,
     COUNTIFS($AM$3:$AM$201,$M250)&gt;0,
     COUNTIFS($AN$3:$AN$201,$M250)&gt;0,
     COUNTIFS($AO$3:$AO$201,$M250)&gt;0,
     COUNTIFS($AP$3:$AP$201,$M250)&gt;0,
     COUNTIFS($AQ$3:$AQ$201,$M250)&gt;0,
     COUNTIFS($AR$3:$AR$201,$M250)&gt;0,
     COUNTIFS($AS$3:$AS$201,$M250)&gt;0,
     COUNTIFS($AT$3:$AT$201,$M250)&gt;0,
     COUNTIFS($AU$3:$AU$201,$M250)&gt;0,
     COUNTIFS($AV$3:$AV$201,$M250)&gt;0,
     COUNTIFS($AW$3:$AW$201,$M250)&gt;0
   )),
  ),
  3
 ),
"")</f>
        <v/>
      </c>
      <c r="R250" s="3" t="str" cm="1">
        <f t="array" aca="1" ref="R250" ca="1">IFERROR(
 INDEX(
  _xlfn._xlws.FILTER($T$2:$AW$2,
   TRANSPOSE(
    CHOOSE({1;2;3;4;5;6;7;8;9;10;11;12;13;14;15;16;17;18;19;20;21;22;23;24;25;26;27;28;29;30},
     COUNTIFS($T$3:$T$201,$M250)&gt;0,
     COUNTIFS($U$3:$U$201,$M250)&gt;0,
     COUNTIFS($V$3:$V$201,$M250)&gt;0,
     COUNTIFS($W$3:$W$201,$M250)&gt;0,
     COUNTIFS($X$3:$X$201,$M250)&gt;0,
     COUNTIFS($Y$3:$Y$201,$M250)&gt;0,
     COUNTIFS($Z$3:$Z$201,$M250)&gt;0,
     COUNTIFS($AA$3:$AA$201,$M250)&gt;0,
     COUNTIFS($AB$3:$AB$201,$M250)&gt;0,
     COUNTIFS($AC$3:$AC$201,$M250)&gt;0,
     COUNTIFS($AD$3:$AD$201,$M250)&gt;0,
     COUNTIFS($AE$3:$AE$201,$M250)&gt;0,
     COUNTIFS($AF$3:$AF$201,$M250)&gt;0,
     COUNTIFS($AG$3:$AG$201,$M250)&gt;0,
     COUNTIFS($AH$3:$AH$201,$M250)&gt;0,
     COUNTIFS($AI$3:$AI$201,$M250)&gt;0,
     COUNTIFS($AJ$3:$AJ$201,$M250)&gt;0,
     COUNTIFS($AK$3:$AK$201,$M250)&gt;0,
     COUNTIFS($AL$3:$AL$201,$M250)&gt;0,
     COUNTIFS($AM$3:$AM$201,$M250)&gt;0,
     COUNTIFS($AN$3:$AN$201,$M250)&gt;0,
     COUNTIFS($AO$3:$AO$201,$M250)&gt;0,
     COUNTIFS($AP$3:$AP$201,$M250)&gt;0,
     COUNTIFS($AQ$3:$AQ$201,$M250)&gt;0,
     COUNTIFS($AR$3:$AR$201,$M250)&gt;0,
     COUNTIFS($AS$3:$AS$201,$M250)&gt;0,
     COUNTIFS($AT$3:$AT$201,$M250)&gt;0,
     COUNTIFS($AU$3:$AU$201,$M250)&gt;0,
     COUNTIFS($AV$3:$AV$201,$M250)&gt;0,
     COUNTIFS($AW$3:$AW$201,$M250)&gt;0
   )),
  ),
  4
 ),
"")</f>
        <v/>
      </c>
      <c r="CI250" t="str">
        <f ca="1"/>
        <v>The Immortal Sun</v>
      </c>
    </row>
    <row r="251" spans="1:87" x14ac:dyDescent="0.25">
      <c r="A251" t="str">
        <f ca="1"/>
        <v>Sol Ring</v>
      </c>
      <c r="B251" s="3" t="str" cm="1">
        <f t="array" aca="1" ref="B251" ca="1">_xlfn.ANCHORARRAY(RESUMO!C250)</f>
        <v>Narset</v>
      </c>
      <c r="C251" s="3" t="str">
        <f t="shared" ca="1" si="12"/>
        <v/>
      </c>
      <c r="E251" t="str">
        <f ca="1"/>
        <v>Thirst for Knowledge</v>
      </c>
      <c r="F251" s="3">
        <f t="shared" ca="1" si="13"/>
        <v>1</v>
      </c>
      <c r="G251" s="3" t="str">
        <f t="shared" ca="1" si="14"/>
        <v>Rielle</v>
      </c>
      <c r="M251" t="str">
        <f ca="1"/>
        <v>Thirst for Knowledge</v>
      </c>
      <c r="N251" s="3">
        <f t="shared" ca="1" si="15"/>
        <v>1</v>
      </c>
      <c r="O251" s="3" t="str">
        <f ca="1">IFERROR(
 INDEX($T$2:$AW$2,
  MATCH(TRUE,
   CHOOSE({1;2;3;4;5;6;7;8;9;10;11;12;13;14;15;16;17;18;19;20;21;22;23;24;25;26;27;28;29;30;31;32},
    COUNTIFS($T$3:$T$201,$M251)&gt;0,
    COUNTIFS($U$3:$U$201,$M251)&gt;0,
    COUNTIFS($V$3:$V$201,$M251)&gt;0,
    COUNTIFS($W$3:$W$201,$M251)&gt;0,
    COUNTIFS($X$3:$X$201,$M251)&gt;0,
    COUNTIFS($Y$3:$Y$201,$M251)&gt;0,
    COUNTIFS($Z$3:$Z$201,$M251)&gt;0,
    COUNTIFS($AA$3:$AA$201,$M251)&gt;0,
    COUNTIFS($AB$3:$AB$201,$M251)&gt;0,
    COUNTIFS($AC$3:$AC$201,$M251)&gt;0,
    COUNTIFS($AD$3:$AD$201,$M251)&gt;0,
    COUNTIFS($AE$3:$AE$201,$M251)&gt;0,
    COUNTIFS($AF$3:$AF$201,$M251)&gt;0,
    COUNTIFS($AG$3:$AG$201,$M251)&gt;0,
    COUNTIFS($AH$3:$AH$201,$M251)&gt;0,
    COUNTIFS($AI$3:$AI$201,$M251)&gt;0,
    COUNTIFS($AJ$3:$AJ$201,$M251)&gt;0,
    COUNTIFS($AK$3:$AK$201,$M251)&gt;0,
    COUNTIFS($AL$3:$AL$201,$M251)&gt;0,
    COUNTIFS($AM$3:$AM$201,$M251)&gt;0,
    COUNTIFS($AN$3:$AN$201,$M251)&gt;0,
    COUNTIFS($AO$3:$AO$201,$M251)&gt;0,
    COUNTIFS($AP$3:$AP$201,$M251)&gt;0,
    COUNTIFS($AQ$3:$AQ$201,$M251)&gt;0,
    COUNTIFS($AR$3:$AR$201,$M251)&gt;0,
    COUNTIFS($AS$3:$AS$201,$M251)&gt;0,
    COUNTIFS($AT$3:$AT$201,$M251)&gt;0,
    COUNTIFS($AU$3:$AU$201,$M251)&gt;0,
    COUNTIFS($AV$3:$AV$201,$M251)&gt;0,
    COUNTIFS($AW$3:$AW$201,$M251)&gt;0
   ),
  0)
 ),
"")</f>
        <v>Rielle</v>
      </c>
      <c r="P251" s="3" t="str" cm="1">
        <f t="array" aca="1" ref="P251" ca="1">IFERROR(
 INDEX(
  _xlfn._xlws.FILTER($T$2:$AW$2,
   TRANSPOSE(
    CHOOSE({1;2;3;4;5;6;7;8;9;10;11;12;13;14;15;16;17;18;19;20;21;22;23;24;25;26;27;28;29;30},
     COUNTIFS($T$3:$T$201,$M251)&gt;0,
     COUNTIFS($U$3:$U$201,$M251)&gt;0,
     COUNTIFS($V$3:$V$201,$M251)&gt;0,
     COUNTIFS($W$3:$W$201,$M251)&gt;0,
     COUNTIFS($X$3:$X$201,$M251)&gt;0,
     COUNTIFS($Y$3:$Y$201,$M251)&gt;0,
     COUNTIFS($Z$3:$Z$201,$M251)&gt;0,
     COUNTIFS($AA$3:$AA$201,$M251)&gt;0,
     COUNTIFS($AB$3:$AB$201,$M251)&gt;0,
     COUNTIFS($AC$3:$AC$201,$M251)&gt;0,
     COUNTIFS($AD$3:$AD$201,$M251)&gt;0,
     COUNTIFS($AE$3:$AE$201,$M251)&gt;0,
     COUNTIFS($AF$3:$AF$201,$M251)&gt;0,
     COUNTIFS($AG$3:$AG$201,$M251)&gt;0,
     COUNTIFS($AH$3:$AH$201,$M251)&gt;0,
     COUNTIFS($AI$3:$AI$201,$M251)&gt;0,
     COUNTIFS($AJ$3:$AJ$201,$M251)&gt;0,
     COUNTIFS($AK$3:$AK$201,$M251)&gt;0,
     COUNTIFS($AL$3:$AL$201,$M251)&gt;0,
     COUNTIFS($AM$3:$AM$201,$M251)&gt;0,
     COUNTIFS($AN$3:$AN$201,$M251)&gt;0,
     COUNTIFS($AO$3:$AO$201,$M251)&gt;0,
     COUNTIFS($AP$3:$AP$201,$M251)&gt;0,
     COUNTIFS($AQ$3:$AQ$201,$M251)&gt;0,
     COUNTIFS($AR$3:$AR$201,$M251)&gt;0,
     COUNTIFS($AS$3:$AS$201,$M251)&gt;0,
     COUNTIFS($AT$3:$AT$201,$M251)&gt;0,
     COUNTIFS($AU$3:$AU$201,$M251)&gt;0,
     COUNTIFS($AV$3:$AV$201,$M251)&gt;0,
     COUNTIFS($AW$3:$AW$201,$M251)&gt;0
   )),
  ),
  2
 ),
"")</f>
        <v/>
      </c>
      <c r="Q251" s="3" t="str" cm="1">
        <f t="array" aca="1" ref="Q251" ca="1">IFERROR(
 INDEX(
  _xlfn._xlws.FILTER($T$2:$AW$2,
   TRANSPOSE(
    CHOOSE({1;2;3;4;5;6;7;8;9;10;11;12;13;14;15;16;17;18;19;20;21;22;23;24;25;26;27;28;29;30},
     COUNTIFS($T$3:$T$201,$M251)&gt;0,
     COUNTIFS($U$3:$U$201,$M251)&gt;0,
     COUNTIFS($V$3:$V$201,$M251)&gt;0,
     COUNTIFS($W$3:$W$201,$M251)&gt;0,
     COUNTIFS($X$3:$X$201,$M251)&gt;0,
     COUNTIFS($Y$3:$Y$201,$M251)&gt;0,
     COUNTIFS($Z$3:$Z$201,$M251)&gt;0,
     COUNTIFS($AA$3:$AA$201,$M251)&gt;0,
     COUNTIFS($AB$3:$AB$201,$M251)&gt;0,
     COUNTIFS($AC$3:$AC$201,$M251)&gt;0,
     COUNTIFS($AD$3:$AD$201,$M251)&gt;0,
     COUNTIFS($AE$3:$AE$201,$M251)&gt;0,
     COUNTIFS($AF$3:$AF$201,$M251)&gt;0,
     COUNTIFS($AG$3:$AG$201,$M251)&gt;0,
     COUNTIFS($AH$3:$AH$201,$M251)&gt;0,
     COUNTIFS($AI$3:$AI$201,$M251)&gt;0,
     COUNTIFS($AJ$3:$AJ$201,$M251)&gt;0,
     COUNTIFS($AK$3:$AK$201,$M251)&gt;0,
     COUNTIFS($AL$3:$AL$201,$M251)&gt;0,
     COUNTIFS($AM$3:$AM$201,$M251)&gt;0,
     COUNTIFS($AN$3:$AN$201,$M251)&gt;0,
     COUNTIFS($AO$3:$AO$201,$M251)&gt;0,
     COUNTIFS($AP$3:$AP$201,$M251)&gt;0,
     COUNTIFS($AQ$3:$AQ$201,$M251)&gt;0,
     COUNTIFS($AR$3:$AR$201,$M251)&gt;0,
     COUNTIFS($AS$3:$AS$201,$M251)&gt;0,
     COUNTIFS($AT$3:$AT$201,$M251)&gt;0,
     COUNTIFS($AU$3:$AU$201,$M251)&gt;0,
     COUNTIFS($AV$3:$AV$201,$M251)&gt;0,
     COUNTIFS($AW$3:$AW$201,$M251)&gt;0
   )),
  ),
  3
 ),
"")</f>
        <v/>
      </c>
      <c r="R251" s="3" t="str" cm="1">
        <f t="array" aca="1" ref="R251" ca="1">IFERROR(
 INDEX(
  _xlfn._xlws.FILTER($T$2:$AW$2,
   TRANSPOSE(
    CHOOSE({1;2;3;4;5;6;7;8;9;10;11;12;13;14;15;16;17;18;19;20;21;22;23;24;25;26;27;28;29;30},
     COUNTIFS($T$3:$T$201,$M251)&gt;0,
     COUNTIFS($U$3:$U$201,$M251)&gt;0,
     COUNTIFS($V$3:$V$201,$M251)&gt;0,
     COUNTIFS($W$3:$W$201,$M251)&gt;0,
     COUNTIFS($X$3:$X$201,$M251)&gt;0,
     COUNTIFS($Y$3:$Y$201,$M251)&gt;0,
     COUNTIFS($Z$3:$Z$201,$M251)&gt;0,
     COUNTIFS($AA$3:$AA$201,$M251)&gt;0,
     COUNTIFS($AB$3:$AB$201,$M251)&gt;0,
     COUNTIFS($AC$3:$AC$201,$M251)&gt;0,
     COUNTIFS($AD$3:$AD$201,$M251)&gt;0,
     COUNTIFS($AE$3:$AE$201,$M251)&gt;0,
     COUNTIFS($AF$3:$AF$201,$M251)&gt;0,
     COUNTIFS($AG$3:$AG$201,$M251)&gt;0,
     COUNTIFS($AH$3:$AH$201,$M251)&gt;0,
     COUNTIFS($AI$3:$AI$201,$M251)&gt;0,
     COUNTIFS($AJ$3:$AJ$201,$M251)&gt;0,
     COUNTIFS($AK$3:$AK$201,$M251)&gt;0,
     COUNTIFS($AL$3:$AL$201,$M251)&gt;0,
     COUNTIFS($AM$3:$AM$201,$M251)&gt;0,
     COUNTIFS($AN$3:$AN$201,$M251)&gt;0,
     COUNTIFS($AO$3:$AO$201,$M251)&gt;0,
     COUNTIFS($AP$3:$AP$201,$M251)&gt;0,
     COUNTIFS($AQ$3:$AQ$201,$M251)&gt;0,
     COUNTIFS($AR$3:$AR$201,$M251)&gt;0,
     COUNTIFS($AS$3:$AS$201,$M251)&gt;0,
     COUNTIFS($AT$3:$AT$201,$M251)&gt;0,
     COUNTIFS($AU$3:$AU$201,$M251)&gt;0,
     COUNTIFS($AV$3:$AV$201,$M251)&gt;0,
     COUNTIFS($AW$3:$AW$201,$M251)&gt;0
   )),
  ),
  4
 ),
"")</f>
        <v/>
      </c>
      <c r="CI251" t="str">
        <f ca="1"/>
        <v>Thirst for Knowledge</v>
      </c>
    </row>
    <row r="252" spans="1:87" x14ac:dyDescent="0.25">
      <c r="A252" t="str">
        <f ca="1"/>
        <v>Song of Freyalise</v>
      </c>
      <c r="B252" s="3" t="str" cm="1">
        <f t="array" aca="1" ref="B252" ca="1">_xlfn.ANCHORARRAY(RESUMO!C251)</f>
        <v>Tayam</v>
      </c>
      <c r="C252" s="3" t="str">
        <f t="shared" ca="1" si="12"/>
        <v/>
      </c>
      <c r="E252" t="str">
        <f ca="1"/>
        <v>Thran Temporal Gateway</v>
      </c>
      <c r="F252" s="3">
        <f t="shared" ca="1" si="13"/>
        <v>1</v>
      </c>
      <c r="G252" s="3" t="str">
        <f t="shared" ca="1" si="14"/>
        <v>Muzzio</v>
      </c>
      <c r="M252" t="str">
        <f ca="1"/>
        <v>Thran Temporal Gateway</v>
      </c>
      <c r="N252" s="3">
        <f t="shared" ca="1" si="15"/>
        <v>1</v>
      </c>
      <c r="O252" s="3" t="str">
        <f ca="1">IFERROR(
 INDEX($T$2:$AW$2,
  MATCH(TRUE,
   CHOOSE({1;2;3;4;5;6;7;8;9;10;11;12;13;14;15;16;17;18;19;20;21;22;23;24;25;26;27;28;29;30;31;32},
    COUNTIFS($T$3:$T$201,$M252)&gt;0,
    COUNTIFS($U$3:$U$201,$M252)&gt;0,
    COUNTIFS($V$3:$V$201,$M252)&gt;0,
    COUNTIFS($W$3:$W$201,$M252)&gt;0,
    COUNTIFS($X$3:$X$201,$M252)&gt;0,
    COUNTIFS($Y$3:$Y$201,$M252)&gt;0,
    COUNTIFS($Z$3:$Z$201,$M252)&gt;0,
    COUNTIFS($AA$3:$AA$201,$M252)&gt;0,
    COUNTIFS($AB$3:$AB$201,$M252)&gt;0,
    COUNTIFS($AC$3:$AC$201,$M252)&gt;0,
    COUNTIFS($AD$3:$AD$201,$M252)&gt;0,
    COUNTIFS($AE$3:$AE$201,$M252)&gt;0,
    COUNTIFS($AF$3:$AF$201,$M252)&gt;0,
    COUNTIFS($AG$3:$AG$201,$M252)&gt;0,
    COUNTIFS($AH$3:$AH$201,$M252)&gt;0,
    COUNTIFS($AI$3:$AI$201,$M252)&gt;0,
    COUNTIFS($AJ$3:$AJ$201,$M252)&gt;0,
    COUNTIFS($AK$3:$AK$201,$M252)&gt;0,
    COUNTIFS($AL$3:$AL$201,$M252)&gt;0,
    COUNTIFS($AM$3:$AM$201,$M252)&gt;0,
    COUNTIFS($AN$3:$AN$201,$M252)&gt;0,
    COUNTIFS($AO$3:$AO$201,$M252)&gt;0,
    COUNTIFS($AP$3:$AP$201,$M252)&gt;0,
    COUNTIFS($AQ$3:$AQ$201,$M252)&gt;0,
    COUNTIFS($AR$3:$AR$201,$M252)&gt;0,
    COUNTIFS($AS$3:$AS$201,$M252)&gt;0,
    COUNTIFS($AT$3:$AT$201,$M252)&gt;0,
    COUNTIFS($AU$3:$AU$201,$M252)&gt;0,
    COUNTIFS($AV$3:$AV$201,$M252)&gt;0,
    COUNTIFS($AW$3:$AW$201,$M252)&gt;0
   ),
  0)
 ),
"")</f>
        <v>Muzzio</v>
      </c>
      <c r="P252" s="3" t="str" cm="1">
        <f t="array" aca="1" ref="P252" ca="1">IFERROR(
 INDEX(
  _xlfn._xlws.FILTER($T$2:$AW$2,
   TRANSPOSE(
    CHOOSE({1;2;3;4;5;6;7;8;9;10;11;12;13;14;15;16;17;18;19;20;21;22;23;24;25;26;27;28;29;30},
     COUNTIFS($T$3:$T$201,$M252)&gt;0,
     COUNTIFS($U$3:$U$201,$M252)&gt;0,
     COUNTIFS($V$3:$V$201,$M252)&gt;0,
     COUNTIFS($W$3:$W$201,$M252)&gt;0,
     COUNTIFS($X$3:$X$201,$M252)&gt;0,
     COUNTIFS($Y$3:$Y$201,$M252)&gt;0,
     COUNTIFS($Z$3:$Z$201,$M252)&gt;0,
     COUNTIFS($AA$3:$AA$201,$M252)&gt;0,
     COUNTIFS($AB$3:$AB$201,$M252)&gt;0,
     COUNTIFS($AC$3:$AC$201,$M252)&gt;0,
     COUNTIFS($AD$3:$AD$201,$M252)&gt;0,
     COUNTIFS($AE$3:$AE$201,$M252)&gt;0,
     COUNTIFS($AF$3:$AF$201,$M252)&gt;0,
     COUNTIFS($AG$3:$AG$201,$M252)&gt;0,
     COUNTIFS($AH$3:$AH$201,$M252)&gt;0,
     COUNTIFS($AI$3:$AI$201,$M252)&gt;0,
     COUNTIFS($AJ$3:$AJ$201,$M252)&gt;0,
     COUNTIFS($AK$3:$AK$201,$M252)&gt;0,
     COUNTIFS($AL$3:$AL$201,$M252)&gt;0,
     COUNTIFS($AM$3:$AM$201,$M252)&gt;0,
     COUNTIFS($AN$3:$AN$201,$M252)&gt;0,
     COUNTIFS($AO$3:$AO$201,$M252)&gt;0,
     COUNTIFS($AP$3:$AP$201,$M252)&gt;0,
     COUNTIFS($AQ$3:$AQ$201,$M252)&gt;0,
     COUNTIFS($AR$3:$AR$201,$M252)&gt;0,
     COUNTIFS($AS$3:$AS$201,$M252)&gt;0,
     COUNTIFS($AT$3:$AT$201,$M252)&gt;0,
     COUNTIFS($AU$3:$AU$201,$M252)&gt;0,
     COUNTIFS($AV$3:$AV$201,$M252)&gt;0,
     COUNTIFS($AW$3:$AW$201,$M252)&gt;0
   )),
  ),
  2
 ),
"")</f>
        <v/>
      </c>
      <c r="Q252" s="3" t="str" cm="1">
        <f t="array" aca="1" ref="Q252" ca="1">IFERROR(
 INDEX(
  _xlfn._xlws.FILTER($T$2:$AW$2,
   TRANSPOSE(
    CHOOSE({1;2;3;4;5;6;7;8;9;10;11;12;13;14;15;16;17;18;19;20;21;22;23;24;25;26;27;28;29;30},
     COUNTIFS($T$3:$T$201,$M252)&gt;0,
     COUNTIFS($U$3:$U$201,$M252)&gt;0,
     COUNTIFS($V$3:$V$201,$M252)&gt;0,
     COUNTIFS($W$3:$W$201,$M252)&gt;0,
     COUNTIFS($X$3:$X$201,$M252)&gt;0,
     COUNTIFS($Y$3:$Y$201,$M252)&gt;0,
     COUNTIFS($Z$3:$Z$201,$M252)&gt;0,
     COUNTIFS($AA$3:$AA$201,$M252)&gt;0,
     COUNTIFS($AB$3:$AB$201,$M252)&gt;0,
     COUNTIFS($AC$3:$AC$201,$M252)&gt;0,
     COUNTIFS($AD$3:$AD$201,$M252)&gt;0,
     COUNTIFS($AE$3:$AE$201,$M252)&gt;0,
     COUNTIFS($AF$3:$AF$201,$M252)&gt;0,
     COUNTIFS($AG$3:$AG$201,$M252)&gt;0,
     COUNTIFS($AH$3:$AH$201,$M252)&gt;0,
     COUNTIFS($AI$3:$AI$201,$M252)&gt;0,
     COUNTIFS($AJ$3:$AJ$201,$M252)&gt;0,
     COUNTIFS($AK$3:$AK$201,$M252)&gt;0,
     COUNTIFS($AL$3:$AL$201,$M252)&gt;0,
     COUNTIFS($AM$3:$AM$201,$M252)&gt;0,
     COUNTIFS($AN$3:$AN$201,$M252)&gt;0,
     COUNTIFS($AO$3:$AO$201,$M252)&gt;0,
     COUNTIFS($AP$3:$AP$201,$M252)&gt;0,
     COUNTIFS($AQ$3:$AQ$201,$M252)&gt;0,
     COUNTIFS($AR$3:$AR$201,$M252)&gt;0,
     COUNTIFS($AS$3:$AS$201,$M252)&gt;0,
     COUNTIFS($AT$3:$AT$201,$M252)&gt;0,
     COUNTIFS($AU$3:$AU$201,$M252)&gt;0,
     COUNTIFS($AV$3:$AV$201,$M252)&gt;0,
     COUNTIFS($AW$3:$AW$201,$M252)&gt;0
   )),
  ),
  3
 ),
"")</f>
        <v/>
      </c>
      <c r="R252" s="3" t="str" cm="1">
        <f t="array" aca="1" ref="R252" ca="1">IFERROR(
 INDEX(
  _xlfn._xlws.FILTER($T$2:$AW$2,
   TRANSPOSE(
    CHOOSE({1;2;3;4;5;6;7;8;9;10;11;12;13;14;15;16;17;18;19;20;21;22;23;24;25;26;27;28;29;30},
     COUNTIFS($T$3:$T$201,$M252)&gt;0,
     COUNTIFS($U$3:$U$201,$M252)&gt;0,
     COUNTIFS($V$3:$V$201,$M252)&gt;0,
     COUNTIFS($W$3:$W$201,$M252)&gt;0,
     COUNTIFS($X$3:$X$201,$M252)&gt;0,
     COUNTIFS($Y$3:$Y$201,$M252)&gt;0,
     COUNTIFS($Z$3:$Z$201,$M252)&gt;0,
     COUNTIFS($AA$3:$AA$201,$M252)&gt;0,
     COUNTIFS($AB$3:$AB$201,$M252)&gt;0,
     COUNTIFS($AC$3:$AC$201,$M252)&gt;0,
     COUNTIFS($AD$3:$AD$201,$M252)&gt;0,
     COUNTIFS($AE$3:$AE$201,$M252)&gt;0,
     COUNTIFS($AF$3:$AF$201,$M252)&gt;0,
     COUNTIFS($AG$3:$AG$201,$M252)&gt;0,
     COUNTIFS($AH$3:$AH$201,$M252)&gt;0,
     COUNTIFS($AI$3:$AI$201,$M252)&gt;0,
     COUNTIFS($AJ$3:$AJ$201,$M252)&gt;0,
     COUNTIFS($AK$3:$AK$201,$M252)&gt;0,
     COUNTIFS($AL$3:$AL$201,$M252)&gt;0,
     COUNTIFS($AM$3:$AM$201,$M252)&gt;0,
     COUNTIFS($AN$3:$AN$201,$M252)&gt;0,
     COUNTIFS($AO$3:$AO$201,$M252)&gt;0,
     COUNTIFS($AP$3:$AP$201,$M252)&gt;0,
     COUNTIFS($AQ$3:$AQ$201,$M252)&gt;0,
     COUNTIFS($AR$3:$AR$201,$M252)&gt;0,
     COUNTIFS($AS$3:$AS$201,$M252)&gt;0,
     COUNTIFS($AT$3:$AT$201,$M252)&gt;0,
     COUNTIFS($AU$3:$AU$201,$M252)&gt;0,
     COUNTIFS($AV$3:$AV$201,$M252)&gt;0,
     COUNTIFS($AW$3:$AW$201,$M252)&gt;0
   )),
  ),
  4
 ),
"")</f>
        <v/>
      </c>
      <c r="CI252" t="str">
        <f ca="1"/>
        <v>Thran Temporal Gateway</v>
      </c>
    </row>
    <row r="253" spans="1:87" x14ac:dyDescent="0.25">
      <c r="A253" t="str">
        <f ca="1"/>
        <v>Sonic Screwdriver</v>
      </c>
      <c r="B253" s="3" t="str" cm="1">
        <f t="array" aca="1" ref="B253" ca="1">_xlfn.ANCHORARRAY(RESUMO!C252)</f>
        <v>Muzzio</v>
      </c>
      <c r="C253" s="3" t="str">
        <f t="shared" ca="1" si="12"/>
        <v/>
      </c>
      <c r="E253" t="str">
        <f ca="1"/>
        <v>Thrilling Discovery</v>
      </c>
      <c r="F253" s="3">
        <f t="shared" ca="1" si="13"/>
        <v>1</v>
      </c>
      <c r="G253" s="3" t="str">
        <f t="shared" ca="1" si="14"/>
        <v>Narset</v>
      </c>
      <c r="M253" t="str">
        <f ca="1"/>
        <v>Thrilling Discovery</v>
      </c>
      <c r="N253" s="3">
        <f t="shared" ca="1" si="15"/>
        <v>1</v>
      </c>
      <c r="O253" s="3" t="str">
        <f ca="1">IFERROR(
 INDEX($T$2:$AW$2,
  MATCH(TRUE,
   CHOOSE({1;2;3;4;5;6;7;8;9;10;11;12;13;14;15;16;17;18;19;20;21;22;23;24;25;26;27;28;29;30;31;32},
    COUNTIFS($T$3:$T$201,$M253)&gt;0,
    COUNTIFS($U$3:$U$201,$M253)&gt;0,
    COUNTIFS($V$3:$V$201,$M253)&gt;0,
    COUNTIFS($W$3:$W$201,$M253)&gt;0,
    COUNTIFS($X$3:$X$201,$M253)&gt;0,
    COUNTIFS($Y$3:$Y$201,$M253)&gt;0,
    COUNTIFS($Z$3:$Z$201,$M253)&gt;0,
    COUNTIFS($AA$3:$AA$201,$M253)&gt;0,
    COUNTIFS($AB$3:$AB$201,$M253)&gt;0,
    COUNTIFS($AC$3:$AC$201,$M253)&gt;0,
    COUNTIFS($AD$3:$AD$201,$M253)&gt;0,
    COUNTIFS($AE$3:$AE$201,$M253)&gt;0,
    COUNTIFS($AF$3:$AF$201,$M253)&gt;0,
    COUNTIFS($AG$3:$AG$201,$M253)&gt;0,
    COUNTIFS($AH$3:$AH$201,$M253)&gt;0,
    COUNTIFS($AI$3:$AI$201,$M253)&gt;0,
    COUNTIFS($AJ$3:$AJ$201,$M253)&gt;0,
    COUNTIFS($AK$3:$AK$201,$M253)&gt;0,
    COUNTIFS($AL$3:$AL$201,$M253)&gt;0,
    COUNTIFS($AM$3:$AM$201,$M253)&gt;0,
    COUNTIFS($AN$3:$AN$201,$M253)&gt;0,
    COUNTIFS($AO$3:$AO$201,$M253)&gt;0,
    COUNTIFS($AP$3:$AP$201,$M253)&gt;0,
    COUNTIFS($AQ$3:$AQ$201,$M253)&gt;0,
    COUNTIFS($AR$3:$AR$201,$M253)&gt;0,
    COUNTIFS($AS$3:$AS$201,$M253)&gt;0,
    COUNTIFS($AT$3:$AT$201,$M253)&gt;0,
    COUNTIFS($AU$3:$AU$201,$M253)&gt;0,
    COUNTIFS($AV$3:$AV$201,$M253)&gt;0,
    COUNTIFS($AW$3:$AW$201,$M253)&gt;0
   ),
  0)
 ),
"")</f>
        <v>Narset</v>
      </c>
      <c r="P253" s="3" t="str" cm="1">
        <f t="array" aca="1" ref="P253" ca="1">IFERROR(
 INDEX(
  _xlfn._xlws.FILTER($T$2:$AW$2,
   TRANSPOSE(
    CHOOSE({1;2;3;4;5;6;7;8;9;10;11;12;13;14;15;16;17;18;19;20;21;22;23;24;25;26;27;28;29;30},
     COUNTIFS($T$3:$T$201,$M253)&gt;0,
     COUNTIFS($U$3:$U$201,$M253)&gt;0,
     COUNTIFS($V$3:$V$201,$M253)&gt;0,
     COUNTIFS($W$3:$W$201,$M253)&gt;0,
     COUNTIFS($X$3:$X$201,$M253)&gt;0,
     COUNTIFS($Y$3:$Y$201,$M253)&gt;0,
     COUNTIFS($Z$3:$Z$201,$M253)&gt;0,
     COUNTIFS($AA$3:$AA$201,$M253)&gt;0,
     COUNTIFS($AB$3:$AB$201,$M253)&gt;0,
     COUNTIFS($AC$3:$AC$201,$M253)&gt;0,
     COUNTIFS($AD$3:$AD$201,$M253)&gt;0,
     COUNTIFS($AE$3:$AE$201,$M253)&gt;0,
     COUNTIFS($AF$3:$AF$201,$M253)&gt;0,
     COUNTIFS($AG$3:$AG$201,$M253)&gt;0,
     COUNTIFS($AH$3:$AH$201,$M253)&gt;0,
     COUNTIFS($AI$3:$AI$201,$M253)&gt;0,
     COUNTIFS($AJ$3:$AJ$201,$M253)&gt;0,
     COUNTIFS($AK$3:$AK$201,$M253)&gt;0,
     COUNTIFS($AL$3:$AL$201,$M253)&gt;0,
     COUNTIFS($AM$3:$AM$201,$M253)&gt;0,
     COUNTIFS($AN$3:$AN$201,$M253)&gt;0,
     COUNTIFS($AO$3:$AO$201,$M253)&gt;0,
     COUNTIFS($AP$3:$AP$201,$M253)&gt;0,
     COUNTIFS($AQ$3:$AQ$201,$M253)&gt;0,
     COUNTIFS($AR$3:$AR$201,$M253)&gt;0,
     COUNTIFS($AS$3:$AS$201,$M253)&gt;0,
     COUNTIFS($AT$3:$AT$201,$M253)&gt;0,
     COUNTIFS($AU$3:$AU$201,$M253)&gt;0,
     COUNTIFS($AV$3:$AV$201,$M253)&gt;0,
     COUNTIFS($AW$3:$AW$201,$M253)&gt;0
   )),
  ),
  2
 ),
"")</f>
        <v/>
      </c>
      <c r="Q253" s="3" t="str" cm="1">
        <f t="array" aca="1" ref="Q253" ca="1">IFERROR(
 INDEX(
  _xlfn._xlws.FILTER($T$2:$AW$2,
   TRANSPOSE(
    CHOOSE({1;2;3;4;5;6;7;8;9;10;11;12;13;14;15;16;17;18;19;20;21;22;23;24;25;26;27;28;29;30},
     COUNTIFS($T$3:$T$201,$M253)&gt;0,
     COUNTIFS($U$3:$U$201,$M253)&gt;0,
     COUNTIFS($V$3:$V$201,$M253)&gt;0,
     COUNTIFS($W$3:$W$201,$M253)&gt;0,
     COUNTIFS($X$3:$X$201,$M253)&gt;0,
     COUNTIFS($Y$3:$Y$201,$M253)&gt;0,
     COUNTIFS($Z$3:$Z$201,$M253)&gt;0,
     COUNTIFS($AA$3:$AA$201,$M253)&gt;0,
     COUNTIFS($AB$3:$AB$201,$M253)&gt;0,
     COUNTIFS($AC$3:$AC$201,$M253)&gt;0,
     COUNTIFS($AD$3:$AD$201,$M253)&gt;0,
     COUNTIFS($AE$3:$AE$201,$M253)&gt;0,
     COUNTIFS($AF$3:$AF$201,$M253)&gt;0,
     COUNTIFS($AG$3:$AG$201,$M253)&gt;0,
     COUNTIFS($AH$3:$AH$201,$M253)&gt;0,
     COUNTIFS($AI$3:$AI$201,$M253)&gt;0,
     COUNTIFS($AJ$3:$AJ$201,$M253)&gt;0,
     COUNTIFS($AK$3:$AK$201,$M253)&gt;0,
     COUNTIFS($AL$3:$AL$201,$M253)&gt;0,
     COUNTIFS($AM$3:$AM$201,$M253)&gt;0,
     COUNTIFS($AN$3:$AN$201,$M253)&gt;0,
     COUNTIFS($AO$3:$AO$201,$M253)&gt;0,
     COUNTIFS($AP$3:$AP$201,$M253)&gt;0,
     COUNTIFS($AQ$3:$AQ$201,$M253)&gt;0,
     COUNTIFS($AR$3:$AR$201,$M253)&gt;0,
     COUNTIFS($AS$3:$AS$201,$M253)&gt;0,
     COUNTIFS($AT$3:$AT$201,$M253)&gt;0,
     COUNTIFS($AU$3:$AU$201,$M253)&gt;0,
     COUNTIFS($AV$3:$AV$201,$M253)&gt;0,
     COUNTIFS($AW$3:$AW$201,$M253)&gt;0
   )),
  ),
  3
 ),
"")</f>
        <v/>
      </c>
      <c r="R253" s="3" t="str" cm="1">
        <f t="array" aca="1" ref="R253" ca="1">IFERROR(
 INDEX(
  _xlfn._xlws.FILTER($T$2:$AW$2,
   TRANSPOSE(
    CHOOSE({1;2;3;4;5;6;7;8;9;10;11;12;13;14;15;16;17;18;19;20;21;22;23;24;25;26;27;28;29;30},
     COUNTIFS($T$3:$T$201,$M253)&gt;0,
     COUNTIFS($U$3:$U$201,$M253)&gt;0,
     COUNTIFS($V$3:$V$201,$M253)&gt;0,
     COUNTIFS($W$3:$W$201,$M253)&gt;0,
     COUNTIFS($X$3:$X$201,$M253)&gt;0,
     COUNTIFS($Y$3:$Y$201,$M253)&gt;0,
     COUNTIFS($Z$3:$Z$201,$M253)&gt;0,
     COUNTIFS($AA$3:$AA$201,$M253)&gt;0,
     COUNTIFS($AB$3:$AB$201,$M253)&gt;0,
     COUNTIFS($AC$3:$AC$201,$M253)&gt;0,
     COUNTIFS($AD$3:$AD$201,$M253)&gt;0,
     COUNTIFS($AE$3:$AE$201,$M253)&gt;0,
     COUNTIFS($AF$3:$AF$201,$M253)&gt;0,
     COUNTIFS($AG$3:$AG$201,$M253)&gt;0,
     COUNTIFS($AH$3:$AH$201,$M253)&gt;0,
     COUNTIFS($AI$3:$AI$201,$M253)&gt;0,
     COUNTIFS($AJ$3:$AJ$201,$M253)&gt;0,
     COUNTIFS($AK$3:$AK$201,$M253)&gt;0,
     COUNTIFS($AL$3:$AL$201,$M253)&gt;0,
     COUNTIFS($AM$3:$AM$201,$M253)&gt;0,
     COUNTIFS($AN$3:$AN$201,$M253)&gt;0,
     COUNTIFS($AO$3:$AO$201,$M253)&gt;0,
     COUNTIFS($AP$3:$AP$201,$M253)&gt;0,
     COUNTIFS($AQ$3:$AQ$201,$M253)&gt;0,
     COUNTIFS($AR$3:$AR$201,$M253)&gt;0,
     COUNTIFS($AS$3:$AS$201,$M253)&gt;0,
     COUNTIFS($AT$3:$AT$201,$M253)&gt;0,
     COUNTIFS($AU$3:$AU$201,$M253)&gt;0,
     COUNTIFS($AV$3:$AV$201,$M253)&gt;0,
     COUNTIFS($AW$3:$AW$201,$M253)&gt;0
   )),
  ),
  4
 ),
"")</f>
        <v/>
      </c>
      <c r="CI253" t="str">
        <f ca="1"/>
        <v>Thrilling Discovery</v>
      </c>
    </row>
    <row r="254" spans="1:87" x14ac:dyDescent="0.25">
      <c r="A254" t="str">
        <f ca="1"/>
        <v>Sothera, the Supervoid</v>
      </c>
      <c r="B254" s="3" t="str" cm="1">
        <f t="array" aca="1" ref="B254" ca="1">_xlfn.ANCHORARRAY(RESUMO!C253)</f>
        <v>Zimone</v>
      </c>
      <c r="C254" s="3" t="str">
        <f t="shared" ca="1" si="12"/>
        <v/>
      </c>
      <c r="E254" t="str">
        <f ca="1"/>
        <v>Titanic Ultimatum</v>
      </c>
      <c r="F254" s="3">
        <f t="shared" ca="1" si="13"/>
        <v>1</v>
      </c>
      <c r="G254" s="3" t="str">
        <f t="shared" ca="1" si="14"/>
        <v>Baylen</v>
      </c>
      <c r="M254" t="str">
        <f ca="1"/>
        <v>Titanic Ultimatum</v>
      </c>
      <c r="N254" s="3">
        <f t="shared" ca="1" si="15"/>
        <v>1</v>
      </c>
      <c r="O254" s="3" t="str">
        <f ca="1">IFERROR(
 INDEX($T$2:$AW$2,
  MATCH(TRUE,
   CHOOSE({1;2;3;4;5;6;7;8;9;10;11;12;13;14;15;16;17;18;19;20;21;22;23;24;25;26;27;28;29;30;31;32},
    COUNTIFS($T$3:$T$201,$M254)&gt;0,
    COUNTIFS($U$3:$U$201,$M254)&gt;0,
    COUNTIFS($V$3:$V$201,$M254)&gt;0,
    COUNTIFS($W$3:$W$201,$M254)&gt;0,
    COUNTIFS($X$3:$X$201,$M254)&gt;0,
    COUNTIFS($Y$3:$Y$201,$M254)&gt;0,
    COUNTIFS($Z$3:$Z$201,$M254)&gt;0,
    COUNTIFS($AA$3:$AA$201,$M254)&gt;0,
    COUNTIFS($AB$3:$AB$201,$M254)&gt;0,
    COUNTIFS($AC$3:$AC$201,$M254)&gt;0,
    COUNTIFS($AD$3:$AD$201,$M254)&gt;0,
    COUNTIFS($AE$3:$AE$201,$M254)&gt;0,
    COUNTIFS($AF$3:$AF$201,$M254)&gt;0,
    COUNTIFS($AG$3:$AG$201,$M254)&gt;0,
    COUNTIFS($AH$3:$AH$201,$M254)&gt;0,
    COUNTIFS($AI$3:$AI$201,$M254)&gt;0,
    COUNTIFS($AJ$3:$AJ$201,$M254)&gt;0,
    COUNTIFS($AK$3:$AK$201,$M254)&gt;0,
    COUNTIFS($AL$3:$AL$201,$M254)&gt;0,
    COUNTIFS($AM$3:$AM$201,$M254)&gt;0,
    COUNTIFS($AN$3:$AN$201,$M254)&gt;0,
    COUNTIFS($AO$3:$AO$201,$M254)&gt;0,
    COUNTIFS($AP$3:$AP$201,$M254)&gt;0,
    COUNTIFS($AQ$3:$AQ$201,$M254)&gt;0,
    COUNTIFS($AR$3:$AR$201,$M254)&gt;0,
    COUNTIFS($AS$3:$AS$201,$M254)&gt;0,
    COUNTIFS($AT$3:$AT$201,$M254)&gt;0,
    COUNTIFS($AU$3:$AU$201,$M254)&gt;0,
    COUNTIFS($AV$3:$AV$201,$M254)&gt;0,
    COUNTIFS($AW$3:$AW$201,$M254)&gt;0
   ),
  0)
 ),
"")</f>
        <v>Baylen</v>
      </c>
      <c r="P254" s="3" t="str" cm="1">
        <f t="array" aca="1" ref="P254" ca="1">IFERROR(
 INDEX(
  _xlfn._xlws.FILTER($T$2:$AW$2,
   TRANSPOSE(
    CHOOSE({1;2;3;4;5;6;7;8;9;10;11;12;13;14;15;16;17;18;19;20;21;22;23;24;25;26;27;28;29;30},
     COUNTIFS($T$3:$T$201,$M254)&gt;0,
     COUNTIFS($U$3:$U$201,$M254)&gt;0,
     COUNTIFS($V$3:$V$201,$M254)&gt;0,
     COUNTIFS($W$3:$W$201,$M254)&gt;0,
     COUNTIFS($X$3:$X$201,$M254)&gt;0,
     COUNTIFS($Y$3:$Y$201,$M254)&gt;0,
     COUNTIFS($Z$3:$Z$201,$M254)&gt;0,
     COUNTIFS($AA$3:$AA$201,$M254)&gt;0,
     COUNTIFS($AB$3:$AB$201,$M254)&gt;0,
     COUNTIFS($AC$3:$AC$201,$M254)&gt;0,
     COUNTIFS($AD$3:$AD$201,$M254)&gt;0,
     COUNTIFS($AE$3:$AE$201,$M254)&gt;0,
     COUNTIFS($AF$3:$AF$201,$M254)&gt;0,
     COUNTIFS($AG$3:$AG$201,$M254)&gt;0,
     COUNTIFS($AH$3:$AH$201,$M254)&gt;0,
     COUNTIFS($AI$3:$AI$201,$M254)&gt;0,
     COUNTIFS($AJ$3:$AJ$201,$M254)&gt;0,
     COUNTIFS($AK$3:$AK$201,$M254)&gt;0,
     COUNTIFS($AL$3:$AL$201,$M254)&gt;0,
     COUNTIFS($AM$3:$AM$201,$M254)&gt;0,
     COUNTIFS($AN$3:$AN$201,$M254)&gt;0,
     COUNTIFS($AO$3:$AO$201,$M254)&gt;0,
     COUNTIFS($AP$3:$AP$201,$M254)&gt;0,
     COUNTIFS($AQ$3:$AQ$201,$M254)&gt;0,
     COUNTIFS($AR$3:$AR$201,$M254)&gt;0,
     COUNTIFS($AS$3:$AS$201,$M254)&gt;0,
     COUNTIFS($AT$3:$AT$201,$M254)&gt;0,
     COUNTIFS($AU$3:$AU$201,$M254)&gt;0,
     COUNTIFS($AV$3:$AV$201,$M254)&gt;0,
     COUNTIFS($AW$3:$AW$201,$M254)&gt;0
   )),
  ),
  2
 ),
"")</f>
        <v/>
      </c>
      <c r="Q254" s="3" t="str" cm="1">
        <f t="array" aca="1" ref="Q254" ca="1">IFERROR(
 INDEX(
  _xlfn._xlws.FILTER($T$2:$AW$2,
   TRANSPOSE(
    CHOOSE({1;2;3;4;5;6;7;8;9;10;11;12;13;14;15;16;17;18;19;20;21;22;23;24;25;26;27;28;29;30},
     COUNTIFS($T$3:$T$201,$M254)&gt;0,
     COUNTIFS($U$3:$U$201,$M254)&gt;0,
     COUNTIFS($V$3:$V$201,$M254)&gt;0,
     COUNTIFS($W$3:$W$201,$M254)&gt;0,
     COUNTIFS($X$3:$X$201,$M254)&gt;0,
     COUNTIFS($Y$3:$Y$201,$M254)&gt;0,
     COUNTIFS($Z$3:$Z$201,$M254)&gt;0,
     COUNTIFS($AA$3:$AA$201,$M254)&gt;0,
     COUNTIFS($AB$3:$AB$201,$M254)&gt;0,
     COUNTIFS($AC$3:$AC$201,$M254)&gt;0,
     COUNTIFS($AD$3:$AD$201,$M254)&gt;0,
     COUNTIFS($AE$3:$AE$201,$M254)&gt;0,
     COUNTIFS($AF$3:$AF$201,$M254)&gt;0,
     COUNTIFS($AG$3:$AG$201,$M254)&gt;0,
     COUNTIFS($AH$3:$AH$201,$M254)&gt;0,
     COUNTIFS($AI$3:$AI$201,$M254)&gt;0,
     COUNTIFS($AJ$3:$AJ$201,$M254)&gt;0,
     COUNTIFS($AK$3:$AK$201,$M254)&gt;0,
     COUNTIFS($AL$3:$AL$201,$M254)&gt;0,
     COUNTIFS($AM$3:$AM$201,$M254)&gt;0,
     COUNTIFS($AN$3:$AN$201,$M254)&gt;0,
     COUNTIFS($AO$3:$AO$201,$M254)&gt;0,
     COUNTIFS($AP$3:$AP$201,$M254)&gt;0,
     COUNTIFS($AQ$3:$AQ$201,$M254)&gt;0,
     COUNTIFS($AR$3:$AR$201,$M254)&gt;0,
     COUNTIFS($AS$3:$AS$201,$M254)&gt;0,
     COUNTIFS($AT$3:$AT$201,$M254)&gt;0,
     COUNTIFS($AU$3:$AU$201,$M254)&gt;0,
     COUNTIFS($AV$3:$AV$201,$M254)&gt;0,
     COUNTIFS($AW$3:$AW$201,$M254)&gt;0
   )),
  ),
  3
 ),
"")</f>
        <v/>
      </c>
      <c r="R254" s="3" t="str" cm="1">
        <f t="array" aca="1" ref="R254" ca="1">IFERROR(
 INDEX(
  _xlfn._xlws.FILTER($T$2:$AW$2,
   TRANSPOSE(
    CHOOSE({1;2;3;4;5;6;7;8;9;10;11;12;13;14;15;16;17;18;19;20;21;22;23;24;25;26;27;28;29;30},
     COUNTIFS($T$3:$T$201,$M254)&gt;0,
     COUNTIFS($U$3:$U$201,$M254)&gt;0,
     COUNTIFS($V$3:$V$201,$M254)&gt;0,
     COUNTIFS($W$3:$W$201,$M254)&gt;0,
     COUNTIFS($X$3:$X$201,$M254)&gt;0,
     COUNTIFS($Y$3:$Y$201,$M254)&gt;0,
     COUNTIFS($Z$3:$Z$201,$M254)&gt;0,
     COUNTIFS($AA$3:$AA$201,$M254)&gt;0,
     COUNTIFS($AB$3:$AB$201,$M254)&gt;0,
     COUNTIFS($AC$3:$AC$201,$M254)&gt;0,
     COUNTIFS($AD$3:$AD$201,$M254)&gt;0,
     COUNTIFS($AE$3:$AE$201,$M254)&gt;0,
     COUNTIFS($AF$3:$AF$201,$M254)&gt;0,
     COUNTIFS($AG$3:$AG$201,$M254)&gt;0,
     COUNTIFS($AH$3:$AH$201,$M254)&gt;0,
     COUNTIFS($AI$3:$AI$201,$M254)&gt;0,
     COUNTIFS($AJ$3:$AJ$201,$M254)&gt;0,
     COUNTIFS($AK$3:$AK$201,$M254)&gt;0,
     COUNTIFS($AL$3:$AL$201,$M254)&gt;0,
     COUNTIFS($AM$3:$AM$201,$M254)&gt;0,
     COUNTIFS($AN$3:$AN$201,$M254)&gt;0,
     COUNTIFS($AO$3:$AO$201,$M254)&gt;0,
     COUNTIFS($AP$3:$AP$201,$M254)&gt;0,
     COUNTIFS($AQ$3:$AQ$201,$M254)&gt;0,
     COUNTIFS($AR$3:$AR$201,$M254)&gt;0,
     COUNTIFS($AS$3:$AS$201,$M254)&gt;0,
     COUNTIFS($AT$3:$AT$201,$M254)&gt;0,
     COUNTIFS($AU$3:$AU$201,$M254)&gt;0,
     COUNTIFS($AV$3:$AV$201,$M254)&gt;0,
     COUNTIFS($AW$3:$AW$201,$M254)&gt;0
   )),
  ),
  4
 ),
"")</f>
        <v/>
      </c>
      <c r="CI254" t="str">
        <f ca="1"/>
        <v>Titanic Ultimatum</v>
      </c>
    </row>
    <row r="255" spans="1:87" x14ac:dyDescent="0.25">
      <c r="A255" t="str">
        <f ca="1"/>
        <v>Spectator Seating</v>
      </c>
      <c r="B255" s="3" t="str" cm="1">
        <f t="array" aca="1" ref="B255" ca="1">_xlfn.ANCHORARRAY(RESUMO!C254)</f>
        <v>Narset</v>
      </c>
      <c r="C255" s="3" t="str">
        <f t="shared" ca="1" si="12"/>
        <v/>
      </c>
      <c r="E255" t="str">
        <f ca="1"/>
        <v>Tocasia's Welcome</v>
      </c>
      <c r="F255" s="3">
        <f t="shared" ca="1" si="13"/>
        <v>1</v>
      </c>
      <c r="G255" s="3" t="str">
        <f t="shared" ca="1" si="14"/>
        <v>Carlos</v>
      </c>
      <c r="M255" t="str">
        <f ca="1"/>
        <v>Tocasia's Welcome</v>
      </c>
      <c r="N255" s="3">
        <f t="shared" ca="1" si="15"/>
        <v>1</v>
      </c>
      <c r="O255" s="3" t="str">
        <f ca="1">IFERROR(
 INDEX($T$2:$AW$2,
  MATCH(TRUE,
   CHOOSE({1;2;3;4;5;6;7;8;9;10;11;12;13;14;15;16;17;18;19;20;21;22;23;24;25;26;27;28;29;30;31;32},
    COUNTIFS($T$3:$T$201,$M255)&gt;0,
    COUNTIFS($U$3:$U$201,$M255)&gt;0,
    COUNTIFS($V$3:$V$201,$M255)&gt;0,
    COUNTIFS($W$3:$W$201,$M255)&gt;0,
    COUNTIFS($X$3:$X$201,$M255)&gt;0,
    COUNTIFS($Y$3:$Y$201,$M255)&gt;0,
    COUNTIFS($Z$3:$Z$201,$M255)&gt;0,
    COUNTIFS($AA$3:$AA$201,$M255)&gt;0,
    COUNTIFS($AB$3:$AB$201,$M255)&gt;0,
    COUNTIFS($AC$3:$AC$201,$M255)&gt;0,
    COUNTIFS($AD$3:$AD$201,$M255)&gt;0,
    COUNTIFS($AE$3:$AE$201,$M255)&gt;0,
    COUNTIFS($AF$3:$AF$201,$M255)&gt;0,
    COUNTIFS($AG$3:$AG$201,$M255)&gt;0,
    COUNTIFS($AH$3:$AH$201,$M255)&gt;0,
    COUNTIFS($AI$3:$AI$201,$M255)&gt;0,
    COUNTIFS($AJ$3:$AJ$201,$M255)&gt;0,
    COUNTIFS($AK$3:$AK$201,$M255)&gt;0,
    COUNTIFS($AL$3:$AL$201,$M255)&gt;0,
    COUNTIFS($AM$3:$AM$201,$M255)&gt;0,
    COUNTIFS($AN$3:$AN$201,$M255)&gt;0,
    COUNTIFS($AO$3:$AO$201,$M255)&gt;0,
    COUNTIFS($AP$3:$AP$201,$M255)&gt;0,
    COUNTIFS($AQ$3:$AQ$201,$M255)&gt;0,
    COUNTIFS($AR$3:$AR$201,$M255)&gt;0,
    COUNTIFS($AS$3:$AS$201,$M255)&gt;0,
    COUNTIFS($AT$3:$AT$201,$M255)&gt;0,
    COUNTIFS($AU$3:$AU$201,$M255)&gt;0,
    COUNTIFS($AV$3:$AV$201,$M255)&gt;0,
    COUNTIFS($AW$3:$AW$201,$M255)&gt;0
   ),
  0)
 ),
"")</f>
        <v>Carlos</v>
      </c>
      <c r="P255" s="3" t="str" cm="1">
        <f t="array" aca="1" ref="P255" ca="1">IFERROR(
 INDEX(
  _xlfn._xlws.FILTER($T$2:$AW$2,
   TRANSPOSE(
    CHOOSE({1;2;3;4;5;6;7;8;9;10;11;12;13;14;15;16;17;18;19;20;21;22;23;24;25;26;27;28;29;30},
     COUNTIFS($T$3:$T$201,$M255)&gt;0,
     COUNTIFS($U$3:$U$201,$M255)&gt;0,
     COUNTIFS($V$3:$V$201,$M255)&gt;0,
     COUNTIFS($W$3:$W$201,$M255)&gt;0,
     COUNTIFS($X$3:$X$201,$M255)&gt;0,
     COUNTIFS($Y$3:$Y$201,$M255)&gt;0,
     COUNTIFS($Z$3:$Z$201,$M255)&gt;0,
     COUNTIFS($AA$3:$AA$201,$M255)&gt;0,
     COUNTIFS($AB$3:$AB$201,$M255)&gt;0,
     COUNTIFS($AC$3:$AC$201,$M255)&gt;0,
     COUNTIFS($AD$3:$AD$201,$M255)&gt;0,
     COUNTIFS($AE$3:$AE$201,$M255)&gt;0,
     COUNTIFS($AF$3:$AF$201,$M255)&gt;0,
     COUNTIFS($AG$3:$AG$201,$M255)&gt;0,
     COUNTIFS($AH$3:$AH$201,$M255)&gt;0,
     COUNTIFS($AI$3:$AI$201,$M255)&gt;0,
     COUNTIFS($AJ$3:$AJ$201,$M255)&gt;0,
     COUNTIFS($AK$3:$AK$201,$M255)&gt;0,
     COUNTIFS($AL$3:$AL$201,$M255)&gt;0,
     COUNTIFS($AM$3:$AM$201,$M255)&gt;0,
     COUNTIFS($AN$3:$AN$201,$M255)&gt;0,
     COUNTIFS($AO$3:$AO$201,$M255)&gt;0,
     COUNTIFS($AP$3:$AP$201,$M255)&gt;0,
     COUNTIFS($AQ$3:$AQ$201,$M255)&gt;0,
     COUNTIFS($AR$3:$AR$201,$M255)&gt;0,
     COUNTIFS($AS$3:$AS$201,$M255)&gt;0,
     COUNTIFS($AT$3:$AT$201,$M255)&gt;0,
     COUNTIFS($AU$3:$AU$201,$M255)&gt;0,
     COUNTIFS($AV$3:$AV$201,$M255)&gt;0,
     COUNTIFS($AW$3:$AW$201,$M255)&gt;0
   )),
  ),
  2
 ),
"")</f>
        <v/>
      </c>
      <c r="Q255" s="3" t="str" cm="1">
        <f t="array" aca="1" ref="Q255" ca="1">IFERROR(
 INDEX(
  _xlfn._xlws.FILTER($T$2:$AW$2,
   TRANSPOSE(
    CHOOSE({1;2;3;4;5;6;7;8;9;10;11;12;13;14;15;16;17;18;19;20;21;22;23;24;25;26;27;28;29;30},
     COUNTIFS($T$3:$T$201,$M255)&gt;0,
     COUNTIFS($U$3:$U$201,$M255)&gt;0,
     COUNTIFS($V$3:$V$201,$M255)&gt;0,
     COUNTIFS($W$3:$W$201,$M255)&gt;0,
     COUNTIFS($X$3:$X$201,$M255)&gt;0,
     COUNTIFS($Y$3:$Y$201,$M255)&gt;0,
     COUNTIFS($Z$3:$Z$201,$M255)&gt;0,
     COUNTIFS($AA$3:$AA$201,$M255)&gt;0,
     COUNTIFS($AB$3:$AB$201,$M255)&gt;0,
     COUNTIFS($AC$3:$AC$201,$M255)&gt;0,
     COUNTIFS($AD$3:$AD$201,$M255)&gt;0,
     COUNTIFS($AE$3:$AE$201,$M255)&gt;0,
     COUNTIFS($AF$3:$AF$201,$M255)&gt;0,
     COUNTIFS($AG$3:$AG$201,$M255)&gt;0,
     COUNTIFS($AH$3:$AH$201,$M255)&gt;0,
     COUNTIFS($AI$3:$AI$201,$M255)&gt;0,
     COUNTIFS($AJ$3:$AJ$201,$M255)&gt;0,
     COUNTIFS($AK$3:$AK$201,$M255)&gt;0,
     COUNTIFS($AL$3:$AL$201,$M255)&gt;0,
     COUNTIFS($AM$3:$AM$201,$M255)&gt;0,
     COUNTIFS($AN$3:$AN$201,$M255)&gt;0,
     COUNTIFS($AO$3:$AO$201,$M255)&gt;0,
     COUNTIFS($AP$3:$AP$201,$M255)&gt;0,
     COUNTIFS($AQ$3:$AQ$201,$M255)&gt;0,
     COUNTIFS($AR$3:$AR$201,$M255)&gt;0,
     COUNTIFS($AS$3:$AS$201,$M255)&gt;0,
     COUNTIFS($AT$3:$AT$201,$M255)&gt;0,
     COUNTIFS($AU$3:$AU$201,$M255)&gt;0,
     COUNTIFS($AV$3:$AV$201,$M255)&gt;0,
     COUNTIFS($AW$3:$AW$201,$M255)&gt;0
   )),
  ),
  3
 ),
"")</f>
        <v/>
      </c>
      <c r="R255" s="3" t="str" cm="1">
        <f t="array" aca="1" ref="R255" ca="1">IFERROR(
 INDEX(
  _xlfn._xlws.FILTER($T$2:$AW$2,
   TRANSPOSE(
    CHOOSE({1;2;3;4;5;6;7;8;9;10;11;12;13;14;15;16;17;18;19;20;21;22;23;24;25;26;27;28;29;30},
     COUNTIFS($T$3:$T$201,$M255)&gt;0,
     COUNTIFS($U$3:$U$201,$M255)&gt;0,
     COUNTIFS($V$3:$V$201,$M255)&gt;0,
     COUNTIFS($W$3:$W$201,$M255)&gt;0,
     COUNTIFS($X$3:$X$201,$M255)&gt;0,
     COUNTIFS($Y$3:$Y$201,$M255)&gt;0,
     COUNTIFS($Z$3:$Z$201,$M255)&gt;0,
     COUNTIFS($AA$3:$AA$201,$M255)&gt;0,
     COUNTIFS($AB$3:$AB$201,$M255)&gt;0,
     COUNTIFS($AC$3:$AC$201,$M255)&gt;0,
     COUNTIFS($AD$3:$AD$201,$M255)&gt;0,
     COUNTIFS($AE$3:$AE$201,$M255)&gt;0,
     COUNTIFS($AF$3:$AF$201,$M255)&gt;0,
     COUNTIFS($AG$3:$AG$201,$M255)&gt;0,
     COUNTIFS($AH$3:$AH$201,$M255)&gt;0,
     COUNTIFS($AI$3:$AI$201,$M255)&gt;0,
     COUNTIFS($AJ$3:$AJ$201,$M255)&gt;0,
     COUNTIFS($AK$3:$AK$201,$M255)&gt;0,
     COUNTIFS($AL$3:$AL$201,$M255)&gt;0,
     COUNTIFS($AM$3:$AM$201,$M255)&gt;0,
     COUNTIFS($AN$3:$AN$201,$M255)&gt;0,
     COUNTIFS($AO$3:$AO$201,$M255)&gt;0,
     COUNTIFS($AP$3:$AP$201,$M255)&gt;0,
     COUNTIFS($AQ$3:$AQ$201,$M255)&gt;0,
     COUNTIFS($AR$3:$AR$201,$M255)&gt;0,
     COUNTIFS($AS$3:$AS$201,$M255)&gt;0,
     COUNTIFS($AT$3:$AT$201,$M255)&gt;0,
     COUNTIFS($AU$3:$AU$201,$M255)&gt;0,
     COUNTIFS($AV$3:$AV$201,$M255)&gt;0,
     COUNTIFS($AW$3:$AW$201,$M255)&gt;0
   )),
  ),
  4
 ),
"")</f>
        <v/>
      </c>
      <c r="CI255" t="str">
        <f ca="1"/>
        <v>Tocasia's Welcome</v>
      </c>
    </row>
    <row r="256" spans="1:87" x14ac:dyDescent="0.25">
      <c r="A256" t="str">
        <f ca="1"/>
        <v>Sphere Grid</v>
      </c>
      <c r="B256" s="3" t="str" cm="1">
        <f t="array" aca="1" ref="B256" ca="1">_xlfn.ANCHORARRAY(RESUMO!C255)</f>
        <v>Tayam</v>
      </c>
      <c r="C256" s="3" t="str">
        <f t="shared" ca="1" si="12"/>
        <v/>
      </c>
      <c r="E256" t="str">
        <f ca="1"/>
        <v>Tought Vessel</v>
      </c>
      <c r="F256" s="3">
        <f t="shared" ca="1" si="13"/>
        <v>1</v>
      </c>
      <c r="G256" s="3" t="str">
        <f t="shared" ca="1" si="14"/>
        <v>Narset</v>
      </c>
      <c r="M256" t="str">
        <f ca="1"/>
        <v>Tought Vessel</v>
      </c>
      <c r="N256" s="3">
        <f t="shared" ca="1" si="15"/>
        <v>1</v>
      </c>
      <c r="O256" s="3" t="str">
        <f ca="1">IFERROR(
 INDEX($T$2:$AW$2,
  MATCH(TRUE,
   CHOOSE({1;2;3;4;5;6;7;8;9;10;11;12;13;14;15;16;17;18;19;20;21;22;23;24;25;26;27;28;29;30;31;32},
    COUNTIFS($T$3:$T$201,$M256)&gt;0,
    COUNTIFS($U$3:$U$201,$M256)&gt;0,
    COUNTIFS($V$3:$V$201,$M256)&gt;0,
    COUNTIFS($W$3:$W$201,$M256)&gt;0,
    COUNTIFS($X$3:$X$201,$M256)&gt;0,
    COUNTIFS($Y$3:$Y$201,$M256)&gt;0,
    COUNTIFS($Z$3:$Z$201,$M256)&gt;0,
    COUNTIFS($AA$3:$AA$201,$M256)&gt;0,
    COUNTIFS($AB$3:$AB$201,$M256)&gt;0,
    COUNTIFS($AC$3:$AC$201,$M256)&gt;0,
    COUNTIFS($AD$3:$AD$201,$M256)&gt;0,
    COUNTIFS($AE$3:$AE$201,$M256)&gt;0,
    COUNTIFS($AF$3:$AF$201,$M256)&gt;0,
    COUNTIFS($AG$3:$AG$201,$M256)&gt;0,
    COUNTIFS($AH$3:$AH$201,$M256)&gt;0,
    COUNTIFS($AI$3:$AI$201,$M256)&gt;0,
    COUNTIFS($AJ$3:$AJ$201,$M256)&gt;0,
    COUNTIFS($AK$3:$AK$201,$M256)&gt;0,
    COUNTIFS($AL$3:$AL$201,$M256)&gt;0,
    COUNTIFS($AM$3:$AM$201,$M256)&gt;0,
    COUNTIFS($AN$3:$AN$201,$M256)&gt;0,
    COUNTIFS($AO$3:$AO$201,$M256)&gt;0,
    COUNTIFS($AP$3:$AP$201,$M256)&gt;0,
    COUNTIFS($AQ$3:$AQ$201,$M256)&gt;0,
    COUNTIFS($AR$3:$AR$201,$M256)&gt;0,
    COUNTIFS($AS$3:$AS$201,$M256)&gt;0,
    COUNTIFS($AT$3:$AT$201,$M256)&gt;0,
    COUNTIFS($AU$3:$AU$201,$M256)&gt;0,
    COUNTIFS($AV$3:$AV$201,$M256)&gt;0,
    COUNTIFS($AW$3:$AW$201,$M256)&gt;0
   ),
  0)
 ),
"")</f>
        <v>Narset</v>
      </c>
      <c r="P256" s="3" t="str" cm="1">
        <f t="array" aca="1" ref="P256" ca="1">IFERROR(
 INDEX(
  _xlfn._xlws.FILTER($T$2:$AW$2,
   TRANSPOSE(
    CHOOSE({1;2;3;4;5;6;7;8;9;10;11;12;13;14;15;16;17;18;19;20;21;22;23;24;25;26;27;28;29;30},
     COUNTIFS($T$3:$T$201,$M256)&gt;0,
     COUNTIFS($U$3:$U$201,$M256)&gt;0,
     COUNTIFS($V$3:$V$201,$M256)&gt;0,
     COUNTIFS($W$3:$W$201,$M256)&gt;0,
     COUNTIFS($X$3:$X$201,$M256)&gt;0,
     COUNTIFS($Y$3:$Y$201,$M256)&gt;0,
     COUNTIFS($Z$3:$Z$201,$M256)&gt;0,
     COUNTIFS($AA$3:$AA$201,$M256)&gt;0,
     COUNTIFS($AB$3:$AB$201,$M256)&gt;0,
     COUNTIFS($AC$3:$AC$201,$M256)&gt;0,
     COUNTIFS($AD$3:$AD$201,$M256)&gt;0,
     COUNTIFS($AE$3:$AE$201,$M256)&gt;0,
     COUNTIFS($AF$3:$AF$201,$M256)&gt;0,
     COUNTIFS($AG$3:$AG$201,$M256)&gt;0,
     COUNTIFS($AH$3:$AH$201,$M256)&gt;0,
     COUNTIFS($AI$3:$AI$201,$M256)&gt;0,
     COUNTIFS($AJ$3:$AJ$201,$M256)&gt;0,
     COUNTIFS($AK$3:$AK$201,$M256)&gt;0,
     COUNTIFS($AL$3:$AL$201,$M256)&gt;0,
     COUNTIFS($AM$3:$AM$201,$M256)&gt;0,
     COUNTIFS($AN$3:$AN$201,$M256)&gt;0,
     COUNTIFS($AO$3:$AO$201,$M256)&gt;0,
     COUNTIFS($AP$3:$AP$201,$M256)&gt;0,
     COUNTIFS($AQ$3:$AQ$201,$M256)&gt;0,
     COUNTIFS($AR$3:$AR$201,$M256)&gt;0,
     COUNTIFS($AS$3:$AS$201,$M256)&gt;0,
     COUNTIFS($AT$3:$AT$201,$M256)&gt;0,
     COUNTIFS($AU$3:$AU$201,$M256)&gt;0,
     COUNTIFS($AV$3:$AV$201,$M256)&gt;0,
     COUNTIFS($AW$3:$AW$201,$M256)&gt;0
   )),
  ),
  2
 ),
"")</f>
        <v/>
      </c>
      <c r="Q256" s="3" t="str" cm="1">
        <f t="array" aca="1" ref="Q256" ca="1">IFERROR(
 INDEX(
  _xlfn._xlws.FILTER($T$2:$AW$2,
   TRANSPOSE(
    CHOOSE({1;2;3;4;5;6;7;8;9;10;11;12;13;14;15;16;17;18;19;20;21;22;23;24;25;26;27;28;29;30},
     COUNTIFS($T$3:$T$201,$M256)&gt;0,
     COUNTIFS($U$3:$U$201,$M256)&gt;0,
     COUNTIFS($V$3:$V$201,$M256)&gt;0,
     COUNTIFS($W$3:$W$201,$M256)&gt;0,
     COUNTIFS($X$3:$X$201,$M256)&gt;0,
     COUNTIFS($Y$3:$Y$201,$M256)&gt;0,
     COUNTIFS($Z$3:$Z$201,$M256)&gt;0,
     COUNTIFS($AA$3:$AA$201,$M256)&gt;0,
     COUNTIFS($AB$3:$AB$201,$M256)&gt;0,
     COUNTIFS($AC$3:$AC$201,$M256)&gt;0,
     COUNTIFS($AD$3:$AD$201,$M256)&gt;0,
     COUNTIFS($AE$3:$AE$201,$M256)&gt;0,
     COUNTIFS($AF$3:$AF$201,$M256)&gt;0,
     COUNTIFS($AG$3:$AG$201,$M256)&gt;0,
     COUNTIFS($AH$3:$AH$201,$M256)&gt;0,
     COUNTIFS($AI$3:$AI$201,$M256)&gt;0,
     COUNTIFS($AJ$3:$AJ$201,$M256)&gt;0,
     COUNTIFS($AK$3:$AK$201,$M256)&gt;0,
     COUNTIFS($AL$3:$AL$201,$M256)&gt;0,
     COUNTIFS($AM$3:$AM$201,$M256)&gt;0,
     COUNTIFS($AN$3:$AN$201,$M256)&gt;0,
     COUNTIFS($AO$3:$AO$201,$M256)&gt;0,
     COUNTIFS($AP$3:$AP$201,$M256)&gt;0,
     COUNTIFS($AQ$3:$AQ$201,$M256)&gt;0,
     COUNTIFS($AR$3:$AR$201,$M256)&gt;0,
     COUNTIFS($AS$3:$AS$201,$M256)&gt;0,
     COUNTIFS($AT$3:$AT$201,$M256)&gt;0,
     COUNTIFS($AU$3:$AU$201,$M256)&gt;0,
     COUNTIFS($AV$3:$AV$201,$M256)&gt;0,
     COUNTIFS($AW$3:$AW$201,$M256)&gt;0
   )),
  ),
  3
 ),
"")</f>
        <v/>
      </c>
      <c r="R256" s="3" t="str" cm="1">
        <f t="array" aca="1" ref="R256" ca="1">IFERROR(
 INDEX(
  _xlfn._xlws.FILTER($T$2:$AW$2,
   TRANSPOSE(
    CHOOSE({1;2;3;4;5;6;7;8;9;10;11;12;13;14;15;16;17;18;19;20;21;22;23;24;25;26;27;28;29;30},
     COUNTIFS($T$3:$T$201,$M256)&gt;0,
     COUNTIFS($U$3:$U$201,$M256)&gt;0,
     COUNTIFS($V$3:$V$201,$M256)&gt;0,
     COUNTIFS($W$3:$W$201,$M256)&gt;0,
     COUNTIFS($X$3:$X$201,$M256)&gt;0,
     COUNTIFS($Y$3:$Y$201,$M256)&gt;0,
     COUNTIFS($Z$3:$Z$201,$M256)&gt;0,
     COUNTIFS($AA$3:$AA$201,$M256)&gt;0,
     COUNTIFS($AB$3:$AB$201,$M256)&gt;0,
     COUNTIFS($AC$3:$AC$201,$M256)&gt;0,
     COUNTIFS($AD$3:$AD$201,$M256)&gt;0,
     COUNTIFS($AE$3:$AE$201,$M256)&gt;0,
     COUNTIFS($AF$3:$AF$201,$M256)&gt;0,
     COUNTIFS($AG$3:$AG$201,$M256)&gt;0,
     COUNTIFS($AH$3:$AH$201,$M256)&gt;0,
     COUNTIFS($AI$3:$AI$201,$M256)&gt;0,
     COUNTIFS($AJ$3:$AJ$201,$M256)&gt;0,
     COUNTIFS($AK$3:$AK$201,$M256)&gt;0,
     COUNTIFS($AL$3:$AL$201,$M256)&gt;0,
     COUNTIFS($AM$3:$AM$201,$M256)&gt;0,
     COUNTIFS($AN$3:$AN$201,$M256)&gt;0,
     COUNTIFS($AO$3:$AO$201,$M256)&gt;0,
     COUNTIFS($AP$3:$AP$201,$M256)&gt;0,
     COUNTIFS($AQ$3:$AQ$201,$M256)&gt;0,
     COUNTIFS($AR$3:$AR$201,$M256)&gt;0,
     COUNTIFS($AS$3:$AS$201,$M256)&gt;0,
     COUNTIFS($AT$3:$AT$201,$M256)&gt;0,
     COUNTIFS($AU$3:$AU$201,$M256)&gt;0,
     COUNTIFS($AV$3:$AV$201,$M256)&gt;0,
     COUNTIFS($AW$3:$AW$201,$M256)&gt;0
   )),
  ),
  4
 ),
"")</f>
        <v/>
      </c>
      <c r="CI256" t="str">
        <f ca="1"/>
        <v>Tought Vessel</v>
      </c>
    </row>
    <row r="257" spans="1:87" x14ac:dyDescent="0.25">
      <c r="A257" t="str">
        <f ca="1"/>
        <v>Stoneforge Mystic</v>
      </c>
      <c r="B257" s="3" t="str" cm="1">
        <f t="array" aca="1" ref="B257" ca="1">_xlfn.ANCHORARRAY(RESUMO!C256)</f>
        <v>Akiri</v>
      </c>
      <c r="C257" s="3" t="str">
        <f t="shared" ca="1" si="12"/>
        <v/>
      </c>
      <c r="E257" t="str">
        <f ca="1"/>
        <v>Transformações Divergentes</v>
      </c>
      <c r="F257" s="3">
        <f t="shared" ca="1" si="13"/>
        <v>1</v>
      </c>
      <c r="G257" s="3" t="str">
        <f t="shared" ca="1" si="14"/>
        <v>JhoiraB</v>
      </c>
      <c r="M257" t="str">
        <f ca="1"/>
        <v>Transformações Divergentes</v>
      </c>
      <c r="N257" s="3">
        <f t="shared" ca="1" si="15"/>
        <v>1</v>
      </c>
      <c r="O257" s="3" t="str">
        <f ca="1">IFERROR(
 INDEX($T$2:$AW$2,
  MATCH(TRUE,
   CHOOSE({1;2;3;4;5;6;7;8;9;10;11;12;13;14;15;16;17;18;19;20;21;22;23;24;25;26;27;28;29;30;31;32},
    COUNTIFS($T$3:$T$201,$M257)&gt;0,
    COUNTIFS($U$3:$U$201,$M257)&gt;0,
    COUNTIFS($V$3:$V$201,$M257)&gt;0,
    COUNTIFS($W$3:$W$201,$M257)&gt;0,
    COUNTIFS($X$3:$X$201,$M257)&gt;0,
    COUNTIFS($Y$3:$Y$201,$M257)&gt;0,
    COUNTIFS($Z$3:$Z$201,$M257)&gt;0,
    COUNTIFS($AA$3:$AA$201,$M257)&gt;0,
    COUNTIFS($AB$3:$AB$201,$M257)&gt;0,
    COUNTIFS($AC$3:$AC$201,$M257)&gt;0,
    COUNTIFS($AD$3:$AD$201,$M257)&gt;0,
    COUNTIFS($AE$3:$AE$201,$M257)&gt;0,
    COUNTIFS($AF$3:$AF$201,$M257)&gt;0,
    COUNTIFS($AG$3:$AG$201,$M257)&gt;0,
    COUNTIFS($AH$3:$AH$201,$M257)&gt;0,
    COUNTIFS($AI$3:$AI$201,$M257)&gt;0,
    COUNTIFS($AJ$3:$AJ$201,$M257)&gt;0,
    COUNTIFS($AK$3:$AK$201,$M257)&gt;0,
    COUNTIFS($AL$3:$AL$201,$M257)&gt;0,
    COUNTIFS($AM$3:$AM$201,$M257)&gt;0,
    COUNTIFS($AN$3:$AN$201,$M257)&gt;0,
    COUNTIFS($AO$3:$AO$201,$M257)&gt;0,
    COUNTIFS($AP$3:$AP$201,$M257)&gt;0,
    COUNTIFS($AQ$3:$AQ$201,$M257)&gt;0,
    COUNTIFS($AR$3:$AR$201,$M257)&gt;0,
    COUNTIFS($AS$3:$AS$201,$M257)&gt;0,
    COUNTIFS($AT$3:$AT$201,$M257)&gt;0,
    COUNTIFS($AU$3:$AU$201,$M257)&gt;0,
    COUNTIFS($AV$3:$AV$201,$M257)&gt;0,
    COUNTIFS($AW$3:$AW$201,$M257)&gt;0
   ),
  0)
 ),
"")</f>
        <v>JhoiraB</v>
      </c>
      <c r="P257" s="3" t="str" cm="1">
        <f t="array" aca="1" ref="P257" ca="1">IFERROR(
 INDEX(
  _xlfn._xlws.FILTER($T$2:$AW$2,
   TRANSPOSE(
    CHOOSE({1;2;3;4;5;6;7;8;9;10;11;12;13;14;15;16;17;18;19;20;21;22;23;24;25;26;27;28;29;30},
     COUNTIFS($T$3:$T$201,$M257)&gt;0,
     COUNTIFS($U$3:$U$201,$M257)&gt;0,
     COUNTIFS($V$3:$V$201,$M257)&gt;0,
     COUNTIFS($W$3:$W$201,$M257)&gt;0,
     COUNTIFS($X$3:$X$201,$M257)&gt;0,
     COUNTIFS($Y$3:$Y$201,$M257)&gt;0,
     COUNTIFS($Z$3:$Z$201,$M257)&gt;0,
     COUNTIFS($AA$3:$AA$201,$M257)&gt;0,
     COUNTIFS($AB$3:$AB$201,$M257)&gt;0,
     COUNTIFS($AC$3:$AC$201,$M257)&gt;0,
     COUNTIFS($AD$3:$AD$201,$M257)&gt;0,
     COUNTIFS($AE$3:$AE$201,$M257)&gt;0,
     COUNTIFS($AF$3:$AF$201,$M257)&gt;0,
     COUNTIFS($AG$3:$AG$201,$M257)&gt;0,
     COUNTIFS($AH$3:$AH$201,$M257)&gt;0,
     COUNTIFS($AI$3:$AI$201,$M257)&gt;0,
     COUNTIFS($AJ$3:$AJ$201,$M257)&gt;0,
     COUNTIFS($AK$3:$AK$201,$M257)&gt;0,
     COUNTIFS($AL$3:$AL$201,$M257)&gt;0,
     COUNTIFS($AM$3:$AM$201,$M257)&gt;0,
     COUNTIFS($AN$3:$AN$201,$M257)&gt;0,
     COUNTIFS($AO$3:$AO$201,$M257)&gt;0,
     COUNTIFS($AP$3:$AP$201,$M257)&gt;0,
     COUNTIFS($AQ$3:$AQ$201,$M257)&gt;0,
     COUNTIFS($AR$3:$AR$201,$M257)&gt;0,
     COUNTIFS($AS$3:$AS$201,$M257)&gt;0,
     COUNTIFS($AT$3:$AT$201,$M257)&gt;0,
     COUNTIFS($AU$3:$AU$201,$M257)&gt;0,
     COUNTIFS($AV$3:$AV$201,$M257)&gt;0,
     COUNTIFS($AW$3:$AW$201,$M257)&gt;0
   )),
  ),
  2
 ),
"")</f>
        <v/>
      </c>
      <c r="Q257" s="3" t="str" cm="1">
        <f t="array" aca="1" ref="Q257" ca="1">IFERROR(
 INDEX(
  _xlfn._xlws.FILTER($T$2:$AW$2,
   TRANSPOSE(
    CHOOSE({1;2;3;4;5;6;7;8;9;10;11;12;13;14;15;16;17;18;19;20;21;22;23;24;25;26;27;28;29;30},
     COUNTIFS($T$3:$T$201,$M257)&gt;0,
     COUNTIFS($U$3:$U$201,$M257)&gt;0,
     COUNTIFS($V$3:$V$201,$M257)&gt;0,
     COUNTIFS($W$3:$W$201,$M257)&gt;0,
     COUNTIFS($X$3:$X$201,$M257)&gt;0,
     COUNTIFS($Y$3:$Y$201,$M257)&gt;0,
     COUNTIFS($Z$3:$Z$201,$M257)&gt;0,
     COUNTIFS($AA$3:$AA$201,$M257)&gt;0,
     COUNTIFS($AB$3:$AB$201,$M257)&gt;0,
     COUNTIFS($AC$3:$AC$201,$M257)&gt;0,
     COUNTIFS($AD$3:$AD$201,$M257)&gt;0,
     COUNTIFS($AE$3:$AE$201,$M257)&gt;0,
     COUNTIFS($AF$3:$AF$201,$M257)&gt;0,
     COUNTIFS($AG$3:$AG$201,$M257)&gt;0,
     COUNTIFS($AH$3:$AH$201,$M257)&gt;0,
     COUNTIFS($AI$3:$AI$201,$M257)&gt;0,
     COUNTIFS($AJ$3:$AJ$201,$M257)&gt;0,
     COUNTIFS($AK$3:$AK$201,$M257)&gt;0,
     COUNTIFS($AL$3:$AL$201,$M257)&gt;0,
     COUNTIFS($AM$3:$AM$201,$M257)&gt;0,
     COUNTIFS($AN$3:$AN$201,$M257)&gt;0,
     COUNTIFS($AO$3:$AO$201,$M257)&gt;0,
     COUNTIFS($AP$3:$AP$201,$M257)&gt;0,
     COUNTIFS($AQ$3:$AQ$201,$M257)&gt;0,
     COUNTIFS($AR$3:$AR$201,$M257)&gt;0,
     COUNTIFS($AS$3:$AS$201,$M257)&gt;0,
     COUNTIFS($AT$3:$AT$201,$M257)&gt;0,
     COUNTIFS($AU$3:$AU$201,$M257)&gt;0,
     COUNTIFS($AV$3:$AV$201,$M257)&gt;0,
     COUNTIFS($AW$3:$AW$201,$M257)&gt;0
   )),
  ),
  3
 ),
"")</f>
        <v/>
      </c>
      <c r="R257" s="3" t="str" cm="1">
        <f t="array" aca="1" ref="R257" ca="1">IFERROR(
 INDEX(
  _xlfn._xlws.FILTER($T$2:$AW$2,
   TRANSPOSE(
    CHOOSE({1;2;3;4;5;6;7;8;9;10;11;12;13;14;15;16;17;18;19;20;21;22;23;24;25;26;27;28;29;30},
     COUNTIFS($T$3:$T$201,$M257)&gt;0,
     COUNTIFS($U$3:$U$201,$M257)&gt;0,
     COUNTIFS($V$3:$V$201,$M257)&gt;0,
     COUNTIFS($W$3:$W$201,$M257)&gt;0,
     COUNTIFS($X$3:$X$201,$M257)&gt;0,
     COUNTIFS($Y$3:$Y$201,$M257)&gt;0,
     COUNTIFS($Z$3:$Z$201,$M257)&gt;0,
     COUNTIFS($AA$3:$AA$201,$M257)&gt;0,
     COUNTIFS($AB$3:$AB$201,$M257)&gt;0,
     COUNTIFS($AC$3:$AC$201,$M257)&gt;0,
     COUNTIFS($AD$3:$AD$201,$M257)&gt;0,
     COUNTIFS($AE$3:$AE$201,$M257)&gt;0,
     COUNTIFS($AF$3:$AF$201,$M257)&gt;0,
     COUNTIFS($AG$3:$AG$201,$M257)&gt;0,
     COUNTIFS($AH$3:$AH$201,$M257)&gt;0,
     COUNTIFS($AI$3:$AI$201,$M257)&gt;0,
     COUNTIFS($AJ$3:$AJ$201,$M257)&gt;0,
     COUNTIFS($AK$3:$AK$201,$M257)&gt;0,
     COUNTIFS($AL$3:$AL$201,$M257)&gt;0,
     COUNTIFS($AM$3:$AM$201,$M257)&gt;0,
     COUNTIFS($AN$3:$AN$201,$M257)&gt;0,
     COUNTIFS($AO$3:$AO$201,$M257)&gt;0,
     COUNTIFS($AP$3:$AP$201,$M257)&gt;0,
     COUNTIFS($AQ$3:$AQ$201,$M257)&gt;0,
     COUNTIFS($AR$3:$AR$201,$M257)&gt;0,
     COUNTIFS($AS$3:$AS$201,$M257)&gt;0,
     COUNTIFS($AT$3:$AT$201,$M257)&gt;0,
     COUNTIFS($AU$3:$AU$201,$M257)&gt;0,
     COUNTIFS($AV$3:$AV$201,$M257)&gt;0,
     COUNTIFS($AW$3:$AW$201,$M257)&gt;0
   )),
  ),
  4
 ),
"")</f>
        <v/>
      </c>
      <c r="CI257" t="str">
        <f ca="1"/>
        <v>Transformações Divergentes</v>
      </c>
    </row>
    <row r="258" spans="1:87" x14ac:dyDescent="0.25">
      <c r="A258" t="str">
        <f ca="1"/>
        <v>Stonybrook Banneret</v>
      </c>
      <c r="B258" s="3" t="str" cm="1">
        <f t="array" aca="1" ref="B258" ca="1">_xlfn.ANCHORARRAY(RESUMO!C257)</f>
        <v>Kumena</v>
      </c>
      <c r="C258" s="3" t="str">
        <f t="shared" ca="1" si="12"/>
        <v/>
      </c>
      <c r="E258" t="str">
        <f ca="1"/>
        <v>Traumatize</v>
      </c>
      <c r="F258" s="3">
        <f t="shared" ca="1" si="13"/>
        <v>1</v>
      </c>
      <c r="G258" s="3" t="str">
        <f t="shared" ca="1" si="14"/>
        <v>Narset</v>
      </c>
      <c r="M258" t="str">
        <f ca="1"/>
        <v>Traumatize</v>
      </c>
      <c r="N258" s="3">
        <f t="shared" ca="1" si="15"/>
        <v>1</v>
      </c>
      <c r="O258" s="3" t="str">
        <f ca="1">IFERROR(
 INDEX($T$2:$AW$2,
  MATCH(TRUE,
   CHOOSE({1;2;3;4;5;6;7;8;9;10;11;12;13;14;15;16;17;18;19;20;21;22;23;24;25;26;27;28;29;30;31;32},
    COUNTIFS($T$3:$T$201,$M258)&gt;0,
    COUNTIFS($U$3:$U$201,$M258)&gt;0,
    COUNTIFS($V$3:$V$201,$M258)&gt;0,
    COUNTIFS($W$3:$W$201,$M258)&gt;0,
    COUNTIFS($X$3:$X$201,$M258)&gt;0,
    COUNTIFS($Y$3:$Y$201,$M258)&gt;0,
    COUNTIFS($Z$3:$Z$201,$M258)&gt;0,
    COUNTIFS($AA$3:$AA$201,$M258)&gt;0,
    COUNTIFS($AB$3:$AB$201,$M258)&gt;0,
    COUNTIFS($AC$3:$AC$201,$M258)&gt;0,
    COUNTIFS($AD$3:$AD$201,$M258)&gt;0,
    COUNTIFS($AE$3:$AE$201,$M258)&gt;0,
    COUNTIFS($AF$3:$AF$201,$M258)&gt;0,
    COUNTIFS($AG$3:$AG$201,$M258)&gt;0,
    COUNTIFS($AH$3:$AH$201,$M258)&gt;0,
    COUNTIFS($AI$3:$AI$201,$M258)&gt;0,
    COUNTIFS($AJ$3:$AJ$201,$M258)&gt;0,
    COUNTIFS($AK$3:$AK$201,$M258)&gt;0,
    COUNTIFS($AL$3:$AL$201,$M258)&gt;0,
    COUNTIFS($AM$3:$AM$201,$M258)&gt;0,
    COUNTIFS($AN$3:$AN$201,$M258)&gt;0,
    COUNTIFS($AO$3:$AO$201,$M258)&gt;0,
    COUNTIFS($AP$3:$AP$201,$M258)&gt;0,
    COUNTIFS($AQ$3:$AQ$201,$M258)&gt;0,
    COUNTIFS($AR$3:$AR$201,$M258)&gt;0,
    COUNTIFS($AS$3:$AS$201,$M258)&gt;0,
    COUNTIFS($AT$3:$AT$201,$M258)&gt;0,
    COUNTIFS($AU$3:$AU$201,$M258)&gt;0,
    COUNTIFS($AV$3:$AV$201,$M258)&gt;0,
    COUNTIFS($AW$3:$AW$201,$M258)&gt;0
   ),
  0)
 ),
"")</f>
        <v>Narset</v>
      </c>
      <c r="P258" s="3" t="str" cm="1">
        <f t="array" aca="1" ref="P258" ca="1">IFERROR(
 INDEX(
  _xlfn._xlws.FILTER($T$2:$AW$2,
   TRANSPOSE(
    CHOOSE({1;2;3;4;5;6;7;8;9;10;11;12;13;14;15;16;17;18;19;20;21;22;23;24;25;26;27;28;29;30},
     COUNTIFS($T$3:$T$201,$M258)&gt;0,
     COUNTIFS($U$3:$U$201,$M258)&gt;0,
     COUNTIFS($V$3:$V$201,$M258)&gt;0,
     COUNTIFS($W$3:$W$201,$M258)&gt;0,
     COUNTIFS($X$3:$X$201,$M258)&gt;0,
     COUNTIFS($Y$3:$Y$201,$M258)&gt;0,
     COUNTIFS($Z$3:$Z$201,$M258)&gt;0,
     COUNTIFS($AA$3:$AA$201,$M258)&gt;0,
     COUNTIFS($AB$3:$AB$201,$M258)&gt;0,
     COUNTIFS($AC$3:$AC$201,$M258)&gt;0,
     COUNTIFS($AD$3:$AD$201,$M258)&gt;0,
     COUNTIFS($AE$3:$AE$201,$M258)&gt;0,
     COUNTIFS($AF$3:$AF$201,$M258)&gt;0,
     COUNTIFS($AG$3:$AG$201,$M258)&gt;0,
     COUNTIFS($AH$3:$AH$201,$M258)&gt;0,
     COUNTIFS($AI$3:$AI$201,$M258)&gt;0,
     COUNTIFS($AJ$3:$AJ$201,$M258)&gt;0,
     COUNTIFS($AK$3:$AK$201,$M258)&gt;0,
     COUNTIFS($AL$3:$AL$201,$M258)&gt;0,
     COUNTIFS($AM$3:$AM$201,$M258)&gt;0,
     COUNTIFS($AN$3:$AN$201,$M258)&gt;0,
     COUNTIFS($AO$3:$AO$201,$M258)&gt;0,
     COUNTIFS($AP$3:$AP$201,$M258)&gt;0,
     COUNTIFS($AQ$3:$AQ$201,$M258)&gt;0,
     COUNTIFS($AR$3:$AR$201,$M258)&gt;0,
     COUNTIFS($AS$3:$AS$201,$M258)&gt;0,
     COUNTIFS($AT$3:$AT$201,$M258)&gt;0,
     COUNTIFS($AU$3:$AU$201,$M258)&gt;0,
     COUNTIFS($AV$3:$AV$201,$M258)&gt;0,
     COUNTIFS($AW$3:$AW$201,$M258)&gt;0
   )),
  ),
  2
 ),
"")</f>
        <v/>
      </c>
      <c r="Q258" s="3" t="str" cm="1">
        <f t="array" aca="1" ref="Q258" ca="1">IFERROR(
 INDEX(
  _xlfn._xlws.FILTER($T$2:$AW$2,
   TRANSPOSE(
    CHOOSE({1;2;3;4;5;6;7;8;9;10;11;12;13;14;15;16;17;18;19;20;21;22;23;24;25;26;27;28;29;30},
     COUNTIFS($T$3:$T$201,$M258)&gt;0,
     COUNTIFS($U$3:$U$201,$M258)&gt;0,
     COUNTIFS($V$3:$V$201,$M258)&gt;0,
     COUNTIFS($W$3:$W$201,$M258)&gt;0,
     COUNTIFS($X$3:$X$201,$M258)&gt;0,
     COUNTIFS($Y$3:$Y$201,$M258)&gt;0,
     COUNTIFS($Z$3:$Z$201,$M258)&gt;0,
     COUNTIFS($AA$3:$AA$201,$M258)&gt;0,
     COUNTIFS($AB$3:$AB$201,$M258)&gt;0,
     COUNTIFS($AC$3:$AC$201,$M258)&gt;0,
     COUNTIFS($AD$3:$AD$201,$M258)&gt;0,
     COUNTIFS($AE$3:$AE$201,$M258)&gt;0,
     COUNTIFS($AF$3:$AF$201,$M258)&gt;0,
     COUNTIFS($AG$3:$AG$201,$M258)&gt;0,
     COUNTIFS($AH$3:$AH$201,$M258)&gt;0,
     COUNTIFS($AI$3:$AI$201,$M258)&gt;0,
     COUNTIFS($AJ$3:$AJ$201,$M258)&gt;0,
     COUNTIFS($AK$3:$AK$201,$M258)&gt;0,
     COUNTIFS($AL$3:$AL$201,$M258)&gt;0,
     COUNTIFS($AM$3:$AM$201,$M258)&gt;0,
     COUNTIFS($AN$3:$AN$201,$M258)&gt;0,
     COUNTIFS($AO$3:$AO$201,$M258)&gt;0,
     COUNTIFS($AP$3:$AP$201,$M258)&gt;0,
     COUNTIFS($AQ$3:$AQ$201,$M258)&gt;0,
     COUNTIFS($AR$3:$AR$201,$M258)&gt;0,
     COUNTIFS($AS$3:$AS$201,$M258)&gt;0,
     COUNTIFS($AT$3:$AT$201,$M258)&gt;0,
     COUNTIFS($AU$3:$AU$201,$M258)&gt;0,
     COUNTIFS($AV$3:$AV$201,$M258)&gt;0,
     COUNTIFS($AW$3:$AW$201,$M258)&gt;0
   )),
  ),
  3
 ),
"")</f>
        <v/>
      </c>
      <c r="R258" s="3" t="str" cm="1">
        <f t="array" aca="1" ref="R258" ca="1">IFERROR(
 INDEX(
  _xlfn._xlws.FILTER($T$2:$AW$2,
   TRANSPOSE(
    CHOOSE({1;2;3;4;5;6;7;8;9;10;11;12;13;14;15;16;17;18;19;20;21;22;23;24;25;26;27;28;29;30},
     COUNTIFS($T$3:$T$201,$M258)&gt;0,
     COUNTIFS($U$3:$U$201,$M258)&gt;0,
     COUNTIFS($V$3:$V$201,$M258)&gt;0,
     COUNTIFS($W$3:$W$201,$M258)&gt;0,
     COUNTIFS($X$3:$X$201,$M258)&gt;0,
     COUNTIFS($Y$3:$Y$201,$M258)&gt;0,
     COUNTIFS($Z$3:$Z$201,$M258)&gt;0,
     COUNTIFS($AA$3:$AA$201,$M258)&gt;0,
     COUNTIFS($AB$3:$AB$201,$M258)&gt;0,
     COUNTIFS($AC$3:$AC$201,$M258)&gt;0,
     COUNTIFS($AD$3:$AD$201,$M258)&gt;0,
     COUNTIFS($AE$3:$AE$201,$M258)&gt;0,
     COUNTIFS($AF$3:$AF$201,$M258)&gt;0,
     COUNTIFS($AG$3:$AG$201,$M258)&gt;0,
     COUNTIFS($AH$3:$AH$201,$M258)&gt;0,
     COUNTIFS($AI$3:$AI$201,$M258)&gt;0,
     COUNTIFS($AJ$3:$AJ$201,$M258)&gt;0,
     COUNTIFS($AK$3:$AK$201,$M258)&gt;0,
     COUNTIFS($AL$3:$AL$201,$M258)&gt;0,
     COUNTIFS($AM$3:$AM$201,$M258)&gt;0,
     COUNTIFS($AN$3:$AN$201,$M258)&gt;0,
     COUNTIFS($AO$3:$AO$201,$M258)&gt;0,
     COUNTIFS($AP$3:$AP$201,$M258)&gt;0,
     COUNTIFS($AQ$3:$AQ$201,$M258)&gt;0,
     COUNTIFS($AR$3:$AR$201,$M258)&gt;0,
     COUNTIFS($AS$3:$AS$201,$M258)&gt;0,
     COUNTIFS($AT$3:$AT$201,$M258)&gt;0,
     COUNTIFS($AU$3:$AU$201,$M258)&gt;0,
     COUNTIFS($AV$3:$AV$201,$M258)&gt;0,
     COUNTIFS($AW$3:$AW$201,$M258)&gt;0
   )),
  ),
  4
 ),
"")</f>
        <v/>
      </c>
      <c r="CI258" t="str">
        <f ca="1"/>
        <v>Traumatize</v>
      </c>
    </row>
    <row r="259" spans="1:87" x14ac:dyDescent="0.25">
      <c r="A259" t="str">
        <f ca="1"/>
        <v>Storm the Vault</v>
      </c>
      <c r="B259" s="3" t="str" cm="1">
        <f t="array" aca="1" ref="B259" ca="1">_xlfn.ANCHORARRAY(RESUMO!C258)</f>
        <v>Piratas</v>
      </c>
      <c r="C259" s="3" t="str">
        <f t="shared" ref="C259:C322" ca="1" si="16">IFERROR(_xlfn.XLOOKUP($A259,$E:$E,$G:$G),"")</f>
        <v/>
      </c>
      <c r="E259" t="str">
        <f ca="1"/>
        <v>Treasure Cruise</v>
      </c>
      <c r="F259" s="3">
        <f t="shared" ref="F259:F284" ca="1" si="17">COUNTIF(T:AY,E259)+COUNTIF(K:K,E259)</f>
        <v>2</v>
      </c>
      <c r="G259" s="3" t="str">
        <f t="shared" ref="G259:G284" ca="1" si="18">_xlfn.XLOOKUP($E259,$M:$M,$O:$O,"Guardado")</f>
        <v>Narset</v>
      </c>
      <c r="M259" t="str">
        <f ca="1"/>
        <v>Treasure Cruise</v>
      </c>
      <c r="N259" s="3">
        <f t="shared" ref="N259:N322" ca="1" si="19">COUNTIF(T:AW,M259)</f>
        <v>2</v>
      </c>
      <c r="O259" s="3" t="str">
        <f ca="1">IFERROR(
 INDEX($T$2:$AW$2,
  MATCH(TRUE,
   CHOOSE({1;2;3;4;5;6;7;8;9;10;11;12;13;14;15;16;17;18;19;20;21;22;23;24;25;26;27;28;29;30;31;32},
    COUNTIFS($T$3:$T$201,$M259)&gt;0,
    COUNTIFS($U$3:$U$201,$M259)&gt;0,
    COUNTIFS($V$3:$V$201,$M259)&gt;0,
    COUNTIFS($W$3:$W$201,$M259)&gt;0,
    COUNTIFS($X$3:$X$201,$M259)&gt;0,
    COUNTIFS($Y$3:$Y$201,$M259)&gt;0,
    COUNTIFS($Z$3:$Z$201,$M259)&gt;0,
    COUNTIFS($AA$3:$AA$201,$M259)&gt;0,
    COUNTIFS($AB$3:$AB$201,$M259)&gt;0,
    COUNTIFS($AC$3:$AC$201,$M259)&gt;0,
    COUNTIFS($AD$3:$AD$201,$M259)&gt;0,
    COUNTIFS($AE$3:$AE$201,$M259)&gt;0,
    COUNTIFS($AF$3:$AF$201,$M259)&gt;0,
    COUNTIFS($AG$3:$AG$201,$M259)&gt;0,
    COUNTIFS($AH$3:$AH$201,$M259)&gt;0,
    COUNTIFS($AI$3:$AI$201,$M259)&gt;0,
    COUNTIFS($AJ$3:$AJ$201,$M259)&gt;0,
    COUNTIFS($AK$3:$AK$201,$M259)&gt;0,
    COUNTIFS($AL$3:$AL$201,$M259)&gt;0,
    COUNTIFS($AM$3:$AM$201,$M259)&gt;0,
    COUNTIFS($AN$3:$AN$201,$M259)&gt;0,
    COUNTIFS($AO$3:$AO$201,$M259)&gt;0,
    COUNTIFS($AP$3:$AP$201,$M259)&gt;0,
    COUNTIFS($AQ$3:$AQ$201,$M259)&gt;0,
    COUNTIFS($AR$3:$AR$201,$M259)&gt;0,
    COUNTIFS($AS$3:$AS$201,$M259)&gt;0,
    COUNTIFS($AT$3:$AT$201,$M259)&gt;0,
    COUNTIFS($AU$3:$AU$201,$M259)&gt;0,
    COUNTIFS($AV$3:$AV$201,$M259)&gt;0,
    COUNTIFS($AW$3:$AW$201,$M259)&gt;0
   ),
  0)
 ),
"")</f>
        <v>Narset</v>
      </c>
      <c r="P259" s="3" t="str" cm="1">
        <f t="array" aca="1" ref="P259" ca="1">IFERROR(
 INDEX(
  _xlfn._xlws.FILTER($T$2:$AW$2,
   TRANSPOSE(
    CHOOSE({1;2;3;4;5;6;7;8;9;10;11;12;13;14;15;16;17;18;19;20;21;22;23;24;25;26;27;28;29;30},
     COUNTIFS($T$3:$T$201,$M259)&gt;0,
     COUNTIFS($U$3:$U$201,$M259)&gt;0,
     COUNTIFS($V$3:$V$201,$M259)&gt;0,
     COUNTIFS($W$3:$W$201,$M259)&gt;0,
     COUNTIFS($X$3:$X$201,$M259)&gt;0,
     COUNTIFS($Y$3:$Y$201,$M259)&gt;0,
     COUNTIFS($Z$3:$Z$201,$M259)&gt;0,
     COUNTIFS($AA$3:$AA$201,$M259)&gt;0,
     COUNTIFS($AB$3:$AB$201,$M259)&gt;0,
     COUNTIFS($AC$3:$AC$201,$M259)&gt;0,
     COUNTIFS($AD$3:$AD$201,$M259)&gt;0,
     COUNTIFS($AE$3:$AE$201,$M259)&gt;0,
     COUNTIFS($AF$3:$AF$201,$M259)&gt;0,
     COUNTIFS($AG$3:$AG$201,$M259)&gt;0,
     COUNTIFS($AH$3:$AH$201,$M259)&gt;0,
     COUNTIFS($AI$3:$AI$201,$M259)&gt;0,
     COUNTIFS($AJ$3:$AJ$201,$M259)&gt;0,
     COUNTIFS($AK$3:$AK$201,$M259)&gt;0,
     COUNTIFS($AL$3:$AL$201,$M259)&gt;0,
     COUNTIFS($AM$3:$AM$201,$M259)&gt;0,
     COUNTIFS($AN$3:$AN$201,$M259)&gt;0,
     COUNTIFS($AO$3:$AO$201,$M259)&gt;0,
     COUNTIFS($AP$3:$AP$201,$M259)&gt;0,
     COUNTIFS($AQ$3:$AQ$201,$M259)&gt;0,
     COUNTIFS($AR$3:$AR$201,$M259)&gt;0,
     COUNTIFS($AS$3:$AS$201,$M259)&gt;0,
     COUNTIFS($AT$3:$AT$201,$M259)&gt;0,
     COUNTIFS($AU$3:$AU$201,$M259)&gt;0,
     COUNTIFS($AV$3:$AV$201,$M259)&gt;0,
     COUNTIFS($AW$3:$AW$201,$M259)&gt;0
   )),
  ),
  2
 ),
"")</f>
        <v>Kumena</v>
      </c>
      <c r="Q259" s="3" t="str" cm="1">
        <f t="array" aca="1" ref="Q259" ca="1">IFERROR(
 INDEX(
  _xlfn._xlws.FILTER($T$2:$AW$2,
   TRANSPOSE(
    CHOOSE({1;2;3;4;5;6;7;8;9;10;11;12;13;14;15;16;17;18;19;20;21;22;23;24;25;26;27;28;29;30},
     COUNTIFS($T$3:$T$201,$M259)&gt;0,
     COUNTIFS($U$3:$U$201,$M259)&gt;0,
     COUNTIFS($V$3:$V$201,$M259)&gt;0,
     COUNTIFS($W$3:$W$201,$M259)&gt;0,
     COUNTIFS($X$3:$X$201,$M259)&gt;0,
     COUNTIFS($Y$3:$Y$201,$M259)&gt;0,
     COUNTIFS($Z$3:$Z$201,$M259)&gt;0,
     COUNTIFS($AA$3:$AA$201,$M259)&gt;0,
     COUNTIFS($AB$3:$AB$201,$M259)&gt;0,
     COUNTIFS($AC$3:$AC$201,$M259)&gt;0,
     COUNTIFS($AD$3:$AD$201,$M259)&gt;0,
     COUNTIFS($AE$3:$AE$201,$M259)&gt;0,
     COUNTIFS($AF$3:$AF$201,$M259)&gt;0,
     COUNTIFS($AG$3:$AG$201,$M259)&gt;0,
     COUNTIFS($AH$3:$AH$201,$M259)&gt;0,
     COUNTIFS($AI$3:$AI$201,$M259)&gt;0,
     COUNTIFS($AJ$3:$AJ$201,$M259)&gt;0,
     COUNTIFS($AK$3:$AK$201,$M259)&gt;0,
     COUNTIFS($AL$3:$AL$201,$M259)&gt;0,
     COUNTIFS($AM$3:$AM$201,$M259)&gt;0,
     COUNTIFS($AN$3:$AN$201,$M259)&gt;0,
     COUNTIFS($AO$3:$AO$201,$M259)&gt;0,
     COUNTIFS($AP$3:$AP$201,$M259)&gt;0,
     COUNTIFS($AQ$3:$AQ$201,$M259)&gt;0,
     COUNTIFS($AR$3:$AR$201,$M259)&gt;0,
     COUNTIFS($AS$3:$AS$201,$M259)&gt;0,
     COUNTIFS($AT$3:$AT$201,$M259)&gt;0,
     COUNTIFS($AU$3:$AU$201,$M259)&gt;0,
     COUNTIFS($AV$3:$AV$201,$M259)&gt;0,
     COUNTIFS($AW$3:$AW$201,$M259)&gt;0
   )),
  ),
  3
 ),
"")</f>
        <v/>
      </c>
      <c r="R259" s="3" t="str" cm="1">
        <f t="array" aca="1" ref="R259" ca="1">IFERROR(
 INDEX(
  _xlfn._xlws.FILTER($T$2:$AW$2,
   TRANSPOSE(
    CHOOSE({1;2;3;4;5;6;7;8;9;10;11;12;13;14;15;16;17;18;19;20;21;22;23;24;25;26;27;28;29;30},
     COUNTIFS($T$3:$T$201,$M259)&gt;0,
     COUNTIFS($U$3:$U$201,$M259)&gt;0,
     COUNTIFS($V$3:$V$201,$M259)&gt;0,
     COUNTIFS($W$3:$W$201,$M259)&gt;0,
     COUNTIFS($X$3:$X$201,$M259)&gt;0,
     COUNTIFS($Y$3:$Y$201,$M259)&gt;0,
     COUNTIFS($Z$3:$Z$201,$M259)&gt;0,
     COUNTIFS($AA$3:$AA$201,$M259)&gt;0,
     COUNTIFS($AB$3:$AB$201,$M259)&gt;0,
     COUNTIFS($AC$3:$AC$201,$M259)&gt;0,
     COUNTIFS($AD$3:$AD$201,$M259)&gt;0,
     COUNTIFS($AE$3:$AE$201,$M259)&gt;0,
     COUNTIFS($AF$3:$AF$201,$M259)&gt;0,
     COUNTIFS($AG$3:$AG$201,$M259)&gt;0,
     COUNTIFS($AH$3:$AH$201,$M259)&gt;0,
     COUNTIFS($AI$3:$AI$201,$M259)&gt;0,
     COUNTIFS($AJ$3:$AJ$201,$M259)&gt;0,
     COUNTIFS($AK$3:$AK$201,$M259)&gt;0,
     COUNTIFS($AL$3:$AL$201,$M259)&gt;0,
     COUNTIFS($AM$3:$AM$201,$M259)&gt;0,
     COUNTIFS($AN$3:$AN$201,$M259)&gt;0,
     COUNTIFS($AO$3:$AO$201,$M259)&gt;0,
     COUNTIFS($AP$3:$AP$201,$M259)&gt;0,
     COUNTIFS($AQ$3:$AQ$201,$M259)&gt;0,
     COUNTIFS($AR$3:$AR$201,$M259)&gt;0,
     COUNTIFS($AS$3:$AS$201,$M259)&gt;0,
     COUNTIFS($AT$3:$AT$201,$M259)&gt;0,
     COUNTIFS($AU$3:$AU$201,$M259)&gt;0,
     COUNTIFS($AV$3:$AV$201,$M259)&gt;0,
     COUNTIFS($AW$3:$AW$201,$M259)&gt;0
   )),
  ),
  4
 ),
"")</f>
        <v/>
      </c>
      <c r="CI259" t="str">
        <f ca="1"/>
        <v>Treasure Cruise</v>
      </c>
    </row>
    <row r="260" spans="1:87" x14ac:dyDescent="0.25">
      <c r="A260" t="str">
        <f ca="1"/>
        <v>Stridehangar Automaton</v>
      </c>
      <c r="B260" s="3" t="str" cm="1">
        <f t="array" aca="1" ref="B260" ca="1">_xlfn.ANCHORARRAY(RESUMO!C259)</f>
        <v>OWA</v>
      </c>
      <c r="C260" s="3" t="str">
        <f t="shared" ca="1" si="16"/>
        <v/>
      </c>
      <c r="E260" t="str">
        <f ca="1"/>
        <v>Trilha de Migalhas</v>
      </c>
      <c r="F260" s="3">
        <f t="shared" ca="1" si="17"/>
        <v>1</v>
      </c>
      <c r="G260" s="3" t="str">
        <f t="shared" ca="1" si="18"/>
        <v>Baylen</v>
      </c>
      <c r="M260" t="str">
        <f ca="1"/>
        <v>Trilha de Migalhas</v>
      </c>
      <c r="N260" s="3">
        <f t="shared" ca="1" si="19"/>
        <v>1</v>
      </c>
      <c r="O260" s="3" t="str">
        <f ca="1">IFERROR(
 INDEX($T$2:$AW$2,
  MATCH(TRUE,
   CHOOSE({1;2;3;4;5;6;7;8;9;10;11;12;13;14;15;16;17;18;19;20;21;22;23;24;25;26;27;28;29;30;31;32},
    COUNTIFS($T$3:$T$201,$M260)&gt;0,
    COUNTIFS($U$3:$U$201,$M260)&gt;0,
    COUNTIFS($V$3:$V$201,$M260)&gt;0,
    COUNTIFS($W$3:$W$201,$M260)&gt;0,
    COUNTIFS($X$3:$X$201,$M260)&gt;0,
    COUNTIFS($Y$3:$Y$201,$M260)&gt;0,
    COUNTIFS($Z$3:$Z$201,$M260)&gt;0,
    COUNTIFS($AA$3:$AA$201,$M260)&gt;0,
    COUNTIFS($AB$3:$AB$201,$M260)&gt;0,
    COUNTIFS($AC$3:$AC$201,$M260)&gt;0,
    COUNTIFS($AD$3:$AD$201,$M260)&gt;0,
    COUNTIFS($AE$3:$AE$201,$M260)&gt;0,
    COUNTIFS($AF$3:$AF$201,$M260)&gt;0,
    COUNTIFS($AG$3:$AG$201,$M260)&gt;0,
    COUNTIFS($AH$3:$AH$201,$M260)&gt;0,
    COUNTIFS($AI$3:$AI$201,$M260)&gt;0,
    COUNTIFS($AJ$3:$AJ$201,$M260)&gt;0,
    COUNTIFS($AK$3:$AK$201,$M260)&gt;0,
    COUNTIFS($AL$3:$AL$201,$M260)&gt;0,
    COUNTIFS($AM$3:$AM$201,$M260)&gt;0,
    COUNTIFS($AN$3:$AN$201,$M260)&gt;0,
    COUNTIFS($AO$3:$AO$201,$M260)&gt;0,
    COUNTIFS($AP$3:$AP$201,$M260)&gt;0,
    COUNTIFS($AQ$3:$AQ$201,$M260)&gt;0,
    COUNTIFS($AR$3:$AR$201,$M260)&gt;0,
    COUNTIFS($AS$3:$AS$201,$M260)&gt;0,
    COUNTIFS($AT$3:$AT$201,$M260)&gt;0,
    COUNTIFS($AU$3:$AU$201,$M260)&gt;0,
    COUNTIFS($AV$3:$AV$201,$M260)&gt;0,
    COUNTIFS($AW$3:$AW$201,$M260)&gt;0
   ),
  0)
 ),
"")</f>
        <v>Baylen</v>
      </c>
      <c r="P260" s="3" t="str" cm="1">
        <f t="array" aca="1" ref="P260" ca="1">IFERROR(
 INDEX(
  _xlfn._xlws.FILTER($T$2:$AW$2,
   TRANSPOSE(
    CHOOSE({1;2;3;4;5;6;7;8;9;10;11;12;13;14;15;16;17;18;19;20;21;22;23;24;25;26;27;28;29;30},
     COUNTIFS($T$3:$T$201,$M260)&gt;0,
     COUNTIFS($U$3:$U$201,$M260)&gt;0,
     COUNTIFS($V$3:$V$201,$M260)&gt;0,
     COUNTIFS($W$3:$W$201,$M260)&gt;0,
     COUNTIFS($X$3:$X$201,$M260)&gt;0,
     COUNTIFS($Y$3:$Y$201,$M260)&gt;0,
     COUNTIFS($Z$3:$Z$201,$M260)&gt;0,
     COUNTIFS($AA$3:$AA$201,$M260)&gt;0,
     COUNTIFS($AB$3:$AB$201,$M260)&gt;0,
     COUNTIFS($AC$3:$AC$201,$M260)&gt;0,
     COUNTIFS($AD$3:$AD$201,$M260)&gt;0,
     COUNTIFS($AE$3:$AE$201,$M260)&gt;0,
     COUNTIFS($AF$3:$AF$201,$M260)&gt;0,
     COUNTIFS($AG$3:$AG$201,$M260)&gt;0,
     COUNTIFS($AH$3:$AH$201,$M260)&gt;0,
     COUNTIFS($AI$3:$AI$201,$M260)&gt;0,
     COUNTIFS($AJ$3:$AJ$201,$M260)&gt;0,
     COUNTIFS($AK$3:$AK$201,$M260)&gt;0,
     COUNTIFS($AL$3:$AL$201,$M260)&gt;0,
     COUNTIFS($AM$3:$AM$201,$M260)&gt;0,
     COUNTIFS($AN$3:$AN$201,$M260)&gt;0,
     COUNTIFS($AO$3:$AO$201,$M260)&gt;0,
     COUNTIFS($AP$3:$AP$201,$M260)&gt;0,
     COUNTIFS($AQ$3:$AQ$201,$M260)&gt;0,
     COUNTIFS($AR$3:$AR$201,$M260)&gt;0,
     COUNTIFS($AS$3:$AS$201,$M260)&gt;0,
     COUNTIFS($AT$3:$AT$201,$M260)&gt;0,
     COUNTIFS($AU$3:$AU$201,$M260)&gt;0,
     COUNTIFS($AV$3:$AV$201,$M260)&gt;0,
     COUNTIFS($AW$3:$AW$201,$M260)&gt;0
   )),
  ),
  2
 ),
"")</f>
        <v/>
      </c>
      <c r="Q260" s="3" t="str" cm="1">
        <f t="array" aca="1" ref="Q260" ca="1">IFERROR(
 INDEX(
  _xlfn._xlws.FILTER($T$2:$AW$2,
   TRANSPOSE(
    CHOOSE({1;2;3;4;5;6;7;8;9;10;11;12;13;14;15;16;17;18;19;20;21;22;23;24;25;26;27;28;29;30},
     COUNTIFS($T$3:$T$201,$M260)&gt;0,
     COUNTIFS($U$3:$U$201,$M260)&gt;0,
     COUNTIFS($V$3:$V$201,$M260)&gt;0,
     COUNTIFS($W$3:$W$201,$M260)&gt;0,
     COUNTIFS($X$3:$X$201,$M260)&gt;0,
     COUNTIFS($Y$3:$Y$201,$M260)&gt;0,
     COUNTIFS($Z$3:$Z$201,$M260)&gt;0,
     COUNTIFS($AA$3:$AA$201,$M260)&gt;0,
     COUNTIFS($AB$3:$AB$201,$M260)&gt;0,
     COUNTIFS($AC$3:$AC$201,$M260)&gt;0,
     COUNTIFS($AD$3:$AD$201,$M260)&gt;0,
     COUNTIFS($AE$3:$AE$201,$M260)&gt;0,
     COUNTIFS($AF$3:$AF$201,$M260)&gt;0,
     COUNTIFS($AG$3:$AG$201,$M260)&gt;0,
     COUNTIFS($AH$3:$AH$201,$M260)&gt;0,
     COUNTIFS($AI$3:$AI$201,$M260)&gt;0,
     COUNTIFS($AJ$3:$AJ$201,$M260)&gt;0,
     COUNTIFS($AK$3:$AK$201,$M260)&gt;0,
     COUNTIFS($AL$3:$AL$201,$M260)&gt;0,
     COUNTIFS($AM$3:$AM$201,$M260)&gt;0,
     COUNTIFS($AN$3:$AN$201,$M260)&gt;0,
     COUNTIFS($AO$3:$AO$201,$M260)&gt;0,
     COUNTIFS($AP$3:$AP$201,$M260)&gt;0,
     COUNTIFS($AQ$3:$AQ$201,$M260)&gt;0,
     COUNTIFS($AR$3:$AR$201,$M260)&gt;0,
     COUNTIFS($AS$3:$AS$201,$M260)&gt;0,
     COUNTIFS($AT$3:$AT$201,$M260)&gt;0,
     COUNTIFS($AU$3:$AU$201,$M260)&gt;0,
     COUNTIFS($AV$3:$AV$201,$M260)&gt;0,
     COUNTIFS($AW$3:$AW$201,$M260)&gt;0
   )),
  ),
  3
 ),
"")</f>
        <v/>
      </c>
      <c r="R260" s="3" t="str" cm="1">
        <f t="array" aca="1" ref="R260" ca="1">IFERROR(
 INDEX(
  _xlfn._xlws.FILTER($T$2:$AW$2,
   TRANSPOSE(
    CHOOSE({1;2;3;4;5;6;7;8;9;10;11;12;13;14;15;16;17;18;19;20;21;22;23;24;25;26;27;28;29;30},
     COUNTIFS($T$3:$T$201,$M260)&gt;0,
     COUNTIFS($U$3:$U$201,$M260)&gt;0,
     COUNTIFS($V$3:$V$201,$M260)&gt;0,
     COUNTIFS($W$3:$W$201,$M260)&gt;0,
     COUNTIFS($X$3:$X$201,$M260)&gt;0,
     COUNTIFS($Y$3:$Y$201,$M260)&gt;0,
     COUNTIFS($Z$3:$Z$201,$M260)&gt;0,
     COUNTIFS($AA$3:$AA$201,$M260)&gt;0,
     COUNTIFS($AB$3:$AB$201,$M260)&gt;0,
     COUNTIFS($AC$3:$AC$201,$M260)&gt;0,
     COUNTIFS($AD$3:$AD$201,$M260)&gt;0,
     COUNTIFS($AE$3:$AE$201,$M260)&gt;0,
     COUNTIFS($AF$3:$AF$201,$M260)&gt;0,
     COUNTIFS($AG$3:$AG$201,$M260)&gt;0,
     COUNTIFS($AH$3:$AH$201,$M260)&gt;0,
     COUNTIFS($AI$3:$AI$201,$M260)&gt;0,
     COUNTIFS($AJ$3:$AJ$201,$M260)&gt;0,
     COUNTIFS($AK$3:$AK$201,$M260)&gt;0,
     COUNTIFS($AL$3:$AL$201,$M260)&gt;0,
     COUNTIFS($AM$3:$AM$201,$M260)&gt;0,
     COUNTIFS($AN$3:$AN$201,$M260)&gt;0,
     COUNTIFS($AO$3:$AO$201,$M260)&gt;0,
     COUNTIFS($AP$3:$AP$201,$M260)&gt;0,
     COUNTIFS($AQ$3:$AQ$201,$M260)&gt;0,
     COUNTIFS($AR$3:$AR$201,$M260)&gt;0,
     COUNTIFS($AS$3:$AS$201,$M260)&gt;0,
     COUNTIFS($AT$3:$AT$201,$M260)&gt;0,
     COUNTIFS($AU$3:$AU$201,$M260)&gt;0,
     COUNTIFS($AV$3:$AV$201,$M260)&gt;0,
     COUNTIFS($AW$3:$AW$201,$M260)&gt;0
   )),
  ),
  4
 ),
"")</f>
        <v/>
      </c>
      <c r="CI260" t="str">
        <f ca="1"/>
        <v>Trilha de Migalhas</v>
      </c>
    </row>
    <row r="261" spans="1:87" x14ac:dyDescent="0.25">
      <c r="A261" t="str">
        <f ca="1"/>
        <v>Strionic Resonator</v>
      </c>
      <c r="B261" s="3" t="str" cm="1">
        <f t="array" aca="1" ref="B261" ca="1">_xlfn.ANCHORARRAY(RESUMO!C260)</f>
        <v>Modular</v>
      </c>
      <c r="C261" s="3" t="str">
        <f t="shared" ca="1" si="16"/>
        <v/>
      </c>
      <c r="E261" t="str">
        <f ca="1"/>
        <v>Trophy Mage</v>
      </c>
      <c r="F261" s="3">
        <f t="shared" ca="1" si="17"/>
        <v>1</v>
      </c>
      <c r="G261" s="3" t="str">
        <f t="shared" ca="1" si="18"/>
        <v>Oona</v>
      </c>
      <c r="M261" t="str">
        <f ca="1"/>
        <v>Trophy Mage</v>
      </c>
      <c r="N261" s="3">
        <f t="shared" ca="1" si="19"/>
        <v>1</v>
      </c>
      <c r="O261" s="3" t="str">
        <f ca="1">IFERROR(
 INDEX($T$2:$AW$2,
  MATCH(TRUE,
   CHOOSE({1;2;3;4;5;6;7;8;9;10;11;12;13;14;15;16;17;18;19;20;21;22;23;24;25;26;27;28;29;30;31;32},
    COUNTIFS($T$3:$T$201,$M261)&gt;0,
    COUNTIFS($U$3:$U$201,$M261)&gt;0,
    COUNTIFS($V$3:$V$201,$M261)&gt;0,
    COUNTIFS($W$3:$W$201,$M261)&gt;0,
    COUNTIFS($X$3:$X$201,$M261)&gt;0,
    COUNTIFS($Y$3:$Y$201,$M261)&gt;0,
    COUNTIFS($Z$3:$Z$201,$M261)&gt;0,
    COUNTIFS($AA$3:$AA$201,$M261)&gt;0,
    COUNTIFS($AB$3:$AB$201,$M261)&gt;0,
    COUNTIFS($AC$3:$AC$201,$M261)&gt;0,
    COUNTIFS($AD$3:$AD$201,$M261)&gt;0,
    COUNTIFS($AE$3:$AE$201,$M261)&gt;0,
    COUNTIFS($AF$3:$AF$201,$M261)&gt;0,
    COUNTIFS($AG$3:$AG$201,$M261)&gt;0,
    COUNTIFS($AH$3:$AH$201,$M261)&gt;0,
    COUNTIFS($AI$3:$AI$201,$M261)&gt;0,
    COUNTIFS($AJ$3:$AJ$201,$M261)&gt;0,
    COUNTIFS($AK$3:$AK$201,$M261)&gt;0,
    COUNTIFS($AL$3:$AL$201,$M261)&gt;0,
    COUNTIFS($AM$3:$AM$201,$M261)&gt;0,
    COUNTIFS($AN$3:$AN$201,$M261)&gt;0,
    COUNTIFS($AO$3:$AO$201,$M261)&gt;0,
    COUNTIFS($AP$3:$AP$201,$M261)&gt;0,
    COUNTIFS($AQ$3:$AQ$201,$M261)&gt;0,
    COUNTIFS($AR$3:$AR$201,$M261)&gt;0,
    COUNTIFS($AS$3:$AS$201,$M261)&gt;0,
    COUNTIFS($AT$3:$AT$201,$M261)&gt;0,
    COUNTIFS($AU$3:$AU$201,$M261)&gt;0,
    COUNTIFS($AV$3:$AV$201,$M261)&gt;0,
    COUNTIFS($AW$3:$AW$201,$M261)&gt;0
   ),
  0)
 ),
"")</f>
        <v>Oona</v>
      </c>
      <c r="P261" s="3" t="str" cm="1">
        <f t="array" aca="1" ref="P261" ca="1">IFERROR(
 INDEX(
  _xlfn._xlws.FILTER($T$2:$AW$2,
   TRANSPOSE(
    CHOOSE({1;2;3;4;5;6;7;8;9;10;11;12;13;14;15;16;17;18;19;20;21;22;23;24;25;26;27;28;29;30},
     COUNTIFS($T$3:$T$201,$M261)&gt;0,
     COUNTIFS($U$3:$U$201,$M261)&gt;0,
     COUNTIFS($V$3:$V$201,$M261)&gt;0,
     COUNTIFS($W$3:$W$201,$M261)&gt;0,
     COUNTIFS($X$3:$X$201,$M261)&gt;0,
     COUNTIFS($Y$3:$Y$201,$M261)&gt;0,
     COUNTIFS($Z$3:$Z$201,$M261)&gt;0,
     COUNTIFS($AA$3:$AA$201,$M261)&gt;0,
     COUNTIFS($AB$3:$AB$201,$M261)&gt;0,
     COUNTIFS($AC$3:$AC$201,$M261)&gt;0,
     COUNTIFS($AD$3:$AD$201,$M261)&gt;0,
     COUNTIFS($AE$3:$AE$201,$M261)&gt;0,
     COUNTIFS($AF$3:$AF$201,$M261)&gt;0,
     COUNTIFS($AG$3:$AG$201,$M261)&gt;0,
     COUNTIFS($AH$3:$AH$201,$M261)&gt;0,
     COUNTIFS($AI$3:$AI$201,$M261)&gt;0,
     COUNTIFS($AJ$3:$AJ$201,$M261)&gt;0,
     COUNTIFS($AK$3:$AK$201,$M261)&gt;0,
     COUNTIFS($AL$3:$AL$201,$M261)&gt;0,
     COUNTIFS($AM$3:$AM$201,$M261)&gt;0,
     COUNTIFS($AN$3:$AN$201,$M261)&gt;0,
     COUNTIFS($AO$3:$AO$201,$M261)&gt;0,
     COUNTIFS($AP$3:$AP$201,$M261)&gt;0,
     COUNTIFS($AQ$3:$AQ$201,$M261)&gt;0,
     COUNTIFS($AR$3:$AR$201,$M261)&gt;0,
     COUNTIFS($AS$3:$AS$201,$M261)&gt;0,
     COUNTIFS($AT$3:$AT$201,$M261)&gt;0,
     COUNTIFS($AU$3:$AU$201,$M261)&gt;0,
     COUNTIFS($AV$3:$AV$201,$M261)&gt;0,
     COUNTIFS($AW$3:$AW$201,$M261)&gt;0
   )),
  ),
  2
 ),
"")</f>
        <v/>
      </c>
      <c r="Q261" s="3" t="str" cm="1">
        <f t="array" aca="1" ref="Q261" ca="1">IFERROR(
 INDEX(
  _xlfn._xlws.FILTER($T$2:$AW$2,
   TRANSPOSE(
    CHOOSE({1;2;3;4;5;6;7;8;9;10;11;12;13;14;15;16;17;18;19;20;21;22;23;24;25;26;27;28;29;30},
     COUNTIFS($T$3:$T$201,$M261)&gt;0,
     COUNTIFS($U$3:$U$201,$M261)&gt;0,
     COUNTIFS($V$3:$V$201,$M261)&gt;0,
     COUNTIFS($W$3:$W$201,$M261)&gt;0,
     COUNTIFS($X$3:$X$201,$M261)&gt;0,
     COUNTIFS($Y$3:$Y$201,$M261)&gt;0,
     COUNTIFS($Z$3:$Z$201,$M261)&gt;0,
     COUNTIFS($AA$3:$AA$201,$M261)&gt;0,
     COUNTIFS($AB$3:$AB$201,$M261)&gt;0,
     COUNTIFS($AC$3:$AC$201,$M261)&gt;0,
     COUNTIFS($AD$3:$AD$201,$M261)&gt;0,
     COUNTIFS($AE$3:$AE$201,$M261)&gt;0,
     COUNTIFS($AF$3:$AF$201,$M261)&gt;0,
     COUNTIFS($AG$3:$AG$201,$M261)&gt;0,
     COUNTIFS($AH$3:$AH$201,$M261)&gt;0,
     COUNTIFS($AI$3:$AI$201,$M261)&gt;0,
     COUNTIFS($AJ$3:$AJ$201,$M261)&gt;0,
     COUNTIFS($AK$3:$AK$201,$M261)&gt;0,
     COUNTIFS($AL$3:$AL$201,$M261)&gt;0,
     COUNTIFS($AM$3:$AM$201,$M261)&gt;0,
     COUNTIFS($AN$3:$AN$201,$M261)&gt;0,
     COUNTIFS($AO$3:$AO$201,$M261)&gt;0,
     COUNTIFS($AP$3:$AP$201,$M261)&gt;0,
     COUNTIFS($AQ$3:$AQ$201,$M261)&gt;0,
     COUNTIFS($AR$3:$AR$201,$M261)&gt;0,
     COUNTIFS($AS$3:$AS$201,$M261)&gt;0,
     COUNTIFS($AT$3:$AT$201,$M261)&gt;0,
     COUNTIFS($AU$3:$AU$201,$M261)&gt;0,
     COUNTIFS($AV$3:$AV$201,$M261)&gt;0,
     COUNTIFS($AW$3:$AW$201,$M261)&gt;0
   )),
  ),
  3
 ),
"")</f>
        <v/>
      </c>
      <c r="R261" s="3" t="str" cm="1">
        <f t="array" aca="1" ref="R261" ca="1">IFERROR(
 INDEX(
  _xlfn._xlws.FILTER($T$2:$AW$2,
   TRANSPOSE(
    CHOOSE({1;2;3;4;5;6;7;8;9;10;11;12;13;14;15;16;17;18;19;20;21;22;23;24;25;26;27;28;29;30},
     COUNTIFS($T$3:$T$201,$M261)&gt;0,
     COUNTIFS($U$3:$U$201,$M261)&gt;0,
     COUNTIFS($V$3:$V$201,$M261)&gt;0,
     COUNTIFS($W$3:$W$201,$M261)&gt;0,
     COUNTIFS($X$3:$X$201,$M261)&gt;0,
     COUNTIFS($Y$3:$Y$201,$M261)&gt;0,
     COUNTIFS($Z$3:$Z$201,$M261)&gt;0,
     COUNTIFS($AA$3:$AA$201,$M261)&gt;0,
     COUNTIFS($AB$3:$AB$201,$M261)&gt;0,
     COUNTIFS($AC$3:$AC$201,$M261)&gt;0,
     COUNTIFS($AD$3:$AD$201,$M261)&gt;0,
     COUNTIFS($AE$3:$AE$201,$M261)&gt;0,
     COUNTIFS($AF$3:$AF$201,$M261)&gt;0,
     COUNTIFS($AG$3:$AG$201,$M261)&gt;0,
     COUNTIFS($AH$3:$AH$201,$M261)&gt;0,
     COUNTIFS($AI$3:$AI$201,$M261)&gt;0,
     COUNTIFS($AJ$3:$AJ$201,$M261)&gt;0,
     COUNTIFS($AK$3:$AK$201,$M261)&gt;0,
     COUNTIFS($AL$3:$AL$201,$M261)&gt;0,
     COUNTIFS($AM$3:$AM$201,$M261)&gt;0,
     COUNTIFS($AN$3:$AN$201,$M261)&gt;0,
     COUNTIFS($AO$3:$AO$201,$M261)&gt;0,
     COUNTIFS($AP$3:$AP$201,$M261)&gt;0,
     COUNTIFS($AQ$3:$AQ$201,$M261)&gt;0,
     COUNTIFS($AR$3:$AR$201,$M261)&gt;0,
     COUNTIFS($AS$3:$AS$201,$M261)&gt;0,
     COUNTIFS($AT$3:$AT$201,$M261)&gt;0,
     COUNTIFS($AU$3:$AU$201,$M261)&gt;0,
     COUNTIFS($AV$3:$AV$201,$M261)&gt;0,
     COUNTIFS($AW$3:$AW$201,$M261)&gt;0
   )),
  ),
  4
 ),
"")</f>
        <v/>
      </c>
      <c r="CI261" t="str">
        <f ca="1"/>
        <v>Trophy Mage</v>
      </c>
    </row>
    <row r="262" spans="1:87" x14ac:dyDescent="0.25">
      <c r="A262" t="str">
        <f ca="1"/>
        <v>Sulfur Falls</v>
      </c>
      <c r="B262" s="3" t="str" cm="1">
        <f t="array" aca="1" ref="B262" ca="1">_xlfn.ANCHORARRAY(RESUMO!C261)</f>
        <v>Rani</v>
      </c>
      <c r="C262" s="3" t="str">
        <f t="shared" ca="1" si="16"/>
        <v>VialIshai</v>
      </c>
      <c r="E262" t="str">
        <f ca="1"/>
        <v>Tumulume</v>
      </c>
      <c r="F262" s="3">
        <f t="shared" ca="1" si="17"/>
        <v>1</v>
      </c>
      <c r="G262" s="3" t="str">
        <f t="shared" ca="1" si="18"/>
        <v>Kresh</v>
      </c>
      <c r="M262" t="str">
        <f ca="1"/>
        <v>Tumulume</v>
      </c>
      <c r="N262" s="3">
        <f t="shared" ca="1" si="19"/>
        <v>1</v>
      </c>
      <c r="O262" s="3" t="str">
        <f ca="1">IFERROR(
 INDEX($T$2:$AW$2,
  MATCH(TRUE,
   CHOOSE({1;2;3;4;5;6;7;8;9;10;11;12;13;14;15;16;17;18;19;20;21;22;23;24;25;26;27;28;29;30;31;32},
    COUNTIFS($T$3:$T$201,$M262)&gt;0,
    COUNTIFS($U$3:$U$201,$M262)&gt;0,
    COUNTIFS($V$3:$V$201,$M262)&gt;0,
    COUNTIFS($W$3:$W$201,$M262)&gt;0,
    COUNTIFS($X$3:$X$201,$M262)&gt;0,
    COUNTIFS($Y$3:$Y$201,$M262)&gt;0,
    COUNTIFS($Z$3:$Z$201,$M262)&gt;0,
    COUNTIFS($AA$3:$AA$201,$M262)&gt;0,
    COUNTIFS($AB$3:$AB$201,$M262)&gt;0,
    COUNTIFS($AC$3:$AC$201,$M262)&gt;0,
    COUNTIFS($AD$3:$AD$201,$M262)&gt;0,
    COUNTIFS($AE$3:$AE$201,$M262)&gt;0,
    COUNTIFS($AF$3:$AF$201,$M262)&gt;0,
    COUNTIFS($AG$3:$AG$201,$M262)&gt;0,
    COUNTIFS($AH$3:$AH$201,$M262)&gt;0,
    COUNTIFS($AI$3:$AI$201,$M262)&gt;0,
    COUNTIFS($AJ$3:$AJ$201,$M262)&gt;0,
    COUNTIFS($AK$3:$AK$201,$M262)&gt;0,
    COUNTIFS($AL$3:$AL$201,$M262)&gt;0,
    COUNTIFS($AM$3:$AM$201,$M262)&gt;0,
    COUNTIFS($AN$3:$AN$201,$M262)&gt;0,
    COUNTIFS($AO$3:$AO$201,$M262)&gt;0,
    COUNTIFS($AP$3:$AP$201,$M262)&gt;0,
    COUNTIFS($AQ$3:$AQ$201,$M262)&gt;0,
    COUNTIFS($AR$3:$AR$201,$M262)&gt;0,
    COUNTIFS($AS$3:$AS$201,$M262)&gt;0,
    COUNTIFS($AT$3:$AT$201,$M262)&gt;0,
    COUNTIFS($AU$3:$AU$201,$M262)&gt;0,
    COUNTIFS($AV$3:$AV$201,$M262)&gt;0,
    COUNTIFS($AW$3:$AW$201,$M262)&gt;0
   ),
  0)
 ),
"")</f>
        <v>Kresh</v>
      </c>
      <c r="P262" s="3" t="str" cm="1">
        <f t="array" aca="1" ref="P262" ca="1">IFERROR(
 INDEX(
  _xlfn._xlws.FILTER($T$2:$AW$2,
   TRANSPOSE(
    CHOOSE({1;2;3;4;5;6;7;8;9;10;11;12;13;14;15;16;17;18;19;20;21;22;23;24;25;26;27;28;29;30},
     COUNTIFS($T$3:$T$201,$M262)&gt;0,
     COUNTIFS($U$3:$U$201,$M262)&gt;0,
     COUNTIFS($V$3:$V$201,$M262)&gt;0,
     COUNTIFS($W$3:$W$201,$M262)&gt;0,
     COUNTIFS($X$3:$X$201,$M262)&gt;0,
     COUNTIFS($Y$3:$Y$201,$M262)&gt;0,
     COUNTIFS($Z$3:$Z$201,$M262)&gt;0,
     COUNTIFS($AA$3:$AA$201,$M262)&gt;0,
     COUNTIFS($AB$3:$AB$201,$M262)&gt;0,
     COUNTIFS($AC$3:$AC$201,$M262)&gt;0,
     COUNTIFS($AD$3:$AD$201,$M262)&gt;0,
     COUNTIFS($AE$3:$AE$201,$M262)&gt;0,
     COUNTIFS($AF$3:$AF$201,$M262)&gt;0,
     COUNTIFS($AG$3:$AG$201,$M262)&gt;0,
     COUNTIFS($AH$3:$AH$201,$M262)&gt;0,
     COUNTIFS($AI$3:$AI$201,$M262)&gt;0,
     COUNTIFS($AJ$3:$AJ$201,$M262)&gt;0,
     COUNTIFS($AK$3:$AK$201,$M262)&gt;0,
     COUNTIFS($AL$3:$AL$201,$M262)&gt;0,
     COUNTIFS($AM$3:$AM$201,$M262)&gt;0,
     COUNTIFS($AN$3:$AN$201,$M262)&gt;0,
     COUNTIFS($AO$3:$AO$201,$M262)&gt;0,
     COUNTIFS($AP$3:$AP$201,$M262)&gt;0,
     COUNTIFS($AQ$3:$AQ$201,$M262)&gt;0,
     COUNTIFS($AR$3:$AR$201,$M262)&gt;0,
     COUNTIFS($AS$3:$AS$201,$M262)&gt;0,
     COUNTIFS($AT$3:$AT$201,$M262)&gt;0,
     COUNTIFS($AU$3:$AU$201,$M262)&gt;0,
     COUNTIFS($AV$3:$AV$201,$M262)&gt;0,
     COUNTIFS($AW$3:$AW$201,$M262)&gt;0
   )),
  ),
  2
 ),
"")</f>
        <v/>
      </c>
      <c r="Q262" s="3" t="str" cm="1">
        <f t="array" aca="1" ref="Q262" ca="1">IFERROR(
 INDEX(
  _xlfn._xlws.FILTER($T$2:$AW$2,
   TRANSPOSE(
    CHOOSE({1;2;3;4;5;6;7;8;9;10;11;12;13;14;15;16;17;18;19;20;21;22;23;24;25;26;27;28;29;30},
     COUNTIFS($T$3:$T$201,$M262)&gt;0,
     COUNTIFS($U$3:$U$201,$M262)&gt;0,
     COUNTIFS($V$3:$V$201,$M262)&gt;0,
     COUNTIFS($W$3:$W$201,$M262)&gt;0,
     COUNTIFS($X$3:$X$201,$M262)&gt;0,
     COUNTIFS($Y$3:$Y$201,$M262)&gt;0,
     COUNTIFS($Z$3:$Z$201,$M262)&gt;0,
     COUNTIFS($AA$3:$AA$201,$M262)&gt;0,
     COUNTIFS($AB$3:$AB$201,$M262)&gt;0,
     COUNTIFS($AC$3:$AC$201,$M262)&gt;0,
     COUNTIFS($AD$3:$AD$201,$M262)&gt;0,
     COUNTIFS($AE$3:$AE$201,$M262)&gt;0,
     COUNTIFS($AF$3:$AF$201,$M262)&gt;0,
     COUNTIFS($AG$3:$AG$201,$M262)&gt;0,
     COUNTIFS($AH$3:$AH$201,$M262)&gt;0,
     COUNTIFS($AI$3:$AI$201,$M262)&gt;0,
     COUNTIFS($AJ$3:$AJ$201,$M262)&gt;0,
     COUNTIFS($AK$3:$AK$201,$M262)&gt;0,
     COUNTIFS($AL$3:$AL$201,$M262)&gt;0,
     COUNTIFS($AM$3:$AM$201,$M262)&gt;0,
     COUNTIFS($AN$3:$AN$201,$M262)&gt;0,
     COUNTIFS($AO$3:$AO$201,$M262)&gt;0,
     COUNTIFS($AP$3:$AP$201,$M262)&gt;0,
     COUNTIFS($AQ$3:$AQ$201,$M262)&gt;0,
     COUNTIFS($AR$3:$AR$201,$M262)&gt;0,
     COUNTIFS($AS$3:$AS$201,$M262)&gt;0,
     COUNTIFS($AT$3:$AT$201,$M262)&gt;0,
     COUNTIFS($AU$3:$AU$201,$M262)&gt;0,
     COUNTIFS($AV$3:$AV$201,$M262)&gt;0,
     COUNTIFS($AW$3:$AW$201,$M262)&gt;0
   )),
  ),
  3
 ),
"")</f>
        <v/>
      </c>
      <c r="R262" s="3" t="str" cm="1">
        <f t="array" aca="1" ref="R262" ca="1">IFERROR(
 INDEX(
  _xlfn._xlws.FILTER($T$2:$AW$2,
   TRANSPOSE(
    CHOOSE({1;2;3;4;5;6;7;8;9;10;11;12;13;14;15;16;17;18;19;20;21;22;23;24;25;26;27;28;29;30},
     COUNTIFS($T$3:$T$201,$M262)&gt;0,
     COUNTIFS($U$3:$U$201,$M262)&gt;0,
     COUNTIFS($V$3:$V$201,$M262)&gt;0,
     COUNTIFS($W$3:$W$201,$M262)&gt;0,
     COUNTIFS($X$3:$X$201,$M262)&gt;0,
     COUNTIFS($Y$3:$Y$201,$M262)&gt;0,
     COUNTIFS($Z$3:$Z$201,$M262)&gt;0,
     COUNTIFS($AA$3:$AA$201,$M262)&gt;0,
     COUNTIFS($AB$3:$AB$201,$M262)&gt;0,
     COUNTIFS($AC$3:$AC$201,$M262)&gt;0,
     COUNTIFS($AD$3:$AD$201,$M262)&gt;0,
     COUNTIFS($AE$3:$AE$201,$M262)&gt;0,
     COUNTIFS($AF$3:$AF$201,$M262)&gt;0,
     COUNTIFS($AG$3:$AG$201,$M262)&gt;0,
     COUNTIFS($AH$3:$AH$201,$M262)&gt;0,
     COUNTIFS($AI$3:$AI$201,$M262)&gt;0,
     COUNTIFS($AJ$3:$AJ$201,$M262)&gt;0,
     COUNTIFS($AK$3:$AK$201,$M262)&gt;0,
     COUNTIFS($AL$3:$AL$201,$M262)&gt;0,
     COUNTIFS($AM$3:$AM$201,$M262)&gt;0,
     COUNTIFS($AN$3:$AN$201,$M262)&gt;0,
     COUNTIFS($AO$3:$AO$201,$M262)&gt;0,
     COUNTIFS($AP$3:$AP$201,$M262)&gt;0,
     COUNTIFS($AQ$3:$AQ$201,$M262)&gt;0,
     COUNTIFS($AR$3:$AR$201,$M262)&gt;0,
     COUNTIFS($AS$3:$AS$201,$M262)&gt;0,
     COUNTIFS($AT$3:$AT$201,$M262)&gt;0,
     COUNTIFS($AU$3:$AU$201,$M262)&gt;0,
     COUNTIFS($AV$3:$AV$201,$M262)&gt;0,
     COUNTIFS($AW$3:$AW$201,$M262)&gt;0
   )),
  ),
  4
 ),
"")</f>
        <v/>
      </c>
      <c r="CI262" t="str">
        <f ca="1"/>
        <v>Tumulume</v>
      </c>
    </row>
    <row r="263" spans="1:87" x14ac:dyDescent="0.25">
      <c r="A263" t="str">
        <f ca="1"/>
        <v>Summon: Fenrir</v>
      </c>
      <c r="B263" s="3" t="str" cm="1">
        <f t="array" aca="1" ref="B263" ca="1">_xlfn.ANCHORARRAY(RESUMO!C262)</f>
        <v>Tayam</v>
      </c>
      <c r="C263" s="3" t="str">
        <f t="shared" ca="1" si="16"/>
        <v/>
      </c>
      <c r="E263" t="str">
        <f ca="1"/>
        <v>Tuskguard Captain</v>
      </c>
      <c r="F263" s="3">
        <f t="shared" ca="1" si="17"/>
        <v>1</v>
      </c>
      <c r="G263" s="3" t="str">
        <f t="shared" ca="1" si="18"/>
        <v>Tayam</v>
      </c>
      <c r="M263" t="str">
        <f ca="1"/>
        <v>Tuskguard Captain</v>
      </c>
      <c r="N263" s="3">
        <f t="shared" ca="1" si="19"/>
        <v>1</v>
      </c>
      <c r="O263" s="3" t="str">
        <f ca="1">IFERROR(
 INDEX($T$2:$AW$2,
  MATCH(TRUE,
   CHOOSE({1;2;3;4;5;6;7;8;9;10;11;12;13;14;15;16;17;18;19;20;21;22;23;24;25;26;27;28;29;30;31;32},
    COUNTIFS($T$3:$T$201,$M263)&gt;0,
    COUNTIFS($U$3:$U$201,$M263)&gt;0,
    COUNTIFS($V$3:$V$201,$M263)&gt;0,
    COUNTIFS($W$3:$W$201,$M263)&gt;0,
    COUNTIFS($X$3:$X$201,$M263)&gt;0,
    COUNTIFS($Y$3:$Y$201,$M263)&gt;0,
    COUNTIFS($Z$3:$Z$201,$M263)&gt;0,
    COUNTIFS($AA$3:$AA$201,$M263)&gt;0,
    COUNTIFS($AB$3:$AB$201,$M263)&gt;0,
    COUNTIFS($AC$3:$AC$201,$M263)&gt;0,
    COUNTIFS($AD$3:$AD$201,$M263)&gt;0,
    COUNTIFS($AE$3:$AE$201,$M263)&gt;0,
    COUNTIFS($AF$3:$AF$201,$M263)&gt;0,
    COUNTIFS($AG$3:$AG$201,$M263)&gt;0,
    COUNTIFS($AH$3:$AH$201,$M263)&gt;0,
    COUNTIFS($AI$3:$AI$201,$M263)&gt;0,
    COUNTIFS($AJ$3:$AJ$201,$M263)&gt;0,
    COUNTIFS($AK$3:$AK$201,$M263)&gt;0,
    COUNTIFS($AL$3:$AL$201,$M263)&gt;0,
    COUNTIFS($AM$3:$AM$201,$M263)&gt;0,
    COUNTIFS($AN$3:$AN$201,$M263)&gt;0,
    COUNTIFS($AO$3:$AO$201,$M263)&gt;0,
    COUNTIFS($AP$3:$AP$201,$M263)&gt;0,
    COUNTIFS($AQ$3:$AQ$201,$M263)&gt;0,
    COUNTIFS($AR$3:$AR$201,$M263)&gt;0,
    COUNTIFS($AS$3:$AS$201,$M263)&gt;0,
    COUNTIFS($AT$3:$AT$201,$M263)&gt;0,
    COUNTIFS($AU$3:$AU$201,$M263)&gt;0,
    COUNTIFS($AV$3:$AV$201,$M263)&gt;0,
    COUNTIFS($AW$3:$AW$201,$M263)&gt;0
   ),
  0)
 ),
"")</f>
        <v>Tayam</v>
      </c>
      <c r="P263" s="3" t="str" cm="1">
        <f t="array" aca="1" ref="P263" ca="1">IFERROR(
 INDEX(
  _xlfn._xlws.FILTER($T$2:$AW$2,
   TRANSPOSE(
    CHOOSE({1;2;3;4;5;6;7;8;9;10;11;12;13;14;15;16;17;18;19;20;21;22;23;24;25;26;27;28;29;30},
     COUNTIFS($T$3:$T$201,$M263)&gt;0,
     COUNTIFS($U$3:$U$201,$M263)&gt;0,
     COUNTIFS($V$3:$V$201,$M263)&gt;0,
     COUNTIFS($W$3:$W$201,$M263)&gt;0,
     COUNTIFS($X$3:$X$201,$M263)&gt;0,
     COUNTIFS($Y$3:$Y$201,$M263)&gt;0,
     COUNTIFS($Z$3:$Z$201,$M263)&gt;0,
     COUNTIFS($AA$3:$AA$201,$M263)&gt;0,
     COUNTIFS($AB$3:$AB$201,$M263)&gt;0,
     COUNTIFS($AC$3:$AC$201,$M263)&gt;0,
     COUNTIFS($AD$3:$AD$201,$M263)&gt;0,
     COUNTIFS($AE$3:$AE$201,$M263)&gt;0,
     COUNTIFS($AF$3:$AF$201,$M263)&gt;0,
     COUNTIFS($AG$3:$AG$201,$M263)&gt;0,
     COUNTIFS($AH$3:$AH$201,$M263)&gt;0,
     COUNTIFS($AI$3:$AI$201,$M263)&gt;0,
     COUNTIFS($AJ$3:$AJ$201,$M263)&gt;0,
     COUNTIFS($AK$3:$AK$201,$M263)&gt;0,
     COUNTIFS($AL$3:$AL$201,$M263)&gt;0,
     COUNTIFS($AM$3:$AM$201,$M263)&gt;0,
     COUNTIFS($AN$3:$AN$201,$M263)&gt;0,
     COUNTIFS($AO$3:$AO$201,$M263)&gt;0,
     COUNTIFS($AP$3:$AP$201,$M263)&gt;0,
     COUNTIFS($AQ$3:$AQ$201,$M263)&gt;0,
     COUNTIFS($AR$3:$AR$201,$M263)&gt;0,
     COUNTIFS($AS$3:$AS$201,$M263)&gt;0,
     COUNTIFS($AT$3:$AT$201,$M263)&gt;0,
     COUNTIFS($AU$3:$AU$201,$M263)&gt;0,
     COUNTIFS($AV$3:$AV$201,$M263)&gt;0,
     COUNTIFS($AW$3:$AW$201,$M263)&gt;0
   )),
  ),
  2
 ),
"")</f>
        <v/>
      </c>
      <c r="Q263" s="3" t="str" cm="1">
        <f t="array" aca="1" ref="Q263" ca="1">IFERROR(
 INDEX(
  _xlfn._xlws.FILTER($T$2:$AW$2,
   TRANSPOSE(
    CHOOSE({1;2;3;4;5;6;7;8;9;10;11;12;13;14;15;16;17;18;19;20;21;22;23;24;25;26;27;28;29;30},
     COUNTIFS($T$3:$T$201,$M263)&gt;0,
     COUNTIFS($U$3:$U$201,$M263)&gt;0,
     COUNTIFS($V$3:$V$201,$M263)&gt;0,
     COUNTIFS($W$3:$W$201,$M263)&gt;0,
     COUNTIFS($X$3:$X$201,$M263)&gt;0,
     COUNTIFS($Y$3:$Y$201,$M263)&gt;0,
     COUNTIFS($Z$3:$Z$201,$M263)&gt;0,
     COUNTIFS($AA$3:$AA$201,$M263)&gt;0,
     COUNTIFS($AB$3:$AB$201,$M263)&gt;0,
     COUNTIFS($AC$3:$AC$201,$M263)&gt;0,
     COUNTIFS($AD$3:$AD$201,$M263)&gt;0,
     COUNTIFS($AE$3:$AE$201,$M263)&gt;0,
     COUNTIFS($AF$3:$AF$201,$M263)&gt;0,
     COUNTIFS($AG$3:$AG$201,$M263)&gt;0,
     COUNTIFS($AH$3:$AH$201,$M263)&gt;0,
     COUNTIFS($AI$3:$AI$201,$M263)&gt;0,
     COUNTIFS($AJ$3:$AJ$201,$M263)&gt;0,
     COUNTIFS($AK$3:$AK$201,$M263)&gt;0,
     COUNTIFS($AL$3:$AL$201,$M263)&gt;0,
     COUNTIFS($AM$3:$AM$201,$M263)&gt;0,
     COUNTIFS($AN$3:$AN$201,$M263)&gt;0,
     COUNTIFS($AO$3:$AO$201,$M263)&gt;0,
     COUNTIFS($AP$3:$AP$201,$M263)&gt;0,
     COUNTIFS($AQ$3:$AQ$201,$M263)&gt;0,
     COUNTIFS($AR$3:$AR$201,$M263)&gt;0,
     COUNTIFS($AS$3:$AS$201,$M263)&gt;0,
     COUNTIFS($AT$3:$AT$201,$M263)&gt;0,
     COUNTIFS($AU$3:$AU$201,$M263)&gt;0,
     COUNTIFS($AV$3:$AV$201,$M263)&gt;0,
     COUNTIFS($AW$3:$AW$201,$M263)&gt;0
   )),
  ),
  3
 ),
"")</f>
        <v/>
      </c>
      <c r="R263" s="3" t="str" cm="1">
        <f t="array" aca="1" ref="R263" ca="1">IFERROR(
 INDEX(
  _xlfn._xlws.FILTER($T$2:$AW$2,
   TRANSPOSE(
    CHOOSE({1;2;3;4;5;6;7;8;9;10;11;12;13;14;15;16;17;18;19;20;21;22;23;24;25;26;27;28;29;30},
     COUNTIFS($T$3:$T$201,$M263)&gt;0,
     COUNTIFS($U$3:$U$201,$M263)&gt;0,
     COUNTIFS($V$3:$V$201,$M263)&gt;0,
     COUNTIFS($W$3:$W$201,$M263)&gt;0,
     COUNTIFS($X$3:$X$201,$M263)&gt;0,
     COUNTIFS($Y$3:$Y$201,$M263)&gt;0,
     COUNTIFS($Z$3:$Z$201,$M263)&gt;0,
     COUNTIFS($AA$3:$AA$201,$M263)&gt;0,
     COUNTIFS($AB$3:$AB$201,$M263)&gt;0,
     COUNTIFS($AC$3:$AC$201,$M263)&gt;0,
     COUNTIFS($AD$3:$AD$201,$M263)&gt;0,
     COUNTIFS($AE$3:$AE$201,$M263)&gt;0,
     COUNTIFS($AF$3:$AF$201,$M263)&gt;0,
     COUNTIFS($AG$3:$AG$201,$M263)&gt;0,
     COUNTIFS($AH$3:$AH$201,$M263)&gt;0,
     COUNTIFS($AI$3:$AI$201,$M263)&gt;0,
     COUNTIFS($AJ$3:$AJ$201,$M263)&gt;0,
     COUNTIFS($AK$3:$AK$201,$M263)&gt;0,
     COUNTIFS($AL$3:$AL$201,$M263)&gt;0,
     COUNTIFS($AM$3:$AM$201,$M263)&gt;0,
     COUNTIFS($AN$3:$AN$201,$M263)&gt;0,
     COUNTIFS($AO$3:$AO$201,$M263)&gt;0,
     COUNTIFS($AP$3:$AP$201,$M263)&gt;0,
     COUNTIFS($AQ$3:$AQ$201,$M263)&gt;0,
     COUNTIFS($AR$3:$AR$201,$M263)&gt;0,
     COUNTIFS($AS$3:$AS$201,$M263)&gt;0,
     COUNTIFS($AT$3:$AT$201,$M263)&gt;0,
     COUNTIFS($AU$3:$AU$201,$M263)&gt;0,
     COUNTIFS($AV$3:$AV$201,$M263)&gt;0,
     COUNTIFS($AW$3:$AW$201,$M263)&gt;0
   )),
  ),
  4
 ),
"")</f>
        <v/>
      </c>
      <c r="CI263" t="str">
        <f ca="1"/>
        <v>Tuskguard Captain</v>
      </c>
    </row>
    <row r="264" spans="1:87" x14ac:dyDescent="0.25">
      <c r="A264" t="str">
        <f ca="1"/>
        <v>Summon: Ixion</v>
      </c>
      <c r="B264" s="3" t="str" cm="1">
        <f t="array" aca="1" ref="B264" ca="1">_xlfn.ANCHORARRAY(RESUMO!C263)</f>
        <v>Tayam</v>
      </c>
      <c r="C264" s="3" t="str">
        <f t="shared" ca="1" si="16"/>
        <v/>
      </c>
      <c r="E264" t="str">
        <f ca="1"/>
        <v>Urna de Mosco-lumes</v>
      </c>
      <c r="F264" s="3">
        <f t="shared" ca="1" si="17"/>
        <v>1</v>
      </c>
      <c r="G264" s="3" t="str">
        <f t="shared" ca="1" si="18"/>
        <v>Muzzio</v>
      </c>
      <c r="M264" t="str">
        <f ca="1"/>
        <v>Urna de Mosco-lumes</v>
      </c>
      <c r="N264" s="3">
        <f t="shared" ca="1" si="19"/>
        <v>1</v>
      </c>
      <c r="O264" s="3" t="str">
        <f ca="1">IFERROR(
 INDEX($T$2:$AW$2,
  MATCH(TRUE,
   CHOOSE({1;2;3;4;5;6;7;8;9;10;11;12;13;14;15;16;17;18;19;20;21;22;23;24;25;26;27;28;29;30;31;32},
    COUNTIFS($T$3:$T$201,$M264)&gt;0,
    COUNTIFS($U$3:$U$201,$M264)&gt;0,
    COUNTIFS($V$3:$V$201,$M264)&gt;0,
    COUNTIFS($W$3:$W$201,$M264)&gt;0,
    COUNTIFS($X$3:$X$201,$M264)&gt;0,
    COUNTIFS($Y$3:$Y$201,$M264)&gt;0,
    COUNTIFS($Z$3:$Z$201,$M264)&gt;0,
    COUNTIFS($AA$3:$AA$201,$M264)&gt;0,
    COUNTIFS($AB$3:$AB$201,$M264)&gt;0,
    COUNTIFS($AC$3:$AC$201,$M264)&gt;0,
    COUNTIFS($AD$3:$AD$201,$M264)&gt;0,
    COUNTIFS($AE$3:$AE$201,$M264)&gt;0,
    COUNTIFS($AF$3:$AF$201,$M264)&gt;0,
    COUNTIFS($AG$3:$AG$201,$M264)&gt;0,
    COUNTIFS($AH$3:$AH$201,$M264)&gt;0,
    COUNTIFS($AI$3:$AI$201,$M264)&gt;0,
    COUNTIFS($AJ$3:$AJ$201,$M264)&gt;0,
    COUNTIFS($AK$3:$AK$201,$M264)&gt;0,
    COUNTIFS($AL$3:$AL$201,$M264)&gt;0,
    COUNTIFS($AM$3:$AM$201,$M264)&gt;0,
    COUNTIFS($AN$3:$AN$201,$M264)&gt;0,
    COUNTIFS($AO$3:$AO$201,$M264)&gt;0,
    COUNTIFS($AP$3:$AP$201,$M264)&gt;0,
    COUNTIFS($AQ$3:$AQ$201,$M264)&gt;0,
    COUNTIFS($AR$3:$AR$201,$M264)&gt;0,
    COUNTIFS($AS$3:$AS$201,$M264)&gt;0,
    COUNTIFS($AT$3:$AT$201,$M264)&gt;0,
    COUNTIFS($AU$3:$AU$201,$M264)&gt;0,
    COUNTIFS($AV$3:$AV$201,$M264)&gt;0,
    COUNTIFS($AW$3:$AW$201,$M264)&gt;0
   ),
  0)
 ),
"")</f>
        <v>Muzzio</v>
      </c>
      <c r="P264" s="3" t="str" cm="1">
        <f t="array" aca="1" ref="P264" ca="1">IFERROR(
 INDEX(
  _xlfn._xlws.FILTER($T$2:$AW$2,
   TRANSPOSE(
    CHOOSE({1;2;3;4;5;6;7;8;9;10;11;12;13;14;15;16;17;18;19;20;21;22;23;24;25;26;27;28;29;30},
     COUNTIFS($T$3:$T$201,$M264)&gt;0,
     COUNTIFS($U$3:$U$201,$M264)&gt;0,
     COUNTIFS($V$3:$V$201,$M264)&gt;0,
     COUNTIFS($W$3:$W$201,$M264)&gt;0,
     COUNTIFS($X$3:$X$201,$M264)&gt;0,
     COUNTIFS($Y$3:$Y$201,$M264)&gt;0,
     COUNTIFS($Z$3:$Z$201,$M264)&gt;0,
     COUNTIFS($AA$3:$AA$201,$M264)&gt;0,
     COUNTIFS($AB$3:$AB$201,$M264)&gt;0,
     COUNTIFS($AC$3:$AC$201,$M264)&gt;0,
     COUNTIFS($AD$3:$AD$201,$M264)&gt;0,
     COUNTIFS($AE$3:$AE$201,$M264)&gt;0,
     COUNTIFS($AF$3:$AF$201,$M264)&gt;0,
     COUNTIFS($AG$3:$AG$201,$M264)&gt;0,
     COUNTIFS($AH$3:$AH$201,$M264)&gt;0,
     COUNTIFS($AI$3:$AI$201,$M264)&gt;0,
     COUNTIFS($AJ$3:$AJ$201,$M264)&gt;0,
     COUNTIFS($AK$3:$AK$201,$M264)&gt;0,
     COUNTIFS($AL$3:$AL$201,$M264)&gt;0,
     COUNTIFS($AM$3:$AM$201,$M264)&gt;0,
     COUNTIFS($AN$3:$AN$201,$M264)&gt;0,
     COUNTIFS($AO$3:$AO$201,$M264)&gt;0,
     COUNTIFS($AP$3:$AP$201,$M264)&gt;0,
     COUNTIFS($AQ$3:$AQ$201,$M264)&gt;0,
     COUNTIFS($AR$3:$AR$201,$M264)&gt;0,
     COUNTIFS($AS$3:$AS$201,$M264)&gt;0,
     COUNTIFS($AT$3:$AT$201,$M264)&gt;0,
     COUNTIFS($AU$3:$AU$201,$M264)&gt;0,
     COUNTIFS($AV$3:$AV$201,$M264)&gt;0,
     COUNTIFS($AW$3:$AW$201,$M264)&gt;0
   )),
  ),
  2
 ),
"")</f>
        <v/>
      </c>
      <c r="Q264" s="3" t="str" cm="1">
        <f t="array" aca="1" ref="Q264" ca="1">IFERROR(
 INDEX(
  _xlfn._xlws.FILTER($T$2:$AW$2,
   TRANSPOSE(
    CHOOSE({1;2;3;4;5;6;7;8;9;10;11;12;13;14;15;16;17;18;19;20;21;22;23;24;25;26;27;28;29;30},
     COUNTIFS($T$3:$T$201,$M264)&gt;0,
     COUNTIFS($U$3:$U$201,$M264)&gt;0,
     COUNTIFS($V$3:$V$201,$M264)&gt;0,
     COUNTIFS($W$3:$W$201,$M264)&gt;0,
     COUNTIFS($X$3:$X$201,$M264)&gt;0,
     COUNTIFS($Y$3:$Y$201,$M264)&gt;0,
     COUNTIFS($Z$3:$Z$201,$M264)&gt;0,
     COUNTIFS($AA$3:$AA$201,$M264)&gt;0,
     COUNTIFS($AB$3:$AB$201,$M264)&gt;0,
     COUNTIFS($AC$3:$AC$201,$M264)&gt;0,
     COUNTIFS($AD$3:$AD$201,$M264)&gt;0,
     COUNTIFS($AE$3:$AE$201,$M264)&gt;0,
     COUNTIFS($AF$3:$AF$201,$M264)&gt;0,
     COUNTIFS($AG$3:$AG$201,$M264)&gt;0,
     COUNTIFS($AH$3:$AH$201,$M264)&gt;0,
     COUNTIFS($AI$3:$AI$201,$M264)&gt;0,
     COUNTIFS($AJ$3:$AJ$201,$M264)&gt;0,
     COUNTIFS($AK$3:$AK$201,$M264)&gt;0,
     COUNTIFS($AL$3:$AL$201,$M264)&gt;0,
     COUNTIFS($AM$3:$AM$201,$M264)&gt;0,
     COUNTIFS($AN$3:$AN$201,$M264)&gt;0,
     COUNTIFS($AO$3:$AO$201,$M264)&gt;0,
     COUNTIFS($AP$3:$AP$201,$M264)&gt;0,
     COUNTIFS($AQ$3:$AQ$201,$M264)&gt;0,
     COUNTIFS($AR$3:$AR$201,$M264)&gt;0,
     COUNTIFS($AS$3:$AS$201,$M264)&gt;0,
     COUNTIFS($AT$3:$AT$201,$M264)&gt;0,
     COUNTIFS($AU$3:$AU$201,$M264)&gt;0,
     COUNTIFS($AV$3:$AV$201,$M264)&gt;0,
     COUNTIFS($AW$3:$AW$201,$M264)&gt;0
   )),
  ),
  3
 ),
"")</f>
        <v/>
      </c>
      <c r="R264" s="3" t="str" cm="1">
        <f t="array" aca="1" ref="R264" ca="1">IFERROR(
 INDEX(
  _xlfn._xlws.FILTER($T$2:$AW$2,
   TRANSPOSE(
    CHOOSE({1;2;3;4;5;6;7;8;9;10;11;12;13;14;15;16;17;18;19;20;21;22;23;24;25;26;27;28;29;30},
     COUNTIFS($T$3:$T$201,$M264)&gt;0,
     COUNTIFS($U$3:$U$201,$M264)&gt;0,
     COUNTIFS($V$3:$V$201,$M264)&gt;0,
     COUNTIFS($W$3:$W$201,$M264)&gt;0,
     COUNTIFS($X$3:$X$201,$M264)&gt;0,
     COUNTIFS($Y$3:$Y$201,$M264)&gt;0,
     COUNTIFS($Z$3:$Z$201,$M264)&gt;0,
     COUNTIFS($AA$3:$AA$201,$M264)&gt;0,
     COUNTIFS($AB$3:$AB$201,$M264)&gt;0,
     COUNTIFS($AC$3:$AC$201,$M264)&gt;0,
     COUNTIFS($AD$3:$AD$201,$M264)&gt;0,
     COUNTIFS($AE$3:$AE$201,$M264)&gt;0,
     COUNTIFS($AF$3:$AF$201,$M264)&gt;0,
     COUNTIFS($AG$3:$AG$201,$M264)&gt;0,
     COUNTIFS($AH$3:$AH$201,$M264)&gt;0,
     COUNTIFS($AI$3:$AI$201,$M264)&gt;0,
     COUNTIFS($AJ$3:$AJ$201,$M264)&gt;0,
     COUNTIFS($AK$3:$AK$201,$M264)&gt;0,
     COUNTIFS($AL$3:$AL$201,$M264)&gt;0,
     COUNTIFS($AM$3:$AM$201,$M264)&gt;0,
     COUNTIFS($AN$3:$AN$201,$M264)&gt;0,
     COUNTIFS($AO$3:$AO$201,$M264)&gt;0,
     COUNTIFS($AP$3:$AP$201,$M264)&gt;0,
     COUNTIFS($AQ$3:$AQ$201,$M264)&gt;0,
     COUNTIFS($AR$3:$AR$201,$M264)&gt;0,
     COUNTIFS($AS$3:$AS$201,$M264)&gt;0,
     COUNTIFS($AT$3:$AT$201,$M264)&gt;0,
     COUNTIFS($AU$3:$AU$201,$M264)&gt;0,
     COUNTIFS($AV$3:$AV$201,$M264)&gt;0,
     COUNTIFS($AW$3:$AW$201,$M264)&gt;0
   )),
  ),
  4
 ),
"")</f>
        <v/>
      </c>
      <c r="CI264" t="str">
        <f ca="1"/>
        <v>Urna de Mosco-lumes</v>
      </c>
    </row>
    <row r="265" spans="1:87" x14ac:dyDescent="0.25">
      <c r="A265" t="str">
        <f ca="1"/>
        <v>Summon: Leviathan</v>
      </c>
      <c r="B265" s="3" t="str" cm="1">
        <f t="array" aca="1" ref="B265" ca="1">_xlfn.ANCHORARRAY(RESUMO!C264)</f>
        <v>Kumena</v>
      </c>
      <c r="C265" s="3" t="str">
        <f t="shared" ca="1" si="16"/>
        <v/>
      </c>
      <c r="E265" t="str">
        <f ca="1"/>
        <v>Urza Assembles the Titans</v>
      </c>
      <c r="F265" s="3">
        <f t="shared" ca="1" si="17"/>
        <v>1</v>
      </c>
      <c r="G265" s="3" t="str">
        <f t="shared" ca="1" si="18"/>
        <v>Sisay</v>
      </c>
      <c r="M265" t="str">
        <f ca="1"/>
        <v>Urza Assembles the Titans</v>
      </c>
      <c r="N265" s="3">
        <f t="shared" ca="1" si="19"/>
        <v>1</v>
      </c>
      <c r="O265" s="3" t="str">
        <f ca="1">IFERROR(
 INDEX($T$2:$AW$2,
  MATCH(TRUE,
   CHOOSE({1;2;3;4;5;6;7;8;9;10;11;12;13;14;15;16;17;18;19;20;21;22;23;24;25;26;27;28;29;30;31;32},
    COUNTIFS($T$3:$T$201,$M265)&gt;0,
    COUNTIFS($U$3:$U$201,$M265)&gt;0,
    COUNTIFS($V$3:$V$201,$M265)&gt;0,
    COUNTIFS($W$3:$W$201,$M265)&gt;0,
    COUNTIFS($X$3:$X$201,$M265)&gt;0,
    COUNTIFS($Y$3:$Y$201,$M265)&gt;0,
    COUNTIFS($Z$3:$Z$201,$M265)&gt;0,
    COUNTIFS($AA$3:$AA$201,$M265)&gt;0,
    COUNTIFS($AB$3:$AB$201,$M265)&gt;0,
    COUNTIFS($AC$3:$AC$201,$M265)&gt;0,
    COUNTIFS($AD$3:$AD$201,$M265)&gt;0,
    COUNTIFS($AE$3:$AE$201,$M265)&gt;0,
    COUNTIFS($AF$3:$AF$201,$M265)&gt;0,
    COUNTIFS($AG$3:$AG$201,$M265)&gt;0,
    COUNTIFS($AH$3:$AH$201,$M265)&gt;0,
    COUNTIFS($AI$3:$AI$201,$M265)&gt;0,
    COUNTIFS($AJ$3:$AJ$201,$M265)&gt;0,
    COUNTIFS($AK$3:$AK$201,$M265)&gt;0,
    COUNTIFS($AL$3:$AL$201,$M265)&gt;0,
    COUNTIFS($AM$3:$AM$201,$M265)&gt;0,
    COUNTIFS($AN$3:$AN$201,$M265)&gt;0,
    COUNTIFS($AO$3:$AO$201,$M265)&gt;0,
    COUNTIFS($AP$3:$AP$201,$M265)&gt;0,
    COUNTIFS($AQ$3:$AQ$201,$M265)&gt;0,
    COUNTIFS($AR$3:$AR$201,$M265)&gt;0,
    COUNTIFS($AS$3:$AS$201,$M265)&gt;0,
    COUNTIFS($AT$3:$AT$201,$M265)&gt;0,
    COUNTIFS($AU$3:$AU$201,$M265)&gt;0,
    COUNTIFS($AV$3:$AV$201,$M265)&gt;0,
    COUNTIFS($AW$3:$AW$201,$M265)&gt;0
   ),
  0)
 ),
"")</f>
        <v>Sisay</v>
      </c>
      <c r="P265" s="3" t="str" cm="1">
        <f t="array" aca="1" ref="P265" ca="1">IFERROR(
 INDEX(
  _xlfn._xlws.FILTER($T$2:$AW$2,
   TRANSPOSE(
    CHOOSE({1;2;3;4;5;6;7;8;9;10;11;12;13;14;15;16;17;18;19;20;21;22;23;24;25;26;27;28;29;30},
     COUNTIFS($T$3:$T$201,$M265)&gt;0,
     COUNTIFS($U$3:$U$201,$M265)&gt;0,
     COUNTIFS($V$3:$V$201,$M265)&gt;0,
     COUNTIFS($W$3:$W$201,$M265)&gt;0,
     COUNTIFS($X$3:$X$201,$M265)&gt;0,
     COUNTIFS($Y$3:$Y$201,$M265)&gt;0,
     COUNTIFS($Z$3:$Z$201,$M265)&gt;0,
     COUNTIFS($AA$3:$AA$201,$M265)&gt;0,
     COUNTIFS($AB$3:$AB$201,$M265)&gt;0,
     COUNTIFS($AC$3:$AC$201,$M265)&gt;0,
     COUNTIFS($AD$3:$AD$201,$M265)&gt;0,
     COUNTIFS($AE$3:$AE$201,$M265)&gt;0,
     COUNTIFS($AF$3:$AF$201,$M265)&gt;0,
     COUNTIFS($AG$3:$AG$201,$M265)&gt;0,
     COUNTIFS($AH$3:$AH$201,$M265)&gt;0,
     COUNTIFS($AI$3:$AI$201,$M265)&gt;0,
     COUNTIFS($AJ$3:$AJ$201,$M265)&gt;0,
     COUNTIFS($AK$3:$AK$201,$M265)&gt;0,
     COUNTIFS($AL$3:$AL$201,$M265)&gt;0,
     COUNTIFS($AM$3:$AM$201,$M265)&gt;0,
     COUNTIFS($AN$3:$AN$201,$M265)&gt;0,
     COUNTIFS($AO$3:$AO$201,$M265)&gt;0,
     COUNTIFS($AP$3:$AP$201,$M265)&gt;0,
     COUNTIFS($AQ$3:$AQ$201,$M265)&gt;0,
     COUNTIFS($AR$3:$AR$201,$M265)&gt;0,
     COUNTIFS($AS$3:$AS$201,$M265)&gt;0,
     COUNTIFS($AT$3:$AT$201,$M265)&gt;0,
     COUNTIFS($AU$3:$AU$201,$M265)&gt;0,
     COUNTIFS($AV$3:$AV$201,$M265)&gt;0,
     COUNTIFS($AW$3:$AW$201,$M265)&gt;0
   )),
  ),
  2
 ),
"")</f>
        <v/>
      </c>
      <c r="Q265" s="3" t="str" cm="1">
        <f t="array" aca="1" ref="Q265" ca="1">IFERROR(
 INDEX(
  _xlfn._xlws.FILTER($T$2:$AW$2,
   TRANSPOSE(
    CHOOSE({1;2;3;4;5;6;7;8;9;10;11;12;13;14;15;16;17;18;19;20;21;22;23;24;25;26;27;28;29;30},
     COUNTIFS($T$3:$T$201,$M265)&gt;0,
     COUNTIFS($U$3:$U$201,$M265)&gt;0,
     COUNTIFS($V$3:$V$201,$M265)&gt;0,
     COUNTIFS($W$3:$W$201,$M265)&gt;0,
     COUNTIFS($X$3:$X$201,$M265)&gt;0,
     COUNTIFS($Y$3:$Y$201,$M265)&gt;0,
     COUNTIFS($Z$3:$Z$201,$M265)&gt;0,
     COUNTIFS($AA$3:$AA$201,$M265)&gt;0,
     COUNTIFS($AB$3:$AB$201,$M265)&gt;0,
     COUNTIFS($AC$3:$AC$201,$M265)&gt;0,
     COUNTIFS($AD$3:$AD$201,$M265)&gt;0,
     COUNTIFS($AE$3:$AE$201,$M265)&gt;0,
     COUNTIFS($AF$3:$AF$201,$M265)&gt;0,
     COUNTIFS($AG$3:$AG$201,$M265)&gt;0,
     COUNTIFS($AH$3:$AH$201,$M265)&gt;0,
     COUNTIFS($AI$3:$AI$201,$M265)&gt;0,
     COUNTIFS($AJ$3:$AJ$201,$M265)&gt;0,
     COUNTIFS($AK$3:$AK$201,$M265)&gt;0,
     COUNTIFS($AL$3:$AL$201,$M265)&gt;0,
     COUNTIFS($AM$3:$AM$201,$M265)&gt;0,
     COUNTIFS($AN$3:$AN$201,$M265)&gt;0,
     COUNTIFS($AO$3:$AO$201,$M265)&gt;0,
     COUNTIFS($AP$3:$AP$201,$M265)&gt;0,
     COUNTIFS($AQ$3:$AQ$201,$M265)&gt;0,
     COUNTIFS($AR$3:$AR$201,$M265)&gt;0,
     COUNTIFS($AS$3:$AS$201,$M265)&gt;0,
     COUNTIFS($AT$3:$AT$201,$M265)&gt;0,
     COUNTIFS($AU$3:$AU$201,$M265)&gt;0,
     COUNTIFS($AV$3:$AV$201,$M265)&gt;0,
     COUNTIFS($AW$3:$AW$201,$M265)&gt;0
   )),
  ),
  3
 ),
"")</f>
        <v/>
      </c>
      <c r="R265" s="3" t="str" cm="1">
        <f t="array" aca="1" ref="R265" ca="1">IFERROR(
 INDEX(
  _xlfn._xlws.FILTER($T$2:$AW$2,
   TRANSPOSE(
    CHOOSE({1;2;3;4;5;6;7;8;9;10;11;12;13;14;15;16;17;18;19;20;21;22;23;24;25;26;27;28;29;30},
     COUNTIFS($T$3:$T$201,$M265)&gt;0,
     COUNTIFS($U$3:$U$201,$M265)&gt;0,
     COUNTIFS($V$3:$V$201,$M265)&gt;0,
     COUNTIFS($W$3:$W$201,$M265)&gt;0,
     COUNTIFS($X$3:$X$201,$M265)&gt;0,
     COUNTIFS($Y$3:$Y$201,$M265)&gt;0,
     COUNTIFS($Z$3:$Z$201,$M265)&gt;0,
     COUNTIFS($AA$3:$AA$201,$M265)&gt;0,
     COUNTIFS($AB$3:$AB$201,$M265)&gt;0,
     COUNTIFS($AC$3:$AC$201,$M265)&gt;0,
     COUNTIFS($AD$3:$AD$201,$M265)&gt;0,
     COUNTIFS($AE$3:$AE$201,$M265)&gt;0,
     COUNTIFS($AF$3:$AF$201,$M265)&gt;0,
     COUNTIFS($AG$3:$AG$201,$M265)&gt;0,
     COUNTIFS($AH$3:$AH$201,$M265)&gt;0,
     COUNTIFS($AI$3:$AI$201,$M265)&gt;0,
     COUNTIFS($AJ$3:$AJ$201,$M265)&gt;0,
     COUNTIFS($AK$3:$AK$201,$M265)&gt;0,
     COUNTIFS($AL$3:$AL$201,$M265)&gt;0,
     COUNTIFS($AM$3:$AM$201,$M265)&gt;0,
     COUNTIFS($AN$3:$AN$201,$M265)&gt;0,
     COUNTIFS($AO$3:$AO$201,$M265)&gt;0,
     COUNTIFS($AP$3:$AP$201,$M265)&gt;0,
     COUNTIFS($AQ$3:$AQ$201,$M265)&gt;0,
     COUNTIFS($AR$3:$AR$201,$M265)&gt;0,
     COUNTIFS($AS$3:$AS$201,$M265)&gt;0,
     COUNTIFS($AT$3:$AT$201,$M265)&gt;0,
     COUNTIFS($AU$3:$AU$201,$M265)&gt;0,
     COUNTIFS($AV$3:$AV$201,$M265)&gt;0,
     COUNTIFS($AW$3:$AW$201,$M265)&gt;0
   )),
  ),
  4
 ),
"")</f>
        <v/>
      </c>
      <c r="CI265" t="str">
        <f ca="1"/>
        <v>Urza Assembles the Titans</v>
      </c>
    </row>
    <row r="266" spans="1:87" x14ac:dyDescent="0.25">
      <c r="A266" t="str">
        <f ca="1"/>
        <v>Sunhome, Fortress of the Legion</v>
      </c>
      <c r="B266" s="3" t="str" cm="1">
        <f t="array" aca="1" ref="B266" ca="1">_xlfn.ANCHORARRAY(RESUMO!C265)</f>
        <v>Modular</v>
      </c>
      <c r="C266" s="3" t="str">
        <f t="shared" ca="1" si="16"/>
        <v/>
      </c>
      <c r="E266" t="str">
        <f ca="1"/>
        <v>Urzal Ventoso</v>
      </c>
      <c r="F266" s="3">
        <f t="shared" ca="1" si="17"/>
        <v>1</v>
      </c>
      <c r="G266" s="3" t="str">
        <f t="shared" ca="1" si="18"/>
        <v>Modular</v>
      </c>
      <c r="M266" t="str">
        <f ca="1"/>
        <v>Urzal Ventoso</v>
      </c>
      <c r="N266" s="3">
        <f t="shared" ca="1" si="19"/>
        <v>1</v>
      </c>
      <c r="O266" s="3" t="str">
        <f ca="1">IFERROR(
 INDEX($T$2:$AW$2,
  MATCH(TRUE,
   CHOOSE({1;2;3;4;5;6;7;8;9;10;11;12;13;14;15;16;17;18;19;20;21;22;23;24;25;26;27;28;29;30;31;32},
    COUNTIFS($T$3:$T$201,$M266)&gt;0,
    COUNTIFS($U$3:$U$201,$M266)&gt;0,
    COUNTIFS($V$3:$V$201,$M266)&gt;0,
    COUNTIFS($W$3:$W$201,$M266)&gt;0,
    COUNTIFS($X$3:$X$201,$M266)&gt;0,
    COUNTIFS($Y$3:$Y$201,$M266)&gt;0,
    COUNTIFS($Z$3:$Z$201,$M266)&gt;0,
    COUNTIFS($AA$3:$AA$201,$M266)&gt;0,
    COUNTIFS($AB$3:$AB$201,$M266)&gt;0,
    COUNTIFS($AC$3:$AC$201,$M266)&gt;0,
    COUNTIFS($AD$3:$AD$201,$M266)&gt;0,
    COUNTIFS($AE$3:$AE$201,$M266)&gt;0,
    COUNTIFS($AF$3:$AF$201,$M266)&gt;0,
    COUNTIFS($AG$3:$AG$201,$M266)&gt;0,
    COUNTIFS($AH$3:$AH$201,$M266)&gt;0,
    COUNTIFS($AI$3:$AI$201,$M266)&gt;0,
    COUNTIFS($AJ$3:$AJ$201,$M266)&gt;0,
    COUNTIFS($AK$3:$AK$201,$M266)&gt;0,
    COUNTIFS($AL$3:$AL$201,$M266)&gt;0,
    COUNTIFS($AM$3:$AM$201,$M266)&gt;0,
    COUNTIFS($AN$3:$AN$201,$M266)&gt;0,
    COUNTIFS($AO$3:$AO$201,$M266)&gt;0,
    COUNTIFS($AP$3:$AP$201,$M266)&gt;0,
    COUNTIFS($AQ$3:$AQ$201,$M266)&gt;0,
    COUNTIFS($AR$3:$AR$201,$M266)&gt;0,
    COUNTIFS($AS$3:$AS$201,$M266)&gt;0,
    COUNTIFS($AT$3:$AT$201,$M266)&gt;0,
    COUNTIFS($AU$3:$AU$201,$M266)&gt;0,
    COUNTIFS($AV$3:$AV$201,$M266)&gt;0,
    COUNTIFS($AW$3:$AW$201,$M266)&gt;0
   ),
  0)
 ),
"")</f>
        <v>Modular</v>
      </c>
      <c r="P266" s="3" t="str" cm="1">
        <f t="array" aca="1" ref="P266" ca="1">IFERROR(
 INDEX(
  _xlfn._xlws.FILTER($T$2:$AW$2,
   TRANSPOSE(
    CHOOSE({1;2;3;4;5;6;7;8;9;10;11;12;13;14;15;16;17;18;19;20;21;22;23;24;25;26;27;28;29;30},
     COUNTIFS($T$3:$T$201,$M266)&gt;0,
     COUNTIFS($U$3:$U$201,$M266)&gt;0,
     COUNTIFS($V$3:$V$201,$M266)&gt;0,
     COUNTIFS($W$3:$W$201,$M266)&gt;0,
     COUNTIFS($X$3:$X$201,$M266)&gt;0,
     COUNTIFS($Y$3:$Y$201,$M266)&gt;0,
     COUNTIFS($Z$3:$Z$201,$M266)&gt;0,
     COUNTIFS($AA$3:$AA$201,$M266)&gt;0,
     COUNTIFS($AB$3:$AB$201,$M266)&gt;0,
     COUNTIFS($AC$3:$AC$201,$M266)&gt;0,
     COUNTIFS($AD$3:$AD$201,$M266)&gt;0,
     COUNTIFS($AE$3:$AE$201,$M266)&gt;0,
     COUNTIFS($AF$3:$AF$201,$M266)&gt;0,
     COUNTIFS($AG$3:$AG$201,$M266)&gt;0,
     COUNTIFS($AH$3:$AH$201,$M266)&gt;0,
     COUNTIFS($AI$3:$AI$201,$M266)&gt;0,
     COUNTIFS($AJ$3:$AJ$201,$M266)&gt;0,
     COUNTIFS($AK$3:$AK$201,$M266)&gt;0,
     COUNTIFS($AL$3:$AL$201,$M266)&gt;0,
     COUNTIFS($AM$3:$AM$201,$M266)&gt;0,
     COUNTIFS($AN$3:$AN$201,$M266)&gt;0,
     COUNTIFS($AO$3:$AO$201,$M266)&gt;0,
     COUNTIFS($AP$3:$AP$201,$M266)&gt;0,
     COUNTIFS($AQ$3:$AQ$201,$M266)&gt;0,
     COUNTIFS($AR$3:$AR$201,$M266)&gt;0,
     COUNTIFS($AS$3:$AS$201,$M266)&gt;0,
     COUNTIFS($AT$3:$AT$201,$M266)&gt;0,
     COUNTIFS($AU$3:$AU$201,$M266)&gt;0,
     COUNTIFS($AV$3:$AV$201,$M266)&gt;0,
     COUNTIFS($AW$3:$AW$201,$M266)&gt;0
   )),
  ),
  2
 ),
"")</f>
        <v/>
      </c>
      <c r="Q266" s="3" t="str" cm="1">
        <f t="array" aca="1" ref="Q266" ca="1">IFERROR(
 INDEX(
  _xlfn._xlws.FILTER($T$2:$AW$2,
   TRANSPOSE(
    CHOOSE({1;2;3;4;5;6;7;8;9;10;11;12;13;14;15;16;17;18;19;20;21;22;23;24;25;26;27;28;29;30},
     COUNTIFS($T$3:$T$201,$M266)&gt;0,
     COUNTIFS($U$3:$U$201,$M266)&gt;0,
     COUNTIFS($V$3:$V$201,$M266)&gt;0,
     COUNTIFS($W$3:$W$201,$M266)&gt;0,
     COUNTIFS($X$3:$X$201,$M266)&gt;0,
     COUNTIFS($Y$3:$Y$201,$M266)&gt;0,
     COUNTIFS($Z$3:$Z$201,$M266)&gt;0,
     COUNTIFS($AA$3:$AA$201,$M266)&gt;0,
     COUNTIFS($AB$3:$AB$201,$M266)&gt;0,
     COUNTIFS($AC$3:$AC$201,$M266)&gt;0,
     COUNTIFS($AD$3:$AD$201,$M266)&gt;0,
     COUNTIFS($AE$3:$AE$201,$M266)&gt;0,
     COUNTIFS($AF$3:$AF$201,$M266)&gt;0,
     COUNTIFS($AG$3:$AG$201,$M266)&gt;0,
     COUNTIFS($AH$3:$AH$201,$M266)&gt;0,
     COUNTIFS($AI$3:$AI$201,$M266)&gt;0,
     COUNTIFS($AJ$3:$AJ$201,$M266)&gt;0,
     COUNTIFS($AK$3:$AK$201,$M266)&gt;0,
     COUNTIFS($AL$3:$AL$201,$M266)&gt;0,
     COUNTIFS($AM$3:$AM$201,$M266)&gt;0,
     COUNTIFS($AN$3:$AN$201,$M266)&gt;0,
     COUNTIFS($AO$3:$AO$201,$M266)&gt;0,
     COUNTIFS($AP$3:$AP$201,$M266)&gt;0,
     COUNTIFS($AQ$3:$AQ$201,$M266)&gt;0,
     COUNTIFS($AR$3:$AR$201,$M266)&gt;0,
     COUNTIFS($AS$3:$AS$201,$M266)&gt;0,
     COUNTIFS($AT$3:$AT$201,$M266)&gt;0,
     COUNTIFS($AU$3:$AU$201,$M266)&gt;0,
     COUNTIFS($AV$3:$AV$201,$M266)&gt;0,
     COUNTIFS($AW$3:$AW$201,$M266)&gt;0
   )),
  ),
  3
 ),
"")</f>
        <v/>
      </c>
      <c r="R266" s="3" t="str" cm="1">
        <f t="array" aca="1" ref="R266" ca="1">IFERROR(
 INDEX(
  _xlfn._xlws.FILTER($T$2:$AW$2,
   TRANSPOSE(
    CHOOSE({1;2;3;4;5;6;7;8;9;10;11;12;13;14;15;16;17;18;19;20;21;22;23;24;25;26;27;28;29;30},
     COUNTIFS($T$3:$T$201,$M266)&gt;0,
     COUNTIFS($U$3:$U$201,$M266)&gt;0,
     COUNTIFS($V$3:$V$201,$M266)&gt;0,
     COUNTIFS($W$3:$W$201,$M266)&gt;0,
     COUNTIFS($X$3:$X$201,$M266)&gt;0,
     COUNTIFS($Y$3:$Y$201,$M266)&gt;0,
     COUNTIFS($Z$3:$Z$201,$M266)&gt;0,
     COUNTIFS($AA$3:$AA$201,$M266)&gt;0,
     COUNTIFS($AB$3:$AB$201,$M266)&gt;0,
     COUNTIFS($AC$3:$AC$201,$M266)&gt;0,
     COUNTIFS($AD$3:$AD$201,$M266)&gt;0,
     COUNTIFS($AE$3:$AE$201,$M266)&gt;0,
     COUNTIFS($AF$3:$AF$201,$M266)&gt;0,
     COUNTIFS($AG$3:$AG$201,$M266)&gt;0,
     COUNTIFS($AH$3:$AH$201,$M266)&gt;0,
     COUNTIFS($AI$3:$AI$201,$M266)&gt;0,
     COUNTIFS($AJ$3:$AJ$201,$M266)&gt;0,
     COUNTIFS($AK$3:$AK$201,$M266)&gt;0,
     COUNTIFS($AL$3:$AL$201,$M266)&gt;0,
     COUNTIFS($AM$3:$AM$201,$M266)&gt;0,
     COUNTIFS($AN$3:$AN$201,$M266)&gt;0,
     COUNTIFS($AO$3:$AO$201,$M266)&gt;0,
     COUNTIFS($AP$3:$AP$201,$M266)&gt;0,
     COUNTIFS($AQ$3:$AQ$201,$M266)&gt;0,
     COUNTIFS($AR$3:$AR$201,$M266)&gt;0,
     COUNTIFS($AS$3:$AS$201,$M266)&gt;0,
     COUNTIFS($AT$3:$AT$201,$M266)&gt;0,
     COUNTIFS($AU$3:$AU$201,$M266)&gt;0,
     COUNTIFS($AV$3:$AV$201,$M266)&gt;0,
     COUNTIFS($AW$3:$AW$201,$M266)&gt;0
   )),
  ),
  4
 ),
"")</f>
        <v/>
      </c>
      <c r="CI266" t="str">
        <f ca="1"/>
        <v>Urzal Ventoso</v>
      </c>
    </row>
    <row r="267" spans="1:87" x14ac:dyDescent="0.25">
      <c r="A267" t="str">
        <f ca="1"/>
        <v>Sunscorched Divide</v>
      </c>
      <c r="B267" s="3" t="str" cm="1">
        <f t="array" aca="1" ref="B267" ca="1">_xlfn.ANCHORARRAY(RESUMO!C266)</f>
        <v>Baylen</v>
      </c>
      <c r="C267" s="3" t="str">
        <f t="shared" ca="1" si="16"/>
        <v/>
      </c>
      <c r="E267" t="str">
        <f ca="1"/>
        <v>Vale Afundado</v>
      </c>
      <c r="F267" s="3">
        <f t="shared" ca="1" si="17"/>
        <v>1</v>
      </c>
      <c r="G267" s="3" t="str">
        <f t="shared" ca="1" si="18"/>
        <v>Zimone</v>
      </c>
      <c r="M267" t="str">
        <f ca="1"/>
        <v>Vale Afundado</v>
      </c>
      <c r="N267" s="3">
        <f t="shared" ca="1" si="19"/>
        <v>1</v>
      </c>
      <c r="O267" s="3" t="str">
        <f ca="1">IFERROR(
 INDEX($T$2:$AW$2,
  MATCH(TRUE,
   CHOOSE({1;2;3;4;5;6;7;8;9;10;11;12;13;14;15;16;17;18;19;20;21;22;23;24;25;26;27;28;29;30;31;32},
    COUNTIFS($T$3:$T$201,$M267)&gt;0,
    COUNTIFS($U$3:$U$201,$M267)&gt;0,
    COUNTIFS($V$3:$V$201,$M267)&gt;0,
    COUNTIFS($W$3:$W$201,$M267)&gt;0,
    COUNTIFS($X$3:$X$201,$M267)&gt;0,
    COUNTIFS($Y$3:$Y$201,$M267)&gt;0,
    COUNTIFS($Z$3:$Z$201,$M267)&gt;0,
    COUNTIFS($AA$3:$AA$201,$M267)&gt;0,
    COUNTIFS($AB$3:$AB$201,$M267)&gt;0,
    COUNTIFS($AC$3:$AC$201,$M267)&gt;0,
    COUNTIFS($AD$3:$AD$201,$M267)&gt;0,
    COUNTIFS($AE$3:$AE$201,$M267)&gt;0,
    COUNTIFS($AF$3:$AF$201,$M267)&gt;0,
    COUNTIFS($AG$3:$AG$201,$M267)&gt;0,
    COUNTIFS($AH$3:$AH$201,$M267)&gt;0,
    COUNTIFS($AI$3:$AI$201,$M267)&gt;0,
    COUNTIFS($AJ$3:$AJ$201,$M267)&gt;0,
    COUNTIFS($AK$3:$AK$201,$M267)&gt;0,
    COUNTIFS($AL$3:$AL$201,$M267)&gt;0,
    COUNTIFS($AM$3:$AM$201,$M267)&gt;0,
    COUNTIFS($AN$3:$AN$201,$M267)&gt;0,
    COUNTIFS($AO$3:$AO$201,$M267)&gt;0,
    COUNTIFS($AP$3:$AP$201,$M267)&gt;0,
    COUNTIFS($AQ$3:$AQ$201,$M267)&gt;0,
    COUNTIFS($AR$3:$AR$201,$M267)&gt;0,
    COUNTIFS($AS$3:$AS$201,$M267)&gt;0,
    COUNTIFS($AT$3:$AT$201,$M267)&gt;0,
    COUNTIFS($AU$3:$AU$201,$M267)&gt;0,
    COUNTIFS($AV$3:$AV$201,$M267)&gt;0,
    COUNTIFS($AW$3:$AW$201,$M267)&gt;0
   ),
  0)
 ),
"")</f>
        <v>Zimone</v>
      </c>
      <c r="P267" s="3" t="str" cm="1">
        <f t="array" aca="1" ref="P267" ca="1">IFERROR(
 INDEX(
  _xlfn._xlws.FILTER($T$2:$AW$2,
   TRANSPOSE(
    CHOOSE({1;2;3;4;5;6;7;8;9;10;11;12;13;14;15;16;17;18;19;20;21;22;23;24;25;26;27;28;29;30},
     COUNTIFS($T$3:$T$201,$M267)&gt;0,
     COUNTIFS($U$3:$U$201,$M267)&gt;0,
     COUNTIFS($V$3:$V$201,$M267)&gt;0,
     COUNTIFS($W$3:$W$201,$M267)&gt;0,
     COUNTIFS($X$3:$X$201,$M267)&gt;0,
     COUNTIFS($Y$3:$Y$201,$M267)&gt;0,
     COUNTIFS($Z$3:$Z$201,$M267)&gt;0,
     COUNTIFS($AA$3:$AA$201,$M267)&gt;0,
     COUNTIFS($AB$3:$AB$201,$M267)&gt;0,
     COUNTIFS($AC$3:$AC$201,$M267)&gt;0,
     COUNTIFS($AD$3:$AD$201,$M267)&gt;0,
     COUNTIFS($AE$3:$AE$201,$M267)&gt;0,
     COUNTIFS($AF$3:$AF$201,$M267)&gt;0,
     COUNTIFS($AG$3:$AG$201,$M267)&gt;0,
     COUNTIFS($AH$3:$AH$201,$M267)&gt;0,
     COUNTIFS($AI$3:$AI$201,$M267)&gt;0,
     COUNTIFS($AJ$3:$AJ$201,$M267)&gt;0,
     COUNTIFS($AK$3:$AK$201,$M267)&gt;0,
     COUNTIFS($AL$3:$AL$201,$M267)&gt;0,
     COUNTIFS($AM$3:$AM$201,$M267)&gt;0,
     COUNTIFS($AN$3:$AN$201,$M267)&gt;0,
     COUNTIFS($AO$3:$AO$201,$M267)&gt;0,
     COUNTIFS($AP$3:$AP$201,$M267)&gt;0,
     COUNTIFS($AQ$3:$AQ$201,$M267)&gt;0,
     COUNTIFS($AR$3:$AR$201,$M267)&gt;0,
     COUNTIFS($AS$3:$AS$201,$M267)&gt;0,
     COUNTIFS($AT$3:$AT$201,$M267)&gt;0,
     COUNTIFS($AU$3:$AU$201,$M267)&gt;0,
     COUNTIFS($AV$3:$AV$201,$M267)&gt;0,
     COUNTIFS($AW$3:$AW$201,$M267)&gt;0
   )),
  ),
  2
 ),
"")</f>
        <v/>
      </c>
      <c r="Q267" s="3" t="str" cm="1">
        <f t="array" aca="1" ref="Q267" ca="1">IFERROR(
 INDEX(
  _xlfn._xlws.FILTER($T$2:$AW$2,
   TRANSPOSE(
    CHOOSE({1;2;3;4;5;6;7;8;9;10;11;12;13;14;15;16;17;18;19;20;21;22;23;24;25;26;27;28;29;30},
     COUNTIFS($T$3:$T$201,$M267)&gt;0,
     COUNTIFS($U$3:$U$201,$M267)&gt;0,
     COUNTIFS($V$3:$V$201,$M267)&gt;0,
     COUNTIFS($W$3:$W$201,$M267)&gt;0,
     COUNTIFS($X$3:$X$201,$M267)&gt;0,
     COUNTIFS($Y$3:$Y$201,$M267)&gt;0,
     COUNTIFS($Z$3:$Z$201,$M267)&gt;0,
     COUNTIFS($AA$3:$AA$201,$M267)&gt;0,
     COUNTIFS($AB$3:$AB$201,$M267)&gt;0,
     COUNTIFS($AC$3:$AC$201,$M267)&gt;0,
     COUNTIFS($AD$3:$AD$201,$M267)&gt;0,
     COUNTIFS($AE$3:$AE$201,$M267)&gt;0,
     COUNTIFS($AF$3:$AF$201,$M267)&gt;0,
     COUNTIFS($AG$3:$AG$201,$M267)&gt;0,
     COUNTIFS($AH$3:$AH$201,$M267)&gt;0,
     COUNTIFS($AI$3:$AI$201,$M267)&gt;0,
     COUNTIFS($AJ$3:$AJ$201,$M267)&gt;0,
     COUNTIFS($AK$3:$AK$201,$M267)&gt;0,
     COUNTIFS($AL$3:$AL$201,$M267)&gt;0,
     COUNTIFS($AM$3:$AM$201,$M267)&gt;0,
     COUNTIFS($AN$3:$AN$201,$M267)&gt;0,
     COUNTIFS($AO$3:$AO$201,$M267)&gt;0,
     COUNTIFS($AP$3:$AP$201,$M267)&gt;0,
     COUNTIFS($AQ$3:$AQ$201,$M267)&gt;0,
     COUNTIFS($AR$3:$AR$201,$M267)&gt;0,
     COUNTIFS($AS$3:$AS$201,$M267)&gt;0,
     COUNTIFS($AT$3:$AT$201,$M267)&gt;0,
     COUNTIFS($AU$3:$AU$201,$M267)&gt;0,
     COUNTIFS($AV$3:$AV$201,$M267)&gt;0,
     COUNTIFS($AW$3:$AW$201,$M267)&gt;0
   )),
  ),
  3
 ),
"")</f>
        <v/>
      </c>
      <c r="R267" s="3" t="str" cm="1">
        <f t="array" aca="1" ref="R267" ca="1">IFERROR(
 INDEX(
  _xlfn._xlws.FILTER($T$2:$AW$2,
   TRANSPOSE(
    CHOOSE({1;2;3;4;5;6;7;8;9;10;11;12;13;14;15;16;17;18;19;20;21;22;23;24;25;26;27;28;29;30},
     COUNTIFS($T$3:$T$201,$M267)&gt;0,
     COUNTIFS($U$3:$U$201,$M267)&gt;0,
     COUNTIFS($V$3:$V$201,$M267)&gt;0,
     COUNTIFS($W$3:$W$201,$M267)&gt;0,
     COUNTIFS($X$3:$X$201,$M267)&gt;0,
     COUNTIFS($Y$3:$Y$201,$M267)&gt;0,
     COUNTIFS($Z$3:$Z$201,$M267)&gt;0,
     COUNTIFS($AA$3:$AA$201,$M267)&gt;0,
     COUNTIFS($AB$3:$AB$201,$M267)&gt;0,
     COUNTIFS($AC$3:$AC$201,$M267)&gt;0,
     COUNTIFS($AD$3:$AD$201,$M267)&gt;0,
     COUNTIFS($AE$3:$AE$201,$M267)&gt;0,
     COUNTIFS($AF$3:$AF$201,$M267)&gt;0,
     COUNTIFS($AG$3:$AG$201,$M267)&gt;0,
     COUNTIFS($AH$3:$AH$201,$M267)&gt;0,
     COUNTIFS($AI$3:$AI$201,$M267)&gt;0,
     COUNTIFS($AJ$3:$AJ$201,$M267)&gt;0,
     COUNTIFS($AK$3:$AK$201,$M267)&gt;0,
     COUNTIFS($AL$3:$AL$201,$M267)&gt;0,
     COUNTIFS($AM$3:$AM$201,$M267)&gt;0,
     COUNTIFS($AN$3:$AN$201,$M267)&gt;0,
     COUNTIFS($AO$3:$AO$201,$M267)&gt;0,
     COUNTIFS($AP$3:$AP$201,$M267)&gt;0,
     COUNTIFS($AQ$3:$AQ$201,$M267)&gt;0,
     COUNTIFS($AR$3:$AR$201,$M267)&gt;0,
     COUNTIFS($AS$3:$AS$201,$M267)&gt;0,
     COUNTIFS($AT$3:$AT$201,$M267)&gt;0,
     COUNTIFS($AU$3:$AU$201,$M267)&gt;0,
     COUNTIFS($AV$3:$AV$201,$M267)&gt;0,
     COUNTIFS($AW$3:$AW$201,$M267)&gt;0
   )),
  ),
  4
 ),
"")</f>
        <v/>
      </c>
      <c r="CI267" t="str">
        <f ca="1"/>
        <v>Vale Afundado</v>
      </c>
    </row>
    <row r="268" spans="1:87" x14ac:dyDescent="0.25">
      <c r="A268" t="str">
        <f ca="1"/>
        <v>Surgespanner</v>
      </c>
      <c r="B268" s="3" t="str" cm="1">
        <f t="array" aca="1" ref="B268" ca="1">_xlfn.ANCHORARRAY(RESUMO!C267)</f>
        <v>Kumena</v>
      </c>
      <c r="C268" s="3" t="str">
        <f t="shared" ca="1" si="16"/>
        <v/>
      </c>
      <c r="E268" t="str">
        <f ca="1"/>
        <v>Vigor</v>
      </c>
      <c r="F268" s="3">
        <f t="shared" ca="1" si="17"/>
        <v>1</v>
      </c>
      <c r="G268" s="3" t="str">
        <f t="shared" ca="1" si="18"/>
        <v>Modular</v>
      </c>
      <c r="M268" t="str">
        <f ca="1"/>
        <v>Vigor</v>
      </c>
      <c r="N268" s="3">
        <f t="shared" ca="1" si="19"/>
        <v>1</v>
      </c>
      <c r="O268" s="3" t="str">
        <f ca="1">IFERROR(
 INDEX($T$2:$AW$2,
  MATCH(TRUE,
   CHOOSE({1;2;3;4;5;6;7;8;9;10;11;12;13;14;15;16;17;18;19;20;21;22;23;24;25;26;27;28;29;30;31;32},
    COUNTIFS($T$3:$T$201,$M268)&gt;0,
    COUNTIFS($U$3:$U$201,$M268)&gt;0,
    COUNTIFS($V$3:$V$201,$M268)&gt;0,
    COUNTIFS($W$3:$W$201,$M268)&gt;0,
    COUNTIFS($X$3:$X$201,$M268)&gt;0,
    COUNTIFS($Y$3:$Y$201,$M268)&gt;0,
    COUNTIFS($Z$3:$Z$201,$M268)&gt;0,
    COUNTIFS($AA$3:$AA$201,$M268)&gt;0,
    COUNTIFS($AB$3:$AB$201,$M268)&gt;0,
    COUNTIFS($AC$3:$AC$201,$M268)&gt;0,
    COUNTIFS($AD$3:$AD$201,$M268)&gt;0,
    COUNTIFS($AE$3:$AE$201,$M268)&gt;0,
    COUNTIFS($AF$3:$AF$201,$M268)&gt;0,
    COUNTIFS($AG$3:$AG$201,$M268)&gt;0,
    COUNTIFS($AH$3:$AH$201,$M268)&gt;0,
    COUNTIFS($AI$3:$AI$201,$M268)&gt;0,
    COUNTIFS($AJ$3:$AJ$201,$M268)&gt;0,
    COUNTIFS($AK$3:$AK$201,$M268)&gt;0,
    COUNTIFS($AL$3:$AL$201,$M268)&gt;0,
    COUNTIFS($AM$3:$AM$201,$M268)&gt;0,
    COUNTIFS($AN$3:$AN$201,$M268)&gt;0,
    COUNTIFS($AO$3:$AO$201,$M268)&gt;0,
    COUNTIFS($AP$3:$AP$201,$M268)&gt;0,
    COUNTIFS($AQ$3:$AQ$201,$M268)&gt;0,
    COUNTIFS($AR$3:$AR$201,$M268)&gt;0,
    COUNTIFS($AS$3:$AS$201,$M268)&gt;0,
    COUNTIFS($AT$3:$AT$201,$M268)&gt;0,
    COUNTIFS($AU$3:$AU$201,$M268)&gt;0,
    COUNTIFS($AV$3:$AV$201,$M268)&gt;0,
    COUNTIFS($AW$3:$AW$201,$M268)&gt;0
   ),
  0)
 ),
"")</f>
        <v>Modular</v>
      </c>
      <c r="P268" s="3" t="str" cm="1">
        <f t="array" aca="1" ref="P268" ca="1">IFERROR(
 INDEX(
  _xlfn._xlws.FILTER($T$2:$AW$2,
   TRANSPOSE(
    CHOOSE({1;2;3;4;5;6;7;8;9;10;11;12;13;14;15;16;17;18;19;20;21;22;23;24;25;26;27;28;29;30},
     COUNTIFS($T$3:$T$201,$M268)&gt;0,
     COUNTIFS($U$3:$U$201,$M268)&gt;0,
     COUNTIFS($V$3:$V$201,$M268)&gt;0,
     COUNTIFS($W$3:$W$201,$M268)&gt;0,
     COUNTIFS($X$3:$X$201,$M268)&gt;0,
     COUNTIFS($Y$3:$Y$201,$M268)&gt;0,
     COUNTIFS($Z$3:$Z$201,$M268)&gt;0,
     COUNTIFS($AA$3:$AA$201,$M268)&gt;0,
     COUNTIFS($AB$3:$AB$201,$M268)&gt;0,
     COUNTIFS($AC$3:$AC$201,$M268)&gt;0,
     COUNTIFS($AD$3:$AD$201,$M268)&gt;0,
     COUNTIFS($AE$3:$AE$201,$M268)&gt;0,
     COUNTIFS($AF$3:$AF$201,$M268)&gt;0,
     COUNTIFS($AG$3:$AG$201,$M268)&gt;0,
     COUNTIFS($AH$3:$AH$201,$M268)&gt;0,
     COUNTIFS($AI$3:$AI$201,$M268)&gt;0,
     COUNTIFS($AJ$3:$AJ$201,$M268)&gt;0,
     COUNTIFS($AK$3:$AK$201,$M268)&gt;0,
     COUNTIFS($AL$3:$AL$201,$M268)&gt;0,
     COUNTIFS($AM$3:$AM$201,$M268)&gt;0,
     COUNTIFS($AN$3:$AN$201,$M268)&gt;0,
     COUNTIFS($AO$3:$AO$201,$M268)&gt;0,
     COUNTIFS($AP$3:$AP$201,$M268)&gt;0,
     COUNTIFS($AQ$3:$AQ$201,$M268)&gt;0,
     COUNTIFS($AR$3:$AR$201,$M268)&gt;0,
     COUNTIFS($AS$3:$AS$201,$M268)&gt;0,
     COUNTIFS($AT$3:$AT$201,$M268)&gt;0,
     COUNTIFS($AU$3:$AU$201,$M268)&gt;0,
     COUNTIFS($AV$3:$AV$201,$M268)&gt;0,
     COUNTIFS($AW$3:$AW$201,$M268)&gt;0
   )),
  ),
  2
 ),
"")</f>
        <v/>
      </c>
      <c r="Q268" s="3" t="str" cm="1">
        <f t="array" aca="1" ref="Q268" ca="1">IFERROR(
 INDEX(
  _xlfn._xlws.FILTER($T$2:$AW$2,
   TRANSPOSE(
    CHOOSE({1;2;3;4;5;6;7;8;9;10;11;12;13;14;15;16;17;18;19;20;21;22;23;24;25;26;27;28;29;30},
     COUNTIFS($T$3:$T$201,$M268)&gt;0,
     COUNTIFS($U$3:$U$201,$M268)&gt;0,
     COUNTIFS($V$3:$V$201,$M268)&gt;0,
     COUNTIFS($W$3:$W$201,$M268)&gt;0,
     COUNTIFS($X$3:$X$201,$M268)&gt;0,
     COUNTIFS($Y$3:$Y$201,$M268)&gt;0,
     COUNTIFS($Z$3:$Z$201,$M268)&gt;0,
     COUNTIFS($AA$3:$AA$201,$M268)&gt;0,
     COUNTIFS($AB$3:$AB$201,$M268)&gt;0,
     COUNTIFS($AC$3:$AC$201,$M268)&gt;0,
     COUNTIFS($AD$3:$AD$201,$M268)&gt;0,
     COUNTIFS($AE$3:$AE$201,$M268)&gt;0,
     COUNTIFS($AF$3:$AF$201,$M268)&gt;0,
     COUNTIFS($AG$3:$AG$201,$M268)&gt;0,
     COUNTIFS($AH$3:$AH$201,$M268)&gt;0,
     COUNTIFS($AI$3:$AI$201,$M268)&gt;0,
     COUNTIFS($AJ$3:$AJ$201,$M268)&gt;0,
     COUNTIFS($AK$3:$AK$201,$M268)&gt;0,
     COUNTIFS($AL$3:$AL$201,$M268)&gt;0,
     COUNTIFS($AM$3:$AM$201,$M268)&gt;0,
     COUNTIFS($AN$3:$AN$201,$M268)&gt;0,
     COUNTIFS($AO$3:$AO$201,$M268)&gt;0,
     COUNTIFS($AP$3:$AP$201,$M268)&gt;0,
     COUNTIFS($AQ$3:$AQ$201,$M268)&gt;0,
     COUNTIFS($AR$3:$AR$201,$M268)&gt;0,
     COUNTIFS($AS$3:$AS$201,$M268)&gt;0,
     COUNTIFS($AT$3:$AT$201,$M268)&gt;0,
     COUNTIFS($AU$3:$AU$201,$M268)&gt;0,
     COUNTIFS($AV$3:$AV$201,$M268)&gt;0,
     COUNTIFS($AW$3:$AW$201,$M268)&gt;0
   )),
  ),
  3
 ),
"")</f>
        <v/>
      </c>
      <c r="R268" s="3" t="str" cm="1">
        <f t="array" aca="1" ref="R268" ca="1">IFERROR(
 INDEX(
  _xlfn._xlws.FILTER($T$2:$AW$2,
   TRANSPOSE(
    CHOOSE({1;2;3;4;5;6;7;8;9;10;11;12;13;14;15;16;17;18;19;20;21;22;23;24;25;26;27;28;29;30},
     COUNTIFS($T$3:$T$201,$M268)&gt;0,
     COUNTIFS($U$3:$U$201,$M268)&gt;0,
     COUNTIFS($V$3:$V$201,$M268)&gt;0,
     COUNTIFS($W$3:$W$201,$M268)&gt;0,
     COUNTIFS($X$3:$X$201,$M268)&gt;0,
     COUNTIFS($Y$3:$Y$201,$M268)&gt;0,
     COUNTIFS($Z$3:$Z$201,$M268)&gt;0,
     COUNTIFS($AA$3:$AA$201,$M268)&gt;0,
     COUNTIFS($AB$3:$AB$201,$M268)&gt;0,
     COUNTIFS($AC$3:$AC$201,$M268)&gt;0,
     COUNTIFS($AD$3:$AD$201,$M268)&gt;0,
     COUNTIFS($AE$3:$AE$201,$M268)&gt;0,
     COUNTIFS($AF$3:$AF$201,$M268)&gt;0,
     COUNTIFS($AG$3:$AG$201,$M268)&gt;0,
     COUNTIFS($AH$3:$AH$201,$M268)&gt;0,
     COUNTIFS($AI$3:$AI$201,$M268)&gt;0,
     COUNTIFS($AJ$3:$AJ$201,$M268)&gt;0,
     COUNTIFS($AK$3:$AK$201,$M268)&gt;0,
     COUNTIFS($AL$3:$AL$201,$M268)&gt;0,
     COUNTIFS($AM$3:$AM$201,$M268)&gt;0,
     COUNTIFS($AN$3:$AN$201,$M268)&gt;0,
     COUNTIFS($AO$3:$AO$201,$M268)&gt;0,
     COUNTIFS($AP$3:$AP$201,$M268)&gt;0,
     COUNTIFS($AQ$3:$AQ$201,$M268)&gt;0,
     COUNTIFS($AR$3:$AR$201,$M268)&gt;0,
     COUNTIFS($AS$3:$AS$201,$M268)&gt;0,
     COUNTIFS($AT$3:$AT$201,$M268)&gt;0,
     COUNTIFS($AU$3:$AU$201,$M268)&gt;0,
     COUNTIFS($AV$3:$AV$201,$M268)&gt;0,
     COUNTIFS($AW$3:$AW$201,$M268)&gt;0
   )),
  ),
  4
 ),
"")</f>
        <v/>
      </c>
      <c r="CI268" t="str">
        <f ca="1"/>
        <v>Vigor</v>
      </c>
    </row>
    <row r="269" spans="1:87" x14ac:dyDescent="0.25">
      <c r="A269" t="str">
        <f ca="1"/>
        <v>Susur Secundi, Void Altar</v>
      </c>
      <c r="B269" s="3" t="str" cm="1">
        <f t="array" aca="1" ref="B269" ca="1">_xlfn.ANCHORARRAY(RESUMO!C268)</f>
        <v>OWA</v>
      </c>
      <c r="C269" s="3" t="str">
        <f t="shared" ca="1" si="16"/>
        <v/>
      </c>
      <c r="E269" t="str">
        <f ca="1"/>
        <v>Vivid Marsh</v>
      </c>
      <c r="F269" s="3">
        <f t="shared" ca="1" si="17"/>
        <v>1</v>
      </c>
      <c r="G269" s="3" t="str">
        <f t="shared" ca="1" si="18"/>
        <v>Inalla</v>
      </c>
      <c r="M269" t="str">
        <f ca="1"/>
        <v>Vivid Marsh</v>
      </c>
      <c r="N269" s="3">
        <f t="shared" ca="1" si="19"/>
        <v>1</v>
      </c>
      <c r="O269" s="3" t="str">
        <f ca="1">IFERROR(
 INDEX($T$2:$AW$2,
  MATCH(TRUE,
   CHOOSE({1;2;3;4;5;6;7;8;9;10;11;12;13;14;15;16;17;18;19;20;21;22;23;24;25;26;27;28;29;30;31;32},
    COUNTIFS($T$3:$T$201,$M269)&gt;0,
    COUNTIFS($U$3:$U$201,$M269)&gt;0,
    COUNTIFS($V$3:$V$201,$M269)&gt;0,
    COUNTIFS($W$3:$W$201,$M269)&gt;0,
    COUNTIFS($X$3:$X$201,$M269)&gt;0,
    COUNTIFS($Y$3:$Y$201,$M269)&gt;0,
    COUNTIFS($Z$3:$Z$201,$M269)&gt;0,
    COUNTIFS($AA$3:$AA$201,$M269)&gt;0,
    COUNTIFS($AB$3:$AB$201,$M269)&gt;0,
    COUNTIFS($AC$3:$AC$201,$M269)&gt;0,
    COUNTIFS($AD$3:$AD$201,$M269)&gt;0,
    COUNTIFS($AE$3:$AE$201,$M269)&gt;0,
    COUNTIFS($AF$3:$AF$201,$M269)&gt;0,
    COUNTIFS($AG$3:$AG$201,$M269)&gt;0,
    COUNTIFS($AH$3:$AH$201,$M269)&gt;0,
    COUNTIFS($AI$3:$AI$201,$M269)&gt;0,
    COUNTIFS($AJ$3:$AJ$201,$M269)&gt;0,
    COUNTIFS($AK$3:$AK$201,$M269)&gt;0,
    COUNTIFS($AL$3:$AL$201,$M269)&gt;0,
    COUNTIFS($AM$3:$AM$201,$M269)&gt;0,
    COUNTIFS($AN$3:$AN$201,$M269)&gt;0,
    COUNTIFS($AO$3:$AO$201,$M269)&gt;0,
    COUNTIFS($AP$3:$AP$201,$M269)&gt;0,
    COUNTIFS($AQ$3:$AQ$201,$M269)&gt;0,
    COUNTIFS($AR$3:$AR$201,$M269)&gt;0,
    COUNTIFS($AS$3:$AS$201,$M269)&gt;0,
    COUNTIFS($AT$3:$AT$201,$M269)&gt;0,
    COUNTIFS($AU$3:$AU$201,$M269)&gt;0,
    COUNTIFS($AV$3:$AV$201,$M269)&gt;0,
    COUNTIFS($AW$3:$AW$201,$M269)&gt;0
   ),
  0)
 ),
"")</f>
        <v>Inalla</v>
      </c>
      <c r="P269" s="3" t="str" cm="1">
        <f t="array" aca="1" ref="P269" ca="1">IFERROR(
 INDEX(
  _xlfn._xlws.FILTER($T$2:$AW$2,
   TRANSPOSE(
    CHOOSE({1;2;3;4;5;6;7;8;9;10;11;12;13;14;15;16;17;18;19;20;21;22;23;24;25;26;27;28;29;30},
     COUNTIFS($T$3:$T$201,$M269)&gt;0,
     COUNTIFS($U$3:$U$201,$M269)&gt;0,
     COUNTIFS($V$3:$V$201,$M269)&gt;0,
     COUNTIFS($W$3:$W$201,$M269)&gt;0,
     COUNTIFS($X$3:$X$201,$M269)&gt;0,
     COUNTIFS($Y$3:$Y$201,$M269)&gt;0,
     COUNTIFS($Z$3:$Z$201,$M269)&gt;0,
     COUNTIFS($AA$3:$AA$201,$M269)&gt;0,
     COUNTIFS($AB$3:$AB$201,$M269)&gt;0,
     COUNTIFS($AC$3:$AC$201,$M269)&gt;0,
     COUNTIFS($AD$3:$AD$201,$M269)&gt;0,
     COUNTIFS($AE$3:$AE$201,$M269)&gt;0,
     COUNTIFS($AF$3:$AF$201,$M269)&gt;0,
     COUNTIFS($AG$3:$AG$201,$M269)&gt;0,
     COUNTIFS($AH$3:$AH$201,$M269)&gt;0,
     COUNTIFS($AI$3:$AI$201,$M269)&gt;0,
     COUNTIFS($AJ$3:$AJ$201,$M269)&gt;0,
     COUNTIFS($AK$3:$AK$201,$M269)&gt;0,
     COUNTIFS($AL$3:$AL$201,$M269)&gt;0,
     COUNTIFS($AM$3:$AM$201,$M269)&gt;0,
     COUNTIFS($AN$3:$AN$201,$M269)&gt;0,
     COUNTIFS($AO$3:$AO$201,$M269)&gt;0,
     COUNTIFS($AP$3:$AP$201,$M269)&gt;0,
     COUNTIFS($AQ$3:$AQ$201,$M269)&gt;0,
     COUNTIFS($AR$3:$AR$201,$M269)&gt;0,
     COUNTIFS($AS$3:$AS$201,$M269)&gt;0,
     COUNTIFS($AT$3:$AT$201,$M269)&gt;0,
     COUNTIFS($AU$3:$AU$201,$M269)&gt;0,
     COUNTIFS($AV$3:$AV$201,$M269)&gt;0,
     COUNTIFS($AW$3:$AW$201,$M269)&gt;0
   )),
  ),
  2
 ),
"")</f>
        <v/>
      </c>
      <c r="Q269" s="3" t="str" cm="1">
        <f t="array" aca="1" ref="Q269" ca="1">IFERROR(
 INDEX(
  _xlfn._xlws.FILTER($T$2:$AW$2,
   TRANSPOSE(
    CHOOSE({1;2;3;4;5;6;7;8;9;10;11;12;13;14;15;16;17;18;19;20;21;22;23;24;25;26;27;28;29;30},
     COUNTIFS($T$3:$T$201,$M269)&gt;0,
     COUNTIFS($U$3:$U$201,$M269)&gt;0,
     COUNTIFS($V$3:$V$201,$M269)&gt;0,
     COUNTIFS($W$3:$W$201,$M269)&gt;0,
     COUNTIFS($X$3:$X$201,$M269)&gt;0,
     COUNTIFS($Y$3:$Y$201,$M269)&gt;0,
     COUNTIFS($Z$3:$Z$201,$M269)&gt;0,
     COUNTIFS($AA$3:$AA$201,$M269)&gt;0,
     COUNTIFS($AB$3:$AB$201,$M269)&gt;0,
     COUNTIFS($AC$3:$AC$201,$M269)&gt;0,
     COUNTIFS($AD$3:$AD$201,$M269)&gt;0,
     COUNTIFS($AE$3:$AE$201,$M269)&gt;0,
     COUNTIFS($AF$3:$AF$201,$M269)&gt;0,
     COUNTIFS($AG$3:$AG$201,$M269)&gt;0,
     COUNTIFS($AH$3:$AH$201,$M269)&gt;0,
     COUNTIFS($AI$3:$AI$201,$M269)&gt;0,
     COUNTIFS($AJ$3:$AJ$201,$M269)&gt;0,
     COUNTIFS($AK$3:$AK$201,$M269)&gt;0,
     COUNTIFS($AL$3:$AL$201,$M269)&gt;0,
     COUNTIFS($AM$3:$AM$201,$M269)&gt;0,
     COUNTIFS($AN$3:$AN$201,$M269)&gt;0,
     COUNTIFS($AO$3:$AO$201,$M269)&gt;0,
     COUNTIFS($AP$3:$AP$201,$M269)&gt;0,
     COUNTIFS($AQ$3:$AQ$201,$M269)&gt;0,
     COUNTIFS($AR$3:$AR$201,$M269)&gt;0,
     COUNTIFS($AS$3:$AS$201,$M269)&gt;0,
     COUNTIFS($AT$3:$AT$201,$M269)&gt;0,
     COUNTIFS($AU$3:$AU$201,$M269)&gt;0,
     COUNTIFS($AV$3:$AV$201,$M269)&gt;0,
     COUNTIFS($AW$3:$AW$201,$M269)&gt;0
   )),
  ),
  3
 ),
"")</f>
        <v/>
      </c>
      <c r="R269" s="3" t="str" cm="1">
        <f t="array" aca="1" ref="R269" ca="1">IFERROR(
 INDEX(
  _xlfn._xlws.FILTER($T$2:$AW$2,
   TRANSPOSE(
    CHOOSE({1;2;3;4;5;6;7;8;9;10;11;12;13;14;15;16;17;18;19;20;21;22;23;24;25;26;27;28;29;30},
     COUNTIFS($T$3:$T$201,$M269)&gt;0,
     COUNTIFS($U$3:$U$201,$M269)&gt;0,
     COUNTIFS($V$3:$V$201,$M269)&gt;0,
     COUNTIFS($W$3:$W$201,$M269)&gt;0,
     COUNTIFS($X$3:$X$201,$M269)&gt;0,
     COUNTIFS($Y$3:$Y$201,$M269)&gt;0,
     COUNTIFS($Z$3:$Z$201,$M269)&gt;0,
     COUNTIFS($AA$3:$AA$201,$M269)&gt;0,
     COUNTIFS($AB$3:$AB$201,$M269)&gt;0,
     COUNTIFS($AC$3:$AC$201,$M269)&gt;0,
     COUNTIFS($AD$3:$AD$201,$M269)&gt;0,
     COUNTIFS($AE$3:$AE$201,$M269)&gt;0,
     COUNTIFS($AF$3:$AF$201,$M269)&gt;0,
     COUNTIFS($AG$3:$AG$201,$M269)&gt;0,
     COUNTIFS($AH$3:$AH$201,$M269)&gt;0,
     COUNTIFS($AI$3:$AI$201,$M269)&gt;0,
     COUNTIFS($AJ$3:$AJ$201,$M269)&gt;0,
     COUNTIFS($AK$3:$AK$201,$M269)&gt;0,
     COUNTIFS($AL$3:$AL$201,$M269)&gt;0,
     COUNTIFS($AM$3:$AM$201,$M269)&gt;0,
     COUNTIFS($AN$3:$AN$201,$M269)&gt;0,
     COUNTIFS($AO$3:$AO$201,$M269)&gt;0,
     COUNTIFS($AP$3:$AP$201,$M269)&gt;0,
     COUNTIFS($AQ$3:$AQ$201,$M269)&gt;0,
     COUNTIFS($AR$3:$AR$201,$M269)&gt;0,
     COUNTIFS($AS$3:$AS$201,$M269)&gt;0,
     COUNTIFS($AT$3:$AT$201,$M269)&gt;0,
     COUNTIFS($AU$3:$AU$201,$M269)&gt;0,
     COUNTIFS($AV$3:$AV$201,$M269)&gt;0,
     COUNTIFS($AW$3:$AW$201,$M269)&gt;0
   )),
  ),
  4
 ),
"")</f>
        <v/>
      </c>
      <c r="CI269" t="str">
        <f ca="1"/>
        <v>Vivid Marsh</v>
      </c>
    </row>
    <row r="270" spans="1:87" x14ac:dyDescent="0.25">
      <c r="A270" t="str">
        <f ca="1"/>
        <v>Swamp</v>
      </c>
      <c r="B270" s="3" t="str" cm="1">
        <f t="array" aca="1" ref="B270" ca="1">_xlfn.ANCHORARRAY(RESUMO!C269)</f>
        <v>Elfos</v>
      </c>
      <c r="C270" s="3" t="str">
        <f t="shared" ca="1" si="16"/>
        <v>Piratas</v>
      </c>
      <c r="E270" t="str">
        <f ca="1"/>
        <v>Wall of Roots</v>
      </c>
      <c r="F270" s="3">
        <f t="shared" ca="1" si="17"/>
        <v>1</v>
      </c>
      <c r="G270" s="3" t="str">
        <f t="shared" ca="1" si="18"/>
        <v>Gritrog</v>
      </c>
      <c r="M270" t="str">
        <f ca="1"/>
        <v>Wall of Roots</v>
      </c>
      <c r="N270" s="3">
        <f t="shared" ca="1" si="19"/>
        <v>1</v>
      </c>
      <c r="O270" s="3" t="str">
        <f ca="1">IFERROR(
 INDEX($T$2:$AW$2,
  MATCH(TRUE,
   CHOOSE({1;2;3;4;5;6;7;8;9;10;11;12;13;14;15;16;17;18;19;20;21;22;23;24;25;26;27;28;29;30;31;32},
    COUNTIFS($T$3:$T$201,$M270)&gt;0,
    COUNTIFS($U$3:$U$201,$M270)&gt;0,
    COUNTIFS($V$3:$V$201,$M270)&gt;0,
    COUNTIFS($W$3:$W$201,$M270)&gt;0,
    COUNTIFS($X$3:$X$201,$M270)&gt;0,
    COUNTIFS($Y$3:$Y$201,$M270)&gt;0,
    COUNTIFS($Z$3:$Z$201,$M270)&gt;0,
    COUNTIFS($AA$3:$AA$201,$M270)&gt;0,
    COUNTIFS($AB$3:$AB$201,$M270)&gt;0,
    COUNTIFS($AC$3:$AC$201,$M270)&gt;0,
    COUNTIFS($AD$3:$AD$201,$M270)&gt;0,
    COUNTIFS($AE$3:$AE$201,$M270)&gt;0,
    COUNTIFS($AF$3:$AF$201,$M270)&gt;0,
    COUNTIFS($AG$3:$AG$201,$M270)&gt;0,
    COUNTIFS($AH$3:$AH$201,$M270)&gt;0,
    COUNTIFS($AI$3:$AI$201,$M270)&gt;0,
    COUNTIFS($AJ$3:$AJ$201,$M270)&gt;0,
    COUNTIFS($AK$3:$AK$201,$M270)&gt;0,
    COUNTIFS($AL$3:$AL$201,$M270)&gt;0,
    COUNTIFS($AM$3:$AM$201,$M270)&gt;0,
    COUNTIFS($AN$3:$AN$201,$M270)&gt;0,
    COUNTIFS($AO$3:$AO$201,$M270)&gt;0,
    COUNTIFS($AP$3:$AP$201,$M270)&gt;0,
    COUNTIFS($AQ$3:$AQ$201,$M270)&gt;0,
    COUNTIFS($AR$3:$AR$201,$M270)&gt;0,
    COUNTIFS($AS$3:$AS$201,$M270)&gt;0,
    COUNTIFS($AT$3:$AT$201,$M270)&gt;0,
    COUNTIFS($AU$3:$AU$201,$M270)&gt;0,
    COUNTIFS($AV$3:$AV$201,$M270)&gt;0,
    COUNTIFS($AW$3:$AW$201,$M270)&gt;0
   ),
  0)
 ),
"")</f>
        <v>Gritrog</v>
      </c>
      <c r="P270" s="3" t="str" cm="1">
        <f t="array" aca="1" ref="P270" ca="1">IFERROR(
 INDEX(
  _xlfn._xlws.FILTER($T$2:$AW$2,
   TRANSPOSE(
    CHOOSE({1;2;3;4;5;6;7;8;9;10;11;12;13;14;15;16;17;18;19;20;21;22;23;24;25;26;27;28;29;30},
     COUNTIFS($T$3:$T$201,$M270)&gt;0,
     COUNTIFS($U$3:$U$201,$M270)&gt;0,
     COUNTIFS($V$3:$V$201,$M270)&gt;0,
     COUNTIFS($W$3:$W$201,$M270)&gt;0,
     COUNTIFS($X$3:$X$201,$M270)&gt;0,
     COUNTIFS($Y$3:$Y$201,$M270)&gt;0,
     COUNTIFS($Z$3:$Z$201,$M270)&gt;0,
     COUNTIFS($AA$3:$AA$201,$M270)&gt;0,
     COUNTIFS($AB$3:$AB$201,$M270)&gt;0,
     COUNTIFS($AC$3:$AC$201,$M270)&gt;0,
     COUNTIFS($AD$3:$AD$201,$M270)&gt;0,
     COUNTIFS($AE$3:$AE$201,$M270)&gt;0,
     COUNTIFS($AF$3:$AF$201,$M270)&gt;0,
     COUNTIFS($AG$3:$AG$201,$M270)&gt;0,
     COUNTIFS($AH$3:$AH$201,$M270)&gt;0,
     COUNTIFS($AI$3:$AI$201,$M270)&gt;0,
     COUNTIFS($AJ$3:$AJ$201,$M270)&gt;0,
     COUNTIFS($AK$3:$AK$201,$M270)&gt;0,
     COUNTIFS($AL$3:$AL$201,$M270)&gt;0,
     COUNTIFS($AM$3:$AM$201,$M270)&gt;0,
     COUNTIFS($AN$3:$AN$201,$M270)&gt;0,
     COUNTIFS($AO$3:$AO$201,$M270)&gt;0,
     COUNTIFS($AP$3:$AP$201,$M270)&gt;0,
     COUNTIFS($AQ$3:$AQ$201,$M270)&gt;0,
     COUNTIFS($AR$3:$AR$201,$M270)&gt;0,
     COUNTIFS($AS$3:$AS$201,$M270)&gt;0,
     COUNTIFS($AT$3:$AT$201,$M270)&gt;0,
     COUNTIFS($AU$3:$AU$201,$M270)&gt;0,
     COUNTIFS($AV$3:$AV$201,$M270)&gt;0,
     COUNTIFS($AW$3:$AW$201,$M270)&gt;0
   )),
  ),
  2
 ),
"")</f>
        <v/>
      </c>
      <c r="Q270" s="3" t="str" cm="1">
        <f t="array" aca="1" ref="Q270" ca="1">IFERROR(
 INDEX(
  _xlfn._xlws.FILTER($T$2:$AW$2,
   TRANSPOSE(
    CHOOSE({1;2;3;4;5;6;7;8;9;10;11;12;13;14;15;16;17;18;19;20;21;22;23;24;25;26;27;28;29;30},
     COUNTIFS($T$3:$T$201,$M270)&gt;0,
     COUNTIFS($U$3:$U$201,$M270)&gt;0,
     COUNTIFS($V$3:$V$201,$M270)&gt;0,
     COUNTIFS($W$3:$W$201,$M270)&gt;0,
     COUNTIFS($X$3:$X$201,$M270)&gt;0,
     COUNTIFS($Y$3:$Y$201,$M270)&gt;0,
     COUNTIFS($Z$3:$Z$201,$M270)&gt;0,
     COUNTIFS($AA$3:$AA$201,$M270)&gt;0,
     COUNTIFS($AB$3:$AB$201,$M270)&gt;0,
     COUNTIFS($AC$3:$AC$201,$M270)&gt;0,
     COUNTIFS($AD$3:$AD$201,$M270)&gt;0,
     COUNTIFS($AE$3:$AE$201,$M270)&gt;0,
     COUNTIFS($AF$3:$AF$201,$M270)&gt;0,
     COUNTIFS($AG$3:$AG$201,$M270)&gt;0,
     COUNTIFS($AH$3:$AH$201,$M270)&gt;0,
     COUNTIFS($AI$3:$AI$201,$M270)&gt;0,
     COUNTIFS($AJ$3:$AJ$201,$M270)&gt;0,
     COUNTIFS($AK$3:$AK$201,$M270)&gt;0,
     COUNTIFS($AL$3:$AL$201,$M270)&gt;0,
     COUNTIFS($AM$3:$AM$201,$M270)&gt;0,
     COUNTIFS($AN$3:$AN$201,$M270)&gt;0,
     COUNTIFS($AO$3:$AO$201,$M270)&gt;0,
     COUNTIFS($AP$3:$AP$201,$M270)&gt;0,
     COUNTIFS($AQ$3:$AQ$201,$M270)&gt;0,
     COUNTIFS($AR$3:$AR$201,$M270)&gt;0,
     COUNTIFS($AS$3:$AS$201,$M270)&gt;0,
     COUNTIFS($AT$3:$AT$201,$M270)&gt;0,
     COUNTIFS($AU$3:$AU$201,$M270)&gt;0,
     COUNTIFS($AV$3:$AV$201,$M270)&gt;0,
     COUNTIFS($AW$3:$AW$201,$M270)&gt;0
   )),
  ),
  3
 ),
"")</f>
        <v/>
      </c>
      <c r="R270" s="3" t="str" cm="1">
        <f t="array" aca="1" ref="R270" ca="1">IFERROR(
 INDEX(
  _xlfn._xlws.FILTER($T$2:$AW$2,
   TRANSPOSE(
    CHOOSE({1;2;3;4;5;6;7;8;9;10;11;12;13;14;15;16;17;18;19;20;21;22;23;24;25;26;27;28;29;30},
     COUNTIFS($T$3:$T$201,$M270)&gt;0,
     COUNTIFS($U$3:$U$201,$M270)&gt;0,
     COUNTIFS($V$3:$V$201,$M270)&gt;0,
     COUNTIFS($W$3:$W$201,$M270)&gt;0,
     COUNTIFS($X$3:$X$201,$M270)&gt;0,
     COUNTIFS($Y$3:$Y$201,$M270)&gt;0,
     COUNTIFS($Z$3:$Z$201,$M270)&gt;0,
     COUNTIFS($AA$3:$AA$201,$M270)&gt;0,
     COUNTIFS($AB$3:$AB$201,$M270)&gt;0,
     COUNTIFS($AC$3:$AC$201,$M270)&gt;0,
     COUNTIFS($AD$3:$AD$201,$M270)&gt;0,
     COUNTIFS($AE$3:$AE$201,$M270)&gt;0,
     COUNTIFS($AF$3:$AF$201,$M270)&gt;0,
     COUNTIFS($AG$3:$AG$201,$M270)&gt;0,
     COUNTIFS($AH$3:$AH$201,$M270)&gt;0,
     COUNTIFS($AI$3:$AI$201,$M270)&gt;0,
     COUNTIFS($AJ$3:$AJ$201,$M270)&gt;0,
     COUNTIFS($AK$3:$AK$201,$M270)&gt;0,
     COUNTIFS($AL$3:$AL$201,$M270)&gt;0,
     COUNTIFS($AM$3:$AM$201,$M270)&gt;0,
     COUNTIFS($AN$3:$AN$201,$M270)&gt;0,
     COUNTIFS($AO$3:$AO$201,$M270)&gt;0,
     COUNTIFS($AP$3:$AP$201,$M270)&gt;0,
     COUNTIFS($AQ$3:$AQ$201,$M270)&gt;0,
     COUNTIFS($AR$3:$AR$201,$M270)&gt;0,
     COUNTIFS($AS$3:$AS$201,$M270)&gt;0,
     COUNTIFS($AT$3:$AT$201,$M270)&gt;0,
     COUNTIFS($AU$3:$AU$201,$M270)&gt;0,
     COUNTIFS($AV$3:$AV$201,$M270)&gt;0,
     COUNTIFS($AW$3:$AW$201,$M270)&gt;0
   )),
  ),
  4
 ),
"")</f>
        <v/>
      </c>
      <c r="CI270" t="str">
        <f ca="1"/>
        <v>Wall of Roots</v>
      </c>
    </row>
    <row r="271" spans="1:87" x14ac:dyDescent="0.25">
      <c r="A271" t="str">
        <f ca="1"/>
        <v>Swords to Plowshares</v>
      </c>
      <c r="B271" s="3" t="str" cm="1">
        <f t="array" aca="1" ref="B271" ca="1">_xlfn.ANCHORARRAY(RESUMO!C270)</f>
        <v>Modular</v>
      </c>
      <c r="C271" s="3" t="str">
        <f t="shared" ca="1" si="16"/>
        <v/>
      </c>
      <c r="E271" t="str">
        <f ca="1"/>
        <v>Watertrap Wizard</v>
      </c>
      <c r="F271" s="3">
        <f t="shared" ca="1" si="17"/>
        <v>1</v>
      </c>
      <c r="G271" s="3" t="str">
        <f t="shared" ca="1" si="18"/>
        <v>Kumena</v>
      </c>
      <c r="M271" t="str">
        <f ca="1"/>
        <v>Watertrap Wizard</v>
      </c>
      <c r="N271" s="3">
        <f t="shared" ca="1" si="19"/>
        <v>1</v>
      </c>
      <c r="O271" s="3" t="str">
        <f ca="1">IFERROR(
 INDEX($T$2:$AW$2,
  MATCH(TRUE,
   CHOOSE({1;2;3;4;5;6;7;8;9;10;11;12;13;14;15;16;17;18;19;20;21;22;23;24;25;26;27;28;29;30;31;32},
    COUNTIFS($T$3:$T$201,$M271)&gt;0,
    COUNTIFS($U$3:$U$201,$M271)&gt;0,
    COUNTIFS($V$3:$V$201,$M271)&gt;0,
    COUNTIFS($W$3:$W$201,$M271)&gt;0,
    COUNTIFS($X$3:$X$201,$M271)&gt;0,
    COUNTIFS($Y$3:$Y$201,$M271)&gt;0,
    COUNTIFS($Z$3:$Z$201,$M271)&gt;0,
    COUNTIFS($AA$3:$AA$201,$M271)&gt;0,
    COUNTIFS($AB$3:$AB$201,$M271)&gt;0,
    COUNTIFS($AC$3:$AC$201,$M271)&gt;0,
    COUNTIFS($AD$3:$AD$201,$M271)&gt;0,
    COUNTIFS($AE$3:$AE$201,$M271)&gt;0,
    COUNTIFS($AF$3:$AF$201,$M271)&gt;0,
    COUNTIFS($AG$3:$AG$201,$M271)&gt;0,
    COUNTIFS($AH$3:$AH$201,$M271)&gt;0,
    COUNTIFS($AI$3:$AI$201,$M271)&gt;0,
    COUNTIFS($AJ$3:$AJ$201,$M271)&gt;0,
    COUNTIFS($AK$3:$AK$201,$M271)&gt;0,
    COUNTIFS($AL$3:$AL$201,$M271)&gt;0,
    COUNTIFS($AM$3:$AM$201,$M271)&gt;0,
    COUNTIFS($AN$3:$AN$201,$M271)&gt;0,
    COUNTIFS($AO$3:$AO$201,$M271)&gt;0,
    COUNTIFS($AP$3:$AP$201,$M271)&gt;0,
    COUNTIFS($AQ$3:$AQ$201,$M271)&gt;0,
    COUNTIFS($AR$3:$AR$201,$M271)&gt;0,
    COUNTIFS($AS$3:$AS$201,$M271)&gt;0,
    COUNTIFS($AT$3:$AT$201,$M271)&gt;0,
    COUNTIFS($AU$3:$AU$201,$M271)&gt;0,
    COUNTIFS($AV$3:$AV$201,$M271)&gt;0,
    COUNTIFS($AW$3:$AW$201,$M271)&gt;0
   ),
  0)
 ),
"")</f>
        <v>Kumena</v>
      </c>
      <c r="P271" s="3" t="str" cm="1">
        <f t="array" aca="1" ref="P271" ca="1">IFERROR(
 INDEX(
  _xlfn._xlws.FILTER($T$2:$AW$2,
   TRANSPOSE(
    CHOOSE({1;2;3;4;5;6;7;8;9;10;11;12;13;14;15;16;17;18;19;20;21;22;23;24;25;26;27;28;29;30},
     COUNTIFS($T$3:$T$201,$M271)&gt;0,
     COUNTIFS($U$3:$U$201,$M271)&gt;0,
     COUNTIFS($V$3:$V$201,$M271)&gt;0,
     COUNTIFS($W$3:$W$201,$M271)&gt;0,
     COUNTIFS($X$3:$X$201,$M271)&gt;0,
     COUNTIFS($Y$3:$Y$201,$M271)&gt;0,
     COUNTIFS($Z$3:$Z$201,$M271)&gt;0,
     COUNTIFS($AA$3:$AA$201,$M271)&gt;0,
     COUNTIFS($AB$3:$AB$201,$M271)&gt;0,
     COUNTIFS($AC$3:$AC$201,$M271)&gt;0,
     COUNTIFS($AD$3:$AD$201,$M271)&gt;0,
     COUNTIFS($AE$3:$AE$201,$M271)&gt;0,
     COUNTIFS($AF$3:$AF$201,$M271)&gt;0,
     COUNTIFS($AG$3:$AG$201,$M271)&gt;0,
     COUNTIFS($AH$3:$AH$201,$M271)&gt;0,
     COUNTIFS($AI$3:$AI$201,$M271)&gt;0,
     COUNTIFS($AJ$3:$AJ$201,$M271)&gt;0,
     COUNTIFS($AK$3:$AK$201,$M271)&gt;0,
     COUNTIFS($AL$3:$AL$201,$M271)&gt;0,
     COUNTIFS($AM$3:$AM$201,$M271)&gt;0,
     COUNTIFS($AN$3:$AN$201,$M271)&gt;0,
     COUNTIFS($AO$3:$AO$201,$M271)&gt;0,
     COUNTIFS($AP$3:$AP$201,$M271)&gt;0,
     COUNTIFS($AQ$3:$AQ$201,$M271)&gt;0,
     COUNTIFS($AR$3:$AR$201,$M271)&gt;0,
     COUNTIFS($AS$3:$AS$201,$M271)&gt;0,
     COUNTIFS($AT$3:$AT$201,$M271)&gt;0,
     COUNTIFS($AU$3:$AU$201,$M271)&gt;0,
     COUNTIFS($AV$3:$AV$201,$M271)&gt;0,
     COUNTIFS($AW$3:$AW$201,$M271)&gt;0
   )),
  ),
  2
 ),
"")</f>
        <v/>
      </c>
      <c r="Q271" s="3" t="str" cm="1">
        <f t="array" aca="1" ref="Q271" ca="1">IFERROR(
 INDEX(
  _xlfn._xlws.FILTER($T$2:$AW$2,
   TRANSPOSE(
    CHOOSE({1;2;3;4;5;6;7;8;9;10;11;12;13;14;15;16;17;18;19;20;21;22;23;24;25;26;27;28;29;30},
     COUNTIFS($T$3:$T$201,$M271)&gt;0,
     COUNTIFS($U$3:$U$201,$M271)&gt;0,
     COUNTIFS($V$3:$V$201,$M271)&gt;0,
     COUNTIFS($W$3:$W$201,$M271)&gt;0,
     COUNTIFS($X$3:$X$201,$M271)&gt;0,
     COUNTIFS($Y$3:$Y$201,$M271)&gt;0,
     COUNTIFS($Z$3:$Z$201,$M271)&gt;0,
     COUNTIFS($AA$3:$AA$201,$M271)&gt;0,
     COUNTIFS($AB$3:$AB$201,$M271)&gt;0,
     COUNTIFS($AC$3:$AC$201,$M271)&gt;0,
     COUNTIFS($AD$3:$AD$201,$M271)&gt;0,
     COUNTIFS($AE$3:$AE$201,$M271)&gt;0,
     COUNTIFS($AF$3:$AF$201,$M271)&gt;0,
     COUNTIFS($AG$3:$AG$201,$M271)&gt;0,
     COUNTIFS($AH$3:$AH$201,$M271)&gt;0,
     COUNTIFS($AI$3:$AI$201,$M271)&gt;0,
     COUNTIFS($AJ$3:$AJ$201,$M271)&gt;0,
     COUNTIFS($AK$3:$AK$201,$M271)&gt;0,
     COUNTIFS($AL$3:$AL$201,$M271)&gt;0,
     COUNTIFS($AM$3:$AM$201,$M271)&gt;0,
     COUNTIFS($AN$3:$AN$201,$M271)&gt;0,
     COUNTIFS($AO$3:$AO$201,$M271)&gt;0,
     COUNTIFS($AP$3:$AP$201,$M271)&gt;0,
     COUNTIFS($AQ$3:$AQ$201,$M271)&gt;0,
     COUNTIFS($AR$3:$AR$201,$M271)&gt;0,
     COUNTIFS($AS$3:$AS$201,$M271)&gt;0,
     COUNTIFS($AT$3:$AT$201,$M271)&gt;0,
     COUNTIFS($AU$3:$AU$201,$M271)&gt;0,
     COUNTIFS($AV$3:$AV$201,$M271)&gt;0,
     COUNTIFS($AW$3:$AW$201,$M271)&gt;0
   )),
  ),
  3
 ),
"")</f>
        <v/>
      </c>
      <c r="R271" s="3" t="str" cm="1">
        <f t="array" aca="1" ref="R271" ca="1">IFERROR(
 INDEX(
  _xlfn._xlws.FILTER($T$2:$AW$2,
   TRANSPOSE(
    CHOOSE({1;2;3;4;5;6;7;8;9;10;11;12;13;14;15;16;17;18;19;20;21;22;23;24;25;26;27;28;29;30},
     COUNTIFS($T$3:$T$201,$M271)&gt;0,
     COUNTIFS($U$3:$U$201,$M271)&gt;0,
     COUNTIFS($V$3:$V$201,$M271)&gt;0,
     COUNTIFS($W$3:$W$201,$M271)&gt;0,
     COUNTIFS($X$3:$X$201,$M271)&gt;0,
     COUNTIFS($Y$3:$Y$201,$M271)&gt;0,
     COUNTIFS($Z$3:$Z$201,$M271)&gt;0,
     COUNTIFS($AA$3:$AA$201,$M271)&gt;0,
     COUNTIFS($AB$3:$AB$201,$M271)&gt;0,
     COUNTIFS($AC$3:$AC$201,$M271)&gt;0,
     COUNTIFS($AD$3:$AD$201,$M271)&gt;0,
     COUNTIFS($AE$3:$AE$201,$M271)&gt;0,
     COUNTIFS($AF$3:$AF$201,$M271)&gt;0,
     COUNTIFS($AG$3:$AG$201,$M271)&gt;0,
     COUNTIFS($AH$3:$AH$201,$M271)&gt;0,
     COUNTIFS($AI$3:$AI$201,$M271)&gt;0,
     COUNTIFS($AJ$3:$AJ$201,$M271)&gt;0,
     COUNTIFS($AK$3:$AK$201,$M271)&gt;0,
     COUNTIFS($AL$3:$AL$201,$M271)&gt;0,
     COUNTIFS($AM$3:$AM$201,$M271)&gt;0,
     COUNTIFS($AN$3:$AN$201,$M271)&gt;0,
     COUNTIFS($AO$3:$AO$201,$M271)&gt;0,
     COUNTIFS($AP$3:$AP$201,$M271)&gt;0,
     COUNTIFS($AQ$3:$AQ$201,$M271)&gt;0,
     COUNTIFS($AR$3:$AR$201,$M271)&gt;0,
     COUNTIFS($AS$3:$AS$201,$M271)&gt;0,
     COUNTIFS($AT$3:$AT$201,$M271)&gt;0,
     COUNTIFS($AU$3:$AU$201,$M271)&gt;0,
     COUNTIFS($AV$3:$AV$201,$M271)&gt;0,
     COUNTIFS($AW$3:$AW$201,$M271)&gt;0
   )),
  ),
  4
 ),
"")</f>
        <v/>
      </c>
      <c r="CI271" t="str">
        <f ca="1"/>
        <v>Watertrap Wizard</v>
      </c>
    </row>
    <row r="272" spans="1:87" x14ac:dyDescent="0.25">
      <c r="A272" t="str">
        <f ca="1"/>
        <v>Takenuma, Charco Abandonado</v>
      </c>
      <c r="B272" s="3" t="str" cm="1">
        <f t="array" aca="1" ref="B272" ca="1">_xlfn.ANCHORARRAY(RESUMO!C271)</f>
        <v>Carlos</v>
      </c>
      <c r="C272" s="3" t="str">
        <f t="shared" ca="1" si="16"/>
        <v/>
      </c>
      <c r="E272" t="str">
        <f ca="1"/>
        <v>Whelming Wave</v>
      </c>
      <c r="F272" s="3">
        <f t="shared" ca="1" si="17"/>
        <v>1</v>
      </c>
      <c r="G272" s="3" t="str">
        <f t="shared" ca="1" si="18"/>
        <v>Yuriko</v>
      </c>
      <c r="M272" t="str">
        <f ca="1"/>
        <v>Whelming Wave</v>
      </c>
      <c r="N272" s="3">
        <f t="shared" ca="1" si="19"/>
        <v>1</v>
      </c>
      <c r="O272" s="3" t="str">
        <f ca="1">IFERROR(
 INDEX($T$2:$AW$2,
  MATCH(TRUE,
   CHOOSE({1;2;3;4;5;6;7;8;9;10;11;12;13;14;15;16;17;18;19;20;21;22;23;24;25;26;27;28;29;30;31;32},
    COUNTIFS($T$3:$T$201,$M272)&gt;0,
    COUNTIFS($U$3:$U$201,$M272)&gt;0,
    COUNTIFS($V$3:$V$201,$M272)&gt;0,
    COUNTIFS($W$3:$W$201,$M272)&gt;0,
    COUNTIFS($X$3:$X$201,$M272)&gt;0,
    COUNTIFS($Y$3:$Y$201,$M272)&gt;0,
    COUNTIFS($Z$3:$Z$201,$M272)&gt;0,
    COUNTIFS($AA$3:$AA$201,$M272)&gt;0,
    COUNTIFS($AB$3:$AB$201,$M272)&gt;0,
    COUNTIFS($AC$3:$AC$201,$M272)&gt;0,
    COUNTIFS($AD$3:$AD$201,$M272)&gt;0,
    COUNTIFS($AE$3:$AE$201,$M272)&gt;0,
    COUNTIFS($AF$3:$AF$201,$M272)&gt;0,
    COUNTIFS($AG$3:$AG$201,$M272)&gt;0,
    COUNTIFS($AH$3:$AH$201,$M272)&gt;0,
    COUNTIFS($AI$3:$AI$201,$M272)&gt;0,
    COUNTIFS($AJ$3:$AJ$201,$M272)&gt;0,
    COUNTIFS($AK$3:$AK$201,$M272)&gt;0,
    COUNTIFS($AL$3:$AL$201,$M272)&gt;0,
    COUNTIFS($AM$3:$AM$201,$M272)&gt;0,
    COUNTIFS($AN$3:$AN$201,$M272)&gt;0,
    COUNTIFS($AO$3:$AO$201,$M272)&gt;0,
    COUNTIFS($AP$3:$AP$201,$M272)&gt;0,
    COUNTIFS($AQ$3:$AQ$201,$M272)&gt;0,
    COUNTIFS($AR$3:$AR$201,$M272)&gt;0,
    COUNTIFS($AS$3:$AS$201,$M272)&gt;0,
    COUNTIFS($AT$3:$AT$201,$M272)&gt;0,
    COUNTIFS($AU$3:$AU$201,$M272)&gt;0,
    COUNTIFS($AV$3:$AV$201,$M272)&gt;0,
    COUNTIFS($AW$3:$AW$201,$M272)&gt;0
   ),
  0)
 ),
"")</f>
        <v>Yuriko</v>
      </c>
      <c r="P272" s="3" t="str" cm="1">
        <f t="array" aca="1" ref="P272" ca="1">IFERROR(
 INDEX(
  _xlfn._xlws.FILTER($T$2:$AW$2,
   TRANSPOSE(
    CHOOSE({1;2;3;4;5;6;7;8;9;10;11;12;13;14;15;16;17;18;19;20;21;22;23;24;25;26;27;28;29;30},
     COUNTIFS($T$3:$T$201,$M272)&gt;0,
     COUNTIFS($U$3:$U$201,$M272)&gt;0,
     COUNTIFS($V$3:$V$201,$M272)&gt;0,
     COUNTIFS($W$3:$W$201,$M272)&gt;0,
     COUNTIFS($X$3:$X$201,$M272)&gt;0,
     COUNTIFS($Y$3:$Y$201,$M272)&gt;0,
     COUNTIFS($Z$3:$Z$201,$M272)&gt;0,
     COUNTIFS($AA$3:$AA$201,$M272)&gt;0,
     COUNTIFS($AB$3:$AB$201,$M272)&gt;0,
     COUNTIFS($AC$3:$AC$201,$M272)&gt;0,
     COUNTIFS($AD$3:$AD$201,$M272)&gt;0,
     COUNTIFS($AE$3:$AE$201,$M272)&gt;0,
     COUNTIFS($AF$3:$AF$201,$M272)&gt;0,
     COUNTIFS($AG$3:$AG$201,$M272)&gt;0,
     COUNTIFS($AH$3:$AH$201,$M272)&gt;0,
     COUNTIFS($AI$3:$AI$201,$M272)&gt;0,
     COUNTIFS($AJ$3:$AJ$201,$M272)&gt;0,
     COUNTIFS($AK$3:$AK$201,$M272)&gt;0,
     COUNTIFS($AL$3:$AL$201,$M272)&gt;0,
     COUNTIFS($AM$3:$AM$201,$M272)&gt;0,
     COUNTIFS($AN$3:$AN$201,$M272)&gt;0,
     COUNTIFS($AO$3:$AO$201,$M272)&gt;0,
     COUNTIFS($AP$3:$AP$201,$M272)&gt;0,
     COUNTIFS($AQ$3:$AQ$201,$M272)&gt;0,
     COUNTIFS($AR$3:$AR$201,$M272)&gt;0,
     COUNTIFS($AS$3:$AS$201,$M272)&gt;0,
     COUNTIFS($AT$3:$AT$201,$M272)&gt;0,
     COUNTIFS($AU$3:$AU$201,$M272)&gt;0,
     COUNTIFS($AV$3:$AV$201,$M272)&gt;0,
     COUNTIFS($AW$3:$AW$201,$M272)&gt;0
   )),
  ),
  2
 ),
"")</f>
        <v/>
      </c>
      <c r="Q272" s="3" t="str" cm="1">
        <f t="array" aca="1" ref="Q272" ca="1">IFERROR(
 INDEX(
  _xlfn._xlws.FILTER($T$2:$AW$2,
   TRANSPOSE(
    CHOOSE({1;2;3;4;5;6;7;8;9;10;11;12;13;14;15;16;17;18;19;20;21;22;23;24;25;26;27;28;29;30},
     COUNTIFS($T$3:$T$201,$M272)&gt;0,
     COUNTIFS($U$3:$U$201,$M272)&gt;0,
     COUNTIFS($V$3:$V$201,$M272)&gt;0,
     COUNTIFS($W$3:$W$201,$M272)&gt;0,
     COUNTIFS($X$3:$X$201,$M272)&gt;0,
     COUNTIFS($Y$3:$Y$201,$M272)&gt;0,
     COUNTIFS($Z$3:$Z$201,$M272)&gt;0,
     COUNTIFS($AA$3:$AA$201,$M272)&gt;0,
     COUNTIFS($AB$3:$AB$201,$M272)&gt;0,
     COUNTIFS($AC$3:$AC$201,$M272)&gt;0,
     COUNTIFS($AD$3:$AD$201,$M272)&gt;0,
     COUNTIFS($AE$3:$AE$201,$M272)&gt;0,
     COUNTIFS($AF$3:$AF$201,$M272)&gt;0,
     COUNTIFS($AG$3:$AG$201,$M272)&gt;0,
     COUNTIFS($AH$3:$AH$201,$M272)&gt;0,
     COUNTIFS($AI$3:$AI$201,$M272)&gt;0,
     COUNTIFS($AJ$3:$AJ$201,$M272)&gt;0,
     COUNTIFS($AK$3:$AK$201,$M272)&gt;0,
     COUNTIFS($AL$3:$AL$201,$M272)&gt;0,
     COUNTIFS($AM$3:$AM$201,$M272)&gt;0,
     COUNTIFS($AN$3:$AN$201,$M272)&gt;0,
     COUNTIFS($AO$3:$AO$201,$M272)&gt;0,
     COUNTIFS($AP$3:$AP$201,$M272)&gt;0,
     COUNTIFS($AQ$3:$AQ$201,$M272)&gt;0,
     COUNTIFS($AR$3:$AR$201,$M272)&gt;0,
     COUNTIFS($AS$3:$AS$201,$M272)&gt;0,
     COUNTIFS($AT$3:$AT$201,$M272)&gt;0,
     COUNTIFS($AU$3:$AU$201,$M272)&gt;0,
     COUNTIFS($AV$3:$AV$201,$M272)&gt;0,
     COUNTIFS($AW$3:$AW$201,$M272)&gt;0
   )),
  ),
  3
 ),
"")</f>
        <v/>
      </c>
      <c r="R272" s="3" t="str" cm="1">
        <f t="array" aca="1" ref="R272" ca="1">IFERROR(
 INDEX(
  _xlfn._xlws.FILTER($T$2:$AW$2,
   TRANSPOSE(
    CHOOSE({1;2;3;4;5;6;7;8;9;10;11;12;13;14;15;16;17;18;19;20;21;22;23;24;25;26;27;28;29;30},
     COUNTIFS($T$3:$T$201,$M272)&gt;0,
     COUNTIFS($U$3:$U$201,$M272)&gt;0,
     COUNTIFS($V$3:$V$201,$M272)&gt;0,
     COUNTIFS($W$3:$W$201,$M272)&gt;0,
     COUNTIFS($X$3:$X$201,$M272)&gt;0,
     COUNTIFS($Y$3:$Y$201,$M272)&gt;0,
     COUNTIFS($Z$3:$Z$201,$M272)&gt;0,
     COUNTIFS($AA$3:$AA$201,$M272)&gt;0,
     COUNTIFS($AB$3:$AB$201,$M272)&gt;0,
     COUNTIFS($AC$3:$AC$201,$M272)&gt;0,
     COUNTIFS($AD$3:$AD$201,$M272)&gt;0,
     COUNTIFS($AE$3:$AE$201,$M272)&gt;0,
     COUNTIFS($AF$3:$AF$201,$M272)&gt;0,
     COUNTIFS($AG$3:$AG$201,$M272)&gt;0,
     COUNTIFS($AH$3:$AH$201,$M272)&gt;0,
     COUNTIFS($AI$3:$AI$201,$M272)&gt;0,
     COUNTIFS($AJ$3:$AJ$201,$M272)&gt;0,
     COUNTIFS($AK$3:$AK$201,$M272)&gt;0,
     COUNTIFS($AL$3:$AL$201,$M272)&gt;0,
     COUNTIFS($AM$3:$AM$201,$M272)&gt;0,
     COUNTIFS($AN$3:$AN$201,$M272)&gt;0,
     COUNTIFS($AO$3:$AO$201,$M272)&gt;0,
     COUNTIFS($AP$3:$AP$201,$M272)&gt;0,
     COUNTIFS($AQ$3:$AQ$201,$M272)&gt;0,
     COUNTIFS($AR$3:$AR$201,$M272)&gt;0,
     COUNTIFS($AS$3:$AS$201,$M272)&gt;0,
     COUNTIFS($AT$3:$AT$201,$M272)&gt;0,
     COUNTIFS($AU$3:$AU$201,$M272)&gt;0,
     COUNTIFS($AV$3:$AV$201,$M272)&gt;0,
     COUNTIFS($AW$3:$AW$201,$M272)&gt;0
   )),
  ),
  4
 ),
"")</f>
        <v/>
      </c>
      <c r="CI272" t="str">
        <f ca="1"/>
        <v>Whelming Wave</v>
      </c>
    </row>
    <row r="273" spans="1:87" x14ac:dyDescent="0.25">
      <c r="A273" t="str">
        <f ca="1"/>
        <v>Tannuk, Memorial Ensign</v>
      </c>
      <c r="B273" s="3" t="str" cm="1">
        <f t="array" aca="1" ref="B273" ca="1">_xlfn.ANCHORARRAY(RESUMO!C272)</f>
        <v>Modular</v>
      </c>
      <c r="C273" s="3" t="str">
        <f t="shared" ca="1" si="16"/>
        <v/>
      </c>
      <c r="E273" t="str">
        <f ca="1"/>
        <v>Wilderness Reclamation</v>
      </c>
      <c r="F273" s="3">
        <f t="shared" ca="1" si="17"/>
        <v>1</v>
      </c>
      <c r="G273" s="3" t="str">
        <f t="shared" ca="1" si="18"/>
        <v>Modular</v>
      </c>
      <c r="M273" t="str">
        <f ca="1"/>
        <v>Wilderness Reclamation</v>
      </c>
      <c r="N273" s="3">
        <f t="shared" ca="1" si="19"/>
        <v>1</v>
      </c>
      <c r="O273" s="3" t="str">
        <f ca="1">IFERROR(
 INDEX($T$2:$AW$2,
  MATCH(TRUE,
   CHOOSE({1;2;3;4;5;6;7;8;9;10;11;12;13;14;15;16;17;18;19;20;21;22;23;24;25;26;27;28;29;30;31;32},
    COUNTIFS($T$3:$T$201,$M273)&gt;0,
    COUNTIFS($U$3:$U$201,$M273)&gt;0,
    COUNTIFS($V$3:$V$201,$M273)&gt;0,
    COUNTIFS($W$3:$W$201,$M273)&gt;0,
    COUNTIFS($X$3:$X$201,$M273)&gt;0,
    COUNTIFS($Y$3:$Y$201,$M273)&gt;0,
    COUNTIFS($Z$3:$Z$201,$M273)&gt;0,
    COUNTIFS($AA$3:$AA$201,$M273)&gt;0,
    COUNTIFS($AB$3:$AB$201,$M273)&gt;0,
    COUNTIFS($AC$3:$AC$201,$M273)&gt;0,
    COUNTIFS($AD$3:$AD$201,$M273)&gt;0,
    COUNTIFS($AE$3:$AE$201,$M273)&gt;0,
    COUNTIFS($AF$3:$AF$201,$M273)&gt;0,
    COUNTIFS($AG$3:$AG$201,$M273)&gt;0,
    COUNTIFS($AH$3:$AH$201,$M273)&gt;0,
    COUNTIFS($AI$3:$AI$201,$M273)&gt;0,
    COUNTIFS($AJ$3:$AJ$201,$M273)&gt;0,
    COUNTIFS($AK$3:$AK$201,$M273)&gt;0,
    COUNTIFS($AL$3:$AL$201,$M273)&gt;0,
    COUNTIFS($AM$3:$AM$201,$M273)&gt;0,
    COUNTIFS($AN$3:$AN$201,$M273)&gt;0,
    COUNTIFS($AO$3:$AO$201,$M273)&gt;0,
    COUNTIFS($AP$3:$AP$201,$M273)&gt;0,
    COUNTIFS($AQ$3:$AQ$201,$M273)&gt;0,
    COUNTIFS($AR$3:$AR$201,$M273)&gt;0,
    COUNTIFS($AS$3:$AS$201,$M273)&gt;0,
    COUNTIFS($AT$3:$AT$201,$M273)&gt;0,
    COUNTIFS($AU$3:$AU$201,$M273)&gt;0,
    COUNTIFS($AV$3:$AV$201,$M273)&gt;0,
    COUNTIFS($AW$3:$AW$201,$M273)&gt;0
   ),
  0)
 ),
"")</f>
        <v>Modular</v>
      </c>
      <c r="P273" s="3" t="str" cm="1">
        <f t="array" aca="1" ref="P273" ca="1">IFERROR(
 INDEX(
  _xlfn._xlws.FILTER($T$2:$AW$2,
   TRANSPOSE(
    CHOOSE({1;2;3;4;5;6;7;8;9;10;11;12;13;14;15;16;17;18;19;20;21;22;23;24;25;26;27;28;29;30},
     COUNTIFS($T$3:$T$201,$M273)&gt;0,
     COUNTIFS($U$3:$U$201,$M273)&gt;0,
     COUNTIFS($V$3:$V$201,$M273)&gt;0,
     COUNTIFS($W$3:$W$201,$M273)&gt;0,
     COUNTIFS($X$3:$X$201,$M273)&gt;0,
     COUNTIFS($Y$3:$Y$201,$M273)&gt;0,
     COUNTIFS($Z$3:$Z$201,$M273)&gt;0,
     COUNTIFS($AA$3:$AA$201,$M273)&gt;0,
     COUNTIFS($AB$3:$AB$201,$M273)&gt;0,
     COUNTIFS($AC$3:$AC$201,$M273)&gt;0,
     COUNTIFS($AD$3:$AD$201,$M273)&gt;0,
     COUNTIFS($AE$3:$AE$201,$M273)&gt;0,
     COUNTIFS($AF$3:$AF$201,$M273)&gt;0,
     COUNTIFS($AG$3:$AG$201,$M273)&gt;0,
     COUNTIFS($AH$3:$AH$201,$M273)&gt;0,
     COUNTIFS($AI$3:$AI$201,$M273)&gt;0,
     COUNTIFS($AJ$3:$AJ$201,$M273)&gt;0,
     COUNTIFS($AK$3:$AK$201,$M273)&gt;0,
     COUNTIFS($AL$3:$AL$201,$M273)&gt;0,
     COUNTIFS($AM$3:$AM$201,$M273)&gt;0,
     COUNTIFS($AN$3:$AN$201,$M273)&gt;0,
     COUNTIFS($AO$3:$AO$201,$M273)&gt;0,
     COUNTIFS($AP$3:$AP$201,$M273)&gt;0,
     COUNTIFS($AQ$3:$AQ$201,$M273)&gt;0,
     COUNTIFS($AR$3:$AR$201,$M273)&gt;0,
     COUNTIFS($AS$3:$AS$201,$M273)&gt;0,
     COUNTIFS($AT$3:$AT$201,$M273)&gt;0,
     COUNTIFS($AU$3:$AU$201,$M273)&gt;0,
     COUNTIFS($AV$3:$AV$201,$M273)&gt;0,
     COUNTIFS($AW$3:$AW$201,$M273)&gt;0
   )),
  ),
  2
 ),
"")</f>
        <v/>
      </c>
      <c r="Q273" s="3" t="str" cm="1">
        <f t="array" aca="1" ref="Q273" ca="1">IFERROR(
 INDEX(
  _xlfn._xlws.FILTER($T$2:$AW$2,
   TRANSPOSE(
    CHOOSE({1;2;3;4;5;6;7;8;9;10;11;12;13;14;15;16;17;18;19;20;21;22;23;24;25;26;27;28;29;30},
     COUNTIFS($T$3:$T$201,$M273)&gt;0,
     COUNTIFS($U$3:$U$201,$M273)&gt;0,
     COUNTIFS($V$3:$V$201,$M273)&gt;0,
     COUNTIFS($W$3:$W$201,$M273)&gt;0,
     COUNTIFS($X$3:$X$201,$M273)&gt;0,
     COUNTIFS($Y$3:$Y$201,$M273)&gt;0,
     COUNTIFS($Z$3:$Z$201,$M273)&gt;0,
     COUNTIFS($AA$3:$AA$201,$M273)&gt;0,
     COUNTIFS($AB$3:$AB$201,$M273)&gt;0,
     COUNTIFS($AC$3:$AC$201,$M273)&gt;0,
     COUNTIFS($AD$3:$AD$201,$M273)&gt;0,
     COUNTIFS($AE$3:$AE$201,$M273)&gt;0,
     COUNTIFS($AF$3:$AF$201,$M273)&gt;0,
     COUNTIFS($AG$3:$AG$201,$M273)&gt;0,
     COUNTIFS($AH$3:$AH$201,$M273)&gt;0,
     COUNTIFS($AI$3:$AI$201,$M273)&gt;0,
     COUNTIFS($AJ$3:$AJ$201,$M273)&gt;0,
     COUNTIFS($AK$3:$AK$201,$M273)&gt;0,
     COUNTIFS($AL$3:$AL$201,$M273)&gt;0,
     COUNTIFS($AM$3:$AM$201,$M273)&gt;0,
     COUNTIFS($AN$3:$AN$201,$M273)&gt;0,
     COUNTIFS($AO$3:$AO$201,$M273)&gt;0,
     COUNTIFS($AP$3:$AP$201,$M273)&gt;0,
     COUNTIFS($AQ$3:$AQ$201,$M273)&gt;0,
     COUNTIFS($AR$3:$AR$201,$M273)&gt;0,
     COUNTIFS($AS$3:$AS$201,$M273)&gt;0,
     COUNTIFS($AT$3:$AT$201,$M273)&gt;0,
     COUNTIFS($AU$3:$AU$201,$M273)&gt;0,
     COUNTIFS($AV$3:$AV$201,$M273)&gt;0,
     COUNTIFS($AW$3:$AW$201,$M273)&gt;0
   )),
  ),
  3
 ),
"")</f>
        <v/>
      </c>
      <c r="R273" s="3" t="str" cm="1">
        <f t="array" aca="1" ref="R273" ca="1">IFERROR(
 INDEX(
  _xlfn._xlws.FILTER($T$2:$AW$2,
   TRANSPOSE(
    CHOOSE({1;2;3;4;5;6;7;8;9;10;11;12;13;14;15;16;17;18;19;20;21;22;23;24;25;26;27;28;29;30},
     COUNTIFS($T$3:$T$201,$M273)&gt;0,
     COUNTIFS($U$3:$U$201,$M273)&gt;0,
     COUNTIFS($V$3:$V$201,$M273)&gt;0,
     COUNTIFS($W$3:$W$201,$M273)&gt;0,
     COUNTIFS($X$3:$X$201,$M273)&gt;0,
     COUNTIFS($Y$3:$Y$201,$M273)&gt;0,
     COUNTIFS($Z$3:$Z$201,$M273)&gt;0,
     COUNTIFS($AA$3:$AA$201,$M273)&gt;0,
     COUNTIFS($AB$3:$AB$201,$M273)&gt;0,
     COUNTIFS($AC$3:$AC$201,$M273)&gt;0,
     COUNTIFS($AD$3:$AD$201,$M273)&gt;0,
     COUNTIFS($AE$3:$AE$201,$M273)&gt;0,
     COUNTIFS($AF$3:$AF$201,$M273)&gt;0,
     COUNTIFS($AG$3:$AG$201,$M273)&gt;0,
     COUNTIFS($AH$3:$AH$201,$M273)&gt;0,
     COUNTIFS($AI$3:$AI$201,$M273)&gt;0,
     COUNTIFS($AJ$3:$AJ$201,$M273)&gt;0,
     COUNTIFS($AK$3:$AK$201,$M273)&gt;0,
     COUNTIFS($AL$3:$AL$201,$M273)&gt;0,
     COUNTIFS($AM$3:$AM$201,$M273)&gt;0,
     COUNTIFS($AN$3:$AN$201,$M273)&gt;0,
     COUNTIFS($AO$3:$AO$201,$M273)&gt;0,
     COUNTIFS($AP$3:$AP$201,$M273)&gt;0,
     COUNTIFS($AQ$3:$AQ$201,$M273)&gt;0,
     COUNTIFS($AR$3:$AR$201,$M273)&gt;0,
     COUNTIFS($AS$3:$AS$201,$M273)&gt;0,
     COUNTIFS($AT$3:$AT$201,$M273)&gt;0,
     COUNTIFS($AU$3:$AU$201,$M273)&gt;0,
     COUNTIFS($AV$3:$AV$201,$M273)&gt;0,
     COUNTIFS($AW$3:$AW$201,$M273)&gt;0
   )),
  ),
  4
 ),
"")</f>
        <v/>
      </c>
      <c r="CI273" t="str">
        <f ca="1"/>
        <v>Wilderness Reclamation</v>
      </c>
    </row>
    <row r="274" spans="1:87" x14ac:dyDescent="0.25">
      <c r="A274" t="str">
        <f ca="1"/>
        <v>Tayam, Luminous Enigma</v>
      </c>
      <c r="B274" s="3" t="str" cm="1">
        <f t="array" aca="1" ref="B274" ca="1">_xlfn.ANCHORARRAY(RESUMO!C273)</f>
        <v>Tayam</v>
      </c>
      <c r="C274" s="3" t="str">
        <f t="shared" ca="1" si="16"/>
        <v/>
      </c>
      <c r="E274" t="str">
        <f ca="1"/>
        <v>Woe Strider</v>
      </c>
      <c r="F274" s="3">
        <f t="shared" ca="1" si="17"/>
        <v>1</v>
      </c>
      <c r="G274" s="3" t="str">
        <f t="shared" ca="1" si="18"/>
        <v>OWA</v>
      </c>
      <c r="M274" t="str">
        <f ca="1"/>
        <v>Woe Strider</v>
      </c>
      <c r="N274" s="3">
        <f t="shared" ca="1" si="19"/>
        <v>1</v>
      </c>
      <c r="O274" s="3" t="str">
        <f ca="1">IFERROR(
 INDEX($T$2:$AW$2,
  MATCH(TRUE,
   CHOOSE({1;2;3;4;5;6;7;8;9;10;11;12;13;14;15;16;17;18;19;20;21;22;23;24;25;26;27;28;29;30;31;32},
    COUNTIFS($T$3:$T$201,$M274)&gt;0,
    COUNTIFS($U$3:$U$201,$M274)&gt;0,
    COUNTIFS($V$3:$V$201,$M274)&gt;0,
    COUNTIFS($W$3:$W$201,$M274)&gt;0,
    COUNTIFS($X$3:$X$201,$M274)&gt;0,
    COUNTIFS($Y$3:$Y$201,$M274)&gt;0,
    COUNTIFS($Z$3:$Z$201,$M274)&gt;0,
    COUNTIFS($AA$3:$AA$201,$M274)&gt;0,
    COUNTIFS($AB$3:$AB$201,$M274)&gt;0,
    COUNTIFS($AC$3:$AC$201,$M274)&gt;0,
    COUNTIFS($AD$3:$AD$201,$M274)&gt;0,
    COUNTIFS($AE$3:$AE$201,$M274)&gt;0,
    COUNTIFS($AF$3:$AF$201,$M274)&gt;0,
    COUNTIFS($AG$3:$AG$201,$M274)&gt;0,
    COUNTIFS($AH$3:$AH$201,$M274)&gt;0,
    COUNTIFS($AI$3:$AI$201,$M274)&gt;0,
    COUNTIFS($AJ$3:$AJ$201,$M274)&gt;0,
    COUNTIFS($AK$3:$AK$201,$M274)&gt;0,
    COUNTIFS($AL$3:$AL$201,$M274)&gt;0,
    COUNTIFS($AM$3:$AM$201,$M274)&gt;0,
    COUNTIFS($AN$3:$AN$201,$M274)&gt;0,
    COUNTIFS($AO$3:$AO$201,$M274)&gt;0,
    COUNTIFS($AP$3:$AP$201,$M274)&gt;0,
    COUNTIFS($AQ$3:$AQ$201,$M274)&gt;0,
    COUNTIFS($AR$3:$AR$201,$M274)&gt;0,
    COUNTIFS($AS$3:$AS$201,$M274)&gt;0,
    COUNTIFS($AT$3:$AT$201,$M274)&gt;0,
    COUNTIFS($AU$3:$AU$201,$M274)&gt;0,
    COUNTIFS($AV$3:$AV$201,$M274)&gt;0,
    COUNTIFS($AW$3:$AW$201,$M274)&gt;0
   ),
  0)
 ),
"")</f>
        <v>OWA</v>
      </c>
      <c r="P274" s="3" t="str" cm="1">
        <f t="array" aca="1" ref="P274" ca="1">IFERROR(
 INDEX(
  _xlfn._xlws.FILTER($T$2:$AW$2,
   TRANSPOSE(
    CHOOSE({1;2;3;4;5;6;7;8;9;10;11;12;13;14;15;16;17;18;19;20;21;22;23;24;25;26;27;28;29;30},
     COUNTIFS($T$3:$T$201,$M274)&gt;0,
     COUNTIFS($U$3:$U$201,$M274)&gt;0,
     COUNTIFS($V$3:$V$201,$M274)&gt;0,
     COUNTIFS($W$3:$W$201,$M274)&gt;0,
     COUNTIFS($X$3:$X$201,$M274)&gt;0,
     COUNTIFS($Y$3:$Y$201,$M274)&gt;0,
     COUNTIFS($Z$3:$Z$201,$M274)&gt;0,
     COUNTIFS($AA$3:$AA$201,$M274)&gt;0,
     COUNTIFS($AB$3:$AB$201,$M274)&gt;0,
     COUNTIFS($AC$3:$AC$201,$M274)&gt;0,
     COUNTIFS($AD$3:$AD$201,$M274)&gt;0,
     COUNTIFS($AE$3:$AE$201,$M274)&gt;0,
     COUNTIFS($AF$3:$AF$201,$M274)&gt;0,
     COUNTIFS($AG$3:$AG$201,$M274)&gt;0,
     COUNTIFS($AH$3:$AH$201,$M274)&gt;0,
     COUNTIFS($AI$3:$AI$201,$M274)&gt;0,
     COUNTIFS($AJ$3:$AJ$201,$M274)&gt;0,
     COUNTIFS($AK$3:$AK$201,$M274)&gt;0,
     COUNTIFS($AL$3:$AL$201,$M274)&gt;0,
     COUNTIFS($AM$3:$AM$201,$M274)&gt;0,
     COUNTIFS($AN$3:$AN$201,$M274)&gt;0,
     COUNTIFS($AO$3:$AO$201,$M274)&gt;0,
     COUNTIFS($AP$3:$AP$201,$M274)&gt;0,
     COUNTIFS($AQ$3:$AQ$201,$M274)&gt;0,
     COUNTIFS($AR$3:$AR$201,$M274)&gt;0,
     COUNTIFS($AS$3:$AS$201,$M274)&gt;0,
     COUNTIFS($AT$3:$AT$201,$M274)&gt;0,
     COUNTIFS($AU$3:$AU$201,$M274)&gt;0,
     COUNTIFS($AV$3:$AV$201,$M274)&gt;0,
     COUNTIFS($AW$3:$AW$201,$M274)&gt;0
   )),
  ),
  2
 ),
"")</f>
        <v/>
      </c>
      <c r="Q274" s="3" t="str" cm="1">
        <f t="array" aca="1" ref="Q274" ca="1">IFERROR(
 INDEX(
  _xlfn._xlws.FILTER($T$2:$AW$2,
   TRANSPOSE(
    CHOOSE({1;2;3;4;5;6;7;8;9;10;11;12;13;14;15;16;17;18;19;20;21;22;23;24;25;26;27;28;29;30},
     COUNTIFS($T$3:$T$201,$M274)&gt;0,
     COUNTIFS($U$3:$U$201,$M274)&gt;0,
     COUNTIFS($V$3:$V$201,$M274)&gt;0,
     COUNTIFS($W$3:$W$201,$M274)&gt;0,
     COUNTIFS($X$3:$X$201,$M274)&gt;0,
     COUNTIFS($Y$3:$Y$201,$M274)&gt;0,
     COUNTIFS($Z$3:$Z$201,$M274)&gt;0,
     COUNTIFS($AA$3:$AA$201,$M274)&gt;0,
     COUNTIFS($AB$3:$AB$201,$M274)&gt;0,
     COUNTIFS($AC$3:$AC$201,$M274)&gt;0,
     COUNTIFS($AD$3:$AD$201,$M274)&gt;0,
     COUNTIFS($AE$3:$AE$201,$M274)&gt;0,
     COUNTIFS($AF$3:$AF$201,$M274)&gt;0,
     COUNTIFS($AG$3:$AG$201,$M274)&gt;0,
     COUNTIFS($AH$3:$AH$201,$M274)&gt;0,
     COUNTIFS($AI$3:$AI$201,$M274)&gt;0,
     COUNTIFS($AJ$3:$AJ$201,$M274)&gt;0,
     COUNTIFS($AK$3:$AK$201,$M274)&gt;0,
     COUNTIFS($AL$3:$AL$201,$M274)&gt;0,
     COUNTIFS($AM$3:$AM$201,$M274)&gt;0,
     COUNTIFS($AN$3:$AN$201,$M274)&gt;0,
     COUNTIFS($AO$3:$AO$201,$M274)&gt;0,
     COUNTIFS($AP$3:$AP$201,$M274)&gt;0,
     COUNTIFS($AQ$3:$AQ$201,$M274)&gt;0,
     COUNTIFS($AR$3:$AR$201,$M274)&gt;0,
     COUNTIFS($AS$3:$AS$201,$M274)&gt;0,
     COUNTIFS($AT$3:$AT$201,$M274)&gt;0,
     COUNTIFS($AU$3:$AU$201,$M274)&gt;0,
     COUNTIFS($AV$3:$AV$201,$M274)&gt;0,
     COUNTIFS($AW$3:$AW$201,$M274)&gt;0
   )),
  ),
  3
 ),
"")</f>
        <v/>
      </c>
      <c r="R274" s="3" t="str" cm="1">
        <f t="array" aca="1" ref="R274" ca="1">IFERROR(
 INDEX(
  _xlfn._xlws.FILTER($T$2:$AW$2,
   TRANSPOSE(
    CHOOSE({1;2;3;4;5;6;7;8;9;10;11;12;13;14;15;16;17;18;19;20;21;22;23;24;25;26;27;28;29;30},
     COUNTIFS($T$3:$T$201,$M274)&gt;0,
     COUNTIFS($U$3:$U$201,$M274)&gt;0,
     COUNTIFS($V$3:$V$201,$M274)&gt;0,
     COUNTIFS($W$3:$W$201,$M274)&gt;0,
     COUNTIFS($X$3:$X$201,$M274)&gt;0,
     COUNTIFS($Y$3:$Y$201,$M274)&gt;0,
     COUNTIFS($Z$3:$Z$201,$M274)&gt;0,
     COUNTIFS($AA$3:$AA$201,$M274)&gt;0,
     COUNTIFS($AB$3:$AB$201,$M274)&gt;0,
     COUNTIFS($AC$3:$AC$201,$M274)&gt;0,
     COUNTIFS($AD$3:$AD$201,$M274)&gt;0,
     COUNTIFS($AE$3:$AE$201,$M274)&gt;0,
     COUNTIFS($AF$3:$AF$201,$M274)&gt;0,
     COUNTIFS($AG$3:$AG$201,$M274)&gt;0,
     COUNTIFS($AH$3:$AH$201,$M274)&gt;0,
     COUNTIFS($AI$3:$AI$201,$M274)&gt;0,
     COUNTIFS($AJ$3:$AJ$201,$M274)&gt;0,
     COUNTIFS($AK$3:$AK$201,$M274)&gt;0,
     COUNTIFS($AL$3:$AL$201,$M274)&gt;0,
     COUNTIFS($AM$3:$AM$201,$M274)&gt;0,
     COUNTIFS($AN$3:$AN$201,$M274)&gt;0,
     COUNTIFS($AO$3:$AO$201,$M274)&gt;0,
     COUNTIFS($AP$3:$AP$201,$M274)&gt;0,
     COUNTIFS($AQ$3:$AQ$201,$M274)&gt;0,
     COUNTIFS($AR$3:$AR$201,$M274)&gt;0,
     COUNTIFS($AS$3:$AS$201,$M274)&gt;0,
     COUNTIFS($AT$3:$AT$201,$M274)&gt;0,
     COUNTIFS($AU$3:$AU$201,$M274)&gt;0,
     COUNTIFS($AV$3:$AV$201,$M274)&gt;0,
     COUNTIFS($AW$3:$AW$201,$M274)&gt;0
   )),
  ),
  4
 ),
"")</f>
        <v/>
      </c>
      <c r="CI274" t="str">
        <f ca="1"/>
        <v>Woe Strider</v>
      </c>
    </row>
    <row r="275" spans="1:87" x14ac:dyDescent="0.25">
      <c r="A275" t="str">
        <f ca="1"/>
        <v>Teferi's Ageless Insight</v>
      </c>
      <c r="B275" s="3" t="str" cm="1">
        <f t="array" aca="1" ref="B275" ca="1">_xlfn.ANCHORARRAY(RESUMO!C274)</f>
        <v>Zimone</v>
      </c>
      <c r="C275" s="3" t="str">
        <f t="shared" ca="1" si="16"/>
        <v/>
      </c>
      <c r="E275" t="str">
        <f ca="1"/>
        <v>Worn Powerstone</v>
      </c>
      <c r="F275" s="3">
        <f t="shared" ca="1" si="17"/>
        <v>1</v>
      </c>
      <c r="G275" s="3" t="str">
        <f t="shared" ca="1" si="18"/>
        <v>Muzzio</v>
      </c>
      <c r="M275" t="str">
        <f ca="1"/>
        <v>Worn Powerstone</v>
      </c>
      <c r="N275" s="3">
        <f t="shared" ca="1" si="19"/>
        <v>1</v>
      </c>
      <c r="O275" s="3" t="str">
        <f ca="1">IFERROR(
 INDEX($T$2:$AW$2,
  MATCH(TRUE,
   CHOOSE({1;2;3;4;5;6;7;8;9;10;11;12;13;14;15;16;17;18;19;20;21;22;23;24;25;26;27;28;29;30;31;32},
    COUNTIFS($T$3:$T$201,$M275)&gt;0,
    COUNTIFS($U$3:$U$201,$M275)&gt;0,
    COUNTIFS($V$3:$V$201,$M275)&gt;0,
    COUNTIFS($W$3:$W$201,$M275)&gt;0,
    COUNTIFS($X$3:$X$201,$M275)&gt;0,
    COUNTIFS($Y$3:$Y$201,$M275)&gt;0,
    COUNTIFS($Z$3:$Z$201,$M275)&gt;0,
    COUNTIFS($AA$3:$AA$201,$M275)&gt;0,
    COUNTIFS($AB$3:$AB$201,$M275)&gt;0,
    COUNTIFS($AC$3:$AC$201,$M275)&gt;0,
    COUNTIFS($AD$3:$AD$201,$M275)&gt;0,
    COUNTIFS($AE$3:$AE$201,$M275)&gt;0,
    COUNTIFS($AF$3:$AF$201,$M275)&gt;0,
    COUNTIFS($AG$3:$AG$201,$M275)&gt;0,
    COUNTIFS($AH$3:$AH$201,$M275)&gt;0,
    COUNTIFS($AI$3:$AI$201,$M275)&gt;0,
    COUNTIFS($AJ$3:$AJ$201,$M275)&gt;0,
    COUNTIFS($AK$3:$AK$201,$M275)&gt;0,
    COUNTIFS($AL$3:$AL$201,$M275)&gt;0,
    COUNTIFS($AM$3:$AM$201,$M275)&gt;0,
    COUNTIFS($AN$3:$AN$201,$M275)&gt;0,
    COUNTIFS($AO$3:$AO$201,$M275)&gt;0,
    COUNTIFS($AP$3:$AP$201,$M275)&gt;0,
    COUNTIFS($AQ$3:$AQ$201,$M275)&gt;0,
    COUNTIFS($AR$3:$AR$201,$M275)&gt;0,
    COUNTIFS($AS$3:$AS$201,$M275)&gt;0,
    COUNTIFS($AT$3:$AT$201,$M275)&gt;0,
    COUNTIFS($AU$3:$AU$201,$M275)&gt;0,
    COUNTIFS($AV$3:$AV$201,$M275)&gt;0,
    COUNTIFS($AW$3:$AW$201,$M275)&gt;0
   ),
  0)
 ),
"")</f>
        <v>Muzzio</v>
      </c>
      <c r="P275" s="3" t="str" cm="1">
        <f t="array" aca="1" ref="P275" ca="1">IFERROR(
 INDEX(
  _xlfn._xlws.FILTER($T$2:$AW$2,
   TRANSPOSE(
    CHOOSE({1;2;3;4;5;6;7;8;9;10;11;12;13;14;15;16;17;18;19;20;21;22;23;24;25;26;27;28;29;30},
     COUNTIFS($T$3:$T$201,$M275)&gt;0,
     COUNTIFS($U$3:$U$201,$M275)&gt;0,
     COUNTIFS($V$3:$V$201,$M275)&gt;0,
     COUNTIFS($W$3:$W$201,$M275)&gt;0,
     COUNTIFS($X$3:$X$201,$M275)&gt;0,
     COUNTIFS($Y$3:$Y$201,$M275)&gt;0,
     COUNTIFS($Z$3:$Z$201,$M275)&gt;0,
     COUNTIFS($AA$3:$AA$201,$M275)&gt;0,
     COUNTIFS($AB$3:$AB$201,$M275)&gt;0,
     COUNTIFS($AC$3:$AC$201,$M275)&gt;0,
     COUNTIFS($AD$3:$AD$201,$M275)&gt;0,
     COUNTIFS($AE$3:$AE$201,$M275)&gt;0,
     COUNTIFS($AF$3:$AF$201,$M275)&gt;0,
     COUNTIFS($AG$3:$AG$201,$M275)&gt;0,
     COUNTIFS($AH$3:$AH$201,$M275)&gt;0,
     COUNTIFS($AI$3:$AI$201,$M275)&gt;0,
     COUNTIFS($AJ$3:$AJ$201,$M275)&gt;0,
     COUNTIFS($AK$3:$AK$201,$M275)&gt;0,
     COUNTIFS($AL$3:$AL$201,$M275)&gt;0,
     COUNTIFS($AM$3:$AM$201,$M275)&gt;0,
     COUNTIFS($AN$3:$AN$201,$M275)&gt;0,
     COUNTIFS($AO$3:$AO$201,$M275)&gt;0,
     COUNTIFS($AP$3:$AP$201,$M275)&gt;0,
     COUNTIFS($AQ$3:$AQ$201,$M275)&gt;0,
     COUNTIFS($AR$3:$AR$201,$M275)&gt;0,
     COUNTIFS($AS$3:$AS$201,$M275)&gt;0,
     COUNTIFS($AT$3:$AT$201,$M275)&gt;0,
     COUNTIFS($AU$3:$AU$201,$M275)&gt;0,
     COUNTIFS($AV$3:$AV$201,$M275)&gt;0,
     COUNTIFS($AW$3:$AW$201,$M275)&gt;0
   )),
  ),
  2
 ),
"")</f>
        <v/>
      </c>
      <c r="Q275" s="3" t="str" cm="1">
        <f t="array" aca="1" ref="Q275" ca="1">IFERROR(
 INDEX(
  _xlfn._xlws.FILTER($T$2:$AW$2,
   TRANSPOSE(
    CHOOSE({1;2;3;4;5;6;7;8;9;10;11;12;13;14;15;16;17;18;19;20;21;22;23;24;25;26;27;28;29;30},
     COUNTIFS($T$3:$T$201,$M275)&gt;0,
     COUNTIFS($U$3:$U$201,$M275)&gt;0,
     COUNTIFS($V$3:$V$201,$M275)&gt;0,
     COUNTIFS($W$3:$W$201,$M275)&gt;0,
     COUNTIFS($X$3:$X$201,$M275)&gt;0,
     COUNTIFS($Y$3:$Y$201,$M275)&gt;0,
     COUNTIFS($Z$3:$Z$201,$M275)&gt;0,
     COUNTIFS($AA$3:$AA$201,$M275)&gt;0,
     COUNTIFS($AB$3:$AB$201,$M275)&gt;0,
     COUNTIFS($AC$3:$AC$201,$M275)&gt;0,
     COUNTIFS($AD$3:$AD$201,$M275)&gt;0,
     COUNTIFS($AE$3:$AE$201,$M275)&gt;0,
     COUNTIFS($AF$3:$AF$201,$M275)&gt;0,
     COUNTIFS($AG$3:$AG$201,$M275)&gt;0,
     COUNTIFS($AH$3:$AH$201,$M275)&gt;0,
     COUNTIFS($AI$3:$AI$201,$M275)&gt;0,
     COUNTIFS($AJ$3:$AJ$201,$M275)&gt;0,
     COUNTIFS($AK$3:$AK$201,$M275)&gt;0,
     COUNTIFS($AL$3:$AL$201,$M275)&gt;0,
     COUNTIFS($AM$3:$AM$201,$M275)&gt;0,
     COUNTIFS($AN$3:$AN$201,$M275)&gt;0,
     COUNTIFS($AO$3:$AO$201,$M275)&gt;0,
     COUNTIFS($AP$3:$AP$201,$M275)&gt;0,
     COUNTIFS($AQ$3:$AQ$201,$M275)&gt;0,
     COUNTIFS($AR$3:$AR$201,$M275)&gt;0,
     COUNTIFS($AS$3:$AS$201,$M275)&gt;0,
     COUNTIFS($AT$3:$AT$201,$M275)&gt;0,
     COUNTIFS($AU$3:$AU$201,$M275)&gt;0,
     COUNTIFS($AV$3:$AV$201,$M275)&gt;0,
     COUNTIFS($AW$3:$AW$201,$M275)&gt;0
   )),
  ),
  3
 ),
"")</f>
        <v/>
      </c>
      <c r="R275" s="3" t="str" cm="1">
        <f t="array" aca="1" ref="R275" ca="1">IFERROR(
 INDEX(
  _xlfn._xlws.FILTER($T$2:$AW$2,
   TRANSPOSE(
    CHOOSE({1;2;3;4;5;6;7;8;9;10;11;12;13;14;15;16;17;18;19;20;21;22;23;24;25;26;27;28;29;30},
     COUNTIFS($T$3:$T$201,$M275)&gt;0,
     COUNTIFS($U$3:$U$201,$M275)&gt;0,
     COUNTIFS($V$3:$V$201,$M275)&gt;0,
     COUNTIFS($W$3:$W$201,$M275)&gt;0,
     COUNTIFS($X$3:$X$201,$M275)&gt;0,
     COUNTIFS($Y$3:$Y$201,$M275)&gt;0,
     COUNTIFS($Z$3:$Z$201,$M275)&gt;0,
     COUNTIFS($AA$3:$AA$201,$M275)&gt;0,
     COUNTIFS($AB$3:$AB$201,$M275)&gt;0,
     COUNTIFS($AC$3:$AC$201,$M275)&gt;0,
     COUNTIFS($AD$3:$AD$201,$M275)&gt;0,
     COUNTIFS($AE$3:$AE$201,$M275)&gt;0,
     COUNTIFS($AF$3:$AF$201,$M275)&gt;0,
     COUNTIFS($AG$3:$AG$201,$M275)&gt;0,
     COUNTIFS($AH$3:$AH$201,$M275)&gt;0,
     COUNTIFS($AI$3:$AI$201,$M275)&gt;0,
     COUNTIFS($AJ$3:$AJ$201,$M275)&gt;0,
     COUNTIFS($AK$3:$AK$201,$M275)&gt;0,
     COUNTIFS($AL$3:$AL$201,$M275)&gt;0,
     COUNTIFS($AM$3:$AM$201,$M275)&gt;0,
     COUNTIFS($AN$3:$AN$201,$M275)&gt;0,
     COUNTIFS($AO$3:$AO$201,$M275)&gt;0,
     COUNTIFS($AP$3:$AP$201,$M275)&gt;0,
     COUNTIFS($AQ$3:$AQ$201,$M275)&gt;0,
     COUNTIFS($AR$3:$AR$201,$M275)&gt;0,
     COUNTIFS($AS$3:$AS$201,$M275)&gt;0,
     COUNTIFS($AT$3:$AT$201,$M275)&gt;0,
     COUNTIFS($AU$3:$AU$201,$M275)&gt;0,
     COUNTIFS($AV$3:$AV$201,$M275)&gt;0,
     COUNTIFS($AW$3:$AW$201,$M275)&gt;0
   )),
  ),
  4
 ),
"")</f>
        <v/>
      </c>
      <c r="CI275" t="str">
        <f ca="1"/>
        <v>Worn Powerstone</v>
      </c>
    </row>
    <row r="276" spans="1:87" x14ac:dyDescent="0.25">
      <c r="A276" t="str">
        <f ca="1"/>
        <v>Teferi's Protection</v>
      </c>
      <c r="B276" s="3" t="str" cm="1">
        <f t="array" aca="1" ref="B276" ca="1">_xlfn.ANCHORARRAY(RESUMO!C275)</f>
        <v>Baylen</v>
      </c>
      <c r="C276" s="3" t="str">
        <f t="shared" ca="1" si="16"/>
        <v/>
      </c>
      <c r="E276" t="str">
        <f ca="1"/>
        <v>Young Pyromancer</v>
      </c>
      <c r="F276" s="3">
        <f t="shared" ca="1" si="17"/>
        <v>1</v>
      </c>
      <c r="G276" s="3" t="str">
        <f t="shared" ca="1" si="18"/>
        <v>Narset</v>
      </c>
      <c r="M276" t="str">
        <f ca="1"/>
        <v>Young Pyromancer</v>
      </c>
      <c r="N276" s="3">
        <f t="shared" ca="1" si="19"/>
        <v>1</v>
      </c>
      <c r="O276" s="3" t="str">
        <f ca="1">IFERROR(
 INDEX($T$2:$AW$2,
  MATCH(TRUE,
   CHOOSE({1;2;3;4;5;6;7;8;9;10;11;12;13;14;15;16;17;18;19;20;21;22;23;24;25;26;27;28;29;30;31;32},
    COUNTIFS($T$3:$T$201,$M276)&gt;0,
    COUNTIFS($U$3:$U$201,$M276)&gt;0,
    COUNTIFS($V$3:$V$201,$M276)&gt;0,
    COUNTIFS($W$3:$W$201,$M276)&gt;0,
    COUNTIFS($X$3:$X$201,$M276)&gt;0,
    COUNTIFS($Y$3:$Y$201,$M276)&gt;0,
    COUNTIFS($Z$3:$Z$201,$M276)&gt;0,
    COUNTIFS($AA$3:$AA$201,$M276)&gt;0,
    COUNTIFS($AB$3:$AB$201,$M276)&gt;0,
    COUNTIFS($AC$3:$AC$201,$M276)&gt;0,
    COUNTIFS($AD$3:$AD$201,$M276)&gt;0,
    COUNTIFS($AE$3:$AE$201,$M276)&gt;0,
    COUNTIFS($AF$3:$AF$201,$M276)&gt;0,
    COUNTIFS($AG$3:$AG$201,$M276)&gt;0,
    COUNTIFS($AH$3:$AH$201,$M276)&gt;0,
    COUNTIFS($AI$3:$AI$201,$M276)&gt;0,
    COUNTIFS($AJ$3:$AJ$201,$M276)&gt;0,
    COUNTIFS($AK$3:$AK$201,$M276)&gt;0,
    COUNTIFS($AL$3:$AL$201,$M276)&gt;0,
    COUNTIFS($AM$3:$AM$201,$M276)&gt;0,
    COUNTIFS($AN$3:$AN$201,$M276)&gt;0,
    COUNTIFS($AO$3:$AO$201,$M276)&gt;0,
    COUNTIFS($AP$3:$AP$201,$M276)&gt;0,
    COUNTIFS($AQ$3:$AQ$201,$M276)&gt;0,
    COUNTIFS($AR$3:$AR$201,$M276)&gt;0,
    COUNTIFS($AS$3:$AS$201,$M276)&gt;0,
    COUNTIFS($AT$3:$AT$201,$M276)&gt;0,
    COUNTIFS($AU$3:$AU$201,$M276)&gt;0,
    COUNTIFS($AV$3:$AV$201,$M276)&gt;0,
    COUNTIFS($AW$3:$AW$201,$M276)&gt;0
   ),
  0)
 ),
"")</f>
        <v>Narset</v>
      </c>
      <c r="P276" s="3" t="str" cm="1">
        <f t="array" aca="1" ref="P276" ca="1">IFERROR(
 INDEX(
  _xlfn._xlws.FILTER($T$2:$AW$2,
   TRANSPOSE(
    CHOOSE({1;2;3;4;5;6;7;8;9;10;11;12;13;14;15;16;17;18;19;20;21;22;23;24;25;26;27;28;29;30},
     COUNTIFS($T$3:$T$201,$M276)&gt;0,
     COUNTIFS($U$3:$U$201,$M276)&gt;0,
     COUNTIFS($V$3:$V$201,$M276)&gt;0,
     COUNTIFS($W$3:$W$201,$M276)&gt;0,
     COUNTIFS($X$3:$X$201,$M276)&gt;0,
     COUNTIFS($Y$3:$Y$201,$M276)&gt;0,
     COUNTIFS($Z$3:$Z$201,$M276)&gt;0,
     COUNTIFS($AA$3:$AA$201,$M276)&gt;0,
     COUNTIFS($AB$3:$AB$201,$M276)&gt;0,
     COUNTIFS($AC$3:$AC$201,$M276)&gt;0,
     COUNTIFS($AD$3:$AD$201,$M276)&gt;0,
     COUNTIFS($AE$3:$AE$201,$M276)&gt;0,
     COUNTIFS($AF$3:$AF$201,$M276)&gt;0,
     COUNTIFS($AG$3:$AG$201,$M276)&gt;0,
     COUNTIFS($AH$3:$AH$201,$M276)&gt;0,
     COUNTIFS($AI$3:$AI$201,$M276)&gt;0,
     COUNTIFS($AJ$3:$AJ$201,$M276)&gt;0,
     COUNTIFS($AK$3:$AK$201,$M276)&gt;0,
     COUNTIFS($AL$3:$AL$201,$M276)&gt;0,
     COUNTIFS($AM$3:$AM$201,$M276)&gt;0,
     COUNTIFS($AN$3:$AN$201,$M276)&gt;0,
     COUNTIFS($AO$3:$AO$201,$M276)&gt;0,
     COUNTIFS($AP$3:$AP$201,$M276)&gt;0,
     COUNTIFS($AQ$3:$AQ$201,$M276)&gt;0,
     COUNTIFS($AR$3:$AR$201,$M276)&gt;0,
     COUNTIFS($AS$3:$AS$201,$M276)&gt;0,
     COUNTIFS($AT$3:$AT$201,$M276)&gt;0,
     COUNTIFS($AU$3:$AU$201,$M276)&gt;0,
     COUNTIFS($AV$3:$AV$201,$M276)&gt;0,
     COUNTIFS($AW$3:$AW$201,$M276)&gt;0
   )),
  ),
  2
 ),
"")</f>
        <v/>
      </c>
      <c r="Q276" s="3" t="str" cm="1">
        <f t="array" aca="1" ref="Q276" ca="1">IFERROR(
 INDEX(
  _xlfn._xlws.FILTER($T$2:$AW$2,
   TRANSPOSE(
    CHOOSE({1;2;3;4;5;6;7;8;9;10;11;12;13;14;15;16;17;18;19;20;21;22;23;24;25;26;27;28;29;30},
     COUNTIFS($T$3:$T$201,$M276)&gt;0,
     COUNTIFS($U$3:$U$201,$M276)&gt;0,
     COUNTIFS($V$3:$V$201,$M276)&gt;0,
     COUNTIFS($W$3:$W$201,$M276)&gt;0,
     COUNTIFS($X$3:$X$201,$M276)&gt;0,
     COUNTIFS($Y$3:$Y$201,$M276)&gt;0,
     COUNTIFS($Z$3:$Z$201,$M276)&gt;0,
     COUNTIFS($AA$3:$AA$201,$M276)&gt;0,
     COUNTIFS($AB$3:$AB$201,$M276)&gt;0,
     COUNTIFS($AC$3:$AC$201,$M276)&gt;0,
     COUNTIFS($AD$3:$AD$201,$M276)&gt;0,
     COUNTIFS($AE$3:$AE$201,$M276)&gt;0,
     COUNTIFS($AF$3:$AF$201,$M276)&gt;0,
     COUNTIFS($AG$3:$AG$201,$M276)&gt;0,
     COUNTIFS($AH$3:$AH$201,$M276)&gt;0,
     COUNTIFS($AI$3:$AI$201,$M276)&gt;0,
     COUNTIFS($AJ$3:$AJ$201,$M276)&gt;0,
     COUNTIFS($AK$3:$AK$201,$M276)&gt;0,
     COUNTIFS($AL$3:$AL$201,$M276)&gt;0,
     COUNTIFS($AM$3:$AM$201,$M276)&gt;0,
     COUNTIFS($AN$3:$AN$201,$M276)&gt;0,
     COUNTIFS($AO$3:$AO$201,$M276)&gt;0,
     COUNTIFS($AP$3:$AP$201,$M276)&gt;0,
     COUNTIFS($AQ$3:$AQ$201,$M276)&gt;0,
     COUNTIFS($AR$3:$AR$201,$M276)&gt;0,
     COUNTIFS($AS$3:$AS$201,$M276)&gt;0,
     COUNTIFS($AT$3:$AT$201,$M276)&gt;0,
     COUNTIFS($AU$3:$AU$201,$M276)&gt;0,
     COUNTIFS($AV$3:$AV$201,$M276)&gt;0,
     COUNTIFS($AW$3:$AW$201,$M276)&gt;0
   )),
  ),
  3
 ),
"")</f>
        <v/>
      </c>
      <c r="R276" s="3" t="str" cm="1">
        <f t="array" aca="1" ref="R276" ca="1">IFERROR(
 INDEX(
  _xlfn._xlws.FILTER($T$2:$AW$2,
   TRANSPOSE(
    CHOOSE({1;2;3;4;5;6;7;8;9;10;11;12;13;14;15;16;17;18;19;20;21;22;23;24;25;26;27;28;29;30},
     COUNTIFS($T$3:$T$201,$M276)&gt;0,
     COUNTIFS($U$3:$U$201,$M276)&gt;0,
     COUNTIFS($V$3:$V$201,$M276)&gt;0,
     COUNTIFS($W$3:$W$201,$M276)&gt;0,
     COUNTIFS($X$3:$X$201,$M276)&gt;0,
     COUNTIFS($Y$3:$Y$201,$M276)&gt;0,
     COUNTIFS($Z$3:$Z$201,$M276)&gt;0,
     COUNTIFS($AA$3:$AA$201,$M276)&gt;0,
     COUNTIFS($AB$3:$AB$201,$M276)&gt;0,
     COUNTIFS($AC$3:$AC$201,$M276)&gt;0,
     COUNTIFS($AD$3:$AD$201,$M276)&gt;0,
     COUNTIFS($AE$3:$AE$201,$M276)&gt;0,
     COUNTIFS($AF$3:$AF$201,$M276)&gt;0,
     COUNTIFS($AG$3:$AG$201,$M276)&gt;0,
     COUNTIFS($AH$3:$AH$201,$M276)&gt;0,
     COUNTIFS($AI$3:$AI$201,$M276)&gt;0,
     COUNTIFS($AJ$3:$AJ$201,$M276)&gt;0,
     COUNTIFS($AK$3:$AK$201,$M276)&gt;0,
     COUNTIFS($AL$3:$AL$201,$M276)&gt;0,
     COUNTIFS($AM$3:$AM$201,$M276)&gt;0,
     COUNTIFS($AN$3:$AN$201,$M276)&gt;0,
     COUNTIFS($AO$3:$AO$201,$M276)&gt;0,
     COUNTIFS($AP$3:$AP$201,$M276)&gt;0,
     COUNTIFS($AQ$3:$AQ$201,$M276)&gt;0,
     COUNTIFS($AR$3:$AR$201,$M276)&gt;0,
     COUNTIFS($AS$3:$AS$201,$M276)&gt;0,
     COUNTIFS($AT$3:$AT$201,$M276)&gt;0,
     COUNTIFS($AU$3:$AU$201,$M276)&gt;0,
     COUNTIFS($AV$3:$AV$201,$M276)&gt;0,
     COUNTIFS($AW$3:$AW$201,$M276)&gt;0
   )),
  ),
  4
 ),
"")</f>
        <v/>
      </c>
      <c r="CI276" t="str">
        <f ca="1"/>
        <v>Young Pyromancer</v>
      </c>
    </row>
    <row r="277" spans="1:87" x14ac:dyDescent="0.25">
      <c r="A277" t="str">
        <f ca="1"/>
        <v>Temple of Malice</v>
      </c>
      <c r="B277" s="3" t="str" cm="1">
        <f t="array" aca="1" ref="B277" ca="1">_xlfn.ANCHORARRAY(RESUMO!C276)</f>
        <v>Piratas</v>
      </c>
      <c r="C277" s="3" t="str">
        <f t="shared" ca="1" si="16"/>
        <v/>
      </c>
      <c r="E277" t="str">
        <f ca="1"/>
        <v>Zona de Emergência</v>
      </c>
      <c r="F277" s="3">
        <f t="shared" ca="1" si="17"/>
        <v>1</v>
      </c>
      <c r="G277" s="3" t="str">
        <f t="shared" ca="1" si="18"/>
        <v>Rani</v>
      </c>
      <c r="M277" t="str">
        <f ca="1"/>
        <v>Zona de Emergência</v>
      </c>
      <c r="N277" s="3">
        <f t="shared" ca="1" si="19"/>
        <v>1</v>
      </c>
      <c r="O277" s="3" t="str">
        <f ca="1">IFERROR(
 INDEX($T$2:$AW$2,
  MATCH(TRUE,
   CHOOSE({1;2;3;4;5;6;7;8;9;10;11;12;13;14;15;16;17;18;19;20;21;22;23;24;25;26;27;28;29;30;31;32},
    COUNTIFS($T$3:$T$201,$M277)&gt;0,
    COUNTIFS($U$3:$U$201,$M277)&gt;0,
    COUNTIFS($V$3:$V$201,$M277)&gt;0,
    COUNTIFS($W$3:$W$201,$M277)&gt;0,
    COUNTIFS($X$3:$X$201,$M277)&gt;0,
    COUNTIFS($Y$3:$Y$201,$M277)&gt;0,
    COUNTIFS($Z$3:$Z$201,$M277)&gt;0,
    COUNTIFS($AA$3:$AA$201,$M277)&gt;0,
    COUNTIFS($AB$3:$AB$201,$M277)&gt;0,
    COUNTIFS($AC$3:$AC$201,$M277)&gt;0,
    COUNTIFS($AD$3:$AD$201,$M277)&gt;0,
    COUNTIFS($AE$3:$AE$201,$M277)&gt;0,
    COUNTIFS($AF$3:$AF$201,$M277)&gt;0,
    COUNTIFS($AG$3:$AG$201,$M277)&gt;0,
    COUNTIFS($AH$3:$AH$201,$M277)&gt;0,
    COUNTIFS($AI$3:$AI$201,$M277)&gt;0,
    COUNTIFS($AJ$3:$AJ$201,$M277)&gt;0,
    COUNTIFS($AK$3:$AK$201,$M277)&gt;0,
    COUNTIFS($AL$3:$AL$201,$M277)&gt;0,
    COUNTIFS($AM$3:$AM$201,$M277)&gt;0,
    COUNTIFS($AN$3:$AN$201,$M277)&gt;0,
    COUNTIFS($AO$3:$AO$201,$M277)&gt;0,
    COUNTIFS($AP$3:$AP$201,$M277)&gt;0,
    COUNTIFS($AQ$3:$AQ$201,$M277)&gt;0,
    COUNTIFS($AR$3:$AR$201,$M277)&gt;0,
    COUNTIFS($AS$3:$AS$201,$M277)&gt;0,
    COUNTIFS($AT$3:$AT$201,$M277)&gt;0,
    COUNTIFS($AU$3:$AU$201,$M277)&gt;0,
    COUNTIFS($AV$3:$AV$201,$M277)&gt;0,
    COUNTIFS($AW$3:$AW$201,$M277)&gt;0
   ),
  0)
 ),
"")</f>
        <v>Rani</v>
      </c>
      <c r="P277" s="3" t="str" cm="1">
        <f t="array" aca="1" ref="P277" ca="1">IFERROR(
 INDEX(
  _xlfn._xlws.FILTER($T$2:$AW$2,
   TRANSPOSE(
    CHOOSE({1;2;3;4;5;6;7;8;9;10;11;12;13;14;15;16;17;18;19;20;21;22;23;24;25;26;27;28;29;30},
     COUNTIFS($T$3:$T$201,$M277)&gt;0,
     COUNTIFS($U$3:$U$201,$M277)&gt;0,
     COUNTIFS($V$3:$V$201,$M277)&gt;0,
     COUNTIFS($W$3:$W$201,$M277)&gt;0,
     COUNTIFS($X$3:$X$201,$M277)&gt;0,
     COUNTIFS($Y$3:$Y$201,$M277)&gt;0,
     COUNTIFS($Z$3:$Z$201,$M277)&gt;0,
     COUNTIFS($AA$3:$AA$201,$M277)&gt;0,
     COUNTIFS($AB$3:$AB$201,$M277)&gt;0,
     COUNTIFS($AC$3:$AC$201,$M277)&gt;0,
     COUNTIFS($AD$3:$AD$201,$M277)&gt;0,
     COUNTIFS($AE$3:$AE$201,$M277)&gt;0,
     COUNTIFS($AF$3:$AF$201,$M277)&gt;0,
     COUNTIFS($AG$3:$AG$201,$M277)&gt;0,
     COUNTIFS($AH$3:$AH$201,$M277)&gt;0,
     COUNTIFS($AI$3:$AI$201,$M277)&gt;0,
     COUNTIFS($AJ$3:$AJ$201,$M277)&gt;0,
     COUNTIFS($AK$3:$AK$201,$M277)&gt;0,
     COUNTIFS($AL$3:$AL$201,$M277)&gt;0,
     COUNTIFS($AM$3:$AM$201,$M277)&gt;0,
     COUNTIFS($AN$3:$AN$201,$M277)&gt;0,
     COUNTIFS($AO$3:$AO$201,$M277)&gt;0,
     COUNTIFS($AP$3:$AP$201,$M277)&gt;0,
     COUNTIFS($AQ$3:$AQ$201,$M277)&gt;0,
     COUNTIFS($AR$3:$AR$201,$M277)&gt;0,
     COUNTIFS($AS$3:$AS$201,$M277)&gt;0,
     COUNTIFS($AT$3:$AT$201,$M277)&gt;0,
     COUNTIFS($AU$3:$AU$201,$M277)&gt;0,
     COUNTIFS($AV$3:$AV$201,$M277)&gt;0,
     COUNTIFS($AW$3:$AW$201,$M277)&gt;0
   )),
  ),
  2
 ),
"")</f>
        <v/>
      </c>
      <c r="Q277" s="3" t="str" cm="1">
        <f t="array" aca="1" ref="Q277" ca="1">IFERROR(
 INDEX(
  _xlfn._xlws.FILTER($T$2:$AW$2,
   TRANSPOSE(
    CHOOSE({1;2;3;4;5;6;7;8;9;10;11;12;13;14;15;16;17;18;19;20;21;22;23;24;25;26;27;28;29;30},
     COUNTIFS($T$3:$T$201,$M277)&gt;0,
     COUNTIFS($U$3:$U$201,$M277)&gt;0,
     COUNTIFS($V$3:$V$201,$M277)&gt;0,
     COUNTIFS($W$3:$W$201,$M277)&gt;0,
     COUNTIFS($X$3:$X$201,$M277)&gt;0,
     COUNTIFS($Y$3:$Y$201,$M277)&gt;0,
     COUNTIFS($Z$3:$Z$201,$M277)&gt;0,
     COUNTIFS($AA$3:$AA$201,$M277)&gt;0,
     COUNTIFS($AB$3:$AB$201,$M277)&gt;0,
     COUNTIFS($AC$3:$AC$201,$M277)&gt;0,
     COUNTIFS($AD$3:$AD$201,$M277)&gt;0,
     COUNTIFS($AE$3:$AE$201,$M277)&gt;0,
     COUNTIFS($AF$3:$AF$201,$M277)&gt;0,
     COUNTIFS($AG$3:$AG$201,$M277)&gt;0,
     COUNTIFS($AH$3:$AH$201,$M277)&gt;0,
     COUNTIFS($AI$3:$AI$201,$M277)&gt;0,
     COUNTIFS($AJ$3:$AJ$201,$M277)&gt;0,
     COUNTIFS($AK$3:$AK$201,$M277)&gt;0,
     COUNTIFS($AL$3:$AL$201,$M277)&gt;0,
     COUNTIFS($AM$3:$AM$201,$M277)&gt;0,
     COUNTIFS($AN$3:$AN$201,$M277)&gt;0,
     COUNTIFS($AO$3:$AO$201,$M277)&gt;0,
     COUNTIFS($AP$3:$AP$201,$M277)&gt;0,
     COUNTIFS($AQ$3:$AQ$201,$M277)&gt;0,
     COUNTIFS($AR$3:$AR$201,$M277)&gt;0,
     COUNTIFS($AS$3:$AS$201,$M277)&gt;0,
     COUNTIFS($AT$3:$AT$201,$M277)&gt;0,
     COUNTIFS($AU$3:$AU$201,$M277)&gt;0,
     COUNTIFS($AV$3:$AV$201,$M277)&gt;0,
     COUNTIFS($AW$3:$AW$201,$M277)&gt;0
   )),
  ),
  3
 ),
"")</f>
        <v/>
      </c>
      <c r="R277" s="3" t="str" cm="1">
        <f t="array" aca="1" ref="R277" ca="1">IFERROR(
 INDEX(
  _xlfn._xlws.FILTER($T$2:$AW$2,
   TRANSPOSE(
    CHOOSE({1;2;3;4;5;6;7;8;9;10;11;12;13;14;15;16;17;18;19;20;21;22;23;24;25;26;27;28;29;30},
     COUNTIFS($T$3:$T$201,$M277)&gt;0,
     COUNTIFS($U$3:$U$201,$M277)&gt;0,
     COUNTIFS($V$3:$V$201,$M277)&gt;0,
     COUNTIFS($W$3:$W$201,$M277)&gt;0,
     COUNTIFS($X$3:$X$201,$M277)&gt;0,
     COUNTIFS($Y$3:$Y$201,$M277)&gt;0,
     COUNTIFS($Z$3:$Z$201,$M277)&gt;0,
     COUNTIFS($AA$3:$AA$201,$M277)&gt;0,
     COUNTIFS($AB$3:$AB$201,$M277)&gt;0,
     COUNTIFS($AC$3:$AC$201,$M277)&gt;0,
     COUNTIFS($AD$3:$AD$201,$M277)&gt;0,
     COUNTIFS($AE$3:$AE$201,$M277)&gt;0,
     COUNTIFS($AF$3:$AF$201,$M277)&gt;0,
     COUNTIFS($AG$3:$AG$201,$M277)&gt;0,
     COUNTIFS($AH$3:$AH$201,$M277)&gt;0,
     COUNTIFS($AI$3:$AI$201,$M277)&gt;0,
     COUNTIFS($AJ$3:$AJ$201,$M277)&gt;0,
     COUNTIFS($AK$3:$AK$201,$M277)&gt;0,
     COUNTIFS($AL$3:$AL$201,$M277)&gt;0,
     COUNTIFS($AM$3:$AM$201,$M277)&gt;0,
     COUNTIFS($AN$3:$AN$201,$M277)&gt;0,
     COUNTIFS($AO$3:$AO$201,$M277)&gt;0,
     COUNTIFS($AP$3:$AP$201,$M277)&gt;0,
     COUNTIFS($AQ$3:$AQ$201,$M277)&gt;0,
     COUNTIFS($AR$3:$AR$201,$M277)&gt;0,
     COUNTIFS($AS$3:$AS$201,$M277)&gt;0,
     COUNTIFS($AT$3:$AT$201,$M277)&gt;0,
     COUNTIFS($AU$3:$AU$201,$M277)&gt;0,
     COUNTIFS($AV$3:$AV$201,$M277)&gt;0,
     COUNTIFS($AW$3:$AW$201,$M277)&gt;0
   )),
  ),
  4
 ),
"")</f>
        <v/>
      </c>
      <c r="CI277" t="str">
        <f ca="1"/>
        <v>Zona de Emergência</v>
      </c>
    </row>
    <row r="278" spans="1:87" x14ac:dyDescent="0.25">
      <c r="A278" t="str">
        <f ca="1"/>
        <v>Temporal Manipulation</v>
      </c>
      <c r="B278" s="3" t="str" cm="1">
        <f t="array" aca="1" ref="B278" ca="1">_xlfn.ANCHORARRAY(RESUMO!C277)</f>
        <v>Yuriko</v>
      </c>
      <c r="C278" s="3" t="str">
        <f t="shared" ca="1" si="16"/>
        <v/>
      </c>
      <c r="E278" t="e">
        <f ca="1"/>
        <v>#REF!</v>
      </c>
      <c r="F278" s="3">
        <f t="shared" ca="1" si="17"/>
        <v>0</v>
      </c>
      <c r="G278" s="3" t="e">
        <f t="shared" ca="1" si="18"/>
        <v>#REF!</v>
      </c>
      <c r="M278" t="e">
        <f ca="1"/>
        <v>#REF!</v>
      </c>
      <c r="N278" s="3">
        <f t="shared" ca="1" si="19"/>
        <v>0</v>
      </c>
      <c r="O278" s="3" t="str">
        <f ca="1">IFERROR(
 INDEX($T$2:$AW$2,
  MATCH(TRUE,
   CHOOSE({1;2;3;4;5;6;7;8;9;10;11;12;13;14;15;16;17;18;19;20;21;22;23;24;25;26;27;28;29;30;31;32},
    COUNTIFS($T$3:$T$201,$M278)&gt;0,
    COUNTIFS($U$3:$U$201,$M278)&gt;0,
    COUNTIFS($V$3:$V$201,$M278)&gt;0,
    COUNTIFS($W$3:$W$201,$M278)&gt;0,
    COUNTIFS($X$3:$X$201,$M278)&gt;0,
    COUNTIFS($Y$3:$Y$201,$M278)&gt;0,
    COUNTIFS($Z$3:$Z$201,$M278)&gt;0,
    COUNTIFS($AA$3:$AA$201,$M278)&gt;0,
    COUNTIFS($AB$3:$AB$201,$M278)&gt;0,
    COUNTIFS($AC$3:$AC$201,$M278)&gt;0,
    COUNTIFS($AD$3:$AD$201,$M278)&gt;0,
    COUNTIFS($AE$3:$AE$201,$M278)&gt;0,
    COUNTIFS($AF$3:$AF$201,$M278)&gt;0,
    COUNTIFS($AG$3:$AG$201,$M278)&gt;0,
    COUNTIFS($AH$3:$AH$201,$M278)&gt;0,
    COUNTIFS($AI$3:$AI$201,$M278)&gt;0,
    COUNTIFS($AJ$3:$AJ$201,$M278)&gt;0,
    COUNTIFS($AK$3:$AK$201,$M278)&gt;0,
    COUNTIFS($AL$3:$AL$201,$M278)&gt;0,
    COUNTIFS($AM$3:$AM$201,$M278)&gt;0,
    COUNTIFS($AN$3:$AN$201,$M278)&gt;0,
    COUNTIFS($AO$3:$AO$201,$M278)&gt;0,
    COUNTIFS($AP$3:$AP$201,$M278)&gt;0,
    COUNTIFS($AQ$3:$AQ$201,$M278)&gt;0,
    COUNTIFS($AR$3:$AR$201,$M278)&gt;0,
    COUNTIFS($AS$3:$AS$201,$M278)&gt;0,
    COUNTIFS($AT$3:$AT$201,$M278)&gt;0,
    COUNTIFS($AU$3:$AU$201,$M278)&gt;0,
    COUNTIFS($AV$3:$AV$201,$M278)&gt;0,
    COUNTIFS($AW$3:$AW$201,$M278)&gt;0
   ),
  0)
 ),
"")</f>
        <v/>
      </c>
      <c r="P278" s="3" t="str" cm="1">
        <f t="array" aca="1" ref="P278" ca="1">IFERROR(
 INDEX(
  _xlfn._xlws.FILTER($T$2:$AW$2,
   TRANSPOSE(
    CHOOSE({1;2;3;4;5;6;7;8;9;10;11;12;13;14;15;16;17;18;19;20;21;22;23;24;25;26;27;28;29;30},
     COUNTIFS($T$3:$T$201,$M278)&gt;0,
     COUNTIFS($U$3:$U$201,$M278)&gt;0,
     COUNTIFS($V$3:$V$201,$M278)&gt;0,
     COUNTIFS($W$3:$W$201,$M278)&gt;0,
     COUNTIFS($X$3:$X$201,$M278)&gt;0,
     COUNTIFS($Y$3:$Y$201,$M278)&gt;0,
     COUNTIFS($Z$3:$Z$201,$M278)&gt;0,
     COUNTIFS($AA$3:$AA$201,$M278)&gt;0,
     COUNTIFS($AB$3:$AB$201,$M278)&gt;0,
     COUNTIFS($AC$3:$AC$201,$M278)&gt;0,
     COUNTIFS($AD$3:$AD$201,$M278)&gt;0,
     COUNTIFS($AE$3:$AE$201,$M278)&gt;0,
     COUNTIFS($AF$3:$AF$201,$M278)&gt;0,
     COUNTIFS($AG$3:$AG$201,$M278)&gt;0,
     COUNTIFS($AH$3:$AH$201,$M278)&gt;0,
     COUNTIFS($AI$3:$AI$201,$M278)&gt;0,
     COUNTIFS($AJ$3:$AJ$201,$M278)&gt;0,
     COUNTIFS($AK$3:$AK$201,$M278)&gt;0,
     COUNTIFS($AL$3:$AL$201,$M278)&gt;0,
     COUNTIFS($AM$3:$AM$201,$M278)&gt;0,
     COUNTIFS($AN$3:$AN$201,$M278)&gt;0,
     COUNTIFS($AO$3:$AO$201,$M278)&gt;0,
     COUNTIFS($AP$3:$AP$201,$M278)&gt;0,
     COUNTIFS($AQ$3:$AQ$201,$M278)&gt;0,
     COUNTIFS($AR$3:$AR$201,$M278)&gt;0,
     COUNTIFS($AS$3:$AS$201,$M278)&gt;0,
     COUNTIFS($AT$3:$AT$201,$M278)&gt;0,
     COUNTIFS($AU$3:$AU$201,$M278)&gt;0,
     COUNTIFS($AV$3:$AV$201,$M278)&gt;0,
     COUNTIFS($AW$3:$AW$201,$M278)&gt;0
   )),
  ),
  2
 ),
"")</f>
        <v/>
      </c>
      <c r="Q278" s="3" t="str" cm="1">
        <f t="array" aca="1" ref="Q278" ca="1">IFERROR(
 INDEX(
  _xlfn._xlws.FILTER($T$2:$AW$2,
   TRANSPOSE(
    CHOOSE({1;2;3;4;5;6;7;8;9;10;11;12;13;14;15;16;17;18;19;20;21;22;23;24;25;26;27;28;29;30},
     COUNTIFS($T$3:$T$201,$M278)&gt;0,
     COUNTIFS($U$3:$U$201,$M278)&gt;0,
     COUNTIFS($V$3:$V$201,$M278)&gt;0,
     COUNTIFS($W$3:$W$201,$M278)&gt;0,
     COUNTIFS($X$3:$X$201,$M278)&gt;0,
     COUNTIFS($Y$3:$Y$201,$M278)&gt;0,
     COUNTIFS($Z$3:$Z$201,$M278)&gt;0,
     COUNTIFS($AA$3:$AA$201,$M278)&gt;0,
     COUNTIFS($AB$3:$AB$201,$M278)&gt;0,
     COUNTIFS($AC$3:$AC$201,$M278)&gt;0,
     COUNTIFS($AD$3:$AD$201,$M278)&gt;0,
     COUNTIFS($AE$3:$AE$201,$M278)&gt;0,
     COUNTIFS($AF$3:$AF$201,$M278)&gt;0,
     COUNTIFS($AG$3:$AG$201,$M278)&gt;0,
     COUNTIFS($AH$3:$AH$201,$M278)&gt;0,
     COUNTIFS($AI$3:$AI$201,$M278)&gt;0,
     COUNTIFS($AJ$3:$AJ$201,$M278)&gt;0,
     COUNTIFS($AK$3:$AK$201,$M278)&gt;0,
     COUNTIFS($AL$3:$AL$201,$M278)&gt;0,
     COUNTIFS($AM$3:$AM$201,$M278)&gt;0,
     COUNTIFS($AN$3:$AN$201,$M278)&gt;0,
     COUNTIFS($AO$3:$AO$201,$M278)&gt;0,
     COUNTIFS($AP$3:$AP$201,$M278)&gt;0,
     COUNTIFS($AQ$3:$AQ$201,$M278)&gt;0,
     COUNTIFS($AR$3:$AR$201,$M278)&gt;0,
     COUNTIFS($AS$3:$AS$201,$M278)&gt;0,
     COUNTIFS($AT$3:$AT$201,$M278)&gt;0,
     COUNTIFS($AU$3:$AU$201,$M278)&gt;0,
     COUNTIFS($AV$3:$AV$201,$M278)&gt;0,
     COUNTIFS($AW$3:$AW$201,$M278)&gt;0
   )),
  ),
  3
 ),
"")</f>
        <v/>
      </c>
      <c r="R278" s="3" t="str" cm="1">
        <f t="array" aca="1" ref="R278" ca="1">IFERROR(
 INDEX(
  _xlfn._xlws.FILTER($T$2:$AW$2,
   TRANSPOSE(
    CHOOSE({1;2;3;4;5;6;7;8;9;10;11;12;13;14;15;16;17;18;19;20;21;22;23;24;25;26;27;28;29;30},
     COUNTIFS($T$3:$T$201,$M278)&gt;0,
     COUNTIFS($U$3:$U$201,$M278)&gt;0,
     COUNTIFS($V$3:$V$201,$M278)&gt;0,
     COUNTIFS($W$3:$W$201,$M278)&gt;0,
     COUNTIFS($X$3:$X$201,$M278)&gt;0,
     COUNTIFS($Y$3:$Y$201,$M278)&gt;0,
     COUNTIFS($Z$3:$Z$201,$M278)&gt;0,
     COUNTIFS($AA$3:$AA$201,$M278)&gt;0,
     COUNTIFS($AB$3:$AB$201,$M278)&gt;0,
     COUNTIFS($AC$3:$AC$201,$M278)&gt;0,
     COUNTIFS($AD$3:$AD$201,$M278)&gt;0,
     COUNTIFS($AE$3:$AE$201,$M278)&gt;0,
     COUNTIFS($AF$3:$AF$201,$M278)&gt;0,
     COUNTIFS($AG$3:$AG$201,$M278)&gt;0,
     COUNTIFS($AH$3:$AH$201,$M278)&gt;0,
     COUNTIFS($AI$3:$AI$201,$M278)&gt;0,
     COUNTIFS($AJ$3:$AJ$201,$M278)&gt;0,
     COUNTIFS($AK$3:$AK$201,$M278)&gt;0,
     COUNTIFS($AL$3:$AL$201,$M278)&gt;0,
     COUNTIFS($AM$3:$AM$201,$M278)&gt;0,
     COUNTIFS($AN$3:$AN$201,$M278)&gt;0,
     COUNTIFS($AO$3:$AO$201,$M278)&gt;0,
     COUNTIFS($AP$3:$AP$201,$M278)&gt;0,
     COUNTIFS($AQ$3:$AQ$201,$M278)&gt;0,
     COUNTIFS($AR$3:$AR$201,$M278)&gt;0,
     COUNTIFS($AS$3:$AS$201,$M278)&gt;0,
     COUNTIFS($AT$3:$AT$201,$M278)&gt;0,
     COUNTIFS($AU$3:$AU$201,$M278)&gt;0,
     COUNTIFS($AV$3:$AV$201,$M278)&gt;0,
     COUNTIFS($AW$3:$AW$201,$M278)&gt;0
   )),
  ),
  4
 ),
"")</f>
        <v/>
      </c>
      <c r="CI278" t="e">
        <f ca="1"/>
        <v>#REF!</v>
      </c>
    </row>
    <row r="279" spans="1:87" x14ac:dyDescent="0.25">
      <c r="A279" t="str">
        <f ca="1"/>
        <v>Temporal Trespass</v>
      </c>
      <c r="B279" s="3" t="str" cm="1">
        <f t="array" aca="1" ref="B279" ca="1">_xlfn.ANCHORARRAY(RESUMO!C278)</f>
        <v>Yuriko</v>
      </c>
      <c r="C279" s="3" t="str">
        <f t="shared" ca="1" si="16"/>
        <v/>
      </c>
      <c r="E279" t="e" vm="2">
        <f ca="1"/>
        <v>#VALUE!</v>
      </c>
      <c r="F279" s="3">
        <f t="shared" ca="1" si="17"/>
        <v>1</v>
      </c>
      <c r="G279" s="3" t="e" vm="2">
        <f t="shared" ca="1" si="18"/>
        <v>#VALUE!</v>
      </c>
      <c r="M279" t="e" vm="2">
        <f ca="1"/>
        <v>#VALUE!</v>
      </c>
      <c r="N279" s="3">
        <f t="shared" ca="1" si="19"/>
        <v>1</v>
      </c>
      <c r="O279" s="3" t="str">
        <f ca="1">IFERROR(
 INDEX($T$2:$AW$2,
  MATCH(TRUE,
   CHOOSE({1;2;3;4;5;6;7;8;9;10;11;12;13;14;15;16;17;18;19;20;21;22;23;24;25;26;27;28;29;30;31;32},
    COUNTIFS($T$3:$T$201,$M279)&gt;0,
    COUNTIFS($U$3:$U$201,$M279)&gt;0,
    COUNTIFS($V$3:$V$201,$M279)&gt;0,
    COUNTIFS($W$3:$W$201,$M279)&gt;0,
    COUNTIFS($X$3:$X$201,$M279)&gt;0,
    COUNTIFS($Y$3:$Y$201,$M279)&gt;0,
    COUNTIFS($Z$3:$Z$201,$M279)&gt;0,
    COUNTIFS($AA$3:$AA$201,$M279)&gt;0,
    COUNTIFS($AB$3:$AB$201,$M279)&gt;0,
    COUNTIFS($AC$3:$AC$201,$M279)&gt;0,
    COUNTIFS($AD$3:$AD$201,$M279)&gt;0,
    COUNTIFS($AE$3:$AE$201,$M279)&gt;0,
    COUNTIFS($AF$3:$AF$201,$M279)&gt;0,
    COUNTIFS($AG$3:$AG$201,$M279)&gt;0,
    COUNTIFS($AH$3:$AH$201,$M279)&gt;0,
    COUNTIFS($AI$3:$AI$201,$M279)&gt;0,
    COUNTIFS($AJ$3:$AJ$201,$M279)&gt;0,
    COUNTIFS($AK$3:$AK$201,$M279)&gt;0,
    COUNTIFS($AL$3:$AL$201,$M279)&gt;0,
    COUNTIFS($AM$3:$AM$201,$M279)&gt;0,
    COUNTIFS($AN$3:$AN$201,$M279)&gt;0,
    COUNTIFS($AO$3:$AO$201,$M279)&gt;0,
    COUNTIFS($AP$3:$AP$201,$M279)&gt;0,
    COUNTIFS($AQ$3:$AQ$201,$M279)&gt;0,
    COUNTIFS($AR$3:$AR$201,$M279)&gt;0,
    COUNTIFS($AS$3:$AS$201,$M279)&gt;0,
    COUNTIFS($AT$3:$AT$201,$M279)&gt;0,
    COUNTIFS($AU$3:$AU$201,$M279)&gt;0,
    COUNTIFS($AV$3:$AV$201,$M279)&gt;0,
    COUNTIFS($AW$3:$AW$201,$M279)&gt;0
   ),
  0)
 ),
"")</f>
        <v>Exaltado</v>
      </c>
      <c r="P279" s="3" t="str" cm="1">
        <f t="array" aca="1" ref="P279" ca="1">IFERROR(
 INDEX(
  _xlfn._xlws.FILTER($T$2:$AW$2,
   TRANSPOSE(
    CHOOSE({1;2;3;4;5;6;7;8;9;10;11;12;13;14;15;16;17;18;19;20;21;22;23;24;25;26;27;28;29;30},
     COUNTIFS($T$3:$T$201,$M279)&gt;0,
     COUNTIFS($U$3:$U$201,$M279)&gt;0,
     COUNTIFS($V$3:$V$201,$M279)&gt;0,
     COUNTIFS($W$3:$W$201,$M279)&gt;0,
     COUNTIFS($X$3:$X$201,$M279)&gt;0,
     COUNTIFS($Y$3:$Y$201,$M279)&gt;0,
     COUNTIFS($Z$3:$Z$201,$M279)&gt;0,
     COUNTIFS($AA$3:$AA$201,$M279)&gt;0,
     COUNTIFS($AB$3:$AB$201,$M279)&gt;0,
     COUNTIFS($AC$3:$AC$201,$M279)&gt;0,
     COUNTIFS($AD$3:$AD$201,$M279)&gt;0,
     COUNTIFS($AE$3:$AE$201,$M279)&gt;0,
     COUNTIFS($AF$3:$AF$201,$M279)&gt;0,
     COUNTIFS($AG$3:$AG$201,$M279)&gt;0,
     COUNTIFS($AH$3:$AH$201,$M279)&gt;0,
     COUNTIFS($AI$3:$AI$201,$M279)&gt;0,
     COUNTIFS($AJ$3:$AJ$201,$M279)&gt;0,
     COUNTIFS($AK$3:$AK$201,$M279)&gt;0,
     COUNTIFS($AL$3:$AL$201,$M279)&gt;0,
     COUNTIFS($AM$3:$AM$201,$M279)&gt;0,
     COUNTIFS($AN$3:$AN$201,$M279)&gt;0,
     COUNTIFS($AO$3:$AO$201,$M279)&gt;0,
     COUNTIFS($AP$3:$AP$201,$M279)&gt;0,
     COUNTIFS($AQ$3:$AQ$201,$M279)&gt;0,
     COUNTIFS($AR$3:$AR$201,$M279)&gt;0,
     COUNTIFS($AS$3:$AS$201,$M279)&gt;0,
     COUNTIFS($AT$3:$AT$201,$M279)&gt;0,
     COUNTIFS($AU$3:$AU$201,$M279)&gt;0,
     COUNTIFS($AV$3:$AV$201,$M279)&gt;0,
     COUNTIFS($AW$3:$AW$201,$M279)&gt;0
   )),
  ),
  2
 ),
"")</f>
        <v/>
      </c>
      <c r="Q279" s="3" t="str" cm="1">
        <f t="array" aca="1" ref="Q279" ca="1">IFERROR(
 INDEX(
  _xlfn._xlws.FILTER($T$2:$AW$2,
   TRANSPOSE(
    CHOOSE({1;2;3;4;5;6;7;8;9;10;11;12;13;14;15;16;17;18;19;20;21;22;23;24;25;26;27;28;29;30},
     COUNTIFS($T$3:$T$201,$M279)&gt;0,
     COUNTIFS($U$3:$U$201,$M279)&gt;0,
     COUNTIFS($V$3:$V$201,$M279)&gt;0,
     COUNTIFS($W$3:$W$201,$M279)&gt;0,
     COUNTIFS($X$3:$X$201,$M279)&gt;0,
     COUNTIFS($Y$3:$Y$201,$M279)&gt;0,
     COUNTIFS($Z$3:$Z$201,$M279)&gt;0,
     COUNTIFS($AA$3:$AA$201,$M279)&gt;0,
     COUNTIFS($AB$3:$AB$201,$M279)&gt;0,
     COUNTIFS($AC$3:$AC$201,$M279)&gt;0,
     COUNTIFS($AD$3:$AD$201,$M279)&gt;0,
     COUNTIFS($AE$3:$AE$201,$M279)&gt;0,
     COUNTIFS($AF$3:$AF$201,$M279)&gt;0,
     COUNTIFS($AG$3:$AG$201,$M279)&gt;0,
     COUNTIFS($AH$3:$AH$201,$M279)&gt;0,
     COUNTIFS($AI$3:$AI$201,$M279)&gt;0,
     COUNTIFS($AJ$3:$AJ$201,$M279)&gt;0,
     COUNTIFS($AK$3:$AK$201,$M279)&gt;0,
     COUNTIFS($AL$3:$AL$201,$M279)&gt;0,
     COUNTIFS($AM$3:$AM$201,$M279)&gt;0,
     COUNTIFS($AN$3:$AN$201,$M279)&gt;0,
     COUNTIFS($AO$3:$AO$201,$M279)&gt;0,
     COUNTIFS($AP$3:$AP$201,$M279)&gt;0,
     COUNTIFS($AQ$3:$AQ$201,$M279)&gt;0,
     COUNTIFS($AR$3:$AR$201,$M279)&gt;0,
     COUNTIFS($AS$3:$AS$201,$M279)&gt;0,
     COUNTIFS($AT$3:$AT$201,$M279)&gt;0,
     COUNTIFS($AU$3:$AU$201,$M279)&gt;0,
     COUNTIFS($AV$3:$AV$201,$M279)&gt;0,
     COUNTIFS($AW$3:$AW$201,$M279)&gt;0
   )),
  ),
  3
 ),
"")</f>
        <v/>
      </c>
      <c r="R279" s="3" t="str" cm="1">
        <f t="array" aca="1" ref="R279" ca="1">IFERROR(
 INDEX(
  _xlfn._xlws.FILTER($T$2:$AW$2,
   TRANSPOSE(
    CHOOSE({1;2;3;4;5;6;7;8;9;10;11;12;13;14;15;16;17;18;19;20;21;22;23;24;25;26;27;28;29;30},
     COUNTIFS($T$3:$T$201,$M279)&gt;0,
     COUNTIFS($U$3:$U$201,$M279)&gt;0,
     COUNTIFS($V$3:$V$201,$M279)&gt;0,
     COUNTIFS($W$3:$W$201,$M279)&gt;0,
     COUNTIFS($X$3:$X$201,$M279)&gt;0,
     COUNTIFS($Y$3:$Y$201,$M279)&gt;0,
     COUNTIFS($Z$3:$Z$201,$M279)&gt;0,
     COUNTIFS($AA$3:$AA$201,$M279)&gt;0,
     COUNTIFS($AB$3:$AB$201,$M279)&gt;0,
     COUNTIFS($AC$3:$AC$201,$M279)&gt;0,
     COUNTIFS($AD$3:$AD$201,$M279)&gt;0,
     COUNTIFS($AE$3:$AE$201,$M279)&gt;0,
     COUNTIFS($AF$3:$AF$201,$M279)&gt;0,
     COUNTIFS($AG$3:$AG$201,$M279)&gt;0,
     COUNTIFS($AH$3:$AH$201,$M279)&gt;0,
     COUNTIFS($AI$3:$AI$201,$M279)&gt;0,
     COUNTIFS($AJ$3:$AJ$201,$M279)&gt;0,
     COUNTIFS($AK$3:$AK$201,$M279)&gt;0,
     COUNTIFS($AL$3:$AL$201,$M279)&gt;0,
     COUNTIFS($AM$3:$AM$201,$M279)&gt;0,
     COUNTIFS($AN$3:$AN$201,$M279)&gt;0,
     COUNTIFS($AO$3:$AO$201,$M279)&gt;0,
     COUNTIFS($AP$3:$AP$201,$M279)&gt;0,
     COUNTIFS($AQ$3:$AQ$201,$M279)&gt;0,
     COUNTIFS($AR$3:$AR$201,$M279)&gt;0,
     COUNTIFS($AS$3:$AS$201,$M279)&gt;0,
     COUNTIFS($AT$3:$AT$201,$M279)&gt;0,
     COUNTIFS($AU$3:$AU$201,$M279)&gt;0,
     COUNTIFS($AV$3:$AV$201,$M279)&gt;0,
     COUNTIFS($AW$3:$AW$201,$M279)&gt;0
   )),
  ),
  4
 ),
"")</f>
        <v/>
      </c>
      <c r="CI279" t="e" vm="2">
        <f ca="1"/>
        <v>#VALUE!</v>
      </c>
    </row>
    <row r="280" spans="1:87" x14ac:dyDescent="0.25">
      <c r="A280" t="str">
        <f ca="1"/>
        <v>Terra Eternal</v>
      </c>
      <c r="B280" s="3" t="str" cm="1">
        <f t="array" aca="1" ref="B280" ca="1">_xlfn.ANCHORARRAY(RESUMO!C279)</f>
        <v>Modular</v>
      </c>
      <c r="C280" s="3" t="str">
        <f t="shared" ca="1" si="16"/>
        <v/>
      </c>
      <c r="F280" s="3">
        <f t="shared" si="17"/>
        <v>0</v>
      </c>
      <c r="G280" s="3" t="str">
        <f t="shared" ca="1" si="18"/>
        <v/>
      </c>
      <c r="N280" s="3">
        <f t="shared" si="19"/>
        <v>0</v>
      </c>
      <c r="O280" s="3" t="str">
        <f>IFERROR(
 INDEX($T$2:$AW$2,
  MATCH(TRUE,
   CHOOSE({1;2;3;4;5;6;7;8;9;10;11;12;13;14;15;16;17;18;19;20;21;22;23;24;25;26;27;28;29;30;31;32},
    COUNTIFS($T$3:$T$201,$M280)&gt;0,
    COUNTIFS($U$3:$U$201,$M280)&gt;0,
    COUNTIFS($V$3:$V$201,$M280)&gt;0,
    COUNTIFS($W$3:$W$201,$M280)&gt;0,
    COUNTIFS($X$3:$X$201,$M280)&gt;0,
    COUNTIFS($Y$3:$Y$201,$M280)&gt;0,
    COUNTIFS($Z$3:$Z$201,$M280)&gt;0,
    COUNTIFS($AA$3:$AA$201,$M280)&gt;0,
    COUNTIFS($AB$3:$AB$201,$M280)&gt;0,
    COUNTIFS($AC$3:$AC$201,$M280)&gt;0,
    COUNTIFS($AD$3:$AD$201,$M280)&gt;0,
    COUNTIFS($AE$3:$AE$201,$M280)&gt;0,
    COUNTIFS($AF$3:$AF$201,$M280)&gt;0,
    COUNTIFS($AG$3:$AG$201,$M280)&gt;0,
    COUNTIFS($AH$3:$AH$201,$M280)&gt;0,
    COUNTIFS($AI$3:$AI$201,$M280)&gt;0,
    COUNTIFS($AJ$3:$AJ$201,$M280)&gt;0,
    COUNTIFS($AK$3:$AK$201,$M280)&gt;0,
    COUNTIFS($AL$3:$AL$201,$M280)&gt;0,
    COUNTIFS($AM$3:$AM$201,$M280)&gt;0,
    COUNTIFS($AN$3:$AN$201,$M280)&gt;0,
    COUNTIFS($AO$3:$AO$201,$M280)&gt;0,
    COUNTIFS($AP$3:$AP$201,$M280)&gt;0,
    COUNTIFS($AQ$3:$AQ$201,$M280)&gt;0,
    COUNTIFS($AR$3:$AR$201,$M280)&gt;0,
    COUNTIFS($AS$3:$AS$201,$M280)&gt;0,
    COUNTIFS($AT$3:$AT$201,$M280)&gt;0,
    COUNTIFS($AU$3:$AU$201,$M280)&gt;0,
    COUNTIFS($AV$3:$AV$201,$M280)&gt;0,
    COUNTIFS($AW$3:$AW$201,$M280)&gt;0
   ),
  0)
 ),
"")</f>
        <v/>
      </c>
      <c r="P280" s="3" t="str" cm="1">
        <f t="array" ref="P280">IFERROR(
 INDEX(
  _xlfn._xlws.FILTER($T$2:$AW$2,
   TRANSPOSE(
    CHOOSE({1;2;3;4;5;6;7;8;9;10;11;12;13;14;15;16;17;18;19;20;21;22;23;24;25;26;27;28;29;30},
     COUNTIFS($T$3:$T$201,$M280)&gt;0,
     COUNTIFS($U$3:$U$201,$M280)&gt;0,
     COUNTIFS($V$3:$V$201,$M280)&gt;0,
     COUNTIFS($W$3:$W$201,$M280)&gt;0,
     COUNTIFS($X$3:$X$201,$M280)&gt;0,
     COUNTIFS($Y$3:$Y$201,$M280)&gt;0,
     COUNTIFS($Z$3:$Z$201,$M280)&gt;0,
     COUNTIFS($AA$3:$AA$201,$M280)&gt;0,
     COUNTIFS($AB$3:$AB$201,$M280)&gt;0,
     COUNTIFS($AC$3:$AC$201,$M280)&gt;0,
     COUNTIFS($AD$3:$AD$201,$M280)&gt;0,
     COUNTIFS($AE$3:$AE$201,$M280)&gt;0,
     COUNTIFS($AF$3:$AF$201,$M280)&gt;0,
     COUNTIFS($AG$3:$AG$201,$M280)&gt;0,
     COUNTIFS($AH$3:$AH$201,$M280)&gt;0,
     COUNTIFS($AI$3:$AI$201,$M280)&gt;0,
     COUNTIFS($AJ$3:$AJ$201,$M280)&gt;0,
     COUNTIFS($AK$3:$AK$201,$M280)&gt;0,
     COUNTIFS($AL$3:$AL$201,$M280)&gt;0,
     COUNTIFS($AM$3:$AM$201,$M280)&gt;0,
     COUNTIFS($AN$3:$AN$201,$M280)&gt;0,
     COUNTIFS($AO$3:$AO$201,$M280)&gt;0,
     COUNTIFS($AP$3:$AP$201,$M280)&gt;0,
     COUNTIFS($AQ$3:$AQ$201,$M280)&gt;0,
     COUNTIFS($AR$3:$AR$201,$M280)&gt;0,
     COUNTIFS($AS$3:$AS$201,$M280)&gt;0,
     COUNTIFS($AT$3:$AT$201,$M280)&gt;0,
     COUNTIFS($AU$3:$AU$201,$M280)&gt;0,
     COUNTIFS($AV$3:$AV$201,$M280)&gt;0,
     COUNTIFS($AW$3:$AW$201,$M280)&gt;0
   )),
  ),
  2
 ),
"")</f>
        <v/>
      </c>
      <c r="Q280" s="3" t="str" cm="1">
        <f t="array" ref="Q280">IFERROR(
 INDEX(
  _xlfn._xlws.FILTER($T$2:$AW$2,
   TRANSPOSE(
    CHOOSE({1;2;3;4;5;6;7;8;9;10;11;12;13;14;15;16;17;18;19;20;21;22;23;24;25;26;27;28;29;30},
     COUNTIFS($T$3:$T$201,$M280)&gt;0,
     COUNTIFS($U$3:$U$201,$M280)&gt;0,
     COUNTIFS($V$3:$V$201,$M280)&gt;0,
     COUNTIFS($W$3:$W$201,$M280)&gt;0,
     COUNTIFS($X$3:$X$201,$M280)&gt;0,
     COUNTIFS($Y$3:$Y$201,$M280)&gt;0,
     COUNTIFS($Z$3:$Z$201,$M280)&gt;0,
     COUNTIFS($AA$3:$AA$201,$M280)&gt;0,
     COUNTIFS($AB$3:$AB$201,$M280)&gt;0,
     COUNTIFS($AC$3:$AC$201,$M280)&gt;0,
     COUNTIFS($AD$3:$AD$201,$M280)&gt;0,
     COUNTIFS($AE$3:$AE$201,$M280)&gt;0,
     COUNTIFS($AF$3:$AF$201,$M280)&gt;0,
     COUNTIFS($AG$3:$AG$201,$M280)&gt;0,
     COUNTIFS($AH$3:$AH$201,$M280)&gt;0,
     COUNTIFS($AI$3:$AI$201,$M280)&gt;0,
     COUNTIFS($AJ$3:$AJ$201,$M280)&gt;0,
     COUNTIFS($AK$3:$AK$201,$M280)&gt;0,
     COUNTIFS($AL$3:$AL$201,$M280)&gt;0,
     COUNTIFS($AM$3:$AM$201,$M280)&gt;0,
     COUNTIFS($AN$3:$AN$201,$M280)&gt;0,
     COUNTIFS($AO$3:$AO$201,$M280)&gt;0,
     COUNTIFS($AP$3:$AP$201,$M280)&gt;0,
     COUNTIFS($AQ$3:$AQ$201,$M280)&gt;0,
     COUNTIFS($AR$3:$AR$201,$M280)&gt;0,
     COUNTIFS($AS$3:$AS$201,$M280)&gt;0,
     COUNTIFS($AT$3:$AT$201,$M280)&gt;0,
     COUNTIFS($AU$3:$AU$201,$M280)&gt;0,
     COUNTIFS($AV$3:$AV$201,$M280)&gt;0,
     COUNTIFS($AW$3:$AW$201,$M280)&gt;0
   )),
  ),
  3
 ),
"")</f>
        <v/>
      </c>
      <c r="R280" s="3" t="str" cm="1">
        <f t="array" ref="R280">IFERROR(
 INDEX(
  _xlfn._xlws.FILTER($T$2:$AW$2,
   TRANSPOSE(
    CHOOSE({1;2;3;4;5;6;7;8;9;10;11;12;13;14;15;16;17;18;19;20;21;22;23;24;25;26;27;28;29;30},
     COUNTIFS($T$3:$T$201,$M280)&gt;0,
     COUNTIFS($U$3:$U$201,$M280)&gt;0,
     COUNTIFS($V$3:$V$201,$M280)&gt;0,
     COUNTIFS($W$3:$W$201,$M280)&gt;0,
     COUNTIFS($X$3:$X$201,$M280)&gt;0,
     COUNTIFS($Y$3:$Y$201,$M280)&gt;0,
     COUNTIFS($Z$3:$Z$201,$M280)&gt;0,
     COUNTIFS($AA$3:$AA$201,$M280)&gt;0,
     COUNTIFS($AB$3:$AB$201,$M280)&gt;0,
     COUNTIFS($AC$3:$AC$201,$M280)&gt;0,
     COUNTIFS($AD$3:$AD$201,$M280)&gt;0,
     COUNTIFS($AE$3:$AE$201,$M280)&gt;0,
     COUNTIFS($AF$3:$AF$201,$M280)&gt;0,
     COUNTIFS($AG$3:$AG$201,$M280)&gt;0,
     COUNTIFS($AH$3:$AH$201,$M280)&gt;0,
     COUNTIFS($AI$3:$AI$201,$M280)&gt;0,
     COUNTIFS($AJ$3:$AJ$201,$M280)&gt;0,
     COUNTIFS($AK$3:$AK$201,$M280)&gt;0,
     COUNTIFS($AL$3:$AL$201,$M280)&gt;0,
     COUNTIFS($AM$3:$AM$201,$M280)&gt;0,
     COUNTIFS($AN$3:$AN$201,$M280)&gt;0,
     COUNTIFS($AO$3:$AO$201,$M280)&gt;0,
     COUNTIFS($AP$3:$AP$201,$M280)&gt;0,
     COUNTIFS($AQ$3:$AQ$201,$M280)&gt;0,
     COUNTIFS($AR$3:$AR$201,$M280)&gt;0,
     COUNTIFS($AS$3:$AS$201,$M280)&gt;0,
     COUNTIFS($AT$3:$AT$201,$M280)&gt;0,
     COUNTIFS($AU$3:$AU$201,$M280)&gt;0,
     COUNTIFS($AV$3:$AV$201,$M280)&gt;0,
     COUNTIFS($AW$3:$AW$201,$M280)&gt;0
   )),
  ),
  4
 ),
"")</f>
        <v/>
      </c>
    </row>
    <row r="281" spans="1:87" x14ac:dyDescent="0.25">
      <c r="A281" t="str">
        <f ca="1"/>
        <v>Terrasymbiosis</v>
      </c>
      <c r="B281" s="3" t="str" cm="1">
        <f t="array" aca="1" ref="B281" ca="1">_xlfn.ANCHORARRAY(RESUMO!C280)</f>
        <v>Tayam</v>
      </c>
      <c r="C281" s="3" t="str">
        <f t="shared" ca="1" si="16"/>
        <v/>
      </c>
      <c r="F281" s="3">
        <f t="shared" si="17"/>
        <v>0</v>
      </c>
      <c r="G281" s="3" t="str">
        <f t="shared" ca="1" si="18"/>
        <v/>
      </c>
      <c r="N281" s="3">
        <f t="shared" si="19"/>
        <v>0</v>
      </c>
      <c r="O281" s="3" t="str">
        <f>IFERROR(
 INDEX($T$2:$AW$2,
  MATCH(TRUE,
   CHOOSE({1;2;3;4;5;6;7;8;9;10;11;12;13;14;15;16;17;18;19;20;21;22;23;24;25;26;27;28;29;30;31;32},
    COUNTIFS($T$3:$T$201,$M281)&gt;0,
    COUNTIFS($U$3:$U$201,$M281)&gt;0,
    COUNTIFS($V$3:$V$201,$M281)&gt;0,
    COUNTIFS($W$3:$W$201,$M281)&gt;0,
    COUNTIFS($X$3:$X$201,$M281)&gt;0,
    COUNTIFS($Y$3:$Y$201,$M281)&gt;0,
    COUNTIFS($Z$3:$Z$201,$M281)&gt;0,
    COUNTIFS($AA$3:$AA$201,$M281)&gt;0,
    COUNTIFS($AB$3:$AB$201,$M281)&gt;0,
    COUNTIFS($AC$3:$AC$201,$M281)&gt;0,
    COUNTIFS($AD$3:$AD$201,$M281)&gt;0,
    COUNTIFS($AE$3:$AE$201,$M281)&gt;0,
    COUNTIFS($AF$3:$AF$201,$M281)&gt;0,
    COUNTIFS($AG$3:$AG$201,$M281)&gt;0,
    COUNTIFS($AH$3:$AH$201,$M281)&gt;0,
    COUNTIFS($AI$3:$AI$201,$M281)&gt;0,
    COUNTIFS($AJ$3:$AJ$201,$M281)&gt;0,
    COUNTIFS($AK$3:$AK$201,$M281)&gt;0,
    COUNTIFS($AL$3:$AL$201,$M281)&gt;0,
    COUNTIFS($AM$3:$AM$201,$M281)&gt;0,
    COUNTIFS($AN$3:$AN$201,$M281)&gt;0,
    COUNTIFS($AO$3:$AO$201,$M281)&gt;0,
    COUNTIFS($AP$3:$AP$201,$M281)&gt;0,
    COUNTIFS($AQ$3:$AQ$201,$M281)&gt;0,
    COUNTIFS($AR$3:$AR$201,$M281)&gt;0,
    COUNTIFS($AS$3:$AS$201,$M281)&gt;0,
    COUNTIFS($AT$3:$AT$201,$M281)&gt;0,
    COUNTIFS($AU$3:$AU$201,$M281)&gt;0,
    COUNTIFS($AV$3:$AV$201,$M281)&gt;0,
    COUNTIFS($AW$3:$AW$201,$M281)&gt;0
   ),
  0)
 ),
"")</f>
        <v/>
      </c>
      <c r="P281" s="3" t="str" cm="1">
        <f t="array" ref="P281">IFERROR(
 INDEX(
  _xlfn._xlws.FILTER($T$2:$AW$2,
   TRANSPOSE(
    CHOOSE({1;2;3;4;5;6;7;8;9;10;11;12;13;14;15;16;17;18;19;20;21;22;23;24;25;26;27;28;29;30},
     COUNTIFS($T$3:$T$201,$M281)&gt;0,
     COUNTIFS($U$3:$U$201,$M281)&gt;0,
     COUNTIFS($V$3:$V$201,$M281)&gt;0,
     COUNTIFS($W$3:$W$201,$M281)&gt;0,
     COUNTIFS($X$3:$X$201,$M281)&gt;0,
     COUNTIFS($Y$3:$Y$201,$M281)&gt;0,
     COUNTIFS($Z$3:$Z$201,$M281)&gt;0,
     COUNTIFS($AA$3:$AA$201,$M281)&gt;0,
     COUNTIFS($AB$3:$AB$201,$M281)&gt;0,
     COUNTIFS($AC$3:$AC$201,$M281)&gt;0,
     COUNTIFS($AD$3:$AD$201,$M281)&gt;0,
     COUNTIFS($AE$3:$AE$201,$M281)&gt;0,
     COUNTIFS($AF$3:$AF$201,$M281)&gt;0,
     COUNTIFS($AG$3:$AG$201,$M281)&gt;0,
     COUNTIFS($AH$3:$AH$201,$M281)&gt;0,
     COUNTIFS($AI$3:$AI$201,$M281)&gt;0,
     COUNTIFS($AJ$3:$AJ$201,$M281)&gt;0,
     COUNTIFS($AK$3:$AK$201,$M281)&gt;0,
     COUNTIFS($AL$3:$AL$201,$M281)&gt;0,
     COUNTIFS($AM$3:$AM$201,$M281)&gt;0,
     COUNTIFS($AN$3:$AN$201,$M281)&gt;0,
     COUNTIFS($AO$3:$AO$201,$M281)&gt;0,
     COUNTIFS($AP$3:$AP$201,$M281)&gt;0,
     COUNTIFS($AQ$3:$AQ$201,$M281)&gt;0,
     COUNTIFS($AR$3:$AR$201,$M281)&gt;0,
     COUNTIFS($AS$3:$AS$201,$M281)&gt;0,
     COUNTIFS($AT$3:$AT$201,$M281)&gt;0,
     COUNTIFS($AU$3:$AU$201,$M281)&gt;0,
     COUNTIFS($AV$3:$AV$201,$M281)&gt;0,
     COUNTIFS($AW$3:$AW$201,$M281)&gt;0
   )),
  ),
  2
 ),
"")</f>
        <v/>
      </c>
      <c r="Q281" s="3" t="str" cm="1">
        <f t="array" ref="Q281">IFERROR(
 INDEX(
  _xlfn._xlws.FILTER($T$2:$AW$2,
   TRANSPOSE(
    CHOOSE({1;2;3;4;5;6;7;8;9;10;11;12;13;14;15;16;17;18;19;20;21;22;23;24;25;26;27;28;29;30},
     COUNTIFS($T$3:$T$201,$M281)&gt;0,
     COUNTIFS($U$3:$U$201,$M281)&gt;0,
     COUNTIFS($V$3:$V$201,$M281)&gt;0,
     COUNTIFS($W$3:$W$201,$M281)&gt;0,
     COUNTIFS($X$3:$X$201,$M281)&gt;0,
     COUNTIFS($Y$3:$Y$201,$M281)&gt;0,
     COUNTIFS($Z$3:$Z$201,$M281)&gt;0,
     COUNTIFS($AA$3:$AA$201,$M281)&gt;0,
     COUNTIFS($AB$3:$AB$201,$M281)&gt;0,
     COUNTIFS($AC$3:$AC$201,$M281)&gt;0,
     COUNTIFS($AD$3:$AD$201,$M281)&gt;0,
     COUNTIFS($AE$3:$AE$201,$M281)&gt;0,
     COUNTIFS($AF$3:$AF$201,$M281)&gt;0,
     COUNTIFS($AG$3:$AG$201,$M281)&gt;0,
     COUNTIFS($AH$3:$AH$201,$M281)&gt;0,
     COUNTIFS($AI$3:$AI$201,$M281)&gt;0,
     COUNTIFS($AJ$3:$AJ$201,$M281)&gt;0,
     COUNTIFS($AK$3:$AK$201,$M281)&gt;0,
     COUNTIFS($AL$3:$AL$201,$M281)&gt;0,
     COUNTIFS($AM$3:$AM$201,$M281)&gt;0,
     COUNTIFS($AN$3:$AN$201,$M281)&gt;0,
     COUNTIFS($AO$3:$AO$201,$M281)&gt;0,
     COUNTIFS($AP$3:$AP$201,$M281)&gt;0,
     COUNTIFS($AQ$3:$AQ$201,$M281)&gt;0,
     COUNTIFS($AR$3:$AR$201,$M281)&gt;0,
     COUNTIFS($AS$3:$AS$201,$M281)&gt;0,
     COUNTIFS($AT$3:$AT$201,$M281)&gt;0,
     COUNTIFS($AU$3:$AU$201,$M281)&gt;0,
     COUNTIFS($AV$3:$AV$201,$M281)&gt;0,
     COUNTIFS($AW$3:$AW$201,$M281)&gt;0
   )),
  ),
  3
 ),
"")</f>
        <v/>
      </c>
      <c r="R281" s="3" t="str" cm="1">
        <f t="array" ref="R281">IFERROR(
 INDEX(
  _xlfn._xlws.FILTER($T$2:$AW$2,
   TRANSPOSE(
    CHOOSE({1;2;3;4;5;6;7;8;9;10;11;12;13;14;15;16;17;18;19;20;21;22;23;24;25;26;27;28;29;30},
     COUNTIFS($T$3:$T$201,$M281)&gt;0,
     COUNTIFS($U$3:$U$201,$M281)&gt;0,
     COUNTIFS($V$3:$V$201,$M281)&gt;0,
     COUNTIFS($W$3:$W$201,$M281)&gt;0,
     COUNTIFS($X$3:$X$201,$M281)&gt;0,
     COUNTIFS($Y$3:$Y$201,$M281)&gt;0,
     COUNTIFS($Z$3:$Z$201,$M281)&gt;0,
     COUNTIFS($AA$3:$AA$201,$M281)&gt;0,
     COUNTIFS($AB$3:$AB$201,$M281)&gt;0,
     COUNTIFS($AC$3:$AC$201,$M281)&gt;0,
     COUNTIFS($AD$3:$AD$201,$M281)&gt;0,
     COUNTIFS($AE$3:$AE$201,$M281)&gt;0,
     COUNTIFS($AF$3:$AF$201,$M281)&gt;0,
     COUNTIFS($AG$3:$AG$201,$M281)&gt;0,
     COUNTIFS($AH$3:$AH$201,$M281)&gt;0,
     COUNTIFS($AI$3:$AI$201,$M281)&gt;0,
     COUNTIFS($AJ$3:$AJ$201,$M281)&gt;0,
     COUNTIFS($AK$3:$AK$201,$M281)&gt;0,
     COUNTIFS($AL$3:$AL$201,$M281)&gt;0,
     COUNTIFS($AM$3:$AM$201,$M281)&gt;0,
     COUNTIFS($AN$3:$AN$201,$M281)&gt;0,
     COUNTIFS($AO$3:$AO$201,$M281)&gt;0,
     COUNTIFS($AP$3:$AP$201,$M281)&gt;0,
     COUNTIFS($AQ$3:$AQ$201,$M281)&gt;0,
     COUNTIFS($AR$3:$AR$201,$M281)&gt;0,
     COUNTIFS($AS$3:$AS$201,$M281)&gt;0,
     COUNTIFS($AT$3:$AT$201,$M281)&gt;0,
     COUNTIFS($AU$3:$AU$201,$M281)&gt;0,
     COUNTIFS($AV$3:$AV$201,$M281)&gt;0,
     COUNTIFS($AW$3:$AW$201,$M281)&gt;0
   )),
  ),
  4
 ),
"")</f>
        <v/>
      </c>
    </row>
    <row r="282" spans="1:87" x14ac:dyDescent="0.25">
      <c r="A282" t="str">
        <f ca="1"/>
        <v>Teyo, Geometric Tactician</v>
      </c>
      <c r="B282" s="3" t="str" cm="1">
        <f t="array" aca="1" ref="B282" ca="1">_xlfn.ANCHORARRAY(RESUMO!C281)</f>
        <v>Arcades</v>
      </c>
      <c r="C282" s="3" t="str">
        <f t="shared" ca="1" si="16"/>
        <v/>
      </c>
      <c r="F282" s="3">
        <f t="shared" si="17"/>
        <v>0</v>
      </c>
      <c r="G282" s="3" t="str">
        <f t="shared" ca="1" si="18"/>
        <v/>
      </c>
      <c r="N282" s="3">
        <f t="shared" si="19"/>
        <v>0</v>
      </c>
      <c r="O282" s="3" t="str">
        <f>IFERROR(
 INDEX($T$2:$AW$2,
  MATCH(TRUE,
   CHOOSE({1;2;3;4;5;6;7;8;9;10;11;12;13;14;15;16;17;18;19;20;21;22;23;24;25;26;27;28;29;30;31;32},
    COUNTIFS($T$3:$T$201,$M282)&gt;0,
    COUNTIFS($U$3:$U$201,$M282)&gt;0,
    COUNTIFS($V$3:$V$201,$M282)&gt;0,
    COUNTIFS($W$3:$W$201,$M282)&gt;0,
    COUNTIFS($X$3:$X$201,$M282)&gt;0,
    COUNTIFS($Y$3:$Y$201,$M282)&gt;0,
    COUNTIFS($Z$3:$Z$201,$M282)&gt;0,
    COUNTIFS($AA$3:$AA$201,$M282)&gt;0,
    COUNTIFS($AB$3:$AB$201,$M282)&gt;0,
    COUNTIFS($AC$3:$AC$201,$M282)&gt;0,
    COUNTIFS($AD$3:$AD$201,$M282)&gt;0,
    COUNTIFS($AE$3:$AE$201,$M282)&gt;0,
    COUNTIFS($AF$3:$AF$201,$M282)&gt;0,
    COUNTIFS($AG$3:$AG$201,$M282)&gt;0,
    COUNTIFS($AH$3:$AH$201,$M282)&gt;0,
    COUNTIFS($AI$3:$AI$201,$M282)&gt;0,
    COUNTIFS($AJ$3:$AJ$201,$M282)&gt;0,
    COUNTIFS($AK$3:$AK$201,$M282)&gt;0,
    COUNTIFS($AL$3:$AL$201,$M282)&gt;0,
    COUNTIFS($AM$3:$AM$201,$M282)&gt;0,
    COUNTIFS($AN$3:$AN$201,$M282)&gt;0,
    COUNTIFS($AO$3:$AO$201,$M282)&gt;0,
    COUNTIFS($AP$3:$AP$201,$M282)&gt;0,
    COUNTIFS($AQ$3:$AQ$201,$M282)&gt;0,
    COUNTIFS($AR$3:$AR$201,$M282)&gt;0,
    COUNTIFS($AS$3:$AS$201,$M282)&gt;0,
    COUNTIFS($AT$3:$AT$201,$M282)&gt;0,
    COUNTIFS($AU$3:$AU$201,$M282)&gt;0,
    COUNTIFS($AV$3:$AV$201,$M282)&gt;0,
    COUNTIFS($AW$3:$AW$201,$M282)&gt;0
   ),
  0)
 ),
"")</f>
        <v/>
      </c>
      <c r="P282" s="3" t="str" cm="1">
        <f t="array" ref="P282">IFERROR(
 INDEX(
  _xlfn._xlws.FILTER($T$2:$AW$2,
   TRANSPOSE(
    CHOOSE({1;2;3;4;5;6;7;8;9;10;11;12;13;14;15;16;17;18;19;20;21;22;23;24;25;26;27;28;29;30},
     COUNTIFS($T$3:$T$201,$M282)&gt;0,
     COUNTIFS($U$3:$U$201,$M282)&gt;0,
     COUNTIFS($V$3:$V$201,$M282)&gt;0,
     COUNTIFS($W$3:$W$201,$M282)&gt;0,
     COUNTIFS($X$3:$X$201,$M282)&gt;0,
     COUNTIFS($Y$3:$Y$201,$M282)&gt;0,
     COUNTIFS($Z$3:$Z$201,$M282)&gt;0,
     COUNTIFS($AA$3:$AA$201,$M282)&gt;0,
     COUNTIFS($AB$3:$AB$201,$M282)&gt;0,
     COUNTIFS($AC$3:$AC$201,$M282)&gt;0,
     COUNTIFS($AD$3:$AD$201,$M282)&gt;0,
     COUNTIFS($AE$3:$AE$201,$M282)&gt;0,
     COUNTIFS($AF$3:$AF$201,$M282)&gt;0,
     COUNTIFS($AG$3:$AG$201,$M282)&gt;0,
     COUNTIFS($AH$3:$AH$201,$M282)&gt;0,
     COUNTIFS($AI$3:$AI$201,$M282)&gt;0,
     COUNTIFS($AJ$3:$AJ$201,$M282)&gt;0,
     COUNTIFS($AK$3:$AK$201,$M282)&gt;0,
     COUNTIFS($AL$3:$AL$201,$M282)&gt;0,
     COUNTIFS($AM$3:$AM$201,$M282)&gt;0,
     COUNTIFS($AN$3:$AN$201,$M282)&gt;0,
     COUNTIFS($AO$3:$AO$201,$M282)&gt;0,
     COUNTIFS($AP$3:$AP$201,$M282)&gt;0,
     COUNTIFS($AQ$3:$AQ$201,$M282)&gt;0,
     COUNTIFS($AR$3:$AR$201,$M282)&gt;0,
     COUNTIFS($AS$3:$AS$201,$M282)&gt;0,
     COUNTIFS($AT$3:$AT$201,$M282)&gt;0,
     COUNTIFS($AU$3:$AU$201,$M282)&gt;0,
     COUNTIFS($AV$3:$AV$201,$M282)&gt;0,
     COUNTIFS($AW$3:$AW$201,$M282)&gt;0
   )),
  ),
  2
 ),
"")</f>
        <v/>
      </c>
      <c r="Q282" s="3" t="str" cm="1">
        <f t="array" ref="Q282">IFERROR(
 INDEX(
  _xlfn._xlws.FILTER($T$2:$AW$2,
   TRANSPOSE(
    CHOOSE({1;2;3;4;5;6;7;8;9;10;11;12;13;14;15;16;17;18;19;20;21;22;23;24;25;26;27;28;29;30},
     COUNTIFS($T$3:$T$201,$M282)&gt;0,
     COUNTIFS($U$3:$U$201,$M282)&gt;0,
     COUNTIFS($V$3:$V$201,$M282)&gt;0,
     COUNTIFS($W$3:$W$201,$M282)&gt;0,
     COUNTIFS($X$3:$X$201,$M282)&gt;0,
     COUNTIFS($Y$3:$Y$201,$M282)&gt;0,
     COUNTIFS($Z$3:$Z$201,$M282)&gt;0,
     COUNTIFS($AA$3:$AA$201,$M282)&gt;0,
     COUNTIFS($AB$3:$AB$201,$M282)&gt;0,
     COUNTIFS($AC$3:$AC$201,$M282)&gt;0,
     COUNTIFS($AD$3:$AD$201,$M282)&gt;0,
     COUNTIFS($AE$3:$AE$201,$M282)&gt;0,
     COUNTIFS($AF$3:$AF$201,$M282)&gt;0,
     COUNTIFS($AG$3:$AG$201,$M282)&gt;0,
     COUNTIFS($AH$3:$AH$201,$M282)&gt;0,
     COUNTIFS($AI$3:$AI$201,$M282)&gt;0,
     COUNTIFS($AJ$3:$AJ$201,$M282)&gt;0,
     COUNTIFS($AK$3:$AK$201,$M282)&gt;0,
     COUNTIFS($AL$3:$AL$201,$M282)&gt;0,
     COUNTIFS($AM$3:$AM$201,$M282)&gt;0,
     COUNTIFS($AN$3:$AN$201,$M282)&gt;0,
     COUNTIFS($AO$3:$AO$201,$M282)&gt;0,
     COUNTIFS($AP$3:$AP$201,$M282)&gt;0,
     COUNTIFS($AQ$3:$AQ$201,$M282)&gt;0,
     COUNTIFS($AR$3:$AR$201,$M282)&gt;0,
     COUNTIFS($AS$3:$AS$201,$M282)&gt;0,
     COUNTIFS($AT$3:$AT$201,$M282)&gt;0,
     COUNTIFS($AU$3:$AU$201,$M282)&gt;0,
     COUNTIFS($AV$3:$AV$201,$M282)&gt;0,
     COUNTIFS($AW$3:$AW$201,$M282)&gt;0
   )),
  ),
  3
 ),
"")</f>
        <v/>
      </c>
      <c r="R282" s="3" t="str" cm="1">
        <f t="array" ref="R282">IFERROR(
 INDEX(
  _xlfn._xlws.FILTER($T$2:$AW$2,
   TRANSPOSE(
    CHOOSE({1;2;3;4;5;6;7;8;9;10;11;12;13;14;15;16;17;18;19;20;21;22;23;24;25;26;27;28;29;30},
     COUNTIFS($T$3:$T$201,$M282)&gt;0,
     COUNTIFS($U$3:$U$201,$M282)&gt;0,
     COUNTIFS($V$3:$V$201,$M282)&gt;0,
     COUNTIFS($W$3:$W$201,$M282)&gt;0,
     COUNTIFS($X$3:$X$201,$M282)&gt;0,
     COUNTIFS($Y$3:$Y$201,$M282)&gt;0,
     COUNTIFS($Z$3:$Z$201,$M282)&gt;0,
     COUNTIFS($AA$3:$AA$201,$M282)&gt;0,
     COUNTIFS($AB$3:$AB$201,$M282)&gt;0,
     COUNTIFS($AC$3:$AC$201,$M282)&gt;0,
     COUNTIFS($AD$3:$AD$201,$M282)&gt;0,
     COUNTIFS($AE$3:$AE$201,$M282)&gt;0,
     COUNTIFS($AF$3:$AF$201,$M282)&gt;0,
     COUNTIFS($AG$3:$AG$201,$M282)&gt;0,
     COUNTIFS($AH$3:$AH$201,$M282)&gt;0,
     COUNTIFS($AI$3:$AI$201,$M282)&gt;0,
     COUNTIFS($AJ$3:$AJ$201,$M282)&gt;0,
     COUNTIFS($AK$3:$AK$201,$M282)&gt;0,
     COUNTIFS($AL$3:$AL$201,$M282)&gt;0,
     COUNTIFS($AM$3:$AM$201,$M282)&gt;0,
     COUNTIFS($AN$3:$AN$201,$M282)&gt;0,
     COUNTIFS($AO$3:$AO$201,$M282)&gt;0,
     COUNTIFS($AP$3:$AP$201,$M282)&gt;0,
     COUNTIFS($AQ$3:$AQ$201,$M282)&gt;0,
     COUNTIFS($AR$3:$AR$201,$M282)&gt;0,
     COUNTIFS($AS$3:$AS$201,$M282)&gt;0,
     COUNTIFS($AT$3:$AT$201,$M282)&gt;0,
     COUNTIFS($AU$3:$AU$201,$M282)&gt;0,
     COUNTIFS($AV$3:$AV$201,$M282)&gt;0,
     COUNTIFS($AW$3:$AW$201,$M282)&gt;0
   )),
  ),
  4
 ),
"")</f>
        <v/>
      </c>
    </row>
    <row r="283" spans="1:87" x14ac:dyDescent="0.25">
      <c r="A283" t="str">
        <f ca="1"/>
        <v>The Great Henge</v>
      </c>
      <c r="B283" s="3" t="str" cm="1">
        <f t="array" aca="1" ref="B283" ca="1">_xlfn.ANCHORARRAY(RESUMO!C282)</f>
        <v>Modular</v>
      </c>
      <c r="C283" s="3" t="str">
        <f t="shared" ca="1" si="16"/>
        <v/>
      </c>
      <c r="F283" s="3">
        <f t="shared" si="17"/>
        <v>0</v>
      </c>
      <c r="G283" s="3" t="str">
        <f t="shared" ca="1" si="18"/>
        <v/>
      </c>
      <c r="N283" s="3">
        <f t="shared" si="19"/>
        <v>0</v>
      </c>
      <c r="O283" s="3" t="str">
        <f>IFERROR(
 INDEX($T$2:$AW$2,
  MATCH(TRUE,
   CHOOSE({1;2;3;4;5;6;7;8;9;10;11;12;13;14;15;16;17;18;19;20;21;22;23;24;25;26;27;28;29;30;31;32},
    COUNTIFS($T$3:$T$201,$M283)&gt;0,
    COUNTIFS($U$3:$U$201,$M283)&gt;0,
    COUNTIFS($V$3:$V$201,$M283)&gt;0,
    COUNTIFS($W$3:$W$201,$M283)&gt;0,
    COUNTIFS($X$3:$X$201,$M283)&gt;0,
    COUNTIFS($Y$3:$Y$201,$M283)&gt;0,
    COUNTIFS($Z$3:$Z$201,$M283)&gt;0,
    COUNTIFS($AA$3:$AA$201,$M283)&gt;0,
    COUNTIFS($AB$3:$AB$201,$M283)&gt;0,
    COUNTIFS($AC$3:$AC$201,$M283)&gt;0,
    COUNTIFS($AD$3:$AD$201,$M283)&gt;0,
    COUNTIFS($AE$3:$AE$201,$M283)&gt;0,
    COUNTIFS($AF$3:$AF$201,$M283)&gt;0,
    COUNTIFS($AG$3:$AG$201,$M283)&gt;0,
    COUNTIFS($AH$3:$AH$201,$M283)&gt;0,
    COUNTIFS($AI$3:$AI$201,$M283)&gt;0,
    COUNTIFS($AJ$3:$AJ$201,$M283)&gt;0,
    COUNTIFS($AK$3:$AK$201,$M283)&gt;0,
    COUNTIFS($AL$3:$AL$201,$M283)&gt;0,
    COUNTIFS($AM$3:$AM$201,$M283)&gt;0,
    COUNTIFS($AN$3:$AN$201,$M283)&gt;0,
    COUNTIFS($AO$3:$AO$201,$M283)&gt;0,
    COUNTIFS($AP$3:$AP$201,$M283)&gt;0,
    COUNTIFS($AQ$3:$AQ$201,$M283)&gt;0,
    COUNTIFS($AR$3:$AR$201,$M283)&gt;0,
    COUNTIFS($AS$3:$AS$201,$M283)&gt;0,
    COUNTIFS($AT$3:$AT$201,$M283)&gt;0,
    COUNTIFS($AU$3:$AU$201,$M283)&gt;0,
    COUNTIFS($AV$3:$AV$201,$M283)&gt;0,
    COUNTIFS($AW$3:$AW$201,$M283)&gt;0
   ),
  0)
 ),
"")</f>
        <v/>
      </c>
      <c r="P283" s="3" t="str" cm="1">
        <f t="array" ref="P283">IFERROR(
 INDEX(
  _xlfn._xlws.FILTER($T$2:$AW$2,
   TRANSPOSE(
    CHOOSE({1;2;3;4;5;6;7;8;9;10;11;12;13;14;15;16;17;18;19;20;21;22;23;24;25;26;27;28;29;30},
     COUNTIFS($T$3:$T$201,$M283)&gt;0,
     COUNTIFS($U$3:$U$201,$M283)&gt;0,
     COUNTIFS($V$3:$V$201,$M283)&gt;0,
     COUNTIFS($W$3:$W$201,$M283)&gt;0,
     COUNTIFS($X$3:$X$201,$M283)&gt;0,
     COUNTIFS($Y$3:$Y$201,$M283)&gt;0,
     COUNTIFS($Z$3:$Z$201,$M283)&gt;0,
     COUNTIFS($AA$3:$AA$201,$M283)&gt;0,
     COUNTIFS($AB$3:$AB$201,$M283)&gt;0,
     COUNTIFS($AC$3:$AC$201,$M283)&gt;0,
     COUNTIFS($AD$3:$AD$201,$M283)&gt;0,
     COUNTIFS($AE$3:$AE$201,$M283)&gt;0,
     COUNTIFS($AF$3:$AF$201,$M283)&gt;0,
     COUNTIFS($AG$3:$AG$201,$M283)&gt;0,
     COUNTIFS($AH$3:$AH$201,$M283)&gt;0,
     COUNTIFS($AI$3:$AI$201,$M283)&gt;0,
     COUNTIFS($AJ$3:$AJ$201,$M283)&gt;0,
     COUNTIFS($AK$3:$AK$201,$M283)&gt;0,
     COUNTIFS($AL$3:$AL$201,$M283)&gt;0,
     COUNTIFS($AM$3:$AM$201,$M283)&gt;0,
     COUNTIFS($AN$3:$AN$201,$M283)&gt;0,
     COUNTIFS($AO$3:$AO$201,$M283)&gt;0,
     COUNTIFS($AP$3:$AP$201,$M283)&gt;0,
     COUNTIFS($AQ$3:$AQ$201,$M283)&gt;0,
     COUNTIFS($AR$3:$AR$201,$M283)&gt;0,
     COUNTIFS($AS$3:$AS$201,$M283)&gt;0,
     COUNTIFS($AT$3:$AT$201,$M283)&gt;0,
     COUNTIFS($AU$3:$AU$201,$M283)&gt;0,
     COUNTIFS($AV$3:$AV$201,$M283)&gt;0,
     COUNTIFS($AW$3:$AW$201,$M283)&gt;0
   )),
  ),
  2
 ),
"")</f>
        <v/>
      </c>
      <c r="Q283" s="3" t="str" cm="1">
        <f t="array" ref="Q283">IFERROR(
 INDEX(
  _xlfn._xlws.FILTER($T$2:$AW$2,
   TRANSPOSE(
    CHOOSE({1;2;3;4;5;6;7;8;9;10;11;12;13;14;15;16;17;18;19;20;21;22;23;24;25;26;27;28;29;30},
     COUNTIFS($T$3:$T$201,$M283)&gt;0,
     COUNTIFS($U$3:$U$201,$M283)&gt;0,
     COUNTIFS($V$3:$V$201,$M283)&gt;0,
     COUNTIFS($W$3:$W$201,$M283)&gt;0,
     COUNTIFS($X$3:$X$201,$M283)&gt;0,
     COUNTIFS($Y$3:$Y$201,$M283)&gt;0,
     COUNTIFS($Z$3:$Z$201,$M283)&gt;0,
     COUNTIFS($AA$3:$AA$201,$M283)&gt;0,
     COUNTIFS($AB$3:$AB$201,$M283)&gt;0,
     COUNTIFS($AC$3:$AC$201,$M283)&gt;0,
     COUNTIFS($AD$3:$AD$201,$M283)&gt;0,
     COUNTIFS($AE$3:$AE$201,$M283)&gt;0,
     COUNTIFS($AF$3:$AF$201,$M283)&gt;0,
     COUNTIFS($AG$3:$AG$201,$M283)&gt;0,
     COUNTIFS($AH$3:$AH$201,$M283)&gt;0,
     COUNTIFS($AI$3:$AI$201,$M283)&gt;0,
     COUNTIFS($AJ$3:$AJ$201,$M283)&gt;0,
     COUNTIFS($AK$3:$AK$201,$M283)&gt;0,
     COUNTIFS($AL$3:$AL$201,$M283)&gt;0,
     COUNTIFS($AM$3:$AM$201,$M283)&gt;0,
     COUNTIFS($AN$3:$AN$201,$M283)&gt;0,
     COUNTIFS($AO$3:$AO$201,$M283)&gt;0,
     COUNTIFS($AP$3:$AP$201,$M283)&gt;0,
     COUNTIFS($AQ$3:$AQ$201,$M283)&gt;0,
     COUNTIFS($AR$3:$AR$201,$M283)&gt;0,
     COUNTIFS($AS$3:$AS$201,$M283)&gt;0,
     COUNTIFS($AT$3:$AT$201,$M283)&gt;0,
     COUNTIFS($AU$3:$AU$201,$M283)&gt;0,
     COUNTIFS($AV$3:$AV$201,$M283)&gt;0,
     COUNTIFS($AW$3:$AW$201,$M283)&gt;0
   )),
  ),
  3
 ),
"")</f>
        <v/>
      </c>
      <c r="R283" s="3" t="str" cm="1">
        <f t="array" ref="R283">IFERROR(
 INDEX(
  _xlfn._xlws.FILTER($T$2:$AW$2,
   TRANSPOSE(
    CHOOSE({1;2;3;4;5;6;7;8;9;10;11;12;13;14;15;16;17;18;19;20;21;22;23;24;25;26;27;28;29;30},
     COUNTIFS($T$3:$T$201,$M283)&gt;0,
     COUNTIFS($U$3:$U$201,$M283)&gt;0,
     COUNTIFS($V$3:$V$201,$M283)&gt;0,
     COUNTIFS($W$3:$W$201,$M283)&gt;0,
     COUNTIFS($X$3:$X$201,$M283)&gt;0,
     COUNTIFS($Y$3:$Y$201,$M283)&gt;0,
     COUNTIFS($Z$3:$Z$201,$M283)&gt;0,
     COUNTIFS($AA$3:$AA$201,$M283)&gt;0,
     COUNTIFS($AB$3:$AB$201,$M283)&gt;0,
     COUNTIFS($AC$3:$AC$201,$M283)&gt;0,
     COUNTIFS($AD$3:$AD$201,$M283)&gt;0,
     COUNTIFS($AE$3:$AE$201,$M283)&gt;0,
     COUNTIFS($AF$3:$AF$201,$M283)&gt;0,
     COUNTIFS($AG$3:$AG$201,$M283)&gt;0,
     COUNTIFS($AH$3:$AH$201,$M283)&gt;0,
     COUNTIFS($AI$3:$AI$201,$M283)&gt;0,
     COUNTIFS($AJ$3:$AJ$201,$M283)&gt;0,
     COUNTIFS($AK$3:$AK$201,$M283)&gt;0,
     COUNTIFS($AL$3:$AL$201,$M283)&gt;0,
     COUNTIFS($AM$3:$AM$201,$M283)&gt;0,
     COUNTIFS($AN$3:$AN$201,$M283)&gt;0,
     COUNTIFS($AO$3:$AO$201,$M283)&gt;0,
     COUNTIFS($AP$3:$AP$201,$M283)&gt;0,
     COUNTIFS($AQ$3:$AQ$201,$M283)&gt;0,
     COUNTIFS($AR$3:$AR$201,$M283)&gt;0,
     COUNTIFS($AS$3:$AS$201,$M283)&gt;0,
     COUNTIFS($AT$3:$AT$201,$M283)&gt;0,
     COUNTIFS($AU$3:$AU$201,$M283)&gt;0,
     COUNTIFS($AV$3:$AV$201,$M283)&gt;0,
     COUNTIFS($AW$3:$AW$201,$M283)&gt;0
   )),
  ),
  4
 ),
"")</f>
        <v/>
      </c>
    </row>
    <row r="284" spans="1:87" x14ac:dyDescent="0.25">
      <c r="A284" t="str">
        <f ca="1"/>
        <v>The Indomitable</v>
      </c>
      <c r="B284" s="3" t="str" cm="1">
        <f t="array" aca="1" ref="B284" ca="1">_xlfn.ANCHORARRAY(RESUMO!C283)</f>
        <v>Piratas</v>
      </c>
      <c r="C284" s="3" t="str">
        <f t="shared" ca="1" si="16"/>
        <v/>
      </c>
      <c r="F284" s="3">
        <f t="shared" si="17"/>
        <v>0</v>
      </c>
      <c r="G284" s="3" t="str">
        <f t="shared" ca="1" si="18"/>
        <v/>
      </c>
      <c r="N284" s="3">
        <f t="shared" si="19"/>
        <v>0</v>
      </c>
      <c r="O284" s="3" t="str">
        <f>IFERROR(
 INDEX($T$2:$AW$2,
  MATCH(TRUE,
   CHOOSE({1;2;3;4;5;6;7;8;9;10;11;12;13;14;15;16;17;18;19;20;21;22;23;24;25;26;27;28;29;30;31;32},
    COUNTIFS($T$3:$T$201,$M284)&gt;0,
    COUNTIFS($U$3:$U$201,$M284)&gt;0,
    COUNTIFS($V$3:$V$201,$M284)&gt;0,
    COUNTIFS($W$3:$W$201,$M284)&gt;0,
    COUNTIFS($X$3:$X$201,$M284)&gt;0,
    COUNTIFS($Y$3:$Y$201,$M284)&gt;0,
    COUNTIFS($Z$3:$Z$201,$M284)&gt;0,
    COUNTIFS($AA$3:$AA$201,$M284)&gt;0,
    COUNTIFS($AB$3:$AB$201,$M284)&gt;0,
    COUNTIFS($AC$3:$AC$201,$M284)&gt;0,
    COUNTIFS($AD$3:$AD$201,$M284)&gt;0,
    COUNTIFS($AE$3:$AE$201,$M284)&gt;0,
    COUNTIFS($AF$3:$AF$201,$M284)&gt;0,
    COUNTIFS($AG$3:$AG$201,$M284)&gt;0,
    COUNTIFS($AH$3:$AH$201,$M284)&gt;0,
    COUNTIFS($AI$3:$AI$201,$M284)&gt;0,
    COUNTIFS($AJ$3:$AJ$201,$M284)&gt;0,
    COUNTIFS($AK$3:$AK$201,$M284)&gt;0,
    COUNTIFS($AL$3:$AL$201,$M284)&gt;0,
    COUNTIFS($AM$3:$AM$201,$M284)&gt;0,
    COUNTIFS($AN$3:$AN$201,$M284)&gt;0,
    COUNTIFS($AO$3:$AO$201,$M284)&gt;0,
    COUNTIFS($AP$3:$AP$201,$M284)&gt;0,
    COUNTIFS($AQ$3:$AQ$201,$M284)&gt;0,
    COUNTIFS($AR$3:$AR$201,$M284)&gt;0,
    COUNTIFS($AS$3:$AS$201,$M284)&gt;0,
    COUNTIFS($AT$3:$AT$201,$M284)&gt;0,
    COUNTIFS($AU$3:$AU$201,$M284)&gt;0,
    COUNTIFS($AV$3:$AV$201,$M284)&gt;0,
    COUNTIFS($AW$3:$AW$201,$M284)&gt;0
   ),
  0)
 ),
"")</f>
        <v/>
      </c>
      <c r="P284" s="3" t="str" cm="1">
        <f t="array" ref="P284">IFERROR(
 INDEX(
  _xlfn._xlws.FILTER($T$2:$AW$2,
   TRANSPOSE(
    CHOOSE({1;2;3;4;5;6;7;8;9;10;11;12;13;14;15;16;17;18;19;20;21;22;23;24;25;26;27;28;29;30},
     COUNTIFS($T$3:$T$201,$M284)&gt;0,
     COUNTIFS($U$3:$U$201,$M284)&gt;0,
     COUNTIFS($V$3:$V$201,$M284)&gt;0,
     COUNTIFS($W$3:$W$201,$M284)&gt;0,
     COUNTIFS($X$3:$X$201,$M284)&gt;0,
     COUNTIFS($Y$3:$Y$201,$M284)&gt;0,
     COUNTIFS($Z$3:$Z$201,$M284)&gt;0,
     COUNTIFS($AA$3:$AA$201,$M284)&gt;0,
     COUNTIFS($AB$3:$AB$201,$M284)&gt;0,
     COUNTIFS($AC$3:$AC$201,$M284)&gt;0,
     COUNTIFS($AD$3:$AD$201,$M284)&gt;0,
     COUNTIFS($AE$3:$AE$201,$M284)&gt;0,
     COUNTIFS($AF$3:$AF$201,$M284)&gt;0,
     COUNTIFS($AG$3:$AG$201,$M284)&gt;0,
     COUNTIFS($AH$3:$AH$201,$M284)&gt;0,
     COUNTIFS($AI$3:$AI$201,$M284)&gt;0,
     COUNTIFS($AJ$3:$AJ$201,$M284)&gt;0,
     COUNTIFS($AK$3:$AK$201,$M284)&gt;0,
     COUNTIFS($AL$3:$AL$201,$M284)&gt;0,
     COUNTIFS($AM$3:$AM$201,$M284)&gt;0,
     COUNTIFS($AN$3:$AN$201,$M284)&gt;0,
     COUNTIFS($AO$3:$AO$201,$M284)&gt;0,
     COUNTIFS($AP$3:$AP$201,$M284)&gt;0,
     COUNTIFS($AQ$3:$AQ$201,$M284)&gt;0,
     COUNTIFS($AR$3:$AR$201,$M284)&gt;0,
     COUNTIFS($AS$3:$AS$201,$M284)&gt;0,
     COUNTIFS($AT$3:$AT$201,$M284)&gt;0,
     COUNTIFS($AU$3:$AU$201,$M284)&gt;0,
     COUNTIFS($AV$3:$AV$201,$M284)&gt;0,
     COUNTIFS($AW$3:$AW$201,$M284)&gt;0
   )),
  ),
  2
 ),
"")</f>
        <v/>
      </c>
      <c r="Q284" s="3" t="str" cm="1">
        <f t="array" ref="Q284">IFERROR(
 INDEX(
  _xlfn._xlws.FILTER($T$2:$AW$2,
   TRANSPOSE(
    CHOOSE({1;2;3;4;5;6;7;8;9;10;11;12;13;14;15;16;17;18;19;20;21;22;23;24;25;26;27;28;29;30},
     COUNTIFS($T$3:$T$201,$M284)&gt;0,
     COUNTIFS($U$3:$U$201,$M284)&gt;0,
     COUNTIFS($V$3:$V$201,$M284)&gt;0,
     COUNTIFS($W$3:$W$201,$M284)&gt;0,
     COUNTIFS($X$3:$X$201,$M284)&gt;0,
     COUNTIFS($Y$3:$Y$201,$M284)&gt;0,
     COUNTIFS($Z$3:$Z$201,$M284)&gt;0,
     COUNTIFS($AA$3:$AA$201,$M284)&gt;0,
     COUNTIFS($AB$3:$AB$201,$M284)&gt;0,
     COUNTIFS($AC$3:$AC$201,$M284)&gt;0,
     COUNTIFS($AD$3:$AD$201,$M284)&gt;0,
     COUNTIFS($AE$3:$AE$201,$M284)&gt;0,
     COUNTIFS($AF$3:$AF$201,$M284)&gt;0,
     COUNTIFS($AG$3:$AG$201,$M284)&gt;0,
     COUNTIFS($AH$3:$AH$201,$M284)&gt;0,
     COUNTIFS($AI$3:$AI$201,$M284)&gt;0,
     COUNTIFS($AJ$3:$AJ$201,$M284)&gt;0,
     COUNTIFS($AK$3:$AK$201,$M284)&gt;0,
     COUNTIFS($AL$3:$AL$201,$M284)&gt;0,
     COUNTIFS($AM$3:$AM$201,$M284)&gt;0,
     COUNTIFS($AN$3:$AN$201,$M284)&gt;0,
     COUNTIFS($AO$3:$AO$201,$M284)&gt;0,
     COUNTIFS($AP$3:$AP$201,$M284)&gt;0,
     COUNTIFS($AQ$3:$AQ$201,$M284)&gt;0,
     COUNTIFS($AR$3:$AR$201,$M284)&gt;0,
     COUNTIFS($AS$3:$AS$201,$M284)&gt;0,
     COUNTIFS($AT$3:$AT$201,$M284)&gt;0,
     COUNTIFS($AU$3:$AU$201,$M284)&gt;0,
     COUNTIFS($AV$3:$AV$201,$M284)&gt;0,
     COUNTIFS($AW$3:$AW$201,$M284)&gt;0
   )),
  ),
  3
 ),
"")</f>
        <v/>
      </c>
      <c r="R284" s="3" t="str" cm="1">
        <f t="array" ref="R284">IFERROR(
 INDEX(
  _xlfn._xlws.FILTER($T$2:$AW$2,
   TRANSPOSE(
    CHOOSE({1;2;3;4;5;6;7;8;9;10;11;12;13;14;15;16;17;18;19;20;21;22;23;24;25;26;27;28;29;30},
     COUNTIFS($T$3:$T$201,$M284)&gt;0,
     COUNTIFS($U$3:$U$201,$M284)&gt;0,
     COUNTIFS($V$3:$V$201,$M284)&gt;0,
     COUNTIFS($W$3:$W$201,$M284)&gt;0,
     COUNTIFS($X$3:$X$201,$M284)&gt;0,
     COUNTIFS($Y$3:$Y$201,$M284)&gt;0,
     COUNTIFS($Z$3:$Z$201,$M284)&gt;0,
     COUNTIFS($AA$3:$AA$201,$M284)&gt;0,
     COUNTIFS($AB$3:$AB$201,$M284)&gt;0,
     COUNTIFS($AC$3:$AC$201,$M284)&gt;0,
     COUNTIFS($AD$3:$AD$201,$M284)&gt;0,
     COUNTIFS($AE$3:$AE$201,$M284)&gt;0,
     COUNTIFS($AF$3:$AF$201,$M284)&gt;0,
     COUNTIFS($AG$3:$AG$201,$M284)&gt;0,
     COUNTIFS($AH$3:$AH$201,$M284)&gt;0,
     COUNTIFS($AI$3:$AI$201,$M284)&gt;0,
     COUNTIFS($AJ$3:$AJ$201,$M284)&gt;0,
     COUNTIFS($AK$3:$AK$201,$M284)&gt;0,
     COUNTIFS($AL$3:$AL$201,$M284)&gt;0,
     COUNTIFS($AM$3:$AM$201,$M284)&gt;0,
     COUNTIFS($AN$3:$AN$201,$M284)&gt;0,
     COUNTIFS($AO$3:$AO$201,$M284)&gt;0,
     COUNTIFS($AP$3:$AP$201,$M284)&gt;0,
     COUNTIFS($AQ$3:$AQ$201,$M284)&gt;0,
     COUNTIFS($AR$3:$AR$201,$M284)&gt;0,
     COUNTIFS($AS$3:$AS$201,$M284)&gt;0,
     COUNTIFS($AT$3:$AT$201,$M284)&gt;0,
     COUNTIFS($AU$3:$AU$201,$M284)&gt;0,
     COUNTIFS($AV$3:$AV$201,$M284)&gt;0,
     COUNTIFS($AW$3:$AW$201,$M284)&gt;0
   )),
  ),
  4
 ),
"")</f>
        <v/>
      </c>
    </row>
    <row r="285" spans="1:87" x14ac:dyDescent="0.25">
      <c r="A285" t="str">
        <f ca="1"/>
        <v>The Masamune</v>
      </c>
      <c r="B285" s="3" t="str" cm="1">
        <f t="array" aca="1" ref="B285" ca="1">_xlfn.ANCHORARRAY(RESUMO!C284)</f>
        <v>Kresh</v>
      </c>
      <c r="C285" s="3" t="str">
        <f t="shared" ca="1" si="16"/>
        <v/>
      </c>
      <c r="N285" s="3">
        <f t="shared" si="19"/>
        <v>0</v>
      </c>
      <c r="O285" s="3" t="str">
        <f>IFERROR(
 INDEX($T$2:$AW$2,
  MATCH(TRUE,
   CHOOSE({1;2;3;4;5;6;7;8;9;10;11;12;13;14;15;16;17;18;19;20;21;22;23;24;25;26;27;28;29;30;31;32},
    COUNTIFS($T$3:$T$201,$M285)&gt;0,
    COUNTIFS($U$3:$U$201,$M285)&gt;0,
    COUNTIFS($V$3:$V$201,$M285)&gt;0,
    COUNTIFS($W$3:$W$201,$M285)&gt;0,
    COUNTIFS($X$3:$X$201,$M285)&gt;0,
    COUNTIFS($Y$3:$Y$201,$M285)&gt;0,
    COUNTIFS($Z$3:$Z$201,$M285)&gt;0,
    COUNTIFS($AA$3:$AA$201,$M285)&gt;0,
    COUNTIFS($AB$3:$AB$201,$M285)&gt;0,
    COUNTIFS($AC$3:$AC$201,$M285)&gt;0,
    COUNTIFS($AD$3:$AD$201,$M285)&gt;0,
    COUNTIFS($AE$3:$AE$201,$M285)&gt;0,
    COUNTIFS($AF$3:$AF$201,$M285)&gt;0,
    COUNTIFS($AG$3:$AG$201,$M285)&gt;0,
    COUNTIFS($AH$3:$AH$201,$M285)&gt;0,
    COUNTIFS($AI$3:$AI$201,$M285)&gt;0,
    COUNTIFS($AJ$3:$AJ$201,$M285)&gt;0,
    COUNTIFS($AK$3:$AK$201,$M285)&gt;0,
    COUNTIFS($AL$3:$AL$201,$M285)&gt;0,
    COUNTIFS($AM$3:$AM$201,$M285)&gt;0,
    COUNTIFS($AN$3:$AN$201,$M285)&gt;0,
    COUNTIFS($AO$3:$AO$201,$M285)&gt;0,
    COUNTIFS($AP$3:$AP$201,$M285)&gt;0,
    COUNTIFS($AQ$3:$AQ$201,$M285)&gt;0,
    COUNTIFS($AR$3:$AR$201,$M285)&gt;0,
    COUNTIFS($AS$3:$AS$201,$M285)&gt;0,
    COUNTIFS($AT$3:$AT$201,$M285)&gt;0,
    COUNTIFS($AU$3:$AU$201,$M285)&gt;0,
    COUNTIFS($AV$3:$AV$201,$M285)&gt;0,
    COUNTIFS($AW$3:$AW$201,$M285)&gt;0
   ),
  0)
 ),
"")</f>
        <v/>
      </c>
      <c r="P285" s="3" t="str" cm="1">
        <f t="array" ref="P285">IFERROR(
 INDEX(
  _xlfn._xlws.FILTER($T$2:$AW$2,
   TRANSPOSE(
    CHOOSE({1;2;3;4;5;6;7;8;9;10;11;12;13;14;15;16;17;18;19;20;21;22;23;24;25;26;27;28;29;30},
     COUNTIFS($T$3:$T$201,$M285)&gt;0,
     COUNTIFS($U$3:$U$201,$M285)&gt;0,
     COUNTIFS($V$3:$V$201,$M285)&gt;0,
     COUNTIFS($W$3:$W$201,$M285)&gt;0,
     COUNTIFS($X$3:$X$201,$M285)&gt;0,
     COUNTIFS($Y$3:$Y$201,$M285)&gt;0,
     COUNTIFS($Z$3:$Z$201,$M285)&gt;0,
     COUNTIFS($AA$3:$AA$201,$M285)&gt;0,
     COUNTIFS($AB$3:$AB$201,$M285)&gt;0,
     COUNTIFS($AC$3:$AC$201,$M285)&gt;0,
     COUNTIFS($AD$3:$AD$201,$M285)&gt;0,
     COUNTIFS($AE$3:$AE$201,$M285)&gt;0,
     COUNTIFS($AF$3:$AF$201,$M285)&gt;0,
     COUNTIFS($AG$3:$AG$201,$M285)&gt;0,
     COUNTIFS($AH$3:$AH$201,$M285)&gt;0,
     COUNTIFS($AI$3:$AI$201,$M285)&gt;0,
     COUNTIFS($AJ$3:$AJ$201,$M285)&gt;0,
     COUNTIFS($AK$3:$AK$201,$M285)&gt;0,
     COUNTIFS($AL$3:$AL$201,$M285)&gt;0,
     COUNTIFS($AM$3:$AM$201,$M285)&gt;0,
     COUNTIFS($AN$3:$AN$201,$M285)&gt;0,
     COUNTIFS($AO$3:$AO$201,$M285)&gt;0,
     COUNTIFS($AP$3:$AP$201,$M285)&gt;0,
     COUNTIFS($AQ$3:$AQ$201,$M285)&gt;0,
     COUNTIFS($AR$3:$AR$201,$M285)&gt;0,
     COUNTIFS($AS$3:$AS$201,$M285)&gt;0,
     COUNTIFS($AT$3:$AT$201,$M285)&gt;0,
     COUNTIFS($AU$3:$AU$201,$M285)&gt;0,
     COUNTIFS($AV$3:$AV$201,$M285)&gt;0,
     COUNTIFS($AW$3:$AW$201,$M285)&gt;0
   )),
  ),
  2
 ),
"")</f>
        <v/>
      </c>
      <c r="Q285" s="3" t="str" cm="1">
        <f t="array" ref="Q285">IFERROR(
 INDEX(
  _xlfn._xlws.FILTER($T$2:$AW$2,
   TRANSPOSE(
    CHOOSE({1;2;3;4;5;6;7;8;9;10;11;12;13;14;15;16;17;18;19;20;21;22;23;24;25;26;27;28;29;30},
     COUNTIFS($T$3:$T$201,$M285)&gt;0,
     COUNTIFS($U$3:$U$201,$M285)&gt;0,
     COUNTIFS($V$3:$V$201,$M285)&gt;0,
     COUNTIFS($W$3:$W$201,$M285)&gt;0,
     COUNTIFS($X$3:$X$201,$M285)&gt;0,
     COUNTIFS($Y$3:$Y$201,$M285)&gt;0,
     COUNTIFS($Z$3:$Z$201,$M285)&gt;0,
     COUNTIFS($AA$3:$AA$201,$M285)&gt;0,
     COUNTIFS($AB$3:$AB$201,$M285)&gt;0,
     COUNTIFS($AC$3:$AC$201,$M285)&gt;0,
     COUNTIFS($AD$3:$AD$201,$M285)&gt;0,
     COUNTIFS($AE$3:$AE$201,$M285)&gt;0,
     COUNTIFS($AF$3:$AF$201,$M285)&gt;0,
     COUNTIFS($AG$3:$AG$201,$M285)&gt;0,
     COUNTIFS($AH$3:$AH$201,$M285)&gt;0,
     COUNTIFS($AI$3:$AI$201,$M285)&gt;0,
     COUNTIFS($AJ$3:$AJ$201,$M285)&gt;0,
     COUNTIFS($AK$3:$AK$201,$M285)&gt;0,
     COUNTIFS($AL$3:$AL$201,$M285)&gt;0,
     COUNTIFS($AM$3:$AM$201,$M285)&gt;0,
     COUNTIFS($AN$3:$AN$201,$M285)&gt;0,
     COUNTIFS($AO$3:$AO$201,$M285)&gt;0,
     COUNTIFS($AP$3:$AP$201,$M285)&gt;0,
     COUNTIFS($AQ$3:$AQ$201,$M285)&gt;0,
     COUNTIFS($AR$3:$AR$201,$M285)&gt;0,
     COUNTIFS($AS$3:$AS$201,$M285)&gt;0,
     COUNTIFS($AT$3:$AT$201,$M285)&gt;0,
     COUNTIFS($AU$3:$AU$201,$M285)&gt;0,
     COUNTIFS($AV$3:$AV$201,$M285)&gt;0,
     COUNTIFS($AW$3:$AW$201,$M285)&gt;0
   )),
  ),
  3
 ),
"")</f>
        <v/>
      </c>
      <c r="R285" s="3" t="str" cm="1">
        <f t="array" ref="R285">IFERROR(
 INDEX(
  _xlfn._xlws.FILTER($T$2:$AW$2,
   TRANSPOSE(
    CHOOSE({1;2;3;4;5;6;7;8;9;10;11;12;13;14;15;16;17;18;19;20;21;22;23;24;25;26;27;28;29;30},
     COUNTIFS($T$3:$T$201,$M285)&gt;0,
     COUNTIFS($U$3:$U$201,$M285)&gt;0,
     COUNTIFS($V$3:$V$201,$M285)&gt;0,
     COUNTIFS($W$3:$W$201,$M285)&gt;0,
     COUNTIFS($X$3:$X$201,$M285)&gt;0,
     COUNTIFS($Y$3:$Y$201,$M285)&gt;0,
     COUNTIFS($Z$3:$Z$201,$M285)&gt;0,
     COUNTIFS($AA$3:$AA$201,$M285)&gt;0,
     COUNTIFS($AB$3:$AB$201,$M285)&gt;0,
     COUNTIFS($AC$3:$AC$201,$M285)&gt;0,
     COUNTIFS($AD$3:$AD$201,$M285)&gt;0,
     COUNTIFS($AE$3:$AE$201,$M285)&gt;0,
     COUNTIFS($AF$3:$AF$201,$M285)&gt;0,
     COUNTIFS($AG$3:$AG$201,$M285)&gt;0,
     COUNTIFS($AH$3:$AH$201,$M285)&gt;0,
     COUNTIFS($AI$3:$AI$201,$M285)&gt;0,
     COUNTIFS($AJ$3:$AJ$201,$M285)&gt;0,
     COUNTIFS($AK$3:$AK$201,$M285)&gt;0,
     COUNTIFS($AL$3:$AL$201,$M285)&gt;0,
     COUNTIFS($AM$3:$AM$201,$M285)&gt;0,
     COUNTIFS($AN$3:$AN$201,$M285)&gt;0,
     COUNTIFS($AO$3:$AO$201,$M285)&gt;0,
     COUNTIFS($AP$3:$AP$201,$M285)&gt;0,
     COUNTIFS($AQ$3:$AQ$201,$M285)&gt;0,
     COUNTIFS($AR$3:$AR$201,$M285)&gt;0,
     COUNTIFS($AS$3:$AS$201,$M285)&gt;0,
     COUNTIFS($AT$3:$AT$201,$M285)&gt;0,
     COUNTIFS($AU$3:$AU$201,$M285)&gt;0,
     COUNTIFS($AV$3:$AV$201,$M285)&gt;0,
     COUNTIFS($AW$3:$AW$201,$M285)&gt;0
   )),
  ),
  4
 ),
"")</f>
        <v/>
      </c>
    </row>
    <row r="286" spans="1:87" x14ac:dyDescent="0.25">
      <c r="A286" t="str">
        <f ca="1"/>
        <v>The Mycosynth Gardens</v>
      </c>
      <c r="B286" s="3" t="str" cm="1">
        <f t="array" aca="1" ref="B286" ca="1">_xlfn.ANCHORARRAY(RESUMO!C285)</f>
        <v>Muzzio</v>
      </c>
      <c r="C286" s="3" t="str">
        <f t="shared" ca="1" si="16"/>
        <v/>
      </c>
      <c r="N286" s="3">
        <f t="shared" si="19"/>
        <v>0</v>
      </c>
      <c r="O286" s="3" t="str">
        <f>IFERROR(
 INDEX($T$2:$AW$2,
  MATCH(TRUE,
   CHOOSE({1;2;3;4;5;6;7;8;9;10;11;12;13;14;15;16;17;18;19;20;21;22;23;24;25;26;27;28;29;30;31;32},
    COUNTIFS($T$3:$T$201,$M286)&gt;0,
    COUNTIFS($U$3:$U$201,$M286)&gt;0,
    COUNTIFS($V$3:$V$201,$M286)&gt;0,
    COUNTIFS($W$3:$W$201,$M286)&gt;0,
    COUNTIFS($X$3:$X$201,$M286)&gt;0,
    COUNTIFS($Y$3:$Y$201,$M286)&gt;0,
    COUNTIFS($Z$3:$Z$201,$M286)&gt;0,
    COUNTIFS($AA$3:$AA$201,$M286)&gt;0,
    COUNTIFS($AB$3:$AB$201,$M286)&gt;0,
    COUNTIFS($AC$3:$AC$201,$M286)&gt;0,
    COUNTIFS($AD$3:$AD$201,$M286)&gt;0,
    COUNTIFS($AE$3:$AE$201,$M286)&gt;0,
    COUNTIFS($AF$3:$AF$201,$M286)&gt;0,
    COUNTIFS($AG$3:$AG$201,$M286)&gt;0,
    COUNTIFS($AH$3:$AH$201,$M286)&gt;0,
    COUNTIFS($AI$3:$AI$201,$M286)&gt;0,
    COUNTIFS($AJ$3:$AJ$201,$M286)&gt;0,
    COUNTIFS($AK$3:$AK$201,$M286)&gt;0,
    COUNTIFS($AL$3:$AL$201,$M286)&gt;0,
    COUNTIFS($AM$3:$AM$201,$M286)&gt;0,
    COUNTIFS($AN$3:$AN$201,$M286)&gt;0,
    COUNTIFS($AO$3:$AO$201,$M286)&gt;0,
    COUNTIFS($AP$3:$AP$201,$M286)&gt;0,
    COUNTIFS($AQ$3:$AQ$201,$M286)&gt;0,
    COUNTIFS($AR$3:$AR$201,$M286)&gt;0,
    COUNTIFS($AS$3:$AS$201,$M286)&gt;0,
    COUNTIFS($AT$3:$AT$201,$M286)&gt;0,
    COUNTIFS($AU$3:$AU$201,$M286)&gt;0,
    COUNTIFS($AV$3:$AV$201,$M286)&gt;0,
    COUNTIFS($AW$3:$AW$201,$M286)&gt;0
   ),
  0)
 ),
"")</f>
        <v/>
      </c>
      <c r="P286" s="3" t="str" cm="1">
        <f t="array" ref="P286">IFERROR(
 INDEX(
  _xlfn._xlws.FILTER($T$2:$AW$2,
   TRANSPOSE(
    CHOOSE({1;2;3;4;5;6;7;8;9;10;11;12;13;14;15;16;17;18;19;20;21;22;23;24;25;26;27;28;29;30},
     COUNTIFS($T$3:$T$201,$M286)&gt;0,
     COUNTIFS($U$3:$U$201,$M286)&gt;0,
     COUNTIFS($V$3:$V$201,$M286)&gt;0,
     COUNTIFS($W$3:$W$201,$M286)&gt;0,
     COUNTIFS($X$3:$X$201,$M286)&gt;0,
     COUNTIFS($Y$3:$Y$201,$M286)&gt;0,
     COUNTIFS($Z$3:$Z$201,$M286)&gt;0,
     COUNTIFS($AA$3:$AA$201,$M286)&gt;0,
     COUNTIFS($AB$3:$AB$201,$M286)&gt;0,
     COUNTIFS($AC$3:$AC$201,$M286)&gt;0,
     COUNTIFS($AD$3:$AD$201,$M286)&gt;0,
     COUNTIFS($AE$3:$AE$201,$M286)&gt;0,
     COUNTIFS($AF$3:$AF$201,$M286)&gt;0,
     COUNTIFS($AG$3:$AG$201,$M286)&gt;0,
     COUNTIFS($AH$3:$AH$201,$M286)&gt;0,
     COUNTIFS($AI$3:$AI$201,$M286)&gt;0,
     COUNTIFS($AJ$3:$AJ$201,$M286)&gt;0,
     COUNTIFS($AK$3:$AK$201,$M286)&gt;0,
     COUNTIFS($AL$3:$AL$201,$M286)&gt;0,
     COUNTIFS($AM$3:$AM$201,$M286)&gt;0,
     COUNTIFS($AN$3:$AN$201,$M286)&gt;0,
     COUNTIFS($AO$3:$AO$201,$M286)&gt;0,
     COUNTIFS($AP$3:$AP$201,$M286)&gt;0,
     COUNTIFS($AQ$3:$AQ$201,$M286)&gt;0,
     COUNTIFS($AR$3:$AR$201,$M286)&gt;0,
     COUNTIFS($AS$3:$AS$201,$M286)&gt;0,
     COUNTIFS($AT$3:$AT$201,$M286)&gt;0,
     COUNTIFS($AU$3:$AU$201,$M286)&gt;0,
     COUNTIFS($AV$3:$AV$201,$M286)&gt;0,
     COUNTIFS($AW$3:$AW$201,$M286)&gt;0
   )),
  ),
  2
 ),
"")</f>
        <v/>
      </c>
      <c r="Q286" s="3" t="str" cm="1">
        <f t="array" ref="Q286">IFERROR(
 INDEX(
  _xlfn._xlws.FILTER($T$2:$AW$2,
   TRANSPOSE(
    CHOOSE({1;2;3;4;5;6;7;8;9;10;11;12;13;14;15;16;17;18;19;20;21;22;23;24;25;26;27;28;29;30},
     COUNTIFS($T$3:$T$201,$M286)&gt;0,
     COUNTIFS($U$3:$U$201,$M286)&gt;0,
     COUNTIFS($V$3:$V$201,$M286)&gt;0,
     COUNTIFS($W$3:$W$201,$M286)&gt;0,
     COUNTIFS($X$3:$X$201,$M286)&gt;0,
     COUNTIFS($Y$3:$Y$201,$M286)&gt;0,
     COUNTIFS($Z$3:$Z$201,$M286)&gt;0,
     COUNTIFS($AA$3:$AA$201,$M286)&gt;0,
     COUNTIFS($AB$3:$AB$201,$M286)&gt;0,
     COUNTIFS($AC$3:$AC$201,$M286)&gt;0,
     COUNTIFS($AD$3:$AD$201,$M286)&gt;0,
     COUNTIFS($AE$3:$AE$201,$M286)&gt;0,
     COUNTIFS($AF$3:$AF$201,$M286)&gt;0,
     COUNTIFS($AG$3:$AG$201,$M286)&gt;0,
     COUNTIFS($AH$3:$AH$201,$M286)&gt;0,
     COUNTIFS($AI$3:$AI$201,$M286)&gt;0,
     COUNTIFS($AJ$3:$AJ$201,$M286)&gt;0,
     COUNTIFS($AK$3:$AK$201,$M286)&gt;0,
     COUNTIFS($AL$3:$AL$201,$M286)&gt;0,
     COUNTIFS($AM$3:$AM$201,$M286)&gt;0,
     COUNTIFS($AN$3:$AN$201,$M286)&gt;0,
     COUNTIFS($AO$3:$AO$201,$M286)&gt;0,
     COUNTIFS($AP$3:$AP$201,$M286)&gt;0,
     COUNTIFS($AQ$3:$AQ$201,$M286)&gt;0,
     COUNTIFS($AR$3:$AR$201,$M286)&gt;0,
     COUNTIFS($AS$3:$AS$201,$M286)&gt;0,
     COUNTIFS($AT$3:$AT$201,$M286)&gt;0,
     COUNTIFS($AU$3:$AU$201,$M286)&gt;0,
     COUNTIFS($AV$3:$AV$201,$M286)&gt;0,
     COUNTIFS($AW$3:$AW$201,$M286)&gt;0
   )),
  ),
  3
 ),
"")</f>
        <v/>
      </c>
      <c r="R286" s="3" t="str" cm="1">
        <f t="array" ref="R286">IFERROR(
 INDEX(
  _xlfn._xlws.FILTER($T$2:$AW$2,
   TRANSPOSE(
    CHOOSE({1;2;3;4;5;6;7;8;9;10;11;12;13;14;15;16;17;18;19;20;21;22;23;24;25;26;27;28;29;30},
     COUNTIFS($T$3:$T$201,$M286)&gt;0,
     COUNTIFS($U$3:$U$201,$M286)&gt;0,
     COUNTIFS($V$3:$V$201,$M286)&gt;0,
     COUNTIFS($W$3:$W$201,$M286)&gt;0,
     COUNTIFS($X$3:$X$201,$M286)&gt;0,
     COUNTIFS($Y$3:$Y$201,$M286)&gt;0,
     COUNTIFS($Z$3:$Z$201,$M286)&gt;0,
     COUNTIFS($AA$3:$AA$201,$M286)&gt;0,
     COUNTIFS($AB$3:$AB$201,$M286)&gt;0,
     COUNTIFS($AC$3:$AC$201,$M286)&gt;0,
     COUNTIFS($AD$3:$AD$201,$M286)&gt;0,
     COUNTIFS($AE$3:$AE$201,$M286)&gt;0,
     COUNTIFS($AF$3:$AF$201,$M286)&gt;0,
     COUNTIFS($AG$3:$AG$201,$M286)&gt;0,
     COUNTIFS($AH$3:$AH$201,$M286)&gt;0,
     COUNTIFS($AI$3:$AI$201,$M286)&gt;0,
     COUNTIFS($AJ$3:$AJ$201,$M286)&gt;0,
     COUNTIFS($AK$3:$AK$201,$M286)&gt;0,
     COUNTIFS($AL$3:$AL$201,$M286)&gt;0,
     COUNTIFS($AM$3:$AM$201,$M286)&gt;0,
     COUNTIFS($AN$3:$AN$201,$M286)&gt;0,
     COUNTIFS($AO$3:$AO$201,$M286)&gt;0,
     COUNTIFS($AP$3:$AP$201,$M286)&gt;0,
     COUNTIFS($AQ$3:$AQ$201,$M286)&gt;0,
     COUNTIFS($AR$3:$AR$201,$M286)&gt;0,
     COUNTIFS($AS$3:$AS$201,$M286)&gt;0,
     COUNTIFS($AT$3:$AT$201,$M286)&gt;0,
     COUNTIFS($AU$3:$AU$201,$M286)&gt;0,
     COUNTIFS($AV$3:$AV$201,$M286)&gt;0,
     COUNTIFS($AW$3:$AW$201,$M286)&gt;0
   )),
  ),
  4
 ),
"")</f>
        <v/>
      </c>
    </row>
    <row r="287" spans="1:87" x14ac:dyDescent="0.25">
      <c r="A287" t="str">
        <f ca="1"/>
        <v>The Ozolith</v>
      </c>
      <c r="B287" s="3" t="str" cm="1">
        <f t="array" aca="1" ref="B287" ca="1">_xlfn.ANCHORARRAY(RESUMO!C286)</f>
        <v>Modular</v>
      </c>
      <c r="C287" s="3" t="str">
        <f t="shared" ca="1" si="16"/>
        <v/>
      </c>
      <c r="N287" s="3">
        <f t="shared" si="19"/>
        <v>0</v>
      </c>
      <c r="O287" s="3" t="str">
        <f>IFERROR(
 INDEX($T$2:$AW$2,
  MATCH(TRUE,
   CHOOSE({1;2;3;4;5;6;7;8;9;10;11;12;13;14;15;16;17;18;19;20;21;22;23;24;25;26;27;28;29;30;31;32},
    COUNTIFS($T$3:$T$201,$M287)&gt;0,
    COUNTIFS($U$3:$U$201,$M287)&gt;0,
    COUNTIFS($V$3:$V$201,$M287)&gt;0,
    COUNTIFS($W$3:$W$201,$M287)&gt;0,
    COUNTIFS($X$3:$X$201,$M287)&gt;0,
    COUNTIFS($Y$3:$Y$201,$M287)&gt;0,
    COUNTIFS($Z$3:$Z$201,$M287)&gt;0,
    COUNTIFS($AA$3:$AA$201,$M287)&gt;0,
    COUNTIFS($AB$3:$AB$201,$M287)&gt;0,
    COUNTIFS($AC$3:$AC$201,$M287)&gt;0,
    COUNTIFS($AD$3:$AD$201,$M287)&gt;0,
    COUNTIFS($AE$3:$AE$201,$M287)&gt;0,
    COUNTIFS($AF$3:$AF$201,$M287)&gt;0,
    COUNTIFS($AG$3:$AG$201,$M287)&gt;0,
    COUNTIFS($AH$3:$AH$201,$M287)&gt;0,
    COUNTIFS($AI$3:$AI$201,$M287)&gt;0,
    COUNTIFS($AJ$3:$AJ$201,$M287)&gt;0,
    COUNTIFS($AK$3:$AK$201,$M287)&gt;0,
    COUNTIFS($AL$3:$AL$201,$M287)&gt;0,
    COUNTIFS($AM$3:$AM$201,$M287)&gt;0,
    COUNTIFS($AN$3:$AN$201,$M287)&gt;0,
    COUNTIFS($AO$3:$AO$201,$M287)&gt;0,
    COUNTIFS($AP$3:$AP$201,$M287)&gt;0,
    COUNTIFS($AQ$3:$AQ$201,$M287)&gt;0,
    COUNTIFS($AR$3:$AR$201,$M287)&gt;0,
    COUNTIFS($AS$3:$AS$201,$M287)&gt;0,
    COUNTIFS($AT$3:$AT$201,$M287)&gt;0,
    COUNTIFS($AU$3:$AU$201,$M287)&gt;0,
    COUNTIFS($AV$3:$AV$201,$M287)&gt;0,
    COUNTIFS($AW$3:$AW$201,$M287)&gt;0
   ),
  0)
 ),
"")</f>
        <v/>
      </c>
      <c r="P287" s="3" t="str" cm="1">
        <f t="array" ref="P287">IFERROR(
 INDEX(
  _xlfn._xlws.FILTER($T$2:$AW$2,
   TRANSPOSE(
    CHOOSE({1;2;3;4;5;6;7;8;9;10;11;12;13;14;15;16;17;18;19;20;21;22;23;24;25;26;27;28;29;30},
     COUNTIFS($T$3:$T$201,$M287)&gt;0,
     COUNTIFS($U$3:$U$201,$M287)&gt;0,
     COUNTIFS($V$3:$V$201,$M287)&gt;0,
     COUNTIFS($W$3:$W$201,$M287)&gt;0,
     COUNTIFS($X$3:$X$201,$M287)&gt;0,
     COUNTIFS($Y$3:$Y$201,$M287)&gt;0,
     COUNTIFS($Z$3:$Z$201,$M287)&gt;0,
     COUNTIFS($AA$3:$AA$201,$M287)&gt;0,
     COUNTIFS($AB$3:$AB$201,$M287)&gt;0,
     COUNTIFS($AC$3:$AC$201,$M287)&gt;0,
     COUNTIFS($AD$3:$AD$201,$M287)&gt;0,
     COUNTIFS($AE$3:$AE$201,$M287)&gt;0,
     COUNTIFS($AF$3:$AF$201,$M287)&gt;0,
     COUNTIFS($AG$3:$AG$201,$M287)&gt;0,
     COUNTIFS($AH$3:$AH$201,$M287)&gt;0,
     COUNTIFS($AI$3:$AI$201,$M287)&gt;0,
     COUNTIFS($AJ$3:$AJ$201,$M287)&gt;0,
     COUNTIFS($AK$3:$AK$201,$M287)&gt;0,
     COUNTIFS($AL$3:$AL$201,$M287)&gt;0,
     COUNTIFS($AM$3:$AM$201,$M287)&gt;0,
     COUNTIFS($AN$3:$AN$201,$M287)&gt;0,
     COUNTIFS($AO$3:$AO$201,$M287)&gt;0,
     COUNTIFS($AP$3:$AP$201,$M287)&gt;0,
     COUNTIFS($AQ$3:$AQ$201,$M287)&gt;0,
     COUNTIFS($AR$3:$AR$201,$M287)&gt;0,
     COUNTIFS($AS$3:$AS$201,$M287)&gt;0,
     COUNTIFS($AT$3:$AT$201,$M287)&gt;0,
     COUNTIFS($AU$3:$AU$201,$M287)&gt;0,
     COUNTIFS($AV$3:$AV$201,$M287)&gt;0,
     COUNTIFS($AW$3:$AW$201,$M287)&gt;0
   )),
  ),
  2
 ),
"")</f>
        <v/>
      </c>
      <c r="Q287" s="3" t="str" cm="1">
        <f t="array" ref="Q287">IFERROR(
 INDEX(
  _xlfn._xlws.FILTER($T$2:$AW$2,
   TRANSPOSE(
    CHOOSE({1;2;3;4;5;6;7;8;9;10;11;12;13;14;15;16;17;18;19;20;21;22;23;24;25;26;27;28;29;30},
     COUNTIFS($T$3:$T$201,$M287)&gt;0,
     COUNTIFS($U$3:$U$201,$M287)&gt;0,
     COUNTIFS($V$3:$V$201,$M287)&gt;0,
     COUNTIFS($W$3:$W$201,$M287)&gt;0,
     COUNTIFS($X$3:$X$201,$M287)&gt;0,
     COUNTIFS($Y$3:$Y$201,$M287)&gt;0,
     COUNTIFS($Z$3:$Z$201,$M287)&gt;0,
     COUNTIFS($AA$3:$AA$201,$M287)&gt;0,
     COUNTIFS($AB$3:$AB$201,$M287)&gt;0,
     COUNTIFS($AC$3:$AC$201,$M287)&gt;0,
     COUNTIFS($AD$3:$AD$201,$M287)&gt;0,
     COUNTIFS($AE$3:$AE$201,$M287)&gt;0,
     COUNTIFS($AF$3:$AF$201,$M287)&gt;0,
     COUNTIFS($AG$3:$AG$201,$M287)&gt;0,
     COUNTIFS($AH$3:$AH$201,$M287)&gt;0,
     COUNTIFS($AI$3:$AI$201,$M287)&gt;0,
     COUNTIFS($AJ$3:$AJ$201,$M287)&gt;0,
     COUNTIFS($AK$3:$AK$201,$M287)&gt;0,
     COUNTIFS($AL$3:$AL$201,$M287)&gt;0,
     COUNTIFS($AM$3:$AM$201,$M287)&gt;0,
     COUNTIFS($AN$3:$AN$201,$M287)&gt;0,
     COUNTIFS($AO$3:$AO$201,$M287)&gt;0,
     COUNTIFS($AP$3:$AP$201,$M287)&gt;0,
     COUNTIFS($AQ$3:$AQ$201,$M287)&gt;0,
     COUNTIFS($AR$3:$AR$201,$M287)&gt;0,
     COUNTIFS($AS$3:$AS$201,$M287)&gt;0,
     COUNTIFS($AT$3:$AT$201,$M287)&gt;0,
     COUNTIFS($AU$3:$AU$201,$M287)&gt;0,
     COUNTIFS($AV$3:$AV$201,$M287)&gt;0,
     COUNTIFS($AW$3:$AW$201,$M287)&gt;0
   )),
  ),
  3
 ),
"")</f>
        <v/>
      </c>
      <c r="R287" s="3" t="str" cm="1">
        <f t="array" ref="R287">IFERROR(
 INDEX(
  _xlfn._xlws.FILTER($T$2:$AW$2,
   TRANSPOSE(
    CHOOSE({1;2;3;4;5;6;7;8;9;10;11;12;13;14;15;16;17;18;19;20;21;22;23;24;25;26;27;28;29;30},
     COUNTIFS($T$3:$T$201,$M287)&gt;0,
     COUNTIFS($U$3:$U$201,$M287)&gt;0,
     COUNTIFS($V$3:$V$201,$M287)&gt;0,
     COUNTIFS($W$3:$W$201,$M287)&gt;0,
     COUNTIFS($X$3:$X$201,$M287)&gt;0,
     COUNTIFS($Y$3:$Y$201,$M287)&gt;0,
     COUNTIFS($Z$3:$Z$201,$M287)&gt;0,
     COUNTIFS($AA$3:$AA$201,$M287)&gt;0,
     COUNTIFS($AB$3:$AB$201,$M287)&gt;0,
     COUNTIFS($AC$3:$AC$201,$M287)&gt;0,
     COUNTIFS($AD$3:$AD$201,$M287)&gt;0,
     COUNTIFS($AE$3:$AE$201,$M287)&gt;0,
     COUNTIFS($AF$3:$AF$201,$M287)&gt;0,
     COUNTIFS($AG$3:$AG$201,$M287)&gt;0,
     COUNTIFS($AH$3:$AH$201,$M287)&gt;0,
     COUNTIFS($AI$3:$AI$201,$M287)&gt;0,
     COUNTIFS($AJ$3:$AJ$201,$M287)&gt;0,
     COUNTIFS($AK$3:$AK$201,$M287)&gt;0,
     COUNTIFS($AL$3:$AL$201,$M287)&gt;0,
     COUNTIFS($AM$3:$AM$201,$M287)&gt;0,
     COUNTIFS($AN$3:$AN$201,$M287)&gt;0,
     COUNTIFS($AO$3:$AO$201,$M287)&gt;0,
     COUNTIFS($AP$3:$AP$201,$M287)&gt;0,
     COUNTIFS($AQ$3:$AQ$201,$M287)&gt;0,
     COUNTIFS($AR$3:$AR$201,$M287)&gt;0,
     COUNTIFS($AS$3:$AS$201,$M287)&gt;0,
     COUNTIFS($AT$3:$AT$201,$M287)&gt;0,
     COUNTIFS($AU$3:$AU$201,$M287)&gt;0,
     COUNTIFS($AV$3:$AV$201,$M287)&gt;0,
     COUNTIFS($AW$3:$AW$201,$M287)&gt;0
   )),
  ),
  4
 ),
"")</f>
        <v/>
      </c>
    </row>
    <row r="288" spans="1:87" x14ac:dyDescent="0.25">
      <c r="A288" t="str">
        <f ca="1"/>
        <v>The Shire</v>
      </c>
      <c r="B288" s="3" t="str" cm="1">
        <f t="array" aca="1" ref="B288" ca="1">_xlfn.ANCHORARRAY(RESUMO!C287)</f>
        <v>Baylen</v>
      </c>
      <c r="C288" s="3" t="str">
        <f t="shared" ca="1" si="16"/>
        <v/>
      </c>
      <c r="N288" s="3">
        <f t="shared" si="19"/>
        <v>0</v>
      </c>
      <c r="O288" s="3" t="str">
        <f>IFERROR(
 INDEX($T$2:$AW$2,
  MATCH(TRUE,
   CHOOSE({1;2;3;4;5;6;7;8;9;10;11;12;13;14;15;16;17;18;19;20;21;22;23;24;25;26;27;28;29;30;31;32},
    COUNTIFS($T$3:$T$201,$M288)&gt;0,
    COUNTIFS($U$3:$U$201,$M288)&gt;0,
    COUNTIFS($V$3:$V$201,$M288)&gt;0,
    COUNTIFS($W$3:$W$201,$M288)&gt;0,
    COUNTIFS($X$3:$X$201,$M288)&gt;0,
    COUNTIFS($Y$3:$Y$201,$M288)&gt;0,
    COUNTIFS($Z$3:$Z$201,$M288)&gt;0,
    COUNTIFS($AA$3:$AA$201,$M288)&gt;0,
    COUNTIFS($AB$3:$AB$201,$M288)&gt;0,
    COUNTIFS($AC$3:$AC$201,$M288)&gt;0,
    COUNTIFS($AD$3:$AD$201,$M288)&gt;0,
    COUNTIFS($AE$3:$AE$201,$M288)&gt;0,
    COUNTIFS($AF$3:$AF$201,$M288)&gt;0,
    COUNTIFS($AG$3:$AG$201,$M288)&gt;0,
    COUNTIFS($AH$3:$AH$201,$M288)&gt;0,
    COUNTIFS($AI$3:$AI$201,$M288)&gt;0,
    COUNTIFS($AJ$3:$AJ$201,$M288)&gt;0,
    COUNTIFS($AK$3:$AK$201,$M288)&gt;0,
    COUNTIFS($AL$3:$AL$201,$M288)&gt;0,
    COUNTIFS($AM$3:$AM$201,$M288)&gt;0,
    COUNTIFS($AN$3:$AN$201,$M288)&gt;0,
    COUNTIFS($AO$3:$AO$201,$M288)&gt;0,
    COUNTIFS($AP$3:$AP$201,$M288)&gt;0,
    COUNTIFS($AQ$3:$AQ$201,$M288)&gt;0,
    COUNTIFS($AR$3:$AR$201,$M288)&gt;0,
    COUNTIFS($AS$3:$AS$201,$M288)&gt;0,
    COUNTIFS($AT$3:$AT$201,$M288)&gt;0,
    COUNTIFS($AU$3:$AU$201,$M288)&gt;0,
    COUNTIFS($AV$3:$AV$201,$M288)&gt;0,
    COUNTIFS($AW$3:$AW$201,$M288)&gt;0
   ),
  0)
 ),
"")</f>
        <v/>
      </c>
      <c r="P288" s="3" t="str" cm="1">
        <f t="array" ref="P288">IFERROR(
 INDEX(
  _xlfn._xlws.FILTER($T$2:$AW$2,
   TRANSPOSE(
    CHOOSE({1;2;3;4;5;6;7;8;9;10;11;12;13;14;15;16;17;18;19;20;21;22;23;24;25;26;27;28;29;30},
     COUNTIFS($T$3:$T$201,$M288)&gt;0,
     COUNTIFS($U$3:$U$201,$M288)&gt;0,
     COUNTIFS($V$3:$V$201,$M288)&gt;0,
     COUNTIFS($W$3:$W$201,$M288)&gt;0,
     COUNTIFS($X$3:$X$201,$M288)&gt;0,
     COUNTIFS($Y$3:$Y$201,$M288)&gt;0,
     COUNTIFS($Z$3:$Z$201,$M288)&gt;0,
     COUNTIFS($AA$3:$AA$201,$M288)&gt;0,
     COUNTIFS($AB$3:$AB$201,$M288)&gt;0,
     COUNTIFS($AC$3:$AC$201,$M288)&gt;0,
     COUNTIFS($AD$3:$AD$201,$M288)&gt;0,
     COUNTIFS($AE$3:$AE$201,$M288)&gt;0,
     COUNTIFS($AF$3:$AF$201,$M288)&gt;0,
     COUNTIFS($AG$3:$AG$201,$M288)&gt;0,
     COUNTIFS($AH$3:$AH$201,$M288)&gt;0,
     COUNTIFS($AI$3:$AI$201,$M288)&gt;0,
     COUNTIFS($AJ$3:$AJ$201,$M288)&gt;0,
     COUNTIFS($AK$3:$AK$201,$M288)&gt;0,
     COUNTIFS($AL$3:$AL$201,$M288)&gt;0,
     COUNTIFS($AM$3:$AM$201,$M288)&gt;0,
     COUNTIFS($AN$3:$AN$201,$M288)&gt;0,
     COUNTIFS($AO$3:$AO$201,$M288)&gt;0,
     COUNTIFS($AP$3:$AP$201,$M288)&gt;0,
     COUNTIFS($AQ$3:$AQ$201,$M288)&gt;0,
     COUNTIFS($AR$3:$AR$201,$M288)&gt;0,
     COUNTIFS($AS$3:$AS$201,$M288)&gt;0,
     COUNTIFS($AT$3:$AT$201,$M288)&gt;0,
     COUNTIFS($AU$3:$AU$201,$M288)&gt;0,
     COUNTIFS($AV$3:$AV$201,$M288)&gt;0,
     COUNTIFS($AW$3:$AW$201,$M288)&gt;0
   )),
  ),
  2
 ),
"")</f>
        <v/>
      </c>
      <c r="Q288" s="3" t="str" cm="1">
        <f t="array" ref="Q288">IFERROR(
 INDEX(
  _xlfn._xlws.FILTER($T$2:$AW$2,
   TRANSPOSE(
    CHOOSE({1;2;3;4;5;6;7;8;9;10;11;12;13;14;15;16;17;18;19;20;21;22;23;24;25;26;27;28;29;30},
     COUNTIFS($T$3:$T$201,$M288)&gt;0,
     COUNTIFS($U$3:$U$201,$M288)&gt;0,
     COUNTIFS($V$3:$V$201,$M288)&gt;0,
     COUNTIFS($W$3:$W$201,$M288)&gt;0,
     COUNTIFS($X$3:$X$201,$M288)&gt;0,
     COUNTIFS($Y$3:$Y$201,$M288)&gt;0,
     COUNTIFS($Z$3:$Z$201,$M288)&gt;0,
     COUNTIFS($AA$3:$AA$201,$M288)&gt;0,
     COUNTIFS($AB$3:$AB$201,$M288)&gt;0,
     COUNTIFS($AC$3:$AC$201,$M288)&gt;0,
     COUNTIFS($AD$3:$AD$201,$M288)&gt;0,
     COUNTIFS($AE$3:$AE$201,$M288)&gt;0,
     COUNTIFS($AF$3:$AF$201,$M288)&gt;0,
     COUNTIFS($AG$3:$AG$201,$M288)&gt;0,
     COUNTIFS($AH$3:$AH$201,$M288)&gt;0,
     COUNTIFS($AI$3:$AI$201,$M288)&gt;0,
     COUNTIFS($AJ$3:$AJ$201,$M288)&gt;0,
     COUNTIFS($AK$3:$AK$201,$M288)&gt;0,
     COUNTIFS($AL$3:$AL$201,$M288)&gt;0,
     COUNTIFS($AM$3:$AM$201,$M288)&gt;0,
     COUNTIFS($AN$3:$AN$201,$M288)&gt;0,
     COUNTIFS($AO$3:$AO$201,$M288)&gt;0,
     COUNTIFS($AP$3:$AP$201,$M288)&gt;0,
     COUNTIFS($AQ$3:$AQ$201,$M288)&gt;0,
     COUNTIFS($AR$3:$AR$201,$M288)&gt;0,
     COUNTIFS($AS$3:$AS$201,$M288)&gt;0,
     COUNTIFS($AT$3:$AT$201,$M288)&gt;0,
     COUNTIFS($AU$3:$AU$201,$M288)&gt;0,
     COUNTIFS($AV$3:$AV$201,$M288)&gt;0,
     COUNTIFS($AW$3:$AW$201,$M288)&gt;0
   )),
  ),
  3
 ),
"")</f>
        <v/>
      </c>
      <c r="R288" s="3" t="str" cm="1">
        <f t="array" ref="R288">IFERROR(
 INDEX(
  _xlfn._xlws.FILTER($T$2:$AW$2,
   TRANSPOSE(
    CHOOSE({1;2;3;4;5;6;7;8;9;10;11;12;13;14;15;16;17;18;19;20;21;22;23;24;25;26;27;28;29;30},
     COUNTIFS($T$3:$T$201,$M288)&gt;0,
     COUNTIFS($U$3:$U$201,$M288)&gt;0,
     COUNTIFS($V$3:$V$201,$M288)&gt;0,
     COUNTIFS($W$3:$W$201,$M288)&gt;0,
     COUNTIFS($X$3:$X$201,$M288)&gt;0,
     COUNTIFS($Y$3:$Y$201,$M288)&gt;0,
     COUNTIFS($Z$3:$Z$201,$M288)&gt;0,
     COUNTIFS($AA$3:$AA$201,$M288)&gt;0,
     COUNTIFS($AB$3:$AB$201,$M288)&gt;0,
     COUNTIFS($AC$3:$AC$201,$M288)&gt;0,
     COUNTIFS($AD$3:$AD$201,$M288)&gt;0,
     COUNTIFS($AE$3:$AE$201,$M288)&gt;0,
     COUNTIFS($AF$3:$AF$201,$M288)&gt;0,
     COUNTIFS($AG$3:$AG$201,$M288)&gt;0,
     COUNTIFS($AH$3:$AH$201,$M288)&gt;0,
     COUNTIFS($AI$3:$AI$201,$M288)&gt;0,
     COUNTIFS($AJ$3:$AJ$201,$M288)&gt;0,
     COUNTIFS($AK$3:$AK$201,$M288)&gt;0,
     COUNTIFS($AL$3:$AL$201,$M288)&gt;0,
     COUNTIFS($AM$3:$AM$201,$M288)&gt;0,
     COUNTIFS($AN$3:$AN$201,$M288)&gt;0,
     COUNTIFS($AO$3:$AO$201,$M288)&gt;0,
     COUNTIFS($AP$3:$AP$201,$M288)&gt;0,
     COUNTIFS($AQ$3:$AQ$201,$M288)&gt;0,
     COUNTIFS($AR$3:$AR$201,$M288)&gt;0,
     COUNTIFS($AS$3:$AS$201,$M288)&gt;0,
     COUNTIFS($AT$3:$AT$201,$M288)&gt;0,
     COUNTIFS($AU$3:$AU$201,$M288)&gt;0,
     COUNTIFS($AV$3:$AV$201,$M288)&gt;0,
     COUNTIFS($AW$3:$AW$201,$M288)&gt;0
   )),
  ),
  4
 ),
"")</f>
        <v/>
      </c>
    </row>
    <row r="289" spans="1:18" x14ac:dyDescent="0.25">
      <c r="A289" t="str">
        <f ca="1"/>
        <v>The Tenth Doctor</v>
      </c>
      <c r="B289" s="3" t="str" cm="1">
        <f t="array" aca="1" ref="B289" ca="1">_xlfn.ANCHORARRAY(RESUMO!C288)</f>
        <v>JhoiraB</v>
      </c>
      <c r="C289" s="3" t="str">
        <f t="shared" ca="1" si="16"/>
        <v/>
      </c>
      <c r="N289" s="3">
        <f t="shared" si="19"/>
        <v>0</v>
      </c>
      <c r="O289" s="3" t="str">
        <f>IFERROR(
 INDEX($T$2:$AW$2,
  MATCH(TRUE,
   CHOOSE({1;2;3;4;5;6;7;8;9;10;11;12;13;14;15;16;17;18;19;20;21;22;23;24;25;26;27;28;29;30;31;32},
    COUNTIFS($T$3:$T$201,$M289)&gt;0,
    COUNTIFS($U$3:$U$201,$M289)&gt;0,
    COUNTIFS($V$3:$V$201,$M289)&gt;0,
    COUNTIFS($W$3:$W$201,$M289)&gt;0,
    COUNTIFS($X$3:$X$201,$M289)&gt;0,
    COUNTIFS($Y$3:$Y$201,$M289)&gt;0,
    COUNTIFS($Z$3:$Z$201,$M289)&gt;0,
    COUNTIFS($AA$3:$AA$201,$M289)&gt;0,
    COUNTIFS($AB$3:$AB$201,$M289)&gt;0,
    COUNTIFS($AC$3:$AC$201,$M289)&gt;0,
    COUNTIFS($AD$3:$AD$201,$M289)&gt;0,
    COUNTIFS($AE$3:$AE$201,$M289)&gt;0,
    COUNTIFS($AF$3:$AF$201,$M289)&gt;0,
    COUNTIFS($AG$3:$AG$201,$M289)&gt;0,
    COUNTIFS($AH$3:$AH$201,$M289)&gt;0,
    COUNTIFS($AI$3:$AI$201,$M289)&gt;0,
    COUNTIFS($AJ$3:$AJ$201,$M289)&gt;0,
    COUNTIFS($AK$3:$AK$201,$M289)&gt;0,
    COUNTIFS($AL$3:$AL$201,$M289)&gt;0,
    COUNTIFS($AM$3:$AM$201,$M289)&gt;0,
    COUNTIFS($AN$3:$AN$201,$M289)&gt;0,
    COUNTIFS($AO$3:$AO$201,$M289)&gt;0,
    COUNTIFS($AP$3:$AP$201,$M289)&gt;0,
    COUNTIFS($AQ$3:$AQ$201,$M289)&gt;0,
    COUNTIFS($AR$3:$AR$201,$M289)&gt;0,
    COUNTIFS($AS$3:$AS$201,$M289)&gt;0,
    COUNTIFS($AT$3:$AT$201,$M289)&gt;0,
    COUNTIFS($AU$3:$AU$201,$M289)&gt;0,
    COUNTIFS($AV$3:$AV$201,$M289)&gt;0,
    COUNTIFS($AW$3:$AW$201,$M289)&gt;0
   ),
  0)
 ),
"")</f>
        <v/>
      </c>
      <c r="P289" s="3" t="str" cm="1">
        <f t="array" ref="P289">IFERROR(
 INDEX(
  _xlfn._xlws.FILTER($T$2:$AW$2,
   TRANSPOSE(
    CHOOSE({1;2;3;4;5;6;7;8;9;10;11;12;13;14;15;16;17;18;19;20;21;22;23;24;25;26;27;28;29;30},
     COUNTIFS($T$3:$T$201,$M289)&gt;0,
     COUNTIFS($U$3:$U$201,$M289)&gt;0,
     COUNTIFS($V$3:$V$201,$M289)&gt;0,
     COUNTIFS($W$3:$W$201,$M289)&gt;0,
     COUNTIFS($X$3:$X$201,$M289)&gt;0,
     COUNTIFS($Y$3:$Y$201,$M289)&gt;0,
     COUNTIFS($Z$3:$Z$201,$M289)&gt;0,
     COUNTIFS($AA$3:$AA$201,$M289)&gt;0,
     COUNTIFS($AB$3:$AB$201,$M289)&gt;0,
     COUNTIFS($AC$3:$AC$201,$M289)&gt;0,
     COUNTIFS($AD$3:$AD$201,$M289)&gt;0,
     COUNTIFS($AE$3:$AE$201,$M289)&gt;0,
     COUNTIFS($AF$3:$AF$201,$M289)&gt;0,
     COUNTIFS($AG$3:$AG$201,$M289)&gt;0,
     COUNTIFS($AH$3:$AH$201,$M289)&gt;0,
     COUNTIFS($AI$3:$AI$201,$M289)&gt;0,
     COUNTIFS($AJ$3:$AJ$201,$M289)&gt;0,
     COUNTIFS($AK$3:$AK$201,$M289)&gt;0,
     COUNTIFS($AL$3:$AL$201,$M289)&gt;0,
     COUNTIFS($AM$3:$AM$201,$M289)&gt;0,
     COUNTIFS($AN$3:$AN$201,$M289)&gt;0,
     COUNTIFS($AO$3:$AO$201,$M289)&gt;0,
     COUNTIFS($AP$3:$AP$201,$M289)&gt;0,
     COUNTIFS($AQ$3:$AQ$201,$M289)&gt;0,
     COUNTIFS($AR$3:$AR$201,$M289)&gt;0,
     COUNTIFS($AS$3:$AS$201,$M289)&gt;0,
     COUNTIFS($AT$3:$AT$201,$M289)&gt;0,
     COUNTIFS($AU$3:$AU$201,$M289)&gt;0,
     COUNTIFS($AV$3:$AV$201,$M289)&gt;0,
     COUNTIFS($AW$3:$AW$201,$M289)&gt;0
   )),
  ),
  2
 ),
"")</f>
        <v/>
      </c>
      <c r="Q289" s="3" t="str" cm="1">
        <f t="array" ref="Q289">IFERROR(
 INDEX(
  _xlfn._xlws.FILTER($T$2:$AW$2,
   TRANSPOSE(
    CHOOSE({1;2;3;4;5;6;7;8;9;10;11;12;13;14;15;16;17;18;19;20;21;22;23;24;25;26;27;28;29;30},
     COUNTIFS($T$3:$T$201,$M289)&gt;0,
     COUNTIFS($U$3:$U$201,$M289)&gt;0,
     COUNTIFS($V$3:$V$201,$M289)&gt;0,
     COUNTIFS($W$3:$W$201,$M289)&gt;0,
     COUNTIFS($X$3:$X$201,$M289)&gt;0,
     COUNTIFS($Y$3:$Y$201,$M289)&gt;0,
     COUNTIFS($Z$3:$Z$201,$M289)&gt;0,
     COUNTIFS($AA$3:$AA$201,$M289)&gt;0,
     COUNTIFS($AB$3:$AB$201,$M289)&gt;0,
     COUNTIFS($AC$3:$AC$201,$M289)&gt;0,
     COUNTIFS($AD$3:$AD$201,$M289)&gt;0,
     COUNTIFS($AE$3:$AE$201,$M289)&gt;0,
     COUNTIFS($AF$3:$AF$201,$M289)&gt;0,
     COUNTIFS($AG$3:$AG$201,$M289)&gt;0,
     COUNTIFS($AH$3:$AH$201,$M289)&gt;0,
     COUNTIFS($AI$3:$AI$201,$M289)&gt;0,
     COUNTIFS($AJ$3:$AJ$201,$M289)&gt;0,
     COUNTIFS($AK$3:$AK$201,$M289)&gt;0,
     COUNTIFS($AL$3:$AL$201,$M289)&gt;0,
     COUNTIFS($AM$3:$AM$201,$M289)&gt;0,
     COUNTIFS($AN$3:$AN$201,$M289)&gt;0,
     COUNTIFS($AO$3:$AO$201,$M289)&gt;0,
     COUNTIFS($AP$3:$AP$201,$M289)&gt;0,
     COUNTIFS($AQ$3:$AQ$201,$M289)&gt;0,
     COUNTIFS($AR$3:$AR$201,$M289)&gt;0,
     COUNTIFS($AS$3:$AS$201,$M289)&gt;0,
     COUNTIFS($AT$3:$AT$201,$M289)&gt;0,
     COUNTIFS($AU$3:$AU$201,$M289)&gt;0,
     COUNTIFS($AV$3:$AV$201,$M289)&gt;0,
     COUNTIFS($AW$3:$AW$201,$M289)&gt;0
   )),
  ),
  3
 ),
"")</f>
        <v/>
      </c>
      <c r="R289" s="3" t="str" cm="1">
        <f t="array" ref="R289">IFERROR(
 INDEX(
  _xlfn._xlws.FILTER($T$2:$AW$2,
   TRANSPOSE(
    CHOOSE({1;2;3;4;5;6;7;8;9;10;11;12;13;14;15;16;17;18;19;20;21;22;23;24;25;26;27;28;29;30},
     COUNTIFS($T$3:$T$201,$M289)&gt;0,
     COUNTIFS($U$3:$U$201,$M289)&gt;0,
     COUNTIFS($V$3:$V$201,$M289)&gt;0,
     COUNTIFS($W$3:$W$201,$M289)&gt;0,
     COUNTIFS($X$3:$X$201,$M289)&gt;0,
     COUNTIFS($Y$3:$Y$201,$M289)&gt;0,
     COUNTIFS($Z$3:$Z$201,$M289)&gt;0,
     COUNTIFS($AA$3:$AA$201,$M289)&gt;0,
     COUNTIFS($AB$3:$AB$201,$M289)&gt;0,
     COUNTIFS($AC$3:$AC$201,$M289)&gt;0,
     COUNTIFS($AD$3:$AD$201,$M289)&gt;0,
     COUNTIFS($AE$3:$AE$201,$M289)&gt;0,
     COUNTIFS($AF$3:$AF$201,$M289)&gt;0,
     COUNTIFS($AG$3:$AG$201,$M289)&gt;0,
     COUNTIFS($AH$3:$AH$201,$M289)&gt;0,
     COUNTIFS($AI$3:$AI$201,$M289)&gt;0,
     COUNTIFS($AJ$3:$AJ$201,$M289)&gt;0,
     COUNTIFS($AK$3:$AK$201,$M289)&gt;0,
     COUNTIFS($AL$3:$AL$201,$M289)&gt;0,
     COUNTIFS($AM$3:$AM$201,$M289)&gt;0,
     COUNTIFS($AN$3:$AN$201,$M289)&gt;0,
     COUNTIFS($AO$3:$AO$201,$M289)&gt;0,
     COUNTIFS($AP$3:$AP$201,$M289)&gt;0,
     COUNTIFS($AQ$3:$AQ$201,$M289)&gt;0,
     COUNTIFS($AR$3:$AR$201,$M289)&gt;0,
     COUNTIFS($AS$3:$AS$201,$M289)&gt;0,
     COUNTIFS($AT$3:$AT$201,$M289)&gt;0,
     COUNTIFS($AU$3:$AU$201,$M289)&gt;0,
     COUNTIFS($AV$3:$AV$201,$M289)&gt;0,
     COUNTIFS($AW$3:$AW$201,$M289)&gt;0
   )),
  ),
  4
 ),
"")</f>
        <v/>
      </c>
    </row>
    <row r="290" spans="1:18" x14ac:dyDescent="0.25">
      <c r="A290" t="str">
        <f ca="1"/>
        <v>The Water Crystal</v>
      </c>
      <c r="B290" s="3" t="str" cm="1">
        <f t="array" aca="1" ref="B290" ca="1">_xlfn.ANCHORARRAY(RESUMO!C289)</f>
        <v>Narset</v>
      </c>
      <c r="C290" s="3" t="str">
        <f t="shared" ca="1" si="16"/>
        <v/>
      </c>
      <c r="N290" s="3">
        <f t="shared" si="19"/>
        <v>0</v>
      </c>
      <c r="O290" s="3" t="str">
        <f>IFERROR(
 INDEX($T$2:$AW$2,
  MATCH(TRUE,
   CHOOSE({1;2;3;4;5;6;7;8;9;10;11;12;13;14;15;16;17;18;19;20;21;22;23;24;25;26;27;28;29;30;31;32},
    COUNTIFS($T$3:$T$201,$M290)&gt;0,
    COUNTIFS($U$3:$U$201,$M290)&gt;0,
    COUNTIFS($V$3:$V$201,$M290)&gt;0,
    COUNTIFS($W$3:$W$201,$M290)&gt;0,
    COUNTIFS($X$3:$X$201,$M290)&gt;0,
    COUNTIFS($Y$3:$Y$201,$M290)&gt;0,
    COUNTIFS($Z$3:$Z$201,$M290)&gt;0,
    COUNTIFS($AA$3:$AA$201,$M290)&gt;0,
    COUNTIFS($AB$3:$AB$201,$M290)&gt;0,
    COUNTIFS($AC$3:$AC$201,$M290)&gt;0,
    COUNTIFS($AD$3:$AD$201,$M290)&gt;0,
    COUNTIFS($AE$3:$AE$201,$M290)&gt;0,
    COUNTIFS($AF$3:$AF$201,$M290)&gt;0,
    COUNTIFS($AG$3:$AG$201,$M290)&gt;0,
    COUNTIFS($AH$3:$AH$201,$M290)&gt;0,
    COUNTIFS($AI$3:$AI$201,$M290)&gt;0,
    COUNTIFS($AJ$3:$AJ$201,$M290)&gt;0,
    COUNTIFS($AK$3:$AK$201,$M290)&gt;0,
    COUNTIFS($AL$3:$AL$201,$M290)&gt;0,
    COUNTIFS($AM$3:$AM$201,$M290)&gt;0,
    COUNTIFS($AN$3:$AN$201,$M290)&gt;0,
    COUNTIFS($AO$3:$AO$201,$M290)&gt;0,
    COUNTIFS($AP$3:$AP$201,$M290)&gt;0,
    COUNTIFS($AQ$3:$AQ$201,$M290)&gt;0,
    COUNTIFS($AR$3:$AR$201,$M290)&gt;0,
    COUNTIFS($AS$3:$AS$201,$M290)&gt;0,
    COUNTIFS($AT$3:$AT$201,$M290)&gt;0,
    COUNTIFS($AU$3:$AU$201,$M290)&gt;0,
    COUNTIFS($AV$3:$AV$201,$M290)&gt;0,
    COUNTIFS($AW$3:$AW$201,$M290)&gt;0
   ),
  0)
 ),
"")</f>
        <v/>
      </c>
      <c r="P290" s="3" t="str" cm="1">
        <f t="array" ref="P290">IFERROR(
 INDEX(
  _xlfn._xlws.FILTER($T$2:$AW$2,
   TRANSPOSE(
    CHOOSE({1;2;3;4;5;6;7;8;9;10;11;12;13;14;15;16;17;18;19;20;21;22;23;24;25;26;27;28;29;30},
     COUNTIFS($T$3:$T$201,$M290)&gt;0,
     COUNTIFS($U$3:$U$201,$M290)&gt;0,
     COUNTIFS($V$3:$V$201,$M290)&gt;0,
     COUNTIFS($W$3:$W$201,$M290)&gt;0,
     COUNTIFS($X$3:$X$201,$M290)&gt;0,
     COUNTIFS($Y$3:$Y$201,$M290)&gt;0,
     COUNTIFS($Z$3:$Z$201,$M290)&gt;0,
     COUNTIFS($AA$3:$AA$201,$M290)&gt;0,
     COUNTIFS($AB$3:$AB$201,$M290)&gt;0,
     COUNTIFS($AC$3:$AC$201,$M290)&gt;0,
     COUNTIFS($AD$3:$AD$201,$M290)&gt;0,
     COUNTIFS($AE$3:$AE$201,$M290)&gt;0,
     COUNTIFS($AF$3:$AF$201,$M290)&gt;0,
     COUNTIFS($AG$3:$AG$201,$M290)&gt;0,
     COUNTIFS($AH$3:$AH$201,$M290)&gt;0,
     COUNTIFS($AI$3:$AI$201,$M290)&gt;0,
     COUNTIFS($AJ$3:$AJ$201,$M290)&gt;0,
     COUNTIFS($AK$3:$AK$201,$M290)&gt;0,
     COUNTIFS($AL$3:$AL$201,$M290)&gt;0,
     COUNTIFS($AM$3:$AM$201,$M290)&gt;0,
     COUNTIFS($AN$3:$AN$201,$M290)&gt;0,
     COUNTIFS($AO$3:$AO$201,$M290)&gt;0,
     COUNTIFS($AP$3:$AP$201,$M290)&gt;0,
     COUNTIFS($AQ$3:$AQ$201,$M290)&gt;0,
     COUNTIFS($AR$3:$AR$201,$M290)&gt;0,
     COUNTIFS($AS$3:$AS$201,$M290)&gt;0,
     COUNTIFS($AT$3:$AT$201,$M290)&gt;0,
     COUNTIFS($AU$3:$AU$201,$M290)&gt;0,
     COUNTIFS($AV$3:$AV$201,$M290)&gt;0,
     COUNTIFS($AW$3:$AW$201,$M290)&gt;0
   )),
  ),
  2
 ),
"")</f>
        <v/>
      </c>
      <c r="Q290" s="3" t="str" cm="1">
        <f t="array" ref="Q290">IFERROR(
 INDEX(
  _xlfn._xlws.FILTER($T$2:$AW$2,
   TRANSPOSE(
    CHOOSE({1;2;3;4;5;6;7;8;9;10;11;12;13;14;15;16;17;18;19;20;21;22;23;24;25;26;27;28;29;30},
     COUNTIFS($T$3:$T$201,$M290)&gt;0,
     COUNTIFS($U$3:$U$201,$M290)&gt;0,
     COUNTIFS($V$3:$V$201,$M290)&gt;0,
     COUNTIFS($W$3:$W$201,$M290)&gt;0,
     COUNTIFS($X$3:$X$201,$M290)&gt;0,
     COUNTIFS($Y$3:$Y$201,$M290)&gt;0,
     COUNTIFS($Z$3:$Z$201,$M290)&gt;0,
     COUNTIFS($AA$3:$AA$201,$M290)&gt;0,
     COUNTIFS($AB$3:$AB$201,$M290)&gt;0,
     COUNTIFS($AC$3:$AC$201,$M290)&gt;0,
     COUNTIFS($AD$3:$AD$201,$M290)&gt;0,
     COUNTIFS($AE$3:$AE$201,$M290)&gt;0,
     COUNTIFS($AF$3:$AF$201,$M290)&gt;0,
     COUNTIFS($AG$3:$AG$201,$M290)&gt;0,
     COUNTIFS($AH$3:$AH$201,$M290)&gt;0,
     COUNTIFS($AI$3:$AI$201,$M290)&gt;0,
     COUNTIFS($AJ$3:$AJ$201,$M290)&gt;0,
     COUNTIFS($AK$3:$AK$201,$M290)&gt;0,
     COUNTIFS($AL$3:$AL$201,$M290)&gt;0,
     COUNTIFS($AM$3:$AM$201,$M290)&gt;0,
     COUNTIFS($AN$3:$AN$201,$M290)&gt;0,
     COUNTIFS($AO$3:$AO$201,$M290)&gt;0,
     COUNTIFS($AP$3:$AP$201,$M290)&gt;0,
     COUNTIFS($AQ$3:$AQ$201,$M290)&gt;0,
     COUNTIFS($AR$3:$AR$201,$M290)&gt;0,
     COUNTIFS($AS$3:$AS$201,$M290)&gt;0,
     COUNTIFS($AT$3:$AT$201,$M290)&gt;0,
     COUNTIFS($AU$3:$AU$201,$M290)&gt;0,
     COUNTIFS($AV$3:$AV$201,$M290)&gt;0,
     COUNTIFS($AW$3:$AW$201,$M290)&gt;0
   )),
  ),
  3
 ),
"")</f>
        <v/>
      </c>
      <c r="R290" s="3" t="str" cm="1">
        <f t="array" ref="R290">IFERROR(
 INDEX(
  _xlfn._xlws.FILTER($T$2:$AW$2,
   TRANSPOSE(
    CHOOSE({1;2;3;4;5;6;7;8;9;10;11;12;13;14;15;16;17;18;19;20;21;22;23;24;25;26;27;28;29;30},
     COUNTIFS($T$3:$T$201,$M290)&gt;0,
     COUNTIFS($U$3:$U$201,$M290)&gt;0,
     COUNTIFS($V$3:$V$201,$M290)&gt;0,
     COUNTIFS($W$3:$W$201,$M290)&gt;0,
     COUNTIFS($X$3:$X$201,$M290)&gt;0,
     COUNTIFS($Y$3:$Y$201,$M290)&gt;0,
     COUNTIFS($Z$3:$Z$201,$M290)&gt;0,
     COUNTIFS($AA$3:$AA$201,$M290)&gt;0,
     COUNTIFS($AB$3:$AB$201,$M290)&gt;0,
     COUNTIFS($AC$3:$AC$201,$M290)&gt;0,
     COUNTIFS($AD$3:$AD$201,$M290)&gt;0,
     COUNTIFS($AE$3:$AE$201,$M290)&gt;0,
     COUNTIFS($AF$3:$AF$201,$M290)&gt;0,
     COUNTIFS($AG$3:$AG$201,$M290)&gt;0,
     COUNTIFS($AH$3:$AH$201,$M290)&gt;0,
     COUNTIFS($AI$3:$AI$201,$M290)&gt;0,
     COUNTIFS($AJ$3:$AJ$201,$M290)&gt;0,
     COUNTIFS($AK$3:$AK$201,$M290)&gt;0,
     COUNTIFS($AL$3:$AL$201,$M290)&gt;0,
     COUNTIFS($AM$3:$AM$201,$M290)&gt;0,
     COUNTIFS($AN$3:$AN$201,$M290)&gt;0,
     COUNTIFS($AO$3:$AO$201,$M290)&gt;0,
     COUNTIFS($AP$3:$AP$201,$M290)&gt;0,
     COUNTIFS($AQ$3:$AQ$201,$M290)&gt;0,
     COUNTIFS($AR$3:$AR$201,$M290)&gt;0,
     COUNTIFS($AS$3:$AS$201,$M290)&gt;0,
     COUNTIFS($AT$3:$AT$201,$M290)&gt;0,
     COUNTIFS($AU$3:$AU$201,$M290)&gt;0,
     COUNTIFS($AV$3:$AV$201,$M290)&gt;0,
     COUNTIFS($AW$3:$AW$201,$M290)&gt;0
   )),
  ),
  4
 ),
"")</f>
        <v/>
      </c>
    </row>
    <row r="291" spans="1:18" x14ac:dyDescent="0.25">
      <c r="A291" t="str">
        <f ca="1"/>
        <v>Thornglint Bridge</v>
      </c>
      <c r="B291" s="3" t="str" cm="1">
        <f t="array" aca="1" ref="B291" ca="1">_xlfn.ANCHORARRAY(RESUMO!C290)</f>
        <v>Modular</v>
      </c>
      <c r="C291" s="3" t="str">
        <f t="shared" ca="1" si="16"/>
        <v/>
      </c>
      <c r="N291" s="3">
        <f t="shared" si="19"/>
        <v>0</v>
      </c>
      <c r="O291" s="3" t="str">
        <f>IFERROR(
 INDEX($T$2:$AW$2,
  MATCH(TRUE,
   CHOOSE({1;2;3;4;5;6;7;8;9;10;11;12;13;14;15;16;17;18;19;20;21;22;23;24;25;26;27;28;29;30;31;32},
    COUNTIFS($T$3:$T$201,$M291)&gt;0,
    COUNTIFS($U$3:$U$201,$M291)&gt;0,
    COUNTIFS($V$3:$V$201,$M291)&gt;0,
    COUNTIFS($W$3:$W$201,$M291)&gt;0,
    COUNTIFS($X$3:$X$201,$M291)&gt;0,
    COUNTIFS($Y$3:$Y$201,$M291)&gt;0,
    COUNTIFS($Z$3:$Z$201,$M291)&gt;0,
    COUNTIFS($AA$3:$AA$201,$M291)&gt;0,
    COUNTIFS($AB$3:$AB$201,$M291)&gt;0,
    COUNTIFS($AC$3:$AC$201,$M291)&gt;0,
    COUNTIFS($AD$3:$AD$201,$M291)&gt;0,
    COUNTIFS($AE$3:$AE$201,$M291)&gt;0,
    COUNTIFS($AF$3:$AF$201,$M291)&gt;0,
    COUNTIFS($AG$3:$AG$201,$M291)&gt;0,
    COUNTIFS($AH$3:$AH$201,$M291)&gt;0,
    COUNTIFS($AI$3:$AI$201,$M291)&gt;0,
    COUNTIFS($AJ$3:$AJ$201,$M291)&gt;0,
    COUNTIFS($AK$3:$AK$201,$M291)&gt;0,
    COUNTIFS($AL$3:$AL$201,$M291)&gt;0,
    COUNTIFS($AM$3:$AM$201,$M291)&gt;0,
    COUNTIFS($AN$3:$AN$201,$M291)&gt;0,
    COUNTIFS($AO$3:$AO$201,$M291)&gt;0,
    COUNTIFS($AP$3:$AP$201,$M291)&gt;0,
    COUNTIFS($AQ$3:$AQ$201,$M291)&gt;0,
    COUNTIFS($AR$3:$AR$201,$M291)&gt;0,
    COUNTIFS($AS$3:$AS$201,$M291)&gt;0,
    COUNTIFS($AT$3:$AT$201,$M291)&gt;0,
    COUNTIFS($AU$3:$AU$201,$M291)&gt;0,
    COUNTIFS($AV$3:$AV$201,$M291)&gt;0,
    COUNTIFS($AW$3:$AW$201,$M291)&gt;0
   ),
  0)
 ),
"")</f>
        <v/>
      </c>
      <c r="P291" s="3" t="str" cm="1">
        <f t="array" ref="P291">IFERROR(
 INDEX(
  _xlfn._xlws.FILTER($T$2:$AW$2,
   TRANSPOSE(
    CHOOSE({1;2;3;4;5;6;7;8;9;10;11;12;13;14;15;16;17;18;19;20;21;22;23;24;25;26;27;28;29;30},
     COUNTIFS($T$3:$T$201,$M291)&gt;0,
     COUNTIFS($U$3:$U$201,$M291)&gt;0,
     COUNTIFS($V$3:$V$201,$M291)&gt;0,
     COUNTIFS($W$3:$W$201,$M291)&gt;0,
     COUNTIFS($X$3:$X$201,$M291)&gt;0,
     COUNTIFS($Y$3:$Y$201,$M291)&gt;0,
     COUNTIFS($Z$3:$Z$201,$M291)&gt;0,
     COUNTIFS($AA$3:$AA$201,$M291)&gt;0,
     COUNTIFS($AB$3:$AB$201,$M291)&gt;0,
     COUNTIFS($AC$3:$AC$201,$M291)&gt;0,
     COUNTIFS($AD$3:$AD$201,$M291)&gt;0,
     COUNTIFS($AE$3:$AE$201,$M291)&gt;0,
     COUNTIFS($AF$3:$AF$201,$M291)&gt;0,
     COUNTIFS($AG$3:$AG$201,$M291)&gt;0,
     COUNTIFS($AH$3:$AH$201,$M291)&gt;0,
     COUNTIFS($AI$3:$AI$201,$M291)&gt;0,
     COUNTIFS($AJ$3:$AJ$201,$M291)&gt;0,
     COUNTIFS($AK$3:$AK$201,$M291)&gt;0,
     COUNTIFS($AL$3:$AL$201,$M291)&gt;0,
     COUNTIFS($AM$3:$AM$201,$M291)&gt;0,
     COUNTIFS($AN$3:$AN$201,$M291)&gt;0,
     COUNTIFS($AO$3:$AO$201,$M291)&gt;0,
     COUNTIFS($AP$3:$AP$201,$M291)&gt;0,
     COUNTIFS($AQ$3:$AQ$201,$M291)&gt;0,
     COUNTIFS($AR$3:$AR$201,$M291)&gt;0,
     COUNTIFS($AS$3:$AS$201,$M291)&gt;0,
     COUNTIFS($AT$3:$AT$201,$M291)&gt;0,
     COUNTIFS($AU$3:$AU$201,$M291)&gt;0,
     COUNTIFS($AV$3:$AV$201,$M291)&gt;0,
     COUNTIFS($AW$3:$AW$201,$M291)&gt;0
   )),
  ),
  2
 ),
"")</f>
        <v/>
      </c>
      <c r="Q291" s="3" t="str" cm="1">
        <f t="array" ref="Q291">IFERROR(
 INDEX(
  _xlfn._xlws.FILTER($T$2:$AW$2,
   TRANSPOSE(
    CHOOSE({1;2;3;4;5;6;7;8;9;10;11;12;13;14;15;16;17;18;19;20;21;22;23;24;25;26;27;28;29;30},
     COUNTIFS($T$3:$T$201,$M291)&gt;0,
     COUNTIFS($U$3:$U$201,$M291)&gt;0,
     COUNTIFS($V$3:$V$201,$M291)&gt;0,
     COUNTIFS($W$3:$W$201,$M291)&gt;0,
     COUNTIFS($X$3:$X$201,$M291)&gt;0,
     COUNTIFS($Y$3:$Y$201,$M291)&gt;0,
     COUNTIFS($Z$3:$Z$201,$M291)&gt;0,
     COUNTIFS($AA$3:$AA$201,$M291)&gt;0,
     COUNTIFS($AB$3:$AB$201,$M291)&gt;0,
     COUNTIFS($AC$3:$AC$201,$M291)&gt;0,
     COUNTIFS($AD$3:$AD$201,$M291)&gt;0,
     COUNTIFS($AE$3:$AE$201,$M291)&gt;0,
     COUNTIFS($AF$3:$AF$201,$M291)&gt;0,
     COUNTIFS($AG$3:$AG$201,$M291)&gt;0,
     COUNTIFS($AH$3:$AH$201,$M291)&gt;0,
     COUNTIFS($AI$3:$AI$201,$M291)&gt;0,
     COUNTIFS($AJ$3:$AJ$201,$M291)&gt;0,
     COUNTIFS($AK$3:$AK$201,$M291)&gt;0,
     COUNTIFS($AL$3:$AL$201,$M291)&gt;0,
     COUNTIFS($AM$3:$AM$201,$M291)&gt;0,
     COUNTIFS($AN$3:$AN$201,$M291)&gt;0,
     COUNTIFS($AO$3:$AO$201,$M291)&gt;0,
     COUNTIFS($AP$3:$AP$201,$M291)&gt;0,
     COUNTIFS($AQ$3:$AQ$201,$M291)&gt;0,
     COUNTIFS($AR$3:$AR$201,$M291)&gt;0,
     COUNTIFS($AS$3:$AS$201,$M291)&gt;0,
     COUNTIFS($AT$3:$AT$201,$M291)&gt;0,
     COUNTIFS($AU$3:$AU$201,$M291)&gt;0,
     COUNTIFS($AV$3:$AV$201,$M291)&gt;0,
     COUNTIFS($AW$3:$AW$201,$M291)&gt;0
   )),
  ),
  3
 ),
"")</f>
        <v/>
      </c>
      <c r="R291" s="3" t="str" cm="1">
        <f t="array" ref="R291">IFERROR(
 INDEX(
  _xlfn._xlws.FILTER($T$2:$AW$2,
   TRANSPOSE(
    CHOOSE({1;2;3;4;5;6;7;8;9;10;11;12;13;14;15;16;17;18;19;20;21;22;23;24;25;26;27;28;29;30},
     COUNTIFS($T$3:$T$201,$M291)&gt;0,
     COUNTIFS($U$3:$U$201,$M291)&gt;0,
     COUNTIFS($V$3:$V$201,$M291)&gt;0,
     COUNTIFS($W$3:$W$201,$M291)&gt;0,
     COUNTIFS($X$3:$X$201,$M291)&gt;0,
     COUNTIFS($Y$3:$Y$201,$M291)&gt;0,
     COUNTIFS($Z$3:$Z$201,$M291)&gt;0,
     COUNTIFS($AA$3:$AA$201,$M291)&gt;0,
     COUNTIFS($AB$3:$AB$201,$M291)&gt;0,
     COUNTIFS($AC$3:$AC$201,$M291)&gt;0,
     COUNTIFS($AD$3:$AD$201,$M291)&gt;0,
     COUNTIFS($AE$3:$AE$201,$M291)&gt;0,
     COUNTIFS($AF$3:$AF$201,$M291)&gt;0,
     COUNTIFS($AG$3:$AG$201,$M291)&gt;0,
     COUNTIFS($AH$3:$AH$201,$M291)&gt;0,
     COUNTIFS($AI$3:$AI$201,$M291)&gt;0,
     COUNTIFS($AJ$3:$AJ$201,$M291)&gt;0,
     COUNTIFS($AK$3:$AK$201,$M291)&gt;0,
     COUNTIFS($AL$3:$AL$201,$M291)&gt;0,
     COUNTIFS($AM$3:$AM$201,$M291)&gt;0,
     COUNTIFS($AN$3:$AN$201,$M291)&gt;0,
     COUNTIFS($AO$3:$AO$201,$M291)&gt;0,
     COUNTIFS($AP$3:$AP$201,$M291)&gt;0,
     COUNTIFS($AQ$3:$AQ$201,$M291)&gt;0,
     COUNTIFS($AR$3:$AR$201,$M291)&gt;0,
     COUNTIFS($AS$3:$AS$201,$M291)&gt;0,
     COUNTIFS($AT$3:$AT$201,$M291)&gt;0,
     COUNTIFS($AU$3:$AU$201,$M291)&gt;0,
     COUNTIFS($AV$3:$AV$201,$M291)&gt;0,
     COUNTIFS($AW$3:$AW$201,$M291)&gt;0
   )),
  ),
  4
 ),
"")</f>
        <v/>
      </c>
    </row>
    <row r="292" spans="1:18" x14ac:dyDescent="0.25">
      <c r="A292" t="str">
        <f ca="1"/>
        <v>Thought Vessel</v>
      </c>
      <c r="B292" s="3" t="str" cm="1">
        <f t="array" aca="1" ref="B292" ca="1">_xlfn.ANCHORARRAY(RESUMO!C291)</f>
        <v>Rani</v>
      </c>
      <c r="C292" s="3" t="str">
        <f t="shared" ca="1" si="16"/>
        <v/>
      </c>
      <c r="N292" s="3">
        <f t="shared" si="19"/>
        <v>0</v>
      </c>
      <c r="O292" s="3" t="str">
        <f>IFERROR(
 INDEX($T$2:$AW$2,
  MATCH(TRUE,
   CHOOSE({1;2;3;4;5;6;7;8;9;10;11;12;13;14;15;16;17;18;19;20;21;22;23;24;25;26;27;28;29;30;31;32},
    COUNTIFS($T$3:$T$201,$M292)&gt;0,
    COUNTIFS($U$3:$U$201,$M292)&gt;0,
    COUNTIFS($V$3:$V$201,$M292)&gt;0,
    COUNTIFS($W$3:$W$201,$M292)&gt;0,
    COUNTIFS($X$3:$X$201,$M292)&gt;0,
    COUNTIFS($Y$3:$Y$201,$M292)&gt;0,
    COUNTIFS($Z$3:$Z$201,$M292)&gt;0,
    COUNTIFS($AA$3:$AA$201,$M292)&gt;0,
    COUNTIFS($AB$3:$AB$201,$M292)&gt;0,
    COUNTIFS($AC$3:$AC$201,$M292)&gt;0,
    COUNTIFS($AD$3:$AD$201,$M292)&gt;0,
    COUNTIFS($AE$3:$AE$201,$M292)&gt;0,
    COUNTIFS($AF$3:$AF$201,$M292)&gt;0,
    COUNTIFS($AG$3:$AG$201,$M292)&gt;0,
    COUNTIFS($AH$3:$AH$201,$M292)&gt;0,
    COUNTIFS($AI$3:$AI$201,$M292)&gt;0,
    COUNTIFS($AJ$3:$AJ$201,$M292)&gt;0,
    COUNTIFS($AK$3:$AK$201,$M292)&gt;0,
    COUNTIFS($AL$3:$AL$201,$M292)&gt;0,
    COUNTIFS($AM$3:$AM$201,$M292)&gt;0,
    COUNTIFS($AN$3:$AN$201,$M292)&gt;0,
    COUNTIFS($AO$3:$AO$201,$M292)&gt;0,
    COUNTIFS($AP$3:$AP$201,$M292)&gt;0,
    COUNTIFS($AQ$3:$AQ$201,$M292)&gt;0,
    COUNTIFS($AR$3:$AR$201,$M292)&gt;0,
    COUNTIFS($AS$3:$AS$201,$M292)&gt;0,
    COUNTIFS($AT$3:$AT$201,$M292)&gt;0,
    COUNTIFS($AU$3:$AU$201,$M292)&gt;0,
    COUNTIFS($AV$3:$AV$201,$M292)&gt;0,
    COUNTIFS($AW$3:$AW$201,$M292)&gt;0
   ),
  0)
 ),
"")</f>
        <v/>
      </c>
      <c r="P292" s="3" t="str" cm="1">
        <f t="array" ref="P292">IFERROR(
 INDEX(
  _xlfn._xlws.FILTER($T$2:$AW$2,
   TRANSPOSE(
    CHOOSE({1;2;3;4;5;6;7;8;9;10;11;12;13;14;15;16;17;18;19;20;21;22;23;24;25;26;27;28;29;30},
     COUNTIFS($T$3:$T$201,$M292)&gt;0,
     COUNTIFS($U$3:$U$201,$M292)&gt;0,
     COUNTIFS($V$3:$V$201,$M292)&gt;0,
     COUNTIFS($W$3:$W$201,$M292)&gt;0,
     COUNTIFS($X$3:$X$201,$M292)&gt;0,
     COUNTIFS($Y$3:$Y$201,$M292)&gt;0,
     COUNTIFS($Z$3:$Z$201,$M292)&gt;0,
     COUNTIFS($AA$3:$AA$201,$M292)&gt;0,
     COUNTIFS($AB$3:$AB$201,$M292)&gt;0,
     COUNTIFS($AC$3:$AC$201,$M292)&gt;0,
     COUNTIFS($AD$3:$AD$201,$M292)&gt;0,
     COUNTIFS($AE$3:$AE$201,$M292)&gt;0,
     COUNTIFS($AF$3:$AF$201,$M292)&gt;0,
     COUNTIFS($AG$3:$AG$201,$M292)&gt;0,
     COUNTIFS($AH$3:$AH$201,$M292)&gt;0,
     COUNTIFS($AI$3:$AI$201,$M292)&gt;0,
     COUNTIFS($AJ$3:$AJ$201,$M292)&gt;0,
     COUNTIFS($AK$3:$AK$201,$M292)&gt;0,
     COUNTIFS($AL$3:$AL$201,$M292)&gt;0,
     COUNTIFS($AM$3:$AM$201,$M292)&gt;0,
     COUNTIFS($AN$3:$AN$201,$M292)&gt;0,
     COUNTIFS($AO$3:$AO$201,$M292)&gt;0,
     COUNTIFS($AP$3:$AP$201,$M292)&gt;0,
     COUNTIFS($AQ$3:$AQ$201,$M292)&gt;0,
     COUNTIFS($AR$3:$AR$201,$M292)&gt;0,
     COUNTIFS($AS$3:$AS$201,$M292)&gt;0,
     COUNTIFS($AT$3:$AT$201,$M292)&gt;0,
     COUNTIFS($AU$3:$AU$201,$M292)&gt;0,
     COUNTIFS($AV$3:$AV$201,$M292)&gt;0,
     COUNTIFS($AW$3:$AW$201,$M292)&gt;0
   )),
  ),
  2
 ),
"")</f>
        <v/>
      </c>
      <c r="Q292" s="3" t="str" cm="1">
        <f t="array" ref="Q292">IFERROR(
 INDEX(
  _xlfn._xlws.FILTER($T$2:$AW$2,
   TRANSPOSE(
    CHOOSE({1;2;3;4;5;6;7;8;9;10;11;12;13;14;15;16;17;18;19;20;21;22;23;24;25;26;27;28;29;30},
     COUNTIFS($T$3:$T$201,$M292)&gt;0,
     COUNTIFS($U$3:$U$201,$M292)&gt;0,
     COUNTIFS($V$3:$V$201,$M292)&gt;0,
     COUNTIFS($W$3:$W$201,$M292)&gt;0,
     COUNTIFS($X$3:$X$201,$M292)&gt;0,
     COUNTIFS($Y$3:$Y$201,$M292)&gt;0,
     COUNTIFS($Z$3:$Z$201,$M292)&gt;0,
     COUNTIFS($AA$3:$AA$201,$M292)&gt;0,
     COUNTIFS($AB$3:$AB$201,$M292)&gt;0,
     COUNTIFS($AC$3:$AC$201,$M292)&gt;0,
     COUNTIFS($AD$3:$AD$201,$M292)&gt;0,
     COUNTIFS($AE$3:$AE$201,$M292)&gt;0,
     COUNTIFS($AF$3:$AF$201,$M292)&gt;0,
     COUNTIFS($AG$3:$AG$201,$M292)&gt;0,
     COUNTIFS($AH$3:$AH$201,$M292)&gt;0,
     COUNTIFS($AI$3:$AI$201,$M292)&gt;0,
     COUNTIFS($AJ$3:$AJ$201,$M292)&gt;0,
     COUNTIFS($AK$3:$AK$201,$M292)&gt;0,
     COUNTIFS($AL$3:$AL$201,$M292)&gt;0,
     COUNTIFS($AM$3:$AM$201,$M292)&gt;0,
     COUNTIFS($AN$3:$AN$201,$M292)&gt;0,
     COUNTIFS($AO$3:$AO$201,$M292)&gt;0,
     COUNTIFS($AP$3:$AP$201,$M292)&gt;0,
     COUNTIFS($AQ$3:$AQ$201,$M292)&gt;0,
     COUNTIFS($AR$3:$AR$201,$M292)&gt;0,
     COUNTIFS($AS$3:$AS$201,$M292)&gt;0,
     COUNTIFS($AT$3:$AT$201,$M292)&gt;0,
     COUNTIFS($AU$3:$AU$201,$M292)&gt;0,
     COUNTIFS($AV$3:$AV$201,$M292)&gt;0,
     COUNTIFS($AW$3:$AW$201,$M292)&gt;0
   )),
  ),
  3
 ),
"")</f>
        <v/>
      </c>
      <c r="R292" s="3" t="str" cm="1">
        <f t="array" ref="R292">IFERROR(
 INDEX(
  _xlfn._xlws.FILTER($T$2:$AW$2,
   TRANSPOSE(
    CHOOSE({1;2;3;4;5;6;7;8;9;10;11;12;13;14;15;16;17;18;19;20;21;22;23;24;25;26;27;28;29;30},
     COUNTIFS($T$3:$T$201,$M292)&gt;0,
     COUNTIFS($U$3:$U$201,$M292)&gt;0,
     COUNTIFS($V$3:$V$201,$M292)&gt;0,
     COUNTIFS($W$3:$W$201,$M292)&gt;0,
     COUNTIFS($X$3:$X$201,$M292)&gt;0,
     COUNTIFS($Y$3:$Y$201,$M292)&gt;0,
     COUNTIFS($Z$3:$Z$201,$M292)&gt;0,
     COUNTIFS($AA$3:$AA$201,$M292)&gt;0,
     COUNTIFS($AB$3:$AB$201,$M292)&gt;0,
     COUNTIFS($AC$3:$AC$201,$M292)&gt;0,
     COUNTIFS($AD$3:$AD$201,$M292)&gt;0,
     COUNTIFS($AE$3:$AE$201,$M292)&gt;0,
     COUNTIFS($AF$3:$AF$201,$M292)&gt;0,
     COUNTIFS($AG$3:$AG$201,$M292)&gt;0,
     COUNTIFS($AH$3:$AH$201,$M292)&gt;0,
     COUNTIFS($AI$3:$AI$201,$M292)&gt;0,
     COUNTIFS($AJ$3:$AJ$201,$M292)&gt;0,
     COUNTIFS($AK$3:$AK$201,$M292)&gt;0,
     COUNTIFS($AL$3:$AL$201,$M292)&gt;0,
     COUNTIFS($AM$3:$AM$201,$M292)&gt;0,
     COUNTIFS($AN$3:$AN$201,$M292)&gt;0,
     COUNTIFS($AO$3:$AO$201,$M292)&gt;0,
     COUNTIFS($AP$3:$AP$201,$M292)&gt;0,
     COUNTIFS($AQ$3:$AQ$201,$M292)&gt;0,
     COUNTIFS($AR$3:$AR$201,$M292)&gt;0,
     COUNTIFS($AS$3:$AS$201,$M292)&gt;0,
     COUNTIFS($AT$3:$AT$201,$M292)&gt;0,
     COUNTIFS($AU$3:$AU$201,$M292)&gt;0,
     COUNTIFS($AV$3:$AV$201,$M292)&gt;0,
     COUNTIFS($AW$3:$AW$201,$M292)&gt;0
   )),
  ),
  4
 ),
"")</f>
        <v/>
      </c>
    </row>
    <row r="293" spans="1:18" x14ac:dyDescent="0.25">
      <c r="A293" t="str">
        <f ca="1"/>
        <v>Thousand-Year Elixir</v>
      </c>
      <c r="B293" s="3" t="str" cm="1">
        <f t="array" aca="1" ref="B293" ca="1">_xlfn.ANCHORARRAY(RESUMO!C292)</f>
        <v>Zimone</v>
      </c>
      <c r="C293" s="3" t="str">
        <f t="shared" ca="1" si="16"/>
        <v/>
      </c>
      <c r="N293" s="3">
        <f t="shared" si="19"/>
        <v>0</v>
      </c>
      <c r="O293" s="3" t="str">
        <f>IFERROR(
 INDEX($T$2:$AW$2,
  MATCH(TRUE,
   CHOOSE({1;2;3;4;5;6;7;8;9;10;11;12;13;14;15;16;17;18;19;20;21;22;23;24;25;26;27;28;29;30;31;32},
    COUNTIFS($T$3:$T$201,$M293)&gt;0,
    COUNTIFS($U$3:$U$201,$M293)&gt;0,
    COUNTIFS($V$3:$V$201,$M293)&gt;0,
    COUNTIFS($W$3:$W$201,$M293)&gt;0,
    COUNTIFS($X$3:$X$201,$M293)&gt;0,
    COUNTIFS($Y$3:$Y$201,$M293)&gt;0,
    COUNTIFS($Z$3:$Z$201,$M293)&gt;0,
    COUNTIFS($AA$3:$AA$201,$M293)&gt;0,
    COUNTIFS($AB$3:$AB$201,$M293)&gt;0,
    COUNTIFS($AC$3:$AC$201,$M293)&gt;0,
    COUNTIFS($AD$3:$AD$201,$M293)&gt;0,
    COUNTIFS($AE$3:$AE$201,$M293)&gt;0,
    COUNTIFS($AF$3:$AF$201,$M293)&gt;0,
    COUNTIFS($AG$3:$AG$201,$M293)&gt;0,
    COUNTIFS($AH$3:$AH$201,$M293)&gt;0,
    COUNTIFS($AI$3:$AI$201,$M293)&gt;0,
    COUNTIFS($AJ$3:$AJ$201,$M293)&gt;0,
    COUNTIFS($AK$3:$AK$201,$M293)&gt;0,
    COUNTIFS($AL$3:$AL$201,$M293)&gt;0,
    COUNTIFS($AM$3:$AM$201,$M293)&gt;0,
    COUNTIFS($AN$3:$AN$201,$M293)&gt;0,
    COUNTIFS($AO$3:$AO$201,$M293)&gt;0,
    COUNTIFS($AP$3:$AP$201,$M293)&gt;0,
    COUNTIFS($AQ$3:$AQ$201,$M293)&gt;0,
    COUNTIFS($AR$3:$AR$201,$M293)&gt;0,
    COUNTIFS($AS$3:$AS$201,$M293)&gt;0,
    COUNTIFS($AT$3:$AT$201,$M293)&gt;0,
    COUNTIFS($AU$3:$AU$201,$M293)&gt;0,
    COUNTIFS($AV$3:$AV$201,$M293)&gt;0,
    COUNTIFS($AW$3:$AW$201,$M293)&gt;0
   ),
  0)
 ),
"")</f>
        <v/>
      </c>
      <c r="P293" s="3" t="str" cm="1">
        <f t="array" ref="P293">IFERROR(
 INDEX(
  _xlfn._xlws.FILTER($T$2:$AW$2,
   TRANSPOSE(
    CHOOSE({1;2;3;4;5;6;7;8;9;10;11;12;13;14;15;16;17;18;19;20;21;22;23;24;25;26;27;28;29;30},
     COUNTIFS($T$3:$T$201,$M293)&gt;0,
     COUNTIFS($U$3:$U$201,$M293)&gt;0,
     COUNTIFS($V$3:$V$201,$M293)&gt;0,
     COUNTIFS($W$3:$W$201,$M293)&gt;0,
     COUNTIFS($X$3:$X$201,$M293)&gt;0,
     COUNTIFS($Y$3:$Y$201,$M293)&gt;0,
     COUNTIFS($Z$3:$Z$201,$M293)&gt;0,
     COUNTIFS($AA$3:$AA$201,$M293)&gt;0,
     COUNTIFS($AB$3:$AB$201,$M293)&gt;0,
     COUNTIFS($AC$3:$AC$201,$M293)&gt;0,
     COUNTIFS($AD$3:$AD$201,$M293)&gt;0,
     COUNTIFS($AE$3:$AE$201,$M293)&gt;0,
     COUNTIFS($AF$3:$AF$201,$M293)&gt;0,
     COUNTIFS($AG$3:$AG$201,$M293)&gt;0,
     COUNTIFS($AH$3:$AH$201,$M293)&gt;0,
     COUNTIFS($AI$3:$AI$201,$M293)&gt;0,
     COUNTIFS($AJ$3:$AJ$201,$M293)&gt;0,
     COUNTIFS($AK$3:$AK$201,$M293)&gt;0,
     COUNTIFS($AL$3:$AL$201,$M293)&gt;0,
     COUNTIFS($AM$3:$AM$201,$M293)&gt;0,
     COUNTIFS($AN$3:$AN$201,$M293)&gt;0,
     COUNTIFS($AO$3:$AO$201,$M293)&gt;0,
     COUNTIFS($AP$3:$AP$201,$M293)&gt;0,
     COUNTIFS($AQ$3:$AQ$201,$M293)&gt;0,
     COUNTIFS($AR$3:$AR$201,$M293)&gt;0,
     COUNTIFS($AS$3:$AS$201,$M293)&gt;0,
     COUNTIFS($AT$3:$AT$201,$M293)&gt;0,
     COUNTIFS($AU$3:$AU$201,$M293)&gt;0,
     COUNTIFS($AV$3:$AV$201,$M293)&gt;0,
     COUNTIFS($AW$3:$AW$201,$M293)&gt;0
   )),
  ),
  2
 ),
"")</f>
        <v/>
      </c>
      <c r="Q293" s="3" t="str" cm="1">
        <f t="array" ref="Q293">IFERROR(
 INDEX(
  _xlfn._xlws.FILTER($T$2:$AW$2,
   TRANSPOSE(
    CHOOSE({1;2;3;4;5;6;7;8;9;10;11;12;13;14;15;16;17;18;19;20;21;22;23;24;25;26;27;28;29;30},
     COUNTIFS($T$3:$T$201,$M293)&gt;0,
     COUNTIFS($U$3:$U$201,$M293)&gt;0,
     COUNTIFS($V$3:$V$201,$M293)&gt;0,
     COUNTIFS($W$3:$W$201,$M293)&gt;0,
     COUNTIFS($X$3:$X$201,$M293)&gt;0,
     COUNTIFS($Y$3:$Y$201,$M293)&gt;0,
     COUNTIFS($Z$3:$Z$201,$M293)&gt;0,
     COUNTIFS($AA$3:$AA$201,$M293)&gt;0,
     COUNTIFS($AB$3:$AB$201,$M293)&gt;0,
     COUNTIFS($AC$3:$AC$201,$M293)&gt;0,
     COUNTIFS($AD$3:$AD$201,$M293)&gt;0,
     COUNTIFS($AE$3:$AE$201,$M293)&gt;0,
     COUNTIFS($AF$3:$AF$201,$M293)&gt;0,
     COUNTIFS($AG$3:$AG$201,$M293)&gt;0,
     COUNTIFS($AH$3:$AH$201,$M293)&gt;0,
     COUNTIFS($AI$3:$AI$201,$M293)&gt;0,
     COUNTIFS($AJ$3:$AJ$201,$M293)&gt;0,
     COUNTIFS($AK$3:$AK$201,$M293)&gt;0,
     COUNTIFS($AL$3:$AL$201,$M293)&gt;0,
     COUNTIFS($AM$3:$AM$201,$M293)&gt;0,
     COUNTIFS($AN$3:$AN$201,$M293)&gt;0,
     COUNTIFS($AO$3:$AO$201,$M293)&gt;0,
     COUNTIFS($AP$3:$AP$201,$M293)&gt;0,
     COUNTIFS($AQ$3:$AQ$201,$M293)&gt;0,
     COUNTIFS($AR$3:$AR$201,$M293)&gt;0,
     COUNTIFS($AS$3:$AS$201,$M293)&gt;0,
     COUNTIFS($AT$3:$AT$201,$M293)&gt;0,
     COUNTIFS($AU$3:$AU$201,$M293)&gt;0,
     COUNTIFS($AV$3:$AV$201,$M293)&gt;0,
     COUNTIFS($AW$3:$AW$201,$M293)&gt;0
   )),
  ),
  3
 ),
"")</f>
        <v/>
      </c>
      <c r="R293" s="3" t="str" cm="1">
        <f t="array" ref="R293">IFERROR(
 INDEX(
  _xlfn._xlws.FILTER($T$2:$AW$2,
   TRANSPOSE(
    CHOOSE({1;2;3;4;5;6;7;8;9;10;11;12;13;14;15;16;17;18;19;20;21;22;23;24;25;26;27;28;29;30},
     COUNTIFS($T$3:$T$201,$M293)&gt;0,
     COUNTIFS($U$3:$U$201,$M293)&gt;0,
     COUNTIFS($V$3:$V$201,$M293)&gt;0,
     COUNTIFS($W$3:$W$201,$M293)&gt;0,
     COUNTIFS($X$3:$X$201,$M293)&gt;0,
     COUNTIFS($Y$3:$Y$201,$M293)&gt;0,
     COUNTIFS($Z$3:$Z$201,$M293)&gt;0,
     COUNTIFS($AA$3:$AA$201,$M293)&gt;0,
     COUNTIFS($AB$3:$AB$201,$M293)&gt;0,
     COUNTIFS($AC$3:$AC$201,$M293)&gt;0,
     COUNTIFS($AD$3:$AD$201,$M293)&gt;0,
     COUNTIFS($AE$3:$AE$201,$M293)&gt;0,
     COUNTIFS($AF$3:$AF$201,$M293)&gt;0,
     COUNTIFS($AG$3:$AG$201,$M293)&gt;0,
     COUNTIFS($AH$3:$AH$201,$M293)&gt;0,
     COUNTIFS($AI$3:$AI$201,$M293)&gt;0,
     COUNTIFS($AJ$3:$AJ$201,$M293)&gt;0,
     COUNTIFS($AK$3:$AK$201,$M293)&gt;0,
     COUNTIFS($AL$3:$AL$201,$M293)&gt;0,
     COUNTIFS($AM$3:$AM$201,$M293)&gt;0,
     COUNTIFS($AN$3:$AN$201,$M293)&gt;0,
     COUNTIFS($AO$3:$AO$201,$M293)&gt;0,
     COUNTIFS($AP$3:$AP$201,$M293)&gt;0,
     COUNTIFS($AQ$3:$AQ$201,$M293)&gt;0,
     COUNTIFS($AR$3:$AR$201,$M293)&gt;0,
     COUNTIFS($AS$3:$AS$201,$M293)&gt;0,
     COUNTIFS($AT$3:$AT$201,$M293)&gt;0,
     COUNTIFS($AU$3:$AU$201,$M293)&gt;0,
     COUNTIFS($AV$3:$AV$201,$M293)&gt;0,
     COUNTIFS($AW$3:$AW$201,$M293)&gt;0
   )),
  ),
  4
 ),
"")</f>
        <v/>
      </c>
    </row>
    <row r="294" spans="1:18" x14ac:dyDescent="0.25">
      <c r="A294" t="str">
        <f ca="1"/>
        <v>Thran Dynamo</v>
      </c>
      <c r="B294" s="3" t="str" cm="1">
        <f t="array" aca="1" ref="B294" ca="1">_xlfn.ANCHORARRAY(RESUMO!C293)</f>
        <v>JhoiraB</v>
      </c>
      <c r="C294" s="3" t="str">
        <f t="shared" ca="1" si="16"/>
        <v/>
      </c>
      <c r="N294" s="3">
        <f t="shared" si="19"/>
        <v>0</v>
      </c>
      <c r="O294" s="3" t="str">
        <f>IFERROR(
 INDEX($T$2:$AW$2,
  MATCH(TRUE,
   CHOOSE({1;2;3;4;5;6;7;8;9;10;11;12;13;14;15;16;17;18;19;20;21;22;23;24;25;26;27;28;29;30;31;32},
    COUNTIFS($T$3:$T$201,$M294)&gt;0,
    COUNTIFS($U$3:$U$201,$M294)&gt;0,
    COUNTIFS($V$3:$V$201,$M294)&gt;0,
    COUNTIFS($W$3:$W$201,$M294)&gt;0,
    COUNTIFS($X$3:$X$201,$M294)&gt;0,
    COUNTIFS($Y$3:$Y$201,$M294)&gt;0,
    COUNTIFS($Z$3:$Z$201,$M294)&gt;0,
    COUNTIFS($AA$3:$AA$201,$M294)&gt;0,
    COUNTIFS($AB$3:$AB$201,$M294)&gt;0,
    COUNTIFS($AC$3:$AC$201,$M294)&gt;0,
    COUNTIFS($AD$3:$AD$201,$M294)&gt;0,
    COUNTIFS($AE$3:$AE$201,$M294)&gt;0,
    COUNTIFS($AF$3:$AF$201,$M294)&gt;0,
    COUNTIFS($AG$3:$AG$201,$M294)&gt;0,
    COUNTIFS($AH$3:$AH$201,$M294)&gt;0,
    COUNTIFS($AI$3:$AI$201,$M294)&gt;0,
    COUNTIFS($AJ$3:$AJ$201,$M294)&gt;0,
    COUNTIFS($AK$3:$AK$201,$M294)&gt;0,
    COUNTIFS($AL$3:$AL$201,$M294)&gt;0,
    COUNTIFS($AM$3:$AM$201,$M294)&gt;0,
    COUNTIFS($AN$3:$AN$201,$M294)&gt;0,
    COUNTIFS($AO$3:$AO$201,$M294)&gt;0,
    COUNTIFS($AP$3:$AP$201,$M294)&gt;0,
    COUNTIFS($AQ$3:$AQ$201,$M294)&gt;0,
    COUNTIFS($AR$3:$AR$201,$M294)&gt;0,
    COUNTIFS($AS$3:$AS$201,$M294)&gt;0,
    COUNTIFS($AT$3:$AT$201,$M294)&gt;0,
    COUNTIFS($AU$3:$AU$201,$M294)&gt;0,
    COUNTIFS($AV$3:$AV$201,$M294)&gt;0,
    COUNTIFS($AW$3:$AW$201,$M294)&gt;0
   ),
  0)
 ),
"")</f>
        <v/>
      </c>
      <c r="P294" s="3" t="str" cm="1">
        <f t="array" ref="P294">IFERROR(
 INDEX(
  _xlfn._xlws.FILTER($T$2:$AW$2,
   TRANSPOSE(
    CHOOSE({1;2;3;4;5;6;7;8;9;10;11;12;13;14;15;16;17;18;19;20;21;22;23;24;25;26;27;28;29;30},
     COUNTIFS($T$3:$T$201,$M294)&gt;0,
     COUNTIFS($U$3:$U$201,$M294)&gt;0,
     COUNTIFS($V$3:$V$201,$M294)&gt;0,
     COUNTIFS($W$3:$W$201,$M294)&gt;0,
     COUNTIFS($X$3:$X$201,$M294)&gt;0,
     COUNTIFS($Y$3:$Y$201,$M294)&gt;0,
     COUNTIFS($Z$3:$Z$201,$M294)&gt;0,
     COUNTIFS($AA$3:$AA$201,$M294)&gt;0,
     COUNTIFS($AB$3:$AB$201,$M294)&gt;0,
     COUNTIFS($AC$3:$AC$201,$M294)&gt;0,
     COUNTIFS($AD$3:$AD$201,$M294)&gt;0,
     COUNTIFS($AE$3:$AE$201,$M294)&gt;0,
     COUNTIFS($AF$3:$AF$201,$M294)&gt;0,
     COUNTIFS($AG$3:$AG$201,$M294)&gt;0,
     COUNTIFS($AH$3:$AH$201,$M294)&gt;0,
     COUNTIFS($AI$3:$AI$201,$M294)&gt;0,
     COUNTIFS($AJ$3:$AJ$201,$M294)&gt;0,
     COUNTIFS($AK$3:$AK$201,$M294)&gt;0,
     COUNTIFS($AL$3:$AL$201,$M294)&gt;0,
     COUNTIFS($AM$3:$AM$201,$M294)&gt;0,
     COUNTIFS($AN$3:$AN$201,$M294)&gt;0,
     COUNTIFS($AO$3:$AO$201,$M294)&gt;0,
     COUNTIFS($AP$3:$AP$201,$M294)&gt;0,
     COUNTIFS($AQ$3:$AQ$201,$M294)&gt;0,
     COUNTIFS($AR$3:$AR$201,$M294)&gt;0,
     COUNTIFS($AS$3:$AS$201,$M294)&gt;0,
     COUNTIFS($AT$3:$AT$201,$M294)&gt;0,
     COUNTIFS($AU$3:$AU$201,$M294)&gt;0,
     COUNTIFS($AV$3:$AV$201,$M294)&gt;0,
     COUNTIFS($AW$3:$AW$201,$M294)&gt;0
   )),
  ),
  2
 ),
"")</f>
        <v/>
      </c>
      <c r="Q294" s="3" t="str" cm="1">
        <f t="array" ref="Q294">IFERROR(
 INDEX(
  _xlfn._xlws.FILTER($T$2:$AW$2,
   TRANSPOSE(
    CHOOSE({1;2;3;4;5;6;7;8;9;10;11;12;13;14;15;16;17;18;19;20;21;22;23;24;25;26;27;28;29;30},
     COUNTIFS($T$3:$T$201,$M294)&gt;0,
     COUNTIFS($U$3:$U$201,$M294)&gt;0,
     COUNTIFS($V$3:$V$201,$M294)&gt;0,
     COUNTIFS($W$3:$W$201,$M294)&gt;0,
     COUNTIFS($X$3:$X$201,$M294)&gt;0,
     COUNTIFS($Y$3:$Y$201,$M294)&gt;0,
     COUNTIFS($Z$3:$Z$201,$M294)&gt;0,
     COUNTIFS($AA$3:$AA$201,$M294)&gt;0,
     COUNTIFS($AB$3:$AB$201,$M294)&gt;0,
     COUNTIFS($AC$3:$AC$201,$M294)&gt;0,
     COUNTIFS($AD$3:$AD$201,$M294)&gt;0,
     COUNTIFS($AE$3:$AE$201,$M294)&gt;0,
     COUNTIFS($AF$3:$AF$201,$M294)&gt;0,
     COUNTIFS($AG$3:$AG$201,$M294)&gt;0,
     COUNTIFS($AH$3:$AH$201,$M294)&gt;0,
     COUNTIFS($AI$3:$AI$201,$M294)&gt;0,
     COUNTIFS($AJ$3:$AJ$201,$M294)&gt;0,
     COUNTIFS($AK$3:$AK$201,$M294)&gt;0,
     COUNTIFS($AL$3:$AL$201,$M294)&gt;0,
     COUNTIFS($AM$3:$AM$201,$M294)&gt;0,
     COUNTIFS($AN$3:$AN$201,$M294)&gt;0,
     COUNTIFS($AO$3:$AO$201,$M294)&gt;0,
     COUNTIFS($AP$3:$AP$201,$M294)&gt;0,
     COUNTIFS($AQ$3:$AQ$201,$M294)&gt;0,
     COUNTIFS($AR$3:$AR$201,$M294)&gt;0,
     COUNTIFS($AS$3:$AS$201,$M294)&gt;0,
     COUNTIFS($AT$3:$AT$201,$M294)&gt;0,
     COUNTIFS($AU$3:$AU$201,$M294)&gt;0,
     COUNTIFS($AV$3:$AV$201,$M294)&gt;0,
     COUNTIFS($AW$3:$AW$201,$M294)&gt;0
   )),
  ),
  3
 ),
"")</f>
        <v/>
      </c>
      <c r="R294" s="3" t="str" cm="1">
        <f t="array" ref="R294">IFERROR(
 INDEX(
  _xlfn._xlws.FILTER($T$2:$AW$2,
   TRANSPOSE(
    CHOOSE({1;2;3;4;5;6;7;8;9;10;11;12;13;14;15;16;17;18;19;20;21;22;23;24;25;26;27;28;29;30},
     COUNTIFS($T$3:$T$201,$M294)&gt;0,
     COUNTIFS($U$3:$U$201,$M294)&gt;0,
     COUNTIFS($V$3:$V$201,$M294)&gt;0,
     COUNTIFS($W$3:$W$201,$M294)&gt;0,
     COUNTIFS($X$3:$X$201,$M294)&gt;0,
     COUNTIFS($Y$3:$Y$201,$M294)&gt;0,
     COUNTIFS($Z$3:$Z$201,$M294)&gt;0,
     COUNTIFS($AA$3:$AA$201,$M294)&gt;0,
     COUNTIFS($AB$3:$AB$201,$M294)&gt;0,
     COUNTIFS($AC$3:$AC$201,$M294)&gt;0,
     COUNTIFS($AD$3:$AD$201,$M294)&gt;0,
     COUNTIFS($AE$3:$AE$201,$M294)&gt;0,
     COUNTIFS($AF$3:$AF$201,$M294)&gt;0,
     COUNTIFS($AG$3:$AG$201,$M294)&gt;0,
     COUNTIFS($AH$3:$AH$201,$M294)&gt;0,
     COUNTIFS($AI$3:$AI$201,$M294)&gt;0,
     COUNTIFS($AJ$3:$AJ$201,$M294)&gt;0,
     COUNTIFS($AK$3:$AK$201,$M294)&gt;0,
     COUNTIFS($AL$3:$AL$201,$M294)&gt;0,
     COUNTIFS($AM$3:$AM$201,$M294)&gt;0,
     COUNTIFS($AN$3:$AN$201,$M294)&gt;0,
     COUNTIFS($AO$3:$AO$201,$M294)&gt;0,
     COUNTIFS($AP$3:$AP$201,$M294)&gt;0,
     COUNTIFS($AQ$3:$AQ$201,$M294)&gt;0,
     COUNTIFS($AR$3:$AR$201,$M294)&gt;0,
     COUNTIFS($AS$3:$AS$201,$M294)&gt;0,
     COUNTIFS($AT$3:$AT$201,$M294)&gt;0,
     COUNTIFS($AU$3:$AU$201,$M294)&gt;0,
     COUNTIFS($AV$3:$AV$201,$M294)&gt;0,
     COUNTIFS($AW$3:$AW$201,$M294)&gt;0
   )),
  ),
  4
 ),
"")</f>
        <v/>
      </c>
    </row>
    <row r="295" spans="1:18" x14ac:dyDescent="0.25">
      <c r="A295" t="str">
        <f ca="1"/>
        <v>Three Tree City</v>
      </c>
      <c r="B295" s="3" t="str" cm="1">
        <f t="array" aca="1" ref="B295" ca="1">_xlfn.ANCHORARRAY(RESUMO!C294)</f>
        <v>Elfos</v>
      </c>
      <c r="C295" s="3" t="str">
        <f t="shared" ca="1" si="16"/>
        <v/>
      </c>
      <c r="N295" s="3">
        <f t="shared" si="19"/>
        <v>0</v>
      </c>
      <c r="O295" s="3" t="str">
        <f>IFERROR(
 INDEX($T$2:$AW$2,
  MATCH(TRUE,
   CHOOSE({1;2;3;4;5;6;7;8;9;10;11;12;13;14;15;16;17;18;19;20;21;22;23;24;25;26;27;28;29;30;31;32},
    COUNTIFS($T$3:$T$201,$M295)&gt;0,
    COUNTIFS($U$3:$U$201,$M295)&gt;0,
    COUNTIFS($V$3:$V$201,$M295)&gt;0,
    COUNTIFS($W$3:$W$201,$M295)&gt;0,
    COUNTIFS($X$3:$X$201,$M295)&gt;0,
    COUNTIFS($Y$3:$Y$201,$M295)&gt;0,
    COUNTIFS($Z$3:$Z$201,$M295)&gt;0,
    COUNTIFS($AA$3:$AA$201,$M295)&gt;0,
    COUNTIFS($AB$3:$AB$201,$M295)&gt;0,
    COUNTIFS($AC$3:$AC$201,$M295)&gt;0,
    COUNTIFS($AD$3:$AD$201,$M295)&gt;0,
    COUNTIFS($AE$3:$AE$201,$M295)&gt;0,
    COUNTIFS($AF$3:$AF$201,$M295)&gt;0,
    COUNTIFS($AG$3:$AG$201,$M295)&gt;0,
    COUNTIFS($AH$3:$AH$201,$M295)&gt;0,
    COUNTIFS($AI$3:$AI$201,$M295)&gt;0,
    COUNTIFS($AJ$3:$AJ$201,$M295)&gt;0,
    COUNTIFS($AK$3:$AK$201,$M295)&gt;0,
    COUNTIFS($AL$3:$AL$201,$M295)&gt;0,
    COUNTIFS($AM$3:$AM$201,$M295)&gt;0,
    COUNTIFS($AN$3:$AN$201,$M295)&gt;0,
    COUNTIFS($AO$3:$AO$201,$M295)&gt;0,
    COUNTIFS($AP$3:$AP$201,$M295)&gt;0,
    COUNTIFS($AQ$3:$AQ$201,$M295)&gt;0,
    COUNTIFS($AR$3:$AR$201,$M295)&gt;0,
    COUNTIFS($AS$3:$AS$201,$M295)&gt;0,
    COUNTIFS($AT$3:$AT$201,$M295)&gt;0,
    COUNTIFS($AU$3:$AU$201,$M295)&gt;0,
    COUNTIFS($AV$3:$AV$201,$M295)&gt;0,
    COUNTIFS($AW$3:$AW$201,$M295)&gt;0
   ),
  0)
 ),
"")</f>
        <v/>
      </c>
      <c r="P295" s="3" t="str" cm="1">
        <f t="array" ref="P295">IFERROR(
 INDEX(
  _xlfn._xlws.FILTER($T$2:$AW$2,
   TRANSPOSE(
    CHOOSE({1;2;3;4;5;6;7;8;9;10;11;12;13;14;15;16;17;18;19;20;21;22;23;24;25;26;27;28;29;30},
     COUNTIFS($T$3:$T$201,$M295)&gt;0,
     COUNTIFS($U$3:$U$201,$M295)&gt;0,
     COUNTIFS($V$3:$V$201,$M295)&gt;0,
     COUNTIFS($W$3:$W$201,$M295)&gt;0,
     COUNTIFS($X$3:$X$201,$M295)&gt;0,
     COUNTIFS($Y$3:$Y$201,$M295)&gt;0,
     COUNTIFS($Z$3:$Z$201,$M295)&gt;0,
     COUNTIFS($AA$3:$AA$201,$M295)&gt;0,
     COUNTIFS($AB$3:$AB$201,$M295)&gt;0,
     COUNTIFS($AC$3:$AC$201,$M295)&gt;0,
     COUNTIFS($AD$3:$AD$201,$M295)&gt;0,
     COUNTIFS($AE$3:$AE$201,$M295)&gt;0,
     COUNTIFS($AF$3:$AF$201,$M295)&gt;0,
     COUNTIFS($AG$3:$AG$201,$M295)&gt;0,
     COUNTIFS($AH$3:$AH$201,$M295)&gt;0,
     COUNTIFS($AI$3:$AI$201,$M295)&gt;0,
     COUNTIFS($AJ$3:$AJ$201,$M295)&gt;0,
     COUNTIFS($AK$3:$AK$201,$M295)&gt;0,
     COUNTIFS($AL$3:$AL$201,$M295)&gt;0,
     COUNTIFS($AM$3:$AM$201,$M295)&gt;0,
     COUNTIFS($AN$3:$AN$201,$M295)&gt;0,
     COUNTIFS($AO$3:$AO$201,$M295)&gt;0,
     COUNTIFS($AP$3:$AP$201,$M295)&gt;0,
     COUNTIFS($AQ$3:$AQ$201,$M295)&gt;0,
     COUNTIFS($AR$3:$AR$201,$M295)&gt;0,
     COUNTIFS($AS$3:$AS$201,$M295)&gt;0,
     COUNTIFS($AT$3:$AT$201,$M295)&gt;0,
     COUNTIFS($AU$3:$AU$201,$M295)&gt;0,
     COUNTIFS($AV$3:$AV$201,$M295)&gt;0,
     COUNTIFS($AW$3:$AW$201,$M295)&gt;0
   )),
  ),
  2
 ),
"")</f>
        <v/>
      </c>
      <c r="Q295" s="3" t="str" cm="1">
        <f t="array" ref="Q295">IFERROR(
 INDEX(
  _xlfn._xlws.FILTER($T$2:$AW$2,
   TRANSPOSE(
    CHOOSE({1;2;3;4;5;6;7;8;9;10;11;12;13;14;15;16;17;18;19;20;21;22;23;24;25;26;27;28;29;30},
     COUNTIFS($T$3:$T$201,$M295)&gt;0,
     COUNTIFS($U$3:$U$201,$M295)&gt;0,
     COUNTIFS($V$3:$V$201,$M295)&gt;0,
     COUNTIFS($W$3:$W$201,$M295)&gt;0,
     COUNTIFS($X$3:$X$201,$M295)&gt;0,
     COUNTIFS($Y$3:$Y$201,$M295)&gt;0,
     COUNTIFS($Z$3:$Z$201,$M295)&gt;0,
     COUNTIFS($AA$3:$AA$201,$M295)&gt;0,
     COUNTIFS($AB$3:$AB$201,$M295)&gt;0,
     COUNTIFS($AC$3:$AC$201,$M295)&gt;0,
     COUNTIFS($AD$3:$AD$201,$M295)&gt;0,
     COUNTIFS($AE$3:$AE$201,$M295)&gt;0,
     COUNTIFS($AF$3:$AF$201,$M295)&gt;0,
     COUNTIFS($AG$3:$AG$201,$M295)&gt;0,
     COUNTIFS($AH$3:$AH$201,$M295)&gt;0,
     COUNTIFS($AI$3:$AI$201,$M295)&gt;0,
     COUNTIFS($AJ$3:$AJ$201,$M295)&gt;0,
     COUNTIFS($AK$3:$AK$201,$M295)&gt;0,
     COUNTIFS($AL$3:$AL$201,$M295)&gt;0,
     COUNTIFS($AM$3:$AM$201,$M295)&gt;0,
     COUNTIFS($AN$3:$AN$201,$M295)&gt;0,
     COUNTIFS($AO$3:$AO$201,$M295)&gt;0,
     COUNTIFS($AP$3:$AP$201,$M295)&gt;0,
     COUNTIFS($AQ$3:$AQ$201,$M295)&gt;0,
     COUNTIFS($AR$3:$AR$201,$M295)&gt;0,
     COUNTIFS($AS$3:$AS$201,$M295)&gt;0,
     COUNTIFS($AT$3:$AT$201,$M295)&gt;0,
     COUNTIFS($AU$3:$AU$201,$M295)&gt;0,
     COUNTIFS($AV$3:$AV$201,$M295)&gt;0,
     COUNTIFS($AW$3:$AW$201,$M295)&gt;0
   )),
  ),
  3
 ),
"")</f>
        <v/>
      </c>
      <c r="R295" s="3" t="str" cm="1">
        <f t="array" ref="R295">IFERROR(
 INDEX(
  _xlfn._xlws.FILTER($T$2:$AW$2,
   TRANSPOSE(
    CHOOSE({1;2;3;4;5;6;7;8;9;10;11;12;13;14;15;16;17;18;19;20;21;22;23;24;25;26;27;28;29;30},
     COUNTIFS($T$3:$T$201,$M295)&gt;0,
     COUNTIFS($U$3:$U$201,$M295)&gt;0,
     COUNTIFS($V$3:$V$201,$M295)&gt;0,
     COUNTIFS($W$3:$W$201,$M295)&gt;0,
     COUNTIFS($X$3:$X$201,$M295)&gt;0,
     COUNTIFS($Y$3:$Y$201,$M295)&gt;0,
     COUNTIFS($Z$3:$Z$201,$M295)&gt;0,
     COUNTIFS($AA$3:$AA$201,$M295)&gt;0,
     COUNTIFS($AB$3:$AB$201,$M295)&gt;0,
     COUNTIFS($AC$3:$AC$201,$M295)&gt;0,
     COUNTIFS($AD$3:$AD$201,$M295)&gt;0,
     COUNTIFS($AE$3:$AE$201,$M295)&gt;0,
     COUNTIFS($AF$3:$AF$201,$M295)&gt;0,
     COUNTIFS($AG$3:$AG$201,$M295)&gt;0,
     COUNTIFS($AH$3:$AH$201,$M295)&gt;0,
     COUNTIFS($AI$3:$AI$201,$M295)&gt;0,
     COUNTIFS($AJ$3:$AJ$201,$M295)&gt;0,
     COUNTIFS($AK$3:$AK$201,$M295)&gt;0,
     COUNTIFS($AL$3:$AL$201,$M295)&gt;0,
     COUNTIFS($AM$3:$AM$201,$M295)&gt;0,
     COUNTIFS($AN$3:$AN$201,$M295)&gt;0,
     COUNTIFS($AO$3:$AO$201,$M295)&gt;0,
     COUNTIFS($AP$3:$AP$201,$M295)&gt;0,
     COUNTIFS($AQ$3:$AQ$201,$M295)&gt;0,
     COUNTIFS($AR$3:$AR$201,$M295)&gt;0,
     COUNTIFS($AS$3:$AS$201,$M295)&gt;0,
     COUNTIFS($AT$3:$AT$201,$M295)&gt;0,
     COUNTIFS($AU$3:$AU$201,$M295)&gt;0,
     COUNTIFS($AV$3:$AV$201,$M295)&gt;0,
     COUNTIFS($AW$3:$AW$201,$M295)&gt;0
   )),
  ),
  4
 ),
"")</f>
        <v/>
      </c>
    </row>
    <row r="296" spans="1:18" x14ac:dyDescent="0.25">
      <c r="A296" t="str">
        <f ca="1"/>
        <v>Three Visits</v>
      </c>
      <c r="B296" s="3" t="str" cm="1">
        <f t="array" aca="1" ref="B296" ca="1">_xlfn.ANCHORARRAY(RESUMO!C295)</f>
        <v>Zimone</v>
      </c>
      <c r="C296" s="3" t="str">
        <f t="shared" ca="1" si="16"/>
        <v/>
      </c>
      <c r="N296" s="3">
        <f t="shared" si="19"/>
        <v>0</v>
      </c>
      <c r="O296" s="3" t="str">
        <f>IFERROR(
 INDEX($T$2:$AW$2,
  MATCH(TRUE,
   CHOOSE({1;2;3;4;5;6;7;8;9;10;11;12;13;14;15;16;17;18;19;20;21;22;23;24;25;26;27;28;29;30;31;32},
    COUNTIFS($T$3:$T$201,$M296)&gt;0,
    COUNTIFS($U$3:$U$201,$M296)&gt;0,
    COUNTIFS($V$3:$V$201,$M296)&gt;0,
    COUNTIFS($W$3:$W$201,$M296)&gt;0,
    COUNTIFS($X$3:$X$201,$M296)&gt;0,
    COUNTIFS($Y$3:$Y$201,$M296)&gt;0,
    COUNTIFS($Z$3:$Z$201,$M296)&gt;0,
    COUNTIFS($AA$3:$AA$201,$M296)&gt;0,
    COUNTIFS($AB$3:$AB$201,$M296)&gt;0,
    COUNTIFS($AC$3:$AC$201,$M296)&gt;0,
    COUNTIFS($AD$3:$AD$201,$M296)&gt;0,
    COUNTIFS($AE$3:$AE$201,$M296)&gt;0,
    COUNTIFS($AF$3:$AF$201,$M296)&gt;0,
    COUNTIFS($AG$3:$AG$201,$M296)&gt;0,
    COUNTIFS($AH$3:$AH$201,$M296)&gt;0,
    COUNTIFS($AI$3:$AI$201,$M296)&gt;0,
    COUNTIFS($AJ$3:$AJ$201,$M296)&gt;0,
    COUNTIFS($AK$3:$AK$201,$M296)&gt;0,
    COUNTIFS($AL$3:$AL$201,$M296)&gt;0,
    COUNTIFS($AM$3:$AM$201,$M296)&gt;0,
    COUNTIFS($AN$3:$AN$201,$M296)&gt;0,
    COUNTIFS($AO$3:$AO$201,$M296)&gt;0,
    COUNTIFS($AP$3:$AP$201,$M296)&gt;0,
    COUNTIFS($AQ$3:$AQ$201,$M296)&gt;0,
    COUNTIFS($AR$3:$AR$201,$M296)&gt;0,
    COUNTIFS($AS$3:$AS$201,$M296)&gt;0,
    COUNTIFS($AT$3:$AT$201,$M296)&gt;0,
    COUNTIFS($AU$3:$AU$201,$M296)&gt;0,
    COUNTIFS($AV$3:$AV$201,$M296)&gt;0,
    COUNTIFS($AW$3:$AW$201,$M296)&gt;0
   ),
  0)
 ),
"")</f>
        <v/>
      </c>
      <c r="P296" s="3" t="str" cm="1">
        <f t="array" ref="P296">IFERROR(
 INDEX(
  _xlfn._xlws.FILTER($T$2:$AW$2,
   TRANSPOSE(
    CHOOSE({1;2;3;4;5;6;7;8;9;10;11;12;13;14;15;16;17;18;19;20;21;22;23;24;25;26;27;28;29;30},
     COUNTIFS($T$3:$T$201,$M296)&gt;0,
     COUNTIFS($U$3:$U$201,$M296)&gt;0,
     COUNTIFS($V$3:$V$201,$M296)&gt;0,
     COUNTIFS($W$3:$W$201,$M296)&gt;0,
     COUNTIFS($X$3:$X$201,$M296)&gt;0,
     COUNTIFS($Y$3:$Y$201,$M296)&gt;0,
     COUNTIFS($Z$3:$Z$201,$M296)&gt;0,
     COUNTIFS($AA$3:$AA$201,$M296)&gt;0,
     COUNTIFS($AB$3:$AB$201,$M296)&gt;0,
     COUNTIFS($AC$3:$AC$201,$M296)&gt;0,
     COUNTIFS($AD$3:$AD$201,$M296)&gt;0,
     COUNTIFS($AE$3:$AE$201,$M296)&gt;0,
     COUNTIFS($AF$3:$AF$201,$M296)&gt;0,
     COUNTIFS($AG$3:$AG$201,$M296)&gt;0,
     COUNTIFS($AH$3:$AH$201,$M296)&gt;0,
     COUNTIFS($AI$3:$AI$201,$M296)&gt;0,
     COUNTIFS($AJ$3:$AJ$201,$M296)&gt;0,
     COUNTIFS($AK$3:$AK$201,$M296)&gt;0,
     COUNTIFS($AL$3:$AL$201,$M296)&gt;0,
     COUNTIFS($AM$3:$AM$201,$M296)&gt;0,
     COUNTIFS($AN$3:$AN$201,$M296)&gt;0,
     COUNTIFS($AO$3:$AO$201,$M296)&gt;0,
     COUNTIFS($AP$3:$AP$201,$M296)&gt;0,
     COUNTIFS($AQ$3:$AQ$201,$M296)&gt;0,
     COUNTIFS($AR$3:$AR$201,$M296)&gt;0,
     COUNTIFS($AS$3:$AS$201,$M296)&gt;0,
     COUNTIFS($AT$3:$AT$201,$M296)&gt;0,
     COUNTIFS($AU$3:$AU$201,$M296)&gt;0,
     COUNTIFS($AV$3:$AV$201,$M296)&gt;0,
     COUNTIFS($AW$3:$AW$201,$M296)&gt;0
   )),
  ),
  2
 ),
"")</f>
        <v/>
      </c>
      <c r="Q296" s="3" t="str" cm="1">
        <f t="array" ref="Q296">IFERROR(
 INDEX(
  _xlfn._xlws.FILTER($T$2:$AW$2,
   TRANSPOSE(
    CHOOSE({1;2;3;4;5;6;7;8;9;10;11;12;13;14;15;16;17;18;19;20;21;22;23;24;25;26;27;28;29;30},
     COUNTIFS($T$3:$T$201,$M296)&gt;0,
     COUNTIFS($U$3:$U$201,$M296)&gt;0,
     COUNTIFS($V$3:$V$201,$M296)&gt;0,
     COUNTIFS($W$3:$W$201,$M296)&gt;0,
     COUNTIFS($X$3:$X$201,$M296)&gt;0,
     COUNTIFS($Y$3:$Y$201,$M296)&gt;0,
     COUNTIFS($Z$3:$Z$201,$M296)&gt;0,
     COUNTIFS($AA$3:$AA$201,$M296)&gt;0,
     COUNTIFS($AB$3:$AB$201,$M296)&gt;0,
     COUNTIFS($AC$3:$AC$201,$M296)&gt;0,
     COUNTIFS($AD$3:$AD$201,$M296)&gt;0,
     COUNTIFS($AE$3:$AE$201,$M296)&gt;0,
     COUNTIFS($AF$3:$AF$201,$M296)&gt;0,
     COUNTIFS($AG$3:$AG$201,$M296)&gt;0,
     COUNTIFS($AH$3:$AH$201,$M296)&gt;0,
     COUNTIFS($AI$3:$AI$201,$M296)&gt;0,
     COUNTIFS($AJ$3:$AJ$201,$M296)&gt;0,
     COUNTIFS($AK$3:$AK$201,$M296)&gt;0,
     COUNTIFS($AL$3:$AL$201,$M296)&gt;0,
     COUNTIFS($AM$3:$AM$201,$M296)&gt;0,
     COUNTIFS($AN$3:$AN$201,$M296)&gt;0,
     COUNTIFS($AO$3:$AO$201,$M296)&gt;0,
     COUNTIFS($AP$3:$AP$201,$M296)&gt;0,
     COUNTIFS($AQ$3:$AQ$201,$M296)&gt;0,
     COUNTIFS($AR$3:$AR$201,$M296)&gt;0,
     COUNTIFS($AS$3:$AS$201,$M296)&gt;0,
     COUNTIFS($AT$3:$AT$201,$M296)&gt;0,
     COUNTIFS($AU$3:$AU$201,$M296)&gt;0,
     COUNTIFS($AV$3:$AV$201,$M296)&gt;0,
     COUNTIFS($AW$3:$AW$201,$M296)&gt;0
   )),
  ),
  3
 ),
"")</f>
        <v/>
      </c>
      <c r="R296" s="3" t="str" cm="1">
        <f t="array" ref="R296">IFERROR(
 INDEX(
  _xlfn._xlws.FILTER($T$2:$AW$2,
   TRANSPOSE(
    CHOOSE({1;2;3;4;5;6;7;8;9;10;11;12;13;14;15;16;17;18;19;20;21;22;23;24;25;26;27;28;29;30},
     COUNTIFS($T$3:$T$201,$M296)&gt;0,
     COUNTIFS($U$3:$U$201,$M296)&gt;0,
     COUNTIFS($V$3:$V$201,$M296)&gt;0,
     COUNTIFS($W$3:$W$201,$M296)&gt;0,
     COUNTIFS($X$3:$X$201,$M296)&gt;0,
     COUNTIFS($Y$3:$Y$201,$M296)&gt;0,
     COUNTIFS($Z$3:$Z$201,$M296)&gt;0,
     COUNTIFS($AA$3:$AA$201,$M296)&gt;0,
     COUNTIFS($AB$3:$AB$201,$M296)&gt;0,
     COUNTIFS($AC$3:$AC$201,$M296)&gt;0,
     COUNTIFS($AD$3:$AD$201,$M296)&gt;0,
     COUNTIFS($AE$3:$AE$201,$M296)&gt;0,
     COUNTIFS($AF$3:$AF$201,$M296)&gt;0,
     COUNTIFS($AG$3:$AG$201,$M296)&gt;0,
     COUNTIFS($AH$3:$AH$201,$M296)&gt;0,
     COUNTIFS($AI$3:$AI$201,$M296)&gt;0,
     COUNTIFS($AJ$3:$AJ$201,$M296)&gt;0,
     COUNTIFS($AK$3:$AK$201,$M296)&gt;0,
     COUNTIFS($AL$3:$AL$201,$M296)&gt;0,
     COUNTIFS($AM$3:$AM$201,$M296)&gt;0,
     COUNTIFS($AN$3:$AN$201,$M296)&gt;0,
     COUNTIFS($AO$3:$AO$201,$M296)&gt;0,
     COUNTIFS($AP$3:$AP$201,$M296)&gt;0,
     COUNTIFS($AQ$3:$AQ$201,$M296)&gt;0,
     COUNTIFS($AR$3:$AR$201,$M296)&gt;0,
     COUNTIFS($AS$3:$AS$201,$M296)&gt;0,
     COUNTIFS($AT$3:$AT$201,$M296)&gt;0,
     COUNTIFS($AU$3:$AU$201,$M296)&gt;0,
     COUNTIFS($AV$3:$AV$201,$M296)&gt;0,
     COUNTIFS($AW$3:$AW$201,$M296)&gt;0
   )),
  ),
  4
 ),
"")</f>
        <v/>
      </c>
    </row>
    <row r="297" spans="1:18" x14ac:dyDescent="0.25">
      <c r="A297" t="str">
        <f ca="1"/>
        <v>Throne of the God-Pharaoh</v>
      </c>
      <c r="B297" s="3" t="str" cm="1">
        <f t="array" aca="1" ref="B297" ca="1">_xlfn.ANCHORARRAY(RESUMO!C296)</f>
        <v>Kumena</v>
      </c>
      <c r="C297" s="3" t="str">
        <f t="shared" ca="1" si="16"/>
        <v/>
      </c>
      <c r="N297" s="3">
        <f t="shared" si="19"/>
        <v>0</v>
      </c>
      <c r="O297" s="3" t="str">
        <f>IFERROR(
 INDEX($T$2:$AW$2,
  MATCH(TRUE,
   CHOOSE({1;2;3;4;5;6;7;8;9;10;11;12;13;14;15;16;17;18;19;20;21;22;23;24;25;26;27;28;29;30;31;32},
    COUNTIFS($T$3:$T$201,$M297)&gt;0,
    COUNTIFS($U$3:$U$201,$M297)&gt;0,
    COUNTIFS($V$3:$V$201,$M297)&gt;0,
    COUNTIFS($W$3:$W$201,$M297)&gt;0,
    COUNTIFS($X$3:$X$201,$M297)&gt;0,
    COUNTIFS($Y$3:$Y$201,$M297)&gt;0,
    COUNTIFS($Z$3:$Z$201,$M297)&gt;0,
    COUNTIFS($AA$3:$AA$201,$M297)&gt;0,
    COUNTIFS($AB$3:$AB$201,$M297)&gt;0,
    COUNTIFS($AC$3:$AC$201,$M297)&gt;0,
    COUNTIFS($AD$3:$AD$201,$M297)&gt;0,
    COUNTIFS($AE$3:$AE$201,$M297)&gt;0,
    COUNTIFS($AF$3:$AF$201,$M297)&gt;0,
    COUNTIFS($AG$3:$AG$201,$M297)&gt;0,
    COUNTIFS($AH$3:$AH$201,$M297)&gt;0,
    COUNTIFS($AI$3:$AI$201,$M297)&gt;0,
    COUNTIFS($AJ$3:$AJ$201,$M297)&gt;0,
    COUNTIFS($AK$3:$AK$201,$M297)&gt;0,
    COUNTIFS($AL$3:$AL$201,$M297)&gt;0,
    COUNTIFS($AM$3:$AM$201,$M297)&gt;0,
    COUNTIFS($AN$3:$AN$201,$M297)&gt;0,
    COUNTIFS($AO$3:$AO$201,$M297)&gt;0,
    COUNTIFS($AP$3:$AP$201,$M297)&gt;0,
    COUNTIFS($AQ$3:$AQ$201,$M297)&gt;0,
    COUNTIFS($AR$3:$AR$201,$M297)&gt;0,
    COUNTIFS($AS$3:$AS$201,$M297)&gt;0,
    COUNTIFS($AT$3:$AT$201,$M297)&gt;0,
    COUNTIFS($AU$3:$AU$201,$M297)&gt;0,
    COUNTIFS($AV$3:$AV$201,$M297)&gt;0,
    COUNTIFS($AW$3:$AW$201,$M297)&gt;0
   ),
  0)
 ),
"")</f>
        <v/>
      </c>
      <c r="P297" s="3" t="str" cm="1">
        <f t="array" ref="P297">IFERROR(
 INDEX(
  _xlfn._xlws.FILTER($T$2:$AW$2,
   TRANSPOSE(
    CHOOSE({1;2;3;4;5;6;7;8;9;10;11;12;13;14;15;16;17;18;19;20;21;22;23;24;25;26;27;28;29;30},
     COUNTIFS($T$3:$T$201,$M297)&gt;0,
     COUNTIFS($U$3:$U$201,$M297)&gt;0,
     COUNTIFS($V$3:$V$201,$M297)&gt;0,
     COUNTIFS($W$3:$W$201,$M297)&gt;0,
     COUNTIFS($X$3:$X$201,$M297)&gt;0,
     COUNTIFS($Y$3:$Y$201,$M297)&gt;0,
     COUNTIFS($Z$3:$Z$201,$M297)&gt;0,
     COUNTIFS($AA$3:$AA$201,$M297)&gt;0,
     COUNTIFS($AB$3:$AB$201,$M297)&gt;0,
     COUNTIFS($AC$3:$AC$201,$M297)&gt;0,
     COUNTIFS($AD$3:$AD$201,$M297)&gt;0,
     COUNTIFS($AE$3:$AE$201,$M297)&gt;0,
     COUNTIFS($AF$3:$AF$201,$M297)&gt;0,
     COUNTIFS($AG$3:$AG$201,$M297)&gt;0,
     COUNTIFS($AH$3:$AH$201,$M297)&gt;0,
     COUNTIFS($AI$3:$AI$201,$M297)&gt;0,
     COUNTIFS($AJ$3:$AJ$201,$M297)&gt;0,
     COUNTIFS($AK$3:$AK$201,$M297)&gt;0,
     COUNTIFS($AL$3:$AL$201,$M297)&gt;0,
     COUNTIFS($AM$3:$AM$201,$M297)&gt;0,
     COUNTIFS($AN$3:$AN$201,$M297)&gt;0,
     COUNTIFS($AO$3:$AO$201,$M297)&gt;0,
     COUNTIFS($AP$3:$AP$201,$M297)&gt;0,
     COUNTIFS($AQ$3:$AQ$201,$M297)&gt;0,
     COUNTIFS($AR$3:$AR$201,$M297)&gt;0,
     COUNTIFS($AS$3:$AS$201,$M297)&gt;0,
     COUNTIFS($AT$3:$AT$201,$M297)&gt;0,
     COUNTIFS($AU$3:$AU$201,$M297)&gt;0,
     COUNTIFS($AV$3:$AV$201,$M297)&gt;0,
     COUNTIFS($AW$3:$AW$201,$M297)&gt;0
   )),
  ),
  2
 ),
"")</f>
        <v/>
      </c>
      <c r="Q297" s="3" t="str" cm="1">
        <f t="array" ref="Q297">IFERROR(
 INDEX(
  _xlfn._xlws.FILTER($T$2:$AW$2,
   TRANSPOSE(
    CHOOSE({1;2;3;4;5;6;7;8;9;10;11;12;13;14;15;16;17;18;19;20;21;22;23;24;25;26;27;28;29;30},
     COUNTIFS($T$3:$T$201,$M297)&gt;0,
     COUNTIFS($U$3:$U$201,$M297)&gt;0,
     COUNTIFS($V$3:$V$201,$M297)&gt;0,
     COUNTIFS($W$3:$W$201,$M297)&gt;0,
     COUNTIFS($X$3:$X$201,$M297)&gt;0,
     COUNTIFS($Y$3:$Y$201,$M297)&gt;0,
     COUNTIFS($Z$3:$Z$201,$M297)&gt;0,
     COUNTIFS($AA$3:$AA$201,$M297)&gt;0,
     COUNTIFS($AB$3:$AB$201,$M297)&gt;0,
     COUNTIFS($AC$3:$AC$201,$M297)&gt;0,
     COUNTIFS($AD$3:$AD$201,$M297)&gt;0,
     COUNTIFS($AE$3:$AE$201,$M297)&gt;0,
     COUNTIFS($AF$3:$AF$201,$M297)&gt;0,
     COUNTIFS($AG$3:$AG$201,$M297)&gt;0,
     COUNTIFS($AH$3:$AH$201,$M297)&gt;0,
     COUNTIFS($AI$3:$AI$201,$M297)&gt;0,
     COUNTIFS($AJ$3:$AJ$201,$M297)&gt;0,
     COUNTIFS($AK$3:$AK$201,$M297)&gt;0,
     COUNTIFS($AL$3:$AL$201,$M297)&gt;0,
     COUNTIFS($AM$3:$AM$201,$M297)&gt;0,
     COUNTIFS($AN$3:$AN$201,$M297)&gt;0,
     COUNTIFS($AO$3:$AO$201,$M297)&gt;0,
     COUNTIFS($AP$3:$AP$201,$M297)&gt;0,
     COUNTIFS($AQ$3:$AQ$201,$M297)&gt;0,
     COUNTIFS($AR$3:$AR$201,$M297)&gt;0,
     COUNTIFS($AS$3:$AS$201,$M297)&gt;0,
     COUNTIFS($AT$3:$AT$201,$M297)&gt;0,
     COUNTIFS($AU$3:$AU$201,$M297)&gt;0,
     COUNTIFS($AV$3:$AV$201,$M297)&gt;0,
     COUNTIFS($AW$3:$AW$201,$M297)&gt;0
   )),
  ),
  3
 ),
"")</f>
        <v/>
      </c>
      <c r="R297" s="3" t="str" cm="1">
        <f t="array" ref="R297">IFERROR(
 INDEX(
  _xlfn._xlws.FILTER($T$2:$AW$2,
   TRANSPOSE(
    CHOOSE({1;2;3;4;5;6;7;8;9;10;11;12;13;14;15;16;17;18;19;20;21;22;23;24;25;26;27;28;29;30},
     COUNTIFS($T$3:$T$201,$M297)&gt;0,
     COUNTIFS($U$3:$U$201,$M297)&gt;0,
     COUNTIFS($V$3:$V$201,$M297)&gt;0,
     COUNTIFS($W$3:$W$201,$M297)&gt;0,
     COUNTIFS($X$3:$X$201,$M297)&gt;0,
     COUNTIFS($Y$3:$Y$201,$M297)&gt;0,
     COUNTIFS($Z$3:$Z$201,$M297)&gt;0,
     COUNTIFS($AA$3:$AA$201,$M297)&gt;0,
     COUNTIFS($AB$3:$AB$201,$M297)&gt;0,
     COUNTIFS($AC$3:$AC$201,$M297)&gt;0,
     COUNTIFS($AD$3:$AD$201,$M297)&gt;0,
     COUNTIFS($AE$3:$AE$201,$M297)&gt;0,
     COUNTIFS($AF$3:$AF$201,$M297)&gt;0,
     COUNTIFS($AG$3:$AG$201,$M297)&gt;0,
     COUNTIFS($AH$3:$AH$201,$M297)&gt;0,
     COUNTIFS($AI$3:$AI$201,$M297)&gt;0,
     COUNTIFS($AJ$3:$AJ$201,$M297)&gt;0,
     COUNTIFS($AK$3:$AK$201,$M297)&gt;0,
     COUNTIFS($AL$3:$AL$201,$M297)&gt;0,
     COUNTIFS($AM$3:$AM$201,$M297)&gt;0,
     COUNTIFS($AN$3:$AN$201,$M297)&gt;0,
     COUNTIFS($AO$3:$AO$201,$M297)&gt;0,
     COUNTIFS($AP$3:$AP$201,$M297)&gt;0,
     COUNTIFS($AQ$3:$AQ$201,$M297)&gt;0,
     COUNTIFS($AR$3:$AR$201,$M297)&gt;0,
     COUNTIFS($AS$3:$AS$201,$M297)&gt;0,
     COUNTIFS($AT$3:$AT$201,$M297)&gt;0,
     COUNTIFS($AU$3:$AU$201,$M297)&gt;0,
     COUNTIFS($AV$3:$AV$201,$M297)&gt;0,
     COUNTIFS($AW$3:$AW$201,$M297)&gt;0
   )),
  ),
  4
 ),
"")</f>
        <v/>
      </c>
    </row>
    <row r="298" spans="1:18" x14ac:dyDescent="0.25">
      <c r="A298" t="str">
        <f ca="1"/>
        <v>Thrumming Hivepool</v>
      </c>
      <c r="B298" s="3" t="str" cm="1">
        <f t="array" aca="1" ref="B298" ca="1">_xlfn.ANCHORARRAY(RESUMO!C297)</f>
        <v>Fractius</v>
      </c>
      <c r="C298" s="3" t="str">
        <f t="shared" ca="1" si="16"/>
        <v/>
      </c>
      <c r="N298" s="3">
        <f t="shared" si="19"/>
        <v>0</v>
      </c>
      <c r="O298" s="3" t="str">
        <f>IFERROR(
 INDEX($T$2:$AW$2,
  MATCH(TRUE,
   CHOOSE({1;2;3;4;5;6;7;8;9;10;11;12;13;14;15;16;17;18;19;20;21;22;23;24;25;26;27;28;29;30;31;32},
    COUNTIFS($T$3:$T$201,$M298)&gt;0,
    COUNTIFS($U$3:$U$201,$M298)&gt;0,
    COUNTIFS($V$3:$V$201,$M298)&gt;0,
    COUNTIFS($W$3:$W$201,$M298)&gt;0,
    COUNTIFS($X$3:$X$201,$M298)&gt;0,
    COUNTIFS($Y$3:$Y$201,$M298)&gt;0,
    COUNTIFS($Z$3:$Z$201,$M298)&gt;0,
    COUNTIFS($AA$3:$AA$201,$M298)&gt;0,
    COUNTIFS($AB$3:$AB$201,$M298)&gt;0,
    COUNTIFS($AC$3:$AC$201,$M298)&gt;0,
    COUNTIFS($AD$3:$AD$201,$M298)&gt;0,
    COUNTIFS($AE$3:$AE$201,$M298)&gt;0,
    COUNTIFS($AF$3:$AF$201,$M298)&gt;0,
    COUNTIFS($AG$3:$AG$201,$M298)&gt;0,
    COUNTIFS($AH$3:$AH$201,$M298)&gt;0,
    COUNTIFS($AI$3:$AI$201,$M298)&gt;0,
    COUNTIFS($AJ$3:$AJ$201,$M298)&gt;0,
    COUNTIFS($AK$3:$AK$201,$M298)&gt;0,
    COUNTIFS($AL$3:$AL$201,$M298)&gt;0,
    COUNTIFS($AM$3:$AM$201,$M298)&gt;0,
    COUNTIFS($AN$3:$AN$201,$M298)&gt;0,
    COUNTIFS($AO$3:$AO$201,$M298)&gt;0,
    COUNTIFS($AP$3:$AP$201,$M298)&gt;0,
    COUNTIFS($AQ$3:$AQ$201,$M298)&gt;0,
    COUNTIFS($AR$3:$AR$201,$M298)&gt;0,
    COUNTIFS($AS$3:$AS$201,$M298)&gt;0,
    COUNTIFS($AT$3:$AT$201,$M298)&gt;0,
    COUNTIFS($AU$3:$AU$201,$M298)&gt;0,
    COUNTIFS($AV$3:$AV$201,$M298)&gt;0,
    COUNTIFS($AW$3:$AW$201,$M298)&gt;0
   ),
  0)
 ),
"")</f>
        <v/>
      </c>
      <c r="P298" s="3" t="str" cm="1">
        <f t="array" ref="P298">IFERROR(
 INDEX(
  _xlfn._xlws.FILTER($T$2:$AW$2,
   TRANSPOSE(
    CHOOSE({1;2;3;4;5;6;7;8;9;10;11;12;13;14;15;16;17;18;19;20;21;22;23;24;25;26;27;28;29;30},
     COUNTIFS($T$3:$T$201,$M298)&gt;0,
     COUNTIFS($U$3:$U$201,$M298)&gt;0,
     COUNTIFS($V$3:$V$201,$M298)&gt;0,
     COUNTIFS($W$3:$W$201,$M298)&gt;0,
     COUNTIFS($X$3:$X$201,$M298)&gt;0,
     COUNTIFS($Y$3:$Y$201,$M298)&gt;0,
     COUNTIFS($Z$3:$Z$201,$M298)&gt;0,
     COUNTIFS($AA$3:$AA$201,$M298)&gt;0,
     COUNTIFS($AB$3:$AB$201,$M298)&gt;0,
     COUNTIFS($AC$3:$AC$201,$M298)&gt;0,
     COUNTIFS($AD$3:$AD$201,$M298)&gt;0,
     COUNTIFS($AE$3:$AE$201,$M298)&gt;0,
     COUNTIFS($AF$3:$AF$201,$M298)&gt;0,
     COUNTIFS($AG$3:$AG$201,$M298)&gt;0,
     COUNTIFS($AH$3:$AH$201,$M298)&gt;0,
     COUNTIFS($AI$3:$AI$201,$M298)&gt;0,
     COUNTIFS($AJ$3:$AJ$201,$M298)&gt;0,
     COUNTIFS($AK$3:$AK$201,$M298)&gt;0,
     COUNTIFS($AL$3:$AL$201,$M298)&gt;0,
     COUNTIFS($AM$3:$AM$201,$M298)&gt;0,
     COUNTIFS($AN$3:$AN$201,$M298)&gt;0,
     COUNTIFS($AO$3:$AO$201,$M298)&gt;0,
     COUNTIFS($AP$3:$AP$201,$M298)&gt;0,
     COUNTIFS($AQ$3:$AQ$201,$M298)&gt;0,
     COUNTIFS($AR$3:$AR$201,$M298)&gt;0,
     COUNTIFS($AS$3:$AS$201,$M298)&gt;0,
     COUNTIFS($AT$3:$AT$201,$M298)&gt;0,
     COUNTIFS($AU$3:$AU$201,$M298)&gt;0,
     COUNTIFS($AV$3:$AV$201,$M298)&gt;0,
     COUNTIFS($AW$3:$AW$201,$M298)&gt;0
   )),
  ),
  2
 ),
"")</f>
        <v/>
      </c>
      <c r="Q298" s="3" t="str" cm="1">
        <f t="array" ref="Q298">IFERROR(
 INDEX(
  _xlfn._xlws.FILTER($T$2:$AW$2,
   TRANSPOSE(
    CHOOSE({1;2;3;4;5;6;7;8;9;10;11;12;13;14;15;16;17;18;19;20;21;22;23;24;25;26;27;28;29;30},
     COUNTIFS($T$3:$T$201,$M298)&gt;0,
     COUNTIFS($U$3:$U$201,$M298)&gt;0,
     COUNTIFS($V$3:$V$201,$M298)&gt;0,
     COUNTIFS($W$3:$W$201,$M298)&gt;0,
     COUNTIFS($X$3:$X$201,$M298)&gt;0,
     COUNTIFS($Y$3:$Y$201,$M298)&gt;0,
     COUNTIFS($Z$3:$Z$201,$M298)&gt;0,
     COUNTIFS($AA$3:$AA$201,$M298)&gt;0,
     COUNTIFS($AB$3:$AB$201,$M298)&gt;0,
     COUNTIFS($AC$3:$AC$201,$M298)&gt;0,
     COUNTIFS($AD$3:$AD$201,$M298)&gt;0,
     COUNTIFS($AE$3:$AE$201,$M298)&gt;0,
     COUNTIFS($AF$3:$AF$201,$M298)&gt;0,
     COUNTIFS($AG$3:$AG$201,$M298)&gt;0,
     COUNTIFS($AH$3:$AH$201,$M298)&gt;0,
     COUNTIFS($AI$3:$AI$201,$M298)&gt;0,
     COUNTIFS($AJ$3:$AJ$201,$M298)&gt;0,
     COUNTIFS($AK$3:$AK$201,$M298)&gt;0,
     COUNTIFS($AL$3:$AL$201,$M298)&gt;0,
     COUNTIFS($AM$3:$AM$201,$M298)&gt;0,
     COUNTIFS($AN$3:$AN$201,$M298)&gt;0,
     COUNTIFS($AO$3:$AO$201,$M298)&gt;0,
     COUNTIFS($AP$3:$AP$201,$M298)&gt;0,
     COUNTIFS($AQ$3:$AQ$201,$M298)&gt;0,
     COUNTIFS($AR$3:$AR$201,$M298)&gt;0,
     COUNTIFS($AS$3:$AS$201,$M298)&gt;0,
     COUNTIFS($AT$3:$AT$201,$M298)&gt;0,
     COUNTIFS($AU$3:$AU$201,$M298)&gt;0,
     COUNTIFS($AV$3:$AV$201,$M298)&gt;0,
     COUNTIFS($AW$3:$AW$201,$M298)&gt;0
   )),
  ),
  3
 ),
"")</f>
        <v/>
      </c>
      <c r="R298" s="3" t="str" cm="1">
        <f t="array" ref="R298">IFERROR(
 INDEX(
  _xlfn._xlws.FILTER($T$2:$AW$2,
   TRANSPOSE(
    CHOOSE({1;2;3;4;5;6;7;8;9;10;11;12;13;14;15;16;17;18;19;20;21;22;23;24;25;26;27;28;29;30},
     COUNTIFS($T$3:$T$201,$M298)&gt;0,
     COUNTIFS($U$3:$U$201,$M298)&gt;0,
     COUNTIFS($V$3:$V$201,$M298)&gt;0,
     COUNTIFS($W$3:$W$201,$M298)&gt;0,
     COUNTIFS($X$3:$X$201,$M298)&gt;0,
     COUNTIFS($Y$3:$Y$201,$M298)&gt;0,
     COUNTIFS($Z$3:$Z$201,$M298)&gt;0,
     COUNTIFS($AA$3:$AA$201,$M298)&gt;0,
     COUNTIFS($AB$3:$AB$201,$M298)&gt;0,
     COUNTIFS($AC$3:$AC$201,$M298)&gt;0,
     COUNTIFS($AD$3:$AD$201,$M298)&gt;0,
     COUNTIFS($AE$3:$AE$201,$M298)&gt;0,
     COUNTIFS($AF$3:$AF$201,$M298)&gt;0,
     COUNTIFS($AG$3:$AG$201,$M298)&gt;0,
     COUNTIFS($AH$3:$AH$201,$M298)&gt;0,
     COUNTIFS($AI$3:$AI$201,$M298)&gt;0,
     COUNTIFS($AJ$3:$AJ$201,$M298)&gt;0,
     COUNTIFS($AK$3:$AK$201,$M298)&gt;0,
     COUNTIFS($AL$3:$AL$201,$M298)&gt;0,
     COUNTIFS($AM$3:$AM$201,$M298)&gt;0,
     COUNTIFS($AN$3:$AN$201,$M298)&gt;0,
     COUNTIFS($AO$3:$AO$201,$M298)&gt;0,
     COUNTIFS($AP$3:$AP$201,$M298)&gt;0,
     COUNTIFS($AQ$3:$AQ$201,$M298)&gt;0,
     COUNTIFS($AR$3:$AR$201,$M298)&gt;0,
     COUNTIFS($AS$3:$AS$201,$M298)&gt;0,
     COUNTIFS($AT$3:$AT$201,$M298)&gt;0,
     COUNTIFS($AU$3:$AU$201,$M298)&gt;0,
     COUNTIFS($AV$3:$AV$201,$M298)&gt;0,
     COUNTIFS($AW$3:$AW$201,$M298)&gt;0
   )),
  ),
  4
 ),
"")</f>
        <v/>
      </c>
    </row>
    <row r="299" spans="1:18" x14ac:dyDescent="0.25">
      <c r="A299" t="str">
        <f ca="1"/>
        <v>Time of Need</v>
      </c>
      <c r="B299" s="3" t="str" cm="1">
        <f t="array" aca="1" ref="B299" ca="1">_xlfn.ANCHORARRAY(RESUMO!C298)</f>
        <v>Baylen</v>
      </c>
      <c r="C299" s="3" t="str">
        <f t="shared" ca="1" si="16"/>
        <v/>
      </c>
      <c r="N299" s="3">
        <f t="shared" si="19"/>
        <v>0</v>
      </c>
      <c r="O299" s="3" t="str">
        <f>IFERROR(
 INDEX($T$2:$AW$2,
  MATCH(TRUE,
   CHOOSE({1;2;3;4;5;6;7;8;9;10;11;12;13;14;15;16;17;18;19;20;21;22;23;24;25;26;27;28;29;30;31;32},
    COUNTIFS($T$3:$T$201,$M299)&gt;0,
    COUNTIFS($U$3:$U$201,$M299)&gt;0,
    COUNTIFS($V$3:$V$201,$M299)&gt;0,
    COUNTIFS($W$3:$W$201,$M299)&gt;0,
    COUNTIFS($X$3:$X$201,$M299)&gt;0,
    COUNTIFS($Y$3:$Y$201,$M299)&gt;0,
    COUNTIFS($Z$3:$Z$201,$M299)&gt;0,
    COUNTIFS($AA$3:$AA$201,$M299)&gt;0,
    COUNTIFS($AB$3:$AB$201,$M299)&gt;0,
    COUNTIFS($AC$3:$AC$201,$M299)&gt;0,
    COUNTIFS($AD$3:$AD$201,$M299)&gt;0,
    COUNTIFS($AE$3:$AE$201,$M299)&gt;0,
    COUNTIFS($AF$3:$AF$201,$M299)&gt;0,
    COUNTIFS($AG$3:$AG$201,$M299)&gt;0,
    COUNTIFS($AH$3:$AH$201,$M299)&gt;0,
    COUNTIFS($AI$3:$AI$201,$M299)&gt;0,
    COUNTIFS($AJ$3:$AJ$201,$M299)&gt;0,
    COUNTIFS($AK$3:$AK$201,$M299)&gt;0,
    COUNTIFS($AL$3:$AL$201,$M299)&gt;0,
    COUNTIFS($AM$3:$AM$201,$M299)&gt;0,
    COUNTIFS($AN$3:$AN$201,$M299)&gt;0,
    COUNTIFS($AO$3:$AO$201,$M299)&gt;0,
    COUNTIFS($AP$3:$AP$201,$M299)&gt;0,
    COUNTIFS($AQ$3:$AQ$201,$M299)&gt;0,
    COUNTIFS($AR$3:$AR$201,$M299)&gt;0,
    COUNTIFS($AS$3:$AS$201,$M299)&gt;0,
    COUNTIFS($AT$3:$AT$201,$M299)&gt;0,
    COUNTIFS($AU$3:$AU$201,$M299)&gt;0,
    COUNTIFS($AV$3:$AV$201,$M299)&gt;0,
    COUNTIFS($AW$3:$AW$201,$M299)&gt;0
   ),
  0)
 ),
"")</f>
        <v/>
      </c>
      <c r="P299" s="3" t="str" cm="1">
        <f t="array" ref="P299">IFERROR(
 INDEX(
  _xlfn._xlws.FILTER($T$2:$AW$2,
   TRANSPOSE(
    CHOOSE({1;2;3;4;5;6;7;8;9;10;11;12;13;14;15;16;17;18;19;20;21;22;23;24;25;26;27;28;29;30},
     COUNTIFS($T$3:$T$201,$M299)&gt;0,
     COUNTIFS($U$3:$U$201,$M299)&gt;0,
     COUNTIFS($V$3:$V$201,$M299)&gt;0,
     COUNTIFS($W$3:$W$201,$M299)&gt;0,
     COUNTIFS($X$3:$X$201,$M299)&gt;0,
     COUNTIFS($Y$3:$Y$201,$M299)&gt;0,
     COUNTIFS($Z$3:$Z$201,$M299)&gt;0,
     COUNTIFS($AA$3:$AA$201,$M299)&gt;0,
     COUNTIFS($AB$3:$AB$201,$M299)&gt;0,
     COUNTIFS($AC$3:$AC$201,$M299)&gt;0,
     COUNTIFS($AD$3:$AD$201,$M299)&gt;0,
     COUNTIFS($AE$3:$AE$201,$M299)&gt;0,
     COUNTIFS($AF$3:$AF$201,$M299)&gt;0,
     COUNTIFS($AG$3:$AG$201,$M299)&gt;0,
     COUNTIFS($AH$3:$AH$201,$M299)&gt;0,
     COUNTIFS($AI$3:$AI$201,$M299)&gt;0,
     COUNTIFS($AJ$3:$AJ$201,$M299)&gt;0,
     COUNTIFS($AK$3:$AK$201,$M299)&gt;0,
     COUNTIFS($AL$3:$AL$201,$M299)&gt;0,
     COUNTIFS($AM$3:$AM$201,$M299)&gt;0,
     COUNTIFS($AN$3:$AN$201,$M299)&gt;0,
     COUNTIFS($AO$3:$AO$201,$M299)&gt;0,
     COUNTIFS($AP$3:$AP$201,$M299)&gt;0,
     COUNTIFS($AQ$3:$AQ$201,$M299)&gt;0,
     COUNTIFS($AR$3:$AR$201,$M299)&gt;0,
     COUNTIFS($AS$3:$AS$201,$M299)&gt;0,
     COUNTIFS($AT$3:$AT$201,$M299)&gt;0,
     COUNTIFS($AU$3:$AU$201,$M299)&gt;0,
     COUNTIFS($AV$3:$AV$201,$M299)&gt;0,
     COUNTIFS($AW$3:$AW$201,$M299)&gt;0
   )),
  ),
  2
 ),
"")</f>
        <v/>
      </c>
      <c r="Q299" s="3" t="str" cm="1">
        <f t="array" ref="Q299">IFERROR(
 INDEX(
  _xlfn._xlws.FILTER($T$2:$AW$2,
   TRANSPOSE(
    CHOOSE({1;2;3;4;5;6;7;8;9;10;11;12;13;14;15;16;17;18;19;20;21;22;23;24;25;26;27;28;29;30},
     COUNTIFS($T$3:$T$201,$M299)&gt;0,
     COUNTIFS($U$3:$U$201,$M299)&gt;0,
     COUNTIFS($V$3:$V$201,$M299)&gt;0,
     COUNTIFS($W$3:$W$201,$M299)&gt;0,
     COUNTIFS($X$3:$X$201,$M299)&gt;0,
     COUNTIFS($Y$3:$Y$201,$M299)&gt;0,
     COUNTIFS($Z$3:$Z$201,$M299)&gt;0,
     COUNTIFS($AA$3:$AA$201,$M299)&gt;0,
     COUNTIFS($AB$3:$AB$201,$M299)&gt;0,
     COUNTIFS($AC$3:$AC$201,$M299)&gt;0,
     COUNTIFS($AD$3:$AD$201,$M299)&gt;0,
     COUNTIFS($AE$3:$AE$201,$M299)&gt;0,
     COUNTIFS($AF$3:$AF$201,$M299)&gt;0,
     COUNTIFS($AG$3:$AG$201,$M299)&gt;0,
     COUNTIFS($AH$3:$AH$201,$M299)&gt;0,
     COUNTIFS($AI$3:$AI$201,$M299)&gt;0,
     COUNTIFS($AJ$3:$AJ$201,$M299)&gt;0,
     COUNTIFS($AK$3:$AK$201,$M299)&gt;0,
     COUNTIFS($AL$3:$AL$201,$M299)&gt;0,
     COUNTIFS($AM$3:$AM$201,$M299)&gt;0,
     COUNTIFS($AN$3:$AN$201,$M299)&gt;0,
     COUNTIFS($AO$3:$AO$201,$M299)&gt;0,
     COUNTIFS($AP$3:$AP$201,$M299)&gt;0,
     COUNTIFS($AQ$3:$AQ$201,$M299)&gt;0,
     COUNTIFS($AR$3:$AR$201,$M299)&gt;0,
     COUNTIFS($AS$3:$AS$201,$M299)&gt;0,
     COUNTIFS($AT$3:$AT$201,$M299)&gt;0,
     COUNTIFS($AU$3:$AU$201,$M299)&gt;0,
     COUNTIFS($AV$3:$AV$201,$M299)&gt;0,
     COUNTIFS($AW$3:$AW$201,$M299)&gt;0
   )),
  ),
  3
 ),
"")</f>
        <v/>
      </c>
      <c r="R299" s="3" t="str" cm="1">
        <f t="array" ref="R299">IFERROR(
 INDEX(
  _xlfn._xlws.FILTER($T$2:$AW$2,
   TRANSPOSE(
    CHOOSE({1;2;3;4;5;6;7;8;9;10;11;12;13;14;15;16;17;18;19;20;21;22;23;24;25;26;27;28;29;30},
     COUNTIFS($T$3:$T$201,$M299)&gt;0,
     COUNTIFS($U$3:$U$201,$M299)&gt;0,
     COUNTIFS($V$3:$V$201,$M299)&gt;0,
     COUNTIFS($W$3:$W$201,$M299)&gt;0,
     COUNTIFS($X$3:$X$201,$M299)&gt;0,
     COUNTIFS($Y$3:$Y$201,$M299)&gt;0,
     COUNTIFS($Z$3:$Z$201,$M299)&gt;0,
     COUNTIFS($AA$3:$AA$201,$M299)&gt;0,
     COUNTIFS($AB$3:$AB$201,$M299)&gt;0,
     COUNTIFS($AC$3:$AC$201,$M299)&gt;0,
     COUNTIFS($AD$3:$AD$201,$M299)&gt;0,
     COUNTIFS($AE$3:$AE$201,$M299)&gt;0,
     COUNTIFS($AF$3:$AF$201,$M299)&gt;0,
     COUNTIFS($AG$3:$AG$201,$M299)&gt;0,
     COUNTIFS($AH$3:$AH$201,$M299)&gt;0,
     COUNTIFS($AI$3:$AI$201,$M299)&gt;0,
     COUNTIFS($AJ$3:$AJ$201,$M299)&gt;0,
     COUNTIFS($AK$3:$AK$201,$M299)&gt;0,
     COUNTIFS($AL$3:$AL$201,$M299)&gt;0,
     COUNTIFS($AM$3:$AM$201,$M299)&gt;0,
     COUNTIFS($AN$3:$AN$201,$M299)&gt;0,
     COUNTIFS($AO$3:$AO$201,$M299)&gt;0,
     COUNTIFS($AP$3:$AP$201,$M299)&gt;0,
     COUNTIFS($AQ$3:$AQ$201,$M299)&gt;0,
     COUNTIFS($AR$3:$AR$201,$M299)&gt;0,
     COUNTIFS($AS$3:$AS$201,$M299)&gt;0,
     COUNTIFS($AT$3:$AT$201,$M299)&gt;0,
     COUNTIFS($AU$3:$AU$201,$M299)&gt;0,
     COUNTIFS($AV$3:$AV$201,$M299)&gt;0,
     COUNTIFS($AW$3:$AW$201,$M299)&gt;0
   )),
  ),
  4
 ),
"")</f>
        <v/>
      </c>
    </row>
    <row r="300" spans="1:18" x14ac:dyDescent="0.25">
      <c r="A300" t="str">
        <f ca="1"/>
        <v>Time Sieve</v>
      </c>
      <c r="B300" s="3" t="str" cm="1">
        <f t="array" aca="1" ref="B300" ca="1">_xlfn.ANCHORARRAY(RESUMO!C299)</f>
        <v>Piratas</v>
      </c>
      <c r="C300" s="3" t="str">
        <f ca="1">IFERROR(_xlfn.XLOOKUP($A300,$E:$E,$G:$G),"")</f>
        <v/>
      </c>
      <c r="N300" s="3">
        <f t="shared" si="19"/>
        <v>0</v>
      </c>
      <c r="O300" s="3" t="str">
        <f>IFERROR(
 INDEX($T$2:$AW$2,
  MATCH(TRUE,
   CHOOSE({1;2;3;4;5;6;7;8;9;10;11;12;13;14;15;16;17;18;19;20;21;22;23;24;25;26;27;28;29;30;31;32},
    COUNTIFS($T$3:$T$201,$M300)&gt;0,
    COUNTIFS($U$3:$U$201,$M300)&gt;0,
    COUNTIFS($V$3:$V$201,$M300)&gt;0,
    COUNTIFS($W$3:$W$201,$M300)&gt;0,
    COUNTIFS($X$3:$X$201,$M300)&gt;0,
    COUNTIFS($Y$3:$Y$201,$M300)&gt;0,
    COUNTIFS($Z$3:$Z$201,$M300)&gt;0,
    COUNTIFS($AA$3:$AA$201,$M300)&gt;0,
    COUNTIFS($AB$3:$AB$201,$M300)&gt;0,
    COUNTIFS($AC$3:$AC$201,$M300)&gt;0,
    COUNTIFS($AD$3:$AD$201,$M300)&gt;0,
    COUNTIFS($AE$3:$AE$201,$M300)&gt;0,
    COUNTIFS($AF$3:$AF$201,$M300)&gt;0,
    COUNTIFS($AG$3:$AG$201,$M300)&gt;0,
    COUNTIFS($AH$3:$AH$201,$M300)&gt;0,
    COUNTIFS($AI$3:$AI$201,$M300)&gt;0,
    COUNTIFS($AJ$3:$AJ$201,$M300)&gt;0,
    COUNTIFS($AK$3:$AK$201,$M300)&gt;0,
    COUNTIFS($AL$3:$AL$201,$M300)&gt;0,
    COUNTIFS($AM$3:$AM$201,$M300)&gt;0,
    COUNTIFS($AN$3:$AN$201,$M300)&gt;0,
    COUNTIFS($AO$3:$AO$201,$M300)&gt;0,
    COUNTIFS($AP$3:$AP$201,$M300)&gt;0,
    COUNTIFS($AQ$3:$AQ$201,$M300)&gt;0,
    COUNTIFS($AR$3:$AR$201,$M300)&gt;0,
    COUNTIFS($AS$3:$AS$201,$M300)&gt;0,
    COUNTIFS($AT$3:$AT$201,$M300)&gt;0,
    COUNTIFS($AU$3:$AU$201,$M300)&gt;0,
    COUNTIFS($AV$3:$AV$201,$M300)&gt;0,
    COUNTIFS($AW$3:$AW$201,$M300)&gt;0
   ),
  0)
 ),
"")</f>
        <v/>
      </c>
      <c r="P300" s="3" t="str" cm="1">
        <f t="array" ref="P300">IFERROR(
 INDEX(
  _xlfn._xlws.FILTER($T$2:$AW$2,
   TRANSPOSE(
    CHOOSE({1;2;3;4;5;6;7;8;9;10;11;12;13;14;15;16;17;18;19;20;21;22;23;24;25;26;27;28;29;30},
     COUNTIFS($T$3:$T$201,$M300)&gt;0,
     COUNTIFS($U$3:$U$201,$M300)&gt;0,
     COUNTIFS($V$3:$V$201,$M300)&gt;0,
     COUNTIFS($W$3:$W$201,$M300)&gt;0,
     COUNTIFS($X$3:$X$201,$M300)&gt;0,
     COUNTIFS($Y$3:$Y$201,$M300)&gt;0,
     COUNTIFS($Z$3:$Z$201,$M300)&gt;0,
     COUNTIFS($AA$3:$AA$201,$M300)&gt;0,
     COUNTIFS($AB$3:$AB$201,$M300)&gt;0,
     COUNTIFS($AC$3:$AC$201,$M300)&gt;0,
     COUNTIFS($AD$3:$AD$201,$M300)&gt;0,
     COUNTIFS($AE$3:$AE$201,$M300)&gt;0,
     COUNTIFS($AF$3:$AF$201,$M300)&gt;0,
     COUNTIFS($AG$3:$AG$201,$M300)&gt;0,
     COUNTIFS($AH$3:$AH$201,$M300)&gt;0,
     COUNTIFS($AI$3:$AI$201,$M300)&gt;0,
     COUNTIFS($AJ$3:$AJ$201,$M300)&gt;0,
     COUNTIFS($AK$3:$AK$201,$M300)&gt;0,
     COUNTIFS($AL$3:$AL$201,$M300)&gt;0,
     COUNTIFS($AM$3:$AM$201,$M300)&gt;0,
     COUNTIFS($AN$3:$AN$201,$M300)&gt;0,
     COUNTIFS($AO$3:$AO$201,$M300)&gt;0,
     COUNTIFS($AP$3:$AP$201,$M300)&gt;0,
     COUNTIFS($AQ$3:$AQ$201,$M300)&gt;0,
     COUNTIFS($AR$3:$AR$201,$M300)&gt;0,
     COUNTIFS($AS$3:$AS$201,$M300)&gt;0,
     COUNTIFS($AT$3:$AT$201,$M300)&gt;0,
     COUNTIFS($AU$3:$AU$201,$M300)&gt;0,
     COUNTIFS($AV$3:$AV$201,$M300)&gt;0,
     COUNTIFS($AW$3:$AW$201,$M300)&gt;0
   )),
  ),
  2
 ),
"")</f>
        <v/>
      </c>
      <c r="Q300" s="3" t="str" cm="1">
        <f t="array" ref="Q300">IFERROR(
 INDEX(
  _xlfn._xlws.FILTER($T$2:$AW$2,
   TRANSPOSE(
    CHOOSE({1;2;3;4;5;6;7;8;9;10;11;12;13;14;15;16;17;18;19;20;21;22;23;24;25;26;27;28;29;30},
     COUNTIFS($T$3:$T$201,$M300)&gt;0,
     COUNTIFS($U$3:$U$201,$M300)&gt;0,
     COUNTIFS($V$3:$V$201,$M300)&gt;0,
     COUNTIFS($W$3:$W$201,$M300)&gt;0,
     COUNTIFS($X$3:$X$201,$M300)&gt;0,
     COUNTIFS($Y$3:$Y$201,$M300)&gt;0,
     COUNTIFS($Z$3:$Z$201,$M300)&gt;0,
     COUNTIFS($AA$3:$AA$201,$M300)&gt;0,
     COUNTIFS($AB$3:$AB$201,$M300)&gt;0,
     COUNTIFS($AC$3:$AC$201,$M300)&gt;0,
     COUNTIFS($AD$3:$AD$201,$M300)&gt;0,
     COUNTIFS($AE$3:$AE$201,$M300)&gt;0,
     COUNTIFS($AF$3:$AF$201,$M300)&gt;0,
     COUNTIFS($AG$3:$AG$201,$M300)&gt;0,
     COUNTIFS($AH$3:$AH$201,$M300)&gt;0,
     COUNTIFS($AI$3:$AI$201,$M300)&gt;0,
     COUNTIFS($AJ$3:$AJ$201,$M300)&gt;0,
     COUNTIFS($AK$3:$AK$201,$M300)&gt;0,
     COUNTIFS($AL$3:$AL$201,$M300)&gt;0,
     COUNTIFS($AM$3:$AM$201,$M300)&gt;0,
     COUNTIFS($AN$3:$AN$201,$M300)&gt;0,
     COUNTIFS($AO$3:$AO$201,$M300)&gt;0,
     COUNTIFS($AP$3:$AP$201,$M300)&gt;0,
     COUNTIFS($AQ$3:$AQ$201,$M300)&gt;0,
     COUNTIFS($AR$3:$AR$201,$M300)&gt;0,
     COUNTIFS($AS$3:$AS$201,$M300)&gt;0,
     COUNTIFS($AT$3:$AT$201,$M300)&gt;0,
     COUNTIFS($AU$3:$AU$201,$M300)&gt;0,
     COUNTIFS($AV$3:$AV$201,$M300)&gt;0,
     COUNTIFS($AW$3:$AW$201,$M300)&gt;0
   )),
  ),
  3
 ),
"")</f>
        <v/>
      </c>
      <c r="R300" s="3" t="str" cm="1">
        <f t="array" ref="R300">IFERROR(
 INDEX(
  _xlfn._xlws.FILTER($T$2:$AW$2,
   TRANSPOSE(
    CHOOSE({1;2;3;4;5;6;7;8;9;10;11;12;13;14;15;16;17;18;19;20;21;22;23;24;25;26;27;28;29;30},
     COUNTIFS($T$3:$T$201,$M300)&gt;0,
     COUNTIFS($U$3:$U$201,$M300)&gt;0,
     COUNTIFS($V$3:$V$201,$M300)&gt;0,
     COUNTIFS($W$3:$W$201,$M300)&gt;0,
     COUNTIFS($X$3:$X$201,$M300)&gt;0,
     COUNTIFS($Y$3:$Y$201,$M300)&gt;0,
     COUNTIFS($Z$3:$Z$201,$M300)&gt;0,
     COUNTIFS($AA$3:$AA$201,$M300)&gt;0,
     COUNTIFS($AB$3:$AB$201,$M300)&gt;0,
     COUNTIFS($AC$3:$AC$201,$M300)&gt;0,
     COUNTIFS($AD$3:$AD$201,$M300)&gt;0,
     COUNTIFS($AE$3:$AE$201,$M300)&gt;0,
     COUNTIFS($AF$3:$AF$201,$M300)&gt;0,
     COUNTIFS($AG$3:$AG$201,$M300)&gt;0,
     COUNTIFS($AH$3:$AH$201,$M300)&gt;0,
     COUNTIFS($AI$3:$AI$201,$M300)&gt;0,
     COUNTIFS($AJ$3:$AJ$201,$M300)&gt;0,
     COUNTIFS($AK$3:$AK$201,$M300)&gt;0,
     COUNTIFS($AL$3:$AL$201,$M300)&gt;0,
     COUNTIFS($AM$3:$AM$201,$M300)&gt;0,
     COUNTIFS($AN$3:$AN$201,$M300)&gt;0,
     COUNTIFS($AO$3:$AO$201,$M300)&gt;0,
     COUNTIFS($AP$3:$AP$201,$M300)&gt;0,
     COUNTIFS($AQ$3:$AQ$201,$M300)&gt;0,
     COUNTIFS($AR$3:$AR$201,$M300)&gt;0,
     COUNTIFS($AS$3:$AS$201,$M300)&gt;0,
     COUNTIFS($AT$3:$AT$201,$M300)&gt;0,
     COUNTIFS($AU$3:$AU$201,$M300)&gt;0,
     COUNTIFS($AV$3:$AV$201,$M300)&gt;0,
     COUNTIFS($AW$3:$AW$201,$M300)&gt;0
   )),
  ),
  4
 ),
"")</f>
        <v/>
      </c>
    </row>
    <row r="301" spans="1:18" x14ac:dyDescent="0.25">
      <c r="A301" t="str">
        <f ca="1"/>
        <v>Timestream Navigator</v>
      </c>
      <c r="B301" s="3" t="str" cm="1">
        <f t="array" aca="1" ref="B301" ca="1">_xlfn.ANCHORARRAY(RESUMO!C300)</f>
        <v>Piratas</v>
      </c>
      <c r="C301" s="3" t="str">
        <f t="shared" ca="1" si="16"/>
        <v/>
      </c>
      <c r="N301" s="3">
        <f t="shared" si="19"/>
        <v>0</v>
      </c>
      <c r="O301" s="3" t="str">
        <f>IFERROR(
 INDEX($T$2:$AW$2,
  MATCH(TRUE,
   CHOOSE({1;2;3;4;5;6;7;8;9;10;11;12;13;14;15;16;17;18;19;20;21;22;23;24;25;26;27;28;29;30;31;32},
    COUNTIFS($T$3:$T$201,$M301)&gt;0,
    COUNTIFS($U$3:$U$201,$M301)&gt;0,
    COUNTIFS($V$3:$V$201,$M301)&gt;0,
    COUNTIFS($W$3:$W$201,$M301)&gt;0,
    COUNTIFS($X$3:$X$201,$M301)&gt;0,
    COUNTIFS($Y$3:$Y$201,$M301)&gt;0,
    COUNTIFS($Z$3:$Z$201,$M301)&gt;0,
    COUNTIFS($AA$3:$AA$201,$M301)&gt;0,
    COUNTIFS($AB$3:$AB$201,$M301)&gt;0,
    COUNTIFS($AC$3:$AC$201,$M301)&gt;0,
    COUNTIFS($AD$3:$AD$201,$M301)&gt;0,
    COUNTIFS($AE$3:$AE$201,$M301)&gt;0,
    COUNTIFS($AF$3:$AF$201,$M301)&gt;0,
    COUNTIFS($AG$3:$AG$201,$M301)&gt;0,
    COUNTIFS($AH$3:$AH$201,$M301)&gt;0,
    COUNTIFS($AI$3:$AI$201,$M301)&gt;0,
    COUNTIFS($AJ$3:$AJ$201,$M301)&gt;0,
    COUNTIFS($AK$3:$AK$201,$M301)&gt;0,
    COUNTIFS($AL$3:$AL$201,$M301)&gt;0,
    COUNTIFS($AM$3:$AM$201,$M301)&gt;0,
    COUNTIFS($AN$3:$AN$201,$M301)&gt;0,
    COUNTIFS($AO$3:$AO$201,$M301)&gt;0,
    COUNTIFS($AP$3:$AP$201,$M301)&gt;0,
    COUNTIFS($AQ$3:$AQ$201,$M301)&gt;0,
    COUNTIFS($AR$3:$AR$201,$M301)&gt;0,
    COUNTIFS($AS$3:$AS$201,$M301)&gt;0,
    COUNTIFS($AT$3:$AT$201,$M301)&gt;0,
    COUNTIFS($AU$3:$AU$201,$M301)&gt;0,
    COUNTIFS($AV$3:$AV$201,$M301)&gt;0,
    COUNTIFS($AW$3:$AW$201,$M301)&gt;0
   ),
  0)
 ),
"")</f>
        <v/>
      </c>
      <c r="P301" s="3" t="str" cm="1">
        <f t="array" ref="P301">IFERROR(
 INDEX(
  _xlfn._xlws.FILTER($T$2:$AW$2,
   TRANSPOSE(
    CHOOSE({1;2;3;4;5;6;7;8;9;10;11;12;13;14;15;16;17;18;19;20;21;22;23;24;25;26;27;28;29;30},
     COUNTIFS($T$3:$T$201,$M301)&gt;0,
     COUNTIFS($U$3:$U$201,$M301)&gt;0,
     COUNTIFS($V$3:$V$201,$M301)&gt;0,
     COUNTIFS($W$3:$W$201,$M301)&gt;0,
     COUNTIFS($X$3:$X$201,$M301)&gt;0,
     COUNTIFS($Y$3:$Y$201,$M301)&gt;0,
     COUNTIFS($Z$3:$Z$201,$M301)&gt;0,
     COUNTIFS($AA$3:$AA$201,$M301)&gt;0,
     COUNTIFS($AB$3:$AB$201,$M301)&gt;0,
     COUNTIFS($AC$3:$AC$201,$M301)&gt;0,
     COUNTIFS($AD$3:$AD$201,$M301)&gt;0,
     COUNTIFS($AE$3:$AE$201,$M301)&gt;0,
     COUNTIFS($AF$3:$AF$201,$M301)&gt;0,
     COUNTIFS($AG$3:$AG$201,$M301)&gt;0,
     COUNTIFS($AH$3:$AH$201,$M301)&gt;0,
     COUNTIFS($AI$3:$AI$201,$M301)&gt;0,
     COUNTIFS($AJ$3:$AJ$201,$M301)&gt;0,
     COUNTIFS($AK$3:$AK$201,$M301)&gt;0,
     COUNTIFS($AL$3:$AL$201,$M301)&gt;0,
     COUNTIFS($AM$3:$AM$201,$M301)&gt;0,
     COUNTIFS($AN$3:$AN$201,$M301)&gt;0,
     COUNTIFS($AO$3:$AO$201,$M301)&gt;0,
     COUNTIFS($AP$3:$AP$201,$M301)&gt;0,
     COUNTIFS($AQ$3:$AQ$201,$M301)&gt;0,
     COUNTIFS($AR$3:$AR$201,$M301)&gt;0,
     COUNTIFS($AS$3:$AS$201,$M301)&gt;0,
     COUNTIFS($AT$3:$AT$201,$M301)&gt;0,
     COUNTIFS($AU$3:$AU$201,$M301)&gt;0,
     COUNTIFS($AV$3:$AV$201,$M301)&gt;0,
     COUNTIFS($AW$3:$AW$201,$M301)&gt;0
   )),
  ),
  2
 ),
"")</f>
        <v/>
      </c>
      <c r="Q301" s="3" t="str" cm="1">
        <f t="array" ref="Q301">IFERROR(
 INDEX(
  _xlfn._xlws.FILTER($T$2:$AW$2,
   TRANSPOSE(
    CHOOSE({1;2;3;4;5;6;7;8;9;10;11;12;13;14;15;16;17;18;19;20;21;22;23;24;25;26;27;28;29;30},
     COUNTIFS($T$3:$T$201,$M301)&gt;0,
     COUNTIFS($U$3:$U$201,$M301)&gt;0,
     COUNTIFS($V$3:$V$201,$M301)&gt;0,
     COUNTIFS($W$3:$W$201,$M301)&gt;0,
     COUNTIFS($X$3:$X$201,$M301)&gt;0,
     COUNTIFS($Y$3:$Y$201,$M301)&gt;0,
     COUNTIFS($Z$3:$Z$201,$M301)&gt;0,
     COUNTIFS($AA$3:$AA$201,$M301)&gt;0,
     COUNTIFS($AB$3:$AB$201,$M301)&gt;0,
     COUNTIFS($AC$3:$AC$201,$M301)&gt;0,
     COUNTIFS($AD$3:$AD$201,$M301)&gt;0,
     COUNTIFS($AE$3:$AE$201,$M301)&gt;0,
     COUNTIFS($AF$3:$AF$201,$M301)&gt;0,
     COUNTIFS($AG$3:$AG$201,$M301)&gt;0,
     COUNTIFS($AH$3:$AH$201,$M301)&gt;0,
     COUNTIFS($AI$3:$AI$201,$M301)&gt;0,
     COUNTIFS($AJ$3:$AJ$201,$M301)&gt;0,
     COUNTIFS($AK$3:$AK$201,$M301)&gt;0,
     COUNTIFS($AL$3:$AL$201,$M301)&gt;0,
     COUNTIFS($AM$3:$AM$201,$M301)&gt;0,
     COUNTIFS($AN$3:$AN$201,$M301)&gt;0,
     COUNTIFS($AO$3:$AO$201,$M301)&gt;0,
     COUNTIFS($AP$3:$AP$201,$M301)&gt;0,
     COUNTIFS($AQ$3:$AQ$201,$M301)&gt;0,
     COUNTIFS($AR$3:$AR$201,$M301)&gt;0,
     COUNTIFS($AS$3:$AS$201,$M301)&gt;0,
     COUNTIFS($AT$3:$AT$201,$M301)&gt;0,
     COUNTIFS($AU$3:$AU$201,$M301)&gt;0,
     COUNTIFS($AV$3:$AV$201,$M301)&gt;0,
     COUNTIFS($AW$3:$AW$201,$M301)&gt;0
   )),
  ),
  3
 ),
"")</f>
        <v/>
      </c>
      <c r="R301" s="3" t="str" cm="1">
        <f t="array" ref="R301">IFERROR(
 INDEX(
  _xlfn._xlws.FILTER($T$2:$AW$2,
   TRANSPOSE(
    CHOOSE({1;2;3;4;5;6;7;8;9;10;11;12;13;14;15;16;17;18;19;20;21;22;23;24;25;26;27;28;29;30},
     COUNTIFS($T$3:$T$201,$M301)&gt;0,
     COUNTIFS($U$3:$U$201,$M301)&gt;0,
     COUNTIFS($V$3:$V$201,$M301)&gt;0,
     COUNTIFS($W$3:$W$201,$M301)&gt;0,
     COUNTIFS($X$3:$X$201,$M301)&gt;0,
     COUNTIFS($Y$3:$Y$201,$M301)&gt;0,
     COUNTIFS($Z$3:$Z$201,$M301)&gt;0,
     COUNTIFS($AA$3:$AA$201,$M301)&gt;0,
     COUNTIFS($AB$3:$AB$201,$M301)&gt;0,
     COUNTIFS($AC$3:$AC$201,$M301)&gt;0,
     COUNTIFS($AD$3:$AD$201,$M301)&gt;0,
     COUNTIFS($AE$3:$AE$201,$M301)&gt;0,
     COUNTIFS($AF$3:$AF$201,$M301)&gt;0,
     COUNTIFS($AG$3:$AG$201,$M301)&gt;0,
     COUNTIFS($AH$3:$AH$201,$M301)&gt;0,
     COUNTIFS($AI$3:$AI$201,$M301)&gt;0,
     COUNTIFS($AJ$3:$AJ$201,$M301)&gt;0,
     COUNTIFS($AK$3:$AK$201,$M301)&gt;0,
     COUNTIFS($AL$3:$AL$201,$M301)&gt;0,
     COUNTIFS($AM$3:$AM$201,$M301)&gt;0,
     COUNTIFS($AN$3:$AN$201,$M301)&gt;0,
     COUNTIFS($AO$3:$AO$201,$M301)&gt;0,
     COUNTIFS($AP$3:$AP$201,$M301)&gt;0,
     COUNTIFS($AQ$3:$AQ$201,$M301)&gt;0,
     COUNTIFS($AR$3:$AR$201,$M301)&gt;0,
     COUNTIFS($AS$3:$AS$201,$M301)&gt;0,
     COUNTIFS($AT$3:$AT$201,$M301)&gt;0,
     COUNTIFS($AU$3:$AU$201,$M301)&gt;0,
     COUNTIFS($AV$3:$AV$201,$M301)&gt;0,
     COUNTIFS($AW$3:$AW$201,$M301)&gt;0
   )),
  ),
  4
 ),
"")</f>
        <v/>
      </c>
    </row>
    <row r="302" spans="1:18" x14ac:dyDescent="0.25">
      <c r="A302" t="str">
        <f ca="1"/>
        <v>Tireless Provisioner</v>
      </c>
      <c r="B302" s="3" t="str" cm="1">
        <f t="array" aca="1" ref="B302" ca="1">_xlfn.ANCHORARRAY(RESUMO!C301)</f>
        <v>Modular</v>
      </c>
      <c r="C302" s="3" t="str">
        <f t="shared" ca="1" si="16"/>
        <v/>
      </c>
      <c r="N302" s="3">
        <f t="shared" si="19"/>
        <v>0</v>
      </c>
      <c r="O302" s="3" t="str">
        <f>IFERROR(
 INDEX($T$2:$AW$2,
  MATCH(TRUE,
   CHOOSE({1;2;3;4;5;6;7;8;9;10;11;12;13;14;15;16;17;18;19;20;21;22;23;24;25;26;27;28;29;30;31;32},
    COUNTIFS($T$3:$T$201,$M302)&gt;0,
    COUNTIFS($U$3:$U$201,$M302)&gt;0,
    COUNTIFS($V$3:$V$201,$M302)&gt;0,
    COUNTIFS($W$3:$W$201,$M302)&gt;0,
    COUNTIFS($X$3:$X$201,$M302)&gt;0,
    COUNTIFS($Y$3:$Y$201,$M302)&gt;0,
    COUNTIFS($Z$3:$Z$201,$M302)&gt;0,
    COUNTIFS($AA$3:$AA$201,$M302)&gt;0,
    COUNTIFS($AB$3:$AB$201,$M302)&gt;0,
    COUNTIFS($AC$3:$AC$201,$M302)&gt;0,
    COUNTIFS($AD$3:$AD$201,$M302)&gt;0,
    COUNTIFS($AE$3:$AE$201,$M302)&gt;0,
    COUNTIFS($AF$3:$AF$201,$M302)&gt;0,
    COUNTIFS($AG$3:$AG$201,$M302)&gt;0,
    COUNTIFS($AH$3:$AH$201,$M302)&gt;0,
    COUNTIFS($AI$3:$AI$201,$M302)&gt;0,
    COUNTIFS($AJ$3:$AJ$201,$M302)&gt;0,
    COUNTIFS($AK$3:$AK$201,$M302)&gt;0,
    COUNTIFS($AL$3:$AL$201,$M302)&gt;0,
    COUNTIFS($AM$3:$AM$201,$M302)&gt;0,
    COUNTIFS($AN$3:$AN$201,$M302)&gt;0,
    COUNTIFS($AO$3:$AO$201,$M302)&gt;0,
    COUNTIFS($AP$3:$AP$201,$M302)&gt;0,
    COUNTIFS($AQ$3:$AQ$201,$M302)&gt;0,
    COUNTIFS($AR$3:$AR$201,$M302)&gt;0,
    COUNTIFS($AS$3:$AS$201,$M302)&gt;0,
    COUNTIFS($AT$3:$AT$201,$M302)&gt;0,
    COUNTIFS($AU$3:$AU$201,$M302)&gt;0,
    COUNTIFS($AV$3:$AV$201,$M302)&gt;0,
    COUNTIFS($AW$3:$AW$201,$M302)&gt;0
   ),
  0)
 ),
"")</f>
        <v/>
      </c>
      <c r="P302" s="3" t="str" cm="1">
        <f t="array" ref="P302">IFERROR(
 INDEX(
  _xlfn._xlws.FILTER($T$2:$AW$2,
   TRANSPOSE(
    CHOOSE({1;2;3;4;5;6;7;8;9;10;11;12;13;14;15;16;17;18;19;20;21;22;23;24;25;26;27;28;29;30},
     COUNTIFS($T$3:$T$201,$M302)&gt;0,
     COUNTIFS($U$3:$U$201,$M302)&gt;0,
     COUNTIFS($V$3:$V$201,$M302)&gt;0,
     COUNTIFS($W$3:$W$201,$M302)&gt;0,
     COUNTIFS($X$3:$X$201,$M302)&gt;0,
     COUNTIFS($Y$3:$Y$201,$M302)&gt;0,
     COUNTIFS($Z$3:$Z$201,$M302)&gt;0,
     COUNTIFS($AA$3:$AA$201,$M302)&gt;0,
     COUNTIFS($AB$3:$AB$201,$M302)&gt;0,
     COUNTIFS($AC$3:$AC$201,$M302)&gt;0,
     COUNTIFS($AD$3:$AD$201,$M302)&gt;0,
     COUNTIFS($AE$3:$AE$201,$M302)&gt;0,
     COUNTIFS($AF$3:$AF$201,$M302)&gt;0,
     COUNTIFS($AG$3:$AG$201,$M302)&gt;0,
     COUNTIFS($AH$3:$AH$201,$M302)&gt;0,
     COUNTIFS($AI$3:$AI$201,$M302)&gt;0,
     COUNTIFS($AJ$3:$AJ$201,$M302)&gt;0,
     COUNTIFS($AK$3:$AK$201,$M302)&gt;0,
     COUNTIFS($AL$3:$AL$201,$M302)&gt;0,
     COUNTIFS($AM$3:$AM$201,$M302)&gt;0,
     COUNTIFS($AN$3:$AN$201,$M302)&gt;0,
     COUNTIFS($AO$3:$AO$201,$M302)&gt;0,
     COUNTIFS($AP$3:$AP$201,$M302)&gt;0,
     COUNTIFS($AQ$3:$AQ$201,$M302)&gt;0,
     COUNTIFS($AR$3:$AR$201,$M302)&gt;0,
     COUNTIFS($AS$3:$AS$201,$M302)&gt;0,
     COUNTIFS($AT$3:$AT$201,$M302)&gt;0,
     COUNTIFS($AU$3:$AU$201,$M302)&gt;0,
     COUNTIFS($AV$3:$AV$201,$M302)&gt;0,
     COUNTIFS($AW$3:$AW$201,$M302)&gt;0
   )),
  ),
  2
 ),
"")</f>
        <v/>
      </c>
      <c r="Q302" s="3" t="str" cm="1">
        <f t="array" ref="Q302">IFERROR(
 INDEX(
  _xlfn._xlws.FILTER($T$2:$AW$2,
   TRANSPOSE(
    CHOOSE({1;2;3;4;5;6;7;8;9;10;11;12;13;14;15;16;17;18;19;20;21;22;23;24;25;26;27;28;29;30},
     COUNTIFS($T$3:$T$201,$M302)&gt;0,
     COUNTIFS($U$3:$U$201,$M302)&gt;0,
     COUNTIFS($V$3:$V$201,$M302)&gt;0,
     COUNTIFS($W$3:$W$201,$M302)&gt;0,
     COUNTIFS($X$3:$X$201,$M302)&gt;0,
     COUNTIFS($Y$3:$Y$201,$M302)&gt;0,
     COUNTIFS($Z$3:$Z$201,$M302)&gt;0,
     COUNTIFS($AA$3:$AA$201,$M302)&gt;0,
     COUNTIFS($AB$3:$AB$201,$M302)&gt;0,
     COUNTIFS($AC$3:$AC$201,$M302)&gt;0,
     COUNTIFS($AD$3:$AD$201,$M302)&gt;0,
     COUNTIFS($AE$3:$AE$201,$M302)&gt;0,
     COUNTIFS($AF$3:$AF$201,$M302)&gt;0,
     COUNTIFS($AG$3:$AG$201,$M302)&gt;0,
     COUNTIFS($AH$3:$AH$201,$M302)&gt;0,
     COUNTIFS($AI$3:$AI$201,$M302)&gt;0,
     COUNTIFS($AJ$3:$AJ$201,$M302)&gt;0,
     COUNTIFS($AK$3:$AK$201,$M302)&gt;0,
     COUNTIFS($AL$3:$AL$201,$M302)&gt;0,
     COUNTIFS($AM$3:$AM$201,$M302)&gt;0,
     COUNTIFS($AN$3:$AN$201,$M302)&gt;0,
     COUNTIFS($AO$3:$AO$201,$M302)&gt;0,
     COUNTIFS($AP$3:$AP$201,$M302)&gt;0,
     COUNTIFS($AQ$3:$AQ$201,$M302)&gt;0,
     COUNTIFS($AR$3:$AR$201,$M302)&gt;0,
     COUNTIFS($AS$3:$AS$201,$M302)&gt;0,
     COUNTIFS($AT$3:$AT$201,$M302)&gt;0,
     COUNTIFS($AU$3:$AU$201,$M302)&gt;0,
     COUNTIFS($AV$3:$AV$201,$M302)&gt;0,
     COUNTIFS($AW$3:$AW$201,$M302)&gt;0
   )),
  ),
  3
 ),
"")</f>
        <v/>
      </c>
      <c r="R302" s="3" t="str" cm="1">
        <f t="array" ref="R302">IFERROR(
 INDEX(
  _xlfn._xlws.FILTER($T$2:$AW$2,
   TRANSPOSE(
    CHOOSE({1;2;3;4;5;6;7;8;9;10;11;12;13;14;15;16;17;18;19;20;21;22;23;24;25;26;27;28;29;30},
     COUNTIFS($T$3:$T$201,$M302)&gt;0,
     COUNTIFS($U$3:$U$201,$M302)&gt;0,
     COUNTIFS($V$3:$V$201,$M302)&gt;0,
     COUNTIFS($W$3:$W$201,$M302)&gt;0,
     COUNTIFS($X$3:$X$201,$M302)&gt;0,
     COUNTIFS($Y$3:$Y$201,$M302)&gt;0,
     COUNTIFS($Z$3:$Z$201,$M302)&gt;0,
     COUNTIFS($AA$3:$AA$201,$M302)&gt;0,
     COUNTIFS($AB$3:$AB$201,$M302)&gt;0,
     COUNTIFS($AC$3:$AC$201,$M302)&gt;0,
     COUNTIFS($AD$3:$AD$201,$M302)&gt;0,
     COUNTIFS($AE$3:$AE$201,$M302)&gt;0,
     COUNTIFS($AF$3:$AF$201,$M302)&gt;0,
     COUNTIFS($AG$3:$AG$201,$M302)&gt;0,
     COUNTIFS($AH$3:$AH$201,$M302)&gt;0,
     COUNTIFS($AI$3:$AI$201,$M302)&gt;0,
     COUNTIFS($AJ$3:$AJ$201,$M302)&gt;0,
     COUNTIFS($AK$3:$AK$201,$M302)&gt;0,
     COUNTIFS($AL$3:$AL$201,$M302)&gt;0,
     COUNTIFS($AM$3:$AM$201,$M302)&gt;0,
     COUNTIFS($AN$3:$AN$201,$M302)&gt;0,
     COUNTIFS($AO$3:$AO$201,$M302)&gt;0,
     COUNTIFS($AP$3:$AP$201,$M302)&gt;0,
     COUNTIFS($AQ$3:$AQ$201,$M302)&gt;0,
     COUNTIFS($AR$3:$AR$201,$M302)&gt;0,
     COUNTIFS($AS$3:$AS$201,$M302)&gt;0,
     COUNTIFS($AT$3:$AT$201,$M302)&gt;0,
     COUNTIFS($AU$3:$AU$201,$M302)&gt;0,
     COUNTIFS($AV$3:$AV$201,$M302)&gt;0,
     COUNTIFS($AW$3:$AW$201,$M302)&gt;0
   )),
  ),
  4
 ),
"")</f>
        <v/>
      </c>
    </row>
    <row r="303" spans="1:18" x14ac:dyDescent="0.25">
      <c r="A303" t="str">
        <f ca="1"/>
        <v>Tishana, Voice of Thunder</v>
      </c>
      <c r="B303" s="3" t="str" cm="1">
        <f t="array" aca="1" ref="B303" ca="1">_xlfn.ANCHORARRAY(RESUMO!C302)</f>
        <v>Kumena</v>
      </c>
      <c r="C303" s="3" t="str">
        <f t="shared" ca="1" si="16"/>
        <v/>
      </c>
      <c r="N303" s="3">
        <f t="shared" si="19"/>
        <v>0</v>
      </c>
      <c r="O303" s="3" t="str">
        <f>IFERROR(
 INDEX($T$2:$AW$2,
  MATCH(TRUE,
   CHOOSE({1;2;3;4;5;6;7;8;9;10;11;12;13;14;15;16;17;18;19;20;21;22;23;24;25;26;27;28;29;30;31;32},
    COUNTIFS($T$3:$T$201,$M303)&gt;0,
    COUNTIFS($U$3:$U$201,$M303)&gt;0,
    COUNTIFS($V$3:$V$201,$M303)&gt;0,
    COUNTIFS($W$3:$W$201,$M303)&gt;0,
    COUNTIFS($X$3:$X$201,$M303)&gt;0,
    COUNTIFS($Y$3:$Y$201,$M303)&gt;0,
    COUNTIFS($Z$3:$Z$201,$M303)&gt;0,
    COUNTIFS($AA$3:$AA$201,$M303)&gt;0,
    COUNTIFS($AB$3:$AB$201,$M303)&gt;0,
    COUNTIFS($AC$3:$AC$201,$M303)&gt;0,
    COUNTIFS($AD$3:$AD$201,$M303)&gt;0,
    COUNTIFS($AE$3:$AE$201,$M303)&gt;0,
    COUNTIFS($AF$3:$AF$201,$M303)&gt;0,
    COUNTIFS($AG$3:$AG$201,$M303)&gt;0,
    COUNTIFS($AH$3:$AH$201,$M303)&gt;0,
    COUNTIFS($AI$3:$AI$201,$M303)&gt;0,
    COUNTIFS($AJ$3:$AJ$201,$M303)&gt;0,
    COUNTIFS($AK$3:$AK$201,$M303)&gt;0,
    COUNTIFS($AL$3:$AL$201,$M303)&gt;0,
    COUNTIFS($AM$3:$AM$201,$M303)&gt;0,
    COUNTIFS($AN$3:$AN$201,$M303)&gt;0,
    COUNTIFS($AO$3:$AO$201,$M303)&gt;0,
    COUNTIFS($AP$3:$AP$201,$M303)&gt;0,
    COUNTIFS($AQ$3:$AQ$201,$M303)&gt;0,
    COUNTIFS($AR$3:$AR$201,$M303)&gt;0,
    COUNTIFS($AS$3:$AS$201,$M303)&gt;0,
    COUNTIFS($AT$3:$AT$201,$M303)&gt;0,
    COUNTIFS($AU$3:$AU$201,$M303)&gt;0,
    COUNTIFS($AV$3:$AV$201,$M303)&gt;0,
    COUNTIFS($AW$3:$AW$201,$M303)&gt;0
   ),
  0)
 ),
"")</f>
        <v/>
      </c>
      <c r="P303" s="3" t="str" cm="1">
        <f t="array" ref="P303">IFERROR(
 INDEX(
  _xlfn._xlws.FILTER($T$2:$AW$2,
   TRANSPOSE(
    CHOOSE({1;2;3;4;5;6;7;8;9;10;11;12;13;14;15;16;17;18;19;20;21;22;23;24;25;26;27;28;29;30},
     COUNTIFS($T$3:$T$201,$M303)&gt;0,
     COUNTIFS($U$3:$U$201,$M303)&gt;0,
     COUNTIFS($V$3:$V$201,$M303)&gt;0,
     COUNTIFS($W$3:$W$201,$M303)&gt;0,
     COUNTIFS($X$3:$X$201,$M303)&gt;0,
     COUNTIFS($Y$3:$Y$201,$M303)&gt;0,
     COUNTIFS($Z$3:$Z$201,$M303)&gt;0,
     COUNTIFS($AA$3:$AA$201,$M303)&gt;0,
     COUNTIFS($AB$3:$AB$201,$M303)&gt;0,
     COUNTIFS($AC$3:$AC$201,$M303)&gt;0,
     COUNTIFS($AD$3:$AD$201,$M303)&gt;0,
     COUNTIFS($AE$3:$AE$201,$M303)&gt;0,
     COUNTIFS($AF$3:$AF$201,$M303)&gt;0,
     COUNTIFS($AG$3:$AG$201,$M303)&gt;0,
     COUNTIFS($AH$3:$AH$201,$M303)&gt;0,
     COUNTIFS($AI$3:$AI$201,$M303)&gt;0,
     COUNTIFS($AJ$3:$AJ$201,$M303)&gt;0,
     COUNTIFS($AK$3:$AK$201,$M303)&gt;0,
     COUNTIFS($AL$3:$AL$201,$M303)&gt;0,
     COUNTIFS($AM$3:$AM$201,$M303)&gt;0,
     COUNTIFS($AN$3:$AN$201,$M303)&gt;0,
     COUNTIFS($AO$3:$AO$201,$M303)&gt;0,
     COUNTIFS($AP$3:$AP$201,$M303)&gt;0,
     COUNTIFS($AQ$3:$AQ$201,$M303)&gt;0,
     COUNTIFS($AR$3:$AR$201,$M303)&gt;0,
     COUNTIFS($AS$3:$AS$201,$M303)&gt;0,
     COUNTIFS($AT$3:$AT$201,$M303)&gt;0,
     COUNTIFS($AU$3:$AU$201,$M303)&gt;0,
     COUNTIFS($AV$3:$AV$201,$M303)&gt;0,
     COUNTIFS($AW$3:$AW$201,$M303)&gt;0
   )),
  ),
  2
 ),
"")</f>
        <v/>
      </c>
      <c r="Q303" s="3" t="str" cm="1">
        <f t="array" ref="Q303">IFERROR(
 INDEX(
  _xlfn._xlws.FILTER($T$2:$AW$2,
   TRANSPOSE(
    CHOOSE({1;2;3;4;5;6;7;8;9;10;11;12;13;14;15;16;17;18;19;20;21;22;23;24;25;26;27;28;29;30},
     COUNTIFS($T$3:$T$201,$M303)&gt;0,
     COUNTIFS($U$3:$U$201,$M303)&gt;0,
     COUNTIFS($V$3:$V$201,$M303)&gt;0,
     COUNTIFS($W$3:$W$201,$M303)&gt;0,
     COUNTIFS($X$3:$X$201,$M303)&gt;0,
     COUNTIFS($Y$3:$Y$201,$M303)&gt;0,
     COUNTIFS($Z$3:$Z$201,$M303)&gt;0,
     COUNTIFS($AA$3:$AA$201,$M303)&gt;0,
     COUNTIFS($AB$3:$AB$201,$M303)&gt;0,
     COUNTIFS($AC$3:$AC$201,$M303)&gt;0,
     COUNTIFS($AD$3:$AD$201,$M303)&gt;0,
     COUNTIFS($AE$3:$AE$201,$M303)&gt;0,
     COUNTIFS($AF$3:$AF$201,$M303)&gt;0,
     COUNTIFS($AG$3:$AG$201,$M303)&gt;0,
     COUNTIFS($AH$3:$AH$201,$M303)&gt;0,
     COUNTIFS($AI$3:$AI$201,$M303)&gt;0,
     COUNTIFS($AJ$3:$AJ$201,$M303)&gt;0,
     COUNTIFS($AK$3:$AK$201,$M303)&gt;0,
     COUNTIFS($AL$3:$AL$201,$M303)&gt;0,
     COUNTIFS($AM$3:$AM$201,$M303)&gt;0,
     COUNTIFS($AN$3:$AN$201,$M303)&gt;0,
     COUNTIFS($AO$3:$AO$201,$M303)&gt;0,
     COUNTIFS($AP$3:$AP$201,$M303)&gt;0,
     COUNTIFS($AQ$3:$AQ$201,$M303)&gt;0,
     COUNTIFS($AR$3:$AR$201,$M303)&gt;0,
     COUNTIFS($AS$3:$AS$201,$M303)&gt;0,
     COUNTIFS($AT$3:$AT$201,$M303)&gt;0,
     COUNTIFS($AU$3:$AU$201,$M303)&gt;0,
     COUNTIFS($AV$3:$AV$201,$M303)&gt;0,
     COUNTIFS($AW$3:$AW$201,$M303)&gt;0
   )),
  ),
  3
 ),
"")</f>
        <v/>
      </c>
      <c r="R303" s="3" t="str" cm="1">
        <f t="array" ref="R303">IFERROR(
 INDEX(
  _xlfn._xlws.FILTER($T$2:$AW$2,
   TRANSPOSE(
    CHOOSE({1;2;3;4;5;6;7;8;9;10;11;12;13;14;15;16;17;18;19;20;21;22;23;24;25;26;27;28;29;30},
     COUNTIFS($T$3:$T$201,$M303)&gt;0,
     COUNTIFS($U$3:$U$201,$M303)&gt;0,
     COUNTIFS($V$3:$V$201,$M303)&gt;0,
     COUNTIFS($W$3:$W$201,$M303)&gt;0,
     COUNTIFS($X$3:$X$201,$M303)&gt;0,
     COUNTIFS($Y$3:$Y$201,$M303)&gt;0,
     COUNTIFS($Z$3:$Z$201,$M303)&gt;0,
     COUNTIFS($AA$3:$AA$201,$M303)&gt;0,
     COUNTIFS($AB$3:$AB$201,$M303)&gt;0,
     COUNTIFS($AC$3:$AC$201,$M303)&gt;0,
     COUNTIFS($AD$3:$AD$201,$M303)&gt;0,
     COUNTIFS($AE$3:$AE$201,$M303)&gt;0,
     COUNTIFS($AF$3:$AF$201,$M303)&gt;0,
     COUNTIFS($AG$3:$AG$201,$M303)&gt;0,
     COUNTIFS($AH$3:$AH$201,$M303)&gt;0,
     COUNTIFS($AI$3:$AI$201,$M303)&gt;0,
     COUNTIFS($AJ$3:$AJ$201,$M303)&gt;0,
     COUNTIFS($AK$3:$AK$201,$M303)&gt;0,
     COUNTIFS($AL$3:$AL$201,$M303)&gt;0,
     COUNTIFS($AM$3:$AM$201,$M303)&gt;0,
     COUNTIFS($AN$3:$AN$201,$M303)&gt;0,
     COUNTIFS($AO$3:$AO$201,$M303)&gt;0,
     COUNTIFS($AP$3:$AP$201,$M303)&gt;0,
     COUNTIFS($AQ$3:$AQ$201,$M303)&gt;0,
     COUNTIFS($AR$3:$AR$201,$M303)&gt;0,
     COUNTIFS($AS$3:$AS$201,$M303)&gt;0,
     COUNTIFS($AT$3:$AT$201,$M303)&gt;0,
     COUNTIFS($AU$3:$AU$201,$M303)&gt;0,
     COUNTIFS($AV$3:$AV$201,$M303)&gt;0,
     COUNTIFS($AW$3:$AW$201,$M303)&gt;0
   )),
  ),
  4
 ),
"")</f>
        <v/>
      </c>
    </row>
    <row r="304" spans="1:18" x14ac:dyDescent="0.25">
      <c r="A304" t="str">
        <f ca="1"/>
        <v>Titania, Voice of Gaea</v>
      </c>
      <c r="B304" s="3" t="str" cm="1">
        <f t="array" aca="1" ref="B304" ca="1">_xlfn.ANCHORARRAY(RESUMO!C303)</f>
        <v>Gritrog</v>
      </c>
      <c r="C304" s="3" t="str">
        <f t="shared" ca="1" si="16"/>
        <v/>
      </c>
      <c r="N304" s="3">
        <f t="shared" si="19"/>
        <v>0</v>
      </c>
      <c r="O304" s="3" t="str">
        <f>IFERROR(
 INDEX($T$2:$AW$2,
  MATCH(TRUE,
   CHOOSE({1;2;3;4;5;6;7;8;9;10;11;12;13;14;15;16;17;18;19;20;21;22;23;24;25;26;27;28;29;30;31;32},
    COUNTIFS($T$3:$T$201,$M304)&gt;0,
    COUNTIFS($U$3:$U$201,$M304)&gt;0,
    COUNTIFS($V$3:$V$201,$M304)&gt;0,
    COUNTIFS($W$3:$W$201,$M304)&gt;0,
    COUNTIFS($X$3:$X$201,$M304)&gt;0,
    COUNTIFS($Y$3:$Y$201,$M304)&gt;0,
    COUNTIFS($Z$3:$Z$201,$M304)&gt;0,
    COUNTIFS($AA$3:$AA$201,$M304)&gt;0,
    COUNTIFS($AB$3:$AB$201,$M304)&gt;0,
    COUNTIFS($AC$3:$AC$201,$M304)&gt;0,
    COUNTIFS($AD$3:$AD$201,$M304)&gt;0,
    COUNTIFS($AE$3:$AE$201,$M304)&gt;0,
    COUNTIFS($AF$3:$AF$201,$M304)&gt;0,
    COUNTIFS($AG$3:$AG$201,$M304)&gt;0,
    COUNTIFS($AH$3:$AH$201,$M304)&gt;0,
    COUNTIFS($AI$3:$AI$201,$M304)&gt;0,
    COUNTIFS($AJ$3:$AJ$201,$M304)&gt;0,
    COUNTIFS($AK$3:$AK$201,$M304)&gt;0,
    COUNTIFS($AL$3:$AL$201,$M304)&gt;0,
    COUNTIFS($AM$3:$AM$201,$M304)&gt;0,
    COUNTIFS($AN$3:$AN$201,$M304)&gt;0,
    COUNTIFS($AO$3:$AO$201,$M304)&gt;0,
    COUNTIFS($AP$3:$AP$201,$M304)&gt;0,
    COUNTIFS($AQ$3:$AQ$201,$M304)&gt;0,
    COUNTIFS($AR$3:$AR$201,$M304)&gt;0,
    COUNTIFS($AS$3:$AS$201,$M304)&gt;0,
    COUNTIFS($AT$3:$AT$201,$M304)&gt;0,
    COUNTIFS($AU$3:$AU$201,$M304)&gt;0,
    COUNTIFS($AV$3:$AV$201,$M304)&gt;0,
    COUNTIFS($AW$3:$AW$201,$M304)&gt;0
   ),
  0)
 ),
"")</f>
        <v/>
      </c>
      <c r="P304" s="3" t="str" cm="1">
        <f t="array" ref="P304">IFERROR(
 INDEX(
  _xlfn._xlws.FILTER($T$2:$AW$2,
   TRANSPOSE(
    CHOOSE({1;2;3;4;5;6;7;8;9;10;11;12;13;14;15;16;17;18;19;20;21;22;23;24;25;26;27;28;29;30},
     COUNTIFS($T$3:$T$201,$M304)&gt;0,
     COUNTIFS($U$3:$U$201,$M304)&gt;0,
     COUNTIFS($V$3:$V$201,$M304)&gt;0,
     COUNTIFS($W$3:$W$201,$M304)&gt;0,
     COUNTIFS($X$3:$X$201,$M304)&gt;0,
     COUNTIFS($Y$3:$Y$201,$M304)&gt;0,
     COUNTIFS($Z$3:$Z$201,$M304)&gt;0,
     COUNTIFS($AA$3:$AA$201,$M304)&gt;0,
     COUNTIFS($AB$3:$AB$201,$M304)&gt;0,
     COUNTIFS($AC$3:$AC$201,$M304)&gt;0,
     COUNTIFS($AD$3:$AD$201,$M304)&gt;0,
     COUNTIFS($AE$3:$AE$201,$M304)&gt;0,
     COUNTIFS($AF$3:$AF$201,$M304)&gt;0,
     COUNTIFS($AG$3:$AG$201,$M304)&gt;0,
     COUNTIFS($AH$3:$AH$201,$M304)&gt;0,
     COUNTIFS($AI$3:$AI$201,$M304)&gt;0,
     COUNTIFS($AJ$3:$AJ$201,$M304)&gt;0,
     COUNTIFS($AK$3:$AK$201,$M304)&gt;0,
     COUNTIFS($AL$3:$AL$201,$M304)&gt;0,
     COUNTIFS($AM$3:$AM$201,$M304)&gt;0,
     COUNTIFS($AN$3:$AN$201,$M304)&gt;0,
     COUNTIFS($AO$3:$AO$201,$M304)&gt;0,
     COUNTIFS($AP$3:$AP$201,$M304)&gt;0,
     COUNTIFS($AQ$3:$AQ$201,$M304)&gt;0,
     COUNTIFS($AR$3:$AR$201,$M304)&gt;0,
     COUNTIFS($AS$3:$AS$201,$M304)&gt;0,
     COUNTIFS($AT$3:$AT$201,$M304)&gt;0,
     COUNTIFS($AU$3:$AU$201,$M304)&gt;0,
     COUNTIFS($AV$3:$AV$201,$M304)&gt;0,
     COUNTIFS($AW$3:$AW$201,$M304)&gt;0
   )),
  ),
  2
 ),
"")</f>
        <v/>
      </c>
      <c r="Q304" s="3" t="str" cm="1">
        <f t="array" ref="Q304">IFERROR(
 INDEX(
  _xlfn._xlws.FILTER($T$2:$AW$2,
   TRANSPOSE(
    CHOOSE({1;2;3;4;5;6;7;8;9;10;11;12;13;14;15;16;17;18;19;20;21;22;23;24;25;26;27;28;29;30},
     COUNTIFS($T$3:$T$201,$M304)&gt;0,
     COUNTIFS($U$3:$U$201,$M304)&gt;0,
     COUNTIFS($V$3:$V$201,$M304)&gt;0,
     COUNTIFS($W$3:$W$201,$M304)&gt;0,
     COUNTIFS($X$3:$X$201,$M304)&gt;0,
     COUNTIFS($Y$3:$Y$201,$M304)&gt;0,
     COUNTIFS($Z$3:$Z$201,$M304)&gt;0,
     COUNTIFS($AA$3:$AA$201,$M304)&gt;0,
     COUNTIFS($AB$3:$AB$201,$M304)&gt;0,
     COUNTIFS($AC$3:$AC$201,$M304)&gt;0,
     COUNTIFS($AD$3:$AD$201,$M304)&gt;0,
     COUNTIFS($AE$3:$AE$201,$M304)&gt;0,
     COUNTIFS($AF$3:$AF$201,$M304)&gt;0,
     COUNTIFS($AG$3:$AG$201,$M304)&gt;0,
     COUNTIFS($AH$3:$AH$201,$M304)&gt;0,
     COUNTIFS($AI$3:$AI$201,$M304)&gt;0,
     COUNTIFS($AJ$3:$AJ$201,$M304)&gt;0,
     COUNTIFS($AK$3:$AK$201,$M304)&gt;0,
     COUNTIFS($AL$3:$AL$201,$M304)&gt;0,
     COUNTIFS($AM$3:$AM$201,$M304)&gt;0,
     COUNTIFS($AN$3:$AN$201,$M304)&gt;0,
     COUNTIFS($AO$3:$AO$201,$M304)&gt;0,
     COUNTIFS($AP$3:$AP$201,$M304)&gt;0,
     COUNTIFS($AQ$3:$AQ$201,$M304)&gt;0,
     COUNTIFS($AR$3:$AR$201,$M304)&gt;0,
     COUNTIFS($AS$3:$AS$201,$M304)&gt;0,
     COUNTIFS($AT$3:$AT$201,$M304)&gt;0,
     COUNTIFS($AU$3:$AU$201,$M304)&gt;0,
     COUNTIFS($AV$3:$AV$201,$M304)&gt;0,
     COUNTIFS($AW$3:$AW$201,$M304)&gt;0
   )),
  ),
  3
 ),
"")</f>
        <v/>
      </c>
      <c r="R304" s="3" t="str" cm="1">
        <f t="array" ref="R304">IFERROR(
 INDEX(
  _xlfn._xlws.FILTER($T$2:$AW$2,
   TRANSPOSE(
    CHOOSE({1;2;3;4;5;6;7;8;9;10;11;12;13;14;15;16;17;18;19;20;21;22;23;24;25;26;27;28;29;30},
     COUNTIFS($T$3:$T$201,$M304)&gt;0,
     COUNTIFS($U$3:$U$201,$M304)&gt;0,
     COUNTIFS($V$3:$V$201,$M304)&gt;0,
     COUNTIFS($W$3:$W$201,$M304)&gt;0,
     COUNTIFS($X$3:$X$201,$M304)&gt;0,
     COUNTIFS($Y$3:$Y$201,$M304)&gt;0,
     COUNTIFS($Z$3:$Z$201,$M304)&gt;0,
     COUNTIFS($AA$3:$AA$201,$M304)&gt;0,
     COUNTIFS($AB$3:$AB$201,$M304)&gt;0,
     COUNTIFS($AC$3:$AC$201,$M304)&gt;0,
     COUNTIFS($AD$3:$AD$201,$M304)&gt;0,
     COUNTIFS($AE$3:$AE$201,$M304)&gt;0,
     COUNTIFS($AF$3:$AF$201,$M304)&gt;0,
     COUNTIFS($AG$3:$AG$201,$M304)&gt;0,
     COUNTIFS($AH$3:$AH$201,$M304)&gt;0,
     COUNTIFS($AI$3:$AI$201,$M304)&gt;0,
     COUNTIFS($AJ$3:$AJ$201,$M304)&gt;0,
     COUNTIFS($AK$3:$AK$201,$M304)&gt;0,
     COUNTIFS($AL$3:$AL$201,$M304)&gt;0,
     COUNTIFS($AM$3:$AM$201,$M304)&gt;0,
     COUNTIFS($AN$3:$AN$201,$M304)&gt;0,
     COUNTIFS($AO$3:$AO$201,$M304)&gt;0,
     COUNTIFS($AP$3:$AP$201,$M304)&gt;0,
     COUNTIFS($AQ$3:$AQ$201,$M304)&gt;0,
     COUNTIFS($AR$3:$AR$201,$M304)&gt;0,
     COUNTIFS($AS$3:$AS$201,$M304)&gt;0,
     COUNTIFS($AT$3:$AT$201,$M304)&gt;0,
     COUNTIFS($AU$3:$AU$201,$M304)&gt;0,
     COUNTIFS($AV$3:$AV$201,$M304)&gt;0,
     COUNTIFS($AW$3:$AW$201,$M304)&gt;0
   )),
  ),
  4
 ),
"")</f>
        <v/>
      </c>
    </row>
    <row r="305" spans="1:18" x14ac:dyDescent="0.25">
      <c r="A305" t="str">
        <f ca="1"/>
        <v>Toph, the Blind Bandit</v>
      </c>
      <c r="B305" s="3" t="str" cm="1">
        <f t="array" aca="1" ref="B305" ca="1">_xlfn.ANCHORARRAY(RESUMO!C304)</f>
        <v>Modular</v>
      </c>
      <c r="C305" s="3" t="str">
        <f t="shared" ca="1" si="16"/>
        <v/>
      </c>
      <c r="N305" s="3">
        <f t="shared" si="19"/>
        <v>0</v>
      </c>
      <c r="O305" s="3" t="str">
        <f>IFERROR(
 INDEX($T$2:$AW$2,
  MATCH(TRUE,
   CHOOSE({1;2;3;4;5;6;7;8;9;10;11;12;13;14;15;16;17;18;19;20;21;22;23;24;25;26;27;28;29;30;31;32},
    COUNTIFS($T$3:$T$201,$M305)&gt;0,
    COUNTIFS($U$3:$U$201,$M305)&gt;0,
    COUNTIFS($V$3:$V$201,$M305)&gt;0,
    COUNTIFS($W$3:$W$201,$M305)&gt;0,
    COUNTIFS($X$3:$X$201,$M305)&gt;0,
    COUNTIFS($Y$3:$Y$201,$M305)&gt;0,
    COUNTIFS($Z$3:$Z$201,$M305)&gt;0,
    COUNTIFS($AA$3:$AA$201,$M305)&gt;0,
    COUNTIFS($AB$3:$AB$201,$M305)&gt;0,
    COUNTIFS($AC$3:$AC$201,$M305)&gt;0,
    COUNTIFS($AD$3:$AD$201,$M305)&gt;0,
    COUNTIFS($AE$3:$AE$201,$M305)&gt;0,
    COUNTIFS($AF$3:$AF$201,$M305)&gt;0,
    COUNTIFS($AG$3:$AG$201,$M305)&gt;0,
    COUNTIFS($AH$3:$AH$201,$M305)&gt;0,
    COUNTIFS($AI$3:$AI$201,$M305)&gt;0,
    COUNTIFS($AJ$3:$AJ$201,$M305)&gt;0,
    COUNTIFS($AK$3:$AK$201,$M305)&gt;0,
    COUNTIFS($AL$3:$AL$201,$M305)&gt;0,
    COUNTIFS($AM$3:$AM$201,$M305)&gt;0,
    COUNTIFS($AN$3:$AN$201,$M305)&gt;0,
    COUNTIFS($AO$3:$AO$201,$M305)&gt;0,
    COUNTIFS($AP$3:$AP$201,$M305)&gt;0,
    COUNTIFS($AQ$3:$AQ$201,$M305)&gt;0,
    COUNTIFS($AR$3:$AR$201,$M305)&gt;0,
    COUNTIFS($AS$3:$AS$201,$M305)&gt;0,
    COUNTIFS($AT$3:$AT$201,$M305)&gt;0,
    COUNTIFS($AU$3:$AU$201,$M305)&gt;0,
    COUNTIFS($AV$3:$AV$201,$M305)&gt;0,
    COUNTIFS($AW$3:$AW$201,$M305)&gt;0
   ),
  0)
 ),
"")</f>
        <v/>
      </c>
      <c r="P305" s="3" t="str" cm="1">
        <f t="array" ref="P305">IFERROR(
 INDEX(
  _xlfn._xlws.FILTER($T$2:$AW$2,
   TRANSPOSE(
    CHOOSE({1;2;3;4;5;6;7;8;9;10;11;12;13;14;15;16;17;18;19;20;21;22;23;24;25;26;27;28;29;30},
     COUNTIFS($T$3:$T$201,$M305)&gt;0,
     COUNTIFS($U$3:$U$201,$M305)&gt;0,
     COUNTIFS($V$3:$V$201,$M305)&gt;0,
     COUNTIFS($W$3:$W$201,$M305)&gt;0,
     COUNTIFS($X$3:$X$201,$M305)&gt;0,
     COUNTIFS($Y$3:$Y$201,$M305)&gt;0,
     COUNTIFS($Z$3:$Z$201,$M305)&gt;0,
     COUNTIFS($AA$3:$AA$201,$M305)&gt;0,
     COUNTIFS($AB$3:$AB$201,$M305)&gt;0,
     COUNTIFS($AC$3:$AC$201,$M305)&gt;0,
     COUNTIFS($AD$3:$AD$201,$M305)&gt;0,
     COUNTIFS($AE$3:$AE$201,$M305)&gt;0,
     COUNTIFS($AF$3:$AF$201,$M305)&gt;0,
     COUNTIFS($AG$3:$AG$201,$M305)&gt;0,
     COUNTIFS($AH$3:$AH$201,$M305)&gt;0,
     COUNTIFS($AI$3:$AI$201,$M305)&gt;0,
     COUNTIFS($AJ$3:$AJ$201,$M305)&gt;0,
     COUNTIFS($AK$3:$AK$201,$M305)&gt;0,
     COUNTIFS($AL$3:$AL$201,$M305)&gt;0,
     COUNTIFS($AM$3:$AM$201,$M305)&gt;0,
     COUNTIFS($AN$3:$AN$201,$M305)&gt;0,
     COUNTIFS($AO$3:$AO$201,$M305)&gt;0,
     COUNTIFS($AP$3:$AP$201,$M305)&gt;0,
     COUNTIFS($AQ$3:$AQ$201,$M305)&gt;0,
     COUNTIFS($AR$3:$AR$201,$M305)&gt;0,
     COUNTIFS($AS$3:$AS$201,$M305)&gt;0,
     COUNTIFS($AT$3:$AT$201,$M305)&gt;0,
     COUNTIFS($AU$3:$AU$201,$M305)&gt;0,
     COUNTIFS($AV$3:$AV$201,$M305)&gt;0,
     COUNTIFS($AW$3:$AW$201,$M305)&gt;0
   )),
  ),
  2
 ),
"")</f>
        <v/>
      </c>
      <c r="Q305" s="3" t="str" cm="1">
        <f t="array" ref="Q305">IFERROR(
 INDEX(
  _xlfn._xlws.FILTER($T$2:$AW$2,
   TRANSPOSE(
    CHOOSE({1;2;3;4;5;6;7;8;9;10;11;12;13;14;15;16;17;18;19;20;21;22;23;24;25;26;27;28;29;30},
     COUNTIFS($T$3:$T$201,$M305)&gt;0,
     COUNTIFS($U$3:$U$201,$M305)&gt;0,
     COUNTIFS($V$3:$V$201,$M305)&gt;0,
     COUNTIFS($W$3:$W$201,$M305)&gt;0,
     COUNTIFS($X$3:$X$201,$M305)&gt;0,
     COUNTIFS($Y$3:$Y$201,$M305)&gt;0,
     COUNTIFS($Z$3:$Z$201,$M305)&gt;0,
     COUNTIFS($AA$3:$AA$201,$M305)&gt;0,
     COUNTIFS($AB$3:$AB$201,$M305)&gt;0,
     COUNTIFS($AC$3:$AC$201,$M305)&gt;0,
     COUNTIFS($AD$3:$AD$201,$M305)&gt;0,
     COUNTIFS($AE$3:$AE$201,$M305)&gt;0,
     COUNTIFS($AF$3:$AF$201,$M305)&gt;0,
     COUNTIFS($AG$3:$AG$201,$M305)&gt;0,
     COUNTIFS($AH$3:$AH$201,$M305)&gt;0,
     COUNTIFS($AI$3:$AI$201,$M305)&gt;0,
     COUNTIFS($AJ$3:$AJ$201,$M305)&gt;0,
     COUNTIFS($AK$3:$AK$201,$M305)&gt;0,
     COUNTIFS($AL$3:$AL$201,$M305)&gt;0,
     COUNTIFS($AM$3:$AM$201,$M305)&gt;0,
     COUNTIFS($AN$3:$AN$201,$M305)&gt;0,
     COUNTIFS($AO$3:$AO$201,$M305)&gt;0,
     COUNTIFS($AP$3:$AP$201,$M305)&gt;0,
     COUNTIFS($AQ$3:$AQ$201,$M305)&gt;0,
     COUNTIFS($AR$3:$AR$201,$M305)&gt;0,
     COUNTIFS($AS$3:$AS$201,$M305)&gt;0,
     COUNTIFS($AT$3:$AT$201,$M305)&gt;0,
     COUNTIFS($AU$3:$AU$201,$M305)&gt;0,
     COUNTIFS($AV$3:$AV$201,$M305)&gt;0,
     COUNTIFS($AW$3:$AW$201,$M305)&gt;0
   )),
  ),
  3
 ),
"")</f>
        <v/>
      </c>
      <c r="R305" s="3" t="str" cm="1">
        <f t="array" ref="R305">IFERROR(
 INDEX(
  _xlfn._xlws.FILTER($T$2:$AW$2,
   TRANSPOSE(
    CHOOSE({1;2;3;4;5;6;7;8;9;10;11;12;13;14;15;16;17;18;19;20;21;22;23;24;25;26;27;28;29;30},
     COUNTIFS($T$3:$T$201,$M305)&gt;0,
     COUNTIFS($U$3:$U$201,$M305)&gt;0,
     COUNTIFS($V$3:$V$201,$M305)&gt;0,
     COUNTIFS($W$3:$W$201,$M305)&gt;0,
     COUNTIFS($X$3:$X$201,$M305)&gt;0,
     COUNTIFS($Y$3:$Y$201,$M305)&gt;0,
     COUNTIFS($Z$3:$Z$201,$M305)&gt;0,
     COUNTIFS($AA$3:$AA$201,$M305)&gt;0,
     COUNTIFS($AB$3:$AB$201,$M305)&gt;0,
     COUNTIFS($AC$3:$AC$201,$M305)&gt;0,
     COUNTIFS($AD$3:$AD$201,$M305)&gt;0,
     COUNTIFS($AE$3:$AE$201,$M305)&gt;0,
     COUNTIFS($AF$3:$AF$201,$M305)&gt;0,
     COUNTIFS($AG$3:$AG$201,$M305)&gt;0,
     COUNTIFS($AH$3:$AH$201,$M305)&gt;0,
     COUNTIFS($AI$3:$AI$201,$M305)&gt;0,
     COUNTIFS($AJ$3:$AJ$201,$M305)&gt;0,
     COUNTIFS($AK$3:$AK$201,$M305)&gt;0,
     COUNTIFS($AL$3:$AL$201,$M305)&gt;0,
     COUNTIFS($AM$3:$AM$201,$M305)&gt;0,
     COUNTIFS($AN$3:$AN$201,$M305)&gt;0,
     COUNTIFS($AO$3:$AO$201,$M305)&gt;0,
     COUNTIFS($AP$3:$AP$201,$M305)&gt;0,
     COUNTIFS($AQ$3:$AQ$201,$M305)&gt;0,
     COUNTIFS($AR$3:$AR$201,$M305)&gt;0,
     COUNTIFS($AS$3:$AS$201,$M305)&gt;0,
     COUNTIFS($AT$3:$AT$201,$M305)&gt;0,
     COUNTIFS($AU$3:$AU$201,$M305)&gt;0,
     COUNTIFS($AV$3:$AV$201,$M305)&gt;0,
     COUNTIFS($AW$3:$AW$201,$M305)&gt;0
   )),
  ),
  4
 ),
"")</f>
        <v/>
      </c>
    </row>
    <row r="306" spans="1:18" x14ac:dyDescent="0.25">
      <c r="A306" t="str">
        <f ca="1"/>
        <v>Toph, the First Metalbender</v>
      </c>
      <c r="B306" s="3" t="str" cm="1">
        <f t="array" aca="1" ref="B306" ca="1">_xlfn.ANCHORARRAY(RESUMO!C305)</f>
        <v>Modular</v>
      </c>
      <c r="C306" s="3" t="str">
        <f t="shared" ca="1" si="16"/>
        <v/>
      </c>
      <c r="N306" s="3">
        <f t="shared" si="19"/>
        <v>0</v>
      </c>
      <c r="O306" s="3" t="str">
        <f>IFERROR(
 INDEX($T$2:$AW$2,
  MATCH(TRUE,
   CHOOSE({1;2;3;4;5;6;7;8;9;10;11;12;13;14;15;16;17;18;19;20;21;22;23;24;25;26;27;28;29;30;31;32},
    COUNTIFS($T$3:$T$201,$M306)&gt;0,
    COUNTIFS($U$3:$U$201,$M306)&gt;0,
    COUNTIFS($V$3:$V$201,$M306)&gt;0,
    COUNTIFS($W$3:$W$201,$M306)&gt;0,
    COUNTIFS($X$3:$X$201,$M306)&gt;0,
    COUNTIFS($Y$3:$Y$201,$M306)&gt;0,
    COUNTIFS($Z$3:$Z$201,$M306)&gt;0,
    COUNTIFS($AA$3:$AA$201,$M306)&gt;0,
    COUNTIFS($AB$3:$AB$201,$M306)&gt;0,
    COUNTIFS($AC$3:$AC$201,$M306)&gt;0,
    COUNTIFS($AD$3:$AD$201,$M306)&gt;0,
    COUNTIFS($AE$3:$AE$201,$M306)&gt;0,
    COUNTIFS($AF$3:$AF$201,$M306)&gt;0,
    COUNTIFS($AG$3:$AG$201,$M306)&gt;0,
    COUNTIFS($AH$3:$AH$201,$M306)&gt;0,
    COUNTIFS($AI$3:$AI$201,$M306)&gt;0,
    COUNTIFS($AJ$3:$AJ$201,$M306)&gt;0,
    COUNTIFS($AK$3:$AK$201,$M306)&gt;0,
    COUNTIFS($AL$3:$AL$201,$M306)&gt;0,
    COUNTIFS($AM$3:$AM$201,$M306)&gt;0,
    COUNTIFS($AN$3:$AN$201,$M306)&gt;0,
    COUNTIFS($AO$3:$AO$201,$M306)&gt;0,
    COUNTIFS($AP$3:$AP$201,$M306)&gt;0,
    COUNTIFS($AQ$3:$AQ$201,$M306)&gt;0,
    COUNTIFS($AR$3:$AR$201,$M306)&gt;0,
    COUNTIFS($AS$3:$AS$201,$M306)&gt;0,
    COUNTIFS($AT$3:$AT$201,$M306)&gt;0,
    COUNTIFS($AU$3:$AU$201,$M306)&gt;0,
    COUNTIFS($AV$3:$AV$201,$M306)&gt;0,
    COUNTIFS($AW$3:$AW$201,$M306)&gt;0
   ),
  0)
 ),
"")</f>
        <v/>
      </c>
      <c r="P306" s="3" t="str" cm="1">
        <f t="array" ref="P306">IFERROR(
 INDEX(
  _xlfn._xlws.FILTER($T$2:$AW$2,
   TRANSPOSE(
    CHOOSE({1;2;3;4;5;6;7;8;9;10;11;12;13;14;15;16;17;18;19;20;21;22;23;24;25;26;27;28;29;30},
     COUNTIFS($T$3:$T$201,$M306)&gt;0,
     COUNTIFS($U$3:$U$201,$M306)&gt;0,
     COUNTIFS($V$3:$V$201,$M306)&gt;0,
     COUNTIFS($W$3:$W$201,$M306)&gt;0,
     COUNTIFS($X$3:$X$201,$M306)&gt;0,
     COUNTIFS($Y$3:$Y$201,$M306)&gt;0,
     COUNTIFS($Z$3:$Z$201,$M306)&gt;0,
     COUNTIFS($AA$3:$AA$201,$M306)&gt;0,
     COUNTIFS($AB$3:$AB$201,$M306)&gt;0,
     COUNTIFS($AC$3:$AC$201,$M306)&gt;0,
     COUNTIFS($AD$3:$AD$201,$M306)&gt;0,
     COUNTIFS($AE$3:$AE$201,$M306)&gt;0,
     COUNTIFS($AF$3:$AF$201,$M306)&gt;0,
     COUNTIFS($AG$3:$AG$201,$M306)&gt;0,
     COUNTIFS($AH$3:$AH$201,$M306)&gt;0,
     COUNTIFS($AI$3:$AI$201,$M306)&gt;0,
     COUNTIFS($AJ$3:$AJ$201,$M306)&gt;0,
     COUNTIFS($AK$3:$AK$201,$M306)&gt;0,
     COUNTIFS($AL$3:$AL$201,$M306)&gt;0,
     COUNTIFS($AM$3:$AM$201,$M306)&gt;0,
     COUNTIFS($AN$3:$AN$201,$M306)&gt;0,
     COUNTIFS($AO$3:$AO$201,$M306)&gt;0,
     COUNTIFS($AP$3:$AP$201,$M306)&gt;0,
     COUNTIFS($AQ$3:$AQ$201,$M306)&gt;0,
     COUNTIFS($AR$3:$AR$201,$M306)&gt;0,
     COUNTIFS($AS$3:$AS$201,$M306)&gt;0,
     COUNTIFS($AT$3:$AT$201,$M306)&gt;0,
     COUNTIFS($AU$3:$AU$201,$M306)&gt;0,
     COUNTIFS($AV$3:$AV$201,$M306)&gt;0,
     COUNTIFS($AW$3:$AW$201,$M306)&gt;0
   )),
  ),
  2
 ),
"")</f>
        <v/>
      </c>
      <c r="Q306" s="3" t="str" cm="1">
        <f t="array" ref="Q306">IFERROR(
 INDEX(
  _xlfn._xlws.FILTER($T$2:$AW$2,
   TRANSPOSE(
    CHOOSE({1;2;3;4;5;6;7;8;9;10;11;12;13;14;15;16;17;18;19;20;21;22;23;24;25;26;27;28;29;30},
     COUNTIFS($T$3:$T$201,$M306)&gt;0,
     COUNTIFS($U$3:$U$201,$M306)&gt;0,
     COUNTIFS($V$3:$V$201,$M306)&gt;0,
     COUNTIFS($W$3:$W$201,$M306)&gt;0,
     COUNTIFS($X$3:$X$201,$M306)&gt;0,
     COUNTIFS($Y$3:$Y$201,$M306)&gt;0,
     COUNTIFS($Z$3:$Z$201,$M306)&gt;0,
     COUNTIFS($AA$3:$AA$201,$M306)&gt;0,
     COUNTIFS($AB$3:$AB$201,$M306)&gt;0,
     COUNTIFS($AC$3:$AC$201,$M306)&gt;0,
     COUNTIFS($AD$3:$AD$201,$M306)&gt;0,
     COUNTIFS($AE$3:$AE$201,$M306)&gt;0,
     COUNTIFS($AF$3:$AF$201,$M306)&gt;0,
     COUNTIFS($AG$3:$AG$201,$M306)&gt;0,
     COUNTIFS($AH$3:$AH$201,$M306)&gt;0,
     COUNTIFS($AI$3:$AI$201,$M306)&gt;0,
     COUNTIFS($AJ$3:$AJ$201,$M306)&gt;0,
     COUNTIFS($AK$3:$AK$201,$M306)&gt;0,
     COUNTIFS($AL$3:$AL$201,$M306)&gt;0,
     COUNTIFS($AM$3:$AM$201,$M306)&gt;0,
     COUNTIFS($AN$3:$AN$201,$M306)&gt;0,
     COUNTIFS($AO$3:$AO$201,$M306)&gt;0,
     COUNTIFS($AP$3:$AP$201,$M306)&gt;0,
     COUNTIFS($AQ$3:$AQ$201,$M306)&gt;0,
     COUNTIFS($AR$3:$AR$201,$M306)&gt;0,
     COUNTIFS($AS$3:$AS$201,$M306)&gt;0,
     COUNTIFS($AT$3:$AT$201,$M306)&gt;0,
     COUNTIFS($AU$3:$AU$201,$M306)&gt;0,
     COUNTIFS($AV$3:$AV$201,$M306)&gt;0,
     COUNTIFS($AW$3:$AW$201,$M306)&gt;0
   )),
  ),
  3
 ),
"")</f>
        <v/>
      </c>
      <c r="R306" s="3" t="str" cm="1">
        <f t="array" ref="R306">IFERROR(
 INDEX(
  _xlfn._xlws.FILTER($T$2:$AW$2,
   TRANSPOSE(
    CHOOSE({1;2;3;4;5;6;7;8;9;10;11;12;13;14;15;16;17;18;19;20;21;22;23;24;25;26;27;28;29;30},
     COUNTIFS($T$3:$T$201,$M306)&gt;0,
     COUNTIFS($U$3:$U$201,$M306)&gt;0,
     COUNTIFS($V$3:$V$201,$M306)&gt;0,
     COUNTIFS($W$3:$W$201,$M306)&gt;0,
     COUNTIFS($X$3:$X$201,$M306)&gt;0,
     COUNTIFS($Y$3:$Y$201,$M306)&gt;0,
     COUNTIFS($Z$3:$Z$201,$M306)&gt;0,
     COUNTIFS($AA$3:$AA$201,$M306)&gt;0,
     COUNTIFS($AB$3:$AB$201,$M306)&gt;0,
     COUNTIFS($AC$3:$AC$201,$M306)&gt;0,
     COUNTIFS($AD$3:$AD$201,$M306)&gt;0,
     COUNTIFS($AE$3:$AE$201,$M306)&gt;0,
     COUNTIFS($AF$3:$AF$201,$M306)&gt;0,
     COUNTIFS($AG$3:$AG$201,$M306)&gt;0,
     COUNTIFS($AH$3:$AH$201,$M306)&gt;0,
     COUNTIFS($AI$3:$AI$201,$M306)&gt;0,
     COUNTIFS($AJ$3:$AJ$201,$M306)&gt;0,
     COUNTIFS($AK$3:$AK$201,$M306)&gt;0,
     COUNTIFS($AL$3:$AL$201,$M306)&gt;0,
     COUNTIFS($AM$3:$AM$201,$M306)&gt;0,
     COUNTIFS($AN$3:$AN$201,$M306)&gt;0,
     COUNTIFS($AO$3:$AO$201,$M306)&gt;0,
     COUNTIFS($AP$3:$AP$201,$M306)&gt;0,
     COUNTIFS($AQ$3:$AQ$201,$M306)&gt;0,
     COUNTIFS($AR$3:$AR$201,$M306)&gt;0,
     COUNTIFS($AS$3:$AS$201,$M306)&gt;0,
     COUNTIFS($AT$3:$AT$201,$M306)&gt;0,
     COUNTIFS($AU$3:$AU$201,$M306)&gt;0,
     COUNTIFS($AV$3:$AV$201,$M306)&gt;0,
     COUNTIFS($AW$3:$AW$201,$M306)&gt;0
   )),
  ),
  4
 ),
"")</f>
        <v/>
      </c>
    </row>
    <row r="307" spans="1:18" x14ac:dyDescent="0.25">
      <c r="A307" t="str">
        <f ca="1"/>
        <v>Training Center</v>
      </c>
      <c r="B307" s="3" t="str" cm="1">
        <f t="array" aca="1" ref="B307" ca="1">_xlfn.ANCHORARRAY(RESUMO!C306)</f>
        <v>Narset</v>
      </c>
      <c r="C307" s="3" t="str">
        <f t="shared" ca="1" si="16"/>
        <v/>
      </c>
      <c r="N307" s="3">
        <f t="shared" si="19"/>
        <v>0</v>
      </c>
      <c r="O307" s="3" t="str">
        <f>IFERROR(
 INDEX($T$2:$AW$2,
  MATCH(TRUE,
   CHOOSE({1;2;3;4;5;6;7;8;9;10;11;12;13;14;15;16;17;18;19;20;21;22;23;24;25;26;27;28;29;30;31;32},
    COUNTIFS($T$3:$T$201,$M307)&gt;0,
    COUNTIFS($U$3:$U$201,$M307)&gt;0,
    COUNTIFS($V$3:$V$201,$M307)&gt;0,
    COUNTIFS($W$3:$W$201,$M307)&gt;0,
    COUNTIFS($X$3:$X$201,$M307)&gt;0,
    COUNTIFS($Y$3:$Y$201,$M307)&gt;0,
    COUNTIFS($Z$3:$Z$201,$M307)&gt;0,
    COUNTIFS($AA$3:$AA$201,$M307)&gt;0,
    COUNTIFS($AB$3:$AB$201,$M307)&gt;0,
    COUNTIFS($AC$3:$AC$201,$M307)&gt;0,
    COUNTIFS($AD$3:$AD$201,$M307)&gt;0,
    COUNTIFS($AE$3:$AE$201,$M307)&gt;0,
    COUNTIFS($AF$3:$AF$201,$M307)&gt;0,
    COUNTIFS($AG$3:$AG$201,$M307)&gt;0,
    COUNTIFS($AH$3:$AH$201,$M307)&gt;0,
    COUNTIFS($AI$3:$AI$201,$M307)&gt;0,
    COUNTIFS($AJ$3:$AJ$201,$M307)&gt;0,
    COUNTIFS($AK$3:$AK$201,$M307)&gt;0,
    COUNTIFS($AL$3:$AL$201,$M307)&gt;0,
    COUNTIFS($AM$3:$AM$201,$M307)&gt;0,
    COUNTIFS($AN$3:$AN$201,$M307)&gt;0,
    COUNTIFS($AO$3:$AO$201,$M307)&gt;0,
    COUNTIFS($AP$3:$AP$201,$M307)&gt;0,
    COUNTIFS($AQ$3:$AQ$201,$M307)&gt;0,
    COUNTIFS($AR$3:$AR$201,$M307)&gt;0,
    COUNTIFS($AS$3:$AS$201,$M307)&gt;0,
    COUNTIFS($AT$3:$AT$201,$M307)&gt;0,
    COUNTIFS($AU$3:$AU$201,$M307)&gt;0,
    COUNTIFS($AV$3:$AV$201,$M307)&gt;0,
    COUNTIFS($AW$3:$AW$201,$M307)&gt;0
   ),
  0)
 ),
"")</f>
        <v/>
      </c>
      <c r="P307" s="3" t="str" cm="1">
        <f t="array" ref="P307">IFERROR(
 INDEX(
  _xlfn._xlws.FILTER($T$2:$AW$2,
   TRANSPOSE(
    CHOOSE({1;2;3;4;5;6;7;8;9;10;11;12;13;14;15;16;17;18;19;20;21;22;23;24;25;26;27;28;29;30},
     COUNTIFS($T$3:$T$201,$M307)&gt;0,
     COUNTIFS($U$3:$U$201,$M307)&gt;0,
     COUNTIFS($V$3:$V$201,$M307)&gt;0,
     COUNTIFS($W$3:$W$201,$M307)&gt;0,
     COUNTIFS($X$3:$X$201,$M307)&gt;0,
     COUNTIFS($Y$3:$Y$201,$M307)&gt;0,
     COUNTIFS($Z$3:$Z$201,$M307)&gt;0,
     COUNTIFS($AA$3:$AA$201,$M307)&gt;0,
     COUNTIFS($AB$3:$AB$201,$M307)&gt;0,
     COUNTIFS($AC$3:$AC$201,$M307)&gt;0,
     COUNTIFS($AD$3:$AD$201,$M307)&gt;0,
     COUNTIFS($AE$3:$AE$201,$M307)&gt;0,
     COUNTIFS($AF$3:$AF$201,$M307)&gt;0,
     COUNTIFS($AG$3:$AG$201,$M307)&gt;0,
     COUNTIFS($AH$3:$AH$201,$M307)&gt;0,
     COUNTIFS($AI$3:$AI$201,$M307)&gt;0,
     COUNTIFS($AJ$3:$AJ$201,$M307)&gt;0,
     COUNTIFS($AK$3:$AK$201,$M307)&gt;0,
     COUNTIFS($AL$3:$AL$201,$M307)&gt;0,
     COUNTIFS($AM$3:$AM$201,$M307)&gt;0,
     COUNTIFS($AN$3:$AN$201,$M307)&gt;0,
     COUNTIFS($AO$3:$AO$201,$M307)&gt;0,
     COUNTIFS($AP$3:$AP$201,$M307)&gt;0,
     COUNTIFS($AQ$3:$AQ$201,$M307)&gt;0,
     COUNTIFS($AR$3:$AR$201,$M307)&gt;0,
     COUNTIFS($AS$3:$AS$201,$M307)&gt;0,
     COUNTIFS($AT$3:$AT$201,$M307)&gt;0,
     COUNTIFS($AU$3:$AU$201,$M307)&gt;0,
     COUNTIFS($AV$3:$AV$201,$M307)&gt;0,
     COUNTIFS($AW$3:$AW$201,$M307)&gt;0
   )),
  ),
  2
 ),
"")</f>
        <v/>
      </c>
      <c r="Q307" s="3" t="str" cm="1">
        <f t="array" ref="Q307">IFERROR(
 INDEX(
  _xlfn._xlws.FILTER($T$2:$AW$2,
   TRANSPOSE(
    CHOOSE({1;2;3;4;5;6;7;8;9;10;11;12;13;14;15;16;17;18;19;20;21;22;23;24;25;26;27;28;29;30},
     COUNTIFS($T$3:$T$201,$M307)&gt;0,
     COUNTIFS($U$3:$U$201,$M307)&gt;0,
     COUNTIFS($V$3:$V$201,$M307)&gt;0,
     COUNTIFS($W$3:$W$201,$M307)&gt;0,
     COUNTIFS($X$3:$X$201,$M307)&gt;0,
     COUNTIFS($Y$3:$Y$201,$M307)&gt;0,
     COUNTIFS($Z$3:$Z$201,$M307)&gt;0,
     COUNTIFS($AA$3:$AA$201,$M307)&gt;0,
     COUNTIFS($AB$3:$AB$201,$M307)&gt;0,
     COUNTIFS($AC$3:$AC$201,$M307)&gt;0,
     COUNTIFS($AD$3:$AD$201,$M307)&gt;0,
     COUNTIFS($AE$3:$AE$201,$M307)&gt;0,
     COUNTIFS($AF$3:$AF$201,$M307)&gt;0,
     COUNTIFS($AG$3:$AG$201,$M307)&gt;0,
     COUNTIFS($AH$3:$AH$201,$M307)&gt;0,
     COUNTIFS($AI$3:$AI$201,$M307)&gt;0,
     COUNTIFS($AJ$3:$AJ$201,$M307)&gt;0,
     COUNTIFS($AK$3:$AK$201,$M307)&gt;0,
     COUNTIFS($AL$3:$AL$201,$M307)&gt;0,
     COUNTIFS($AM$3:$AM$201,$M307)&gt;0,
     COUNTIFS($AN$3:$AN$201,$M307)&gt;0,
     COUNTIFS($AO$3:$AO$201,$M307)&gt;0,
     COUNTIFS($AP$3:$AP$201,$M307)&gt;0,
     COUNTIFS($AQ$3:$AQ$201,$M307)&gt;0,
     COUNTIFS($AR$3:$AR$201,$M307)&gt;0,
     COUNTIFS($AS$3:$AS$201,$M307)&gt;0,
     COUNTIFS($AT$3:$AT$201,$M307)&gt;0,
     COUNTIFS($AU$3:$AU$201,$M307)&gt;0,
     COUNTIFS($AV$3:$AV$201,$M307)&gt;0,
     COUNTIFS($AW$3:$AW$201,$M307)&gt;0
   )),
  ),
  3
 ),
"")</f>
        <v/>
      </c>
      <c r="R307" s="3" t="str" cm="1">
        <f t="array" ref="R307">IFERROR(
 INDEX(
  _xlfn._xlws.FILTER($T$2:$AW$2,
   TRANSPOSE(
    CHOOSE({1;2;3;4;5;6;7;8;9;10;11;12;13;14;15;16;17;18;19;20;21;22;23;24;25;26;27;28;29;30},
     COUNTIFS($T$3:$T$201,$M307)&gt;0,
     COUNTIFS($U$3:$U$201,$M307)&gt;0,
     COUNTIFS($V$3:$V$201,$M307)&gt;0,
     COUNTIFS($W$3:$W$201,$M307)&gt;0,
     COUNTIFS($X$3:$X$201,$M307)&gt;0,
     COUNTIFS($Y$3:$Y$201,$M307)&gt;0,
     COUNTIFS($Z$3:$Z$201,$M307)&gt;0,
     COUNTIFS($AA$3:$AA$201,$M307)&gt;0,
     COUNTIFS($AB$3:$AB$201,$M307)&gt;0,
     COUNTIFS($AC$3:$AC$201,$M307)&gt;0,
     COUNTIFS($AD$3:$AD$201,$M307)&gt;0,
     COUNTIFS($AE$3:$AE$201,$M307)&gt;0,
     COUNTIFS($AF$3:$AF$201,$M307)&gt;0,
     COUNTIFS($AG$3:$AG$201,$M307)&gt;0,
     COUNTIFS($AH$3:$AH$201,$M307)&gt;0,
     COUNTIFS($AI$3:$AI$201,$M307)&gt;0,
     COUNTIFS($AJ$3:$AJ$201,$M307)&gt;0,
     COUNTIFS($AK$3:$AK$201,$M307)&gt;0,
     COUNTIFS($AL$3:$AL$201,$M307)&gt;0,
     COUNTIFS($AM$3:$AM$201,$M307)&gt;0,
     COUNTIFS($AN$3:$AN$201,$M307)&gt;0,
     COUNTIFS($AO$3:$AO$201,$M307)&gt;0,
     COUNTIFS($AP$3:$AP$201,$M307)&gt;0,
     COUNTIFS($AQ$3:$AQ$201,$M307)&gt;0,
     COUNTIFS($AR$3:$AR$201,$M307)&gt;0,
     COUNTIFS($AS$3:$AS$201,$M307)&gt;0,
     COUNTIFS($AT$3:$AT$201,$M307)&gt;0,
     COUNTIFS($AU$3:$AU$201,$M307)&gt;0,
     COUNTIFS($AV$3:$AV$201,$M307)&gt;0,
     COUNTIFS($AW$3:$AW$201,$M307)&gt;0
   )),
  ),
  4
 ),
"")</f>
        <v/>
      </c>
    </row>
    <row r="308" spans="1:18" x14ac:dyDescent="0.25">
      <c r="A308" t="str">
        <f ca="1"/>
        <v>Treasure Vault</v>
      </c>
      <c r="B308" s="3" t="str" cm="1">
        <f t="array" aca="1" ref="B308" ca="1">_xlfn.ANCHORARRAY(RESUMO!C307)</f>
        <v>Piratas</v>
      </c>
      <c r="C308" s="3" t="str">
        <f t="shared" ca="1" si="16"/>
        <v/>
      </c>
      <c r="N308" s="3">
        <f t="shared" si="19"/>
        <v>0</v>
      </c>
      <c r="O308" s="3" t="str">
        <f>IFERROR(
 INDEX($T$2:$AW$2,
  MATCH(TRUE,
   CHOOSE({1;2;3;4;5;6;7;8;9;10;11;12;13;14;15;16;17;18;19;20;21;22;23;24;25;26;27;28;29;30;31;32},
    COUNTIFS($T$3:$T$201,$M308)&gt;0,
    COUNTIFS($U$3:$U$201,$M308)&gt;0,
    COUNTIFS($V$3:$V$201,$M308)&gt;0,
    COUNTIFS($W$3:$W$201,$M308)&gt;0,
    COUNTIFS($X$3:$X$201,$M308)&gt;0,
    COUNTIFS($Y$3:$Y$201,$M308)&gt;0,
    COUNTIFS($Z$3:$Z$201,$M308)&gt;0,
    COUNTIFS($AA$3:$AA$201,$M308)&gt;0,
    COUNTIFS($AB$3:$AB$201,$M308)&gt;0,
    COUNTIFS($AC$3:$AC$201,$M308)&gt;0,
    COUNTIFS($AD$3:$AD$201,$M308)&gt;0,
    COUNTIFS($AE$3:$AE$201,$M308)&gt;0,
    COUNTIFS($AF$3:$AF$201,$M308)&gt;0,
    COUNTIFS($AG$3:$AG$201,$M308)&gt;0,
    COUNTIFS($AH$3:$AH$201,$M308)&gt;0,
    COUNTIFS($AI$3:$AI$201,$M308)&gt;0,
    COUNTIFS($AJ$3:$AJ$201,$M308)&gt;0,
    COUNTIFS($AK$3:$AK$201,$M308)&gt;0,
    COUNTIFS($AL$3:$AL$201,$M308)&gt;0,
    COUNTIFS($AM$3:$AM$201,$M308)&gt;0,
    COUNTIFS($AN$3:$AN$201,$M308)&gt;0,
    COUNTIFS($AO$3:$AO$201,$M308)&gt;0,
    COUNTIFS($AP$3:$AP$201,$M308)&gt;0,
    COUNTIFS($AQ$3:$AQ$201,$M308)&gt;0,
    COUNTIFS($AR$3:$AR$201,$M308)&gt;0,
    COUNTIFS($AS$3:$AS$201,$M308)&gt;0,
    COUNTIFS($AT$3:$AT$201,$M308)&gt;0,
    COUNTIFS($AU$3:$AU$201,$M308)&gt;0,
    COUNTIFS($AV$3:$AV$201,$M308)&gt;0,
    COUNTIFS($AW$3:$AW$201,$M308)&gt;0
   ),
  0)
 ),
"")</f>
        <v/>
      </c>
      <c r="P308" s="3" t="str" cm="1">
        <f t="array" ref="P308">IFERROR(
 INDEX(
  _xlfn._xlws.FILTER($T$2:$AW$2,
   TRANSPOSE(
    CHOOSE({1;2;3;4;5;6;7;8;9;10;11;12;13;14;15;16;17;18;19;20;21;22;23;24;25;26;27;28;29;30},
     COUNTIFS($T$3:$T$201,$M308)&gt;0,
     COUNTIFS($U$3:$U$201,$M308)&gt;0,
     COUNTIFS($V$3:$V$201,$M308)&gt;0,
     COUNTIFS($W$3:$W$201,$M308)&gt;0,
     COUNTIFS($X$3:$X$201,$M308)&gt;0,
     COUNTIFS($Y$3:$Y$201,$M308)&gt;0,
     COUNTIFS($Z$3:$Z$201,$M308)&gt;0,
     COUNTIFS($AA$3:$AA$201,$M308)&gt;0,
     COUNTIFS($AB$3:$AB$201,$M308)&gt;0,
     COUNTIFS($AC$3:$AC$201,$M308)&gt;0,
     COUNTIFS($AD$3:$AD$201,$M308)&gt;0,
     COUNTIFS($AE$3:$AE$201,$M308)&gt;0,
     COUNTIFS($AF$3:$AF$201,$M308)&gt;0,
     COUNTIFS($AG$3:$AG$201,$M308)&gt;0,
     COUNTIFS($AH$3:$AH$201,$M308)&gt;0,
     COUNTIFS($AI$3:$AI$201,$M308)&gt;0,
     COUNTIFS($AJ$3:$AJ$201,$M308)&gt;0,
     COUNTIFS($AK$3:$AK$201,$M308)&gt;0,
     COUNTIFS($AL$3:$AL$201,$M308)&gt;0,
     COUNTIFS($AM$3:$AM$201,$M308)&gt;0,
     COUNTIFS($AN$3:$AN$201,$M308)&gt;0,
     COUNTIFS($AO$3:$AO$201,$M308)&gt;0,
     COUNTIFS($AP$3:$AP$201,$M308)&gt;0,
     COUNTIFS($AQ$3:$AQ$201,$M308)&gt;0,
     COUNTIFS($AR$3:$AR$201,$M308)&gt;0,
     COUNTIFS($AS$3:$AS$201,$M308)&gt;0,
     COUNTIFS($AT$3:$AT$201,$M308)&gt;0,
     COUNTIFS($AU$3:$AU$201,$M308)&gt;0,
     COUNTIFS($AV$3:$AV$201,$M308)&gt;0,
     COUNTIFS($AW$3:$AW$201,$M308)&gt;0
   )),
  ),
  2
 ),
"")</f>
        <v/>
      </c>
      <c r="Q308" s="3" t="str" cm="1">
        <f t="array" ref="Q308">IFERROR(
 INDEX(
  _xlfn._xlws.FILTER($T$2:$AW$2,
   TRANSPOSE(
    CHOOSE({1;2;3;4;5;6;7;8;9;10;11;12;13;14;15;16;17;18;19;20;21;22;23;24;25;26;27;28;29;30},
     COUNTIFS($T$3:$T$201,$M308)&gt;0,
     COUNTIFS($U$3:$U$201,$M308)&gt;0,
     COUNTIFS($V$3:$V$201,$M308)&gt;0,
     COUNTIFS($W$3:$W$201,$M308)&gt;0,
     COUNTIFS($X$3:$X$201,$M308)&gt;0,
     COUNTIFS($Y$3:$Y$201,$M308)&gt;0,
     COUNTIFS($Z$3:$Z$201,$M308)&gt;0,
     COUNTIFS($AA$3:$AA$201,$M308)&gt;0,
     COUNTIFS($AB$3:$AB$201,$M308)&gt;0,
     COUNTIFS($AC$3:$AC$201,$M308)&gt;0,
     COUNTIFS($AD$3:$AD$201,$M308)&gt;0,
     COUNTIFS($AE$3:$AE$201,$M308)&gt;0,
     COUNTIFS($AF$3:$AF$201,$M308)&gt;0,
     COUNTIFS($AG$3:$AG$201,$M308)&gt;0,
     COUNTIFS($AH$3:$AH$201,$M308)&gt;0,
     COUNTIFS($AI$3:$AI$201,$M308)&gt;0,
     COUNTIFS($AJ$3:$AJ$201,$M308)&gt;0,
     COUNTIFS($AK$3:$AK$201,$M308)&gt;0,
     COUNTIFS($AL$3:$AL$201,$M308)&gt;0,
     COUNTIFS($AM$3:$AM$201,$M308)&gt;0,
     COUNTIFS($AN$3:$AN$201,$M308)&gt;0,
     COUNTIFS($AO$3:$AO$201,$M308)&gt;0,
     COUNTIFS($AP$3:$AP$201,$M308)&gt;0,
     COUNTIFS($AQ$3:$AQ$201,$M308)&gt;0,
     COUNTIFS($AR$3:$AR$201,$M308)&gt;0,
     COUNTIFS($AS$3:$AS$201,$M308)&gt;0,
     COUNTIFS($AT$3:$AT$201,$M308)&gt;0,
     COUNTIFS($AU$3:$AU$201,$M308)&gt;0,
     COUNTIFS($AV$3:$AV$201,$M308)&gt;0,
     COUNTIFS($AW$3:$AW$201,$M308)&gt;0
   )),
  ),
  3
 ),
"")</f>
        <v/>
      </c>
      <c r="R308" s="3" t="str" cm="1">
        <f t="array" ref="R308">IFERROR(
 INDEX(
  _xlfn._xlws.FILTER($T$2:$AW$2,
   TRANSPOSE(
    CHOOSE({1;2;3;4;5;6;7;8;9;10;11;12;13;14;15;16;17;18;19;20;21;22;23;24;25;26;27;28;29;30},
     COUNTIFS($T$3:$T$201,$M308)&gt;0,
     COUNTIFS($U$3:$U$201,$M308)&gt;0,
     COUNTIFS($V$3:$V$201,$M308)&gt;0,
     COUNTIFS($W$3:$W$201,$M308)&gt;0,
     COUNTIFS($X$3:$X$201,$M308)&gt;0,
     COUNTIFS($Y$3:$Y$201,$M308)&gt;0,
     COUNTIFS($Z$3:$Z$201,$M308)&gt;0,
     COUNTIFS($AA$3:$AA$201,$M308)&gt;0,
     COUNTIFS($AB$3:$AB$201,$M308)&gt;0,
     COUNTIFS($AC$3:$AC$201,$M308)&gt;0,
     COUNTIFS($AD$3:$AD$201,$M308)&gt;0,
     COUNTIFS($AE$3:$AE$201,$M308)&gt;0,
     COUNTIFS($AF$3:$AF$201,$M308)&gt;0,
     COUNTIFS($AG$3:$AG$201,$M308)&gt;0,
     COUNTIFS($AH$3:$AH$201,$M308)&gt;0,
     COUNTIFS($AI$3:$AI$201,$M308)&gt;0,
     COUNTIFS($AJ$3:$AJ$201,$M308)&gt;0,
     COUNTIFS($AK$3:$AK$201,$M308)&gt;0,
     COUNTIFS($AL$3:$AL$201,$M308)&gt;0,
     COUNTIFS($AM$3:$AM$201,$M308)&gt;0,
     COUNTIFS($AN$3:$AN$201,$M308)&gt;0,
     COUNTIFS($AO$3:$AO$201,$M308)&gt;0,
     COUNTIFS($AP$3:$AP$201,$M308)&gt;0,
     COUNTIFS($AQ$3:$AQ$201,$M308)&gt;0,
     COUNTIFS($AR$3:$AR$201,$M308)&gt;0,
     COUNTIFS($AS$3:$AS$201,$M308)&gt;0,
     COUNTIFS($AT$3:$AT$201,$M308)&gt;0,
     COUNTIFS($AU$3:$AU$201,$M308)&gt;0,
     COUNTIFS($AV$3:$AV$201,$M308)&gt;0,
     COUNTIFS($AW$3:$AW$201,$M308)&gt;0
   )),
  ),
  4
 ),
"")</f>
        <v/>
      </c>
    </row>
    <row r="309" spans="1:18" x14ac:dyDescent="0.25">
      <c r="A309" t="str">
        <f ca="1"/>
        <v>Tree of Tales</v>
      </c>
      <c r="B309" s="3" t="str" cm="1">
        <f t="array" aca="1" ref="B309" ca="1">_xlfn.ANCHORARRAY(RESUMO!C308)</f>
        <v>Modular</v>
      </c>
      <c r="C309" s="3" t="str">
        <f t="shared" ca="1" si="16"/>
        <v/>
      </c>
      <c r="N309" s="3">
        <f t="shared" si="19"/>
        <v>0</v>
      </c>
      <c r="O309" s="3" t="str">
        <f>IFERROR(
 INDEX($T$2:$AW$2,
  MATCH(TRUE,
   CHOOSE({1;2;3;4;5;6;7;8;9;10;11;12;13;14;15;16;17;18;19;20;21;22;23;24;25;26;27;28;29;30;31;32},
    COUNTIFS($T$3:$T$201,$M309)&gt;0,
    COUNTIFS($U$3:$U$201,$M309)&gt;0,
    COUNTIFS($V$3:$V$201,$M309)&gt;0,
    COUNTIFS($W$3:$W$201,$M309)&gt;0,
    COUNTIFS($X$3:$X$201,$M309)&gt;0,
    COUNTIFS($Y$3:$Y$201,$M309)&gt;0,
    COUNTIFS($Z$3:$Z$201,$M309)&gt;0,
    COUNTIFS($AA$3:$AA$201,$M309)&gt;0,
    COUNTIFS($AB$3:$AB$201,$M309)&gt;0,
    COUNTIFS($AC$3:$AC$201,$M309)&gt;0,
    COUNTIFS($AD$3:$AD$201,$M309)&gt;0,
    COUNTIFS($AE$3:$AE$201,$M309)&gt;0,
    COUNTIFS($AF$3:$AF$201,$M309)&gt;0,
    COUNTIFS($AG$3:$AG$201,$M309)&gt;0,
    COUNTIFS($AH$3:$AH$201,$M309)&gt;0,
    COUNTIFS($AI$3:$AI$201,$M309)&gt;0,
    COUNTIFS($AJ$3:$AJ$201,$M309)&gt;0,
    COUNTIFS($AK$3:$AK$201,$M309)&gt;0,
    COUNTIFS($AL$3:$AL$201,$M309)&gt;0,
    COUNTIFS($AM$3:$AM$201,$M309)&gt;0,
    COUNTIFS($AN$3:$AN$201,$M309)&gt;0,
    COUNTIFS($AO$3:$AO$201,$M309)&gt;0,
    COUNTIFS($AP$3:$AP$201,$M309)&gt;0,
    COUNTIFS($AQ$3:$AQ$201,$M309)&gt;0,
    COUNTIFS($AR$3:$AR$201,$M309)&gt;0,
    COUNTIFS($AS$3:$AS$201,$M309)&gt;0,
    COUNTIFS($AT$3:$AT$201,$M309)&gt;0,
    COUNTIFS($AU$3:$AU$201,$M309)&gt;0,
    COUNTIFS($AV$3:$AV$201,$M309)&gt;0,
    COUNTIFS($AW$3:$AW$201,$M309)&gt;0
   ),
  0)
 ),
"")</f>
        <v/>
      </c>
      <c r="P309" s="3" t="str" cm="1">
        <f t="array" ref="P309">IFERROR(
 INDEX(
  _xlfn._xlws.FILTER($T$2:$AW$2,
   TRANSPOSE(
    CHOOSE({1;2;3;4;5;6;7;8;9;10;11;12;13;14;15;16;17;18;19;20;21;22;23;24;25;26;27;28;29;30},
     COUNTIFS($T$3:$T$201,$M309)&gt;0,
     COUNTIFS($U$3:$U$201,$M309)&gt;0,
     COUNTIFS($V$3:$V$201,$M309)&gt;0,
     COUNTIFS($W$3:$W$201,$M309)&gt;0,
     COUNTIFS($X$3:$X$201,$M309)&gt;0,
     COUNTIFS($Y$3:$Y$201,$M309)&gt;0,
     COUNTIFS($Z$3:$Z$201,$M309)&gt;0,
     COUNTIFS($AA$3:$AA$201,$M309)&gt;0,
     COUNTIFS($AB$3:$AB$201,$M309)&gt;0,
     COUNTIFS($AC$3:$AC$201,$M309)&gt;0,
     COUNTIFS($AD$3:$AD$201,$M309)&gt;0,
     COUNTIFS($AE$3:$AE$201,$M309)&gt;0,
     COUNTIFS($AF$3:$AF$201,$M309)&gt;0,
     COUNTIFS($AG$3:$AG$201,$M309)&gt;0,
     COUNTIFS($AH$3:$AH$201,$M309)&gt;0,
     COUNTIFS($AI$3:$AI$201,$M309)&gt;0,
     COUNTIFS($AJ$3:$AJ$201,$M309)&gt;0,
     COUNTIFS($AK$3:$AK$201,$M309)&gt;0,
     COUNTIFS($AL$3:$AL$201,$M309)&gt;0,
     COUNTIFS($AM$3:$AM$201,$M309)&gt;0,
     COUNTIFS($AN$3:$AN$201,$M309)&gt;0,
     COUNTIFS($AO$3:$AO$201,$M309)&gt;0,
     COUNTIFS($AP$3:$AP$201,$M309)&gt;0,
     COUNTIFS($AQ$3:$AQ$201,$M309)&gt;0,
     COUNTIFS($AR$3:$AR$201,$M309)&gt;0,
     COUNTIFS($AS$3:$AS$201,$M309)&gt;0,
     COUNTIFS($AT$3:$AT$201,$M309)&gt;0,
     COUNTIFS($AU$3:$AU$201,$M309)&gt;0,
     COUNTIFS($AV$3:$AV$201,$M309)&gt;0,
     COUNTIFS($AW$3:$AW$201,$M309)&gt;0
   )),
  ),
  2
 ),
"")</f>
        <v/>
      </c>
      <c r="Q309" s="3" t="str" cm="1">
        <f t="array" ref="Q309">IFERROR(
 INDEX(
  _xlfn._xlws.FILTER($T$2:$AW$2,
   TRANSPOSE(
    CHOOSE({1;2;3;4;5;6;7;8;9;10;11;12;13;14;15;16;17;18;19;20;21;22;23;24;25;26;27;28;29;30},
     COUNTIFS($T$3:$T$201,$M309)&gt;0,
     COUNTIFS($U$3:$U$201,$M309)&gt;0,
     COUNTIFS($V$3:$V$201,$M309)&gt;0,
     COUNTIFS($W$3:$W$201,$M309)&gt;0,
     COUNTIFS($X$3:$X$201,$M309)&gt;0,
     COUNTIFS($Y$3:$Y$201,$M309)&gt;0,
     COUNTIFS($Z$3:$Z$201,$M309)&gt;0,
     COUNTIFS($AA$3:$AA$201,$M309)&gt;0,
     COUNTIFS($AB$3:$AB$201,$M309)&gt;0,
     COUNTIFS($AC$3:$AC$201,$M309)&gt;0,
     COUNTIFS($AD$3:$AD$201,$M309)&gt;0,
     COUNTIFS($AE$3:$AE$201,$M309)&gt;0,
     COUNTIFS($AF$3:$AF$201,$M309)&gt;0,
     COUNTIFS($AG$3:$AG$201,$M309)&gt;0,
     COUNTIFS($AH$3:$AH$201,$M309)&gt;0,
     COUNTIFS($AI$3:$AI$201,$M309)&gt;0,
     COUNTIFS($AJ$3:$AJ$201,$M309)&gt;0,
     COUNTIFS($AK$3:$AK$201,$M309)&gt;0,
     COUNTIFS($AL$3:$AL$201,$M309)&gt;0,
     COUNTIFS($AM$3:$AM$201,$M309)&gt;0,
     COUNTIFS($AN$3:$AN$201,$M309)&gt;0,
     COUNTIFS($AO$3:$AO$201,$M309)&gt;0,
     COUNTIFS($AP$3:$AP$201,$M309)&gt;0,
     COUNTIFS($AQ$3:$AQ$201,$M309)&gt;0,
     COUNTIFS($AR$3:$AR$201,$M309)&gt;0,
     COUNTIFS($AS$3:$AS$201,$M309)&gt;0,
     COUNTIFS($AT$3:$AT$201,$M309)&gt;0,
     COUNTIFS($AU$3:$AU$201,$M309)&gt;0,
     COUNTIFS($AV$3:$AV$201,$M309)&gt;0,
     COUNTIFS($AW$3:$AW$201,$M309)&gt;0
   )),
  ),
  3
 ),
"")</f>
        <v/>
      </c>
      <c r="R309" s="3" t="str" cm="1">
        <f t="array" ref="R309">IFERROR(
 INDEX(
  _xlfn._xlws.FILTER($T$2:$AW$2,
   TRANSPOSE(
    CHOOSE({1;2;3;4;5;6;7;8;9;10;11;12;13;14;15;16;17;18;19;20;21;22;23;24;25;26;27;28;29;30},
     COUNTIFS($T$3:$T$201,$M309)&gt;0,
     COUNTIFS($U$3:$U$201,$M309)&gt;0,
     COUNTIFS($V$3:$V$201,$M309)&gt;0,
     COUNTIFS($W$3:$W$201,$M309)&gt;0,
     COUNTIFS($X$3:$X$201,$M309)&gt;0,
     COUNTIFS($Y$3:$Y$201,$M309)&gt;0,
     COUNTIFS($Z$3:$Z$201,$M309)&gt;0,
     COUNTIFS($AA$3:$AA$201,$M309)&gt;0,
     COUNTIFS($AB$3:$AB$201,$M309)&gt;0,
     COUNTIFS($AC$3:$AC$201,$M309)&gt;0,
     COUNTIFS($AD$3:$AD$201,$M309)&gt;0,
     COUNTIFS($AE$3:$AE$201,$M309)&gt;0,
     COUNTIFS($AF$3:$AF$201,$M309)&gt;0,
     COUNTIFS($AG$3:$AG$201,$M309)&gt;0,
     COUNTIFS($AH$3:$AH$201,$M309)&gt;0,
     COUNTIFS($AI$3:$AI$201,$M309)&gt;0,
     COUNTIFS($AJ$3:$AJ$201,$M309)&gt;0,
     COUNTIFS($AK$3:$AK$201,$M309)&gt;0,
     COUNTIFS($AL$3:$AL$201,$M309)&gt;0,
     COUNTIFS($AM$3:$AM$201,$M309)&gt;0,
     COUNTIFS($AN$3:$AN$201,$M309)&gt;0,
     COUNTIFS($AO$3:$AO$201,$M309)&gt;0,
     COUNTIFS($AP$3:$AP$201,$M309)&gt;0,
     COUNTIFS($AQ$3:$AQ$201,$M309)&gt;0,
     COUNTIFS($AR$3:$AR$201,$M309)&gt;0,
     COUNTIFS($AS$3:$AS$201,$M309)&gt;0,
     COUNTIFS($AT$3:$AT$201,$M309)&gt;0,
     COUNTIFS($AU$3:$AU$201,$M309)&gt;0,
     COUNTIFS($AV$3:$AV$201,$M309)&gt;0,
     COUNTIFS($AW$3:$AW$201,$M309)&gt;0
   )),
  ),
  4
 ),
"")</f>
        <v/>
      </c>
    </row>
    <row r="310" spans="1:18" x14ac:dyDescent="0.25">
      <c r="A310" t="str">
        <f ca="1"/>
        <v>Trenzalore Clocktower</v>
      </c>
      <c r="B310" s="3" t="str" cm="1">
        <f t="array" aca="1" ref="B310" ca="1">_xlfn.ANCHORARRAY(RESUMO!C309)</f>
        <v>Rani</v>
      </c>
      <c r="C310" s="3" t="str">
        <f t="shared" ca="1" si="16"/>
        <v/>
      </c>
      <c r="N310" s="3">
        <f t="shared" si="19"/>
        <v>0</v>
      </c>
      <c r="O310" s="3" t="str">
        <f>IFERROR(
 INDEX($T$2:$AW$2,
  MATCH(TRUE,
   CHOOSE({1;2;3;4;5;6;7;8;9;10;11;12;13;14;15;16;17;18;19;20;21;22;23;24;25;26;27;28;29;30;31;32},
    COUNTIFS($T$3:$T$201,$M310)&gt;0,
    COUNTIFS($U$3:$U$201,$M310)&gt;0,
    COUNTIFS($V$3:$V$201,$M310)&gt;0,
    COUNTIFS($W$3:$W$201,$M310)&gt;0,
    COUNTIFS($X$3:$X$201,$M310)&gt;0,
    COUNTIFS($Y$3:$Y$201,$M310)&gt;0,
    COUNTIFS($Z$3:$Z$201,$M310)&gt;0,
    COUNTIFS($AA$3:$AA$201,$M310)&gt;0,
    COUNTIFS($AB$3:$AB$201,$M310)&gt;0,
    COUNTIFS($AC$3:$AC$201,$M310)&gt;0,
    COUNTIFS($AD$3:$AD$201,$M310)&gt;0,
    COUNTIFS($AE$3:$AE$201,$M310)&gt;0,
    COUNTIFS($AF$3:$AF$201,$M310)&gt;0,
    COUNTIFS($AG$3:$AG$201,$M310)&gt;0,
    COUNTIFS($AH$3:$AH$201,$M310)&gt;0,
    COUNTIFS($AI$3:$AI$201,$M310)&gt;0,
    COUNTIFS($AJ$3:$AJ$201,$M310)&gt;0,
    COUNTIFS($AK$3:$AK$201,$M310)&gt;0,
    COUNTIFS($AL$3:$AL$201,$M310)&gt;0,
    COUNTIFS($AM$3:$AM$201,$M310)&gt;0,
    COUNTIFS($AN$3:$AN$201,$M310)&gt;0,
    COUNTIFS($AO$3:$AO$201,$M310)&gt;0,
    COUNTIFS($AP$3:$AP$201,$M310)&gt;0,
    COUNTIFS($AQ$3:$AQ$201,$M310)&gt;0,
    COUNTIFS($AR$3:$AR$201,$M310)&gt;0,
    COUNTIFS($AS$3:$AS$201,$M310)&gt;0,
    COUNTIFS($AT$3:$AT$201,$M310)&gt;0,
    COUNTIFS($AU$3:$AU$201,$M310)&gt;0,
    COUNTIFS($AV$3:$AV$201,$M310)&gt;0,
    COUNTIFS($AW$3:$AW$201,$M310)&gt;0
   ),
  0)
 ),
"")</f>
        <v/>
      </c>
      <c r="P310" s="3" t="str" cm="1">
        <f t="array" ref="P310">IFERROR(
 INDEX(
  _xlfn._xlws.FILTER($T$2:$AW$2,
   TRANSPOSE(
    CHOOSE({1;2;3;4;5;6;7;8;9;10;11;12;13;14;15;16;17;18;19;20;21;22;23;24;25;26;27;28;29;30},
     COUNTIFS($T$3:$T$201,$M310)&gt;0,
     COUNTIFS($U$3:$U$201,$M310)&gt;0,
     COUNTIFS($V$3:$V$201,$M310)&gt;0,
     COUNTIFS($W$3:$W$201,$M310)&gt;0,
     COUNTIFS($X$3:$X$201,$M310)&gt;0,
     COUNTIFS($Y$3:$Y$201,$M310)&gt;0,
     COUNTIFS($Z$3:$Z$201,$M310)&gt;0,
     COUNTIFS($AA$3:$AA$201,$M310)&gt;0,
     COUNTIFS($AB$3:$AB$201,$M310)&gt;0,
     COUNTIFS($AC$3:$AC$201,$M310)&gt;0,
     COUNTIFS($AD$3:$AD$201,$M310)&gt;0,
     COUNTIFS($AE$3:$AE$201,$M310)&gt;0,
     COUNTIFS($AF$3:$AF$201,$M310)&gt;0,
     COUNTIFS($AG$3:$AG$201,$M310)&gt;0,
     COUNTIFS($AH$3:$AH$201,$M310)&gt;0,
     COUNTIFS($AI$3:$AI$201,$M310)&gt;0,
     COUNTIFS($AJ$3:$AJ$201,$M310)&gt;0,
     COUNTIFS($AK$3:$AK$201,$M310)&gt;0,
     COUNTIFS($AL$3:$AL$201,$M310)&gt;0,
     COUNTIFS($AM$3:$AM$201,$M310)&gt;0,
     COUNTIFS($AN$3:$AN$201,$M310)&gt;0,
     COUNTIFS($AO$3:$AO$201,$M310)&gt;0,
     COUNTIFS($AP$3:$AP$201,$M310)&gt;0,
     COUNTIFS($AQ$3:$AQ$201,$M310)&gt;0,
     COUNTIFS($AR$3:$AR$201,$M310)&gt;0,
     COUNTIFS($AS$3:$AS$201,$M310)&gt;0,
     COUNTIFS($AT$3:$AT$201,$M310)&gt;0,
     COUNTIFS($AU$3:$AU$201,$M310)&gt;0,
     COUNTIFS($AV$3:$AV$201,$M310)&gt;0,
     COUNTIFS($AW$3:$AW$201,$M310)&gt;0
   )),
  ),
  2
 ),
"")</f>
        <v/>
      </c>
      <c r="Q310" s="3" t="str" cm="1">
        <f t="array" ref="Q310">IFERROR(
 INDEX(
  _xlfn._xlws.FILTER($T$2:$AW$2,
   TRANSPOSE(
    CHOOSE({1;2;3;4;5;6;7;8;9;10;11;12;13;14;15;16;17;18;19;20;21;22;23;24;25;26;27;28;29;30},
     COUNTIFS($T$3:$T$201,$M310)&gt;0,
     COUNTIFS($U$3:$U$201,$M310)&gt;0,
     COUNTIFS($V$3:$V$201,$M310)&gt;0,
     COUNTIFS($W$3:$W$201,$M310)&gt;0,
     COUNTIFS($X$3:$X$201,$M310)&gt;0,
     COUNTIFS($Y$3:$Y$201,$M310)&gt;0,
     COUNTIFS($Z$3:$Z$201,$M310)&gt;0,
     COUNTIFS($AA$3:$AA$201,$M310)&gt;0,
     COUNTIFS($AB$3:$AB$201,$M310)&gt;0,
     COUNTIFS($AC$3:$AC$201,$M310)&gt;0,
     COUNTIFS($AD$3:$AD$201,$M310)&gt;0,
     COUNTIFS($AE$3:$AE$201,$M310)&gt;0,
     COUNTIFS($AF$3:$AF$201,$M310)&gt;0,
     COUNTIFS($AG$3:$AG$201,$M310)&gt;0,
     COUNTIFS($AH$3:$AH$201,$M310)&gt;0,
     COUNTIFS($AI$3:$AI$201,$M310)&gt;0,
     COUNTIFS($AJ$3:$AJ$201,$M310)&gt;0,
     COUNTIFS($AK$3:$AK$201,$M310)&gt;0,
     COUNTIFS($AL$3:$AL$201,$M310)&gt;0,
     COUNTIFS($AM$3:$AM$201,$M310)&gt;0,
     COUNTIFS($AN$3:$AN$201,$M310)&gt;0,
     COUNTIFS($AO$3:$AO$201,$M310)&gt;0,
     COUNTIFS($AP$3:$AP$201,$M310)&gt;0,
     COUNTIFS($AQ$3:$AQ$201,$M310)&gt;0,
     COUNTIFS($AR$3:$AR$201,$M310)&gt;0,
     COUNTIFS($AS$3:$AS$201,$M310)&gt;0,
     COUNTIFS($AT$3:$AT$201,$M310)&gt;0,
     COUNTIFS($AU$3:$AU$201,$M310)&gt;0,
     COUNTIFS($AV$3:$AV$201,$M310)&gt;0,
     COUNTIFS($AW$3:$AW$201,$M310)&gt;0
   )),
  ),
  3
 ),
"")</f>
        <v/>
      </c>
      <c r="R310" s="3" t="str" cm="1">
        <f t="array" ref="R310">IFERROR(
 INDEX(
  _xlfn._xlws.FILTER($T$2:$AW$2,
   TRANSPOSE(
    CHOOSE({1;2;3;4;5;6;7;8;9;10;11;12;13;14;15;16;17;18;19;20;21;22;23;24;25;26;27;28;29;30},
     COUNTIFS($T$3:$T$201,$M310)&gt;0,
     COUNTIFS($U$3:$U$201,$M310)&gt;0,
     COUNTIFS($V$3:$V$201,$M310)&gt;0,
     COUNTIFS($W$3:$W$201,$M310)&gt;0,
     COUNTIFS($X$3:$X$201,$M310)&gt;0,
     COUNTIFS($Y$3:$Y$201,$M310)&gt;0,
     COUNTIFS($Z$3:$Z$201,$M310)&gt;0,
     COUNTIFS($AA$3:$AA$201,$M310)&gt;0,
     COUNTIFS($AB$3:$AB$201,$M310)&gt;0,
     COUNTIFS($AC$3:$AC$201,$M310)&gt;0,
     COUNTIFS($AD$3:$AD$201,$M310)&gt;0,
     COUNTIFS($AE$3:$AE$201,$M310)&gt;0,
     COUNTIFS($AF$3:$AF$201,$M310)&gt;0,
     COUNTIFS($AG$3:$AG$201,$M310)&gt;0,
     COUNTIFS($AH$3:$AH$201,$M310)&gt;0,
     COUNTIFS($AI$3:$AI$201,$M310)&gt;0,
     COUNTIFS($AJ$3:$AJ$201,$M310)&gt;0,
     COUNTIFS($AK$3:$AK$201,$M310)&gt;0,
     COUNTIFS($AL$3:$AL$201,$M310)&gt;0,
     COUNTIFS($AM$3:$AM$201,$M310)&gt;0,
     COUNTIFS($AN$3:$AN$201,$M310)&gt;0,
     COUNTIFS($AO$3:$AO$201,$M310)&gt;0,
     COUNTIFS($AP$3:$AP$201,$M310)&gt;0,
     COUNTIFS($AQ$3:$AQ$201,$M310)&gt;0,
     COUNTIFS($AR$3:$AR$201,$M310)&gt;0,
     COUNTIFS($AS$3:$AS$201,$M310)&gt;0,
     COUNTIFS($AT$3:$AT$201,$M310)&gt;0,
     COUNTIFS($AU$3:$AU$201,$M310)&gt;0,
     COUNTIFS($AV$3:$AV$201,$M310)&gt;0,
     COUNTIFS($AW$3:$AW$201,$M310)&gt;0
   )),
  ),
  4
 ),
"")</f>
        <v/>
      </c>
    </row>
    <row r="311" spans="1:18" x14ac:dyDescent="0.25">
      <c r="A311" t="str">
        <f ca="1"/>
        <v>Três Passos à Frente</v>
      </c>
      <c r="B311" s="3" t="str" cm="1">
        <f t="array" aca="1" ref="B311" ca="1">_xlfn.ANCHORARRAY(RESUMO!C310)</f>
        <v>Oona</v>
      </c>
      <c r="C311" s="3" t="str">
        <f t="shared" ca="1" si="16"/>
        <v/>
      </c>
      <c r="N311" s="3">
        <f t="shared" si="19"/>
        <v>0</v>
      </c>
      <c r="O311" s="3" t="str">
        <f>IFERROR(
 INDEX($T$2:$AW$2,
  MATCH(TRUE,
   CHOOSE({1;2;3;4;5;6;7;8;9;10;11;12;13;14;15;16;17;18;19;20;21;22;23;24;25;26;27;28;29;30;31;32},
    COUNTIFS($T$3:$T$201,$M311)&gt;0,
    COUNTIFS($U$3:$U$201,$M311)&gt;0,
    COUNTIFS($V$3:$V$201,$M311)&gt;0,
    COUNTIFS($W$3:$W$201,$M311)&gt;0,
    COUNTIFS($X$3:$X$201,$M311)&gt;0,
    COUNTIFS($Y$3:$Y$201,$M311)&gt;0,
    COUNTIFS($Z$3:$Z$201,$M311)&gt;0,
    COUNTIFS($AA$3:$AA$201,$M311)&gt;0,
    COUNTIFS($AB$3:$AB$201,$M311)&gt;0,
    COUNTIFS($AC$3:$AC$201,$M311)&gt;0,
    COUNTIFS($AD$3:$AD$201,$M311)&gt;0,
    COUNTIFS($AE$3:$AE$201,$M311)&gt;0,
    COUNTIFS($AF$3:$AF$201,$M311)&gt;0,
    COUNTIFS($AG$3:$AG$201,$M311)&gt;0,
    COUNTIFS($AH$3:$AH$201,$M311)&gt;0,
    COUNTIFS($AI$3:$AI$201,$M311)&gt;0,
    COUNTIFS($AJ$3:$AJ$201,$M311)&gt;0,
    COUNTIFS($AK$3:$AK$201,$M311)&gt;0,
    COUNTIFS($AL$3:$AL$201,$M311)&gt;0,
    COUNTIFS($AM$3:$AM$201,$M311)&gt;0,
    COUNTIFS($AN$3:$AN$201,$M311)&gt;0,
    COUNTIFS($AO$3:$AO$201,$M311)&gt;0,
    COUNTIFS($AP$3:$AP$201,$M311)&gt;0,
    COUNTIFS($AQ$3:$AQ$201,$M311)&gt;0,
    COUNTIFS($AR$3:$AR$201,$M311)&gt;0,
    COUNTIFS($AS$3:$AS$201,$M311)&gt;0,
    COUNTIFS($AT$3:$AT$201,$M311)&gt;0,
    COUNTIFS($AU$3:$AU$201,$M311)&gt;0,
    COUNTIFS($AV$3:$AV$201,$M311)&gt;0,
    COUNTIFS($AW$3:$AW$201,$M311)&gt;0
   ),
  0)
 ),
"")</f>
        <v/>
      </c>
      <c r="P311" s="3" t="str" cm="1">
        <f t="array" ref="P311">IFERROR(
 INDEX(
  _xlfn._xlws.FILTER($T$2:$AW$2,
   TRANSPOSE(
    CHOOSE({1;2;3;4;5;6;7;8;9;10;11;12;13;14;15;16;17;18;19;20;21;22;23;24;25;26;27;28;29;30},
     COUNTIFS($T$3:$T$201,$M311)&gt;0,
     COUNTIFS($U$3:$U$201,$M311)&gt;0,
     COUNTIFS($V$3:$V$201,$M311)&gt;0,
     COUNTIFS($W$3:$W$201,$M311)&gt;0,
     COUNTIFS($X$3:$X$201,$M311)&gt;0,
     COUNTIFS($Y$3:$Y$201,$M311)&gt;0,
     COUNTIFS($Z$3:$Z$201,$M311)&gt;0,
     COUNTIFS($AA$3:$AA$201,$M311)&gt;0,
     COUNTIFS($AB$3:$AB$201,$M311)&gt;0,
     COUNTIFS($AC$3:$AC$201,$M311)&gt;0,
     COUNTIFS($AD$3:$AD$201,$M311)&gt;0,
     COUNTIFS($AE$3:$AE$201,$M311)&gt;0,
     COUNTIFS($AF$3:$AF$201,$M311)&gt;0,
     COUNTIFS($AG$3:$AG$201,$M311)&gt;0,
     COUNTIFS($AH$3:$AH$201,$M311)&gt;0,
     COUNTIFS($AI$3:$AI$201,$M311)&gt;0,
     COUNTIFS($AJ$3:$AJ$201,$M311)&gt;0,
     COUNTIFS($AK$3:$AK$201,$M311)&gt;0,
     COUNTIFS($AL$3:$AL$201,$M311)&gt;0,
     COUNTIFS($AM$3:$AM$201,$M311)&gt;0,
     COUNTIFS($AN$3:$AN$201,$M311)&gt;0,
     COUNTIFS($AO$3:$AO$201,$M311)&gt;0,
     COUNTIFS($AP$3:$AP$201,$M311)&gt;0,
     COUNTIFS($AQ$3:$AQ$201,$M311)&gt;0,
     COUNTIFS($AR$3:$AR$201,$M311)&gt;0,
     COUNTIFS($AS$3:$AS$201,$M311)&gt;0,
     COUNTIFS($AT$3:$AT$201,$M311)&gt;0,
     COUNTIFS($AU$3:$AU$201,$M311)&gt;0,
     COUNTIFS($AV$3:$AV$201,$M311)&gt;0,
     COUNTIFS($AW$3:$AW$201,$M311)&gt;0
   )),
  ),
  2
 ),
"")</f>
        <v/>
      </c>
      <c r="Q311" s="3" t="str" cm="1">
        <f t="array" ref="Q311">IFERROR(
 INDEX(
  _xlfn._xlws.FILTER($T$2:$AW$2,
   TRANSPOSE(
    CHOOSE({1;2;3;4;5;6;7;8;9;10;11;12;13;14;15;16;17;18;19;20;21;22;23;24;25;26;27;28;29;30},
     COUNTIFS($T$3:$T$201,$M311)&gt;0,
     COUNTIFS($U$3:$U$201,$M311)&gt;0,
     COUNTIFS($V$3:$V$201,$M311)&gt;0,
     COUNTIFS($W$3:$W$201,$M311)&gt;0,
     COUNTIFS($X$3:$X$201,$M311)&gt;0,
     COUNTIFS($Y$3:$Y$201,$M311)&gt;0,
     COUNTIFS($Z$3:$Z$201,$M311)&gt;0,
     COUNTIFS($AA$3:$AA$201,$M311)&gt;0,
     COUNTIFS($AB$3:$AB$201,$M311)&gt;0,
     COUNTIFS($AC$3:$AC$201,$M311)&gt;0,
     COUNTIFS($AD$3:$AD$201,$M311)&gt;0,
     COUNTIFS($AE$3:$AE$201,$M311)&gt;0,
     COUNTIFS($AF$3:$AF$201,$M311)&gt;0,
     COUNTIFS($AG$3:$AG$201,$M311)&gt;0,
     COUNTIFS($AH$3:$AH$201,$M311)&gt;0,
     COUNTIFS($AI$3:$AI$201,$M311)&gt;0,
     COUNTIFS($AJ$3:$AJ$201,$M311)&gt;0,
     COUNTIFS($AK$3:$AK$201,$M311)&gt;0,
     COUNTIFS($AL$3:$AL$201,$M311)&gt;0,
     COUNTIFS($AM$3:$AM$201,$M311)&gt;0,
     COUNTIFS($AN$3:$AN$201,$M311)&gt;0,
     COUNTIFS($AO$3:$AO$201,$M311)&gt;0,
     COUNTIFS($AP$3:$AP$201,$M311)&gt;0,
     COUNTIFS($AQ$3:$AQ$201,$M311)&gt;0,
     COUNTIFS($AR$3:$AR$201,$M311)&gt;0,
     COUNTIFS($AS$3:$AS$201,$M311)&gt;0,
     COUNTIFS($AT$3:$AT$201,$M311)&gt;0,
     COUNTIFS($AU$3:$AU$201,$M311)&gt;0,
     COUNTIFS($AV$3:$AV$201,$M311)&gt;0,
     COUNTIFS($AW$3:$AW$201,$M311)&gt;0
   )),
  ),
  3
 ),
"")</f>
        <v/>
      </c>
      <c r="R311" s="3" t="str" cm="1">
        <f t="array" ref="R311">IFERROR(
 INDEX(
  _xlfn._xlws.FILTER($T$2:$AW$2,
   TRANSPOSE(
    CHOOSE({1;2;3;4;5;6;7;8;9;10;11;12;13;14;15;16;17;18;19;20;21;22;23;24;25;26;27;28;29;30},
     COUNTIFS($T$3:$T$201,$M311)&gt;0,
     COUNTIFS($U$3:$U$201,$M311)&gt;0,
     COUNTIFS($V$3:$V$201,$M311)&gt;0,
     COUNTIFS($W$3:$W$201,$M311)&gt;0,
     COUNTIFS($X$3:$X$201,$M311)&gt;0,
     COUNTIFS($Y$3:$Y$201,$M311)&gt;0,
     COUNTIFS($Z$3:$Z$201,$M311)&gt;0,
     COUNTIFS($AA$3:$AA$201,$M311)&gt;0,
     COUNTIFS($AB$3:$AB$201,$M311)&gt;0,
     COUNTIFS($AC$3:$AC$201,$M311)&gt;0,
     COUNTIFS($AD$3:$AD$201,$M311)&gt;0,
     COUNTIFS($AE$3:$AE$201,$M311)&gt;0,
     COUNTIFS($AF$3:$AF$201,$M311)&gt;0,
     COUNTIFS($AG$3:$AG$201,$M311)&gt;0,
     COUNTIFS($AH$3:$AH$201,$M311)&gt;0,
     COUNTIFS($AI$3:$AI$201,$M311)&gt;0,
     COUNTIFS($AJ$3:$AJ$201,$M311)&gt;0,
     COUNTIFS($AK$3:$AK$201,$M311)&gt;0,
     COUNTIFS($AL$3:$AL$201,$M311)&gt;0,
     COUNTIFS($AM$3:$AM$201,$M311)&gt;0,
     COUNTIFS($AN$3:$AN$201,$M311)&gt;0,
     COUNTIFS($AO$3:$AO$201,$M311)&gt;0,
     COUNTIFS($AP$3:$AP$201,$M311)&gt;0,
     COUNTIFS($AQ$3:$AQ$201,$M311)&gt;0,
     COUNTIFS($AR$3:$AR$201,$M311)&gt;0,
     COUNTIFS($AS$3:$AS$201,$M311)&gt;0,
     COUNTIFS($AT$3:$AT$201,$M311)&gt;0,
     COUNTIFS($AU$3:$AU$201,$M311)&gt;0,
     COUNTIFS($AV$3:$AV$201,$M311)&gt;0,
     COUNTIFS($AW$3:$AW$201,$M311)&gt;0
   )),
  ),
  4
 ),
"")</f>
        <v/>
      </c>
    </row>
    <row r="312" spans="1:18" x14ac:dyDescent="0.25">
      <c r="A312" t="str">
        <f ca="1"/>
        <v>Trioma de Indatha</v>
      </c>
      <c r="B312" s="3" t="str" cm="1">
        <f t="array" aca="1" ref="B312" ca="1">_xlfn.ANCHORARRAY(RESUMO!C311)</f>
        <v>Fractius</v>
      </c>
      <c r="C312" s="3" t="str">
        <f t="shared" ca="1" si="16"/>
        <v/>
      </c>
      <c r="N312" s="3">
        <f t="shared" si="19"/>
        <v>0</v>
      </c>
      <c r="O312" s="3" t="str">
        <f>IFERROR(
 INDEX($T$2:$AW$2,
  MATCH(TRUE,
   CHOOSE({1;2;3;4;5;6;7;8;9;10;11;12;13;14;15;16;17;18;19;20;21;22;23;24;25;26;27;28;29;30;31;32},
    COUNTIFS($T$3:$T$201,$M312)&gt;0,
    COUNTIFS($U$3:$U$201,$M312)&gt;0,
    COUNTIFS($V$3:$V$201,$M312)&gt;0,
    COUNTIFS($W$3:$W$201,$M312)&gt;0,
    COUNTIFS($X$3:$X$201,$M312)&gt;0,
    COUNTIFS($Y$3:$Y$201,$M312)&gt;0,
    COUNTIFS($Z$3:$Z$201,$M312)&gt;0,
    COUNTIFS($AA$3:$AA$201,$M312)&gt;0,
    COUNTIFS($AB$3:$AB$201,$M312)&gt;0,
    COUNTIFS($AC$3:$AC$201,$M312)&gt;0,
    COUNTIFS($AD$3:$AD$201,$M312)&gt;0,
    COUNTIFS($AE$3:$AE$201,$M312)&gt;0,
    COUNTIFS($AF$3:$AF$201,$M312)&gt;0,
    COUNTIFS($AG$3:$AG$201,$M312)&gt;0,
    COUNTIFS($AH$3:$AH$201,$M312)&gt;0,
    COUNTIFS($AI$3:$AI$201,$M312)&gt;0,
    COUNTIFS($AJ$3:$AJ$201,$M312)&gt;0,
    COUNTIFS($AK$3:$AK$201,$M312)&gt;0,
    COUNTIFS($AL$3:$AL$201,$M312)&gt;0,
    COUNTIFS($AM$3:$AM$201,$M312)&gt;0,
    COUNTIFS($AN$3:$AN$201,$M312)&gt;0,
    COUNTIFS($AO$3:$AO$201,$M312)&gt;0,
    COUNTIFS($AP$3:$AP$201,$M312)&gt;0,
    COUNTIFS($AQ$3:$AQ$201,$M312)&gt;0,
    COUNTIFS($AR$3:$AR$201,$M312)&gt;0,
    COUNTIFS($AS$3:$AS$201,$M312)&gt;0,
    COUNTIFS($AT$3:$AT$201,$M312)&gt;0,
    COUNTIFS($AU$3:$AU$201,$M312)&gt;0,
    COUNTIFS($AV$3:$AV$201,$M312)&gt;0,
    COUNTIFS($AW$3:$AW$201,$M312)&gt;0
   ),
  0)
 ),
"")</f>
        <v/>
      </c>
      <c r="P312" s="3" t="str" cm="1">
        <f t="array" ref="P312">IFERROR(
 INDEX(
  _xlfn._xlws.FILTER($T$2:$AW$2,
   TRANSPOSE(
    CHOOSE({1;2;3;4;5;6;7;8;9;10;11;12;13;14;15;16;17;18;19;20;21;22;23;24;25;26;27;28;29;30},
     COUNTIFS($T$3:$T$201,$M312)&gt;0,
     COUNTIFS($U$3:$U$201,$M312)&gt;0,
     COUNTIFS($V$3:$V$201,$M312)&gt;0,
     COUNTIFS($W$3:$W$201,$M312)&gt;0,
     COUNTIFS($X$3:$X$201,$M312)&gt;0,
     COUNTIFS($Y$3:$Y$201,$M312)&gt;0,
     COUNTIFS($Z$3:$Z$201,$M312)&gt;0,
     COUNTIFS($AA$3:$AA$201,$M312)&gt;0,
     COUNTIFS($AB$3:$AB$201,$M312)&gt;0,
     COUNTIFS($AC$3:$AC$201,$M312)&gt;0,
     COUNTIFS($AD$3:$AD$201,$M312)&gt;0,
     COUNTIFS($AE$3:$AE$201,$M312)&gt;0,
     COUNTIFS($AF$3:$AF$201,$M312)&gt;0,
     COUNTIFS($AG$3:$AG$201,$M312)&gt;0,
     COUNTIFS($AH$3:$AH$201,$M312)&gt;0,
     COUNTIFS($AI$3:$AI$201,$M312)&gt;0,
     COUNTIFS($AJ$3:$AJ$201,$M312)&gt;0,
     COUNTIFS($AK$3:$AK$201,$M312)&gt;0,
     COUNTIFS($AL$3:$AL$201,$M312)&gt;0,
     COUNTIFS($AM$3:$AM$201,$M312)&gt;0,
     COUNTIFS($AN$3:$AN$201,$M312)&gt;0,
     COUNTIFS($AO$3:$AO$201,$M312)&gt;0,
     COUNTIFS($AP$3:$AP$201,$M312)&gt;0,
     COUNTIFS($AQ$3:$AQ$201,$M312)&gt;0,
     COUNTIFS($AR$3:$AR$201,$M312)&gt;0,
     COUNTIFS($AS$3:$AS$201,$M312)&gt;0,
     COUNTIFS($AT$3:$AT$201,$M312)&gt;0,
     COUNTIFS($AU$3:$AU$201,$M312)&gt;0,
     COUNTIFS($AV$3:$AV$201,$M312)&gt;0,
     COUNTIFS($AW$3:$AW$201,$M312)&gt;0
   )),
  ),
  2
 ),
"")</f>
        <v/>
      </c>
      <c r="Q312" s="3" t="str" cm="1">
        <f t="array" ref="Q312">IFERROR(
 INDEX(
  _xlfn._xlws.FILTER($T$2:$AW$2,
   TRANSPOSE(
    CHOOSE({1;2;3;4;5;6;7;8;9;10;11;12;13;14;15;16;17;18;19;20;21;22;23;24;25;26;27;28;29;30},
     COUNTIFS($T$3:$T$201,$M312)&gt;0,
     COUNTIFS($U$3:$U$201,$M312)&gt;0,
     COUNTIFS($V$3:$V$201,$M312)&gt;0,
     COUNTIFS($W$3:$W$201,$M312)&gt;0,
     COUNTIFS($X$3:$X$201,$M312)&gt;0,
     COUNTIFS($Y$3:$Y$201,$M312)&gt;0,
     COUNTIFS($Z$3:$Z$201,$M312)&gt;0,
     COUNTIFS($AA$3:$AA$201,$M312)&gt;0,
     COUNTIFS($AB$3:$AB$201,$M312)&gt;0,
     COUNTIFS($AC$3:$AC$201,$M312)&gt;0,
     COUNTIFS($AD$3:$AD$201,$M312)&gt;0,
     COUNTIFS($AE$3:$AE$201,$M312)&gt;0,
     COUNTIFS($AF$3:$AF$201,$M312)&gt;0,
     COUNTIFS($AG$3:$AG$201,$M312)&gt;0,
     COUNTIFS($AH$3:$AH$201,$M312)&gt;0,
     COUNTIFS($AI$3:$AI$201,$M312)&gt;0,
     COUNTIFS($AJ$3:$AJ$201,$M312)&gt;0,
     COUNTIFS($AK$3:$AK$201,$M312)&gt;0,
     COUNTIFS($AL$3:$AL$201,$M312)&gt;0,
     COUNTIFS($AM$3:$AM$201,$M312)&gt;0,
     COUNTIFS($AN$3:$AN$201,$M312)&gt;0,
     COUNTIFS($AO$3:$AO$201,$M312)&gt;0,
     COUNTIFS($AP$3:$AP$201,$M312)&gt;0,
     COUNTIFS($AQ$3:$AQ$201,$M312)&gt;0,
     COUNTIFS($AR$3:$AR$201,$M312)&gt;0,
     COUNTIFS($AS$3:$AS$201,$M312)&gt;0,
     COUNTIFS($AT$3:$AT$201,$M312)&gt;0,
     COUNTIFS($AU$3:$AU$201,$M312)&gt;0,
     COUNTIFS($AV$3:$AV$201,$M312)&gt;0,
     COUNTIFS($AW$3:$AW$201,$M312)&gt;0
   )),
  ),
  3
 ),
"")</f>
        <v/>
      </c>
      <c r="R312" s="3" t="str" cm="1">
        <f t="array" ref="R312">IFERROR(
 INDEX(
  _xlfn._xlws.FILTER($T$2:$AW$2,
   TRANSPOSE(
    CHOOSE({1;2;3;4;5;6;7;8;9;10;11;12;13;14;15;16;17;18;19;20;21;22;23;24;25;26;27;28;29;30},
     COUNTIFS($T$3:$T$201,$M312)&gt;0,
     COUNTIFS($U$3:$U$201,$M312)&gt;0,
     COUNTIFS($V$3:$V$201,$M312)&gt;0,
     COUNTIFS($W$3:$W$201,$M312)&gt;0,
     COUNTIFS($X$3:$X$201,$M312)&gt;0,
     COUNTIFS($Y$3:$Y$201,$M312)&gt;0,
     COUNTIFS($Z$3:$Z$201,$M312)&gt;0,
     COUNTIFS($AA$3:$AA$201,$M312)&gt;0,
     COUNTIFS($AB$3:$AB$201,$M312)&gt;0,
     COUNTIFS($AC$3:$AC$201,$M312)&gt;0,
     COUNTIFS($AD$3:$AD$201,$M312)&gt;0,
     COUNTIFS($AE$3:$AE$201,$M312)&gt;0,
     COUNTIFS($AF$3:$AF$201,$M312)&gt;0,
     COUNTIFS($AG$3:$AG$201,$M312)&gt;0,
     COUNTIFS($AH$3:$AH$201,$M312)&gt;0,
     COUNTIFS($AI$3:$AI$201,$M312)&gt;0,
     COUNTIFS($AJ$3:$AJ$201,$M312)&gt;0,
     COUNTIFS($AK$3:$AK$201,$M312)&gt;0,
     COUNTIFS($AL$3:$AL$201,$M312)&gt;0,
     COUNTIFS($AM$3:$AM$201,$M312)&gt;0,
     COUNTIFS($AN$3:$AN$201,$M312)&gt;0,
     COUNTIFS($AO$3:$AO$201,$M312)&gt;0,
     COUNTIFS($AP$3:$AP$201,$M312)&gt;0,
     COUNTIFS($AQ$3:$AQ$201,$M312)&gt;0,
     COUNTIFS($AR$3:$AR$201,$M312)&gt;0,
     COUNTIFS($AS$3:$AS$201,$M312)&gt;0,
     COUNTIFS($AT$3:$AT$201,$M312)&gt;0,
     COUNTIFS($AU$3:$AU$201,$M312)&gt;0,
     COUNTIFS($AV$3:$AV$201,$M312)&gt;0,
     COUNTIFS($AW$3:$AW$201,$M312)&gt;0
   )),
  ),
  4
 ),
"")</f>
        <v/>
      </c>
    </row>
    <row r="313" spans="1:18" x14ac:dyDescent="0.25">
      <c r="A313" t="str">
        <f ca="1"/>
        <v>Trioma de Raugrin</v>
      </c>
      <c r="B313" s="3" t="str" cm="1">
        <f t="array" aca="1" ref="B313" ca="1">_xlfn.ANCHORARRAY(RESUMO!C312)</f>
        <v>Fractius</v>
      </c>
      <c r="C313" s="3" t="str">
        <f t="shared" ca="1" si="16"/>
        <v/>
      </c>
      <c r="N313" s="3">
        <f t="shared" si="19"/>
        <v>0</v>
      </c>
      <c r="O313" s="3" t="str">
        <f>IFERROR(
 INDEX($T$2:$AW$2,
  MATCH(TRUE,
   CHOOSE({1;2;3;4;5;6;7;8;9;10;11;12;13;14;15;16;17;18;19;20;21;22;23;24;25;26;27;28;29;30;31;32},
    COUNTIFS($T$3:$T$201,$M313)&gt;0,
    COUNTIFS($U$3:$U$201,$M313)&gt;0,
    COUNTIFS($V$3:$V$201,$M313)&gt;0,
    COUNTIFS($W$3:$W$201,$M313)&gt;0,
    COUNTIFS($X$3:$X$201,$M313)&gt;0,
    COUNTIFS($Y$3:$Y$201,$M313)&gt;0,
    COUNTIFS($Z$3:$Z$201,$M313)&gt;0,
    COUNTIFS($AA$3:$AA$201,$M313)&gt;0,
    COUNTIFS($AB$3:$AB$201,$M313)&gt;0,
    COUNTIFS($AC$3:$AC$201,$M313)&gt;0,
    COUNTIFS($AD$3:$AD$201,$M313)&gt;0,
    COUNTIFS($AE$3:$AE$201,$M313)&gt;0,
    COUNTIFS($AF$3:$AF$201,$M313)&gt;0,
    COUNTIFS($AG$3:$AG$201,$M313)&gt;0,
    COUNTIFS($AH$3:$AH$201,$M313)&gt;0,
    COUNTIFS($AI$3:$AI$201,$M313)&gt;0,
    COUNTIFS($AJ$3:$AJ$201,$M313)&gt;0,
    COUNTIFS($AK$3:$AK$201,$M313)&gt;0,
    COUNTIFS($AL$3:$AL$201,$M313)&gt;0,
    COUNTIFS($AM$3:$AM$201,$M313)&gt;0,
    COUNTIFS($AN$3:$AN$201,$M313)&gt;0,
    COUNTIFS($AO$3:$AO$201,$M313)&gt;0,
    COUNTIFS($AP$3:$AP$201,$M313)&gt;0,
    COUNTIFS($AQ$3:$AQ$201,$M313)&gt;0,
    COUNTIFS($AR$3:$AR$201,$M313)&gt;0,
    COUNTIFS($AS$3:$AS$201,$M313)&gt;0,
    COUNTIFS($AT$3:$AT$201,$M313)&gt;0,
    COUNTIFS($AU$3:$AU$201,$M313)&gt;0,
    COUNTIFS($AV$3:$AV$201,$M313)&gt;0,
    COUNTIFS($AW$3:$AW$201,$M313)&gt;0
   ),
  0)
 ),
"")</f>
        <v/>
      </c>
      <c r="P313" s="3" t="str" cm="1">
        <f t="array" ref="P313">IFERROR(
 INDEX(
  _xlfn._xlws.FILTER($T$2:$AW$2,
   TRANSPOSE(
    CHOOSE({1;2;3;4;5;6;7;8;9;10;11;12;13;14;15;16;17;18;19;20;21;22;23;24;25;26;27;28;29;30},
     COUNTIFS($T$3:$T$201,$M313)&gt;0,
     COUNTIFS($U$3:$U$201,$M313)&gt;0,
     COUNTIFS($V$3:$V$201,$M313)&gt;0,
     COUNTIFS($W$3:$W$201,$M313)&gt;0,
     COUNTIFS($X$3:$X$201,$M313)&gt;0,
     COUNTIFS($Y$3:$Y$201,$M313)&gt;0,
     COUNTIFS($Z$3:$Z$201,$M313)&gt;0,
     COUNTIFS($AA$3:$AA$201,$M313)&gt;0,
     COUNTIFS($AB$3:$AB$201,$M313)&gt;0,
     COUNTIFS($AC$3:$AC$201,$M313)&gt;0,
     COUNTIFS($AD$3:$AD$201,$M313)&gt;0,
     COUNTIFS($AE$3:$AE$201,$M313)&gt;0,
     COUNTIFS($AF$3:$AF$201,$M313)&gt;0,
     COUNTIFS($AG$3:$AG$201,$M313)&gt;0,
     COUNTIFS($AH$3:$AH$201,$M313)&gt;0,
     COUNTIFS($AI$3:$AI$201,$M313)&gt;0,
     COUNTIFS($AJ$3:$AJ$201,$M313)&gt;0,
     COUNTIFS($AK$3:$AK$201,$M313)&gt;0,
     COUNTIFS($AL$3:$AL$201,$M313)&gt;0,
     COUNTIFS($AM$3:$AM$201,$M313)&gt;0,
     COUNTIFS($AN$3:$AN$201,$M313)&gt;0,
     COUNTIFS($AO$3:$AO$201,$M313)&gt;0,
     COUNTIFS($AP$3:$AP$201,$M313)&gt;0,
     COUNTIFS($AQ$3:$AQ$201,$M313)&gt;0,
     COUNTIFS($AR$3:$AR$201,$M313)&gt;0,
     COUNTIFS($AS$3:$AS$201,$M313)&gt;0,
     COUNTIFS($AT$3:$AT$201,$M313)&gt;0,
     COUNTIFS($AU$3:$AU$201,$M313)&gt;0,
     COUNTIFS($AV$3:$AV$201,$M313)&gt;0,
     COUNTIFS($AW$3:$AW$201,$M313)&gt;0
   )),
  ),
  2
 ),
"")</f>
        <v/>
      </c>
      <c r="Q313" s="3" t="str" cm="1">
        <f t="array" ref="Q313">IFERROR(
 INDEX(
  _xlfn._xlws.FILTER($T$2:$AW$2,
   TRANSPOSE(
    CHOOSE({1;2;3;4;5;6;7;8;9;10;11;12;13;14;15;16;17;18;19;20;21;22;23;24;25;26;27;28;29;30},
     COUNTIFS($T$3:$T$201,$M313)&gt;0,
     COUNTIFS($U$3:$U$201,$M313)&gt;0,
     COUNTIFS($V$3:$V$201,$M313)&gt;0,
     COUNTIFS($W$3:$W$201,$M313)&gt;0,
     COUNTIFS($X$3:$X$201,$M313)&gt;0,
     COUNTIFS($Y$3:$Y$201,$M313)&gt;0,
     COUNTIFS($Z$3:$Z$201,$M313)&gt;0,
     COUNTIFS($AA$3:$AA$201,$M313)&gt;0,
     COUNTIFS($AB$3:$AB$201,$M313)&gt;0,
     COUNTIFS($AC$3:$AC$201,$M313)&gt;0,
     COUNTIFS($AD$3:$AD$201,$M313)&gt;0,
     COUNTIFS($AE$3:$AE$201,$M313)&gt;0,
     COUNTIFS($AF$3:$AF$201,$M313)&gt;0,
     COUNTIFS($AG$3:$AG$201,$M313)&gt;0,
     COUNTIFS($AH$3:$AH$201,$M313)&gt;0,
     COUNTIFS($AI$3:$AI$201,$M313)&gt;0,
     COUNTIFS($AJ$3:$AJ$201,$M313)&gt;0,
     COUNTIFS($AK$3:$AK$201,$M313)&gt;0,
     COUNTIFS($AL$3:$AL$201,$M313)&gt;0,
     COUNTIFS($AM$3:$AM$201,$M313)&gt;0,
     COUNTIFS($AN$3:$AN$201,$M313)&gt;0,
     COUNTIFS($AO$3:$AO$201,$M313)&gt;0,
     COUNTIFS($AP$3:$AP$201,$M313)&gt;0,
     COUNTIFS($AQ$3:$AQ$201,$M313)&gt;0,
     COUNTIFS($AR$3:$AR$201,$M313)&gt;0,
     COUNTIFS($AS$3:$AS$201,$M313)&gt;0,
     COUNTIFS($AT$3:$AT$201,$M313)&gt;0,
     COUNTIFS($AU$3:$AU$201,$M313)&gt;0,
     COUNTIFS($AV$3:$AV$201,$M313)&gt;0,
     COUNTIFS($AW$3:$AW$201,$M313)&gt;0
   )),
  ),
  3
 ),
"")</f>
        <v/>
      </c>
      <c r="R313" s="3" t="str" cm="1">
        <f t="array" ref="R313">IFERROR(
 INDEX(
  _xlfn._xlws.FILTER($T$2:$AW$2,
   TRANSPOSE(
    CHOOSE({1;2;3;4;5;6;7;8;9;10;11;12;13;14;15;16;17;18;19;20;21;22;23;24;25;26;27;28;29;30},
     COUNTIFS($T$3:$T$201,$M313)&gt;0,
     COUNTIFS($U$3:$U$201,$M313)&gt;0,
     COUNTIFS($V$3:$V$201,$M313)&gt;0,
     COUNTIFS($W$3:$W$201,$M313)&gt;0,
     COUNTIFS($X$3:$X$201,$M313)&gt;0,
     COUNTIFS($Y$3:$Y$201,$M313)&gt;0,
     COUNTIFS($Z$3:$Z$201,$M313)&gt;0,
     COUNTIFS($AA$3:$AA$201,$M313)&gt;0,
     COUNTIFS($AB$3:$AB$201,$M313)&gt;0,
     COUNTIFS($AC$3:$AC$201,$M313)&gt;0,
     COUNTIFS($AD$3:$AD$201,$M313)&gt;0,
     COUNTIFS($AE$3:$AE$201,$M313)&gt;0,
     COUNTIFS($AF$3:$AF$201,$M313)&gt;0,
     COUNTIFS($AG$3:$AG$201,$M313)&gt;0,
     COUNTIFS($AH$3:$AH$201,$M313)&gt;0,
     COUNTIFS($AI$3:$AI$201,$M313)&gt;0,
     COUNTIFS($AJ$3:$AJ$201,$M313)&gt;0,
     COUNTIFS($AK$3:$AK$201,$M313)&gt;0,
     COUNTIFS($AL$3:$AL$201,$M313)&gt;0,
     COUNTIFS($AM$3:$AM$201,$M313)&gt;0,
     COUNTIFS($AN$3:$AN$201,$M313)&gt;0,
     COUNTIFS($AO$3:$AO$201,$M313)&gt;0,
     COUNTIFS($AP$3:$AP$201,$M313)&gt;0,
     COUNTIFS($AQ$3:$AQ$201,$M313)&gt;0,
     COUNTIFS($AR$3:$AR$201,$M313)&gt;0,
     COUNTIFS($AS$3:$AS$201,$M313)&gt;0,
     COUNTIFS($AT$3:$AT$201,$M313)&gt;0,
     COUNTIFS($AU$3:$AU$201,$M313)&gt;0,
     COUNTIFS($AV$3:$AV$201,$M313)&gt;0,
     COUNTIFS($AW$3:$AW$201,$M313)&gt;0
   )),
  ),
  4
 ),
"")</f>
        <v/>
      </c>
    </row>
    <row r="314" spans="1:18" x14ac:dyDescent="0.25">
      <c r="A314" t="str">
        <f ca="1"/>
        <v>Trioma de Zagoth</v>
      </c>
      <c r="B314" s="3" t="str" cm="1">
        <f t="array" aca="1" ref="B314" ca="1">_xlfn.ANCHORARRAY(RESUMO!C313)</f>
        <v>Fractius</v>
      </c>
      <c r="C314" s="3" t="str">
        <f t="shared" ca="1" si="16"/>
        <v/>
      </c>
      <c r="N314" s="3">
        <f t="shared" si="19"/>
        <v>0</v>
      </c>
      <c r="O314" s="3" t="str">
        <f>IFERROR(
 INDEX($T$2:$AW$2,
  MATCH(TRUE,
   CHOOSE({1;2;3;4;5;6;7;8;9;10;11;12;13;14;15;16;17;18;19;20;21;22;23;24;25;26;27;28;29;30;31;32},
    COUNTIFS($T$3:$T$201,$M314)&gt;0,
    COUNTIFS($U$3:$U$201,$M314)&gt;0,
    COUNTIFS($V$3:$V$201,$M314)&gt;0,
    COUNTIFS($W$3:$W$201,$M314)&gt;0,
    COUNTIFS($X$3:$X$201,$M314)&gt;0,
    COUNTIFS($Y$3:$Y$201,$M314)&gt;0,
    COUNTIFS($Z$3:$Z$201,$M314)&gt;0,
    COUNTIFS($AA$3:$AA$201,$M314)&gt;0,
    COUNTIFS($AB$3:$AB$201,$M314)&gt;0,
    COUNTIFS($AC$3:$AC$201,$M314)&gt;0,
    COUNTIFS($AD$3:$AD$201,$M314)&gt;0,
    COUNTIFS($AE$3:$AE$201,$M314)&gt;0,
    COUNTIFS($AF$3:$AF$201,$M314)&gt;0,
    COUNTIFS($AG$3:$AG$201,$M314)&gt;0,
    COUNTIFS($AH$3:$AH$201,$M314)&gt;0,
    COUNTIFS($AI$3:$AI$201,$M314)&gt;0,
    COUNTIFS($AJ$3:$AJ$201,$M314)&gt;0,
    COUNTIFS($AK$3:$AK$201,$M314)&gt;0,
    COUNTIFS($AL$3:$AL$201,$M314)&gt;0,
    COUNTIFS($AM$3:$AM$201,$M314)&gt;0,
    COUNTIFS($AN$3:$AN$201,$M314)&gt;0,
    COUNTIFS($AO$3:$AO$201,$M314)&gt;0,
    COUNTIFS($AP$3:$AP$201,$M314)&gt;0,
    COUNTIFS($AQ$3:$AQ$201,$M314)&gt;0,
    COUNTIFS($AR$3:$AR$201,$M314)&gt;0,
    COUNTIFS($AS$3:$AS$201,$M314)&gt;0,
    COUNTIFS($AT$3:$AT$201,$M314)&gt;0,
    COUNTIFS($AU$3:$AU$201,$M314)&gt;0,
    COUNTIFS($AV$3:$AV$201,$M314)&gt;0,
    COUNTIFS($AW$3:$AW$201,$M314)&gt;0
   ),
  0)
 ),
"")</f>
        <v/>
      </c>
      <c r="P314" s="3" t="str" cm="1">
        <f t="array" ref="P314">IFERROR(
 INDEX(
  _xlfn._xlws.FILTER($T$2:$AW$2,
   TRANSPOSE(
    CHOOSE({1;2;3;4;5;6;7;8;9;10;11;12;13;14;15;16;17;18;19;20;21;22;23;24;25;26;27;28;29;30},
     COUNTIFS($T$3:$T$201,$M314)&gt;0,
     COUNTIFS($U$3:$U$201,$M314)&gt;0,
     COUNTIFS($V$3:$V$201,$M314)&gt;0,
     COUNTIFS($W$3:$W$201,$M314)&gt;0,
     COUNTIFS($X$3:$X$201,$M314)&gt;0,
     COUNTIFS($Y$3:$Y$201,$M314)&gt;0,
     COUNTIFS($Z$3:$Z$201,$M314)&gt;0,
     COUNTIFS($AA$3:$AA$201,$M314)&gt;0,
     COUNTIFS($AB$3:$AB$201,$M314)&gt;0,
     COUNTIFS($AC$3:$AC$201,$M314)&gt;0,
     COUNTIFS($AD$3:$AD$201,$M314)&gt;0,
     COUNTIFS($AE$3:$AE$201,$M314)&gt;0,
     COUNTIFS($AF$3:$AF$201,$M314)&gt;0,
     COUNTIFS($AG$3:$AG$201,$M314)&gt;0,
     COUNTIFS($AH$3:$AH$201,$M314)&gt;0,
     COUNTIFS($AI$3:$AI$201,$M314)&gt;0,
     COUNTIFS($AJ$3:$AJ$201,$M314)&gt;0,
     COUNTIFS($AK$3:$AK$201,$M314)&gt;0,
     COUNTIFS($AL$3:$AL$201,$M314)&gt;0,
     COUNTIFS($AM$3:$AM$201,$M314)&gt;0,
     COUNTIFS($AN$3:$AN$201,$M314)&gt;0,
     COUNTIFS($AO$3:$AO$201,$M314)&gt;0,
     COUNTIFS($AP$3:$AP$201,$M314)&gt;0,
     COUNTIFS($AQ$3:$AQ$201,$M314)&gt;0,
     COUNTIFS($AR$3:$AR$201,$M314)&gt;0,
     COUNTIFS($AS$3:$AS$201,$M314)&gt;0,
     COUNTIFS($AT$3:$AT$201,$M314)&gt;0,
     COUNTIFS($AU$3:$AU$201,$M314)&gt;0,
     COUNTIFS($AV$3:$AV$201,$M314)&gt;0,
     COUNTIFS($AW$3:$AW$201,$M314)&gt;0
   )),
  ),
  2
 ),
"")</f>
        <v/>
      </c>
      <c r="Q314" s="3" t="str" cm="1">
        <f t="array" ref="Q314">IFERROR(
 INDEX(
  _xlfn._xlws.FILTER($T$2:$AW$2,
   TRANSPOSE(
    CHOOSE({1;2;3;4;5;6;7;8;9;10;11;12;13;14;15;16;17;18;19;20;21;22;23;24;25;26;27;28;29;30},
     COUNTIFS($T$3:$T$201,$M314)&gt;0,
     COUNTIFS($U$3:$U$201,$M314)&gt;0,
     COUNTIFS($V$3:$V$201,$M314)&gt;0,
     COUNTIFS($W$3:$W$201,$M314)&gt;0,
     COUNTIFS($X$3:$X$201,$M314)&gt;0,
     COUNTIFS($Y$3:$Y$201,$M314)&gt;0,
     COUNTIFS($Z$3:$Z$201,$M314)&gt;0,
     COUNTIFS($AA$3:$AA$201,$M314)&gt;0,
     COUNTIFS($AB$3:$AB$201,$M314)&gt;0,
     COUNTIFS($AC$3:$AC$201,$M314)&gt;0,
     COUNTIFS($AD$3:$AD$201,$M314)&gt;0,
     COUNTIFS($AE$3:$AE$201,$M314)&gt;0,
     COUNTIFS($AF$3:$AF$201,$M314)&gt;0,
     COUNTIFS($AG$3:$AG$201,$M314)&gt;0,
     COUNTIFS($AH$3:$AH$201,$M314)&gt;0,
     COUNTIFS($AI$3:$AI$201,$M314)&gt;0,
     COUNTIFS($AJ$3:$AJ$201,$M314)&gt;0,
     COUNTIFS($AK$3:$AK$201,$M314)&gt;0,
     COUNTIFS($AL$3:$AL$201,$M314)&gt;0,
     COUNTIFS($AM$3:$AM$201,$M314)&gt;0,
     COUNTIFS($AN$3:$AN$201,$M314)&gt;0,
     COUNTIFS($AO$3:$AO$201,$M314)&gt;0,
     COUNTIFS($AP$3:$AP$201,$M314)&gt;0,
     COUNTIFS($AQ$3:$AQ$201,$M314)&gt;0,
     COUNTIFS($AR$3:$AR$201,$M314)&gt;0,
     COUNTIFS($AS$3:$AS$201,$M314)&gt;0,
     COUNTIFS($AT$3:$AT$201,$M314)&gt;0,
     COUNTIFS($AU$3:$AU$201,$M314)&gt;0,
     COUNTIFS($AV$3:$AV$201,$M314)&gt;0,
     COUNTIFS($AW$3:$AW$201,$M314)&gt;0
   )),
  ),
  3
 ),
"")</f>
        <v/>
      </c>
      <c r="R314" s="3" t="str" cm="1">
        <f t="array" ref="R314">IFERROR(
 INDEX(
  _xlfn._xlws.FILTER($T$2:$AW$2,
   TRANSPOSE(
    CHOOSE({1;2;3;4;5;6;7;8;9;10;11;12;13;14;15;16;17;18;19;20;21;22;23;24;25;26;27;28;29;30},
     COUNTIFS($T$3:$T$201,$M314)&gt;0,
     COUNTIFS($U$3:$U$201,$M314)&gt;0,
     COUNTIFS($V$3:$V$201,$M314)&gt;0,
     COUNTIFS($W$3:$W$201,$M314)&gt;0,
     COUNTIFS($X$3:$X$201,$M314)&gt;0,
     COUNTIFS($Y$3:$Y$201,$M314)&gt;0,
     COUNTIFS($Z$3:$Z$201,$M314)&gt;0,
     COUNTIFS($AA$3:$AA$201,$M314)&gt;0,
     COUNTIFS($AB$3:$AB$201,$M314)&gt;0,
     COUNTIFS($AC$3:$AC$201,$M314)&gt;0,
     COUNTIFS($AD$3:$AD$201,$M314)&gt;0,
     COUNTIFS($AE$3:$AE$201,$M314)&gt;0,
     COUNTIFS($AF$3:$AF$201,$M314)&gt;0,
     COUNTIFS($AG$3:$AG$201,$M314)&gt;0,
     COUNTIFS($AH$3:$AH$201,$M314)&gt;0,
     COUNTIFS($AI$3:$AI$201,$M314)&gt;0,
     COUNTIFS($AJ$3:$AJ$201,$M314)&gt;0,
     COUNTIFS($AK$3:$AK$201,$M314)&gt;0,
     COUNTIFS($AL$3:$AL$201,$M314)&gt;0,
     COUNTIFS($AM$3:$AM$201,$M314)&gt;0,
     COUNTIFS($AN$3:$AN$201,$M314)&gt;0,
     COUNTIFS($AO$3:$AO$201,$M314)&gt;0,
     COUNTIFS($AP$3:$AP$201,$M314)&gt;0,
     COUNTIFS($AQ$3:$AQ$201,$M314)&gt;0,
     COUNTIFS($AR$3:$AR$201,$M314)&gt;0,
     COUNTIFS($AS$3:$AS$201,$M314)&gt;0,
     COUNTIFS($AT$3:$AT$201,$M314)&gt;0,
     COUNTIFS($AU$3:$AU$201,$M314)&gt;0,
     COUNTIFS($AV$3:$AV$201,$M314)&gt;0,
     COUNTIFS($AW$3:$AW$201,$M314)&gt;0
   )),
  ),
  4
 ),
"")</f>
        <v/>
      </c>
    </row>
    <row r="315" spans="1:18" x14ac:dyDescent="0.25">
      <c r="A315" t="str">
        <f ca="1"/>
        <v>Tromell, Seymour's Butler</v>
      </c>
      <c r="B315" s="3" t="str" cm="1">
        <f t="array" aca="1" ref="B315" ca="1">_xlfn.ANCHORARRAY(RESUMO!C314)</f>
        <v>Tayam</v>
      </c>
      <c r="C315" s="3" t="str">
        <f t="shared" ca="1" si="16"/>
        <v/>
      </c>
      <c r="N315" s="3">
        <f t="shared" si="19"/>
        <v>0</v>
      </c>
      <c r="O315" s="3" t="str">
        <f>IFERROR(
 INDEX($T$2:$AW$2,
  MATCH(TRUE,
   CHOOSE({1;2;3;4;5;6;7;8;9;10;11;12;13;14;15;16;17;18;19;20;21;22;23;24;25;26;27;28;29;30;31;32},
    COUNTIFS($T$3:$T$201,$M315)&gt;0,
    COUNTIFS($U$3:$U$201,$M315)&gt;0,
    COUNTIFS($V$3:$V$201,$M315)&gt;0,
    COUNTIFS($W$3:$W$201,$M315)&gt;0,
    COUNTIFS($X$3:$X$201,$M315)&gt;0,
    COUNTIFS($Y$3:$Y$201,$M315)&gt;0,
    COUNTIFS($Z$3:$Z$201,$M315)&gt;0,
    COUNTIFS($AA$3:$AA$201,$M315)&gt;0,
    COUNTIFS($AB$3:$AB$201,$M315)&gt;0,
    COUNTIFS($AC$3:$AC$201,$M315)&gt;0,
    COUNTIFS($AD$3:$AD$201,$M315)&gt;0,
    COUNTIFS($AE$3:$AE$201,$M315)&gt;0,
    COUNTIFS($AF$3:$AF$201,$M315)&gt;0,
    COUNTIFS($AG$3:$AG$201,$M315)&gt;0,
    COUNTIFS($AH$3:$AH$201,$M315)&gt;0,
    COUNTIFS($AI$3:$AI$201,$M315)&gt;0,
    COUNTIFS($AJ$3:$AJ$201,$M315)&gt;0,
    COUNTIFS($AK$3:$AK$201,$M315)&gt;0,
    COUNTIFS($AL$3:$AL$201,$M315)&gt;0,
    COUNTIFS($AM$3:$AM$201,$M315)&gt;0,
    COUNTIFS($AN$3:$AN$201,$M315)&gt;0,
    COUNTIFS($AO$3:$AO$201,$M315)&gt;0,
    COUNTIFS($AP$3:$AP$201,$M315)&gt;0,
    COUNTIFS($AQ$3:$AQ$201,$M315)&gt;0,
    COUNTIFS($AR$3:$AR$201,$M315)&gt;0,
    COUNTIFS($AS$3:$AS$201,$M315)&gt;0,
    COUNTIFS($AT$3:$AT$201,$M315)&gt;0,
    COUNTIFS($AU$3:$AU$201,$M315)&gt;0,
    COUNTIFS($AV$3:$AV$201,$M315)&gt;0,
    COUNTIFS($AW$3:$AW$201,$M315)&gt;0
   ),
  0)
 ),
"")</f>
        <v/>
      </c>
      <c r="P315" s="3" t="str" cm="1">
        <f t="array" ref="P315">IFERROR(
 INDEX(
  _xlfn._xlws.FILTER($T$2:$AW$2,
   TRANSPOSE(
    CHOOSE({1;2;3;4;5;6;7;8;9;10;11;12;13;14;15;16;17;18;19;20;21;22;23;24;25;26;27;28;29;30},
     COUNTIFS($T$3:$T$201,$M315)&gt;0,
     COUNTIFS($U$3:$U$201,$M315)&gt;0,
     COUNTIFS($V$3:$V$201,$M315)&gt;0,
     COUNTIFS($W$3:$W$201,$M315)&gt;0,
     COUNTIFS($X$3:$X$201,$M315)&gt;0,
     COUNTIFS($Y$3:$Y$201,$M315)&gt;0,
     COUNTIFS($Z$3:$Z$201,$M315)&gt;0,
     COUNTIFS($AA$3:$AA$201,$M315)&gt;0,
     COUNTIFS($AB$3:$AB$201,$M315)&gt;0,
     COUNTIFS($AC$3:$AC$201,$M315)&gt;0,
     COUNTIFS($AD$3:$AD$201,$M315)&gt;0,
     COUNTIFS($AE$3:$AE$201,$M315)&gt;0,
     COUNTIFS($AF$3:$AF$201,$M315)&gt;0,
     COUNTIFS($AG$3:$AG$201,$M315)&gt;0,
     COUNTIFS($AH$3:$AH$201,$M315)&gt;0,
     COUNTIFS($AI$3:$AI$201,$M315)&gt;0,
     COUNTIFS($AJ$3:$AJ$201,$M315)&gt;0,
     COUNTIFS($AK$3:$AK$201,$M315)&gt;0,
     COUNTIFS($AL$3:$AL$201,$M315)&gt;0,
     COUNTIFS($AM$3:$AM$201,$M315)&gt;0,
     COUNTIFS($AN$3:$AN$201,$M315)&gt;0,
     COUNTIFS($AO$3:$AO$201,$M315)&gt;0,
     COUNTIFS($AP$3:$AP$201,$M315)&gt;0,
     COUNTIFS($AQ$3:$AQ$201,$M315)&gt;0,
     COUNTIFS($AR$3:$AR$201,$M315)&gt;0,
     COUNTIFS($AS$3:$AS$201,$M315)&gt;0,
     COUNTIFS($AT$3:$AT$201,$M315)&gt;0,
     COUNTIFS($AU$3:$AU$201,$M315)&gt;0,
     COUNTIFS($AV$3:$AV$201,$M315)&gt;0,
     COUNTIFS($AW$3:$AW$201,$M315)&gt;0
   )),
  ),
  2
 ),
"")</f>
        <v/>
      </c>
      <c r="Q315" s="3" t="str" cm="1">
        <f t="array" ref="Q315">IFERROR(
 INDEX(
  _xlfn._xlws.FILTER($T$2:$AW$2,
   TRANSPOSE(
    CHOOSE({1;2;3;4;5;6;7;8;9;10;11;12;13;14;15;16;17;18;19;20;21;22;23;24;25;26;27;28;29;30},
     COUNTIFS($T$3:$T$201,$M315)&gt;0,
     COUNTIFS($U$3:$U$201,$M315)&gt;0,
     COUNTIFS($V$3:$V$201,$M315)&gt;0,
     COUNTIFS($W$3:$W$201,$M315)&gt;0,
     COUNTIFS($X$3:$X$201,$M315)&gt;0,
     COUNTIFS($Y$3:$Y$201,$M315)&gt;0,
     COUNTIFS($Z$3:$Z$201,$M315)&gt;0,
     COUNTIFS($AA$3:$AA$201,$M315)&gt;0,
     COUNTIFS($AB$3:$AB$201,$M315)&gt;0,
     COUNTIFS($AC$3:$AC$201,$M315)&gt;0,
     COUNTIFS($AD$3:$AD$201,$M315)&gt;0,
     COUNTIFS($AE$3:$AE$201,$M315)&gt;0,
     COUNTIFS($AF$3:$AF$201,$M315)&gt;0,
     COUNTIFS($AG$3:$AG$201,$M315)&gt;0,
     COUNTIFS($AH$3:$AH$201,$M315)&gt;0,
     COUNTIFS($AI$3:$AI$201,$M315)&gt;0,
     COUNTIFS($AJ$3:$AJ$201,$M315)&gt;0,
     COUNTIFS($AK$3:$AK$201,$M315)&gt;0,
     COUNTIFS($AL$3:$AL$201,$M315)&gt;0,
     COUNTIFS($AM$3:$AM$201,$M315)&gt;0,
     COUNTIFS($AN$3:$AN$201,$M315)&gt;0,
     COUNTIFS($AO$3:$AO$201,$M315)&gt;0,
     COUNTIFS($AP$3:$AP$201,$M315)&gt;0,
     COUNTIFS($AQ$3:$AQ$201,$M315)&gt;0,
     COUNTIFS($AR$3:$AR$201,$M315)&gt;0,
     COUNTIFS($AS$3:$AS$201,$M315)&gt;0,
     COUNTIFS($AT$3:$AT$201,$M315)&gt;0,
     COUNTIFS($AU$3:$AU$201,$M315)&gt;0,
     COUNTIFS($AV$3:$AV$201,$M315)&gt;0,
     COUNTIFS($AW$3:$AW$201,$M315)&gt;0
   )),
  ),
  3
 ),
"")</f>
        <v/>
      </c>
      <c r="R315" s="3" t="str" cm="1">
        <f t="array" ref="R315">IFERROR(
 INDEX(
  _xlfn._xlws.FILTER($T$2:$AW$2,
   TRANSPOSE(
    CHOOSE({1;2;3;4;5;6;7;8;9;10;11;12;13;14;15;16;17;18;19;20;21;22;23;24;25;26;27;28;29;30},
     COUNTIFS($T$3:$T$201,$M315)&gt;0,
     COUNTIFS($U$3:$U$201,$M315)&gt;0,
     COUNTIFS($V$3:$V$201,$M315)&gt;0,
     COUNTIFS($W$3:$W$201,$M315)&gt;0,
     COUNTIFS($X$3:$X$201,$M315)&gt;0,
     COUNTIFS($Y$3:$Y$201,$M315)&gt;0,
     COUNTIFS($Z$3:$Z$201,$M315)&gt;0,
     COUNTIFS($AA$3:$AA$201,$M315)&gt;0,
     COUNTIFS($AB$3:$AB$201,$M315)&gt;0,
     COUNTIFS($AC$3:$AC$201,$M315)&gt;0,
     COUNTIFS($AD$3:$AD$201,$M315)&gt;0,
     COUNTIFS($AE$3:$AE$201,$M315)&gt;0,
     COUNTIFS($AF$3:$AF$201,$M315)&gt;0,
     COUNTIFS($AG$3:$AG$201,$M315)&gt;0,
     COUNTIFS($AH$3:$AH$201,$M315)&gt;0,
     COUNTIFS($AI$3:$AI$201,$M315)&gt;0,
     COUNTIFS($AJ$3:$AJ$201,$M315)&gt;0,
     COUNTIFS($AK$3:$AK$201,$M315)&gt;0,
     COUNTIFS($AL$3:$AL$201,$M315)&gt;0,
     COUNTIFS($AM$3:$AM$201,$M315)&gt;0,
     COUNTIFS($AN$3:$AN$201,$M315)&gt;0,
     COUNTIFS($AO$3:$AO$201,$M315)&gt;0,
     COUNTIFS($AP$3:$AP$201,$M315)&gt;0,
     COUNTIFS($AQ$3:$AQ$201,$M315)&gt;0,
     COUNTIFS($AR$3:$AR$201,$M315)&gt;0,
     COUNTIFS($AS$3:$AS$201,$M315)&gt;0,
     COUNTIFS($AT$3:$AT$201,$M315)&gt;0,
     COUNTIFS($AU$3:$AU$201,$M315)&gt;0,
     COUNTIFS($AV$3:$AV$201,$M315)&gt;0,
     COUNTIFS($AW$3:$AW$201,$M315)&gt;0
   )),
  ),
  4
 ),
"")</f>
        <v/>
      </c>
    </row>
    <row r="316" spans="1:18" x14ac:dyDescent="0.25">
      <c r="A316" t="str">
        <f ca="1"/>
        <v>Ulamog, o Profanador</v>
      </c>
      <c r="B316" s="3" t="str" cm="1">
        <f t="array" aca="1" ref="B316" ca="1">_xlfn.ANCHORARRAY(RESUMO!C315)</f>
        <v>JhoiraB</v>
      </c>
      <c r="C316" s="3" t="str">
        <f t="shared" ca="1" si="16"/>
        <v/>
      </c>
      <c r="N316" s="3">
        <f t="shared" si="19"/>
        <v>0</v>
      </c>
      <c r="O316" s="3" t="str">
        <f>IFERROR(
 INDEX($T$2:$AW$2,
  MATCH(TRUE,
   CHOOSE({1;2;3;4;5;6;7;8;9;10;11;12;13;14;15;16;17;18;19;20;21;22;23;24;25;26;27;28;29;30;31;32},
    COUNTIFS($T$3:$T$201,$M316)&gt;0,
    COUNTIFS($U$3:$U$201,$M316)&gt;0,
    COUNTIFS($V$3:$V$201,$M316)&gt;0,
    COUNTIFS($W$3:$W$201,$M316)&gt;0,
    COUNTIFS($X$3:$X$201,$M316)&gt;0,
    COUNTIFS($Y$3:$Y$201,$M316)&gt;0,
    COUNTIFS($Z$3:$Z$201,$M316)&gt;0,
    COUNTIFS($AA$3:$AA$201,$M316)&gt;0,
    COUNTIFS($AB$3:$AB$201,$M316)&gt;0,
    COUNTIFS($AC$3:$AC$201,$M316)&gt;0,
    COUNTIFS($AD$3:$AD$201,$M316)&gt;0,
    COUNTIFS($AE$3:$AE$201,$M316)&gt;0,
    COUNTIFS($AF$3:$AF$201,$M316)&gt;0,
    COUNTIFS($AG$3:$AG$201,$M316)&gt;0,
    COUNTIFS($AH$3:$AH$201,$M316)&gt;0,
    COUNTIFS($AI$3:$AI$201,$M316)&gt;0,
    COUNTIFS($AJ$3:$AJ$201,$M316)&gt;0,
    COUNTIFS($AK$3:$AK$201,$M316)&gt;0,
    COUNTIFS($AL$3:$AL$201,$M316)&gt;0,
    COUNTIFS($AM$3:$AM$201,$M316)&gt;0,
    COUNTIFS($AN$3:$AN$201,$M316)&gt;0,
    COUNTIFS($AO$3:$AO$201,$M316)&gt;0,
    COUNTIFS($AP$3:$AP$201,$M316)&gt;0,
    COUNTIFS($AQ$3:$AQ$201,$M316)&gt;0,
    COUNTIFS($AR$3:$AR$201,$M316)&gt;0,
    COUNTIFS($AS$3:$AS$201,$M316)&gt;0,
    COUNTIFS($AT$3:$AT$201,$M316)&gt;0,
    COUNTIFS($AU$3:$AU$201,$M316)&gt;0,
    COUNTIFS($AV$3:$AV$201,$M316)&gt;0,
    COUNTIFS($AW$3:$AW$201,$M316)&gt;0
   ),
  0)
 ),
"")</f>
        <v/>
      </c>
      <c r="P316" s="3" t="str" cm="1">
        <f t="array" ref="P316">IFERROR(
 INDEX(
  _xlfn._xlws.FILTER($T$2:$AW$2,
   TRANSPOSE(
    CHOOSE({1;2;3;4;5;6;7;8;9;10;11;12;13;14;15;16;17;18;19;20;21;22;23;24;25;26;27;28;29;30},
     COUNTIFS($T$3:$T$201,$M316)&gt;0,
     COUNTIFS($U$3:$U$201,$M316)&gt;0,
     COUNTIFS($V$3:$V$201,$M316)&gt;0,
     COUNTIFS($W$3:$W$201,$M316)&gt;0,
     COUNTIFS($X$3:$X$201,$M316)&gt;0,
     COUNTIFS($Y$3:$Y$201,$M316)&gt;0,
     COUNTIFS($Z$3:$Z$201,$M316)&gt;0,
     COUNTIFS($AA$3:$AA$201,$M316)&gt;0,
     COUNTIFS($AB$3:$AB$201,$M316)&gt;0,
     COUNTIFS($AC$3:$AC$201,$M316)&gt;0,
     COUNTIFS($AD$3:$AD$201,$M316)&gt;0,
     COUNTIFS($AE$3:$AE$201,$M316)&gt;0,
     COUNTIFS($AF$3:$AF$201,$M316)&gt;0,
     COUNTIFS($AG$3:$AG$201,$M316)&gt;0,
     COUNTIFS($AH$3:$AH$201,$M316)&gt;0,
     COUNTIFS($AI$3:$AI$201,$M316)&gt;0,
     COUNTIFS($AJ$3:$AJ$201,$M316)&gt;0,
     COUNTIFS($AK$3:$AK$201,$M316)&gt;0,
     COUNTIFS($AL$3:$AL$201,$M316)&gt;0,
     COUNTIFS($AM$3:$AM$201,$M316)&gt;0,
     COUNTIFS($AN$3:$AN$201,$M316)&gt;0,
     COUNTIFS($AO$3:$AO$201,$M316)&gt;0,
     COUNTIFS($AP$3:$AP$201,$M316)&gt;0,
     COUNTIFS($AQ$3:$AQ$201,$M316)&gt;0,
     COUNTIFS($AR$3:$AR$201,$M316)&gt;0,
     COUNTIFS($AS$3:$AS$201,$M316)&gt;0,
     COUNTIFS($AT$3:$AT$201,$M316)&gt;0,
     COUNTIFS($AU$3:$AU$201,$M316)&gt;0,
     COUNTIFS($AV$3:$AV$201,$M316)&gt;0,
     COUNTIFS($AW$3:$AW$201,$M316)&gt;0
   )),
  ),
  2
 ),
"")</f>
        <v/>
      </c>
      <c r="Q316" s="3" t="str" cm="1">
        <f t="array" ref="Q316">IFERROR(
 INDEX(
  _xlfn._xlws.FILTER($T$2:$AW$2,
   TRANSPOSE(
    CHOOSE({1;2;3;4;5;6;7;8;9;10;11;12;13;14;15;16;17;18;19;20;21;22;23;24;25;26;27;28;29;30},
     COUNTIFS($T$3:$T$201,$M316)&gt;0,
     COUNTIFS($U$3:$U$201,$M316)&gt;0,
     COUNTIFS($V$3:$V$201,$M316)&gt;0,
     COUNTIFS($W$3:$W$201,$M316)&gt;0,
     COUNTIFS($X$3:$X$201,$M316)&gt;0,
     COUNTIFS($Y$3:$Y$201,$M316)&gt;0,
     COUNTIFS($Z$3:$Z$201,$M316)&gt;0,
     COUNTIFS($AA$3:$AA$201,$M316)&gt;0,
     COUNTIFS($AB$3:$AB$201,$M316)&gt;0,
     COUNTIFS($AC$3:$AC$201,$M316)&gt;0,
     COUNTIFS($AD$3:$AD$201,$M316)&gt;0,
     COUNTIFS($AE$3:$AE$201,$M316)&gt;0,
     COUNTIFS($AF$3:$AF$201,$M316)&gt;0,
     COUNTIFS($AG$3:$AG$201,$M316)&gt;0,
     COUNTIFS($AH$3:$AH$201,$M316)&gt;0,
     COUNTIFS($AI$3:$AI$201,$M316)&gt;0,
     COUNTIFS($AJ$3:$AJ$201,$M316)&gt;0,
     COUNTIFS($AK$3:$AK$201,$M316)&gt;0,
     COUNTIFS($AL$3:$AL$201,$M316)&gt;0,
     COUNTIFS($AM$3:$AM$201,$M316)&gt;0,
     COUNTIFS($AN$3:$AN$201,$M316)&gt;0,
     COUNTIFS($AO$3:$AO$201,$M316)&gt;0,
     COUNTIFS($AP$3:$AP$201,$M316)&gt;0,
     COUNTIFS($AQ$3:$AQ$201,$M316)&gt;0,
     COUNTIFS($AR$3:$AR$201,$M316)&gt;0,
     COUNTIFS($AS$3:$AS$201,$M316)&gt;0,
     COUNTIFS($AT$3:$AT$201,$M316)&gt;0,
     COUNTIFS($AU$3:$AU$201,$M316)&gt;0,
     COUNTIFS($AV$3:$AV$201,$M316)&gt;0,
     COUNTIFS($AW$3:$AW$201,$M316)&gt;0
   )),
  ),
  3
 ),
"")</f>
        <v/>
      </c>
      <c r="R316" s="3" t="str" cm="1">
        <f t="array" ref="R316">IFERROR(
 INDEX(
  _xlfn._xlws.FILTER($T$2:$AW$2,
   TRANSPOSE(
    CHOOSE({1;2;3;4;5;6;7;8;9;10;11;12;13;14;15;16;17;18;19;20;21;22;23;24;25;26;27;28;29;30},
     COUNTIFS($T$3:$T$201,$M316)&gt;0,
     COUNTIFS($U$3:$U$201,$M316)&gt;0,
     COUNTIFS($V$3:$V$201,$M316)&gt;0,
     COUNTIFS($W$3:$W$201,$M316)&gt;0,
     COUNTIFS($X$3:$X$201,$M316)&gt;0,
     COUNTIFS($Y$3:$Y$201,$M316)&gt;0,
     COUNTIFS($Z$3:$Z$201,$M316)&gt;0,
     COUNTIFS($AA$3:$AA$201,$M316)&gt;0,
     COUNTIFS($AB$3:$AB$201,$M316)&gt;0,
     COUNTIFS($AC$3:$AC$201,$M316)&gt;0,
     COUNTIFS($AD$3:$AD$201,$M316)&gt;0,
     COUNTIFS($AE$3:$AE$201,$M316)&gt;0,
     COUNTIFS($AF$3:$AF$201,$M316)&gt;0,
     COUNTIFS($AG$3:$AG$201,$M316)&gt;0,
     COUNTIFS($AH$3:$AH$201,$M316)&gt;0,
     COUNTIFS($AI$3:$AI$201,$M316)&gt;0,
     COUNTIFS($AJ$3:$AJ$201,$M316)&gt;0,
     COUNTIFS($AK$3:$AK$201,$M316)&gt;0,
     COUNTIFS($AL$3:$AL$201,$M316)&gt;0,
     COUNTIFS($AM$3:$AM$201,$M316)&gt;0,
     COUNTIFS($AN$3:$AN$201,$M316)&gt;0,
     COUNTIFS($AO$3:$AO$201,$M316)&gt;0,
     COUNTIFS($AP$3:$AP$201,$M316)&gt;0,
     COUNTIFS($AQ$3:$AQ$201,$M316)&gt;0,
     COUNTIFS($AR$3:$AR$201,$M316)&gt;0,
     COUNTIFS($AS$3:$AS$201,$M316)&gt;0,
     COUNTIFS($AT$3:$AT$201,$M316)&gt;0,
     COUNTIFS($AU$3:$AU$201,$M316)&gt;0,
     COUNTIFS($AV$3:$AV$201,$M316)&gt;0,
     COUNTIFS($AW$3:$AW$201,$M316)&gt;0
   )),
  ),
  4
 ),
"")</f>
        <v/>
      </c>
    </row>
    <row r="317" spans="1:18" x14ac:dyDescent="0.25">
      <c r="A317" t="str">
        <f ca="1"/>
        <v>Ulamog, the Infinite Gyre</v>
      </c>
      <c r="B317" s="3" t="str" cm="1">
        <f t="array" aca="1" ref="B317" ca="1">_xlfn.ANCHORARRAY(RESUMO!C316)</f>
        <v>Gritrog</v>
      </c>
      <c r="C317" s="3" t="str">
        <f t="shared" ca="1" si="16"/>
        <v/>
      </c>
      <c r="N317" s="3">
        <f t="shared" si="19"/>
        <v>0</v>
      </c>
      <c r="O317" s="3" t="str">
        <f>IFERROR(
 INDEX($T$2:$AW$2,
  MATCH(TRUE,
   CHOOSE({1;2;3;4;5;6;7;8;9;10;11;12;13;14;15;16;17;18;19;20;21;22;23;24;25;26;27;28;29;30;31;32},
    COUNTIFS($T$3:$T$201,$M317)&gt;0,
    COUNTIFS($U$3:$U$201,$M317)&gt;0,
    COUNTIFS($V$3:$V$201,$M317)&gt;0,
    COUNTIFS($W$3:$W$201,$M317)&gt;0,
    COUNTIFS($X$3:$X$201,$M317)&gt;0,
    COUNTIFS($Y$3:$Y$201,$M317)&gt;0,
    COUNTIFS($Z$3:$Z$201,$M317)&gt;0,
    COUNTIFS($AA$3:$AA$201,$M317)&gt;0,
    COUNTIFS($AB$3:$AB$201,$M317)&gt;0,
    COUNTIFS($AC$3:$AC$201,$M317)&gt;0,
    COUNTIFS($AD$3:$AD$201,$M317)&gt;0,
    COUNTIFS($AE$3:$AE$201,$M317)&gt;0,
    COUNTIFS($AF$3:$AF$201,$M317)&gt;0,
    COUNTIFS($AG$3:$AG$201,$M317)&gt;0,
    COUNTIFS($AH$3:$AH$201,$M317)&gt;0,
    COUNTIFS($AI$3:$AI$201,$M317)&gt;0,
    COUNTIFS($AJ$3:$AJ$201,$M317)&gt;0,
    COUNTIFS($AK$3:$AK$201,$M317)&gt;0,
    COUNTIFS($AL$3:$AL$201,$M317)&gt;0,
    COUNTIFS($AM$3:$AM$201,$M317)&gt;0,
    COUNTIFS($AN$3:$AN$201,$M317)&gt;0,
    COUNTIFS($AO$3:$AO$201,$M317)&gt;0,
    COUNTIFS($AP$3:$AP$201,$M317)&gt;0,
    COUNTIFS($AQ$3:$AQ$201,$M317)&gt;0,
    COUNTIFS($AR$3:$AR$201,$M317)&gt;0,
    COUNTIFS($AS$3:$AS$201,$M317)&gt;0,
    COUNTIFS($AT$3:$AT$201,$M317)&gt;0,
    COUNTIFS($AU$3:$AU$201,$M317)&gt;0,
    COUNTIFS($AV$3:$AV$201,$M317)&gt;0,
    COUNTIFS($AW$3:$AW$201,$M317)&gt;0
   ),
  0)
 ),
"")</f>
        <v/>
      </c>
      <c r="P317" s="3" t="str" cm="1">
        <f t="array" ref="P317">IFERROR(
 INDEX(
  _xlfn._xlws.FILTER($T$2:$AW$2,
   TRANSPOSE(
    CHOOSE({1;2;3;4;5;6;7;8;9;10;11;12;13;14;15;16;17;18;19;20;21;22;23;24;25;26;27;28;29;30},
     COUNTIFS($T$3:$T$201,$M317)&gt;0,
     COUNTIFS($U$3:$U$201,$M317)&gt;0,
     COUNTIFS($V$3:$V$201,$M317)&gt;0,
     COUNTIFS($W$3:$W$201,$M317)&gt;0,
     COUNTIFS($X$3:$X$201,$M317)&gt;0,
     COUNTIFS($Y$3:$Y$201,$M317)&gt;0,
     COUNTIFS($Z$3:$Z$201,$M317)&gt;0,
     COUNTIFS($AA$3:$AA$201,$M317)&gt;0,
     COUNTIFS($AB$3:$AB$201,$M317)&gt;0,
     COUNTIFS($AC$3:$AC$201,$M317)&gt;0,
     COUNTIFS($AD$3:$AD$201,$M317)&gt;0,
     COUNTIFS($AE$3:$AE$201,$M317)&gt;0,
     COUNTIFS($AF$3:$AF$201,$M317)&gt;0,
     COUNTIFS($AG$3:$AG$201,$M317)&gt;0,
     COUNTIFS($AH$3:$AH$201,$M317)&gt;0,
     COUNTIFS($AI$3:$AI$201,$M317)&gt;0,
     COUNTIFS($AJ$3:$AJ$201,$M317)&gt;0,
     COUNTIFS($AK$3:$AK$201,$M317)&gt;0,
     COUNTIFS($AL$3:$AL$201,$M317)&gt;0,
     COUNTIFS($AM$3:$AM$201,$M317)&gt;0,
     COUNTIFS($AN$3:$AN$201,$M317)&gt;0,
     COUNTIFS($AO$3:$AO$201,$M317)&gt;0,
     COUNTIFS($AP$3:$AP$201,$M317)&gt;0,
     COUNTIFS($AQ$3:$AQ$201,$M317)&gt;0,
     COUNTIFS($AR$3:$AR$201,$M317)&gt;0,
     COUNTIFS($AS$3:$AS$201,$M317)&gt;0,
     COUNTIFS($AT$3:$AT$201,$M317)&gt;0,
     COUNTIFS($AU$3:$AU$201,$M317)&gt;0,
     COUNTIFS($AV$3:$AV$201,$M317)&gt;0,
     COUNTIFS($AW$3:$AW$201,$M317)&gt;0
   )),
  ),
  2
 ),
"")</f>
        <v/>
      </c>
      <c r="Q317" s="3" t="str" cm="1">
        <f t="array" ref="Q317">IFERROR(
 INDEX(
  _xlfn._xlws.FILTER($T$2:$AW$2,
   TRANSPOSE(
    CHOOSE({1;2;3;4;5;6;7;8;9;10;11;12;13;14;15;16;17;18;19;20;21;22;23;24;25;26;27;28;29;30},
     COUNTIFS($T$3:$T$201,$M317)&gt;0,
     COUNTIFS($U$3:$U$201,$M317)&gt;0,
     COUNTIFS($V$3:$V$201,$M317)&gt;0,
     COUNTIFS($W$3:$W$201,$M317)&gt;0,
     COUNTIFS($X$3:$X$201,$M317)&gt;0,
     COUNTIFS($Y$3:$Y$201,$M317)&gt;0,
     COUNTIFS($Z$3:$Z$201,$M317)&gt;0,
     COUNTIFS($AA$3:$AA$201,$M317)&gt;0,
     COUNTIFS($AB$3:$AB$201,$M317)&gt;0,
     COUNTIFS($AC$3:$AC$201,$M317)&gt;0,
     COUNTIFS($AD$3:$AD$201,$M317)&gt;0,
     COUNTIFS($AE$3:$AE$201,$M317)&gt;0,
     COUNTIFS($AF$3:$AF$201,$M317)&gt;0,
     COUNTIFS($AG$3:$AG$201,$M317)&gt;0,
     COUNTIFS($AH$3:$AH$201,$M317)&gt;0,
     COUNTIFS($AI$3:$AI$201,$M317)&gt;0,
     COUNTIFS($AJ$3:$AJ$201,$M317)&gt;0,
     COUNTIFS($AK$3:$AK$201,$M317)&gt;0,
     COUNTIFS($AL$3:$AL$201,$M317)&gt;0,
     COUNTIFS($AM$3:$AM$201,$M317)&gt;0,
     COUNTIFS($AN$3:$AN$201,$M317)&gt;0,
     COUNTIFS($AO$3:$AO$201,$M317)&gt;0,
     COUNTIFS($AP$3:$AP$201,$M317)&gt;0,
     COUNTIFS($AQ$3:$AQ$201,$M317)&gt;0,
     COUNTIFS($AR$3:$AR$201,$M317)&gt;0,
     COUNTIFS($AS$3:$AS$201,$M317)&gt;0,
     COUNTIFS($AT$3:$AT$201,$M317)&gt;0,
     COUNTIFS($AU$3:$AU$201,$M317)&gt;0,
     COUNTIFS($AV$3:$AV$201,$M317)&gt;0,
     COUNTIFS($AW$3:$AW$201,$M317)&gt;0
   )),
  ),
  3
 ),
"")</f>
        <v/>
      </c>
      <c r="R317" s="3" t="str" cm="1">
        <f t="array" ref="R317">IFERROR(
 INDEX(
  _xlfn._xlws.FILTER($T$2:$AW$2,
   TRANSPOSE(
    CHOOSE({1;2;3;4;5;6;7;8;9;10;11;12;13;14;15;16;17;18;19;20;21;22;23;24;25;26;27;28;29;30},
     COUNTIFS($T$3:$T$201,$M317)&gt;0,
     COUNTIFS($U$3:$U$201,$M317)&gt;0,
     COUNTIFS($V$3:$V$201,$M317)&gt;0,
     COUNTIFS($W$3:$W$201,$M317)&gt;0,
     COUNTIFS($X$3:$X$201,$M317)&gt;0,
     COUNTIFS($Y$3:$Y$201,$M317)&gt;0,
     COUNTIFS($Z$3:$Z$201,$M317)&gt;0,
     COUNTIFS($AA$3:$AA$201,$M317)&gt;0,
     COUNTIFS($AB$3:$AB$201,$M317)&gt;0,
     COUNTIFS($AC$3:$AC$201,$M317)&gt;0,
     COUNTIFS($AD$3:$AD$201,$M317)&gt;0,
     COUNTIFS($AE$3:$AE$201,$M317)&gt;0,
     COUNTIFS($AF$3:$AF$201,$M317)&gt;0,
     COUNTIFS($AG$3:$AG$201,$M317)&gt;0,
     COUNTIFS($AH$3:$AH$201,$M317)&gt;0,
     COUNTIFS($AI$3:$AI$201,$M317)&gt;0,
     COUNTIFS($AJ$3:$AJ$201,$M317)&gt;0,
     COUNTIFS($AK$3:$AK$201,$M317)&gt;0,
     COUNTIFS($AL$3:$AL$201,$M317)&gt;0,
     COUNTIFS($AM$3:$AM$201,$M317)&gt;0,
     COUNTIFS($AN$3:$AN$201,$M317)&gt;0,
     COUNTIFS($AO$3:$AO$201,$M317)&gt;0,
     COUNTIFS($AP$3:$AP$201,$M317)&gt;0,
     COUNTIFS($AQ$3:$AQ$201,$M317)&gt;0,
     COUNTIFS($AR$3:$AR$201,$M317)&gt;0,
     COUNTIFS($AS$3:$AS$201,$M317)&gt;0,
     COUNTIFS($AT$3:$AT$201,$M317)&gt;0,
     COUNTIFS($AU$3:$AU$201,$M317)&gt;0,
     COUNTIFS($AV$3:$AV$201,$M317)&gt;0,
     COUNTIFS($AW$3:$AW$201,$M317)&gt;0
   )),
  ),
  4
 ),
"")</f>
        <v/>
      </c>
    </row>
    <row r="318" spans="1:18" x14ac:dyDescent="0.25">
      <c r="A318" t="str">
        <f ca="1"/>
        <v>Ulamog's Dreadsire</v>
      </c>
      <c r="B318" s="3" t="str" cm="1">
        <f t="array" aca="1" ref="B318" ca="1">_xlfn.ANCHORARRAY(RESUMO!C317)</f>
        <v>JhoiraB</v>
      </c>
      <c r="C318" s="3" t="str">
        <f t="shared" ca="1" si="16"/>
        <v/>
      </c>
      <c r="N318" s="3">
        <f t="shared" si="19"/>
        <v>0</v>
      </c>
      <c r="O318" s="3" t="str">
        <f>IFERROR(
 INDEX($T$2:$AW$2,
  MATCH(TRUE,
   CHOOSE({1;2;3;4;5;6;7;8;9;10;11;12;13;14;15;16;17;18;19;20;21;22;23;24;25;26;27;28;29;30;31;32},
    COUNTIFS($T$3:$T$201,$M318)&gt;0,
    COUNTIFS($U$3:$U$201,$M318)&gt;0,
    COUNTIFS($V$3:$V$201,$M318)&gt;0,
    COUNTIFS($W$3:$W$201,$M318)&gt;0,
    COUNTIFS($X$3:$X$201,$M318)&gt;0,
    COUNTIFS($Y$3:$Y$201,$M318)&gt;0,
    COUNTIFS($Z$3:$Z$201,$M318)&gt;0,
    COUNTIFS($AA$3:$AA$201,$M318)&gt;0,
    COUNTIFS($AB$3:$AB$201,$M318)&gt;0,
    COUNTIFS($AC$3:$AC$201,$M318)&gt;0,
    COUNTIFS($AD$3:$AD$201,$M318)&gt;0,
    COUNTIFS($AE$3:$AE$201,$M318)&gt;0,
    COUNTIFS($AF$3:$AF$201,$M318)&gt;0,
    COUNTIFS($AG$3:$AG$201,$M318)&gt;0,
    COUNTIFS($AH$3:$AH$201,$M318)&gt;0,
    COUNTIFS($AI$3:$AI$201,$M318)&gt;0,
    COUNTIFS($AJ$3:$AJ$201,$M318)&gt;0,
    COUNTIFS($AK$3:$AK$201,$M318)&gt;0,
    COUNTIFS($AL$3:$AL$201,$M318)&gt;0,
    COUNTIFS($AM$3:$AM$201,$M318)&gt;0,
    COUNTIFS($AN$3:$AN$201,$M318)&gt;0,
    COUNTIFS($AO$3:$AO$201,$M318)&gt;0,
    COUNTIFS($AP$3:$AP$201,$M318)&gt;0,
    COUNTIFS($AQ$3:$AQ$201,$M318)&gt;0,
    COUNTIFS($AR$3:$AR$201,$M318)&gt;0,
    COUNTIFS($AS$3:$AS$201,$M318)&gt;0,
    COUNTIFS($AT$3:$AT$201,$M318)&gt;0,
    COUNTIFS($AU$3:$AU$201,$M318)&gt;0,
    COUNTIFS($AV$3:$AV$201,$M318)&gt;0,
    COUNTIFS($AW$3:$AW$201,$M318)&gt;0
   ),
  0)
 ),
"")</f>
        <v/>
      </c>
      <c r="P318" s="3" t="str" cm="1">
        <f t="array" ref="P318">IFERROR(
 INDEX(
  _xlfn._xlws.FILTER($T$2:$AW$2,
   TRANSPOSE(
    CHOOSE({1;2;3;4;5;6;7;8;9;10;11;12;13;14;15;16;17;18;19;20;21;22;23;24;25;26;27;28;29;30},
     COUNTIFS($T$3:$T$201,$M318)&gt;0,
     COUNTIFS($U$3:$U$201,$M318)&gt;0,
     COUNTIFS($V$3:$V$201,$M318)&gt;0,
     COUNTIFS($W$3:$W$201,$M318)&gt;0,
     COUNTIFS($X$3:$X$201,$M318)&gt;0,
     COUNTIFS($Y$3:$Y$201,$M318)&gt;0,
     COUNTIFS($Z$3:$Z$201,$M318)&gt;0,
     COUNTIFS($AA$3:$AA$201,$M318)&gt;0,
     COUNTIFS($AB$3:$AB$201,$M318)&gt;0,
     COUNTIFS($AC$3:$AC$201,$M318)&gt;0,
     COUNTIFS($AD$3:$AD$201,$M318)&gt;0,
     COUNTIFS($AE$3:$AE$201,$M318)&gt;0,
     COUNTIFS($AF$3:$AF$201,$M318)&gt;0,
     COUNTIFS($AG$3:$AG$201,$M318)&gt;0,
     COUNTIFS($AH$3:$AH$201,$M318)&gt;0,
     COUNTIFS($AI$3:$AI$201,$M318)&gt;0,
     COUNTIFS($AJ$3:$AJ$201,$M318)&gt;0,
     COUNTIFS($AK$3:$AK$201,$M318)&gt;0,
     COUNTIFS($AL$3:$AL$201,$M318)&gt;0,
     COUNTIFS($AM$3:$AM$201,$M318)&gt;0,
     COUNTIFS($AN$3:$AN$201,$M318)&gt;0,
     COUNTIFS($AO$3:$AO$201,$M318)&gt;0,
     COUNTIFS($AP$3:$AP$201,$M318)&gt;0,
     COUNTIFS($AQ$3:$AQ$201,$M318)&gt;0,
     COUNTIFS($AR$3:$AR$201,$M318)&gt;0,
     COUNTIFS($AS$3:$AS$201,$M318)&gt;0,
     COUNTIFS($AT$3:$AT$201,$M318)&gt;0,
     COUNTIFS($AU$3:$AU$201,$M318)&gt;0,
     COUNTIFS($AV$3:$AV$201,$M318)&gt;0,
     COUNTIFS($AW$3:$AW$201,$M318)&gt;0
   )),
  ),
  2
 ),
"")</f>
        <v/>
      </c>
      <c r="Q318" s="3" t="str" cm="1">
        <f t="array" ref="Q318">IFERROR(
 INDEX(
  _xlfn._xlws.FILTER($T$2:$AW$2,
   TRANSPOSE(
    CHOOSE({1;2;3;4;5;6;7;8;9;10;11;12;13;14;15;16;17;18;19;20;21;22;23;24;25;26;27;28;29;30},
     COUNTIFS($T$3:$T$201,$M318)&gt;0,
     COUNTIFS($U$3:$U$201,$M318)&gt;0,
     COUNTIFS($V$3:$V$201,$M318)&gt;0,
     COUNTIFS($W$3:$W$201,$M318)&gt;0,
     COUNTIFS($X$3:$X$201,$M318)&gt;0,
     COUNTIFS($Y$3:$Y$201,$M318)&gt;0,
     COUNTIFS($Z$3:$Z$201,$M318)&gt;0,
     COUNTIFS($AA$3:$AA$201,$M318)&gt;0,
     COUNTIFS($AB$3:$AB$201,$M318)&gt;0,
     COUNTIFS($AC$3:$AC$201,$M318)&gt;0,
     COUNTIFS($AD$3:$AD$201,$M318)&gt;0,
     COUNTIFS($AE$3:$AE$201,$M318)&gt;0,
     COUNTIFS($AF$3:$AF$201,$M318)&gt;0,
     COUNTIFS($AG$3:$AG$201,$M318)&gt;0,
     COUNTIFS($AH$3:$AH$201,$M318)&gt;0,
     COUNTIFS($AI$3:$AI$201,$M318)&gt;0,
     COUNTIFS($AJ$3:$AJ$201,$M318)&gt;0,
     COUNTIFS($AK$3:$AK$201,$M318)&gt;0,
     COUNTIFS($AL$3:$AL$201,$M318)&gt;0,
     COUNTIFS($AM$3:$AM$201,$M318)&gt;0,
     COUNTIFS($AN$3:$AN$201,$M318)&gt;0,
     COUNTIFS($AO$3:$AO$201,$M318)&gt;0,
     COUNTIFS($AP$3:$AP$201,$M318)&gt;0,
     COUNTIFS($AQ$3:$AQ$201,$M318)&gt;0,
     COUNTIFS($AR$3:$AR$201,$M318)&gt;0,
     COUNTIFS($AS$3:$AS$201,$M318)&gt;0,
     COUNTIFS($AT$3:$AT$201,$M318)&gt;0,
     COUNTIFS($AU$3:$AU$201,$M318)&gt;0,
     COUNTIFS($AV$3:$AV$201,$M318)&gt;0,
     COUNTIFS($AW$3:$AW$201,$M318)&gt;0
   )),
  ),
  3
 ),
"")</f>
        <v/>
      </c>
      <c r="R318" s="3" t="str" cm="1">
        <f t="array" ref="R318">IFERROR(
 INDEX(
  _xlfn._xlws.FILTER($T$2:$AW$2,
   TRANSPOSE(
    CHOOSE({1;2;3;4;5;6;7;8;9;10;11;12;13;14;15;16;17;18;19;20;21;22;23;24;25;26;27;28;29;30},
     COUNTIFS($T$3:$T$201,$M318)&gt;0,
     COUNTIFS($U$3:$U$201,$M318)&gt;0,
     COUNTIFS($V$3:$V$201,$M318)&gt;0,
     COUNTIFS($W$3:$W$201,$M318)&gt;0,
     COUNTIFS($X$3:$X$201,$M318)&gt;0,
     COUNTIFS($Y$3:$Y$201,$M318)&gt;0,
     COUNTIFS($Z$3:$Z$201,$M318)&gt;0,
     COUNTIFS($AA$3:$AA$201,$M318)&gt;0,
     COUNTIFS($AB$3:$AB$201,$M318)&gt;0,
     COUNTIFS($AC$3:$AC$201,$M318)&gt;0,
     COUNTIFS($AD$3:$AD$201,$M318)&gt;0,
     COUNTIFS($AE$3:$AE$201,$M318)&gt;0,
     COUNTIFS($AF$3:$AF$201,$M318)&gt;0,
     COUNTIFS($AG$3:$AG$201,$M318)&gt;0,
     COUNTIFS($AH$3:$AH$201,$M318)&gt;0,
     COUNTIFS($AI$3:$AI$201,$M318)&gt;0,
     COUNTIFS($AJ$3:$AJ$201,$M318)&gt;0,
     COUNTIFS($AK$3:$AK$201,$M318)&gt;0,
     COUNTIFS($AL$3:$AL$201,$M318)&gt;0,
     COUNTIFS($AM$3:$AM$201,$M318)&gt;0,
     COUNTIFS($AN$3:$AN$201,$M318)&gt;0,
     COUNTIFS($AO$3:$AO$201,$M318)&gt;0,
     COUNTIFS($AP$3:$AP$201,$M318)&gt;0,
     COUNTIFS($AQ$3:$AQ$201,$M318)&gt;0,
     COUNTIFS($AR$3:$AR$201,$M318)&gt;0,
     COUNTIFS($AS$3:$AS$201,$M318)&gt;0,
     COUNTIFS($AT$3:$AT$201,$M318)&gt;0,
     COUNTIFS($AU$3:$AU$201,$M318)&gt;0,
     COUNTIFS($AV$3:$AV$201,$M318)&gt;0,
     COUNTIFS($AW$3:$AW$201,$M318)&gt;0
   )),
  ),
  4
 ),
"")</f>
        <v/>
      </c>
    </row>
    <row r="319" spans="1:18" x14ac:dyDescent="0.25">
      <c r="A319" t="str">
        <f ca="1"/>
        <v>Unbreakable Formation</v>
      </c>
      <c r="B319" s="3" t="str" cm="1">
        <f t="array" aca="1" ref="B319" ca="1">_xlfn.ANCHORARRAY(RESUMO!C318)</f>
        <v>Tayam</v>
      </c>
      <c r="C319" s="3" t="str">
        <f t="shared" ca="1" si="16"/>
        <v/>
      </c>
      <c r="N319" s="3">
        <f t="shared" si="19"/>
        <v>0</v>
      </c>
      <c r="O319" s="3" t="str">
        <f>IFERROR(
 INDEX($T$2:$AW$2,
  MATCH(TRUE,
   CHOOSE({1;2;3;4;5;6;7;8;9;10;11;12;13;14;15;16;17;18;19;20;21;22;23;24;25;26;27;28;29;30;31;32},
    COUNTIFS($T$3:$T$201,$M319)&gt;0,
    COUNTIFS($U$3:$U$201,$M319)&gt;0,
    COUNTIFS($V$3:$V$201,$M319)&gt;0,
    COUNTIFS($W$3:$W$201,$M319)&gt;0,
    COUNTIFS($X$3:$X$201,$M319)&gt;0,
    COUNTIFS($Y$3:$Y$201,$M319)&gt;0,
    COUNTIFS($Z$3:$Z$201,$M319)&gt;0,
    COUNTIFS($AA$3:$AA$201,$M319)&gt;0,
    COUNTIFS($AB$3:$AB$201,$M319)&gt;0,
    COUNTIFS($AC$3:$AC$201,$M319)&gt;0,
    COUNTIFS($AD$3:$AD$201,$M319)&gt;0,
    COUNTIFS($AE$3:$AE$201,$M319)&gt;0,
    COUNTIFS($AF$3:$AF$201,$M319)&gt;0,
    COUNTIFS($AG$3:$AG$201,$M319)&gt;0,
    COUNTIFS($AH$3:$AH$201,$M319)&gt;0,
    COUNTIFS($AI$3:$AI$201,$M319)&gt;0,
    COUNTIFS($AJ$3:$AJ$201,$M319)&gt;0,
    COUNTIFS($AK$3:$AK$201,$M319)&gt;0,
    COUNTIFS($AL$3:$AL$201,$M319)&gt;0,
    COUNTIFS($AM$3:$AM$201,$M319)&gt;0,
    COUNTIFS($AN$3:$AN$201,$M319)&gt;0,
    COUNTIFS($AO$3:$AO$201,$M319)&gt;0,
    COUNTIFS($AP$3:$AP$201,$M319)&gt;0,
    COUNTIFS($AQ$3:$AQ$201,$M319)&gt;0,
    COUNTIFS($AR$3:$AR$201,$M319)&gt;0,
    COUNTIFS($AS$3:$AS$201,$M319)&gt;0,
    COUNTIFS($AT$3:$AT$201,$M319)&gt;0,
    COUNTIFS($AU$3:$AU$201,$M319)&gt;0,
    COUNTIFS($AV$3:$AV$201,$M319)&gt;0,
    COUNTIFS($AW$3:$AW$201,$M319)&gt;0
   ),
  0)
 ),
"")</f>
        <v/>
      </c>
      <c r="P319" s="3" t="str" cm="1">
        <f t="array" ref="P319">IFERROR(
 INDEX(
  _xlfn._xlws.FILTER($T$2:$AW$2,
   TRANSPOSE(
    CHOOSE({1;2;3;4;5;6;7;8;9;10;11;12;13;14;15;16;17;18;19;20;21;22;23;24;25;26;27;28;29;30},
     COUNTIFS($T$3:$T$201,$M319)&gt;0,
     COUNTIFS($U$3:$U$201,$M319)&gt;0,
     COUNTIFS($V$3:$V$201,$M319)&gt;0,
     COUNTIFS($W$3:$W$201,$M319)&gt;0,
     COUNTIFS($X$3:$X$201,$M319)&gt;0,
     COUNTIFS($Y$3:$Y$201,$M319)&gt;0,
     COUNTIFS($Z$3:$Z$201,$M319)&gt;0,
     COUNTIFS($AA$3:$AA$201,$M319)&gt;0,
     COUNTIFS($AB$3:$AB$201,$M319)&gt;0,
     COUNTIFS($AC$3:$AC$201,$M319)&gt;0,
     COUNTIFS($AD$3:$AD$201,$M319)&gt;0,
     COUNTIFS($AE$3:$AE$201,$M319)&gt;0,
     COUNTIFS($AF$3:$AF$201,$M319)&gt;0,
     COUNTIFS($AG$3:$AG$201,$M319)&gt;0,
     COUNTIFS($AH$3:$AH$201,$M319)&gt;0,
     COUNTIFS($AI$3:$AI$201,$M319)&gt;0,
     COUNTIFS($AJ$3:$AJ$201,$M319)&gt;0,
     COUNTIFS($AK$3:$AK$201,$M319)&gt;0,
     COUNTIFS($AL$3:$AL$201,$M319)&gt;0,
     COUNTIFS($AM$3:$AM$201,$M319)&gt;0,
     COUNTIFS($AN$3:$AN$201,$M319)&gt;0,
     COUNTIFS($AO$3:$AO$201,$M319)&gt;0,
     COUNTIFS($AP$3:$AP$201,$M319)&gt;0,
     COUNTIFS($AQ$3:$AQ$201,$M319)&gt;0,
     COUNTIFS($AR$3:$AR$201,$M319)&gt;0,
     COUNTIFS($AS$3:$AS$201,$M319)&gt;0,
     COUNTIFS($AT$3:$AT$201,$M319)&gt;0,
     COUNTIFS($AU$3:$AU$201,$M319)&gt;0,
     COUNTIFS($AV$3:$AV$201,$M319)&gt;0,
     COUNTIFS($AW$3:$AW$201,$M319)&gt;0
   )),
  ),
  2
 ),
"")</f>
        <v/>
      </c>
      <c r="Q319" s="3" t="str" cm="1">
        <f t="array" ref="Q319">IFERROR(
 INDEX(
  _xlfn._xlws.FILTER($T$2:$AW$2,
   TRANSPOSE(
    CHOOSE({1;2;3;4;5;6;7;8;9;10;11;12;13;14;15;16;17;18;19;20;21;22;23;24;25;26;27;28;29;30},
     COUNTIFS($T$3:$T$201,$M319)&gt;0,
     COUNTIFS($U$3:$U$201,$M319)&gt;0,
     COUNTIFS($V$3:$V$201,$M319)&gt;0,
     COUNTIFS($W$3:$W$201,$M319)&gt;0,
     COUNTIFS($X$3:$X$201,$M319)&gt;0,
     COUNTIFS($Y$3:$Y$201,$M319)&gt;0,
     COUNTIFS($Z$3:$Z$201,$M319)&gt;0,
     COUNTIFS($AA$3:$AA$201,$M319)&gt;0,
     COUNTIFS($AB$3:$AB$201,$M319)&gt;0,
     COUNTIFS($AC$3:$AC$201,$M319)&gt;0,
     COUNTIFS($AD$3:$AD$201,$M319)&gt;0,
     COUNTIFS($AE$3:$AE$201,$M319)&gt;0,
     COUNTIFS($AF$3:$AF$201,$M319)&gt;0,
     COUNTIFS($AG$3:$AG$201,$M319)&gt;0,
     COUNTIFS($AH$3:$AH$201,$M319)&gt;0,
     COUNTIFS($AI$3:$AI$201,$M319)&gt;0,
     COUNTIFS($AJ$3:$AJ$201,$M319)&gt;0,
     COUNTIFS($AK$3:$AK$201,$M319)&gt;0,
     COUNTIFS($AL$3:$AL$201,$M319)&gt;0,
     COUNTIFS($AM$3:$AM$201,$M319)&gt;0,
     COUNTIFS($AN$3:$AN$201,$M319)&gt;0,
     COUNTIFS($AO$3:$AO$201,$M319)&gt;0,
     COUNTIFS($AP$3:$AP$201,$M319)&gt;0,
     COUNTIFS($AQ$3:$AQ$201,$M319)&gt;0,
     COUNTIFS($AR$3:$AR$201,$M319)&gt;0,
     COUNTIFS($AS$3:$AS$201,$M319)&gt;0,
     COUNTIFS($AT$3:$AT$201,$M319)&gt;0,
     COUNTIFS($AU$3:$AU$201,$M319)&gt;0,
     COUNTIFS($AV$3:$AV$201,$M319)&gt;0,
     COUNTIFS($AW$3:$AW$201,$M319)&gt;0
   )),
  ),
  3
 ),
"")</f>
        <v/>
      </c>
      <c r="R319" s="3" t="str" cm="1">
        <f t="array" ref="R319">IFERROR(
 INDEX(
  _xlfn._xlws.FILTER($T$2:$AW$2,
   TRANSPOSE(
    CHOOSE({1;2;3;4;5;6;7;8;9;10;11;12;13;14;15;16;17;18;19;20;21;22;23;24;25;26;27;28;29;30},
     COUNTIFS($T$3:$T$201,$M319)&gt;0,
     COUNTIFS($U$3:$U$201,$M319)&gt;0,
     COUNTIFS($V$3:$V$201,$M319)&gt;0,
     COUNTIFS($W$3:$W$201,$M319)&gt;0,
     COUNTIFS($X$3:$X$201,$M319)&gt;0,
     COUNTIFS($Y$3:$Y$201,$M319)&gt;0,
     COUNTIFS($Z$3:$Z$201,$M319)&gt;0,
     COUNTIFS($AA$3:$AA$201,$M319)&gt;0,
     COUNTIFS($AB$3:$AB$201,$M319)&gt;0,
     COUNTIFS($AC$3:$AC$201,$M319)&gt;0,
     COUNTIFS($AD$3:$AD$201,$M319)&gt;0,
     COUNTIFS($AE$3:$AE$201,$M319)&gt;0,
     COUNTIFS($AF$3:$AF$201,$M319)&gt;0,
     COUNTIFS($AG$3:$AG$201,$M319)&gt;0,
     COUNTIFS($AH$3:$AH$201,$M319)&gt;0,
     COUNTIFS($AI$3:$AI$201,$M319)&gt;0,
     COUNTIFS($AJ$3:$AJ$201,$M319)&gt;0,
     COUNTIFS($AK$3:$AK$201,$M319)&gt;0,
     COUNTIFS($AL$3:$AL$201,$M319)&gt;0,
     COUNTIFS($AM$3:$AM$201,$M319)&gt;0,
     COUNTIFS($AN$3:$AN$201,$M319)&gt;0,
     COUNTIFS($AO$3:$AO$201,$M319)&gt;0,
     COUNTIFS($AP$3:$AP$201,$M319)&gt;0,
     COUNTIFS($AQ$3:$AQ$201,$M319)&gt;0,
     COUNTIFS($AR$3:$AR$201,$M319)&gt;0,
     COUNTIFS($AS$3:$AS$201,$M319)&gt;0,
     COUNTIFS($AT$3:$AT$201,$M319)&gt;0,
     COUNTIFS($AU$3:$AU$201,$M319)&gt;0,
     COUNTIFS($AV$3:$AV$201,$M319)&gt;0,
     COUNTIFS($AW$3:$AW$201,$M319)&gt;0
   )),
  ),
  4
 ),
"")</f>
        <v/>
      </c>
    </row>
    <row r="320" spans="1:18" x14ac:dyDescent="0.25">
      <c r="A320" t="str">
        <f ca="1"/>
        <v>Unholy Annex // Ritual Chamber</v>
      </c>
      <c r="B320" s="3" t="str" cm="1">
        <f t="array" aca="1" ref="B320" ca="1">_xlfn.ANCHORARRAY(RESUMO!C319)</f>
        <v>Carlos</v>
      </c>
      <c r="C320" s="3" t="str">
        <f t="shared" ca="1" si="16"/>
        <v/>
      </c>
      <c r="N320" s="3">
        <f t="shared" si="19"/>
        <v>0</v>
      </c>
      <c r="O320" s="3" t="str">
        <f>IFERROR(
 INDEX($T$2:$AW$2,
  MATCH(TRUE,
   CHOOSE({1;2;3;4;5;6;7;8;9;10;11;12;13;14;15;16;17;18;19;20;21;22;23;24;25;26;27;28;29;30;31;32},
    COUNTIFS($T$3:$T$201,$M320)&gt;0,
    COUNTIFS($U$3:$U$201,$M320)&gt;0,
    COUNTIFS($V$3:$V$201,$M320)&gt;0,
    COUNTIFS($W$3:$W$201,$M320)&gt;0,
    COUNTIFS($X$3:$X$201,$M320)&gt;0,
    COUNTIFS($Y$3:$Y$201,$M320)&gt;0,
    COUNTIFS($Z$3:$Z$201,$M320)&gt;0,
    COUNTIFS($AA$3:$AA$201,$M320)&gt;0,
    COUNTIFS($AB$3:$AB$201,$M320)&gt;0,
    COUNTIFS($AC$3:$AC$201,$M320)&gt;0,
    COUNTIFS($AD$3:$AD$201,$M320)&gt;0,
    COUNTIFS($AE$3:$AE$201,$M320)&gt;0,
    COUNTIFS($AF$3:$AF$201,$M320)&gt;0,
    COUNTIFS($AG$3:$AG$201,$M320)&gt;0,
    COUNTIFS($AH$3:$AH$201,$M320)&gt;0,
    COUNTIFS($AI$3:$AI$201,$M320)&gt;0,
    COUNTIFS($AJ$3:$AJ$201,$M320)&gt;0,
    COUNTIFS($AK$3:$AK$201,$M320)&gt;0,
    COUNTIFS($AL$3:$AL$201,$M320)&gt;0,
    COUNTIFS($AM$3:$AM$201,$M320)&gt;0,
    COUNTIFS($AN$3:$AN$201,$M320)&gt;0,
    COUNTIFS($AO$3:$AO$201,$M320)&gt;0,
    COUNTIFS($AP$3:$AP$201,$M320)&gt;0,
    COUNTIFS($AQ$3:$AQ$201,$M320)&gt;0,
    COUNTIFS($AR$3:$AR$201,$M320)&gt;0,
    COUNTIFS($AS$3:$AS$201,$M320)&gt;0,
    COUNTIFS($AT$3:$AT$201,$M320)&gt;0,
    COUNTIFS($AU$3:$AU$201,$M320)&gt;0,
    COUNTIFS($AV$3:$AV$201,$M320)&gt;0,
    COUNTIFS($AW$3:$AW$201,$M320)&gt;0
   ),
  0)
 ),
"")</f>
        <v/>
      </c>
      <c r="P320" s="3" t="str" cm="1">
        <f t="array" ref="P320">IFERROR(
 INDEX(
  _xlfn._xlws.FILTER($T$2:$AW$2,
   TRANSPOSE(
    CHOOSE({1;2;3;4;5;6;7;8;9;10;11;12;13;14;15;16;17;18;19;20;21;22;23;24;25;26;27;28;29;30},
     COUNTIFS($T$3:$T$201,$M320)&gt;0,
     COUNTIFS($U$3:$U$201,$M320)&gt;0,
     COUNTIFS($V$3:$V$201,$M320)&gt;0,
     COUNTIFS($W$3:$W$201,$M320)&gt;0,
     COUNTIFS($X$3:$X$201,$M320)&gt;0,
     COUNTIFS($Y$3:$Y$201,$M320)&gt;0,
     COUNTIFS($Z$3:$Z$201,$M320)&gt;0,
     COUNTIFS($AA$3:$AA$201,$M320)&gt;0,
     COUNTIFS($AB$3:$AB$201,$M320)&gt;0,
     COUNTIFS($AC$3:$AC$201,$M320)&gt;0,
     COUNTIFS($AD$3:$AD$201,$M320)&gt;0,
     COUNTIFS($AE$3:$AE$201,$M320)&gt;0,
     COUNTIFS($AF$3:$AF$201,$M320)&gt;0,
     COUNTIFS($AG$3:$AG$201,$M320)&gt;0,
     COUNTIFS($AH$3:$AH$201,$M320)&gt;0,
     COUNTIFS($AI$3:$AI$201,$M320)&gt;0,
     COUNTIFS($AJ$3:$AJ$201,$M320)&gt;0,
     COUNTIFS($AK$3:$AK$201,$M320)&gt;0,
     COUNTIFS($AL$3:$AL$201,$M320)&gt;0,
     COUNTIFS($AM$3:$AM$201,$M320)&gt;0,
     COUNTIFS($AN$3:$AN$201,$M320)&gt;0,
     COUNTIFS($AO$3:$AO$201,$M320)&gt;0,
     COUNTIFS($AP$3:$AP$201,$M320)&gt;0,
     COUNTIFS($AQ$3:$AQ$201,$M320)&gt;0,
     COUNTIFS($AR$3:$AR$201,$M320)&gt;0,
     COUNTIFS($AS$3:$AS$201,$M320)&gt;0,
     COUNTIFS($AT$3:$AT$201,$M320)&gt;0,
     COUNTIFS($AU$3:$AU$201,$M320)&gt;0,
     COUNTIFS($AV$3:$AV$201,$M320)&gt;0,
     COUNTIFS($AW$3:$AW$201,$M320)&gt;0
   )),
  ),
  2
 ),
"")</f>
        <v/>
      </c>
      <c r="Q320" s="3" t="str" cm="1">
        <f t="array" ref="Q320">IFERROR(
 INDEX(
  _xlfn._xlws.FILTER($T$2:$AW$2,
   TRANSPOSE(
    CHOOSE({1;2;3;4;5;6;7;8;9;10;11;12;13;14;15;16;17;18;19;20;21;22;23;24;25;26;27;28;29;30},
     COUNTIFS($T$3:$T$201,$M320)&gt;0,
     COUNTIFS($U$3:$U$201,$M320)&gt;0,
     COUNTIFS($V$3:$V$201,$M320)&gt;0,
     COUNTIFS($W$3:$W$201,$M320)&gt;0,
     COUNTIFS($X$3:$X$201,$M320)&gt;0,
     COUNTIFS($Y$3:$Y$201,$M320)&gt;0,
     COUNTIFS($Z$3:$Z$201,$M320)&gt;0,
     COUNTIFS($AA$3:$AA$201,$M320)&gt;0,
     COUNTIFS($AB$3:$AB$201,$M320)&gt;0,
     COUNTIFS($AC$3:$AC$201,$M320)&gt;0,
     COUNTIFS($AD$3:$AD$201,$M320)&gt;0,
     COUNTIFS($AE$3:$AE$201,$M320)&gt;0,
     COUNTIFS($AF$3:$AF$201,$M320)&gt;0,
     COUNTIFS($AG$3:$AG$201,$M320)&gt;0,
     COUNTIFS($AH$3:$AH$201,$M320)&gt;0,
     COUNTIFS($AI$3:$AI$201,$M320)&gt;0,
     COUNTIFS($AJ$3:$AJ$201,$M320)&gt;0,
     COUNTIFS($AK$3:$AK$201,$M320)&gt;0,
     COUNTIFS($AL$3:$AL$201,$M320)&gt;0,
     COUNTIFS($AM$3:$AM$201,$M320)&gt;0,
     COUNTIFS($AN$3:$AN$201,$M320)&gt;0,
     COUNTIFS($AO$3:$AO$201,$M320)&gt;0,
     COUNTIFS($AP$3:$AP$201,$M320)&gt;0,
     COUNTIFS($AQ$3:$AQ$201,$M320)&gt;0,
     COUNTIFS($AR$3:$AR$201,$M320)&gt;0,
     COUNTIFS($AS$3:$AS$201,$M320)&gt;0,
     COUNTIFS($AT$3:$AT$201,$M320)&gt;0,
     COUNTIFS($AU$3:$AU$201,$M320)&gt;0,
     COUNTIFS($AV$3:$AV$201,$M320)&gt;0,
     COUNTIFS($AW$3:$AW$201,$M320)&gt;0
   )),
  ),
  3
 ),
"")</f>
        <v/>
      </c>
      <c r="R320" s="3" t="str" cm="1">
        <f t="array" ref="R320">IFERROR(
 INDEX(
  _xlfn._xlws.FILTER($T$2:$AW$2,
   TRANSPOSE(
    CHOOSE({1;2;3;4;5;6;7;8;9;10;11;12;13;14;15;16;17;18;19;20;21;22;23;24;25;26;27;28;29;30},
     COUNTIFS($T$3:$T$201,$M320)&gt;0,
     COUNTIFS($U$3:$U$201,$M320)&gt;0,
     COUNTIFS($V$3:$V$201,$M320)&gt;0,
     COUNTIFS($W$3:$W$201,$M320)&gt;0,
     COUNTIFS($X$3:$X$201,$M320)&gt;0,
     COUNTIFS($Y$3:$Y$201,$M320)&gt;0,
     COUNTIFS($Z$3:$Z$201,$M320)&gt;0,
     COUNTIFS($AA$3:$AA$201,$M320)&gt;0,
     COUNTIFS($AB$3:$AB$201,$M320)&gt;0,
     COUNTIFS($AC$3:$AC$201,$M320)&gt;0,
     COUNTIFS($AD$3:$AD$201,$M320)&gt;0,
     COUNTIFS($AE$3:$AE$201,$M320)&gt;0,
     COUNTIFS($AF$3:$AF$201,$M320)&gt;0,
     COUNTIFS($AG$3:$AG$201,$M320)&gt;0,
     COUNTIFS($AH$3:$AH$201,$M320)&gt;0,
     COUNTIFS($AI$3:$AI$201,$M320)&gt;0,
     COUNTIFS($AJ$3:$AJ$201,$M320)&gt;0,
     COUNTIFS($AK$3:$AK$201,$M320)&gt;0,
     COUNTIFS($AL$3:$AL$201,$M320)&gt;0,
     COUNTIFS($AM$3:$AM$201,$M320)&gt;0,
     COUNTIFS($AN$3:$AN$201,$M320)&gt;0,
     COUNTIFS($AO$3:$AO$201,$M320)&gt;0,
     COUNTIFS($AP$3:$AP$201,$M320)&gt;0,
     COUNTIFS($AQ$3:$AQ$201,$M320)&gt;0,
     COUNTIFS($AR$3:$AR$201,$M320)&gt;0,
     COUNTIFS($AS$3:$AS$201,$M320)&gt;0,
     COUNTIFS($AT$3:$AT$201,$M320)&gt;0,
     COUNTIFS($AU$3:$AU$201,$M320)&gt;0,
     COUNTIFS($AV$3:$AV$201,$M320)&gt;0,
     COUNTIFS($AW$3:$AW$201,$M320)&gt;0
   )),
  ),
  4
 ),
"")</f>
        <v/>
      </c>
    </row>
    <row r="321" spans="1:18" x14ac:dyDescent="0.25">
      <c r="A321" t="str">
        <f ca="1"/>
        <v>Unstoppable Plan</v>
      </c>
      <c r="B321" s="3" t="str" cm="1">
        <f t="array" aca="1" ref="B321" ca="1">_xlfn.ANCHORARRAY(RESUMO!C320)</f>
        <v>Oona</v>
      </c>
      <c r="C321" s="3" t="str">
        <f t="shared" ca="1" si="16"/>
        <v/>
      </c>
      <c r="N321" s="3">
        <f t="shared" si="19"/>
        <v>0</v>
      </c>
      <c r="O321" s="3" t="str">
        <f>IFERROR(
 INDEX($T$2:$AW$2,
  MATCH(TRUE,
   CHOOSE({1;2;3;4;5;6;7;8;9;10;11;12;13;14;15;16;17;18;19;20;21;22;23;24;25;26;27;28;29;30;31;32},
    COUNTIFS($T$3:$T$201,$M321)&gt;0,
    COUNTIFS($U$3:$U$201,$M321)&gt;0,
    COUNTIFS($V$3:$V$201,$M321)&gt;0,
    COUNTIFS($W$3:$W$201,$M321)&gt;0,
    COUNTIFS($X$3:$X$201,$M321)&gt;0,
    COUNTIFS($Y$3:$Y$201,$M321)&gt;0,
    COUNTIFS($Z$3:$Z$201,$M321)&gt;0,
    COUNTIFS($AA$3:$AA$201,$M321)&gt;0,
    COUNTIFS($AB$3:$AB$201,$M321)&gt;0,
    COUNTIFS($AC$3:$AC$201,$M321)&gt;0,
    COUNTIFS($AD$3:$AD$201,$M321)&gt;0,
    COUNTIFS($AE$3:$AE$201,$M321)&gt;0,
    COUNTIFS($AF$3:$AF$201,$M321)&gt;0,
    COUNTIFS($AG$3:$AG$201,$M321)&gt;0,
    COUNTIFS($AH$3:$AH$201,$M321)&gt;0,
    COUNTIFS($AI$3:$AI$201,$M321)&gt;0,
    COUNTIFS($AJ$3:$AJ$201,$M321)&gt;0,
    COUNTIFS($AK$3:$AK$201,$M321)&gt;0,
    COUNTIFS($AL$3:$AL$201,$M321)&gt;0,
    COUNTIFS($AM$3:$AM$201,$M321)&gt;0,
    COUNTIFS($AN$3:$AN$201,$M321)&gt;0,
    COUNTIFS($AO$3:$AO$201,$M321)&gt;0,
    COUNTIFS($AP$3:$AP$201,$M321)&gt;0,
    COUNTIFS($AQ$3:$AQ$201,$M321)&gt;0,
    COUNTIFS($AR$3:$AR$201,$M321)&gt;0,
    COUNTIFS($AS$3:$AS$201,$M321)&gt;0,
    COUNTIFS($AT$3:$AT$201,$M321)&gt;0,
    COUNTIFS($AU$3:$AU$201,$M321)&gt;0,
    COUNTIFS($AV$3:$AV$201,$M321)&gt;0,
    COUNTIFS($AW$3:$AW$201,$M321)&gt;0
   ),
  0)
 ),
"")</f>
        <v/>
      </c>
      <c r="P321" s="3" t="str" cm="1">
        <f t="array" ref="P321">IFERROR(
 INDEX(
  _xlfn._xlws.FILTER($T$2:$AW$2,
   TRANSPOSE(
    CHOOSE({1;2;3;4;5;6;7;8;9;10;11;12;13;14;15;16;17;18;19;20;21;22;23;24;25;26;27;28;29;30},
     COUNTIFS($T$3:$T$201,$M321)&gt;0,
     COUNTIFS($U$3:$U$201,$M321)&gt;0,
     COUNTIFS($V$3:$V$201,$M321)&gt;0,
     COUNTIFS($W$3:$W$201,$M321)&gt;0,
     COUNTIFS($X$3:$X$201,$M321)&gt;0,
     COUNTIFS($Y$3:$Y$201,$M321)&gt;0,
     COUNTIFS($Z$3:$Z$201,$M321)&gt;0,
     COUNTIFS($AA$3:$AA$201,$M321)&gt;0,
     COUNTIFS($AB$3:$AB$201,$M321)&gt;0,
     COUNTIFS($AC$3:$AC$201,$M321)&gt;0,
     COUNTIFS($AD$3:$AD$201,$M321)&gt;0,
     COUNTIFS($AE$3:$AE$201,$M321)&gt;0,
     COUNTIFS($AF$3:$AF$201,$M321)&gt;0,
     COUNTIFS($AG$3:$AG$201,$M321)&gt;0,
     COUNTIFS($AH$3:$AH$201,$M321)&gt;0,
     COUNTIFS($AI$3:$AI$201,$M321)&gt;0,
     COUNTIFS($AJ$3:$AJ$201,$M321)&gt;0,
     COUNTIFS($AK$3:$AK$201,$M321)&gt;0,
     COUNTIFS($AL$3:$AL$201,$M321)&gt;0,
     COUNTIFS($AM$3:$AM$201,$M321)&gt;0,
     COUNTIFS($AN$3:$AN$201,$M321)&gt;0,
     COUNTIFS($AO$3:$AO$201,$M321)&gt;0,
     COUNTIFS($AP$3:$AP$201,$M321)&gt;0,
     COUNTIFS($AQ$3:$AQ$201,$M321)&gt;0,
     COUNTIFS($AR$3:$AR$201,$M321)&gt;0,
     COUNTIFS($AS$3:$AS$201,$M321)&gt;0,
     COUNTIFS($AT$3:$AT$201,$M321)&gt;0,
     COUNTIFS($AU$3:$AU$201,$M321)&gt;0,
     COUNTIFS($AV$3:$AV$201,$M321)&gt;0,
     COUNTIFS($AW$3:$AW$201,$M321)&gt;0
   )),
  ),
  2
 ),
"")</f>
        <v/>
      </c>
      <c r="Q321" s="3" t="str" cm="1">
        <f t="array" ref="Q321">IFERROR(
 INDEX(
  _xlfn._xlws.FILTER($T$2:$AW$2,
   TRANSPOSE(
    CHOOSE({1;2;3;4;5;6;7;8;9;10;11;12;13;14;15;16;17;18;19;20;21;22;23;24;25;26;27;28;29;30},
     COUNTIFS($T$3:$T$201,$M321)&gt;0,
     COUNTIFS($U$3:$U$201,$M321)&gt;0,
     COUNTIFS($V$3:$V$201,$M321)&gt;0,
     COUNTIFS($W$3:$W$201,$M321)&gt;0,
     COUNTIFS($X$3:$X$201,$M321)&gt;0,
     COUNTIFS($Y$3:$Y$201,$M321)&gt;0,
     COUNTIFS($Z$3:$Z$201,$M321)&gt;0,
     COUNTIFS($AA$3:$AA$201,$M321)&gt;0,
     COUNTIFS($AB$3:$AB$201,$M321)&gt;0,
     COUNTIFS($AC$3:$AC$201,$M321)&gt;0,
     COUNTIFS($AD$3:$AD$201,$M321)&gt;0,
     COUNTIFS($AE$3:$AE$201,$M321)&gt;0,
     COUNTIFS($AF$3:$AF$201,$M321)&gt;0,
     COUNTIFS($AG$3:$AG$201,$M321)&gt;0,
     COUNTIFS($AH$3:$AH$201,$M321)&gt;0,
     COUNTIFS($AI$3:$AI$201,$M321)&gt;0,
     COUNTIFS($AJ$3:$AJ$201,$M321)&gt;0,
     COUNTIFS($AK$3:$AK$201,$M321)&gt;0,
     COUNTIFS($AL$3:$AL$201,$M321)&gt;0,
     COUNTIFS($AM$3:$AM$201,$M321)&gt;0,
     COUNTIFS($AN$3:$AN$201,$M321)&gt;0,
     COUNTIFS($AO$3:$AO$201,$M321)&gt;0,
     COUNTIFS($AP$3:$AP$201,$M321)&gt;0,
     COUNTIFS($AQ$3:$AQ$201,$M321)&gt;0,
     COUNTIFS($AR$3:$AR$201,$M321)&gt;0,
     COUNTIFS($AS$3:$AS$201,$M321)&gt;0,
     COUNTIFS($AT$3:$AT$201,$M321)&gt;0,
     COUNTIFS($AU$3:$AU$201,$M321)&gt;0,
     COUNTIFS($AV$3:$AV$201,$M321)&gt;0,
     COUNTIFS($AW$3:$AW$201,$M321)&gt;0
   )),
  ),
  3
 ),
"")</f>
        <v/>
      </c>
      <c r="R321" s="3" t="str" cm="1">
        <f t="array" ref="R321">IFERROR(
 INDEX(
  _xlfn._xlws.FILTER($T$2:$AW$2,
   TRANSPOSE(
    CHOOSE({1;2;3;4;5;6;7;8;9;10;11;12;13;14;15;16;17;18;19;20;21;22;23;24;25;26;27;28;29;30},
     COUNTIFS($T$3:$T$201,$M321)&gt;0,
     COUNTIFS($U$3:$U$201,$M321)&gt;0,
     COUNTIFS($V$3:$V$201,$M321)&gt;0,
     COUNTIFS($W$3:$W$201,$M321)&gt;0,
     COUNTIFS($X$3:$X$201,$M321)&gt;0,
     COUNTIFS($Y$3:$Y$201,$M321)&gt;0,
     COUNTIFS($Z$3:$Z$201,$M321)&gt;0,
     COUNTIFS($AA$3:$AA$201,$M321)&gt;0,
     COUNTIFS($AB$3:$AB$201,$M321)&gt;0,
     COUNTIFS($AC$3:$AC$201,$M321)&gt;0,
     COUNTIFS($AD$3:$AD$201,$M321)&gt;0,
     COUNTIFS($AE$3:$AE$201,$M321)&gt;0,
     COUNTIFS($AF$3:$AF$201,$M321)&gt;0,
     COUNTIFS($AG$3:$AG$201,$M321)&gt;0,
     COUNTIFS($AH$3:$AH$201,$M321)&gt;0,
     COUNTIFS($AI$3:$AI$201,$M321)&gt;0,
     COUNTIFS($AJ$3:$AJ$201,$M321)&gt;0,
     COUNTIFS($AK$3:$AK$201,$M321)&gt;0,
     COUNTIFS($AL$3:$AL$201,$M321)&gt;0,
     COUNTIFS($AM$3:$AM$201,$M321)&gt;0,
     COUNTIFS($AN$3:$AN$201,$M321)&gt;0,
     COUNTIFS($AO$3:$AO$201,$M321)&gt;0,
     COUNTIFS($AP$3:$AP$201,$M321)&gt;0,
     COUNTIFS($AQ$3:$AQ$201,$M321)&gt;0,
     COUNTIFS($AR$3:$AR$201,$M321)&gt;0,
     COUNTIFS($AS$3:$AS$201,$M321)&gt;0,
     COUNTIFS($AT$3:$AT$201,$M321)&gt;0,
     COUNTIFS($AU$3:$AU$201,$M321)&gt;0,
     COUNTIFS($AV$3:$AV$201,$M321)&gt;0,
     COUNTIFS($AW$3:$AW$201,$M321)&gt;0
   )),
  ),
  4
 ),
"")</f>
        <v/>
      </c>
    </row>
    <row r="322" spans="1:18" x14ac:dyDescent="0.25">
      <c r="A322" t="str">
        <f ca="1"/>
        <v>Uthros, Titanic Godcore</v>
      </c>
      <c r="B322" s="3" t="str" cm="1">
        <f t="array" aca="1" ref="B322" ca="1">_xlfn.ANCHORARRAY(RESUMO!C321)</f>
        <v>Thrakiri</v>
      </c>
      <c r="C322" s="3" t="str">
        <f t="shared" ca="1" si="16"/>
        <v/>
      </c>
      <c r="N322" s="3">
        <f t="shared" si="19"/>
        <v>0</v>
      </c>
      <c r="O322" s="3" t="str">
        <f>IFERROR(
 INDEX($T$2:$AW$2,
  MATCH(TRUE,
   CHOOSE({1;2;3;4;5;6;7;8;9;10;11;12;13;14;15;16;17;18;19;20;21;22;23;24;25;26;27;28;29;30;31;32},
    COUNTIFS($T$3:$T$201,$M322)&gt;0,
    COUNTIFS($U$3:$U$201,$M322)&gt;0,
    COUNTIFS($V$3:$V$201,$M322)&gt;0,
    COUNTIFS($W$3:$W$201,$M322)&gt;0,
    COUNTIFS($X$3:$X$201,$M322)&gt;0,
    COUNTIFS($Y$3:$Y$201,$M322)&gt;0,
    COUNTIFS($Z$3:$Z$201,$M322)&gt;0,
    COUNTIFS($AA$3:$AA$201,$M322)&gt;0,
    COUNTIFS($AB$3:$AB$201,$M322)&gt;0,
    COUNTIFS($AC$3:$AC$201,$M322)&gt;0,
    COUNTIFS($AD$3:$AD$201,$M322)&gt;0,
    COUNTIFS($AE$3:$AE$201,$M322)&gt;0,
    COUNTIFS($AF$3:$AF$201,$M322)&gt;0,
    COUNTIFS($AG$3:$AG$201,$M322)&gt;0,
    COUNTIFS($AH$3:$AH$201,$M322)&gt;0,
    COUNTIFS($AI$3:$AI$201,$M322)&gt;0,
    COUNTIFS($AJ$3:$AJ$201,$M322)&gt;0,
    COUNTIFS($AK$3:$AK$201,$M322)&gt;0,
    COUNTIFS($AL$3:$AL$201,$M322)&gt;0,
    COUNTIFS($AM$3:$AM$201,$M322)&gt;0,
    COUNTIFS($AN$3:$AN$201,$M322)&gt;0,
    COUNTIFS($AO$3:$AO$201,$M322)&gt;0,
    COUNTIFS($AP$3:$AP$201,$M322)&gt;0,
    COUNTIFS($AQ$3:$AQ$201,$M322)&gt;0,
    COUNTIFS($AR$3:$AR$201,$M322)&gt;0,
    COUNTIFS($AS$3:$AS$201,$M322)&gt;0,
    COUNTIFS($AT$3:$AT$201,$M322)&gt;0,
    COUNTIFS($AU$3:$AU$201,$M322)&gt;0,
    COUNTIFS($AV$3:$AV$201,$M322)&gt;0,
    COUNTIFS($AW$3:$AW$201,$M322)&gt;0
   ),
  0)
 ),
"")</f>
        <v/>
      </c>
      <c r="P322" s="3" t="str" cm="1">
        <f t="array" ref="P322">IFERROR(
 INDEX(
  _xlfn._xlws.FILTER($T$2:$AW$2,
   TRANSPOSE(
    CHOOSE({1;2;3;4;5;6;7;8;9;10;11;12;13;14;15;16;17;18;19;20;21;22;23;24;25;26;27;28;29;30},
     COUNTIFS($T$3:$T$201,$M322)&gt;0,
     COUNTIFS($U$3:$U$201,$M322)&gt;0,
     COUNTIFS($V$3:$V$201,$M322)&gt;0,
     COUNTIFS($W$3:$W$201,$M322)&gt;0,
     COUNTIFS($X$3:$X$201,$M322)&gt;0,
     COUNTIFS($Y$3:$Y$201,$M322)&gt;0,
     COUNTIFS($Z$3:$Z$201,$M322)&gt;0,
     COUNTIFS($AA$3:$AA$201,$M322)&gt;0,
     COUNTIFS($AB$3:$AB$201,$M322)&gt;0,
     COUNTIFS($AC$3:$AC$201,$M322)&gt;0,
     COUNTIFS($AD$3:$AD$201,$M322)&gt;0,
     COUNTIFS($AE$3:$AE$201,$M322)&gt;0,
     COUNTIFS($AF$3:$AF$201,$M322)&gt;0,
     COUNTIFS($AG$3:$AG$201,$M322)&gt;0,
     COUNTIFS($AH$3:$AH$201,$M322)&gt;0,
     COUNTIFS($AI$3:$AI$201,$M322)&gt;0,
     COUNTIFS($AJ$3:$AJ$201,$M322)&gt;0,
     COUNTIFS($AK$3:$AK$201,$M322)&gt;0,
     COUNTIFS($AL$3:$AL$201,$M322)&gt;0,
     COUNTIFS($AM$3:$AM$201,$M322)&gt;0,
     COUNTIFS($AN$3:$AN$201,$M322)&gt;0,
     COUNTIFS($AO$3:$AO$201,$M322)&gt;0,
     COUNTIFS($AP$3:$AP$201,$M322)&gt;0,
     COUNTIFS($AQ$3:$AQ$201,$M322)&gt;0,
     COUNTIFS($AR$3:$AR$201,$M322)&gt;0,
     COUNTIFS($AS$3:$AS$201,$M322)&gt;0,
     COUNTIFS($AT$3:$AT$201,$M322)&gt;0,
     COUNTIFS($AU$3:$AU$201,$M322)&gt;0,
     COUNTIFS($AV$3:$AV$201,$M322)&gt;0,
     COUNTIFS($AW$3:$AW$201,$M322)&gt;0
   )),
  ),
  2
 ),
"")</f>
        <v/>
      </c>
      <c r="Q322" s="3" t="str" cm="1">
        <f t="array" ref="Q322">IFERROR(
 INDEX(
  _xlfn._xlws.FILTER($T$2:$AW$2,
   TRANSPOSE(
    CHOOSE({1;2;3;4;5;6;7;8;9;10;11;12;13;14;15;16;17;18;19;20;21;22;23;24;25;26;27;28;29;30},
     COUNTIFS($T$3:$T$201,$M322)&gt;0,
     COUNTIFS($U$3:$U$201,$M322)&gt;0,
     COUNTIFS($V$3:$V$201,$M322)&gt;0,
     COUNTIFS($W$3:$W$201,$M322)&gt;0,
     COUNTIFS($X$3:$X$201,$M322)&gt;0,
     COUNTIFS($Y$3:$Y$201,$M322)&gt;0,
     COUNTIFS($Z$3:$Z$201,$M322)&gt;0,
     COUNTIFS($AA$3:$AA$201,$M322)&gt;0,
     COUNTIFS($AB$3:$AB$201,$M322)&gt;0,
     COUNTIFS($AC$3:$AC$201,$M322)&gt;0,
     COUNTIFS($AD$3:$AD$201,$M322)&gt;0,
     COUNTIFS($AE$3:$AE$201,$M322)&gt;0,
     COUNTIFS($AF$3:$AF$201,$M322)&gt;0,
     COUNTIFS($AG$3:$AG$201,$M322)&gt;0,
     COUNTIFS($AH$3:$AH$201,$M322)&gt;0,
     COUNTIFS($AI$3:$AI$201,$M322)&gt;0,
     COUNTIFS($AJ$3:$AJ$201,$M322)&gt;0,
     COUNTIFS($AK$3:$AK$201,$M322)&gt;0,
     COUNTIFS($AL$3:$AL$201,$M322)&gt;0,
     COUNTIFS($AM$3:$AM$201,$M322)&gt;0,
     COUNTIFS($AN$3:$AN$201,$M322)&gt;0,
     COUNTIFS($AO$3:$AO$201,$M322)&gt;0,
     COUNTIFS($AP$3:$AP$201,$M322)&gt;0,
     COUNTIFS($AQ$3:$AQ$201,$M322)&gt;0,
     COUNTIFS($AR$3:$AR$201,$M322)&gt;0,
     COUNTIFS($AS$3:$AS$201,$M322)&gt;0,
     COUNTIFS($AT$3:$AT$201,$M322)&gt;0,
     COUNTIFS($AU$3:$AU$201,$M322)&gt;0,
     COUNTIFS($AV$3:$AV$201,$M322)&gt;0,
     COUNTIFS($AW$3:$AW$201,$M322)&gt;0
   )),
  ),
  3
 ),
"")</f>
        <v/>
      </c>
      <c r="R322" s="3" t="str" cm="1">
        <f t="array" ref="R322">IFERROR(
 INDEX(
  _xlfn._xlws.FILTER($T$2:$AW$2,
   TRANSPOSE(
    CHOOSE({1;2;3;4;5;6;7;8;9;10;11;12;13;14;15;16;17;18;19;20;21;22;23;24;25;26;27;28;29;30},
     COUNTIFS($T$3:$T$201,$M322)&gt;0,
     COUNTIFS($U$3:$U$201,$M322)&gt;0,
     COUNTIFS($V$3:$V$201,$M322)&gt;0,
     COUNTIFS($W$3:$W$201,$M322)&gt;0,
     COUNTIFS($X$3:$X$201,$M322)&gt;0,
     COUNTIFS($Y$3:$Y$201,$M322)&gt;0,
     COUNTIFS($Z$3:$Z$201,$M322)&gt;0,
     COUNTIFS($AA$3:$AA$201,$M322)&gt;0,
     COUNTIFS($AB$3:$AB$201,$M322)&gt;0,
     COUNTIFS($AC$3:$AC$201,$M322)&gt;0,
     COUNTIFS($AD$3:$AD$201,$M322)&gt;0,
     COUNTIFS($AE$3:$AE$201,$M322)&gt;0,
     COUNTIFS($AF$3:$AF$201,$M322)&gt;0,
     COUNTIFS($AG$3:$AG$201,$M322)&gt;0,
     COUNTIFS($AH$3:$AH$201,$M322)&gt;0,
     COUNTIFS($AI$3:$AI$201,$M322)&gt;0,
     COUNTIFS($AJ$3:$AJ$201,$M322)&gt;0,
     COUNTIFS($AK$3:$AK$201,$M322)&gt;0,
     COUNTIFS($AL$3:$AL$201,$M322)&gt;0,
     COUNTIFS($AM$3:$AM$201,$M322)&gt;0,
     COUNTIFS($AN$3:$AN$201,$M322)&gt;0,
     COUNTIFS($AO$3:$AO$201,$M322)&gt;0,
     COUNTIFS($AP$3:$AP$201,$M322)&gt;0,
     COUNTIFS($AQ$3:$AQ$201,$M322)&gt;0,
     COUNTIFS($AR$3:$AR$201,$M322)&gt;0,
     COUNTIFS($AS$3:$AS$201,$M322)&gt;0,
     COUNTIFS($AT$3:$AT$201,$M322)&gt;0,
     COUNTIFS($AU$3:$AU$201,$M322)&gt;0,
     COUNTIFS($AV$3:$AV$201,$M322)&gt;0,
     COUNTIFS($AW$3:$AW$201,$M322)&gt;0
   )),
  ),
  4
 ),
"")</f>
        <v/>
      </c>
    </row>
    <row r="323" spans="1:18" x14ac:dyDescent="0.25">
      <c r="A323" t="str">
        <f ca="1"/>
        <v>Valfenda</v>
      </c>
      <c r="B323" s="3" t="str" cm="1">
        <f t="array" aca="1" ref="B323" ca="1">_xlfn.ANCHORARRAY(RESUMO!C322)</f>
        <v>JhoiraB</v>
      </c>
      <c r="C323" s="3" t="str">
        <f t="shared" ref="C323:C375" ca="1" si="20">IFERROR(_xlfn.XLOOKUP($A323,$E:$E,$G:$G),"")</f>
        <v/>
      </c>
      <c r="N323" s="3">
        <f t="shared" ref="N323:N386" si="21">COUNTIF(T:AW,M323)</f>
        <v>0</v>
      </c>
      <c r="O323" s="3" t="str">
        <f>IFERROR(
 INDEX($T$2:$AW$2,
  MATCH(TRUE,
   CHOOSE({1;2;3;4;5;6;7;8;9;10;11;12;13;14;15;16;17;18;19;20;21;22;23;24;25;26;27;28;29;30;31;32},
    COUNTIFS($T$3:$T$201,$M323)&gt;0,
    COUNTIFS($U$3:$U$201,$M323)&gt;0,
    COUNTIFS($V$3:$V$201,$M323)&gt;0,
    COUNTIFS($W$3:$W$201,$M323)&gt;0,
    COUNTIFS($X$3:$X$201,$M323)&gt;0,
    COUNTIFS($Y$3:$Y$201,$M323)&gt;0,
    COUNTIFS($Z$3:$Z$201,$M323)&gt;0,
    COUNTIFS($AA$3:$AA$201,$M323)&gt;0,
    COUNTIFS($AB$3:$AB$201,$M323)&gt;0,
    COUNTIFS($AC$3:$AC$201,$M323)&gt;0,
    COUNTIFS($AD$3:$AD$201,$M323)&gt;0,
    COUNTIFS($AE$3:$AE$201,$M323)&gt;0,
    COUNTIFS($AF$3:$AF$201,$M323)&gt;0,
    COUNTIFS($AG$3:$AG$201,$M323)&gt;0,
    COUNTIFS($AH$3:$AH$201,$M323)&gt;0,
    COUNTIFS($AI$3:$AI$201,$M323)&gt;0,
    COUNTIFS($AJ$3:$AJ$201,$M323)&gt;0,
    COUNTIFS($AK$3:$AK$201,$M323)&gt;0,
    COUNTIFS($AL$3:$AL$201,$M323)&gt;0,
    COUNTIFS($AM$3:$AM$201,$M323)&gt;0,
    COUNTIFS($AN$3:$AN$201,$M323)&gt;0,
    COUNTIFS($AO$3:$AO$201,$M323)&gt;0,
    COUNTIFS($AP$3:$AP$201,$M323)&gt;0,
    COUNTIFS($AQ$3:$AQ$201,$M323)&gt;0,
    COUNTIFS($AR$3:$AR$201,$M323)&gt;0,
    COUNTIFS($AS$3:$AS$201,$M323)&gt;0,
    COUNTIFS($AT$3:$AT$201,$M323)&gt;0,
    COUNTIFS($AU$3:$AU$201,$M323)&gt;0,
    COUNTIFS($AV$3:$AV$201,$M323)&gt;0,
    COUNTIFS($AW$3:$AW$201,$M323)&gt;0
   ),
  0)
 ),
"")</f>
        <v/>
      </c>
      <c r="P323" s="3" t="str" cm="1">
        <f t="array" ref="P323">IFERROR(
 INDEX(
  _xlfn._xlws.FILTER($T$2:$AW$2,
   TRANSPOSE(
    CHOOSE({1;2;3;4;5;6;7;8;9;10;11;12;13;14;15;16;17;18;19;20;21;22;23;24;25;26;27;28;29;30},
     COUNTIFS($T$3:$T$201,$M323)&gt;0,
     COUNTIFS($U$3:$U$201,$M323)&gt;0,
     COUNTIFS($V$3:$V$201,$M323)&gt;0,
     COUNTIFS($W$3:$W$201,$M323)&gt;0,
     COUNTIFS($X$3:$X$201,$M323)&gt;0,
     COUNTIFS($Y$3:$Y$201,$M323)&gt;0,
     COUNTIFS($Z$3:$Z$201,$M323)&gt;0,
     COUNTIFS($AA$3:$AA$201,$M323)&gt;0,
     COUNTIFS($AB$3:$AB$201,$M323)&gt;0,
     COUNTIFS($AC$3:$AC$201,$M323)&gt;0,
     COUNTIFS($AD$3:$AD$201,$M323)&gt;0,
     COUNTIFS($AE$3:$AE$201,$M323)&gt;0,
     COUNTIFS($AF$3:$AF$201,$M323)&gt;0,
     COUNTIFS($AG$3:$AG$201,$M323)&gt;0,
     COUNTIFS($AH$3:$AH$201,$M323)&gt;0,
     COUNTIFS($AI$3:$AI$201,$M323)&gt;0,
     COUNTIFS($AJ$3:$AJ$201,$M323)&gt;0,
     COUNTIFS($AK$3:$AK$201,$M323)&gt;0,
     COUNTIFS($AL$3:$AL$201,$M323)&gt;0,
     COUNTIFS($AM$3:$AM$201,$M323)&gt;0,
     COUNTIFS($AN$3:$AN$201,$M323)&gt;0,
     COUNTIFS($AO$3:$AO$201,$M323)&gt;0,
     COUNTIFS($AP$3:$AP$201,$M323)&gt;0,
     COUNTIFS($AQ$3:$AQ$201,$M323)&gt;0,
     COUNTIFS($AR$3:$AR$201,$M323)&gt;0,
     COUNTIFS($AS$3:$AS$201,$M323)&gt;0,
     COUNTIFS($AT$3:$AT$201,$M323)&gt;0,
     COUNTIFS($AU$3:$AU$201,$M323)&gt;0,
     COUNTIFS($AV$3:$AV$201,$M323)&gt;0,
     COUNTIFS($AW$3:$AW$201,$M323)&gt;0
   )),
  ),
  2
 ),
"")</f>
        <v/>
      </c>
      <c r="Q323" s="3" t="str" cm="1">
        <f t="array" ref="Q323">IFERROR(
 INDEX(
  _xlfn._xlws.FILTER($T$2:$AW$2,
   TRANSPOSE(
    CHOOSE({1;2;3;4;5;6;7;8;9;10;11;12;13;14;15;16;17;18;19;20;21;22;23;24;25;26;27;28;29;30},
     COUNTIFS($T$3:$T$201,$M323)&gt;0,
     COUNTIFS($U$3:$U$201,$M323)&gt;0,
     COUNTIFS($V$3:$V$201,$M323)&gt;0,
     COUNTIFS($W$3:$W$201,$M323)&gt;0,
     COUNTIFS($X$3:$X$201,$M323)&gt;0,
     COUNTIFS($Y$3:$Y$201,$M323)&gt;0,
     COUNTIFS($Z$3:$Z$201,$M323)&gt;0,
     COUNTIFS($AA$3:$AA$201,$M323)&gt;0,
     COUNTIFS($AB$3:$AB$201,$M323)&gt;0,
     COUNTIFS($AC$3:$AC$201,$M323)&gt;0,
     COUNTIFS($AD$3:$AD$201,$M323)&gt;0,
     COUNTIFS($AE$3:$AE$201,$M323)&gt;0,
     COUNTIFS($AF$3:$AF$201,$M323)&gt;0,
     COUNTIFS($AG$3:$AG$201,$M323)&gt;0,
     COUNTIFS($AH$3:$AH$201,$M323)&gt;0,
     COUNTIFS($AI$3:$AI$201,$M323)&gt;0,
     COUNTIFS($AJ$3:$AJ$201,$M323)&gt;0,
     COUNTIFS($AK$3:$AK$201,$M323)&gt;0,
     COUNTIFS($AL$3:$AL$201,$M323)&gt;0,
     COUNTIFS($AM$3:$AM$201,$M323)&gt;0,
     COUNTIFS($AN$3:$AN$201,$M323)&gt;0,
     COUNTIFS($AO$3:$AO$201,$M323)&gt;0,
     COUNTIFS($AP$3:$AP$201,$M323)&gt;0,
     COUNTIFS($AQ$3:$AQ$201,$M323)&gt;0,
     COUNTIFS($AR$3:$AR$201,$M323)&gt;0,
     COUNTIFS($AS$3:$AS$201,$M323)&gt;0,
     COUNTIFS($AT$3:$AT$201,$M323)&gt;0,
     COUNTIFS($AU$3:$AU$201,$M323)&gt;0,
     COUNTIFS($AV$3:$AV$201,$M323)&gt;0,
     COUNTIFS($AW$3:$AW$201,$M323)&gt;0
   )),
  ),
  3
 ),
"")</f>
        <v/>
      </c>
      <c r="R323" s="3" t="str" cm="1">
        <f t="array" ref="R323">IFERROR(
 INDEX(
  _xlfn._xlws.FILTER($T$2:$AW$2,
   TRANSPOSE(
    CHOOSE({1;2;3;4;5;6;7;8;9;10;11;12;13;14;15;16;17;18;19;20;21;22;23;24;25;26;27;28;29;30},
     COUNTIFS($T$3:$T$201,$M323)&gt;0,
     COUNTIFS($U$3:$U$201,$M323)&gt;0,
     COUNTIFS($V$3:$V$201,$M323)&gt;0,
     COUNTIFS($W$3:$W$201,$M323)&gt;0,
     COUNTIFS($X$3:$X$201,$M323)&gt;0,
     COUNTIFS($Y$3:$Y$201,$M323)&gt;0,
     COUNTIFS($Z$3:$Z$201,$M323)&gt;0,
     COUNTIFS($AA$3:$AA$201,$M323)&gt;0,
     COUNTIFS($AB$3:$AB$201,$M323)&gt;0,
     COUNTIFS($AC$3:$AC$201,$M323)&gt;0,
     COUNTIFS($AD$3:$AD$201,$M323)&gt;0,
     COUNTIFS($AE$3:$AE$201,$M323)&gt;0,
     COUNTIFS($AF$3:$AF$201,$M323)&gt;0,
     COUNTIFS($AG$3:$AG$201,$M323)&gt;0,
     COUNTIFS($AH$3:$AH$201,$M323)&gt;0,
     COUNTIFS($AI$3:$AI$201,$M323)&gt;0,
     COUNTIFS($AJ$3:$AJ$201,$M323)&gt;0,
     COUNTIFS($AK$3:$AK$201,$M323)&gt;0,
     COUNTIFS($AL$3:$AL$201,$M323)&gt;0,
     COUNTIFS($AM$3:$AM$201,$M323)&gt;0,
     COUNTIFS($AN$3:$AN$201,$M323)&gt;0,
     COUNTIFS($AO$3:$AO$201,$M323)&gt;0,
     COUNTIFS($AP$3:$AP$201,$M323)&gt;0,
     COUNTIFS($AQ$3:$AQ$201,$M323)&gt;0,
     COUNTIFS($AR$3:$AR$201,$M323)&gt;0,
     COUNTIFS($AS$3:$AS$201,$M323)&gt;0,
     COUNTIFS($AT$3:$AT$201,$M323)&gt;0,
     COUNTIFS($AU$3:$AU$201,$M323)&gt;0,
     COUNTIFS($AV$3:$AV$201,$M323)&gt;0,
     COUNTIFS($AW$3:$AW$201,$M323)&gt;0
   )),
  ),
  4
 ),
"")</f>
        <v/>
      </c>
    </row>
    <row r="324" spans="1:18" x14ac:dyDescent="0.25">
      <c r="A324" t="str">
        <f ca="1"/>
        <v>Vanquisher's Banner</v>
      </c>
      <c r="B324" s="3" t="str" cm="1">
        <f t="array" aca="1" ref="B324" ca="1">_xlfn.ANCHORARRAY(RESUMO!C323)</f>
        <v>Kumena</v>
      </c>
      <c r="C324" s="3" t="str">
        <f t="shared" ca="1" si="20"/>
        <v/>
      </c>
      <c r="N324" s="3">
        <f t="shared" si="21"/>
        <v>0</v>
      </c>
      <c r="O324" s="3" t="str">
        <f>IFERROR(
 INDEX($T$2:$AW$2,
  MATCH(TRUE,
   CHOOSE({1;2;3;4;5;6;7;8;9;10;11;12;13;14;15;16;17;18;19;20;21;22;23;24;25;26;27;28;29;30;31;32},
    COUNTIFS($T$3:$T$201,$M324)&gt;0,
    COUNTIFS($U$3:$U$201,$M324)&gt;0,
    COUNTIFS($V$3:$V$201,$M324)&gt;0,
    COUNTIFS($W$3:$W$201,$M324)&gt;0,
    COUNTIFS($X$3:$X$201,$M324)&gt;0,
    COUNTIFS($Y$3:$Y$201,$M324)&gt;0,
    COUNTIFS($Z$3:$Z$201,$M324)&gt;0,
    COUNTIFS($AA$3:$AA$201,$M324)&gt;0,
    COUNTIFS($AB$3:$AB$201,$M324)&gt;0,
    COUNTIFS($AC$3:$AC$201,$M324)&gt;0,
    COUNTIFS($AD$3:$AD$201,$M324)&gt;0,
    COUNTIFS($AE$3:$AE$201,$M324)&gt;0,
    COUNTIFS($AF$3:$AF$201,$M324)&gt;0,
    COUNTIFS($AG$3:$AG$201,$M324)&gt;0,
    COUNTIFS($AH$3:$AH$201,$M324)&gt;0,
    COUNTIFS($AI$3:$AI$201,$M324)&gt;0,
    COUNTIFS($AJ$3:$AJ$201,$M324)&gt;0,
    COUNTIFS($AK$3:$AK$201,$M324)&gt;0,
    COUNTIFS($AL$3:$AL$201,$M324)&gt;0,
    COUNTIFS($AM$3:$AM$201,$M324)&gt;0,
    COUNTIFS($AN$3:$AN$201,$M324)&gt;0,
    COUNTIFS($AO$3:$AO$201,$M324)&gt;0,
    COUNTIFS($AP$3:$AP$201,$M324)&gt;0,
    COUNTIFS($AQ$3:$AQ$201,$M324)&gt;0,
    COUNTIFS($AR$3:$AR$201,$M324)&gt;0,
    COUNTIFS($AS$3:$AS$201,$M324)&gt;0,
    COUNTIFS($AT$3:$AT$201,$M324)&gt;0,
    COUNTIFS($AU$3:$AU$201,$M324)&gt;0,
    COUNTIFS($AV$3:$AV$201,$M324)&gt;0,
    COUNTIFS($AW$3:$AW$201,$M324)&gt;0
   ),
  0)
 ),
"")</f>
        <v/>
      </c>
      <c r="P324" s="3" t="str" cm="1">
        <f t="array" ref="P324">IFERROR(
 INDEX(
  _xlfn._xlws.FILTER($T$2:$AW$2,
   TRANSPOSE(
    CHOOSE({1;2;3;4;5;6;7;8;9;10;11;12;13;14;15;16;17;18;19;20;21;22;23;24;25;26;27;28;29;30},
     COUNTIFS($T$3:$T$201,$M324)&gt;0,
     COUNTIFS($U$3:$U$201,$M324)&gt;0,
     COUNTIFS($V$3:$V$201,$M324)&gt;0,
     COUNTIFS($W$3:$W$201,$M324)&gt;0,
     COUNTIFS($X$3:$X$201,$M324)&gt;0,
     COUNTIFS($Y$3:$Y$201,$M324)&gt;0,
     COUNTIFS($Z$3:$Z$201,$M324)&gt;0,
     COUNTIFS($AA$3:$AA$201,$M324)&gt;0,
     COUNTIFS($AB$3:$AB$201,$M324)&gt;0,
     COUNTIFS($AC$3:$AC$201,$M324)&gt;0,
     COUNTIFS($AD$3:$AD$201,$M324)&gt;0,
     COUNTIFS($AE$3:$AE$201,$M324)&gt;0,
     COUNTIFS($AF$3:$AF$201,$M324)&gt;0,
     COUNTIFS($AG$3:$AG$201,$M324)&gt;0,
     COUNTIFS($AH$3:$AH$201,$M324)&gt;0,
     COUNTIFS($AI$3:$AI$201,$M324)&gt;0,
     COUNTIFS($AJ$3:$AJ$201,$M324)&gt;0,
     COUNTIFS($AK$3:$AK$201,$M324)&gt;0,
     COUNTIFS($AL$3:$AL$201,$M324)&gt;0,
     COUNTIFS($AM$3:$AM$201,$M324)&gt;0,
     COUNTIFS($AN$3:$AN$201,$M324)&gt;0,
     COUNTIFS($AO$3:$AO$201,$M324)&gt;0,
     COUNTIFS($AP$3:$AP$201,$M324)&gt;0,
     COUNTIFS($AQ$3:$AQ$201,$M324)&gt;0,
     COUNTIFS($AR$3:$AR$201,$M324)&gt;0,
     COUNTIFS($AS$3:$AS$201,$M324)&gt;0,
     COUNTIFS($AT$3:$AT$201,$M324)&gt;0,
     COUNTIFS($AU$3:$AU$201,$M324)&gt;0,
     COUNTIFS($AV$3:$AV$201,$M324)&gt;0,
     COUNTIFS($AW$3:$AW$201,$M324)&gt;0
   )),
  ),
  2
 ),
"")</f>
        <v/>
      </c>
      <c r="Q324" s="3" t="str" cm="1">
        <f t="array" ref="Q324">IFERROR(
 INDEX(
  _xlfn._xlws.FILTER($T$2:$AW$2,
   TRANSPOSE(
    CHOOSE({1;2;3;4;5;6;7;8;9;10;11;12;13;14;15;16;17;18;19;20;21;22;23;24;25;26;27;28;29;30},
     COUNTIFS($T$3:$T$201,$M324)&gt;0,
     COUNTIFS($U$3:$U$201,$M324)&gt;0,
     COUNTIFS($V$3:$V$201,$M324)&gt;0,
     COUNTIFS($W$3:$W$201,$M324)&gt;0,
     COUNTIFS($X$3:$X$201,$M324)&gt;0,
     COUNTIFS($Y$3:$Y$201,$M324)&gt;0,
     COUNTIFS($Z$3:$Z$201,$M324)&gt;0,
     COUNTIFS($AA$3:$AA$201,$M324)&gt;0,
     COUNTIFS($AB$3:$AB$201,$M324)&gt;0,
     COUNTIFS($AC$3:$AC$201,$M324)&gt;0,
     COUNTIFS($AD$3:$AD$201,$M324)&gt;0,
     COUNTIFS($AE$3:$AE$201,$M324)&gt;0,
     COUNTIFS($AF$3:$AF$201,$M324)&gt;0,
     COUNTIFS($AG$3:$AG$201,$M324)&gt;0,
     COUNTIFS($AH$3:$AH$201,$M324)&gt;0,
     COUNTIFS($AI$3:$AI$201,$M324)&gt;0,
     COUNTIFS($AJ$3:$AJ$201,$M324)&gt;0,
     COUNTIFS($AK$3:$AK$201,$M324)&gt;0,
     COUNTIFS($AL$3:$AL$201,$M324)&gt;0,
     COUNTIFS($AM$3:$AM$201,$M324)&gt;0,
     COUNTIFS($AN$3:$AN$201,$M324)&gt;0,
     COUNTIFS($AO$3:$AO$201,$M324)&gt;0,
     COUNTIFS($AP$3:$AP$201,$M324)&gt;0,
     COUNTIFS($AQ$3:$AQ$201,$M324)&gt;0,
     COUNTIFS($AR$3:$AR$201,$M324)&gt;0,
     COUNTIFS($AS$3:$AS$201,$M324)&gt;0,
     COUNTIFS($AT$3:$AT$201,$M324)&gt;0,
     COUNTIFS($AU$3:$AU$201,$M324)&gt;0,
     COUNTIFS($AV$3:$AV$201,$M324)&gt;0,
     COUNTIFS($AW$3:$AW$201,$M324)&gt;0
   )),
  ),
  3
 ),
"")</f>
        <v/>
      </c>
      <c r="R324" s="3" t="str" cm="1">
        <f t="array" ref="R324">IFERROR(
 INDEX(
  _xlfn._xlws.FILTER($T$2:$AW$2,
   TRANSPOSE(
    CHOOSE({1;2;3;4;5;6;7;8;9;10;11;12;13;14;15;16;17;18;19;20;21;22;23;24;25;26;27;28;29;30},
     COUNTIFS($T$3:$T$201,$M324)&gt;0,
     COUNTIFS($U$3:$U$201,$M324)&gt;0,
     COUNTIFS($V$3:$V$201,$M324)&gt;0,
     COUNTIFS($W$3:$W$201,$M324)&gt;0,
     COUNTIFS($X$3:$X$201,$M324)&gt;0,
     COUNTIFS($Y$3:$Y$201,$M324)&gt;0,
     COUNTIFS($Z$3:$Z$201,$M324)&gt;0,
     COUNTIFS($AA$3:$AA$201,$M324)&gt;0,
     COUNTIFS($AB$3:$AB$201,$M324)&gt;0,
     COUNTIFS($AC$3:$AC$201,$M324)&gt;0,
     COUNTIFS($AD$3:$AD$201,$M324)&gt;0,
     COUNTIFS($AE$3:$AE$201,$M324)&gt;0,
     COUNTIFS($AF$3:$AF$201,$M324)&gt;0,
     COUNTIFS($AG$3:$AG$201,$M324)&gt;0,
     COUNTIFS($AH$3:$AH$201,$M324)&gt;0,
     COUNTIFS($AI$3:$AI$201,$M324)&gt;0,
     COUNTIFS($AJ$3:$AJ$201,$M324)&gt;0,
     COUNTIFS($AK$3:$AK$201,$M324)&gt;0,
     COUNTIFS($AL$3:$AL$201,$M324)&gt;0,
     COUNTIFS($AM$3:$AM$201,$M324)&gt;0,
     COUNTIFS($AN$3:$AN$201,$M324)&gt;0,
     COUNTIFS($AO$3:$AO$201,$M324)&gt;0,
     COUNTIFS($AP$3:$AP$201,$M324)&gt;0,
     COUNTIFS($AQ$3:$AQ$201,$M324)&gt;0,
     COUNTIFS($AR$3:$AR$201,$M324)&gt;0,
     COUNTIFS($AS$3:$AS$201,$M324)&gt;0,
     COUNTIFS($AT$3:$AT$201,$M324)&gt;0,
     COUNTIFS($AU$3:$AU$201,$M324)&gt;0,
     COUNTIFS($AV$3:$AV$201,$M324)&gt;0,
     COUNTIFS($AW$3:$AW$201,$M324)&gt;0
   )),
  ),
  4
 ),
"")</f>
        <v/>
      </c>
    </row>
    <row r="325" spans="1:18" x14ac:dyDescent="0.25">
      <c r="A325" t="str">
        <f ca="1"/>
        <v>Vault of the Archangel</v>
      </c>
      <c r="B325" s="3" t="str" cm="1">
        <f t="array" aca="1" ref="B325" ca="1">_xlfn.ANCHORARRAY(RESUMO!C324)</f>
        <v>Carlos</v>
      </c>
      <c r="C325" s="3" t="str">
        <f t="shared" ca="1" si="20"/>
        <v/>
      </c>
      <c r="N325" s="3">
        <f t="shared" si="21"/>
        <v>0</v>
      </c>
      <c r="O325" s="3" t="str">
        <f>IFERROR(
 INDEX($T$2:$AW$2,
  MATCH(TRUE,
   CHOOSE({1;2;3;4;5;6;7;8;9;10;11;12;13;14;15;16;17;18;19;20;21;22;23;24;25;26;27;28;29;30;31;32},
    COUNTIFS($T$3:$T$201,$M325)&gt;0,
    COUNTIFS($U$3:$U$201,$M325)&gt;0,
    COUNTIFS($V$3:$V$201,$M325)&gt;0,
    COUNTIFS($W$3:$W$201,$M325)&gt;0,
    COUNTIFS($X$3:$X$201,$M325)&gt;0,
    COUNTIFS($Y$3:$Y$201,$M325)&gt;0,
    COUNTIFS($Z$3:$Z$201,$M325)&gt;0,
    COUNTIFS($AA$3:$AA$201,$M325)&gt;0,
    COUNTIFS($AB$3:$AB$201,$M325)&gt;0,
    COUNTIFS($AC$3:$AC$201,$M325)&gt;0,
    COUNTIFS($AD$3:$AD$201,$M325)&gt;0,
    COUNTIFS($AE$3:$AE$201,$M325)&gt;0,
    COUNTIFS($AF$3:$AF$201,$M325)&gt;0,
    COUNTIFS($AG$3:$AG$201,$M325)&gt;0,
    COUNTIFS($AH$3:$AH$201,$M325)&gt;0,
    COUNTIFS($AI$3:$AI$201,$M325)&gt;0,
    COUNTIFS($AJ$3:$AJ$201,$M325)&gt;0,
    COUNTIFS($AK$3:$AK$201,$M325)&gt;0,
    COUNTIFS($AL$3:$AL$201,$M325)&gt;0,
    COUNTIFS($AM$3:$AM$201,$M325)&gt;0,
    COUNTIFS($AN$3:$AN$201,$M325)&gt;0,
    COUNTIFS($AO$3:$AO$201,$M325)&gt;0,
    COUNTIFS($AP$3:$AP$201,$M325)&gt;0,
    COUNTIFS($AQ$3:$AQ$201,$M325)&gt;0,
    COUNTIFS($AR$3:$AR$201,$M325)&gt;0,
    COUNTIFS($AS$3:$AS$201,$M325)&gt;0,
    COUNTIFS($AT$3:$AT$201,$M325)&gt;0,
    COUNTIFS($AU$3:$AU$201,$M325)&gt;0,
    COUNTIFS($AV$3:$AV$201,$M325)&gt;0,
    COUNTIFS($AW$3:$AW$201,$M325)&gt;0
   ),
  0)
 ),
"")</f>
        <v/>
      </c>
      <c r="P325" s="3" t="str" cm="1">
        <f t="array" ref="P325">IFERROR(
 INDEX(
  _xlfn._xlws.FILTER($T$2:$AW$2,
   TRANSPOSE(
    CHOOSE({1;2;3;4;5;6;7;8;9;10;11;12;13;14;15;16;17;18;19;20;21;22;23;24;25;26;27;28;29;30},
     COUNTIFS($T$3:$T$201,$M325)&gt;0,
     COUNTIFS($U$3:$U$201,$M325)&gt;0,
     COUNTIFS($V$3:$V$201,$M325)&gt;0,
     COUNTIFS($W$3:$W$201,$M325)&gt;0,
     COUNTIFS($X$3:$X$201,$M325)&gt;0,
     COUNTIFS($Y$3:$Y$201,$M325)&gt;0,
     COUNTIFS($Z$3:$Z$201,$M325)&gt;0,
     COUNTIFS($AA$3:$AA$201,$M325)&gt;0,
     COUNTIFS($AB$3:$AB$201,$M325)&gt;0,
     COUNTIFS($AC$3:$AC$201,$M325)&gt;0,
     COUNTIFS($AD$3:$AD$201,$M325)&gt;0,
     COUNTIFS($AE$3:$AE$201,$M325)&gt;0,
     COUNTIFS($AF$3:$AF$201,$M325)&gt;0,
     COUNTIFS($AG$3:$AG$201,$M325)&gt;0,
     COUNTIFS($AH$3:$AH$201,$M325)&gt;0,
     COUNTIFS($AI$3:$AI$201,$M325)&gt;0,
     COUNTIFS($AJ$3:$AJ$201,$M325)&gt;0,
     COUNTIFS($AK$3:$AK$201,$M325)&gt;0,
     COUNTIFS($AL$3:$AL$201,$M325)&gt;0,
     COUNTIFS($AM$3:$AM$201,$M325)&gt;0,
     COUNTIFS($AN$3:$AN$201,$M325)&gt;0,
     COUNTIFS($AO$3:$AO$201,$M325)&gt;0,
     COUNTIFS($AP$3:$AP$201,$M325)&gt;0,
     COUNTIFS($AQ$3:$AQ$201,$M325)&gt;0,
     COUNTIFS($AR$3:$AR$201,$M325)&gt;0,
     COUNTIFS($AS$3:$AS$201,$M325)&gt;0,
     COUNTIFS($AT$3:$AT$201,$M325)&gt;0,
     COUNTIFS($AU$3:$AU$201,$M325)&gt;0,
     COUNTIFS($AV$3:$AV$201,$M325)&gt;0,
     COUNTIFS($AW$3:$AW$201,$M325)&gt;0
   )),
  ),
  2
 ),
"")</f>
        <v/>
      </c>
      <c r="Q325" s="3" t="str" cm="1">
        <f t="array" ref="Q325">IFERROR(
 INDEX(
  _xlfn._xlws.FILTER($T$2:$AW$2,
   TRANSPOSE(
    CHOOSE({1;2;3;4;5;6;7;8;9;10;11;12;13;14;15;16;17;18;19;20;21;22;23;24;25;26;27;28;29;30},
     COUNTIFS($T$3:$T$201,$M325)&gt;0,
     COUNTIFS($U$3:$U$201,$M325)&gt;0,
     COUNTIFS($V$3:$V$201,$M325)&gt;0,
     COUNTIFS($W$3:$W$201,$M325)&gt;0,
     COUNTIFS($X$3:$X$201,$M325)&gt;0,
     COUNTIFS($Y$3:$Y$201,$M325)&gt;0,
     COUNTIFS($Z$3:$Z$201,$M325)&gt;0,
     COUNTIFS($AA$3:$AA$201,$M325)&gt;0,
     COUNTIFS($AB$3:$AB$201,$M325)&gt;0,
     COUNTIFS($AC$3:$AC$201,$M325)&gt;0,
     COUNTIFS($AD$3:$AD$201,$M325)&gt;0,
     COUNTIFS($AE$3:$AE$201,$M325)&gt;0,
     COUNTIFS($AF$3:$AF$201,$M325)&gt;0,
     COUNTIFS($AG$3:$AG$201,$M325)&gt;0,
     COUNTIFS($AH$3:$AH$201,$M325)&gt;0,
     COUNTIFS($AI$3:$AI$201,$M325)&gt;0,
     COUNTIFS($AJ$3:$AJ$201,$M325)&gt;0,
     COUNTIFS($AK$3:$AK$201,$M325)&gt;0,
     COUNTIFS($AL$3:$AL$201,$M325)&gt;0,
     COUNTIFS($AM$3:$AM$201,$M325)&gt;0,
     COUNTIFS($AN$3:$AN$201,$M325)&gt;0,
     COUNTIFS($AO$3:$AO$201,$M325)&gt;0,
     COUNTIFS($AP$3:$AP$201,$M325)&gt;0,
     COUNTIFS($AQ$3:$AQ$201,$M325)&gt;0,
     COUNTIFS($AR$3:$AR$201,$M325)&gt;0,
     COUNTIFS($AS$3:$AS$201,$M325)&gt;0,
     COUNTIFS($AT$3:$AT$201,$M325)&gt;0,
     COUNTIFS($AU$3:$AU$201,$M325)&gt;0,
     COUNTIFS($AV$3:$AV$201,$M325)&gt;0,
     COUNTIFS($AW$3:$AW$201,$M325)&gt;0
   )),
  ),
  3
 ),
"")</f>
        <v/>
      </c>
      <c r="R325" s="3" t="str" cm="1">
        <f t="array" ref="R325">IFERROR(
 INDEX(
  _xlfn._xlws.FILTER($T$2:$AW$2,
   TRANSPOSE(
    CHOOSE({1;2;3;4;5;6;7;8;9;10;11;12;13;14;15;16;17;18;19;20;21;22;23;24;25;26;27;28;29;30},
     COUNTIFS($T$3:$T$201,$M325)&gt;0,
     COUNTIFS($U$3:$U$201,$M325)&gt;0,
     COUNTIFS($V$3:$V$201,$M325)&gt;0,
     COUNTIFS($W$3:$W$201,$M325)&gt;0,
     COUNTIFS($X$3:$X$201,$M325)&gt;0,
     COUNTIFS($Y$3:$Y$201,$M325)&gt;0,
     COUNTIFS($Z$3:$Z$201,$M325)&gt;0,
     COUNTIFS($AA$3:$AA$201,$M325)&gt;0,
     COUNTIFS($AB$3:$AB$201,$M325)&gt;0,
     COUNTIFS($AC$3:$AC$201,$M325)&gt;0,
     COUNTIFS($AD$3:$AD$201,$M325)&gt;0,
     COUNTIFS($AE$3:$AE$201,$M325)&gt;0,
     COUNTIFS($AF$3:$AF$201,$M325)&gt;0,
     COUNTIFS($AG$3:$AG$201,$M325)&gt;0,
     COUNTIFS($AH$3:$AH$201,$M325)&gt;0,
     COUNTIFS($AI$3:$AI$201,$M325)&gt;0,
     COUNTIFS($AJ$3:$AJ$201,$M325)&gt;0,
     COUNTIFS($AK$3:$AK$201,$M325)&gt;0,
     COUNTIFS($AL$3:$AL$201,$M325)&gt;0,
     COUNTIFS($AM$3:$AM$201,$M325)&gt;0,
     COUNTIFS($AN$3:$AN$201,$M325)&gt;0,
     COUNTIFS($AO$3:$AO$201,$M325)&gt;0,
     COUNTIFS($AP$3:$AP$201,$M325)&gt;0,
     COUNTIFS($AQ$3:$AQ$201,$M325)&gt;0,
     COUNTIFS($AR$3:$AR$201,$M325)&gt;0,
     COUNTIFS($AS$3:$AS$201,$M325)&gt;0,
     COUNTIFS($AT$3:$AT$201,$M325)&gt;0,
     COUNTIFS($AU$3:$AU$201,$M325)&gt;0,
     COUNTIFS($AV$3:$AV$201,$M325)&gt;0,
     COUNTIFS($AW$3:$AW$201,$M325)&gt;0
   )),
  ),
  4
 ),
"")</f>
        <v/>
      </c>
    </row>
    <row r="326" spans="1:18" x14ac:dyDescent="0.25">
      <c r="A326" t="str">
        <f ca="1"/>
        <v>Vexing Puzzlebox</v>
      </c>
      <c r="B326" s="3" t="str" cm="1">
        <f t="array" aca="1" ref="B326" ca="1">_xlfn.ANCHORARRAY(RESUMO!C325)</f>
        <v>Muzzio</v>
      </c>
      <c r="C326" s="3" t="str">
        <f t="shared" ca="1" si="20"/>
        <v/>
      </c>
      <c r="N326" s="3">
        <f t="shared" si="21"/>
        <v>0</v>
      </c>
      <c r="O326" s="3" t="str">
        <f>IFERROR(
 INDEX($T$2:$AW$2,
  MATCH(TRUE,
   CHOOSE({1;2;3;4;5;6;7;8;9;10;11;12;13;14;15;16;17;18;19;20;21;22;23;24;25;26;27;28;29;30;31;32},
    COUNTIFS($T$3:$T$201,$M326)&gt;0,
    COUNTIFS($U$3:$U$201,$M326)&gt;0,
    COUNTIFS($V$3:$V$201,$M326)&gt;0,
    COUNTIFS($W$3:$W$201,$M326)&gt;0,
    COUNTIFS($X$3:$X$201,$M326)&gt;0,
    COUNTIFS($Y$3:$Y$201,$M326)&gt;0,
    COUNTIFS($Z$3:$Z$201,$M326)&gt;0,
    COUNTIFS($AA$3:$AA$201,$M326)&gt;0,
    COUNTIFS($AB$3:$AB$201,$M326)&gt;0,
    COUNTIFS($AC$3:$AC$201,$M326)&gt;0,
    COUNTIFS($AD$3:$AD$201,$M326)&gt;0,
    COUNTIFS($AE$3:$AE$201,$M326)&gt;0,
    COUNTIFS($AF$3:$AF$201,$M326)&gt;0,
    COUNTIFS($AG$3:$AG$201,$M326)&gt;0,
    COUNTIFS($AH$3:$AH$201,$M326)&gt;0,
    COUNTIFS($AI$3:$AI$201,$M326)&gt;0,
    COUNTIFS($AJ$3:$AJ$201,$M326)&gt;0,
    COUNTIFS($AK$3:$AK$201,$M326)&gt;0,
    COUNTIFS($AL$3:$AL$201,$M326)&gt;0,
    COUNTIFS($AM$3:$AM$201,$M326)&gt;0,
    COUNTIFS($AN$3:$AN$201,$M326)&gt;0,
    COUNTIFS($AO$3:$AO$201,$M326)&gt;0,
    COUNTIFS($AP$3:$AP$201,$M326)&gt;0,
    COUNTIFS($AQ$3:$AQ$201,$M326)&gt;0,
    COUNTIFS($AR$3:$AR$201,$M326)&gt;0,
    COUNTIFS($AS$3:$AS$201,$M326)&gt;0,
    COUNTIFS($AT$3:$AT$201,$M326)&gt;0,
    COUNTIFS($AU$3:$AU$201,$M326)&gt;0,
    COUNTIFS($AV$3:$AV$201,$M326)&gt;0,
    COUNTIFS($AW$3:$AW$201,$M326)&gt;0
   ),
  0)
 ),
"")</f>
        <v/>
      </c>
      <c r="P326" s="3" t="str" cm="1">
        <f t="array" ref="P326">IFERROR(
 INDEX(
  _xlfn._xlws.FILTER($T$2:$AW$2,
   TRANSPOSE(
    CHOOSE({1;2;3;4;5;6;7;8;9;10;11;12;13;14;15;16;17;18;19;20;21;22;23;24;25;26;27;28;29;30},
     COUNTIFS($T$3:$T$201,$M326)&gt;0,
     COUNTIFS($U$3:$U$201,$M326)&gt;0,
     COUNTIFS($V$3:$V$201,$M326)&gt;0,
     COUNTIFS($W$3:$W$201,$M326)&gt;0,
     COUNTIFS($X$3:$X$201,$M326)&gt;0,
     COUNTIFS($Y$3:$Y$201,$M326)&gt;0,
     COUNTIFS($Z$3:$Z$201,$M326)&gt;0,
     COUNTIFS($AA$3:$AA$201,$M326)&gt;0,
     COUNTIFS($AB$3:$AB$201,$M326)&gt;0,
     COUNTIFS($AC$3:$AC$201,$M326)&gt;0,
     COUNTIFS($AD$3:$AD$201,$M326)&gt;0,
     COUNTIFS($AE$3:$AE$201,$M326)&gt;0,
     COUNTIFS($AF$3:$AF$201,$M326)&gt;0,
     COUNTIFS($AG$3:$AG$201,$M326)&gt;0,
     COUNTIFS($AH$3:$AH$201,$M326)&gt;0,
     COUNTIFS($AI$3:$AI$201,$M326)&gt;0,
     COUNTIFS($AJ$3:$AJ$201,$M326)&gt;0,
     COUNTIFS($AK$3:$AK$201,$M326)&gt;0,
     COUNTIFS($AL$3:$AL$201,$M326)&gt;0,
     COUNTIFS($AM$3:$AM$201,$M326)&gt;0,
     COUNTIFS($AN$3:$AN$201,$M326)&gt;0,
     COUNTIFS($AO$3:$AO$201,$M326)&gt;0,
     COUNTIFS($AP$3:$AP$201,$M326)&gt;0,
     COUNTIFS($AQ$3:$AQ$201,$M326)&gt;0,
     COUNTIFS($AR$3:$AR$201,$M326)&gt;0,
     COUNTIFS($AS$3:$AS$201,$M326)&gt;0,
     COUNTIFS($AT$3:$AT$201,$M326)&gt;0,
     COUNTIFS($AU$3:$AU$201,$M326)&gt;0,
     COUNTIFS($AV$3:$AV$201,$M326)&gt;0,
     COUNTIFS($AW$3:$AW$201,$M326)&gt;0
   )),
  ),
  2
 ),
"")</f>
        <v/>
      </c>
      <c r="Q326" s="3" t="str" cm="1">
        <f t="array" ref="Q326">IFERROR(
 INDEX(
  _xlfn._xlws.FILTER($T$2:$AW$2,
   TRANSPOSE(
    CHOOSE({1;2;3;4;5;6;7;8;9;10;11;12;13;14;15;16;17;18;19;20;21;22;23;24;25;26;27;28;29;30},
     COUNTIFS($T$3:$T$201,$M326)&gt;0,
     COUNTIFS($U$3:$U$201,$M326)&gt;0,
     COUNTIFS($V$3:$V$201,$M326)&gt;0,
     COUNTIFS($W$3:$W$201,$M326)&gt;0,
     COUNTIFS($X$3:$X$201,$M326)&gt;0,
     COUNTIFS($Y$3:$Y$201,$M326)&gt;0,
     COUNTIFS($Z$3:$Z$201,$M326)&gt;0,
     COUNTIFS($AA$3:$AA$201,$M326)&gt;0,
     COUNTIFS($AB$3:$AB$201,$M326)&gt;0,
     COUNTIFS($AC$3:$AC$201,$M326)&gt;0,
     COUNTIFS($AD$3:$AD$201,$M326)&gt;0,
     COUNTIFS($AE$3:$AE$201,$M326)&gt;0,
     COUNTIFS($AF$3:$AF$201,$M326)&gt;0,
     COUNTIFS($AG$3:$AG$201,$M326)&gt;0,
     COUNTIFS($AH$3:$AH$201,$M326)&gt;0,
     COUNTIFS($AI$3:$AI$201,$M326)&gt;0,
     COUNTIFS($AJ$3:$AJ$201,$M326)&gt;0,
     COUNTIFS($AK$3:$AK$201,$M326)&gt;0,
     COUNTIFS($AL$3:$AL$201,$M326)&gt;0,
     COUNTIFS($AM$3:$AM$201,$M326)&gt;0,
     COUNTIFS($AN$3:$AN$201,$M326)&gt;0,
     COUNTIFS($AO$3:$AO$201,$M326)&gt;0,
     COUNTIFS($AP$3:$AP$201,$M326)&gt;0,
     COUNTIFS($AQ$3:$AQ$201,$M326)&gt;0,
     COUNTIFS($AR$3:$AR$201,$M326)&gt;0,
     COUNTIFS($AS$3:$AS$201,$M326)&gt;0,
     COUNTIFS($AT$3:$AT$201,$M326)&gt;0,
     COUNTIFS($AU$3:$AU$201,$M326)&gt;0,
     COUNTIFS($AV$3:$AV$201,$M326)&gt;0,
     COUNTIFS($AW$3:$AW$201,$M326)&gt;0
   )),
  ),
  3
 ),
"")</f>
        <v/>
      </c>
      <c r="R326" s="3" t="str" cm="1">
        <f t="array" ref="R326">IFERROR(
 INDEX(
  _xlfn._xlws.FILTER($T$2:$AW$2,
   TRANSPOSE(
    CHOOSE({1;2;3;4;5;6;7;8;9;10;11;12;13;14;15;16;17;18;19;20;21;22;23;24;25;26;27;28;29;30},
     COUNTIFS($T$3:$T$201,$M326)&gt;0,
     COUNTIFS($U$3:$U$201,$M326)&gt;0,
     COUNTIFS($V$3:$V$201,$M326)&gt;0,
     COUNTIFS($W$3:$W$201,$M326)&gt;0,
     COUNTIFS($X$3:$X$201,$M326)&gt;0,
     COUNTIFS($Y$3:$Y$201,$M326)&gt;0,
     COUNTIFS($Z$3:$Z$201,$M326)&gt;0,
     COUNTIFS($AA$3:$AA$201,$M326)&gt;0,
     COUNTIFS($AB$3:$AB$201,$M326)&gt;0,
     COUNTIFS($AC$3:$AC$201,$M326)&gt;0,
     COUNTIFS($AD$3:$AD$201,$M326)&gt;0,
     COUNTIFS($AE$3:$AE$201,$M326)&gt;0,
     COUNTIFS($AF$3:$AF$201,$M326)&gt;0,
     COUNTIFS($AG$3:$AG$201,$M326)&gt;0,
     COUNTIFS($AH$3:$AH$201,$M326)&gt;0,
     COUNTIFS($AI$3:$AI$201,$M326)&gt;0,
     COUNTIFS($AJ$3:$AJ$201,$M326)&gt;0,
     COUNTIFS($AK$3:$AK$201,$M326)&gt;0,
     COUNTIFS($AL$3:$AL$201,$M326)&gt;0,
     COUNTIFS($AM$3:$AM$201,$M326)&gt;0,
     COUNTIFS($AN$3:$AN$201,$M326)&gt;0,
     COUNTIFS($AO$3:$AO$201,$M326)&gt;0,
     COUNTIFS($AP$3:$AP$201,$M326)&gt;0,
     COUNTIFS($AQ$3:$AQ$201,$M326)&gt;0,
     COUNTIFS($AR$3:$AR$201,$M326)&gt;0,
     COUNTIFS($AS$3:$AS$201,$M326)&gt;0,
     COUNTIFS($AT$3:$AT$201,$M326)&gt;0,
     COUNTIFS($AU$3:$AU$201,$M326)&gt;0,
     COUNTIFS($AV$3:$AV$201,$M326)&gt;0,
     COUNTIFS($AW$3:$AW$201,$M326)&gt;0
   )),
  ),
  4
 ),
"")</f>
        <v/>
      </c>
    </row>
    <row r="327" spans="1:18" x14ac:dyDescent="0.25">
      <c r="A327" t="str">
        <f ca="1"/>
        <v>Virtue of Loyalty // Ardenvale Fealty</v>
      </c>
      <c r="B327" s="3" t="str" cm="1">
        <f t="array" aca="1" ref="B327" ca="1">_xlfn.ANCHORARRAY(RESUMO!C326)</f>
        <v>Baylen</v>
      </c>
      <c r="C327" s="3" t="str">
        <f t="shared" ca="1" si="20"/>
        <v/>
      </c>
      <c r="N327" s="3">
        <f t="shared" si="21"/>
        <v>0</v>
      </c>
      <c r="O327" s="3" t="str">
        <f>IFERROR(
 INDEX($T$2:$AW$2,
  MATCH(TRUE,
   CHOOSE({1;2;3;4;5;6;7;8;9;10;11;12;13;14;15;16;17;18;19;20;21;22;23;24;25;26;27;28;29;30;31;32},
    COUNTIFS($T$3:$T$201,$M327)&gt;0,
    COUNTIFS($U$3:$U$201,$M327)&gt;0,
    COUNTIFS($V$3:$V$201,$M327)&gt;0,
    COUNTIFS($W$3:$W$201,$M327)&gt;0,
    COUNTIFS($X$3:$X$201,$M327)&gt;0,
    COUNTIFS($Y$3:$Y$201,$M327)&gt;0,
    COUNTIFS($Z$3:$Z$201,$M327)&gt;0,
    COUNTIFS($AA$3:$AA$201,$M327)&gt;0,
    COUNTIFS($AB$3:$AB$201,$M327)&gt;0,
    COUNTIFS($AC$3:$AC$201,$M327)&gt;0,
    COUNTIFS($AD$3:$AD$201,$M327)&gt;0,
    COUNTIFS($AE$3:$AE$201,$M327)&gt;0,
    COUNTIFS($AF$3:$AF$201,$M327)&gt;0,
    COUNTIFS($AG$3:$AG$201,$M327)&gt;0,
    COUNTIFS($AH$3:$AH$201,$M327)&gt;0,
    COUNTIFS($AI$3:$AI$201,$M327)&gt;0,
    COUNTIFS($AJ$3:$AJ$201,$M327)&gt;0,
    COUNTIFS($AK$3:$AK$201,$M327)&gt;0,
    COUNTIFS($AL$3:$AL$201,$M327)&gt;0,
    COUNTIFS($AM$3:$AM$201,$M327)&gt;0,
    COUNTIFS($AN$3:$AN$201,$M327)&gt;0,
    COUNTIFS($AO$3:$AO$201,$M327)&gt;0,
    COUNTIFS($AP$3:$AP$201,$M327)&gt;0,
    COUNTIFS($AQ$3:$AQ$201,$M327)&gt;0,
    COUNTIFS($AR$3:$AR$201,$M327)&gt;0,
    COUNTIFS($AS$3:$AS$201,$M327)&gt;0,
    COUNTIFS($AT$3:$AT$201,$M327)&gt;0,
    COUNTIFS($AU$3:$AU$201,$M327)&gt;0,
    COUNTIFS($AV$3:$AV$201,$M327)&gt;0,
    COUNTIFS($AW$3:$AW$201,$M327)&gt;0
   ),
  0)
 ),
"")</f>
        <v/>
      </c>
      <c r="P327" s="3" t="str" cm="1">
        <f t="array" ref="P327">IFERROR(
 INDEX(
  _xlfn._xlws.FILTER($T$2:$AW$2,
   TRANSPOSE(
    CHOOSE({1;2;3;4;5;6;7;8;9;10;11;12;13;14;15;16;17;18;19;20;21;22;23;24;25;26;27;28;29;30},
     COUNTIFS($T$3:$T$201,$M327)&gt;0,
     COUNTIFS($U$3:$U$201,$M327)&gt;0,
     COUNTIFS($V$3:$V$201,$M327)&gt;0,
     COUNTIFS($W$3:$W$201,$M327)&gt;0,
     COUNTIFS($X$3:$X$201,$M327)&gt;0,
     COUNTIFS($Y$3:$Y$201,$M327)&gt;0,
     COUNTIFS($Z$3:$Z$201,$M327)&gt;0,
     COUNTIFS($AA$3:$AA$201,$M327)&gt;0,
     COUNTIFS($AB$3:$AB$201,$M327)&gt;0,
     COUNTIFS($AC$3:$AC$201,$M327)&gt;0,
     COUNTIFS($AD$3:$AD$201,$M327)&gt;0,
     COUNTIFS($AE$3:$AE$201,$M327)&gt;0,
     COUNTIFS($AF$3:$AF$201,$M327)&gt;0,
     COUNTIFS($AG$3:$AG$201,$M327)&gt;0,
     COUNTIFS($AH$3:$AH$201,$M327)&gt;0,
     COUNTIFS($AI$3:$AI$201,$M327)&gt;0,
     COUNTIFS($AJ$3:$AJ$201,$M327)&gt;0,
     COUNTIFS($AK$3:$AK$201,$M327)&gt;0,
     COUNTIFS($AL$3:$AL$201,$M327)&gt;0,
     COUNTIFS($AM$3:$AM$201,$M327)&gt;0,
     COUNTIFS($AN$3:$AN$201,$M327)&gt;0,
     COUNTIFS($AO$3:$AO$201,$M327)&gt;0,
     COUNTIFS($AP$3:$AP$201,$M327)&gt;0,
     COUNTIFS($AQ$3:$AQ$201,$M327)&gt;0,
     COUNTIFS($AR$3:$AR$201,$M327)&gt;0,
     COUNTIFS($AS$3:$AS$201,$M327)&gt;0,
     COUNTIFS($AT$3:$AT$201,$M327)&gt;0,
     COUNTIFS($AU$3:$AU$201,$M327)&gt;0,
     COUNTIFS($AV$3:$AV$201,$M327)&gt;0,
     COUNTIFS($AW$3:$AW$201,$M327)&gt;0
   )),
  ),
  2
 ),
"")</f>
        <v/>
      </c>
      <c r="Q327" s="3" t="str" cm="1">
        <f t="array" ref="Q327">IFERROR(
 INDEX(
  _xlfn._xlws.FILTER($T$2:$AW$2,
   TRANSPOSE(
    CHOOSE({1;2;3;4;5;6;7;8;9;10;11;12;13;14;15;16;17;18;19;20;21;22;23;24;25;26;27;28;29;30},
     COUNTIFS($T$3:$T$201,$M327)&gt;0,
     COUNTIFS($U$3:$U$201,$M327)&gt;0,
     COUNTIFS($V$3:$V$201,$M327)&gt;0,
     COUNTIFS($W$3:$W$201,$M327)&gt;0,
     COUNTIFS($X$3:$X$201,$M327)&gt;0,
     COUNTIFS($Y$3:$Y$201,$M327)&gt;0,
     COUNTIFS($Z$3:$Z$201,$M327)&gt;0,
     COUNTIFS($AA$3:$AA$201,$M327)&gt;0,
     COUNTIFS($AB$3:$AB$201,$M327)&gt;0,
     COUNTIFS($AC$3:$AC$201,$M327)&gt;0,
     COUNTIFS($AD$3:$AD$201,$M327)&gt;0,
     COUNTIFS($AE$3:$AE$201,$M327)&gt;0,
     COUNTIFS($AF$3:$AF$201,$M327)&gt;0,
     COUNTIFS($AG$3:$AG$201,$M327)&gt;0,
     COUNTIFS($AH$3:$AH$201,$M327)&gt;0,
     COUNTIFS($AI$3:$AI$201,$M327)&gt;0,
     COUNTIFS($AJ$3:$AJ$201,$M327)&gt;0,
     COUNTIFS($AK$3:$AK$201,$M327)&gt;0,
     COUNTIFS($AL$3:$AL$201,$M327)&gt;0,
     COUNTIFS($AM$3:$AM$201,$M327)&gt;0,
     COUNTIFS($AN$3:$AN$201,$M327)&gt;0,
     COUNTIFS($AO$3:$AO$201,$M327)&gt;0,
     COUNTIFS($AP$3:$AP$201,$M327)&gt;0,
     COUNTIFS($AQ$3:$AQ$201,$M327)&gt;0,
     COUNTIFS($AR$3:$AR$201,$M327)&gt;0,
     COUNTIFS($AS$3:$AS$201,$M327)&gt;0,
     COUNTIFS($AT$3:$AT$201,$M327)&gt;0,
     COUNTIFS($AU$3:$AU$201,$M327)&gt;0,
     COUNTIFS($AV$3:$AV$201,$M327)&gt;0,
     COUNTIFS($AW$3:$AW$201,$M327)&gt;0
   )),
  ),
  3
 ),
"")</f>
        <v/>
      </c>
      <c r="R327" s="3" t="str" cm="1">
        <f t="array" ref="R327">IFERROR(
 INDEX(
  _xlfn._xlws.FILTER($T$2:$AW$2,
   TRANSPOSE(
    CHOOSE({1;2;3;4;5;6;7;8;9;10;11;12;13;14;15;16;17;18;19;20;21;22;23;24;25;26;27;28;29;30},
     COUNTIFS($T$3:$T$201,$M327)&gt;0,
     COUNTIFS($U$3:$U$201,$M327)&gt;0,
     COUNTIFS($V$3:$V$201,$M327)&gt;0,
     COUNTIFS($W$3:$W$201,$M327)&gt;0,
     COUNTIFS($X$3:$X$201,$M327)&gt;0,
     COUNTIFS($Y$3:$Y$201,$M327)&gt;0,
     COUNTIFS($Z$3:$Z$201,$M327)&gt;0,
     COUNTIFS($AA$3:$AA$201,$M327)&gt;0,
     COUNTIFS($AB$3:$AB$201,$M327)&gt;0,
     COUNTIFS($AC$3:$AC$201,$M327)&gt;0,
     COUNTIFS($AD$3:$AD$201,$M327)&gt;0,
     COUNTIFS($AE$3:$AE$201,$M327)&gt;0,
     COUNTIFS($AF$3:$AF$201,$M327)&gt;0,
     COUNTIFS($AG$3:$AG$201,$M327)&gt;0,
     COUNTIFS($AH$3:$AH$201,$M327)&gt;0,
     COUNTIFS($AI$3:$AI$201,$M327)&gt;0,
     COUNTIFS($AJ$3:$AJ$201,$M327)&gt;0,
     COUNTIFS($AK$3:$AK$201,$M327)&gt;0,
     COUNTIFS($AL$3:$AL$201,$M327)&gt;0,
     COUNTIFS($AM$3:$AM$201,$M327)&gt;0,
     COUNTIFS($AN$3:$AN$201,$M327)&gt;0,
     COUNTIFS($AO$3:$AO$201,$M327)&gt;0,
     COUNTIFS($AP$3:$AP$201,$M327)&gt;0,
     COUNTIFS($AQ$3:$AQ$201,$M327)&gt;0,
     COUNTIFS($AR$3:$AR$201,$M327)&gt;0,
     COUNTIFS($AS$3:$AS$201,$M327)&gt;0,
     COUNTIFS($AT$3:$AT$201,$M327)&gt;0,
     COUNTIFS($AU$3:$AU$201,$M327)&gt;0,
     COUNTIFS($AV$3:$AV$201,$M327)&gt;0,
     COUNTIFS($AW$3:$AW$201,$M327)&gt;0
   )),
  ),
  4
 ),
"")</f>
        <v/>
      </c>
    </row>
    <row r="328" spans="1:18" x14ac:dyDescent="0.25">
      <c r="A328" t="str">
        <f ca="1"/>
        <v>Vontade Dominadora</v>
      </c>
      <c r="B328" s="3" t="str" cm="1">
        <f t="array" aca="1" ref="B328" ca="1">_xlfn.ANCHORARRAY(RESUMO!C327)</f>
        <v>VialIshai</v>
      </c>
      <c r="C328" s="3" t="str">
        <f t="shared" ca="1" si="20"/>
        <v/>
      </c>
      <c r="N328" s="3">
        <f t="shared" si="21"/>
        <v>0</v>
      </c>
      <c r="O328" s="3" t="str">
        <f>IFERROR(
 INDEX($T$2:$AW$2,
  MATCH(TRUE,
   CHOOSE({1;2;3;4;5;6;7;8;9;10;11;12;13;14;15;16;17;18;19;20;21;22;23;24;25;26;27;28;29;30;31;32},
    COUNTIFS($T$3:$T$201,$M328)&gt;0,
    COUNTIFS($U$3:$U$201,$M328)&gt;0,
    COUNTIFS($V$3:$V$201,$M328)&gt;0,
    COUNTIFS($W$3:$W$201,$M328)&gt;0,
    COUNTIFS($X$3:$X$201,$M328)&gt;0,
    COUNTIFS($Y$3:$Y$201,$M328)&gt;0,
    COUNTIFS($Z$3:$Z$201,$M328)&gt;0,
    COUNTIFS($AA$3:$AA$201,$M328)&gt;0,
    COUNTIFS($AB$3:$AB$201,$M328)&gt;0,
    COUNTIFS($AC$3:$AC$201,$M328)&gt;0,
    COUNTIFS($AD$3:$AD$201,$M328)&gt;0,
    COUNTIFS($AE$3:$AE$201,$M328)&gt;0,
    COUNTIFS($AF$3:$AF$201,$M328)&gt;0,
    COUNTIFS($AG$3:$AG$201,$M328)&gt;0,
    COUNTIFS($AH$3:$AH$201,$M328)&gt;0,
    COUNTIFS($AI$3:$AI$201,$M328)&gt;0,
    COUNTIFS($AJ$3:$AJ$201,$M328)&gt;0,
    COUNTIFS($AK$3:$AK$201,$M328)&gt;0,
    COUNTIFS($AL$3:$AL$201,$M328)&gt;0,
    COUNTIFS($AM$3:$AM$201,$M328)&gt;0,
    COUNTIFS($AN$3:$AN$201,$M328)&gt;0,
    COUNTIFS($AO$3:$AO$201,$M328)&gt;0,
    COUNTIFS($AP$3:$AP$201,$M328)&gt;0,
    COUNTIFS($AQ$3:$AQ$201,$M328)&gt;0,
    COUNTIFS($AR$3:$AR$201,$M328)&gt;0,
    COUNTIFS($AS$3:$AS$201,$M328)&gt;0,
    COUNTIFS($AT$3:$AT$201,$M328)&gt;0,
    COUNTIFS($AU$3:$AU$201,$M328)&gt;0,
    COUNTIFS($AV$3:$AV$201,$M328)&gt;0,
    COUNTIFS($AW$3:$AW$201,$M328)&gt;0
   ),
  0)
 ),
"")</f>
        <v/>
      </c>
      <c r="P328" s="3" t="str" cm="1">
        <f t="array" ref="P328">IFERROR(
 INDEX(
  _xlfn._xlws.FILTER($T$2:$AW$2,
   TRANSPOSE(
    CHOOSE({1;2;3;4;5;6;7;8;9;10;11;12;13;14;15;16;17;18;19;20;21;22;23;24;25;26;27;28;29;30},
     COUNTIFS($T$3:$T$201,$M328)&gt;0,
     COUNTIFS($U$3:$U$201,$M328)&gt;0,
     COUNTIFS($V$3:$V$201,$M328)&gt;0,
     COUNTIFS($W$3:$W$201,$M328)&gt;0,
     COUNTIFS($X$3:$X$201,$M328)&gt;0,
     COUNTIFS($Y$3:$Y$201,$M328)&gt;0,
     COUNTIFS($Z$3:$Z$201,$M328)&gt;0,
     COUNTIFS($AA$3:$AA$201,$M328)&gt;0,
     COUNTIFS($AB$3:$AB$201,$M328)&gt;0,
     COUNTIFS($AC$3:$AC$201,$M328)&gt;0,
     COUNTIFS($AD$3:$AD$201,$M328)&gt;0,
     COUNTIFS($AE$3:$AE$201,$M328)&gt;0,
     COUNTIFS($AF$3:$AF$201,$M328)&gt;0,
     COUNTIFS($AG$3:$AG$201,$M328)&gt;0,
     COUNTIFS($AH$3:$AH$201,$M328)&gt;0,
     COUNTIFS($AI$3:$AI$201,$M328)&gt;0,
     COUNTIFS($AJ$3:$AJ$201,$M328)&gt;0,
     COUNTIFS($AK$3:$AK$201,$M328)&gt;0,
     COUNTIFS($AL$3:$AL$201,$M328)&gt;0,
     COUNTIFS($AM$3:$AM$201,$M328)&gt;0,
     COUNTIFS($AN$3:$AN$201,$M328)&gt;0,
     COUNTIFS($AO$3:$AO$201,$M328)&gt;0,
     COUNTIFS($AP$3:$AP$201,$M328)&gt;0,
     COUNTIFS($AQ$3:$AQ$201,$M328)&gt;0,
     COUNTIFS($AR$3:$AR$201,$M328)&gt;0,
     COUNTIFS($AS$3:$AS$201,$M328)&gt;0,
     COUNTIFS($AT$3:$AT$201,$M328)&gt;0,
     COUNTIFS($AU$3:$AU$201,$M328)&gt;0,
     COUNTIFS($AV$3:$AV$201,$M328)&gt;0,
     COUNTIFS($AW$3:$AW$201,$M328)&gt;0
   )),
  ),
  2
 ),
"")</f>
        <v/>
      </c>
      <c r="Q328" s="3" t="str" cm="1">
        <f t="array" ref="Q328">IFERROR(
 INDEX(
  _xlfn._xlws.FILTER($T$2:$AW$2,
   TRANSPOSE(
    CHOOSE({1;2;3;4;5;6;7;8;9;10;11;12;13;14;15;16;17;18;19;20;21;22;23;24;25;26;27;28;29;30},
     COUNTIFS($T$3:$T$201,$M328)&gt;0,
     COUNTIFS($U$3:$U$201,$M328)&gt;0,
     COUNTIFS($V$3:$V$201,$M328)&gt;0,
     COUNTIFS($W$3:$W$201,$M328)&gt;0,
     COUNTIFS($X$3:$X$201,$M328)&gt;0,
     COUNTIFS($Y$3:$Y$201,$M328)&gt;0,
     COUNTIFS($Z$3:$Z$201,$M328)&gt;0,
     COUNTIFS($AA$3:$AA$201,$M328)&gt;0,
     COUNTIFS($AB$3:$AB$201,$M328)&gt;0,
     COUNTIFS($AC$3:$AC$201,$M328)&gt;0,
     COUNTIFS($AD$3:$AD$201,$M328)&gt;0,
     COUNTIFS($AE$3:$AE$201,$M328)&gt;0,
     COUNTIFS($AF$3:$AF$201,$M328)&gt;0,
     COUNTIFS($AG$3:$AG$201,$M328)&gt;0,
     COUNTIFS($AH$3:$AH$201,$M328)&gt;0,
     COUNTIFS($AI$3:$AI$201,$M328)&gt;0,
     COUNTIFS($AJ$3:$AJ$201,$M328)&gt;0,
     COUNTIFS($AK$3:$AK$201,$M328)&gt;0,
     COUNTIFS($AL$3:$AL$201,$M328)&gt;0,
     COUNTIFS($AM$3:$AM$201,$M328)&gt;0,
     COUNTIFS($AN$3:$AN$201,$M328)&gt;0,
     COUNTIFS($AO$3:$AO$201,$M328)&gt;0,
     COUNTIFS($AP$3:$AP$201,$M328)&gt;0,
     COUNTIFS($AQ$3:$AQ$201,$M328)&gt;0,
     COUNTIFS($AR$3:$AR$201,$M328)&gt;0,
     COUNTIFS($AS$3:$AS$201,$M328)&gt;0,
     COUNTIFS($AT$3:$AT$201,$M328)&gt;0,
     COUNTIFS($AU$3:$AU$201,$M328)&gt;0,
     COUNTIFS($AV$3:$AV$201,$M328)&gt;0,
     COUNTIFS($AW$3:$AW$201,$M328)&gt;0
   )),
  ),
  3
 ),
"")</f>
        <v/>
      </c>
      <c r="R328" s="3" t="str" cm="1">
        <f t="array" ref="R328">IFERROR(
 INDEX(
  _xlfn._xlws.FILTER($T$2:$AW$2,
   TRANSPOSE(
    CHOOSE({1;2;3;4;5;6;7;8;9;10;11;12;13;14;15;16;17;18;19;20;21;22;23;24;25;26;27;28;29;30},
     COUNTIFS($T$3:$T$201,$M328)&gt;0,
     COUNTIFS($U$3:$U$201,$M328)&gt;0,
     COUNTIFS($V$3:$V$201,$M328)&gt;0,
     COUNTIFS($W$3:$W$201,$M328)&gt;0,
     COUNTIFS($X$3:$X$201,$M328)&gt;0,
     COUNTIFS($Y$3:$Y$201,$M328)&gt;0,
     COUNTIFS($Z$3:$Z$201,$M328)&gt;0,
     COUNTIFS($AA$3:$AA$201,$M328)&gt;0,
     COUNTIFS($AB$3:$AB$201,$M328)&gt;0,
     COUNTIFS($AC$3:$AC$201,$M328)&gt;0,
     COUNTIFS($AD$3:$AD$201,$M328)&gt;0,
     COUNTIFS($AE$3:$AE$201,$M328)&gt;0,
     COUNTIFS($AF$3:$AF$201,$M328)&gt;0,
     COUNTIFS($AG$3:$AG$201,$M328)&gt;0,
     COUNTIFS($AH$3:$AH$201,$M328)&gt;0,
     COUNTIFS($AI$3:$AI$201,$M328)&gt;0,
     COUNTIFS($AJ$3:$AJ$201,$M328)&gt;0,
     COUNTIFS($AK$3:$AK$201,$M328)&gt;0,
     COUNTIFS($AL$3:$AL$201,$M328)&gt;0,
     COUNTIFS($AM$3:$AM$201,$M328)&gt;0,
     COUNTIFS($AN$3:$AN$201,$M328)&gt;0,
     COUNTIFS($AO$3:$AO$201,$M328)&gt;0,
     COUNTIFS($AP$3:$AP$201,$M328)&gt;0,
     COUNTIFS($AQ$3:$AQ$201,$M328)&gt;0,
     COUNTIFS($AR$3:$AR$201,$M328)&gt;0,
     COUNTIFS($AS$3:$AS$201,$M328)&gt;0,
     COUNTIFS($AT$3:$AT$201,$M328)&gt;0,
     COUNTIFS($AU$3:$AU$201,$M328)&gt;0,
     COUNTIFS($AV$3:$AV$201,$M328)&gt;0,
     COUNTIFS($AW$3:$AW$201,$M328)&gt;0
   )),
  ),
  4
 ),
"")</f>
        <v/>
      </c>
    </row>
    <row r="329" spans="1:18" x14ac:dyDescent="0.25">
      <c r="A329" t="str">
        <f ca="1"/>
        <v>Vronos, Masked Inquisitor</v>
      </c>
      <c r="B329" s="3" t="str" cm="1">
        <f t="array" aca="1" ref="B329" ca="1">_xlfn.ANCHORARRAY(RESUMO!C328)</f>
        <v>Sisay</v>
      </c>
      <c r="C329" s="3" t="str">
        <f t="shared" ca="1" si="20"/>
        <v/>
      </c>
      <c r="N329" s="3">
        <f t="shared" si="21"/>
        <v>0</v>
      </c>
      <c r="O329" s="3" t="str">
        <f>IFERROR(
 INDEX($T$2:$AW$2,
  MATCH(TRUE,
   CHOOSE({1;2;3;4;5;6;7;8;9;10;11;12;13;14;15;16;17;18;19;20;21;22;23;24;25;26;27;28;29;30;31;32},
    COUNTIFS($T$3:$T$201,$M329)&gt;0,
    COUNTIFS($U$3:$U$201,$M329)&gt;0,
    COUNTIFS($V$3:$V$201,$M329)&gt;0,
    COUNTIFS($W$3:$W$201,$M329)&gt;0,
    COUNTIFS($X$3:$X$201,$M329)&gt;0,
    COUNTIFS($Y$3:$Y$201,$M329)&gt;0,
    COUNTIFS($Z$3:$Z$201,$M329)&gt;0,
    COUNTIFS($AA$3:$AA$201,$M329)&gt;0,
    COUNTIFS($AB$3:$AB$201,$M329)&gt;0,
    COUNTIFS($AC$3:$AC$201,$M329)&gt;0,
    COUNTIFS($AD$3:$AD$201,$M329)&gt;0,
    COUNTIFS($AE$3:$AE$201,$M329)&gt;0,
    COUNTIFS($AF$3:$AF$201,$M329)&gt;0,
    COUNTIFS($AG$3:$AG$201,$M329)&gt;0,
    COUNTIFS($AH$3:$AH$201,$M329)&gt;0,
    COUNTIFS($AI$3:$AI$201,$M329)&gt;0,
    COUNTIFS($AJ$3:$AJ$201,$M329)&gt;0,
    COUNTIFS($AK$3:$AK$201,$M329)&gt;0,
    COUNTIFS($AL$3:$AL$201,$M329)&gt;0,
    COUNTIFS($AM$3:$AM$201,$M329)&gt;0,
    COUNTIFS($AN$3:$AN$201,$M329)&gt;0,
    COUNTIFS($AO$3:$AO$201,$M329)&gt;0,
    COUNTIFS($AP$3:$AP$201,$M329)&gt;0,
    COUNTIFS($AQ$3:$AQ$201,$M329)&gt;0,
    COUNTIFS($AR$3:$AR$201,$M329)&gt;0,
    COUNTIFS($AS$3:$AS$201,$M329)&gt;0,
    COUNTIFS($AT$3:$AT$201,$M329)&gt;0,
    COUNTIFS($AU$3:$AU$201,$M329)&gt;0,
    COUNTIFS($AV$3:$AV$201,$M329)&gt;0,
    COUNTIFS($AW$3:$AW$201,$M329)&gt;0
   ),
  0)
 ),
"")</f>
        <v/>
      </c>
      <c r="P329" s="3" t="str" cm="1">
        <f t="array" ref="P329">IFERROR(
 INDEX(
  _xlfn._xlws.FILTER($T$2:$AW$2,
   TRANSPOSE(
    CHOOSE({1;2;3;4;5;6;7;8;9;10;11;12;13;14;15;16;17;18;19;20;21;22;23;24;25;26;27;28;29;30},
     COUNTIFS($T$3:$T$201,$M329)&gt;0,
     COUNTIFS($U$3:$U$201,$M329)&gt;0,
     COUNTIFS($V$3:$V$201,$M329)&gt;0,
     COUNTIFS($W$3:$W$201,$M329)&gt;0,
     COUNTIFS($X$3:$X$201,$M329)&gt;0,
     COUNTIFS($Y$3:$Y$201,$M329)&gt;0,
     COUNTIFS($Z$3:$Z$201,$M329)&gt;0,
     COUNTIFS($AA$3:$AA$201,$M329)&gt;0,
     COUNTIFS($AB$3:$AB$201,$M329)&gt;0,
     COUNTIFS($AC$3:$AC$201,$M329)&gt;0,
     COUNTIFS($AD$3:$AD$201,$M329)&gt;0,
     COUNTIFS($AE$3:$AE$201,$M329)&gt;0,
     COUNTIFS($AF$3:$AF$201,$M329)&gt;0,
     COUNTIFS($AG$3:$AG$201,$M329)&gt;0,
     COUNTIFS($AH$3:$AH$201,$M329)&gt;0,
     COUNTIFS($AI$3:$AI$201,$M329)&gt;0,
     COUNTIFS($AJ$3:$AJ$201,$M329)&gt;0,
     COUNTIFS($AK$3:$AK$201,$M329)&gt;0,
     COUNTIFS($AL$3:$AL$201,$M329)&gt;0,
     COUNTIFS($AM$3:$AM$201,$M329)&gt;0,
     COUNTIFS($AN$3:$AN$201,$M329)&gt;0,
     COUNTIFS($AO$3:$AO$201,$M329)&gt;0,
     COUNTIFS($AP$3:$AP$201,$M329)&gt;0,
     COUNTIFS($AQ$3:$AQ$201,$M329)&gt;0,
     COUNTIFS($AR$3:$AR$201,$M329)&gt;0,
     COUNTIFS($AS$3:$AS$201,$M329)&gt;0,
     COUNTIFS($AT$3:$AT$201,$M329)&gt;0,
     COUNTIFS($AU$3:$AU$201,$M329)&gt;0,
     COUNTIFS($AV$3:$AV$201,$M329)&gt;0,
     COUNTIFS($AW$3:$AW$201,$M329)&gt;0
   )),
  ),
  2
 ),
"")</f>
        <v/>
      </c>
      <c r="Q329" s="3" t="str" cm="1">
        <f t="array" ref="Q329">IFERROR(
 INDEX(
  _xlfn._xlws.FILTER($T$2:$AW$2,
   TRANSPOSE(
    CHOOSE({1;2;3;4;5;6;7;8;9;10;11;12;13;14;15;16;17;18;19;20;21;22;23;24;25;26;27;28;29;30},
     COUNTIFS($T$3:$T$201,$M329)&gt;0,
     COUNTIFS($U$3:$U$201,$M329)&gt;0,
     COUNTIFS($V$3:$V$201,$M329)&gt;0,
     COUNTIFS($W$3:$W$201,$M329)&gt;0,
     COUNTIFS($X$3:$X$201,$M329)&gt;0,
     COUNTIFS($Y$3:$Y$201,$M329)&gt;0,
     COUNTIFS($Z$3:$Z$201,$M329)&gt;0,
     COUNTIFS($AA$3:$AA$201,$M329)&gt;0,
     COUNTIFS($AB$3:$AB$201,$M329)&gt;0,
     COUNTIFS($AC$3:$AC$201,$M329)&gt;0,
     COUNTIFS($AD$3:$AD$201,$M329)&gt;0,
     COUNTIFS($AE$3:$AE$201,$M329)&gt;0,
     COUNTIFS($AF$3:$AF$201,$M329)&gt;0,
     COUNTIFS($AG$3:$AG$201,$M329)&gt;0,
     COUNTIFS($AH$3:$AH$201,$M329)&gt;0,
     COUNTIFS($AI$3:$AI$201,$M329)&gt;0,
     COUNTIFS($AJ$3:$AJ$201,$M329)&gt;0,
     COUNTIFS($AK$3:$AK$201,$M329)&gt;0,
     COUNTIFS($AL$3:$AL$201,$M329)&gt;0,
     COUNTIFS($AM$3:$AM$201,$M329)&gt;0,
     COUNTIFS($AN$3:$AN$201,$M329)&gt;0,
     COUNTIFS($AO$3:$AO$201,$M329)&gt;0,
     COUNTIFS($AP$3:$AP$201,$M329)&gt;0,
     COUNTIFS($AQ$3:$AQ$201,$M329)&gt;0,
     COUNTIFS($AR$3:$AR$201,$M329)&gt;0,
     COUNTIFS($AS$3:$AS$201,$M329)&gt;0,
     COUNTIFS($AT$3:$AT$201,$M329)&gt;0,
     COUNTIFS($AU$3:$AU$201,$M329)&gt;0,
     COUNTIFS($AV$3:$AV$201,$M329)&gt;0,
     COUNTIFS($AW$3:$AW$201,$M329)&gt;0
   )),
  ),
  3
 ),
"")</f>
        <v/>
      </c>
      <c r="R329" s="3" t="str" cm="1">
        <f t="array" ref="R329">IFERROR(
 INDEX(
  _xlfn._xlws.FILTER($T$2:$AW$2,
   TRANSPOSE(
    CHOOSE({1;2;3;4;5;6;7;8;9;10;11;12;13;14;15;16;17;18;19;20;21;22;23;24;25;26;27;28;29;30},
     COUNTIFS($T$3:$T$201,$M329)&gt;0,
     COUNTIFS($U$3:$U$201,$M329)&gt;0,
     COUNTIFS($V$3:$V$201,$M329)&gt;0,
     COUNTIFS($W$3:$W$201,$M329)&gt;0,
     COUNTIFS($X$3:$X$201,$M329)&gt;0,
     COUNTIFS($Y$3:$Y$201,$M329)&gt;0,
     COUNTIFS($Z$3:$Z$201,$M329)&gt;0,
     COUNTIFS($AA$3:$AA$201,$M329)&gt;0,
     COUNTIFS($AB$3:$AB$201,$M329)&gt;0,
     COUNTIFS($AC$3:$AC$201,$M329)&gt;0,
     COUNTIFS($AD$3:$AD$201,$M329)&gt;0,
     COUNTIFS($AE$3:$AE$201,$M329)&gt;0,
     COUNTIFS($AF$3:$AF$201,$M329)&gt;0,
     COUNTIFS($AG$3:$AG$201,$M329)&gt;0,
     COUNTIFS($AH$3:$AH$201,$M329)&gt;0,
     COUNTIFS($AI$3:$AI$201,$M329)&gt;0,
     COUNTIFS($AJ$3:$AJ$201,$M329)&gt;0,
     COUNTIFS($AK$3:$AK$201,$M329)&gt;0,
     COUNTIFS($AL$3:$AL$201,$M329)&gt;0,
     COUNTIFS($AM$3:$AM$201,$M329)&gt;0,
     COUNTIFS($AN$3:$AN$201,$M329)&gt;0,
     COUNTIFS($AO$3:$AO$201,$M329)&gt;0,
     COUNTIFS($AP$3:$AP$201,$M329)&gt;0,
     COUNTIFS($AQ$3:$AQ$201,$M329)&gt;0,
     COUNTIFS($AR$3:$AR$201,$M329)&gt;0,
     COUNTIFS($AS$3:$AS$201,$M329)&gt;0,
     COUNTIFS($AT$3:$AT$201,$M329)&gt;0,
     COUNTIFS($AU$3:$AU$201,$M329)&gt;0,
     COUNTIFS($AV$3:$AV$201,$M329)&gt;0,
     COUNTIFS($AW$3:$AW$201,$M329)&gt;0
   )),
  ),
  4
 ),
"")</f>
        <v/>
      </c>
    </row>
    <row r="330" spans="1:18" x14ac:dyDescent="0.25">
      <c r="A330" t="str">
        <f ca="1"/>
        <v>Warleader's Call</v>
      </c>
      <c r="B330" s="3" t="str" cm="1">
        <f t="array" aca="1" ref="B330" ca="1">_xlfn.ANCHORARRAY(RESUMO!C329)</f>
        <v>Baylen</v>
      </c>
      <c r="C330" s="3" t="str">
        <f t="shared" ca="1" si="20"/>
        <v/>
      </c>
      <c r="N330" s="3">
        <f t="shared" si="21"/>
        <v>0</v>
      </c>
      <c r="O330" s="3" t="str">
        <f>IFERROR(
 INDEX($T$2:$AW$2,
  MATCH(TRUE,
   CHOOSE({1;2;3;4;5;6;7;8;9;10;11;12;13;14;15;16;17;18;19;20;21;22;23;24;25;26;27;28;29;30;31;32},
    COUNTIFS($T$3:$T$201,$M330)&gt;0,
    COUNTIFS($U$3:$U$201,$M330)&gt;0,
    COUNTIFS($V$3:$V$201,$M330)&gt;0,
    COUNTIFS($W$3:$W$201,$M330)&gt;0,
    COUNTIFS($X$3:$X$201,$M330)&gt;0,
    COUNTIFS($Y$3:$Y$201,$M330)&gt;0,
    COUNTIFS($Z$3:$Z$201,$M330)&gt;0,
    COUNTIFS($AA$3:$AA$201,$M330)&gt;0,
    COUNTIFS($AB$3:$AB$201,$M330)&gt;0,
    COUNTIFS($AC$3:$AC$201,$M330)&gt;0,
    COUNTIFS($AD$3:$AD$201,$M330)&gt;0,
    COUNTIFS($AE$3:$AE$201,$M330)&gt;0,
    COUNTIFS($AF$3:$AF$201,$M330)&gt;0,
    COUNTIFS($AG$3:$AG$201,$M330)&gt;0,
    COUNTIFS($AH$3:$AH$201,$M330)&gt;0,
    COUNTIFS($AI$3:$AI$201,$M330)&gt;0,
    COUNTIFS($AJ$3:$AJ$201,$M330)&gt;0,
    COUNTIFS($AK$3:$AK$201,$M330)&gt;0,
    COUNTIFS($AL$3:$AL$201,$M330)&gt;0,
    COUNTIFS($AM$3:$AM$201,$M330)&gt;0,
    COUNTIFS($AN$3:$AN$201,$M330)&gt;0,
    COUNTIFS($AO$3:$AO$201,$M330)&gt;0,
    COUNTIFS($AP$3:$AP$201,$M330)&gt;0,
    COUNTIFS($AQ$3:$AQ$201,$M330)&gt;0,
    COUNTIFS($AR$3:$AR$201,$M330)&gt;0,
    COUNTIFS($AS$3:$AS$201,$M330)&gt;0,
    COUNTIFS($AT$3:$AT$201,$M330)&gt;0,
    COUNTIFS($AU$3:$AU$201,$M330)&gt;0,
    COUNTIFS($AV$3:$AV$201,$M330)&gt;0,
    COUNTIFS($AW$3:$AW$201,$M330)&gt;0
   ),
  0)
 ),
"")</f>
        <v/>
      </c>
      <c r="P330" s="3" t="str" cm="1">
        <f t="array" ref="P330">IFERROR(
 INDEX(
  _xlfn._xlws.FILTER($T$2:$AW$2,
   TRANSPOSE(
    CHOOSE({1;2;3;4;5;6;7;8;9;10;11;12;13;14;15;16;17;18;19;20;21;22;23;24;25;26;27;28;29;30},
     COUNTIFS($T$3:$T$201,$M330)&gt;0,
     COUNTIFS($U$3:$U$201,$M330)&gt;0,
     COUNTIFS($V$3:$V$201,$M330)&gt;0,
     COUNTIFS($W$3:$W$201,$M330)&gt;0,
     COUNTIFS($X$3:$X$201,$M330)&gt;0,
     COUNTIFS($Y$3:$Y$201,$M330)&gt;0,
     COUNTIFS($Z$3:$Z$201,$M330)&gt;0,
     COUNTIFS($AA$3:$AA$201,$M330)&gt;0,
     COUNTIFS($AB$3:$AB$201,$M330)&gt;0,
     COUNTIFS($AC$3:$AC$201,$M330)&gt;0,
     COUNTIFS($AD$3:$AD$201,$M330)&gt;0,
     COUNTIFS($AE$3:$AE$201,$M330)&gt;0,
     COUNTIFS($AF$3:$AF$201,$M330)&gt;0,
     COUNTIFS($AG$3:$AG$201,$M330)&gt;0,
     COUNTIFS($AH$3:$AH$201,$M330)&gt;0,
     COUNTIFS($AI$3:$AI$201,$M330)&gt;0,
     COUNTIFS($AJ$3:$AJ$201,$M330)&gt;0,
     COUNTIFS($AK$3:$AK$201,$M330)&gt;0,
     COUNTIFS($AL$3:$AL$201,$M330)&gt;0,
     COUNTIFS($AM$3:$AM$201,$M330)&gt;0,
     COUNTIFS($AN$3:$AN$201,$M330)&gt;0,
     COUNTIFS($AO$3:$AO$201,$M330)&gt;0,
     COUNTIFS($AP$3:$AP$201,$M330)&gt;0,
     COUNTIFS($AQ$3:$AQ$201,$M330)&gt;0,
     COUNTIFS($AR$3:$AR$201,$M330)&gt;0,
     COUNTIFS($AS$3:$AS$201,$M330)&gt;0,
     COUNTIFS($AT$3:$AT$201,$M330)&gt;0,
     COUNTIFS($AU$3:$AU$201,$M330)&gt;0,
     COUNTIFS($AV$3:$AV$201,$M330)&gt;0,
     COUNTIFS($AW$3:$AW$201,$M330)&gt;0
   )),
  ),
  2
 ),
"")</f>
        <v/>
      </c>
      <c r="Q330" s="3" t="str" cm="1">
        <f t="array" ref="Q330">IFERROR(
 INDEX(
  _xlfn._xlws.FILTER($T$2:$AW$2,
   TRANSPOSE(
    CHOOSE({1;2;3;4;5;6;7;8;9;10;11;12;13;14;15;16;17;18;19;20;21;22;23;24;25;26;27;28;29;30},
     COUNTIFS($T$3:$T$201,$M330)&gt;0,
     COUNTIFS($U$3:$U$201,$M330)&gt;0,
     COUNTIFS($V$3:$V$201,$M330)&gt;0,
     COUNTIFS($W$3:$W$201,$M330)&gt;0,
     COUNTIFS($X$3:$X$201,$M330)&gt;0,
     COUNTIFS($Y$3:$Y$201,$M330)&gt;0,
     COUNTIFS($Z$3:$Z$201,$M330)&gt;0,
     COUNTIFS($AA$3:$AA$201,$M330)&gt;0,
     COUNTIFS($AB$3:$AB$201,$M330)&gt;0,
     COUNTIFS($AC$3:$AC$201,$M330)&gt;0,
     COUNTIFS($AD$3:$AD$201,$M330)&gt;0,
     COUNTIFS($AE$3:$AE$201,$M330)&gt;0,
     COUNTIFS($AF$3:$AF$201,$M330)&gt;0,
     COUNTIFS($AG$3:$AG$201,$M330)&gt;0,
     COUNTIFS($AH$3:$AH$201,$M330)&gt;0,
     COUNTIFS($AI$3:$AI$201,$M330)&gt;0,
     COUNTIFS($AJ$3:$AJ$201,$M330)&gt;0,
     COUNTIFS($AK$3:$AK$201,$M330)&gt;0,
     COUNTIFS($AL$3:$AL$201,$M330)&gt;0,
     COUNTIFS($AM$3:$AM$201,$M330)&gt;0,
     COUNTIFS($AN$3:$AN$201,$M330)&gt;0,
     COUNTIFS($AO$3:$AO$201,$M330)&gt;0,
     COUNTIFS($AP$3:$AP$201,$M330)&gt;0,
     COUNTIFS($AQ$3:$AQ$201,$M330)&gt;0,
     COUNTIFS($AR$3:$AR$201,$M330)&gt;0,
     COUNTIFS($AS$3:$AS$201,$M330)&gt;0,
     COUNTIFS($AT$3:$AT$201,$M330)&gt;0,
     COUNTIFS($AU$3:$AU$201,$M330)&gt;0,
     COUNTIFS($AV$3:$AV$201,$M330)&gt;0,
     COUNTIFS($AW$3:$AW$201,$M330)&gt;0
   )),
  ),
  3
 ),
"")</f>
        <v/>
      </c>
      <c r="R330" s="3" t="str" cm="1">
        <f t="array" ref="R330">IFERROR(
 INDEX(
  _xlfn._xlws.FILTER($T$2:$AW$2,
   TRANSPOSE(
    CHOOSE({1;2;3;4;5;6;7;8;9;10;11;12;13;14;15;16;17;18;19;20;21;22;23;24;25;26;27;28;29;30},
     COUNTIFS($T$3:$T$201,$M330)&gt;0,
     COUNTIFS($U$3:$U$201,$M330)&gt;0,
     COUNTIFS($V$3:$V$201,$M330)&gt;0,
     COUNTIFS($W$3:$W$201,$M330)&gt;0,
     COUNTIFS($X$3:$X$201,$M330)&gt;0,
     COUNTIFS($Y$3:$Y$201,$M330)&gt;0,
     COUNTIFS($Z$3:$Z$201,$M330)&gt;0,
     COUNTIFS($AA$3:$AA$201,$M330)&gt;0,
     COUNTIFS($AB$3:$AB$201,$M330)&gt;0,
     COUNTIFS($AC$3:$AC$201,$M330)&gt;0,
     COUNTIFS($AD$3:$AD$201,$M330)&gt;0,
     COUNTIFS($AE$3:$AE$201,$M330)&gt;0,
     COUNTIFS($AF$3:$AF$201,$M330)&gt;0,
     COUNTIFS($AG$3:$AG$201,$M330)&gt;0,
     COUNTIFS($AH$3:$AH$201,$M330)&gt;0,
     COUNTIFS($AI$3:$AI$201,$M330)&gt;0,
     COUNTIFS($AJ$3:$AJ$201,$M330)&gt;0,
     COUNTIFS($AK$3:$AK$201,$M330)&gt;0,
     COUNTIFS($AL$3:$AL$201,$M330)&gt;0,
     COUNTIFS($AM$3:$AM$201,$M330)&gt;0,
     COUNTIFS($AN$3:$AN$201,$M330)&gt;0,
     COUNTIFS($AO$3:$AO$201,$M330)&gt;0,
     COUNTIFS($AP$3:$AP$201,$M330)&gt;0,
     COUNTIFS($AQ$3:$AQ$201,$M330)&gt;0,
     COUNTIFS($AR$3:$AR$201,$M330)&gt;0,
     COUNTIFS($AS$3:$AS$201,$M330)&gt;0,
     COUNTIFS($AT$3:$AT$201,$M330)&gt;0,
     COUNTIFS($AU$3:$AU$201,$M330)&gt;0,
     COUNTIFS($AV$3:$AV$201,$M330)&gt;0,
     COUNTIFS($AW$3:$AW$201,$M330)&gt;0
   )),
  ),
  4
 ),
"")</f>
        <v/>
      </c>
    </row>
    <row r="331" spans="1:18" x14ac:dyDescent="0.25">
      <c r="A331" t="str">
        <f ca="1"/>
        <v>Warren Soultrader</v>
      </c>
      <c r="B331" s="3" t="str" cm="1">
        <f t="array" aca="1" ref="B331" ca="1">_xlfn.ANCHORARRAY(RESUMO!C330)</f>
        <v>Inalla</v>
      </c>
      <c r="C331" s="3" t="str">
        <f t="shared" ca="1" si="20"/>
        <v/>
      </c>
      <c r="N331" s="3">
        <f t="shared" si="21"/>
        <v>0</v>
      </c>
      <c r="O331" s="3" t="str">
        <f>IFERROR(
 INDEX($T$2:$AW$2,
  MATCH(TRUE,
   CHOOSE({1;2;3;4;5;6;7;8;9;10;11;12;13;14;15;16;17;18;19;20;21;22;23;24;25;26;27;28;29;30;31;32},
    COUNTIFS($T$3:$T$201,$M331)&gt;0,
    COUNTIFS($U$3:$U$201,$M331)&gt;0,
    COUNTIFS($V$3:$V$201,$M331)&gt;0,
    COUNTIFS($W$3:$W$201,$M331)&gt;0,
    COUNTIFS($X$3:$X$201,$M331)&gt;0,
    COUNTIFS($Y$3:$Y$201,$M331)&gt;0,
    COUNTIFS($Z$3:$Z$201,$M331)&gt;0,
    COUNTIFS($AA$3:$AA$201,$M331)&gt;0,
    COUNTIFS($AB$3:$AB$201,$M331)&gt;0,
    COUNTIFS($AC$3:$AC$201,$M331)&gt;0,
    COUNTIFS($AD$3:$AD$201,$M331)&gt;0,
    COUNTIFS($AE$3:$AE$201,$M331)&gt;0,
    COUNTIFS($AF$3:$AF$201,$M331)&gt;0,
    COUNTIFS($AG$3:$AG$201,$M331)&gt;0,
    COUNTIFS($AH$3:$AH$201,$M331)&gt;0,
    COUNTIFS($AI$3:$AI$201,$M331)&gt;0,
    COUNTIFS($AJ$3:$AJ$201,$M331)&gt;0,
    COUNTIFS($AK$3:$AK$201,$M331)&gt;0,
    COUNTIFS($AL$3:$AL$201,$M331)&gt;0,
    COUNTIFS($AM$3:$AM$201,$M331)&gt;0,
    COUNTIFS($AN$3:$AN$201,$M331)&gt;0,
    COUNTIFS($AO$3:$AO$201,$M331)&gt;0,
    COUNTIFS($AP$3:$AP$201,$M331)&gt;0,
    COUNTIFS($AQ$3:$AQ$201,$M331)&gt;0,
    COUNTIFS($AR$3:$AR$201,$M331)&gt;0,
    COUNTIFS($AS$3:$AS$201,$M331)&gt;0,
    COUNTIFS($AT$3:$AT$201,$M331)&gt;0,
    COUNTIFS($AU$3:$AU$201,$M331)&gt;0,
    COUNTIFS($AV$3:$AV$201,$M331)&gt;0,
    COUNTIFS($AW$3:$AW$201,$M331)&gt;0
   ),
  0)
 ),
"")</f>
        <v/>
      </c>
      <c r="P331" s="3" t="str" cm="1">
        <f t="array" ref="P331">IFERROR(
 INDEX(
  _xlfn._xlws.FILTER($T$2:$AW$2,
   TRANSPOSE(
    CHOOSE({1;2;3;4;5;6;7;8;9;10;11;12;13;14;15;16;17;18;19;20;21;22;23;24;25;26;27;28;29;30},
     COUNTIFS($T$3:$T$201,$M331)&gt;0,
     COUNTIFS($U$3:$U$201,$M331)&gt;0,
     COUNTIFS($V$3:$V$201,$M331)&gt;0,
     COUNTIFS($W$3:$W$201,$M331)&gt;0,
     COUNTIFS($X$3:$X$201,$M331)&gt;0,
     COUNTIFS($Y$3:$Y$201,$M331)&gt;0,
     COUNTIFS($Z$3:$Z$201,$M331)&gt;0,
     COUNTIFS($AA$3:$AA$201,$M331)&gt;0,
     COUNTIFS($AB$3:$AB$201,$M331)&gt;0,
     COUNTIFS($AC$3:$AC$201,$M331)&gt;0,
     COUNTIFS($AD$3:$AD$201,$M331)&gt;0,
     COUNTIFS($AE$3:$AE$201,$M331)&gt;0,
     COUNTIFS($AF$3:$AF$201,$M331)&gt;0,
     COUNTIFS($AG$3:$AG$201,$M331)&gt;0,
     COUNTIFS($AH$3:$AH$201,$M331)&gt;0,
     COUNTIFS($AI$3:$AI$201,$M331)&gt;0,
     COUNTIFS($AJ$3:$AJ$201,$M331)&gt;0,
     COUNTIFS($AK$3:$AK$201,$M331)&gt;0,
     COUNTIFS($AL$3:$AL$201,$M331)&gt;0,
     COUNTIFS($AM$3:$AM$201,$M331)&gt;0,
     COUNTIFS($AN$3:$AN$201,$M331)&gt;0,
     COUNTIFS($AO$3:$AO$201,$M331)&gt;0,
     COUNTIFS($AP$3:$AP$201,$M331)&gt;0,
     COUNTIFS($AQ$3:$AQ$201,$M331)&gt;0,
     COUNTIFS($AR$3:$AR$201,$M331)&gt;0,
     COUNTIFS($AS$3:$AS$201,$M331)&gt;0,
     COUNTIFS($AT$3:$AT$201,$M331)&gt;0,
     COUNTIFS($AU$3:$AU$201,$M331)&gt;0,
     COUNTIFS($AV$3:$AV$201,$M331)&gt;0,
     COUNTIFS($AW$3:$AW$201,$M331)&gt;0
   )),
  ),
  2
 ),
"")</f>
        <v/>
      </c>
      <c r="Q331" s="3" t="str" cm="1">
        <f t="array" ref="Q331">IFERROR(
 INDEX(
  _xlfn._xlws.FILTER($T$2:$AW$2,
   TRANSPOSE(
    CHOOSE({1;2;3;4;5;6;7;8;9;10;11;12;13;14;15;16;17;18;19;20;21;22;23;24;25;26;27;28;29;30},
     COUNTIFS($T$3:$T$201,$M331)&gt;0,
     COUNTIFS($U$3:$U$201,$M331)&gt;0,
     COUNTIFS($V$3:$V$201,$M331)&gt;0,
     COUNTIFS($W$3:$W$201,$M331)&gt;0,
     COUNTIFS($X$3:$X$201,$M331)&gt;0,
     COUNTIFS($Y$3:$Y$201,$M331)&gt;0,
     COUNTIFS($Z$3:$Z$201,$M331)&gt;0,
     COUNTIFS($AA$3:$AA$201,$M331)&gt;0,
     COUNTIFS($AB$3:$AB$201,$M331)&gt;0,
     COUNTIFS($AC$3:$AC$201,$M331)&gt;0,
     COUNTIFS($AD$3:$AD$201,$M331)&gt;0,
     COUNTIFS($AE$3:$AE$201,$M331)&gt;0,
     COUNTIFS($AF$3:$AF$201,$M331)&gt;0,
     COUNTIFS($AG$3:$AG$201,$M331)&gt;0,
     COUNTIFS($AH$3:$AH$201,$M331)&gt;0,
     COUNTIFS($AI$3:$AI$201,$M331)&gt;0,
     COUNTIFS($AJ$3:$AJ$201,$M331)&gt;0,
     COUNTIFS($AK$3:$AK$201,$M331)&gt;0,
     COUNTIFS($AL$3:$AL$201,$M331)&gt;0,
     COUNTIFS($AM$3:$AM$201,$M331)&gt;0,
     COUNTIFS($AN$3:$AN$201,$M331)&gt;0,
     COUNTIFS($AO$3:$AO$201,$M331)&gt;0,
     COUNTIFS($AP$3:$AP$201,$M331)&gt;0,
     COUNTIFS($AQ$3:$AQ$201,$M331)&gt;0,
     COUNTIFS($AR$3:$AR$201,$M331)&gt;0,
     COUNTIFS($AS$3:$AS$201,$M331)&gt;0,
     COUNTIFS($AT$3:$AT$201,$M331)&gt;0,
     COUNTIFS($AU$3:$AU$201,$M331)&gt;0,
     COUNTIFS($AV$3:$AV$201,$M331)&gt;0,
     COUNTIFS($AW$3:$AW$201,$M331)&gt;0
   )),
  ),
  3
 ),
"")</f>
        <v/>
      </c>
      <c r="R331" s="3" t="str" cm="1">
        <f t="array" ref="R331">IFERROR(
 INDEX(
  _xlfn._xlws.FILTER($T$2:$AW$2,
   TRANSPOSE(
    CHOOSE({1;2;3;4;5;6;7;8;9;10;11;12;13;14;15;16;17;18;19;20;21;22;23;24;25;26;27;28;29;30},
     COUNTIFS($T$3:$T$201,$M331)&gt;0,
     COUNTIFS($U$3:$U$201,$M331)&gt;0,
     COUNTIFS($V$3:$V$201,$M331)&gt;0,
     COUNTIFS($W$3:$W$201,$M331)&gt;0,
     COUNTIFS($X$3:$X$201,$M331)&gt;0,
     COUNTIFS($Y$3:$Y$201,$M331)&gt;0,
     COUNTIFS($Z$3:$Z$201,$M331)&gt;0,
     COUNTIFS($AA$3:$AA$201,$M331)&gt;0,
     COUNTIFS($AB$3:$AB$201,$M331)&gt;0,
     COUNTIFS($AC$3:$AC$201,$M331)&gt;0,
     COUNTIFS($AD$3:$AD$201,$M331)&gt;0,
     COUNTIFS($AE$3:$AE$201,$M331)&gt;0,
     COUNTIFS($AF$3:$AF$201,$M331)&gt;0,
     COUNTIFS($AG$3:$AG$201,$M331)&gt;0,
     COUNTIFS($AH$3:$AH$201,$M331)&gt;0,
     COUNTIFS($AI$3:$AI$201,$M331)&gt;0,
     COUNTIFS($AJ$3:$AJ$201,$M331)&gt;0,
     COUNTIFS($AK$3:$AK$201,$M331)&gt;0,
     COUNTIFS($AL$3:$AL$201,$M331)&gt;0,
     COUNTIFS($AM$3:$AM$201,$M331)&gt;0,
     COUNTIFS($AN$3:$AN$201,$M331)&gt;0,
     COUNTIFS($AO$3:$AO$201,$M331)&gt;0,
     COUNTIFS($AP$3:$AP$201,$M331)&gt;0,
     COUNTIFS($AQ$3:$AQ$201,$M331)&gt;0,
     COUNTIFS($AR$3:$AR$201,$M331)&gt;0,
     COUNTIFS($AS$3:$AS$201,$M331)&gt;0,
     COUNTIFS($AT$3:$AT$201,$M331)&gt;0,
     COUNTIFS($AU$3:$AU$201,$M331)&gt;0,
     COUNTIFS($AV$3:$AV$201,$M331)&gt;0,
     COUNTIFS($AW$3:$AW$201,$M331)&gt;0
   )),
  ),
  4
 ),
"")</f>
        <v/>
      </c>
    </row>
    <row r="332" spans="1:18" x14ac:dyDescent="0.25">
      <c r="A332" t="str">
        <f ca="1"/>
        <v>Watery Grave</v>
      </c>
      <c r="B332" s="3" t="str" cm="1">
        <f t="array" aca="1" ref="B332" ca="1">_xlfn.ANCHORARRAY(RESUMO!C331)</f>
        <v>VialIshai</v>
      </c>
      <c r="C332" s="3" t="str">
        <f t="shared" ca="1" si="20"/>
        <v/>
      </c>
      <c r="N332" s="3">
        <f t="shared" si="21"/>
        <v>0</v>
      </c>
      <c r="O332" s="3" t="str">
        <f>IFERROR(
 INDEX($T$2:$AW$2,
  MATCH(TRUE,
   CHOOSE({1;2;3;4;5;6;7;8;9;10;11;12;13;14;15;16;17;18;19;20;21;22;23;24;25;26;27;28;29;30;31;32},
    COUNTIFS($T$3:$T$201,$M332)&gt;0,
    COUNTIFS($U$3:$U$201,$M332)&gt;0,
    COUNTIFS($V$3:$V$201,$M332)&gt;0,
    COUNTIFS($W$3:$W$201,$M332)&gt;0,
    COUNTIFS($X$3:$X$201,$M332)&gt;0,
    COUNTIFS($Y$3:$Y$201,$M332)&gt;0,
    COUNTIFS($Z$3:$Z$201,$M332)&gt;0,
    COUNTIFS($AA$3:$AA$201,$M332)&gt;0,
    COUNTIFS($AB$3:$AB$201,$M332)&gt;0,
    COUNTIFS($AC$3:$AC$201,$M332)&gt;0,
    COUNTIFS($AD$3:$AD$201,$M332)&gt;0,
    COUNTIFS($AE$3:$AE$201,$M332)&gt;0,
    COUNTIFS($AF$3:$AF$201,$M332)&gt;0,
    COUNTIFS($AG$3:$AG$201,$M332)&gt;0,
    COUNTIFS($AH$3:$AH$201,$M332)&gt;0,
    COUNTIFS($AI$3:$AI$201,$M332)&gt;0,
    COUNTIFS($AJ$3:$AJ$201,$M332)&gt;0,
    COUNTIFS($AK$3:$AK$201,$M332)&gt;0,
    COUNTIFS($AL$3:$AL$201,$M332)&gt;0,
    COUNTIFS($AM$3:$AM$201,$M332)&gt;0,
    COUNTIFS($AN$3:$AN$201,$M332)&gt;0,
    COUNTIFS($AO$3:$AO$201,$M332)&gt;0,
    COUNTIFS($AP$3:$AP$201,$M332)&gt;0,
    COUNTIFS($AQ$3:$AQ$201,$M332)&gt;0,
    COUNTIFS($AR$3:$AR$201,$M332)&gt;0,
    COUNTIFS($AS$3:$AS$201,$M332)&gt;0,
    COUNTIFS($AT$3:$AT$201,$M332)&gt;0,
    COUNTIFS($AU$3:$AU$201,$M332)&gt;0,
    COUNTIFS($AV$3:$AV$201,$M332)&gt;0,
    COUNTIFS($AW$3:$AW$201,$M332)&gt;0
   ),
  0)
 ),
"")</f>
        <v/>
      </c>
      <c r="P332" s="3" t="str" cm="1">
        <f t="array" ref="P332">IFERROR(
 INDEX(
  _xlfn._xlws.FILTER($T$2:$AW$2,
   TRANSPOSE(
    CHOOSE({1;2;3;4;5;6;7;8;9;10;11;12;13;14;15;16;17;18;19;20;21;22;23;24;25;26;27;28;29;30},
     COUNTIFS($T$3:$T$201,$M332)&gt;0,
     COUNTIFS($U$3:$U$201,$M332)&gt;0,
     COUNTIFS($V$3:$V$201,$M332)&gt;0,
     COUNTIFS($W$3:$W$201,$M332)&gt;0,
     COUNTIFS($X$3:$X$201,$M332)&gt;0,
     COUNTIFS($Y$3:$Y$201,$M332)&gt;0,
     COUNTIFS($Z$3:$Z$201,$M332)&gt;0,
     COUNTIFS($AA$3:$AA$201,$M332)&gt;0,
     COUNTIFS($AB$3:$AB$201,$M332)&gt;0,
     COUNTIFS($AC$3:$AC$201,$M332)&gt;0,
     COUNTIFS($AD$3:$AD$201,$M332)&gt;0,
     COUNTIFS($AE$3:$AE$201,$M332)&gt;0,
     COUNTIFS($AF$3:$AF$201,$M332)&gt;0,
     COUNTIFS($AG$3:$AG$201,$M332)&gt;0,
     COUNTIFS($AH$3:$AH$201,$M332)&gt;0,
     COUNTIFS($AI$3:$AI$201,$M332)&gt;0,
     COUNTIFS($AJ$3:$AJ$201,$M332)&gt;0,
     COUNTIFS($AK$3:$AK$201,$M332)&gt;0,
     COUNTIFS($AL$3:$AL$201,$M332)&gt;0,
     COUNTIFS($AM$3:$AM$201,$M332)&gt;0,
     COUNTIFS($AN$3:$AN$201,$M332)&gt;0,
     COUNTIFS($AO$3:$AO$201,$M332)&gt;0,
     COUNTIFS($AP$3:$AP$201,$M332)&gt;0,
     COUNTIFS($AQ$3:$AQ$201,$M332)&gt;0,
     COUNTIFS($AR$3:$AR$201,$M332)&gt;0,
     COUNTIFS($AS$3:$AS$201,$M332)&gt;0,
     COUNTIFS($AT$3:$AT$201,$M332)&gt;0,
     COUNTIFS($AU$3:$AU$201,$M332)&gt;0,
     COUNTIFS($AV$3:$AV$201,$M332)&gt;0,
     COUNTIFS($AW$3:$AW$201,$M332)&gt;0
   )),
  ),
  2
 ),
"")</f>
        <v/>
      </c>
      <c r="Q332" s="3" t="str" cm="1">
        <f t="array" ref="Q332">IFERROR(
 INDEX(
  _xlfn._xlws.FILTER($T$2:$AW$2,
   TRANSPOSE(
    CHOOSE({1;2;3;4;5;6;7;8;9;10;11;12;13;14;15;16;17;18;19;20;21;22;23;24;25;26;27;28;29;30},
     COUNTIFS($T$3:$T$201,$M332)&gt;0,
     COUNTIFS($U$3:$U$201,$M332)&gt;0,
     COUNTIFS($V$3:$V$201,$M332)&gt;0,
     COUNTIFS($W$3:$W$201,$M332)&gt;0,
     COUNTIFS($X$3:$X$201,$M332)&gt;0,
     COUNTIFS($Y$3:$Y$201,$M332)&gt;0,
     COUNTIFS($Z$3:$Z$201,$M332)&gt;0,
     COUNTIFS($AA$3:$AA$201,$M332)&gt;0,
     COUNTIFS($AB$3:$AB$201,$M332)&gt;0,
     COUNTIFS($AC$3:$AC$201,$M332)&gt;0,
     COUNTIFS($AD$3:$AD$201,$M332)&gt;0,
     COUNTIFS($AE$3:$AE$201,$M332)&gt;0,
     COUNTIFS($AF$3:$AF$201,$M332)&gt;0,
     COUNTIFS($AG$3:$AG$201,$M332)&gt;0,
     COUNTIFS($AH$3:$AH$201,$M332)&gt;0,
     COUNTIFS($AI$3:$AI$201,$M332)&gt;0,
     COUNTIFS($AJ$3:$AJ$201,$M332)&gt;0,
     COUNTIFS($AK$3:$AK$201,$M332)&gt;0,
     COUNTIFS($AL$3:$AL$201,$M332)&gt;0,
     COUNTIFS($AM$3:$AM$201,$M332)&gt;0,
     COUNTIFS($AN$3:$AN$201,$M332)&gt;0,
     COUNTIFS($AO$3:$AO$201,$M332)&gt;0,
     COUNTIFS($AP$3:$AP$201,$M332)&gt;0,
     COUNTIFS($AQ$3:$AQ$201,$M332)&gt;0,
     COUNTIFS($AR$3:$AR$201,$M332)&gt;0,
     COUNTIFS($AS$3:$AS$201,$M332)&gt;0,
     COUNTIFS($AT$3:$AT$201,$M332)&gt;0,
     COUNTIFS($AU$3:$AU$201,$M332)&gt;0,
     COUNTIFS($AV$3:$AV$201,$M332)&gt;0,
     COUNTIFS($AW$3:$AW$201,$M332)&gt;0
   )),
  ),
  3
 ),
"")</f>
        <v/>
      </c>
      <c r="R332" s="3" t="str" cm="1">
        <f t="array" ref="R332">IFERROR(
 INDEX(
  _xlfn._xlws.FILTER($T$2:$AW$2,
   TRANSPOSE(
    CHOOSE({1;2;3;4;5;6;7;8;9;10;11;12;13;14;15;16;17;18;19;20;21;22;23;24;25;26;27;28;29;30},
     COUNTIFS($T$3:$T$201,$M332)&gt;0,
     COUNTIFS($U$3:$U$201,$M332)&gt;0,
     COUNTIFS($V$3:$V$201,$M332)&gt;0,
     COUNTIFS($W$3:$W$201,$M332)&gt;0,
     COUNTIFS($X$3:$X$201,$M332)&gt;0,
     COUNTIFS($Y$3:$Y$201,$M332)&gt;0,
     COUNTIFS($Z$3:$Z$201,$M332)&gt;0,
     COUNTIFS($AA$3:$AA$201,$M332)&gt;0,
     COUNTIFS($AB$3:$AB$201,$M332)&gt;0,
     COUNTIFS($AC$3:$AC$201,$M332)&gt;0,
     COUNTIFS($AD$3:$AD$201,$M332)&gt;0,
     COUNTIFS($AE$3:$AE$201,$M332)&gt;0,
     COUNTIFS($AF$3:$AF$201,$M332)&gt;0,
     COUNTIFS($AG$3:$AG$201,$M332)&gt;0,
     COUNTIFS($AH$3:$AH$201,$M332)&gt;0,
     COUNTIFS($AI$3:$AI$201,$M332)&gt;0,
     COUNTIFS($AJ$3:$AJ$201,$M332)&gt;0,
     COUNTIFS($AK$3:$AK$201,$M332)&gt;0,
     COUNTIFS($AL$3:$AL$201,$M332)&gt;0,
     COUNTIFS($AM$3:$AM$201,$M332)&gt;0,
     COUNTIFS($AN$3:$AN$201,$M332)&gt;0,
     COUNTIFS($AO$3:$AO$201,$M332)&gt;0,
     COUNTIFS($AP$3:$AP$201,$M332)&gt;0,
     COUNTIFS($AQ$3:$AQ$201,$M332)&gt;0,
     COUNTIFS($AR$3:$AR$201,$M332)&gt;0,
     COUNTIFS($AS$3:$AS$201,$M332)&gt;0,
     COUNTIFS($AT$3:$AT$201,$M332)&gt;0,
     COUNTIFS($AU$3:$AU$201,$M332)&gt;0,
     COUNTIFS($AV$3:$AV$201,$M332)&gt;0,
     COUNTIFS($AW$3:$AW$201,$M332)&gt;0
   )),
  ),
  4
 ),
"")</f>
        <v/>
      </c>
    </row>
    <row r="333" spans="1:18" x14ac:dyDescent="0.25">
      <c r="A333" t="str">
        <f ca="1"/>
        <v>Westvale Abbey</v>
      </c>
      <c r="B333" s="3" t="str" cm="1">
        <f t="array" aca="1" ref="B333" ca="1">_xlfn.ANCHORARRAY(RESUMO!C332)</f>
        <v>Alela</v>
      </c>
      <c r="C333" s="3" t="str">
        <f t="shared" ca="1" si="20"/>
        <v/>
      </c>
      <c r="N333" s="3">
        <f t="shared" si="21"/>
        <v>0</v>
      </c>
      <c r="O333" s="3" t="str">
        <f>IFERROR(
 INDEX($T$2:$AW$2,
  MATCH(TRUE,
   CHOOSE({1;2;3;4;5;6;7;8;9;10;11;12;13;14;15;16;17;18;19;20;21;22;23;24;25;26;27;28;29;30;31;32},
    COUNTIFS($T$3:$T$201,$M333)&gt;0,
    COUNTIFS($U$3:$U$201,$M333)&gt;0,
    COUNTIFS($V$3:$V$201,$M333)&gt;0,
    COUNTIFS($W$3:$W$201,$M333)&gt;0,
    COUNTIFS($X$3:$X$201,$M333)&gt;0,
    COUNTIFS($Y$3:$Y$201,$M333)&gt;0,
    COUNTIFS($Z$3:$Z$201,$M333)&gt;0,
    COUNTIFS($AA$3:$AA$201,$M333)&gt;0,
    COUNTIFS($AB$3:$AB$201,$M333)&gt;0,
    COUNTIFS($AC$3:$AC$201,$M333)&gt;0,
    COUNTIFS($AD$3:$AD$201,$M333)&gt;0,
    COUNTIFS($AE$3:$AE$201,$M333)&gt;0,
    COUNTIFS($AF$3:$AF$201,$M333)&gt;0,
    COUNTIFS($AG$3:$AG$201,$M333)&gt;0,
    COUNTIFS($AH$3:$AH$201,$M333)&gt;0,
    COUNTIFS($AI$3:$AI$201,$M333)&gt;0,
    COUNTIFS($AJ$3:$AJ$201,$M333)&gt;0,
    COUNTIFS($AK$3:$AK$201,$M333)&gt;0,
    COUNTIFS($AL$3:$AL$201,$M333)&gt;0,
    COUNTIFS($AM$3:$AM$201,$M333)&gt;0,
    COUNTIFS($AN$3:$AN$201,$M333)&gt;0,
    COUNTIFS($AO$3:$AO$201,$M333)&gt;0,
    COUNTIFS($AP$3:$AP$201,$M333)&gt;0,
    COUNTIFS($AQ$3:$AQ$201,$M333)&gt;0,
    COUNTIFS($AR$3:$AR$201,$M333)&gt;0,
    COUNTIFS($AS$3:$AS$201,$M333)&gt;0,
    COUNTIFS($AT$3:$AT$201,$M333)&gt;0,
    COUNTIFS($AU$3:$AU$201,$M333)&gt;0,
    COUNTIFS($AV$3:$AV$201,$M333)&gt;0,
    COUNTIFS($AW$3:$AW$201,$M333)&gt;0
   ),
  0)
 ),
"")</f>
        <v/>
      </c>
      <c r="P333" s="3" t="str" cm="1">
        <f t="array" ref="P333">IFERROR(
 INDEX(
  _xlfn._xlws.FILTER($T$2:$AW$2,
   TRANSPOSE(
    CHOOSE({1;2;3;4;5;6;7;8;9;10;11;12;13;14;15;16;17;18;19;20;21;22;23;24;25;26;27;28;29;30},
     COUNTIFS($T$3:$T$201,$M333)&gt;0,
     COUNTIFS($U$3:$U$201,$M333)&gt;0,
     COUNTIFS($V$3:$V$201,$M333)&gt;0,
     COUNTIFS($W$3:$W$201,$M333)&gt;0,
     COUNTIFS($X$3:$X$201,$M333)&gt;0,
     COUNTIFS($Y$3:$Y$201,$M333)&gt;0,
     COUNTIFS($Z$3:$Z$201,$M333)&gt;0,
     COUNTIFS($AA$3:$AA$201,$M333)&gt;0,
     COUNTIFS($AB$3:$AB$201,$M333)&gt;0,
     COUNTIFS($AC$3:$AC$201,$M333)&gt;0,
     COUNTIFS($AD$3:$AD$201,$M333)&gt;0,
     COUNTIFS($AE$3:$AE$201,$M333)&gt;0,
     COUNTIFS($AF$3:$AF$201,$M333)&gt;0,
     COUNTIFS($AG$3:$AG$201,$M333)&gt;0,
     COUNTIFS($AH$3:$AH$201,$M333)&gt;0,
     COUNTIFS($AI$3:$AI$201,$M333)&gt;0,
     COUNTIFS($AJ$3:$AJ$201,$M333)&gt;0,
     COUNTIFS($AK$3:$AK$201,$M333)&gt;0,
     COUNTIFS($AL$3:$AL$201,$M333)&gt;0,
     COUNTIFS($AM$3:$AM$201,$M333)&gt;0,
     COUNTIFS($AN$3:$AN$201,$M333)&gt;0,
     COUNTIFS($AO$3:$AO$201,$M333)&gt;0,
     COUNTIFS($AP$3:$AP$201,$M333)&gt;0,
     COUNTIFS($AQ$3:$AQ$201,$M333)&gt;0,
     COUNTIFS($AR$3:$AR$201,$M333)&gt;0,
     COUNTIFS($AS$3:$AS$201,$M333)&gt;0,
     COUNTIFS($AT$3:$AT$201,$M333)&gt;0,
     COUNTIFS($AU$3:$AU$201,$M333)&gt;0,
     COUNTIFS($AV$3:$AV$201,$M333)&gt;0,
     COUNTIFS($AW$3:$AW$201,$M333)&gt;0
   )),
  ),
  2
 ),
"")</f>
        <v/>
      </c>
      <c r="Q333" s="3" t="str" cm="1">
        <f t="array" ref="Q333">IFERROR(
 INDEX(
  _xlfn._xlws.FILTER($T$2:$AW$2,
   TRANSPOSE(
    CHOOSE({1;2;3;4;5;6;7;8;9;10;11;12;13;14;15;16;17;18;19;20;21;22;23;24;25;26;27;28;29;30},
     COUNTIFS($T$3:$T$201,$M333)&gt;0,
     COUNTIFS($U$3:$U$201,$M333)&gt;0,
     COUNTIFS($V$3:$V$201,$M333)&gt;0,
     COUNTIFS($W$3:$W$201,$M333)&gt;0,
     COUNTIFS($X$3:$X$201,$M333)&gt;0,
     COUNTIFS($Y$3:$Y$201,$M333)&gt;0,
     COUNTIFS($Z$3:$Z$201,$M333)&gt;0,
     COUNTIFS($AA$3:$AA$201,$M333)&gt;0,
     COUNTIFS($AB$3:$AB$201,$M333)&gt;0,
     COUNTIFS($AC$3:$AC$201,$M333)&gt;0,
     COUNTIFS($AD$3:$AD$201,$M333)&gt;0,
     COUNTIFS($AE$3:$AE$201,$M333)&gt;0,
     COUNTIFS($AF$3:$AF$201,$M333)&gt;0,
     COUNTIFS($AG$3:$AG$201,$M333)&gt;0,
     COUNTIFS($AH$3:$AH$201,$M333)&gt;0,
     COUNTIFS($AI$3:$AI$201,$M333)&gt;0,
     COUNTIFS($AJ$3:$AJ$201,$M333)&gt;0,
     COUNTIFS($AK$3:$AK$201,$M333)&gt;0,
     COUNTIFS($AL$3:$AL$201,$M333)&gt;0,
     COUNTIFS($AM$3:$AM$201,$M333)&gt;0,
     COUNTIFS($AN$3:$AN$201,$M333)&gt;0,
     COUNTIFS($AO$3:$AO$201,$M333)&gt;0,
     COUNTIFS($AP$3:$AP$201,$M333)&gt;0,
     COUNTIFS($AQ$3:$AQ$201,$M333)&gt;0,
     COUNTIFS($AR$3:$AR$201,$M333)&gt;0,
     COUNTIFS($AS$3:$AS$201,$M333)&gt;0,
     COUNTIFS($AT$3:$AT$201,$M333)&gt;0,
     COUNTIFS($AU$3:$AU$201,$M333)&gt;0,
     COUNTIFS($AV$3:$AV$201,$M333)&gt;0,
     COUNTIFS($AW$3:$AW$201,$M333)&gt;0
   )),
  ),
  3
 ),
"")</f>
        <v/>
      </c>
      <c r="R333" s="3" t="str" cm="1">
        <f t="array" ref="R333">IFERROR(
 INDEX(
  _xlfn._xlws.FILTER($T$2:$AW$2,
   TRANSPOSE(
    CHOOSE({1;2;3;4;5;6;7;8;9;10;11;12;13;14;15;16;17;18;19;20;21;22;23;24;25;26;27;28;29;30},
     COUNTIFS($T$3:$T$201,$M333)&gt;0,
     COUNTIFS($U$3:$U$201,$M333)&gt;0,
     COUNTIFS($V$3:$V$201,$M333)&gt;0,
     COUNTIFS($W$3:$W$201,$M333)&gt;0,
     COUNTIFS($X$3:$X$201,$M333)&gt;0,
     COUNTIFS($Y$3:$Y$201,$M333)&gt;0,
     COUNTIFS($Z$3:$Z$201,$M333)&gt;0,
     COUNTIFS($AA$3:$AA$201,$M333)&gt;0,
     COUNTIFS($AB$3:$AB$201,$M333)&gt;0,
     COUNTIFS($AC$3:$AC$201,$M333)&gt;0,
     COUNTIFS($AD$3:$AD$201,$M333)&gt;0,
     COUNTIFS($AE$3:$AE$201,$M333)&gt;0,
     COUNTIFS($AF$3:$AF$201,$M333)&gt;0,
     COUNTIFS($AG$3:$AG$201,$M333)&gt;0,
     COUNTIFS($AH$3:$AH$201,$M333)&gt;0,
     COUNTIFS($AI$3:$AI$201,$M333)&gt;0,
     COUNTIFS($AJ$3:$AJ$201,$M333)&gt;0,
     COUNTIFS($AK$3:$AK$201,$M333)&gt;0,
     COUNTIFS($AL$3:$AL$201,$M333)&gt;0,
     COUNTIFS($AM$3:$AM$201,$M333)&gt;0,
     COUNTIFS($AN$3:$AN$201,$M333)&gt;0,
     COUNTIFS($AO$3:$AO$201,$M333)&gt;0,
     COUNTIFS($AP$3:$AP$201,$M333)&gt;0,
     COUNTIFS($AQ$3:$AQ$201,$M333)&gt;0,
     COUNTIFS($AR$3:$AR$201,$M333)&gt;0,
     COUNTIFS($AS$3:$AS$201,$M333)&gt;0,
     COUNTIFS($AT$3:$AT$201,$M333)&gt;0,
     COUNTIFS($AU$3:$AU$201,$M333)&gt;0,
     COUNTIFS($AV$3:$AV$201,$M333)&gt;0,
     COUNTIFS($AW$3:$AW$201,$M333)&gt;0
   )),
  ),
  4
 ),
"")</f>
        <v/>
      </c>
    </row>
    <row r="334" spans="1:18" x14ac:dyDescent="0.25">
      <c r="A334" t="str">
        <f ca="1"/>
        <v>Windcrag Siege</v>
      </c>
      <c r="B334" s="3" t="str" cm="1">
        <f t="array" aca="1" ref="B334" ca="1">_xlfn.ANCHORARRAY(RESUMO!C333)</f>
        <v>Narset</v>
      </c>
      <c r="C334" s="3" t="str">
        <f t="shared" ca="1" si="20"/>
        <v/>
      </c>
      <c r="N334" s="3">
        <f t="shared" si="21"/>
        <v>0</v>
      </c>
      <c r="O334" s="3" t="str">
        <f>IFERROR(
 INDEX($T$2:$AW$2,
  MATCH(TRUE,
   CHOOSE({1;2;3;4;5;6;7;8;9;10;11;12;13;14;15;16;17;18;19;20;21;22;23;24;25;26;27;28;29;30;31;32},
    COUNTIFS($T$3:$T$201,$M334)&gt;0,
    COUNTIFS($U$3:$U$201,$M334)&gt;0,
    COUNTIFS($V$3:$V$201,$M334)&gt;0,
    COUNTIFS($W$3:$W$201,$M334)&gt;0,
    COUNTIFS($X$3:$X$201,$M334)&gt;0,
    COUNTIFS($Y$3:$Y$201,$M334)&gt;0,
    COUNTIFS($Z$3:$Z$201,$M334)&gt;0,
    COUNTIFS($AA$3:$AA$201,$M334)&gt;0,
    COUNTIFS($AB$3:$AB$201,$M334)&gt;0,
    COUNTIFS($AC$3:$AC$201,$M334)&gt;0,
    COUNTIFS($AD$3:$AD$201,$M334)&gt;0,
    COUNTIFS($AE$3:$AE$201,$M334)&gt;0,
    COUNTIFS($AF$3:$AF$201,$M334)&gt;0,
    COUNTIFS($AG$3:$AG$201,$M334)&gt;0,
    COUNTIFS($AH$3:$AH$201,$M334)&gt;0,
    COUNTIFS($AI$3:$AI$201,$M334)&gt;0,
    COUNTIFS($AJ$3:$AJ$201,$M334)&gt;0,
    COUNTIFS($AK$3:$AK$201,$M334)&gt;0,
    COUNTIFS($AL$3:$AL$201,$M334)&gt;0,
    COUNTIFS($AM$3:$AM$201,$M334)&gt;0,
    COUNTIFS($AN$3:$AN$201,$M334)&gt;0,
    COUNTIFS($AO$3:$AO$201,$M334)&gt;0,
    COUNTIFS($AP$3:$AP$201,$M334)&gt;0,
    COUNTIFS($AQ$3:$AQ$201,$M334)&gt;0,
    COUNTIFS($AR$3:$AR$201,$M334)&gt;0,
    COUNTIFS($AS$3:$AS$201,$M334)&gt;0,
    COUNTIFS($AT$3:$AT$201,$M334)&gt;0,
    COUNTIFS($AU$3:$AU$201,$M334)&gt;0,
    COUNTIFS($AV$3:$AV$201,$M334)&gt;0,
    COUNTIFS($AW$3:$AW$201,$M334)&gt;0
   ),
  0)
 ),
"")</f>
        <v/>
      </c>
      <c r="P334" s="3" t="str" cm="1">
        <f t="array" ref="P334">IFERROR(
 INDEX(
  _xlfn._xlws.FILTER($T$2:$AW$2,
   TRANSPOSE(
    CHOOSE({1;2;3;4;5;6;7;8;9;10;11;12;13;14;15;16;17;18;19;20;21;22;23;24;25;26;27;28;29;30},
     COUNTIFS($T$3:$T$201,$M334)&gt;0,
     COUNTIFS($U$3:$U$201,$M334)&gt;0,
     COUNTIFS($V$3:$V$201,$M334)&gt;0,
     COUNTIFS($W$3:$W$201,$M334)&gt;0,
     COUNTIFS($X$3:$X$201,$M334)&gt;0,
     COUNTIFS($Y$3:$Y$201,$M334)&gt;0,
     COUNTIFS($Z$3:$Z$201,$M334)&gt;0,
     COUNTIFS($AA$3:$AA$201,$M334)&gt;0,
     COUNTIFS($AB$3:$AB$201,$M334)&gt;0,
     COUNTIFS($AC$3:$AC$201,$M334)&gt;0,
     COUNTIFS($AD$3:$AD$201,$M334)&gt;0,
     COUNTIFS($AE$3:$AE$201,$M334)&gt;0,
     COUNTIFS($AF$3:$AF$201,$M334)&gt;0,
     COUNTIFS($AG$3:$AG$201,$M334)&gt;0,
     COUNTIFS($AH$3:$AH$201,$M334)&gt;0,
     COUNTIFS($AI$3:$AI$201,$M334)&gt;0,
     COUNTIFS($AJ$3:$AJ$201,$M334)&gt;0,
     COUNTIFS($AK$3:$AK$201,$M334)&gt;0,
     COUNTIFS($AL$3:$AL$201,$M334)&gt;0,
     COUNTIFS($AM$3:$AM$201,$M334)&gt;0,
     COUNTIFS($AN$3:$AN$201,$M334)&gt;0,
     COUNTIFS($AO$3:$AO$201,$M334)&gt;0,
     COUNTIFS($AP$3:$AP$201,$M334)&gt;0,
     COUNTIFS($AQ$3:$AQ$201,$M334)&gt;0,
     COUNTIFS($AR$3:$AR$201,$M334)&gt;0,
     COUNTIFS($AS$3:$AS$201,$M334)&gt;0,
     COUNTIFS($AT$3:$AT$201,$M334)&gt;0,
     COUNTIFS($AU$3:$AU$201,$M334)&gt;0,
     COUNTIFS($AV$3:$AV$201,$M334)&gt;0,
     COUNTIFS($AW$3:$AW$201,$M334)&gt;0
   )),
  ),
  2
 ),
"")</f>
        <v/>
      </c>
      <c r="Q334" s="3" t="str" cm="1">
        <f t="array" ref="Q334">IFERROR(
 INDEX(
  _xlfn._xlws.FILTER($T$2:$AW$2,
   TRANSPOSE(
    CHOOSE({1;2;3;4;5;6;7;8;9;10;11;12;13;14;15;16;17;18;19;20;21;22;23;24;25;26;27;28;29;30},
     COUNTIFS($T$3:$T$201,$M334)&gt;0,
     COUNTIFS($U$3:$U$201,$M334)&gt;0,
     COUNTIFS($V$3:$V$201,$M334)&gt;0,
     COUNTIFS($W$3:$W$201,$M334)&gt;0,
     COUNTIFS($X$3:$X$201,$M334)&gt;0,
     COUNTIFS($Y$3:$Y$201,$M334)&gt;0,
     COUNTIFS($Z$3:$Z$201,$M334)&gt;0,
     COUNTIFS($AA$3:$AA$201,$M334)&gt;0,
     COUNTIFS($AB$3:$AB$201,$M334)&gt;0,
     COUNTIFS($AC$3:$AC$201,$M334)&gt;0,
     COUNTIFS($AD$3:$AD$201,$M334)&gt;0,
     COUNTIFS($AE$3:$AE$201,$M334)&gt;0,
     COUNTIFS($AF$3:$AF$201,$M334)&gt;0,
     COUNTIFS($AG$3:$AG$201,$M334)&gt;0,
     COUNTIFS($AH$3:$AH$201,$M334)&gt;0,
     COUNTIFS($AI$3:$AI$201,$M334)&gt;0,
     COUNTIFS($AJ$3:$AJ$201,$M334)&gt;0,
     COUNTIFS($AK$3:$AK$201,$M334)&gt;0,
     COUNTIFS($AL$3:$AL$201,$M334)&gt;0,
     COUNTIFS($AM$3:$AM$201,$M334)&gt;0,
     COUNTIFS($AN$3:$AN$201,$M334)&gt;0,
     COUNTIFS($AO$3:$AO$201,$M334)&gt;0,
     COUNTIFS($AP$3:$AP$201,$M334)&gt;0,
     COUNTIFS($AQ$3:$AQ$201,$M334)&gt;0,
     COUNTIFS($AR$3:$AR$201,$M334)&gt;0,
     COUNTIFS($AS$3:$AS$201,$M334)&gt;0,
     COUNTIFS($AT$3:$AT$201,$M334)&gt;0,
     COUNTIFS($AU$3:$AU$201,$M334)&gt;0,
     COUNTIFS($AV$3:$AV$201,$M334)&gt;0,
     COUNTIFS($AW$3:$AW$201,$M334)&gt;0
   )),
  ),
  3
 ),
"")</f>
        <v/>
      </c>
      <c r="R334" s="3" t="str" cm="1">
        <f t="array" ref="R334">IFERROR(
 INDEX(
  _xlfn._xlws.FILTER($T$2:$AW$2,
   TRANSPOSE(
    CHOOSE({1;2;3;4;5;6;7;8;9;10;11;12;13;14;15;16;17;18;19;20;21;22;23;24;25;26;27;28;29;30},
     COUNTIFS($T$3:$T$201,$M334)&gt;0,
     COUNTIFS($U$3:$U$201,$M334)&gt;0,
     COUNTIFS($V$3:$V$201,$M334)&gt;0,
     COUNTIFS($W$3:$W$201,$M334)&gt;0,
     COUNTIFS($X$3:$X$201,$M334)&gt;0,
     COUNTIFS($Y$3:$Y$201,$M334)&gt;0,
     COUNTIFS($Z$3:$Z$201,$M334)&gt;0,
     COUNTIFS($AA$3:$AA$201,$M334)&gt;0,
     COUNTIFS($AB$3:$AB$201,$M334)&gt;0,
     COUNTIFS($AC$3:$AC$201,$M334)&gt;0,
     COUNTIFS($AD$3:$AD$201,$M334)&gt;0,
     COUNTIFS($AE$3:$AE$201,$M334)&gt;0,
     COUNTIFS($AF$3:$AF$201,$M334)&gt;0,
     COUNTIFS($AG$3:$AG$201,$M334)&gt;0,
     COUNTIFS($AH$3:$AH$201,$M334)&gt;0,
     COUNTIFS($AI$3:$AI$201,$M334)&gt;0,
     COUNTIFS($AJ$3:$AJ$201,$M334)&gt;0,
     COUNTIFS($AK$3:$AK$201,$M334)&gt;0,
     COUNTIFS($AL$3:$AL$201,$M334)&gt;0,
     COUNTIFS($AM$3:$AM$201,$M334)&gt;0,
     COUNTIFS($AN$3:$AN$201,$M334)&gt;0,
     COUNTIFS($AO$3:$AO$201,$M334)&gt;0,
     COUNTIFS($AP$3:$AP$201,$M334)&gt;0,
     COUNTIFS($AQ$3:$AQ$201,$M334)&gt;0,
     COUNTIFS($AR$3:$AR$201,$M334)&gt;0,
     COUNTIFS($AS$3:$AS$201,$M334)&gt;0,
     COUNTIFS($AT$3:$AT$201,$M334)&gt;0,
     COUNTIFS($AU$3:$AU$201,$M334)&gt;0,
     COUNTIFS($AV$3:$AV$201,$M334)&gt;0,
     COUNTIFS($AW$3:$AW$201,$M334)&gt;0
   )),
  ),
  4
 ),
"")</f>
        <v/>
      </c>
    </row>
    <row r="335" spans="1:18" x14ac:dyDescent="0.25">
      <c r="A335" t="str">
        <f ca="1"/>
        <v>World at War</v>
      </c>
      <c r="B335" s="3" t="str" cm="1">
        <f t="array" aca="1" ref="B335" ca="1">_xlfn.ANCHORARRAY(RESUMO!C334)</f>
        <v>Narset</v>
      </c>
      <c r="C335" s="3" t="str">
        <f t="shared" ca="1" si="20"/>
        <v/>
      </c>
      <c r="N335" s="3">
        <f t="shared" si="21"/>
        <v>0</v>
      </c>
      <c r="O335" s="3" t="str">
        <f>IFERROR(
 INDEX($T$2:$AW$2,
  MATCH(TRUE,
   CHOOSE({1;2;3;4;5;6;7;8;9;10;11;12;13;14;15;16;17;18;19;20;21;22;23;24;25;26;27;28;29;30;31;32},
    COUNTIFS($T$3:$T$201,$M335)&gt;0,
    COUNTIFS($U$3:$U$201,$M335)&gt;0,
    COUNTIFS($V$3:$V$201,$M335)&gt;0,
    COUNTIFS($W$3:$W$201,$M335)&gt;0,
    COUNTIFS($X$3:$X$201,$M335)&gt;0,
    COUNTIFS($Y$3:$Y$201,$M335)&gt;0,
    COUNTIFS($Z$3:$Z$201,$M335)&gt;0,
    COUNTIFS($AA$3:$AA$201,$M335)&gt;0,
    COUNTIFS($AB$3:$AB$201,$M335)&gt;0,
    COUNTIFS($AC$3:$AC$201,$M335)&gt;0,
    COUNTIFS($AD$3:$AD$201,$M335)&gt;0,
    COUNTIFS($AE$3:$AE$201,$M335)&gt;0,
    COUNTIFS($AF$3:$AF$201,$M335)&gt;0,
    COUNTIFS($AG$3:$AG$201,$M335)&gt;0,
    COUNTIFS($AH$3:$AH$201,$M335)&gt;0,
    COUNTIFS($AI$3:$AI$201,$M335)&gt;0,
    COUNTIFS($AJ$3:$AJ$201,$M335)&gt;0,
    COUNTIFS($AK$3:$AK$201,$M335)&gt;0,
    COUNTIFS($AL$3:$AL$201,$M335)&gt;0,
    COUNTIFS($AM$3:$AM$201,$M335)&gt;0,
    COUNTIFS($AN$3:$AN$201,$M335)&gt;0,
    COUNTIFS($AO$3:$AO$201,$M335)&gt;0,
    COUNTIFS($AP$3:$AP$201,$M335)&gt;0,
    COUNTIFS($AQ$3:$AQ$201,$M335)&gt;0,
    COUNTIFS($AR$3:$AR$201,$M335)&gt;0,
    COUNTIFS($AS$3:$AS$201,$M335)&gt;0,
    COUNTIFS($AT$3:$AT$201,$M335)&gt;0,
    COUNTIFS($AU$3:$AU$201,$M335)&gt;0,
    COUNTIFS($AV$3:$AV$201,$M335)&gt;0,
    COUNTIFS($AW$3:$AW$201,$M335)&gt;0
   ),
  0)
 ),
"")</f>
        <v/>
      </c>
      <c r="P335" s="3" t="str" cm="1">
        <f t="array" ref="P335">IFERROR(
 INDEX(
  _xlfn._xlws.FILTER($T$2:$AW$2,
   TRANSPOSE(
    CHOOSE({1;2;3;4;5;6;7;8;9;10;11;12;13;14;15;16;17;18;19;20;21;22;23;24;25;26;27;28;29;30},
     COUNTIFS($T$3:$T$201,$M335)&gt;0,
     COUNTIFS($U$3:$U$201,$M335)&gt;0,
     COUNTIFS($V$3:$V$201,$M335)&gt;0,
     COUNTIFS($W$3:$W$201,$M335)&gt;0,
     COUNTIFS($X$3:$X$201,$M335)&gt;0,
     COUNTIFS($Y$3:$Y$201,$M335)&gt;0,
     COUNTIFS($Z$3:$Z$201,$M335)&gt;0,
     COUNTIFS($AA$3:$AA$201,$M335)&gt;0,
     COUNTIFS($AB$3:$AB$201,$M335)&gt;0,
     COUNTIFS($AC$3:$AC$201,$M335)&gt;0,
     COUNTIFS($AD$3:$AD$201,$M335)&gt;0,
     COUNTIFS($AE$3:$AE$201,$M335)&gt;0,
     COUNTIFS($AF$3:$AF$201,$M335)&gt;0,
     COUNTIFS($AG$3:$AG$201,$M335)&gt;0,
     COUNTIFS($AH$3:$AH$201,$M335)&gt;0,
     COUNTIFS($AI$3:$AI$201,$M335)&gt;0,
     COUNTIFS($AJ$3:$AJ$201,$M335)&gt;0,
     COUNTIFS($AK$3:$AK$201,$M335)&gt;0,
     COUNTIFS($AL$3:$AL$201,$M335)&gt;0,
     COUNTIFS($AM$3:$AM$201,$M335)&gt;0,
     COUNTIFS($AN$3:$AN$201,$M335)&gt;0,
     COUNTIFS($AO$3:$AO$201,$M335)&gt;0,
     COUNTIFS($AP$3:$AP$201,$M335)&gt;0,
     COUNTIFS($AQ$3:$AQ$201,$M335)&gt;0,
     COUNTIFS($AR$3:$AR$201,$M335)&gt;0,
     COUNTIFS($AS$3:$AS$201,$M335)&gt;0,
     COUNTIFS($AT$3:$AT$201,$M335)&gt;0,
     COUNTIFS($AU$3:$AU$201,$M335)&gt;0,
     COUNTIFS($AV$3:$AV$201,$M335)&gt;0,
     COUNTIFS($AW$3:$AW$201,$M335)&gt;0
   )),
  ),
  2
 ),
"")</f>
        <v/>
      </c>
      <c r="Q335" s="3" t="str" cm="1">
        <f t="array" ref="Q335">IFERROR(
 INDEX(
  _xlfn._xlws.FILTER($T$2:$AW$2,
   TRANSPOSE(
    CHOOSE({1;2;3;4;5;6;7;8;9;10;11;12;13;14;15;16;17;18;19;20;21;22;23;24;25;26;27;28;29;30},
     COUNTIFS($T$3:$T$201,$M335)&gt;0,
     COUNTIFS($U$3:$U$201,$M335)&gt;0,
     COUNTIFS($V$3:$V$201,$M335)&gt;0,
     COUNTIFS($W$3:$W$201,$M335)&gt;0,
     COUNTIFS($X$3:$X$201,$M335)&gt;0,
     COUNTIFS($Y$3:$Y$201,$M335)&gt;0,
     COUNTIFS($Z$3:$Z$201,$M335)&gt;0,
     COUNTIFS($AA$3:$AA$201,$M335)&gt;0,
     COUNTIFS($AB$3:$AB$201,$M335)&gt;0,
     COUNTIFS($AC$3:$AC$201,$M335)&gt;0,
     COUNTIFS($AD$3:$AD$201,$M335)&gt;0,
     COUNTIFS($AE$3:$AE$201,$M335)&gt;0,
     COUNTIFS($AF$3:$AF$201,$M335)&gt;0,
     COUNTIFS($AG$3:$AG$201,$M335)&gt;0,
     COUNTIFS($AH$3:$AH$201,$M335)&gt;0,
     COUNTIFS($AI$3:$AI$201,$M335)&gt;0,
     COUNTIFS($AJ$3:$AJ$201,$M335)&gt;0,
     COUNTIFS($AK$3:$AK$201,$M335)&gt;0,
     COUNTIFS($AL$3:$AL$201,$M335)&gt;0,
     COUNTIFS($AM$3:$AM$201,$M335)&gt;0,
     COUNTIFS($AN$3:$AN$201,$M335)&gt;0,
     COUNTIFS($AO$3:$AO$201,$M335)&gt;0,
     COUNTIFS($AP$3:$AP$201,$M335)&gt;0,
     COUNTIFS($AQ$3:$AQ$201,$M335)&gt;0,
     COUNTIFS($AR$3:$AR$201,$M335)&gt;0,
     COUNTIFS($AS$3:$AS$201,$M335)&gt;0,
     COUNTIFS($AT$3:$AT$201,$M335)&gt;0,
     COUNTIFS($AU$3:$AU$201,$M335)&gt;0,
     COUNTIFS($AV$3:$AV$201,$M335)&gt;0,
     COUNTIFS($AW$3:$AW$201,$M335)&gt;0
   )),
  ),
  3
 ),
"")</f>
        <v/>
      </c>
      <c r="R335" s="3" t="str" cm="1">
        <f t="array" ref="R335">IFERROR(
 INDEX(
  _xlfn._xlws.FILTER($T$2:$AW$2,
   TRANSPOSE(
    CHOOSE({1;2;3;4;5;6;7;8;9;10;11;12;13;14;15;16;17;18;19;20;21;22;23;24;25;26;27;28;29;30},
     COUNTIFS($T$3:$T$201,$M335)&gt;0,
     COUNTIFS($U$3:$U$201,$M335)&gt;0,
     COUNTIFS($V$3:$V$201,$M335)&gt;0,
     COUNTIFS($W$3:$W$201,$M335)&gt;0,
     COUNTIFS($X$3:$X$201,$M335)&gt;0,
     COUNTIFS($Y$3:$Y$201,$M335)&gt;0,
     COUNTIFS($Z$3:$Z$201,$M335)&gt;0,
     COUNTIFS($AA$3:$AA$201,$M335)&gt;0,
     COUNTIFS($AB$3:$AB$201,$M335)&gt;0,
     COUNTIFS($AC$3:$AC$201,$M335)&gt;0,
     COUNTIFS($AD$3:$AD$201,$M335)&gt;0,
     COUNTIFS($AE$3:$AE$201,$M335)&gt;0,
     COUNTIFS($AF$3:$AF$201,$M335)&gt;0,
     COUNTIFS($AG$3:$AG$201,$M335)&gt;0,
     COUNTIFS($AH$3:$AH$201,$M335)&gt;0,
     COUNTIFS($AI$3:$AI$201,$M335)&gt;0,
     COUNTIFS($AJ$3:$AJ$201,$M335)&gt;0,
     COUNTIFS($AK$3:$AK$201,$M335)&gt;0,
     COUNTIFS($AL$3:$AL$201,$M335)&gt;0,
     COUNTIFS($AM$3:$AM$201,$M335)&gt;0,
     COUNTIFS($AN$3:$AN$201,$M335)&gt;0,
     COUNTIFS($AO$3:$AO$201,$M335)&gt;0,
     COUNTIFS($AP$3:$AP$201,$M335)&gt;0,
     COUNTIFS($AQ$3:$AQ$201,$M335)&gt;0,
     COUNTIFS($AR$3:$AR$201,$M335)&gt;0,
     COUNTIFS($AS$3:$AS$201,$M335)&gt;0,
     COUNTIFS($AT$3:$AT$201,$M335)&gt;0,
     COUNTIFS($AU$3:$AU$201,$M335)&gt;0,
     COUNTIFS($AV$3:$AV$201,$M335)&gt;0,
     COUNTIFS($AW$3:$AW$201,$M335)&gt;0
   )),
  ),
  4
 ),
"")</f>
        <v/>
      </c>
    </row>
    <row r="336" spans="1:18" x14ac:dyDescent="0.25">
      <c r="A336" t="str">
        <f ca="1"/>
        <v>Xantcha, Agente Adormecida</v>
      </c>
      <c r="B336" s="3" t="str" cm="1">
        <f t="array" aca="1" ref="B336" ca="1">_xlfn.ANCHORARRAY(RESUMO!C335)</f>
        <v>Rani</v>
      </c>
      <c r="C336" s="3" t="str">
        <f t="shared" ca="1" si="20"/>
        <v/>
      </c>
      <c r="N336" s="3">
        <f t="shared" si="21"/>
        <v>0</v>
      </c>
      <c r="O336" s="3" t="str">
        <f>IFERROR(
 INDEX($T$2:$AW$2,
  MATCH(TRUE,
   CHOOSE({1;2;3;4;5;6;7;8;9;10;11;12;13;14;15;16;17;18;19;20;21;22;23;24;25;26;27;28;29;30;31;32},
    COUNTIFS($T$3:$T$201,$M336)&gt;0,
    COUNTIFS($U$3:$U$201,$M336)&gt;0,
    COUNTIFS($V$3:$V$201,$M336)&gt;0,
    COUNTIFS($W$3:$W$201,$M336)&gt;0,
    COUNTIFS($X$3:$X$201,$M336)&gt;0,
    COUNTIFS($Y$3:$Y$201,$M336)&gt;0,
    COUNTIFS($Z$3:$Z$201,$M336)&gt;0,
    COUNTIFS($AA$3:$AA$201,$M336)&gt;0,
    COUNTIFS($AB$3:$AB$201,$M336)&gt;0,
    COUNTIFS($AC$3:$AC$201,$M336)&gt;0,
    COUNTIFS($AD$3:$AD$201,$M336)&gt;0,
    COUNTIFS($AE$3:$AE$201,$M336)&gt;0,
    COUNTIFS($AF$3:$AF$201,$M336)&gt;0,
    COUNTIFS($AG$3:$AG$201,$M336)&gt;0,
    COUNTIFS($AH$3:$AH$201,$M336)&gt;0,
    COUNTIFS($AI$3:$AI$201,$M336)&gt;0,
    COUNTIFS($AJ$3:$AJ$201,$M336)&gt;0,
    COUNTIFS($AK$3:$AK$201,$M336)&gt;0,
    COUNTIFS($AL$3:$AL$201,$M336)&gt;0,
    COUNTIFS($AM$3:$AM$201,$M336)&gt;0,
    COUNTIFS($AN$3:$AN$201,$M336)&gt;0,
    COUNTIFS($AO$3:$AO$201,$M336)&gt;0,
    COUNTIFS($AP$3:$AP$201,$M336)&gt;0,
    COUNTIFS($AQ$3:$AQ$201,$M336)&gt;0,
    COUNTIFS($AR$3:$AR$201,$M336)&gt;0,
    COUNTIFS($AS$3:$AS$201,$M336)&gt;0,
    COUNTIFS($AT$3:$AT$201,$M336)&gt;0,
    COUNTIFS($AU$3:$AU$201,$M336)&gt;0,
    COUNTIFS($AV$3:$AV$201,$M336)&gt;0,
    COUNTIFS($AW$3:$AW$201,$M336)&gt;0
   ),
  0)
 ),
"")</f>
        <v/>
      </c>
      <c r="P336" s="3" t="str" cm="1">
        <f t="array" ref="P336">IFERROR(
 INDEX(
  _xlfn._xlws.FILTER($T$2:$AW$2,
   TRANSPOSE(
    CHOOSE({1;2;3;4;5;6;7;8;9;10;11;12;13;14;15;16;17;18;19;20;21;22;23;24;25;26;27;28;29;30},
     COUNTIFS($T$3:$T$201,$M336)&gt;0,
     COUNTIFS($U$3:$U$201,$M336)&gt;0,
     COUNTIFS($V$3:$V$201,$M336)&gt;0,
     COUNTIFS($W$3:$W$201,$M336)&gt;0,
     COUNTIFS($X$3:$X$201,$M336)&gt;0,
     COUNTIFS($Y$3:$Y$201,$M336)&gt;0,
     COUNTIFS($Z$3:$Z$201,$M336)&gt;0,
     COUNTIFS($AA$3:$AA$201,$M336)&gt;0,
     COUNTIFS($AB$3:$AB$201,$M336)&gt;0,
     COUNTIFS($AC$3:$AC$201,$M336)&gt;0,
     COUNTIFS($AD$3:$AD$201,$M336)&gt;0,
     COUNTIFS($AE$3:$AE$201,$M336)&gt;0,
     COUNTIFS($AF$3:$AF$201,$M336)&gt;0,
     COUNTIFS($AG$3:$AG$201,$M336)&gt;0,
     COUNTIFS($AH$3:$AH$201,$M336)&gt;0,
     COUNTIFS($AI$3:$AI$201,$M336)&gt;0,
     COUNTIFS($AJ$3:$AJ$201,$M336)&gt;0,
     COUNTIFS($AK$3:$AK$201,$M336)&gt;0,
     COUNTIFS($AL$3:$AL$201,$M336)&gt;0,
     COUNTIFS($AM$3:$AM$201,$M336)&gt;0,
     COUNTIFS($AN$3:$AN$201,$M336)&gt;0,
     COUNTIFS($AO$3:$AO$201,$M336)&gt;0,
     COUNTIFS($AP$3:$AP$201,$M336)&gt;0,
     COUNTIFS($AQ$3:$AQ$201,$M336)&gt;0,
     COUNTIFS($AR$3:$AR$201,$M336)&gt;0,
     COUNTIFS($AS$3:$AS$201,$M336)&gt;0,
     COUNTIFS($AT$3:$AT$201,$M336)&gt;0,
     COUNTIFS($AU$3:$AU$201,$M336)&gt;0,
     COUNTIFS($AV$3:$AV$201,$M336)&gt;0,
     COUNTIFS($AW$3:$AW$201,$M336)&gt;0
   )),
  ),
  2
 ),
"")</f>
        <v/>
      </c>
      <c r="Q336" s="3" t="str" cm="1">
        <f t="array" ref="Q336">IFERROR(
 INDEX(
  _xlfn._xlws.FILTER($T$2:$AW$2,
   TRANSPOSE(
    CHOOSE({1;2;3;4;5;6;7;8;9;10;11;12;13;14;15;16;17;18;19;20;21;22;23;24;25;26;27;28;29;30},
     COUNTIFS($T$3:$T$201,$M336)&gt;0,
     COUNTIFS($U$3:$U$201,$M336)&gt;0,
     COUNTIFS($V$3:$V$201,$M336)&gt;0,
     COUNTIFS($W$3:$W$201,$M336)&gt;0,
     COUNTIFS($X$3:$X$201,$M336)&gt;0,
     COUNTIFS($Y$3:$Y$201,$M336)&gt;0,
     COUNTIFS($Z$3:$Z$201,$M336)&gt;0,
     COUNTIFS($AA$3:$AA$201,$M336)&gt;0,
     COUNTIFS($AB$3:$AB$201,$M336)&gt;0,
     COUNTIFS($AC$3:$AC$201,$M336)&gt;0,
     COUNTIFS($AD$3:$AD$201,$M336)&gt;0,
     COUNTIFS($AE$3:$AE$201,$M336)&gt;0,
     COUNTIFS($AF$3:$AF$201,$M336)&gt;0,
     COUNTIFS($AG$3:$AG$201,$M336)&gt;0,
     COUNTIFS($AH$3:$AH$201,$M336)&gt;0,
     COUNTIFS($AI$3:$AI$201,$M336)&gt;0,
     COUNTIFS($AJ$3:$AJ$201,$M336)&gt;0,
     COUNTIFS($AK$3:$AK$201,$M336)&gt;0,
     COUNTIFS($AL$3:$AL$201,$M336)&gt;0,
     COUNTIFS($AM$3:$AM$201,$M336)&gt;0,
     COUNTIFS($AN$3:$AN$201,$M336)&gt;0,
     COUNTIFS($AO$3:$AO$201,$M336)&gt;0,
     COUNTIFS($AP$3:$AP$201,$M336)&gt;0,
     COUNTIFS($AQ$3:$AQ$201,$M336)&gt;0,
     COUNTIFS($AR$3:$AR$201,$M336)&gt;0,
     COUNTIFS($AS$3:$AS$201,$M336)&gt;0,
     COUNTIFS($AT$3:$AT$201,$M336)&gt;0,
     COUNTIFS($AU$3:$AU$201,$M336)&gt;0,
     COUNTIFS($AV$3:$AV$201,$M336)&gt;0,
     COUNTIFS($AW$3:$AW$201,$M336)&gt;0
   )),
  ),
  3
 ),
"")</f>
        <v/>
      </c>
      <c r="R336" s="3" t="str" cm="1">
        <f t="array" ref="R336">IFERROR(
 INDEX(
  _xlfn._xlws.FILTER($T$2:$AW$2,
   TRANSPOSE(
    CHOOSE({1;2;3;4;5;6;7;8;9;10;11;12;13;14;15;16;17;18;19;20;21;22;23;24;25;26;27;28;29;30},
     COUNTIFS($T$3:$T$201,$M336)&gt;0,
     COUNTIFS($U$3:$U$201,$M336)&gt;0,
     COUNTIFS($V$3:$V$201,$M336)&gt;0,
     COUNTIFS($W$3:$W$201,$M336)&gt;0,
     COUNTIFS($X$3:$X$201,$M336)&gt;0,
     COUNTIFS($Y$3:$Y$201,$M336)&gt;0,
     COUNTIFS($Z$3:$Z$201,$M336)&gt;0,
     COUNTIFS($AA$3:$AA$201,$M336)&gt;0,
     COUNTIFS($AB$3:$AB$201,$M336)&gt;0,
     COUNTIFS($AC$3:$AC$201,$M336)&gt;0,
     COUNTIFS($AD$3:$AD$201,$M336)&gt;0,
     COUNTIFS($AE$3:$AE$201,$M336)&gt;0,
     COUNTIFS($AF$3:$AF$201,$M336)&gt;0,
     COUNTIFS($AG$3:$AG$201,$M336)&gt;0,
     COUNTIFS($AH$3:$AH$201,$M336)&gt;0,
     COUNTIFS($AI$3:$AI$201,$M336)&gt;0,
     COUNTIFS($AJ$3:$AJ$201,$M336)&gt;0,
     COUNTIFS($AK$3:$AK$201,$M336)&gt;0,
     COUNTIFS($AL$3:$AL$201,$M336)&gt;0,
     COUNTIFS($AM$3:$AM$201,$M336)&gt;0,
     COUNTIFS($AN$3:$AN$201,$M336)&gt;0,
     COUNTIFS($AO$3:$AO$201,$M336)&gt;0,
     COUNTIFS($AP$3:$AP$201,$M336)&gt;0,
     COUNTIFS($AQ$3:$AQ$201,$M336)&gt;0,
     COUNTIFS($AR$3:$AR$201,$M336)&gt;0,
     COUNTIFS($AS$3:$AS$201,$M336)&gt;0,
     COUNTIFS($AT$3:$AT$201,$M336)&gt;0,
     COUNTIFS($AU$3:$AU$201,$M336)&gt;0,
     COUNTIFS($AV$3:$AV$201,$M336)&gt;0,
     COUNTIFS($AW$3:$AW$201,$M336)&gt;0
   )),
  ),
  4
 ),
"")</f>
        <v/>
      </c>
    </row>
    <row r="337" spans="1:18" x14ac:dyDescent="0.25">
      <c r="A337" t="str">
        <f ca="1"/>
        <v>Zack Fair</v>
      </c>
      <c r="B337" s="3" t="str" cm="1">
        <f t="array" aca="1" ref="B337" ca="1">_xlfn.ANCHORARRAY(RESUMO!C336)</f>
        <v>Tayam</v>
      </c>
      <c r="C337" s="3" t="str">
        <f t="shared" ca="1" si="20"/>
        <v/>
      </c>
      <c r="N337" s="3">
        <f t="shared" si="21"/>
        <v>0</v>
      </c>
      <c r="O337" s="3" t="str">
        <f>IFERROR(
 INDEX($T$2:$AW$2,
  MATCH(TRUE,
   CHOOSE({1;2;3;4;5;6;7;8;9;10;11;12;13;14;15;16;17;18;19;20;21;22;23;24;25;26;27;28;29;30;31;32},
    COUNTIFS($T$3:$T$201,$M337)&gt;0,
    COUNTIFS($U$3:$U$201,$M337)&gt;0,
    COUNTIFS($V$3:$V$201,$M337)&gt;0,
    COUNTIFS($W$3:$W$201,$M337)&gt;0,
    COUNTIFS($X$3:$X$201,$M337)&gt;0,
    COUNTIFS($Y$3:$Y$201,$M337)&gt;0,
    COUNTIFS($Z$3:$Z$201,$M337)&gt;0,
    COUNTIFS($AA$3:$AA$201,$M337)&gt;0,
    COUNTIFS($AB$3:$AB$201,$M337)&gt;0,
    COUNTIFS($AC$3:$AC$201,$M337)&gt;0,
    COUNTIFS($AD$3:$AD$201,$M337)&gt;0,
    COUNTIFS($AE$3:$AE$201,$M337)&gt;0,
    COUNTIFS($AF$3:$AF$201,$M337)&gt;0,
    COUNTIFS($AG$3:$AG$201,$M337)&gt;0,
    COUNTIFS($AH$3:$AH$201,$M337)&gt;0,
    COUNTIFS($AI$3:$AI$201,$M337)&gt;0,
    COUNTIFS($AJ$3:$AJ$201,$M337)&gt;0,
    COUNTIFS($AK$3:$AK$201,$M337)&gt;0,
    COUNTIFS($AL$3:$AL$201,$M337)&gt;0,
    COUNTIFS($AM$3:$AM$201,$M337)&gt;0,
    COUNTIFS($AN$3:$AN$201,$M337)&gt;0,
    COUNTIFS($AO$3:$AO$201,$M337)&gt;0,
    COUNTIFS($AP$3:$AP$201,$M337)&gt;0,
    COUNTIFS($AQ$3:$AQ$201,$M337)&gt;0,
    COUNTIFS($AR$3:$AR$201,$M337)&gt;0,
    COUNTIFS($AS$3:$AS$201,$M337)&gt;0,
    COUNTIFS($AT$3:$AT$201,$M337)&gt;0,
    COUNTIFS($AU$3:$AU$201,$M337)&gt;0,
    COUNTIFS($AV$3:$AV$201,$M337)&gt;0,
    COUNTIFS($AW$3:$AW$201,$M337)&gt;0
   ),
  0)
 ),
"")</f>
        <v/>
      </c>
      <c r="P337" s="3" t="str" cm="1">
        <f t="array" ref="P337">IFERROR(
 INDEX(
  _xlfn._xlws.FILTER($T$2:$AW$2,
   TRANSPOSE(
    CHOOSE({1;2;3;4;5;6;7;8;9;10;11;12;13;14;15;16;17;18;19;20;21;22;23;24;25;26;27;28;29;30},
     COUNTIFS($T$3:$T$201,$M337)&gt;0,
     COUNTIFS($U$3:$U$201,$M337)&gt;0,
     COUNTIFS($V$3:$V$201,$M337)&gt;0,
     COUNTIFS($W$3:$W$201,$M337)&gt;0,
     COUNTIFS($X$3:$X$201,$M337)&gt;0,
     COUNTIFS($Y$3:$Y$201,$M337)&gt;0,
     COUNTIFS($Z$3:$Z$201,$M337)&gt;0,
     COUNTIFS($AA$3:$AA$201,$M337)&gt;0,
     COUNTIFS($AB$3:$AB$201,$M337)&gt;0,
     COUNTIFS($AC$3:$AC$201,$M337)&gt;0,
     COUNTIFS($AD$3:$AD$201,$M337)&gt;0,
     COUNTIFS($AE$3:$AE$201,$M337)&gt;0,
     COUNTIFS($AF$3:$AF$201,$M337)&gt;0,
     COUNTIFS($AG$3:$AG$201,$M337)&gt;0,
     COUNTIFS($AH$3:$AH$201,$M337)&gt;0,
     COUNTIFS($AI$3:$AI$201,$M337)&gt;0,
     COUNTIFS($AJ$3:$AJ$201,$M337)&gt;0,
     COUNTIFS($AK$3:$AK$201,$M337)&gt;0,
     COUNTIFS($AL$3:$AL$201,$M337)&gt;0,
     COUNTIFS($AM$3:$AM$201,$M337)&gt;0,
     COUNTIFS($AN$3:$AN$201,$M337)&gt;0,
     COUNTIFS($AO$3:$AO$201,$M337)&gt;0,
     COUNTIFS($AP$3:$AP$201,$M337)&gt;0,
     COUNTIFS($AQ$3:$AQ$201,$M337)&gt;0,
     COUNTIFS($AR$3:$AR$201,$M337)&gt;0,
     COUNTIFS($AS$3:$AS$201,$M337)&gt;0,
     COUNTIFS($AT$3:$AT$201,$M337)&gt;0,
     COUNTIFS($AU$3:$AU$201,$M337)&gt;0,
     COUNTIFS($AV$3:$AV$201,$M337)&gt;0,
     COUNTIFS($AW$3:$AW$201,$M337)&gt;0
   )),
  ),
  2
 ),
"")</f>
        <v/>
      </c>
      <c r="Q337" s="3" t="str" cm="1">
        <f t="array" ref="Q337">IFERROR(
 INDEX(
  _xlfn._xlws.FILTER($T$2:$AW$2,
   TRANSPOSE(
    CHOOSE({1;2;3;4;5;6;7;8;9;10;11;12;13;14;15;16;17;18;19;20;21;22;23;24;25;26;27;28;29;30},
     COUNTIFS($T$3:$T$201,$M337)&gt;0,
     COUNTIFS($U$3:$U$201,$M337)&gt;0,
     COUNTIFS($V$3:$V$201,$M337)&gt;0,
     COUNTIFS($W$3:$W$201,$M337)&gt;0,
     COUNTIFS($X$3:$X$201,$M337)&gt;0,
     COUNTIFS($Y$3:$Y$201,$M337)&gt;0,
     COUNTIFS($Z$3:$Z$201,$M337)&gt;0,
     COUNTIFS($AA$3:$AA$201,$M337)&gt;0,
     COUNTIFS($AB$3:$AB$201,$M337)&gt;0,
     COUNTIFS($AC$3:$AC$201,$M337)&gt;0,
     COUNTIFS($AD$3:$AD$201,$M337)&gt;0,
     COUNTIFS($AE$3:$AE$201,$M337)&gt;0,
     COUNTIFS($AF$3:$AF$201,$M337)&gt;0,
     COUNTIFS($AG$3:$AG$201,$M337)&gt;0,
     COUNTIFS($AH$3:$AH$201,$M337)&gt;0,
     COUNTIFS($AI$3:$AI$201,$M337)&gt;0,
     COUNTIFS($AJ$3:$AJ$201,$M337)&gt;0,
     COUNTIFS($AK$3:$AK$201,$M337)&gt;0,
     COUNTIFS($AL$3:$AL$201,$M337)&gt;0,
     COUNTIFS($AM$3:$AM$201,$M337)&gt;0,
     COUNTIFS($AN$3:$AN$201,$M337)&gt;0,
     COUNTIFS($AO$3:$AO$201,$M337)&gt;0,
     COUNTIFS($AP$3:$AP$201,$M337)&gt;0,
     COUNTIFS($AQ$3:$AQ$201,$M337)&gt;0,
     COUNTIFS($AR$3:$AR$201,$M337)&gt;0,
     COUNTIFS($AS$3:$AS$201,$M337)&gt;0,
     COUNTIFS($AT$3:$AT$201,$M337)&gt;0,
     COUNTIFS($AU$3:$AU$201,$M337)&gt;0,
     COUNTIFS($AV$3:$AV$201,$M337)&gt;0,
     COUNTIFS($AW$3:$AW$201,$M337)&gt;0
   )),
  ),
  3
 ),
"")</f>
        <v/>
      </c>
      <c r="R337" s="3" t="str" cm="1">
        <f t="array" ref="R337">IFERROR(
 INDEX(
  _xlfn._xlws.FILTER($T$2:$AW$2,
   TRANSPOSE(
    CHOOSE({1;2;3;4;5;6;7;8;9;10;11;12;13;14;15;16;17;18;19;20;21;22;23;24;25;26;27;28;29;30},
     COUNTIFS($T$3:$T$201,$M337)&gt;0,
     COUNTIFS($U$3:$U$201,$M337)&gt;0,
     COUNTIFS($V$3:$V$201,$M337)&gt;0,
     COUNTIFS($W$3:$W$201,$M337)&gt;0,
     COUNTIFS($X$3:$X$201,$M337)&gt;0,
     COUNTIFS($Y$3:$Y$201,$M337)&gt;0,
     COUNTIFS($Z$3:$Z$201,$M337)&gt;0,
     COUNTIFS($AA$3:$AA$201,$M337)&gt;0,
     COUNTIFS($AB$3:$AB$201,$M337)&gt;0,
     COUNTIFS($AC$3:$AC$201,$M337)&gt;0,
     COUNTIFS($AD$3:$AD$201,$M337)&gt;0,
     COUNTIFS($AE$3:$AE$201,$M337)&gt;0,
     COUNTIFS($AF$3:$AF$201,$M337)&gt;0,
     COUNTIFS($AG$3:$AG$201,$M337)&gt;0,
     COUNTIFS($AH$3:$AH$201,$M337)&gt;0,
     COUNTIFS($AI$3:$AI$201,$M337)&gt;0,
     COUNTIFS($AJ$3:$AJ$201,$M337)&gt;0,
     COUNTIFS($AK$3:$AK$201,$M337)&gt;0,
     COUNTIFS($AL$3:$AL$201,$M337)&gt;0,
     COUNTIFS($AM$3:$AM$201,$M337)&gt;0,
     COUNTIFS($AN$3:$AN$201,$M337)&gt;0,
     COUNTIFS($AO$3:$AO$201,$M337)&gt;0,
     COUNTIFS($AP$3:$AP$201,$M337)&gt;0,
     COUNTIFS($AQ$3:$AQ$201,$M337)&gt;0,
     COUNTIFS($AR$3:$AR$201,$M337)&gt;0,
     COUNTIFS($AS$3:$AS$201,$M337)&gt;0,
     COUNTIFS($AT$3:$AT$201,$M337)&gt;0,
     COUNTIFS($AU$3:$AU$201,$M337)&gt;0,
     COUNTIFS($AV$3:$AV$201,$M337)&gt;0,
     COUNTIFS($AW$3:$AW$201,$M337)&gt;0
   )),
  ),
  4
 ),
"")</f>
        <v/>
      </c>
    </row>
    <row r="338" spans="1:18" x14ac:dyDescent="0.25">
      <c r="A338" t="str">
        <f ca="1"/>
        <v>Zagoth Triome</v>
      </c>
      <c r="B338" s="3" t="str" cm="1">
        <f t="array" aca="1" ref="B338" ca="1">_xlfn.ANCHORARRAY(RESUMO!C337)</f>
        <v>Zimone</v>
      </c>
      <c r="C338" s="3" t="str">
        <f t="shared" ca="1" si="20"/>
        <v/>
      </c>
      <c r="N338" s="3">
        <f t="shared" si="21"/>
        <v>0</v>
      </c>
      <c r="O338" s="3" t="str">
        <f>IFERROR(
 INDEX($T$2:$AW$2,
  MATCH(TRUE,
   CHOOSE({1;2;3;4;5;6;7;8;9;10;11;12;13;14;15;16;17;18;19;20;21;22;23;24;25;26;27;28;29;30;31;32},
    COUNTIFS($T$3:$T$201,$M338)&gt;0,
    COUNTIFS($U$3:$U$201,$M338)&gt;0,
    COUNTIFS($V$3:$V$201,$M338)&gt;0,
    COUNTIFS($W$3:$W$201,$M338)&gt;0,
    COUNTIFS($X$3:$X$201,$M338)&gt;0,
    COUNTIFS($Y$3:$Y$201,$M338)&gt;0,
    COUNTIFS($Z$3:$Z$201,$M338)&gt;0,
    COUNTIFS($AA$3:$AA$201,$M338)&gt;0,
    COUNTIFS($AB$3:$AB$201,$M338)&gt;0,
    COUNTIFS($AC$3:$AC$201,$M338)&gt;0,
    COUNTIFS($AD$3:$AD$201,$M338)&gt;0,
    COUNTIFS($AE$3:$AE$201,$M338)&gt;0,
    COUNTIFS($AF$3:$AF$201,$M338)&gt;0,
    COUNTIFS($AG$3:$AG$201,$M338)&gt;0,
    COUNTIFS($AH$3:$AH$201,$M338)&gt;0,
    COUNTIFS($AI$3:$AI$201,$M338)&gt;0,
    COUNTIFS($AJ$3:$AJ$201,$M338)&gt;0,
    COUNTIFS($AK$3:$AK$201,$M338)&gt;0,
    COUNTIFS($AL$3:$AL$201,$M338)&gt;0,
    COUNTIFS($AM$3:$AM$201,$M338)&gt;0,
    COUNTIFS($AN$3:$AN$201,$M338)&gt;0,
    COUNTIFS($AO$3:$AO$201,$M338)&gt;0,
    COUNTIFS($AP$3:$AP$201,$M338)&gt;0,
    COUNTIFS($AQ$3:$AQ$201,$M338)&gt;0,
    COUNTIFS($AR$3:$AR$201,$M338)&gt;0,
    COUNTIFS($AS$3:$AS$201,$M338)&gt;0,
    COUNTIFS($AT$3:$AT$201,$M338)&gt;0,
    COUNTIFS($AU$3:$AU$201,$M338)&gt;0,
    COUNTIFS($AV$3:$AV$201,$M338)&gt;0,
    COUNTIFS($AW$3:$AW$201,$M338)&gt;0
   ),
  0)
 ),
"")</f>
        <v/>
      </c>
      <c r="P338" s="3" t="str" cm="1">
        <f t="array" ref="P338">IFERROR(
 INDEX(
  _xlfn._xlws.FILTER($T$2:$AW$2,
   TRANSPOSE(
    CHOOSE({1;2;3;4;5;6;7;8;9;10;11;12;13;14;15;16;17;18;19;20;21;22;23;24;25;26;27;28;29;30},
     COUNTIFS($T$3:$T$201,$M338)&gt;0,
     COUNTIFS($U$3:$U$201,$M338)&gt;0,
     COUNTIFS($V$3:$V$201,$M338)&gt;0,
     COUNTIFS($W$3:$W$201,$M338)&gt;0,
     COUNTIFS($X$3:$X$201,$M338)&gt;0,
     COUNTIFS($Y$3:$Y$201,$M338)&gt;0,
     COUNTIFS($Z$3:$Z$201,$M338)&gt;0,
     COUNTIFS($AA$3:$AA$201,$M338)&gt;0,
     COUNTIFS($AB$3:$AB$201,$M338)&gt;0,
     COUNTIFS($AC$3:$AC$201,$M338)&gt;0,
     COUNTIFS($AD$3:$AD$201,$M338)&gt;0,
     COUNTIFS($AE$3:$AE$201,$M338)&gt;0,
     COUNTIFS($AF$3:$AF$201,$M338)&gt;0,
     COUNTIFS($AG$3:$AG$201,$M338)&gt;0,
     COUNTIFS($AH$3:$AH$201,$M338)&gt;0,
     COUNTIFS($AI$3:$AI$201,$M338)&gt;0,
     COUNTIFS($AJ$3:$AJ$201,$M338)&gt;0,
     COUNTIFS($AK$3:$AK$201,$M338)&gt;0,
     COUNTIFS($AL$3:$AL$201,$M338)&gt;0,
     COUNTIFS($AM$3:$AM$201,$M338)&gt;0,
     COUNTIFS($AN$3:$AN$201,$M338)&gt;0,
     COUNTIFS($AO$3:$AO$201,$M338)&gt;0,
     COUNTIFS($AP$3:$AP$201,$M338)&gt;0,
     COUNTIFS($AQ$3:$AQ$201,$M338)&gt;0,
     COUNTIFS($AR$3:$AR$201,$M338)&gt;0,
     COUNTIFS($AS$3:$AS$201,$M338)&gt;0,
     COUNTIFS($AT$3:$AT$201,$M338)&gt;0,
     COUNTIFS($AU$3:$AU$201,$M338)&gt;0,
     COUNTIFS($AV$3:$AV$201,$M338)&gt;0,
     COUNTIFS($AW$3:$AW$201,$M338)&gt;0
   )),
  ),
  2
 ),
"")</f>
        <v/>
      </c>
      <c r="Q338" s="3" t="str" cm="1">
        <f t="array" ref="Q338">IFERROR(
 INDEX(
  _xlfn._xlws.FILTER($T$2:$AW$2,
   TRANSPOSE(
    CHOOSE({1;2;3;4;5;6;7;8;9;10;11;12;13;14;15;16;17;18;19;20;21;22;23;24;25;26;27;28;29;30},
     COUNTIFS($T$3:$T$201,$M338)&gt;0,
     COUNTIFS($U$3:$U$201,$M338)&gt;0,
     COUNTIFS($V$3:$V$201,$M338)&gt;0,
     COUNTIFS($W$3:$W$201,$M338)&gt;0,
     COUNTIFS($X$3:$X$201,$M338)&gt;0,
     COUNTIFS($Y$3:$Y$201,$M338)&gt;0,
     COUNTIFS($Z$3:$Z$201,$M338)&gt;0,
     COUNTIFS($AA$3:$AA$201,$M338)&gt;0,
     COUNTIFS($AB$3:$AB$201,$M338)&gt;0,
     COUNTIFS($AC$3:$AC$201,$M338)&gt;0,
     COUNTIFS($AD$3:$AD$201,$M338)&gt;0,
     COUNTIFS($AE$3:$AE$201,$M338)&gt;0,
     COUNTIFS($AF$3:$AF$201,$M338)&gt;0,
     COUNTIFS($AG$3:$AG$201,$M338)&gt;0,
     COUNTIFS($AH$3:$AH$201,$M338)&gt;0,
     COUNTIFS($AI$3:$AI$201,$M338)&gt;0,
     COUNTIFS($AJ$3:$AJ$201,$M338)&gt;0,
     COUNTIFS($AK$3:$AK$201,$M338)&gt;0,
     COUNTIFS($AL$3:$AL$201,$M338)&gt;0,
     COUNTIFS($AM$3:$AM$201,$M338)&gt;0,
     COUNTIFS($AN$3:$AN$201,$M338)&gt;0,
     COUNTIFS($AO$3:$AO$201,$M338)&gt;0,
     COUNTIFS($AP$3:$AP$201,$M338)&gt;0,
     COUNTIFS($AQ$3:$AQ$201,$M338)&gt;0,
     COUNTIFS($AR$3:$AR$201,$M338)&gt;0,
     COUNTIFS($AS$3:$AS$201,$M338)&gt;0,
     COUNTIFS($AT$3:$AT$201,$M338)&gt;0,
     COUNTIFS($AU$3:$AU$201,$M338)&gt;0,
     COUNTIFS($AV$3:$AV$201,$M338)&gt;0,
     COUNTIFS($AW$3:$AW$201,$M338)&gt;0
   )),
  ),
  3
 ),
"")</f>
        <v/>
      </c>
      <c r="R338" s="3" t="str" cm="1">
        <f t="array" ref="R338">IFERROR(
 INDEX(
  _xlfn._xlws.FILTER($T$2:$AW$2,
   TRANSPOSE(
    CHOOSE({1;2;3;4;5;6;7;8;9;10;11;12;13;14;15;16;17;18;19;20;21;22;23;24;25;26;27;28;29;30},
     COUNTIFS($T$3:$T$201,$M338)&gt;0,
     COUNTIFS($U$3:$U$201,$M338)&gt;0,
     COUNTIFS($V$3:$V$201,$M338)&gt;0,
     COUNTIFS($W$3:$W$201,$M338)&gt;0,
     COUNTIFS($X$3:$X$201,$M338)&gt;0,
     COUNTIFS($Y$3:$Y$201,$M338)&gt;0,
     COUNTIFS($Z$3:$Z$201,$M338)&gt;0,
     COUNTIFS($AA$3:$AA$201,$M338)&gt;0,
     COUNTIFS($AB$3:$AB$201,$M338)&gt;0,
     COUNTIFS($AC$3:$AC$201,$M338)&gt;0,
     COUNTIFS($AD$3:$AD$201,$M338)&gt;0,
     COUNTIFS($AE$3:$AE$201,$M338)&gt;0,
     COUNTIFS($AF$3:$AF$201,$M338)&gt;0,
     COUNTIFS($AG$3:$AG$201,$M338)&gt;0,
     COUNTIFS($AH$3:$AH$201,$M338)&gt;0,
     COUNTIFS($AI$3:$AI$201,$M338)&gt;0,
     COUNTIFS($AJ$3:$AJ$201,$M338)&gt;0,
     COUNTIFS($AK$3:$AK$201,$M338)&gt;0,
     COUNTIFS($AL$3:$AL$201,$M338)&gt;0,
     COUNTIFS($AM$3:$AM$201,$M338)&gt;0,
     COUNTIFS($AN$3:$AN$201,$M338)&gt;0,
     COUNTIFS($AO$3:$AO$201,$M338)&gt;0,
     COUNTIFS($AP$3:$AP$201,$M338)&gt;0,
     COUNTIFS($AQ$3:$AQ$201,$M338)&gt;0,
     COUNTIFS($AR$3:$AR$201,$M338)&gt;0,
     COUNTIFS($AS$3:$AS$201,$M338)&gt;0,
     COUNTIFS($AT$3:$AT$201,$M338)&gt;0,
     COUNTIFS($AU$3:$AU$201,$M338)&gt;0,
     COUNTIFS($AV$3:$AV$201,$M338)&gt;0,
     COUNTIFS($AW$3:$AW$201,$M338)&gt;0
   )),
  ),
  4
 ),
"")</f>
        <v/>
      </c>
    </row>
    <row r="339" spans="1:18" x14ac:dyDescent="0.25">
      <c r="A339" t="str">
        <f ca="1"/>
        <v>Zellix, Sanity Flayer</v>
      </c>
      <c r="B339" s="3" t="str" cm="1">
        <f t="array" aca="1" ref="B339" ca="1">_xlfn.ANCHORARRAY(RESUMO!C338)</f>
        <v>Narset</v>
      </c>
      <c r="C339" s="3" t="str">
        <f t="shared" ca="1" si="20"/>
        <v/>
      </c>
      <c r="N339" s="3">
        <f t="shared" si="21"/>
        <v>0</v>
      </c>
      <c r="O339" s="3" t="str">
        <f>IFERROR(
 INDEX($T$2:$AW$2,
  MATCH(TRUE,
   CHOOSE({1;2;3;4;5;6;7;8;9;10;11;12;13;14;15;16;17;18;19;20;21;22;23;24;25;26;27;28;29;30;31;32},
    COUNTIFS($T$3:$T$201,$M339)&gt;0,
    COUNTIFS($U$3:$U$201,$M339)&gt;0,
    COUNTIFS($V$3:$V$201,$M339)&gt;0,
    COUNTIFS($W$3:$W$201,$M339)&gt;0,
    COUNTIFS($X$3:$X$201,$M339)&gt;0,
    COUNTIFS($Y$3:$Y$201,$M339)&gt;0,
    COUNTIFS($Z$3:$Z$201,$M339)&gt;0,
    COUNTIFS($AA$3:$AA$201,$M339)&gt;0,
    COUNTIFS($AB$3:$AB$201,$M339)&gt;0,
    COUNTIFS($AC$3:$AC$201,$M339)&gt;0,
    COUNTIFS($AD$3:$AD$201,$M339)&gt;0,
    COUNTIFS($AE$3:$AE$201,$M339)&gt;0,
    COUNTIFS($AF$3:$AF$201,$M339)&gt;0,
    COUNTIFS($AG$3:$AG$201,$M339)&gt;0,
    COUNTIFS($AH$3:$AH$201,$M339)&gt;0,
    COUNTIFS($AI$3:$AI$201,$M339)&gt;0,
    COUNTIFS($AJ$3:$AJ$201,$M339)&gt;0,
    COUNTIFS($AK$3:$AK$201,$M339)&gt;0,
    COUNTIFS($AL$3:$AL$201,$M339)&gt;0,
    COUNTIFS($AM$3:$AM$201,$M339)&gt;0,
    COUNTIFS($AN$3:$AN$201,$M339)&gt;0,
    COUNTIFS($AO$3:$AO$201,$M339)&gt;0,
    COUNTIFS($AP$3:$AP$201,$M339)&gt;0,
    COUNTIFS($AQ$3:$AQ$201,$M339)&gt;0,
    COUNTIFS($AR$3:$AR$201,$M339)&gt;0,
    COUNTIFS($AS$3:$AS$201,$M339)&gt;0,
    COUNTIFS($AT$3:$AT$201,$M339)&gt;0,
    COUNTIFS($AU$3:$AU$201,$M339)&gt;0,
    COUNTIFS($AV$3:$AV$201,$M339)&gt;0,
    COUNTIFS($AW$3:$AW$201,$M339)&gt;0
   ),
  0)
 ),
"")</f>
        <v/>
      </c>
      <c r="P339" s="3" t="str" cm="1">
        <f t="array" ref="P339">IFERROR(
 INDEX(
  _xlfn._xlws.FILTER($T$2:$AW$2,
   TRANSPOSE(
    CHOOSE({1;2;3;4;5;6;7;8;9;10;11;12;13;14;15;16;17;18;19;20;21;22;23;24;25;26;27;28;29;30},
     COUNTIFS($T$3:$T$201,$M339)&gt;0,
     COUNTIFS($U$3:$U$201,$M339)&gt;0,
     COUNTIFS($V$3:$V$201,$M339)&gt;0,
     COUNTIFS($W$3:$W$201,$M339)&gt;0,
     COUNTIFS($X$3:$X$201,$M339)&gt;0,
     COUNTIFS($Y$3:$Y$201,$M339)&gt;0,
     COUNTIFS($Z$3:$Z$201,$M339)&gt;0,
     COUNTIFS($AA$3:$AA$201,$M339)&gt;0,
     COUNTIFS($AB$3:$AB$201,$M339)&gt;0,
     COUNTIFS($AC$3:$AC$201,$M339)&gt;0,
     COUNTIFS($AD$3:$AD$201,$M339)&gt;0,
     COUNTIFS($AE$3:$AE$201,$M339)&gt;0,
     COUNTIFS($AF$3:$AF$201,$M339)&gt;0,
     COUNTIFS($AG$3:$AG$201,$M339)&gt;0,
     COUNTIFS($AH$3:$AH$201,$M339)&gt;0,
     COUNTIFS($AI$3:$AI$201,$M339)&gt;0,
     COUNTIFS($AJ$3:$AJ$201,$M339)&gt;0,
     COUNTIFS($AK$3:$AK$201,$M339)&gt;0,
     COUNTIFS($AL$3:$AL$201,$M339)&gt;0,
     COUNTIFS($AM$3:$AM$201,$M339)&gt;0,
     COUNTIFS($AN$3:$AN$201,$M339)&gt;0,
     COUNTIFS($AO$3:$AO$201,$M339)&gt;0,
     COUNTIFS($AP$3:$AP$201,$M339)&gt;0,
     COUNTIFS($AQ$3:$AQ$201,$M339)&gt;0,
     COUNTIFS($AR$3:$AR$201,$M339)&gt;0,
     COUNTIFS($AS$3:$AS$201,$M339)&gt;0,
     COUNTIFS($AT$3:$AT$201,$M339)&gt;0,
     COUNTIFS($AU$3:$AU$201,$M339)&gt;0,
     COUNTIFS($AV$3:$AV$201,$M339)&gt;0,
     COUNTIFS($AW$3:$AW$201,$M339)&gt;0
   )),
  ),
  2
 ),
"")</f>
        <v/>
      </c>
      <c r="Q339" s="3" t="str" cm="1">
        <f t="array" ref="Q339">IFERROR(
 INDEX(
  _xlfn._xlws.FILTER($T$2:$AW$2,
   TRANSPOSE(
    CHOOSE({1;2;3;4;5;6;7;8;9;10;11;12;13;14;15;16;17;18;19;20;21;22;23;24;25;26;27;28;29;30},
     COUNTIFS($T$3:$T$201,$M339)&gt;0,
     COUNTIFS($U$3:$U$201,$M339)&gt;0,
     COUNTIFS($V$3:$V$201,$M339)&gt;0,
     COUNTIFS($W$3:$W$201,$M339)&gt;0,
     COUNTIFS($X$3:$X$201,$M339)&gt;0,
     COUNTIFS($Y$3:$Y$201,$M339)&gt;0,
     COUNTIFS($Z$3:$Z$201,$M339)&gt;0,
     COUNTIFS($AA$3:$AA$201,$M339)&gt;0,
     COUNTIFS($AB$3:$AB$201,$M339)&gt;0,
     COUNTIFS($AC$3:$AC$201,$M339)&gt;0,
     COUNTIFS($AD$3:$AD$201,$M339)&gt;0,
     COUNTIFS($AE$3:$AE$201,$M339)&gt;0,
     COUNTIFS($AF$3:$AF$201,$M339)&gt;0,
     COUNTIFS($AG$3:$AG$201,$M339)&gt;0,
     COUNTIFS($AH$3:$AH$201,$M339)&gt;0,
     COUNTIFS($AI$3:$AI$201,$M339)&gt;0,
     COUNTIFS($AJ$3:$AJ$201,$M339)&gt;0,
     COUNTIFS($AK$3:$AK$201,$M339)&gt;0,
     COUNTIFS($AL$3:$AL$201,$M339)&gt;0,
     COUNTIFS($AM$3:$AM$201,$M339)&gt;0,
     COUNTIFS($AN$3:$AN$201,$M339)&gt;0,
     COUNTIFS($AO$3:$AO$201,$M339)&gt;0,
     COUNTIFS($AP$3:$AP$201,$M339)&gt;0,
     COUNTIFS($AQ$3:$AQ$201,$M339)&gt;0,
     COUNTIFS($AR$3:$AR$201,$M339)&gt;0,
     COUNTIFS($AS$3:$AS$201,$M339)&gt;0,
     COUNTIFS($AT$3:$AT$201,$M339)&gt;0,
     COUNTIFS($AU$3:$AU$201,$M339)&gt;0,
     COUNTIFS($AV$3:$AV$201,$M339)&gt;0,
     COUNTIFS($AW$3:$AW$201,$M339)&gt;0
   )),
  ),
  3
 ),
"")</f>
        <v/>
      </c>
      <c r="R339" s="3" t="str" cm="1">
        <f t="array" ref="R339">IFERROR(
 INDEX(
  _xlfn._xlws.FILTER($T$2:$AW$2,
   TRANSPOSE(
    CHOOSE({1;2;3;4;5;6;7;8;9;10;11;12;13;14;15;16;17;18;19;20;21;22;23;24;25;26;27;28;29;30},
     COUNTIFS($T$3:$T$201,$M339)&gt;0,
     COUNTIFS($U$3:$U$201,$M339)&gt;0,
     COUNTIFS($V$3:$V$201,$M339)&gt;0,
     COUNTIFS($W$3:$W$201,$M339)&gt;0,
     COUNTIFS($X$3:$X$201,$M339)&gt;0,
     COUNTIFS($Y$3:$Y$201,$M339)&gt;0,
     COUNTIFS($Z$3:$Z$201,$M339)&gt;0,
     COUNTIFS($AA$3:$AA$201,$M339)&gt;0,
     COUNTIFS($AB$3:$AB$201,$M339)&gt;0,
     COUNTIFS($AC$3:$AC$201,$M339)&gt;0,
     COUNTIFS($AD$3:$AD$201,$M339)&gt;0,
     COUNTIFS($AE$3:$AE$201,$M339)&gt;0,
     COUNTIFS($AF$3:$AF$201,$M339)&gt;0,
     COUNTIFS($AG$3:$AG$201,$M339)&gt;0,
     COUNTIFS($AH$3:$AH$201,$M339)&gt;0,
     COUNTIFS($AI$3:$AI$201,$M339)&gt;0,
     COUNTIFS($AJ$3:$AJ$201,$M339)&gt;0,
     COUNTIFS($AK$3:$AK$201,$M339)&gt;0,
     COUNTIFS($AL$3:$AL$201,$M339)&gt;0,
     COUNTIFS($AM$3:$AM$201,$M339)&gt;0,
     COUNTIFS($AN$3:$AN$201,$M339)&gt;0,
     COUNTIFS($AO$3:$AO$201,$M339)&gt;0,
     COUNTIFS($AP$3:$AP$201,$M339)&gt;0,
     COUNTIFS($AQ$3:$AQ$201,$M339)&gt;0,
     COUNTIFS($AR$3:$AR$201,$M339)&gt;0,
     COUNTIFS($AS$3:$AS$201,$M339)&gt;0,
     COUNTIFS($AT$3:$AT$201,$M339)&gt;0,
     COUNTIFS($AU$3:$AU$201,$M339)&gt;0,
     COUNTIFS($AV$3:$AV$201,$M339)&gt;0,
     COUNTIFS($AW$3:$AW$201,$M339)&gt;0
   )),
  ),
  4
 ),
"")</f>
        <v/>
      </c>
    </row>
    <row r="340" spans="1:18" x14ac:dyDescent="0.25">
      <c r="A340" t="e">
        <f ca="1"/>
        <v>#REF!</v>
      </c>
      <c r="B340" s="3" t="str" cm="1">
        <f t="array" aca="1" ref="B340" ca="1">_xlfn.ANCHORARRAY(RESUMO!C339)</f>
        <v/>
      </c>
      <c r="C340" s="3" t="str">
        <f t="shared" ca="1" si="20"/>
        <v/>
      </c>
      <c r="N340" s="3">
        <f t="shared" si="21"/>
        <v>0</v>
      </c>
      <c r="O340" s="3" t="str">
        <f>IFERROR(
 INDEX($T$2:$AW$2,
  MATCH(TRUE,
   CHOOSE({1;2;3;4;5;6;7;8;9;10;11;12;13;14;15;16;17;18;19;20;21;22;23;24;25;26;27;28;29;30;31;32},
    COUNTIFS($T$3:$T$201,$M340)&gt;0,
    COUNTIFS($U$3:$U$201,$M340)&gt;0,
    COUNTIFS($V$3:$V$201,$M340)&gt;0,
    COUNTIFS($W$3:$W$201,$M340)&gt;0,
    COUNTIFS($X$3:$X$201,$M340)&gt;0,
    COUNTIFS($Y$3:$Y$201,$M340)&gt;0,
    COUNTIFS($Z$3:$Z$201,$M340)&gt;0,
    COUNTIFS($AA$3:$AA$201,$M340)&gt;0,
    COUNTIFS($AB$3:$AB$201,$M340)&gt;0,
    COUNTIFS($AC$3:$AC$201,$M340)&gt;0,
    COUNTIFS($AD$3:$AD$201,$M340)&gt;0,
    COUNTIFS($AE$3:$AE$201,$M340)&gt;0,
    COUNTIFS($AF$3:$AF$201,$M340)&gt;0,
    COUNTIFS($AG$3:$AG$201,$M340)&gt;0,
    COUNTIFS($AH$3:$AH$201,$M340)&gt;0,
    COUNTIFS($AI$3:$AI$201,$M340)&gt;0,
    COUNTIFS($AJ$3:$AJ$201,$M340)&gt;0,
    COUNTIFS($AK$3:$AK$201,$M340)&gt;0,
    COUNTIFS($AL$3:$AL$201,$M340)&gt;0,
    COUNTIFS($AM$3:$AM$201,$M340)&gt;0,
    COUNTIFS($AN$3:$AN$201,$M340)&gt;0,
    COUNTIFS($AO$3:$AO$201,$M340)&gt;0,
    COUNTIFS($AP$3:$AP$201,$M340)&gt;0,
    COUNTIFS($AQ$3:$AQ$201,$M340)&gt;0,
    COUNTIFS($AR$3:$AR$201,$M340)&gt;0,
    COUNTIFS($AS$3:$AS$201,$M340)&gt;0,
    COUNTIFS($AT$3:$AT$201,$M340)&gt;0,
    COUNTIFS($AU$3:$AU$201,$M340)&gt;0,
    COUNTIFS($AV$3:$AV$201,$M340)&gt;0,
    COUNTIFS($AW$3:$AW$201,$M340)&gt;0
   ),
  0)
 ),
"")</f>
        <v/>
      </c>
      <c r="P340" s="3" t="str" cm="1">
        <f t="array" ref="P340">IFERROR(
 INDEX(
  _xlfn._xlws.FILTER($T$2:$AW$2,
   TRANSPOSE(
    CHOOSE({1;2;3;4;5;6;7;8;9;10;11;12;13;14;15;16;17;18;19;20;21;22;23;24;25;26;27;28;29;30},
     COUNTIFS($T$3:$T$201,$M340)&gt;0,
     COUNTIFS($U$3:$U$201,$M340)&gt;0,
     COUNTIFS($V$3:$V$201,$M340)&gt;0,
     COUNTIFS($W$3:$W$201,$M340)&gt;0,
     COUNTIFS($X$3:$X$201,$M340)&gt;0,
     COUNTIFS($Y$3:$Y$201,$M340)&gt;0,
     COUNTIFS($Z$3:$Z$201,$M340)&gt;0,
     COUNTIFS($AA$3:$AA$201,$M340)&gt;0,
     COUNTIFS($AB$3:$AB$201,$M340)&gt;0,
     COUNTIFS($AC$3:$AC$201,$M340)&gt;0,
     COUNTIFS($AD$3:$AD$201,$M340)&gt;0,
     COUNTIFS($AE$3:$AE$201,$M340)&gt;0,
     COUNTIFS($AF$3:$AF$201,$M340)&gt;0,
     COUNTIFS($AG$3:$AG$201,$M340)&gt;0,
     COUNTIFS($AH$3:$AH$201,$M340)&gt;0,
     COUNTIFS($AI$3:$AI$201,$M340)&gt;0,
     COUNTIFS($AJ$3:$AJ$201,$M340)&gt;0,
     COUNTIFS($AK$3:$AK$201,$M340)&gt;0,
     COUNTIFS($AL$3:$AL$201,$M340)&gt;0,
     COUNTIFS($AM$3:$AM$201,$M340)&gt;0,
     COUNTIFS($AN$3:$AN$201,$M340)&gt;0,
     COUNTIFS($AO$3:$AO$201,$M340)&gt;0,
     COUNTIFS($AP$3:$AP$201,$M340)&gt;0,
     COUNTIFS($AQ$3:$AQ$201,$M340)&gt;0,
     COUNTIFS($AR$3:$AR$201,$M340)&gt;0,
     COUNTIFS($AS$3:$AS$201,$M340)&gt;0,
     COUNTIFS($AT$3:$AT$201,$M340)&gt;0,
     COUNTIFS($AU$3:$AU$201,$M340)&gt;0,
     COUNTIFS($AV$3:$AV$201,$M340)&gt;0,
     COUNTIFS($AW$3:$AW$201,$M340)&gt;0
   )),
  ),
  2
 ),
"")</f>
        <v/>
      </c>
      <c r="Q340" s="3" t="str" cm="1">
        <f t="array" ref="Q340">IFERROR(
 INDEX(
  _xlfn._xlws.FILTER($T$2:$AW$2,
   TRANSPOSE(
    CHOOSE({1;2;3;4;5;6;7;8;9;10;11;12;13;14;15;16;17;18;19;20;21;22;23;24;25;26;27;28;29;30},
     COUNTIFS($T$3:$T$201,$M340)&gt;0,
     COUNTIFS($U$3:$U$201,$M340)&gt;0,
     COUNTIFS($V$3:$V$201,$M340)&gt;0,
     COUNTIFS($W$3:$W$201,$M340)&gt;0,
     COUNTIFS($X$3:$X$201,$M340)&gt;0,
     COUNTIFS($Y$3:$Y$201,$M340)&gt;0,
     COUNTIFS($Z$3:$Z$201,$M340)&gt;0,
     COUNTIFS($AA$3:$AA$201,$M340)&gt;0,
     COUNTIFS($AB$3:$AB$201,$M340)&gt;0,
     COUNTIFS($AC$3:$AC$201,$M340)&gt;0,
     COUNTIFS($AD$3:$AD$201,$M340)&gt;0,
     COUNTIFS($AE$3:$AE$201,$M340)&gt;0,
     COUNTIFS($AF$3:$AF$201,$M340)&gt;0,
     COUNTIFS($AG$3:$AG$201,$M340)&gt;0,
     COUNTIFS($AH$3:$AH$201,$M340)&gt;0,
     COUNTIFS($AI$3:$AI$201,$M340)&gt;0,
     COUNTIFS($AJ$3:$AJ$201,$M340)&gt;0,
     COUNTIFS($AK$3:$AK$201,$M340)&gt;0,
     COUNTIFS($AL$3:$AL$201,$M340)&gt;0,
     COUNTIFS($AM$3:$AM$201,$M340)&gt;0,
     COUNTIFS($AN$3:$AN$201,$M340)&gt;0,
     COUNTIFS($AO$3:$AO$201,$M340)&gt;0,
     COUNTIFS($AP$3:$AP$201,$M340)&gt;0,
     COUNTIFS($AQ$3:$AQ$201,$M340)&gt;0,
     COUNTIFS($AR$3:$AR$201,$M340)&gt;0,
     COUNTIFS($AS$3:$AS$201,$M340)&gt;0,
     COUNTIFS($AT$3:$AT$201,$M340)&gt;0,
     COUNTIFS($AU$3:$AU$201,$M340)&gt;0,
     COUNTIFS($AV$3:$AV$201,$M340)&gt;0,
     COUNTIFS($AW$3:$AW$201,$M340)&gt;0
   )),
  ),
  3
 ),
"")</f>
        <v/>
      </c>
      <c r="R340" s="3" t="str" cm="1">
        <f t="array" ref="R340">IFERROR(
 INDEX(
  _xlfn._xlws.FILTER($T$2:$AW$2,
   TRANSPOSE(
    CHOOSE({1;2;3;4;5;6;7;8;9;10;11;12;13;14;15;16;17;18;19;20;21;22;23;24;25;26;27;28;29;30},
     COUNTIFS($T$3:$T$201,$M340)&gt;0,
     COUNTIFS($U$3:$U$201,$M340)&gt;0,
     COUNTIFS($V$3:$V$201,$M340)&gt;0,
     COUNTIFS($W$3:$W$201,$M340)&gt;0,
     COUNTIFS($X$3:$X$201,$M340)&gt;0,
     COUNTIFS($Y$3:$Y$201,$M340)&gt;0,
     COUNTIFS($Z$3:$Z$201,$M340)&gt;0,
     COUNTIFS($AA$3:$AA$201,$M340)&gt;0,
     COUNTIFS($AB$3:$AB$201,$M340)&gt;0,
     COUNTIFS($AC$3:$AC$201,$M340)&gt;0,
     COUNTIFS($AD$3:$AD$201,$M340)&gt;0,
     COUNTIFS($AE$3:$AE$201,$M340)&gt;0,
     COUNTIFS($AF$3:$AF$201,$M340)&gt;0,
     COUNTIFS($AG$3:$AG$201,$M340)&gt;0,
     COUNTIFS($AH$3:$AH$201,$M340)&gt;0,
     COUNTIFS($AI$3:$AI$201,$M340)&gt;0,
     COUNTIFS($AJ$3:$AJ$201,$M340)&gt;0,
     COUNTIFS($AK$3:$AK$201,$M340)&gt;0,
     COUNTIFS($AL$3:$AL$201,$M340)&gt;0,
     COUNTIFS($AM$3:$AM$201,$M340)&gt;0,
     COUNTIFS($AN$3:$AN$201,$M340)&gt;0,
     COUNTIFS($AO$3:$AO$201,$M340)&gt;0,
     COUNTIFS($AP$3:$AP$201,$M340)&gt;0,
     COUNTIFS($AQ$3:$AQ$201,$M340)&gt;0,
     COUNTIFS($AR$3:$AR$201,$M340)&gt;0,
     COUNTIFS($AS$3:$AS$201,$M340)&gt;0,
     COUNTIFS($AT$3:$AT$201,$M340)&gt;0,
     COUNTIFS($AU$3:$AU$201,$M340)&gt;0,
     COUNTIFS($AV$3:$AV$201,$M340)&gt;0,
     COUNTIFS($AW$3:$AW$201,$M340)&gt;0
   )),
  ),
  4
 ),
"")</f>
        <v/>
      </c>
    </row>
    <row r="341" spans="1:18" x14ac:dyDescent="0.25">
      <c r="A341" t="e" vm="2">
        <f ca="1"/>
        <v>#VALUE!</v>
      </c>
      <c r="B341" s="3" t="str" cm="1">
        <f t="array" aca="1" ref="B341" ca="1">_xlfn.ANCHORARRAY(RESUMO!C340)</f>
        <v>Exaltado</v>
      </c>
      <c r="C341" s="3" t="str">
        <f t="shared" ca="1" si="20"/>
        <v/>
      </c>
      <c r="N341" s="3">
        <f t="shared" si="21"/>
        <v>0</v>
      </c>
      <c r="O341" s="3" t="str">
        <f>IFERROR(
 INDEX($T$2:$AW$2,
  MATCH(TRUE,
   CHOOSE({1;2;3;4;5;6;7;8;9;10;11;12;13;14;15;16;17;18;19;20;21;22;23;24;25;26;27;28;29;30;31;32},
    COUNTIFS($T$3:$T$201,$M341)&gt;0,
    COUNTIFS($U$3:$U$201,$M341)&gt;0,
    COUNTIFS($V$3:$V$201,$M341)&gt;0,
    COUNTIFS($W$3:$W$201,$M341)&gt;0,
    COUNTIFS($X$3:$X$201,$M341)&gt;0,
    COUNTIFS($Y$3:$Y$201,$M341)&gt;0,
    COUNTIFS($Z$3:$Z$201,$M341)&gt;0,
    COUNTIFS($AA$3:$AA$201,$M341)&gt;0,
    COUNTIFS($AB$3:$AB$201,$M341)&gt;0,
    COUNTIFS($AC$3:$AC$201,$M341)&gt;0,
    COUNTIFS($AD$3:$AD$201,$M341)&gt;0,
    COUNTIFS($AE$3:$AE$201,$M341)&gt;0,
    COUNTIFS($AF$3:$AF$201,$M341)&gt;0,
    COUNTIFS($AG$3:$AG$201,$M341)&gt;0,
    COUNTIFS($AH$3:$AH$201,$M341)&gt;0,
    COUNTIFS($AI$3:$AI$201,$M341)&gt;0,
    COUNTIFS($AJ$3:$AJ$201,$M341)&gt;0,
    COUNTIFS($AK$3:$AK$201,$M341)&gt;0,
    COUNTIFS($AL$3:$AL$201,$M341)&gt;0,
    COUNTIFS($AM$3:$AM$201,$M341)&gt;0,
    COUNTIFS($AN$3:$AN$201,$M341)&gt;0,
    COUNTIFS($AO$3:$AO$201,$M341)&gt;0,
    COUNTIFS($AP$3:$AP$201,$M341)&gt;0,
    COUNTIFS($AQ$3:$AQ$201,$M341)&gt;0,
    COUNTIFS($AR$3:$AR$201,$M341)&gt;0,
    COUNTIFS($AS$3:$AS$201,$M341)&gt;0,
    COUNTIFS($AT$3:$AT$201,$M341)&gt;0,
    COUNTIFS($AU$3:$AU$201,$M341)&gt;0,
    COUNTIFS($AV$3:$AV$201,$M341)&gt;0,
    COUNTIFS($AW$3:$AW$201,$M341)&gt;0
   ),
  0)
 ),
"")</f>
        <v/>
      </c>
      <c r="P341" s="3" t="str" cm="1">
        <f t="array" ref="P341">IFERROR(
 INDEX(
  _xlfn._xlws.FILTER($T$2:$AW$2,
   TRANSPOSE(
    CHOOSE({1;2;3;4;5;6;7;8;9;10;11;12;13;14;15;16;17;18;19;20;21;22;23;24;25;26;27;28;29;30},
     COUNTIFS($T$3:$T$201,$M341)&gt;0,
     COUNTIFS($U$3:$U$201,$M341)&gt;0,
     COUNTIFS($V$3:$V$201,$M341)&gt;0,
     COUNTIFS($W$3:$W$201,$M341)&gt;0,
     COUNTIFS($X$3:$X$201,$M341)&gt;0,
     COUNTIFS($Y$3:$Y$201,$M341)&gt;0,
     COUNTIFS($Z$3:$Z$201,$M341)&gt;0,
     COUNTIFS($AA$3:$AA$201,$M341)&gt;0,
     COUNTIFS($AB$3:$AB$201,$M341)&gt;0,
     COUNTIFS($AC$3:$AC$201,$M341)&gt;0,
     COUNTIFS($AD$3:$AD$201,$M341)&gt;0,
     COUNTIFS($AE$3:$AE$201,$M341)&gt;0,
     COUNTIFS($AF$3:$AF$201,$M341)&gt;0,
     COUNTIFS($AG$3:$AG$201,$M341)&gt;0,
     COUNTIFS($AH$3:$AH$201,$M341)&gt;0,
     COUNTIFS($AI$3:$AI$201,$M341)&gt;0,
     COUNTIFS($AJ$3:$AJ$201,$M341)&gt;0,
     COUNTIFS($AK$3:$AK$201,$M341)&gt;0,
     COUNTIFS($AL$3:$AL$201,$M341)&gt;0,
     COUNTIFS($AM$3:$AM$201,$M341)&gt;0,
     COUNTIFS($AN$3:$AN$201,$M341)&gt;0,
     COUNTIFS($AO$3:$AO$201,$M341)&gt;0,
     COUNTIFS($AP$3:$AP$201,$M341)&gt;0,
     COUNTIFS($AQ$3:$AQ$201,$M341)&gt;0,
     COUNTIFS($AR$3:$AR$201,$M341)&gt;0,
     COUNTIFS($AS$3:$AS$201,$M341)&gt;0,
     COUNTIFS($AT$3:$AT$201,$M341)&gt;0,
     COUNTIFS($AU$3:$AU$201,$M341)&gt;0,
     COUNTIFS($AV$3:$AV$201,$M341)&gt;0,
     COUNTIFS($AW$3:$AW$201,$M341)&gt;0
   )),
  ),
  2
 ),
"")</f>
        <v/>
      </c>
      <c r="Q341" s="3" t="str" cm="1">
        <f t="array" ref="Q341">IFERROR(
 INDEX(
  _xlfn._xlws.FILTER($T$2:$AW$2,
   TRANSPOSE(
    CHOOSE({1;2;3;4;5;6;7;8;9;10;11;12;13;14;15;16;17;18;19;20;21;22;23;24;25;26;27;28;29;30},
     COUNTIFS($T$3:$T$201,$M341)&gt;0,
     COUNTIFS($U$3:$U$201,$M341)&gt;0,
     COUNTIFS($V$3:$V$201,$M341)&gt;0,
     COUNTIFS($W$3:$W$201,$M341)&gt;0,
     COUNTIFS($X$3:$X$201,$M341)&gt;0,
     COUNTIFS($Y$3:$Y$201,$M341)&gt;0,
     COUNTIFS($Z$3:$Z$201,$M341)&gt;0,
     COUNTIFS($AA$3:$AA$201,$M341)&gt;0,
     COUNTIFS($AB$3:$AB$201,$M341)&gt;0,
     COUNTIFS($AC$3:$AC$201,$M341)&gt;0,
     COUNTIFS($AD$3:$AD$201,$M341)&gt;0,
     COUNTIFS($AE$3:$AE$201,$M341)&gt;0,
     COUNTIFS($AF$3:$AF$201,$M341)&gt;0,
     COUNTIFS($AG$3:$AG$201,$M341)&gt;0,
     COUNTIFS($AH$3:$AH$201,$M341)&gt;0,
     COUNTIFS($AI$3:$AI$201,$M341)&gt;0,
     COUNTIFS($AJ$3:$AJ$201,$M341)&gt;0,
     COUNTIFS($AK$3:$AK$201,$M341)&gt;0,
     COUNTIFS($AL$3:$AL$201,$M341)&gt;0,
     COUNTIFS($AM$3:$AM$201,$M341)&gt;0,
     COUNTIFS($AN$3:$AN$201,$M341)&gt;0,
     COUNTIFS($AO$3:$AO$201,$M341)&gt;0,
     COUNTIFS($AP$3:$AP$201,$M341)&gt;0,
     COUNTIFS($AQ$3:$AQ$201,$M341)&gt;0,
     COUNTIFS($AR$3:$AR$201,$M341)&gt;0,
     COUNTIFS($AS$3:$AS$201,$M341)&gt;0,
     COUNTIFS($AT$3:$AT$201,$M341)&gt;0,
     COUNTIFS($AU$3:$AU$201,$M341)&gt;0,
     COUNTIFS($AV$3:$AV$201,$M341)&gt;0,
     COUNTIFS($AW$3:$AW$201,$M341)&gt;0
   )),
  ),
  3
 ),
"")</f>
        <v/>
      </c>
      <c r="R341" s="3" t="str" cm="1">
        <f t="array" ref="R341">IFERROR(
 INDEX(
  _xlfn._xlws.FILTER($T$2:$AW$2,
   TRANSPOSE(
    CHOOSE({1;2;3;4;5;6;7;8;9;10;11;12;13;14;15;16;17;18;19;20;21;22;23;24;25;26;27;28;29;30},
     COUNTIFS($T$3:$T$201,$M341)&gt;0,
     COUNTIFS($U$3:$U$201,$M341)&gt;0,
     COUNTIFS($V$3:$V$201,$M341)&gt;0,
     COUNTIFS($W$3:$W$201,$M341)&gt;0,
     COUNTIFS($X$3:$X$201,$M341)&gt;0,
     COUNTIFS($Y$3:$Y$201,$M341)&gt;0,
     COUNTIFS($Z$3:$Z$201,$M341)&gt;0,
     COUNTIFS($AA$3:$AA$201,$M341)&gt;0,
     COUNTIFS($AB$3:$AB$201,$M341)&gt;0,
     COUNTIFS($AC$3:$AC$201,$M341)&gt;0,
     COUNTIFS($AD$3:$AD$201,$M341)&gt;0,
     COUNTIFS($AE$3:$AE$201,$M341)&gt;0,
     COUNTIFS($AF$3:$AF$201,$M341)&gt;0,
     COUNTIFS($AG$3:$AG$201,$M341)&gt;0,
     COUNTIFS($AH$3:$AH$201,$M341)&gt;0,
     COUNTIFS($AI$3:$AI$201,$M341)&gt;0,
     COUNTIFS($AJ$3:$AJ$201,$M341)&gt;0,
     COUNTIFS($AK$3:$AK$201,$M341)&gt;0,
     COUNTIFS($AL$3:$AL$201,$M341)&gt;0,
     COUNTIFS($AM$3:$AM$201,$M341)&gt;0,
     COUNTIFS($AN$3:$AN$201,$M341)&gt;0,
     COUNTIFS($AO$3:$AO$201,$M341)&gt;0,
     COUNTIFS($AP$3:$AP$201,$M341)&gt;0,
     COUNTIFS($AQ$3:$AQ$201,$M341)&gt;0,
     COUNTIFS($AR$3:$AR$201,$M341)&gt;0,
     COUNTIFS($AS$3:$AS$201,$M341)&gt;0,
     COUNTIFS($AT$3:$AT$201,$M341)&gt;0,
     COUNTIFS($AU$3:$AU$201,$M341)&gt;0,
     COUNTIFS($AV$3:$AV$201,$M341)&gt;0,
     COUNTIFS($AW$3:$AW$201,$M341)&gt;0
   )),
  ),
  4
 ),
"")</f>
        <v/>
      </c>
    </row>
    <row r="342" spans="1:18" x14ac:dyDescent="0.25">
      <c r="B342" s="3" t="str" cm="1">
        <f t="array" ref="B342">_xlfn.ANCHORARRAY(RESUMO!C341)</f>
        <v/>
      </c>
      <c r="C342" s="3" t="str">
        <f t="shared" ca="1" si="20"/>
        <v/>
      </c>
      <c r="N342" s="3">
        <f t="shared" si="21"/>
        <v>0</v>
      </c>
      <c r="O342" s="3" t="str">
        <f>IFERROR(
 INDEX($T$2:$AW$2,
  MATCH(TRUE,
   CHOOSE({1;2;3;4;5;6;7;8;9;10;11;12;13;14;15;16;17;18;19;20;21;22;23;24;25;26;27;28;29;30;31;32},
    COUNTIFS($T$3:$T$201,$M342)&gt;0,
    COUNTIFS($U$3:$U$201,$M342)&gt;0,
    COUNTIFS($V$3:$V$201,$M342)&gt;0,
    COUNTIFS($W$3:$W$201,$M342)&gt;0,
    COUNTIFS($X$3:$X$201,$M342)&gt;0,
    COUNTIFS($Y$3:$Y$201,$M342)&gt;0,
    COUNTIFS($Z$3:$Z$201,$M342)&gt;0,
    COUNTIFS($AA$3:$AA$201,$M342)&gt;0,
    COUNTIFS($AB$3:$AB$201,$M342)&gt;0,
    COUNTIFS($AC$3:$AC$201,$M342)&gt;0,
    COUNTIFS($AD$3:$AD$201,$M342)&gt;0,
    COUNTIFS($AE$3:$AE$201,$M342)&gt;0,
    COUNTIFS($AF$3:$AF$201,$M342)&gt;0,
    COUNTIFS($AG$3:$AG$201,$M342)&gt;0,
    COUNTIFS($AH$3:$AH$201,$M342)&gt;0,
    COUNTIFS($AI$3:$AI$201,$M342)&gt;0,
    COUNTIFS($AJ$3:$AJ$201,$M342)&gt;0,
    COUNTIFS($AK$3:$AK$201,$M342)&gt;0,
    COUNTIFS($AL$3:$AL$201,$M342)&gt;0,
    COUNTIFS($AM$3:$AM$201,$M342)&gt;0,
    COUNTIFS($AN$3:$AN$201,$M342)&gt;0,
    COUNTIFS($AO$3:$AO$201,$M342)&gt;0,
    COUNTIFS($AP$3:$AP$201,$M342)&gt;0,
    COUNTIFS($AQ$3:$AQ$201,$M342)&gt;0,
    COUNTIFS($AR$3:$AR$201,$M342)&gt;0,
    COUNTIFS($AS$3:$AS$201,$M342)&gt;0,
    COUNTIFS($AT$3:$AT$201,$M342)&gt;0,
    COUNTIFS($AU$3:$AU$201,$M342)&gt;0,
    COUNTIFS($AV$3:$AV$201,$M342)&gt;0,
    COUNTIFS($AW$3:$AW$201,$M342)&gt;0
   ),
  0)
 ),
"")</f>
        <v/>
      </c>
      <c r="P342" s="3" t="str" cm="1">
        <f t="array" ref="P342">IFERROR(
 INDEX(
  _xlfn._xlws.FILTER($T$2:$AW$2,
   TRANSPOSE(
    CHOOSE({1;2;3;4;5;6;7;8;9;10;11;12;13;14;15;16;17;18;19;20;21;22;23;24;25;26;27;28;29;30},
     COUNTIFS($T$3:$T$201,$M342)&gt;0,
     COUNTIFS($U$3:$U$201,$M342)&gt;0,
     COUNTIFS($V$3:$V$201,$M342)&gt;0,
     COUNTIFS($W$3:$W$201,$M342)&gt;0,
     COUNTIFS($X$3:$X$201,$M342)&gt;0,
     COUNTIFS($Y$3:$Y$201,$M342)&gt;0,
     COUNTIFS($Z$3:$Z$201,$M342)&gt;0,
     COUNTIFS($AA$3:$AA$201,$M342)&gt;0,
     COUNTIFS($AB$3:$AB$201,$M342)&gt;0,
     COUNTIFS($AC$3:$AC$201,$M342)&gt;0,
     COUNTIFS($AD$3:$AD$201,$M342)&gt;0,
     COUNTIFS($AE$3:$AE$201,$M342)&gt;0,
     COUNTIFS($AF$3:$AF$201,$M342)&gt;0,
     COUNTIFS($AG$3:$AG$201,$M342)&gt;0,
     COUNTIFS($AH$3:$AH$201,$M342)&gt;0,
     COUNTIFS($AI$3:$AI$201,$M342)&gt;0,
     COUNTIFS($AJ$3:$AJ$201,$M342)&gt;0,
     COUNTIFS($AK$3:$AK$201,$M342)&gt;0,
     COUNTIFS($AL$3:$AL$201,$M342)&gt;0,
     COUNTIFS($AM$3:$AM$201,$M342)&gt;0,
     COUNTIFS($AN$3:$AN$201,$M342)&gt;0,
     COUNTIFS($AO$3:$AO$201,$M342)&gt;0,
     COUNTIFS($AP$3:$AP$201,$M342)&gt;0,
     COUNTIFS($AQ$3:$AQ$201,$M342)&gt;0,
     COUNTIFS($AR$3:$AR$201,$M342)&gt;0,
     COUNTIFS($AS$3:$AS$201,$M342)&gt;0,
     COUNTIFS($AT$3:$AT$201,$M342)&gt;0,
     COUNTIFS($AU$3:$AU$201,$M342)&gt;0,
     COUNTIFS($AV$3:$AV$201,$M342)&gt;0,
     COUNTIFS($AW$3:$AW$201,$M342)&gt;0
   )),
  ),
  2
 ),
"")</f>
        <v/>
      </c>
      <c r="Q342" s="3" t="str" cm="1">
        <f t="array" ref="Q342">IFERROR(
 INDEX(
  _xlfn._xlws.FILTER($T$2:$AW$2,
   TRANSPOSE(
    CHOOSE({1;2;3;4;5;6;7;8;9;10;11;12;13;14;15;16;17;18;19;20;21;22;23;24;25;26;27;28;29;30},
     COUNTIFS($T$3:$T$201,$M342)&gt;0,
     COUNTIFS($U$3:$U$201,$M342)&gt;0,
     COUNTIFS($V$3:$V$201,$M342)&gt;0,
     COUNTIFS($W$3:$W$201,$M342)&gt;0,
     COUNTIFS($X$3:$X$201,$M342)&gt;0,
     COUNTIFS($Y$3:$Y$201,$M342)&gt;0,
     COUNTIFS($Z$3:$Z$201,$M342)&gt;0,
     COUNTIFS($AA$3:$AA$201,$M342)&gt;0,
     COUNTIFS($AB$3:$AB$201,$M342)&gt;0,
     COUNTIFS($AC$3:$AC$201,$M342)&gt;0,
     COUNTIFS($AD$3:$AD$201,$M342)&gt;0,
     COUNTIFS($AE$3:$AE$201,$M342)&gt;0,
     COUNTIFS($AF$3:$AF$201,$M342)&gt;0,
     COUNTIFS($AG$3:$AG$201,$M342)&gt;0,
     COUNTIFS($AH$3:$AH$201,$M342)&gt;0,
     COUNTIFS($AI$3:$AI$201,$M342)&gt;0,
     COUNTIFS($AJ$3:$AJ$201,$M342)&gt;0,
     COUNTIFS($AK$3:$AK$201,$M342)&gt;0,
     COUNTIFS($AL$3:$AL$201,$M342)&gt;0,
     COUNTIFS($AM$3:$AM$201,$M342)&gt;0,
     COUNTIFS($AN$3:$AN$201,$M342)&gt;0,
     COUNTIFS($AO$3:$AO$201,$M342)&gt;0,
     COUNTIFS($AP$3:$AP$201,$M342)&gt;0,
     COUNTIFS($AQ$3:$AQ$201,$M342)&gt;0,
     COUNTIFS($AR$3:$AR$201,$M342)&gt;0,
     COUNTIFS($AS$3:$AS$201,$M342)&gt;0,
     COUNTIFS($AT$3:$AT$201,$M342)&gt;0,
     COUNTIFS($AU$3:$AU$201,$M342)&gt;0,
     COUNTIFS($AV$3:$AV$201,$M342)&gt;0,
     COUNTIFS($AW$3:$AW$201,$M342)&gt;0
   )),
  ),
  3
 ),
"")</f>
        <v/>
      </c>
      <c r="R342" s="3" t="str" cm="1">
        <f t="array" ref="R342">IFERROR(
 INDEX(
  _xlfn._xlws.FILTER($T$2:$AW$2,
   TRANSPOSE(
    CHOOSE({1;2;3;4;5;6;7;8;9;10;11;12;13;14;15;16;17;18;19;20;21;22;23;24;25;26;27;28;29;30},
     COUNTIFS($T$3:$T$201,$M342)&gt;0,
     COUNTIFS($U$3:$U$201,$M342)&gt;0,
     COUNTIFS($V$3:$V$201,$M342)&gt;0,
     COUNTIFS($W$3:$W$201,$M342)&gt;0,
     COUNTIFS($X$3:$X$201,$M342)&gt;0,
     COUNTIFS($Y$3:$Y$201,$M342)&gt;0,
     COUNTIFS($Z$3:$Z$201,$M342)&gt;0,
     COUNTIFS($AA$3:$AA$201,$M342)&gt;0,
     COUNTIFS($AB$3:$AB$201,$M342)&gt;0,
     COUNTIFS($AC$3:$AC$201,$M342)&gt;0,
     COUNTIFS($AD$3:$AD$201,$M342)&gt;0,
     COUNTIFS($AE$3:$AE$201,$M342)&gt;0,
     COUNTIFS($AF$3:$AF$201,$M342)&gt;0,
     COUNTIFS($AG$3:$AG$201,$M342)&gt;0,
     COUNTIFS($AH$3:$AH$201,$M342)&gt;0,
     COUNTIFS($AI$3:$AI$201,$M342)&gt;0,
     COUNTIFS($AJ$3:$AJ$201,$M342)&gt;0,
     COUNTIFS($AK$3:$AK$201,$M342)&gt;0,
     COUNTIFS($AL$3:$AL$201,$M342)&gt;0,
     COUNTIFS($AM$3:$AM$201,$M342)&gt;0,
     COUNTIFS($AN$3:$AN$201,$M342)&gt;0,
     COUNTIFS($AO$3:$AO$201,$M342)&gt;0,
     COUNTIFS($AP$3:$AP$201,$M342)&gt;0,
     COUNTIFS($AQ$3:$AQ$201,$M342)&gt;0,
     COUNTIFS($AR$3:$AR$201,$M342)&gt;0,
     COUNTIFS($AS$3:$AS$201,$M342)&gt;0,
     COUNTIFS($AT$3:$AT$201,$M342)&gt;0,
     COUNTIFS($AU$3:$AU$201,$M342)&gt;0,
     COUNTIFS($AV$3:$AV$201,$M342)&gt;0,
     COUNTIFS($AW$3:$AW$201,$M342)&gt;0
   )),
  ),
  4
 ),
"")</f>
        <v/>
      </c>
    </row>
    <row r="343" spans="1:18" x14ac:dyDescent="0.25">
      <c r="B343" s="3" t="str" cm="1">
        <f t="array" ref="B343">_xlfn.ANCHORARRAY(RESUMO!C342)</f>
        <v/>
      </c>
      <c r="C343" s="3" t="str">
        <f t="shared" ca="1" si="20"/>
        <v/>
      </c>
      <c r="N343" s="3">
        <f t="shared" si="21"/>
        <v>0</v>
      </c>
      <c r="O343" s="3" t="str">
        <f>IFERROR(
 INDEX($T$2:$AW$2,
  MATCH(TRUE,
   CHOOSE({1;2;3;4;5;6;7;8;9;10;11;12;13;14;15;16;17;18;19;20;21;22;23;24;25;26;27;28;29;30;31;32},
    COUNTIFS($T$3:$T$201,$M343)&gt;0,
    COUNTIFS($U$3:$U$201,$M343)&gt;0,
    COUNTIFS($V$3:$V$201,$M343)&gt;0,
    COUNTIFS($W$3:$W$201,$M343)&gt;0,
    COUNTIFS($X$3:$X$201,$M343)&gt;0,
    COUNTIFS($Y$3:$Y$201,$M343)&gt;0,
    COUNTIFS($Z$3:$Z$201,$M343)&gt;0,
    COUNTIFS($AA$3:$AA$201,$M343)&gt;0,
    COUNTIFS($AB$3:$AB$201,$M343)&gt;0,
    COUNTIFS($AC$3:$AC$201,$M343)&gt;0,
    COUNTIFS($AD$3:$AD$201,$M343)&gt;0,
    COUNTIFS($AE$3:$AE$201,$M343)&gt;0,
    COUNTIFS($AF$3:$AF$201,$M343)&gt;0,
    COUNTIFS($AG$3:$AG$201,$M343)&gt;0,
    COUNTIFS($AH$3:$AH$201,$M343)&gt;0,
    COUNTIFS($AI$3:$AI$201,$M343)&gt;0,
    COUNTIFS($AJ$3:$AJ$201,$M343)&gt;0,
    COUNTIFS($AK$3:$AK$201,$M343)&gt;0,
    COUNTIFS($AL$3:$AL$201,$M343)&gt;0,
    COUNTIFS($AM$3:$AM$201,$M343)&gt;0,
    COUNTIFS($AN$3:$AN$201,$M343)&gt;0,
    COUNTIFS($AO$3:$AO$201,$M343)&gt;0,
    COUNTIFS($AP$3:$AP$201,$M343)&gt;0,
    COUNTIFS($AQ$3:$AQ$201,$M343)&gt;0,
    COUNTIFS($AR$3:$AR$201,$M343)&gt;0,
    COUNTIFS($AS$3:$AS$201,$M343)&gt;0,
    COUNTIFS($AT$3:$AT$201,$M343)&gt;0,
    COUNTIFS($AU$3:$AU$201,$M343)&gt;0,
    COUNTIFS($AV$3:$AV$201,$M343)&gt;0,
    COUNTIFS($AW$3:$AW$201,$M343)&gt;0
   ),
  0)
 ),
"")</f>
        <v/>
      </c>
      <c r="P343" s="3" t="str" cm="1">
        <f t="array" ref="P343">IFERROR(
 INDEX(
  _xlfn._xlws.FILTER($T$2:$AW$2,
   TRANSPOSE(
    CHOOSE({1;2;3;4;5;6;7;8;9;10;11;12;13;14;15;16;17;18;19;20;21;22;23;24;25;26;27;28;29;30},
     COUNTIFS($T$3:$T$201,$M343)&gt;0,
     COUNTIFS($U$3:$U$201,$M343)&gt;0,
     COUNTIFS($V$3:$V$201,$M343)&gt;0,
     COUNTIFS($W$3:$W$201,$M343)&gt;0,
     COUNTIFS($X$3:$X$201,$M343)&gt;0,
     COUNTIFS($Y$3:$Y$201,$M343)&gt;0,
     COUNTIFS($Z$3:$Z$201,$M343)&gt;0,
     COUNTIFS($AA$3:$AA$201,$M343)&gt;0,
     COUNTIFS($AB$3:$AB$201,$M343)&gt;0,
     COUNTIFS($AC$3:$AC$201,$M343)&gt;0,
     COUNTIFS($AD$3:$AD$201,$M343)&gt;0,
     COUNTIFS($AE$3:$AE$201,$M343)&gt;0,
     COUNTIFS($AF$3:$AF$201,$M343)&gt;0,
     COUNTIFS($AG$3:$AG$201,$M343)&gt;0,
     COUNTIFS($AH$3:$AH$201,$M343)&gt;0,
     COUNTIFS($AI$3:$AI$201,$M343)&gt;0,
     COUNTIFS($AJ$3:$AJ$201,$M343)&gt;0,
     COUNTIFS($AK$3:$AK$201,$M343)&gt;0,
     COUNTIFS($AL$3:$AL$201,$M343)&gt;0,
     COUNTIFS($AM$3:$AM$201,$M343)&gt;0,
     COUNTIFS($AN$3:$AN$201,$M343)&gt;0,
     COUNTIFS($AO$3:$AO$201,$M343)&gt;0,
     COUNTIFS($AP$3:$AP$201,$M343)&gt;0,
     COUNTIFS($AQ$3:$AQ$201,$M343)&gt;0,
     COUNTIFS($AR$3:$AR$201,$M343)&gt;0,
     COUNTIFS($AS$3:$AS$201,$M343)&gt;0,
     COUNTIFS($AT$3:$AT$201,$M343)&gt;0,
     COUNTIFS($AU$3:$AU$201,$M343)&gt;0,
     COUNTIFS($AV$3:$AV$201,$M343)&gt;0,
     COUNTIFS($AW$3:$AW$201,$M343)&gt;0
   )),
  ),
  2
 ),
"")</f>
        <v/>
      </c>
      <c r="Q343" s="3" t="str" cm="1">
        <f t="array" ref="Q343">IFERROR(
 INDEX(
  _xlfn._xlws.FILTER($T$2:$AW$2,
   TRANSPOSE(
    CHOOSE({1;2;3;4;5;6;7;8;9;10;11;12;13;14;15;16;17;18;19;20;21;22;23;24;25;26;27;28;29;30},
     COUNTIFS($T$3:$T$201,$M343)&gt;0,
     COUNTIFS($U$3:$U$201,$M343)&gt;0,
     COUNTIFS($V$3:$V$201,$M343)&gt;0,
     COUNTIFS($W$3:$W$201,$M343)&gt;0,
     COUNTIFS($X$3:$X$201,$M343)&gt;0,
     COUNTIFS($Y$3:$Y$201,$M343)&gt;0,
     COUNTIFS($Z$3:$Z$201,$M343)&gt;0,
     COUNTIFS($AA$3:$AA$201,$M343)&gt;0,
     COUNTIFS($AB$3:$AB$201,$M343)&gt;0,
     COUNTIFS($AC$3:$AC$201,$M343)&gt;0,
     COUNTIFS($AD$3:$AD$201,$M343)&gt;0,
     COUNTIFS($AE$3:$AE$201,$M343)&gt;0,
     COUNTIFS($AF$3:$AF$201,$M343)&gt;0,
     COUNTIFS($AG$3:$AG$201,$M343)&gt;0,
     COUNTIFS($AH$3:$AH$201,$M343)&gt;0,
     COUNTIFS($AI$3:$AI$201,$M343)&gt;0,
     COUNTIFS($AJ$3:$AJ$201,$M343)&gt;0,
     COUNTIFS($AK$3:$AK$201,$M343)&gt;0,
     COUNTIFS($AL$3:$AL$201,$M343)&gt;0,
     COUNTIFS($AM$3:$AM$201,$M343)&gt;0,
     COUNTIFS($AN$3:$AN$201,$M343)&gt;0,
     COUNTIFS($AO$3:$AO$201,$M343)&gt;0,
     COUNTIFS($AP$3:$AP$201,$M343)&gt;0,
     COUNTIFS($AQ$3:$AQ$201,$M343)&gt;0,
     COUNTIFS($AR$3:$AR$201,$M343)&gt;0,
     COUNTIFS($AS$3:$AS$201,$M343)&gt;0,
     COUNTIFS($AT$3:$AT$201,$M343)&gt;0,
     COUNTIFS($AU$3:$AU$201,$M343)&gt;0,
     COUNTIFS($AV$3:$AV$201,$M343)&gt;0,
     COUNTIFS($AW$3:$AW$201,$M343)&gt;0
   )),
  ),
  3
 ),
"")</f>
        <v/>
      </c>
      <c r="R343" s="3" t="str" cm="1">
        <f t="array" ref="R343">IFERROR(
 INDEX(
  _xlfn._xlws.FILTER($T$2:$AW$2,
   TRANSPOSE(
    CHOOSE({1;2;3;4;5;6;7;8;9;10;11;12;13;14;15;16;17;18;19;20;21;22;23;24;25;26;27;28;29;30},
     COUNTIFS($T$3:$T$201,$M343)&gt;0,
     COUNTIFS($U$3:$U$201,$M343)&gt;0,
     COUNTIFS($V$3:$V$201,$M343)&gt;0,
     COUNTIFS($W$3:$W$201,$M343)&gt;0,
     COUNTIFS($X$3:$X$201,$M343)&gt;0,
     COUNTIFS($Y$3:$Y$201,$M343)&gt;0,
     COUNTIFS($Z$3:$Z$201,$M343)&gt;0,
     COUNTIFS($AA$3:$AA$201,$M343)&gt;0,
     COUNTIFS($AB$3:$AB$201,$M343)&gt;0,
     COUNTIFS($AC$3:$AC$201,$M343)&gt;0,
     COUNTIFS($AD$3:$AD$201,$M343)&gt;0,
     COUNTIFS($AE$3:$AE$201,$M343)&gt;0,
     COUNTIFS($AF$3:$AF$201,$M343)&gt;0,
     COUNTIFS($AG$3:$AG$201,$M343)&gt;0,
     COUNTIFS($AH$3:$AH$201,$M343)&gt;0,
     COUNTIFS($AI$3:$AI$201,$M343)&gt;0,
     COUNTIFS($AJ$3:$AJ$201,$M343)&gt;0,
     COUNTIFS($AK$3:$AK$201,$M343)&gt;0,
     COUNTIFS($AL$3:$AL$201,$M343)&gt;0,
     COUNTIFS($AM$3:$AM$201,$M343)&gt;0,
     COUNTIFS($AN$3:$AN$201,$M343)&gt;0,
     COUNTIFS($AO$3:$AO$201,$M343)&gt;0,
     COUNTIFS($AP$3:$AP$201,$M343)&gt;0,
     COUNTIFS($AQ$3:$AQ$201,$M343)&gt;0,
     COUNTIFS($AR$3:$AR$201,$M343)&gt;0,
     COUNTIFS($AS$3:$AS$201,$M343)&gt;0,
     COUNTIFS($AT$3:$AT$201,$M343)&gt;0,
     COUNTIFS($AU$3:$AU$201,$M343)&gt;0,
     COUNTIFS($AV$3:$AV$201,$M343)&gt;0,
     COUNTIFS($AW$3:$AW$201,$M343)&gt;0
   )),
  ),
  4
 ),
"")</f>
        <v/>
      </c>
    </row>
    <row r="344" spans="1:18" x14ac:dyDescent="0.25">
      <c r="B344" s="3" t="str" cm="1">
        <f t="array" ref="B344">_xlfn.ANCHORARRAY(RESUMO!C343)</f>
        <v/>
      </c>
      <c r="C344" s="3" t="str">
        <f t="shared" ca="1" si="20"/>
        <v/>
      </c>
      <c r="N344" s="3">
        <f t="shared" si="21"/>
        <v>0</v>
      </c>
      <c r="O344" s="3" t="str">
        <f>IFERROR(
 INDEX($T$2:$AW$2,
  MATCH(TRUE,
   CHOOSE({1;2;3;4;5;6;7;8;9;10;11;12;13;14;15;16;17;18;19;20;21;22;23;24;25;26;27;28;29;30;31;32},
    COUNTIFS($T$3:$T$201,$M344)&gt;0,
    COUNTIFS($U$3:$U$201,$M344)&gt;0,
    COUNTIFS($V$3:$V$201,$M344)&gt;0,
    COUNTIFS($W$3:$W$201,$M344)&gt;0,
    COUNTIFS($X$3:$X$201,$M344)&gt;0,
    COUNTIFS($Y$3:$Y$201,$M344)&gt;0,
    COUNTIFS($Z$3:$Z$201,$M344)&gt;0,
    COUNTIFS($AA$3:$AA$201,$M344)&gt;0,
    COUNTIFS($AB$3:$AB$201,$M344)&gt;0,
    COUNTIFS($AC$3:$AC$201,$M344)&gt;0,
    COUNTIFS($AD$3:$AD$201,$M344)&gt;0,
    COUNTIFS($AE$3:$AE$201,$M344)&gt;0,
    COUNTIFS($AF$3:$AF$201,$M344)&gt;0,
    COUNTIFS($AG$3:$AG$201,$M344)&gt;0,
    COUNTIFS($AH$3:$AH$201,$M344)&gt;0,
    COUNTIFS($AI$3:$AI$201,$M344)&gt;0,
    COUNTIFS($AJ$3:$AJ$201,$M344)&gt;0,
    COUNTIFS($AK$3:$AK$201,$M344)&gt;0,
    COUNTIFS($AL$3:$AL$201,$M344)&gt;0,
    COUNTIFS($AM$3:$AM$201,$M344)&gt;0,
    COUNTIFS($AN$3:$AN$201,$M344)&gt;0,
    COUNTIFS($AO$3:$AO$201,$M344)&gt;0,
    COUNTIFS($AP$3:$AP$201,$M344)&gt;0,
    COUNTIFS($AQ$3:$AQ$201,$M344)&gt;0,
    COUNTIFS($AR$3:$AR$201,$M344)&gt;0,
    COUNTIFS($AS$3:$AS$201,$M344)&gt;0,
    COUNTIFS($AT$3:$AT$201,$M344)&gt;0,
    COUNTIFS($AU$3:$AU$201,$M344)&gt;0,
    COUNTIFS($AV$3:$AV$201,$M344)&gt;0,
    COUNTIFS($AW$3:$AW$201,$M344)&gt;0
   ),
  0)
 ),
"")</f>
        <v/>
      </c>
      <c r="P344" s="3" t="str" cm="1">
        <f t="array" ref="P344">IFERROR(
 INDEX(
  _xlfn._xlws.FILTER($T$2:$AW$2,
   TRANSPOSE(
    CHOOSE({1;2;3;4;5;6;7;8;9;10;11;12;13;14;15;16;17;18;19;20;21;22;23;24;25;26;27;28;29;30},
     COUNTIFS($T$3:$T$201,$M344)&gt;0,
     COUNTIFS($U$3:$U$201,$M344)&gt;0,
     COUNTIFS($V$3:$V$201,$M344)&gt;0,
     COUNTIFS($W$3:$W$201,$M344)&gt;0,
     COUNTIFS($X$3:$X$201,$M344)&gt;0,
     COUNTIFS($Y$3:$Y$201,$M344)&gt;0,
     COUNTIFS($Z$3:$Z$201,$M344)&gt;0,
     COUNTIFS($AA$3:$AA$201,$M344)&gt;0,
     COUNTIFS($AB$3:$AB$201,$M344)&gt;0,
     COUNTIFS($AC$3:$AC$201,$M344)&gt;0,
     COUNTIFS($AD$3:$AD$201,$M344)&gt;0,
     COUNTIFS($AE$3:$AE$201,$M344)&gt;0,
     COUNTIFS($AF$3:$AF$201,$M344)&gt;0,
     COUNTIFS($AG$3:$AG$201,$M344)&gt;0,
     COUNTIFS($AH$3:$AH$201,$M344)&gt;0,
     COUNTIFS($AI$3:$AI$201,$M344)&gt;0,
     COUNTIFS($AJ$3:$AJ$201,$M344)&gt;0,
     COUNTIFS($AK$3:$AK$201,$M344)&gt;0,
     COUNTIFS($AL$3:$AL$201,$M344)&gt;0,
     COUNTIFS($AM$3:$AM$201,$M344)&gt;0,
     COUNTIFS($AN$3:$AN$201,$M344)&gt;0,
     COUNTIFS($AO$3:$AO$201,$M344)&gt;0,
     COUNTIFS($AP$3:$AP$201,$M344)&gt;0,
     COUNTIFS($AQ$3:$AQ$201,$M344)&gt;0,
     COUNTIFS($AR$3:$AR$201,$M344)&gt;0,
     COUNTIFS($AS$3:$AS$201,$M344)&gt;0,
     COUNTIFS($AT$3:$AT$201,$M344)&gt;0,
     COUNTIFS($AU$3:$AU$201,$M344)&gt;0,
     COUNTIFS($AV$3:$AV$201,$M344)&gt;0,
     COUNTIFS($AW$3:$AW$201,$M344)&gt;0
   )),
  ),
  2
 ),
"")</f>
        <v/>
      </c>
      <c r="Q344" s="3" t="str" cm="1">
        <f t="array" ref="Q344">IFERROR(
 INDEX(
  _xlfn._xlws.FILTER($T$2:$AW$2,
   TRANSPOSE(
    CHOOSE({1;2;3;4;5;6;7;8;9;10;11;12;13;14;15;16;17;18;19;20;21;22;23;24;25;26;27;28;29;30},
     COUNTIFS($T$3:$T$201,$M344)&gt;0,
     COUNTIFS($U$3:$U$201,$M344)&gt;0,
     COUNTIFS($V$3:$V$201,$M344)&gt;0,
     COUNTIFS($W$3:$W$201,$M344)&gt;0,
     COUNTIFS($X$3:$X$201,$M344)&gt;0,
     COUNTIFS($Y$3:$Y$201,$M344)&gt;0,
     COUNTIFS($Z$3:$Z$201,$M344)&gt;0,
     COUNTIFS($AA$3:$AA$201,$M344)&gt;0,
     COUNTIFS($AB$3:$AB$201,$M344)&gt;0,
     COUNTIFS($AC$3:$AC$201,$M344)&gt;0,
     COUNTIFS($AD$3:$AD$201,$M344)&gt;0,
     COUNTIFS($AE$3:$AE$201,$M344)&gt;0,
     COUNTIFS($AF$3:$AF$201,$M344)&gt;0,
     COUNTIFS($AG$3:$AG$201,$M344)&gt;0,
     COUNTIFS($AH$3:$AH$201,$M344)&gt;0,
     COUNTIFS($AI$3:$AI$201,$M344)&gt;0,
     COUNTIFS($AJ$3:$AJ$201,$M344)&gt;0,
     COUNTIFS($AK$3:$AK$201,$M344)&gt;0,
     COUNTIFS($AL$3:$AL$201,$M344)&gt;0,
     COUNTIFS($AM$3:$AM$201,$M344)&gt;0,
     COUNTIFS($AN$3:$AN$201,$M344)&gt;0,
     COUNTIFS($AO$3:$AO$201,$M344)&gt;0,
     COUNTIFS($AP$3:$AP$201,$M344)&gt;0,
     COUNTIFS($AQ$3:$AQ$201,$M344)&gt;0,
     COUNTIFS($AR$3:$AR$201,$M344)&gt;0,
     COUNTIFS($AS$3:$AS$201,$M344)&gt;0,
     COUNTIFS($AT$3:$AT$201,$M344)&gt;0,
     COUNTIFS($AU$3:$AU$201,$M344)&gt;0,
     COUNTIFS($AV$3:$AV$201,$M344)&gt;0,
     COUNTIFS($AW$3:$AW$201,$M344)&gt;0
   )),
  ),
  3
 ),
"")</f>
        <v/>
      </c>
      <c r="R344" s="3" t="str" cm="1">
        <f t="array" ref="R344">IFERROR(
 INDEX(
  _xlfn._xlws.FILTER($T$2:$AW$2,
   TRANSPOSE(
    CHOOSE({1;2;3;4;5;6;7;8;9;10;11;12;13;14;15;16;17;18;19;20;21;22;23;24;25;26;27;28;29;30},
     COUNTIFS($T$3:$T$201,$M344)&gt;0,
     COUNTIFS($U$3:$U$201,$M344)&gt;0,
     COUNTIFS($V$3:$V$201,$M344)&gt;0,
     COUNTIFS($W$3:$W$201,$M344)&gt;0,
     COUNTIFS($X$3:$X$201,$M344)&gt;0,
     COUNTIFS($Y$3:$Y$201,$M344)&gt;0,
     COUNTIFS($Z$3:$Z$201,$M344)&gt;0,
     COUNTIFS($AA$3:$AA$201,$M344)&gt;0,
     COUNTIFS($AB$3:$AB$201,$M344)&gt;0,
     COUNTIFS($AC$3:$AC$201,$M344)&gt;0,
     COUNTIFS($AD$3:$AD$201,$M344)&gt;0,
     COUNTIFS($AE$3:$AE$201,$M344)&gt;0,
     COUNTIFS($AF$3:$AF$201,$M344)&gt;0,
     COUNTIFS($AG$3:$AG$201,$M344)&gt;0,
     COUNTIFS($AH$3:$AH$201,$M344)&gt;0,
     COUNTIFS($AI$3:$AI$201,$M344)&gt;0,
     COUNTIFS($AJ$3:$AJ$201,$M344)&gt;0,
     COUNTIFS($AK$3:$AK$201,$M344)&gt;0,
     COUNTIFS($AL$3:$AL$201,$M344)&gt;0,
     COUNTIFS($AM$3:$AM$201,$M344)&gt;0,
     COUNTIFS($AN$3:$AN$201,$M344)&gt;0,
     COUNTIFS($AO$3:$AO$201,$M344)&gt;0,
     COUNTIFS($AP$3:$AP$201,$M344)&gt;0,
     COUNTIFS($AQ$3:$AQ$201,$M344)&gt;0,
     COUNTIFS($AR$3:$AR$201,$M344)&gt;0,
     COUNTIFS($AS$3:$AS$201,$M344)&gt;0,
     COUNTIFS($AT$3:$AT$201,$M344)&gt;0,
     COUNTIFS($AU$3:$AU$201,$M344)&gt;0,
     COUNTIFS($AV$3:$AV$201,$M344)&gt;0,
     COUNTIFS($AW$3:$AW$201,$M344)&gt;0
   )),
  ),
  4
 ),
"")</f>
        <v/>
      </c>
    </row>
    <row r="345" spans="1:18" x14ac:dyDescent="0.25">
      <c r="B345" s="3" t="str" cm="1">
        <f t="array" ref="B345">_xlfn.ANCHORARRAY(RESUMO!C344)</f>
        <v/>
      </c>
      <c r="C345" s="3" t="str">
        <f t="shared" ca="1" si="20"/>
        <v/>
      </c>
      <c r="N345" s="3">
        <f t="shared" si="21"/>
        <v>0</v>
      </c>
      <c r="O345" s="3" t="str">
        <f>IFERROR(
 INDEX($T$2:$AW$2,
  MATCH(TRUE,
   CHOOSE({1;2;3;4;5;6;7;8;9;10;11;12;13;14;15;16;17;18;19;20;21;22;23;24;25;26;27;28;29;30;31;32},
    COUNTIFS($T$3:$T$201,$M345)&gt;0,
    COUNTIFS($U$3:$U$201,$M345)&gt;0,
    COUNTIFS($V$3:$V$201,$M345)&gt;0,
    COUNTIFS($W$3:$W$201,$M345)&gt;0,
    COUNTIFS($X$3:$X$201,$M345)&gt;0,
    COUNTIFS($Y$3:$Y$201,$M345)&gt;0,
    COUNTIFS($Z$3:$Z$201,$M345)&gt;0,
    COUNTIFS($AA$3:$AA$201,$M345)&gt;0,
    COUNTIFS($AB$3:$AB$201,$M345)&gt;0,
    COUNTIFS($AC$3:$AC$201,$M345)&gt;0,
    COUNTIFS($AD$3:$AD$201,$M345)&gt;0,
    COUNTIFS($AE$3:$AE$201,$M345)&gt;0,
    COUNTIFS($AF$3:$AF$201,$M345)&gt;0,
    COUNTIFS($AG$3:$AG$201,$M345)&gt;0,
    COUNTIFS($AH$3:$AH$201,$M345)&gt;0,
    COUNTIFS($AI$3:$AI$201,$M345)&gt;0,
    COUNTIFS($AJ$3:$AJ$201,$M345)&gt;0,
    COUNTIFS($AK$3:$AK$201,$M345)&gt;0,
    COUNTIFS($AL$3:$AL$201,$M345)&gt;0,
    COUNTIFS($AM$3:$AM$201,$M345)&gt;0,
    COUNTIFS($AN$3:$AN$201,$M345)&gt;0,
    COUNTIFS($AO$3:$AO$201,$M345)&gt;0,
    COUNTIFS($AP$3:$AP$201,$M345)&gt;0,
    COUNTIFS($AQ$3:$AQ$201,$M345)&gt;0,
    COUNTIFS($AR$3:$AR$201,$M345)&gt;0,
    COUNTIFS($AS$3:$AS$201,$M345)&gt;0,
    COUNTIFS($AT$3:$AT$201,$M345)&gt;0,
    COUNTIFS($AU$3:$AU$201,$M345)&gt;0,
    COUNTIFS($AV$3:$AV$201,$M345)&gt;0,
    COUNTIFS($AW$3:$AW$201,$M345)&gt;0
   ),
  0)
 ),
"")</f>
        <v/>
      </c>
      <c r="P345" s="3" t="str" cm="1">
        <f t="array" ref="P345">IFERROR(
 INDEX(
  _xlfn._xlws.FILTER($T$2:$AW$2,
   TRANSPOSE(
    CHOOSE({1;2;3;4;5;6;7;8;9;10;11;12;13;14;15;16;17;18;19;20;21;22;23;24;25;26;27;28;29;30},
     COUNTIFS($T$3:$T$201,$M345)&gt;0,
     COUNTIFS($U$3:$U$201,$M345)&gt;0,
     COUNTIFS($V$3:$V$201,$M345)&gt;0,
     COUNTIFS($W$3:$W$201,$M345)&gt;0,
     COUNTIFS($X$3:$X$201,$M345)&gt;0,
     COUNTIFS($Y$3:$Y$201,$M345)&gt;0,
     COUNTIFS($Z$3:$Z$201,$M345)&gt;0,
     COUNTIFS($AA$3:$AA$201,$M345)&gt;0,
     COUNTIFS($AB$3:$AB$201,$M345)&gt;0,
     COUNTIFS($AC$3:$AC$201,$M345)&gt;0,
     COUNTIFS($AD$3:$AD$201,$M345)&gt;0,
     COUNTIFS($AE$3:$AE$201,$M345)&gt;0,
     COUNTIFS($AF$3:$AF$201,$M345)&gt;0,
     COUNTIFS($AG$3:$AG$201,$M345)&gt;0,
     COUNTIFS($AH$3:$AH$201,$M345)&gt;0,
     COUNTIFS($AI$3:$AI$201,$M345)&gt;0,
     COUNTIFS($AJ$3:$AJ$201,$M345)&gt;0,
     COUNTIFS($AK$3:$AK$201,$M345)&gt;0,
     COUNTIFS($AL$3:$AL$201,$M345)&gt;0,
     COUNTIFS($AM$3:$AM$201,$M345)&gt;0,
     COUNTIFS($AN$3:$AN$201,$M345)&gt;0,
     COUNTIFS($AO$3:$AO$201,$M345)&gt;0,
     COUNTIFS($AP$3:$AP$201,$M345)&gt;0,
     COUNTIFS($AQ$3:$AQ$201,$M345)&gt;0,
     COUNTIFS($AR$3:$AR$201,$M345)&gt;0,
     COUNTIFS($AS$3:$AS$201,$M345)&gt;0,
     COUNTIFS($AT$3:$AT$201,$M345)&gt;0,
     COUNTIFS($AU$3:$AU$201,$M345)&gt;0,
     COUNTIFS($AV$3:$AV$201,$M345)&gt;0,
     COUNTIFS($AW$3:$AW$201,$M345)&gt;0
   )),
  ),
  2
 ),
"")</f>
        <v/>
      </c>
      <c r="Q345" s="3" t="str" cm="1">
        <f t="array" ref="Q345">IFERROR(
 INDEX(
  _xlfn._xlws.FILTER($T$2:$AW$2,
   TRANSPOSE(
    CHOOSE({1;2;3;4;5;6;7;8;9;10;11;12;13;14;15;16;17;18;19;20;21;22;23;24;25;26;27;28;29;30},
     COUNTIFS($T$3:$T$201,$M345)&gt;0,
     COUNTIFS($U$3:$U$201,$M345)&gt;0,
     COUNTIFS($V$3:$V$201,$M345)&gt;0,
     COUNTIFS($W$3:$W$201,$M345)&gt;0,
     COUNTIFS($X$3:$X$201,$M345)&gt;0,
     COUNTIFS($Y$3:$Y$201,$M345)&gt;0,
     COUNTIFS($Z$3:$Z$201,$M345)&gt;0,
     COUNTIFS($AA$3:$AA$201,$M345)&gt;0,
     COUNTIFS($AB$3:$AB$201,$M345)&gt;0,
     COUNTIFS($AC$3:$AC$201,$M345)&gt;0,
     COUNTIFS($AD$3:$AD$201,$M345)&gt;0,
     COUNTIFS($AE$3:$AE$201,$M345)&gt;0,
     COUNTIFS($AF$3:$AF$201,$M345)&gt;0,
     COUNTIFS($AG$3:$AG$201,$M345)&gt;0,
     COUNTIFS($AH$3:$AH$201,$M345)&gt;0,
     COUNTIFS($AI$3:$AI$201,$M345)&gt;0,
     COUNTIFS($AJ$3:$AJ$201,$M345)&gt;0,
     COUNTIFS($AK$3:$AK$201,$M345)&gt;0,
     COUNTIFS($AL$3:$AL$201,$M345)&gt;0,
     COUNTIFS($AM$3:$AM$201,$M345)&gt;0,
     COUNTIFS($AN$3:$AN$201,$M345)&gt;0,
     COUNTIFS($AO$3:$AO$201,$M345)&gt;0,
     COUNTIFS($AP$3:$AP$201,$M345)&gt;0,
     COUNTIFS($AQ$3:$AQ$201,$M345)&gt;0,
     COUNTIFS($AR$3:$AR$201,$M345)&gt;0,
     COUNTIFS($AS$3:$AS$201,$M345)&gt;0,
     COUNTIFS($AT$3:$AT$201,$M345)&gt;0,
     COUNTIFS($AU$3:$AU$201,$M345)&gt;0,
     COUNTIFS($AV$3:$AV$201,$M345)&gt;0,
     COUNTIFS($AW$3:$AW$201,$M345)&gt;0
   )),
  ),
  3
 ),
"")</f>
        <v/>
      </c>
      <c r="R345" s="3" t="str" cm="1">
        <f t="array" ref="R345">IFERROR(
 INDEX(
  _xlfn._xlws.FILTER($T$2:$AW$2,
   TRANSPOSE(
    CHOOSE({1;2;3;4;5;6;7;8;9;10;11;12;13;14;15;16;17;18;19;20;21;22;23;24;25;26;27;28;29;30},
     COUNTIFS($T$3:$T$201,$M345)&gt;0,
     COUNTIFS($U$3:$U$201,$M345)&gt;0,
     COUNTIFS($V$3:$V$201,$M345)&gt;0,
     COUNTIFS($W$3:$W$201,$M345)&gt;0,
     COUNTIFS($X$3:$X$201,$M345)&gt;0,
     COUNTIFS($Y$3:$Y$201,$M345)&gt;0,
     COUNTIFS($Z$3:$Z$201,$M345)&gt;0,
     COUNTIFS($AA$3:$AA$201,$M345)&gt;0,
     COUNTIFS($AB$3:$AB$201,$M345)&gt;0,
     COUNTIFS($AC$3:$AC$201,$M345)&gt;0,
     COUNTIFS($AD$3:$AD$201,$M345)&gt;0,
     COUNTIFS($AE$3:$AE$201,$M345)&gt;0,
     COUNTIFS($AF$3:$AF$201,$M345)&gt;0,
     COUNTIFS($AG$3:$AG$201,$M345)&gt;0,
     COUNTIFS($AH$3:$AH$201,$M345)&gt;0,
     COUNTIFS($AI$3:$AI$201,$M345)&gt;0,
     COUNTIFS($AJ$3:$AJ$201,$M345)&gt;0,
     COUNTIFS($AK$3:$AK$201,$M345)&gt;0,
     COUNTIFS($AL$3:$AL$201,$M345)&gt;0,
     COUNTIFS($AM$3:$AM$201,$M345)&gt;0,
     COUNTIFS($AN$3:$AN$201,$M345)&gt;0,
     COUNTIFS($AO$3:$AO$201,$M345)&gt;0,
     COUNTIFS($AP$3:$AP$201,$M345)&gt;0,
     COUNTIFS($AQ$3:$AQ$201,$M345)&gt;0,
     COUNTIFS($AR$3:$AR$201,$M345)&gt;0,
     COUNTIFS($AS$3:$AS$201,$M345)&gt;0,
     COUNTIFS($AT$3:$AT$201,$M345)&gt;0,
     COUNTIFS($AU$3:$AU$201,$M345)&gt;0,
     COUNTIFS($AV$3:$AV$201,$M345)&gt;0,
     COUNTIFS($AW$3:$AW$201,$M345)&gt;0
   )),
  ),
  4
 ),
"")</f>
        <v/>
      </c>
    </row>
    <row r="346" spans="1:18" x14ac:dyDescent="0.25">
      <c r="B346" s="3" t="str" cm="1">
        <f t="array" ref="B346">_xlfn.ANCHORARRAY(RESUMO!C345)</f>
        <v/>
      </c>
      <c r="C346" s="3" t="str">
        <f t="shared" ca="1" si="20"/>
        <v/>
      </c>
      <c r="N346" s="3">
        <f t="shared" si="21"/>
        <v>0</v>
      </c>
      <c r="O346" s="3" t="str">
        <f>IFERROR(
 INDEX($T$2:$AW$2,
  MATCH(TRUE,
   CHOOSE({1;2;3;4;5;6;7;8;9;10;11;12;13;14;15;16;17;18;19;20;21;22;23;24;25;26;27;28;29;30;31;32},
    COUNTIFS($T$3:$T$201,$M346)&gt;0,
    COUNTIFS($U$3:$U$201,$M346)&gt;0,
    COUNTIFS($V$3:$V$201,$M346)&gt;0,
    COUNTIFS($W$3:$W$201,$M346)&gt;0,
    COUNTIFS($X$3:$X$201,$M346)&gt;0,
    COUNTIFS($Y$3:$Y$201,$M346)&gt;0,
    COUNTIFS($Z$3:$Z$201,$M346)&gt;0,
    COUNTIFS($AA$3:$AA$201,$M346)&gt;0,
    COUNTIFS($AB$3:$AB$201,$M346)&gt;0,
    COUNTIFS($AC$3:$AC$201,$M346)&gt;0,
    COUNTIFS($AD$3:$AD$201,$M346)&gt;0,
    COUNTIFS($AE$3:$AE$201,$M346)&gt;0,
    COUNTIFS($AF$3:$AF$201,$M346)&gt;0,
    COUNTIFS($AG$3:$AG$201,$M346)&gt;0,
    COUNTIFS($AH$3:$AH$201,$M346)&gt;0,
    COUNTIFS($AI$3:$AI$201,$M346)&gt;0,
    COUNTIFS($AJ$3:$AJ$201,$M346)&gt;0,
    COUNTIFS($AK$3:$AK$201,$M346)&gt;0,
    COUNTIFS($AL$3:$AL$201,$M346)&gt;0,
    COUNTIFS($AM$3:$AM$201,$M346)&gt;0,
    COUNTIFS($AN$3:$AN$201,$M346)&gt;0,
    COUNTIFS($AO$3:$AO$201,$M346)&gt;0,
    COUNTIFS($AP$3:$AP$201,$M346)&gt;0,
    COUNTIFS($AQ$3:$AQ$201,$M346)&gt;0,
    COUNTIFS($AR$3:$AR$201,$M346)&gt;0,
    COUNTIFS($AS$3:$AS$201,$M346)&gt;0,
    COUNTIFS($AT$3:$AT$201,$M346)&gt;0,
    COUNTIFS($AU$3:$AU$201,$M346)&gt;0,
    COUNTIFS($AV$3:$AV$201,$M346)&gt;0,
    COUNTIFS($AW$3:$AW$201,$M346)&gt;0
   ),
  0)
 ),
"")</f>
        <v/>
      </c>
      <c r="P346" s="3" t="str" cm="1">
        <f t="array" ref="P346">IFERROR(
 INDEX(
  _xlfn._xlws.FILTER($T$2:$AW$2,
   TRANSPOSE(
    CHOOSE({1;2;3;4;5;6;7;8;9;10;11;12;13;14;15;16;17;18;19;20;21;22;23;24;25;26;27;28;29;30},
     COUNTIFS($T$3:$T$201,$M346)&gt;0,
     COUNTIFS($U$3:$U$201,$M346)&gt;0,
     COUNTIFS($V$3:$V$201,$M346)&gt;0,
     COUNTIFS($W$3:$W$201,$M346)&gt;0,
     COUNTIFS($X$3:$X$201,$M346)&gt;0,
     COUNTIFS($Y$3:$Y$201,$M346)&gt;0,
     COUNTIFS($Z$3:$Z$201,$M346)&gt;0,
     COUNTIFS($AA$3:$AA$201,$M346)&gt;0,
     COUNTIFS($AB$3:$AB$201,$M346)&gt;0,
     COUNTIFS($AC$3:$AC$201,$M346)&gt;0,
     COUNTIFS($AD$3:$AD$201,$M346)&gt;0,
     COUNTIFS($AE$3:$AE$201,$M346)&gt;0,
     COUNTIFS($AF$3:$AF$201,$M346)&gt;0,
     COUNTIFS($AG$3:$AG$201,$M346)&gt;0,
     COUNTIFS($AH$3:$AH$201,$M346)&gt;0,
     COUNTIFS($AI$3:$AI$201,$M346)&gt;0,
     COUNTIFS($AJ$3:$AJ$201,$M346)&gt;0,
     COUNTIFS($AK$3:$AK$201,$M346)&gt;0,
     COUNTIFS($AL$3:$AL$201,$M346)&gt;0,
     COUNTIFS($AM$3:$AM$201,$M346)&gt;0,
     COUNTIFS($AN$3:$AN$201,$M346)&gt;0,
     COUNTIFS($AO$3:$AO$201,$M346)&gt;0,
     COUNTIFS($AP$3:$AP$201,$M346)&gt;0,
     COUNTIFS($AQ$3:$AQ$201,$M346)&gt;0,
     COUNTIFS($AR$3:$AR$201,$M346)&gt;0,
     COUNTIFS($AS$3:$AS$201,$M346)&gt;0,
     COUNTIFS($AT$3:$AT$201,$M346)&gt;0,
     COUNTIFS($AU$3:$AU$201,$M346)&gt;0,
     COUNTIFS($AV$3:$AV$201,$M346)&gt;0,
     COUNTIFS($AW$3:$AW$201,$M346)&gt;0
   )),
  ),
  2
 ),
"")</f>
        <v/>
      </c>
      <c r="Q346" s="3" t="str" cm="1">
        <f t="array" ref="Q346">IFERROR(
 INDEX(
  _xlfn._xlws.FILTER($T$2:$AW$2,
   TRANSPOSE(
    CHOOSE({1;2;3;4;5;6;7;8;9;10;11;12;13;14;15;16;17;18;19;20;21;22;23;24;25;26;27;28;29;30},
     COUNTIFS($T$3:$T$201,$M346)&gt;0,
     COUNTIFS($U$3:$U$201,$M346)&gt;0,
     COUNTIFS($V$3:$V$201,$M346)&gt;0,
     COUNTIFS($W$3:$W$201,$M346)&gt;0,
     COUNTIFS($X$3:$X$201,$M346)&gt;0,
     COUNTIFS($Y$3:$Y$201,$M346)&gt;0,
     COUNTIFS($Z$3:$Z$201,$M346)&gt;0,
     COUNTIFS($AA$3:$AA$201,$M346)&gt;0,
     COUNTIFS($AB$3:$AB$201,$M346)&gt;0,
     COUNTIFS($AC$3:$AC$201,$M346)&gt;0,
     COUNTIFS($AD$3:$AD$201,$M346)&gt;0,
     COUNTIFS($AE$3:$AE$201,$M346)&gt;0,
     COUNTIFS($AF$3:$AF$201,$M346)&gt;0,
     COUNTIFS($AG$3:$AG$201,$M346)&gt;0,
     COUNTIFS($AH$3:$AH$201,$M346)&gt;0,
     COUNTIFS($AI$3:$AI$201,$M346)&gt;0,
     COUNTIFS($AJ$3:$AJ$201,$M346)&gt;0,
     COUNTIFS($AK$3:$AK$201,$M346)&gt;0,
     COUNTIFS($AL$3:$AL$201,$M346)&gt;0,
     COUNTIFS($AM$3:$AM$201,$M346)&gt;0,
     COUNTIFS($AN$3:$AN$201,$M346)&gt;0,
     COUNTIFS($AO$3:$AO$201,$M346)&gt;0,
     COUNTIFS($AP$3:$AP$201,$M346)&gt;0,
     COUNTIFS($AQ$3:$AQ$201,$M346)&gt;0,
     COUNTIFS($AR$3:$AR$201,$M346)&gt;0,
     COUNTIFS($AS$3:$AS$201,$M346)&gt;0,
     COUNTIFS($AT$3:$AT$201,$M346)&gt;0,
     COUNTIFS($AU$3:$AU$201,$M346)&gt;0,
     COUNTIFS($AV$3:$AV$201,$M346)&gt;0,
     COUNTIFS($AW$3:$AW$201,$M346)&gt;0
   )),
  ),
  3
 ),
"")</f>
        <v/>
      </c>
      <c r="R346" s="3" t="str" cm="1">
        <f t="array" ref="R346">IFERROR(
 INDEX(
  _xlfn._xlws.FILTER($T$2:$AW$2,
   TRANSPOSE(
    CHOOSE({1;2;3;4;5;6;7;8;9;10;11;12;13;14;15;16;17;18;19;20;21;22;23;24;25;26;27;28;29;30},
     COUNTIFS($T$3:$T$201,$M346)&gt;0,
     COUNTIFS($U$3:$U$201,$M346)&gt;0,
     COUNTIFS($V$3:$V$201,$M346)&gt;0,
     COUNTIFS($W$3:$W$201,$M346)&gt;0,
     COUNTIFS($X$3:$X$201,$M346)&gt;0,
     COUNTIFS($Y$3:$Y$201,$M346)&gt;0,
     COUNTIFS($Z$3:$Z$201,$M346)&gt;0,
     COUNTIFS($AA$3:$AA$201,$M346)&gt;0,
     COUNTIFS($AB$3:$AB$201,$M346)&gt;0,
     COUNTIFS($AC$3:$AC$201,$M346)&gt;0,
     COUNTIFS($AD$3:$AD$201,$M346)&gt;0,
     COUNTIFS($AE$3:$AE$201,$M346)&gt;0,
     COUNTIFS($AF$3:$AF$201,$M346)&gt;0,
     COUNTIFS($AG$3:$AG$201,$M346)&gt;0,
     COUNTIFS($AH$3:$AH$201,$M346)&gt;0,
     COUNTIFS($AI$3:$AI$201,$M346)&gt;0,
     COUNTIFS($AJ$3:$AJ$201,$M346)&gt;0,
     COUNTIFS($AK$3:$AK$201,$M346)&gt;0,
     COUNTIFS($AL$3:$AL$201,$M346)&gt;0,
     COUNTIFS($AM$3:$AM$201,$M346)&gt;0,
     COUNTIFS($AN$3:$AN$201,$M346)&gt;0,
     COUNTIFS($AO$3:$AO$201,$M346)&gt;0,
     COUNTIFS($AP$3:$AP$201,$M346)&gt;0,
     COUNTIFS($AQ$3:$AQ$201,$M346)&gt;0,
     COUNTIFS($AR$3:$AR$201,$M346)&gt;0,
     COUNTIFS($AS$3:$AS$201,$M346)&gt;0,
     COUNTIFS($AT$3:$AT$201,$M346)&gt;0,
     COUNTIFS($AU$3:$AU$201,$M346)&gt;0,
     COUNTIFS($AV$3:$AV$201,$M346)&gt;0,
     COUNTIFS($AW$3:$AW$201,$M346)&gt;0
   )),
  ),
  4
 ),
"")</f>
        <v/>
      </c>
    </row>
    <row r="347" spans="1:18" x14ac:dyDescent="0.25">
      <c r="B347" s="3" t="str" cm="1">
        <f t="array" ref="B347">_xlfn.ANCHORARRAY(RESUMO!C346)</f>
        <v/>
      </c>
      <c r="C347" s="3" t="str">
        <f t="shared" ca="1" si="20"/>
        <v/>
      </c>
      <c r="N347" s="3">
        <f t="shared" si="21"/>
        <v>0</v>
      </c>
      <c r="O347" s="3" t="str">
        <f>IFERROR(
 INDEX($T$2:$AW$2,
  MATCH(TRUE,
   CHOOSE({1;2;3;4;5;6;7;8;9;10;11;12;13;14;15;16;17;18;19;20;21;22;23;24;25;26;27;28;29;30;31;32},
    COUNTIFS($T$3:$T$201,$M347)&gt;0,
    COUNTIFS($U$3:$U$201,$M347)&gt;0,
    COUNTIFS($V$3:$V$201,$M347)&gt;0,
    COUNTIFS($W$3:$W$201,$M347)&gt;0,
    COUNTIFS($X$3:$X$201,$M347)&gt;0,
    COUNTIFS($Y$3:$Y$201,$M347)&gt;0,
    COUNTIFS($Z$3:$Z$201,$M347)&gt;0,
    COUNTIFS($AA$3:$AA$201,$M347)&gt;0,
    COUNTIFS($AB$3:$AB$201,$M347)&gt;0,
    COUNTIFS($AC$3:$AC$201,$M347)&gt;0,
    COUNTIFS($AD$3:$AD$201,$M347)&gt;0,
    COUNTIFS($AE$3:$AE$201,$M347)&gt;0,
    COUNTIFS($AF$3:$AF$201,$M347)&gt;0,
    COUNTIFS($AG$3:$AG$201,$M347)&gt;0,
    COUNTIFS($AH$3:$AH$201,$M347)&gt;0,
    COUNTIFS($AI$3:$AI$201,$M347)&gt;0,
    COUNTIFS($AJ$3:$AJ$201,$M347)&gt;0,
    COUNTIFS($AK$3:$AK$201,$M347)&gt;0,
    COUNTIFS($AL$3:$AL$201,$M347)&gt;0,
    COUNTIFS($AM$3:$AM$201,$M347)&gt;0,
    COUNTIFS($AN$3:$AN$201,$M347)&gt;0,
    COUNTIFS($AO$3:$AO$201,$M347)&gt;0,
    COUNTIFS($AP$3:$AP$201,$M347)&gt;0,
    COUNTIFS($AQ$3:$AQ$201,$M347)&gt;0,
    COUNTIFS($AR$3:$AR$201,$M347)&gt;0,
    COUNTIFS($AS$3:$AS$201,$M347)&gt;0,
    COUNTIFS($AT$3:$AT$201,$M347)&gt;0,
    COUNTIFS($AU$3:$AU$201,$M347)&gt;0,
    COUNTIFS($AV$3:$AV$201,$M347)&gt;0,
    COUNTIFS($AW$3:$AW$201,$M347)&gt;0
   ),
  0)
 ),
"")</f>
        <v/>
      </c>
      <c r="P347" s="3" t="str" cm="1">
        <f t="array" ref="P347">IFERROR(
 INDEX(
  _xlfn._xlws.FILTER($T$2:$AW$2,
   TRANSPOSE(
    CHOOSE({1;2;3;4;5;6;7;8;9;10;11;12;13;14;15;16;17;18;19;20;21;22;23;24;25;26;27;28;29;30},
     COUNTIFS($T$3:$T$201,$M347)&gt;0,
     COUNTIFS($U$3:$U$201,$M347)&gt;0,
     COUNTIFS($V$3:$V$201,$M347)&gt;0,
     COUNTIFS($W$3:$W$201,$M347)&gt;0,
     COUNTIFS($X$3:$X$201,$M347)&gt;0,
     COUNTIFS($Y$3:$Y$201,$M347)&gt;0,
     COUNTIFS($Z$3:$Z$201,$M347)&gt;0,
     COUNTIFS($AA$3:$AA$201,$M347)&gt;0,
     COUNTIFS($AB$3:$AB$201,$M347)&gt;0,
     COUNTIFS($AC$3:$AC$201,$M347)&gt;0,
     COUNTIFS($AD$3:$AD$201,$M347)&gt;0,
     COUNTIFS($AE$3:$AE$201,$M347)&gt;0,
     COUNTIFS($AF$3:$AF$201,$M347)&gt;0,
     COUNTIFS($AG$3:$AG$201,$M347)&gt;0,
     COUNTIFS($AH$3:$AH$201,$M347)&gt;0,
     COUNTIFS($AI$3:$AI$201,$M347)&gt;0,
     COUNTIFS($AJ$3:$AJ$201,$M347)&gt;0,
     COUNTIFS($AK$3:$AK$201,$M347)&gt;0,
     COUNTIFS($AL$3:$AL$201,$M347)&gt;0,
     COUNTIFS($AM$3:$AM$201,$M347)&gt;0,
     COUNTIFS($AN$3:$AN$201,$M347)&gt;0,
     COUNTIFS($AO$3:$AO$201,$M347)&gt;0,
     COUNTIFS($AP$3:$AP$201,$M347)&gt;0,
     COUNTIFS($AQ$3:$AQ$201,$M347)&gt;0,
     COUNTIFS($AR$3:$AR$201,$M347)&gt;0,
     COUNTIFS($AS$3:$AS$201,$M347)&gt;0,
     COUNTIFS($AT$3:$AT$201,$M347)&gt;0,
     COUNTIFS($AU$3:$AU$201,$M347)&gt;0,
     COUNTIFS($AV$3:$AV$201,$M347)&gt;0,
     COUNTIFS($AW$3:$AW$201,$M347)&gt;0
   )),
  ),
  2
 ),
"")</f>
        <v/>
      </c>
      <c r="Q347" s="3" t="str" cm="1">
        <f t="array" ref="Q347">IFERROR(
 INDEX(
  _xlfn._xlws.FILTER($T$2:$AW$2,
   TRANSPOSE(
    CHOOSE({1;2;3;4;5;6;7;8;9;10;11;12;13;14;15;16;17;18;19;20;21;22;23;24;25;26;27;28;29;30},
     COUNTIFS($T$3:$T$201,$M347)&gt;0,
     COUNTIFS($U$3:$U$201,$M347)&gt;0,
     COUNTIFS($V$3:$V$201,$M347)&gt;0,
     COUNTIFS($W$3:$W$201,$M347)&gt;0,
     COUNTIFS($X$3:$X$201,$M347)&gt;0,
     COUNTIFS($Y$3:$Y$201,$M347)&gt;0,
     COUNTIFS($Z$3:$Z$201,$M347)&gt;0,
     COUNTIFS($AA$3:$AA$201,$M347)&gt;0,
     COUNTIFS($AB$3:$AB$201,$M347)&gt;0,
     COUNTIFS($AC$3:$AC$201,$M347)&gt;0,
     COUNTIFS($AD$3:$AD$201,$M347)&gt;0,
     COUNTIFS($AE$3:$AE$201,$M347)&gt;0,
     COUNTIFS($AF$3:$AF$201,$M347)&gt;0,
     COUNTIFS($AG$3:$AG$201,$M347)&gt;0,
     COUNTIFS($AH$3:$AH$201,$M347)&gt;0,
     COUNTIFS($AI$3:$AI$201,$M347)&gt;0,
     COUNTIFS($AJ$3:$AJ$201,$M347)&gt;0,
     COUNTIFS($AK$3:$AK$201,$M347)&gt;0,
     COUNTIFS($AL$3:$AL$201,$M347)&gt;0,
     COUNTIFS($AM$3:$AM$201,$M347)&gt;0,
     COUNTIFS($AN$3:$AN$201,$M347)&gt;0,
     COUNTIFS($AO$3:$AO$201,$M347)&gt;0,
     COUNTIFS($AP$3:$AP$201,$M347)&gt;0,
     COUNTIFS($AQ$3:$AQ$201,$M347)&gt;0,
     COUNTIFS($AR$3:$AR$201,$M347)&gt;0,
     COUNTIFS($AS$3:$AS$201,$M347)&gt;0,
     COUNTIFS($AT$3:$AT$201,$M347)&gt;0,
     COUNTIFS($AU$3:$AU$201,$M347)&gt;0,
     COUNTIFS($AV$3:$AV$201,$M347)&gt;0,
     COUNTIFS($AW$3:$AW$201,$M347)&gt;0
   )),
  ),
  3
 ),
"")</f>
        <v/>
      </c>
      <c r="R347" s="3" t="str" cm="1">
        <f t="array" ref="R347">IFERROR(
 INDEX(
  _xlfn._xlws.FILTER($T$2:$AW$2,
   TRANSPOSE(
    CHOOSE({1;2;3;4;5;6;7;8;9;10;11;12;13;14;15;16;17;18;19;20;21;22;23;24;25;26;27;28;29;30},
     COUNTIFS($T$3:$T$201,$M347)&gt;0,
     COUNTIFS($U$3:$U$201,$M347)&gt;0,
     COUNTIFS($V$3:$V$201,$M347)&gt;0,
     COUNTIFS($W$3:$W$201,$M347)&gt;0,
     COUNTIFS($X$3:$X$201,$M347)&gt;0,
     COUNTIFS($Y$3:$Y$201,$M347)&gt;0,
     COUNTIFS($Z$3:$Z$201,$M347)&gt;0,
     COUNTIFS($AA$3:$AA$201,$M347)&gt;0,
     COUNTIFS($AB$3:$AB$201,$M347)&gt;0,
     COUNTIFS($AC$3:$AC$201,$M347)&gt;0,
     COUNTIFS($AD$3:$AD$201,$M347)&gt;0,
     COUNTIFS($AE$3:$AE$201,$M347)&gt;0,
     COUNTIFS($AF$3:$AF$201,$M347)&gt;0,
     COUNTIFS($AG$3:$AG$201,$M347)&gt;0,
     COUNTIFS($AH$3:$AH$201,$M347)&gt;0,
     COUNTIFS($AI$3:$AI$201,$M347)&gt;0,
     COUNTIFS($AJ$3:$AJ$201,$M347)&gt;0,
     COUNTIFS($AK$3:$AK$201,$M347)&gt;0,
     COUNTIFS($AL$3:$AL$201,$M347)&gt;0,
     COUNTIFS($AM$3:$AM$201,$M347)&gt;0,
     COUNTIFS($AN$3:$AN$201,$M347)&gt;0,
     COUNTIFS($AO$3:$AO$201,$M347)&gt;0,
     COUNTIFS($AP$3:$AP$201,$M347)&gt;0,
     COUNTIFS($AQ$3:$AQ$201,$M347)&gt;0,
     COUNTIFS($AR$3:$AR$201,$M347)&gt;0,
     COUNTIFS($AS$3:$AS$201,$M347)&gt;0,
     COUNTIFS($AT$3:$AT$201,$M347)&gt;0,
     COUNTIFS($AU$3:$AU$201,$M347)&gt;0,
     COUNTIFS($AV$3:$AV$201,$M347)&gt;0,
     COUNTIFS($AW$3:$AW$201,$M347)&gt;0
   )),
  ),
  4
 ),
"")</f>
        <v/>
      </c>
    </row>
    <row r="348" spans="1:18" x14ac:dyDescent="0.25">
      <c r="B348" s="3" t="str" cm="1">
        <f t="array" ref="B348">_xlfn.ANCHORARRAY(RESUMO!C347)</f>
        <v/>
      </c>
      <c r="C348" s="3" t="str">
        <f t="shared" ca="1" si="20"/>
        <v/>
      </c>
      <c r="N348" s="3">
        <f t="shared" si="21"/>
        <v>0</v>
      </c>
      <c r="O348" s="3" t="str">
        <f>IFERROR(
 INDEX($T$2:$AW$2,
  MATCH(TRUE,
   CHOOSE({1;2;3;4;5;6;7;8;9;10;11;12;13;14;15;16;17;18;19;20;21;22;23;24;25;26;27;28;29;30;31;32},
    COUNTIFS($T$3:$T$201,$M348)&gt;0,
    COUNTIFS($U$3:$U$201,$M348)&gt;0,
    COUNTIFS($V$3:$V$201,$M348)&gt;0,
    COUNTIFS($W$3:$W$201,$M348)&gt;0,
    COUNTIFS($X$3:$X$201,$M348)&gt;0,
    COUNTIFS($Y$3:$Y$201,$M348)&gt;0,
    COUNTIFS($Z$3:$Z$201,$M348)&gt;0,
    COUNTIFS($AA$3:$AA$201,$M348)&gt;0,
    COUNTIFS($AB$3:$AB$201,$M348)&gt;0,
    COUNTIFS($AC$3:$AC$201,$M348)&gt;0,
    COUNTIFS($AD$3:$AD$201,$M348)&gt;0,
    COUNTIFS($AE$3:$AE$201,$M348)&gt;0,
    COUNTIFS($AF$3:$AF$201,$M348)&gt;0,
    COUNTIFS($AG$3:$AG$201,$M348)&gt;0,
    COUNTIFS($AH$3:$AH$201,$M348)&gt;0,
    COUNTIFS($AI$3:$AI$201,$M348)&gt;0,
    COUNTIFS($AJ$3:$AJ$201,$M348)&gt;0,
    COUNTIFS($AK$3:$AK$201,$M348)&gt;0,
    COUNTIFS($AL$3:$AL$201,$M348)&gt;0,
    COUNTIFS($AM$3:$AM$201,$M348)&gt;0,
    COUNTIFS($AN$3:$AN$201,$M348)&gt;0,
    COUNTIFS($AO$3:$AO$201,$M348)&gt;0,
    COUNTIFS($AP$3:$AP$201,$M348)&gt;0,
    COUNTIFS($AQ$3:$AQ$201,$M348)&gt;0,
    COUNTIFS($AR$3:$AR$201,$M348)&gt;0,
    COUNTIFS($AS$3:$AS$201,$M348)&gt;0,
    COUNTIFS($AT$3:$AT$201,$M348)&gt;0,
    COUNTIFS($AU$3:$AU$201,$M348)&gt;0,
    COUNTIFS($AV$3:$AV$201,$M348)&gt;0,
    COUNTIFS($AW$3:$AW$201,$M348)&gt;0
   ),
  0)
 ),
"")</f>
        <v/>
      </c>
      <c r="P348" s="3" t="str" cm="1">
        <f t="array" ref="P348">IFERROR(
 INDEX(
  _xlfn._xlws.FILTER($T$2:$AW$2,
   TRANSPOSE(
    CHOOSE({1;2;3;4;5;6;7;8;9;10;11;12;13;14;15;16;17;18;19;20;21;22;23;24;25;26;27;28;29;30},
     COUNTIFS($T$3:$T$201,$M348)&gt;0,
     COUNTIFS($U$3:$U$201,$M348)&gt;0,
     COUNTIFS($V$3:$V$201,$M348)&gt;0,
     COUNTIFS($W$3:$W$201,$M348)&gt;0,
     COUNTIFS($X$3:$X$201,$M348)&gt;0,
     COUNTIFS($Y$3:$Y$201,$M348)&gt;0,
     COUNTIFS($Z$3:$Z$201,$M348)&gt;0,
     COUNTIFS($AA$3:$AA$201,$M348)&gt;0,
     COUNTIFS($AB$3:$AB$201,$M348)&gt;0,
     COUNTIFS($AC$3:$AC$201,$M348)&gt;0,
     COUNTIFS($AD$3:$AD$201,$M348)&gt;0,
     COUNTIFS($AE$3:$AE$201,$M348)&gt;0,
     COUNTIFS($AF$3:$AF$201,$M348)&gt;0,
     COUNTIFS($AG$3:$AG$201,$M348)&gt;0,
     COUNTIFS($AH$3:$AH$201,$M348)&gt;0,
     COUNTIFS($AI$3:$AI$201,$M348)&gt;0,
     COUNTIFS($AJ$3:$AJ$201,$M348)&gt;0,
     COUNTIFS($AK$3:$AK$201,$M348)&gt;0,
     COUNTIFS($AL$3:$AL$201,$M348)&gt;0,
     COUNTIFS($AM$3:$AM$201,$M348)&gt;0,
     COUNTIFS($AN$3:$AN$201,$M348)&gt;0,
     COUNTIFS($AO$3:$AO$201,$M348)&gt;0,
     COUNTIFS($AP$3:$AP$201,$M348)&gt;0,
     COUNTIFS($AQ$3:$AQ$201,$M348)&gt;0,
     COUNTIFS($AR$3:$AR$201,$M348)&gt;0,
     COUNTIFS($AS$3:$AS$201,$M348)&gt;0,
     COUNTIFS($AT$3:$AT$201,$M348)&gt;0,
     COUNTIFS($AU$3:$AU$201,$M348)&gt;0,
     COUNTIFS($AV$3:$AV$201,$M348)&gt;0,
     COUNTIFS($AW$3:$AW$201,$M348)&gt;0
   )),
  ),
  2
 ),
"")</f>
        <v/>
      </c>
      <c r="Q348" s="3" t="str" cm="1">
        <f t="array" ref="Q348">IFERROR(
 INDEX(
  _xlfn._xlws.FILTER($T$2:$AW$2,
   TRANSPOSE(
    CHOOSE({1;2;3;4;5;6;7;8;9;10;11;12;13;14;15;16;17;18;19;20;21;22;23;24;25;26;27;28;29;30},
     COUNTIFS($T$3:$T$201,$M348)&gt;0,
     COUNTIFS($U$3:$U$201,$M348)&gt;0,
     COUNTIFS($V$3:$V$201,$M348)&gt;0,
     COUNTIFS($W$3:$W$201,$M348)&gt;0,
     COUNTIFS($X$3:$X$201,$M348)&gt;0,
     COUNTIFS($Y$3:$Y$201,$M348)&gt;0,
     COUNTIFS($Z$3:$Z$201,$M348)&gt;0,
     COUNTIFS($AA$3:$AA$201,$M348)&gt;0,
     COUNTIFS($AB$3:$AB$201,$M348)&gt;0,
     COUNTIFS($AC$3:$AC$201,$M348)&gt;0,
     COUNTIFS($AD$3:$AD$201,$M348)&gt;0,
     COUNTIFS($AE$3:$AE$201,$M348)&gt;0,
     COUNTIFS($AF$3:$AF$201,$M348)&gt;0,
     COUNTIFS($AG$3:$AG$201,$M348)&gt;0,
     COUNTIFS($AH$3:$AH$201,$M348)&gt;0,
     COUNTIFS($AI$3:$AI$201,$M348)&gt;0,
     COUNTIFS($AJ$3:$AJ$201,$M348)&gt;0,
     COUNTIFS($AK$3:$AK$201,$M348)&gt;0,
     COUNTIFS($AL$3:$AL$201,$M348)&gt;0,
     COUNTIFS($AM$3:$AM$201,$M348)&gt;0,
     COUNTIFS($AN$3:$AN$201,$M348)&gt;0,
     COUNTIFS($AO$3:$AO$201,$M348)&gt;0,
     COUNTIFS($AP$3:$AP$201,$M348)&gt;0,
     COUNTIFS($AQ$3:$AQ$201,$M348)&gt;0,
     COUNTIFS($AR$3:$AR$201,$M348)&gt;0,
     COUNTIFS($AS$3:$AS$201,$M348)&gt;0,
     COUNTIFS($AT$3:$AT$201,$M348)&gt;0,
     COUNTIFS($AU$3:$AU$201,$M348)&gt;0,
     COUNTIFS($AV$3:$AV$201,$M348)&gt;0,
     COUNTIFS($AW$3:$AW$201,$M348)&gt;0
   )),
  ),
  3
 ),
"")</f>
        <v/>
      </c>
      <c r="R348" s="3" t="str" cm="1">
        <f t="array" ref="R348">IFERROR(
 INDEX(
  _xlfn._xlws.FILTER($T$2:$AW$2,
   TRANSPOSE(
    CHOOSE({1;2;3;4;5;6;7;8;9;10;11;12;13;14;15;16;17;18;19;20;21;22;23;24;25;26;27;28;29;30},
     COUNTIFS($T$3:$T$201,$M348)&gt;0,
     COUNTIFS($U$3:$U$201,$M348)&gt;0,
     COUNTIFS($V$3:$V$201,$M348)&gt;0,
     COUNTIFS($W$3:$W$201,$M348)&gt;0,
     COUNTIFS($X$3:$X$201,$M348)&gt;0,
     COUNTIFS($Y$3:$Y$201,$M348)&gt;0,
     COUNTIFS($Z$3:$Z$201,$M348)&gt;0,
     COUNTIFS($AA$3:$AA$201,$M348)&gt;0,
     COUNTIFS($AB$3:$AB$201,$M348)&gt;0,
     COUNTIFS($AC$3:$AC$201,$M348)&gt;0,
     COUNTIFS($AD$3:$AD$201,$M348)&gt;0,
     COUNTIFS($AE$3:$AE$201,$M348)&gt;0,
     COUNTIFS($AF$3:$AF$201,$M348)&gt;0,
     COUNTIFS($AG$3:$AG$201,$M348)&gt;0,
     COUNTIFS($AH$3:$AH$201,$M348)&gt;0,
     COUNTIFS($AI$3:$AI$201,$M348)&gt;0,
     COUNTIFS($AJ$3:$AJ$201,$M348)&gt;0,
     COUNTIFS($AK$3:$AK$201,$M348)&gt;0,
     COUNTIFS($AL$3:$AL$201,$M348)&gt;0,
     COUNTIFS($AM$3:$AM$201,$M348)&gt;0,
     COUNTIFS($AN$3:$AN$201,$M348)&gt;0,
     COUNTIFS($AO$3:$AO$201,$M348)&gt;0,
     COUNTIFS($AP$3:$AP$201,$M348)&gt;0,
     COUNTIFS($AQ$3:$AQ$201,$M348)&gt;0,
     COUNTIFS($AR$3:$AR$201,$M348)&gt;0,
     COUNTIFS($AS$3:$AS$201,$M348)&gt;0,
     COUNTIFS($AT$3:$AT$201,$M348)&gt;0,
     COUNTIFS($AU$3:$AU$201,$M348)&gt;0,
     COUNTIFS($AV$3:$AV$201,$M348)&gt;0,
     COUNTIFS($AW$3:$AW$201,$M348)&gt;0
   )),
  ),
  4
 ),
"")</f>
        <v/>
      </c>
    </row>
    <row r="349" spans="1:18" x14ac:dyDescent="0.25">
      <c r="B349" s="3" t="str" cm="1">
        <f t="array" ref="B349">_xlfn.ANCHORARRAY(RESUMO!C348)</f>
        <v/>
      </c>
      <c r="C349" s="3" t="str">
        <f t="shared" ca="1" si="20"/>
        <v/>
      </c>
      <c r="N349" s="3">
        <f t="shared" si="21"/>
        <v>0</v>
      </c>
      <c r="O349" s="3" t="str">
        <f>IFERROR(
 INDEX($T$2:$AW$2,
  MATCH(TRUE,
   CHOOSE({1;2;3;4;5;6;7;8;9;10;11;12;13;14;15;16;17;18;19;20;21;22;23;24;25;26;27;28;29;30;31;32},
    COUNTIFS($T$3:$T$201,$M349)&gt;0,
    COUNTIFS($U$3:$U$201,$M349)&gt;0,
    COUNTIFS($V$3:$V$201,$M349)&gt;0,
    COUNTIFS($W$3:$W$201,$M349)&gt;0,
    COUNTIFS($X$3:$X$201,$M349)&gt;0,
    COUNTIFS($Y$3:$Y$201,$M349)&gt;0,
    COUNTIFS($Z$3:$Z$201,$M349)&gt;0,
    COUNTIFS($AA$3:$AA$201,$M349)&gt;0,
    COUNTIFS($AB$3:$AB$201,$M349)&gt;0,
    COUNTIFS($AC$3:$AC$201,$M349)&gt;0,
    COUNTIFS($AD$3:$AD$201,$M349)&gt;0,
    COUNTIFS($AE$3:$AE$201,$M349)&gt;0,
    COUNTIFS($AF$3:$AF$201,$M349)&gt;0,
    COUNTIFS($AG$3:$AG$201,$M349)&gt;0,
    COUNTIFS($AH$3:$AH$201,$M349)&gt;0,
    COUNTIFS($AI$3:$AI$201,$M349)&gt;0,
    COUNTIFS($AJ$3:$AJ$201,$M349)&gt;0,
    COUNTIFS($AK$3:$AK$201,$M349)&gt;0,
    COUNTIFS($AL$3:$AL$201,$M349)&gt;0,
    COUNTIFS($AM$3:$AM$201,$M349)&gt;0,
    COUNTIFS($AN$3:$AN$201,$M349)&gt;0,
    COUNTIFS($AO$3:$AO$201,$M349)&gt;0,
    COUNTIFS($AP$3:$AP$201,$M349)&gt;0,
    COUNTIFS($AQ$3:$AQ$201,$M349)&gt;0,
    COUNTIFS($AR$3:$AR$201,$M349)&gt;0,
    COUNTIFS($AS$3:$AS$201,$M349)&gt;0,
    COUNTIFS($AT$3:$AT$201,$M349)&gt;0,
    COUNTIFS($AU$3:$AU$201,$M349)&gt;0,
    COUNTIFS($AV$3:$AV$201,$M349)&gt;0,
    COUNTIFS($AW$3:$AW$201,$M349)&gt;0
   ),
  0)
 ),
"")</f>
        <v/>
      </c>
      <c r="P349" s="3" t="str" cm="1">
        <f t="array" ref="P349">IFERROR(
 INDEX(
  _xlfn._xlws.FILTER($T$2:$AW$2,
   TRANSPOSE(
    CHOOSE({1;2;3;4;5;6;7;8;9;10;11;12;13;14;15;16;17;18;19;20;21;22;23;24;25;26;27;28;29;30},
     COUNTIFS($T$3:$T$201,$M349)&gt;0,
     COUNTIFS($U$3:$U$201,$M349)&gt;0,
     COUNTIFS($V$3:$V$201,$M349)&gt;0,
     COUNTIFS($W$3:$W$201,$M349)&gt;0,
     COUNTIFS($X$3:$X$201,$M349)&gt;0,
     COUNTIFS($Y$3:$Y$201,$M349)&gt;0,
     COUNTIFS($Z$3:$Z$201,$M349)&gt;0,
     COUNTIFS($AA$3:$AA$201,$M349)&gt;0,
     COUNTIFS($AB$3:$AB$201,$M349)&gt;0,
     COUNTIFS($AC$3:$AC$201,$M349)&gt;0,
     COUNTIFS($AD$3:$AD$201,$M349)&gt;0,
     COUNTIFS($AE$3:$AE$201,$M349)&gt;0,
     COUNTIFS($AF$3:$AF$201,$M349)&gt;0,
     COUNTIFS($AG$3:$AG$201,$M349)&gt;0,
     COUNTIFS($AH$3:$AH$201,$M349)&gt;0,
     COUNTIFS($AI$3:$AI$201,$M349)&gt;0,
     COUNTIFS($AJ$3:$AJ$201,$M349)&gt;0,
     COUNTIFS($AK$3:$AK$201,$M349)&gt;0,
     COUNTIFS($AL$3:$AL$201,$M349)&gt;0,
     COUNTIFS($AM$3:$AM$201,$M349)&gt;0,
     COUNTIFS($AN$3:$AN$201,$M349)&gt;0,
     COUNTIFS($AO$3:$AO$201,$M349)&gt;0,
     COUNTIFS($AP$3:$AP$201,$M349)&gt;0,
     COUNTIFS($AQ$3:$AQ$201,$M349)&gt;0,
     COUNTIFS($AR$3:$AR$201,$M349)&gt;0,
     COUNTIFS($AS$3:$AS$201,$M349)&gt;0,
     COUNTIFS($AT$3:$AT$201,$M349)&gt;0,
     COUNTIFS($AU$3:$AU$201,$M349)&gt;0,
     COUNTIFS($AV$3:$AV$201,$M349)&gt;0,
     COUNTIFS($AW$3:$AW$201,$M349)&gt;0
   )),
  ),
  2
 ),
"")</f>
        <v/>
      </c>
      <c r="Q349" s="3" t="str" cm="1">
        <f t="array" ref="Q349">IFERROR(
 INDEX(
  _xlfn._xlws.FILTER($T$2:$AW$2,
   TRANSPOSE(
    CHOOSE({1;2;3;4;5;6;7;8;9;10;11;12;13;14;15;16;17;18;19;20;21;22;23;24;25;26;27;28;29;30},
     COUNTIFS($T$3:$T$201,$M349)&gt;0,
     COUNTIFS($U$3:$U$201,$M349)&gt;0,
     COUNTIFS($V$3:$V$201,$M349)&gt;0,
     COUNTIFS($W$3:$W$201,$M349)&gt;0,
     COUNTIFS($X$3:$X$201,$M349)&gt;0,
     COUNTIFS($Y$3:$Y$201,$M349)&gt;0,
     COUNTIFS($Z$3:$Z$201,$M349)&gt;0,
     COUNTIFS($AA$3:$AA$201,$M349)&gt;0,
     COUNTIFS($AB$3:$AB$201,$M349)&gt;0,
     COUNTIFS($AC$3:$AC$201,$M349)&gt;0,
     COUNTIFS($AD$3:$AD$201,$M349)&gt;0,
     COUNTIFS($AE$3:$AE$201,$M349)&gt;0,
     COUNTIFS($AF$3:$AF$201,$M349)&gt;0,
     COUNTIFS($AG$3:$AG$201,$M349)&gt;0,
     COUNTIFS($AH$3:$AH$201,$M349)&gt;0,
     COUNTIFS($AI$3:$AI$201,$M349)&gt;0,
     COUNTIFS($AJ$3:$AJ$201,$M349)&gt;0,
     COUNTIFS($AK$3:$AK$201,$M349)&gt;0,
     COUNTIFS($AL$3:$AL$201,$M349)&gt;0,
     COUNTIFS($AM$3:$AM$201,$M349)&gt;0,
     COUNTIFS($AN$3:$AN$201,$M349)&gt;0,
     COUNTIFS($AO$3:$AO$201,$M349)&gt;0,
     COUNTIFS($AP$3:$AP$201,$M349)&gt;0,
     COUNTIFS($AQ$3:$AQ$201,$M349)&gt;0,
     COUNTIFS($AR$3:$AR$201,$M349)&gt;0,
     COUNTIFS($AS$3:$AS$201,$M349)&gt;0,
     COUNTIFS($AT$3:$AT$201,$M349)&gt;0,
     COUNTIFS($AU$3:$AU$201,$M349)&gt;0,
     COUNTIFS($AV$3:$AV$201,$M349)&gt;0,
     COUNTIFS($AW$3:$AW$201,$M349)&gt;0
   )),
  ),
  3
 ),
"")</f>
        <v/>
      </c>
      <c r="R349" s="3" t="str" cm="1">
        <f t="array" ref="R349">IFERROR(
 INDEX(
  _xlfn._xlws.FILTER($T$2:$AW$2,
   TRANSPOSE(
    CHOOSE({1;2;3;4;5;6;7;8;9;10;11;12;13;14;15;16;17;18;19;20;21;22;23;24;25;26;27;28;29;30},
     COUNTIFS($T$3:$T$201,$M349)&gt;0,
     COUNTIFS($U$3:$U$201,$M349)&gt;0,
     COUNTIFS($V$3:$V$201,$M349)&gt;0,
     COUNTIFS($W$3:$W$201,$M349)&gt;0,
     COUNTIFS($X$3:$X$201,$M349)&gt;0,
     COUNTIFS($Y$3:$Y$201,$M349)&gt;0,
     COUNTIFS($Z$3:$Z$201,$M349)&gt;0,
     COUNTIFS($AA$3:$AA$201,$M349)&gt;0,
     COUNTIFS($AB$3:$AB$201,$M349)&gt;0,
     COUNTIFS($AC$3:$AC$201,$M349)&gt;0,
     COUNTIFS($AD$3:$AD$201,$M349)&gt;0,
     COUNTIFS($AE$3:$AE$201,$M349)&gt;0,
     COUNTIFS($AF$3:$AF$201,$M349)&gt;0,
     COUNTIFS($AG$3:$AG$201,$M349)&gt;0,
     COUNTIFS($AH$3:$AH$201,$M349)&gt;0,
     COUNTIFS($AI$3:$AI$201,$M349)&gt;0,
     COUNTIFS($AJ$3:$AJ$201,$M349)&gt;0,
     COUNTIFS($AK$3:$AK$201,$M349)&gt;0,
     COUNTIFS($AL$3:$AL$201,$M349)&gt;0,
     COUNTIFS($AM$3:$AM$201,$M349)&gt;0,
     COUNTIFS($AN$3:$AN$201,$M349)&gt;0,
     COUNTIFS($AO$3:$AO$201,$M349)&gt;0,
     COUNTIFS($AP$3:$AP$201,$M349)&gt;0,
     COUNTIFS($AQ$3:$AQ$201,$M349)&gt;0,
     COUNTIFS($AR$3:$AR$201,$M349)&gt;0,
     COUNTIFS($AS$3:$AS$201,$M349)&gt;0,
     COUNTIFS($AT$3:$AT$201,$M349)&gt;0,
     COUNTIFS($AU$3:$AU$201,$M349)&gt;0,
     COUNTIFS($AV$3:$AV$201,$M349)&gt;0,
     COUNTIFS($AW$3:$AW$201,$M349)&gt;0
   )),
  ),
  4
 ),
"")</f>
        <v/>
      </c>
    </row>
    <row r="350" spans="1:18" x14ac:dyDescent="0.25">
      <c r="B350" s="3" t="str" cm="1">
        <f t="array" ref="B350">_xlfn.ANCHORARRAY(RESUMO!C349)</f>
        <v/>
      </c>
      <c r="C350" s="3" t="str">
        <f t="shared" ca="1" si="20"/>
        <v/>
      </c>
      <c r="N350" s="3">
        <f t="shared" si="21"/>
        <v>0</v>
      </c>
      <c r="O350" s="3" t="str">
        <f>IFERROR(
 INDEX($T$2:$AW$2,
  MATCH(TRUE,
   CHOOSE({1;2;3;4;5;6;7;8;9;10;11;12;13;14;15;16;17;18;19;20;21;22;23;24;25;26;27;28;29;30;31;32},
    COUNTIFS($T$3:$T$201,$M350)&gt;0,
    COUNTIFS($U$3:$U$201,$M350)&gt;0,
    COUNTIFS($V$3:$V$201,$M350)&gt;0,
    COUNTIFS($W$3:$W$201,$M350)&gt;0,
    COUNTIFS($X$3:$X$201,$M350)&gt;0,
    COUNTIFS($Y$3:$Y$201,$M350)&gt;0,
    COUNTIFS($Z$3:$Z$201,$M350)&gt;0,
    COUNTIFS($AA$3:$AA$201,$M350)&gt;0,
    COUNTIFS($AB$3:$AB$201,$M350)&gt;0,
    COUNTIFS($AC$3:$AC$201,$M350)&gt;0,
    COUNTIFS($AD$3:$AD$201,$M350)&gt;0,
    COUNTIFS($AE$3:$AE$201,$M350)&gt;0,
    COUNTIFS($AF$3:$AF$201,$M350)&gt;0,
    COUNTIFS($AG$3:$AG$201,$M350)&gt;0,
    COUNTIFS($AH$3:$AH$201,$M350)&gt;0,
    COUNTIFS($AI$3:$AI$201,$M350)&gt;0,
    COUNTIFS($AJ$3:$AJ$201,$M350)&gt;0,
    COUNTIFS($AK$3:$AK$201,$M350)&gt;0,
    COUNTIFS($AL$3:$AL$201,$M350)&gt;0,
    COUNTIFS($AM$3:$AM$201,$M350)&gt;0,
    COUNTIFS($AN$3:$AN$201,$M350)&gt;0,
    COUNTIFS($AO$3:$AO$201,$M350)&gt;0,
    COUNTIFS($AP$3:$AP$201,$M350)&gt;0,
    COUNTIFS($AQ$3:$AQ$201,$M350)&gt;0,
    COUNTIFS($AR$3:$AR$201,$M350)&gt;0,
    COUNTIFS($AS$3:$AS$201,$M350)&gt;0,
    COUNTIFS($AT$3:$AT$201,$M350)&gt;0,
    COUNTIFS($AU$3:$AU$201,$M350)&gt;0,
    COUNTIFS($AV$3:$AV$201,$M350)&gt;0,
    COUNTIFS($AW$3:$AW$201,$M350)&gt;0
   ),
  0)
 ),
"")</f>
        <v/>
      </c>
      <c r="P350" s="3" t="str" cm="1">
        <f t="array" ref="P350">IFERROR(
 INDEX(
  _xlfn._xlws.FILTER($T$2:$AW$2,
   TRANSPOSE(
    CHOOSE({1;2;3;4;5;6;7;8;9;10;11;12;13;14;15;16;17;18;19;20;21;22;23;24;25;26;27;28;29;30},
     COUNTIFS($T$3:$T$201,$M350)&gt;0,
     COUNTIFS($U$3:$U$201,$M350)&gt;0,
     COUNTIFS($V$3:$V$201,$M350)&gt;0,
     COUNTIFS($W$3:$W$201,$M350)&gt;0,
     COUNTIFS($X$3:$X$201,$M350)&gt;0,
     COUNTIFS($Y$3:$Y$201,$M350)&gt;0,
     COUNTIFS($Z$3:$Z$201,$M350)&gt;0,
     COUNTIFS($AA$3:$AA$201,$M350)&gt;0,
     COUNTIFS($AB$3:$AB$201,$M350)&gt;0,
     COUNTIFS($AC$3:$AC$201,$M350)&gt;0,
     COUNTIFS($AD$3:$AD$201,$M350)&gt;0,
     COUNTIFS($AE$3:$AE$201,$M350)&gt;0,
     COUNTIFS($AF$3:$AF$201,$M350)&gt;0,
     COUNTIFS($AG$3:$AG$201,$M350)&gt;0,
     COUNTIFS($AH$3:$AH$201,$M350)&gt;0,
     COUNTIFS($AI$3:$AI$201,$M350)&gt;0,
     COUNTIFS($AJ$3:$AJ$201,$M350)&gt;0,
     COUNTIFS($AK$3:$AK$201,$M350)&gt;0,
     COUNTIFS($AL$3:$AL$201,$M350)&gt;0,
     COUNTIFS($AM$3:$AM$201,$M350)&gt;0,
     COUNTIFS($AN$3:$AN$201,$M350)&gt;0,
     COUNTIFS($AO$3:$AO$201,$M350)&gt;0,
     COUNTIFS($AP$3:$AP$201,$M350)&gt;0,
     COUNTIFS($AQ$3:$AQ$201,$M350)&gt;0,
     COUNTIFS($AR$3:$AR$201,$M350)&gt;0,
     COUNTIFS($AS$3:$AS$201,$M350)&gt;0,
     COUNTIFS($AT$3:$AT$201,$M350)&gt;0,
     COUNTIFS($AU$3:$AU$201,$M350)&gt;0,
     COUNTIFS($AV$3:$AV$201,$M350)&gt;0,
     COUNTIFS($AW$3:$AW$201,$M350)&gt;0
   )),
  ),
  2
 ),
"")</f>
        <v/>
      </c>
      <c r="Q350" s="3" t="str" cm="1">
        <f t="array" ref="Q350">IFERROR(
 INDEX(
  _xlfn._xlws.FILTER($T$2:$AW$2,
   TRANSPOSE(
    CHOOSE({1;2;3;4;5;6;7;8;9;10;11;12;13;14;15;16;17;18;19;20;21;22;23;24;25;26;27;28;29;30},
     COUNTIFS($T$3:$T$201,$M350)&gt;0,
     COUNTIFS($U$3:$U$201,$M350)&gt;0,
     COUNTIFS($V$3:$V$201,$M350)&gt;0,
     COUNTIFS($W$3:$W$201,$M350)&gt;0,
     COUNTIFS($X$3:$X$201,$M350)&gt;0,
     COUNTIFS($Y$3:$Y$201,$M350)&gt;0,
     COUNTIFS($Z$3:$Z$201,$M350)&gt;0,
     COUNTIFS($AA$3:$AA$201,$M350)&gt;0,
     COUNTIFS($AB$3:$AB$201,$M350)&gt;0,
     COUNTIFS($AC$3:$AC$201,$M350)&gt;0,
     COUNTIFS($AD$3:$AD$201,$M350)&gt;0,
     COUNTIFS($AE$3:$AE$201,$M350)&gt;0,
     COUNTIFS($AF$3:$AF$201,$M350)&gt;0,
     COUNTIFS($AG$3:$AG$201,$M350)&gt;0,
     COUNTIFS($AH$3:$AH$201,$M350)&gt;0,
     COUNTIFS($AI$3:$AI$201,$M350)&gt;0,
     COUNTIFS($AJ$3:$AJ$201,$M350)&gt;0,
     COUNTIFS($AK$3:$AK$201,$M350)&gt;0,
     COUNTIFS($AL$3:$AL$201,$M350)&gt;0,
     COUNTIFS($AM$3:$AM$201,$M350)&gt;0,
     COUNTIFS($AN$3:$AN$201,$M350)&gt;0,
     COUNTIFS($AO$3:$AO$201,$M350)&gt;0,
     COUNTIFS($AP$3:$AP$201,$M350)&gt;0,
     COUNTIFS($AQ$3:$AQ$201,$M350)&gt;0,
     COUNTIFS($AR$3:$AR$201,$M350)&gt;0,
     COUNTIFS($AS$3:$AS$201,$M350)&gt;0,
     COUNTIFS($AT$3:$AT$201,$M350)&gt;0,
     COUNTIFS($AU$3:$AU$201,$M350)&gt;0,
     COUNTIFS($AV$3:$AV$201,$M350)&gt;0,
     COUNTIFS($AW$3:$AW$201,$M350)&gt;0
   )),
  ),
  3
 ),
"")</f>
        <v/>
      </c>
      <c r="R350" s="3" t="str" cm="1">
        <f t="array" ref="R350">IFERROR(
 INDEX(
  _xlfn._xlws.FILTER($T$2:$AW$2,
   TRANSPOSE(
    CHOOSE({1;2;3;4;5;6;7;8;9;10;11;12;13;14;15;16;17;18;19;20;21;22;23;24;25;26;27;28;29;30},
     COUNTIFS($T$3:$T$201,$M350)&gt;0,
     COUNTIFS($U$3:$U$201,$M350)&gt;0,
     COUNTIFS($V$3:$V$201,$M350)&gt;0,
     COUNTIFS($W$3:$W$201,$M350)&gt;0,
     COUNTIFS($X$3:$X$201,$M350)&gt;0,
     COUNTIFS($Y$3:$Y$201,$M350)&gt;0,
     COUNTIFS($Z$3:$Z$201,$M350)&gt;0,
     COUNTIFS($AA$3:$AA$201,$M350)&gt;0,
     COUNTIFS($AB$3:$AB$201,$M350)&gt;0,
     COUNTIFS($AC$3:$AC$201,$M350)&gt;0,
     COUNTIFS($AD$3:$AD$201,$M350)&gt;0,
     COUNTIFS($AE$3:$AE$201,$M350)&gt;0,
     COUNTIFS($AF$3:$AF$201,$M350)&gt;0,
     COUNTIFS($AG$3:$AG$201,$M350)&gt;0,
     COUNTIFS($AH$3:$AH$201,$M350)&gt;0,
     COUNTIFS($AI$3:$AI$201,$M350)&gt;0,
     COUNTIFS($AJ$3:$AJ$201,$M350)&gt;0,
     COUNTIFS($AK$3:$AK$201,$M350)&gt;0,
     COUNTIFS($AL$3:$AL$201,$M350)&gt;0,
     COUNTIFS($AM$3:$AM$201,$M350)&gt;0,
     COUNTIFS($AN$3:$AN$201,$M350)&gt;0,
     COUNTIFS($AO$3:$AO$201,$M350)&gt;0,
     COUNTIFS($AP$3:$AP$201,$M350)&gt;0,
     COUNTIFS($AQ$3:$AQ$201,$M350)&gt;0,
     COUNTIFS($AR$3:$AR$201,$M350)&gt;0,
     COUNTIFS($AS$3:$AS$201,$M350)&gt;0,
     COUNTIFS($AT$3:$AT$201,$M350)&gt;0,
     COUNTIFS($AU$3:$AU$201,$M350)&gt;0,
     COUNTIFS($AV$3:$AV$201,$M350)&gt;0,
     COUNTIFS($AW$3:$AW$201,$M350)&gt;0
   )),
  ),
  4
 ),
"")</f>
        <v/>
      </c>
    </row>
    <row r="351" spans="1:18" x14ac:dyDescent="0.25">
      <c r="B351" s="3" t="str" cm="1">
        <f t="array" ref="B351">_xlfn.ANCHORARRAY(RESUMO!C350)</f>
        <v/>
      </c>
      <c r="C351" s="3" t="str">
        <f t="shared" ca="1" si="20"/>
        <v/>
      </c>
      <c r="N351" s="3">
        <f t="shared" si="21"/>
        <v>0</v>
      </c>
      <c r="O351" s="3" t="str">
        <f>IFERROR(
 INDEX($T$2:$AW$2,
  MATCH(TRUE,
   CHOOSE({1;2;3;4;5;6;7;8;9;10;11;12;13;14;15;16;17;18;19;20;21;22;23;24;25;26;27;28;29;30;31;32},
    COUNTIFS($T$3:$T$201,$M351)&gt;0,
    COUNTIFS($U$3:$U$201,$M351)&gt;0,
    COUNTIFS($V$3:$V$201,$M351)&gt;0,
    COUNTIFS($W$3:$W$201,$M351)&gt;0,
    COUNTIFS($X$3:$X$201,$M351)&gt;0,
    COUNTIFS($Y$3:$Y$201,$M351)&gt;0,
    COUNTIFS($Z$3:$Z$201,$M351)&gt;0,
    COUNTIFS($AA$3:$AA$201,$M351)&gt;0,
    COUNTIFS($AB$3:$AB$201,$M351)&gt;0,
    COUNTIFS($AC$3:$AC$201,$M351)&gt;0,
    COUNTIFS($AD$3:$AD$201,$M351)&gt;0,
    COUNTIFS($AE$3:$AE$201,$M351)&gt;0,
    COUNTIFS($AF$3:$AF$201,$M351)&gt;0,
    COUNTIFS($AG$3:$AG$201,$M351)&gt;0,
    COUNTIFS($AH$3:$AH$201,$M351)&gt;0,
    COUNTIFS($AI$3:$AI$201,$M351)&gt;0,
    COUNTIFS($AJ$3:$AJ$201,$M351)&gt;0,
    COUNTIFS($AK$3:$AK$201,$M351)&gt;0,
    COUNTIFS($AL$3:$AL$201,$M351)&gt;0,
    COUNTIFS($AM$3:$AM$201,$M351)&gt;0,
    COUNTIFS($AN$3:$AN$201,$M351)&gt;0,
    COUNTIFS($AO$3:$AO$201,$M351)&gt;0,
    COUNTIFS($AP$3:$AP$201,$M351)&gt;0,
    COUNTIFS($AQ$3:$AQ$201,$M351)&gt;0,
    COUNTIFS($AR$3:$AR$201,$M351)&gt;0,
    COUNTIFS($AS$3:$AS$201,$M351)&gt;0,
    COUNTIFS($AT$3:$AT$201,$M351)&gt;0,
    COUNTIFS($AU$3:$AU$201,$M351)&gt;0,
    COUNTIFS($AV$3:$AV$201,$M351)&gt;0,
    COUNTIFS($AW$3:$AW$201,$M351)&gt;0
   ),
  0)
 ),
"")</f>
        <v/>
      </c>
      <c r="P351" s="3" t="str" cm="1">
        <f t="array" ref="P351">IFERROR(
 INDEX(
  _xlfn._xlws.FILTER($T$2:$AU$2,
   TRANSPOSE(
    CHOOSE({1;2;3;4;5;6;7;8;9;10;11;12;13;14;15;16;17;18;19;20;21;22;23;24;25;26;27;28},
     COUNTIFS($T$3:$T$201,$M351)&gt;0,
     COUNTIFS($U$3:$U$201,$M351)&gt;0,
     COUNTIFS($V$3:$V$201,$M351)&gt;0,
     COUNTIFS($W$3:$W$201,$M351)&gt;0,
     COUNTIFS($X$3:$X$201,$M351)&gt;0,
     COUNTIFS($Y$3:$Y$201,$M351)&gt;0,
     COUNTIFS($Z$3:$Z$201,$M351)&gt;0,
     COUNTIFS($AA$3:$AA$201,$M351)&gt;0,
     COUNTIFS($AB$3:$AB$201,$M351)&gt;0,
     COUNTIFS($AC$3:$AC$201,$M351)&gt;0,
     COUNTIFS($AD$3:$AD$201,$M351)&gt;0,
     COUNTIFS($AE$3:$AE$201,$M351)&gt;0,
     COUNTIFS($AF$3:$AF$201,$M351)&gt;0,
     COUNTIFS($AG$3:$AG$201,$M351)&gt;0,
     COUNTIFS($AH$3:$AH$201,$M351)&gt;0,
     COUNTIFS($AI$3:$AI$201,$M351)&gt;0,
     COUNTIFS($AJ$3:$AJ$201,$M351)&gt;0,
     COUNTIFS($AK$3:$AK$201,$M351)&gt;0,
     COUNTIFS($AL$3:$AL$201,$M351)&gt;0,
     COUNTIFS($AM$3:$AM$201,$M351)&gt;0,
     COUNTIFS($AN$3:$AN$201,$M351)&gt;0,
     COUNTIFS($AO$3:$AO$201,$M351)&gt;0,
     COUNTIFS($AP$3:$AP$201,$M351)&gt;0,
     COUNTIFS($AQ$3:$AQ$201,$M351)&gt;0,
     COUNTIFS($AR$3:$AR$201,$M351)&gt;0,
     COUNTIFS($AS$3:$AS$201,$M351)&gt;0,
     COUNTIFS($AT$3:$AT$201,$M351)&gt;0,
     COUNTIFS($AU$3:$AU$201,$M351)&gt;0
   )),
  ),
  2
 ),
"")</f>
        <v/>
      </c>
      <c r="Q351" s="3" t="str" cm="1">
        <f t="array" ref="Q351">IFERROR(
 INDEX($T$2:$AU$2,
  _xlfn.AGGREGATE(15,6,
   (COLUMN($T$2:$AU$2)-COLUMN($T$2)+1)/
   TRANSPOSE(
    CHOOSE({1;2;3;4;5;6;7;8;9;10;11;12;13;14;15;16;17;18;19;20;21;22;23;24;25;26;27;28},
     COUNTIFS($T$3:$T$201,$M351)&gt;0,
     COUNTIFS($U$3:$U$201,$M351)&gt;0,
     COUNTIFS($V$3:$V$201,$M351)&gt;0,
     COUNTIFS($W$3:$W$201,$M351)&gt;0,
     COUNTIFS($X$3:$X$201,$M351)&gt;0,
     COUNTIFS($Y$3:$Y$201,$M351)&gt;0,
     COUNTIFS($Z$3:$Z$201,$M351)&gt;0,
     COUNTIFS($AA$3:$AA$201,$M351)&gt;0,
     COUNTIFS($AB$3:$AB$201,$M351)&gt;0,
     COUNTIFS($AC$3:$AC$201,$M351)&gt;0,
     COUNTIFS($AD$3:$AD$201,$M351)&gt;0,
     COUNTIFS($AE$3:$AE$201,$M351)&gt;0,
     COUNTIFS($AF$3:$AF$201,$M351)&gt;0,
     COUNTIFS($AG$3:$AG$201,$M351)&gt;0,
     COUNTIFS($AH$3:$AH$201,$M351)&gt;0,
     COUNTIFS($AI$3:$AI$201,$M351)&gt;0,
     COUNTIFS($AJ$3:$AJ$201,$M351)&gt;0,
     COUNTIFS($AK$3:$AK$201,$M351)&gt;0,
     COUNTIFS($AL$3:$AL$201,$M351)&gt;0,
     COUNTIFS($AM$3:$AM$201,$M351)&gt;0,
     COUNTIFS($AN$3:$AN$201,$M351)&gt;0,
     COUNTIFS($AO$3:$AO$201,$M351)&gt;0,
     COUNTIFS($AP$3:$AP$201,$M351)&gt;0,
     COUNTIFS($AQ$3:$AQ$201,$M351)&gt;0,
     COUNTIFS($AR$3:$AR$201,$M351)&gt;0,
     COUNTIFS($AS$3:$AS$201,$M351)&gt;0,
     COUNTIFS($AT$3:$AT$201,$M351)&gt;0,
     COUNTIFS($AU$3:$AU$201,$M351)&gt;0
   )),
  3)
 ),
"")</f>
        <v/>
      </c>
      <c r="R351" s="3" t="str" cm="1">
        <f t="array" ref="R351">IFERROR(
 INDEX($T$2:$AU$2,
  _xlfn.AGGREGATE(15,6,
   (COLUMN($T$2:$AU$2)-COLUMN($T$2)+1)/
   TRANSPOSE(
    CHOOSE({1;2;3;4;5;6;7;8;9;10;11;12;13;14;15;16;17;18;19;20;21;22;23;24;25;26;27;28},
     COUNTIFS($T$3:$T$201,$M351)&gt;0,
     COUNTIFS($U$3:$U$201,$M351)&gt;0,
     COUNTIFS($V$3:$V$201,$M351)&gt;0,
     COUNTIFS($W$3:$W$201,$M351)&gt;0,
     COUNTIFS($X$3:$X$201,$M351)&gt;0,
     COUNTIFS($Y$3:$Y$201,$M351)&gt;0,
     COUNTIFS($Z$3:$Z$201,$M351)&gt;0,
     COUNTIFS($AA$3:$AA$201,$M351)&gt;0,
     COUNTIFS($AB$3:$AB$201,$M351)&gt;0,
     COUNTIFS($AC$3:$AC$201,$M351)&gt;0,
     COUNTIFS($AD$3:$AD$201,$M351)&gt;0,
     COUNTIFS($AE$3:$AE$201,$M351)&gt;0,
     COUNTIFS($AF$3:$AF$201,$M351)&gt;0,
     COUNTIFS($AG$3:$AG$201,$M351)&gt;0,
     COUNTIFS($AH$3:$AH$201,$M351)&gt;0,
     COUNTIFS($AI$3:$AI$201,$M351)&gt;0,
     COUNTIFS($AJ$3:$AJ$201,$M351)&gt;0,
     COUNTIFS($AK$3:$AK$201,$M351)&gt;0,
     COUNTIFS($AL$3:$AL$201,$M351)&gt;0,
     COUNTIFS($AM$3:$AM$201,$M351)&gt;0,
     COUNTIFS($AN$3:$AN$201,$M351)&gt;0,
     COUNTIFS($AO$3:$AO$201,$M351)&gt;0,
     COUNTIFS($AP$3:$AP$201,$M351)&gt;0,
     COUNTIFS($AQ$3:$AQ$201,$M351)&gt;0,
     COUNTIFS($AR$3:$AR$201,$M351)&gt;0,
     COUNTIFS($AS$3:$AS$201,$M351)&gt;0,
     COUNTIFS($AT$3:$AT$201,$M351)&gt;0,
     COUNTIFS($AU$3:$AU$201,$M351)&gt;0
   )),
  4)
 ),
"")</f>
        <v/>
      </c>
    </row>
    <row r="352" spans="1:18" x14ac:dyDescent="0.25">
      <c r="B352" s="3" t="str" cm="1">
        <f t="array" ref="B352">_xlfn.ANCHORARRAY(RESUMO!C351)</f>
        <v/>
      </c>
      <c r="C352" s="3" t="str">
        <f t="shared" ca="1" si="20"/>
        <v/>
      </c>
      <c r="N352" s="3">
        <f t="shared" si="21"/>
        <v>0</v>
      </c>
      <c r="O352" s="3" t="str">
        <f>IFERROR(
 INDEX($T$2:$AW$2,
  MATCH(TRUE,
   CHOOSE({1;2;3;4;5;6;7;8;9;10;11;12;13;14;15;16;17;18;19;20;21;22;23;24;25;26;27;28;29;30;31;32},
    COUNTIFS($T$3:$T$201,$M352)&gt;0,
    COUNTIFS($U$3:$U$201,$M352)&gt;0,
    COUNTIFS($V$3:$V$201,$M352)&gt;0,
    COUNTIFS($W$3:$W$201,$M352)&gt;0,
    COUNTIFS($X$3:$X$201,$M352)&gt;0,
    COUNTIFS($Y$3:$Y$201,$M352)&gt;0,
    COUNTIFS($Z$3:$Z$201,$M352)&gt;0,
    COUNTIFS($AA$3:$AA$201,$M352)&gt;0,
    COUNTIFS($AB$3:$AB$201,$M352)&gt;0,
    COUNTIFS($AC$3:$AC$201,$M352)&gt;0,
    COUNTIFS($AD$3:$AD$201,$M352)&gt;0,
    COUNTIFS($AE$3:$AE$201,$M352)&gt;0,
    COUNTIFS($AF$3:$AF$201,$M352)&gt;0,
    COUNTIFS($AG$3:$AG$201,$M352)&gt;0,
    COUNTIFS($AH$3:$AH$201,$M352)&gt;0,
    COUNTIFS($AI$3:$AI$201,$M352)&gt;0,
    COUNTIFS($AJ$3:$AJ$201,$M352)&gt;0,
    COUNTIFS($AK$3:$AK$201,$M352)&gt;0,
    COUNTIFS($AL$3:$AL$201,$M352)&gt;0,
    COUNTIFS($AM$3:$AM$201,$M352)&gt;0,
    COUNTIFS($AN$3:$AN$201,$M352)&gt;0,
    COUNTIFS($AO$3:$AO$201,$M352)&gt;0,
    COUNTIFS($AP$3:$AP$201,$M352)&gt;0,
    COUNTIFS($AQ$3:$AQ$201,$M352)&gt;0,
    COUNTIFS($AR$3:$AR$201,$M352)&gt;0,
    COUNTIFS($AS$3:$AS$201,$M352)&gt;0,
    COUNTIFS($AT$3:$AT$201,$M352)&gt;0,
    COUNTIFS($AU$3:$AU$201,$M352)&gt;0,
    COUNTIFS($AV$3:$AV$201,$M352)&gt;0,
    COUNTIFS($AW$3:$AW$201,$M352)&gt;0
   ),
  0)
 ),
"")</f>
        <v/>
      </c>
      <c r="P352" s="3" t="str" cm="1">
        <f t="array" ref="P352">IFERROR(
 INDEX(
  _xlfn._xlws.FILTER($T$2:$AU$2,
   TRANSPOSE(
    CHOOSE({1;2;3;4;5;6;7;8;9;10;11;12;13;14;15;16;17;18;19;20;21;22;23;24;25;26;27;28},
     COUNTIFS($T$3:$T$201,$M352)&gt;0,
     COUNTIFS($U$3:$U$201,$M352)&gt;0,
     COUNTIFS($V$3:$V$201,$M352)&gt;0,
     COUNTIFS($W$3:$W$201,$M352)&gt;0,
     COUNTIFS($X$3:$X$201,$M352)&gt;0,
     COUNTIFS($Y$3:$Y$201,$M352)&gt;0,
     COUNTIFS($Z$3:$Z$201,$M352)&gt;0,
     COUNTIFS($AA$3:$AA$201,$M352)&gt;0,
     COUNTIFS($AB$3:$AB$201,$M352)&gt;0,
     COUNTIFS($AC$3:$AC$201,$M352)&gt;0,
     COUNTIFS($AD$3:$AD$201,$M352)&gt;0,
     COUNTIFS($AE$3:$AE$201,$M352)&gt;0,
     COUNTIFS($AF$3:$AF$201,$M352)&gt;0,
     COUNTIFS($AG$3:$AG$201,$M352)&gt;0,
     COUNTIFS($AH$3:$AH$201,$M352)&gt;0,
     COUNTIFS($AI$3:$AI$201,$M352)&gt;0,
     COUNTIFS($AJ$3:$AJ$201,$M352)&gt;0,
     COUNTIFS($AK$3:$AK$201,$M352)&gt;0,
     COUNTIFS($AL$3:$AL$201,$M352)&gt;0,
     COUNTIFS($AM$3:$AM$201,$M352)&gt;0,
     COUNTIFS($AN$3:$AN$201,$M352)&gt;0,
     COUNTIFS($AO$3:$AO$201,$M352)&gt;0,
     COUNTIFS($AP$3:$AP$201,$M352)&gt;0,
     COUNTIFS($AQ$3:$AQ$201,$M352)&gt;0,
     COUNTIFS($AR$3:$AR$201,$M352)&gt;0,
     COUNTIFS($AS$3:$AS$201,$M352)&gt;0,
     COUNTIFS($AT$3:$AT$201,$M352)&gt;0,
     COUNTIFS($AU$3:$AU$201,$M352)&gt;0
   )),
  ),
  2
 ),
"")</f>
        <v/>
      </c>
      <c r="Q352" s="3" t="str" cm="1">
        <f t="array" ref="Q352">IFERROR(
 INDEX($T$2:$AU$2,
  _xlfn.AGGREGATE(15,6,
   (COLUMN($T$2:$AU$2)-COLUMN($T$2)+1)/
   TRANSPOSE(
    CHOOSE({1;2;3;4;5;6;7;8;9;10;11;12;13;14;15;16;17;18;19;20;21;22;23;24;25;26;27;28},
     COUNTIFS($T$3:$T$201,$M352)&gt;0,
     COUNTIFS($U$3:$U$201,$M352)&gt;0,
     COUNTIFS($V$3:$V$201,$M352)&gt;0,
     COUNTIFS($W$3:$W$201,$M352)&gt;0,
     COUNTIFS($X$3:$X$201,$M352)&gt;0,
     COUNTIFS($Y$3:$Y$201,$M352)&gt;0,
     COUNTIFS($Z$3:$Z$201,$M352)&gt;0,
     COUNTIFS($AA$3:$AA$201,$M352)&gt;0,
     COUNTIFS($AB$3:$AB$201,$M352)&gt;0,
     COUNTIFS($AC$3:$AC$201,$M352)&gt;0,
     COUNTIFS($AD$3:$AD$201,$M352)&gt;0,
     COUNTIFS($AE$3:$AE$201,$M352)&gt;0,
     COUNTIFS($AF$3:$AF$201,$M352)&gt;0,
     COUNTIFS($AG$3:$AG$201,$M352)&gt;0,
     COUNTIFS($AH$3:$AH$201,$M352)&gt;0,
     COUNTIFS($AI$3:$AI$201,$M352)&gt;0,
     COUNTIFS($AJ$3:$AJ$201,$M352)&gt;0,
     COUNTIFS($AK$3:$AK$201,$M352)&gt;0,
     COUNTIFS($AL$3:$AL$201,$M352)&gt;0,
     COUNTIFS($AM$3:$AM$201,$M352)&gt;0,
     COUNTIFS($AN$3:$AN$201,$M352)&gt;0,
     COUNTIFS($AO$3:$AO$201,$M352)&gt;0,
     COUNTIFS($AP$3:$AP$201,$M352)&gt;0,
     COUNTIFS($AQ$3:$AQ$201,$M352)&gt;0,
     COUNTIFS($AR$3:$AR$201,$M352)&gt;0,
     COUNTIFS($AS$3:$AS$201,$M352)&gt;0,
     COUNTIFS($AT$3:$AT$201,$M352)&gt;0,
     COUNTIFS($AU$3:$AU$201,$M352)&gt;0
   )),
  3)
 ),
"")</f>
        <v/>
      </c>
      <c r="R352" s="3" t="str" cm="1">
        <f t="array" ref="R352">IFERROR(
 INDEX($T$2:$AU$2,
  _xlfn.AGGREGATE(15,6,
   (COLUMN($T$2:$AU$2)-COLUMN($T$2)+1)/
   TRANSPOSE(
    CHOOSE({1;2;3;4;5;6;7;8;9;10;11;12;13;14;15;16;17;18;19;20;21;22;23;24;25;26;27;28},
     COUNTIFS($T$3:$T$201,$M352)&gt;0,
     COUNTIFS($U$3:$U$201,$M352)&gt;0,
     COUNTIFS($V$3:$V$201,$M352)&gt;0,
     COUNTIFS($W$3:$W$201,$M352)&gt;0,
     COUNTIFS($X$3:$X$201,$M352)&gt;0,
     COUNTIFS($Y$3:$Y$201,$M352)&gt;0,
     COUNTIFS($Z$3:$Z$201,$M352)&gt;0,
     COUNTIFS($AA$3:$AA$201,$M352)&gt;0,
     COUNTIFS($AB$3:$AB$201,$M352)&gt;0,
     COUNTIFS($AC$3:$AC$201,$M352)&gt;0,
     COUNTIFS($AD$3:$AD$201,$M352)&gt;0,
     COUNTIFS($AE$3:$AE$201,$M352)&gt;0,
     COUNTIFS($AF$3:$AF$201,$M352)&gt;0,
     COUNTIFS($AG$3:$AG$201,$M352)&gt;0,
     COUNTIFS($AH$3:$AH$201,$M352)&gt;0,
     COUNTIFS($AI$3:$AI$201,$M352)&gt;0,
     COUNTIFS($AJ$3:$AJ$201,$M352)&gt;0,
     COUNTIFS($AK$3:$AK$201,$M352)&gt;0,
     COUNTIFS($AL$3:$AL$201,$M352)&gt;0,
     COUNTIFS($AM$3:$AM$201,$M352)&gt;0,
     COUNTIFS($AN$3:$AN$201,$M352)&gt;0,
     COUNTIFS($AO$3:$AO$201,$M352)&gt;0,
     COUNTIFS($AP$3:$AP$201,$M352)&gt;0,
     COUNTIFS($AQ$3:$AQ$201,$M352)&gt;0,
     COUNTIFS($AR$3:$AR$201,$M352)&gt;0,
     COUNTIFS($AS$3:$AS$201,$M352)&gt;0,
     COUNTIFS($AT$3:$AT$201,$M352)&gt;0,
     COUNTIFS($AU$3:$AU$201,$M352)&gt;0
   )),
  4)
 ),
"")</f>
        <v/>
      </c>
    </row>
    <row r="353" spans="2:18" x14ac:dyDescent="0.25">
      <c r="B353" s="3" t="str" cm="1">
        <f t="array" ref="B353">_xlfn.ANCHORARRAY(RESUMO!C352)</f>
        <v/>
      </c>
      <c r="C353" s="3" t="str">
        <f t="shared" ca="1" si="20"/>
        <v/>
      </c>
      <c r="N353" s="3">
        <f t="shared" si="21"/>
        <v>0</v>
      </c>
      <c r="O353" s="3" t="str">
        <f>IFERROR(
 INDEX($T$2:$AW$2,
  MATCH(TRUE,
   CHOOSE({1;2;3;4;5;6;7;8;9;10;11;12;13;14;15;16;17;18;19;20;21;22;23;24;25;26;27;28;29;30;31;32},
    COUNTIFS($T$3:$T$201,$M353)&gt;0,
    COUNTIFS($U$3:$U$201,$M353)&gt;0,
    COUNTIFS($V$3:$V$201,$M353)&gt;0,
    COUNTIFS($W$3:$W$201,$M353)&gt;0,
    COUNTIFS($X$3:$X$201,$M353)&gt;0,
    COUNTIFS($Y$3:$Y$201,$M353)&gt;0,
    COUNTIFS($Z$3:$Z$201,$M353)&gt;0,
    COUNTIFS($AA$3:$AA$201,$M353)&gt;0,
    COUNTIFS($AB$3:$AB$201,$M353)&gt;0,
    COUNTIFS($AC$3:$AC$201,$M353)&gt;0,
    COUNTIFS($AD$3:$AD$201,$M353)&gt;0,
    COUNTIFS($AE$3:$AE$201,$M353)&gt;0,
    COUNTIFS($AF$3:$AF$201,$M353)&gt;0,
    COUNTIFS($AG$3:$AG$201,$M353)&gt;0,
    COUNTIFS($AH$3:$AH$201,$M353)&gt;0,
    COUNTIFS($AI$3:$AI$201,$M353)&gt;0,
    COUNTIFS($AJ$3:$AJ$201,$M353)&gt;0,
    COUNTIFS($AK$3:$AK$201,$M353)&gt;0,
    COUNTIFS($AL$3:$AL$201,$M353)&gt;0,
    COUNTIFS($AM$3:$AM$201,$M353)&gt;0,
    COUNTIFS($AN$3:$AN$201,$M353)&gt;0,
    COUNTIFS($AO$3:$AO$201,$M353)&gt;0,
    COUNTIFS($AP$3:$AP$201,$M353)&gt;0,
    COUNTIFS($AQ$3:$AQ$201,$M353)&gt;0,
    COUNTIFS($AR$3:$AR$201,$M353)&gt;0,
    COUNTIFS($AS$3:$AS$201,$M353)&gt;0,
    COUNTIFS($AT$3:$AT$201,$M353)&gt;0,
    COUNTIFS($AU$3:$AU$201,$M353)&gt;0,
    COUNTIFS($AV$3:$AV$201,$M353)&gt;0,
    COUNTIFS($AW$3:$AW$201,$M353)&gt;0
   ),
  0)
 ),
"")</f>
        <v/>
      </c>
      <c r="P353" s="3" t="str" cm="1">
        <f t="array" ref="P353">IFERROR(
 INDEX(
  _xlfn._xlws.FILTER($T$2:$AU$2,
   TRANSPOSE(
    CHOOSE({1;2;3;4;5;6;7;8;9;10;11;12;13;14;15;16;17;18;19;20;21;22;23;24;25;26;27;28},
     COUNTIFS($T$3:$T$201,$M353)&gt;0,
     COUNTIFS($U$3:$U$201,$M353)&gt;0,
     COUNTIFS($V$3:$V$201,$M353)&gt;0,
     COUNTIFS($W$3:$W$201,$M353)&gt;0,
     COUNTIFS($X$3:$X$201,$M353)&gt;0,
     COUNTIFS($Y$3:$Y$201,$M353)&gt;0,
     COUNTIFS($Z$3:$Z$201,$M353)&gt;0,
     COUNTIFS($AA$3:$AA$201,$M353)&gt;0,
     COUNTIFS($AB$3:$AB$201,$M353)&gt;0,
     COUNTIFS($AC$3:$AC$201,$M353)&gt;0,
     COUNTIFS($AD$3:$AD$201,$M353)&gt;0,
     COUNTIFS($AE$3:$AE$201,$M353)&gt;0,
     COUNTIFS($AF$3:$AF$201,$M353)&gt;0,
     COUNTIFS($AG$3:$AG$201,$M353)&gt;0,
     COUNTIFS($AH$3:$AH$201,$M353)&gt;0,
     COUNTIFS($AI$3:$AI$201,$M353)&gt;0,
     COUNTIFS($AJ$3:$AJ$201,$M353)&gt;0,
     COUNTIFS($AK$3:$AK$201,$M353)&gt;0,
     COUNTIFS($AL$3:$AL$201,$M353)&gt;0,
     COUNTIFS($AM$3:$AM$201,$M353)&gt;0,
     COUNTIFS($AN$3:$AN$201,$M353)&gt;0,
     COUNTIFS($AO$3:$AO$201,$M353)&gt;0,
     COUNTIFS($AP$3:$AP$201,$M353)&gt;0,
     COUNTIFS($AQ$3:$AQ$201,$M353)&gt;0,
     COUNTIFS($AR$3:$AR$201,$M353)&gt;0,
     COUNTIFS($AS$3:$AS$201,$M353)&gt;0,
     COUNTIFS($AT$3:$AT$201,$M353)&gt;0,
     COUNTIFS($AU$3:$AU$201,$M353)&gt;0
   )),
  ),
  2
 ),
"")</f>
        <v/>
      </c>
      <c r="Q353" s="3" t="str" cm="1">
        <f t="array" ref="Q353">IFERROR(
 INDEX($T$2:$AU$2,
  _xlfn.AGGREGATE(15,6,
   (COLUMN($T$2:$AU$2)-COLUMN($T$2)+1)/
   TRANSPOSE(
    CHOOSE({1;2;3;4;5;6;7;8;9;10;11;12;13;14;15;16;17;18;19;20;21;22;23;24;25;26;27;28},
     COUNTIFS($T$3:$T$201,$M353)&gt;0,
     COUNTIFS($U$3:$U$201,$M353)&gt;0,
     COUNTIFS($V$3:$V$201,$M353)&gt;0,
     COUNTIFS($W$3:$W$201,$M353)&gt;0,
     COUNTIFS($X$3:$X$201,$M353)&gt;0,
     COUNTIFS($Y$3:$Y$201,$M353)&gt;0,
     COUNTIFS($Z$3:$Z$201,$M353)&gt;0,
     COUNTIFS($AA$3:$AA$201,$M353)&gt;0,
     COUNTIFS($AB$3:$AB$201,$M353)&gt;0,
     COUNTIFS($AC$3:$AC$201,$M353)&gt;0,
     COUNTIFS($AD$3:$AD$201,$M353)&gt;0,
     COUNTIFS($AE$3:$AE$201,$M353)&gt;0,
     COUNTIFS($AF$3:$AF$201,$M353)&gt;0,
     COUNTIFS($AG$3:$AG$201,$M353)&gt;0,
     COUNTIFS($AH$3:$AH$201,$M353)&gt;0,
     COUNTIFS($AI$3:$AI$201,$M353)&gt;0,
     COUNTIFS($AJ$3:$AJ$201,$M353)&gt;0,
     COUNTIFS($AK$3:$AK$201,$M353)&gt;0,
     COUNTIFS($AL$3:$AL$201,$M353)&gt;0,
     COUNTIFS($AM$3:$AM$201,$M353)&gt;0,
     COUNTIFS($AN$3:$AN$201,$M353)&gt;0,
     COUNTIFS($AO$3:$AO$201,$M353)&gt;0,
     COUNTIFS($AP$3:$AP$201,$M353)&gt;0,
     COUNTIFS($AQ$3:$AQ$201,$M353)&gt;0,
     COUNTIFS($AR$3:$AR$201,$M353)&gt;0,
     COUNTIFS($AS$3:$AS$201,$M353)&gt;0,
     COUNTIFS($AT$3:$AT$201,$M353)&gt;0,
     COUNTIFS($AU$3:$AU$201,$M353)&gt;0
   )),
  3)
 ),
"")</f>
        <v/>
      </c>
      <c r="R353" s="3" t="str" cm="1">
        <f t="array" ref="R353">IFERROR(
 INDEX($T$2:$AU$2,
  _xlfn.AGGREGATE(15,6,
   (COLUMN($T$2:$AU$2)-COLUMN($T$2)+1)/
   TRANSPOSE(
    CHOOSE({1;2;3;4;5;6;7;8;9;10;11;12;13;14;15;16;17;18;19;20;21;22;23;24;25;26;27;28},
     COUNTIFS($T$3:$T$201,$M353)&gt;0,
     COUNTIFS($U$3:$U$201,$M353)&gt;0,
     COUNTIFS($V$3:$V$201,$M353)&gt;0,
     COUNTIFS($W$3:$W$201,$M353)&gt;0,
     COUNTIFS($X$3:$X$201,$M353)&gt;0,
     COUNTIFS($Y$3:$Y$201,$M353)&gt;0,
     COUNTIFS($Z$3:$Z$201,$M353)&gt;0,
     COUNTIFS($AA$3:$AA$201,$M353)&gt;0,
     COUNTIFS($AB$3:$AB$201,$M353)&gt;0,
     COUNTIFS($AC$3:$AC$201,$M353)&gt;0,
     COUNTIFS($AD$3:$AD$201,$M353)&gt;0,
     COUNTIFS($AE$3:$AE$201,$M353)&gt;0,
     COUNTIFS($AF$3:$AF$201,$M353)&gt;0,
     COUNTIFS($AG$3:$AG$201,$M353)&gt;0,
     COUNTIFS($AH$3:$AH$201,$M353)&gt;0,
     COUNTIFS($AI$3:$AI$201,$M353)&gt;0,
     COUNTIFS($AJ$3:$AJ$201,$M353)&gt;0,
     COUNTIFS($AK$3:$AK$201,$M353)&gt;0,
     COUNTIFS($AL$3:$AL$201,$M353)&gt;0,
     COUNTIFS($AM$3:$AM$201,$M353)&gt;0,
     COUNTIFS($AN$3:$AN$201,$M353)&gt;0,
     COUNTIFS($AO$3:$AO$201,$M353)&gt;0,
     COUNTIFS($AP$3:$AP$201,$M353)&gt;0,
     COUNTIFS($AQ$3:$AQ$201,$M353)&gt;0,
     COUNTIFS($AR$3:$AR$201,$M353)&gt;0,
     COUNTIFS($AS$3:$AS$201,$M353)&gt;0,
     COUNTIFS($AT$3:$AT$201,$M353)&gt;0,
     COUNTIFS($AU$3:$AU$201,$M353)&gt;0
   )),
  4)
 ),
"")</f>
        <v/>
      </c>
    </row>
    <row r="354" spans="2:18" x14ac:dyDescent="0.25">
      <c r="B354" s="3" t="str" cm="1">
        <f t="array" ref="B354">_xlfn.ANCHORARRAY(RESUMO!C353)</f>
        <v/>
      </c>
      <c r="C354" s="3" t="str">
        <f t="shared" ca="1" si="20"/>
        <v/>
      </c>
      <c r="N354" s="3">
        <f t="shared" si="21"/>
        <v>0</v>
      </c>
      <c r="O354" s="3" t="str">
        <f>IFERROR(
 INDEX($T$2:$AW$2,
  MATCH(TRUE,
   CHOOSE({1;2;3;4;5;6;7;8;9;10;11;12;13;14;15;16;17;18;19;20;21;22;23;24;25;26;27;28;29;30;31;32},
    COUNTIFS($T$3:$T$201,$M354)&gt;0,
    COUNTIFS($U$3:$U$201,$M354)&gt;0,
    COUNTIFS($V$3:$V$201,$M354)&gt;0,
    COUNTIFS($W$3:$W$201,$M354)&gt;0,
    COUNTIFS($X$3:$X$201,$M354)&gt;0,
    COUNTIFS($Y$3:$Y$201,$M354)&gt;0,
    COUNTIFS($Z$3:$Z$201,$M354)&gt;0,
    COUNTIFS($AA$3:$AA$201,$M354)&gt;0,
    COUNTIFS($AB$3:$AB$201,$M354)&gt;0,
    COUNTIFS($AC$3:$AC$201,$M354)&gt;0,
    COUNTIFS($AD$3:$AD$201,$M354)&gt;0,
    COUNTIFS($AE$3:$AE$201,$M354)&gt;0,
    COUNTIFS($AF$3:$AF$201,$M354)&gt;0,
    COUNTIFS($AG$3:$AG$201,$M354)&gt;0,
    COUNTIFS($AH$3:$AH$201,$M354)&gt;0,
    COUNTIFS($AI$3:$AI$201,$M354)&gt;0,
    COUNTIFS($AJ$3:$AJ$201,$M354)&gt;0,
    COUNTIFS($AK$3:$AK$201,$M354)&gt;0,
    COUNTIFS($AL$3:$AL$201,$M354)&gt;0,
    COUNTIFS($AM$3:$AM$201,$M354)&gt;0,
    COUNTIFS($AN$3:$AN$201,$M354)&gt;0,
    COUNTIFS($AO$3:$AO$201,$M354)&gt;0,
    COUNTIFS($AP$3:$AP$201,$M354)&gt;0,
    COUNTIFS($AQ$3:$AQ$201,$M354)&gt;0,
    COUNTIFS($AR$3:$AR$201,$M354)&gt;0,
    COUNTIFS($AS$3:$AS$201,$M354)&gt;0,
    COUNTIFS($AT$3:$AT$201,$M354)&gt;0,
    COUNTIFS($AU$3:$AU$201,$M354)&gt;0,
    COUNTIFS($AV$3:$AV$201,$M354)&gt;0,
    COUNTIFS($AW$3:$AW$201,$M354)&gt;0
   ),
  0)
 ),
"")</f>
        <v/>
      </c>
      <c r="P354" s="3" t="str" cm="1">
        <f t="array" ref="P354">IFERROR(
 INDEX(
  _xlfn._xlws.FILTER($T$2:$AU$2,
   TRANSPOSE(
    CHOOSE({1;2;3;4;5;6;7;8;9;10;11;12;13;14;15;16;17;18;19;20;21;22;23;24;25;26;27;28},
     COUNTIFS($T$3:$T$201,$M354)&gt;0,
     COUNTIFS($U$3:$U$201,$M354)&gt;0,
     COUNTIFS($V$3:$V$201,$M354)&gt;0,
     COUNTIFS($W$3:$W$201,$M354)&gt;0,
     COUNTIFS($X$3:$X$201,$M354)&gt;0,
     COUNTIFS($Y$3:$Y$201,$M354)&gt;0,
     COUNTIFS($Z$3:$Z$201,$M354)&gt;0,
     COUNTIFS($AA$3:$AA$201,$M354)&gt;0,
     COUNTIFS($AB$3:$AB$201,$M354)&gt;0,
     COUNTIFS($AC$3:$AC$201,$M354)&gt;0,
     COUNTIFS($AD$3:$AD$201,$M354)&gt;0,
     COUNTIFS($AE$3:$AE$201,$M354)&gt;0,
     COUNTIFS($AF$3:$AF$201,$M354)&gt;0,
     COUNTIFS($AG$3:$AG$201,$M354)&gt;0,
     COUNTIFS($AH$3:$AH$201,$M354)&gt;0,
     COUNTIFS($AI$3:$AI$201,$M354)&gt;0,
     COUNTIFS($AJ$3:$AJ$201,$M354)&gt;0,
     COUNTIFS($AK$3:$AK$201,$M354)&gt;0,
     COUNTIFS($AL$3:$AL$201,$M354)&gt;0,
     COUNTIFS($AM$3:$AM$201,$M354)&gt;0,
     COUNTIFS($AN$3:$AN$201,$M354)&gt;0,
     COUNTIFS($AO$3:$AO$201,$M354)&gt;0,
     COUNTIFS($AP$3:$AP$201,$M354)&gt;0,
     COUNTIFS($AQ$3:$AQ$201,$M354)&gt;0,
     COUNTIFS($AR$3:$AR$201,$M354)&gt;0,
     COUNTIFS($AS$3:$AS$201,$M354)&gt;0,
     COUNTIFS($AT$3:$AT$201,$M354)&gt;0,
     COUNTIFS($AU$3:$AU$201,$M354)&gt;0
   )),
  ),
  2
 ),
"")</f>
        <v/>
      </c>
      <c r="Q354" s="3" t="str" cm="1">
        <f t="array" ref="Q354">IFERROR(
 INDEX($T$2:$AU$2,
  _xlfn.AGGREGATE(15,6,
   (COLUMN($T$2:$AU$2)-COLUMN($T$2)+1)/
   TRANSPOSE(
    CHOOSE({1;2;3;4;5;6;7;8;9;10;11;12;13;14;15;16;17;18;19;20;21;22;23;24;25;26;27;28},
     COUNTIFS($T$3:$T$201,$M354)&gt;0,
     COUNTIFS($U$3:$U$201,$M354)&gt;0,
     COUNTIFS($V$3:$V$201,$M354)&gt;0,
     COUNTIFS($W$3:$W$201,$M354)&gt;0,
     COUNTIFS($X$3:$X$201,$M354)&gt;0,
     COUNTIFS($Y$3:$Y$201,$M354)&gt;0,
     COUNTIFS($Z$3:$Z$201,$M354)&gt;0,
     COUNTIFS($AA$3:$AA$201,$M354)&gt;0,
     COUNTIFS($AB$3:$AB$201,$M354)&gt;0,
     COUNTIFS($AC$3:$AC$201,$M354)&gt;0,
     COUNTIFS($AD$3:$AD$201,$M354)&gt;0,
     COUNTIFS($AE$3:$AE$201,$M354)&gt;0,
     COUNTIFS($AF$3:$AF$201,$M354)&gt;0,
     COUNTIFS($AG$3:$AG$201,$M354)&gt;0,
     COUNTIFS($AH$3:$AH$201,$M354)&gt;0,
     COUNTIFS($AI$3:$AI$201,$M354)&gt;0,
     COUNTIFS($AJ$3:$AJ$201,$M354)&gt;0,
     COUNTIFS($AK$3:$AK$201,$M354)&gt;0,
     COUNTIFS($AL$3:$AL$201,$M354)&gt;0,
     COUNTIFS($AM$3:$AM$201,$M354)&gt;0,
     COUNTIFS($AN$3:$AN$201,$M354)&gt;0,
     COUNTIFS($AO$3:$AO$201,$M354)&gt;0,
     COUNTIFS($AP$3:$AP$201,$M354)&gt;0,
     COUNTIFS($AQ$3:$AQ$201,$M354)&gt;0,
     COUNTIFS($AR$3:$AR$201,$M354)&gt;0,
     COUNTIFS($AS$3:$AS$201,$M354)&gt;0,
     COUNTIFS($AT$3:$AT$201,$M354)&gt;0,
     COUNTIFS($AU$3:$AU$201,$M354)&gt;0
   )),
  3)
 ),
"")</f>
        <v/>
      </c>
      <c r="R354" s="3" t="str" cm="1">
        <f t="array" ref="R354">IFERROR(
 INDEX($T$2:$AU$2,
  _xlfn.AGGREGATE(15,6,
   (COLUMN($T$2:$AU$2)-COLUMN($T$2)+1)/
   TRANSPOSE(
    CHOOSE({1;2;3;4;5;6;7;8;9;10;11;12;13;14;15;16;17;18;19;20;21;22;23;24;25;26;27;28},
     COUNTIFS($T$3:$T$201,$M354)&gt;0,
     COUNTIFS($U$3:$U$201,$M354)&gt;0,
     COUNTIFS($V$3:$V$201,$M354)&gt;0,
     COUNTIFS($W$3:$W$201,$M354)&gt;0,
     COUNTIFS($X$3:$X$201,$M354)&gt;0,
     COUNTIFS($Y$3:$Y$201,$M354)&gt;0,
     COUNTIFS($Z$3:$Z$201,$M354)&gt;0,
     COUNTIFS($AA$3:$AA$201,$M354)&gt;0,
     COUNTIFS($AB$3:$AB$201,$M354)&gt;0,
     COUNTIFS($AC$3:$AC$201,$M354)&gt;0,
     COUNTIFS($AD$3:$AD$201,$M354)&gt;0,
     COUNTIFS($AE$3:$AE$201,$M354)&gt;0,
     COUNTIFS($AF$3:$AF$201,$M354)&gt;0,
     COUNTIFS($AG$3:$AG$201,$M354)&gt;0,
     COUNTIFS($AH$3:$AH$201,$M354)&gt;0,
     COUNTIFS($AI$3:$AI$201,$M354)&gt;0,
     COUNTIFS($AJ$3:$AJ$201,$M354)&gt;0,
     COUNTIFS($AK$3:$AK$201,$M354)&gt;0,
     COUNTIFS($AL$3:$AL$201,$M354)&gt;0,
     COUNTIFS($AM$3:$AM$201,$M354)&gt;0,
     COUNTIFS($AN$3:$AN$201,$M354)&gt;0,
     COUNTIFS($AO$3:$AO$201,$M354)&gt;0,
     COUNTIFS($AP$3:$AP$201,$M354)&gt;0,
     COUNTIFS($AQ$3:$AQ$201,$M354)&gt;0,
     COUNTIFS($AR$3:$AR$201,$M354)&gt;0,
     COUNTIFS($AS$3:$AS$201,$M354)&gt;0,
     COUNTIFS($AT$3:$AT$201,$M354)&gt;0,
     COUNTIFS($AU$3:$AU$201,$M354)&gt;0
   )),
  4)
 ),
"")</f>
        <v/>
      </c>
    </row>
    <row r="355" spans="2:18" x14ac:dyDescent="0.25">
      <c r="B355" s="3" t="str" cm="1">
        <f t="array" ref="B355">_xlfn.ANCHORARRAY(RESUMO!C354)</f>
        <v/>
      </c>
      <c r="C355" s="3" t="str">
        <f t="shared" ca="1" si="20"/>
        <v/>
      </c>
      <c r="N355" s="3">
        <f t="shared" si="21"/>
        <v>0</v>
      </c>
      <c r="O355" s="3" t="str">
        <f>IFERROR(
 INDEX($T$2:$AW$2,
  MATCH(TRUE,
   CHOOSE({1;2;3;4;5;6;7;8;9;10;11;12;13;14;15;16;17;18;19;20;21;22;23;24;25;26;27;28;29;30;31;32},
    COUNTIFS($T$3:$T$201,$M355)&gt;0,
    COUNTIFS($U$3:$U$201,$M355)&gt;0,
    COUNTIFS($V$3:$V$201,$M355)&gt;0,
    COUNTIFS($W$3:$W$201,$M355)&gt;0,
    COUNTIFS($X$3:$X$201,$M355)&gt;0,
    COUNTIFS($Y$3:$Y$201,$M355)&gt;0,
    COUNTIFS($Z$3:$Z$201,$M355)&gt;0,
    COUNTIFS($AA$3:$AA$201,$M355)&gt;0,
    COUNTIFS($AB$3:$AB$201,$M355)&gt;0,
    COUNTIFS($AC$3:$AC$201,$M355)&gt;0,
    COUNTIFS($AD$3:$AD$201,$M355)&gt;0,
    COUNTIFS($AE$3:$AE$201,$M355)&gt;0,
    COUNTIFS($AF$3:$AF$201,$M355)&gt;0,
    COUNTIFS($AG$3:$AG$201,$M355)&gt;0,
    COUNTIFS($AH$3:$AH$201,$M355)&gt;0,
    COUNTIFS($AI$3:$AI$201,$M355)&gt;0,
    COUNTIFS($AJ$3:$AJ$201,$M355)&gt;0,
    COUNTIFS($AK$3:$AK$201,$M355)&gt;0,
    COUNTIFS($AL$3:$AL$201,$M355)&gt;0,
    COUNTIFS($AM$3:$AM$201,$M355)&gt;0,
    COUNTIFS($AN$3:$AN$201,$M355)&gt;0,
    COUNTIFS($AO$3:$AO$201,$M355)&gt;0,
    COUNTIFS($AP$3:$AP$201,$M355)&gt;0,
    COUNTIFS($AQ$3:$AQ$201,$M355)&gt;0,
    COUNTIFS($AR$3:$AR$201,$M355)&gt;0,
    COUNTIFS($AS$3:$AS$201,$M355)&gt;0,
    COUNTIFS($AT$3:$AT$201,$M355)&gt;0,
    COUNTIFS($AU$3:$AU$201,$M355)&gt;0,
    COUNTIFS($AV$3:$AV$201,$M355)&gt;0,
    COUNTIFS($AW$3:$AW$201,$M355)&gt;0
   ),
  0)
 ),
"")</f>
        <v/>
      </c>
      <c r="P355" s="3" t="str" cm="1">
        <f t="array" ref="P355">IFERROR(
 INDEX(
  _xlfn._xlws.FILTER($T$2:$AU$2,
   TRANSPOSE(
    CHOOSE({1;2;3;4;5;6;7;8;9;10;11;12;13;14;15;16;17;18;19;20;21;22;23;24;25;26;27;28},
     COUNTIFS($T$3:$T$201,$M355)&gt;0,
     COUNTIFS($U$3:$U$201,$M355)&gt;0,
     COUNTIFS($V$3:$V$201,$M355)&gt;0,
     COUNTIFS($W$3:$W$201,$M355)&gt;0,
     COUNTIFS($X$3:$X$201,$M355)&gt;0,
     COUNTIFS($Y$3:$Y$201,$M355)&gt;0,
     COUNTIFS($Z$3:$Z$201,$M355)&gt;0,
     COUNTIFS($AA$3:$AA$201,$M355)&gt;0,
     COUNTIFS($AB$3:$AB$201,$M355)&gt;0,
     COUNTIFS($AC$3:$AC$201,$M355)&gt;0,
     COUNTIFS($AD$3:$AD$201,$M355)&gt;0,
     COUNTIFS($AE$3:$AE$201,$M355)&gt;0,
     COUNTIFS($AF$3:$AF$201,$M355)&gt;0,
     COUNTIFS($AG$3:$AG$201,$M355)&gt;0,
     COUNTIFS($AH$3:$AH$201,$M355)&gt;0,
     COUNTIFS($AI$3:$AI$201,$M355)&gt;0,
     COUNTIFS($AJ$3:$AJ$201,$M355)&gt;0,
     COUNTIFS($AK$3:$AK$201,$M355)&gt;0,
     COUNTIFS($AL$3:$AL$201,$M355)&gt;0,
     COUNTIFS($AM$3:$AM$201,$M355)&gt;0,
     COUNTIFS($AN$3:$AN$201,$M355)&gt;0,
     COUNTIFS($AO$3:$AO$201,$M355)&gt;0,
     COUNTIFS($AP$3:$AP$201,$M355)&gt;0,
     COUNTIFS($AQ$3:$AQ$201,$M355)&gt;0,
     COUNTIFS($AR$3:$AR$201,$M355)&gt;0,
     COUNTIFS($AS$3:$AS$201,$M355)&gt;0,
     COUNTIFS($AT$3:$AT$201,$M355)&gt;0,
     COUNTIFS($AU$3:$AU$201,$M355)&gt;0
   )),
  ),
  2
 ),
"")</f>
        <v/>
      </c>
      <c r="Q355" s="3" t="str" cm="1">
        <f t="array" ref="Q355">IFERROR(
 INDEX($T$2:$AU$2,
  _xlfn.AGGREGATE(15,6,
   (COLUMN($T$2:$AU$2)-COLUMN($T$2)+1)/
   TRANSPOSE(
    CHOOSE({1;2;3;4;5;6;7;8;9;10;11;12;13;14;15;16;17;18;19;20;21;22;23;24;25;26;27;28},
     COUNTIFS($T$3:$T$201,$M355)&gt;0,
     COUNTIFS($U$3:$U$201,$M355)&gt;0,
     COUNTIFS($V$3:$V$201,$M355)&gt;0,
     COUNTIFS($W$3:$W$201,$M355)&gt;0,
     COUNTIFS($X$3:$X$201,$M355)&gt;0,
     COUNTIFS($Y$3:$Y$201,$M355)&gt;0,
     COUNTIFS($Z$3:$Z$201,$M355)&gt;0,
     COUNTIFS($AA$3:$AA$201,$M355)&gt;0,
     COUNTIFS($AB$3:$AB$201,$M355)&gt;0,
     COUNTIFS($AC$3:$AC$201,$M355)&gt;0,
     COUNTIFS($AD$3:$AD$201,$M355)&gt;0,
     COUNTIFS($AE$3:$AE$201,$M355)&gt;0,
     COUNTIFS($AF$3:$AF$201,$M355)&gt;0,
     COUNTIFS($AG$3:$AG$201,$M355)&gt;0,
     COUNTIFS($AH$3:$AH$201,$M355)&gt;0,
     COUNTIFS($AI$3:$AI$201,$M355)&gt;0,
     COUNTIFS($AJ$3:$AJ$201,$M355)&gt;0,
     COUNTIFS($AK$3:$AK$201,$M355)&gt;0,
     COUNTIFS($AL$3:$AL$201,$M355)&gt;0,
     COUNTIFS($AM$3:$AM$201,$M355)&gt;0,
     COUNTIFS($AN$3:$AN$201,$M355)&gt;0,
     COUNTIFS($AO$3:$AO$201,$M355)&gt;0,
     COUNTIFS($AP$3:$AP$201,$M355)&gt;0,
     COUNTIFS($AQ$3:$AQ$201,$M355)&gt;0,
     COUNTIFS($AR$3:$AR$201,$M355)&gt;0,
     COUNTIFS($AS$3:$AS$201,$M355)&gt;0,
     COUNTIFS($AT$3:$AT$201,$M355)&gt;0,
     COUNTIFS($AU$3:$AU$201,$M355)&gt;0
   )),
  3)
 ),
"")</f>
        <v/>
      </c>
      <c r="R355" s="3" t="str" cm="1">
        <f t="array" ref="R355">IFERROR(
 INDEX($T$2:$AU$2,
  _xlfn.AGGREGATE(15,6,
   (COLUMN($T$2:$AU$2)-COLUMN($T$2)+1)/
   TRANSPOSE(
    CHOOSE({1;2;3;4;5;6;7;8;9;10;11;12;13;14;15;16;17;18;19;20;21;22;23;24;25;26;27;28},
     COUNTIFS($T$3:$T$201,$M355)&gt;0,
     COUNTIFS($U$3:$U$201,$M355)&gt;0,
     COUNTIFS($V$3:$V$201,$M355)&gt;0,
     COUNTIFS($W$3:$W$201,$M355)&gt;0,
     COUNTIFS($X$3:$X$201,$M355)&gt;0,
     COUNTIFS($Y$3:$Y$201,$M355)&gt;0,
     COUNTIFS($Z$3:$Z$201,$M355)&gt;0,
     COUNTIFS($AA$3:$AA$201,$M355)&gt;0,
     COUNTIFS($AB$3:$AB$201,$M355)&gt;0,
     COUNTIFS($AC$3:$AC$201,$M355)&gt;0,
     COUNTIFS($AD$3:$AD$201,$M355)&gt;0,
     COUNTIFS($AE$3:$AE$201,$M355)&gt;0,
     COUNTIFS($AF$3:$AF$201,$M355)&gt;0,
     COUNTIFS($AG$3:$AG$201,$M355)&gt;0,
     COUNTIFS($AH$3:$AH$201,$M355)&gt;0,
     COUNTIFS($AI$3:$AI$201,$M355)&gt;0,
     COUNTIFS($AJ$3:$AJ$201,$M355)&gt;0,
     COUNTIFS($AK$3:$AK$201,$M355)&gt;0,
     COUNTIFS($AL$3:$AL$201,$M355)&gt;0,
     COUNTIFS($AM$3:$AM$201,$M355)&gt;0,
     COUNTIFS($AN$3:$AN$201,$M355)&gt;0,
     COUNTIFS($AO$3:$AO$201,$M355)&gt;0,
     COUNTIFS($AP$3:$AP$201,$M355)&gt;0,
     COUNTIFS($AQ$3:$AQ$201,$M355)&gt;0,
     COUNTIFS($AR$3:$AR$201,$M355)&gt;0,
     COUNTIFS($AS$3:$AS$201,$M355)&gt;0,
     COUNTIFS($AT$3:$AT$201,$M355)&gt;0,
     COUNTIFS($AU$3:$AU$201,$M355)&gt;0
   )),
  4)
 ),
"")</f>
        <v/>
      </c>
    </row>
    <row r="356" spans="2:18" x14ac:dyDescent="0.25">
      <c r="B356" s="3" t="str" cm="1">
        <f t="array" ref="B356">_xlfn.ANCHORARRAY(RESUMO!C355)</f>
        <v/>
      </c>
      <c r="C356" s="3" t="str">
        <f t="shared" ca="1" si="20"/>
        <v/>
      </c>
      <c r="N356" s="3">
        <f t="shared" si="21"/>
        <v>0</v>
      </c>
      <c r="O356" s="3" t="str">
        <f>IFERROR(
 INDEX($T$2:$AW$2,
  MATCH(TRUE,
   CHOOSE({1;2;3;4;5;6;7;8;9;10;11;12;13;14;15;16;17;18;19;20;21;22;23;24;25;26;27;28;29;30;31;32},
    COUNTIFS($T$3:$T$201,$M356)&gt;0,
    COUNTIFS($U$3:$U$201,$M356)&gt;0,
    COUNTIFS($V$3:$V$201,$M356)&gt;0,
    COUNTIFS($W$3:$W$201,$M356)&gt;0,
    COUNTIFS($X$3:$X$201,$M356)&gt;0,
    COUNTIFS($Y$3:$Y$201,$M356)&gt;0,
    COUNTIFS($Z$3:$Z$201,$M356)&gt;0,
    COUNTIFS($AA$3:$AA$201,$M356)&gt;0,
    COUNTIFS($AB$3:$AB$201,$M356)&gt;0,
    COUNTIFS($AC$3:$AC$201,$M356)&gt;0,
    COUNTIFS($AD$3:$AD$201,$M356)&gt;0,
    COUNTIFS($AE$3:$AE$201,$M356)&gt;0,
    COUNTIFS($AF$3:$AF$201,$M356)&gt;0,
    COUNTIFS($AG$3:$AG$201,$M356)&gt;0,
    COUNTIFS($AH$3:$AH$201,$M356)&gt;0,
    COUNTIFS($AI$3:$AI$201,$M356)&gt;0,
    COUNTIFS($AJ$3:$AJ$201,$M356)&gt;0,
    COUNTIFS($AK$3:$AK$201,$M356)&gt;0,
    COUNTIFS($AL$3:$AL$201,$M356)&gt;0,
    COUNTIFS($AM$3:$AM$201,$M356)&gt;0,
    COUNTIFS($AN$3:$AN$201,$M356)&gt;0,
    COUNTIFS($AO$3:$AO$201,$M356)&gt;0,
    COUNTIFS($AP$3:$AP$201,$M356)&gt;0,
    COUNTIFS($AQ$3:$AQ$201,$M356)&gt;0,
    COUNTIFS($AR$3:$AR$201,$M356)&gt;0,
    COUNTIFS($AS$3:$AS$201,$M356)&gt;0,
    COUNTIFS($AT$3:$AT$201,$M356)&gt;0,
    COUNTIFS($AU$3:$AU$201,$M356)&gt;0,
    COUNTIFS($AV$3:$AV$201,$M356)&gt;0,
    COUNTIFS($AW$3:$AW$201,$M356)&gt;0
   ),
  0)
 ),
"")</f>
        <v/>
      </c>
      <c r="P356" s="3" t="str" cm="1">
        <f t="array" ref="P356">IFERROR(
 INDEX(
  _xlfn._xlws.FILTER($T$2:$AU$2,
   TRANSPOSE(
    CHOOSE({1;2;3;4;5;6;7;8;9;10;11;12;13;14;15;16;17;18;19;20;21;22;23;24;25;26;27;28},
     COUNTIFS($T$3:$T$201,$M356)&gt;0,
     COUNTIFS($U$3:$U$201,$M356)&gt;0,
     COUNTIFS($V$3:$V$201,$M356)&gt;0,
     COUNTIFS($W$3:$W$201,$M356)&gt;0,
     COUNTIFS($X$3:$X$201,$M356)&gt;0,
     COUNTIFS($Y$3:$Y$201,$M356)&gt;0,
     COUNTIFS($Z$3:$Z$201,$M356)&gt;0,
     COUNTIFS($AA$3:$AA$201,$M356)&gt;0,
     COUNTIFS($AB$3:$AB$201,$M356)&gt;0,
     COUNTIFS($AC$3:$AC$201,$M356)&gt;0,
     COUNTIFS($AD$3:$AD$201,$M356)&gt;0,
     COUNTIFS($AE$3:$AE$201,$M356)&gt;0,
     COUNTIFS($AF$3:$AF$201,$M356)&gt;0,
     COUNTIFS($AG$3:$AG$201,$M356)&gt;0,
     COUNTIFS($AH$3:$AH$201,$M356)&gt;0,
     COUNTIFS($AI$3:$AI$201,$M356)&gt;0,
     COUNTIFS($AJ$3:$AJ$201,$M356)&gt;0,
     COUNTIFS($AK$3:$AK$201,$M356)&gt;0,
     COUNTIFS($AL$3:$AL$201,$M356)&gt;0,
     COUNTIFS($AM$3:$AM$201,$M356)&gt;0,
     COUNTIFS($AN$3:$AN$201,$M356)&gt;0,
     COUNTIFS($AO$3:$AO$201,$M356)&gt;0,
     COUNTIFS($AP$3:$AP$201,$M356)&gt;0,
     COUNTIFS($AQ$3:$AQ$201,$M356)&gt;0,
     COUNTIFS($AR$3:$AR$201,$M356)&gt;0,
     COUNTIFS($AS$3:$AS$201,$M356)&gt;0,
     COUNTIFS($AT$3:$AT$201,$M356)&gt;0,
     COUNTIFS($AU$3:$AU$201,$M356)&gt;0
   )),
  ),
  2
 ),
"")</f>
        <v/>
      </c>
      <c r="Q356" s="3" t="str" cm="1">
        <f t="array" ref="Q356">IFERROR(
 INDEX($T$2:$AU$2,
  _xlfn.AGGREGATE(15,6,
   (COLUMN($T$2:$AU$2)-COLUMN($T$2)+1)/
   TRANSPOSE(
    CHOOSE({1;2;3;4;5;6;7;8;9;10;11;12;13;14;15;16;17;18;19;20;21;22;23;24;25;26;27;28},
     COUNTIFS($T$3:$T$201,$M356)&gt;0,
     COUNTIFS($U$3:$U$201,$M356)&gt;0,
     COUNTIFS($V$3:$V$201,$M356)&gt;0,
     COUNTIFS($W$3:$W$201,$M356)&gt;0,
     COUNTIFS($X$3:$X$201,$M356)&gt;0,
     COUNTIFS($Y$3:$Y$201,$M356)&gt;0,
     COUNTIFS($Z$3:$Z$201,$M356)&gt;0,
     COUNTIFS($AA$3:$AA$201,$M356)&gt;0,
     COUNTIFS($AB$3:$AB$201,$M356)&gt;0,
     COUNTIFS($AC$3:$AC$201,$M356)&gt;0,
     COUNTIFS($AD$3:$AD$201,$M356)&gt;0,
     COUNTIFS($AE$3:$AE$201,$M356)&gt;0,
     COUNTIFS($AF$3:$AF$201,$M356)&gt;0,
     COUNTIFS($AG$3:$AG$201,$M356)&gt;0,
     COUNTIFS($AH$3:$AH$201,$M356)&gt;0,
     COUNTIFS($AI$3:$AI$201,$M356)&gt;0,
     COUNTIFS($AJ$3:$AJ$201,$M356)&gt;0,
     COUNTIFS($AK$3:$AK$201,$M356)&gt;0,
     COUNTIFS($AL$3:$AL$201,$M356)&gt;0,
     COUNTIFS($AM$3:$AM$201,$M356)&gt;0,
     COUNTIFS($AN$3:$AN$201,$M356)&gt;0,
     COUNTIFS($AO$3:$AO$201,$M356)&gt;0,
     COUNTIFS($AP$3:$AP$201,$M356)&gt;0,
     COUNTIFS($AQ$3:$AQ$201,$M356)&gt;0,
     COUNTIFS($AR$3:$AR$201,$M356)&gt;0,
     COUNTIFS($AS$3:$AS$201,$M356)&gt;0,
     COUNTIFS($AT$3:$AT$201,$M356)&gt;0,
     COUNTIFS($AU$3:$AU$201,$M356)&gt;0
   )),
  3)
 ),
"")</f>
        <v/>
      </c>
      <c r="R356" s="3" t="str" cm="1">
        <f t="array" ref="R356">IFERROR(
 INDEX($T$2:$AU$2,
  _xlfn.AGGREGATE(15,6,
   (COLUMN($T$2:$AU$2)-COLUMN($T$2)+1)/
   TRANSPOSE(
    CHOOSE({1;2;3;4;5;6;7;8;9;10;11;12;13;14;15;16;17;18;19;20;21;22;23;24;25;26;27;28},
     COUNTIFS($T$3:$T$201,$M356)&gt;0,
     COUNTIFS($U$3:$U$201,$M356)&gt;0,
     COUNTIFS($V$3:$V$201,$M356)&gt;0,
     COUNTIFS($W$3:$W$201,$M356)&gt;0,
     COUNTIFS($X$3:$X$201,$M356)&gt;0,
     COUNTIFS($Y$3:$Y$201,$M356)&gt;0,
     COUNTIFS($Z$3:$Z$201,$M356)&gt;0,
     COUNTIFS($AA$3:$AA$201,$M356)&gt;0,
     COUNTIFS($AB$3:$AB$201,$M356)&gt;0,
     COUNTIFS($AC$3:$AC$201,$M356)&gt;0,
     COUNTIFS($AD$3:$AD$201,$M356)&gt;0,
     COUNTIFS($AE$3:$AE$201,$M356)&gt;0,
     COUNTIFS($AF$3:$AF$201,$M356)&gt;0,
     COUNTIFS($AG$3:$AG$201,$M356)&gt;0,
     COUNTIFS($AH$3:$AH$201,$M356)&gt;0,
     COUNTIFS($AI$3:$AI$201,$M356)&gt;0,
     COUNTIFS($AJ$3:$AJ$201,$M356)&gt;0,
     COUNTIFS($AK$3:$AK$201,$M356)&gt;0,
     COUNTIFS($AL$3:$AL$201,$M356)&gt;0,
     COUNTIFS($AM$3:$AM$201,$M356)&gt;0,
     COUNTIFS($AN$3:$AN$201,$M356)&gt;0,
     COUNTIFS($AO$3:$AO$201,$M356)&gt;0,
     COUNTIFS($AP$3:$AP$201,$M356)&gt;0,
     COUNTIFS($AQ$3:$AQ$201,$M356)&gt;0,
     COUNTIFS($AR$3:$AR$201,$M356)&gt;0,
     COUNTIFS($AS$3:$AS$201,$M356)&gt;0,
     COUNTIFS($AT$3:$AT$201,$M356)&gt;0,
     COUNTIFS($AU$3:$AU$201,$M356)&gt;0
   )),
  4)
 ),
"")</f>
        <v/>
      </c>
    </row>
    <row r="357" spans="2:18" x14ac:dyDescent="0.25">
      <c r="B357" s="3" t="str" cm="1">
        <f t="array" ref="B357">_xlfn.ANCHORARRAY(RESUMO!C356)</f>
        <v/>
      </c>
      <c r="C357" s="3" t="str">
        <f t="shared" ca="1" si="20"/>
        <v/>
      </c>
      <c r="N357" s="3">
        <f t="shared" si="21"/>
        <v>0</v>
      </c>
      <c r="O357" s="3" t="str">
        <f>IFERROR(
 INDEX($T$2:$AW$2,
  MATCH(TRUE,
   CHOOSE({1;2;3;4;5;6;7;8;9;10;11;12;13;14;15;16;17;18;19;20;21;22;23;24;25;26;27;28;29;30;31;32},
    COUNTIFS($T$3:$T$201,$M357)&gt;0,
    COUNTIFS($U$3:$U$201,$M357)&gt;0,
    COUNTIFS($V$3:$V$201,$M357)&gt;0,
    COUNTIFS($W$3:$W$201,$M357)&gt;0,
    COUNTIFS($X$3:$X$201,$M357)&gt;0,
    COUNTIFS($Y$3:$Y$201,$M357)&gt;0,
    COUNTIFS($Z$3:$Z$201,$M357)&gt;0,
    COUNTIFS($AA$3:$AA$201,$M357)&gt;0,
    COUNTIFS($AB$3:$AB$201,$M357)&gt;0,
    COUNTIFS($AC$3:$AC$201,$M357)&gt;0,
    COUNTIFS($AD$3:$AD$201,$M357)&gt;0,
    COUNTIFS($AE$3:$AE$201,$M357)&gt;0,
    COUNTIFS($AF$3:$AF$201,$M357)&gt;0,
    COUNTIFS($AG$3:$AG$201,$M357)&gt;0,
    COUNTIFS($AH$3:$AH$201,$M357)&gt;0,
    COUNTIFS($AI$3:$AI$201,$M357)&gt;0,
    COUNTIFS($AJ$3:$AJ$201,$M357)&gt;0,
    COUNTIFS($AK$3:$AK$201,$M357)&gt;0,
    COUNTIFS($AL$3:$AL$201,$M357)&gt;0,
    COUNTIFS($AM$3:$AM$201,$M357)&gt;0,
    COUNTIFS($AN$3:$AN$201,$M357)&gt;0,
    COUNTIFS($AO$3:$AO$201,$M357)&gt;0,
    COUNTIFS($AP$3:$AP$201,$M357)&gt;0,
    COUNTIFS($AQ$3:$AQ$201,$M357)&gt;0,
    COUNTIFS($AR$3:$AR$201,$M357)&gt;0,
    COUNTIFS($AS$3:$AS$201,$M357)&gt;0,
    COUNTIFS($AT$3:$AT$201,$M357)&gt;0,
    COUNTIFS($AU$3:$AU$201,$M357)&gt;0,
    COUNTIFS($AV$3:$AV$201,$M357)&gt;0,
    COUNTIFS($AW$3:$AW$201,$M357)&gt;0
   ),
  0)
 ),
"")</f>
        <v/>
      </c>
      <c r="P357" s="3" t="str" cm="1">
        <f t="array" ref="P357">IFERROR(
 INDEX(
  _xlfn._xlws.FILTER($T$2:$AU$2,
   TRANSPOSE(
    CHOOSE({1;2;3;4;5;6;7;8;9;10;11;12;13;14;15;16;17;18;19;20;21;22;23;24;25;26;27;28},
     COUNTIFS($T$3:$T$201,$M357)&gt;0,
     COUNTIFS($U$3:$U$201,$M357)&gt;0,
     COUNTIFS($V$3:$V$201,$M357)&gt;0,
     COUNTIFS($W$3:$W$201,$M357)&gt;0,
     COUNTIFS($X$3:$X$201,$M357)&gt;0,
     COUNTIFS($Y$3:$Y$201,$M357)&gt;0,
     COUNTIFS($Z$3:$Z$201,$M357)&gt;0,
     COUNTIFS($AA$3:$AA$201,$M357)&gt;0,
     COUNTIFS($AB$3:$AB$201,$M357)&gt;0,
     COUNTIFS($AC$3:$AC$201,$M357)&gt;0,
     COUNTIFS($AD$3:$AD$201,$M357)&gt;0,
     COUNTIFS($AE$3:$AE$201,$M357)&gt;0,
     COUNTIFS($AF$3:$AF$201,$M357)&gt;0,
     COUNTIFS($AG$3:$AG$201,$M357)&gt;0,
     COUNTIFS($AH$3:$AH$201,$M357)&gt;0,
     COUNTIFS($AI$3:$AI$201,$M357)&gt;0,
     COUNTIFS($AJ$3:$AJ$201,$M357)&gt;0,
     COUNTIFS($AK$3:$AK$201,$M357)&gt;0,
     COUNTIFS($AL$3:$AL$201,$M357)&gt;0,
     COUNTIFS($AM$3:$AM$201,$M357)&gt;0,
     COUNTIFS($AN$3:$AN$201,$M357)&gt;0,
     COUNTIFS($AO$3:$AO$201,$M357)&gt;0,
     COUNTIFS($AP$3:$AP$201,$M357)&gt;0,
     COUNTIFS($AQ$3:$AQ$201,$M357)&gt;0,
     COUNTIFS($AR$3:$AR$201,$M357)&gt;0,
     COUNTIFS($AS$3:$AS$201,$M357)&gt;0,
     COUNTIFS($AT$3:$AT$201,$M357)&gt;0,
     COUNTIFS($AU$3:$AU$201,$M357)&gt;0
   )),
  ),
  2
 ),
"")</f>
        <v/>
      </c>
      <c r="Q357" s="3" t="str" cm="1">
        <f t="array" ref="Q357">IFERROR(
 INDEX($T$2:$AU$2,
  _xlfn.AGGREGATE(15,6,
   (COLUMN($T$2:$AU$2)-COLUMN($T$2)+1)/
   TRANSPOSE(
    CHOOSE({1;2;3;4;5;6;7;8;9;10;11;12;13;14;15;16;17;18;19;20;21;22;23;24;25;26;27;28},
     COUNTIFS($T$3:$T$201,$M357)&gt;0,
     COUNTIFS($U$3:$U$201,$M357)&gt;0,
     COUNTIFS($V$3:$V$201,$M357)&gt;0,
     COUNTIFS($W$3:$W$201,$M357)&gt;0,
     COUNTIFS($X$3:$X$201,$M357)&gt;0,
     COUNTIFS($Y$3:$Y$201,$M357)&gt;0,
     COUNTIFS($Z$3:$Z$201,$M357)&gt;0,
     COUNTIFS($AA$3:$AA$201,$M357)&gt;0,
     COUNTIFS($AB$3:$AB$201,$M357)&gt;0,
     COUNTIFS($AC$3:$AC$201,$M357)&gt;0,
     COUNTIFS($AD$3:$AD$201,$M357)&gt;0,
     COUNTIFS($AE$3:$AE$201,$M357)&gt;0,
     COUNTIFS($AF$3:$AF$201,$M357)&gt;0,
     COUNTIFS($AG$3:$AG$201,$M357)&gt;0,
     COUNTIFS($AH$3:$AH$201,$M357)&gt;0,
     COUNTIFS($AI$3:$AI$201,$M357)&gt;0,
     COUNTIFS($AJ$3:$AJ$201,$M357)&gt;0,
     COUNTIFS($AK$3:$AK$201,$M357)&gt;0,
     COUNTIFS($AL$3:$AL$201,$M357)&gt;0,
     COUNTIFS($AM$3:$AM$201,$M357)&gt;0,
     COUNTIFS($AN$3:$AN$201,$M357)&gt;0,
     COUNTIFS($AO$3:$AO$201,$M357)&gt;0,
     COUNTIFS($AP$3:$AP$201,$M357)&gt;0,
     COUNTIFS($AQ$3:$AQ$201,$M357)&gt;0,
     COUNTIFS($AR$3:$AR$201,$M357)&gt;0,
     COUNTIFS($AS$3:$AS$201,$M357)&gt;0,
     COUNTIFS($AT$3:$AT$201,$M357)&gt;0,
     COUNTIFS($AU$3:$AU$201,$M357)&gt;0
   )),
  3)
 ),
"")</f>
        <v/>
      </c>
      <c r="R357" s="3" t="str" cm="1">
        <f t="array" ref="R357">IFERROR(
 INDEX($T$2:$AU$2,
  _xlfn.AGGREGATE(15,6,
   (COLUMN($T$2:$AU$2)-COLUMN($T$2)+1)/
   TRANSPOSE(
    CHOOSE({1;2;3;4;5;6;7;8;9;10;11;12;13;14;15;16;17;18;19;20;21;22;23;24;25;26;27;28},
     COUNTIFS($T$3:$T$201,$M357)&gt;0,
     COUNTIFS($U$3:$U$201,$M357)&gt;0,
     COUNTIFS($V$3:$V$201,$M357)&gt;0,
     COUNTIFS($W$3:$W$201,$M357)&gt;0,
     COUNTIFS($X$3:$X$201,$M357)&gt;0,
     COUNTIFS($Y$3:$Y$201,$M357)&gt;0,
     COUNTIFS($Z$3:$Z$201,$M357)&gt;0,
     COUNTIFS($AA$3:$AA$201,$M357)&gt;0,
     COUNTIFS($AB$3:$AB$201,$M357)&gt;0,
     COUNTIFS($AC$3:$AC$201,$M357)&gt;0,
     COUNTIFS($AD$3:$AD$201,$M357)&gt;0,
     COUNTIFS($AE$3:$AE$201,$M357)&gt;0,
     COUNTIFS($AF$3:$AF$201,$M357)&gt;0,
     COUNTIFS($AG$3:$AG$201,$M357)&gt;0,
     COUNTIFS($AH$3:$AH$201,$M357)&gt;0,
     COUNTIFS($AI$3:$AI$201,$M357)&gt;0,
     COUNTIFS($AJ$3:$AJ$201,$M357)&gt;0,
     COUNTIFS($AK$3:$AK$201,$M357)&gt;0,
     COUNTIFS($AL$3:$AL$201,$M357)&gt;0,
     COUNTIFS($AM$3:$AM$201,$M357)&gt;0,
     COUNTIFS($AN$3:$AN$201,$M357)&gt;0,
     COUNTIFS($AO$3:$AO$201,$M357)&gt;0,
     COUNTIFS($AP$3:$AP$201,$M357)&gt;0,
     COUNTIFS($AQ$3:$AQ$201,$M357)&gt;0,
     COUNTIFS($AR$3:$AR$201,$M357)&gt;0,
     COUNTIFS($AS$3:$AS$201,$M357)&gt;0,
     COUNTIFS($AT$3:$AT$201,$M357)&gt;0,
     COUNTIFS($AU$3:$AU$201,$M357)&gt;0
   )),
  4)
 ),
"")</f>
        <v/>
      </c>
    </row>
    <row r="358" spans="2:18" x14ac:dyDescent="0.25">
      <c r="B358" s="3" t="str" cm="1">
        <f t="array" ref="B358">_xlfn.ANCHORARRAY(RESUMO!C357)</f>
        <v/>
      </c>
      <c r="C358" s="3" t="str">
        <f t="shared" ca="1" si="20"/>
        <v/>
      </c>
      <c r="N358" s="3">
        <f t="shared" si="21"/>
        <v>0</v>
      </c>
      <c r="O358" s="3" t="str">
        <f>IFERROR(
 INDEX($T$2:$AW$2,
  MATCH(TRUE,
   CHOOSE({1;2;3;4;5;6;7;8;9;10;11;12;13;14;15;16;17;18;19;20;21;22;23;24;25;26;27;28;29;30;31;32},
    COUNTIFS($T$3:$T$201,$M358)&gt;0,
    COUNTIFS($U$3:$U$201,$M358)&gt;0,
    COUNTIFS($V$3:$V$201,$M358)&gt;0,
    COUNTIFS($W$3:$W$201,$M358)&gt;0,
    COUNTIFS($X$3:$X$201,$M358)&gt;0,
    COUNTIFS($Y$3:$Y$201,$M358)&gt;0,
    COUNTIFS($Z$3:$Z$201,$M358)&gt;0,
    COUNTIFS($AA$3:$AA$201,$M358)&gt;0,
    COUNTIFS($AB$3:$AB$201,$M358)&gt;0,
    COUNTIFS($AC$3:$AC$201,$M358)&gt;0,
    COUNTIFS($AD$3:$AD$201,$M358)&gt;0,
    COUNTIFS($AE$3:$AE$201,$M358)&gt;0,
    COUNTIFS($AF$3:$AF$201,$M358)&gt;0,
    COUNTIFS($AG$3:$AG$201,$M358)&gt;0,
    COUNTIFS($AH$3:$AH$201,$M358)&gt;0,
    COUNTIFS($AI$3:$AI$201,$M358)&gt;0,
    COUNTIFS($AJ$3:$AJ$201,$M358)&gt;0,
    COUNTIFS($AK$3:$AK$201,$M358)&gt;0,
    COUNTIFS($AL$3:$AL$201,$M358)&gt;0,
    COUNTIFS($AM$3:$AM$201,$M358)&gt;0,
    COUNTIFS($AN$3:$AN$201,$M358)&gt;0,
    COUNTIFS($AO$3:$AO$201,$M358)&gt;0,
    COUNTIFS($AP$3:$AP$201,$M358)&gt;0,
    COUNTIFS($AQ$3:$AQ$201,$M358)&gt;0,
    COUNTIFS($AR$3:$AR$201,$M358)&gt;0,
    COUNTIFS($AS$3:$AS$201,$M358)&gt;0,
    COUNTIFS($AT$3:$AT$201,$M358)&gt;0,
    COUNTIFS($AU$3:$AU$201,$M358)&gt;0,
    COUNTIFS($AV$3:$AV$201,$M358)&gt;0,
    COUNTIFS($AW$3:$AW$201,$M358)&gt;0
   ),
  0)
 ),
"")</f>
        <v/>
      </c>
      <c r="P358" s="3" t="str" cm="1">
        <f t="array" ref="P358">IFERROR(
 INDEX(
  _xlfn._xlws.FILTER($T$2:$AU$2,
   TRANSPOSE(
    CHOOSE({1;2;3;4;5;6;7;8;9;10;11;12;13;14;15;16;17;18;19;20;21;22;23;24;25;26;27;28},
     COUNTIFS($T$3:$T$201,$M358)&gt;0,
     COUNTIFS($U$3:$U$201,$M358)&gt;0,
     COUNTIFS($V$3:$V$201,$M358)&gt;0,
     COUNTIFS($W$3:$W$201,$M358)&gt;0,
     COUNTIFS($X$3:$X$201,$M358)&gt;0,
     COUNTIFS($Y$3:$Y$201,$M358)&gt;0,
     COUNTIFS($Z$3:$Z$201,$M358)&gt;0,
     COUNTIFS($AA$3:$AA$201,$M358)&gt;0,
     COUNTIFS($AB$3:$AB$201,$M358)&gt;0,
     COUNTIFS($AC$3:$AC$201,$M358)&gt;0,
     COUNTIFS($AD$3:$AD$201,$M358)&gt;0,
     COUNTIFS($AE$3:$AE$201,$M358)&gt;0,
     COUNTIFS($AF$3:$AF$201,$M358)&gt;0,
     COUNTIFS($AG$3:$AG$201,$M358)&gt;0,
     COUNTIFS($AH$3:$AH$201,$M358)&gt;0,
     COUNTIFS($AI$3:$AI$201,$M358)&gt;0,
     COUNTIFS($AJ$3:$AJ$201,$M358)&gt;0,
     COUNTIFS($AK$3:$AK$201,$M358)&gt;0,
     COUNTIFS($AL$3:$AL$201,$M358)&gt;0,
     COUNTIFS($AM$3:$AM$201,$M358)&gt;0,
     COUNTIFS($AN$3:$AN$201,$M358)&gt;0,
     COUNTIFS($AO$3:$AO$201,$M358)&gt;0,
     COUNTIFS($AP$3:$AP$201,$M358)&gt;0,
     COUNTIFS($AQ$3:$AQ$201,$M358)&gt;0,
     COUNTIFS($AR$3:$AR$201,$M358)&gt;0,
     COUNTIFS($AS$3:$AS$201,$M358)&gt;0,
     COUNTIFS($AT$3:$AT$201,$M358)&gt;0,
     COUNTIFS($AU$3:$AU$201,$M358)&gt;0
   )),
  ),
  2
 ),
"")</f>
        <v/>
      </c>
      <c r="Q358" s="3" t="str" cm="1">
        <f t="array" ref="Q358">IFERROR(
 INDEX($T$2:$AU$2,
  _xlfn.AGGREGATE(15,6,
   (COLUMN($T$2:$AU$2)-COLUMN($T$2)+1)/
   TRANSPOSE(
    CHOOSE({1;2;3;4;5;6;7;8;9;10;11;12;13;14;15;16;17;18;19;20;21;22;23;24;25;26;27;28},
     COUNTIFS($T$3:$T$201,$M358)&gt;0,
     COUNTIFS($U$3:$U$201,$M358)&gt;0,
     COUNTIFS($V$3:$V$201,$M358)&gt;0,
     COUNTIFS($W$3:$W$201,$M358)&gt;0,
     COUNTIFS($X$3:$X$201,$M358)&gt;0,
     COUNTIFS($Y$3:$Y$201,$M358)&gt;0,
     COUNTIFS($Z$3:$Z$201,$M358)&gt;0,
     COUNTIFS($AA$3:$AA$201,$M358)&gt;0,
     COUNTIFS($AB$3:$AB$201,$M358)&gt;0,
     COUNTIFS($AC$3:$AC$201,$M358)&gt;0,
     COUNTIFS($AD$3:$AD$201,$M358)&gt;0,
     COUNTIFS($AE$3:$AE$201,$M358)&gt;0,
     COUNTIFS($AF$3:$AF$201,$M358)&gt;0,
     COUNTIFS($AG$3:$AG$201,$M358)&gt;0,
     COUNTIFS($AH$3:$AH$201,$M358)&gt;0,
     COUNTIFS($AI$3:$AI$201,$M358)&gt;0,
     COUNTIFS($AJ$3:$AJ$201,$M358)&gt;0,
     COUNTIFS($AK$3:$AK$201,$M358)&gt;0,
     COUNTIFS($AL$3:$AL$201,$M358)&gt;0,
     COUNTIFS($AM$3:$AM$201,$M358)&gt;0,
     COUNTIFS($AN$3:$AN$201,$M358)&gt;0,
     COUNTIFS($AO$3:$AO$201,$M358)&gt;0,
     COUNTIFS($AP$3:$AP$201,$M358)&gt;0,
     COUNTIFS($AQ$3:$AQ$201,$M358)&gt;0,
     COUNTIFS($AR$3:$AR$201,$M358)&gt;0,
     COUNTIFS($AS$3:$AS$201,$M358)&gt;0,
     COUNTIFS($AT$3:$AT$201,$M358)&gt;0,
     COUNTIFS($AU$3:$AU$201,$M358)&gt;0
   )),
  3)
 ),
"")</f>
        <v/>
      </c>
      <c r="R358" s="3" t="str" cm="1">
        <f t="array" ref="R358">IFERROR(
 INDEX($T$2:$AU$2,
  _xlfn.AGGREGATE(15,6,
   (COLUMN($T$2:$AU$2)-COLUMN($T$2)+1)/
   TRANSPOSE(
    CHOOSE({1;2;3;4;5;6;7;8;9;10;11;12;13;14;15;16;17;18;19;20;21;22;23;24;25;26;27;28},
     COUNTIFS($T$3:$T$201,$M358)&gt;0,
     COUNTIFS($U$3:$U$201,$M358)&gt;0,
     COUNTIFS($V$3:$V$201,$M358)&gt;0,
     COUNTIFS($W$3:$W$201,$M358)&gt;0,
     COUNTIFS($X$3:$X$201,$M358)&gt;0,
     COUNTIFS($Y$3:$Y$201,$M358)&gt;0,
     COUNTIFS($Z$3:$Z$201,$M358)&gt;0,
     COUNTIFS($AA$3:$AA$201,$M358)&gt;0,
     COUNTIFS($AB$3:$AB$201,$M358)&gt;0,
     COUNTIFS($AC$3:$AC$201,$M358)&gt;0,
     COUNTIFS($AD$3:$AD$201,$M358)&gt;0,
     COUNTIFS($AE$3:$AE$201,$M358)&gt;0,
     COUNTIFS($AF$3:$AF$201,$M358)&gt;0,
     COUNTIFS($AG$3:$AG$201,$M358)&gt;0,
     COUNTIFS($AH$3:$AH$201,$M358)&gt;0,
     COUNTIFS($AI$3:$AI$201,$M358)&gt;0,
     COUNTIFS($AJ$3:$AJ$201,$M358)&gt;0,
     COUNTIFS($AK$3:$AK$201,$M358)&gt;0,
     COUNTIFS($AL$3:$AL$201,$M358)&gt;0,
     COUNTIFS($AM$3:$AM$201,$M358)&gt;0,
     COUNTIFS($AN$3:$AN$201,$M358)&gt;0,
     COUNTIFS($AO$3:$AO$201,$M358)&gt;0,
     COUNTIFS($AP$3:$AP$201,$M358)&gt;0,
     COUNTIFS($AQ$3:$AQ$201,$M358)&gt;0,
     COUNTIFS($AR$3:$AR$201,$M358)&gt;0,
     COUNTIFS($AS$3:$AS$201,$M358)&gt;0,
     COUNTIFS($AT$3:$AT$201,$M358)&gt;0,
     COUNTIFS($AU$3:$AU$201,$M358)&gt;0
   )),
  4)
 ),
"")</f>
        <v/>
      </c>
    </row>
    <row r="359" spans="2:18" x14ac:dyDescent="0.25">
      <c r="B359" s="3" t="str" cm="1">
        <f t="array" ref="B359">_xlfn.ANCHORARRAY(RESUMO!C358)</f>
        <v/>
      </c>
      <c r="C359" s="3" t="str">
        <f t="shared" ca="1" si="20"/>
        <v/>
      </c>
      <c r="N359" s="3">
        <f t="shared" si="21"/>
        <v>0</v>
      </c>
      <c r="O359" s="3" t="str">
        <f>IFERROR(
 INDEX($T$2:$AW$2,
  MATCH(TRUE,
   CHOOSE({1;2;3;4;5;6;7;8;9;10;11;12;13;14;15;16;17;18;19;20;21;22;23;24;25;26;27;28;29;30;31;32},
    COUNTIFS($T$3:$T$201,$M359)&gt;0,
    COUNTIFS($U$3:$U$201,$M359)&gt;0,
    COUNTIFS($V$3:$V$201,$M359)&gt;0,
    COUNTIFS($W$3:$W$201,$M359)&gt;0,
    COUNTIFS($X$3:$X$201,$M359)&gt;0,
    COUNTIFS($Y$3:$Y$201,$M359)&gt;0,
    COUNTIFS($Z$3:$Z$201,$M359)&gt;0,
    COUNTIFS($AA$3:$AA$201,$M359)&gt;0,
    COUNTIFS($AB$3:$AB$201,$M359)&gt;0,
    COUNTIFS($AC$3:$AC$201,$M359)&gt;0,
    COUNTIFS($AD$3:$AD$201,$M359)&gt;0,
    COUNTIFS($AE$3:$AE$201,$M359)&gt;0,
    COUNTIFS($AF$3:$AF$201,$M359)&gt;0,
    COUNTIFS($AG$3:$AG$201,$M359)&gt;0,
    COUNTIFS($AH$3:$AH$201,$M359)&gt;0,
    COUNTIFS($AI$3:$AI$201,$M359)&gt;0,
    COUNTIFS($AJ$3:$AJ$201,$M359)&gt;0,
    COUNTIFS($AK$3:$AK$201,$M359)&gt;0,
    COUNTIFS($AL$3:$AL$201,$M359)&gt;0,
    COUNTIFS($AM$3:$AM$201,$M359)&gt;0,
    COUNTIFS($AN$3:$AN$201,$M359)&gt;0,
    COUNTIFS($AO$3:$AO$201,$M359)&gt;0,
    COUNTIFS($AP$3:$AP$201,$M359)&gt;0,
    COUNTIFS($AQ$3:$AQ$201,$M359)&gt;0,
    COUNTIFS($AR$3:$AR$201,$M359)&gt;0,
    COUNTIFS($AS$3:$AS$201,$M359)&gt;0,
    COUNTIFS($AT$3:$AT$201,$M359)&gt;0,
    COUNTIFS($AU$3:$AU$201,$M359)&gt;0,
    COUNTIFS($AV$3:$AV$201,$M359)&gt;0,
    COUNTIFS($AW$3:$AW$201,$M359)&gt;0
   ),
  0)
 ),
"")</f>
        <v/>
      </c>
      <c r="P359" s="3" t="str" cm="1">
        <f t="array" ref="P359">IFERROR(
 INDEX(
  _xlfn._xlws.FILTER($T$2:$AU$2,
   TRANSPOSE(
    CHOOSE({1;2;3;4;5;6;7;8;9;10;11;12;13;14;15;16;17;18;19;20;21;22;23;24;25;26;27;28},
     COUNTIFS($T$3:$T$201,$M359)&gt;0,
     COUNTIFS($U$3:$U$201,$M359)&gt;0,
     COUNTIFS($V$3:$V$201,$M359)&gt;0,
     COUNTIFS($W$3:$W$201,$M359)&gt;0,
     COUNTIFS($X$3:$X$201,$M359)&gt;0,
     COUNTIFS($Y$3:$Y$201,$M359)&gt;0,
     COUNTIFS($Z$3:$Z$201,$M359)&gt;0,
     COUNTIFS($AA$3:$AA$201,$M359)&gt;0,
     COUNTIFS($AB$3:$AB$201,$M359)&gt;0,
     COUNTIFS($AC$3:$AC$201,$M359)&gt;0,
     COUNTIFS($AD$3:$AD$201,$M359)&gt;0,
     COUNTIFS($AE$3:$AE$201,$M359)&gt;0,
     COUNTIFS($AF$3:$AF$201,$M359)&gt;0,
     COUNTIFS($AG$3:$AG$201,$M359)&gt;0,
     COUNTIFS($AH$3:$AH$201,$M359)&gt;0,
     COUNTIFS($AI$3:$AI$201,$M359)&gt;0,
     COUNTIFS($AJ$3:$AJ$201,$M359)&gt;0,
     COUNTIFS($AK$3:$AK$201,$M359)&gt;0,
     COUNTIFS($AL$3:$AL$201,$M359)&gt;0,
     COUNTIFS($AM$3:$AM$201,$M359)&gt;0,
     COUNTIFS($AN$3:$AN$201,$M359)&gt;0,
     COUNTIFS($AO$3:$AO$201,$M359)&gt;0,
     COUNTIFS($AP$3:$AP$201,$M359)&gt;0,
     COUNTIFS($AQ$3:$AQ$201,$M359)&gt;0,
     COUNTIFS($AR$3:$AR$201,$M359)&gt;0,
     COUNTIFS($AS$3:$AS$201,$M359)&gt;0,
     COUNTIFS($AT$3:$AT$201,$M359)&gt;0,
     COUNTIFS($AU$3:$AU$201,$M359)&gt;0
   )),
  ),
  2
 ),
"")</f>
        <v/>
      </c>
      <c r="Q359" s="3" t="str" cm="1">
        <f t="array" ref="Q359">IFERROR(
 INDEX($T$2:$AU$2,
  _xlfn.AGGREGATE(15,6,
   (COLUMN($T$2:$AU$2)-COLUMN($T$2)+1)/
   TRANSPOSE(
    CHOOSE({1;2;3;4;5;6;7;8;9;10;11;12;13;14;15;16;17;18;19;20;21;22;23;24;25;26;27;28},
     COUNTIFS($T$3:$T$201,$M359)&gt;0,
     COUNTIFS($U$3:$U$201,$M359)&gt;0,
     COUNTIFS($V$3:$V$201,$M359)&gt;0,
     COUNTIFS($W$3:$W$201,$M359)&gt;0,
     COUNTIFS($X$3:$X$201,$M359)&gt;0,
     COUNTIFS($Y$3:$Y$201,$M359)&gt;0,
     COUNTIFS($Z$3:$Z$201,$M359)&gt;0,
     COUNTIFS($AA$3:$AA$201,$M359)&gt;0,
     COUNTIFS($AB$3:$AB$201,$M359)&gt;0,
     COUNTIFS($AC$3:$AC$201,$M359)&gt;0,
     COUNTIFS($AD$3:$AD$201,$M359)&gt;0,
     COUNTIFS($AE$3:$AE$201,$M359)&gt;0,
     COUNTIFS($AF$3:$AF$201,$M359)&gt;0,
     COUNTIFS($AG$3:$AG$201,$M359)&gt;0,
     COUNTIFS($AH$3:$AH$201,$M359)&gt;0,
     COUNTIFS($AI$3:$AI$201,$M359)&gt;0,
     COUNTIFS($AJ$3:$AJ$201,$M359)&gt;0,
     COUNTIFS($AK$3:$AK$201,$M359)&gt;0,
     COUNTIFS($AL$3:$AL$201,$M359)&gt;0,
     COUNTIFS($AM$3:$AM$201,$M359)&gt;0,
     COUNTIFS($AN$3:$AN$201,$M359)&gt;0,
     COUNTIFS($AO$3:$AO$201,$M359)&gt;0,
     COUNTIFS($AP$3:$AP$201,$M359)&gt;0,
     COUNTIFS($AQ$3:$AQ$201,$M359)&gt;0,
     COUNTIFS($AR$3:$AR$201,$M359)&gt;0,
     COUNTIFS($AS$3:$AS$201,$M359)&gt;0,
     COUNTIFS($AT$3:$AT$201,$M359)&gt;0,
     COUNTIFS($AU$3:$AU$201,$M359)&gt;0
   )),
  3)
 ),
"")</f>
        <v/>
      </c>
      <c r="R359" s="3" t="str" cm="1">
        <f t="array" ref="R359">IFERROR(
 INDEX($T$2:$AU$2,
  _xlfn.AGGREGATE(15,6,
   (COLUMN($T$2:$AU$2)-COLUMN($T$2)+1)/
   TRANSPOSE(
    CHOOSE({1;2;3;4;5;6;7;8;9;10;11;12;13;14;15;16;17;18;19;20;21;22;23;24;25;26;27;28},
     COUNTIFS($T$3:$T$201,$M359)&gt;0,
     COUNTIFS($U$3:$U$201,$M359)&gt;0,
     COUNTIFS($V$3:$V$201,$M359)&gt;0,
     COUNTIFS($W$3:$W$201,$M359)&gt;0,
     COUNTIFS($X$3:$X$201,$M359)&gt;0,
     COUNTIFS($Y$3:$Y$201,$M359)&gt;0,
     COUNTIFS($Z$3:$Z$201,$M359)&gt;0,
     COUNTIFS($AA$3:$AA$201,$M359)&gt;0,
     COUNTIFS($AB$3:$AB$201,$M359)&gt;0,
     COUNTIFS($AC$3:$AC$201,$M359)&gt;0,
     COUNTIFS($AD$3:$AD$201,$M359)&gt;0,
     COUNTIFS($AE$3:$AE$201,$M359)&gt;0,
     COUNTIFS($AF$3:$AF$201,$M359)&gt;0,
     COUNTIFS($AG$3:$AG$201,$M359)&gt;0,
     COUNTIFS($AH$3:$AH$201,$M359)&gt;0,
     COUNTIFS($AI$3:$AI$201,$M359)&gt;0,
     COUNTIFS($AJ$3:$AJ$201,$M359)&gt;0,
     COUNTIFS($AK$3:$AK$201,$M359)&gt;0,
     COUNTIFS($AL$3:$AL$201,$M359)&gt;0,
     COUNTIFS($AM$3:$AM$201,$M359)&gt;0,
     COUNTIFS($AN$3:$AN$201,$M359)&gt;0,
     COUNTIFS($AO$3:$AO$201,$M359)&gt;0,
     COUNTIFS($AP$3:$AP$201,$M359)&gt;0,
     COUNTIFS($AQ$3:$AQ$201,$M359)&gt;0,
     COUNTIFS($AR$3:$AR$201,$M359)&gt;0,
     COUNTIFS($AS$3:$AS$201,$M359)&gt;0,
     COUNTIFS($AT$3:$AT$201,$M359)&gt;0,
     COUNTIFS($AU$3:$AU$201,$M359)&gt;0
   )),
  4)
 ),
"")</f>
        <v/>
      </c>
    </row>
    <row r="360" spans="2:18" x14ac:dyDescent="0.25">
      <c r="B360" s="3" t="str" cm="1">
        <f t="array" ref="B360">_xlfn.ANCHORARRAY(RESUMO!C359)</f>
        <v/>
      </c>
      <c r="C360" s="3" t="str">
        <f t="shared" ca="1" si="20"/>
        <v/>
      </c>
      <c r="N360" s="3">
        <f t="shared" si="21"/>
        <v>0</v>
      </c>
      <c r="O360" s="3" t="str">
        <f>IFERROR(
 INDEX($T$2:$AW$2,
  MATCH(TRUE,
   CHOOSE({1;2;3;4;5;6;7;8;9;10;11;12;13;14;15;16;17;18;19;20;21;22;23;24;25;26;27;28;29;30;31;32},
    COUNTIFS($T$3:$T$201,$M360)&gt;0,
    COUNTIFS($U$3:$U$201,$M360)&gt;0,
    COUNTIFS($V$3:$V$201,$M360)&gt;0,
    COUNTIFS($W$3:$W$201,$M360)&gt;0,
    COUNTIFS($X$3:$X$201,$M360)&gt;0,
    COUNTIFS($Y$3:$Y$201,$M360)&gt;0,
    COUNTIFS($Z$3:$Z$201,$M360)&gt;0,
    COUNTIFS($AA$3:$AA$201,$M360)&gt;0,
    COUNTIFS($AB$3:$AB$201,$M360)&gt;0,
    COUNTIFS($AC$3:$AC$201,$M360)&gt;0,
    COUNTIFS($AD$3:$AD$201,$M360)&gt;0,
    COUNTIFS($AE$3:$AE$201,$M360)&gt;0,
    COUNTIFS($AF$3:$AF$201,$M360)&gt;0,
    COUNTIFS($AG$3:$AG$201,$M360)&gt;0,
    COUNTIFS($AH$3:$AH$201,$M360)&gt;0,
    COUNTIFS($AI$3:$AI$201,$M360)&gt;0,
    COUNTIFS($AJ$3:$AJ$201,$M360)&gt;0,
    COUNTIFS($AK$3:$AK$201,$M360)&gt;0,
    COUNTIFS($AL$3:$AL$201,$M360)&gt;0,
    COUNTIFS($AM$3:$AM$201,$M360)&gt;0,
    COUNTIFS($AN$3:$AN$201,$M360)&gt;0,
    COUNTIFS($AO$3:$AO$201,$M360)&gt;0,
    COUNTIFS($AP$3:$AP$201,$M360)&gt;0,
    COUNTIFS($AQ$3:$AQ$201,$M360)&gt;0,
    COUNTIFS($AR$3:$AR$201,$M360)&gt;0,
    COUNTIFS($AS$3:$AS$201,$M360)&gt;0,
    COUNTIFS($AT$3:$AT$201,$M360)&gt;0,
    COUNTIFS($AU$3:$AU$201,$M360)&gt;0,
    COUNTIFS($AV$3:$AV$201,$M360)&gt;0,
    COUNTIFS($AW$3:$AW$201,$M360)&gt;0
   ),
  0)
 ),
"")</f>
        <v/>
      </c>
      <c r="P360" s="3" t="str" cm="1">
        <f t="array" ref="P360">IFERROR(
 INDEX(
  _xlfn._xlws.FILTER($T$2:$AU$2,
   TRANSPOSE(
    CHOOSE({1;2;3;4;5;6;7;8;9;10;11;12;13;14;15;16;17;18;19;20;21;22;23;24;25;26;27;28},
     COUNTIFS($T$3:$T$201,$M360)&gt;0,
     COUNTIFS($U$3:$U$201,$M360)&gt;0,
     COUNTIFS($V$3:$V$201,$M360)&gt;0,
     COUNTIFS($W$3:$W$201,$M360)&gt;0,
     COUNTIFS($X$3:$X$201,$M360)&gt;0,
     COUNTIFS($Y$3:$Y$201,$M360)&gt;0,
     COUNTIFS($Z$3:$Z$201,$M360)&gt;0,
     COUNTIFS($AA$3:$AA$201,$M360)&gt;0,
     COUNTIFS($AB$3:$AB$201,$M360)&gt;0,
     COUNTIFS($AC$3:$AC$201,$M360)&gt;0,
     COUNTIFS($AD$3:$AD$201,$M360)&gt;0,
     COUNTIFS($AE$3:$AE$201,$M360)&gt;0,
     COUNTIFS($AF$3:$AF$201,$M360)&gt;0,
     COUNTIFS($AG$3:$AG$201,$M360)&gt;0,
     COUNTIFS($AH$3:$AH$201,$M360)&gt;0,
     COUNTIFS($AI$3:$AI$201,$M360)&gt;0,
     COUNTIFS($AJ$3:$AJ$201,$M360)&gt;0,
     COUNTIFS($AK$3:$AK$201,$M360)&gt;0,
     COUNTIFS($AL$3:$AL$201,$M360)&gt;0,
     COUNTIFS($AM$3:$AM$201,$M360)&gt;0,
     COUNTIFS($AN$3:$AN$201,$M360)&gt;0,
     COUNTIFS($AO$3:$AO$201,$M360)&gt;0,
     COUNTIFS($AP$3:$AP$201,$M360)&gt;0,
     COUNTIFS($AQ$3:$AQ$201,$M360)&gt;0,
     COUNTIFS($AR$3:$AR$201,$M360)&gt;0,
     COUNTIFS($AS$3:$AS$201,$M360)&gt;0,
     COUNTIFS($AT$3:$AT$201,$M360)&gt;0,
     COUNTIFS($AU$3:$AU$201,$M360)&gt;0
   )),
  ),
  2
 ),
"")</f>
        <v/>
      </c>
      <c r="Q360" s="3" t="str" cm="1">
        <f t="array" ref="Q360">IFERROR(
 INDEX($T$2:$AU$2,
  _xlfn.AGGREGATE(15,6,
   (COLUMN($T$2:$AU$2)-COLUMN($T$2)+1)/
   TRANSPOSE(
    CHOOSE({1;2;3;4;5;6;7;8;9;10;11;12;13;14;15;16;17;18;19;20;21;22;23;24;25;26;27;28},
     COUNTIFS($T$3:$T$201,$M360)&gt;0,
     COUNTIFS($U$3:$U$201,$M360)&gt;0,
     COUNTIFS($V$3:$V$201,$M360)&gt;0,
     COUNTIFS($W$3:$W$201,$M360)&gt;0,
     COUNTIFS($X$3:$X$201,$M360)&gt;0,
     COUNTIFS($Y$3:$Y$201,$M360)&gt;0,
     COUNTIFS($Z$3:$Z$201,$M360)&gt;0,
     COUNTIFS($AA$3:$AA$201,$M360)&gt;0,
     COUNTIFS($AB$3:$AB$201,$M360)&gt;0,
     COUNTIFS($AC$3:$AC$201,$M360)&gt;0,
     COUNTIFS($AD$3:$AD$201,$M360)&gt;0,
     COUNTIFS($AE$3:$AE$201,$M360)&gt;0,
     COUNTIFS($AF$3:$AF$201,$M360)&gt;0,
     COUNTIFS($AG$3:$AG$201,$M360)&gt;0,
     COUNTIFS($AH$3:$AH$201,$M360)&gt;0,
     COUNTIFS($AI$3:$AI$201,$M360)&gt;0,
     COUNTIFS($AJ$3:$AJ$201,$M360)&gt;0,
     COUNTIFS($AK$3:$AK$201,$M360)&gt;0,
     COUNTIFS($AL$3:$AL$201,$M360)&gt;0,
     COUNTIFS($AM$3:$AM$201,$M360)&gt;0,
     COUNTIFS($AN$3:$AN$201,$M360)&gt;0,
     COUNTIFS($AO$3:$AO$201,$M360)&gt;0,
     COUNTIFS($AP$3:$AP$201,$M360)&gt;0,
     COUNTIFS($AQ$3:$AQ$201,$M360)&gt;0,
     COUNTIFS($AR$3:$AR$201,$M360)&gt;0,
     COUNTIFS($AS$3:$AS$201,$M360)&gt;0,
     COUNTIFS($AT$3:$AT$201,$M360)&gt;0,
     COUNTIFS($AU$3:$AU$201,$M360)&gt;0
   )),
  3)
 ),
"")</f>
        <v/>
      </c>
      <c r="R360" s="3" t="str" cm="1">
        <f t="array" ref="R360">IFERROR(
 INDEX($T$2:$AU$2,
  _xlfn.AGGREGATE(15,6,
   (COLUMN($T$2:$AU$2)-COLUMN($T$2)+1)/
   TRANSPOSE(
    CHOOSE({1;2;3;4;5;6;7;8;9;10;11;12;13;14;15;16;17;18;19;20;21;22;23;24;25;26;27;28},
     COUNTIFS($T$3:$T$201,$M360)&gt;0,
     COUNTIFS($U$3:$U$201,$M360)&gt;0,
     COUNTIFS($V$3:$V$201,$M360)&gt;0,
     COUNTIFS($W$3:$W$201,$M360)&gt;0,
     COUNTIFS($X$3:$X$201,$M360)&gt;0,
     COUNTIFS($Y$3:$Y$201,$M360)&gt;0,
     COUNTIFS($Z$3:$Z$201,$M360)&gt;0,
     COUNTIFS($AA$3:$AA$201,$M360)&gt;0,
     COUNTIFS($AB$3:$AB$201,$M360)&gt;0,
     COUNTIFS($AC$3:$AC$201,$M360)&gt;0,
     COUNTIFS($AD$3:$AD$201,$M360)&gt;0,
     COUNTIFS($AE$3:$AE$201,$M360)&gt;0,
     COUNTIFS($AF$3:$AF$201,$M360)&gt;0,
     COUNTIFS($AG$3:$AG$201,$M360)&gt;0,
     COUNTIFS($AH$3:$AH$201,$M360)&gt;0,
     COUNTIFS($AI$3:$AI$201,$M360)&gt;0,
     COUNTIFS($AJ$3:$AJ$201,$M360)&gt;0,
     COUNTIFS($AK$3:$AK$201,$M360)&gt;0,
     COUNTIFS($AL$3:$AL$201,$M360)&gt;0,
     COUNTIFS($AM$3:$AM$201,$M360)&gt;0,
     COUNTIFS($AN$3:$AN$201,$M360)&gt;0,
     COUNTIFS($AO$3:$AO$201,$M360)&gt;0,
     COUNTIFS($AP$3:$AP$201,$M360)&gt;0,
     COUNTIFS($AQ$3:$AQ$201,$M360)&gt;0,
     COUNTIFS($AR$3:$AR$201,$M360)&gt;0,
     COUNTIFS($AS$3:$AS$201,$M360)&gt;0,
     COUNTIFS($AT$3:$AT$201,$M360)&gt;0,
     COUNTIFS($AU$3:$AU$201,$M360)&gt;0
   )),
  4)
 ),
"")</f>
        <v/>
      </c>
    </row>
    <row r="361" spans="2:18" x14ac:dyDescent="0.25">
      <c r="B361" s="3" t="str" cm="1">
        <f t="array" ref="B361">_xlfn.ANCHORARRAY(RESUMO!C360)</f>
        <v/>
      </c>
      <c r="C361" s="3" t="str">
        <f t="shared" ca="1" si="20"/>
        <v/>
      </c>
      <c r="N361" s="3">
        <f t="shared" si="21"/>
        <v>0</v>
      </c>
      <c r="O361" s="3" t="str">
        <f>IFERROR(
 INDEX($T$2:$AW$2,
  MATCH(TRUE,
   CHOOSE({1;2;3;4;5;6;7;8;9;10;11;12;13;14;15;16;17;18;19;20;21;22;23;24;25;26;27;28;29;30;31;32},
    COUNTIFS($T$3:$T$201,$M361)&gt;0,
    COUNTIFS($U$3:$U$201,$M361)&gt;0,
    COUNTIFS($V$3:$V$201,$M361)&gt;0,
    COUNTIFS($W$3:$W$201,$M361)&gt;0,
    COUNTIFS($X$3:$X$201,$M361)&gt;0,
    COUNTIFS($Y$3:$Y$201,$M361)&gt;0,
    COUNTIFS($Z$3:$Z$201,$M361)&gt;0,
    COUNTIFS($AA$3:$AA$201,$M361)&gt;0,
    COUNTIFS($AB$3:$AB$201,$M361)&gt;0,
    COUNTIFS($AC$3:$AC$201,$M361)&gt;0,
    COUNTIFS($AD$3:$AD$201,$M361)&gt;0,
    COUNTIFS($AE$3:$AE$201,$M361)&gt;0,
    COUNTIFS($AF$3:$AF$201,$M361)&gt;0,
    COUNTIFS($AG$3:$AG$201,$M361)&gt;0,
    COUNTIFS($AH$3:$AH$201,$M361)&gt;0,
    COUNTIFS($AI$3:$AI$201,$M361)&gt;0,
    COUNTIFS($AJ$3:$AJ$201,$M361)&gt;0,
    COUNTIFS($AK$3:$AK$201,$M361)&gt;0,
    COUNTIFS($AL$3:$AL$201,$M361)&gt;0,
    COUNTIFS($AM$3:$AM$201,$M361)&gt;0,
    COUNTIFS($AN$3:$AN$201,$M361)&gt;0,
    COUNTIFS($AO$3:$AO$201,$M361)&gt;0,
    COUNTIFS($AP$3:$AP$201,$M361)&gt;0,
    COUNTIFS($AQ$3:$AQ$201,$M361)&gt;0,
    COUNTIFS($AR$3:$AR$201,$M361)&gt;0,
    COUNTIFS($AS$3:$AS$201,$M361)&gt;0,
    COUNTIFS($AT$3:$AT$201,$M361)&gt;0,
    COUNTIFS($AU$3:$AU$201,$M361)&gt;0,
    COUNTIFS($AV$3:$AV$201,$M361)&gt;0,
    COUNTIFS($AW$3:$AW$201,$M361)&gt;0
   ),
  0)
 ),
"")</f>
        <v/>
      </c>
      <c r="P361" s="3" t="str" cm="1">
        <f t="array" ref="P361">IFERROR(
 INDEX(
  _xlfn._xlws.FILTER($T$2:$AU$2,
   TRANSPOSE(
    CHOOSE({1;2;3;4;5;6;7;8;9;10;11;12;13;14;15;16;17;18;19;20;21;22;23;24;25;26;27;28},
     COUNTIFS($T$3:$T$201,$M361)&gt;0,
     COUNTIFS($U$3:$U$201,$M361)&gt;0,
     COUNTIFS($V$3:$V$201,$M361)&gt;0,
     COUNTIFS($W$3:$W$201,$M361)&gt;0,
     COUNTIFS($X$3:$X$201,$M361)&gt;0,
     COUNTIFS($Y$3:$Y$201,$M361)&gt;0,
     COUNTIFS($Z$3:$Z$201,$M361)&gt;0,
     COUNTIFS($AA$3:$AA$201,$M361)&gt;0,
     COUNTIFS($AB$3:$AB$201,$M361)&gt;0,
     COUNTIFS($AC$3:$AC$201,$M361)&gt;0,
     COUNTIFS($AD$3:$AD$201,$M361)&gt;0,
     COUNTIFS($AE$3:$AE$201,$M361)&gt;0,
     COUNTIFS($AF$3:$AF$201,$M361)&gt;0,
     COUNTIFS($AG$3:$AG$201,$M361)&gt;0,
     COUNTIFS($AH$3:$AH$201,$M361)&gt;0,
     COUNTIFS($AI$3:$AI$201,$M361)&gt;0,
     COUNTIFS($AJ$3:$AJ$201,$M361)&gt;0,
     COUNTIFS($AK$3:$AK$201,$M361)&gt;0,
     COUNTIFS($AL$3:$AL$201,$M361)&gt;0,
     COUNTIFS($AM$3:$AM$201,$M361)&gt;0,
     COUNTIFS($AN$3:$AN$201,$M361)&gt;0,
     COUNTIFS($AO$3:$AO$201,$M361)&gt;0,
     COUNTIFS($AP$3:$AP$201,$M361)&gt;0,
     COUNTIFS($AQ$3:$AQ$201,$M361)&gt;0,
     COUNTIFS($AR$3:$AR$201,$M361)&gt;0,
     COUNTIFS($AS$3:$AS$201,$M361)&gt;0,
     COUNTIFS($AT$3:$AT$201,$M361)&gt;0,
     COUNTIFS($AU$3:$AU$201,$M361)&gt;0
   )),
  ),
  2
 ),
"")</f>
        <v/>
      </c>
      <c r="Q361" s="3" t="str" cm="1">
        <f t="array" ref="Q361">IFERROR(
 INDEX($T$2:$AU$2,
  _xlfn.AGGREGATE(15,6,
   (COLUMN($T$2:$AU$2)-COLUMN($T$2)+1)/
   TRANSPOSE(
    CHOOSE({1;2;3;4;5;6;7;8;9;10;11;12;13;14;15;16;17;18;19;20;21;22;23;24;25;26;27;28},
     COUNTIFS($T$3:$T$201,$M361)&gt;0,
     COUNTIFS($U$3:$U$201,$M361)&gt;0,
     COUNTIFS($V$3:$V$201,$M361)&gt;0,
     COUNTIFS($W$3:$W$201,$M361)&gt;0,
     COUNTIFS($X$3:$X$201,$M361)&gt;0,
     COUNTIFS($Y$3:$Y$201,$M361)&gt;0,
     COUNTIFS($Z$3:$Z$201,$M361)&gt;0,
     COUNTIFS($AA$3:$AA$201,$M361)&gt;0,
     COUNTIFS($AB$3:$AB$201,$M361)&gt;0,
     COUNTIFS($AC$3:$AC$201,$M361)&gt;0,
     COUNTIFS($AD$3:$AD$201,$M361)&gt;0,
     COUNTIFS($AE$3:$AE$201,$M361)&gt;0,
     COUNTIFS($AF$3:$AF$201,$M361)&gt;0,
     COUNTIFS($AG$3:$AG$201,$M361)&gt;0,
     COUNTIFS($AH$3:$AH$201,$M361)&gt;0,
     COUNTIFS($AI$3:$AI$201,$M361)&gt;0,
     COUNTIFS($AJ$3:$AJ$201,$M361)&gt;0,
     COUNTIFS($AK$3:$AK$201,$M361)&gt;0,
     COUNTIFS($AL$3:$AL$201,$M361)&gt;0,
     COUNTIFS($AM$3:$AM$201,$M361)&gt;0,
     COUNTIFS($AN$3:$AN$201,$M361)&gt;0,
     COUNTIFS($AO$3:$AO$201,$M361)&gt;0,
     COUNTIFS($AP$3:$AP$201,$M361)&gt;0,
     COUNTIFS($AQ$3:$AQ$201,$M361)&gt;0,
     COUNTIFS($AR$3:$AR$201,$M361)&gt;0,
     COUNTIFS($AS$3:$AS$201,$M361)&gt;0,
     COUNTIFS($AT$3:$AT$201,$M361)&gt;0,
     COUNTIFS($AU$3:$AU$201,$M361)&gt;0
   )),
  3)
 ),
"")</f>
        <v/>
      </c>
      <c r="R361" s="3" t="str" cm="1">
        <f t="array" ref="R361">IFERROR(
 INDEX($T$2:$AU$2,
  _xlfn.AGGREGATE(15,6,
   (COLUMN($T$2:$AU$2)-COLUMN($T$2)+1)/
   TRANSPOSE(
    CHOOSE({1;2;3;4;5;6;7;8;9;10;11;12;13;14;15;16;17;18;19;20;21;22;23;24;25;26;27;28},
     COUNTIFS($T$3:$T$201,$M361)&gt;0,
     COUNTIFS($U$3:$U$201,$M361)&gt;0,
     COUNTIFS($V$3:$V$201,$M361)&gt;0,
     COUNTIFS($W$3:$W$201,$M361)&gt;0,
     COUNTIFS($X$3:$X$201,$M361)&gt;0,
     COUNTIFS($Y$3:$Y$201,$M361)&gt;0,
     COUNTIFS($Z$3:$Z$201,$M361)&gt;0,
     COUNTIFS($AA$3:$AA$201,$M361)&gt;0,
     COUNTIFS($AB$3:$AB$201,$M361)&gt;0,
     COUNTIFS($AC$3:$AC$201,$M361)&gt;0,
     COUNTIFS($AD$3:$AD$201,$M361)&gt;0,
     COUNTIFS($AE$3:$AE$201,$M361)&gt;0,
     COUNTIFS($AF$3:$AF$201,$M361)&gt;0,
     COUNTIFS($AG$3:$AG$201,$M361)&gt;0,
     COUNTIFS($AH$3:$AH$201,$M361)&gt;0,
     COUNTIFS($AI$3:$AI$201,$M361)&gt;0,
     COUNTIFS($AJ$3:$AJ$201,$M361)&gt;0,
     COUNTIFS($AK$3:$AK$201,$M361)&gt;0,
     COUNTIFS($AL$3:$AL$201,$M361)&gt;0,
     COUNTIFS($AM$3:$AM$201,$M361)&gt;0,
     COUNTIFS($AN$3:$AN$201,$M361)&gt;0,
     COUNTIFS($AO$3:$AO$201,$M361)&gt;0,
     COUNTIFS($AP$3:$AP$201,$M361)&gt;0,
     COUNTIFS($AQ$3:$AQ$201,$M361)&gt;0,
     COUNTIFS($AR$3:$AR$201,$M361)&gt;0,
     COUNTIFS($AS$3:$AS$201,$M361)&gt;0,
     COUNTIFS($AT$3:$AT$201,$M361)&gt;0,
     COUNTIFS($AU$3:$AU$201,$M361)&gt;0
   )),
  4)
 ),
"")</f>
        <v/>
      </c>
    </row>
    <row r="362" spans="2:18" x14ac:dyDescent="0.25">
      <c r="B362" s="3" t="str" cm="1">
        <f t="array" ref="B362">_xlfn.ANCHORARRAY(RESUMO!C361)</f>
        <v/>
      </c>
      <c r="C362" s="3" t="str">
        <f t="shared" ca="1" si="20"/>
        <v/>
      </c>
      <c r="N362" s="3">
        <f t="shared" si="21"/>
        <v>0</v>
      </c>
      <c r="O362" s="3" t="str">
        <f>IFERROR(
 INDEX($T$2:$AW$2,
  MATCH(TRUE,
   CHOOSE({1;2;3;4;5;6;7;8;9;10;11;12;13;14;15;16;17;18;19;20;21;22;23;24;25;26;27;28;29;30;31;32},
    COUNTIFS($T$3:$T$201,$M362)&gt;0,
    COUNTIFS($U$3:$U$201,$M362)&gt;0,
    COUNTIFS($V$3:$V$201,$M362)&gt;0,
    COUNTIFS($W$3:$W$201,$M362)&gt;0,
    COUNTIFS($X$3:$X$201,$M362)&gt;0,
    COUNTIFS($Y$3:$Y$201,$M362)&gt;0,
    COUNTIFS($Z$3:$Z$201,$M362)&gt;0,
    COUNTIFS($AA$3:$AA$201,$M362)&gt;0,
    COUNTIFS($AB$3:$AB$201,$M362)&gt;0,
    COUNTIFS($AC$3:$AC$201,$M362)&gt;0,
    COUNTIFS($AD$3:$AD$201,$M362)&gt;0,
    COUNTIFS($AE$3:$AE$201,$M362)&gt;0,
    COUNTIFS($AF$3:$AF$201,$M362)&gt;0,
    COUNTIFS($AG$3:$AG$201,$M362)&gt;0,
    COUNTIFS($AH$3:$AH$201,$M362)&gt;0,
    COUNTIFS($AI$3:$AI$201,$M362)&gt;0,
    COUNTIFS($AJ$3:$AJ$201,$M362)&gt;0,
    COUNTIFS($AK$3:$AK$201,$M362)&gt;0,
    COUNTIFS($AL$3:$AL$201,$M362)&gt;0,
    COUNTIFS($AM$3:$AM$201,$M362)&gt;0,
    COUNTIFS($AN$3:$AN$201,$M362)&gt;0,
    COUNTIFS($AO$3:$AO$201,$M362)&gt;0,
    COUNTIFS($AP$3:$AP$201,$M362)&gt;0,
    COUNTIFS($AQ$3:$AQ$201,$M362)&gt;0,
    COUNTIFS($AR$3:$AR$201,$M362)&gt;0,
    COUNTIFS($AS$3:$AS$201,$M362)&gt;0,
    COUNTIFS($AT$3:$AT$201,$M362)&gt;0,
    COUNTIFS($AU$3:$AU$201,$M362)&gt;0,
    COUNTIFS($AV$3:$AV$201,$M362)&gt;0,
    COUNTIFS($AW$3:$AW$201,$M362)&gt;0
   ),
  0)
 ),
"")</f>
        <v/>
      </c>
      <c r="P362" s="3" t="str" cm="1">
        <f t="array" ref="P362">IFERROR(
 INDEX(
  _xlfn._xlws.FILTER($T$2:$AU$2,
   TRANSPOSE(
    CHOOSE({1;2;3;4;5;6;7;8;9;10;11;12;13;14;15;16;17;18;19;20;21;22;23;24;25;26;27;28},
     COUNTIFS($T$3:$T$201,$M362)&gt;0,
     COUNTIFS($U$3:$U$201,$M362)&gt;0,
     COUNTIFS($V$3:$V$201,$M362)&gt;0,
     COUNTIFS($W$3:$W$201,$M362)&gt;0,
     COUNTIFS($X$3:$X$201,$M362)&gt;0,
     COUNTIFS($Y$3:$Y$201,$M362)&gt;0,
     COUNTIFS($Z$3:$Z$201,$M362)&gt;0,
     COUNTIFS($AA$3:$AA$201,$M362)&gt;0,
     COUNTIFS($AB$3:$AB$201,$M362)&gt;0,
     COUNTIFS($AC$3:$AC$201,$M362)&gt;0,
     COUNTIFS($AD$3:$AD$201,$M362)&gt;0,
     COUNTIFS($AE$3:$AE$201,$M362)&gt;0,
     COUNTIFS($AF$3:$AF$201,$M362)&gt;0,
     COUNTIFS($AG$3:$AG$201,$M362)&gt;0,
     COUNTIFS($AH$3:$AH$201,$M362)&gt;0,
     COUNTIFS($AI$3:$AI$201,$M362)&gt;0,
     COUNTIFS($AJ$3:$AJ$201,$M362)&gt;0,
     COUNTIFS($AK$3:$AK$201,$M362)&gt;0,
     COUNTIFS($AL$3:$AL$201,$M362)&gt;0,
     COUNTIFS($AM$3:$AM$201,$M362)&gt;0,
     COUNTIFS($AN$3:$AN$201,$M362)&gt;0,
     COUNTIFS($AO$3:$AO$201,$M362)&gt;0,
     COUNTIFS($AP$3:$AP$201,$M362)&gt;0,
     COUNTIFS($AQ$3:$AQ$201,$M362)&gt;0,
     COUNTIFS($AR$3:$AR$201,$M362)&gt;0,
     COUNTIFS($AS$3:$AS$201,$M362)&gt;0,
     COUNTIFS($AT$3:$AT$201,$M362)&gt;0,
     COUNTIFS($AU$3:$AU$201,$M362)&gt;0
   )),
  ),
  2
 ),
"")</f>
        <v/>
      </c>
      <c r="Q362" s="3" t="str" cm="1">
        <f t="array" ref="Q362">IFERROR(
 INDEX($T$2:$AU$2,
  _xlfn.AGGREGATE(15,6,
   (COLUMN($T$2:$AU$2)-COLUMN($T$2)+1)/
   TRANSPOSE(
    CHOOSE({1;2;3;4;5;6;7;8;9;10;11;12;13;14;15;16;17;18;19;20;21;22;23;24;25;26;27;28},
     COUNTIFS($T$3:$T$201,$M362)&gt;0,
     COUNTIFS($U$3:$U$201,$M362)&gt;0,
     COUNTIFS($V$3:$V$201,$M362)&gt;0,
     COUNTIFS($W$3:$W$201,$M362)&gt;0,
     COUNTIFS($X$3:$X$201,$M362)&gt;0,
     COUNTIFS($Y$3:$Y$201,$M362)&gt;0,
     COUNTIFS($Z$3:$Z$201,$M362)&gt;0,
     COUNTIFS($AA$3:$AA$201,$M362)&gt;0,
     COUNTIFS($AB$3:$AB$201,$M362)&gt;0,
     COUNTIFS($AC$3:$AC$201,$M362)&gt;0,
     COUNTIFS($AD$3:$AD$201,$M362)&gt;0,
     COUNTIFS($AE$3:$AE$201,$M362)&gt;0,
     COUNTIFS($AF$3:$AF$201,$M362)&gt;0,
     COUNTIFS($AG$3:$AG$201,$M362)&gt;0,
     COUNTIFS($AH$3:$AH$201,$M362)&gt;0,
     COUNTIFS($AI$3:$AI$201,$M362)&gt;0,
     COUNTIFS($AJ$3:$AJ$201,$M362)&gt;0,
     COUNTIFS($AK$3:$AK$201,$M362)&gt;0,
     COUNTIFS($AL$3:$AL$201,$M362)&gt;0,
     COUNTIFS($AM$3:$AM$201,$M362)&gt;0,
     COUNTIFS($AN$3:$AN$201,$M362)&gt;0,
     COUNTIFS($AO$3:$AO$201,$M362)&gt;0,
     COUNTIFS($AP$3:$AP$201,$M362)&gt;0,
     COUNTIFS($AQ$3:$AQ$201,$M362)&gt;0,
     COUNTIFS($AR$3:$AR$201,$M362)&gt;0,
     COUNTIFS($AS$3:$AS$201,$M362)&gt;0,
     COUNTIFS($AT$3:$AT$201,$M362)&gt;0,
     COUNTIFS($AU$3:$AU$201,$M362)&gt;0
   )),
  3)
 ),
"")</f>
        <v/>
      </c>
      <c r="R362" s="3" t="str" cm="1">
        <f t="array" ref="R362">IFERROR(
 INDEX($T$2:$AU$2,
  _xlfn.AGGREGATE(15,6,
   (COLUMN($T$2:$AU$2)-COLUMN($T$2)+1)/
   TRANSPOSE(
    CHOOSE({1;2;3;4;5;6;7;8;9;10;11;12;13;14;15;16;17;18;19;20;21;22;23;24;25;26;27;28},
     COUNTIFS($T$3:$T$201,$M362)&gt;0,
     COUNTIFS($U$3:$U$201,$M362)&gt;0,
     COUNTIFS($V$3:$V$201,$M362)&gt;0,
     COUNTIFS($W$3:$W$201,$M362)&gt;0,
     COUNTIFS($X$3:$X$201,$M362)&gt;0,
     COUNTIFS($Y$3:$Y$201,$M362)&gt;0,
     COUNTIFS($Z$3:$Z$201,$M362)&gt;0,
     COUNTIFS($AA$3:$AA$201,$M362)&gt;0,
     COUNTIFS($AB$3:$AB$201,$M362)&gt;0,
     COUNTIFS($AC$3:$AC$201,$M362)&gt;0,
     COUNTIFS($AD$3:$AD$201,$M362)&gt;0,
     COUNTIFS($AE$3:$AE$201,$M362)&gt;0,
     COUNTIFS($AF$3:$AF$201,$M362)&gt;0,
     COUNTIFS($AG$3:$AG$201,$M362)&gt;0,
     COUNTIFS($AH$3:$AH$201,$M362)&gt;0,
     COUNTIFS($AI$3:$AI$201,$M362)&gt;0,
     COUNTIFS($AJ$3:$AJ$201,$M362)&gt;0,
     COUNTIFS($AK$3:$AK$201,$M362)&gt;0,
     COUNTIFS($AL$3:$AL$201,$M362)&gt;0,
     COUNTIFS($AM$3:$AM$201,$M362)&gt;0,
     COUNTIFS($AN$3:$AN$201,$M362)&gt;0,
     COUNTIFS($AO$3:$AO$201,$M362)&gt;0,
     COUNTIFS($AP$3:$AP$201,$M362)&gt;0,
     COUNTIFS($AQ$3:$AQ$201,$M362)&gt;0,
     COUNTIFS($AR$3:$AR$201,$M362)&gt;0,
     COUNTIFS($AS$3:$AS$201,$M362)&gt;0,
     COUNTIFS($AT$3:$AT$201,$M362)&gt;0,
     COUNTIFS($AU$3:$AU$201,$M362)&gt;0
   )),
  4)
 ),
"")</f>
        <v/>
      </c>
    </row>
    <row r="363" spans="2:18" x14ac:dyDescent="0.25">
      <c r="B363" s="3" t="str" cm="1">
        <f t="array" ref="B363">_xlfn.ANCHORARRAY(RESUMO!C362)</f>
        <v/>
      </c>
      <c r="C363" s="3" t="str">
        <f t="shared" ca="1" si="20"/>
        <v/>
      </c>
      <c r="N363" s="3">
        <f t="shared" si="21"/>
        <v>0</v>
      </c>
      <c r="O363" s="3" t="str">
        <f>IFERROR(
 INDEX($T$2:$AW$2,
  MATCH(TRUE,
   CHOOSE({1;2;3;4;5;6;7;8;9;10;11;12;13;14;15;16;17;18;19;20;21;22;23;24;25;26;27;28;29;30;31;32},
    COUNTIFS($T$3:$T$201,$M363)&gt;0,
    COUNTIFS($U$3:$U$201,$M363)&gt;0,
    COUNTIFS($V$3:$V$201,$M363)&gt;0,
    COUNTIFS($W$3:$W$201,$M363)&gt;0,
    COUNTIFS($X$3:$X$201,$M363)&gt;0,
    COUNTIFS($Y$3:$Y$201,$M363)&gt;0,
    COUNTIFS($Z$3:$Z$201,$M363)&gt;0,
    COUNTIFS($AA$3:$AA$201,$M363)&gt;0,
    COUNTIFS($AB$3:$AB$201,$M363)&gt;0,
    COUNTIFS($AC$3:$AC$201,$M363)&gt;0,
    COUNTIFS($AD$3:$AD$201,$M363)&gt;0,
    COUNTIFS($AE$3:$AE$201,$M363)&gt;0,
    COUNTIFS($AF$3:$AF$201,$M363)&gt;0,
    COUNTIFS($AG$3:$AG$201,$M363)&gt;0,
    COUNTIFS($AH$3:$AH$201,$M363)&gt;0,
    COUNTIFS($AI$3:$AI$201,$M363)&gt;0,
    COUNTIFS($AJ$3:$AJ$201,$M363)&gt;0,
    COUNTIFS($AK$3:$AK$201,$M363)&gt;0,
    COUNTIFS($AL$3:$AL$201,$M363)&gt;0,
    COUNTIFS($AM$3:$AM$201,$M363)&gt;0,
    COUNTIFS($AN$3:$AN$201,$M363)&gt;0,
    COUNTIFS($AO$3:$AO$201,$M363)&gt;0,
    COUNTIFS($AP$3:$AP$201,$M363)&gt;0,
    COUNTIFS($AQ$3:$AQ$201,$M363)&gt;0,
    COUNTIFS($AR$3:$AR$201,$M363)&gt;0,
    COUNTIFS($AS$3:$AS$201,$M363)&gt;0,
    COUNTIFS($AT$3:$AT$201,$M363)&gt;0,
    COUNTIFS($AU$3:$AU$201,$M363)&gt;0,
    COUNTIFS($AV$3:$AV$201,$M363)&gt;0,
    COUNTIFS($AW$3:$AW$201,$M363)&gt;0
   ),
  0)
 ),
"")</f>
        <v/>
      </c>
      <c r="P363" s="3" t="str" cm="1">
        <f t="array" ref="P363">IFERROR(
 INDEX(
  _xlfn._xlws.FILTER($T$2:$AU$2,
   TRANSPOSE(
    CHOOSE({1;2;3;4;5;6;7;8;9;10;11;12;13;14;15;16;17;18;19;20;21;22;23;24;25;26;27;28},
     COUNTIFS($T$3:$T$201,$M363)&gt;0,
     COUNTIFS($U$3:$U$201,$M363)&gt;0,
     COUNTIFS($V$3:$V$201,$M363)&gt;0,
     COUNTIFS($W$3:$W$201,$M363)&gt;0,
     COUNTIFS($X$3:$X$201,$M363)&gt;0,
     COUNTIFS($Y$3:$Y$201,$M363)&gt;0,
     COUNTIFS($Z$3:$Z$201,$M363)&gt;0,
     COUNTIFS($AA$3:$AA$201,$M363)&gt;0,
     COUNTIFS($AB$3:$AB$201,$M363)&gt;0,
     COUNTIFS($AC$3:$AC$201,$M363)&gt;0,
     COUNTIFS($AD$3:$AD$201,$M363)&gt;0,
     COUNTIFS($AE$3:$AE$201,$M363)&gt;0,
     COUNTIFS($AF$3:$AF$201,$M363)&gt;0,
     COUNTIFS($AG$3:$AG$201,$M363)&gt;0,
     COUNTIFS($AH$3:$AH$201,$M363)&gt;0,
     COUNTIFS($AI$3:$AI$201,$M363)&gt;0,
     COUNTIFS($AJ$3:$AJ$201,$M363)&gt;0,
     COUNTIFS($AK$3:$AK$201,$M363)&gt;0,
     COUNTIFS($AL$3:$AL$201,$M363)&gt;0,
     COUNTIFS($AM$3:$AM$201,$M363)&gt;0,
     COUNTIFS($AN$3:$AN$201,$M363)&gt;0,
     COUNTIFS($AO$3:$AO$201,$M363)&gt;0,
     COUNTIFS($AP$3:$AP$201,$M363)&gt;0,
     COUNTIFS($AQ$3:$AQ$201,$M363)&gt;0,
     COUNTIFS($AR$3:$AR$201,$M363)&gt;0,
     COUNTIFS($AS$3:$AS$201,$M363)&gt;0,
     COUNTIFS($AT$3:$AT$201,$M363)&gt;0,
     COUNTIFS($AU$3:$AU$201,$M363)&gt;0
   )),
  ),
  2
 ),
"")</f>
        <v/>
      </c>
      <c r="Q363" s="3" t="str" cm="1">
        <f t="array" ref="Q363">IFERROR(
 INDEX($T$2:$AU$2,
  _xlfn.AGGREGATE(15,6,
   (COLUMN($T$2:$AU$2)-COLUMN($T$2)+1)/
   TRANSPOSE(
    CHOOSE({1;2;3;4;5;6;7;8;9;10;11;12;13;14;15;16;17;18;19;20;21;22;23;24;25;26;27;28},
     COUNTIFS($T$3:$T$201,$M363)&gt;0,
     COUNTIFS($U$3:$U$201,$M363)&gt;0,
     COUNTIFS($V$3:$V$201,$M363)&gt;0,
     COUNTIFS($W$3:$W$201,$M363)&gt;0,
     COUNTIFS($X$3:$X$201,$M363)&gt;0,
     COUNTIFS($Y$3:$Y$201,$M363)&gt;0,
     COUNTIFS($Z$3:$Z$201,$M363)&gt;0,
     COUNTIFS($AA$3:$AA$201,$M363)&gt;0,
     COUNTIFS($AB$3:$AB$201,$M363)&gt;0,
     COUNTIFS($AC$3:$AC$201,$M363)&gt;0,
     COUNTIFS($AD$3:$AD$201,$M363)&gt;0,
     COUNTIFS($AE$3:$AE$201,$M363)&gt;0,
     COUNTIFS($AF$3:$AF$201,$M363)&gt;0,
     COUNTIFS($AG$3:$AG$201,$M363)&gt;0,
     COUNTIFS($AH$3:$AH$201,$M363)&gt;0,
     COUNTIFS($AI$3:$AI$201,$M363)&gt;0,
     COUNTIFS($AJ$3:$AJ$201,$M363)&gt;0,
     COUNTIFS($AK$3:$AK$201,$M363)&gt;0,
     COUNTIFS($AL$3:$AL$201,$M363)&gt;0,
     COUNTIFS($AM$3:$AM$201,$M363)&gt;0,
     COUNTIFS($AN$3:$AN$201,$M363)&gt;0,
     COUNTIFS($AO$3:$AO$201,$M363)&gt;0,
     COUNTIFS($AP$3:$AP$201,$M363)&gt;0,
     COUNTIFS($AQ$3:$AQ$201,$M363)&gt;0,
     COUNTIFS($AR$3:$AR$201,$M363)&gt;0,
     COUNTIFS($AS$3:$AS$201,$M363)&gt;0,
     COUNTIFS($AT$3:$AT$201,$M363)&gt;0,
     COUNTIFS($AU$3:$AU$201,$M363)&gt;0
   )),
  3)
 ),
"")</f>
        <v/>
      </c>
      <c r="R363" s="3" t="str" cm="1">
        <f t="array" ref="R363">IFERROR(
 INDEX($T$2:$AU$2,
  _xlfn.AGGREGATE(15,6,
   (COLUMN($T$2:$AU$2)-COLUMN($T$2)+1)/
   TRANSPOSE(
    CHOOSE({1;2;3;4;5;6;7;8;9;10;11;12;13;14;15;16;17;18;19;20;21;22;23;24;25;26;27;28},
     COUNTIFS($T$3:$T$201,$M363)&gt;0,
     COUNTIFS($U$3:$U$201,$M363)&gt;0,
     COUNTIFS($V$3:$V$201,$M363)&gt;0,
     COUNTIFS($W$3:$W$201,$M363)&gt;0,
     COUNTIFS($X$3:$X$201,$M363)&gt;0,
     COUNTIFS($Y$3:$Y$201,$M363)&gt;0,
     COUNTIFS($Z$3:$Z$201,$M363)&gt;0,
     COUNTIFS($AA$3:$AA$201,$M363)&gt;0,
     COUNTIFS($AB$3:$AB$201,$M363)&gt;0,
     COUNTIFS($AC$3:$AC$201,$M363)&gt;0,
     COUNTIFS($AD$3:$AD$201,$M363)&gt;0,
     COUNTIFS($AE$3:$AE$201,$M363)&gt;0,
     COUNTIFS($AF$3:$AF$201,$M363)&gt;0,
     COUNTIFS($AG$3:$AG$201,$M363)&gt;0,
     COUNTIFS($AH$3:$AH$201,$M363)&gt;0,
     COUNTIFS($AI$3:$AI$201,$M363)&gt;0,
     COUNTIFS($AJ$3:$AJ$201,$M363)&gt;0,
     COUNTIFS($AK$3:$AK$201,$M363)&gt;0,
     COUNTIFS($AL$3:$AL$201,$M363)&gt;0,
     COUNTIFS($AM$3:$AM$201,$M363)&gt;0,
     COUNTIFS($AN$3:$AN$201,$M363)&gt;0,
     COUNTIFS($AO$3:$AO$201,$M363)&gt;0,
     COUNTIFS($AP$3:$AP$201,$M363)&gt;0,
     COUNTIFS($AQ$3:$AQ$201,$M363)&gt;0,
     COUNTIFS($AR$3:$AR$201,$M363)&gt;0,
     COUNTIFS($AS$3:$AS$201,$M363)&gt;0,
     COUNTIFS($AT$3:$AT$201,$M363)&gt;0,
     COUNTIFS($AU$3:$AU$201,$M363)&gt;0
   )),
  4)
 ),
"")</f>
        <v/>
      </c>
    </row>
    <row r="364" spans="2:18" x14ac:dyDescent="0.25">
      <c r="B364" s="3" t="str" cm="1">
        <f t="array" ref="B364">_xlfn.ANCHORARRAY(RESUMO!C363)</f>
        <v/>
      </c>
      <c r="C364" s="3" t="str">
        <f t="shared" ca="1" si="20"/>
        <v/>
      </c>
      <c r="N364" s="3">
        <f t="shared" si="21"/>
        <v>0</v>
      </c>
      <c r="O364" s="3" t="str">
        <f>IFERROR(
 INDEX($T$2:$AW$2,
  MATCH(TRUE,
   CHOOSE({1;2;3;4;5;6;7;8;9;10;11;12;13;14;15;16;17;18;19;20;21;22;23;24;25;26;27;28;29;30;31;32},
    COUNTIFS($T$3:$T$201,$M364)&gt;0,
    COUNTIFS($U$3:$U$201,$M364)&gt;0,
    COUNTIFS($V$3:$V$201,$M364)&gt;0,
    COUNTIFS($W$3:$W$201,$M364)&gt;0,
    COUNTIFS($X$3:$X$201,$M364)&gt;0,
    COUNTIFS($Y$3:$Y$201,$M364)&gt;0,
    COUNTIFS($Z$3:$Z$201,$M364)&gt;0,
    COUNTIFS($AA$3:$AA$201,$M364)&gt;0,
    COUNTIFS($AB$3:$AB$201,$M364)&gt;0,
    COUNTIFS($AC$3:$AC$201,$M364)&gt;0,
    COUNTIFS($AD$3:$AD$201,$M364)&gt;0,
    COUNTIFS($AE$3:$AE$201,$M364)&gt;0,
    COUNTIFS($AF$3:$AF$201,$M364)&gt;0,
    COUNTIFS($AG$3:$AG$201,$M364)&gt;0,
    COUNTIFS($AH$3:$AH$201,$M364)&gt;0,
    COUNTIFS($AI$3:$AI$201,$M364)&gt;0,
    COUNTIFS($AJ$3:$AJ$201,$M364)&gt;0,
    COUNTIFS($AK$3:$AK$201,$M364)&gt;0,
    COUNTIFS($AL$3:$AL$201,$M364)&gt;0,
    COUNTIFS($AM$3:$AM$201,$M364)&gt;0,
    COUNTIFS($AN$3:$AN$201,$M364)&gt;0,
    COUNTIFS($AO$3:$AO$201,$M364)&gt;0,
    COUNTIFS($AP$3:$AP$201,$M364)&gt;0,
    COUNTIFS($AQ$3:$AQ$201,$M364)&gt;0,
    COUNTIFS($AR$3:$AR$201,$M364)&gt;0,
    COUNTIFS($AS$3:$AS$201,$M364)&gt;0,
    COUNTIFS($AT$3:$AT$201,$M364)&gt;0,
    COUNTIFS($AU$3:$AU$201,$M364)&gt;0,
    COUNTIFS($AV$3:$AV$201,$M364)&gt;0,
    COUNTIFS($AW$3:$AW$201,$M364)&gt;0
   ),
  0)
 ),
"")</f>
        <v/>
      </c>
      <c r="P364" s="3" t="str" cm="1">
        <f t="array" ref="P364">IFERROR(
 INDEX(
  _xlfn._xlws.FILTER($T$2:$AU$2,
   TRANSPOSE(
    CHOOSE({1;2;3;4;5;6;7;8;9;10;11;12;13;14;15;16;17;18;19;20;21;22;23;24;25;26;27;28},
     COUNTIFS($T$3:$T$201,$M364)&gt;0,
     COUNTIFS($U$3:$U$201,$M364)&gt;0,
     COUNTIFS($V$3:$V$201,$M364)&gt;0,
     COUNTIFS($W$3:$W$201,$M364)&gt;0,
     COUNTIFS($X$3:$X$201,$M364)&gt;0,
     COUNTIFS($Y$3:$Y$201,$M364)&gt;0,
     COUNTIFS($Z$3:$Z$201,$M364)&gt;0,
     COUNTIFS($AA$3:$AA$201,$M364)&gt;0,
     COUNTIFS($AB$3:$AB$201,$M364)&gt;0,
     COUNTIFS($AC$3:$AC$201,$M364)&gt;0,
     COUNTIFS($AD$3:$AD$201,$M364)&gt;0,
     COUNTIFS($AE$3:$AE$201,$M364)&gt;0,
     COUNTIFS($AF$3:$AF$201,$M364)&gt;0,
     COUNTIFS($AG$3:$AG$201,$M364)&gt;0,
     COUNTIFS($AH$3:$AH$201,$M364)&gt;0,
     COUNTIFS($AI$3:$AI$201,$M364)&gt;0,
     COUNTIFS($AJ$3:$AJ$201,$M364)&gt;0,
     COUNTIFS($AK$3:$AK$201,$M364)&gt;0,
     COUNTIFS($AL$3:$AL$201,$M364)&gt;0,
     COUNTIFS($AM$3:$AM$201,$M364)&gt;0,
     COUNTIFS($AN$3:$AN$201,$M364)&gt;0,
     COUNTIFS($AO$3:$AO$201,$M364)&gt;0,
     COUNTIFS($AP$3:$AP$201,$M364)&gt;0,
     COUNTIFS($AQ$3:$AQ$201,$M364)&gt;0,
     COUNTIFS($AR$3:$AR$201,$M364)&gt;0,
     COUNTIFS($AS$3:$AS$201,$M364)&gt;0,
     COUNTIFS($AT$3:$AT$201,$M364)&gt;0,
     COUNTIFS($AU$3:$AU$201,$M364)&gt;0
   )),
  ),
  2
 ),
"")</f>
        <v/>
      </c>
      <c r="Q364" s="3" t="str" cm="1">
        <f t="array" ref="Q364">IFERROR(
 INDEX($T$2:$AU$2,
  _xlfn.AGGREGATE(15,6,
   (COLUMN($T$2:$AU$2)-COLUMN($T$2)+1)/
   TRANSPOSE(
    CHOOSE({1;2;3;4;5;6;7;8;9;10;11;12;13;14;15;16;17;18;19;20;21;22;23;24;25;26;27;28},
     COUNTIFS($T$3:$T$201,$M364)&gt;0,
     COUNTIFS($U$3:$U$201,$M364)&gt;0,
     COUNTIFS($V$3:$V$201,$M364)&gt;0,
     COUNTIFS($W$3:$W$201,$M364)&gt;0,
     COUNTIFS($X$3:$X$201,$M364)&gt;0,
     COUNTIFS($Y$3:$Y$201,$M364)&gt;0,
     COUNTIFS($Z$3:$Z$201,$M364)&gt;0,
     COUNTIFS($AA$3:$AA$201,$M364)&gt;0,
     COUNTIFS($AB$3:$AB$201,$M364)&gt;0,
     COUNTIFS($AC$3:$AC$201,$M364)&gt;0,
     COUNTIFS($AD$3:$AD$201,$M364)&gt;0,
     COUNTIFS($AE$3:$AE$201,$M364)&gt;0,
     COUNTIFS($AF$3:$AF$201,$M364)&gt;0,
     COUNTIFS($AG$3:$AG$201,$M364)&gt;0,
     COUNTIFS($AH$3:$AH$201,$M364)&gt;0,
     COUNTIFS($AI$3:$AI$201,$M364)&gt;0,
     COUNTIFS($AJ$3:$AJ$201,$M364)&gt;0,
     COUNTIFS($AK$3:$AK$201,$M364)&gt;0,
     COUNTIFS($AL$3:$AL$201,$M364)&gt;0,
     COUNTIFS($AM$3:$AM$201,$M364)&gt;0,
     COUNTIFS($AN$3:$AN$201,$M364)&gt;0,
     COUNTIFS($AO$3:$AO$201,$M364)&gt;0,
     COUNTIFS($AP$3:$AP$201,$M364)&gt;0,
     COUNTIFS($AQ$3:$AQ$201,$M364)&gt;0,
     COUNTIFS($AR$3:$AR$201,$M364)&gt;0,
     COUNTIFS($AS$3:$AS$201,$M364)&gt;0,
     COUNTIFS($AT$3:$AT$201,$M364)&gt;0,
     COUNTIFS($AU$3:$AU$201,$M364)&gt;0
   )),
  3)
 ),
"")</f>
        <v/>
      </c>
      <c r="R364" s="3" t="str" cm="1">
        <f t="array" ref="R364">IFERROR(
 INDEX($T$2:$AU$2,
  _xlfn.AGGREGATE(15,6,
   (COLUMN($T$2:$AU$2)-COLUMN($T$2)+1)/
   TRANSPOSE(
    CHOOSE({1;2;3;4;5;6;7;8;9;10;11;12;13;14;15;16;17;18;19;20;21;22;23;24;25;26;27;28},
     COUNTIFS($T$3:$T$201,$M364)&gt;0,
     COUNTIFS($U$3:$U$201,$M364)&gt;0,
     COUNTIFS($V$3:$V$201,$M364)&gt;0,
     COUNTIFS($W$3:$W$201,$M364)&gt;0,
     COUNTIFS($X$3:$X$201,$M364)&gt;0,
     COUNTIFS($Y$3:$Y$201,$M364)&gt;0,
     COUNTIFS($Z$3:$Z$201,$M364)&gt;0,
     COUNTIFS($AA$3:$AA$201,$M364)&gt;0,
     COUNTIFS($AB$3:$AB$201,$M364)&gt;0,
     COUNTIFS($AC$3:$AC$201,$M364)&gt;0,
     COUNTIFS($AD$3:$AD$201,$M364)&gt;0,
     COUNTIFS($AE$3:$AE$201,$M364)&gt;0,
     COUNTIFS($AF$3:$AF$201,$M364)&gt;0,
     COUNTIFS($AG$3:$AG$201,$M364)&gt;0,
     COUNTIFS($AH$3:$AH$201,$M364)&gt;0,
     COUNTIFS($AI$3:$AI$201,$M364)&gt;0,
     COUNTIFS($AJ$3:$AJ$201,$M364)&gt;0,
     COUNTIFS($AK$3:$AK$201,$M364)&gt;0,
     COUNTIFS($AL$3:$AL$201,$M364)&gt;0,
     COUNTIFS($AM$3:$AM$201,$M364)&gt;0,
     COUNTIFS($AN$3:$AN$201,$M364)&gt;0,
     COUNTIFS($AO$3:$AO$201,$M364)&gt;0,
     COUNTIFS($AP$3:$AP$201,$M364)&gt;0,
     COUNTIFS($AQ$3:$AQ$201,$M364)&gt;0,
     COUNTIFS($AR$3:$AR$201,$M364)&gt;0,
     COUNTIFS($AS$3:$AS$201,$M364)&gt;0,
     COUNTIFS($AT$3:$AT$201,$M364)&gt;0,
     COUNTIFS($AU$3:$AU$201,$M364)&gt;0
   )),
  4)
 ),
"")</f>
        <v/>
      </c>
    </row>
    <row r="365" spans="2:18" x14ac:dyDescent="0.25">
      <c r="B365" s="3" t="str" cm="1">
        <f t="array" ref="B365">_xlfn.ANCHORARRAY(RESUMO!C364)</f>
        <v/>
      </c>
      <c r="C365" s="3" t="str">
        <f t="shared" ca="1" si="20"/>
        <v/>
      </c>
      <c r="N365" s="3">
        <f t="shared" si="21"/>
        <v>0</v>
      </c>
      <c r="O365" s="3" t="str">
        <f>IFERROR(
 INDEX($T$2:$AW$2,
  MATCH(TRUE,
   CHOOSE({1;2;3;4;5;6;7;8;9;10;11;12;13;14;15;16;17;18;19;20;21;22;23;24;25;26;27;28;29;30;31;32},
    COUNTIFS($T$3:$T$201,$M365)&gt;0,
    COUNTIFS($U$3:$U$201,$M365)&gt;0,
    COUNTIFS($V$3:$V$201,$M365)&gt;0,
    COUNTIFS($W$3:$W$201,$M365)&gt;0,
    COUNTIFS($X$3:$X$201,$M365)&gt;0,
    COUNTIFS($Y$3:$Y$201,$M365)&gt;0,
    COUNTIFS($Z$3:$Z$201,$M365)&gt;0,
    COUNTIFS($AA$3:$AA$201,$M365)&gt;0,
    COUNTIFS($AB$3:$AB$201,$M365)&gt;0,
    COUNTIFS($AC$3:$AC$201,$M365)&gt;0,
    COUNTIFS($AD$3:$AD$201,$M365)&gt;0,
    COUNTIFS($AE$3:$AE$201,$M365)&gt;0,
    COUNTIFS($AF$3:$AF$201,$M365)&gt;0,
    COUNTIFS($AG$3:$AG$201,$M365)&gt;0,
    COUNTIFS($AH$3:$AH$201,$M365)&gt;0,
    COUNTIFS($AI$3:$AI$201,$M365)&gt;0,
    COUNTIFS($AJ$3:$AJ$201,$M365)&gt;0,
    COUNTIFS($AK$3:$AK$201,$M365)&gt;0,
    COUNTIFS($AL$3:$AL$201,$M365)&gt;0,
    COUNTIFS($AM$3:$AM$201,$M365)&gt;0,
    COUNTIFS($AN$3:$AN$201,$M365)&gt;0,
    COUNTIFS($AO$3:$AO$201,$M365)&gt;0,
    COUNTIFS($AP$3:$AP$201,$M365)&gt;0,
    COUNTIFS($AQ$3:$AQ$201,$M365)&gt;0,
    COUNTIFS($AR$3:$AR$201,$M365)&gt;0,
    COUNTIFS($AS$3:$AS$201,$M365)&gt;0,
    COUNTIFS($AT$3:$AT$201,$M365)&gt;0,
    COUNTIFS($AU$3:$AU$201,$M365)&gt;0,
    COUNTIFS($AV$3:$AV$201,$M365)&gt;0,
    COUNTIFS($AW$3:$AW$201,$M365)&gt;0
   ),
  0)
 ),
"")</f>
        <v/>
      </c>
      <c r="P365" s="3" t="str" cm="1">
        <f t="array" ref="P365">IFERROR(
 INDEX(
  _xlfn._xlws.FILTER($T$2:$AU$2,
   TRANSPOSE(
    CHOOSE({1;2;3;4;5;6;7;8;9;10;11;12;13;14;15;16;17;18;19;20;21;22;23;24;25;26;27;28},
     COUNTIFS($T$3:$T$201,$M365)&gt;0,
     COUNTIFS($U$3:$U$201,$M365)&gt;0,
     COUNTIFS($V$3:$V$201,$M365)&gt;0,
     COUNTIFS($W$3:$W$201,$M365)&gt;0,
     COUNTIFS($X$3:$X$201,$M365)&gt;0,
     COUNTIFS($Y$3:$Y$201,$M365)&gt;0,
     COUNTIFS($Z$3:$Z$201,$M365)&gt;0,
     COUNTIFS($AA$3:$AA$201,$M365)&gt;0,
     COUNTIFS($AB$3:$AB$201,$M365)&gt;0,
     COUNTIFS($AC$3:$AC$201,$M365)&gt;0,
     COUNTIFS($AD$3:$AD$201,$M365)&gt;0,
     COUNTIFS($AE$3:$AE$201,$M365)&gt;0,
     COUNTIFS($AF$3:$AF$201,$M365)&gt;0,
     COUNTIFS($AG$3:$AG$201,$M365)&gt;0,
     COUNTIFS($AH$3:$AH$201,$M365)&gt;0,
     COUNTIFS($AI$3:$AI$201,$M365)&gt;0,
     COUNTIFS($AJ$3:$AJ$201,$M365)&gt;0,
     COUNTIFS($AK$3:$AK$201,$M365)&gt;0,
     COUNTIFS($AL$3:$AL$201,$M365)&gt;0,
     COUNTIFS($AM$3:$AM$201,$M365)&gt;0,
     COUNTIFS($AN$3:$AN$201,$M365)&gt;0,
     COUNTIFS($AO$3:$AO$201,$M365)&gt;0,
     COUNTIFS($AP$3:$AP$201,$M365)&gt;0,
     COUNTIFS($AQ$3:$AQ$201,$M365)&gt;0,
     COUNTIFS($AR$3:$AR$201,$M365)&gt;0,
     COUNTIFS($AS$3:$AS$201,$M365)&gt;0,
     COUNTIFS($AT$3:$AT$201,$M365)&gt;0,
     COUNTIFS($AU$3:$AU$201,$M365)&gt;0
   )),
  ),
  2
 ),
"")</f>
        <v/>
      </c>
      <c r="Q365" s="3" t="str" cm="1">
        <f t="array" ref="Q365">IFERROR(
 INDEX($T$2:$AU$2,
  _xlfn.AGGREGATE(15,6,
   (COLUMN($T$2:$AU$2)-COLUMN($T$2)+1)/
   TRANSPOSE(
    CHOOSE({1;2;3;4;5;6;7;8;9;10;11;12;13;14;15;16;17;18;19;20;21;22;23;24;25;26;27;28},
     COUNTIFS($T$3:$T$201,$M365)&gt;0,
     COUNTIFS($U$3:$U$201,$M365)&gt;0,
     COUNTIFS($V$3:$V$201,$M365)&gt;0,
     COUNTIFS($W$3:$W$201,$M365)&gt;0,
     COUNTIFS($X$3:$X$201,$M365)&gt;0,
     COUNTIFS($Y$3:$Y$201,$M365)&gt;0,
     COUNTIFS($Z$3:$Z$201,$M365)&gt;0,
     COUNTIFS($AA$3:$AA$201,$M365)&gt;0,
     COUNTIFS($AB$3:$AB$201,$M365)&gt;0,
     COUNTIFS($AC$3:$AC$201,$M365)&gt;0,
     COUNTIFS($AD$3:$AD$201,$M365)&gt;0,
     COUNTIFS($AE$3:$AE$201,$M365)&gt;0,
     COUNTIFS($AF$3:$AF$201,$M365)&gt;0,
     COUNTIFS($AG$3:$AG$201,$M365)&gt;0,
     COUNTIFS($AH$3:$AH$201,$M365)&gt;0,
     COUNTIFS($AI$3:$AI$201,$M365)&gt;0,
     COUNTIFS($AJ$3:$AJ$201,$M365)&gt;0,
     COUNTIFS($AK$3:$AK$201,$M365)&gt;0,
     COUNTIFS($AL$3:$AL$201,$M365)&gt;0,
     COUNTIFS($AM$3:$AM$201,$M365)&gt;0,
     COUNTIFS($AN$3:$AN$201,$M365)&gt;0,
     COUNTIFS($AO$3:$AO$201,$M365)&gt;0,
     COUNTIFS($AP$3:$AP$201,$M365)&gt;0,
     COUNTIFS($AQ$3:$AQ$201,$M365)&gt;0,
     COUNTIFS($AR$3:$AR$201,$M365)&gt;0,
     COUNTIFS($AS$3:$AS$201,$M365)&gt;0,
     COUNTIFS($AT$3:$AT$201,$M365)&gt;0,
     COUNTIFS($AU$3:$AU$201,$M365)&gt;0
   )),
  3)
 ),
"")</f>
        <v/>
      </c>
      <c r="R365" s="3" t="str" cm="1">
        <f t="array" ref="R365">IFERROR(
 INDEX($T$2:$AU$2,
  _xlfn.AGGREGATE(15,6,
   (COLUMN($T$2:$AU$2)-COLUMN($T$2)+1)/
   TRANSPOSE(
    CHOOSE({1;2;3;4;5;6;7;8;9;10;11;12;13;14;15;16;17;18;19;20;21;22;23;24;25;26;27;28},
     COUNTIFS($T$3:$T$201,$M365)&gt;0,
     COUNTIFS($U$3:$U$201,$M365)&gt;0,
     COUNTIFS($V$3:$V$201,$M365)&gt;0,
     COUNTIFS($W$3:$W$201,$M365)&gt;0,
     COUNTIFS($X$3:$X$201,$M365)&gt;0,
     COUNTIFS($Y$3:$Y$201,$M365)&gt;0,
     COUNTIFS($Z$3:$Z$201,$M365)&gt;0,
     COUNTIFS($AA$3:$AA$201,$M365)&gt;0,
     COUNTIFS($AB$3:$AB$201,$M365)&gt;0,
     COUNTIFS($AC$3:$AC$201,$M365)&gt;0,
     COUNTIFS($AD$3:$AD$201,$M365)&gt;0,
     COUNTIFS($AE$3:$AE$201,$M365)&gt;0,
     COUNTIFS($AF$3:$AF$201,$M365)&gt;0,
     COUNTIFS($AG$3:$AG$201,$M365)&gt;0,
     COUNTIFS($AH$3:$AH$201,$M365)&gt;0,
     COUNTIFS($AI$3:$AI$201,$M365)&gt;0,
     COUNTIFS($AJ$3:$AJ$201,$M365)&gt;0,
     COUNTIFS($AK$3:$AK$201,$M365)&gt;0,
     COUNTIFS($AL$3:$AL$201,$M365)&gt;0,
     COUNTIFS($AM$3:$AM$201,$M365)&gt;0,
     COUNTIFS($AN$3:$AN$201,$M365)&gt;0,
     COUNTIFS($AO$3:$AO$201,$M365)&gt;0,
     COUNTIFS($AP$3:$AP$201,$M365)&gt;0,
     COUNTIFS($AQ$3:$AQ$201,$M365)&gt;0,
     COUNTIFS($AR$3:$AR$201,$M365)&gt;0,
     COUNTIFS($AS$3:$AS$201,$M365)&gt;0,
     COUNTIFS($AT$3:$AT$201,$M365)&gt;0,
     COUNTIFS($AU$3:$AU$201,$M365)&gt;0
   )),
  4)
 ),
"")</f>
        <v/>
      </c>
    </row>
    <row r="366" spans="2:18" x14ac:dyDescent="0.25">
      <c r="B366" s="3" t="str" cm="1">
        <f t="array" ref="B366">_xlfn.ANCHORARRAY(RESUMO!C365)</f>
        <v/>
      </c>
      <c r="C366" s="3" t="str">
        <f t="shared" ca="1" si="20"/>
        <v/>
      </c>
      <c r="N366" s="3">
        <f t="shared" si="21"/>
        <v>0</v>
      </c>
      <c r="O366" s="3" t="str">
        <f>IFERROR(
 INDEX($T$2:$AW$2,
  MATCH(TRUE,
   CHOOSE({1;2;3;4;5;6;7;8;9;10;11;12;13;14;15;16;17;18;19;20;21;22;23;24;25;26;27;28;29;30;31;32},
    COUNTIFS($T$3:$T$201,$M366)&gt;0,
    COUNTIFS($U$3:$U$201,$M366)&gt;0,
    COUNTIFS($V$3:$V$201,$M366)&gt;0,
    COUNTIFS($W$3:$W$201,$M366)&gt;0,
    COUNTIFS($X$3:$X$201,$M366)&gt;0,
    COUNTIFS($Y$3:$Y$201,$M366)&gt;0,
    COUNTIFS($Z$3:$Z$201,$M366)&gt;0,
    COUNTIFS($AA$3:$AA$201,$M366)&gt;0,
    COUNTIFS($AB$3:$AB$201,$M366)&gt;0,
    COUNTIFS($AC$3:$AC$201,$M366)&gt;0,
    COUNTIFS($AD$3:$AD$201,$M366)&gt;0,
    COUNTIFS($AE$3:$AE$201,$M366)&gt;0,
    COUNTIFS($AF$3:$AF$201,$M366)&gt;0,
    COUNTIFS($AG$3:$AG$201,$M366)&gt;0,
    COUNTIFS($AH$3:$AH$201,$M366)&gt;0,
    COUNTIFS($AI$3:$AI$201,$M366)&gt;0,
    COUNTIFS($AJ$3:$AJ$201,$M366)&gt;0,
    COUNTIFS($AK$3:$AK$201,$M366)&gt;0,
    COUNTIFS($AL$3:$AL$201,$M366)&gt;0,
    COUNTIFS($AM$3:$AM$201,$M366)&gt;0,
    COUNTIFS($AN$3:$AN$201,$M366)&gt;0,
    COUNTIFS($AO$3:$AO$201,$M366)&gt;0,
    COUNTIFS($AP$3:$AP$201,$M366)&gt;0,
    COUNTIFS($AQ$3:$AQ$201,$M366)&gt;0,
    COUNTIFS($AR$3:$AR$201,$M366)&gt;0,
    COUNTIFS($AS$3:$AS$201,$M366)&gt;0,
    COUNTIFS($AT$3:$AT$201,$M366)&gt;0,
    COUNTIFS($AU$3:$AU$201,$M366)&gt;0,
    COUNTIFS($AV$3:$AV$201,$M366)&gt;0,
    COUNTIFS($AW$3:$AW$201,$M366)&gt;0
   ),
  0)
 ),
"")</f>
        <v/>
      </c>
      <c r="P366" s="3" t="str" cm="1">
        <f t="array" ref="P366">IFERROR(
 INDEX(
  _xlfn._xlws.FILTER($T$2:$AU$2,
   TRANSPOSE(
    CHOOSE({1;2;3;4;5;6;7;8;9;10;11;12;13;14;15;16;17;18;19;20;21;22;23;24;25;26;27;28},
     COUNTIFS($T$3:$T$201,$M366)&gt;0,
     COUNTIFS($U$3:$U$201,$M366)&gt;0,
     COUNTIFS($V$3:$V$201,$M366)&gt;0,
     COUNTIFS($W$3:$W$201,$M366)&gt;0,
     COUNTIFS($X$3:$X$201,$M366)&gt;0,
     COUNTIFS($Y$3:$Y$201,$M366)&gt;0,
     COUNTIFS($Z$3:$Z$201,$M366)&gt;0,
     COUNTIFS($AA$3:$AA$201,$M366)&gt;0,
     COUNTIFS($AB$3:$AB$201,$M366)&gt;0,
     COUNTIFS($AC$3:$AC$201,$M366)&gt;0,
     COUNTIFS($AD$3:$AD$201,$M366)&gt;0,
     COUNTIFS($AE$3:$AE$201,$M366)&gt;0,
     COUNTIFS($AF$3:$AF$201,$M366)&gt;0,
     COUNTIFS($AG$3:$AG$201,$M366)&gt;0,
     COUNTIFS($AH$3:$AH$201,$M366)&gt;0,
     COUNTIFS($AI$3:$AI$201,$M366)&gt;0,
     COUNTIFS($AJ$3:$AJ$201,$M366)&gt;0,
     COUNTIFS($AK$3:$AK$201,$M366)&gt;0,
     COUNTIFS($AL$3:$AL$201,$M366)&gt;0,
     COUNTIFS($AM$3:$AM$201,$M366)&gt;0,
     COUNTIFS($AN$3:$AN$201,$M366)&gt;0,
     COUNTIFS($AO$3:$AO$201,$M366)&gt;0,
     COUNTIFS($AP$3:$AP$201,$M366)&gt;0,
     COUNTIFS($AQ$3:$AQ$201,$M366)&gt;0,
     COUNTIFS($AR$3:$AR$201,$M366)&gt;0,
     COUNTIFS($AS$3:$AS$201,$M366)&gt;0,
     COUNTIFS($AT$3:$AT$201,$M366)&gt;0,
     COUNTIFS($AU$3:$AU$201,$M366)&gt;0
   )),
  ),
  2
 ),
"")</f>
        <v/>
      </c>
      <c r="Q366" s="3" t="str" cm="1">
        <f t="array" ref="Q366">IFERROR(
 INDEX($T$2:$AU$2,
  _xlfn.AGGREGATE(15,6,
   (COLUMN($T$2:$AU$2)-COLUMN($T$2)+1)/
   TRANSPOSE(
    CHOOSE({1;2;3;4;5;6;7;8;9;10;11;12;13;14;15;16;17;18;19;20;21;22;23;24;25;26;27;28},
     COUNTIFS($T$3:$T$201,$M366)&gt;0,
     COUNTIFS($U$3:$U$201,$M366)&gt;0,
     COUNTIFS($V$3:$V$201,$M366)&gt;0,
     COUNTIFS($W$3:$W$201,$M366)&gt;0,
     COUNTIFS($X$3:$X$201,$M366)&gt;0,
     COUNTIFS($Y$3:$Y$201,$M366)&gt;0,
     COUNTIFS($Z$3:$Z$201,$M366)&gt;0,
     COUNTIFS($AA$3:$AA$201,$M366)&gt;0,
     COUNTIFS($AB$3:$AB$201,$M366)&gt;0,
     COUNTIFS($AC$3:$AC$201,$M366)&gt;0,
     COUNTIFS($AD$3:$AD$201,$M366)&gt;0,
     COUNTIFS($AE$3:$AE$201,$M366)&gt;0,
     COUNTIFS($AF$3:$AF$201,$M366)&gt;0,
     COUNTIFS($AG$3:$AG$201,$M366)&gt;0,
     COUNTIFS($AH$3:$AH$201,$M366)&gt;0,
     COUNTIFS($AI$3:$AI$201,$M366)&gt;0,
     COUNTIFS($AJ$3:$AJ$201,$M366)&gt;0,
     COUNTIFS($AK$3:$AK$201,$M366)&gt;0,
     COUNTIFS($AL$3:$AL$201,$M366)&gt;0,
     COUNTIFS($AM$3:$AM$201,$M366)&gt;0,
     COUNTIFS($AN$3:$AN$201,$M366)&gt;0,
     COUNTIFS($AO$3:$AO$201,$M366)&gt;0,
     COUNTIFS($AP$3:$AP$201,$M366)&gt;0,
     COUNTIFS($AQ$3:$AQ$201,$M366)&gt;0,
     COUNTIFS($AR$3:$AR$201,$M366)&gt;0,
     COUNTIFS($AS$3:$AS$201,$M366)&gt;0,
     COUNTIFS($AT$3:$AT$201,$M366)&gt;0,
     COUNTIFS($AU$3:$AU$201,$M366)&gt;0
   )),
  3)
 ),
"")</f>
        <v/>
      </c>
      <c r="R366" s="3" t="str" cm="1">
        <f t="array" ref="R366">IFERROR(
 INDEX($T$2:$AU$2,
  _xlfn.AGGREGATE(15,6,
   (COLUMN($T$2:$AU$2)-COLUMN($T$2)+1)/
   TRANSPOSE(
    CHOOSE({1;2;3;4;5;6;7;8;9;10;11;12;13;14;15;16;17;18;19;20;21;22;23;24;25;26;27;28},
     COUNTIFS($T$3:$T$201,$M366)&gt;0,
     COUNTIFS($U$3:$U$201,$M366)&gt;0,
     COUNTIFS($V$3:$V$201,$M366)&gt;0,
     COUNTIFS($W$3:$W$201,$M366)&gt;0,
     COUNTIFS($X$3:$X$201,$M366)&gt;0,
     COUNTIFS($Y$3:$Y$201,$M366)&gt;0,
     COUNTIFS($Z$3:$Z$201,$M366)&gt;0,
     COUNTIFS($AA$3:$AA$201,$M366)&gt;0,
     COUNTIFS($AB$3:$AB$201,$M366)&gt;0,
     COUNTIFS($AC$3:$AC$201,$M366)&gt;0,
     COUNTIFS($AD$3:$AD$201,$M366)&gt;0,
     COUNTIFS($AE$3:$AE$201,$M366)&gt;0,
     COUNTIFS($AF$3:$AF$201,$M366)&gt;0,
     COUNTIFS($AG$3:$AG$201,$M366)&gt;0,
     COUNTIFS($AH$3:$AH$201,$M366)&gt;0,
     COUNTIFS($AI$3:$AI$201,$M366)&gt;0,
     COUNTIFS($AJ$3:$AJ$201,$M366)&gt;0,
     COUNTIFS($AK$3:$AK$201,$M366)&gt;0,
     COUNTIFS($AL$3:$AL$201,$M366)&gt;0,
     COUNTIFS($AM$3:$AM$201,$M366)&gt;0,
     COUNTIFS($AN$3:$AN$201,$M366)&gt;0,
     COUNTIFS($AO$3:$AO$201,$M366)&gt;0,
     COUNTIFS($AP$3:$AP$201,$M366)&gt;0,
     COUNTIFS($AQ$3:$AQ$201,$M366)&gt;0,
     COUNTIFS($AR$3:$AR$201,$M366)&gt;0,
     COUNTIFS($AS$3:$AS$201,$M366)&gt;0,
     COUNTIFS($AT$3:$AT$201,$M366)&gt;0,
     COUNTIFS($AU$3:$AU$201,$M366)&gt;0
   )),
  4)
 ),
"")</f>
        <v/>
      </c>
    </row>
    <row r="367" spans="2:18" x14ac:dyDescent="0.25">
      <c r="B367" s="3" t="str" cm="1">
        <f t="array" ref="B367">_xlfn.ANCHORARRAY(RESUMO!C366)</f>
        <v/>
      </c>
      <c r="C367" s="3" t="str">
        <f t="shared" ca="1" si="20"/>
        <v/>
      </c>
      <c r="N367" s="3">
        <f t="shared" si="21"/>
        <v>0</v>
      </c>
      <c r="O367" s="3" t="str">
        <f>IFERROR(
 INDEX($T$2:$AW$2,
  MATCH(TRUE,
   CHOOSE({1;2;3;4;5;6;7;8;9;10;11;12;13;14;15;16;17;18;19;20;21;22;23;24;25;26;27;28;29;30;31;32},
    COUNTIFS($T$3:$T$201,$M367)&gt;0,
    COUNTIFS($U$3:$U$201,$M367)&gt;0,
    COUNTIFS($V$3:$V$201,$M367)&gt;0,
    COUNTIFS($W$3:$W$201,$M367)&gt;0,
    COUNTIFS($X$3:$X$201,$M367)&gt;0,
    COUNTIFS($Y$3:$Y$201,$M367)&gt;0,
    COUNTIFS($Z$3:$Z$201,$M367)&gt;0,
    COUNTIFS($AA$3:$AA$201,$M367)&gt;0,
    COUNTIFS($AB$3:$AB$201,$M367)&gt;0,
    COUNTIFS($AC$3:$AC$201,$M367)&gt;0,
    COUNTIFS($AD$3:$AD$201,$M367)&gt;0,
    COUNTIFS($AE$3:$AE$201,$M367)&gt;0,
    COUNTIFS($AF$3:$AF$201,$M367)&gt;0,
    COUNTIFS($AG$3:$AG$201,$M367)&gt;0,
    COUNTIFS($AH$3:$AH$201,$M367)&gt;0,
    COUNTIFS($AI$3:$AI$201,$M367)&gt;0,
    COUNTIFS($AJ$3:$AJ$201,$M367)&gt;0,
    COUNTIFS($AK$3:$AK$201,$M367)&gt;0,
    COUNTIFS($AL$3:$AL$201,$M367)&gt;0,
    COUNTIFS($AM$3:$AM$201,$M367)&gt;0,
    COUNTIFS($AN$3:$AN$201,$M367)&gt;0,
    COUNTIFS($AO$3:$AO$201,$M367)&gt;0,
    COUNTIFS($AP$3:$AP$201,$M367)&gt;0,
    COUNTIFS($AQ$3:$AQ$201,$M367)&gt;0,
    COUNTIFS($AR$3:$AR$201,$M367)&gt;0,
    COUNTIFS($AS$3:$AS$201,$M367)&gt;0,
    COUNTIFS($AT$3:$AT$201,$M367)&gt;0,
    COUNTIFS($AU$3:$AU$201,$M367)&gt;0,
    COUNTIFS($AV$3:$AV$201,$M367)&gt;0,
    COUNTIFS($AW$3:$AW$201,$M367)&gt;0
   ),
  0)
 ),
"")</f>
        <v/>
      </c>
      <c r="P367" s="3" t="str" cm="1">
        <f t="array" ref="P367">IFERROR(
 INDEX(
  _xlfn._xlws.FILTER($T$2:$AU$2,
   TRANSPOSE(
    CHOOSE({1;2;3;4;5;6;7;8;9;10;11;12;13;14;15;16;17;18;19;20;21;22;23;24;25;26;27;28},
     COUNTIFS($T$3:$T$201,$M367)&gt;0,
     COUNTIFS($U$3:$U$201,$M367)&gt;0,
     COUNTIFS($V$3:$V$201,$M367)&gt;0,
     COUNTIFS($W$3:$W$201,$M367)&gt;0,
     COUNTIFS($X$3:$X$201,$M367)&gt;0,
     COUNTIFS($Y$3:$Y$201,$M367)&gt;0,
     COUNTIFS($Z$3:$Z$201,$M367)&gt;0,
     COUNTIFS($AA$3:$AA$201,$M367)&gt;0,
     COUNTIFS($AB$3:$AB$201,$M367)&gt;0,
     COUNTIFS($AC$3:$AC$201,$M367)&gt;0,
     COUNTIFS($AD$3:$AD$201,$M367)&gt;0,
     COUNTIFS($AE$3:$AE$201,$M367)&gt;0,
     COUNTIFS($AF$3:$AF$201,$M367)&gt;0,
     COUNTIFS($AG$3:$AG$201,$M367)&gt;0,
     COUNTIFS($AH$3:$AH$201,$M367)&gt;0,
     COUNTIFS($AI$3:$AI$201,$M367)&gt;0,
     COUNTIFS($AJ$3:$AJ$201,$M367)&gt;0,
     COUNTIFS($AK$3:$AK$201,$M367)&gt;0,
     COUNTIFS($AL$3:$AL$201,$M367)&gt;0,
     COUNTIFS($AM$3:$AM$201,$M367)&gt;0,
     COUNTIFS($AN$3:$AN$201,$M367)&gt;0,
     COUNTIFS($AO$3:$AO$201,$M367)&gt;0,
     COUNTIFS($AP$3:$AP$201,$M367)&gt;0,
     COUNTIFS($AQ$3:$AQ$201,$M367)&gt;0,
     COUNTIFS($AR$3:$AR$201,$M367)&gt;0,
     COUNTIFS($AS$3:$AS$201,$M367)&gt;0,
     COUNTIFS($AT$3:$AT$201,$M367)&gt;0,
     COUNTIFS($AU$3:$AU$201,$M367)&gt;0
   )),
  ),
  2
 ),
"")</f>
        <v/>
      </c>
      <c r="Q367" s="3" t="str" cm="1">
        <f t="array" ref="Q367">IFERROR(
 INDEX($T$2:$AU$2,
  _xlfn.AGGREGATE(15,6,
   (COLUMN($T$2:$AU$2)-COLUMN($T$2)+1)/
   TRANSPOSE(
    CHOOSE({1;2;3;4;5;6;7;8;9;10;11;12;13;14;15;16;17;18;19;20;21;22;23;24;25;26;27;28},
     COUNTIFS($T$3:$T$201,$M367)&gt;0,
     COUNTIFS($U$3:$U$201,$M367)&gt;0,
     COUNTIFS($V$3:$V$201,$M367)&gt;0,
     COUNTIFS($W$3:$W$201,$M367)&gt;0,
     COUNTIFS($X$3:$X$201,$M367)&gt;0,
     COUNTIFS($Y$3:$Y$201,$M367)&gt;0,
     COUNTIFS($Z$3:$Z$201,$M367)&gt;0,
     COUNTIFS($AA$3:$AA$201,$M367)&gt;0,
     COUNTIFS($AB$3:$AB$201,$M367)&gt;0,
     COUNTIFS($AC$3:$AC$201,$M367)&gt;0,
     COUNTIFS($AD$3:$AD$201,$M367)&gt;0,
     COUNTIFS($AE$3:$AE$201,$M367)&gt;0,
     COUNTIFS($AF$3:$AF$201,$M367)&gt;0,
     COUNTIFS($AG$3:$AG$201,$M367)&gt;0,
     COUNTIFS($AH$3:$AH$201,$M367)&gt;0,
     COUNTIFS($AI$3:$AI$201,$M367)&gt;0,
     COUNTIFS($AJ$3:$AJ$201,$M367)&gt;0,
     COUNTIFS($AK$3:$AK$201,$M367)&gt;0,
     COUNTIFS($AL$3:$AL$201,$M367)&gt;0,
     COUNTIFS($AM$3:$AM$201,$M367)&gt;0,
     COUNTIFS($AN$3:$AN$201,$M367)&gt;0,
     COUNTIFS($AO$3:$AO$201,$M367)&gt;0,
     COUNTIFS($AP$3:$AP$201,$M367)&gt;0,
     COUNTIFS($AQ$3:$AQ$201,$M367)&gt;0,
     COUNTIFS($AR$3:$AR$201,$M367)&gt;0,
     COUNTIFS($AS$3:$AS$201,$M367)&gt;0,
     COUNTIFS($AT$3:$AT$201,$M367)&gt;0,
     COUNTIFS($AU$3:$AU$201,$M367)&gt;0
   )),
  3)
 ),
"")</f>
        <v/>
      </c>
      <c r="R367" s="3" t="str" cm="1">
        <f t="array" ref="R367">IFERROR(
 INDEX($T$2:$AU$2,
  _xlfn.AGGREGATE(15,6,
   (COLUMN($T$2:$AU$2)-COLUMN($T$2)+1)/
   TRANSPOSE(
    CHOOSE({1;2;3;4;5;6;7;8;9;10;11;12;13;14;15;16;17;18;19;20;21;22;23;24;25;26;27;28},
     COUNTIFS($T$3:$T$201,$M367)&gt;0,
     COUNTIFS($U$3:$U$201,$M367)&gt;0,
     COUNTIFS($V$3:$V$201,$M367)&gt;0,
     COUNTIFS($W$3:$W$201,$M367)&gt;0,
     COUNTIFS($X$3:$X$201,$M367)&gt;0,
     COUNTIFS($Y$3:$Y$201,$M367)&gt;0,
     COUNTIFS($Z$3:$Z$201,$M367)&gt;0,
     COUNTIFS($AA$3:$AA$201,$M367)&gt;0,
     COUNTIFS($AB$3:$AB$201,$M367)&gt;0,
     COUNTIFS($AC$3:$AC$201,$M367)&gt;0,
     COUNTIFS($AD$3:$AD$201,$M367)&gt;0,
     COUNTIFS($AE$3:$AE$201,$M367)&gt;0,
     COUNTIFS($AF$3:$AF$201,$M367)&gt;0,
     COUNTIFS($AG$3:$AG$201,$M367)&gt;0,
     COUNTIFS($AH$3:$AH$201,$M367)&gt;0,
     COUNTIFS($AI$3:$AI$201,$M367)&gt;0,
     COUNTIFS($AJ$3:$AJ$201,$M367)&gt;0,
     COUNTIFS($AK$3:$AK$201,$M367)&gt;0,
     COUNTIFS($AL$3:$AL$201,$M367)&gt;0,
     COUNTIFS($AM$3:$AM$201,$M367)&gt;0,
     COUNTIFS($AN$3:$AN$201,$M367)&gt;0,
     COUNTIFS($AO$3:$AO$201,$M367)&gt;0,
     COUNTIFS($AP$3:$AP$201,$M367)&gt;0,
     COUNTIFS($AQ$3:$AQ$201,$M367)&gt;0,
     COUNTIFS($AR$3:$AR$201,$M367)&gt;0,
     COUNTIFS($AS$3:$AS$201,$M367)&gt;0,
     COUNTIFS($AT$3:$AT$201,$M367)&gt;0,
     COUNTIFS($AU$3:$AU$201,$M367)&gt;0
   )),
  4)
 ),
"")</f>
        <v/>
      </c>
    </row>
    <row r="368" spans="2:18" x14ac:dyDescent="0.25">
      <c r="B368" s="3" t="str" cm="1">
        <f t="array" ref="B368">_xlfn.ANCHORARRAY(RESUMO!C367)</f>
        <v/>
      </c>
      <c r="C368" s="3" t="str">
        <f t="shared" ca="1" si="20"/>
        <v/>
      </c>
      <c r="N368" s="3">
        <f t="shared" si="21"/>
        <v>0</v>
      </c>
      <c r="O368" s="3" t="str">
        <f>IFERROR(
 INDEX($T$2:$AW$2,
  MATCH(TRUE,
   CHOOSE({1;2;3;4;5;6;7;8;9;10;11;12;13;14;15;16;17;18;19;20;21;22;23;24;25;26;27;28;29;30;31;32},
    COUNTIFS($T$3:$T$201,$M368)&gt;0,
    COUNTIFS($U$3:$U$201,$M368)&gt;0,
    COUNTIFS($V$3:$V$201,$M368)&gt;0,
    COUNTIFS($W$3:$W$201,$M368)&gt;0,
    COUNTIFS($X$3:$X$201,$M368)&gt;0,
    COUNTIFS($Y$3:$Y$201,$M368)&gt;0,
    COUNTIFS($Z$3:$Z$201,$M368)&gt;0,
    COUNTIFS($AA$3:$AA$201,$M368)&gt;0,
    COUNTIFS($AB$3:$AB$201,$M368)&gt;0,
    COUNTIFS($AC$3:$AC$201,$M368)&gt;0,
    COUNTIFS($AD$3:$AD$201,$M368)&gt;0,
    COUNTIFS($AE$3:$AE$201,$M368)&gt;0,
    COUNTIFS($AF$3:$AF$201,$M368)&gt;0,
    COUNTIFS($AG$3:$AG$201,$M368)&gt;0,
    COUNTIFS($AH$3:$AH$201,$M368)&gt;0,
    COUNTIFS($AI$3:$AI$201,$M368)&gt;0,
    COUNTIFS($AJ$3:$AJ$201,$M368)&gt;0,
    COUNTIFS($AK$3:$AK$201,$M368)&gt;0,
    COUNTIFS($AL$3:$AL$201,$M368)&gt;0,
    COUNTIFS($AM$3:$AM$201,$M368)&gt;0,
    COUNTIFS($AN$3:$AN$201,$M368)&gt;0,
    COUNTIFS($AO$3:$AO$201,$M368)&gt;0,
    COUNTIFS($AP$3:$AP$201,$M368)&gt;0,
    COUNTIFS($AQ$3:$AQ$201,$M368)&gt;0,
    COUNTIFS($AR$3:$AR$201,$M368)&gt;0,
    COUNTIFS($AS$3:$AS$201,$M368)&gt;0,
    COUNTIFS($AT$3:$AT$201,$M368)&gt;0,
    COUNTIFS($AU$3:$AU$201,$M368)&gt;0,
    COUNTIFS($AV$3:$AV$201,$M368)&gt;0,
    COUNTIFS($AW$3:$AW$201,$M368)&gt;0
   ),
  0)
 ),
"")</f>
        <v/>
      </c>
      <c r="P368" s="3" t="str" cm="1">
        <f t="array" ref="P368">IFERROR(
 INDEX(
  _xlfn._xlws.FILTER($T$2:$AU$2,
   TRANSPOSE(
    CHOOSE({1;2;3;4;5;6;7;8;9;10;11;12;13;14;15;16;17;18;19;20;21;22;23;24;25;26;27;28},
     COUNTIFS($T$3:$T$201,$M368)&gt;0,
     COUNTIFS($U$3:$U$201,$M368)&gt;0,
     COUNTIFS($V$3:$V$201,$M368)&gt;0,
     COUNTIFS($W$3:$W$201,$M368)&gt;0,
     COUNTIFS($X$3:$X$201,$M368)&gt;0,
     COUNTIFS($Y$3:$Y$201,$M368)&gt;0,
     COUNTIFS($Z$3:$Z$201,$M368)&gt;0,
     COUNTIFS($AA$3:$AA$201,$M368)&gt;0,
     COUNTIFS($AB$3:$AB$201,$M368)&gt;0,
     COUNTIFS($AC$3:$AC$201,$M368)&gt;0,
     COUNTIFS($AD$3:$AD$201,$M368)&gt;0,
     COUNTIFS($AE$3:$AE$201,$M368)&gt;0,
     COUNTIFS($AF$3:$AF$201,$M368)&gt;0,
     COUNTIFS($AG$3:$AG$201,$M368)&gt;0,
     COUNTIFS($AH$3:$AH$201,$M368)&gt;0,
     COUNTIFS($AI$3:$AI$201,$M368)&gt;0,
     COUNTIFS($AJ$3:$AJ$201,$M368)&gt;0,
     COUNTIFS($AK$3:$AK$201,$M368)&gt;0,
     COUNTIFS($AL$3:$AL$201,$M368)&gt;0,
     COUNTIFS($AM$3:$AM$201,$M368)&gt;0,
     COUNTIFS($AN$3:$AN$201,$M368)&gt;0,
     COUNTIFS($AO$3:$AO$201,$M368)&gt;0,
     COUNTIFS($AP$3:$AP$201,$M368)&gt;0,
     COUNTIFS($AQ$3:$AQ$201,$M368)&gt;0,
     COUNTIFS($AR$3:$AR$201,$M368)&gt;0,
     COUNTIFS($AS$3:$AS$201,$M368)&gt;0,
     COUNTIFS($AT$3:$AT$201,$M368)&gt;0,
     COUNTIFS($AU$3:$AU$201,$M368)&gt;0
   )),
  ),
  2
 ),
"")</f>
        <v/>
      </c>
      <c r="Q368" s="3" t="str" cm="1">
        <f t="array" ref="Q368">IFERROR(
 INDEX($T$2:$AU$2,
  _xlfn.AGGREGATE(15,6,
   (COLUMN($T$2:$AU$2)-COLUMN($T$2)+1)/
   TRANSPOSE(
    CHOOSE({1;2;3;4;5;6;7;8;9;10;11;12;13;14;15;16;17;18;19;20;21;22;23;24;25;26;27;28},
     COUNTIFS($T$3:$T$201,$M368)&gt;0,
     COUNTIFS($U$3:$U$201,$M368)&gt;0,
     COUNTIFS($V$3:$V$201,$M368)&gt;0,
     COUNTIFS($W$3:$W$201,$M368)&gt;0,
     COUNTIFS($X$3:$X$201,$M368)&gt;0,
     COUNTIFS($Y$3:$Y$201,$M368)&gt;0,
     COUNTIFS($Z$3:$Z$201,$M368)&gt;0,
     COUNTIFS($AA$3:$AA$201,$M368)&gt;0,
     COUNTIFS($AB$3:$AB$201,$M368)&gt;0,
     COUNTIFS($AC$3:$AC$201,$M368)&gt;0,
     COUNTIFS($AD$3:$AD$201,$M368)&gt;0,
     COUNTIFS($AE$3:$AE$201,$M368)&gt;0,
     COUNTIFS($AF$3:$AF$201,$M368)&gt;0,
     COUNTIFS($AG$3:$AG$201,$M368)&gt;0,
     COUNTIFS($AH$3:$AH$201,$M368)&gt;0,
     COUNTIFS($AI$3:$AI$201,$M368)&gt;0,
     COUNTIFS($AJ$3:$AJ$201,$M368)&gt;0,
     COUNTIFS($AK$3:$AK$201,$M368)&gt;0,
     COUNTIFS($AL$3:$AL$201,$M368)&gt;0,
     COUNTIFS($AM$3:$AM$201,$M368)&gt;0,
     COUNTIFS($AN$3:$AN$201,$M368)&gt;0,
     COUNTIFS($AO$3:$AO$201,$M368)&gt;0,
     COUNTIFS($AP$3:$AP$201,$M368)&gt;0,
     COUNTIFS($AQ$3:$AQ$201,$M368)&gt;0,
     COUNTIFS($AR$3:$AR$201,$M368)&gt;0,
     COUNTIFS($AS$3:$AS$201,$M368)&gt;0,
     COUNTIFS($AT$3:$AT$201,$M368)&gt;0,
     COUNTIFS($AU$3:$AU$201,$M368)&gt;0
   )),
  3)
 ),
"")</f>
        <v/>
      </c>
      <c r="R368" s="3" t="str" cm="1">
        <f t="array" ref="R368">IFERROR(
 INDEX($T$2:$AU$2,
  _xlfn.AGGREGATE(15,6,
   (COLUMN($T$2:$AU$2)-COLUMN($T$2)+1)/
   TRANSPOSE(
    CHOOSE({1;2;3;4;5;6;7;8;9;10;11;12;13;14;15;16;17;18;19;20;21;22;23;24;25;26;27;28},
     COUNTIFS($T$3:$T$201,$M368)&gt;0,
     COUNTIFS($U$3:$U$201,$M368)&gt;0,
     COUNTIFS($V$3:$V$201,$M368)&gt;0,
     COUNTIFS($W$3:$W$201,$M368)&gt;0,
     COUNTIFS($X$3:$X$201,$M368)&gt;0,
     COUNTIFS($Y$3:$Y$201,$M368)&gt;0,
     COUNTIFS($Z$3:$Z$201,$M368)&gt;0,
     COUNTIFS($AA$3:$AA$201,$M368)&gt;0,
     COUNTIFS($AB$3:$AB$201,$M368)&gt;0,
     COUNTIFS($AC$3:$AC$201,$M368)&gt;0,
     COUNTIFS($AD$3:$AD$201,$M368)&gt;0,
     COUNTIFS($AE$3:$AE$201,$M368)&gt;0,
     COUNTIFS($AF$3:$AF$201,$M368)&gt;0,
     COUNTIFS($AG$3:$AG$201,$M368)&gt;0,
     COUNTIFS($AH$3:$AH$201,$M368)&gt;0,
     COUNTIFS($AI$3:$AI$201,$M368)&gt;0,
     COUNTIFS($AJ$3:$AJ$201,$M368)&gt;0,
     COUNTIFS($AK$3:$AK$201,$M368)&gt;0,
     COUNTIFS($AL$3:$AL$201,$M368)&gt;0,
     COUNTIFS($AM$3:$AM$201,$M368)&gt;0,
     COUNTIFS($AN$3:$AN$201,$M368)&gt;0,
     COUNTIFS($AO$3:$AO$201,$M368)&gt;0,
     COUNTIFS($AP$3:$AP$201,$M368)&gt;0,
     COUNTIFS($AQ$3:$AQ$201,$M368)&gt;0,
     COUNTIFS($AR$3:$AR$201,$M368)&gt;0,
     COUNTIFS($AS$3:$AS$201,$M368)&gt;0,
     COUNTIFS($AT$3:$AT$201,$M368)&gt;0,
     COUNTIFS($AU$3:$AU$201,$M368)&gt;0
   )),
  4)
 ),
"")</f>
        <v/>
      </c>
    </row>
    <row r="369" spans="2:18" x14ac:dyDescent="0.25">
      <c r="B369" s="3" t="str" cm="1">
        <f t="array" ref="B369">_xlfn.ANCHORARRAY(RESUMO!C368)</f>
        <v/>
      </c>
      <c r="C369" s="3" t="str">
        <f t="shared" ca="1" si="20"/>
        <v/>
      </c>
      <c r="N369" s="3">
        <f t="shared" si="21"/>
        <v>0</v>
      </c>
      <c r="O369" s="3" t="str">
        <f>IFERROR(
 INDEX($T$2:$AW$2,
  MATCH(TRUE,
   CHOOSE({1;2;3;4;5;6;7;8;9;10;11;12;13;14;15;16;17;18;19;20;21;22;23;24;25;26;27;28;29;30;31;32},
    COUNTIFS($T$3:$T$201,$M369)&gt;0,
    COUNTIFS($U$3:$U$201,$M369)&gt;0,
    COUNTIFS($V$3:$V$201,$M369)&gt;0,
    COUNTIFS($W$3:$W$201,$M369)&gt;0,
    COUNTIFS($X$3:$X$201,$M369)&gt;0,
    COUNTIFS($Y$3:$Y$201,$M369)&gt;0,
    COUNTIFS($Z$3:$Z$201,$M369)&gt;0,
    COUNTIFS($AA$3:$AA$201,$M369)&gt;0,
    COUNTIFS($AB$3:$AB$201,$M369)&gt;0,
    COUNTIFS($AC$3:$AC$201,$M369)&gt;0,
    COUNTIFS($AD$3:$AD$201,$M369)&gt;0,
    COUNTIFS($AE$3:$AE$201,$M369)&gt;0,
    COUNTIFS($AF$3:$AF$201,$M369)&gt;0,
    COUNTIFS($AG$3:$AG$201,$M369)&gt;0,
    COUNTIFS($AH$3:$AH$201,$M369)&gt;0,
    COUNTIFS($AI$3:$AI$201,$M369)&gt;0,
    COUNTIFS($AJ$3:$AJ$201,$M369)&gt;0,
    COUNTIFS($AK$3:$AK$201,$M369)&gt;0,
    COUNTIFS($AL$3:$AL$201,$M369)&gt;0,
    COUNTIFS($AM$3:$AM$201,$M369)&gt;0,
    COUNTIFS($AN$3:$AN$201,$M369)&gt;0,
    COUNTIFS($AO$3:$AO$201,$M369)&gt;0,
    COUNTIFS($AP$3:$AP$201,$M369)&gt;0,
    COUNTIFS($AQ$3:$AQ$201,$M369)&gt;0,
    COUNTIFS($AR$3:$AR$201,$M369)&gt;0,
    COUNTIFS($AS$3:$AS$201,$M369)&gt;0,
    COUNTIFS($AT$3:$AT$201,$M369)&gt;0,
    COUNTIFS($AU$3:$AU$201,$M369)&gt;0,
    COUNTIFS($AV$3:$AV$201,$M369)&gt;0,
    COUNTIFS($AW$3:$AW$201,$M369)&gt;0
   ),
  0)
 ),
"")</f>
        <v/>
      </c>
      <c r="P369" s="3" t="str" cm="1">
        <f t="array" ref="P369">IFERROR(
 INDEX(
  _xlfn._xlws.FILTER($T$2:$AU$2,
   TRANSPOSE(
    CHOOSE({1;2;3;4;5;6;7;8;9;10;11;12;13;14;15;16;17;18;19;20;21;22;23;24;25;26;27;28},
     COUNTIFS($T$3:$T$201,$M369)&gt;0,
     COUNTIFS($U$3:$U$201,$M369)&gt;0,
     COUNTIFS($V$3:$V$201,$M369)&gt;0,
     COUNTIFS($W$3:$W$201,$M369)&gt;0,
     COUNTIFS($X$3:$X$201,$M369)&gt;0,
     COUNTIFS($Y$3:$Y$201,$M369)&gt;0,
     COUNTIFS($Z$3:$Z$201,$M369)&gt;0,
     COUNTIFS($AA$3:$AA$201,$M369)&gt;0,
     COUNTIFS($AB$3:$AB$201,$M369)&gt;0,
     COUNTIFS($AC$3:$AC$201,$M369)&gt;0,
     COUNTIFS($AD$3:$AD$201,$M369)&gt;0,
     COUNTIFS($AE$3:$AE$201,$M369)&gt;0,
     COUNTIFS($AF$3:$AF$201,$M369)&gt;0,
     COUNTIFS($AG$3:$AG$201,$M369)&gt;0,
     COUNTIFS($AH$3:$AH$201,$M369)&gt;0,
     COUNTIFS($AI$3:$AI$201,$M369)&gt;0,
     COUNTIFS($AJ$3:$AJ$201,$M369)&gt;0,
     COUNTIFS($AK$3:$AK$201,$M369)&gt;0,
     COUNTIFS($AL$3:$AL$201,$M369)&gt;0,
     COUNTIFS($AM$3:$AM$201,$M369)&gt;0,
     COUNTIFS($AN$3:$AN$201,$M369)&gt;0,
     COUNTIFS($AO$3:$AO$201,$M369)&gt;0,
     COUNTIFS($AP$3:$AP$201,$M369)&gt;0,
     COUNTIFS($AQ$3:$AQ$201,$M369)&gt;0,
     COUNTIFS($AR$3:$AR$201,$M369)&gt;0,
     COUNTIFS($AS$3:$AS$201,$M369)&gt;0,
     COUNTIFS($AT$3:$AT$201,$M369)&gt;0,
     COUNTIFS($AU$3:$AU$201,$M369)&gt;0
   )),
  ),
  2
 ),
"")</f>
        <v/>
      </c>
      <c r="Q369" s="3" t="str" cm="1">
        <f t="array" ref="Q369">IFERROR(
 INDEX($T$2:$AU$2,
  _xlfn.AGGREGATE(15,6,
   (COLUMN($T$2:$AU$2)-COLUMN($T$2)+1)/
   TRANSPOSE(
    CHOOSE({1;2;3;4;5;6;7;8;9;10;11;12;13;14;15;16;17;18;19;20;21;22;23;24;25;26;27;28},
     COUNTIFS($T$3:$T$201,$M369)&gt;0,
     COUNTIFS($U$3:$U$201,$M369)&gt;0,
     COUNTIFS($V$3:$V$201,$M369)&gt;0,
     COUNTIFS($W$3:$W$201,$M369)&gt;0,
     COUNTIFS($X$3:$X$201,$M369)&gt;0,
     COUNTIFS($Y$3:$Y$201,$M369)&gt;0,
     COUNTIFS($Z$3:$Z$201,$M369)&gt;0,
     COUNTIFS($AA$3:$AA$201,$M369)&gt;0,
     COUNTIFS($AB$3:$AB$201,$M369)&gt;0,
     COUNTIFS($AC$3:$AC$201,$M369)&gt;0,
     COUNTIFS($AD$3:$AD$201,$M369)&gt;0,
     COUNTIFS($AE$3:$AE$201,$M369)&gt;0,
     COUNTIFS($AF$3:$AF$201,$M369)&gt;0,
     COUNTIFS($AG$3:$AG$201,$M369)&gt;0,
     COUNTIFS($AH$3:$AH$201,$M369)&gt;0,
     COUNTIFS($AI$3:$AI$201,$M369)&gt;0,
     COUNTIFS($AJ$3:$AJ$201,$M369)&gt;0,
     COUNTIFS($AK$3:$AK$201,$M369)&gt;0,
     COUNTIFS($AL$3:$AL$201,$M369)&gt;0,
     COUNTIFS($AM$3:$AM$201,$M369)&gt;0,
     COUNTIFS($AN$3:$AN$201,$M369)&gt;0,
     COUNTIFS($AO$3:$AO$201,$M369)&gt;0,
     COUNTIFS($AP$3:$AP$201,$M369)&gt;0,
     COUNTIFS($AQ$3:$AQ$201,$M369)&gt;0,
     COUNTIFS($AR$3:$AR$201,$M369)&gt;0,
     COUNTIFS($AS$3:$AS$201,$M369)&gt;0,
     COUNTIFS($AT$3:$AT$201,$M369)&gt;0,
     COUNTIFS($AU$3:$AU$201,$M369)&gt;0
   )),
  3)
 ),
"")</f>
        <v/>
      </c>
      <c r="R369" s="3" t="str" cm="1">
        <f t="array" ref="R369">IFERROR(
 INDEX($T$2:$AU$2,
  _xlfn.AGGREGATE(15,6,
   (COLUMN($T$2:$AU$2)-COLUMN($T$2)+1)/
   TRANSPOSE(
    CHOOSE({1;2;3;4;5;6;7;8;9;10;11;12;13;14;15;16;17;18;19;20;21;22;23;24;25;26;27;28},
     COUNTIFS($T$3:$T$201,$M369)&gt;0,
     COUNTIFS($U$3:$U$201,$M369)&gt;0,
     COUNTIFS($V$3:$V$201,$M369)&gt;0,
     COUNTIFS($W$3:$W$201,$M369)&gt;0,
     COUNTIFS($X$3:$X$201,$M369)&gt;0,
     COUNTIFS($Y$3:$Y$201,$M369)&gt;0,
     COUNTIFS($Z$3:$Z$201,$M369)&gt;0,
     COUNTIFS($AA$3:$AA$201,$M369)&gt;0,
     COUNTIFS($AB$3:$AB$201,$M369)&gt;0,
     COUNTIFS($AC$3:$AC$201,$M369)&gt;0,
     COUNTIFS($AD$3:$AD$201,$M369)&gt;0,
     COUNTIFS($AE$3:$AE$201,$M369)&gt;0,
     COUNTIFS($AF$3:$AF$201,$M369)&gt;0,
     COUNTIFS($AG$3:$AG$201,$M369)&gt;0,
     COUNTIFS($AH$3:$AH$201,$M369)&gt;0,
     COUNTIFS($AI$3:$AI$201,$M369)&gt;0,
     COUNTIFS($AJ$3:$AJ$201,$M369)&gt;0,
     COUNTIFS($AK$3:$AK$201,$M369)&gt;0,
     COUNTIFS($AL$3:$AL$201,$M369)&gt;0,
     COUNTIFS($AM$3:$AM$201,$M369)&gt;0,
     COUNTIFS($AN$3:$AN$201,$M369)&gt;0,
     COUNTIFS($AO$3:$AO$201,$M369)&gt;0,
     COUNTIFS($AP$3:$AP$201,$M369)&gt;0,
     COUNTIFS($AQ$3:$AQ$201,$M369)&gt;0,
     COUNTIFS($AR$3:$AR$201,$M369)&gt;0,
     COUNTIFS($AS$3:$AS$201,$M369)&gt;0,
     COUNTIFS($AT$3:$AT$201,$M369)&gt;0,
     COUNTIFS($AU$3:$AU$201,$M369)&gt;0
   )),
  4)
 ),
"")</f>
        <v/>
      </c>
    </row>
    <row r="370" spans="2:18" x14ac:dyDescent="0.25">
      <c r="B370" s="3" t="str" cm="1">
        <f t="array" ref="B370">_xlfn.ANCHORARRAY(RESUMO!C369)</f>
        <v/>
      </c>
      <c r="C370" s="3" t="str">
        <f t="shared" ca="1" si="20"/>
        <v/>
      </c>
      <c r="N370" s="3">
        <f t="shared" si="21"/>
        <v>0</v>
      </c>
      <c r="O370" s="3" t="str">
        <f>IFERROR(
 INDEX($T$2:$AW$2,
  MATCH(TRUE,
   CHOOSE({1;2;3;4;5;6;7;8;9;10;11;12;13;14;15;16;17;18;19;20;21;22;23;24;25;26;27;28;29;30;31;32},
    COUNTIFS($T$3:$T$201,$M370)&gt;0,
    COUNTIFS($U$3:$U$201,$M370)&gt;0,
    COUNTIFS($V$3:$V$201,$M370)&gt;0,
    COUNTIFS($W$3:$W$201,$M370)&gt;0,
    COUNTIFS($X$3:$X$201,$M370)&gt;0,
    COUNTIFS($Y$3:$Y$201,$M370)&gt;0,
    COUNTIFS($Z$3:$Z$201,$M370)&gt;0,
    COUNTIFS($AA$3:$AA$201,$M370)&gt;0,
    COUNTIFS($AB$3:$AB$201,$M370)&gt;0,
    COUNTIFS($AC$3:$AC$201,$M370)&gt;0,
    COUNTIFS($AD$3:$AD$201,$M370)&gt;0,
    COUNTIFS($AE$3:$AE$201,$M370)&gt;0,
    COUNTIFS($AF$3:$AF$201,$M370)&gt;0,
    COUNTIFS($AG$3:$AG$201,$M370)&gt;0,
    COUNTIFS($AH$3:$AH$201,$M370)&gt;0,
    COUNTIFS($AI$3:$AI$201,$M370)&gt;0,
    COUNTIFS($AJ$3:$AJ$201,$M370)&gt;0,
    COUNTIFS($AK$3:$AK$201,$M370)&gt;0,
    COUNTIFS($AL$3:$AL$201,$M370)&gt;0,
    COUNTIFS($AM$3:$AM$201,$M370)&gt;0,
    COUNTIFS($AN$3:$AN$201,$M370)&gt;0,
    COUNTIFS($AO$3:$AO$201,$M370)&gt;0,
    COUNTIFS($AP$3:$AP$201,$M370)&gt;0,
    COUNTIFS($AQ$3:$AQ$201,$M370)&gt;0,
    COUNTIFS($AR$3:$AR$201,$M370)&gt;0,
    COUNTIFS($AS$3:$AS$201,$M370)&gt;0,
    COUNTIFS($AT$3:$AT$201,$M370)&gt;0,
    COUNTIFS($AU$3:$AU$201,$M370)&gt;0,
    COUNTIFS($AV$3:$AV$201,$M370)&gt;0,
    COUNTIFS($AW$3:$AW$201,$M370)&gt;0
   ),
  0)
 ),
"")</f>
        <v/>
      </c>
      <c r="P370" s="3" t="str" cm="1">
        <f t="array" ref="P370">IFERROR(
 INDEX(
  _xlfn._xlws.FILTER($T$2:$AU$2,
   TRANSPOSE(
    CHOOSE({1;2;3;4;5;6;7;8;9;10;11;12;13;14;15;16;17;18;19;20;21;22;23;24;25;26;27;28},
     COUNTIFS($T$3:$T$201,$M370)&gt;0,
     COUNTIFS($U$3:$U$201,$M370)&gt;0,
     COUNTIFS($V$3:$V$201,$M370)&gt;0,
     COUNTIFS($W$3:$W$201,$M370)&gt;0,
     COUNTIFS($X$3:$X$201,$M370)&gt;0,
     COUNTIFS($Y$3:$Y$201,$M370)&gt;0,
     COUNTIFS($Z$3:$Z$201,$M370)&gt;0,
     COUNTIFS($AA$3:$AA$201,$M370)&gt;0,
     COUNTIFS($AB$3:$AB$201,$M370)&gt;0,
     COUNTIFS($AC$3:$AC$201,$M370)&gt;0,
     COUNTIFS($AD$3:$AD$201,$M370)&gt;0,
     COUNTIFS($AE$3:$AE$201,$M370)&gt;0,
     COUNTIFS($AF$3:$AF$201,$M370)&gt;0,
     COUNTIFS($AG$3:$AG$201,$M370)&gt;0,
     COUNTIFS($AH$3:$AH$201,$M370)&gt;0,
     COUNTIFS($AI$3:$AI$201,$M370)&gt;0,
     COUNTIFS($AJ$3:$AJ$201,$M370)&gt;0,
     COUNTIFS($AK$3:$AK$201,$M370)&gt;0,
     COUNTIFS($AL$3:$AL$201,$M370)&gt;0,
     COUNTIFS($AM$3:$AM$201,$M370)&gt;0,
     COUNTIFS($AN$3:$AN$201,$M370)&gt;0,
     COUNTIFS($AO$3:$AO$201,$M370)&gt;0,
     COUNTIFS($AP$3:$AP$201,$M370)&gt;0,
     COUNTIFS($AQ$3:$AQ$201,$M370)&gt;0,
     COUNTIFS($AR$3:$AR$201,$M370)&gt;0,
     COUNTIFS($AS$3:$AS$201,$M370)&gt;0,
     COUNTIFS($AT$3:$AT$201,$M370)&gt;0,
     COUNTIFS($AU$3:$AU$201,$M370)&gt;0
   )),
  ),
  2
 ),
"")</f>
        <v/>
      </c>
      <c r="Q370" s="3" t="str" cm="1">
        <f t="array" ref="Q370">IFERROR(
 INDEX($T$2:$AU$2,
  _xlfn.AGGREGATE(15,6,
   (COLUMN($T$2:$AU$2)-COLUMN($T$2)+1)/
   TRANSPOSE(
    CHOOSE({1;2;3;4;5;6;7;8;9;10;11;12;13;14;15;16;17;18;19;20;21;22;23;24;25;26;27;28},
     COUNTIFS($T$3:$T$201,$M370)&gt;0,
     COUNTIFS($U$3:$U$201,$M370)&gt;0,
     COUNTIFS($V$3:$V$201,$M370)&gt;0,
     COUNTIFS($W$3:$W$201,$M370)&gt;0,
     COUNTIFS($X$3:$X$201,$M370)&gt;0,
     COUNTIFS($Y$3:$Y$201,$M370)&gt;0,
     COUNTIFS($Z$3:$Z$201,$M370)&gt;0,
     COUNTIFS($AA$3:$AA$201,$M370)&gt;0,
     COUNTIFS($AB$3:$AB$201,$M370)&gt;0,
     COUNTIFS($AC$3:$AC$201,$M370)&gt;0,
     COUNTIFS($AD$3:$AD$201,$M370)&gt;0,
     COUNTIFS($AE$3:$AE$201,$M370)&gt;0,
     COUNTIFS($AF$3:$AF$201,$M370)&gt;0,
     COUNTIFS($AG$3:$AG$201,$M370)&gt;0,
     COUNTIFS($AH$3:$AH$201,$M370)&gt;0,
     COUNTIFS($AI$3:$AI$201,$M370)&gt;0,
     COUNTIFS($AJ$3:$AJ$201,$M370)&gt;0,
     COUNTIFS($AK$3:$AK$201,$M370)&gt;0,
     COUNTIFS($AL$3:$AL$201,$M370)&gt;0,
     COUNTIFS($AM$3:$AM$201,$M370)&gt;0,
     COUNTIFS($AN$3:$AN$201,$M370)&gt;0,
     COUNTIFS($AO$3:$AO$201,$M370)&gt;0,
     COUNTIFS($AP$3:$AP$201,$M370)&gt;0,
     COUNTIFS($AQ$3:$AQ$201,$M370)&gt;0,
     COUNTIFS($AR$3:$AR$201,$M370)&gt;0,
     COUNTIFS($AS$3:$AS$201,$M370)&gt;0,
     COUNTIFS($AT$3:$AT$201,$M370)&gt;0,
     COUNTIFS($AU$3:$AU$201,$M370)&gt;0
   )),
  3)
 ),
"")</f>
        <v/>
      </c>
      <c r="R370" s="3" t="str" cm="1">
        <f t="array" ref="R370">IFERROR(
 INDEX($T$2:$AU$2,
  _xlfn.AGGREGATE(15,6,
   (COLUMN($T$2:$AU$2)-COLUMN($T$2)+1)/
   TRANSPOSE(
    CHOOSE({1;2;3;4;5;6;7;8;9;10;11;12;13;14;15;16;17;18;19;20;21;22;23;24;25;26;27;28},
     COUNTIFS($T$3:$T$201,$M370)&gt;0,
     COUNTIFS($U$3:$U$201,$M370)&gt;0,
     COUNTIFS($V$3:$V$201,$M370)&gt;0,
     COUNTIFS($W$3:$W$201,$M370)&gt;0,
     COUNTIFS($X$3:$X$201,$M370)&gt;0,
     COUNTIFS($Y$3:$Y$201,$M370)&gt;0,
     COUNTIFS($Z$3:$Z$201,$M370)&gt;0,
     COUNTIFS($AA$3:$AA$201,$M370)&gt;0,
     COUNTIFS($AB$3:$AB$201,$M370)&gt;0,
     COUNTIFS($AC$3:$AC$201,$M370)&gt;0,
     COUNTIFS($AD$3:$AD$201,$M370)&gt;0,
     COUNTIFS($AE$3:$AE$201,$M370)&gt;0,
     COUNTIFS($AF$3:$AF$201,$M370)&gt;0,
     COUNTIFS($AG$3:$AG$201,$M370)&gt;0,
     COUNTIFS($AH$3:$AH$201,$M370)&gt;0,
     COUNTIFS($AI$3:$AI$201,$M370)&gt;0,
     COUNTIFS($AJ$3:$AJ$201,$M370)&gt;0,
     COUNTIFS($AK$3:$AK$201,$M370)&gt;0,
     COUNTIFS($AL$3:$AL$201,$M370)&gt;0,
     COUNTIFS($AM$3:$AM$201,$M370)&gt;0,
     COUNTIFS($AN$3:$AN$201,$M370)&gt;0,
     COUNTIFS($AO$3:$AO$201,$M370)&gt;0,
     COUNTIFS($AP$3:$AP$201,$M370)&gt;0,
     COUNTIFS($AQ$3:$AQ$201,$M370)&gt;0,
     COUNTIFS($AR$3:$AR$201,$M370)&gt;0,
     COUNTIFS($AS$3:$AS$201,$M370)&gt;0,
     COUNTIFS($AT$3:$AT$201,$M370)&gt;0,
     COUNTIFS($AU$3:$AU$201,$M370)&gt;0
   )),
  4)
 ),
"")</f>
        <v/>
      </c>
    </row>
    <row r="371" spans="2:18" x14ac:dyDescent="0.25">
      <c r="B371" s="3" t="str" cm="1">
        <f t="array" ref="B371">_xlfn.ANCHORARRAY(RESUMO!C370)</f>
        <v/>
      </c>
      <c r="C371" s="3" t="str">
        <f t="shared" ca="1" si="20"/>
        <v/>
      </c>
      <c r="N371" s="3">
        <f t="shared" si="21"/>
        <v>0</v>
      </c>
      <c r="O371" s="3" t="str">
        <f>IFERROR(
 INDEX($T$2:$AW$2,
  MATCH(TRUE,
   CHOOSE({1;2;3;4;5;6;7;8;9;10;11;12;13;14;15;16;17;18;19;20;21;22;23;24;25;26;27;28;29;30;31;32},
    COUNTIFS($T$3:$T$201,$M371)&gt;0,
    COUNTIFS($U$3:$U$201,$M371)&gt;0,
    COUNTIFS($V$3:$V$201,$M371)&gt;0,
    COUNTIFS($W$3:$W$201,$M371)&gt;0,
    COUNTIFS($X$3:$X$201,$M371)&gt;0,
    COUNTIFS($Y$3:$Y$201,$M371)&gt;0,
    COUNTIFS($Z$3:$Z$201,$M371)&gt;0,
    COUNTIFS($AA$3:$AA$201,$M371)&gt;0,
    COUNTIFS($AB$3:$AB$201,$M371)&gt;0,
    COUNTIFS($AC$3:$AC$201,$M371)&gt;0,
    COUNTIFS($AD$3:$AD$201,$M371)&gt;0,
    COUNTIFS($AE$3:$AE$201,$M371)&gt;0,
    COUNTIFS($AF$3:$AF$201,$M371)&gt;0,
    COUNTIFS($AG$3:$AG$201,$M371)&gt;0,
    COUNTIFS($AH$3:$AH$201,$M371)&gt;0,
    COUNTIFS($AI$3:$AI$201,$M371)&gt;0,
    COUNTIFS($AJ$3:$AJ$201,$M371)&gt;0,
    COUNTIFS($AK$3:$AK$201,$M371)&gt;0,
    COUNTIFS($AL$3:$AL$201,$M371)&gt;0,
    COUNTIFS($AM$3:$AM$201,$M371)&gt;0,
    COUNTIFS($AN$3:$AN$201,$M371)&gt;0,
    COUNTIFS($AO$3:$AO$201,$M371)&gt;0,
    COUNTIFS($AP$3:$AP$201,$M371)&gt;0,
    COUNTIFS($AQ$3:$AQ$201,$M371)&gt;0,
    COUNTIFS($AR$3:$AR$201,$M371)&gt;0,
    COUNTIFS($AS$3:$AS$201,$M371)&gt;0,
    COUNTIFS($AT$3:$AT$201,$M371)&gt;0,
    COUNTIFS($AU$3:$AU$201,$M371)&gt;0,
    COUNTIFS($AV$3:$AV$201,$M371)&gt;0,
    COUNTIFS($AW$3:$AW$201,$M371)&gt;0
   ),
  0)
 ),
"")</f>
        <v/>
      </c>
      <c r="P371" s="3" t="str" cm="1">
        <f t="array" ref="P371">IFERROR(
 INDEX(
  _xlfn._xlws.FILTER($T$2:$AU$2,
   TRANSPOSE(
    CHOOSE({1;2;3;4;5;6;7;8;9;10;11;12;13;14;15;16;17;18;19;20;21;22;23;24;25;26;27;28},
     COUNTIFS($T$3:$T$201,$M371)&gt;0,
     COUNTIFS($U$3:$U$201,$M371)&gt;0,
     COUNTIFS($V$3:$V$201,$M371)&gt;0,
     COUNTIFS($W$3:$W$201,$M371)&gt;0,
     COUNTIFS($X$3:$X$201,$M371)&gt;0,
     COUNTIFS($Y$3:$Y$201,$M371)&gt;0,
     COUNTIFS($Z$3:$Z$201,$M371)&gt;0,
     COUNTIFS($AA$3:$AA$201,$M371)&gt;0,
     COUNTIFS($AB$3:$AB$201,$M371)&gt;0,
     COUNTIFS($AC$3:$AC$201,$M371)&gt;0,
     COUNTIFS($AD$3:$AD$201,$M371)&gt;0,
     COUNTIFS($AE$3:$AE$201,$M371)&gt;0,
     COUNTIFS($AF$3:$AF$201,$M371)&gt;0,
     COUNTIFS($AG$3:$AG$201,$M371)&gt;0,
     COUNTIFS($AH$3:$AH$201,$M371)&gt;0,
     COUNTIFS($AI$3:$AI$201,$M371)&gt;0,
     COUNTIFS($AJ$3:$AJ$201,$M371)&gt;0,
     COUNTIFS($AK$3:$AK$201,$M371)&gt;0,
     COUNTIFS($AL$3:$AL$201,$M371)&gt;0,
     COUNTIFS($AM$3:$AM$201,$M371)&gt;0,
     COUNTIFS($AN$3:$AN$201,$M371)&gt;0,
     COUNTIFS($AO$3:$AO$201,$M371)&gt;0,
     COUNTIFS($AP$3:$AP$201,$M371)&gt;0,
     COUNTIFS($AQ$3:$AQ$201,$M371)&gt;0,
     COUNTIFS($AR$3:$AR$201,$M371)&gt;0,
     COUNTIFS($AS$3:$AS$201,$M371)&gt;0,
     COUNTIFS($AT$3:$AT$201,$M371)&gt;0,
     COUNTIFS($AU$3:$AU$201,$M371)&gt;0
   )),
  ),
  2
 ),
"")</f>
        <v/>
      </c>
      <c r="Q371" s="3" t="str" cm="1">
        <f t="array" ref="Q371">IFERROR(
 INDEX($T$2:$AU$2,
  _xlfn.AGGREGATE(15,6,
   (COLUMN($T$2:$AU$2)-COLUMN($T$2)+1)/
   TRANSPOSE(
    CHOOSE({1;2;3;4;5;6;7;8;9;10;11;12;13;14;15;16;17;18;19;20;21;22;23;24;25;26;27;28},
     COUNTIFS($T$3:$T$201,$M371)&gt;0,
     COUNTIFS($U$3:$U$201,$M371)&gt;0,
     COUNTIFS($V$3:$V$201,$M371)&gt;0,
     COUNTIFS($W$3:$W$201,$M371)&gt;0,
     COUNTIFS($X$3:$X$201,$M371)&gt;0,
     COUNTIFS($Y$3:$Y$201,$M371)&gt;0,
     COUNTIFS($Z$3:$Z$201,$M371)&gt;0,
     COUNTIFS($AA$3:$AA$201,$M371)&gt;0,
     COUNTIFS($AB$3:$AB$201,$M371)&gt;0,
     COUNTIFS($AC$3:$AC$201,$M371)&gt;0,
     COUNTIFS($AD$3:$AD$201,$M371)&gt;0,
     COUNTIFS($AE$3:$AE$201,$M371)&gt;0,
     COUNTIFS($AF$3:$AF$201,$M371)&gt;0,
     COUNTIFS($AG$3:$AG$201,$M371)&gt;0,
     COUNTIFS($AH$3:$AH$201,$M371)&gt;0,
     COUNTIFS($AI$3:$AI$201,$M371)&gt;0,
     COUNTIFS($AJ$3:$AJ$201,$M371)&gt;0,
     COUNTIFS($AK$3:$AK$201,$M371)&gt;0,
     COUNTIFS($AL$3:$AL$201,$M371)&gt;0,
     COUNTIFS($AM$3:$AM$201,$M371)&gt;0,
     COUNTIFS($AN$3:$AN$201,$M371)&gt;0,
     COUNTIFS($AO$3:$AO$201,$M371)&gt;0,
     COUNTIFS($AP$3:$AP$201,$M371)&gt;0,
     COUNTIFS($AQ$3:$AQ$201,$M371)&gt;0,
     COUNTIFS($AR$3:$AR$201,$M371)&gt;0,
     COUNTIFS($AS$3:$AS$201,$M371)&gt;0,
     COUNTIFS($AT$3:$AT$201,$M371)&gt;0,
     COUNTIFS($AU$3:$AU$201,$M371)&gt;0
   )),
  3)
 ),
"")</f>
        <v/>
      </c>
      <c r="R371" s="3" t="str" cm="1">
        <f t="array" ref="R371">IFERROR(
 INDEX($T$2:$AU$2,
  _xlfn.AGGREGATE(15,6,
   (COLUMN($T$2:$AU$2)-COLUMN($T$2)+1)/
   TRANSPOSE(
    CHOOSE({1;2;3;4;5;6;7;8;9;10;11;12;13;14;15;16;17;18;19;20;21;22;23;24;25;26;27;28},
     COUNTIFS($T$3:$T$201,$M371)&gt;0,
     COUNTIFS($U$3:$U$201,$M371)&gt;0,
     COUNTIFS($V$3:$V$201,$M371)&gt;0,
     COUNTIFS($W$3:$W$201,$M371)&gt;0,
     COUNTIFS($X$3:$X$201,$M371)&gt;0,
     COUNTIFS($Y$3:$Y$201,$M371)&gt;0,
     COUNTIFS($Z$3:$Z$201,$M371)&gt;0,
     COUNTIFS($AA$3:$AA$201,$M371)&gt;0,
     COUNTIFS($AB$3:$AB$201,$M371)&gt;0,
     COUNTIFS($AC$3:$AC$201,$M371)&gt;0,
     COUNTIFS($AD$3:$AD$201,$M371)&gt;0,
     COUNTIFS($AE$3:$AE$201,$M371)&gt;0,
     COUNTIFS($AF$3:$AF$201,$M371)&gt;0,
     COUNTIFS($AG$3:$AG$201,$M371)&gt;0,
     COUNTIFS($AH$3:$AH$201,$M371)&gt;0,
     COUNTIFS($AI$3:$AI$201,$M371)&gt;0,
     COUNTIFS($AJ$3:$AJ$201,$M371)&gt;0,
     COUNTIFS($AK$3:$AK$201,$M371)&gt;0,
     COUNTIFS($AL$3:$AL$201,$M371)&gt;0,
     COUNTIFS($AM$3:$AM$201,$M371)&gt;0,
     COUNTIFS($AN$3:$AN$201,$M371)&gt;0,
     COUNTIFS($AO$3:$AO$201,$M371)&gt;0,
     COUNTIFS($AP$3:$AP$201,$M371)&gt;0,
     COUNTIFS($AQ$3:$AQ$201,$M371)&gt;0,
     COUNTIFS($AR$3:$AR$201,$M371)&gt;0,
     COUNTIFS($AS$3:$AS$201,$M371)&gt;0,
     COUNTIFS($AT$3:$AT$201,$M371)&gt;0,
     COUNTIFS($AU$3:$AU$201,$M371)&gt;0
   )),
  4)
 ),
"")</f>
        <v/>
      </c>
    </row>
    <row r="372" spans="2:18" x14ac:dyDescent="0.25">
      <c r="B372" s="3" t="str" cm="1">
        <f t="array" ref="B372">_xlfn.ANCHORARRAY(RESUMO!C371)</f>
        <v/>
      </c>
      <c r="C372" s="3" t="str">
        <f t="shared" ca="1" si="20"/>
        <v/>
      </c>
      <c r="N372" s="3">
        <f t="shared" si="21"/>
        <v>0</v>
      </c>
      <c r="O372" s="3" t="str">
        <f>IFERROR(
 INDEX($T$2:$AW$2,
  MATCH(TRUE,
   CHOOSE({1;2;3;4;5;6;7;8;9;10;11;12;13;14;15;16;17;18;19;20;21;22;23;24;25;26;27;28;29;30;31;32},
    COUNTIFS($T$3:$T$201,$M372)&gt;0,
    COUNTIFS($U$3:$U$201,$M372)&gt;0,
    COUNTIFS($V$3:$V$201,$M372)&gt;0,
    COUNTIFS($W$3:$W$201,$M372)&gt;0,
    COUNTIFS($X$3:$X$201,$M372)&gt;0,
    COUNTIFS($Y$3:$Y$201,$M372)&gt;0,
    COUNTIFS($Z$3:$Z$201,$M372)&gt;0,
    COUNTIFS($AA$3:$AA$201,$M372)&gt;0,
    COUNTIFS($AB$3:$AB$201,$M372)&gt;0,
    COUNTIFS($AC$3:$AC$201,$M372)&gt;0,
    COUNTIFS($AD$3:$AD$201,$M372)&gt;0,
    COUNTIFS($AE$3:$AE$201,$M372)&gt;0,
    COUNTIFS($AF$3:$AF$201,$M372)&gt;0,
    COUNTIFS($AG$3:$AG$201,$M372)&gt;0,
    COUNTIFS($AH$3:$AH$201,$M372)&gt;0,
    COUNTIFS($AI$3:$AI$201,$M372)&gt;0,
    COUNTIFS($AJ$3:$AJ$201,$M372)&gt;0,
    COUNTIFS($AK$3:$AK$201,$M372)&gt;0,
    COUNTIFS($AL$3:$AL$201,$M372)&gt;0,
    COUNTIFS($AM$3:$AM$201,$M372)&gt;0,
    COUNTIFS($AN$3:$AN$201,$M372)&gt;0,
    COUNTIFS($AO$3:$AO$201,$M372)&gt;0,
    COUNTIFS($AP$3:$AP$201,$M372)&gt;0,
    COUNTIFS($AQ$3:$AQ$201,$M372)&gt;0,
    COUNTIFS($AR$3:$AR$201,$M372)&gt;0,
    COUNTIFS($AS$3:$AS$201,$M372)&gt;0,
    COUNTIFS($AT$3:$AT$201,$M372)&gt;0,
    COUNTIFS($AU$3:$AU$201,$M372)&gt;0,
    COUNTIFS($AV$3:$AV$201,$M372)&gt;0,
    COUNTIFS($AW$3:$AW$201,$M372)&gt;0
   ),
  0)
 ),
"")</f>
        <v/>
      </c>
      <c r="P372" s="3" t="str" cm="1">
        <f t="array" ref="P372">IFERROR(
 INDEX(
  _xlfn._xlws.FILTER($T$2:$AU$2,
   TRANSPOSE(
    CHOOSE({1;2;3;4;5;6;7;8;9;10;11;12;13;14;15;16;17;18;19;20;21;22;23;24;25;26;27;28},
     COUNTIFS($T$3:$T$201,$M372)&gt;0,
     COUNTIFS($U$3:$U$201,$M372)&gt;0,
     COUNTIFS($V$3:$V$201,$M372)&gt;0,
     COUNTIFS($W$3:$W$201,$M372)&gt;0,
     COUNTIFS($X$3:$X$201,$M372)&gt;0,
     COUNTIFS($Y$3:$Y$201,$M372)&gt;0,
     COUNTIFS($Z$3:$Z$201,$M372)&gt;0,
     COUNTIFS($AA$3:$AA$201,$M372)&gt;0,
     COUNTIFS($AB$3:$AB$201,$M372)&gt;0,
     COUNTIFS($AC$3:$AC$201,$M372)&gt;0,
     COUNTIFS($AD$3:$AD$201,$M372)&gt;0,
     COUNTIFS($AE$3:$AE$201,$M372)&gt;0,
     COUNTIFS($AF$3:$AF$201,$M372)&gt;0,
     COUNTIFS($AG$3:$AG$201,$M372)&gt;0,
     COUNTIFS($AH$3:$AH$201,$M372)&gt;0,
     COUNTIFS($AI$3:$AI$201,$M372)&gt;0,
     COUNTIFS($AJ$3:$AJ$201,$M372)&gt;0,
     COUNTIFS($AK$3:$AK$201,$M372)&gt;0,
     COUNTIFS($AL$3:$AL$201,$M372)&gt;0,
     COUNTIFS($AM$3:$AM$201,$M372)&gt;0,
     COUNTIFS($AN$3:$AN$201,$M372)&gt;0,
     COUNTIFS($AO$3:$AO$201,$M372)&gt;0,
     COUNTIFS($AP$3:$AP$201,$M372)&gt;0,
     COUNTIFS($AQ$3:$AQ$201,$M372)&gt;0,
     COUNTIFS($AR$3:$AR$201,$M372)&gt;0,
     COUNTIFS($AS$3:$AS$201,$M372)&gt;0,
     COUNTIFS($AT$3:$AT$201,$M372)&gt;0,
     COUNTIFS($AU$3:$AU$201,$M372)&gt;0
   )),
  ),
  2
 ),
"")</f>
        <v/>
      </c>
      <c r="Q372" s="3" t="str" cm="1">
        <f t="array" ref="Q372">IFERROR(
 INDEX($T$2:$AU$2,
  _xlfn.AGGREGATE(15,6,
   (COLUMN($T$2:$AU$2)-COLUMN($T$2)+1)/
   TRANSPOSE(
    CHOOSE({1;2;3;4;5;6;7;8;9;10;11;12;13;14;15;16;17;18;19;20;21;22;23;24;25;26;27;28},
     COUNTIFS($T$3:$T$201,$M372)&gt;0,
     COUNTIFS($U$3:$U$201,$M372)&gt;0,
     COUNTIFS($V$3:$V$201,$M372)&gt;0,
     COUNTIFS($W$3:$W$201,$M372)&gt;0,
     COUNTIFS($X$3:$X$201,$M372)&gt;0,
     COUNTIFS($Y$3:$Y$201,$M372)&gt;0,
     COUNTIFS($Z$3:$Z$201,$M372)&gt;0,
     COUNTIFS($AA$3:$AA$201,$M372)&gt;0,
     COUNTIFS($AB$3:$AB$201,$M372)&gt;0,
     COUNTIFS($AC$3:$AC$201,$M372)&gt;0,
     COUNTIFS($AD$3:$AD$201,$M372)&gt;0,
     COUNTIFS($AE$3:$AE$201,$M372)&gt;0,
     COUNTIFS($AF$3:$AF$201,$M372)&gt;0,
     COUNTIFS($AG$3:$AG$201,$M372)&gt;0,
     COUNTIFS($AH$3:$AH$201,$M372)&gt;0,
     COUNTIFS($AI$3:$AI$201,$M372)&gt;0,
     COUNTIFS($AJ$3:$AJ$201,$M372)&gt;0,
     COUNTIFS($AK$3:$AK$201,$M372)&gt;0,
     COUNTIFS($AL$3:$AL$201,$M372)&gt;0,
     COUNTIFS($AM$3:$AM$201,$M372)&gt;0,
     COUNTIFS($AN$3:$AN$201,$M372)&gt;0,
     COUNTIFS($AO$3:$AO$201,$M372)&gt;0,
     COUNTIFS($AP$3:$AP$201,$M372)&gt;0,
     COUNTIFS($AQ$3:$AQ$201,$M372)&gt;0,
     COUNTIFS($AR$3:$AR$201,$M372)&gt;0,
     COUNTIFS($AS$3:$AS$201,$M372)&gt;0,
     COUNTIFS($AT$3:$AT$201,$M372)&gt;0,
     COUNTIFS($AU$3:$AU$201,$M372)&gt;0
   )),
  3)
 ),
"")</f>
        <v/>
      </c>
      <c r="R372" s="3" t="str" cm="1">
        <f t="array" ref="R372">IFERROR(
 INDEX($T$2:$AU$2,
  _xlfn.AGGREGATE(15,6,
   (COLUMN($T$2:$AU$2)-COLUMN($T$2)+1)/
   TRANSPOSE(
    CHOOSE({1;2;3;4;5;6;7;8;9;10;11;12;13;14;15;16;17;18;19;20;21;22;23;24;25;26;27;28},
     COUNTIFS($T$3:$T$201,$M372)&gt;0,
     COUNTIFS($U$3:$U$201,$M372)&gt;0,
     COUNTIFS($V$3:$V$201,$M372)&gt;0,
     COUNTIFS($W$3:$W$201,$M372)&gt;0,
     COUNTIFS($X$3:$X$201,$M372)&gt;0,
     COUNTIFS($Y$3:$Y$201,$M372)&gt;0,
     COUNTIFS($Z$3:$Z$201,$M372)&gt;0,
     COUNTIFS($AA$3:$AA$201,$M372)&gt;0,
     COUNTIFS($AB$3:$AB$201,$M372)&gt;0,
     COUNTIFS($AC$3:$AC$201,$M372)&gt;0,
     COUNTIFS($AD$3:$AD$201,$M372)&gt;0,
     COUNTIFS($AE$3:$AE$201,$M372)&gt;0,
     COUNTIFS($AF$3:$AF$201,$M372)&gt;0,
     COUNTIFS($AG$3:$AG$201,$M372)&gt;0,
     COUNTIFS($AH$3:$AH$201,$M372)&gt;0,
     COUNTIFS($AI$3:$AI$201,$M372)&gt;0,
     COUNTIFS($AJ$3:$AJ$201,$M372)&gt;0,
     COUNTIFS($AK$3:$AK$201,$M372)&gt;0,
     COUNTIFS($AL$3:$AL$201,$M372)&gt;0,
     COUNTIFS($AM$3:$AM$201,$M372)&gt;0,
     COUNTIFS($AN$3:$AN$201,$M372)&gt;0,
     COUNTIFS($AO$3:$AO$201,$M372)&gt;0,
     COUNTIFS($AP$3:$AP$201,$M372)&gt;0,
     COUNTIFS($AQ$3:$AQ$201,$M372)&gt;0,
     COUNTIFS($AR$3:$AR$201,$M372)&gt;0,
     COUNTIFS($AS$3:$AS$201,$M372)&gt;0,
     COUNTIFS($AT$3:$AT$201,$M372)&gt;0,
     COUNTIFS($AU$3:$AU$201,$M372)&gt;0
   )),
  4)
 ),
"")</f>
        <v/>
      </c>
    </row>
    <row r="373" spans="2:18" x14ac:dyDescent="0.25">
      <c r="B373" s="3" t="str" cm="1">
        <f t="array" ref="B373">_xlfn.ANCHORARRAY(RESUMO!C372)</f>
        <v/>
      </c>
      <c r="C373" s="3" t="str">
        <f t="shared" ca="1" si="20"/>
        <v/>
      </c>
      <c r="N373" s="3">
        <f t="shared" si="21"/>
        <v>0</v>
      </c>
      <c r="O373" s="3" t="str">
        <f>IFERROR(
 INDEX($T$2:$AW$2,
  MATCH(TRUE,
   CHOOSE({1;2;3;4;5;6;7;8;9;10;11;12;13;14;15;16;17;18;19;20;21;22;23;24;25;26;27;28;29;30;31;32},
    COUNTIFS($T$3:$T$201,$M373)&gt;0,
    COUNTIFS($U$3:$U$201,$M373)&gt;0,
    COUNTIFS($V$3:$V$201,$M373)&gt;0,
    COUNTIFS($W$3:$W$201,$M373)&gt;0,
    COUNTIFS($X$3:$X$201,$M373)&gt;0,
    COUNTIFS($Y$3:$Y$201,$M373)&gt;0,
    COUNTIFS($Z$3:$Z$201,$M373)&gt;0,
    COUNTIFS($AA$3:$AA$201,$M373)&gt;0,
    COUNTIFS($AB$3:$AB$201,$M373)&gt;0,
    COUNTIFS($AC$3:$AC$201,$M373)&gt;0,
    COUNTIFS($AD$3:$AD$201,$M373)&gt;0,
    COUNTIFS($AE$3:$AE$201,$M373)&gt;0,
    COUNTIFS($AF$3:$AF$201,$M373)&gt;0,
    COUNTIFS($AG$3:$AG$201,$M373)&gt;0,
    COUNTIFS($AH$3:$AH$201,$M373)&gt;0,
    COUNTIFS($AI$3:$AI$201,$M373)&gt;0,
    COUNTIFS($AJ$3:$AJ$201,$M373)&gt;0,
    COUNTIFS($AK$3:$AK$201,$M373)&gt;0,
    COUNTIFS($AL$3:$AL$201,$M373)&gt;0,
    COUNTIFS($AM$3:$AM$201,$M373)&gt;0,
    COUNTIFS($AN$3:$AN$201,$M373)&gt;0,
    COUNTIFS($AO$3:$AO$201,$M373)&gt;0,
    COUNTIFS($AP$3:$AP$201,$M373)&gt;0,
    COUNTIFS($AQ$3:$AQ$201,$M373)&gt;0,
    COUNTIFS($AR$3:$AR$201,$M373)&gt;0,
    COUNTIFS($AS$3:$AS$201,$M373)&gt;0,
    COUNTIFS($AT$3:$AT$201,$M373)&gt;0,
    COUNTIFS($AU$3:$AU$201,$M373)&gt;0,
    COUNTIFS($AV$3:$AV$201,$M373)&gt;0,
    COUNTIFS($AW$3:$AW$201,$M373)&gt;0
   ),
  0)
 ),
"")</f>
        <v/>
      </c>
      <c r="P373" s="3" t="str" cm="1">
        <f t="array" ref="P373">IFERROR(
 INDEX(
  _xlfn._xlws.FILTER($T$2:$AU$2,
   TRANSPOSE(
    CHOOSE({1;2;3;4;5;6;7;8;9;10;11;12;13;14;15;16;17;18;19;20;21;22;23;24;25;26;27;28},
     COUNTIFS($T$3:$T$201,$M373)&gt;0,
     COUNTIFS($U$3:$U$201,$M373)&gt;0,
     COUNTIFS($V$3:$V$201,$M373)&gt;0,
     COUNTIFS($W$3:$W$201,$M373)&gt;0,
     COUNTIFS($X$3:$X$201,$M373)&gt;0,
     COUNTIFS($Y$3:$Y$201,$M373)&gt;0,
     COUNTIFS($Z$3:$Z$201,$M373)&gt;0,
     COUNTIFS($AA$3:$AA$201,$M373)&gt;0,
     COUNTIFS($AB$3:$AB$201,$M373)&gt;0,
     COUNTIFS($AC$3:$AC$201,$M373)&gt;0,
     COUNTIFS($AD$3:$AD$201,$M373)&gt;0,
     COUNTIFS($AE$3:$AE$201,$M373)&gt;0,
     COUNTIFS($AF$3:$AF$201,$M373)&gt;0,
     COUNTIFS($AG$3:$AG$201,$M373)&gt;0,
     COUNTIFS($AH$3:$AH$201,$M373)&gt;0,
     COUNTIFS($AI$3:$AI$201,$M373)&gt;0,
     COUNTIFS($AJ$3:$AJ$201,$M373)&gt;0,
     COUNTIFS($AK$3:$AK$201,$M373)&gt;0,
     COUNTIFS($AL$3:$AL$201,$M373)&gt;0,
     COUNTIFS($AM$3:$AM$201,$M373)&gt;0,
     COUNTIFS($AN$3:$AN$201,$M373)&gt;0,
     COUNTIFS($AO$3:$AO$201,$M373)&gt;0,
     COUNTIFS($AP$3:$AP$201,$M373)&gt;0,
     COUNTIFS($AQ$3:$AQ$201,$M373)&gt;0,
     COUNTIFS($AR$3:$AR$201,$M373)&gt;0,
     COUNTIFS($AS$3:$AS$201,$M373)&gt;0,
     COUNTIFS($AT$3:$AT$201,$M373)&gt;0,
     COUNTIFS($AU$3:$AU$201,$M373)&gt;0
   )),
  ),
  2
 ),
"")</f>
        <v/>
      </c>
      <c r="Q373" s="3" t="str" cm="1">
        <f t="array" ref="Q373">IFERROR(
 INDEX($T$2:$AU$2,
  _xlfn.AGGREGATE(15,6,
   (COLUMN($T$2:$AU$2)-COLUMN($T$2)+1)/
   TRANSPOSE(
    CHOOSE({1;2;3;4;5;6;7;8;9;10;11;12;13;14;15;16;17;18;19;20;21;22;23;24;25;26;27;28},
     COUNTIFS($T$3:$T$201,$M373)&gt;0,
     COUNTIFS($U$3:$U$201,$M373)&gt;0,
     COUNTIFS($V$3:$V$201,$M373)&gt;0,
     COUNTIFS($W$3:$W$201,$M373)&gt;0,
     COUNTIFS($X$3:$X$201,$M373)&gt;0,
     COUNTIFS($Y$3:$Y$201,$M373)&gt;0,
     COUNTIFS($Z$3:$Z$201,$M373)&gt;0,
     COUNTIFS($AA$3:$AA$201,$M373)&gt;0,
     COUNTIFS($AB$3:$AB$201,$M373)&gt;0,
     COUNTIFS($AC$3:$AC$201,$M373)&gt;0,
     COUNTIFS($AD$3:$AD$201,$M373)&gt;0,
     COUNTIFS($AE$3:$AE$201,$M373)&gt;0,
     COUNTIFS($AF$3:$AF$201,$M373)&gt;0,
     COUNTIFS($AG$3:$AG$201,$M373)&gt;0,
     COUNTIFS($AH$3:$AH$201,$M373)&gt;0,
     COUNTIFS($AI$3:$AI$201,$M373)&gt;0,
     COUNTIFS($AJ$3:$AJ$201,$M373)&gt;0,
     COUNTIFS($AK$3:$AK$201,$M373)&gt;0,
     COUNTIFS($AL$3:$AL$201,$M373)&gt;0,
     COUNTIFS($AM$3:$AM$201,$M373)&gt;0,
     COUNTIFS($AN$3:$AN$201,$M373)&gt;0,
     COUNTIFS($AO$3:$AO$201,$M373)&gt;0,
     COUNTIFS($AP$3:$AP$201,$M373)&gt;0,
     COUNTIFS($AQ$3:$AQ$201,$M373)&gt;0,
     COUNTIFS($AR$3:$AR$201,$M373)&gt;0,
     COUNTIFS($AS$3:$AS$201,$M373)&gt;0,
     COUNTIFS($AT$3:$AT$201,$M373)&gt;0,
     COUNTIFS($AU$3:$AU$201,$M373)&gt;0
   )),
  3)
 ),
"")</f>
        <v/>
      </c>
      <c r="R373" s="3" t="str" cm="1">
        <f t="array" ref="R373">IFERROR(
 INDEX($T$2:$AU$2,
  _xlfn.AGGREGATE(15,6,
   (COLUMN($T$2:$AU$2)-COLUMN($T$2)+1)/
   TRANSPOSE(
    CHOOSE({1;2;3;4;5;6;7;8;9;10;11;12;13;14;15;16;17;18;19;20;21;22;23;24;25;26;27;28},
     COUNTIFS($T$3:$T$201,$M373)&gt;0,
     COUNTIFS($U$3:$U$201,$M373)&gt;0,
     COUNTIFS($V$3:$V$201,$M373)&gt;0,
     COUNTIFS($W$3:$W$201,$M373)&gt;0,
     COUNTIFS($X$3:$X$201,$M373)&gt;0,
     COUNTIFS($Y$3:$Y$201,$M373)&gt;0,
     COUNTIFS($Z$3:$Z$201,$M373)&gt;0,
     COUNTIFS($AA$3:$AA$201,$M373)&gt;0,
     COUNTIFS($AB$3:$AB$201,$M373)&gt;0,
     COUNTIFS($AC$3:$AC$201,$M373)&gt;0,
     COUNTIFS($AD$3:$AD$201,$M373)&gt;0,
     COUNTIFS($AE$3:$AE$201,$M373)&gt;0,
     COUNTIFS($AF$3:$AF$201,$M373)&gt;0,
     COUNTIFS($AG$3:$AG$201,$M373)&gt;0,
     COUNTIFS($AH$3:$AH$201,$M373)&gt;0,
     COUNTIFS($AI$3:$AI$201,$M373)&gt;0,
     COUNTIFS($AJ$3:$AJ$201,$M373)&gt;0,
     COUNTIFS($AK$3:$AK$201,$M373)&gt;0,
     COUNTIFS($AL$3:$AL$201,$M373)&gt;0,
     COUNTIFS($AM$3:$AM$201,$M373)&gt;0,
     COUNTIFS($AN$3:$AN$201,$M373)&gt;0,
     COUNTIFS($AO$3:$AO$201,$M373)&gt;0,
     COUNTIFS($AP$3:$AP$201,$M373)&gt;0,
     COUNTIFS($AQ$3:$AQ$201,$M373)&gt;0,
     COUNTIFS($AR$3:$AR$201,$M373)&gt;0,
     COUNTIFS($AS$3:$AS$201,$M373)&gt;0,
     COUNTIFS($AT$3:$AT$201,$M373)&gt;0,
     COUNTIFS($AU$3:$AU$201,$M373)&gt;0
   )),
  4)
 ),
"")</f>
        <v/>
      </c>
    </row>
    <row r="374" spans="2:18" x14ac:dyDescent="0.25">
      <c r="B374" s="3" t="str" cm="1">
        <f t="array" ref="B374">_xlfn.ANCHORARRAY(RESUMO!C373)</f>
        <v/>
      </c>
      <c r="C374" s="3" t="str">
        <f t="shared" ca="1" si="20"/>
        <v/>
      </c>
      <c r="N374" s="3">
        <f t="shared" si="21"/>
        <v>0</v>
      </c>
      <c r="O374" s="3" t="str">
        <f>IFERROR(
 INDEX($T$2:$AW$2,
  MATCH(TRUE,
   CHOOSE({1;2;3;4;5;6;7;8;9;10;11;12;13;14;15;16;17;18;19;20;21;22;23;24;25;26;27;28;29;30;31;32},
    COUNTIFS($T$3:$T$201,$M374)&gt;0,
    COUNTIFS($U$3:$U$201,$M374)&gt;0,
    COUNTIFS($V$3:$V$201,$M374)&gt;0,
    COUNTIFS($W$3:$W$201,$M374)&gt;0,
    COUNTIFS($X$3:$X$201,$M374)&gt;0,
    COUNTIFS($Y$3:$Y$201,$M374)&gt;0,
    COUNTIFS($Z$3:$Z$201,$M374)&gt;0,
    COUNTIFS($AA$3:$AA$201,$M374)&gt;0,
    COUNTIFS($AB$3:$AB$201,$M374)&gt;0,
    COUNTIFS($AC$3:$AC$201,$M374)&gt;0,
    COUNTIFS($AD$3:$AD$201,$M374)&gt;0,
    COUNTIFS($AE$3:$AE$201,$M374)&gt;0,
    COUNTIFS($AF$3:$AF$201,$M374)&gt;0,
    COUNTIFS($AG$3:$AG$201,$M374)&gt;0,
    COUNTIFS($AH$3:$AH$201,$M374)&gt;0,
    COUNTIFS($AI$3:$AI$201,$M374)&gt;0,
    COUNTIFS($AJ$3:$AJ$201,$M374)&gt;0,
    COUNTIFS($AK$3:$AK$201,$M374)&gt;0,
    COUNTIFS($AL$3:$AL$201,$M374)&gt;0,
    COUNTIFS($AM$3:$AM$201,$M374)&gt;0,
    COUNTIFS($AN$3:$AN$201,$M374)&gt;0,
    COUNTIFS($AO$3:$AO$201,$M374)&gt;0,
    COUNTIFS($AP$3:$AP$201,$M374)&gt;0,
    COUNTIFS($AQ$3:$AQ$201,$M374)&gt;0,
    COUNTIFS($AR$3:$AR$201,$M374)&gt;0,
    COUNTIFS($AS$3:$AS$201,$M374)&gt;0,
    COUNTIFS($AT$3:$AT$201,$M374)&gt;0,
    COUNTIFS($AU$3:$AU$201,$M374)&gt;0,
    COUNTIFS($AV$3:$AV$201,$M374)&gt;0,
    COUNTIFS($AW$3:$AW$201,$M374)&gt;0
   ),
  0)
 ),
"")</f>
        <v/>
      </c>
      <c r="P374" s="3" t="str" cm="1">
        <f t="array" ref="P374">IFERROR(
 INDEX(
  _xlfn._xlws.FILTER($T$2:$AU$2,
   TRANSPOSE(
    CHOOSE({1;2;3;4;5;6;7;8;9;10;11;12;13;14;15;16;17;18;19;20;21;22;23;24;25;26;27;28},
     COUNTIFS($T$3:$T$201,$M374)&gt;0,
     COUNTIFS($U$3:$U$201,$M374)&gt;0,
     COUNTIFS($V$3:$V$201,$M374)&gt;0,
     COUNTIFS($W$3:$W$201,$M374)&gt;0,
     COUNTIFS($X$3:$X$201,$M374)&gt;0,
     COUNTIFS($Y$3:$Y$201,$M374)&gt;0,
     COUNTIFS($Z$3:$Z$201,$M374)&gt;0,
     COUNTIFS($AA$3:$AA$201,$M374)&gt;0,
     COUNTIFS($AB$3:$AB$201,$M374)&gt;0,
     COUNTIFS($AC$3:$AC$201,$M374)&gt;0,
     COUNTIFS($AD$3:$AD$201,$M374)&gt;0,
     COUNTIFS($AE$3:$AE$201,$M374)&gt;0,
     COUNTIFS($AF$3:$AF$201,$M374)&gt;0,
     COUNTIFS($AG$3:$AG$201,$M374)&gt;0,
     COUNTIFS($AH$3:$AH$201,$M374)&gt;0,
     COUNTIFS($AI$3:$AI$201,$M374)&gt;0,
     COUNTIFS($AJ$3:$AJ$201,$M374)&gt;0,
     COUNTIFS($AK$3:$AK$201,$M374)&gt;0,
     COUNTIFS($AL$3:$AL$201,$M374)&gt;0,
     COUNTIFS($AM$3:$AM$201,$M374)&gt;0,
     COUNTIFS($AN$3:$AN$201,$M374)&gt;0,
     COUNTIFS($AO$3:$AO$201,$M374)&gt;0,
     COUNTIFS($AP$3:$AP$201,$M374)&gt;0,
     COUNTIFS($AQ$3:$AQ$201,$M374)&gt;0,
     COUNTIFS($AR$3:$AR$201,$M374)&gt;0,
     COUNTIFS($AS$3:$AS$201,$M374)&gt;0,
     COUNTIFS($AT$3:$AT$201,$M374)&gt;0,
     COUNTIFS($AU$3:$AU$201,$M374)&gt;0
   )),
  ),
  2
 ),
"")</f>
        <v/>
      </c>
      <c r="Q374" s="3" t="str" cm="1">
        <f t="array" ref="Q374">IFERROR(
 INDEX($T$2:$AU$2,
  _xlfn.AGGREGATE(15,6,
   (COLUMN($T$2:$AU$2)-COLUMN($T$2)+1)/
   TRANSPOSE(
    CHOOSE({1;2;3;4;5;6;7;8;9;10;11;12;13;14;15;16;17;18;19;20;21;22;23;24;25;26;27;28},
     COUNTIFS($T$3:$T$201,$M374)&gt;0,
     COUNTIFS($U$3:$U$201,$M374)&gt;0,
     COUNTIFS($V$3:$V$201,$M374)&gt;0,
     COUNTIFS($W$3:$W$201,$M374)&gt;0,
     COUNTIFS($X$3:$X$201,$M374)&gt;0,
     COUNTIFS($Y$3:$Y$201,$M374)&gt;0,
     COUNTIFS($Z$3:$Z$201,$M374)&gt;0,
     COUNTIFS($AA$3:$AA$201,$M374)&gt;0,
     COUNTIFS($AB$3:$AB$201,$M374)&gt;0,
     COUNTIFS($AC$3:$AC$201,$M374)&gt;0,
     COUNTIFS($AD$3:$AD$201,$M374)&gt;0,
     COUNTIFS($AE$3:$AE$201,$M374)&gt;0,
     COUNTIFS($AF$3:$AF$201,$M374)&gt;0,
     COUNTIFS($AG$3:$AG$201,$M374)&gt;0,
     COUNTIFS($AH$3:$AH$201,$M374)&gt;0,
     COUNTIFS($AI$3:$AI$201,$M374)&gt;0,
     COUNTIFS($AJ$3:$AJ$201,$M374)&gt;0,
     COUNTIFS($AK$3:$AK$201,$M374)&gt;0,
     COUNTIFS($AL$3:$AL$201,$M374)&gt;0,
     COUNTIFS($AM$3:$AM$201,$M374)&gt;0,
     COUNTIFS($AN$3:$AN$201,$M374)&gt;0,
     COUNTIFS($AO$3:$AO$201,$M374)&gt;0,
     COUNTIFS($AP$3:$AP$201,$M374)&gt;0,
     COUNTIFS($AQ$3:$AQ$201,$M374)&gt;0,
     COUNTIFS($AR$3:$AR$201,$M374)&gt;0,
     COUNTIFS($AS$3:$AS$201,$M374)&gt;0,
     COUNTIFS($AT$3:$AT$201,$M374)&gt;0,
     COUNTIFS($AU$3:$AU$201,$M374)&gt;0
   )),
  3)
 ),
"")</f>
        <v/>
      </c>
      <c r="R374" s="3" t="str" cm="1">
        <f t="array" ref="R374">IFERROR(
 INDEX($T$2:$AU$2,
  _xlfn.AGGREGATE(15,6,
   (COLUMN($T$2:$AU$2)-COLUMN($T$2)+1)/
   TRANSPOSE(
    CHOOSE({1;2;3;4;5;6;7;8;9;10;11;12;13;14;15;16;17;18;19;20;21;22;23;24;25;26;27;28},
     COUNTIFS($T$3:$T$201,$M374)&gt;0,
     COUNTIFS($U$3:$U$201,$M374)&gt;0,
     COUNTIFS($V$3:$V$201,$M374)&gt;0,
     COUNTIFS($W$3:$W$201,$M374)&gt;0,
     COUNTIFS($X$3:$X$201,$M374)&gt;0,
     COUNTIFS($Y$3:$Y$201,$M374)&gt;0,
     COUNTIFS($Z$3:$Z$201,$M374)&gt;0,
     COUNTIFS($AA$3:$AA$201,$M374)&gt;0,
     COUNTIFS($AB$3:$AB$201,$M374)&gt;0,
     COUNTIFS($AC$3:$AC$201,$M374)&gt;0,
     COUNTIFS($AD$3:$AD$201,$M374)&gt;0,
     COUNTIFS($AE$3:$AE$201,$M374)&gt;0,
     COUNTIFS($AF$3:$AF$201,$M374)&gt;0,
     COUNTIFS($AG$3:$AG$201,$M374)&gt;0,
     COUNTIFS($AH$3:$AH$201,$M374)&gt;0,
     COUNTIFS($AI$3:$AI$201,$M374)&gt;0,
     COUNTIFS($AJ$3:$AJ$201,$M374)&gt;0,
     COUNTIFS($AK$3:$AK$201,$M374)&gt;0,
     COUNTIFS($AL$3:$AL$201,$M374)&gt;0,
     COUNTIFS($AM$3:$AM$201,$M374)&gt;0,
     COUNTIFS($AN$3:$AN$201,$M374)&gt;0,
     COUNTIFS($AO$3:$AO$201,$M374)&gt;0,
     COUNTIFS($AP$3:$AP$201,$M374)&gt;0,
     COUNTIFS($AQ$3:$AQ$201,$M374)&gt;0,
     COUNTIFS($AR$3:$AR$201,$M374)&gt;0,
     COUNTIFS($AS$3:$AS$201,$M374)&gt;0,
     COUNTIFS($AT$3:$AT$201,$M374)&gt;0,
     COUNTIFS($AU$3:$AU$201,$M374)&gt;0
   )),
  4)
 ),
"")</f>
        <v/>
      </c>
    </row>
    <row r="375" spans="2:18" x14ac:dyDescent="0.25">
      <c r="B375" s="3" t="str" cm="1">
        <f t="array" ref="B375">_xlfn.ANCHORARRAY(RESUMO!C374)</f>
        <v/>
      </c>
      <c r="C375" s="3" t="str">
        <f t="shared" ca="1" si="20"/>
        <v/>
      </c>
      <c r="N375" s="3">
        <f t="shared" si="21"/>
        <v>0</v>
      </c>
      <c r="O375" s="3" t="str">
        <f>IFERROR(
 INDEX($T$2:$AW$2,
  MATCH(TRUE,
   CHOOSE({1;2;3;4;5;6;7;8;9;10;11;12;13;14;15;16;17;18;19;20;21;22;23;24;25;26;27;28;29;30;31;32},
    COUNTIFS($T$3:$T$201,$M375)&gt;0,
    COUNTIFS($U$3:$U$201,$M375)&gt;0,
    COUNTIFS($V$3:$V$201,$M375)&gt;0,
    COUNTIFS($W$3:$W$201,$M375)&gt;0,
    COUNTIFS($X$3:$X$201,$M375)&gt;0,
    COUNTIFS($Y$3:$Y$201,$M375)&gt;0,
    COUNTIFS($Z$3:$Z$201,$M375)&gt;0,
    COUNTIFS($AA$3:$AA$201,$M375)&gt;0,
    COUNTIFS($AB$3:$AB$201,$M375)&gt;0,
    COUNTIFS($AC$3:$AC$201,$M375)&gt;0,
    COUNTIFS($AD$3:$AD$201,$M375)&gt;0,
    COUNTIFS($AE$3:$AE$201,$M375)&gt;0,
    COUNTIFS($AF$3:$AF$201,$M375)&gt;0,
    COUNTIFS($AG$3:$AG$201,$M375)&gt;0,
    COUNTIFS($AH$3:$AH$201,$M375)&gt;0,
    COUNTIFS($AI$3:$AI$201,$M375)&gt;0,
    COUNTIFS($AJ$3:$AJ$201,$M375)&gt;0,
    COUNTIFS($AK$3:$AK$201,$M375)&gt;0,
    COUNTIFS($AL$3:$AL$201,$M375)&gt;0,
    COUNTIFS($AM$3:$AM$201,$M375)&gt;0,
    COUNTIFS($AN$3:$AN$201,$M375)&gt;0,
    COUNTIFS($AO$3:$AO$201,$M375)&gt;0,
    COUNTIFS($AP$3:$AP$201,$M375)&gt;0,
    COUNTIFS($AQ$3:$AQ$201,$M375)&gt;0,
    COUNTIFS($AR$3:$AR$201,$M375)&gt;0,
    COUNTIFS($AS$3:$AS$201,$M375)&gt;0,
    COUNTIFS($AT$3:$AT$201,$M375)&gt;0,
    COUNTIFS($AU$3:$AU$201,$M375)&gt;0,
    COUNTIFS($AV$3:$AV$201,$M375)&gt;0,
    COUNTIFS($AW$3:$AW$201,$M375)&gt;0
   ),
  0)
 ),
"")</f>
        <v/>
      </c>
      <c r="P375" s="3" t="str" cm="1">
        <f t="array" ref="P375">IFERROR(
 INDEX(
  _xlfn._xlws.FILTER($T$2:$AU$2,
   TRANSPOSE(
    CHOOSE({1;2;3;4;5;6;7;8;9;10;11;12;13;14;15;16;17;18;19;20;21;22;23;24;25;26;27;28},
     COUNTIFS($T$3:$T$201,$M375)&gt;0,
     COUNTIFS($U$3:$U$201,$M375)&gt;0,
     COUNTIFS($V$3:$V$201,$M375)&gt;0,
     COUNTIFS($W$3:$W$201,$M375)&gt;0,
     COUNTIFS($X$3:$X$201,$M375)&gt;0,
     COUNTIFS($Y$3:$Y$201,$M375)&gt;0,
     COUNTIFS($Z$3:$Z$201,$M375)&gt;0,
     COUNTIFS($AA$3:$AA$201,$M375)&gt;0,
     COUNTIFS($AB$3:$AB$201,$M375)&gt;0,
     COUNTIFS($AC$3:$AC$201,$M375)&gt;0,
     COUNTIFS($AD$3:$AD$201,$M375)&gt;0,
     COUNTIFS($AE$3:$AE$201,$M375)&gt;0,
     COUNTIFS($AF$3:$AF$201,$M375)&gt;0,
     COUNTIFS($AG$3:$AG$201,$M375)&gt;0,
     COUNTIFS($AH$3:$AH$201,$M375)&gt;0,
     COUNTIFS($AI$3:$AI$201,$M375)&gt;0,
     COUNTIFS($AJ$3:$AJ$201,$M375)&gt;0,
     COUNTIFS($AK$3:$AK$201,$M375)&gt;0,
     COUNTIFS($AL$3:$AL$201,$M375)&gt;0,
     COUNTIFS($AM$3:$AM$201,$M375)&gt;0,
     COUNTIFS($AN$3:$AN$201,$M375)&gt;0,
     COUNTIFS($AO$3:$AO$201,$M375)&gt;0,
     COUNTIFS($AP$3:$AP$201,$M375)&gt;0,
     COUNTIFS($AQ$3:$AQ$201,$M375)&gt;0,
     COUNTIFS($AR$3:$AR$201,$M375)&gt;0,
     COUNTIFS($AS$3:$AS$201,$M375)&gt;0,
     COUNTIFS($AT$3:$AT$201,$M375)&gt;0,
     COUNTIFS($AU$3:$AU$201,$M375)&gt;0
   )),
  ),
  2
 ),
"")</f>
        <v/>
      </c>
      <c r="Q375" s="3" t="str" cm="1">
        <f t="array" ref="Q375">IFERROR(
 INDEX($T$2:$AU$2,
  _xlfn.AGGREGATE(15,6,
   (COLUMN($T$2:$AU$2)-COLUMN($T$2)+1)/
   TRANSPOSE(
    CHOOSE({1;2;3;4;5;6;7;8;9;10;11;12;13;14;15;16;17;18;19;20;21;22;23;24;25;26;27;28},
     COUNTIFS($T$3:$T$201,$M375)&gt;0,
     COUNTIFS($U$3:$U$201,$M375)&gt;0,
     COUNTIFS($V$3:$V$201,$M375)&gt;0,
     COUNTIFS($W$3:$W$201,$M375)&gt;0,
     COUNTIFS($X$3:$X$201,$M375)&gt;0,
     COUNTIFS($Y$3:$Y$201,$M375)&gt;0,
     COUNTIFS($Z$3:$Z$201,$M375)&gt;0,
     COUNTIFS($AA$3:$AA$201,$M375)&gt;0,
     COUNTIFS($AB$3:$AB$201,$M375)&gt;0,
     COUNTIFS($AC$3:$AC$201,$M375)&gt;0,
     COUNTIFS($AD$3:$AD$201,$M375)&gt;0,
     COUNTIFS($AE$3:$AE$201,$M375)&gt;0,
     COUNTIFS($AF$3:$AF$201,$M375)&gt;0,
     COUNTIFS($AG$3:$AG$201,$M375)&gt;0,
     COUNTIFS($AH$3:$AH$201,$M375)&gt;0,
     COUNTIFS($AI$3:$AI$201,$M375)&gt;0,
     COUNTIFS($AJ$3:$AJ$201,$M375)&gt;0,
     COUNTIFS($AK$3:$AK$201,$M375)&gt;0,
     COUNTIFS($AL$3:$AL$201,$M375)&gt;0,
     COUNTIFS($AM$3:$AM$201,$M375)&gt;0,
     COUNTIFS($AN$3:$AN$201,$M375)&gt;0,
     COUNTIFS($AO$3:$AO$201,$M375)&gt;0,
     COUNTIFS($AP$3:$AP$201,$M375)&gt;0,
     COUNTIFS($AQ$3:$AQ$201,$M375)&gt;0,
     COUNTIFS($AR$3:$AR$201,$M375)&gt;0,
     COUNTIFS($AS$3:$AS$201,$M375)&gt;0,
     COUNTIFS($AT$3:$AT$201,$M375)&gt;0,
     COUNTIFS($AU$3:$AU$201,$M375)&gt;0
   )),
  3)
 ),
"")</f>
        <v/>
      </c>
      <c r="R375" s="3" t="str" cm="1">
        <f t="array" ref="R375">IFERROR(
 INDEX($T$2:$AU$2,
  _xlfn.AGGREGATE(15,6,
   (COLUMN($T$2:$AU$2)-COLUMN($T$2)+1)/
   TRANSPOSE(
    CHOOSE({1;2;3;4;5;6;7;8;9;10;11;12;13;14;15;16;17;18;19;20;21;22;23;24;25;26;27;28},
     COUNTIFS($T$3:$T$201,$M375)&gt;0,
     COUNTIFS($U$3:$U$201,$M375)&gt;0,
     COUNTIFS($V$3:$V$201,$M375)&gt;0,
     COUNTIFS($W$3:$W$201,$M375)&gt;0,
     COUNTIFS($X$3:$X$201,$M375)&gt;0,
     COUNTIFS($Y$3:$Y$201,$M375)&gt;0,
     COUNTIFS($Z$3:$Z$201,$M375)&gt;0,
     COUNTIFS($AA$3:$AA$201,$M375)&gt;0,
     COUNTIFS($AB$3:$AB$201,$M375)&gt;0,
     COUNTIFS($AC$3:$AC$201,$M375)&gt;0,
     COUNTIFS($AD$3:$AD$201,$M375)&gt;0,
     COUNTIFS($AE$3:$AE$201,$M375)&gt;0,
     COUNTIFS($AF$3:$AF$201,$M375)&gt;0,
     COUNTIFS($AG$3:$AG$201,$M375)&gt;0,
     COUNTIFS($AH$3:$AH$201,$M375)&gt;0,
     COUNTIFS($AI$3:$AI$201,$M375)&gt;0,
     COUNTIFS($AJ$3:$AJ$201,$M375)&gt;0,
     COUNTIFS($AK$3:$AK$201,$M375)&gt;0,
     COUNTIFS($AL$3:$AL$201,$M375)&gt;0,
     COUNTIFS($AM$3:$AM$201,$M375)&gt;0,
     COUNTIFS($AN$3:$AN$201,$M375)&gt;0,
     COUNTIFS($AO$3:$AO$201,$M375)&gt;0,
     COUNTIFS($AP$3:$AP$201,$M375)&gt;0,
     COUNTIFS($AQ$3:$AQ$201,$M375)&gt;0,
     COUNTIFS($AR$3:$AR$201,$M375)&gt;0,
     COUNTIFS($AS$3:$AS$201,$M375)&gt;0,
     COUNTIFS($AT$3:$AT$201,$M375)&gt;0,
     COUNTIFS($AU$3:$AU$201,$M375)&gt;0
   )),
  4)
 ),
"")</f>
        <v/>
      </c>
    </row>
    <row r="376" spans="2:18" x14ac:dyDescent="0.25">
      <c r="B376" s="3" t="str" cm="1">
        <f t="array" ref="B376">_xlfn.ANCHORARRAY(RESUMO!C375)</f>
        <v/>
      </c>
      <c r="N376" s="3">
        <f t="shared" si="21"/>
        <v>0</v>
      </c>
      <c r="O376" s="3" t="str">
        <f>IFERROR(
 INDEX($T$2:$AW$2,
  MATCH(TRUE,
   CHOOSE({1;2;3;4;5;6;7;8;9;10;11;12;13;14;15;16;17;18;19;20;21;22;23;24;25;26;27;28;29;30;31;32},
    COUNTIFS($T$3:$T$201,$M376)&gt;0,
    COUNTIFS($U$3:$U$201,$M376)&gt;0,
    COUNTIFS($V$3:$V$201,$M376)&gt;0,
    COUNTIFS($W$3:$W$201,$M376)&gt;0,
    COUNTIFS($X$3:$X$201,$M376)&gt;0,
    COUNTIFS($Y$3:$Y$201,$M376)&gt;0,
    COUNTIFS($Z$3:$Z$201,$M376)&gt;0,
    COUNTIFS($AA$3:$AA$201,$M376)&gt;0,
    COUNTIFS($AB$3:$AB$201,$M376)&gt;0,
    COUNTIFS($AC$3:$AC$201,$M376)&gt;0,
    COUNTIFS($AD$3:$AD$201,$M376)&gt;0,
    COUNTIFS($AE$3:$AE$201,$M376)&gt;0,
    COUNTIFS($AF$3:$AF$201,$M376)&gt;0,
    COUNTIFS($AG$3:$AG$201,$M376)&gt;0,
    COUNTIFS($AH$3:$AH$201,$M376)&gt;0,
    COUNTIFS($AI$3:$AI$201,$M376)&gt;0,
    COUNTIFS($AJ$3:$AJ$201,$M376)&gt;0,
    COUNTIFS($AK$3:$AK$201,$M376)&gt;0,
    COUNTIFS($AL$3:$AL$201,$M376)&gt;0,
    COUNTIFS($AM$3:$AM$201,$M376)&gt;0,
    COUNTIFS($AN$3:$AN$201,$M376)&gt;0,
    COUNTIFS($AO$3:$AO$201,$M376)&gt;0,
    COUNTIFS($AP$3:$AP$201,$M376)&gt;0,
    COUNTIFS($AQ$3:$AQ$201,$M376)&gt;0,
    COUNTIFS($AR$3:$AR$201,$M376)&gt;0,
    COUNTIFS($AS$3:$AS$201,$M376)&gt;0,
    COUNTIFS($AT$3:$AT$201,$M376)&gt;0,
    COUNTIFS($AU$3:$AU$201,$M376)&gt;0,
    COUNTIFS($AV$3:$AV$201,$M376)&gt;0,
    COUNTIFS($AW$3:$AW$201,$M376)&gt;0
   ),
  0)
 ),
"")</f>
        <v/>
      </c>
      <c r="P376" s="3" t="str" cm="1">
        <f t="array" ref="P376">IFERROR(
 INDEX(
  _xlfn._xlws.FILTER($T$2:$AU$2,
   TRANSPOSE(
    CHOOSE({1;2;3;4;5;6;7;8;9;10;11;12;13;14;15;16;17;18;19;20;21;22;23;24;25;26;27;28},
     COUNTIFS($T$3:$T$201,$M376)&gt;0,
     COUNTIFS($U$3:$U$201,$M376)&gt;0,
     COUNTIFS($V$3:$V$201,$M376)&gt;0,
     COUNTIFS($W$3:$W$201,$M376)&gt;0,
     COUNTIFS($X$3:$X$201,$M376)&gt;0,
     COUNTIFS($Y$3:$Y$201,$M376)&gt;0,
     COUNTIFS($Z$3:$Z$201,$M376)&gt;0,
     COUNTIFS($AA$3:$AA$201,$M376)&gt;0,
     COUNTIFS($AB$3:$AB$201,$M376)&gt;0,
     COUNTIFS($AC$3:$AC$201,$M376)&gt;0,
     COUNTIFS($AD$3:$AD$201,$M376)&gt;0,
     COUNTIFS($AE$3:$AE$201,$M376)&gt;0,
     COUNTIFS($AF$3:$AF$201,$M376)&gt;0,
     COUNTIFS($AG$3:$AG$201,$M376)&gt;0,
     COUNTIFS($AH$3:$AH$201,$M376)&gt;0,
     COUNTIFS($AI$3:$AI$201,$M376)&gt;0,
     COUNTIFS($AJ$3:$AJ$201,$M376)&gt;0,
     COUNTIFS($AK$3:$AK$201,$M376)&gt;0,
     COUNTIFS($AL$3:$AL$201,$M376)&gt;0,
     COUNTIFS($AM$3:$AM$201,$M376)&gt;0,
     COUNTIFS($AN$3:$AN$201,$M376)&gt;0,
     COUNTIFS($AO$3:$AO$201,$M376)&gt;0,
     COUNTIFS($AP$3:$AP$201,$M376)&gt;0,
     COUNTIFS($AQ$3:$AQ$201,$M376)&gt;0,
     COUNTIFS($AR$3:$AR$201,$M376)&gt;0,
     COUNTIFS($AS$3:$AS$201,$M376)&gt;0,
     COUNTIFS($AT$3:$AT$201,$M376)&gt;0,
     COUNTIFS($AU$3:$AU$201,$M376)&gt;0
   )),
  ),
  2
 ),
"")</f>
        <v/>
      </c>
      <c r="Q376" s="3" t="str" cm="1">
        <f t="array" ref="Q376">IFERROR(
 INDEX($T$2:$AU$2,
  _xlfn.AGGREGATE(15,6,
   (COLUMN($T$2:$AU$2)-COLUMN($T$2)+1)/
   TRANSPOSE(
    CHOOSE({1;2;3;4;5;6;7;8;9;10;11;12;13;14;15;16;17;18;19;20;21;22;23;24;25;26;27;28},
     COUNTIFS($T$3:$T$201,$M376)&gt;0,
     COUNTIFS($U$3:$U$201,$M376)&gt;0,
     COUNTIFS($V$3:$V$201,$M376)&gt;0,
     COUNTIFS($W$3:$W$201,$M376)&gt;0,
     COUNTIFS($X$3:$X$201,$M376)&gt;0,
     COUNTIFS($Y$3:$Y$201,$M376)&gt;0,
     COUNTIFS($Z$3:$Z$201,$M376)&gt;0,
     COUNTIFS($AA$3:$AA$201,$M376)&gt;0,
     COUNTIFS($AB$3:$AB$201,$M376)&gt;0,
     COUNTIFS($AC$3:$AC$201,$M376)&gt;0,
     COUNTIFS($AD$3:$AD$201,$M376)&gt;0,
     COUNTIFS($AE$3:$AE$201,$M376)&gt;0,
     COUNTIFS($AF$3:$AF$201,$M376)&gt;0,
     COUNTIFS($AG$3:$AG$201,$M376)&gt;0,
     COUNTIFS($AH$3:$AH$201,$M376)&gt;0,
     COUNTIFS($AI$3:$AI$201,$M376)&gt;0,
     COUNTIFS($AJ$3:$AJ$201,$M376)&gt;0,
     COUNTIFS($AK$3:$AK$201,$M376)&gt;0,
     COUNTIFS($AL$3:$AL$201,$M376)&gt;0,
     COUNTIFS($AM$3:$AM$201,$M376)&gt;0,
     COUNTIFS($AN$3:$AN$201,$M376)&gt;0,
     COUNTIFS($AO$3:$AO$201,$M376)&gt;0,
     COUNTIFS($AP$3:$AP$201,$M376)&gt;0,
     COUNTIFS($AQ$3:$AQ$201,$M376)&gt;0,
     COUNTIFS($AR$3:$AR$201,$M376)&gt;0,
     COUNTIFS($AS$3:$AS$201,$M376)&gt;0,
     COUNTIFS($AT$3:$AT$201,$M376)&gt;0,
     COUNTIFS($AU$3:$AU$201,$M376)&gt;0
   )),
  3)
 ),
"")</f>
        <v/>
      </c>
      <c r="R376" s="3" t="str" cm="1">
        <f t="array" ref="R376">IFERROR(
 INDEX($T$2:$AU$2,
  _xlfn.AGGREGATE(15,6,
   (COLUMN($T$2:$AU$2)-COLUMN($T$2)+1)/
   TRANSPOSE(
    CHOOSE({1;2;3;4;5;6;7;8;9;10;11;12;13;14;15;16;17;18;19;20;21;22;23;24;25;26;27;28},
     COUNTIFS($T$3:$T$201,$M376)&gt;0,
     COUNTIFS($U$3:$U$201,$M376)&gt;0,
     COUNTIFS($V$3:$V$201,$M376)&gt;0,
     COUNTIFS($W$3:$W$201,$M376)&gt;0,
     COUNTIFS($X$3:$X$201,$M376)&gt;0,
     COUNTIFS($Y$3:$Y$201,$M376)&gt;0,
     COUNTIFS($Z$3:$Z$201,$M376)&gt;0,
     COUNTIFS($AA$3:$AA$201,$M376)&gt;0,
     COUNTIFS($AB$3:$AB$201,$M376)&gt;0,
     COUNTIFS($AC$3:$AC$201,$M376)&gt;0,
     COUNTIFS($AD$3:$AD$201,$M376)&gt;0,
     COUNTIFS($AE$3:$AE$201,$M376)&gt;0,
     COUNTIFS($AF$3:$AF$201,$M376)&gt;0,
     COUNTIFS($AG$3:$AG$201,$M376)&gt;0,
     COUNTIFS($AH$3:$AH$201,$M376)&gt;0,
     COUNTIFS($AI$3:$AI$201,$M376)&gt;0,
     COUNTIFS($AJ$3:$AJ$201,$M376)&gt;0,
     COUNTIFS($AK$3:$AK$201,$M376)&gt;0,
     COUNTIFS($AL$3:$AL$201,$M376)&gt;0,
     COUNTIFS($AM$3:$AM$201,$M376)&gt;0,
     COUNTIFS($AN$3:$AN$201,$M376)&gt;0,
     COUNTIFS($AO$3:$AO$201,$M376)&gt;0,
     COUNTIFS($AP$3:$AP$201,$M376)&gt;0,
     COUNTIFS($AQ$3:$AQ$201,$M376)&gt;0,
     COUNTIFS($AR$3:$AR$201,$M376)&gt;0,
     COUNTIFS($AS$3:$AS$201,$M376)&gt;0,
     COUNTIFS($AT$3:$AT$201,$M376)&gt;0,
     COUNTIFS($AU$3:$AU$201,$M376)&gt;0
   )),
  4)
 ),
"")</f>
        <v/>
      </c>
    </row>
    <row r="377" spans="2:18" x14ac:dyDescent="0.25">
      <c r="B377" s="3" t="str" cm="1">
        <f t="array" ref="B377">_xlfn.ANCHORARRAY(RESUMO!C376)</f>
        <v/>
      </c>
      <c r="N377" s="3">
        <f t="shared" si="21"/>
        <v>0</v>
      </c>
      <c r="O377" s="3" t="str">
        <f>IFERROR(
 INDEX($T$2:$AW$2,
  MATCH(TRUE,
   CHOOSE({1;2;3;4;5;6;7;8;9;10;11;12;13;14;15;16;17;18;19;20;21;22;23;24;25;26;27;28;29;30;31;32},
    COUNTIFS($T$3:$T$201,$M377)&gt;0,
    COUNTIFS($U$3:$U$201,$M377)&gt;0,
    COUNTIFS($V$3:$V$201,$M377)&gt;0,
    COUNTIFS($W$3:$W$201,$M377)&gt;0,
    COUNTIFS($X$3:$X$201,$M377)&gt;0,
    COUNTIFS($Y$3:$Y$201,$M377)&gt;0,
    COUNTIFS($Z$3:$Z$201,$M377)&gt;0,
    COUNTIFS($AA$3:$AA$201,$M377)&gt;0,
    COUNTIFS($AB$3:$AB$201,$M377)&gt;0,
    COUNTIFS($AC$3:$AC$201,$M377)&gt;0,
    COUNTIFS($AD$3:$AD$201,$M377)&gt;0,
    COUNTIFS($AE$3:$AE$201,$M377)&gt;0,
    COUNTIFS($AF$3:$AF$201,$M377)&gt;0,
    COUNTIFS($AG$3:$AG$201,$M377)&gt;0,
    COUNTIFS($AH$3:$AH$201,$M377)&gt;0,
    COUNTIFS($AI$3:$AI$201,$M377)&gt;0,
    COUNTIFS($AJ$3:$AJ$201,$M377)&gt;0,
    COUNTIFS($AK$3:$AK$201,$M377)&gt;0,
    COUNTIFS($AL$3:$AL$201,$M377)&gt;0,
    COUNTIFS($AM$3:$AM$201,$M377)&gt;0,
    COUNTIFS($AN$3:$AN$201,$M377)&gt;0,
    COUNTIFS($AO$3:$AO$201,$M377)&gt;0,
    COUNTIFS($AP$3:$AP$201,$M377)&gt;0,
    COUNTIFS($AQ$3:$AQ$201,$M377)&gt;0,
    COUNTIFS($AR$3:$AR$201,$M377)&gt;0,
    COUNTIFS($AS$3:$AS$201,$M377)&gt;0,
    COUNTIFS($AT$3:$AT$201,$M377)&gt;0,
    COUNTIFS($AU$3:$AU$201,$M377)&gt;0,
    COUNTIFS($AV$3:$AV$201,$M377)&gt;0,
    COUNTIFS($AW$3:$AW$201,$M377)&gt;0
   ),
  0)
 ),
"")</f>
        <v/>
      </c>
      <c r="P377" s="3" t="str" cm="1">
        <f t="array" ref="P377">IFERROR(
 INDEX(
  _xlfn._xlws.FILTER($T$2:$AU$2,
   TRANSPOSE(
    CHOOSE({1;2;3;4;5;6;7;8;9;10;11;12;13;14;15;16;17;18;19;20;21;22;23;24;25;26;27;28},
     COUNTIFS($T$3:$T$201,$M377)&gt;0,
     COUNTIFS($U$3:$U$201,$M377)&gt;0,
     COUNTIFS($V$3:$V$201,$M377)&gt;0,
     COUNTIFS($W$3:$W$201,$M377)&gt;0,
     COUNTIFS($X$3:$X$201,$M377)&gt;0,
     COUNTIFS($Y$3:$Y$201,$M377)&gt;0,
     COUNTIFS($Z$3:$Z$201,$M377)&gt;0,
     COUNTIFS($AA$3:$AA$201,$M377)&gt;0,
     COUNTIFS($AB$3:$AB$201,$M377)&gt;0,
     COUNTIFS($AC$3:$AC$201,$M377)&gt;0,
     COUNTIFS($AD$3:$AD$201,$M377)&gt;0,
     COUNTIFS($AE$3:$AE$201,$M377)&gt;0,
     COUNTIFS($AF$3:$AF$201,$M377)&gt;0,
     COUNTIFS($AG$3:$AG$201,$M377)&gt;0,
     COUNTIFS($AH$3:$AH$201,$M377)&gt;0,
     COUNTIFS($AI$3:$AI$201,$M377)&gt;0,
     COUNTIFS($AJ$3:$AJ$201,$M377)&gt;0,
     COUNTIFS($AK$3:$AK$201,$M377)&gt;0,
     COUNTIFS($AL$3:$AL$201,$M377)&gt;0,
     COUNTIFS($AM$3:$AM$201,$M377)&gt;0,
     COUNTIFS($AN$3:$AN$201,$M377)&gt;0,
     COUNTIFS($AO$3:$AO$201,$M377)&gt;0,
     COUNTIFS($AP$3:$AP$201,$M377)&gt;0,
     COUNTIFS($AQ$3:$AQ$201,$M377)&gt;0,
     COUNTIFS($AR$3:$AR$201,$M377)&gt;0,
     COUNTIFS($AS$3:$AS$201,$M377)&gt;0,
     COUNTIFS($AT$3:$AT$201,$M377)&gt;0,
     COUNTIFS($AU$3:$AU$201,$M377)&gt;0
   )),
  ),
  2
 ),
"")</f>
        <v/>
      </c>
      <c r="Q377" s="3" t="str" cm="1">
        <f t="array" ref="Q377">IFERROR(
 INDEX($T$2:$AU$2,
  _xlfn.AGGREGATE(15,6,
   (COLUMN($T$2:$AU$2)-COLUMN($T$2)+1)/
   TRANSPOSE(
    CHOOSE({1;2;3;4;5;6;7;8;9;10;11;12;13;14;15;16;17;18;19;20;21;22;23;24;25;26;27;28},
     COUNTIFS($T$3:$T$201,$M377)&gt;0,
     COUNTIFS($U$3:$U$201,$M377)&gt;0,
     COUNTIFS($V$3:$V$201,$M377)&gt;0,
     COUNTIFS($W$3:$W$201,$M377)&gt;0,
     COUNTIFS($X$3:$X$201,$M377)&gt;0,
     COUNTIFS($Y$3:$Y$201,$M377)&gt;0,
     COUNTIFS($Z$3:$Z$201,$M377)&gt;0,
     COUNTIFS($AA$3:$AA$201,$M377)&gt;0,
     COUNTIFS($AB$3:$AB$201,$M377)&gt;0,
     COUNTIFS($AC$3:$AC$201,$M377)&gt;0,
     COUNTIFS($AD$3:$AD$201,$M377)&gt;0,
     COUNTIFS($AE$3:$AE$201,$M377)&gt;0,
     COUNTIFS($AF$3:$AF$201,$M377)&gt;0,
     COUNTIFS($AG$3:$AG$201,$M377)&gt;0,
     COUNTIFS($AH$3:$AH$201,$M377)&gt;0,
     COUNTIFS($AI$3:$AI$201,$M377)&gt;0,
     COUNTIFS($AJ$3:$AJ$201,$M377)&gt;0,
     COUNTIFS($AK$3:$AK$201,$M377)&gt;0,
     COUNTIFS($AL$3:$AL$201,$M377)&gt;0,
     COUNTIFS($AM$3:$AM$201,$M377)&gt;0,
     COUNTIFS($AN$3:$AN$201,$M377)&gt;0,
     COUNTIFS($AO$3:$AO$201,$M377)&gt;0,
     COUNTIFS($AP$3:$AP$201,$M377)&gt;0,
     COUNTIFS($AQ$3:$AQ$201,$M377)&gt;0,
     COUNTIFS($AR$3:$AR$201,$M377)&gt;0,
     COUNTIFS($AS$3:$AS$201,$M377)&gt;0,
     COUNTIFS($AT$3:$AT$201,$M377)&gt;0,
     COUNTIFS($AU$3:$AU$201,$M377)&gt;0
   )),
  3)
 ),
"")</f>
        <v/>
      </c>
      <c r="R377" s="3" t="str" cm="1">
        <f t="array" ref="R377">IFERROR(
 INDEX($T$2:$AU$2,
  _xlfn.AGGREGATE(15,6,
   (COLUMN($T$2:$AU$2)-COLUMN($T$2)+1)/
   TRANSPOSE(
    CHOOSE({1;2;3;4;5;6;7;8;9;10;11;12;13;14;15;16;17;18;19;20;21;22;23;24;25;26;27;28},
     COUNTIFS($T$3:$T$201,$M377)&gt;0,
     COUNTIFS($U$3:$U$201,$M377)&gt;0,
     COUNTIFS($V$3:$V$201,$M377)&gt;0,
     COUNTIFS($W$3:$W$201,$M377)&gt;0,
     COUNTIFS($X$3:$X$201,$M377)&gt;0,
     COUNTIFS($Y$3:$Y$201,$M377)&gt;0,
     COUNTIFS($Z$3:$Z$201,$M377)&gt;0,
     COUNTIFS($AA$3:$AA$201,$M377)&gt;0,
     COUNTIFS($AB$3:$AB$201,$M377)&gt;0,
     COUNTIFS($AC$3:$AC$201,$M377)&gt;0,
     COUNTIFS($AD$3:$AD$201,$M377)&gt;0,
     COUNTIFS($AE$3:$AE$201,$M377)&gt;0,
     COUNTIFS($AF$3:$AF$201,$M377)&gt;0,
     COUNTIFS($AG$3:$AG$201,$M377)&gt;0,
     COUNTIFS($AH$3:$AH$201,$M377)&gt;0,
     COUNTIFS($AI$3:$AI$201,$M377)&gt;0,
     COUNTIFS($AJ$3:$AJ$201,$M377)&gt;0,
     COUNTIFS($AK$3:$AK$201,$M377)&gt;0,
     COUNTIFS($AL$3:$AL$201,$M377)&gt;0,
     COUNTIFS($AM$3:$AM$201,$M377)&gt;0,
     COUNTIFS($AN$3:$AN$201,$M377)&gt;0,
     COUNTIFS($AO$3:$AO$201,$M377)&gt;0,
     COUNTIFS($AP$3:$AP$201,$M377)&gt;0,
     COUNTIFS($AQ$3:$AQ$201,$M377)&gt;0,
     COUNTIFS($AR$3:$AR$201,$M377)&gt;0,
     COUNTIFS($AS$3:$AS$201,$M377)&gt;0,
     COUNTIFS($AT$3:$AT$201,$M377)&gt;0,
     COUNTIFS($AU$3:$AU$201,$M377)&gt;0
   )),
  4)
 ),
"")</f>
        <v/>
      </c>
    </row>
    <row r="378" spans="2:18" x14ac:dyDescent="0.25">
      <c r="N378" s="3">
        <f t="shared" si="21"/>
        <v>0</v>
      </c>
      <c r="O378" s="3" t="str">
        <f>IFERROR(
 INDEX($T$2:$AW$2,
  MATCH(TRUE,
   CHOOSE({1;2;3;4;5;6;7;8;9;10;11;12;13;14;15;16;17;18;19;20;21;22;23;24;25;26;27;28;29;30;31;32},
    COUNTIFS($T$3:$T$201,$M378)&gt;0,
    COUNTIFS($U$3:$U$201,$M378)&gt;0,
    COUNTIFS($V$3:$V$201,$M378)&gt;0,
    COUNTIFS($W$3:$W$201,$M378)&gt;0,
    COUNTIFS($X$3:$X$201,$M378)&gt;0,
    COUNTIFS($Y$3:$Y$201,$M378)&gt;0,
    COUNTIFS($Z$3:$Z$201,$M378)&gt;0,
    COUNTIFS($AA$3:$AA$201,$M378)&gt;0,
    COUNTIFS($AB$3:$AB$201,$M378)&gt;0,
    COUNTIFS($AC$3:$AC$201,$M378)&gt;0,
    COUNTIFS($AD$3:$AD$201,$M378)&gt;0,
    COUNTIFS($AE$3:$AE$201,$M378)&gt;0,
    COUNTIFS($AF$3:$AF$201,$M378)&gt;0,
    COUNTIFS($AG$3:$AG$201,$M378)&gt;0,
    COUNTIFS($AH$3:$AH$201,$M378)&gt;0,
    COUNTIFS($AI$3:$AI$201,$M378)&gt;0,
    COUNTIFS($AJ$3:$AJ$201,$M378)&gt;0,
    COUNTIFS($AK$3:$AK$201,$M378)&gt;0,
    COUNTIFS($AL$3:$AL$201,$M378)&gt;0,
    COUNTIFS($AM$3:$AM$201,$M378)&gt;0,
    COUNTIFS($AN$3:$AN$201,$M378)&gt;0,
    COUNTIFS($AO$3:$AO$201,$M378)&gt;0,
    COUNTIFS($AP$3:$AP$201,$M378)&gt;0,
    COUNTIFS($AQ$3:$AQ$201,$M378)&gt;0,
    COUNTIFS($AR$3:$AR$201,$M378)&gt;0,
    COUNTIFS($AS$3:$AS$201,$M378)&gt;0,
    COUNTIFS($AT$3:$AT$201,$M378)&gt;0,
    COUNTIFS($AU$3:$AU$201,$M378)&gt;0,
    COUNTIFS($AV$3:$AV$201,$M378)&gt;0,
    COUNTIFS($AW$3:$AW$201,$M378)&gt;0
   ),
  0)
 ),
"")</f>
        <v/>
      </c>
      <c r="P378" s="3" t="str" cm="1">
        <f t="array" ref="P378">IFERROR(
 INDEX(
  _xlfn._xlws.FILTER($T$2:$AU$2,
   TRANSPOSE(
    CHOOSE({1;2;3;4;5;6;7;8;9;10;11;12;13;14;15;16;17;18;19;20;21;22;23;24;25;26;27;28},
     COUNTIFS($T$3:$T$201,$M378)&gt;0,
     COUNTIFS($U$3:$U$201,$M378)&gt;0,
     COUNTIFS($V$3:$V$201,$M378)&gt;0,
     COUNTIFS($W$3:$W$201,$M378)&gt;0,
     COUNTIFS($X$3:$X$201,$M378)&gt;0,
     COUNTIFS($Y$3:$Y$201,$M378)&gt;0,
     COUNTIFS($Z$3:$Z$201,$M378)&gt;0,
     COUNTIFS($AA$3:$AA$201,$M378)&gt;0,
     COUNTIFS($AB$3:$AB$201,$M378)&gt;0,
     COUNTIFS($AC$3:$AC$201,$M378)&gt;0,
     COUNTIFS($AD$3:$AD$201,$M378)&gt;0,
     COUNTIFS($AE$3:$AE$201,$M378)&gt;0,
     COUNTIFS($AF$3:$AF$201,$M378)&gt;0,
     COUNTIFS($AG$3:$AG$201,$M378)&gt;0,
     COUNTIFS($AH$3:$AH$201,$M378)&gt;0,
     COUNTIFS($AI$3:$AI$201,$M378)&gt;0,
     COUNTIFS($AJ$3:$AJ$201,$M378)&gt;0,
     COUNTIFS($AK$3:$AK$201,$M378)&gt;0,
     COUNTIFS($AL$3:$AL$201,$M378)&gt;0,
     COUNTIFS($AM$3:$AM$201,$M378)&gt;0,
     COUNTIFS($AN$3:$AN$201,$M378)&gt;0,
     COUNTIFS($AO$3:$AO$201,$M378)&gt;0,
     COUNTIFS($AP$3:$AP$201,$M378)&gt;0,
     COUNTIFS($AQ$3:$AQ$201,$M378)&gt;0,
     COUNTIFS($AR$3:$AR$201,$M378)&gt;0,
     COUNTIFS($AS$3:$AS$201,$M378)&gt;0,
     COUNTIFS($AT$3:$AT$201,$M378)&gt;0,
     COUNTIFS($AU$3:$AU$201,$M378)&gt;0
   )),
  ),
  2
 ),
"")</f>
        <v/>
      </c>
      <c r="Q378" s="3" t="str" cm="1">
        <f t="array" ref="Q378">IFERROR(
 INDEX($T$2:$AU$2,
  _xlfn.AGGREGATE(15,6,
   (COLUMN($T$2:$AU$2)-COLUMN($T$2)+1)/
   TRANSPOSE(
    CHOOSE({1;2;3;4;5;6;7;8;9;10;11;12;13;14;15;16;17;18;19;20;21;22;23;24;25;26;27;28},
     COUNTIFS($T$3:$T$201,$M378)&gt;0,
     COUNTIFS($U$3:$U$201,$M378)&gt;0,
     COUNTIFS($V$3:$V$201,$M378)&gt;0,
     COUNTIFS($W$3:$W$201,$M378)&gt;0,
     COUNTIFS($X$3:$X$201,$M378)&gt;0,
     COUNTIFS($Y$3:$Y$201,$M378)&gt;0,
     COUNTIFS($Z$3:$Z$201,$M378)&gt;0,
     COUNTIFS($AA$3:$AA$201,$M378)&gt;0,
     COUNTIFS($AB$3:$AB$201,$M378)&gt;0,
     COUNTIFS($AC$3:$AC$201,$M378)&gt;0,
     COUNTIFS($AD$3:$AD$201,$M378)&gt;0,
     COUNTIFS($AE$3:$AE$201,$M378)&gt;0,
     COUNTIFS($AF$3:$AF$201,$M378)&gt;0,
     COUNTIFS($AG$3:$AG$201,$M378)&gt;0,
     COUNTIFS($AH$3:$AH$201,$M378)&gt;0,
     COUNTIFS($AI$3:$AI$201,$M378)&gt;0,
     COUNTIFS($AJ$3:$AJ$201,$M378)&gt;0,
     COUNTIFS($AK$3:$AK$201,$M378)&gt;0,
     COUNTIFS($AL$3:$AL$201,$M378)&gt;0,
     COUNTIFS($AM$3:$AM$201,$M378)&gt;0,
     COUNTIFS($AN$3:$AN$201,$M378)&gt;0,
     COUNTIFS($AO$3:$AO$201,$M378)&gt;0,
     COUNTIFS($AP$3:$AP$201,$M378)&gt;0,
     COUNTIFS($AQ$3:$AQ$201,$M378)&gt;0,
     COUNTIFS($AR$3:$AR$201,$M378)&gt;0,
     COUNTIFS($AS$3:$AS$201,$M378)&gt;0,
     COUNTIFS($AT$3:$AT$201,$M378)&gt;0,
     COUNTIFS($AU$3:$AU$201,$M378)&gt;0
   )),
  3)
 ),
"")</f>
        <v/>
      </c>
      <c r="R378" s="3" t="str" cm="1">
        <f t="array" ref="R378">IFERROR(
 INDEX($T$2:$AU$2,
  _xlfn.AGGREGATE(15,6,
   (COLUMN($T$2:$AU$2)-COLUMN($T$2)+1)/
   TRANSPOSE(
    CHOOSE({1;2;3;4;5;6;7;8;9;10;11;12;13;14;15;16;17;18;19;20;21;22;23;24;25;26;27;28},
     COUNTIFS($T$3:$T$201,$M378)&gt;0,
     COUNTIFS($U$3:$U$201,$M378)&gt;0,
     COUNTIFS($V$3:$V$201,$M378)&gt;0,
     COUNTIFS($W$3:$W$201,$M378)&gt;0,
     COUNTIFS($X$3:$X$201,$M378)&gt;0,
     COUNTIFS($Y$3:$Y$201,$M378)&gt;0,
     COUNTIFS($Z$3:$Z$201,$M378)&gt;0,
     COUNTIFS($AA$3:$AA$201,$M378)&gt;0,
     COUNTIFS($AB$3:$AB$201,$M378)&gt;0,
     COUNTIFS($AC$3:$AC$201,$M378)&gt;0,
     COUNTIFS($AD$3:$AD$201,$M378)&gt;0,
     COUNTIFS($AE$3:$AE$201,$M378)&gt;0,
     COUNTIFS($AF$3:$AF$201,$M378)&gt;0,
     COUNTIFS($AG$3:$AG$201,$M378)&gt;0,
     COUNTIFS($AH$3:$AH$201,$M378)&gt;0,
     COUNTIFS($AI$3:$AI$201,$M378)&gt;0,
     COUNTIFS($AJ$3:$AJ$201,$M378)&gt;0,
     COUNTIFS($AK$3:$AK$201,$M378)&gt;0,
     COUNTIFS($AL$3:$AL$201,$M378)&gt;0,
     COUNTIFS($AM$3:$AM$201,$M378)&gt;0,
     COUNTIFS($AN$3:$AN$201,$M378)&gt;0,
     COUNTIFS($AO$3:$AO$201,$M378)&gt;0,
     COUNTIFS($AP$3:$AP$201,$M378)&gt;0,
     COUNTIFS($AQ$3:$AQ$201,$M378)&gt;0,
     COUNTIFS($AR$3:$AR$201,$M378)&gt;0,
     COUNTIFS($AS$3:$AS$201,$M378)&gt;0,
     COUNTIFS($AT$3:$AT$201,$M378)&gt;0,
     COUNTIFS($AU$3:$AU$201,$M378)&gt;0
   )),
  4)
 ),
"")</f>
        <v/>
      </c>
    </row>
    <row r="379" spans="2:18" x14ac:dyDescent="0.25">
      <c r="N379" s="3">
        <f t="shared" si="21"/>
        <v>0</v>
      </c>
      <c r="O379" s="3" t="str">
        <f>IFERROR(
 INDEX($T$2:$AW$2,
  MATCH(TRUE,
   CHOOSE({1;2;3;4;5;6;7;8;9;10;11;12;13;14;15;16;17;18;19;20;21;22;23;24;25;26;27;28;29;30;31;32},
    COUNTIFS($T$3:$T$201,$M379)&gt;0,
    COUNTIFS($U$3:$U$201,$M379)&gt;0,
    COUNTIFS($V$3:$V$201,$M379)&gt;0,
    COUNTIFS($W$3:$W$201,$M379)&gt;0,
    COUNTIFS($X$3:$X$201,$M379)&gt;0,
    COUNTIFS($Y$3:$Y$201,$M379)&gt;0,
    COUNTIFS($Z$3:$Z$201,$M379)&gt;0,
    COUNTIFS($AA$3:$AA$201,$M379)&gt;0,
    COUNTIFS($AB$3:$AB$201,$M379)&gt;0,
    COUNTIFS($AC$3:$AC$201,$M379)&gt;0,
    COUNTIFS($AD$3:$AD$201,$M379)&gt;0,
    COUNTIFS($AE$3:$AE$201,$M379)&gt;0,
    COUNTIFS($AF$3:$AF$201,$M379)&gt;0,
    COUNTIFS($AG$3:$AG$201,$M379)&gt;0,
    COUNTIFS($AH$3:$AH$201,$M379)&gt;0,
    COUNTIFS($AI$3:$AI$201,$M379)&gt;0,
    COUNTIFS($AJ$3:$AJ$201,$M379)&gt;0,
    COUNTIFS($AK$3:$AK$201,$M379)&gt;0,
    COUNTIFS($AL$3:$AL$201,$M379)&gt;0,
    COUNTIFS($AM$3:$AM$201,$M379)&gt;0,
    COUNTIFS($AN$3:$AN$201,$M379)&gt;0,
    COUNTIFS($AO$3:$AO$201,$M379)&gt;0,
    COUNTIFS($AP$3:$AP$201,$M379)&gt;0,
    COUNTIFS($AQ$3:$AQ$201,$M379)&gt;0,
    COUNTIFS($AR$3:$AR$201,$M379)&gt;0,
    COUNTIFS($AS$3:$AS$201,$M379)&gt;0,
    COUNTIFS($AT$3:$AT$201,$M379)&gt;0,
    COUNTIFS($AU$3:$AU$201,$M379)&gt;0,
    COUNTIFS($AV$3:$AV$201,$M379)&gt;0,
    COUNTIFS($AW$3:$AW$201,$M379)&gt;0
   ),
  0)
 ),
"")</f>
        <v/>
      </c>
      <c r="P379" s="3" t="str" cm="1">
        <f t="array" ref="P379">IFERROR(
 INDEX(
  _xlfn._xlws.FILTER($T$2:$AU$2,
   TRANSPOSE(
    CHOOSE({1;2;3;4;5;6;7;8;9;10;11;12;13;14;15;16;17;18;19;20;21;22;23;24;25;26;27;28},
     COUNTIFS($T$3:$T$201,$M379)&gt;0,
     COUNTIFS($U$3:$U$201,$M379)&gt;0,
     COUNTIFS($V$3:$V$201,$M379)&gt;0,
     COUNTIFS($W$3:$W$201,$M379)&gt;0,
     COUNTIFS($X$3:$X$201,$M379)&gt;0,
     COUNTIFS($Y$3:$Y$201,$M379)&gt;0,
     COUNTIFS($Z$3:$Z$201,$M379)&gt;0,
     COUNTIFS($AA$3:$AA$201,$M379)&gt;0,
     COUNTIFS($AB$3:$AB$201,$M379)&gt;0,
     COUNTIFS($AC$3:$AC$201,$M379)&gt;0,
     COUNTIFS($AD$3:$AD$201,$M379)&gt;0,
     COUNTIFS($AE$3:$AE$201,$M379)&gt;0,
     COUNTIFS($AF$3:$AF$201,$M379)&gt;0,
     COUNTIFS($AG$3:$AG$201,$M379)&gt;0,
     COUNTIFS($AH$3:$AH$201,$M379)&gt;0,
     COUNTIFS($AI$3:$AI$201,$M379)&gt;0,
     COUNTIFS($AJ$3:$AJ$201,$M379)&gt;0,
     COUNTIFS($AK$3:$AK$201,$M379)&gt;0,
     COUNTIFS($AL$3:$AL$201,$M379)&gt;0,
     COUNTIFS($AM$3:$AM$201,$M379)&gt;0,
     COUNTIFS($AN$3:$AN$201,$M379)&gt;0,
     COUNTIFS($AO$3:$AO$201,$M379)&gt;0,
     COUNTIFS($AP$3:$AP$201,$M379)&gt;0,
     COUNTIFS($AQ$3:$AQ$201,$M379)&gt;0,
     COUNTIFS($AR$3:$AR$201,$M379)&gt;0,
     COUNTIFS($AS$3:$AS$201,$M379)&gt;0,
     COUNTIFS($AT$3:$AT$201,$M379)&gt;0,
     COUNTIFS($AU$3:$AU$201,$M379)&gt;0
   )),
  ),
  2
 ),
"")</f>
        <v/>
      </c>
      <c r="Q379" s="3" t="str" cm="1">
        <f t="array" ref="Q379">IFERROR(
 INDEX($T$2:$AU$2,
  _xlfn.AGGREGATE(15,6,
   (COLUMN($T$2:$AU$2)-COLUMN($T$2)+1)/
   TRANSPOSE(
    CHOOSE({1;2;3;4;5;6;7;8;9;10;11;12;13;14;15;16;17;18;19;20;21;22;23;24;25;26;27;28},
     COUNTIFS($T$3:$T$201,$M379)&gt;0,
     COUNTIFS($U$3:$U$201,$M379)&gt;0,
     COUNTIFS($V$3:$V$201,$M379)&gt;0,
     COUNTIFS($W$3:$W$201,$M379)&gt;0,
     COUNTIFS($X$3:$X$201,$M379)&gt;0,
     COUNTIFS($Y$3:$Y$201,$M379)&gt;0,
     COUNTIFS($Z$3:$Z$201,$M379)&gt;0,
     COUNTIFS($AA$3:$AA$201,$M379)&gt;0,
     COUNTIFS($AB$3:$AB$201,$M379)&gt;0,
     COUNTIFS($AC$3:$AC$201,$M379)&gt;0,
     COUNTIFS($AD$3:$AD$201,$M379)&gt;0,
     COUNTIFS($AE$3:$AE$201,$M379)&gt;0,
     COUNTIFS($AF$3:$AF$201,$M379)&gt;0,
     COUNTIFS($AG$3:$AG$201,$M379)&gt;0,
     COUNTIFS($AH$3:$AH$201,$M379)&gt;0,
     COUNTIFS($AI$3:$AI$201,$M379)&gt;0,
     COUNTIFS($AJ$3:$AJ$201,$M379)&gt;0,
     COUNTIFS($AK$3:$AK$201,$M379)&gt;0,
     COUNTIFS($AL$3:$AL$201,$M379)&gt;0,
     COUNTIFS($AM$3:$AM$201,$M379)&gt;0,
     COUNTIFS($AN$3:$AN$201,$M379)&gt;0,
     COUNTIFS($AO$3:$AO$201,$M379)&gt;0,
     COUNTIFS($AP$3:$AP$201,$M379)&gt;0,
     COUNTIFS($AQ$3:$AQ$201,$M379)&gt;0,
     COUNTIFS($AR$3:$AR$201,$M379)&gt;0,
     COUNTIFS($AS$3:$AS$201,$M379)&gt;0,
     COUNTIFS($AT$3:$AT$201,$M379)&gt;0,
     COUNTIFS($AU$3:$AU$201,$M379)&gt;0
   )),
  3)
 ),
"")</f>
        <v/>
      </c>
      <c r="R379" s="3" t="str" cm="1">
        <f t="array" ref="R379">IFERROR(
 INDEX($T$2:$AU$2,
  _xlfn.AGGREGATE(15,6,
   (COLUMN($T$2:$AU$2)-COLUMN($T$2)+1)/
   TRANSPOSE(
    CHOOSE({1;2;3;4;5;6;7;8;9;10;11;12;13;14;15;16;17;18;19;20;21;22;23;24;25;26;27;28},
     COUNTIFS($T$3:$T$201,$M379)&gt;0,
     COUNTIFS($U$3:$U$201,$M379)&gt;0,
     COUNTIFS($V$3:$V$201,$M379)&gt;0,
     COUNTIFS($W$3:$W$201,$M379)&gt;0,
     COUNTIFS($X$3:$X$201,$M379)&gt;0,
     COUNTIFS($Y$3:$Y$201,$M379)&gt;0,
     COUNTIFS($Z$3:$Z$201,$M379)&gt;0,
     COUNTIFS($AA$3:$AA$201,$M379)&gt;0,
     COUNTIFS($AB$3:$AB$201,$M379)&gt;0,
     COUNTIFS($AC$3:$AC$201,$M379)&gt;0,
     COUNTIFS($AD$3:$AD$201,$M379)&gt;0,
     COUNTIFS($AE$3:$AE$201,$M379)&gt;0,
     COUNTIFS($AF$3:$AF$201,$M379)&gt;0,
     COUNTIFS($AG$3:$AG$201,$M379)&gt;0,
     COUNTIFS($AH$3:$AH$201,$M379)&gt;0,
     COUNTIFS($AI$3:$AI$201,$M379)&gt;0,
     COUNTIFS($AJ$3:$AJ$201,$M379)&gt;0,
     COUNTIFS($AK$3:$AK$201,$M379)&gt;0,
     COUNTIFS($AL$3:$AL$201,$M379)&gt;0,
     COUNTIFS($AM$3:$AM$201,$M379)&gt;0,
     COUNTIFS($AN$3:$AN$201,$M379)&gt;0,
     COUNTIFS($AO$3:$AO$201,$M379)&gt;0,
     COUNTIFS($AP$3:$AP$201,$M379)&gt;0,
     COUNTIFS($AQ$3:$AQ$201,$M379)&gt;0,
     COUNTIFS($AR$3:$AR$201,$M379)&gt;0,
     COUNTIFS($AS$3:$AS$201,$M379)&gt;0,
     COUNTIFS($AT$3:$AT$201,$M379)&gt;0,
     COUNTIFS($AU$3:$AU$201,$M379)&gt;0
   )),
  4)
 ),
"")</f>
        <v/>
      </c>
    </row>
    <row r="380" spans="2:18" x14ac:dyDescent="0.25">
      <c r="N380" s="3">
        <f t="shared" si="21"/>
        <v>0</v>
      </c>
      <c r="O380" s="3" t="str">
        <f>IFERROR(
 INDEX($T$2:$AW$2,
  MATCH(TRUE,
   CHOOSE({1;2;3;4;5;6;7;8;9;10;11;12;13;14;15;16;17;18;19;20;21;22;23;24;25;26;27;28;29;30;31;32},
    COUNTIFS($T$3:$T$201,$M380)&gt;0,
    COUNTIFS($U$3:$U$201,$M380)&gt;0,
    COUNTIFS($V$3:$V$201,$M380)&gt;0,
    COUNTIFS($W$3:$W$201,$M380)&gt;0,
    COUNTIFS($X$3:$X$201,$M380)&gt;0,
    COUNTIFS($Y$3:$Y$201,$M380)&gt;0,
    COUNTIFS($Z$3:$Z$201,$M380)&gt;0,
    COUNTIFS($AA$3:$AA$201,$M380)&gt;0,
    COUNTIFS($AB$3:$AB$201,$M380)&gt;0,
    COUNTIFS($AC$3:$AC$201,$M380)&gt;0,
    COUNTIFS($AD$3:$AD$201,$M380)&gt;0,
    COUNTIFS($AE$3:$AE$201,$M380)&gt;0,
    COUNTIFS($AF$3:$AF$201,$M380)&gt;0,
    COUNTIFS($AG$3:$AG$201,$M380)&gt;0,
    COUNTIFS($AH$3:$AH$201,$M380)&gt;0,
    COUNTIFS($AI$3:$AI$201,$M380)&gt;0,
    COUNTIFS($AJ$3:$AJ$201,$M380)&gt;0,
    COUNTIFS($AK$3:$AK$201,$M380)&gt;0,
    COUNTIFS($AL$3:$AL$201,$M380)&gt;0,
    COUNTIFS($AM$3:$AM$201,$M380)&gt;0,
    COUNTIFS($AN$3:$AN$201,$M380)&gt;0,
    COUNTIFS($AO$3:$AO$201,$M380)&gt;0,
    COUNTIFS($AP$3:$AP$201,$M380)&gt;0,
    COUNTIFS($AQ$3:$AQ$201,$M380)&gt;0,
    COUNTIFS($AR$3:$AR$201,$M380)&gt;0,
    COUNTIFS($AS$3:$AS$201,$M380)&gt;0,
    COUNTIFS($AT$3:$AT$201,$M380)&gt;0,
    COUNTIFS($AU$3:$AU$201,$M380)&gt;0,
    COUNTIFS($AV$3:$AV$201,$M380)&gt;0,
    COUNTIFS($AW$3:$AW$201,$M380)&gt;0
   ),
  0)
 ),
"")</f>
        <v/>
      </c>
    </row>
    <row r="381" spans="2:18" x14ac:dyDescent="0.25">
      <c r="N381" s="3">
        <f t="shared" si="21"/>
        <v>0</v>
      </c>
      <c r="O381" s="3" t="str">
        <f>IFERROR(
 INDEX($T$2:$AW$2,
  MATCH(TRUE,
   CHOOSE({1;2;3;4;5;6;7;8;9;10;11;12;13;14;15;16;17;18;19;20;21;22;23;24;25;26;27;28;29;30;31;32},
    COUNTIFS($T$3:$T$201,$M381)&gt;0,
    COUNTIFS($U$3:$U$201,$M381)&gt;0,
    COUNTIFS($V$3:$V$201,$M381)&gt;0,
    COUNTIFS($W$3:$W$201,$M381)&gt;0,
    COUNTIFS($X$3:$X$201,$M381)&gt;0,
    COUNTIFS($Y$3:$Y$201,$M381)&gt;0,
    COUNTIFS($Z$3:$Z$201,$M381)&gt;0,
    COUNTIFS($AA$3:$AA$201,$M381)&gt;0,
    COUNTIFS($AB$3:$AB$201,$M381)&gt;0,
    COUNTIFS($AC$3:$AC$201,$M381)&gt;0,
    COUNTIFS($AD$3:$AD$201,$M381)&gt;0,
    COUNTIFS($AE$3:$AE$201,$M381)&gt;0,
    COUNTIFS($AF$3:$AF$201,$M381)&gt;0,
    COUNTIFS($AG$3:$AG$201,$M381)&gt;0,
    COUNTIFS($AH$3:$AH$201,$M381)&gt;0,
    COUNTIFS($AI$3:$AI$201,$M381)&gt;0,
    COUNTIFS($AJ$3:$AJ$201,$M381)&gt;0,
    COUNTIFS($AK$3:$AK$201,$M381)&gt;0,
    COUNTIFS($AL$3:$AL$201,$M381)&gt;0,
    COUNTIFS($AM$3:$AM$201,$M381)&gt;0,
    COUNTIFS($AN$3:$AN$201,$M381)&gt;0,
    COUNTIFS($AO$3:$AO$201,$M381)&gt;0,
    COUNTIFS($AP$3:$AP$201,$M381)&gt;0,
    COUNTIFS($AQ$3:$AQ$201,$M381)&gt;0,
    COUNTIFS($AR$3:$AR$201,$M381)&gt;0,
    COUNTIFS($AS$3:$AS$201,$M381)&gt;0,
    COUNTIFS($AT$3:$AT$201,$M381)&gt;0,
    COUNTIFS($AU$3:$AU$201,$M381)&gt;0,
    COUNTIFS($AV$3:$AV$201,$M381)&gt;0,
    COUNTIFS($AW$3:$AW$201,$M381)&gt;0
   ),
  0)
 ),
"")</f>
        <v/>
      </c>
    </row>
    <row r="382" spans="2:18" x14ac:dyDescent="0.25">
      <c r="N382" s="3">
        <f t="shared" si="21"/>
        <v>0</v>
      </c>
      <c r="O382" s="3" t="str">
        <f>IFERROR(
 INDEX($T$2:$AW$2,
  MATCH(TRUE,
   CHOOSE({1;2;3;4;5;6;7;8;9;10;11;12;13;14;15;16;17;18;19;20;21;22;23;24;25;26;27;28;29;30;31;32},
    COUNTIFS($T$3:$T$201,$M382)&gt;0,
    COUNTIFS($U$3:$U$201,$M382)&gt;0,
    COUNTIFS($V$3:$V$201,$M382)&gt;0,
    COUNTIFS($W$3:$W$201,$M382)&gt;0,
    COUNTIFS($X$3:$X$201,$M382)&gt;0,
    COUNTIFS($Y$3:$Y$201,$M382)&gt;0,
    COUNTIFS($Z$3:$Z$201,$M382)&gt;0,
    COUNTIFS($AA$3:$AA$201,$M382)&gt;0,
    COUNTIFS($AB$3:$AB$201,$M382)&gt;0,
    COUNTIFS($AC$3:$AC$201,$M382)&gt;0,
    COUNTIFS($AD$3:$AD$201,$M382)&gt;0,
    COUNTIFS($AE$3:$AE$201,$M382)&gt;0,
    COUNTIFS($AF$3:$AF$201,$M382)&gt;0,
    COUNTIFS($AG$3:$AG$201,$M382)&gt;0,
    COUNTIFS($AH$3:$AH$201,$M382)&gt;0,
    COUNTIFS($AI$3:$AI$201,$M382)&gt;0,
    COUNTIFS($AJ$3:$AJ$201,$M382)&gt;0,
    COUNTIFS($AK$3:$AK$201,$M382)&gt;0,
    COUNTIFS($AL$3:$AL$201,$M382)&gt;0,
    COUNTIFS($AM$3:$AM$201,$M382)&gt;0,
    COUNTIFS($AN$3:$AN$201,$M382)&gt;0,
    COUNTIFS($AO$3:$AO$201,$M382)&gt;0,
    COUNTIFS($AP$3:$AP$201,$M382)&gt;0,
    COUNTIFS($AQ$3:$AQ$201,$M382)&gt;0,
    COUNTIFS($AR$3:$AR$201,$M382)&gt;0,
    COUNTIFS($AS$3:$AS$201,$M382)&gt;0,
    COUNTIFS($AT$3:$AT$201,$M382)&gt;0,
    COUNTIFS($AU$3:$AU$201,$M382)&gt;0,
    COUNTIFS($AV$3:$AV$201,$M382)&gt;0,
    COUNTIFS($AW$3:$AW$201,$M382)&gt;0
   ),
  0)
 ),
"")</f>
        <v/>
      </c>
    </row>
    <row r="383" spans="2:18" x14ac:dyDescent="0.25">
      <c r="N383" s="3">
        <f t="shared" si="21"/>
        <v>0</v>
      </c>
      <c r="O383" s="3" t="str">
        <f>IFERROR(
 INDEX($T$2:$AW$2,
  MATCH(TRUE,
   CHOOSE({1;2;3;4;5;6;7;8;9;10;11;12;13;14;15;16;17;18;19;20;21;22;23;24;25;26;27;28;29;30;31;32},
    COUNTIFS($T$3:$T$201,$M383)&gt;0,
    COUNTIFS($U$3:$U$201,$M383)&gt;0,
    COUNTIFS($V$3:$V$201,$M383)&gt;0,
    COUNTIFS($W$3:$W$201,$M383)&gt;0,
    COUNTIFS($X$3:$X$201,$M383)&gt;0,
    COUNTIFS($Y$3:$Y$201,$M383)&gt;0,
    COUNTIFS($Z$3:$Z$201,$M383)&gt;0,
    COUNTIFS($AA$3:$AA$201,$M383)&gt;0,
    COUNTIFS($AB$3:$AB$201,$M383)&gt;0,
    COUNTIFS($AC$3:$AC$201,$M383)&gt;0,
    COUNTIFS($AD$3:$AD$201,$M383)&gt;0,
    COUNTIFS($AE$3:$AE$201,$M383)&gt;0,
    COUNTIFS($AF$3:$AF$201,$M383)&gt;0,
    COUNTIFS($AG$3:$AG$201,$M383)&gt;0,
    COUNTIFS($AH$3:$AH$201,$M383)&gt;0,
    COUNTIFS($AI$3:$AI$201,$M383)&gt;0,
    COUNTIFS($AJ$3:$AJ$201,$M383)&gt;0,
    COUNTIFS($AK$3:$AK$201,$M383)&gt;0,
    COUNTIFS($AL$3:$AL$201,$M383)&gt;0,
    COUNTIFS($AM$3:$AM$201,$M383)&gt;0,
    COUNTIFS($AN$3:$AN$201,$M383)&gt;0,
    COUNTIFS($AO$3:$AO$201,$M383)&gt;0,
    COUNTIFS($AP$3:$AP$201,$M383)&gt;0,
    COUNTIFS($AQ$3:$AQ$201,$M383)&gt;0,
    COUNTIFS($AR$3:$AR$201,$M383)&gt;0,
    COUNTIFS($AS$3:$AS$201,$M383)&gt;0,
    COUNTIFS($AT$3:$AT$201,$M383)&gt;0,
    COUNTIFS($AU$3:$AU$201,$M383)&gt;0,
    COUNTIFS($AV$3:$AV$201,$M383)&gt;0,
    COUNTIFS($AW$3:$AW$201,$M383)&gt;0
   ),
  0)
 ),
"")</f>
        <v/>
      </c>
    </row>
    <row r="384" spans="2:18" x14ac:dyDescent="0.25">
      <c r="N384" s="3">
        <f t="shared" si="21"/>
        <v>0</v>
      </c>
      <c r="O384" s="3" t="str">
        <f>IFERROR(
 INDEX($T$2:$AW$2,
  MATCH(TRUE,
   CHOOSE({1;2;3;4;5;6;7;8;9;10;11;12;13;14;15;16;17;18;19;20;21;22;23;24;25;26;27;28;29;30;31;32},
    COUNTIFS($T$3:$T$201,$M384)&gt;0,
    COUNTIFS($U$3:$U$201,$M384)&gt;0,
    COUNTIFS($V$3:$V$201,$M384)&gt;0,
    COUNTIFS($W$3:$W$201,$M384)&gt;0,
    COUNTIFS($X$3:$X$201,$M384)&gt;0,
    COUNTIFS($Y$3:$Y$201,$M384)&gt;0,
    COUNTIFS($Z$3:$Z$201,$M384)&gt;0,
    COUNTIFS($AA$3:$AA$201,$M384)&gt;0,
    COUNTIFS($AB$3:$AB$201,$M384)&gt;0,
    COUNTIFS($AC$3:$AC$201,$M384)&gt;0,
    COUNTIFS($AD$3:$AD$201,$M384)&gt;0,
    COUNTIFS($AE$3:$AE$201,$M384)&gt;0,
    COUNTIFS($AF$3:$AF$201,$M384)&gt;0,
    COUNTIFS($AG$3:$AG$201,$M384)&gt;0,
    COUNTIFS($AH$3:$AH$201,$M384)&gt;0,
    COUNTIFS($AI$3:$AI$201,$M384)&gt;0,
    COUNTIFS($AJ$3:$AJ$201,$M384)&gt;0,
    COUNTIFS($AK$3:$AK$201,$M384)&gt;0,
    COUNTIFS($AL$3:$AL$201,$M384)&gt;0,
    COUNTIFS($AM$3:$AM$201,$M384)&gt;0,
    COUNTIFS($AN$3:$AN$201,$M384)&gt;0,
    COUNTIFS($AO$3:$AO$201,$M384)&gt;0,
    COUNTIFS($AP$3:$AP$201,$M384)&gt;0,
    COUNTIFS($AQ$3:$AQ$201,$M384)&gt;0,
    COUNTIFS($AR$3:$AR$201,$M384)&gt;0,
    COUNTIFS($AS$3:$AS$201,$M384)&gt;0,
    COUNTIFS($AT$3:$AT$201,$M384)&gt;0,
    COUNTIFS($AU$3:$AU$201,$M384)&gt;0,
    COUNTIFS($AV$3:$AV$201,$M384)&gt;0,
    COUNTIFS($AW$3:$AW$201,$M384)&gt;0
   ),
  0)
 ),
"")</f>
        <v/>
      </c>
    </row>
    <row r="385" spans="14:15" x14ac:dyDescent="0.25">
      <c r="N385" s="3">
        <f t="shared" si="21"/>
        <v>0</v>
      </c>
      <c r="O385" s="3" t="str">
        <f>IFERROR(
 INDEX($T$2:$AW$2,
  MATCH(TRUE,
   CHOOSE({1;2;3;4;5;6;7;8;9;10;11;12;13;14;15;16;17;18;19;20;21;22;23;24;25;26;27;28;29;30;31;32},
    COUNTIFS($T$3:$T$201,$M385)&gt;0,
    COUNTIFS($U$3:$U$201,$M385)&gt;0,
    COUNTIFS($V$3:$V$201,$M385)&gt;0,
    COUNTIFS($W$3:$W$201,$M385)&gt;0,
    COUNTIFS($X$3:$X$201,$M385)&gt;0,
    COUNTIFS($Y$3:$Y$201,$M385)&gt;0,
    COUNTIFS($Z$3:$Z$201,$M385)&gt;0,
    COUNTIFS($AA$3:$AA$201,$M385)&gt;0,
    COUNTIFS($AB$3:$AB$201,$M385)&gt;0,
    COUNTIFS($AC$3:$AC$201,$M385)&gt;0,
    COUNTIFS($AD$3:$AD$201,$M385)&gt;0,
    COUNTIFS($AE$3:$AE$201,$M385)&gt;0,
    COUNTIFS($AF$3:$AF$201,$M385)&gt;0,
    COUNTIFS($AG$3:$AG$201,$M385)&gt;0,
    COUNTIFS($AH$3:$AH$201,$M385)&gt;0,
    COUNTIFS($AI$3:$AI$201,$M385)&gt;0,
    COUNTIFS($AJ$3:$AJ$201,$M385)&gt;0,
    COUNTIFS($AK$3:$AK$201,$M385)&gt;0,
    COUNTIFS($AL$3:$AL$201,$M385)&gt;0,
    COUNTIFS($AM$3:$AM$201,$M385)&gt;0,
    COUNTIFS($AN$3:$AN$201,$M385)&gt;0,
    COUNTIFS($AO$3:$AO$201,$M385)&gt;0,
    COUNTIFS($AP$3:$AP$201,$M385)&gt;0,
    COUNTIFS($AQ$3:$AQ$201,$M385)&gt;0,
    COUNTIFS($AR$3:$AR$201,$M385)&gt;0,
    COUNTIFS($AS$3:$AS$201,$M385)&gt;0,
    COUNTIFS($AT$3:$AT$201,$M385)&gt;0,
    COUNTIFS($AU$3:$AU$201,$M385)&gt;0,
    COUNTIFS($AV$3:$AV$201,$M385)&gt;0,
    COUNTIFS($AW$3:$AW$201,$M385)&gt;0
   ),
  0)
 ),
"")</f>
        <v/>
      </c>
    </row>
    <row r="386" spans="14:15" x14ac:dyDescent="0.25">
      <c r="N386" s="3">
        <f t="shared" si="21"/>
        <v>0</v>
      </c>
      <c r="O386" s="3" t="str">
        <f>IFERROR(
 INDEX($T$2:$AW$2,
  MATCH(TRUE,
   CHOOSE({1;2;3;4;5;6;7;8;9;10;11;12;13;14;15;16;17;18;19;20;21;22;23;24;25;26;27;28;29;30;31;32},
    COUNTIFS($T$3:$T$201,$M386)&gt;0,
    COUNTIFS($U$3:$U$201,$M386)&gt;0,
    COUNTIFS($V$3:$V$201,$M386)&gt;0,
    COUNTIFS($W$3:$W$201,$M386)&gt;0,
    COUNTIFS($X$3:$X$201,$M386)&gt;0,
    COUNTIFS($Y$3:$Y$201,$M386)&gt;0,
    COUNTIFS($Z$3:$Z$201,$M386)&gt;0,
    COUNTIFS($AA$3:$AA$201,$M386)&gt;0,
    COUNTIFS($AB$3:$AB$201,$M386)&gt;0,
    COUNTIFS($AC$3:$AC$201,$M386)&gt;0,
    COUNTIFS($AD$3:$AD$201,$M386)&gt;0,
    COUNTIFS($AE$3:$AE$201,$M386)&gt;0,
    COUNTIFS($AF$3:$AF$201,$M386)&gt;0,
    COUNTIFS($AG$3:$AG$201,$M386)&gt;0,
    COUNTIFS($AH$3:$AH$201,$M386)&gt;0,
    COUNTIFS($AI$3:$AI$201,$M386)&gt;0,
    COUNTIFS($AJ$3:$AJ$201,$M386)&gt;0,
    COUNTIFS($AK$3:$AK$201,$M386)&gt;0,
    COUNTIFS($AL$3:$AL$201,$M386)&gt;0,
    COUNTIFS($AM$3:$AM$201,$M386)&gt;0,
    COUNTIFS($AN$3:$AN$201,$M386)&gt;0,
    COUNTIFS($AO$3:$AO$201,$M386)&gt;0,
    COUNTIFS($AP$3:$AP$201,$M386)&gt;0,
    COUNTIFS($AQ$3:$AQ$201,$M386)&gt;0,
    COUNTIFS($AR$3:$AR$201,$M386)&gt;0,
    COUNTIFS($AS$3:$AS$201,$M386)&gt;0,
    COUNTIFS($AT$3:$AT$201,$M386)&gt;0,
    COUNTIFS($AU$3:$AU$201,$M386)&gt;0,
    COUNTIFS($AV$3:$AV$201,$M386)&gt;0,
    COUNTIFS($AW$3:$AW$201,$M386)&gt;0
   ),
  0)
 ),
"")</f>
        <v/>
      </c>
    </row>
    <row r="387" spans="14:15" x14ac:dyDescent="0.25">
      <c r="N387" s="3">
        <f t="shared" ref="N387:N450" si="22">COUNTIF(T:AW,M387)</f>
        <v>0</v>
      </c>
      <c r="O387" s="3" t="str">
        <f>IFERROR(
 INDEX($T$2:$AW$2,
  MATCH(TRUE,
   CHOOSE({1;2;3;4;5;6;7;8;9;10;11;12;13;14;15;16;17;18;19;20;21;22;23;24;25;26;27;28;29;30;31;32},
    COUNTIFS($T$3:$T$201,$M387)&gt;0,
    COUNTIFS($U$3:$U$201,$M387)&gt;0,
    COUNTIFS($V$3:$V$201,$M387)&gt;0,
    COUNTIFS($W$3:$W$201,$M387)&gt;0,
    COUNTIFS($X$3:$X$201,$M387)&gt;0,
    COUNTIFS($Y$3:$Y$201,$M387)&gt;0,
    COUNTIFS($Z$3:$Z$201,$M387)&gt;0,
    COUNTIFS($AA$3:$AA$201,$M387)&gt;0,
    COUNTIFS($AB$3:$AB$201,$M387)&gt;0,
    COUNTIFS($AC$3:$AC$201,$M387)&gt;0,
    COUNTIFS($AD$3:$AD$201,$M387)&gt;0,
    COUNTIFS($AE$3:$AE$201,$M387)&gt;0,
    COUNTIFS($AF$3:$AF$201,$M387)&gt;0,
    COUNTIFS($AG$3:$AG$201,$M387)&gt;0,
    COUNTIFS($AH$3:$AH$201,$M387)&gt;0,
    COUNTIFS($AI$3:$AI$201,$M387)&gt;0,
    COUNTIFS($AJ$3:$AJ$201,$M387)&gt;0,
    COUNTIFS($AK$3:$AK$201,$M387)&gt;0,
    COUNTIFS($AL$3:$AL$201,$M387)&gt;0,
    COUNTIFS($AM$3:$AM$201,$M387)&gt;0,
    COUNTIFS($AN$3:$AN$201,$M387)&gt;0,
    COUNTIFS($AO$3:$AO$201,$M387)&gt;0,
    COUNTIFS($AP$3:$AP$201,$M387)&gt;0,
    COUNTIFS($AQ$3:$AQ$201,$M387)&gt;0,
    COUNTIFS($AR$3:$AR$201,$M387)&gt;0,
    COUNTIFS($AS$3:$AS$201,$M387)&gt;0,
    COUNTIFS($AT$3:$AT$201,$M387)&gt;0,
    COUNTIFS($AU$3:$AU$201,$M387)&gt;0,
    COUNTIFS($AV$3:$AV$201,$M387)&gt;0,
    COUNTIFS($AW$3:$AW$201,$M387)&gt;0
   ),
  0)
 ),
"")</f>
        <v/>
      </c>
    </row>
    <row r="388" spans="14:15" x14ac:dyDescent="0.25">
      <c r="N388" s="3">
        <f t="shared" si="22"/>
        <v>0</v>
      </c>
      <c r="O388" s="3" t="str">
        <f>IFERROR(
 INDEX($T$2:$AW$2,
  MATCH(TRUE,
   CHOOSE({1;2;3;4;5;6;7;8;9;10;11;12;13;14;15;16;17;18;19;20;21;22;23;24;25;26;27;28;29;30;31;32},
    COUNTIFS($T$3:$T$201,$M388)&gt;0,
    COUNTIFS($U$3:$U$201,$M388)&gt;0,
    COUNTIFS($V$3:$V$201,$M388)&gt;0,
    COUNTIFS($W$3:$W$201,$M388)&gt;0,
    COUNTIFS($X$3:$X$201,$M388)&gt;0,
    COUNTIFS($Y$3:$Y$201,$M388)&gt;0,
    COUNTIFS($Z$3:$Z$201,$M388)&gt;0,
    COUNTIFS($AA$3:$AA$201,$M388)&gt;0,
    COUNTIFS($AB$3:$AB$201,$M388)&gt;0,
    COUNTIFS($AC$3:$AC$201,$M388)&gt;0,
    COUNTIFS($AD$3:$AD$201,$M388)&gt;0,
    COUNTIFS($AE$3:$AE$201,$M388)&gt;0,
    COUNTIFS($AF$3:$AF$201,$M388)&gt;0,
    COUNTIFS($AG$3:$AG$201,$M388)&gt;0,
    COUNTIFS($AH$3:$AH$201,$M388)&gt;0,
    COUNTIFS($AI$3:$AI$201,$M388)&gt;0,
    COUNTIFS($AJ$3:$AJ$201,$M388)&gt;0,
    COUNTIFS($AK$3:$AK$201,$M388)&gt;0,
    COUNTIFS($AL$3:$AL$201,$M388)&gt;0,
    COUNTIFS($AM$3:$AM$201,$M388)&gt;0,
    COUNTIFS($AN$3:$AN$201,$M388)&gt;0,
    COUNTIFS($AO$3:$AO$201,$M388)&gt;0,
    COUNTIFS($AP$3:$AP$201,$M388)&gt;0,
    COUNTIFS($AQ$3:$AQ$201,$M388)&gt;0,
    COUNTIFS($AR$3:$AR$201,$M388)&gt;0,
    COUNTIFS($AS$3:$AS$201,$M388)&gt;0,
    COUNTIFS($AT$3:$AT$201,$M388)&gt;0,
    COUNTIFS($AU$3:$AU$201,$M388)&gt;0,
    COUNTIFS($AV$3:$AV$201,$M388)&gt;0,
    COUNTIFS($AW$3:$AW$201,$M388)&gt;0
   ),
  0)
 ),
"")</f>
        <v/>
      </c>
    </row>
    <row r="389" spans="14:15" x14ac:dyDescent="0.25">
      <c r="N389" s="3">
        <f t="shared" si="22"/>
        <v>0</v>
      </c>
      <c r="O389" s="3" t="str">
        <f>IFERROR(
 INDEX($T$2:$AW$2,
  MATCH(TRUE,
   CHOOSE({1;2;3;4;5;6;7;8;9;10;11;12;13;14;15;16;17;18;19;20;21;22;23;24;25;26;27;28;29;30;31;32},
    COUNTIFS($T$3:$T$201,$M389)&gt;0,
    COUNTIFS($U$3:$U$201,$M389)&gt;0,
    COUNTIFS($V$3:$V$201,$M389)&gt;0,
    COUNTIFS($W$3:$W$201,$M389)&gt;0,
    COUNTIFS($X$3:$X$201,$M389)&gt;0,
    COUNTIFS($Y$3:$Y$201,$M389)&gt;0,
    COUNTIFS($Z$3:$Z$201,$M389)&gt;0,
    COUNTIFS($AA$3:$AA$201,$M389)&gt;0,
    COUNTIFS($AB$3:$AB$201,$M389)&gt;0,
    COUNTIFS($AC$3:$AC$201,$M389)&gt;0,
    COUNTIFS($AD$3:$AD$201,$M389)&gt;0,
    COUNTIFS($AE$3:$AE$201,$M389)&gt;0,
    COUNTIFS($AF$3:$AF$201,$M389)&gt;0,
    COUNTIFS($AG$3:$AG$201,$M389)&gt;0,
    COUNTIFS($AH$3:$AH$201,$M389)&gt;0,
    COUNTIFS($AI$3:$AI$201,$M389)&gt;0,
    COUNTIFS($AJ$3:$AJ$201,$M389)&gt;0,
    COUNTIFS($AK$3:$AK$201,$M389)&gt;0,
    COUNTIFS($AL$3:$AL$201,$M389)&gt;0,
    COUNTIFS($AM$3:$AM$201,$M389)&gt;0,
    COUNTIFS($AN$3:$AN$201,$M389)&gt;0,
    COUNTIFS($AO$3:$AO$201,$M389)&gt;0,
    COUNTIFS($AP$3:$AP$201,$M389)&gt;0,
    COUNTIFS($AQ$3:$AQ$201,$M389)&gt;0,
    COUNTIFS($AR$3:$AR$201,$M389)&gt;0,
    COUNTIFS($AS$3:$AS$201,$M389)&gt;0,
    COUNTIFS($AT$3:$AT$201,$M389)&gt;0,
    COUNTIFS($AU$3:$AU$201,$M389)&gt;0,
    COUNTIFS($AV$3:$AV$201,$M389)&gt;0,
    COUNTIFS($AW$3:$AW$201,$M389)&gt;0
   ),
  0)
 ),
"")</f>
        <v/>
      </c>
    </row>
    <row r="390" spans="14:15" x14ac:dyDescent="0.25">
      <c r="N390" s="3">
        <f t="shared" si="22"/>
        <v>0</v>
      </c>
      <c r="O390" s="3" t="str">
        <f>IFERROR(
 INDEX($T$2:$AW$2,
  MATCH(TRUE,
   CHOOSE({1;2;3;4;5;6;7;8;9;10;11;12;13;14;15;16;17;18;19;20;21;22;23;24;25;26;27;28;29;30;31;32},
    COUNTIFS($T$3:$T$201,$M390)&gt;0,
    COUNTIFS($U$3:$U$201,$M390)&gt;0,
    COUNTIFS($V$3:$V$201,$M390)&gt;0,
    COUNTIFS($W$3:$W$201,$M390)&gt;0,
    COUNTIFS($X$3:$X$201,$M390)&gt;0,
    COUNTIFS($Y$3:$Y$201,$M390)&gt;0,
    COUNTIFS($Z$3:$Z$201,$M390)&gt;0,
    COUNTIFS($AA$3:$AA$201,$M390)&gt;0,
    COUNTIFS($AB$3:$AB$201,$M390)&gt;0,
    COUNTIFS($AC$3:$AC$201,$M390)&gt;0,
    COUNTIFS($AD$3:$AD$201,$M390)&gt;0,
    COUNTIFS($AE$3:$AE$201,$M390)&gt;0,
    COUNTIFS($AF$3:$AF$201,$M390)&gt;0,
    COUNTIFS($AG$3:$AG$201,$M390)&gt;0,
    COUNTIFS($AH$3:$AH$201,$M390)&gt;0,
    COUNTIFS($AI$3:$AI$201,$M390)&gt;0,
    COUNTIFS($AJ$3:$AJ$201,$M390)&gt;0,
    COUNTIFS($AK$3:$AK$201,$M390)&gt;0,
    COUNTIFS($AL$3:$AL$201,$M390)&gt;0,
    COUNTIFS($AM$3:$AM$201,$M390)&gt;0,
    COUNTIFS($AN$3:$AN$201,$M390)&gt;0,
    COUNTIFS($AO$3:$AO$201,$M390)&gt;0,
    COUNTIFS($AP$3:$AP$201,$M390)&gt;0,
    COUNTIFS($AQ$3:$AQ$201,$M390)&gt;0,
    COUNTIFS($AR$3:$AR$201,$M390)&gt;0,
    COUNTIFS($AS$3:$AS$201,$M390)&gt;0,
    COUNTIFS($AT$3:$AT$201,$M390)&gt;0,
    COUNTIFS($AU$3:$AU$201,$M390)&gt;0,
    COUNTIFS($AV$3:$AV$201,$M390)&gt;0,
    COUNTIFS($AW$3:$AW$201,$M390)&gt;0
   ),
  0)
 ),
"")</f>
        <v/>
      </c>
    </row>
    <row r="391" spans="14:15" x14ac:dyDescent="0.25">
      <c r="N391" s="3">
        <f t="shared" si="22"/>
        <v>0</v>
      </c>
      <c r="O391" s="3" t="str">
        <f>IFERROR(
 INDEX($T$2:$AW$2,
  MATCH(TRUE,
   CHOOSE({1;2;3;4;5;6;7;8;9;10;11;12;13;14;15;16;17;18;19;20;21;22;23;24;25;26;27;28;29;30;31;32},
    COUNTIFS($T$3:$T$201,$M391)&gt;0,
    COUNTIFS($U$3:$U$201,$M391)&gt;0,
    COUNTIFS($V$3:$V$201,$M391)&gt;0,
    COUNTIFS($W$3:$W$201,$M391)&gt;0,
    COUNTIFS($X$3:$X$201,$M391)&gt;0,
    COUNTIFS($Y$3:$Y$201,$M391)&gt;0,
    COUNTIFS($Z$3:$Z$201,$M391)&gt;0,
    COUNTIFS($AA$3:$AA$201,$M391)&gt;0,
    COUNTIFS($AB$3:$AB$201,$M391)&gt;0,
    COUNTIFS($AC$3:$AC$201,$M391)&gt;0,
    COUNTIFS($AD$3:$AD$201,$M391)&gt;0,
    COUNTIFS($AE$3:$AE$201,$M391)&gt;0,
    COUNTIFS($AF$3:$AF$201,$M391)&gt;0,
    COUNTIFS($AG$3:$AG$201,$M391)&gt;0,
    COUNTIFS($AH$3:$AH$201,$M391)&gt;0,
    COUNTIFS($AI$3:$AI$201,$M391)&gt;0,
    COUNTIFS($AJ$3:$AJ$201,$M391)&gt;0,
    COUNTIFS($AK$3:$AK$201,$M391)&gt;0,
    COUNTIFS($AL$3:$AL$201,$M391)&gt;0,
    COUNTIFS($AM$3:$AM$201,$M391)&gt;0,
    COUNTIFS($AN$3:$AN$201,$M391)&gt;0,
    COUNTIFS($AO$3:$AO$201,$M391)&gt;0,
    COUNTIFS($AP$3:$AP$201,$M391)&gt;0,
    COUNTIFS($AQ$3:$AQ$201,$M391)&gt;0,
    COUNTIFS($AR$3:$AR$201,$M391)&gt;0,
    COUNTIFS($AS$3:$AS$201,$M391)&gt;0,
    COUNTIFS($AT$3:$AT$201,$M391)&gt;0,
    COUNTIFS($AU$3:$AU$201,$M391)&gt;0,
    COUNTIFS($AV$3:$AV$201,$M391)&gt;0,
    COUNTIFS($AW$3:$AW$201,$M391)&gt;0
   ),
  0)
 ),
"")</f>
        <v/>
      </c>
    </row>
    <row r="392" spans="14:15" x14ac:dyDescent="0.25">
      <c r="N392" s="3">
        <f t="shared" si="22"/>
        <v>0</v>
      </c>
      <c r="O392" s="3" t="str">
        <f>IFERROR(
 INDEX($T$2:$AW$2,
  MATCH(TRUE,
   CHOOSE({1;2;3;4;5;6;7;8;9;10;11;12;13;14;15;16;17;18;19;20;21;22;23;24;25;26;27;28;29;30;31;32},
    COUNTIFS($T$3:$T$201,$M392)&gt;0,
    COUNTIFS($U$3:$U$201,$M392)&gt;0,
    COUNTIFS($V$3:$V$201,$M392)&gt;0,
    COUNTIFS($W$3:$W$201,$M392)&gt;0,
    COUNTIFS($X$3:$X$201,$M392)&gt;0,
    COUNTIFS($Y$3:$Y$201,$M392)&gt;0,
    COUNTIFS($Z$3:$Z$201,$M392)&gt;0,
    COUNTIFS($AA$3:$AA$201,$M392)&gt;0,
    COUNTIFS($AB$3:$AB$201,$M392)&gt;0,
    COUNTIFS($AC$3:$AC$201,$M392)&gt;0,
    COUNTIFS($AD$3:$AD$201,$M392)&gt;0,
    COUNTIFS($AE$3:$AE$201,$M392)&gt;0,
    COUNTIFS($AF$3:$AF$201,$M392)&gt;0,
    COUNTIFS($AG$3:$AG$201,$M392)&gt;0,
    COUNTIFS($AH$3:$AH$201,$M392)&gt;0,
    COUNTIFS($AI$3:$AI$201,$M392)&gt;0,
    COUNTIFS($AJ$3:$AJ$201,$M392)&gt;0,
    COUNTIFS($AK$3:$AK$201,$M392)&gt;0,
    COUNTIFS($AL$3:$AL$201,$M392)&gt;0,
    COUNTIFS($AM$3:$AM$201,$M392)&gt;0,
    COUNTIFS($AN$3:$AN$201,$M392)&gt;0,
    COUNTIFS($AO$3:$AO$201,$M392)&gt;0,
    COUNTIFS($AP$3:$AP$201,$M392)&gt;0,
    COUNTIFS($AQ$3:$AQ$201,$M392)&gt;0,
    COUNTIFS($AR$3:$AR$201,$M392)&gt;0,
    COUNTIFS($AS$3:$AS$201,$M392)&gt;0,
    COUNTIFS($AT$3:$AT$201,$M392)&gt;0,
    COUNTIFS($AU$3:$AU$201,$M392)&gt;0,
    COUNTIFS($AV$3:$AV$201,$M392)&gt;0,
    COUNTIFS($AW$3:$AW$201,$M392)&gt;0
   ),
  0)
 ),
"")</f>
        <v/>
      </c>
    </row>
    <row r="393" spans="14:15" x14ac:dyDescent="0.25">
      <c r="N393" s="3">
        <f t="shared" si="22"/>
        <v>0</v>
      </c>
      <c r="O393" s="3" t="str">
        <f>IFERROR(
 INDEX($T$2:$AW$2,
  MATCH(TRUE,
   CHOOSE({1;2;3;4;5;6;7;8;9;10;11;12;13;14;15;16;17;18;19;20;21;22;23;24;25;26;27;28;29;30;31;32},
    COUNTIFS($T$3:$T$201,$M393)&gt;0,
    COUNTIFS($U$3:$U$201,$M393)&gt;0,
    COUNTIFS($V$3:$V$201,$M393)&gt;0,
    COUNTIFS($W$3:$W$201,$M393)&gt;0,
    COUNTIFS($X$3:$X$201,$M393)&gt;0,
    COUNTIFS($Y$3:$Y$201,$M393)&gt;0,
    COUNTIFS($Z$3:$Z$201,$M393)&gt;0,
    COUNTIFS($AA$3:$AA$201,$M393)&gt;0,
    COUNTIFS($AB$3:$AB$201,$M393)&gt;0,
    COUNTIFS($AC$3:$AC$201,$M393)&gt;0,
    COUNTIFS($AD$3:$AD$201,$M393)&gt;0,
    COUNTIFS($AE$3:$AE$201,$M393)&gt;0,
    COUNTIFS($AF$3:$AF$201,$M393)&gt;0,
    COUNTIFS($AG$3:$AG$201,$M393)&gt;0,
    COUNTIFS($AH$3:$AH$201,$M393)&gt;0,
    COUNTIFS($AI$3:$AI$201,$M393)&gt;0,
    COUNTIFS($AJ$3:$AJ$201,$M393)&gt;0,
    COUNTIFS($AK$3:$AK$201,$M393)&gt;0,
    COUNTIFS($AL$3:$AL$201,$M393)&gt;0,
    COUNTIFS($AM$3:$AM$201,$M393)&gt;0,
    COUNTIFS($AN$3:$AN$201,$M393)&gt;0,
    COUNTIFS($AO$3:$AO$201,$M393)&gt;0,
    COUNTIFS($AP$3:$AP$201,$M393)&gt;0,
    COUNTIFS($AQ$3:$AQ$201,$M393)&gt;0,
    COUNTIFS($AR$3:$AR$201,$M393)&gt;0,
    COUNTIFS($AS$3:$AS$201,$M393)&gt;0,
    COUNTIFS($AT$3:$AT$201,$M393)&gt;0,
    COUNTIFS($AU$3:$AU$201,$M393)&gt;0,
    COUNTIFS($AV$3:$AV$201,$M393)&gt;0,
    COUNTIFS($AW$3:$AW$201,$M393)&gt;0
   ),
  0)
 ),
"")</f>
        <v/>
      </c>
    </row>
    <row r="394" spans="14:15" x14ac:dyDescent="0.25">
      <c r="N394" s="3">
        <f t="shared" si="22"/>
        <v>0</v>
      </c>
      <c r="O394" s="3" t="str">
        <f>IFERROR(
 INDEX($T$2:$AW$2,
  MATCH(TRUE,
   CHOOSE({1;2;3;4;5;6;7;8;9;10;11;12;13;14;15;16;17;18;19;20;21;22;23;24;25;26;27;28;29;30;31;32},
    COUNTIFS($T$3:$T$201,$M394)&gt;0,
    COUNTIFS($U$3:$U$201,$M394)&gt;0,
    COUNTIFS($V$3:$V$201,$M394)&gt;0,
    COUNTIFS($W$3:$W$201,$M394)&gt;0,
    COUNTIFS($X$3:$X$201,$M394)&gt;0,
    COUNTIFS($Y$3:$Y$201,$M394)&gt;0,
    COUNTIFS($Z$3:$Z$201,$M394)&gt;0,
    COUNTIFS($AA$3:$AA$201,$M394)&gt;0,
    COUNTIFS($AB$3:$AB$201,$M394)&gt;0,
    COUNTIFS($AC$3:$AC$201,$M394)&gt;0,
    COUNTIFS($AD$3:$AD$201,$M394)&gt;0,
    COUNTIFS($AE$3:$AE$201,$M394)&gt;0,
    COUNTIFS($AF$3:$AF$201,$M394)&gt;0,
    COUNTIFS($AG$3:$AG$201,$M394)&gt;0,
    COUNTIFS($AH$3:$AH$201,$M394)&gt;0,
    COUNTIFS($AI$3:$AI$201,$M394)&gt;0,
    COUNTIFS($AJ$3:$AJ$201,$M394)&gt;0,
    COUNTIFS($AK$3:$AK$201,$M394)&gt;0,
    COUNTIFS($AL$3:$AL$201,$M394)&gt;0,
    COUNTIFS($AM$3:$AM$201,$M394)&gt;0,
    COUNTIFS($AN$3:$AN$201,$M394)&gt;0,
    COUNTIFS($AO$3:$AO$201,$M394)&gt;0,
    COUNTIFS($AP$3:$AP$201,$M394)&gt;0,
    COUNTIFS($AQ$3:$AQ$201,$M394)&gt;0,
    COUNTIFS($AR$3:$AR$201,$M394)&gt;0,
    COUNTIFS($AS$3:$AS$201,$M394)&gt;0,
    COUNTIFS($AT$3:$AT$201,$M394)&gt;0,
    COUNTIFS($AU$3:$AU$201,$M394)&gt;0,
    COUNTIFS($AV$3:$AV$201,$M394)&gt;0,
    COUNTIFS($AW$3:$AW$201,$M394)&gt;0
   ),
  0)
 ),
"")</f>
        <v/>
      </c>
    </row>
    <row r="395" spans="14:15" x14ac:dyDescent="0.25">
      <c r="N395" s="3">
        <f t="shared" si="22"/>
        <v>0</v>
      </c>
      <c r="O395" s="3" t="str">
        <f>IFERROR(
 INDEX($T$2:$AW$2,
  MATCH(TRUE,
   CHOOSE({1;2;3;4;5;6;7;8;9;10;11;12;13;14;15;16;17;18;19;20;21;22;23;24;25;26;27;28;29;30;31;32},
    COUNTIFS($T$3:$T$201,$M395)&gt;0,
    COUNTIFS($U$3:$U$201,$M395)&gt;0,
    COUNTIFS($V$3:$V$201,$M395)&gt;0,
    COUNTIFS($W$3:$W$201,$M395)&gt;0,
    COUNTIFS($X$3:$X$201,$M395)&gt;0,
    COUNTIFS($Y$3:$Y$201,$M395)&gt;0,
    COUNTIFS($Z$3:$Z$201,$M395)&gt;0,
    COUNTIFS($AA$3:$AA$201,$M395)&gt;0,
    COUNTIFS($AB$3:$AB$201,$M395)&gt;0,
    COUNTIFS($AC$3:$AC$201,$M395)&gt;0,
    COUNTIFS($AD$3:$AD$201,$M395)&gt;0,
    COUNTIFS($AE$3:$AE$201,$M395)&gt;0,
    COUNTIFS($AF$3:$AF$201,$M395)&gt;0,
    COUNTIFS($AG$3:$AG$201,$M395)&gt;0,
    COUNTIFS($AH$3:$AH$201,$M395)&gt;0,
    COUNTIFS($AI$3:$AI$201,$M395)&gt;0,
    COUNTIFS($AJ$3:$AJ$201,$M395)&gt;0,
    COUNTIFS($AK$3:$AK$201,$M395)&gt;0,
    COUNTIFS($AL$3:$AL$201,$M395)&gt;0,
    COUNTIFS($AM$3:$AM$201,$M395)&gt;0,
    COUNTIFS($AN$3:$AN$201,$M395)&gt;0,
    COUNTIFS($AO$3:$AO$201,$M395)&gt;0,
    COUNTIFS($AP$3:$AP$201,$M395)&gt;0,
    COUNTIFS($AQ$3:$AQ$201,$M395)&gt;0,
    COUNTIFS($AR$3:$AR$201,$M395)&gt;0,
    COUNTIFS($AS$3:$AS$201,$M395)&gt;0,
    COUNTIFS($AT$3:$AT$201,$M395)&gt;0,
    COUNTIFS($AU$3:$AU$201,$M395)&gt;0,
    COUNTIFS($AV$3:$AV$201,$M395)&gt;0,
    COUNTIFS($AW$3:$AW$201,$M395)&gt;0
   ),
  0)
 ),
"")</f>
        <v/>
      </c>
    </row>
    <row r="396" spans="14:15" x14ac:dyDescent="0.25">
      <c r="N396" s="3">
        <f t="shared" si="22"/>
        <v>0</v>
      </c>
      <c r="O396" s="3" t="str">
        <f>IFERROR(
 INDEX($T$2:$AW$2,
  MATCH(TRUE,
   CHOOSE({1;2;3;4;5;6;7;8;9;10;11;12;13;14;15;16;17;18;19;20;21;22;23;24;25;26;27;28;29;30;31;32},
    COUNTIFS($T$3:$T$201,$M396)&gt;0,
    COUNTIFS($U$3:$U$201,$M396)&gt;0,
    COUNTIFS($V$3:$V$201,$M396)&gt;0,
    COUNTIFS($W$3:$W$201,$M396)&gt;0,
    COUNTIFS($X$3:$X$201,$M396)&gt;0,
    COUNTIFS($Y$3:$Y$201,$M396)&gt;0,
    COUNTIFS($Z$3:$Z$201,$M396)&gt;0,
    COUNTIFS($AA$3:$AA$201,$M396)&gt;0,
    COUNTIFS($AB$3:$AB$201,$M396)&gt;0,
    COUNTIFS($AC$3:$AC$201,$M396)&gt;0,
    COUNTIFS($AD$3:$AD$201,$M396)&gt;0,
    COUNTIFS($AE$3:$AE$201,$M396)&gt;0,
    COUNTIFS($AF$3:$AF$201,$M396)&gt;0,
    COUNTIFS($AG$3:$AG$201,$M396)&gt;0,
    COUNTIFS($AH$3:$AH$201,$M396)&gt;0,
    COUNTIFS($AI$3:$AI$201,$M396)&gt;0,
    COUNTIFS($AJ$3:$AJ$201,$M396)&gt;0,
    COUNTIFS($AK$3:$AK$201,$M396)&gt;0,
    COUNTIFS($AL$3:$AL$201,$M396)&gt;0,
    COUNTIFS($AM$3:$AM$201,$M396)&gt;0,
    COUNTIFS($AN$3:$AN$201,$M396)&gt;0,
    COUNTIFS($AO$3:$AO$201,$M396)&gt;0,
    COUNTIFS($AP$3:$AP$201,$M396)&gt;0,
    COUNTIFS($AQ$3:$AQ$201,$M396)&gt;0,
    COUNTIFS($AR$3:$AR$201,$M396)&gt;0,
    COUNTIFS($AS$3:$AS$201,$M396)&gt;0,
    COUNTIFS($AT$3:$AT$201,$M396)&gt;0,
    COUNTIFS($AU$3:$AU$201,$M396)&gt;0,
    COUNTIFS($AV$3:$AV$201,$M396)&gt;0,
    COUNTIFS($AW$3:$AW$201,$M396)&gt;0
   ),
  0)
 ),
"")</f>
        <v/>
      </c>
    </row>
    <row r="397" spans="14:15" x14ac:dyDescent="0.25">
      <c r="N397" s="3">
        <f t="shared" si="22"/>
        <v>0</v>
      </c>
      <c r="O397" s="3" t="str">
        <f>IFERROR(
 INDEX($T$2:$AW$2,
  MATCH(TRUE,
   CHOOSE({1;2;3;4;5;6;7;8;9;10;11;12;13;14;15;16;17;18;19;20;21;22;23;24;25;26;27;28;29;30;31;32},
    COUNTIFS($T$3:$T$201,$M397)&gt;0,
    COUNTIFS($U$3:$U$201,$M397)&gt;0,
    COUNTIFS($V$3:$V$201,$M397)&gt;0,
    COUNTIFS($W$3:$W$201,$M397)&gt;0,
    COUNTIFS($X$3:$X$201,$M397)&gt;0,
    COUNTIFS($Y$3:$Y$201,$M397)&gt;0,
    COUNTIFS($Z$3:$Z$201,$M397)&gt;0,
    COUNTIFS($AA$3:$AA$201,$M397)&gt;0,
    COUNTIFS($AB$3:$AB$201,$M397)&gt;0,
    COUNTIFS($AC$3:$AC$201,$M397)&gt;0,
    COUNTIFS($AD$3:$AD$201,$M397)&gt;0,
    COUNTIFS($AE$3:$AE$201,$M397)&gt;0,
    COUNTIFS($AF$3:$AF$201,$M397)&gt;0,
    COUNTIFS($AG$3:$AG$201,$M397)&gt;0,
    COUNTIFS($AH$3:$AH$201,$M397)&gt;0,
    COUNTIFS($AI$3:$AI$201,$M397)&gt;0,
    COUNTIFS($AJ$3:$AJ$201,$M397)&gt;0,
    COUNTIFS($AK$3:$AK$201,$M397)&gt;0,
    COUNTIFS($AL$3:$AL$201,$M397)&gt;0,
    COUNTIFS($AM$3:$AM$201,$M397)&gt;0,
    COUNTIFS($AN$3:$AN$201,$M397)&gt;0,
    COUNTIFS($AO$3:$AO$201,$M397)&gt;0,
    COUNTIFS($AP$3:$AP$201,$M397)&gt;0,
    COUNTIFS($AQ$3:$AQ$201,$M397)&gt;0,
    COUNTIFS($AR$3:$AR$201,$M397)&gt;0,
    COUNTIFS($AS$3:$AS$201,$M397)&gt;0,
    COUNTIFS($AT$3:$AT$201,$M397)&gt;0,
    COUNTIFS($AU$3:$AU$201,$M397)&gt;0,
    COUNTIFS($AV$3:$AV$201,$M397)&gt;0,
    COUNTIFS($AW$3:$AW$201,$M397)&gt;0
   ),
  0)
 ),
"")</f>
        <v/>
      </c>
    </row>
    <row r="398" spans="14:15" x14ac:dyDescent="0.25">
      <c r="N398" s="3">
        <f t="shared" si="22"/>
        <v>0</v>
      </c>
      <c r="O398" s="3" t="str">
        <f>IFERROR(
 INDEX($T$2:$AW$2,
  MATCH(TRUE,
   CHOOSE({1;2;3;4;5;6;7;8;9;10;11;12;13;14;15;16;17;18;19;20;21;22;23;24;25;26;27;28;29;30;31;32},
    COUNTIFS($T$3:$T$201,$M398)&gt;0,
    COUNTIFS($U$3:$U$201,$M398)&gt;0,
    COUNTIFS($V$3:$V$201,$M398)&gt;0,
    COUNTIFS($W$3:$W$201,$M398)&gt;0,
    COUNTIFS($X$3:$X$201,$M398)&gt;0,
    COUNTIFS($Y$3:$Y$201,$M398)&gt;0,
    COUNTIFS($Z$3:$Z$201,$M398)&gt;0,
    COUNTIFS($AA$3:$AA$201,$M398)&gt;0,
    COUNTIFS($AB$3:$AB$201,$M398)&gt;0,
    COUNTIFS($AC$3:$AC$201,$M398)&gt;0,
    COUNTIFS($AD$3:$AD$201,$M398)&gt;0,
    COUNTIFS($AE$3:$AE$201,$M398)&gt;0,
    COUNTIFS($AF$3:$AF$201,$M398)&gt;0,
    COUNTIFS($AG$3:$AG$201,$M398)&gt;0,
    COUNTIFS($AH$3:$AH$201,$M398)&gt;0,
    COUNTIFS($AI$3:$AI$201,$M398)&gt;0,
    COUNTIFS($AJ$3:$AJ$201,$M398)&gt;0,
    COUNTIFS($AK$3:$AK$201,$M398)&gt;0,
    COUNTIFS($AL$3:$AL$201,$M398)&gt;0,
    COUNTIFS($AM$3:$AM$201,$M398)&gt;0,
    COUNTIFS($AN$3:$AN$201,$M398)&gt;0,
    COUNTIFS($AO$3:$AO$201,$M398)&gt;0,
    COUNTIFS($AP$3:$AP$201,$M398)&gt;0,
    COUNTIFS($AQ$3:$AQ$201,$M398)&gt;0,
    COUNTIFS($AR$3:$AR$201,$M398)&gt;0,
    COUNTIFS($AS$3:$AS$201,$M398)&gt;0,
    COUNTIFS($AT$3:$AT$201,$M398)&gt;0,
    COUNTIFS($AU$3:$AU$201,$M398)&gt;0,
    COUNTIFS($AV$3:$AV$201,$M398)&gt;0,
    COUNTIFS($AW$3:$AW$201,$M398)&gt;0
   ),
  0)
 ),
"")</f>
        <v/>
      </c>
    </row>
    <row r="399" spans="14:15" x14ac:dyDescent="0.25">
      <c r="N399" s="3">
        <f t="shared" si="22"/>
        <v>0</v>
      </c>
      <c r="O399" s="3" t="str">
        <f>IFERROR(
 INDEX($T$2:$AW$2,
  MATCH(TRUE,
   CHOOSE({1;2;3;4;5;6;7;8;9;10;11;12;13;14;15;16;17;18;19;20;21;22;23;24;25;26;27;28;29;30;31;32},
    COUNTIFS($T$3:$T$201,$M399)&gt;0,
    COUNTIFS($U$3:$U$201,$M399)&gt;0,
    COUNTIFS($V$3:$V$201,$M399)&gt;0,
    COUNTIFS($W$3:$W$201,$M399)&gt;0,
    COUNTIFS($X$3:$X$201,$M399)&gt;0,
    COUNTIFS($Y$3:$Y$201,$M399)&gt;0,
    COUNTIFS($Z$3:$Z$201,$M399)&gt;0,
    COUNTIFS($AA$3:$AA$201,$M399)&gt;0,
    COUNTIFS($AB$3:$AB$201,$M399)&gt;0,
    COUNTIFS($AC$3:$AC$201,$M399)&gt;0,
    COUNTIFS($AD$3:$AD$201,$M399)&gt;0,
    COUNTIFS($AE$3:$AE$201,$M399)&gt;0,
    COUNTIFS($AF$3:$AF$201,$M399)&gt;0,
    COUNTIFS($AG$3:$AG$201,$M399)&gt;0,
    COUNTIFS($AH$3:$AH$201,$M399)&gt;0,
    COUNTIFS($AI$3:$AI$201,$M399)&gt;0,
    COUNTIFS($AJ$3:$AJ$201,$M399)&gt;0,
    COUNTIFS($AK$3:$AK$201,$M399)&gt;0,
    COUNTIFS($AL$3:$AL$201,$M399)&gt;0,
    COUNTIFS($AM$3:$AM$201,$M399)&gt;0,
    COUNTIFS($AN$3:$AN$201,$M399)&gt;0,
    COUNTIFS($AO$3:$AO$201,$M399)&gt;0,
    COUNTIFS($AP$3:$AP$201,$M399)&gt;0,
    COUNTIFS($AQ$3:$AQ$201,$M399)&gt;0,
    COUNTIFS($AR$3:$AR$201,$M399)&gt;0,
    COUNTIFS($AS$3:$AS$201,$M399)&gt;0,
    COUNTIFS($AT$3:$AT$201,$M399)&gt;0,
    COUNTIFS($AU$3:$AU$201,$M399)&gt;0,
    COUNTIFS($AV$3:$AV$201,$M399)&gt;0,
    COUNTIFS($AW$3:$AW$201,$M399)&gt;0
   ),
  0)
 ),
"")</f>
        <v/>
      </c>
    </row>
    <row r="400" spans="14:15" x14ac:dyDescent="0.25">
      <c r="N400" s="3">
        <f t="shared" si="22"/>
        <v>0</v>
      </c>
      <c r="O400" s="3" t="str">
        <f>IFERROR(
 INDEX($T$2:$AW$2,
  MATCH(TRUE,
   CHOOSE({1;2;3;4;5;6;7;8;9;10;11;12;13;14;15;16;17;18;19;20;21;22;23;24;25;26;27;28;29;30;31;32},
    COUNTIFS($T$3:$T$201,$M400)&gt;0,
    COUNTIFS($U$3:$U$201,$M400)&gt;0,
    COUNTIFS($V$3:$V$201,$M400)&gt;0,
    COUNTIFS($W$3:$W$201,$M400)&gt;0,
    COUNTIFS($X$3:$X$201,$M400)&gt;0,
    COUNTIFS($Y$3:$Y$201,$M400)&gt;0,
    COUNTIFS($Z$3:$Z$201,$M400)&gt;0,
    COUNTIFS($AA$3:$AA$201,$M400)&gt;0,
    COUNTIFS($AB$3:$AB$201,$M400)&gt;0,
    COUNTIFS($AC$3:$AC$201,$M400)&gt;0,
    COUNTIFS($AD$3:$AD$201,$M400)&gt;0,
    COUNTIFS($AE$3:$AE$201,$M400)&gt;0,
    COUNTIFS($AF$3:$AF$201,$M400)&gt;0,
    COUNTIFS($AG$3:$AG$201,$M400)&gt;0,
    COUNTIFS($AH$3:$AH$201,$M400)&gt;0,
    COUNTIFS($AI$3:$AI$201,$M400)&gt;0,
    COUNTIFS($AJ$3:$AJ$201,$M400)&gt;0,
    COUNTIFS($AK$3:$AK$201,$M400)&gt;0,
    COUNTIFS($AL$3:$AL$201,$M400)&gt;0,
    COUNTIFS($AM$3:$AM$201,$M400)&gt;0,
    COUNTIFS($AN$3:$AN$201,$M400)&gt;0,
    COUNTIFS($AO$3:$AO$201,$M400)&gt;0,
    COUNTIFS($AP$3:$AP$201,$M400)&gt;0,
    COUNTIFS($AQ$3:$AQ$201,$M400)&gt;0,
    COUNTIFS($AR$3:$AR$201,$M400)&gt;0,
    COUNTIFS($AS$3:$AS$201,$M400)&gt;0,
    COUNTIFS($AT$3:$AT$201,$M400)&gt;0,
    COUNTIFS($AU$3:$AU$201,$M400)&gt;0,
    COUNTIFS($AV$3:$AV$201,$M400)&gt;0,
    COUNTIFS($AW$3:$AW$201,$M400)&gt;0
   ),
  0)
 ),
"")</f>
        <v/>
      </c>
    </row>
    <row r="401" spans="14:15" x14ac:dyDescent="0.25">
      <c r="N401" s="3">
        <f t="shared" si="22"/>
        <v>0</v>
      </c>
      <c r="O401" s="3" t="str">
        <f>IFERROR(
 INDEX($T$2:$AW$2,
  MATCH(TRUE,
   CHOOSE({1;2;3;4;5;6;7;8;9;10;11;12;13;14;15;16;17;18;19;20;21;22;23;24;25;26;27;28;29;30;31;32},
    COUNTIFS($T$3:$T$201,$M401)&gt;0,
    COUNTIFS($U$3:$U$201,$M401)&gt;0,
    COUNTIFS($V$3:$V$201,$M401)&gt;0,
    COUNTIFS($W$3:$W$201,$M401)&gt;0,
    COUNTIFS($X$3:$X$201,$M401)&gt;0,
    COUNTIFS($Y$3:$Y$201,$M401)&gt;0,
    COUNTIFS($Z$3:$Z$201,$M401)&gt;0,
    COUNTIFS($AA$3:$AA$201,$M401)&gt;0,
    COUNTIFS($AB$3:$AB$201,$M401)&gt;0,
    COUNTIFS($AC$3:$AC$201,$M401)&gt;0,
    COUNTIFS($AD$3:$AD$201,$M401)&gt;0,
    COUNTIFS($AE$3:$AE$201,$M401)&gt;0,
    COUNTIFS($AF$3:$AF$201,$M401)&gt;0,
    COUNTIFS($AG$3:$AG$201,$M401)&gt;0,
    COUNTIFS($AH$3:$AH$201,$M401)&gt;0,
    COUNTIFS($AI$3:$AI$201,$M401)&gt;0,
    COUNTIFS($AJ$3:$AJ$201,$M401)&gt;0,
    COUNTIFS($AK$3:$AK$201,$M401)&gt;0,
    COUNTIFS($AL$3:$AL$201,$M401)&gt;0,
    COUNTIFS($AM$3:$AM$201,$M401)&gt;0,
    COUNTIFS($AN$3:$AN$201,$M401)&gt;0,
    COUNTIFS($AO$3:$AO$201,$M401)&gt;0,
    COUNTIFS($AP$3:$AP$201,$M401)&gt;0,
    COUNTIFS($AQ$3:$AQ$201,$M401)&gt;0,
    COUNTIFS($AR$3:$AR$201,$M401)&gt;0,
    COUNTIFS($AS$3:$AS$201,$M401)&gt;0,
    COUNTIFS($AT$3:$AT$201,$M401)&gt;0,
    COUNTIFS($AU$3:$AU$201,$M401)&gt;0,
    COUNTIFS($AV$3:$AV$201,$M401)&gt;0,
    COUNTIFS($AW$3:$AW$201,$M401)&gt;0
   ),
  0)
 ),
"")</f>
        <v/>
      </c>
    </row>
    <row r="402" spans="14:15" x14ac:dyDescent="0.25">
      <c r="N402" s="3">
        <f t="shared" si="22"/>
        <v>0</v>
      </c>
      <c r="O402" s="3" t="str">
        <f>IFERROR(
 INDEX($T$2:$AW$2,
  MATCH(TRUE,
   CHOOSE({1;2;3;4;5;6;7;8;9;10;11;12;13;14;15;16;17;18;19;20;21;22;23;24;25;26;27;28;29;30;31;32},
    COUNTIFS($T$3:$T$201,$M402)&gt;0,
    COUNTIFS($U$3:$U$201,$M402)&gt;0,
    COUNTIFS($V$3:$V$201,$M402)&gt;0,
    COUNTIFS($W$3:$W$201,$M402)&gt;0,
    COUNTIFS($X$3:$X$201,$M402)&gt;0,
    COUNTIFS($Y$3:$Y$201,$M402)&gt;0,
    COUNTIFS($Z$3:$Z$201,$M402)&gt;0,
    COUNTIFS($AA$3:$AA$201,$M402)&gt;0,
    COUNTIFS($AB$3:$AB$201,$M402)&gt;0,
    COUNTIFS($AC$3:$AC$201,$M402)&gt;0,
    COUNTIFS($AD$3:$AD$201,$M402)&gt;0,
    COUNTIFS($AE$3:$AE$201,$M402)&gt;0,
    COUNTIFS($AF$3:$AF$201,$M402)&gt;0,
    COUNTIFS($AG$3:$AG$201,$M402)&gt;0,
    COUNTIFS($AH$3:$AH$201,$M402)&gt;0,
    COUNTIFS($AI$3:$AI$201,$M402)&gt;0,
    COUNTIFS($AJ$3:$AJ$201,$M402)&gt;0,
    COUNTIFS($AK$3:$AK$201,$M402)&gt;0,
    COUNTIFS($AL$3:$AL$201,$M402)&gt;0,
    COUNTIFS($AM$3:$AM$201,$M402)&gt;0,
    COUNTIFS($AN$3:$AN$201,$M402)&gt;0,
    COUNTIFS($AO$3:$AO$201,$M402)&gt;0,
    COUNTIFS($AP$3:$AP$201,$M402)&gt;0,
    COUNTIFS($AQ$3:$AQ$201,$M402)&gt;0,
    COUNTIFS($AR$3:$AR$201,$M402)&gt;0,
    COUNTIFS($AS$3:$AS$201,$M402)&gt;0,
    COUNTIFS($AT$3:$AT$201,$M402)&gt;0,
    COUNTIFS($AU$3:$AU$201,$M402)&gt;0,
    COUNTIFS($AV$3:$AV$201,$M402)&gt;0,
    COUNTIFS($AW$3:$AW$201,$M402)&gt;0
   ),
  0)
 ),
"")</f>
        <v/>
      </c>
    </row>
    <row r="403" spans="14:15" x14ac:dyDescent="0.25">
      <c r="N403" s="3">
        <f t="shared" si="22"/>
        <v>0</v>
      </c>
      <c r="O403" s="3" t="str">
        <f>IFERROR(
 INDEX($T$2:$AW$2,
  MATCH(TRUE,
   CHOOSE({1;2;3;4;5;6;7;8;9;10;11;12;13;14;15;16;17;18;19;20;21;22;23;24;25;26;27;28;29;30;31;32},
    COUNTIFS($T$3:$T$201,$M403)&gt;0,
    COUNTIFS($U$3:$U$201,$M403)&gt;0,
    COUNTIFS($V$3:$V$201,$M403)&gt;0,
    COUNTIFS($W$3:$W$201,$M403)&gt;0,
    COUNTIFS($X$3:$X$201,$M403)&gt;0,
    COUNTIFS($Y$3:$Y$201,$M403)&gt;0,
    COUNTIFS($Z$3:$Z$201,$M403)&gt;0,
    COUNTIFS($AA$3:$AA$201,$M403)&gt;0,
    COUNTIFS($AB$3:$AB$201,$M403)&gt;0,
    COUNTIFS($AC$3:$AC$201,$M403)&gt;0,
    COUNTIFS($AD$3:$AD$201,$M403)&gt;0,
    COUNTIFS($AE$3:$AE$201,$M403)&gt;0,
    COUNTIFS($AF$3:$AF$201,$M403)&gt;0,
    COUNTIFS($AG$3:$AG$201,$M403)&gt;0,
    COUNTIFS($AH$3:$AH$201,$M403)&gt;0,
    COUNTIFS($AI$3:$AI$201,$M403)&gt;0,
    COUNTIFS($AJ$3:$AJ$201,$M403)&gt;0,
    COUNTIFS($AK$3:$AK$201,$M403)&gt;0,
    COUNTIFS($AL$3:$AL$201,$M403)&gt;0,
    COUNTIFS($AM$3:$AM$201,$M403)&gt;0,
    COUNTIFS($AN$3:$AN$201,$M403)&gt;0,
    COUNTIFS($AO$3:$AO$201,$M403)&gt;0,
    COUNTIFS($AP$3:$AP$201,$M403)&gt;0,
    COUNTIFS($AQ$3:$AQ$201,$M403)&gt;0,
    COUNTIFS($AR$3:$AR$201,$M403)&gt;0,
    COUNTIFS($AS$3:$AS$201,$M403)&gt;0,
    COUNTIFS($AT$3:$AT$201,$M403)&gt;0,
    COUNTIFS($AU$3:$AU$201,$M403)&gt;0,
    COUNTIFS($AV$3:$AV$201,$M403)&gt;0,
    COUNTIFS($AW$3:$AW$201,$M403)&gt;0
   ),
  0)
 ),
"")</f>
        <v/>
      </c>
    </row>
    <row r="404" spans="14:15" x14ac:dyDescent="0.25">
      <c r="N404" s="3">
        <f t="shared" si="22"/>
        <v>0</v>
      </c>
      <c r="O404" s="3" t="str">
        <f>IFERROR(
 INDEX($T$2:$AW$2,
  MATCH(TRUE,
   CHOOSE({1;2;3;4;5;6;7;8;9;10;11;12;13;14;15;16;17;18;19;20;21;22;23;24;25;26;27;28;29;30;31;32},
    COUNTIFS($T$3:$T$201,$M404)&gt;0,
    COUNTIFS($U$3:$U$201,$M404)&gt;0,
    COUNTIFS($V$3:$V$201,$M404)&gt;0,
    COUNTIFS($W$3:$W$201,$M404)&gt;0,
    COUNTIFS($X$3:$X$201,$M404)&gt;0,
    COUNTIFS($Y$3:$Y$201,$M404)&gt;0,
    COUNTIFS($Z$3:$Z$201,$M404)&gt;0,
    COUNTIFS($AA$3:$AA$201,$M404)&gt;0,
    COUNTIFS($AB$3:$AB$201,$M404)&gt;0,
    COUNTIFS($AC$3:$AC$201,$M404)&gt;0,
    COUNTIFS($AD$3:$AD$201,$M404)&gt;0,
    COUNTIFS($AE$3:$AE$201,$M404)&gt;0,
    COUNTIFS($AF$3:$AF$201,$M404)&gt;0,
    COUNTIFS($AG$3:$AG$201,$M404)&gt;0,
    COUNTIFS($AH$3:$AH$201,$M404)&gt;0,
    COUNTIFS($AI$3:$AI$201,$M404)&gt;0,
    COUNTIFS($AJ$3:$AJ$201,$M404)&gt;0,
    COUNTIFS($AK$3:$AK$201,$M404)&gt;0,
    COUNTIFS($AL$3:$AL$201,$M404)&gt;0,
    COUNTIFS($AM$3:$AM$201,$M404)&gt;0,
    COUNTIFS($AN$3:$AN$201,$M404)&gt;0,
    COUNTIFS($AO$3:$AO$201,$M404)&gt;0,
    COUNTIFS($AP$3:$AP$201,$M404)&gt;0,
    COUNTIFS($AQ$3:$AQ$201,$M404)&gt;0,
    COUNTIFS($AR$3:$AR$201,$M404)&gt;0,
    COUNTIFS($AS$3:$AS$201,$M404)&gt;0,
    COUNTIFS($AT$3:$AT$201,$M404)&gt;0,
    COUNTIFS($AU$3:$AU$201,$M404)&gt;0,
    COUNTIFS($AV$3:$AV$201,$M404)&gt;0,
    COUNTIFS($AW$3:$AW$201,$M404)&gt;0
   ),
  0)
 ),
"")</f>
        <v/>
      </c>
    </row>
    <row r="405" spans="14:15" x14ac:dyDescent="0.25">
      <c r="N405" s="3">
        <f t="shared" si="22"/>
        <v>0</v>
      </c>
      <c r="O405" s="3" t="str">
        <f>IFERROR(
 INDEX($T$2:$AW$2,
  MATCH(TRUE,
   CHOOSE({1;2;3;4;5;6;7;8;9;10;11;12;13;14;15;16;17;18;19;20;21;22;23;24;25;26;27;28;29;30;31;32},
    COUNTIFS($T$3:$T$201,$M405)&gt;0,
    COUNTIFS($U$3:$U$201,$M405)&gt;0,
    COUNTIFS($V$3:$V$201,$M405)&gt;0,
    COUNTIFS($W$3:$W$201,$M405)&gt;0,
    COUNTIFS($X$3:$X$201,$M405)&gt;0,
    COUNTIFS($Y$3:$Y$201,$M405)&gt;0,
    COUNTIFS($Z$3:$Z$201,$M405)&gt;0,
    COUNTIFS($AA$3:$AA$201,$M405)&gt;0,
    COUNTIFS($AB$3:$AB$201,$M405)&gt;0,
    COUNTIFS($AC$3:$AC$201,$M405)&gt;0,
    COUNTIFS($AD$3:$AD$201,$M405)&gt;0,
    COUNTIFS($AE$3:$AE$201,$M405)&gt;0,
    COUNTIFS($AF$3:$AF$201,$M405)&gt;0,
    COUNTIFS($AG$3:$AG$201,$M405)&gt;0,
    COUNTIFS($AH$3:$AH$201,$M405)&gt;0,
    COUNTIFS($AI$3:$AI$201,$M405)&gt;0,
    COUNTIFS($AJ$3:$AJ$201,$M405)&gt;0,
    COUNTIFS($AK$3:$AK$201,$M405)&gt;0,
    COUNTIFS($AL$3:$AL$201,$M405)&gt;0,
    COUNTIFS($AM$3:$AM$201,$M405)&gt;0,
    COUNTIFS($AN$3:$AN$201,$M405)&gt;0,
    COUNTIFS($AO$3:$AO$201,$M405)&gt;0,
    COUNTIFS($AP$3:$AP$201,$M405)&gt;0,
    COUNTIFS($AQ$3:$AQ$201,$M405)&gt;0,
    COUNTIFS($AR$3:$AR$201,$M405)&gt;0,
    COUNTIFS($AS$3:$AS$201,$M405)&gt;0,
    COUNTIFS($AT$3:$AT$201,$M405)&gt;0,
    COUNTIFS($AU$3:$AU$201,$M405)&gt;0,
    COUNTIFS($AV$3:$AV$201,$M405)&gt;0,
    COUNTIFS($AW$3:$AW$201,$M405)&gt;0
   ),
  0)
 ),
"")</f>
        <v/>
      </c>
    </row>
    <row r="406" spans="14:15" x14ac:dyDescent="0.25">
      <c r="N406" s="3">
        <f t="shared" si="22"/>
        <v>0</v>
      </c>
      <c r="O406" s="3" t="str">
        <f>IFERROR(
 INDEX($T$2:$AW$2,
  MATCH(TRUE,
   CHOOSE({1;2;3;4;5;6;7;8;9;10;11;12;13;14;15;16;17;18;19;20;21;22;23;24;25;26;27;28;29;30;31;32},
    COUNTIFS($T$3:$T$201,$M406)&gt;0,
    COUNTIFS($U$3:$U$201,$M406)&gt;0,
    COUNTIFS($V$3:$V$201,$M406)&gt;0,
    COUNTIFS($W$3:$W$201,$M406)&gt;0,
    COUNTIFS($X$3:$X$201,$M406)&gt;0,
    COUNTIFS($Y$3:$Y$201,$M406)&gt;0,
    COUNTIFS($Z$3:$Z$201,$M406)&gt;0,
    COUNTIFS($AA$3:$AA$201,$M406)&gt;0,
    COUNTIFS($AB$3:$AB$201,$M406)&gt;0,
    COUNTIFS($AC$3:$AC$201,$M406)&gt;0,
    COUNTIFS($AD$3:$AD$201,$M406)&gt;0,
    COUNTIFS($AE$3:$AE$201,$M406)&gt;0,
    COUNTIFS($AF$3:$AF$201,$M406)&gt;0,
    COUNTIFS($AG$3:$AG$201,$M406)&gt;0,
    COUNTIFS($AH$3:$AH$201,$M406)&gt;0,
    COUNTIFS($AI$3:$AI$201,$M406)&gt;0,
    COUNTIFS($AJ$3:$AJ$201,$M406)&gt;0,
    COUNTIFS($AK$3:$AK$201,$M406)&gt;0,
    COUNTIFS($AL$3:$AL$201,$M406)&gt;0,
    COUNTIFS($AM$3:$AM$201,$M406)&gt;0,
    COUNTIFS($AN$3:$AN$201,$M406)&gt;0,
    COUNTIFS($AO$3:$AO$201,$M406)&gt;0,
    COUNTIFS($AP$3:$AP$201,$M406)&gt;0,
    COUNTIFS($AQ$3:$AQ$201,$M406)&gt;0,
    COUNTIFS($AR$3:$AR$201,$M406)&gt;0,
    COUNTIFS($AS$3:$AS$201,$M406)&gt;0,
    COUNTIFS($AT$3:$AT$201,$M406)&gt;0,
    COUNTIFS($AU$3:$AU$201,$M406)&gt;0,
    COUNTIFS($AV$3:$AV$201,$M406)&gt;0,
    COUNTIFS($AW$3:$AW$201,$M406)&gt;0
   ),
  0)
 ),
"")</f>
        <v/>
      </c>
    </row>
    <row r="407" spans="14:15" x14ac:dyDescent="0.25">
      <c r="N407" s="3">
        <f t="shared" si="22"/>
        <v>0</v>
      </c>
      <c r="O407" s="3" t="str">
        <f>IFERROR(
 INDEX($T$2:$AW$2,
  MATCH(TRUE,
   CHOOSE({1;2;3;4;5;6;7;8;9;10;11;12;13;14;15;16;17;18;19;20;21;22;23;24;25;26;27;28;29;30;31;32},
    COUNTIFS($T$3:$T$201,$M407)&gt;0,
    COUNTIFS($U$3:$U$201,$M407)&gt;0,
    COUNTIFS($V$3:$V$201,$M407)&gt;0,
    COUNTIFS($W$3:$W$201,$M407)&gt;0,
    COUNTIFS($X$3:$X$201,$M407)&gt;0,
    COUNTIFS($Y$3:$Y$201,$M407)&gt;0,
    COUNTIFS($Z$3:$Z$201,$M407)&gt;0,
    COUNTIFS($AA$3:$AA$201,$M407)&gt;0,
    COUNTIFS($AB$3:$AB$201,$M407)&gt;0,
    COUNTIFS($AC$3:$AC$201,$M407)&gt;0,
    COUNTIFS($AD$3:$AD$201,$M407)&gt;0,
    COUNTIFS($AE$3:$AE$201,$M407)&gt;0,
    COUNTIFS($AF$3:$AF$201,$M407)&gt;0,
    COUNTIFS($AG$3:$AG$201,$M407)&gt;0,
    COUNTIFS($AH$3:$AH$201,$M407)&gt;0,
    COUNTIFS($AI$3:$AI$201,$M407)&gt;0,
    COUNTIFS($AJ$3:$AJ$201,$M407)&gt;0,
    COUNTIFS($AK$3:$AK$201,$M407)&gt;0,
    COUNTIFS($AL$3:$AL$201,$M407)&gt;0,
    COUNTIFS($AM$3:$AM$201,$M407)&gt;0,
    COUNTIFS($AN$3:$AN$201,$M407)&gt;0,
    COUNTIFS($AO$3:$AO$201,$M407)&gt;0,
    COUNTIFS($AP$3:$AP$201,$M407)&gt;0,
    COUNTIFS($AQ$3:$AQ$201,$M407)&gt;0,
    COUNTIFS($AR$3:$AR$201,$M407)&gt;0,
    COUNTIFS($AS$3:$AS$201,$M407)&gt;0,
    COUNTIFS($AT$3:$AT$201,$M407)&gt;0,
    COUNTIFS($AU$3:$AU$201,$M407)&gt;0,
    COUNTIFS($AV$3:$AV$201,$M407)&gt;0,
    COUNTIFS($AW$3:$AW$201,$M407)&gt;0
   ),
  0)
 ),
"")</f>
        <v/>
      </c>
    </row>
    <row r="408" spans="14:15" x14ac:dyDescent="0.25">
      <c r="N408" s="3">
        <f t="shared" si="22"/>
        <v>0</v>
      </c>
      <c r="O408" s="3" t="str">
        <f>IFERROR(
 INDEX($T$2:$AW$2,
  MATCH(TRUE,
   CHOOSE({1;2;3;4;5;6;7;8;9;10;11;12;13;14;15;16;17;18;19;20;21;22;23;24;25;26;27;28;29;30;31;32},
    COUNTIFS($T$3:$T$201,$M408)&gt;0,
    COUNTIFS($U$3:$U$201,$M408)&gt;0,
    COUNTIFS($V$3:$V$201,$M408)&gt;0,
    COUNTIFS($W$3:$W$201,$M408)&gt;0,
    COUNTIFS($X$3:$X$201,$M408)&gt;0,
    COUNTIFS($Y$3:$Y$201,$M408)&gt;0,
    COUNTIFS($Z$3:$Z$201,$M408)&gt;0,
    COUNTIFS($AA$3:$AA$201,$M408)&gt;0,
    COUNTIFS($AB$3:$AB$201,$M408)&gt;0,
    COUNTIFS($AC$3:$AC$201,$M408)&gt;0,
    COUNTIFS($AD$3:$AD$201,$M408)&gt;0,
    COUNTIFS($AE$3:$AE$201,$M408)&gt;0,
    COUNTIFS($AF$3:$AF$201,$M408)&gt;0,
    COUNTIFS($AG$3:$AG$201,$M408)&gt;0,
    COUNTIFS($AH$3:$AH$201,$M408)&gt;0,
    COUNTIFS($AI$3:$AI$201,$M408)&gt;0,
    COUNTIFS($AJ$3:$AJ$201,$M408)&gt;0,
    COUNTIFS($AK$3:$AK$201,$M408)&gt;0,
    COUNTIFS($AL$3:$AL$201,$M408)&gt;0,
    COUNTIFS($AM$3:$AM$201,$M408)&gt;0,
    COUNTIFS($AN$3:$AN$201,$M408)&gt;0,
    COUNTIFS($AO$3:$AO$201,$M408)&gt;0,
    COUNTIFS($AP$3:$AP$201,$M408)&gt;0,
    COUNTIFS($AQ$3:$AQ$201,$M408)&gt;0,
    COUNTIFS($AR$3:$AR$201,$M408)&gt;0,
    COUNTIFS($AS$3:$AS$201,$M408)&gt;0,
    COUNTIFS($AT$3:$AT$201,$M408)&gt;0,
    COUNTIFS($AU$3:$AU$201,$M408)&gt;0,
    COUNTIFS($AV$3:$AV$201,$M408)&gt;0,
    COUNTIFS($AW$3:$AW$201,$M408)&gt;0
   ),
  0)
 ),
"")</f>
        <v/>
      </c>
    </row>
    <row r="409" spans="14:15" x14ac:dyDescent="0.25">
      <c r="N409" s="3">
        <f t="shared" si="22"/>
        <v>0</v>
      </c>
      <c r="O409" s="3" t="str">
        <f>IFERROR(
 INDEX($T$2:$AW$2,
  MATCH(TRUE,
   CHOOSE({1;2;3;4;5;6;7;8;9;10;11;12;13;14;15;16;17;18;19;20;21;22;23;24;25;26;27;28;29;30;31;32},
    COUNTIFS($T$3:$T$201,$M409)&gt;0,
    COUNTIFS($U$3:$U$201,$M409)&gt;0,
    COUNTIFS($V$3:$V$201,$M409)&gt;0,
    COUNTIFS($W$3:$W$201,$M409)&gt;0,
    COUNTIFS($X$3:$X$201,$M409)&gt;0,
    COUNTIFS($Y$3:$Y$201,$M409)&gt;0,
    COUNTIFS($Z$3:$Z$201,$M409)&gt;0,
    COUNTIFS($AA$3:$AA$201,$M409)&gt;0,
    COUNTIFS($AB$3:$AB$201,$M409)&gt;0,
    COUNTIFS($AC$3:$AC$201,$M409)&gt;0,
    COUNTIFS($AD$3:$AD$201,$M409)&gt;0,
    COUNTIFS($AE$3:$AE$201,$M409)&gt;0,
    COUNTIFS($AF$3:$AF$201,$M409)&gt;0,
    COUNTIFS($AG$3:$AG$201,$M409)&gt;0,
    COUNTIFS($AH$3:$AH$201,$M409)&gt;0,
    COUNTIFS($AI$3:$AI$201,$M409)&gt;0,
    COUNTIFS($AJ$3:$AJ$201,$M409)&gt;0,
    COUNTIFS($AK$3:$AK$201,$M409)&gt;0,
    COUNTIFS($AL$3:$AL$201,$M409)&gt;0,
    COUNTIFS($AM$3:$AM$201,$M409)&gt;0,
    COUNTIFS($AN$3:$AN$201,$M409)&gt;0,
    COUNTIFS($AO$3:$AO$201,$M409)&gt;0,
    COUNTIFS($AP$3:$AP$201,$M409)&gt;0,
    COUNTIFS($AQ$3:$AQ$201,$M409)&gt;0,
    COUNTIFS($AR$3:$AR$201,$M409)&gt;0,
    COUNTIFS($AS$3:$AS$201,$M409)&gt;0,
    COUNTIFS($AT$3:$AT$201,$M409)&gt;0,
    COUNTIFS($AU$3:$AU$201,$M409)&gt;0,
    COUNTIFS($AV$3:$AV$201,$M409)&gt;0,
    COUNTIFS($AW$3:$AW$201,$M409)&gt;0
   ),
  0)
 ),
"")</f>
        <v/>
      </c>
    </row>
    <row r="410" spans="14:15" x14ac:dyDescent="0.25">
      <c r="N410" s="3">
        <f t="shared" si="22"/>
        <v>0</v>
      </c>
      <c r="O410" s="3" t="str">
        <f>IFERROR(
 INDEX($T$2:$AW$2,
  MATCH(TRUE,
   CHOOSE({1;2;3;4;5;6;7;8;9;10;11;12;13;14;15;16;17;18;19;20;21;22;23;24;25;26;27;28;29;30;31;32},
    COUNTIFS($T$3:$T$201,$M410)&gt;0,
    COUNTIFS($U$3:$U$201,$M410)&gt;0,
    COUNTIFS($V$3:$V$201,$M410)&gt;0,
    COUNTIFS($W$3:$W$201,$M410)&gt;0,
    COUNTIFS($X$3:$X$201,$M410)&gt;0,
    COUNTIFS($Y$3:$Y$201,$M410)&gt;0,
    COUNTIFS($Z$3:$Z$201,$M410)&gt;0,
    COUNTIFS($AA$3:$AA$201,$M410)&gt;0,
    COUNTIFS($AB$3:$AB$201,$M410)&gt;0,
    COUNTIFS($AC$3:$AC$201,$M410)&gt;0,
    COUNTIFS($AD$3:$AD$201,$M410)&gt;0,
    COUNTIFS($AE$3:$AE$201,$M410)&gt;0,
    COUNTIFS($AF$3:$AF$201,$M410)&gt;0,
    COUNTIFS($AG$3:$AG$201,$M410)&gt;0,
    COUNTIFS($AH$3:$AH$201,$M410)&gt;0,
    COUNTIFS($AI$3:$AI$201,$M410)&gt;0,
    COUNTIFS($AJ$3:$AJ$201,$M410)&gt;0,
    COUNTIFS($AK$3:$AK$201,$M410)&gt;0,
    COUNTIFS($AL$3:$AL$201,$M410)&gt;0,
    COUNTIFS($AM$3:$AM$201,$M410)&gt;0,
    COUNTIFS($AN$3:$AN$201,$M410)&gt;0,
    COUNTIFS($AO$3:$AO$201,$M410)&gt;0,
    COUNTIFS($AP$3:$AP$201,$M410)&gt;0,
    COUNTIFS($AQ$3:$AQ$201,$M410)&gt;0,
    COUNTIFS($AR$3:$AR$201,$M410)&gt;0,
    COUNTIFS($AS$3:$AS$201,$M410)&gt;0,
    COUNTIFS($AT$3:$AT$201,$M410)&gt;0,
    COUNTIFS($AU$3:$AU$201,$M410)&gt;0,
    COUNTIFS($AV$3:$AV$201,$M410)&gt;0,
    COUNTIFS($AW$3:$AW$201,$M410)&gt;0
   ),
  0)
 ),
"")</f>
        <v/>
      </c>
    </row>
    <row r="411" spans="14:15" x14ac:dyDescent="0.25">
      <c r="N411" s="3">
        <f t="shared" si="22"/>
        <v>0</v>
      </c>
      <c r="O411" s="3" t="str">
        <f>IFERROR(
 INDEX($T$2:$AW$2,
  MATCH(TRUE,
   CHOOSE({1;2;3;4;5;6;7;8;9;10;11;12;13;14;15;16;17;18;19;20;21;22;23;24;25;26;27;28;29;30;31;32},
    COUNTIFS($T$3:$T$201,$M411)&gt;0,
    COUNTIFS($U$3:$U$201,$M411)&gt;0,
    COUNTIFS($V$3:$V$201,$M411)&gt;0,
    COUNTIFS($W$3:$W$201,$M411)&gt;0,
    COUNTIFS($X$3:$X$201,$M411)&gt;0,
    COUNTIFS($Y$3:$Y$201,$M411)&gt;0,
    COUNTIFS($Z$3:$Z$201,$M411)&gt;0,
    COUNTIFS($AA$3:$AA$201,$M411)&gt;0,
    COUNTIFS($AB$3:$AB$201,$M411)&gt;0,
    COUNTIFS($AC$3:$AC$201,$M411)&gt;0,
    COUNTIFS($AD$3:$AD$201,$M411)&gt;0,
    COUNTIFS($AE$3:$AE$201,$M411)&gt;0,
    COUNTIFS($AF$3:$AF$201,$M411)&gt;0,
    COUNTIFS($AG$3:$AG$201,$M411)&gt;0,
    COUNTIFS($AH$3:$AH$201,$M411)&gt;0,
    COUNTIFS($AI$3:$AI$201,$M411)&gt;0,
    COUNTIFS($AJ$3:$AJ$201,$M411)&gt;0,
    COUNTIFS($AK$3:$AK$201,$M411)&gt;0,
    COUNTIFS($AL$3:$AL$201,$M411)&gt;0,
    COUNTIFS($AM$3:$AM$201,$M411)&gt;0,
    COUNTIFS($AN$3:$AN$201,$M411)&gt;0,
    COUNTIFS($AO$3:$AO$201,$M411)&gt;0,
    COUNTIFS($AP$3:$AP$201,$M411)&gt;0,
    COUNTIFS($AQ$3:$AQ$201,$M411)&gt;0,
    COUNTIFS($AR$3:$AR$201,$M411)&gt;0,
    COUNTIFS($AS$3:$AS$201,$M411)&gt;0,
    COUNTIFS($AT$3:$AT$201,$M411)&gt;0,
    COUNTIFS($AU$3:$AU$201,$M411)&gt;0,
    COUNTIFS($AV$3:$AV$201,$M411)&gt;0,
    COUNTIFS($AW$3:$AW$201,$M411)&gt;0
   ),
  0)
 ),
"")</f>
        <v/>
      </c>
    </row>
    <row r="412" spans="14:15" x14ac:dyDescent="0.25">
      <c r="N412" s="3">
        <f t="shared" si="22"/>
        <v>0</v>
      </c>
      <c r="O412" s="3" t="str">
        <f>IFERROR(
 INDEX($T$2:$AW$2,
  MATCH(TRUE,
   CHOOSE({1;2;3;4;5;6;7;8;9;10;11;12;13;14;15;16;17;18;19;20;21;22;23;24;25;26;27;28;29;30;31;32},
    COUNTIFS($T$3:$T$201,$M412)&gt;0,
    COUNTIFS($U$3:$U$201,$M412)&gt;0,
    COUNTIFS($V$3:$V$201,$M412)&gt;0,
    COUNTIFS($W$3:$W$201,$M412)&gt;0,
    COUNTIFS($X$3:$X$201,$M412)&gt;0,
    COUNTIFS($Y$3:$Y$201,$M412)&gt;0,
    COUNTIFS($Z$3:$Z$201,$M412)&gt;0,
    COUNTIFS($AA$3:$AA$201,$M412)&gt;0,
    COUNTIFS($AB$3:$AB$201,$M412)&gt;0,
    COUNTIFS($AC$3:$AC$201,$M412)&gt;0,
    COUNTIFS($AD$3:$AD$201,$M412)&gt;0,
    COUNTIFS($AE$3:$AE$201,$M412)&gt;0,
    COUNTIFS($AF$3:$AF$201,$M412)&gt;0,
    COUNTIFS($AG$3:$AG$201,$M412)&gt;0,
    COUNTIFS($AH$3:$AH$201,$M412)&gt;0,
    COUNTIFS($AI$3:$AI$201,$M412)&gt;0,
    COUNTIFS($AJ$3:$AJ$201,$M412)&gt;0,
    COUNTIFS($AK$3:$AK$201,$M412)&gt;0,
    COUNTIFS($AL$3:$AL$201,$M412)&gt;0,
    COUNTIFS($AM$3:$AM$201,$M412)&gt;0,
    COUNTIFS($AN$3:$AN$201,$M412)&gt;0,
    COUNTIFS($AO$3:$AO$201,$M412)&gt;0,
    COUNTIFS($AP$3:$AP$201,$M412)&gt;0,
    COUNTIFS($AQ$3:$AQ$201,$M412)&gt;0,
    COUNTIFS($AR$3:$AR$201,$M412)&gt;0,
    COUNTIFS($AS$3:$AS$201,$M412)&gt;0,
    COUNTIFS($AT$3:$AT$201,$M412)&gt;0,
    COUNTIFS($AU$3:$AU$201,$M412)&gt;0,
    COUNTIFS($AV$3:$AV$201,$M412)&gt;0,
    COUNTIFS($AW$3:$AW$201,$M412)&gt;0
   ),
  0)
 ),
"")</f>
        <v/>
      </c>
    </row>
    <row r="413" spans="14:15" x14ac:dyDescent="0.25">
      <c r="N413" s="3">
        <f t="shared" si="22"/>
        <v>0</v>
      </c>
      <c r="O413" s="3" t="str">
        <f>IFERROR(
 INDEX($T$2:$AW$2,
  MATCH(TRUE,
   CHOOSE({1;2;3;4;5;6;7;8;9;10;11;12;13;14;15;16;17;18;19;20;21;22;23;24;25;26;27;28;29;30;31;32},
    COUNTIFS($T$3:$T$201,$M413)&gt;0,
    COUNTIFS($U$3:$U$201,$M413)&gt;0,
    COUNTIFS($V$3:$V$201,$M413)&gt;0,
    COUNTIFS($W$3:$W$201,$M413)&gt;0,
    COUNTIFS($X$3:$X$201,$M413)&gt;0,
    COUNTIFS($Y$3:$Y$201,$M413)&gt;0,
    COUNTIFS($Z$3:$Z$201,$M413)&gt;0,
    COUNTIFS($AA$3:$AA$201,$M413)&gt;0,
    COUNTIFS($AB$3:$AB$201,$M413)&gt;0,
    COUNTIFS($AC$3:$AC$201,$M413)&gt;0,
    COUNTIFS($AD$3:$AD$201,$M413)&gt;0,
    COUNTIFS($AE$3:$AE$201,$M413)&gt;0,
    COUNTIFS($AF$3:$AF$201,$M413)&gt;0,
    COUNTIFS($AG$3:$AG$201,$M413)&gt;0,
    COUNTIFS($AH$3:$AH$201,$M413)&gt;0,
    COUNTIFS($AI$3:$AI$201,$M413)&gt;0,
    COUNTIFS($AJ$3:$AJ$201,$M413)&gt;0,
    COUNTIFS($AK$3:$AK$201,$M413)&gt;0,
    COUNTIFS($AL$3:$AL$201,$M413)&gt;0,
    COUNTIFS($AM$3:$AM$201,$M413)&gt;0,
    COUNTIFS($AN$3:$AN$201,$M413)&gt;0,
    COUNTIFS($AO$3:$AO$201,$M413)&gt;0,
    COUNTIFS($AP$3:$AP$201,$M413)&gt;0,
    COUNTIFS($AQ$3:$AQ$201,$M413)&gt;0,
    COUNTIFS($AR$3:$AR$201,$M413)&gt;0,
    COUNTIFS($AS$3:$AS$201,$M413)&gt;0,
    COUNTIFS($AT$3:$AT$201,$M413)&gt;0,
    COUNTIFS($AU$3:$AU$201,$M413)&gt;0,
    COUNTIFS($AV$3:$AV$201,$M413)&gt;0,
    COUNTIFS($AW$3:$AW$201,$M413)&gt;0
   ),
  0)
 ),
"")</f>
        <v/>
      </c>
    </row>
    <row r="414" spans="14:15" x14ac:dyDescent="0.25">
      <c r="N414" s="3">
        <f t="shared" si="22"/>
        <v>0</v>
      </c>
      <c r="O414" s="3" t="str">
        <f>IFERROR(
 INDEX($T$2:$AW$2,
  MATCH(TRUE,
   CHOOSE({1;2;3;4;5;6;7;8;9;10;11;12;13;14;15;16;17;18;19;20;21;22;23;24;25;26;27;28;29;30;31;32},
    COUNTIFS($T$3:$T$201,$M414)&gt;0,
    COUNTIFS($U$3:$U$201,$M414)&gt;0,
    COUNTIFS($V$3:$V$201,$M414)&gt;0,
    COUNTIFS($W$3:$W$201,$M414)&gt;0,
    COUNTIFS($X$3:$X$201,$M414)&gt;0,
    COUNTIFS($Y$3:$Y$201,$M414)&gt;0,
    COUNTIFS($Z$3:$Z$201,$M414)&gt;0,
    COUNTIFS($AA$3:$AA$201,$M414)&gt;0,
    COUNTIFS($AB$3:$AB$201,$M414)&gt;0,
    COUNTIFS($AC$3:$AC$201,$M414)&gt;0,
    COUNTIFS($AD$3:$AD$201,$M414)&gt;0,
    COUNTIFS($AE$3:$AE$201,$M414)&gt;0,
    COUNTIFS($AF$3:$AF$201,$M414)&gt;0,
    COUNTIFS($AG$3:$AG$201,$M414)&gt;0,
    COUNTIFS($AH$3:$AH$201,$M414)&gt;0,
    COUNTIFS($AI$3:$AI$201,$M414)&gt;0,
    COUNTIFS($AJ$3:$AJ$201,$M414)&gt;0,
    COUNTIFS($AK$3:$AK$201,$M414)&gt;0,
    COUNTIFS($AL$3:$AL$201,$M414)&gt;0,
    COUNTIFS($AM$3:$AM$201,$M414)&gt;0,
    COUNTIFS($AN$3:$AN$201,$M414)&gt;0,
    COUNTIFS($AO$3:$AO$201,$M414)&gt;0,
    COUNTIFS($AP$3:$AP$201,$M414)&gt;0,
    COUNTIFS($AQ$3:$AQ$201,$M414)&gt;0,
    COUNTIFS($AR$3:$AR$201,$M414)&gt;0,
    COUNTIFS($AS$3:$AS$201,$M414)&gt;0,
    COUNTIFS($AT$3:$AT$201,$M414)&gt;0,
    COUNTIFS($AU$3:$AU$201,$M414)&gt;0,
    COUNTIFS($AV$3:$AV$201,$M414)&gt;0,
    COUNTIFS($AW$3:$AW$201,$M414)&gt;0
   ),
  0)
 ),
"")</f>
        <v/>
      </c>
    </row>
    <row r="415" spans="14:15" x14ac:dyDescent="0.25">
      <c r="N415" s="3">
        <f t="shared" si="22"/>
        <v>0</v>
      </c>
      <c r="O415" s="3" t="str">
        <f>IFERROR(
 INDEX($T$2:$AW$2,
  MATCH(TRUE,
   CHOOSE({1;2;3;4;5;6;7;8;9;10;11;12;13;14;15;16;17;18;19;20;21;22;23;24;25;26;27;28;29;30;31;32},
    COUNTIFS($T$3:$T$201,$M415)&gt;0,
    COUNTIFS($U$3:$U$201,$M415)&gt;0,
    COUNTIFS($V$3:$V$201,$M415)&gt;0,
    COUNTIFS($W$3:$W$201,$M415)&gt;0,
    COUNTIFS($X$3:$X$201,$M415)&gt;0,
    COUNTIFS($Y$3:$Y$201,$M415)&gt;0,
    COUNTIFS($Z$3:$Z$201,$M415)&gt;0,
    COUNTIFS($AA$3:$AA$201,$M415)&gt;0,
    COUNTIFS($AB$3:$AB$201,$M415)&gt;0,
    COUNTIFS($AC$3:$AC$201,$M415)&gt;0,
    COUNTIFS($AD$3:$AD$201,$M415)&gt;0,
    COUNTIFS($AE$3:$AE$201,$M415)&gt;0,
    COUNTIFS($AF$3:$AF$201,$M415)&gt;0,
    COUNTIFS($AG$3:$AG$201,$M415)&gt;0,
    COUNTIFS($AH$3:$AH$201,$M415)&gt;0,
    COUNTIFS($AI$3:$AI$201,$M415)&gt;0,
    COUNTIFS($AJ$3:$AJ$201,$M415)&gt;0,
    COUNTIFS($AK$3:$AK$201,$M415)&gt;0,
    COUNTIFS($AL$3:$AL$201,$M415)&gt;0,
    COUNTIFS($AM$3:$AM$201,$M415)&gt;0,
    COUNTIFS($AN$3:$AN$201,$M415)&gt;0,
    COUNTIFS($AO$3:$AO$201,$M415)&gt;0,
    COUNTIFS($AP$3:$AP$201,$M415)&gt;0,
    COUNTIFS($AQ$3:$AQ$201,$M415)&gt;0,
    COUNTIFS($AR$3:$AR$201,$M415)&gt;0,
    COUNTIFS($AS$3:$AS$201,$M415)&gt;0,
    COUNTIFS($AT$3:$AT$201,$M415)&gt;0,
    COUNTIFS($AU$3:$AU$201,$M415)&gt;0,
    COUNTIFS($AV$3:$AV$201,$M415)&gt;0,
    COUNTIFS($AW$3:$AW$201,$M415)&gt;0
   ),
  0)
 ),
"")</f>
        <v/>
      </c>
    </row>
    <row r="416" spans="14:15" x14ac:dyDescent="0.25">
      <c r="N416" s="3">
        <f t="shared" si="22"/>
        <v>0</v>
      </c>
      <c r="O416" s="3" t="str">
        <f>IFERROR(
 INDEX($T$2:$AW$2,
  MATCH(TRUE,
   CHOOSE({1;2;3;4;5;6;7;8;9;10;11;12;13;14;15;16;17;18;19;20;21;22;23;24;25;26;27;28;29;30;31;32},
    COUNTIFS($T$3:$T$201,$M416)&gt;0,
    COUNTIFS($U$3:$U$201,$M416)&gt;0,
    COUNTIFS($V$3:$V$201,$M416)&gt;0,
    COUNTIFS($W$3:$W$201,$M416)&gt;0,
    COUNTIFS($X$3:$X$201,$M416)&gt;0,
    COUNTIFS($Y$3:$Y$201,$M416)&gt;0,
    COUNTIFS($Z$3:$Z$201,$M416)&gt;0,
    COUNTIFS($AA$3:$AA$201,$M416)&gt;0,
    COUNTIFS($AB$3:$AB$201,$M416)&gt;0,
    COUNTIFS($AC$3:$AC$201,$M416)&gt;0,
    COUNTIFS($AD$3:$AD$201,$M416)&gt;0,
    COUNTIFS($AE$3:$AE$201,$M416)&gt;0,
    COUNTIFS($AF$3:$AF$201,$M416)&gt;0,
    COUNTIFS($AG$3:$AG$201,$M416)&gt;0,
    COUNTIFS($AH$3:$AH$201,$M416)&gt;0,
    COUNTIFS($AI$3:$AI$201,$M416)&gt;0,
    COUNTIFS($AJ$3:$AJ$201,$M416)&gt;0,
    COUNTIFS($AK$3:$AK$201,$M416)&gt;0,
    COUNTIFS($AL$3:$AL$201,$M416)&gt;0,
    COUNTIFS($AM$3:$AM$201,$M416)&gt;0,
    COUNTIFS($AN$3:$AN$201,$M416)&gt;0,
    COUNTIFS($AO$3:$AO$201,$M416)&gt;0,
    COUNTIFS($AP$3:$AP$201,$M416)&gt;0,
    COUNTIFS($AQ$3:$AQ$201,$M416)&gt;0,
    COUNTIFS($AR$3:$AR$201,$M416)&gt;0,
    COUNTIFS($AS$3:$AS$201,$M416)&gt;0,
    COUNTIFS($AT$3:$AT$201,$M416)&gt;0,
    COUNTIFS($AU$3:$AU$201,$M416)&gt;0,
    COUNTIFS($AV$3:$AV$201,$M416)&gt;0,
    COUNTIFS($AW$3:$AW$201,$M416)&gt;0
   ),
  0)
 ),
"")</f>
        <v/>
      </c>
    </row>
    <row r="417" spans="14:15" x14ac:dyDescent="0.25">
      <c r="N417" s="3">
        <f t="shared" si="22"/>
        <v>0</v>
      </c>
      <c r="O417" s="3" t="str">
        <f>IFERROR(
 INDEX($T$2:$AW$2,
  MATCH(TRUE,
   CHOOSE({1;2;3;4;5;6;7;8;9;10;11;12;13;14;15;16;17;18;19;20;21;22;23;24;25;26;27;28;29;30;31;32},
    COUNTIFS($T$3:$T$201,$M417)&gt;0,
    COUNTIFS($U$3:$U$201,$M417)&gt;0,
    COUNTIFS($V$3:$V$201,$M417)&gt;0,
    COUNTIFS($W$3:$W$201,$M417)&gt;0,
    COUNTIFS($X$3:$X$201,$M417)&gt;0,
    COUNTIFS($Y$3:$Y$201,$M417)&gt;0,
    COUNTIFS($Z$3:$Z$201,$M417)&gt;0,
    COUNTIFS($AA$3:$AA$201,$M417)&gt;0,
    COUNTIFS($AB$3:$AB$201,$M417)&gt;0,
    COUNTIFS($AC$3:$AC$201,$M417)&gt;0,
    COUNTIFS($AD$3:$AD$201,$M417)&gt;0,
    COUNTIFS($AE$3:$AE$201,$M417)&gt;0,
    COUNTIFS($AF$3:$AF$201,$M417)&gt;0,
    COUNTIFS($AG$3:$AG$201,$M417)&gt;0,
    COUNTIFS($AH$3:$AH$201,$M417)&gt;0,
    COUNTIFS($AI$3:$AI$201,$M417)&gt;0,
    COUNTIFS($AJ$3:$AJ$201,$M417)&gt;0,
    COUNTIFS($AK$3:$AK$201,$M417)&gt;0,
    COUNTIFS($AL$3:$AL$201,$M417)&gt;0,
    COUNTIFS($AM$3:$AM$201,$M417)&gt;0,
    COUNTIFS($AN$3:$AN$201,$M417)&gt;0,
    COUNTIFS($AO$3:$AO$201,$M417)&gt;0,
    COUNTIFS($AP$3:$AP$201,$M417)&gt;0,
    COUNTIFS($AQ$3:$AQ$201,$M417)&gt;0,
    COUNTIFS($AR$3:$AR$201,$M417)&gt;0,
    COUNTIFS($AS$3:$AS$201,$M417)&gt;0,
    COUNTIFS($AT$3:$AT$201,$M417)&gt;0,
    COUNTIFS($AU$3:$AU$201,$M417)&gt;0,
    COUNTIFS($AV$3:$AV$201,$M417)&gt;0,
    COUNTIFS($AW$3:$AW$201,$M417)&gt;0
   ),
  0)
 ),
"")</f>
        <v/>
      </c>
    </row>
    <row r="418" spans="14:15" x14ac:dyDescent="0.25">
      <c r="N418" s="3">
        <f t="shared" si="22"/>
        <v>0</v>
      </c>
      <c r="O418" s="3" t="str">
        <f>IFERROR(
 INDEX($T$2:$AW$2,
  MATCH(TRUE,
   CHOOSE({1;2;3;4;5;6;7;8;9;10;11;12;13;14;15;16;17;18;19;20;21;22;23;24;25;26;27;28;29;30;31;32},
    COUNTIFS($T$3:$T$201,$M418)&gt;0,
    COUNTIFS($U$3:$U$201,$M418)&gt;0,
    COUNTIFS($V$3:$V$201,$M418)&gt;0,
    COUNTIFS($W$3:$W$201,$M418)&gt;0,
    COUNTIFS($X$3:$X$201,$M418)&gt;0,
    COUNTIFS($Y$3:$Y$201,$M418)&gt;0,
    COUNTIFS($Z$3:$Z$201,$M418)&gt;0,
    COUNTIFS($AA$3:$AA$201,$M418)&gt;0,
    COUNTIFS($AB$3:$AB$201,$M418)&gt;0,
    COUNTIFS($AC$3:$AC$201,$M418)&gt;0,
    COUNTIFS($AD$3:$AD$201,$M418)&gt;0,
    COUNTIFS($AE$3:$AE$201,$M418)&gt;0,
    COUNTIFS($AF$3:$AF$201,$M418)&gt;0,
    COUNTIFS($AG$3:$AG$201,$M418)&gt;0,
    COUNTIFS($AH$3:$AH$201,$M418)&gt;0,
    COUNTIFS($AI$3:$AI$201,$M418)&gt;0,
    COUNTIFS($AJ$3:$AJ$201,$M418)&gt;0,
    COUNTIFS($AK$3:$AK$201,$M418)&gt;0,
    COUNTIFS($AL$3:$AL$201,$M418)&gt;0,
    COUNTIFS($AM$3:$AM$201,$M418)&gt;0,
    COUNTIFS($AN$3:$AN$201,$M418)&gt;0,
    COUNTIFS($AO$3:$AO$201,$M418)&gt;0,
    COUNTIFS($AP$3:$AP$201,$M418)&gt;0,
    COUNTIFS($AQ$3:$AQ$201,$M418)&gt;0,
    COUNTIFS($AR$3:$AR$201,$M418)&gt;0,
    COUNTIFS($AS$3:$AS$201,$M418)&gt;0,
    COUNTIFS($AT$3:$AT$201,$M418)&gt;0,
    COUNTIFS($AU$3:$AU$201,$M418)&gt;0,
    COUNTIFS($AV$3:$AV$201,$M418)&gt;0,
    COUNTIFS($AW$3:$AW$201,$M418)&gt;0
   ),
  0)
 ),
"")</f>
        <v/>
      </c>
    </row>
    <row r="419" spans="14:15" x14ac:dyDescent="0.25">
      <c r="N419" s="3">
        <f t="shared" si="22"/>
        <v>0</v>
      </c>
      <c r="O419" s="3" t="str">
        <f>IFERROR(
 INDEX($T$2:$AW$2,
  MATCH(TRUE,
   CHOOSE({1;2;3;4;5;6;7;8;9;10;11;12;13;14;15;16;17;18;19;20;21;22;23;24;25;26;27;28;29;30;31;32},
    COUNTIFS($T$3:$T$201,$M419)&gt;0,
    COUNTIFS($U$3:$U$201,$M419)&gt;0,
    COUNTIFS($V$3:$V$201,$M419)&gt;0,
    COUNTIFS($W$3:$W$201,$M419)&gt;0,
    COUNTIFS($X$3:$X$201,$M419)&gt;0,
    COUNTIFS($Y$3:$Y$201,$M419)&gt;0,
    COUNTIFS($Z$3:$Z$201,$M419)&gt;0,
    COUNTIFS($AA$3:$AA$201,$M419)&gt;0,
    COUNTIFS($AB$3:$AB$201,$M419)&gt;0,
    COUNTIFS($AC$3:$AC$201,$M419)&gt;0,
    COUNTIFS($AD$3:$AD$201,$M419)&gt;0,
    COUNTIFS($AE$3:$AE$201,$M419)&gt;0,
    COUNTIFS($AF$3:$AF$201,$M419)&gt;0,
    COUNTIFS($AG$3:$AG$201,$M419)&gt;0,
    COUNTIFS($AH$3:$AH$201,$M419)&gt;0,
    COUNTIFS($AI$3:$AI$201,$M419)&gt;0,
    COUNTIFS($AJ$3:$AJ$201,$M419)&gt;0,
    COUNTIFS($AK$3:$AK$201,$M419)&gt;0,
    COUNTIFS($AL$3:$AL$201,$M419)&gt;0,
    COUNTIFS($AM$3:$AM$201,$M419)&gt;0,
    COUNTIFS($AN$3:$AN$201,$M419)&gt;0,
    COUNTIFS($AO$3:$AO$201,$M419)&gt;0,
    COUNTIFS($AP$3:$AP$201,$M419)&gt;0,
    COUNTIFS($AQ$3:$AQ$201,$M419)&gt;0,
    COUNTIFS($AR$3:$AR$201,$M419)&gt;0,
    COUNTIFS($AS$3:$AS$201,$M419)&gt;0,
    COUNTIFS($AT$3:$AT$201,$M419)&gt;0,
    COUNTIFS($AU$3:$AU$201,$M419)&gt;0,
    COUNTIFS($AV$3:$AV$201,$M419)&gt;0,
    COUNTIFS($AW$3:$AW$201,$M419)&gt;0
   ),
  0)
 ),
"")</f>
        <v/>
      </c>
    </row>
    <row r="420" spans="14:15" x14ac:dyDescent="0.25">
      <c r="N420" s="3">
        <f t="shared" si="22"/>
        <v>0</v>
      </c>
      <c r="O420" s="3" t="str">
        <f>IFERROR(
 INDEX($T$2:$AW$2,
  MATCH(TRUE,
   CHOOSE({1;2;3;4;5;6;7;8;9;10;11;12;13;14;15;16;17;18;19;20;21;22;23;24;25;26;27;28;29;30;31;32},
    COUNTIFS($T$3:$T$201,$M420)&gt;0,
    COUNTIFS($U$3:$U$201,$M420)&gt;0,
    COUNTIFS($V$3:$V$201,$M420)&gt;0,
    COUNTIFS($W$3:$W$201,$M420)&gt;0,
    COUNTIFS($X$3:$X$201,$M420)&gt;0,
    COUNTIFS($Y$3:$Y$201,$M420)&gt;0,
    COUNTIFS($Z$3:$Z$201,$M420)&gt;0,
    COUNTIFS($AA$3:$AA$201,$M420)&gt;0,
    COUNTIFS($AB$3:$AB$201,$M420)&gt;0,
    COUNTIFS($AC$3:$AC$201,$M420)&gt;0,
    COUNTIFS($AD$3:$AD$201,$M420)&gt;0,
    COUNTIFS($AE$3:$AE$201,$M420)&gt;0,
    COUNTIFS($AF$3:$AF$201,$M420)&gt;0,
    COUNTIFS($AG$3:$AG$201,$M420)&gt;0,
    COUNTIFS($AH$3:$AH$201,$M420)&gt;0,
    COUNTIFS($AI$3:$AI$201,$M420)&gt;0,
    COUNTIFS($AJ$3:$AJ$201,$M420)&gt;0,
    COUNTIFS($AK$3:$AK$201,$M420)&gt;0,
    COUNTIFS($AL$3:$AL$201,$M420)&gt;0,
    COUNTIFS($AM$3:$AM$201,$M420)&gt;0,
    COUNTIFS($AN$3:$AN$201,$M420)&gt;0,
    COUNTIFS($AO$3:$AO$201,$M420)&gt;0,
    COUNTIFS($AP$3:$AP$201,$M420)&gt;0,
    COUNTIFS($AQ$3:$AQ$201,$M420)&gt;0,
    COUNTIFS($AR$3:$AR$201,$M420)&gt;0,
    COUNTIFS($AS$3:$AS$201,$M420)&gt;0,
    COUNTIFS($AT$3:$AT$201,$M420)&gt;0,
    COUNTIFS($AU$3:$AU$201,$M420)&gt;0,
    COUNTIFS($AV$3:$AV$201,$M420)&gt;0,
    COUNTIFS($AW$3:$AW$201,$M420)&gt;0
   ),
  0)
 ),
"")</f>
        <v/>
      </c>
    </row>
    <row r="421" spans="14:15" x14ac:dyDescent="0.25">
      <c r="N421" s="3">
        <f t="shared" si="22"/>
        <v>0</v>
      </c>
      <c r="O421" s="3" t="str">
        <f>IFERROR(
 INDEX($T$2:$AW$2,
  MATCH(TRUE,
   CHOOSE({1;2;3;4;5;6;7;8;9;10;11;12;13;14;15;16;17;18;19;20;21;22;23;24;25;26;27;28;29;30;31;32},
    COUNTIFS($T$3:$T$201,$M421)&gt;0,
    COUNTIFS($U$3:$U$201,$M421)&gt;0,
    COUNTIFS($V$3:$V$201,$M421)&gt;0,
    COUNTIFS($W$3:$W$201,$M421)&gt;0,
    COUNTIFS($X$3:$X$201,$M421)&gt;0,
    COUNTIFS($Y$3:$Y$201,$M421)&gt;0,
    COUNTIFS($Z$3:$Z$201,$M421)&gt;0,
    COUNTIFS($AA$3:$AA$201,$M421)&gt;0,
    COUNTIFS($AB$3:$AB$201,$M421)&gt;0,
    COUNTIFS($AC$3:$AC$201,$M421)&gt;0,
    COUNTIFS($AD$3:$AD$201,$M421)&gt;0,
    COUNTIFS($AE$3:$AE$201,$M421)&gt;0,
    COUNTIFS($AF$3:$AF$201,$M421)&gt;0,
    COUNTIFS($AG$3:$AG$201,$M421)&gt;0,
    COUNTIFS($AH$3:$AH$201,$M421)&gt;0,
    COUNTIFS($AI$3:$AI$201,$M421)&gt;0,
    COUNTIFS($AJ$3:$AJ$201,$M421)&gt;0,
    COUNTIFS($AK$3:$AK$201,$M421)&gt;0,
    COUNTIFS($AL$3:$AL$201,$M421)&gt;0,
    COUNTIFS($AM$3:$AM$201,$M421)&gt;0,
    COUNTIFS($AN$3:$AN$201,$M421)&gt;0,
    COUNTIFS($AO$3:$AO$201,$M421)&gt;0,
    COUNTIFS($AP$3:$AP$201,$M421)&gt;0,
    COUNTIFS($AQ$3:$AQ$201,$M421)&gt;0,
    COUNTIFS($AR$3:$AR$201,$M421)&gt;0,
    COUNTIFS($AS$3:$AS$201,$M421)&gt;0,
    COUNTIFS($AT$3:$AT$201,$M421)&gt;0,
    COUNTIFS($AU$3:$AU$201,$M421)&gt;0,
    COUNTIFS($AV$3:$AV$201,$M421)&gt;0,
    COUNTIFS($AW$3:$AW$201,$M421)&gt;0
   ),
  0)
 ),
"")</f>
        <v/>
      </c>
    </row>
    <row r="422" spans="14:15" x14ac:dyDescent="0.25">
      <c r="N422" s="3">
        <f t="shared" si="22"/>
        <v>0</v>
      </c>
      <c r="O422" s="3" t="str">
        <f>IFERROR(
 INDEX($T$2:$AW$2,
  MATCH(TRUE,
   CHOOSE({1;2;3;4;5;6;7;8;9;10;11;12;13;14;15;16;17;18;19;20;21;22;23;24;25;26;27;28;29;30;31;32},
    COUNTIFS($T$3:$T$201,$M422)&gt;0,
    COUNTIFS($U$3:$U$201,$M422)&gt;0,
    COUNTIFS($V$3:$V$201,$M422)&gt;0,
    COUNTIFS($W$3:$W$201,$M422)&gt;0,
    COUNTIFS($X$3:$X$201,$M422)&gt;0,
    COUNTIFS($Y$3:$Y$201,$M422)&gt;0,
    COUNTIFS($Z$3:$Z$201,$M422)&gt;0,
    COUNTIFS($AA$3:$AA$201,$M422)&gt;0,
    COUNTIFS($AB$3:$AB$201,$M422)&gt;0,
    COUNTIFS($AC$3:$AC$201,$M422)&gt;0,
    COUNTIFS($AD$3:$AD$201,$M422)&gt;0,
    COUNTIFS($AE$3:$AE$201,$M422)&gt;0,
    COUNTIFS($AF$3:$AF$201,$M422)&gt;0,
    COUNTIFS($AG$3:$AG$201,$M422)&gt;0,
    COUNTIFS($AH$3:$AH$201,$M422)&gt;0,
    COUNTIFS($AI$3:$AI$201,$M422)&gt;0,
    COUNTIFS($AJ$3:$AJ$201,$M422)&gt;0,
    COUNTIFS($AK$3:$AK$201,$M422)&gt;0,
    COUNTIFS($AL$3:$AL$201,$M422)&gt;0,
    COUNTIFS($AM$3:$AM$201,$M422)&gt;0,
    COUNTIFS($AN$3:$AN$201,$M422)&gt;0,
    COUNTIFS($AO$3:$AO$201,$M422)&gt;0,
    COUNTIFS($AP$3:$AP$201,$M422)&gt;0,
    COUNTIFS($AQ$3:$AQ$201,$M422)&gt;0,
    COUNTIFS($AR$3:$AR$201,$M422)&gt;0,
    COUNTIFS($AS$3:$AS$201,$M422)&gt;0,
    COUNTIFS($AT$3:$AT$201,$M422)&gt;0,
    COUNTIFS($AU$3:$AU$201,$M422)&gt;0,
    COUNTIFS($AV$3:$AV$201,$M422)&gt;0,
    COUNTIFS($AW$3:$AW$201,$M422)&gt;0
   ),
  0)
 ),
"")</f>
        <v/>
      </c>
    </row>
    <row r="423" spans="14:15" x14ac:dyDescent="0.25">
      <c r="N423" s="3">
        <f t="shared" si="22"/>
        <v>0</v>
      </c>
      <c r="O423" s="3" t="str">
        <f>IFERROR(
 INDEX($T$2:$AW$2,
  MATCH(TRUE,
   CHOOSE({1;2;3;4;5;6;7;8;9;10;11;12;13;14;15;16;17;18;19;20;21;22;23;24;25;26;27;28;29;30;31;32},
    COUNTIFS($T$3:$T$201,$M423)&gt;0,
    COUNTIFS($U$3:$U$201,$M423)&gt;0,
    COUNTIFS($V$3:$V$201,$M423)&gt;0,
    COUNTIFS($W$3:$W$201,$M423)&gt;0,
    COUNTIFS($X$3:$X$201,$M423)&gt;0,
    COUNTIFS($Y$3:$Y$201,$M423)&gt;0,
    COUNTIFS($Z$3:$Z$201,$M423)&gt;0,
    COUNTIFS($AA$3:$AA$201,$M423)&gt;0,
    COUNTIFS($AB$3:$AB$201,$M423)&gt;0,
    COUNTIFS($AC$3:$AC$201,$M423)&gt;0,
    COUNTIFS($AD$3:$AD$201,$M423)&gt;0,
    COUNTIFS($AE$3:$AE$201,$M423)&gt;0,
    COUNTIFS($AF$3:$AF$201,$M423)&gt;0,
    COUNTIFS($AG$3:$AG$201,$M423)&gt;0,
    COUNTIFS($AH$3:$AH$201,$M423)&gt;0,
    COUNTIFS($AI$3:$AI$201,$M423)&gt;0,
    COUNTIFS($AJ$3:$AJ$201,$M423)&gt;0,
    COUNTIFS($AK$3:$AK$201,$M423)&gt;0,
    COUNTIFS($AL$3:$AL$201,$M423)&gt;0,
    COUNTIFS($AM$3:$AM$201,$M423)&gt;0,
    COUNTIFS($AN$3:$AN$201,$M423)&gt;0,
    COUNTIFS($AO$3:$AO$201,$M423)&gt;0,
    COUNTIFS($AP$3:$AP$201,$M423)&gt;0,
    COUNTIFS($AQ$3:$AQ$201,$M423)&gt;0,
    COUNTIFS($AR$3:$AR$201,$M423)&gt;0,
    COUNTIFS($AS$3:$AS$201,$M423)&gt;0,
    COUNTIFS($AT$3:$AT$201,$M423)&gt;0,
    COUNTIFS($AU$3:$AU$201,$M423)&gt;0,
    COUNTIFS($AV$3:$AV$201,$M423)&gt;0,
    COUNTIFS($AW$3:$AW$201,$M423)&gt;0
   ),
  0)
 ),
"")</f>
        <v/>
      </c>
    </row>
    <row r="424" spans="14:15" x14ac:dyDescent="0.25">
      <c r="N424" s="3">
        <f t="shared" si="22"/>
        <v>0</v>
      </c>
      <c r="O424" s="3" t="str">
        <f>IFERROR(
 INDEX($T$2:$AW$2,
  MATCH(TRUE,
   CHOOSE({1;2;3;4;5;6;7;8;9;10;11;12;13;14;15;16;17;18;19;20;21;22;23;24;25;26;27;28;29;30;31;32},
    COUNTIFS($T$3:$T$201,$M424)&gt;0,
    COUNTIFS($U$3:$U$201,$M424)&gt;0,
    COUNTIFS($V$3:$V$201,$M424)&gt;0,
    COUNTIFS($W$3:$W$201,$M424)&gt;0,
    COUNTIFS($X$3:$X$201,$M424)&gt;0,
    COUNTIFS($Y$3:$Y$201,$M424)&gt;0,
    COUNTIFS($Z$3:$Z$201,$M424)&gt;0,
    COUNTIFS($AA$3:$AA$201,$M424)&gt;0,
    COUNTIFS($AB$3:$AB$201,$M424)&gt;0,
    COUNTIFS($AC$3:$AC$201,$M424)&gt;0,
    COUNTIFS($AD$3:$AD$201,$M424)&gt;0,
    COUNTIFS($AE$3:$AE$201,$M424)&gt;0,
    COUNTIFS($AF$3:$AF$201,$M424)&gt;0,
    COUNTIFS($AG$3:$AG$201,$M424)&gt;0,
    COUNTIFS($AH$3:$AH$201,$M424)&gt;0,
    COUNTIFS($AI$3:$AI$201,$M424)&gt;0,
    COUNTIFS($AJ$3:$AJ$201,$M424)&gt;0,
    COUNTIFS($AK$3:$AK$201,$M424)&gt;0,
    COUNTIFS($AL$3:$AL$201,$M424)&gt;0,
    COUNTIFS($AM$3:$AM$201,$M424)&gt;0,
    COUNTIFS($AN$3:$AN$201,$M424)&gt;0,
    COUNTIFS($AO$3:$AO$201,$M424)&gt;0,
    COUNTIFS($AP$3:$AP$201,$M424)&gt;0,
    COUNTIFS($AQ$3:$AQ$201,$M424)&gt;0,
    COUNTIFS($AR$3:$AR$201,$M424)&gt;0,
    COUNTIFS($AS$3:$AS$201,$M424)&gt;0,
    COUNTIFS($AT$3:$AT$201,$M424)&gt;0,
    COUNTIFS($AU$3:$AU$201,$M424)&gt;0,
    COUNTIFS($AV$3:$AV$201,$M424)&gt;0,
    COUNTIFS($AW$3:$AW$201,$M424)&gt;0
   ),
  0)
 ),
"")</f>
        <v/>
      </c>
    </row>
    <row r="425" spans="14:15" x14ac:dyDescent="0.25">
      <c r="N425" s="3">
        <f t="shared" si="22"/>
        <v>0</v>
      </c>
      <c r="O425" s="3" t="str">
        <f>IFERROR(
 INDEX($T$2:$AW$2,
  MATCH(TRUE,
   CHOOSE({1;2;3;4;5;6;7;8;9;10;11;12;13;14;15;16;17;18;19;20;21;22;23;24;25;26;27;28;29;30;31;32},
    COUNTIFS($T$3:$T$201,$M425)&gt;0,
    COUNTIFS($U$3:$U$201,$M425)&gt;0,
    COUNTIFS($V$3:$V$201,$M425)&gt;0,
    COUNTIFS($W$3:$W$201,$M425)&gt;0,
    COUNTIFS($X$3:$X$201,$M425)&gt;0,
    COUNTIFS($Y$3:$Y$201,$M425)&gt;0,
    COUNTIFS($Z$3:$Z$201,$M425)&gt;0,
    COUNTIFS($AA$3:$AA$201,$M425)&gt;0,
    COUNTIFS($AB$3:$AB$201,$M425)&gt;0,
    COUNTIFS($AC$3:$AC$201,$M425)&gt;0,
    COUNTIFS($AD$3:$AD$201,$M425)&gt;0,
    COUNTIFS($AE$3:$AE$201,$M425)&gt;0,
    COUNTIFS($AF$3:$AF$201,$M425)&gt;0,
    COUNTIFS($AG$3:$AG$201,$M425)&gt;0,
    COUNTIFS($AH$3:$AH$201,$M425)&gt;0,
    COUNTIFS($AI$3:$AI$201,$M425)&gt;0,
    COUNTIFS($AJ$3:$AJ$201,$M425)&gt;0,
    COUNTIFS($AK$3:$AK$201,$M425)&gt;0,
    COUNTIFS($AL$3:$AL$201,$M425)&gt;0,
    COUNTIFS($AM$3:$AM$201,$M425)&gt;0,
    COUNTIFS($AN$3:$AN$201,$M425)&gt;0,
    COUNTIFS($AO$3:$AO$201,$M425)&gt;0,
    COUNTIFS($AP$3:$AP$201,$M425)&gt;0,
    COUNTIFS($AQ$3:$AQ$201,$M425)&gt;0,
    COUNTIFS($AR$3:$AR$201,$M425)&gt;0,
    COUNTIFS($AS$3:$AS$201,$M425)&gt;0,
    COUNTIFS($AT$3:$AT$201,$M425)&gt;0,
    COUNTIFS($AU$3:$AU$201,$M425)&gt;0,
    COUNTIFS($AV$3:$AV$201,$M425)&gt;0,
    COUNTIFS($AW$3:$AW$201,$M425)&gt;0
   ),
  0)
 ),
"")</f>
        <v/>
      </c>
    </row>
    <row r="426" spans="14:15" x14ac:dyDescent="0.25">
      <c r="N426" s="3">
        <f t="shared" si="22"/>
        <v>0</v>
      </c>
      <c r="O426" s="3" t="str">
        <f>IFERROR(
 INDEX($T$2:$AW$2,
  MATCH(TRUE,
   CHOOSE({1;2;3;4;5;6;7;8;9;10;11;12;13;14;15;16;17;18;19;20;21;22;23;24;25;26;27;28;29;30;31;32},
    COUNTIFS($T$3:$T$201,$M426)&gt;0,
    COUNTIFS($U$3:$U$201,$M426)&gt;0,
    COUNTIFS($V$3:$V$201,$M426)&gt;0,
    COUNTIFS($W$3:$W$201,$M426)&gt;0,
    COUNTIFS($X$3:$X$201,$M426)&gt;0,
    COUNTIFS($Y$3:$Y$201,$M426)&gt;0,
    COUNTIFS($Z$3:$Z$201,$M426)&gt;0,
    COUNTIFS($AA$3:$AA$201,$M426)&gt;0,
    COUNTIFS($AB$3:$AB$201,$M426)&gt;0,
    COUNTIFS($AC$3:$AC$201,$M426)&gt;0,
    COUNTIFS($AD$3:$AD$201,$M426)&gt;0,
    COUNTIFS($AE$3:$AE$201,$M426)&gt;0,
    COUNTIFS($AF$3:$AF$201,$M426)&gt;0,
    COUNTIFS($AG$3:$AG$201,$M426)&gt;0,
    COUNTIFS($AH$3:$AH$201,$M426)&gt;0,
    COUNTIFS($AI$3:$AI$201,$M426)&gt;0,
    COUNTIFS($AJ$3:$AJ$201,$M426)&gt;0,
    COUNTIFS($AK$3:$AK$201,$M426)&gt;0,
    COUNTIFS($AL$3:$AL$201,$M426)&gt;0,
    COUNTIFS($AM$3:$AM$201,$M426)&gt;0,
    COUNTIFS($AN$3:$AN$201,$M426)&gt;0,
    COUNTIFS($AO$3:$AO$201,$M426)&gt;0,
    COUNTIFS($AP$3:$AP$201,$M426)&gt;0,
    COUNTIFS($AQ$3:$AQ$201,$M426)&gt;0,
    COUNTIFS($AR$3:$AR$201,$M426)&gt;0,
    COUNTIFS($AS$3:$AS$201,$M426)&gt;0,
    COUNTIFS($AT$3:$AT$201,$M426)&gt;0,
    COUNTIFS($AU$3:$AU$201,$M426)&gt;0,
    COUNTIFS($AV$3:$AV$201,$M426)&gt;0,
    COUNTIFS($AW$3:$AW$201,$M426)&gt;0
   ),
  0)
 ),
"")</f>
        <v/>
      </c>
    </row>
    <row r="427" spans="14:15" x14ac:dyDescent="0.25">
      <c r="N427" s="3">
        <f t="shared" si="22"/>
        <v>0</v>
      </c>
      <c r="O427" s="3" t="str">
        <f>IFERROR(
 INDEX($T$2:$AW$2,
  MATCH(TRUE,
   CHOOSE({1;2;3;4;5;6;7;8;9;10;11;12;13;14;15;16;17;18;19;20;21;22;23;24;25;26;27;28;29;30;31;32},
    COUNTIFS($T$3:$T$201,$M427)&gt;0,
    COUNTIFS($U$3:$U$201,$M427)&gt;0,
    COUNTIFS($V$3:$V$201,$M427)&gt;0,
    COUNTIFS($W$3:$W$201,$M427)&gt;0,
    COUNTIFS($X$3:$X$201,$M427)&gt;0,
    COUNTIFS($Y$3:$Y$201,$M427)&gt;0,
    COUNTIFS($Z$3:$Z$201,$M427)&gt;0,
    COUNTIFS($AA$3:$AA$201,$M427)&gt;0,
    COUNTIFS($AB$3:$AB$201,$M427)&gt;0,
    COUNTIFS($AC$3:$AC$201,$M427)&gt;0,
    COUNTIFS($AD$3:$AD$201,$M427)&gt;0,
    COUNTIFS($AE$3:$AE$201,$M427)&gt;0,
    COUNTIFS($AF$3:$AF$201,$M427)&gt;0,
    COUNTIFS($AG$3:$AG$201,$M427)&gt;0,
    COUNTIFS($AH$3:$AH$201,$M427)&gt;0,
    COUNTIFS($AI$3:$AI$201,$M427)&gt;0,
    COUNTIFS($AJ$3:$AJ$201,$M427)&gt;0,
    COUNTIFS($AK$3:$AK$201,$M427)&gt;0,
    COUNTIFS($AL$3:$AL$201,$M427)&gt;0,
    COUNTIFS($AM$3:$AM$201,$M427)&gt;0,
    COUNTIFS($AN$3:$AN$201,$M427)&gt;0,
    COUNTIFS($AO$3:$AO$201,$M427)&gt;0,
    COUNTIFS($AP$3:$AP$201,$M427)&gt;0,
    COUNTIFS($AQ$3:$AQ$201,$M427)&gt;0,
    COUNTIFS($AR$3:$AR$201,$M427)&gt;0,
    COUNTIFS($AS$3:$AS$201,$M427)&gt;0,
    COUNTIFS($AT$3:$AT$201,$M427)&gt;0,
    COUNTIFS($AU$3:$AU$201,$M427)&gt;0,
    COUNTIFS($AV$3:$AV$201,$M427)&gt;0,
    COUNTIFS($AW$3:$AW$201,$M427)&gt;0
   ),
  0)
 ),
"")</f>
        <v/>
      </c>
    </row>
    <row r="428" spans="14:15" x14ac:dyDescent="0.25">
      <c r="N428" s="3">
        <f t="shared" si="22"/>
        <v>0</v>
      </c>
      <c r="O428" s="3" t="str">
        <f>IFERROR(
 INDEX($T$2:$AW$2,
  MATCH(TRUE,
   CHOOSE({1;2;3;4;5;6;7;8;9;10;11;12;13;14;15;16;17;18;19;20;21;22;23;24;25;26;27;28;29;30;31;32},
    COUNTIFS($T$3:$T$201,$M428)&gt;0,
    COUNTIFS($U$3:$U$201,$M428)&gt;0,
    COUNTIFS($V$3:$V$201,$M428)&gt;0,
    COUNTIFS($W$3:$W$201,$M428)&gt;0,
    COUNTIFS($X$3:$X$201,$M428)&gt;0,
    COUNTIFS($Y$3:$Y$201,$M428)&gt;0,
    COUNTIFS($Z$3:$Z$201,$M428)&gt;0,
    COUNTIFS($AA$3:$AA$201,$M428)&gt;0,
    COUNTIFS($AB$3:$AB$201,$M428)&gt;0,
    COUNTIFS($AC$3:$AC$201,$M428)&gt;0,
    COUNTIFS($AD$3:$AD$201,$M428)&gt;0,
    COUNTIFS($AE$3:$AE$201,$M428)&gt;0,
    COUNTIFS($AF$3:$AF$201,$M428)&gt;0,
    COUNTIFS($AG$3:$AG$201,$M428)&gt;0,
    COUNTIFS($AH$3:$AH$201,$M428)&gt;0,
    COUNTIFS($AI$3:$AI$201,$M428)&gt;0,
    COUNTIFS($AJ$3:$AJ$201,$M428)&gt;0,
    COUNTIFS($AK$3:$AK$201,$M428)&gt;0,
    COUNTIFS($AL$3:$AL$201,$M428)&gt;0,
    COUNTIFS($AM$3:$AM$201,$M428)&gt;0,
    COUNTIFS($AN$3:$AN$201,$M428)&gt;0,
    COUNTIFS($AO$3:$AO$201,$M428)&gt;0,
    COUNTIFS($AP$3:$AP$201,$M428)&gt;0,
    COUNTIFS($AQ$3:$AQ$201,$M428)&gt;0,
    COUNTIFS($AR$3:$AR$201,$M428)&gt;0,
    COUNTIFS($AS$3:$AS$201,$M428)&gt;0,
    COUNTIFS($AT$3:$AT$201,$M428)&gt;0,
    COUNTIFS($AU$3:$AU$201,$M428)&gt;0,
    COUNTIFS($AV$3:$AV$201,$M428)&gt;0,
    COUNTIFS($AW$3:$AW$201,$M428)&gt;0
   ),
  0)
 ),
"")</f>
        <v/>
      </c>
    </row>
    <row r="429" spans="14:15" x14ac:dyDescent="0.25">
      <c r="N429" s="3">
        <f t="shared" si="22"/>
        <v>0</v>
      </c>
      <c r="O429" s="3" t="str">
        <f>IFERROR(
 INDEX($T$2:$AW$2,
  MATCH(TRUE,
   CHOOSE({1;2;3;4;5;6;7;8;9;10;11;12;13;14;15;16;17;18;19;20;21;22;23;24;25;26;27;28;29;30;31;32},
    COUNTIFS($T$3:$T$201,$M429)&gt;0,
    COUNTIFS($U$3:$U$201,$M429)&gt;0,
    COUNTIFS($V$3:$V$201,$M429)&gt;0,
    COUNTIFS($W$3:$W$201,$M429)&gt;0,
    COUNTIFS($X$3:$X$201,$M429)&gt;0,
    COUNTIFS($Y$3:$Y$201,$M429)&gt;0,
    COUNTIFS($Z$3:$Z$201,$M429)&gt;0,
    COUNTIFS($AA$3:$AA$201,$M429)&gt;0,
    COUNTIFS($AB$3:$AB$201,$M429)&gt;0,
    COUNTIFS($AC$3:$AC$201,$M429)&gt;0,
    COUNTIFS($AD$3:$AD$201,$M429)&gt;0,
    COUNTIFS($AE$3:$AE$201,$M429)&gt;0,
    COUNTIFS($AF$3:$AF$201,$M429)&gt;0,
    COUNTIFS($AG$3:$AG$201,$M429)&gt;0,
    COUNTIFS($AH$3:$AH$201,$M429)&gt;0,
    COUNTIFS($AI$3:$AI$201,$M429)&gt;0,
    COUNTIFS($AJ$3:$AJ$201,$M429)&gt;0,
    COUNTIFS($AK$3:$AK$201,$M429)&gt;0,
    COUNTIFS($AL$3:$AL$201,$M429)&gt;0,
    COUNTIFS($AM$3:$AM$201,$M429)&gt;0,
    COUNTIFS($AN$3:$AN$201,$M429)&gt;0,
    COUNTIFS($AO$3:$AO$201,$M429)&gt;0,
    COUNTIFS($AP$3:$AP$201,$M429)&gt;0,
    COUNTIFS($AQ$3:$AQ$201,$M429)&gt;0,
    COUNTIFS($AR$3:$AR$201,$M429)&gt;0,
    COUNTIFS($AS$3:$AS$201,$M429)&gt;0,
    COUNTIFS($AT$3:$AT$201,$M429)&gt;0,
    COUNTIFS($AU$3:$AU$201,$M429)&gt;0,
    COUNTIFS($AV$3:$AV$201,$M429)&gt;0,
    COUNTIFS($AW$3:$AW$201,$M429)&gt;0
   ),
  0)
 ),
"")</f>
        <v/>
      </c>
    </row>
    <row r="430" spans="14:15" x14ac:dyDescent="0.25">
      <c r="N430" s="3">
        <f t="shared" si="22"/>
        <v>0</v>
      </c>
      <c r="O430" s="3" t="str">
        <f>IFERROR(
 INDEX($T$2:$AW$2,
  MATCH(TRUE,
   CHOOSE({1;2;3;4;5;6;7;8;9;10;11;12;13;14;15;16;17;18;19;20;21;22;23;24;25;26;27;28;29;30;31;32},
    COUNTIFS($T$3:$T$201,$M430)&gt;0,
    COUNTIFS($U$3:$U$201,$M430)&gt;0,
    COUNTIFS($V$3:$V$201,$M430)&gt;0,
    COUNTIFS($W$3:$W$201,$M430)&gt;0,
    COUNTIFS($X$3:$X$201,$M430)&gt;0,
    COUNTIFS($Y$3:$Y$201,$M430)&gt;0,
    COUNTIFS($Z$3:$Z$201,$M430)&gt;0,
    COUNTIFS($AA$3:$AA$201,$M430)&gt;0,
    COUNTIFS($AB$3:$AB$201,$M430)&gt;0,
    COUNTIFS($AC$3:$AC$201,$M430)&gt;0,
    COUNTIFS($AD$3:$AD$201,$M430)&gt;0,
    COUNTIFS($AE$3:$AE$201,$M430)&gt;0,
    COUNTIFS($AF$3:$AF$201,$M430)&gt;0,
    COUNTIFS($AG$3:$AG$201,$M430)&gt;0,
    COUNTIFS($AH$3:$AH$201,$M430)&gt;0,
    COUNTIFS($AI$3:$AI$201,$M430)&gt;0,
    COUNTIFS($AJ$3:$AJ$201,$M430)&gt;0,
    COUNTIFS($AK$3:$AK$201,$M430)&gt;0,
    COUNTIFS($AL$3:$AL$201,$M430)&gt;0,
    COUNTIFS($AM$3:$AM$201,$M430)&gt;0,
    COUNTIFS($AN$3:$AN$201,$M430)&gt;0,
    COUNTIFS($AO$3:$AO$201,$M430)&gt;0,
    COUNTIFS($AP$3:$AP$201,$M430)&gt;0,
    COUNTIFS($AQ$3:$AQ$201,$M430)&gt;0,
    COUNTIFS($AR$3:$AR$201,$M430)&gt;0,
    COUNTIFS($AS$3:$AS$201,$M430)&gt;0,
    COUNTIFS($AT$3:$AT$201,$M430)&gt;0,
    COUNTIFS($AU$3:$AU$201,$M430)&gt;0,
    COUNTIFS($AV$3:$AV$201,$M430)&gt;0,
    COUNTIFS($AW$3:$AW$201,$M430)&gt;0
   ),
  0)
 ),
"")</f>
        <v/>
      </c>
    </row>
    <row r="431" spans="14:15" x14ac:dyDescent="0.25">
      <c r="N431" s="3">
        <f t="shared" si="22"/>
        <v>0</v>
      </c>
      <c r="O431" s="3" t="str">
        <f>IFERROR(
 INDEX($T$2:$AW$2,
  MATCH(TRUE,
   CHOOSE({1;2;3;4;5;6;7;8;9;10;11;12;13;14;15;16;17;18;19;20;21;22;23;24;25;26;27;28;29;30;31;32},
    COUNTIFS($T$3:$T$201,$M431)&gt;0,
    COUNTIFS($U$3:$U$201,$M431)&gt;0,
    COUNTIFS($V$3:$V$201,$M431)&gt;0,
    COUNTIFS($W$3:$W$201,$M431)&gt;0,
    COUNTIFS($X$3:$X$201,$M431)&gt;0,
    COUNTIFS($Y$3:$Y$201,$M431)&gt;0,
    COUNTIFS($Z$3:$Z$201,$M431)&gt;0,
    COUNTIFS($AA$3:$AA$201,$M431)&gt;0,
    COUNTIFS($AB$3:$AB$201,$M431)&gt;0,
    COUNTIFS($AC$3:$AC$201,$M431)&gt;0,
    COUNTIFS($AD$3:$AD$201,$M431)&gt;0,
    COUNTIFS($AE$3:$AE$201,$M431)&gt;0,
    COUNTIFS($AF$3:$AF$201,$M431)&gt;0,
    COUNTIFS($AG$3:$AG$201,$M431)&gt;0,
    COUNTIFS($AH$3:$AH$201,$M431)&gt;0,
    COUNTIFS($AI$3:$AI$201,$M431)&gt;0,
    COUNTIFS($AJ$3:$AJ$201,$M431)&gt;0,
    COUNTIFS($AK$3:$AK$201,$M431)&gt;0,
    COUNTIFS($AL$3:$AL$201,$M431)&gt;0,
    COUNTIFS($AM$3:$AM$201,$M431)&gt;0,
    COUNTIFS($AN$3:$AN$201,$M431)&gt;0,
    COUNTIFS($AO$3:$AO$201,$M431)&gt;0,
    COUNTIFS($AP$3:$AP$201,$M431)&gt;0,
    COUNTIFS($AQ$3:$AQ$201,$M431)&gt;0,
    COUNTIFS($AR$3:$AR$201,$M431)&gt;0,
    COUNTIFS($AS$3:$AS$201,$M431)&gt;0,
    COUNTIFS($AT$3:$AT$201,$M431)&gt;0,
    COUNTIFS($AU$3:$AU$201,$M431)&gt;0,
    COUNTIFS($AV$3:$AV$201,$M431)&gt;0,
    COUNTIFS($AW$3:$AW$201,$M431)&gt;0
   ),
  0)
 ),
"")</f>
        <v/>
      </c>
    </row>
    <row r="432" spans="14:15" x14ac:dyDescent="0.25">
      <c r="N432" s="3">
        <f t="shared" si="22"/>
        <v>0</v>
      </c>
      <c r="O432" s="3" t="str">
        <f>IFERROR(
 INDEX($T$2:$AW$2,
  MATCH(TRUE,
   CHOOSE({1;2;3;4;5;6;7;8;9;10;11;12;13;14;15;16;17;18;19;20;21;22;23;24;25;26;27;28;29;30;31;32},
    COUNTIFS($T$3:$T$201,$M432)&gt;0,
    COUNTIFS($U$3:$U$201,$M432)&gt;0,
    COUNTIFS($V$3:$V$201,$M432)&gt;0,
    COUNTIFS($W$3:$W$201,$M432)&gt;0,
    COUNTIFS($X$3:$X$201,$M432)&gt;0,
    COUNTIFS($Y$3:$Y$201,$M432)&gt;0,
    COUNTIFS($Z$3:$Z$201,$M432)&gt;0,
    COUNTIFS($AA$3:$AA$201,$M432)&gt;0,
    COUNTIFS($AB$3:$AB$201,$M432)&gt;0,
    COUNTIFS($AC$3:$AC$201,$M432)&gt;0,
    COUNTIFS($AD$3:$AD$201,$M432)&gt;0,
    COUNTIFS($AE$3:$AE$201,$M432)&gt;0,
    COUNTIFS($AF$3:$AF$201,$M432)&gt;0,
    COUNTIFS($AG$3:$AG$201,$M432)&gt;0,
    COUNTIFS($AH$3:$AH$201,$M432)&gt;0,
    COUNTIFS($AI$3:$AI$201,$M432)&gt;0,
    COUNTIFS($AJ$3:$AJ$201,$M432)&gt;0,
    COUNTIFS($AK$3:$AK$201,$M432)&gt;0,
    COUNTIFS($AL$3:$AL$201,$M432)&gt;0,
    COUNTIFS($AM$3:$AM$201,$M432)&gt;0,
    COUNTIFS($AN$3:$AN$201,$M432)&gt;0,
    COUNTIFS($AO$3:$AO$201,$M432)&gt;0,
    COUNTIFS($AP$3:$AP$201,$M432)&gt;0,
    COUNTIFS($AQ$3:$AQ$201,$M432)&gt;0,
    COUNTIFS($AR$3:$AR$201,$M432)&gt;0,
    COUNTIFS($AS$3:$AS$201,$M432)&gt;0,
    COUNTIFS($AT$3:$AT$201,$M432)&gt;0,
    COUNTIFS($AU$3:$AU$201,$M432)&gt;0,
    COUNTIFS($AV$3:$AV$201,$M432)&gt;0,
    COUNTIFS($AW$3:$AW$201,$M432)&gt;0
   ),
  0)
 ),
"")</f>
        <v/>
      </c>
    </row>
    <row r="433" spans="14:15" x14ac:dyDescent="0.25">
      <c r="N433" s="3">
        <f t="shared" si="22"/>
        <v>0</v>
      </c>
      <c r="O433" s="3" t="str">
        <f>IFERROR(
 INDEX($T$2:$AW$2,
  MATCH(TRUE,
   CHOOSE({1;2;3;4;5;6;7;8;9;10;11;12;13;14;15;16;17;18;19;20;21;22;23;24;25;26;27;28;29;30;31;32},
    COUNTIFS($T$3:$T$201,$M433)&gt;0,
    COUNTIFS($U$3:$U$201,$M433)&gt;0,
    COUNTIFS($V$3:$V$201,$M433)&gt;0,
    COUNTIFS($W$3:$W$201,$M433)&gt;0,
    COUNTIFS($X$3:$X$201,$M433)&gt;0,
    COUNTIFS($Y$3:$Y$201,$M433)&gt;0,
    COUNTIFS($Z$3:$Z$201,$M433)&gt;0,
    COUNTIFS($AA$3:$AA$201,$M433)&gt;0,
    COUNTIFS($AB$3:$AB$201,$M433)&gt;0,
    COUNTIFS($AC$3:$AC$201,$M433)&gt;0,
    COUNTIFS($AD$3:$AD$201,$M433)&gt;0,
    COUNTIFS($AE$3:$AE$201,$M433)&gt;0,
    COUNTIFS($AF$3:$AF$201,$M433)&gt;0,
    COUNTIFS($AG$3:$AG$201,$M433)&gt;0,
    COUNTIFS($AH$3:$AH$201,$M433)&gt;0,
    COUNTIFS($AI$3:$AI$201,$M433)&gt;0,
    COUNTIFS($AJ$3:$AJ$201,$M433)&gt;0,
    COUNTIFS($AK$3:$AK$201,$M433)&gt;0,
    COUNTIFS($AL$3:$AL$201,$M433)&gt;0,
    COUNTIFS($AM$3:$AM$201,$M433)&gt;0,
    COUNTIFS($AN$3:$AN$201,$M433)&gt;0,
    COUNTIFS($AO$3:$AO$201,$M433)&gt;0,
    COUNTIFS($AP$3:$AP$201,$M433)&gt;0,
    COUNTIFS($AQ$3:$AQ$201,$M433)&gt;0,
    COUNTIFS($AR$3:$AR$201,$M433)&gt;0,
    COUNTIFS($AS$3:$AS$201,$M433)&gt;0,
    COUNTIFS($AT$3:$AT$201,$M433)&gt;0,
    COUNTIFS($AU$3:$AU$201,$M433)&gt;0,
    COUNTIFS($AV$3:$AV$201,$M433)&gt;0,
    COUNTIFS($AW$3:$AW$201,$M433)&gt;0
   ),
  0)
 ),
"")</f>
        <v/>
      </c>
    </row>
    <row r="434" spans="14:15" x14ac:dyDescent="0.25">
      <c r="N434" s="3">
        <f t="shared" si="22"/>
        <v>0</v>
      </c>
      <c r="O434" s="3" t="str">
        <f>IFERROR(
 INDEX($T$2:$AW$2,
  MATCH(TRUE,
   CHOOSE({1;2;3;4;5;6;7;8;9;10;11;12;13;14;15;16;17;18;19;20;21;22;23;24;25;26;27;28;29;30;31;32},
    COUNTIFS($T$3:$T$201,$M434)&gt;0,
    COUNTIFS($U$3:$U$201,$M434)&gt;0,
    COUNTIFS($V$3:$V$201,$M434)&gt;0,
    COUNTIFS($W$3:$W$201,$M434)&gt;0,
    COUNTIFS($X$3:$X$201,$M434)&gt;0,
    COUNTIFS($Y$3:$Y$201,$M434)&gt;0,
    COUNTIFS($Z$3:$Z$201,$M434)&gt;0,
    COUNTIFS($AA$3:$AA$201,$M434)&gt;0,
    COUNTIFS($AB$3:$AB$201,$M434)&gt;0,
    COUNTIFS($AC$3:$AC$201,$M434)&gt;0,
    COUNTIFS($AD$3:$AD$201,$M434)&gt;0,
    COUNTIFS($AE$3:$AE$201,$M434)&gt;0,
    COUNTIFS($AF$3:$AF$201,$M434)&gt;0,
    COUNTIFS($AG$3:$AG$201,$M434)&gt;0,
    COUNTIFS($AH$3:$AH$201,$M434)&gt;0,
    COUNTIFS($AI$3:$AI$201,$M434)&gt;0,
    COUNTIFS($AJ$3:$AJ$201,$M434)&gt;0,
    COUNTIFS($AK$3:$AK$201,$M434)&gt;0,
    COUNTIFS($AL$3:$AL$201,$M434)&gt;0,
    COUNTIFS($AM$3:$AM$201,$M434)&gt;0,
    COUNTIFS($AN$3:$AN$201,$M434)&gt;0,
    COUNTIFS($AO$3:$AO$201,$M434)&gt;0,
    COUNTIFS($AP$3:$AP$201,$M434)&gt;0,
    COUNTIFS($AQ$3:$AQ$201,$M434)&gt;0,
    COUNTIFS($AR$3:$AR$201,$M434)&gt;0,
    COUNTIFS($AS$3:$AS$201,$M434)&gt;0,
    COUNTIFS($AT$3:$AT$201,$M434)&gt;0,
    COUNTIFS($AU$3:$AU$201,$M434)&gt;0,
    COUNTIFS($AV$3:$AV$201,$M434)&gt;0,
    COUNTIFS($AW$3:$AW$201,$M434)&gt;0
   ),
  0)
 ),
"")</f>
        <v/>
      </c>
    </row>
    <row r="435" spans="14:15" x14ac:dyDescent="0.25">
      <c r="N435" s="3">
        <f t="shared" si="22"/>
        <v>0</v>
      </c>
      <c r="O435" s="3" t="str">
        <f>IFERROR(
 INDEX($T$2:$AW$2,
  MATCH(TRUE,
   CHOOSE({1;2;3;4;5;6;7;8;9;10;11;12;13;14;15;16;17;18;19;20;21;22;23;24;25;26;27;28;29;30;31;32},
    COUNTIFS($T$3:$T$201,$M435)&gt;0,
    COUNTIFS($U$3:$U$201,$M435)&gt;0,
    COUNTIFS($V$3:$V$201,$M435)&gt;0,
    COUNTIFS($W$3:$W$201,$M435)&gt;0,
    COUNTIFS($X$3:$X$201,$M435)&gt;0,
    COUNTIFS($Y$3:$Y$201,$M435)&gt;0,
    COUNTIFS($Z$3:$Z$201,$M435)&gt;0,
    COUNTIFS($AA$3:$AA$201,$M435)&gt;0,
    COUNTIFS($AB$3:$AB$201,$M435)&gt;0,
    COUNTIFS($AC$3:$AC$201,$M435)&gt;0,
    COUNTIFS($AD$3:$AD$201,$M435)&gt;0,
    COUNTIFS($AE$3:$AE$201,$M435)&gt;0,
    COUNTIFS($AF$3:$AF$201,$M435)&gt;0,
    COUNTIFS($AG$3:$AG$201,$M435)&gt;0,
    COUNTIFS($AH$3:$AH$201,$M435)&gt;0,
    COUNTIFS($AI$3:$AI$201,$M435)&gt;0,
    COUNTIFS($AJ$3:$AJ$201,$M435)&gt;0,
    COUNTIFS($AK$3:$AK$201,$M435)&gt;0,
    COUNTIFS($AL$3:$AL$201,$M435)&gt;0,
    COUNTIFS($AM$3:$AM$201,$M435)&gt;0,
    COUNTIFS($AN$3:$AN$201,$M435)&gt;0,
    COUNTIFS($AO$3:$AO$201,$M435)&gt;0,
    COUNTIFS($AP$3:$AP$201,$M435)&gt;0,
    COUNTIFS($AQ$3:$AQ$201,$M435)&gt;0,
    COUNTIFS($AR$3:$AR$201,$M435)&gt;0,
    COUNTIFS($AS$3:$AS$201,$M435)&gt;0,
    COUNTIFS($AT$3:$AT$201,$M435)&gt;0,
    COUNTIFS($AU$3:$AU$201,$M435)&gt;0,
    COUNTIFS($AV$3:$AV$201,$M435)&gt;0,
    COUNTIFS($AW$3:$AW$201,$M435)&gt;0
   ),
  0)
 ),
"")</f>
        <v/>
      </c>
    </row>
    <row r="436" spans="14:15" x14ac:dyDescent="0.25">
      <c r="N436" s="3">
        <f t="shared" si="22"/>
        <v>0</v>
      </c>
      <c r="O436" s="3" t="str">
        <f>IFERROR(
 INDEX($T$2:$AW$2,
  MATCH(TRUE,
   CHOOSE({1;2;3;4;5;6;7;8;9;10;11;12;13;14;15;16;17;18;19;20;21;22;23;24;25;26;27;28;29;30;31;32},
    COUNTIFS($T$3:$T$201,$M436)&gt;0,
    COUNTIFS($U$3:$U$201,$M436)&gt;0,
    COUNTIFS($V$3:$V$201,$M436)&gt;0,
    COUNTIFS($W$3:$W$201,$M436)&gt;0,
    COUNTIFS($X$3:$X$201,$M436)&gt;0,
    COUNTIFS($Y$3:$Y$201,$M436)&gt;0,
    COUNTIFS($Z$3:$Z$201,$M436)&gt;0,
    COUNTIFS($AA$3:$AA$201,$M436)&gt;0,
    COUNTIFS($AB$3:$AB$201,$M436)&gt;0,
    COUNTIFS($AC$3:$AC$201,$M436)&gt;0,
    COUNTIFS($AD$3:$AD$201,$M436)&gt;0,
    COUNTIFS($AE$3:$AE$201,$M436)&gt;0,
    COUNTIFS($AF$3:$AF$201,$M436)&gt;0,
    COUNTIFS($AG$3:$AG$201,$M436)&gt;0,
    COUNTIFS($AH$3:$AH$201,$M436)&gt;0,
    COUNTIFS($AI$3:$AI$201,$M436)&gt;0,
    COUNTIFS($AJ$3:$AJ$201,$M436)&gt;0,
    COUNTIFS($AK$3:$AK$201,$M436)&gt;0,
    COUNTIFS($AL$3:$AL$201,$M436)&gt;0,
    COUNTIFS($AM$3:$AM$201,$M436)&gt;0,
    COUNTIFS($AN$3:$AN$201,$M436)&gt;0,
    COUNTIFS($AO$3:$AO$201,$M436)&gt;0,
    COUNTIFS($AP$3:$AP$201,$M436)&gt;0,
    COUNTIFS($AQ$3:$AQ$201,$M436)&gt;0,
    COUNTIFS($AR$3:$AR$201,$M436)&gt;0,
    COUNTIFS($AS$3:$AS$201,$M436)&gt;0,
    COUNTIFS($AT$3:$AT$201,$M436)&gt;0,
    COUNTIFS($AU$3:$AU$201,$M436)&gt;0,
    COUNTIFS($AV$3:$AV$201,$M436)&gt;0,
    COUNTIFS($AW$3:$AW$201,$M436)&gt;0
   ),
  0)
 ),
"")</f>
        <v/>
      </c>
    </row>
    <row r="437" spans="14:15" x14ac:dyDescent="0.25">
      <c r="N437" s="3">
        <f t="shared" si="22"/>
        <v>0</v>
      </c>
      <c r="O437" s="3" t="str">
        <f>IFERROR(
 INDEX($T$2:$AW$2,
  MATCH(TRUE,
   CHOOSE({1;2;3;4;5;6;7;8;9;10;11;12;13;14;15;16;17;18;19;20;21;22;23;24;25;26;27;28;29;30;31;32},
    COUNTIFS($T$3:$T$201,$M437)&gt;0,
    COUNTIFS($U$3:$U$201,$M437)&gt;0,
    COUNTIFS($V$3:$V$201,$M437)&gt;0,
    COUNTIFS($W$3:$W$201,$M437)&gt;0,
    COUNTIFS($X$3:$X$201,$M437)&gt;0,
    COUNTIFS($Y$3:$Y$201,$M437)&gt;0,
    COUNTIFS($Z$3:$Z$201,$M437)&gt;0,
    COUNTIFS($AA$3:$AA$201,$M437)&gt;0,
    COUNTIFS($AB$3:$AB$201,$M437)&gt;0,
    COUNTIFS($AC$3:$AC$201,$M437)&gt;0,
    COUNTIFS($AD$3:$AD$201,$M437)&gt;0,
    COUNTIFS($AE$3:$AE$201,$M437)&gt;0,
    COUNTIFS($AF$3:$AF$201,$M437)&gt;0,
    COUNTIFS($AG$3:$AG$201,$M437)&gt;0,
    COUNTIFS($AH$3:$AH$201,$M437)&gt;0,
    COUNTIFS($AI$3:$AI$201,$M437)&gt;0,
    COUNTIFS($AJ$3:$AJ$201,$M437)&gt;0,
    COUNTIFS($AK$3:$AK$201,$M437)&gt;0,
    COUNTIFS($AL$3:$AL$201,$M437)&gt;0,
    COUNTIFS($AM$3:$AM$201,$M437)&gt;0,
    COUNTIFS($AN$3:$AN$201,$M437)&gt;0,
    COUNTIFS($AO$3:$AO$201,$M437)&gt;0,
    COUNTIFS($AP$3:$AP$201,$M437)&gt;0,
    COUNTIFS($AQ$3:$AQ$201,$M437)&gt;0,
    COUNTIFS($AR$3:$AR$201,$M437)&gt;0,
    COUNTIFS($AS$3:$AS$201,$M437)&gt;0,
    COUNTIFS($AT$3:$AT$201,$M437)&gt;0,
    COUNTIFS($AU$3:$AU$201,$M437)&gt;0,
    COUNTIFS($AV$3:$AV$201,$M437)&gt;0,
    COUNTIFS($AW$3:$AW$201,$M437)&gt;0
   ),
  0)
 ),
"")</f>
        <v/>
      </c>
    </row>
    <row r="438" spans="14:15" x14ac:dyDescent="0.25">
      <c r="N438" s="3">
        <f t="shared" si="22"/>
        <v>0</v>
      </c>
      <c r="O438" s="3" t="str">
        <f>IFERROR(
 INDEX($T$2:$AW$2,
  MATCH(TRUE,
   CHOOSE({1;2;3;4;5;6;7;8;9;10;11;12;13;14;15;16;17;18;19;20;21;22;23;24;25;26;27;28;29;30;31;32},
    COUNTIFS($T$3:$T$201,$M438)&gt;0,
    COUNTIFS($U$3:$U$201,$M438)&gt;0,
    COUNTIFS($V$3:$V$201,$M438)&gt;0,
    COUNTIFS($W$3:$W$201,$M438)&gt;0,
    COUNTIFS($X$3:$X$201,$M438)&gt;0,
    COUNTIFS($Y$3:$Y$201,$M438)&gt;0,
    COUNTIFS($Z$3:$Z$201,$M438)&gt;0,
    COUNTIFS($AA$3:$AA$201,$M438)&gt;0,
    COUNTIFS($AB$3:$AB$201,$M438)&gt;0,
    COUNTIFS($AC$3:$AC$201,$M438)&gt;0,
    COUNTIFS($AD$3:$AD$201,$M438)&gt;0,
    COUNTIFS($AE$3:$AE$201,$M438)&gt;0,
    COUNTIFS($AF$3:$AF$201,$M438)&gt;0,
    COUNTIFS($AG$3:$AG$201,$M438)&gt;0,
    COUNTIFS($AH$3:$AH$201,$M438)&gt;0,
    COUNTIFS($AI$3:$AI$201,$M438)&gt;0,
    COUNTIFS($AJ$3:$AJ$201,$M438)&gt;0,
    COUNTIFS($AK$3:$AK$201,$M438)&gt;0,
    COUNTIFS($AL$3:$AL$201,$M438)&gt;0,
    COUNTIFS($AM$3:$AM$201,$M438)&gt;0,
    COUNTIFS($AN$3:$AN$201,$M438)&gt;0,
    COUNTIFS($AO$3:$AO$201,$M438)&gt;0,
    COUNTIFS($AP$3:$AP$201,$M438)&gt;0,
    COUNTIFS($AQ$3:$AQ$201,$M438)&gt;0,
    COUNTIFS($AR$3:$AR$201,$M438)&gt;0,
    COUNTIFS($AS$3:$AS$201,$M438)&gt;0,
    COUNTIFS($AT$3:$AT$201,$M438)&gt;0,
    COUNTIFS($AU$3:$AU$201,$M438)&gt;0,
    COUNTIFS($AV$3:$AV$201,$M438)&gt;0,
    COUNTIFS($AW$3:$AW$201,$M438)&gt;0
   ),
  0)
 ),
"")</f>
        <v/>
      </c>
    </row>
    <row r="439" spans="14:15" x14ac:dyDescent="0.25">
      <c r="N439" s="3">
        <f t="shared" si="22"/>
        <v>0</v>
      </c>
      <c r="O439" s="3" t="str">
        <f>IFERROR(
 INDEX($T$2:$AW$2,
  MATCH(TRUE,
   CHOOSE({1;2;3;4;5;6;7;8;9;10;11;12;13;14;15;16;17;18;19;20;21;22;23;24;25;26;27;28;29;30;31;32},
    COUNTIFS($T$3:$T$201,$M439)&gt;0,
    COUNTIFS($U$3:$U$201,$M439)&gt;0,
    COUNTIFS($V$3:$V$201,$M439)&gt;0,
    COUNTIFS($W$3:$W$201,$M439)&gt;0,
    COUNTIFS($X$3:$X$201,$M439)&gt;0,
    COUNTIFS($Y$3:$Y$201,$M439)&gt;0,
    COUNTIFS($Z$3:$Z$201,$M439)&gt;0,
    COUNTIFS($AA$3:$AA$201,$M439)&gt;0,
    COUNTIFS($AB$3:$AB$201,$M439)&gt;0,
    COUNTIFS($AC$3:$AC$201,$M439)&gt;0,
    COUNTIFS($AD$3:$AD$201,$M439)&gt;0,
    COUNTIFS($AE$3:$AE$201,$M439)&gt;0,
    COUNTIFS($AF$3:$AF$201,$M439)&gt;0,
    COUNTIFS($AG$3:$AG$201,$M439)&gt;0,
    COUNTIFS($AH$3:$AH$201,$M439)&gt;0,
    COUNTIFS($AI$3:$AI$201,$M439)&gt;0,
    COUNTIFS($AJ$3:$AJ$201,$M439)&gt;0,
    COUNTIFS($AK$3:$AK$201,$M439)&gt;0,
    COUNTIFS($AL$3:$AL$201,$M439)&gt;0,
    COUNTIFS($AM$3:$AM$201,$M439)&gt;0,
    COUNTIFS($AN$3:$AN$201,$M439)&gt;0,
    COUNTIFS($AO$3:$AO$201,$M439)&gt;0,
    COUNTIFS($AP$3:$AP$201,$M439)&gt;0,
    COUNTIFS($AQ$3:$AQ$201,$M439)&gt;0,
    COUNTIFS($AR$3:$AR$201,$M439)&gt;0,
    COUNTIFS($AS$3:$AS$201,$M439)&gt;0,
    COUNTIFS($AT$3:$AT$201,$M439)&gt;0,
    COUNTIFS($AU$3:$AU$201,$M439)&gt;0,
    COUNTIFS($AV$3:$AV$201,$M439)&gt;0,
    COUNTIFS($AW$3:$AW$201,$M439)&gt;0
   ),
  0)
 ),
"")</f>
        <v/>
      </c>
    </row>
    <row r="440" spans="14:15" x14ac:dyDescent="0.25">
      <c r="N440" s="3">
        <f t="shared" si="22"/>
        <v>0</v>
      </c>
      <c r="O440" s="3" t="str">
        <f>IFERROR(
 INDEX($T$2:$AW$2,
  MATCH(TRUE,
   CHOOSE({1;2;3;4;5;6;7;8;9;10;11;12;13;14;15;16;17;18;19;20;21;22;23;24;25;26;27;28;29;30;31;32},
    COUNTIFS($T$3:$T$201,$M440)&gt;0,
    COUNTIFS($U$3:$U$201,$M440)&gt;0,
    COUNTIFS($V$3:$V$201,$M440)&gt;0,
    COUNTIFS($W$3:$W$201,$M440)&gt;0,
    COUNTIFS($X$3:$X$201,$M440)&gt;0,
    COUNTIFS($Y$3:$Y$201,$M440)&gt;0,
    COUNTIFS($Z$3:$Z$201,$M440)&gt;0,
    COUNTIFS($AA$3:$AA$201,$M440)&gt;0,
    COUNTIFS($AB$3:$AB$201,$M440)&gt;0,
    COUNTIFS($AC$3:$AC$201,$M440)&gt;0,
    COUNTIFS($AD$3:$AD$201,$M440)&gt;0,
    COUNTIFS($AE$3:$AE$201,$M440)&gt;0,
    COUNTIFS($AF$3:$AF$201,$M440)&gt;0,
    COUNTIFS($AG$3:$AG$201,$M440)&gt;0,
    COUNTIFS($AH$3:$AH$201,$M440)&gt;0,
    COUNTIFS($AI$3:$AI$201,$M440)&gt;0,
    COUNTIFS($AJ$3:$AJ$201,$M440)&gt;0,
    COUNTIFS($AK$3:$AK$201,$M440)&gt;0,
    COUNTIFS($AL$3:$AL$201,$M440)&gt;0,
    COUNTIFS($AM$3:$AM$201,$M440)&gt;0,
    COUNTIFS($AN$3:$AN$201,$M440)&gt;0,
    COUNTIFS($AO$3:$AO$201,$M440)&gt;0,
    COUNTIFS($AP$3:$AP$201,$M440)&gt;0,
    COUNTIFS($AQ$3:$AQ$201,$M440)&gt;0,
    COUNTIFS($AR$3:$AR$201,$M440)&gt;0,
    COUNTIFS($AS$3:$AS$201,$M440)&gt;0,
    COUNTIFS($AT$3:$AT$201,$M440)&gt;0,
    COUNTIFS($AU$3:$AU$201,$M440)&gt;0,
    COUNTIFS($AV$3:$AV$201,$M440)&gt;0,
    COUNTIFS($AW$3:$AW$201,$M440)&gt;0
   ),
  0)
 ),
"")</f>
        <v/>
      </c>
    </row>
    <row r="441" spans="14:15" x14ac:dyDescent="0.25">
      <c r="N441" s="3">
        <f t="shared" si="22"/>
        <v>0</v>
      </c>
      <c r="O441" s="3" t="str">
        <f>IFERROR(
 INDEX($T$2:$AW$2,
  MATCH(TRUE,
   CHOOSE({1;2;3;4;5;6;7;8;9;10;11;12;13;14;15;16;17;18;19;20;21;22;23;24;25;26;27;28;29;30;31;32},
    COUNTIFS($T$3:$T$201,$M441)&gt;0,
    COUNTIFS($U$3:$U$201,$M441)&gt;0,
    COUNTIFS($V$3:$V$201,$M441)&gt;0,
    COUNTIFS($W$3:$W$201,$M441)&gt;0,
    COUNTIFS($X$3:$X$201,$M441)&gt;0,
    COUNTIFS($Y$3:$Y$201,$M441)&gt;0,
    COUNTIFS($Z$3:$Z$201,$M441)&gt;0,
    COUNTIFS($AA$3:$AA$201,$M441)&gt;0,
    COUNTIFS($AB$3:$AB$201,$M441)&gt;0,
    COUNTIFS($AC$3:$AC$201,$M441)&gt;0,
    COUNTIFS($AD$3:$AD$201,$M441)&gt;0,
    COUNTIFS($AE$3:$AE$201,$M441)&gt;0,
    COUNTIFS($AF$3:$AF$201,$M441)&gt;0,
    COUNTIFS($AG$3:$AG$201,$M441)&gt;0,
    COUNTIFS($AH$3:$AH$201,$M441)&gt;0,
    COUNTIFS($AI$3:$AI$201,$M441)&gt;0,
    COUNTIFS($AJ$3:$AJ$201,$M441)&gt;0,
    COUNTIFS($AK$3:$AK$201,$M441)&gt;0,
    COUNTIFS($AL$3:$AL$201,$M441)&gt;0,
    COUNTIFS($AM$3:$AM$201,$M441)&gt;0,
    COUNTIFS($AN$3:$AN$201,$M441)&gt;0,
    COUNTIFS($AO$3:$AO$201,$M441)&gt;0,
    COUNTIFS($AP$3:$AP$201,$M441)&gt;0,
    COUNTIFS($AQ$3:$AQ$201,$M441)&gt;0,
    COUNTIFS($AR$3:$AR$201,$M441)&gt;0,
    COUNTIFS($AS$3:$AS$201,$M441)&gt;0,
    COUNTIFS($AT$3:$AT$201,$M441)&gt;0,
    COUNTIFS($AU$3:$AU$201,$M441)&gt;0,
    COUNTIFS($AV$3:$AV$201,$M441)&gt;0,
    COUNTIFS($AW$3:$AW$201,$M441)&gt;0
   ),
  0)
 ),
"")</f>
        <v/>
      </c>
    </row>
    <row r="442" spans="14:15" x14ac:dyDescent="0.25">
      <c r="N442" s="3">
        <f t="shared" si="22"/>
        <v>0</v>
      </c>
      <c r="O442" s="3" t="str">
        <f>IFERROR(
 INDEX($T$2:$AW$2,
  MATCH(TRUE,
   CHOOSE({1;2;3;4;5;6;7;8;9;10;11;12;13;14;15;16;17;18;19;20;21;22;23;24;25;26;27;28;29;30;31;32},
    COUNTIFS($T$3:$T$201,$M442)&gt;0,
    COUNTIFS($U$3:$U$201,$M442)&gt;0,
    COUNTIFS($V$3:$V$201,$M442)&gt;0,
    COUNTIFS($W$3:$W$201,$M442)&gt;0,
    COUNTIFS($X$3:$X$201,$M442)&gt;0,
    COUNTIFS($Y$3:$Y$201,$M442)&gt;0,
    COUNTIFS($Z$3:$Z$201,$M442)&gt;0,
    COUNTIFS($AA$3:$AA$201,$M442)&gt;0,
    COUNTIFS($AB$3:$AB$201,$M442)&gt;0,
    COUNTIFS($AC$3:$AC$201,$M442)&gt;0,
    COUNTIFS($AD$3:$AD$201,$M442)&gt;0,
    COUNTIFS($AE$3:$AE$201,$M442)&gt;0,
    COUNTIFS($AF$3:$AF$201,$M442)&gt;0,
    COUNTIFS($AG$3:$AG$201,$M442)&gt;0,
    COUNTIFS($AH$3:$AH$201,$M442)&gt;0,
    COUNTIFS($AI$3:$AI$201,$M442)&gt;0,
    COUNTIFS($AJ$3:$AJ$201,$M442)&gt;0,
    COUNTIFS($AK$3:$AK$201,$M442)&gt;0,
    COUNTIFS($AL$3:$AL$201,$M442)&gt;0,
    COUNTIFS($AM$3:$AM$201,$M442)&gt;0,
    COUNTIFS($AN$3:$AN$201,$M442)&gt;0,
    COUNTIFS($AO$3:$AO$201,$M442)&gt;0,
    COUNTIFS($AP$3:$AP$201,$M442)&gt;0,
    COUNTIFS($AQ$3:$AQ$201,$M442)&gt;0,
    COUNTIFS($AR$3:$AR$201,$M442)&gt;0,
    COUNTIFS($AS$3:$AS$201,$M442)&gt;0,
    COUNTIFS($AT$3:$AT$201,$M442)&gt;0,
    COUNTIFS($AU$3:$AU$201,$M442)&gt;0,
    COUNTIFS($AV$3:$AV$201,$M442)&gt;0,
    COUNTIFS($AW$3:$AW$201,$M442)&gt;0
   ),
  0)
 ),
"")</f>
        <v/>
      </c>
    </row>
    <row r="443" spans="14:15" x14ac:dyDescent="0.25">
      <c r="N443" s="3">
        <f t="shared" si="22"/>
        <v>0</v>
      </c>
      <c r="O443" s="3" t="str">
        <f>IFERROR(
 INDEX($T$2:$AW$2,
  MATCH(TRUE,
   CHOOSE({1;2;3;4;5;6;7;8;9;10;11;12;13;14;15;16;17;18;19;20;21;22;23;24;25;26;27;28;29;30;31;32},
    COUNTIFS($T$3:$T$201,$M443)&gt;0,
    COUNTIFS($U$3:$U$201,$M443)&gt;0,
    COUNTIFS($V$3:$V$201,$M443)&gt;0,
    COUNTIFS($W$3:$W$201,$M443)&gt;0,
    COUNTIFS($X$3:$X$201,$M443)&gt;0,
    COUNTIFS($Y$3:$Y$201,$M443)&gt;0,
    COUNTIFS($Z$3:$Z$201,$M443)&gt;0,
    COUNTIFS($AA$3:$AA$201,$M443)&gt;0,
    COUNTIFS($AB$3:$AB$201,$M443)&gt;0,
    COUNTIFS($AC$3:$AC$201,$M443)&gt;0,
    COUNTIFS($AD$3:$AD$201,$M443)&gt;0,
    COUNTIFS($AE$3:$AE$201,$M443)&gt;0,
    COUNTIFS($AF$3:$AF$201,$M443)&gt;0,
    COUNTIFS($AG$3:$AG$201,$M443)&gt;0,
    COUNTIFS($AH$3:$AH$201,$M443)&gt;0,
    COUNTIFS($AI$3:$AI$201,$M443)&gt;0,
    COUNTIFS($AJ$3:$AJ$201,$M443)&gt;0,
    COUNTIFS($AK$3:$AK$201,$M443)&gt;0,
    COUNTIFS($AL$3:$AL$201,$M443)&gt;0,
    COUNTIFS($AM$3:$AM$201,$M443)&gt;0,
    COUNTIFS($AN$3:$AN$201,$M443)&gt;0,
    COUNTIFS($AO$3:$AO$201,$M443)&gt;0,
    COUNTIFS($AP$3:$AP$201,$M443)&gt;0,
    COUNTIFS($AQ$3:$AQ$201,$M443)&gt;0,
    COUNTIFS($AR$3:$AR$201,$M443)&gt;0,
    COUNTIFS($AS$3:$AS$201,$M443)&gt;0,
    COUNTIFS($AT$3:$AT$201,$M443)&gt;0,
    COUNTIFS($AU$3:$AU$201,$M443)&gt;0,
    COUNTIFS($AV$3:$AV$201,$M443)&gt;0,
    COUNTIFS($AW$3:$AW$201,$M443)&gt;0
   ),
  0)
 ),
"")</f>
        <v/>
      </c>
    </row>
    <row r="444" spans="14:15" x14ac:dyDescent="0.25">
      <c r="N444" s="3">
        <f t="shared" si="22"/>
        <v>0</v>
      </c>
      <c r="O444" s="3" t="str">
        <f>IFERROR(
 INDEX($T$2:$AW$2,
  MATCH(TRUE,
   CHOOSE({1;2;3;4;5;6;7;8;9;10;11;12;13;14;15;16;17;18;19;20;21;22;23;24;25;26;27;28;29;30;31;32},
    COUNTIFS($T$3:$T$201,$M444)&gt;0,
    COUNTIFS($U$3:$U$201,$M444)&gt;0,
    COUNTIFS($V$3:$V$201,$M444)&gt;0,
    COUNTIFS($W$3:$W$201,$M444)&gt;0,
    COUNTIFS($X$3:$X$201,$M444)&gt;0,
    COUNTIFS($Y$3:$Y$201,$M444)&gt;0,
    COUNTIFS($Z$3:$Z$201,$M444)&gt;0,
    COUNTIFS($AA$3:$AA$201,$M444)&gt;0,
    COUNTIFS($AB$3:$AB$201,$M444)&gt;0,
    COUNTIFS($AC$3:$AC$201,$M444)&gt;0,
    COUNTIFS($AD$3:$AD$201,$M444)&gt;0,
    COUNTIFS($AE$3:$AE$201,$M444)&gt;0,
    COUNTIFS($AF$3:$AF$201,$M444)&gt;0,
    COUNTIFS($AG$3:$AG$201,$M444)&gt;0,
    COUNTIFS($AH$3:$AH$201,$M444)&gt;0,
    COUNTIFS($AI$3:$AI$201,$M444)&gt;0,
    COUNTIFS($AJ$3:$AJ$201,$M444)&gt;0,
    COUNTIFS($AK$3:$AK$201,$M444)&gt;0,
    COUNTIFS($AL$3:$AL$201,$M444)&gt;0,
    COUNTIFS($AM$3:$AM$201,$M444)&gt;0,
    COUNTIFS($AN$3:$AN$201,$M444)&gt;0,
    COUNTIFS($AO$3:$AO$201,$M444)&gt;0,
    COUNTIFS($AP$3:$AP$201,$M444)&gt;0,
    COUNTIFS($AQ$3:$AQ$201,$M444)&gt;0,
    COUNTIFS($AR$3:$AR$201,$M444)&gt;0,
    COUNTIFS($AS$3:$AS$201,$M444)&gt;0,
    COUNTIFS($AT$3:$AT$201,$M444)&gt;0,
    COUNTIFS($AU$3:$AU$201,$M444)&gt;0,
    COUNTIFS($AV$3:$AV$201,$M444)&gt;0,
    COUNTIFS($AW$3:$AW$201,$M444)&gt;0
   ),
  0)
 ),
"")</f>
        <v/>
      </c>
    </row>
    <row r="445" spans="14:15" x14ac:dyDescent="0.25">
      <c r="N445" s="3">
        <f t="shared" si="22"/>
        <v>0</v>
      </c>
      <c r="O445" s="3" t="str">
        <f>IFERROR(
 INDEX($T$2:$AW$2,
  MATCH(TRUE,
   CHOOSE({1;2;3;4;5;6;7;8;9;10;11;12;13;14;15;16;17;18;19;20;21;22;23;24;25;26;27;28;29;30;31;32},
    COUNTIFS($T$3:$T$201,$M445)&gt;0,
    COUNTIFS($U$3:$U$201,$M445)&gt;0,
    COUNTIFS($V$3:$V$201,$M445)&gt;0,
    COUNTIFS($W$3:$W$201,$M445)&gt;0,
    COUNTIFS($X$3:$X$201,$M445)&gt;0,
    COUNTIFS($Y$3:$Y$201,$M445)&gt;0,
    COUNTIFS($Z$3:$Z$201,$M445)&gt;0,
    COUNTIFS($AA$3:$AA$201,$M445)&gt;0,
    COUNTIFS($AB$3:$AB$201,$M445)&gt;0,
    COUNTIFS($AC$3:$AC$201,$M445)&gt;0,
    COUNTIFS($AD$3:$AD$201,$M445)&gt;0,
    COUNTIFS($AE$3:$AE$201,$M445)&gt;0,
    COUNTIFS($AF$3:$AF$201,$M445)&gt;0,
    COUNTIFS($AG$3:$AG$201,$M445)&gt;0,
    COUNTIFS($AH$3:$AH$201,$M445)&gt;0,
    COUNTIFS($AI$3:$AI$201,$M445)&gt;0,
    COUNTIFS($AJ$3:$AJ$201,$M445)&gt;0,
    COUNTIFS($AK$3:$AK$201,$M445)&gt;0,
    COUNTIFS($AL$3:$AL$201,$M445)&gt;0,
    COUNTIFS($AM$3:$AM$201,$M445)&gt;0,
    COUNTIFS($AN$3:$AN$201,$M445)&gt;0,
    COUNTIFS($AO$3:$AO$201,$M445)&gt;0,
    COUNTIFS($AP$3:$AP$201,$M445)&gt;0,
    COUNTIFS($AQ$3:$AQ$201,$M445)&gt;0,
    COUNTIFS($AR$3:$AR$201,$M445)&gt;0,
    COUNTIFS($AS$3:$AS$201,$M445)&gt;0,
    COUNTIFS($AT$3:$AT$201,$M445)&gt;0,
    COUNTIFS($AU$3:$AU$201,$M445)&gt;0,
    COUNTIFS($AV$3:$AV$201,$M445)&gt;0,
    COUNTIFS($AW$3:$AW$201,$M445)&gt;0
   ),
  0)
 ),
"")</f>
        <v/>
      </c>
    </row>
    <row r="446" spans="14:15" x14ac:dyDescent="0.25">
      <c r="N446" s="3">
        <f t="shared" si="22"/>
        <v>0</v>
      </c>
      <c r="O446" s="3" t="str">
        <f>IFERROR(
 INDEX($T$2:$AW$2,
  MATCH(TRUE,
   CHOOSE({1;2;3;4;5;6;7;8;9;10;11;12;13;14;15;16;17;18;19;20;21;22;23;24;25;26;27;28;29;30;31;32},
    COUNTIFS($T$3:$T$201,$M446)&gt;0,
    COUNTIFS($U$3:$U$201,$M446)&gt;0,
    COUNTIFS($V$3:$V$201,$M446)&gt;0,
    COUNTIFS($W$3:$W$201,$M446)&gt;0,
    COUNTIFS($X$3:$X$201,$M446)&gt;0,
    COUNTIFS($Y$3:$Y$201,$M446)&gt;0,
    COUNTIFS($Z$3:$Z$201,$M446)&gt;0,
    COUNTIFS($AA$3:$AA$201,$M446)&gt;0,
    COUNTIFS($AB$3:$AB$201,$M446)&gt;0,
    COUNTIFS($AC$3:$AC$201,$M446)&gt;0,
    COUNTIFS($AD$3:$AD$201,$M446)&gt;0,
    COUNTIFS($AE$3:$AE$201,$M446)&gt;0,
    COUNTIFS($AF$3:$AF$201,$M446)&gt;0,
    COUNTIFS($AG$3:$AG$201,$M446)&gt;0,
    COUNTIFS($AH$3:$AH$201,$M446)&gt;0,
    COUNTIFS($AI$3:$AI$201,$M446)&gt;0,
    COUNTIFS($AJ$3:$AJ$201,$M446)&gt;0,
    COUNTIFS($AK$3:$AK$201,$M446)&gt;0,
    COUNTIFS($AL$3:$AL$201,$M446)&gt;0,
    COUNTIFS($AM$3:$AM$201,$M446)&gt;0,
    COUNTIFS($AN$3:$AN$201,$M446)&gt;0,
    COUNTIFS($AO$3:$AO$201,$M446)&gt;0,
    COUNTIFS($AP$3:$AP$201,$M446)&gt;0,
    COUNTIFS($AQ$3:$AQ$201,$M446)&gt;0,
    COUNTIFS($AR$3:$AR$201,$M446)&gt;0,
    COUNTIFS($AS$3:$AS$201,$M446)&gt;0,
    COUNTIFS($AT$3:$AT$201,$M446)&gt;0,
    COUNTIFS($AU$3:$AU$201,$M446)&gt;0,
    COUNTIFS($AV$3:$AV$201,$M446)&gt;0,
    COUNTIFS($AW$3:$AW$201,$M446)&gt;0
   ),
  0)
 ),
"")</f>
        <v/>
      </c>
    </row>
    <row r="447" spans="14:15" x14ac:dyDescent="0.25">
      <c r="N447" s="3">
        <f t="shared" si="22"/>
        <v>0</v>
      </c>
      <c r="O447" s="3" t="str">
        <f>IFERROR(
 INDEX($T$2:$AW$2,
  MATCH(TRUE,
   CHOOSE({1;2;3;4;5;6;7;8;9;10;11;12;13;14;15;16;17;18;19;20;21;22;23;24;25;26;27;28;29;30;31;32},
    COUNTIFS($T$3:$T$201,$M447)&gt;0,
    COUNTIFS($U$3:$U$201,$M447)&gt;0,
    COUNTIFS($V$3:$V$201,$M447)&gt;0,
    COUNTIFS($W$3:$W$201,$M447)&gt;0,
    COUNTIFS($X$3:$X$201,$M447)&gt;0,
    COUNTIFS($Y$3:$Y$201,$M447)&gt;0,
    COUNTIFS($Z$3:$Z$201,$M447)&gt;0,
    COUNTIFS($AA$3:$AA$201,$M447)&gt;0,
    COUNTIFS($AB$3:$AB$201,$M447)&gt;0,
    COUNTIFS($AC$3:$AC$201,$M447)&gt;0,
    COUNTIFS($AD$3:$AD$201,$M447)&gt;0,
    COUNTIFS($AE$3:$AE$201,$M447)&gt;0,
    COUNTIFS($AF$3:$AF$201,$M447)&gt;0,
    COUNTIFS($AG$3:$AG$201,$M447)&gt;0,
    COUNTIFS($AH$3:$AH$201,$M447)&gt;0,
    COUNTIFS($AI$3:$AI$201,$M447)&gt;0,
    COUNTIFS($AJ$3:$AJ$201,$M447)&gt;0,
    COUNTIFS($AK$3:$AK$201,$M447)&gt;0,
    COUNTIFS($AL$3:$AL$201,$M447)&gt;0,
    COUNTIFS($AM$3:$AM$201,$M447)&gt;0,
    COUNTIFS($AN$3:$AN$201,$M447)&gt;0,
    COUNTIFS($AO$3:$AO$201,$M447)&gt;0,
    COUNTIFS($AP$3:$AP$201,$M447)&gt;0,
    COUNTIFS($AQ$3:$AQ$201,$M447)&gt;0,
    COUNTIFS($AR$3:$AR$201,$M447)&gt;0,
    COUNTIFS($AS$3:$AS$201,$M447)&gt;0,
    COUNTIFS($AT$3:$AT$201,$M447)&gt;0,
    COUNTIFS($AU$3:$AU$201,$M447)&gt;0,
    COUNTIFS($AV$3:$AV$201,$M447)&gt;0,
    COUNTIFS($AW$3:$AW$201,$M447)&gt;0
   ),
  0)
 ),
"")</f>
        <v/>
      </c>
    </row>
    <row r="448" spans="14:15" x14ac:dyDescent="0.25">
      <c r="N448" s="3">
        <f t="shared" si="22"/>
        <v>0</v>
      </c>
      <c r="O448" s="3" t="str">
        <f>IFERROR(
 INDEX($T$2:$AW$2,
  MATCH(TRUE,
   CHOOSE({1;2;3;4;5;6;7;8;9;10;11;12;13;14;15;16;17;18;19;20;21;22;23;24;25;26;27;28;29;30;31;32},
    COUNTIFS($T$3:$T$201,$M448)&gt;0,
    COUNTIFS($U$3:$U$201,$M448)&gt;0,
    COUNTIFS($V$3:$V$201,$M448)&gt;0,
    COUNTIFS($W$3:$W$201,$M448)&gt;0,
    COUNTIFS($X$3:$X$201,$M448)&gt;0,
    COUNTIFS($Y$3:$Y$201,$M448)&gt;0,
    COUNTIFS($Z$3:$Z$201,$M448)&gt;0,
    COUNTIFS($AA$3:$AA$201,$M448)&gt;0,
    COUNTIFS($AB$3:$AB$201,$M448)&gt;0,
    COUNTIFS($AC$3:$AC$201,$M448)&gt;0,
    COUNTIFS($AD$3:$AD$201,$M448)&gt;0,
    COUNTIFS($AE$3:$AE$201,$M448)&gt;0,
    COUNTIFS($AF$3:$AF$201,$M448)&gt;0,
    COUNTIFS($AG$3:$AG$201,$M448)&gt;0,
    COUNTIFS($AH$3:$AH$201,$M448)&gt;0,
    COUNTIFS($AI$3:$AI$201,$M448)&gt;0,
    COUNTIFS($AJ$3:$AJ$201,$M448)&gt;0,
    COUNTIFS($AK$3:$AK$201,$M448)&gt;0,
    COUNTIFS($AL$3:$AL$201,$M448)&gt;0,
    COUNTIFS($AM$3:$AM$201,$M448)&gt;0,
    COUNTIFS($AN$3:$AN$201,$M448)&gt;0,
    COUNTIFS($AO$3:$AO$201,$M448)&gt;0,
    COUNTIFS($AP$3:$AP$201,$M448)&gt;0,
    COUNTIFS($AQ$3:$AQ$201,$M448)&gt;0,
    COUNTIFS($AR$3:$AR$201,$M448)&gt;0,
    COUNTIFS($AS$3:$AS$201,$M448)&gt;0,
    COUNTIFS($AT$3:$AT$201,$M448)&gt;0,
    COUNTIFS($AU$3:$AU$201,$M448)&gt;0,
    COUNTIFS($AV$3:$AV$201,$M448)&gt;0,
    COUNTIFS($AW$3:$AW$201,$M448)&gt;0
   ),
  0)
 ),
"")</f>
        <v/>
      </c>
    </row>
    <row r="449" spans="14:15" x14ac:dyDescent="0.25">
      <c r="N449" s="3">
        <f t="shared" si="22"/>
        <v>0</v>
      </c>
      <c r="O449" s="3" t="str">
        <f>IFERROR(
 INDEX($T$2:$AW$2,
  MATCH(TRUE,
   CHOOSE({1;2;3;4;5;6;7;8;9;10;11;12;13;14;15;16;17;18;19;20;21;22;23;24;25;26;27;28;29;30;31;32},
    COUNTIFS($T$3:$T$201,$M449)&gt;0,
    COUNTIFS($U$3:$U$201,$M449)&gt;0,
    COUNTIFS($V$3:$V$201,$M449)&gt;0,
    COUNTIFS($W$3:$W$201,$M449)&gt;0,
    COUNTIFS($X$3:$X$201,$M449)&gt;0,
    COUNTIFS($Y$3:$Y$201,$M449)&gt;0,
    COUNTIFS($Z$3:$Z$201,$M449)&gt;0,
    COUNTIFS($AA$3:$AA$201,$M449)&gt;0,
    COUNTIFS($AB$3:$AB$201,$M449)&gt;0,
    COUNTIFS($AC$3:$AC$201,$M449)&gt;0,
    COUNTIFS($AD$3:$AD$201,$M449)&gt;0,
    COUNTIFS($AE$3:$AE$201,$M449)&gt;0,
    COUNTIFS($AF$3:$AF$201,$M449)&gt;0,
    COUNTIFS($AG$3:$AG$201,$M449)&gt;0,
    COUNTIFS($AH$3:$AH$201,$M449)&gt;0,
    COUNTIFS($AI$3:$AI$201,$M449)&gt;0,
    COUNTIFS($AJ$3:$AJ$201,$M449)&gt;0,
    COUNTIFS($AK$3:$AK$201,$M449)&gt;0,
    COUNTIFS($AL$3:$AL$201,$M449)&gt;0,
    COUNTIFS($AM$3:$AM$201,$M449)&gt;0,
    COUNTIFS($AN$3:$AN$201,$M449)&gt;0,
    COUNTIFS($AO$3:$AO$201,$M449)&gt;0,
    COUNTIFS($AP$3:$AP$201,$M449)&gt;0,
    COUNTIFS($AQ$3:$AQ$201,$M449)&gt;0,
    COUNTIFS($AR$3:$AR$201,$M449)&gt;0,
    COUNTIFS($AS$3:$AS$201,$M449)&gt;0,
    COUNTIFS($AT$3:$AT$201,$M449)&gt;0,
    COUNTIFS($AU$3:$AU$201,$M449)&gt;0,
    COUNTIFS($AV$3:$AV$201,$M449)&gt;0,
    COUNTIFS($AW$3:$AW$201,$M449)&gt;0
   ),
  0)
 ),
"")</f>
        <v/>
      </c>
    </row>
    <row r="450" spans="14:15" x14ac:dyDescent="0.25">
      <c r="N450" s="3">
        <f t="shared" si="22"/>
        <v>0</v>
      </c>
      <c r="O450" s="3" t="str">
        <f>IFERROR(
 INDEX($T$2:$AW$2,
  MATCH(TRUE,
   CHOOSE({1;2;3;4;5;6;7;8;9;10;11;12;13;14;15;16;17;18;19;20;21;22;23;24;25;26;27;28;29;30;31;32},
    COUNTIFS($T$3:$T$201,$M450)&gt;0,
    COUNTIFS($U$3:$U$201,$M450)&gt;0,
    COUNTIFS($V$3:$V$201,$M450)&gt;0,
    COUNTIFS($W$3:$W$201,$M450)&gt;0,
    COUNTIFS($X$3:$X$201,$M450)&gt;0,
    COUNTIFS($Y$3:$Y$201,$M450)&gt;0,
    COUNTIFS($Z$3:$Z$201,$M450)&gt;0,
    COUNTIFS($AA$3:$AA$201,$M450)&gt;0,
    COUNTIFS($AB$3:$AB$201,$M450)&gt;0,
    COUNTIFS($AC$3:$AC$201,$M450)&gt;0,
    COUNTIFS($AD$3:$AD$201,$M450)&gt;0,
    COUNTIFS($AE$3:$AE$201,$M450)&gt;0,
    COUNTIFS($AF$3:$AF$201,$M450)&gt;0,
    COUNTIFS($AG$3:$AG$201,$M450)&gt;0,
    COUNTIFS($AH$3:$AH$201,$M450)&gt;0,
    COUNTIFS($AI$3:$AI$201,$M450)&gt;0,
    COUNTIFS($AJ$3:$AJ$201,$M450)&gt;0,
    COUNTIFS($AK$3:$AK$201,$M450)&gt;0,
    COUNTIFS($AL$3:$AL$201,$M450)&gt;0,
    COUNTIFS($AM$3:$AM$201,$M450)&gt;0,
    COUNTIFS($AN$3:$AN$201,$M450)&gt;0,
    COUNTIFS($AO$3:$AO$201,$M450)&gt;0,
    COUNTIFS($AP$3:$AP$201,$M450)&gt;0,
    COUNTIFS($AQ$3:$AQ$201,$M450)&gt;0,
    COUNTIFS($AR$3:$AR$201,$M450)&gt;0,
    COUNTIFS($AS$3:$AS$201,$M450)&gt;0,
    COUNTIFS($AT$3:$AT$201,$M450)&gt;0,
    COUNTIFS($AU$3:$AU$201,$M450)&gt;0,
    COUNTIFS($AV$3:$AV$201,$M450)&gt;0,
    COUNTIFS($AW$3:$AW$201,$M450)&gt;0
   ),
  0)
 ),
"")</f>
        <v/>
      </c>
    </row>
    <row r="451" spans="14:15" x14ac:dyDescent="0.25">
      <c r="N451" s="3">
        <f t="shared" ref="N451:N452" si="23">COUNTIF(T:AW,M451)</f>
        <v>0</v>
      </c>
      <c r="O451" s="3" t="str">
        <f>IFERROR(
 INDEX($T$2:$AW$2,
  MATCH(TRUE,
   CHOOSE({1;2;3;4;5;6;7;8;9;10;11;12;13;14;15;16;17;18;19;20;21;22;23;24;25;26;27;28;29;30;31;32},
    COUNTIFS($T$3:$T$201,$M451)&gt;0,
    COUNTIFS($U$3:$U$201,$M451)&gt;0,
    COUNTIFS($V$3:$V$201,$M451)&gt;0,
    COUNTIFS($W$3:$W$201,$M451)&gt;0,
    COUNTIFS($X$3:$X$201,$M451)&gt;0,
    COUNTIFS($Y$3:$Y$201,$M451)&gt;0,
    COUNTIFS($Z$3:$Z$201,$M451)&gt;0,
    COUNTIFS($AA$3:$AA$201,$M451)&gt;0,
    COUNTIFS($AB$3:$AB$201,$M451)&gt;0,
    COUNTIFS($AC$3:$AC$201,$M451)&gt;0,
    COUNTIFS($AD$3:$AD$201,$M451)&gt;0,
    COUNTIFS($AE$3:$AE$201,$M451)&gt;0,
    COUNTIFS($AF$3:$AF$201,$M451)&gt;0,
    COUNTIFS($AG$3:$AG$201,$M451)&gt;0,
    COUNTIFS($AH$3:$AH$201,$M451)&gt;0,
    COUNTIFS($AI$3:$AI$201,$M451)&gt;0,
    COUNTIFS($AJ$3:$AJ$201,$M451)&gt;0,
    COUNTIFS($AK$3:$AK$201,$M451)&gt;0,
    COUNTIFS($AL$3:$AL$201,$M451)&gt;0,
    COUNTIFS($AM$3:$AM$201,$M451)&gt;0,
    COUNTIFS($AN$3:$AN$201,$M451)&gt;0,
    COUNTIFS($AO$3:$AO$201,$M451)&gt;0,
    COUNTIFS($AP$3:$AP$201,$M451)&gt;0,
    COUNTIFS($AQ$3:$AQ$201,$M451)&gt;0,
    COUNTIFS($AR$3:$AR$201,$M451)&gt;0,
    COUNTIFS($AS$3:$AS$201,$M451)&gt;0,
    COUNTIFS($AT$3:$AT$201,$M451)&gt;0,
    COUNTIFS($AU$3:$AU$201,$M451)&gt;0,
    COUNTIFS($AV$3:$AV$201,$M451)&gt;0,
    COUNTIFS($AW$3:$AW$201,$M451)&gt;0
   ),
  0)
 ),
"")</f>
        <v/>
      </c>
    </row>
    <row r="452" spans="14:15" x14ac:dyDescent="0.25">
      <c r="N452" s="3">
        <f t="shared" si="23"/>
        <v>0</v>
      </c>
      <c r="O452" s="3" t="str">
        <f>IFERROR(
 INDEX($T$2:$AW$2,
  MATCH(TRUE,
   CHOOSE({1;2;3;4;5;6;7;8;9;10;11;12;13;14;15;16;17;18;19;20;21;22;23;24;25;26;27;28;29;30;31;32},
    COUNTIFS($T$3:$T$201,$M452)&gt;0,
    COUNTIFS($U$3:$U$201,$M452)&gt;0,
    COUNTIFS($V$3:$V$201,$M452)&gt;0,
    COUNTIFS($W$3:$W$201,$M452)&gt;0,
    COUNTIFS($X$3:$X$201,$M452)&gt;0,
    COUNTIFS($Y$3:$Y$201,$M452)&gt;0,
    COUNTIFS($Z$3:$Z$201,$M452)&gt;0,
    COUNTIFS($AA$3:$AA$201,$M452)&gt;0,
    COUNTIFS($AB$3:$AB$201,$M452)&gt;0,
    COUNTIFS($AC$3:$AC$201,$M452)&gt;0,
    COUNTIFS($AD$3:$AD$201,$M452)&gt;0,
    COUNTIFS($AE$3:$AE$201,$M452)&gt;0,
    COUNTIFS($AF$3:$AF$201,$M452)&gt;0,
    COUNTIFS($AG$3:$AG$201,$M452)&gt;0,
    COUNTIFS($AH$3:$AH$201,$M452)&gt;0,
    COUNTIFS($AI$3:$AI$201,$M452)&gt;0,
    COUNTIFS($AJ$3:$AJ$201,$M452)&gt;0,
    COUNTIFS($AK$3:$AK$201,$M452)&gt;0,
    COUNTIFS($AL$3:$AL$201,$M452)&gt;0,
    COUNTIFS($AM$3:$AM$201,$M452)&gt;0,
    COUNTIFS($AN$3:$AN$201,$M452)&gt;0,
    COUNTIFS($AO$3:$AO$201,$M452)&gt;0,
    COUNTIFS($AP$3:$AP$201,$M452)&gt;0,
    COUNTIFS($AQ$3:$AQ$201,$M452)&gt;0,
    COUNTIFS($AR$3:$AR$201,$M452)&gt;0,
    COUNTIFS($AS$3:$AS$201,$M452)&gt;0,
    COUNTIFS($AT$3:$AT$201,$M452)&gt;0,
    COUNTIFS($AU$3:$AU$201,$M452)&gt;0,
    COUNTIFS($AV$3:$AV$201,$M452)&gt;0,
    COUNTIFS($AW$3:$AW$201,$M452)&gt;0
   ),
  0)
 ),
"")</f>
        <v/>
      </c>
    </row>
  </sheetData>
  <mergeCells count="4">
    <mergeCell ref="E1:G1"/>
    <mergeCell ref="I1:K1"/>
    <mergeCell ref="M1:O1"/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792-1D39-4A87-ADEA-9B9B29A33674}">
  <sheetPr codeName="Planilha10"/>
  <dimension ref="A1:I102"/>
  <sheetViews>
    <sheetView topLeftCell="A12" workbookViewId="0">
      <selection activeCell="C13" sqref="C13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9" ht="21" x14ac:dyDescent="0.25">
      <c r="A1" s="29" t="s">
        <v>317</v>
      </c>
      <c r="B1" s="29"/>
      <c r="C1" s="29"/>
      <c r="D1" s="29"/>
      <c r="E1" s="29"/>
      <c r="F1" s="29"/>
      <c r="G1" s="29"/>
    </row>
    <row r="2" spans="1:9" x14ac:dyDescent="0.25">
      <c r="A2" s="4" t="s">
        <v>24</v>
      </c>
      <c r="B2" s="4" t="s">
        <v>25</v>
      </c>
      <c r="C2" s="4" t="s">
        <v>26</v>
      </c>
      <c r="D2" s="4" t="s">
        <v>2026</v>
      </c>
      <c r="F2" s="4" t="s">
        <v>29</v>
      </c>
      <c r="G2" s="3">
        <f>COUNTIF(D:D,"Verdadeiro")</f>
        <v>4</v>
      </c>
    </row>
    <row r="3" spans="1:9" x14ac:dyDescent="0.25">
      <c r="A3" s="5" t="s">
        <v>2002</v>
      </c>
      <c r="B3" s="5" t="s">
        <v>2024</v>
      </c>
      <c r="C3" s="5" t="s">
        <v>2024</v>
      </c>
      <c r="D3" t="b">
        <f>B3&lt;&gt;C3</f>
        <v>0</v>
      </c>
      <c r="F3" s="4" t="s">
        <v>30</v>
      </c>
      <c r="G3" s="22">
        <f>SUM(G5:G29)</f>
        <v>100</v>
      </c>
    </row>
    <row r="4" spans="1:9" x14ac:dyDescent="0.25">
      <c r="A4" s="5" t="s">
        <v>2002</v>
      </c>
      <c r="B4" s="5" t="s">
        <v>2025</v>
      </c>
      <c r="C4" s="5" t="s">
        <v>2025</v>
      </c>
      <c r="D4" t="b">
        <f>B4&lt;&gt;C4</f>
        <v>0</v>
      </c>
    </row>
    <row r="5" spans="1:9" x14ac:dyDescent="0.25">
      <c r="A5" t="s">
        <v>28</v>
      </c>
      <c r="B5" s="5" t="s">
        <v>318</v>
      </c>
      <c r="C5" s="5" t="s">
        <v>318</v>
      </c>
      <c r="D5" t="b">
        <f>B5&lt;&gt;C5</f>
        <v>0</v>
      </c>
      <c r="F5" s="6" t="s">
        <v>32</v>
      </c>
      <c r="G5" s="1"/>
    </row>
    <row r="6" spans="1:9" x14ac:dyDescent="0.25">
      <c r="A6" t="s">
        <v>28</v>
      </c>
      <c r="B6" s="5" t="s">
        <v>319</v>
      </c>
      <c r="C6" s="5" t="s">
        <v>319</v>
      </c>
      <c r="D6" t="b">
        <f t="shared" ref="D6:D69" si="0">B6&lt;&gt;C6</f>
        <v>0</v>
      </c>
      <c r="F6" s="7" t="s">
        <v>2002</v>
      </c>
      <c r="G6" s="2">
        <f t="shared" ref="G6:G13" si="1">COUNTIF(A:A,F6)</f>
        <v>2</v>
      </c>
    </row>
    <row r="7" spans="1:9" x14ac:dyDescent="0.25">
      <c r="A7" t="s">
        <v>28</v>
      </c>
      <c r="B7" s="5" t="s">
        <v>320</v>
      </c>
      <c r="C7" s="5" t="s">
        <v>320</v>
      </c>
      <c r="D7" t="b">
        <f t="shared" si="0"/>
        <v>0</v>
      </c>
      <c r="F7" s="3" t="s">
        <v>28</v>
      </c>
      <c r="G7" s="2">
        <f t="shared" si="1"/>
        <v>34</v>
      </c>
      <c r="I7" t="s">
        <v>2028</v>
      </c>
    </row>
    <row r="8" spans="1:9" x14ac:dyDescent="0.25">
      <c r="A8" t="s">
        <v>28</v>
      </c>
      <c r="B8" s="5" t="s">
        <v>321</v>
      </c>
      <c r="C8" s="5" t="s">
        <v>321</v>
      </c>
      <c r="D8" t="b">
        <f t="shared" si="0"/>
        <v>0</v>
      </c>
      <c r="F8" s="7" t="s">
        <v>34</v>
      </c>
      <c r="G8" s="2">
        <f t="shared" si="1"/>
        <v>20</v>
      </c>
    </row>
    <row r="9" spans="1:9" x14ac:dyDescent="0.25">
      <c r="A9" t="s">
        <v>28</v>
      </c>
      <c r="B9" s="5" t="s">
        <v>322</v>
      </c>
      <c r="C9" s="5" t="s">
        <v>322</v>
      </c>
      <c r="D9" t="b">
        <f t="shared" si="0"/>
        <v>0</v>
      </c>
      <c r="F9" s="7" t="s">
        <v>331</v>
      </c>
      <c r="G9" s="2">
        <f t="shared" si="1"/>
        <v>8</v>
      </c>
    </row>
    <row r="10" spans="1:9" x14ac:dyDescent="0.25">
      <c r="A10" t="s">
        <v>28</v>
      </c>
      <c r="B10" s="5" t="s">
        <v>323</v>
      </c>
      <c r="C10" s="5" t="s">
        <v>323</v>
      </c>
      <c r="D10" t="b">
        <f t="shared" si="0"/>
        <v>0</v>
      </c>
      <c r="F10" s="7" t="s">
        <v>325</v>
      </c>
      <c r="G10" s="2">
        <f t="shared" si="1"/>
        <v>17</v>
      </c>
    </row>
    <row r="11" spans="1:9" x14ac:dyDescent="0.25">
      <c r="A11" t="s">
        <v>28</v>
      </c>
      <c r="B11" s="5" t="s">
        <v>324</v>
      </c>
      <c r="C11" s="5" t="s">
        <v>324</v>
      </c>
      <c r="D11" t="b">
        <f t="shared" si="0"/>
        <v>0</v>
      </c>
      <c r="F11" s="7" t="s">
        <v>36</v>
      </c>
      <c r="G11" s="2">
        <f t="shared" si="1"/>
        <v>12</v>
      </c>
    </row>
    <row r="12" spans="1:9" x14ac:dyDescent="0.25">
      <c r="A12" t="s">
        <v>28</v>
      </c>
      <c r="B12" s="5" t="s">
        <v>134</v>
      </c>
      <c r="C12" s="5" t="s">
        <v>134</v>
      </c>
      <c r="D12" t="b">
        <f t="shared" si="0"/>
        <v>0</v>
      </c>
      <c r="F12" s="7" t="s">
        <v>327</v>
      </c>
      <c r="G12" s="2">
        <f t="shared" si="1"/>
        <v>3</v>
      </c>
    </row>
    <row r="13" spans="1:9" x14ac:dyDescent="0.25">
      <c r="A13" t="s">
        <v>28</v>
      </c>
      <c r="B13" s="5" t="s">
        <v>326</v>
      </c>
      <c r="C13" s="5" t="s">
        <v>326</v>
      </c>
      <c r="D13" t="b">
        <f t="shared" si="0"/>
        <v>0</v>
      </c>
      <c r="F13" s="7" t="s">
        <v>329</v>
      </c>
      <c r="G13" s="2">
        <f t="shared" si="1"/>
        <v>4</v>
      </c>
    </row>
    <row r="14" spans="1:9" x14ac:dyDescent="0.25">
      <c r="A14" t="s">
        <v>28</v>
      </c>
      <c r="B14" s="5" t="s">
        <v>33</v>
      </c>
      <c r="C14" s="5" t="s">
        <v>33</v>
      </c>
      <c r="D14" t="b">
        <f t="shared" si="0"/>
        <v>0</v>
      </c>
    </row>
    <row r="15" spans="1:9" x14ac:dyDescent="0.25">
      <c r="A15" t="s">
        <v>28</v>
      </c>
      <c r="B15" s="5" t="s">
        <v>328</v>
      </c>
      <c r="C15" s="5" t="s">
        <v>328</v>
      </c>
      <c r="D15" t="b">
        <f t="shared" si="0"/>
        <v>0</v>
      </c>
    </row>
    <row r="16" spans="1:9" x14ac:dyDescent="0.25">
      <c r="A16" t="s">
        <v>28</v>
      </c>
      <c r="B16" s="5" t="s">
        <v>330</v>
      </c>
      <c r="C16" s="5" t="s">
        <v>330</v>
      </c>
      <c r="D16" t="b">
        <f t="shared" si="0"/>
        <v>0</v>
      </c>
    </row>
    <row r="17" spans="1:7" x14ac:dyDescent="0.25">
      <c r="A17" t="s">
        <v>28</v>
      </c>
      <c r="B17" s="5" t="s">
        <v>332</v>
      </c>
      <c r="C17" s="5" t="s">
        <v>332</v>
      </c>
      <c r="D17" t="b">
        <f t="shared" si="0"/>
        <v>0</v>
      </c>
      <c r="F17" s="7"/>
      <c r="G17" s="2"/>
    </row>
    <row r="18" spans="1:7" x14ac:dyDescent="0.25">
      <c r="A18" t="s">
        <v>28</v>
      </c>
      <c r="B18" s="5" t="s">
        <v>333</v>
      </c>
      <c r="C18" s="5" t="s">
        <v>333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 t="s">
        <v>348</v>
      </c>
      <c r="C19" s="5" t="s">
        <v>1910</v>
      </c>
      <c r="D19" t="b">
        <f t="shared" si="0"/>
        <v>1</v>
      </c>
      <c r="F19" s="4"/>
      <c r="G19" s="2"/>
    </row>
    <row r="20" spans="1:7" x14ac:dyDescent="0.25">
      <c r="A20" t="s">
        <v>28</v>
      </c>
      <c r="B20" s="5" t="s">
        <v>342</v>
      </c>
      <c r="C20" s="5" t="s">
        <v>342</v>
      </c>
      <c r="D20" t="b">
        <f t="shared" si="0"/>
        <v>0</v>
      </c>
    </row>
    <row r="21" spans="1:7" x14ac:dyDescent="0.25">
      <c r="A21" t="s">
        <v>28</v>
      </c>
      <c r="B21" s="5" t="s">
        <v>343</v>
      </c>
      <c r="C21" s="5" t="s">
        <v>343</v>
      </c>
      <c r="D21" t="b">
        <f t="shared" si="0"/>
        <v>0</v>
      </c>
    </row>
    <row r="22" spans="1:7" x14ac:dyDescent="0.25">
      <c r="A22" t="s">
        <v>28</v>
      </c>
      <c r="B22" s="5" t="s">
        <v>334</v>
      </c>
      <c r="C22" s="5" t="s">
        <v>334</v>
      </c>
      <c r="D22" t="b">
        <f t="shared" si="0"/>
        <v>0</v>
      </c>
    </row>
    <row r="23" spans="1:7" x14ac:dyDescent="0.25">
      <c r="A23" t="s">
        <v>28</v>
      </c>
      <c r="B23" s="5" t="s">
        <v>188</v>
      </c>
      <c r="C23" s="5" t="s">
        <v>188</v>
      </c>
      <c r="D23" t="b">
        <f t="shared" si="0"/>
        <v>0</v>
      </c>
    </row>
    <row r="24" spans="1:7" x14ac:dyDescent="0.25">
      <c r="A24" t="s">
        <v>28</v>
      </c>
      <c r="B24" s="5" t="s">
        <v>265</v>
      </c>
      <c r="C24" s="5" t="s">
        <v>265</v>
      </c>
      <c r="D24" t="b">
        <f t="shared" si="0"/>
        <v>0</v>
      </c>
    </row>
    <row r="25" spans="1:7" x14ac:dyDescent="0.25">
      <c r="A25" t="s">
        <v>28</v>
      </c>
      <c r="B25" s="5" t="s">
        <v>335</v>
      </c>
      <c r="C25" s="5" t="s">
        <v>335</v>
      </c>
      <c r="D25" t="b">
        <f t="shared" si="0"/>
        <v>0</v>
      </c>
    </row>
    <row r="26" spans="1:7" x14ac:dyDescent="0.25">
      <c r="A26" t="s">
        <v>28</v>
      </c>
      <c r="B26" s="5" t="s">
        <v>186</v>
      </c>
      <c r="C26" s="5" t="s">
        <v>186</v>
      </c>
      <c r="D26" t="b">
        <f t="shared" si="0"/>
        <v>0</v>
      </c>
    </row>
    <row r="27" spans="1:7" x14ac:dyDescent="0.25">
      <c r="A27" t="s">
        <v>28</v>
      </c>
      <c r="B27" s="5" t="s">
        <v>184</v>
      </c>
      <c r="C27" s="5" t="s">
        <v>184</v>
      </c>
      <c r="D27" t="b">
        <f t="shared" si="0"/>
        <v>0</v>
      </c>
    </row>
    <row r="28" spans="1:7" x14ac:dyDescent="0.25">
      <c r="A28" t="s">
        <v>28</v>
      </c>
      <c r="B28" s="5" t="s">
        <v>336</v>
      </c>
      <c r="C28" s="5" t="s">
        <v>336</v>
      </c>
      <c r="D28" t="b">
        <f t="shared" si="0"/>
        <v>0</v>
      </c>
    </row>
    <row r="29" spans="1:7" x14ac:dyDescent="0.25">
      <c r="A29" t="s">
        <v>28</v>
      </c>
      <c r="B29" s="5" t="s">
        <v>337</v>
      </c>
      <c r="C29" s="5" t="s">
        <v>337</v>
      </c>
      <c r="D29" t="b">
        <f t="shared" si="0"/>
        <v>0</v>
      </c>
    </row>
    <row r="30" spans="1:7" x14ac:dyDescent="0.25">
      <c r="A30" t="s">
        <v>28</v>
      </c>
      <c r="B30" s="5" t="s">
        <v>338</v>
      </c>
      <c r="C30" s="5" t="s">
        <v>338</v>
      </c>
      <c r="D30" t="b">
        <f t="shared" si="0"/>
        <v>0</v>
      </c>
    </row>
    <row r="31" spans="1:7" x14ac:dyDescent="0.25">
      <c r="A31" t="s">
        <v>28</v>
      </c>
      <c r="B31" s="5" t="s">
        <v>339</v>
      </c>
      <c r="C31" s="5" t="s">
        <v>339</v>
      </c>
      <c r="D31" t="b">
        <f t="shared" si="0"/>
        <v>0</v>
      </c>
    </row>
    <row r="32" spans="1:7" x14ac:dyDescent="0.25">
      <c r="A32" t="s">
        <v>28</v>
      </c>
      <c r="B32" s="5" t="s">
        <v>66</v>
      </c>
      <c r="C32" s="5" t="s">
        <v>66</v>
      </c>
      <c r="D32" t="b">
        <f t="shared" si="0"/>
        <v>0</v>
      </c>
    </row>
    <row r="33" spans="1:4" x14ac:dyDescent="0.25">
      <c r="A33" t="s">
        <v>28</v>
      </c>
      <c r="B33" s="5" t="s">
        <v>340</v>
      </c>
      <c r="C33" s="5" t="s">
        <v>340</v>
      </c>
      <c r="D33" t="b">
        <f t="shared" si="0"/>
        <v>0</v>
      </c>
    </row>
    <row r="34" spans="1:4" x14ac:dyDescent="0.25">
      <c r="A34" t="s">
        <v>28</v>
      </c>
      <c r="B34" s="5" t="s">
        <v>341</v>
      </c>
      <c r="C34" s="5" t="s">
        <v>341</v>
      </c>
      <c r="D34" t="b">
        <f t="shared" si="0"/>
        <v>0</v>
      </c>
    </row>
    <row r="35" spans="1:4" x14ac:dyDescent="0.25">
      <c r="A35" t="s">
        <v>28</v>
      </c>
      <c r="B35" s="5" t="s">
        <v>41</v>
      </c>
      <c r="C35" s="5" t="s">
        <v>41</v>
      </c>
      <c r="D35" t="b">
        <f t="shared" si="0"/>
        <v>0</v>
      </c>
    </row>
    <row r="36" spans="1:4" x14ac:dyDescent="0.25">
      <c r="A36" t="s">
        <v>28</v>
      </c>
      <c r="B36" s="5" t="s">
        <v>37</v>
      </c>
      <c r="C36" s="5" t="s">
        <v>37</v>
      </c>
      <c r="D36" t="b">
        <f t="shared" si="0"/>
        <v>0</v>
      </c>
    </row>
    <row r="37" spans="1:4" x14ac:dyDescent="0.25">
      <c r="A37" t="s">
        <v>28</v>
      </c>
      <c r="B37" s="5" t="s">
        <v>38</v>
      </c>
      <c r="C37" s="5" t="s">
        <v>38</v>
      </c>
      <c r="D37" t="b">
        <f t="shared" si="0"/>
        <v>0</v>
      </c>
    </row>
    <row r="38" spans="1:4" x14ac:dyDescent="0.25">
      <c r="A38" t="s">
        <v>28</v>
      </c>
      <c r="B38" s="5" t="s">
        <v>39</v>
      </c>
      <c r="C38" s="5" t="s">
        <v>39</v>
      </c>
      <c r="D38" t="b">
        <f t="shared" si="0"/>
        <v>0</v>
      </c>
    </row>
    <row r="39" spans="1:4" x14ac:dyDescent="0.25">
      <c r="A39" t="s">
        <v>34</v>
      </c>
      <c r="B39" s="5" t="s">
        <v>201</v>
      </c>
      <c r="C39" s="5" t="s">
        <v>201</v>
      </c>
      <c r="D39" t="b">
        <f t="shared" si="0"/>
        <v>0</v>
      </c>
    </row>
    <row r="40" spans="1:4" x14ac:dyDescent="0.25">
      <c r="A40" t="s">
        <v>34</v>
      </c>
      <c r="B40" s="5" t="s">
        <v>147</v>
      </c>
      <c r="C40" s="5" t="s">
        <v>147</v>
      </c>
      <c r="D40" t="b">
        <f t="shared" si="0"/>
        <v>0</v>
      </c>
    </row>
    <row r="41" spans="1:4" x14ac:dyDescent="0.25">
      <c r="A41" t="s">
        <v>34</v>
      </c>
      <c r="B41" s="5" t="s">
        <v>202</v>
      </c>
      <c r="C41" s="5" t="s">
        <v>202</v>
      </c>
      <c r="D41" t="b">
        <f t="shared" si="0"/>
        <v>0</v>
      </c>
    </row>
    <row r="42" spans="1:4" x14ac:dyDescent="0.25">
      <c r="A42" t="s">
        <v>34</v>
      </c>
      <c r="B42" s="5" t="s">
        <v>200</v>
      </c>
      <c r="C42" s="5" t="s">
        <v>200</v>
      </c>
      <c r="D42" t="b">
        <f t="shared" si="0"/>
        <v>0</v>
      </c>
    </row>
    <row r="43" spans="1:4" x14ac:dyDescent="0.25">
      <c r="A43" t="s">
        <v>34</v>
      </c>
      <c r="B43" s="5" t="s">
        <v>344</v>
      </c>
      <c r="C43" s="5" t="s">
        <v>344</v>
      </c>
      <c r="D43" t="b">
        <f t="shared" si="0"/>
        <v>0</v>
      </c>
    </row>
    <row r="44" spans="1:4" x14ac:dyDescent="0.25">
      <c r="A44" t="s">
        <v>34</v>
      </c>
      <c r="B44" s="5" t="s">
        <v>345</v>
      </c>
      <c r="C44" s="5" t="s">
        <v>345</v>
      </c>
      <c r="D44" t="b">
        <f t="shared" si="0"/>
        <v>0</v>
      </c>
    </row>
    <row r="45" spans="1:4" x14ac:dyDescent="0.25">
      <c r="A45" t="s">
        <v>34</v>
      </c>
      <c r="B45" s="5" t="s">
        <v>203</v>
      </c>
      <c r="C45" s="5" t="s">
        <v>203</v>
      </c>
      <c r="D45" t="b">
        <f t="shared" si="0"/>
        <v>0</v>
      </c>
    </row>
    <row r="46" spans="1:4" x14ac:dyDescent="0.25">
      <c r="A46" t="s">
        <v>34</v>
      </c>
      <c r="B46" s="5" t="s">
        <v>204</v>
      </c>
      <c r="C46" s="5" t="s">
        <v>204</v>
      </c>
      <c r="D46" t="b">
        <f t="shared" si="0"/>
        <v>0</v>
      </c>
    </row>
    <row r="47" spans="1:4" x14ac:dyDescent="0.25">
      <c r="A47" t="s">
        <v>34</v>
      </c>
      <c r="B47" s="5" t="s">
        <v>152</v>
      </c>
      <c r="C47" s="5" t="s">
        <v>1912</v>
      </c>
      <c r="D47" t="b">
        <f t="shared" si="0"/>
        <v>1</v>
      </c>
    </row>
    <row r="48" spans="1:4" x14ac:dyDescent="0.25">
      <c r="A48" t="s">
        <v>34</v>
      </c>
      <c r="B48" s="5" t="s">
        <v>198</v>
      </c>
      <c r="C48" s="5" t="s">
        <v>198</v>
      </c>
      <c r="D48" t="b">
        <f t="shared" si="0"/>
        <v>0</v>
      </c>
    </row>
    <row r="49" spans="1:4" x14ac:dyDescent="0.25">
      <c r="A49" t="s">
        <v>34</v>
      </c>
      <c r="B49" s="5" t="s">
        <v>199</v>
      </c>
      <c r="C49" s="5" t="s">
        <v>199</v>
      </c>
      <c r="D49" t="b">
        <f t="shared" si="0"/>
        <v>0</v>
      </c>
    </row>
    <row r="50" spans="1:4" x14ac:dyDescent="0.25">
      <c r="A50" t="s">
        <v>34</v>
      </c>
      <c r="B50" s="5" t="s">
        <v>346</v>
      </c>
      <c r="C50" s="5" t="s">
        <v>346</v>
      </c>
      <c r="D50" t="b">
        <f t="shared" si="0"/>
        <v>0</v>
      </c>
    </row>
    <row r="51" spans="1:4" x14ac:dyDescent="0.25">
      <c r="A51" t="s">
        <v>34</v>
      </c>
      <c r="B51" s="5" t="s">
        <v>347</v>
      </c>
      <c r="C51" s="5" t="s">
        <v>347</v>
      </c>
      <c r="D51" t="b">
        <f t="shared" si="0"/>
        <v>0</v>
      </c>
    </row>
    <row r="52" spans="1:4" x14ac:dyDescent="0.25">
      <c r="A52" t="s">
        <v>34</v>
      </c>
      <c r="B52" s="5" t="s">
        <v>150</v>
      </c>
      <c r="C52" s="5" t="s">
        <v>150</v>
      </c>
      <c r="D52" t="b">
        <f t="shared" si="0"/>
        <v>0</v>
      </c>
    </row>
    <row r="53" spans="1:4" x14ac:dyDescent="0.25">
      <c r="A53" t="s">
        <v>34</v>
      </c>
      <c r="B53" s="5" t="s">
        <v>349</v>
      </c>
      <c r="C53" s="5" t="s">
        <v>349</v>
      </c>
      <c r="D53" t="b">
        <f t="shared" si="0"/>
        <v>0</v>
      </c>
    </row>
    <row r="54" spans="1:4" x14ac:dyDescent="0.25">
      <c r="A54" t="s">
        <v>34</v>
      </c>
      <c r="B54" s="5" t="s">
        <v>354</v>
      </c>
      <c r="C54" s="5" t="s">
        <v>1913</v>
      </c>
      <c r="D54" t="b">
        <f t="shared" si="0"/>
        <v>1</v>
      </c>
    </row>
    <row r="55" spans="1:4" x14ac:dyDescent="0.25">
      <c r="A55" t="s">
        <v>34</v>
      </c>
      <c r="B55" s="5" t="s">
        <v>351</v>
      </c>
      <c r="C55" s="5" t="s">
        <v>351</v>
      </c>
      <c r="D55" t="b">
        <f t="shared" si="0"/>
        <v>0</v>
      </c>
    </row>
    <row r="56" spans="1:4" x14ac:dyDescent="0.25">
      <c r="A56" t="s">
        <v>34</v>
      </c>
      <c r="B56" s="5" t="s">
        <v>352</v>
      </c>
      <c r="C56" s="5" t="s">
        <v>352</v>
      </c>
      <c r="D56" t="b">
        <f t="shared" si="0"/>
        <v>0</v>
      </c>
    </row>
    <row r="57" spans="1:4" x14ac:dyDescent="0.25">
      <c r="A57" t="s">
        <v>34</v>
      </c>
      <c r="B57" s="5" t="s">
        <v>353</v>
      </c>
      <c r="C57" s="5" t="s">
        <v>353</v>
      </c>
      <c r="D57" t="b">
        <f t="shared" si="0"/>
        <v>0</v>
      </c>
    </row>
    <row r="58" spans="1:4" x14ac:dyDescent="0.25">
      <c r="A58" t="s">
        <v>34</v>
      </c>
      <c r="B58" s="5" t="s">
        <v>1911</v>
      </c>
      <c r="C58" s="5" t="s">
        <v>1911</v>
      </c>
      <c r="D58" t="b">
        <f t="shared" si="0"/>
        <v>0</v>
      </c>
    </row>
    <row r="59" spans="1:4" x14ac:dyDescent="0.25">
      <c r="A59" t="s">
        <v>36</v>
      </c>
      <c r="B59" s="5" t="s">
        <v>355</v>
      </c>
      <c r="C59" s="5" t="s">
        <v>355</v>
      </c>
      <c r="D59" t="b">
        <f t="shared" si="0"/>
        <v>0</v>
      </c>
    </row>
    <row r="60" spans="1:4" x14ac:dyDescent="0.25">
      <c r="A60" t="s">
        <v>36</v>
      </c>
      <c r="B60" s="5" t="s">
        <v>356</v>
      </c>
      <c r="C60" s="5" t="s">
        <v>356</v>
      </c>
      <c r="D60" t="b">
        <f t="shared" si="0"/>
        <v>0</v>
      </c>
    </row>
    <row r="61" spans="1:4" x14ac:dyDescent="0.25">
      <c r="A61" t="s">
        <v>36</v>
      </c>
      <c r="B61" s="5" t="s">
        <v>357</v>
      </c>
      <c r="C61" s="5" t="s">
        <v>357</v>
      </c>
      <c r="D61" t="b">
        <f t="shared" si="0"/>
        <v>0</v>
      </c>
    </row>
    <row r="62" spans="1:4" x14ac:dyDescent="0.25">
      <c r="A62" t="s">
        <v>36</v>
      </c>
      <c r="B62" s="5" t="s">
        <v>358</v>
      </c>
      <c r="C62" s="5" t="s">
        <v>358</v>
      </c>
      <c r="D62" t="b">
        <f t="shared" si="0"/>
        <v>0</v>
      </c>
    </row>
    <row r="63" spans="1:4" x14ac:dyDescent="0.25">
      <c r="A63" t="s">
        <v>36</v>
      </c>
      <c r="B63" s="5" t="s">
        <v>359</v>
      </c>
      <c r="C63" s="5" t="s">
        <v>359</v>
      </c>
      <c r="D63" t="b">
        <f t="shared" si="0"/>
        <v>0</v>
      </c>
    </row>
    <row r="64" spans="1:4" x14ac:dyDescent="0.25">
      <c r="A64" t="s">
        <v>36</v>
      </c>
      <c r="B64" s="5" t="s">
        <v>360</v>
      </c>
      <c r="C64" s="5" t="s">
        <v>360</v>
      </c>
      <c r="D64" t="b">
        <f t="shared" si="0"/>
        <v>0</v>
      </c>
    </row>
    <row r="65" spans="1:4" x14ac:dyDescent="0.25">
      <c r="A65" t="s">
        <v>36</v>
      </c>
      <c r="B65" s="5" t="s">
        <v>361</v>
      </c>
      <c r="C65" s="5" t="s">
        <v>361</v>
      </c>
      <c r="D65" t="b">
        <f t="shared" si="0"/>
        <v>0</v>
      </c>
    </row>
    <row r="66" spans="1:4" x14ac:dyDescent="0.25">
      <c r="A66" t="s">
        <v>36</v>
      </c>
      <c r="B66" s="5" t="s">
        <v>244</v>
      </c>
      <c r="C66" s="5" t="s">
        <v>244</v>
      </c>
      <c r="D66" t="b">
        <f t="shared" si="0"/>
        <v>0</v>
      </c>
    </row>
    <row r="67" spans="1:4" x14ac:dyDescent="0.25">
      <c r="A67" t="s">
        <v>36</v>
      </c>
      <c r="B67" s="5" t="s">
        <v>362</v>
      </c>
      <c r="C67" s="5" t="s">
        <v>362</v>
      </c>
      <c r="D67" t="b">
        <f t="shared" si="0"/>
        <v>0</v>
      </c>
    </row>
    <row r="68" spans="1:4" x14ac:dyDescent="0.25">
      <c r="A68" t="s">
        <v>36</v>
      </c>
      <c r="B68" s="5" t="s">
        <v>363</v>
      </c>
      <c r="C68" s="5" t="s">
        <v>363</v>
      </c>
      <c r="D68" t="b">
        <f t="shared" si="0"/>
        <v>0</v>
      </c>
    </row>
    <row r="69" spans="1:4" x14ac:dyDescent="0.25">
      <c r="A69" t="s">
        <v>36</v>
      </c>
      <c r="B69" s="5" t="s">
        <v>364</v>
      </c>
      <c r="C69" s="5" t="s">
        <v>364</v>
      </c>
      <c r="D69" t="b">
        <f t="shared" si="0"/>
        <v>0</v>
      </c>
    </row>
    <row r="70" spans="1:4" x14ac:dyDescent="0.25">
      <c r="A70" t="s">
        <v>36</v>
      </c>
      <c r="B70" s="5" t="s">
        <v>1585</v>
      </c>
      <c r="C70" s="5" t="s">
        <v>1585</v>
      </c>
      <c r="D70" t="b">
        <f t="shared" ref="D70:D102" si="2">B70&lt;&gt;C70</f>
        <v>0</v>
      </c>
    </row>
    <row r="71" spans="1:4" x14ac:dyDescent="0.25">
      <c r="A71" t="s">
        <v>325</v>
      </c>
      <c r="B71" s="5" t="s">
        <v>365</v>
      </c>
      <c r="C71" s="5" t="s">
        <v>365</v>
      </c>
      <c r="D71" t="b">
        <f t="shared" si="2"/>
        <v>0</v>
      </c>
    </row>
    <row r="72" spans="1:4" x14ac:dyDescent="0.25">
      <c r="A72" t="s">
        <v>325</v>
      </c>
      <c r="B72" s="5" t="s">
        <v>366</v>
      </c>
      <c r="C72" s="5" t="s">
        <v>366</v>
      </c>
      <c r="D72" t="b">
        <f t="shared" si="2"/>
        <v>0</v>
      </c>
    </row>
    <row r="73" spans="1:4" x14ac:dyDescent="0.25">
      <c r="A73" t="s">
        <v>325</v>
      </c>
      <c r="B73" s="5" t="s">
        <v>367</v>
      </c>
      <c r="C73" s="5" t="s">
        <v>367</v>
      </c>
      <c r="D73" t="b">
        <f t="shared" si="2"/>
        <v>0</v>
      </c>
    </row>
    <row r="74" spans="1:4" x14ac:dyDescent="0.25">
      <c r="A74" t="s">
        <v>325</v>
      </c>
      <c r="B74" s="5" t="s">
        <v>368</v>
      </c>
      <c r="C74" s="5" t="s">
        <v>368</v>
      </c>
      <c r="D74" t="b">
        <f t="shared" si="2"/>
        <v>0</v>
      </c>
    </row>
    <row r="75" spans="1:4" x14ac:dyDescent="0.25">
      <c r="A75" t="s">
        <v>325</v>
      </c>
      <c r="B75" s="5" t="s">
        <v>369</v>
      </c>
      <c r="C75" s="5" t="s">
        <v>369</v>
      </c>
      <c r="D75" t="b">
        <f t="shared" si="2"/>
        <v>0</v>
      </c>
    </row>
    <row r="76" spans="1:4" x14ac:dyDescent="0.25">
      <c r="A76" t="s">
        <v>325</v>
      </c>
      <c r="B76" s="5" t="s">
        <v>370</v>
      </c>
      <c r="C76" s="5" t="s">
        <v>370</v>
      </c>
      <c r="D76" t="b">
        <f t="shared" si="2"/>
        <v>0</v>
      </c>
    </row>
    <row r="77" spans="1:4" x14ac:dyDescent="0.25">
      <c r="A77" t="s">
        <v>325</v>
      </c>
      <c r="B77" s="5" t="s">
        <v>371</v>
      </c>
      <c r="C77" s="5" t="s">
        <v>371</v>
      </c>
      <c r="D77" t="b">
        <f t="shared" si="2"/>
        <v>0</v>
      </c>
    </row>
    <row r="78" spans="1:4" x14ac:dyDescent="0.25">
      <c r="A78" t="s">
        <v>325</v>
      </c>
      <c r="B78" s="5" t="s">
        <v>372</v>
      </c>
      <c r="C78" s="5" t="s">
        <v>372</v>
      </c>
      <c r="D78" t="b">
        <f t="shared" si="2"/>
        <v>0</v>
      </c>
    </row>
    <row r="79" spans="1:4" x14ac:dyDescent="0.25">
      <c r="A79" t="s">
        <v>325</v>
      </c>
      <c r="B79" s="5" t="s">
        <v>373</v>
      </c>
      <c r="C79" s="5" t="s">
        <v>373</v>
      </c>
      <c r="D79" t="b">
        <f t="shared" si="2"/>
        <v>0</v>
      </c>
    </row>
    <row r="80" spans="1:4" x14ac:dyDescent="0.25">
      <c r="A80" t="s">
        <v>325</v>
      </c>
      <c r="B80" s="5" t="s">
        <v>374</v>
      </c>
      <c r="C80" s="5" t="s">
        <v>374</v>
      </c>
      <c r="D80" t="b">
        <f t="shared" si="2"/>
        <v>0</v>
      </c>
    </row>
    <row r="81" spans="1:4" x14ac:dyDescent="0.25">
      <c r="A81" t="s">
        <v>325</v>
      </c>
      <c r="B81" s="5" t="s">
        <v>116</v>
      </c>
      <c r="C81" s="5" t="s">
        <v>1707</v>
      </c>
      <c r="D81" t="b">
        <f t="shared" si="2"/>
        <v>1</v>
      </c>
    </row>
    <row r="82" spans="1:4" x14ac:dyDescent="0.25">
      <c r="A82" t="s">
        <v>325</v>
      </c>
      <c r="B82" s="5" t="s">
        <v>375</v>
      </c>
      <c r="C82" s="5" t="s">
        <v>375</v>
      </c>
      <c r="D82" t="b">
        <f t="shared" si="2"/>
        <v>0</v>
      </c>
    </row>
    <row r="83" spans="1:4" x14ac:dyDescent="0.25">
      <c r="A83" t="s">
        <v>325</v>
      </c>
      <c r="B83" s="5" t="s">
        <v>376</v>
      </c>
      <c r="C83" s="5" t="s">
        <v>376</v>
      </c>
      <c r="D83" t="b">
        <f t="shared" si="2"/>
        <v>0</v>
      </c>
    </row>
    <row r="84" spans="1:4" x14ac:dyDescent="0.25">
      <c r="A84" t="s">
        <v>325</v>
      </c>
      <c r="B84" s="5" t="s">
        <v>377</v>
      </c>
      <c r="C84" s="5" t="s">
        <v>377</v>
      </c>
      <c r="D84" t="b">
        <f t="shared" si="2"/>
        <v>0</v>
      </c>
    </row>
    <row r="85" spans="1:4" x14ac:dyDescent="0.25">
      <c r="A85" t="s">
        <v>325</v>
      </c>
      <c r="B85" s="5" t="s">
        <v>378</v>
      </c>
      <c r="C85" s="5" t="s">
        <v>378</v>
      </c>
      <c r="D85" t="b">
        <f t="shared" si="2"/>
        <v>0</v>
      </c>
    </row>
    <row r="86" spans="1:4" x14ac:dyDescent="0.25">
      <c r="A86" t="s">
        <v>325</v>
      </c>
      <c r="B86" s="5" t="s">
        <v>84</v>
      </c>
      <c r="C86" s="5" t="s">
        <v>84</v>
      </c>
      <c r="D86" t="b">
        <f t="shared" si="2"/>
        <v>0</v>
      </c>
    </row>
    <row r="87" spans="1:4" x14ac:dyDescent="0.25">
      <c r="A87" t="s">
        <v>325</v>
      </c>
      <c r="B87" s="5" t="s">
        <v>379</v>
      </c>
      <c r="C87" s="5" t="s">
        <v>379</v>
      </c>
      <c r="D87" t="b">
        <f t="shared" si="2"/>
        <v>0</v>
      </c>
    </row>
    <row r="88" spans="1:4" x14ac:dyDescent="0.25">
      <c r="A88" t="s">
        <v>331</v>
      </c>
      <c r="B88" s="5" t="s">
        <v>380</v>
      </c>
      <c r="C88" s="5" t="s">
        <v>380</v>
      </c>
      <c r="D88" t="b">
        <f t="shared" si="2"/>
        <v>0</v>
      </c>
    </row>
    <row r="89" spans="1:4" x14ac:dyDescent="0.25">
      <c r="A89" t="s">
        <v>331</v>
      </c>
      <c r="B89" s="5" t="s">
        <v>381</v>
      </c>
      <c r="C89" s="5" t="s">
        <v>381</v>
      </c>
      <c r="D89" t="b">
        <f t="shared" si="2"/>
        <v>0</v>
      </c>
    </row>
    <row r="90" spans="1:4" x14ac:dyDescent="0.25">
      <c r="A90" t="s">
        <v>331</v>
      </c>
      <c r="B90" s="5" t="s">
        <v>382</v>
      </c>
      <c r="C90" s="5" t="s">
        <v>382</v>
      </c>
      <c r="D90" t="b">
        <f t="shared" si="2"/>
        <v>0</v>
      </c>
    </row>
    <row r="91" spans="1:4" x14ac:dyDescent="0.25">
      <c r="A91" t="s">
        <v>331</v>
      </c>
      <c r="B91" s="5" t="s">
        <v>383</v>
      </c>
      <c r="C91" s="5" t="s">
        <v>383</v>
      </c>
      <c r="D91" t="b">
        <f t="shared" si="2"/>
        <v>0</v>
      </c>
    </row>
    <row r="92" spans="1:4" x14ac:dyDescent="0.25">
      <c r="A92" t="s">
        <v>331</v>
      </c>
      <c r="B92" s="5" t="s">
        <v>384</v>
      </c>
      <c r="C92" s="5" t="s">
        <v>384</v>
      </c>
      <c r="D92" t="b">
        <f t="shared" si="2"/>
        <v>0</v>
      </c>
    </row>
    <row r="93" spans="1:4" x14ac:dyDescent="0.25">
      <c r="A93" t="s">
        <v>331</v>
      </c>
      <c r="B93" s="5" t="s">
        <v>385</v>
      </c>
      <c r="C93" s="5" t="s">
        <v>385</v>
      </c>
      <c r="D93" t="b">
        <f t="shared" si="2"/>
        <v>0</v>
      </c>
    </row>
    <row r="94" spans="1:4" x14ac:dyDescent="0.25">
      <c r="A94" t="s">
        <v>331</v>
      </c>
      <c r="B94" s="5" t="s">
        <v>386</v>
      </c>
      <c r="C94" s="5" t="s">
        <v>386</v>
      </c>
      <c r="D94" t="b">
        <f t="shared" si="2"/>
        <v>0</v>
      </c>
    </row>
    <row r="95" spans="1:4" x14ac:dyDescent="0.25">
      <c r="A95" t="s">
        <v>331</v>
      </c>
      <c r="B95" s="5" t="s">
        <v>387</v>
      </c>
      <c r="C95" s="5" t="s">
        <v>387</v>
      </c>
      <c r="D95" t="b">
        <f t="shared" si="2"/>
        <v>0</v>
      </c>
    </row>
    <row r="96" spans="1:4" x14ac:dyDescent="0.25">
      <c r="A96" t="s">
        <v>327</v>
      </c>
      <c r="B96" s="5" t="s">
        <v>388</v>
      </c>
      <c r="C96" s="5" t="s">
        <v>388</v>
      </c>
      <c r="D96" t="b">
        <f t="shared" si="2"/>
        <v>0</v>
      </c>
    </row>
    <row r="97" spans="1:4" x14ac:dyDescent="0.25">
      <c r="A97" t="s">
        <v>327</v>
      </c>
      <c r="B97" s="5" t="s">
        <v>389</v>
      </c>
      <c r="C97" s="5" t="s">
        <v>389</v>
      </c>
      <c r="D97" t="b">
        <f t="shared" si="2"/>
        <v>0</v>
      </c>
    </row>
    <row r="98" spans="1:4" x14ac:dyDescent="0.25">
      <c r="A98" t="s">
        <v>327</v>
      </c>
      <c r="B98" s="5" t="s">
        <v>390</v>
      </c>
      <c r="C98" s="5" t="s">
        <v>390</v>
      </c>
      <c r="D98" t="b">
        <f t="shared" si="2"/>
        <v>0</v>
      </c>
    </row>
    <row r="99" spans="1:4" x14ac:dyDescent="0.25">
      <c r="A99" t="s">
        <v>329</v>
      </c>
      <c r="B99" s="5" t="s">
        <v>391</v>
      </c>
      <c r="C99" s="5" t="s">
        <v>391</v>
      </c>
      <c r="D99" t="b">
        <f t="shared" si="2"/>
        <v>0</v>
      </c>
    </row>
    <row r="100" spans="1:4" x14ac:dyDescent="0.25">
      <c r="A100" t="s">
        <v>329</v>
      </c>
      <c r="B100" s="5" t="s">
        <v>392</v>
      </c>
      <c r="C100" s="5" t="s">
        <v>392</v>
      </c>
      <c r="D100" t="b">
        <f t="shared" si="2"/>
        <v>0</v>
      </c>
    </row>
    <row r="101" spans="1:4" x14ac:dyDescent="0.25">
      <c r="A101" t="s">
        <v>329</v>
      </c>
      <c r="B101" s="5" t="s">
        <v>393</v>
      </c>
      <c r="C101" s="5" t="s">
        <v>393</v>
      </c>
      <c r="D101" t="b">
        <f t="shared" si="2"/>
        <v>0</v>
      </c>
    </row>
    <row r="102" spans="1:4" x14ac:dyDescent="0.25">
      <c r="A102" t="s">
        <v>329</v>
      </c>
      <c r="B102" s="5" t="s">
        <v>394</v>
      </c>
      <c r="C102" s="5" t="s">
        <v>394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11A6EDC3-DDCE-456F-B2D9-4C7442A7AB5C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0468A71A-B3CB-4479-8577-628C2F366AA5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D87C-9A05-4A83-B394-B1C52A2E2B4C}">
  <sheetPr codeName="Planilha11"/>
  <dimension ref="A1:H102"/>
  <sheetViews>
    <sheetView topLeftCell="A69" workbookViewId="0">
      <selection activeCell="B78" sqref="B7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" bestFit="1" customWidth="1"/>
    <col min="9" max="9" width="9.85546875" bestFit="1" customWidth="1"/>
  </cols>
  <sheetData>
    <row r="1" spans="1:8" ht="21" customHeight="1" x14ac:dyDescent="0.25">
      <c r="A1" s="29" t="s">
        <v>395</v>
      </c>
      <c r="B1" s="29"/>
      <c r="C1" s="29"/>
      <c r="D1" s="29"/>
      <c r="E1" s="29"/>
      <c r="F1" s="29"/>
      <c r="G1" s="29"/>
    </row>
    <row r="2" spans="1:8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11</v>
      </c>
    </row>
    <row r="3" spans="1:8" x14ac:dyDescent="0.25">
      <c r="A3" s="5" t="s">
        <v>2002</v>
      </c>
      <c r="B3" s="5" t="s">
        <v>395</v>
      </c>
      <c r="C3" s="5" t="s">
        <v>395</v>
      </c>
      <c r="D3" t="b">
        <f>B3&lt;&gt;C3</f>
        <v>0</v>
      </c>
      <c r="F3" s="4" t="s">
        <v>30</v>
      </c>
      <c r="G3" s="3">
        <f>SUM(G6:G26)</f>
        <v>100</v>
      </c>
    </row>
    <row r="4" spans="1:8" x14ac:dyDescent="0.25">
      <c r="A4" t="s">
        <v>28</v>
      </c>
      <c r="B4" s="5" t="s">
        <v>196</v>
      </c>
      <c r="C4" s="5" t="s">
        <v>196</v>
      </c>
      <c r="D4" t="b">
        <f>B4&lt;&gt;C4</f>
        <v>0</v>
      </c>
    </row>
    <row r="5" spans="1:8" x14ac:dyDescent="0.25">
      <c r="A5" t="s">
        <v>28</v>
      </c>
      <c r="B5" s="5" t="s">
        <v>33</v>
      </c>
      <c r="C5" s="5" t="s">
        <v>33</v>
      </c>
      <c r="D5" t="b">
        <f t="shared" ref="D5:D68" si="0">B5&lt;&gt;C5</f>
        <v>0</v>
      </c>
      <c r="F5" s="6" t="s">
        <v>32</v>
      </c>
      <c r="G5" s="1"/>
    </row>
    <row r="6" spans="1:8" x14ac:dyDescent="0.25">
      <c r="A6" t="s">
        <v>28</v>
      </c>
      <c r="B6" s="5" t="s">
        <v>396</v>
      </c>
      <c r="C6" s="5" t="s">
        <v>396</v>
      </c>
      <c r="D6" t="b">
        <f t="shared" si="0"/>
        <v>0</v>
      </c>
      <c r="F6" s="3" t="s">
        <v>2002</v>
      </c>
      <c r="G6" s="2">
        <f t="shared" ref="G6:G13" si="1">COUNTIF(A:A,F6)</f>
        <v>1</v>
      </c>
    </row>
    <row r="7" spans="1:8" x14ac:dyDescent="0.25">
      <c r="A7" t="s">
        <v>28</v>
      </c>
      <c r="B7" s="5" t="s">
        <v>67</v>
      </c>
      <c r="C7" s="5" t="s">
        <v>67</v>
      </c>
      <c r="D7" t="b">
        <f t="shared" si="0"/>
        <v>0</v>
      </c>
      <c r="F7" s="7" t="s">
        <v>28</v>
      </c>
      <c r="G7" s="2">
        <f t="shared" si="1"/>
        <v>38</v>
      </c>
    </row>
    <row r="8" spans="1:8" x14ac:dyDescent="0.25">
      <c r="A8" t="s">
        <v>28</v>
      </c>
      <c r="B8" s="5" t="s">
        <v>137</v>
      </c>
      <c r="C8" s="5" t="s">
        <v>137</v>
      </c>
      <c r="D8" t="b">
        <f t="shared" si="0"/>
        <v>0</v>
      </c>
      <c r="F8" s="7" t="s">
        <v>34</v>
      </c>
      <c r="G8" s="2">
        <f t="shared" si="1"/>
        <v>17</v>
      </c>
    </row>
    <row r="9" spans="1:8" x14ac:dyDescent="0.25">
      <c r="A9" t="s">
        <v>28</v>
      </c>
      <c r="B9" s="5" t="s">
        <v>264</v>
      </c>
      <c r="C9" s="5" t="s">
        <v>264</v>
      </c>
      <c r="D9" t="b">
        <f t="shared" si="0"/>
        <v>0</v>
      </c>
      <c r="F9" s="7" t="s">
        <v>58</v>
      </c>
      <c r="G9" s="2">
        <f t="shared" si="1"/>
        <v>17</v>
      </c>
    </row>
    <row r="10" spans="1:8" x14ac:dyDescent="0.25">
      <c r="A10" t="s">
        <v>28</v>
      </c>
      <c r="B10" s="5" t="s">
        <v>54</v>
      </c>
      <c r="C10" s="5" t="s">
        <v>54</v>
      </c>
      <c r="D10" t="b">
        <f t="shared" si="0"/>
        <v>0</v>
      </c>
      <c r="F10" s="7" t="s">
        <v>331</v>
      </c>
      <c r="G10" s="2">
        <f t="shared" si="1"/>
        <v>9</v>
      </c>
    </row>
    <row r="11" spans="1:8" x14ac:dyDescent="0.25">
      <c r="A11" t="s">
        <v>28</v>
      </c>
      <c r="B11" s="5" t="s">
        <v>397</v>
      </c>
      <c r="C11" s="5" t="s">
        <v>397</v>
      </c>
      <c r="D11" t="b">
        <f t="shared" si="0"/>
        <v>0</v>
      </c>
      <c r="F11" s="7" t="s">
        <v>327</v>
      </c>
      <c r="G11" s="2">
        <f t="shared" si="1"/>
        <v>6</v>
      </c>
    </row>
    <row r="12" spans="1:8" x14ac:dyDescent="0.25">
      <c r="A12" t="s">
        <v>28</v>
      </c>
      <c r="B12" s="5" t="s">
        <v>398</v>
      </c>
      <c r="C12" s="5" t="s">
        <v>398</v>
      </c>
      <c r="D12" t="b">
        <f t="shared" si="0"/>
        <v>0</v>
      </c>
      <c r="F12" s="7" t="s">
        <v>61</v>
      </c>
      <c r="G12" s="2">
        <f t="shared" si="1"/>
        <v>8</v>
      </c>
    </row>
    <row r="13" spans="1:8" x14ac:dyDescent="0.25">
      <c r="A13" t="s">
        <v>28</v>
      </c>
      <c r="B13" s="5" t="s">
        <v>399</v>
      </c>
      <c r="C13" s="5" t="s">
        <v>399</v>
      </c>
      <c r="D13" t="b">
        <f t="shared" si="0"/>
        <v>0</v>
      </c>
      <c r="F13" s="7" t="s">
        <v>401</v>
      </c>
      <c r="G13" s="2">
        <f t="shared" si="1"/>
        <v>4</v>
      </c>
    </row>
    <row r="14" spans="1:8" x14ac:dyDescent="0.25">
      <c r="A14" t="s">
        <v>28</v>
      </c>
      <c r="B14" s="5" t="s">
        <v>78</v>
      </c>
      <c r="C14" s="5" t="s">
        <v>400</v>
      </c>
      <c r="D14" t="b">
        <f t="shared" si="0"/>
        <v>1</v>
      </c>
    </row>
    <row r="15" spans="1:8" x14ac:dyDescent="0.25">
      <c r="A15" t="s">
        <v>28</v>
      </c>
      <c r="B15" s="5" t="s">
        <v>402</v>
      </c>
      <c r="C15" s="5" t="s">
        <v>402</v>
      </c>
      <c r="D15" t="b">
        <f t="shared" si="0"/>
        <v>0</v>
      </c>
    </row>
    <row r="16" spans="1:8" x14ac:dyDescent="0.25">
      <c r="A16" t="s">
        <v>28</v>
      </c>
      <c r="B16" s="5" t="s">
        <v>403</v>
      </c>
      <c r="C16" s="5" t="s">
        <v>403</v>
      </c>
      <c r="D16" t="b">
        <f t="shared" si="0"/>
        <v>0</v>
      </c>
      <c r="F16" s="7"/>
      <c r="G16" s="2"/>
      <c r="H16" s="3"/>
    </row>
    <row r="17" spans="1:7" x14ac:dyDescent="0.25">
      <c r="A17" t="s">
        <v>28</v>
      </c>
      <c r="B17" s="5" t="s">
        <v>404</v>
      </c>
      <c r="C17" s="5" t="s">
        <v>404</v>
      </c>
      <c r="D17" t="b">
        <f t="shared" si="0"/>
        <v>0</v>
      </c>
    </row>
    <row r="18" spans="1:7" x14ac:dyDescent="0.25">
      <c r="A18" t="s">
        <v>28</v>
      </c>
      <c r="B18" s="5" t="s">
        <v>79</v>
      </c>
      <c r="C18" s="5" t="s">
        <v>405</v>
      </c>
      <c r="D18" t="b">
        <f t="shared" si="0"/>
        <v>1</v>
      </c>
      <c r="F18" s="4"/>
      <c r="G18" s="2"/>
    </row>
    <row r="19" spans="1:7" x14ac:dyDescent="0.25">
      <c r="A19" t="s">
        <v>28</v>
      </c>
      <c r="B19" s="5" t="s">
        <v>79</v>
      </c>
      <c r="C19" s="5" t="s">
        <v>406</v>
      </c>
      <c r="D19" t="b">
        <f t="shared" si="0"/>
        <v>1</v>
      </c>
    </row>
    <row r="20" spans="1:7" x14ac:dyDescent="0.25">
      <c r="A20" t="s">
        <v>28</v>
      </c>
      <c r="B20" s="5" t="s">
        <v>407</v>
      </c>
      <c r="C20" s="5" t="s">
        <v>407</v>
      </c>
      <c r="D20" t="b">
        <f t="shared" si="0"/>
        <v>0</v>
      </c>
    </row>
    <row r="21" spans="1:7" x14ac:dyDescent="0.25">
      <c r="A21" t="s">
        <v>28</v>
      </c>
      <c r="B21" s="5" t="s">
        <v>408</v>
      </c>
      <c r="C21" s="5" t="s">
        <v>408</v>
      </c>
      <c r="D21" t="b">
        <f t="shared" si="0"/>
        <v>0</v>
      </c>
    </row>
    <row r="22" spans="1:7" x14ac:dyDescent="0.25">
      <c r="A22" t="s">
        <v>28</v>
      </c>
      <c r="B22" s="5" t="s">
        <v>409</v>
      </c>
      <c r="C22" s="5" t="s">
        <v>409</v>
      </c>
      <c r="D22" t="b">
        <f t="shared" si="0"/>
        <v>0</v>
      </c>
    </row>
    <row r="23" spans="1:7" x14ac:dyDescent="0.25">
      <c r="A23" t="s">
        <v>28</v>
      </c>
      <c r="B23" s="5" t="s">
        <v>410</v>
      </c>
      <c r="C23" s="5" t="s">
        <v>410</v>
      </c>
      <c r="D23" t="b">
        <f t="shared" si="0"/>
        <v>0</v>
      </c>
    </row>
    <row r="24" spans="1:7" x14ac:dyDescent="0.25">
      <c r="A24" t="s">
        <v>28</v>
      </c>
      <c r="B24" s="5" t="s">
        <v>56</v>
      </c>
      <c r="C24" s="5" t="s">
        <v>56</v>
      </c>
      <c r="D24" t="b">
        <f t="shared" si="0"/>
        <v>0</v>
      </c>
    </row>
    <row r="25" spans="1:7" x14ac:dyDescent="0.25">
      <c r="A25" t="s">
        <v>28</v>
      </c>
      <c r="B25" s="5" t="s">
        <v>411</v>
      </c>
      <c r="C25" s="5" t="s">
        <v>412</v>
      </c>
      <c r="D25" t="b">
        <f t="shared" si="0"/>
        <v>1</v>
      </c>
    </row>
    <row r="26" spans="1:7" x14ac:dyDescent="0.25">
      <c r="A26" t="s">
        <v>28</v>
      </c>
      <c r="B26" s="5" t="s">
        <v>68</v>
      </c>
      <c r="C26" s="5" t="s">
        <v>68</v>
      </c>
      <c r="D26" t="b">
        <f t="shared" si="0"/>
        <v>0</v>
      </c>
    </row>
    <row r="27" spans="1:7" x14ac:dyDescent="0.25">
      <c r="A27" t="s">
        <v>28</v>
      </c>
      <c r="B27" s="5" t="s">
        <v>73</v>
      </c>
      <c r="C27" s="5" t="s">
        <v>73</v>
      </c>
      <c r="D27" t="b">
        <f t="shared" si="0"/>
        <v>0</v>
      </c>
    </row>
    <row r="28" spans="1:7" x14ac:dyDescent="0.25">
      <c r="A28" t="s">
        <v>28</v>
      </c>
      <c r="B28" s="5" t="s">
        <v>76</v>
      </c>
      <c r="C28" s="5" t="s">
        <v>76</v>
      </c>
      <c r="D28" t="b">
        <f t="shared" si="0"/>
        <v>0</v>
      </c>
    </row>
    <row r="29" spans="1:7" x14ac:dyDescent="0.25">
      <c r="A29" t="s">
        <v>28</v>
      </c>
      <c r="B29" s="5" t="s">
        <v>75</v>
      </c>
      <c r="C29" s="5" t="s">
        <v>75</v>
      </c>
      <c r="D29" t="b">
        <f t="shared" si="0"/>
        <v>0</v>
      </c>
    </row>
    <row r="30" spans="1:7" x14ac:dyDescent="0.25">
      <c r="A30" t="s">
        <v>28</v>
      </c>
      <c r="B30" s="5" t="s">
        <v>71</v>
      </c>
      <c r="C30" s="5" t="s">
        <v>71</v>
      </c>
      <c r="D30" t="b">
        <f t="shared" si="0"/>
        <v>0</v>
      </c>
    </row>
    <row r="31" spans="1:7" x14ac:dyDescent="0.25">
      <c r="A31" t="s">
        <v>28</v>
      </c>
      <c r="B31" s="5" t="s">
        <v>324</v>
      </c>
      <c r="C31" s="5" t="s">
        <v>324</v>
      </c>
      <c r="D31" t="b">
        <f t="shared" si="0"/>
        <v>0</v>
      </c>
    </row>
    <row r="32" spans="1:7" x14ac:dyDescent="0.25">
      <c r="A32" t="s">
        <v>28</v>
      </c>
      <c r="B32" s="5" t="s">
        <v>79</v>
      </c>
      <c r="C32" s="5" t="s">
        <v>79</v>
      </c>
      <c r="D32" t="b">
        <f t="shared" si="0"/>
        <v>0</v>
      </c>
    </row>
    <row r="33" spans="1:4" x14ac:dyDescent="0.25">
      <c r="A33" t="s">
        <v>28</v>
      </c>
      <c r="B33" s="5" t="s">
        <v>79</v>
      </c>
      <c r="C33" s="5" t="s">
        <v>79</v>
      </c>
      <c r="D33" t="b">
        <f t="shared" si="0"/>
        <v>0</v>
      </c>
    </row>
    <row r="34" spans="1:4" x14ac:dyDescent="0.25">
      <c r="A34" t="s">
        <v>28</v>
      </c>
      <c r="B34" s="5" t="s">
        <v>79</v>
      </c>
      <c r="C34" s="5" t="s">
        <v>79</v>
      </c>
      <c r="D34" t="b">
        <f t="shared" si="0"/>
        <v>0</v>
      </c>
    </row>
    <row r="35" spans="1:4" x14ac:dyDescent="0.25">
      <c r="A35" t="s">
        <v>28</v>
      </c>
      <c r="B35" s="5" t="s">
        <v>79</v>
      </c>
      <c r="C35" s="5" t="s">
        <v>79</v>
      </c>
      <c r="D35" t="b">
        <f t="shared" si="0"/>
        <v>0</v>
      </c>
    </row>
    <row r="36" spans="1:4" x14ac:dyDescent="0.25">
      <c r="A36" t="s">
        <v>28</v>
      </c>
      <c r="B36" s="5" t="s">
        <v>79</v>
      </c>
      <c r="C36" s="5" t="s">
        <v>79</v>
      </c>
      <c r="D36" t="b">
        <f t="shared" si="0"/>
        <v>0</v>
      </c>
    </row>
    <row r="37" spans="1:4" x14ac:dyDescent="0.25">
      <c r="A37" t="s">
        <v>28</v>
      </c>
      <c r="B37" s="5" t="s">
        <v>79</v>
      </c>
      <c r="C37" s="5" t="s">
        <v>79</v>
      </c>
      <c r="D37" t="b">
        <f t="shared" si="0"/>
        <v>0</v>
      </c>
    </row>
    <row r="38" spans="1:4" x14ac:dyDescent="0.25">
      <c r="A38" t="s">
        <v>28</v>
      </c>
      <c r="B38" s="5" t="s">
        <v>78</v>
      </c>
      <c r="C38" s="5" t="s">
        <v>78</v>
      </c>
      <c r="D38" t="b">
        <f t="shared" si="0"/>
        <v>0</v>
      </c>
    </row>
    <row r="39" spans="1:4" x14ac:dyDescent="0.25">
      <c r="A39" t="s">
        <v>28</v>
      </c>
      <c r="B39" s="5" t="s">
        <v>78</v>
      </c>
      <c r="C39" s="5" t="s">
        <v>78</v>
      </c>
      <c r="D39" t="b">
        <f t="shared" si="0"/>
        <v>0</v>
      </c>
    </row>
    <row r="40" spans="1:4" x14ac:dyDescent="0.25">
      <c r="A40" t="s">
        <v>28</v>
      </c>
      <c r="B40" s="5" t="s">
        <v>78</v>
      </c>
      <c r="C40" s="5" t="s">
        <v>78</v>
      </c>
      <c r="D40" t="b">
        <f t="shared" si="0"/>
        <v>0</v>
      </c>
    </row>
    <row r="41" spans="1:4" x14ac:dyDescent="0.25">
      <c r="A41" t="s">
        <v>28</v>
      </c>
      <c r="B41" s="5" t="s">
        <v>413</v>
      </c>
      <c r="C41" s="5" t="s">
        <v>413</v>
      </c>
      <c r="D41" t="b">
        <f t="shared" si="0"/>
        <v>0</v>
      </c>
    </row>
    <row r="42" spans="1:4" x14ac:dyDescent="0.25">
      <c r="A42" t="s">
        <v>34</v>
      </c>
      <c r="B42" s="5" t="s">
        <v>414</v>
      </c>
      <c r="C42" s="5" t="s">
        <v>414</v>
      </c>
      <c r="D42" t="b">
        <f t="shared" si="0"/>
        <v>0</v>
      </c>
    </row>
    <row r="43" spans="1:4" x14ac:dyDescent="0.25">
      <c r="A43" t="s">
        <v>34</v>
      </c>
      <c r="B43" s="5" t="s">
        <v>280</v>
      </c>
      <c r="C43" s="5" t="s">
        <v>280</v>
      </c>
      <c r="D43" t="b">
        <f t="shared" si="0"/>
        <v>0</v>
      </c>
    </row>
    <row r="44" spans="1:4" x14ac:dyDescent="0.25">
      <c r="A44" t="s">
        <v>34</v>
      </c>
      <c r="B44" s="5" t="s">
        <v>276</v>
      </c>
      <c r="C44" s="5" t="s">
        <v>276</v>
      </c>
      <c r="D44" t="b">
        <f t="shared" si="0"/>
        <v>0</v>
      </c>
    </row>
    <row r="45" spans="1:4" x14ac:dyDescent="0.25">
      <c r="A45" t="s">
        <v>34</v>
      </c>
      <c r="B45" s="5" t="s">
        <v>278</v>
      </c>
      <c r="C45" s="5" t="s">
        <v>278</v>
      </c>
      <c r="D45" t="b">
        <f t="shared" si="0"/>
        <v>0</v>
      </c>
    </row>
    <row r="46" spans="1:4" x14ac:dyDescent="0.25">
      <c r="A46" t="s">
        <v>34</v>
      </c>
      <c r="B46" s="5" t="s">
        <v>277</v>
      </c>
      <c r="C46" s="5" t="s">
        <v>277</v>
      </c>
      <c r="D46" t="b">
        <f t="shared" si="0"/>
        <v>0</v>
      </c>
    </row>
    <row r="47" spans="1:4" x14ac:dyDescent="0.25">
      <c r="A47" t="s">
        <v>34</v>
      </c>
      <c r="B47" s="5" t="s">
        <v>415</v>
      </c>
      <c r="C47" s="5" t="s">
        <v>415</v>
      </c>
      <c r="D47" t="b">
        <f t="shared" si="0"/>
        <v>0</v>
      </c>
    </row>
    <row r="48" spans="1:4" x14ac:dyDescent="0.25">
      <c r="A48" t="s">
        <v>34</v>
      </c>
      <c r="B48" s="5" t="s">
        <v>83</v>
      </c>
      <c r="C48" s="5" t="s">
        <v>83</v>
      </c>
      <c r="D48" t="b">
        <f t="shared" si="0"/>
        <v>0</v>
      </c>
    </row>
    <row r="49" spans="1:4" x14ac:dyDescent="0.25">
      <c r="A49" t="s">
        <v>34</v>
      </c>
      <c r="B49" s="5" t="s">
        <v>283</v>
      </c>
      <c r="C49" s="5" t="s">
        <v>283</v>
      </c>
      <c r="D49" t="b">
        <f t="shared" si="0"/>
        <v>0</v>
      </c>
    </row>
    <row r="50" spans="1:4" x14ac:dyDescent="0.25">
      <c r="A50" t="s">
        <v>34</v>
      </c>
      <c r="B50" s="5" t="s">
        <v>416</v>
      </c>
      <c r="C50" s="5" t="s">
        <v>416</v>
      </c>
      <c r="D50" t="b">
        <f t="shared" si="0"/>
        <v>0</v>
      </c>
    </row>
    <row r="51" spans="1:4" x14ac:dyDescent="0.25">
      <c r="A51" t="s">
        <v>34</v>
      </c>
      <c r="B51" s="5" t="s">
        <v>199</v>
      </c>
      <c r="C51" s="5" t="s">
        <v>199</v>
      </c>
      <c r="D51" t="b">
        <f t="shared" si="0"/>
        <v>0</v>
      </c>
    </row>
    <row r="52" spans="1:4" x14ac:dyDescent="0.25">
      <c r="A52" t="s">
        <v>34</v>
      </c>
      <c r="B52" s="5" t="s">
        <v>198</v>
      </c>
      <c r="C52" s="5" t="s">
        <v>198</v>
      </c>
      <c r="D52" t="b">
        <f t="shared" si="0"/>
        <v>0</v>
      </c>
    </row>
    <row r="53" spans="1:4" x14ac:dyDescent="0.25">
      <c r="A53" t="s">
        <v>34</v>
      </c>
      <c r="B53" s="5" t="s">
        <v>417</v>
      </c>
      <c r="C53" s="5" t="s">
        <v>417</v>
      </c>
      <c r="D53" t="b">
        <f t="shared" si="0"/>
        <v>0</v>
      </c>
    </row>
    <row r="54" spans="1:4" x14ac:dyDescent="0.25">
      <c r="A54" t="s">
        <v>34</v>
      </c>
      <c r="B54" s="5" t="s">
        <v>418</v>
      </c>
      <c r="C54" s="5" t="s">
        <v>418</v>
      </c>
      <c r="D54" t="b">
        <f t="shared" si="0"/>
        <v>0</v>
      </c>
    </row>
    <row r="55" spans="1:4" x14ac:dyDescent="0.25">
      <c r="A55" t="s">
        <v>34</v>
      </c>
      <c r="B55" s="5" t="s">
        <v>146</v>
      </c>
      <c r="C55" s="5" t="s">
        <v>146</v>
      </c>
      <c r="D55" t="b">
        <f t="shared" si="0"/>
        <v>0</v>
      </c>
    </row>
    <row r="56" spans="1:4" x14ac:dyDescent="0.25">
      <c r="A56" t="s">
        <v>34</v>
      </c>
      <c r="B56" s="5" t="s">
        <v>80</v>
      </c>
      <c r="C56" s="5" t="s">
        <v>80</v>
      </c>
      <c r="D56" t="b">
        <f t="shared" si="0"/>
        <v>0</v>
      </c>
    </row>
    <row r="57" spans="1:4" x14ac:dyDescent="0.25">
      <c r="A57" t="s">
        <v>34</v>
      </c>
      <c r="B57" s="5" t="s">
        <v>419</v>
      </c>
      <c r="C57" s="5" t="s">
        <v>420</v>
      </c>
      <c r="D57" t="b">
        <f t="shared" si="0"/>
        <v>1</v>
      </c>
    </row>
    <row r="58" spans="1:4" x14ac:dyDescent="0.25">
      <c r="A58" t="s">
        <v>34</v>
      </c>
      <c r="B58" s="5" t="s">
        <v>421</v>
      </c>
      <c r="C58" s="5" t="s">
        <v>421</v>
      </c>
      <c r="D58" t="b">
        <f t="shared" si="0"/>
        <v>0</v>
      </c>
    </row>
    <row r="59" spans="1:4" x14ac:dyDescent="0.25">
      <c r="A59" t="s">
        <v>61</v>
      </c>
      <c r="B59" s="5" t="s">
        <v>122</v>
      </c>
      <c r="C59" s="5" t="s">
        <v>122</v>
      </c>
      <c r="D59" t="b">
        <f t="shared" si="0"/>
        <v>0</v>
      </c>
    </row>
    <row r="60" spans="1:4" x14ac:dyDescent="0.25">
      <c r="A60" t="s">
        <v>61</v>
      </c>
      <c r="B60" s="5" t="s">
        <v>422</v>
      </c>
      <c r="C60" s="5" t="s">
        <v>422</v>
      </c>
      <c r="D60" t="b">
        <f t="shared" si="0"/>
        <v>0</v>
      </c>
    </row>
    <row r="61" spans="1:4" x14ac:dyDescent="0.25">
      <c r="A61" t="s">
        <v>61</v>
      </c>
      <c r="B61" s="5" t="s">
        <v>423</v>
      </c>
      <c r="C61" s="5" t="s">
        <v>423</v>
      </c>
      <c r="D61" t="b">
        <f t="shared" si="0"/>
        <v>0</v>
      </c>
    </row>
    <row r="62" spans="1:4" x14ac:dyDescent="0.25">
      <c r="A62" t="s">
        <v>61</v>
      </c>
      <c r="B62" s="5" t="s">
        <v>424</v>
      </c>
      <c r="C62" s="5" t="s">
        <v>424</v>
      </c>
      <c r="D62" t="b">
        <f t="shared" si="0"/>
        <v>0</v>
      </c>
    </row>
    <row r="63" spans="1:4" x14ac:dyDescent="0.25">
      <c r="A63" t="s">
        <v>61</v>
      </c>
      <c r="B63" s="5" t="s">
        <v>121</v>
      </c>
      <c r="C63" s="5" t="s">
        <v>121</v>
      </c>
      <c r="D63" t="b">
        <f t="shared" si="0"/>
        <v>0</v>
      </c>
    </row>
    <row r="64" spans="1:4" x14ac:dyDescent="0.25">
      <c r="A64" t="s">
        <v>61</v>
      </c>
      <c r="B64" s="5" t="s">
        <v>127</v>
      </c>
      <c r="C64" s="5" t="s">
        <v>127</v>
      </c>
      <c r="D64" t="b">
        <f t="shared" si="0"/>
        <v>0</v>
      </c>
    </row>
    <row r="65" spans="1:4" x14ac:dyDescent="0.25">
      <c r="A65" t="s">
        <v>61</v>
      </c>
      <c r="B65" s="5" t="s">
        <v>170</v>
      </c>
      <c r="C65" s="5" t="s">
        <v>170</v>
      </c>
      <c r="D65" t="b">
        <f t="shared" si="0"/>
        <v>0</v>
      </c>
    </row>
    <row r="66" spans="1:4" x14ac:dyDescent="0.25">
      <c r="A66" t="s">
        <v>61</v>
      </c>
      <c r="B66" s="5" t="s">
        <v>124</v>
      </c>
      <c r="C66" s="5" t="s">
        <v>124</v>
      </c>
      <c r="D66" t="b">
        <f t="shared" si="0"/>
        <v>0</v>
      </c>
    </row>
    <row r="67" spans="1:4" x14ac:dyDescent="0.25">
      <c r="A67" t="s">
        <v>401</v>
      </c>
      <c r="B67" s="5" t="s">
        <v>425</v>
      </c>
      <c r="C67" s="5" t="s">
        <v>425</v>
      </c>
      <c r="D67" t="b">
        <f t="shared" si="0"/>
        <v>0</v>
      </c>
    </row>
    <row r="68" spans="1:4" x14ac:dyDescent="0.25">
      <c r="A68" t="s">
        <v>401</v>
      </c>
      <c r="B68" s="5" t="s">
        <v>426</v>
      </c>
      <c r="C68" s="5" t="s">
        <v>426</v>
      </c>
      <c r="D68" t="b">
        <f t="shared" si="0"/>
        <v>0</v>
      </c>
    </row>
    <row r="69" spans="1:4" x14ac:dyDescent="0.25">
      <c r="A69" t="s">
        <v>401</v>
      </c>
      <c r="B69" s="5" t="s">
        <v>427</v>
      </c>
      <c r="C69" s="5" t="s">
        <v>427</v>
      </c>
      <c r="D69" t="b">
        <f t="shared" ref="D69:D102" si="2">B69&lt;&gt;C69</f>
        <v>0</v>
      </c>
    </row>
    <row r="70" spans="1:4" x14ac:dyDescent="0.25">
      <c r="A70" t="s">
        <v>401</v>
      </c>
      <c r="B70" s="5" t="s">
        <v>428</v>
      </c>
      <c r="C70" s="5" t="s">
        <v>428</v>
      </c>
      <c r="D70" t="b">
        <f t="shared" si="2"/>
        <v>0</v>
      </c>
    </row>
    <row r="71" spans="1:4" x14ac:dyDescent="0.25">
      <c r="A71" t="s">
        <v>327</v>
      </c>
      <c r="B71" s="5" t="s">
        <v>429</v>
      </c>
      <c r="C71" s="5" t="s">
        <v>429</v>
      </c>
      <c r="D71" t="b">
        <f t="shared" si="2"/>
        <v>0</v>
      </c>
    </row>
    <row r="72" spans="1:4" x14ac:dyDescent="0.25">
      <c r="A72" t="s">
        <v>327</v>
      </c>
      <c r="B72" s="5" t="s">
        <v>430</v>
      </c>
      <c r="C72" s="5" t="s">
        <v>431</v>
      </c>
      <c r="D72" t="b">
        <f t="shared" si="2"/>
        <v>1</v>
      </c>
    </row>
    <row r="73" spans="1:4" x14ac:dyDescent="0.25">
      <c r="A73" t="s">
        <v>327</v>
      </c>
      <c r="B73" s="5" t="s">
        <v>432</v>
      </c>
      <c r="C73" s="5" t="s">
        <v>432</v>
      </c>
      <c r="D73" t="b">
        <f t="shared" si="2"/>
        <v>0</v>
      </c>
    </row>
    <row r="74" spans="1:4" x14ac:dyDescent="0.25">
      <c r="A74" t="s">
        <v>327</v>
      </c>
      <c r="B74" s="5" t="s">
        <v>433</v>
      </c>
      <c r="C74" s="5" t="s">
        <v>433</v>
      </c>
      <c r="D74" t="b">
        <f t="shared" si="2"/>
        <v>0</v>
      </c>
    </row>
    <row r="75" spans="1:4" x14ac:dyDescent="0.25">
      <c r="A75" t="s">
        <v>327</v>
      </c>
      <c r="B75" s="5" t="s">
        <v>434</v>
      </c>
      <c r="C75" s="5" t="s">
        <v>434</v>
      </c>
      <c r="D75" t="b">
        <f t="shared" si="2"/>
        <v>0</v>
      </c>
    </row>
    <row r="76" spans="1:4" x14ac:dyDescent="0.25">
      <c r="A76" t="s">
        <v>327</v>
      </c>
      <c r="B76" s="5" t="s">
        <v>435</v>
      </c>
      <c r="C76" s="5" t="s">
        <v>435</v>
      </c>
      <c r="D76" t="b">
        <f t="shared" si="2"/>
        <v>0</v>
      </c>
    </row>
    <row r="77" spans="1:4" x14ac:dyDescent="0.25">
      <c r="A77" t="s">
        <v>58</v>
      </c>
      <c r="B77" s="5" t="s">
        <v>436</v>
      </c>
      <c r="C77" s="5" t="s">
        <v>436</v>
      </c>
      <c r="D77" t="b">
        <f t="shared" si="2"/>
        <v>0</v>
      </c>
    </row>
    <row r="78" spans="1:4" x14ac:dyDescent="0.25">
      <c r="A78" t="s">
        <v>58</v>
      </c>
      <c r="B78" s="5" t="s">
        <v>437</v>
      </c>
      <c r="C78" s="5" t="s">
        <v>1596</v>
      </c>
      <c r="D78" t="b">
        <f t="shared" si="2"/>
        <v>1</v>
      </c>
    </row>
    <row r="79" spans="1:4" x14ac:dyDescent="0.25">
      <c r="A79" t="s">
        <v>58</v>
      </c>
      <c r="B79" s="5" t="s">
        <v>438</v>
      </c>
      <c r="C79" s="5" t="s">
        <v>438</v>
      </c>
      <c r="D79" t="b">
        <f t="shared" si="2"/>
        <v>0</v>
      </c>
    </row>
    <row r="80" spans="1:4" x14ac:dyDescent="0.25">
      <c r="A80" t="s">
        <v>58</v>
      </c>
      <c r="B80" s="5" t="s">
        <v>1727</v>
      </c>
      <c r="C80" s="5" t="s">
        <v>1727</v>
      </c>
      <c r="D80" t="b">
        <f t="shared" si="2"/>
        <v>0</v>
      </c>
    </row>
    <row r="81" spans="1:4" x14ac:dyDescent="0.25">
      <c r="A81" t="s">
        <v>58</v>
      </c>
      <c r="B81" s="5" t="s">
        <v>440</v>
      </c>
      <c r="C81" s="5" t="s">
        <v>440</v>
      </c>
      <c r="D81" t="b">
        <f t="shared" si="2"/>
        <v>0</v>
      </c>
    </row>
    <row r="82" spans="1:4" x14ac:dyDescent="0.25">
      <c r="A82" t="s">
        <v>58</v>
      </c>
      <c r="B82" s="5" t="s">
        <v>441</v>
      </c>
      <c r="C82" s="5" t="s">
        <v>441</v>
      </c>
      <c r="D82" t="b">
        <f t="shared" si="2"/>
        <v>0</v>
      </c>
    </row>
    <row r="83" spans="1:4" x14ac:dyDescent="0.25">
      <c r="A83" t="s">
        <v>58</v>
      </c>
      <c r="B83" s="5" t="s">
        <v>442</v>
      </c>
      <c r="C83" s="5" t="s">
        <v>2064</v>
      </c>
      <c r="D83" t="b">
        <f t="shared" si="2"/>
        <v>1</v>
      </c>
    </row>
    <row r="84" spans="1:4" x14ac:dyDescent="0.25">
      <c r="A84" t="s">
        <v>58</v>
      </c>
      <c r="B84" s="5" t="s">
        <v>443</v>
      </c>
      <c r="C84" s="5" t="s">
        <v>443</v>
      </c>
      <c r="D84" t="b">
        <f t="shared" si="2"/>
        <v>0</v>
      </c>
    </row>
    <row r="85" spans="1:4" x14ac:dyDescent="0.25">
      <c r="A85" t="s">
        <v>58</v>
      </c>
      <c r="B85" s="5" t="s">
        <v>444</v>
      </c>
      <c r="C85" s="5" t="s">
        <v>444</v>
      </c>
      <c r="D85" t="b">
        <f t="shared" si="2"/>
        <v>0</v>
      </c>
    </row>
    <row r="86" spans="1:4" x14ac:dyDescent="0.25">
      <c r="A86" t="s">
        <v>58</v>
      </c>
      <c r="B86" s="5" t="s">
        <v>445</v>
      </c>
      <c r="C86" s="5" t="s">
        <v>446</v>
      </c>
      <c r="D86" t="b">
        <f t="shared" si="2"/>
        <v>1</v>
      </c>
    </row>
    <row r="87" spans="1:4" x14ac:dyDescent="0.25">
      <c r="A87" t="s">
        <v>58</v>
      </c>
      <c r="B87" s="5" t="s">
        <v>447</v>
      </c>
      <c r="C87" s="5" t="s">
        <v>447</v>
      </c>
      <c r="D87" t="b">
        <f t="shared" si="2"/>
        <v>0</v>
      </c>
    </row>
    <row r="88" spans="1:4" x14ac:dyDescent="0.25">
      <c r="A88" t="s">
        <v>58</v>
      </c>
      <c r="B88" s="5" t="s">
        <v>448</v>
      </c>
      <c r="C88" s="5" t="s">
        <v>448</v>
      </c>
      <c r="D88" t="b">
        <f t="shared" si="2"/>
        <v>0</v>
      </c>
    </row>
    <row r="89" spans="1:4" x14ac:dyDescent="0.25">
      <c r="A89" t="s">
        <v>58</v>
      </c>
      <c r="B89" s="5" t="s">
        <v>449</v>
      </c>
      <c r="C89" s="5" t="s">
        <v>449</v>
      </c>
      <c r="D89" t="b">
        <f t="shared" si="2"/>
        <v>0</v>
      </c>
    </row>
    <row r="90" spans="1:4" x14ac:dyDescent="0.25">
      <c r="A90" t="s">
        <v>58</v>
      </c>
      <c r="B90" s="5" t="s">
        <v>116</v>
      </c>
      <c r="C90" s="5" t="s">
        <v>116</v>
      </c>
      <c r="D90" t="b">
        <f t="shared" si="2"/>
        <v>0</v>
      </c>
    </row>
    <row r="91" spans="1:4" x14ac:dyDescent="0.25">
      <c r="A91" t="s">
        <v>58</v>
      </c>
      <c r="B91" s="5" t="s">
        <v>450</v>
      </c>
      <c r="C91" s="5" t="s">
        <v>450</v>
      </c>
      <c r="D91" t="b">
        <f t="shared" si="2"/>
        <v>0</v>
      </c>
    </row>
    <row r="92" spans="1:4" x14ac:dyDescent="0.25">
      <c r="A92" t="s">
        <v>58</v>
      </c>
      <c r="B92" s="5" t="s">
        <v>451</v>
      </c>
      <c r="C92" s="5" t="s">
        <v>451</v>
      </c>
      <c r="D92" t="b">
        <f t="shared" si="2"/>
        <v>0</v>
      </c>
    </row>
    <row r="93" spans="1:4" x14ac:dyDescent="0.25">
      <c r="A93" t="s">
        <v>58</v>
      </c>
      <c r="B93" s="5" t="s">
        <v>452</v>
      </c>
      <c r="C93" s="5" t="s">
        <v>453</v>
      </c>
      <c r="D93" t="b">
        <f t="shared" si="2"/>
        <v>1</v>
      </c>
    </row>
    <row r="94" spans="1:4" x14ac:dyDescent="0.25">
      <c r="A94" t="s">
        <v>331</v>
      </c>
      <c r="B94" s="5" t="s">
        <v>454</v>
      </c>
      <c r="C94" s="5" t="s">
        <v>454</v>
      </c>
      <c r="D94" t="b">
        <f t="shared" si="2"/>
        <v>0</v>
      </c>
    </row>
    <row r="95" spans="1:4" x14ac:dyDescent="0.25">
      <c r="A95" t="s">
        <v>331</v>
      </c>
      <c r="B95" s="5" t="s">
        <v>455</v>
      </c>
      <c r="C95" s="5" t="s">
        <v>455</v>
      </c>
      <c r="D95" t="b">
        <f t="shared" si="2"/>
        <v>0</v>
      </c>
    </row>
    <row r="96" spans="1:4" x14ac:dyDescent="0.25">
      <c r="A96" t="s">
        <v>331</v>
      </c>
      <c r="B96" s="5" t="s">
        <v>456</v>
      </c>
      <c r="C96" s="5" t="s">
        <v>456</v>
      </c>
      <c r="D96" t="b">
        <f t="shared" si="2"/>
        <v>0</v>
      </c>
    </row>
    <row r="97" spans="1:4" x14ac:dyDescent="0.25">
      <c r="A97" t="s">
        <v>331</v>
      </c>
      <c r="B97" s="5" t="s">
        <v>457</v>
      </c>
      <c r="C97" s="5" t="s">
        <v>457</v>
      </c>
      <c r="D97" t="b">
        <f t="shared" si="2"/>
        <v>0</v>
      </c>
    </row>
    <row r="98" spans="1:4" x14ac:dyDescent="0.25">
      <c r="A98" t="s">
        <v>331</v>
      </c>
      <c r="B98" s="5" t="s">
        <v>458</v>
      </c>
      <c r="C98" s="5" t="s">
        <v>458</v>
      </c>
      <c r="D98" t="b">
        <f t="shared" si="2"/>
        <v>0</v>
      </c>
    </row>
    <row r="99" spans="1:4" x14ac:dyDescent="0.25">
      <c r="A99" t="s">
        <v>331</v>
      </c>
      <c r="B99" s="5" t="s">
        <v>459</v>
      </c>
      <c r="C99" s="5" t="s">
        <v>459</v>
      </c>
      <c r="D99" t="b">
        <f t="shared" si="2"/>
        <v>0</v>
      </c>
    </row>
    <row r="100" spans="1:4" x14ac:dyDescent="0.25">
      <c r="A100" t="s">
        <v>331</v>
      </c>
      <c r="B100" s="5" t="s">
        <v>460</v>
      </c>
      <c r="C100" s="5" t="s">
        <v>461</v>
      </c>
      <c r="D100" t="b">
        <f t="shared" si="2"/>
        <v>1</v>
      </c>
    </row>
    <row r="101" spans="1:4" x14ac:dyDescent="0.25">
      <c r="A101" t="s">
        <v>331</v>
      </c>
      <c r="B101" s="5" t="s">
        <v>462</v>
      </c>
      <c r="C101" s="5" t="s">
        <v>462</v>
      </c>
      <c r="D101" t="b">
        <f t="shared" si="2"/>
        <v>0</v>
      </c>
    </row>
    <row r="102" spans="1:4" x14ac:dyDescent="0.25">
      <c r="A102" t="s">
        <v>331</v>
      </c>
      <c r="B102" s="5" t="s">
        <v>463</v>
      </c>
      <c r="C102" s="5" t="s">
        <v>463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E0130468-73A4-4388-8AA2-176B7FAE94F3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C2E27606-1E05-448E-91B3-1831B82E20B2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8C8C-2C41-463C-9251-9D1347828DFA}">
  <sheetPr codeName="Planilha12"/>
  <dimension ref="A1:G102"/>
  <sheetViews>
    <sheetView topLeftCell="A11" workbookViewId="0">
      <selection activeCell="B24" sqref="B24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464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9</v>
      </c>
    </row>
    <row r="3" spans="1:7" x14ac:dyDescent="0.25">
      <c r="A3" s="5" t="s">
        <v>2002</v>
      </c>
      <c r="B3" s="5" t="s">
        <v>2024</v>
      </c>
      <c r="C3" s="5" t="s">
        <v>2024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s="5" t="s">
        <v>2002</v>
      </c>
      <c r="B4" s="5" t="s">
        <v>2033</v>
      </c>
      <c r="C4" s="5" t="s">
        <v>2033</v>
      </c>
      <c r="D4" t="b">
        <f>B4&lt;&gt;C4</f>
        <v>0</v>
      </c>
    </row>
    <row r="5" spans="1:7" x14ac:dyDescent="0.25">
      <c r="A5" t="s">
        <v>28</v>
      </c>
      <c r="B5" s="5" t="s">
        <v>51</v>
      </c>
      <c r="C5" s="5" t="s">
        <v>51</v>
      </c>
      <c r="D5" t="b">
        <f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465</v>
      </c>
      <c r="C6" s="5" t="s">
        <v>465</v>
      </c>
      <c r="D6" t="b">
        <f t="shared" ref="D6:D69" si="0">B6&lt;&gt;C6</f>
        <v>0</v>
      </c>
      <c r="F6" s="7" t="s">
        <v>28</v>
      </c>
      <c r="G6" s="2">
        <f t="shared" ref="G6:G16" si="1">COUNTIF(A:A,F6)</f>
        <v>32</v>
      </c>
    </row>
    <row r="7" spans="1:7" x14ac:dyDescent="0.25">
      <c r="A7" t="s">
        <v>28</v>
      </c>
      <c r="B7" s="5" t="s">
        <v>466</v>
      </c>
      <c r="C7" s="5" t="s">
        <v>466</v>
      </c>
      <c r="D7" t="b">
        <f t="shared" si="0"/>
        <v>0</v>
      </c>
      <c r="F7" s="3" t="s">
        <v>2002</v>
      </c>
      <c r="G7" s="2">
        <f t="shared" si="1"/>
        <v>2</v>
      </c>
    </row>
    <row r="8" spans="1:7" x14ac:dyDescent="0.25">
      <c r="A8" t="s">
        <v>28</v>
      </c>
      <c r="B8" s="5" t="s">
        <v>78</v>
      </c>
      <c r="C8" s="5" t="s">
        <v>330</v>
      </c>
      <c r="D8" t="b">
        <f t="shared" si="0"/>
        <v>1</v>
      </c>
      <c r="F8" s="7" t="s">
        <v>59</v>
      </c>
      <c r="G8" s="2">
        <f t="shared" si="1"/>
        <v>2</v>
      </c>
    </row>
    <row r="9" spans="1:7" x14ac:dyDescent="0.25">
      <c r="A9" t="s">
        <v>28</v>
      </c>
      <c r="B9" s="5" t="s">
        <v>467</v>
      </c>
      <c r="C9" s="5" t="s">
        <v>467</v>
      </c>
      <c r="D9" t="b">
        <f t="shared" si="0"/>
        <v>0</v>
      </c>
      <c r="F9" s="7" t="s">
        <v>189</v>
      </c>
      <c r="G9" s="2">
        <f t="shared" si="1"/>
        <v>2</v>
      </c>
    </row>
    <row r="10" spans="1:7" x14ac:dyDescent="0.25">
      <c r="A10" t="s">
        <v>28</v>
      </c>
      <c r="B10" s="5" t="s">
        <v>60</v>
      </c>
      <c r="C10" s="5" t="s">
        <v>60</v>
      </c>
      <c r="D10" t="b">
        <f t="shared" si="0"/>
        <v>0</v>
      </c>
      <c r="F10" s="7" t="s">
        <v>35</v>
      </c>
      <c r="G10" s="2">
        <f t="shared" si="1"/>
        <v>6</v>
      </c>
    </row>
    <row r="11" spans="1:7" x14ac:dyDescent="0.25">
      <c r="A11" t="s">
        <v>28</v>
      </c>
      <c r="B11" s="5" t="s">
        <v>33</v>
      </c>
      <c r="C11" s="5" t="s">
        <v>33</v>
      </c>
      <c r="D11" t="b">
        <f t="shared" si="0"/>
        <v>0</v>
      </c>
      <c r="F11" s="7" t="s">
        <v>61</v>
      </c>
      <c r="G11" s="2">
        <f t="shared" si="1"/>
        <v>5</v>
      </c>
    </row>
    <row r="12" spans="1:7" x14ac:dyDescent="0.25">
      <c r="A12" t="s">
        <v>28</v>
      </c>
      <c r="B12" s="5" t="s">
        <v>137</v>
      </c>
      <c r="C12" s="5" t="s">
        <v>137</v>
      </c>
      <c r="D12" t="b">
        <f t="shared" si="0"/>
        <v>0</v>
      </c>
      <c r="F12" s="7" t="s">
        <v>263</v>
      </c>
      <c r="G12" s="2">
        <f t="shared" si="1"/>
        <v>13</v>
      </c>
    </row>
    <row r="13" spans="1:7" x14ac:dyDescent="0.25">
      <c r="A13" t="s">
        <v>28</v>
      </c>
      <c r="B13" s="5" t="s">
        <v>468</v>
      </c>
      <c r="C13" s="5" t="s">
        <v>468</v>
      </c>
      <c r="D13" t="b">
        <f t="shared" si="0"/>
        <v>0</v>
      </c>
      <c r="F13" s="7" t="s">
        <v>471</v>
      </c>
      <c r="G13" s="2">
        <f t="shared" si="1"/>
        <v>7</v>
      </c>
    </row>
    <row r="14" spans="1:7" x14ac:dyDescent="0.25">
      <c r="A14" t="s">
        <v>28</v>
      </c>
      <c r="B14" s="5" t="s">
        <v>469</v>
      </c>
      <c r="C14" s="5" t="s">
        <v>469</v>
      </c>
      <c r="D14" t="b">
        <f t="shared" si="0"/>
        <v>0</v>
      </c>
      <c r="F14" s="7" t="s">
        <v>34</v>
      </c>
      <c r="G14" s="2">
        <f t="shared" si="1"/>
        <v>25</v>
      </c>
    </row>
    <row r="15" spans="1:7" x14ac:dyDescent="0.25">
      <c r="A15" t="s">
        <v>28</v>
      </c>
      <c r="B15" s="5" t="s">
        <v>470</v>
      </c>
      <c r="C15" s="5" t="s">
        <v>64</v>
      </c>
      <c r="D15" t="b">
        <f t="shared" si="0"/>
        <v>1</v>
      </c>
      <c r="F15" s="7" t="s">
        <v>474</v>
      </c>
      <c r="G15" s="2">
        <f t="shared" si="1"/>
        <v>2</v>
      </c>
    </row>
    <row r="16" spans="1:7" x14ac:dyDescent="0.25">
      <c r="A16" t="s">
        <v>28</v>
      </c>
      <c r="B16" s="5" t="s">
        <v>472</v>
      </c>
      <c r="C16" s="5" t="s">
        <v>472</v>
      </c>
      <c r="D16" t="b">
        <f t="shared" si="0"/>
        <v>0</v>
      </c>
      <c r="F16" s="3" t="s">
        <v>476</v>
      </c>
      <c r="G16" s="2">
        <f t="shared" si="1"/>
        <v>4</v>
      </c>
    </row>
    <row r="17" spans="1:7" x14ac:dyDescent="0.25">
      <c r="A17" t="s">
        <v>28</v>
      </c>
      <c r="B17" s="5" t="s">
        <v>473</v>
      </c>
      <c r="C17" s="5" t="s">
        <v>473</v>
      </c>
      <c r="D17" t="b">
        <f t="shared" si="0"/>
        <v>0</v>
      </c>
    </row>
    <row r="18" spans="1:7" x14ac:dyDescent="0.25">
      <c r="A18" t="s">
        <v>28</v>
      </c>
      <c r="B18" s="5" t="s">
        <v>475</v>
      </c>
      <c r="C18" s="5" t="s">
        <v>475</v>
      </c>
      <c r="D18" t="b">
        <f t="shared" si="0"/>
        <v>0</v>
      </c>
    </row>
    <row r="19" spans="1:7" x14ac:dyDescent="0.25">
      <c r="A19" t="s">
        <v>28</v>
      </c>
      <c r="B19" s="5" t="s">
        <v>264</v>
      </c>
      <c r="C19" s="5" t="s">
        <v>264</v>
      </c>
      <c r="D19" t="b">
        <f t="shared" si="0"/>
        <v>0</v>
      </c>
      <c r="F19" s="1"/>
      <c r="G19" s="2"/>
    </row>
    <row r="20" spans="1:7" x14ac:dyDescent="0.25">
      <c r="A20" t="s">
        <v>28</v>
      </c>
      <c r="B20" s="5" t="s">
        <v>477</v>
      </c>
      <c r="C20" s="5" t="s">
        <v>477</v>
      </c>
      <c r="D20" t="b">
        <f t="shared" si="0"/>
        <v>0</v>
      </c>
    </row>
    <row r="21" spans="1:7" x14ac:dyDescent="0.25">
      <c r="A21" t="s">
        <v>28</v>
      </c>
      <c r="B21" s="5" t="s">
        <v>478</v>
      </c>
      <c r="C21" s="5" t="s">
        <v>478</v>
      </c>
      <c r="D21" t="b">
        <f t="shared" si="0"/>
        <v>0</v>
      </c>
    </row>
    <row r="22" spans="1:7" x14ac:dyDescent="0.25">
      <c r="A22" t="s">
        <v>28</v>
      </c>
      <c r="B22" s="5" t="s">
        <v>77</v>
      </c>
      <c r="C22" s="5" t="s">
        <v>1601</v>
      </c>
      <c r="D22" t="b">
        <f t="shared" si="0"/>
        <v>1</v>
      </c>
    </row>
    <row r="23" spans="1:7" x14ac:dyDescent="0.25">
      <c r="A23" t="s">
        <v>28</v>
      </c>
      <c r="B23" s="5" t="s">
        <v>79</v>
      </c>
      <c r="C23" s="5" t="s">
        <v>1905</v>
      </c>
      <c r="D23" t="b">
        <f t="shared" si="0"/>
        <v>1</v>
      </c>
    </row>
    <row r="24" spans="1:7" x14ac:dyDescent="0.25">
      <c r="A24" t="s">
        <v>28</v>
      </c>
      <c r="B24" s="5" t="s">
        <v>66</v>
      </c>
      <c r="C24" s="5" t="s">
        <v>66</v>
      </c>
      <c r="D24" t="b">
        <f t="shared" si="0"/>
        <v>0</v>
      </c>
    </row>
    <row r="25" spans="1:7" x14ac:dyDescent="0.25">
      <c r="A25" t="s">
        <v>28</v>
      </c>
      <c r="B25" s="5" t="s">
        <v>78</v>
      </c>
      <c r="C25" s="5" t="s">
        <v>67</v>
      </c>
      <c r="D25" t="b">
        <f t="shared" si="0"/>
        <v>1</v>
      </c>
    </row>
    <row r="26" spans="1:7" x14ac:dyDescent="0.25">
      <c r="A26" t="s">
        <v>28</v>
      </c>
      <c r="B26" s="5" t="s">
        <v>77</v>
      </c>
      <c r="C26" s="5" t="s">
        <v>65</v>
      </c>
      <c r="D26" t="b">
        <f t="shared" si="0"/>
        <v>1</v>
      </c>
    </row>
    <row r="27" spans="1:7" x14ac:dyDescent="0.25">
      <c r="A27" t="s">
        <v>28</v>
      </c>
      <c r="B27" s="5" t="s">
        <v>79</v>
      </c>
      <c r="C27" s="5" t="s">
        <v>79</v>
      </c>
      <c r="D27" t="b">
        <f t="shared" si="0"/>
        <v>0</v>
      </c>
    </row>
    <row r="28" spans="1:7" x14ac:dyDescent="0.25">
      <c r="A28" t="s">
        <v>28</v>
      </c>
      <c r="B28" s="5" t="s">
        <v>79</v>
      </c>
      <c r="C28" s="5" t="s">
        <v>79</v>
      </c>
      <c r="D28" t="b">
        <f t="shared" si="0"/>
        <v>0</v>
      </c>
    </row>
    <row r="29" spans="1:7" x14ac:dyDescent="0.25">
      <c r="A29" t="s">
        <v>28</v>
      </c>
      <c r="B29" s="5" t="s">
        <v>79</v>
      </c>
      <c r="C29" s="5" t="s">
        <v>79</v>
      </c>
      <c r="D29" t="b">
        <f t="shared" si="0"/>
        <v>0</v>
      </c>
    </row>
    <row r="30" spans="1:7" x14ac:dyDescent="0.25">
      <c r="A30" t="s">
        <v>28</v>
      </c>
      <c r="B30" s="5" t="s">
        <v>79</v>
      </c>
      <c r="C30" s="5" t="s">
        <v>79</v>
      </c>
      <c r="D30" t="b">
        <f t="shared" si="0"/>
        <v>0</v>
      </c>
    </row>
    <row r="31" spans="1:7" x14ac:dyDescent="0.25">
      <c r="A31" t="s">
        <v>28</v>
      </c>
      <c r="B31" s="5" t="s">
        <v>79</v>
      </c>
      <c r="C31" s="5" t="s">
        <v>79</v>
      </c>
      <c r="D31" t="b">
        <f t="shared" si="0"/>
        <v>0</v>
      </c>
    </row>
    <row r="32" spans="1:7" x14ac:dyDescent="0.25">
      <c r="A32" t="s">
        <v>28</v>
      </c>
      <c r="B32" s="5" t="s">
        <v>79</v>
      </c>
      <c r="C32" s="5" t="s">
        <v>79</v>
      </c>
      <c r="D32" t="b">
        <f t="shared" si="0"/>
        <v>0</v>
      </c>
    </row>
    <row r="33" spans="1:4" x14ac:dyDescent="0.25">
      <c r="A33" t="s">
        <v>28</v>
      </c>
      <c r="B33" s="5" t="s">
        <v>77</v>
      </c>
      <c r="C33" s="5" t="s">
        <v>77</v>
      </c>
      <c r="D33" t="b">
        <f t="shared" si="0"/>
        <v>0</v>
      </c>
    </row>
    <row r="34" spans="1:4" x14ac:dyDescent="0.25">
      <c r="A34" t="s">
        <v>28</v>
      </c>
      <c r="B34" s="5" t="s">
        <v>77</v>
      </c>
      <c r="C34" s="5" t="s">
        <v>78</v>
      </c>
      <c r="D34" t="b">
        <f t="shared" si="0"/>
        <v>1</v>
      </c>
    </row>
    <row r="35" spans="1:4" x14ac:dyDescent="0.25">
      <c r="A35" t="s">
        <v>28</v>
      </c>
      <c r="B35" s="5" t="s">
        <v>78</v>
      </c>
      <c r="C35" s="5" t="s">
        <v>78</v>
      </c>
      <c r="D35" t="b">
        <f t="shared" si="0"/>
        <v>0</v>
      </c>
    </row>
    <row r="36" spans="1:4" x14ac:dyDescent="0.25">
      <c r="A36" t="s">
        <v>28</v>
      </c>
      <c r="B36" s="5" t="s">
        <v>78</v>
      </c>
      <c r="C36" s="5" t="s">
        <v>78</v>
      </c>
      <c r="D36" t="b">
        <f t="shared" si="0"/>
        <v>0</v>
      </c>
    </row>
    <row r="37" spans="1:4" x14ac:dyDescent="0.25">
      <c r="A37" t="s">
        <v>34</v>
      </c>
      <c r="B37" s="5" t="s">
        <v>479</v>
      </c>
      <c r="C37" s="5" t="s">
        <v>479</v>
      </c>
      <c r="D37" t="b">
        <f t="shared" si="0"/>
        <v>0</v>
      </c>
    </row>
    <row r="38" spans="1:4" x14ac:dyDescent="0.25">
      <c r="A38" t="s">
        <v>34</v>
      </c>
      <c r="B38" s="5" t="s">
        <v>480</v>
      </c>
      <c r="C38" s="5" t="s">
        <v>480</v>
      </c>
      <c r="D38" t="b">
        <f t="shared" si="0"/>
        <v>0</v>
      </c>
    </row>
    <row r="39" spans="1:4" x14ac:dyDescent="0.25">
      <c r="A39" t="s">
        <v>34</v>
      </c>
      <c r="B39" s="5" t="s">
        <v>481</v>
      </c>
      <c r="C39" s="5" t="s">
        <v>481</v>
      </c>
      <c r="D39" t="b">
        <f t="shared" si="0"/>
        <v>0</v>
      </c>
    </row>
    <row r="40" spans="1:4" x14ac:dyDescent="0.25">
      <c r="A40" t="s">
        <v>34</v>
      </c>
      <c r="B40" s="5" t="s">
        <v>482</v>
      </c>
      <c r="C40" s="5" t="s">
        <v>482</v>
      </c>
      <c r="D40" t="b">
        <f t="shared" si="0"/>
        <v>0</v>
      </c>
    </row>
    <row r="41" spans="1:4" x14ac:dyDescent="0.25">
      <c r="A41" t="s">
        <v>34</v>
      </c>
      <c r="B41" s="5" t="s">
        <v>483</v>
      </c>
      <c r="C41" s="5" t="s">
        <v>483</v>
      </c>
      <c r="D41" t="b">
        <f t="shared" si="0"/>
        <v>0</v>
      </c>
    </row>
    <row r="42" spans="1:4" x14ac:dyDescent="0.25">
      <c r="A42" t="s">
        <v>34</v>
      </c>
      <c r="B42" s="5" t="s">
        <v>484</v>
      </c>
      <c r="C42" s="5" t="s">
        <v>484</v>
      </c>
      <c r="D42" t="b">
        <f t="shared" si="0"/>
        <v>0</v>
      </c>
    </row>
    <row r="43" spans="1:4" x14ac:dyDescent="0.25">
      <c r="A43" t="s">
        <v>34</v>
      </c>
      <c r="B43" s="5" t="s">
        <v>277</v>
      </c>
      <c r="C43" s="5" t="s">
        <v>277</v>
      </c>
      <c r="D43" t="b">
        <f t="shared" si="0"/>
        <v>0</v>
      </c>
    </row>
    <row r="44" spans="1:4" x14ac:dyDescent="0.25">
      <c r="A44" t="s">
        <v>34</v>
      </c>
      <c r="B44" s="5" t="s">
        <v>415</v>
      </c>
      <c r="C44" s="5" t="s">
        <v>415</v>
      </c>
      <c r="D44" t="b">
        <f t="shared" si="0"/>
        <v>0</v>
      </c>
    </row>
    <row r="45" spans="1:4" x14ac:dyDescent="0.25">
      <c r="A45" t="s">
        <v>34</v>
      </c>
      <c r="B45" s="5" t="s">
        <v>276</v>
      </c>
      <c r="C45" s="5" t="s">
        <v>276</v>
      </c>
      <c r="D45" t="b">
        <f t="shared" si="0"/>
        <v>0</v>
      </c>
    </row>
    <row r="46" spans="1:4" x14ac:dyDescent="0.25">
      <c r="A46" t="s">
        <v>34</v>
      </c>
      <c r="B46" s="5" t="s">
        <v>485</v>
      </c>
      <c r="C46" s="5" t="s">
        <v>485</v>
      </c>
      <c r="D46" t="b">
        <f t="shared" si="0"/>
        <v>0</v>
      </c>
    </row>
    <row r="47" spans="1:4" x14ac:dyDescent="0.25">
      <c r="A47" t="s">
        <v>34</v>
      </c>
      <c r="B47" s="5" t="s">
        <v>486</v>
      </c>
      <c r="C47" s="5" t="s">
        <v>486</v>
      </c>
      <c r="D47" t="b">
        <f t="shared" si="0"/>
        <v>0</v>
      </c>
    </row>
    <row r="48" spans="1:4" x14ac:dyDescent="0.25">
      <c r="A48" t="s">
        <v>34</v>
      </c>
      <c r="B48" s="5" t="s">
        <v>487</v>
      </c>
      <c r="C48" s="5" t="s">
        <v>487</v>
      </c>
      <c r="D48" t="b">
        <f t="shared" si="0"/>
        <v>0</v>
      </c>
    </row>
    <row r="49" spans="1:4" x14ac:dyDescent="0.25">
      <c r="A49" t="s">
        <v>34</v>
      </c>
      <c r="B49" s="5" t="s">
        <v>488</v>
      </c>
      <c r="C49" s="5" t="s">
        <v>488</v>
      </c>
      <c r="D49" t="b">
        <f t="shared" si="0"/>
        <v>0</v>
      </c>
    </row>
    <row r="50" spans="1:4" x14ac:dyDescent="0.25">
      <c r="A50" t="s">
        <v>34</v>
      </c>
      <c r="B50" s="5" t="s">
        <v>489</v>
      </c>
      <c r="C50" s="5" t="s">
        <v>489</v>
      </c>
      <c r="D50" t="b">
        <f t="shared" si="0"/>
        <v>0</v>
      </c>
    </row>
    <row r="51" spans="1:4" x14ac:dyDescent="0.25">
      <c r="A51" t="s">
        <v>34</v>
      </c>
      <c r="B51" s="5" t="s">
        <v>490</v>
      </c>
      <c r="C51" s="5" t="s">
        <v>490</v>
      </c>
      <c r="D51" t="b">
        <f t="shared" si="0"/>
        <v>0</v>
      </c>
    </row>
    <row r="52" spans="1:4" x14ac:dyDescent="0.25">
      <c r="A52" t="s">
        <v>34</v>
      </c>
      <c r="B52" s="5" t="s">
        <v>280</v>
      </c>
      <c r="C52" s="5" t="s">
        <v>280</v>
      </c>
      <c r="D52" t="b">
        <f t="shared" si="0"/>
        <v>0</v>
      </c>
    </row>
    <row r="53" spans="1:4" x14ac:dyDescent="0.25">
      <c r="A53" t="s">
        <v>34</v>
      </c>
      <c r="B53" s="5" t="s">
        <v>491</v>
      </c>
      <c r="C53" s="5" t="s">
        <v>491</v>
      </c>
      <c r="D53" t="b">
        <f t="shared" si="0"/>
        <v>0</v>
      </c>
    </row>
    <row r="54" spans="1:4" x14ac:dyDescent="0.25">
      <c r="A54" t="s">
        <v>34</v>
      </c>
      <c r="B54" s="5" t="s">
        <v>492</v>
      </c>
      <c r="C54" s="5" t="s">
        <v>492</v>
      </c>
      <c r="D54" t="b">
        <f t="shared" si="0"/>
        <v>0</v>
      </c>
    </row>
    <row r="55" spans="1:4" x14ac:dyDescent="0.25">
      <c r="A55" t="s">
        <v>34</v>
      </c>
      <c r="B55" s="5" t="s">
        <v>493</v>
      </c>
      <c r="C55" s="5" t="s">
        <v>493</v>
      </c>
      <c r="D55" t="b">
        <f t="shared" si="0"/>
        <v>0</v>
      </c>
    </row>
    <row r="56" spans="1:4" x14ac:dyDescent="0.25">
      <c r="A56" t="s">
        <v>34</v>
      </c>
      <c r="B56" s="5" t="s">
        <v>494</v>
      </c>
      <c r="C56" s="5" t="s">
        <v>494</v>
      </c>
      <c r="D56" t="b">
        <f t="shared" si="0"/>
        <v>0</v>
      </c>
    </row>
    <row r="57" spans="1:4" x14ac:dyDescent="0.25">
      <c r="A57" t="s">
        <v>34</v>
      </c>
      <c r="B57" s="5" t="s">
        <v>495</v>
      </c>
      <c r="C57" s="5" t="s">
        <v>495</v>
      </c>
      <c r="D57" t="b">
        <f t="shared" si="0"/>
        <v>0</v>
      </c>
    </row>
    <row r="58" spans="1:4" x14ac:dyDescent="0.25">
      <c r="A58" t="s">
        <v>34</v>
      </c>
      <c r="B58" s="5" t="s">
        <v>496</v>
      </c>
      <c r="C58" s="5" t="s">
        <v>496</v>
      </c>
      <c r="D58" t="b">
        <f t="shared" si="0"/>
        <v>0</v>
      </c>
    </row>
    <row r="59" spans="1:4" x14ac:dyDescent="0.25">
      <c r="A59" t="s">
        <v>34</v>
      </c>
      <c r="B59" s="5" t="s">
        <v>278</v>
      </c>
      <c r="C59" s="5" t="s">
        <v>278</v>
      </c>
      <c r="D59" t="b">
        <f t="shared" si="0"/>
        <v>0</v>
      </c>
    </row>
    <row r="60" spans="1:4" x14ac:dyDescent="0.25">
      <c r="A60" t="s">
        <v>34</v>
      </c>
      <c r="B60" s="5" t="s">
        <v>497</v>
      </c>
      <c r="C60" s="5" t="s">
        <v>497</v>
      </c>
      <c r="D60" t="b">
        <f t="shared" si="0"/>
        <v>0</v>
      </c>
    </row>
    <row r="61" spans="1:4" x14ac:dyDescent="0.25">
      <c r="A61" t="s">
        <v>34</v>
      </c>
      <c r="B61" s="5" t="s">
        <v>498</v>
      </c>
      <c r="C61" s="5" t="s">
        <v>498</v>
      </c>
      <c r="D61" t="b">
        <f t="shared" si="0"/>
        <v>0</v>
      </c>
    </row>
    <row r="62" spans="1:4" x14ac:dyDescent="0.25">
      <c r="A62" t="s">
        <v>474</v>
      </c>
      <c r="B62" s="5" t="s">
        <v>499</v>
      </c>
      <c r="C62" s="5" t="s">
        <v>499</v>
      </c>
      <c r="D62" t="b">
        <f t="shared" si="0"/>
        <v>0</v>
      </c>
    </row>
    <row r="63" spans="1:4" x14ac:dyDescent="0.25">
      <c r="A63" t="s">
        <v>474</v>
      </c>
      <c r="B63" s="5" t="s">
        <v>500</v>
      </c>
      <c r="C63" s="5" t="s">
        <v>500</v>
      </c>
      <c r="D63" t="b">
        <f t="shared" si="0"/>
        <v>0</v>
      </c>
    </row>
    <row r="64" spans="1:4" x14ac:dyDescent="0.25">
      <c r="A64" t="s">
        <v>189</v>
      </c>
      <c r="B64" s="5" t="s">
        <v>501</v>
      </c>
      <c r="C64" s="5" t="s">
        <v>501</v>
      </c>
      <c r="D64" t="b">
        <f t="shared" si="0"/>
        <v>0</v>
      </c>
    </row>
    <row r="65" spans="1:4" x14ac:dyDescent="0.25">
      <c r="A65" t="s">
        <v>189</v>
      </c>
      <c r="B65" s="5" t="s">
        <v>502</v>
      </c>
      <c r="C65" s="5" t="s">
        <v>502</v>
      </c>
      <c r="D65" t="b">
        <f t="shared" si="0"/>
        <v>0</v>
      </c>
    </row>
    <row r="66" spans="1:4" x14ac:dyDescent="0.25">
      <c r="A66" t="s">
        <v>35</v>
      </c>
      <c r="B66" s="5" t="s">
        <v>503</v>
      </c>
      <c r="C66" s="5" t="s">
        <v>503</v>
      </c>
      <c r="D66" t="b">
        <f t="shared" si="0"/>
        <v>0</v>
      </c>
    </row>
    <row r="67" spans="1:4" x14ac:dyDescent="0.25">
      <c r="A67" t="s">
        <v>35</v>
      </c>
      <c r="B67" s="5" t="s">
        <v>504</v>
      </c>
      <c r="C67" s="5" t="s">
        <v>504</v>
      </c>
      <c r="D67" t="b">
        <f t="shared" si="0"/>
        <v>0</v>
      </c>
    </row>
    <row r="68" spans="1:4" x14ac:dyDescent="0.25">
      <c r="A68" t="s">
        <v>35</v>
      </c>
      <c r="B68" s="5" t="s">
        <v>505</v>
      </c>
      <c r="C68" s="5" t="s">
        <v>505</v>
      </c>
      <c r="D68" t="b">
        <f t="shared" si="0"/>
        <v>0</v>
      </c>
    </row>
    <row r="69" spans="1:4" x14ac:dyDescent="0.25">
      <c r="A69" t="s">
        <v>35</v>
      </c>
      <c r="B69" s="5" t="s">
        <v>506</v>
      </c>
      <c r="C69" s="5" t="s">
        <v>506</v>
      </c>
      <c r="D69" t="b">
        <f t="shared" si="0"/>
        <v>0</v>
      </c>
    </row>
    <row r="70" spans="1:4" x14ac:dyDescent="0.25">
      <c r="A70" t="s">
        <v>35</v>
      </c>
      <c r="B70" s="5" t="s">
        <v>507</v>
      </c>
      <c r="C70" s="5" t="s">
        <v>507</v>
      </c>
      <c r="D70" t="b">
        <f t="shared" ref="D70:D102" si="2">B70&lt;&gt;C70</f>
        <v>0</v>
      </c>
    </row>
    <row r="71" spans="1:4" x14ac:dyDescent="0.25">
      <c r="A71" t="s">
        <v>35</v>
      </c>
      <c r="B71" s="5" t="s">
        <v>508</v>
      </c>
      <c r="C71" s="5" t="s">
        <v>508</v>
      </c>
      <c r="D71" t="b">
        <f t="shared" si="2"/>
        <v>0</v>
      </c>
    </row>
    <row r="72" spans="1:4" x14ac:dyDescent="0.25">
      <c r="A72" t="s">
        <v>61</v>
      </c>
      <c r="B72" s="5" t="s">
        <v>509</v>
      </c>
      <c r="C72" s="5" t="s">
        <v>509</v>
      </c>
      <c r="D72" t="b">
        <f t="shared" si="2"/>
        <v>0</v>
      </c>
    </row>
    <row r="73" spans="1:4" x14ac:dyDescent="0.25">
      <c r="A73" t="s">
        <v>61</v>
      </c>
      <c r="B73" s="5" t="s">
        <v>510</v>
      </c>
      <c r="C73" s="5" t="s">
        <v>510</v>
      </c>
      <c r="D73" t="b">
        <f t="shared" si="2"/>
        <v>0</v>
      </c>
    </row>
    <row r="74" spans="1:4" x14ac:dyDescent="0.25">
      <c r="A74" t="s">
        <v>61</v>
      </c>
      <c r="B74" s="5" t="s">
        <v>511</v>
      </c>
      <c r="C74" s="5" t="s">
        <v>511</v>
      </c>
      <c r="D74" t="b">
        <f t="shared" si="2"/>
        <v>0</v>
      </c>
    </row>
    <row r="75" spans="1:4" x14ac:dyDescent="0.25">
      <c r="A75" t="s">
        <v>61</v>
      </c>
      <c r="B75" s="5" t="s">
        <v>512</v>
      </c>
      <c r="C75" s="5" t="s">
        <v>512</v>
      </c>
      <c r="D75" t="b">
        <f t="shared" si="2"/>
        <v>0</v>
      </c>
    </row>
    <row r="76" spans="1:4" x14ac:dyDescent="0.25">
      <c r="A76" t="s">
        <v>61</v>
      </c>
      <c r="B76" s="5" t="s">
        <v>513</v>
      </c>
      <c r="C76" s="5" t="s">
        <v>513</v>
      </c>
      <c r="D76" t="b">
        <f t="shared" si="2"/>
        <v>0</v>
      </c>
    </row>
    <row r="77" spans="1:4" x14ac:dyDescent="0.25">
      <c r="A77" t="s">
        <v>471</v>
      </c>
      <c r="B77" s="5" t="s">
        <v>372</v>
      </c>
      <c r="C77" s="5" t="s">
        <v>372</v>
      </c>
      <c r="D77" t="b">
        <f t="shared" si="2"/>
        <v>0</v>
      </c>
    </row>
    <row r="78" spans="1:4" x14ac:dyDescent="0.25">
      <c r="A78" t="s">
        <v>471</v>
      </c>
      <c r="B78" s="5" t="s">
        <v>514</v>
      </c>
      <c r="C78" s="5" t="s">
        <v>514</v>
      </c>
      <c r="D78" t="b">
        <f t="shared" si="2"/>
        <v>0</v>
      </c>
    </row>
    <row r="79" spans="1:4" x14ac:dyDescent="0.25">
      <c r="A79" t="s">
        <v>471</v>
      </c>
      <c r="B79" s="5" t="s">
        <v>1595</v>
      </c>
      <c r="C79" s="5" t="s">
        <v>1595</v>
      </c>
      <c r="D79" t="b">
        <f t="shared" si="2"/>
        <v>0</v>
      </c>
    </row>
    <row r="80" spans="1:4" x14ac:dyDescent="0.25">
      <c r="A80" t="s">
        <v>471</v>
      </c>
      <c r="B80" s="5" t="s">
        <v>515</v>
      </c>
      <c r="C80" s="5" t="s">
        <v>515</v>
      </c>
      <c r="D80" t="b">
        <f t="shared" si="2"/>
        <v>0</v>
      </c>
    </row>
    <row r="81" spans="1:4" x14ac:dyDescent="0.25">
      <c r="A81" t="s">
        <v>471</v>
      </c>
      <c r="B81" s="5" t="s">
        <v>516</v>
      </c>
      <c r="C81" s="5" t="s">
        <v>517</v>
      </c>
      <c r="D81" t="b">
        <f t="shared" si="2"/>
        <v>1</v>
      </c>
    </row>
    <row r="82" spans="1:4" x14ac:dyDescent="0.25">
      <c r="A82" t="s">
        <v>471</v>
      </c>
      <c r="B82" s="5" t="s">
        <v>1667</v>
      </c>
      <c r="C82" s="5" t="s">
        <v>1667</v>
      </c>
      <c r="D82" t="b">
        <f t="shared" si="2"/>
        <v>0</v>
      </c>
    </row>
    <row r="83" spans="1:4" x14ac:dyDescent="0.25">
      <c r="A83" t="s">
        <v>471</v>
      </c>
      <c r="B83" s="5" t="s">
        <v>518</v>
      </c>
      <c r="C83" s="5" t="s">
        <v>518</v>
      </c>
      <c r="D83" t="b">
        <f t="shared" si="2"/>
        <v>0</v>
      </c>
    </row>
    <row r="84" spans="1:4" x14ac:dyDescent="0.25">
      <c r="A84" t="s">
        <v>263</v>
      </c>
      <c r="B84" s="5" t="s">
        <v>519</v>
      </c>
      <c r="C84" s="5" t="s">
        <v>519</v>
      </c>
      <c r="D84" t="b">
        <f t="shared" si="2"/>
        <v>0</v>
      </c>
    </row>
    <row r="85" spans="1:4" x14ac:dyDescent="0.25">
      <c r="A85" t="s">
        <v>263</v>
      </c>
      <c r="B85" s="5" t="s">
        <v>111</v>
      </c>
      <c r="C85" s="5" t="s">
        <v>111</v>
      </c>
      <c r="D85" t="b">
        <f t="shared" si="2"/>
        <v>0</v>
      </c>
    </row>
    <row r="86" spans="1:4" x14ac:dyDescent="0.25">
      <c r="A86" t="s">
        <v>263</v>
      </c>
      <c r="B86" s="5" t="s">
        <v>520</v>
      </c>
      <c r="C86" s="5" t="s">
        <v>520</v>
      </c>
      <c r="D86" t="b">
        <f t="shared" si="2"/>
        <v>0</v>
      </c>
    </row>
    <row r="87" spans="1:4" x14ac:dyDescent="0.25">
      <c r="A87" t="s">
        <v>263</v>
      </c>
      <c r="B87" s="5" t="s">
        <v>521</v>
      </c>
      <c r="C87" s="5" t="s">
        <v>521</v>
      </c>
      <c r="D87" t="b">
        <f t="shared" si="2"/>
        <v>0</v>
      </c>
    </row>
    <row r="88" spans="1:4" x14ac:dyDescent="0.25">
      <c r="A88" t="s">
        <v>263</v>
      </c>
      <c r="B88" s="5" t="s">
        <v>522</v>
      </c>
      <c r="C88" s="5" t="s">
        <v>522</v>
      </c>
      <c r="D88" t="b">
        <f t="shared" si="2"/>
        <v>0</v>
      </c>
    </row>
    <row r="89" spans="1:4" x14ac:dyDescent="0.25">
      <c r="A89" t="s">
        <v>263</v>
      </c>
      <c r="B89" s="5" t="s">
        <v>109</v>
      </c>
      <c r="C89" s="5" t="s">
        <v>109</v>
      </c>
      <c r="D89" t="b">
        <f t="shared" si="2"/>
        <v>0</v>
      </c>
    </row>
    <row r="90" spans="1:4" x14ac:dyDescent="0.25">
      <c r="A90" t="s">
        <v>263</v>
      </c>
      <c r="B90" s="5" t="s">
        <v>523</v>
      </c>
      <c r="C90" s="5" t="s">
        <v>523</v>
      </c>
      <c r="D90" t="b">
        <f t="shared" si="2"/>
        <v>0</v>
      </c>
    </row>
    <row r="91" spans="1:4" x14ac:dyDescent="0.25">
      <c r="A91" t="s">
        <v>263</v>
      </c>
      <c r="B91" s="5" t="s">
        <v>366</v>
      </c>
      <c r="C91" s="5" t="s">
        <v>366</v>
      </c>
      <c r="D91" t="b">
        <f t="shared" si="2"/>
        <v>0</v>
      </c>
    </row>
    <row r="92" spans="1:4" x14ac:dyDescent="0.25">
      <c r="A92" t="s">
        <v>263</v>
      </c>
      <c r="B92" s="5" t="s">
        <v>524</v>
      </c>
      <c r="C92" s="5" t="s">
        <v>524</v>
      </c>
      <c r="D92" t="b">
        <f t="shared" si="2"/>
        <v>0</v>
      </c>
    </row>
    <row r="93" spans="1:4" x14ac:dyDescent="0.25">
      <c r="A93" t="s">
        <v>263</v>
      </c>
      <c r="B93" s="5" t="s">
        <v>525</v>
      </c>
      <c r="C93" s="5" t="s">
        <v>525</v>
      </c>
      <c r="D93" t="b">
        <f t="shared" si="2"/>
        <v>0</v>
      </c>
    </row>
    <row r="94" spans="1:4" x14ac:dyDescent="0.25">
      <c r="A94" t="s">
        <v>263</v>
      </c>
      <c r="B94" s="5" t="s">
        <v>526</v>
      </c>
      <c r="C94" s="5" t="s">
        <v>1666</v>
      </c>
      <c r="D94" t="b">
        <f t="shared" si="2"/>
        <v>1</v>
      </c>
    </row>
    <row r="95" spans="1:4" x14ac:dyDescent="0.25">
      <c r="A95" t="s">
        <v>263</v>
      </c>
      <c r="B95" s="5" t="s">
        <v>527</v>
      </c>
      <c r="C95" s="5" t="s">
        <v>527</v>
      </c>
      <c r="D95" t="b">
        <f t="shared" si="2"/>
        <v>0</v>
      </c>
    </row>
    <row r="96" spans="1:4" x14ac:dyDescent="0.25">
      <c r="A96" t="s">
        <v>263</v>
      </c>
      <c r="B96" s="5" t="s">
        <v>528</v>
      </c>
      <c r="C96" s="5" t="s">
        <v>528</v>
      </c>
      <c r="D96" t="b">
        <f t="shared" si="2"/>
        <v>0</v>
      </c>
    </row>
    <row r="97" spans="1:4" x14ac:dyDescent="0.25">
      <c r="A97" t="s">
        <v>59</v>
      </c>
      <c r="B97" s="5" t="s">
        <v>529</v>
      </c>
      <c r="C97" s="5" t="s">
        <v>529</v>
      </c>
      <c r="D97" t="b">
        <f t="shared" si="2"/>
        <v>0</v>
      </c>
    </row>
    <row r="98" spans="1:4" x14ac:dyDescent="0.25">
      <c r="A98" t="s">
        <v>59</v>
      </c>
      <c r="B98" s="5" t="s">
        <v>167</v>
      </c>
      <c r="C98" s="5" t="s">
        <v>167</v>
      </c>
      <c r="D98" t="b">
        <f t="shared" si="2"/>
        <v>0</v>
      </c>
    </row>
    <row r="99" spans="1:4" x14ac:dyDescent="0.25">
      <c r="A99" t="s">
        <v>476</v>
      </c>
      <c r="B99" s="5" t="s">
        <v>530</v>
      </c>
      <c r="C99" s="5" t="s">
        <v>530</v>
      </c>
      <c r="D99" t="b">
        <f t="shared" si="2"/>
        <v>0</v>
      </c>
    </row>
    <row r="100" spans="1:4" x14ac:dyDescent="0.25">
      <c r="A100" t="s">
        <v>476</v>
      </c>
      <c r="B100" s="5" t="s">
        <v>118</v>
      </c>
      <c r="C100" s="5" t="s">
        <v>118</v>
      </c>
      <c r="D100" t="b">
        <f t="shared" si="2"/>
        <v>0</v>
      </c>
    </row>
    <row r="101" spans="1:4" x14ac:dyDescent="0.25">
      <c r="A101" t="s">
        <v>476</v>
      </c>
      <c r="B101" s="5" t="s">
        <v>117</v>
      </c>
      <c r="C101" s="5" t="s">
        <v>117</v>
      </c>
      <c r="D101" t="b">
        <f t="shared" si="2"/>
        <v>0</v>
      </c>
    </row>
    <row r="102" spans="1:4" x14ac:dyDescent="0.25">
      <c r="A102" t="s">
        <v>476</v>
      </c>
      <c r="B102" s="5" t="s">
        <v>531</v>
      </c>
      <c r="C102" s="5" t="s">
        <v>531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1D0CA7D3-6CA7-4335-88FE-0A0D33B511F9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 B5:B102</xm:sqref>
        </x14:conditionalFormatting>
        <x14:conditionalFormatting xmlns:xm="http://schemas.microsoft.com/office/excel/2006/main">
          <x14:cfRule type="notContainsText" priority="1" operator="notContains" id="{CFA2CA1F-2B4E-4E7C-BB75-1233420EE758}">
            <xm:f>ISERROR(SEARCH(A3,B3))</xm:f>
            <xm:f>A3</xm:f>
            <x14:dxf>
              <fill>
                <patternFill>
                  <bgColor theme="5" tint="0.79998168889431442"/>
                </patternFill>
              </fill>
            </x14:dxf>
          </x14:cfRule>
          <xm:sqref>C3:C102 B4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7245-12E0-4FC7-9E2A-950CF34AEAEB}">
  <sheetPr codeName="Planilha19"/>
  <dimension ref="A1:G102"/>
  <sheetViews>
    <sheetView topLeftCell="A75" workbookViewId="0">
      <selection activeCell="F26" sqref="F26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919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5</v>
      </c>
    </row>
    <row r="3" spans="1:7" x14ac:dyDescent="0.25">
      <c r="A3" s="21" t="s">
        <v>2002</v>
      </c>
      <c r="B3" s="5" t="s">
        <v>919</v>
      </c>
      <c r="C3" s="5" t="s">
        <v>919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920</v>
      </c>
      <c r="C4" s="5" t="s">
        <v>920</v>
      </c>
      <c r="D4" t="b">
        <f t="shared" ref="D4:D67" si="0">B4&lt;&gt;C4</f>
        <v>0</v>
      </c>
    </row>
    <row r="5" spans="1:7" x14ac:dyDescent="0.25">
      <c r="A5" t="s">
        <v>28</v>
      </c>
      <c r="B5" s="5" t="s">
        <v>333</v>
      </c>
      <c r="C5" s="5" t="s">
        <v>333</v>
      </c>
      <c r="D5" t="b">
        <f t="shared" si="0"/>
        <v>0</v>
      </c>
      <c r="F5" s="6" t="s">
        <v>32</v>
      </c>
      <c r="G5" s="1"/>
    </row>
    <row r="6" spans="1:7" x14ac:dyDescent="0.25">
      <c r="A6" t="s">
        <v>28</v>
      </c>
      <c r="B6" s="5" t="s">
        <v>184</v>
      </c>
      <c r="C6" s="5" t="s">
        <v>184</v>
      </c>
      <c r="D6" t="b">
        <f t="shared" si="0"/>
        <v>0</v>
      </c>
      <c r="F6" s="7" t="s">
        <v>2002</v>
      </c>
      <c r="G6" s="2">
        <f t="shared" ref="G6:G15" si="1">COUNTIF(A:A,F6)</f>
        <v>1</v>
      </c>
    </row>
    <row r="7" spans="1:7" x14ac:dyDescent="0.25">
      <c r="A7" t="s">
        <v>28</v>
      </c>
      <c r="B7" s="5" t="s">
        <v>921</v>
      </c>
      <c r="C7" s="5" t="s">
        <v>921</v>
      </c>
      <c r="D7" t="b">
        <f t="shared" si="0"/>
        <v>0</v>
      </c>
      <c r="F7" s="3" t="s">
        <v>28</v>
      </c>
      <c r="G7" s="2">
        <f t="shared" si="1"/>
        <v>32</v>
      </c>
    </row>
    <row r="8" spans="1:7" x14ac:dyDescent="0.25">
      <c r="A8" t="s">
        <v>28</v>
      </c>
      <c r="B8" s="5" t="s">
        <v>33</v>
      </c>
      <c r="C8" s="5" t="s">
        <v>33</v>
      </c>
      <c r="D8" t="b">
        <f t="shared" si="0"/>
        <v>0</v>
      </c>
      <c r="F8" s="7" t="s">
        <v>923</v>
      </c>
      <c r="G8" s="2">
        <f t="shared" si="1"/>
        <v>13</v>
      </c>
    </row>
    <row r="9" spans="1:7" x14ac:dyDescent="0.25">
      <c r="A9" t="s">
        <v>28</v>
      </c>
      <c r="B9" s="5" t="s">
        <v>38</v>
      </c>
      <c r="C9" s="5" t="s">
        <v>922</v>
      </c>
      <c r="D9" t="b">
        <f t="shared" si="0"/>
        <v>1</v>
      </c>
      <c r="F9" s="7" t="s">
        <v>43</v>
      </c>
      <c r="G9" s="2">
        <f t="shared" si="1"/>
        <v>7</v>
      </c>
    </row>
    <row r="10" spans="1:7" x14ac:dyDescent="0.25">
      <c r="A10" t="s">
        <v>28</v>
      </c>
      <c r="B10" s="5" t="s">
        <v>38</v>
      </c>
      <c r="C10" s="5" t="s">
        <v>1737</v>
      </c>
      <c r="D10" t="b">
        <f t="shared" si="0"/>
        <v>1</v>
      </c>
      <c r="F10" s="7" t="s">
        <v>58</v>
      </c>
      <c r="G10" s="2">
        <f t="shared" si="1"/>
        <v>3</v>
      </c>
    </row>
    <row r="11" spans="1:7" x14ac:dyDescent="0.25">
      <c r="A11" t="s">
        <v>28</v>
      </c>
      <c r="B11" s="5" t="s">
        <v>1837</v>
      </c>
      <c r="C11" s="5" t="s">
        <v>1837</v>
      </c>
      <c r="D11" t="b">
        <f t="shared" si="0"/>
        <v>0</v>
      </c>
      <c r="F11" s="7" t="s">
        <v>36</v>
      </c>
      <c r="G11" s="2">
        <f t="shared" si="1"/>
        <v>21</v>
      </c>
    </row>
    <row r="12" spans="1:7" x14ac:dyDescent="0.25">
      <c r="A12" t="s">
        <v>28</v>
      </c>
      <c r="B12" s="5" t="s">
        <v>38</v>
      </c>
      <c r="C12" s="5" t="s">
        <v>38</v>
      </c>
      <c r="D12" t="b">
        <f t="shared" si="0"/>
        <v>0</v>
      </c>
      <c r="F12" s="7" t="s">
        <v>924</v>
      </c>
      <c r="G12" s="2">
        <f t="shared" si="1"/>
        <v>5</v>
      </c>
    </row>
    <row r="13" spans="1:7" x14ac:dyDescent="0.25">
      <c r="A13" t="s">
        <v>28</v>
      </c>
      <c r="B13" s="5" t="s">
        <v>38</v>
      </c>
      <c r="C13" s="5" t="s">
        <v>38</v>
      </c>
      <c r="D13" t="b">
        <f t="shared" si="0"/>
        <v>0</v>
      </c>
      <c r="F13" s="7" t="s">
        <v>35</v>
      </c>
      <c r="G13" s="2">
        <f t="shared" si="1"/>
        <v>10</v>
      </c>
    </row>
    <row r="14" spans="1:7" x14ac:dyDescent="0.25">
      <c r="A14" t="s">
        <v>28</v>
      </c>
      <c r="B14" s="5" t="s">
        <v>38</v>
      </c>
      <c r="C14" s="5" t="s">
        <v>38</v>
      </c>
      <c r="D14" t="b">
        <f t="shared" si="0"/>
        <v>0</v>
      </c>
      <c r="F14" s="7" t="s">
        <v>34</v>
      </c>
      <c r="G14" s="2">
        <f t="shared" si="1"/>
        <v>2</v>
      </c>
    </row>
    <row r="15" spans="1:7" x14ac:dyDescent="0.25">
      <c r="A15" t="s">
        <v>28</v>
      </c>
      <c r="B15" s="5" t="s">
        <v>38</v>
      </c>
      <c r="C15" s="5" t="s">
        <v>38</v>
      </c>
      <c r="D15" t="b">
        <f t="shared" si="0"/>
        <v>0</v>
      </c>
      <c r="F15" s="3" t="s">
        <v>10</v>
      </c>
      <c r="G15" s="2">
        <f t="shared" si="1"/>
        <v>6</v>
      </c>
    </row>
    <row r="16" spans="1:7" x14ac:dyDescent="0.25">
      <c r="A16" t="s">
        <v>28</v>
      </c>
      <c r="B16" s="5" t="s">
        <v>38</v>
      </c>
      <c r="C16" s="5" t="s">
        <v>38</v>
      </c>
      <c r="D16" t="b">
        <f t="shared" si="0"/>
        <v>0</v>
      </c>
    </row>
    <row r="17" spans="1:7" x14ac:dyDescent="0.25">
      <c r="A17" t="s">
        <v>28</v>
      </c>
      <c r="B17" s="5" t="s">
        <v>38</v>
      </c>
      <c r="C17" s="5" t="s">
        <v>38</v>
      </c>
      <c r="D17" t="b">
        <f t="shared" si="0"/>
        <v>0</v>
      </c>
      <c r="F17" s="1"/>
      <c r="G17" s="2"/>
    </row>
    <row r="18" spans="1:7" x14ac:dyDescent="0.25">
      <c r="A18" t="s">
        <v>28</v>
      </c>
      <c r="B18" s="5" t="s">
        <v>38</v>
      </c>
      <c r="C18" s="5" t="s">
        <v>38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 t="s">
        <v>38</v>
      </c>
      <c r="C19" s="5" t="s">
        <v>38</v>
      </c>
      <c r="D19" t="b">
        <f t="shared" si="0"/>
        <v>0</v>
      </c>
    </row>
    <row r="20" spans="1:7" x14ac:dyDescent="0.25">
      <c r="A20" t="s">
        <v>28</v>
      </c>
      <c r="B20" s="5" t="s">
        <v>38</v>
      </c>
      <c r="C20" s="5" t="s">
        <v>38</v>
      </c>
      <c r="D20" t="b">
        <f t="shared" si="0"/>
        <v>0</v>
      </c>
    </row>
    <row r="21" spans="1:7" x14ac:dyDescent="0.25">
      <c r="A21" t="s">
        <v>28</v>
      </c>
      <c r="B21" s="5" t="s">
        <v>38</v>
      </c>
      <c r="C21" s="5" t="s">
        <v>38</v>
      </c>
      <c r="D21" t="b">
        <f t="shared" si="0"/>
        <v>0</v>
      </c>
    </row>
    <row r="22" spans="1:7" x14ac:dyDescent="0.25">
      <c r="A22" t="s">
        <v>28</v>
      </c>
      <c r="B22" s="5" t="s">
        <v>38</v>
      </c>
      <c r="C22" s="5" t="s">
        <v>38</v>
      </c>
      <c r="D22" t="b">
        <f t="shared" si="0"/>
        <v>0</v>
      </c>
    </row>
    <row r="23" spans="1:7" x14ac:dyDescent="0.25">
      <c r="A23" t="s">
        <v>28</v>
      </c>
      <c r="B23" s="5" t="s">
        <v>38</v>
      </c>
      <c r="C23" s="5" t="s">
        <v>38</v>
      </c>
      <c r="D23" t="b">
        <f t="shared" si="0"/>
        <v>0</v>
      </c>
    </row>
    <row r="24" spans="1:7" x14ac:dyDescent="0.25">
      <c r="A24" t="s">
        <v>28</v>
      </c>
      <c r="B24" s="5" t="s">
        <v>39</v>
      </c>
      <c r="C24" s="5" t="s">
        <v>39</v>
      </c>
      <c r="D24" t="b">
        <f t="shared" si="0"/>
        <v>0</v>
      </c>
    </row>
    <row r="25" spans="1:7" x14ac:dyDescent="0.25">
      <c r="A25" t="s">
        <v>28</v>
      </c>
      <c r="B25" s="5" t="s">
        <v>39</v>
      </c>
      <c r="C25" s="5" t="s">
        <v>39</v>
      </c>
      <c r="D25" t="b">
        <f t="shared" si="0"/>
        <v>0</v>
      </c>
    </row>
    <row r="26" spans="1:7" x14ac:dyDescent="0.25">
      <c r="A26" t="s">
        <v>28</v>
      </c>
      <c r="B26" s="5" t="s">
        <v>39</v>
      </c>
      <c r="C26" s="5" t="s">
        <v>39</v>
      </c>
      <c r="D26" t="b">
        <f t="shared" si="0"/>
        <v>0</v>
      </c>
    </row>
    <row r="27" spans="1:7" x14ac:dyDescent="0.25">
      <c r="A27" t="s">
        <v>28</v>
      </c>
      <c r="B27" s="5" t="s">
        <v>39</v>
      </c>
      <c r="C27" s="5" t="s">
        <v>39</v>
      </c>
      <c r="D27" t="b">
        <f t="shared" si="0"/>
        <v>0</v>
      </c>
    </row>
    <row r="28" spans="1:7" x14ac:dyDescent="0.25">
      <c r="A28" t="s">
        <v>28</v>
      </c>
      <c r="B28" s="5" t="s">
        <v>39</v>
      </c>
      <c r="C28" s="5" t="s">
        <v>39</v>
      </c>
      <c r="D28" t="b">
        <f t="shared" si="0"/>
        <v>0</v>
      </c>
    </row>
    <row r="29" spans="1:7" x14ac:dyDescent="0.25">
      <c r="A29" t="s">
        <v>28</v>
      </c>
      <c r="B29" s="5" t="s">
        <v>39</v>
      </c>
      <c r="C29" s="5" t="s">
        <v>39</v>
      </c>
      <c r="D29" t="b">
        <f t="shared" si="0"/>
        <v>0</v>
      </c>
    </row>
    <row r="30" spans="1:7" x14ac:dyDescent="0.25">
      <c r="A30" t="s">
        <v>28</v>
      </c>
      <c r="B30" s="5" t="s">
        <v>39</v>
      </c>
      <c r="C30" s="5" t="s">
        <v>39</v>
      </c>
      <c r="D30" t="b">
        <f t="shared" si="0"/>
        <v>0</v>
      </c>
    </row>
    <row r="31" spans="1:7" x14ac:dyDescent="0.25">
      <c r="A31" t="s">
        <v>28</v>
      </c>
      <c r="B31" s="5" t="s">
        <v>39</v>
      </c>
      <c r="C31" s="5" t="s">
        <v>39</v>
      </c>
      <c r="D31" t="b">
        <f t="shared" si="0"/>
        <v>0</v>
      </c>
    </row>
    <row r="32" spans="1:7" x14ac:dyDescent="0.25">
      <c r="A32" t="s">
        <v>28</v>
      </c>
      <c r="B32" s="5" t="s">
        <v>39</v>
      </c>
      <c r="C32" s="5" t="s">
        <v>39</v>
      </c>
      <c r="D32" t="b">
        <f t="shared" si="0"/>
        <v>0</v>
      </c>
    </row>
    <row r="33" spans="1:4" x14ac:dyDescent="0.25">
      <c r="A33" t="s">
        <v>28</v>
      </c>
      <c r="B33" s="5" t="s">
        <v>39</v>
      </c>
      <c r="C33" s="5" t="s">
        <v>39</v>
      </c>
      <c r="D33" t="b">
        <f t="shared" si="0"/>
        <v>0</v>
      </c>
    </row>
    <row r="34" spans="1:4" x14ac:dyDescent="0.25">
      <c r="A34" t="s">
        <v>28</v>
      </c>
      <c r="B34" s="5" t="s">
        <v>39</v>
      </c>
      <c r="C34" s="5" t="s">
        <v>39</v>
      </c>
      <c r="D34" t="b">
        <f t="shared" si="0"/>
        <v>0</v>
      </c>
    </row>
    <row r="35" spans="1:4" x14ac:dyDescent="0.25">
      <c r="A35" t="s">
        <v>28</v>
      </c>
      <c r="B35" s="5" t="s">
        <v>39</v>
      </c>
      <c r="C35" s="5" t="s">
        <v>39</v>
      </c>
      <c r="D35" t="b">
        <f t="shared" si="0"/>
        <v>0</v>
      </c>
    </row>
    <row r="36" spans="1:4" x14ac:dyDescent="0.25">
      <c r="A36" t="s">
        <v>923</v>
      </c>
      <c r="B36" s="5" t="s">
        <v>925</v>
      </c>
      <c r="C36" s="5" t="s">
        <v>925</v>
      </c>
      <c r="D36" t="b">
        <f t="shared" si="0"/>
        <v>0</v>
      </c>
    </row>
    <row r="37" spans="1:4" x14ac:dyDescent="0.25">
      <c r="A37" t="s">
        <v>923</v>
      </c>
      <c r="B37" s="5" t="s">
        <v>926</v>
      </c>
      <c r="C37" s="5" t="s">
        <v>927</v>
      </c>
      <c r="D37" t="b">
        <f t="shared" si="0"/>
        <v>1</v>
      </c>
    </row>
    <row r="38" spans="1:4" x14ac:dyDescent="0.25">
      <c r="A38" t="s">
        <v>923</v>
      </c>
      <c r="B38" s="5" t="s">
        <v>928</v>
      </c>
      <c r="C38" s="5" t="s">
        <v>928</v>
      </c>
      <c r="D38" t="b">
        <f t="shared" si="0"/>
        <v>0</v>
      </c>
    </row>
    <row r="39" spans="1:4" x14ac:dyDescent="0.25">
      <c r="A39" t="s">
        <v>923</v>
      </c>
      <c r="B39" s="5" t="s">
        <v>929</v>
      </c>
      <c r="C39" s="5" t="s">
        <v>929</v>
      </c>
      <c r="D39" t="b">
        <f t="shared" si="0"/>
        <v>0</v>
      </c>
    </row>
    <row r="40" spans="1:4" x14ac:dyDescent="0.25">
      <c r="A40" t="s">
        <v>923</v>
      </c>
      <c r="B40" s="5" t="s">
        <v>431</v>
      </c>
      <c r="C40" s="5" t="s">
        <v>431</v>
      </c>
      <c r="D40" t="b">
        <f t="shared" si="0"/>
        <v>0</v>
      </c>
    </row>
    <row r="41" spans="1:4" x14ac:dyDescent="0.25">
      <c r="A41" t="s">
        <v>923</v>
      </c>
      <c r="B41" s="5" t="s">
        <v>930</v>
      </c>
      <c r="C41" s="5" t="s">
        <v>930</v>
      </c>
      <c r="D41" t="b">
        <f t="shared" si="0"/>
        <v>0</v>
      </c>
    </row>
    <row r="42" spans="1:4" x14ac:dyDescent="0.25">
      <c r="A42" t="s">
        <v>923</v>
      </c>
      <c r="B42" s="5" t="s">
        <v>931</v>
      </c>
      <c r="C42" s="5" t="s">
        <v>932</v>
      </c>
      <c r="D42" t="b">
        <f t="shared" si="0"/>
        <v>1</v>
      </c>
    </row>
    <row r="43" spans="1:4" x14ac:dyDescent="0.25">
      <c r="A43" t="s">
        <v>923</v>
      </c>
      <c r="B43" s="5" t="s">
        <v>933</v>
      </c>
      <c r="C43" s="5" t="s">
        <v>933</v>
      </c>
      <c r="D43" t="b">
        <f t="shared" si="0"/>
        <v>0</v>
      </c>
    </row>
    <row r="44" spans="1:4" x14ac:dyDescent="0.25">
      <c r="A44" t="s">
        <v>923</v>
      </c>
      <c r="B44" s="5" t="s">
        <v>934</v>
      </c>
      <c r="C44" s="5" t="s">
        <v>934</v>
      </c>
      <c r="D44" t="b">
        <f t="shared" si="0"/>
        <v>0</v>
      </c>
    </row>
    <row r="45" spans="1:4" x14ac:dyDescent="0.25">
      <c r="A45" t="s">
        <v>923</v>
      </c>
      <c r="B45" s="5" t="s">
        <v>935</v>
      </c>
      <c r="C45" s="5" t="s">
        <v>935</v>
      </c>
      <c r="D45" t="b">
        <f t="shared" si="0"/>
        <v>0</v>
      </c>
    </row>
    <row r="46" spans="1:4" x14ac:dyDescent="0.25">
      <c r="A46" t="s">
        <v>923</v>
      </c>
      <c r="B46" s="5" t="s">
        <v>936</v>
      </c>
      <c r="C46" s="5" t="s">
        <v>936</v>
      </c>
      <c r="D46" t="b">
        <f t="shared" si="0"/>
        <v>0</v>
      </c>
    </row>
    <row r="47" spans="1:4" x14ac:dyDescent="0.25">
      <c r="A47" t="s">
        <v>923</v>
      </c>
      <c r="B47" s="5" t="s">
        <v>937</v>
      </c>
      <c r="C47" s="5" t="s">
        <v>937</v>
      </c>
      <c r="D47" t="b">
        <f t="shared" si="0"/>
        <v>0</v>
      </c>
    </row>
    <row r="48" spans="1:4" x14ac:dyDescent="0.25">
      <c r="A48" t="s">
        <v>923</v>
      </c>
      <c r="B48" s="5" t="s">
        <v>938</v>
      </c>
      <c r="C48" s="5" t="s">
        <v>938</v>
      </c>
      <c r="D48" t="b">
        <f t="shared" si="0"/>
        <v>0</v>
      </c>
    </row>
    <row r="49" spans="1:4" x14ac:dyDescent="0.25">
      <c r="A49" t="s">
        <v>58</v>
      </c>
      <c r="B49" s="5" t="s">
        <v>939</v>
      </c>
      <c r="C49" s="5" t="s">
        <v>939</v>
      </c>
      <c r="D49" t="b">
        <f t="shared" si="0"/>
        <v>0</v>
      </c>
    </row>
    <row r="50" spans="1:4" x14ac:dyDescent="0.25">
      <c r="A50" t="s">
        <v>58</v>
      </c>
      <c r="B50" s="5" t="s">
        <v>940</v>
      </c>
      <c r="C50" s="5" t="s">
        <v>940</v>
      </c>
      <c r="D50" t="b">
        <f t="shared" si="0"/>
        <v>0</v>
      </c>
    </row>
    <row r="51" spans="1:4" x14ac:dyDescent="0.25">
      <c r="A51" t="s">
        <v>58</v>
      </c>
      <c r="B51" s="5" t="s">
        <v>941</v>
      </c>
      <c r="C51" s="5" t="s">
        <v>941</v>
      </c>
      <c r="D51" t="b">
        <f t="shared" si="0"/>
        <v>0</v>
      </c>
    </row>
    <row r="52" spans="1:4" x14ac:dyDescent="0.25">
      <c r="A52" t="s">
        <v>924</v>
      </c>
      <c r="B52" s="5" t="s">
        <v>942</v>
      </c>
      <c r="C52" s="5" t="s">
        <v>942</v>
      </c>
      <c r="D52" t="b">
        <f t="shared" si="0"/>
        <v>0</v>
      </c>
    </row>
    <row r="53" spans="1:4" x14ac:dyDescent="0.25">
      <c r="A53" t="s">
        <v>924</v>
      </c>
      <c r="B53" s="5" t="s">
        <v>943</v>
      </c>
      <c r="C53" s="5" t="s">
        <v>943</v>
      </c>
      <c r="D53" t="b">
        <f t="shared" si="0"/>
        <v>0</v>
      </c>
    </row>
    <row r="54" spans="1:4" x14ac:dyDescent="0.25">
      <c r="A54" t="s">
        <v>924</v>
      </c>
      <c r="B54" s="5" t="s">
        <v>944</v>
      </c>
      <c r="C54" s="5" t="s">
        <v>944</v>
      </c>
      <c r="D54" t="b">
        <f t="shared" si="0"/>
        <v>0</v>
      </c>
    </row>
    <row r="55" spans="1:4" x14ac:dyDescent="0.25">
      <c r="A55" t="s">
        <v>924</v>
      </c>
      <c r="B55" s="5" t="s">
        <v>945</v>
      </c>
      <c r="C55" s="5" t="s">
        <v>945</v>
      </c>
      <c r="D55" t="b">
        <f t="shared" si="0"/>
        <v>0</v>
      </c>
    </row>
    <row r="56" spans="1:4" x14ac:dyDescent="0.25">
      <c r="A56" t="s">
        <v>924</v>
      </c>
      <c r="B56" s="5" t="s">
        <v>946</v>
      </c>
      <c r="C56" s="5" t="s">
        <v>946</v>
      </c>
      <c r="D56" t="b">
        <f t="shared" si="0"/>
        <v>0</v>
      </c>
    </row>
    <row r="57" spans="1:4" x14ac:dyDescent="0.25">
      <c r="A57" t="s">
        <v>43</v>
      </c>
      <c r="B57" s="5" t="s">
        <v>947</v>
      </c>
      <c r="C57" s="5" t="s">
        <v>947</v>
      </c>
      <c r="D57" t="b">
        <f t="shared" si="0"/>
        <v>0</v>
      </c>
    </row>
    <row r="58" spans="1:4" x14ac:dyDescent="0.25">
      <c r="A58" t="s">
        <v>43</v>
      </c>
      <c r="B58" s="5" t="s">
        <v>948</v>
      </c>
      <c r="C58" s="5" t="s">
        <v>948</v>
      </c>
      <c r="D58" t="b">
        <f t="shared" si="0"/>
        <v>0</v>
      </c>
    </row>
    <row r="59" spans="1:4" x14ac:dyDescent="0.25">
      <c r="A59" t="s">
        <v>43</v>
      </c>
      <c r="B59" s="5" t="s">
        <v>949</v>
      </c>
      <c r="C59" s="5" t="s">
        <v>949</v>
      </c>
      <c r="D59" t="b">
        <f t="shared" si="0"/>
        <v>0</v>
      </c>
    </row>
    <row r="60" spans="1:4" x14ac:dyDescent="0.25">
      <c r="A60" t="s">
        <v>43</v>
      </c>
      <c r="B60" s="5" t="s">
        <v>950</v>
      </c>
      <c r="C60" s="5" t="s">
        <v>950</v>
      </c>
      <c r="D60" t="b">
        <f t="shared" si="0"/>
        <v>0</v>
      </c>
    </row>
    <row r="61" spans="1:4" x14ac:dyDescent="0.25">
      <c r="A61" t="s">
        <v>43</v>
      </c>
      <c r="B61" s="5" t="s">
        <v>951</v>
      </c>
      <c r="C61" s="5" t="s">
        <v>951</v>
      </c>
      <c r="D61" t="b">
        <f t="shared" si="0"/>
        <v>0</v>
      </c>
    </row>
    <row r="62" spans="1:4" x14ac:dyDescent="0.25">
      <c r="A62" t="s">
        <v>43</v>
      </c>
      <c r="B62" s="5" t="s">
        <v>952</v>
      </c>
      <c r="C62" s="5" t="s">
        <v>952</v>
      </c>
      <c r="D62" t="b">
        <f t="shared" si="0"/>
        <v>0</v>
      </c>
    </row>
    <row r="63" spans="1:4" x14ac:dyDescent="0.25">
      <c r="A63" t="s">
        <v>43</v>
      </c>
      <c r="B63" s="5" t="s">
        <v>953</v>
      </c>
      <c r="C63" s="5" t="s">
        <v>1904</v>
      </c>
      <c r="D63" t="b">
        <f t="shared" si="0"/>
        <v>1</v>
      </c>
    </row>
    <row r="64" spans="1:4" x14ac:dyDescent="0.25">
      <c r="A64" t="s">
        <v>34</v>
      </c>
      <c r="B64" s="5" t="s">
        <v>198</v>
      </c>
      <c r="C64" s="5" t="s">
        <v>198</v>
      </c>
      <c r="D64" t="b">
        <f t="shared" si="0"/>
        <v>0</v>
      </c>
    </row>
    <row r="65" spans="1:4" x14ac:dyDescent="0.25">
      <c r="A65" t="s">
        <v>34</v>
      </c>
      <c r="B65" s="5" t="s">
        <v>954</v>
      </c>
      <c r="C65" s="5" t="s">
        <v>954</v>
      </c>
      <c r="D65" t="b">
        <f t="shared" si="0"/>
        <v>0</v>
      </c>
    </row>
    <row r="66" spans="1:4" x14ac:dyDescent="0.25">
      <c r="A66" t="s">
        <v>10</v>
      </c>
      <c r="B66" s="5" t="s">
        <v>955</v>
      </c>
      <c r="C66" s="5" t="s">
        <v>955</v>
      </c>
      <c r="D66" t="b">
        <f t="shared" si="0"/>
        <v>0</v>
      </c>
    </row>
    <row r="67" spans="1:4" x14ac:dyDescent="0.25">
      <c r="A67" t="s">
        <v>10</v>
      </c>
      <c r="B67" s="5" t="s">
        <v>956</v>
      </c>
      <c r="C67" s="5" t="s">
        <v>956</v>
      </c>
      <c r="D67" t="b">
        <f t="shared" si="0"/>
        <v>0</v>
      </c>
    </row>
    <row r="68" spans="1:4" x14ac:dyDescent="0.25">
      <c r="A68" t="s">
        <v>10</v>
      </c>
      <c r="B68" s="5" t="s">
        <v>957</v>
      </c>
      <c r="C68" s="5" t="s">
        <v>957</v>
      </c>
      <c r="D68" t="b">
        <f t="shared" ref="D68:D101" si="2">B68&lt;&gt;C68</f>
        <v>0</v>
      </c>
    </row>
    <row r="69" spans="1:4" x14ac:dyDescent="0.25">
      <c r="A69" t="s">
        <v>10</v>
      </c>
      <c r="B69" s="5" t="s">
        <v>958</v>
      </c>
      <c r="C69" s="5" t="s">
        <v>958</v>
      </c>
      <c r="D69" t="b">
        <f t="shared" si="2"/>
        <v>0</v>
      </c>
    </row>
    <row r="70" spans="1:4" x14ac:dyDescent="0.25">
      <c r="A70" t="s">
        <v>10</v>
      </c>
      <c r="B70" s="5" t="s">
        <v>959</v>
      </c>
      <c r="C70" s="5" t="s">
        <v>959</v>
      </c>
      <c r="D70" t="b">
        <f t="shared" si="2"/>
        <v>0</v>
      </c>
    </row>
    <row r="71" spans="1:4" x14ac:dyDescent="0.25">
      <c r="A71" t="s">
        <v>10</v>
      </c>
      <c r="B71" s="5" t="s">
        <v>960</v>
      </c>
      <c r="C71" s="5" t="s">
        <v>960</v>
      </c>
      <c r="D71" t="b">
        <f t="shared" si="2"/>
        <v>0</v>
      </c>
    </row>
    <row r="72" spans="1:4" x14ac:dyDescent="0.25">
      <c r="A72" t="s">
        <v>36</v>
      </c>
      <c r="B72" s="5" t="s">
        <v>783</v>
      </c>
      <c r="C72" s="5" t="s">
        <v>783</v>
      </c>
      <c r="D72" t="b">
        <f t="shared" si="2"/>
        <v>0</v>
      </c>
    </row>
    <row r="73" spans="1:4" x14ac:dyDescent="0.25">
      <c r="A73" t="s">
        <v>36</v>
      </c>
      <c r="B73" s="5" t="s">
        <v>362</v>
      </c>
      <c r="C73" s="5" t="s">
        <v>362</v>
      </c>
      <c r="D73" t="b">
        <f t="shared" si="2"/>
        <v>0</v>
      </c>
    </row>
    <row r="74" spans="1:4" x14ac:dyDescent="0.25">
      <c r="A74" t="s">
        <v>36</v>
      </c>
      <c r="B74" s="5" t="s">
        <v>961</v>
      </c>
      <c r="C74" s="5" t="s">
        <v>961</v>
      </c>
      <c r="D74" t="b">
        <f t="shared" si="2"/>
        <v>0</v>
      </c>
    </row>
    <row r="75" spans="1:4" x14ac:dyDescent="0.25">
      <c r="A75" t="s">
        <v>36</v>
      </c>
      <c r="B75" s="5" t="s">
        <v>962</v>
      </c>
      <c r="C75" s="5" t="s">
        <v>962</v>
      </c>
      <c r="D75" t="b">
        <f t="shared" si="2"/>
        <v>0</v>
      </c>
    </row>
    <row r="76" spans="1:4" x14ac:dyDescent="0.25">
      <c r="A76" t="s">
        <v>36</v>
      </c>
      <c r="B76" s="5" t="s">
        <v>963</v>
      </c>
      <c r="C76" s="5" t="s">
        <v>963</v>
      </c>
      <c r="D76" t="b">
        <f t="shared" si="2"/>
        <v>0</v>
      </c>
    </row>
    <row r="77" spans="1:4" x14ac:dyDescent="0.25">
      <c r="A77" t="s">
        <v>36</v>
      </c>
      <c r="B77" s="5" t="s">
        <v>964</v>
      </c>
      <c r="C77" s="5" t="s">
        <v>964</v>
      </c>
      <c r="D77" t="b">
        <f t="shared" si="2"/>
        <v>0</v>
      </c>
    </row>
    <row r="78" spans="1:4" x14ac:dyDescent="0.25">
      <c r="A78" t="s">
        <v>36</v>
      </c>
      <c r="B78" s="5" t="s">
        <v>786</v>
      </c>
      <c r="C78" s="5" t="s">
        <v>786</v>
      </c>
      <c r="D78" t="b">
        <f t="shared" si="2"/>
        <v>0</v>
      </c>
    </row>
    <row r="79" spans="1:4" x14ac:dyDescent="0.25">
      <c r="A79" t="s">
        <v>36</v>
      </c>
      <c r="B79" s="5" t="s">
        <v>965</v>
      </c>
      <c r="C79" s="5" t="s">
        <v>965</v>
      </c>
      <c r="D79" t="b">
        <f t="shared" si="2"/>
        <v>0</v>
      </c>
    </row>
    <row r="80" spans="1:4" x14ac:dyDescent="0.25">
      <c r="A80" t="s">
        <v>36</v>
      </c>
      <c r="B80" s="5" t="s">
        <v>966</v>
      </c>
      <c r="C80" s="5" t="s">
        <v>966</v>
      </c>
      <c r="D80" t="b">
        <f t="shared" si="2"/>
        <v>0</v>
      </c>
    </row>
    <row r="81" spans="1:4" x14ac:dyDescent="0.25">
      <c r="A81" t="s">
        <v>36</v>
      </c>
      <c r="B81" s="5" t="s">
        <v>967</v>
      </c>
      <c r="C81" s="5" t="s">
        <v>967</v>
      </c>
      <c r="D81" t="b">
        <f t="shared" si="2"/>
        <v>0</v>
      </c>
    </row>
    <row r="82" spans="1:4" x14ac:dyDescent="0.25">
      <c r="A82" t="s">
        <v>36</v>
      </c>
      <c r="B82" s="5" t="s">
        <v>968</v>
      </c>
      <c r="C82" s="5" t="s">
        <v>968</v>
      </c>
      <c r="D82" t="b">
        <f t="shared" si="2"/>
        <v>0</v>
      </c>
    </row>
    <row r="83" spans="1:4" x14ac:dyDescent="0.25">
      <c r="A83" t="s">
        <v>36</v>
      </c>
      <c r="B83" s="5" t="s">
        <v>969</v>
      </c>
      <c r="C83" s="5" t="s">
        <v>969</v>
      </c>
      <c r="D83" t="b">
        <f t="shared" si="2"/>
        <v>0</v>
      </c>
    </row>
    <row r="84" spans="1:4" x14ac:dyDescent="0.25">
      <c r="A84" t="s">
        <v>36</v>
      </c>
      <c r="B84" s="5" t="s">
        <v>970</v>
      </c>
      <c r="C84" s="5" t="s">
        <v>970</v>
      </c>
      <c r="D84" t="b">
        <f t="shared" si="2"/>
        <v>0</v>
      </c>
    </row>
    <row r="85" spans="1:4" x14ac:dyDescent="0.25">
      <c r="A85" t="s">
        <v>36</v>
      </c>
      <c r="B85" s="5" t="s">
        <v>703</v>
      </c>
      <c r="C85" s="5" t="s">
        <v>703</v>
      </c>
      <c r="D85" t="b">
        <f t="shared" si="2"/>
        <v>0</v>
      </c>
    </row>
    <row r="86" spans="1:4" x14ac:dyDescent="0.25">
      <c r="A86" t="s">
        <v>36</v>
      </c>
      <c r="B86" s="5" t="s">
        <v>775</v>
      </c>
      <c r="C86" s="5" t="s">
        <v>775</v>
      </c>
      <c r="D86" t="b">
        <f t="shared" si="2"/>
        <v>0</v>
      </c>
    </row>
    <row r="87" spans="1:4" x14ac:dyDescent="0.25">
      <c r="A87" t="s">
        <v>36</v>
      </c>
      <c r="B87" s="5" t="s">
        <v>699</v>
      </c>
      <c r="C87" s="5" t="s">
        <v>699</v>
      </c>
      <c r="D87" t="b">
        <f t="shared" si="2"/>
        <v>0</v>
      </c>
    </row>
    <row r="88" spans="1:4" x14ac:dyDescent="0.25">
      <c r="A88" t="s">
        <v>36</v>
      </c>
      <c r="B88" s="5" t="s">
        <v>120</v>
      </c>
      <c r="C88" s="5" t="s">
        <v>120</v>
      </c>
      <c r="D88" t="b">
        <f t="shared" si="2"/>
        <v>0</v>
      </c>
    </row>
    <row r="89" spans="1:4" x14ac:dyDescent="0.25">
      <c r="A89" t="s">
        <v>36</v>
      </c>
      <c r="B89" s="5" t="s">
        <v>971</v>
      </c>
      <c r="C89" s="5" t="s">
        <v>971</v>
      </c>
      <c r="D89" t="b">
        <f t="shared" si="2"/>
        <v>0</v>
      </c>
    </row>
    <row r="90" spans="1:4" x14ac:dyDescent="0.25">
      <c r="A90" t="s">
        <v>36</v>
      </c>
      <c r="B90" s="5" t="s">
        <v>781</v>
      </c>
      <c r="C90" s="5" t="s">
        <v>781</v>
      </c>
      <c r="D90" t="b">
        <f t="shared" si="2"/>
        <v>0</v>
      </c>
    </row>
    <row r="91" spans="1:4" x14ac:dyDescent="0.25">
      <c r="A91" t="s">
        <v>36</v>
      </c>
      <c r="B91" s="5" t="s">
        <v>247</v>
      </c>
      <c r="C91" s="5" t="s">
        <v>247</v>
      </c>
      <c r="D91" t="b">
        <f t="shared" si="2"/>
        <v>0</v>
      </c>
    </row>
    <row r="92" spans="1:4" x14ac:dyDescent="0.25">
      <c r="A92" t="s">
        <v>36</v>
      </c>
      <c r="B92" s="5" t="s">
        <v>972</v>
      </c>
      <c r="C92" s="5" t="s">
        <v>972</v>
      </c>
      <c r="D92" t="b">
        <f t="shared" si="2"/>
        <v>0</v>
      </c>
    </row>
    <row r="93" spans="1:4" x14ac:dyDescent="0.25">
      <c r="A93" t="s">
        <v>35</v>
      </c>
      <c r="B93" s="5" t="s">
        <v>973</v>
      </c>
      <c r="C93" s="5" t="s">
        <v>973</v>
      </c>
      <c r="D93" t="b">
        <f t="shared" si="2"/>
        <v>0</v>
      </c>
    </row>
    <row r="94" spans="1:4" x14ac:dyDescent="0.25">
      <c r="A94" t="s">
        <v>35</v>
      </c>
      <c r="B94" s="5" t="s">
        <v>974</v>
      </c>
      <c r="C94" s="5" t="s">
        <v>974</v>
      </c>
      <c r="D94" t="b">
        <f t="shared" si="2"/>
        <v>0</v>
      </c>
    </row>
    <row r="95" spans="1:4" x14ac:dyDescent="0.25">
      <c r="A95" t="s">
        <v>35</v>
      </c>
      <c r="B95" s="5" t="s">
        <v>818</v>
      </c>
      <c r="C95" s="5" t="s">
        <v>818</v>
      </c>
      <c r="D95" t="b">
        <f t="shared" si="2"/>
        <v>0</v>
      </c>
    </row>
    <row r="96" spans="1:4" x14ac:dyDescent="0.25">
      <c r="A96" t="s">
        <v>35</v>
      </c>
      <c r="B96" s="5" t="s">
        <v>975</v>
      </c>
      <c r="C96" s="5" t="s">
        <v>975</v>
      </c>
      <c r="D96" t="b">
        <f t="shared" si="2"/>
        <v>0</v>
      </c>
    </row>
    <row r="97" spans="1:4" x14ac:dyDescent="0.25">
      <c r="A97" t="s">
        <v>35</v>
      </c>
      <c r="B97" s="5" t="s">
        <v>976</v>
      </c>
      <c r="C97" s="5" t="s">
        <v>976</v>
      </c>
      <c r="D97" t="b">
        <f t="shared" si="2"/>
        <v>0</v>
      </c>
    </row>
    <row r="98" spans="1:4" x14ac:dyDescent="0.25">
      <c r="A98" t="s">
        <v>35</v>
      </c>
      <c r="B98" s="5" t="s">
        <v>977</v>
      </c>
      <c r="C98" s="5" t="s">
        <v>977</v>
      </c>
      <c r="D98" t="b">
        <f t="shared" si="2"/>
        <v>0</v>
      </c>
    </row>
    <row r="99" spans="1:4" x14ac:dyDescent="0.25">
      <c r="A99" t="s">
        <v>35</v>
      </c>
      <c r="B99" s="5" t="s">
        <v>978</v>
      </c>
      <c r="C99" s="5" t="s">
        <v>978</v>
      </c>
      <c r="D99" t="b">
        <f t="shared" si="2"/>
        <v>0</v>
      </c>
    </row>
    <row r="100" spans="1:4" x14ac:dyDescent="0.25">
      <c r="A100" t="s">
        <v>35</v>
      </c>
      <c r="B100" s="5" t="s">
        <v>979</v>
      </c>
      <c r="C100" s="5" t="s">
        <v>979</v>
      </c>
      <c r="D100" t="b">
        <f t="shared" si="2"/>
        <v>0</v>
      </c>
    </row>
    <row r="101" spans="1:4" x14ac:dyDescent="0.25">
      <c r="A101" t="s">
        <v>35</v>
      </c>
      <c r="B101" s="5" t="s">
        <v>980</v>
      </c>
      <c r="C101" s="5" t="s">
        <v>980</v>
      </c>
      <c r="D101" t="b">
        <f t="shared" si="2"/>
        <v>0</v>
      </c>
    </row>
    <row r="102" spans="1:4" x14ac:dyDescent="0.25">
      <c r="A102" t="s">
        <v>35</v>
      </c>
      <c r="B102" s="5" t="s">
        <v>1530</v>
      </c>
      <c r="C102" s="5" t="s">
        <v>1530</v>
      </c>
      <c r="D102" t="str">
        <f>IF(B102=C102,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25BEBFE3-E6D6-4FC4-92D8-D7354A7E6D9B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930DD81A-3EC7-424F-9DDD-2BA0B94D6FCF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EC13-7091-4996-9830-3CF40BEC1970}">
  <sheetPr codeName="Planilha14"/>
  <dimension ref="A1:G102"/>
  <sheetViews>
    <sheetView topLeftCell="A69" workbookViewId="0">
      <selection activeCell="E98" sqref="E9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593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8</v>
      </c>
    </row>
    <row r="3" spans="1:7" x14ac:dyDescent="0.25">
      <c r="A3" s="21" t="s">
        <v>2002</v>
      </c>
      <c r="B3" s="5" t="s">
        <v>593</v>
      </c>
      <c r="C3" s="5" t="s">
        <v>593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594</v>
      </c>
      <c r="C4" s="5" t="s">
        <v>594</v>
      </c>
      <c r="D4" t="b">
        <f>B4&lt;&gt;C4</f>
        <v>0</v>
      </c>
    </row>
    <row r="5" spans="1:7" x14ac:dyDescent="0.25">
      <c r="A5" t="s">
        <v>28</v>
      </c>
      <c r="B5" s="5" t="s">
        <v>595</v>
      </c>
      <c r="C5" s="5" t="s">
        <v>596</v>
      </c>
      <c r="D5" t="b">
        <f t="shared" ref="D5:D68" si="0">B5&lt;&gt;C5</f>
        <v>1</v>
      </c>
      <c r="F5" s="6" t="s">
        <v>32</v>
      </c>
      <c r="G5" s="1"/>
    </row>
    <row r="6" spans="1:7" x14ac:dyDescent="0.25">
      <c r="A6" t="s">
        <v>28</v>
      </c>
      <c r="B6" s="5" t="s">
        <v>597</v>
      </c>
      <c r="C6" s="5" t="s">
        <v>598</v>
      </c>
      <c r="D6" t="b">
        <f t="shared" si="0"/>
        <v>1</v>
      </c>
      <c r="F6" s="1" t="s">
        <v>28</v>
      </c>
      <c r="G6" s="2">
        <f t="shared" ref="G6:G13" si="1">COUNTIF(A:A,F6)</f>
        <v>34</v>
      </c>
    </row>
    <row r="7" spans="1:7" x14ac:dyDescent="0.25">
      <c r="A7" t="s">
        <v>28</v>
      </c>
      <c r="B7" s="5" t="s">
        <v>341</v>
      </c>
      <c r="C7" s="5" t="s">
        <v>600</v>
      </c>
      <c r="D7" t="b">
        <f t="shared" si="0"/>
        <v>1</v>
      </c>
      <c r="F7" s="3" t="s">
        <v>2002</v>
      </c>
      <c r="G7" s="2">
        <f t="shared" si="1"/>
        <v>1</v>
      </c>
    </row>
    <row r="8" spans="1:7" x14ac:dyDescent="0.25">
      <c r="A8" t="s">
        <v>28</v>
      </c>
      <c r="B8" s="5" t="s">
        <v>601</v>
      </c>
      <c r="C8" s="5" t="s">
        <v>601</v>
      </c>
      <c r="D8" t="b">
        <f t="shared" si="0"/>
        <v>0</v>
      </c>
      <c r="F8" s="1" t="s">
        <v>11</v>
      </c>
      <c r="G8" s="2">
        <f t="shared" si="1"/>
        <v>43</v>
      </c>
    </row>
    <row r="9" spans="1:7" x14ac:dyDescent="0.25">
      <c r="A9" t="s">
        <v>28</v>
      </c>
      <c r="B9" s="5" t="s">
        <v>1625</v>
      </c>
      <c r="C9" s="5" t="s">
        <v>602</v>
      </c>
      <c r="D9" t="b">
        <f t="shared" si="0"/>
        <v>1</v>
      </c>
      <c r="F9" s="1" t="s">
        <v>43</v>
      </c>
      <c r="G9" s="2">
        <f t="shared" si="1"/>
        <v>0</v>
      </c>
    </row>
    <row r="10" spans="1:7" x14ac:dyDescent="0.25">
      <c r="A10" t="s">
        <v>28</v>
      </c>
      <c r="B10" s="5" t="s">
        <v>603</v>
      </c>
      <c r="C10" s="5" t="s">
        <v>603</v>
      </c>
      <c r="D10" t="b">
        <f t="shared" si="0"/>
        <v>0</v>
      </c>
      <c r="F10" s="1" t="s">
        <v>331</v>
      </c>
      <c r="G10" s="2">
        <f t="shared" si="1"/>
        <v>2</v>
      </c>
    </row>
    <row r="11" spans="1:7" x14ac:dyDescent="0.25">
      <c r="A11" t="s">
        <v>28</v>
      </c>
      <c r="B11" s="5" t="s">
        <v>604</v>
      </c>
      <c r="C11" s="5" t="s">
        <v>604</v>
      </c>
      <c r="D11" t="b">
        <f t="shared" si="0"/>
        <v>0</v>
      </c>
      <c r="F11" s="1" t="s">
        <v>143</v>
      </c>
      <c r="G11" s="2">
        <f t="shared" si="1"/>
        <v>7</v>
      </c>
    </row>
    <row r="12" spans="1:7" x14ac:dyDescent="0.25">
      <c r="A12" t="s">
        <v>28</v>
      </c>
      <c r="B12" s="5" t="s">
        <v>605</v>
      </c>
      <c r="C12" s="5" t="s">
        <v>606</v>
      </c>
      <c r="D12" t="b">
        <f t="shared" si="0"/>
        <v>1</v>
      </c>
      <c r="F12" s="1" t="s">
        <v>34</v>
      </c>
      <c r="G12" s="2">
        <f t="shared" si="1"/>
        <v>13</v>
      </c>
    </row>
    <row r="13" spans="1:7" x14ac:dyDescent="0.25">
      <c r="A13" t="s">
        <v>28</v>
      </c>
      <c r="B13" s="5" t="s">
        <v>607</v>
      </c>
      <c r="C13" s="5" t="s">
        <v>607</v>
      </c>
      <c r="D13" t="b">
        <f t="shared" si="0"/>
        <v>0</v>
      </c>
      <c r="F13" s="1" t="s">
        <v>36</v>
      </c>
      <c r="G13" s="2">
        <f t="shared" si="1"/>
        <v>0</v>
      </c>
    </row>
    <row r="14" spans="1:7" x14ac:dyDescent="0.25">
      <c r="A14" t="s">
        <v>28</v>
      </c>
      <c r="B14" s="5" t="s">
        <v>802</v>
      </c>
      <c r="C14" s="5" t="s">
        <v>608</v>
      </c>
      <c r="D14" t="b">
        <f t="shared" si="0"/>
        <v>1</v>
      </c>
    </row>
    <row r="15" spans="1:7" x14ac:dyDescent="0.25">
      <c r="A15" t="s">
        <v>28</v>
      </c>
      <c r="B15" s="5" t="s">
        <v>142</v>
      </c>
      <c r="C15" s="5" t="s">
        <v>142</v>
      </c>
      <c r="D15" t="b">
        <f t="shared" si="0"/>
        <v>0</v>
      </c>
    </row>
    <row r="16" spans="1:7" x14ac:dyDescent="0.25">
      <c r="A16" t="s">
        <v>28</v>
      </c>
      <c r="B16" s="5" t="s">
        <v>31</v>
      </c>
      <c r="C16" s="5" t="s">
        <v>31</v>
      </c>
      <c r="D16" t="b">
        <f t="shared" si="0"/>
        <v>0</v>
      </c>
      <c r="F16" s="7"/>
      <c r="G16" s="2"/>
    </row>
    <row r="17" spans="1:7" x14ac:dyDescent="0.25">
      <c r="A17" t="s">
        <v>28</v>
      </c>
      <c r="B17" s="5" t="s">
        <v>33</v>
      </c>
      <c r="C17" s="5" t="s">
        <v>33</v>
      </c>
      <c r="D17" t="b">
        <f t="shared" si="0"/>
        <v>0</v>
      </c>
      <c r="F17" s="4"/>
      <c r="G17" s="2"/>
    </row>
    <row r="18" spans="1:7" x14ac:dyDescent="0.25">
      <c r="A18" t="s">
        <v>28</v>
      </c>
      <c r="B18" s="5" t="s">
        <v>610</v>
      </c>
      <c r="C18" s="5" t="s">
        <v>610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 t="s">
        <v>611</v>
      </c>
      <c r="C19" s="5" t="s">
        <v>611</v>
      </c>
      <c r="D19" t="b">
        <f t="shared" si="0"/>
        <v>0</v>
      </c>
    </row>
    <row r="20" spans="1:7" x14ac:dyDescent="0.25">
      <c r="A20" t="s">
        <v>28</v>
      </c>
      <c r="B20" s="5" t="s">
        <v>612</v>
      </c>
      <c r="C20" s="5" t="s">
        <v>612</v>
      </c>
      <c r="D20" t="b">
        <f t="shared" si="0"/>
        <v>0</v>
      </c>
    </row>
    <row r="21" spans="1:7" x14ac:dyDescent="0.25">
      <c r="A21" t="s">
        <v>28</v>
      </c>
      <c r="B21" s="5" t="s">
        <v>60</v>
      </c>
      <c r="C21" s="5" t="s">
        <v>60</v>
      </c>
      <c r="D21" t="b">
        <f t="shared" si="0"/>
        <v>0</v>
      </c>
    </row>
    <row r="22" spans="1:7" x14ac:dyDescent="0.25">
      <c r="A22" t="s">
        <v>28</v>
      </c>
      <c r="B22" s="5" t="s">
        <v>613</v>
      </c>
      <c r="C22" s="5" t="s">
        <v>613</v>
      </c>
      <c r="D22" t="b">
        <f t="shared" si="0"/>
        <v>0</v>
      </c>
    </row>
    <row r="23" spans="1:7" x14ac:dyDescent="0.25">
      <c r="A23" t="s">
        <v>28</v>
      </c>
      <c r="B23" s="5" t="s">
        <v>614</v>
      </c>
      <c r="C23" s="5" t="s">
        <v>614</v>
      </c>
      <c r="D23" t="b">
        <f t="shared" si="0"/>
        <v>0</v>
      </c>
    </row>
    <row r="24" spans="1:7" x14ac:dyDescent="0.25">
      <c r="A24" t="s">
        <v>28</v>
      </c>
      <c r="B24" s="5" t="s">
        <v>615</v>
      </c>
      <c r="C24" s="5" t="s">
        <v>615</v>
      </c>
      <c r="D24" t="b">
        <f t="shared" si="0"/>
        <v>0</v>
      </c>
    </row>
    <row r="25" spans="1:7" x14ac:dyDescent="0.25">
      <c r="A25" t="s">
        <v>28</v>
      </c>
      <c r="B25" s="5" t="s">
        <v>57</v>
      </c>
      <c r="C25" s="5" t="s">
        <v>57</v>
      </c>
      <c r="D25" t="b">
        <f t="shared" si="0"/>
        <v>0</v>
      </c>
    </row>
    <row r="26" spans="1:7" x14ac:dyDescent="0.25">
      <c r="A26" t="s">
        <v>28</v>
      </c>
      <c r="B26" s="5" t="s">
        <v>56</v>
      </c>
      <c r="C26" s="5" t="s">
        <v>56</v>
      </c>
      <c r="D26" t="b">
        <f t="shared" si="0"/>
        <v>0</v>
      </c>
    </row>
    <row r="27" spans="1:7" x14ac:dyDescent="0.25">
      <c r="A27" t="s">
        <v>28</v>
      </c>
      <c r="B27" s="5" t="s">
        <v>79</v>
      </c>
      <c r="C27" s="5" t="s">
        <v>79</v>
      </c>
      <c r="D27" t="b">
        <f t="shared" si="0"/>
        <v>0</v>
      </c>
    </row>
    <row r="28" spans="1:7" x14ac:dyDescent="0.25">
      <c r="A28" t="s">
        <v>28</v>
      </c>
      <c r="B28" s="5" t="s">
        <v>79</v>
      </c>
      <c r="C28" s="5" t="s">
        <v>79</v>
      </c>
      <c r="D28" t="b">
        <f t="shared" si="0"/>
        <v>0</v>
      </c>
    </row>
    <row r="29" spans="1:7" x14ac:dyDescent="0.25">
      <c r="A29" t="s">
        <v>28</v>
      </c>
      <c r="B29" s="5" t="s">
        <v>77</v>
      </c>
      <c r="C29" s="5" t="s">
        <v>77</v>
      </c>
      <c r="D29" t="b">
        <f t="shared" si="0"/>
        <v>0</v>
      </c>
    </row>
    <row r="30" spans="1:7" x14ac:dyDescent="0.25">
      <c r="A30" t="s">
        <v>28</v>
      </c>
      <c r="B30" s="5" t="s">
        <v>77</v>
      </c>
      <c r="C30" s="5" t="s">
        <v>77</v>
      </c>
      <c r="D30" t="b">
        <f t="shared" si="0"/>
        <v>0</v>
      </c>
    </row>
    <row r="31" spans="1:7" x14ac:dyDescent="0.25">
      <c r="A31" t="s">
        <v>28</v>
      </c>
      <c r="B31" s="5" t="s">
        <v>145</v>
      </c>
      <c r="C31" s="5" t="s">
        <v>145</v>
      </c>
      <c r="D31" t="b">
        <f t="shared" si="0"/>
        <v>0</v>
      </c>
    </row>
    <row r="32" spans="1:7" x14ac:dyDescent="0.25">
      <c r="A32" t="s">
        <v>28</v>
      </c>
      <c r="B32" s="5" t="s">
        <v>145</v>
      </c>
      <c r="C32" s="5" t="s">
        <v>145</v>
      </c>
      <c r="D32" t="b">
        <f t="shared" si="0"/>
        <v>0</v>
      </c>
    </row>
    <row r="33" spans="1:4" x14ac:dyDescent="0.25">
      <c r="A33" t="s">
        <v>28</v>
      </c>
      <c r="B33" s="5" t="s">
        <v>78</v>
      </c>
      <c r="C33" s="5" t="s">
        <v>78</v>
      </c>
      <c r="D33" t="b">
        <f t="shared" si="0"/>
        <v>0</v>
      </c>
    </row>
    <row r="34" spans="1:4" x14ac:dyDescent="0.25">
      <c r="A34" t="s">
        <v>28</v>
      </c>
      <c r="B34" s="5" t="s">
        <v>78</v>
      </c>
      <c r="C34" s="5" t="s">
        <v>78</v>
      </c>
      <c r="D34" t="b">
        <f t="shared" si="0"/>
        <v>0</v>
      </c>
    </row>
    <row r="35" spans="1:4" x14ac:dyDescent="0.25">
      <c r="A35" t="s">
        <v>28</v>
      </c>
      <c r="B35" s="5" t="s">
        <v>78</v>
      </c>
      <c r="C35" s="5" t="s">
        <v>78</v>
      </c>
      <c r="D35" t="b">
        <f t="shared" si="0"/>
        <v>0</v>
      </c>
    </row>
    <row r="36" spans="1:4" x14ac:dyDescent="0.25">
      <c r="A36" t="s">
        <v>28</v>
      </c>
      <c r="B36" s="5" t="s">
        <v>197</v>
      </c>
      <c r="C36" s="5" t="s">
        <v>197</v>
      </c>
      <c r="D36" t="b">
        <f t="shared" si="0"/>
        <v>0</v>
      </c>
    </row>
    <row r="37" spans="1:4" x14ac:dyDescent="0.25">
      <c r="A37" t="s">
        <v>28</v>
      </c>
      <c r="B37" s="5" t="s">
        <v>197</v>
      </c>
      <c r="C37" s="5" t="s">
        <v>197</v>
      </c>
      <c r="D37" t="b">
        <f t="shared" si="0"/>
        <v>0</v>
      </c>
    </row>
    <row r="38" spans="1:4" x14ac:dyDescent="0.25">
      <c r="A38" t="s">
        <v>11</v>
      </c>
      <c r="B38" s="5" t="s">
        <v>616</v>
      </c>
      <c r="C38" s="5" t="s">
        <v>616</v>
      </c>
      <c r="D38" t="b">
        <f t="shared" si="0"/>
        <v>0</v>
      </c>
    </row>
    <row r="39" spans="1:4" x14ac:dyDescent="0.25">
      <c r="A39" t="s">
        <v>11</v>
      </c>
      <c r="B39" s="5" t="s">
        <v>617</v>
      </c>
      <c r="C39" s="5" t="s">
        <v>617</v>
      </c>
      <c r="D39" t="b">
        <f t="shared" si="0"/>
        <v>0</v>
      </c>
    </row>
    <row r="40" spans="1:4" x14ac:dyDescent="0.25">
      <c r="A40" t="s">
        <v>11</v>
      </c>
      <c r="B40" s="5" t="s">
        <v>618</v>
      </c>
      <c r="C40" s="5" t="s">
        <v>618</v>
      </c>
      <c r="D40" t="b">
        <f t="shared" si="0"/>
        <v>0</v>
      </c>
    </row>
    <row r="41" spans="1:4" x14ac:dyDescent="0.25">
      <c r="A41" t="s">
        <v>11</v>
      </c>
      <c r="B41" s="5" t="s">
        <v>619</v>
      </c>
      <c r="C41" s="5" t="s">
        <v>619</v>
      </c>
      <c r="D41" t="b">
        <f t="shared" si="0"/>
        <v>0</v>
      </c>
    </row>
    <row r="42" spans="1:4" x14ac:dyDescent="0.25">
      <c r="A42" t="s">
        <v>11</v>
      </c>
      <c r="B42" s="5" t="s">
        <v>620</v>
      </c>
      <c r="C42" s="5" t="s">
        <v>621</v>
      </c>
      <c r="D42" t="b">
        <f t="shared" si="0"/>
        <v>1</v>
      </c>
    </row>
    <row r="43" spans="1:4" x14ac:dyDescent="0.25">
      <c r="A43" t="s">
        <v>11</v>
      </c>
      <c r="B43" s="5" t="s">
        <v>622</v>
      </c>
      <c r="C43" s="5" t="s">
        <v>622</v>
      </c>
      <c r="D43" t="b">
        <f t="shared" si="0"/>
        <v>0</v>
      </c>
    </row>
    <row r="44" spans="1:4" x14ac:dyDescent="0.25">
      <c r="A44" t="s">
        <v>11</v>
      </c>
      <c r="B44" s="5" t="s">
        <v>623</v>
      </c>
      <c r="C44" s="5" t="s">
        <v>623</v>
      </c>
      <c r="D44" t="b">
        <f t="shared" si="0"/>
        <v>0</v>
      </c>
    </row>
    <row r="45" spans="1:4" x14ac:dyDescent="0.25">
      <c r="A45" t="s">
        <v>11</v>
      </c>
      <c r="B45" s="5" t="s">
        <v>624</v>
      </c>
      <c r="C45" s="5" t="s">
        <v>624</v>
      </c>
      <c r="D45" t="b">
        <f t="shared" si="0"/>
        <v>0</v>
      </c>
    </row>
    <row r="46" spans="1:4" x14ac:dyDescent="0.25">
      <c r="A46" t="s">
        <v>11</v>
      </c>
      <c r="B46" s="5" t="s">
        <v>625</v>
      </c>
      <c r="C46" s="5" t="s">
        <v>625</v>
      </c>
      <c r="D46" t="b">
        <f t="shared" si="0"/>
        <v>0</v>
      </c>
    </row>
    <row r="47" spans="1:4" x14ac:dyDescent="0.25">
      <c r="A47" t="s">
        <v>11</v>
      </c>
      <c r="B47" s="5" t="s">
        <v>626</v>
      </c>
      <c r="C47" s="5" t="s">
        <v>626</v>
      </c>
      <c r="D47" t="b">
        <f t="shared" si="0"/>
        <v>0</v>
      </c>
    </row>
    <row r="48" spans="1:4" x14ac:dyDescent="0.25">
      <c r="A48" t="s">
        <v>11</v>
      </c>
      <c r="B48" s="5" t="s">
        <v>627</v>
      </c>
      <c r="C48" s="5" t="s">
        <v>627</v>
      </c>
      <c r="D48" t="b">
        <f t="shared" si="0"/>
        <v>0</v>
      </c>
    </row>
    <row r="49" spans="1:4" x14ac:dyDescent="0.25">
      <c r="A49" t="s">
        <v>11</v>
      </c>
      <c r="B49" s="5" t="s">
        <v>628</v>
      </c>
      <c r="C49" s="5" t="s">
        <v>628</v>
      </c>
      <c r="D49" t="b">
        <f t="shared" si="0"/>
        <v>0</v>
      </c>
    </row>
    <row r="50" spans="1:4" x14ac:dyDescent="0.25">
      <c r="A50" t="s">
        <v>11</v>
      </c>
      <c r="B50" s="5" t="s">
        <v>629</v>
      </c>
      <c r="C50" s="5" t="s">
        <v>629</v>
      </c>
      <c r="D50" t="b">
        <f t="shared" si="0"/>
        <v>0</v>
      </c>
    </row>
    <row r="51" spans="1:4" x14ac:dyDescent="0.25">
      <c r="A51" t="s">
        <v>11</v>
      </c>
      <c r="B51" s="5" t="s">
        <v>630</v>
      </c>
      <c r="C51" s="5" t="s">
        <v>630</v>
      </c>
      <c r="D51" t="b">
        <f t="shared" si="0"/>
        <v>0</v>
      </c>
    </row>
    <row r="52" spans="1:4" x14ac:dyDescent="0.25">
      <c r="A52" t="s">
        <v>11</v>
      </c>
      <c r="B52" s="5" t="s">
        <v>631</v>
      </c>
      <c r="C52" s="5" t="s">
        <v>631</v>
      </c>
      <c r="D52" t="b">
        <f t="shared" si="0"/>
        <v>0</v>
      </c>
    </row>
    <row r="53" spans="1:4" x14ac:dyDescent="0.25">
      <c r="A53" t="s">
        <v>11</v>
      </c>
      <c r="B53" s="5" t="s">
        <v>632</v>
      </c>
      <c r="C53" s="5" t="s">
        <v>632</v>
      </c>
      <c r="D53" t="b">
        <f t="shared" si="0"/>
        <v>0</v>
      </c>
    </row>
    <row r="54" spans="1:4" x14ac:dyDescent="0.25">
      <c r="A54" t="s">
        <v>11</v>
      </c>
      <c r="B54" s="5" t="s">
        <v>633</v>
      </c>
      <c r="C54" s="5" t="s">
        <v>633</v>
      </c>
      <c r="D54" t="b">
        <f t="shared" si="0"/>
        <v>0</v>
      </c>
    </row>
    <row r="55" spans="1:4" x14ac:dyDescent="0.25">
      <c r="A55" t="s">
        <v>11</v>
      </c>
      <c r="B55" s="5" t="s">
        <v>634</v>
      </c>
      <c r="C55" s="5" t="s">
        <v>634</v>
      </c>
      <c r="D55" t="b">
        <f t="shared" si="0"/>
        <v>0</v>
      </c>
    </row>
    <row r="56" spans="1:4" x14ac:dyDescent="0.25">
      <c r="A56" t="s">
        <v>11</v>
      </c>
      <c r="B56" s="5" t="s">
        <v>635</v>
      </c>
      <c r="C56" s="5" t="s">
        <v>635</v>
      </c>
      <c r="D56" t="b">
        <f t="shared" si="0"/>
        <v>0</v>
      </c>
    </row>
    <row r="57" spans="1:4" x14ac:dyDescent="0.25">
      <c r="A57" t="s">
        <v>11</v>
      </c>
      <c r="B57" s="5" t="s">
        <v>636</v>
      </c>
      <c r="C57" s="5" t="s">
        <v>636</v>
      </c>
      <c r="D57" t="b">
        <f t="shared" si="0"/>
        <v>0</v>
      </c>
    </row>
    <row r="58" spans="1:4" x14ac:dyDescent="0.25">
      <c r="A58" t="s">
        <v>11</v>
      </c>
      <c r="B58" s="5" t="s">
        <v>637</v>
      </c>
      <c r="C58" s="5" t="s">
        <v>637</v>
      </c>
      <c r="D58" t="b">
        <f t="shared" si="0"/>
        <v>0</v>
      </c>
    </row>
    <row r="59" spans="1:4" x14ac:dyDescent="0.25">
      <c r="A59" t="s">
        <v>11</v>
      </c>
      <c r="B59" s="5" t="s">
        <v>638</v>
      </c>
      <c r="C59" s="5" t="s">
        <v>638</v>
      </c>
      <c r="D59" t="b">
        <f t="shared" si="0"/>
        <v>0</v>
      </c>
    </row>
    <row r="60" spans="1:4" x14ac:dyDescent="0.25">
      <c r="A60" t="s">
        <v>11</v>
      </c>
      <c r="B60" s="5" t="s">
        <v>639</v>
      </c>
      <c r="C60" s="5" t="s">
        <v>639</v>
      </c>
      <c r="D60" t="b">
        <f t="shared" si="0"/>
        <v>0</v>
      </c>
    </row>
    <row r="61" spans="1:4" x14ac:dyDescent="0.25">
      <c r="A61" t="s">
        <v>11</v>
      </c>
      <c r="B61" s="5" t="s">
        <v>640</v>
      </c>
      <c r="C61" s="5" t="s">
        <v>640</v>
      </c>
      <c r="D61" t="b">
        <f t="shared" si="0"/>
        <v>0</v>
      </c>
    </row>
    <row r="62" spans="1:4" x14ac:dyDescent="0.25">
      <c r="A62" t="s">
        <v>11</v>
      </c>
      <c r="B62" s="5" t="s">
        <v>641</v>
      </c>
      <c r="C62" s="5" t="s">
        <v>641</v>
      </c>
      <c r="D62" t="b">
        <f t="shared" si="0"/>
        <v>0</v>
      </c>
    </row>
    <row r="63" spans="1:4" x14ac:dyDescent="0.25">
      <c r="A63" t="s">
        <v>11</v>
      </c>
      <c r="B63" s="5" t="s">
        <v>642</v>
      </c>
      <c r="C63" s="5" t="s">
        <v>642</v>
      </c>
      <c r="D63" t="b">
        <f t="shared" si="0"/>
        <v>0</v>
      </c>
    </row>
    <row r="64" spans="1:4" x14ac:dyDescent="0.25">
      <c r="A64" t="s">
        <v>11</v>
      </c>
      <c r="B64" s="5" t="s">
        <v>643</v>
      </c>
      <c r="C64" s="5" t="s">
        <v>643</v>
      </c>
      <c r="D64" t="b">
        <f t="shared" si="0"/>
        <v>0</v>
      </c>
    </row>
    <row r="65" spans="1:4" x14ac:dyDescent="0.25">
      <c r="A65" t="s">
        <v>11</v>
      </c>
      <c r="B65" s="5" t="s">
        <v>644</v>
      </c>
      <c r="C65" s="5" t="s">
        <v>644</v>
      </c>
      <c r="D65" t="b">
        <f t="shared" si="0"/>
        <v>0</v>
      </c>
    </row>
    <row r="66" spans="1:4" x14ac:dyDescent="0.25">
      <c r="A66" t="s">
        <v>11</v>
      </c>
      <c r="B66" s="5" t="s">
        <v>645</v>
      </c>
      <c r="C66" s="5" t="s">
        <v>645</v>
      </c>
      <c r="D66" t="b">
        <f t="shared" si="0"/>
        <v>0</v>
      </c>
    </row>
    <row r="67" spans="1:4" x14ac:dyDescent="0.25">
      <c r="A67" t="s">
        <v>11</v>
      </c>
      <c r="B67" s="5" t="s">
        <v>646</v>
      </c>
      <c r="C67" s="5" t="s">
        <v>646</v>
      </c>
      <c r="D67" t="b">
        <f t="shared" si="0"/>
        <v>0</v>
      </c>
    </row>
    <row r="68" spans="1:4" x14ac:dyDescent="0.25">
      <c r="A68" t="s">
        <v>11</v>
      </c>
      <c r="B68" s="5" t="s">
        <v>647</v>
      </c>
      <c r="C68" s="5" t="s">
        <v>647</v>
      </c>
      <c r="D68" t="b">
        <f t="shared" si="0"/>
        <v>0</v>
      </c>
    </row>
    <row r="69" spans="1:4" x14ac:dyDescent="0.25">
      <c r="A69" t="s">
        <v>11</v>
      </c>
      <c r="B69" s="5" t="s">
        <v>648</v>
      </c>
      <c r="C69" s="5" t="s">
        <v>648</v>
      </c>
      <c r="D69" t="b">
        <f t="shared" ref="D69:D102" si="2">B69&lt;&gt;C69</f>
        <v>0</v>
      </c>
    </row>
    <row r="70" spans="1:4" x14ac:dyDescent="0.25">
      <c r="A70" t="s">
        <v>11</v>
      </c>
      <c r="B70" s="5" t="s">
        <v>649</v>
      </c>
      <c r="C70" s="5" t="s">
        <v>649</v>
      </c>
      <c r="D70" t="b">
        <f t="shared" si="2"/>
        <v>0</v>
      </c>
    </row>
    <row r="71" spans="1:4" x14ac:dyDescent="0.25">
      <c r="A71" t="s">
        <v>11</v>
      </c>
      <c r="B71" s="5" t="s">
        <v>650</v>
      </c>
      <c r="C71" s="5" t="s">
        <v>650</v>
      </c>
      <c r="D71" t="b">
        <f t="shared" si="2"/>
        <v>0</v>
      </c>
    </row>
    <row r="72" spans="1:4" x14ac:dyDescent="0.25">
      <c r="A72" t="s">
        <v>11</v>
      </c>
      <c r="B72" s="5" t="s">
        <v>651</v>
      </c>
      <c r="C72" s="5" t="s">
        <v>651</v>
      </c>
      <c r="D72" t="b">
        <f t="shared" si="2"/>
        <v>0</v>
      </c>
    </row>
    <row r="73" spans="1:4" x14ac:dyDescent="0.25">
      <c r="A73" t="s">
        <v>11</v>
      </c>
      <c r="B73" s="5" t="s">
        <v>652</v>
      </c>
      <c r="C73" s="5" t="s">
        <v>652</v>
      </c>
      <c r="D73" t="b">
        <f t="shared" si="2"/>
        <v>0</v>
      </c>
    </row>
    <row r="74" spans="1:4" x14ac:dyDescent="0.25">
      <c r="A74" t="s">
        <v>11</v>
      </c>
      <c r="B74" s="5" t="s">
        <v>653</v>
      </c>
      <c r="C74" s="5" t="s">
        <v>653</v>
      </c>
      <c r="D74" t="b">
        <f t="shared" si="2"/>
        <v>0</v>
      </c>
    </row>
    <row r="75" spans="1:4" x14ac:dyDescent="0.25">
      <c r="A75" t="s">
        <v>11</v>
      </c>
      <c r="B75" s="5" t="s">
        <v>654</v>
      </c>
      <c r="C75" s="5" t="s">
        <v>654</v>
      </c>
      <c r="D75" t="b">
        <f t="shared" si="2"/>
        <v>0</v>
      </c>
    </row>
    <row r="76" spans="1:4" x14ac:dyDescent="0.25">
      <c r="A76" t="s">
        <v>11</v>
      </c>
      <c r="B76" s="5" t="s">
        <v>655</v>
      </c>
      <c r="C76" s="5" t="s">
        <v>655</v>
      </c>
      <c r="D76" t="b">
        <f t="shared" si="2"/>
        <v>0</v>
      </c>
    </row>
    <row r="77" spans="1:4" x14ac:dyDescent="0.25">
      <c r="A77" t="s">
        <v>11</v>
      </c>
      <c r="B77" s="5" t="s">
        <v>656</v>
      </c>
      <c r="C77" s="5" t="s">
        <v>656</v>
      </c>
      <c r="D77" t="b">
        <f t="shared" si="2"/>
        <v>0</v>
      </c>
    </row>
    <row r="78" spans="1:4" x14ac:dyDescent="0.25">
      <c r="A78" t="s">
        <v>11</v>
      </c>
      <c r="B78" s="5" t="s">
        <v>657</v>
      </c>
      <c r="C78" s="5" t="s">
        <v>657</v>
      </c>
      <c r="D78" t="b">
        <f t="shared" si="2"/>
        <v>0</v>
      </c>
    </row>
    <row r="79" spans="1:4" x14ac:dyDescent="0.25">
      <c r="A79" t="s">
        <v>11</v>
      </c>
      <c r="B79" s="5" t="s">
        <v>658</v>
      </c>
      <c r="C79" s="5" t="s">
        <v>658</v>
      </c>
      <c r="D79" t="b">
        <f t="shared" si="2"/>
        <v>0</v>
      </c>
    </row>
    <row r="80" spans="1:4" x14ac:dyDescent="0.25">
      <c r="A80" t="s">
        <v>11</v>
      </c>
      <c r="B80" s="5" t="s">
        <v>659</v>
      </c>
      <c r="C80" s="5" t="s">
        <v>659</v>
      </c>
      <c r="D80" t="b">
        <f t="shared" si="2"/>
        <v>0</v>
      </c>
    </row>
    <row r="81" spans="1:4" x14ac:dyDescent="0.25">
      <c r="A81" t="s">
        <v>331</v>
      </c>
      <c r="B81" s="5" t="s">
        <v>660</v>
      </c>
      <c r="C81" s="5" t="s">
        <v>660</v>
      </c>
      <c r="D81" t="b">
        <f t="shared" si="2"/>
        <v>0</v>
      </c>
    </row>
    <row r="82" spans="1:4" x14ac:dyDescent="0.25">
      <c r="A82" t="s">
        <v>331</v>
      </c>
      <c r="B82" s="5" t="s">
        <v>661</v>
      </c>
      <c r="C82" s="5" t="s">
        <v>661</v>
      </c>
      <c r="D82" t="b">
        <f t="shared" si="2"/>
        <v>0</v>
      </c>
    </row>
    <row r="83" spans="1:4" x14ac:dyDescent="0.25">
      <c r="A83" t="s">
        <v>143</v>
      </c>
      <c r="B83" s="5" t="s">
        <v>662</v>
      </c>
      <c r="C83" s="5" t="s">
        <v>662</v>
      </c>
      <c r="D83" t="b">
        <f t="shared" si="2"/>
        <v>0</v>
      </c>
    </row>
    <row r="84" spans="1:4" x14ac:dyDescent="0.25">
      <c r="A84" t="s">
        <v>143</v>
      </c>
      <c r="B84" s="5" t="s">
        <v>663</v>
      </c>
      <c r="C84" s="5" t="s">
        <v>663</v>
      </c>
      <c r="D84" t="b">
        <f t="shared" si="2"/>
        <v>0</v>
      </c>
    </row>
    <row r="85" spans="1:4" x14ac:dyDescent="0.25">
      <c r="A85" t="s">
        <v>143</v>
      </c>
      <c r="B85" s="5" t="s">
        <v>664</v>
      </c>
      <c r="C85" s="5" t="s">
        <v>664</v>
      </c>
      <c r="D85" t="b">
        <f t="shared" si="2"/>
        <v>0</v>
      </c>
    </row>
    <row r="86" spans="1:4" x14ac:dyDescent="0.25">
      <c r="A86" t="s">
        <v>143</v>
      </c>
      <c r="B86" s="5" t="s">
        <v>665</v>
      </c>
      <c r="C86" s="5" t="s">
        <v>665</v>
      </c>
      <c r="D86" t="b">
        <f t="shared" si="2"/>
        <v>0</v>
      </c>
    </row>
    <row r="87" spans="1:4" x14ac:dyDescent="0.25">
      <c r="A87" t="s">
        <v>143</v>
      </c>
      <c r="B87" s="5" t="s">
        <v>281</v>
      </c>
      <c r="C87" s="5" t="s">
        <v>281</v>
      </c>
      <c r="D87" t="b">
        <f t="shared" si="2"/>
        <v>0</v>
      </c>
    </row>
    <row r="88" spans="1:4" x14ac:dyDescent="0.25">
      <c r="A88" t="s">
        <v>143</v>
      </c>
      <c r="B88" s="5" t="s">
        <v>666</v>
      </c>
      <c r="C88" s="5" t="s">
        <v>666</v>
      </c>
      <c r="D88" t="b">
        <f t="shared" si="2"/>
        <v>0</v>
      </c>
    </row>
    <row r="89" spans="1:4" x14ac:dyDescent="0.25">
      <c r="A89" t="s">
        <v>143</v>
      </c>
      <c r="B89" s="5" t="s">
        <v>667</v>
      </c>
      <c r="C89" s="5" t="s">
        <v>1895</v>
      </c>
      <c r="D89" t="b">
        <f t="shared" si="2"/>
        <v>1</v>
      </c>
    </row>
    <row r="90" spans="1:4" x14ac:dyDescent="0.25">
      <c r="A90" t="s">
        <v>34</v>
      </c>
      <c r="B90" s="5" t="s">
        <v>147</v>
      </c>
      <c r="C90" s="5" t="s">
        <v>147</v>
      </c>
      <c r="D90" t="b">
        <f t="shared" si="2"/>
        <v>0</v>
      </c>
    </row>
    <row r="91" spans="1:4" x14ac:dyDescent="0.25">
      <c r="A91" t="s">
        <v>34</v>
      </c>
      <c r="B91" s="5" t="s">
        <v>148</v>
      </c>
      <c r="C91" s="5" t="s">
        <v>148</v>
      </c>
      <c r="D91" t="b">
        <f t="shared" si="2"/>
        <v>0</v>
      </c>
    </row>
    <row r="92" spans="1:4" x14ac:dyDescent="0.25">
      <c r="A92" t="s">
        <v>34</v>
      </c>
      <c r="B92" s="5" t="s">
        <v>345</v>
      </c>
      <c r="C92" s="5" t="s">
        <v>345</v>
      </c>
      <c r="D92" t="b">
        <f t="shared" si="2"/>
        <v>0</v>
      </c>
    </row>
    <row r="93" spans="1:4" x14ac:dyDescent="0.25">
      <c r="A93" t="s">
        <v>34</v>
      </c>
      <c r="B93" s="5" t="s">
        <v>344</v>
      </c>
      <c r="C93" s="5" t="s">
        <v>344</v>
      </c>
      <c r="D93" t="b">
        <f t="shared" si="2"/>
        <v>0</v>
      </c>
    </row>
    <row r="94" spans="1:4" x14ac:dyDescent="0.25">
      <c r="A94" t="s">
        <v>34</v>
      </c>
      <c r="B94" s="5" t="s">
        <v>550</v>
      </c>
      <c r="C94" s="5" t="s">
        <v>550</v>
      </c>
      <c r="D94" t="b">
        <f t="shared" si="2"/>
        <v>0</v>
      </c>
    </row>
    <row r="95" spans="1:4" x14ac:dyDescent="0.25">
      <c r="A95" t="s">
        <v>34</v>
      </c>
      <c r="B95" s="5" t="s">
        <v>201</v>
      </c>
      <c r="C95" s="5" t="s">
        <v>201</v>
      </c>
      <c r="D95" t="b">
        <f t="shared" si="2"/>
        <v>0</v>
      </c>
    </row>
    <row r="96" spans="1:4" x14ac:dyDescent="0.25">
      <c r="A96" t="s">
        <v>34</v>
      </c>
      <c r="B96" s="5" t="s">
        <v>202</v>
      </c>
      <c r="C96" s="5" t="s">
        <v>202</v>
      </c>
      <c r="D96" t="b">
        <f t="shared" si="2"/>
        <v>0</v>
      </c>
    </row>
    <row r="97" spans="1:4" x14ac:dyDescent="0.25">
      <c r="A97" t="s">
        <v>34</v>
      </c>
      <c r="B97" s="5" t="s">
        <v>200</v>
      </c>
      <c r="C97" s="5" t="s">
        <v>200</v>
      </c>
      <c r="D97" t="b">
        <f t="shared" si="2"/>
        <v>0</v>
      </c>
    </row>
    <row r="98" spans="1:4" x14ac:dyDescent="0.25">
      <c r="A98" t="s">
        <v>34</v>
      </c>
      <c r="B98" s="5" t="s">
        <v>149</v>
      </c>
      <c r="C98" s="5" t="s">
        <v>149</v>
      </c>
      <c r="D98" t="b">
        <f t="shared" si="2"/>
        <v>0</v>
      </c>
    </row>
    <row r="99" spans="1:4" x14ac:dyDescent="0.25">
      <c r="A99" t="s">
        <v>34</v>
      </c>
      <c r="B99" s="5" t="s">
        <v>549</v>
      </c>
      <c r="C99" s="5" t="s">
        <v>549</v>
      </c>
      <c r="D99" t="b">
        <f t="shared" si="2"/>
        <v>0</v>
      </c>
    </row>
    <row r="100" spans="1:4" x14ac:dyDescent="0.25">
      <c r="A100" t="s">
        <v>34</v>
      </c>
      <c r="B100" s="5" t="s">
        <v>199</v>
      </c>
      <c r="C100" s="5" t="s">
        <v>199</v>
      </c>
      <c r="D100" t="b">
        <f t="shared" si="2"/>
        <v>0</v>
      </c>
    </row>
    <row r="101" spans="1:4" x14ac:dyDescent="0.25">
      <c r="A101" t="s">
        <v>34</v>
      </c>
      <c r="B101" s="5" t="s">
        <v>668</v>
      </c>
      <c r="C101" s="5" t="s">
        <v>668</v>
      </c>
      <c r="D101" t="b">
        <f t="shared" si="2"/>
        <v>0</v>
      </c>
    </row>
    <row r="102" spans="1:4" x14ac:dyDescent="0.25">
      <c r="A102" t="s">
        <v>34</v>
      </c>
      <c r="B102" s="5" t="s">
        <v>80</v>
      </c>
      <c r="C102" s="5" t="s">
        <v>80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AFFC568-BA36-4C0F-9257-5FF4071AE4C6}">
            <xm:f>ISERROR(SEARCH(A3,B3))</xm:f>
            <xm:f>A3</xm:f>
            <x14:dxf>
              <fill>
                <patternFill>
                  <bgColor theme="5" tint="0.79998168889431442"/>
                </patternFill>
              </fill>
            </x14:dxf>
          </x14:cfRule>
          <xm:sqref>B3 C3:C102</xm:sqref>
        </x14:conditionalFormatting>
        <x14:conditionalFormatting xmlns:xm="http://schemas.microsoft.com/office/excel/2006/main">
          <x14:cfRule type="notContainsText" priority="2" operator="notContains" id="{C941FAB0-61E3-409C-99C6-EDB229A1A490}">
            <xm:f>ISERROR(SEARCH(C4,B4))</xm:f>
            <xm:f>C4</xm:f>
            <x14:dxf>
              <fill>
                <patternFill>
                  <bgColor theme="5" tint="0.79998168889431442"/>
                </patternFill>
              </fill>
            </x14:dxf>
          </x14:cfRule>
          <xm:sqref>B4:B102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BF03-9746-45C0-8145-71CB0C99D325}">
  <dimension ref="A1:G102"/>
  <sheetViews>
    <sheetView workbookViewId="0">
      <selection activeCell="H23" sqref="H23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2176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0</v>
      </c>
    </row>
    <row r="3" spans="1:7" x14ac:dyDescent="0.25">
      <c r="A3" s="21" t="s">
        <v>2002</v>
      </c>
      <c r="B3" s="5" t="s">
        <v>2152</v>
      </c>
      <c r="C3" s="5" t="s">
        <v>2152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20"/>
      <c r="C4" s="5"/>
      <c r="D4" t="b">
        <f>B4&lt;&gt;C4</f>
        <v>0</v>
      </c>
    </row>
    <row r="5" spans="1:7" x14ac:dyDescent="0.25">
      <c r="A5" t="s">
        <v>28</v>
      </c>
      <c r="B5" s="20"/>
      <c r="C5" s="5"/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20"/>
      <c r="C6" s="5"/>
      <c r="D6" t="b">
        <f t="shared" si="0"/>
        <v>0</v>
      </c>
      <c r="F6" s="7" t="s">
        <v>2002</v>
      </c>
      <c r="G6" s="2">
        <f t="shared" ref="G6:G13" si="1">COUNTIF(A:A,F6)</f>
        <v>1</v>
      </c>
    </row>
    <row r="7" spans="1:7" x14ac:dyDescent="0.25">
      <c r="A7" t="s">
        <v>28</v>
      </c>
      <c r="B7" s="5"/>
      <c r="C7" s="5"/>
      <c r="D7" t="b">
        <f t="shared" si="0"/>
        <v>0</v>
      </c>
      <c r="F7" s="3" t="s">
        <v>28</v>
      </c>
      <c r="G7" s="2">
        <f t="shared" si="1"/>
        <v>35</v>
      </c>
    </row>
    <row r="8" spans="1:7" x14ac:dyDescent="0.25">
      <c r="A8" t="s">
        <v>28</v>
      </c>
      <c r="B8" s="5"/>
      <c r="C8" s="5"/>
      <c r="D8" t="b">
        <f t="shared" si="0"/>
        <v>0</v>
      </c>
      <c r="F8" s="7" t="s">
        <v>34</v>
      </c>
      <c r="G8" s="2">
        <f t="shared" si="1"/>
        <v>8</v>
      </c>
    </row>
    <row r="9" spans="1:7" x14ac:dyDescent="0.25">
      <c r="A9" t="s">
        <v>28</v>
      </c>
      <c r="B9" s="5"/>
      <c r="C9" s="5"/>
      <c r="D9" t="b">
        <f t="shared" si="0"/>
        <v>0</v>
      </c>
      <c r="F9" s="7" t="s">
        <v>35</v>
      </c>
      <c r="G9" s="2">
        <f t="shared" si="1"/>
        <v>10</v>
      </c>
    </row>
    <row r="10" spans="1:7" x14ac:dyDescent="0.25">
      <c r="A10" t="s">
        <v>28</v>
      </c>
      <c r="B10" s="5"/>
      <c r="C10" s="5"/>
      <c r="D10" t="b">
        <f t="shared" si="0"/>
        <v>0</v>
      </c>
      <c r="F10" s="7" t="s">
        <v>61</v>
      </c>
      <c r="G10" s="2">
        <f t="shared" si="1"/>
        <v>10</v>
      </c>
    </row>
    <row r="11" spans="1:7" x14ac:dyDescent="0.25">
      <c r="A11" t="s">
        <v>28</v>
      </c>
      <c r="B11" s="5"/>
      <c r="C11" s="5"/>
      <c r="D11" t="b">
        <f t="shared" si="0"/>
        <v>0</v>
      </c>
      <c r="F11" s="7" t="s">
        <v>59</v>
      </c>
      <c r="G11" s="2">
        <f t="shared" si="1"/>
        <v>10</v>
      </c>
    </row>
    <row r="12" spans="1:7" x14ac:dyDescent="0.25">
      <c r="A12" t="s">
        <v>28</v>
      </c>
      <c r="B12" s="5"/>
      <c r="C12" s="5"/>
      <c r="D12" t="b">
        <f t="shared" si="0"/>
        <v>0</v>
      </c>
      <c r="F12" s="7" t="s">
        <v>2175</v>
      </c>
      <c r="G12" s="2">
        <f t="shared" si="1"/>
        <v>16</v>
      </c>
    </row>
    <row r="13" spans="1:7" x14ac:dyDescent="0.25">
      <c r="A13" t="s">
        <v>28</v>
      </c>
      <c r="B13" s="5"/>
      <c r="C13" s="5"/>
      <c r="D13" t="b">
        <f t="shared" si="0"/>
        <v>0</v>
      </c>
      <c r="F13" s="7" t="s">
        <v>143</v>
      </c>
      <c r="G13" s="2">
        <f t="shared" si="1"/>
        <v>10</v>
      </c>
    </row>
    <row r="14" spans="1:7" x14ac:dyDescent="0.25">
      <c r="A14" t="s">
        <v>28</v>
      </c>
      <c r="B14" s="5"/>
      <c r="C14" s="5"/>
      <c r="D14" t="b">
        <f t="shared" si="0"/>
        <v>0</v>
      </c>
    </row>
    <row r="15" spans="1:7" x14ac:dyDescent="0.25">
      <c r="A15" t="s">
        <v>28</v>
      </c>
      <c r="B15" s="5"/>
      <c r="C15" s="5"/>
      <c r="D15" t="b">
        <f t="shared" si="0"/>
        <v>0</v>
      </c>
    </row>
    <row r="16" spans="1:7" x14ac:dyDescent="0.25">
      <c r="A16" t="s">
        <v>28</v>
      </c>
      <c r="B16" s="5"/>
      <c r="C16" s="5"/>
      <c r="D16" t="b">
        <f t="shared" si="0"/>
        <v>0</v>
      </c>
      <c r="F16" s="7"/>
      <c r="G16" s="2"/>
    </row>
    <row r="17" spans="1:7" x14ac:dyDescent="0.25">
      <c r="A17" t="s">
        <v>28</v>
      </c>
      <c r="B17" s="5"/>
      <c r="C17" s="5"/>
      <c r="D17" t="b">
        <f t="shared" si="0"/>
        <v>0</v>
      </c>
      <c r="F17" s="4"/>
      <c r="G17" s="2"/>
    </row>
    <row r="18" spans="1:7" x14ac:dyDescent="0.25">
      <c r="A18" t="s">
        <v>28</v>
      </c>
      <c r="B18" s="5"/>
      <c r="C18" s="5"/>
      <c r="D18" t="b">
        <f t="shared" si="0"/>
        <v>0</v>
      </c>
      <c r="F18" s="4"/>
      <c r="G18" s="2"/>
    </row>
    <row r="19" spans="1:7" x14ac:dyDescent="0.25">
      <c r="A19" t="s">
        <v>28</v>
      </c>
      <c r="B19" s="5"/>
      <c r="C19" s="5"/>
      <c r="D19" t="b">
        <f t="shared" si="0"/>
        <v>0</v>
      </c>
    </row>
    <row r="20" spans="1:7" x14ac:dyDescent="0.25">
      <c r="A20" t="s">
        <v>28</v>
      </c>
      <c r="B20" s="5"/>
      <c r="C20" s="5"/>
      <c r="D20" t="b">
        <f t="shared" si="0"/>
        <v>0</v>
      </c>
    </row>
    <row r="21" spans="1:7" x14ac:dyDescent="0.25">
      <c r="A21" t="s">
        <v>28</v>
      </c>
      <c r="B21" s="5"/>
      <c r="C21" s="5"/>
      <c r="D21" t="b">
        <f t="shared" si="0"/>
        <v>0</v>
      </c>
    </row>
    <row r="22" spans="1:7" x14ac:dyDescent="0.25">
      <c r="A22" t="s">
        <v>28</v>
      </c>
      <c r="B22" s="5"/>
      <c r="C22" s="5"/>
      <c r="D22" t="b">
        <f t="shared" si="0"/>
        <v>0</v>
      </c>
    </row>
    <row r="23" spans="1:7" x14ac:dyDescent="0.25">
      <c r="A23" t="s">
        <v>28</v>
      </c>
      <c r="B23" s="5"/>
      <c r="C23" s="5"/>
      <c r="D23" t="b">
        <f t="shared" si="0"/>
        <v>0</v>
      </c>
    </row>
    <row r="24" spans="1:7" x14ac:dyDescent="0.25">
      <c r="A24" t="s">
        <v>28</v>
      </c>
      <c r="B24" s="5"/>
      <c r="C24" s="5"/>
      <c r="D24" t="b">
        <f t="shared" si="0"/>
        <v>0</v>
      </c>
    </row>
    <row r="25" spans="1:7" x14ac:dyDescent="0.25">
      <c r="A25" t="s">
        <v>28</v>
      </c>
      <c r="B25" s="5"/>
      <c r="C25" s="5"/>
      <c r="D25" t="b">
        <f t="shared" si="0"/>
        <v>0</v>
      </c>
    </row>
    <row r="26" spans="1:7" x14ac:dyDescent="0.25">
      <c r="A26" t="s">
        <v>28</v>
      </c>
      <c r="B26" s="5"/>
      <c r="C26" s="5"/>
      <c r="D26" t="b">
        <f t="shared" si="0"/>
        <v>0</v>
      </c>
    </row>
    <row r="27" spans="1:7" x14ac:dyDescent="0.25">
      <c r="A27" t="s">
        <v>28</v>
      </c>
      <c r="B27" s="5"/>
      <c r="C27" s="5"/>
      <c r="D27" t="b">
        <f t="shared" si="0"/>
        <v>0</v>
      </c>
    </row>
    <row r="28" spans="1:7" x14ac:dyDescent="0.25">
      <c r="A28" t="s">
        <v>28</v>
      </c>
      <c r="B28" s="5"/>
      <c r="C28" s="5"/>
      <c r="D28" t="b">
        <f t="shared" si="0"/>
        <v>0</v>
      </c>
    </row>
    <row r="29" spans="1:7" x14ac:dyDescent="0.25">
      <c r="A29" t="s">
        <v>28</v>
      </c>
      <c r="B29" s="5"/>
      <c r="C29" s="5"/>
      <c r="D29" t="b">
        <f t="shared" si="0"/>
        <v>0</v>
      </c>
    </row>
    <row r="30" spans="1:7" x14ac:dyDescent="0.25">
      <c r="A30" t="s">
        <v>28</v>
      </c>
      <c r="B30" s="5"/>
      <c r="C30" s="5"/>
      <c r="D30" t="b">
        <f t="shared" si="0"/>
        <v>0</v>
      </c>
    </row>
    <row r="31" spans="1:7" x14ac:dyDescent="0.25">
      <c r="A31" t="s">
        <v>28</v>
      </c>
      <c r="B31" s="5"/>
      <c r="C31" s="5"/>
      <c r="D31" t="b">
        <f t="shared" si="0"/>
        <v>0</v>
      </c>
    </row>
    <row r="32" spans="1:7" x14ac:dyDescent="0.25">
      <c r="A32" t="s">
        <v>28</v>
      </c>
      <c r="B32" s="5"/>
      <c r="C32" s="5"/>
      <c r="D32" t="b">
        <f t="shared" si="0"/>
        <v>0</v>
      </c>
    </row>
    <row r="33" spans="1:4" x14ac:dyDescent="0.25">
      <c r="A33" t="s">
        <v>28</v>
      </c>
      <c r="B33" s="5"/>
      <c r="C33" s="5"/>
      <c r="D33" t="b">
        <f t="shared" si="0"/>
        <v>0</v>
      </c>
    </row>
    <row r="34" spans="1:4" x14ac:dyDescent="0.25">
      <c r="A34" t="s">
        <v>28</v>
      </c>
      <c r="B34" s="5"/>
      <c r="C34" s="5"/>
      <c r="D34" t="b">
        <f t="shared" si="0"/>
        <v>0</v>
      </c>
    </row>
    <row r="35" spans="1:4" x14ac:dyDescent="0.25">
      <c r="A35" t="s">
        <v>28</v>
      </c>
      <c r="B35" s="5"/>
      <c r="C35" s="5"/>
      <c r="D35" t="b">
        <f t="shared" si="0"/>
        <v>0</v>
      </c>
    </row>
    <row r="36" spans="1:4" x14ac:dyDescent="0.25">
      <c r="A36" t="s">
        <v>28</v>
      </c>
      <c r="B36" s="5"/>
      <c r="C36" s="5"/>
      <c r="D36" t="b">
        <f t="shared" si="0"/>
        <v>0</v>
      </c>
    </row>
    <row r="37" spans="1:4" x14ac:dyDescent="0.25">
      <c r="A37" t="s">
        <v>28</v>
      </c>
      <c r="B37" s="5"/>
      <c r="C37" s="5"/>
      <c r="D37" t="b">
        <f t="shared" si="0"/>
        <v>0</v>
      </c>
    </row>
    <row r="38" spans="1:4" x14ac:dyDescent="0.25">
      <c r="A38" t="s">
        <v>28</v>
      </c>
      <c r="B38" s="5"/>
      <c r="C38" s="5"/>
      <c r="D38" t="b">
        <f t="shared" si="0"/>
        <v>0</v>
      </c>
    </row>
    <row r="39" spans="1:4" x14ac:dyDescent="0.25">
      <c r="A39" t="s">
        <v>34</v>
      </c>
      <c r="B39" s="5"/>
      <c r="C39" s="5"/>
      <c r="D39" t="b">
        <f t="shared" si="0"/>
        <v>0</v>
      </c>
    </row>
    <row r="40" spans="1:4" x14ac:dyDescent="0.25">
      <c r="A40" t="s">
        <v>34</v>
      </c>
      <c r="B40" s="5"/>
      <c r="C40" s="5"/>
      <c r="D40" t="b">
        <f t="shared" si="0"/>
        <v>0</v>
      </c>
    </row>
    <row r="41" spans="1:4" x14ac:dyDescent="0.25">
      <c r="A41" t="s">
        <v>34</v>
      </c>
      <c r="B41" s="5"/>
      <c r="C41" s="5"/>
      <c r="D41" t="b">
        <f t="shared" si="0"/>
        <v>0</v>
      </c>
    </row>
    <row r="42" spans="1:4" x14ac:dyDescent="0.25">
      <c r="A42" t="s">
        <v>34</v>
      </c>
      <c r="B42" s="5"/>
      <c r="C42" s="5"/>
      <c r="D42" t="b">
        <f t="shared" si="0"/>
        <v>0</v>
      </c>
    </row>
    <row r="43" spans="1:4" x14ac:dyDescent="0.25">
      <c r="A43" t="s">
        <v>34</v>
      </c>
      <c r="B43" s="5"/>
      <c r="C43" s="5"/>
      <c r="D43" t="b">
        <f t="shared" si="0"/>
        <v>0</v>
      </c>
    </row>
    <row r="44" spans="1:4" x14ac:dyDescent="0.25">
      <c r="A44" t="s">
        <v>34</v>
      </c>
      <c r="B44" s="5"/>
      <c r="C44" s="5"/>
      <c r="D44" t="b">
        <f t="shared" si="0"/>
        <v>0</v>
      </c>
    </row>
    <row r="45" spans="1:4" x14ac:dyDescent="0.25">
      <c r="A45" t="s">
        <v>34</v>
      </c>
      <c r="B45" s="5"/>
      <c r="C45" s="5"/>
      <c r="D45" t="b">
        <f t="shared" si="0"/>
        <v>0</v>
      </c>
    </row>
    <row r="46" spans="1:4" x14ac:dyDescent="0.25">
      <c r="A46" t="s">
        <v>34</v>
      </c>
      <c r="B46" s="5"/>
      <c r="C46" s="5"/>
      <c r="D46" t="b">
        <f t="shared" si="0"/>
        <v>0</v>
      </c>
    </row>
    <row r="47" spans="1:4" x14ac:dyDescent="0.25">
      <c r="A47" t="s">
        <v>35</v>
      </c>
      <c r="B47" s="5"/>
      <c r="C47" s="5"/>
      <c r="D47" t="b">
        <f t="shared" si="0"/>
        <v>0</v>
      </c>
    </row>
    <row r="48" spans="1:4" x14ac:dyDescent="0.25">
      <c r="A48" t="s">
        <v>35</v>
      </c>
      <c r="B48" s="5"/>
      <c r="C48" s="5"/>
      <c r="D48" t="b">
        <f t="shared" si="0"/>
        <v>0</v>
      </c>
    </row>
    <row r="49" spans="1:4" x14ac:dyDescent="0.25">
      <c r="A49" t="s">
        <v>35</v>
      </c>
      <c r="B49" s="5"/>
      <c r="C49" s="5"/>
      <c r="D49" t="b">
        <f t="shared" si="0"/>
        <v>0</v>
      </c>
    </row>
    <row r="50" spans="1:4" x14ac:dyDescent="0.25">
      <c r="A50" t="s">
        <v>35</v>
      </c>
      <c r="B50" s="5"/>
      <c r="C50" s="5"/>
      <c r="D50" t="b">
        <f t="shared" si="0"/>
        <v>0</v>
      </c>
    </row>
    <row r="51" spans="1:4" x14ac:dyDescent="0.25">
      <c r="A51" t="s">
        <v>35</v>
      </c>
      <c r="B51" s="5"/>
      <c r="C51" s="5"/>
      <c r="D51" t="b">
        <f t="shared" si="0"/>
        <v>0</v>
      </c>
    </row>
    <row r="52" spans="1:4" x14ac:dyDescent="0.25">
      <c r="A52" t="s">
        <v>35</v>
      </c>
      <c r="B52" s="5"/>
      <c r="C52" s="5"/>
      <c r="D52" t="b">
        <f t="shared" si="0"/>
        <v>0</v>
      </c>
    </row>
    <row r="53" spans="1:4" x14ac:dyDescent="0.25">
      <c r="A53" t="s">
        <v>35</v>
      </c>
      <c r="B53" s="5"/>
      <c r="C53" s="5"/>
      <c r="D53" t="b">
        <f t="shared" si="0"/>
        <v>0</v>
      </c>
    </row>
    <row r="54" spans="1:4" x14ac:dyDescent="0.25">
      <c r="A54" t="s">
        <v>35</v>
      </c>
      <c r="B54" s="5"/>
      <c r="C54" s="5"/>
      <c r="D54" t="b">
        <f t="shared" si="0"/>
        <v>0</v>
      </c>
    </row>
    <row r="55" spans="1:4" x14ac:dyDescent="0.25">
      <c r="A55" t="s">
        <v>35</v>
      </c>
      <c r="B55" s="5"/>
      <c r="C55" s="5"/>
      <c r="D55" t="b">
        <f t="shared" si="0"/>
        <v>0</v>
      </c>
    </row>
    <row r="56" spans="1:4" x14ac:dyDescent="0.25">
      <c r="A56" t="s">
        <v>35</v>
      </c>
      <c r="B56" s="5"/>
      <c r="C56" s="5"/>
      <c r="D56" t="b">
        <f t="shared" si="0"/>
        <v>0</v>
      </c>
    </row>
    <row r="57" spans="1:4" x14ac:dyDescent="0.25">
      <c r="A57" t="s">
        <v>61</v>
      </c>
      <c r="B57" s="5"/>
      <c r="C57" s="5"/>
      <c r="D57" t="b">
        <f t="shared" si="0"/>
        <v>0</v>
      </c>
    </row>
    <row r="58" spans="1:4" x14ac:dyDescent="0.25">
      <c r="A58" t="s">
        <v>61</v>
      </c>
      <c r="B58" s="5"/>
      <c r="C58" s="5"/>
      <c r="D58" t="b">
        <f t="shared" si="0"/>
        <v>0</v>
      </c>
    </row>
    <row r="59" spans="1:4" x14ac:dyDescent="0.25">
      <c r="A59" t="s">
        <v>61</v>
      </c>
      <c r="B59" s="5"/>
      <c r="C59" s="5"/>
      <c r="D59" t="b">
        <f t="shared" si="0"/>
        <v>0</v>
      </c>
    </row>
    <row r="60" spans="1:4" x14ac:dyDescent="0.25">
      <c r="A60" t="s">
        <v>61</v>
      </c>
      <c r="B60" s="5"/>
      <c r="C60" s="5"/>
      <c r="D60" t="b">
        <f t="shared" si="0"/>
        <v>0</v>
      </c>
    </row>
    <row r="61" spans="1:4" x14ac:dyDescent="0.25">
      <c r="A61" t="s">
        <v>61</v>
      </c>
      <c r="B61" s="5"/>
      <c r="C61" s="5"/>
      <c r="D61" t="b">
        <f t="shared" si="0"/>
        <v>0</v>
      </c>
    </row>
    <row r="62" spans="1:4" x14ac:dyDescent="0.25">
      <c r="A62" t="s">
        <v>61</v>
      </c>
      <c r="B62" s="5"/>
      <c r="C62" s="5"/>
      <c r="D62" t="b">
        <f t="shared" si="0"/>
        <v>0</v>
      </c>
    </row>
    <row r="63" spans="1:4" x14ac:dyDescent="0.25">
      <c r="A63" t="s">
        <v>61</v>
      </c>
      <c r="B63" s="5"/>
      <c r="C63" s="5"/>
      <c r="D63" t="b">
        <f t="shared" si="0"/>
        <v>0</v>
      </c>
    </row>
    <row r="64" spans="1:4" x14ac:dyDescent="0.25">
      <c r="A64" t="s">
        <v>61</v>
      </c>
      <c r="B64" s="5"/>
      <c r="C64" s="5"/>
      <c r="D64" t="b">
        <f t="shared" si="0"/>
        <v>0</v>
      </c>
    </row>
    <row r="65" spans="1:4" x14ac:dyDescent="0.25">
      <c r="A65" t="s">
        <v>61</v>
      </c>
      <c r="B65" s="5"/>
      <c r="C65" s="5"/>
      <c r="D65" t="b">
        <f t="shared" si="0"/>
        <v>0</v>
      </c>
    </row>
    <row r="66" spans="1:4" x14ac:dyDescent="0.25">
      <c r="A66" t="s">
        <v>61</v>
      </c>
      <c r="B66" s="5"/>
      <c r="C66" s="5"/>
      <c r="D66" t="b">
        <f t="shared" si="0"/>
        <v>0</v>
      </c>
    </row>
    <row r="67" spans="1:4" x14ac:dyDescent="0.25">
      <c r="A67" t="s">
        <v>59</v>
      </c>
      <c r="B67" s="5"/>
      <c r="C67" s="5"/>
      <c r="D67" t="b">
        <f t="shared" si="0"/>
        <v>0</v>
      </c>
    </row>
    <row r="68" spans="1:4" x14ac:dyDescent="0.25">
      <c r="A68" t="s">
        <v>59</v>
      </c>
      <c r="B68" s="5"/>
      <c r="C68" s="5"/>
      <c r="D68" t="b">
        <f t="shared" si="0"/>
        <v>0</v>
      </c>
    </row>
    <row r="69" spans="1:4" x14ac:dyDescent="0.25">
      <c r="A69" t="s">
        <v>59</v>
      </c>
      <c r="B69" s="5"/>
      <c r="C69" s="5"/>
      <c r="D69" t="b">
        <f t="shared" ref="D69:D102" si="2">B69&lt;&gt;C69</f>
        <v>0</v>
      </c>
    </row>
    <row r="70" spans="1:4" x14ac:dyDescent="0.25">
      <c r="A70" t="s">
        <v>59</v>
      </c>
      <c r="B70" s="5"/>
      <c r="C70" s="5"/>
      <c r="D70" t="b">
        <f t="shared" si="2"/>
        <v>0</v>
      </c>
    </row>
    <row r="71" spans="1:4" x14ac:dyDescent="0.25">
      <c r="A71" t="s">
        <v>59</v>
      </c>
      <c r="B71" s="5"/>
      <c r="C71" s="5"/>
      <c r="D71" t="b">
        <f t="shared" si="2"/>
        <v>0</v>
      </c>
    </row>
    <row r="72" spans="1:4" x14ac:dyDescent="0.25">
      <c r="A72" t="s">
        <v>59</v>
      </c>
      <c r="B72" s="5"/>
      <c r="C72" s="5"/>
      <c r="D72" t="b">
        <f t="shared" si="2"/>
        <v>0</v>
      </c>
    </row>
    <row r="73" spans="1:4" x14ac:dyDescent="0.25">
      <c r="A73" t="s">
        <v>59</v>
      </c>
      <c r="B73" s="5"/>
      <c r="C73" s="5"/>
      <c r="D73" t="b">
        <f t="shared" si="2"/>
        <v>0</v>
      </c>
    </row>
    <row r="74" spans="1:4" x14ac:dyDescent="0.25">
      <c r="A74" t="s">
        <v>59</v>
      </c>
      <c r="B74" s="5"/>
      <c r="C74" s="5"/>
      <c r="D74" t="b">
        <f t="shared" si="2"/>
        <v>0</v>
      </c>
    </row>
    <row r="75" spans="1:4" x14ac:dyDescent="0.25">
      <c r="A75" t="s">
        <v>59</v>
      </c>
      <c r="B75" s="5"/>
      <c r="C75" s="5"/>
      <c r="D75" t="b">
        <f t="shared" si="2"/>
        <v>0</v>
      </c>
    </row>
    <row r="76" spans="1:4" x14ac:dyDescent="0.25">
      <c r="A76" t="s">
        <v>59</v>
      </c>
      <c r="B76" s="5"/>
      <c r="C76" s="5"/>
      <c r="D76" t="b">
        <f t="shared" si="2"/>
        <v>0</v>
      </c>
    </row>
    <row r="77" spans="1:4" x14ac:dyDescent="0.25">
      <c r="A77" t="s">
        <v>2175</v>
      </c>
      <c r="B77" s="5"/>
      <c r="C77" s="5"/>
      <c r="D77" t="b">
        <f t="shared" si="2"/>
        <v>0</v>
      </c>
    </row>
    <row r="78" spans="1:4" x14ac:dyDescent="0.25">
      <c r="A78" t="s">
        <v>2175</v>
      </c>
      <c r="B78" s="5"/>
      <c r="C78" s="5"/>
      <c r="D78" t="b">
        <f t="shared" si="2"/>
        <v>0</v>
      </c>
    </row>
    <row r="79" spans="1:4" x14ac:dyDescent="0.25">
      <c r="A79" t="s">
        <v>2175</v>
      </c>
      <c r="B79" s="5"/>
      <c r="C79" s="5"/>
      <c r="D79" t="b">
        <f t="shared" si="2"/>
        <v>0</v>
      </c>
    </row>
    <row r="80" spans="1:4" x14ac:dyDescent="0.25">
      <c r="A80" t="s">
        <v>2175</v>
      </c>
      <c r="B80" s="5"/>
      <c r="C80" s="5"/>
      <c r="D80" t="b">
        <f t="shared" si="2"/>
        <v>0</v>
      </c>
    </row>
    <row r="81" spans="1:4" x14ac:dyDescent="0.25">
      <c r="A81" t="s">
        <v>2175</v>
      </c>
      <c r="B81" s="5"/>
      <c r="C81" s="5"/>
      <c r="D81" t="b">
        <f t="shared" si="2"/>
        <v>0</v>
      </c>
    </row>
    <row r="82" spans="1:4" x14ac:dyDescent="0.25">
      <c r="A82" t="s">
        <v>2175</v>
      </c>
      <c r="B82" s="5"/>
      <c r="C82" s="5"/>
      <c r="D82" t="b">
        <f t="shared" si="2"/>
        <v>0</v>
      </c>
    </row>
    <row r="83" spans="1:4" x14ac:dyDescent="0.25">
      <c r="A83" t="s">
        <v>2175</v>
      </c>
      <c r="B83" s="5"/>
      <c r="C83" s="5"/>
      <c r="D83" t="b">
        <f t="shared" si="2"/>
        <v>0</v>
      </c>
    </row>
    <row r="84" spans="1:4" x14ac:dyDescent="0.25">
      <c r="A84" t="s">
        <v>2175</v>
      </c>
      <c r="B84" s="5"/>
      <c r="C84" s="5"/>
      <c r="D84" t="b">
        <f t="shared" si="2"/>
        <v>0</v>
      </c>
    </row>
    <row r="85" spans="1:4" x14ac:dyDescent="0.25">
      <c r="A85" t="s">
        <v>2175</v>
      </c>
      <c r="B85" s="5"/>
      <c r="C85" s="5"/>
      <c r="D85" t="b">
        <f t="shared" si="2"/>
        <v>0</v>
      </c>
    </row>
    <row r="86" spans="1:4" x14ac:dyDescent="0.25">
      <c r="A86" t="s">
        <v>2175</v>
      </c>
      <c r="B86" s="5"/>
      <c r="C86" s="5"/>
      <c r="D86" t="b">
        <f t="shared" si="2"/>
        <v>0</v>
      </c>
    </row>
    <row r="87" spans="1:4" x14ac:dyDescent="0.25">
      <c r="A87" t="s">
        <v>2175</v>
      </c>
      <c r="B87" s="5"/>
      <c r="C87" s="5"/>
      <c r="D87" t="b">
        <f t="shared" si="2"/>
        <v>0</v>
      </c>
    </row>
    <row r="88" spans="1:4" x14ac:dyDescent="0.25">
      <c r="A88" t="s">
        <v>2175</v>
      </c>
      <c r="B88" s="5"/>
      <c r="C88" s="5"/>
      <c r="D88" t="b">
        <f t="shared" si="2"/>
        <v>0</v>
      </c>
    </row>
    <row r="89" spans="1:4" x14ac:dyDescent="0.25">
      <c r="A89" t="s">
        <v>2175</v>
      </c>
      <c r="B89" s="5"/>
      <c r="C89" s="5"/>
      <c r="D89" t="b">
        <f t="shared" si="2"/>
        <v>0</v>
      </c>
    </row>
    <row r="90" spans="1:4" x14ac:dyDescent="0.25">
      <c r="A90" t="s">
        <v>2175</v>
      </c>
      <c r="B90" s="5"/>
      <c r="C90" s="5"/>
      <c r="D90" t="b">
        <f t="shared" si="2"/>
        <v>0</v>
      </c>
    </row>
    <row r="91" spans="1:4" x14ac:dyDescent="0.25">
      <c r="A91" t="s">
        <v>2175</v>
      </c>
      <c r="B91" s="5"/>
      <c r="C91" s="5"/>
      <c r="D91" t="b">
        <f t="shared" si="2"/>
        <v>0</v>
      </c>
    </row>
    <row r="92" spans="1:4" x14ac:dyDescent="0.25">
      <c r="A92" t="s">
        <v>2175</v>
      </c>
      <c r="B92" s="5"/>
      <c r="C92" s="5"/>
      <c r="D92" t="b">
        <f t="shared" si="2"/>
        <v>0</v>
      </c>
    </row>
    <row r="93" spans="1:4" x14ac:dyDescent="0.25">
      <c r="A93" t="s">
        <v>143</v>
      </c>
      <c r="B93" s="5"/>
      <c r="C93" s="5"/>
      <c r="D93" t="b">
        <f t="shared" si="2"/>
        <v>0</v>
      </c>
    </row>
    <row r="94" spans="1:4" x14ac:dyDescent="0.25">
      <c r="A94" t="s">
        <v>143</v>
      </c>
      <c r="B94" s="5"/>
      <c r="C94" s="5"/>
      <c r="D94" t="b">
        <f t="shared" si="2"/>
        <v>0</v>
      </c>
    </row>
    <row r="95" spans="1:4" x14ac:dyDescent="0.25">
      <c r="A95" t="s">
        <v>143</v>
      </c>
      <c r="B95" s="5"/>
      <c r="C95" s="5"/>
      <c r="D95" t="b">
        <f t="shared" si="2"/>
        <v>0</v>
      </c>
    </row>
    <row r="96" spans="1:4" x14ac:dyDescent="0.25">
      <c r="A96" t="s">
        <v>143</v>
      </c>
      <c r="B96" s="5"/>
      <c r="C96" s="5"/>
      <c r="D96" t="b">
        <f t="shared" si="2"/>
        <v>0</v>
      </c>
    </row>
    <row r="97" spans="1:4" x14ac:dyDescent="0.25">
      <c r="A97" t="s">
        <v>143</v>
      </c>
      <c r="B97" s="5"/>
      <c r="C97" s="5"/>
      <c r="D97" t="b">
        <f t="shared" si="2"/>
        <v>0</v>
      </c>
    </row>
    <row r="98" spans="1:4" x14ac:dyDescent="0.25">
      <c r="A98" t="s">
        <v>143</v>
      </c>
      <c r="B98" s="5"/>
      <c r="C98" s="5"/>
      <c r="D98" t="b">
        <f t="shared" si="2"/>
        <v>0</v>
      </c>
    </row>
    <row r="99" spans="1:4" x14ac:dyDescent="0.25">
      <c r="A99" t="s">
        <v>143</v>
      </c>
      <c r="B99" s="5"/>
      <c r="C99" s="5"/>
      <c r="D99" t="b">
        <f t="shared" si="2"/>
        <v>0</v>
      </c>
    </row>
    <row r="100" spans="1:4" x14ac:dyDescent="0.25">
      <c r="A100" t="s">
        <v>143</v>
      </c>
      <c r="B100" s="5"/>
      <c r="C100" s="5"/>
      <c r="D100" t="b">
        <f t="shared" si="2"/>
        <v>0</v>
      </c>
    </row>
    <row r="101" spans="1:4" x14ac:dyDescent="0.25">
      <c r="A101" t="s">
        <v>143</v>
      </c>
      <c r="B101" s="5"/>
      <c r="C101" s="5"/>
      <c r="D101" t="b">
        <f t="shared" si="2"/>
        <v>0</v>
      </c>
    </row>
    <row r="102" spans="1:4" x14ac:dyDescent="0.25">
      <c r="A102" t="s">
        <v>143</v>
      </c>
      <c r="B102" s="5"/>
      <c r="C102" s="5"/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AB145273-54C5-4F14-872A-9B072F6326D0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77A0F53C-1622-4E93-ACE9-7C5A53051937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BD3E-8E5B-41EA-888D-34F7C2569BBC}">
  <sheetPr codeName="Planilha22"/>
  <dimension ref="A1:G102"/>
  <sheetViews>
    <sheetView topLeftCell="A36" workbookViewId="0">
      <selection activeCell="B50" sqref="B50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1090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10</v>
      </c>
    </row>
    <row r="3" spans="1:7" x14ac:dyDescent="0.25">
      <c r="A3" s="5" t="s">
        <v>2002</v>
      </c>
      <c r="B3" s="5" t="s">
        <v>2039</v>
      </c>
      <c r="C3" s="5" t="s">
        <v>2039</v>
      </c>
      <c r="D3" t="b">
        <f>B3&lt;&gt;C3</f>
        <v>0</v>
      </c>
      <c r="F3" s="4" t="s">
        <v>30</v>
      </c>
      <c r="G3" s="3">
        <f>SUM(G6:G26)</f>
        <v>100</v>
      </c>
    </row>
    <row r="4" spans="1:7" x14ac:dyDescent="0.25">
      <c r="A4" t="s">
        <v>28</v>
      </c>
      <c r="B4" s="5" t="s">
        <v>60</v>
      </c>
      <c r="C4" s="5" t="s">
        <v>60</v>
      </c>
      <c r="D4" t="b">
        <f>B4&lt;&gt;C4</f>
        <v>0</v>
      </c>
    </row>
    <row r="5" spans="1:7" x14ac:dyDescent="0.25">
      <c r="A5" t="s">
        <v>28</v>
      </c>
      <c r="B5" s="5" t="s">
        <v>33</v>
      </c>
      <c r="C5" s="5" t="s">
        <v>33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466</v>
      </c>
      <c r="C6" s="5" t="s">
        <v>466</v>
      </c>
      <c r="D6" t="b">
        <f t="shared" si="0"/>
        <v>0</v>
      </c>
      <c r="F6" s="3" t="s">
        <v>2002</v>
      </c>
      <c r="G6" s="2">
        <f t="shared" ref="G6:G14" si="1">COUNTIF(A:A,F6)</f>
        <v>1</v>
      </c>
    </row>
    <row r="7" spans="1:7" x14ac:dyDescent="0.25">
      <c r="A7" t="s">
        <v>28</v>
      </c>
      <c r="B7" s="5" t="s">
        <v>1091</v>
      </c>
      <c r="C7" s="5" t="s">
        <v>1091</v>
      </c>
      <c r="D7" t="b">
        <f t="shared" si="0"/>
        <v>0</v>
      </c>
      <c r="F7" s="7" t="s">
        <v>28</v>
      </c>
      <c r="G7" s="2">
        <f t="shared" si="1"/>
        <v>35</v>
      </c>
    </row>
    <row r="8" spans="1:7" x14ac:dyDescent="0.25">
      <c r="A8" t="s">
        <v>28</v>
      </c>
      <c r="B8" s="5" t="s">
        <v>142</v>
      </c>
      <c r="C8" s="5" t="s">
        <v>142</v>
      </c>
      <c r="D8" t="b">
        <f t="shared" si="0"/>
        <v>0</v>
      </c>
      <c r="F8" s="7" t="s">
        <v>35</v>
      </c>
      <c r="G8" s="2">
        <f t="shared" si="1"/>
        <v>12</v>
      </c>
    </row>
    <row r="9" spans="1:7" x14ac:dyDescent="0.25">
      <c r="A9" t="s">
        <v>28</v>
      </c>
      <c r="B9" s="5" t="s">
        <v>609</v>
      </c>
      <c r="C9" s="5" t="s">
        <v>609</v>
      </c>
      <c r="D9" t="b">
        <f t="shared" si="0"/>
        <v>0</v>
      </c>
      <c r="F9" s="7" t="s">
        <v>1093</v>
      </c>
      <c r="G9" s="2">
        <f t="shared" si="1"/>
        <v>4</v>
      </c>
    </row>
    <row r="10" spans="1:7" x14ac:dyDescent="0.25">
      <c r="A10" t="s">
        <v>28</v>
      </c>
      <c r="B10" s="5" t="s">
        <v>1092</v>
      </c>
      <c r="C10" s="5" t="s">
        <v>1092</v>
      </c>
      <c r="D10" t="b">
        <f t="shared" si="0"/>
        <v>0</v>
      </c>
      <c r="F10" s="7" t="s">
        <v>61</v>
      </c>
      <c r="G10" s="2">
        <f t="shared" si="1"/>
        <v>10</v>
      </c>
    </row>
    <row r="11" spans="1:7" x14ac:dyDescent="0.25">
      <c r="A11" t="s">
        <v>28</v>
      </c>
      <c r="B11" s="5" t="s">
        <v>38</v>
      </c>
      <c r="C11" s="5" t="s">
        <v>51</v>
      </c>
      <c r="D11" t="b">
        <f t="shared" si="0"/>
        <v>1</v>
      </c>
      <c r="F11" s="7" t="s">
        <v>327</v>
      </c>
      <c r="G11" s="2">
        <f t="shared" si="1"/>
        <v>16</v>
      </c>
    </row>
    <row r="12" spans="1:7" x14ac:dyDescent="0.25">
      <c r="A12" t="s">
        <v>28</v>
      </c>
      <c r="B12" s="5" t="s">
        <v>611</v>
      </c>
      <c r="C12" s="5" t="s">
        <v>611</v>
      </c>
      <c r="D12" t="b">
        <f t="shared" si="0"/>
        <v>0</v>
      </c>
      <c r="F12" s="7" t="s">
        <v>36</v>
      </c>
      <c r="G12" s="2">
        <f t="shared" si="1"/>
        <v>7</v>
      </c>
    </row>
    <row r="13" spans="1:7" x14ac:dyDescent="0.25">
      <c r="A13" t="s">
        <v>28</v>
      </c>
      <c r="B13" s="5" t="s">
        <v>742</v>
      </c>
      <c r="C13" s="5" t="s">
        <v>742</v>
      </c>
      <c r="D13" t="b">
        <f t="shared" si="0"/>
        <v>0</v>
      </c>
      <c r="F13" s="7" t="s">
        <v>34</v>
      </c>
      <c r="G13" s="2">
        <f t="shared" si="1"/>
        <v>8</v>
      </c>
    </row>
    <row r="14" spans="1:7" x14ac:dyDescent="0.25">
      <c r="A14" t="s">
        <v>28</v>
      </c>
      <c r="B14" s="5" t="s">
        <v>812</v>
      </c>
      <c r="C14" s="5" t="s">
        <v>812</v>
      </c>
      <c r="D14" t="b">
        <f t="shared" si="0"/>
        <v>0</v>
      </c>
      <c r="F14" s="7" t="s">
        <v>185</v>
      </c>
      <c r="G14" s="2">
        <f t="shared" si="1"/>
        <v>7</v>
      </c>
    </row>
    <row r="15" spans="1:7" x14ac:dyDescent="0.25">
      <c r="A15" t="s">
        <v>28</v>
      </c>
      <c r="B15" s="5" t="s">
        <v>1094</v>
      </c>
      <c r="C15" s="5" t="s">
        <v>1094</v>
      </c>
      <c r="D15" t="b">
        <f t="shared" si="0"/>
        <v>0</v>
      </c>
    </row>
    <row r="16" spans="1:7" x14ac:dyDescent="0.25">
      <c r="A16" t="s">
        <v>28</v>
      </c>
      <c r="B16" s="5" t="s">
        <v>144</v>
      </c>
      <c r="C16" s="5" t="s">
        <v>144</v>
      </c>
      <c r="D16" t="b">
        <f t="shared" si="0"/>
        <v>0</v>
      </c>
      <c r="F16" s="1"/>
      <c r="G16" s="2"/>
    </row>
    <row r="17" spans="1:7" x14ac:dyDescent="0.25">
      <c r="A17" t="s">
        <v>28</v>
      </c>
      <c r="B17" s="5" t="s">
        <v>533</v>
      </c>
      <c r="C17" s="5" t="s">
        <v>533</v>
      </c>
      <c r="D17" t="b">
        <f t="shared" si="0"/>
        <v>0</v>
      </c>
      <c r="F17" s="4"/>
      <c r="G17" s="2"/>
    </row>
    <row r="18" spans="1:7" x14ac:dyDescent="0.25">
      <c r="A18" t="s">
        <v>28</v>
      </c>
      <c r="B18" s="5" t="s">
        <v>672</v>
      </c>
      <c r="C18" s="5" t="s">
        <v>672</v>
      </c>
      <c r="D18" t="b">
        <f t="shared" si="0"/>
        <v>0</v>
      </c>
    </row>
    <row r="19" spans="1:7" x14ac:dyDescent="0.25">
      <c r="A19" t="s">
        <v>28</v>
      </c>
      <c r="B19" s="5" t="s">
        <v>1095</v>
      </c>
      <c r="C19" s="5" t="s">
        <v>1095</v>
      </c>
      <c r="D19" t="b">
        <f t="shared" si="0"/>
        <v>0</v>
      </c>
    </row>
    <row r="20" spans="1:7" x14ac:dyDescent="0.25">
      <c r="A20" t="s">
        <v>28</v>
      </c>
      <c r="B20" s="5" t="s">
        <v>1096</v>
      </c>
      <c r="C20" s="5" t="s">
        <v>62</v>
      </c>
      <c r="D20" t="b">
        <f t="shared" si="0"/>
        <v>1</v>
      </c>
    </row>
    <row r="21" spans="1:7" x14ac:dyDescent="0.25">
      <c r="A21" t="s">
        <v>28</v>
      </c>
      <c r="B21" s="5" t="s">
        <v>40</v>
      </c>
      <c r="C21" s="5" t="s">
        <v>1097</v>
      </c>
      <c r="D21" t="b">
        <f t="shared" si="0"/>
        <v>1</v>
      </c>
    </row>
    <row r="22" spans="1:7" x14ac:dyDescent="0.25">
      <c r="A22" t="s">
        <v>28</v>
      </c>
      <c r="B22" s="5" t="s">
        <v>1098</v>
      </c>
      <c r="C22" s="5" t="s">
        <v>1098</v>
      </c>
      <c r="D22" t="b">
        <f t="shared" si="0"/>
        <v>0</v>
      </c>
    </row>
    <row r="23" spans="1:7" x14ac:dyDescent="0.25">
      <c r="A23" t="s">
        <v>28</v>
      </c>
      <c r="B23" s="5" t="s">
        <v>673</v>
      </c>
      <c r="C23" s="5" t="s">
        <v>673</v>
      </c>
      <c r="D23" t="b">
        <f t="shared" si="0"/>
        <v>0</v>
      </c>
    </row>
    <row r="24" spans="1:7" x14ac:dyDescent="0.25">
      <c r="A24" t="s">
        <v>28</v>
      </c>
      <c r="B24" s="5" t="s">
        <v>740</v>
      </c>
      <c r="C24" s="5" t="s">
        <v>1099</v>
      </c>
      <c r="D24" t="b">
        <f t="shared" si="0"/>
        <v>1</v>
      </c>
    </row>
    <row r="25" spans="1:7" x14ac:dyDescent="0.25">
      <c r="A25" t="s">
        <v>28</v>
      </c>
      <c r="B25" s="5" t="s">
        <v>1100</v>
      </c>
      <c r="C25" s="5" t="s">
        <v>1100</v>
      </c>
      <c r="D25" t="b">
        <f t="shared" si="0"/>
        <v>0</v>
      </c>
    </row>
    <row r="26" spans="1:7" x14ac:dyDescent="0.25">
      <c r="A26" t="s">
        <v>28</v>
      </c>
      <c r="B26" s="5" t="s">
        <v>615</v>
      </c>
      <c r="C26" s="5" t="s">
        <v>615</v>
      </c>
      <c r="D26" t="b">
        <f t="shared" si="0"/>
        <v>0</v>
      </c>
    </row>
    <row r="27" spans="1:7" x14ac:dyDescent="0.25">
      <c r="A27" t="s">
        <v>28</v>
      </c>
      <c r="B27" s="5" t="s">
        <v>184</v>
      </c>
      <c r="C27" s="5" t="s">
        <v>184</v>
      </c>
      <c r="D27" t="b">
        <f t="shared" si="0"/>
        <v>0</v>
      </c>
    </row>
    <row r="28" spans="1:7" x14ac:dyDescent="0.25">
      <c r="A28" t="s">
        <v>28</v>
      </c>
      <c r="B28" s="5" t="s">
        <v>38</v>
      </c>
      <c r="C28" s="5" t="s">
        <v>38</v>
      </c>
      <c r="D28" t="b">
        <f t="shared" si="0"/>
        <v>0</v>
      </c>
    </row>
    <row r="29" spans="1:7" x14ac:dyDescent="0.25">
      <c r="A29" t="s">
        <v>28</v>
      </c>
      <c r="B29" s="5" t="s">
        <v>38</v>
      </c>
      <c r="C29" s="5" t="s">
        <v>38</v>
      </c>
      <c r="D29" t="b">
        <f t="shared" si="0"/>
        <v>0</v>
      </c>
    </row>
    <row r="30" spans="1:7" x14ac:dyDescent="0.25">
      <c r="A30" t="s">
        <v>28</v>
      </c>
      <c r="B30" s="5" t="s">
        <v>38</v>
      </c>
      <c r="C30" s="5" t="s">
        <v>38</v>
      </c>
      <c r="D30" t="b">
        <f t="shared" si="0"/>
        <v>0</v>
      </c>
    </row>
    <row r="31" spans="1:7" x14ac:dyDescent="0.25">
      <c r="A31" t="s">
        <v>28</v>
      </c>
      <c r="B31" s="5" t="s">
        <v>38</v>
      </c>
      <c r="C31" s="5" t="s">
        <v>38</v>
      </c>
      <c r="D31" t="b">
        <f t="shared" si="0"/>
        <v>0</v>
      </c>
    </row>
    <row r="32" spans="1:7" x14ac:dyDescent="0.25">
      <c r="A32" t="s">
        <v>28</v>
      </c>
      <c r="B32" s="5" t="s">
        <v>39</v>
      </c>
      <c r="C32" s="5" t="s">
        <v>39</v>
      </c>
      <c r="D32" t="b">
        <f t="shared" si="0"/>
        <v>0</v>
      </c>
    </row>
    <row r="33" spans="1:4" x14ac:dyDescent="0.25">
      <c r="A33" t="s">
        <v>28</v>
      </c>
      <c r="B33" s="5" t="s">
        <v>39</v>
      </c>
      <c r="C33" s="5" t="s">
        <v>39</v>
      </c>
      <c r="D33" t="b">
        <f t="shared" si="0"/>
        <v>0</v>
      </c>
    </row>
    <row r="34" spans="1:4" x14ac:dyDescent="0.25">
      <c r="A34" t="s">
        <v>28</v>
      </c>
      <c r="B34" s="5" t="s">
        <v>39</v>
      </c>
      <c r="C34" s="5" t="s">
        <v>39</v>
      </c>
      <c r="D34" t="b">
        <f t="shared" si="0"/>
        <v>0</v>
      </c>
    </row>
    <row r="35" spans="1:4" x14ac:dyDescent="0.25">
      <c r="A35" t="s">
        <v>28</v>
      </c>
      <c r="B35" s="5" t="s">
        <v>40</v>
      </c>
      <c r="C35" s="5" t="s">
        <v>40</v>
      </c>
      <c r="D35" t="b">
        <f t="shared" si="0"/>
        <v>0</v>
      </c>
    </row>
    <row r="36" spans="1:4" x14ac:dyDescent="0.25">
      <c r="A36" t="s">
        <v>28</v>
      </c>
      <c r="B36" s="5" t="s">
        <v>40</v>
      </c>
      <c r="C36" s="5" t="s">
        <v>40</v>
      </c>
      <c r="D36" t="b">
        <f t="shared" si="0"/>
        <v>0</v>
      </c>
    </row>
    <row r="37" spans="1:4" x14ac:dyDescent="0.25">
      <c r="A37" t="s">
        <v>28</v>
      </c>
      <c r="B37" s="5" t="s">
        <v>40</v>
      </c>
      <c r="C37" s="5" t="s">
        <v>40</v>
      </c>
      <c r="D37" t="b">
        <f t="shared" si="0"/>
        <v>0</v>
      </c>
    </row>
    <row r="38" spans="1:4" x14ac:dyDescent="0.25">
      <c r="A38" t="s">
        <v>28</v>
      </c>
      <c r="B38" s="5" t="s">
        <v>40</v>
      </c>
      <c r="C38" s="5" t="s">
        <v>40</v>
      </c>
      <c r="D38" t="b">
        <f t="shared" si="0"/>
        <v>0</v>
      </c>
    </row>
    <row r="39" spans="1:4" x14ac:dyDescent="0.25">
      <c r="A39" t="s">
        <v>34</v>
      </c>
      <c r="B39" s="5" t="s">
        <v>198</v>
      </c>
      <c r="C39" s="5" t="s">
        <v>198</v>
      </c>
      <c r="D39" t="b">
        <f t="shared" si="0"/>
        <v>0</v>
      </c>
    </row>
    <row r="40" spans="1:4" x14ac:dyDescent="0.25">
      <c r="A40" t="s">
        <v>34</v>
      </c>
      <c r="B40" s="5" t="s">
        <v>550</v>
      </c>
      <c r="C40" s="5" t="s">
        <v>550</v>
      </c>
      <c r="D40" t="b">
        <f t="shared" si="0"/>
        <v>0</v>
      </c>
    </row>
    <row r="41" spans="1:4" x14ac:dyDescent="0.25">
      <c r="A41" t="s">
        <v>34</v>
      </c>
      <c r="B41" s="5" t="s">
        <v>202</v>
      </c>
      <c r="C41" s="5" t="s">
        <v>202</v>
      </c>
      <c r="D41" t="b">
        <f t="shared" si="0"/>
        <v>0</v>
      </c>
    </row>
    <row r="42" spans="1:4" x14ac:dyDescent="0.25">
      <c r="A42" t="s">
        <v>34</v>
      </c>
      <c r="B42" s="5" t="s">
        <v>149</v>
      </c>
      <c r="C42" s="5" t="s">
        <v>149</v>
      </c>
      <c r="D42" t="b">
        <f t="shared" si="0"/>
        <v>0</v>
      </c>
    </row>
    <row r="43" spans="1:4" x14ac:dyDescent="0.25">
      <c r="A43" t="s">
        <v>34</v>
      </c>
      <c r="B43" s="5" t="s">
        <v>199</v>
      </c>
      <c r="C43" s="5" t="s">
        <v>199</v>
      </c>
      <c r="D43" t="b">
        <f t="shared" si="0"/>
        <v>0</v>
      </c>
    </row>
    <row r="44" spans="1:4" x14ac:dyDescent="0.25">
      <c r="A44" t="s">
        <v>34</v>
      </c>
      <c r="B44" s="5" t="s">
        <v>1133</v>
      </c>
      <c r="C44" s="5" t="s">
        <v>1133</v>
      </c>
      <c r="D44" t="b">
        <f t="shared" si="0"/>
        <v>0</v>
      </c>
    </row>
    <row r="45" spans="1:4" x14ac:dyDescent="0.25">
      <c r="A45" t="s">
        <v>34</v>
      </c>
      <c r="B45" s="5" t="s">
        <v>1134</v>
      </c>
      <c r="C45" s="5" t="s">
        <v>1134</v>
      </c>
      <c r="D45" t="b">
        <f t="shared" si="0"/>
        <v>0</v>
      </c>
    </row>
    <row r="46" spans="1:4" x14ac:dyDescent="0.25">
      <c r="A46" t="s">
        <v>34</v>
      </c>
      <c r="B46" s="5" t="s">
        <v>348</v>
      </c>
      <c r="C46" s="5" t="s">
        <v>348</v>
      </c>
      <c r="D46" t="b">
        <f t="shared" si="0"/>
        <v>0</v>
      </c>
    </row>
    <row r="47" spans="1:4" x14ac:dyDescent="0.25">
      <c r="A47" t="s">
        <v>35</v>
      </c>
      <c r="B47" s="5" t="s">
        <v>1101</v>
      </c>
      <c r="C47" s="5" t="s">
        <v>1101</v>
      </c>
      <c r="D47" t="b">
        <f t="shared" si="0"/>
        <v>0</v>
      </c>
    </row>
    <row r="48" spans="1:4" x14ac:dyDescent="0.25">
      <c r="A48" t="s">
        <v>35</v>
      </c>
      <c r="B48" s="5" t="s">
        <v>1102</v>
      </c>
      <c r="C48" s="5" t="s">
        <v>1102</v>
      </c>
      <c r="D48" t="b">
        <f t="shared" si="0"/>
        <v>0</v>
      </c>
    </row>
    <row r="49" spans="1:4" x14ac:dyDescent="0.25">
      <c r="A49" t="s">
        <v>35</v>
      </c>
      <c r="B49" s="5" t="s">
        <v>1105</v>
      </c>
      <c r="C49" s="5" t="s">
        <v>1105</v>
      </c>
      <c r="D49" t="b">
        <f t="shared" si="0"/>
        <v>0</v>
      </c>
    </row>
    <row r="50" spans="1:4" x14ac:dyDescent="0.25">
      <c r="A50" t="s">
        <v>35</v>
      </c>
      <c r="B50" s="5" t="s">
        <v>1528</v>
      </c>
      <c r="C50" s="5" t="s">
        <v>1528</v>
      </c>
      <c r="D50" t="b">
        <f t="shared" si="0"/>
        <v>0</v>
      </c>
    </row>
    <row r="51" spans="1:4" x14ac:dyDescent="0.25">
      <c r="A51" t="s">
        <v>35</v>
      </c>
      <c r="B51" s="5" t="s">
        <v>1887</v>
      </c>
      <c r="C51" s="5" t="s">
        <v>1887</v>
      </c>
      <c r="D51" t="b">
        <f t="shared" si="0"/>
        <v>0</v>
      </c>
    </row>
    <row r="52" spans="1:4" x14ac:dyDescent="0.25">
      <c r="A52" t="s">
        <v>35</v>
      </c>
      <c r="B52" s="5" t="s">
        <v>1110</v>
      </c>
      <c r="C52" s="5" t="s">
        <v>1110</v>
      </c>
      <c r="D52" t="b">
        <f t="shared" si="0"/>
        <v>0</v>
      </c>
    </row>
    <row r="53" spans="1:4" x14ac:dyDescent="0.25">
      <c r="A53" t="s">
        <v>35</v>
      </c>
      <c r="B53" s="5" t="s">
        <v>1111</v>
      </c>
      <c r="C53" s="5" t="s">
        <v>1111</v>
      </c>
      <c r="D53" t="b">
        <f t="shared" si="0"/>
        <v>0</v>
      </c>
    </row>
    <row r="54" spans="1:4" x14ac:dyDescent="0.25">
      <c r="A54" t="s">
        <v>35</v>
      </c>
      <c r="B54" s="5" t="s">
        <v>1112</v>
      </c>
      <c r="C54" s="5" t="s">
        <v>1112</v>
      </c>
      <c r="D54" t="b">
        <f t="shared" si="0"/>
        <v>0</v>
      </c>
    </row>
    <row r="55" spans="1:4" x14ac:dyDescent="0.25">
      <c r="A55" t="s">
        <v>35</v>
      </c>
      <c r="B55" s="5" t="s">
        <v>1113</v>
      </c>
      <c r="C55" s="5" t="s">
        <v>1113</v>
      </c>
      <c r="D55" t="b">
        <f t="shared" si="0"/>
        <v>0</v>
      </c>
    </row>
    <row r="56" spans="1:4" x14ac:dyDescent="0.25">
      <c r="A56" t="s">
        <v>35</v>
      </c>
      <c r="B56" s="5" t="s">
        <v>1104</v>
      </c>
      <c r="C56" s="5" t="s">
        <v>1104</v>
      </c>
      <c r="D56" t="b">
        <f t="shared" si="0"/>
        <v>0</v>
      </c>
    </row>
    <row r="57" spans="1:4" x14ac:dyDescent="0.25">
      <c r="A57" t="s">
        <v>35</v>
      </c>
      <c r="B57" s="5" t="s">
        <v>1886</v>
      </c>
      <c r="C57" s="5" t="s">
        <v>1886</v>
      </c>
      <c r="D57" t="b">
        <f t="shared" si="0"/>
        <v>0</v>
      </c>
    </row>
    <row r="58" spans="1:4" x14ac:dyDescent="0.25">
      <c r="A58" t="s">
        <v>35</v>
      </c>
      <c r="B58" s="5" t="s">
        <v>1107</v>
      </c>
      <c r="C58" s="5" t="s">
        <v>1107</v>
      </c>
      <c r="D58" t="b">
        <f t="shared" si="0"/>
        <v>0</v>
      </c>
    </row>
    <row r="59" spans="1:4" x14ac:dyDescent="0.25">
      <c r="A59" t="s">
        <v>61</v>
      </c>
      <c r="B59" s="5" t="s">
        <v>1114</v>
      </c>
      <c r="C59" s="5" t="s">
        <v>1114</v>
      </c>
      <c r="D59" t="b">
        <f t="shared" si="0"/>
        <v>0</v>
      </c>
    </row>
    <row r="60" spans="1:4" x14ac:dyDescent="0.25">
      <c r="A60" t="s">
        <v>61</v>
      </c>
      <c r="B60" s="5" t="s">
        <v>1115</v>
      </c>
      <c r="C60" s="5" t="s">
        <v>1115</v>
      </c>
      <c r="D60" t="b">
        <f t="shared" si="0"/>
        <v>0</v>
      </c>
    </row>
    <row r="61" spans="1:4" x14ac:dyDescent="0.25">
      <c r="A61" t="s">
        <v>61</v>
      </c>
      <c r="B61" s="5" t="s">
        <v>1116</v>
      </c>
      <c r="C61" s="5" t="s">
        <v>1116</v>
      </c>
      <c r="D61" t="b">
        <f t="shared" si="0"/>
        <v>0</v>
      </c>
    </row>
    <row r="62" spans="1:4" x14ac:dyDescent="0.25">
      <c r="A62" t="s">
        <v>61</v>
      </c>
      <c r="B62" s="5" t="s">
        <v>1117</v>
      </c>
      <c r="C62" s="5" t="s">
        <v>1117</v>
      </c>
      <c r="D62" t="b">
        <f t="shared" si="0"/>
        <v>0</v>
      </c>
    </row>
    <row r="63" spans="1:4" x14ac:dyDescent="0.25">
      <c r="A63" t="s">
        <v>61</v>
      </c>
      <c r="B63" s="5" t="s">
        <v>1118</v>
      </c>
      <c r="C63" s="5" t="s">
        <v>1118</v>
      </c>
      <c r="D63" t="b">
        <f t="shared" si="0"/>
        <v>0</v>
      </c>
    </row>
    <row r="64" spans="1:4" x14ac:dyDescent="0.25">
      <c r="A64" t="s">
        <v>61</v>
      </c>
      <c r="B64" s="5" t="s">
        <v>1119</v>
      </c>
      <c r="C64" s="5" t="s">
        <v>1119</v>
      </c>
      <c r="D64" t="b">
        <f t="shared" si="0"/>
        <v>0</v>
      </c>
    </row>
    <row r="65" spans="1:4" x14ac:dyDescent="0.25">
      <c r="A65" t="s">
        <v>61</v>
      </c>
      <c r="B65" s="5" t="s">
        <v>1120</v>
      </c>
      <c r="C65" s="5" t="s">
        <v>1120</v>
      </c>
      <c r="D65" t="b">
        <f t="shared" si="0"/>
        <v>0</v>
      </c>
    </row>
    <row r="66" spans="1:4" x14ac:dyDescent="0.25">
      <c r="A66" t="s">
        <v>61</v>
      </c>
      <c r="B66" s="5" t="s">
        <v>1121</v>
      </c>
      <c r="C66" s="5" t="s">
        <v>1121</v>
      </c>
      <c r="D66" t="b">
        <f t="shared" si="0"/>
        <v>0</v>
      </c>
    </row>
    <row r="67" spans="1:4" x14ac:dyDescent="0.25">
      <c r="A67" t="s">
        <v>61</v>
      </c>
      <c r="B67" s="5" t="s">
        <v>1122</v>
      </c>
      <c r="C67" s="5" t="s">
        <v>1122</v>
      </c>
      <c r="D67" t="b">
        <f t="shared" si="0"/>
        <v>0</v>
      </c>
    </row>
    <row r="68" spans="1:4" x14ac:dyDescent="0.25">
      <c r="A68" t="s">
        <v>61</v>
      </c>
      <c r="B68" s="5" t="s">
        <v>1123</v>
      </c>
      <c r="C68" s="5" t="s">
        <v>1123</v>
      </c>
      <c r="D68" t="b">
        <f t="shared" si="0"/>
        <v>0</v>
      </c>
    </row>
    <row r="69" spans="1:4" x14ac:dyDescent="0.25">
      <c r="A69" t="s">
        <v>1093</v>
      </c>
      <c r="B69" s="5" t="s">
        <v>1124</v>
      </c>
      <c r="C69" s="5" t="s">
        <v>1124</v>
      </c>
      <c r="D69" t="b">
        <f t="shared" ref="D69:D102" si="2">B69&lt;&gt;C69</f>
        <v>0</v>
      </c>
    </row>
    <row r="70" spans="1:4" x14ac:dyDescent="0.25">
      <c r="A70" t="s">
        <v>1093</v>
      </c>
      <c r="B70" s="5" t="s">
        <v>1127</v>
      </c>
      <c r="C70" s="5" t="s">
        <v>1127</v>
      </c>
      <c r="D70" t="b">
        <f t="shared" si="2"/>
        <v>0</v>
      </c>
    </row>
    <row r="71" spans="1:4" x14ac:dyDescent="0.25">
      <c r="A71" t="s">
        <v>1093</v>
      </c>
      <c r="B71" s="5" t="s">
        <v>1125</v>
      </c>
      <c r="C71" s="5" t="s">
        <v>1125</v>
      </c>
      <c r="D71" t="b">
        <f t="shared" si="2"/>
        <v>0</v>
      </c>
    </row>
    <row r="72" spans="1:4" x14ac:dyDescent="0.25">
      <c r="A72" t="s">
        <v>1093</v>
      </c>
      <c r="B72" s="5" t="s">
        <v>1126</v>
      </c>
      <c r="C72" s="5" t="s">
        <v>1126</v>
      </c>
      <c r="D72" t="b">
        <f t="shared" si="2"/>
        <v>0</v>
      </c>
    </row>
    <row r="73" spans="1:4" x14ac:dyDescent="0.25">
      <c r="A73" t="s">
        <v>327</v>
      </c>
      <c r="B73" s="5" t="s">
        <v>1108</v>
      </c>
      <c r="C73" s="5" t="s">
        <v>1108</v>
      </c>
      <c r="D73" t="b">
        <f t="shared" si="2"/>
        <v>0</v>
      </c>
    </row>
    <row r="74" spans="1:4" x14ac:dyDescent="0.25">
      <c r="A74" t="s">
        <v>327</v>
      </c>
      <c r="B74" s="5" t="s">
        <v>1109</v>
      </c>
      <c r="C74" s="5" t="s">
        <v>1109</v>
      </c>
      <c r="D74" t="b">
        <f t="shared" si="2"/>
        <v>0</v>
      </c>
    </row>
    <row r="75" spans="1:4" x14ac:dyDescent="0.25">
      <c r="A75" t="s">
        <v>327</v>
      </c>
      <c r="B75" s="5" t="s">
        <v>1103</v>
      </c>
      <c r="C75" s="5" t="s">
        <v>1883</v>
      </c>
      <c r="D75" t="b">
        <f t="shared" si="2"/>
        <v>1</v>
      </c>
    </row>
    <row r="76" spans="1:4" x14ac:dyDescent="0.25">
      <c r="A76" t="s">
        <v>327</v>
      </c>
      <c r="B76" s="5" t="s">
        <v>1128</v>
      </c>
      <c r="C76" s="5" t="s">
        <v>1128</v>
      </c>
      <c r="D76" t="b">
        <f t="shared" si="2"/>
        <v>0</v>
      </c>
    </row>
    <row r="77" spans="1:4" x14ac:dyDescent="0.25">
      <c r="A77" t="s">
        <v>327</v>
      </c>
      <c r="B77" s="5" t="s">
        <v>1129</v>
      </c>
      <c r="C77" s="5" t="s">
        <v>1765</v>
      </c>
      <c r="D77" t="b">
        <f t="shared" si="2"/>
        <v>1</v>
      </c>
    </row>
    <row r="78" spans="1:4" x14ac:dyDescent="0.25">
      <c r="A78" t="s">
        <v>327</v>
      </c>
      <c r="B78" s="5" t="s">
        <v>1130</v>
      </c>
      <c r="C78" s="5" t="s">
        <v>1130</v>
      </c>
      <c r="D78" t="b">
        <f t="shared" si="2"/>
        <v>0</v>
      </c>
    </row>
    <row r="79" spans="1:4" x14ac:dyDescent="0.25">
      <c r="A79" t="s">
        <v>327</v>
      </c>
      <c r="B79" s="5" t="s">
        <v>1131</v>
      </c>
      <c r="C79" s="5" t="s">
        <v>1131</v>
      </c>
      <c r="D79" t="b">
        <f t="shared" si="2"/>
        <v>0</v>
      </c>
    </row>
    <row r="80" spans="1:4" x14ac:dyDescent="0.25">
      <c r="A80" t="s">
        <v>327</v>
      </c>
      <c r="B80" s="5" t="s">
        <v>1132</v>
      </c>
      <c r="C80" s="5" t="s">
        <v>1132</v>
      </c>
      <c r="D80" t="b">
        <f t="shared" si="2"/>
        <v>0</v>
      </c>
    </row>
    <row r="81" spans="1:4" x14ac:dyDescent="0.25">
      <c r="A81" t="s">
        <v>327</v>
      </c>
      <c r="B81" s="5" t="s">
        <v>1603</v>
      </c>
      <c r="C81" s="5" t="s">
        <v>1881</v>
      </c>
      <c r="D81" t="b">
        <f t="shared" si="2"/>
        <v>1</v>
      </c>
    </row>
    <row r="82" spans="1:4" x14ac:dyDescent="0.25">
      <c r="A82" t="s">
        <v>327</v>
      </c>
      <c r="B82" s="5" t="s">
        <v>1136</v>
      </c>
      <c r="C82" s="5" t="s">
        <v>1880</v>
      </c>
      <c r="D82" t="b">
        <f t="shared" si="2"/>
        <v>1</v>
      </c>
    </row>
    <row r="83" spans="1:4" x14ac:dyDescent="0.25">
      <c r="A83" t="s">
        <v>327</v>
      </c>
      <c r="B83" s="5" t="s">
        <v>1138</v>
      </c>
      <c r="C83" s="5" t="s">
        <v>1138</v>
      </c>
      <c r="D83" t="b">
        <f t="shared" si="2"/>
        <v>0</v>
      </c>
    </row>
    <row r="84" spans="1:4" x14ac:dyDescent="0.25">
      <c r="A84" t="s">
        <v>327</v>
      </c>
      <c r="B84" s="5" t="s">
        <v>1884</v>
      </c>
      <c r="C84" s="5" t="s">
        <v>1884</v>
      </c>
      <c r="D84" t="b">
        <f t="shared" si="2"/>
        <v>0</v>
      </c>
    </row>
    <row r="85" spans="1:4" x14ac:dyDescent="0.25">
      <c r="A85" t="s">
        <v>327</v>
      </c>
      <c r="B85" s="5" t="s">
        <v>294</v>
      </c>
      <c r="C85" s="5" t="s">
        <v>294</v>
      </c>
      <c r="D85" t="b">
        <f t="shared" si="2"/>
        <v>0</v>
      </c>
    </row>
    <row r="86" spans="1:4" x14ac:dyDescent="0.25">
      <c r="A86" t="s">
        <v>327</v>
      </c>
      <c r="B86" s="5" t="s">
        <v>1141</v>
      </c>
      <c r="C86" s="5" t="s">
        <v>1141</v>
      </c>
      <c r="D86" t="b">
        <f t="shared" si="2"/>
        <v>0</v>
      </c>
    </row>
    <row r="87" spans="1:4" x14ac:dyDescent="0.25">
      <c r="A87" t="s">
        <v>327</v>
      </c>
      <c r="B87" s="5" t="s">
        <v>1143</v>
      </c>
      <c r="C87" s="5" t="s">
        <v>1143</v>
      </c>
      <c r="D87" t="b">
        <f t="shared" si="2"/>
        <v>0</v>
      </c>
    </row>
    <row r="88" spans="1:4" x14ac:dyDescent="0.25">
      <c r="A88" t="s">
        <v>327</v>
      </c>
      <c r="B88" s="5" t="s">
        <v>1144</v>
      </c>
      <c r="C88" s="5" t="s">
        <v>1144</v>
      </c>
      <c r="D88" t="b">
        <f t="shared" si="2"/>
        <v>0</v>
      </c>
    </row>
    <row r="89" spans="1:4" x14ac:dyDescent="0.25">
      <c r="A89" t="s">
        <v>36</v>
      </c>
      <c r="B89" s="5" t="s">
        <v>315</v>
      </c>
      <c r="C89" s="5" t="s">
        <v>315</v>
      </c>
      <c r="D89" t="b">
        <f t="shared" si="2"/>
        <v>0</v>
      </c>
    </row>
    <row r="90" spans="1:4" x14ac:dyDescent="0.25">
      <c r="A90" t="s">
        <v>36</v>
      </c>
      <c r="B90" s="5" t="s">
        <v>771</v>
      </c>
      <c r="C90" s="5" t="s">
        <v>771</v>
      </c>
      <c r="D90" t="b">
        <f t="shared" si="2"/>
        <v>0</v>
      </c>
    </row>
    <row r="91" spans="1:4" x14ac:dyDescent="0.25">
      <c r="A91" t="s">
        <v>36</v>
      </c>
      <c r="B91" s="5" t="s">
        <v>699</v>
      </c>
      <c r="C91" s="5" t="s">
        <v>699</v>
      </c>
      <c r="D91" t="b">
        <f t="shared" si="2"/>
        <v>0</v>
      </c>
    </row>
    <row r="92" spans="1:4" x14ac:dyDescent="0.25">
      <c r="A92" t="s">
        <v>36</v>
      </c>
      <c r="B92" s="5" t="s">
        <v>362</v>
      </c>
      <c r="C92" s="5" t="s">
        <v>362</v>
      </c>
      <c r="D92" t="b">
        <f t="shared" si="2"/>
        <v>0</v>
      </c>
    </row>
    <row r="93" spans="1:4" x14ac:dyDescent="0.25">
      <c r="A93" t="s">
        <v>36</v>
      </c>
      <c r="B93" s="5" t="s">
        <v>119</v>
      </c>
      <c r="C93" s="5" t="s">
        <v>119</v>
      </c>
      <c r="D93" t="b">
        <f t="shared" si="2"/>
        <v>0</v>
      </c>
    </row>
    <row r="94" spans="1:4" x14ac:dyDescent="0.25">
      <c r="A94" t="s">
        <v>36</v>
      </c>
      <c r="B94" s="5" t="s">
        <v>171</v>
      </c>
      <c r="C94" s="5" t="s">
        <v>171</v>
      </c>
      <c r="D94" t="b">
        <f t="shared" si="2"/>
        <v>0</v>
      </c>
    </row>
    <row r="95" spans="1:4" x14ac:dyDescent="0.25">
      <c r="A95" t="s">
        <v>36</v>
      </c>
      <c r="B95" s="5" t="s">
        <v>169</v>
      </c>
      <c r="C95" s="5" t="s">
        <v>1882</v>
      </c>
      <c r="D95" t="b">
        <f t="shared" si="2"/>
        <v>1</v>
      </c>
    </row>
    <row r="96" spans="1:4" x14ac:dyDescent="0.25">
      <c r="A96" t="s">
        <v>185</v>
      </c>
      <c r="B96" s="5" t="s">
        <v>1888</v>
      </c>
      <c r="C96" s="5" t="s">
        <v>1888</v>
      </c>
      <c r="D96" t="b">
        <f t="shared" si="2"/>
        <v>0</v>
      </c>
    </row>
    <row r="97" spans="1:4" x14ac:dyDescent="0.25">
      <c r="A97" t="s">
        <v>185</v>
      </c>
      <c r="B97" s="5" t="s">
        <v>559</v>
      </c>
      <c r="C97" s="5" t="s">
        <v>559</v>
      </c>
      <c r="D97" t="b">
        <f t="shared" si="2"/>
        <v>0</v>
      </c>
    </row>
    <row r="98" spans="1:4" x14ac:dyDescent="0.25">
      <c r="A98" t="s">
        <v>185</v>
      </c>
      <c r="B98" s="5" t="s">
        <v>1139</v>
      </c>
      <c r="C98" s="5" t="s">
        <v>1139</v>
      </c>
      <c r="D98" t="b">
        <f t="shared" si="2"/>
        <v>0</v>
      </c>
    </row>
    <row r="99" spans="1:4" x14ac:dyDescent="0.25">
      <c r="A99" t="s">
        <v>185</v>
      </c>
      <c r="B99" s="5" t="s">
        <v>1135</v>
      </c>
      <c r="C99" s="5" t="s">
        <v>1135</v>
      </c>
      <c r="D99" t="b">
        <f t="shared" si="2"/>
        <v>0</v>
      </c>
    </row>
    <row r="100" spans="1:4" x14ac:dyDescent="0.25">
      <c r="A100" t="s">
        <v>185</v>
      </c>
      <c r="B100" s="5" t="s">
        <v>1142</v>
      </c>
      <c r="C100" s="5" t="s">
        <v>1142</v>
      </c>
      <c r="D100" t="b">
        <f t="shared" si="2"/>
        <v>0</v>
      </c>
    </row>
    <row r="101" spans="1:4" x14ac:dyDescent="0.25">
      <c r="A101" t="s">
        <v>185</v>
      </c>
      <c r="B101" s="5" t="s">
        <v>1137</v>
      </c>
      <c r="C101" s="5" t="s">
        <v>1137</v>
      </c>
      <c r="D101" t="b">
        <f t="shared" si="2"/>
        <v>0</v>
      </c>
    </row>
    <row r="102" spans="1:4" x14ac:dyDescent="0.25">
      <c r="A102" t="s">
        <v>185</v>
      </c>
      <c r="B102" s="5" t="s">
        <v>1145</v>
      </c>
      <c r="C102" s="5" t="s">
        <v>1146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F20371D4-45E2-4D3E-AC02-1472E227E525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1E1CA7B1-AAC5-4F53-A07B-75DE8BC1E801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49CC-A81D-48AA-B5E1-4D8000409296}">
  <dimension ref="A1:G102"/>
  <sheetViews>
    <sheetView topLeftCell="A30" workbookViewId="0">
      <selection activeCell="B41" sqref="B41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2159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45</v>
      </c>
    </row>
    <row r="3" spans="1:7" x14ac:dyDescent="0.25">
      <c r="A3" s="21" t="s">
        <v>2002</v>
      </c>
      <c r="B3" s="20"/>
      <c r="C3" s="5" t="s">
        <v>2153</v>
      </c>
      <c r="D3" t="b">
        <f>B3&lt;&gt;C3</f>
        <v>1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2156</v>
      </c>
      <c r="C4" s="5" t="s">
        <v>2156</v>
      </c>
      <c r="D4" t="b">
        <f>B4&lt;&gt;C4</f>
        <v>0</v>
      </c>
    </row>
    <row r="5" spans="1:7" x14ac:dyDescent="0.25">
      <c r="A5" t="s">
        <v>28</v>
      </c>
      <c r="B5" s="5" t="s">
        <v>2157</v>
      </c>
      <c r="C5" s="5" t="s">
        <v>2157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2158</v>
      </c>
      <c r="C6" s="5" t="s">
        <v>2158</v>
      </c>
      <c r="D6" t="b">
        <f t="shared" si="0"/>
        <v>0</v>
      </c>
      <c r="F6" s="7" t="s">
        <v>2002</v>
      </c>
      <c r="G6" s="2">
        <f t="shared" ref="G6:G16" si="1">COUNTIF(A:A,F6)</f>
        <v>1</v>
      </c>
    </row>
    <row r="7" spans="1:7" x14ac:dyDescent="0.25">
      <c r="A7" t="s">
        <v>28</v>
      </c>
      <c r="B7" s="5" t="s">
        <v>2249</v>
      </c>
      <c r="C7" s="5" t="s">
        <v>319</v>
      </c>
      <c r="D7" t="b">
        <f t="shared" si="0"/>
        <v>1</v>
      </c>
      <c r="F7" s="3" t="s">
        <v>28</v>
      </c>
      <c r="G7" s="2">
        <f t="shared" si="1"/>
        <v>33</v>
      </c>
    </row>
    <row r="8" spans="1:7" x14ac:dyDescent="0.25">
      <c r="A8" t="s">
        <v>28</v>
      </c>
      <c r="B8" s="5" t="s">
        <v>140</v>
      </c>
      <c r="C8" s="5" t="s">
        <v>318</v>
      </c>
      <c r="D8" t="b">
        <f t="shared" si="0"/>
        <v>1</v>
      </c>
      <c r="F8" s="7" t="s">
        <v>34</v>
      </c>
      <c r="G8" s="2">
        <f t="shared" si="1"/>
        <v>10</v>
      </c>
    </row>
    <row r="9" spans="1:7" x14ac:dyDescent="0.25">
      <c r="A9" t="s">
        <v>28</v>
      </c>
      <c r="B9" s="5"/>
      <c r="C9" s="5" t="s">
        <v>321</v>
      </c>
      <c r="D9" t="b">
        <f t="shared" si="0"/>
        <v>1</v>
      </c>
      <c r="F9" s="7" t="s">
        <v>35</v>
      </c>
      <c r="G9" s="2">
        <f t="shared" si="1"/>
        <v>10</v>
      </c>
    </row>
    <row r="10" spans="1:7" x14ac:dyDescent="0.25">
      <c r="A10" t="s">
        <v>28</v>
      </c>
      <c r="B10" s="5" t="s">
        <v>322</v>
      </c>
      <c r="C10" s="5" t="s">
        <v>322</v>
      </c>
      <c r="D10" t="b">
        <f t="shared" si="0"/>
        <v>0</v>
      </c>
      <c r="F10" s="7" t="s">
        <v>61</v>
      </c>
      <c r="G10" s="2">
        <f t="shared" si="1"/>
        <v>4</v>
      </c>
    </row>
    <row r="11" spans="1:7" x14ac:dyDescent="0.25">
      <c r="A11" t="s">
        <v>28</v>
      </c>
      <c r="B11" s="5"/>
      <c r="C11" s="5" t="s">
        <v>2211</v>
      </c>
      <c r="D11" t="b">
        <f t="shared" si="0"/>
        <v>1</v>
      </c>
      <c r="F11" s="7" t="s">
        <v>2155</v>
      </c>
      <c r="G11" s="2">
        <f t="shared" si="1"/>
        <v>16</v>
      </c>
    </row>
    <row r="12" spans="1:7" x14ac:dyDescent="0.25">
      <c r="A12" t="s">
        <v>28</v>
      </c>
      <c r="B12" s="5"/>
      <c r="C12" s="5" t="s">
        <v>543</v>
      </c>
      <c r="D12" t="b">
        <f t="shared" si="0"/>
        <v>1</v>
      </c>
      <c r="F12" s="7" t="s">
        <v>2160</v>
      </c>
      <c r="G12" s="2">
        <f t="shared" si="1"/>
        <v>6</v>
      </c>
    </row>
    <row r="13" spans="1:7" x14ac:dyDescent="0.25">
      <c r="A13" t="s">
        <v>28</v>
      </c>
      <c r="B13" s="5"/>
      <c r="C13" s="5" t="s">
        <v>2212</v>
      </c>
      <c r="D13" t="b">
        <f t="shared" si="0"/>
        <v>1</v>
      </c>
      <c r="F13" s="7" t="s">
        <v>143</v>
      </c>
      <c r="G13" s="2">
        <f t="shared" si="1"/>
        <v>4</v>
      </c>
    </row>
    <row r="14" spans="1:7" x14ac:dyDescent="0.25">
      <c r="A14" t="s">
        <v>28</v>
      </c>
      <c r="B14" s="5" t="s">
        <v>534</v>
      </c>
      <c r="C14" s="5" t="s">
        <v>534</v>
      </c>
      <c r="D14" t="b">
        <f t="shared" si="0"/>
        <v>0</v>
      </c>
      <c r="F14" s="3" t="s">
        <v>2220</v>
      </c>
      <c r="G14" s="2">
        <f t="shared" si="1"/>
        <v>8</v>
      </c>
    </row>
    <row r="15" spans="1:7" x14ac:dyDescent="0.25">
      <c r="A15" t="s">
        <v>28</v>
      </c>
      <c r="B15" s="5" t="s">
        <v>133</v>
      </c>
      <c r="C15" s="5" t="s">
        <v>133</v>
      </c>
      <c r="D15" t="b">
        <f t="shared" si="0"/>
        <v>0</v>
      </c>
      <c r="F15" s="3" t="s">
        <v>2221</v>
      </c>
      <c r="G15" s="2">
        <f t="shared" si="1"/>
        <v>4</v>
      </c>
    </row>
    <row r="16" spans="1:7" x14ac:dyDescent="0.25">
      <c r="A16" t="s">
        <v>28</v>
      </c>
      <c r="B16" s="5"/>
      <c r="C16" s="5" t="s">
        <v>2294</v>
      </c>
      <c r="D16" t="b">
        <f t="shared" si="0"/>
        <v>1</v>
      </c>
      <c r="F16" s="7" t="s">
        <v>59</v>
      </c>
      <c r="G16" s="2">
        <f t="shared" si="1"/>
        <v>4</v>
      </c>
    </row>
    <row r="17" spans="1:7" x14ac:dyDescent="0.25">
      <c r="A17" t="s">
        <v>28</v>
      </c>
      <c r="B17" s="5"/>
      <c r="C17" s="5" t="s">
        <v>253</v>
      </c>
      <c r="D17" t="b">
        <f t="shared" si="0"/>
        <v>1</v>
      </c>
      <c r="F17" s="4"/>
      <c r="G17" s="2"/>
    </row>
    <row r="18" spans="1:7" x14ac:dyDescent="0.25">
      <c r="A18" t="s">
        <v>28</v>
      </c>
      <c r="B18" s="5" t="s">
        <v>2204</v>
      </c>
      <c r="C18" s="5" t="s">
        <v>2204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/>
      <c r="C19" s="5" t="s">
        <v>135</v>
      </c>
      <c r="D19" t="b">
        <f t="shared" si="0"/>
        <v>1</v>
      </c>
    </row>
    <row r="20" spans="1:7" x14ac:dyDescent="0.25">
      <c r="A20" t="s">
        <v>28</v>
      </c>
      <c r="B20" s="5" t="s">
        <v>1337</v>
      </c>
      <c r="C20" s="5" t="s">
        <v>2205</v>
      </c>
      <c r="D20" t="b">
        <f t="shared" si="0"/>
        <v>1</v>
      </c>
    </row>
    <row r="21" spans="1:7" x14ac:dyDescent="0.25">
      <c r="A21" t="s">
        <v>28</v>
      </c>
      <c r="B21" s="5"/>
      <c r="C21" s="5" t="s">
        <v>2210</v>
      </c>
      <c r="D21" t="b">
        <f t="shared" si="0"/>
        <v>1</v>
      </c>
    </row>
    <row r="22" spans="1:7" x14ac:dyDescent="0.25">
      <c r="A22" t="s">
        <v>28</v>
      </c>
      <c r="B22" s="5" t="s">
        <v>132</v>
      </c>
      <c r="C22" s="5" t="s">
        <v>132</v>
      </c>
      <c r="D22" t="b">
        <f t="shared" si="0"/>
        <v>0</v>
      </c>
    </row>
    <row r="23" spans="1:7" x14ac:dyDescent="0.25">
      <c r="A23" t="s">
        <v>28</v>
      </c>
      <c r="B23" s="5"/>
      <c r="C23" s="5" t="s">
        <v>1279</v>
      </c>
      <c r="D23" t="b">
        <f t="shared" si="0"/>
        <v>1</v>
      </c>
    </row>
    <row r="24" spans="1:7" x14ac:dyDescent="0.25">
      <c r="A24" t="s">
        <v>28</v>
      </c>
      <c r="B24" s="5" t="s">
        <v>79</v>
      </c>
      <c r="C24" s="5" t="s">
        <v>1899</v>
      </c>
      <c r="D24" t="b">
        <f t="shared" si="0"/>
        <v>1</v>
      </c>
    </row>
    <row r="25" spans="1:7" x14ac:dyDescent="0.25">
      <c r="A25" t="s">
        <v>28</v>
      </c>
      <c r="B25" s="5"/>
      <c r="C25" s="5" t="s">
        <v>2203</v>
      </c>
      <c r="D25" t="b">
        <f t="shared" si="0"/>
        <v>1</v>
      </c>
    </row>
    <row r="26" spans="1:7" x14ac:dyDescent="0.25">
      <c r="A26" t="s">
        <v>28</v>
      </c>
      <c r="B26" s="5" t="s">
        <v>33</v>
      </c>
      <c r="C26" s="5" t="s">
        <v>33</v>
      </c>
      <c r="D26" t="b">
        <f t="shared" si="0"/>
        <v>0</v>
      </c>
    </row>
    <row r="27" spans="1:7" x14ac:dyDescent="0.25">
      <c r="A27" t="s">
        <v>28</v>
      </c>
      <c r="B27" s="5" t="s">
        <v>60</v>
      </c>
      <c r="C27" s="5" t="s">
        <v>60</v>
      </c>
      <c r="D27" t="b">
        <f t="shared" si="0"/>
        <v>0</v>
      </c>
    </row>
    <row r="28" spans="1:7" x14ac:dyDescent="0.25">
      <c r="A28" t="s">
        <v>28</v>
      </c>
      <c r="B28" s="5" t="s">
        <v>79</v>
      </c>
      <c r="C28" s="5" t="s">
        <v>79</v>
      </c>
      <c r="D28" t="b">
        <f t="shared" si="0"/>
        <v>0</v>
      </c>
    </row>
    <row r="29" spans="1:7" x14ac:dyDescent="0.25">
      <c r="A29" t="s">
        <v>28</v>
      </c>
      <c r="B29" s="5" t="s">
        <v>79</v>
      </c>
      <c r="C29" s="5" t="s">
        <v>79</v>
      </c>
      <c r="D29" t="b">
        <f t="shared" si="0"/>
        <v>0</v>
      </c>
    </row>
    <row r="30" spans="1:7" x14ac:dyDescent="0.25">
      <c r="A30" t="s">
        <v>28</v>
      </c>
      <c r="B30" s="5" t="s">
        <v>79</v>
      </c>
      <c r="C30" s="5" t="s">
        <v>79</v>
      </c>
      <c r="D30" t="b">
        <f t="shared" si="0"/>
        <v>0</v>
      </c>
    </row>
    <row r="31" spans="1:7" x14ac:dyDescent="0.25">
      <c r="A31" t="s">
        <v>28</v>
      </c>
      <c r="B31" s="5" t="s">
        <v>197</v>
      </c>
      <c r="C31" s="5" t="s">
        <v>197</v>
      </c>
      <c r="D31" t="b">
        <f t="shared" si="0"/>
        <v>0</v>
      </c>
    </row>
    <row r="32" spans="1:7" x14ac:dyDescent="0.25">
      <c r="A32" t="s">
        <v>28</v>
      </c>
      <c r="B32" s="5" t="s">
        <v>197</v>
      </c>
      <c r="C32" s="5" t="s">
        <v>197</v>
      </c>
      <c r="D32" t="b">
        <f t="shared" si="0"/>
        <v>0</v>
      </c>
    </row>
    <row r="33" spans="1:4" x14ac:dyDescent="0.25">
      <c r="A33" t="s">
        <v>28</v>
      </c>
      <c r="B33" s="5" t="s">
        <v>197</v>
      </c>
      <c r="C33" s="5" t="s">
        <v>197</v>
      </c>
      <c r="D33" t="b">
        <f t="shared" si="0"/>
        <v>0</v>
      </c>
    </row>
    <row r="34" spans="1:4" x14ac:dyDescent="0.25">
      <c r="A34" t="s">
        <v>28</v>
      </c>
      <c r="B34" s="5" t="s">
        <v>145</v>
      </c>
      <c r="C34" s="5" t="s">
        <v>145</v>
      </c>
      <c r="D34" t="b">
        <f t="shared" si="0"/>
        <v>0</v>
      </c>
    </row>
    <row r="35" spans="1:4" x14ac:dyDescent="0.25">
      <c r="A35" t="s">
        <v>28</v>
      </c>
      <c r="B35" s="5" t="s">
        <v>145</v>
      </c>
      <c r="C35" s="5" t="s">
        <v>145</v>
      </c>
      <c r="D35" t="b">
        <f t="shared" si="0"/>
        <v>0</v>
      </c>
    </row>
    <row r="36" spans="1:4" x14ac:dyDescent="0.25">
      <c r="A36" t="s">
        <v>28</v>
      </c>
      <c r="B36" s="5" t="s">
        <v>145</v>
      </c>
      <c r="C36" s="5" t="s">
        <v>145</v>
      </c>
      <c r="D36" t="b">
        <f t="shared" si="0"/>
        <v>0</v>
      </c>
    </row>
    <row r="37" spans="1:4" x14ac:dyDescent="0.25">
      <c r="A37" t="s">
        <v>34</v>
      </c>
      <c r="B37" s="5" t="s">
        <v>150</v>
      </c>
      <c r="C37" s="5" t="s">
        <v>198</v>
      </c>
      <c r="D37" t="b">
        <f t="shared" si="0"/>
        <v>1</v>
      </c>
    </row>
    <row r="38" spans="1:4" x14ac:dyDescent="0.25">
      <c r="A38" t="s">
        <v>34</v>
      </c>
      <c r="B38" s="5" t="s">
        <v>201</v>
      </c>
      <c r="C38" s="5" t="s">
        <v>201</v>
      </c>
      <c r="D38" t="b">
        <f t="shared" si="0"/>
        <v>0</v>
      </c>
    </row>
    <row r="39" spans="1:4" x14ac:dyDescent="0.25">
      <c r="A39" t="s">
        <v>34</v>
      </c>
      <c r="B39" s="5" t="s">
        <v>147</v>
      </c>
      <c r="C39" s="5" t="s">
        <v>147</v>
      </c>
      <c r="D39" t="b">
        <f t="shared" si="0"/>
        <v>0</v>
      </c>
    </row>
    <row r="40" spans="1:4" x14ac:dyDescent="0.25">
      <c r="A40" t="s">
        <v>34</v>
      </c>
      <c r="B40" s="5" t="s">
        <v>344</v>
      </c>
      <c r="C40" s="5" t="s">
        <v>344</v>
      </c>
      <c r="D40" t="b">
        <f t="shared" si="0"/>
        <v>0</v>
      </c>
    </row>
    <row r="41" spans="1:4" x14ac:dyDescent="0.25">
      <c r="A41" t="s">
        <v>34</v>
      </c>
      <c r="B41" s="5" t="s">
        <v>199</v>
      </c>
      <c r="C41" s="5" t="s">
        <v>199</v>
      </c>
      <c r="D41" t="b">
        <f t="shared" si="0"/>
        <v>0</v>
      </c>
    </row>
    <row r="42" spans="1:4" x14ac:dyDescent="0.25">
      <c r="A42" t="s">
        <v>34</v>
      </c>
      <c r="B42" s="5" t="s">
        <v>2232</v>
      </c>
      <c r="C42" s="5" t="s">
        <v>2163</v>
      </c>
      <c r="D42" t="b">
        <f t="shared" si="0"/>
        <v>1</v>
      </c>
    </row>
    <row r="43" spans="1:4" x14ac:dyDescent="0.25">
      <c r="A43" t="s">
        <v>34</v>
      </c>
      <c r="B43" s="5" t="s">
        <v>2231</v>
      </c>
      <c r="C43" s="5" t="s">
        <v>2162</v>
      </c>
      <c r="D43" t="b">
        <f t="shared" si="0"/>
        <v>1</v>
      </c>
    </row>
    <row r="44" spans="1:4" x14ac:dyDescent="0.25">
      <c r="A44" t="s">
        <v>34</v>
      </c>
      <c r="B44" s="5" t="s">
        <v>1210</v>
      </c>
      <c r="C44" s="5" t="s">
        <v>1210</v>
      </c>
      <c r="D44" t="b">
        <f t="shared" si="0"/>
        <v>0</v>
      </c>
    </row>
    <row r="45" spans="1:4" x14ac:dyDescent="0.25">
      <c r="A45" t="s">
        <v>34</v>
      </c>
      <c r="B45" s="5" t="s">
        <v>2224</v>
      </c>
      <c r="C45" s="5" t="s">
        <v>84</v>
      </c>
      <c r="D45" t="b">
        <f t="shared" si="0"/>
        <v>1</v>
      </c>
    </row>
    <row r="46" spans="1:4" x14ac:dyDescent="0.25">
      <c r="A46" t="s">
        <v>34</v>
      </c>
      <c r="B46" s="5" t="s">
        <v>2281</v>
      </c>
      <c r="C46" s="5" t="s">
        <v>2281</v>
      </c>
      <c r="D46" t="b">
        <f t="shared" si="0"/>
        <v>0</v>
      </c>
    </row>
    <row r="47" spans="1:4" x14ac:dyDescent="0.25">
      <c r="A47" t="s">
        <v>35</v>
      </c>
      <c r="B47" s="5" t="s">
        <v>2225</v>
      </c>
      <c r="C47" s="5" t="s">
        <v>2206</v>
      </c>
      <c r="D47" t="b">
        <f t="shared" si="0"/>
        <v>1</v>
      </c>
    </row>
    <row r="48" spans="1:4" x14ac:dyDescent="0.25">
      <c r="A48" t="s">
        <v>35</v>
      </c>
      <c r="B48" s="5" t="s">
        <v>2266</v>
      </c>
      <c r="C48" s="5" t="s">
        <v>2173</v>
      </c>
      <c r="D48" t="b">
        <f t="shared" si="0"/>
        <v>1</v>
      </c>
    </row>
    <row r="49" spans="1:4" x14ac:dyDescent="0.25">
      <c r="A49" t="s">
        <v>35</v>
      </c>
      <c r="B49" s="5" t="s">
        <v>1897</v>
      </c>
      <c r="C49" s="5" t="s">
        <v>1897</v>
      </c>
      <c r="D49" t="b">
        <f t="shared" si="0"/>
        <v>0</v>
      </c>
    </row>
    <row r="50" spans="1:4" x14ac:dyDescent="0.25">
      <c r="A50" t="s">
        <v>35</v>
      </c>
      <c r="B50" s="5" t="s">
        <v>2245</v>
      </c>
      <c r="C50" s="5" t="s">
        <v>2201</v>
      </c>
      <c r="D50" t="b">
        <f t="shared" si="0"/>
        <v>1</v>
      </c>
    </row>
    <row r="51" spans="1:4" x14ac:dyDescent="0.25">
      <c r="A51" t="s">
        <v>35</v>
      </c>
      <c r="B51" s="5" t="s">
        <v>2199</v>
      </c>
      <c r="C51" s="5" t="s">
        <v>2199</v>
      </c>
      <c r="D51" t="b">
        <f t="shared" si="0"/>
        <v>0</v>
      </c>
    </row>
    <row r="52" spans="1:4" x14ac:dyDescent="0.25">
      <c r="A52" t="s">
        <v>35</v>
      </c>
      <c r="B52" s="5" t="s">
        <v>2230</v>
      </c>
      <c r="C52" s="5" t="s">
        <v>2195</v>
      </c>
      <c r="D52" t="b">
        <f t="shared" si="0"/>
        <v>1</v>
      </c>
    </row>
    <row r="53" spans="1:4" x14ac:dyDescent="0.25">
      <c r="A53" t="s">
        <v>35</v>
      </c>
      <c r="B53" s="5" t="s">
        <v>2202</v>
      </c>
      <c r="C53" s="5" t="s">
        <v>2202</v>
      </c>
      <c r="D53" t="b">
        <f t="shared" si="0"/>
        <v>0</v>
      </c>
    </row>
    <row r="54" spans="1:4" x14ac:dyDescent="0.25">
      <c r="A54" t="s">
        <v>35</v>
      </c>
      <c r="B54" s="5" t="s">
        <v>2255</v>
      </c>
      <c r="C54" s="5" t="s">
        <v>1916</v>
      </c>
      <c r="D54" t="b">
        <f t="shared" si="0"/>
        <v>1</v>
      </c>
    </row>
    <row r="55" spans="1:4" x14ac:dyDescent="0.25">
      <c r="A55" t="s">
        <v>35</v>
      </c>
      <c r="B55" s="5" t="s">
        <v>2246</v>
      </c>
      <c r="C55" s="5" t="s">
        <v>1683</v>
      </c>
      <c r="D55" t="b">
        <f t="shared" si="0"/>
        <v>1</v>
      </c>
    </row>
    <row r="56" spans="1:4" x14ac:dyDescent="0.25">
      <c r="A56" t="s">
        <v>35</v>
      </c>
      <c r="B56" s="5" t="s">
        <v>2165</v>
      </c>
      <c r="C56" s="5" t="s">
        <v>2165</v>
      </c>
      <c r="D56" t="b">
        <f t="shared" si="0"/>
        <v>0</v>
      </c>
    </row>
    <row r="57" spans="1:4" x14ac:dyDescent="0.25">
      <c r="A57" t="s">
        <v>61</v>
      </c>
      <c r="B57" s="5" t="s">
        <v>2263</v>
      </c>
      <c r="C57" s="5" t="s">
        <v>1365</v>
      </c>
      <c r="D57" t="b">
        <f t="shared" si="0"/>
        <v>1</v>
      </c>
    </row>
    <row r="58" spans="1:4" x14ac:dyDescent="0.25">
      <c r="A58" t="s">
        <v>61</v>
      </c>
      <c r="B58" s="5"/>
      <c r="C58" s="5" t="s">
        <v>1810</v>
      </c>
      <c r="D58" t="b">
        <f t="shared" si="0"/>
        <v>1</v>
      </c>
    </row>
    <row r="59" spans="1:4" x14ac:dyDescent="0.25">
      <c r="A59" t="s">
        <v>61</v>
      </c>
      <c r="B59" s="5" t="s">
        <v>1623</v>
      </c>
      <c r="C59" s="5" t="s">
        <v>355</v>
      </c>
      <c r="D59" t="b">
        <f t="shared" si="0"/>
        <v>1</v>
      </c>
    </row>
    <row r="60" spans="1:4" x14ac:dyDescent="0.25">
      <c r="A60" t="s">
        <v>61</v>
      </c>
      <c r="B60" s="5"/>
      <c r="C60" s="5" t="s">
        <v>121</v>
      </c>
      <c r="D60" t="b">
        <f t="shared" si="0"/>
        <v>1</v>
      </c>
    </row>
    <row r="61" spans="1:4" x14ac:dyDescent="0.25">
      <c r="A61" t="s">
        <v>59</v>
      </c>
      <c r="B61" s="5"/>
      <c r="C61" s="5" t="s">
        <v>2209</v>
      </c>
      <c r="D61" t="b">
        <f t="shared" si="0"/>
        <v>1</v>
      </c>
    </row>
    <row r="62" spans="1:4" x14ac:dyDescent="0.25">
      <c r="A62" t="s">
        <v>59</v>
      </c>
      <c r="B62" s="5"/>
      <c r="C62" s="5" t="s">
        <v>2208</v>
      </c>
      <c r="D62" t="b">
        <f t="shared" si="0"/>
        <v>1</v>
      </c>
    </row>
    <row r="63" spans="1:4" x14ac:dyDescent="0.25">
      <c r="A63" t="s">
        <v>59</v>
      </c>
      <c r="B63" s="5" t="s">
        <v>695</v>
      </c>
      <c r="C63" s="5" t="s">
        <v>695</v>
      </c>
      <c r="D63" t="b">
        <f t="shared" si="0"/>
        <v>0</v>
      </c>
    </row>
    <row r="64" spans="1:4" x14ac:dyDescent="0.25">
      <c r="A64" t="s">
        <v>59</v>
      </c>
      <c r="B64" s="5"/>
      <c r="C64" s="5" t="s">
        <v>2200</v>
      </c>
      <c r="D64" t="b">
        <f t="shared" si="0"/>
        <v>1</v>
      </c>
    </row>
    <row r="65" spans="1:4" x14ac:dyDescent="0.25">
      <c r="A65" t="s">
        <v>2155</v>
      </c>
      <c r="B65" s="5" t="s">
        <v>2308</v>
      </c>
      <c r="C65" s="5" t="s">
        <v>2196</v>
      </c>
      <c r="D65" t="b">
        <f t="shared" si="0"/>
        <v>1</v>
      </c>
    </row>
    <row r="66" spans="1:4" x14ac:dyDescent="0.25">
      <c r="A66" t="s">
        <v>2155</v>
      </c>
      <c r="B66" s="5"/>
      <c r="C66" s="5" t="s">
        <v>2197</v>
      </c>
      <c r="D66" t="b">
        <f t="shared" si="0"/>
        <v>1</v>
      </c>
    </row>
    <row r="67" spans="1:4" x14ac:dyDescent="0.25">
      <c r="A67" t="s">
        <v>2155</v>
      </c>
      <c r="B67" s="5" t="s">
        <v>2164</v>
      </c>
      <c r="C67" s="5" t="s">
        <v>2164</v>
      </c>
      <c r="D67" t="b">
        <f t="shared" si="0"/>
        <v>0</v>
      </c>
    </row>
    <row r="68" spans="1:4" x14ac:dyDescent="0.25">
      <c r="A68" t="s">
        <v>2155</v>
      </c>
      <c r="B68" s="5" t="s">
        <v>2166</v>
      </c>
      <c r="C68" s="5" t="s">
        <v>2166</v>
      </c>
      <c r="D68" t="b">
        <f t="shared" si="0"/>
        <v>0</v>
      </c>
    </row>
    <row r="69" spans="1:4" x14ac:dyDescent="0.25">
      <c r="A69" t="s">
        <v>2155</v>
      </c>
      <c r="B69" s="5" t="s">
        <v>2169</v>
      </c>
      <c r="C69" s="5" t="s">
        <v>2169</v>
      </c>
      <c r="D69" t="b">
        <f t="shared" ref="D69:D102" si="2">B69&lt;&gt;C69</f>
        <v>0</v>
      </c>
    </row>
    <row r="70" spans="1:4" x14ac:dyDescent="0.25">
      <c r="A70" t="s">
        <v>2155</v>
      </c>
      <c r="B70" s="5" t="s">
        <v>2188</v>
      </c>
      <c r="C70" s="5" t="s">
        <v>2188</v>
      </c>
      <c r="D70" t="b">
        <f t="shared" si="2"/>
        <v>0</v>
      </c>
    </row>
    <row r="71" spans="1:4" x14ac:dyDescent="0.25">
      <c r="A71" t="s">
        <v>2155</v>
      </c>
      <c r="B71" s="5" t="s">
        <v>2190</v>
      </c>
      <c r="C71" s="5" t="s">
        <v>2190</v>
      </c>
      <c r="D71" t="b">
        <f t="shared" si="2"/>
        <v>0</v>
      </c>
    </row>
    <row r="72" spans="1:4" x14ac:dyDescent="0.25">
      <c r="A72" t="s">
        <v>2155</v>
      </c>
      <c r="B72" s="5" t="s">
        <v>2189</v>
      </c>
      <c r="C72" s="5" t="s">
        <v>2189</v>
      </c>
      <c r="D72" t="b">
        <f t="shared" si="2"/>
        <v>0</v>
      </c>
    </row>
    <row r="73" spans="1:4" x14ac:dyDescent="0.25">
      <c r="A73" t="s">
        <v>2155</v>
      </c>
      <c r="B73" s="5" t="s">
        <v>2191</v>
      </c>
      <c r="C73" s="5" t="s">
        <v>2191</v>
      </c>
      <c r="D73" t="b">
        <f t="shared" si="2"/>
        <v>0</v>
      </c>
    </row>
    <row r="74" spans="1:4" x14ac:dyDescent="0.25">
      <c r="A74" t="s">
        <v>2155</v>
      </c>
      <c r="B74" s="5" t="s">
        <v>2192</v>
      </c>
      <c r="C74" s="5" t="s">
        <v>2192</v>
      </c>
      <c r="D74" t="b">
        <f t="shared" si="2"/>
        <v>0</v>
      </c>
    </row>
    <row r="75" spans="1:4" x14ac:dyDescent="0.25">
      <c r="A75" t="s">
        <v>2155</v>
      </c>
      <c r="B75" s="5" t="s">
        <v>2194</v>
      </c>
      <c r="C75" s="5" t="s">
        <v>2194</v>
      </c>
      <c r="D75" t="b">
        <f t="shared" si="2"/>
        <v>0</v>
      </c>
    </row>
    <row r="76" spans="1:4" x14ac:dyDescent="0.25">
      <c r="A76" t="s">
        <v>2155</v>
      </c>
      <c r="B76" s="5" t="s">
        <v>2193</v>
      </c>
      <c r="C76" s="5" t="s">
        <v>2193</v>
      </c>
      <c r="D76" t="b">
        <f t="shared" si="2"/>
        <v>0</v>
      </c>
    </row>
    <row r="77" spans="1:4" x14ac:dyDescent="0.25">
      <c r="A77" t="s">
        <v>2155</v>
      </c>
      <c r="B77" s="5" t="s">
        <v>574</v>
      </c>
      <c r="C77" s="5" t="s">
        <v>574</v>
      </c>
      <c r="D77" t="b">
        <f t="shared" si="2"/>
        <v>0</v>
      </c>
    </row>
    <row r="78" spans="1:4" x14ac:dyDescent="0.25">
      <c r="A78" t="s">
        <v>2155</v>
      </c>
      <c r="B78" s="5" t="s">
        <v>2170</v>
      </c>
      <c r="C78" s="5" t="s">
        <v>2170</v>
      </c>
      <c r="D78" t="b">
        <f t="shared" si="2"/>
        <v>0</v>
      </c>
    </row>
    <row r="79" spans="1:4" x14ac:dyDescent="0.25">
      <c r="A79" t="s">
        <v>2155</v>
      </c>
      <c r="B79" s="5" t="s">
        <v>2185</v>
      </c>
      <c r="C79" s="5" t="s">
        <v>2185</v>
      </c>
      <c r="D79" t="b">
        <f t="shared" si="2"/>
        <v>0</v>
      </c>
    </row>
    <row r="80" spans="1:4" x14ac:dyDescent="0.25">
      <c r="A80" t="s">
        <v>2155</v>
      </c>
      <c r="B80" s="5" t="s">
        <v>390</v>
      </c>
      <c r="C80" s="5" t="s">
        <v>390</v>
      </c>
      <c r="D80" t="b">
        <f t="shared" si="2"/>
        <v>0</v>
      </c>
    </row>
    <row r="81" spans="1:6" x14ac:dyDescent="0.25">
      <c r="A81" t="s">
        <v>2160</v>
      </c>
      <c r="B81" s="5" t="s">
        <v>2161</v>
      </c>
      <c r="C81" s="5" t="s">
        <v>2161</v>
      </c>
      <c r="D81" t="b">
        <f t="shared" si="2"/>
        <v>0</v>
      </c>
    </row>
    <row r="82" spans="1:6" x14ac:dyDescent="0.25">
      <c r="A82" t="s">
        <v>2160</v>
      </c>
      <c r="B82" s="5" t="s">
        <v>1793</v>
      </c>
      <c r="C82" s="5" t="s">
        <v>1793</v>
      </c>
      <c r="D82" t="b">
        <f t="shared" si="2"/>
        <v>0</v>
      </c>
    </row>
    <row r="83" spans="1:6" x14ac:dyDescent="0.25">
      <c r="A83" t="s">
        <v>2160</v>
      </c>
      <c r="B83" s="5" t="s">
        <v>2171</v>
      </c>
      <c r="C83" s="5" t="s">
        <v>2171</v>
      </c>
      <c r="D83" t="b">
        <f t="shared" si="2"/>
        <v>0</v>
      </c>
    </row>
    <row r="84" spans="1:6" x14ac:dyDescent="0.25">
      <c r="A84" t="s">
        <v>2160</v>
      </c>
      <c r="B84" s="5" t="s">
        <v>2172</v>
      </c>
      <c r="C84" s="5" t="s">
        <v>2172</v>
      </c>
      <c r="D84" t="b">
        <f t="shared" si="2"/>
        <v>0</v>
      </c>
    </row>
    <row r="85" spans="1:6" x14ac:dyDescent="0.25">
      <c r="A85" t="s">
        <v>2160</v>
      </c>
      <c r="B85" s="5" t="s">
        <v>1901</v>
      </c>
      <c r="C85" s="5" t="s">
        <v>1901</v>
      </c>
      <c r="D85" t="b">
        <f t="shared" si="2"/>
        <v>0</v>
      </c>
    </row>
    <row r="86" spans="1:6" x14ac:dyDescent="0.25">
      <c r="A86" t="s">
        <v>2160</v>
      </c>
      <c r="B86" s="5" t="s">
        <v>2247</v>
      </c>
      <c r="C86" s="5" t="s">
        <v>2168</v>
      </c>
      <c r="D86" t="b">
        <f t="shared" si="2"/>
        <v>1</v>
      </c>
    </row>
    <row r="87" spans="1:6" x14ac:dyDescent="0.25">
      <c r="A87" t="s">
        <v>143</v>
      </c>
      <c r="B87" s="5" t="s">
        <v>2207</v>
      </c>
      <c r="C87" s="5" t="s">
        <v>2207</v>
      </c>
      <c r="D87" t="b">
        <f t="shared" si="2"/>
        <v>0</v>
      </c>
    </row>
    <row r="88" spans="1:6" x14ac:dyDescent="0.25">
      <c r="A88" t="s">
        <v>143</v>
      </c>
      <c r="B88" s="5" t="s">
        <v>2252</v>
      </c>
      <c r="C88" s="5" t="s">
        <v>240</v>
      </c>
      <c r="D88" t="b">
        <f t="shared" si="2"/>
        <v>1</v>
      </c>
    </row>
    <row r="89" spans="1:6" x14ac:dyDescent="0.25">
      <c r="A89" t="s">
        <v>143</v>
      </c>
      <c r="B89" s="5"/>
      <c r="C89" s="5" t="s">
        <v>2218</v>
      </c>
      <c r="D89" t="b">
        <f t="shared" si="2"/>
        <v>1</v>
      </c>
    </row>
    <row r="90" spans="1:6" x14ac:dyDescent="0.25">
      <c r="A90" t="s">
        <v>143</v>
      </c>
      <c r="B90" s="5" t="s">
        <v>2227</v>
      </c>
      <c r="C90" s="5" t="s">
        <v>2174</v>
      </c>
      <c r="D90" t="b">
        <f t="shared" si="2"/>
        <v>1</v>
      </c>
    </row>
    <row r="91" spans="1:6" x14ac:dyDescent="0.25">
      <c r="A91" t="s">
        <v>2220</v>
      </c>
      <c r="B91" s="5" t="s">
        <v>2226</v>
      </c>
      <c r="C91" s="5"/>
      <c r="D91" t="b">
        <f t="shared" si="2"/>
        <v>1</v>
      </c>
      <c r="F91" s="3" t="s">
        <v>2167</v>
      </c>
    </row>
    <row r="92" spans="1:6" x14ac:dyDescent="0.25">
      <c r="A92" t="s">
        <v>2220</v>
      </c>
      <c r="B92" s="5"/>
      <c r="C92" s="5"/>
      <c r="D92" t="b">
        <f t="shared" si="2"/>
        <v>0</v>
      </c>
    </row>
    <row r="93" spans="1:6" x14ac:dyDescent="0.25">
      <c r="A93" t="s">
        <v>2220</v>
      </c>
      <c r="B93" s="5" t="s">
        <v>2261</v>
      </c>
      <c r="C93" s="5"/>
      <c r="D93" t="b">
        <f t="shared" si="2"/>
        <v>1</v>
      </c>
    </row>
    <row r="94" spans="1:6" x14ac:dyDescent="0.25">
      <c r="A94" t="s">
        <v>2220</v>
      </c>
      <c r="B94" s="5" t="s">
        <v>2257</v>
      </c>
      <c r="C94" s="5" t="s">
        <v>2215</v>
      </c>
      <c r="D94" t="b">
        <f t="shared" si="2"/>
        <v>1</v>
      </c>
    </row>
    <row r="95" spans="1:6" x14ac:dyDescent="0.25">
      <c r="A95" t="s">
        <v>2220</v>
      </c>
      <c r="B95" s="5" t="s">
        <v>2260</v>
      </c>
      <c r="C95" s="5" t="s">
        <v>2216</v>
      </c>
      <c r="D95" t="b">
        <f t="shared" si="2"/>
        <v>1</v>
      </c>
    </row>
    <row r="96" spans="1:6" x14ac:dyDescent="0.25">
      <c r="A96" t="s">
        <v>2220</v>
      </c>
      <c r="B96" s="5" t="s">
        <v>2262</v>
      </c>
      <c r="C96" s="5" t="s">
        <v>2217</v>
      </c>
      <c r="D96" t="b">
        <f t="shared" si="2"/>
        <v>1</v>
      </c>
    </row>
    <row r="97" spans="1:4" x14ac:dyDescent="0.25">
      <c r="A97" t="s">
        <v>2220</v>
      </c>
      <c r="B97" s="5" t="s">
        <v>2268</v>
      </c>
      <c r="C97" s="5" t="s">
        <v>2219</v>
      </c>
      <c r="D97" t="b">
        <f t="shared" si="2"/>
        <v>1</v>
      </c>
    </row>
    <row r="98" spans="1:4" x14ac:dyDescent="0.25">
      <c r="A98" t="s">
        <v>2220</v>
      </c>
      <c r="B98" s="5"/>
      <c r="C98" s="5" t="s">
        <v>2214</v>
      </c>
      <c r="D98" t="b">
        <f t="shared" si="2"/>
        <v>1</v>
      </c>
    </row>
    <row r="99" spans="1:4" x14ac:dyDescent="0.25">
      <c r="A99" t="s">
        <v>2221</v>
      </c>
      <c r="B99" s="5" t="s">
        <v>2213</v>
      </c>
      <c r="C99" s="5" t="s">
        <v>2213</v>
      </c>
      <c r="D99" t="b">
        <f t="shared" si="2"/>
        <v>0</v>
      </c>
    </row>
    <row r="100" spans="1:4" x14ac:dyDescent="0.25">
      <c r="A100" t="s">
        <v>2221</v>
      </c>
      <c r="B100" s="5" t="s">
        <v>2198</v>
      </c>
      <c r="C100" s="5" t="s">
        <v>2198</v>
      </c>
      <c r="D100" t="b">
        <f t="shared" si="2"/>
        <v>0</v>
      </c>
    </row>
    <row r="101" spans="1:4" x14ac:dyDescent="0.25">
      <c r="A101" t="s">
        <v>2221</v>
      </c>
      <c r="B101" s="5" t="s">
        <v>2186</v>
      </c>
      <c r="C101" s="5" t="s">
        <v>2186</v>
      </c>
      <c r="D101" t="b">
        <f t="shared" si="2"/>
        <v>0</v>
      </c>
    </row>
    <row r="102" spans="1:4" x14ac:dyDescent="0.25">
      <c r="A102" t="s">
        <v>2221</v>
      </c>
      <c r="B102" s="5" t="s">
        <v>2187</v>
      </c>
      <c r="C102" s="5" t="s">
        <v>2187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3AE54A45-7A9C-4858-B8DE-B71025CC8E2A}">
            <xm:f>ISERROR(SEARCH(A3,B3))</xm:f>
            <xm:f>A3</xm:f>
            <x14:dxf>
              <fill>
                <patternFill>
                  <bgColor theme="5" tint="0.79998168889431442"/>
                </patternFill>
              </fill>
            </x14:dxf>
          </x14:cfRule>
          <xm:sqref>B3 C3:C102</xm:sqref>
        </x14:conditionalFormatting>
        <x14:conditionalFormatting xmlns:xm="http://schemas.microsoft.com/office/excel/2006/main">
          <x14:cfRule type="notContainsText" priority="2" operator="notContains" id="{0161277E-191C-4449-AF3C-5B39DAE46527}">
            <xm:f>ISERROR(SEARCH(C4,B4))</xm:f>
            <xm:f>C4</xm:f>
            <x14:dxf>
              <fill>
                <patternFill>
                  <bgColor theme="5" tint="0.79998168889431442"/>
                </patternFill>
              </fill>
            </x14:dxf>
          </x14:cfRule>
          <xm:sqref>B4:B102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EFDE-6504-40DC-97A6-AE499BEA990E}">
  <sheetPr codeName="Planilha15"/>
  <dimension ref="A1:G102"/>
  <sheetViews>
    <sheetView workbookViewId="0">
      <selection activeCell="K20" sqref="K20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12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11</v>
      </c>
    </row>
    <row r="3" spans="1:7" x14ac:dyDescent="0.25">
      <c r="A3" s="21" t="s">
        <v>2002</v>
      </c>
      <c r="B3" s="5" t="s">
        <v>2032</v>
      </c>
      <c r="C3" s="5" t="s">
        <v>2032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322</v>
      </c>
      <c r="C4" s="5" t="s">
        <v>322</v>
      </c>
      <c r="D4" t="b">
        <f>B4&lt;&gt;C4</f>
        <v>0</v>
      </c>
    </row>
    <row r="5" spans="1:7" x14ac:dyDescent="0.25">
      <c r="A5" t="s">
        <v>28</v>
      </c>
      <c r="B5" s="5" t="s">
        <v>77</v>
      </c>
      <c r="C5" s="5" t="s">
        <v>669</v>
      </c>
      <c r="D5" t="b">
        <f t="shared" ref="D5:D68" si="0">B5&lt;&gt;C5</f>
        <v>1</v>
      </c>
      <c r="F5" s="6" t="s">
        <v>32</v>
      </c>
      <c r="G5" s="1"/>
    </row>
    <row r="6" spans="1:7" x14ac:dyDescent="0.25">
      <c r="A6" t="s">
        <v>28</v>
      </c>
      <c r="B6" s="5" t="s">
        <v>730</v>
      </c>
      <c r="C6" s="5" t="s">
        <v>730</v>
      </c>
      <c r="D6" t="b">
        <f t="shared" si="0"/>
        <v>0</v>
      </c>
      <c r="F6" s="7" t="s">
        <v>2002</v>
      </c>
      <c r="G6" s="2">
        <f t="shared" ref="G6:G12" si="1">COUNTIF(A:A,F6)</f>
        <v>1</v>
      </c>
    </row>
    <row r="7" spans="1:7" x14ac:dyDescent="0.25">
      <c r="A7" t="s">
        <v>28</v>
      </c>
      <c r="B7" s="5" t="s">
        <v>2311</v>
      </c>
      <c r="C7" s="5" t="s">
        <v>2311</v>
      </c>
      <c r="D7" t="b">
        <f t="shared" si="0"/>
        <v>0</v>
      </c>
      <c r="F7" s="3" t="s">
        <v>28</v>
      </c>
      <c r="G7" s="2">
        <f t="shared" si="1"/>
        <v>31</v>
      </c>
    </row>
    <row r="8" spans="1:7" x14ac:dyDescent="0.25">
      <c r="A8" t="s">
        <v>28</v>
      </c>
      <c r="B8" s="5" t="s">
        <v>2312</v>
      </c>
      <c r="C8" s="5" t="s">
        <v>2312</v>
      </c>
      <c r="D8" t="b">
        <f t="shared" si="0"/>
        <v>0</v>
      </c>
      <c r="F8" s="7" t="s">
        <v>34</v>
      </c>
      <c r="G8" s="2">
        <f t="shared" si="1"/>
        <v>19</v>
      </c>
    </row>
    <row r="9" spans="1:7" x14ac:dyDescent="0.25">
      <c r="A9" t="s">
        <v>28</v>
      </c>
      <c r="B9" s="5" t="s">
        <v>671</v>
      </c>
      <c r="C9" s="5" t="s">
        <v>671</v>
      </c>
      <c r="D9" t="b">
        <f t="shared" si="0"/>
        <v>0</v>
      </c>
      <c r="F9" s="7" t="s">
        <v>5</v>
      </c>
      <c r="G9" s="2">
        <f t="shared" si="1"/>
        <v>26</v>
      </c>
    </row>
    <row r="10" spans="1:7" x14ac:dyDescent="0.25">
      <c r="A10" t="s">
        <v>28</v>
      </c>
      <c r="B10" s="5" t="s">
        <v>320</v>
      </c>
      <c r="C10" s="5" t="s">
        <v>320</v>
      </c>
      <c r="D10" t="b">
        <f t="shared" si="0"/>
        <v>0</v>
      </c>
      <c r="F10" s="7" t="s">
        <v>331</v>
      </c>
      <c r="G10" s="2">
        <f t="shared" si="1"/>
        <v>2</v>
      </c>
    </row>
    <row r="11" spans="1:7" x14ac:dyDescent="0.25">
      <c r="A11" t="s">
        <v>28</v>
      </c>
      <c r="B11" s="5" t="s">
        <v>985</v>
      </c>
      <c r="C11" s="5" t="s">
        <v>985</v>
      </c>
      <c r="D11" t="b">
        <f t="shared" si="0"/>
        <v>0</v>
      </c>
      <c r="F11" s="7" t="s">
        <v>59</v>
      </c>
      <c r="G11" s="2">
        <f t="shared" si="1"/>
        <v>8</v>
      </c>
    </row>
    <row r="12" spans="1:7" x14ac:dyDescent="0.25">
      <c r="A12" t="s">
        <v>28</v>
      </c>
      <c r="B12" s="5" t="s">
        <v>2313</v>
      </c>
      <c r="C12" s="5" t="s">
        <v>2313</v>
      </c>
      <c r="D12" t="b">
        <f t="shared" si="0"/>
        <v>0</v>
      </c>
      <c r="F12" s="7" t="s">
        <v>61</v>
      </c>
      <c r="G12" s="2">
        <f t="shared" si="1"/>
        <v>13</v>
      </c>
    </row>
    <row r="13" spans="1:7" x14ac:dyDescent="0.25">
      <c r="A13" t="s">
        <v>28</v>
      </c>
      <c r="B13" s="5" t="s">
        <v>2314</v>
      </c>
      <c r="C13" s="5" t="s">
        <v>2314</v>
      </c>
      <c r="D13" t="b">
        <f t="shared" si="0"/>
        <v>0</v>
      </c>
      <c r="F13" s="7"/>
      <c r="G13" s="2"/>
    </row>
    <row r="14" spans="1:7" x14ac:dyDescent="0.25">
      <c r="A14" t="s">
        <v>28</v>
      </c>
      <c r="B14" s="5" t="s">
        <v>674</v>
      </c>
      <c r="C14" s="5" t="s">
        <v>674</v>
      </c>
      <c r="D14" t="b">
        <f t="shared" si="0"/>
        <v>0</v>
      </c>
      <c r="F14" s="7"/>
      <c r="G14" s="2"/>
    </row>
    <row r="15" spans="1:7" x14ac:dyDescent="0.25">
      <c r="A15" t="s">
        <v>28</v>
      </c>
      <c r="B15" s="5" t="s">
        <v>534</v>
      </c>
      <c r="C15" s="5" t="s">
        <v>534</v>
      </c>
      <c r="D15" t="b">
        <f t="shared" si="0"/>
        <v>0</v>
      </c>
    </row>
    <row r="16" spans="1:7" x14ac:dyDescent="0.25">
      <c r="A16" t="s">
        <v>28</v>
      </c>
      <c r="B16" s="5" t="s">
        <v>77</v>
      </c>
      <c r="C16" s="5" t="s">
        <v>275</v>
      </c>
      <c r="D16" t="b">
        <f t="shared" si="0"/>
        <v>1</v>
      </c>
    </row>
    <row r="17" spans="1:7" x14ac:dyDescent="0.25">
      <c r="A17" t="s">
        <v>28</v>
      </c>
      <c r="B17" s="5" t="s">
        <v>77</v>
      </c>
      <c r="C17" s="5" t="s">
        <v>343</v>
      </c>
      <c r="D17" t="b">
        <f t="shared" si="0"/>
        <v>1</v>
      </c>
      <c r="F17" s="4"/>
      <c r="G17" s="2"/>
    </row>
    <row r="18" spans="1:7" x14ac:dyDescent="0.25">
      <c r="A18" t="s">
        <v>28</v>
      </c>
      <c r="B18" s="5" t="s">
        <v>196</v>
      </c>
      <c r="C18" s="5" t="s">
        <v>196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 t="s">
        <v>1836</v>
      </c>
      <c r="C19" s="5" t="s">
        <v>1836</v>
      </c>
      <c r="D19" t="b">
        <f t="shared" si="0"/>
        <v>0</v>
      </c>
    </row>
    <row r="20" spans="1:7" x14ac:dyDescent="0.25">
      <c r="A20" t="s">
        <v>28</v>
      </c>
      <c r="B20" s="5" t="s">
        <v>77</v>
      </c>
      <c r="C20" s="5" t="s">
        <v>77</v>
      </c>
      <c r="D20" t="b">
        <f t="shared" si="0"/>
        <v>0</v>
      </c>
    </row>
    <row r="21" spans="1:7" x14ac:dyDescent="0.25">
      <c r="A21" t="s">
        <v>28</v>
      </c>
      <c r="B21" s="5" t="s">
        <v>77</v>
      </c>
      <c r="C21" s="5" t="s">
        <v>77</v>
      </c>
      <c r="D21" t="b">
        <f t="shared" si="0"/>
        <v>0</v>
      </c>
    </row>
    <row r="22" spans="1:7" x14ac:dyDescent="0.25">
      <c r="A22" t="s">
        <v>28</v>
      </c>
      <c r="B22" s="5" t="s">
        <v>77</v>
      </c>
      <c r="C22" s="5" t="s">
        <v>77</v>
      </c>
      <c r="D22" t="b">
        <f t="shared" si="0"/>
        <v>0</v>
      </c>
    </row>
    <row r="23" spans="1:7" x14ac:dyDescent="0.25">
      <c r="A23" t="s">
        <v>28</v>
      </c>
      <c r="B23" s="5" t="s">
        <v>77</v>
      </c>
      <c r="C23" s="5" t="s">
        <v>77</v>
      </c>
      <c r="D23" t="b">
        <f t="shared" si="0"/>
        <v>0</v>
      </c>
    </row>
    <row r="24" spans="1:7" x14ac:dyDescent="0.25">
      <c r="A24" t="s">
        <v>28</v>
      </c>
      <c r="B24" s="5" t="s">
        <v>77</v>
      </c>
      <c r="C24" s="5" t="s">
        <v>77</v>
      </c>
      <c r="D24" t="b">
        <f t="shared" si="0"/>
        <v>0</v>
      </c>
    </row>
    <row r="25" spans="1:7" x14ac:dyDescent="0.25">
      <c r="A25" t="s">
        <v>28</v>
      </c>
      <c r="B25" s="5" t="s">
        <v>77</v>
      </c>
      <c r="C25" s="5" t="s">
        <v>77</v>
      </c>
      <c r="D25" t="b">
        <f t="shared" si="0"/>
        <v>0</v>
      </c>
    </row>
    <row r="26" spans="1:7" x14ac:dyDescent="0.25">
      <c r="A26" t="s">
        <v>28</v>
      </c>
      <c r="B26" s="5" t="s">
        <v>77</v>
      </c>
      <c r="C26" s="5" t="s">
        <v>77</v>
      </c>
      <c r="D26" t="b">
        <f t="shared" si="0"/>
        <v>0</v>
      </c>
    </row>
    <row r="27" spans="1:7" x14ac:dyDescent="0.25">
      <c r="A27" t="s">
        <v>28</v>
      </c>
      <c r="B27" s="5" t="s">
        <v>77</v>
      </c>
      <c r="C27" s="5" t="s">
        <v>77</v>
      </c>
      <c r="D27" t="b">
        <f t="shared" si="0"/>
        <v>0</v>
      </c>
    </row>
    <row r="28" spans="1:7" x14ac:dyDescent="0.25">
      <c r="A28" t="s">
        <v>28</v>
      </c>
      <c r="B28" s="5" t="s">
        <v>77</v>
      </c>
      <c r="C28" s="5" t="s">
        <v>77</v>
      </c>
      <c r="D28" t="b">
        <f t="shared" si="0"/>
        <v>0</v>
      </c>
    </row>
    <row r="29" spans="1:7" x14ac:dyDescent="0.25">
      <c r="A29" t="s">
        <v>28</v>
      </c>
      <c r="B29" s="5" t="s">
        <v>77</v>
      </c>
      <c r="C29" s="5" t="s">
        <v>77</v>
      </c>
      <c r="D29" t="b">
        <f t="shared" si="0"/>
        <v>0</v>
      </c>
    </row>
    <row r="30" spans="1:7" x14ac:dyDescent="0.25">
      <c r="A30" t="s">
        <v>28</v>
      </c>
      <c r="B30" s="5" t="s">
        <v>77</v>
      </c>
      <c r="C30" s="5" t="s">
        <v>77</v>
      </c>
      <c r="D30" t="b">
        <f t="shared" si="0"/>
        <v>0</v>
      </c>
    </row>
    <row r="31" spans="1:7" x14ac:dyDescent="0.25">
      <c r="A31" t="s">
        <v>28</v>
      </c>
      <c r="B31" s="5" t="s">
        <v>77</v>
      </c>
      <c r="C31" s="5" t="s">
        <v>77</v>
      </c>
      <c r="D31" t="b">
        <f t="shared" si="0"/>
        <v>0</v>
      </c>
    </row>
    <row r="32" spans="1:7" x14ac:dyDescent="0.25">
      <c r="A32" t="s">
        <v>28</v>
      </c>
      <c r="B32" s="5" t="s">
        <v>77</v>
      </c>
      <c r="C32" s="5" t="s">
        <v>77</v>
      </c>
      <c r="D32" t="b">
        <f t="shared" si="0"/>
        <v>0</v>
      </c>
    </row>
    <row r="33" spans="1:4" x14ac:dyDescent="0.25">
      <c r="A33" t="s">
        <v>28</v>
      </c>
      <c r="B33" s="5" t="s">
        <v>77</v>
      </c>
      <c r="C33" s="5" t="s">
        <v>77</v>
      </c>
      <c r="D33" t="b">
        <f t="shared" si="0"/>
        <v>0</v>
      </c>
    </row>
    <row r="34" spans="1:4" x14ac:dyDescent="0.25">
      <c r="A34" t="s">
        <v>28</v>
      </c>
      <c r="B34" s="5" t="s">
        <v>77</v>
      </c>
      <c r="C34" s="5" t="s">
        <v>77</v>
      </c>
      <c r="D34" t="b">
        <f t="shared" si="0"/>
        <v>0</v>
      </c>
    </row>
    <row r="35" spans="1:4" x14ac:dyDescent="0.25">
      <c r="A35" t="s">
        <v>34</v>
      </c>
      <c r="B35" s="5" t="s">
        <v>198</v>
      </c>
      <c r="C35" s="5" t="s">
        <v>198</v>
      </c>
      <c r="D35" t="b">
        <f t="shared" si="0"/>
        <v>0</v>
      </c>
    </row>
    <row r="36" spans="1:4" x14ac:dyDescent="0.25">
      <c r="A36" t="s">
        <v>34</v>
      </c>
      <c r="B36" s="5" t="s">
        <v>684</v>
      </c>
      <c r="C36" s="5" t="s">
        <v>684</v>
      </c>
      <c r="D36" t="b">
        <f t="shared" si="0"/>
        <v>0</v>
      </c>
    </row>
    <row r="37" spans="1:4" x14ac:dyDescent="0.25">
      <c r="A37" t="s">
        <v>34</v>
      </c>
      <c r="B37" s="5" t="s">
        <v>688</v>
      </c>
      <c r="C37" s="5" t="s">
        <v>688</v>
      </c>
      <c r="D37" t="b">
        <f t="shared" si="0"/>
        <v>0</v>
      </c>
    </row>
    <row r="38" spans="1:4" x14ac:dyDescent="0.25">
      <c r="A38" t="s">
        <v>34</v>
      </c>
      <c r="B38" s="5" t="s">
        <v>349</v>
      </c>
      <c r="C38" s="5" t="s">
        <v>349</v>
      </c>
      <c r="D38" t="b">
        <f t="shared" si="0"/>
        <v>0</v>
      </c>
    </row>
    <row r="39" spans="1:4" x14ac:dyDescent="0.25">
      <c r="A39" t="s">
        <v>34</v>
      </c>
      <c r="B39" s="5" t="s">
        <v>681</v>
      </c>
      <c r="C39" s="5" t="s">
        <v>681</v>
      </c>
      <c r="D39" t="b">
        <f t="shared" si="0"/>
        <v>0</v>
      </c>
    </row>
    <row r="40" spans="1:4" x14ac:dyDescent="0.25">
      <c r="A40" t="s">
        <v>34</v>
      </c>
      <c r="B40" s="5" t="s">
        <v>676</v>
      </c>
      <c r="C40" s="5" t="s">
        <v>676</v>
      </c>
      <c r="D40" t="b">
        <f t="shared" si="0"/>
        <v>0</v>
      </c>
    </row>
    <row r="41" spans="1:4" x14ac:dyDescent="0.25">
      <c r="A41" t="s">
        <v>34</v>
      </c>
      <c r="B41" s="5" t="s">
        <v>346</v>
      </c>
      <c r="C41" s="5" t="s">
        <v>346</v>
      </c>
      <c r="D41" t="b">
        <f t="shared" si="0"/>
        <v>0</v>
      </c>
    </row>
    <row r="42" spans="1:4" x14ac:dyDescent="0.25">
      <c r="A42" t="s">
        <v>34</v>
      </c>
      <c r="B42" s="5" t="s">
        <v>682</v>
      </c>
      <c r="C42" s="5" t="s">
        <v>1733</v>
      </c>
      <c r="D42" t="b">
        <f t="shared" si="0"/>
        <v>1</v>
      </c>
    </row>
    <row r="43" spans="1:4" x14ac:dyDescent="0.25">
      <c r="A43" t="s">
        <v>34</v>
      </c>
      <c r="B43" s="5" t="s">
        <v>683</v>
      </c>
      <c r="C43" s="5" t="s">
        <v>683</v>
      </c>
      <c r="D43" t="b">
        <f t="shared" si="0"/>
        <v>0</v>
      </c>
    </row>
    <row r="44" spans="1:4" x14ac:dyDescent="0.25">
      <c r="A44" t="s">
        <v>34</v>
      </c>
      <c r="B44" s="5" t="s">
        <v>687</v>
      </c>
      <c r="C44" s="5" t="s">
        <v>687</v>
      </c>
      <c r="D44" t="b">
        <f t="shared" si="0"/>
        <v>0</v>
      </c>
    </row>
    <row r="45" spans="1:4" x14ac:dyDescent="0.25">
      <c r="A45" t="s">
        <v>34</v>
      </c>
      <c r="B45" s="5" t="s">
        <v>686</v>
      </c>
      <c r="C45" s="5" t="s">
        <v>686</v>
      </c>
      <c r="D45" t="b">
        <f t="shared" si="0"/>
        <v>0</v>
      </c>
    </row>
    <row r="46" spans="1:4" x14ac:dyDescent="0.25">
      <c r="A46" t="s">
        <v>34</v>
      </c>
      <c r="B46" s="5" t="s">
        <v>351</v>
      </c>
      <c r="C46" s="5" t="s">
        <v>351</v>
      </c>
      <c r="D46" t="b">
        <f t="shared" si="0"/>
        <v>0</v>
      </c>
    </row>
    <row r="47" spans="1:4" x14ac:dyDescent="0.25">
      <c r="A47" t="s">
        <v>34</v>
      </c>
      <c r="B47" s="5" t="s">
        <v>679</v>
      </c>
      <c r="C47" s="5" t="s">
        <v>679</v>
      </c>
      <c r="D47" t="b">
        <f t="shared" si="0"/>
        <v>0</v>
      </c>
    </row>
    <row r="48" spans="1:4" x14ac:dyDescent="0.25">
      <c r="A48" t="s">
        <v>34</v>
      </c>
      <c r="B48" s="5" t="s">
        <v>150</v>
      </c>
      <c r="C48" s="5" t="s">
        <v>150</v>
      </c>
      <c r="D48" t="b">
        <f t="shared" si="0"/>
        <v>0</v>
      </c>
    </row>
    <row r="49" spans="1:4" x14ac:dyDescent="0.25">
      <c r="A49" t="s">
        <v>34</v>
      </c>
      <c r="B49" s="5" t="s">
        <v>350</v>
      </c>
      <c r="C49" s="5" t="s">
        <v>350</v>
      </c>
      <c r="D49" t="b">
        <f t="shared" si="0"/>
        <v>0</v>
      </c>
    </row>
    <row r="50" spans="1:4" x14ac:dyDescent="0.25">
      <c r="A50" t="s">
        <v>34</v>
      </c>
      <c r="B50" s="5" t="s">
        <v>678</v>
      </c>
      <c r="C50" s="5" t="s">
        <v>2062</v>
      </c>
      <c r="D50" t="b">
        <f t="shared" si="0"/>
        <v>1</v>
      </c>
    </row>
    <row r="51" spans="1:4" x14ac:dyDescent="0.25">
      <c r="A51" t="s">
        <v>34</v>
      </c>
      <c r="B51" s="5" t="s">
        <v>677</v>
      </c>
      <c r="C51" s="5" t="s">
        <v>677</v>
      </c>
      <c r="D51" t="b">
        <f t="shared" si="0"/>
        <v>0</v>
      </c>
    </row>
    <row r="52" spans="1:4" x14ac:dyDescent="0.25">
      <c r="A52" t="s">
        <v>34</v>
      </c>
      <c r="B52" s="5" t="s">
        <v>685</v>
      </c>
      <c r="C52" s="5" t="s">
        <v>685</v>
      </c>
      <c r="D52" t="b">
        <f t="shared" si="0"/>
        <v>0</v>
      </c>
    </row>
    <row r="53" spans="1:4" x14ac:dyDescent="0.25">
      <c r="A53" t="s">
        <v>34</v>
      </c>
      <c r="B53" s="5" t="s">
        <v>680</v>
      </c>
      <c r="C53" s="5" t="s">
        <v>680</v>
      </c>
      <c r="D53" t="b">
        <f t="shared" si="0"/>
        <v>0</v>
      </c>
    </row>
    <row r="54" spans="1:4" x14ac:dyDescent="0.25">
      <c r="A54" t="s">
        <v>59</v>
      </c>
      <c r="B54" s="5" t="s">
        <v>689</v>
      </c>
      <c r="C54" s="5" t="s">
        <v>689</v>
      </c>
      <c r="D54" t="b">
        <f t="shared" si="0"/>
        <v>0</v>
      </c>
    </row>
    <row r="55" spans="1:4" x14ac:dyDescent="0.25">
      <c r="A55" t="s">
        <v>59</v>
      </c>
      <c r="B55" s="5" t="s">
        <v>728</v>
      </c>
      <c r="C55" s="5" t="s">
        <v>2061</v>
      </c>
      <c r="D55" t="b">
        <f t="shared" si="0"/>
        <v>1</v>
      </c>
    </row>
    <row r="56" spans="1:4" x14ac:dyDescent="0.25">
      <c r="A56" t="s">
        <v>59</v>
      </c>
      <c r="B56" s="5" t="s">
        <v>690</v>
      </c>
      <c r="C56" s="5" t="s">
        <v>690</v>
      </c>
      <c r="D56" t="b">
        <f t="shared" si="0"/>
        <v>0</v>
      </c>
    </row>
    <row r="57" spans="1:4" x14ac:dyDescent="0.25">
      <c r="A57" t="s">
        <v>59</v>
      </c>
      <c r="B57" s="5" t="s">
        <v>692</v>
      </c>
      <c r="C57" s="5" t="s">
        <v>692</v>
      </c>
      <c r="D57" t="b">
        <f t="shared" si="0"/>
        <v>0</v>
      </c>
    </row>
    <row r="58" spans="1:4" x14ac:dyDescent="0.25">
      <c r="A58" t="s">
        <v>59</v>
      </c>
      <c r="B58" s="5" t="s">
        <v>693</v>
      </c>
      <c r="C58" s="5" t="s">
        <v>693</v>
      </c>
      <c r="D58" t="b">
        <f t="shared" si="0"/>
        <v>0</v>
      </c>
    </row>
    <row r="59" spans="1:4" x14ac:dyDescent="0.25">
      <c r="A59" t="s">
        <v>59</v>
      </c>
      <c r="B59" s="5" t="s">
        <v>694</v>
      </c>
      <c r="C59" s="5" t="s">
        <v>694</v>
      </c>
      <c r="D59" t="b">
        <f t="shared" si="0"/>
        <v>0</v>
      </c>
    </row>
    <row r="60" spans="1:4" x14ac:dyDescent="0.25">
      <c r="A60" t="s">
        <v>59</v>
      </c>
      <c r="B60" s="5" t="s">
        <v>700</v>
      </c>
      <c r="C60" s="5" t="s">
        <v>700</v>
      </c>
      <c r="D60" t="b">
        <f t="shared" si="0"/>
        <v>0</v>
      </c>
    </row>
    <row r="61" spans="1:4" x14ac:dyDescent="0.25">
      <c r="A61" t="s">
        <v>59</v>
      </c>
      <c r="B61" s="5" t="s">
        <v>695</v>
      </c>
      <c r="C61" s="5" t="s">
        <v>695</v>
      </c>
      <c r="D61" t="b">
        <f t="shared" si="0"/>
        <v>0</v>
      </c>
    </row>
    <row r="62" spans="1:4" x14ac:dyDescent="0.25">
      <c r="A62" t="s">
        <v>331</v>
      </c>
      <c r="B62" s="5" t="s">
        <v>697</v>
      </c>
      <c r="C62" s="5" t="s">
        <v>697</v>
      </c>
      <c r="D62" t="b">
        <f t="shared" si="0"/>
        <v>0</v>
      </c>
    </row>
    <row r="63" spans="1:4" x14ac:dyDescent="0.25">
      <c r="A63" t="s">
        <v>331</v>
      </c>
      <c r="B63" s="5" t="s">
        <v>1732</v>
      </c>
      <c r="C63" s="5" t="s">
        <v>1732</v>
      </c>
      <c r="D63" t="b">
        <f t="shared" si="0"/>
        <v>0</v>
      </c>
    </row>
    <row r="64" spans="1:4" x14ac:dyDescent="0.25">
      <c r="A64" t="s">
        <v>61</v>
      </c>
      <c r="B64" s="5" t="s">
        <v>698</v>
      </c>
      <c r="C64" s="5" t="s">
        <v>698</v>
      </c>
      <c r="D64" t="b">
        <f t="shared" si="0"/>
        <v>0</v>
      </c>
    </row>
    <row r="65" spans="1:4" x14ac:dyDescent="0.25">
      <c r="A65" t="s">
        <v>61</v>
      </c>
      <c r="B65" s="5" t="s">
        <v>699</v>
      </c>
      <c r="C65" s="5" t="s">
        <v>699</v>
      </c>
      <c r="D65" t="b">
        <f t="shared" si="0"/>
        <v>0</v>
      </c>
    </row>
    <row r="66" spans="1:4" x14ac:dyDescent="0.25">
      <c r="A66" t="s">
        <v>61</v>
      </c>
      <c r="B66" s="5" t="s">
        <v>701</v>
      </c>
      <c r="C66" s="5" t="s">
        <v>701</v>
      </c>
      <c r="D66" t="b">
        <f t="shared" si="0"/>
        <v>0</v>
      </c>
    </row>
    <row r="67" spans="1:4" x14ac:dyDescent="0.25">
      <c r="A67" t="s">
        <v>61</v>
      </c>
      <c r="B67" s="5" t="s">
        <v>702</v>
      </c>
      <c r="C67" s="5" t="s">
        <v>1926</v>
      </c>
      <c r="D67" t="b">
        <f t="shared" si="0"/>
        <v>1</v>
      </c>
    </row>
    <row r="68" spans="1:4" x14ac:dyDescent="0.25">
      <c r="A68" t="s">
        <v>61</v>
      </c>
      <c r="B68" s="5" t="s">
        <v>703</v>
      </c>
      <c r="C68" s="5" t="s">
        <v>704</v>
      </c>
      <c r="D68" t="b">
        <f t="shared" si="0"/>
        <v>1</v>
      </c>
    </row>
    <row r="69" spans="1:4" x14ac:dyDescent="0.25">
      <c r="A69" t="s">
        <v>61</v>
      </c>
      <c r="B69" s="5" t="s">
        <v>1927</v>
      </c>
      <c r="C69" s="5" t="s">
        <v>1927</v>
      </c>
      <c r="D69" t="b">
        <f t="shared" ref="D69:D102" si="2">B69&lt;&gt;C69</f>
        <v>0</v>
      </c>
    </row>
    <row r="70" spans="1:4" x14ac:dyDescent="0.25">
      <c r="A70" t="s">
        <v>61</v>
      </c>
      <c r="B70" s="5" t="s">
        <v>705</v>
      </c>
      <c r="C70" s="5" t="s">
        <v>705</v>
      </c>
      <c r="D70" t="b">
        <f t="shared" si="2"/>
        <v>0</v>
      </c>
    </row>
    <row r="71" spans="1:4" x14ac:dyDescent="0.25">
      <c r="A71" t="s">
        <v>61</v>
      </c>
      <c r="B71" s="5" t="s">
        <v>120</v>
      </c>
      <c r="C71" s="5" t="s">
        <v>120</v>
      </c>
      <c r="D71" t="b">
        <f t="shared" si="2"/>
        <v>0</v>
      </c>
    </row>
    <row r="72" spans="1:4" x14ac:dyDescent="0.25">
      <c r="A72" t="s">
        <v>61</v>
      </c>
      <c r="B72" s="5" t="s">
        <v>706</v>
      </c>
      <c r="C72" s="5" t="s">
        <v>706</v>
      </c>
      <c r="D72" t="b">
        <f t="shared" si="2"/>
        <v>0</v>
      </c>
    </row>
    <row r="73" spans="1:4" x14ac:dyDescent="0.25">
      <c r="A73" t="s">
        <v>61</v>
      </c>
      <c r="B73" s="5" t="s">
        <v>359</v>
      </c>
      <c r="C73" s="5" t="s">
        <v>359</v>
      </c>
      <c r="D73" t="b">
        <f t="shared" si="2"/>
        <v>0</v>
      </c>
    </row>
    <row r="74" spans="1:4" x14ac:dyDescent="0.25">
      <c r="A74" t="s">
        <v>61</v>
      </c>
      <c r="B74" s="5" t="s">
        <v>707</v>
      </c>
      <c r="C74" s="5" t="s">
        <v>707</v>
      </c>
      <c r="D74" t="b">
        <f t="shared" si="2"/>
        <v>0</v>
      </c>
    </row>
    <row r="75" spans="1:4" x14ac:dyDescent="0.25">
      <c r="A75" t="s">
        <v>61</v>
      </c>
      <c r="B75" s="5" t="s">
        <v>708</v>
      </c>
      <c r="C75" s="5" t="s">
        <v>708</v>
      </c>
      <c r="D75" t="b">
        <f t="shared" si="2"/>
        <v>0</v>
      </c>
    </row>
    <row r="76" spans="1:4" x14ac:dyDescent="0.25">
      <c r="A76" t="s">
        <v>61</v>
      </c>
      <c r="B76" s="5" t="s">
        <v>709</v>
      </c>
      <c r="C76" s="5" t="s">
        <v>709</v>
      </c>
      <c r="D76" t="b">
        <f t="shared" si="2"/>
        <v>0</v>
      </c>
    </row>
    <row r="77" spans="1:4" x14ac:dyDescent="0.25">
      <c r="A77" t="s">
        <v>5</v>
      </c>
      <c r="B77" s="5" t="s">
        <v>710</v>
      </c>
      <c r="C77" s="5" t="s">
        <v>710</v>
      </c>
      <c r="D77" t="b">
        <f t="shared" si="2"/>
        <v>0</v>
      </c>
    </row>
    <row r="78" spans="1:4" x14ac:dyDescent="0.25">
      <c r="A78" t="s">
        <v>5</v>
      </c>
      <c r="B78" s="5" t="s">
        <v>696</v>
      </c>
      <c r="C78" s="5" t="s">
        <v>1928</v>
      </c>
      <c r="D78" t="b">
        <f t="shared" si="2"/>
        <v>1</v>
      </c>
    </row>
    <row r="79" spans="1:4" x14ac:dyDescent="0.25">
      <c r="A79" t="s">
        <v>5</v>
      </c>
      <c r="B79" s="5" t="s">
        <v>711</v>
      </c>
      <c r="C79" s="5" t="s">
        <v>711</v>
      </c>
      <c r="D79" t="b">
        <f t="shared" si="2"/>
        <v>0</v>
      </c>
    </row>
    <row r="80" spans="1:4" x14ac:dyDescent="0.25">
      <c r="A80" t="s">
        <v>5</v>
      </c>
      <c r="B80" s="5" t="s">
        <v>712</v>
      </c>
      <c r="C80" s="5" t="s">
        <v>712</v>
      </c>
      <c r="D80" t="b">
        <f t="shared" si="2"/>
        <v>0</v>
      </c>
    </row>
    <row r="81" spans="1:4" x14ac:dyDescent="0.25">
      <c r="A81" t="s">
        <v>5</v>
      </c>
      <c r="B81" s="5" t="s">
        <v>713</v>
      </c>
      <c r="C81" s="5" t="s">
        <v>713</v>
      </c>
      <c r="D81" t="b">
        <f t="shared" si="2"/>
        <v>0</v>
      </c>
    </row>
    <row r="82" spans="1:4" x14ac:dyDescent="0.25">
      <c r="A82" t="s">
        <v>5</v>
      </c>
      <c r="B82" s="5" t="s">
        <v>1595</v>
      </c>
      <c r="C82" s="5" t="s">
        <v>1595</v>
      </c>
      <c r="D82" t="b">
        <f t="shared" si="2"/>
        <v>0</v>
      </c>
    </row>
    <row r="83" spans="1:4" x14ac:dyDescent="0.25">
      <c r="A83" t="s">
        <v>5</v>
      </c>
      <c r="B83" s="5" t="s">
        <v>514</v>
      </c>
      <c r="C83" s="5" t="s">
        <v>514</v>
      </c>
      <c r="D83" t="b">
        <f t="shared" si="2"/>
        <v>0</v>
      </c>
    </row>
    <row r="84" spans="1:4" x14ac:dyDescent="0.25">
      <c r="A84" t="s">
        <v>5</v>
      </c>
      <c r="B84" s="5" t="s">
        <v>714</v>
      </c>
      <c r="C84" s="5" t="s">
        <v>714</v>
      </c>
      <c r="D84" t="b">
        <f t="shared" si="2"/>
        <v>0</v>
      </c>
    </row>
    <row r="85" spans="1:4" x14ac:dyDescent="0.25">
      <c r="A85" t="s">
        <v>5</v>
      </c>
      <c r="B85" s="5" t="s">
        <v>691</v>
      </c>
      <c r="C85" s="5" t="s">
        <v>691</v>
      </c>
      <c r="D85" t="b">
        <f t="shared" si="2"/>
        <v>0</v>
      </c>
    </row>
    <row r="86" spans="1:4" x14ac:dyDescent="0.25">
      <c r="A86" t="s">
        <v>5</v>
      </c>
      <c r="B86" s="5" t="s">
        <v>715</v>
      </c>
      <c r="C86" s="5" t="s">
        <v>715</v>
      </c>
      <c r="D86" t="b">
        <f t="shared" si="2"/>
        <v>0</v>
      </c>
    </row>
    <row r="87" spans="1:4" x14ac:dyDescent="0.25">
      <c r="A87" t="s">
        <v>5</v>
      </c>
      <c r="B87" s="5" t="s">
        <v>716</v>
      </c>
      <c r="C87" s="5" t="s">
        <v>716</v>
      </c>
      <c r="D87" t="b">
        <f t="shared" si="2"/>
        <v>0</v>
      </c>
    </row>
    <row r="88" spans="1:4" x14ac:dyDescent="0.25">
      <c r="A88" t="s">
        <v>5</v>
      </c>
      <c r="B88" s="5" t="s">
        <v>717</v>
      </c>
      <c r="C88" s="5" t="s">
        <v>717</v>
      </c>
      <c r="D88" t="b">
        <f t="shared" si="2"/>
        <v>0</v>
      </c>
    </row>
    <row r="89" spans="1:4" x14ac:dyDescent="0.25">
      <c r="A89" t="s">
        <v>5</v>
      </c>
      <c r="B89" s="5" t="s">
        <v>718</v>
      </c>
      <c r="C89" s="5" t="s">
        <v>718</v>
      </c>
      <c r="D89" t="b">
        <f t="shared" si="2"/>
        <v>0</v>
      </c>
    </row>
    <row r="90" spans="1:4" x14ac:dyDescent="0.25">
      <c r="A90" t="s">
        <v>5</v>
      </c>
      <c r="B90" s="5" t="s">
        <v>719</v>
      </c>
      <c r="C90" s="5" t="s">
        <v>719</v>
      </c>
      <c r="D90" t="b">
        <f t="shared" si="2"/>
        <v>0</v>
      </c>
    </row>
    <row r="91" spans="1:4" x14ac:dyDescent="0.25">
      <c r="A91" t="s">
        <v>5</v>
      </c>
      <c r="B91" s="5" t="s">
        <v>720</v>
      </c>
      <c r="C91" s="5" t="s">
        <v>1319</v>
      </c>
      <c r="D91" t="b">
        <f t="shared" si="2"/>
        <v>1</v>
      </c>
    </row>
    <row r="92" spans="1:4" x14ac:dyDescent="0.25">
      <c r="A92" t="s">
        <v>5</v>
      </c>
      <c r="B92" s="5" t="s">
        <v>721</v>
      </c>
      <c r="C92" s="5" t="s">
        <v>721</v>
      </c>
      <c r="D92" t="b">
        <f t="shared" si="2"/>
        <v>0</v>
      </c>
    </row>
    <row r="93" spans="1:4" x14ac:dyDescent="0.25">
      <c r="A93" t="s">
        <v>5</v>
      </c>
      <c r="B93" s="5" t="s">
        <v>722</v>
      </c>
      <c r="C93" s="5" t="s">
        <v>722</v>
      </c>
      <c r="D93" t="b">
        <f t="shared" si="2"/>
        <v>0</v>
      </c>
    </row>
    <row r="94" spans="1:4" x14ac:dyDescent="0.25">
      <c r="A94" t="s">
        <v>5</v>
      </c>
      <c r="B94" s="5" t="s">
        <v>723</v>
      </c>
      <c r="C94" s="5" t="s">
        <v>723</v>
      </c>
      <c r="D94" t="b">
        <f t="shared" si="2"/>
        <v>0</v>
      </c>
    </row>
    <row r="95" spans="1:4" x14ac:dyDescent="0.25">
      <c r="A95" t="s">
        <v>5</v>
      </c>
      <c r="B95" s="5" t="s">
        <v>1731</v>
      </c>
      <c r="C95" s="5" t="s">
        <v>1731</v>
      </c>
      <c r="D95" t="b">
        <f t="shared" si="2"/>
        <v>0</v>
      </c>
    </row>
    <row r="96" spans="1:4" x14ac:dyDescent="0.25">
      <c r="A96" t="s">
        <v>5</v>
      </c>
      <c r="B96" s="5" t="s">
        <v>724</v>
      </c>
      <c r="C96" s="5" t="s">
        <v>724</v>
      </c>
      <c r="D96" t="b">
        <f t="shared" si="2"/>
        <v>0</v>
      </c>
    </row>
    <row r="97" spans="1:4" x14ac:dyDescent="0.25">
      <c r="A97" t="s">
        <v>5</v>
      </c>
      <c r="B97" s="5" t="s">
        <v>725</v>
      </c>
      <c r="C97" s="5" t="s">
        <v>725</v>
      </c>
      <c r="D97" t="b">
        <f t="shared" si="2"/>
        <v>0</v>
      </c>
    </row>
    <row r="98" spans="1:4" x14ac:dyDescent="0.25">
      <c r="A98" t="s">
        <v>5</v>
      </c>
      <c r="B98" s="5" t="s">
        <v>726</v>
      </c>
      <c r="C98" s="5" t="s">
        <v>726</v>
      </c>
      <c r="D98" t="b">
        <f t="shared" si="2"/>
        <v>0</v>
      </c>
    </row>
    <row r="99" spans="1:4" x14ac:dyDescent="0.25">
      <c r="A99" t="s">
        <v>5</v>
      </c>
      <c r="B99" s="5" t="s">
        <v>117</v>
      </c>
      <c r="C99" s="5" t="s">
        <v>727</v>
      </c>
      <c r="D99" t="b">
        <f t="shared" si="2"/>
        <v>1</v>
      </c>
    </row>
    <row r="100" spans="1:4" x14ac:dyDescent="0.25">
      <c r="A100" t="s">
        <v>5</v>
      </c>
      <c r="B100" s="5" t="s">
        <v>531</v>
      </c>
      <c r="C100" s="5" t="s">
        <v>531</v>
      </c>
      <c r="D100" t="b">
        <f t="shared" si="2"/>
        <v>0</v>
      </c>
    </row>
    <row r="101" spans="1:4" x14ac:dyDescent="0.25">
      <c r="A101" t="s">
        <v>5</v>
      </c>
      <c r="B101" s="5" t="s">
        <v>1734</v>
      </c>
      <c r="C101" s="5" t="s">
        <v>1734</v>
      </c>
      <c r="D101" t="b">
        <f t="shared" si="2"/>
        <v>0</v>
      </c>
    </row>
    <row r="102" spans="1:4" x14ac:dyDescent="0.25">
      <c r="A102" t="s">
        <v>5</v>
      </c>
      <c r="B102" s="5" t="s">
        <v>375</v>
      </c>
      <c r="C102" s="5" t="s">
        <v>375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9351040B-FE65-4397-A5B8-2CAD5FA864E8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9985C82E-EBF9-4683-83DF-ED2E61DD2B89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71F5-45DA-463C-8695-545A3F46113B}">
  <sheetPr codeName="Planilha16"/>
  <dimension ref="A1:H102"/>
  <sheetViews>
    <sheetView topLeftCell="A57" workbookViewId="0">
      <selection activeCell="C13" sqref="C13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  <col min="9" max="9" width="9.85546875" bestFit="1" customWidth="1"/>
  </cols>
  <sheetData>
    <row r="1" spans="1:8" ht="21" x14ac:dyDescent="0.25">
      <c r="A1" s="29" t="s">
        <v>729</v>
      </c>
      <c r="B1" s="29"/>
      <c r="C1" s="29"/>
      <c r="D1" s="29"/>
      <c r="E1" s="29"/>
      <c r="F1" s="29"/>
      <c r="G1" s="29"/>
    </row>
    <row r="2" spans="1:8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7</v>
      </c>
    </row>
    <row r="3" spans="1:8" x14ac:dyDescent="0.25">
      <c r="A3" s="21" t="s">
        <v>2002</v>
      </c>
      <c r="B3" s="5" t="s">
        <v>729</v>
      </c>
      <c r="C3" s="5" t="s">
        <v>729</v>
      </c>
      <c r="D3" t="b">
        <f>B3&lt;&gt;C3</f>
        <v>0</v>
      </c>
      <c r="F3" s="4" t="s">
        <v>30</v>
      </c>
      <c r="G3" s="22">
        <f>SUM(G5:G29)</f>
        <v>100</v>
      </c>
    </row>
    <row r="4" spans="1:8" x14ac:dyDescent="0.25">
      <c r="A4" s="5" t="s">
        <v>28</v>
      </c>
      <c r="B4" s="5" t="s">
        <v>730</v>
      </c>
      <c r="C4" s="5" t="s">
        <v>730</v>
      </c>
      <c r="D4" t="b">
        <f>B4&lt;&gt;C4</f>
        <v>0</v>
      </c>
    </row>
    <row r="5" spans="1:8" x14ac:dyDescent="0.25">
      <c r="A5" s="5" t="s">
        <v>28</v>
      </c>
      <c r="B5" s="5" t="s">
        <v>731</v>
      </c>
      <c r="C5" s="5" t="s">
        <v>731</v>
      </c>
      <c r="D5" t="b">
        <f t="shared" ref="D5:D68" si="0">B5&lt;&gt;C5</f>
        <v>0</v>
      </c>
      <c r="F5" s="6" t="s">
        <v>32</v>
      </c>
      <c r="G5" s="1"/>
    </row>
    <row r="6" spans="1:8" x14ac:dyDescent="0.25">
      <c r="A6" s="5" t="s">
        <v>28</v>
      </c>
      <c r="B6" s="5" t="s">
        <v>732</v>
      </c>
      <c r="C6" s="5" t="s">
        <v>732</v>
      </c>
      <c r="D6" t="b">
        <f t="shared" si="0"/>
        <v>0</v>
      </c>
      <c r="F6" s="7" t="s">
        <v>2002</v>
      </c>
      <c r="G6" s="2">
        <f t="shared" ref="G6:G13" si="1">COUNTIF(A:A,F6)</f>
        <v>1</v>
      </c>
    </row>
    <row r="7" spans="1:8" x14ac:dyDescent="0.25">
      <c r="A7" s="5" t="s">
        <v>28</v>
      </c>
      <c r="B7" s="5" t="s">
        <v>733</v>
      </c>
      <c r="C7" s="5" t="s">
        <v>733</v>
      </c>
      <c r="D7" t="b">
        <f t="shared" si="0"/>
        <v>0</v>
      </c>
      <c r="F7" s="3" t="s">
        <v>28</v>
      </c>
      <c r="G7" s="2">
        <f t="shared" si="1"/>
        <v>33</v>
      </c>
    </row>
    <row r="8" spans="1:8" x14ac:dyDescent="0.25">
      <c r="A8" s="5" t="s">
        <v>28</v>
      </c>
      <c r="B8" s="5" t="s">
        <v>132</v>
      </c>
      <c r="C8" s="5" t="s">
        <v>132</v>
      </c>
      <c r="D8" t="b">
        <f t="shared" si="0"/>
        <v>0</v>
      </c>
      <c r="F8" s="7" t="s">
        <v>34</v>
      </c>
      <c r="G8" s="2">
        <f t="shared" si="1"/>
        <v>3</v>
      </c>
    </row>
    <row r="9" spans="1:8" x14ac:dyDescent="0.25">
      <c r="A9" s="5" t="s">
        <v>28</v>
      </c>
      <c r="B9" s="5" t="s">
        <v>734</v>
      </c>
      <c r="C9" s="5" t="s">
        <v>734</v>
      </c>
      <c r="D9" t="b">
        <f t="shared" si="0"/>
        <v>0</v>
      </c>
      <c r="F9" s="7" t="s">
        <v>35</v>
      </c>
      <c r="G9" s="2">
        <f t="shared" si="1"/>
        <v>22</v>
      </c>
    </row>
    <row r="10" spans="1:8" x14ac:dyDescent="0.25">
      <c r="A10" s="5" t="s">
        <v>28</v>
      </c>
      <c r="B10" s="5" t="s">
        <v>735</v>
      </c>
      <c r="C10" s="5" t="s">
        <v>735</v>
      </c>
      <c r="D10" t="b">
        <f t="shared" si="0"/>
        <v>0</v>
      </c>
      <c r="F10" s="7" t="s">
        <v>42</v>
      </c>
      <c r="G10" s="2">
        <f t="shared" si="1"/>
        <v>20</v>
      </c>
    </row>
    <row r="11" spans="1:8" x14ac:dyDescent="0.25">
      <c r="A11" s="5" t="s">
        <v>28</v>
      </c>
      <c r="B11" s="5" t="s">
        <v>736</v>
      </c>
      <c r="C11" s="5" t="s">
        <v>736</v>
      </c>
      <c r="D11" t="b">
        <f t="shared" si="0"/>
        <v>0</v>
      </c>
      <c r="F11" s="7" t="s">
        <v>36</v>
      </c>
      <c r="G11" s="2">
        <f t="shared" si="1"/>
        <v>7</v>
      </c>
    </row>
    <row r="12" spans="1:8" x14ac:dyDescent="0.25">
      <c r="A12" s="5" t="s">
        <v>28</v>
      </c>
      <c r="B12" s="5" t="s">
        <v>737</v>
      </c>
      <c r="C12" s="5" t="s">
        <v>737</v>
      </c>
      <c r="D12" t="b">
        <f t="shared" si="0"/>
        <v>0</v>
      </c>
      <c r="F12" s="7" t="s">
        <v>738</v>
      </c>
      <c r="G12" s="2">
        <f t="shared" si="1"/>
        <v>13</v>
      </c>
    </row>
    <row r="13" spans="1:8" x14ac:dyDescent="0.25">
      <c r="A13" s="5" t="s">
        <v>28</v>
      </c>
      <c r="B13" s="5" t="s">
        <v>404</v>
      </c>
      <c r="C13" s="5" t="s">
        <v>404</v>
      </c>
      <c r="D13" t="b">
        <f t="shared" si="0"/>
        <v>0</v>
      </c>
      <c r="F13" s="7" t="s">
        <v>476</v>
      </c>
      <c r="G13" s="2">
        <f t="shared" si="1"/>
        <v>1</v>
      </c>
    </row>
    <row r="14" spans="1:8" x14ac:dyDescent="0.25">
      <c r="A14" s="5" t="s">
        <v>28</v>
      </c>
      <c r="B14" s="5" t="s">
        <v>739</v>
      </c>
      <c r="C14" s="5" t="s">
        <v>739</v>
      </c>
      <c r="D14" t="b">
        <f t="shared" si="0"/>
        <v>0</v>
      </c>
      <c r="F14" s="7"/>
      <c r="G14" s="2"/>
    </row>
    <row r="15" spans="1:8" x14ac:dyDescent="0.25">
      <c r="A15" s="5" t="s">
        <v>28</v>
      </c>
      <c r="B15" s="5" t="s">
        <v>410</v>
      </c>
      <c r="C15" s="5" t="s">
        <v>410</v>
      </c>
      <c r="D15" t="b">
        <f t="shared" si="0"/>
        <v>0</v>
      </c>
    </row>
    <row r="16" spans="1:8" x14ac:dyDescent="0.25">
      <c r="A16" s="5" t="s">
        <v>28</v>
      </c>
      <c r="B16" s="5" t="s">
        <v>33</v>
      </c>
      <c r="C16" s="5" t="s">
        <v>33</v>
      </c>
      <c r="D16" t="b">
        <f t="shared" si="0"/>
        <v>0</v>
      </c>
      <c r="H16" s="3"/>
    </row>
    <row r="17" spans="1:7" x14ac:dyDescent="0.25">
      <c r="A17" s="5" t="s">
        <v>28</v>
      </c>
      <c r="B17" s="5" t="s">
        <v>740</v>
      </c>
      <c r="C17" s="5" t="s">
        <v>741</v>
      </c>
      <c r="D17" t="b">
        <f t="shared" si="0"/>
        <v>1</v>
      </c>
      <c r="F17" s="4"/>
      <c r="G17" s="2"/>
    </row>
    <row r="18" spans="1:7" x14ac:dyDescent="0.25">
      <c r="A18" s="5" t="s">
        <v>28</v>
      </c>
      <c r="B18" s="5" t="s">
        <v>742</v>
      </c>
      <c r="C18" s="5" t="s">
        <v>742</v>
      </c>
      <c r="D18" t="b">
        <f t="shared" si="0"/>
        <v>0</v>
      </c>
      <c r="F18" s="4"/>
      <c r="G18" s="2"/>
    </row>
    <row r="19" spans="1:7" x14ac:dyDescent="0.25">
      <c r="A19" s="5" t="s">
        <v>28</v>
      </c>
      <c r="B19" s="5" t="s">
        <v>77</v>
      </c>
      <c r="C19" s="5" t="s">
        <v>743</v>
      </c>
      <c r="D19" t="b">
        <f t="shared" si="0"/>
        <v>1</v>
      </c>
    </row>
    <row r="20" spans="1:7" x14ac:dyDescent="0.25">
      <c r="A20" s="5" t="s">
        <v>28</v>
      </c>
      <c r="B20" s="5" t="s">
        <v>1588</v>
      </c>
      <c r="C20" s="5" t="s">
        <v>1588</v>
      </c>
      <c r="D20" t="b">
        <f t="shared" si="0"/>
        <v>0</v>
      </c>
    </row>
    <row r="21" spans="1:7" x14ac:dyDescent="0.25">
      <c r="A21" s="5" t="s">
        <v>28</v>
      </c>
      <c r="B21" s="5" t="s">
        <v>77</v>
      </c>
      <c r="C21" s="5" t="s">
        <v>77</v>
      </c>
      <c r="D21" t="b">
        <f t="shared" si="0"/>
        <v>0</v>
      </c>
    </row>
    <row r="22" spans="1:7" x14ac:dyDescent="0.25">
      <c r="A22" s="5" t="s">
        <v>28</v>
      </c>
      <c r="B22" s="5" t="s">
        <v>77</v>
      </c>
      <c r="C22" s="5" t="s">
        <v>77</v>
      </c>
      <c r="D22" t="b">
        <f t="shared" si="0"/>
        <v>0</v>
      </c>
    </row>
    <row r="23" spans="1:7" x14ac:dyDescent="0.25">
      <c r="A23" s="5" t="s">
        <v>28</v>
      </c>
      <c r="B23" s="5" t="s">
        <v>77</v>
      </c>
      <c r="C23" s="5" t="s">
        <v>77</v>
      </c>
      <c r="D23" t="b">
        <f t="shared" si="0"/>
        <v>0</v>
      </c>
    </row>
    <row r="24" spans="1:7" x14ac:dyDescent="0.25">
      <c r="A24" s="5" t="s">
        <v>28</v>
      </c>
      <c r="B24" s="5" t="s">
        <v>77</v>
      </c>
      <c r="C24" s="5" t="s">
        <v>77</v>
      </c>
      <c r="D24" t="b">
        <f t="shared" si="0"/>
        <v>0</v>
      </c>
    </row>
    <row r="25" spans="1:7" x14ac:dyDescent="0.25">
      <c r="A25" s="5" t="s">
        <v>28</v>
      </c>
      <c r="B25" s="5" t="s">
        <v>77</v>
      </c>
      <c r="C25" s="5" t="s">
        <v>77</v>
      </c>
      <c r="D25" t="b">
        <f t="shared" si="0"/>
        <v>0</v>
      </c>
    </row>
    <row r="26" spans="1:7" x14ac:dyDescent="0.25">
      <c r="A26" s="5" t="s">
        <v>28</v>
      </c>
      <c r="B26" s="5" t="s">
        <v>77</v>
      </c>
      <c r="C26" s="5" t="s">
        <v>77</v>
      </c>
      <c r="D26" t="b">
        <f t="shared" si="0"/>
        <v>0</v>
      </c>
    </row>
    <row r="27" spans="1:7" x14ac:dyDescent="0.25">
      <c r="A27" s="5" t="s">
        <v>28</v>
      </c>
      <c r="B27" s="5" t="s">
        <v>77</v>
      </c>
      <c r="C27" s="5" t="s">
        <v>77</v>
      </c>
      <c r="D27" t="b">
        <f t="shared" si="0"/>
        <v>0</v>
      </c>
    </row>
    <row r="28" spans="1:7" x14ac:dyDescent="0.25">
      <c r="A28" s="5" t="s">
        <v>28</v>
      </c>
      <c r="B28" s="5" t="s">
        <v>77</v>
      </c>
      <c r="C28" s="5" t="s">
        <v>77</v>
      </c>
      <c r="D28" t="b">
        <f t="shared" si="0"/>
        <v>0</v>
      </c>
    </row>
    <row r="29" spans="1:7" x14ac:dyDescent="0.25">
      <c r="A29" s="5" t="s">
        <v>28</v>
      </c>
      <c r="B29" s="5" t="s">
        <v>145</v>
      </c>
      <c r="C29" s="5" t="s">
        <v>145</v>
      </c>
      <c r="D29" t="b">
        <f t="shared" si="0"/>
        <v>0</v>
      </c>
    </row>
    <row r="30" spans="1:7" x14ac:dyDescent="0.25">
      <c r="A30" s="5" t="s">
        <v>28</v>
      </c>
      <c r="B30" s="5" t="s">
        <v>145</v>
      </c>
      <c r="C30" s="5" t="s">
        <v>145</v>
      </c>
      <c r="D30" t="b">
        <f t="shared" si="0"/>
        <v>0</v>
      </c>
    </row>
    <row r="31" spans="1:7" x14ac:dyDescent="0.25">
      <c r="A31" s="5" t="s">
        <v>28</v>
      </c>
      <c r="B31" s="5" t="s">
        <v>145</v>
      </c>
      <c r="C31" s="5" t="s">
        <v>145</v>
      </c>
      <c r="D31" t="b">
        <f t="shared" si="0"/>
        <v>0</v>
      </c>
    </row>
    <row r="32" spans="1:7" x14ac:dyDescent="0.25">
      <c r="A32" s="5" t="s">
        <v>28</v>
      </c>
      <c r="B32" s="5" t="s">
        <v>145</v>
      </c>
      <c r="C32" s="5" t="s">
        <v>145</v>
      </c>
      <c r="D32" t="b">
        <f t="shared" si="0"/>
        <v>0</v>
      </c>
    </row>
    <row r="33" spans="1:4" x14ac:dyDescent="0.25">
      <c r="A33" s="5" t="s">
        <v>28</v>
      </c>
      <c r="B33" s="5" t="s">
        <v>145</v>
      </c>
      <c r="C33" s="5" t="s">
        <v>145</v>
      </c>
      <c r="D33" t="b">
        <f t="shared" si="0"/>
        <v>0</v>
      </c>
    </row>
    <row r="34" spans="1:4" x14ac:dyDescent="0.25">
      <c r="A34" s="5" t="s">
        <v>28</v>
      </c>
      <c r="B34" s="5" t="s">
        <v>145</v>
      </c>
      <c r="C34" s="5" t="s">
        <v>145</v>
      </c>
      <c r="D34" t="b">
        <f t="shared" si="0"/>
        <v>0</v>
      </c>
    </row>
    <row r="35" spans="1:4" x14ac:dyDescent="0.25">
      <c r="A35" s="5" t="s">
        <v>28</v>
      </c>
      <c r="B35" s="5" t="s">
        <v>145</v>
      </c>
      <c r="C35" s="5" t="s">
        <v>145</v>
      </c>
      <c r="D35" t="b">
        <f t="shared" si="0"/>
        <v>0</v>
      </c>
    </row>
    <row r="36" spans="1:4" x14ac:dyDescent="0.25">
      <c r="A36" s="5" t="s">
        <v>28</v>
      </c>
      <c r="B36" s="5" t="s">
        <v>145</v>
      </c>
      <c r="C36" s="5" t="s">
        <v>145</v>
      </c>
      <c r="D36" t="b">
        <f t="shared" si="0"/>
        <v>0</v>
      </c>
    </row>
    <row r="37" spans="1:4" x14ac:dyDescent="0.25">
      <c r="A37" s="5" t="s">
        <v>34</v>
      </c>
      <c r="B37" s="5" t="s">
        <v>744</v>
      </c>
      <c r="C37" s="5" t="s">
        <v>744</v>
      </c>
      <c r="D37" t="b">
        <f t="shared" si="0"/>
        <v>0</v>
      </c>
    </row>
    <row r="38" spans="1:4" x14ac:dyDescent="0.25">
      <c r="A38" s="5" t="s">
        <v>34</v>
      </c>
      <c r="B38" s="5" t="s">
        <v>1691</v>
      </c>
      <c r="C38" s="5" t="s">
        <v>1691</v>
      </c>
      <c r="D38" t="b">
        <f t="shared" si="0"/>
        <v>0</v>
      </c>
    </row>
    <row r="39" spans="1:4" x14ac:dyDescent="0.25">
      <c r="A39" s="5" t="s">
        <v>34</v>
      </c>
      <c r="B39" s="5" t="s">
        <v>745</v>
      </c>
      <c r="C39" s="5" t="s">
        <v>745</v>
      </c>
      <c r="D39" t="b">
        <f t="shared" si="0"/>
        <v>0</v>
      </c>
    </row>
    <row r="40" spans="1:4" x14ac:dyDescent="0.25">
      <c r="A40" s="5" t="s">
        <v>476</v>
      </c>
      <c r="B40" s="5" t="s">
        <v>746</v>
      </c>
      <c r="C40" s="5" t="s">
        <v>746</v>
      </c>
      <c r="D40" t="b">
        <f t="shared" si="0"/>
        <v>0</v>
      </c>
    </row>
    <row r="41" spans="1:4" x14ac:dyDescent="0.25">
      <c r="A41" s="5" t="s">
        <v>35</v>
      </c>
      <c r="B41" s="5" t="s">
        <v>747</v>
      </c>
      <c r="C41" s="5" t="s">
        <v>747</v>
      </c>
      <c r="D41" t="b">
        <f t="shared" si="0"/>
        <v>0</v>
      </c>
    </row>
    <row r="42" spans="1:4" x14ac:dyDescent="0.25">
      <c r="A42" s="5" t="s">
        <v>35</v>
      </c>
      <c r="B42" s="5" t="s">
        <v>748</v>
      </c>
      <c r="C42" s="5" t="s">
        <v>748</v>
      </c>
      <c r="D42" t="b">
        <f t="shared" si="0"/>
        <v>0</v>
      </c>
    </row>
    <row r="43" spans="1:4" x14ac:dyDescent="0.25">
      <c r="A43" s="5" t="s">
        <v>35</v>
      </c>
      <c r="B43" s="5" t="s">
        <v>749</v>
      </c>
      <c r="C43" s="5" t="s">
        <v>749</v>
      </c>
      <c r="D43" t="b">
        <f t="shared" si="0"/>
        <v>0</v>
      </c>
    </row>
    <row r="44" spans="1:4" x14ac:dyDescent="0.25">
      <c r="A44" s="5" t="s">
        <v>35</v>
      </c>
      <c r="B44" s="5" t="s">
        <v>750</v>
      </c>
      <c r="C44" s="5" t="s">
        <v>750</v>
      </c>
      <c r="D44" t="b">
        <f t="shared" si="0"/>
        <v>0</v>
      </c>
    </row>
    <row r="45" spans="1:4" x14ac:dyDescent="0.25">
      <c r="A45" s="5" t="s">
        <v>35</v>
      </c>
      <c r="B45" s="5" t="s">
        <v>751</v>
      </c>
      <c r="C45" s="5" t="s">
        <v>751</v>
      </c>
      <c r="D45" t="b">
        <f t="shared" si="0"/>
        <v>0</v>
      </c>
    </row>
    <row r="46" spans="1:4" x14ac:dyDescent="0.25">
      <c r="A46" s="5" t="s">
        <v>35</v>
      </c>
      <c r="B46" s="5" t="s">
        <v>752</v>
      </c>
      <c r="C46" s="5" t="s">
        <v>752</v>
      </c>
      <c r="D46" t="b">
        <f t="shared" si="0"/>
        <v>0</v>
      </c>
    </row>
    <row r="47" spans="1:4" x14ac:dyDescent="0.25">
      <c r="A47" s="5" t="s">
        <v>35</v>
      </c>
      <c r="B47" s="5" t="s">
        <v>207</v>
      </c>
      <c r="C47" s="5" t="s">
        <v>207</v>
      </c>
      <c r="D47" t="b">
        <f t="shared" si="0"/>
        <v>0</v>
      </c>
    </row>
    <row r="48" spans="1:4" x14ac:dyDescent="0.25">
      <c r="A48" s="5" t="s">
        <v>35</v>
      </c>
      <c r="B48" s="5" t="s">
        <v>1583</v>
      </c>
      <c r="C48" s="5" t="s">
        <v>753</v>
      </c>
      <c r="D48" t="b">
        <f t="shared" si="0"/>
        <v>1</v>
      </c>
    </row>
    <row r="49" spans="1:4" x14ac:dyDescent="0.25">
      <c r="A49" s="5" t="s">
        <v>35</v>
      </c>
      <c r="B49" s="5" t="s">
        <v>754</v>
      </c>
      <c r="C49" s="5" t="s">
        <v>754</v>
      </c>
      <c r="D49" t="b">
        <f t="shared" si="0"/>
        <v>0</v>
      </c>
    </row>
    <row r="50" spans="1:4" x14ac:dyDescent="0.25">
      <c r="A50" s="5" t="s">
        <v>35</v>
      </c>
      <c r="B50" s="5" t="s">
        <v>208</v>
      </c>
      <c r="C50" s="5" t="s">
        <v>208</v>
      </c>
      <c r="D50" t="b">
        <f t="shared" si="0"/>
        <v>0</v>
      </c>
    </row>
    <row r="51" spans="1:4" x14ac:dyDescent="0.25">
      <c r="A51" s="5" t="s">
        <v>35</v>
      </c>
      <c r="B51" s="5" t="s">
        <v>755</v>
      </c>
      <c r="C51" s="5" t="s">
        <v>755</v>
      </c>
      <c r="D51" t="b">
        <f t="shared" si="0"/>
        <v>0</v>
      </c>
    </row>
    <row r="52" spans="1:4" x14ac:dyDescent="0.25">
      <c r="A52" s="5" t="s">
        <v>35</v>
      </c>
      <c r="B52" s="5" t="s">
        <v>756</v>
      </c>
      <c r="C52" s="5" t="s">
        <v>756</v>
      </c>
      <c r="D52" t="b">
        <f t="shared" si="0"/>
        <v>0</v>
      </c>
    </row>
    <row r="53" spans="1:4" x14ac:dyDescent="0.25">
      <c r="A53" s="5" t="s">
        <v>35</v>
      </c>
      <c r="B53" s="5" t="s">
        <v>757</v>
      </c>
      <c r="C53" s="5" t="s">
        <v>757</v>
      </c>
      <c r="D53" t="b">
        <f t="shared" si="0"/>
        <v>0</v>
      </c>
    </row>
    <row r="54" spans="1:4" x14ac:dyDescent="0.25">
      <c r="A54" s="5" t="s">
        <v>35</v>
      </c>
      <c r="B54" s="5" t="s">
        <v>758</v>
      </c>
      <c r="C54" s="5" t="s">
        <v>758</v>
      </c>
      <c r="D54" t="b">
        <f t="shared" si="0"/>
        <v>0</v>
      </c>
    </row>
    <row r="55" spans="1:4" x14ac:dyDescent="0.25">
      <c r="A55" s="5" t="s">
        <v>35</v>
      </c>
      <c r="B55" s="5" t="s">
        <v>759</v>
      </c>
      <c r="C55" s="5" t="s">
        <v>759</v>
      </c>
      <c r="D55" t="b">
        <f t="shared" si="0"/>
        <v>0</v>
      </c>
    </row>
    <row r="56" spans="1:4" x14ac:dyDescent="0.25">
      <c r="A56" s="5" t="s">
        <v>35</v>
      </c>
      <c r="B56" s="5" t="s">
        <v>760</v>
      </c>
      <c r="C56" s="5" t="s">
        <v>760</v>
      </c>
      <c r="D56" t="b">
        <f t="shared" si="0"/>
        <v>0</v>
      </c>
    </row>
    <row r="57" spans="1:4" x14ac:dyDescent="0.25">
      <c r="A57" s="5" t="s">
        <v>35</v>
      </c>
      <c r="B57" s="5" t="s">
        <v>761</v>
      </c>
      <c r="C57" s="5" t="s">
        <v>761</v>
      </c>
      <c r="D57" t="b">
        <f t="shared" si="0"/>
        <v>0</v>
      </c>
    </row>
    <row r="58" spans="1:4" x14ac:dyDescent="0.25">
      <c r="A58" s="5" t="s">
        <v>35</v>
      </c>
      <c r="B58" s="5" t="s">
        <v>762</v>
      </c>
      <c r="C58" s="5" t="s">
        <v>762</v>
      </c>
      <c r="D58" t="b">
        <f t="shared" si="0"/>
        <v>0</v>
      </c>
    </row>
    <row r="59" spans="1:4" x14ac:dyDescent="0.25">
      <c r="A59" s="5" t="s">
        <v>35</v>
      </c>
      <c r="B59" s="5" t="s">
        <v>1524</v>
      </c>
      <c r="C59" s="5" t="s">
        <v>1524</v>
      </c>
      <c r="D59" t="b">
        <f t="shared" si="0"/>
        <v>0</v>
      </c>
    </row>
    <row r="60" spans="1:4" x14ac:dyDescent="0.25">
      <c r="A60" s="5" t="s">
        <v>35</v>
      </c>
      <c r="B60" s="5" t="s">
        <v>763</v>
      </c>
      <c r="C60" s="5" t="s">
        <v>763</v>
      </c>
      <c r="D60" t="b">
        <f t="shared" si="0"/>
        <v>0</v>
      </c>
    </row>
    <row r="61" spans="1:4" x14ac:dyDescent="0.25">
      <c r="A61" s="5" t="s">
        <v>35</v>
      </c>
      <c r="B61" s="5" t="s">
        <v>764</v>
      </c>
      <c r="C61" s="5" t="s">
        <v>793</v>
      </c>
      <c r="D61" t="b">
        <f t="shared" si="0"/>
        <v>1</v>
      </c>
    </row>
    <row r="62" spans="1:4" x14ac:dyDescent="0.25">
      <c r="A62" s="5" t="s">
        <v>35</v>
      </c>
      <c r="B62" s="5" t="s">
        <v>765</v>
      </c>
      <c r="C62" s="5" t="s">
        <v>765</v>
      </c>
      <c r="D62" t="b">
        <f t="shared" si="0"/>
        <v>0</v>
      </c>
    </row>
    <row r="63" spans="1:4" x14ac:dyDescent="0.25">
      <c r="A63" s="5" t="s">
        <v>42</v>
      </c>
      <c r="B63" s="5" t="s">
        <v>766</v>
      </c>
      <c r="C63" s="5" t="s">
        <v>766</v>
      </c>
      <c r="D63" t="b">
        <f t="shared" si="0"/>
        <v>0</v>
      </c>
    </row>
    <row r="64" spans="1:4" x14ac:dyDescent="0.25">
      <c r="A64" s="5" t="s">
        <v>42</v>
      </c>
      <c r="B64" s="5" t="s">
        <v>767</v>
      </c>
      <c r="C64" s="5" t="s">
        <v>767</v>
      </c>
      <c r="D64" t="b">
        <f t="shared" si="0"/>
        <v>0</v>
      </c>
    </row>
    <row r="65" spans="1:4" x14ac:dyDescent="0.25">
      <c r="A65" s="5" t="s">
        <v>42</v>
      </c>
      <c r="B65" s="5" t="s">
        <v>768</v>
      </c>
      <c r="C65" s="5" t="s">
        <v>768</v>
      </c>
      <c r="D65" t="b">
        <f t="shared" si="0"/>
        <v>0</v>
      </c>
    </row>
    <row r="66" spans="1:4" x14ac:dyDescent="0.25">
      <c r="A66" s="5" t="s">
        <v>42</v>
      </c>
      <c r="B66" s="5" t="s">
        <v>362</v>
      </c>
      <c r="C66" s="5" t="s">
        <v>362</v>
      </c>
      <c r="D66" t="b">
        <f t="shared" si="0"/>
        <v>0</v>
      </c>
    </row>
    <row r="67" spans="1:4" x14ac:dyDescent="0.25">
      <c r="A67" s="5" t="s">
        <v>42</v>
      </c>
      <c r="B67" s="5" t="s">
        <v>769</v>
      </c>
      <c r="C67" s="5" t="s">
        <v>769</v>
      </c>
      <c r="D67" t="b">
        <f t="shared" si="0"/>
        <v>0</v>
      </c>
    </row>
    <row r="68" spans="1:4" x14ac:dyDescent="0.25">
      <c r="A68" s="5" t="s">
        <v>42</v>
      </c>
      <c r="B68" s="5" t="s">
        <v>770</v>
      </c>
      <c r="C68" s="5" t="s">
        <v>770</v>
      </c>
      <c r="D68" t="b">
        <f t="shared" si="0"/>
        <v>0</v>
      </c>
    </row>
    <row r="69" spans="1:4" x14ac:dyDescent="0.25">
      <c r="A69" s="5" t="s">
        <v>42</v>
      </c>
      <c r="B69" s="5" t="s">
        <v>771</v>
      </c>
      <c r="C69" s="5" t="s">
        <v>771</v>
      </c>
      <c r="D69" t="b">
        <f t="shared" ref="D69:D102" si="2">B69&lt;&gt;C69</f>
        <v>0</v>
      </c>
    </row>
    <row r="70" spans="1:4" x14ac:dyDescent="0.25">
      <c r="A70" s="5" t="s">
        <v>42</v>
      </c>
      <c r="B70" s="5" t="s">
        <v>772</v>
      </c>
      <c r="C70" s="5" t="s">
        <v>773</v>
      </c>
      <c r="D70" t="b">
        <f t="shared" si="2"/>
        <v>1</v>
      </c>
    </row>
    <row r="71" spans="1:4" x14ac:dyDescent="0.25">
      <c r="A71" s="5" t="s">
        <v>42</v>
      </c>
      <c r="B71" s="5" t="s">
        <v>774</v>
      </c>
      <c r="C71" s="5" t="s">
        <v>774</v>
      </c>
      <c r="D71" t="b">
        <f t="shared" si="2"/>
        <v>0</v>
      </c>
    </row>
    <row r="72" spans="1:4" x14ac:dyDescent="0.25">
      <c r="A72" s="5" t="s">
        <v>42</v>
      </c>
      <c r="B72" s="5" t="s">
        <v>699</v>
      </c>
      <c r="C72" s="5" t="s">
        <v>699</v>
      </c>
      <c r="D72" t="b">
        <f t="shared" si="2"/>
        <v>0</v>
      </c>
    </row>
    <row r="73" spans="1:4" x14ac:dyDescent="0.25">
      <c r="A73" s="5" t="s">
        <v>42</v>
      </c>
      <c r="B73" s="5" t="s">
        <v>775</v>
      </c>
      <c r="C73" s="5" t="s">
        <v>775</v>
      </c>
      <c r="D73" t="b">
        <f t="shared" si="2"/>
        <v>0</v>
      </c>
    </row>
    <row r="74" spans="1:4" x14ac:dyDescent="0.25">
      <c r="A74" s="5" t="s">
        <v>42</v>
      </c>
      <c r="B74" s="5" t="s">
        <v>776</v>
      </c>
      <c r="C74" s="5" t="s">
        <v>776</v>
      </c>
      <c r="D74" t="b">
        <f t="shared" si="2"/>
        <v>0</v>
      </c>
    </row>
    <row r="75" spans="1:4" x14ac:dyDescent="0.25">
      <c r="A75" s="5" t="s">
        <v>42</v>
      </c>
      <c r="B75" s="5" t="s">
        <v>777</v>
      </c>
      <c r="C75" s="5" t="s">
        <v>777</v>
      </c>
      <c r="D75" t="b">
        <f t="shared" si="2"/>
        <v>0</v>
      </c>
    </row>
    <row r="76" spans="1:4" x14ac:dyDescent="0.25">
      <c r="A76" s="5" t="s">
        <v>42</v>
      </c>
      <c r="B76" s="5" t="s">
        <v>120</v>
      </c>
      <c r="C76" s="5" t="s">
        <v>120</v>
      </c>
      <c r="D76" t="b">
        <f t="shared" si="2"/>
        <v>0</v>
      </c>
    </row>
    <row r="77" spans="1:4" x14ac:dyDescent="0.25">
      <c r="A77" s="5" t="s">
        <v>42</v>
      </c>
      <c r="B77" s="5" t="s">
        <v>778</v>
      </c>
      <c r="C77" s="5" t="s">
        <v>778</v>
      </c>
      <c r="D77" t="b">
        <f t="shared" si="2"/>
        <v>0</v>
      </c>
    </row>
    <row r="78" spans="1:4" x14ac:dyDescent="0.25">
      <c r="A78" s="5" t="s">
        <v>42</v>
      </c>
      <c r="B78" s="5" t="s">
        <v>779</v>
      </c>
      <c r="C78" s="5" t="s">
        <v>779</v>
      </c>
      <c r="D78" t="b">
        <f t="shared" si="2"/>
        <v>0</v>
      </c>
    </row>
    <row r="79" spans="1:4" x14ac:dyDescent="0.25">
      <c r="A79" s="5" t="s">
        <v>42</v>
      </c>
      <c r="B79" s="5" t="s">
        <v>780</v>
      </c>
      <c r="C79" s="5" t="s">
        <v>780</v>
      </c>
      <c r="D79" t="b">
        <f t="shared" si="2"/>
        <v>0</v>
      </c>
    </row>
    <row r="80" spans="1:4" x14ac:dyDescent="0.25">
      <c r="A80" s="5" t="s">
        <v>42</v>
      </c>
      <c r="B80" s="5" t="s">
        <v>781</v>
      </c>
      <c r="C80" s="5" t="s">
        <v>781</v>
      </c>
      <c r="D80" t="b">
        <f t="shared" si="2"/>
        <v>0</v>
      </c>
    </row>
    <row r="81" spans="1:4" x14ac:dyDescent="0.25">
      <c r="A81" s="5" t="s">
        <v>42</v>
      </c>
      <c r="B81" s="5" t="s">
        <v>782</v>
      </c>
      <c r="C81" s="5" t="s">
        <v>782</v>
      </c>
      <c r="D81" t="b">
        <f t="shared" si="2"/>
        <v>0</v>
      </c>
    </row>
    <row r="82" spans="1:4" x14ac:dyDescent="0.25">
      <c r="A82" s="5" t="s">
        <v>42</v>
      </c>
      <c r="B82" s="5" t="s">
        <v>783</v>
      </c>
      <c r="C82" s="5" t="s">
        <v>783</v>
      </c>
      <c r="D82" t="b">
        <f t="shared" si="2"/>
        <v>0</v>
      </c>
    </row>
    <row r="83" spans="1:4" x14ac:dyDescent="0.25">
      <c r="A83" s="5" t="s">
        <v>36</v>
      </c>
      <c r="B83" s="5" t="s">
        <v>784</v>
      </c>
      <c r="C83" s="5" t="s">
        <v>784</v>
      </c>
      <c r="D83" t="b">
        <f t="shared" si="2"/>
        <v>0</v>
      </c>
    </row>
    <row r="84" spans="1:4" x14ac:dyDescent="0.25">
      <c r="A84" s="5" t="s">
        <v>36</v>
      </c>
      <c r="B84" s="5" t="s">
        <v>785</v>
      </c>
      <c r="C84" s="5" t="s">
        <v>785</v>
      </c>
      <c r="D84" t="b">
        <f t="shared" si="2"/>
        <v>0</v>
      </c>
    </row>
    <row r="85" spans="1:4" x14ac:dyDescent="0.25">
      <c r="A85" s="5" t="s">
        <v>36</v>
      </c>
      <c r="B85" s="5" t="s">
        <v>708</v>
      </c>
      <c r="C85" s="5" t="s">
        <v>708</v>
      </c>
      <c r="D85" t="b">
        <f t="shared" si="2"/>
        <v>0</v>
      </c>
    </row>
    <row r="86" spans="1:4" x14ac:dyDescent="0.25">
      <c r="A86" s="5" t="s">
        <v>36</v>
      </c>
      <c r="B86" s="5" t="s">
        <v>786</v>
      </c>
      <c r="C86" s="5" t="s">
        <v>786</v>
      </c>
      <c r="D86" t="b">
        <f t="shared" si="2"/>
        <v>0</v>
      </c>
    </row>
    <row r="87" spans="1:4" x14ac:dyDescent="0.25">
      <c r="A87" s="5" t="s">
        <v>36</v>
      </c>
      <c r="B87" s="5" t="s">
        <v>787</v>
      </c>
      <c r="C87" s="5" t="s">
        <v>787</v>
      </c>
      <c r="D87" t="b">
        <f t="shared" si="2"/>
        <v>0</v>
      </c>
    </row>
    <row r="88" spans="1:4" x14ac:dyDescent="0.25">
      <c r="A88" s="5" t="s">
        <v>36</v>
      </c>
      <c r="B88" s="5" t="s">
        <v>788</v>
      </c>
      <c r="C88" s="5" t="s">
        <v>788</v>
      </c>
      <c r="D88" t="b">
        <f t="shared" si="2"/>
        <v>0</v>
      </c>
    </row>
    <row r="89" spans="1:4" x14ac:dyDescent="0.25">
      <c r="A89" s="5" t="s">
        <v>36</v>
      </c>
      <c r="B89" s="5" t="s">
        <v>789</v>
      </c>
      <c r="C89" s="5" t="s">
        <v>789</v>
      </c>
      <c r="D89" t="b">
        <f t="shared" si="2"/>
        <v>0</v>
      </c>
    </row>
    <row r="90" spans="1:4" x14ac:dyDescent="0.25">
      <c r="A90" s="5" t="s">
        <v>738</v>
      </c>
      <c r="B90" s="5" t="s">
        <v>790</v>
      </c>
      <c r="C90" s="5" t="s">
        <v>1730</v>
      </c>
      <c r="D90" t="b">
        <f t="shared" si="2"/>
        <v>1</v>
      </c>
    </row>
    <row r="91" spans="1:4" x14ac:dyDescent="0.25">
      <c r="A91" s="5" t="s">
        <v>738</v>
      </c>
      <c r="B91" s="5" t="s">
        <v>792</v>
      </c>
      <c r="C91" s="5" t="s">
        <v>792</v>
      </c>
      <c r="D91" t="b">
        <f t="shared" si="2"/>
        <v>0</v>
      </c>
    </row>
    <row r="92" spans="1:4" x14ac:dyDescent="0.25">
      <c r="A92" s="5" t="s">
        <v>738</v>
      </c>
      <c r="B92" s="5" t="s">
        <v>77</v>
      </c>
      <c r="C92" s="5" t="s">
        <v>791</v>
      </c>
      <c r="D92" t="b">
        <f t="shared" si="2"/>
        <v>1</v>
      </c>
    </row>
    <row r="93" spans="1:4" x14ac:dyDescent="0.25">
      <c r="A93" s="5" t="s">
        <v>738</v>
      </c>
      <c r="B93" s="5" t="s">
        <v>794</v>
      </c>
      <c r="C93" s="5" t="s">
        <v>794</v>
      </c>
      <c r="D93" t="b">
        <f t="shared" si="2"/>
        <v>0</v>
      </c>
    </row>
    <row r="94" spans="1:4" x14ac:dyDescent="0.25">
      <c r="A94" s="5" t="s">
        <v>738</v>
      </c>
      <c r="B94" s="5" t="s">
        <v>795</v>
      </c>
      <c r="C94" s="5" t="s">
        <v>795</v>
      </c>
      <c r="D94" t="b">
        <f t="shared" si="2"/>
        <v>0</v>
      </c>
    </row>
    <row r="95" spans="1:4" x14ac:dyDescent="0.25">
      <c r="A95" s="5" t="s">
        <v>738</v>
      </c>
      <c r="B95" s="5" t="s">
        <v>796</v>
      </c>
      <c r="C95" s="5" t="s">
        <v>796</v>
      </c>
      <c r="D95" t="b">
        <f t="shared" si="2"/>
        <v>0</v>
      </c>
    </row>
    <row r="96" spans="1:4" x14ac:dyDescent="0.25">
      <c r="A96" s="5" t="s">
        <v>738</v>
      </c>
      <c r="B96" s="5" t="s">
        <v>797</v>
      </c>
      <c r="C96" s="5" t="s">
        <v>797</v>
      </c>
      <c r="D96" t="b">
        <f t="shared" si="2"/>
        <v>0</v>
      </c>
    </row>
    <row r="97" spans="1:4" x14ac:dyDescent="0.25">
      <c r="A97" s="5" t="s">
        <v>738</v>
      </c>
      <c r="B97" s="5" t="s">
        <v>250</v>
      </c>
      <c r="C97" s="5" t="s">
        <v>250</v>
      </c>
      <c r="D97" t="b">
        <f t="shared" si="2"/>
        <v>0</v>
      </c>
    </row>
    <row r="98" spans="1:4" x14ac:dyDescent="0.25">
      <c r="A98" s="5" t="s">
        <v>738</v>
      </c>
      <c r="B98" s="5" t="s">
        <v>117</v>
      </c>
      <c r="C98" s="5" t="s">
        <v>117</v>
      </c>
      <c r="D98" t="b">
        <f t="shared" si="2"/>
        <v>0</v>
      </c>
    </row>
    <row r="99" spans="1:4" x14ac:dyDescent="0.25">
      <c r="A99" s="5" t="s">
        <v>738</v>
      </c>
      <c r="B99" s="5" t="s">
        <v>118</v>
      </c>
      <c r="C99" s="5" t="s">
        <v>118</v>
      </c>
      <c r="D99" t="b">
        <f t="shared" si="2"/>
        <v>0</v>
      </c>
    </row>
    <row r="100" spans="1:4" x14ac:dyDescent="0.25">
      <c r="A100" s="5" t="s">
        <v>738</v>
      </c>
      <c r="B100" s="5" t="s">
        <v>798</v>
      </c>
      <c r="C100" s="5" t="s">
        <v>798</v>
      </c>
      <c r="D100" t="b">
        <f t="shared" si="2"/>
        <v>0</v>
      </c>
    </row>
    <row r="101" spans="1:4" x14ac:dyDescent="0.25">
      <c r="A101" s="5" t="s">
        <v>738</v>
      </c>
      <c r="B101" s="5" t="s">
        <v>799</v>
      </c>
      <c r="C101" s="5" t="s">
        <v>799</v>
      </c>
      <c r="D101" t="b">
        <f t="shared" si="2"/>
        <v>0</v>
      </c>
    </row>
    <row r="102" spans="1:4" x14ac:dyDescent="0.25">
      <c r="A102" s="5" t="s">
        <v>738</v>
      </c>
      <c r="B102" s="5" t="s">
        <v>800</v>
      </c>
      <c r="C102" s="5" t="s">
        <v>800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06CD599F-9600-4A28-8DCF-AC0A1E0E3875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DE6B93F2-E34F-4B85-ADE1-DD067B0E39BC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4074-238F-4E68-9DAA-CBE3D5952917}">
  <sheetPr codeName="Planilha17"/>
  <dimension ref="A1:G102"/>
  <sheetViews>
    <sheetView workbookViewId="0">
      <selection activeCell="C13" sqref="C13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14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5</v>
      </c>
    </row>
    <row r="3" spans="1:7" x14ac:dyDescent="0.25">
      <c r="A3" s="21" t="s">
        <v>2002</v>
      </c>
      <c r="B3" s="5" t="s">
        <v>2034</v>
      </c>
      <c r="C3" s="5" t="s">
        <v>2034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801</v>
      </c>
      <c r="C4" s="5" t="s">
        <v>801</v>
      </c>
      <c r="D4" t="b">
        <f>B4&lt;&gt;C4</f>
        <v>0</v>
      </c>
    </row>
    <row r="5" spans="1:7" x14ac:dyDescent="0.25">
      <c r="A5" t="s">
        <v>28</v>
      </c>
      <c r="B5" s="5" t="s">
        <v>62</v>
      </c>
      <c r="C5" s="5" t="s">
        <v>62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51</v>
      </c>
      <c r="C6" s="5" t="s">
        <v>51</v>
      </c>
      <c r="D6" t="b">
        <f t="shared" si="0"/>
        <v>0</v>
      </c>
      <c r="F6" s="7" t="s">
        <v>2002</v>
      </c>
      <c r="G6" s="2">
        <f t="shared" ref="G6:G14" si="1">COUNTIF(A:A,F6)</f>
        <v>1</v>
      </c>
    </row>
    <row r="7" spans="1:7" x14ac:dyDescent="0.25">
      <c r="A7" t="s">
        <v>28</v>
      </c>
      <c r="B7" s="5" t="s">
        <v>33</v>
      </c>
      <c r="C7" s="5" t="s">
        <v>33</v>
      </c>
      <c r="D7" t="b">
        <f t="shared" si="0"/>
        <v>0</v>
      </c>
      <c r="F7" s="3" t="s">
        <v>28</v>
      </c>
      <c r="G7" s="2">
        <f t="shared" si="1"/>
        <v>36</v>
      </c>
    </row>
    <row r="8" spans="1:7" x14ac:dyDescent="0.25">
      <c r="A8" t="s">
        <v>28</v>
      </c>
      <c r="B8" s="5" t="s">
        <v>60</v>
      </c>
      <c r="C8" s="5" t="s">
        <v>60</v>
      </c>
      <c r="D8" t="b">
        <f t="shared" si="0"/>
        <v>0</v>
      </c>
      <c r="F8" s="7" t="s">
        <v>34</v>
      </c>
      <c r="G8" s="2">
        <f t="shared" si="1"/>
        <v>12</v>
      </c>
    </row>
    <row r="9" spans="1:7" x14ac:dyDescent="0.25">
      <c r="A9" t="s">
        <v>28</v>
      </c>
      <c r="B9" s="5" t="s">
        <v>548</v>
      </c>
      <c r="C9" s="5" t="s">
        <v>548</v>
      </c>
      <c r="D9" t="b">
        <f t="shared" si="0"/>
        <v>0</v>
      </c>
      <c r="F9" s="7" t="s">
        <v>35</v>
      </c>
      <c r="G9" s="2">
        <f t="shared" si="1"/>
        <v>11</v>
      </c>
    </row>
    <row r="10" spans="1:7" x14ac:dyDescent="0.25">
      <c r="A10" t="s">
        <v>28</v>
      </c>
      <c r="B10" s="5" t="s">
        <v>268</v>
      </c>
      <c r="C10" s="5" t="s">
        <v>268</v>
      </c>
      <c r="D10" t="b">
        <f t="shared" si="0"/>
        <v>0</v>
      </c>
      <c r="F10" s="7" t="s">
        <v>803</v>
      </c>
      <c r="G10" s="2">
        <f t="shared" si="1"/>
        <v>11</v>
      </c>
    </row>
    <row r="11" spans="1:7" x14ac:dyDescent="0.25">
      <c r="A11" t="s">
        <v>28</v>
      </c>
      <c r="B11" s="5" t="s">
        <v>192</v>
      </c>
      <c r="C11" s="5" t="s">
        <v>192</v>
      </c>
      <c r="D11" t="b">
        <f t="shared" si="0"/>
        <v>0</v>
      </c>
      <c r="F11" s="7" t="s">
        <v>805</v>
      </c>
      <c r="G11" s="2">
        <f t="shared" si="1"/>
        <v>0</v>
      </c>
    </row>
    <row r="12" spans="1:7" x14ac:dyDescent="0.25">
      <c r="A12" t="s">
        <v>28</v>
      </c>
      <c r="B12" s="5" t="s">
        <v>804</v>
      </c>
      <c r="C12" s="5" t="s">
        <v>804</v>
      </c>
      <c r="D12" t="b">
        <f t="shared" si="0"/>
        <v>0</v>
      </c>
      <c r="F12" s="7" t="s">
        <v>61</v>
      </c>
      <c r="G12" s="2">
        <f t="shared" si="1"/>
        <v>14</v>
      </c>
    </row>
    <row r="13" spans="1:7" x14ac:dyDescent="0.25">
      <c r="A13" t="s">
        <v>28</v>
      </c>
      <c r="B13" s="5" t="s">
        <v>188</v>
      </c>
      <c r="C13" s="5" t="s">
        <v>188</v>
      </c>
      <c r="D13" t="b">
        <f t="shared" si="0"/>
        <v>0</v>
      </c>
      <c r="F13" s="7" t="s">
        <v>185</v>
      </c>
      <c r="G13" s="2">
        <f t="shared" si="1"/>
        <v>7</v>
      </c>
    </row>
    <row r="14" spans="1:7" x14ac:dyDescent="0.25">
      <c r="A14" t="s">
        <v>28</v>
      </c>
      <c r="B14" s="5" t="s">
        <v>262</v>
      </c>
      <c r="C14" s="5" t="s">
        <v>262</v>
      </c>
      <c r="D14" t="b">
        <f t="shared" si="0"/>
        <v>0</v>
      </c>
      <c r="F14" s="7" t="s">
        <v>189</v>
      </c>
      <c r="G14" s="2">
        <f t="shared" si="1"/>
        <v>8</v>
      </c>
    </row>
    <row r="15" spans="1:7" x14ac:dyDescent="0.25">
      <c r="A15" t="s">
        <v>28</v>
      </c>
      <c r="B15" s="5" t="s">
        <v>806</v>
      </c>
      <c r="C15" s="5" t="s">
        <v>806</v>
      </c>
      <c r="D15" t="b">
        <f t="shared" si="0"/>
        <v>0</v>
      </c>
    </row>
    <row r="16" spans="1:7" x14ac:dyDescent="0.25">
      <c r="A16" t="s">
        <v>28</v>
      </c>
      <c r="B16" s="5" t="s">
        <v>807</v>
      </c>
      <c r="C16" s="5" t="s">
        <v>807</v>
      </c>
      <c r="D16" t="b">
        <f t="shared" si="0"/>
        <v>0</v>
      </c>
    </row>
    <row r="17" spans="1:7" x14ac:dyDescent="0.25">
      <c r="A17" t="s">
        <v>28</v>
      </c>
      <c r="B17" s="5" t="s">
        <v>808</v>
      </c>
      <c r="C17" s="5" t="s">
        <v>808</v>
      </c>
      <c r="D17" t="b">
        <f t="shared" si="0"/>
        <v>0</v>
      </c>
      <c r="F17" s="4"/>
      <c r="G17" s="2"/>
    </row>
    <row r="18" spans="1:7" x14ac:dyDescent="0.25">
      <c r="A18" t="s">
        <v>28</v>
      </c>
      <c r="B18" s="5" t="s">
        <v>809</v>
      </c>
      <c r="C18" s="5" t="s">
        <v>809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 t="s">
        <v>37</v>
      </c>
      <c r="C19" s="5" t="s">
        <v>254</v>
      </c>
      <c r="D19" t="b">
        <f t="shared" si="0"/>
        <v>1</v>
      </c>
    </row>
    <row r="20" spans="1:7" x14ac:dyDescent="0.25">
      <c r="A20" t="s">
        <v>28</v>
      </c>
      <c r="B20" s="5" t="s">
        <v>810</v>
      </c>
      <c r="C20" s="5" t="s">
        <v>810</v>
      </c>
      <c r="D20" t="b">
        <f t="shared" si="0"/>
        <v>0</v>
      </c>
    </row>
    <row r="21" spans="1:7" x14ac:dyDescent="0.25">
      <c r="A21" t="s">
        <v>28</v>
      </c>
      <c r="B21" s="5" t="s">
        <v>811</v>
      </c>
      <c r="C21" s="5" t="s">
        <v>811</v>
      </c>
      <c r="D21" t="b">
        <f t="shared" si="0"/>
        <v>0</v>
      </c>
    </row>
    <row r="22" spans="1:7" x14ac:dyDescent="0.25">
      <c r="A22" t="s">
        <v>28</v>
      </c>
      <c r="B22" s="5" t="s">
        <v>812</v>
      </c>
      <c r="C22" s="5" t="s">
        <v>812</v>
      </c>
      <c r="D22" t="b">
        <f t="shared" si="0"/>
        <v>0</v>
      </c>
    </row>
    <row r="23" spans="1:7" x14ac:dyDescent="0.25">
      <c r="A23" t="s">
        <v>28</v>
      </c>
      <c r="B23" s="5" t="s">
        <v>813</v>
      </c>
      <c r="C23" s="5" t="s">
        <v>813</v>
      </c>
      <c r="D23" t="b">
        <f t="shared" si="0"/>
        <v>0</v>
      </c>
    </row>
    <row r="24" spans="1:7" x14ac:dyDescent="0.25">
      <c r="A24" t="s">
        <v>28</v>
      </c>
      <c r="B24" s="5" t="s">
        <v>37</v>
      </c>
      <c r="C24" s="5" t="s">
        <v>814</v>
      </c>
      <c r="D24" t="b">
        <f t="shared" si="0"/>
        <v>1</v>
      </c>
    </row>
    <row r="25" spans="1:7" x14ac:dyDescent="0.25">
      <c r="A25" t="s">
        <v>28</v>
      </c>
      <c r="B25" s="5" t="s">
        <v>37</v>
      </c>
      <c r="C25" s="5" t="s">
        <v>1899</v>
      </c>
      <c r="D25" t="b">
        <f t="shared" si="0"/>
        <v>1</v>
      </c>
    </row>
    <row r="26" spans="1:7" x14ac:dyDescent="0.25">
      <c r="A26" t="s">
        <v>28</v>
      </c>
      <c r="B26" s="5" t="s">
        <v>37</v>
      </c>
      <c r="C26" s="5" t="s">
        <v>37</v>
      </c>
      <c r="D26" t="b">
        <f t="shared" si="0"/>
        <v>0</v>
      </c>
    </row>
    <row r="27" spans="1:7" x14ac:dyDescent="0.25">
      <c r="A27" t="s">
        <v>28</v>
      </c>
      <c r="B27" s="5" t="s">
        <v>37</v>
      </c>
      <c r="C27" s="5" t="s">
        <v>37</v>
      </c>
      <c r="D27" t="b">
        <f t="shared" si="0"/>
        <v>0</v>
      </c>
    </row>
    <row r="28" spans="1:7" x14ac:dyDescent="0.25">
      <c r="A28" t="s">
        <v>28</v>
      </c>
      <c r="B28" s="5" t="s">
        <v>37</v>
      </c>
      <c r="C28" s="5" t="s">
        <v>37</v>
      </c>
      <c r="D28" t="b">
        <f t="shared" si="0"/>
        <v>0</v>
      </c>
    </row>
    <row r="29" spans="1:7" x14ac:dyDescent="0.25">
      <c r="A29" t="s">
        <v>28</v>
      </c>
      <c r="B29" s="5" t="s">
        <v>37</v>
      </c>
      <c r="C29" s="5" t="s">
        <v>37</v>
      </c>
      <c r="D29" t="b">
        <f t="shared" si="0"/>
        <v>0</v>
      </c>
    </row>
    <row r="30" spans="1:7" x14ac:dyDescent="0.25">
      <c r="A30" t="s">
        <v>28</v>
      </c>
      <c r="B30" s="5" t="s">
        <v>37</v>
      </c>
      <c r="C30" s="5" t="s">
        <v>37</v>
      </c>
      <c r="D30" t="b">
        <f t="shared" si="0"/>
        <v>0</v>
      </c>
    </row>
    <row r="31" spans="1:7" x14ac:dyDescent="0.25">
      <c r="A31" t="s">
        <v>28</v>
      </c>
      <c r="B31" s="5" t="s">
        <v>38</v>
      </c>
      <c r="C31" s="5" t="s">
        <v>38</v>
      </c>
      <c r="D31" t="b">
        <f t="shared" si="0"/>
        <v>0</v>
      </c>
    </row>
    <row r="32" spans="1:7" x14ac:dyDescent="0.25">
      <c r="A32" t="s">
        <v>28</v>
      </c>
      <c r="B32" s="5" t="s">
        <v>38</v>
      </c>
      <c r="C32" s="5" t="s">
        <v>38</v>
      </c>
      <c r="D32" t="b">
        <f t="shared" si="0"/>
        <v>0</v>
      </c>
    </row>
    <row r="33" spans="1:4" x14ac:dyDescent="0.25">
      <c r="A33" t="s">
        <v>28</v>
      </c>
      <c r="B33" s="5" t="s">
        <v>38</v>
      </c>
      <c r="C33" s="5" t="s">
        <v>38</v>
      </c>
      <c r="D33" t="b">
        <f t="shared" si="0"/>
        <v>0</v>
      </c>
    </row>
    <row r="34" spans="1:4" x14ac:dyDescent="0.25">
      <c r="A34" t="s">
        <v>28</v>
      </c>
      <c r="B34" s="5" t="s">
        <v>38</v>
      </c>
      <c r="C34" s="5" t="s">
        <v>38</v>
      </c>
      <c r="D34" t="b">
        <f t="shared" si="0"/>
        <v>0</v>
      </c>
    </row>
    <row r="35" spans="1:4" x14ac:dyDescent="0.25">
      <c r="A35" t="s">
        <v>28</v>
      </c>
      <c r="B35" s="5" t="s">
        <v>38</v>
      </c>
      <c r="C35" s="5" t="s">
        <v>38</v>
      </c>
      <c r="D35" t="b">
        <f t="shared" si="0"/>
        <v>0</v>
      </c>
    </row>
    <row r="36" spans="1:4" x14ac:dyDescent="0.25">
      <c r="A36" t="s">
        <v>28</v>
      </c>
      <c r="B36" s="5" t="s">
        <v>40</v>
      </c>
      <c r="C36" s="5" t="s">
        <v>40</v>
      </c>
      <c r="D36" t="b">
        <f t="shared" si="0"/>
        <v>0</v>
      </c>
    </row>
    <row r="37" spans="1:4" x14ac:dyDescent="0.25">
      <c r="A37" t="s">
        <v>28</v>
      </c>
      <c r="B37" s="5" t="s">
        <v>40</v>
      </c>
      <c r="C37" s="5" t="s">
        <v>40</v>
      </c>
      <c r="D37" t="b">
        <f t="shared" si="0"/>
        <v>0</v>
      </c>
    </row>
    <row r="38" spans="1:4" x14ac:dyDescent="0.25">
      <c r="A38" t="s">
        <v>28</v>
      </c>
      <c r="B38" s="5" t="s">
        <v>40</v>
      </c>
      <c r="C38" s="5" t="s">
        <v>40</v>
      </c>
      <c r="D38" t="b">
        <f t="shared" si="0"/>
        <v>0</v>
      </c>
    </row>
    <row r="39" spans="1:4" x14ac:dyDescent="0.25">
      <c r="A39" t="s">
        <v>28</v>
      </c>
      <c r="B39" s="5" t="s">
        <v>40</v>
      </c>
      <c r="C39" s="5" t="s">
        <v>40</v>
      </c>
      <c r="D39" t="b">
        <f t="shared" si="0"/>
        <v>0</v>
      </c>
    </row>
    <row r="40" spans="1:4" x14ac:dyDescent="0.25">
      <c r="A40" t="s">
        <v>34</v>
      </c>
      <c r="B40" s="5" t="s">
        <v>198</v>
      </c>
      <c r="C40" s="5" t="s">
        <v>198</v>
      </c>
      <c r="D40" t="b">
        <f t="shared" si="0"/>
        <v>0</v>
      </c>
    </row>
    <row r="41" spans="1:4" x14ac:dyDescent="0.25">
      <c r="A41" t="s">
        <v>34</v>
      </c>
      <c r="B41" s="5" t="s">
        <v>200</v>
      </c>
      <c r="C41" s="5" t="s">
        <v>200</v>
      </c>
      <c r="D41" t="b">
        <f t="shared" si="0"/>
        <v>0</v>
      </c>
    </row>
    <row r="42" spans="1:4" x14ac:dyDescent="0.25">
      <c r="A42" t="s">
        <v>34</v>
      </c>
      <c r="B42" s="5" t="s">
        <v>550</v>
      </c>
      <c r="C42" s="5" t="s">
        <v>550</v>
      </c>
      <c r="D42" t="b">
        <f t="shared" si="0"/>
        <v>0</v>
      </c>
    </row>
    <row r="43" spans="1:4" x14ac:dyDescent="0.25">
      <c r="A43" t="s">
        <v>34</v>
      </c>
      <c r="B43" s="5" t="s">
        <v>549</v>
      </c>
      <c r="C43" s="5" t="s">
        <v>549</v>
      </c>
      <c r="D43" t="b">
        <f t="shared" si="0"/>
        <v>0</v>
      </c>
    </row>
    <row r="44" spans="1:4" x14ac:dyDescent="0.25">
      <c r="A44" t="s">
        <v>34</v>
      </c>
      <c r="B44" s="5" t="s">
        <v>199</v>
      </c>
      <c r="C44" s="5" t="s">
        <v>199</v>
      </c>
      <c r="D44" t="b">
        <f t="shared" si="0"/>
        <v>0</v>
      </c>
    </row>
    <row r="45" spans="1:4" x14ac:dyDescent="0.25">
      <c r="A45" t="s">
        <v>34</v>
      </c>
      <c r="B45" s="5" t="s">
        <v>815</v>
      </c>
      <c r="C45" s="5" t="s">
        <v>815</v>
      </c>
      <c r="D45" t="b">
        <f t="shared" si="0"/>
        <v>0</v>
      </c>
    </row>
    <row r="46" spans="1:4" x14ac:dyDescent="0.25">
      <c r="A46" t="s">
        <v>34</v>
      </c>
      <c r="B46" s="5" t="s">
        <v>203</v>
      </c>
      <c r="C46" s="5" t="s">
        <v>203</v>
      </c>
      <c r="D46" t="b">
        <f t="shared" si="0"/>
        <v>0</v>
      </c>
    </row>
    <row r="47" spans="1:4" x14ac:dyDescent="0.25">
      <c r="A47" t="s">
        <v>34</v>
      </c>
      <c r="B47" s="5" t="s">
        <v>206</v>
      </c>
      <c r="C47" s="5" t="s">
        <v>206</v>
      </c>
      <c r="D47" t="b">
        <f t="shared" si="0"/>
        <v>0</v>
      </c>
    </row>
    <row r="48" spans="1:4" x14ac:dyDescent="0.25">
      <c r="A48" t="s">
        <v>34</v>
      </c>
      <c r="B48" s="5" t="s">
        <v>204</v>
      </c>
      <c r="C48" s="5" t="s">
        <v>204</v>
      </c>
      <c r="D48" t="b">
        <f t="shared" si="0"/>
        <v>0</v>
      </c>
    </row>
    <row r="49" spans="1:6" x14ac:dyDescent="0.25">
      <c r="A49" t="s">
        <v>34</v>
      </c>
      <c r="B49" s="5" t="s">
        <v>831</v>
      </c>
      <c r="C49" s="5" t="s">
        <v>1907</v>
      </c>
      <c r="D49" t="b">
        <f t="shared" si="0"/>
        <v>1</v>
      </c>
    </row>
    <row r="50" spans="1:6" x14ac:dyDescent="0.25">
      <c r="A50" t="s">
        <v>34</v>
      </c>
      <c r="B50" s="5" t="s">
        <v>816</v>
      </c>
      <c r="C50" s="5" t="s">
        <v>816</v>
      </c>
      <c r="D50" t="b">
        <f t="shared" si="0"/>
        <v>0</v>
      </c>
    </row>
    <row r="51" spans="1:6" x14ac:dyDescent="0.25">
      <c r="A51" t="s">
        <v>34</v>
      </c>
      <c r="B51" s="5" t="s">
        <v>817</v>
      </c>
      <c r="C51" s="5" t="s">
        <v>817</v>
      </c>
      <c r="D51" t="b">
        <f t="shared" si="0"/>
        <v>0</v>
      </c>
    </row>
    <row r="52" spans="1:6" x14ac:dyDescent="0.25">
      <c r="A52" t="s">
        <v>35</v>
      </c>
      <c r="B52" s="5" t="s">
        <v>818</v>
      </c>
      <c r="C52" s="5" t="s">
        <v>818</v>
      </c>
      <c r="D52" t="b">
        <f t="shared" si="0"/>
        <v>0</v>
      </c>
    </row>
    <row r="53" spans="1:6" x14ac:dyDescent="0.25">
      <c r="A53" t="s">
        <v>35</v>
      </c>
      <c r="B53" s="5" t="s">
        <v>90</v>
      </c>
      <c r="C53" s="5" t="s">
        <v>90</v>
      </c>
      <c r="D53" t="b">
        <f t="shared" si="0"/>
        <v>0</v>
      </c>
    </row>
    <row r="54" spans="1:6" x14ac:dyDescent="0.25">
      <c r="A54" t="s">
        <v>35</v>
      </c>
      <c r="B54" s="5" t="s">
        <v>819</v>
      </c>
      <c r="C54" s="5" t="s">
        <v>819</v>
      </c>
      <c r="D54" t="b">
        <f t="shared" si="0"/>
        <v>0</v>
      </c>
      <c r="F54"/>
    </row>
    <row r="55" spans="1:6" x14ac:dyDescent="0.25">
      <c r="A55" t="s">
        <v>35</v>
      </c>
      <c r="B55" s="5" t="s">
        <v>1728</v>
      </c>
      <c r="C55" s="5" t="s">
        <v>1728</v>
      </c>
      <c r="D55" t="b">
        <f t="shared" si="0"/>
        <v>0</v>
      </c>
    </row>
    <row r="56" spans="1:6" x14ac:dyDescent="0.25">
      <c r="A56" t="s">
        <v>35</v>
      </c>
      <c r="B56" s="5" t="s">
        <v>820</v>
      </c>
      <c r="C56" s="5" t="s">
        <v>820</v>
      </c>
      <c r="D56" t="b">
        <f t="shared" si="0"/>
        <v>0</v>
      </c>
    </row>
    <row r="57" spans="1:6" x14ac:dyDescent="0.25">
      <c r="A57" t="s">
        <v>35</v>
      </c>
      <c r="B57" s="5" t="s">
        <v>821</v>
      </c>
      <c r="C57" s="5" t="s">
        <v>821</v>
      </c>
      <c r="D57" t="b">
        <f t="shared" si="0"/>
        <v>0</v>
      </c>
    </row>
    <row r="58" spans="1:6" x14ac:dyDescent="0.25">
      <c r="A58" t="s">
        <v>35</v>
      </c>
      <c r="B58" s="5" t="s">
        <v>822</v>
      </c>
      <c r="C58" s="5" t="s">
        <v>822</v>
      </c>
      <c r="D58" t="b">
        <f t="shared" si="0"/>
        <v>0</v>
      </c>
    </row>
    <row r="59" spans="1:6" x14ac:dyDescent="0.25">
      <c r="A59" t="s">
        <v>35</v>
      </c>
      <c r="B59" s="5" t="s">
        <v>823</v>
      </c>
      <c r="C59" s="5" t="s">
        <v>823</v>
      </c>
      <c r="D59" t="b">
        <f t="shared" si="0"/>
        <v>0</v>
      </c>
    </row>
    <row r="60" spans="1:6" x14ac:dyDescent="0.25">
      <c r="A60" t="s">
        <v>35</v>
      </c>
      <c r="B60" s="5" t="s">
        <v>824</v>
      </c>
      <c r="C60" s="5" t="s">
        <v>824</v>
      </c>
      <c r="D60" t="b">
        <f t="shared" si="0"/>
        <v>0</v>
      </c>
    </row>
    <row r="61" spans="1:6" x14ac:dyDescent="0.25">
      <c r="A61" t="s">
        <v>35</v>
      </c>
      <c r="B61" s="5" t="s">
        <v>825</v>
      </c>
      <c r="C61" s="5" t="s">
        <v>825</v>
      </c>
      <c r="D61" t="b">
        <f t="shared" si="0"/>
        <v>0</v>
      </c>
    </row>
    <row r="62" spans="1:6" x14ac:dyDescent="0.25">
      <c r="A62" t="s">
        <v>35</v>
      </c>
      <c r="B62" s="5" t="s">
        <v>1594</v>
      </c>
      <c r="C62" s="5" t="s">
        <v>1594</v>
      </c>
      <c r="D62" t="b">
        <f t="shared" si="0"/>
        <v>0</v>
      </c>
    </row>
    <row r="63" spans="1:6" x14ac:dyDescent="0.25">
      <c r="A63" t="s">
        <v>803</v>
      </c>
      <c r="B63" s="5" t="s">
        <v>827</v>
      </c>
      <c r="C63" s="5" t="s">
        <v>827</v>
      </c>
      <c r="D63" t="b">
        <f t="shared" si="0"/>
        <v>0</v>
      </c>
    </row>
    <row r="64" spans="1:6" x14ac:dyDescent="0.25">
      <c r="A64" t="s">
        <v>803</v>
      </c>
      <c r="B64" s="5" t="s">
        <v>828</v>
      </c>
      <c r="C64" s="5" t="s">
        <v>828</v>
      </c>
      <c r="D64" t="b">
        <f t="shared" si="0"/>
        <v>0</v>
      </c>
    </row>
    <row r="65" spans="1:4" x14ac:dyDescent="0.25">
      <c r="A65" t="s">
        <v>803</v>
      </c>
      <c r="B65" s="5" t="s">
        <v>829</v>
      </c>
      <c r="C65" s="5" t="s">
        <v>829</v>
      </c>
      <c r="D65" t="b">
        <f t="shared" si="0"/>
        <v>0</v>
      </c>
    </row>
    <row r="66" spans="1:4" x14ac:dyDescent="0.25">
      <c r="A66" t="s">
        <v>803</v>
      </c>
      <c r="B66" s="5" t="s">
        <v>830</v>
      </c>
      <c r="C66" s="5" t="s">
        <v>830</v>
      </c>
      <c r="D66" t="b">
        <f t="shared" si="0"/>
        <v>0</v>
      </c>
    </row>
    <row r="67" spans="1:4" x14ac:dyDescent="0.25">
      <c r="A67" t="s">
        <v>803</v>
      </c>
      <c r="B67" s="5" t="s">
        <v>832</v>
      </c>
      <c r="C67" s="5" t="s">
        <v>832</v>
      </c>
      <c r="D67" t="b">
        <f t="shared" si="0"/>
        <v>0</v>
      </c>
    </row>
    <row r="68" spans="1:4" x14ac:dyDescent="0.25">
      <c r="A68" t="s">
        <v>803</v>
      </c>
      <c r="B68" s="5" t="s">
        <v>833</v>
      </c>
      <c r="C68" s="5" t="s">
        <v>833</v>
      </c>
      <c r="D68" t="b">
        <f t="shared" si="0"/>
        <v>0</v>
      </c>
    </row>
    <row r="69" spans="1:4" x14ac:dyDescent="0.25">
      <c r="A69" t="s">
        <v>803</v>
      </c>
      <c r="B69" s="5" t="s">
        <v>834</v>
      </c>
      <c r="C69" s="5" t="s">
        <v>834</v>
      </c>
      <c r="D69" t="b">
        <f t="shared" ref="D69:D102" si="2">B69&lt;&gt;C69</f>
        <v>0</v>
      </c>
    </row>
    <row r="70" spans="1:4" x14ac:dyDescent="0.25">
      <c r="A70" t="s">
        <v>803</v>
      </c>
      <c r="B70" s="5" t="s">
        <v>835</v>
      </c>
      <c r="C70" s="5" t="s">
        <v>835</v>
      </c>
      <c r="D70" t="b">
        <f t="shared" si="2"/>
        <v>0</v>
      </c>
    </row>
    <row r="71" spans="1:4" x14ac:dyDescent="0.25">
      <c r="A71" t="s">
        <v>803</v>
      </c>
      <c r="B71" s="5" t="s">
        <v>248</v>
      </c>
      <c r="C71" s="5" t="s">
        <v>248</v>
      </c>
      <c r="D71" t="b">
        <f t="shared" si="2"/>
        <v>0</v>
      </c>
    </row>
    <row r="72" spans="1:4" x14ac:dyDescent="0.25">
      <c r="A72" t="s">
        <v>803</v>
      </c>
      <c r="B72" s="5" t="s">
        <v>247</v>
      </c>
      <c r="C72" s="5" t="s">
        <v>247</v>
      </c>
      <c r="D72" t="b">
        <f t="shared" si="2"/>
        <v>0</v>
      </c>
    </row>
    <row r="73" spans="1:4" x14ac:dyDescent="0.25">
      <c r="A73" t="s">
        <v>803</v>
      </c>
      <c r="B73" s="5" t="s">
        <v>296</v>
      </c>
      <c r="C73" s="5" t="s">
        <v>296</v>
      </c>
      <c r="D73" t="b">
        <f t="shared" si="2"/>
        <v>0</v>
      </c>
    </row>
    <row r="74" spans="1:4" x14ac:dyDescent="0.25">
      <c r="A74" t="s">
        <v>61</v>
      </c>
      <c r="B74" s="5" t="s">
        <v>836</v>
      </c>
      <c r="C74" s="5" t="s">
        <v>836</v>
      </c>
      <c r="D74" t="b">
        <f t="shared" si="2"/>
        <v>0</v>
      </c>
    </row>
    <row r="75" spans="1:4" x14ac:dyDescent="0.25">
      <c r="A75" t="s">
        <v>61</v>
      </c>
      <c r="B75" s="5" t="s">
        <v>837</v>
      </c>
      <c r="C75" s="5" t="s">
        <v>837</v>
      </c>
      <c r="D75" t="b">
        <f t="shared" si="2"/>
        <v>0</v>
      </c>
    </row>
    <row r="76" spans="1:4" x14ac:dyDescent="0.25">
      <c r="A76" t="s">
        <v>61</v>
      </c>
      <c r="B76" s="5" t="s">
        <v>838</v>
      </c>
      <c r="C76" s="5" t="s">
        <v>838</v>
      </c>
      <c r="D76" t="b">
        <f t="shared" si="2"/>
        <v>0</v>
      </c>
    </row>
    <row r="77" spans="1:4" x14ac:dyDescent="0.25">
      <c r="A77" t="s">
        <v>61</v>
      </c>
      <c r="B77" s="5" t="s">
        <v>839</v>
      </c>
      <c r="C77" s="5" t="s">
        <v>839</v>
      </c>
      <c r="D77" t="b">
        <f t="shared" si="2"/>
        <v>0</v>
      </c>
    </row>
    <row r="78" spans="1:4" x14ac:dyDescent="0.25">
      <c r="A78" t="s">
        <v>61</v>
      </c>
      <c r="B78" s="5" t="s">
        <v>840</v>
      </c>
      <c r="C78" s="5" t="s">
        <v>840</v>
      </c>
      <c r="D78" t="b">
        <f t="shared" si="2"/>
        <v>0</v>
      </c>
    </row>
    <row r="79" spans="1:4" x14ac:dyDescent="0.25">
      <c r="A79" t="s">
        <v>61</v>
      </c>
      <c r="B79" s="5" t="s">
        <v>841</v>
      </c>
      <c r="C79" s="5" t="s">
        <v>841</v>
      </c>
      <c r="D79" t="b">
        <f t="shared" si="2"/>
        <v>0</v>
      </c>
    </row>
    <row r="80" spans="1:4" x14ac:dyDescent="0.25">
      <c r="A80" t="s">
        <v>61</v>
      </c>
      <c r="B80" s="5" t="s">
        <v>842</v>
      </c>
      <c r="C80" s="5" t="s">
        <v>842</v>
      </c>
      <c r="D80" t="b">
        <f t="shared" si="2"/>
        <v>0</v>
      </c>
    </row>
    <row r="81" spans="1:4" x14ac:dyDescent="0.25">
      <c r="A81" t="s">
        <v>61</v>
      </c>
      <c r="B81" s="5" t="s">
        <v>843</v>
      </c>
      <c r="C81" s="5" t="s">
        <v>843</v>
      </c>
      <c r="D81" t="b">
        <f t="shared" si="2"/>
        <v>0</v>
      </c>
    </row>
    <row r="82" spans="1:4" x14ac:dyDescent="0.25">
      <c r="A82" t="s">
        <v>61</v>
      </c>
      <c r="B82" s="5" t="s">
        <v>844</v>
      </c>
      <c r="C82" s="5" t="s">
        <v>844</v>
      </c>
      <c r="D82" t="b">
        <f t="shared" si="2"/>
        <v>0</v>
      </c>
    </row>
    <row r="83" spans="1:4" x14ac:dyDescent="0.25">
      <c r="A83" t="s">
        <v>61</v>
      </c>
      <c r="B83" s="5" t="s">
        <v>845</v>
      </c>
      <c r="C83" s="5" t="s">
        <v>845</v>
      </c>
      <c r="D83" t="b">
        <f t="shared" si="2"/>
        <v>0</v>
      </c>
    </row>
    <row r="84" spans="1:4" x14ac:dyDescent="0.25">
      <c r="A84" t="s">
        <v>61</v>
      </c>
      <c r="B84" s="5" t="s">
        <v>244</v>
      </c>
      <c r="C84" s="5" t="s">
        <v>244</v>
      </c>
      <c r="D84" t="b">
        <f t="shared" si="2"/>
        <v>0</v>
      </c>
    </row>
    <row r="85" spans="1:4" x14ac:dyDescent="0.25">
      <c r="A85" t="s">
        <v>61</v>
      </c>
      <c r="B85" s="5" t="s">
        <v>708</v>
      </c>
      <c r="C85" s="5" t="s">
        <v>708</v>
      </c>
      <c r="D85" t="b">
        <f t="shared" si="2"/>
        <v>0</v>
      </c>
    </row>
    <row r="86" spans="1:4" x14ac:dyDescent="0.25">
      <c r="A86" t="s">
        <v>61</v>
      </c>
      <c r="B86" s="5" t="s">
        <v>846</v>
      </c>
      <c r="C86" s="5" t="s">
        <v>846</v>
      </c>
      <c r="D86" t="b">
        <f t="shared" si="2"/>
        <v>0</v>
      </c>
    </row>
    <row r="87" spans="1:4" x14ac:dyDescent="0.25">
      <c r="A87" t="s">
        <v>61</v>
      </c>
      <c r="B87" s="5" t="s">
        <v>126</v>
      </c>
      <c r="C87" s="5" t="s">
        <v>126</v>
      </c>
      <c r="D87" t="b">
        <f t="shared" si="2"/>
        <v>0</v>
      </c>
    </row>
    <row r="88" spans="1:4" x14ac:dyDescent="0.25">
      <c r="A88" t="s">
        <v>189</v>
      </c>
      <c r="B88" s="5" t="s">
        <v>847</v>
      </c>
      <c r="C88" s="5" t="s">
        <v>847</v>
      </c>
      <c r="D88" t="b">
        <f t="shared" si="2"/>
        <v>0</v>
      </c>
    </row>
    <row r="89" spans="1:4" x14ac:dyDescent="0.25">
      <c r="A89" t="s">
        <v>189</v>
      </c>
      <c r="B89" s="5" t="s">
        <v>848</v>
      </c>
      <c r="C89" s="5" t="s">
        <v>848</v>
      </c>
      <c r="D89" t="b">
        <f t="shared" si="2"/>
        <v>0</v>
      </c>
    </row>
    <row r="90" spans="1:4" x14ac:dyDescent="0.25">
      <c r="A90" t="s">
        <v>189</v>
      </c>
      <c r="B90" s="5" t="s">
        <v>849</v>
      </c>
      <c r="C90" s="5" t="s">
        <v>849</v>
      </c>
      <c r="D90" t="b">
        <f t="shared" si="2"/>
        <v>0</v>
      </c>
    </row>
    <row r="91" spans="1:4" x14ac:dyDescent="0.25">
      <c r="A91" t="s">
        <v>189</v>
      </c>
      <c r="B91" s="5" t="s">
        <v>850</v>
      </c>
      <c r="C91" s="5" t="s">
        <v>1729</v>
      </c>
      <c r="D91" t="b">
        <f t="shared" si="2"/>
        <v>1</v>
      </c>
    </row>
    <row r="92" spans="1:4" x14ac:dyDescent="0.25">
      <c r="A92" t="s">
        <v>189</v>
      </c>
      <c r="B92" s="5" t="s">
        <v>851</v>
      </c>
      <c r="C92" s="5" t="s">
        <v>851</v>
      </c>
      <c r="D92" t="b">
        <f t="shared" si="2"/>
        <v>0</v>
      </c>
    </row>
    <row r="93" spans="1:4" x14ac:dyDescent="0.25">
      <c r="A93" t="s">
        <v>189</v>
      </c>
      <c r="B93" s="5" t="s">
        <v>852</v>
      </c>
      <c r="C93" s="5" t="s">
        <v>852</v>
      </c>
      <c r="D93" t="b">
        <f t="shared" si="2"/>
        <v>0</v>
      </c>
    </row>
    <row r="94" spans="1:4" x14ac:dyDescent="0.25">
      <c r="A94" t="s">
        <v>189</v>
      </c>
      <c r="B94" s="5" t="s">
        <v>853</v>
      </c>
      <c r="C94" s="5" t="s">
        <v>853</v>
      </c>
      <c r="D94" t="b">
        <f t="shared" si="2"/>
        <v>0</v>
      </c>
    </row>
    <row r="95" spans="1:4" x14ac:dyDescent="0.25">
      <c r="A95" t="s">
        <v>189</v>
      </c>
      <c r="B95" s="5" t="s">
        <v>854</v>
      </c>
      <c r="C95" s="5" t="s">
        <v>854</v>
      </c>
      <c r="D95" t="b">
        <f t="shared" si="2"/>
        <v>0</v>
      </c>
    </row>
    <row r="96" spans="1:4" x14ac:dyDescent="0.25">
      <c r="A96" t="s">
        <v>185</v>
      </c>
      <c r="B96" s="5" t="s">
        <v>855</v>
      </c>
      <c r="C96" s="5" t="s">
        <v>855</v>
      </c>
      <c r="D96" t="b">
        <f t="shared" si="2"/>
        <v>0</v>
      </c>
    </row>
    <row r="97" spans="1:4" x14ac:dyDescent="0.25">
      <c r="A97" t="s">
        <v>185</v>
      </c>
      <c r="B97" s="5" t="s">
        <v>856</v>
      </c>
      <c r="C97" s="5" t="s">
        <v>856</v>
      </c>
      <c r="D97" t="b">
        <f t="shared" si="2"/>
        <v>0</v>
      </c>
    </row>
    <row r="98" spans="1:4" x14ac:dyDescent="0.25">
      <c r="A98" t="s">
        <v>185</v>
      </c>
      <c r="B98" s="5" t="s">
        <v>118</v>
      </c>
      <c r="C98" s="5" t="s">
        <v>118</v>
      </c>
      <c r="D98" t="b">
        <f t="shared" si="2"/>
        <v>0</v>
      </c>
    </row>
    <row r="99" spans="1:4" x14ac:dyDescent="0.25">
      <c r="A99" t="s">
        <v>185</v>
      </c>
      <c r="B99" s="5" t="s">
        <v>117</v>
      </c>
      <c r="C99" s="5" t="s">
        <v>117</v>
      </c>
      <c r="D99" t="b">
        <f t="shared" si="2"/>
        <v>0</v>
      </c>
    </row>
    <row r="100" spans="1:4" x14ac:dyDescent="0.25">
      <c r="A100" t="s">
        <v>185</v>
      </c>
      <c r="B100" s="5" t="s">
        <v>98</v>
      </c>
      <c r="C100" s="5" t="s">
        <v>98</v>
      </c>
      <c r="D100" t="b">
        <f t="shared" si="2"/>
        <v>0</v>
      </c>
    </row>
    <row r="101" spans="1:4" x14ac:dyDescent="0.25">
      <c r="A101" t="s">
        <v>185</v>
      </c>
      <c r="B101" s="5" t="s">
        <v>857</v>
      </c>
      <c r="C101" s="5" t="s">
        <v>857</v>
      </c>
      <c r="D101" t="b">
        <f t="shared" si="2"/>
        <v>0</v>
      </c>
    </row>
    <row r="102" spans="1:4" x14ac:dyDescent="0.25">
      <c r="A102" t="s">
        <v>185</v>
      </c>
      <c r="B102" s="5" t="s">
        <v>858</v>
      </c>
      <c r="C102" s="5" t="s">
        <v>858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1ADA9BC5-7944-4620-ABA1-B0625CEC5E96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913B4F40-F016-4ACF-941E-1FA87BF69310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15-FAF5-4647-9F0B-1496C83D3244}">
  <sheetPr codeName="Planilha18"/>
  <dimension ref="A1:G102"/>
  <sheetViews>
    <sheetView topLeftCell="A2" workbookViewId="0">
      <selection activeCell="C16" sqref="C16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15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2</v>
      </c>
    </row>
    <row r="3" spans="1:7" x14ac:dyDescent="0.25">
      <c r="A3" s="21" t="s">
        <v>2002</v>
      </c>
      <c r="B3" s="5" t="s">
        <v>2035</v>
      </c>
      <c r="C3" s="5" t="s">
        <v>2035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859</v>
      </c>
      <c r="C4" s="5" t="s">
        <v>859</v>
      </c>
      <c r="D4" t="b">
        <f>B4&lt;&gt;C4</f>
        <v>0</v>
      </c>
    </row>
    <row r="5" spans="1:7" x14ac:dyDescent="0.25">
      <c r="A5" t="s">
        <v>28</v>
      </c>
      <c r="B5" s="5" t="s">
        <v>860</v>
      </c>
      <c r="C5" s="5" t="s">
        <v>860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861</v>
      </c>
      <c r="C6" s="5" t="s">
        <v>861</v>
      </c>
      <c r="D6" t="b">
        <f t="shared" si="0"/>
        <v>0</v>
      </c>
      <c r="F6" s="7" t="s">
        <v>2002</v>
      </c>
      <c r="G6" s="2">
        <f t="shared" ref="G6:G15" si="1">COUNTIF(A:A,F6)</f>
        <v>1</v>
      </c>
    </row>
    <row r="7" spans="1:7" x14ac:dyDescent="0.25">
      <c r="A7" t="s">
        <v>28</v>
      </c>
      <c r="B7" s="5" t="s">
        <v>33</v>
      </c>
      <c r="C7" s="5" t="s">
        <v>33</v>
      </c>
      <c r="D7" t="b">
        <f t="shared" si="0"/>
        <v>0</v>
      </c>
      <c r="F7" s="3" t="s">
        <v>28</v>
      </c>
      <c r="G7" s="2">
        <f t="shared" si="1"/>
        <v>34</v>
      </c>
    </row>
    <row r="8" spans="1:7" x14ac:dyDescent="0.25">
      <c r="A8" t="s">
        <v>28</v>
      </c>
      <c r="B8" s="5" t="s">
        <v>862</v>
      </c>
      <c r="C8" s="5" t="s">
        <v>862</v>
      </c>
      <c r="D8" t="b">
        <f t="shared" si="0"/>
        <v>0</v>
      </c>
      <c r="F8" s="7" t="s">
        <v>738</v>
      </c>
      <c r="G8" s="2">
        <f t="shared" si="1"/>
        <v>12</v>
      </c>
    </row>
    <row r="9" spans="1:7" x14ac:dyDescent="0.25">
      <c r="A9" t="s">
        <v>28</v>
      </c>
      <c r="B9" s="5" t="s">
        <v>196</v>
      </c>
      <c r="C9" s="5" t="s">
        <v>196</v>
      </c>
      <c r="D9" t="b">
        <f t="shared" si="0"/>
        <v>0</v>
      </c>
      <c r="F9" s="7" t="s">
        <v>143</v>
      </c>
      <c r="G9" s="2">
        <f t="shared" si="1"/>
        <v>13</v>
      </c>
    </row>
    <row r="10" spans="1:7" x14ac:dyDescent="0.25">
      <c r="A10" t="s">
        <v>28</v>
      </c>
      <c r="B10" s="5" t="s">
        <v>260</v>
      </c>
      <c r="C10" s="5" t="s">
        <v>260</v>
      </c>
      <c r="D10" t="b">
        <f t="shared" si="0"/>
        <v>0</v>
      </c>
      <c r="F10" s="7" t="s">
        <v>43</v>
      </c>
      <c r="G10" s="2">
        <f t="shared" si="1"/>
        <v>4</v>
      </c>
    </row>
    <row r="11" spans="1:7" x14ac:dyDescent="0.25">
      <c r="A11" t="s">
        <v>28</v>
      </c>
      <c r="B11" s="5" t="s">
        <v>863</v>
      </c>
      <c r="C11" s="5" t="s">
        <v>863</v>
      </c>
      <c r="D11" t="b">
        <f t="shared" si="0"/>
        <v>0</v>
      </c>
      <c r="F11" s="7" t="s">
        <v>36</v>
      </c>
      <c r="G11" s="2">
        <f t="shared" si="1"/>
        <v>6</v>
      </c>
    </row>
    <row r="12" spans="1:7" x14ac:dyDescent="0.25">
      <c r="A12" t="s">
        <v>28</v>
      </c>
      <c r="B12" s="5" t="s">
        <v>60</v>
      </c>
      <c r="C12" s="5" t="s">
        <v>60</v>
      </c>
      <c r="D12" t="b">
        <f t="shared" si="0"/>
        <v>0</v>
      </c>
      <c r="F12" s="7" t="s">
        <v>35</v>
      </c>
      <c r="G12" s="2">
        <f t="shared" si="1"/>
        <v>6</v>
      </c>
    </row>
    <row r="13" spans="1:7" x14ac:dyDescent="0.25">
      <c r="A13" t="s">
        <v>28</v>
      </c>
      <c r="B13" s="5" t="s">
        <v>333</v>
      </c>
      <c r="C13" s="5" t="s">
        <v>333</v>
      </c>
      <c r="D13" t="b">
        <f t="shared" si="0"/>
        <v>0</v>
      </c>
      <c r="F13" s="7" t="s">
        <v>189</v>
      </c>
      <c r="G13" s="2">
        <f t="shared" si="1"/>
        <v>8</v>
      </c>
    </row>
    <row r="14" spans="1:7" x14ac:dyDescent="0.25">
      <c r="A14" t="s">
        <v>28</v>
      </c>
      <c r="B14" s="5" t="s">
        <v>864</v>
      </c>
      <c r="C14" s="5" t="s">
        <v>864</v>
      </c>
      <c r="D14" t="b">
        <f t="shared" si="0"/>
        <v>0</v>
      </c>
      <c r="F14" s="7" t="s">
        <v>34</v>
      </c>
      <c r="G14" s="2">
        <f t="shared" si="1"/>
        <v>8</v>
      </c>
    </row>
    <row r="15" spans="1:7" x14ac:dyDescent="0.25">
      <c r="A15" t="s">
        <v>28</v>
      </c>
      <c r="B15" s="5" t="s">
        <v>865</v>
      </c>
      <c r="C15" s="5" t="s">
        <v>865</v>
      </c>
      <c r="D15" t="b">
        <f t="shared" si="0"/>
        <v>0</v>
      </c>
      <c r="F15" s="7" t="s">
        <v>329</v>
      </c>
      <c r="G15" s="2">
        <f t="shared" si="1"/>
        <v>8</v>
      </c>
    </row>
    <row r="16" spans="1:7" x14ac:dyDescent="0.25">
      <c r="A16" t="s">
        <v>28</v>
      </c>
      <c r="B16" s="5" t="s">
        <v>866</v>
      </c>
      <c r="C16" s="5" t="s">
        <v>866</v>
      </c>
      <c r="D16" t="b">
        <f t="shared" si="0"/>
        <v>0</v>
      </c>
    </row>
    <row r="17" spans="1:7" x14ac:dyDescent="0.25">
      <c r="A17" t="s">
        <v>28</v>
      </c>
      <c r="B17" s="5" t="s">
        <v>265</v>
      </c>
      <c r="C17" s="5" t="s">
        <v>265</v>
      </c>
      <c r="D17" t="b">
        <f t="shared" si="0"/>
        <v>0</v>
      </c>
    </row>
    <row r="18" spans="1:7" x14ac:dyDescent="0.25">
      <c r="A18" t="s">
        <v>28</v>
      </c>
      <c r="B18" s="5" t="s">
        <v>336</v>
      </c>
      <c r="C18" s="5" t="s">
        <v>336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 t="s">
        <v>188</v>
      </c>
      <c r="C19" s="5" t="s">
        <v>188</v>
      </c>
      <c r="D19" t="b">
        <f t="shared" si="0"/>
        <v>0</v>
      </c>
    </row>
    <row r="20" spans="1:7" x14ac:dyDescent="0.25">
      <c r="A20" t="s">
        <v>28</v>
      </c>
      <c r="B20" s="5" t="s">
        <v>267</v>
      </c>
      <c r="C20" s="5" t="s">
        <v>267</v>
      </c>
      <c r="D20" t="b">
        <f t="shared" si="0"/>
        <v>0</v>
      </c>
    </row>
    <row r="21" spans="1:7" x14ac:dyDescent="0.25">
      <c r="A21" t="s">
        <v>28</v>
      </c>
      <c r="B21" s="5" t="s">
        <v>467</v>
      </c>
      <c r="C21" s="5" t="s">
        <v>467</v>
      </c>
      <c r="D21" t="b">
        <f t="shared" si="0"/>
        <v>0</v>
      </c>
    </row>
    <row r="22" spans="1:7" x14ac:dyDescent="0.25">
      <c r="A22" t="s">
        <v>28</v>
      </c>
      <c r="B22" s="5" t="s">
        <v>192</v>
      </c>
      <c r="C22" s="5" t="s">
        <v>192</v>
      </c>
      <c r="D22" t="b">
        <f t="shared" si="0"/>
        <v>0</v>
      </c>
    </row>
    <row r="23" spans="1:7" x14ac:dyDescent="0.25">
      <c r="A23" t="s">
        <v>28</v>
      </c>
      <c r="B23" s="5" t="s">
        <v>41</v>
      </c>
      <c r="C23" s="5" t="s">
        <v>330</v>
      </c>
      <c r="D23" t="b">
        <f t="shared" si="0"/>
        <v>1</v>
      </c>
    </row>
    <row r="24" spans="1:7" x14ac:dyDescent="0.25">
      <c r="A24" t="s">
        <v>28</v>
      </c>
      <c r="B24" s="5" t="s">
        <v>867</v>
      </c>
      <c r="C24" s="5" t="s">
        <v>867</v>
      </c>
      <c r="D24" t="b">
        <f t="shared" si="0"/>
        <v>0</v>
      </c>
    </row>
    <row r="25" spans="1:7" x14ac:dyDescent="0.25">
      <c r="A25" t="s">
        <v>28</v>
      </c>
      <c r="B25" s="5" t="s">
        <v>38</v>
      </c>
      <c r="C25" s="5" t="s">
        <v>38</v>
      </c>
      <c r="D25" t="b">
        <f t="shared" si="0"/>
        <v>0</v>
      </c>
    </row>
    <row r="26" spans="1:7" x14ac:dyDescent="0.25">
      <c r="A26" t="s">
        <v>28</v>
      </c>
      <c r="B26" s="5" t="s">
        <v>38</v>
      </c>
      <c r="C26" s="5" t="s">
        <v>38</v>
      </c>
      <c r="D26" t="b">
        <f t="shared" si="0"/>
        <v>0</v>
      </c>
    </row>
    <row r="27" spans="1:7" x14ac:dyDescent="0.25">
      <c r="A27" t="s">
        <v>28</v>
      </c>
      <c r="B27" s="5" t="s">
        <v>38</v>
      </c>
      <c r="C27" s="5" t="s">
        <v>38</v>
      </c>
      <c r="D27" t="b">
        <f t="shared" si="0"/>
        <v>0</v>
      </c>
    </row>
    <row r="28" spans="1:7" x14ac:dyDescent="0.25">
      <c r="A28" t="s">
        <v>28</v>
      </c>
      <c r="B28" s="5" t="s">
        <v>38</v>
      </c>
      <c r="C28" s="5" t="s">
        <v>38</v>
      </c>
      <c r="D28" t="b">
        <f t="shared" si="0"/>
        <v>0</v>
      </c>
    </row>
    <row r="29" spans="1:7" x14ac:dyDescent="0.25">
      <c r="A29" t="s">
        <v>28</v>
      </c>
      <c r="B29" s="5" t="s">
        <v>38</v>
      </c>
      <c r="C29" s="5" t="s">
        <v>38</v>
      </c>
      <c r="D29" t="b">
        <f t="shared" si="0"/>
        <v>0</v>
      </c>
    </row>
    <row r="30" spans="1:7" x14ac:dyDescent="0.25">
      <c r="A30" t="s">
        <v>28</v>
      </c>
      <c r="B30" s="5" t="s">
        <v>41</v>
      </c>
      <c r="C30" s="5" t="s">
        <v>41</v>
      </c>
      <c r="D30" t="b">
        <f t="shared" si="0"/>
        <v>0</v>
      </c>
    </row>
    <row r="31" spans="1:7" x14ac:dyDescent="0.25">
      <c r="A31" t="s">
        <v>28</v>
      </c>
      <c r="B31" s="5" t="s">
        <v>41</v>
      </c>
      <c r="C31" s="5" t="s">
        <v>41</v>
      </c>
      <c r="D31" t="b">
        <f t="shared" si="0"/>
        <v>0</v>
      </c>
    </row>
    <row r="32" spans="1:7" x14ac:dyDescent="0.25">
      <c r="A32" t="s">
        <v>28</v>
      </c>
      <c r="B32" s="5" t="s">
        <v>41</v>
      </c>
      <c r="C32" s="5" t="s">
        <v>41</v>
      </c>
      <c r="D32" t="b">
        <f t="shared" si="0"/>
        <v>0</v>
      </c>
    </row>
    <row r="33" spans="1:4" x14ac:dyDescent="0.25">
      <c r="A33" t="s">
        <v>28</v>
      </c>
      <c r="B33" s="5" t="s">
        <v>41</v>
      </c>
      <c r="C33" s="5" t="s">
        <v>41</v>
      </c>
      <c r="D33" t="b">
        <f t="shared" si="0"/>
        <v>0</v>
      </c>
    </row>
    <row r="34" spans="1:4" x14ac:dyDescent="0.25">
      <c r="A34" t="s">
        <v>28</v>
      </c>
      <c r="B34" s="5" t="s">
        <v>41</v>
      </c>
      <c r="C34" s="5" t="s">
        <v>41</v>
      </c>
      <c r="D34" t="b">
        <f t="shared" si="0"/>
        <v>0</v>
      </c>
    </row>
    <row r="35" spans="1:4" x14ac:dyDescent="0.25">
      <c r="A35" t="s">
        <v>28</v>
      </c>
      <c r="B35" s="5" t="s">
        <v>37</v>
      </c>
      <c r="C35" s="5" t="s">
        <v>37</v>
      </c>
      <c r="D35" t="b">
        <f t="shared" si="0"/>
        <v>0</v>
      </c>
    </row>
    <row r="36" spans="1:4" x14ac:dyDescent="0.25">
      <c r="A36" t="s">
        <v>28</v>
      </c>
      <c r="B36" s="5" t="s">
        <v>37</v>
      </c>
      <c r="C36" s="5" t="s">
        <v>37</v>
      </c>
      <c r="D36" t="b">
        <f t="shared" si="0"/>
        <v>0</v>
      </c>
    </row>
    <row r="37" spans="1:4" x14ac:dyDescent="0.25">
      <c r="A37" t="s">
        <v>28</v>
      </c>
      <c r="B37" s="5" t="s">
        <v>37</v>
      </c>
      <c r="C37" s="5" t="s">
        <v>37</v>
      </c>
      <c r="D37" t="b">
        <f t="shared" si="0"/>
        <v>0</v>
      </c>
    </row>
    <row r="38" spans="1:4" x14ac:dyDescent="0.25">
      <c r="A38" t="s">
        <v>738</v>
      </c>
      <c r="B38" s="5" t="s">
        <v>868</v>
      </c>
      <c r="C38" s="5" t="s">
        <v>868</v>
      </c>
      <c r="D38" t="b">
        <f t="shared" si="0"/>
        <v>0</v>
      </c>
    </row>
    <row r="39" spans="1:4" x14ac:dyDescent="0.25">
      <c r="A39" t="s">
        <v>738</v>
      </c>
      <c r="B39" s="5" t="s">
        <v>869</v>
      </c>
      <c r="C39" s="5" t="s">
        <v>869</v>
      </c>
      <c r="D39" t="b">
        <f t="shared" si="0"/>
        <v>0</v>
      </c>
    </row>
    <row r="40" spans="1:4" x14ac:dyDescent="0.25">
      <c r="A40" t="s">
        <v>738</v>
      </c>
      <c r="B40" s="5" t="s">
        <v>870</v>
      </c>
      <c r="C40" s="5" t="s">
        <v>870</v>
      </c>
      <c r="D40" t="b">
        <f t="shared" si="0"/>
        <v>0</v>
      </c>
    </row>
    <row r="41" spans="1:4" x14ac:dyDescent="0.25">
      <c r="A41" t="s">
        <v>738</v>
      </c>
      <c r="B41" s="5" t="s">
        <v>871</v>
      </c>
      <c r="C41" s="5" t="s">
        <v>871</v>
      </c>
      <c r="D41" t="b">
        <f t="shared" si="0"/>
        <v>0</v>
      </c>
    </row>
    <row r="42" spans="1:4" x14ac:dyDescent="0.25">
      <c r="A42" t="s">
        <v>738</v>
      </c>
      <c r="B42" s="5" t="s">
        <v>872</v>
      </c>
      <c r="C42" s="5" t="s">
        <v>872</v>
      </c>
      <c r="D42" t="b">
        <f t="shared" si="0"/>
        <v>0</v>
      </c>
    </row>
    <row r="43" spans="1:4" x14ac:dyDescent="0.25">
      <c r="A43" t="s">
        <v>738</v>
      </c>
      <c r="B43" s="5" t="s">
        <v>873</v>
      </c>
      <c r="C43" s="5" t="s">
        <v>873</v>
      </c>
      <c r="D43" t="b">
        <f t="shared" si="0"/>
        <v>0</v>
      </c>
    </row>
    <row r="44" spans="1:4" x14ac:dyDescent="0.25">
      <c r="A44" t="s">
        <v>738</v>
      </c>
      <c r="B44" s="5" t="s">
        <v>874</v>
      </c>
      <c r="C44" s="5" t="s">
        <v>875</v>
      </c>
      <c r="D44" t="b">
        <f t="shared" si="0"/>
        <v>1</v>
      </c>
    </row>
    <row r="45" spans="1:4" x14ac:dyDescent="0.25">
      <c r="A45" t="s">
        <v>738</v>
      </c>
      <c r="B45" s="5" t="s">
        <v>878</v>
      </c>
      <c r="C45" s="5" t="s">
        <v>878</v>
      </c>
      <c r="D45" t="b">
        <f t="shared" si="0"/>
        <v>0</v>
      </c>
    </row>
    <row r="46" spans="1:4" x14ac:dyDescent="0.25">
      <c r="A46" t="s">
        <v>738</v>
      </c>
      <c r="B46" s="5" t="s">
        <v>879</v>
      </c>
      <c r="C46" s="5" t="s">
        <v>879</v>
      </c>
      <c r="D46" t="b">
        <f t="shared" si="0"/>
        <v>0</v>
      </c>
    </row>
    <row r="47" spans="1:4" x14ac:dyDescent="0.25">
      <c r="A47" t="s">
        <v>738</v>
      </c>
      <c r="B47" s="5" t="s">
        <v>880</v>
      </c>
      <c r="C47" s="5" t="s">
        <v>880</v>
      </c>
      <c r="D47" t="b">
        <f t="shared" si="0"/>
        <v>0</v>
      </c>
    </row>
    <row r="48" spans="1:4" x14ac:dyDescent="0.25">
      <c r="A48" t="s">
        <v>738</v>
      </c>
      <c r="B48" s="5" t="s">
        <v>883</v>
      </c>
      <c r="C48" s="5" t="s">
        <v>883</v>
      </c>
      <c r="D48" t="b">
        <f t="shared" si="0"/>
        <v>0</v>
      </c>
    </row>
    <row r="49" spans="1:4" x14ac:dyDescent="0.25">
      <c r="A49" t="s">
        <v>738</v>
      </c>
      <c r="B49" s="5" t="s">
        <v>885</v>
      </c>
      <c r="C49" s="5" t="s">
        <v>885</v>
      </c>
      <c r="D49" t="b">
        <f t="shared" si="0"/>
        <v>0</v>
      </c>
    </row>
    <row r="50" spans="1:4" x14ac:dyDescent="0.25">
      <c r="A50" t="s">
        <v>143</v>
      </c>
      <c r="B50" s="5" t="s">
        <v>887</v>
      </c>
      <c r="C50" s="5" t="s">
        <v>887</v>
      </c>
      <c r="D50" t="b">
        <f t="shared" si="0"/>
        <v>0</v>
      </c>
    </row>
    <row r="51" spans="1:4" x14ac:dyDescent="0.25">
      <c r="A51" t="s">
        <v>143</v>
      </c>
      <c r="B51" s="5" t="s">
        <v>888</v>
      </c>
      <c r="C51" s="5" t="s">
        <v>888</v>
      </c>
      <c r="D51" t="b">
        <f t="shared" si="0"/>
        <v>0</v>
      </c>
    </row>
    <row r="52" spans="1:4" x14ac:dyDescent="0.25">
      <c r="A52" t="s">
        <v>143</v>
      </c>
      <c r="B52" s="5" t="s">
        <v>889</v>
      </c>
      <c r="C52" s="5" t="s">
        <v>889</v>
      </c>
      <c r="D52" t="b">
        <f t="shared" si="0"/>
        <v>0</v>
      </c>
    </row>
    <row r="53" spans="1:4" x14ac:dyDescent="0.25">
      <c r="A53" t="s">
        <v>143</v>
      </c>
      <c r="B53" s="5" t="s">
        <v>890</v>
      </c>
      <c r="C53" s="5" t="s">
        <v>890</v>
      </c>
      <c r="D53" t="b">
        <f t="shared" si="0"/>
        <v>0</v>
      </c>
    </row>
    <row r="54" spans="1:4" x14ac:dyDescent="0.25">
      <c r="A54" t="s">
        <v>143</v>
      </c>
      <c r="B54" s="5" t="s">
        <v>891</v>
      </c>
      <c r="C54" s="5" t="s">
        <v>891</v>
      </c>
      <c r="D54" t="b">
        <f t="shared" si="0"/>
        <v>0</v>
      </c>
    </row>
    <row r="55" spans="1:4" x14ac:dyDescent="0.25">
      <c r="A55" t="s">
        <v>143</v>
      </c>
      <c r="B55" s="5" t="s">
        <v>877</v>
      </c>
      <c r="C55" s="5" t="s">
        <v>877</v>
      </c>
      <c r="D55" t="b">
        <f t="shared" si="0"/>
        <v>0</v>
      </c>
    </row>
    <row r="56" spans="1:4" x14ac:dyDescent="0.25">
      <c r="A56" t="s">
        <v>143</v>
      </c>
      <c r="B56" s="5" t="s">
        <v>892</v>
      </c>
      <c r="C56" s="5" t="s">
        <v>892</v>
      </c>
      <c r="D56" t="b">
        <f t="shared" si="0"/>
        <v>0</v>
      </c>
    </row>
    <row r="57" spans="1:4" x14ac:dyDescent="0.25">
      <c r="A57" t="s">
        <v>143</v>
      </c>
      <c r="B57" s="5" t="s">
        <v>893</v>
      </c>
      <c r="C57" s="5" t="s">
        <v>893</v>
      </c>
      <c r="D57" t="b">
        <f t="shared" si="0"/>
        <v>0</v>
      </c>
    </row>
    <row r="58" spans="1:4" x14ac:dyDescent="0.25">
      <c r="A58" t="s">
        <v>143</v>
      </c>
      <c r="B58" s="5" t="s">
        <v>894</v>
      </c>
      <c r="C58" s="5" t="s">
        <v>894</v>
      </c>
      <c r="D58" t="b">
        <f t="shared" si="0"/>
        <v>0</v>
      </c>
    </row>
    <row r="59" spans="1:4" x14ac:dyDescent="0.25">
      <c r="A59" t="s">
        <v>143</v>
      </c>
      <c r="B59" s="5" t="s">
        <v>895</v>
      </c>
      <c r="C59" s="5" t="s">
        <v>895</v>
      </c>
      <c r="D59" t="b">
        <f t="shared" si="0"/>
        <v>0</v>
      </c>
    </row>
    <row r="60" spans="1:4" x14ac:dyDescent="0.25">
      <c r="A60" t="s">
        <v>143</v>
      </c>
      <c r="B60" s="5" t="s">
        <v>1663</v>
      </c>
      <c r="C60" s="5" t="s">
        <v>1663</v>
      </c>
      <c r="D60" t="b">
        <f t="shared" si="0"/>
        <v>0</v>
      </c>
    </row>
    <row r="61" spans="1:4" x14ac:dyDescent="0.25">
      <c r="A61" t="s">
        <v>143</v>
      </c>
      <c r="B61" s="5" t="s">
        <v>896</v>
      </c>
      <c r="C61" s="5" t="s">
        <v>896</v>
      </c>
      <c r="D61" t="b">
        <f t="shared" si="0"/>
        <v>0</v>
      </c>
    </row>
    <row r="62" spans="1:4" x14ac:dyDescent="0.25">
      <c r="A62" t="s">
        <v>143</v>
      </c>
      <c r="B62" s="5" t="s">
        <v>897</v>
      </c>
      <c r="C62" s="5" t="s">
        <v>897</v>
      </c>
      <c r="D62" t="b">
        <f t="shared" si="0"/>
        <v>0</v>
      </c>
    </row>
    <row r="63" spans="1:4" x14ac:dyDescent="0.25">
      <c r="A63" t="s">
        <v>34</v>
      </c>
      <c r="B63" s="5" t="s">
        <v>151</v>
      </c>
      <c r="C63" s="5" t="s">
        <v>151</v>
      </c>
      <c r="D63" t="b">
        <f t="shared" si="0"/>
        <v>0</v>
      </c>
    </row>
    <row r="64" spans="1:4" x14ac:dyDescent="0.25">
      <c r="A64" t="s">
        <v>34</v>
      </c>
      <c r="B64" s="5" t="s">
        <v>153</v>
      </c>
      <c r="C64" s="5" t="s">
        <v>153</v>
      </c>
      <c r="D64" t="b">
        <f t="shared" si="0"/>
        <v>0</v>
      </c>
    </row>
    <row r="65" spans="1:4" x14ac:dyDescent="0.25">
      <c r="A65" t="s">
        <v>34</v>
      </c>
      <c r="B65" s="5" t="s">
        <v>668</v>
      </c>
      <c r="C65" s="5" t="s">
        <v>668</v>
      </c>
      <c r="D65" t="b">
        <f t="shared" si="0"/>
        <v>0</v>
      </c>
    </row>
    <row r="66" spans="1:4" x14ac:dyDescent="0.25">
      <c r="A66" t="s">
        <v>34</v>
      </c>
      <c r="B66" s="5" t="s">
        <v>198</v>
      </c>
      <c r="C66" s="5" t="s">
        <v>198</v>
      </c>
      <c r="D66" t="b">
        <f t="shared" si="0"/>
        <v>0</v>
      </c>
    </row>
    <row r="67" spans="1:4" x14ac:dyDescent="0.25">
      <c r="A67" t="s">
        <v>34</v>
      </c>
      <c r="B67" s="5" t="s">
        <v>898</v>
      </c>
      <c r="C67" s="5" t="s">
        <v>898</v>
      </c>
      <c r="D67" t="b">
        <f t="shared" si="0"/>
        <v>0</v>
      </c>
    </row>
    <row r="68" spans="1:4" x14ac:dyDescent="0.25">
      <c r="A68" t="s">
        <v>34</v>
      </c>
      <c r="B68" s="5" t="s">
        <v>81</v>
      </c>
      <c r="C68" s="5" t="s">
        <v>81</v>
      </c>
      <c r="D68" t="b">
        <f t="shared" si="0"/>
        <v>0</v>
      </c>
    </row>
    <row r="69" spans="1:4" x14ac:dyDescent="0.25">
      <c r="A69" t="s">
        <v>34</v>
      </c>
      <c r="B69" s="5" t="s">
        <v>899</v>
      </c>
      <c r="C69" s="5" t="s">
        <v>899</v>
      </c>
      <c r="D69" t="b">
        <f t="shared" ref="D69:D102" si="2">B69&lt;&gt;C69</f>
        <v>0</v>
      </c>
    </row>
    <row r="70" spans="1:4" x14ac:dyDescent="0.25">
      <c r="A70" t="s">
        <v>43</v>
      </c>
      <c r="B70" s="5" t="s">
        <v>900</v>
      </c>
      <c r="C70" s="5" t="s">
        <v>900</v>
      </c>
      <c r="D70" t="b">
        <f t="shared" si="2"/>
        <v>0</v>
      </c>
    </row>
    <row r="71" spans="1:4" x14ac:dyDescent="0.25">
      <c r="A71" t="s">
        <v>43</v>
      </c>
      <c r="B71" s="5" t="s">
        <v>1606</v>
      </c>
      <c r="C71" s="5" t="s">
        <v>1606</v>
      </c>
      <c r="D71" t="b">
        <f t="shared" si="2"/>
        <v>0</v>
      </c>
    </row>
    <row r="72" spans="1:4" x14ac:dyDescent="0.25">
      <c r="A72" t="s">
        <v>43</v>
      </c>
      <c r="B72" s="5" t="s">
        <v>902</v>
      </c>
      <c r="C72" s="5" t="s">
        <v>902</v>
      </c>
      <c r="D72" t="b">
        <f t="shared" si="2"/>
        <v>0</v>
      </c>
    </row>
    <row r="73" spans="1:4" x14ac:dyDescent="0.25">
      <c r="A73" t="s">
        <v>43</v>
      </c>
      <c r="B73" s="5" t="s">
        <v>903</v>
      </c>
      <c r="C73" s="5" t="s">
        <v>903</v>
      </c>
      <c r="D73" t="b">
        <f t="shared" si="2"/>
        <v>0</v>
      </c>
    </row>
    <row r="74" spans="1:4" x14ac:dyDescent="0.25">
      <c r="A74" t="s">
        <v>189</v>
      </c>
      <c r="B74" s="5" t="s">
        <v>1759</v>
      </c>
      <c r="C74" s="5" t="s">
        <v>1759</v>
      </c>
      <c r="D74" t="b">
        <f t="shared" si="2"/>
        <v>0</v>
      </c>
    </row>
    <row r="75" spans="1:4" x14ac:dyDescent="0.25">
      <c r="A75" t="s">
        <v>189</v>
      </c>
      <c r="B75" s="5" t="s">
        <v>904</v>
      </c>
      <c r="C75" s="5" t="s">
        <v>904</v>
      </c>
      <c r="D75" t="b">
        <f t="shared" si="2"/>
        <v>0</v>
      </c>
    </row>
    <row r="76" spans="1:4" x14ac:dyDescent="0.25">
      <c r="A76" t="s">
        <v>34</v>
      </c>
      <c r="B76" s="5" t="s">
        <v>905</v>
      </c>
      <c r="C76" s="5" t="s">
        <v>905</v>
      </c>
      <c r="D76" t="b">
        <f t="shared" si="2"/>
        <v>0</v>
      </c>
    </row>
    <row r="77" spans="1:4" x14ac:dyDescent="0.25">
      <c r="A77" t="s">
        <v>189</v>
      </c>
      <c r="B77" s="5" t="s">
        <v>906</v>
      </c>
      <c r="C77" s="5" t="s">
        <v>906</v>
      </c>
      <c r="D77" t="b">
        <f t="shared" si="2"/>
        <v>0</v>
      </c>
    </row>
    <row r="78" spans="1:4" x14ac:dyDescent="0.25">
      <c r="A78" t="s">
        <v>189</v>
      </c>
      <c r="B78" s="5" t="s">
        <v>881</v>
      </c>
      <c r="C78" s="5" t="s">
        <v>881</v>
      </c>
      <c r="D78" t="b">
        <f t="shared" si="2"/>
        <v>0</v>
      </c>
    </row>
    <row r="79" spans="1:4" x14ac:dyDescent="0.25">
      <c r="A79" t="s">
        <v>189</v>
      </c>
      <c r="B79" s="5" t="s">
        <v>876</v>
      </c>
      <c r="C79" s="5" t="s">
        <v>876</v>
      </c>
      <c r="D79" t="b">
        <f t="shared" si="2"/>
        <v>0</v>
      </c>
    </row>
    <row r="80" spans="1:4" x14ac:dyDescent="0.25">
      <c r="A80" t="s">
        <v>189</v>
      </c>
      <c r="B80" s="5" t="s">
        <v>886</v>
      </c>
      <c r="C80" s="5" t="s">
        <v>886</v>
      </c>
      <c r="D80" t="b">
        <f t="shared" si="2"/>
        <v>0</v>
      </c>
    </row>
    <row r="81" spans="1:4" x14ac:dyDescent="0.25">
      <c r="A81" t="s">
        <v>189</v>
      </c>
      <c r="B81" s="5" t="s">
        <v>882</v>
      </c>
      <c r="C81" s="5" t="s">
        <v>882</v>
      </c>
      <c r="D81" t="b">
        <f t="shared" si="2"/>
        <v>0</v>
      </c>
    </row>
    <row r="82" spans="1:4" x14ac:dyDescent="0.25">
      <c r="A82" t="s">
        <v>189</v>
      </c>
      <c r="B82" s="5" t="s">
        <v>884</v>
      </c>
      <c r="C82" s="5" t="s">
        <v>884</v>
      </c>
      <c r="D82" t="b">
        <f t="shared" si="2"/>
        <v>0</v>
      </c>
    </row>
    <row r="83" spans="1:4" x14ac:dyDescent="0.25">
      <c r="A83" t="s">
        <v>36</v>
      </c>
      <c r="B83" s="5" t="s">
        <v>364</v>
      </c>
      <c r="C83" s="5" t="s">
        <v>364</v>
      </c>
      <c r="D83" t="b">
        <f t="shared" si="2"/>
        <v>0</v>
      </c>
    </row>
    <row r="84" spans="1:4" x14ac:dyDescent="0.25">
      <c r="A84" t="s">
        <v>36</v>
      </c>
      <c r="B84" s="5" t="s">
        <v>907</v>
      </c>
      <c r="C84" s="5" t="s">
        <v>907</v>
      </c>
      <c r="D84" t="b">
        <f t="shared" si="2"/>
        <v>0</v>
      </c>
    </row>
    <row r="85" spans="1:4" x14ac:dyDescent="0.25">
      <c r="A85" t="s">
        <v>36</v>
      </c>
      <c r="B85" s="5" t="s">
        <v>245</v>
      </c>
      <c r="C85" s="5" t="s">
        <v>245</v>
      </c>
      <c r="D85" t="b">
        <f t="shared" si="2"/>
        <v>0</v>
      </c>
    </row>
    <row r="86" spans="1:4" x14ac:dyDescent="0.25">
      <c r="A86" t="s">
        <v>36</v>
      </c>
      <c r="B86" s="5" t="s">
        <v>355</v>
      </c>
      <c r="C86" s="5" t="s">
        <v>355</v>
      </c>
      <c r="D86" t="b">
        <f t="shared" si="2"/>
        <v>0</v>
      </c>
    </row>
    <row r="87" spans="1:4" x14ac:dyDescent="0.25">
      <c r="A87" t="s">
        <v>36</v>
      </c>
      <c r="B87" s="5" t="s">
        <v>699</v>
      </c>
      <c r="C87" s="5" t="s">
        <v>699</v>
      </c>
      <c r="D87" t="b">
        <f t="shared" si="2"/>
        <v>0</v>
      </c>
    </row>
    <row r="88" spans="1:4" x14ac:dyDescent="0.25">
      <c r="A88" t="s">
        <v>36</v>
      </c>
      <c r="B88" s="5" t="s">
        <v>908</v>
      </c>
      <c r="C88" s="5" t="s">
        <v>908</v>
      </c>
      <c r="D88" t="b">
        <f t="shared" si="2"/>
        <v>0</v>
      </c>
    </row>
    <row r="89" spans="1:4" x14ac:dyDescent="0.25">
      <c r="A89" t="s">
        <v>35</v>
      </c>
      <c r="B89" s="5" t="s">
        <v>1600</v>
      </c>
      <c r="C89" s="5" t="s">
        <v>1600</v>
      </c>
      <c r="D89" t="b">
        <f t="shared" si="2"/>
        <v>0</v>
      </c>
    </row>
    <row r="90" spans="1:4" x14ac:dyDescent="0.25">
      <c r="A90" t="s">
        <v>35</v>
      </c>
      <c r="B90" s="5" t="s">
        <v>910</v>
      </c>
      <c r="C90" s="5" t="s">
        <v>910</v>
      </c>
      <c r="D90" t="b">
        <f t="shared" si="2"/>
        <v>0</v>
      </c>
    </row>
    <row r="91" spans="1:4" x14ac:dyDescent="0.25">
      <c r="A91" t="s">
        <v>35</v>
      </c>
      <c r="B91" s="5" t="s">
        <v>911</v>
      </c>
      <c r="C91" s="5" t="s">
        <v>911</v>
      </c>
      <c r="D91" t="b">
        <f t="shared" si="2"/>
        <v>0</v>
      </c>
    </row>
    <row r="92" spans="1:4" x14ac:dyDescent="0.25">
      <c r="A92" t="s">
        <v>35</v>
      </c>
      <c r="B92" s="5" t="s">
        <v>912</v>
      </c>
      <c r="C92" s="5" t="s">
        <v>912</v>
      </c>
      <c r="D92" t="b">
        <f t="shared" si="2"/>
        <v>0</v>
      </c>
    </row>
    <row r="93" spans="1:4" x14ac:dyDescent="0.25">
      <c r="A93" t="s">
        <v>35</v>
      </c>
      <c r="B93" s="5" t="s">
        <v>913</v>
      </c>
      <c r="C93" s="5" t="s">
        <v>913</v>
      </c>
      <c r="D93" t="b">
        <f t="shared" si="2"/>
        <v>0</v>
      </c>
    </row>
    <row r="94" spans="1:4" x14ac:dyDescent="0.25">
      <c r="A94" t="s">
        <v>35</v>
      </c>
      <c r="B94" s="5" t="s">
        <v>914</v>
      </c>
      <c r="C94" s="5" t="s">
        <v>914</v>
      </c>
      <c r="D94" t="b">
        <f t="shared" si="2"/>
        <v>0</v>
      </c>
    </row>
    <row r="95" spans="1:4" x14ac:dyDescent="0.25">
      <c r="A95" t="s">
        <v>329</v>
      </c>
      <c r="B95" s="5" t="s">
        <v>1760</v>
      </c>
      <c r="C95" s="5" t="s">
        <v>1760</v>
      </c>
      <c r="D95" t="b">
        <f t="shared" si="2"/>
        <v>0</v>
      </c>
    </row>
    <row r="96" spans="1:4" x14ac:dyDescent="0.25">
      <c r="A96" t="s">
        <v>329</v>
      </c>
      <c r="B96" s="5" t="s">
        <v>1761</v>
      </c>
      <c r="C96" s="5" t="s">
        <v>1761</v>
      </c>
      <c r="D96" t="b">
        <f t="shared" si="2"/>
        <v>0</v>
      </c>
    </row>
    <row r="97" spans="1:4" x14ac:dyDescent="0.25">
      <c r="A97" t="s">
        <v>329</v>
      </c>
      <c r="B97" s="5" t="s">
        <v>915</v>
      </c>
      <c r="C97" s="5" t="s">
        <v>915</v>
      </c>
      <c r="D97" t="b">
        <f t="shared" si="2"/>
        <v>0</v>
      </c>
    </row>
    <row r="98" spans="1:4" x14ac:dyDescent="0.25">
      <c r="A98" t="s">
        <v>329</v>
      </c>
      <c r="B98" s="5" t="s">
        <v>916</v>
      </c>
      <c r="C98" s="5" t="s">
        <v>916</v>
      </c>
      <c r="D98" t="b">
        <f t="shared" si="2"/>
        <v>0</v>
      </c>
    </row>
    <row r="99" spans="1:4" x14ac:dyDescent="0.25">
      <c r="A99" t="s">
        <v>329</v>
      </c>
      <c r="B99" s="5" t="s">
        <v>117</v>
      </c>
      <c r="C99" s="5" t="s">
        <v>117</v>
      </c>
      <c r="D99" t="b">
        <f t="shared" si="2"/>
        <v>0</v>
      </c>
    </row>
    <row r="100" spans="1:4" x14ac:dyDescent="0.25">
      <c r="A100" t="s">
        <v>329</v>
      </c>
      <c r="B100" s="5" t="s">
        <v>118</v>
      </c>
      <c r="C100" s="5" t="s">
        <v>118</v>
      </c>
      <c r="D100" t="b">
        <f t="shared" si="2"/>
        <v>0</v>
      </c>
    </row>
    <row r="101" spans="1:4" x14ac:dyDescent="0.25">
      <c r="A101" t="s">
        <v>329</v>
      </c>
      <c r="B101" s="5" t="s">
        <v>917</v>
      </c>
      <c r="C101" s="5" t="s">
        <v>917</v>
      </c>
      <c r="D101" t="b">
        <f t="shared" si="2"/>
        <v>0</v>
      </c>
    </row>
    <row r="102" spans="1:4" x14ac:dyDescent="0.25">
      <c r="A102" t="s">
        <v>329</v>
      </c>
      <c r="B102" s="5" t="s">
        <v>918</v>
      </c>
      <c r="C102" s="5" t="s">
        <v>918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66229BB-6DEC-46B9-8B82-41BC965761C7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C3DA73C5-1980-4555-AF69-E24CB67E10FE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432A-A041-4D66-AD92-9000ED2E2DDB}">
  <sheetPr codeName="Planilha27"/>
  <dimension ref="A1:G103"/>
  <sheetViews>
    <sheetView workbookViewId="0">
      <selection activeCell="J18" sqref="J18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1401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9</v>
      </c>
    </row>
    <row r="3" spans="1:7" x14ac:dyDescent="0.25">
      <c r="A3" s="5" t="s">
        <v>2002</v>
      </c>
      <c r="B3" s="5" t="s">
        <v>2019</v>
      </c>
      <c r="C3" s="5" t="s">
        <v>2019</v>
      </c>
      <c r="D3" t="b">
        <f>B3&lt;&gt;C3</f>
        <v>0</v>
      </c>
      <c r="F3" s="4" t="s">
        <v>30</v>
      </c>
      <c r="G3" s="3">
        <f>SUM(G6:G27)</f>
        <v>100</v>
      </c>
    </row>
    <row r="4" spans="1:7" x14ac:dyDescent="0.25">
      <c r="A4" s="5" t="s">
        <v>2002</v>
      </c>
      <c r="B4" s="5" t="s">
        <v>2036</v>
      </c>
      <c r="C4" s="5" t="s">
        <v>2036</v>
      </c>
      <c r="D4" t="b">
        <f>B4&lt;&gt;C4</f>
        <v>0</v>
      </c>
    </row>
    <row r="5" spans="1:7" x14ac:dyDescent="0.25">
      <c r="A5" t="s">
        <v>28</v>
      </c>
      <c r="B5" s="5" t="s">
        <v>33</v>
      </c>
      <c r="C5" s="5" t="s">
        <v>33</v>
      </c>
      <c r="D5" t="b">
        <f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60</v>
      </c>
      <c r="C6" s="5" t="s">
        <v>60</v>
      </c>
      <c r="D6" t="b">
        <f t="shared" ref="D6:D69" si="0">B6&lt;&gt;C6</f>
        <v>0</v>
      </c>
      <c r="F6" s="3" t="s">
        <v>2002</v>
      </c>
      <c r="G6" s="2">
        <f t="shared" ref="G6:G14" si="1">COUNTIF(A:A,F6)</f>
        <v>2</v>
      </c>
    </row>
    <row r="7" spans="1:7" x14ac:dyDescent="0.25">
      <c r="A7" t="s">
        <v>28</v>
      </c>
      <c r="B7" s="5" t="s">
        <v>51</v>
      </c>
      <c r="C7" s="5" t="s">
        <v>51</v>
      </c>
      <c r="D7" t="b">
        <f t="shared" si="0"/>
        <v>0</v>
      </c>
      <c r="F7" s="7" t="s">
        <v>28</v>
      </c>
      <c r="G7" s="2">
        <f t="shared" si="1"/>
        <v>37</v>
      </c>
    </row>
    <row r="8" spans="1:7" x14ac:dyDescent="0.25">
      <c r="A8" t="s">
        <v>28</v>
      </c>
      <c r="B8" s="5" t="s">
        <v>1402</v>
      </c>
      <c r="C8" s="5" t="s">
        <v>1402</v>
      </c>
      <c r="D8" t="b">
        <f t="shared" si="0"/>
        <v>0</v>
      </c>
      <c r="F8" s="7" t="s">
        <v>34</v>
      </c>
      <c r="G8" s="2">
        <f t="shared" si="1"/>
        <v>10</v>
      </c>
    </row>
    <row r="9" spans="1:7" x14ac:dyDescent="0.25">
      <c r="A9" t="s">
        <v>28</v>
      </c>
      <c r="B9" s="5" t="s">
        <v>813</v>
      </c>
      <c r="C9" s="5" t="s">
        <v>813</v>
      </c>
      <c r="D9" t="b">
        <f t="shared" si="0"/>
        <v>0</v>
      </c>
      <c r="F9" s="7" t="s">
        <v>35</v>
      </c>
      <c r="G9" s="2">
        <f t="shared" si="1"/>
        <v>12</v>
      </c>
    </row>
    <row r="10" spans="1:7" x14ac:dyDescent="0.25">
      <c r="A10" t="s">
        <v>28</v>
      </c>
      <c r="B10" s="5" t="s">
        <v>1403</v>
      </c>
      <c r="C10" s="5" t="s">
        <v>1403</v>
      </c>
      <c r="D10" t="b">
        <f t="shared" si="0"/>
        <v>0</v>
      </c>
      <c r="F10" s="7" t="s">
        <v>36</v>
      </c>
      <c r="G10" s="2">
        <f t="shared" si="1"/>
        <v>10</v>
      </c>
    </row>
    <row r="11" spans="1:7" x14ac:dyDescent="0.25">
      <c r="A11" t="s">
        <v>28</v>
      </c>
      <c r="B11" s="5" t="s">
        <v>1097</v>
      </c>
      <c r="C11" s="5" t="s">
        <v>1097</v>
      </c>
      <c r="D11" t="b">
        <f t="shared" si="0"/>
        <v>0</v>
      </c>
      <c r="F11" s="7" t="s">
        <v>43</v>
      </c>
      <c r="G11" s="2">
        <f t="shared" si="1"/>
        <v>6</v>
      </c>
    </row>
    <row r="12" spans="1:7" x14ac:dyDescent="0.25">
      <c r="A12" t="s">
        <v>28</v>
      </c>
      <c r="B12" s="5" t="s">
        <v>62</v>
      </c>
      <c r="C12" s="5" t="s">
        <v>62</v>
      </c>
      <c r="D12" t="b">
        <f t="shared" si="0"/>
        <v>0</v>
      </c>
      <c r="F12" s="7" t="s">
        <v>42</v>
      </c>
      <c r="G12" s="2">
        <f t="shared" si="1"/>
        <v>5</v>
      </c>
    </row>
    <row r="13" spans="1:7" x14ac:dyDescent="0.25">
      <c r="A13" t="s">
        <v>28</v>
      </c>
      <c r="B13" s="5" t="s">
        <v>74</v>
      </c>
      <c r="C13" s="5" t="s">
        <v>74</v>
      </c>
      <c r="D13" t="b">
        <f t="shared" si="0"/>
        <v>0</v>
      </c>
      <c r="F13" s="7" t="s">
        <v>1690</v>
      </c>
      <c r="G13" s="2">
        <f t="shared" si="1"/>
        <v>11</v>
      </c>
    </row>
    <row r="14" spans="1:7" x14ac:dyDescent="0.25">
      <c r="A14" t="s">
        <v>28</v>
      </c>
      <c r="B14" s="5" t="s">
        <v>186</v>
      </c>
      <c r="C14" s="5" t="s">
        <v>70</v>
      </c>
      <c r="D14" t="b">
        <f t="shared" si="0"/>
        <v>1</v>
      </c>
      <c r="F14" s="7" t="s">
        <v>58</v>
      </c>
      <c r="G14" s="2">
        <f t="shared" si="1"/>
        <v>7</v>
      </c>
    </row>
    <row r="15" spans="1:7" x14ac:dyDescent="0.25">
      <c r="A15" t="s">
        <v>28</v>
      </c>
      <c r="B15" s="5" t="s">
        <v>68</v>
      </c>
      <c r="C15" s="5" t="s">
        <v>68</v>
      </c>
      <c r="D15" t="b">
        <f t="shared" si="0"/>
        <v>0</v>
      </c>
    </row>
    <row r="16" spans="1:7" x14ac:dyDescent="0.25">
      <c r="A16" t="s">
        <v>28</v>
      </c>
      <c r="B16" s="5" t="s">
        <v>73</v>
      </c>
      <c r="C16" s="5" t="s">
        <v>73</v>
      </c>
      <c r="D16" t="b">
        <f t="shared" si="0"/>
        <v>0</v>
      </c>
    </row>
    <row r="17" spans="1:7" x14ac:dyDescent="0.25">
      <c r="A17" t="s">
        <v>28</v>
      </c>
      <c r="B17" s="5" t="s">
        <v>71</v>
      </c>
      <c r="C17" s="5" t="s">
        <v>71</v>
      </c>
      <c r="D17" t="b">
        <f t="shared" si="0"/>
        <v>0</v>
      </c>
      <c r="F17" s="1"/>
      <c r="G17" s="2"/>
    </row>
    <row r="18" spans="1:7" x14ac:dyDescent="0.25">
      <c r="A18" t="s">
        <v>28</v>
      </c>
      <c r="B18" s="5" t="s">
        <v>72</v>
      </c>
      <c r="C18" s="5" t="s">
        <v>72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 t="s">
        <v>69</v>
      </c>
      <c r="C19" s="5" t="s">
        <v>69</v>
      </c>
      <c r="D19" t="b">
        <f t="shared" si="0"/>
        <v>0</v>
      </c>
    </row>
    <row r="20" spans="1:7" x14ac:dyDescent="0.25">
      <c r="A20" t="s">
        <v>28</v>
      </c>
      <c r="B20" s="5" t="s">
        <v>75</v>
      </c>
      <c r="C20" s="5" t="s">
        <v>75</v>
      </c>
      <c r="D20" t="b">
        <f t="shared" si="0"/>
        <v>0</v>
      </c>
    </row>
    <row r="21" spans="1:7" x14ac:dyDescent="0.25">
      <c r="A21" t="s">
        <v>28</v>
      </c>
      <c r="B21" s="5" t="s">
        <v>804</v>
      </c>
      <c r="C21" s="5" t="s">
        <v>1404</v>
      </c>
      <c r="D21" t="b">
        <f t="shared" si="0"/>
        <v>1</v>
      </c>
    </row>
    <row r="22" spans="1:7" x14ac:dyDescent="0.25">
      <c r="A22" t="s">
        <v>28</v>
      </c>
      <c r="B22" s="5" t="s">
        <v>76</v>
      </c>
      <c r="C22" s="5" t="s">
        <v>76</v>
      </c>
      <c r="D22" t="b">
        <f t="shared" si="0"/>
        <v>0</v>
      </c>
    </row>
    <row r="23" spans="1:7" x14ac:dyDescent="0.25">
      <c r="A23" t="s">
        <v>28</v>
      </c>
      <c r="B23" s="5" t="s">
        <v>337</v>
      </c>
      <c r="C23" s="5" t="s">
        <v>337</v>
      </c>
      <c r="D23" t="b">
        <f t="shared" si="0"/>
        <v>0</v>
      </c>
    </row>
    <row r="24" spans="1:7" x14ac:dyDescent="0.25">
      <c r="A24" t="s">
        <v>28</v>
      </c>
      <c r="B24" s="5" t="s">
        <v>184</v>
      </c>
      <c r="C24" s="5" t="s">
        <v>65</v>
      </c>
      <c r="D24" t="b">
        <f t="shared" si="0"/>
        <v>1</v>
      </c>
    </row>
    <row r="25" spans="1:7" x14ac:dyDescent="0.25">
      <c r="A25" t="s">
        <v>28</v>
      </c>
      <c r="B25" s="5" t="s">
        <v>1405</v>
      </c>
      <c r="C25" s="5" t="s">
        <v>1405</v>
      </c>
      <c r="D25" t="b">
        <f t="shared" si="0"/>
        <v>0</v>
      </c>
    </row>
    <row r="26" spans="1:7" x14ac:dyDescent="0.25">
      <c r="A26" t="s">
        <v>28</v>
      </c>
      <c r="B26" s="5" t="s">
        <v>341</v>
      </c>
      <c r="C26" s="5" t="s">
        <v>341</v>
      </c>
      <c r="D26" t="b">
        <f t="shared" si="0"/>
        <v>0</v>
      </c>
    </row>
    <row r="27" spans="1:7" x14ac:dyDescent="0.25">
      <c r="A27" t="s">
        <v>28</v>
      </c>
      <c r="B27" s="5" t="s">
        <v>340</v>
      </c>
      <c r="C27" s="5" t="s">
        <v>340</v>
      </c>
      <c r="D27" t="b">
        <f t="shared" si="0"/>
        <v>0</v>
      </c>
    </row>
    <row r="28" spans="1:7" x14ac:dyDescent="0.25">
      <c r="A28" t="s">
        <v>28</v>
      </c>
      <c r="B28" s="5" t="s">
        <v>802</v>
      </c>
      <c r="C28" s="5" t="s">
        <v>802</v>
      </c>
      <c r="D28" t="b">
        <f t="shared" si="0"/>
        <v>0</v>
      </c>
    </row>
    <row r="29" spans="1:7" x14ac:dyDescent="0.25">
      <c r="A29" t="s">
        <v>28</v>
      </c>
      <c r="B29" s="5" t="s">
        <v>921</v>
      </c>
      <c r="C29" s="5" t="s">
        <v>921</v>
      </c>
      <c r="D29" t="b">
        <f t="shared" si="0"/>
        <v>0</v>
      </c>
    </row>
    <row r="30" spans="1:7" x14ac:dyDescent="0.25">
      <c r="A30" t="s">
        <v>28</v>
      </c>
      <c r="B30" s="5" t="s">
        <v>1406</v>
      </c>
      <c r="C30" s="5" t="s">
        <v>1406</v>
      </c>
      <c r="D30" t="b">
        <f t="shared" si="0"/>
        <v>0</v>
      </c>
    </row>
    <row r="31" spans="1:7" x14ac:dyDescent="0.25">
      <c r="A31" t="s">
        <v>28</v>
      </c>
      <c r="B31" s="5" t="s">
        <v>180</v>
      </c>
      <c r="C31" s="5" t="s">
        <v>180</v>
      </c>
      <c r="D31" t="b">
        <f t="shared" si="0"/>
        <v>0</v>
      </c>
    </row>
    <row r="32" spans="1:7" x14ac:dyDescent="0.25">
      <c r="A32" t="s">
        <v>28</v>
      </c>
      <c r="B32" s="5" t="s">
        <v>809</v>
      </c>
      <c r="C32" s="5" t="s">
        <v>809</v>
      </c>
      <c r="D32" t="b">
        <f t="shared" si="0"/>
        <v>0</v>
      </c>
    </row>
    <row r="33" spans="1:4" x14ac:dyDescent="0.25">
      <c r="A33" t="s">
        <v>28</v>
      </c>
      <c r="B33" s="5" t="s">
        <v>179</v>
      </c>
      <c r="C33" s="5" t="s">
        <v>179</v>
      </c>
      <c r="D33" t="b">
        <f t="shared" si="0"/>
        <v>0</v>
      </c>
    </row>
    <row r="34" spans="1:4" x14ac:dyDescent="0.25">
      <c r="A34" t="s">
        <v>28</v>
      </c>
      <c r="B34" s="5" t="s">
        <v>38</v>
      </c>
      <c r="C34" s="5" t="s">
        <v>1692</v>
      </c>
      <c r="D34" t="b">
        <f t="shared" si="0"/>
        <v>1</v>
      </c>
    </row>
    <row r="35" spans="1:4" x14ac:dyDescent="0.25">
      <c r="A35" t="s">
        <v>28</v>
      </c>
      <c r="B35" s="5" t="s">
        <v>40</v>
      </c>
      <c r="C35" s="5" t="s">
        <v>182</v>
      </c>
      <c r="D35" t="b">
        <f t="shared" si="0"/>
        <v>1</v>
      </c>
    </row>
    <row r="36" spans="1:4" x14ac:dyDescent="0.25">
      <c r="A36" t="s">
        <v>28</v>
      </c>
      <c r="B36" s="5" t="s">
        <v>38</v>
      </c>
      <c r="C36" s="5" t="s">
        <v>38</v>
      </c>
      <c r="D36" t="b">
        <f t="shared" si="0"/>
        <v>0</v>
      </c>
    </row>
    <row r="37" spans="1:4" x14ac:dyDescent="0.25">
      <c r="A37" t="s">
        <v>28</v>
      </c>
      <c r="B37" s="5" t="s">
        <v>39</v>
      </c>
      <c r="C37" s="5" t="s">
        <v>39</v>
      </c>
      <c r="D37" t="b">
        <f t="shared" si="0"/>
        <v>0</v>
      </c>
    </row>
    <row r="38" spans="1:4" x14ac:dyDescent="0.25">
      <c r="A38" t="s">
        <v>28</v>
      </c>
      <c r="B38" s="5" t="s">
        <v>39</v>
      </c>
      <c r="C38" s="5" t="s">
        <v>39</v>
      </c>
      <c r="D38" t="b">
        <f t="shared" si="0"/>
        <v>0</v>
      </c>
    </row>
    <row r="39" spans="1:4" x14ac:dyDescent="0.25">
      <c r="A39" t="s">
        <v>28</v>
      </c>
      <c r="B39" s="5" t="s">
        <v>37</v>
      </c>
      <c r="C39" s="5" t="s">
        <v>37</v>
      </c>
      <c r="D39" t="b">
        <f t="shared" si="0"/>
        <v>0</v>
      </c>
    </row>
    <row r="40" spans="1:4" x14ac:dyDescent="0.25">
      <c r="A40" t="s">
        <v>28</v>
      </c>
      <c r="B40" s="5" t="s">
        <v>37</v>
      </c>
      <c r="C40" s="5" t="s">
        <v>37</v>
      </c>
      <c r="D40" t="b">
        <f t="shared" si="0"/>
        <v>0</v>
      </c>
    </row>
    <row r="41" spans="1:4" x14ac:dyDescent="0.25">
      <c r="A41" t="s">
        <v>28</v>
      </c>
      <c r="B41" s="5" t="s">
        <v>40</v>
      </c>
      <c r="C41" s="5" t="s">
        <v>40</v>
      </c>
      <c r="D41" t="b">
        <f t="shared" si="0"/>
        <v>0</v>
      </c>
    </row>
    <row r="42" spans="1:4" x14ac:dyDescent="0.25">
      <c r="A42" t="s">
        <v>34</v>
      </c>
      <c r="B42" s="5" t="s">
        <v>198</v>
      </c>
      <c r="C42" s="5" t="s">
        <v>198</v>
      </c>
      <c r="D42" t="b">
        <f t="shared" si="0"/>
        <v>0</v>
      </c>
    </row>
    <row r="43" spans="1:4" x14ac:dyDescent="0.25">
      <c r="A43" t="s">
        <v>34</v>
      </c>
      <c r="B43" s="5" t="s">
        <v>199</v>
      </c>
      <c r="C43" s="5" t="s">
        <v>199</v>
      </c>
      <c r="D43" t="b">
        <f t="shared" si="0"/>
        <v>0</v>
      </c>
    </row>
    <row r="44" spans="1:4" x14ac:dyDescent="0.25">
      <c r="A44" t="s">
        <v>34</v>
      </c>
      <c r="B44" s="5" t="s">
        <v>200</v>
      </c>
      <c r="C44" s="5" t="s">
        <v>200</v>
      </c>
      <c r="D44" t="b">
        <f t="shared" si="0"/>
        <v>0</v>
      </c>
    </row>
    <row r="45" spans="1:4" x14ac:dyDescent="0.25">
      <c r="A45" t="s">
        <v>34</v>
      </c>
      <c r="B45" s="5" t="s">
        <v>550</v>
      </c>
      <c r="C45" s="5" t="s">
        <v>550</v>
      </c>
      <c r="D45" t="b">
        <f t="shared" si="0"/>
        <v>0</v>
      </c>
    </row>
    <row r="46" spans="1:4" x14ac:dyDescent="0.25">
      <c r="A46" t="s">
        <v>34</v>
      </c>
      <c r="B46" s="5" t="s">
        <v>149</v>
      </c>
      <c r="C46" s="5" t="s">
        <v>149</v>
      </c>
      <c r="D46" t="b">
        <f t="shared" si="0"/>
        <v>0</v>
      </c>
    </row>
    <row r="47" spans="1:4" x14ac:dyDescent="0.25">
      <c r="A47" t="s">
        <v>34</v>
      </c>
      <c r="B47" s="5" t="s">
        <v>549</v>
      </c>
      <c r="C47" s="5" t="s">
        <v>549</v>
      </c>
      <c r="D47" t="b">
        <f t="shared" si="0"/>
        <v>0</v>
      </c>
    </row>
    <row r="48" spans="1:4" x14ac:dyDescent="0.25">
      <c r="A48" t="s">
        <v>34</v>
      </c>
      <c r="B48" s="5" t="s">
        <v>202</v>
      </c>
      <c r="C48" s="5" t="s">
        <v>202</v>
      </c>
      <c r="D48" t="b">
        <f t="shared" si="0"/>
        <v>0</v>
      </c>
    </row>
    <row r="49" spans="1:4" x14ac:dyDescent="0.25">
      <c r="A49" t="s">
        <v>34</v>
      </c>
      <c r="B49" s="5" t="s">
        <v>203</v>
      </c>
      <c r="C49" s="5" t="s">
        <v>203</v>
      </c>
      <c r="D49" t="b">
        <f t="shared" si="0"/>
        <v>0</v>
      </c>
    </row>
    <row r="50" spans="1:4" x14ac:dyDescent="0.25">
      <c r="A50" t="s">
        <v>34</v>
      </c>
      <c r="B50" s="5" t="s">
        <v>1691</v>
      </c>
      <c r="C50" s="5" t="s">
        <v>1691</v>
      </c>
      <c r="D50" t="b">
        <f t="shared" si="0"/>
        <v>0</v>
      </c>
    </row>
    <row r="51" spans="1:4" x14ac:dyDescent="0.25">
      <c r="A51" t="s">
        <v>34</v>
      </c>
      <c r="B51" s="5" t="s">
        <v>204</v>
      </c>
      <c r="C51" s="5" t="s">
        <v>204</v>
      </c>
      <c r="D51" t="b">
        <f t="shared" si="0"/>
        <v>0</v>
      </c>
    </row>
    <row r="52" spans="1:4" x14ac:dyDescent="0.25">
      <c r="A52" t="s">
        <v>35</v>
      </c>
      <c r="B52" s="5" t="s">
        <v>998</v>
      </c>
      <c r="C52" s="5" t="s">
        <v>998</v>
      </c>
      <c r="D52" t="b">
        <f t="shared" si="0"/>
        <v>0</v>
      </c>
    </row>
    <row r="53" spans="1:4" x14ac:dyDescent="0.25">
      <c r="A53" t="s">
        <v>35</v>
      </c>
      <c r="B53" s="5" t="s">
        <v>1411</v>
      </c>
      <c r="C53" s="5" t="s">
        <v>1411</v>
      </c>
      <c r="D53" t="b">
        <f t="shared" si="0"/>
        <v>0</v>
      </c>
    </row>
    <row r="54" spans="1:4" x14ac:dyDescent="0.25">
      <c r="A54" t="s">
        <v>35</v>
      </c>
      <c r="B54" s="5" t="s">
        <v>1705</v>
      </c>
      <c r="C54" s="5" t="s">
        <v>1705</v>
      </c>
      <c r="D54" t="b">
        <f t="shared" si="0"/>
        <v>0</v>
      </c>
    </row>
    <row r="55" spans="1:4" x14ac:dyDescent="0.25">
      <c r="A55" t="s">
        <v>35</v>
      </c>
      <c r="B55" s="5" t="s">
        <v>1410</v>
      </c>
      <c r="C55" s="5" t="s">
        <v>1410</v>
      </c>
      <c r="D55" t="b">
        <f t="shared" si="0"/>
        <v>0</v>
      </c>
    </row>
    <row r="56" spans="1:4" x14ac:dyDescent="0.25">
      <c r="A56" t="s">
        <v>35</v>
      </c>
      <c r="B56" s="5" t="s">
        <v>1407</v>
      </c>
      <c r="C56" s="5" t="s">
        <v>1407</v>
      </c>
      <c r="D56" t="b">
        <f t="shared" si="0"/>
        <v>0</v>
      </c>
    </row>
    <row r="57" spans="1:4" x14ac:dyDescent="0.25">
      <c r="A57" t="s">
        <v>35</v>
      </c>
      <c r="B57" s="5" t="s">
        <v>1247</v>
      </c>
      <c r="C57" s="5" t="s">
        <v>1247</v>
      </c>
      <c r="D57" t="b">
        <f t="shared" si="0"/>
        <v>0</v>
      </c>
    </row>
    <row r="58" spans="1:4" x14ac:dyDescent="0.25">
      <c r="A58" t="s">
        <v>35</v>
      </c>
      <c r="B58" s="5" t="s">
        <v>1408</v>
      </c>
      <c r="C58" s="5" t="s">
        <v>1408</v>
      </c>
      <c r="D58" t="b">
        <f t="shared" si="0"/>
        <v>0</v>
      </c>
    </row>
    <row r="59" spans="1:4" x14ac:dyDescent="0.25">
      <c r="A59" t="s">
        <v>35</v>
      </c>
      <c r="B59" s="5" t="s">
        <v>90</v>
      </c>
      <c r="C59" s="5" t="s">
        <v>90</v>
      </c>
      <c r="D59" t="b">
        <f t="shared" si="0"/>
        <v>0</v>
      </c>
    </row>
    <row r="60" spans="1:4" x14ac:dyDescent="0.25">
      <c r="A60" t="s">
        <v>35</v>
      </c>
      <c r="B60" s="5" t="s">
        <v>1409</v>
      </c>
      <c r="C60" s="5" t="s">
        <v>1409</v>
      </c>
      <c r="D60" t="b">
        <f t="shared" si="0"/>
        <v>0</v>
      </c>
    </row>
    <row r="61" spans="1:4" x14ac:dyDescent="0.25">
      <c r="A61" t="s">
        <v>35</v>
      </c>
      <c r="B61" s="5" t="s">
        <v>1694</v>
      </c>
      <c r="C61" s="5" t="s">
        <v>1694</v>
      </c>
      <c r="D61" t="b">
        <f t="shared" si="0"/>
        <v>0</v>
      </c>
    </row>
    <row r="62" spans="1:4" x14ac:dyDescent="0.25">
      <c r="A62" t="s">
        <v>35</v>
      </c>
      <c r="B62" s="5" t="s">
        <v>1423</v>
      </c>
      <c r="C62" s="5" t="s">
        <v>1423</v>
      </c>
      <c r="D62" t="b">
        <f t="shared" si="0"/>
        <v>0</v>
      </c>
    </row>
    <row r="63" spans="1:4" x14ac:dyDescent="0.25">
      <c r="A63" t="s">
        <v>35</v>
      </c>
      <c r="B63" s="5" t="s">
        <v>1412</v>
      </c>
      <c r="C63" s="5" t="s">
        <v>1412</v>
      </c>
      <c r="D63" t="b">
        <f t="shared" si="0"/>
        <v>0</v>
      </c>
    </row>
    <row r="64" spans="1:4" x14ac:dyDescent="0.25">
      <c r="A64" t="s">
        <v>36</v>
      </c>
      <c r="B64" s="5" t="s">
        <v>1413</v>
      </c>
      <c r="C64" s="5" t="s">
        <v>1902</v>
      </c>
      <c r="D64" t="b">
        <f t="shared" si="0"/>
        <v>1</v>
      </c>
    </row>
    <row r="65" spans="1:4" x14ac:dyDescent="0.25">
      <c r="A65" t="s">
        <v>36</v>
      </c>
      <c r="B65" s="5" t="s">
        <v>355</v>
      </c>
      <c r="C65" s="5" t="s">
        <v>355</v>
      </c>
      <c r="D65" t="b">
        <f t="shared" si="0"/>
        <v>0</v>
      </c>
    </row>
    <row r="66" spans="1:4" x14ac:dyDescent="0.25">
      <c r="A66" t="s">
        <v>36</v>
      </c>
      <c r="B66" s="5" t="s">
        <v>242</v>
      </c>
      <c r="C66" s="5" t="s">
        <v>242</v>
      </c>
      <c r="D66" t="b">
        <f t="shared" si="0"/>
        <v>0</v>
      </c>
    </row>
    <row r="67" spans="1:4" x14ac:dyDescent="0.25">
      <c r="A67" t="s">
        <v>36</v>
      </c>
      <c r="B67" s="5" t="s">
        <v>1807</v>
      </c>
      <c r="C67" s="5" t="s">
        <v>1706</v>
      </c>
      <c r="D67" t="b">
        <f t="shared" si="0"/>
        <v>1</v>
      </c>
    </row>
    <row r="68" spans="1:4" x14ac:dyDescent="0.25">
      <c r="A68" t="s">
        <v>36</v>
      </c>
      <c r="B68" s="5" t="s">
        <v>1415</v>
      </c>
      <c r="C68" s="5" t="s">
        <v>1415</v>
      </c>
      <c r="D68" t="b">
        <f t="shared" si="0"/>
        <v>0</v>
      </c>
    </row>
    <row r="69" spans="1:4" x14ac:dyDescent="0.25">
      <c r="A69" t="s">
        <v>36</v>
      </c>
      <c r="B69" s="5" t="s">
        <v>1693</v>
      </c>
      <c r="C69" s="5" t="s">
        <v>1693</v>
      </c>
      <c r="D69" t="b">
        <f t="shared" si="0"/>
        <v>0</v>
      </c>
    </row>
    <row r="70" spans="1:4" x14ac:dyDescent="0.25">
      <c r="A70" t="s">
        <v>36</v>
      </c>
      <c r="B70" s="5" t="s">
        <v>171</v>
      </c>
      <c r="C70" s="5" t="s">
        <v>171</v>
      </c>
      <c r="D70" t="b">
        <f t="shared" ref="D70:D103" si="2">B70&lt;&gt;C70</f>
        <v>0</v>
      </c>
    </row>
    <row r="71" spans="1:4" x14ac:dyDescent="0.25">
      <c r="A71" t="s">
        <v>36</v>
      </c>
      <c r="B71" s="5" t="s">
        <v>907</v>
      </c>
      <c r="C71" s="5" t="s">
        <v>907</v>
      </c>
      <c r="D71" t="b">
        <f t="shared" si="2"/>
        <v>0</v>
      </c>
    </row>
    <row r="72" spans="1:4" x14ac:dyDescent="0.25">
      <c r="A72" t="s">
        <v>36</v>
      </c>
      <c r="B72" s="5" t="s">
        <v>1024</v>
      </c>
      <c r="C72" s="5" t="s">
        <v>1024</v>
      </c>
      <c r="D72" t="b">
        <f t="shared" si="2"/>
        <v>0</v>
      </c>
    </row>
    <row r="73" spans="1:4" x14ac:dyDescent="0.25">
      <c r="A73" t="s">
        <v>36</v>
      </c>
      <c r="B73" s="5" t="s">
        <v>786</v>
      </c>
      <c r="C73" s="5" t="s">
        <v>786</v>
      </c>
      <c r="D73" t="b">
        <f t="shared" si="2"/>
        <v>0</v>
      </c>
    </row>
    <row r="74" spans="1:4" x14ac:dyDescent="0.25">
      <c r="A74" t="s">
        <v>43</v>
      </c>
      <c r="B74" s="5" t="s">
        <v>1418</v>
      </c>
      <c r="C74" s="5" t="s">
        <v>1418</v>
      </c>
      <c r="D74" t="b">
        <f t="shared" si="2"/>
        <v>0</v>
      </c>
    </row>
    <row r="75" spans="1:4" x14ac:dyDescent="0.25">
      <c r="A75" t="s">
        <v>43</v>
      </c>
      <c r="B75" s="5" t="s">
        <v>1424</v>
      </c>
      <c r="C75" s="5" t="s">
        <v>1424</v>
      </c>
      <c r="D75" t="b">
        <f t="shared" si="2"/>
        <v>0</v>
      </c>
    </row>
    <row r="76" spans="1:4" x14ac:dyDescent="0.25">
      <c r="A76" t="s">
        <v>43</v>
      </c>
      <c r="B76" s="5" t="s">
        <v>1419</v>
      </c>
      <c r="C76" s="5" t="s">
        <v>1419</v>
      </c>
      <c r="D76" t="b">
        <f t="shared" si="2"/>
        <v>0</v>
      </c>
    </row>
    <row r="77" spans="1:4" x14ac:dyDescent="0.25">
      <c r="A77" t="s">
        <v>43</v>
      </c>
      <c r="B77" s="5" t="s">
        <v>1420</v>
      </c>
      <c r="C77" s="5" t="s">
        <v>1420</v>
      </c>
      <c r="D77" t="b">
        <f t="shared" si="2"/>
        <v>0</v>
      </c>
    </row>
    <row r="78" spans="1:4" x14ac:dyDescent="0.25">
      <c r="A78" t="s">
        <v>43</v>
      </c>
      <c r="B78" s="5" t="s">
        <v>1704</v>
      </c>
      <c r="C78" s="5" t="s">
        <v>1704</v>
      </c>
      <c r="D78" t="b">
        <f t="shared" si="2"/>
        <v>0</v>
      </c>
    </row>
    <row r="79" spans="1:4" x14ac:dyDescent="0.25">
      <c r="A79" t="s">
        <v>43</v>
      </c>
      <c r="B79" s="5" t="s">
        <v>1417</v>
      </c>
      <c r="C79" s="5" t="s">
        <v>1417</v>
      </c>
      <c r="D79" t="b">
        <f t="shared" si="2"/>
        <v>0</v>
      </c>
    </row>
    <row r="80" spans="1:4" x14ac:dyDescent="0.25">
      <c r="A80" t="s">
        <v>42</v>
      </c>
      <c r="B80" s="5" t="s">
        <v>362</v>
      </c>
      <c r="C80" s="5" t="s">
        <v>362</v>
      </c>
      <c r="D80" t="b">
        <f t="shared" si="2"/>
        <v>0</v>
      </c>
    </row>
    <row r="81" spans="1:6" x14ac:dyDescent="0.25">
      <c r="A81" t="s">
        <v>42</v>
      </c>
      <c r="B81" s="5" t="s">
        <v>699</v>
      </c>
      <c r="C81" s="5" t="s">
        <v>699</v>
      </c>
      <c r="D81" t="b">
        <f t="shared" si="2"/>
        <v>0</v>
      </c>
    </row>
    <row r="82" spans="1:6" x14ac:dyDescent="0.25">
      <c r="A82" t="s">
        <v>42</v>
      </c>
      <c r="B82" s="5" t="s">
        <v>244</v>
      </c>
      <c r="C82" s="5" t="s">
        <v>244</v>
      </c>
      <c r="D82" t="b">
        <f t="shared" si="2"/>
        <v>0</v>
      </c>
    </row>
    <row r="83" spans="1:6" x14ac:dyDescent="0.25">
      <c r="A83" t="s">
        <v>42</v>
      </c>
      <c r="B83" s="5" t="s">
        <v>781</v>
      </c>
      <c r="C83" s="5" t="s">
        <v>781</v>
      </c>
      <c r="D83" t="b">
        <f t="shared" si="2"/>
        <v>0</v>
      </c>
    </row>
    <row r="84" spans="1:6" x14ac:dyDescent="0.25">
      <c r="A84" t="s">
        <v>42</v>
      </c>
      <c r="B84" s="5" t="s">
        <v>961</v>
      </c>
      <c r="C84" s="5" t="s">
        <v>961</v>
      </c>
      <c r="D84" t="b">
        <f t="shared" si="2"/>
        <v>0</v>
      </c>
    </row>
    <row r="85" spans="1:6" x14ac:dyDescent="0.25">
      <c r="A85" t="s">
        <v>1690</v>
      </c>
      <c r="B85" s="5" t="s">
        <v>1903</v>
      </c>
      <c r="C85" s="5" t="s">
        <v>1903</v>
      </c>
      <c r="D85" t="b">
        <f t="shared" si="2"/>
        <v>0</v>
      </c>
    </row>
    <row r="86" spans="1:6" x14ac:dyDescent="0.25">
      <c r="A86" t="s">
        <v>1690</v>
      </c>
      <c r="B86" s="5" t="s">
        <v>1695</v>
      </c>
      <c r="C86" s="5" t="s">
        <v>1695</v>
      </c>
      <c r="D86" t="b">
        <f t="shared" si="2"/>
        <v>0</v>
      </c>
      <c r="F86"/>
    </row>
    <row r="87" spans="1:6" x14ac:dyDescent="0.25">
      <c r="A87" t="s">
        <v>1690</v>
      </c>
      <c r="B87" s="5" t="s">
        <v>1701</v>
      </c>
      <c r="C87" s="5" t="s">
        <v>1701</v>
      </c>
      <c r="D87" t="b">
        <f t="shared" si="2"/>
        <v>0</v>
      </c>
      <c r="F87"/>
    </row>
    <row r="88" spans="1:6" x14ac:dyDescent="0.25">
      <c r="A88" t="s">
        <v>1690</v>
      </c>
      <c r="B88" s="5" t="s">
        <v>1806</v>
      </c>
      <c r="C88" s="5" t="s">
        <v>1702</v>
      </c>
      <c r="D88" t="b">
        <f t="shared" si="2"/>
        <v>1</v>
      </c>
      <c r="F88"/>
    </row>
    <row r="89" spans="1:6" x14ac:dyDescent="0.25">
      <c r="A89" t="s">
        <v>1690</v>
      </c>
      <c r="B89" s="5" t="s">
        <v>1703</v>
      </c>
      <c r="C89" s="5" t="s">
        <v>1703</v>
      </c>
      <c r="D89" t="b">
        <f t="shared" si="2"/>
        <v>0</v>
      </c>
      <c r="F89"/>
    </row>
    <row r="90" spans="1:6" x14ac:dyDescent="0.25">
      <c r="A90" t="s">
        <v>1690</v>
      </c>
      <c r="B90" s="5" t="s">
        <v>1696</v>
      </c>
      <c r="C90" s="5" t="s">
        <v>1696</v>
      </c>
      <c r="D90" t="b">
        <f t="shared" si="2"/>
        <v>0</v>
      </c>
      <c r="F90"/>
    </row>
    <row r="91" spans="1:6" x14ac:dyDescent="0.25">
      <c r="A91" t="s">
        <v>1690</v>
      </c>
      <c r="B91" s="5" t="s">
        <v>1698</v>
      </c>
      <c r="C91" s="5" t="s">
        <v>1698</v>
      </c>
      <c r="D91" t="b">
        <f t="shared" si="2"/>
        <v>0</v>
      </c>
      <c r="F91"/>
    </row>
    <row r="92" spans="1:6" x14ac:dyDescent="0.25">
      <c r="A92" t="s">
        <v>1690</v>
      </c>
      <c r="B92" s="5" t="s">
        <v>1427</v>
      </c>
      <c r="C92" s="5" t="s">
        <v>1427</v>
      </c>
      <c r="D92" t="b">
        <f t="shared" si="2"/>
        <v>0</v>
      </c>
      <c r="F92"/>
    </row>
    <row r="93" spans="1:6" x14ac:dyDescent="0.25">
      <c r="A93" t="s">
        <v>1690</v>
      </c>
      <c r="B93" s="5" t="s">
        <v>1700</v>
      </c>
      <c r="C93" s="5" t="s">
        <v>1700</v>
      </c>
      <c r="D93" t="b">
        <f t="shared" si="2"/>
        <v>0</v>
      </c>
      <c r="F93"/>
    </row>
    <row r="94" spans="1:6" x14ac:dyDescent="0.25">
      <c r="A94" t="s">
        <v>1690</v>
      </c>
      <c r="B94" s="5" t="s">
        <v>1809</v>
      </c>
      <c r="C94" s="5" t="s">
        <v>1699</v>
      </c>
      <c r="D94" t="b">
        <f t="shared" si="2"/>
        <v>1</v>
      </c>
    </row>
    <row r="95" spans="1:6" x14ac:dyDescent="0.25">
      <c r="A95" t="s">
        <v>1690</v>
      </c>
      <c r="B95" s="5" t="s">
        <v>1426</v>
      </c>
      <c r="C95" s="5" t="s">
        <v>1426</v>
      </c>
      <c r="D95" t="b">
        <f t="shared" si="2"/>
        <v>0</v>
      </c>
    </row>
    <row r="96" spans="1:6" x14ac:dyDescent="0.25">
      <c r="A96" t="s">
        <v>58</v>
      </c>
      <c r="B96" s="5" t="s">
        <v>1422</v>
      </c>
      <c r="C96" s="5" t="s">
        <v>1422</v>
      </c>
      <c r="D96" t="b">
        <f t="shared" si="2"/>
        <v>0</v>
      </c>
    </row>
    <row r="97" spans="1:6" x14ac:dyDescent="0.25">
      <c r="A97" t="s">
        <v>58</v>
      </c>
      <c r="B97" s="5" t="s">
        <v>1421</v>
      </c>
      <c r="C97" s="5" t="s">
        <v>1421</v>
      </c>
      <c r="D97" t="b">
        <f t="shared" si="2"/>
        <v>0</v>
      </c>
    </row>
    <row r="98" spans="1:6" x14ac:dyDescent="0.25">
      <c r="A98" t="s">
        <v>58</v>
      </c>
      <c r="B98" s="5" t="s">
        <v>1425</v>
      </c>
      <c r="C98" s="5" t="s">
        <v>1425</v>
      </c>
      <c r="D98" t="b">
        <f t="shared" si="2"/>
        <v>0</v>
      </c>
    </row>
    <row r="99" spans="1:6" x14ac:dyDescent="0.25">
      <c r="A99" t="s">
        <v>58</v>
      </c>
      <c r="B99" s="5" t="s">
        <v>791</v>
      </c>
      <c r="C99" s="5" t="s">
        <v>791</v>
      </c>
      <c r="D99" t="b">
        <f t="shared" si="2"/>
        <v>0</v>
      </c>
      <c r="F99"/>
    </row>
    <row r="100" spans="1:6" x14ac:dyDescent="0.25">
      <c r="A100" t="s">
        <v>58</v>
      </c>
      <c r="B100" s="5" t="s">
        <v>1398</v>
      </c>
      <c r="C100" s="5" t="s">
        <v>1398</v>
      </c>
      <c r="D100" t="b">
        <f t="shared" si="2"/>
        <v>0</v>
      </c>
    </row>
    <row r="101" spans="1:6" x14ac:dyDescent="0.25">
      <c r="A101" t="s">
        <v>58</v>
      </c>
      <c r="B101" s="5" t="s">
        <v>1697</v>
      </c>
      <c r="C101" s="5" t="s">
        <v>1697</v>
      </c>
      <c r="D101" t="b">
        <f t="shared" si="2"/>
        <v>0</v>
      </c>
    </row>
    <row r="102" spans="1:6" x14ac:dyDescent="0.25">
      <c r="A102" t="s">
        <v>58</v>
      </c>
      <c r="B102" s="5" t="s">
        <v>1175</v>
      </c>
      <c r="C102" s="5" t="s">
        <v>1175</v>
      </c>
      <c r="D102" t="b">
        <f t="shared" si="2"/>
        <v>0</v>
      </c>
    </row>
    <row r="103" spans="1:6" x14ac:dyDescent="0.25">
      <c r="D10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261DBC6B-5577-4AA0-84FD-7C1BAC6F1A5D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7C9AA45D-3492-4796-A2FA-7F6D4EA68DEB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9FFD-C65F-440F-96C9-84F08FACEC45}">
  <sheetPr codeName="Planilha20"/>
  <dimension ref="A1:G102"/>
  <sheetViews>
    <sheetView topLeftCell="A70" workbookViewId="0">
      <selection activeCell="C83" sqref="C83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16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12</v>
      </c>
    </row>
    <row r="3" spans="1:7" x14ac:dyDescent="0.25">
      <c r="A3" s="5" t="s">
        <v>2002</v>
      </c>
      <c r="B3" s="5" t="s">
        <v>2037</v>
      </c>
      <c r="C3" s="5" t="s">
        <v>2037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981</v>
      </c>
      <c r="C4" s="5" t="s">
        <v>981</v>
      </c>
      <c r="D4" t="b">
        <f>B4&lt;&gt;C4</f>
        <v>0</v>
      </c>
    </row>
    <row r="5" spans="1:7" x14ac:dyDescent="0.25">
      <c r="A5" t="s">
        <v>28</v>
      </c>
      <c r="B5" s="5" t="s">
        <v>62</v>
      </c>
      <c r="C5" s="5" t="s">
        <v>62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78</v>
      </c>
      <c r="C6" s="5" t="s">
        <v>982</v>
      </c>
      <c r="D6" t="b">
        <f t="shared" si="0"/>
        <v>1</v>
      </c>
      <c r="F6" s="7" t="s">
        <v>2002</v>
      </c>
      <c r="G6" s="2">
        <f t="shared" ref="G6:G15" si="1">COUNTIF(A:A,F6)</f>
        <v>1</v>
      </c>
    </row>
    <row r="7" spans="1:7" x14ac:dyDescent="0.25">
      <c r="A7" t="s">
        <v>28</v>
      </c>
      <c r="B7" s="5" t="s">
        <v>77</v>
      </c>
      <c r="C7" s="5" t="s">
        <v>983</v>
      </c>
      <c r="D7" t="b">
        <f t="shared" si="0"/>
        <v>1</v>
      </c>
      <c r="F7" s="3" t="s">
        <v>28</v>
      </c>
      <c r="G7" s="2">
        <f t="shared" si="1"/>
        <v>33</v>
      </c>
    </row>
    <row r="8" spans="1:7" x14ac:dyDescent="0.25">
      <c r="A8" t="s">
        <v>28</v>
      </c>
      <c r="B8" s="5" t="s">
        <v>984</v>
      </c>
      <c r="C8" s="5" t="s">
        <v>984</v>
      </c>
      <c r="D8" t="b">
        <f t="shared" si="0"/>
        <v>0</v>
      </c>
      <c r="F8" s="7" t="s">
        <v>327</v>
      </c>
      <c r="G8" s="2">
        <f t="shared" si="1"/>
        <v>0</v>
      </c>
    </row>
    <row r="9" spans="1:7" x14ac:dyDescent="0.25">
      <c r="A9" t="s">
        <v>28</v>
      </c>
      <c r="B9" s="5" t="s">
        <v>78</v>
      </c>
      <c r="C9" s="5" t="s">
        <v>809</v>
      </c>
      <c r="D9" t="b">
        <f t="shared" si="0"/>
        <v>1</v>
      </c>
      <c r="F9" s="7" t="s">
        <v>35</v>
      </c>
      <c r="G9" s="2">
        <f t="shared" si="1"/>
        <v>8</v>
      </c>
    </row>
    <row r="10" spans="1:7" x14ac:dyDescent="0.25">
      <c r="A10" t="s">
        <v>28</v>
      </c>
      <c r="B10" s="5" t="s">
        <v>730</v>
      </c>
      <c r="C10" s="5" t="s">
        <v>730</v>
      </c>
      <c r="D10" t="b">
        <f t="shared" si="0"/>
        <v>0</v>
      </c>
      <c r="F10" s="7" t="s">
        <v>986</v>
      </c>
      <c r="G10" s="2">
        <f t="shared" si="1"/>
        <v>14</v>
      </c>
    </row>
    <row r="11" spans="1:7" x14ac:dyDescent="0.25">
      <c r="A11" t="s">
        <v>28</v>
      </c>
      <c r="B11" s="5" t="s">
        <v>985</v>
      </c>
      <c r="C11" s="5" t="s">
        <v>985</v>
      </c>
      <c r="D11" t="b">
        <f t="shared" si="0"/>
        <v>0</v>
      </c>
      <c r="F11" s="7" t="s">
        <v>36</v>
      </c>
      <c r="G11" s="2">
        <f t="shared" si="1"/>
        <v>13</v>
      </c>
    </row>
    <row r="12" spans="1:7" x14ac:dyDescent="0.25">
      <c r="A12" t="s">
        <v>28</v>
      </c>
      <c r="B12" s="5" t="s">
        <v>51</v>
      </c>
      <c r="C12" s="5" t="s">
        <v>51</v>
      </c>
      <c r="D12" t="b">
        <f t="shared" si="0"/>
        <v>0</v>
      </c>
      <c r="F12" s="7" t="s">
        <v>43</v>
      </c>
      <c r="G12" s="2">
        <f t="shared" si="1"/>
        <v>7</v>
      </c>
    </row>
    <row r="13" spans="1:7" x14ac:dyDescent="0.25">
      <c r="A13" t="s">
        <v>28</v>
      </c>
      <c r="B13" s="5" t="s">
        <v>78</v>
      </c>
      <c r="C13" s="5" t="s">
        <v>987</v>
      </c>
      <c r="D13" t="b">
        <f t="shared" si="0"/>
        <v>1</v>
      </c>
      <c r="F13" s="7" t="s">
        <v>989</v>
      </c>
      <c r="G13" s="2">
        <f t="shared" si="1"/>
        <v>5</v>
      </c>
    </row>
    <row r="14" spans="1:7" x14ac:dyDescent="0.25">
      <c r="A14" t="s">
        <v>28</v>
      </c>
      <c r="B14" s="5" t="s">
        <v>988</v>
      </c>
      <c r="C14" s="5" t="s">
        <v>988</v>
      </c>
      <c r="D14" t="b">
        <f t="shared" si="0"/>
        <v>0</v>
      </c>
      <c r="F14" s="7" t="s">
        <v>329</v>
      </c>
      <c r="G14" s="2">
        <f t="shared" si="1"/>
        <v>13</v>
      </c>
    </row>
    <row r="15" spans="1:7" x14ac:dyDescent="0.25">
      <c r="A15" t="s">
        <v>28</v>
      </c>
      <c r="B15" s="5" t="s">
        <v>33</v>
      </c>
      <c r="C15" s="5" t="s">
        <v>33</v>
      </c>
      <c r="D15" t="b">
        <f t="shared" si="0"/>
        <v>0</v>
      </c>
      <c r="F15" s="7" t="s">
        <v>991</v>
      </c>
      <c r="G15" s="2">
        <f t="shared" si="1"/>
        <v>6</v>
      </c>
    </row>
    <row r="16" spans="1:7" x14ac:dyDescent="0.25">
      <c r="A16" t="s">
        <v>28</v>
      </c>
      <c r="B16" s="5" t="s">
        <v>990</v>
      </c>
      <c r="C16" s="5" t="s">
        <v>990</v>
      </c>
      <c r="D16" t="b">
        <f t="shared" si="0"/>
        <v>0</v>
      </c>
    </row>
    <row r="17" spans="1:7" x14ac:dyDescent="0.25">
      <c r="A17" t="s">
        <v>28</v>
      </c>
      <c r="B17" s="5" t="s">
        <v>992</v>
      </c>
      <c r="C17" s="5" t="s">
        <v>992</v>
      </c>
      <c r="D17" t="b">
        <f t="shared" si="0"/>
        <v>0</v>
      </c>
    </row>
    <row r="18" spans="1:7" x14ac:dyDescent="0.25">
      <c r="A18" t="s">
        <v>28</v>
      </c>
      <c r="B18" s="5" t="s">
        <v>867</v>
      </c>
      <c r="C18" s="5" t="s">
        <v>867</v>
      </c>
      <c r="D18" t="b">
        <f t="shared" si="0"/>
        <v>0</v>
      </c>
      <c r="F18" s="5"/>
      <c r="G18" s="2"/>
    </row>
    <row r="19" spans="1:7" x14ac:dyDescent="0.25">
      <c r="A19" t="s">
        <v>28</v>
      </c>
      <c r="B19" s="5" t="s">
        <v>78</v>
      </c>
      <c r="C19" s="5" t="s">
        <v>65</v>
      </c>
      <c r="D19" t="b">
        <f t="shared" si="0"/>
        <v>1</v>
      </c>
    </row>
    <row r="20" spans="1:7" x14ac:dyDescent="0.25">
      <c r="A20" t="s">
        <v>28</v>
      </c>
      <c r="B20" s="5" t="s">
        <v>77</v>
      </c>
      <c r="C20" s="5" t="s">
        <v>804</v>
      </c>
      <c r="D20" t="b">
        <f t="shared" si="0"/>
        <v>1</v>
      </c>
    </row>
    <row r="21" spans="1:7" x14ac:dyDescent="0.25">
      <c r="A21" t="s">
        <v>28</v>
      </c>
      <c r="B21" s="5" t="s">
        <v>77</v>
      </c>
      <c r="C21" s="5" t="s">
        <v>922</v>
      </c>
      <c r="D21" t="b">
        <f t="shared" si="0"/>
        <v>1</v>
      </c>
    </row>
    <row r="22" spans="1:7" x14ac:dyDescent="0.25">
      <c r="A22" t="s">
        <v>28</v>
      </c>
      <c r="B22" s="5" t="s">
        <v>814</v>
      </c>
      <c r="C22" s="5" t="s">
        <v>814</v>
      </c>
      <c r="D22" t="b">
        <f t="shared" si="0"/>
        <v>0</v>
      </c>
    </row>
    <row r="23" spans="1:7" x14ac:dyDescent="0.25">
      <c r="A23" t="s">
        <v>28</v>
      </c>
      <c r="B23" s="5" t="s">
        <v>993</v>
      </c>
      <c r="C23" s="5" t="s">
        <v>993</v>
      </c>
      <c r="D23" t="b">
        <f t="shared" si="0"/>
        <v>0</v>
      </c>
    </row>
    <row r="24" spans="1:7" x14ac:dyDescent="0.25">
      <c r="A24" t="s">
        <v>28</v>
      </c>
      <c r="B24" s="5" t="s">
        <v>77</v>
      </c>
      <c r="C24" s="5" t="s">
        <v>77</v>
      </c>
      <c r="D24" t="b">
        <f t="shared" si="0"/>
        <v>0</v>
      </c>
    </row>
    <row r="25" spans="1:7" x14ac:dyDescent="0.25">
      <c r="A25" t="s">
        <v>28</v>
      </c>
      <c r="B25" s="5" t="s">
        <v>77</v>
      </c>
      <c r="C25" s="5" t="s">
        <v>77</v>
      </c>
      <c r="D25" t="b">
        <f t="shared" si="0"/>
        <v>0</v>
      </c>
    </row>
    <row r="26" spans="1:7" x14ac:dyDescent="0.25">
      <c r="A26" t="s">
        <v>28</v>
      </c>
      <c r="B26" s="5" t="s">
        <v>77</v>
      </c>
      <c r="C26" s="5" t="s">
        <v>77</v>
      </c>
      <c r="D26" t="b">
        <f t="shared" si="0"/>
        <v>0</v>
      </c>
    </row>
    <row r="27" spans="1:7" x14ac:dyDescent="0.25">
      <c r="A27" t="s">
        <v>28</v>
      </c>
      <c r="B27" s="5" t="s">
        <v>77</v>
      </c>
      <c r="C27" s="5" t="s">
        <v>77</v>
      </c>
      <c r="D27" t="b">
        <f t="shared" si="0"/>
        <v>0</v>
      </c>
    </row>
    <row r="28" spans="1:7" x14ac:dyDescent="0.25">
      <c r="A28" t="s">
        <v>28</v>
      </c>
      <c r="B28" s="5" t="s">
        <v>77</v>
      </c>
      <c r="C28" s="5" t="s">
        <v>77</v>
      </c>
      <c r="D28" t="b">
        <f t="shared" si="0"/>
        <v>0</v>
      </c>
    </row>
    <row r="29" spans="1:7" x14ac:dyDescent="0.25">
      <c r="A29" t="s">
        <v>28</v>
      </c>
      <c r="B29" s="5" t="s">
        <v>77</v>
      </c>
      <c r="C29" s="5" t="s">
        <v>77</v>
      </c>
      <c r="D29" t="b">
        <f t="shared" si="0"/>
        <v>0</v>
      </c>
    </row>
    <row r="30" spans="1:7" x14ac:dyDescent="0.25">
      <c r="A30" t="s">
        <v>28</v>
      </c>
      <c r="B30" s="5" t="s">
        <v>77</v>
      </c>
      <c r="C30" s="5" t="s">
        <v>77</v>
      </c>
      <c r="D30" t="b">
        <f t="shared" si="0"/>
        <v>0</v>
      </c>
    </row>
    <row r="31" spans="1:7" x14ac:dyDescent="0.25">
      <c r="A31" t="s">
        <v>28</v>
      </c>
      <c r="B31" s="5" t="s">
        <v>78</v>
      </c>
      <c r="C31" s="5" t="s">
        <v>78</v>
      </c>
      <c r="D31" t="b">
        <f t="shared" si="0"/>
        <v>0</v>
      </c>
    </row>
    <row r="32" spans="1:7" x14ac:dyDescent="0.25">
      <c r="A32" t="s">
        <v>28</v>
      </c>
      <c r="B32" s="5" t="s">
        <v>78</v>
      </c>
      <c r="C32" s="5" t="s">
        <v>78</v>
      </c>
      <c r="D32" t="b">
        <f t="shared" si="0"/>
        <v>0</v>
      </c>
    </row>
    <row r="33" spans="1:4" x14ac:dyDescent="0.25">
      <c r="A33" t="s">
        <v>28</v>
      </c>
      <c r="B33" s="5" t="s">
        <v>78</v>
      </c>
      <c r="C33" s="5" t="s">
        <v>78</v>
      </c>
      <c r="D33" t="b">
        <f t="shared" si="0"/>
        <v>0</v>
      </c>
    </row>
    <row r="34" spans="1:4" x14ac:dyDescent="0.25">
      <c r="A34" t="s">
        <v>28</v>
      </c>
      <c r="B34" s="5" t="s">
        <v>78</v>
      </c>
      <c r="C34" s="5" t="s">
        <v>78</v>
      </c>
      <c r="D34" t="b">
        <f t="shared" si="0"/>
        <v>0</v>
      </c>
    </row>
    <row r="35" spans="1:4" x14ac:dyDescent="0.25">
      <c r="A35" t="s">
        <v>28</v>
      </c>
      <c r="B35" s="5" t="s">
        <v>78</v>
      </c>
      <c r="C35" s="5" t="s">
        <v>78</v>
      </c>
      <c r="D35" t="b">
        <f t="shared" si="0"/>
        <v>0</v>
      </c>
    </row>
    <row r="36" spans="1:4" x14ac:dyDescent="0.25">
      <c r="A36" t="s">
        <v>28</v>
      </c>
      <c r="B36" s="5" t="s">
        <v>78</v>
      </c>
      <c r="C36" s="5" t="s">
        <v>78</v>
      </c>
      <c r="D36" t="b">
        <f t="shared" si="0"/>
        <v>0</v>
      </c>
    </row>
    <row r="37" spans="1:4" x14ac:dyDescent="0.25">
      <c r="A37" t="s">
        <v>35</v>
      </c>
      <c r="B37" s="5" t="s">
        <v>994</v>
      </c>
      <c r="C37" s="5" t="s">
        <v>994</v>
      </c>
      <c r="D37" t="b">
        <f t="shared" si="0"/>
        <v>0</v>
      </c>
    </row>
    <row r="38" spans="1:4" x14ac:dyDescent="0.25">
      <c r="A38" t="s">
        <v>35</v>
      </c>
      <c r="B38" s="5" t="s">
        <v>995</v>
      </c>
      <c r="C38" s="5" t="s">
        <v>1739</v>
      </c>
      <c r="D38" t="b">
        <f t="shared" si="0"/>
        <v>1</v>
      </c>
    </row>
    <row r="39" spans="1:4" x14ac:dyDescent="0.25">
      <c r="A39" t="s">
        <v>35</v>
      </c>
      <c r="B39" s="5" t="s">
        <v>996</v>
      </c>
      <c r="C39" s="5" t="s">
        <v>996</v>
      </c>
      <c r="D39" t="b">
        <f t="shared" si="0"/>
        <v>0</v>
      </c>
    </row>
    <row r="40" spans="1:4" x14ac:dyDescent="0.25">
      <c r="A40" t="s">
        <v>35</v>
      </c>
      <c r="B40" s="5" t="s">
        <v>696</v>
      </c>
      <c r="C40" s="5" t="s">
        <v>696</v>
      </c>
      <c r="D40" t="b">
        <f t="shared" si="0"/>
        <v>0</v>
      </c>
    </row>
    <row r="41" spans="1:4" x14ac:dyDescent="0.25">
      <c r="A41" t="s">
        <v>35</v>
      </c>
      <c r="B41" s="5" t="s">
        <v>213</v>
      </c>
      <c r="C41" s="5" t="s">
        <v>213</v>
      </c>
      <c r="D41" t="b">
        <f t="shared" si="0"/>
        <v>0</v>
      </c>
    </row>
    <row r="42" spans="1:4" x14ac:dyDescent="0.25">
      <c r="A42" t="s">
        <v>35</v>
      </c>
      <c r="B42" s="5" t="s">
        <v>997</v>
      </c>
      <c r="C42" s="5" t="s">
        <v>997</v>
      </c>
      <c r="D42" t="b">
        <f t="shared" si="0"/>
        <v>0</v>
      </c>
    </row>
    <row r="43" spans="1:4" x14ac:dyDescent="0.25">
      <c r="A43" t="s">
        <v>35</v>
      </c>
      <c r="B43" s="5" t="s">
        <v>998</v>
      </c>
      <c r="C43" s="5" t="s">
        <v>998</v>
      </c>
      <c r="D43" t="b">
        <f t="shared" si="0"/>
        <v>0</v>
      </c>
    </row>
    <row r="44" spans="1:4" x14ac:dyDescent="0.25">
      <c r="A44" t="s">
        <v>35</v>
      </c>
      <c r="B44" s="5" t="s">
        <v>975</v>
      </c>
      <c r="C44" s="5" t="s">
        <v>975</v>
      </c>
      <c r="D44" t="b">
        <f t="shared" si="0"/>
        <v>0</v>
      </c>
    </row>
    <row r="45" spans="1:4" x14ac:dyDescent="0.25">
      <c r="A45" t="s">
        <v>986</v>
      </c>
      <c r="B45" s="5" t="s">
        <v>881</v>
      </c>
      <c r="C45" s="5" t="s">
        <v>881</v>
      </c>
      <c r="D45" t="b">
        <f t="shared" si="0"/>
        <v>0</v>
      </c>
    </row>
    <row r="46" spans="1:4" x14ac:dyDescent="0.25">
      <c r="A46" t="s">
        <v>986</v>
      </c>
      <c r="B46" s="5" t="s">
        <v>999</v>
      </c>
      <c r="C46" s="5" t="s">
        <v>999</v>
      </c>
      <c r="D46" t="b">
        <f t="shared" si="0"/>
        <v>0</v>
      </c>
    </row>
    <row r="47" spans="1:4" x14ac:dyDescent="0.25">
      <c r="A47" t="s">
        <v>986</v>
      </c>
      <c r="B47" s="5" t="s">
        <v>1000</v>
      </c>
      <c r="C47" s="5" t="s">
        <v>1000</v>
      </c>
      <c r="D47" t="b">
        <f t="shared" si="0"/>
        <v>0</v>
      </c>
    </row>
    <row r="48" spans="1:4" x14ac:dyDescent="0.25">
      <c r="A48" t="s">
        <v>986</v>
      </c>
      <c r="B48" s="5" t="s">
        <v>1001</v>
      </c>
      <c r="C48" s="5" t="s">
        <v>1001</v>
      </c>
      <c r="D48" t="b">
        <f t="shared" si="0"/>
        <v>0</v>
      </c>
    </row>
    <row r="49" spans="1:6" x14ac:dyDescent="0.25">
      <c r="A49" t="s">
        <v>986</v>
      </c>
      <c r="B49" s="5" t="s">
        <v>1741</v>
      </c>
      <c r="C49" s="5" t="s">
        <v>1741</v>
      </c>
      <c r="D49" t="b">
        <f t="shared" si="0"/>
        <v>0</v>
      </c>
    </row>
    <row r="50" spans="1:6" x14ac:dyDescent="0.25">
      <c r="A50" t="s">
        <v>986</v>
      </c>
      <c r="B50" s="5" t="s">
        <v>1002</v>
      </c>
      <c r="C50" s="5" t="s">
        <v>1002</v>
      </c>
      <c r="D50" t="b">
        <f t="shared" si="0"/>
        <v>0</v>
      </c>
    </row>
    <row r="51" spans="1:6" x14ac:dyDescent="0.25">
      <c r="A51" t="s">
        <v>986</v>
      </c>
      <c r="B51" s="5" t="s">
        <v>1003</v>
      </c>
      <c r="C51" s="5" t="s">
        <v>1003</v>
      </c>
      <c r="D51" t="b">
        <f t="shared" si="0"/>
        <v>0</v>
      </c>
    </row>
    <row r="52" spans="1:6" x14ac:dyDescent="0.25">
      <c r="A52" t="s">
        <v>986</v>
      </c>
      <c r="B52" s="5" t="s">
        <v>1598</v>
      </c>
      <c r="C52" s="5" t="s">
        <v>1598</v>
      </c>
      <c r="D52" t="b">
        <f t="shared" si="0"/>
        <v>0</v>
      </c>
    </row>
    <row r="53" spans="1:6" x14ac:dyDescent="0.25">
      <c r="A53" t="s">
        <v>986</v>
      </c>
      <c r="B53" s="5" t="s">
        <v>1004</v>
      </c>
      <c r="C53" s="5" t="s">
        <v>1004</v>
      </c>
      <c r="D53" t="b">
        <f t="shared" si="0"/>
        <v>0</v>
      </c>
    </row>
    <row r="54" spans="1:6" x14ac:dyDescent="0.25">
      <c r="A54" t="s">
        <v>986</v>
      </c>
      <c r="B54" s="5" t="s">
        <v>1740</v>
      </c>
      <c r="C54" s="5" t="s">
        <v>1740</v>
      </c>
      <c r="D54" t="b">
        <f t="shared" si="0"/>
        <v>0</v>
      </c>
    </row>
    <row r="55" spans="1:6" x14ac:dyDescent="0.25">
      <c r="A55" t="s">
        <v>986</v>
      </c>
      <c r="B55" s="5" t="s">
        <v>1005</v>
      </c>
      <c r="C55" s="5" t="s">
        <v>1005</v>
      </c>
      <c r="D55" t="b">
        <f t="shared" si="0"/>
        <v>0</v>
      </c>
    </row>
    <row r="56" spans="1:6" x14ac:dyDescent="0.25">
      <c r="A56" t="s">
        <v>986</v>
      </c>
      <c r="B56" s="5" t="s">
        <v>1006</v>
      </c>
      <c r="C56" s="5" t="s">
        <v>1006</v>
      </c>
      <c r="D56" t="b">
        <f t="shared" si="0"/>
        <v>0</v>
      </c>
    </row>
    <row r="57" spans="1:6" x14ac:dyDescent="0.25">
      <c r="A57" t="s">
        <v>986</v>
      </c>
      <c r="B57" s="5" t="s">
        <v>1007</v>
      </c>
      <c r="C57" s="5" t="s">
        <v>1007</v>
      </c>
      <c r="D57" t="b">
        <f t="shared" si="0"/>
        <v>0</v>
      </c>
      <c r="F57"/>
    </row>
    <row r="58" spans="1:6" x14ac:dyDescent="0.25">
      <c r="A58" t="s">
        <v>986</v>
      </c>
      <c r="B58" s="5" t="s">
        <v>1008</v>
      </c>
      <c r="C58" s="5" t="s">
        <v>1008</v>
      </c>
      <c r="D58" t="b">
        <f t="shared" si="0"/>
        <v>0</v>
      </c>
    </row>
    <row r="59" spans="1:6" x14ac:dyDescent="0.25">
      <c r="A59" t="s">
        <v>991</v>
      </c>
      <c r="B59" s="5" t="s">
        <v>1009</v>
      </c>
      <c r="C59" s="5" t="s">
        <v>1009</v>
      </c>
      <c r="D59" t="b">
        <f t="shared" si="0"/>
        <v>0</v>
      </c>
    </row>
    <row r="60" spans="1:6" x14ac:dyDescent="0.25">
      <c r="A60" t="s">
        <v>991</v>
      </c>
      <c r="B60" s="5" t="s">
        <v>1010</v>
      </c>
      <c r="C60" s="5" t="s">
        <v>1010</v>
      </c>
      <c r="D60" t="b">
        <f t="shared" si="0"/>
        <v>0</v>
      </c>
    </row>
    <row r="61" spans="1:6" x14ac:dyDescent="0.25">
      <c r="A61" t="s">
        <v>991</v>
      </c>
      <c r="B61" s="5" t="s">
        <v>1011</v>
      </c>
      <c r="C61" s="5" t="s">
        <v>1011</v>
      </c>
      <c r="D61" t="b">
        <f t="shared" si="0"/>
        <v>0</v>
      </c>
    </row>
    <row r="62" spans="1:6" x14ac:dyDescent="0.25">
      <c r="A62" t="s">
        <v>991</v>
      </c>
      <c r="B62" s="5" t="s">
        <v>1527</v>
      </c>
      <c r="C62" s="5" t="s">
        <v>1527</v>
      </c>
      <c r="D62" t="b">
        <f t="shared" si="0"/>
        <v>0</v>
      </c>
    </row>
    <row r="63" spans="1:6" x14ac:dyDescent="0.25">
      <c r="A63" t="s">
        <v>991</v>
      </c>
      <c r="B63" s="5" t="s">
        <v>1012</v>
      </c>
      <c r="C63" s="5" t="s">
        <v>1012</v>
      </c>
      <c r="D63" t="b">
        <f t="shared" si="0"/>
        <v>0</v>
      </c>
    </row>
    <row r="64" spans="1:6" x14ac:dyDescent="0.25">
      <c r="A64" t="s">
        <v>991</v>
      </c>
      <c r="B64" s="5" t="s">
        <v>1013</v>
      </c>
      <c r="C64" s="5" t="s">
        <v>1013</v>
      </c>
      <c r="D64" t="b">
        <f t="shared" si="0"/>
        <v>0</v>
      </c>
    </row>
    <row r="65" spans="1:6" x14ac:dyDescent="0.25">
      <c r="A65" t="s">
        <v>43</v>
      </c>
      <c r="B65" s="5" t="s">
        <v>947</v>
      </c>
      <c r="C65" s="5" t="s">
        <v>947</v>
      </c>
      <c r="D65" t="b">
        <f t="shared" si="0"/>
        <v>0</v>
      </c>
    </row>
    <row r="66" spans="1:6" x14ac:dyDescent="0.25">
      <c r="A66" t="s">
        <v>43</v>
      </c>
      <c r="B66" s="5" t="s">
        <v>949</v>
      </c>
      <c r="C66" s="5" t="s">
        <v>949</v>
      </c>
      <c r="D66" t="b">
        <f t="shared" si="0"/>
        <v>0</v>
      </c>
      <c r="F66"/>
    </row>
    <row r="67" spans="1:6" x14ac:dyDescent="0.25">
      <c r="A67" t="s">
        <v>43</v>
      </c>
      <c r="B67" s="5" t="s">
        <v>948</v>
      </c>
      <c r="C67" s="5" t="s">
        <v>1014</v>
      </c>
      <c r="D67" t="b">
        <f t="shared" si="0"/>
        <v>1</v>
      </c>
    </row>
    <row r="68" spans="1:6" x14ac:dyDescent="0.25">
      <c r="A68" t="s">
        <v>43</v>
      </c>
      <c r="B68" s="5" t="s">
        <v>1015</v>
      </c>
      <c r="C68" s="5" t="s">
        <v>1015</v>
      </c>
      <c r="D68" t="b">
        <f t="shared" si="0"/>
        <v>0</v>
      </c>
    </row>
    <row r="69" spans="1:6" x14ac:dyDescent="0.25">
      <c r="A69" t="s">
        <v>43</v>
      </c>
      <c r="B69" s="5" t="s">
        <v>953</v>
      </c>
      <c r="C69" s="5" t="s">
        <v>953</v>
      </c>
      <c r="D69" t="b">
        <f t="shared" ref="D69:D102" si="2">B69&lt;&gt;C69</f>
        <v>0</v>
      </c>
    </row>
    <row r="70" spans="1:6" x14ac:dyDescent="0.25">
      <c r="A70" t="s">
        <v>43</v>
      </c>
      <c r="B70" s="5" t="s">
        <v>1016</v>
      </c>
      <c r="C70" s="5" t="s">
        <v>1016</v>
      </c>
      <c r="D70" t="b">
        <f t="shared" si="2"/>
        <v>0</v>
      </c>
    </row>
    <row r="71" spans="1:6" x14ac:dyDescent="0.25">
      <c r="A71" t="s">
        <v>43</v>
      </c>
      <c r="B71" s="5" t="s">
        <v>1017</v>
      </c>
      <c r="C71" s="5" t="s">
        <v>1017</v>
      </c>
      <c r="D71" t="b">
        <f t="shared" si="2"/>
        <v>0</v>
      </c>
    </row>
    <row r="72" spans="1:6" x14ac:dyDescent="0.25">
      <c r="A72" t="s">
        <v>36</v>
      </c>
      <c r="B72" s="5" t="s">
        <v>1018</v>
      </c>
      <c r="C72" s="5" t="s">
        <v>1738</v>
      </c>
      <c r="D72" t="b">
        <f t="shared" si="2"/>
        <v>1</v>
      </c>
    </row>
    <row r="73" spans="1:6" x14ac:dyDescent="0.25">
      <c r="A73" t="s">
        <v>36</v>
      </c>
      <c r="B73" s="5" t="s">
        <v>120</v>
      </c>
      <c r="C73" s="5" t="s">
        <v>120</v>
      </c>
      <c r="D73" t="b">
        <f t="shared" si="2"/>
        <v>0</v>
      </c>
    </row>
    <row r="74" spans="1:6" x14ac:dyDescent="0.25">
      <c r="A74" t="s">
        <v>36</v>
      </c>
      <c r="B74" s="5" t="s">
        <v>1416</v>
      </c>
      <c r="C74" s="5" t="s">
        <v>1416</v>
      </c>
      <c r="D74" t="b">
        <f t="shared" si="2"/>
        <v>0</v>
      </c>
    </row>
    <row r="75" spans="1:6" x14ac:dyDescent="0.25">
      <c r="A75" t="s">
        <v>36</v>
      </c>
      <c r="B75" s="5" t="s">
        <v>699</v>
      </c>
      <c r="C75" s="5" t="s">
        <v>699</v>
      </c>
      <c r="D75" t="b">
        <f t="shared" si="2"/>
        <v>0</v>
      </c>
    </row>
    <row r="76" spans="1:6" x14ac:dyDescent="0.25">
      <c r="A76" t="s">
        <v>36</v>
      </c>
      <c r="B76" s="5" t="s">
        <v>771</v>
      </c>
      <c r="C76" s="5" t="s">
        <v>771</v>
      </c>
      <c r="D76" t="b">
        <f t="shared" si="2"/>
        <v>0</v>
      </c>
    </row>
    <row r="77" spans="1:6" x14ac:dyDescent="0.25">
      <c r="A77" t="s">
        <v>36</v>
      </c>
      <c r="B77" s="5" t="s">
        <v>1019</v>
      </c>
      <c r="C77" s="5" t="s">
        <v>1019</v>
      </c>
      <c r="D77" t="b">
        <f t="shared" si="2"/>
        <v>0</v>
      </c>
    </row>
    <row r="78" spans="1:6" x14ac:dyDescent="0.25">
      <c r="A78" t="s">
        <v>36</v>
      </c>
      <c r="B78" s="5" t="s">
        <v>1020</v>
      </c>
      <c r="C78" s="5" t="s">
        <v>1020</v>
      </c>
      <c r="D78" t="b">
        <f t="shared" si="2"/>
        <v>0</v>
      </c>
    </row>
    <row r="79" spans="1:6" x14ac:dyDescent="0.25">
      <c r="A79" t="s">
        <v>36</v>
      </c>
      <c r="B79" s="5" t="s">
        <v>1021</v>
      </c>
      <c r="C79" s="5" t="s">
        <v>1021</v>
      </c>
      <c r="D79" t="b">
        <f t="shared" si="2"/>
        <v>0</v>
      </c>
    </row>
    <row r="80" spans="1:6" x14ac:dyDescent="0.25">
      <c r="A80" t="s">
        <v>36</v>
      </c>
      <c r="B80" s="5" t="s">
        <v>1022</v>
      </c>
      <c r="C80" s="5" t="s">
        <v>1022</v>
      </c>
      <c r="D80" t="b">
        <f t="shared" si="2"/>
        <v>0</v>
      </c>
    </row>
    <row r="81" spans="1:6" x14ac:dyDescent="0.25">
      <c r="A81" t="s">
        <v>36</v>
      </c>
      <c r="B81" s="5" t="s">
        <v>1023</v>
      </c>
      <c r="C81" s="5" t="s">
        <v>1023</v>
      </c>
      <c r="D81" t="b">
        <f t="shared" si="2"/>
        <v>0</v>
      </c>
    </row>
    <row r="82" spans="1:6" x14ac:dyDescent="0.25">
      <c r="A82" t="s">
        <v>36</v>
      </c>
      <c r="B82" s="5" t="s">
        <v>1024</v>
      </c>
      <c r="C82" s="5" t="s">
        <v>1024</v>
      </c>
      <c r="D82" t="b">
        <f t="shared" si="2"/>
        <v>0</v>
      </c>
    </row>
    <row r="83" spans="1:6" x14ac:dyDescent="0.25">
      <c r="A83" t="s">
        <v>36</v>
      </c>
      <c r="B83" s="5" t="s">
        <v>781</v>
      </c>
      <c r="C83" s="5" t="s">
        <v>781</v>
      </c>
      <c r="D83" t="b">
        <f t="shared" si="2"/>
        <v>0</v>
      </c>
    </row>
    <row r="84" spans="1:6" x14ac:dyDescent="0.25">
      <c r="A84" t="s">
        <v>36</v>
      </c>
      <c r="B84" s="5" t="s">
        <v>1025</v>
      </c>
      <c r="C84" s="5" t="s">
        <v>1025</v>
      </c>
      <c r="D84" t="b">
        <f t="shared" si="2"/>
        <v>0</v>
      </c>
    </row>
    <row r="85" spans="1:6" x14ac:dyDescent="0.25">
      <c r="A85" t="s">
        <v>989</v>
      </c>
      <c r="B85" s="5" t="s">
        <v>1026</v>
      </c>
      <c r="C85" s="5" t="s">
        <v>1027</v>
      </c>
      <c r="D85" t="b">
        <f t="shared" si="2"/>
        <v>1</v>
      </c>
    </row>
    <row r="86" spans="1:6" x14ac:dyDescent="0.25">
      <c r="A86" t="s">
        <v>989</v>
      </c>
      <c r="B86" s="5" t="s">
        <v>1028</v>
      </c>
      <c r="C86" s="5" t="s">
        <v>1028</v>
      </c>
      <c r="D86" t="b">
        <f t="shared" si="2"/>
        <v>0</v>
      </c>
    </row>
    <row r="87" spans="1:6" x14ac:dyDescent="0.25">
      <c r="A87" t="s">
        <v>989</v>
      </c>
      <c r="B87" s="5" t="s">
        <v>1029</v>
      </c>
      <c r="C87" s="5" t="s">
        <v>1029</v>
      </c>
      <c r="D87" t="b">
        <f t="shared" si="2"/>
        <v>0</v>
      </c>
    </row>
    <row r="88" spans="1:6" x14ac:dyDescent="0.25">
      <c r="A88" t="s">
        <v>989</v>
      </c>
      <c r="B88" s="5" t="s">
        <v>1030</v>
      </c>
      <c r="C88" s="5" t="s">
        <v>1032</v>
      </c>
      <c r="D88" t="b">
        <f t="shared" si="2"/>
        <v>1</v>
      </c>
    </row>
    <row r="89" spans="1:6" x14ac:dyDescent="0.25">
      <c r="A89" t="s">
        <v>989</v>
      </c>
      <c r="B89" s="5" t="s">
        <v>1031</v>
      </c>
      <c r="C89" s="5" t="s">
        <v>1031</v>
      </c>
      <c r="D89" t="b">
        <f t="shared" si="2"/>
        <v>0</v>
      </c>
    </row>
    <row r="90" spans="1:6" x14ac:dyDescent="0.25">
      <c r="A90" t="s">
        <v>329</v>
      </c>
      <c r="B90" s="5" t="s">
        <v>1597</v>
      </c>
      <c r="C90" s="5" t="s">
        <v>1597</v>
      </c>
      <c r="D90" t="b">
        <f t="shared" si="2"/>
        <v>0</v>
      </c>
      <c r="F90" s="3" t="s">
        <v>1665</v>
      </c>
    </row>
    <row r="91" spans="1:6" x14ac:dyDescent="0.25">
      <c r="A91" t="s">
        <v>329</v>
      </c>
      <c r="B91" s="5" t="s">
        <v>1033</v>
      </c>
      <c r="C91" s="5" t="s">
        <v>1033</v>
      </c>
      <c r="D91" t="b">
        <f t="shared" si="2"/>
        <v>0</v>
      </c>
    </row>
    <row r="92" spans="1:6" x14ac:dyDescent="0.25">
      <c r="A92" t="s">
        <v>329</v>
      </c>
      <c r="B92" s="5" t="s">
        <v>1034</v>
      </c>
      <c r="C92" s="5" t="s">
        <v>1034</v>
      </c>
      <c r="D92" t="b">
        <f t="shared" si="2"/>
        <v>0</v>
      </c>
    </row>
    <row r="93" spans="1:6" x14ac:dyDescent="0.25">
      <c r="A93" t="s">
        <v>329</v>
      </c>
      <c r="B93" s="5" t="s">
        <v>1035</v>
      </c>
      <c r="C93" s="5" t="s">
        <v>1035</v>
      </c>
      <c r="D93" t="b">
        <f t="shared" si="2"/>
        <v>0</v>
      </c>
    </row>
    <row r="94" spans="1:6" x14ac:dyDescent="0.25">
      <c r="A94" t="s">
        <v>329</v>
      </c>
      <c r="B94" s="5" t="s">
        <v>1036</v>
      </c>
      <c r="C94" s="5" t="s">
        <v>1036</v>
      </c>
      <c r="D94" t="b">
        <f t="shared" si="2"/>
        <v>0</v>
      </c>
    </row>
    <row r="95" spans="1:6" x14ac:dyDescent="0.25">
      <c r="A95" t="s">
        <v>329</v>
      </c>
      <c r="B95" s="5" t="s">
        <v>1037</v>
      </c>
      <c r="C95" s="5" t="s">
        <v>1037</v>
      </c>
      <c r="D95" t="b">
        <f t="shared" si="2"/>
        <v>0</v>
      </c>
    </row>
    <row r="96" spans="1:6" x14ac:dyDescent="0.25">
      <c r="A96" t="s">
        <v>329</v>
      </c>
      <c r="B96" s="5" t="s">
        <v>1038</v>
      </c>
      <c r="C96" s="5" t="s">
        <v>1038</v>
      </c>
      <c r="D96" t="b">
        <f t="shared" si="2"/>
        <v>0</v>
      </c>
    </row>
    <row r="97" spans="1:4" x14ac:dyDescent="0.25">
      <c r="A97" t="s">
        <v>329</v>
      </c>
      <c r="B97" s="5" t="s">
        <v>1039</v>
      </c>
      <c r="C97" s="5" t="s">
        <v>1039</v>
      </c>
      <c r="D97" t="b">
        <f t="shared" si="2"/>
        <v>0</v>
      </c>
    </row>
    <row r="98" spans="1:4" x14ac:dyDescent="0.25">
      <c r="A98" t="s">
        <v>329</v>
      </c>
      <c r="B98" s="5" t="s">
        <v>1040</v>
      </c>
      <c r="C98" s="5" t="s">
        <v>1040</v>
      </c>
      <c r="D98" t="b">
        <f t="shared" si="2"/>
        <v>0</v>
      </c>
    </row>
    <row r="99" spans="1:4" x14ac:dyDescent="0.25">
      <c r="A99" t="s">
        <v>329</v>
      </c>
      <c r="B99" s="5" t="s">
        <v>1041</v>
      </c>
      <c r="C99" s="5" t="s">
        <v>1041</v>
      </c>
      <c r="D99" t="b">
        <f t="shared" si="2"/>
        <v>0</v>
      </c>
    </row>
    <row r="100" spans="1:4" x14ac:dyDescent="0.25">
      <c r="A100" t="s">
        <v>329</v>
      </c>
      <c r="B100" s="5" t="s">
        <v>1042</v>
      </c>
      <c r="C100" s="5" t="s">
        <v>1042</v>
      </c>
      <c r="D100" t="b">
        <f t="shared" si="2"/>
        <v>0</v>
      </c>
    </row>
    <row r="101" spans="1:4" x14ac:dyDescent="0.25">
      <c r="A101" t="s">
        <v>329</v>
      </c>
      <c r="B101" s="5" t="s">
        <v>1528</v>
      </c>
      <c r="C101" s="5" t="s">
        <v>1528</v>
      </c>
      <c r="D101" t="b">
        <f t="shared" si="2"/>
        <v>0</v>
      </c>
    </row>
    <row r="102" spans="1:4" x14ac:dyDescent="0.25">
      <c r="A102" t="s">
        <v>329</v>
      </c>
      <c r="B102" s="5" t="s">
        <v>1043</v>
      </c>
      <c r="C102" s="5" t="s">
        <v>1043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44CCC8BE-F986-48C5-B5FF-0291F2BE3CE3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5AAFFC5E-71D5-4C2D-AD20-00F4F38410A8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345B-186E-49E1-8614-1028C37C33C5}">
  <sheetPr codeName="Planilha21"/>
  <dimension ref="A1:G102"/>
  <sheetViews>
    <sheetView topLeftCell="A78" workbookViewId="0">
      <selection activeCell="F19" sqref="F19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17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3</v>
      </c>
    </row>
    <row r="3" spans="1:7" x14ac:dyDescent="0.25">
      <c r="A3" s="5" t="s">
        <v>2002</v>
      </c>
      <c r="B3" s="5" t="s">
        <v>2038</v>
      </c>
      <c r="C3" s="5" t="s">
        <v>2038</v>
      </c>
      <c r="D3" t="b">
        <f>B3&lt;&gt;C3</f>
        <v>0</v>
      </c>
      <c r="F3" s="4" t="s">
        <v>30</v>
      </c>
      <c r="G3" s="3">
        <f>SUM(G6:G26)</f>
        <v>100</v>
      </c>
    </row>
    <row r="4" spans="1:7" x14ac:dyDescent="0.25">
      <c r="A4" t="s">
        <v>28</v>
      </c>
      <c r="B4" s="5" t="s">
        <v>39</v>
      </c>
      <c r="C4" s="5" t="s">
        <v>1044</v>
      </c>
      <c r="D4" t="b">
        <f>B4&lt;&gt;C4</f>
        <v>1</v>
      </c>
    </row>
    <row r="5" spans="1:7" x14ac:dyDescent="0.25">
      <c r="A5" t="s">
        <v>28</v>
      </c>
      <c r="B5" s="5" t="s">
        <v>51</v>
      </c>
      <c r="C5" s="5" t="s">
        <v>51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142</v>
      </c>
      <c r="C6" s="5" t="s">
        <v>142</v>
      </c>
      <c r="D6" t="b">
        <f t="shared" si="0"/>
        <v>0</v>
      </c>
      <c r="F6" s="3" t="s">
        <v>2002</v>
      </c>
      <c r="G6" s="2">
        <f t="shared" ref="G6:G15" si="1">COUNTIF(A:A,F6)</f>
        <v>1</v>
      </c>
    </row>
    <row r="7" spans="1:7" x14ac:dyDescent="0.25">
      <c r="A7" t="s">
        <v>28</v>
      </c>
      <c r="B7" s="5" t="s">
        <v>609</v>
      </c>
      <c r="C7" s="5" t="s">
        <v>609</v>
      </c>
      <c r="D7" t="b">
        <f t="shared" si="0"/>
        <v>0</v>
      </c>
      <c r="F7" s="7" t="s">
        <v>28</v>
      </c>
      <c r="G7" s="2">
        <f t="shared" si="1"/>
        <v>36</v>
      </c>
    </row>
    <row r="8" spans="1:7" x14ac:dyDescent="0.25">
      <c r="A8" t="s">
        <v>28</v>
      </c>
      <c r="B8" s="5" t="s">
        <v>1045</v>
      </c>
      <c r="C8" s="5" t="s">
        <v>1045</v>
      </c>
      <c r="D8" t="b">
        <f t="shared" si="0"/>
        <v>0</v>
      </c>
      <c r="F8" s="7" t="s">
        <v>34</v>
      </c>
      <c r="G8" s="2">
        <f t="shared" si="1"/>
        <v>10</v>
      </c>
    </row>
    <row r="9" spans="1:7" x14ac:dyDescent="0.25">
      <c r="A9" t="s">
        <v>28</v>
      </c>
      <c r="B9" s="5" t="s">
        <v>33</v>
      </c>
      <c r="C9" s="5" t="s">
        <v>33</v>
      </c>
      <c r="D9" t="b">
        <f t="shared" si="0"/>
        <v>0</v>
      </c>
      <c r="F9" s="7" t="s">
        <v>61</v>
      </c>
      <c r="G9" s="2">
        <f t="shared" si="1"/>
        <v>16</v>
      </c>
    </row>
    <row r="10" spans="1:7" x14ac:dyDescent="0.25">
      <c r="A10" t="s">
        <v>28</v>
      </c>
      <c r="B10" s="5" t="s">
        <v>739</v>
      </c>
      <c r="C10" s="5" t="s">
        <v>739</v>
      </c>
      <c r="D10" t="b">
        <f t="shared" si="0"/>
        <v>0</v>
      </c>
      <c r="F10" s="7" t="s">
        <v>803</v>
      </c>
      <c r="G10" s="2">
        <f t="shared" si="1"/>
        <v>0</v>
      </c>
    </row>
    <row r="11" spans="1:7" x14ac:dyDescent="0.25">
      <c r="A11" t="s">
        <v>28</v>
      </c>
      <c r="B11" s="5" t="s">
        <v>196</v>
      </c>
      <c r="C11" s="5" t="s">
        <v>196</v>
      </c>
      <c r="D11" t="b">
        <f t="shared" si="0"/>
        <v>0</v>
      </c>
      <c r="F11" s="7" t="s">
        <v>542</v>
      </c>
      <c r="G11" s="2">
        <f t="shared" si="1"/>
        <v>4</v>
      </c>
    </row>
    <row r="12" spans="1:7" x14ac:dyDescent="0.25">
      <c r="A12" t="s">
        <v>28</v>
      </c>
      <c r="B12" s="5" t="s">
        <v>328</v>
      </c>
      <c r="C12" s="5" t="s">
        <v>328</v>
      </c>
      <c r="D12" t="b">
        <f t="shared" si="0"/>
        <v>0</v>
      </c>
      <c r="F12" s="7" t="s">
        <v>1046</v>
      </c>
      <c r="G12" s="2">
        <f t="shared" si="1"/>
        <v>12</v>
      </c>
    </row>
    <row r="13" spans="1:7" x14ac:dyDescent="0.25">
      <c r="A13" t="s">
        <v>28</v>
      </c>
      <c r="B13" s="5" t="s">
        <v>191</v>
      </c>
      <c r="C13" s="5" t="s">
        <v>191</v>
      </c>
      <c r="D13" t="b">
        <f t="shared" si="0"/>
        <v>0</v>
      </c>
      <c r="F13" s="7" t="s">
        <v>1048</v>
      </c>
      <c r="G13" s="2">
        <f t="shared" si="1"/>
        <v>7</v>
      </c>
    </row>
    <row r="14" spans="1:7" x14ac:dyDescent="0.25">
      <c r="A14" t="s">
        <v>28</v>
      </c>
      <c r="B14" s="5" t="s">
        <v>190</v>
      </c>
      <c r="C14" s="5" t="s">
        <v>190</v>
      </c>
      <c r="D14" t="b">
        <f t="shared" si="0"/>
        <v>0</v>
      </c>
      <c r="F14" s="7" t="s">
        <v>59</v>
      </c>
      <c r="G14" s="2">
        <f t="shared" si="1"/>
        <v>10</v>
      </c>
    </row>
    <row r="15" spans="1:7" x14ac:dyDescent="0.25">
      <c r="A15" t="s">
        <v>28</v>
      </c>
      <c r="B15" s="5" t="s">
        <v>192</v>
      </c>
      <c r="C15" s="5" t="s">
        <v>192</v>
      </c>
      <c r="D15" t="b">
        <f t="shared" si="0"/>
        <v>0</v>
      </c>
      <c r="F15" s="7" t="s">
        <v>1047</v>
      </c>
      <c r="G15" s="2">
        <f t="shared" si="1"/>
        <v>4</v>
      </c>
    </row>
    <row r="16" spans="1:7" x14ac:dyDescent="0.25">
      <c r="A16" t="s">
        <v>28</v>
      </c>
      <c r="B16" s="5" t="s">
        <v>188</v>
      </c>
      <c r="C16" s="5" t="s">
        <v>188</v>
      </c>
      <c r="D16" t="b">
        <f t="shared" si="0"/>
        <v>0</v>
      </c>
    </row>
    <row r="17" spans="1:7" x14ac:dyDescent="0.25">
      <c r="A17" t="s">
        <v>28</v>
      </c>
      <c r="B17" s="5" t="s">
        <v>39</v>
      </c>
      <c r="C17" s="5" t="s">
        <v>39</v>
      </c>
      <c r="D17" t="b">
        <f t="shared" si="0"/>
        <v>0</v>
      </c>
      <c r="F17" s="1"/>
      <c r="G17" s="2"/>
    </row>
    <row r="18" spans="1:7" x14ac:dyDescent="0.25">
      <c r="A18" t="s">
        <v>28</v>
      </c>
      <c r="B18" s="5" t="s">
        <v>39</v>
      </c>
      <c r="C18" s="5" t="s">
        <v>39</v>
      </c>
      <c r="D18" t="b">
        <f t="shared" si="0"/>
        <v>0</v>
      </c>
    </row>
    <row r="19" spans="1:7" x14ac:dyDescent="0.25">
      <c r="A19" t="s">
        <v>28</v>
      </c>
      <c r="B19" s="5" t="s">
        <v>39</v>
      </c>
      <c r="C19" s="5" t="s">
        <v>39</v>
      </c>
      <c r="D19" t="b">
        <f t="shared" si="0"/>
        <v>0</v>
      </c>
    </row>
    <row r="20" spans="1:7" x14ac:dyDescent="0.25">
      <c r="A20" t="s">
        <v>28</v>
      </c>
      <c r="B20" s="5" t="s">
        <v>39</v>
      </c>
      <c r="C20" s="5" t="s">
        <v>39</v>
      </c>
      <c r="D20" t="b">
        <f t="shared" si="0"/>
        <v>0</v>
      </c>
    </row>
    <row r="21" spans="1:7" x14ac:dyDescent="0.25">
      <c r="A21" t="s">
        <v>28</v>
      </c>
      <c r="B21" s="5" t="s">
        <v>39</v>
      </c>
      <c r="C21" s="5" t="s">
        <v>39</v>
      </c>
      <c r="D21" t="b">
        <f t="shared" si="0"/>
        <v>0</v>
      </c>
    </row>
    <row r="22" spans="1:7" x14ac:dyDescent="0.25">
      <c r="A22" t="s">
        <v>28</v>
      </c>
      <c r="B22" s="5" t="s">
        <v>39</v>
      </c>
      <c r="C22" s="5" t="s">
        <v>39</v>
      </c>
      <c r="D22" t="b">
        <f t="shared" si="0"/>
        <v>0</v>
      </c>
    </row>
    <row r="23" spans="1:7" x14ac:dyDescent="0.25">
      <c r="A23" t="s">
        <v>28</v>
      </c>
      <c r="B23" s="5" t="s">
        <v>39</v>
      </c>
      <c r="C23" s="5" t="s">
        <v>39</v>
      </c>
      <c r="D23" t="b">
        <f t="shared" si="0"/>
        <v>0</v>
      </c>
    </row>
    <row r="24" spans="1:7" x14ac:dyDescent="0.25">
      <c r="A24" t="s">
        <v>28</v>
      </c>
      <c r="B24" s="5" t="s">
        <v>38</v>
      </c>
      <c r="C24" s="5" t="s">
        <v>38</v>
      </c>
      <c r="D24" t="b">
        <f t="shared" si="0"/>
        <v>0</v>
      </c>
    </row>
    <row r="25" spans="1:7" x14ac:dyDescent="0.25">
      <c r="A25" t="s">
        <v>28</v>
      </c>
      <c r="B25" s="5" t="s">
        <v>38</v>
      </c>
      <c r="C25" s="5" t="s">
        <v>38</v>
      </c>
      <c r="D25" t="b">
        <f t="shared" si="0"/>
        <v>0</v>
      </c>
    </row>
    <row r="26" spans="1:7" x14ac:dyDescent="0.25">
      <c r="A26" t="s">
        <v>28</v>
      </c>
      <c r="B26" s="5" t="s">
        <v>38</v>
      </c>
      <c r="C26" s="5" t="s">
        <v>38</v>
      </c>
      <c r="D26" t="b">
        <f t="shared" si="0"/>
        <v>0</v>
      </c>
    </row>
    <row r="27" spans="1:7" x14ac:dyDescent="0.25">
      <c r="A27" t="s">
        <v>28</v>
      </c>
      <c r="B27" s="5" t="s">
        <v>38</v>
      </c>
      <c r="C27" s="5" t="s">
        <v>38</v>
      </c>
      <c r="D27" t="b">
        <f t="shared" si="0"/>
        <v>0</v>
      </c>
    </row>
    <row r="28" spans="1:7" x14ac:dyDescent="0.25">
      <c r="A28" t="s">
        <v>28</v>
      </c>
      <c r="B28" s="5" t="s">
        <v>38</v>
      </c>
      <c r="C28" s="5" t="s">
        <v>38</v>
      </c>
      <c r="D28" t="b">
        <f t="shared" si="0"/>
        <v>0</v>
      </c>
    </row>
    <row r="29" spans="1:7" x14ac:dyDescent="0.25">
      <c r="A29" t="s">
        <v>28</v>
      </c>
      <c r="B29" s="5" t="s">
        <v>38</v>
      </c>
      <c r="C29" s="5" t="s">
        <v>38</v>
      </c>
      <c r="D29" t="b">
        <f t="shared" si="0"/>
        <v>0</v>
      </c>
    </row>
    <row r="30" spans="1:7" x14ac:dyDescent="0.25">
      <c r="A30" t="s">
        <v>28</v>
      </c>
      <c r="B30" s="5" t="s">
        <v>38</v>
      </c>
      <c r="C30" s="5" t="s">
        <v>38</v>
      </c>
      <c r="D30" t="b">
        <f t="shared" si="0"/>
        <v>0</v>
      </c>
    </row>
    <row r="31" spans="1:7" x14ac:dyDescent="0.25">
      <c r="A31" t="s">
        <v>28</v>
      </c>
      <c r="B31" s="5" t="s">
        <v>38</v>
      </c>
      <c r="C31" s="5" t="s">
        <v>38</v>
      </c>
      <c r="D31" t="b">
        <f t="shared" si="0"/>
        <v>0</v>
      </c>
    </row>
    <row r="32" spans="1:7" x14ac:dyDescent="0.25">
      <c r="A32" t="s">
        <v>28</v>
      </c>
      <c r="B32" s="5" t="s">
        <v>38</v>
      </c>
      <c r="C32" s="5" t="s">
        <v>38</v>
      </c>
      <c r="D32" t="b">
        <f t="shared" si="0"/>
        <v>0</v>
      </c>
    </row>
    <row r="33" spans="1:4" x14ac:dyDescent="0.25">
      <c r="A33" t="s">
        <v>28</v>
      </c>
      <c r="B33" s="5" t="s">
        <v>37</v>
      </c>
      <c r="C33" s="5" t="s">
        <v>37</v>
      </c>
      <c r="D33" t="b">
        <f t="shared" si="0"/>
        <v>0</v>
      </c>
    </row>
    <row r="34" spans="1:4" x14ac:dyDescent="0.25">
      <c r="A34" t="s">
        <v>28</v>
      </c>
      <c r="B34" s="5" t="s">
        <v>37</v>
      </c>
      <c r="C34" s="5" t="s">
        <v>37</v>
      </c>
      <c r="D34" t="b">
        <f t="shared" si="0"/>
        <v>0</v>
      </c>
    </row>
    <row r="35" spans="1:4" x14ac:dyDescent="0.25">
      <c r="A35" t="s">
        <v>28</v>
      </c>
      <c r="B35" s="5" t="s">
        <v>37</v>
      </c>
      <c r="C35" s="5" t="s">
        <v>37</v>
      </c>
      <c r="D35" t="b">
        <f t="shared" si="0"/>
        <v>0</v>
      </c>
    </row>
    <row r="36" spans="1:4" x14ac:dyDescent="0.25">
      <c r="A36" t="s">
        <v>28</v>
      </c>
      <c r="B36" s="5" t="s">
        <v>37</v>
      </c>
      <c r="C36" s="5" t="s">
        <v>37</v>
      </c>
      <c r="D36" t="b">
        <f t="shared" si="0"/>
        <v>0</v>
      </c>
    </row>
    <row r="37" spans="1:4" x14ac:dyDescent="0.25">
      <c r="A37" t="s">
        <v>28</v>
      </c>
      <c r="B37" s="5" t="s">
        <v>37</v>
      </c>
      <c r="C37" s="5" t="s">
        <v>37</v>
      </c>
      <c r="D37" t="b">
        <f t="shared" si="0"/>
        <v>0</v>
      </c>
    </row>
    <row r="38" spans="1:4" x14ac:dyDescent="0.25">
      <c r="A38" t="s">
        <v>28</v>
      </c>
      <c r="B38" s="5" t="s">
        <v>37</v>
      </c>
      <c r="C38" s="5" t="s">
        <v>37</v>
      </c>
      <c r="D38" t="b">
        <f t="shared" si="0"/>
        <v>0</v>
      </c>
    </row>
    <row r="39" spans="1:4" x14ac:dyDescent="0.25">
      <c r="A39" t="s">
        <v>28</v>
      </c>
      <c r="B39" s="5" t="s">
        <v>37</v>
      </c>
      <c r="C39" s="5" t="s">
        <v>37</v>
      </c>
      <c r="D39" t="b">
        <f t="shared" si="0"/>
        <v>0</v>
      </c>
    </row>
    <row r="40" spans="1:4" x14ac:dyDescent="0.25">
      <c r="A40" t="s">
        <v>34</v>
      </c>
      <c r="B40" s="5" t="s">
        <v>198</v>
      </c>
      <c r="C40" s="5" t="s">
        <v>198</v>
      </c>
      <c r="D40" t="b">
        <f t="shared" si="0"/>
        <v>0</v>
      </c>
    </row>
    <row r="41" spans="1:4" x14ac:dyDescent="0.25">
      <c r="A41" t="s">
        <v>34</v>
      </c>
      <c r="B41" s="5" t="s">
        <v>204</v>
      </c>
      <c r="C41" s="5" t="s">
        <v>204</v>
      </c>
      <c r="D41" t="b">
        <f t="shared" si="0"/>
        <v>0</v>
      </c>
    </row>
    <row r="42" spans="1:4" x14ac:dyDescent="0.25">
      <c r="A42" t="s">
        <v>34</v>
      </c>
      <c r="B42" s="5" t="s">
        <v>152</v>
      </c>
      <c r="C42" s="5" t="s">
        <v>152</v>
      </c>
      <c r="D42" t="b">
        <f t="shared" si="0"/>
        <v>0</v>
      </c>
    </row>
    <row r="43" spans="1:4" x14ac:dyDescent="0.25">
      <c r="A43" t="s">
        <v>34</v>
      </c>
      <c r="B43" s="5" t="s">
        <v>682</v>
      </c>
      <c r="C43" s="5" t="s">
        <v>682</v>
      </c>
      <c r="D43" t="b">
        <f t="shared" si="0"/>
        <v>0</v>
      </c>
    </row>
    <row r="44" spans="1:4" x14ac:dyDescent="0.25">
      <c r="A44" t="s">
        <v>34</v>
      </c>
      <c r="B44" s="5" t="s">
        <v>1049</v>
      </c>
      <c r="C44" s="5" t="s">
        <v>1049</v>
      </c>
      <c r="D44" t="b">
        <f t="shared" si="0"/>
        <v>0</v>
      </c>
    </row>
    <row r="45" spans="1:4" x14ac:dyDescent="0.25">
      <c r="A45" t="s">
        <v>34</v>
      </c>
      <c r="B45" s="5" t="s">
        <v>200</v>
      </c>
      <c r="C45" s="5" t="s">
        <v>200</v>
      </c>
      <c r="D45" t="b">
        <f t="shared" si="0"/>
        <v>0</v>
      </c>
    </row>
    <row r="46" spans="1:4" x14ac:dyDescent="0.25">
      <c r="A46" t="s">
        <v>34</v>
      </c>
      <c r="B46" s="5" t="s">
        <v>201</v>
      </c>
      <c r="C46" s="5" t="s">
        <v>201</v>
      </c>
      <c r="D46" t="b">
        <f t="shared" si="0"/>
        <v>0</v>
      </c>
    </row>
    <row r="47" spans="1:4" x14ac:dyDescent="0.25">
      <c r="A47" t="s">
        <v>34</v>
      </c>
      <c r="B47" s="5" t="s">
        <v>1050</v>
      </c>
      <c r="C47" s="5" t="s">
        <v>1050</v>
      </c>
      <c r="D47" t="b">
        <f t="shared" si="0"/>
        <v>0</v>
      </c>
    </row>
    <row r="48" spans="1:4" x14ac:dyDescent="0.25">
      <c r="A48" t="s">
        <v>34</v>
      </c>
      <c r="B48" s="5" t="s">
        <v>1717</v>
      </c>
      <c r="C48" s="5" t="s">
        <v>1717</v>
      </c>
      <c r="D48" t="b">
        <f t="shared" si="0"/>
        <v>0</v>
      </c>
    </row>
    <row r="49" spans="1:4" x14ac:dyDescent="0.25">
      <c r="A49" t="s">
        <v>34</v>
      </c>
      <c r="B49" s="5" t="s">
        <v>202</v>
      </c>
      <c r="C49" s="5" t="s">
        <v>202</v>
      </c>
      <c r="D49" t="b">
        <f t="shared" si="0"/>
        <v>0</v>
      </c>
    </row>
    <row r="50" spans="1:4" x14ac:dyDescent="0.25">
      <c r="A50" t="s">
        <v>61</v>
      </c>
      <c r="B50" s="5" t="s">
        <v>699</v>
      </c>
      <c r="C50" s="5" t="s">
        <v>699</v>
      </c>
      <c r="D50" t="b">
        <f t="shared" si="0"/>
        <v>0</v>
      </c>
    </row>
    <row r="51" spans="1:4" x14ac:dyDescent="0.25">
      <c r="A51" t="s">
        <v>61</v>
      </c>
      <c r="B51" s="5" t="s">
        <v>783</v>
      </c>
      <c r="C51" s="5" t="s">
        <v>783</v>
      </c>
      <c r="D51" t="b">
        <f t="shared" si="0"/>
        <v>0</v>
      </c>
    </row>
    <row r="52" spans="1:4" x14ac:dyDescent="0.25">
      <c r="A52" t="s">
        <v>61</v>
      </c>
      <c r="B52" s="5" t="s">
        <v>1051</v>
      </c>
      <c r="C52" s="5" t="s">
        <v>1051</v>
      </c>
      <c r="D52" t="b">
        <f t="shared" si="0"/>
        <v>0</v>
      </c>
    </row>
    <row r="53" spans="1:4" x14ac:dyDescent="0.25">
      <c r="A53" t="s">
        <v>61</v>
      </c>
      <c r="B53" s="5" t="s">
        <v>246</v>
      </c>
      <c r="C53" s="5" t="s">
        <v>246</v>
      </c>
      <c r="D53" t="b">
        <f t="shared" si="0"/>
        <v>0</v>
      </c>
    </row>
    <row r="54" spans="1:4" x14ac:dyDescent="0.25">
      <c r="A54" t="s">
        <v>61</v>
      </c>
      <c r="B54" s="5" t="s">
        <v>1052</v>
      </c>
      <c r="C54" s="5" t="s">
        <v>1052</v>
      </c>
      <c r="D54" t="b">
        <f t="shared" si="0"/>
        <v>0</v>
      </c>
    </row>
    <row r="55" spans="1:4" x14ac:dyDescent="0.25">
      <c r="A55" t="s">
        <v>61</v>
      </c>
      <c r="B55" s="5" t="s">
        <v>1053</v>
      </c>
      <c r="C55" s="5" t="s">
        <v>1053</v>
      </c>
      <c r="D55" t="b">
        <f t="shared" si="0"/>
        <v>0</v>
      </c>
    </row>
    <row r="56" spans="1:4" x14ac:dyDescent="0.25">
      <c r="A56" t="s">
        <v>61</v>
      </c>
      <c r="B56" s="5" t="s">
        <v>843</v>
      </c>
      <c r="C56" s="5" t="s">
        <v>843</v>
      </c>
      <c r="D56" t="b">
        <f t="shared" si="0"/>
        <v>0</v>
      </c>
    </row>
    <row r="57" spans="1:4" x14ac:dyDescent="0.25">
      <c r="A57" t="s">
        <v>61</v>
      </c>
      <c r="B57" s="5" t="s">
        <v>842</v>
      </c>
      <c r="C57" s="5" t="s">
        <v>842</v>
      </c>
      <c r="D57" t="b">
        <f t="shared" si="0"/>
        <v>0</v>
      </c>
    </row>
    <row r="58" spans="1:4" x14ac:dyDescent="0.25">
      <c r="A58" t="s">
        <v>61</v>
      </c>
      <c r="B58" s="5" t="s">
        <v>844</v>
      </c>
      <c r="C58" s="5" t="s">
        <v>844</v>
      </c>
      <c r="D58" t="b">
        <f t="shared" si="0"/>
        <v>0</v>
      </c>
    </row>
    <row r="59" spans="1:4" x14ac:dyDescent="0.25">
      <c r="A59" t="s">
        <v>61</v>
      </c>
      <c r="B59" s="5" t="s">
        <v>781</v>
      </c>
      <c r="C59" s="5" t="s">
        <v>781</v>
      </c>
      <c r="D59" t="b">
        <f t="shared" si="0"/>
        <v>0</v>
      </c>
    </row>
    <row r="60" spans="1:4" x14ac:dyDescent="0.25">
      <c r="A60" t="s">
        <v>61</v>
      </c>
      <c r="B60" s="5" t="s">
        <v>1055</v>
      </c>
      <c r="C60" s="5" t="s">
        <v>1055</v>
      </c>
      <c r="D60" t="b">
        <f t="shared" si="0"/>
        <v>0</v>
      </c>
    </row>
    <row r="61" spans="1:4" x14ac:dyDescent="0.25">
      <c r="A61" t="s">
        <v>61</v>
      </c>
      <c r="B61" s="5" t="s">
        <v>1056</v>
      </c>
      <c r="C61" s="5" t="s">
        <v>1999</v>
      </c>
      <c r="D61" t="b">
        <f t="shared" si="0"/>
        <v>1</v>
      </c>
    </row>
    <row r="62" spans="1:4" x14ac:dyDescent="0.25">
      <c r="A62" t="s">
        <v>61</v>
      </c>
      <c r="B62" s="5" t="s">
        <v>1057</v>
      </c>
      <c r="C62" s="5" t="s">
        <v>1057</v>
      </c>
      <c r="D62" t="b">
        <f t="shared" si="0"/>
        <v>0</v>
      </c>
    </row>
    <row r="63" spans="1:4" x14ac:dyDescent="0.25">
      <c r="A63" t="s">
        <v>61</v>
      </c>
      <c r="B63" s="5" t="s">
        <v>244</v>
      </c>
      <c r="C63" s="5" t="s">
        <v>244</v>
      </c>
      <c r="D63" t="b">
        <f t="shared" si="0"/>
        <v>0</v>
      </c>
    </row>
    <row r="64" spans="1:4" x14ac:dyDescent="0.25">
      <c r="A64" t="s">
        <v>61</v>
      </c>
      <c r="B64" s="5" t="s">
        <v>1058</v>
      </c>
      <c r="C64" s="5" t="s">
        <v>1058</v>
      </c>
      <c r="D64" t="b">
        <f t="shared" si="0"/>
        <v>0</v>
      </c>
    </row>
    <row r="65" spans="1:4" x14ac:dyDescent="0.25">
      <c r="A65" t="s">
        <v>61</v>
      </c>
      <c r="B65" s="5" t="s">
        <v>1059</v>
      </c>
      <c r="C65" s="5" t="s">
        <v>1059</v>
      </c>
      <c r="D65" t="b">
        <f t="shared" si="0"/>
        <v>0</v>
      </c>
    </row>
    <row r="66" spans="1:4" x14ac:dyDescent="0.25">
      <c r="A66" t="s">
        <v>1048</v>
      </c>
      <c r="B66" s="5" t="s">
        <v>1060</v>
      </c>
      <c r="C66" s="5" t="s">
        <v>1060</v>
      </c>
      <c r="D66" t="b">
        <f t="shared" si="0"/>
        <v>0</v>
      </c>
    </row>
    <row r="67" spans="1:4" x14ac:dyDescent="0.25">
      <c r="A67" t="s">
        <v>1048</v>
      </c>
      <c r="B67" s="5" t="s">
        <v>1061</v>
      </c>
      <c r="C67" s="5" t="s">
        <v>1061</v>
      </c>
      <c r="D67" t="b">
        <f t="shared" si="0"/>
        <v>0</v>
      </c>
    </row>
    <row r="68" spans="1:4" x14ac:dyDescent="0.25">
      <c r="A68" t="s">
        <v>1048</v>
      </c>
      <c r="B68" s="5" t="s">
        <v>1062</v>
      </c>
      <c r="C68" s="5" t="s">
        <v>1062</v>
      </c>
      <c r="D68" t="b">
        <f t="shared" si="0"/>
        <v>0</v>
      </c>
    </row>
    <row r="69" spans="1:4" x14ac:dyDescent="0.25">
      <c r="A69" t="s">
        <v>1048</v>
      </c>
      <c r="B69" s="5" t="s">
        <v>1715</v>
      </c>
      <c r="C69" s="5" t="s">
        <v>1715</v>
      </c>
      <c r="D69" t="b">
        <f t="shared" ref="D69:D102" si="2">B69&lt;&gt;C69</f>
        <v>0</v>
      </c>
    </row>
    <row r="70" spans="1:4" x14ac:dyDescent="0.25">
      <c r="A70" t="s">
        <v>1048</v>
      </c>
      <c r="B70" s="5" t="s">
        <v>1714</v>
      </c>
      <c r="C70" s="5" t="s">
        <v>1714</v>
      </c>
      <c r="D70" t="b">
        <f t="shared" si="2"/>
        <v>0</v>
      </c>
    </row>
    <row r="71" spans="1:4" x14ac:dyDescent="0.25">
      <c r="A71" t="s">
        <v>1048</v>
      </c>
      <c r="B71" s="5" t="s">
        <v>1063</v>
      </c>
      <c r="C71" s="5" t="s">
        <v>1063</v>
      </c>
      <c r="D71" t="b">
        <f t="shared" si="2"/>
        <v>0</v>
      </c>
    </row>
    <row r="72" spans="1:4" x14ac:dyDescent="0.25">
      <c r="A72" t="s">
        <v>1048</v>
      </c>
      <c r="B72" s="5" t="s">
        <v>1505</v>
      </c>
      <c r="C72" s="5" t="s">
        <v>1505</v>
      </c>
      <c r="D72" t="b">
        <f t="shared" si="2"/>
        <v>0</v>
      </c>
    </row>
    <row r="73" spans="1:4" x14ac:dyDescent="0.25">
      <c r="A73" t="s">
        <v>542</v>
      </c>
      <c r="B73" s="5" t="s">
        <v>1069</v>
      </c>
      <c r="C73" s="5" t="s">
        <v>1069</v>
      </c>
      <c r="D73" t="b">
        <f t="shared" si="2"/>
        <v>0</v>
      </c>
    </row>
    <row r="74" spans="1:4" x14ac:dyDescent="0.25">
      <c r="A74" t="s">
        <v>542</v>
      </c>
      <c r="B74" s="5" t="s">
        <v>1070</v>
      </c>
      <c r="C74" s="5" t="s">
        <v>1070</v>
      </c>
      <c r="D74" t="b">
        <f t="shared" si="2"/>
        <v>0</v>
      </c>
    </row>
    <row r="75" spans="1:4" x14ac:dyDescent="0.25">
      <c r="A75" t="s">
        <v>542</v>
      </c>
      <c r="B75" s="5" t="s">
        <v>1071</v>
      </c>
      <c r="C75" s="5" t="s">
        <v>1071</v>
      </c>
      <c r="D75" t="b">
        <f t="shared" si="2"/>
        <v>0</v>
      </c>
    </row>
    <row r="76" spans="1:4" x14ac:dyDescent="0.25">
      <c r="A76" t="s">
        <v>542</v>
      </c>
      <c r="B76" s="5" t="s">
        <v>1072</v>
      </c>
      <c r="C76" s="5" t="s">
        <v>1072</v>
      </c>
      <c r="D76" t="b">
        <f t="shared" si="2"/>
        <v>0</v>
      </c>
    </row>
    <row r="77" spans="1:4" x14ac:dyDescent="0.25">
      <c r="A77" t="s">
        <v>1046</v>
      </c>
      <c r="B77" s="5" t="s">
        <v>1073</v>
      </c>
      <c r="C77" s="5" t="s">
        <v>1073</v>
      </c>
      <c r="D77" t="b">
        <f t="shared" si="2"/>
        <v>0</v>
      </c>
    </row>
    <row r="78" spans="1:4" x14ac:dyDescent="0.25">
      <c r="A78" t="s">
        <v>1046</v>
      </c>
      <c r="B78" s="5" t="s">
        <v>1074</v>
      </c>
      <c r="C78" s="5" t="s">
        <v>1074</v>
      </c>
      <c r="D78" t="b">
        <f t="shared" si="2"/>
        <v>0</v>
      </c>
    </row>
    <row r="79" spans="1:4" x14ac:dyDescent="0.25">
      <c r="A79" t="s">
        <v>1046</v>
      </c>
      <c r="B79" s="5" t="s">
        <v>1075</v>
      </c>
      <c r="C79" s="5" t="s">
        <v>1075</v>
      </c>
      <c r="D79" t="b">
        <f t="shared" si="2"/>
        <v>0</v>
      </c>
    </row>
    <row r="80" spans="1:4" x14ac:dyDescent="0.25">
      <c r="A80" t="s">
        <v>1046</v>
      </c>
      <c r="B80" s="5" t="s">
        <v>1076</v>
      </c>
      <c r="C80" s="5" t="s">
        <v>1076</v>
      </c>
      <c r="D80" t="b">
        <f t="shared" si="2"/>
        <v>0</v>
      </c>
    </row>
    <row r="81" spans="1:4" x14ac:dyDescent="0.25">
      <c r="A81" t="s">
        <v>1046</v>
      </c>
      <c r="B81" s="5" t="s">
        <v>1077</v>
      </c>
      <c r="C81" s="5" t="s">
        <v>1077</v>
      </c>
      <c r="D81" t="b">
        <f t="shared" si="2"/>
        <v>0</v>
      </c>
    </row>
    <row r="82" spans="1:4" x14ac:dyDescent="0.25">
      <c r="A82" t="s">
        <v>1046</v>
      </c>
      <c r="B82" s="5" t="s">
        <v>1078</v>
      </c>
      <c r="C82" s="5" t="s">
        <v>1078</v>
      </c>
      <c r="D82" t="b">
        <f t="shared" si="2"/>
        <v>0</v>
      </c>
    </row>
    <row r="83" spans="1:4" x14ac:dyDescent="0.25">
      <c r="A83" t="s">
        <v>1046</v>
      </c>
      <c r="B83" s="5" t="s">
        <v>1079</v>
      </c>
      <c r="C83" s="5" t="s">
        <v>1079</v>
      </c>
      <c r="D83" t="b">
        <f t="shared" si="2"/>
        <v>0</v>
      </c>
    </row>
    <row r="84" spans="1:4" x14ac:dyDescent="0.25">
      <c r="A84" t="s">
        <v>1046</v>
      </c>
      <c r="B84" s="5" t="s">
        <v>1080</v>
      </c>
      <c r="C84" s="5" t="s">
        <v>1080</v>
      </c>
      <c r="D84" t="b">
        <f t="shared" si="2"/>
        <v>0</v>
      </c>
    </row>
    <row r="85" spans="1:4" x14ac:dyDescent="0.25">
      <c r="A85" t="s">
        <v>1046</v>
      </c>
      <c r="B85" s="5" t="s">
        <v>1081</v>
      </c>
      <c r="C85" s="5" t="s">
        <v>1081</v>
      </c>
      <c r="D85" t="b">
        <f t="shared" si="2"/>
        <v>0</v>
      </c>
    </row>
    <row r="86" spans="1:4" x14ac:dyDescent="0.25">
      <c r="A86" t="s">
        <v>1046</v>
      </c>
      <c r="B86" s="5" t="s">
        <v>1082</v>
      </c>
      <c r="C86" s="5" t="s">
        <v>1082</v>
      </c>
      <c r="D86" t="b">
        <f t="shared" si="2"/>
        <v>0</v>
      </c>
    </row>
    <row r="87" spans="1:4" x14ac:dyDescent="0.25">
      <c r="A87" t="s">
        <v>1046</v>
      </c>
      <c r="B87" s="5" t="s">
        <v>1083</v>
      </c>
      <c r="C87" s="5" t="s">
        <v>1083</v>
      </c>
      <c r="D87" t="b">
        <f t="shared" si="2"/>
        <v>0</v>
      </c>
    </row>
    <row r="88" spans="1:4" x14ac:dyDescent="0.25">
      <c r="A88" t="s">
        <v>1046</v>
      </c>
      <c r="B88" s="5" t="s">
        <v>1084</v>
      </c>
      <c r="C88" s="5" t="s">
        <v>1084</v>
      </c>
      <c r="D88" t="b">
        <f t="shared" si="2"/>
        <v>0</v>
      </c>
    </row>
    <row r="89" spans="1:4" x14ac:dyDescent="0.25">
      <c r="A89" t="s">
        <v>59</v>
      </c>
      <c r="B89" s="5" t="s">
        <v>1054</v>
      </c>
      <c r="C89" s="5" t="s">
        <v>1718</v>
      </c>
      <c r="D89" t="b">
        <f t="shared" si="2"/>
        <v>1</v>
      </c>
    </row>
    <row r="90" spans="1:4" x14ac:dyDescent="0.25">
      <c r="A90" t="s">
        <v>59</v>
      </c>
      <c r="B90" s="5" t="s">
        <v>1085</v>
      </c>
      <c r="C90" s="5" t="s">
        <v>1085</v>
      </c>
      <c r="D90" t="b">
        <f t="shared" si="2"/>
        <v>0</v>
      </c>
    </row>
    <row r="91" spans="1:4" x14ac:dyDescent="0.25">
      <c r="A91" t="s">
        <v>59</v>
      </c>
      <c r="B91" s="5" t="s">
        <v>1064</v>
      </c>
      <c r="C91" s="5" t="s">
        <v>1064</v>
      </c>
      <c r="D91" t="b">
        <f t="shared" si="2"/>
        <v>0</v>
      </c>
    </row>
    <row r="92" spans="1:4" x14ac:dyDescent="0.25">
      <c r="A92" t="s">
        <v>59</v>
      </c>
      <c r="B92" s="5" t="s">
        <v>1065</v>
      </c>
      <c r="C92" s="5" t="s">
        <v>1065</v>
      </c>
      <c r="D92" t="b">
        <f t="shared" si="2"/>
        <v>0</v>
      </c>
    </row>
    <row r="93" spans="1:4" x14ac:dyDescent="0.25">
      <c r="A93" t="s">
        <v>59</v>
      </c>
      <c r="B93" s="5" t="s">
        <v>1066</v>
      </c>
      <c r="C93" s="5" t="s">
        <v>1066</v>
      </c>
      <c r="D93" t="b">
        <f t="shared" si="2"/>
        <v>0</v>
      </c>
    </row>
    <row r="94" spans="1:4" x14ac:dyDescent="0.25">
      <c r="A94" t="s">
        <v>59</v>
      </c>
      <c r="B94" s="5" t="s">
        <v>1067</v>
      </c>
      <c r="C94" s="5" t="s">
        <v>1067</v>
      </c>
      <c r="D94" t="b">
        <f t="shared" si="2"/>
        <v>0</v>
      </c>
    </row>
    <row r="95" spans="1:4" x14ac:dyDescent="0.25">
      <c r="A95" t="s">
        <v>59</v>
      </c>
      <c r="B95" s="5" t="s">
        <v>1068</v>
      </c>
      <c r="C95" s="5" t="s">
        <v>1068</v>
      </c>
      <c r="D95" t="b">
        <f t="shared" si="2"/>
        <v>0</v>
      </c>
    </row>
    <row r="96" spans="1:4" x14ac:dyDescent="0.25">
      <c r="A96" t="s">
        <v>59</v>
      </c>
      <c r="B96" s="5" t="s">
        <v>1716</v>
      </c>
      <c r="C96" s="5" t="s">
        <v>1716</v>
      </c>
      <c r="D96" t="b">
        <f t="shared" si="2"/>
        <v>0</v>
      </c>
    </row>
    <row r="97" spans="1:4" x14ac:dyDescent="0.25">
      <c r="A97" t="s">
        <v>59</v>
      </c>
      <c r="B97" s="5" t="s">
        <v>248</v>
      </c>
      <c r="C97" s="5" t="s">
        <v>248</v>
      </c>
      <c r="D97" t="b">
        <f t="shared" si="2"/>
        <v>0</v>
      </c>
    </row>
    <row r="98" spans="1:4" x14ac:dyDescent="0.25">
      <c r="A98" t="s">
        <v>59</v>
      </c>
      <c r="B98" s="5" t="s">
        <v>1086</v>
      </c>
      <c r="C98" s="5" t="s">
        <v>1086</v>
      </c>
      <c r="D98" t="b">
        <f t="shared" si="2"/>
        <v>0</v>
      </c>
    </row>
    <row r="99" spans="1:4" x14ac:dyDescent="0.25">
      <c r="A99" t="s">
        <v>1047</v>
      </c>
      <c r="B99" s="5" t="s">
        <v>240</v>
      </c>
      <c r="C99" s="5" t="s">
        <v>240</v>
      </c>
      <c r="D99" t="b">
        <f t="shared" si="2"/>
        <v>0</v>
      </c>
    </row>
    <row r="100" spans="1:4" x14ac:dyDescent="0.25">
      <c r="A100" t="s">
        <v>1047</v>
      </c>
      <c r="B100" s="5" t="s">
        <v>1087</v>
      </c>
      <c r="C100" s="5" t="s">
        <v>1087</v>
      </c>
      <c r="D100" t="b">
        <f t="shared" si="2"/>
        <v>0</v>
      </c>
    </row>
    <row r="101" spans="1:4" x14ac:dyDescent="0.25">
      <c r="A101" t="s">
        <v>1047</v>
      </c>
      <c r="B101" s="5" t="s">
        <v>1088</v>
      </c>
      <c r="C101" s="5" t="s">
        <v>1088</v>
      </c>
      <c r="D101" t="b">
        <f t="shared" si="2"/>
        <v>0</v>
      </c>
    </row>
    <row r="102" spans="1:4" x14ac:dyDescent="0.25">
      <c r="A102" t="s">
        <v>1047</v>
      </c>
      <c r="B102" s="5" t="s">
        <v>1089</v>
      </c>
      <c r="C102" s="5" t="s">
        <v>1089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D1A5D577-B906-4FF4-8955-33579B0DE401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FBE9CFEA-6738-4AA1-9524-38FFE74BCAC9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4962-DB48-4C8D-A9F7-3CEA30E9EFC3}">
  <sheetPr codeName="Planilha23"/>
  <dimension ref="A1:G102"/>
  <sheetViews>
    <sheetView topLeftCell="A81" workbookViewId="0">
      <selection activeCell="C95" sqref="C95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19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14</v>
      </c>
    </row>
    <row r="3" spans="1:7" x14ac:dyDescent="0.25">
      <c r="A3" s="5" t="s">
        <v>2002</v>
      </c>
      <c r="B3" s="5" t="s">
        <v>2040</v>
      </c>
      <c r="C3" s="5" t="s">
        <v>2040</v>
      </c>
      <c r="D3" t="b">
        <f>B3&lt;&gt;C3</f>
        <v>0</v>
      </c>
      <c r="F3" s="4" t="s">
        <v>30</v>
      </c>
      <c r="G3" s="3">
        <f>SUM(G6:G26)</f>
        <v>100</v>
      </c>
    </row>
    <row r="4" spans="1:7" x14ac:dyDescent="0.25">
      <c r="A4" t="s">
        <v>28</v>
      </c>
      <c r="B4" s="5" t="s">
        <v>1147</v>
      </c>
      <c r="C4" s="5" t="s">
        <v>1147</v>
      </c>
      <c r="D4" t="b">
        <f>B4&lt;&gt;C4</f>
        <v>0</v>
      </c>
    </row>
    <row r="5" spans="1:7" x14ac:dyDescent="0.25">
      <c r="A5" t="s">
        <v>28</v>
      </c>
      <c r="B5" s="5" t="s">
        <v>1148</v>
      </c>
      <c r="C5" s="5" t="s">
        <v>1148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468</v>
      </c>
      <c r="C6" s="5" t="s">
        <v>468</v>
      </c>
      <c r="D6" t="b">
        <f t="shared" si="0"/>
        <v>0</v>
      </c>
      <c r="F6" s="3" t="s">
        <v>2002</v>
      </c>
      <c r="G6" s="2">
        <f t="shared" ref="G6:G14" si="1">COUNTIF(A:A,F6)</f>
        <v>1</v>
      </c>
    </row>
    <row r="7" spans="1:7" x14ac:dyDescent="0.25">
      <c r="A7" t="s">
        <v>28</v>
      </c>
      <c r="B7" s="5" t="s">
        <v>609</v>
      </c>
      <c r="C7" s="5" t="s">
        <v>609</v>
      </c>
      <c r="D7" t="b">
        <f t="shared" si="0"/>
        <v>0</v>
      </c>
      <c r="F7" s="7" t="s">
        <v>28</v>
      </c>
      <c r="G7" s="2">
        <f t="shared" si="1"/>
        <v>38</v>
      </c>
    </row>
    <row r="8" spans="1:7" x14ac:dyDescent="0.25">
      <c r="A8" t="s">
        <v>28</v>
      </c>
      <c r="B8" s="5" t="s">
        <v>1097</v>
      </c>
      <c r="C8" s="5" t="s">
        <v>1097</v>
      </c>
      <c r="D8" t="b">
        <f t="shared" si="0"/>
        <v>0</v>
      </c>
      <c r="F8" s="7" t="s">
        <v>35</v>
      </c>
      <c r="G8" s="2">
        <f t="shared" si="1"/>
        <v>12</v>
      </c>
    </row>
    <row r="9" spans="1:7" x14ac:dyDescent="0.25">
      <c r="A9" t="s">
        <v>28</v>
      </c>
      <c r="B9" s="5" t="s">
        <v>197</v>
      </c>
      <c r="C9" s="5" t="s">
        <v>62</v>
      </c>
      <c r="D9" t="b">
        <f t="shared" si="0"/>
        <v>1</v>
      </c>
      <c r="F9" s="7" t="s">
        <v>261</v>
      </c>
      <c r="G9" s="2">
        <f t="shared" si="1"/>
        <v>21</v>
      </c>
    </row>
    <row r="10" spans="1:7" x14ac:dyDescent="0.25">
      <c r="A10" t="s">
        <v>28</v>
      </c>
      <c r="B10" s="5" t="s">
        <v>1149</v>
      </c>
      <c r="C10" s="5" t="s">
        <v>1149</v>
      </c>
      <c r="D10" t="b">
        <f t="shared" si="0"/>
        <v>0</v>
      </c>
      <c r="F10" s="7" t="s">
        <v>44</v>
      </c>
      <c r="G10" s="2">
        <f t="shared" si="1"/>
        <v>0</v>
      </c>
    </row>
    <row r="11" spans="1:7" x14ac:dyDescent="0.25">
      <c r="A11" t="s">
        <v>28</v>
      </c>
      <c r="B11" s="5" t="s">
        <v>1150</v>
      </c>
      <c r="C11" s="5" t="s">
        <v>1150</v>
      </c>
      <c r="D11" t="b">
        <f t="shared" si="0"/>
        <v>0</v>
      </c>
      <c r="F11" s="7" t="s">
        <v>329</v>
      </c>
      <c r="G11" s="2">
        <f t="shared" si="1"/>
        <v>7</v>
      </c>
    </row>
    <row r="12" spans="1:7" x14ac:dyDescent="0.25">
      <c r="A12" t="s">
        <v>28</v>
      </c>
      <c r="B12" s="5" t="s">
        <v>1151</v>
      </c>
      <c r="C12" s="5" t="s">
        <v>1151</v>
      </c>
      <c r="D12" t="b">
        <f t="shared" si="0"/>
        <v>0</v>
      </c>
      <c r="F12" s="7" t="s">
        <v>61</v>
      </c>
      <c r="G12" s="2">
        <f t="shared" si="1"/>
        <v>8</v>
      </c>
    </row>
    <row r="13" spans="1:7" x14ac:dyDescent="0.25">
      <c r="A13" t="s">
        <v>28</v>
      </c>
      <c r="B13" s="5" t="s">
        <v>1152</v>
      </c>
      <c r="C13" s="5" t="s">
        <v>1152</v>
      </c>
      <c r="D13" t="b">
        <f t="shared" si="0"/>
        <v>0</v>
      </c>
      <c r="F13" s="7" t="s">
        <v>1155</v>
      </c>
      <c r="G13" s="2">
        <f t="shared" si="1"/>
        <v>4</v>
      </c>
    </row>
    <row r="14" spans="1:7" x14ac:dyDescent="0.25">
      <c r="A14" t="s">
        <v>28</v>
      </c>
      <c r="B14" s="5" t="s">
        <v>1153</v>
      </c>
      <c r="C14" s="5" t="s">
        <v>1154</v>
      </c>
      <c r="D14" t="b">
        <f t="shared" si="0"/>
        <v>1</v>
      </c>
      <c r="F14" s="7" t="s">
        <v>1156</v>
      </c>
      <c r="G14" s="2">
        <f t="shared" si="1"/>
        <v>9</v>
      </c>
    </row>
    <row r="15" spans="1:7" x14ac:dyDescent="0.25">
      <c r="A15" t="s">
        <v>28</v>
      </c>
      <c r="B15" s="5" t="s">
        <v>1091</v>
      </c>
      <c r="C15" s="5" t="s">
        <v>1091</v>
      </c>
      <c r="D15" t="b">
        <f t="shared" si="0"/>
        <v>0</v>
      </c>
    </row>
    <row r="16" spans="1:7" x14ac:dyDescent="0.25">
      <c r="A16" t="s">
        <v>28</v>
      </c>
      <c r="B16" s="5" t="s">
        <v>33</v>
      </c>
      <c r="C16" s="5" t="s">
        <v>33</v>
      </c>
      <c r="D16" t="b">
        <f t="shared" si="0"/>
        <v>0</v>
      </c>
      <c r="F16" s="4"/>
      <c r="G16" s="2"/>
    </row>
    <row r="17" spans="1:7" x14ac:dyDescent="0.25">
      <c r="A17" t="s">
        <v>28</v>
      </c>
      <c r="B17" s="5" t="s">
        <v>262</v>
      </c>
      <c r="C17" s="5" t="s">
        <v>262</v>
      </c>
      <c r="D17" t="b">
        <f t="shared" si="0"/>
        <v>0</v>
      </c>
      <c r="F17" s="4"/>
      <c r="G17" s="2"/>
    </row>
    <row r="18" spans="1:7" x14ac:dyDescent="0.25">
      <c r="A18" t="s">
        <v>28</v>
      </c>
      <c r="B18" s="5" t="s">
        <v>197</v>
      </c>
      <c r="C18" s="5" t="s">
        <v>412</v>
      </c>
      <c r="D18" t="b">
        <f t="shared" si="0"/>
        <v>1</v>
      </c>
    </row>
    <row r="19" spans="1:7" x14ac:dyDescent="0.25">
      <c r="A19" t="s">
        <v>28</v>
      </c>
      <c r="B19" s="5" t="s">
        <v>132</v>
      </c>
      <c r="C19" s="5" t="s">
        <v>132</v>
      </c>
      <c r="D19" t="b">
        <f t="shared" si="0"/>
        <v>0</v>
      </c>
    </row>
    <row r="20" spans="1:7" x14ac:dyDescent="0.25">
      <c r="A20" t="s">
        <v>28</v>
      </c>
      <c r="B20" s="5" t="s">
        <v>1157</v>
      </c>
      <c r="C20" s="5" t="s">
        <v>1157</v>
      </c>
      <c r="D20" t="b">
        <f t="shared" si="0"/>
        <v>0</v>
      </c>
    </row>
    <row r="21" spans="1:7" x14ac:dyDescent="0.25">
      <c r="A21" t="s">
        <v>28</v>
      </c>
      <c r="B21" s="5" t="s">
        <v>60</v>
      </c>
      <c r="C21" s="5" t="s">
        <v>60</v>
      </c>
      <c r="D21" t="b">
        <f t="shared" si="0"/>
        <v>0</v>
      </c>
    </row>
    <row r="22" spans="1:7" x14ac:dyDescent="0.25">
      <c r="A22" t="s">
        <v>28</v>
      </c>
      <c r="B22" s="5" t="s">
        <v>268</v>
      </c>
      <c r="C22" s="5" t="s">
        <v>268</v>
      </c>
      <c r="D22" t="b">
        <f t="shared" si="0"/>
        <v>0</v>
      </c>
    </row>
    <row r="23" spans="1:7" x14ac:dyDescent="0.25">
      <c r="A23" t="s">
        <v>28</v>
      </c>
      <c r="B23" s="5" t="s">
        <v>1158</v>
      </c>
      <c r="C23" s="5" t="s">
        <v>1158</v>
      </c>
      <c r="D23" t="b">
        <f t="shared" si="0"/>
        <v>0</v>
      </c>
    </row>
    <row r="24" spans="1:7" x14ac:dyDescent="0.25">
      <c r="A24" t="s">
        <v>28</v>
      </c>
      <c r="B24" s="5" t="s">
        <v>56</v>
      </c>
      <c r="C24" s="5" t="s">
        <v>56</v>
      </c>
      <c r="D24" t="b">
        <f t="shared" si="0"/>
        <v>0</v>
      </c>
    </row>
    <row r="25" spans="1:7" x14ac:dyDescent="0.25">
      <c r="A25" t="s">
        <v>28</v>
      </c>
      <c r="B25" s="5" t="s">
        <v>1748</v>
      </c>
      <c r="C25" s="5" t="s">
        <v>1748</v>
      </c>
      <c r="D25" t="b">
        <f t="shared" si="0"/>
        <v>0</v>
      </c>
    </row>
    <row r="26" spans="1:7" x14ac:dyDescent="0.25">
      <c r="A26" t="s">
        <v>28</v>
      </c>
      <c r="B26" s="5" t="s">
        <v>142</v>
      </c>
      <c r="C26" s="5" t="s">
        <v>142</v>
      </c>
      <c r="D26" t="b">
        <f t="shared" si="0"/>
        <v>0</v>
      </c>
    </row>
    <row r="27" spans="1:7" x14ac:dyDescent="0.25">
      <c r="A27" t="s">
        <v>28</v>
      </c>
      <c r="B27" s="5" t="s">
        <v>197</v>
      </c>
      <c r="C27" s="5" t="s">
        <v>197</v>
      </c>
      <c r="D27" t="b">
        <f t="shared" si="0"/>
        <v>0</v>
      </c>
    </row>
    <row r="28" spans="1:7" x14ac:dyDescent="0.25">
      <c r="A28" t="s">
        <v>28</v>
      </c>
      <c r="B28" s="5" t="s">
        <v>197</v>
      </c>
      <c r="C28" s="5" t="s">
        <v>197</v>
      </c>
      <c r="D28" t="b">
        <f t="shared" si="0"/>
        <v>0</v>
      </c>
    </row>
    <row r="29" spans="1:7" x14ac:dyDescent="0.25">
      <c r="A29" t="s">
        <v>28</v>
      </c>
      <c r="B29" s="5" t="s">
        <v>197</v>
      </c>
      <c r="C29" s="5" t="s">
        <v>197</v>
      </c>
      <c r="D29" t="b">
        <f t="shared" si="0"/>
        <v>0</v>
      </c>
    </row>
    <row r="30" spans="1:7" x14ac:dyDescent="0.25">
      <c r="A30" t="s">
        <v>28</v>
      </c>
      <c r="B30" s="5" t="s">
        <v>197</v>
      </c>
      <c r="C30" s="5" t="s">
        <v>197</v>
      </c>
      <c r="D30" t="b">
        <f t="shared" si="0"/>
        <v>0</v>
      </c>
    </row>
    <row r="31" spans="1:7" x14ac:dyDescent="0.25">
      <c r="A31" t="s">
        <v>28</v>
      </c>
      <c r="B31" s="5" t="s">
        <v>197</v>
      </c>
      <c r="C31" s="5" t="s">
        <v>197</v>
      </c>
      <c r="D31" t="b">
        <f t="shared" si="0"/>
        <v>0</v>
      </c>
    </row>
    <row r="32" spans="1:7" x14ac:dyDescent="0.25">
      <c r="A32" t="s">
        <v>28</v>
      </c>
      <c r="B32" s="5" t="s">
        <v>197</v>
      </c>
      <c r="C32" s="5" t="s">
        <v>197</v>
      </c>
      <c r="D32" t="b">
        <f t="shared" si="0"/>
        <v>0</v>
      </c>
    </row>
    <row r="33" spans="1:4" x14ac:dyDescent="0.25">
      <c r="A33" t="s">
        <v>28</v>
      </c>
      <c r="B33" s="5" t="s">
        <v>197</v>
      </c>
      <c r="C33" s="5" t="s">
        <v>197</v>
      </c>
      <c r="D33" t="b">
        <f t="shared" si="0"/>
        <v>0</v>
      </c>
    </row>
    <row r="34" spans="1:4" x14ac:dyDescent="0.25">
      <c r="A34" t="s">
        <v>28</v>
      </c>
      <c r="B34" s="5" t="s">
        <v>197</v>
      </c>
      <c r="C34" s="5" t="s">
        <v>197</v>
      </c>
      <c r="D34" t="b">
        <f t="shared" si="0"/>
        <v>0</v>
      </c>
    </row>
    <row r="35" spans="1:4" x14ac:dyDescent="0.25">
      <c r="A35" t="s">
        <v>28</v>
      </c>
      <c r="B35" s="5" t="s">
        <v>197</v>
      </c>
      <c r="C35" s="5" t="s">
        <v>197</v>
      </c>
      <c r="D35" t="b">
        <f t="shared" si="0"/>
        <v>0</v>
      </c>
    </row>
    <row r="36" spans="1:4" x14ac:dyDescent="0.25">
      <c r="A36" t="s">
        <v>28</v>
      </c>
      <c r="B36" s="5" t="s">
        <v>197</v>
      </c>
      <c r="C36" s="5" t="s">
        <v>197</v>
      </c>
      <c r="D36" t="b">
        <f t="shared" si="0"/>
        <v>0</v>
      </c>
    </row>
    <row r="37" spans="1:4" x14ac:dyDescent="0.25">
      <c r="A37" t="s">
        <v>28</v>
      </c>
      <c r="B37" s="5" t="s">
        <v>78</v>
      </c>
      <c r="C37" s="5" t="s">
        <v>78</v>
      </c>
      <c r="D37" t="b">
        <f t="shared" si="0"/>
        <v>0</v>
      </c>
    </row>
    <row r="38" spans="1:4" x14ac:dyDescent="0.25">
      <c r="A38" t="s">
        <v>28</v>
      </c>
      <c r="B38" s="5" t="s">
        <v>78</v>
      </c>
      <c r="C38" s="5" t="s">
        <v>78</v>
      </c>
      <c r="D38" t="b">
        <f t="shared" si="0"/>
        <v>0</v>
      </c>
    </row>
    <row r="39" spans="1:4" x14ac:dyDescent="0.25">
      <c r="A39" t="s">
        <v>28</v>
      </c>
      <c r="B39" s="5" t="s">
        <v>78</v>
      </c>
      <c r="C39" s="5" t="s">
        <v>78</v>
      </c>
      <c r="D39" t="b">
        <f t="shared" si="0"/>
        <v>0</v>
      </c>
    </row>
    <row r="40" spans="1:4" x14ac:dyDescent="0.25">
      <c r="A40" t="s">
        <v>28</v>
      </c>
      <c r="B40" s="5" t="s">
        <v>78</v>
      </c>
      <c r="C40" s="5" t="s">
        <v>78</v>
      </c>
      <c r="D40" t="b">
        <f t="shared" si="0"/>
        <v>0</v>
      </c>
    </row>
    <row r="41" spans="1:4" x14ac:dyDescent="0.25">
      <c r="A41" t="s">
        <v>28</v>
      </c>
      <c r="B41" s="5" t="s">
        <v>78</v>
      </c>
      <c r="C41" s="5" t="s">
        <v>78</v>
      </c>
      <c r="D41" t="b">
        <f t="shared" si="0"/>
        <v>0</v>
      </c>
    </row>
    <row r="42" spans="1:4" x14ac:dyDescent="0.25">
      <c r="A42" t="s">
        <v>35</v>
      </c>
      <c r="B42" s="5" t="s">
        <v>1159</v>
      </c>
      <c r="C42" s="5" t="s">
        <v>1159</v>
      </c>
      <c r="D42" t="b">
        <f t="shared" si="0"/>
        <v>0</v>
      </c>
    </row>
    <row r="43" spans="1:4" x14ac:dyDescent="0.25">
      <c r="A43" t="s">
        <v>35</v>
      </c>
      <c r="B43" s="5" t="s">
        <v>1160</v>
      </c>
      <c r="C43" s="5" t="s">
        <v>1160</v>
      </c>
      <c r="D43" t="b">
        <f t="shared" si="0"/>
        <v>0</v>
      </c>
    </row>
    <row r="44" spans="1:4" x14ac:dyDescent="0.25">
      <c r="A44" t="s">
        <v>35</v>
      </c>
      <c r="B44" s="5" t="s">
        <v>90</v>
      </c>
      <c r="C44" s="5" t="s">
        <v>90</v>
      </c>
      <c r="D44" t="b">
        <f t="shared" si="0"/>
        <v>0</v>
      </c>
    </row>
    <row r="45" spans="1:4" x14ac:dyDescent="0.25">
      <c r="A45" t="s">
        <v>35</v>
      </c>
      <c r="B45" s="5" t="s">
        <v>826</v>
      </c>
      <c r="C45" s="5" t="s">
        <v>826</v>
      </c>
      <c r="D45" t="b">
        <f t="shared" si="0"/>
        <v>0</v>
      </c>
    </row>
    <row r="46" spans="1:4" x14ac:dyDescent="0.25">
      <c r="A46" t="s">
        <v>35</v>
      </c>
      <c r="B46" s="5" t="s">
        <v>1694</v>
      </c>
      <c r="C46" s="5" t="s">
        <v>1694</v>
      </c>
      <c r="D46" t="b">
        <f t="shared" si="0"/>
        <v>0</v>
      </c>
    </row>
    <row r="47" spans="1:4" x14ac:dyDescent="0.25">
      <c r="A47" t="s">
        <v>35</v>
      </c>
      <c r="B47" s="5" t="s">
        <v>1161</v>
      </c>
      <c r="C47" s="5" t="s">
        <v>1591</v>
      </c>
      <c r="D47" t="b">
        <f t="shared" si="0"/>
        <v>1</v>
      </c>
    </row>
    <row r="48" spans="1:4" x14ac:dyDescent="0.25">
      <c r="A48" t="s">
        <v>35</v>
      </c>
      <c r="B48" s="5" t="s">
        <v>287</v>
      </c>
      <c r="C48" s="5" t="s">
        <v>1589</v>
      </c>
      <c r="D48" t="b">
        <f t="shared" si="0"/>
        <v>1</v>
      </c>
    </row>
    <row r="49" spans="1:4" x14ac:dyDescent="0.25">
      <c r="A49" t="s">
        <v>35</v>
      </c>
      <c r="B49" s="5" t="s">
        <v>1162</v>
      </c>
      <c r="C49" s="5" t="s">
        <v>1877</v>
      </c>
      <c r="D49" t="b">
        <f t="shared" si="0"/>
        <v>1</v>
      </c>
    </row>
    <row r="50" spans="1:4" x14ac:dyDescent="0.25">
      <c r="A50" t="s">
        <v>35</v>
      </c>
      <c r="B50" s="5" t="s">
        <v>1163</v>
      </c>
      <c r="C50" s="5" t="s">
        <v>1163</v>
      </c>
      <c r="D50" t="b">
        <f t="shared" si="0"/>
        <v>0</v>
      </c>
    </row>
    <row r="51" spans="1:4" x14ac:dyDescent="0.25">
      <c r="A51" t="s">
        <v>35</v>
      </c>
      <c r="B51" s="5" t="s">
        <v>1526</v>
      </c>
      <c r="C51" s="5" t="s">
        <v>1526</v>
      </c>
      <c r="D51" t="b">
        <f t="shared" si="0"/>
        <v>0</v>
      </c>
    </row>
    <row r="52" spans="1:4" x14ac:dyDescent="0.25">
      <c r="A52" t="s">
        <v>35</v>
      </c>
      <c r="B52" s="5" t="s">
        <v>1164</v>
      </c>
      <c r="C52" s="5" t="s">
        <v>1164</v>
      </c>
      <c r="D52" t="b">
        <f t="shared" si="0"/>
        <v>0</v>
      </c>
    </row>
    <row r="53" spans="1:4" x14ac:dyDescent="0.25">
      <c r="A53" t="s">
        <v>35</v>
      </c>
      <c r="B53" s="5" t="s">
        <v>1165</v>
      </c>
      <c r="C53" s="5" t="s">
        <v>1751</v>
      </c>
      <c r="D53" t="b">
        <f t="shared" si="0"/>
        <v>1</v>
      </c>
    </row>
    <row r="54" spans="1:4" x14ac:dyDescent="0.25">
      <c r="A54" t="s">
        <v>61</v>
      </c>
      <c r="B54" s="5" t="s">
        <v>1166</v>
      </c>
      <c r="C54" s="5" t="s">
        <v>1166</v>
      </c>
      <c r="D54" t="b">
        <f t="shared" si="0"/>
        <v>0</v>
      </c>
    </row>
    <row r="55" spans="1:4" x14ac:dyDescent="0.25">
      <c r="A55" t="s">
        <v>61</v>
      </c>
      <c r="B55" s="5" t="s">
        <v>1167</v>
      </c>
      <c r="C55" s="5" t="s">
        <v>1167</v>
      </c>
      <c r="D55" t="b">
        <f t="shared" si="0"/>
        <v>0</v>
      </c>
    </row>
    <row r="56" spans="1:4" x14ac:dyDescent="0.25">
      <c r="A56" t="s">
        <v>61</v>
      </c>
      <c r="B56" s="5" t="s">
        <v>1168</v>
      </c>
      <c r="C56" s="5" t="s">
        <v>1750</v>
      </c>
      <c r="D56" t="b">
        <f t="shared" si="0"/>
        <v>1</v>
      </c>
    </row>
    <row r="57" spans="1:4" x14ac:dyDescent="0.25">
      <c r="A57" t="s">
        <v>61</v>
      </c>
      <c r="B57" s="5" t="s">
        <v>581</v>
      </c>
      <c r="C57" s="5" t="s">
        <v>581</v>
      </c>
      <c r="D57" t="b">
        <f t="shared" si="0"/>
        <v>0</v>
      </c>
    </row>
    <row r="58" spans="1:4" x14ac:dyDescent="0.25">
      <c r="A58" t="s">
        <v>61</v>
      </c>
      <c r="B58" s="5" t="s">
        <v>901</v>
      </c>
      <c r="C58" s="5" t="s">
        <v>901</v>
      </c>
      <c r="D58" t="b">
        <f t="shared" si="0"/>
        <v>0</v>
      </c>
    </row>
    <row r="59" spans="1:4" x14ac:dyDescent="0.25">
      <c r="A59" t="s">
        <v>61</v>
      </c>
      <c r="B59" s="5" t="s">
        <v>1169</v>
      </c>
      <c r="C59" s="5" t="s">
        <v>1169</v>
      </c>
      <c r="D59" t="b">
        <f t="shared" si="0"/>
        <v>0</v>
      </c>
    </row>
    <row r="60" spans="1:4" x14ac:dyDescent="0.25">
      <c r="A60" t="s">
        <v>61</v>
      </c>
      <c r="B60" s="5" t="s">
        <v>1170</v>
      </c>
      <c r="C60" s="5" t="s">
        <v>1170</v>
      </c>
      <c r="D60" t="b">
        <f t="shared" si="0"/>
        <v>0</v>
      </c>
    </row>
    <row r="61" spans="1:4" x14ac:dyDescent="0.25">
      <c r="A61" t="s">
        <v>61</v>
      </c>
      <c r="B61" s="5" t="s">
        <v>1171</v>
      </c>
      <c r="C61" s="5" t="s">
        <v>1749</v>
      </c>
      <c r="D61" t="b">
        <f t="shared" si="0"/>
        <v>1</v>
      </c>
    </row>
    <row r="62" spans="1:4" x14ac:dyDescent="0.25">
      <c r="A62" t="s">
        <v>261</v>
      </c>
      <c r="B62" s="5" t="s">
        <v>1172</v>
      </c>
      <c r="C62" s="5" t="s">
        <v>1172</v>
      </c>
      <c r="D62" t="b">
        <f t="shared" si="0"/>
        <v>0</v>
      </c>
    </row>
    <row r="63" spans="1:4" x14ac:dyDescent="0.25">
      <c r="A63" t="s">
        <v>261</v>
      </c>
      <c r="B63" s="5" t="s">
        <v>1173</v>
      </c>
      <c r="C63" s="5" t="s">
        <v>1173</v>
      </c>
      <c r="D63" t="b">
        <f t="shared" si="0"/>
        <v>0</v>
      </c>
    </row>
    <row r="64" spans="1:4" x14ac:dyDescent="0.25">
      <c r="A64" t="s">
        <v>261</v>
      </c>
      <c r="B64" s="5" t="s">
        <v>1174</v>
      </c>
      <c r="C64" s="5" t="s">
        <v>1174</v>
      </c>
      <c r="D64" t="b">
        <f t="shared" si="0"/>
        <v>0</v>
      </c>
    </row>
    <row r="65" spans="1:4" x14ac:dyDescent="0.25">
      <c r="A65" t="s">
        <v>261</v>
      </c>
      <c r="B65" s="5" t="s">
        <v>1753</v>
      </c>
      <c r="C65" s="5" t="s">
        <v>1753</v>
      </c>
      <c r="D65" t="b">
        <f t="shared" si="0"/>
        <v>0</v>
      </c>
    </row>
    <row r="66" spans="1:4" x14ac:dyDescent="0.25">
      <c r="A66" t="s">
        <v>261</v>
      </c>
      <c r="B66" s="5" t="s">
        <v>1175</v>
      </c>
      <c r="C66" s="5" t="s">
        <v>1175</v>
      </c>
      <c r="D66" t="b">
        <f t="shared" si="0"/>
        <v>0</v>
      </c>
    </row>
    <row r="67" spans="1:4" x14ac:dyDescent="0.25">
      <c r="A67" t="s">
        <v>261</v>
      </c>
      <c r="B67" s="5" t="s">
        <v>1176</v>
      </c>
      <c r="C67" s="5" t="s">
        <v>1176</v>
      </c>
      <c r="D67" t="b">
        <f t="shared" si="0"/>
        <v>0</v>
      </c>
    </row>
    <row r="68" spans="1:4" x14ac:dyDescent="0.25">
      <c r="A68" t="s">
        <v>261</v>
      </c>
      <c r="B68" s="5" t="s">
        <v>1177</v>
      </c>
      <c r="C68" s="5" t="s">
        <v>1178</v>
      </c>
      <c r="D68" t="b">
        <f t="shared" si="0"/>
        <v>1</v>
      </c>
    </row>
    <row r="69" spans="1:4" x14ac:dyDescent="0.25">
      <c r="A69" t="s">
        <v>261</v>
      </c>
      <c r="B69" s="5" t="s">
        <v>1179</v>
      </c>
      <c r="C69" s="5" t="s">
        <v>1179</v>
      </c>
      <c r="D69" t="b">
        <f t="shared" ref="D69:D102" si="2">B69&lt;&gt;C69</f>
        <v>0</v>
      </c>
    </row>
    <row r="70" spans="1:4" x14ac:dyDescent="0.25">
      <c r="A70" t="s">
        <v>261</v>
      </c>
      <c r="B70" s="5" t="s">
        <v>1180</v>
      </c>
      <c r="C70" s="5" t="s">
        <v>1180</v>
      </c>
      <c r="D70" t="b">
        <f t="shared" si="2"/>
        <v>0</v>
      </c>
    </row>
    <row r="71" spans="1:4" x14ac:dyDescent="0.25">
      <c r="A71" t="s">
        <v>261</v>
      </c>
      <c r="B71" s="5" t="s">
        <v>1181</v>
      </c>
      <c r="C71" s="5" t="s">
        <v>1181</v>
      </c>
      <c r="D71" t="b">
        <f t="shared" si="2"/>
        <v>0</v>
      </c>
    </row>
    <row r="72" spans="1:4" x14ac:dyDescent="0.25">
      <c r="A72" t="s">
        <v>261</v>
      </c>
      <c r="B72" s="5" t="s">
        <v>1525</v>
      </c>
      <c r="C72" s="5" t="s">
        <v>1525</v>
      </c>
      <c r="D72" t="b">
        <f t="shared" si="2"/>
        <v>0</v>
      </c>
    </row>
    <row r="73" spans="1:4" x14ac:dyDescent="0.25">
      <c r="A73" t="s">
        <v>261</v>
      </c>
      <c r="B73" s="5" t="s">
        <v>1183</v>
      </c>
      <c r="C73" s="5" t="s">
        <v>1183</v>
      </c>
      <c r="D73" t="b">
        <f t="shared" si="2"/>
        <v>0</v>
      </c>
    </row>
    <row r="74" spans="1:4" x14ac:dyDescent="0.25">
      <c r="A74" t="s">
        <v>261</v>
      </c>
      <c r="B74" s="5" t="s">
        <v>1184</v>
      </c>
      <c r="C74" s="5" t="s">
        <v>1185</v>
      </c>
      <c r="D74" t="b">
        <f t="shared" si="2"/>
        <v>1</v>
      </c>
    </row>
    <row r="75" spans="1:4" x14ac:dyDescent="0.25">
      <c r="A75" t="s">
        <v>261</v>
      </c>
      <c r="B75" s="5" t="s">
        <v>1924</v>
      </c>
      <c r="C75" s="5" t="s">
        <v>1924</v>
      </c>
      <c r="D75" t="b">
        <f t="shared" si="2"/>
        <v>0</v>
      </c>
    </row>
    <row r="76" spans="1:4" x14ac:dyDescent="0.25">
      <c r="A76" t="s">
        <v>261</v>
      </c>
      <c r="B76" s="5" t="s">
        <v>1186</v>
      </c>
      <c r="C76" s="5" t="s">
        <v>1186</v>
      </c>
      <c r="D76" t="b">
        <f t="shared" si="2"/>
        <v>0</v>
      </c>
    </row>
    <row r="77" spans="1:4" x14ac:dyDescent="0.25">
      <c r="A77" t="s">
        <v>261</v>
      </c>
      <c r="B77" s="5" t="s">
        <v>2020</v>
      </c>
      <c r="C77" s="5" t="s">
        <v>2020</v>
      </c>
      <c r="D77" t="b">
        <f t="shared" si="2"/>
        <v>0</v>
      </c>
    </row>
    <row r="78" spans="1:4" x14ac:dyDescent="0.25">
      <c r="A78" t="s">
        <v>261</v>
      </c>
      <c r="B78" s="5" t="s">
        <v>1187</v>
      </c>
      <c r="C78" s="5" t="s">
        <v>1187</v>
      </c>
      <c r="D78" t="b">
        <f t="shared" si="2"/>
        <v>0</v>
      </c>
    </row>
    <row r="79" spans="1:4" x14ac:dyDescent="0.25">
      <c r="A79" t="s">
        <v>261</v>
      </c>
      <c r="B79" s="5" t="s">
        <v>1188</v>
      </c>
      <c r="C79" s="5" t="s">
        <v>1188</v>
      </c>
      <c r="D79" t="b">
        <f t="shared" si="2"/>
        <v>0</v>
      </c>
    </row>
    <row r="80" spans="1:4" x14ac:dyDescent="0.25">
      <c r="A80" t="s">
        <v>261</v>
      </c>
      <c r="B80" s="5" t="s">
        <v>1189</v>
      </c>
      <c r="C80" s="5" t="s">
        <v>1189</v>
      </c>
      <c r="D80" t="b">
        <f t="shared" si="2"/>
        <v>0</v>
      </c>
    </row>
    <row r="81" spans="1:4" x14ac:dyDescent="0.25">
      <c r="A81" t="s">
        <v>261</v>
      </c>
      <c r="B81" s="5" t="s">
        <v>1190</v>
      </c>
      <c r="C81" s="5" t="s">
        <v>1190</v>
      </c>
      <c r="D81" t="b">
        <f t="shared" si="2"/>
        <v>0</v>
      </c>
    </row>
    <row r="82" spans="1:4" x14ac:dyDescent="0.25">
      <c r="A82" t="s">
        <v>261</v>
      </c>
      <c r="B82" s="5" t="s">
        <v>1191</v>
      </c>
      <c r="C82" s="5" t="s">
        <v>1191</v>
      </c>
      <c r="D82" t="b">
        <f t="shared" si="2"/>
        <v>0</v>
      </c>
    </row>
    <row r="83" spans="1:4" x14ac:dyDescent="0.25">
      <c r="A83" t="s">
        <v>1155</v>
      </c>
      <c r="B83" s="5" t="s">
        <v>1192</v>
      </c>
      <c r="C83" s="5" t="s">
        <v>1192</v>
      </c>
      <c r="D83" t="b">
        <f t="shared" si="2"/>
        <v>0</v>
      </c>
    </row>
    <row r="84" spans="1:4" x14ac:dyDescent="0.25">
      <c r="A84" t="s">
        <v>1155</v>
      </c>
      <c r="B84" s="5" t="s">
        <v>1193</v>
      </c>
      <c r="C84" s="5" t="s">
        <v>1193</v>
      </c>
      <c r="D84" t="b">
        <f t="shared" si="2"/>
        <v>0</v>
      </c>
    </row>
    <row r="85" spans="1:4" x14ac:dyDescent="0.25">
      <c r="A85" t="s">
        <v>1155</v>
      </c>
      <c r="B85" s="5" t="s">
        <v>1533</v>
      </c>
      <c r="C85" s="5" t="s">
        <v>1533</v>
      </c>
      <c r="D85" t="b">
        <f t="shared" si="2"/>
        <v>0</v>
      </c>
    </row>
    <row r="86" spans="1:4" x14ac:dyDescent="0.25">
      <c r="A86" t="s">
        <v>1155</v>
      </c>
      <c r="B86" s="5" t="s">
        <v>1194</v>
      </c>
      <c r="C86" s="5" t="s">
        <v>1194</v>
      </c>
      <c r="D86" t="b">
        <f t="shared" si="2"/>
        <v>0</v>
      </c>
    </row>
    <row r="87" spans="1:4" x14ac:dyDescent="0.25">
      <c r="A87" t="s">
        <v>1156</v>
      </c>
      <c r="B87" s="5" t="s">
        <v>1195</v>
      </c>
      <c r="C87" s="5" t="s">
        <v>1195</v>
      </c>
      <c r="D87" t="b">
        <f t="shared" si="2"/>
        <v>0</v>
      </c>
    </row>
    <row r="88" spans="1:4" x14ac:dyDescent="0.25">
      <c r="A88" t="s">
        <v>1156</v>
      </c>
      <c r="B88" s="5" t="s">
        <v>1196</v>
      </c>
      <c r="C88" s="5" t="s">
        <v>1196</v>
      </c>
      <c r="D88" t="b">
        <f t="shared" si="2"/>
        <v>0</v>
      </c>
    </row>
    <row r="89" spans="1:4" x14ac:dyDescent="0.25">
      <c r="A89" t="s">
        <v>1156</v>
      </c>
      <c r="B89" s="5" t="s">
        <v>1197</v>
      </c>
      <c r="C89" s="5" t="s">
        <v>1197</v>
      </c>
      <c r="D89" t="b">
        <f t="shared" si="2"/>
        <v>0</v>
      </c>
    </row>
    <row r="90" spans="1:4" x14ac:dyDescent="0.25">
      <c r="A90" t="s">
        <v>1156</v>
      </c>
      <c r="B90" s="5" t="s">
        <v>1198</v>
      </c>
      <c r="C90" s="5" t="s">
        <v>1198</v>
      </c>
      <c r="D90" t="b">
        <f t="shared" si="2"/>
        <v>0</v>
      </c>
    </row>
    <row r="91" spans="1:4" x14ac:dyDescent="0.25">
      <c r="A91" t="s">
        <v>1156</v>
      </c>
      <c r="B91" s="5" t="s">
        <v>1199</v>
      </c>
      <c r="C91" s="5" t="s">
        <v>1199</v>
      </c>
      <c r="D91" t="b">
        <f t="shared" si="2"/>
        <v>0</v>
      </c>
    </row>
    <row r="92" spans="1:4" x14ac:dyDescent="0.25">
      <c r="A92" t="s">
        <v>1156</v>
      </c>
      <c r="B92" s="5" t="s">
        <v>1200</v>
      </c>
      <c r="C92" s="5" t="s">
        <v>1925</v>
      </c>
      <c r="D92" t="b">
        <f t="shared" si="2"/>
        <v>1</v>
      </c>
    </row>
    <row r="93" spans="1:4" x14ac:dyDescent="0.25">
      <c r="A93" t="s">
        <v>1156</v>
      </c>
      <c r="B93" s="5" t="s">
        <v>1201</v>
      </c>
      <c r="C93" s="5" t="s">
        <v>1201</v>
      </c>
      <c r="D93" t="b">
        <f t="shared" si="2"/>
        <v>0</v>
      </c>
    </row>
    <row r="94" spans="1:4" x14ac:dyDescent="0.25">
      <c r="A94" t="s">
        <v>1156</v>
      </c>
      <c r="B94" s="5" t="s">
        <v>1202</v>
      </c>
      <c r="C94" s="5" t="s">
        <v>1202</v>
      </c>
      <c r="D94" t="b">
        <f t="shared" si="2"/>
        <v>0</v>
      </c>
    </row>
    <row r="95" spans="1:4" x14ac:dyDescent="0.25">
      <c r="A95" t="s">
        <v>1156</v>
      </c>
      <c r="B95" s="5" t="s">
        <v>1203</v>
      </c>
      <c r="C95" s="5" t="s">
        <v>2327</v>
      </c>
      <c r="D95" t="b">
        <f t="shared" si="2"/>
        <v>1</v>
      </c>
    </row>
    <row r="96" spans="1:4" x14ac:dyDescent="0.25">
      <c r="A96" t="s">
        <v>329</v>
      </c>
      <c r="B96" s="5" t="s">
        <v>1590</v>
      </c>
      <c r="C96" s="5" t="s">
        <v>1590</v>
      </c>
      <c r="D96" t="b">
        <f t="shared" si="2"/>
        <v>0</v>
      </c>
    </row>
    <row r="97" spans="1:4" x14ac:dyDescent="0.25">
      <c r="A97" t="s">
        <v>329</v>
      </c>
      <c r="B97" s="5" t="s">
        <v>1204</v>
      </c>
      <c r="C97" s="5" t="s">
        <v>1204</v>
      </c>
      <c r="D97" t="b">
        <f t="shared" si="2"/>
        <v>0</v>
      </c>
    </row>
    <row r="98" spans="1:4" x14ac:dyDescent="0.25">
      <c r="A98" t="s">
        <v>329</v>
      </c>
      <c r="B98" s="5" t="s">
        <v>1205</v>
      </c>
      <c r="C98" s="5" t="s">
        <v>1205</v>
      </c>
      <c r="D98" t="b">
        <f t="shared" si="2"/>
        <v>0</v>
      </c>
    </row>
    <row r="99" spans="1:4" x14ac:dyDescent="0.25">
      <c r="A99" t="s">
        <v>329</v>
      </c>
      <c r="B99" s="5" t="s">
        <v>1206</v>
      </c>
      <c r="C99" s="5" t="s">
        <v>1206</v>
      </c>
      <c r="D99" t="b">
        <f t="shared" si="2"/>
        <v>0</v>
      </c>
    </row>
    <row r="100" spans="1:4" x14ac:dyDescent="0.25">
      <c r="A100" t="s">
        <v>329</v>
      </c>
      <c r="B100" s="5" t="s">
        <v>285</v>
      </c>
      <c r="C100" s="5" t="s">
        <v>285</v>
      </c>
      <c r="D100" t="b">
        <f t="shared" si="2"/>
        <v>0</v>
      </c>
    </row>
    <row r="101" spans="1:4" x14ac:dyDescent="0.25">
      <c r="A101" t="s">
        <v>329</v>
      </c>
      <c r="B101" s="5" t="s">
        <v>1207</v>
      </c>
      <c r="C101" s="5" t="s">
        <v>1207</v>
      </c>
      <c r="D101" t="b">
        <f t="shared" si="2"/>
        <v>0</v>
      </c>
    </row>
    <row r="102" spans="1:4" x14ac:dyDescent="0.25">
      <c r="A102" t="s">
        <v>329</v>
      </c>
      <c r="B102" s="5" t="s">
        <v>1855</v>
      </c>
      <c r="C102" s="5" t="s">
        <v>1752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DD330924-8756-44B1-A10D-70D09F47A51D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6199ED1D-BB51-4A94-A2A7-6B9FC2465BDB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52BF-0F94-41B2-8DA5-D2D357D36D6F}">
  <sheetPr codeName="Planilha28"/>
  <dimension ref="A1:G102"/>
  <sheetViews>
    <sheetView workbookViewId="0">
      <selection activeCell="C16" sqref="C16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20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7</v>
      </c>
    </row>
    <row r="3" spans="1:7" x14ac:dyDescent="0.25">
      <c r="A3" s="5" t="s">
        <v>2002</v>
      </c>
      <c r="B3" s="5" t="s">
        <v>2041</v>
      </c>
      <c r="C3" s="5" t="s">
        <v>2041</v>
      </c>
      <c r="D3" t="b">
        <f>B3&lt;&gt;C3</f>
        <v>0</v>
      </c>
      <c r="F3" s="4" t="s">
        <v>30</v>
      </c>
      <c r="G3" s="3">
        <f>SUM(G6:G26)</f>
        <v>99</v>
      </c>
    </row>
    <row r="4" spans="1:7" x14ac:dyDescent="0.25">
      <c r="A4" t="s">
        <v>28</v>
      </c>
      <c r="B4" s="5" t="s">
        <v>40</v>
      </c>
      <c r="C4" s="5" t="s">
        <v>1735</v>
      </c>
      <c r="D4" t="b">
        <f>B4&lt;&gt;C4</f>
        <v>1</v>
      </c>
    </row>
    <row r="5" spans="1:7" x14ac:dyDescent="0.25">
      <c r="A5" t="s">
        <v>28</v>
      </c>
      <c r="B5" s="5" t="s">
        <v>670</v>
      </c>
      <c r="C5" s="5" t="s">
        <v>670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196</v>
      </c>
      <c r="C6" s="5" t="s">
        <v>196</v>
      </c>
      <c r="D6" t="b">
        <f t="shared" si="0"/>
        <v>0</v>
      </c>
      <c r="F6" s="3" t="s">
        <v>2029</v>
      </c>
      <c r="G6" s="2">
        <f t="shared" ref="G6:G12" si="1">COUNTIF(A:A,F6)</f>
        <v>0</v>
      </c>
    </row>
    <row r="7" spans="1:7" x14ac:dyDescent="0.25">
      <c r="A7" t="s">
        <v>28</v>
      </c>
      <c r="B7" s="5" t="s">
        <v>812</v>
      </c>
      <c r="C7" s="5" t="s">
        <v>812</v>
      </c>
      <c r="D7" t="b">
        <f t="shared" si="0"/>
        <v>0</v>
      </c>
      <c r="F7" s="7" t="s">
        <v>28</v>
      </c>
      <c r="G7" s="2">
        <f t="shared" si="1"/>
        <v>33</v>
      </c>
    </row>
    <row r="8" spans="1:7" x14ac:dyDescent="0.25">
      <c r="A8" t="s">
        <v>28</v>
      </c>
      <c r="B8" s="5" t="s">
        <v>673</v>
      </c>
      <c r="C8" s="5" t="s">
        <v>673</v>
      </c>
      <c r="D8" t="b">
        <f t="shared" si="0"/>
        <v>0</v>
      </c>
      <c r="F8" s="7" t="s">
        <v>34</v>
      </c>
      <c r="G8" s="2">
        <f t="shared" si="1"/>
        <v>25</v>
      </c>
    </row>
    <row r="9" spans="1:7" x14ac:dyDescent="0.25">
      <c r="A9" t="s">
        <v>28</v>
      </c>
      <c r="B9" s="5" t="s">
        <v>534</v>
      </c>
      <c r="C9" s="5" t="s">
        <v>534</v>
      </c>
      <c r="D9" t="b">
        <f t="shared" si="0"/>
        <v>0</v>
      </c>
      <c r="F9" s="7" t="s">
        <v>5</v>
      </c>
      <c r="G9" s="2">
        <f t="shared" si="1"/>
        <v>11</v>
      </c>
    </row>
    <row r="10" spans="1:7" x14ac:dyDescent="0.25">
      <c r="A10" t="s">
        <v>28</v>
      </c>
      <c r="B10" s="5" t="s">
        <v>33</v>
      </c>
      <c r="C10" s="5" t="s">
        <v>33</v>
      </c>
      <c r="D10" t="b">
        <f t="shared" si="0"/>
        <v>0</v>
      </c>
      <c r="F10" s="7" t="s">
        <v>61</v>
      </c>
      <c r="G10" s="2">
        <f t="shared" si="1"/>
        <v>13</v>
      </c>
    </row>
    <row r="11" spans="1:7" x14ac:dyDescent="0.25">
      <c r="A11" t="s">
        <v>28</v>
      </c>
      <c r="B11" s="5" t="s">
        <v>1428</v>
      </c>
      <c r="C11" s="5" t="s">
        <v>1428</v>
      </c>
      <c r="D11" t="b">
        <f t="shared" si="0"/>
        <v>0</v>
      </c>
      <c r="F11" s="7" t="s">
        <v>35</v>
      </c>
      <c r="G11" s="2">
        <f t="shared" si="1"/>
        <v>9</v>
      </c>
    </row>
    <row r="12" spans="1:7" x14ac:dyDescent="0.25">
      <c r="A12" t="s">
        <v>28</v>
      </c>
      <c r="B12" s="5" t="s">
        <v>60</v>
      </c>
      <c r="C12" s="5" t="s">
        <v>60</v>
      </c>
      <c r="D12" t="b">
        <f t="shared" si="0"/>
        <v>0</v>
      </c>
      <c r="F12" s="7" t="s">
        <v>1430</v>
      </c>
      <c r="G12" s="2">
        <f t="shared" si="1"/>
        <v>8</v>
      </c>
    </row>
    <row r="13" spans="1:7" x14ac:dyDescent="0.25">
      <c r="A13" t="s">
        <v>28</v>
      </c>
      <c r="B13" s="5" t="s">
        <v>1429</v>
      </c>
      <c r="C13" s="5" t="s">
        <v>1429</v>
      </c>
      <c r="D13" t="b">
        <f t="shared" si="0"/>
        <v>0</v>
      </c>
    </row>
    <row r="14" spans="1:7" x14ac:dyDescent="0.25">
      <c r="A14" t="s">
        <v>28</v>
      </c>
      <c r="B14" s="5" t="s">
        <v>2320</v>
      </c>
      <c r="C14" s="5" t="s">
        <v>2320</v>
      </c>
      <c r="D14" t="b">
        <f t="shared" si="0"/>
        <v>0</v>
      </c>
      <c r="F14" s="1"/>
      <c r="G14" s="2"/>
    </row>
    <row r="15" spans="1:7" x14ac:dyDescent="0.25">
      <c r="A15" t="s">
        <v>28</v>
      </c>
      <c r="B15" s="5" t="s">
        <v>38</v>
      </c>
      <c r="C15" s="5" t="s">
        <v>38</v>
      </c>
      <c r="D15" t="b">
        <f t="shared" si="0"/>
        <v>0</v>
      </c>
      <c r="F15" s="1"/>
      <c r="G15" s="2"/>
    </row>
    <row r="16" spans="1:7" x14ac:dyDescent="0.25">
      <c r="A16" t="s">
        <v>28</v>
      </c>
      <c r="B16" s="5" t="s">
        <v>38</v>
      </c>
      <c r="C16" s="5" t="s">
        <v>38</v>
      </c>
      <c r="D16" t="b">
        <f t="shared" si="0"/>
        <v>0</v>
      </c>
      <c r="F16" s="4"/>
      <c r="G16" s="2"/>
    </row>
    <row r="17" spans="1:7" x14ac:dyDescent="0.25">
      <c r="A17" t="s">
        <v>28</v>
      </c>
      <c r="B17" s="5" t="s">
        <v>38</v>
      </c>
      <c r="C17" s="5" t="s">
        <v>38</v>
      </c>
      <c r="D17" t="b">
        <f t="shared" si="0"/>
        <v>0</v>
      </c>
      <c r="F17" s="4"/>
      <c r="G17" s="2"/>
    </row>
    <row r="18" spans="1:7" x14ac:dyDescent="0.25">
      <c r="A18" t="s">
        <v>28</v>
      </c>
      <c r="B18" s="5" t="s">
        <v>38</v>
      </c>
      <c r="C18" s="5" t="s">
        <v>38</v>
      </c>
      <c r="D18" t="b">
        <f t="shared" si="0"/>
        <v>0</v>
      </c>
    </row>
    <row r="19" spans="1:7" x14ac:dyDescent="0.25">
      <c r="A19" t="s">
        <v>28</v>
      </c>
      <c r="B19" s="5" t="s">
        <v>38</v>
      </c>
      <c r="C19" s="5" t="s">
        <v>38</v>
      </c>
      <c r="D19" t="b">
        <f t="shared" si="0"/>
        <v>0</v>
      </c>
    </row>
    <row r="20" spans="1:7" x14ac:dyDescent="0.25">
      <c r="A20" t="s">
        <v>28</v>
      </c>
      <c r="B20" s="5" t="s">
        <v>38</v>
      </c>
      <c r="C20" s="5" t="s">
        <v>38</v>
      </c>
      <c r="D20" t="b">
        <f t="shared" si="0"/>
        <v>0</v>
      </c>
    </row>
    <row r="21" spans="1:7" x14ac:dyDescent="0.25">
      <c r="A21" t="s">
        <v>28</v>
      </c>
      <c r="B21" s="5" t="s">
        <v>38</v>
      </c>
      <c r="C21" s="5" t="s">
        <v>38</v>
      </c>
      <c r="D21" t="b">
        <f t="shared" si="0"/>
        <v>0</v>
      </c>
    </row>
    <row r="22" spans="1:7" x14ac:dyDescent="0.25">
      <c r="A22" t="s">
        <v>28</v>
      </c>
      <c r="B22" s="5" t="s">
        <v>38</v>
      </c>
      <c r="C22" s="5" t="s">
        <v>38</v>
      </c>
      <c r="D22" t="b">
        <f t="shared" si="0"/>
        <v>0</v>
      </c>
    </row>
    <row r="23" spans="1:7" x14ac:dyDescent="0.25">
      <c r="A23" t="s">
        <v>28</v>
      </c>
      <c r="B23" s="5" t="s">
        <v>38</v>
      </c>
      <c r="C23" s="5" t="s">
        <v>38</v>
      </c>
      <c r="D23" t="b">
        <f t="shared" si="0"/>
        <v>0</v>
      </c>
    </row>
    <row r="24" spans="1:7" x14ac:dyDescent="0.25">
      <c r="A24" t="s">
        <v>28</v>
      </c>
      <c r="B24" s="5" t="s">
        <v>38</v>
      </c>
      <c r="C24" s="5" t="s">
        <v>38</v>
      </c>
      <c r="D24" t="b">
        <f t="shared" si="0"/>
        <v>0</v>
      </c>
    </row>
    <row r="25" spans="1:7" x14ac:dyDescent="0.25">
      <c r="A25" t="s">
        <v>28</v>
      </c>
      <c r="B25" s="5" t="s">
        <v>38</v>
      </c>
      <c r="C25" s="5" t="s">
        <v>38</v>
      </c>
      <c r="D25" t="b">
        <f t="shared" si="0"/>
        <v>0</v>
      </c>
    </row>
    <row r="26" spans="1:7" x14ac:dyDescent="0.25">
      <c r="A26" t="s">
        <v>28</v>
      </c>
      <c r="B26" s="5" t="s">
        <v>38</v>
      </c>
      <c r="C26" s="5" t="s">
        <v>38</v>
      </c>
      <c r="D26" t="b">
        <f t="shared" si="0"/>
        <v>0</v>
      </c>
    </row>
    <row r="27" spans="1:7" x14ac:dyDescent="0.25">
      <c r="A27" t="s">
        <v>28</v>
      </c>
      <c r="B27" s="5" t="s">
        <v>38</v>
      </c>
      <c r="C27" s="5" t="s">
        <v>38</v>
      </c>
      <c r="D27" t="b">
        <f t="shared" si="0"/>
        <v>0</v>
      </c>
    </row>
    <row r="28" spans="1:7" x14ac:dyDescent="0.25">
      <c r="A28" t="s">
        <v>28</v>
      </c>
      <c r="B28" s="5" t="s">
        <v>40</v>
      </c>
      <c r="C28" s="5" t="s">
        <v>40</v>
      </c>
      <c r="D28" t="b">
        <f t="shared" si="0"/>
        <v>0</v>
      </c>
    </row>
    <row r="29" spans="1:7" x14ac:dyDescent="0.25">
      <c r="A29" t="s">
        <v>28</v>
      </c>
      <c r="B29" s="5" t="s">
        <v>40</v>
      </c>
      <c r="C29" s="5" t="s">
        <v>40</v>
      </c>
      <c r="D29" t="b">
        <f t="shared" si="0"/>
        <v>0</v>
      </c>
    </row>
    <row r="30" spans="1:7" x14ac:dyDescent="0.25">
      <c r="A30" t="s">
        <v>28</v>
      </c>
      <c r="B30" s="5" t="s">
        <v>40</v>
      </c>
      <c r="C30" s="5" t="s">
        <v>40</v>
      </c>
      <c r="D30" t="b">
        <f t="shared" si="0"/>
        <v>0</v>
      </c>
    </row>
    <row r="31" spans="1:7" x14ac:dyDescent="0.25">
      <c r="A31" t="s">
        <v>28</v>
      </c>
      <c r="B31" s="5" t="s">
        <v>40</v>
      </c>
      <c r="C31" s="5" t="s">
        <v>40</v>
      </c>
      <c r="D31" t="b">
        <f t="shared" si="0"/>
        <v>0</v>
      </c>
    </row>
    <row r="32" spans="1:7" x14ac:dyDescent="0.25">
      <c r="A32" t="s">
        <v>28</v>
      </c>
      <c r="B32" s="5" t="s">
        <v>40</v>
      </c>
      <c r="C32" s="5" t="s">
        <v>40</v>
      </c>
      <c r="D32" t="b">
        <f t="shared" si="0"/>
        <v>0</v>
      </c>
    </row>
    <row r="33" spans="1:4" x14ac:dyDescent="0.25">
      <c r="A33" t="s">
        <v>28</v>
      </c>
      <c r="B33" s="5" t="s">
        <v>40</v>
      </c>
      <c r="C33" s="5" t="s">
        <v>40</v>
      </c>
      <c r="D33" t="b">
        <f t="shared" si="0"/>
        <v>0</v>
      </c>
    </row>
    <row r="34" spans="1:4" x14ac:dyDescent="0.25">
      <c r="A34" t="s">
        <v>28</v>
      </c>
      <c r="B34" s="5" t="s">
        <v>40</v>
      </c>
      <c r="C34" s="5" t="s">
        <v>40</v>
      </c>
      <c r="D34" t="b">
        <f t="shared" si="0"/>
        <v>0</v>
      </c>
    </row>
    <row r="35" spans="1:4" x14ac:dyDescent="0.25">
      <c r="A35" t="s">
        <v>28</v>
      </c>
      <c r="B35" s="5" t="s">
        <v>40</v>
      </c>
      <c r="C35" s="5" t="s">
        <v>40</v>
      </c>
      <c r="D35" t="b">
        <f t="shared" si="0"/>
        <v>0</v>
      </c>
    </row>
    <row r="36" spans="1:4" x14ac:dyDescent="0.25">
      <c r="A36" t="s">
        <v>28</v>
      </c>
      <c r="B36" s="5" t="s">
        <v>40</v>
      </c>
      <c r="C36" s="5" t="s">
        <v>40</v>
      </c>
      <c r="D36" t="b">
        <f t="shared" si="0"/>
        <v>0</v>
      </c>
    </row>
    <row r="37" spans="1:4" x14ac:dyDescent="0.25">
      <c r="A37" t="s">
        <v>34</v>
      </c>
      <c r="B37" s="5" t="s">
        <v>198</v>
      </c>
      <c r="C37" s="5" t="s">
        <v>198</v>
      </c>
      <c r="D37" t="b">
        <f t="shared" si="0"/>
        <v>0</v>
      </c>
    </row>
    <row r="38" spans="1:4" x14ac:dyDescent="0.25">
      <c r="A38" t="s">
        <v>34</v>
      </c>
      <c r="B38" s="5" t="s">
        <v>684</v>
      </c>
      <c r="C38" s="5" t="s">
        <v>684</v>
      </c>
      <c r="D38" t="b">
        <f t="shared" si="0"/>
        <v>0</v>
      </c>
    </row>
    <row r="39" spans="1:4" x14ac:dyDescent="0.25">
      <c r="A39" t="s">
        <v>34</v>
      </c>
      <c r="B39" s="5" t="s">
        <v>550</v>
      </c>
      <c r="C39" s="5" t="s">
        <v>550</v>
      </c>
      <c r="D39" t="b">
        <f t="shared" si="0"/>
        <v>0</v>
      </c>
    </row>
    <row r="40" spans="1:4" x14ac:dyDescent="0.25">
      <c r="A40" t="s">
        <v>34</v>
      </c>
      <c r="B40" s="5" t="s">
        <v>150</v>
      </c>
      <c r="C40" s="5" t="s">
        <v>150</v>
      </c>
      <c r="D40" t="b">
        <f t="shared" si="0"/>
        <v>0</v>
      </c>
    </row>
    <row r="41" spans="1:4" x14ac:dyDescent="0.25">
      <c r="A41" t="s">
        <v>34</v>
      </c>
      <c r="B41" s="5" t="s">
        <v>152</v>
      </c>
      <c r="C41" s="5" t="s">
        <v>152</v>
      </c>
      <c r="D41" t="b">
        <f t="shared" si="0"/>
        <v>0</v>
      </c>
    </row>
    <row r="42" spans="1:4" x14ac:dyDescent="0.25">
      <c r="A42" t="s">
        <v>34</v>
      </c>
      <c r="B42" s="5" t="s">
        <v>1431</v>
      </c>
      <c r="C42" s="5" t="s">
        <v>1431</v>
      </c>
      <c r="D42" t="b">
        <f t="shared" si="0"/>
        <v>0</v>
      </c>
    </row>
    <row r="43" spans="1:4" x14ac:dyDescent="0.25">
      <c r="A43" t="s">
        <v>34</v>
      </c>
      <c r="B43" s="5" t="s">
        <v>688</v>
      </c>
      <c r="C43" s="5" t="s">
        <v>688</v>
      </c>
      <c r="D43" t="b">
        <f t="shared" si="0"/>
        <v>0</v>
      </c>
    </row>
    <row r="44" spans="1:4" x14ac:dyDescent="0.25">
      <c r="A44" t="s">
        <v>34</v>
      </c>
      <c r="B44" s="5" t="s">
        <v>1432</v>
      </c>
      <c r="C44" s="5" t="s">
        <v>1432</v>
      </c>
      <c r="D44" t="b">
        <f t="shared" si="0"/>
        <v>0</v>
      </c>
    </row>
    <row r="45" spans="1:4" x14ac:dyDescent="0.25">
      <c r="A45" t="s">
        <v>34</v>
      </c>
      <c r="B45" s="5" t="s">
        <v>349</v>
      </c>
      <c r="C45" s="5" t="s">
        <v>349</v>
      </c>
      <c r="D45" t="b">
        <f t="shared" si="0"/>
        <v>0</v>
      </c>
    </row>
    <row r="46" spans="1:4" x14ac:dyDescent="0.25">
      <c r="A46" t="s">
        <v>34</v>
      </c>
      <c r="B46" s="5" t="s">
        <v>1434</v>
      </c>
      <c r="C46" s="5" t="s">
        <v>1733</v>
      </c>
      <c r="D46" t="b">
        <f t="shared" si="0"/>
        <v>1</v>
      </c>
    </row>
    <row r="47" spans="1:4" x14ac:dyDescent="0.25">
      <c r="A47" t="s">
        <v>34</v>
      </c>
      <c r="B47" s="5" t="s">
        <v>1436</v>
      </c>
      <c r="C47" s="5" t="s">
        <v>1436</v>
      </c>
      <c r="D47" t="b">
        <f t="shared" si="0"/>
        <v>0</v>
      </c>
    </row>
    <row r="48" spans="1:4" x14ac:dyDescent="0.25">
      <c r="A48" t="s">
        <v>34</v>
      </c>
      <c r="B48" s="5" t="s">
        <v>1437</v>
      </c>
      <c r="C48" s="5" t="s">
        <v>1437</v>
      </c>
      <c r="D48" t="b">
        <f t="shared" si="0"/>
        <v>0</v>
      </c>
    </row>
    <row r="49" spans="1:4" x14ac:dyDescent="0.25">
      <c r="A49" t="s">
        <v>34</v>
      </c>
      <c r="B49" s="5" t="s">
        <v>815</v>
      </c>
      <c r="C49" s="5" t="s">
        <v>815</v>
      </c>
      <c r="D49" t="b">
        <f t="shared" si="0"/>
        <v>0</v>
      </c>
    </row>
    <row r="50" spans="1:4" x14ac:dyDescent="0.25">
      <c r="A50" t="s">
        <v>34</v>
      </c>
      <c r="B50" s="5" t="s">
        <v>1911</v>
      </c>
      <c r="C50" s="5" t="s">
        <v>1911</v>
      </c>
      <c r="D50" t="b">
        <f t="shared" si="0"/>
        <v>0</v>
      </c>
    </row>
    <row r="51" spans="1:4" x14ac:dyDescent="0.25">
      <c r="A51" t="s">
        <v>34</v>
      </c>
      <c r="B51" s="5" t="s">
        <v>686</v>
      </c>
      <c r="C51" s="5" t="s">
        <v>686</v>
      </c>
      <c r="D51" t="b">
        <f t="shared" si="0"/>
        <v>0</v>
      </c>
    </row>
    <row r="52" spans="1:4" x14ac:dyDescent="0.25">
      <c r="A52" t="s">
        <v>34</v>
      </c>
      <c r="B52" s="5" t="s">
        <v>1433</v>
      </c>
      <c r="C52" s="5" t="s">
        <v>1433</v>
      </c>
      <c r="D52" t="b">
        <f t="shared" si="0"/>
        <v>0</v>
      </c>
    </row>
    <row r="53" spans="1:4" x14ac:dyDescent="0.25">
      <c r="A53" t="s">
        <v>34</v>
      </c>
      <c r="B53" s="5" t="s">
        <v>351</v>
      </c>
      <c r="C53" s="5" t="s">
        <v>351</v>
      </c>
      <c r="D53" t="b">
        <f t="shared" si="0"/>
        <v>0</v>
      </c>
    </row>
    <row r="54" spans="1:4" x14ac:dyDescent="0.25">
      <c r="A54" t="s">
        <v>34</v>
      </c>
      <c r="B54" s="5" t="s">
        <v>1435</v>
      </c>
      <c r="C54" s="5" t="s">
        <v>1435</v>
      </c>
      <c r="D54" t="b">
        <f t="shared" si="0"/>
        <v>0</v>
      </c>
    </row>
    <row r="55" spans="1:4" x14ac:dyDescent="0.25">
      <c r="A55" t="s">
        <v>34</v>
      </c>
      <c r="B55" s="5" t="s">
        <v>679</v>
      </c>
      <c r="C55" s="5" t="s">
        <v>679</v>
      </c>
      <c r="D55" t="b">
        <f t="shared" si="0"/>
        <v>0</v>
      </c>
    </row>
    <row r="56" spans="1:4" x14ac:dyDescent="0.25">
      <c r="A56" t="s">
        <v>34</v>
      </c>
      <c r="B56" s="5" t="s">
        <v>350</v>
      </c>
      <c r="C56" s="5" t="s">
        <v>350</v>
      </c>
      <c r="D56" t="b">
        <f t="shared" si="0"/>
        <v>0</v>
      </c>
    </row>
    <row r="57" spans="1:4" x14ac:dyDescent="0.25">
      <c r="A57" t="s">
        <v>34</v>
      </c>
      <c r="B57" s="5" t="s">
        <v>1438</v>
      </c>
      <c r="C57" s="5" t="s">
        <v>1438</v>
      </c>
      <c r="D57" t="b">
        <f t="shared" si="0"/>
        <v>0</v>
      </c>
    </row>
    <row r="58" spans="1:4" x14ac:dyDescent="0.25">
      <c r="A58" t="s">
        <v>34</v>
      </c>
      <c r="B58" s="5" t="s">
        <v>685</v>
      </c>
      <c r="C58" s="5" t="s">
        <v>685</v>
      </c>
      <c r="D58" t="b">
        <f t="shared" si="0"/>
        <v>0</v>
      </c>
    </row>
    <row r="59" spans="1:4" x14ac:dyDescent="0.25">
      <c r="A59" t="s">
        <v>34</v>
      </c>
      <c r="B59" s="5" t="s">
        <v>1439</v>
      </c>
      <c r="C59" s="5" t="s">
        <v>1439</v>
      </c>
      <c r="D59" t="b">
        <f t="shared" si="0"/>
        <v>0</v>
      </c>
    </row>
    <row r="60" spans="1:4" x14ac:dyDescent="0.25">
      <c r="A60" t="s">
        <v>34</v>
      </c>
      <c r="B60" s="5" t="s">
        <v>1440</v>
      </c>
      <c r="C60" s="5" t="s">
        <v>1440</v>
      </c>
      <c r="D60" t="b">
        <f t="shared" si="0"/>
        <v>0</v>
      </c>
    </row>
    <row r="61" spans="1:4" x14ac:dyDescent="0.25">
      <c r="A61" t="s">
        <v>34</v>
      </c>
      <c r="B61" s="5" t="s">
        <v>1441</v>
      </c>
      <c r="C61" s="5" t="s">
        <v>1441</v>
      </c>
      <c r="D61" t="b">
        <f t="shared" si="0"/>
        <v>0</v>
      </c>
    </row>
    <row r="62" spans="1:4" x14ac:dyDescent="0.25">
      <c r="A62" t="s">
        <v>61</v>
      </c>
      <c r="B62" s="5" t="s">
        <v>708</v>
      </c>
      <c r="C62" s="5" t="s">
        <v>708</v>
      </c>
      <c r="D62" t="b">
        <f t="shared" si="0"/>
        <v>0</v>
      </c>
    </row>
    <row r="63" spans="1:4" x14ac:dyDescent="0.25">
      <c r="A63" t="s">
        <v>61</v>
      </c>
      <c r="B63" s="5" t="s">
        <v>1442</v>
      </c>
      <c r="C63" s="5" t="s">
        <v>1443</v>
      </c>
      <c r="D63" t="b">
        <f t="shared" si="0"/>
        <v>1</v>
      </c>
    </row>
    <row r="64" spans="1:4" x14ac:dyDescent="0.25">
      <c r="A64" t="s">
        <v>61</v>
      </c>
      <c r="B64" s="5" t="s">
        <v>1444</v>
      </c>
      <c r="C64" s="5" t="s">
        <v>1444</v>
      </c>
      <c r="D64" t="b">
        <f t="shared" si="0"/>
        <v>0</v>
      </c>
    </row>
    <row r="65" spans="1:4" x14ac:dyDescent="0.25">
      <c r="A65" t="s">
        <v>61</v>
      </c>
      <c r="B65" s="5" t="s">
        <v>1445</v>
      </c>
      <c r="C65" s="5" t="s">
        <v>1445</v>
      </c>
      <c r="D65" t="b">
        <f t="shared" si="0"/>
        <v>0</v>
      </c>
    </row>
    <row r="66" spans="1:4" x14ac:dyDescent="0.25">
      <c r="A66" t="s">
        <v>61</v>
      </c>
      <c r="B66" s="5" t="s">
        <v>1446</v>
      </c>
      <c r="C66" s="5" t="s">
        <v>1446</v>
      </c>
      <c r="D66" t="b">
        <f t="shared" si="0"/>
        <v>0</v>
      </c>
    </row>
    <row r="67" spans="1:4" x14ac:dyDescent="0.25">
      <c r="A67" t="s">
        <v>61</v>
      </c>
      <c r="B67" s="5" t="s">
        <v>778</v>
      </c>
      <c r="C67" s="5" t="s">
        <v>778</v>
      </c>
      <c r="D67" t="b">
        <f t="shared" si="0"/>
        <v>0</v>
      </c>
    </row>
    <row r="68" spans="1:4" x14ac:dyDescent="0.25">
      <c r="A68" t="s">
        <v>61</v>
      </c>
      <c r="B68" s="5" t="s">
        <v>1447</v>
      </c>
      <c r="C68" s="5" t="s">
        <v>1447</v>
      </c>
      <c r="D68" t="b">
        <f t="shared" si="0"/>
        <v>0</v>
      </c>
    </row>
    <row r="69" spans="1:4" x14ac:dyDescent="0.25">
      <c r="A69" t="s">
        <v>61</v>
      </c>
      <c r="B69" s="5" t="s">
        <v>120</v>
      </c>
      <c r="C69" s="5" t="s">
        <v>120</v>
      </c>
      <c r="D69" t="b">
        <f t="shared" ref="D69:D102" si="2">B69&lt;&gt;C69</f>
        <v>0</v>
      </c>
    </row>
    <row r="70" spans="1:4" x14ac:dyDescent="0.25">
      <c r="A70" t="s">
        <v>61</v>
      </c>
      <c r="B70" s="5" t="s">
        <v>767</v>
      </c>
      <c r="C70" s="5" t="s">
        <v>767</v>
      </c>
      <c r="D70" t="b">
        <f t="shared" si="2"/>
        <v>0</v>
      </c>
    </row>
    <row r="71" spans="1:4" x14ac:dyDescent="0.25">
      <c r="A71" t="s">
        <v>61</v>
      </c>
      <c r="B71" s="5" t="s">
        <v>705</v>
      </c>
      <c r="C71" s="5" t="s">
        <v>705</v>
      </c>
      <c r="D71" t="b">
        <f t="shared" si="2"/>
        <v>0</v>
      </c>
    </row>
    <row r="72" spans="1:4" x14ac:dyDescent="0.25">
      <c r="A72" t="s">
        <v>61</v>
      </c>
      <c r="B72" s="5" t="s">
        <v>781</v>
      </c>
      <c r="C72" s="5" t="s">
        <v>781</v>
      </c>
      <c r="D72" t="b">
        <f t="shared" si="2"/>
        <v>0</v>
      </c>
    </row>
    <row r="73" spans="1:4" x14ac:dyDescent="0.25">
      <c r="A73" t="s">
        <v>61</v>
      </c>
      <c r="B73" s="5" t="s">
        <v>961</v>
      </c>
      <c r="C73" s="5" t="s">
        <v>961</v>
      </c>
      <c r="D73" t="b">
        <f t="shared" si="2"/>
        <v>0</v>
      </c>
    </row>
    <row r="74" spans="1:4" x14ac:dyDescent="0.25">
      <c r="A74" t="s">
        <v>61</v>
      </c>
      <c r="B74" s="5" t="s">
        <v>1414</v>
      </c>
      <c r="C74" s="5" t="s">
        <v>1414</v>
      </c>
      <c r="D74" t="b">
        <f t="shared" si="2"/>
        <v>0</v>
      </c>
    </row>
    <row r="75" spans="1:4" x14ac:dyDescent="0.25">
      <c r="A75" t="s">
        <v>1430</v>
      </c>
      <c r="B75" s="5" t="s">
        <v>1448</v>
      </c>
      <c r="C75" s="5" t="s">
        <v>1448</v>
      </c>
      <c r="D75" t="b">
        <f t="shared" si="2"/>
        <v>0</v>
      </c>
    </row>
    <row r="76" spans="1:4" x14ac:dyDescent="0.25">
      <c r="A76" t="s">
        <v>1430</v>
      </c>
      <c r="B76" s="5" t="s">
        <v>1449</v>
      </c>
      <c r="C76" s="5" t="s">
        <v>1449</v>
      </c>
      <c r="D76" t="b">
        <f t="shared" si="2"/>
        <v>0</v>
      </c>
    </row>
    <row r="77" spans="1:4" x14ac:dyDescent="0.25">
      <c r="A77" t="s">
        <v>1430</v>
      </c>
      <c r="B77" s="5" t="s">
        <v>1922</v>
      </c>
      <c r="C77" s="5" t="s">
        <v>1922</v>
      </c>
      <c r="D77" t="b">
        <f t="shared" si="2"/>
        <v>0</v>
      </c>
    </row>
    <row r="78" spans="1:4" x14ac:dyDescent="0.25">
      <c r="A78" t="s">
        <v>1430</v>
      </c>
      <c r="B78" s="5" t="s">
        <v>514</v>
      </c>
      <c r="C78" s="5" t="s">
        <v>514</v>
      </c>
      <c r="D78" t="b">
        <f t="shared" si="2"/>
        <v>0</v>
      </c>
    </row>
    <row r="79" spans="1:4" x14ac:dyDescent="0.25">
      <c r="A79" t="s">
        <v>1430</v>
      </c>
      <c r="B79" s="5" t="s">
        <v>1450</v>
      </c>
      <c r="C79" s="5" t="s">
        <v>1450</v>
      </c>
      <c r="D79" t="b">
        <f t="shared" si="2"/>
        <v>0</v>
      </c>
    </row>
    <row r="80" spans="1:4" x14ac:dyDescent="0.25">
      <c r="A80" t="s">
        <v>1430</v>
      </c>
      <c r="B80" s="5" t="s">
        <v>1451</v>
      </c>
      <c r="C80" s="5" t="s">
        <v>1451</v>
      </c>
      <c r="D80" t="b">
        <f t="shared" si="2"/>
        <v>0</v>
      </c>
    </row>
    <row r="81" spans="1:4" x14ac:dyDescent="0.25">
      <c r="A81" t="s">
        <v>1430</v>
      </c>
      <c r="B81" s="5" t="s">
        <v>721</v>
      </c>
      <c r="C81" s="5" t="s">
        <v>721</v>
      </c>
      <c r="D81" t="b">
        <f t="shared" si="2"/>
        <v>0</v>
      </c>
    </row>
    <row r="82" spans="1:4" x14ac:dyDescent="0.25">
      <c r="A82" t="s">
        <v>1430</v>
      </c>
      <c r="B82" s="5" t="s">
        <v>1452</v>
      </c>
      <c r="C82" s="5" t="s">
        <v>1529</v>
      </c>
      <c r="D82" t="b">
        <f t="shared" si="2"/>
        <v>1</v>
      </c>
    </row>
    <row r="83" spans="1:4" x14ac:dyDescent="0.25">
      <c r="A83" t="s">
        <v>5</v>
      </c>
      <c r="B83" s="5" t="s">
        <v>1453</v>
      </c>
      <c r="C83" s="5" t="s">
        <v>1453</v>
      </c>
      <c r="D83" t="b">
        <f t="shared" si="2"/>
        <v>0</v>
      </c>
    </row>
    <row r="84" spans="1:4" x14ac:dyDescent="0.25">
      <c r="A84" t="s">
        <v>5</v>
      </c>
      <c r="B84" s="5" t="s">
        <v>723</v>
      </c>
      <c r="C84" s="5" t="s">
        <v>723</v>
      </c>
      <c r="D84" t="b">
        <f t="shared" si="2"/>
        <v>0</v>
      </c>
    </row>
    <row r="85" spans="1:4" x14ac:dyDescent="0.25">
      <c r="A85" t="s">
        <v>5</v>
      </c>
      <c r="B85" s="5" t="s">
        <v>714</v>
      </c>
      <c r="C85" s="5" t="s">
        <v>1734</v>
      </c>
      <c r="D85" t="b">
        <f t="shared" si="2"/>
        <v>1</v>
      </c>
    </row>
    <row r="86" spans="1:4" x14ac:dyDescent="0.25">
      <c r="A86" t="s">
        <v>5</v>
      </c>
      <c r="B86" s="5" t="s">
        <v>1454</v>
      </c>
      <c r="C86" s="5" t="s">
        <v>796</v>
      </c>
      <c r="D86" t="b">
        <f t="shared" si="2"/>
        <v>1</v>
      </c>
    </row>
    <row r="87" spans="1:4" x14ac:dyDescent="0.25">
      <c r="A87" t="s">
        <v>5</v>
      </c>
      <c r="B87" s="5" t="s">
        <v>375</v>
      </c>
      <c r="C87" s="5" t="s">
        <v>375</v>
      </c>
      <c r="D87" t="b">
        <f t="shared" si="2"/>
        <v>0</v>
      </c>
    </row>
    <row r="88" spans="1:4" x14ac:dyDescent="0.25">
      <c r="A88" t="s">
        <v>5</v>
      </c>
      <c r="B88" s="5" t="s">
        <v>716</v>
      </c>
      <c r="C88" s="5" t="s">
        <v>716</v>
      </c>
      <c r="D88" t="b">
        <f t="shared" si="2"/>
        <v>0</v>
      </c>
    </row>
    <row r="89" spans="1:4" x14ac:dyDescent="0.25">
      <c r="A89" t="s">
        <v>5</v>
      </c>
      <c r="B89" s="5" t="s">
        <v>1455</v>
      </c>
      <c r="C89" s="5" t="s">
        <v>1455</v>
      </c>
      <c r="D89" t="b">
        <f t="shared" si="2"/>
        <v>0</v>
      </c>
    </row>
    <row r="90" spans="1:4" x14ac:dyDescent="0.25">
      <c r="A90" t="s">
        <v>5</v>
      </c>
      <c r="B90" s="5" t="s">
        <v>108</v>
      </c>
      <c r="C90" s="5" t="s">
        <v>108</v>
      </c>
      <c r="D90" t="b">
        <f t="shared" si="2"/>
        <v>0</v>
      </c>
    </row>
    <row r="91" spans="1:4" x14ac:dyDescent="0.25">
      <c r="A91" t="s">
        <v>5</v>
      </c>
      <c r="B91" s="5" t="s">
        <v>1736</v>
      </c>
      <c r="C91" s="5" t="s">
        <v>1736</v>
      </c>
      <c r="D91" t="b">
        <f t="shared" si="2"/>
        <v>0</v>
      </c>
    </row>
    <row r="92" spans="1:4" x14ac:dyDescent="0.25">
      <c r="A92" t="s">
        <v>5</v>
      </c>
      <c r="B92" s="5" t="s">
        <v>1456</v>
      </c>
      <c r="C92" s="5" t="s">
        <v>1456</v>
      </c>
      <c r="D92" t="b">
        <f t="shared" si="2"/>
        <v>0</v>
      </c>
    </row>
    <row r="93" spans="1:4" x14ac:dyDescent="0.25">
      <c r="A93" t="s">
        <v>5</v>
      </c>
      <c r="B93" s="5" t="s">
        <v>1457</v>
      </c>
      <c r="C93" s="5" t="s">
        <v>1457</v>
      </c>
      <c r="D93" t="b">
        <f t="shared" si="2"/>
        <v>0</v>
      </c>
    </row>
    <row r="94" spans="1:4" x14ac:dyDescent="0.25">
      <c r="A94" t="s">
        <v>35</v>
      </c>
      <c r="B94" s="5" t="s">
        <v>1107</v>
      </c>
      <c r="C94" s="5" t="s">
        <v>1923</v>
      </c>
      <c r="D94" t="b">
        <f t="shared" si="2"/>
        <v>1</v>
      </c>
    </row>
    <row r="95" spans="1:4" x14ac:dyDescent="0.25">
      <c r="A95" t="s">
        <v>35</v>
      </c>
      <c r="B95" s="5" t="s">
        <v>556</v>
      </c>
      <c r="C95" s="5" t="s">
        <v>556</v>
      </c>
      <c r="D95" t="b">
        <f t="shared" si="2"/>
        <v>0</v>
      </c>
    </row>
    <row r="96" spans="1:4" x14ac:dyDescent="0.25">
      <c r="A96" t="s">
        <v>35</v>
      </c>
      <c r="B96" s="5" t="s">
        <v>1458</v>
      </c>
      <c r="C96" s="5" t="s">
        <v>1458</v>
      </c>
      <c r="D96" t="b">
        <f t="shared" si="2"/>
        <v>0</v>
      </c>
    </row>
    <row r="97" spans="1:4" x14ac:dyDescent="0.25">
      <c r="A97" t="s">
        <v>35</v>
      </c>
      <c r="B97" s="5" t="s">
        <v>562</v>
      </c>
      <c r="C97" s="5" t="s">
        <v>562</v>
      </c>
      <c r="D97" t="b">
        <f t="shared" si="2"/>
        <v>0</v>
      </c>
    </row>
    <row r="98" spans="1:4" x14ac:dyDescent="0.25">
      <c r="A98" t="s">
        <v>35</v>
      </c>
      <c r="B98" s="5" t="s">
        <v>1459</v>
      </c>
      <c r="C98" s="5" t="s">
        <v>1459</v>
      </c>
      <c r="D98" t="b">
        <f t="shared" si="2"/>
        <v>0</v>
      </c>
    </row>
    <row r="99" spans="1:4" x14ac:dyDescent="0.25">
      <c r="A99" t="s">
        <v>35</v>
      </c>
      <c r="B99" s="5" t="s">
        <v>1460</v>
      </c>
      <c r="C99" s="5" t="s">
        <v>1460</v>
      </c>
      <c r="D99" t="b">
        <f t="shared" si="2"/>
        <v>0</v>
      </c>
    </row>
    <row r="100" spans="1:4" x14ac:dyDescent="0.25">
      <c r="A100" t="s">
        <v>35</v>
      </c>
      <c r="B100" s="5" t="s">
        <v>823</v>
      </c>
      <c r="C100" s="5" t="s">
        <v>823</v>
      </c>
      <c r="D100" t="b">
        <f t="shared" si="2"/>
        <v>0</v>
      </c>
    </row>
    <row r="101" spans="1:4" x14ac:dyDescent="0.25">
      <c r="A101" t="s">
        <v>35</v>
      </c>
      <c r="B101" s="5" t="s">
        <v>1461</v>
      </c>
      <c r="C101" s="5" t="s">
        <v>1461</v>
      </c>
      <c r="D101" t="b">
        <f t="shared" si="2"/>
        <v>0</v>
      </c>
    </row>
    <row r="102" spans="1:4" x14ac:dyDescent="0.25">
      <c r="A102" t="s">
        <v>35</v>
      </c>
      <c r="B102" s="5" t="s">
        <v>387</v>
      </c>
      <c r="C102" s="5" t="s">
        <v>387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F1BDBD9-46EC-42C5-94B0-CC629F86EB9E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BA4D98DE-CDBA-496C-93F8-291FE6A71963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A862-2C2B-4693-8520-25B9A32D4305}">
  <sheetPr codeName="Planilha24"/>
  <dimension ref="A1:G102"/>
  <sheetViews>
    <sheetView topLeftCell="A27" workbookViewId="0">
      <selection activeCell="B4" sqref="B4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21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9</v>
      </c>
    </row>
    <row r="3" spans="1:7" x14ac:dyDescent="0.25">
      <c r="A3" s="5" t="s">
        <v>2002</v>
      </c>
      <c r="B3" s="5" t="s">
        <v>2042</v>
      </c>
      <c r="C3" s="5" t="s">
        <v>2042</v>
      </c>
      <c r="D3" t="b">
        <f>B3&lt;&gt;C3</f>
        <v>0</v>
      </c>
      <c r="F3" s="4" t="s">
        <v>30</v>
      </c>
      <c r="G3" s="3">
        <f>SUM(G6:G26)</f>
        <v>100</v>
      </c>
    </row>
    <row r="4" spans="1:7" x14ac:dyDescent="0.25">
      <c r="A4" t="s">
        <v>28</v>
      </c>
      <c r="B4" s="5" t="s">
        <v>131</v>
      </c>
      <c r="C4" s="5" t="s">
        <v>131</v>
      </c>
      <c r="D4" t="b">
        <f>B4&lt;&gt;C4</f>
        <v>0</v>
      </c>
    </row>
    <row r="5" spans="1:7" x14ac:dyDescent="0.25">
      <c r="A5" t="s">
        <v>28</v>
      </c>
      <c r="B5" s="5" t="s">
        <v>132</v>
      </c>
      <c r="C5" s="5" t="s">
        <v>132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133</v>
      </c>
      <c r="C6" s="5" t="s">
        <v>133</v>
      </c>
      <c r="D6" t="b">
        <f t="shared" si="0"/>
        <v>0</v>
      </c>
      <c r="F6" s="3" t="s">
        <v>2002</v>
      </c>
      <c r="G6" s="2">
        <f t="shared" ref="G6:G15" si="1">COUNTIF(A:A,F6)</f>
        <v>1</v>
      </c>
    </row>
    <row r="7" spans="1:7" x14ac:dyDescent="0.25">
      <c r="A7" t="s">
        <v>28</v>
      </c>
      <c r="B7" s="5" t="s">
        <v>134</v>
      </c>
      <c r="C7" s="5" t="s">
        <v>134</v>
      </c>
      <c r="D7" t="b">
        <f t="shared" si="0"/>
        <v>0</v>
      </c>
      <c r="F7" s="7" t="s">
        <v>28</v>
      </c>
      <c r="G7" s="2">
        <f t="shared" si="1"/>
        <v>35</v>
      </c>
    </row>
    <row r="8" spans="1:7" x14ac:dyDescent="0.25">
      <c r="A8" t="s">
        <v>28</v>
      </c>
      <c r="B8" s="5" t="s">
        <v>135</v>
      </c>
      <c r="C8" s="5" t="s">
        <v>135</v>
      </c>
      <c r="D8" t="b">
        <f t="shared" si="0"/>
        <v>0</v>
      </c>
      <c r="F8" s="7" t="s">
        <v>34</v>
      </c>
      <c r="G8" s="2">
        <f t="shared" si="1"/>
        <v>10</v>
      </c>
    </row>
    <row r="9" spans="1:7" x14ac:dyDescent="0.25">
      <c r="A9" t="s">
        <v>28</v>
      </c>
      <c r="B9" s="5" t="s">
        <v>136</v>
      </c>
      <c r="C9" s="5" t="s">
        <v>136</v>
      </c>
      <c r="D9" t="b">
        <f t="shared" si="0"/>
        <v>0</v>
      </c>
      <c r="F9" s="7" t="s">
        <v>43</v>
      </c>
      <c r="G9" s="2">
        <f t="shared" si="1"/>
        <v>8</v>
      </c>
    </row>
    <row r="10" spans="1:7" x14ac:dyDescent="0.25">
      <c r="A10" t="s">
        <v>28</v>
      </c>
      <c r="B10" s="5" t="s">
        <v>137</v>
      </c>
      <c r="C10" s="5" t="s">
        <v>137</v>
      </c>
      <c r="D10" t="b">
        <f t="shared" si="0"/>
        <v>0</v>
      </c>
      <c r="F10" s="7" t="s">
        <v>266</v>
      </c>
      <c r="G10" s="2">
        <f t="shared" si="1"/>
        <v>10</v>
      </c>
    </row>
    <row r="11" spans="1:7" x14ac:dyDescent="0.25">
      <c r="A11" t="s">
        <v>28</v>
      </c>
      <c r="B11" s="5" t="s">
        <v>138</v>
      </c>
      <c r="C11" s="5" t="s">
        <v>138</v>
      </c>
      <c r="D11" t="b">
        <f t="shared" si="0"/>
        <v>0</v>
      </c>
      <c r="F11" s="7" t="s">
        <v>59</v>
      </c>
      <c r="G11" s="2">
        <f t="shared" si="1"/>
        <v>4</v>
      </c>
    </row>
    <row r="12" spans="1:7" x14ac:dyDescent="0.25">
      <c r="A12" t="s">
        <v>28</v>
      </c>
      <c r="B12" s="5" t="s">
        <v>140</v>
      </c>
      <c r="C12" s="5" t="s">
        <v>140</v>
      </c>
      <c r="D12" t="b">
        <f t="shared" si="0"/>
        <v>0</v>
      </c>
      <c r="F12" s="7" t="s">
        <v>36</v>
      </c>
      <c r="G12" s="2">
        <f t="shared" si="1"/>
        <v>11</v>
      </c>
    </row>
    <row r="13" spans="1:7" x14ac:dyDescent="0.25">
      <c r="A13" t="s">
        <v>28</v>
      </c>
      <c r="B13" s="5" t="s">
        <v>141</v>
      </c>
      <c r="C13" s="5" t="s">
        <v>141</v>
      </c>
      <c r="D13" t="b">
        <f t="shared" si="0"/>
        <v>0</v>
      </c>
      <c r="F13" s="7" t="s">
        <v>35</v>
      </c>
      <c r="G13" s="2">
        <f t="shared" si="1"/>
        <v>8</v>
      </c>
    </row>
    <row r="14" spans="1:7" x14ac:dyDescent="0.25">
      <c r="A14" t="s">
        <v>28</v>
      </c>
      <c r="B14" s="5" t="s">
        <v>142</v>
      </c>
      <c r="C14" s="5" t="s">
        <v>142</v>
      </c>
      <c r="D14" t="b">
        <f t="shared" si="0"/>
        <v>0</v>
      </c>
      <c r="F14" s="7" t="s">
        <v>5</v>
      </c>
      <c r="G14" s="2">
        <f t="shared" si="1"/>
        <v>5</v>
      </c>
    </row>
    <row r="15" spans="1:7" x14ac:dyDescent="0.25">
      <c r="A15" t="s">
        <v>28</v>
      </c>
      <c r="B15" s="5" t="s">
        <v>33</v>
      </c>
      <c r="C15" s="5" t="s">
        <v>33</v>
      </c>
      <c r="D15" t="b">
        <f t="shared" si="0"/>
        <v>0</v>
      </c>
      <c r="F15" s="7" t="s">
        <v>1208</v>
      </c>
      <c r="G15" s="2">
        <f t="shared" si="1"/>
        <v>8</v>
      </c>
    </row>
    <row r="16" spans="1:7" x14ac:dyDescent="0.25">
      <c r="A16" t="s">
        <v>28</v>
      </c>
      <c r="B16" s="5" t="s">
        <v>60</v>
      </c>
      <c r="C16" s="5" t="s">
        <v>60</v>
      </c>
      <c r="D16" t="b">
        <f t="shared" si="0"/>
        <v>0</v>
      </c>
    </row>
    <row r="17" spans="1:7" x14ac:dyDescent="0.25">
      <c r="A17" t="s">
        <v>28</v>
      </c>
      <c r="B17" s="5" t="s">
        <v>196</v>
      </c>
      <c r="C17" s="5" t="s">
        <v>196</v>
      </c>
      <c r="D17" t="b">
        <f t="shared" si="0"/>
        <v>0</v>
      </c>
      <c r="F17" s="1"/>
      <c r="G17" s="2"/>
    </row>
    <row r="18" spans="1:7" x14ac:dyDescent="0.25">
      <c r="A18" t="s">
        <v>28</v>
      </c>
      <c r="B18" s="5" t="s">
        <v>57</v>
      </c>
      <c r="C18" s="5" t="s">
        <v>57</v>
      </c>
      <c r="D18" t="b">
        <f t="shared" si="0"/>
        <v>0</v>
      </c>
    </row>
    <row r="19" spans="1:7" x14ac:dyDescent="0.25">
      <c r="A19" t="s">
        <v>28</v>
      </c>
      <c r="B19" s="5" t="s">
        <v>1209</v>
      </c>
      <c r="C19" s="5" t="s">
        <v>1209</v>
      </c>
      <c r="D19" t="b">
        <f t="shared" si="0"/>
        <v>0</v>
      </c>
    </row>
    <row r="20" spans="1:7" x14ac:dyDescent="0.25">
      <c r="A20" t="s">
        <v>28</v>
      </c>
      <c r="B20" s="5" t="s">
        <v>78</v>
      </c>
      <c r="C20" s="5" t="s">
        <v>78</v>
      </c>
      <c r="D20" t="b">
        <f t="shared" si="0"/>
        <v>0</v>
      </c>
    </row>
    <row r="21" spans="1:7" x14ac:dyDescent="0.25">
      <c r="A21" t="s">
        <v>28</v>
      </c>
      <c r="B21" s="5" t="s">
        <v>78</v>
      </c>
      <c r="C21" s="5" t="s">
        <v>78</v>
      </c>
      <c r="D21" t="b">
        <f t="shared" si="0"/>
        <v>0</v>
      </c>
    </row>
    <row r="22" spans="1:7" x14ac:dyDescent="0.25">
      <c r="A22" t="s">
        <v>28</v>
      </c>
      <c r="B22" s="5" t="s">
        <v>78</v>
      </c>
      <c r="C22" s="5" t="s">
        <v>78</v>
      </c>
      <c r="D22" t="b">
        <f t="shared" si="0"/>
        <v>0</v>
      </c>
    </row>
    <row r="23" spans="1:7" x14ac:dyDescent="0.25">
      <c r="A23" t="s">
        <v>28</v>
      </c>
      <c r="B23" s="5" t="s">
        <v>78</v>
      </c>
      <c r="C23" s="5" t="s">
        <v>78</v>
      </c>
      <c r="D23" t="b">
        <f t="shared" si="0"/>
        <v>0</v>
      </c>
    </row>
    <row r="24" spans="1:7" x14ac:dyDescent="0.25">
      <c r="A24" t="s">
        <v>28</v>
      </c>
      <c r="B24" s="5" t="s">
        <v>78</v>
      </c>
      <c r="C24" s="5" t="s">
        <v>78</v>
      </c>
      <c r="D24" t="b">
        <f t="shared" si="0"/>
        <v>0</v>
      </c>
    </row>
    <row r="25" spans="1:7" x14ac:dyDescent="0.25">
      <c r="A25" t="s">
        <v>28</v>
      </c>
      <c r="B25" s="5" t="s">
        <v>78</v>
      </c>
      <c r="C25" s="5" t="s">
        <v>78</v>
      </c>
      <c r="D25" t="b">
        <f t="shared" si="0"/>
        <v>0</v>
      </c>
    </row>
    <row r="26" spans="1:7" x14ac:dyDescent="0.25">
      <c r="A26" t="s">
        <v>28</v>
      </c>
      <c r="B26" s="5" t="s">
        <v>145</v>
      </c>
      <c r="C26" s="5" t="s">
        <v>145</v>
      </c>
      <c r="D26" t="b">
        <f t="shared" si="0"/>
        <v>0</v>
      </c>
    </row>
    <row r="27" spans="1:7" x14ac:dyDescent="0.25">
      <c r="A27" t="s">
        <v>28</v>
      </c>
      <c r="B27" s="5" t="s">
        <v>145</v>
      </c>
      <c r="C27" s="5" t="s">
        <v>145</v>
      </c>
      <c r="D27" t="b">
        <f t="shared" si="0"/>
        <v>0</v>
      </c>
    </row>
    <row r="28" spans="1:7" x14ac:dyDescent="0.25">
      <c r="A28" t="s">
        <v>28</v>
      </c>
      <c r="B28" s="5" t="s">
        <v>145</v>
      </c>
      <c r="C28" s="5" t="s">
        <v>145</v>
      </c>
      <c r="D28" t="b">
        <f t="shared" si="0"/>
        <v>0</v>
      </c>
    </row>
    <row r="29" spans="1:7" x14ac:dyDescent="0.25">
      <c r="A29" t="s">
        <v>28</v>
      </c>
      <c r="B29" s="5" t="s">
        <v>145</v>
      </c>
      <c r="C29" s="5" t="s">
        <v>145</v>
      </c>
      <c r="D29" t="b">
        <f t="shared" si="0"/>
        <v>0</v>
      </c>
    </row>
    <row r="30" spans="1:7" x14ac:dyDescent="0.25">
      <c r="A30" t="s">
        <v>28</v>
      </c>
      <c r="B30" s="5" t="s">
        <v>145</v>
      </c>
      <c r="C30" s="5" t="s">
        <v>145</v>
      </c>
      <c r="D30" t="b">
        <f t="shared" si="0"/>
        <v>0</v>
      </c>
    </row>
    <row r="31" spans="1:7" x14ac:dyDescent="0.25">
      <c r="A31" t="s">
        <v>28</v>
      </c>
      <c r="B31" s="5" t="s">
        <v>79</v>
      </c>
      <c r="C31" s="5" t="s">
        <v>79</v>
      </c>
      <c r="D31" t="b">
        <f t="shared" si="0"/>
        <v>0</v>
      </c>
    </row>
    <row r="32" spans="1:7" x14ac:dyDescent="0.25">
      <c r="A32" t="s">
        <v>28</v>
      </c>
      <c r="B32" s="5" t="s">
        <v>79</v>
      </c>
      <c r="C32" s="5" t="s">
        <v>79</v>
      </c>
      <c r="D32" t="b">
        <f t="shared" si="0"/>
        <v>0</v>
      </c>
    </row>
    <row r="33" spans="1:4" x14ac:dyDescent="0.25">
      <c r="A33" t="s">
        <v>28</v>
      </c>
      <c r="B33" s="5" t="s">
        <v>79</v>
      </c>
      <c r="C33" s="5" t="s">
        <v>79</v>
      </c>
      <c r="D33" t="b">
        <f t="shared" si="0"/>
        <v>0</v>
      </c>
    </row>
    <row r="34" spans="1:4" x14ac:dyDescent="0.25">
      <c r="A34" t="s">
        <v>28</v>
      </c>
      <c r="B34" s="5" t="s">
        <v>79</v>
      </c>
      <c r="C34" s="5" t="s">
        <v>79</v>
      </c>
      <c r="D34" t="b">
        <f t="shared" si="0"/>
        <v>0</v>
      </c>
    </row>
    <row r="35" spans="1:4" x14ac:dyDescent="0.25">
      <c r="A35" t="s">
        <v>28</v>
      </c>
      <c r="B35" s="5" t="s">
        <v>79</v>
      </c>
      <c r="C35" s="5" t="s">
        <v>79</v>
      </c>
      <c r="D35" t="b">
        <f t="shared" si="0"/>
        <v>0</v>
      </c>
    </row>
    <row r="36" spans="1:4" x14ac:dyDescent="0.25">
      <c r="A36" t="s">
        <v>28</v>
      </c>
      <c r="B36" s="5" t="s">
        <v>79</v>
      </c>
      <c r="C36" s="5" t="s">
        <v>79</v>
      </c>
      <c r="D36" t="b">
        <f t="shared" si="0"/>
        <v>0</v>
      </c>
    </row>
    <row r="37" spans="1:4" x14ac:dyDescent="0.25">
      <c r="A37" t="s">
        <v>28</v>
      </c>
      <c r="B37" s="5" t="s">
        <v>79</v>
      </c>
      <c r="C37" s="5" t="s">
        <v>79</v>
      </c>
      <c r="D37" t="b">
        <f t="shared" si="0"/>
        <v>0</v>
      </c>
    </row>
    <row r="38" spans="1:4" x14ac:dyDescent="0.25">
      <c r="A38" t="s">
        <v>28</v>
      </c>
      <c r="B38" s="5" t="s">
        <v>79</v>
      </c>
      <c r="C38" s="5" t="s">
        <v>79</v>
      </c>
      <c r="D38" t="b">
        <f t="shared" si="0"/>
        <v>0</v>
      </c>
    </row>
    <row r="39" spans="1:4" x14ac:dyDescent="0.25">
      <c r="A39" t="s">
        <v>34</v>
      </c>
      <c r="B39" s="5" t="s">
        <v>279</v>
      </c>
      <c r="C39" s="5" t="s">
        <v>279</v>
      </c>
      <c r="D39" t="b">
        <f t="shared" si="0"/>
        <v>0</v>
      </c>
    </row>
    <row r="40" spans="1:4" x14ac:dyDescent="0.25">
      <c r="A40" t="s">
        <v>34</v>
      </c>
      <c r="B40" s="5" t="s">
        <v>81</v>
      </c>
      <c r="C40" s="5" t="s">
        <v>81</v>
      </c>
      <c r="D40" t="b">
        <f t="shared" si="0"/>
        <v>0</v>
      </c>
    </row>
    <row r="41" spans="1:4" x14ac:dyDescent="0.25">
      <c r="A41" t="s">
        <v>34</v>
      </c>
      <c r="B41" s="5" t="s">
        <v>1210</v>
      </c>
      <c r="C41" s="5" t="s">
        <v>1210</v>
      </c>
      <c r="D41" t="b">
        <f t="shared" si="0"/>
        <v>0</v>
      </c>
    </row>
    <row r="42" spans="1:4" x14ac:dyDescent="0.25">
      <c r="A42" t="s">
        <v>34</v>
      </c>
      <c r="B42" s="5" t="s">
        <v>151</v>
      </c>
      <c r="C42" s="5" t="s">
        <v>151</v>
      </c>
      <c r="D42" t="b">
        <f t="shared" si="0"/>
        <v>0</v>
      </c>
    </row>
    <row r="43" spans="1:4" x14ac:dyDescent="0.25">
      <c r="A43" t="s">
        <v>34</v>
      </c>
      <c r="B43" s="5" t="s">
        <v>153</v>
      </c>
      <c r="C43" s="5" t="s">
        <v>153</v>
      </c>
      <c r="D43" t="b">
        <f t="shared" si="0"/>
        <v>0</v>
      </c>
    </row>
    <row r="44" spans="1:4" x14ac:dyDescent="0.25">
      <c r="A44" t="s">
        <v>34</v>
      </c>
      <c r="B44" s="5" t="s">
        <v>488</v>
      </c>
      <c r="C44" s="5" t="s">
        <v>488</v>
      </c>
      <c r="D44" t="b">
        <f t="shared" si="0"/>
        <v>0</v>
      </c>
    </row>
    <row r="45" spans="1:4" x14ac:dyDescent="0.25">
      <c r="A45" t="s">
        <v>34</v>
      </c>
      <c r="B45" s="5" t="s">
        <v>486</v>
      </c>
      <c r="C45" s="5" t="s">
        <v>486</v>
      </c>
      <c r="D45" t="b">
        <f t="shared" si="0"/>
        <v>0</v>
      </c>
    </row>
    <row r="46" spans="1:4" x14ac:dyDescent="0.25">
      <c r="A46" t="s">
        <v>34</v>
      </c>
      <c r="B46" s="5" t="s">
        <v>489</v>
      </c>
      <c r="C46" s="5" t="s">
        <v>489</v>
      </c>
      <c r="D46" t="b">
        <f t="shared" si="0"/>
        <v>0</v>
      </c>
    </row>
    <row r="47" spans="1:4" x14ac:dyDescent="0.25">
      <c r="A47" t="s">
        <v>34</v>
      </c>
      <c r="B47" s="5" t="s">
        <v>1211</v>
      </c>
      <c r="C47" s="5" t="s">
        <v>1754</v>
      </c>
      <c r="D47" t="b">
        <f t="shared" si="0"/>
        <v>1</v>
      </c>
    </row>
    <row r="48" spans="1:4" x14ac:dyDescent="0.25">
      <c r="A48" t="s">
        <v>34</v>
      </c>
      <c r="B48" s="5" t="s">
        <v>1212</v>
      </c>
      <c r="C48" s="5" t="s">
        <v>1212</v>
      </c>
      <c r="D48" t="b">
        <f t="shared" si="0"/>
        <v>0</v>
      </c>
    </row>
    <row r="49" spans="1:4" x14ac:dyDescent="0.25">
      <c r="A49" t="s">
        <v>59</v>
      </c>
      <c r="B49" s="5" t="s">
        <v>1213</v>
      </c>
      <c r="C49" s="5" t="s">
        <v>1213</v>
      </c>
      <c r="D49" t="b">
        <f t="shared" si="0"/>
        <v>0</v>
      </c>
    </row>
    <row r="50" spans="1:4" x14ac:dyDescent="0.25">
      <c r="A50" t="s">
        <v>59</v>
      </c>
      <c r="B50" s="5" t="s">
        <v>116</v>
      </c>
      <c r="C50" s="5" t="s">
        <v>116</v>
      </c>
      <c r="D50" t="b">
        <f t="shared" si="0"/>
        <v>0</v>
      </c>
    </row>
    <row r="51" spans="1:4" x14ac:dyDescent="0.25">
      <c r="A51" t="s">
        <v>59</v>
      </c>
      <c r="B51" s="5" t="s">
        <v>1214</v>
      </c>
      <c r="C51" s="5" t="s">
        <v>1214</v>
      </c>
      <c r="D51" t="b">
        <f t="shared" si="0"/>
        <v>0</v>
      </c>
    </row>
    <row r="52" spans="1:4" x14ac:dyDescent="0.25">
      <c r="A52" t="s">
        <v>59</v>
      </c>
      <c r="B52" s="5" t="s">
        <v>117</v>
      </c>
      <c r="C52" s="5" t="s">
        <v>117</v>
      </c>
      <c r="D52" t="b">
        <f t="shared" si="0"/>
        <v>0</v>
      </c>
    </row>
    <row r="53" spans="1:4" x14ac:dyDescent="0.25">
      <c r="A53" t="s">
        <v>36</v>
      </c>
      <c r="B53" s="5" t="s">
        <v>1215</v>
      </c>
      <c r="C53" s="5" t="s">
        <v>1215</v>
      </c>
      <c r="D53" t="b">
        <f t="shared" si="0"/>
        <v>0</v>
      </c>
    </row>
    <row r="54" spans="1:4" x14ac:dyDescent="0.25">
      <c r="A54" t="s">
        <v>36</v>
      </c>
      <c r="B54" s="5" t="s">
        <v>1216</v>
      </c>
      <c r="C54" s="5" t="s">
        <v>1216</v>
      </c>
      <c r="D54" t="b">
        <f t="shared" si="0"/>
        <v>0</v>
      </c>
    </row>
    <row r="55" spans="1:4" x14ac:dyDescent="0.25">
      <c r="A55" t="s">
        <v>36</v>
      </c>
      <c r="B55" s="5" t="s">
        <v>1217</v>
      </c>
      <c r="C55" s="5" t="s">
        <v>1217</v>
      </c>
      <c r="D55" t="b">
        <f t="shared" si="0"/>
        <v>0</v>
      </c>
    </row>
    <row r="56" spans="1:4" x14ac:dyDescent="0.25">
      <c r="A56" t="s">
        <v>36</v>
      </c>
      <c r="B56" s="5" t="s">
        <v>168</v>
      </c>
      <c r="C56" s="5" t="s">
        <v>168</v>
      </c>
      <c r="D56" t="b">
        <f t="shared" si="0"/>
        <v>0</v>
      </c>
    </row>
    <row r="57" spans="1:4" x14ac:dyDescent="0.25">
      <c r="A57" t="s">
        <v>36</v>
      </c>
      <c r="B57" s="5" t="s">
        <v>1218</v>
      </c>
      <c r="C57" s="5" t="s">
        <v>1218</v>
      </c>
      <c r="D57" t="b">
        <f t="shared" si="0"/>
        <v>0</v>
      </c>
    </row>
    <row r="58" spans="1:4" x14ac:dyDescent="0.25">
      <c r="A58" t="s">
        <v>36</v>
      </c>
      <c r="B58" s="5" t="s">
        <v>423</v>
      </c>
      <c r="C58" s="5" t="s">
        <v>423</v>
      </c>
      <c r="D58" t="b">
        <f t="shared" si="0"/>
        <v>0</v>
      </c>
    </row>
    <row r="59" spans="1:4" x14ac:dyDescent="0.25">
      <c r="A59" t="s">
        <v>36</v>
      </c>
      <c r="B59" s="5" t="s">
        <v>512</v>
      </c>
      <c r="C59" s="5" t="s">
        <v>1898</v>
      </c>
      <c r="D59" t="b">
        <f t="shared" si="0"/>
        <v>1</v>
      </c>
    </row>
    <row r="60" spans="1:4" x14ac:dyDescent="0.25">
      <c r="A60" t="s">
        <v>36</v>
      </c>
      <c r="B60" s="5" t="s">
        <v>1219</v>
      </c>
      <c r="C60" s="5" t="s">
        <v>1219</v>
      </c>
      <c r="D60" t="b">
        <f t="shared" si="0"/>
        <v>0</v>
      </c>
    </row>
    <row r="61" spans="1:4" x14ac:dyDescent="0.25">
      <c r="A61" t="s">
        <v>36</v>
      </c>
      <c r="B61" s="5" t="s">
        <v>1220</v>
      </c>
      <c r="C61" s="5" t="s">
        <v>1220</v>
      </c>
      <c r="D61" t="b">
        <f t="shared" si="0"/>
        <v>0</v>
      </c>
    </row>
    <row r="62" spans="1:4" x14ac:dyDescent="0.25">
      <c r="A62" t="s">
        <v>36</v>
      </c>
      <c r="B62" s="5" t="s">
        <v>1221</v>
      </c>
      <c r="C62" s="5" t="s">
        <v>1221</v>
      </c>
      <c r="D62" t="b">
        <f t="shared" si="0"/>
        <v>0</v>
      </c>
    </row>
    <row r="63" spans="1:4" x14ac:dyDescent="0.25">
      <c r="A63" t="s">
        <v>36</v>
      </c>
      <c r="B63" s="5" t="s">
        <v>1222</v>
      </c>
      <c r="C63" s="5" t="s">
        <v>1222</v>
      </c>
      <c r="D63" t="b">
        <f t="shared" si="0"/>
        <v>0</v>
      </c>
    </row>
    <row r="64" spans="1:4" x14ac:dyDescent="0.25">
      <c r="A64" t="s">
        <v>266</v>
      </c>
      <c r="B64" s="5" t="s">
        <v>1223</v>
      </c>
      <c r="C64" s="5" t="s">
        <v>1223</v>
      </c>
      <c r="D64" t="b">
        <f t="shared" si="0"/>
        <v>0</v>
      </c>
    </row>
    <row r="65" spans="1:4" x14ac:dyDescent="0.25">
      <c r="A65" t="s">
        <v>266</v>
      </c>
      <c r="B65" s="5" t="s">
        <v>1224</v>
      </c>
      <c r="C65" s="5" t="s">
        <v>1224</v>
      </c>
      <c r="D65" t="b">
        <f t="shared" si="0"/>
        <v>0</v>
      </c>
    </row>
    <row r="66" spans="1:4" x14ac:dyDescent="0.25">
      <c r="A66" t="s">
        <v>266</v>
      </c>
      <c r="B66" s="5" t="s">
        <v>1225</v>
      </c>
      <c r="C66" s="5" t="s">
        <v>1225</v>
      </c>
      <c r="D66" t="b">
        <f t="shared" si="0"/>
        <v>0</v>
      </c>
    </row>
    <row r="67" spans="1:4" x14ac:dyDescent="0.25">
      <c r="A67" t="s">
        <v>266</v>
      </c>
      <c r="B67" s="5" t="s">
        <v>1226</v>
      </c>
      <c r="C67" s="5" t="s">
        <v>1226</v>
      </c>
      <c r="D67" t="b">
        <f t="shared" si="0"/>
        <v>0</v>
      </c>
    </row>
    <row r="68" spans="1:4" x14ac:dyDescent="0.25">
      <c r="A68" t="s">
        <v>266</v>
      </c>
      <c r="B68" s="5" t="s">
        <v>1227</v>
      </c>
      <c r="C68" s="5" t="s">
        <v>1227</v>
      </c>
      <c r="D68" t="b">
        <f t="shared" si="0"/>
        <v>0</v>
      </c>
    </row>
    <row r="69" spans="1:4" x14ac:dyDescent="0.25">
      <c r="A69" t="s">
        <v>266</v>
      </c>
      <c r="B69" s="5" t="s">
        <v>1228</v>
      </c>
      <c r="C69" s="5" t="s">
        <v>1229</v>
      </c>
      <c r="D69" t="b">
        <f t="shared" ref="D69:D102" si="2">B69&lt;&gt;C69</f>
        <v>1</v>
      </c>
    </row>
    <row r="70" spans="1:4" x14ac:dyDescent="0.25">
      <c r="A70" t="s">
        <v>266</v>
      </c>
      <c r="B70" s="5" t="s">
        <v>1230</v>
      </c>
      <c r="C70" s="5" t="s">
        <v>1230</v>
      </c>
      <c r="D70" t="b">
        <f t="shared" si="2"/>
        <v>0</v>
      </c>
    </row>
    <row r="71" spans="1:4" x14ac:dyDescent="0.25">
      <c r="A71" t="s">
        <v>266</v>
      </c>
      <c r="B71" s="5" t="s">
        <v>1231</v>
      </c>
      <c r="C71" s="5" t="s">
        <v>1231</v>
      </c>
      <c r="D71" t="b">
        <f t="shared" si="2"/>
        <v>0</v>
      </c>
    </row>
    <row r="72" spans="1:4" x14ac:dyDescent="0.25">
      <c r="A72" t="s">
        <v>266</v>
      </c>
      <c r="B72" s="5" t="s">
        <v>1232</v>
      </c>
      <c r="C72" s="5" t="s">
        <v>1232</v>
      </c>
      <c r="D72" t="b">
        <f t="shared" si="2"/>
        <v>0</v>
      </c>
    </row>
    <row r="73" spans="1:4" x14ac:dyDescent="0.25">
      <c r="A73" t="s">
        <v>266</v>
      </c>
      <c r="B73" s="5" t="s">
        <v>1233</v>
      </c>
      <c r="C73" s="5" t="s">
        <v>1233</v>
      </c>
      <c r="D73" t="b">
        <f t="shared" si="2"/>
        <v>0</v>
      </c>
    </row>
    <row r="74" spans="1:4" x14ac:dyDescent="0.25">
      <c r="A74" t="s">
        <v>43</v>
      </c>
      <c r="B74" s="5" t="s">
        <v>1234</v>
      </c>
      <c r="C74" s="5" t="s">
        <v>784</v>
      </c>
      <c r="D74" t="b">
        <f t="shared" si="2"/>
        <v>1</v>
      </c>
    </row>
    <row r="75" spans="1:4" x14ac:dyDescent="0.25">
      <c r="A75" t="s">
        <v>43</v>
      </c>
      <c r="B75" s="5" t="s">
        <v>1586</v>
      </c>
      <c r="C75" s="5" t="s">
        <v>1586</v>
      </c>
      <c r="D75" t="b">
        <f t="shared" si="2"/>
        <v>0</v>
      </c>
    </row>
    <row r="76" spans="1:4" x14ac:dyDescent="0.25">
      <c r="A76" t="s">
        <v>43</v>
      </c>
      <c r="B76" s="5" t="s">
        <v>1235</v>
      </c>
      <c r="C76" s="5" t="s">
        <v>1235</v>
      </c>
      <c r="D76" t="b">
        <f t="shared" si="2"/>
        <v>0</v>
      </c>
    </row>
    <row r="77" spans="1:4" x14ac:dyDescent="0.25">
      <c r="A77" t="s">
        <v>43</v>
      </c>
      <c r="B77" s="5" t="s">
        <v>1236</v>
      </c>
      <c r="C77" s="5" t="s">
        <v>1236</v>
      </c>
      <c r="D77" t="b">
        <f t="shared" si="2"/>
        <v>0</v>
      </c>
    </row>
    <row r="78" spans="1:4" x14ac:dyDescent="0.25">
      <c r="A78" t="s">
        <v>43</v>
      </c>
      <c r="B78" s="5" t="s">
        <v>1237</v>
      </c>
      <c r="C78" s="5" t="s">
        <v>1756</v>
      </c>
      <c r="D78" t="b">
        <f t="shared" si="2"/>
        <v>1</v>
      </c>
    </row>
    <row r="79" spans="1:4" x14ac:dyDescent="0.25">
      <c r="A79" t="s">
        <v>43</v>
      </c>
      <c r="B79" s="5" t="s">
        <v>1238</v>
      </c>
      <c r="C79" s="5" t="s">
        <v>1238</v>
      </c>
      <c r="D79" t="b">
        <f t="shared" si="2"/>
        <v>0</v>
      </c>
    </row>
    <row r="80" spans="1:4" x14ac:dyDescent="0.25">
      <c r="A80" t="s">
        <v>43</v>
      </c>
      <c r="B80" s="5" t="s">
        <v>1239</v>
      </c>
      <c r="C80" s="5" t="s">
        <v>1239</v>
      </c>
      <c r="D80" t="b">
        <f t="shared" si="2"/>
        <v>0</v>
      </c>
    </row>
    <row r="81" spans="1:4" x14ac:dyDescent="0.25">
      <c r="A81" t="s">
        <v>43</v>
      </c>
      <c r="B81" s="5" t="s">
        <v>1240</v>
      </c>
      <c r="C81" s="5" t="s">
        <v>1240</v>
      </c>
      <c r="D81" t="b">
        <f t="shared" si="2"/>
        <v>0</v>
      </c>
    </row>
    <row r="82" spans="1:4" x14ac:dyDescent="0.25">
      <c r="A82" t="s">
        <v>35</v>
      </c>
      <c r="B82" s="5" t="s">
        <v>1241</v>
      </c>
      <c r="C82" s="5" t="s">
        <v>1241</v>
      </c>
      <c r="D82" t="b">
        <f t="shared" si="2"/>
        <v>0</v>
      </c>
    </row>
    <row r="83" spans="1:4" x14ac:dyDescent="0.25">
      <c r="A83" t="s">
        <v>35</v>
      </c>
      <c r="B83" s="5" t="s">
        <v>1242</v>
      </c>
      <c r="C83" s="5" t="s">
        <v>1661</v>
      </c>
      <c r="D83" t="b">
        <f t="shared" si="2"/>
        <v>1</v>
      </c>
    </row>
    <row r="84" spans="1:4" x14ac:dyDescent="0.25">
      <c r="A84" t="s">
        <v>35</v>
      </c>
      <c r="B84" s="5" t="s">
        <v>1243</v>
      </c>
      <c r="C84" s="5" t="s">
        <v>1243</v>
      </c>
      <c r="D84" t="b">
        <f t="shared" si="2"/>
        <v>0</v>
      </c>
    </row>
    <row r="85" spans="1:4" x14ac:dyDescent="0.25">
      <c r="A85" t="s">
        <v>35</v>
      </c>
      <c r="B85" s="5" t="s">
        <v>1244</v>
      </c>
      <c r="C85" s="5" t="s">
        <v>1244</v>
      </c>
      <c r="D85" t="b">
        <f t="shared" si="2"/>
        <v>0</v>
      </c>
    </row>
    <row r="86" spans="1:4" x14ac:dyDescent="0.25">
      <c r="A86" t="s">
        <v>35</v>
      </c>
      <c r="B86" s="5" t="s">
        <v>89</v>
      </c>
      <c r="C86" s="5" t="s">
        <v>89</v>
      </c>
      <c r="D86" t="b">
        <f t="shared" si="2"/>
        <v>0</v>
      </c>
    </row>
    <row r="87" spans="1:4" x14ac:dyDescent="0.25">
      <c r="A87" t="s">
        <v>35</v>
      </c>
      <c r="B87" s="5" t="s">
        <v>1245</v>
      </c>
      <c r="C87" s="5" t="s">
        <v>1245</v>
      </c>
      <c r="D87" t="b">
        <f t="shared" si="2"/>
        <v>0</v>
      </c>
    </row>
    <row r="88" spans="1:4" x14ac:dyDescent="0.25">
      <c r="A88" t="s">
        <v>35</v>
      </c>
      <c r="B88" s="5" t="s">
        <v>1246</v>
      </c>
      <c r="C88" s="5" t="s">
        <v>1758</v>
      </c>
      <c r="D88" t="b">
        <f t="shared" si="2"/>
        <v>1</v>
      </c>
    </row>
    <row r="89" spans="1:4" x14ac:dyDescent="0.25">
      <c r="A89" t="s">
        <v>35</v>
      </c>
      <c r="B89" s="5" t="s">
        <v>1247</v>
      </c>
      <c r="C89" s="5" t="s">
        <v>1247</v>
      </c>
      <c r="D89" t="b">
        <f t="shared" si="2"/>
        <v>0</v>
      </c>
    </row>
    <row r="90" spans="1:4" x14ac:dyDescent="0.25">
      <c r="A90" t="s">
        <v>5</v>
      </c>
      <c r="B90" s="5" t="s">
        <v>1248</v>
      </c>
      <c r="C90" s="5" t="s">
        <v>1248</v>
      </c>
      <c r="D90" t="b">
        <f t="shared" si="2"/>
        <v>0</v>
      </c>
    </row>
    <row r="91" spans="1:4" x14ac:dyDescent="0.25">
      <c r="A91" t="s">
        <v>5</v>
      </c>
      <c r="B91" s="5" t="s">
        <v>1249</v>
      </c>
      <c r="C91" s="5" t="s">
        <v>1757</v>
      </c>
      <c r="D91" t="b">
        <f t="shared" si="2"/>
        <v>1</v>
      </c>
    </row>
    <row r="92" spans="1:4" x14ac:dyDescent="0.25">
      <c r="A92" t="s">
        <v>5</v>
      </c>
      <c r="B92" s="5" t="s">
        <v>1250</v>
      </c>
      <c r="C92" s="5" t="s">
        <v>1755</v>
      </c>
      <c r="D92" t="b">
        <f t="shared" si="2"/>
        <v>1</v>
      </c>
    </row>
    <row r="93" spans="1:4" x14ac:dyDescent="0.25">
      <c r="A93" t="s">
        <v>5</v>
      </c>
      <c r="B93" s="5" t="s">
        <v>1251</v>
      </c>
      <c r="C93" s="5" t="s">
        <v>1251</v>
      </c>
      <c r="D93" t="b">
        <f t="shared" si="2"/>
        <v>0</v>
      </c>
    </row>
    <row r="94" spans="1:4" x14ac:dyDescent="0.25">
      <c r="A94" t="s">
        <v>5</v>
      </c>
      <c r="B94" s="5" t="s">
        <v>1252</v>
      </c>
      <c r="C94" s="5" t="s">
        <v>1252</v>
      </c>
      <c r="D94" t="b">
        <f t="shared" si="2"/>
        <v>0</v>
      </c>
    </row>
    <row r="95" spans="1:4" x14ac:dyDescent="0.25">
      <c r="A95" t="s">
        <v>1208</v>
      </c>
      <c r="B95" s="5" t="s">
        <v>1253</v>
      </c>
      <c r="C95" s="5" t="s">
        <v>1253</v>
      </c>
      <c r="D95" t="b">
        <f t="shared" si="2"/>
        <v>0</v>
      </c>
    </row>
    <row r="96" spans="1:4" x14ac:dyDescent="0.25">
      <c r="A96" t="s">
        <v>1208</v>
      </c>
      <c r="B96" s="5" t="s">
        <v>1254</v>
      </c>
      <c r="C96" s="5" t="s">
        <v>1254</v>
      </c>
      <c r="D96" t="b">
        <f t="shared" si="2"/>
        <v>0</v>
      </c>
    </row>
    <row r="97" spans="1:4" x14ac:dyDescent="0.25">
      <c r="A97" t="s">
        <v>1208</v>
      </c>
      <c r="B97" s="5" t="s">
        <v>1255</v>
      </c>
      <c r="C97" s="5" t="s">
        <v>1255</v>
      </c>
      <c r="D97" t="b">
        <f t="shared" si="2"/>
        <v>0</v>
      </c>
    </row>
    <row r="98" spans="1:4" x14ac:dyDescent="0.25">
      <c r="A98" t="s">
        <v>1208</v>
      </c>
      <c r="B98" s="5" t="s">
        <v>1256</v>
      </c>
      <c r="C98" s="5" t="s">
        <v>1256</v>
      </c>
      <c r="D98" t="b">
        <f t="shared" si="2"/>
        <v>0</v>
      </c>
    </row>
    <row r="99" spans="1:4" x14ac:dyDescent="0.25">
      <c r="A99" t="s">
        <v>1208</v>
      </c>
      <c r="B99" s="5" t="s">
        <v>1257</v>
      </c>
      <c r="C99" s="5" t="s">
        <v>1257</v>
      </c>
      <c r="D99" t="b">
        <f t="shared" si="2"/>
        <v>0</v>
      </c>
    </row>
    <row r="100" spans="1:4" x14ac:dyDescent="0.25">
      <c r="A100" t="s">
        <v>1208</v>
      </c>
      <c r="B100" s="5" t="s">
        <v>1258</v>
      </c>
      <c r="C100" s="5" t="s">
        <v>1258</v>
      </c>
      <c r="D100" t="b">
        <f t="shared" si="2"/>
        <v>0</v>
      </c>
    </row>
    <row r="101" spans="1:4" x14ac:dyDescent="0.25">
      <c r="A101" t="s">
        <v>1208</v>
      </c>
      <c r="B101" s="5" t="s">
        <v>1259</v>
      </c>
      <c r="C101" s="5" t="s">
        <v>1259</v>
      </c>
      <c r="D101" t="b">
        <f t="shared" si="2"/>
        <v>0</v>
      </c>
    </row>
    <row r="102" spans="1:4" x14ac:dyDescent="0.25">
      <c r="A102" t="s">
        <v>1208</v>
      </c>
      <c r="B102" s="5" t="s">
        <v>1260</v>
      </c>
      <c r="C102" s="5" t="s">
        <v>1260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268BC2DC-10C1-40EE-B01F-79B514DD5C5F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67F77EF5-ED46-4039-9191-1AA2B46FE7CF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9D3E-46DC-42EA-90ED-427B7DF1FEBD}">
  <sheetPr codeName="Planilha26"/>
  <dimension ref="A1:G102"/>
  <sheetViews>
    <sheetView workbookViewId="0">
      <selection activeCell="B4" sqref="B4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1336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12</v>
      </c>
    </row>
    <row r="3" spans="1:7" x14ac:dyDescent="0.25">
      <c r="A3" s="21" t="s">
        <v>2002</v>
      </c>
      <c r="B3" s="5" t="s">
        <v>2043</v>
      </c>
      <c r="C3" s="5" t="s">
        <v>2043</v>
      </c>
      <c r="D3" t="b">
        <f>B3&lt;&gt;C3</f>
        <v>0</v>
      </c>
      <c r="F3" s="4" t="s">
        <v>30</v>
      </c>
      <c r="G3" s="3">
        <f>SUM(G6:G24)</f>
        <v>100</v>
      </c>
    </row>
    <row r="4" spans="1:7" x14ac:dyDescent="0.25">
      <c r="A4" t="s">
        <v>28</v>
      </c>
      <c r="B4" s="5" t="s">
        <v>1337</v>
      </c>
      <c r="C4" s="5" t="s">
        <v>1337</v>
      </c>
      <c r="D4" t="b">
        <f>B4&lt;&gt;C4</f>
        <v>0</v>
      </c>
    </row>
    <row r="5" spans="1:7" x14ac:dyDescent="0.25">
      <c r="A5" t="s">
        <v>28</v>
      </c>
      <c r="B5" s="5" t="s">
        <v>132</v>
      </c>
      <c r="C5" s="5" t="s">
        <v>132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534</v>
      </c>
      <c r="C6" s="5" t="s">
        <v>534</v>
      </c>
      <c r="D6" t="b">
        <f t="shared" si="0"/>
        <v>0</v>
      </c>
      <c r="F6" s="3" t="s">
        <v>2002</v>
      </c>
      <c r="G6" s="2">
        <f t="shared" ref="G6:G15" si="1">COUNTIF(A:A,F6)</f>
        <v>1</v>
      </c>
    </row>
    <row r="7" spans="1:7" x14ac:dyDescent="0.25">
      <c r="A7" t="s">
        <v>28</v>
      </c>
      <c r="B7" s="5" t="s">
        <v>1338</v>
      </c>
      <c r="C7" s="5" t="s">
        <v>1338</v>
      </c>
      <c r="D7" t="b">
        <f t="shared" si="0"/>
        <v>0</v>
      </c>
      <c r="F7" s="7" t="s">
        <v>28</v>
      </c>
      <c r="G7" s="2">
        <f t="shared" si="1"/>
        <v>34</v>
      </c>
    </row>
    <row r="8" spans="1:7" x14ac:dyDescent="0.25">
      <c r="A8" t="s">
        <v>28</v>
      </c>
      <c r="B8" s="5" t="s">
        <v>191</v>
      </c>
      <c r="C8" s="5" t="s">
        <v>191</v>
      </c>
      <c r="D8" t="b">
        <f t="shared" si="0"/>
        <v>0</v>
      </c>
      <c r="F8" s="7" t="s">
        <v>1339</v>
      </c>
      <c r="G8" s="2">
        <f t="shared" si="1"/>
        <v>11</v>
      </c>
    </row>
    <row r="9" spans="1:7" x14ac:dyDescent="0.25">
      <c r="A9" t="s">
        <v>28</v>
      </c>
      <c r="B9" s="5" t="s">
        <v>60</v>
      </c>
      <c r="C9" s="5" t="s">
        <v>60</v>
      </c>
      <c r="D9" t="b">
        <f t="shared" si="0"/>
        <v>0</v>
      </c>
      <c r="F9" s="7" t="s">
        <v>331</v>
      </c>
      <c r="G9" s="2">
        <f t="shared" si="1"/>
        <v>7</v>
      </c>
    </row>
    <row r="10" spans="1:7" x14ac:dyDescent="0.25">
      <c r="A10" t="s">
        <v>28</v>
      </c>
      <c r="B10" s="5" t="s">
        <v>33</v>
      </c>
      <c r="C10" s="5" t="s">
        <v>33</v>
      </c>
      <c r="D10" t="b">
        <f t="shared" si="0"/>
        <v>0</v>
      </c>
      <c r="F10" s="7" t="s">
        <v>329</v>
      </c>
      <c r="G10" s="2">
        <f t="shared" si="1"/>
        <v>4</v>
      </c>
    </row>
    <row r="11" spans="1:7" x14ac:dyDescent="0.25">
      <c r="A11" t="s">
        <v>28</v>
      </c>
      <c r="B11" s="5" t="s">
        <v>51</v>
      </c>
      <c r="C11" s="5" t="s">
        <v>51</v>
      </c>
      <c r="D11" t="b">
        <f t="shared" si="0"/>
        <v>0</v>
      </c>
      <c r="F11" s="7" t="s">
        <v>36</v>
      </c>
      <c r="G11" s="2">
        <f t="shared" si="1"/>
        <v>5</v>
      </c>
    </row>
    <row r="12" spans="1:7" x14ac:dyDescent="0.25">
      <c r="A12" t="s">
        <v>28</v>
      </c>
      <c r="B12" s="5" t="s">
        <v>144</v>
      </c>
      <c r="C12" s="5" t="s">
        <v>144</v>
      </c>
      <c r="D12" t="b">
        <f t="shared" si="0"/>
        <v>0</v>
      </c>
      <c r="F12" s="7" t="s">
        <v>43</v>
      </c>
      <c r="G12" s="2">
        <f t="shared" si="1"/>
        <v>10</v>
      </c>
    </row>
    <row r="13" spans="1:7" x14ac:dyDescent="0.25">
      <c r="A13" t="s">
        <v>28</v>
      </c>
      <c r="B13" s="5" t="s">
        <v>197</v>
      </c>
      <c r="C13" s="5" t="s">
        <v>197</v>
      </c>
      <c r="D13" t="b">
        <f t="shared" si="0"/>
        <v>0</v>
      </c>
      <c r="F13" s="7" t="s">
        <v>1340</v>
      </c>
      <c r="G13" s="2">
        <f t="shared" si="1"/>
        <v>14</v>
      </c>
    </row>
    <row r="14" spans="1:7" x14ac:dyDescent="0.25">
      <c r="A14" t="s">
        <v>28</v>
      </c>
      <c r="B14" s="5" t="s">
        <v>197</v>
      </c>
      <c r="C14" s="5" t="s">
        <v>197</v>
      </c>
      <c r="D14" t="b">
        <f t="shared" si="0"/>
        <v>0</v>
      </c>
      <c r="F14" s="7" t="s">
        <v>1341</v>
      </c>
      <c r="G14" s="2">
        <f t="shared" si="1"/>
        <v>5</v>
      </c>
    </row>
    <row r="15" spans="1:7" x14ac:dyDescent="0.25">
      <c r="A15" t="s">
        <v>28</v>
      </c>
      <c r="B15" s="5" t="s">
        <v>197</v>
      </c>
      <c r="C15" s="5" t="s">
        <v>197</v>
      </c>
      <c r="D15" t="b">
        <f t="shared" si="0"/>
        <v>0</v>
      </c>
      <c r="F15" s="7" t="s">
        <v>143</v>
      </c>
      <c r="G15" s="2">
        <f t="shared" si="1"/>
        <v>9</v>
      </c>
    </row>
    <row r="16" spans="1:7" x14ac:dyDescent="0.25">
      <c r="A16" t="s">
        <v>28</v>
      </c>
      <c r="B16" s="5" t="s">
        <v>197</v>
      </c>
      <c r="C16" s="5" t="s">
        <v>197</v>
      </c>
      <c r="D16" t="b">
        <f t="shared" si="0"/>
        <v>0</v>
      </c>
      <c r="F16" s="1"/>
      <c r="G16" s="2"/>
    </row>
    <row r="17" spans="1:4" x14ac:dyDescent="0.25">
      <c r="A17" t="s">
        <v>28</v>
      </c>
      <c r="B17" s="5" t="s">
        <v>197</v>
      </c>
      <c r="C17" s="5" t="s">
        <v>197</v>
      </c>
      <c r="D17" t="b">
        <f t="shared" si="0"/>
        <v>0</v>
      </c>
    </row>
    <row r="18" spans="1:4" x14ac:dyDescent="0.25">
      <c r="A18" t="s">
        <v>28</v>
      </c>
      <c r="B18" s="5" t="s">
        <v>197</v>
      </c>
      <c r="C18" s="5" t="s">
        <v>197</v>
      </c>
      <c r="D18" t="b">
        <f t="shared" si="0"/>
        <v>0</v>
      </c>
    </row>
    <row r="19" spans="1:4" x14ac:dyDescent="0.25">
      <c r="A19" t="s">
        <v>28</v>
      </c>
      <c r="B19" s="5" t="s">
        <v>197</v>
      </c>
      <c r="C19" s="5" t="s">
        <v>197</v>
      </c>
      <c r="D19" t="b">
        <f t="shared" si="0"/>
        <v>0</v>
      </c>
    </row>
    <row r="20" spans="1:4" x14ac:dyDescent="0.25">
      <c r="A20" t="s">
        <v>28</v>
      </c>
      <c r="B20" s="5" t="s">
        <v>197</v>
      </c>
      <c r="C20" s="5" t="s">
        <v>197</v>
      </c>
      <c r="D20" t="b">
        <f t="shared" si="0"/>
        <v>0</v>
      </c>
    </row>
    <row r="21" spans="1:4" x14ac:dyDescent="0.25">
      <c r="A21" t="s">
        <v>28</v>
      </c>
      <c r="B21" s="5" t="s">
        <v>197</v>
      </c>
      <c r="C21" s="5" t="s">
        <v>197</v>
      </c>
      <c r="D21" t="b">
        <f t="shared" si="0"/>
        <v>0</v>
      </c>
    </row>
    <row r="22" spans="1:4" x14ac:dyDescent="0.25">
      <c r="A22" t="s">
        <v>28</v>
      </c>
      <c r="B22" s="5" t="s">
        <v>197</v>
      </c>
      <c r="C22" s="5" t="s">
        <v>197</v>
      </c>
      <c r="D22" t="b">
        <f t="shared" si="0"/>
        <v>0</v>
      </c>
    </row>
    <row r="23" spans="1:4" x14ac:dyDescent="0.25">
      <c r="A23" t="s">
        <v>28</v>
      </c>
      <c r="B23" s="5" t="s">
        <v>197</v>
      </c>
      <c r="C23" s="5" t="s">
        <v>197</v>
      </c>
      <c r="D23" t="b">
        <f t="shared" si="0"/>
        <v>0</v>
      </c>
    </row>
    <row r="24" spans="1:4" x14ac:dyDescent="0.25">
      <c r="A24" t="s">
        <v>28</v>
      </c>
      <c r="B24" s="5" t="s">
        <v>197</v>
      </c>
      <c r="C24" s="5" t="s">
        <v>197</v>
      </c>
      <c r="D24" t="b">
        <f t="shared" si="0"/>
        <v>0</v>
      </c>
    </row>
    <row r="25" spans="1:4" x14ac:dyDescent="0.25">
      <c r="A25" t="s">
        <v>28</v>
      </c>
      <c r="B25" s="5" t="s">
        <v>197</v>
      </c>
      <c r="C25" s="5" t="s">
        <v>197</v>
      </c>
      <c r="D25" t="b">
        <f t="shared" si="0"/>
        <v>0</v>
      </c>
    </row>
    <row r="26" spans="1:4" x14ac:dyDescent="0.25">
      <c r="A26" t="s">
        <v>28</v>
      </c>
      <c r="B26" s="5" t="s">
        <v>197</v>
      </c>
      <c r="C26" s="5" t="s">
        <v>197</v>
      </c>
      <c r="D26" t="b">
        <f t="shared" si="0"/>
        <v>0</v>
      </c>
    </row>
    <row r="27" spans="1:4" x14ac:dyDescent="0.25">
      <c r="A27" t="s">
        <v>28</v>
      </c>
      <c r="B27" s="5" t="s">
        <v>145</v>
      </c>
      <c r="C27" s="5" t="s">
        <v>145</v>
      </c>
      <c r="D27" t="b">
        <f t="shared" si="0"/>
        <v>0</v>
      </c>
    </row>
    <row r="28" spans="1:4" x14ac:dyDescent="0.25">
      <c r="A28" t="s">
        <v>28</v>
      </c>
      <c r="B28" s="5" t="s">
        <v>145</v>
      </c>
      <c r="C28" s="5" t="s">
        <v>145</v>
      </c>
      <c r="D28" t="b">
        <f t="shared" si="0"/>
        <v>0</v>
      </c>
    </row>
    <row r="29" spans="1:4" x14ac:dyDescent="0.25">
      <c r="A29" t="s">
        <v>28</v>
      </c>
      <c r="B29" s="5" t="s">
        <v>145</v>
      </c>
      <c r="C29" s="5" t="s">
        <v>145</v>
      </c>
      <c r="D29" t="b">
        <f t="shared" si="0"/>
        <v>0</v>
      </c>
    </row>
    <row r="30" spans="1:4" x14ac:dyDescent="0.25">
      <c r="A30" t="s">
        <v>28</v>
      </c>
      <c r="B30" s="5" t="s">
        <v>145</v>
      </c>
      <c r="C30" s="5" t="s">
        <v>145</v>
      </c>
      <c r="D30" t="b">
        <f t="shared" si="0"/>
        <v>0</v>
      </c>
    </row>
    <row r="31" spans="1:4" x14ac:dyDescent="0.25">
      <c r="A31" t="s">
        <v>28</v>
      </c>
      <c r="B31" s="5" t="s">
        <v>145</v>
      </c>
      <c r="C31" s="5" t="s">
        <v>145</v>
      </c>
      <c r="D31" t="b">
        <f t="shared" si="0"/>
        <v>0</v>
      </c>
    </row>
    <row r="32" spans="1:4" x14ac:dyDescent="0.25">
      <c r="A32" t="s">
        <v>28</v>
      </c>
      <c r="B32" s="5" t="s">
        <v>145</v>
      </c>
      <c r="C32" s="5" t="s">
        <v>145</v>
      </c>
      <c r="D32" t="b">
        <f t="shared" si="0"/>
        <v>0</v>
      </c>
    </row>
    <row r="33" spans="1:6" x14ac:dyDescent="0.25">
      <c r="A33" t="s">
        <v>28</v>
      </c>
      <c r="B33" s="5" t="s">
        <v>145</v>
      </c>
      <c r="C33" s="5" t="s">
        <v>145</v>
      </c>
      <c r="D33" t="b">
        <f t="shared" si="0"/>
        <v>0</v>
      </c>
    </row>
    <row r="34" spans="1:6" x14ac:dyDescent="0.25">
      <c r="A34" t="s">
        <v>28</v>
      </c>
      <c r="B34" s="5" t="s">
        <v>145</v>
      </c>
      <c r="C34" s="5" t="s">
        <v>145</v>
      </c>
      <c r="D34" t="b">
        <f t="shared" si="0"/>
        <v>0</v>
      </c>
    </row>
    <row r="35" spans="1:6" x14ac:dyDescent="0.25">
      <c r="A35" t="s">
        <v>28</v>
      </c>
      <c r="B35" s="5" t="s">
        <v>145</v>
      </c>
      <c r="C35" s="5" t="s">
        <v>145</v>
      </c>
      <c r="D35" t="b">
        <f t="shared" si="0"/>
        <v>0</v>
      </c>
    </row>
    <row r="36" spans="1:6" x14ac:dyDescent="0.25">
      <c r="A36" t="s">
        <v>28</v>
      </c>
      <c r="B36" s="5" t="s">
        <v>145</v>
      </c>
      <c r="C36" s="5" t="s">
        <v>145</v>
      </c>
      <c r="D36" t="b">
        <f t="shared" si="0"/>
        <v>0</v>
      </c>
    </row>
    <row r="37" spans="1:6" x14ac:dyDescent="0.25">
      <c r="A37" t="s">
        <v>28</v>
      </c>
      <c r="B37" s="5" t="s">
        <v>145</v>
      </c>
      <c r="C37" s="5" t="s">
        <v>145</v>
      </c>
      <c r="D37" t="b">
        <f t="shared" si="0"/>
        <v>0</v>
      </c>
    </row>
    <row r="38" spans="1:6" x14ac:dyDescent="0.25">
      <c r="A38" t="s">
        <v>1339</v>
      </c>
      <c r="B38" s="5" t="s">
        <v>1342</v>
      </c>
      <c r="C38" s="5" t="s">
        <v>1342</v>
      </c>
      <c r="D38" t="b">
        <f t="shared" si="0"/>
        <v>0</v>
      </c>
    </row>
    <row r="39" spans="1:6" x14ac:dyDescent="0.25">
      <c r="A39" t="s">
        <v>1339</v>
      </c>
      <c r="B39" s="5" t="s">
        <v>1343</v>
      </c>
      <c r="C39" s="5" t="s">
        <v>1343</v>
      </c>
      <c r="D39" t="b">
        <f t="shared" si="0"/>
        <v>0</v>
      </c>
    </row>
    <row r="40" spans="1:6" x14ac:dyDescent="0.25">
      <c r="A40" t="s">
        <v>1339</v>
      </c>
      <c r="B40" s="5" t="s">
        <v>367</v>
      </c>
      <c r="C40" s="5" t="s">
        <v>367</v>
      </c>
      <c r="D40" t="b">
        <f t="shared" si="0"/>
        <v>0</v>
      </c>
    </row>
    <row r="41" spans="1:6" x14ac:dyDescent="0.25">
      <c r="A41" t="s">
        <v>1339</v>
      </c>
      <c r="B41" s="5" t="s">
        <v>1344</v>
      </c>
      <c r="C41" s="5" t="s">
        <v>1709</v>
      </c>
      <c r="D41" t="b">
        <f t="shared" si="0"/>
        <v>1</v>
      </c>
    </row>
    <row r="42" spans="1:6" x14ac:dyDescent="0.25">
      <c r="A42" t="s">
        <v>1339</v>
      </c>
      <c r="B42" s="5" t="s">
        <v>1711</v>
      </c>
      <c r="C42" s="5" t="s">
        <v>1711</v>
      </c>
      <c r="D42" t="b">
        <f t="shared" si="0"/>
        <v>0</v>
      </c>
      <c r="F42"/>
    </row>
    <row r="43" spans="1:6" x14ac:dyDescent="0.25">
      <c r="A43" t="s">
        <v>1339</v>
      </c>
      <c r="B43" s="5" t="s">
        <v>1345</v>
      </c>
      <c r="C43" s="5" t="s">
        <v>1345</v>
      </c>
      <c r="D43" t="b">
        <f t="shared" si="0"/>
        <v>0</v>
      </c>
    </row>
    <row r="44" spans="1:6" x14ac:dyDescent="0.25">
      <c r="A44" t="s">
        <v>1339</v>
      </c>
      <c r="B44" s="5" t="s">
        <v>1346</v>
      </c>
      <c r="C44" s="5" t="s">
        <v>1346</v>
      </c>
      <c r="D44" t="b">
        <f t="shared" si="0"/>
        <v>0</v>
      </c>
    </row>
    <row r="45" spans="1:6" x14ac:dyDescent="0.25">
      <c r="A45" t="s">
        <v>1339</v>
      </c>
      <c r="B45" s="5" t="s">
        <v>1347</v>
      </c>
      <c r="C45" s="5" t="s">
        <v>1347</v>
      </c>
      <c r="D45" t="b">
        <f t="shared" si="0"/>
        <v>0</v>
      </c>
    </row>
    <row r="46" spans="1:6" x14ac:dyDescent="0.25">
      <c r="A46" t="s">
        <v>1339</v>
      </c>
      <c r="B46" s="5" t="s">
        <v>1360</v>
      </c>
      <c r="C46" s="5" t="s">
        <v>1360</v>
      </c>
      <c r="D46" t="b">
        <f t="shared" si="0"/>
        <v>0</v>
      </c>
    </row>
    <row r="47" spans="1:6" x14ac:dyDescent="0.25">
      <c r="A47" t="s">
        <v>1339</v>
      </c>
      <c r="B47" s="5" t="s">
        <v>1348</v>
      </c>
      <c r="C47" s="5" t="s">
        <v>1348</v>
      </c>
      <c r="D47" t="b">
        <f t="shared" si="0"/>
        <v>0</v>
      </c>
    </row>
    <row r="48" spans="1:6" x14ac:dyDescent="0.25">
      <c r="A48" t="s">
        <v>1339</v>
      </c>
      <c r="B48" s="5" t="s">
        <v>1349</v>
      </c>
      <c r="C48" s="5" t="s">
        <v>1349</v>
      </c>
      <c r="D48" t="b">
        <f t="shared" si="0"/>
        <v>0</v>
      </c>
    </row>
    <row r="49" spans="1:4" x14ac:dyDescent="0.25">
      <c r="A49" t="s">
        <v>331</v>
      </c>
      <c r="B49" s="5" t="s">
        <v>1361</v>
      </c>
      <c r="C49" s="5" t="s">
        <v>1878</v>
      </c>
      <c r="D49" t="b">
        <f t="shared" si="0"/>
        <v>1</v>
      </c>
    </row>
    <row r="50" spans="1:4" x14ac:dyDescent="0.25">
      <c r="A50" t="s">
        <v>331</v>
      </c>
      <c r="B50" s="5" t="s">
        <v>1350</v>
      </c>
      <c r="C50" s="5" t="s">
        <v>1350</v>
      </c>
      <c r="D50" t="b">
        <f t="shared" si="0"/>
        <v>0</v>
      </c>
    </row>
    <row r="51" spans="1:4" x14ac:dyDescent="0.25">
      <c r="A51" t="s">
        <v>331</v>
      </c>
      <c r="B51" s="5" t="s">
        <v>1351</v>
      </c>
      <c r="C51" s="5" t="s">
        <v>1351</v>
      </c>
      <c r="D51" t="b">
        <f t="shared" si="0"/>
        <v>0</v>
      </c>
    </row>
    <row r="52" spans="1:4" x14ac:dyDescent="0.25">
      <c r="A52" t="s">
        <v>331</v>
      </c>
      <c r="B52" s="5" t="s">
        <v>1352</v>
      </c>
      <c r="C52" s="5" t="s">
        <v>1712</v>
      </c>
      <c r="D52" t="b">
        <f t="shared" si="0"/>
        <v>1</v>
      </c>
    </row>
    <row r="53" spans="1:4" x14ac:dyDescent="0.25">
      <c r="A53" t="s">
        <v>331</v>
      </c>
      <c r="B53" s="5" t="s">
        <v>1354</v>
      </c>
      <c r="C53" s="5" t="s">
        <v>1354</v>
      </c>
      <c r="D53" t="b">
        <f t="shared" si="0"/>
        <v>0</v>
      </c>
    </row>
    <row r="54" spans="1:4" x14ac:dyDescent="0.25">
      <c r="A54" t="s">
        <v>331</v>
      </c>
      <c r="B54" s="5" t="s">
        <v>1355</v>
      </c>
      <c r="C54" s="5" t="s">
        <v>1355</v>
      </c>
      <c r="D54" t="b">
        <f t="shared" si="0"/>
        <v>0</v>
      </c>
    </row>
    <row r="55" spans="1:4" x14ac:dyDescent="0.25">
      <c r="A55" t="s">
        <v>331</v>
      </c>
      <c r="B55" s="5" t="s">
        <v>1392</v>
      </c>
      <c r="C55" s="5" t="s">
        <v>1357</v>
      </c>
      <c r="D55" t="b">
        <f t="shared" si="0"/>
        <v>1</v>
      </c>
    </row>
    <row r="56" spans="1:4" x14ac:dyDescent="0.25">
      <c r="A56" t="s">
        <v>329</v>
      </c>
      <c r="B56" s="5" t="s">
        <v>1353</v>
      </c>
      <c r="C56" s="5" t="s">
        <v>1353</v>
      </c>
      <c r="D56" t="b">
        <f t="shared" si="0"/>
        <v>0</v>
      </c>
    </row>
    <row r="57" spans="1:4" x14ac:dyDescent="0.25">
      <c r="A57" t="s">
        <v>329</v>
      </c>
      <c r="B57" s="5" t="s">
        <v>1358</v>
      </c>
      <c r="C57" s="5" t="s">
        <v>1358</v>
      </c>
      <c r="D57" t="b">
        <f t="shared" si="0"/>
        <v>0</v>
      </c>
    </row>
    <row r="58" spans="1:4" x14ac:dyDescent="0.25">
      <c r="A58" t="s">
        <v>329</v>
      </c>
      <c r="B58" s="5" t="s">
        <v>1359</v>
      </c>
      <c r="C58" s="5" t="s">
        <v>1710</v>
      </c>
      <c r="D58" t="b">
        <f t="shared" si="0"/>
        <v>1</v>
      </c>
    </row>
    <row r="59" spans="1:4" x14ac:dyDescent="0.25">
      <c r="A59" t="s">
        <v>329</v>
      </c>
      <c r="B59" s="5" t="s">
        <v>391</v>
      </c>
      <c r="C59" s="5" t="s">
        <v>391</v>
      </c>
      <c r="D59" t="b">
        <f t="shared" si="0"/>
        <v>0</v>
      </c>
    </row>
    <row r="60" spans="1:4" x14ac:dyDescent="0.25">
      <c r="A60" t="s">
        <v>36</v>
      </c>
      <c r="B60" s="5" t="s">
        <v>1362</v>
      </c>
      <c r="C60" s="5" t="s">
        <v>1362</v>
      </c>
      <c r="D60" t="b">
        <f t="shared" si="0"/>
        <v>0</v>
      </c>
    </row>
    <row r="61" spans="1:4" x14ac:dyDescent="0.25">
      <c r="A61" t="s">
        <v>36</v>
      </c>
      <c r="B61" s="5" t="s">
        <v>907</v>
      </c>
      <c r="C61" s="5" t="s">
        <v>907</v>
      </c>
      <c r="D61" t="b">
        <f t="shared" si="0"/>
        <v>0</v>
      </c>
    </row>
    <row r="62" spans="1:4" x14ac:dyDescent="0.25">
      <c r="A62" t="s">
        <v>36</v>
      </c>
      <c r="B62" s="5" t="s">
        <v>1363</v>
      </c>
      <c r="C62" s="5" t="s">
        <v>1363</v>
      </c>
      <c r="D62" t="b">
        <f t="shared" si="0"/>
        <v>0</v>
      </c>
    </row>
    <row r="63" spans="1:4" x14ac:dyDescent="0.25">
      <c r="A63" t="s">
        <v>36</v>
      </c>
      <c r="B63" s="5" t="s">
        <v>1364</v>
      </c>
      <c r="C63" s="5" t="s">
        <v>1364</v>
      </c>
      <c r="D63" t="b">
        <f t="shared" si="0"/>
        <v>0</v>
      </c>
    </row>
    <row r="64" spans="1:4" x14ac:dyDescent="0.25">
      <c r="A64" t="s">
        <v>36</v>
      </c>
      <c r="B64" s="5" t="s">
        <v>1365</v>
      </c>
      <c r="C64" s="5" t="s">
        <v>1365</v>
      </c>
      <c r="D64" t="b">
        <f t="shared" si="0"/>
        <v>0</v>
      </c>
    </row>
    <row r="65" spans="1:6" x14ac:dyDescent="0.25">
      <c r="A65" t="s">
        <v>43</v>
      </c>
      <c r="B65" s="5" t="s">
        <v>1055</v>
      </c>
      <c r="C65" s="5" t="s">
        <v>1055</v>
      </c>
      <c r="D65" t="b">
        <f t="shared" si="0"/>
        <v>0</v>
      </c>
    </row>
    <row r="66" spans="1:6" x14ac:dyDescent="0.25">
      <c r="A66" t="s">
        <v>43</v>
      </c>
      <c r="B66" s="5" t="s">
        <v>1366</v>
      </c>
      <c r="C66" s="5" t="s">
        <v>1366</v>
      </c>
      <c r="D66" t="b">
        <f t="shared" si="0"/>
        <v>0</v>
      </c>
    </row>
    <row r="67" spans="1:6" x14ac:dyDescent="0.25">
      <c r="A67" t="s">
        <v>43</v>
      </c>
      <c r="B67" s="5" t="s">
        <v>1253</v>
      </c>
      <c r="C67" s="5" t="s">
        <v>1253</v>
      </c>
      <c r="D67" t="b">
        <f t="shared" si="0"/>
        <v>0</v>
      </c>
    </row>
    <row r="68" spans="1:6" x14ac:dyDescent="0.25">
      <c r="A68" t="s">
        <v>43</v>
      </c>
      <c r="B68" s="5" t="s">
        <v>1367</v>
      </c>
      <c r="C68" s="5" t="s">
        <v>1367</v>
      </c>
      <c r="D68" t="b">
        <f t="shared" si="0"/>
        <v>0</v>
      </c>
    </row>
    <row r="69" spans="1:6" x14ac:dyDescent="0.25">
      <c r="A69" t="s">
        <v>43</v>
      </c>
      <c r="B69" s="5" t="s">
        <v>951</v>
      </c>
      <c r="C69" s="5" t="s">
        <v>951</v>
      </c>
      <c r="D69" t="b">
        <f t="shared" ref="D69:D102" si="2">B69&lt;&gt;C69</f>
        <v>0</v>
      </c>
    </row>
    <row r="70" spans="1:6" x14ac:dyDescent="0.25">
      <c r="A70" t="s">
        <v>43</v>
      </c>
      <c r="B70" s="5" t="s">
        <v>1368</v>
      </c>
      <c r="C70" s="5" t="s">
        <v>1368</v>
      </c>
      <c r="D70" t="b">
        <f t="shared" si="2"/>
        <v>0</v>
      </c>
    </row>
    <row r="71" spans="1:6" x14ac:dyDescent="0.25">
      <c r="A71" t="s">
        <v>43</v>
      </c>
      <c r="B71" s="5" t="s">
        <v>1369</v>
      </c>
      <c r="C71" s="5" t="s">
        <v>1369</v>
      </c>
      <c r="D71" t="b">
        <f t="shared" si="2"/>
        <v>0</v>
      </c>
    </row>
    <row r="72" spans="1:6" x14ac:dyDescent="0.25">
      <c r="A72" t="s">
        <v>43</v>
      </c>
      <c r="B72" s="5" t="s">
        <v>1370</v>
      </c>
      <c r="C72" s="5" t="s">
        <v>1370</v>
      </c>
      <c r="D72" t="b">
        <f t="shared" si="2"/>
        <v>0</v>
      </c>
    </row>
    <row r="73" spans="1:6" x14ac:dyDescent="0.25">
      <c r="A73" t="s">
        <v>43</v>
      </c>
      <c r="B73" s="5" t="s">
        <v>1371</v>
      </c>
      <c r="C73" s="5" t="s">
        <v>1371</v>
      </c>
      <c r="D73" t="b">
        <f t="shared" si="2"/>
        <v>0</v>
      </c>
    </row>
    <row r="74" spans="1:6" x14ac:dyDescent="0.25">
      <c r="A74" t="s">
        <v>43</v>
      </c>
      <c r="B74" s="5" t="s">
        <v>950</v>
      </c>
      <c r="C74" s="5" t="s">
        <v>950</v>
      </c>
      <c r="D74" t="b">
        <f t="shared" si="2"/>
        <v>0</v>
      </c>
    </row>
    <row r="75" spans="1:6" x14ac:dyDescent="0.25">
      <c r="A75" t="s">
        <v>1340</v>
      </c>
      <c r="B75" s="5" t="s">
        <v>1372</v>
      </c>
      <c r="C75" s="5" t="s">
        <v>1373</v>
      </c>
      <c r="D75" t="b">
        <f t="shared" si="2"/>
        <v>1</v>
      </c>
      <c r="F75"/>
    </row>
    <row r="76" spans="1:6" x14ac:dyDescent="0.25">
      <c r="A76" t="s">
        <v>1340</v>
      </c>
      <c r="B76" s="5" t="s">
        <v>1375</v>
      </c>
      <c r="C76" s="5" t="s">
        <v>1375</v>
      </c>
      <c r="D76" t="b">
        <f t="shared" si="2"/>
        <v>0</v>
      </c>
    </row>
    <row r="77" spans="1:6" x14ac:dyDescent="0.25">
      <c r="A77" t="s">
        <v>1340</v>
      </c>
      <c r="B77" s="5" t="s">
        <v>1376</v>
      </c>
      <c r="C77" s="5" t="s">
        <v>1508</v>
      </c>
      <c r="D77" t="b">
        <f t="shared" si="2"/>
        <v>1</v>
      </c>
    </row>
    <row r="78" spans="1:6" x14ac:dyDescent="0.25">
      <c r="A78" t="s">
        <v>1340</v>
      </c>
      <c r="B78" s="5" t="s">
        <v>1251</v>
      </c>
      <c r="C78" s="5" t="s">
        <v>1377</v>
      </c>
      <c r="D78" t="b">
        <f t="shared" si="2"/>
        <v>1</v>
      </c>
      <c r="F78"/>
    </row>
    <row r="79" spans="1:6" x14ac:dyDescent="0.25">
      <c r="A79" t="s">
        <v>1340</v>
      </c>
      <c r="B79" s="5" t="s">
        <v>1374</v>
      </c>
      <c r="C79" s="5" t="s">
        <v>1378</v>
      </c>
      <c r="D79" t="b">
        <f t="shared" si="2"/>
        <v>1</v>
      </c>
      <c r="F79"/>
    </row>
    <row r="80" spans="1:6" x14ac:dyDescent="0.25">
      <c r="A80" t="s">
        <v>1340</v>
      </c>
      <c r="B80" s="5" t="s">
        <v>1379</v>
      </c>
      <c r="C80" s="5" t="s">
        <v>1379</v>
      </c>
      <c r="D80" t="b">
        <f t="shared" si="2"/>
        <v>0</v>
      </c>
      <c r="F80"/>
    </row>
    <row r="81" spans="1:6" x14ac:dyDescent="0.25">
      <c r="A81" t="s">
        <v>1340</v>
      </c>
      <c r="B81" s="5" t="s">
        <v>1380</v>
      </c>
      <c r="C81" s="5" t="s">
        <v>1380</v>
      </c>
      <c r="D81" t="b">
        <f t="shared" si="2"/>
        <v>0</v>
      </c>
      <c r="F81"/>
    </row>
    <row r="82" spans="1:6" x14ac:dyDescent="0.25">
      <c r="A82" t="s">
        <v>1340</v>
      </c>
      <c r="B82" s="5" t="s">
        <v>1381</v>
      </c>
      <c r="C82" s="5" t="s">
        <v>1381</v>
      </c>
      <c r="D82" t="b">
        <f t="shared" si="2"/>
        <v>0</v>
      </c>
      <c r="F82"/>
    </row>
    <row r="83" spans="1:6" x14ac:dyDescent="0.25">
      <c r="A83" t="s">
        <v>1340</v>
      </c>
      <c r="B83" s="5" t="s">
        <v>1382</v>
      </c>
      <c r="C83" s="5" t="s">
        <v>1382</v>
      </c>
      <c r="D83" t="b">
        <f t="shared" si="2"/>
        <v>0</v>
      </c>
      <c r="F83"/>
    </row>
    <row r="84" spans="1:6" x14ac:dyDescent="0.25">
      <c r="A84" t="s">
        <v>1340</v>
      </c>
      <c r="B84" s="5" t="s">
        <v>1383</v>
      </c>
      <c r="C84" s="5" t="s">
        <v>1383</v>
      </c>
      <c r="D84" t="b">
        <f t="shared" si="2"/>
        <v>0</v>
      </c>
      <c r="F84"/>
    </row>
    <row r="85" spans="1:6" x14ac:dyDescent="0.25">
      <c r="A85" t="s">
        <v>1340</v>
      </c>
      <c r="B85" s="5" t="s">
        <v>1356</v>
      </c>
      <c r="C85" s="5" t="s">
        <v>1388</v>
      </c>
      <c r="D85" t="b">
        <f t="shared" si="2"/>
        <v>1</v>
      </c>
    </row>
    <row r="86" spans="1:6" x14ac:dyDescent="0.25">
      <c r="A86" t="s">
        <v>1340</v>
      </c>
      <c r="B86" s="5" t="s">
        <v>1389</v>
      </c>
      <c r="C86" s="5" t="s">
        <v>1389</v>
      </c>
      <c r="D86" t="b">
        <f t="shared" si="2"/>
        <v>0</v>
      </c>
    </row>
    <row r="87" spans="1:6" x14ac:dyDescent="0.25">
      <c r="A87" t="s">
        <v>1340</v>
      </c>
      <c r="B87" s="5" t="s">
        <v>1384</v>
      </c>
      <c r="C87" s="5" t="s">
        <v>1384</v>
      </c>
      <c r="D87" t="b">
        <f t="shared" si="2"/>
        <v>0</v>
      </c>
    </row>
    <row r="88" spans="1:6" x14ac:dyDescent="0.25">
      <c r="A88" t="s">
        <v>1340</v>
      </c>
      <c r="B88" s="5" t="s">
        <v>1385</v>
      </c>
      <c r="C88" s="5" t="s">
        <v>1386</v>
      </c>
      <c r="D88" t="b">
        <f t="shared" si="2"/>
        <v>1</v>
      </c>
    </row>
    <row r="89" spans="1:6" x14ac:dyDescent="0.25">
      <c r="A89" t="s">
        <v>1341</v>
      </c>
      <c r="B89" s="5" t="s">
        <v>1713</v>
      </c>
      <c r="C89" s="5" t="s">
        <v>1713</v>
      </c>
      <c r="D89" t="b">
        <f t="shared" si="2"/>
        <v>0</v>
      </c>
    </row>
    <row r="90" spans="1:6" x14ac:dyDescent="0.25">
      <c r="A90" t="s">
        <v>1341</v>
      </c>
      <c r="B90" s="5" t="s">
        <v>1391</v>
      </c>
      <c r="C90" s="5" t="s">
        <v>1391</v>
      </c>
      <c r="D90" t="b">
        <f t="shared" si="2"/>
        <v>0</v>
      </c>
    </row>
    <row r="91" spans="1:6" x14ac:dyDescent="0.25">
      <c r="A91" t="s">
        <v>1341</v>
      </c>
      <c r="B91" s="5" t="s">
        <v>250</v>
      </c>
      <c r="C91" s="5" t="s">
        <v>250</v>
      </c>
      <c r="D91" t="b">
        <f t="shared" si="2"/>
        <v>0</v>
      </c>
    </row>
    <row r="92" spans="1:6" x14ac:dyDescent="0.25">
      <c r="A92" t="s">
        <v>1341</v>
      </c>
      <c r="B92" s="5" t="s">
        <v>117</v>
      </c>
      <c r="C92" s="5" t="s">
        <v>117</v>
      </c>
      <c r="D92" t="b">
        <f t="shared" si="2"/>
        <v>0</v>
      </c>
    </row>
    <row r="93" spans="1:6" x14ac:dyDescent="0.25">
      <c r="A93" t="s">
        <v>1341</v>
      </c>
      <c r="B93" s="5" t="s">
        <v>1390</v>
      </c>
      <c r="C93" s="5" t="s">
        <v>118</v>
      </c>
      <c r="D93" t="b">
        <f t="shared" si="2"/>
        <v>1</v>
      </c>
    </row>
    <row r="94" spans="1:6" x14ac:dyDescent="0.25">
      <c r="A94" t="s">
        <v>143</v>
      </c>
      <c r="B94" s="5" t="s">
        <v>1393</v>
      </c>
      <c r="C94" s="5" t="s">
        <v>1393</v>
      </c>
      <c r="D94" t="b">
        <f t="shared" si="2"/>
        <v>0</v>
      </c>
      <c r="F94"/>
    </row>
    <row r="95" spans="1:6" x14ac:dyDescent="0.25">
      <c r="A95" t="s">
        <v>143</v>
      </c>
      <c r="B95" s="5" t="s">
        <v>1394</v>
      </c>
      <c r="C95" s="5" t="s">
        <v>1394</v>
      </c>
      <c r="D95" t="b">
        <f t="shared" si="2"/>
        <v>0</v>
      </c>
      <c r="F95"/>
    </row>
    <row r="96" spans="1:6" x14ac:dyDescent="0.25">
      <c r="A96" t="s">
        <v>143</v>
      </c>
      <c r="B96" s="5" t="s">
        <v>1395</v>
      </c>
      <c r="C96" s="5" t="s">
        <v>1395</v>
      </c>
      <c r="D96" t="b">
        <f t="shared" si="2"/>
        <v>0</v>
      </c>
    </row>
    <row r="97" spans="1:4" x14ac:dyDescent="0.25">
      <c r="A97" t="s">
        <v>143</v>
      </c>
      <c r="B97" s="5" t="s">
        <v>206</v>
      </c>
      <c r="C97" s="5" t="s">
        <v>206</v>
      </c>
      <c r="D97" t="b">
        <f t="shared" si="2"/>
        <v>0</v>
      </c>
    </row>
    <row r="98" spans="1:4" x14ac:dyDescent="0.25">
      <c r="A98" t="s">
        <v>143</v>
      </c>
      <c r="B98" s="5" t="s">
        <v>1387</v>
      </c>
      <c r="C98" s="5" t="s">
        <v>1387</v>
      </c>
      <c r="D98" t="b">
        <f t="shared" si="2"/>
        <v>0</v>
      </c>
    </row>
    <row r="99" spans="1:4" x14ac:dyDescent="0.25">
      <c r="A99" t="s">
        <v>143</v>
      </c>
      <c r="B99" s="5" t="s">
        <v>1397</v>
      </c>
      <c r="C99" s="5" t="s">
        <v>1397</v>
      </c>
      <c r="D99" t="b">
        <f t="shared" si="2"/>
        <v>0</v>
      </c>
    </row>
    <row r="100" spans="1:4" x14ac:dyDescent="0.25">
      <c r="A100" t="s">
        <v>143</v>
      </c>
      <c r="B100" s="5" t="s">
        <v>1398</v>
      </c>
      <c r="C100" s="5" t="s">
        <v>1398</v>
      </c>
      <c r="D100" t="b">
        <f t="shared" si="2"/>
        <v>0</v>
      </c>
    </row>
    <row r="101" spans="1:4" x14ac:dyDescent="0.25">
      <c r="A101" t="s">
        <v>143</v>
      </c>
      <c r="B101" s="5" t="s">
        <v>1399</v>
      </c>
      <c r="C101" s="5" t="s">
        <v>1399</v>
      </c>
      <c r="D101" t="b">
        <f t="shared" si="2"/>
        <v>0</v>
      </c>
    </row>
    <row r="102" spans="1:4" x14ac:dyDescent="0.25">
      <c r="A102" t="s">
        <v>143</v>
      </c>
      <c r="B102" s="5" t="s">
        <v>1400</v>
      </c>
      <c r="C102" s="5" t="s">
        <v>1400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23FD6C4F-A5F2-4DDE-A9B0-815101AE1A27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45C6C2C5-B68C-4A44-9871-5F6B8C9DB954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8ED5-AC05-4B8F-8403-9806AB6A6B77}">
  <sheetPr codeName="Planilha13"/>
  <dimension ref="A1:G102"/>
  <sheetViews>
    <sheetView workbookViewId="0">
      <selection activeCell="E10" sqref="E10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532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3</v>
      </c>
    </row>
    <row r="3" spans="1:7" x14ac:dyDescent="0.25">
      <c r="A3" s="21" t="s">
        <v>2002</v>
      </c>
      <c r="B3" s="5" t="s">
        <v>2044</v>
      </c>
      <c r="C3" s="5" t="s">
        <v>2044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320</v>
      </c>
      <c r="C4" t="s">
        <v>320</v>
      </c>
      <c r="D4" t="b">
        <f>B4&lt;&gt;C4</f>
        <v>0</v>
      </c>
    </row>
    <row r="5" spans="1:7" x14ac:dyDescent="0.25">
      <c r="A5" t="s">
        <v>28</v>
      </c>
      <c r="B5" s="5" t="s">
        <v>533</v>
      </c>
      <c r="C5" t="s">
        <v>533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318</v>
      </c>
      <c r="C6" t="s">
        <v>318</v>
      </c>
      <c r="D6" t="b">
        <f t="shared" si="0"/>
        <v>0</v>
      </c>
      <c r="F6" s="7" t="s">
        <v>2002</v>
      </c>
      <c r="G6" s="2">
        <f t="shared" ref="G6:G14" si="1">COUNTIF(A:A,F6)</f>
        <v>1</v>
      </c>
    </row>
    <row r="7" spans="1:7" x14ac:dyDescent="0.25">
      <c r="A7" t="s">
        <v>28</v>
      </c>
      <c r="B7" s="5" t="s">
        <v>319</v>
      </c>
      <c r="C7" t="s">
        <v>319</v>
      </c>
      <c r="D7" t="b">
        <f t="shared" si="0"/>
        <v>0</v>
      </c>
      <c r="F7" s="3" t="s">
        <v>28</v>
      </c>
      <c r="G7" s="2">
        <f t="shared" si="1"/>
        <v>35</v>
      </c>
    </row>
    <row r="8" spans="1:7" x14ac:dyDescent="0.25">
      <c r="A8" t="s">
        <v>28</v>
      </c>
      <c r="B8" s="5" t="s">
        <v>322</v>
      </c>
      <c r="C8" t="s">
        <v>322</v>
      </c>
      <c r="D8" t="b">
        <f t="shared" si="0"/>
        <v>0</v>
      </c>
      <c r="F8" s="7" t="s">
        <v>34</v>
      </c>
      <c r="G8" s="2">
        <f t="shared" si="1"/>
        <v>12</v>
      </c>
    </row>
    <row r="9" spans="1:7" x14ac:dyDescent="0.25">
      <c r="A9" t="s">
        <v>28</v>
      </c>
      <c r="B9" s="5" t="s">
        <v>534</v>
      </c>
      <c r="C9" t="s">
        <v>534</v>
      </c>
      <c r="D9" t="b">
        <f t="shared" si="0"/>
        <v>0</v>
      </c>
      <c r="F9" s="7" t="s">
        <v>35</v>
      </c>
      <c r="G9" s="2">
        <f t="shared" si="1"/>
        <v>11</v>
      </c>
    </row>
    <row r="10" spans="1:7" x14ac:dyDescent="0.25">
      <c r="A10" t="s">
        <v>28</v>
      </c>
      <c r="B10" s="5" t="s">
        <v>343</v>
      </c>
      <c r="C10" t="s">
        <v>343</v>
      </c>
      <c r="D10" t="b">
        <f t="shared" si="0"/>
        <v>0</v>
      </c>
      <c r="F10" s="7" t="s">
        <v>536</v>
      </c>
      <c r="G10" s="2">
        <f t="shared" si="1"/>
        <v>22</v>
      </c>
    </row>
    <row r="11" spans="1:7" x14ac:dyDescent="0.25">
      <c r="A11" t="s">
        <v>28</v>
      </c>
      <c r="B11" s="5" t="s">
        <v>535</v>
      </c>
      <c r="C11" t="s">
        <v>535</v>
      </c>
      <c r="D11" t="b">
        <f t="shared" si="0"/>
        <v>0</v>
      </c>
      <c r="F11" s="7" t="s">
        <v>36</v>
      </c>
      <c r="G11" s="2">
        <f t="shared" si="1"/>
        <v>5</v>
      </c>
    </row>
    <row r="12" spans="1:7" x14ac:dyDescent="0.25">
      <c r="A12" t="s">
        <v>28</v>
      </c>
      <c r="B12" s="5" t="s">
        <v>537</v>
      </c>
      <c r="C12" t="s">
        <v>538</v>
      </c>
      <c r="D12" t="b">
        <f t="shared" si="0"/>
        <v>1</v>
      </c>
      <c r="F12" s="7" t="s">
        <v>329</v>
      </c>
      <c r="G12" s="2">
        <f t="shared" si="1"/>
        <v>8</v>
      </c>
    </row>
    <row r="13" spans="1:7" x14ac:dyDescent="0.25">
      <c r="A13" t="s">
        <v>28</v>
      </c>
      <c r="B13" s="5" t="s">
        <v>539</v>
      </c>
      <c r="C13" t="s">
        <v>539</v>
      </c>
      <c r="D13" t="b">
        <f t="shared" si="0"/>
        <v>0</v>
      </c>
      <c r="F13" s="7" t="s">
        <v>44</v>
      </c>
      <c r="G13" s="2">
        <f t="shared" si="1"/>
        <v>6</v>
      </c>
    </row>
    <row r="14" spans="1:7" x14ac:dyDescent="0.25">
      <c r="A14" t="s">
        <v>28</v>
      </c>
      <c r="B14" s="5" t="s">
        <v>540</v>
      </c>
      <c r="C14" t="s">
        <v>540</v>
      </c>
      <c r="D14" t="b">
        <f t="shared" si="0"/>
        <v>0</v>
      </c>
      <c r="F14" s="7" t="s">
        <v>542</v>
      </c>
      <c r="G14" s="2">
        <f t="shared" si="1"/>
        <v>0</v>
      </c>
    </row>
    <row r="15" spans="1:7" x14ac:dyDescent="0.25">
      <c r="A15" t="s">
        <v>28</v>
      </c>
      <c r="B15" s="5" t="s">
        <v>541</v>
      </c>
      <c r="C15" t="s">
        <v>541</v>
      </c>
      <c r="D15" t="b">
        <f t="shared" si="0"/>
        <v>0</v>
      </c>
    </row>
    <row r="16" spans="1:7" x14ac:dyDescent="0.25">
      <c r="A16" t="s">
        <v>28</v>
      </c>
      <c r="B16" s="5" t="s">
        <v>543</v>
      </c>
      <c r="C16" t="s">
        <v>543</v>
      </c>
      <c r="D16" t="b">
        <f t="shared" si="0"/>
        <v>0</v>
      </c>
    </row>
    <row r="17" spans="1:7" x14ac:dyDescent="0.25">
      <c r="A17" t="s">
        <v>28</v>
      </c>
      <c r="B17" s="5" t="s">
        <v>544</v>
      </c>
      <c r="C17" t="s">
        <v>544</v>
      </c>
      <c r="D17" t="b">
        <f t="shared" si="0"/>
        <v>0</v>
      </c>
      <c r="F17" s="4"/>
      <c r="G17" s="2"/>
    </row>
    <row r="18" spans="1:7" x14ac:dyDescent="0.25">
      <c r="A18" t="s">
        <v>28</v>
      </c>
      <c r="B18" s="5" t="s">
        <v>545</v>
      </c>
      <c r="C18" t="s">
        <v>545</v>
      </c>
      <c r="D18" t="b">
        <f t="shared" si="0"/>
        <v>0</v>
      </c>
      <c r="F18" s="4"/>
      <c r="G18" s="2"/>
    </row>
    <row r="19" spans="1:7" x14ac:dyDescent="0.25">
      <c r="A19" t="s">
        <v>28</v>
      </c>
      <c r="B19" s="5" t="s">
        <v>62</v>
      </c>
      <c r="C19" t="s">
        <v>62</v>
      </c>
      <c r="D19" t="b">
        <f t="shared" si="0"/>
        <v>0</v>
      </c>
    </row>
    <row r="20" spans="1:7" x14ac:dyDescent="0.25">
      <c r="A20" t="s">
        <v>28</v>
      </c>
      <c r="B20" s="5" t="s">
        <v>60</v>
      </c>
      <c r="C20" t="s">
        <v>60</v>
      </c>
      <c r="D20" t="b">
        <f t="shared" si="0"/>
        <v>0</v>
      </c>
    </row>
    <row r="21" spans="1:7" x14ac:dyDescent="0.25">
      <c r="A21" t="s">
        <v>28</v>
      </c>
      <c r="B21" s="5" t="s">
        <v>33</v>
      </c>
      <c r="C21" t="s">
        <v>33</v>
      </c>
      <c r="D21" t="b">
        <f t="shared" si="0"/>
        <v>0</v>
      </c>
    </row>
    <row r="22" spans="1:7" x14ac:dyDescent="0.25">
      <c r="A22" t="s">
        <v>28</v>
      </c>
      <c r="B22" s="5" t="s">
        <v>546</v>
      </c>
      <c r="C22" t="s">
        <v>546</v>
      </c>
      <c r="D22" t="b">
        <f t="shared" si="0"/>
        <v>0</v>
      </c>
    </row>
    <row r="23" spans="1:7" x14ac:dyDescent="0.25">
      <c r="A23" t="s">
        <v>28</v>
      </c>
      <c r="B23" s="5" t="s">
        <v>342</v>
      </c>
      <c r="C23" t="s">
        <v>342</v>
      </c>
      <c r="D23" t="b">
        <f t="shared" si="0"/>
        <v>0</v>
      </c>
    </row>
    <row r="24" spans="1:7" x14ac:dyDescent="0.25">
      <c r="A24" t="s">
        <v>28</v>
      </c>
      <c r="B24" s="5" t="s">
        <v>472</v>
      </c>
      <c r="C24" t="s">
        <v>472</v>
      </c>
      <c r="D24" t="b">
        <f t="shared" si="0"/>
        <v>0</v>
      </c>
    </row>
    <row r="25" spans="1:7" x14ac:dyDescent="0.25">
      <c r="A25" t="s">
        <v>28</v>
      </c>
      <c r="B25" s="5" t="s">
        <v>191</v>
      </c>
      <c r="C25" t="s">
        <v>191</v>
      </c>
      <c r="D25" t="b">
        <f t="shared" si="0"/>
        <v>0</v>
      </c>
    </row>
    <row r="26" spans="1:7" x14ac:dyDescent="0.25">
      <c r="A26" t="s">
        <v>28</v>
      </c>
      <c r="B26" s="5" t="s">
        <v>192</v>
      </c>
      <c r="C26" t="s">
        <v>192</v>
      </c>
      <c r="D26" t="b">
        <f t="shared" si="0"/>
        <v>0</v>
      </c>
    </row>
    <row r="27" spans="1:7" x14ac:dyDescent="0.25">
      <c r="A27" t="s">
        <v>28</v>
      </c>
      <c r="B27" s="5" t="s">
        <v>190</v>
      </c>
      <c r="C27" t="s">
        <v>190</v>
      </c>
      <c r="D27" t="b">
        <f t="shared" si="0"/>
        <v>0</v>
      </c>
    </row>
    <row r="28" spans="1:7" x14ac:dyDescent="0.25">
      <c r="A28" t="s">
        <v>28</v>
      </c>
      <c r="B28" s="5" t="s">
        <v>268</v>
      </c>
      <c r="C28" t="s">
        <v>268</v>
      </c>
      <c r="D28" t="b">
        <f t="shared" si="0"/>
        <v>0</v>
      </c>
    </row>
    <row r="29" spans="1:7" x14ac:dyDescent="0.25">
      <c r="A29" t="s">
        <v>28</v>
      </c>
      <c r="B29" s="5" t="s">
        <v>547</v>
      </c>
      <c r="C29" t="s">
        <v>547</v>
      </c>
      <c r="D29" t="b">
        <f t="shared" si="0"/>
        <v>0</v>
      </c>
    </row>
    <row r="30" spans="1:7" x14ac:dyDescent="0.25">
      <c r="A30" t="s">
        <v>28</v>
      </c>
      <c r="B30" s="5" t="s">
        <v>548</v>
      </c>
      <c r="C30" t="s">
        <v>548</v>
      </c>
      <c r="D30" t="b">
        <f t="shared" si="0"/>
        <v>0</v>
      </c>
    </row>
    <row r="31" spans="1:7" x14ac:dyDescent="0.25">
      <c r="A31" t="s">
        <v>28</v>
      </c>
      <c r="B31" s="5" t="s">
        <v>51</v>
      </c>
      <c r="C31" t="s">
        <v>51</v>
      </c>
      <c r="D31" t="b">
        <f t="shared" si="0"/>
        <v>0</v>
      </c>
    </row>
    <row r="32" spans="1:7" x14ac:dyDescent="0.25">
      <c r="A32" t="s">
        <v>28</v>
      </c>
      <c r="B32" s="5" t="s">
        <v>145</v>
      </c>
      <c r="C32" t="s">
        <v>1899</v>
      </c>
      <c r="D32" t="b">
        <f t="shared" si="0"/>
        <v>1</v>
      </c>
    </row>
    <row r="33" spans="1:4" x14ac:dyDescent="0.25">
      <c r="A33" t="s">
        <v>28</v>
      </c>
      <c r="B33" s="5" t="s">
        <v>197</v>
      </c>
      <c r="C33" t="s">
        <v>197</v>
      </c>
      <c r="D33" t="b">
        <f t="shared" si="0"/>
        <v>0</v>
      </c>
    </row>
    <row r="34" spans="1:4" x14ac:dyDescent="0.25">
      <c r="A34" t="s">
        <v>28</v>
      </c>
      <c r="B34" s="5" t="s">
        <v>197</v>
      </c>
      <c r="C34" t="s">
        <v>197</v>
      </c>
      <c r="D34" t="b">
        <f t="shared" si="0"/>
        <v>0</v>
      </c>
    </row>
    <row r="35" spans="1:4" x14ac:dyDescent="0.25">
      <c r="A35" t="s">
        <v>28</v>
      </c>
      <c r="B35" s="5" t="s">
        <v>77</v>
      </c>
      <c r="C35" t="s">
        <v>77</v>
      </c>
      <c r="D35" t="b">
        <f t="shared" si="0"/>
        <v>0</v>
      </c>
    </row>
    <row r="36" spans="1:4" x14ac:dyDescent="0.25">
      <c r="A36" t="s">
        <v>28</v>
      </c>
      <c r="B36" s="5" t="s">
        <v>77</v>
      </c>
      <c r="C36" t="s">
        <v>77</v>
      </c>
      <c r="D36" t="b">
        <f t="shared" si="0"/>
        <v>0</v>
      </c>
    </row>
    <row r="37" spans="1:4" x14ac:dyDescent="0.25">
      <c r="A37" t="s">
        <v>28</v>
      </c>
      <c r="B37" s="5" t="s">
        <v>145</v>
      </c>
      <c r="C37" t="s">
        <v>145</v>
      </c>
      <c r="D37" t="b">
        <f t="shared" si="0"/>
        <v>0</v>
      </c>
    </row>
    <row r="38" spans="1:4" x14ac:dyDescent="0.25">
      <c r="A38" t="s">
        <v>28</v>
      </c>
      <c r="B38" s="5" t="s">
        <v>78</v>
      </c>
      <c r="C38" t="s">
        <v>78</v>
      </c>
      <c r="D38" t="b">
        <f t="shared" si="0"/>
        <v>0</v>
      </c>
    </row>
    <row r="39" spans="1:4" x14ac:dyDescent="0.25">
      <c r="A39" t="s">
        <v>34</v>
      </c>
      <c r="B39" s="5" t="s">
        <v>198</v>
      </c>
      <c r="C39" t="s">
        <v>198</v>
      </c>
      <c r="D39" t="b">
        <f t="shared" si="0"/>
        <v>0</v>
      </c>
    </row>
    <row r="40" spans="1:4" x14ac:dyDescent="0.25">
      <c r="A40" t="s">
        <v>34</v>
      </c>
      <c r="B40" s="5" t="s">
        <v>199</v>
      </c>
      <c r="C40" t="s">
        <v>199</v>
      </c>
      <c r="D40" t="b">
        <f t="shared" si="0"/>
        <v>0</v>
      </c>
    </row>
    <row r="41" spans="1:4" x14ac:dyDescent="0.25">
      <c r="A41" t="s">
        <v>34</v>
      </c>
      <c r="B41" s="5" t="s">
        <v>201</v>
      </c>
      <c r="C41" s="11" t="s">
        <v>201</v>
      </c>
      <c r="D41" t="b">
        <f t="shared" si="0"/>
        <v>0</v>
      </c>
    </row>
    <row r="42" spans="1:4" x14ac:dyDescent="0.25">
      <c r="A42" t="s">
        <v>34</v>
      </c>
      <c r="B42" s="5" t="s">
        <v>200</v>
      </c>
      <c r="C42" t="s">
        <v>200</v>
      </c>
      <c r="D42" t="b">
        <f t="shared" si="0"/>
        <v>0</v>
      </c>
    </row>
    <row r="43" spans="1:4" x14ac:dyDescent="0.25">
      <c r="A43" t="s">
        <v>34</v>
      </c>
      <c r="B43" s="5" t="s">
        <v>202</v>
      </c>
      <c r="C43" t="s">
        <v>202</v>
      </c>
      <c r="D43" t="b">
        <f t="shared" si="0"/>
        <v>0</v>
      </c>
    </row>
    <row r="44" spans="1:4" x14ac:dyDescent="0.25">
      <c r="A44" t="s">
        <v>34</v>
      </c>
      <c r="B44" s="5" t="s">
        <v>549</v>
      </c>
      <c r="C44" t="s">
        <v>549</v>
      </c>
      <c r="D44" t="b">
        <f t="shared" si="0"/>
        <v>0</v>
      </c>
    </row>
    <row r="45" spans="1:4" x14ac:dyDescent="0.25">
      <c r="A45" t="s">
        <v>34</v>
      </c>
      <c r="B45" s="5" t="s">
        <v>149</v>
      </c>
      <c r="C45" t="s">
        <v>149</v>
      </c>
      <c r="D45" t="b">
        <f t="shared" si="0"/>
        <v>0</v>
      </c>
    </row>
    <row r="46" spans="1:4" x14ac:dyDescent="0.25">
      <c r="A46" t="s">
        <v>34</v>
      </c>
      <c r="B46" s="5" t="s">
        <v>550</v>
      </c>
      <c r="C46" t="s">
        <v>550</v>
      </c>
      <c r="D46" t="b">
        <f t="shared" si="0"/>
        <v>0</v>
      </c>
    </row>
    <row r="47" spans="1:4" x14ac:dyDescent="0.25">
      <c r="A47" t="s">
        <v>34</v>
      </c>
      <c r="B47" s="5" t="s">
        <v>349</v>
      </c>
      <c r="C47" t="s">
        <v>349</v>
      </c>
      <c r="D47" t="b">
        <f t="shared" si="0"/>
        <v>0</v>
      </c>
    </row>
    <row r="48" spans="1:4" x14ac:dyDescent="0.25">
      <c r="A48" t="s">
        <v>34</v>
      </c>
      <c r="B48" s="5" t="s">
        <v>551</v>
      </c>
      <c r="C48" t="s">
        <v>551</v>
      </c>
      <c r="D48" t="b">
        <f t="shared" si="0"/>
        <v>0</v>
      </c>
    </row>
    <row r="49" spans="1:4" x14ac:dyDescent="0.25">
      <c r="A49" t="s">
        <v>34</v>
      </c>
      <c r="B49" s="5" t="s">
        <v>203</v>
      </c>
      <c r="C49" t="s">
        <v>203</v>
      </c>
      <c r="D49" t="b">
        <f t="shared" si="0"/>
        <v>0</v>
      </c>
    </row>
    <row r="50" spans="1:4" x14ac:dyDescent="0.25">
      <c r="A50" t="s">
        <v>34</v>
      </c>
      <c r="B50" s="5" t="s">
        <v>553</v>
      </c>
      <c r="C50" t="s">
        <v>553</v>
      </c>
      <c r="D50" t="b">
        <f t="shared" si="0"/>
        <v>0</v>
      </c>
    </row>
    <row r="51" spans="1:4" x14ac:dyDescent="0.25">
      <c r="A51" t="s">
        <v>35</v>
      </c>
      <c r="B51" s="5" t="s">
        <v>554</v>
      </c>
      <c r="C51" t="s">
        <v>554</v>
      </c>
      <c r="D51" t="b">
        <f t="shared" si="0"/>
        <v>0</v>
      </c>
    </row>
    <row r="52" spans="1:4" x14ac:dyDescent="0.25">
      <c r="A52" t="s">
        <v>35</v>
      </c>
      <c r="B52" s="5" t="s">
        <v>555</v>
      </c>
      <c r="C52" t="s">
        <v>555</v>
      </c>
      <c r="D52" t="b">
        <f t="shared" si="0"/>
        <v>0</v>
      </c>
    </row>
    <row r="53" spans="1:4" x14ac:dyDescent="0.25">
      <c r="A53" t="s">
        <v>35</v>
      </c>
      <c r="B53" s="5" t="s">
        <v>556</v>
      </c>
      <c r="C53" t="s">
        <v>556</v>
      </c>
      <c r="D53" t="b">
        <f t="shared" si="0"/>
        <v>0</v>
      </c>
    </row>
    <row r="54" spans="1:4" x14ac:dyDescent="0.25">
      <c r="A54" t="s">
        <v>35</v>
      </c>
      <c r="B54" s="5" t="s">
        <v>1897</v>
      </c>
      <c r="C54" t="s">
        <v>1897</v>
      </c>
      <c r="D54" t="b">
        <f t="shared" si="0"/>
        <v>0</v>
      </c>
    </row>
    <row r="55" spans="1:4" x14ac:dyDescent="0.25">
      <c r="A55" t="s">
        <v>35</v>
      </c>
      <c r="B55" s="5" t="s">
        <v>558</v>
      </c>
      <c r="C55" t="s">
        <v>558</v>
      </c>
      <c r="D55" t="b">
        <f t="shared" si="0"/>
        <v>0</v>
      </c>
    </row>
    <row r="56" spans="1:4" x14ac:dyDescent="0.25">
      <c r="A56" t="s">
        <v>35</v>
      </c>
      <c r="B56" s="5" t="s">
        <v>288</v>
      </c>
      <c r="C56" t="s">
        <v>288</v>
      </c>
      <c r="D56" t="b">
        <f t="shared" si="0"/>
        <v>0</v>
      </c>
    </row>
    <row r="57" spans="1:4" x14ac:dyDescent="0.25">
      <c r="A57" t="s">
        <v>35</v>
      </c>
      <c r="B57" s="5" t="s">
        <v>1742</v>
      </c>
      <c r="C57" t="s">
        <v>1742</v>
      </c>
      <c r="D57" t="b">
        <f t="shared" si="0"/>
        <v>0</v>
      </c>
    </row>
    <row r="58" spans="1:4" x14ac:dyDescent="0.25">
      <c r="A58" t="s">
        <v>35</v>
      </c>
      <c r="B58" s="5" t="s">
        <v>560</v>
      </c>
      <c r="C58" t="s">
        <v>560</v>
      </c>
      <c r="D58" t="b">
        <f t="shared" si="0"/>
        <v>0</v>
      </c>
    </row>
    <row r="59" spans="1:4" x14ac:dyDescent="0.25">
      <c r="A59" t="s">
        <v>35</v>
      </c>
      <c r="B59" s="5" t="s">
        <v>561</v>
      </c>
      <c r="C59" t="s">
        <v>561</v>
      </c>
      <c r="D59" t="b">
        <f t="shared" si="0"/>
        <v>0</v>
      </c>
    </row>
    <row r="60" spans="1:4" x14ac:dyDescent="0.25">
      <c r="A60" t="s">
        <v>35</v>
      </c>
      <c r="B60" s="5" t="s">
        <v>1747</v>
      </c>
      <c r="C60" t="s">
        <v>1747</v>
      </c>
      <c r="D60" t="b">
        <f t="shared" si="0"/>
        <v>0</v>
      </c>
    </row>
    <row r="61" spans="1:4" x14ac:dyDescent="0.25">
      <c r="A61" t="s">
        <v>35</v>
      </c>
      <c r="B61" s="5" t="s">
        <v>562</v>
      </c>
      <c r="C61" t="s">
        <v>562</v>
      </c>
      <c r="D61" t="b">
        <f t="shared" si="0"/>
        <v>0</v>
      </c>
    </row>
    <row r="62" spans="1:4" x14ac:dyDescent="0.25">
      <c r="A62" t="s">
        <v>536</v>
      </c>
      <c r="B62" s="5" t="s">
        <v>1889</v>
      </c>
      <c r="C62" t="s">
        <v>1889</v>
      </c>
      <c r="D62" t="b">
        <f t="shared" si="0"/>
        <v>0</v>
      </c>
    </row>
    <row r="63" spans="1:4" x14ac:dyDescent="0.25">
      <c r="A63" t="s">
        <v>536</v>
      </c>
      <c r="B63" s="5" t="s">
        <v>1745</v>
      </c>
      <c r="C63" t="s">
        <v>1745</v>
      </c>
      <c r="D63" t="b">
        <f t="shared" si="0"/>
        <v>0</v>
      </c>
    </row>
    <row r="64" spans="1:4" x14ac:dyDescent="0.25">
      <c r="A64" t="s">
        <v>536</v>
      </c>
      <c r="B64" s="5" t="s">
        <v>564</v>
      </c>
      <c r="C64" t="s">
        <v>564</v>
      </c>
      <c r="D64" t="b">
        <f t="shared" si="0"/>
        <v>0</v>
      </c>
    </row>
    <row r="65" spans="1:4" x14ac:dyDescent="0.25">
      <c r="A65" t="s">
        <v>536</v>
      </c>
      <c r="B65" s="5" t="s">
        <v>1743</v>
      </c>
      <c r="C65" t="s">
        <v>1743</v>
      </c>
      <c r="D65" t="b">
        <f t="shared" si="0"/>
        <v>0</v>
      </c>
    </row>
    <row r="66" spans="1:4" x14ac:dyDescent="0.25">
      <c r="A66" t="s">
        <v>536</v>
      </c>
      <c r="B66" s="5" t="s">
        <v>565</v>
      </c>
      <c r="C66" t="s">
        <v>565</v>
      </c>
      <c r="D66" t="b">
        <f t="shared" si="0"/>
        <v>0</v>
      </c>
    </row>
    <row r="67" spans="1:4" x14ac:dyDescent="0.25">
      <c r="A67" t="s">
        <v>536</v>
      </c>
      <c r="B67" s="5" t="s">
        <v>566</v>
      </c>
      <c r="C67" t="s">
        <v>566</v>
      </c>
      <c r="D67" t="b">
        <f t="shared" si="0"/>
        <v>0</v>
      </c>
    </row>
    <row r="68" spans="1:4" x14ac:dyDescent="0.25">
      <c r="A68" t="s">
        <v>536</v>
      </c>
      <c r="B68" s="5" t="s">
        <v>379</v>
      </c>
      <c r="C68" t="s">
        <v>379</v>
      </c>
      <c r="D68" t="b">
        <f t="shared" si="0"/>
        <v>0</v>
      </c>
    </row>
    <row r="69" spans="1:4" x14ac:dyDescent="0.25">
      <c r="A69" t="s">
        <v>536</v>
      </c>
      <c r="B69" s="5" t="s">
        <v>567</v>
      </c>
      <c r="C69" t="s">
        <v>567</v>
      </c>
      <c r="D69" t="b">
        <f t="shared" ref="D69:D102" si="2">B69&lt;&gt;C69</f>
        <v>0</v>
      </c>
    </row>
    <row r="70" spans="1:4" x14ac:dyDescent="0.25">
      <c r="A70" t="s">
        <v>536</v>
      </c>
      <c r="B70" s="5" t="s">
        <v>568</v>
      </c>
      <c r="C70" t="s">
        <v>568</v>
      </c>
      <c r="D70" t="b">
        <f t="shared" si="2"/>
        <v>0</v>
      </c>
    </row>
    <row r="71" spans="1:4" x14ac:dyDescent="0.25">
      <c r="A71" t="s">
        <v>536</v>
      </c>
      <c r="B71" s="5" t="s">
        <v>1593</v>
      </c>
      <c r="C71" t="s">
        <v>1593</v>
      </c>
      <c r="D71" t="b">
        <f t="shared" si="2"/>
        <v>0</v>
      </c>
    </row>
    <row r="72" spans="1:4" x14ac:dyDescent="0.25">
      <c r="A72" t="s">
        <v>536</v>
      </c>
      <c r="B72" s="5" t="s">
        <v>1744</v>
      </c>
      <c r="C72" t="s">
        <v>1744</v>
      </c>
      <c r="D72" t="b">
        <f t="shared" si="2"/>
        <v>0</v>
      </c>
    </row>
    <row r="73" spans="1:4" x14ac:dyDescent="0.25">
      <c r="A73" t="s">
        <v>536</v>
      </c>
      <c r="B73" s="5" t="s">
        <v>570</v>
      </c>
      <c r="C73" t="s">
        <v>570</v>
      </c>
      <c r="D73" t="b">
        <f t="shared" si="2"/>
        <v>0</v>
      </c>
    </row>
    <row r="74" spans="1:4" x14ac:dyDescent="0.25">
      <c r="A74" t="s">
        <v>536</v>
      </c>
      <c r="B74" s="5" t="s">
        <v>104</v>
      </c>
      <c r="C74" t="s">
        <v>104</v>
      </c>
      <c r="D74" t="b">
        <f t="shared" si="2"/>
        <v>0</v>
      </c>
    </row>
    <row r="75" spans="1:4" x14ac:dyDescent="0.25">
      <c r="A75" t="s">
        <v>536</v>
      </c>
      <c r="B75" s="5" t="s">
        <v>571</v>
      </c>
      <c r="C75" t="s">
        <v>571</v>
      </c>
      <c r="D75" t="b">
        <f t="shared" si="2"/>
        <v>0</v>
      </c>
    </row>
    <row r="76" spans="1:4" x14ac:dyDescent="0.25">
      <c r="A76" t="s">
        <v>536</v>
      </c>
      <c r="B76" s="5" t="s">
        <v>572</v>
      </c>
      <c r="C76" t="s">
        <v>572</v>
      </c>
      <c r="D76" t="b">
        <f t="shared" si="2"/>
        <v>0</v>
      </c>
    </row>
    <row r="77" spans="1:4" x14ac:dyDescent="0.25">
      <c r="A77" t="s">
        <v>536</v>
      </c>
      <c r="B77" s="5" t="s">
        <v>573</v>
      </c>
      <c r="C77" t="s">
        <v>573</v>
      </c>
      <c r="D77" t="b">
        <f t="shared" si="2"/>
        <v>0</v>
      </c>
    </row>
    <row r="78" spans="1:4" x14ac:dyDescent="0.25">
      <c r="A78" t="s">
        <v>536</v>
      </c>
      <c r="B78" s="5" t="s">
        <v>574</v>
      </c>
      <c r="C78" t="s">
        <v>574</v>
      </c>
      <c r="D78" t="b">
        <f t="shared" si="2"/>
        <v>0</v>
      </c>
    </row>
    <row r="79" spans="1:4" x14ac:dyDescent="0.25">
      <c r="A79" t="s">
        <v>536</v>
      </c>
      <c r="B79" s="5" t="s">
        <v>1746</v>
      </c>
      <c r="C79" t="s">
        <v>1746</v>
      </c>
      <c r="D79" t="b">
        <f t="shared" si="2"/>
        <v>0</v>
      </c>
    </row>
    <row r="80" spans="1:4" x14ac:dyDescent="0.25">
      <c r="A80" t="s">
        <v>536</v>
      </c>
      <c r="B80" s="5" t="s">
        <v>575</v>
      </c>
      <c r="C80" t="s">
        <v>575</v>
      </c>
      <c r="D80" t="b">
        <f t="shared" si="2"/>
        <v>0</v>
      </c>
    </row>
    <row r="81" spans="1:4" x14ac:dyDescent="0.25">
      <c r="A81" t="s">
        <v>536</v>
      </c>
      <c r="B81" s="5" t="s">
        <v>1900</v>
      </c>
      <c r="C81" t="s">
        <v>1900</v>
      </c>
      <c r="D81" t="b">
        <f t="shared" si="2"/>
        <v>0</v>
      </c>
    </row>
    <row r="82" spans="1:4" x14ac:dyDescent="0.25">
      <c r="A82" s="5" t="s">
        <v>536</v>
      </c>
      <c r="B82" s="5" t="s">
        <v>576</v>
      </c>
      <c r="C82" t="s">
        <v>577</v>
      </c>
      <c r="D82" t="b">
        <f t="shared" si="2"/>
        <v>1</v>
      </c>
    </row>
    <row r="83" spans="1:4" x14ac:dyDescent="0.25">
      <c r="A83" t="s">
        <v>536</v>
      </c>
      <c r="B83" s="5" t="s">
        <v>578</v>
      </c>
      <c r="C83" t="s">
        <v>578</v>
      </c>
      <c r="D83" t="b">
        <f t="shared" si="2"/>
        <v>0</v>
      </c>
    </row>
    <row r="84" spans="1:4" x14ac:dyDescent="0.25">
      <c r="A84" t="s">
        <v>36</v>
      </c>
      <c r="B84" s="5" t="s">
        <v>579</v>
      </c>
      <c r="C84" t="s">
        <v>579</v>
      </c>
      <c r="D84" t="b">
        <f t="shared" si="2"/>
        <v>0</v>
      </c>
    </row>
    <row r="85" spans="1:4" x14ac:dyDescent="0.25">
      <c r="A85" t="s">
        <v>36</v>
      </c>
      <c r="B85" s="5" t="s">
        <v>580</v>
      </c>
      <c r="C85" t="s">
        <v>580</v>
      </c>
      <c r="D85" t="b">
        <f t="shared" si="2"/>
        <v>0</v>
      </c>
    </row>
    <row r="86" spans="1:4" x14ac:dyDescent="0.25">
      <c r="A86" t="s">
        <v>36</v>
      </c>
      <c r="B86" s="5" t="s">
        <v>581</v>
      </c>
      <c r="C86" t="s">
        <v>581</v>
      </c>
      <c r="D86" t="b">
        <f t="shared" si="2"/>
        <v>0</v>
      </c>
    </row>
    <row r="87" spans="1:4" x14ac:dyDescent="0.25">
      <c r="A87" t="s">
        <v>36</v>
      </c>
      <c r="B87" s="5" t="s">
        <v>357</v>
      </c>
      <c r="C87" t="s">
        <v>357</v>
      </c>
      <c r="D87" t="b">
        <f t="shared" si="2"/>
        <v>0</v>
      </c>
    </row>
    <row r="88" spans="1:4" x14ac:dyDescent="0.25">
      <c r="A88" t="s">
        <v>36</v>
      </c>
      <c r="B88" s="5" t="s">
        <v>582</v>
      </c>
      <c r="C88" t="s">
        <v>582</v>
      </c>
      <c r="D88" t="b">
        <f t="shared" si="2"/>
        <v>0</v>
      </c>
    </row>
    <row r="89" spans="1:4" x14ac:dyDescent="0.25">
      <c r="A89" t="s">
        <v>44</v>
      </c>
      <c r="B89" s="5" t="s">
        <v>583</v>
      </c>
      <c r="C89" t="s">
        <v>583</v>
      </c>
      <c r="D89" t="b">
        <f t="shared" si="2"/>
        <v>0</v>
      </c>
    </row>
    <row r="90" spans="1:4" x14ac:dyDescent="0.25">
      <c r="A90" t="s">
        <v>44</v>
      </c>
      <c r="B90" s="5" t="s">
        <v>584</v>
      </c>
      <c r="C90" t="s">
        <v>584</v>
      </c>
      <c r="D90" t="b">
        <f t="shared" si="2"/>
        <v>0</v>
      </c>
    </row>
    <row r="91" spans="1:4" x14ac:dyDescent="0.25">
      <c r="A91" t="s">
        <v>44</v>
      </c>
      <c r="B91" s="5" t="s">
        <v>585</v>
      </c>
      <c r="C91" t="s">
        <v>585</v>
      </c>
      <c r="D91" t="b">
        <f t="shared" si="2"/>
        <v>0</v>
      </c>
    </row>
    <row r="92" spans="1:4" x14ac:dyDescent="0.25">
      <c r="A92" t="s">
        <v>44</v>
      </c>
      <c r="B92" s="5" t="s">
        <v>586</v>
      </c>
      <c r="C92" t="s">
        <v>586</v>
      </c>
      <c r="D92" t="b">
        <f t="shared" si="2"/>
        <v>0</v>
      </c>
    </row>
    <row r="93" spans="1:4" x14ac:dyDescent="0.25">
      <c r="A93" t="s">
        <v>44</v>
      </c>
      <c r="B93" s="5" t="s">
        <v>587</v>
      </c>
      <c r="C93" t="s">
        <v>587</v>
      </c>
      <c r="D93" t="b">
        <f t="shared" si="2"/>
        <v>0</v>
      </c>
    </row>
    <row r="94" spans="1:4" x14ac:dyDescent="0.25">
      <c r="A94" t="s">
        <v>44</v>
      </c>
      <c r="B94" s="5" t="s">
        <v>588</v>
      </c>
      <c r="C94" t="s">
        <v>588</v>
      </c>
      <c r="D94" t="b">
        <f t="shared" si="2"/>
        <v>0</v>
      </c>
    </row>
    <row r="95" spans="1:4" x14ac:dyDescent="0.25">
      <c r="A95" t="s">
        <v>329</v>
      </c>
      <c r="B95" s="5" t="s">
        <v>552</v>
      </c>
      <c r="C95" t="s">
        <v>552</v>
      </c>
      <c r="D95" t="b">
        <f t="shared" si="2"/>
        <v>0</v>
      </c>
    </row>
    <row r="96" spans="1:4" x14ac:dyDescent="0.25">
      <c r="A96" t="s">
        <v>329</v>
      </c>
      <c r="B96" s="5" t="s">
        <v>302</v>
      </c>
      <c r="C96" t="s">
        <v>302</v>
      </c>
      <c r="D96" t="b">
        <f t="shared" si="2"/>
        <v>0</v>
      </c>
    </row>
    <row r="97" spans="1:4" x14ac:dyDescent="0.25">
      <c r="A97" t="s">
        <v>329</v>
      </c>
      <c r="B97" s="5" t="s">
        <v>98</v>
      </c>
      <c r="C97" t="s">
        <v>98</v>
      </c>
      <c r="D97" t="b">
        <f t="shared" si="2"/>
        <v>0</v>
      </c>
    </row>
    <row r="98" spans="1:4" x14ac:dyDescent="0.25">
      <c r="A98" t="s">
        <v>329</v>
      </c>
      <c r="B98" s="5" t="s">
        <v>589</v>
      </c>
      <c r="C98" t="s">
        <v>589</v>
      </c>
      <c r="D98" t="b">
        <f t="shared" si="2"/>
        <v>0</v>
      </c>
    </row>
    <row r="99" spans="1:4" x14ac:dyDescent="0.25">
      <c r="A99" t="s">
        <v>329</v>
      </c>
      <c r="B99" s="5" t="s">
        <v>590</v>
      </c>
      <c r="C99" t="s">
        <v>590</v>
      </c>
      <c r="D99" t="b">
        <f t="shared" si="2"/>
        <v>0</v>
      </c>
    </row>
    <row r="100" spans="1:4" x14ac:dyDescent="0.25">
      <c r="A100" t="s">
        <v>329</v>
      </c>
      <c r="B100" s="5" t="s">
        <v>591</v>
      </c>
      <c r="C100" t="s">
        <v>591</v>
      </c>
      <c r="D100" t="b">
        <f t="shared" si="2"/>
        <v>0</v>
      </c>
    </row>
    <row r="101" spans="1:4" x14ac:dyDescent="0.25">
      <c r="A101" t="s">
        <v>329</v>
      </c>
      <c r="B101" s="5" t="s">
        <v>294</v>
      </c>
      <c r="C101" t="s">
        <v>294</v>
      </c>
      <c r="D101" t="b">
        <f t="shared" si="2"/>
        <v>0</v>
      </c>
    </row>
    <row r="102" spans="1:4" x14ac:dyDescent="0.25">
      <c r="A102" t="s">
        <v>329</v>
      </c>
      <c r="B102" s="5" t="s">
        <v>592</v>
      </c>
      <c r="C102" t="s">
        <v>592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4" operator="notContains" id="{5F2FB2BA-ABCF-49F0-8E50-CBFC59848CDA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3" operator="notContains" id="{0BDC2AD5-87BC-4264-9493-804E69859E8D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7A7-268E-4791-87BA-973927C302C7}">
  <dimension ref="A1:G103"/>
  <sheetViews>
    <sheetView topLeftCell="A86" workbookViewId="0">
      <selection activeCell="B101" sqref="B101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1811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21</v>
      </c>
    </row>
    <row r="3" spans="1:7" x14ac:dyDescent="0.25">
      <c r="A3" s="5" t="s">
        <v>2002</v>
      </c>
      <c r="B3" s="5" t="s">
        <v>2027</v>
      </c>
      <c r="C3" s="5" t="s">
        <v>2027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2004</v>
      </c>
      <c r="C4" t="s">
        <v>132</v>
      </c>
      <c r="D4" t="b">
        <f>B4&lt;&gt;C4</f>
        <v>1</v>
      </c>
    </row>
    <row r="5" spans="1:7" x14ac:dyDescent="0.25">
      <c r="A5" t="s">
        <v>28</v>
      </c>
      <c r="B5" s="5" t="s">
        <v>33</v>
      </c>
      <c r="C5" t="s">
        <v>33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60</v>
      </c>
      <c r="C6" t="s">
        <v>60</v>
      </c>
      <c r="D6" t="b">
        <f t="shared" si="0"/>
        <v>0</v>
      </c>
      <c r="F6" s="1" t="s">
        <v>28</v>
      </c>
      <c r="G6" s="2">
        <f t="shared" ref="G6:G12" si="1">COUNTIF(A:A,F6)</f>
        <v>38</v>
      </c>
    </row>
    <row r="7" spans="1:7" x14ac:dyDescent="0.25">
      <c r="A7" t="s">
        <v>28</v>
      </c>
      <c r="B7" s="5" t="s">
        <v>144</v>
      </c>
      <c r="C7" t="s">
        <v>144</v>
      </c>
      <c r="D7" t="b">
        <f t="shared" si="0"/>
        <v>0</v>
      </c>
      <c r="F7" s="3" t="s">
        <v>2002</v>
      </c>
      <c r="G7" s="2">
        <f t="shared" si="1"/>
        <v>1</v>
      </c>
    </row>
    <row r="8" spans="1:7" x14ac:dyDescent="0.25">
      <c r="A8" t="s">
        <v>28</v>
      </c>
      <c r="B8" s="5" t="s">
        <v>131</v>
      </c>
      <c r="C8" t="s">
        <v>131</v>
      </c>
      <c r="D8" t="b">
        <f t="shared" si="0"/>
        <v>0</v>
      </c>
      <c r="F8" s="1" t="s">
        <v>34</v>
      </c>
      <c r="G8" s="2">
        <f t="shared" si="1"/>
        <v>10</v>
      </c>
    </row>
    <row r="9" spans="1:7" x14ac:dyDescent="0.25">
      <c r="A9" t="s">
        <v>28</v>
      </c>
      <c r="B9" s="5" t="s">
        <v>1836</v>
      </c>
      <c r="C9" t="s">
        <v>1836</v>
      </c>
      <c r="D9" t="b">
        <f t="shared" si="0"/>
        <v>0</v>
      </c>
      <c r="F9" s="1" t="s">
        <v>35</v>
      </c>
      <c r="G9" s="2">
        <f t="shared" si="1"/>
        <v>8</v>
      </c>
    </row>
    <row r="10" spans="1:7" x14ac:dyDescent="0.25">
      <c r="A10" t="s">
        <v>28</v>
      </c>
      <c r="B10" s="5" t="s">
        <v>1094</v>
      </c>
      <c r="C10" t="s">
        <v>1837</v>
      </c>
      <c r="D10" t="b">
        <f t="shared" si="0"/>
        <v>1</v>
      </c>
      <c r="F10" s="1" t="s">
        <v>61</v>
      </c>
      <c r="G10" s="2">
        <f t="shared" si="1"/>
        <v>8</v>
      </c>
    </row>
    <row r="11" spans="1:7" x14ac:dyDescent="0.25">
      <c r="A11" t="s">
        <v>28</v>
      </c>
      <c r="B11" s="5" t="s">
        <v>2005</v>
      </c>
      <c r="C11" t="s">
        <v>257</v>
      </c>
      <c r="D11" t="b">
        <f t="shared" si="0"/>
        <v>1</v>
      </c>
      <c r="F11" s="1" t="s">
        <v>139</v>
      </c>
      <c r="G11" s="2">
        <f t="shared" si="1"/>
        <v>18</v>
      </c>
    </row>
    <row r="12" spans="1:7" x14ac:dyDescent="0.25">
      <c r="A12" t="s">
        <v>28</v>
      </c>
      <c r="B12" s="5" t="s">
        <v>2006</v>
      </c>
      <c r="C12" t="s">
        <v>62</v>
      </c>
      <c r="D12" t="b">
        <f t="shared" si="0"/>
        <v>1</v>
      </c>
      <c r="F12" s="1" t="s">
        <v>143</v>
      </c>
      <c r="G12" s="2">
        <f t="shared" si="1"/>
        <v>17</v>
      </c>
    </row>
    <row r="13" spans="1:7" x14ac:dyDescent="0.25">
      <c r="A13" t="s">
        <v>28</v>
      </c>
      <c r="B13" s="5" t="s">
        <v>2007</v>
      </c>
      <c r="C13" t="s">
        <v>51</v>
      </c>
      <c r="D13" t="b">
        <f t="shared" si="0"/>
        <v>1</v>
      </c>
    </row>
    <row r="14" spans="1:7" x14ac:dyDescent="0.25">
      <c r="A14" t="s">
        <v>28</v>
      </c>
      <c r="B14" s="5" t="s">
        <v>145</v>
      </c>
      <c r="C14" t="s">
        <v>867</v>
      </c>
      <c r="D14" t="b">
        <f t="shared" si="0"/>
        <v>1</v>
      </c>
    </row>
    <row r="15" spans="1:7" x14ac:dyDescent="0.25">
      <c r="A15" t="s">
        <v>28</v>
      </c>
      <c r="B15" s="5" t="s">
        <v>1839</v>
      </c>
      <c r="C15" t="s">
        <v>1839</v>
      </c>
      <c r="D15" t="b">
        <f t="shared" si="0"/>
        <v>0</v>
      </c>
      <c r="F15" s="1"/>
      <c r="G15" s="2"/>
    </row>
    <row r="16" spans="1:7" x14ac:dyDescent="0.25">
      <c r="A16" t="s">
        <v>28</v>
      </c>
      <c r="B16" s="5" t="s">
        <v>78</v>
      </c>
      <c r="C16" t="s">
        <v>804</v>
      </c>
      <c r="D16" t="b">
        <f t="shared" si="0"/>
        <v>1</v>
      </c>
      <c r="F16" s="1"/>
      <c r="G16" s="2"/>
    </row>
    <row r="17" spans="1:7" x14ac:dyDescent="0.25">
      <c r="A17" t="s">
        <v>28</v>
      </c>
      <c r="B17" s="5" t="s">
        <v>470</v>
      </c>
      <c r="C17" t="s">
        <v>184</v>
      </c>
      <c r="D17" t="b">
        <f t="shared" si="0"/>
        <v>1</v>
      </c>
      <c r="F17" s="5"/>
      <c r="G17" s="2"/>
    </row>
    <row r="18" spans="1:7" x14ac:dyDescent="0.25">
      <c r="A18" t="s">
        <v>28</v>
      </c>
      <c r="B18" s="5" t="s">
        <v>77</v>
      </c>
      <c r="C18" t="s">
        <v>1840</v>
      </c>
      <c r="D18" t="b">
        <f t="shared" si="0"/>
        <v>1</v>
      </c>
      <c r="F18" s="5"/>
      <c r="G18" s="2"/>
    </row>
    <row r="19" spans="1:7" x14ac:dyDescent="0.25">
      <c r="A19" t="s">
        <v>28</v>
      </c>
      <c r="B19" s="5" t="s">
        <v>77</v>
      </c>
      <c r="C19" t="s">
        <v>77</v>
      </c>
      <c r="D19" t="b">
        <f t="shared" si="0"/>
        <v>0</v>
      </c>
    </row>
    <row r="20" spans="1:7" x14ac:dyDescent="0.25">
      <c r="A20" t="s">
        <v>28</v>
      </c>
      <c r="B20" s="5" t="s">
        <v>77</v>
      </c>
      <c r="C20" t="s">
        <v>77</v>
      </c>
      <c r="D20" t="b">
        <f t="shared" si="0"/>
        <v>0</v>
      </c>
    </row>
    <row r="21" spans="1:7" x14ac:dyDescent="0.25">
      <c r="A21" t="s">
        <v>28</v>
      </c>
      <c r="B21" s="5" t="s">
        <v>77</v>
      </c>
      <c r="C21" t="s">
        <v>77</v>
      </c>
      <c r="D21" t="b">
        <f t="shared" si="0"/>
        <v>0</v>
      </c>
    </row>
    <row r="22" spans="1:7" x14ac:dyDescent="0.25">
      <c r="A22" t="s">
        <v>28</v>
      </c>
      <c r="B22" s="5" t="s">
        <v>77</v>
      </c>
      <c r="C22" t="s">
        <v>77</v>
      </c>
      <c r="D22" t="b">
        <f t="shared" si="0"/>
        <v>0</v>
      </c>
    </row>
    <row r="23" spans="1:7" x14ac:dyDescent="0.25">
      <c r="A23" t="s">
        <v>28</v>
      </c>
      <c r="B23" s="5" t="s">
        <v>77</v>
      </c>
      <c r="C23" t="s">
        <v>77</v>
      </c>
      <c r="D23" t="b">
        <f t="shared" si="0"/>
        <v>0</v>
      </c>
    </row>
    <row r="24" spans="1:7" x14ac:dyDescent="0.25">
      <c r="A24" t="s">
        <v>28</v>
      </c>
      <c r="B24" s="5" t="s">
        <v>77</v>
      </c>
      <c r="C24" t="s">
        <v>77</v>
      </c>
      <c r="D24" t="b">
        <f t="shared" si="0"/>
        <v>0</v>
      </c>
    </row>
    <row r="25" spans="1:7" x14ac:dyDescent="0.25">
      <c r="A25" t="s">
        <v>28</v>
      </c>
      <c r="B25" s="5" t="s">
        <v>77</v>
      </c>
      <c r="C25" t="s">
        <v>77</v>
      </c>
      <c r="D25" t="b">
        <f t="shared" si="0"/>
        <v>0</v>
      </c>
    </row>
    <row r="26" spans="1:7" x14ac:dyDescent="0.25">
      <c r="A26" t="s">
        <v>28</v>
      </c>
      <c r="B26" s="5" t="s">
        <v>77</v>
      </c>
      <c r="C26" t="s">
        <v>77</v>
      </c>
      <c r="D26" t="b">
        <f t="shared" si="0"/>
        <v>0</v>
      </c>
    </row>
    <row r="27" spans="1:7" x14ac:dyDescent="0.25">
      <c r="A27" t="s">
        <v>28</v>
      </c>
      <c r="B27" s="5" t="s">
        <v>78</v>
      </c>
      <c r="C27" t="s">
        <v>78</v>
      </c>
      <c r="D27" t="b">
        <f t="shared" si="0"/>
        <v>0</v>
      </c>
    </row>
    <row r="28" spans="1:7" x14ac:dyDescent="0.25">
      <c r="A28" t="s">
        <v>28</v>
      </c>
      <c r="B28" s="5" t="s">
        <v>78</v>
      </c>
      <c r="C28" t="s">
        <v>78</v>
      </c>
      <c r="D28" t="b">
        <f t="shared" si="0"/>
        <v>0</v>
      </c>
    </row>
    <row r="29" spans="1:7" x14ac:dyDescent="0.25">
      <c r="A29" t="s">
        <v>28</v>
      </c>
      <c r="B29" s="5" t="s">
        <v>78</v>
      </c>
      <c r="C29" t="s">
        <v>78</v>
      </c>
      <c r="D29" t="b">
        <f t="shared" si="0"/>
        <v>0</v>
      </c>
    </row>
    <row r="30" spans="1:7" x14ac:dyDescent="0.25">
      <c r="A30" t="s">
        <v>28</v>
      </c>
      <c r="B30" s="5" t="s">
        <v>78</v>
      </c>
      <c r="C30" t="s">
        <v>78</v>
      </c>
      <c r="D30" t="b">
        <f t="shared" si="0"/>
        <v>0</v>
      </c>
    </row>
    <row r="31" spans="1:7" x14ac:dyDescent="0.25">
      <c r="A31" t="s">
        <v>28</v>
      </c>
      <c r="B31" s="5" t="s">
        <v>78</v>
      </c>
      <c r="C31" t="s">
        <v>78</v>
      </c>
      <c r="D31" t="b">
        <f t="shared" si="0"/>
        <v>0</v>
      </c>
    </row>
    <row r="32" spans="1:7" x14ac:dyDescent="0.25">
      <c r="A32" t="s">
        <v>28</v>
      </c>
      <c r="B32" s="5" t="s">
        <v>78</v>
      </c>
      <c r="C32" t="s">
        <v>78</v>
      </c>
      <c r="D32" t="b">
        <f t="shared" si="0"/>
        <v>0</v>
      </c>
    </row>
    <row r="33" spans="1:6" x14ac:dyDescent="0.25">
      <c r="A33" t="s">
        <v>28</v>
      </c>
      <c r="B33" s="5" t="s">
        <v>78</v>
      </c>
      <c r="C33" t="s">
        <v>78</v>
      </c>
      <c r="D33" t="b">
        <f t="shared" si="0"/>
        <v>0</v>
      </c>
    </row>
    <row r="34" spans="1:6" x14ac:dyDescent="0.25">
      <c r="A34" t="s">
        <v>28</v>
      </c>
      <c r="B34" s="5" t="s">
        <v>78</v>
      </c>
      <c r="C34" t="s">
        <v>78</v>
      </c>
      <c r="D34" t="b">
        <f t="shared" si="0"/>
        <v>0</v>
      </c>
    </row>
    <row r="35" spans="1:6" x14ac:dyDescent="0.25">
      <c r="A35" t="s">
        <v>28</v>
      </c>
      <c r="B35" s="5" t="s">
        <v>145</v>
      </c>
      <c r="C35" t="s">
        <v>145</v>
      </c>
      <c r="D35" t="b">
        <f t="shared" si="0"/>
        <v>0</v>
      </c>
    </row>
    <row r="36" spans="1:6" x14ac:dyDescent="0.25">
      <c r="A36" t="s">
        <v>28</v>
      </c>
      <c r="B36" s="5" t="s">
        <v>145</v>
      </c>
      <c r="C36" t="s">
        <v>145</v>
      </c>
      <c r="D36" t="b">
        <f t="shared" si="0"/>
        <v>0</v>
      </c>
    </row>
    <row r="37" spans="1:6" x14ac:dyDescent="0.25">
      <c r="A37" t="s">
        <v>28</v>
      </c>
      <c r="B37" s="5" t="s">
        <v>145</v>
      </c>
      <c r="C37" t="s">
        <v>145</v>
      </c>
      <c r="D37" t="b">
        <f t="shared" si="0"/>
        <v>0</v>
      </c>
    </row>
    <row r="38" spans="1:6" x14ac:dyDescent="0.25">
      <c r="A38" t="s">
        <v>28</v>
      </c>
      <c r="B38" s="5" t="s">
        <v>145</v>
      </c>
      <c r="C38" t="s">
        <v>145</v>
      </c>
      <c r="D38" t="b">
        <f t="shared" si="0"/>
        <v>0</v>
      </c>
    </row>
    <row r="39" spans="1:6" x14ac:dyDescent="0.25">
      <c r="A39" t="s">
        <v>28</v>
      </c>
      <c r="B39" s="5" t="s">
        <v>145</v>
      </c>
      <c r="C39" t="s">
        <v>145</v>
      </c>
      <c r="D39" t="b">
        <f t="shared" si="0"/>
        <v>0</v>
      </c>
    </row>
    <row r="40" spans="1:6" x14ac:dyDescent="0.25">
      <c r="A40" t="s">
        <v>28</v>
      </c>
      <c r="B40" s="5" t="s">
        <v>145</v>
      </c>
      <c r="C40" t="s">
        <v>145</v>
      </c>
      <c r="D40" t="b">
        <f t="shared" si="0"/>
        <v>0</v>
      </c>
    </row>
    <row r="41" spans="1:6" x14ac:dyDescent="0.25">
      <c r="A41" t="s">
        <v>28</v>
      </c>
      <c r="B41" s="5" t="s">
        <v>145</v>
      </c>
      <c r="C41" t="s">
        <v>145</v>
      </c>
      <c r="D41" t="b">
        <f t="shared" si="0"/>
        <v>0</v>
      </c>
    </row>
    <row r="42" spans="1:6" x14ac:dyDescent="0.25">
      <c r="A42" t="s">
        <v>34</v>
      </c>
      <c r="B42" s="5" t="s">
        <v>2014</v>
      </c>
      <c r="C42" t="s">
        <v>198</v>
      </c>
      <c r="D42" t="b">
        <f t="shared" si="0"/>
        <v>1</v>
      </c>
    </row>
    <row r="43" spans="1:6" x14ac:dyDescent="0.25">
      <c r="A43" t="s">
        <v>34</v>
      </c>
      <c r="B43" s="5" t="s">
        <v>149</v>
      </c>
      <c r="C43" t="s">
        <v>149</v>
      </c>
      <c r="D43" t="b">
        <f t="shared" si="0"/>
        <v>0</v>
      </c>
    </row>
    <row r="44" spans="1:6" x14ac:dyDescent="0.25">
      <c r="A44" t="s">
        <v>34</v>
      </c>
      <c r="B44" s="5" t="s">
        <v>202</v>
      </c>
      <c r="C44" t="s">
        <v>202</v>
      </c>
      <c r="D44" t="b">
        <f t="shared" si="0"/>
        <v>0</v>
      </c>
    </row>
    <row r="45" spans="1:6" x14ac:dyDescent="0.25">
      <c r="A45" t="s">
        <v>34</v>
      </c>
      <c r="B45" s="5" t="s">
        <v>550</v>
      </c>
      <c r="C45" t="s">
        <v>550</v>
      </c>
      <c r="D45" t="b">
        <f t="shared" si="0"/>
        <v>0</v>
      </c>
    </row>
    <row r="46" spans="1:6" x14ac:dyDescent="0.25">
      <c r="A46" t="s">
        <v>34</v>
      </c>
      <c r="B46" s="5" t="s">
        <v>150</v>
      </c>
      <c r="C46" t="s">
        <v>150</v>
      </c>
      <c r="D46" t="b">
        <f t="shared" si="0"/>
        <v>0</v>
      </c>
    </row>
    <row r="47" spans="1:6" x14ac:dyDescent="0.25">
      <c r="A47" t="s">
        <v>34</v>
      </c>
      <c r="B47" s="5" t="s">
        <v>152</v>
      </c>
      <c r="C47" t="s">
        <v>152</v>
      </c>
      <c r="D47" t="b">
        <f t="shared" si="0"/>
        <v>0</v>
      </c>
    </row>
    <row r="48" spans="1:6" x14ac:dyDescent="0.25">
      <c r="A48" t="s">
        <v>34</v>
      </c>
      <c r="B48" s="5" t="s">
        <v>2012</v>
      </c>
      <c r="C48" t="s">
        <v>203</v>
      </c>
      <c r="D48" t="b">
        <f t="shared" si="0"/>
        <v>1</v>
      </c>
      <c r="F48"/>
    </row>
    <row r="49" spans="1:6" x14ac:dyDescent="0.25">
      <c r="A49" t="s">
        <v>34</v>
      </c>
      <c r="B49" s="5" t="s">
        <v>2013</v>
      </c>
      <c r="C49" t="s">
        <v>204</v>
      </c>
      <c r="D49" t="b">
        <f t="shared" si="0"/>
        <v>1</v>
      </c>
    </row>
    <row r="50" spans="1:6" x14ac:dyDescent="0.25">
      <c r="A50" t="s">
        <v>34</v>
      </c>
      <c r="B50" s="5" t="s">
        <v>1838</v>
      </c>
      <c r="C50" t="s">
        <v>1838</v>
      </c>
      <c r="D50" t="b">
        <f t="shared" si="0"/>
        <v>0</v>
      </c>
    </row>
    <row r="51" spans="1:6" x14ac:dyDescent="0.25">
      <c r="A51" t="s">
        <v>34</v>
      </c>
      <c r="B51" s="5" t="s">
        <v>284</v>
      </c>
      <c r="C51" t="s">
        <v>284</v>
      </c>
      <c r="D51" t="b">
        <f t="shared" si="0"/>
        <v>0</v>
      </c>
    </row>
    <row r="52" spans="1:6" x14ac:dyDescent="0.25">
      <c r="A52" t="s">
        <v>35</v>
      </c>
      <c r="B52" s="5" t="s">
        <v>1832</v>
      </c>
      <c r="C52" t="s">
        <v>1832</v>
      </c>
      <c r="D52" t="b">
        <f t="shared" si="0"/>
        <v>0</v>
      </c>
    </row>
    <row r="53" spans="1:6" x14ac:dyDescent="0.25">
      <c r="A53" t="s">
        <v>35</v>
      </c>
      <c r="B53" s="5" t="s">
        <v>85</v>
      </c>
      <c r="C53" t="s">
        <v>85</v>
      </c>
      <c r="D53" t="b">
        <f t="shared" si="0"/>
        <v>0</v>
      </c>
    </row>
    <row r="54" spans="1:6" x14ac:dyDescent="0.25">
      <c r="A54" t="s">
        <v>35</v>
      </c>
      <c r="B54" s="5" t="s">
        <v>154</v>
      </c>
      <c r="C54" t="s">
        <v>154</v>
      </c>
      <c r="D54" t="b">
        <f t="shared" si="0"/>
        <v>0</v>
      </c>
      <c r="F54"/>
    </row>
    <row r="55" spans="1:6" x14ac:dyDescent="0.25">
      <c r="A55" t="s">
        <v>35</v>
      </c>
      <c r="B55" s="5" t="s">
        <v>155</v>
      </c>
      <c r="C55" t="s">
        <v>155</v>
      </c>
      <c r="D55" t="b">
        <f t="shared" si="0"/>
        <v>0</v>
      </c>
    </row>
    <row r="56" spans="1:6" x14ac:dyDescent="0.25">
      <c r="A56" t="s">
        <v>35</v>
      </c>
      <c r="B56" s="5" t="s">
        <v>156</v>
      </c>
      <c r="C56" t="s">
        <v>156</v>
      </c>
      <c r="D56" t="b">
        <f t="shared" si="0"/>
        <v>0</v>
      </c>
    </row>
    <row r="57" spans="1:6" x14ac:dyDescent="0.25">
      <c r="A57" t="s">
        <v>35</v>
      </c>
      <c r="B57" s="5" t="s">
        <v>157</v>
      </c>
      <c r="C57" t="s">
        <v>1816</v>
      </c>
      <c r="D57" t="b">
        <f t="shared" si="0"/>
        <v>1</v>
      </c>
    </row>
    <row r="58" spans="1:6" x14ac:dyDescent="0.25">
      <c r="A58" t="s">
        <v>35</v>
      </c>
      <c r="B58" s="5" t="s">
        <v>158</v>
      </c>
      <c r="C58" t="s">
        <v>158</v>
      </c>
      <c r="D58" t="b">
        <f t="shared" si="0"/>
        <v>0</v>
      </c>
    </row>
    <row r="59" spans="1:6" x14ac:dyDescent="0.25">
      <c r="A59" t="s">
        <v>35</v>
      </c>
      <c r="B59" s="5" t="s">
        <v>1823</v>
      </c>
      <c r="C59" t="s">
        <v>1823</v>
      </c>
      <c r="D59" t="b">
        <f t="shared" si="0"/>
        <v>0</v>
      </c>
    </row>
    <row r="60" spans="1:6" x14ac:dyDescent="0.25">
      <c r="A60" t="s">
        <v>61</v>
      </c>
      <c r="B60" s="5" t="s">
        <v>166</v>
      </c>
      <c r="C60" t="s">
        <v>166</v>
      </c>
      <c r="D60" t="b">
        <f t="shared" si="0"/>
        <v>0</v>
      </c>
      <c r="F60"/>
    </row>
    <row r="61" spans="1:6" x14ac:dyDescent="0.25">
      <c r="A61" t="s">
        <v>61</v>
      </c>
      <c r="B61" s="5" t="s">
        <v>168</v>
      </c>
      <c r="C61" t="s">
        <v>168</v>
      </c>
      <c r="D61" t="b">
        <f t="shared" si="0"/>
        <v>0</v>
      </c>
      <c r="F61"/>
    </row>
    <row r="62" spans="1:6" x14ac:dyDescent="0.25">
      <c r="A62" t="s">
        <v>61</v>
      </c>
      <c r="B62" s="5" t="s">
        <v>169</v>
      </c>
      <c r="C62" t="s">
        <v>169</v>
      </c>
      <c r="D62" t="b">
        <f t="shared" si="0"/>
        <v>0</v>
      </c>
      <c r="F62"/>
    </row>
    <row r="63" spans="1:6" x14ac:dyDescent="0.25">
      <c r="A63" t="s">
        <v>61</v>
      </c>
      <c r="B63" s="5" t="s">
        <v>171</v>
      </c>
      <c r="C63" t="s">
        <v>171</v>
      </c>
      <c r="D63" t="b">
        <f t="shared" si="0"/>
        <v>0</v>
      </c>
      <c r="F63"/>
    </row>
    <row r="64" spans="1:6" x14ac:dyDescent="0.25">
      <c r="A64" t="s">
        <v>61</v>
      </c>
      <c r="B64" s="5" t="s">
        <v>120</v>
      </c>
      <c r="C64" t="s">
        <v>120</v>
      </c>
      <c r="D64" t="b">
        <f t="shared" si="0"/>
        <v>0</v>
      </c>
      <c r="F64"/>
    </row>
    <row r="65" spans="1:6" x14ac:dyDescent="0.25">
      <c r="A65" t="s">
        <v>61</v>
      </c>
      <c r="B65" s="5" t="s">
        <v>119</v>
      </c>
      <c r="C65" t="s">
        <v>699</v>
      </c>
      <c r="D65" t="b">
        <f t="shared" si="0"/>
        <v>1</v>
      </c>
    </row>
    <row r="66" spans="1:6" x14ac:dyDescent="0.25">
      <c r="A66" t="s">
        <v>61</v>
      </c>
      <c r="B66" s="5" t="s">
        <v>783</v>
      </c>
      <c r="C66" t="s">
        <v>967</v>
      </c>
      <c r="D66" t="b">
        <f t="shared" si="0"/>
        <v>1</v>
      </c>
      <c r="F66"/>
    </row>
    <row r="67" spans="1:6" x14ac:dyDescent="0.25">
      <c r="A67" t="s">
        <v>61</v>
      </c>
      <c r="B67" s="5" t="s">
        <v>1834</v>
      </c>
      <c r="C67" t="s">
        <v>1834</v>
      </c>
      <c r="D67" t="b">
        <f t="shared" si="0"/>
        <v>0</v>
      </c>
      <c r="F67"/>
    </row>
    <row r="68" spans="1:6" x14ac:dyDescent="0.25">
      <c r="A68" t="s">
        <v>139</v>
      </c>
      <c r="B68" s="5" t="s">
        <v>1821</v>
      </c>
      <c r="C68" t="s">
        <v>1821</v>
      </c>
      <c r="D68" t="b">
        <f t="shared" si="0"/>
        <v>0</v>
      </c>
      <c r="F68"/>
    </row>
    <row r="69" spans="1:6" x14ac:dyDescent="0.25">
      <c r="A69" t="s">
        <v>139</v>
      </c>
      <c r="B69" s="5" t="s">
        <v>1819</v>
      </c>
      <c r="C69" t="s">
        <v>1819</v>
      </c>
      <c r="D69" t="b">
        <f t="shared" ref="D69:D103" si="2">B69&lt;&gt;C69</f>
        <v>0</v>
      </c>
      <c r="F69"/>
    </row>
    <row r="70" spans="1:6" x14ac:dyDescent="0.25">
      <c r="A70" t="s">
        <v>139</v>
      </c>
      <c r="B70" s="5" t="s">
        <v>1822</v>
      </c>
      <c r="C70" t="s">
        <v>1822</v>
      </c>
      <c r="D70" t="b">
        <f t="shared" si="2"/>
        <v>0</v>
      </c>
      <c r="F70"/>
    </row>
    <row r="71" spans="1:6" x14ac:dyDescent="0.25">
      <c r="A71" t="s">
        <v>139</v>
      </c>
      <c r="B71" s="5" t="s">
        <v>1817</v>
      </c>
      <c r="C71" t="s">
        <v>1817</v>
      </c>
      <c r="D71" t="b">
        <f t="shared" si="2"/>
        <v>0</v>
      </c>
      <c r="F71"/>
    </row>
    <row r="72" spans="1:6" x14ac:dyDescent="0.25">
      <c r="A72" t="s">
        <v>139</v>
      </c>
      <c r="B72" s="5" t="s">
        <v>1835</v>
      </c>
      <c r="C72" t="s">
        <v>1835</v>
      </c>
      <c r="D72" t="b">
        <f t="shared" si="2"/>
        <v>0</v>
      </c>
      <c r="F72" s="5"/>
    </row>
    <row r="73" spans="1:6" x14ac:dyDescent="0.25">
      <c r="A73" t="s">
        <v>139</v>
      </c>
      <c r="B73" s="5" t="s">
        <v>1814</v>
      </c>
      <c r="C73" t="s">
        <v>1814</v>
      </c>
      <c r="D73" t="b">
        <f t="shared" si="2"/>
        <v>0</v>
      </c>
      <c r="F73" s="5"/>
    </row>
    <row r="74" spans="1:6" x14ac:dyDescent="0.25">
      <c r="A74" t="s">
        <v>139</v>
      </c>
      <c r="B74" s="5" t="s">
        <v>1830</v>
      </c>
      <c r="C74" t="s">
        <v>1830</v>
      </c>
      <c r="D74" t="b">
        <f t="shared" si="2"/>
        <v>0</v>
      </c>
      <c r="F74" s="5"/>
    </row>
    <row r="75" spans="1:6" x14ac:dyDescent="0.25">
      <c r="A75" t="s">
        <v>139</v>
      </c>
      <c r="B75" s="5" t="s">
        <v>159</v>
      </c>
      <c r="C75" t="s">
        <v>159</v>
      </c>
      <c r="D75" t="b">
        <f t="shared" si="2"/>
        <v>0</v>
      </c>
    </row>
    <row r="76" spans="1:6" x14ac:dyDescent="0.25">
      <c r="A76" t="s">
        <v>139</v>
      </c>
      <c r="B76" s="5" t="s">
        <v>164</v>
      </c>
      <c r="C76" t="s">
        <v>164</v>
      </c>
      <c r="D76" t="b">
        <f t="shared" si="2"/>
        <v>0</v>
      </c>
    </row>
    <row r="77" spans="1:6" x14ac:dyDescent="0.25">
      <c r="A77" t="s">
        <v>139</v>
      </c>
      <c r="B77" s="5" t="s">
        <v>161</v>
      </c>
      <c r="C77" t="s">
        <v>161</v>
      </c>
      <c r="D77" t="b">
        <f t="shared" si="2"/>
        <v>0</v>
      </c>
    </row>
    <row r="78" spans="1:6" x14ac:dyDescent="0.25">
      <c r="A78" t="s">
        <v>139</v>
      </c>
      <c r="B78" s="5" t="s">
        <v>1820</v>
      </c>
      <c r="C78" t="s">
        <v>1820</v>
      </c>
      <c r="D78" t="b">
        <f t="shared" si="2"/>
        <v>0</v>
      </c>
    </row>
    <row r="79" spans="1:6" x14ac:dyDescent="0.25">
      <c r="A79" t="s">
        <v>139</v>
      </c>
      <c r="B79" s="5" t="s">
        <v>1826</v>
      </c>
      <c r="C79" t="s">
        <v>1826</v>
      </c>
      <c r="D79" t="b">
        <f t="shared" si="2"/>
        <v>0</v>
      </c>
    </row>
    <row r="80" spans="1:6" x14ac:dyDescent="0.25">
      <c r="A80" t="s">
        <v>139</v>
      </c>
      <c r="B80" s="5" t="s">
        <v>1891</v>
      </c>
      <c r="C80" t="s">
        <v>1896</v>
      </c>
      <c r="D80" t="b">
        <f t="shared" si="2"/>
        <v>1</v>
      </c>
      <c r="F80"/>
    </row>
    <row r="81" spans="1:6" x14ac:dyDescent="0.25">
      <c r="A81" t="s">
        <v>139</v>
      </c>
      <c r="B81" s="5" t="s">
        <v>1833</v>
      </c>
      <c r="C81" t="s">
        <v>1815</v>
      </c>
      <c r="D81" t="b">
        <f t="shared" si="2"/>
        <v>1</v>
      </c>
      <c r="F81"/>
    </row>
    <row r="82" spans="1:6" x14ac:dyDescent="0.25">
      <c r="A82" t="s">
        <v>139</v>
      </c>
      <c r="B82" s="5" t="s">
        <v>162</v>
      </c>
      <c r="C82" s="5" t="s">
        <v>1824</v>
      </c>
      <c r="D82" t="b">
        <f t="shared" si="2"/>
        <v>1</v>
      </c>
      <c r="E82" s="5"/>
    </row>
    <row r="83" spans="1:6" x14ac:dyDescent="0.25">
      <c r="A83" t="s">
        <v>139</v>
      </c>
      <c r="B83" s="5" t="s">
        <v>1831</v>
      </c>
      <c r="C83" t="s">
        <v>1818</v>
      </c>
      <c r="D83" t="b">
        <f t="shared" si="2"/>
        <v>1</v>
      </c>
    </row>
    <row r="84" spans="1:6" x14ac:dyDescent="0.25">
      <c r="A84" t="s">
        <v>139</v>
      </c>
      <c r="B84" s="5" t="s">
        <v>1892</v>
      </c>
      <c r="C84" t="s">
        <v>1841</v>
      </c>
      <c r="D84" t="b">
        <f t="shared" si="2"/>
        <v>1</v>
      </c>
    </row>
    <row r="85" spans="1:6" x14ac:dyDescent="0.25">
      <c r="A85" t="s">
        <v>139</v>
      </c>
      <c r="B85" s="5" t="s">
        <v>163</v>
      </c>
      <c r="C85" t="s">
        <v>163</v>
      </c>
      <c r="D85" t="b">
        <f t="shared" si="2"/>
        <v>0</v>
      </c>
      <c r="E85" s="5"/>
    </row>
    <row r="86" spans="1:6" x14ac:dyDescent="0.25">
      <c r="A86" t="s">
        <v>143</v>
      </c>
      <c r="B86" s="5" t="s">
        <v>240</v>
      </c>
      <c r="C86" t="s">
        <v>240</v>
      </c>
      <c r="D86" t="b">
        <f t="shared" si="2"/>
        <v>0</v>
      </c>
    </row>
    <row r="87" spans="1:6" x14ac:dyDescent="0.25">
      <c r="A87" t="s">
        <v>143</v>
      </c>
      <c r="B87" s="5" t="s">
        <v>1527</v>
      </c>
      <c r="C87" t="s">
        <v>1527</v>
      </c>
      <c r="D87" t="b">
        <f t="shared" si="2"/>
        <v>0</v>
      </c>
      <c r="F87" s="5"/>
    </row>
    <row r="88" spans="1:6" x14ac:dyDescent="0.25">
      <c r="A88" t="s">
        <v>143</v>
      </c>
      <c r="B88" s="5" t="s">
        <v>1012</v>
      </c>
      <c r="C88" t="s">
        <v>1012</v>
      </c>
      <c r="D88" t="b">
        <f t="shared" si="2"/>
        <v>0</v>
      </c>
      <c r="F88" s="5"/>
    </row>
    <row r="89" spans="1:6" x14ac:dyDescent="0.25">
      <c r="A89" t="s">
        <v>143</v>
      </c>
      <c r="B89" s="5" t="s">
        <v>1827</v>
      </c>
      <c r="C89" t="s">
        <v>1827</v>
      </c>
      <c r="D89" t="b">
        <f t="shared" si="2"/>
        <v>0</v>
      </c>
      <c r="F89" s="5"/>
    </row>
    <row r="90" spans="1:6" x14ac:dyDescent="0.25">
      <c r="A90" t="s">
        <v>143</v>
      </c>
      <c r="B90" s="5" t="s">
        <v>160</v>
      </c>
      <c r="C90" t="s">
        <v>160</v>
      </c>
      <c r="D90" t="b">
        <f t="shared" si="2"/>
        <v>0</v>
      </c>
      <c r="F90" s="5"/>
    </row>
    <row r="91" spans="1:6" x14ac:dyDescent="0.25">
      <c r="A91" t="s">
        <v>143</v>
      </c>
      <c r="B91" s="5" t="s">
        <v>172</v>
      </c>
      <c r="C91" t="s">
        <v>172</v>
      </c>
      <c r="D91" t="b">
        <f t="shared" si="2"/>
        <v>0</v>
      </c>
      <c r="F91" s="5"/>
    </row>
    <row r="92" spans="1:6" x14ac:dyDescent="0.25">
      <c r="A92" t="s">
        <v>143</v>
      </c>
      <c r="B92" s="5" t="s">
        <v>165</v>
      </c>
      <c r="C92" t="s">
        <v>165</v>
      </c>
      <c r="D92" t="b">
        <f t="shared" si="2"/>
        <v>0</v>
      </c>
    </row>
    <row r="93" spans="1:6" x14ac:dyDescent="0.25">
      <c r="A93" t="s">
        <v>143</v>
      </c>
      <c r="B93" s="5" t="s">
        <v>174</v>
      </c>
      <c r="C93" t="s">
        <v>174</v>
      </c>
      <c r="D93" t="b">
        <f t="shared" si="2"/>
        <v>0</v>
      </c>
    </row>
    <row r="94" spans="1:6" x14ac:dyDescent="0.25">
      <c r="A94" t="s">
        <v>143</v>
      </c>
      <c r="B94" s="5" t="s">
        <v>1890</v>
      </c>
      <c r="C94" s="5" t="s">
        <v>1829</v>
      </c>
      <c r="D94" t="b">
        <f t="shared" si="2"/>
        <v>1</v>
      </c>
    </row>
    <row r="95" spans="1:6" x14ac:dyDescent="0.25">
      <c r="A95" t="s">
        <v>143</v>
      </c>
      <c r="B95" s="5" t="s">
        <v>175</v>
      </c>
      <c r="C95" t="s">
        <v>175</v>
      </c>
      <c r="D95" t="b">
        <f t="shared" si="2"/>
        <v>0</v>
      </c>
      <c r="F95"/>
    </row>
    <row r="96" spans="1:6" x14ac:dyDescent="0.25">
      <c r="A96" t="s">
        <v>143</v>
      </c>
      <c r="B96" s="5" t="s">
        <v>1825</v>
      </c>
      <c r="C96" t="s">
        <v>1825</v>
      </c>
      <c r="D96" t="b">
        <f t="shared" si="2"/>
        <v>0</v>
      </c>
      <c r="F96"/>
    </row>
    <row r="97" spans="1:6" x14ac:dyDescent="0.25">
      <c r="A97" t="s">
        <v>143</v>
      </c>
      <c r="B97" s="5" t="s">
        <v>173</v>
      </c>
      <c r="C97" t="s">
        <v>173</v>
      </c>
      <c r="D97" t="b">
        <f t="shared" si="2"/>
        <v>0</v>
      </c>
      <c r="F97"/>
    </row>
    <row r="98" spans="1:6" x14ac:dyDescent="0.25">
      <c r="A98" t="s">
        <v>143</v>
      </c>
      <c r="B98" s="5" t="s">
        <v>954</v>
      </c>
      <c r="C98" t="s">
        <v>954</v>
      </c>
      <c r="D98" t="b">
        <f t="shared" si="2"/>
        <v>0</v>
      </c>
    </row>
    <row r="99" spans="1:6" x14ac:dyDescent="0.25">
      <c r="A99" t="s">
        <v>143</v>
      </c>
      <c r="B99" s="5" t="s">
        <v>1813</v>
      </c>
      <c r="C99" t="s">
        <v>1813</v>
      </c>
      <c r="D99" t="b">
        <f t="shared" si="2"/>
        <v>0</v>
      </c>
    </row>
    <row r="100" spans="1:6" x14ac:dyDescent="0.25">
      <c r="A100" t="s">
        <v>143</v>
      </c>
      <c r="B100" s="5" t="s">
        <v>1396</v>
      </c>
      <c r="C100" s="5" t="s">
        <v>1396</v>
      </c>
      <c r="D100" t="b">
        <f t="shared" si="2"/>
        <v>0</v>
      </c>
    </row>
    <row r="101" spans="1:6" x14ac:dyDescent="0.25">
      <c r="A101" t="s">
        <v>143</v>
      </c>
      <c r="B101" s="5" t="s">
        <v>1603</v>
      </c>
      <c r="C101" s="5" t="s">
        <v>1603</v>
      </c>
      <c r="D101" t="b">
        <f t="shared" si="2"/>
        <v>0</v>
      </c>
    </row>
    <row r="102" spans="1:6" x14ac:dyDescent="0.25">
      <c r="A102" t="s">
        <v>143</v>
      </c>
      <c r="B102" s="5" t="s">
        <v>1828</v>
      </c>
      <c r="C102" s="5" t="s">
        <v>1828</v>
      </c>
      <c r="D102" t="b">
        <f t="shared" si="2"/>
        <v>0</v>
      </c>
    </row>
    <row r="103" spans="1:6" x14ac:dyDescent="0.25">
      <c r="D10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D0832E6-023F-4592-B6DF-6ECDEF47329B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1D5CD8FC-85B7-4EB9-A058-6CFFDA9BD61D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53AA-B15A-48C2-8C15-C59963A4D3D5}">
  <sheetPr codeName="Planilha25"/>
  <dimension ref="A1:G102"/>
  <sheetViews>
    <sheetView topLeftCell="A12" workbookViewId="0">
      <selection activeCell="B4" sqref="B4"/>
    </sheetView>
  </sheetViews>
  <sheetFormatPr defaultRowHeight="15" x14ac:dyDescent="0.25"/>
  <cols>
    <col min="1" max="1" width="12.5703125" style="5" bestFit="1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46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11</v>
      </c>
    </row>
    <row r="3" spans="1:7" x14ac:dyDescent="0.25">
      <c r="A3" s="21" t="s">
        <v>2002</v>
      </c>
      <c r="B3" s="5" t="s">
        <v>2045</v>
      </c>
      <c r="C3" s="5" t="s">
        <v>2045</v>
      </c>
      <c r="D3" t="b">
        <f>B3&lt;&gt;C3</f>
        <v>0</v>
      </c>
      <c r="F3" s="4" t="s">
        <v>30</v>
      </c>
      <c r="G3" s="3">
        <f>SUM(G6:G24)</f>
        <v>100</v>
      </c>
    </row>
    <row r="4" spans="1:7" x14ac:dyDescent="0.25">
      <c r="A4" t="s">
        <v>28</v>
      </c>
      <c r="B4" s="5" t="s">
        <v>1261</v>
      </c>
      <c r="C4" t="s">
        <v>1261</v>
      </c>
      <c r="D4" t="b">
        <f>B4&lt;&gt;C4</f>
        <v>0</v>
      </c>
    </row>
    <row r="5" spans="1:7" x14ac:dyDescent="0.25">
      <c r="A5" t="s">
        <v>28</v>
      </c>
      <c r="B5" s="5" t="s">
        <v>1262</v>
      </c>
      <c r="C5" t="s">
        <v>1262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605</v>
      </c>
      <c r="C6" t="s">
        <v>605</v>
      </c>
      <c r="D6" t="b">
        <f t="shared" si="0"/>
        <v>0</v>
      </c>
      <c r="F6" s="3" t="s">
        <v>2002</v>
      </c>
      <c r="G6" s="2">
        <f t="shared" ref="G6:G14" si="1">COUNTIF(A:A,F6)</f>
        <v>1</v>
      </c>
    </row>
    <row r="7" spans="1:7" x14ac:dyDescent="0.25">
      <c r="A7" t="s">
        <v>28</v>
      </c>
      <c r="B7" s="5" t="s">
        <v>1263</v>
      </c>
      <c r="C7" t="s">
        <v>1263</v>
      </c>
      <c r="D7" t="b">
        <f t="shared" si="0"/>
        <v>0</v>
      </c>
      <c r="F7" s="7" t="s">
        <v>28</v>
      </c>
      <c r="G7" s="2">
        <f t="shared" si="1"/>
        <v>35</v>
      </c>
    </row>
    <row r="8" spans="1:7" x14ac:dyDescent="0.25">
      <c r="A8" t="s">
        <v>28</v>
      </c>
      <c r="B8" s="5" t="s">
        <v>1264</v>
      </c>
      <c r="C8" t="s">
        <v>1264</v>
      </c>
      <c r="D8" t="b">
        <f t="shared" si="0"/>
        <v>0</v>
      </c>
      <c r="F8" s="7" t="s">
        <v>34</v>
      </c>
      <c r="G8" s="2">
        <f t="shared" si="1"/>
        <v>12</v>
      </c>
    </row>
    <row r="9" spans="1:7" x14ac:dyDescent="0.25">
      <c r="A9" t="s">
        <v>28</v>
      </c>
      <c r="B9" s="5" t="s">
        <v>1265</v>
      </c>
      <c r="C9" t="s">
        <v>1265</v>
      </c>
      <c r="D9" t="b">
        <f t="shared" si="0"/>
        <v>0</v>
      </c>
      <c r="F9" s="7" t="s">
        <v>1266</v>
      </c>
      <c r="G9" s="2">
        <f t="shared" si="1"/>
        <v>12</v>
      </c>
    </row>
    <row r="10" spans="1:7" x14ac:dyDescent="0.25">
      <c r="A10" t="s">
        <v>28</v>
      </c>
      <c r="B10" s="5" t="s">
        <v>1045</v>
      </c>
      <c r="C10" t="s">
        <v>1045</v>
      </c>
      <c r="D10" t="b">
        <f t="shared" si="0"/>
        <v>0</v>
      </c>
      <c r="F10" s="7" t="s">
        <v>1268</v>
      </c>
      <c r="G10" s="2">
        <f t="shared" si="1"/>
        <v>12</v>
      </c>
    </row>
    <row r="11" spans="1:7" x14ac:dyDescent="0.25">
      <c r="A11" t="s">
        <v>28</v>
      </c>
      <c r="B11" s="5" t="s">
        <v>1267</v>
      </c>
      <c r="C11" t="s">
        <v>1267</v>
      </c>
      <c r="D11" t="b">
        <f t="shared" si="0"/>
        <v>0</v>
      </c>
      <c r="F11" s="7" t="s">
        <v>1270</v>
      </c>
      <c r="G11" s="2">
        <f t="shared" si="1"/>
        <v>8</v>
      </c>
    </row>
    <row r="12" spans="1:7" x14ac:dyDescent="0.25">
      <c r="A12" t="s">
        <v>28</v>
      </c>
      <c r="B12" s="5" t="s">
        <v>1269</v>
      </c>
      <c r="C12" t="s">
        <v>1269</v>
      </c>
      <c r="D12" t="b">
        <f t="shared" si="0"/>
        <v>0</v>
      </c>
      <c r="F12" s="7" t="s">
        <v>1272</v>
      </c>
      <c r="G12" s="2">
        <f t="shared" si="1"/>
        <v>2</v>
      </c>
    </row>
    <row r="13" spans="1:7" x14ac:dyDescent="0.25">
      <c r="A13" t="s">
        <v>28</v>
      </c>
      <c r="B13" s="5" t="s">
        <v>1271</v>
      </c>
      <c r="C13" t="s">
        <v>1271</v>
      </c>
      <c r="D13" t="b">
        <f t="shared" si="0"/>
        <v>0</v>
      </c>
      <c r="F13" s="7" t="s">
        <v>143</v>
      </c>
      <c r="G13" s="2">
        <f t="shared" si="1"/>
        <v>18</v>
      </c>
    </row>
    <row r="14" spans="1:7" x14ac:dyDescent="0.25">
      <c r="A14" t="s">
        <v>28</v>
      </c>
      <c r="B14" s="5" t="s">
        <v>1273</v>
      </c>
      <c r="C14" t="s">
        <v>1273</v>
      </c>
      <c r="D14" t="b">
        <f t="shared" si="0"/>
        <v>0</v>
      </c>
      <c r="F14" s="7" t="s">
        <v>327</v>
      </c>
      <c r="G14" s="2">
        <f t="shared" si="1"/>
        <v>0</v>
      </c>
    </row>
    <row r="15" spans="1:7" x14ac:dyDescent="0.25">
      <c r="A15" t="s">
        <v>28</v>
      </c>
      <c r="B15" s="5" t="s">
        <v>993</v>
      </c>
      <c r="C15" t="s">
        <v>993</v>
      </c>
      <c r="D15" t="b">
        <f t="shared" si="0"/>
        <v>0</v>
      </c>
      <c r="F15" s="4"/>
      <c r="G15" s="2"/>
    </row>
    <row r="16" spans="1:7" x14ac:dyDescent="0.25">
      <c r="A16" t="s">
        <v>28</v>
      </c>
      <c r="B16" s="5" t="s">
        <v>1274</v>
      </c>
      <c r="C16" t="s">
        <v>1274</v>
      </c>
      <c r="D16" t="b">
        <f t="shared" si="0"/>
        <v>0</v>
      </c>
      <c r="F16" s="4"/>
      <c r="G16" s="2"/>
    </row>
    <row r="17" spans="1:4" x14ac:dyDescent="0.25">
      <c r="A17" t="s">
        <v>28</v>
      </c>
      <c r="B17" s="5" t="s">
        <v>1275</v>
      </c>
      <c r="C17" t="s">
        <v>1275</v>
      </c>
      <c r="D17" t="b">
        <f t="shared" si="0"/>
        <v>0</v>
      </c>
    </row>
    <row r="18" spans="1:4" x14ac:dyDescent="0.25">
      <c r="A18" t="s">
        <v>28</v>
      </c>
      <c r="B18" s="5" t="s">
        <v>271</v>
      </c>
      <c r="C18" t="s">
        <v>271</v>
      </c>
      <c r="D18" t="b">
        <f t="shared" si="0"/>
        <v>0</v>
      </c>
    </row>
    <row r="19" spans="1:4" x14ac:dyDescent="0.25">
      <c r="A19" t="s">
        <v>28</v>
      </c>
      <c r="B19" s="5" t="s">
        <v>273</v>
      </c>
      <c r="C19" t="s">
        <v>273</v>
      </c>
      <c r="D19" t="b">
        <f t="shared" si="0"/>
        <v>0</v>
      </c>
    </row>
    <row r="20" spans="1:4" x14ac:dyDescent="0.25">
      <c r="A20" t="s">
        <v>28</v>
      </c>
      <c r="B20" s="5" t="s">
        <v>1276</v>
      </c>
      <c r="C20" t="s">
        <v>1276</v>
      </c>
      <c r="D20" t="b">
        <f t="shared" si="0"/>
        <v>0</v>
      </c>
    </row>
    <row r="21" spans="1:4" x14ac:dyDescent="0.25">
      <c r="A21" t="s">
        <v>28</v>
      </c>
      <c r="B21" s="5" t="s">
        <v>272</v>
      </c>
      <c r="C21" t="s">
        <v>272</v>
      </c>
      <c r="D21" t="b">
        <f t="shared" si="0"/>
        <v>0</v>
      </c>
    </row>
    <row r="22" spans="1:4" x14ac:dyDescent="0.25">
      <c r="A22" t="s">
        <v>28</v>
      </c>
      <c r="B22" s="5" t="s">
        <v>1277</v>
      </c>
      <c r="C22" t="s">
        <v>1277</v>
      </c>
      <c r="D22" t="b">
        <f t="shared" si="0"/>
        <v>0</v>
      </c>
    </row>
    <row r="23" spans="1:4" x14ac:dyDescent="0.25">
      <c r="A23" t="s">
        <v>28</v>
      </c>
      <c r="B23" s="5" t="s">
        <v>1278</v>
      </c>
      <c r="C23" t="s">
        <v>1278</v>
      </c>
      <c r="D23" t="b">
        <f t="shared" si="0"/>
        <v>0</v>
      </c>
    </row>
    <row r="24" spans="1:4" x14ac:dyDescent="0.25">
      <c r="A24" t="s">
        <v>28</v>
      </c>
      <c r="B24" s="5" t="s">
        <v>51</v>
      </c>
      <c r="C24" t="s">
        <v>51</v>
      </c>
      <c r="D24" t="b">
        <f t="shared" si="0"/>
        <v>0</v>
      </c>
    </row>
    <row r="25" spans="1:4" x14ac:dyDescent="0.25">
      <c r="A25" t="s">
        <v>28</v>
      </c>
      <c r="B25" s="5" t="s">
        <v>1279</v>
      </c>
      <c r="C25" t="s">
        <v>1279</v>
      </c>
      <c r="D25" t="b">
        <f t="shared" si="0"/>
        <v>0</v>
      </c>
    </row>
    <row r="26" spans="1:4" x14ac:dyDescent="0.25">
      <c r="A26" t="s">
        <v>28</v>
      </c>
      <c r="B26" s="5" t="s">
        <v>142</v>
      </c>
      <c r="C26" t="s">
        <v>142</v>
      </c>
      <c r="D26" t="b">
        <f t="shared" si="0"/>
        <v>0</v>
      </c>
    </row>
    <row r="27" spans="1:4" x14ac:dyDescent="0.25">
      <c r="A27" t="s">
        <v>28</v>
      </c>
      <c r="B27" s="5" t="s">
        <v>33</v>
      </c>
      <c r="C27" t="s">
        <v>33</v>
      </c>
      <c r="D27" t="b">
        <f t="shared" si="0"/>
        <v>0</v>
      </c>
    </row>
    <row r="28" spans="1:4" x14ac:dyDescent="0.25">
      <c r="A28" t="s">
        <v>28</v>
      </c>
      <c r="B28" s="5" t="s">
        <v>60</v>
      </c>
      <c r="C28" t="s">
        <v>60</v>
      </c>
      <c r="D28" t="b">
        <f t="shared" si="0"/>
        <v>0</v>
      </c>
    </row>
    <row r="29" spans="1:4" x14ac:dyDescent="0.25">
      <c r="A29" t="s">
        <v>28</v>
      </c>
      <c r="B29" s="5" t="s">
        <v>77</v>
      </c>
      <c r="C29" t="s">
        <v>77</v>
      </c>
      <c r="D29" t="b">
        <f t="shared" si="0"/>
        <v>0</v>
      </c>
    </row>
    <row r="30" spans="1:4" x14ac:dyDescent="0.25">
      <c r="A30" t="s">
        <v>28</v>
      </c>
      <c r="B30" s="5" t="s">
        <v>77</v>
      </c>
      <c r="C30" t="s">
        <v>77</v>
      </c>
      <c r="D30" t="b">
        <f t="shared" si="0"/>
        <v>0</v>
      </c>
    </row>
    <row r="31" spans="1:4" x14ac:dyDescent="0.25">
      <c r="A31" t="s">
        <v>28</v>
      </c>
      <c r="B31" s="5" t="s">
        <v>79</v>
      </c>
      <c r="C31" t="s">
        <v>79</v>
      </c>
      <c r="D31" t="b">
        <f t="shared" si="0"/>
        <v>0</v>
      </c>
    </row>
    <row r="32" spans="1:4" x14ac:dyDescent="0.25">
      <c r="A32" t="s">
        <v>28</v>
      </c>
      <c r="B32" s="5" t="s">
        <v>79</v>
      </c>
      <c r="C32" t="s">
        <v>79</v>
      </c>
      <c r="D32" t="b">
        <f t="shared" si="0"/>
        <v>0</v>
      </c>
    </row>
    <row r="33" spans="1:4" x14ac:dyDescent="0.25">
      <c r="A33" t="s">
        <v>28</v>
      </c>
      <c r="B33" s="5" t="s">
        <v>197</v>
      </c>
      <c r="C33" t="s">
        <v>197</v>
      </c>
      <c r="D33" t="b">
        <f t="shared" si="0"/>
        <v>0</v>
      </c>
    </row>
    <row r="34" spans="1:4" x14ac:dyDescent="0.25">
      <c r="A34" t="s">
        <v>28</v>
      </c>
      <c r="B34" s="5" t="s">
        <v>197</v>
      </c>
      <c r="C34" t="s">
        <v>197</v>
      </c>
      <c r="D34" t="b">
        <f t="shared" si="0"/>
        <v>0</v>
      </c>
    </row>
    <row r="35" spans="1:4" x14ac:dyDescent="0.25">
      <c r="A35" t="s">
        <v>28</v>
      </c>
      <c r="B35" s="5" t="s">
        <v>78</v>
      </c>
      <c r="C35" t="s">
        <v>78</v>
      </c>
      <c r="D35" t="b">
        <f t="shared" si="0"/>
        <v>0</v>
      </c>
    </row>
    <row r="36" spans="1:4" x14ac:dyDescent="0.25">
      <c r="A36" t="s">
        <v>28</v>
      </c>
      <c r="B36" s="5" t="s">
        <v>78</v>
      </c>
      <c r="C36" t="s">
        <v>78</v>
      </c>
      <c r="D36" t="b">
        <f t="shared" si="0"/>
        <v>0</v>
      </c>
    </row>
    <row r="37" spans="1:4" x14ac:dyDescent="0.25">
      <c r="A37" t="s">
        <v>28</v>
      </c>
      <c r="B37" s="5" t="s">
        <v>145</v>
      </c>
      <c r="C37" t="s">
        <v>145</v>
      </c>
      <c r="D37" t="b">
        <f t="shared" si="0"/>
        <v>0</v>
      </c>
    </row>
    <row r="38" spans="1:4" x14ac:dyDescent="0.25">
      <c r="A38" t="s">
        <v>28</v>
      </c>
      <c r="B38" s="5" t="s">
        <v>145</v>
      </c>
      <c r="C38" t="s">
        <v>145</v>
      </c>
      <c r="D38" t="b">
        <f t="shared" si="0"/>
        <v>0</v>
      </c>
    </row>
    <row r="39" spans="1:4" x14ac:dyDescent="0.25">
      <c r="A39" t="s">
        <v>34</v>
      </c>
      <c r="B39" s="5" t="s">
        <v>198</v>
      </c>
      <c r="C39" t="s">
        <v>198</v>
      </c>
      <c r="D39" t="b">
        <f t="shared" si="0"/>
        <v>0</v>
      </c>
    </row>
    <row r="40" spans="1:4" x14ac:dyDescent="0.25">
      <c r="A40" t="s">
        <v>34</v>
      </c>
      <c r="B40" s="5" t="s">
        <v>199</v>
      </c>
      <c r="C40" t="s">
        <v>199</v>
      </c>
      <c r="D40" t="b">
        <f t="shared" si="0"/>
        <v>0</v>
      </c>
    </row>
    <row r="41" spans="1:4" x14ac:dyDescent="0.25">
      <c r="A41" t="s">
        <v>34</v>
      </c>
      <c r="B41" s="5" t="s">
        <v>201</v>
      </c>
      <c r="C41" t="s">
        <v>201</v>
      </c>
      <c r="D41" t="b">
        <f t="shared" si="0"/>
        <v>0</v>
      </c>
    </row>
    <row r="42" spans="1:4" x14ac:dyDescent="0.25">
      <c r="A42" t="s">
        <v>34</v>
      </c>
      <c r="B42" s="5" t="s">
        <v>200</v>
      </c>
      <c r="C42" t="s">
        <v>200</v>
      </c>
      <c r="D42" t="b">
        <f t="shared" si="0"/>
        <v>0</v>
      </c>
    </row>
    <row r="43" spans="1:4" x14ac:dyDescent="0.25">
      <c r="A43" t="s">
        <v>34</v>
      </c>
      <c r="B43" s="5" t="s">
        <v>549</v>
      </c>
      <c r="C43" t="s">
        <v>549</v>
      </c>
      <c r="D43" t="b">
        <f t="shared" si="0"/>
        <v>0</v>
      </c>
    </row>
    <row r="44" spans="1:4" x14ac:dyDescent="0.25">
      <c r="A44" t="s">
        <v>34</v>
      </c>
      <c r="B44" s="5" t="s">
        <v>344</v>
      </c>
      <c r="C44" t="s">
        <v>344</v>
      </c>
      <c r="D44" t="b">
        <f t="shared" si="0"/>
        <v>0</v>
      </c>
    </row>
    <row r="45" spans="1:4" x14ac:dyDescent="0.25">
      <c r="A45" t="s">
        <v>34</v>
      </c>
      <c r="B45" s="5" t="s">
        <v>202</v>
      </c>
      <c r="C45" t="s">
        <v>202</v>
      </c>
      <c r="D45" t="b">
        <f t="shared" si="0"/>
        <v>0</v>
      </c>
    </row>
    <row r="46" spans="1:4" x14ac:dyDescent="0.25">
      <c r="A46" t="s">
        <v>34</v>
      </c>
      <c r="B46" s="5" t="s">
        <v>345</v>
      </c>
      <c r="C46" t="s">
        <v>345</v>
      </c>
      <c r="D46" t="b">
        <f t="shared" si="0"/>
        <v>0</v>
      </c>
    </row>
    <row r="47" spans="1:4" x14ac:dyDescent="0.25">
      <c r="A47" t="s">
        <v>34</v>
      </c>
      <c r="B47" s="5" t="s">
        <v>550</v>
      </c>
      <c r="C47" t="s">
        <v>550</v>
      </c>
      <c r="D47" t="b">
        <f t="shared" si="0"/>
        <v>0</v>
      </c>
    </row>
    <row r="48" spans="1:4" x14ac:dyDescent="0.25">
      <c r="A48" t="s">
        <v>34</v>
      </c>
      <c r="B48" s="5" t="s">
        <v>147</v>
      </c>
      <c r="C48" t="s">
        <v>147</v>
      </c>
      <c r="D48" t="b">
        <f t="shared" si="0"/>
        <v>0</v>
      </c>
    </row>
    <row r="49" spans="1:4" x14ac:dyDescent="0.25">
      <c r="A49" t="s">
        <v>34</v>
      </c>
      <c r="B49" s="5" t="s">
        <v>149</v>
      </c>
      <c r="C49" t="s">
        <v>149</v>
      </c>
      <c r="D49" t="b">
        <f t="shared" si="0"/>
        <v>0</v>
      </c>
    </row>
    <row r="50" spans="1:4" x14ac:dyDescent="0.25">
      <c r="A50" t="s">
        <v>34</v>
      </c>
      <c r="B50" s="5" t="s">
        <v>148</v>
      </c>
      <c r="C50" t="s">
        <v>148</v>
      </c>
      <c r="D50" t="b">
        <f t="shared" si="0"/>
        <v>0</v>
      </c>
    </row>
    <row r="51" spans="1:4" x14ac:dyDescent="0.25">
      <c r="A51" t="s">
        <v>1266</v>
      </c>
      <c r="B51" s="5" t="s">
        <v>1280</v>
      </c>
      <c r="C51" t="s">
        <v>1281</v>
      </c>
      <c r="D51" t="b">
        <f t="shared" si="0"/>
        <v>1</v>
      </c>
    </row>
    <row r="52" spans="1:4" x14ac:dyDescent="0.25">
      <c r="A52" t="s">
        <v>1266</v>
      </c>
      <c r="B52" s="5" t="s">
        <v>1282</v>
      </c>
      <c r="C52" t="s">
        <v>1282</v>
      </c>
      <c r="D52" t="b">
        <f t="shared" si="0"/>
        <v>0</v>
      </c>
    </row>
    <row r="53" spans="1:4" x14ac:dyDescent="0.25">
      <c r="A53" t="s">
        <v>1266</v>
      </c>
      <c r="B53" s="5" t="s">
        <v>1283</v>
      </c>
      <c r="C53" t="s">
        <v>1283</v>
      </c>
      <c r="D53" t="b">
        <f t="shared" si="0"/>
        <v>0</v>
      </c>
    </row>
    <row r="54" spans="1:4" x14ac:dyDescent="0.25">
      <c r="A54" t="s">
        <v>1266</v>
      </c>
      <c r="B54" s="5" t="s">
        <v>1284</v>
      </c>
      <c r="C54" t="s">
        <v>1284</v>
      </c>
      <c r="D54" t="b">
        <f t="shared" si="0"/>
        <v>0</v>
      </c>
    </row>
    <row r="55" spans="1:4" x14ac:dyDescent="0.25">
      <c r="A55" t="s">
        <v>1266</v>
      </c>
      <c r="B55" s="5" t="s">
        <v>1285</v>
      </c>
      <c r="C55" t="s">
        <v>1285</v>
      </c>
      <c r="D55" t="b">
        <f t="shared" si="0"/>
        <v>0</v>
      </c>
    </row>
    <row r="56" spans="1:4" x14ac:dyDescent="0.25">
      <c r="A56" t="s">
        <v>1266</v>
      </c>
      <c r="B56" s="5" t="s">
        <v>1286</v>
      </c>
      <c r="C56" t="s">
        <v>1287</v>
      </c>
      <c r="D56" t="b">
        <f t="shared" si="0"/>
        <v>1</v>
      </c>
    </row>
    <row r="57" spans="1:4" x14ac:dyDescent="0.25">
      <c r="A57" t="s">
        <v>1266</v>
      </c>
      <c r="B57" s="5" t="s">
        <v>1288</v>
      </c>
      <c r="C57" t="s">
        <v>1288</v>
      </c>
      <c r="D57" t="b">
        <f t="shared" si="0"/>
        <v>0</v>
      </c>
    </row>
    <row r="58" spans="1:4" x14ac:dyDescent="0.25">
      <c r="A58" t="s">
        <v>1266</v>
      </c>
      <c r="B58" s="5" t="s">
        <v>1289</v>
      </c>
      <c r="C58" t="s">
        <v>1289</v>
      </c>
      <c r="D58" t="b">
        <f t="shared" si="0"/>
        <v>0</v>
      </c>
    </row>
    <row r="59" spans="1:4" x14ac:dyDescent="0.25">
      <c r="A59" t="s">
        <v>1266</v>
      </c>
      <c r="B59" s="5" t="s">
        <v>524</v>
      </c>
      <c r="C59" t="s">
        <v>524</v>
      </c>
      <c r="D59" t="b">
        <f t="shared" si="0"/>
        <v>0</v>
      </c>
    </row>
    <row r="60" spans="1:4" x14ac:dyDescent="0.25">
      <c r="A60" t="s">
        <v>1266</v>
      </c>
      <c r="B60" s="5" t="s">
        <v>1290</v>
      </c>
      <c r="C60" t="s">
        <v>1290</v>
      </c>
      <c r="D60" t="b">
        <f t="shared" si="0"/>
        <v>0</v>
      </c>
    </row>
    <row r="61" spans="1:4" x14ac:dyDescent="0.25">
      <c r="A61" t="s">
        <v>1266</v>
      </c>
      <c r="B61" s="5" t="s">
        <v>1291</v>
      </c>
      <c r="C61" t="s">
        <v>1291</v>
      </c>
      <c r="D61" t="b">
        <f t="shared" si="0"/>
        <v>0</v>
      </c>
    </row>
    <row r="62" spans="1:4" x14ac:dyDescent="0.25">
      <c r="A62" t="s">
        <v>1266</v>
      </c>
      <c r="B62" s="5" t="s">
        <v>1292</v>
      </c>
      <c r="C62" t="s">
        <v>1292</v>
      </c>
      <c r="D62" t="b">
        <f t="shared" si="0"/>
        <v>0</v>
      </c>
    </row>
    <row r="63" spans="1:4" x14ac:dyDescent="0.25">
      <c r="A63" t="s">
        <v>1268</v>
      </c>
      <c r="B63" s="5" t="s">
        <v>786</v>
      </c>
      <c r="C63" t="s">
        <v>1293</v>
      </c>
      <c r="D63" t="b">
        <f t="shared" si="0"/>
        <v>1</v>
      </c>
    </row>
    <row r="64" spans="1:4" x14ac:dyDescent="0.25">
      <c r="A64" t="s">
        <v>1268</v>
      </c>
      <c r="B64" s="5" t="s">
        <v>1294</v>
      </c>
      <c r="C64" t="s">
        <v>1295</v>
      </c>
      <c r="D64" t="b">
        <f t="shared" si="0"/>
        <v>1</v>
      </c>
    </row>
    <row r="65" spans="1:4" x14ac:dyDescent="0.25">
      <c r="A65" t="s">
        <v>1268</v>
      </c>
      <c r="B65" s="5" t="s">
        <v>121</v>
      </c>
      <c r="C65" t="s">
        <v>511</v>
      </c>
      <c r="D65" t="b">
        <f t="shared" si="0"/>
        <v>1</v>
      </c>
    </row>
    <row r="66" spans="1:4" x14ac:dyDescent="0.25">
      <c r="A66" t="s">
        <v>1268</v>
      </c>
      <c r="B66" s="5" t="s">
        <v>1296</v>
      </c>
      <c r="C66" t="s">
        <v>1296</v>
      </c>
      <c r="D66" t="b">
        <f t="shared" si="0"/>
        <v>0</v>
      </c>
    </row>
    <row r="67" spans="1:4" x14ac:dyDescent="0.25">
      <c r="A67" t="s">
        <v>1268</v>
      </c>
      <c r="B67" s="5" t="s">
        <v>1297</v>
      </c>
      <c r="C67" t="s">
        <v>1297</v>
      </c>
      <c r="D67" t="b">
        <f t="shared" si="0"/>
        <v>0</v>
      </c>
    </row>
    <row r="68" spans="1:4" x14ac:dyDescent="0.25">
      <c r="A68" t="s">
        <v>1268</v>
      </c>
      <c r="B68" s="5" t="s">
        <v>1298</v>
      </c>
      <c r="C68" t="s">
        <v>1298</v>
      </c>
      <c r="D68" t="b">
        <f t="shared" si="0"/>
        <v>0</v>
      </c>
    </row>
    <row r="69" spans="1:4" x14ac:dyDescent="0.25">
      <c r="A69" t="s">
        <v>1268</v>
      </c>
      <c r="B69" s="5" t="s">
        <v>1299</v>
      </c>
      <c r="C69" t="s">
        <v>1299</v>
      </c>
      <c r="D69" t="b">
        <f t="shared" ref="D69:D102" si="2">B69&lt;&gt;C69</f>
        <v>0</v>
      </c>
    </row>
    <row r="70" spans="1:4" x14ac:dyDescent="0.25">
      <c r="A70" t="s">
        <v>1268</v>
      </c>
      <c r="B70" s="5" t="s">
        <v>1300</v>
      </c>
      <c r="C70" t="s">
        <v>1300</v>
      </c>
      <c r="D70" t="b">
        <f t="shared" si="2"/>
        <v>0</v>
      </c>
    </row>
    <row r="71" spans="1:4" x14ac:dyDescent="0.25">
      <c r="A71" t="s">
        <v>1268</v>
      </c>
      <c r="B71" s="5" t="s">
        <v>1301</v>
      </c>
      <c r="C71" t="s">
        <v>1301</v>
      </c>
      <c r="D71" t="b">
        <f t="shared" si="2"/>
        <v>0</v>
      </c>
    </row>
    <row r="72" spans="1:4" x14ac:dyDescent="0.25">
      <c r="A72" t="s">
        <v>1268</v>
      </c>
      <c r="B72" s="5" t="s">
        <v>1302</v>
      </c>
      <c r="C72" t="s">
        <v>1302</v>
      </c>
      <c r="D72" t="b">
        <f t="shared" si="2"/>
        <v>0</v>
      </c>
    </row>
    <row r="73" spans="1:4" x14ac:dyDescent="0.25">
      <c r="A73" t="s">
        <v>1268</v>
      </c>
      <c r="B73" s="5" t="s">
        <v>1303</v>
      </c>
      <c r="C73" t="s">
        <v>1304</v>
      </c>
      <c r="D73" t="b">
        <f t="shared" si="2"/>
        <v>1</v>
      </c>
    </row>
    <row r="74" spans="1:4" x14ac:dyDescent="0.25">
      <c r="A74" t="s">
        <v>1268</v>
      </c>
      <c r="B74" s="5" t="s">
        <v>1305</v>
      </c>
      <c r="C74" t="s">
        <v>1930</v>
      </c>
      <c r="D74" t="b">
        <f t="shared" si="2"/>
        <v>1</v>
      </c>
    </row>
    <row r="75" spans="1:4" x14ac:dyDescent="0.25">
      <c r="A75" t="s">
        <v>1270</v>
      </c>
      <c r="B75" s="5" t="s">
        <v>1306</v>
      </c>
      <c r="C75" t="s">
        <v>1307</v>
      </c>
      <c r="D75" t="b">
        <f t="shared" si="2"/>
        <v>1</v>
      </c>
    </row>
    <row r="76" spans="1:4" x14ac:dyDescent="0.25">
      <c r="A76" t="s">
        <v>1270</v>
      </c>
      <c r="B76" s="5" t="s">
        <v>1308</v>
      </c>
      <c r="C76" t="s">
        <v>1308</v>
      </c>
      <c r="D76" t="b">
        <f t="shared" si="2"/>
        <v>0</v>
      </c>
    </row>
    <row r="77" spans="1:4" x14ac:dyDescent="0.25">
      <c r="A77" t="s">
        <v>1270</v>
      </c>
      <c r="B77" s="5" t="s">
        <v>1309</v>
      </c>
      <c r="C77" t="s">
        <v>1309</v>
      </c>
      <c r="D77" t="b">
        <f t="shared" si="2"/>
        <v>0</v>
      </c>
    </row>
    <row r="78" spans="1:4" x14ac:dyDescent="0.25">
      <c r="A78" t="s">
        <v>1270</v>
      </c>
      <c r="B78" s="5" t="s">
        <v>360</v>
      </c>
      <c r="C78" t="s">
        <v>1310</v>
      </c>
      <c r="D78" t="b">
        <f t="shared" si="2"/>
        <v>1</v>
      </c>
    </row>
    <row r="79" spans="1:4" x14ac:dyDescent="0.25">
      <c r="A79" t="s">
        <v>1270</v>
      </c>
      <c r="B79" s="5" t="s">
        <v>1311</v>
      </c>
      <c r="C79" t="s">
        <v>1311</v>
      </c>
      <c r="D79" t="b">
        <f t="shared" si="2"/>
        <v>0</v>
      </c>
    </row>
    <row r="80" spans="1:4" x14ac:dyDescent="0.25">
      <c r="A80" t="s">
        <v>1270</v>
      </c>
      <c r="B80" s="5" t="s">
        <v>1312</v>
      </c>
      <c r="C80" t="s">
        <v>1312</v>
      </c>
      <c r="D80" t="b">
        <f t="shared" si="2"/>
        <v>0</v>
      </c>
    </row>
    <row r="81" spans="1:4" x14ac:dyDescent="0.25">
      <c r="A81" t="s">
        <v>1270</v>
      </c>
      <c r="B81" s="5" t="s">
        <v>1313</v>
      </c>
      <c r="C81" t="s">
        <v>1313</v>
      </c>
      <c r="D81" t="b">
        <f t="shared" si="2"/>
        <v>0</v>
      </c>
    </row>
    <row r="82" spans="1:4" x14ac:dyDescent="0.25">
      <c r="A82" t="s">
        <v>1270</v>
      </c>
      <c r="B82" s="5" t="s">
        <v>1314</v>
      </c>
      <c r="C82" t="s">
        <v>1314</v>
      </c>
      <c r="D82" t="b">
        <f t="shared" si="2"/>
        <v>0</v>
      </c>
    </row>
    <row r="83" spans="1:4" x14ac:dyDescent="0.25">
      <c r="A83" t="s">
        <v>1272</v>
      </c>
      <c r="B83" s="5" t="s">
        <v>1315</v>
      </c>
      <c r="C83" t="s">
        <v>1315</v>
      </c>
      <c r="D83" t="b">
        <f t="shared" si="2"/>
        <v>0</v>
      </c>
    </row>
    <row r="84" spans="1:4" x14ac:dyDescent="0.25">
      <c r="A84" t="s">
        <v>1272</v>
      </c>
      <c r="B84" s="5" t="s">
        <v>1316</v>
      </c>
      <c r="C84" t="s">
        <v>1316</v>
      </c>
      <c r="D84" t="b">
        <f t="shared" si="2"/>
        <v>0</v>
      </c>
    </row>
    <row r="85" spans="1:4" x14ac:dyDescent="0.25">
      <c r="A85" t="s">
        <v>143</v>
      </c>
      <c r="B85" s="5" t="s">
        <v>1317</v>
      </c>
      <c r="C85" t="s">
        <v>1317</v>
      </c>
      <c r="D85" t="b">
        <f t="shared" si="2"/>
        <v>0</v>
      </c>
    </row>
    <row r="86" spans="1:4" x14ac:dyDescent="0.25">
      <c r="A86" t="s">
        <v>143</v>
      </c>
      <c r="B86" s="5" t="s">
        <v>1318</v>
      </c>
      <c r="C86" t="s">
        <v>1318</v>
      </c>
      <c r="D86" t="b">
        <f t="shared" si="2"/>
        <v>0</v>
      </c>
    </row>
    <row r="87" spans="1:4" x14ac:dyDescent="0.25">
      <c r="A87" t="s">
        <v>143</v>
      </c>
      <c r="B87" s="5" t="s">
        <v>1319</v>
      </c>
      <c r="C87" t="s">
        <v>1319</v>
      </c>
      <c r="D87" t="b">
        <f t="shared" si="2"/>
        <v>0</v>
      </c>
    </row>
    <row r="88" spans="1:4" x14ac:dyDescent="0.25">
      <c r="A88" t="s">
        <v>143</v>
      </c>
      <c r="B88" s="5" t="s">
        <v>1320</v>
      </c>
      <c r="C88" t="s">
        <v>1321</v>
      </c>
      <c r="D88" t="b">
        <f t="shared" si="2"/>
        <v>1</v>
      </c>
    </row>
    <row r="89" spans="1:4" x14ac:dyDescent="0.25">
      <c r="A89" t="s">
        <v>143</v>
      </c>
      <c r="B89" s="5" t="s">
        <v>1322</v>
      </c>
      <c r="C89" t="s">
        <v>1929</v>
      </c>
      <c r="D89" t="b">
        <f t="shared" si="2"/>
        <v>1</v>
      </c>
    </row>
    <row r="90" spans="1:4" x14ac:dyDescent="0.25">
      <c r="A90" t="s">
        <v>143</v>
      </c>
      <c r="B90" s="5" t="s">
        <v>1323</v>
      </c>
      <c r="C90" t="s">
        <v>1323</v>
      </c>
      <c r="D90" t="b">
        <f t="shared" si="2"/>
        <v>0</v>
      </c>
    </row>
    <row r="91" spans="1:4" x14ac:dyDescent="0.25">
      <c r="A91" t="s">
        <v>143</v>
      </c>
      <c r="B91" s="5" t="s">
        <v>1324</v>
      </c>
      <c r="C91" t="s">
        <v>1324</v>
      </c>
      <c r="D91" t="b">
        <f t="shared" si="2"/>
        <v>0</v>
      </c>
    </row>
    <row r="92" spans="1:4" x14ac:dyDescent="0.25">
      <c r="A92" t="s">
        <v>143</v>
      </c>
      <c r="B92" s="5" t="s">
        <v>1325</v>
      </c>
      <c r="C92" t="s">
        <v>1325</v>
      </c>
      <c r="D92" t="b">
        <f t="shared" si="2"/>
        <v>0</v>
      </c>
    </row>
    <row r="93" spans="1:4" x14ac:dyDescent="0.25">
      <c r="A93" t="s">
        <v>143</v>
      </c>
      <c r="B93" s="5" t="s">
        <v>1326</v>
      </c>
      <c r="C93" t="s">
        <v>1326</v>
      </c>
      <c r="D93" t="b">
        <f t="shared" si="2"/>
        <v>0</v>
      </c>
    </row>
    <row r="94" spans="1:4" x14ac:dyDescent="0.25">
      <c r="A94" t="s">
        <v>143</v>
      </c>
      <c r="B94" s="5" t="s">
        <v>1327</v>
      </c>
      <c r="C94" t="s">
        <v>1327</v>
      </c>
      <c r="D94" t="b">
        <f t="shared" si="2"/>
        <v>0</v>
      </c>
    </row>
    <row r="95" spans="1:4" x14ac:dyDescent="0.25">
      <c r="A95" t="s">
        <v>143</v>
      </c>
      <c r="B95" s="5" t="s">
        <v>1328</v>
      </c>
      <c r="C95" t="s">
        <v>1328</v>
      </c>
      <c r="D95" t="b">
        <f t="shared" si="2"/>
        <v>0</v>
      </c>
    </row>
    <row r="96" spans="1:4" x14ac:dyDescent="0.25">
      <c r="A96" t="s">
        <v>143</v>
      </c>
      <c r="B96" s="5" t="s">
        <v>1329</v>
      </c>
      <c r="C96" t="s">
        <v>1329</v>
      </c>
      <c r="D96" t="b">
        <f t="shared" si="2"/>
        <v>0</v>
      </c>
    </row>
    <row r="97" spans="1:4" x14ac:dyDescent="0.25">
      <c r="A97" t="s">
        <v>143</v>
      </c>
      <c r="B97" s="5" t="s">
        <v>1330</v>
      </c>
      <c r="C97" t="s">
        <v>1330</v>
      </c>
      <c r="D97" t="b">
        <f t="shared" si="2"/>
        <v>0</v>
      </c>
    </row>
    <row r="98" spans="1:4" x14ac:dyDescent="0.25">
      <c r="A98" t="s">
        <v>143</v>
      </c>
      <c r="B98" s="5" t="s">
        <v>1331</v>
      </c>
      <c r="C98" t="s">
        <v>1331</v>
      </c>
      <c r="D98" t="b">
        <f t="shared" si="2"/>
        <v>0</v>
      </c>
    </row>
    <row r="99" spans="1:4" x14ac:dyDescent="0.25">
      <c r="A99" t="s">
        <v>143</v>
      </c>
      <c r="B99" s="5" t="s">
        <v>1332</v>
      </c>
      <c r="C99" t="s">
        <v>1332</v>
      </c>
      <c r="D99" t="b">
        <f t="shared" si="2"/>
        <v>0</v>
      </c>
    </row>
    <row r="100" spans="1:4" x14ac:dyDescent="0.25">
      <c r="A100" t="s">
        <v>143</v>
      </c>
      <c r="B100" s="5" t="s">
        <v>1333</v>
      </c>
      <c r="C100" t="s">
        <v>1333</v>
      </c>
      <c r="D100" t="b">
        <f t="shared" si="2"/>
        <v>0</v>
      </c>
    </row>
    <row r="101" spans="1:4" x14ac:dyDescent="0.25">
      <c r="A101" t="s">
        <v>143</v>
      </c>
      <c r="B101" s="5" t="s">
        <v>1334</v>
      </c>
      <c r="C101" t="s">
        <v>1334</v>
      </c>
      <c r="D101" t="b">
        <f t="shared" si="2"/>
        <v>0</v>
      </c>
    </row>
    <row r="102" spans="1:4" x14ac:dyDescent="0.25">
      <c r="A102" s="5" t="s">
        <v>143</v>
      </c>
      <c r="B102" s="5" t="s">
        <v>1335</v>
      </c>
      <c r="C102" t="s">
        <v>1335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DAD9959E-6096-482C-A2E3-D9E42763D958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8B25722E-AB24-4204-BEC2-A96570C37F50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A16-6CA0-4541-8314-7615E670E233}">
  <sheetPr codeName="Planilha8"/>
  <dimension ref="A1:G104"/>
  <sheetViews>
    <sheetView topLeftCell="A78" workbookViewId="0">
      <selection activeCell="E90" sqref="E90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8" bestFit="1" customWidth="1"/>
  </cols>
  <sheetData>
    <row r="1" spans="1:7" ht="21" x14ac:dyDescent="0.25">
      <c r="A1" s="29" t="s">
        <v>251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6</v>
      </c>
    </row>
    <row r="3" spans="1:7" x14ac:dyDescent="0.25">
      <c r="A3" s="5" t="s">
        <v>2002</v>
      </c>
      <c r="B3" s="5" t="s">
        <v>2046</v>
      </c>
      <c r="C3" s="5" t="s">
        <v>2046</v>
      </c>
      <c r="D3" s="3" t="b">
        <f>B3&lt;&gt;C3</f>
        <v>0</v>
      </c>
      <c r="F3" s="4" t="s">
        <v>30</v>
      </c>
      <c r="G3" s="3">
        <f>SUM(G6:G27)</f>
        <v>100</v>
      </c>
    </row>
    <row r="4" spans="1:7" x14ac:dyDescent="0.25">
      <c r="A4" s="5" t="s">
        <v>2002</v>
      </c>
      <c r="B4" s="5" t="s">
        <v>2047</v>
      </c>
      <c r="C4" s="5" t="s">
        <v>2047</v>
      </c>
      <c r="D4" s="3" t="b">
        <f>B4&lt;&gt;C4</f>
        <v>0</v>
      </c>
    </row>
    <row r="5" spans="1:7" x14ac:dyDescent="0.25">
      <c r="A5" t="s">
        <v>28</v>
      </c>
      <c r="B5" s="5" t="s">
        <v>252</v>
      </c>
      <c r="C5" t="s">
        <v>252</v>
      </c>
      <c r="D5" s="3" t="b">
        <f>B5&lt;&gt;C5</f>
        <v>0</v>
      </c>
      <c r="F5" s="4" t="s">
        <v>32</v>
      </c>
      <c r="G5" s="1"/>
    </row>
    <row r="6" spans="1:7" x14ac:dyDescent="0.25">
      <c r="A6" t="s">
        <v>28</v>
      </c>
      <c r="B6" s="5" t="s">
        <v>253</v>
      </c>
      <c r="C6" t="s">
        <v>253</v>
      </c>
      <c r="D6" s="3" t="b">
        <f t="shared" ref="D6:D69" si="0">B6&lt;&gt;C6</f>
        <v>0</v>
      </c>
      <c r="F6" s="7" t="s">
        <v>2002</v>
      </c>
      <c r="G6" s="2">
        <f t="shared" ref="G6:G15" si="1">COUNTIF(A:A,F6)</f>
        <v>2</v>
      </c>
    </row>
    <row r="7" spans="1:7" x14ac:dyDescent="0.25">
      <c r="A7" t="s">
        <v>28</v>
      </c>
      <c r="B7" s="5" t="s">
        <v>254</v>
      </c>
      <c r="C7" t="s">
        <v>254</v>
      </c>
      <c r="D7" s="3" t="b">
        <f t="shared" si="0"/>
        <v>0</v>
      </c>
      <c r="F7" s="7" t="s">
        <v>28</v>
      </c>
      <c r="G7" s="2">
        <f t="shared" si="1"/>
        <v>34</v>
      </c>
    </row>
    <row r="8" spans="1:7" x14ac:dyDescent="0.25">
      <c r="A8" t="s">
        <v>28</v>
      </c>
      <c r="B8" s="5" t="s">
        <v>255</v>
      </c>
      <c r="C8" t="s">
        <v>255</v>
      </c>
      <c r="D8" s="3" t="b">
        <f t="shared" si="0"/>
        <v>0</v>
      </c>
      <c r="F8" s="7" t="s">
        <v>34</v>
      </c>
      <c r="G8" s="2">
        <f t="shared" si="1"/>
        <v>12</v>
      </c>
    </row>
    <row r="9" spans="1:7" x14ac:dyDescent="0.25">
      <c r="A9" t="s">
        <v>28</v>
      </c>
      <c r="B9" s="5" t="s">
        <v>256</v>
      </c>
      <c r="C9" t="s">
        <v>256</v>
      </c>
      <c r="D9" s="3" t="b">
        <f t="shared" si="0"/>
        <v>0</v>
      </c>
      <c r="F9" s="7" t="s">
        <v>35</v>
      </c>
      <c r="G9" s="2">
        <f t="shared" si="1"/>
        <v>6</v>
      </c>
    </row>
    <row r="10" spans="1:7" x14ac:dyDescent="0.25">
      <c r="A10" t="s">
        <v>28</v>
      </c>
      <c r="B10" s="5" t="s">
        <v>257</v>
      </c>
      <c r="C10" t="s">
        <v>257</v>
      </c>
      <c r="D10" s="3" t="b">
        <f t="shared" si="0"/>
        <v>0</v>
      </c>
      <c r="F10" s="7" t="s">
        <v>261</v>
      </c>
      <c r="G10" s="2">
        <f t="shared" si="1"/>
        <v>4</v>
      </c>
    </row>
    <row r="11" spans="1:7" x14ac:dyDescent="0.25">
      <c r="A11" t="s">
        <v>28</v>
      </c>
      <c r="B11" s="5" t="s">
        <v>258</v>
      </c>
      <c r="C11" t="s">
        <v>258</v>
      </c>
      <c r="D11" s="3" t="b">
        <f t="shared" si="0"/>
        <v>0</v>
      </c>
      <c r="F11" s="3" t="s">
        <v>269</v>
      </c>
      <c r="G11" s="2">
        <f t="shared" si="1"/>
        <v>6</v>
      </c>
    </row>
    <row r="12" spans="1:7" x14ac:dyDescent="0.25">
      <c r="A12" t="s">
        <v>28</v>
      </c>
      <c r="B12" s="5" t="s">
        <v>259</v>
      </c>
      <c r="C12" t="s">
        <v>260</v>
      </c>
      <c r="D12" s="3" t="b">
        <f t="shared" si="0"/>
        <v>1</v>
      </c>
      <c r="F12" s="7" t="s">
        <v>36</v>
      </c>
      <c r="G12" s="2">
        <f t="shared" si="1"/>
        <v>5</v>
      </c>
    </row>
    <row r="13" spans="1:7" x14ac:dyDescent="0.25">
      <c r="A13" t="s">
        <v>28</v>
      </c>
      <c r="B13" s="5" t="s">
        <v>262</v>
      </c>
      <c r="C13" t="s">
        <v>262</v>
      </c>
      <c r="D13" s="3" t="b">
        <f t="shared" si="0"/>
        <v>0</v>
      </c>
      <c r="F13" s="7" t="s">
        <v>266</v>
      </c>
      <c r="G13" s="2">
        <f t="shared" si="1"/>
        <v>5</v>
      </c>
    </row>
    <row r="14" spans="1:7" x14ac:dyDescent="0.25">
      <c r="A14" t="s">
        <v>28</v>
      </c>
      <c r="B14" s="5" t="s">
        <v>264</v>
      </c>
      <c r="C14" t="s">
        <v>264</v>
      </c>
      <c r="D14" s="3" t="b">
        <f t="shared" si="0"/>
        <v>0</v>
      </c>
      <c r="F14" s="7" t="s">
        <v>63</v>
      </c>
      <c r="G14" s="2">
        <f t="shared" si="1"/>
        <v>22</v>
      </c>
    </row>
    <row r="15" spans="1:7" x14ac:dyDescent="0.25">
      <c r="A15" t="s">
        <v>28</v>
      </c>
      <c r="B15" s="5" t="s">
        <v>265</v>
      </c>
      <c r="C15" t="s">
        <v>265</v>
      </c>
      <c r="D15" s="3" t="b">
        <f t="shared" si="0"/>
        <v>0</v>
      </c>
      <c r="F15" s="3" t="s">
        <v>1856</v>
      </c>
      <c r="G15" s="2">
        <f t="shared" si="1"/>
        <v>4</v>
      </c>
    </row>
    <row r="16" spans="1:7" x14ac:dyDescent="0.25">
      <c r="A16" t="s">
        <v>28</v>
      </c>
      <c r="B16" s="5" t="s">
        <v>267</v>
      </c>
      <c r="C16" t="s">
        <v>267</v>
      </c>
      <c r="D16" s="3" t="b">
        <f t="shared" si="0"/>
        <v>0</v>
      </c>
    </row>
    <row r="17" spans="1:7" x14ac:dyDescent="0.25">
      <c r="A17" t="s">
        <v>28</v>
      </c>
      <c r="B17" s="5" t="s">
        <v>268</v>
      </c>
      <c r="C17" t="s">
        <v>268</v>
      </c>
      <c r="D17" s="3" t="b">
        <f t="shared" si="0"/>
        <v>0</v>
      </c>
    </row>
    <row r="18" spans="1:7" x14ac:dyDescent="0.25">
      <c r="A18" t="s">
        <v>28</v>
      </c>
      <c r="B18" s="5" t="s">
        <v>137</v>
      </c>
      <c r="C18" t="s">
        <v>137</v>
      </c>
      <c r="D18" s="3" t="b">
        <f t="shared" si="0"/>
        <v>0</v>
      </c>
    </row>
    <row r="19" spans="1:7" x14ac:dyDescent="0.25">
      <c r="A19" t="s">
        <v>28</v>
      </c>
      <c r="B19" s="5" t="s">
        <v>33</v>
      </c>
      <c r="C19" t="s">
        <v>33</v>
      </c>
      <c r="D19" s="3" t="b">
        <f t="shared" si="0"/>
        <v>0</v>
      </c>
      <c r="F19" s="4"/>
      <c r="G19" s="2"/>
    </row>
    <row r="20" spans="1:7" x14ac:dyDescent="0.25">
      <c r="A20" t="s">
        <v>28</v>
      </c>
      <c r="B20" s="5" t="s">
        <v>60</v>
      </c>
      <c r="C20" t="s">
        <v>60</v>
      </c>
      <c r="D20" s="3" t="b">
        <f t="shared" si="0"/>
        <v>0</v>
      </c>
      <c r="G20" s="2"/>
    </row>
    <row r="21" spans="1:7" x14ac:dyDescent="0.25">
      <c r="A21" t="s">
        <v>28</v>
      </c>
      <c r="B21" s="5" t="s">
        <v>270</v>
      </c>
      <c r="C21" t="s">
        <v>270</v>
      </c>
      <c r="D21" s="3" t="b">
        <f t="shared" si="0"/>
        <v>0</v>
      </c>
      <c r="G21" s="2"/>
    </row>
    <row r="22" spans="1:7" x14ac:dyDescent="0.25">
      <c r="A22" t="s">
        <v>28</v>
      </c>
      <c r="B22" s="5" t="s">
        <v>135</v>
      </c>
      <c r="C22" t="s">
        <v>135</v>
      </c>
      <c r="D22" s="3" t="b">
        <f t="shared" si="0"/>
        <v>0</v>
      </c>
      <c r="G22" s="2"/>
    </row>
    <row r="23" spans="1:7" x14ac:dyDescent="0.25">
      <c r="A23" t="s">
        <v>28</v>
      </c>
      <c r="B23" s="5" t="s">
        <v>62</v>
      </c>
      <c r="C23" t="s">
        <v>62</v>
      </c>
      <c r="D23" s="3" t="b">
        <f t="shared" si="0"/>
        <v>0</v>
      </c>
      <c r="G23" s="2"/>
    </row>
    <row r="24" spans="1:7" x14ac:dyDescent="0.25">
      <c r="A24" t="s">
        <v>28</v>
      </c>
      <c r="B24" s="5" t="s">
        <v>271</v>
      </c>
      <c r="C24" t="s">
        <v>271</v>
      </c>
      <c r="D24" s="3" t="b">
        <f t="shared" si="0"/>
        <v>0</v>
      </c>
      <c r="G24" s="2"/>
    </row>
    <row r="25" spans="1:7" x14ac:dyDescent="0.25">
      <c r="A25" t="s">
        <v>28</v>
      </c>
      <c r="B25" s="5" t="s">
        <v>272</v>
      </c>
      <c r="C25" t="s">
        <v>272</v>
      </c>
      <c r="D25" s="3" t="b">
        <f t="shared" si="0"/>
        <v>0</v>
      </c>
      <c r="G25" s="2"/>
    </row>
    <row r="26" spans="1:7" x14ac:dyDescent="0.25">
      <c r="A26" t="s">
        <v>28</v>
      </c>
      <c r="B26" s="5" t="s">
        <v>273</v>
      </c>
      <c r="C26" t="s">
        <v>273</v>
      </c>
      <c r="D26" s="3" t="b">
        <f t="shared" si="0"/>
        <v>0</v>
      </c>
      <c r="G26" s="2"/>
    </row>
    <row r="27" spans="1:7" x14ac:dyDescent="0.25">
      <c r="A27" t="s">
        <v>28</v>
      </c>
      <c r="B27" s="5" t="s">
        <v>274</v>
      </c>
      <c r="C27" t="s">
        <v>274</v>
      </c>
      <c r="D27" s="3" t="b">
        <f t="shared" si="0"/>
        <v>0</v>
      </c>
      <c r="G27" s="2"/>
    </row>
    <row r="28" spans="1:7" x14ac:dyDescent="0.25">
      <c r="A28" t="s">
        <v>28</v>
      </c>
      <c r="B28" s="5" t="s">
        <v>51</v>
      </c>
      <c r="C28" t="s">
        <v>51</v>
      </c>
      <c r="D28" s="3" t="b">
        <f t="shared" si="0"/>
        <v>0</v>
      </c>
      <c r="G28" s="2"/>
    </row>
    <row r="29" spans="1:7" x14ac:dyDescent="0.25">
      <c r="A29" t="s">
        <v>28</v>
      </c>
      <c r="B29" s="5" t="s">
        <v>78</v>
      </c>
      <c r="C29" t="s">
        <v>1906</v>
      </c>
      <c r="D29" s="3" t="b">
        <f t="shared" si="0"/>
        <v>1</v>
      </c>
      <c r="G29" s="2"/>
    </row>
    <row r="30" spans="1:7" x14ac:dyDescent="0.25">
      <c r="A30" t="s">
        <v>28</v>
      </c>
      <c r="B30" s="5" t="s">
        <v>197</v>
      </c>
      <c r="C30" t="s">
        <v>197</v>
      </c>
      <c r="D30" s="3" t="b">
        <f t="shared" si="0"/>
        <v>0</v>
      </c>
      <c r="G30" s="2"/>
    </row>
    <row r="31" spans="1:7" x14ac:dyDescent="0.25">
      <c r="A31" t="s">
        <v>28</v>
      </c>
      <c r="B31" s="5" t="s">
        <v>197</v>
      </c>
      <c r="C31" t="s">
        <v>197</v>
      </c>
      <c r="D31" s="3" t="b">
        <f t="shared" si="0"/>
        <v>0</v>
      </c>
    </row>
    <row r="32" spans="1:7" x14ac:dyDescent="0.25">
      <c r="A32" t="s">
        <v>28</v>
      </c>
      <c r="B32" s="5" t="s">
        <v>79</v>
      </c>
      <c r="C32" t="s">
        <v>79</v>
      </c>
      <c r="D32" s="3" t="b">
        <f t="shared" si="0"/>
        <v>0</v>
      </c>
      <c r="G32" s="2"/>
    </row>
    <row r="33" spans="1:7" x14ac:dyDescent="0.25">
      <c r="A33" t="s">
        <v>28</v>
      </c>
      <c r="B33" s="5" t="s">
        <v>79</v>
      </c>
      <c r="C33" t="s">
        <v>79</v>
      </c>
      <c r="D33" s="3" t="b">
        <f t="shared" si="0"/>
        <v>0</v>
      </c>
      <c r="G33" s="2"/>
    </row>
    <row r="34" spans="1:7" x14ac:dyDescent="0.25">
      <c r="A34" t="s">
        <v>28</v>
      </c>
      <c r="B34" s="5" t="s">
        <v>79</v>
      </c>
      <c r="C34" t="s">
        <v>79</v>
      </c>
      <c r="D34" s="3" t="b">
        <f t="shared" si="0"/>
        <v>0</v>
      </c>
      <c r="G34" s="2"/>
    </row>
    <row r="35" spans="1:7" x14ac:dyDescent="0.25">
      <c r="A35" t="s">
        <v>28</v>
      </c>
      <c r="B35" s="5" t="s">
        <v>79</v>
      </c>
      <c r="C35" t="s">
        <v>79</v>
      </c>
      <c r="D35" s="3" t="b">
        <f t="shared" si="0"/>
        <v>0</v>
      </c>
      <c r="G35" s="2"/>
    </row>
    <row r="36" spans="1:7" x14ac:dyDescent="0.25">
      <c r="A36" t="s">
        <v>28</v>
      </c>
      <c r="B36" s="5" t="s">
        <v>78</v>
      </c>
      <c r="C36" t="s">
        <v>78</v>
      </c>
      <c r="D36" s="3" t="b">
        <f t="shared" si="0"/>
        <v>0</v>
      </c>
      <c r="G36" s="2"/>
    </row>
    <row r="37" spans="1:7" x14ac:dyDescent="0.25">
      <c r="A37" t="s">
        <v>28</v>
      </c>
      <c r="B37" s="5" t="s">
        <v>78</v>
      </c>
      <c r="C37" t="s">
        <v>78</v>
      </c>
      <c r="D37" s="3" t="b">
        <f t="shared" si="0"/>
        <v>0</v>
      </c>
      <c r="G37" s="2"/>
    </row>
    <row r="38" spans="1:7" x14ac:dyDescent="0.25">
      <c r="A38" t="s">
        <v>28</v>
      </c>
      <c r="B38" s="5" t="s">
        <v>78</v>
      </c>
      <c r="C38" t="s">
        <v>78</v>
      </c>
      <c r="D38" s="3" t="b">
        <f t="shared" si="0"/>
        <v>0</v>
      </c>
    </row>
    <row r="39" spans="1:7" x14ac:dyDescent="0.25">
      <c r="A39" t="s">
        <v>34</v>
      </c>
      <c r="B39" s="5" t="s">
        <v>198</v>
      </c>
      <c r="C39" t="s">
        <v>198</v>
      </c>
      <c r="D39" s="3" t="b">
        <f t="shared" si="0"/>
        <v>0</v>
      </c>
      <c r="G39" s="2"/>
    </row>
    <row r="40" spans="1:7" x14ac:dyDescent="0.25">
      <c r="A40" t="s">
        <v>34</v>
      </c>
      <c r="B40" s="5" t="s">
        <v>276</v>
      </c>
      <c r="C40" t="s">
        <v>276</v>
      </c>
      <c r="D40" s="3" t="b">
        <f t="shared" si="0"/>
        <v>0</v>
      </c>
      <c r="G40" s="2"/>
    </row>
    <row r="41" spans="1:7" x14ac:dyDescent="0.25">
      <c r="A41" t="s">
        <v>34</v>
      </c>
      <c r="B41" s="5" t="s">
        <v>277</v>
      </c>
      <c r="C41" t="s">
        <v>277</v>
      </c>
      <c r="D41" s="3" t="b">
        <f t="shared" si="0"/>
        <v>0</v>
      </c>
    </row>
    <row r="42" spans="1:7" x14ac:dyDescent="0.25">
      <c r="A42" t="s">
        <v>34</v>
      </c>
      <c r="B42" s="5" t="s">
        <v>278</v>
      </c>
      <c r="C42" t="s">
        <v>278</v>
      </c>
      <c r="D42" s="3" t="b">
        <f t="shared" si="0"/>
        <v>0</v>
      </c>
    </row>
    <row r="43" spans="1:7" x14ac:dyDescent="0.25">
      <c r="A43" t="s">
        <v>34</v>
      </c>
      <c r="B43" s="5" t="s">
        <v>279</v>
      </c>
      <c r="C43" t="s">
        <v>279</v>
      </c>
      <c r="D43" s="3" t="b">
        <f t="shared" si="0"/>
        <v>0</v>
      </c>
    </row>
    <row r="44" spans="1:7" x14ac:dyDescent="0.25">
      <c r="A44" t="s">
        <v>34</v>
      </c>
      <c r="B44" s="5" t="s">
        <v>1592</v>
      </c>
      <c r="C44" t="s">
        <v>1592</v>
      </c>
      <c r="D44" s="3" t="b">
        <f t="shared" si="0"/>
        <v>0</v>
      </c>
    </row>
    <row r="45" spans="1:7" x14ac:dyDescent="0.25">
      <c r="A45" t="s">
        <v>34</v>
      </c>
      <c r="B45" s="5" t="s">
        <v>282</v>
      </c>
      <c r="C45" t="s">
        <v>282</v>
      </c>
      <c r="D45" s="3" t="b">
        <f t="shared" si="0"/>
        <v>0</v>
      </c>
    </row>
    <row r="46" spans="1:7" x14ac:dyDescent="0.25">
      <c r="A46" t="s">
        <v>34</v>
      </c>
      <c r="B46" s="5" t="s">
        <v>283</v>
      </c>
      <c r="C46" t="s">
        <v>283</v>
      </c>
      <c r="D46" s="3" t="b">
        <f t="shared" si="0"/>
        <v>0</v>
      </c>
    </row>
    <row r="47" spans="1:7" x14ac:dyDescent="0.25">
      <c r="A47" t="s">
        <v>34</v>
      </c>
      <c r="B47" s="5" t="s">
        <v>284</v>
      </c>
      <c r="C47" t="s">
        <v>284</v>
      </c>
      <c r="D47" s="3" t="b">
        <f t="shared" si="0"/>
        <v>0</v>
      </c>
    </row>
    <row r="48" spans="1:7" x14ac:dyDescent="0.25">
      <c r="A48" t="s">
        <v>34</v>
      </c>
      <c r="B48" s="5" t="s">
        <v>285</v>
      </c>
      <c r="C48" t="s">
        <v>285</v>
      </c>
      <c r="D48" s="3" t="b">
        <f t="shared" si="0"/>
        <v>0</v>
      </c>
    </row>
    <row r="49" spans="1:6" x14ac:dyDescent="0.25">
      <c r="A49" t="s">
        <v>34</v>
      </c>
      <c r="B49" s="5" t="s">
        <v>302</v>
      </c>
      <c r="C49" t="s">
        <v>302</v>
      </c>
      <c r="D49" s="3" t="b">
        <f t="shared" si="0"/>
        <v>0</v>
      </c>
    </row>
    <row r="50" spans="1:6" x14ac:dyDescent="0.25">
      <c r="A50" t="s">
        <v>34</v>
      </c>
      <c r="B50" s="5" t="s">
        <v>286</v>
      </c>
      <c r="C50" t="s">
        <v>286</v>
      </c>
      <c r="D50" s="3" t="b">
        <f t="shared" si="0"/>
        <v>0</v>
      </c>
    </row>
    <row r="51" spans="1:6" x14ac:dyDescent="0.25">
      <c r="A51" t="s">
        <v>35</v>
      </c>
      <c r="B51" s="5" t="s">
        <v>1763</v>
      </c>
      <c r="C51" s="5" t="s">
        <v>1763</v>
      </c>
      <c r="D51" s="3" t="b">
        <f t="shared" si="0"/>
        <v>0</v>
      </c>
      <c r="F51" s="5"/>
    </row>
    <row r="52" spans="1:6" x14ac:dyDescent="0.25">
      <c r="A52" t="s">
        <v>35</v>
      </c>
      <c r="B52" s="5" t="s">
        <v>88</v>
      </c>
      <c r="C52" t="s">
        <v>88</v>
      </c>
      <c r="D52" s="3" t="b">
        <f t="shared" si="0"/>
        <v>0</v>
      </c>
    </row>
    <row r="53" spans="1:6" x14ac:dyDescent="0.25">
      <c r="A53" t="s">
        <v>35</v>
      </c>
      <c r="B53" s="5" t="s">
        <v>288</v>
      </c>
      <c r="C53" t="s">
        <v>288</v>
      </c>
      <c r="D53" s="3" t="b">
        <f t="shared" si="0"/>
        <v>0</v>
      </c>
    </row>
    <row r="54" spans="1:6" x14ac:dyDescent="0.25">
      <c r="A54" t="s">
        <v>35</v>
      </c>
      <c r="B54" s="5" t="s">
        <v>289</v>
      </c>
      <c r="C54" t="s">
        <v>289</v>
      </c>
      <c r="D54" s="3" t="b">
        <f t="shared" si="0"/>
        <v>0</v>
      </c>
    </row>
    <row r="55" spans="1:6" x14ac:dyDescent="0.25">
      <c r="A55" t="s">
        <v>35</v>
      </c>
      <c r="B55" s="5" t="s">
        <v>290</v>
      </c>
      <c r="C55" t="s">
        <v>290</v>
      </c>
      <c r="D55" s="3" t="b">
        <f t="shared" si="0"/>
        <v>0</v>
      </c>
    </row>
    <row r="56" spans="1:6" x14ac:dyDescent="0.25">
      <c r="A56" t="s">
        <v>35</v>
      </c>
      <c r="B56" s="5" t="s">
        <v>1587</v>
      </c>
      <c r="C56" t="s">
        <v>1587</v>
      </c>
      <c r="D56" s="3" t="b">
        <f t="shared" si="0"/>
        <v>0</v>
      </c>
    </row>
    <row r="57" spans="1:6" x14ac:dyDescent="0.25">
      <c r="A57" t="s">
        <v>261</v>
      </c>
      <c r="B57" s="5" t="s">
        <v>128</v>
      </c>
      <c r="C57" t="s">
        <v>128</v>
      </c>
      <c r="D57" s="3" t="b">
        <f t="shared" si="0"/>
        <v>0</v>
      </c>
    </row>
    <row r="58" spans="1:6" x14ac:dyDescent="0.25">
      <c r="A58" t="s">
        <v>261</v>
      </c>
      <c r="B58" s="5" t="s">
        <v>292</v>
      </c>
      <c r="C58" t="s">
        <v>292</v>
      </c>
      <c r="D58" s="3" t="b">
        <f t="shared" si="0"/>
        <v>0</v>
      </c>
    </row>
    <row r="59" spans="1:6" x14ac:dyDescent="0.25">
      <c r="A59" t="s">
        <v>261</v>
      </c>
      <c r="B59" s="5" t="s">
        <v>293</v>
      </c>
      <c r="C59" t="s">
        <v>293</v>
      </c>
      <c r="D59" s="3" t="b">
        <f t="shared" si="0"/>
        <v>0</v>
      </c>
    </row>
    <row r="60" spans="1:6" x14ac:dyDescent="0.25">
      <c r="A60" t="s">
        <v>261</v>
      </c>
      <c r="B60" s="5" t="s">
        <v>130</v>
      </c>
      <c r="C60" t="s">
        <v>130</v>
      </c>
      <c r="D60" s="3" t="b">
        <f t="shared" si="0"/>
        <v>0</v>
      </c>
    </row>
    <row r="61" spans="1:6" x14ac:dyDescent="0.25">
      <c r="A61" t="s">
        <v>266</v>
      </c>
      <c r="B61" s="5" t="s">
        <v>1766</v>
      </c>
      <c r="C61" s="5" t="s">
        <v>1766</v>
      </c>
      <c r="D61" s="3" t="b">
        <f t="shared" si="0"/>
        <v>0</v>
      </c>
    </row>
    <row r="62" spans="1:6" x14ac:dyDescent="0.25">
      <c r="A62" t="s">
        <v>266</v>
      </c>
      <c r="B62" s="5" t="s">
        <v>295</v>
      </c>
      <c r="C62" t="s">
        <v>295</v>
      </c>
      <c r="D62" s="3" t="b">
        <f t="shared" si="0"/>
        <v>0</v>
      </c>
    </row>
    <row r="63" spans="1:6" x14ac:dyDescent="0.25">
      <c r="A63" t="s">
        <v>266</v>
      </c>
      <c r="B63" s="5" t="s">
        <v>1764</v>
      </c>
      <c r="C63" s="5" t="s">
        <v>1764</v>
      </c>
      <c r="D63" s="3" t="b">
        <f t="shared" si="0"/>
        <v>0</v>
      </c>
    </row>
    <row r="64" spans="1:6" x14ac:dyDescent="0.25">
      <c r="A64" t="s">
        <v>266</v>
      </c>
      <c r="B64" s="5" t="s">
        <v>113</v>
      </c>
      <c r="C64" s="5" t="s">
        <v>1765</v>
      </c>
      <c r="D64" s="3" t="b">
        <f t="shared" si="0"/>
        <v>1</v>
      </c>
    </row>
    <row r="65" spans="1:7" x14ac:dyDescent="0.25">
      <c r="A65" t="s">
        <v>266</v>
      </c>
      <c r="B65" s="5" t="s">
        <v>296</v>
      </c>
      <c r="C65" t="s">
        <v>296</v>
      </c>
      <c r="D65" s="3" t="b">
        <f t="shared" si="0"/>
        <v>0</v>
      </c>
    </row>
    <row r="66" spans="1:7" x14ac:dyDescent="0.25">
      <c r="A66" t="s">
        <v>63</v>
      </c>
      <c r="B66" s="5" t="s">
        <v>304</v>
      </c>
      <c r="C66" t="s">
        <v>304</v>
      </c>
      <c r="D66" s="3" t="b">
        <f t="shared" si="0"/>
        <v>0</v>
      </c>
    </row>
    <row r="67" spans="1:7" x14ac:dyDescent="0.25">
      <c r="A67" t="s">
        <v>63</v>
      </c>
      <c r="B67" s="5" t="s">
        <v>309</v>
      </c>
      <c r="C67" t="s">
        <v>309</v>
      </c>
      <c r="D67" s="3" t="b">
        <f t="shared" si="0"/>
        <v>0</v>
      </c>
      <c r="G67" s="2"/>
    </row>
    <row r="68" spans="1:7" x14ac:dyDescent="0.25">
      <c r="A68" t="s">
        <v>63</v>
      </c>
      <c r="B68" s="5" t="s">
        <v>291</v>
      </c>
      <c r="C68" t="s">
        <v>1593</v>
      </c>
      <c r="D68" s="3" t="b">
        <f t="shared" si="0"/>
        <v>1</v>
      </c>
    </row>
    <row r="69" spans="1:7" x14ac:dyDescent="0.25">
      <c r="A69" t="s">
        <v>63</v>
      </c>
      <c r="B69" s="5" t="s">
        <v>297</v>
      </c>
      <c r="C69" t="s">
        <v>297</v>
      </c>
      <c r="D69" s="3" t="b">
        <f t="shared" si="0"/>
        <v>0</v>
      </c>
    </row>
    <row r="70" spans="1:7" x14ac:dyDescent="0.25">
      <c r="A70" t="s">
        <v>63</v>
      </c>
      <c r="B70" s="5" t="s">
        <v>1762</v>
      </c>
      <c r="C70" s="5" t="s">
        <v>1762</v>
      </c>
      <c r="D70" s="3" t="b">
        <f t="shared" ref="D70:D104" si="2">B70&lt;&gt;C70</f>
        <v>0</v>
      </c>
    </row>
    <row r="71" spans="1:7" x14ac:dyDescent="0.25">
      <c r="A71" t="s">
        <v>63</v>
      </c>
      <c r="B71" s="5" t="s">
        <v>1538</v>
      </c>
      <c r="C71" s="5" t="s">
        <v>1538</v>
      </c>
      <c r="D71" s="3" t="b">
        <f t="shared" si="2"/>
        <v>0</v>
      </c>
      <c r="G71" s="2"/>
    </row>
    <row r="72" spans="1:7" x14ac:dyDescent="0.25">
      <c r="A72" t="s">
        <v>63</v>
      </c>
      <c r="B72" s="5" t="s">
        <v>280</v>
      </c>
      <c r="C72" s="5" t="s">
        <v>1745</v>
      </c>
      <c r="D72" s="3" t="b">
        <f t="shared" si="2"/>
        <v>1</v>
      </c>
      <c r="F72"/>
    </row>
    <row r="73" spans="1:7" x14ac:dyDescent="0.25">
      <c r="A73" t="s">
        <v>63</v>
      </c>
      <c r="B73" s="5" t="s">
        <v>100</v>
      </c>
      <c r="C73" t="s">
        <v>100</v>
      </c>
      <c r="D73" s="3" t="b">
        <f t="shared" si="2"/>
        <v>0</v>
      </c>
    </row>
    <row r="74" spans="1:7" x14ac:dyDescent="0.25">
      <c r="A74" t="s">
        <v>63</v>
      </c>
      <c r="B74" s="5" t="s">
        <v>101</v>
      </c>
      <c r="C74" t="s">
        <v>101</v>
      </c>
      <c r="D74" s="3" t="b">
        <f t="shared" si="2"/>
        <v>0</v>
      </c>
      <c r="F74"/>
    </row>
    <row r="75" spans="1:7" x14ac:dyDescent="0.25">
      <c r="A75" t="s">
        <v>63</v>
      </c>
      <c r="B75" s="5" t="s">
        <v>300</v>
      </c>
      <c r="C75" t="s">
        <v>300</v>
      </c>
      <c r="D75" s="3" t="b">
        <f t="shared" si="2"/>
        <v>0</v>
      </c>
      <c r="F75"/>
    </row>
    <row r="76" spans="1:7" x14ac:dyDescent="0.25">
      <c r="A76" t="s">
        <v>63</v>
      </c>
      <c r="B76" s="5" t="s">
        <v>303</v>
      </c>
      <c r="C76" t="s">
        <v>303</v>
      </c>
      <c r="D76" s="3" t="b">
        <f t="shared" si="2"/>
        <v>0</v>
      </c>
    </row>
    <row r="77" spans="1:7" x14ac:dyDescent="0.25">
      <c r="A77" t="s">
        <v>63</v>
      </c>
      <c r="B77" s="5" t="s">
        <v>103</v>
      </c>
      <c r="C77" t="s">
        <v>103</v>
      </c>
      <c r="D77" s="3" t="b">
        <f t="shared" si="2"/>
        <v>0</v>
      </c>
      <c r="F77"/>
    </row>
    <row r="78" spans="1:7" x14ac:dyDescent="0.25">
      <c r="A78" t="s">
        <v>63</v>
      </c>
      <c r="B78" s="5" t="s">
        <v>299</v>
      </c>
      <c r="C78" t="s">
        <v>299</v>
      </c>
      <c r="D78" s="3" t="b">
        <f t="shared" si="2"/>
        <v>0</v>
      </c>
      <c r="F78"/>
    </row>
    <row r="79" spans="1:7" x14ac:dyDescent="0.25">
      <c r="A79" t="s">
        <v>63</v>
      </c>
      <c r="B79" s="5" t="s">
        <v>305</v>
      </c>
      <c r="C79" t="s">
        <v>305</v>
      </c>
      <c r="D79" s="3" t="b">
        <f t="shared" si="2"/>
        <v>0</v>
      </c>
    </row>
    <row r="80" spans="1:7" x14ac:dyDescent="0.25">
      <c r="A80" t="s">
        <v>63</v>
      </c>
      <c r="B80" s="5" t="s">
        <v>104</v>
      </c>
      <c r="C80" t="s">
        <v>104</v>
      </c>
      <c r="D80" s="3" t="b">
        <f t="shared" si="2"/>
        <v>0</v>
      </c>
    </row>
    <row r="81" spans="1:6" x14ac:dyDescent="0.25">
      <c r="A81" t="s">
        <v>63</v>
      </c>
      <c r="B81" s="5" t="s">
        <v>97</v>
      </c>
      <c r="C81" t="s">
        <v>97</v>
      </c>
      <c r="D81" s="3" t="b">
        <f t="shared" si="2"/>
        <v>0</v>
      </c>
    </row>
    <row r="82" spans="1:6" x14ac:dyDescent="0.25">
      <c r="A82" t="s">
        <v>63</v>
      </c>
      <c r="B82" s="5" t="s">
        <v>306</v>
      </c>
      <c r="C82" t="s">
        <v>306</v>
      </c>
      <c r="D82" s="3" t="b">
        <f t="shared" si="2"/>
        <v>0</v>
      </c>
      <c r="F82"/>
    </row>
    <row r="83" spans="1:6" x14ac:dyDescent="0.25">
      <c r="A83" t="s">
        <v>63</v>
      </c>
      <c r="B83" s="5" t="s">
        <v>301</v>
      </c>
      <c r="C83" t="s">
        <v>301</v>
      </c>
      <c r="D83" s="3" t="b">
        <f t="shared" si="2"/>
        <v>0</v>
      </c>
      <c r="F83"/>
    </row>
    <row r="84" spans="1:6" x14ac:dyDescent="0.25">
      <c r="A84" t="s">
        <v>63</v>
      </c>
      <c r="B84" s="5" t="s">
        <v>307</v>
      </c>
      <c r="C84" t="s">
        <v>307</v>
      </c>
      <c r="D84" s="3" t="b">
        <f t="shared" si="2"/>
        <v>0</v>
      </c>
    </row>
    <row r="85" spans="1:6" x14ac:dyDescent="0.25">
      <c r="A85" t="s">
        <v>63</v>
      </c>
      <c r="B85" s="5" t="s">
        <v>1858</v>
      </c>
      <c r="C85" t="s">
        <v>1575</v>
      </c>
      <c r="D85" s="3" t="b">
        <f t="shared" si="2"/>
        <v>1</v>
      </c>
    </row>
    <row r="86" spans="1:6" x14ac:dyDescent="0.25">
      <c r="A86" t="s">
        <v>63</v>
      </c>
      <c r="B86" s="5" t="s">
        <v>298</v>
      </c>
      <c r="C86" t="s">
        <v>298</v>
      </c>
      <c r="D86" s="3" t="b">
        <f t="shared" si="2"/>
        <v>0</v>
      </c>
      <c r="F86"/>
    </row>
    <row r="87" spans="1:6" x14ac:dyDescent="0.25">
      <c r="A87" t="s">
        <v>63</v>
      </c>
      <c r="B87" s="5" t="s">
        <v>95</v>
      </c>
      <c r="C87" t="s">
        <v>95</v>
      </c>
      <c r="D87" s="3" t="b">
        <f t="shared" si="2"/>
        <v>0</v>
      </c>
    </row>
    <row r="88" spans="1:6" x14ac:dyDescent="0.25">
      <c r="A88" t="s">
        <v>1856</v>
      </c>
      <c r="B88" s="5" t="s">
        <v>93</v>
      </c>
      <c r="C88" s="5" t="s">
        <v>93</v>
      </c>
      <c r="D88" s="3" t="b">
        <f t="shared" si="2"/>
        <v>0</v>
      </c>
    </row>
    <row r="89" spans="1:6" x14ac:dyDescent="0.25">
      <c r="A89" t="s">
        <v>1856</v>
      </c>
      <c r="B89" s="5" t="s">
        <v>1859</v>
      </c>
      <c r="C89" t="s">
        <v>1859</v>
      </c>
      <c r="D89" s="3" t="b">
        <f t="shared" si="2"/>
        <v>0</v>
      </c>
    </row>
    <row r="90" spans="1:6" x14ac:dyDescent="0.25">
      <c r="A90" t="s">
        <v>1856</v>
      </c>
      <c r="B90" s="5" t="s">
        <v>2063</v>
      </c>
      <c r="C90" s="5" t="s">
        <v>2063</v>
      </c>
      <c r="D90" s="3" t="b">
        <f t="shared" si="2"/>
        <v>0</v>
      </c>
    </row>
    <row r="91" spans="1:6" x14ac:dyDescent="0.25">
      <c r="A91" t="s">
        <v>1856</v>
      </c>
      <c r="B91" s="5" t="s">
        <v>310</v>
      </c>
      <c r="C91" t="s">
        <v>310</v>
      </c>
      <c r="D91" s="3" t="b">
        <f t="shared" si="2"/>
        <v>0</v>
      </c>
    </row>
    <row r="92" spans="1:6" x14ac:dyDescent="0.25">
      <c r="A92" t="s">
        <v>269</v>
      </c>
      <c r="B92" s="5" t="s">
        <v>1674</v>
      </c>
      <c r="C92" s="5" t="s">
        <v>1674</v>
      </c>
      <c r="D92" s="3" t="b">
        <f t="shared" si="2"/>
        <v>0</v>
      </c>
      <c r="F92"/>
    </row>
    <row r="93" spans="1:6" x14ac:dyDescent="0.25">
      <c r="A93" t="s">
        <v>269</v>
      </c>
      <c r="B93" s="5" t="s">
        <v>1885</v>
      </c>
      <c r="C93" t="s">
        <v>1885</v>
      </c>
      <c r="D93" s="3" t="b">
        <f t="shared" si="2"/>
        <v>0</v>
      </c>
    </row>
    <row r="94" spans="1:6" x14ac:dyDescent="0.25">
      <c r="A94" t="s">
        <v>269</v>
      </c>
      <c r="B94" s="5" t="s">
        <v>98</v>
      </c>
      <c r="C94" t="s">
        <v>98</v>
      </c>
      <c r="D94" s="3" t="b">
        <f t="shared" si="2"/>
        <v>0</v>
      </c>
    </row>
    <row r="95" spans="1:6" x14ac:dyDescent="0.25">
      <c r="A95" t="s">
        <v>269</v>
      </c>
      <c r="B95" s="5" t="s">
        <v>1879</v>
      </c>
      <c r="C95" t="s">
        <v>1879</v>
      </c>
      <c r="D95" s="3" t="b">
        <f t="shared" si="2"/>
        <v>0</v>
      </c>
    </row>
    <row r="96" spans="1:6" x14ac:dyDescent="0.25">
      <c r="A96" t="s">
        <v>269</v>
      </c>
      <c r="B96" s="5" t="s">
        <v>311</v>
      </c>
      <c r="C96" t="s">
        <v>311</v>
      </c>
      <c r="D96" s="3" t="b">
        <f t="shared" si="2"/>
        <v>0</v>
      </c>
    </row>
    <row r="97" spans="1:4" x14ac:dyDescent="0.25">
      <c r="A97" t="s">
        <v>269</v>
      </c>
      <c r="B97" s="5" t="s">
        <v>312</v>
      </c>
      <c r="C97" t="s">
        <v>312</v>
      </c>
      <c r="D97" s="3" t="b">
        <f t="shared" si="2"/>
        <v>0</v>
      </c>
    </row>
    <row r="98" spans="1:4" x14ac:dyDescent="0.25">
      <c r="A98" t="s">
        <v>36</v>
      </c>
      <c r="B98" s="5" t="s">
        <v>313</v>
      </c>
      <c r="C98" t="s">
        <v>313</v>
      </c>
      <c r="D98" s="3" t="b">
        <f t="shared" si="2"/>
        <v>0</v>
      </c>
    </row>
    <row r="99" spans="1:4" x14ac:dyDescent="0.25">
      <c r="A99" t="s">
        <v>36</v>
      </c>
      <c r="B99" s="5" t="s">
        <v>314</v>
      </c>
      <c r="C99" t="s">
        <v>314</v>
      </c>
      <c r="D99" s="3" t="b">
        <f t="shared" si="2"/>
        <v>0</v>
      </c>
    </row>
    <row r="100" spans="1:4" x14ac:dyDescent="0.25">
      <c r="A100" t="s">
        <v>36</v>
      </c>
      <c r="B100" s="5" t="s">
        <v>315</v>
      </c>
      <c r="C100" t="s">
        <v>315</v>
      </c>
      <c r="D100" s="3" t="b">
        <f t="shared" si="2"/>
        <v>0</v>
      </c>
    </row>
    <row r="101" spans="1:4" x14ac:dyDescent="0.25">
      <c r="A101" t="s">
        <v>36</v>
      </c>
      <c r="B101" s="5" t="s">
        <v>1810</v>
      </c>
      <c r="C101" t="s">
        <v>1810</v>
      </c>
      <c r="D101" s="3" t="b">
        <f t="shared" si="2"/>
        <v>0</v>
      </c>
    </row>
    <row r="102" spans="1:4" x14ac:dyDescent="0.25">
      <c r="A102" t="s">
        <v>36</v>
      </c>
      <c r="B102" s="5" t="s">
        <v>316</v>
      </c>
      <c r="C102" t="s">
        <v>316</v>
      </c>
      <c r="D102" s="3" t="b">
        <f t="shared" si="2"/>
        <v>0</v>
      </c>
    </row>
    <row r="103" spans="1:4" x14ac:dyDescent="0.25">
      <c r="D103" s="3" t="b">
        <f t="shared" si="2"/>
        <v>0</v>
      </c>
    </row>
    <row r="104" spans="1:4" x14ac:dyDescent="0.25">
      <c r="D104" s="3" t="b">
        <f t="shared" si="2"/>
        <v>0</v>
      </c>
    </row>
  </sheetData>
  <sortState xmlns:xlrd2="http://schemas.microsoft.com/office/spreadsheetml/2017/richdata2" ref="B103:C122">
    <sortCondition ref="C103:C122"/>
  </sortState>
  <mergeCells count="1">
    <mergeCell ref="A1:G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F158DFD4-23F0-43AE-A332-0D39B2622CE5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F47C4A15-5EC2-4F79-B498-F6A8DF756E52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B683-7D3D-4093-B29D-814FD7AC6F59}">
  <sheetPr codeName="Planilha29"/>
  <dimension ref="A1:G103"/>
  <sheetViews>
    <sheetView topLeftCell="A75" workbookViewId="0">
      <selection activeCell="B80" sqref="B80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47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29</v>
      </c>
    </row>
    <row r="3" spans="1:7" x14ac:dyDescent="0.25">
      <c r="A3" s="21" t="s">
        <v>2002</v>
      </c>
      <c r="B3" s="5" t="s">
        <v>2048</v>
      </c>
      <c r="C3" s="5" t="s">
        <v>2048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33</v>
      </c>
      <c r="C4" t="s">
        <v>33</v>
      </c>
      <c r="D4" t="b">
        <f>B4&lt;&gt;C4</f>
        <v>0</v>
      </c>
    </row>
    <row r="5" spans="1:7" x14ac:dyDescent="0.25">
      <c r="A5" t="s">
        <v>28</v>
      </c>
      <c r="B5" s="5" t="s">
        <v>60</v>
      </c>
      <c r="C5" t="s">
        <v>60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176</v>
      </c>
      <c r="C6" t="s">
        <v>176</v>
      </c>
      <c r="D6" t="b">
        <f t="shared" si="0"/>
        <v>0</v>
      </c>
      <c r="F6" s="7" t="s">
        <v>2002</v>
      </c>
      <c r="G6" s="2">
        <f t="shared" ref="G6:G16" si="1">COUNTIF(A:A,F6)</f>
        <v>1</v>
      </c>
    </row>
    <row r="7" spans="1:7" x14ac:dyDescent="0.25">
      <c r="A7" t="s">
        <v>28</v>
      </c>
      <c r="B7" s="5" t="s">
        <v>132</v>
      </c>
      <c r="C7" t="s">
        <v>132</v>
      </c>
      <c r="D7" t="b">
        <f t="shared" si="0"/>
        <v>0</v>
      </c>
      <c r="F7" s="3" t="s">
        <v>28</v>
      </c>
      <c r="G7" s="2">
        <f t="shared" si="1"/>
        <v>35</v>
      </c>
    </row>
    <row r="8" spans="1:7" x14ac:dyDescent="0.25">
      <c r="A8" t="s">
        <v>28</v>
      </c>
      <c r="B8" s="5" t="s">
        <v>197</v>
      </c>
      <c r="C8" t="s">
        <v>177</v>
      </c>
      <c r="D8" t="b">
        <f t="shared" si="0"/>
        <v>1</v>
      </c>
      <c r="F8" s="7" t="s">
        <v>34</v>
      </c>
      <c r="G8" s="2">
        <f t="shared" si="1"/>
        <v>8</v>
      </c>
    </row>
    <row r="9" spans="1:7" x14ac:dyDescent="0.25">
      <c r="A9" t="s">
        <v>28</v>
      </c>
      <c r="B9" s="5" t="s">
        <v>197</v>
      </c>
      <c r="C9" t="s">
        <v>178</v>
      </c>
      <c r="D9" t="b">
        <f t="shared" si="0"/>
        <v>1</v>
      </c>
      <c r="F9" s="7" t="s">
        <v>35</v>
      </c>
      <c r="G9" s="2">
        <f t="shared" si="1"/>
        <v>8</v>
      </c>
    </row>
    <row r="10" spans="1:7" x14ac:dyDescent="0.25">
      <c r="A10" t="s">
        <v>28</v>
      </c>
      <c r="B10" s="5" t="s">
        <v>145</v>
      </c>
      <c r="C10" t="s">
        <v>179</v>
      </c>
      <c r="D10" t="b">
        <f t="shared" si="0"/>
        <v>1</v>
      </c>
      <c r="F10" s="7" t="s">
        <v>181</v>
      </c>
      <c r="G10" s="2">
        <f t="shared" si="1"/>
        <v>6</v>
      </c>
    </row>
    <row r="11" spans="1:7" x14ac:dyDescent="0.25">
      <c r="A11" t="s">
        <v>28</v>
      </c>
      <c r="B11" s="5" t="s">
        <v>145</v>
      </c>
      <c r="C11" t="s">
        <v>180</v>
      </c>
      <c r="D11" t="b">
        <f t="shared" si="0"/>
        <v>1</v>
      </c>
      <c r="F11" s="7" t="s">
        <v>183</v>
      </c>
      <c r="G11" s="2">
        <f t="shared" si="1"/>
        <v>14</v>
      </c>
    </row>
    <row r="12" spans="1:7" x14ac:dyDescent="0.25">
      <c r="A12" t="s">
        <v>28</v>
      </c>
      <c r="B12" s="5" t="s">
        <v>145</v>
      </c>
      <c r="C12" t="s">
        <v>182</v>
      </c>
      <c r="D12" t="b">
        <f t="shared" si="0"/>
        <v>1</v>
      </c>
      <c r="F12" s="7" t="s">
        <v>185</v>
      </c>
      <c r="G12" s="2">
        <f t="shared" si="1"/>
        <v>5</v>
      </c>
    </row>
    <row r="13" spans="1:7" x14ac:dyDescent="0.25">
      <c r="A13" t="s">
        <v>28</v>
      </c>
      <c r="B13" s="5" t="s">
        <v>184</v>
      </c>
      <c r="C13" t="s">
        <v>184</v>
      </c>
      <c r="D13" t="b">
        <f t="shared" si="0"/>
        <v>0</v>
      </c>
      <c r="F13" s="7" t="s">
        <v>187</v>
      </c>
      <c r="G13" s="2">
        <f t="shared" si="1"/>
        <v>9</v>
      </c>
    </row>
    <row r="14" spans="1:7" x14ac:dyDescent="0.25">
      <c r="A14" t="s">
        <v>28</v>
      </c>
      <c r="B14" s="5" t="s">
        <v>77</v>
      </c>
      <c r="C14" t="s">
        <v>186</v>
      </c>
      <c r="D14" t="b">
        <f t="shared" si="0"/>
        <v>1</v>
      </c>
      <c r="F14" s="7" t="s">
        <v>36</v>
      </c>
      <c r="G14" s="2">
        <f t="shared" si="1"/>
        <v>5</v>
      </c>
    </row>
    <row r="15" spans="1:7" x14ac:dyDescent="0.25">
      <c r="A15" t="s">
        <v>28</v>
      </c>
      <c r="B15" s="5" t="s">
        <v>188</v>
      </c>
      <c r="C15" t="s">
        <v>188</v>
      </c>
      <c r="D15" t="b">
        <f t="shared" si="0"/>
        <v>0</v>
      </c>
      <c r="F15" s="5" t="s">
        <v>1509</v>
      </c>
      <c r="G15" s="2">
        <f t="shared" si="1"/>
        <v>5</v>
      </c>
    </row>
    <row r="16" spans="1:7" x14ac:dyDescent="0.25">
      <c r="A16" t="s">
        <v>28</v>
      </c>
      <c r="B16" s="5" t="s">
        <v>190</v>
      </c>
      <c r="C16" t="s">
        <v>190</v>
      </c>
      <c r="D16" t="b">
        <f t="shared" si="0"/>
        <v>0</v>
      </c>
      <c r="F16" s="5" t="s">
        <v>738</v>
      </c>
      <c r="G16" s="2">
        <f t="shared" si="1"/>
        <v>4</v>
      </c>
    </row>
    <row r="17" spans="1:4" x14ac:dyDescent="0.25">
      <c r="A17" t="s">
        <v>28</v>
      </c>
      <c r="B17" s="5" t="s">
        <v>191</v>
      </c>
      <c r="C17" t="s">
        <v>191</v>
      </c>
      <c r="D17" t="b">
        <f t="shared" si="0"/>
        <v>0</v>
      </c>
    </row>
    <row r="18" spans="1:4" x14ac:dyDescent="0.25">
      <c r="A18" t="s">
        <v>28</v>
      </c>
      <c r="B18" s="5" t="s">
        <v>77</v>
      </c>
      <c r="C18" t="s">
        <v>192</v>
      </c>
      <c r="D18" t="b">
        <f t="shared" si="0"/>
        <v>1</v>
      </c>
    </row>
    <row r="19" spans="1:4" x14ac:dyDescent="0.25">
      <c r="A19" t="s">
        <v>28</v>
      </c>
      <c r="B19" s="5" t="s">
        <v>193</v>
      </c>
      <c r="C19" t="s">
        <v>193</v>
      </c>
      <c r="D19" t="b">
        <f t="shared" si="0"/>
        <v>0</v>
      </c>
    </row>
    <row r="20" spans="1:4" x14ac:dyDescent="0.25">
      <c r="A20" t="s">
        <v>28</v>
      </c>
      <c r="B20" s="5" t="s">
        <v>194</v>
      </c>
      <c r="C20" t="s">
        <v>194</v>
      </c>
      <c r="D20" t="b">
        <f t="shared" si="0"/>
        <v>0</v>
      </c>
    </row>
    <row r="21" spans="1:4" x14ac:dyDescent="0.25">
      <c r="A21" t="s">
        <v>28</v>
      </c>
      <c r="B21" s="5" t="s">
        <v>195</v>
      </c>
      <c r="C21" t="s">
        <v>195</v>
      </c>
      <c r="D21" t="b">
        <f t="shared" si="0"/>
        <v>0</v>
      </c>
    </row>
    <row r="22" spans="1:4" x14ac:dyDescent="0.25">
      <c r="A22" t="s">
        <v>28</v>
      </c>
      <c r="B22" s="5" t="s">
        <v>196</v>
      </c>
      <c r="C22" t="s">
        <v>196</v>
      </c>
      <c r="D22" t="b">
        <f t="shared" si="0"/>
        <v>0</v>
      </c>
    </row>
    <row r="23" spans="1:4" x14ac:dyDescent="0.25">
      <c r="A23" t="s">
        <v>28</v>
      </c>
      <c r="B23" s="5" t="s">
        <v>77</v>
      </c>
      <c r="C23" t="s">
        <v>1735</v>
      </c>
      <c r="D23" t="b">
        <f t="shared" si="0"/>
        <v>1</v>
      </c>
    </row>
    <row r="24" spans="1:4" x14ac:dyDescent="0.25">
      <c r="A24" t="s">
        <v>28</v>
      </c>
      <c r="B24" s="5" t="s">
        <v>197</v>
      </c>
      <c r="C24" t="s">
        <v>197</v>
      </c>
      <c r="D24" t="b">
        <f t="shared" si="0"/>
        <v>0</v>
      </c>
    </row>
    <row r="25" spans="1:4" x14ac:dyDescent="0.25">
      <c r="A25" t="s">
        <v>28</v>
      </c>
      <c r="B25" s="5" t="s">
        <v>197</v>
      </c>
      <c r="C25" t="s">
        <v>197</v>
      </c>
      <c r="D25" t="b">
        <f t="shared" si="0"/>
        <v>0</v>
      </c>
    </row>
    <row r="26" spans="1:4" x14ac:dyDescent="0.25">
      <c r="A26" t="s">
        <v>28</v>
      </c>
      <c r="B26" s="5" t="s">
        <v>197</v>
      </c>
      <c r="C26" t="s">
        <v>197</v>
      </c>
      <c r="D26" t="b">
        <f t="shared" si="0"/>
        <v>0</v>
      </c>
    </row>
    <row r="27" spans="1:4" x14ac:dyDescent="0.25">
      <c r="A27" t="s">
        <v>28</v>
      </c>
      <c r="B27" s="5" t="s">
        <v>197</v>
      </c>
      <c r="C27" t="s">
        <v>197</v>
      </c>
      <c r="D27" t="b">
        <f t="shared" si="0"/>
        <v>0</v>
      </c>
    </row>
    <row r="28" spans="1:4" x14ac:dyDescent="0.25">
      <c r="A28" t="s">
        <v>28</v>
      </c>
      <c r="B28" s="5" t="s">
        <v>77</v>
      </c>
      <c r="C28" t="s">
        <v>77</v>
      </c>
      <c r="D28" t="b">
        <f t="shared" si="0"/>
        <v>0</v>
      </c>
    </row>
    <row r="29" spans="1:4" x14ac:dyDescent="0.25">
      <c r="A29" t="s">
        <v>28</v>
      </c>
      <c r="B29" s="5" t="s">
        <v>77</v>
      </c>
      <c r="C29" t="s">
        <v>77</v>
      </c>
      <c r="D29" t="b">
        <f t="shared" si="0"/>
        <v>0</v>
      </c>
    </row>
    <row r="30" spans="1:4" x14ac:dyDescent="0.25">
      <c r="A30" t="s">
        <v>28</v>
      </c>
      <c r="B30" s="5" t="s">
        <v>77</v>
      </c>
      <c r="C30" t="s">
        <v>77</v>
      </c>
      <c r="D30" t="b">
        <f t="shared" si="0"/>
        <v>0</v>
      </c>
    </row>
    <row r="31" spans="1:4" x14ac:dyDescent="0.25">
      <c r="A31" t="s">
        <v>28</v>
      </c>
      <c r="B31" s="5" t="s">
        <v>77</v>
      </c>
      <c r="C31" t="s">
        <v>77</v>
      </c>
      <c r="D31" t="b">
        <f t="shared" si="0"/>
        <v>0</v>
      </c>
    </row>
    <row r="32" spans="1:4" x14ac:dyDescent="0.25">
      <c r="A32" t="s">
        <v>28</v>
      </c>
      <c r="B32" s="5" t="s">
        <v>77</v>
      </c>
      <c r="C32" t="s">
        <v>77</v>
      </c>
      <c r="D32" t="b">
        <f t="shared" si="0"/>
        <v>0</v>
      </c>
    </row>
    <row r="33" spans="1:6" x14ac:dyDescent="0.25">
      <c r="A33" t="s">
        <v>28</v>
      </c>
      <c r="B33" s="5" t="s">
        <v>77</v>
      </c>
      <c r="C33" t="s">
        <v>77</v>
      </c>
      <c r="D33" t="b">
        <f t="shared" si="0"/>
        <v>0</v>
      </c>
    </row>
    <row r="34" spans="1:6" x14ac:dyDescent="0.25">
      <c r="A34" t="s">
        <v>28</v>
      </c>
      <c r="B34" s="5" t="s">
        <v>145</v>
      </c>
      <c r="C34" t="s">
        <v>145</v>
      </c>
      <c r="D34" t="b">
        <f t="shared" si="0"/>
        <v>0</v>
      </c>
    </row>
    <row r="35" spans="1:6" x14ac:dyDescent="0.25">
      <c r="A35" t="s">
        <v>28</v>
      </c>
      <c r="B35" s="5" t="s">
        <v>145</v>
      </c>
      <c r="C35" t="s">
        <v>145</v>
      </c>
      <c r="D35" t="b">
        <f t="shared" si="0"/>
        <v>0</v>
      </c>
    </row>
    <row r="36" spans="1:6" x14ac:dyDescent="0.25">
      <c r="A36" t="s">
        <v>28</v>
      </c>
      <c r="B36" s="5" t="s">
        <v>145</v>
      </c>
      <c r="C36" t="s">
        <v>145</v>
      </c>
      <c r="D36" t="b">
        <f t="shared" si="0"/>
        <v>0</v>
      </c>
    </row>
    <row r="37" spans="1:6" x14ac:dyDescent="0.25">
      <c r="A37" t="s">
        <v>28</v>
      </c>
      <c r="B37" s="5" t="s">
        <v>145</v>
      </c>
      <c r="C37" t="s">
        <v>145</v>
      </c>
      <c r="D37" t="b">
        <f t="shared" si="0"/>
        <v>0</v>
      </c>
    </row>
    <row r="38" spans="1:6" x14ac:dyDescent="0.25">
      <c r="A38" t="s">
        <v>28</v>
      </c>
      <c r="B38" s="5" t="s">
        <v>145</v>
      </c>
      <c r="C38" t="s">
        <v>145</v>
      </c>
      <c r="D38" t="b">
        <f t="shared" si="0"/>
        <v>0</v>
      </c>
    </row>
    <row r="39" spans="1:6" x14ac:dyDescent="0.25">
      <c r="A39" t="s">
        <v>34</v>
      </c>
      <c r="B39" s="5" t="s">
        <v>1517</v>
      </c>
      <c r="C39" t="s">
        <v>198</v>
      </c>
      <c r="D39" t="b">
        <f t="shared" si="0"/>
        <v>1</v>
      </c>
    </row>
    <row r="40" spans="1:6" x14ac:dyDescent="0.25">
      <c r="A40" t="s">
        <v>34</v>
      </c>
      <c r="B40" s="5" t="s">
        <v>199</v>
      </c>
      <c r="C40" t="s">
        <v>199</v>
      </c>
      <c r="D40" t="b">
        <f t="shared" si="0"/>
        <v>0</v>
      </c>
    </row>
    <row r="41" spans="1:6" x14ac:dyDescent="0.25">
      <c r="A41" t="s">
        <v>34</v>
      </c>
      <c r="B41" s="5" t="s">
        <v>200</v>
      </c>
      <c r="C41" t="s">
        <v>200</v>
      </c>
      <c r="D41" t="b">
        <f t="shared" si="0"/>
        <v>0</v>
      </c>
    </row>
    <row r="42" spans="1:6" x14ac:dyDescent="0.25">
      <c r="A42" t="s">
        <v>34</v>
      </c>
      <c r="B42" s="5" t="s">
        <v>201</v>
      </c>
      <c r="C42" t="s">
        <v>201</v>
      </c>
      <c r="D42" t="b">
        <f t="shared" si="0"/>
        <v>0</v>
      </c>
    </row>
    <row r="43" spans="1:6" x14ac:dyDescent="0.25">
      <c r="A43" t="s">
        <v>34</v>
      </c>
      <c r="B43" s="5" t="s">
        <v>202</v>
      </c>
      <c r="C43" t="s">
        <v>202</v>
      </c>
      <c r="D43" t="b">
        <f t="shared" si="0"/>
        <v>0</v>
      </c>
    </row>
    <row r="44" spans="1:6" x14ac:dyDescent="0.25">
      <c r="A44" t="s">
        <v>34</v>
      </c>
      <c r="B44" s="5" t="s">
        <v>203</v>
      </c>
      <c r="C44" t="s">
        <v>203</v>
      </c>
      <c r="D44" t="b">
        <f t="shared" si="0"/>
        <v>0</v>
      </c>
    </row>
    <row r="45" spans="1:6" x14ac:dyDescent="0.25">
      <c r="A45" t="s">
        <v>34</v>
      </c>
      <c r="B45" s="5" t="s">
        <v>150</v>
      </c>
      <c r="C45" t="s">
        <v>150</v>
      </c>
      <c r="D45" t="b">
        <f t="shared" si="0"/>
        <v>0</v>
      </c>
      <c r="F45"/>
    </row>
    <row r="46" spans="1:6" x14ac:dyDescent="0.25">
      <c r="A46" t="s">
        <v>34</v>
      </c>
      <c r="B46" s="5" t="s">
        <v>205</v>
      </c>
      <c r="C46" t="s">
        <v>1720</v>
      </c>
      <c r="D46" t="b">
        <f t="shared" si="0"/>
        <v>1</v>
      </c>
    </row>
    <row r="47" spans="1:6" x14ac:dyDescent="0.25">
      <c r="A47" t="s">
        <v>35</v>
      </c>
      <c r="B47" s="5" t="s">
        <v>207</v>
      </c>
      <c r="C47" t="s">
        <v>207</v>
      </c>
      <c r="D47" t="b">
        <f t="shared" si="0"/>
        <v>0</v>
      </c>
    </row>
    <row r="48" spans="1:6" x14ac:dyDescent="0.25">
      <c r="A48" t="s">
        <v>35</v>
      </c>
      <c r="B48" s="5" t="s">
        <v>208</v>
      </c>
      <c r="C48" t="s">
        <v>208</v>
      </c>
      <c r="D48" t="b">
        <f t="shared" si="0"/>
        <v>0</v>
      </c>
    </row>
    <row r="49" spans="1:6" x14ac:dyDescent="0.25">
      <c r="A49" t="s">
        <v>35</v>
      </c>
      <c r="B49" s="5" t="s">
        <v>209</v>
      </c>
      <c r="C49" t="s">
        <v>2000</v>
      </c>
      <c r="D49" t="b">
        <f t="shared" si="0"/>
        <v>1</v>
      </c>
      <c r="F49"/>
    </row>
    <row r="50" spans="1:6" x14ac:dyDescent="0.25">
      <c r="A50" t="s">
        <v>35</v>
      </c>
      <c r="B50" s="5" t="s">
        <v>211</v>
      </c>
      <c r="C50" t="s">
        <v>211</v>
      </c>
      <c r="D50" t="b">
        <f t="shared" si="0"/>
        <v>0</v>
      </c>
    </row>
    <row r="51" spans="1:6" x14ac:dyDescent="0.25">
      <c r="A51" t="s">
        <v>35</v>
      </c>
      <c r="B51" s="5" t="s">
        <v>1518</v>
      </c>
      <c r="C51" t="s">
        <v>212</v>
      </c>
      <c r="D51" t="b">
        <f t="shared" si="0"/>
        <v>1</v>
      </c>
    </row>
    <row r="52" spans="1:6" x14ac:dyDescent="0.25">
      <c r="A52" t="s">
        <v>35</v>
      </c>
      <c r="B52" s="5" t="s">
        <v>214</v>
      </c>
      <c r="C52" t="s">
        <v>214</v>
      </c>
      <c r="D52" t="b">
        <f t="shared" si="0"/>
        <v>0</v>
      </c>
    </row>
    <row r="53" spans="1:6" x14ac:dyDescent="0.25">
      <c r="A53" t="s">
        <v>35</v>
      </c>
      <c r="B53" s="5" t="s">
        <v>215</v>
      </c>
      <c r="C53" t="s">
        <v>215</v>
      </c>
      <c r="D53" t="b">
        <f t="shared" si="0"/>
        <v>0</v>
      </c>
    </row>
    <row r="54" spans="1:6" x14ac:dyDescent="0.25">
      <c r="A54" t="s">
        <v>35</v>
      </c>
      <c r="B54" s="5" t="s">
        <v>216</v>
      </c>
      <c r="C54" t="s">
        <v>216</v>
      </c>
      <c r="D54" t="b">
        <f t="shared" si="0"/>
        <v>0</v>
      </c>
    </row>
    <row r="55" spans="1:6" x14ac:dyDescent="0.25">
      <c r="A55" t="s">
        <v>181</v>
      </c>
      <c r="B55" s="5" t="s">
        <v>217</v>
      </c>
      <c r="C55" t="s">
        <v>217</v>
      </c>
      <c r="D55" t="b">
        <f t="shared" si="0"/>
        <v>0</v>
      </c>
      <c r="F55"/>
    </row>
    <row r="56" spans="1:6" x14ac:dyDescent="0.25">
      <c r="A56" t="s">
        <v>181</v>
      </c>
      <c r="B56" s="5" t="s">
        <v>218</v>
      </c>
      <c r="C56" t="s">
        <v>218</v>
      </c>
      <c r="D56" t="b">
        <f t="shared" si="0"/>
        <v>0</v>
      </c>
      <c r="F56"/>
    </row>
    <row r="57" spans="1:6" x14ac:dyDescent="0.25">
      <c r="A57" t="s">
        <v>181</v>
      </c>
      <c r="B57" s="5" t="s">
        <v>979</v>
      </c>
      <c r="C57" t="s">
        <v>219</v>
      </c>
      <c r="D57" t="b">
        <f t="shared" si="0"/>
        <v>1</v>
      </c>
      <c r="F57"/>
    </row>
    <row r="58" spans="1:6" x14ac:dyDescent="0.25">
      <c r="A58" t="s">
        <v>181</v>
      </c>
      <c r="B58" s="5" t="s">
        <v>1519</v>
      </c>
      <c r="C58" t="s">
        <v>220</v>
      </c>
      <c r="D58" t="b">
        <f t="shared" si="0"/>
        <v>1</v>
      </c>
      <c r="F58"/>
    </row>
    <row r="59" spans="1:6" x14ac:dyDescent="0.25">
      <c r="A59" t="s">
        <v>181</v>
      </c>
      <c r="B59" s="5" t="s">
        <v>1520</v>
      </c>
      <c r="C59" t="s">
        <v>221</v>
      </c>
      <c r="D59" t="b">
        <f t="shared" si="0"/>
        <v>1</v>
      </c>
      <c r="F59"/>
    </row>
    <row r="60" spans="1:6" x14ac:dyDescent="0.25">
      <c r="A60" t="s">
        <v>181</v>
      </c>
      <c r="B60" s="5" t="s">
        <v>222</v>
      </c>
      <c r="C60" t="s">
        <v>222</v>
      </c>
      <c r="D60" t="b">
        <f t="shared" si="0"/>
        <v>0</v>
      </c>
    </row>
    <row r="61" spans="1:6" x14ac:dyDescent="0.25">
      <c r="A61" t="s">
        <v>183</v>
      </c>
      <c r="B61" s="5" t="s">
        <v>223</v>
      </c>
      <c r="C61" t="s">
        <v>223</v>
      </c>
      <c r="D61" t="b">
        <f t="shared" si="0"/>
        <v>0</v>
      </c>
      <c r="F61"/>
    </row>
    <row r="62" spans="1:6" x14ac:dyDescent="0.25">
      <c r="A62" t="s">
        <v>183</v>
      </c>
      <c r="B62" s="5" t="s">
        <v>224</v>
      </c>
      <c r="C62" t="s">
        <v>224</v>
      </c>
      <c r="D62" t="b">
        <f t="shared" si="0"/>
        <v>0</v>
      </c>
      <c r="F62"/>
    </row>
    <row r="63" spans="1:6" x14ac:dyDescent="0.25">
      <c r="A63" t="s">
        <v>183</v>
      </c>
      <c r="B63" s="5" t="s">
        <v>226</v>
      </c>
      <c r="C63" t="s">
        <v>226</v>
      </c>
      <c r="D63" t="b">
        <f t="shared" si="0"/>
        <v>0</v>
      </c>
      <c r="F63"/>
    </row>
    <row r="64" spans="1:6" x14ac:dyDescent="0.25">
      <c r="A64" t="s">
        <v>183</v>
      </c>
      <c r="B64" s="5" t="s">
        <v>227</v>
      </c>
      <c r="C64" t="s">
        <v>227</v>
      </c>
      <c r="D64" t="b">
        <f t="shared" si="0"/>
        <v>0</v>
      </c>
      <c r="F64"/>
    </row>
    <row r="65" spans="1:6" x14ac:dyDescent="0.25">
      <c r="A65" t="s">
        <v>183</v>
      </c>
      <c r="B65" s="5" t="s">
        <v>886</v>
      </c>
      <c r="C65" t="s">
        <v>228</v>
      </c>
      <c r="D65" t="b">
        <f t="shared" si="0"/>
        <v>1</v>
      </c>
    </row>
    <row r="66" spans="1:6" x14ac:dyDescent="0.25">
      <c r="A66" t="s">
        <v>183</v>
      </c>
      <c r="B66" s="5" t="s">
        <v>229</v>
      </c>
      <c r="C66" t="s">
        <v>229</v>
      </c>
      <c r="D66" t="b">
        <f t="shared" si="0"/>
        <v>0</v>
      </c>
      <c r="F66"/>
    </row>
    <row r="67" spans="1:6" x14ac:dyDescent="0.25">
      <c r="A67" t="s">
        <v>183</v>
      </c>
      <c r="B67" s="5" t="s">
        <v>1521</v>
      </c>
      <c r="C67" t="s">
        <v>232</v>
      </c>
      <c r="D67" t="b">
        <f t="shared" si="0"/>
        <v>1</v>
      </c>
    </row>
    <row r="68" spans="1:6" x14ac:dyDescent="0.25">
      <c r="A68" t="s">
        <v>183</v>
      </c>
      <c r="B68" s="5" t="s">
        <v>233</v>
      </c>
      <c r="C68" t="s">
        <v>233</v>
      </c>
      <c r="D68" t="b">
        <f t="shared" si="0"/>
        <v>0</v>
      </c>
    </row>
    <row r="69" spans="1:6" x14ac:dyDescent="0.25">
      <c r="A69" t="s">
        <v>183</v>
      </c>
      <c r="B69" s="5" t="s">
        <v>1723</v>
      </c>
      <c r="C69" t="s">
        <v>1723</v>
      </c>
      <c r="D69" t="b">
        <f t="shared" ref="D69:D103" si="2">B69&lt;&gt;C69</f>
        <v>0</v>
      </c>
    </row>
    <row r="70" spans="1:6" x14ac:dyDescent="0.25">
      <c r="A70" t="s">
        <v>183</v>
      </c>
      <c r="B70" s="5" t="s">
        <v>234</v>
      </c>
      <c r="C70" t="s">
        <v>234</v>
      </c>
      <c r="D70" t="b">
        <f t="shared" si="2"/>
        <v>0</v>
      </c>
    </row>
    <row r="71" spans="1:6" x14ac:dyDescent="0.25">
      <c r="A71" t="s">
        <v>183</v>
      </c>
      <c r="B71" s="5" t="s">
        <v>237</v>
      </c>
      <c r="C71" t="s">
        <v>237</v>
      </c>
      <c r="D71" t="b">
        <f t="shared" si="2"/>
        <v>0</v>
      </c>
    </row>
    <row r="72" spans="1:6" x14ac:dyDescent="0.25">
      <c r="A72" t="s">
        <v>183</v>
      </c>
      <c r="B72" s="5" t="s">
        <v>236</v>
      </c>
      <c r="C72" t="s">
        <v>236</v>
      </c>
      <c r="D72" t="b">
        <f t="shared" si="2"/>
        <v>0</v>
      </c>
    </row>
    <row r="73" spans="1:6" x14ac:dyDescent="0.25">
      <c r="A73" t="s">
        <v>183</v>
      </c>
      <c r="B73" s="5" t="s">
        <v>1523</v>
      </c>
      <c r="C73" t="s">
        <v>235</v>
      </c>
      <c r="D73" t="b">
        <f t="shared" si="2"/>
        <v>1</v>
      </c>
    </row>
    <row r="74" spans="1:6" x14ac:dyDescent="0.25">
      <c r="A74" t="s">
        <v>183</v>
      </c>
      <c r="B74" s="5" t="s">
        <v>1599</v>
      </c>
      <c r="C74" t="s">
        <v>1599</v>
      </c>
      <c r="D74" t="b">
        <f t="shared" si="2"/>
        <v>0</v>
      </c>
    </row>
    <row r="75" spans="1:6" x14ac:dyDescent="0.25">
      <c r="A75" t="s">
        <v>1509</v>
      </c>
      <c r="B75" s="5" t="s">
        <v>1513</v>
      </c>
      <c r="C75" t="s">
        <v>1513</v>
      </c>
      <c r="D75" t="b">
        <f t="shared" si="2"/>
        <v>0</v>
      </c>
    </row>
    <row r="76" spans="1:6" x14ac:dyDescent="0.25">
      <c r="A76" t="s">
        <v>1509</v>
      </c>
      <c r="B76" s="5" t="s">
        <v>1512</v>
      </c>
      <c r="C76" t="s">
        <v>1512</v>
      </c>
      <c r="D76" t="b">
        <f t="shared" si="2"/>
        <v>0</v>
      </c>
    </row>
    <row r="77" spans="1:6" x14ac:dyDescent="0.25">
      <c r="A77" t="s">
        <v>1509</v>
      </c>
      <c r="B77" s="5" t="s">
        <v>1511</v>
      </c>
      <c r="C77" t="s">
        <v>1998</v>
      </c>
      <c r="D77" t="b">
        <f t="shared" si="2"/>
        <v>1</v>
      </c>
      <c r="F77"/>
    </row>
    <row r="78" spans="1:6" x14ac:dyDescent="0.25">
      <c r="A78" t="s">
        <v>1509</v>
      </c>
      <c r="B78" s="5" t="s">
        <v>1510</v>
      </c>
      <c r="C78" t="s">
        <v>1510</v>
      </c>
      <c r="D78" t="b">
        <f t="shared" si="2"/>
        <v>0</v>
      </c>
      <c r="F78"/>
    </row>
    <row r="79" spans="1:6" x14ac:dyDescent="0.25">
      <c r="A79" t="s">
        <v>1509</v>
      </c>
      <c r="B79" s="5" t="s">
        <v>1516</v>
      </c>
      <c r="C79" t="s">
        <v>1721</v>
      </c>
      <c r="D79" t="b">
        <f t="shared" si="2"/>
        <v>1</v>
      </c>
    </row>
    <row r="80" spans="1:6" x14ac:dyDescent="0.25">
      <c r="A80" t="s">
        <v>185</v>
      </c>
      <c r="B80" s="5" t="s">
        <v>238</v>
      </c>
      <c r="C80" t="s">
        <v>238</v>
      </c>
      <c r="D80" t="b">
        <f t="shared" si="2"/>
        <v>0</v>
      </c>
    </row>
    <row r="81" spans="1:6" x14ac:dyDescent="0.25">
      <c r="A81" t="s">
        <v>185</v>
      </c>
      <c r="B81" s="5" t="s">
        <v>1506</v>
      </c>
      <c r="C81" t="s">
        <v>1506</v>
      </c>
      <c r="D81" t="b">
        <f t="shared" si="2"/>
        <v>0</v>
      </c>
    </row>
    <row r="82" spans="1:6" x14ac:dyDescent="0.25">
      <c r="A82" t="s">
        <v>185</v>
      </c>
      <c r="B82" s="5" t="s">
        <v>239</v>
      </c>
      <c r="C82" t="s">
        <v>1722</v>
      </c>
      <c r="D82" t="b">
        <f t="shared" si="2"/>
        <v>1</v>
      </c>
    </row>
    <row r="83" spans="1:6" x14ac:dyDescent="0.25">
      <c r="A83" t="s">
        <v>185</v>
      </c>
      <c r="B83" s="5" t="s">
        <v>240</v>
      </c>
      <c r="C83" t="s">
        <v>240</v>
      </c>
      <c r="D83" t="b">
        <f t="shared" si="2"/>
        <v>0</v>
      </c>
    </row>
    <row r="84" spans="1:6" x14ac:dyDescent="0.25">
      <c r="A84" t="s">
        <v>185</v>
      </c>
      <c r="B84" s="5" t="s">
        <v>1522</v>
      </c>
      <c r="C84" t="s">
        <v>241</v>
      </c>
      <c r="D84" t="b">
        <f t="shared" si="2"/>
        <v>1</v>
      </c>
    </row>
    <row r="85" spans="1:6" x14ac:dyDescent="0.25">
      <c r="A85" t="s">
        <v>36</v>
      </c>
      <c r="B85" s="5" t="s">
        <v>242</v>
      </c>
      <c r="C85" t="s">
        <v>242</v>
      </c>
      <c r="D85" t="b">
        <f t="shared" si="2"/>
        <v>0</v>
      </c>
    </row>
    <row r="86" spans="1:6" x14ac:dyDescent="0.25">
      <c r="A86" t="s">
        <v>36</v>
      </c>
      <c r="B86" s="5" t="s">
        <v>243</v>
      </c>
      <c r="C86" t="s">
        <v>243</v>
      </c>
      <c r="D86" t="b">
        <f t="shared" si="2"/>
        <v>0</v>
      </c>
    </row>
    <row r="87" spans="1:6" x14ac:dyDescent="0.25">
      <c r="A87" t="s">
        <v>36</v>
      </c>
      <c r="B87" s="5" t="s">
        <v>120</v>
      </c>
      <c r="C87" t="s">
        <v>120</v>
      </c>
      <c r="D87" t="b">
        <f t="shared" si="2"/>
        <v>0</v>
      </c>
    </row>
    <row r="88" spans="1:6" x14ac:dyDescent="0.25">
      <c r="A88" t="s">
        <v>36</v>
      </c>
      <c r="B88" s="5" t="s">
        <v>244</v>
      </c>
      <c r="C88" t="s">
        <v>244</v>
      </c>
      <c r="D88" t="b">
        <f t="shared" si="2"/>
        <v>0</v>
      </c>
    </row>
    <row r="89" spans="1:6" x14ac:dyDescent="0.25">
      <c r="A89" t="s">
        <v>36</v>
      </c>
      <c r="B89" s="5" t="s">
        <v>245</v>
      </c>
      <c r="C89" t="s">
        <v>245</v>
      </c>
      <c r="D89" t="b">
        <f t="shared" si="2"/>
        <v>0</v>
      </c>
    </row>
    <row r="90" spans="1:6" x14ac:dyDescent="0.25">
      <c r="A90" t="s">
        <v>187</v>
      </c>
      <c r="B90" s="5" t="s">
        <v>213</v>
      </c>
      <c r="C90" t="s">
        <v>118</v>
      </c>
      <c r="D90" t="b">
        <f t="shared" si="2"/>
        <v>1</v>
      </c>
    </row>
    <row r="91" spans="1:6" x14ac:dyDescent="0.25">
      <c r="A91" t="s">
        <v>187</v>
      </c>
      <c r="B91" s="5" t="s">
        <v>117</v>
      </c>
      <c r="C91" t="s">
        <v>117</v>
      </c>
      <c r="D91" t="b">
        <f t="shared" si="2"/>
        <v>0</v>
      </c>
    </row>
    <row r="92" spans="1:6" x14ac:dyDescent="0.25">
      <c r="A92" t="s">
        <v>187</v>
      </c>
      <c r="B92" s="5" t="s">
        <v>247</v>
      </c>
      <c r="C92" t="s">
        <v>247</v>
      </c>
      <c r="D92" t="b">
        <f t="shared" si="2"/>
        <v>0</v>
      </c>
    </row>
    <row r="93" spans="1:6" x14ac:dyDescent="0.25">
      <c r="A93" t="s">
        <v>187</v>
      </c>
      <c r="B93" s="5" t="s">
        <v>225</v>
      </c>
      <c r="C93" t="s">
        <v>248</v>
      </c>
      <c r="D93" t="b">
        <f t="shared" si="2"/>
        <v>1</v>
      </c>
      <c r="F93"/>
    </row>
    <row r="94" spans="1:6" x14ac:dyDescent="0.25">
      <c r="A94" t="s">
        <v>187</v>
      </c>
      <c r="B94" s="5" t="s">
        <v>210</v>
      </c>
      <c r="C94" t="s">
        <v>1053</v>
      </c>
      <c r="D94" t="b">
        <f t="shared" si="2"/>
        <v>1</v>
      </c>
      <c r="F94"/>
    </row>
    <row r="95" spans="1:6" x14ac:dyDescent="0.25">
      <c r="A95" t="s">
        <v>187</v>
      </c>
      <c r="B95" s="5" t="s">
        <v>246</v>
      </c>
      <c r="C95" t="s">
        <v>246</v>
      </c>
      <c r="D95" t="b">
        <f t="shared" si="2"/>
        <v>0</v>
      </c>
      <c r="F95"/>
    </row>
    <row r="96" spans="1:6" x14ac:dyDescent="0.25">
      <c r="A96" t="s">
        <v>187</v>
      </c>
      <c r="B96" s="5" t="s">
        <v>1418</v>
      </c>
      <c r="C96" t="s">
        <v>1418</v>
      </c>
      <c r="D96" t="b">
        <f t="shared" si="2"/>
        <v>0</v>
      </c>
    </row>
    <row r="97" spans="1:4" x14ac:dyDescent="0.25">
      <c r="A97" t="s">
        <v>187</v>
      </c>
      <c r="B97" s="5" t="s">
        <v>1424</v>
      </c>
      <c r="C97" t="s">
        <v>1424</v>
      </c>
      <c r="D97" t="b">
        <f t="shared" si="2"/>
        <v>0</v>
      </c>
    </row>
    <row r="98" spans="1:4" x14ac:dyDescent="0.25">
      <c r="A98" t="s">
        <v>187</v>
      </c>
      <c r="B98" s="5" t="s">
        <v>1417</v>
      </c>
      <c r="C98" t="s">
        <v>1417</v>
      </c>
      <c r="D98" t="b">
        <f t="shared" si="2"/>
        <v>0</v>
      </c>
    </row>
    <row r="99" spans="1:4" x14ac:dyDescent="0.25">
      <c r="A99" t="s">
        <v>738</v>
      </c>
      <c r="B99" s="5" t="s">
        <v>230</v>
      </c>
      <c r="C99" t="s">
        <v>1724</v>
      </c>
      <c r="D99" t="b">
        <f t="shared" si="2"/>
        <v>1</v>
      </c>
    </row>
    <row r="100" spans="1:4" x14ac:dyDescent="0.25">
      <c r="A100" t="s">
        <v>738</v>
      </c>
      <c r="B100" s="5" t="s">
        <v>1515</v>
      </c>
      <c r="C100" t="s">
        <v>1726</v>
      </c>
      <c r="D100" t="b">
        <f t="shared" si="2"/>
        <v>1</v>
      </c>
    </row>
    <row r="101" spans="1:4" x14ac:dyDescent="0.25">
      <c r="A101" t="s">
        <v>738</v>
      </c>
      <c r="B101" s="5" t="s">
        <v>1514</v>
      </c>
      <c r="C101" t="s">
        <v>1725</v>
      </c>
      <c r="D101" t="b">
        <f t="shared" si="2"/>
        <v>1</v>
      </c>
    </row>
    <row r="102" spans="1:4" x14ac:dyDescent="0.25">
      <c r="A102" t="s">
        <v>738</v>
      </c>
      <c r="B102" s="5" t="s">
        <v>231</v>
      </c>
      <c r="C102" t="s">
        <v>1719</v>
      </c>
      <c r="D102" t="b">
        <f t="shared" si="2"/>
        <v>1</v>
      </c>
    </row>
    <row r="103" spans="1:4" x14ac:dyDescent="0.25">
      <c r="D10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5CDEFB07-3410-4F38-81C5-7F2BBFFA307C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C33BD2EC-A712-41F6-B995-DE42094785C8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7114-425F-4777-B23D-A4E2EF95C144}">
  <sheetPr codeName="Planilha30"/>
  <dimension ref="A1:G102"/>
  <sheetViews>
    <sheetView workbookViewId="0">
      <selection activeCell="F72" sqref="E63:F72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48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21</v>
      </c>
    </row>
    <row r="3" spans="1:7" x14ac:dyDescent="0.25">
      <c r="A3" s="5" t="s">
        <v>2002</v>
      </c>
      <c r="B3" s="5" t="s">
        <v>2049</v>
      </c>
      <c r="C3" s="5" t="s">
        <v>2049</v>
      </c>
      <c r="D3" t="b">
        <f>B3&lt;&gt;C3</f>
        <v>0</v>
      </c>
      <c r="F3" s="4" t="s">
        <v>30</v>
      </c>
      <c r="G3" s="3">
        <f>SUM(G6:G24)</f>
        <v>100</v>
      </c>
    </row>
    <row r="4" spans="1:7" x14ac:dyDescent="0.25">
      <c r="A4" t="s">
        <v>28</v>
      </c>
      <c r="B4" s="5" t="s">
        <v>77</v>
      </c>
      <c r="C4" t="s">
        <v>51</v>
      </c>
      <c r="D4" t="b">
        <f>B4&lt;&gt;C4</f>
        <v>1</v>
      </c>
    </row>
    <row r="5" spans="1:7" x14ac:dyDescent="0.25">
      <c r="A5" t="s">
        <v>28</v>
      </c>
      <c r="B5" s="5" t="s">
        <v>33</v>
      </c>
      <c r="C5" t="s">
        <v>33</v>
      </c>
      <c r="D5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466</v>
      </c>
      <c r="C6" t="s">
        <v>466</v>
      </c>
      <c r="D6" t="b">
        <f t="shared" si="0"/>
        <v>0</v>
      </c>
      <c r="F6" s="3" t="s">
        <v>2002</v>
      </c>
      <c r="G6" s="2">
        <f t="shared" ref="G6:G12" si="1">COUNTIF(A:A,F6)</f>
        <v>1</v>
      </c>
    </row>
    <row r="7" spans="1:7" x14ac:dyDescent="0.25">
      <c r="A7" t="s">
        <v>28</v>
      </c>
      <c r="B7" s="5" t="s">
        <v>467</v>
      </c>
      <c r="C7" t="s">
        <v>467</v>
      </c>
      <c r="D7" t="b">
        <f t="shared" si="0"/>
        <v>0</v>
      </c>
      <c r="F7" s="7" t="s">
        <v>28</v>
      </c>
      <c r="G7" s="2">
        <f t="shared" si="1"/>
        <v>33</v>
      </c>
    </row>
    <row r="8" spans="1:7" x14ac:dyDescent="0.25">
      <c r="A8" t="s">
        <v>28</v>
      </c>
      <c r="B8" s="5" t="s">
        <v>611</v>
      </c>
      <c r="C8" t="s">
        <v>611</v>
      </c>
      <c r="D8" t="b">
        <f t="shared" si="0"/>
        <v>0</v>
      </c>
      <c r="F8" s="7" t="s">
        <v>34</v>
      </c>
      <c r="G8" s="2">
        <f t="shared" si="1"/>
        <v>10</v>
      </c>
    </row>
    <row r="9" spans="1:7" x14ac:dyDescent="0.25">
      <c r="A9" t="s">
        <v>28</v>
      </c>
      <c r="B9" s="5" t="s">
        <v>609</v>
      </c>
      <c r="C9" t="s">
        <v>609</v>
      </c>
      <c r="D9" t="b">
        <f t="shared" si="0"/>
        <v>0</v>
      </c>
      <c r="F9" s="7" t="s">
        <v>35</v>
      </c>
      <c r="G9" s="2">
        <f t="shared" si="1"/>
        <v>8</v>
      </c>
    </row>
    <row r="10" spans="1:7" x14ac:dyDescent="0.25">
      <c r="A10" t="s">
        <v>28</v>
      </c>
      <c r="B10" s="5" t="s">
        <v>79</v>
      </c>
      <c r="C10" t="s">
        <v>79</v>
      </c>
      <c r="D10" t="b">
        <f t="shared" si="0"/>
        <v>0</v>
      </c>
      <c r="F10" s="7" t="s">
        <v>1462</v>
      </c>
      <c r="G10" s="2">
        <f t="shared" si="1"/>
        <v>32</v>
      </c>
    </row>
    <row r="11" spans="1:7" x14ac:dyDescent="0.25">
      <c r="A11" t="s">
        <v>28</v>
      </c>
      <c r="B11" s="5" t="s">
        <v>79</v>
      </c>
      <c r="C11" t="s">
        <v>79</v>
      </c>
      <c r="D11" t="b">
        <f t="shared" si="0"/>
        <v>0</v>
      </c>
      <c r="F11" s="7" t="s">
        <v>329</v>
      </c>
      <c r="G11" s="2">
        <f t="shared" si="1"/>
        <v>8</v>
      </c>
    </row>
    <row r="12" spans="1:7" x14ac:dyDescent="0.25">
      <c r="A12" t="s">
        <v>28</v>
      </c>
      <c r="B12" s="5" t="s">
        <v>79</v>
      </c>
      <c r="C12" t="s">
        <v>79</v>
      </c>
      <c r="D12" t="b">
        <f t="shared" si="0"/>
        <v>0</v>
      </c>
      <c r="F12" s="7" t="s">
        <v>36</v>
      </c>
      <c r="G12" s="2">
        <f t="shared" si="1"/>
        <v>8</v>
      </c>
    </row>
    <row r="13" spans="1:7" x14ac:dyDescent="0.25">
      <c r="A13" t="s">
        <v>28</v>
      </c>
      <c r="B13" s="5" t="s">
        <v>79</v>
      </c>
      <c r="C13" t="s">
        <v>79</v>
      </c>
      <c r="D13" t="b">
        <f t="shared" si="0"/>
        <v>0</v>
      </c>
    </row>
    <row r="14" spans="1:7" x14ac:dyDescent="0.25">
      <c r="A14" t="s">
        <v>28</v>
      </c>
      <c r="B14" s="5" t="s">
        <v>79</v>
      </c>
      <c r="C14" t="s">
        <v>79</v>
      </c>
      <c r="D14" t="b">
        <f t="shared" si="0"/>
        <v>0</v>
      </c>
      <c r="F14" s="7"/>
      <c r="G14" s="2"/>
    </row>
    <row r="15" spans="1:7" x14ac:dyDescent="0.25">
      <c r="A15" t="s">
        <v>28</v>
      </c>
      <c r="B15" s="5" t="s">
        <v>79</v>
      </c>
      <c r="C15" t="s">
        <v>79</v>
      </c>
      <c r="D15" t="b">
        <f t="shared" si="0"/>
        <v>0</v>
      </c>
      <c r="F15" s="4"/>
      <c r="G15" s="2"/>
    </row>
    <row r="16" spans="1:7" x14ac:dyDescent="0.25">
      <c r="A16" t="s">
        <v>28</v>
      </c>
      <c r="B16" s="5" t="s">
        <v>79</v>
      </c>
      <c r="C16" t="s">
        <v>79</v>
      </c>
      <c r="D16" t="b">
        <f t="shared" si="0"/>
        <v>0</v>
      </c>
      <c r="F16" s="4"/>
      <c r="G16" s="2"/>
    </row>
    <row r="17" spans="1:4" x14ac:dyDescent="0.25">
      <c r="A17" t="s">
        <v>28</v>
      </c>
      <c r="B17" s="5" t="s">
        <v>79</v>
      </c>
      <c r="C17" t="s">
        <v>79</v>
      </c>
      <c r="D17" t="b">
        <f t="shared" si="0"/>
        <v>0</v>
      </c>
    </row>
    <row r="18" spans="1:4" x14ac:dyDescent="0.25">
      <c r="A18" t="s">
        <v>28</v>
      </c>
      <c r="B18" s="5" t="s">
        <v>79</v>
      </c>
      <c r="C18" t="s">
        <v>79</v>
      </c>
      <c r="D18" t="b">
        <f t="shared" si="0"/>
        <v>0</v>
      </c>
    </row>
    <row r="19" spans="1:4" x14ac:dyDescent="0.25">
      <c r="A19" t="s">
        <v>28</v>
      </c>
      <c r="B19" s="5" t="s">
        <v>79</v>
      </c>
      <c r="C19" t="s">
        <v>79</v>
      </c>
      <c r="D19" t="b">
        <f t="shared" si="0"/>
        <v>0</v>
      </c>
    </row>
    <row r="20" spans="1:4" x14ac:dyDescent="0.25">
      <c r="A20" t="s">
        <v>28</v>
      </c>
      <c r="B20" s="5" t="s">
        <v>79</v>
      </c>
      <c r="C20" t="s">
        <v>79</v>
      </c>
      <c r="D20" t="b">
        <f t="shared" si="0"/>
        <v>0</v>
      </c>
    </row>
    <row r="21" spans="1:4" x14ac:dyDescent="0.25">
      <c r="A21" t="s">
        <v>28</v>
      </c>
      <c r="B21" s="5" t="s">
        <v>79</v>
      </c>
      <c r="C21" t="s">
        <v>79</v>
      </c>
      <c r="D21" t="b">
        <f t="shared" si="0"/>
        <v>0</v>
      </c>
    </row>
    <row r="22" spans="1:4" x14ac:dyDescent="0.25">
      <c r="A22" t="s">
        <v>28</v>
      </c>
      <c r="B22" s="5" t="s">
        <v>77</v>
      </c>
      <c r="C22" t="s">
        <v>77</v>
      </c>
      <c r="D22" t="b">
        <f t="shared" si="0"/>
        <v>0</v>
      </c>
    </row>
    <row r="23" spans="1:4" x14ac:dyDescent="0.25">
      <c r="A23" t="s">
        <v>28</v>
      </c>
      <c r="B23" s="5" t="s">
        <v>77</v>
      </c>
      <c r="C23" t="s">
        <v>77</v>
      </c>
      <c r="D23" t="b">
        <f t="shared" si="0"/>
        <v>0</v>
      </c>
    </row>
    <row r="24" spans="1:4" x14ac:dyDescent="0.25">
      <c r="A24" t="s">
        <v>28</v>
      </c>
      <c r="B24" s="5" t="s">
        <v>77</v>
      </c>
      <c r="C24" t="s">
        <v>77</v>
      </c>
      <c r="D24" t="b">
        <f t="shared" si="0"/>
        <v>0</v>
      </c>
    </row>
    <row r="25" spans="1:4" x14ac:dyDescent="0.25">
      <c r="A25" t="s">
        <v>28</v>
      </c>
      <c r="B25" s="5" t="s">
        <v>77</v>
      </c>
      <c r="C25" t="s">
        <v>77</v>
      </c>
      <c r="D25" t="b">
        <f t="shared" si="0"/>
        <v>0</v>
      </c>
    </row>
    <row r="26" spans="1:4" x14ac:dyDescent="0.25">
      <c r="A26" t="s">
        <v>28</v>
      </c>
      <c r="B26" s="5" t="s">
        <v>77</v>
      </c>
      <c r="C26" t="s">
        <v>77</v>
      </c>
      <c r="D26" t="b">
        <f t="shared" si="0"/>
        <v>0</v>
      </c>
    </row>
    <row r="27" spans="1:4" x14ac:dyDescent="0.25">
      <c r="A27" t="s">
        <v>28</v>
      </c>
      <c r="B27" s="5" t="s">
        <v>77</v>
      </c>
      <c r="C27" t="s">
        <v>77</v>
      </c>
      <c r="D27" t="b">
        <f t="shared" si="0"/>
        <v>0</v>
      </c>
    </row>
    <row r="28" spans="1:4" x14ac:dyDescent="0.25">
      <c r="A28" t="s">
        <v>28</v>
      </c>
      <c r="B28" s="5" t="s">
        <v>77</v>
      </c>
      <c r="C28" t="s">
        <v>77</v>
      </c>
      <c r="D28" t="b">
        <f t="shared" si="0"/>
        <v>0</v>
      </c>
    </row>
    <row r="29" spans="1:4" x14ac:dyDescent="0.25">
      <c r="A29" t="s">
        <v>28</v>
      </c>
      <c r="B29" s="5" t="s">
        <v>77</v>
      </c>
      <c r="C29" t="s">
        <v>77</v>
      </c>
      <c r="D29" t="b">
        <f t="shared" si="0"/>
        <v>0</v>
      </c>
    </row>
    <row r="30" spans="1:4" x14ac:dyDescent="0.25">
      <c r="A30" t="s">
        <v>28</v>
      </c>
      <c r="B30" s="5" t="s">
        <v>77</v>
      </c>
      <c r="C30" t="s">
        <v>77</v>
      </c>
      <c r="D30" t="b">
        <f t="shared" si="0"/>
        <v>0</v>
      </c>
    </row>
    <row r="31" spans="1:4" x14ac:dyDescent="0.25">
      <c r="A31" t="s">
        <v>28</v>
      </c>
      <c r="B31" s="5" t="s">
        <v>77</v>
      </c>
      <c r="C31" t="s">
        <v>77</v>
      </c>
      <c r="D31" t="b">
        <f t="shared" si="0"/>
        <v>0</v>
      </c>
    </row>
    <row r="32" spans="1:4" x14ac:dyDescent="0.25">
      <c r="A32" t="s">
        <v>28</v>
      </c>
      <c r="B32" s="5" t="s">
        <v>77</v>
      </c>
      <c r="C32" t="s">
        <v>77</v>
      </c>
      <c r="D32" t="b">
        <f t="shared" si="0"/>
        <v>0</v>
      </c>
    </row>
    <row r="33" spans="1:4" x14ac:dyDescent="0.25">
      <c r="A33" t="s">
        <v>28</v>
      </c>
      <c r="B33" s="5" t="s">
        <v>77</v>
      </c>
      <c r="C33" t="s">
        <v>77</v>
      </c>
      <c r="D33" t="b">
        <f t="shared" si="0"/>
        <v>0</v>
      </c>
    </row>
    <row r="34" spans="1:4" x14ac:dyDescent="0.25">
      <c r="A34" t="s">
        <v>28</v>
      </c>
      <c r="B34" s="5" t="s">
        <v>77</v>
      </c>
      <c r="C34" t="s">
        <v>77</v>
      </c>
      <c r="D34" t="b">
        <f t="shared" si="0"/>
        <v>0</v>
      </c>
    </row>
    <row r="35" spans="1:4" x14ac:dyDescent="0.25">
      <c r="A35" t="s">
        <v>28</v>
      </c>
      <c r="B35" s="5" t="s">
        <v>77</v>
      </c>
      <c r="C35" t="s">
        <v>77</v>
      </c>
      <c r="D35" t="b">
        <f t="shared" si="0"/>
        <v>0</v>
      </c>
    </row>
    <row r="36" spans="1:4" x14ac:dyDescent="0.25">
      <c r="A36" t="s">
        <v>28</v>
      </c>
      <c r="B36" s="5" t="s">
        <v>77</v>
      </c>
      <c r="C36" t="s">
        <v>77</v>
      </c>
      <c r="D36" t="b">
        <f t="shared" si="0"/>
        <v>0</v>
      </c>
    </row>
    <row r="37" spans="1:4" x14ac:dyDescent="0.25">
      <c r="A37" t="s">
        <v>34</v>
      </c>
      <c r="B37" s="5" t="s">
        <v>1866</v>
      </c>
      <c r="C37" t="s">
        <v>198</v>
      </c>
      <c r="D37" t="b">
        <f t="shared" si="0"/>
        <v>1</v>
      </c>
    </row>
    <row r="38" spans="1:4" x14ac:dyDescent="0.25">
      <c r="A38" t="s">
        <v>34</v>
      </c>
      <c r="B38" s="5" t="s">
        <v>199</v>
      </c>
      <c r="C38" t="s">
        <v>199</v>
      </c>
      <c r="D38" t="b">
        <f t="shared" si="0"/>
        <v>0</v>
      </c>
    </row>
    <row r="39" spans="1:4" x14ac:dyDescent="0.25">
      <c r="A39" t="s">
        <v>34</v>
      </c>
      <c r="B39" s="5" t="s">
        <v>81</v>
      </c>
      <c r="C39" t="s">
        <v>81</v>
      </c>
      <c r="D39" t="b">
        <f t="shared" si="0"/>
        <v>0</v>
      </c>
    </row>
    <row r="40" spans="1:4" x14ac:dyDescent="0.25">
      <c r="A40" t="s">
        <v>34</v>
      </c>
      <c r="B40" s="5" t="s">
        <v>345</v>
      </c>
      <c r="C40" t="s">
        <v>345</v>
      </c>
      <c r="D40" t="b">
        <f t="shared" si="0"/>
        <v>0</v>
      </c>
    </row>
    <row r="41" spans="1:4" x14ac:dyDescent="0.25">
      <c r="A41" t="s">
        <v>34</v>
      </c>
      <c r="B41" s="5" t="s">
        <v>1874</v>
      </c>
      <c r="C41" t="s">
        <v>1874</v>
      </c>
      <c r="D41" t="b">
        <f t="shared" si="0"/>
        <v>0</v>
      </c>
    </row>
    <row r="42" spans="1:4" x14ac:dyDescent="0.25">
      <c r="A42" t="s">
        <v>34</v>
      </c>
      <c r="B42" s="5" t="s">
        <v>204</v>
      </c>
      <c r="C42" t="s">
        <v>204</v>
      </c>
      <c r="D42" t="b">
        <f t="shared" si="0"/>
        <v>0</v>
      </c>
    </row>
    <row r="43" spans="1:4" x14ac:dyDescent="0.25">
      <c r="A43" t="s">
        <v>34</v>
      </c>
      <c r="B43" s="5" t="s">
        <v>150</v>
      </c>
      <c r="C43" t="s">
        <v>150</v>
      </c>
      <c r="D43" t="b">
        <f t="shared" si="0"/>
        <v>0</v>
      </c>
    </row>
    <row r="44" spans="1:4" x14ac:dyDescent="0.25">
      <c r="A44" t="s">
        <v>34</v>
      </c>
      <c r="B44" s="5" t="s">
        <v>79</v>
      </c>
      <c r="C44" t="s">
        <v>153</v>
      </c>
      <c r="D44" t="b">
        <f t="shared" si="0"/>
        <v>1</v>
      </c>
    </row>
    <row r="45" spans="1:4" x14ac:dyDescent="0.25">
      <c r="A45" t="s">
        <v>34</v>
      </c>
      <c r="B45" s="5" t="s">
        <v>151</v>
      </c>
      <c r="C45" t="s">
        <v>151</v>
      </c>
      <c r="D45" t="b">
        <f t="shared" si="0"/>
        <v>0</v>
      </c>
    </row>
    <row r="46" spans="1:4" x14ac:dyDescent="0.25">
      <c r="A46" t="s">
        <v>34</v>
      </c>
      <c r="B46" s="5" t="s">
        <v>1507</v>
      </c>
      <c r="C46" t="s">
        <v>1463</v>
      </c>
      <c r="D46" t="b">
        <f t="shared" si="0"/>
        <v>1</v>
      </c>
    </row>
    <row r="47" spans="1:4" x14ac:dyDescent="0.25">
      <c r="A47" t="s">
        <v>35</v>
      </c>
      <c r="B47" s="5" t="s">
        <v>562</v>
      </c>
      <c r="C47" t="s">
        <v>562</v>
      </c>
      <c r="D47" t="b">
        <f t="shared" si="0"/>
        <v>0</v>
      </c>
    </row>
    <row r="48" spans="1:4" x14ac:dyDescent="0.25">
      <c r="A48" t="s">
        <v>35</v>
      </c>
      <c r="B48" s="5" t="s">
        <v>2182</v>
      </c>
      <c r="C48" t="s">
        <v>1464</v>
      </c>
      <c r="D48" t="b">
        <f t="shared" si="0"/>
        <v>1</v>
      </c>
    </row>
    <row r="49" spans="1:5" x14ac:dyDescent="0.25">
      <c r="A49" t="s">
        <v>35</v>
      </c>
      <c r="B49" s="5" t="s">
        <v>1465</v>
      </c>
      <c r="C49" t="s">
        <v>1465</v>
      </c>
      <c r="D49" t="b">
        <f t="shared" si="0"/>
        <v>0</v>
      </c>
    </row>
    <row r="50" spans="1:5" x14ac:dyDescent="0.25">
      <c r="A50" t="s">
        <v>35</v>
      </c>
      <c r="B50" s="5" t="s">
        <v>1466</v>
      </c>
      <c r="C50" t="s">
        <v>1466</v>
      </c>
      <c r="D50" t="b">
        <f t="shared" si="0"/>
        <v>0</v>
      </c>
    </row>
    <row r="51" spans="1:5" x14ac:dyDescent="0.25">
      <c r="A51" t="s">
        <v>35</v>
      </c>
      <c r="B51" s="5" t="s">
        <v>1467</v>
      </c>
      <c r="C51" t="s">
        <v>1467</v>
      </c>
      <c r="D51" t="b">
        <f t="shared" si="0"/>
        <v>0</v>
      </c>
    </row>
    <row r="52" spans="1:5" x14ac:dyDescent="0.25">
      <c r="A52" t="s">
        <v>35</v>
      </c>
      <c r="B52" s="5" t="s">
        <v>909</v>
      </c>
      <c r="C52" t="s">
        <v>909</v>
      </c>
      <c r="D52" t="b">
        <f t="shared" si="0"/>
        <v>0</v>
      </c>
    </row>
    <row r="53" spans="1:5" x14ac:dyDescent="0.25">
      <c r="A53" t="s">
        <v>35</v>
      </c>
      <c r="B53" s="5" t="s">
        <v>1873</v>
      </c>
      <c r="C53" t="s">
        <v>1468</v>
      </c>
      <c r="D53" t="b">
        <f t="shared" si="0"/>
        <v>1</v>
      </c>
    </row>
    <row r="54" spans="1:5" x14ac:dyDescent="0.25">
      <c r="A54" t="s">
        <v>35</v>
      </c>
      <c r="B54" s="5" t="s">
        <v>1870</v>
      </c>
      <c r="C54" t="s">
        <v>667</v>
      </c>
      <c r="D54" t="b">
        <f t="shared" si="0"/>
        <v>1</v>
      </c>
    </row>
    <row r="55" spans="1:5" x14ac:dyDescent="0.25">
      <c r="A55" t="s">
        <v>1462</v>
      </c>
      <c r="B55" s="5" t="s">
        <v>1469</v>
      </c>
      <c r="C55" t="s">
        <v>1469</v>
      </c>
      <c r="D55" t="b">
        <f t="shared" si="0"/>
        <v>0</v>
      </c>
    </row>
    <row r="56" spans="1:5" x14ac:dyDescent="0.25">
      <c r="A56" t="s">
        <v>1462</v>
      </c>
      <c r="B56" s="5" t="s">
        <v>1470</v>
      </c>
      <c r="C56" t="s">
        <v>1470</v>
      </c>
      <c r="D56" t="b">
        <f t="shared" si="0"/>
        <v>0</v>
      </c>
    </row>
    <row r="57" spans="1:5" x14ac:dyDescent="0.25">
      <c r="A57" t="s">
        <v>1462</v>
      </c>
      <c r="B57" s="5" t="s">
        <v>102</v>
      </c>
      <c r="C57" t="s">
        <v>102</v>
      </c>
      <c r="D57" t="b">
        <f t="shared" si="0"/>
        <v>0</v>
      </c>
    </row>
    <row r="58" spans="1:5" x14ac:dyDescent="0.25">
      <c r="A58" t="s">
        <v>1462</v>
      </c>
      <c r="B58" s="5" t="s">
        <v>1471</v>
      </c>
      <c r="C58" t="s">
        <v>1471</v>
      </c>
      <c r="D58" t="b">
        <f t="shared" si="0"/>
        <v>0</v>
      </c>
    </row>
    <row r="59" spans="1:5" x14ac:dyDescent="0.25">
      <c r="A59" t="s">
        <v>1462</v>
      </c>
      <c r="B59" s="5" t="s">
        <v>1472</v>
      </c>
      <c r="C59" t="s">
        <v>1472</v>
      </c>
      <c r="D59" t="b">
        <f t="shared" si="0"/>
        <v>0</v>
      </c>
    </row>
    <row r="60" spans="1:5" x14ac:dyDescent="0.25">
      <c r="A60" t="s">
        <v>1462</v>
      </c>
      <c r="B60" s="5" t="s">
        <v>1473</v>
      </c>
      <c r="C60" t="s">
        <v>1473</v>
      </c>
      <c r="D60" t="b">
        <f t="shared" si="0"/>
        <v>0</v>
      </c>
    </row>
    <row r="61" spans="1:5" x14ac:dyDescent="0.25">
      <c r="A61" t="s">
        <v>1462</v>
      </c>
      <c r="B61" s="5" t="s">
        <v>2184</v>
      </c>
      <c r="C61" t="s">
        <v>1474</v>
      </c>
      <c r="D61" t="b">
        <f t="shared" si="0"/>
        <v>1</v>
      </c>
    </row>
    <row r="62" spans="1:5" x14ac:dyDescent="0.25">
      <c r="A62" t="s">
        <v>1462</v>
      </c>
      <c r="B62" s="5" t="s">
        <v>86</v>
      </c>
      <c r="C62" t="s">
        <v>86</v>
      </c>
      <c r="D62" t="b">
        <f t="shared" si="0"/>
        <v>0</v>
      </c>
    </row>
    <row r="63" spans="1:5" x14ac:dyDescent="0.25">
      <c r="A63" t="s">
        <v>1462</v>
      </c>
      <c r="B63" s="5" t="s">
        <v>1475</v>
      </c>
      <c r="C63" t="s">
        <v>1475</v>
      </c>
      <c r="D63" t="b">
        <f t="shared" si="0"/>
        <v>0</v>
      </c>
    </row>
    <row r="64" spans="1:5" x14ac:dyDescent="0.25">
      <c r="A64" t="s">
        <v>1462</v>
      </c>
      <c r="B64" s="5" t="s">
        <v>1476</v>
      </c>
      <c r="C64" t="s">
        <v>1476</v>
      </c>
      <c r="D64" t="b">
        <f t="shared" si="0"/>
        <v>0</v>
      </c>
      <c r="E64" s="5"/>
    </row>
    <row r="65" spans="1:4" x14ac:dyDescent="0.25">
      <c r="A65" t="s">
        <v>1462</v>
      </c>
      <c r="B65" s="5" t="s">
        <v>1477</v>
      </c>
      <c r="C65" t="s">
        <v>1477</v>
      </c>
      <c r="D65" t="b">
        <f t="shared" si="0"/>
        <v>0</v>
      </c>
    </row>
    <row r="66" spans="1:4" x14ac:dyDescent="0.25">
      <c r="A66" t="s">
        <v>1462</v>
      </c>
      <c r="B66" s="5" t="s">
        <v>1478</v>
      </c>
      <c r="C66" t="s">
        <v>1478</v>
      </c>
      <c r="D66" t="b">
        <f t="shared" si="0"/>
        <v>0</v>
      </c>
    </row>
    <row r="67" spans="1:4" x14ac:dyDescent="0.25">
      <c r="A67" t="s">
        <v>1462</v>
      </c>
      <c r="B67" s="5" t="s">
        <v>1479</v>
      </c>
      <c r="C67" t="s">
        <v>1479</v>
      </c>
      <c r="D67" t="b">
        <f t="shared" si="0"/>
        <v>0</v>
      </c>
    </row>
    <row r="68" spans="1:4" x14ac:dyDescent="0.25">
      <c r="A68" t="s">
        <v>1462</v>
      </c>
      <c r="B68" s="5" t="s">
        <v>1480</v>
      </c>
      <c r="C68" t="s">
        <v>1480</v>
      </c>
      <c r="D68" t="b">
        <f t="shared" si="0"/>
        <v>0</v>
      </c>
    </row>
    <row r="69" spans="1:4" x14ac:dyDescent="0.25">
      <c r="A69" t="s">
        <v>1462</v>
      </c>
      <c r="B69" s="5" t="s">
        <v>1481</v>
      </c>
      <c r="C69" t="s">
        <v>1481</v>
      </c>
      <c r="D69" t="b">
        <f t="shared" ref="D69:D102" si="2">B69&lt;&gt;C69</f>
        <v>0</v>
      </c>
    </row>
    <row r="70" spans="1:4" x14ac:dyDescent="0.25">
      <c r="A70" t="s">
        <v>1462</v>
      </c>
      <c r="B70" s="5" t="s">
        <v>1865</v>
      </c>
      <c r="C70" t="s">
        <v>1482</v>
      </c>
      <c r="D70" t="b">
        <f t="shared" si="2"/>
        <v>1</v>
      </c>
    </row>
    <row r="71" spans="1:4" x14ac:dyDescent="0.25">
      <c r="A71" t="s">
        <v>1462</v>
      </c>
      <c r="B71" s="5" t="s">
        <v>1483</v>
      </c>
      <c r="C71" t="s">
        <v>1483</v>
      </c>
      <c r="D71" t="b">
        <f t="shared" si="2"/>
        <v>0</v>
      </c>
    </row>
    <row r="72" spans="1:4" x14ac:dyDescent="0.25">
      <c r="A72" t="s">
        <v>1462</v>
      </c>
      <c r="B72" s="5" t="s">
        <v>1484</v>
      </c>
      <c r="C72" t="s">
        <v>1484</v>
      </c>
      <c r="D72" t="b">
        <f t="shared" si="2"/>
        <v>0</v>
      </c>
    </row>
    <row r="73" spans="1:4" x14ac:dyDescent="0.25">
      <c r="A73" t="s">
        <v>1462</v>
      </c>
      <c r="B73" s="5" t="s">
        <v>213</v>
      </c>
      <c r="C73" t="s">
        <v>1485</v>
      </c>
      <c r="D73" t="b">
        <f t="shared" si="2"/>
        <v>1</v>
      </c>
    </row>
    <row r="74" spans="1:4" x14ac:dyDescent="0.25">
      <c r="A74" t="s">
        <v>1462</v>
      </c>
      <c r="B74" s="5" t="s">
        <v>1486</v>
      </c>
      <c r="C74" t="s">
        <v>1486</v>
      </c>
      <c r="D74" t="b">
        <f t="shared" si="2"/>
        <v>0</v>
      </c>
    </row>
    <row r="75" spans="1:4" x14ac:dyDescent="0.25">
      <c r="A75" t="s">
        <v>1462</v>
      </c>
      <c r="B75" s="5" t="s">
        <v>1487</v>
      </c>
      <c r="C75" t="s">
        <v>1487</v>
      </c>
      <c r="D75" t="b">
        <f t="shared" si="2"/>
        <v>0</v>
      </c>
    </row>
    <row r="76" spans="1:4" x14ac:dyDescent="0.25">
      <c r="A76" t="s">
        <v>1462</v>
      </c>
      <c r="B76" s="5" t="s">
        <v>1871</v>
      </c>
      <c r="C76" t="s">
        <v>1488</v>
      </c>
      <c r="D76" t="b">
        <f t="shared" si="2"/>
        <v>1</v>
      </c>
    </row>
    <row r="77" spans="1:4" x14ac:dyDescent="0.25">
      <c r="A77" t="s">
        <v>1462</v>
      </c>
      <c r="B77" s="5" t="s">
        <v>1489</v>
      </c>
      <c r="C77" t="s">
        <v>1489</v>
      </c>
      <c r="D77" t="b">
        <f t="shared" si="2"/>
        <v>0</v>
      </c>
    </row>
    <row r="78" spans="1:4" x14ac:dyDescent="0.25">
      <c r="A78" t="s">
        <v>1462</v>
      </c>
      <c r="B78" s="5" t="s">
        <v>2180</v>
      </c>
      <c r="C78" t="s">
        <v>1490</v>
      </c>
      <c r="D78" t="b">
        <f t="shared" si="2"/>
        <v>1</v>
      </c>
    </row>
    <row r="79" spans="1:4" x14ac:dyDescent="0.25">
      <c r="A79" t="s">
        <v>1462</v>
      </c>
      <c r="B79" s="5" t="s">
        <v>1491</v>
      </c>
      <c r="C79" t="s">
        <v>1491</v>
      </c>
      <c r="D79" t="b">
        <f t="shared" si="2"/>
        <v>0</v>
      </c>
    </row>
    <row r="80" spans="1:4" x14ac:dyDescent="0.25">
      <c r="A80" t="s">
        <v>1462</v>
      </c>
      <c r="B80" s="5" t="s">
        <v>2179</v>
      </c>
      <c r="C80" t="s">
        <v>1492</v>
      </c>
      <c r="D80" t="b">
        <f t="shared" si="2"/>
        <v>1</v>
      </c>
    </row>
    <row r="81" spans="1:4" x14ac:dyDescent="0.25">
      <c r="A81" t="s">
        <v>1462</v>
      </c>
      <c r="B81" t="s">
        <v>1493</v>
      </c>
      <c r="C81" t="s">
        <v>1493</v>
      </c>
      <c r="D81" t="b">
        <f t="shared" si="2"/>
        <v>0</v>
      </c>
    </row>
    <row r="82" spans="1:4" x14ac:dyDescent="0.25">
      <c r="A82" t="s">
        <v>1462</v>
      </c>
      <c r="B82" s="5" t="s">
        <v>1494</v>
      </c>
      <c r="C82" t="s">
        <v>1494</v>
      </c>
      <c r="D82" t="b">
        <f t="shared" si="2"/>
        <v>0</v>
      </c>
    </row>
    <row r="83" spans="1:4" x14ac:dyDescent="0.25">
      <c r="A83" t="s">
        <v>1462</v>
      </c>
      <c r="B83" s="5" t="s">
        <v>1495</v>
      </c>
      <c r="C83" t="s">
        <v>1495</v>
      </c>
      <c r="D83" t="b">
        <f t="shared" si="2"/>
        <v>0</v>
      </c>
    </row>
    <row r="84" spans="1:4" x14ac:dyDescent="0.25">
      <c r="A84" t="s">
        <v>1462</v>
      </c>
      <c r="B84" s="5" t="s">
        <v>1864</v>
      </c>
      <c r="C84" t="s">
        <v>1496</v>
      </c>
      <c r="D84" t="b">
        <f t="shared" si="2"/>
        <v>1</v>
      </c>
    </row>
    <row r="85" spans="1:4" x14ac:dyDescent="0.25">
      <c r="A85" t="s">
        <v>1462</v>
      </c>
      <c r="B85" s="5" t="s">
        <v>2181</v>
      </c>
      <c r="C85" t="s">
        <v>1497</v>
      </c>
      <c r="D85" t="b">
        <f t="shared" si="2"/>
        <v>1</v>
      </c>
    </row>
    <row r="86" spans="1:4" x14ac:dyDescent="0.25">
      <c r="A86" t="s">
        <v>1462</v>
      </c>
      <c r="B86" s="5" t="s">
        <v>1863</v>
      </c>
      <c r="C86" t="s">
        <v>1498</v>
      </c>
      <c r="D86" t="b">
        <f t="shared" si="2"/>
        <v>1</v>
      </c>
    </row>
    <row r="87" spans="1:4" x14ac:dyDescent="0.25">
      <c r="A87" t="s">
        <v>329</v>
      </c>
      <c r="B87" s="5" t="s">
        <v>1499</v>
      </c>
      <c r="C87" t="s">
        <v>1499</v>
      </c>
      <c r="D87" t="b">
        <f t="shared" si="2"/>
        <v>0</v>
      </c>
    </row>
    <row r="88" spans="1:4" x14ac:dyDescent="0.25">
      <c r="A88" t="s">
        <v>329</v>
      </c>
      <c r="B88" s="5" t="s">
        <v>1862</v>
      </c>
      <c r="C88" t="s">
        <v>1500</v>
      </c>
      <c r="D88" t="b">
        <f t="shared" si="2"/>
        <v>1</v>
      </c>
    </row>
    <row r="89" spans="1:4" x14ac:dyDescent="0.25">
      <c r="A89" t="s">
        <v>329</v>
      </c>
      <c r="B89" s="5" t="s">
        <v>1501</v>
      </c>
      <c r="C89" t="s">
        <v>1501</v>
      </c>
      <c r="D89" t="b">
        <f t="shared" si="2"/>
        <v>0</v>
      </c>
    </row>
    <row r="90" spans="1:4" x14ac:dyDescent="0.25">
      <c r="A90" t="s">
        <v>329</v>
      </c>
      <c r="B90" s="5" t="s">
        <v>1609</v>
      </c>
      <c r="C90" t="s">
        <v>516</v>
      </c>
      <c r="D90" t="b">
        <f t="shared" si="2"/>
        <v>1</v>
      </c>
    </row>
    <row r="91" spans="1:4" x14ac:dyDescent="0.25">
      <c r="A91" t="s">
        <v>329</v>
      </c>
      <c r="B91" s="5" t="s">
        <v>1867</v>
      </c>
      <c r="C91" t="s">
        <v>1867</v>
      </c>
      <c r="D91" t="b">
        <f t="shared" si="2"/>
        <v>0</v>
      </c>
    </row>
    <row r="92" spans="1:4" x14ac:dyDescent="0.25">
      <c r="A92" t="s">
        <v>329</v>
      </c>
      <c r="B92" s="5" t="s">
        <v>514</v>
      </c>
      <c r="C92" t="s">
        <v>514</v>
      </c>
      <c r="D92" t="b">
        <f t="shared" si="2"/>
        <v>0</v>
      </c>
    </row>
    <row r="93" spans="1:4" x14ac:dyDescent="0.25">
      <c r="A93" t="s">
        <v>329</v>
      </c>
      <c r="B93" s="5" t="s">
        <v>525</v>
      </c>
      <c r="C93" t="s">
        <v>525</v>
      </c>
      <c r="D93" t="b">
        <f t="shared" si="2"/>
        <v>0</v>
      </c>
    </row>
    <row r="94" spans="1:4" x14ac:dyDescent="0.25">
      <c r="A94" t="s">
        <v>329</v>
      </c>
      <c r="B94" s="5" t="s">
        <v>2183</v>
      </c>
      <c r="C94" t="s">
        <v>1502</v>
      </c>
      <c r="D94" t="b">
        <f t="shared" si="2"/>
        <v>1</v>
      </c>
    </row>
    <row r="95" spans="1:4" x14ac:dyDescent="0.25">
      <c r="A95" t="s">
        <v>36</v>
      </c>
      <c r="B95" s="5" t="s">
        <v>1872</v>
      </c>
      <c r="C95" t="s">
        <v>1876</v>
      </c>
      <c r="D95" t="b">
        <f t="shared" si="2"/>
        <v>1</v>
      </c>
    </row>
    <row r="96" spans="1:4" x14ac:dyDescent="0.25">
      <c r="A96" t="s">
        <v>36</v>
      </c>
      <c r="B96" s="5" t="s">
        <v>1869</v>
      </c>
      <c r="C96" t="s">
        <v>1869</v>
      </c>
      <c r="D96" t="b">
        <f t="shared" si="2"/>
        <v>0</v>
      </c>
    </row>
    <row r="97" spans="1:4" x14ac:dyDescent="0.25">
      <c r="A97" t="s">
        <v>36</v>
      </c>
      <c r="B97" s="5" t="s">
        <v>1860</v>
      </c>
      <c r="C97" t="s">
        <v>1860</v>
      </c>
      <c r="D97" t="b">
        <f t="shared" si="2"/>
        <v>0</v>
      </c>
    </row>
    <row r="98" spans="1:4" x14ac:dyDescent="0.25">
      <c r="A98" t="s">
        <v>36</v>
      </c>
      <c r="B98" s="5" t="s">
        <v>1503</v>
      </c>
      <c r="C98" t="s">
        <v>1503</v>
      </c>
      <c r="D98" t="b">
        <f t="shared" si="2"/>
        <v>0</v>
      </c>
    </row>
    <row r="99" spans="1:4" x14ac:dyDescent="0.25">
      <c r="A99" t="s">
        <v>36</v>
      </c>
      <c r="B99" s="5" t="s">
        <v>771</v>
      </c>
      <c r="C99" t="s">
        <v>771</v>
      </c>
      <c r="D99" t="b">
        <f t="shared" si="2"/>
        <v>0</v>
      </c>
    </row>
    <row r="100" spans="1:4" x14ac:dyDescent="0.25">
      <c r="A100" t="s">
        <v>36</v>
      </c>
      <c r="B100" s="5" t="s">
        <v>120</v>
      </c>
      <c r="C100" t="s">
        <v>120</v>
      </c>
      <c r="D100" t="b">
        <f t="shared" si="2"/>
        <v>0</v>
      </c>
    </row>
    <row r="101" spans="1:4" x14ac:dyDescent="0.25">
      <c r="A101" t="s">
        <v>36</v>
      </c>
      <c r="B101" s="5" t="s">
        <v>1861</v>
      </c>
      <c r="C101" t="s">
        <v>1861</v>
      </c>
      <c r="D101" t="b">
        <f t="shared" si="2"/>
        <v>0</v>
      </c>
    </row>
    <row r="102" spans="1:4" x14ac:dyDescent="0.25">
      <c r="A102" s="5" t="s">
        <v>36</v>
      </c>
      <c r="B102" s="5" t="s">
        <v>1875</v>
      </c>
      <c r="C102" t="s">
        <v>121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6" operator="notContains" id="{A2DD99C5-64E9-4250-A56C-CECD4CBE9616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B3:B80 B82:B102</xm:sqref>
        </x14:conditionalFormatting>
        <x14:conditionalFormatting xmlns:xm="http://schemas.microsoft.com/office/excel/2006/main">
          <x14:cfRule type="notContainsText" priority="1" operator="notContains" id="{29EF77CD-181F-434B-8424-42AA641AF2B3}">
            <xm:f>ISERROR(SEARCH(A81,B81))</xm:f>
            <xm:f>A81</xm:f>
            <x14:dxf>
              <fill>
                <patternFill>
                  <bgColor theme="5" tint="0.79998168889431442"/>
                </patternFill>
              </fill>
            </x14:dxf>
          </x14:cfRule>
          <xm:sqref>B81</xm:sqref>
        </x14:conditionalFormatting>
        <x14:conditionalFormatting xmlns:xm="http://schemas.microsoft.com/office/excel/2006/main">
          <x14:cfRule type="notContainsText" priority="5" operator="notContains" id="{85E729E8-D785-4272-8FC5-21DFACBCF27E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CD51-7718-44A5-9A26-1B365003972F}">
  <dimension ref="A1:J104"/>
  <sheetViews>
    <sheetView topLeftCell="A42" workbookViewId="0">
      <selection activeCell="C57" sqref="C57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9.140625" bestFit="1" customWidth="1"/>
    <col min="9" max="9" width="22.28515625" style="3" bestFit="1" customWidth="1"/>
    <col min="10" max="10" width="9.140625" style="3"/>
  </cols>
  <sheetData>
    <row r="1" spans="1:10" ht="21" x14ac:dyDescent="0.25">
      <c r="A1" s="29" t="s">
        <v>49</v>
      </c>
      <c r="B1" s="29"/>
      <c r="C1" s="29"/>
      <c r="D1" s="29"/>
      <c r="E1" s="29"/>
      <c r="F1" s="29"/>
      <c r="G1" s="29"/>
      <c r="I1" s="30"/>
      <c r="J1" s="30"/>
    </row>
    <row r="2" spans="1:10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11</v>
      </c>
      <c r="I2" s="4"/>
      <c r="J2" s="4"/>
    </row>
    <row r="3" spans="1:10" x14ac:dyDescent="0.25">
      <c r="A3" s="21" t="s">
        <v>2002</v>
      </c>
      <c r="B3" s="5" t="s">
        <v>2050</v>
      </c>
      <c r="C3" s="5" t="s">
        <v>2050</v>
      </c>
      <c r="D3" s="3" t="b">
        <f>B3&lt;&gt;C3</f>
        <v>0</v>
      </c>
      <c r="F3" s="4" t="s">
        <v>30</v>
      </c>
      <c r="G3" s="22">
        <f>SUM(G5:G29)</f>
        <v>100</v>
      </c>
      <c r="I3" s="4"/>
      <c r="J3" s="4"/>
    </row>
    <row r="4" spans="1:10" x14ac:dyDescent="0.25">
      <c r="A4" t="s">
        <v>28</v>
      </c>
      <c r="B4" s="5" t="s">
        <v>50</v>
      </c>
      <c r="C4" t="s">
        <v>50</v>
      </c>
      <c r="D4" s="3" t="b">
        <f>B4&lt;&gt;C4</f>
        <v>0</v>
      </c>
    </row>
    <row r="5" spans="1:10" x14ac:dyDescent="0.25">
      <c r="A5" t="s">
        <v>28</v>
      </c>
      <c r="B5" s="5" t="s">
        <v>51</v>
      </c>
      <c r="C5" t="s">
        <v>51</v>
      </c>
      <c r="D5" s="3" t="b">
        <f t="shared" ref="D5:D68" si="0">B5&lt;&gt;C5</f>
        <v>0</v>
      </c>
      <c r="F5" s="6" t="s">
        <v>32</v>
      </c>
      <c r="G5" s="1"/>
    </row>
    <row r="6" spans="1:10" x14ac:dyDescent="0.25">
      <c r="A6" t="s">
        <v>28</v>
      </c>
      <c r="B6" s="5" t="s">
        <v>52</v>
      </c>
      <c r="C6" t="s">
        <v>52</v>
      </c>
      <c r="D6" s="3" t="b">
        <f t="shared" si="0"/>
        <v>0</v>
      </c>
      <c r="F6" s="7" t="s">
        <v>2002</v>
      </c>
      <c r="G6" s="2">
        <f t="shared" ref="G6:G14" si="1">COUNTIF(A:A,F6)</f>
        <v>1</v>
      </c>
    </row>
    <row r="7" spans="1:10" x14ac:dyDescent="0.25">
      <c r="A7" t="s">
        <v>28</v>
      </c>
      <c r="B7" s="5" t="s">
        <v>53</v>
      </c>
      <c r="C7" t="s">
        <v>53</v>
      </c>
      <c r="D7" s="3" t="b">
        <f t="shared" si="0"/>
        <v>0</v>
      </c>
      <c r="F7" s="3" t="s">
        <v>28</v>
      </c>
      <c r="G7" s="2">
        <f t="shared" si="1"/>
        <v>36</v>
      </c>
    </row>
    <row r="8" spans="1:10" x14ac:dyDescent="0.25">
      <c r="A8" t="s">
        <v>28</v>
      </c>
      <c r="B8" s="5" t="s">
        <v>54</v>
      </c>
      <c r="C8" t="s">
        <v>54</v>
      </c>
      <c r="D8" s="3" t="b">
        <f t="shared" si="0"/>
        <v>0</v>
      </c>
      <c r="F8" s="7" t="s">
        <v>34</v>
      </c>
      <c r="G8" s="2">
        <f t="shared" si="1"/>
        <v>9</v>
      </c>
    </row>
    <row r="9" spans="1:10" x14ac:dyDescent="0.25">
      <c r="A9" t="s">
        <v>28</v>
      </c>
      <c r="B9" s="5" t="s">
        <v>55</v>
      </c>
      <c r="C9" t="s">
        <v>55</v>
      </c>
      <c r="D9" s="3" t="b">
        <f t="shared" si="0"/>
        <v>0</v>
      </c>
      <c r="F9" s="7" t="s">
        <v>35</v>
      </c>
      <c r="G9" s="2">
        <f t="shared" si="1"/>
        <v>9</v>
      </c>
    </row>
    <row r="10" spans="1:10" x14ac:dyDescent="0.25">
      <c r="A10" t="s">
        <v>28</v>
      </c>
      <c r="B10" s="5" t="s">
        <v>56</v>
      </c>
      <c r="C10" t="s">
        <v>56</v>
      </c>
      <c r="D10" s="3" t="b">
        <f t="shared" si="0"/>
        <v>0</v>
      </c>
      <c r="F10" s="3" t="s">
        <v>58</v>
      </c>
      <c r="G10" s="2">
        <f t="shared" si="1"/>
        <v>10</v>
      </c>
    </row>
    <row r="11" spans="1:10" x14ac:dyDescent="0.25">
      <c r="A11" t="s">
        <v>28</v>
      </c>
      <c r="B11" s="5" t="s">
        <v>57</v>
      </c>
      <c r="C11" t="s">
        <v>57</v>
      </c>
      <c r="D11" s="3" t="b">
        <f t="shared" si="0"/>
        <v>0</v>
      </c>
      <c r="F11" s="7" t="s">
        <v>263</v>
      </c>
      <c r="G11" s="2">
        <f t="shared" si="1"/>
        <v>5</v>
      </c>
    </row>
    <row r="12" spans="1:10" x14ac:dyDescent="0.25">
      <c r="A12" t="s">
        <v>28</v>
      </c>
      <c r="B12" s="5" t="s">
        <v>33</v>
      </c>
      <c r="C12" t="s">
        <v>33</v>
      </c>
      <c r="D12" s="3" t="b">
        <f t="shared" si="0"/>
        <v>0</v>
      </c>
      <c r="F12" s="7" t="s">
        <v>61</v>
      </c>
      <c r="G12" s="2">
        <f t="shared" si="1"/>
        <v>13</v>
      </c>
    </row>
    <row r="13" spans="1:10" x14ac:dyDescent="0.25">
      <c r="A13" t="s">
        <v>28</v>
      </c>
      <c r="B13" s="5" t="s">
        <v>60</v>
      </c>
      <c r="C13" t="s">
        <v>60</v>
      </c>
      <c r="D13" s="3" t="b">
        <f t="shared" si="0"/>
        <v>0</v>
      </c>
      <c r="F13" s="7" t="s">
        <v>1686</v>
      </c>
      <c r="G13" s="2">
        <f t="shared" si="1"/>
        <v>4</v>
      </c>
    </row>
    <row r="14" spans="1:10" x14ac:dyDescent="0.25">
      <c r="A14" t="s">
        <v>28</v>
      </c>
      <c r="B14" s="5" t="s">
        <v>62</v>
      </c>
      <c r="C14" t="s">
        <v>62</v>
      </c>
      <c r="D14" s="3" t="b">
        <f t="shared" si="0"/>
        <v>0</v>
      </c>
      <c r="F14" s="7" t="s">
        <v>474</v>
      </c>
      <c r="G14" s="2">
        <f t="shared" si="1"/>
        <v>13</v>
      </c>
    </row>
    <row r="15" spans="1:10" x14ac:dyDescent="0.25">
      <c r="A15" t="s">
        <v>28</v>
      </c>
      <c r="B15" s="5" t="s">
        <v>2275</v>
      </c>
      <c r="C15" t="s">
        <v>64</v>
      </c>
      <c r="D15" s="3" t="b">
        <f t="shared" si="0"/>
        <v>1</v>
      </c>
    </row>
    <row r="16" spans="1:10" x14ac:dyDescent="0.25">
      <c r="A16" t="s">
        <v>28</v>
      </c>
      <c r="B16" s="5" t="s">
        <v>65</v>
      </c>
      <c r="C16" t="s">
        <v>65</v>
      </c>
      <c r="D16" s="3" t="b">
        <f t="shared" si="0"/>
        <v>0</v>
      </c>
    </row>
    <row r="17" spans="1:7" x14ac:dyDescent="0.25">
      <c r="A17" t="s">
        <v>28</v>
      </c>
      <c r="B17" s="5" t="s">
        <v>66</v>
      </c>
      <c r="C17" t="s">
        <v>66</v>
      </c>
      <c r="D17" s="3" t="b">
        <f t="shared" si="0"/>
        <v>0</v>
      </c>
      <c r="G17" s="2"/>
    </row>
    <row r="18" spans="1:7" x14ac:dyDescent="0.25">
      <c r="A18" t="s">
        <v>28</v>
      </c>
      <c r="B18" s="5" t="s">
        <v>67</v>
      </c>
      <c r="C18" t="s">
        <v>67</v>
      </c>
      <c r="D18" s="3" t="b">
        <f t="shared" si="0"/>
        <v>0</v>
      </c>
      <c r="G18" s="2"/>
    </row>
    <row r="19" spans="1:7" x14ac:dyDescent="0.25">
      <c r="A19" t="s">
        <v>28</v>
      </c>
      <c r="B19" s="5" t="s">
        <v>68</v>
      </c>
      <c r="C19" t="s">
        <v>68</v>
      </c>
      <c r="D19" s="3" t="b">
        <f t="shared" si="0"/>
        <v>0</v>
      </c>
      <c r="G19" s="2"/>
    </row>
    <row r="20" spans="1:7" x14ac:dyDescent="0.25">
      <c r="A20" t="s">
        <v>28</v>
      </c>
      <c r="B20" s="5" t="s">
        <v>2273</v>
      </c>
      <c r="C20" t="s">
        <v>69</v>
      </c>
      <c r="D20" s="3" t="b">
        <f t="shared" si="0"/>
        <v>1</v>
      </c>
      <c r="G20" s="2"/>
    </row>
    <row r="21" spans="1:7" x14ac:dyDescent="0.25">
      <c r="A21" t="s">
        <v>28</v>
      </c>
      <c r="B21" s="5" t="s">
        <v>70</v>
      </c>
      <c r="C21" t="s">
        <v>70</v>
      </c>
      <c r="D21" s="3" t="b">
        <f t="shared" si="0"/>
        <v>0</v>
      </c>
      <c r="G21" s="2"/>
    </row>
    <row r="22" spans="1:7" x14ac:dyDescent="0.25">
      <c r="A22" t="s">
        <v>28</v>
      </c>
      <c r="B22" s="5" t="s">
        <v>71</v>
      </c>
      <c r="C22" t="s">
        <v>71</v>
      </c>
      <c r="D22" s="3" t="b">
        <f t="shared" si="0"/>
        <v>0</v>
      </c>
      <c r="G22" s="2"/>
    </row>
    <row r="23" spans="1:7" x14ac:dyDescent="0.25">
      <c r="A23" t="s">
        <v>28</v>
      </c>
      <c r="B23" s="5" t="s">
        <v>72</v>
      </c>
      <c r="C23" t="s">
        <v>72</v>
      </c>
      <c r="D23" s="3" t="b">
        <f t="shared" si="0"/>
        <v>0</v>
      </c>
      <c r="G23" s="2"/>
    </row>
    <row r="24" spans="1:7" x14ac:dyDescent="0.25">
      <c r="A24" t="s">
        <v>28</v>
      </c>
      <c r="B24" s="5" t="s">
        <v>73</v>
      </c>
      <c r="C24" t="s">
        <v>73</v>
      </c>
      <c r="D24" s="3" t="b">
        <f t="shared" si="0"/>
        <v>0</v>
      </c>
      <c r="G24" s="2"/>
    </row>
    <row r="25" spans="1:7" x14ac:dyDescent="0.25">
      <c r="A25" t="s">
        <v>28</v>
      </c>
      <c r="B25" s="5" t="s">
        <v>74</v>
      </c>
      <c r="C25" t="s">
        <v>74</v>
      </c>
      <c r="D25" s="3" t="b">
        <f t="shared" si="0"/>
        <v>0</v>
      </c>
      <c r="G25" s="2"/>
    </row>
    <row r="26" spans="1:7" x14ac:dyDescent="0.25">
      <c r="A26" t="s">
        <v>28</v>
      </c>
      <c r="B26" s="5" t="s">
        <v>75</v>
      </c>
      <c r="C26" t="s">
        <v>75</v>
      </c>
      <c r="D26" s="3" t="b">
        <f t="shared" si="0"/>
        <v>0</v>
      </c>
      <c r="G26" s="2"/>
    </row>
    <row r="27" spans="1:7" x14ac:dyDescent="0.25">
      <c r="A27" t="s">
        <v>28</v>
      </c>
      <c r="B27" s="5" t="s">
        <v>2274</v>
      </c>
      <c r="C27" t="s">
        <v>76</v>
      </c>
      <c r="D27" s="3" t="b">
        <f t="shared" si="0"/>
        <v>1</v>
      </c>
      <c r="G27" s="2"/>
    </row>
    <row r="28" spans="1:7" x14ac:dyDescent="0.25">
      <c r="A28" t="s">
        <v>28</v>
      </c>
      <c r="B28" s="5" t="s">
        <v>2269</v>
      </c>
      <c r="C28" t="s">
        <v>2269</v>
      </c>
      <c r="D28" s="3" t="b">
        <f t="shared" si="0"/>
        <v>0</v>
      </c>
      <c r="G28" s="2"/>
    </row>
    <row r="29" spans="1:7" x14ac:dyDescent="0.25">
      <c r="A29" t="s">
        <v>28</v>
      </c>
      <c r="B29" s="5" t="s">
        <v>77</v>
      </c>
      <c r="C29" t="s">
        <v>77</v>
      </c>
      <c r="D29" s="3" t="b">
        <f t="shared" si="0"/>
        <v>0</v>
      </c>
      <c r="G29" s="2"/>
    </row>
    <row r="30" spans="1:7" x14ac:dyDescent="0.25">
      <c r="A30" t="s">
        <v>28</v>
      </c>
      <c r="B30" s="5" t="s">
        <v>77</v>
      </c>
      <c r="C30" t="s">
        <v>77</v>
      </c>
      <c r="D30" s="3" t="b">
        <f t="shared" si="0"/>
        <v>0</v>
      </c>
    </row>
    <row r="31" spans="1:7" x14ac:dyDescent="0.25">
      <c r="A31" t="s">
        <v>28</v>
      </c>
      <c r="B31" s="5" t="s">
        <v>77</v>
      </c>
      <c r="C31" t="s">
        <v>77</v>
      </c>
      <c r="D31" s="3" t="b">
        <f t="shared" si="0"/>
        <v>0</v>
      </c>
      <c r="G31" s="2"/>
    </row>
    <row r="32" spans="1:7" x14ac:dyDescent="0.25">
      <c r="A32" t="s">
        <v>28</v>
      </c>
      <c r="B32" s="5" t="s">
        <v>78</v>
      </c>
      <c r="C32" t="s">
        <v>78</v>
      </c>
      <c r="D32" s="3" t="b">
        <f t="shared" si="0"/>
        <v>0</v>
      </c>
      <c r="G32" s="2"/>
    </row>
    <row r="33" spans="1:10" x14ac:dyDescent="0.25">
      <c r="A33" t="s">
        <v>28</v>
      </c>
      <c r="B33" s="5" t="s">
        <v>78</v>
      </c>
      <c r="C33" s="5" t="s">
        <v>78</v>
      </c>
      <c r="D33" s="3" t="b">
        <f t="shared" si="0"/>
        <v>0</v>
      </c>
      <c r="F33"/>
      <c r="G33" s="5"/>
      <c r="I33"/>
    </row>
    <row r="34" spans="1:10" x14ac:dyDescent="0.25">
      <c r="A34" t="s">
        <v>28</v>
      </c>
      <c r="B34" s="5" t="s">
        <v>78</v>
      </c>
      <c r="C34" t="s">
        <v>78</v>
      </c>
      <c r="D34" s="3" t="b">
        <f t="shared" si="0"/>
        <v>0</v>
      </c>
      <c r="G34" s="2"/>
    </row>
    <row r="35" spans="1:10" x14ac:dyDescent="0.25">
      <c r="A35" t="s">
        <v>28</v>
      </c>
      <c r="B35" s="5" t="s">
        <v>78</v>
      </c>
      <c r="C35" t="s">
        <v>78</v>
      </c>
      <c r="D35" s="3" t="b">
        <f t="shared" si="0"/>
        <v>0</v>
      </c>
      <c r="G35" s="2"/>
    </row>
    <row r="36" spans="1:10" x14ac:dyDescent="0.25">
      <c r="A36" t="s">
        <v>28</v>
      </c>
      <c r="B36" s="5" t="s">
        <v>79</v>
      </c>
      <c r="C36" t="s">
        <v>79</v>
      </c>
      <c r="D36" s="3" t="b">
        <f t="shared" si="0"/>
        <v>0</v>
      </c>
      <c r="G36" s="2"/>
    </row>
    <row r="37" spans="1:10" x14ac:dyDescent="0.25">
      <c r="A37" t="s">
        <v>28</v>
      </c>
      <c r="B37" s="5" t="s">
        <v>79</v>
      </c>
      <c r="C37" t="s">
        <v>79</v>
      </c>
      <c r="D37" s="3" t="b">
        <f t="shared" si="0"/>
        <v>0</v>
      </c>
      <c r="G37" s="2"/>
    </row>
    <row r="38" spans="1:10" x14ac:dyDescent="0.25">
      <c r="A38" t="s">
        <v>28</v>
      </c>
      <c r="B38" s="5" t="s">
        <v>79</v>
      </c>
      <c r="C38" t="s">
        <v>79</v>
      </c>
      <c r="D38" s="3" t="b">
        <f t="shared" si="0"/>
        <v>0</v>
      </c>
    </row>
    <row r="39" spans="1:10" x14ac:dyDescent="0.25">
      <c r="A39" t="s">
        <v>28</v>
      </c>
      <c r="B39" s="5" t="s">
        <v>79</v>
      </c>
      <c r="C39" t="s">
        <v>79</v>
      </c>
      <c r="D39" s="3" t="b">
        <f t="shared" si="0"/>
        <v>0</v>
      </c>
      <c r="G39" s="2"/>
    </row>
    <row r="40" spans="1:10" x14ac:dyDescent="0.25">
      <c r="A40" t="s">
        <v>34</v>
      </c>
      <c r="B40" s="5" t="s">
        <v>80</v>
      </c>
      <c r="C40" t="s">
        <v>80</v>
      </c>
      <c r="D40" s="3" t="b">
        <f t="shared" si="0"/>
        <v>0</v>
      </c>
      <c r="F40"/>
      <c r="G40" s="2"/>
    </row>
    <row r="41" spans="1:10" x14ac:dyDescent="0.25">
      <c r="A41" t="s">
        <v>34</v>
      </c>
      <c r="B41" s="5" t="s">
        <v>81</v>
      </c>
      <c r="C41" t="s">
        <v>81</v>
      </c>
      <c r="D41" s="3" t="b">
        <f t="shared" si="0"/>
        <v>0</v>
      </c>
    </row>
    <row r="42" spans="1:10" x14ac:dyDescent="0.25">
      <c r="A42" t="s">
        <v>34</v>
      </c>
      <c r="B42" s="5" t="s">
        <v>146</v>
      </c>
      <c r="C42" t="s">
        <v>146</v>
      </c>
      <c r="D42" s="3" t="b">
        <f t="shared" si="0"/>
        <v>0</v>
      </c>
    </row>
    <row r="43" spans="1:10" x14ac:dyDescent="0.25">
      <c r="A43" t="s">
        <v>34</v>
      </c>
      <c r="B43" s="5" t="s">
        <v>668</v>
      </c>
      <c r="C43" t="s">
        <v>668</v>
      </c>
      <c r="D43" s="3" t="b">
        <f t="shared" si="0"/>
        <v>0</v>
      </c>
    </row>
    <row r="44" spans="1:10" x14ac:dyDescent="0.25">
      <c r="A44" t="s">
        <v>34</v>
      </c>
      <c r="B44" s="5" t="s">
        <v>2277</v>
      </c>
      <c r="C44" t="s">
        <v>1854</v>
      </c>
      <c r="D44" s="3" t="b">
        <f t="shared" si="0"/>
        <v>1</v>
      </c>
    </row>
    <row r="45" spans="1:10" x14ac:dyDescent="0.25">
      <c r="A45" t="s">
        <v>34</v>
      </c>
      <c r="B45" s="5" t="s">
        <v>82</v>
      </c>
      <c r="C45" t="s">
        <v>82</v>
      </c>
      <c r="D45" s="3" t="b">
        <f t="shared" si="0"/>
        <v>0</v>
      </c>
    </row>
    <row r="46" spans="1:10" x14ac:dyDescent="0.25">
      <c r="A46" t="s">
        <v>34</v>
      </c>
      <c r="B46" s="5" t="s">
        <v>486</v>
      </c>
      <c r="C46" t="s">
        <v>486</v>
      </c>
      <c r="D46" s="3" t="b">
        <f t="shared" si="0"/>
        <v>0</v>
      </c>
    </row>
    <row r="47" spans="1:10" x14ac:dyDescent="0.25">
      <c r="A47" t="s">
        <v>34</v>
      </c>
      <c r="B47" s="5" t="s">
        <v>488</v>
      </c>
      <c r="C47" t="s">
        <v>488</v>
      </c>
      <c r="D47" s="3" t="b">
        <f t="shared" si="0"/>
        <v>0</v>
      </c>
    </row>
    <row r="48" spans="1:10" x14ac:dyDescent="0.25">
      <c r="A48" t="s">
        <v>34</v>
      </c>
      <c r="B48" s="5" t="s">
        <v>283</v>
      </c>
      <c r="C48" t="s">
        <v>283</v>
      </c>
      <c r="D48" s="3" t="b">
        <f t="shared" si="0"/>
        <v>0</v>
      </c>
      <c r="F48"/>
      <c r="I48"/>
      <c r="J48"/>
    </row>
    <row r="49" spans="1:10" x14ac:dyDescent="0.25">
      <c r="A49" t="s">
        <v>35</v>
      </c>
      <c r="B49" s="5" t="s">
        <v>818</v>
      </c>
      <c r="C49" t="s">
        <v>818</v>
      </c>
      <c r="D49" s="3" t="b">
        <f t="shared" si="0"/>
        <v>0</v>
      </c>
      <c r="F49"/>
    </row>
    <row r="50" spans="1:10" x14ac:dyDescent="0.25">
      <c r="A50" t="s">
        <v>35</v>
      </c>
      <c r="B50" s="5" t="s">
        <v>85</v>
      </c>
      <c r="C50" s="5" t="s">
        <v>85</v>
      </c>
      <c r="D50" s="3" t="b">
        <f t="shared" si="0"/>
        <v>0</v>
      </c>
      <c r="F50" s="5"/>
    </row>
    <row r="51" spans="1:10" x14ac:dyDescent="0.25">
      <c r="A51" t="s">
        <v>35</v>
      </c>
      <c r="B51" s="5" t="s">
        <v>86</v>
      </c>
      <c r="C51" t="s">
        <v>86</v>
      </c>
      <c r="D51" s="3" t="b">
        <f t="shared" si="0"/>
        <v>0</v>
      </c>
    </row>
    <row r="52" spans="1:10" x14ac:dyDescent="0.25">
      <c r="A52" t="s">
        <v>35</v>
      </c>
      <c r="B52" s="5" t="s">
        <v>87</v>
      </c>
      <c r="C52" t="s">
        <v>87</v>
      </c>
      <c r="D52" s="3" t="b">
        <f t="shared" si="0"/>
        <v>0</v>
      </c>
    </row>
    <row r="53" spans="1:10" x14ac:dyDescent="0.25">
      <c r="A53" t="s">
        <v>35</v>
      </c>
      <c r="B53" s="5" t="s">
        <v>2276</v>
      </c>
      <c r="C53" t="s">
        <v>91</v>
      </c>
      <c r="D53" s="3" t="b">
        <f t="shared" si="0"/>
        <v>1</v>
      </c>
    </row>
    <row r="54" spans="1:10" x14ac:dyDescent="0.25">
      <c r="A54" t="s">
        <v>35</v>
      </c>
      <c r="B54" s="5" t="s">
        <v>90</v>
      </c>
      <c r="C54" t="s">
        <v>90</v>
      </c>
      <c r="D54" s="3" t="b">
        <f t="shared" si="0"/>
        <v>0</v>
      </c>
    </row>
    <row r="55" spans="1:10" x14ac:dyDescent="0.25">
      <c r="A55" t="s">
        <v>35</v>
      </c>
      <c r="B55" s="5" t="s">
        <v>92</v>
      </c>
      <c r="C55" t="s">
        <v>92</v>
      </c>
      <c r="D55" s="3" t="b">
        <f t="shared" si="0"/>
        <v>0</v>
      </c>
    </row>
    <row r="56" spans="1:10" x14ac:dyDescent="0.25">
      <c r="A56" t="s">
        <v>35</v>
      </c>
      <c r="B56" s="5" t="s">
        <v>93</v>
      </c>
      <c r="C56" t="s">
        <v>93</v>
      </c>
      <c r="D56" s="3" t="b">
        <f t="shared" si="0"/>
        <v>0</v>
      </c>
      <c r="F56"/>
    </row>
    <row r="57" spans="1:10" x14ac:dyDescent="0.25">
      <c r="A57" t="s">
        <v>35</v>
      </c>
      <c r="B57" s="5" t="s">
        <v>1664</v>
      </c>
      <c r="C57" s="5" t="s">
        <v>1664</v>
      </c>
      <c r="D57" s="3" t="b">
        <f t="shared" si="0"/>
        <v>0</v>
      </c>
    </row>
    <row r="58" spans="1:10" x14ac:dyDescent="0.25">
      <c r="A58" t="s">
        <v>474</v>
      </c>
      <c r="B58" s="5" t="s">
        <v>96</v>
      </c>
      <c r="C58" t="s">
        <v>96</v>
      </c>
      <c r="D58" s="3" t="b">
        <f t="shared" si="0"/>
        <v>0</v>
      </c>
      <c r="F58" s="5"/>
      <c r="I58"/>
      <c r="J58"/>
    </row>
    <row r="59" spans="1:10" x14ac:dyDescent="0.25">
      <c r="A59" t="s">
        <v>474</v>
      </c>
      <c r="B59" s="5" t="s">
        <v>105</v>
      </c>
      <c r="C59" t="s">
        <v>105</v>
      </c>
      <c r="D59" s="3" t="b">
        <f t="shared" si="0"/>
        <v>0</v>
      </c>
      <c r="F59" s="5"/>
      <c r="I59"/>
    </row>
    <row r="60" spans="1:10" x14ac:dyDescent="0.25">
      <c r="A60" t="s">
        <v>474</v>
      </c>
      <c r="B60" s="5" t="s">
        <v>106</v>
      </c>
      <c r="C60" t="s">
        <v>106</v>
      </c>
      <c r="D60" s="3" t="b">
        <f t="shared" si="0"/>
        <v>0</v>
      </c>
      <c r="F60" s="5"/>
      <c r="I60"/>
    </row>
    <row r="61" spans="1:10" x14ac:dyDescent="0.25">
      <c r="A61" t="s">
        <v>474</v>
      </c>
      <c r="B61" s="5" t="s">
        <v>2278</v>
      </c>
      <c r="C61" t="s">
        <v>1653</v>
      </c>
      <c r="D61" s="3" t="b">
        <f t="shared" si="0"/>
        <v>1</v>
      </c>
      <c r="F61" s="5"/>
      <c r="I61"/>
    </row>
    <row r="62" spans="1:10" x14ac:dyDescent="0.25">
      <c r="A62" t="s">
        <v>474</v>
      </c>
      <c r="B62" s="5" t="s">
        <v>101</v>
      </c>
      <c r="C62" s="5" t="s">
        <v>101</v>
      </c>
      <c r="D62" s="3" t="b">
        <f t="shared" si="0"/>
        <v>0</v>
      </c>
      <c r="F62" s="5"/>
      <c r="I62"/>
    </row>
    <row r="63" spans="1:10" x14ac:dyDescent="0.25">
      <c r="A63" t="s">
        <v>474</v>
      </c>
      <c r="B63" s="5" t="s">
        <v>107</v>
      </c>
      <c r="C63" t="s">
        <v>107</v>
      </c>
      <c r="D63" s="3" t="b">
        <f t="shared" si="0"/>
        <v>0</v>
      </c>
      <c r="F63" s="5"/>
      <c r="I63"/>
    </row>
    <row r="64" spans="1:10" x14ac:dyDescent="0.25">
      <c r="A64" t="s">
        <v>474</v>
      </c>
      <c r="B64" s="5" t="s">
        <v>99</v>
      </c>
      <c r="C64" t="s">
        <v>99</v>
      </c>
      <c r="D64" s="3" t="b">
        <f t="shared" si="0"/>
        <v>0</v>
      </c>
      <c r="F64" s="5"/>
      <c r="I64"/>
    </row>
    <row r="65" spans="1:10" x14ac:dyDescent="0.25">
      <c r="A65" t="s">
        <v>474</v>
      </c>
      <c r="B65" s="5" t="s">
        <v>1582</v>
      </c>
      <c r="C65" t="s">
        <v>1582</v>
      </c>
      <c r="D65" s="3" t="b">
        <f t="shared" si="0"/>
        <v>0</v>
      </c>
      <c r="F65" s="5"/>
    </row>
    <row r="66" spans="1:10" x14ac:dyDescent="0.25">
      <c r="A66" t="s">
        <v>474</v>
      </c>
      <c r="B66" s="5" t="s">
        <v>94</v>
      </c>
      <c r="C66" s="5" t="s">
        <v>94</v>
      </c>
      <c r="D66" s="3" t="b">
        <f t="shared" si="0"/>
        <v>0</v>
      </c>
      <c r="F66" s="5"/>
      <c r="I66"/>
    </row>
    <row r="67" spans="1:10" x14ac:dyDescent="0.25">
      <c r="A67" t="s">
        <v>474</v>
      </c>
      <c r="B67" s="5" t="s">
        <v>2270</v>
      </c>
      <c r="C67" t="s">
        <v>2270</v>
      </c>
      <c r="D67" s="3" t="b">
        <f t="shared" si="0"/>
        <v>0</v>
      </c>
      <c r="F67" s="5"/>
      <c r="I67"/>
    </row>
    <row r="68" spans="1:10" x14ac:dyDescent="0.25">
      <c r="A68" t="s">
        <v>474</v>
      </c>
      <c r="B68" s="5" t="s">
        <v>103</v>
      </c>
      <c r="C68" s="5" t="s">
        <v>103</v>
      </c>
      <c r="D68" s="3" t="b">
        <f t="shared" si="0"/>
        <v>0</v>
      </c>
      <c r="F68" s="5"/>
      <c r="I68"/>
    </row>
    <row r="69" spans="1:10" x14ac:dyDescent="0.25">
      <c r="A69" t="s">
        <v>474</v>
      </c>
      <c r="B69" s="5" t="s">
        <v>1607</v>
      </c>
      <c r="C69" t="s">
        <v>1607</v>
      </c>
      <c r="D69" s="3" t="b">
        <f t="shared" ref="D69:D103" si="2">B69&lt;&gt;C69</f>
        <v>0</v>
      </c>
      <c r="F69" s="5"/>
      <c r="I69"/>
      <c r="J69"/>
    </row>
    <row r="70" spans="1:10" x14ac:dyDescent="0.25">
      <c r="A70" t="s">
        <v>474</v>
      </c>
      <c r="B70" s="5" t="s">
        <v>1662</v>
      </c>
      <c r="C70" s="5" t="s">
        <v>1662</v>
      </c>
      <c r="D70" s="3" t="b">
        <f t="shared" si="2"/>
        <v>0</v>
      </c>
      <c r="F70" s="5"/>
      <c r="G70" s="5"/>
    </row>
    <row r="71" spans="1:10" x14ac:dyDescent="0.25">
      <c r="A71" t="s">
        <v>1686</v>
      </c>
      <c r="B71" s="5" t="s">
        <v>1651</v>
      </c>
      <c r="C71" t="s">
        <v>1651</v>
      </c>
      <c r="D71" s="3" t="b">
        <f t="shared" si="2"/>
        <v>0</v>
      </c>
      <c r="F71" s="5"/>
      <c r="G71" s="5"/>
    </row>
    <row r="72" spans="1:10" x14ac:dyDescent="0.25">
      <c r="A72" t="s">
        <v>1686</v>
      </c>
      <c r="B72" s="5" t="s">
        <v>112</v>
      </c>
      <c r="C72" t="s">
        <v>112</v>
      </c>
      <c r="D72" s="3" t="b">
        <f t="shared" si="2"/>
        <v>0</v>
      </c>
      <c r="F72"/>
    </row>
    <row r="73" spans="1:10" x14ac:dyDescent="0.25">
      <c r="A73" t="s">
        <v>1686</v>
      </c>
      <c r="B73" s="5" t="s">
        <v>1655</v>
      </c>
      <c r="C73" t="s">
        <v>1655</v>
      </c>
      <c r="D73" s="3" t="b">
        <f t="shared" si="2"/>
        <v>0</v>
      </c>
      <c r="F73"/>
      <c r="I73"/>
    </row>
    <row r="74" spans="1:10" x14ac:dyDescent="0.25">
      <c r="A74" t="s">
        <v>1686</v>
      </c>
      <c r="B74" s="5" t="s">
        <v>1654</v>
      </c>
      <c r="C74" s="5" t="s">
        <v>1654</v>
      </c>
      <c r="D74" s="3" t="b">
        <f t="shared" si="2"/>
        <v>0</v>
      </c>
      <c r="F74"/>
    </row>
    <row r="75" spans="1:10" x14ac:dyDescent="0.25">
      <c r="A75" t="s">
        <v>58</v>
      </c>
      <c r="B75" s="5" t="s">
        <v>83</v>
      </c>
      <c r="C75" t="s">
        <v>83</v>
      </c>
      <c r="D75" s="3" t="b">
        <f t="shared" si="2"/>
        <v>0</v>
      </c>
      <c r="F75"/>
    </row>
    <row r="76" spans="1:10" x14ac:dyDescent="0.25">
      <c r="A76" t="s">
        <v>58</v>
      </c>
      <c r="B76" s="5" t="s">
        <v>84</v>
      </c>
      <c r="C76" t="s">
        <v>84</v>
      </c>
      <c r="D76" s="3" t="b">
        <f t="shared" si="2"/>
        <v>0</v>
      </c>
      <c r="F76"/>
    </row>
    <row r="77" spans="1:10" x14ac:dyDescent="0.25">
      <c r="A77" t="s">
        <v>58</v>
      </c>
      <c r="B77" s="5" t="s">
        <v>114</v>
      </c>
      <c r="C77" t="s">
        <v>114</v>
      </c>
      <c r="D77" s="3" t="b">
        <f t="shared" si="2"/>
        <v>0</v>
      </c>
      <c r="F77"/>
      <c r="J77"/>
    </row>
    <row r="78" spans="1:10" x14ac:dyDescent="0.25">
      <c r="A78" t="s">
        <v>58</v>
      </c>
      <c r="B78" s="5" t="s">
        <v>2271</v>
      </c>
      <c r="C78" t="s">
        <v>1893</v>
      </c>
      <c r="D78" s="3" t="b">
        <f t="shared" si="2"/>
        <v>1</v>
      </c>
      <c r="F78"/>
    </row>
    <row r="79" spans="1:10" x14ac:dyDescent="0.25">
      <c r="A79" t="s">
        <v>58</v>
      </c>
      <c r="B79" s="5" t="s">
        <v>89</v>
      </c>
      <c r="C79" t="s">
        <v>115</v>
      </c>
      <c r="D79" s="3" t="b">
        <f t="shared" si="2"/>
        <v>1</v>
      </c>
      <c r="F79"/>
    </row>
    <row r="80" spans="1:10" x14ac:dyDescent="0.25">
      <c r="A80" t="s">
        <v>58</v>
      </c>
      <c r="B80" s="5" t="s">
        <v>110</v>
      </c>
      <c r="C80" t="s">
        <v>110</v>
      </c>
      <c r="D80" s="3" t="b">
        <f t="shared" si="2"/>
        <v>0</v>
      </c>
      <c r="F80" s="5"/>
    </row>
    <row r="81" spans="1:10" x14ac:dyDescent="0.25">
      <c r="A81" t="s">
        <v>58</v>
      </c>
      <c r="B81" s="5" t="s">
        <v>1504</v>
      </c>
      <c r="C81" t="s">
        <v>1504</v>
      </c>
      <c r="D81" s="3" t="b">
        <f t="shared" si="2"/>
        <v>0</v>
      </c>
      <c r="F81" s="5"/>
    </row>
    <row r="82" spans="1:10" x14ac:dyDescent="0.25">
      <c r="A82" t="s">
        <v>58</v>
      </c>
      <c r="B82" s="5" t="s">
        <v>1683</v>
      </c>
      <c r="C82" t="s">
        <v>1683</v>
      </c>
      <c r="D82" s="3" t="b">
        <f t="shared" si="2"/>
        <v>0</v>
      </c>
      <c r="F82"/>
      <c r="G82" s="5"/>
    </row>
    <row r="83" spans="1:10" x14ac:dyDescent="0.25">
      <c r="A83" t="s">
        <v>58</v>
      </c>
      <c r="B83" s="5" t="s">
        <v>451</v>
      </c>
      <c r="C83" t="s">
        <v>451</v>
      </c>
      <c r="D83" s="3" t="b">
        <f t="shared" si="2"/>
        <v>0</v>
      </c>
      <c r="F83" s="5"/>
    </row>
    <row r="84" spans="1:10" x14ac:dyDescent="0.25">
      <c r="A84" t="s">
        <v>58</v>
      </c>
      <c r="B84" s="5" t="s">
        <v>1681</v>
      </c>
      <c r="C84" t="s">
        <v>1681</v>
      </c>
      <c r="D84" s="3" t="b">
        <f t="shared" si="2"/>
        <v>0</v>
      </c>
      <c r="F84" s="5"/>
      <c r="G84" s="5"/>
      <c r="I84"/>
    </row>
    <row r="85" spans="1:10" x14ac:dyDescent="0.25">
      <c r="A85" t="s">
        <v>61</v>
      </c>
      <c r="B85" s="5" t="s">
        <v>1684</v>
      </c>
      <c r="C85" s="5" t="s">
        <v>1684</v>
      </c>
      <c r="D85" s="3" t="b">
        <f t="shared" si="2"/>
        <v>0</v>
      </c>
      <c r="F85"/>
      <c r="J85"/>
    </row>
    <row r="86" spans="1:10" x14ac:dyDescent="0.25">
      <c r="A86" t="s">
        <v>61</v>
      </c>
      <c r="B86" s="5" t="s">
        <v>1685</v>
      </c>
      <c r="C86" t="s">
        <v>1682</v>
      </c>
      <c r="D86" s="3" t="b">
        <f t="shared" si="2"/>
        <v>1</v>
      </c>
    </row>
    <row r="87" spans="1:10" x14ac:dyDescent="0.25">
      <c r="A87" t="s">
        <v>61</v>
      </c>
      <c r="B87" s="5" t="s">
        <v>2279</v>
      </c>
      <c r="C87" t="s">
        <v>1894</v>
      </c>
      <c r="D87" s="3" t="b">
        <f t="shared" si="2"/>
        <v>1</v>
      </c>
      <c r="F87"/>
    </row>
    <row r="88" spans="1:10" x14ac:dyDescent="0.25">
      <c r="A88" t="s">
        <v>61</v>
      </c>
      <c r="B88" s="5" t="s">
        <v>120</v>
      </c>
      <c r="C88" t="s">
        <v>120</v>
      </c>
      <c r="D88" s="3" t="b">
        <f t="shared" si="2"/>
        <v>0</v>
      </c>
      <c r="G88" s="2"/>
    </row>
    <row r="89" spans="1:10" x14ac:dyDescent="0.25">
      <c r="A89" t="s">
        <v>61</v>
      </c>
      <c r="B89" s="5" t="s">
        <v>121</v>
      </c>
      <c r="C89" t="s">
        <v>121</v>
      </c>
      <c r="D89" s="3" t="b">
        <f t="shared" si="2"/>
        <v>0</v>
      </c>
    </row>
    <row r="90" spans="1:10" x14ac:dyDescent="0.25">
      <c r="A90" t="s">
        <v>61</v>
      </c>
      <c r="B90" s="5" t="s">
        <v>1605</v>
      </c>
      <c r="C90" t="s">
        <v>1605</v>
      </c>
      <c r="D90" s="3" t="b">
        <f t="shared" si="2"/>
        <v>0</v>
      </c>
      <c r="G90" s="2"/>
    </row>
    <row r="91" spans="1:10" x14ac:dyDescent="0.25">
      <c r="A91" t="s">
        <v>61</v>
      </c>
      <c r="B91" s="5" t="s">
        <v>2003</v>
      </c>
      <c r="C91" t="s">
        <v>2003</v>
      </c>
      <c r="D91" s="3" t="b">
        <f t="shared" si="2"/>
        <v>0</v>
      </c>
    </row>
    <row r="92" spans="1:10" x14ac:dyDescent="0.25">
      <c r="A92" t="s">
        <v>61</v>
      </c>
      <c r="B92" s="5" t="s">
        <v>122</v>
      </c>
      <c r="C92" t="s">
        <v>122</v>
      </c>
      <c r="D92" s="3" t="b">
        <f t="shared" si="2"/>
        <v>0</v>
      </c>
    </row>
    <row r="93" spans="1:10" x14ac:dyDescent="0.25">
      <c r="A93" t="s">
        <v>61</v>
      </c>
      <c r="B93" s="5" t="s">
        <v>775</v>
      </c>
      <c r="C93" t="s">
        <v>775</v>
      </c>
      <c r="D93" s="3" t="b">
        <f t="shared" si="2"/>
        <v>0</v>
      </c>
    </row>
    <row r="94" spans="1:10" x14ac:dyDescent="0.25">
      <c r="A94" t="s">
        <v>61</v>
      </c>
      <c r="B94" s="5" t="s">
        <v>124</v>
      </c>
      <c r="C94" t="s">
        <v>124</v>
      </c>
      <c r="D94" s="3" t="b">
        <f t="shared" si="2"/>
        <v>0</v>
      </c>
    </row>
    <row r="95" spans="1:10" x14ac:dyDescent="0.25">
      <c r="A95" t="s">
        <v>61</v>
      </c>
      <c r="B95" s="5" t="s">
        <v>125</v>
      </c>
      <c r="C95" t="s">
        <v>125</v>
      </c>
      <c r="D95" s="3" t="b">
        <f t="shared" si="2"/>
        <v>0</v>
      </c>
    </row>
    <row r="96" spans="1:10" x14ac:dyDescent="0.25">
      <c r="A96" t="s">
        <v>61</v>
      </c>
      <c r="B96" s="5" t="s">
        <v>126</v>
      </c>
      <c r="C96" t="s">
        <v>126</v>
      </c>
      <c r="D96" s="3" t="b">
        <f t="shared" si="2"/>
        <v>0</v>
      </c>
    </row>
    <row r="97" spans="1:6" x14ac:dyDescent="0.25">
      <c r="A97" t="s">
        <v>61</v>
      </c>
      <c r="B97" s="5" t="s">
        <v>127</v>
      </c>
      <c r="C97" t="s">
        <v>127</v>
      </c>
      <c r="D97" s="3" t="b">
        <f t="shared" si="2"/>
        <v>0</v>
      </c>
    </row>
    <row r="98" spans="1:6" x14ac:dyDescent="0.25">
      <c r="A98" t="s">
        <v>263</v>
      </c>
      <c r="B98" s="5" t="s">
        <v>111</v>
      </c>
      <c r="C98" t="s">
        <v>111</v>
      </c>
      <c r="D98" s="3" t="b">
        <f t="shared" si="2"/>
        <v>0</v>
      </c>
    </row>
    <row r="99" spans="1:6" x14ac:dyDescent="0.25">
      <c r="A99" t="s">
        <v>263</v>
      </c>
      <c r="B99" s="5" t="s">
        <v>1595</v>
      </c>
      <c r="C99" s="5" t="s">
        <v>1595</v>
      </c>
      <c r="D99" s="3" t="b">
        <f t="shared" si="2"/>
        <v>0</v>
      </c>
    </row>
    <row r="100" spans="1:6" x14ac:dyDescent="0.25">
      <c r="A100" t="s">
        <v>263</v>
      </c>
      <c r="B100" s="5" t="s">
        <v>1652</v>
      </c>
      <c r="C100" s="5" t="s">
        <v>1652</v>
      </c>
      <c r="D100" s="3" t="b">
        <f t="shared" si="2"/>
        <v>0</v>
      </c>
      <c r="F100" s="5"/>
    </row>
    <row r="101" spans="1:6" x14ac:dyDescent="0.25">
      <c r="A101" t="s">
        <v>263</v>
      </c>
      <c r="B101" s="5" t="s">
        <v>109</v>
      </c>
      <c r="C101" t="s">
        <v>109</v>
      </c>
      <c r="D101" s="3" t="b">
        <f t="shared" si="2"/>
        <v>0</v>
      </c>
      <c r="F101" s="5"/>
    </row>
    <row r="102" spans="1:6" x14ac:dyDescent="0.25">
      <c r="A102" s="5" t="s">
        <v>263</v>
      </c>
      <c r="B102" s="5" t="s">
        <v>2280</v>
      </c>
      <c r="C102" t="s">
        <v>531</v>
      </c>
      <c r="D102" s="3" t="b">
        <f t="shared" si="2"/>
        <v>1</v>
      </c>
      <c r="F102" s="5"/>
    </row>
    <row r="103" spans="1:6" x14ac:dyDescent="0.25">
      <c r="D103" s="3" t="b">
        <f t="shared" si="2"/>
        <v>0</v>
      </c>
      <c r="F103" s="5"/>
    </row>
    <row r="104" spans="1:6" x14ac:dyDescent="0.25">
      <c r="F104" s="5"/>
    </row>
  </sheetData>
  <mergeCells count="2">
    <mergeCell ref="A1:G1"/>
    <mergeCell ref="I1:J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196273C-C799-4EDB-9348-B9641257E2E3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407EC750-53B9-4B1B-8492-13D91BA13CC9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312F-77B4-4E32-B259-BC7FC6CF6F07}">
  <dimension ref="A1:G103"/>
  <sheetViews>
    <sheetView topLeftCell="A31" workbookViewId="0">
      <selection activeCell="C53" sqref="C53"/>
    </sheetView>
  </sheetViews>
  <sheetFormatPr defaultRowHeight="15" x14ac:dyDescent="0.25"/>
  <cols>
    <col min="1" max="1" width="13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29" t="s">
        <v>1584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27</v>
      </c>
    </row>
    <row r="3" spans="1:7" x14ac:dyDescent="0.25">
      <c r="A3" s="21" t="s">
        <v>2002</v>
      </c>
      <c r="B3" s="5" t="s">
        <v>2051</v>
      </c>
      <c r="C3" s="5" t="s">
        <v>2051</v>
      </c>
      <c r="D3" s="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52</v>
      </c>
      <c r="C4" t="s">
        <v>52</v>
      </c>
      <c r="D4" s="3" t="b">
        <f>B4&lt;&gt;C4</f>
        <v>0</v>
      </c>
    </row>
    <row r="5" spans="1:7" x14ac:dyDescent="0.25">
      <c r="A5" t="s">
        <v>28</v>
      </c>
      <c r="B5" s="5" t="s">
        <v>51</v>
      </c>
      <c r="C5" t="s">
        <v>51</v>
      </c>
      <c r="D5" s="3" t="b">
        <f t="shared" ref="D5:D68" si="0">B5&lt;&gt;C5</f>
        <v>0</v>
      </c>
      <c r="F5" s="6" t="s">
        <v>32</v>
      </c>
      <c r="G5" s="1"/>
    </row>
    <row r="6" spans="1:7" x14ac:dyDescent="0.25">
      <c r="A6" t="s">
        <v>28</v>
      </c>
      <c r="B6" s="5" t="s">
        <v>1626</v>
      </c>
      <c r="C6" t="s">
        <v>1565</v>
      </c>
      <c r="D6" s="3" t="b">
        <f t="shared" si="0"/>
        <v>1</v>
      </c>
      <c r="F6" s="7" t="s">
        <v>2002</v>
      </c>
      <c r="G6" s="2">
        <f t="shared" ref="G6:G17" si="1">COUNTIF(A:A,F6)</f>
        <v>1</v>
      </c>
    </row>
    <row r="7" spans="1:7" x14ac:dyDescent="0.25">
      <c r="A7" t="s">
        <v>28</v>
      </c>
      <c r="B7" s="5" t="s">
        <v>1566</v>
      </c>
      <c r="C7" t="s">
        <v>1566</v>
      </c>
      <c r="D7" s="3" t="b">
        <f t="shared" si="0"/>
        <v>0</v>
      </c>
      <c r="F7" s="3" t="s">
        <v>28</v>
      </c>
      <c r="G7" s="2">
        <f t="shared" si="1"/>
        <v>35</v>
      </c>
    </row>
    <row r="8" spans="1:7" x14ac:dyDescent="0.25">
      <c r="A8" t="s">
        <v>28</v>
      </c>
      <c r="B8" s="5" t="s">
        <v>470</v>
      </c>
      <c r="C8" t="s">
        <v>252</v>
      </c>
      <c r="D8" s="3" t="b">
        <f t="shared" si="0"/>
        <v>1</v>
      </c>
      <c r="F8" s="7" t="s">
        <v>34</v>
      </c>
      <c r="G8" s="2">
        <f t="shared" si="1"/>
        <v>6</v>
      </c>
    </row>
    <row r="9" spans="1:7" x14ac:dyDescent="0.25">
      <c r="A9" t="s">
        <v>28</v>
      </c>
      <c r="B9" s="5" t="s">
        <v>1624</v>
      </c>
      <c r="C9" t="s">
        <v>1624</v>
      </c>
      <c r="D9" s="3" t="b">
        <f t="shared" si="0"/>
        <v>0</v>
      </c>
      <c r="F9" s="7" t="s">
        <v>331</v>
      </c>
      <c r="G9" s="2">
        <f t="shared" si="1"/>
        <v>2</v>
      </c>
    </row>
    <row r="10" spans="1:7" x14ac:dyDescent="0.25">
      <c r="A10" t="s">
        <v>28</v>
      </c>
      <c r="B10" s="5" t="s">
        <v>1627</v>
      </c>
      <c r="C10" t="s">
        <v>253</v>
      </c>
      <c r="D10" s="3" t="b">
        <f t="shared" si="0"/>
        <v>1</v>
      </c>
      <c r="F10" s="7" t="s">
        <v>1545</v>
      </c>
      <c r="G10" s="2">
        <f t="shared" si="1"/>
        <v>5</v>
      </c>
    </row>
    <row r="11" spans="1:7" x14ac:dyDescent="0.25">
      <c r="A11" t="s">
        <v>28</v>
      </c>
      <c r="B11" s="5" t="s">
        <v>599</v>
      </c>
      <c r="C11" t="s">
        <v>132</v>
      </c>
      <c r="D11" s="3" t="b">
        <f t="shared" si="0"/>
        <v>1</v>
      </c>
      <c r="F11" s="7" t="s">
        <v>1543</v>
      </c>
      <c r="G11" s="2">
        <f t="shared" si="1"/>
        <v>4</v>
      </c>
    </row>
    <row r="12" spans="1:7" x14ac:dyDescent="0.25">
      <c r="A12" t="s">
        <v>28</v>
      </c>
      <c r="B12" s="5" t="s">
        <v>33</v>
      </c>
      <c r="C12" t="s">
        <v>33</v>
      </c>
      <c r="D12" s="3" t="b">
        <f t="shared" si="0"/>
        <v>0</v>
      </c>
      <c r="F12" s="7" t="s">
        <v>1532</v>
      </c>
      <c r="G12" s="2">
        <f t="shared" si="1"/>
        <v>9</v>
      </c>
    </row>
    <row r="13" spans="1:7" x14ac:dyDescent="0.25">
      <c r="A13" t="s">
        <v>28</v>
      </c>
      <c r="B13" s="5" t="s">
        <v>60</v>
      </c>
      <c r="C13" t="s">
        <v>60</v>
      </c>
      <c r="D13" s="3" t="b">
        <f t="shared" si="0"/>
        <v>0</v>
      </c>
      <c r="F13" s="7" t="s">
        <v>1544</v>
      </c>
      <c r="G13" s="2">
        <f t="shared" si="1"/>
        <v>13</v>
      </c>
    </row>
    <row r="14" spans="1:7" x14ac:dyDescent="0.25">
      <c r="A14" t="s">
        <v>28</v>
      </c>
      <c r="B14" s="5" t="s">
        <v>1567</v>
      </c>
      <c r="C14" t="s">
        <v>1567</v>
      </c>
      <c r="D14" s="3" t="b">
        <f t="shared" si="0"/>
        <v>0</v>
      </c>
      <c r="F14" s="7" t="s">
        <v>36</v>
      </c>
      <c r="G14" s="2">
        <f t="shared" si="1"/>
        <v>8</v>
      </c>
    </row>
    <row r="15" spans="1:7" x14ac:dyDescent="0.25">
      <c r="A15" t="s">
        <v>28</v>
      </c>
      <c r="B15" s="5" t="s">
        <v>1568</v>
      </c>
      <c r="C15" t="s">
        <v>1568</v>
      </c>
      <c r="D15" s="3" t="b">
        <f t="shared" si="0"/>
        <v>0</v>
      </c>
      <c r="F15" s="3" t="s">
        <v>58</v>
      </c>
      <c r="G15" s="2">
        <f t="shared" si="1"/>
        <v>7</v>
      </c>
    </row>
    <row r="16" spans="1:7" x14ac:dyDescent="0.25">
      <c r="A16" t="s">
        <v>28</v>
      </c>
      <c r="B16" s="5" t="s">
        <v>1569</v>
      </c>
      <c r="C16" t="s">
        <v>1569</v>
      </c>
      <c r="D16" s="3" t="b">
        <f t="shared" si="0"/>
        <v>0</v>
      </c>
      <c r="F16" s="7" t="s">
        <v>59</v>
      </c>
      <c r="G16" s="2">
        <f t="shared" si="1"/>
        <v>5</v>
      </c>
    </row>
    <row r="17" spans="1:7" x14ac:dyDescent="0.25">
      <c r="A17" t="s">
        <v>28</v>
      </c>
      <c r="B17" s="5" t="s">
        <v>79</v>
      </c>
      <c r="C17" t="s">
        <v>1571</v>
      </c>
      <c r="D17" s="3" t="b">
        <f t="shared" si="0"/>
        <v>1</v>
      </c>
      <c r="F17" s="3" t="s">
        <v>1557</v>
      </c>
      <c r="G17" s="2">
        <f t="shared" si="1"/>
        <v>5</v>
      </c>
    </row>
    <row r="18" spans="1:7" x14ac:dyDescent="0.25">
      <c r="A18" t="s">
        <v>28</v>
      </c>
      <c r="B18" s="5" t="s">
        <v>1570</v>
      </c>
      <c r="C18" t="s">
        <v>1570</v>
      </c>
      <c r="D18" s="3" t="b">
        <f t="shared" si="0"/>
        <v>0</v>
      </c>
    </row>
    <row r="19" spans="1:7" x14ac:dyDescent="0.25">
      <c r="A19" t="s">
        <v>28</v>
      </c>
      <c r="B19" s="5" t="s">
        <v>258</v>
      </c>
      <c r="C19" t="s">
        <v>258</v>
      </c>
      <c r="D19" s="3" t="b">
        <f t="shared" si="0"/>
        <v>0</v>
      </c>
    </row>
    <row r="20" spans="1:7" x14ac:dyDescent="0.25">
      <c r="A20" t="s">
        <v>28</v>
      </c>
      <c r="B20" s="5" t="s">
        <v>1576</v>
      </c>
      <c r="C20" t="s">
        <v>1576</v>
      </c>
      <c r="D20" s="3" t="b">
        <f t="shared" si="0"/>
        <v>0</v>
      </c>
      <c r="G20" s="2"/>
    </row>
    <row r="21" spans="1:7" x14ac:dyDescent="0.25">
      <c r="A21" t="s">
        <v>28</v>
      </c>
      <c r="B21" s="5" t="s">
        <v>1577</v>
      </c>
      <c r="C21" t="s">
        <v>1577</v>
      </c>
      <c r="D21" s="3" t="b">
        <f t="shared" si="0"/>
        <v>0</v>
      </c>
      <c r="G21" s="2"/>
    </row>
    <row r="22" spans="1:7" x14ac:dyDescent="0.25">
      <c r="A22" t="s">
        <v>28</v>
      </c>
      <c r="B22" s="5" t="s">
        <v>191</v>
      </c>
      <c r="C22" t="s">
        <v>191</v>
      </c>
      <c r="D22" s="3" t="b">
        <f t="shared" si="0"/>
        <v>0</v>
      </c>
      <c r="G22" s="2"/>
    </row>
    <row r="23" spans="1:7" x14ac:dyDescent="0.25">
      <c r="A23" t="s">
        <v>28</v>
      </c>
      <c r="B23" s="5" t="s">
        <v>145</v>
      </c>
      <c r="C23" t="s">
        <v>1909</v>
      </c>
      <c r="D23" s="3" t="b">
        <f t="shared" si="0"/>
        <v>1</v>
      </c>
      <c r="G23" s="2"/>
    </row>
    <row r="24" spans="1:7" x14ac:dyDescent="0.25">
      <c r="A24" t="s">
        <v>28</v>
      </c>
      <c r="B24" s="5" t="s">
        <v>197</v>
      </c>
      <c r="C24" t="s">
        <v>267</v>
      </c>
      <c r="D24" s="3" t="b">
        <f t="shared" si="0"/>
        <v>1</v>
      </c>
      <c r="G24" s="2"/>
    </row>
    <row r="25" spans="1:7" x14ac:dyDescent="0.25">
      <c r="A25" t="s">
        <v>28</v>
      </c>
      <c r="B25" s="5" t="s">
        <v>79</v>
      </c>
      <c r="C25" t="s">
        <v>79</v>
      </c>
      <c r="D25" s="3" t="b">
        <f t="shared" si="0"/>
        <v>0</v>
      </c>
      <c r="G25" s="2"/>
    </row>
    <row r="26" spans="1:7" x14ac:dyDescent="0.25">
      <c r="A26" t="s">
        <v>28</v>
      </c>
      <c r="B26" s="5" t="s">
        <v>79</v>
      </c>
      <c r="C26" t="s">
        <v>79</v>
      </c>
      <c r="D26" s="3" t="b">
        <f t="shared" si="0"/>
        <v>0</v>
      </c>
      <c r="G26" s="2"/>
    </row>
    <row r="27" spans="1:7" x14ac:dyDescent="0.25">
      <c r="A27" t="s">
        <v>28</v>
      </c>
      <c r="B27" s="5" t="s">
        <v>79</v>
      </c>
      <c r="C27" t="s">
        <v>79</v>
      </c>
      <c r="D27" s="3" t="b">
        <f t="shared" si="0"/>
        <v>0</v>
      </c>
      <c r="G27" s="2"/>
    </row>
    <row r="28" spans="1:7" x14ac:dyDescent="0.25">
      <c r="A28" t="s">
        <v>28</v>
      </c>
      <c r="B28" s="5" t="s">
        <v>79</v>
      </c>
      <c r="C28" t="s">
        <v>79</v>
      </c>
      <c r="D28" s="3" t="b">
        <f t="shared" si="0"/>
        <v>0</v>
      </c>
      <c r="G28" s="2"/>
    </row>
    <row r="29" spans="1:7" x14ac:dyDescent="0.25">
      <c r="A29" t="s">
        <v>28</v>
      </c>
      <c r="B29" s="5" t="s">
        <v>79</v>
      </c>
      <c r="C29" t="s">
        <v>79</v>
      </c>
      <c r="D29" s="3" t="b">
        <f t="shared" si="0"/>
        <v>0</v>
      </c>
      <c r="G29" s="2"/>
    </row>
    <row r="30" spans="1:7" x14ac:dyDescent="0.25">
      <c r="A30" t="s">
        <v>28</v>
      </c>
      <c r="B30" s="5" t="s">
        <v>79</v>
      </c>
      <c r="C30" t="s">
        <v>79</v>
      </c>
      <c r="D30" s="3" t="b">
        <f t="shared" si="0"/>
        <v>0</v>
      </c>
    </row>
    <row r="31" spans="1:7" x14ac:dyDescent="0.25">
      <c r="A31" t="s">
        <v>28</v>
      </c>
      <c r="B31" s="5" t="s">
        <v>145</v>
      </c>
      <c r="C31" t="s">
        <v>145</v>
      </c>
      <c r="D31" s="3" t="b">
        <f t="shared" si="0"/>
        <v>0</v>
      </c>
      <c r="G31" s="2"/>
    </row>
    <row r="32" spans="1:7" x14ac:dyDescent="0.25">
      <c r="A32" t="s">
        <v>28</v>
      </c>
      <c r="B32" s="5" t="s">
        <v>145</v>
      </c>
      <c r="C32" t="s">
        <v>145</v>
      </c>
      <c r="D32" s="3" t="b">
        <f t="shared" si="0"/>
        <v>0</v>
      </c>
      <c r="G32" s="2"/>
    </row>
    <row r="33" spans="1:7" x14ac:dyDescent="0.25">
      <c r="A33" t="s">
        <v>28</v>
      </c>
      <c r="B33" s="5" t="s">
        <v>145</v>
      </c>
      <c r="C33" t="s">
        <v>145</v>
      </c>
      <c r="D33" s="3" t="b">
        <f t="shared" si="0"/>
        <v>0</v>
      </c>
      <c r="G33" s="2"/>
    </row>
    <row r="34" spans="1:7" x14ac:dyDescent="0.25">
      <c r="A34" t="s">
        <v>28</v>
      </c>
      <c r="B34" s="5" t="s">
        <v>145</v>
      </c>
      <c r="C34" t="s">
        <v>145</v>
      </c>
      <c r="D34" s="3" t="b">
        <f t="shared" si="0"/>
        <v>0</v>
      </c>
      <c r="G34" s="2"/>
    </row>
    <row r="35" spans="1:7" x14ac:dyDescent="0.25">
      <c r="A35" t="s">
        <v>28</v>
      </c>
      <c r="B35" s="5" t="s">
        <v>197</v>
      </c>
      <c r="C35" t="s">
        <v>197</v>
      </c>
      <c r="D35" s="3" t="b">
        <f t="shared" si="0"/>
        <v>0</v>
      </c>
      <c r="G35" s="2"/>
    </row>
    <row r="36" spans="1:7" x14ac:dyDescent="0.25">
      <c r="A36" t="s">
        <v>28</v>
      </c>
      <c r="B36" s="5" t="s">
        <v>197</v>
      </c>
      <c r="C36" t="s">
        <v>197</v>
      </c>
      <c r="D36" s="3" t="b">
        <f t="shared" si="0"/>
        <v>0</v>
      </c>
      <c r="G36" s="2"/>
    </row>
    <row r="37" spans="1:7" x14ac:dyDescent="0.25">
      <c r="A37" t="s">
        <v>28</v>
      </c>
      <c r="B37" s="5" t="s">
        <v>197</v>
      </c>
      <c r="C37" t="s">
        <v>197</v>
      </c>
      <c r="D37" s="3" t="b">
        <f t="shared" si="0"/>
        <v>0</v>
      </c>
    </row>
    <row r="38" spans="1:7" x14ac:dyDescent="0.25">
      <c r="A38" t="s">
        <v>28</v>
      </c>
      <c r="B38" s="5" t="s">
        <v>197</v>
      </c>
      <c r="C38" t="s">
        <v>197</v>
      </c>
      <c r="D38" s="3" t="b">
        <f t="shared" si="0"/>
        <v>0</v>
      </c>
      <c r="G38" s="2"/>
    </row>
    <row r="39" spans="1:7" x14ac:dyDescent="0.25">
      <c r="A39" t="s">
        <v>34</v>
      </c>
      <c r="B39" s="5" t="s">
        <v>81</v>
      </c>
      <c r="C39" t="s">
        <v>81</v>
      </c>
      <c r="D39" s="3" t="b">
        <f t="shared" si="0"/>
        <v>0</v>
      </c>
      <c r="G39" s="2"/>
    </row>
    <row r="40" spans="1:7" x14ac:dyDescent="0.25">
      <c r="A40" t="s">
        <v>34</v>
      </c>
      <c r="B40" s="5" t="s">
        <v>80</v>
      </c>
      <c r="C40" t="s">
        <v>80</v>
      </c>
      <c r="D40" s="3" t="b">
        <f t="shared" si="0"/>
        <v>0</v>
      </c>
    </row>
    <row r="41" spans="1:7" x14ac:dyDescent="0.25">
      <c r="A41" t="s">
        <v>34</v>
      </c>
      <c r="B41" s="5" t="s">
        <v>1612</v>
      </c>
      <c r="C41" t="s">
        <v>668</v>
      </c>
      <c r="D41" s="3" t="b">
        <f t="shared" si="0"/>
        <v>1</v>
      </c>
    </row>
    <row r="42" spans="1:7" x14ac:dyDescent="0.25">
      <c r="A42" t="s">
        <v>34</v>
      </c>
      <c r="B42" s="5" t="s">
        <v>1564</v>
      </c>
      <c r="C42" t="s">
        <v>1564</v>
      </c>
      <c r="D42" s="3" t="b">
        <f t="shared" si="0"/>
        <v>0</v>
      </c>
    </row>
    <row r="43" spans="1:7" x14ac:dyDescent="0.25">
      <c r="A43" t="s">
        <v>34</v>
      </c>
      <c r="B43" s="5" t="s">
        <v>954</v>
      </c>
      <c r="C43" t="s">
        <v>954</v>
      </c>
      <c r="D43" s="3" t="b">
        <f t="shared" si="0"/>
        <v>0</v>
      </c>
    </row>
    <row r="44" spans="1:7" x14ac:dyDescent="0.25">
      <c r="A44" t="s">
        <v>34</v>
      </c>
      <c r="B44" s="5" t="s">
        <v>353</v>
      </c>
      <c r="C44" t="s">
        <v>353</v>
      </c>
      <c r="D44" s="3" t="b">
        <f t="shared" si="0"/>
        <v>0</v>
      </c>
    </row>
    <row r="45" spans="1:7" x14ac:dyDescent="0.25">
      <c r="A45" t="s">
        <v>331</v>
      </c>
      <c r="B45" s="5" t="s">
        <v>1614</v>
      </c>
      <c r="C45" t="s">
        <v>1602</v>
      </c>
      <c r="D45" s="3" t="b">
        <f t="shared" si="0"/>
        <v>1</v>
      </c>
    </row>
    <row r="46" spans="1:7" x14ac:dyDescent="0.25">
      <c r="A46" t="s">
        <v>331</v>
      </c>
      <c r="B46" s="5" t="s">
        <v>92</v>
      </c>
      <c r="C46" t="s">
        <v>92</v>
      </c>
      <c r="D46" s="3" t="b">
        <f t="shared" si="0"/>
        <v>0</v>
      </c>
    </row>
    <row r="47" spans="1:7" x14ac:dyDescent="0.25">
      <c r="A47" t="s">
        <v>1557</v>
      </c>
      <c r="B47" s="5" t="s">
        <v>1615</v>
      </c>
      <c r="C47" t="s">
        <v>1561</v>
      </c>
      <c r="D47" s="3" t="b">
        <f t="shared" si="0"/>
        <v>1</v>
      </c>
    </row>
    <row r="48" spans="1:7" x14ac:dyDescent="0.25">
      <c r="A48" t="s">
        <v>1557</v>
      </c>
      <c r="B48" s="5" t="s">
        <v>1573</v>
      </c>
      <c r="C48" t="s">
        <v>1562</v>
      </c>
      <c r="D48" s="3" t="b">
        <f t="shared" si="0"/>
        <v>1</v>
      </c>
    </row>
    <row r="49" spans="1:6" x14ac:dyDescent="0.25">
      <c r="A49" t="s">
        <v>1557</v>
      </c>
      <c r="B49" s="5" t="s">
        <v>1613</v>
      </c>
      <c r="C49" s="5" t="s">
        <v>1559</v>
      </c>
      <c r="D49" s="3" t="b">
        <f t="shared" si="0"/>
        <v>1</v>
      </c>
    </row>
    <row r="50" spans="1:6" x14ac:dyDescent="0.25">
      <c r="A50" t="s">
        <v>1557</v>
      </c>
      <c r="B50" s="5" t="s">
        <v>1558</v>
      </c>
      <c r="C50" t="s">
        <v>1558</v>
      </c>
      <c r="D50" s="3" t="b">
        <f t="shared" si="0"/>
        <v>0</v>
      </c>
    </row>
    <row r="51" spans="1:6" x14ac:dyDescent="0.25">
      <c r="A51" t="s">
        <v>1557</v>
      </c>
      <c r="B51" s="5" t="s">
        <v>1581</v>
      </c>
      <c r="C51" t="s">
        <v>1581</v>
      </c>
      <c r="D51" s="3" t="b">
        <f t="shared" si="0"/>
        <v>0</v>
      </c>
    </row>
    <row r="52" spans="1:6" x14ac:dyDescent="0.25">
      <c r="A52" t="s">
        <v>1545</v>
      </c>
      <c r="B52" s="5" t="s">
        <v>1628</v>
      </c>
      <c r="C52" t="s">
        <v>552</v>
      </c>
      <c r="D52" s="3" t="b">
        <f t="shared" si="0"/>
        <v>1</v>
      </c>
    </row>
    <row r="53" spans="1:6" x14ac:dyDescent="0.25">
      <c r="A53" t="s">
        <v>1545</v>
      </c>
      <c r="B53" s="5" t="s">
        <v>569</v>
      </c>
      <c r="C53" t="s">
        <v>569</v>
      </c>
      <c r="D53" s="3" t="b">
        <f t="shared" si="0"/>
        <v>0</v>
      </c>
    </row>
    <row r="54" spans="1:6" x14ac:dyDescent="0.25">
      <c r="A54" t="s">
        <v>1545</v>
      </c>
      <c r="B54" s="5" t="s">
        <v>1574</v>
      </c>
      <c r="C54" t="s">
        <v>1574</v>
      </c>
      <c r="D54" s="3" t="b">
        <f t="shared" si="0"/>
        <v>0</v>
      </c>
    </row>
    <row r="55" spans="1:6" x14ac:dyDescent="0.25">
      <c r="A55" t="s">
        <v>1545</v>
      </c>
      <c r="B55" s="5" t="s">
        <v>1542</v>
      </c>
      <c r="C55" t="s">
        <v>1542</v>
      </c>
      <c r="D55" s="3" t="b">
        <f t="shared" si="0"/>
        <v>0</v>
      </c>
    </row>
    <row r="56" spans="1:6" x14ac:dyDescent="0.25">
      <c r="A56" t="s">
        <v>1545</v>
      </c>
      <c r="B56" s="5" t="s">
        <v>416</v>
      </c>
      <c r="C56" t="s">
        <v>416</v>
      </c>
      <c r="D56" s="3" t="b">
        <f t="shared" si="0"/>
        <v>0</v>
      </c>
    </row>
    <row r="57" spans="1:6" x14ac:dyDescent="0.25">
      <c r="A57" t="s">
        <v>1543</v>
      </c>
      <c r="B57" s="5" t="s">
        <v>1552</v>
      </c>
      <c r="C57" t="s">
        <v>1552</v>
      </c>
      <c r="D57" s="3" t="b">
        <f t="shared" si="0"/>
        <v>0</v>
      </c>
    </row>
    <row r="58" spans="1:6" x14ac:dyDescent="0.25">
      <c r="A58" t="s">
        <v>1543</v>
      </c>
      <c r="B58" s="5" t="s">
        <v>308</v>
      </c>
      <c r="C58" t="s">
        <v>308</v>
      </c>
      <c r="D58" s="3" t="b">
        <f t="shared" si="0"/>
        <v>0</v>
      </c>
    </row>
    <row r="59" spans="1:6" x14ac:dyDescent="0.25">
      <c r="A59" t="s">
        <v>1543</v>
      </c>
      <c r="B59" s="5" t="s">
        <v>358</v>
      </c>
      <c r="C59" t="s">
        <v>1914</v>
      </c>
      <c r="D59" s="3" t="b">
        <f t="shared" si="0"/>
        <v>1</v>
      </c>
      <c r="F59"/>
    </row>
    <row r="60" spans="1:6" x14ac:dyDescent="0.25">
      <c r="A60" t="s">
        <v>1543</v>
      </c>
      <c r="B60" s="5" t="s">
        <v>1619</v>
      </c>
      <c r="C60" t="s">
        <v>1541</v>
      </c>
      <c r="D60" s="3" t="b">
        <f t="shared" si="0"/>
        <v>1</v>
      </c>
    </row>
    <row r="61" spans="1:6" x14ac:dyDescent="0.25">
      <c r="A61" t="s">
        <v>1544</v>
      </c>
      <c r="B61" s="5" t="s">
        <v>563</v>
      </c>
      <c r="C61" t="s">
        <v>563</v>
      </c>
      <c r="D61" s="3" t="b">
        <f t="shared" si="0"/>
        <v>0</v>
      </c>
    </row>
    <row r="62" spans="1:6" x14ac:dyDescent="0.25">
      <c r="A62" t="s">
        <v>1544</v>
      </c>
      <c r="B62" s="5" t="s">
        <v>1563</v>
      </c>
      <c r="C62" t="s">
        <v>1563</v>
      </c>
      <c r="D62" s="3" t="b">
        <f t="shared" si="0"/>
        <v>0</v>
      </c>
    </row>
    <row r="63" spans="1:6" x14ac:dyDescent="0.25">
      <c r="A63" t="s">
        <v>1544</v>
      </c>
      <c r="B63" s="5" t="s">
        <v>87</v>
      </c>
      <c r="C63" t="s">
        <v>87</v>
      </c>
      <c r="D63" s="3" t="b">
        <f t="shared" si="0"/>
        <v>0</v>
      </c>
    </row>
    <row r="64" spans="1:6" x14ac:dyDescent="0.25">
      <c r="A64" t="s">
        <v>1544</v>
      </c>
      <c r="B64" s="5" t="s">
        <v>1578</v>
      </c>
      <c r="C64" t="s">
        <v>1578</v>
      </c>
      <c r="D64" s="3" t="b">
        <f t="shared" si="0"/>
        <v>0</v>
      </c>
    </row>
    <row r="65" spans="1:6" x14ac:dyDescent="0.25">
      <c r="A65" t="s">
        <v>1544</v>
      </c>
      <c r="B65" s="5" t="s">
        <v>84</v>
      </c>
      <c r="C65" t="s">
        <v>84</v>
      </c>
      <c r="D65" s="3" t="b">
        <f t="shared" si="0"/>
        <v>0</v>
      </c>
    </row>
    <row r="66" spans="1:6" x14ac:dyDescent="0.25">
      <c r="A66" t="s">
        <v>1544</v>
      </c>
      <c r="B66" s="5" t="s">
        <v>300</v>
      </c>
      <c r="C66" t="s">
        <v>300</v>
      </c>
      <c r="D66" s="3" t="b">
        <f t="shared" si="0"/>
        <v>0</v>
      </c>
    </row>
    <row r="67" spans="1:6" x14ac:dyDescent="0.25">
      <c r="A67" t="s">
        <v>1544</v>
      </c>
      <c r="B67" s="5" t="s">
        <v>1548</v>
      </c>
      <c r="C67" t="s">
        <v>1548</v>
      </c>
      <c r="D67" s="3" t="b">
        <f t="shared" si="0"/>
        <v>0</v>
      </c>
    </row>
    <row r="68" spans="1:6" x14ac:dyDescent="0.25">
      <c r="A68" t="s">
        <v>1544</v>
      </c>
      <c r="B68" s="5" t="s">
        <v>1547</v>
      </c>
      <c r="C68" t="s">
        <v>1547</v>
      </c>
      <c r="D68" s="3" t="b">
        <f t="shared" si="0"/>
        <v>0</v>
      </c>
    </row>
    <row r="69" spans="1:6" x14ac:dyDescent="0.25">
      <c r="A69" t="s">
        <v>1544</v>
      </c>
      <c r="B69" s="5" t="s">
        <v>303</v>
      </c>
      <c r="C69" t="s">
        <v>303</v>
      </c>
      <c r="D69" s="3" t="b">
        <f t="shared" ref="D69:D103" si="2">B69&lt;&gt;C69</f>
        <v>0</v>
      </c>
      <c r="F69"/>
    </row>
    <row r="70" spans="1:6" x14ac:dyDescent="0.25">
      <c r="A70" t="s">
        <v>1544</v>
      </c>
      <c r="B70" s="5" t="s">
        <v>817</v>
      </c>
      <c r="C70" t="s">
        <v>817</v>
      </c>
      <c r="D70" s="3" t="b">
        <f t="shared" si="2"/>
        <v>0</v>
      </c>
    </row>
    <row r="71" spans="1:6" x14ac:dyDescent="0.25">
      <c r="A71" t="s">
        <v>1544</v>
      </c>
      <c r="B71" s="5" t="s">
        <v>1538</v>
      </c>
      <c r="C71" t="s">
        <v>1538</v>
      </c>
      <c r="D71" s="3" t="b">
        <f t="shared" si="2"/>
        <v>0</v>
      </c>
      <c r="F71"/>
    </row>
    <row r="72" spans="1:6" x14ac:dyDescent="0.25">
      <c r="A72" t="s">
        <v>1544</v>
      </c>
      <c r="B72" s="5" t="s">
        <v>1539</v>
      </c>
      <c r="C72" t="s">
        <v>1539</v>
      </c>
      <c r="D72" s="3" t="b">
        <f t="shared" si="2"/>
        <v>0</v>
      </c>
      <c r="F72"/>
    </row>
    <row r="73" spans="1:6" x14ac:dyDescent="0.25">
      <c r="A73" t="s">
        <v>1544</v>
      </c>
      <c r="B73" s="5" t="s">
        <v>1572</v>
      </c>
      <c r="C73" t="s">
        <v>1572</v>
      </c>
      <c r="D73" s="3" t="b">
        <f t="shared" si="2"/>
        <v>0</v>
      </c>
      <c r="F73"/>
    </row>
    <row r="74" spans="1:6" x14ac:dyDescent="0.25">
      <c r="A74" t="s">
        <v>1532</v>
      </c>
      <c r="B74" s="5" t="s">
        <v>1560</v>
      </c>
      <c r="C74" t="s">
        <v>1560</v>
      </c>
      <c r="D74" s="3" t="b">
        <f t="shared" si="2"/>
        <v>0</v>
      </c>
      <c r="F74"/>
    </row>
    <row r="75" spans="1:6" x14ac:dyDescent="0.25">
      <c r="A75" t="s">
        <v>1532</v>
      </c>
      <c r="B75" s="5" t="s">
        <v>1618</v>
      </c>
      <c r="C75" t="s">
        <v>1546</v>
      </c>
      <c r="D75" s="3" t="b">
        <f t="shared" si="2"/>
        <v>1</v>
      </c>
      <c r="F75"/>
    </row>
    <row r="76" spans="1:6" x14ac:dyDescent="0.25">
      <c r="A76" t="s">
        <v>1532</v>
      </c>
      <c r="B76" s="5" t="s">
        <v>1540</v>
      </c>
      <c r="C76" t="s">
        <v>1540</v>
      </c>
      <c r="D76" s="3" t="b">
        <f t="shared" si="2"/>
        <v>0</v>
      </c>
    </row>
    <row r="77" spans="1:6" x14ac:dyDescent="0.25">
      <c r="A77" t="s">
        <v>1532</v>
      </c>
      <c r="B77" s="5" t="s">
        <v>1556</v>
      </c>
      <c r="C77" t="s">
        <v>1556</v>
      </c>
      <c r="D77" s="3" t="b">
        <f t="shared" si="2"/>
        <v>0</v>
      </c>
    </row>
    <row r="78" spans="1:6" x14ac:dyDescent="0.25">
      <c r="A78" t="s">
        <v>1532</v>
      </c>
      <c r="B78" s="5" t="s">
        <v>1534</v>
      </c>
      <c r="C78" t="s">
        <v>1534</v>
      </c>
      <c r="D78" s="3" t="b">
        <f t="shared" si="2"/>
        <v>0</v>
      </c>
    </row>
    <row r="79" spans="1:6" x14ac:dyDescent="0.25">
      <c r="A79" t="s">
        <v>1532</v>
      </c>
      <c r="B79" s="5" t="s">
        <v>1617</v>
      </c>
      <c r="C79" t="s">
        <v>1535</v>
      </c>
      <c r="D79" s="3" t="b">
        <f t="shared" si="2"/>
        <v>1</v>
      </c>
      <c r="F79"/>
    </row>
    <row r="80" spans="1:6" x14ac:dyDescent="0.25">
      <c r="A80" t="s">
        <v>1532</v>
      </c>
      <c r="B80" s="5" t="s">
        <v>1580</v>
      </c>
      <c r="C80" t="s">
        <v>1708</v>
      </c>
      <c r="D80" s="3" t="b">
        <f t="shared" si="2"/>
        <v>1</v>
      </c>
    </row>
    <row r="81" spans="1:7" x14ac:dyDescent="0.25">
      <c r="A81" t="s">
        <v>1532</v>
      </c>
      <c r="B81" s="5" t="s">
        <v>1140</v>
      </c>
      <c r="C81" t="s">
        <v>1908</v>
      </c>
      <c r="D81" s="3" t="b">
        <f t="shared" si="2"/>
        <v>1</v>
      </c>
    </row>
    <row r="82" spans="1:7" x14ac:dyDescent="0.25">
      <c r="A82" t="s">
        <v>1532</v>
      </c>
      <c r="B82" s="5" t="s">
        <v>1549</v>
      </c>
      <c r="C82" t="s">
        <v>1549</v>
      </c>
      <c r="D82" s="3" t="b">
        <f t="shared" si="2"/>
        <v>0</v>
      </c>
    </row>
    <row r="83" spans="1:7" x14ac:dyDescent="0.25">
      <c r="A83" t="s">
        <v>59</v>
      </c>
      <c r="B83" s="5" t="s">
        <v>1579</v>
      </c>
      <c r="C83" t="s">
        <v>391</v>
      </c>
      <c r="D83" s="3" t="b">
        <f t="shared" si="2"/>
        <v>1</v>
      </c>
      <c r="G83" s="2"/>
    </row>
    <row r="84" spans="1:7" x14ac:dyDescent="0.25">
      <c r="A84" t="s">
        <v>59</v>
      </c>
      <c r="B84" s="5" t="s">
        <v>1620</v>
      </c>
      <c r="C84" t="s">
        <v>1550</v>
      </c>
      <c r="D84" s="3" t="b">
        <f t="shared" si="2"/>
        <v>1</v>
      </c>
    </row>
    <row r="85" spans="1:7" x14ac:dyDescent="0.25">
      <c r="A85" t="s">
        <v>59</v>
      </c>
      <c r="B85" s="5" t="s">
        <v>1554</v>
      </c>
      <c r="C85" t="s">
        <v>1554</v>
      </c>
      <c r="D85" s="3" t="b">
        <f t="shared" si="2"/>
        <v>0</v>
      </c>
      <c r="G85" s="2"/>
    </row>
    <row r="86" spans="1:7" x14ac:dyDescent="0.25">
      <c r="A86" t="s">
        <v>59</v>
      </c>
      <c r="B86" s="5" t="s">
        <v>1553</v>
      </c>
      <c r="C86" t="s">
        <v>1553</v>
      </c>
      <c r="D86" s="3" t="b">
        <f t="shared" si="2"/>
        <v>0</v>
      </c>
    </row>
    <row r="87" spans="1:7" x14ac:dyDescent="0.25">
      <c r="A87" t="s">
        <v>59</v>
      </c>
      <c r="B87" s="5" t="s">
        <v>1621</v>
      </c>
      <c r="C87" t="s">
        <v>118</v>
      </c>
      <c r="D87" s="3" t="b">
        <f t="shared" si="2"/>
        <v>1</v>
      </c>
    </row>
    <row r="88" spans="1:7" x14ac:dyDescent="0.25">
      <c r="A88" t="s">
        <v>58</v>
      </c>
      <c r="B88" s="5" t="s">
        <v>1622</v>
      </c>
      <c r="C88" t="s">
        <v>2065</v>
      </c>
      <c r="D88" s="3" t="b">
        <f t="shared" si="2"/>
        <v>1</v>
      </c>
    </row>
    <row r="89" spans="1:7" x14ac:dyDescent="0.25">
      <c r="A89" t="s">
        <v>58</v>
      </c>
      <c r="B89" s="5" t="s">
        <v>1616</v>
      </c>
      <c r="C89" t="s">
        <v>1616</v>
      </c>
      <c r="D89" s="3" t="b">
        <f t="shared" si="2"/>
        <v>0</v>
      </c>
    </row>
    <row r="90" spans="1:7" x14ac:dyDescent="0.25">
      <c r="A90" t="s">
        <v>58</v>
      </c>
      <c r="B90" s="5" t="s">
        <v>1604</v>
      </c>
      <c r="C90" t="s">
        <v>366</v>
      </c>
      <c r="D90" s="3" t="b">
        <f t="shared" si="2"/>
        <v>1</v>
      </c>
    </row>
    <row r="91" spans="1:7" x14ac:dyDescent="0.25">
      <c r="A91" t="s">
        <v>58</v>
      </c>
      <c r="B91" s="5" t="s">
        <v>282</v>
      </c>
      <c r="C91" t="s">
        <v>282</v>
      </c>
      <c r="D91" s="3" t="b">
        <f t="shared" si="2"/>
        <v>0</v>
      </c>
    </row>
    <row r="92" spans="1:7" x14ac:dyDescent="0.25">
      <c r="A92" t="s">
        <v>58</v>
      </c>
      <c r="B92" s="5" t="s">
        <v>1611</v>
      </c>
      <c r="C92" t="s">
        <v>1611</v>
      </c>
      <c r="D92" s="3" t="b">
        <f t="shared" si="2"/>
        <v>0</v>
      </c>
    </row>
    <row r="93" spans="1:7" x14ac:dyDescent="0.25">
      <c r="A93" t="s">
        <v>58</v>
      </c>
      <c r="B93" s="5" t="s">
        <v>1592</v>
      </c>
      <c r="C93" t="s">
        <v>1592</v>
      </c>
      <c r="D93" s="3" t="b">
        <f t="shared" si="2"/>
        <v>0</v>
      </c>
    </row>
    <row r="94" spans="1:7" x14ac:dyDescent="0.25">
      <c r="A94" t="s">
        <v>58</v>
      </c>
      <c r="B94" s="5" t="s">
        <v>1857</v>
      </c>
      <c r="C94" t="s">
        <v>1857</v>
      </c>
      <c r="D94" s="3" t="b">
        <f t="shared" si="2"/>
        <v>0</v>
      </c>
    </row>
    <row r="95" spans="1:7" x14ac:dyDescent="0.25">
      <c r="A95" t="s">
        <v>36</v>
      </c>
      <c r="B95" s="5" t="s">
        <v>1610</v>
      </c>
      <c r="C95" t="s">
        <v>1537</v>
      </c>
      <c r="D95" s="3" t="b">
        <f t="shared" si="2"/>
        <v>1</v>
      </c>
    </row>
    <row r="96" spans="1:7" x14ac:dyDescent="0.25">
      <c r="A96" t="s">
        <v>36</v>
      </c>
      <c r="B96" s="5" t="s">
        <v>1609</v>
      </c>
      <c r="C96" t="s">
        <v>1536</v>
      </c>
      <c r="D96" s="3" t="b">
        <f t="shared" si="2"/>
        <v>1</v>
      </c>
    </row>
    <row r="97" spans="1:4" x14ac:dyDescent="0.25">
      <c r="A97" t="s">
        <v>36</v>
      </c>
      <c r="B97" s="5" t="s">
        <v>121</v>
      </c>
      <c r="C97" t="s">
        <v>121</v>
      </c>
      <c r="D97" s="3" t="b">
        <f t="shared" si="2"/>
        <v>0</v>
      </c>
    </row>
    <row r="98" spans="1:4" x14ac:dyDescent="0.25">
      <c r="A98" t="s">
        <v>36</v>
      </c>
      <c r="B98" s="5" t="s">
        <v>1608</v>
      </c>
      <c r="C98" t="s">
        <v>357</v>
      </c>
      <c r="D98" s="3" t="b">
        <f t="shared" si="2"/>
        <v>1</v>
      </c>
    </row>
    <row r="99" spans="1:4" x14ac:dyDescent="0.25">
      <c r="A99" t="s">
        <v>36</v>
      </c>
      <c r="B99" s="5" t="s">
        <v>1551</v>
      </c>
      <c r="C99" t="s">
        <v>1551</v>
      </c>
      <c r="D99" s="3" t="b">
        <f t="shared" si="2"/>
        <v>0</v>
      </c>
    </row>
    <row r="100" spans="1:4" x14ac:dyDescent="0.25">
      <c r="A100" t="s">
        <v>36</v>
      </c>
      <c r="B100" s="5" t="s">
        <v>1555</v>
      </c>
      <c r="C100" t="s">
        <v>1555</v>
      </c>
      <c r="D100" s="3" t="b">
        <f t="shared" si="2"/>
        <v>0</v>
      </c>
    </row>
    <row r="101" spans="1:4" x14ac:dyDescent="0.25">
      <c r="A101" t="s">
        <v>36</v>
      </c>
      <c r="B101" s="5" t="s">
        <v>170</v>
      </c>
      <c r="C101" t="s">
        <v>170</v>
      </c>
      <c r="D101" s="3" t="b">
        <f t="shared" si="2"/>
        <v>0</v>
      </c>
    </row>
    <row r="102" spans="1:4" x14ac:dyDescent="0.25">
      <c r="A102" t="s">
        <v>36</v>
      </c>
      <c r="B102" s="5" t="s">
        <v>355</v>
      </c>
      <c r="C102" t="s">
        <v>355</v>
      </c>
      <c r="D102" s="3" t="b">
        <f t="shared" si="2"/>
        <v>0</v>
      </c>
    </row>
    <row r="103" spans="1:4" x14ac:dyDescent="0.25">
      <c r="D103" s="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DD6FF1F-BEA3-4F52-94C7-7FBCE844A493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887A515B-93DF-4F75-B538-76C0CCC7A152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CF31-27E0-4B75-BAFB-F3D79578772B}">
  <dimension ref="A1:G102"/>
  <sheetViews>
    <sheetView workbookViewId="0">
      <selection activeCell="B60" sqref="B60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29" t="s">
        <v>1808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COUNTIF(D4:D106,"Verdadeiro")</f>
        <v>31</v>
      </c>
    </row>
    <row r="3" spans="1:7" s="5" customFormat="1" x14ac:dyDescent="0.25">
      <c r="A3" s="5" t="s">
        <v>2002</v>
      </c>
      <c r="C3" s="5" t="s">
        <v>2052</v>
      </c>
      <c r="D3" t="b">
        <f>B3&lt;&gt;C3</f>
        <v>1</v>
      </c>
      <c r="F3" s="4" t="s">
        <v>30</v>
      </c>
      <c r="G3" s="3">
        <f>SUM(G6:G28)</f>
        <v>100</v>
      </c>
    </row>
    <row r="4" spans="1:7" x14ac:dyDescent="0.25">
      <c r="A4" t="s">
        <v>28</v>
      </c>
      <c r="B4" s="5" t="s">
        <v>79</v>
      </c>
      <c r="C4" t="s">
        <v>253</v>
      </c>
      <c r="D4" t="b">
        <f t="shared" ref="D4:D67" si="0">B4&lt;&gt;C4</f>
        <v>1</v>
      </c>
    </row>
    <row r="5" spans="1:7" x14ac:dyDescent="0.25">
      <c r="A5" t="s">
        <v>28</v>
      </c>
      <c r="B5" s="5" t="s">
        <v>1800</v>
      </c>
      <c r="C5" t="s">
        <v>1800</v>
      </c>
      <c r="D5" t="b">
        <f t="shared" si="0"/>
        <v>0</v>
      </c>
      <c r="F5" s="6" t="s">
        <v>32</v>
      </c>
      <c r="G5" s="1"/>
    </row>
    <row r="6" spans="1:7" x14ac:dyDescent="0.25">
      <c r="A6" t="s">
        <v>28</v>
      </c>
      <c r="B6" s="5" t="s">
        <v>33</v>
      </c>
      <c r="C6" t="s">
        <v>33</v>
      </c>
      <c r="D6" t="b">
        <f t="shared" si="0"/>
        <v>0</v>
      </c>
      <c r="F6" s="3" t="s">
        <v>2002</v>
      </c>
      <c r="G6" s="2">
        <f t="shared" ref="G6:G14" si="1">COUNTIF(A:A,F6)</f>
        <v>1</v>
      </c>
    </row>
    <row r="7" spans="1:7" x14ac:dyDescent="0.25">
      <c r="A7" t="s">
        <v>28</v>
      </c>
      <c r="B7" s="5" t="s">
        <v>60</v>
      </c>
      <c r="C7" t="s">
        <v>60</v>
      </c>
      <c r="D7" t="b">
        <f t="shared" si="0"/>
        <v>0</v>
      </c>
      <c r="F7" s="7" t="s">
        <v>28</v>
      </c>
      <c r="G7" s="2">
        <f t="shared" si="1"/>
        <v>35</v>
      </c>
    </row>
    <row r="8" spans="1:7" x14ac:dyDescent="0.25">
      <c r="A8" t="s">
        <v>28</v>
      </c>
      <c r="B8" s="5" t="s">
        <v>2250</v>
      </c>
      <c r="C8" t="s">
        <v>258</v>
      </c>
      <c r="D8" t="b">
        <f t="shared" si="0"/>
        <v>1</v>
      </c>
      <c r="F8" s="7" t="s">
        <v>34</v>
      </c>
      <c r="G8" s="2">
        <f t="shared" si="1"/>
        <v>10</v>
      </c>
    </row>
    <row r="9" spans="1:7" x14ac:dyDescent="0.25">
      <c r="A9" t="s">
        <v>28</v>
      </c>
      <c r="B9" s="5" t="s">
        <v>1804</v>
      </c>
      <c r="C9" t="s">
        <v>1804</v>
      </c>
      <c r="D9" t="b">
        <f t="shared" si="0"/>
        <v>0</v>
      </c>
      <c r="F9" s="7" t="s">
        <v>35</v>
      </c>
      <c r="G9" s="2">
        <f t="shared" si="1"/>
        <v>5</v>
      </c>
    </row>
    <row r="10" spans="1:7" x14ac:dyDescent="0.25">
      <c r="A10" t="s">
        <v>28</v>
      </c>
      <c r="B10" s="5" t="s">
        <v>609</v>
      </c>
      <c r="C10" t="s">
        <v>609</v>
      </c>
      <c r="D10" t="b">
        <f t="shared" si="0"/>
        <v>0</v>
      </c>
      <c r="F10" s="3" t="s">
        <v>1917</v>
      </c>
      <c r="G10" s="2">
        <f t="shared" si="1"/>
        <v>13</v>
      </c>
    </row>
    <row r="11" spans="1:7" x14ac:dyDescent="0.25">
      <c r="A11" t="s">
        <v>28</v>
      </c>
      <c r="B11" s="5" t="s">
        <v>142</v>
      </c>
      <c r="C11" t="s">
        <v>142</v>
      </c>
      <c r="D11" t="b">
        <f t="shared" si="0"/>
        <v>0</v>
      </c>
      <c r="F11" s="7" t="s">
        <v>1767</v>
      </c>
      <c r="G11" s="2">
        <f t="shared" si="1"/>
        <v>10</v>
      </c>
    </row>
    <row r="12" spans="1:7" x14ac:dyDescent="0.25">
      <c r="A12" t="s">
        <v>28</v>
      </c>
      <c r="B12" s="5" t="s">
        <v>262</v>
      </c>
      <c r="C12" t="s">
        <v>262</v>
      </c>
      <c r="D12" t="b">
        <f t="shared" si="0"/>
        <v>0</v>
      </c>
      <c r="F12" s="7" t="s">
        <v>185</v>
      </c>
      <c r="G12" s="2">
        <f t="shared" si="1"/>
        <v>10</v>
      </c>
    </row>
    <row r="13" spans="1:7" x14ac:dyDescent="0.25">
      <c r="A13" t="s">
        <v>28</v>
      </c>
      <c r="B13" s="5" t="s">
        <v>1098</v>
      </c>
      <c r="C13" t="s">
        <v>1098</v>
      </c>
      <c r="D13" t="b">
        <f t="shared" si="0"/>
        <v>0</v>
      </c>
      <c r="F13" s="7" t="s">
        <v>187</v>
      </c>
      <c r="G13" s="2">
        <f t="shared" si="1"/>
        <v>6</v>
      </c>
    </row>
    <row r="14" spans="1:7" x14ac:dyDescent="0.25">
      <c r="A14" t="s">
        <v>28</v>
      </c>
      <c r="B14" s="5" t="s">
        <v>1209</v>
      </c>
      <c r="C14" t="s">
        <v>137</v>
      </c>
      <c r="D14" t="b">
        <f t="shared" si="0"/>
        <v>1</v>
      </c>
      <c r="F14" s="7" t="s">
        <v>1768</v>
      </c>
      <c r="G14" s="2">
        <f t="shared" si="1"/>
        <v>10</v>
      </c>
    </row>
    <row r="15" spans="1:7" x14ac:dyDescent="0.25">
      <c r="A15" t="s">
        <v>28</v>
      </c>
      <c r="B15" s="5" t="s">
        <v>2329</v>
      </c>
      <c r="C15" t="s">
        <v>2329</v>
      </c>
      <c r="D15" t="b">
        <f t="shared" si="0"/>
        <v>0</v>
      </c>
      <c r="G15" s="2"/>
    </row>
    <row r="16" spans="1:7" x14ac:dyDescent="0.25">
      <c r="A16" t="s">
        <v>28</v>
      </c>
      <c r="B16" s="5" t="s">
        <v>2251</v>
      </c>
      <c r="C16" t="s">
        <v>79</v>
      </c>
      <c r="D16" t="b">
        <f t="shared" si="0"/>
        <v>1</v>
      </c>
      <c r="F16"/>
      <c r="G16" s="2"/>
    </row>
    <row r="17" spans="1:7" x14ac:dyDescent="0.25">
      <c r="A17" t="s">
        <v>28</v>
      </c>
      <c r="B17" s="5" t="s">
        <v>79</v>
      </c>
      <c r="C17" t="s">
        <v>79</v>
      </c>
      <c r="D17" t="b">
        <f t="shared" si="0"/>
        <v>0</v>
      </c>
      <c r="F17"/>
      <c r="G17" s="2"/>
    </row>
    <row r="18" spans="1:7" x14ac:dyDescent="0.25">
      <c r="A18" t="s">
        <v>28</v>
      </c>
      <c r="B18" s="5" t="s">
        <v>79</v>
      </c>
      <c r="C18" t="s">
        <v>79</v>
      </c>
      <c r="D18" t="b">
        <f t="shared" si="0"/>
        <v>0</v>
      </c>
      <c r="F18"/>
    </row>
    <row r="19" spans="1:7" x14ac:dyDescent="0.25">
      <c r="A19" t="s">
        <v>28</v>
      </c>
      <c r="B19" s="5" t="s">
        <v>79</v>
      </c>
      <c r="C19" t="s">
        <v>79</v>
      </c>
      <c r="D19" t="b">
        <f t="shared" si="0"/>
        <v>0</v>
      </c>
      <c r="F19"/>
    </row>
    <row r="20" spans="1:7" x14ac:dyDescent="0.25">
      <c r="A20" t="s">
        <v>28</v>
      </c>
      <c r="B20" s="5" t="s">
        <v>79</v>
      </c>
      <c r="C20" t="s">
        <v>79</v>
      </c>
      <c r="D20" t="b">
        <f t="shared" si="0"/>
        <v>0</v>
      </c>
      <c r="F20"/>
    </row>
    <row r="21" spans="1:7" x14ac:dyDescent="0.25">
      <c r="A21" t="s">
        <v>28</v>
      </c>
      <c r="B21" s="5" t="s">
        <v>79</v>
      </c>
      <c r="C21" t="s">
        <v>79</v>
      </c>
      <c r="D21" t="b">
        <f t="shared" si="0"/>
        <v>0</v>
      </c>
      <c r="F21"/>
    </row>
    <row r="22" spans="1:7" x14ac:dyDescent="0.25">
      <c r="A22" t="s">
        <v>28</v>
      </c>
      <c r="B22" s="5" t="s">
        <v>79</v>
      </c>
      <c r="C22" t="s">
        <v>79</v>
      </c>
      <c r="D22" t="b">
        <f t="shared" si="0"/>
        <v>0</v>
      </c>
      <c r="F22"/>
    </row>
    <row r="23" spans="1:7" x14ac:dyDescent="0.25">
      <c r="A23" t="s">
        <v>28</v>
      </c>
      <c r="B23" s="5" t="s">
        <v>79</v>
      </c>
      <c r="C23" t="s">
        <v>79</v>
      </c>
      <c r="D23" t="b">
        <f t="shared" si="0"/>
        <v>0</v>
      </c>
      <c r="F23"/>
    </row>
    <row r="24" spans="1:7" x14ac:dyDescent="0.25">
      <c r="A24" t="s">
        <v>28</v>
      </c>
      <c r="B24" s="5" t="s">
        <v>79</v>
      </c>
      <c r="C24" t="s">
        <v>79</v>
      </c>
      <c r="D24" t="b">
        <f t="shared" si="0"/>
        <v>0</v>
      </c>
      <c r="F24"/>
    </row>
    <row r="25" spans="1:7" x14ac:dyDescent="0.25">
      <c r="A25" t="s">
        <v>28</v>
      </c>
      <c r="B25" s="5" t="s">
        <v>78</v>
      </c>
      <c r="C25" t="s">
        <v>78</v>
      </c>
      <c r="D25" t="b">
        <f t="shared" si="0"/>
        <v>0</v>
      </c>
      <c r="F25"/>
    </row>
    <row r="26" spans="1:7" x14ac:dyDescent="0.25">
      <c r="A26" t="s">
        <v>28</v>
      </c>
      <c r="B26" s="5" t="s">
        <v>78</v>
      </c>
      <c r="C26" t="s">
        <v>78</v>
      </c>
      <c r="D26" t="b">
        <f t="shared" si="0"/>
        <v>0</v>
      </c>
      <c r="F26"/>
    </row>
    <row r="27" spans="1:7" x14ac:dyDescent="0.25">
      <c r="A27" t="s">
        <v>28</v>
      </c>
      <c r="B27" s="5" t="s">
        <v>78</v>
      </c>
      <c r="C27" t="s">
        <v>78</v>
      </c>
      <c r="D27" t="b">
        <f t="shared" si="0"/>
        <v>0</v>
      </c>
      <c r="F27"/>
    </row>
    <row r="28" spans="1:7" x14ac:dyDescent="0.25">
      <c r="A28" t="s">
        <v>28</v>
      </c>
      <c r="B28" s="5" t="s">
        <v>78</v>
      </c>
      <c r="C28" t="s">
        <v>78</v>
      </c>
      <c r="D28" t="b">
        <f t="shared" si="0"/>
        <v>0</v>
      </c>
      <c r="F28"/>
    </row>
    <row r="29" spans="1:7" x14ac:dyDescent="0.25">
      <c r="A29" t="s">
        <v>28</v>
      </c>
      <c r="B29" s="5" t="s">
        <v>78</v>
      </c>
      <c r="C29" t="s">
        <v>78</v>
      </c>
      <c r="D29" t="b">
        <f t="shared" si="0"/>
        <v>0</v>
      </c>
      <c r="F29"/>
    </row>
    <row r="30" spans="1:7" x14ac:dyDescent="0.25">
      <c r="A30" t="s">
        <v>28</v>
      </c>
      <c r="B30" s="5" t="s">
        <v>78</v>
      </c>
      <c r="C30" t="s">
        <v>78</v>
      </c>
      <c r="D30" t="b">
        <f t="shared" si="0"/>
        <v>0</v>
      </c>
      <c r="F30"/>
    </row>
    <row r="31" spans="1:7" x14ac:dyDescent="0.25">
      <c r="A31" t="s">
        <v>28</v>
      </c>
      <c r="B31" s="5" t="s">
        <v>78</v>
      </c>
      <c r="C31" t="s">
        <v>78</v>
      </c>
      <c r="D31" t="b">
        <f t="shared" si="0"/>
        <v>0</v>
      </c>
      <c r="F31"/>
    </row>
    <row r="32" spans="1:7" x14ac:dyDescent="0.25">
      <c r="A32" t="s">
        <v>28</v>
      </c>
      <c r="B32" s="5" t="s">
        <v>197</v>
      </c>
      <c r="C32" t="s">
        <v>197</v>
      </c>
      <c r="D32" t="b">
        <f t="shared" si="0"/>
        <v>0</v>
      </c>
      <c r="F32"/>
    </row>
    <row r="33" spans="1:6" x14ac:dyDescent="0.25">
      <c r="A33" t="s">
        <v>28</v>
      </c>
      <c r="B33" s="5" t="s">
        <v>197</v>
      </c>
      <c r="C33" t="s">
        <v>197</v>
      </c>
      <c r="D33" t="b">
        <f t="shared" si="0"/>
        <v>0</v>
      </c>
      <c r="F33"/>
    </row>
    <row r="34" spans="1:6" x14ac:dyDescent="0.25">
      <c r="A34" t="s">
        <v>28</v>
      </c>
      <c r="B34" s="5" t="s">
        <v>197</v>
      </c>
      <c r="C34" t="s">
        <v>197</v>
      </c>
      <c r="D34" t="b">
        <f t="shared" si="0"/>
        <v>0</v>
      </c>
      <c r="F34"/>
    </row>
    <row r="35" spans="1:6" x14ac:dyDescent="0.25">
      <c r="A35" t="s">
        <v>28</v>
      </c>
      <c r="B35" s="5" t="s">
        <v>197</v>
      </c>
      <c r="C35" t="s">
        <v>197</v>
      </c>
      <c r="D35" t="b">
        <f t="shared" si="0"/>
        <v>0</v>
      </c>
      <c r="F35"/>
    </row>
    <row r="36" spans="1:6" x14ac:dyDescent="0.25">
      <c r="A36" t="s">
        <v>28</v>
      </c>
      <c r="B36" s="5" t="s">
        <v>197</v>
      </c>
      <c r="C36" t="s">
        <v>197</v>
      </c>
      <c r="D36" t="b">
        <f t="shared" si="0"/>
        <v>0</v>
      </c>
      <c r="F36"/>
    </row>
    <row r="37" spans="1:6" x14ac:dyDescent="0.25">
      <c r="A37" t="s">
        <v>28</v>
      </c>
      <c r="B37" s="5" t="s">
        <v>197</v>
      </c>
      <c r="C37" t="s">
        <v>197</v>
      </c>
      <c r="D37" t="b">
        <f t="shared" si="0"/>
        <v>0</v>
      </c>
      <c r="F37"/>
    </row>
    <row r="38" spans="1:6" x14ac:dyDescent="0.25">
      <c r="A38" t="s">
        <v>28</v>
      </c>
      <c r="B38" s="5" t="s">
        <v>197</v>
      </c>
      <c r="C38" t="s">
        <v>197</v>
      </c>
      <c r="D38" t="b">
        <f t="shared" si="0"/>
        <v>0</v>
      </c>
      <c r="F38"/>
    </row>
    <row r="39" spans="1:6" x14ac:dyDescent="0.25">
      <c r="A39" t="s">
        <v>34</v>
      </c>
      <c r="B39" s="5" t="s">
        <v>79</v>
      </c>
      <c r="C39" t="s">
        <v>1798</v>
      </c>
      <c r="D39" t="b">
        <f t="shared" si="0"/>
        <v>1</v>
      </c>
      <c r="F39"/>
    </row>
    <row r="40" spans="1:6" x14ac:dyDescent="0.25">
      <c r="A40" t="s">
        <v>34</v>
      </c>
      <c r="B40" s="5" t="s">
        <v>150</v>
      </c>
      <c r="C40" t="s">
        <v>1679</v>
      </c>
      <c r="D40" t="b">
        <f t="shared" si="0"/>
        <v>1</v>
      </c>
      <c r="F40"/>
    </row>
    <row r="41" spans="1:6" x14ac:dyDescent="0.25">
      <c r="A41" t="s">
        <v>34</v>
      </c>
      <c r="B41" s="5" t="s">
        <v>2223</v>
      </c>
      <c r="C41" t="s">
        <v>1678</v>
      </c>
      <c r="D41" t="b">
        <f t="shared" si="0"/>
        <v>1</v>
      </c>
      <c r="F41"/>
    </row>
    <row r="42" spans="1:6" x14ac:dyDescent="0.25">
      <c r="A42" t="s">
        <v>34</v>
      </c>
      <c r="B42" s="5" t="s">
        <v>152</v>
      </c>
      <c r="C42" t="s">
        <v>1771</v>
      </c>
      <c r="D42" t="b">
        <f t="shared" si="0"/>
        <v>1</v>
      </c>
    </row>
    <row r="43" spans="1:6" x14ac:dyDescent="0.25">
      <c r="A43" t="s">
        <v>34</v>
      </c>
      <c r="B43" s="5" t="s">
        <v>79</v>
      </c>
      <c r="C43" t="s">
        <v>487</v>
      </c>
      <c r="D43" t="b">
        <f t="shared" si="0"/>
        <v>1</v>
      </c>
    </row>
    <row r="44" spans="1:6" x14ac:dyDescent="0.25">
      <c r="A44" t="s">
        <v>34</v>
      </c>
      <c r="B44" s="5" t="s">
        <v>1772</v>
      </c>
      <c r="C44" t="s">
        <v>1772</v>
      </c>
      <c r="D44" t="b">
        <f t="shared" si="0"/>
        <v>0</v>
      </c>
    </row>
    <row r="45" spans="1:6" x14ac:dyDescent="0.25">
      <c r="A45" t="s">
        <v>34</v>
      </c>
      <c r="B45" s="5" t="s">
        <v>411</v>
      </c>
      <c r="C45" t="s">
        <v>411</v>
      </c>
      <c r="D45" t="b">
        <f t="shared" si="0"/>
        <v>0</v>
      </c>
    </row>
    <row r="46" spans="1:6" x14ac:dyDescent="0.25">
      <c r="A46" t="s">
        <v>34</v>
      </c>
      <c r="B46" s="5" t="s">
        <v>1780</v>
      </c>
      <c r="C46" t="s">
        <v>1780</v>
      </c>
      <c r="D46" t="b">
        <f t="shared" si="0"/>
        <v>0</v>
      </c>
    </row>
    <row r="47" spans="1:6" x14ac:dyDescent="0.25">
      <c r="A47" t="s">
        <v>34</v>
      </c>
      <c r="B47" s="5" t="s">
        <v>279</v>
      </c>
      <c r="C47" t="s">
        <v>279</v>
      </c>
      <c r="D47" t="b">
        <f t="shared" si="0"/>
        <v>0</v>
      </c>
    </row>
    <row r="48" spans="1:6" x14ac:dyDescent="0.25">
      <c r="A48" t="s">
        <v>34</v>
      </c>
      <c r="B48" s="5" t="s">
        <v>2178</v>
      </c>
      <c r="C48" t="s">
        <v>2178</v>
      </c>
      <c r="D48" t="b">
        <f t="shared" si="0"/>
        <v>0</v>
      </c>
    </row>
    <row r="49" spans="1:6" x14ac:dyDescent="0.25">
      <c r="A49" t="s">
        <v>35</v>
      </c>
      <c r="B49" s="5" t="s">
        <v>2243</v>
      </c>
      <c r="C49" t="s">
        <v>1916</v>
      </c>
      <c r="D49" t="b">
        <f t="shared" si="0"/>
        <v>1</v>
      </c>
    </row>
    <row r="50" spans="1:6" x14ac:dyDescent="0.25">
      <c r="A50" t="s">
        <v>35</v>
      </c>
      <c r="B50" s="5" t="s">
        <v>1803</v>
      </c>
      <c r="C50" t="s">
        <v>1803</v>
      </c>
      <c r="D50" t="b">
        <f t="shared" si="0"/>
        <v>0</v>
      </c>
    </row>
    <row r="51" spans="1:6" x14ac:dyDescent="0.25">
      <c r="A51" t="s">
        <v>35</v>
      </c>
      <c r="B51" s="5" t="s">
        <v>2245</v>
      </c>
      <c r="C51" t="s">
        <v>1915</v>
      </c>
      <c r="D51" t="b">
        <f t="shared" si="0"/>
        <v>1</v>
      </c>
    </row>
    <row r="52" spans="1:6" x14ac:dyDescent="0.25">
      <c r="A52" t="s">
        <v>35</v>
      </c>
      <c r="B52" s="5" t="s">
        <v>1788</v>
      </c>
      <c r="C52" t="s">
        <v>1788</v>
      </c>
      <c r="D52" t="b">
        <f t="shared" si="0"/>
        <v>0</v>
      </c>
    </row>
    <row r="53" spans="1:6" x14ac:dyDescent="0.25">
      <c r="A53" t="s">
        <v>35</v>
      </c>
      <c r="B53" s="5" t="s">
        <v>1796</v>
      </c>
      <c r="C53" t="s">
        <v>1796</v>
      </c>
      <c r="D53" t="b">
        <f t="shared" si="0"/>
        <v>0</v>
      </c>
    </row>
    <row r="54" spans="1:6" x14ac:dyDescent="0.25">
      <c r="A54" t="s">
        <v>1917</v>
      </c>
      <c r="B54" s="5" t="s">
        <v>2244</v>
      </c>
      <c r="C54" t="s">
        <v>1670</v>
      </c>
      <c r="D54" t="b">
        <f t="shared" si="0"/>
        <v>1</v>
      </c>
    </row>
    <row r="55" spans="1:6" x14ac:dyDescent="0.25">
      <c r="A55" t="s">
        <v>1917</v>
      </c>
      <c r="B55" s="5"/>
      <c r="C55" t="s">
        <v>2285</v>
      </c>
      <c r="D55" t="b">
        <f t="shared" si="0"/>
        <v>1</v>
      </c>
    </row>
    <row r="56" spans="1:6" x14ac:dyDescent="0.25">
      <c r="A56" t="s">
        <v>1917</v>
      </c>
      <c r="B56" s="5"/>
      <c r="C56" t="s">
        <v>1669</v>
      </c>
      <c r="D56" t="b">
        <f t="shared" si="0"/>
        <v>1</v>
      </c>
    </row>
    <row r="57" spans="1:6" x14ac:dyDescent="0.25">
      <c r="A57" t="s">
        <v>1917</v>
      </c>
      <c r="B57" s="5"/>
      <c r="C57" t="s">
        <v>1671</v>
      </c>
      <c r="D57" t="b">
        <f t="shared" si="0"/>
        <v>1</v>
      </c>
    </row>
    <row r="58" spans="1:6" x14ac:dyDescent="0.25">
      <c r="A58" t="s">
        <v>1917</v>
      </c>
      <c r="B58" s="5" t="s">
        <v>1769</v>
      </c>
      <c r="C58" t="s">
        <v>1769</v>
      </c>
      <c r="D58" t="b">
        <f t="shared" si="0"/>
        <v>0</v>
      </c>
    </row>
    <row r="59" spans="1:6" x14ac:dyDescent="0.25">
      <c r="A59" t="s">
        <v>1917</v>
      </c>
      <c r="B59" s="5" t="s">
        <v>1786</v>
      </c>
      <c r="C59" t="s">
        <v>1786</v>
      </c>
      <c r="D59" t="b">
        <f t="shared" si="0"/>
        <v>0</v>
      </c>
    </row>
    <row r="60" spans="1:6" x14ac:dyDescent="0.25">
      <c r="A60" t="s">
        <v>1917</v>
      </c>
      <c r="B60" s="5" t="s">
        <v>79</v>
      </c>
      <c r="C60" t="s">
        <v>1805</v>
      </c>
      <c r="D60" t="b">
        <f t="shared" si="0"/>
        <v>1</v>
      </c>
    </row>
    <row r="61" spans="1:6" x14ac:dyDescent="0.25">
      <c r="A61" t="s">
        <v>1917</v>
      </c>
      <c r="B61" s="5" t="s">
        <v>1783</v>
      </c>
      <c r="C61" t="s">
        <v>1783</v>
      </c>
      <c r="D61" t="b">
        <f t="shared" si="0"/>
        <v>0</v>
      </c>
    </row>
    <row r="62" spans="1:6" x14ac:dyDescent="0.25">
      <c r="A62" t="s">
        <v>1917</v>
      </c>
      <c r="B62" s="5" t="s">
        <v>1789</v>
      </c>
      <c r="C62" t="s">
        <v>1789</v>
      </c>
      <c r="D62" t="b">
        <f t="shared" si="0"/>
        <v>0</v>
      </c>
      <c r="F62"/>
    </row>
    <row r="63" spans="1:6" x14ac:dyDescent="0.25">
      <c r="A63" t="s">
        <v>1917</v>
      </c>
      <c r="B63" s="5" t="s">
        <v>1136</v>
      </c>
      <c r="C63" t="s">
        <v>1779</v>
      </c>
      <c r="D63" t="b">
        <f t="shared" si="0"/>
        <v>1</v>
      </c>
    </row>
    <row r="64" spans="1:6" x14ac:dyDescent="0.25">
      <c r="A64" t="s">
        <v>1917</v>
      </c>
      <c r="B64" s="5" t="s">
        <v>1777</v>
      </c>
      <c r="C64" t="s">
        <v>1777</v>
      </c>
      <c r="D64" t="b">
        <f t="shared" si="0"/>
        <v>0</v>
      </c>
    </row>
    <row r="65" spans="1:6" x14ac:dyDescent="0.25">
      <c r="A65" t="s">
        <v>1917</v>
      </c>
      <c r="B65" s="5" t="s">
        <v>2253</v>
      </c>
      <c r="C65" t="s">
        <v>1773</v>
      </c>
      <c r="D65" t="b">
        <f t="shared" si="0"/>
        <v>1</v>
      </c>
    </row>
    <row r="66" spans="1:6" x14ac:dyDescent="0.25">
      <c r="A66" t="s">
        <v>1917</v>
      </c>
      <c r="B66" s="5" t="s">
        <v>2017</v>
      </c>
      <c r="C66" t="s">
        <v>2017</v>
      </c>
      <c r="D66" t="b">
        <f t="shared" si="0"/>
        <v>0</v>
      </c>
    </row>
    <row r="67" spans="1:6" x14ac:dyDescent="0.25">
      <c r="A67" t="s">
        <v>1767</v>
      </c>
      <c r="B67" s="5" t="s">
        <v>1801</v>
      </c>
      <c r="C67" t="s">
        <v>1801</v>
      </c>
      <c r="D67" t="b">
        <f t="shared" si="0"/>
        <v>0</v>
      </c>
    </row>
    <row r="68" spans="1:6" x14ac:dyDescent="0.25">
      <c r="A68" t="s">
        <v>1767</v>
      </c>
      <c r="B68" s="5" t="s">
        <v>2264</v>
      </c>
      <c r="C68" t="s">
        <v>1673</v>
      </c>
      <c r="D68" t="b">
        <f t="shared" ref="D68:D101" si="2">B68&lt;&gt;C68</f>
        <v>1</v>
      </c>
    </row>
    <row r="69" spans="1:6" x14ac:dyDescent="0.25">
      <c r="A69" t="s">
        <v>1767</v>
      </c>
      <c r="B69" s="5" t="s">
        <v>2254</v>
      </c>
      <c r="C69" t="s">
        <v>1672</v>
      </c>
      <c r="D69" t="b">
        <f t="shared" si="2"/>
        <v>1</v>
      </c>
    </row>
    <row r="70" spans="1:6" x14ac:dyDescent="0.25">
      <c r="A70" t="s">
        <v>1767</v>
      </c>
      <c r="B70" s="5" t="s">
        <v>1787</v>
      </c>
      <c r="C70" t="s">
        <v>1787</v>
      </c>
      <c r="D70" t="b">
        <f t="shared" si="2"/>
        <v>0</v>
      </c>
    </row>
    <row r="71" spans="1:6" x14ac:dyDescent="0.25">
      <c r="A71" t="s">
        <v>1767</v>
      </c>
      <c r="B71" s="5" t="s">
        <v>1794</v>
      </c>
      <c r="C71" t="s">
        <v>1794</v>
      </c>
      <c r="D71" t="b">
        <f t="shared" si="2"/>
        <v>0</v>
      </c>
    </row>
    <row r="72" spans="1:6" x14ac:dyDescent="0.25">
      <c r="A72" t="s">
        <v>1767</v>
      </c>
      <c r="B72" s="5" t="s">
        <v>1797</v>
      </c>
      <c r="C72" t="s">
        <v>1797</v>
      </c>
      <c r="D72" t="b">
        <f t="shared" si="2"/>
        <v>0</v>
      </c>
    </row>
    <row r="73" spans="1:6" x14ac:dyDescent="0.25">
      <c r="A73" t="s">
        <v>1767</v>
      </c>
      <c r="B73" s="5" t="s">
        <v>2256</v>
      </c>
      <c r="C73" t="s">
        <v>1901</v>
      </c>
      <c r="D73" t="b">
        <f t="shared" si="2"/>
        <v>1</v>
      </c>
    </row>
    <row r="74" spans="1:6" x14ac:dyDescent="0.25">
      <c r="A74" t="s">
        <v>1767</v>
      </c>
      <c r="B74" s="5" t="s">
        <v>1782</v>
      </c>
      <c r="C74" t="s">
        <v>1782</v>
      </c>
      <c r="D74" t="b">
        <f t="shared" si="2"/>
        <v>0</v>
      </c>
    </row>
    <row r="75" spans="1:6" x14ac:dyDescent="0.25">
      <c r="A75" t="s">
        <v>1767</v>
      </c>
      <c r="B75" s="5" t="s">
        <v>1785</v>
      </c>
      <c r="C75" t="s">
        <v>1785</v>
      </c>
      <c r="D75" t="b">
        <f t="shared" si="2"/>
        <v>0</v>
      </c>
      <c r="F75"/>
    </row>
    <row r="76" spans="1:6" x14ac:dyDescent="0.25">
      <c r="A76" t="s">
        <v>1767</v>
      </c>
      <c r="B76" s="5" t="s">
        <v>2228</v>
      </c>
      <c r="C76" t="s">
        <v>1802</v>
      </c>
      <c r="D76" t="b">
        <f t="shared" si="2"/>
        <v>1</v>
      </c>
    </row>
    <row r="77" spans="1:6" x14ac:dyDescent="0.25">
      <c r="A77" t="s">
        <v>185</v>
      </c>
      <c r="B77" s="5" t="s">
        <v>2229</v>
      </c>
      <c r="C77" t="s">
        <v>1784</v>
      </c>
      <c r="D77" t="b">
        <f t="shared" si="2"/>
        <v>1</v>
      </c>
    </row>
    <row r="78" spans="1:6" x14ac:dyDescent="0.25">
      <c r="A78" t="s">
        <v>185</v>
      </c>
      <c r="B78" s="5" t="s">
        <v>1795</v>
      </c>
      <c r="C78" t="s">
        <v>1795</v>
      </c>
      <c r="D78" t="b">
        <f t="shared" si="2"/>
        <v>0</v>
      </c>
    </row>
    <row r="79" spans="1:6" x14ac:dyDescent="0.25">
      <c r="A79" t="s">
        <v>185</v>
      </c>
      <c r="B79" s="5" t="s">
        <v>2265</v>
      </c>
      <c r="C79" t="s">
        <v>1793</v>
      </c>
      <c r="D79" t="b">
        <f t="shared" si="2"/>
        <v>1</v>
      </c>
    </row>
    <row r="80" spans="1:6" x14ac:dyDescent="0.25">
      <c r="A80" t="s">
        <v>185</v>
      </c>
      <c r="B80" s="5" t="s">
        <v>1997</v>
      </c>
      <c r="C80" t="s">
        <v>1997</v>
      </c>
      <c r="D80" t="b">
        <f t="shared" si="2"/>
        <v>0</v>
      </c>
    </row>
    <row r="81" spans="1:6" x14ac:dyDescent="0.25">
      <c r="A81" t="s">
        <v>185</v>
      </c>
      <c r="B81" s="5" t="s">
        <v>1776</v>
      </c>
      <c r="C81" t="s">
        <v>1776</v>
      </c>
      <c r="D81" t="b">
        <f t="shared" si="2"/>
        <v>0</v>
      </c>
    </row>
    <row r="82" spans="1:6" x14ac:dyDescent="0.25">
      <c r="A82" t="s">
        <v>185</v>
      </c>
      <c r="B82" s="5" t="s">
        <v>1781</v>
      </c>
      <c r="C82" t="s">
        <v>1781</v>
      </c>
      <c r="D82" t="b">
        <f t="shared" si="2"/>
        <v>0</v>
      </c>
    </row>
    <row r="83" spans="1:6" x14ac:dyDescent="0.25">
      <c r="A83" t="s">
        <v>185</v>
      </c>
      <c r="B83" s="5" t="s">
        <v>1774</v>
      </c>
      <c r="C83" t="s">
        <v>1774</v>
      </c>
      <c r="D83" t="b">
        <f t="shared" si="2"/>
        <v>0</v>
      </c>
      <c r="F83" s="5"/>
    </row>
    <row r="84" spans="1:6" x14ac:dyDescent="0.25">
      <c r="A84" t="s">
        <v>185</v>
      </c>
      <c r="B84" s="5" t="s">
        <v>2239</v>
      </c>
      <c r="C84" t="s">
        <v>1675</v>
      </c>
      <c r="D84" t="b">
        <f t="shared" si="2"/>
        <v>1</v>
      </c>
      <c r="E84" s="5"/>
      <c r="F84" s="5"/>
    </row>
    <row r="85" spans="1:6" x14ac:dyDescent="0.25">
      <c r="A85" t="s">
        <v>185</v>
      </c>
      <c r="B85" s="5" t="s">
        <v>1676</v>
      </c>
      <c r="C85" t="s">
        <v>1676</v>
      </c>
      <c r="D85" t="b">
        <f t="shared" si="2"/>
        <v>0</v>
      </c>
      <c r="F85" s="5"/>
    </row>
    <row r="86" spans="1:6" x14ac:dyDescent="0.25">
      <c r="A86" t="s">
        <v>185</v>
      </c>
      <c r="B86" s="5" t="s">
        <v>1687</v>
      </c>
      <c r="C86" t="s">
        <v>1687</v>
      </c>
      <c r="D86" t="b">
        <f t="shared" si="2"/>
        <v>0</v>
      </c>
      <c r="F86" s="5"/>
    </row>
    <row r="87" spans="1:6" x14ac:dyDescent="0.25">
      <c r="A87" t="s">
        <v>187</v>
      </c>
      <c r="B87" s="5" t="s">
        <v>2240</v>
      </c>
      <c r="C87" t="s">
        <v>1668</v>
      </c>
      <c r="D87" t="b">
        <f t="shared" si="2"/>
        <v>1</v>
      </c>
    </row>
    <row r="88" spans="1:6" x14ac:dyDescent="0.25">
      <c r="A88" t="s">
        <v>187</v>
      </c>
      <c r="B88" s="5" t="s">
        <v>2241</v>
      </c>
      <c r="C88" t="s">
        <v>1680</v>
      </c>
      <c r="D88" t="b">
        <f t="shared" si="2"/>
        <v>1</v>
      </c>
    </row>
    <row r="89" spans="1:6" x14ac:dyDescent="0.25">
      <c r="A89" t="s">
        <v>187</v>
      </c>
      <c r="B89" s="5" t="s">
        <v>1677</v>
      </c>
      <c r="C89" t="s">
        <v>1677</v>
      </c>
      <c r="D89" t="b">
        <f t="shared" si="2"/>
        <v>0</v>
      </c>
    </row>
    <row r="90" spans="1:6" x14ac:dyDescent="0.25">
      <c r="A90" t="s">
        <v>187</v>
      </c>
      <c r="B90" s="5" t="s">
        <v>2242</v>
      </c>
      <c r="C90" t="s">
        <v>1791</v>
      </c>
      <c r="D90" t="b">
        <f t="shared" si="2"/>
        <v>1</v>
      </c>
    </row>
    <row r="91" spans="1:6" x14ac:dyDescent="0.25">
      <c r="A91" t="s">
        <v>187</v>
      </c>
      <c r="B91" s="5" t="s">
        <v>1688</v>
      </c>
      <c r="C91" t="s">
        <v>1688</v>
      </c>
      <c r="D91" t="b">
        <f t="shared" si="2"/>
        <v>0</v>
      </c>
    </row>
    <row r="92" spans="1:6" x14ac:dyDescent="0.25">
      <c r="A92" t="s">
        <v>187</v>
      </c>
      <c r="B92" s="5" t="s">
        <v>116</v>
      </c>
      <c r="C92" t="s">
        <v>1689</v>
      </c>
      <c r="D92" t="b">
        <f t="shared" si="2"/>
        <v>1</v>
      </c>
    </row>
    <row r="93" spans="1:6" x14ac:dyDescent="0.25">
      <c r="A93" t="s">
        <v>1768</v>
      </c>
      <c r="B93" s="5"/>
      <c r="C93" t="s">
        <v>1770</v>
      </c>
      <c r="D93" t="b">
        <f t="shared" si="2"/>
        <v>1</v>
      </c>
    </row>
    <row r="94" spans="1:6" x14ac:dyDescent="0.25">
      <c r="A94" t="s">
        <v>1768</v>
      </c>
      <c r="B94" s="5" t="s">
        <v>1224</v>
      </c>
      <c r="C94" t="s">
        <v>1775</v>
      </c>
      <c r="D94" t="b">
        <f t="shared" si="2"/>
        <v>1</v>
      </c>
    </row>
    <row r="95" spans="1:6" x14ac:dyDescent="0.25">
      <c r="A95" t="s">
        <v>1768</v>
      </c>
      <c r="B95" s="5" t="s">
        <v>1778</v>
      </c>
      <c r="C95" t="s">
        <v>1778</v>
      </c>
      <c r="D95" t="b">
        <f t="shared" si="2"/>
        <v>0</v>
      </c>
    </row>
    <row r="96" spans="1:6" x14ac:dyDescent="0.25">
      <c r="A96" t="s">
        <v>1768</v>
      </c>
      <c r="B96" s="5" t="s">
        <v>1790</v>
      </c>
      <c r="C96" t="s">
        <v>1790</v>
      </c>
      <c r="D96" t="b">
        <f t="shared" si="2"/>
        <v>0</v>
      </c>
    </row>
    <row r="97" spans="1:4" x14ac:dyDescent="0.25">
      <c r="A97" t="s">
        <v>1768</v>
      </c>
      <c r="B97" s="5" t="s">
        <v>1609</v>
      </c>
      <c r="C97" t="s">
        <v>1609</v>
      </c>
      <c r="D97" t="b">
        <f t="shared" si="2"/>
        <v>0</v>
      </c>
    </row>
    <row r="98" spans="1:4" x14ac:dyDescent="0.25">
      <c r="A98" t="s">
        <v>1768</v>
      </c>
      <c r="B98" s="5" t="s">
        <v>512</v>
      </c>
      <c r="C98" t="s">
        <v>512</v>
      </c>
      <c r="D98" t="b">
        <f t="shared" si="2"/>
        <v>0</v>
      </c>
    </row>
    <row r="99" spans="1:4" x14ac:dyDescent="0.25">
      <c r="A99" t="s">
        <v>1768</v>
      </c>
      <c r="B99" s="5" t="s">
        <v>1799</v>
      </c>
      <c r="C99" t="s">
        <v>1799</v>
      </c>
      <c r="D99" t="b">
        <f t="shared" si="2"/>
        <v>0</v>
      </c>
    </row>
    <row r="100" spans="1:4" x14ac:dyDescent="0.25">
      <c r="A100" t="s">
        <v>1768</v>
      </c>
      <c r="B100" s="5" t="s">
        <v>1792</v>
      </c>
      <c r="C100" t="s">
        <v>1792</v>
      </c>
      <c r="D100" t="b">
        <f t="shared" si="2"/>
        <v>0</v>
      </c>
    </row>
    <row r="101" spans="1:4" x14ac:dyDescent="0.25">
      <c r="A101" t="s">
        <v>1768</v>
      </c>
      <c r="B101" s="5" t="s">
        <v>1918</v>
      </c>
      <c r="C101" t="s">
        <v>1918</v>
      </c>
      <c r="D101" t="b">
        <f t="shared" si="2"/>
        <v>0</v>
      </c>
    </row>
    <row r="102" spans="1:4" x14ac:dyDescent="0.25">
      <c r="A102" t="s">
        <v>1768</v>
      </c>
      <c r="B102" s="5" t="s">
        <v>845</v>
      </c>
      <c r="C102" t="s">
        <v>845</v>
      </c>
      <c r="D102" t="str">
        <f>IF(B102=C102,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DE120708-D11C-45CA-B80E-F54796CA3604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0E2B7413-A314-4363-8F34-729FAFE52A29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DBD8-D14A-4713-8E05-F678CCB4D54C}">
  <dimension ref="A1:H102"/>
  <sheetViews>
    <sheetView workbookViewId="0">
      <selection activeCell="B102" sqref="B102"/>
    </sheetView>
  </sheetViews>
  <sheetFormatPr defaultRowHeight="15" x14ac:dyDescent="0.25"/>
  <cols>
    <col min="1" max="1" width="13.7109375" style="5" bestFit="1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8" ht="21" x14ac:dyDescent="0.25">
      <c r="A1" s="29" t="s">
        <v>1932</v>
      </c>
      <c r="B1" s="29"/>
      <c r="C1" s="29"/>
      <c r="D1" s="29"/>
      <c r="E1" s="29"/>
      <c r="F1" s="29"/>
      <c r="G1" s="29"/>
    </row>
    <row r="2" spans="1:8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17</v>
      </c>
    </row>
    <row r="3" spans="1:8" x14ac:dyDescent="0.25">
      <c r="A3" s="5" t="s">
        <v>2002</v>
      </c>
      <c r="B3" s="5" t="s">
        <v>2019</v>
      </c>
      <c r="C3" s="5" t="s">
        <v>2019</v>
      </c>
      <c r="D3" t="b">
        <f>B3&lt;&gt;C3</f>
        <v>0</v>
      </c>
      <c r="F3" s="4" t="s">
        <v>30</v>
      </c>
      <c r="G3" s="22">
        <f>SUM(G5:G29)</f>
        <v>100</v>
      </c>
    </row>
    <row r="4" spans="1:8" x14ac:dyDescent="0.25">
      <c r="A4" s="5" t="s">
        <v>2002</v>
      </c>
      <c r="B4" s="5" t="s">
        <v>2066</v>
      </c>
      <c r="C4" s="5" t="s">
        <v>2066</v>
      </c>
      <c r="D4" t="b">
        <f t="shared" ref="D4:D67" si="0">B4&lt;&gt;C4</f>
        <v>0</v>
      </c>
    </row>
    <row r="5" spans="1:8" x14ac:dyDescent="0.25">
      <c r="A5" t="s">
        <v>28</v>
      </c>
      <c r="B5" s="5" t="s">
        <v>132</v>
      </c>
      <c r="C5" t="s">
        <v>132</v>
      </c>
      <c r="D5" t="b">
        <f t="shared" si="0"/>
        <v>0</v>
      </c>
      <c r="F5" s="6" t="s">
        <v>32</v>
      </c>
      <c r="G5" s="1"/>
    </row>
    <row r="6" spans="1:8" x14ac:dyDescent="0.25">
      <c r="A6" t="s">
        <v>28</v>
      </c>
      <c r="B6" s="5" t="s">
        <v>867</v>
      </c>
      <c r="C6" t="s">
        <v>867</v>
      </c>
      <c r="D6" t="b">
        <f t="shared" si="0"/>
        <v>0</v>
      </c>
      <c r="F6" s="7" t="s">
        <v>2002</v>
      </c>
      <c r="G6" s="2">
        <f t="shared" ref="G6:G16" si="1">COUNTIF(A:A,F6)</f>
        <v>2</v>
      </c>
    </row>
    <row r="7" spans="1:8" x14ac:dyDescent="0.25">
      <c r="A7" t="s">
        <v>28</v>
      </c>
      <c r="B7" s="5" t="s">
        <v>78</v>
      </c>
      <c r="C7" t="s">
        <v>62</v>
      </c>
      <c r="D7" t="b">
        <f t="shared" si="0"/>
        <v>1</v>
      </c>
      <c r="F7" s="3" t="s">
        <v>28</v>
      </c>
      <c r="G7" s="2">
        <f t="shared" si="1"/>
        <v>37</v>
      </c>
    </row>
    <row r="8" spans="1:8" x14ac:dyDescent="0.25">
      <c r="A8" t="s">
        <v>28</v>
      </c>
      <c r="B8" s="5" t="s">
        <v>78</v>
      </c>
      <c r="C8" t="s">
        <v>1978</v>
      </c>
      <c r="D8" t="b">
        <f t="shared" si="0"/>
        <v>1</v>
      </c>
      <c r="F8" s="7" t="s">
        <v>1962</v>
      </c>
      <c r="G8" s="2">
        <f t="shared" si="1"/>
        <v>11</v>
      </c>
      <c r="H8" t="s">
        <v>35</v>
      </c>
    </row>
    <row r="9" spans="1:8" x14ac:dyDescent="0.25">
      <c r="A9" t="s">
        <v>28</v>
      </c>
      <c r="B9" s="5" t="s">
        <v>78</v>
      </c>
      <c r="C9" t="s">
        <v>51</v>
      </c>
      <c r="D9" t="b">
        <f t="shared" si="0"/>
        <v>1</v>
      </c>
      <c r="F9" s="7" t="s">
        <v>1931</v>
      </c>
      <c r="G9" s="2">
        <f t="shared" si="1"/>
        <v>2</v>
      </c>
      <c r="H9" t="s">
        <v>1964</v>
      </c>
    </row>
    <row r="10" spans="1:8" x14ac:dyDescent="0.25">
      <c r="A10" t="s">
        <v>28</v>
      </c>
      <c r="B10" s="5" t="s">
        <v>78</v>
      </c>
      <c r="C10" t="s">
        <v>1979</v>
      </c>
      <c r="D10" t="b">
        <f t="shared" si="0"/>
        <v>1</v>
      </c>
      <c r="F10" s="7" t="s">
        <v>1963</v>
      </c>
      <c r="G10" s="2">
        <f t="shared" si="1"/>
        <v>14</v>
      </c>
      <c r="H10" t="s">
        <v>1985</v>
      </c>
    </row>
    <row r="11" spans="1:8" x14ac:dyDescent="0.25">
      <c r="A11" t="s">
        <v>28</v>
      </c>
      <c r="B11" s="5" t="s">
        <v>1836</v>
      </c>
      <c r="C11" t="s">
        <v>1836</v>
      </c>
      <c r="D11" t="b">
        <f t="shared" si="0"/>
        <v>0</v>
      </c>
      <c r="F11" s="7" t="s">
        <v>1982</v>
      </c>
      <c r="G11" s="2">
        <f t="shared" si="1"/>
        <v>4</v>
      </c>
      <c r="H11" t="s">
        <v>189</v>
      </c>
    </row>
    <row r="12" spans="1:8" x14ac:dyDescent="0.25">
      <c r="A12" t="s">
        <v>28</v>
      </c>
      <c r="B12" s="5" t="s">
        <v>60</v>
      </c>
      <c r="C12" t="s">
        <v>60</v>
      </c>
      <c r="D12" t="b">
        <f t="shared" si="0"/>
        <v>0</v>
      </c>
      <c r="F12" s="7" t="s">
        <v>1987</v>
      </c>
      <c r="G12" s="2">
        <f t="shared" si="1"/>
        <v>8</v>
      </c>
      <c r="H12" t="s">
        <v>1986</v>
      </c>
    </row>
    <row r="13" spans="1:8" x14ac:dyDescent="0.25">
      <c r="A13" t="s">
        <v>28</v>
      </c>
      <c r="B13" s="5" t="s">
        <v>33</v>
      </c>
      <c r="C13" t="s">
        <v>33</v>
      </c>
      <c r="D13" t="b">
        <f t="shared" si="0"/>
        <v>0</v>
      </c>
      <c r="F13" s="7" t="s">
        <v>1980</v>
      </c>
      <c r="G13" s="2">
        <f t="shared" si="1"/>
        <v>4</v>
      </c>
      <c r="H13" t="s">
        <v>1983</v>
      </c>
    </row>
    <row r="14" spans="1:8" x14ac:dyDescent="0.25">
      <c r="A14" t="s">
        <v>28</v>
      </c>
      <c r="B14" s="5" t="s">
        <v>466</v>
      </c>
      <c r="C14" t="s">
        <v>466</v>
      </c>
      <c r="D14" t="b">
        <f t="shared" si="0"/>
        <v>0</v>
      </c>
      <c r="F14" s="7" t="s">
        <v>1967</v>
      </c>
      <c r="G14" s="2">
        <f t="shared" si="1"/>
        <v>4</v>
      </c>
      <c r="H14" t="s">
        <v>1984</v>
      </c>
    </row>
    <row r="15" spans="1:8" x14ac:dyDescent="0.25">
      <c r="A15" t="s">
        <v>28</v>
      </c>
      <c r="B15" s="5" t="s">
        <v>611</v>
      </c>
      <c r="C15" t="s">
        <v>611</v>
      </c>
      <c r="D15" t="b">
        <f t="shared" si="0"/>
        <v>0</v>
      </c>
      <c r="F15" s="7" t="s">
        <v>1966</v>
      </c>
      <c r="G15" s="2">
        <f t="shared" si="1"/>
        <v>8</v>
      </c>
      <c r="H15" t="s">
        <v>143</v>
      </c>
    </row>
    <row r="16" spans="1:8" x14ac:dyDescent="0.25">
      <c r="A16" t="s">
        <v>28</v>
      </c>
      <c r="B16" s="5" t="s">
        <v>145</v>
      </c>
      <c r="C16" t="s">
        <v>1993</v>
      </c>
      <c r="D16" t="b">
        <f t="shared" si="0"/>
        <v>1</v>
      </c>
      <c r="F16" s="3" t="s">
        <v>1965</v>
      </c>
      <c r="G16" s="2">
        <f t="shared" si="1"/>
        <v>6</v>
      </c>
      <c r="H16" t="s">
        <v>36</v>
      </c>
    </row>
    <row r="17" spans="1:4" x14ac:dyDescent="0.25">
      <c r="A17" t="s">
        <v>28</v>
      </c>
      <c r="B17" s="5" t="s">
        <v>1994</v>
      </c>
      <c r="C17" t="s">
        <v>1994</v>
      </c>
      <c r="D17" t="b">
        <f t="shared" si="0"/>
        <v>0</v>
      </c>
    </row>
    <row r="18" spans="1:4" x14ac:dyDescent="0.25">
      <c r="A18" t="s">
        <v>28</v>
      </c>
      <c r="B18" s="5" t="s">
        <v>342</v>
      </c>
      <c r="C18" t="s">
        <v>342</v>
      </c>
      <c r="D18" t="b">
        <f t="shared" si="0"/>
        <v>0</v>
      </c>
    </row>
    <row r="19" spans="1:4" x14ac:dyDescent="0.25">
      <c r="A19" t="s">
        <v>28</v>
      </c>
      <c r="B19" s="5" t="s">
        <v>993</v>
      </c>
      <c r="C19" t="s">
        <v>993</v>
      </c>
      <c r="D19" t="b">
        <f t="shared" si="0"/>
        <v>0</v>
      </c>
    </row>
    <row r="20" spans="1:4" x14ac:dyDescent="0.25">
      <c r="A20" t="s">
        <v>28</v>
      </c>
      <c r="B20" s="5" t="s">
        <v>145</v>
      </c>
      <c r="C20" t="s">
        <v>1274</v>
      </c>
      <c r="D20" t="b">
        <f t="shared" si="0"/>
        <v>1</v>
      </c>
    </row>
    <row r="21" spans="1:4" x14ac:dyDescent="0.25">
      <c r="A21" t="s">
        <v>28</v>
      </c>
      <c r="B21" s="5" t="s">
        <v>1276</v>
      </c>
      <c r="C21" t="s">
        <v>1276</v>
      </c>
      <c r="D21" t="b">
        <f t="shared" si="0"/>
        <v>0</v>
      </c>
    </row>
    <row r="22" spans="1:4" x14ac:dyDescent="0.25">
      <c r="A22" t="s">
        <v>28</v>
      </c>
      <c r="B22" s="5" t="s">
        <v>609</v>
      </c>
      <c r="C22" t="s">
        <v>609</v>
      </c>
      <c r="D22" t="b">
        <f t="shared" si="0"/>
        <v>0</v>
      </c>
    </row>
    <row r="23" spans="1:4" x14ac:dyDescent="0.25">
      <c r="A23" t="s">
        <v>28</v>
      </c>
      <c r="B23" s="5" t="s">
        <v>142</v>
      </c>
      <c r="C23" t="s">
        <v>142</v>
      </c>
      <c r="D23" t="b">
        <f t="shared" si="0"/>
        <v>0</v>
      </c>
    </row>
    <row r="24" spans="1:4" x14ac:dyDescent="0.25">
      <c r="A24" t="s">
        <v>28</v>
      </c>
      <c r="B24" s="5" t="s">
        <v>145</v>
      </c>
      <c r="C24" t="s">
        <v>56</v>
      </c>
      <c r="D24" t="b">
        <f t="shared" si="0"/>
        <v>1</v>
      </c>
    </row>
    <row r="25" spans="1:4" x14ac:dyDescent="0.25">
      <c r="A25" t="s">
        <v>28</v>
      </c>
      <c r="B25" s="5" t="s">
        <v>77</v>
      </c>
      <c r="C25" t="s">
        <v>77</v>
      </c>
      <c r="D25" t="b">
        <f t="shared" si="0"/>
        <v>0</v>
      </c>
    </row>
    <row r="26" spans="1:4" x14ac:dyDescent="0.25">
      <c r="A26" t="s">
        <v>28</v>
      </c>
      <c r="B26" s="5" t="s">
        <v>77</v>
      </c>
      <c r="C26" t="s">
        <v>77</v>
      </c>
      <c r="D26" t="b">
        <f t="shared" si="0"/>
        <v>0</v>
      </c>
    </row>
    <row r="27" spans="1:4" x14ac:dyDescent="0.25">
      <c r="A27" t="s">
        <v>28</v>
      </c>
      <c r="B27" s="5" t="s">
        <v>77</v>
      </c>
      <c r="C27" t="s">
        <v>77</v>
      </c>
      <c r="D27" t="b">
        <f t="shared" si="0"/>
        <v>0</v>
      </c>
    </row>
    <row r="28" spans="1:4" x14ac:dyDescent="0.25">
      <c r="A28" t="s">
        <v>28</v>
      </c>
      <c r="B28" s="5" t="s">
        <v>77</v>
      </c>
      <c r="C28" t="s">
        <v>77</v>
      </c>
      <c r="D28" t="b">
        <f t="shared" si="0"/>
        <v>0</v>
      </c>
    </row>
    <row r="29" spans="1:4" x14ac:dyDescent="0.25">
      <c r="A29" t="s">
        <v>28</v>
      </c>
      <c r="B29" s="5" t="s">
        <v>77</v>
      </c>
      <c r="C29" t="s">
        <v>77</v>
      </c>
      <c r="D29" t="b">
        <f t="shared" si="0"/>
        <v>0</v>
      </c>
    </row>
    <row r="30" spans="1:4" x14ac:dyDescent="0.25">
      <c r="A30" t="s">
        <v>28</v>
      </c>
      <c r="B30" s="5" t="s">
        <v>77</v>
      </c>
      <c r="C30" t="s">
        <v>77</v>
      </c>
      <c r="D30" t="b">
        <f t="shared" si="0"/>
        <v>0</v>
      </c>
    </row>
    <row r="31" spans="1:4" x14ac:dyDescent="0.25">
      <c r="A31" t="s">
        <v>28</v>
      </c>
      <c r="B31" s="5" t="s">
        <v>78</v>
      </c>
      <c r="C31" t="s">
        <v>78</v>
      </c>
      <c r="D31" t="b">
        <f t="shared" si="0"/>
        <v>0</v>
      </c>
    </row>
    <row r="32" spans="1:4" x14ac:dyDescent="0.25">
      <c r="A32" t="s">
        <v>28</v>
      </c>
      <c r="B32" s="5" t="s">
        <v>78</v>
      </c>
      <c r="C32" t="s">
        <v>78</v>
      </c>
      <c r="D32" t="b">
        <f t="shared" si="0"/>
        <v>0</v>
      </c>
    </row>
    <row r="33" spans="1:4" x14ac:dyDescent="0.25">
      <c r="A33" t="s">
        <v>28</v>
      </c>
      <c r="B33" s="5" t="s">
        <v>78</v>
      </c>
      <c r="C33" t="s">
        <v>78</v>
      </c>
      <c r="D33" t="b">
        <f t="shared" si="0"/>
        <v>0</v>
      </c>
    </row>
    <row r="34" spans="1:4" x14ac:dyDescent="0.25">
      <c r="A34" t="s">
        <v>28</v>
      </c>
      <c r="B34" s="5" t="s">
        <v>78</v>
      </c>
      <c r="C34" t="s">
        <v>78</v>
      </c>
      <c r="D34" t="b">
        <f t="shared" si="0"/>
        <v>0</v>
      </c>
    </row>
    <row r="35" spans="1:4" x14ac:dyDescent="0.25">
      <c r="A35" t="s">
        <v>28</v>
      </c>
      <c r="B35" s="5" t="s">
        <v>78</v>
      </c>
      <c r="C35" t="s">
        <v>78</v>
      </c>
      <c r="D35" t="b">
        <f t="shared" si="0"/>
        <v>0</v>
      </c>
    </row>
    <row r="36" spans="1:4" x14ac:dyDescent="0.25">
      <c r="A36" t="s">
        <v>28</v>
      </c>
      <c r="B36" s="5" t="s">
        <v>145</v>
      </c>
      <c r="C36" t="s">
        <v>145</v>
      </c>
      <c r="D36" t="b">
        <f t="shared" si="0"/>
        <v>0</v>
      </c>
    </row>
    <row r="37" spans="1:4" x14ac:dyDescent="0.25">
      <c r="A37" t="s">
        <v>28</v>
      </c>
      <c r="B37" s="5" t="s">
        <v>145</v>
      </c>
      <c r="C37" t="s">
        <v>145</v>
      </c>
      <c r="D37" t="b">
        <f t="shared" si="0"/>
        <v>0</v>
      </c>
    </row>
    <row r="38" spans="1:4" x14ac:dyDescent="0.25">
      <c r="A38" t="s">
        <v>28</v>
      </c>
      <c r="B38" s="5" t="s">
        <v>145</v>
      </c>
      <c r="C38" t="s">
        <v>145</v>
      </c>
      <c r="D38" t="b">
        <f t="shared" si="0"/>
        <v>0</v>
      </c>
    </row>
    <row r="39" spans="1:4" x14ac:dyDescent="0.25">
      <c r="A39" t="s">
        <v>28</v>
      </c>
      <c r="B39" s="5" t="s">
        <v>145</v>
      </c>
      <c r="C39" t="s">
        <v>145</v>
      </c>
      <c r="D39" t="b">
        <f t="shared" si="0"/>
        <v>0</v>
      </c>
    </row>
    <row r="40" spans="1:4" x14ac:dyDescent="0.25">
      <c r="A40" t="s">
        <v>28</v>
      </c>
      <c r="B40" s="5" t="s">
        <v>145</v>
      </c>
      <c r="C40" t="s">
        <v>145</v>
      </c>
      <c r="D40" t="b">
        <f t="shared" si="0"/>
        <v>0</v>
      </c>
    </row>
    <row r="41" spans="1:4" x14ac:dyDescent="0.25">
      <c r="A41" t="s">
        <v>28</v>
      </c>
      <c r="B41" s="5" t="s">
        <v>145</v>
      </c>
      <c r="C41" t="s">
        <v>145</v>
      </c>
      <c r="D41" t="b">
        <f t="shared" si="0"/>
        <v>0</v>
      </c>
    </row>
    <row r="42" spans="1:4" x14ac:dyDescent="0.25">
      <c r="A42" t="s">
        <v>1962</v>
      </c>
      <c r="B42" s="5" t="s">
        <v>1163</v>
      </c>
      <c r="C42" t="s">
        <v>1163</v>
      </c>
      <c r="D42" t="b">
        <f t="shared" si="0"/>
        <v>0</v>
      </c>
    </row>
    <row r="43" spans="1:4" x14ac:dyDescent="0.25">
      <c r="A43" t="s">
        <v>1962</v>
      </c>
      <c r="B43" s="5" t="s">
        <v>2010</v>
      </c>
      <c r="C43" t="s">
        <v>1972</v>
      </c>
      <c r="D43" t="b">
        <f t="shared" si="0"/>
        <v>1</v>
      </c>
    </row>
    <row r="44" spans="1:4" x14ac:dyDescent="0.25">
      <c r="A44" t="s">
        <v>1962</v>
      </c>
      <c r="B44" s="5" t="s">
        <v>562</v>
      </c>
      <c r="C44" t="s">
        <v>562</v>
      </c>
      <c r="D44" t="b">
        <f t="shared" si="0"/>
        <v>0</v>
      </c>
    </row>
    <row r="45" spans="1:4" x14ac:dyDescent="0.25">
      <c r="A45" t="s">
        <v>1962</v>
      </c>
      <c r="B45" s="5" t="s">
        <v>1973</v>
      </c>
      <c r="C45" t="s">
        <v>1973</v>
      </c>
      <c r="D45" t="b">
        <f t="shared" si="0"/>
        <v>0</v>
      </c>
    </row>
    <row r="46" spans="1:4" x14ac:dyDescent="0.25">
      <c r="A46" t="s">
        <v>1962</v>
      </c>
      <c r="B46" s="5" t="s">
        <v>1975</v>
      </c>
      <c r="C46" t="s">
        <v>1975</v>
      </c>
      <c r="D46" t="b">
        <f t="shared" si="0"/>
        <v>0</v>
      </c>
    </row>
    <row r="47" spans="1:4" x14ac:dyDescent="0.25">
      <c r="A47" t="s">
        <v>1962</v>
      </c>
      <c r="B47" s="5" t="s">
        <v>1868</v>
      </c>
      <c r="C47" t="s">
        <v>1868</v>
      </c>
      <c r="D47" t="b">
        <f t="shared" si="0"/>
        <v>0</v>
      </c>
    </row>
    <row r="48" spans="1:4" x14ac:dyDescent="0.25">
      <c r="A48" t="s">
        <v>1962</v>
      </c>
      <c r="B48" s="5" t="s">
        <v>1990</v>
      </c>
      <c r="C48" t="s">
        <v>1990</v>
      </c>
      <c r="D48" t="b">
        <f t="shared" si="0"/>
        <v>0</v>
      </c>
    </row>
    <row r="49" spans="1:6" x14ac:dyDescent="0.25">
      <c r="A49" t="s">
        <v>1962</v>
      </c>
      <c r="B49" s="5" t="s">
        <v>1939</v>
      </c>
      <c r="C49" t="s">
        <v>1939</v>
      </c>
      <c r="D49" t="b">
        <f t="shared" si="0"/>
        <v>0</v>
      </c>
    </row>
    <row r="50" spans="1:6" x14ac:dyDescent="0.25">
      <c r="A50" t="s">
        <v>1962</v>
      </c>
      <c r="B50" s="5" t="s">
        <v>2018</v>
      </c>
      <c r="C50" t="s">
        <v>2018</v>
      </c>
      <c r="D50" t="b">
        <f t="shared" si="0"/>
        <v>0</v>
      </c>
    </row>
    <row r="51" spans="1:6" x14ac:dyDescent="0.25">
      <c r="A51" t="s">
        <v>1962</v>
      </c>
      <c r="B51" s="5" t="s">
        <v>1988</v>
      </c>
      <c r="C51" t="s">
        <v>1988</v>
      </c>
      <c r="D51" t="b">
        <f t="shared" si="0"/>
        <v>0</v>
      </c>
    </row>
    <row r="52" spans="1:6" x14ac:dyDescent="0.25">
      <c r="A52" t="s">
        <v>1962</v>
      </c>
      <c r="B52" s="5" t="s">
        <v>557</v>
      </c>
      <c r="C52" t="s">
        <v>155</v>
      </c>
      <c r="D52" t="b">
        <f t="shared" si="0"/>
        <v>1</v>
      </c>
    </row>
    <row r="53" spans="1:6" x14ac:dyDescent="0.25">
      <c r="A53" t="s">
        <v>1931</v>
      </c>
      <c r="B53" s="5" t="s">
        <v>1597</v>
      </c>
      <c r="C53" t="s">
        <v>1597</v>
      </c>
      <c r="D53" t="b">
        <f t="shared" si="0"/>
        <v>0</v>
      </c>
    </row>
    <row r="54" spans="1:6" x14ac:dyDescent="0.25">
      <c r="A54" t="s">
        <v>1931</v>
      </c>
      <c r="B54" s="5" t="s">
        <v>1974</v>
      </c>
      <c r="C54" t="s">
        <v>1974</v>
      </c>
      <c r="D54" t="b">
        <f t="shared" si="0"/>
        <v>0</v>
      </c>
    </row>
    <row r="55" spans="1:6" x14ac:dyDescent="0.25">
      <c r="A55" t="s">
        <v>1963</v>
      </c>
      <c r="B55" s="5" t="s">
        <v>1935</v>
      </c>
      <c r="C55" t="s">
        <v>1935</v>
      </c>
      <c r="D55" t="b">
        <f t="shared" si="0"/>
        <v>0</v>
      </c>
      <c r="F55"/>
    </row>
    <row r="56" spans="1:6" x14ac:dyDescent="0.25">
      <c r="A56" t="s">
        <v>1963</v>
      </c>
      <c r="B56" s="5" t="s">
        <v>1952</v>
      </c>
      <c r="C56" t="s">
        <v>1952</v>
      </c>
      <c r="D56" t="b">
        <f t="shared" si="0"/>
        <v>0</v>
      </c>
      <c r="F56"/>
    </row>
    <row r="57" spans="1:6" x14ac:dyDescent="0.25">
      <c r="A57" t="s">
        <v>1963</v>
      </c>
      <c r="B57" s="5" t="s">
        <v>999</v>
      </c>
      <c r="C57" t="s">
        <v>999</v>
      </c>
      <c r="D57" t="b">
        <f t="shared" si="0"/>
        <v>0</v>
      </c>
      <c r="F57"/>
    </row>
    <row r="58" spans="1:6" x14ac:dyDescent="0.25">
      <c r="A58" t="s">
        <v>1963</v>
      </c>
      <c r="B58" s="5" t="s">
        <v>1002</v>
      </c>
      <c r="C58" t="s">
        <v>1002</v>
      </c>
      <c r="D58" t="b">
        <f t="shared" si="0"/>
        <v>0</v>
      </c>
      <c r="F58"/>
    </row>
    <row r="59" spans="1:6" x14ac:dyDescent="0.25">
      <c r="A59" t="s">
        <v>1963</v>
      </c>
      <c r="B59" s="5" t="s">
        <v>1956</v>
      </c>
      <c r="C59" t="s">
        <v>1956</v>
      </c>
      <c r="D59" t="b">
        <f t="shared" si="0"/>
        <v>0</v>
      </c>
      <c r="F59"/>
    </row>
    <row r="60" spans="1:6" x14ac:dyDescent="0.25">
      <c r="A60" t="s">
        <v>1963</v>
      </c>
      <c r="B60" s="5" t="s">
        <v>1948</v>
      </c>
      <c r="C60" t="s">
        <v>1948</v>
      </c>
      <c r="D60" t="b">
        <f t="shared" si="0"/>
        <v>0</v>
      </c>
      <c r="F60"/>
    </row>
    <row r="61" spans="1:6" x14ac:dyDescent="0.25">
      <c r="A61" t="s">
        <v>1963</v>
      </c>
      <c r="B61" s="5" t="s">
        <v>1981</v>
      </c>
      <c r="C61" t="s">
        <v>1981</v>
      </c>
      <c r="D61" t="b">
        <f t="shared" si="0"/>
        <v>0</v>
      </c>
      <c r="F61"/>
    </row>
    <row r="62" spans="1:6" x14ac:dyDescent="0.25">
      <c r="A62" t="s">
        <v>1963</v>
      </c>
      <c r="B62" s="5" t="s">
        <v>1940</v>
      </c>
      <c r="C62" t="s">
        <v>1940</v>
      </c>
      <c r="D62" t="b">
        <f t="shared" si="0"/>
        <v>0</v>
      </c>
      <c r="F62"/>
    </row>
    <row r="63" spans="1:6" x14ac:dyDescent="0.25">
      <c r="A63" t="s">
        <v>1963</v>
      </c>
      <c r="B63" s="5" t="s">
        <v>2267</v>
      </c>
      <c r="C63" t="s">
        <v>1957</v>
      </c>
      <c r="D63" t="b">
        <f t="shared" si="0"/>
        <v>1</v>
      </c>
      <c r="F63"/>
    </row>
    <row r="64" spans="1:6" x14ac:dyDescent="0.25">
      <c r="A64" t="s">
        <v>1963</v>
      </c>
      <c r="B64" s="5" t="s">
        <v>1936</v>
      </c>
      <c r="C64" t="s">
        <v>1936</v>
      </c>
      <c r="D64" t="b">
        <f t="shared" si="0"/>
        <v>0</v>
      </c>
      <c r="F64"/>
    </row>
    <row r="65" spans="1:6" x14ac:dyDescent="0.25">
      <c r="A65" t="s">
        <v>1963</v>
      </c>
      <c r="B65" s="5" t="s">
        <v>1945</v>
      </c>
      <c r="C65" t="s">
        <v>1945</v>
      </c>
      <c r="D65" t="b">
        <f t="shared" si="0"/>
        <v>0</v>
      </c>
      <c r="F65"/>
    </row>
    <row r="66" spans="1:6" x14ac:dyDescent="0.25">
      <c r="A66" t="s">
        <v>1963</v>
      </c>
      <c r="B66" s="5" t="s">
        <v>1960</v>
      </c>
      <c r="C66" t="s">
        <v>1960</v>
      </c>
      <c r="D66" t="b">
        <f t="shared" si="0"/>
        <v>0</v>
      </c>
      <c r="F66"/>
    </row>
    <row r="67" spans="1:6" x14ac:dyDescent="0.25">
      <c r="A67" t="s">
        <v>1963</v>
      </c>
      <c r="B67" s="5" t="s">
        <v>1959</v>
      </c>
      <c r="C67" t="s">
        <v>1959</v>
      </c>
      <c r="D67" t="b">
        <f t="shared" si="0"/>
        <v>0</v>
      </c>
      <c r="F67"/>
    </row>
    <row r="68" spans="1:6" x14ac:dyDescent="0.25">
      <c r="A68" t="s">
        <v>1963</v>
      </c>
      <c r="B68" s="5" t="s">
        <v>1968</v>
      </c>
      <c r="C68" t="s">
        <v>1968</v>
      </c>
      <c r="D68" t="b">
        <f t="shared" ref="D68:D102" si="2">B68&lt;&gt;C68</f>
        <v>0</v>
      </c>
      <c r="F68"/>
    </row>
    <row r="69" spans="1:6" x14ac:dyDescent="0.25">
      <c r="A69" t="s">
        <v>1982</v>
      </c>
      <c r="B69" s="5" t="s">
        <v>1949</v>
      </c>
      <c r="C69" t="s">
        <v>1949</v>
      </c>
      <c r="D69" t="b">
        <f t="shared" si="2"/>
        <v>0</v>
      </c>
      <c r="F69"/>
    </row>
    <row r="70" spans="1:6" x14ac:dyDescent="0.25">
      <c r="A70" t="s">
        <v>1982</v>
      </c>
      <c r="B70" s="5" t="s">
        <v>1958</v>
      </c>
      <c r="C70" t="s">
        <v>1958</v>
      </c>
      <c r="D70" t="b">
        <f t="shared" si="2"/>
        <v>0</v>
      </c>
      <c r="F70"/>
    </row>
    <row r="71" spans="1:6" x14ac:dyDescent="0.25">
      <c r="A71" t="s">
        <v>1982</v>
      </c>
      <c r="B71" s="5" t="s">
        <v>1946</v>
      </c>
      <c r="C71" t="s">
        <v>1946</v>
      </c>
      <c r="D71" t="b">
        <f t="shared" si="2"/>
        <v>0</v>
      </c>
      <c r="F71"/>
    </row>
    <row r="72" spans="1:6" x14ac:dyDescent="0.25">
      <c r="A72" t="s">
        <v>1982</v>
      </c>
      <c r="B72" s="5" t="s">
        <v>1950</v>
      </c>
      <c r="C72" t="s">
        <v>1950</v>
      </c>
      <c r="D72" t="b">
        <f t="shared" si="2"/>
        <v>0</v>
      </c>
      <c r="F72"/>
    </row>
    <row r="73" spans="1:6" x14ac:dyDescent="0.25">
      <c r="A73" t="s">
        <v>1987</v>
      </c>
      <c r="B73" s="5" t="s">
        <v>2259</v>
      </c>
      <c r="C73" t="s">
        <v>1953</v>
      </c>
      <c r="D73" t="b">
        <f t="shared" si="2"/>
        <v>1</v>
      </c>
      <c r="F73"/>
    </row>
    <row r="74" spans="1:6" x14ac:dyDescent="0.25">
      <c r="A74" t="s">
        <v>1987</v>
      </c>
      <c r="B74" s="5" t="s">
        <v>1944</v>
      </c>
      <c r="C74" t="s">
        <v>1944</v>
      </c>
      <c r="D74" t="b">
        <f t="shared" si="2"/>
        <v>0</v>
      </c>
      <c r="F74"/>
    </row>
    <row r="75" spans="1:6" x14ac:dyDescent="0.25">
      <c r="A75" t="s">
        <v>1987</v>
      </c>
      <c r="B75" s="5" t="s">
        <v>2222</v>
      </c>
      <c r="C75" t="s">
        <v>1937</v>
      </c>
      <c r="D75" t="b">
        <f t="shared" si="2"/>
        <v>1</v>
      </c>
      <c r="F75"/>
    </row>
    <row r="76" spans="1:6" x14ac:dyDescent="0.25">
      <c r="A76" t="s">
        <v>1987</v>
      </c>
      <c r="B76" s="5" t="s">
        <v>1955</v>
      </c>
      <c r="C76" t="s">
        <v>1955</v>
      </c>
      <c r="D76" t="b">
        <f t="shared" si="2"/>
        <v>0</v>
      </c>
      <c r="F76"/>
    </row>
    <row r="77" spans="1:6" x14ac:dyDescent="0.25">
      <c r="A77" t="s">
        <v>1987</v>
      </c>
      <c r="B77" s="5" t="s">
        <v>1941</v>
      </c>
      <c r="C77" t="s">
        <v>1941</v>
      </c>
      <c r="D77" t="b">
        <f t="shared" si="2"/>
        <v>0</v>
      </c>
      <c r="F77"/>
    </row>
    <row r="78" spans="1:6" x14ac:dyDescent="0.25">
      <c r="A78" t="s">
        <v>1987</v>
      </c>
      <c r="B78" s="5" t="s">
        <v>1943</v>
      </c>
      <c r="C78" t="s">
        <v>1943</v>
      </c>
      <c r="D78" t="b">
        <f t="shared" si="2"/>
        <v>0</v>
      </c>
      <c r="F78"/>
    </row>
    <row r="79" spans="1:6" x14ac:dyDescent="0.25">
      <c r="A79" t="s">
        <v>1987</v>
      </c>
      <c r="B79" s="5" t="s">
        <v>1934</v>
      </c>
      <c r="C79" t="s">
        <v>1934</v>
      </c>
      <c r="D79" t="b">
        <f t="shared" si="2"/>
        <v>0</v>
      </c>
      <c r="F79"/>
    </row>
    <row r="80" spans="1:6" x14ac:dyDescent="0.25">
      <c r="A80" t="s">
        <v>1987</v>
      </c>
      <c r="B80" s="5" t="s">
        <v>1989</v>
      </c>
      <c r="C80" t="s">
        <v>1989</v>
      </c>
      <c r="D80" t="b">
        <f t="shared" si="2"/>
        <v>0</v>
      </c>
      <c r="F80"/>
    </row>
    <row r="81" spans="1:6" x14ac:dyDescent="0.25">
      <c r="A81" t="s">
        <v>1967</v>
      </c>
      <c r="B81" s="5" t="s">
        <v>145</v>
      </c>
      <c r="C81" t="s">
        <v>1991</v>
      </c>
      <c r="D81" t="b">
        <f t="shared" si="2"/>
        <v>1</v>
      </c>
      <c r="F81"/>
    </row>
    <row r="82" spans="1:6" x14ac:dyDescent="0.25">
      <c r="A82" t="s">
        <v>1967</v>
      </c>
      <c r="B82" s="5" t="s">
        <v>1992</v>
      </c>
      <c r="C82" t="s">
        <v>1992</v>
      </c>
      <c r="D82" t="b">
        <f t="shared" si="2"/>
        <v>0</v>
      </c>
    </row>
    <row r="83" spans="1:6" x14ac:dyDescent="0.25">
      <c r="A83" t="s">
        <v>1967</v>
      </c>
      <c r="B83" s="5" t="s">
        <v>1951</v>
      </c>
      <c r="C83" t="s">
        <v>1951</v>
      </c>
      <c r="D83" t="b">
        <f t="shared" si="2"/>
        <v>0</v>
      </c>
    </row>
    <row r="84" spans="1:6" x14ac:dyDescent="0.25">
      <c r="A84" t="s">
        <v>1967</v>
      </c>
      <c r="B84" s="5" t="s">
        <v>589</v>
      </c>
      <c r="C84" t="s">
        <v>589</v>
      </c>
      <c r="D84" t="b">
        <f t="shared" si="2"/>
        <v>0</v>
      </c>
    </row>
    <row r="85" spans="1:6" x14ac:dyDescent="0.25">
      <c r="A85" t="s">
        <v>1980</v>
      </c>
      <c r="B85" s="5" t="s">
        <v>1954</v>
      </c>
      <c r="C85" t="s">
        <v>1954</v>
      </c>
      <c r="D85" t="b">
        <f t="shared" si="2"/>
        <v>0</v>
      </c>
    </row>
    <row r="86" spans="1:6" x14ac:dyDescent="0.25">
      <c r="A86" t="s">
        <v>1980</v>
      </c>
      <c r="B86" s="5" t="s">
        <v>300</v>
      </c>
      <c r="C86" t="s">
        <v>300</v>
      </c>
      <c r="D86" t="b">
        <f t="shared" si="2"/>
        <v>0</v>
      </c>
    </row>
    <row r="87" spans="1:6" x14ac:dyDescent="0.25">
      <c r="A87" t="s">
        <v>1980</v>
      </c>
      <c r="B87" s="5" t="s">
        <v>1947</v>
      </c>
      <c r="C87" t="s">
        <v>1947</v>
      </c>
      <c r="D87" t="b">
        <f t="shared" si="2"/>
        <v>0</v>
      </c>
    </row>
    <row r="88" spans="1:6" x14ac:dyDescent="0.25">
      <c r="A88" t="s">
        <v>1980</v>
      </c>
      <c r="B88" s="5" t="s">
        <v>1933</v>
      </c>
      <c r="C88" t="s">
        <v>1933</v>
      </c>
      <c r="D88" t="b">
        <f t="shared" si="2"/>
        <v>0</v>
      </c>
    </row>
    <row r="89" spans="1:6" x14ac:dyDescent="0.25">
      <c r="A89" t="s">
        <v>1966</v>
      </c>
      <c r="B89" s="5" t="s">
        <v>77</v>
      </c>
      <c r="C89" t="s">
        <v>1971</v>
      </c>
      <c r="D89" t="b">
        <f t="shared" si="2"/>
        <v>1</v>
      </c>
    </row>
    <row r="90" spans="1:6" x14ac:dyDescent="0.25">
      <c r="A90" t="s">
        <v>1966</v>
      </c>
      <c r="B90" s="5" t="s">
        <v>353</v>
      </c>
      <c r="C90" t="s">
        <v>353</v>
      </c>
      <c r="D90" t="b">
        <f t="shared" si="2"/>
        <v>0</v>
      </c>
    </row>
    <row r="91" spans="1:6" x14ac:dyDescent="0.25">
      <c r="A91" t="s">
        <v>1966</v>
      </c>
      <c r="B91" s="5" t="s">
        <v>2233</v>
      </c>
      <c r="C91" t="s">
        <v>1976</v>
      </c>
      <c r="D91" t="b">
        <f t="shared" si="2"/>
        <v>1</v>
      </c>
    </row>
    <row r="92" spans="1:6" x14ac:dyDescent="0.25">
      <c r="A92" t="s">
        <v>1966</v>
      </c>
      <c r="B92" s="5" t="s">
        <v>1977</v>
      </c>
      <c r="C92" t="s">
        <v>1977</v>
      </c>
      <c r="D92" t="b">
        <f t="shared" si="2"/>
        <v>0</v>
      </c>
    </row>
    <row r="93" spans="1:6" x14ac:dyDescent="0.25">
      <c r="A93" t="s">
        <v>1966</v>
      </c>
      <c r="B93" s="5" t="s">
        <v>2011</v>
      </c>
      <c r="C93" t="s">
        <v>590</v>
      </c>
      <c r="D93" t="b">
        <f t="shared" si="2"/>
        <v>1</v>
      </c>
    </row>
    <row r="94" spans="1:6" x14ac:dyDescent="0.25">
      <c r="A94" t="s">
        <v>1966</v>
      </c>
      <c r="B94" s="5" t="s">
        <v>1938</v>
      </c>
      <c r="C94" t="s">
        <v>1938</v>
      </c>
      <c r="D94" t="b">
        <f t="shared" si="2"/>
        <v>0</v>
      </c>
    </row>
    <row r="95" spans="1:6" x14ac:dyDescent="0.25">
      <c r="A95" t="s">
        <v>1966</v>
      </c>
      <c r="B95" s="5" t="s">
        <v>129</v>
      </c>
      <c r="C95" t="s">
        <v>129</v>
      </c>
      <c r="D95" t="b">
        <f t="shared" si="2"/>
        <v>0</v>
      </c>
    </row>
    <row r="96" spans="1:6" x14ac:dyDescent="0.25">
      <c r="A96" t="s">
        <v>1966</v>
      </c>
      <c r="B96" s="5" t="s">
        <v>123</v>
      </c>
      <c r="C96" t="s">
        <v>123</v>
      </c>
      <c r="D96" t="b">
        <f t="shared" si="2"/>
        <v>0</v>
      </c>
    </row>
    <row r="97" spans="1:4" x14ac:dyDescent="0.25">
      <c r="A97" t="s">
        <v>1965</v>
      </c>
      <c r="B97" s="5" t="s">
        <v>1969</v>
      </c>
      <c r="C97" t="s">
        <v>1969</v>
      </c>
      <c r="D97" t="b">
        <f t="shared" si="2"/>
        <v>0</v>
      </c>
    </row>
    <row r="98" spans="1:4" x14ac:dyDescent="0.25">
      <c r="A98" t="s">
        <v>1965</v>
      </c>
      <c r="B98" s="5" t="s">
        <v>1970</v>
      </c>
      <c r="C98" t="s">
        <v>1970</v>
      </c>
      <c r="D98" t="b">
        <f t="shared" si="2"/>
        <v>0</v>
      </c>
    </row>
    <row r="99" spans="1:4" x14ac:dyDescent="0.25">
      <c r="A99" t="s">
        <v>1965</v>
      </c>
      <c r="B99" s="5" t="s">
        <v>1995</v>
      </c>
      <c r="C99" t="s">
        <v>1995</v>
      </c>
      <c r="D99" t="b">
        <f t="shared" si="2"/>
        <v>0</v>
      </c>
    </row>
    <row r="100" spans="1:4" x14ac:dyDescent="0.25">
      <c r="A100" t="s">
        <v>1965</v>
      </c>
      <c r="B100" s="5" t="s">
        <v>1961</v>
      </c>
      <c r="C100" t="s">
        <v>1961</v>
      </c>
      <c r="D100" t="b">
        <f t="shared" si="2"/>
        <v>0</v>
      </c>
    </row>
    <row r="101" spans="1:4" x14ac:dyDescent="0.25">
      <c r="A101" t="s">
        <v>1965</v>
      </c>
      <c r="B101" s="5" t="s">
        <v>145</v>
      </c>
      <c r="C101" t="s">
        <v>1996</v>
      </c>
      <c r="D101" t="b">
        <f t="shared" si="2"/>
        <v>1</v>
      </c>
    </row>
    <row r="102" spans="1:4" x14ac:dyDescent="0.25">
      <c r="A102" s="5" t="s">
        <v>1965</v>
      </c>
      <c r="B102" s="5" t="s">
        <v>1942</v>
      </c>
      <c r="C102" t="s">
        <v>1942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73DCA050-54D5-497D-BFF4-C8AB9F5C8B49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4E85CEAB-AB8E-40F4-B350-7A0A5C81BF0A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C2F7-1089-41C4-A2B4-B21C85C55814}">
  <dimension ref="A1:G102"/>
  <sheetViews>
    <sheetView topLeftCell="A12" workbookViewId="0">
      <selection activeCell="B44" sqref="B44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140625" bestFit="1" customWidth="1"/>
  </cols>
  <sheetData>
    <row r="1" spans="1:7" ht="21" x14ac:dyDescent="0.25">
      <c r="A1" s="29" t="s">
        <v>1842</v>
      </c>
      <c r="B1" s="29"/>
      <c r="C1" s="29"/>
      <c r="D1" s="29"/>
      <c r="E1" s="29"/>
      <c r="F1" s="29"/>
      <c r="G1" s="29"/>
    </row>
    <row r="2" spans="1:7" x14ac:dyDescent="0.25">
      <c r="A2" s="4" t="s">
        <v>24</v>
      </c>
      <c r="B2" s="4" t="s">
        <v>25</v>
      </c>
      <c r="C2" s="4" t="s">
        <v>26</v>
      </c>
      <c r="D2" s="4" t="s">
        <v>27</v>
      </c>
      <c r="F2" s="4" t="s">
        <v>29</v>
      </c>
      <c r="G2" s="3">
        <f>COUNTIF(D:D,"Verdadeiro")</f>
        <v>12</v>
      </c>
    </row>
    <row r="3" spans="1:7" x14ac:dyDescent="0.25">
      <c r="A3" s="5" t="s">
        <v>2002</v>
      </c>
      <c r="B3" s="5" t="s">
        <v>919</v>
      </c>
      <c r="C3" s="5" t="s">
        <v>919</v>
      </c>
      <c r="D3" t="b">
        <f>B3&lt;&gt;C3</f>
        <v>0</v>
      </c>
      <c r="F3" s="4" t="s">
        <v>30</v>
      </c>
      <c r="G3" s="22">
        <f>SUM(G5:G29)</f>
        <v>100</v>
      </c>
    </row>
    <row r="4" spans="1:7" x14ac:dyDescent="0.25">
      <c r="A4" t="s">
        <v>28</v>
      </c>
      <c r="B4" s="5" t="s">
        <v>920</v>
      </c>
      <c r="C4" s="19" t="s">
        <v>920</v>
      </c>
      <c r="D4" t="b">
        <f t="shared" ref="D4:D67" si="0">B4&lt;&gt;C4</f>
        <v>0</v>
      </c>
    </row>
    <row r="5" spans="1:7" x14ac:dyDescent="0.25">
      <c r="A5" t="s">
        <v>28</v>
      </c>
      <c r="B5" s="5" t="s">
        <v>333</v>
      </c>
      <c r="C5" s="19" t="s">
        <v>333</v>
      </c>
      <c r="D5" t="b">
        <f t="shared" si="0"/>
        <v>0</v>
      </c>
      <c r="F5" s="6" t="s">
        <v>32</v>
      </c>
      <c r="G5" s="1"/>
    </row>
    <row r="6" spans="1:7" x14ac:dyDescent="0.25">
      <c r="A6" t="s">
        <v>28</v>
      </c>
      <c r="B6" s="5" t="s">
        <v>184</v>
      </c>
      <c r="C6" s="19" t="s">
        <v>184</v>
      </c>
      <c r="D6" t="b">
        <f t="shared" si="0"/>
        <v>0</v>
      </c>
      <c r="F6" s="1" t="s">
        <v>28</v>
      </c>
      <c r="G6" s="2">
        <f t="shared" ref="G6:G12" si="1">COUNTIF(A:A,F6)</f>
        <v>35</v>
      </c>
    </row>
    <row r="7" spans="1:7" x14ac:dyDescent="0.25">
      <c r="A7" t="s">
        <v>28</v>
      </c>
      <c r="B7" s="5" t="s">
        <v>1837</v>
      </c>
      <c r="C7" s="19" t="s">
        <v>1837</v>
      </c>
      <c r="D7" t="b">
        <f t="shared" si="0"/>
        <v>0</v>
      </c>
      <c r="E7" t="s">
        <v>39</v>
      </c>
      <c r="F7" s="3" t="s">
        <v>2002</v>
      </c>
      <c r="G7" s="2">
        <f t="shared" si="1"/>
        <v>1</v>
      </c>
    </row>
    <row r="8" spans="1:7" x14ac:dyDescent="0.25">
      <c r="A8" t="s">
        <v>28</v>
      </c>
      <c r="B8" s="5" t="s">
        <v>33</v>
      </c>
      <c r="C8" s="19" t="s">
        <v>33</v>
      </c>
      <c r="D8" t="b">
        <f t="shared" si="0"/>
        <v>0</v>
      </c>
      <c r="F8" s="1" t="s">
        <v>34</v>
      </c>
      <c r="G8" s="2">
        <f t="shared" si="1"/>
        <v>10</v>
      </c>
    </row>
    <row r="9" spans="1:7" x14ac:dyDescent="0.25">
      <c r="A9" t="s">
        <v>28</v>
      </c>
      <c r="B9" s="5" t="s">
        <v>39</v>
      </c>
      <c r="C9" t="s">
        <v>922</v>
      </c>
      <c r="D9" t="b">
        <f t="shared" si="0"/>
        <v>1</v>
      </c>
      <c r="F9" s="1" t="s">
        <v>35</v>
      </c>
      <c r="G9" s="2">
        <f t="shared" si="1"/>
        <v>8</v>
      </c>
    </row>
    <row r="10" spans="1:7" x14ac:dyDescent="0.25">
      <c r="A10" t="s">
        <v>28</v>
      </c>
      <c r="B10" s="5" t="s">
        <v>38</v>
      </c>
      <c r="C10" t="s">
        <v>1737</v>
      </c>
      <c r="D10" t="b">
        <f t="shared" si="0"/>
        <v>1</v>
      </c>
      <c r="F10" s="1" t="s">
        <v>61</v>
      </c>
      <c r="G10" s="2">
        <f t="shared" si="1"/>
        <v>7</v>
      </c>
    </row>
    <row r="11" spans="1:7" x14ac:dyDescent="0.25">
      <c r="A11" t="s">
        <v>28</v>
      </c>
      <c r="B11" s="5" t="s">
        <v>739</v>
      </c>
      <c r="C11" t="s">
        <v>739</v>
      </c>
      <c r="D11" t="b">
        <f t="shared" si="0"/>
        <v>0</v>
      </c>
      <c r="E11" t="s">
        <v>38</v>
      </c>
      <c r="F11" s="1" t="s">
        <v>923</v>
      </c>
      <c r="G11" s="2">
        <f t="shared" si="1"/>
        <v>19</v>
      </c>
    </row>
    <row r="12" spans="1:7" x14ac:dyDescent="0.25">
      <c r="A12" t="s">
        <v>28</v>
      </c>
      <c r="B12" s="5" t="s">
        <v>38</v>
      </c>
      <c r="C12" t="s">
        <v>38</v>
      </c>
      <c r="D12" t="b">
        <f t="shared" si="0"/>
        <v>0</v>
      </c>
      <c r="F12" s="1" t="s">
        <v>143</v>
      </c>
      <c r="G12" s="2">
        <f t="shared" si="1"/>
        <v>20</v>
      </c>
    </row>
    <row r="13" spans="1:7" x14ac:dyDescent="0.25">
      <c r="A13" t="s">
        <v>28</v>
      </c>
      <c r="B13" s="5" t="s">
        <v>38</v>
      </c>
      <c r="C13" t="s">
        <v>38</v>
      </c>
      <c r="D13" t="b">
        <f t="shared" si="0"/>
        <v>0</v>
      </c>
    </row>
    <row r="14" spans="1:7" x14ac:dyDescent="0.25">
      <c r="A14" t="s">
        <v>28</v>
      </c>
      <c r="B14" s="5" t="s">
        <v>38</v>
      </c>
      <c r="C14" t="s">
        <v>38</v>
      </c>
      <c r="D14" t="b">
        <f t="shared" si="0"/>
        <v>0</v>
      </c>
    </row>
    <row r="15" spans="1:7" x14ac:dyDescent="0.25">
      <c r="A15" t="s">
        <v>28</v>
      </c>
      <c r="B15" s="5" t="s">
        <v>38</v>
      </c>
      <c r="C15" t="s">
        <v>38</v>
      </c>
      <c r="D15" t="b">
        <f t="shared" si="0"/>
        <v>0</v>
      </c>
      <c r="F15" s="1"/>
      <c r="G15" s="2"/>
    </row>
    <row r="16" spans="1:7" x14ac:dyDescent="0.25">
      <c r="A16" t="s">
        <v>28</v>
      </c>
      <c r="B16" s="5" t="s">
        <v>38</v>
      </c>
      <c r="C16" t="s">
        <v>38</v>
      </c>
      <c r="D16" t="b">
        <f t="shared" si="0"/>
        <v>0</v>
      </c>
      <c r="F16" s="1"/>
      <c r="G16" s="2"/>
    </row>
    <row r="17" spans="1:7" x14ac:dyDescent="0.25">
      <c r="A17" t="s">
        <v>28</v>
      </c>
      <c r="B17" s="5" t="s">
        <v>38</v>
      </c>
      <c r="C17" t="s">
        <v>38</v>
      </c>
      <c r="D17" t="b">
        <f t="shared" si="0"/>
        <v>0</v>
      </c>
      <c r="F17" s="5"/>
      <c r="G17" s="2"/>
    </row>
    <row r="18" spans="1:7" x14ac:dyDescent="0.25">
      <c r="A18" t="s">
        <v>28</v>
      </c>
      <c r="B18" s="5" t="s">
        <v>38</v>
      </c>
      <c r="C18" t="s">
        <v>38</v>
      </c>
      <c r="D18" t="b">
        <f t="shared" si="0"/>
        <v>0</v>
      </c>
      <c r="F18" s="5"/>
      <c r="G18" s="2"/>
    </row>
    <row r="19" spans="1:7" x14ac:dyDescent="0.25">
      <c r="A19" t="s">
        <v>28</v>
      </c>
      <c r="B19" s="5" t="s">
        <v>38</v>
      </c>
      <c r="C19" t="s">
        <v>38</v>
      </c>
      <c r="D19" t="b">
        <f t="shared" si="0"/>
        <v>0</v>
      </c>
    </row>
    <row r="20" spans="1:7" x14ac:dyDescent="0.25">
      <c r="A20" t="s">
        <v>28</v>
      </c>
      <c r="B20" s="5" t="s">
        <v>38</v>
      </c>
      <c r="C20" t="s">
        <v>38</v>
      </c>
      <c r="D20" t="b">
        <f t="shared" si="0"/>
        <v>0</v>
      </c>
    </row>
    <row r="21" spans="1:7" x14ac:dyDescent="0.25">
      <c r="A21" t="s">
        <v>28</v>
      </c>
      <c r="B21" s="5" t="s">
        <v>38</v>
      </c>
      <c r="C21" t="s">
        <v>38</v>
      </c>
      <c r="D21" t="b">
        <f t="shared" si="0"/>
        <v>0</v>
      </c>
    </row>
    <row r="22" spans="1:7" x14ac:dyDescent="0.25">
      <c r="A22" t="s">
        <v>28</v>
      </c>
      <c r="B22" s="5" t="s">
        <v>38</v>
      </c>
      <c r="C22" t="s">
        <v>38</v>
      </c>
      <c r="D22" t="b">
        <f t="shared" si="0"/>
        <v>0</v>
      </c>
    </row>
    <row r="23" spans="1:7" x14ac:dyDescent="0.25">
      <c r="A23" t="s">
        <v>28</v>
      </c>
      <c r="B23" s="5" t="s">
        <v>38</v>
      </c>
      <c r="C23" t="s">
        <v>38</v>
      </c>
      <c r="D23" t="b">
        <f t="shared" si="0"/>
        <v>0</v>
      </c>
    </row>
    <row r="24" spans="1:7" x14ac:dyDescent="0.25">
      <c r="A24" t="s">
        <v>28</v>
      </c>
      <c r="B24" s="5" t="s">
        <v>38</v>
      </c>
      <c r="C24" t="s">
        <v>38</v>
      </c>
      <c r="D24" t="b">
        <f t="shared" si="0"/>
        <v>0</v>
      </c>
    </row>
    <row r="25" spans="1:7" x14ac:dyDescent="0.25">
      <c r="A25" t="s">
        <v>28</v>
      </c>
      <c r="B25" s="5" t="s">
        <v>38</v>
      </c>
      <c r="C25" t="s">
        <v>38</v>
      </c>
      <c r="D25" t="b">
        <f t="shared" si="0"/>
        <v>0</v>
      </c>
    </row>
    <row r="26" spans="1:7" x14ac:dyDescent="0.25">
      <c r="A26" t="s">
        <v>28</v>
      </c>
      <c r="B26" s="5" t="s">
        <v>38</v>
      </c>
      <c r="C26" t="s">
        <v>38</v>
      </c>
      <c r="D26" t="b">
        <f t="shared" si="0"/>
        <v>0</v>
      </c>
    </row>
    <row r="27" spans="1:7" x14ac:dyDescent="0.25">
      <c r="A27" t="s">
        <v>28</v>
      </c>
      <c r="B27" s="5" t="s">
        <v>39</v>
      </c>
      <c r="C27" t="s">
        <v>39</v>
      </c>
      <c r="D27" t="b">
        <f t="shared" si="0"/>
        <v>0</v>
      </c>
    </row>
    <row r="28" spans="1:7" x14ac:dyDescent="0.25">
      <c r="A28" t="s">
        <v>28</v>
      </c>
      <c r="B28" s="5" t="s">
        <v>39</v>
      </c>
      <c r="C28" t="s">
        <v>39</v>
      </c>
      <c r="D28" t="b">
        <f t="shared" si="0"/>
        <v>0</v>
      </c>
    </row>
    <row r="29" spans="1:7" x14ac:dyDescent="0.25">
      <c r="A29" t="s">
        <v>28</v>
      </c>
      <c r="B29" s="5" t="s">
        <v>39</v>
      </c>
      <c r="C29" t="s">
        <v>39</v>
      </c>
      <c r="D29" t="b">
        <f t="shared" si="0"/>
        <v>0</v>
      </c>
    </row>
    <row r="30" spans="1:7" x14ac:dyDescent="0.25">
      <c r="A30" t="s">
        <v>28</v>
      </c>
      <c r="B30" s="5" t="s">
        <v>39</v>
      </c>
      <c r="C30" t="s">
        <v>39</v>
      </c>
      <c r="D30" t="b">
        <f t="shared" si="0"/>
        <v>0</v>
      </c>
    </row>
    <row r="31" spans="1:7" x14ac:dyDescent="0.25">
      <c r="A31" t="s">
        <v>28</v>
      </c>
      <c r="B31" s="5" t="s">
        <v>39</v>
      </c>
      <c r="C31" t="s">
        <v>39</v>
      </c>
      <c r="D31" t="b">
        <f t="shared" si="0"/>
        <v>0</v>
      </c>
    </row>
    <row r="32" spans="1:7" x14ac:dyDescent="0.25">
      <c r="A32" t="s">
        <v>28</v>
      </c>
      <c r="B32" s="5" t="s">
        <v>39</v>
      </c>
      <c r="C32" t="s">
        <v>39</v>
      </c>
      <c r="D32" t="b">
        <f t="shared" si="0"/>
        <v>0</v>
      </c>
    </row>
    <row r="33" spans="1:6" x14ac:dyDescent="0.25">
      <c r="A33" t="s">
        <v>28</v>
      </c>
      <c r="B33" s="5" t="s">
        <v>39</v>
      </c>
      <c r="C33" t="s">
        <v>39</v>
      </c>
      <c r="D33" t="b">
        <f t="shared" si="0"/>
        <v>0</v>
      </c>
    </row>
    <row r="34" spans="1:6" x14ac:dyDescent="0.25">
      <c r="A34" t="s">
        <v>28</v>
      </c>
      <c r="B34" s="5" t="s">
        <v>39</v>
      </c>
      <c r="C34" t="s">
        <v>39</v>
      </c>
      <c r="D34" t="b">
        <f t="shared" si="0"/>
        <v>0</v>
      </c>
    </row>
    <row r="35" spans="1:6" x14ac:dyDescent="0.25">
      <c r="A35" t="s">
        <v>28</v>
      </c>
      <c r="B35" s="5" t="s">
        <v>39</v>
      </c>
      <c r="C35" t="s">
        <v>39</v>
      </c>
      <c r="D35" t="b">
        <f t="shared" si="0"/>
        <v>0</v>
      </c>
    </row>
    <row r="36" spans="1:6" x14ac:dyDescent="0.25">
      <c r="A36" t="s">
        <v>28</v>
      </c>
      <c r="B36" s="5" t="s">
        <v>39</v>
      </c>
      <c r="C36" t="s">
        <v>39</v>
      </c>
      <c r="D36" t="b">
        <f t="shared" si="0"/>
        <v>0</v>
      </c>
    </row>
    <row r="37" spans="1:6" x14ac:dyDescent="0.25">
      <c r="A37" t="s">
        <v>28</v>
      </c>
      <c r="B37" s="5" t="s">
        <v>39</v>
      </c>
      <c r="C37" t="s">
        <v>39</v>
      </c>
      <c r="D37" t="b">
        <f t="shared" si="0"/>
        <v>0</v>
      </c>
    </row>
    <row r="38" spans="1:6" x14ac:dyDescent="0.25">
      <c r="A38" t="s">
        <v>28</v>
      </c>
      <c r="B38" s="5" t="s">
        <v>39</v>
      </c>
      <c r="C38" t="s">
        <v>39</v>
      </c>
      <c r="D38" t="b">
        <f t="shared" si="0"/>
        <v>0</v>
      </c>
    </row>
    <row r="39" spans="1:6" x14ac:dyDescent="0.25">
      <c r="A39" t="s">
        <v>34</v>
      </c>
      <c r="B39" s="5" t="s">
        <v>198</v>
      </c>
      <c r="C39" s="19" t="s">
        <v>198</v>
      </c>
      <c r="D39" t="b">
        <f t="shared" si="0"/>
        <v>0</v>
      </c>
    </row>
    <row r="40" spans="1:6" x14ac:dyDescent="0.25">
      <c r="A40" t="s">
        <v>34</v>
      </c>
      <c r="B40" s="5" t="s">
        <v>199</v>
      </c>
      <c r="C40" t="s">
        <v>199</v>
      </c>
      <c r="D40" t="b">
        <f t="shared" si="0"/>
        <v>0</v>
      </c>
    </row>
    <row r="41" spans="1:6" x14ac:dyDescent="0.25">
      <c r="A41" t="s">
        <v>34</v>
      </c>
      <c r="B41" s="5" t="s">
        <v>202</v>
      </c>
      <c r="C41" t="s">
        <v>202</v>
      </c>
      <c r="D41" t="b">
        <f t="shared" si="0"/>
        <v>0</v>
      </c>
    </row>
    <row r="42" spans="1:6" x14ac:dyDescent="0.25">
      <c r="A42" t="s">
        <v>34</v>
      </c>
      <c r="B42" s="5" t="s">
        <v>38</v>
      </c>
      <c r="C42" t="s">
        <v>204</v>
      </c>
      <c r="D42" t="b">
        <f t="shared" si="0"/>
        <v>1</v>
      </c>
    </row>
    <row r="43" spans="1:6" x14ac:dyDescent="0.25">
      <c r="A43" t="s">
        <v>34</v>
      </c>
      <c r="B43" s="5" t="s">
        <v>954</v>
      </c>
      <c r="C43" s="19" t="s">
        <v>954</v>
      </c>
      <c r="D43" t="b">
        <f t="shared" si="0"/>
        <v>0</v>
      </c>
    </row>
    <row r="44" spans="1:6" x14ac:dyDescent="0.25">
      <c r="A44" t="s">
        <v>34</v>
      </c>
      <c r="B44" s="5" t="s">
        <v>350</v>
      </c>
      <c r="C44" t="s">
        <v>350</v>
      </c>
      <c r="D44" t="b">
        <f t="shared" si="0"/>
        <v>0</v>
      </c>
    </row>
    <row r="45" spans="1:6" x14ac:dyDescent="0.25">
      <c r="A45" t="s">
        <v>34</v>
      </c>
      <c r="B45" s="5" t="s">
        <v>38</v>
      </c>
      <c r="C45" t="s">
        <v>1852</v>
      </c>
      <c r="D45" t="b">
        <f t="shared" si="0"/>
        <v>1</v>
      </c>
    </row>
    <row r="46" spans="1:6" x14ac:dyDescent="0.25">
      <c r="A46" t="s">
        <v>34</v>
      </c>
      <c r="B46" s="5" t="s">
        <v>1431</v>
      </c>
      <c r="C46" t="s">
        <v>1431</v>
      </c>
      <c r="D46" t="b">
        <f t="shared" si="0"/>
        <v>0</v>
      </c>
    </row>
    <row r="47" spans="1:6" x14ac:dyDescent="0.25">
      <c r="A47" t="s">
        <v>34</v>
      </c>
      <c r="B47" s="5" t="s">
        <v>38</v>
      </c>
      <c r="C47" t="s">
        <v>351</v>
      </c>
      <c r="D47" t="b">
        <f t="shared" si="0"/>
        <v>1</v>
      </c>
      <c r="F47"/>
    </row>
    <row r="48" spans="1:6" x14ac:dyDescent="0.25">
      <c r="A48" t="s">
        <v>34</v>
      </c>
      <c r="B48" s="5" t="s">
        <v>38</v>
      </c>
      <c r="C48" t="s">
        <v>1853</v>
      </c>
      <c r="D48" t="b">
        <f t="shared" si="0"/>
        <v>1</v>
      </c>
    </row>
    <row r="49" spans="1:6" x14ac:dyDescent="0.25">
      <c r="A49" t="s">
        <v>35</v>
      </c>
      <c r="B49" s="5" t="s">
        <v>818</v>
      </c>
      <c r="C49" s="19" t="s">
        <v>818</v>
      </c>
      <c r="D49" t="b">
        <f t="shared" si="0"/>
        <v>0</v>
      </c>
    </row>
    <row r="50" spans="1:6" x14ac:dyDescent="0.25">
      <c r="A50" t="s">
        <v>35</v>
      </c>
      <c r="B50" s="5" t="s">
        <v>977</v>
      </c>
      <c r="C50" s="19" t="s">
        <v>977</v>
      </c>
      <c r="D50" t="b">
        <f t="shared" si="0"/>
        <v>0</v>
      </c>
    </row>
    <row r="51" spans="1:6" x14ac:dyDescent="0.25">
      <c r="A51" t="s">
        <v>35</v>
      </c>
      <c r="B51" s="5" t="s">
        <v>2016</v>
      </c>
      <c r="C51" t="s">
        <v>2016</v>
      </c>
      <c r="D51" t="b">
        <f t="shared" si="0"/>
        <v>0</v>
      </c>
    </row>
    <row r="52" spans="1:6" x14ac:dyDescent="0.25">
      <c r="A52" t="s">
        <v>35</v>
      </c>
      <c r="B52" s="5" t="s">
        <v>2009</v>
      </c>
      <c r="C52" t="s">
        <v>2009</v>
      </c>
      <c r="D52" t="b">
        <f t="shared" si="0"/>
        <v>0</v>
      </c>
    </row>
    <row r="53" spans="1:6" x14ac:dyDescent="0.25">
      <c r="A53" t="s">
        <v>35</v>
      </c>
      <c r="B53" s="5" t="s">
        <v>2248</v>
      </c>
      <c r="C53" t="s">
        <v>1850</v>
      </c>
      <c r="D53" t="b">
        <f t="shared" si="0"/>
        <v>1</v>
      </c>
    </row>
    <row r="54" spans="1:6" x14ac:dyDescent="0.25">
      <c r="A54" t="s">
        <v>35</v>
      </c>
      <c r="B54" s="5" t="s">
        <v>2177</v>
      </c>
      <c r="C54" t="s">
        <v>2177</v>
      </c>
      <c r="D54" t="b">
        <f t="shared" si="0"/>
        <v>0</v>
      </c>
    </row>
    <row r="55" spans="1:6" x14ac:dyDescent="0.25">
      <c r="A55" t="s">
        <v>35</v>
      </c>
      <c r="B55" s="5" t="s">
        <v>2258</v>
      </c>
      <c r="C55" t="s">
        <v>2258</v>
      </c>
      <c r="D55" t="b">
        <f t="shared" si="0"/>
        <v>0</v>
      </c>
      <c r="F55"/>
    </row>
    <row r="56" spans="1:6" x14ac:dyDescent="0.25">
      <c r="A56" t="s">
        <v>35</v>
      </c>
      <c r="B56" s="5" t="s">
        <v>222</v>
      </c>
      <c r="C56" t="s">
        <v>222</v>
      </c>
      <c r="D56" t="b">
        <f t="shared" si="0"/>
        <v>0</v>
      </c>
      <c r="F56"/>
    </row>
    <row r="57" spans="1:6" x14ac:dyDescent="0.25">
      <c r="A57" t="s">
        <v>61</v>
      </c>
      <c r="B57" s="5" t="s">
        <v>965</v>
      </c>
      <c r="C57" s="19" t="s">
        <v>965</v>
      </c>
      <c r="D57" t="b">
        <f t="shared" si="0"/>
        <v>0</v>
      </c>
      <c r="F57"/>
    </row>
    <row r="58" spans="1:6" x14ac:dyDescent="0.25">
      <c r="A58" t="s">
        <v>61</v>
      </c>
      <c r="B58" s="5" t="s">
        <v>362</v>
      </c>
      <c r="C58" s="19" t="s">
        <v>362</v>
      </c>
      <c r="D58" t="b">
        <f t="shared" si="0"/>
        <v>0</v>
      </c>
      <c r="F58"/>
    </row>
    <row r="59" spans="1:6" x14ac:dyDescent="0.25">
      <c r="A59" t="s">
        <v>61</v>
      </c>
      <c r="B59" s="5" t="s">
        <v>961</v>
      </c>
      <c r="C59" s="19" t="s">
        <v>961</v>
      </c>
      <c r="D59" t="b">
        <f t="shared" si="0"/>
        <v>0</v>
      </c>
      <c r="F59"/>
    </row>
    <row r="60" spans="1:6" x14ac:dyDescent="0.25">
      <c r="A60" t="s">
        <v>61</v>
      </c>
      <c r="B60" s="5" t="s">
        <v>786</v>
      </c>
      <c r="C60" s="19" t="s">
        <v>786</v>
      </c>
      <c r="D60" t="b">
        <f t="shared" si="0"/>
        <v>0</v>
      </c>
    </row>
    <row r="61" spans="1:6" x14ac:dyDescent="0.25">
      <c r="A61" t="s">
        <v>61</v>
      </c>
      <c r="B61" s="5" t="s">
        <v>120</v>
      </c>
      <c r="C61" s="19" t="s">
        <v>120</v>
      </c>
      <c r="D61" t="b">
        <f t="shared" si="0"/>
        <v>0</v>
      </c>
      <c r="F61"/>
    </row>
    <row r="62" spans="1:6" x14ac:dyDescent="0.25">
      <c r="A62" t="s">
        <v>61</v>
      </c>
      <c r="B62" s="5" t="s">
        <v>699</v>
      </c>
      <c r="C62" s="19" t="s">
        <v>699</v>
      </c>
      <c r="D62" t="b">
        <f t="shared" si="0"/>
        <v>0</v>
      </c>
      <c r="F62"/>
    </row>
    <row r="63" spans="1:6" x14ac:dyDescent="0.25">
      <c r="A63" t="s">
        <v>61</v>
      </c>
      <c r="B63" s="5" t="s">
        <v>967</v>
      </c>
      <c r="C63" s="19" t="s">
        <v>967</v>
      </c>
      <c r="D63" t="b">
        <f>B63&lt;&gt;C63</f>
        <v>0</v>
      </c>
    </row>
    <row r="64" spans="1:6" x14ac:dyDescent="0.25">
      <c r="A64" t="s">
        <v>923</v>
      </c>
      <c r="B64" s="5" t="s">
        <v>925</v>
      </c>
      <c r="C64" s="19" t="s">
        <v>925</v>
      </c>
      <c r="D64" t="b">
        <f t="shared" si="0"/>
        <v>0</v>
      </c>
      <c r="F64"/>
    </row>
    <row r="65" spans="1:6" x14ac:dyDescent="0.25">
      <c r="A65" t="s">
        <v>923</v>
      </c>
      <c r="B65" s="5" t="s">
        <v>2234</v>
      </c>
      <c r="C65" t="s">
        <v>927</v>
      </c>
      <c r="D65" t="b">
        <f t="shared" si="0"/>
        <v>1</v>
      </c>
      <c r="F65"/>
    </row>
    <row r="66" spans="1:6" x14ac:dyDescent="0.25">
      <c r="A66" t="s">
        <v>923</v>
      </c>
      <c r="B66" s="5" t="s">
        <v>928</v>
      </c>
      <c r="C66" s="19" t="s">
        <v>928</v>
      </c>
      <c r="D66" t="b">
        <f t="shared" si="0"/>
        <v>0</v>
      </c>
      <c r="F66"/>
    </row>
    <row r="67" spans="1:6" x14ac:dyDescent="0.25">
      <c r="A67" t="s">
        <v>923</v>
      </c>
      <c r="B67" s="5" t="s">
        <v>929</v>
      </c>
      <c r="C67" s="19" t="s">
        <v>929</v>
      </c>
      <c r="D67" t="b">
        <f t="shared" si="0"/>
        <v>0</v>
      </c>
      <c r="F67"/>
    </row>
    <row r="68" spans="1:6" x14ac:dyDescent="0.25">
      <c r="A68" t="s">
        <v>923</v>
      </c>
      <c r="B68" s="5" t="s">
        <v>2235</v>
      </c>
      <c r="C68" t="s">
        <v>1843</v>
      </c>
      <c r="D68" t="b">
        <f t="shared" ref="D68:D102" si="2">B68&lt;&gt;C68</f>
        <v>1</v>
      </c>
      <c r="F68" s="5"/>
    </row>
    <row r="69" spans="1:6" x14ac:dyDescent="0.25">
      <c r="A69" t="s">
        <v>923</v>
      </c>
      <c r="B69" s="5" t="s">
        <v>431</v>
      </c>
      <c r="C69" s="19" t="s">
        <v>431</v>
      </c>
      <c r="D69" t="b">
        <f t="shared" si="2"/>
        <v>0</v>
      </c>
      <c r="F69" s="5"/>
    </row>
    <row r="70" spans="1:6" x14ac:dyDescent="0.25">
      <c r="A70" t="s">
        <v>923</v>
      </c>
      <c r="B70" s="5" t="s">
        <v>930</v>
      </c>
      <c r="C70" s="19" t="s">
        <v>930</v>
      </c>
      <c r="D70" t="b">
        <f t="shared" si="2"/>
        <v>0</v>
      </c>
      <c r="F70" s="5"/>
    </row>
    <row r="71" spans="1:6" x14ac:dyDescent="0.25">
      <c r="A71" t="s">
        <v>923</v>
      </c>
      <c r="B71" s="5" t="s">
        <v>2236</v>
      </c>
      <c r="C71" t="s">
        <v>932</v>
      </c>
      <c r="D71" t="b">
        <f t="shared" si="2"/>
        <v>1</v>
      </c>
    </row>
    <row r="72" spans="1:6" x14ac:dyDescent="0.25">
      <c r="A72" t="s">
        <v>923</v>
      </c>
      <c r="B72" s="5" t="s">
        <v>933</v>
      </c>
      <c r="C72" s="19" t="s">
        <v>933</v>
      </c>
      <c r="D72" t="b">
        <f t="shared" si="2"/>
        <v>0</v>
      </c>
    </row>
    <row r="73" spans="1:6" x14ac:dyDescent="0.25">
      <c r="A73" t="s">
        <v>923</v>
      </c>
      <c r="B73" s="5" t="s">
        <v>934</v>
      </c>
      <c r="C73" s="19" t="s">
        <v>934</v>
      </c>
      <c r="D73" t="b">
        <f t="shared" si="2"/>
        <v>0</v>
      </c>
    </row>
    <row r="74" spans="1:6" x14ac:dyDescent="0.25">
      <c r="A74" t="s">
        <v>923</v>
      </c>
      <c r="B74" s="5" t="s">
        <v>935</v>
      </c>
      <c r="C74" s="19" t="s">
        <v>935</v>
      </c>
      <c r="D74" t="b">
        <f t="shared" si="2"/>
        <v>0</v>
      </c>
    </row>
    <row r="75" spans="1:6" x14ac:dyDescent="0.25">
      <c r="A75" t="s">
        <v>923</v>
      </c>
      <c r="B75" s="5" t="s">
        <v>936</v>
      </c>
      <c r="C75" s="19" t="s">
        <v>936</v>
      </c>
      <c r="D75" t="b">
        <f t="shared" si="2"/>
        <v>0</v>
      </c>
    </row>
    <row r="76" spans="1:6" x14ac:dyDescent="0.25">
      <c r="A76" t="s">
        <v>923</v>
      </c>
      <c r="B76" s="5" t="s">
        <v>937</v>
      </c>
      <c r="C76" s="19" t="s">
        <v>937</v>
      </c>
      <c r="D76" t="b">
        <f t="shared" si="2"/>
        <v>0</v>
      </c>
      <c r="F76"/>
    </row>
    <row r="77" spans="1:6" x14ac:dyDescent="0.25">
      <c r="A77" t="s">
        <v>923</v>
      </c>
      <c r="B77" s="5" t="s">
        <v>938</v>
      </c>
      <c r="C77" s="19" t="s">
        <v>938</v>
      </c>
      <c r="D77" t="b">
        <f t="shared" si="2"/>
        <v>0</v>
      </c>
      <c r="F77"/>
    </row>
    <row r="78" spans="1:6" x14ac:dyDescent="0.25">
      <c r="A78" t="s">
        <v>923</v>
      </c>
      <c r="B78" s="5" t="s">
        <v>939</v>
      </c>
      <c r="C78" s="19" t="s">
        <v>939</v>
      </c>
      <c r="D78" t="b">
        <f t="shared" si="2"/>
        <v>0</v>
      </c>
      <c r="E78" s="5"/>
    </row>
    <row r="79" spans="1:6" x14ac:dyDescent="0.25">
      <c r="A79" t="s">
        <v>923</v>
      </c>
      <c r="B79" s="5" t="s">
        <v>940</v>
      </c>
      <c r="C79" s="19" t="s">
        <v>940</v>
      </c>
      <c r="D79" t="b">
        <f t="shared" si="2"/>
        <v>0</v>
      </c>
    </row>
    <row r="80" spans="1:6" x14ac:dyDescent="0.25">
      <c r="A80" t="s">
        <v>923</v>
      </c>
      <c r="B80" s="5" t="s">
        <v>926</v>
      </c>
      <c r="C80" s="19" t="s">
        <v>926</v>
      </c>
      <c r="D80" t="b">
        <f t="shared" si="2"/>
        <v>0</v>
      </c>
    </row>
    <row r="81" spans="1:6" x14ac:dyDescent="0.25">
      <c r="A81" t="s">
        <v>923</v>
      </c>
      <c r="B81" s="5" t="s">
        <v>1846</v>
      </c>
      <c r="C81" s="19" t="s">
        <v>1846</v>
      </c>
      <c r="D81" t="b">
        <f t="shared" si="2"/>
        <v>0</v>
      </c>
      <c r="E81" s="5"/>
    </row>
    <row r="82" spans="1:6" x14ac:dyDescent="0.25">
      <c r="A82" t="s">
        <v>923</v>
      </c>
      <c r="B82" s="5" t="s">
        <v>2237</v>
      </c>
      <c r="C82" t="s">
        <v>1847</v>
      </c>
      <c r="D82" t="b">
        <f t="shared" si="2"/>
        <v>1</v>
      </c>
      <c r="F82" s="5"/>
    </row>
    <row r="83" spans="1:6" x14ac:dyDescent="0.25">
      <c r="A83" t="s">
        <v>143</v>
      </c>
      <c r="B83" s="5" t="s">
        <v>951</v>
      </c>
      <c r="C83" s="19" t="s">
        <v>951</v>
      </c>
      <c r="D83" t="b">
        <f t="shared" si="2"/>
        <v>0</v>
      </c>
      <c r="F83" s="5"/>
    </row>
    <row r="84" spans="1:6" x14ac:dyDescent="0.25">
      <c r="A84" t="s">
        <v>143</v>
      </c>
      <c r="B84" s="5" t="s">
        <v>948</v>
      </c>
      <c r="C84" s="19" t="s">
        <v>948</v>
      </c>
      <c r="D84" t="b">
        <f t="shared" si="2"/>
        <v>0</v>
      </c>
      <c r="F84" s="5"/>
    </row>
    <row r="85" spans="1:6" x14ac:dyDescent="0.25">
      <c r="A85" t="s">
        <v>143</v>
      </c>
      <c r="B85" s="5" t="s">
        <v>947</v>
      </c>
      <c r="C85" s="19" t="s">
        <v>947</v>
      </c>
      <c r="D85" t="b">
        <f t="shared" si="2"/>
        <v>0</v>
      </c>
      <c r="F85" s="5"/>
    </row>
    <row r="86" spans="1:6" x14ac:dyDescent="0.25">
      <c r="A86" t="s">
        <v>143</v>
      </c>
      <c r="B86" s="5" t="s">
        <v>950</v>
      </c>
      <c r="C86" s="19" t="s">
        <v>950</v>
      </c>
      <c r="D86" t="b">
        <f t="shared" si="2"/>
        <v>0</v>
      </c>
      <c r="F86" s="5"/>
    </row>
    <row r="87" spans="1:6" x14ac:dyDescent="0.25">
      <c r="A87" t="s">
        <v>143</v>
      </c>
      <c r="B87" s="5" t="s">
        <v>952</v>
      </c>
      <c r="C87" s="19" t="s">
        <v>952</v>
      </c>
      <c r="D87" t="b">
        <f t="shared" si="2"/>
        <v>0</v>
      </c>
    </row>
    <row r="88" spans="1:6" x14ac:dyDescent="0.25">
      <c r="A88" t="s">
        <v>143</v>
      </c>
      <c r="B88" s="5" t="s">
        <v>2015</v>
      </c>
      <c r="C88" t="s">
        <v>2015</v>
      </c>
      <c r="D88" t="b">
        <f t="shared" si="2"/>
        <v>0</v>
      </c>
    </row>
    <row r="89" spans="1:6" x14ac:dyDescent="0.25">
      <c r="A89" t="s">
        <v>143</v>
      </c>
      <c r="B89" s="5" t="s">
        <v>2238</v>
      </c>
      <c r="C89" t="s">
        <v>1845</v>
      </c>
      <c r="D89" t="b">
        <f t="shared" si="2"/>
        <v>1</v>
      </c>
    </row>
    <row r="90" spans="1:6" x14ac:dyDescent="0.25">
      <c r="A90" t="s">
        <v>143</v>
      </c>
      <c r="B90" s="5" t="s">
        <v>955</v>
      </c>
      <c r="C90" s="19" t="s">
        <v>955</v>
      </c>
      <c r="D90" t="b">
        <f t="shared" si="2"/>
        <v>0</v>
      </c>
    </row>
    <row r="91" spans="1:6" x14ac:dyDescent="0.25">
      <c r="A91" t="s">
        <v>143</v>
      </c>
      <c r="B91" s="5" t="s">
        <v>956</v>
      </c>
      <c r="C91" s="19" t="s">
        <v>956</v>
      </c>
      <c r="D91" t="b">
        <f t="shared" si="2"/>
        <v>0</v>
      </c>
    </row>
    <row r="92" spans="1:6" x14ac:dyDescent="0.25">
      <c r="A92" t="s">
        <v>143</v>
      </c>
      <c r="B92" s="5" t="s">
        <v>957</v>
      </c>
      <c r="C92" s="19" t="s">
        <v>957</v>
      </c>
      <c r="D92" t="b">
        <f t="shared" si="2"/>
        <v>0</v>
      </c>
      <c r="F92"/>
    </row>
    <row r="93" spans="1:6" x14ac:dyDescent="0.25">
      <c r="A93" t="s">
        <v>143</v>
      </c>
      <c r="B93" s="5" t="s">
        <v>958</v>
      </c>
      <c r="C93" t="s">
        <v>958</v>
      </c>
      <c r="D93" t="b">
        <f t="shared" si="2"/>
        <v>0</v>
      </c>
      <c r="F93"/>
    </row>
    <row r="94" spans="1:6" x14ac:dyDescent="0.25">
      <c r="A94" t="s">
        <v>143</v>
      </c>
      <c r="B94" s="5" t="s">
        <v>959</v>
      </c>
      <c r="C94" s="19" t="s">
        <v>959</v>
      </c>
      <c r="D94" t="b">
        <f t="shared" si="2"/>
        <v>0</v>
      </c>
      <c r="F94"/>
    </row>
    <row r="95" spans="1:6" x14ac:dyDescent="0.25">
      <c r="A95" t="s">
        <v>143</v>
      </c>
      <c r="B95" s="5" t="s">
        <v>960</v>
      </c>
      <c r="C95" s="19" t="s">
        <v>960</v>
      </c>
      <c r="D95" t="b">
        <f t="shared" si="2"/>
        <v>0</v>
      </c>
    </row>
    <row r="96" spans="1:6" x14ac:dyDescent="0.25">
      <c r="A96" t="s">
        <v>143</v>
      </c>
      <c r="B96" s="5" t="s">
        <v>1844</v>
      </c>
      <c r="C96" t="s">
        <v>1844</v>
      </c>
      <c r="D96" t="b">
        <f t="shared" si="2"/>
        <v>0</v>
      </c>
    </row>
    <row r="97" spans="1:6" x14ac:dyDescent="0.25">
      <c r="A97" t="s">
        <v>143</v>
      </c>
      <c r="B97" s="5" t="s">
        <v>1851</v>
      </c>
      <c r="C97" t="s">
        <v>1851</v>
      </c>
      <c r="D97" t="b">
        <f t="shared" si="2"/>
        <v>0</v>
      </c>
    </row>
    <row r="98" spans="1:6" x14ac:dyDescent="0.25">
      <c r="A98" t="s">
        <v>143</v>
      </c>
      <c r="B98" s="5" t="s">
        <v>1849</v>
      </c>
      <c r="C98" s="5" t="s">
        <v>1849</v>
      </c>
      <c r="D98" t="b">
        <f t="shared" si="2"/>
        <v>0</v>
      </c>
      <c r="F98"/>
    </row>
    <row r="99" spans="1:6" x14ac:dyDescent="0.25">
      <c r="A99" t="s">
        <v>143</v>
      </c>
      <c r="B99" s="5" t="s">
        <v>1848</v>
      </c>
      <c r="C99" s="5" t="s">
        <v>1848</v>
      </c>
      <c r="D99" t="b">
        <f t="shared" si="2"/>
        <v>0</v>
      </c>
    </row>
    <row r="100" spans="1:6" x14ac:dyDescent="0.25">
      <c r="A100" t="s">
        <v>143</v>
      </c>
      <c r="B100" s="5" t="s">
        <v>247</v>
      </c>
      <c r="C100" s="19" t="s">
        <v>247</v>
      </c>
      <c r="D100" t="b">
        <f t="shared" si="2"/>
        <v>0</v>
      </c>
    </row>
    <row r="101" spans="1:6" x14ac:dyDescent="0.25">
      <c r="A101" t="s">
        <v>143</v>
      </c>
      <c r="B101" s="5" t="s">
        <v>972</v>
      </c>
      <c r="C101" s="20" t="s">
        <v>972</v>
      </c>
      <c r="D101" t="b">
        <f t="shared" si="2"/>
        <v>0</v>
      </c>
    </row>
    <row r="102" spans="1:6" x14ac:dyDescent="0.25">
      <c r="A102" t="s">
        <v>143</v>
      </c>
      <c r="B102" s="5" t="s">
        <v>1530</v>
      </c>
      <c r="C102" s="19" t="s">
        <v>1530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17E7453-0020-4449-8AEC-D6882B29BB4D}">
            <xm:f>ISERROR(SEARCH(C3,B3))</xm:f>
            <xm:f>C3</xm:f>
            <x14:dxf>
              <fill>
                <patternFill>
                  <bgColor theme="5" tint="0.79998168889431442"/>
                </patternFill>
              </fill>
            </x14:dxf>
          </x14:cfRule>
          <xm:sqref>B3:B102</xm:sqref>
        </x14:conditionalFormatting>
        <x14:conditionalFormatting xmlns:xm="http://schemas.microsoft.com/office/excel/2006/main">
          <x14:cfRule type="notContainsText" priority="1" operator="notContains" id="{1CDFFBBF-EE70-4B13-BFE4-F33F6FC016F5}">
            <xm:f>ISERROR(SEARCH(B3,C3))</xm:f>
            <xm:f>B3</xm:f>
            <x14:dxf>
              <fill>
                <patternFill>
                  <bgColor theme="5" tint="0.79998168889431442"/>
                </patternFill>
              </fill>
            </x14:dxf>
          </x14:cfRule>
          <xm:sqref>C3:C102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35</vt:i4>
      </vt:variant>
    </vt:vector>
  </HeadingPairs>
  <TitlesOfParts>
    <vt:vector size="35" baseType="lpstr">
      <vt:lpstr>COMPRAS</vt:lpstr>
      <vt:lpstr>STATS</vt:lpstr>
      <vt:lpstr>WATCH</vt:lpstr>
      <vt:lpstr>RESUMO</vt:lpstr>
      <vt:lpstr>COLEÇÃO</vt:lpstr>
      <vt:lpstr>Thrakiri</vt:lpstr>
      <vt:lpstr>Gitrog</vt:lpstr>
      <vt:lpstr>Elfos</vt:lpstr>
      <vt:lpstr>Jhoira</vt:lpstr>
      <vt:lpstr>Fractius</vt:lpstr>
      <vt:lpstr>Exaltado</vt:lpstr>
      <vt:lpstr>Inalla</vt:lpstr>
      <vt:lpstr>Modular</vt:lpstr>
      <vt:lpstr>Muzzio</vt:lpstr>
      <vt:lpstr>Rielle</vt:lpstr>
      <vt:lpstr>Alela</vt:lpstr>
      <vt:lpstr>Arcades</vt:lpstr>
      <vt:lpstr>VialIshai</vt:lpstr>
      <vt:lpstr>Yuriko</vt:lpstr>
      <vt:lpstr>Zedruu</vt:lpstr>
      <vt:lpstr>Carlos</vt:lpstr>
      <vt:lpstr>Oona</vt:lpstr>
      <vt:lpstr>Kresh</vt:lpstr>
      <vt:lpstr>Akiri</vt:lpstr>
      <vt:lpstr>Breya</vt:lpstr>
      <vt:lpstr>Rani</vt:lpstr>
      <vt:lpstr>Sisay</vt:lpstr>
      <vt:lpstr>OWA</vt:lpstr>
      <vt:lpstr>Narset</vt:lpstr>
      <vt:lpstr>Kumena</vt:lpstr>
      <vt:lpstr>Zimone</vt:lpstr>
      <vt:lpstr>Baylen</vt:lpstr>
      <vt:lpstr>Tayam</vt:lpstr>
      <vt:lpstr>Piratas</vt:lpstr>
      <vt:lpstr>JhoiraB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Scalvi</dc:creator>
  <cp:keywords/>
  <dc:description/>
  <cp:lastModifiedBy>Marcelo Fernandes Scalvi</cp:lastModifiedBy>
  <cp:revision/>
  <dcterms:created xsi:type="dcterms:W3CDTF">2021-12-09T15:36:16Z</dcterms:created>
  <dcterms:modified xsi:type="dcterms:W3CDTF">2025-08-29T17:15:23Z</dcterms:modified>
  <cp:category/>
  <cp:contentStatus/>
</cp:coreProperties>
</file>