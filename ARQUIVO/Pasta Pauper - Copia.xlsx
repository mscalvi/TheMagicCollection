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Magic\"/>
    </mc:Choice>
  </mc:AlternateContent>
  <xr:revisionPtr revIDLastSave="0" documentId="13_ncr:1_{74B67449-9518-43FA-B955-A8D8BD759C74}" xr6:coauthVersionLast="47" xr6:coauthVersionMax="47" xr10:uidLastSave="{00000000-0000-0000-0000-000000000000}"/>
  <bookViews>
    <workbookView xWindow="-120" yWindow="-120" windowWidth="29040" windowHeight="15720" tabRatio="835" activeTab="14" xr2:uid="{CC72415A-D2E5-4D77-82BF-05A7B4384BC9}"/>
  </bookViews>
  <sheets>
    <sheet name="COMPRAS" sheetId="19" r:id="rId1"/>
    <sheet name="RESUMO" sheetId="18" r:id="rId2"/>
    <sheet name="RESUMO (2)" sheetId="45" r:id="rId3"/>
    <sheet name="WGFractius" sheetId="40" r:id="rId4"/>
    <sheet name="Vida" sheetId="41" state="hidden" r:id="rId5"/>
    <sheet name="Fadas" sheetId="42" state="hidden" r:id="rId6"/>
    <sheet name="WBRKnights" sheetId="26" r:id="rId7"/>
    <sheet name="Modular" sheetId="44" state="hidden" r:id="rId8"/>
    <sheet name="WBGAllies" sheetId="43" r:id="rId9"/>
    <sheet name="TemurC" sheetId="46" state="hidden" r:id="rId10"/>
    <sheet name="WURFlicker" sheetId="60" r:id="rId11"/>
    <sheet name="WUBModular" sheetId="61" r:id="rId12"/>
    <sheet name="UBFaeries" sheetId="62" r:id="rId13"/>
    <sheet name="BGTortex" sheetId="63" r:id="rId14"/>
    <sheet name="WURAffinity" sheetId="64" r:id="rId15"/>
    <sheet name="WUCawGates" sheetId="66" r:id="rId16"/>
    <sheet name="Ratos" sheetId="48" state="hidden" r:id="rId17"/>
    <sheet name="Reanimate" sheetId="51" state="hidden" r:id="rId18"/>
    <sheet name="BlueControl" sheetId="58" state="hidden" r:id="rId19"/>
  </sheets>
  <definedNames>
    <definedName name="_xlnm._FilterDatabase" localSheetId="1" hidden="1">RESUMO!$A$2:$C$213</definedName>
    <definedName name="_xlnm._FilterDatabase" localSheetId="2" hidden="1">'RESUMO (2)'!$A$2:$C$213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7" i="66" l="1"/>
  <c r="D76" i="66"/>
  <c r="D75" i="66"/>
  <c r="D74" i="66"/>
  <c r="D73" i="66"/>
  <c r="D72" i="66"/>
  <c r="D71" i="66"/>
  <c r="D70" i="66"/>
  <c r="D69" i="66"/>
  <c r="D68" i="66"/>
  <c r="D67" i="66"/>
  <c r="D66" i="66"/>
  <c r="D65" i="66"/>
  <c r="D64" i="66"/>
  <c r="D63" i="66"/>
  <c r="D62" i="66"/>
  <c r="D61" i="66"/>
  <c r="D60" i="66"/>
  <c r="D59" i="66"/>
  <c r="D58" i="66"/>
  <c r="D57" i="66"/>
  <c r="D56" i="66"/>
  <c r="D55" i="66"/>
  <c r="D54" i="66"/>
  <c r="D53" i="66"/>
  <c r="D52" i="66"/>
  <c r="D51" i="66"/>
  <c r="D50" i="66"/>
  <c r="D49" i="66"/>
  <c r="D48" i="66"/>
  <c r="D47" i="66"/>
  <c r="D46" i="66"/>
  <c r="D45" i="66"/>
  <c r="D44" i="66"/>
  <c r="D43" i="66"/>
  <c r="D42" i="66"/>
  <c r="D41" i="66"/>
  <c r="D40" i="66"/>
  <c r="D39" i="66"/>
  <c r="D38" i="66"/>
  <c r="D37" i="66"/>
  <c r="D36" i="66"/>
  <c r="D35" i="66"/>
  <c r="D34" i="66"/>
  <c r="D33" i="66"/>
  <c r="D32" i="66"/>
  <c r="D31" i="66"/>
  <c r="D30" i="66"/>
  <c r="D29" i="66"/>
  <c r="D28" i="66"/>
  <c r="D27" i="66"/>
  <c r="D26" i="66"/>
  <c r="D25" i="66"/>
  <c r="D24" i="66"/>
  <c r="D23" i="66"/>
  <c r="D22" i="66"/>
  <c r="D21" i="66"/>
  <c r="D20" i="66"/>
  <c r="D19" i="66"/>
  <c r="D18" i="66"/>
  <c r="D17" i="66"/>
  <c r="D16" i="66"/>
  <c r="D15" i="66"/>
  <c r="D14" i="66"/>
  <c r="D13" i="66"/>
  <c r="D12" i="66"/>
  <c r="G11" i="66"/>
  <c r="D11" i="66"/>
  <c r="G10" i="66"/>
  <c r="D10" i="66"/>
  <c r="G9" i="66"/>
  <c r="D9" i="66"/>
  <c r="G8" i="66"/>
  <c r="D8" i="66"/>
  <c r="G7" i="66"/>
  <c r="D7" i="66"/>
  <c r="D6" i="66"/>
  <c r="D5" i="66"/>
  <c r="D4" i="66"/>
  <c r="G3" i="66"/>
  <c r="D3" i="66"/>
  <c r="G4" i="66" l="1"/>
  <c r="G11" i="64"/>
  <c r="G13" i="63"/>
  <c r="D82" i="63"/>
  <c r="D81" i="63"/>
  <c r="D80" i="63"/>
  <c r="D79" i="63"/>
  <c r="D78" i="63"/>
  <c r="D4" i="63"/>
  <c r="D5" i="63"/>
  <c r="D6" i="63"/>
  <c r="D7" i="63"/>
  <c r="D8" i="63"/>
  <c r="D9" i="63"/>
  <c r="D10" i="63"/>
  <c r="D11" i="63"/>
  <c r="D12" i="63"/>
  <c r="D13" i="63"/>
  <c r="D14" i="63"/>
  <c r="D15" i="63"/>
  <c r="D16" i="63"/>
  <c r="D17" i="63"/>
  <c r="D18" i="63"/>
  <c r="D19" i="63"/>
  <c r="D20" i="63"/>
  <c r="D21" i="63"/>
  <c r="D22" i="63"/>
  <c r="D23" i="63"/>
  <c r="D24" i="63"/>
  <c r="D25" i="63"/>
  <c r="D26" i="63"/>
  <c r="D27" i="63"/>
  <c r="D28" i="63"/>
  <c r="D29" i="63"/>
  <c r="D30" i="63"/>
  <c r="D31" i="63"/>
  <c r="D32" i="63"/>
  <c r="D33" i="63"/>
  <c r="D34" i="63"/>
  <c r="D35" i="63"/>
  <c r="D36" i="63"/>
  <c r="D37" i="63"/>
  <c r="D38" i="63"/>
  <c r="D39" i="63"/>
  <c r="D40" i="63"/>
  <c r="D41" i="63"/>
  <c r="D42" i="63"/>
  <c r="D43" i="63"/>
  <c r="D44" i="63"/>
  <c r="D45" i="63"/>
  <c r="D46" i="63"/>
  <c r="D47" i="63"/>
  <c r="D48" i="63"/>
  <c r="D49" i="63"/>
  <c r="D50" i="63"/>
  <c r="D51" i="63"/>
  <c r="D52" i="63"/>
  <c r="D53" i="63"/>
  <c r="D54" i="63"/>
  <c r="D55" i="63"/>
  <c r="D56" i="63"/>
  <c r="D57" i="63"/>
  <c r="D58" i="63"/>
  <c r="D59" i="63"/>
  <c r="D60" i="63"/>
  <c r="D61" i="63"/>
  <c r="D62" i="63"/>
  <c r="D63" i="63"/>
  <c r="D64" i="63"/>
  <c r="D65" i="63"/>
  <c r="D66" i="63"/>
  <c r="D67" i="63"/>
  <c r="D68" i="63"/>
  <c r="D69" i="63"/>
  <c r="D70" i="63"/>
  <c r="D71" i="63"/>
  <c r="D72" i="63"/>
  <c r="D73" i="63"/>
  <c r="D74" i="63"/>
  <c r="D75" i="63"/>
  <c r="D76" i="63"/>
  <c r="D77" i="63"/>
  <c r="D3" i="63"/>
  <c r="D77" i="64"/>
  <c r="D76" i="64"/>
  <c r="D75" i="64"/>
  <c r="D74" i="64"/>
  <c r="D73" i="64"/>
  <c r="D72" i="64"/>
  <c r="D71" i="64"/>
  <c r="D70" i="64"/>
  <c r="D69" i="64"/>
  <c r="D68" i="64"/>
  <c r="D67" i="64"/>
  <c r="D66" i="64"/>
  <c r="D65" i="64"/>
  <c r="D64" i="64"/>
  <c r="D63" i="64"/>
  <c r="D62" i="64"/>
  <c r="D61" i="64"/>
  <c r="D60" i="64"/>
  <c r="D59" i="64"/>
  <c r="D58" i="64"/>
  <c r="D57" i="64"/>
  <c r="D56" i="64"/>
  <c r="D55" i="64"/>
  <c r="D54" i="64"/>
  <c r="D53" i="64"/>
  <c r="D52" i="64"/>
  <c r="D51" i="64"/>
  <c r="D50" i="64"/>
  <c r="D49" i="64"/>
  <c r="D48" i="64"/>
  <c r="D47" i="64"/>
  <c r="D46" i="64"/>
  <c r="D45" i="64"/>
  <c r="D44" i="64"/>
  <c r="D43" i="64"/>
  <c r="D42" i="64"/>
  <c r="D41" i="64"/>
  <c r="D40" i="64"/>
  <c r="D39" i="64"/>
  <c r="D38" i="64"/>
  <c r="D37" i="64"/>
  <c r="D36" i="64"/>
  <c r="D35" i="64"/>
  <c r="D34" i="64"/>
  <c r="D33" i="64"/>
  <c r="D32" i="64"/>
  <c r="D31" i="64"/>
  <c r="D30" i="64"/>
  <c r="D29" i="64"/>
  <c r="D28" i="64"/>
  <c r="D27" i="64"/>
  <c r="D26" i="64"/>
  <c r="D25" i="64"/>
  <c r="D24" i="64"/>
  <c r="D23" i="64"/>
  <c r="D22" i="64"/>
  <c r="D21" i="64"/>
  <c r="D20" i="64"/>
  <c r="D19" i="64"/>
  <c r="D18" i="64"/>
  <c r="D17" i="64"/>
  <c r="D16" i="64"/>
  <c r="D15" i="64"/>
  <c r="D14" i="64"/>
  <c r="D13" i="64"/>
  <c r="D12" i="64"/>
  <c r="D11" i="64"/>
  <c r="G10" i="64"/>
  <c r="D10" i="64"/>
  <c r="G9" i="64"/>
  <c r="D9" i="64"/>
  <c r="G8" i="64"/>
  <c r="D8" i="64"/>
  <c r="G7" i="64"/>
  <c r="D7" i="64"/>
  <c r="D6" i="64"/>
  <c r="D5" i="64"/>
  <c r="D4" i="64"/>
  <c r="D3" i="64"/>
  <c r="G12" i="63"/>
  <c r="G11" i="63"/>
  <c r="G10" i="63"/>
  <c r="G9" i="63"/>
  <c r="G8" i="63"/>
  <c r="G7" i="63"/>
  <c r="D77" i="62"/>
  <c r="D76" i="62"/>
  <c r="D75" i="62"/>
  <c r="D74" i="62"/>
  <c r="D73" i="62"/>
  <c r="D72" i="62"/>
  <c r="D71" i="62"/>
  <c r="D70" i="62"/>
  <c r="D69" i="62"/>
  <c r="D68" i="62"/>
  <c r="D67" i="62"/>
  <c r="D66" i="62"/>
  <c r="D65" i="62"/>
  <c r="D64" i="62"/>
  <c r="D63" i="62"/>
  <c r="D62" i="62"/>
  <c r="D61" i="62"/>
  <c r="D60" i="62"/>
  <c r="D59" i="62"/>
  <c r="D58" i="62"/>
  <c r="D57" i="62"/>
  <c r="D56" i="62"/>
  <c r="D55" i="62"/>
  <c r="D54" i="62"/>
  <c r="D53" i="62"/>
  <c r="D52" i="62"/>
  <c r="D51" i="62"/>
  <c r="D50" i="62"/>
  <c r="D49" i="62"/>
  <c r="D48" i="62"/>
  <c r="D47" i="62"/>
  <c r="D46" i="62"/>
  <c r="D45" i="62"/>
  <c r="D44" i="62"/>
  <c r="D43" i="62"/>
  <c r="D42" i="62"/>
  <c r="D41" i="62"/>
  <c r="D40" i="62"/>
  <c r="D39" i="62"/>
  <c r="D38" i="62"/>
  <c r="D37" i="62"/>
  <c r="D36" i="62"/>
  <c r="D35" i="62"/>
  <c r="D34" i="62"/>
  <c r="D33" i="62"/>
  <c r="D32" i="62"/>
  <c r="D31" i="62"/>
  <c r="D30" i="62"/>
  <c r="D29" i="62"/>
  <c r="D28" i="62"/>
  <c r="D27" i="62"/>
  <c r="D26" i="62"/>
  <c r="D25" i="62"/>
  <c r="D24" i="62"/>
  <c r="D23" i="62"/>
  <c r="D22" i="62"/>
  <c r="D21" i="62"/>
  <c r="D20" i="62"/>
  <c r="D19" i="62"/>
  <c r="D18" i="62"/>
  <c r="D17" i="62"/>
  <c r="D16" i="62"/>
  <c r="D15" i="62"/>
  <c r="D14" i="62"/>
  <c r="D13" i="62"/>
  <c r="G12" i="62"/>
  <c r="D12" i="62"/>
  <c r="G11" i="62"/>
  <c r="D11" i="62"/>
  <c r="G10" i="62"/>
  <c r="D10" i="62"/>
  <c r="G9" i="62"/>
  <c r="D9" i="62"/>
  <c r="G8" i="62"/>
  <c r="D8" i="62"/>
  <c r="G7" i="62"/>
  <c r="D7" i="62"/>
  <c r="D6" i="62"/>
  <c r="D5" i="62"/>
  <c r="D4" i="62"/>
  <c r="D3" i="62"/>
  <c r="G13" i="61"/>
  <c r="K4" i="45"/>
  <c r="K16" i="45"/>
  <c r="K17" i="45"/>
  <c r="K21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6" i="45"/>
  <c r="K52" i="45"/>
  <c r="K143" i="45"/>
  <c r="K142" i="45"/>
  <c r="K141" i="45"/>
  <c r="K140" i="45"/>
  <c r="K139" i="45"/>
  <c r="K138" i="45"/>
  <c r="K137" i="45"/>
  <c r="K136" i="45"/>
  <c r="K135" i="45"/>
  <c r="K134" i="45"/>
  <c r="K133" i="45"/>
  <c r="K132" i="45"/>
  <c r="K131" i="45"/>
  <c r="K130" i="45"/>
  <c r="K129" i="45"/>
  <c r="K128" i="45"/>
  <c r="K127" i="45"/>
  <c r="K126" i="45"/>
  <c r="K125" i="45"/>
  <c r="K124" i="45"/>
  <c r="K123" i="45"/>
  <c r="K122" i="45"/>
  <c r="K121" i="45"/>
  <c r="K120" i="45"/>
  <c r="K119" i="45"/>
  <c r="K118" i="45"/>
  <c r="K117" i="45"/>
  <c r="K116" i="45"/>
  <c r="K115" i="45"/>
  <c r="K114" i="45"/>
  <c r="K113" i="45"/>
  <c r="K112" i="45"/>
  <c r="K111" i="45"/>
  <c r="K110" i="45"/>
  <c r="K109" i="45"/>
  <c r="K108" i="45"/>
  <c r="K107" i="45"/>
  <c r="K106" i="45"/>
  <c r="K105" i="45"/>
  <c r="K104" i="45"/>
  <c r="K103" i="45"/>
  <c r="K102" i="45"/>
  <c r="K101" i="45"/>
  <c r="K100" i="45"/>
  <c r="K99" i="45"/>
  <c r="K98" i="45"/>
  <c r="K97" i="45"/>
  <c r="K96" i="45"/>
  <c r="K95" i="45"/>
  <c r="K94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G143" i="45"/>
  <c r="G142" i="45"/>
  <c r="G141" i="45"/>
  <c r="G140" i="45"/>
  <c r="G139" i="45"/>
  <c r="G138" i="45"/>
  <c r="G137" i="45"/>
  <c r="G136" i="45"/>
  <c r="G135" i="45"/>
  <c r="G134" i="45"/>
  <c r="G133" i="45"/>
  <c r="G132" i="45"/>
  <c r="G131" i="45"/>
  <c r="G130" i="45"/>
  <c r="G129" i="45"/>
  <c r="G128" i="45"/>
  <c r="G127" i="45"/>
  <c r="G126" i="45"/>
  <c r="G125" i="45"/>
  <c r="G124" i="45"/>
  <c r="G123" i="45"/>
  <c r="G122" i="45"/>
  <c r="G121" i="45"/>
  <c r="G120" i="45"/>
  <c r="G119" i="45"/>
  <c r="G118" i="45"/>
  <c r="G117" i="45"/>
  <c r="G116" i="45"/>
  <c r="G115" i="45"/>
  <c r="G114" i="45"/>
  <c r="G113" i="45"/>
  <c r="G112" i="45"/>
  <c r="G111" i="45"/>
  <c r="G110" i="45"/>
  <c r="G109" i="45"/>
  <c r="G108" i="45"/>
  <c r="G107" i="45"/>
  <c r="G106" i="45"/>
  <c r="G105" i="45"/>
  <c r="G104" i="45"/>
  <c r="G103" i="45"/>
  <c r="G102" i="45"/>
  <c r="G101" i="45"/>
  <c r="G100" i="45"/>
  <c r="G99" i="45"/>
  <c r="G98" i="45"/>
  <c r="G97" i="45"/>
  <c r="G96" i="45"/>
  <c r="G95" i="45"/>
  <c r="G94" i="45"/>
  <c r="G93" i="45"/>
  <c r="G92" i="45"/>
  <c r="G91" i="45"/>
  <c r="G90" i="45"/>
  <c r="G89" i="45"/>
  <c r="G88" i="45"/>
  <c r="G87" i="45"/>
  <c r="G86" i="45"/>
  <c r="G85" i="45"/>
  <c r="G84" i="45"/>
  <c r="G83" i="45"/>
  <c r="G82" i="45"/>
  <c r="G81" i="45"/>
  <c r="G80" i="45"/>
  <c r="G79" i="45"/>
  <c r="G78" i="45"/>
  <c r="D77" i="61"/>
  <c r="K77" i="45" s="1"/>
  <c r="D76" i="61"/>
  <c r="K76" i="45" s="1"/>
  <c r="D75" i="61"/>
  <c r="K75" i="45" s="1"/>
  <c r="D74" i="61"/>
  <c r="K74" i="45" s="1"/>
  <c r="D73" i="61"/>
  <c r="K73" i="45" s="1"/>
  <c r="D72" i="61"/>
  <c r="K72" i="45" s="1"/>
  <c r="D71" i="61"/>
  <c r="K71" i="45" s="1"/>
  <c r="D70" i="61"/>
  <c r="K70" i="45" s="1"/>
  <c r="D69" i="61"/>
  <c r="K69" i="45" s="1"/>
  <c r="D68" i="61"/>
  <c r="K68" i="45" s="1"/>
  <c r="D67" i="61"/>
  <c r="K67" i="45" s="1"/>
  <c r="D66" i="61"/>
  <c r="K66" i="45" s="1"/>
  <c r="D65" i="61"/>
  <c r="K65" i="45" s="1"/>
  <c r="D64" i="61"/>
  <c r="K64" i="45" s="1"/>
  <c r="D63" i="61"/>
  <c r="K63" i="45" s="1"/>
  <c r="D62" i="61"/>
  <c r="K62" i="45" s="1"/>
  <c r="D61" i="61"/>
  <c r="K61" i="45" s="1"/>
  <c r="D60" i="61"/>
  <c r="K60" i="45" s="1"/>
  <c r="D59" i="61"/>
  <c r="K59" i="45" s="1"/>
  <c r="D58" i="61"/>
  <c r="K58" i="45" s="1"/>
  <c r="D57" i="61"/>
  <c r="K57" i="45" s="1"/>
  <c r="D56" i="61"/>
  <c r="K56" i="45" s="1"/>
  <c r="D55" i="61"/>
  <c r="K55" i="45" s="1"/>
  <c r="D54" i="61"/>
  <c r="K54" i="45" s="1"/>
  <c r="D53" i="61"/>
  <c r="K53" i="45" s="1"/>
  <c r="D52" i="61"/>
  <c r="D51" i="61"/>
  <c r="K51" i="45" s="1"/>
  <c r="D50" i="61"/>
  <c r="K50" i="45" s="1"/>
  <c r="D49" i="61"/>
  <c r="K49" i="45" s="1"/>
  <c r="D48" i="61"/>
  <c r="K48" i="45" s="1"/>
  <c r="D47" i="61"/>
  <c r="K47" i="45" s="1"/>
  <c r="D46" i="61"/>
  <c r="K46" i="45" s="1"/>
  <c r="D45" i="61"/>
  <c r="K45" i="45" s="1"/>
  <c r="D44" i="61"/>
  <c r="K44" i="45" s="1"/>
  <c r="D43" i="61"/>
  <c r="K43" i="45" s="1"/>
  <c r="D42" i="61"/>
  <c r="K42" i="45" s="1"/>
  <c r="D41" i="61"/>
  <c r="K41" i="45" s="1"/>
  <c r="D40" i="61"/>
  <c r="K40" i="45" s="1"/>
  <c r="D39" i="61"/>
  <c r="K39" i="45" s="1"/>
  <c r="D38" i="61"/>
  <c r="K38" i="45" s="1"/>
  <c r="D37" i="61"/>
  <c r="K37" i="45" s="1"/>
  <c r="D36" i="61"/>
  <c r="D35" i="61"/>
  <c r="K35" i="45" s="1"/>
  <c r="D34" i="61"/>
  <c r="D33" i="61"/>
  <c r="D32" i="61"/>
  <c r="D31" i="61"/>
  <c r="D30" i="61"/>
  <c r="D29" i="61"/>
  <c r="D28" i="61"/>
  <c r="D27" i="61"/>
  <c r="D26" i="61"/>
  <c r="D25" i="61"/>
  <c r="D24" i="61"/>
  <c r="D23" i="61"/>
  <c r="D22" i="61"/>
  <c r="K22" i="45" s="1"/>
  <c r="D21" i="61"/>
  <c r="D20" i="61"/>
  <c r="K20" i="45" s="1"/>
  <c r="D19" i="61"/>
  <c r="K19" i="45" s="1"/>
  <c r="D18" i="61"/>
  <c r="K18" i="45" s="1"/>
  <c r="D17" i="61"/>
  <c r="D16" i="61"/>
  <c r="D15" i="61"/>
  <c r="K15" i="45" s="1"/>
  <c r="D14" i="61"/>
  <c r="K14" i="45" s="1"/>
  <c r="D13" i="61"/>
  <c r="K13" i="45" s="1"/>
  <c r="G12" i="61"/>
  <c r="D12" i="61"/>
  <c r="K12" i="45" s="1"/>
  <c r="G11" i="61"/>
  <c r="D11" i="61"/>
  <c r="K11" i="45" s="1"/>
  <c r="G10" i="61"/>
  <c r="D10" i="61"/>
  <c r="K10" i="45" s="1"/>
  <c r="G9" i="61"/>
  <c r="D9" i="61"/>
  <c r="K9" i="45" s="1"/>
  <c r="G8" i="61"/>
  <c r="D8" i="61"/>
  <c r="K8" i="45" s="1"/>
  <c r="G7" i="61"/>
  <c r="D7" i="61"/>
  <c r="K7" i="45" s="1"/>
  <c r="D6" i="61"/>
  <c r="K6" i="45" s="1"/>
  <c r="D5" i="61"/>
  <c r="K5" i="45" s="1"/>
  <c r="D4" i="61"/>
  <c r="D3" i="61"/>
  <c r="K3" i="45" s="1"/>
  <c r="D77" i="60"/>
  <c r="G77" i="45" s="1"/>
  <c r="D76" i="60"/>
  <c r="G76" i="45" s="1"/>
  <c r="D75" i="60"/>
  <c r="G75" i="45" s="1"/>
  <c r="D74" i="60"/>
  <c r="G74" i="45" s="1"/>
  <c r="D73" i="60"/>
  <c r="G73" i="45" s="1"/>
  <c r="D72" i="60"/>
  <c r="G72" i="45" s="1"/>
  <c r="D71" i="60"/>
  <c r="G71" i="45" s="1"/>
  <c r="D70" i="60"/>
  <c r="G70" i="45" s="1"/>
  <c r="D69" i="60"/>
  <c r="G69" i="45" s="1"/>
  <c r="D68" i="60"/>
  <c r="G68" i="45" s="1"/>
  <c r="D67" i="60"/>
  <c r="G67" i="45" s="1"/>
  <c r="D66" i="60"/>
  <c r="G66" i="45" s="1"/>
  <c r="D65" i="60"/>
  <c r="G65" i="45" s="1"/>
  <c r="D64" i="60"/>
  <c r="G64" i="45" s="1"/>
  <c r="D63" i="60"/>
  <c r="G63" i="45" s="1"/>
  <c r="D62" i="60"/>
  <c r="G62" i="45" s="1"/>
  <c r="D61" i="60"/>
  <c r="G61" i="45" s="1"/>
  <c r="D60" i="60"/>
  <c r="G60" i="45" s="1"/>
  <c r="D59" i="60"/>
  <c r="G59" i="45" s="1"/>
  <c r="D58" i="60"/>
  <c r="G58" i="45" s="1"/>
  <c r="D57" i="60"/>
  <c r="G57" i="45" s="1"/>
  <c r="D56" i="60"/>
  <c r="G56" i="45" s="1"/>
  <c r="D55" i="60"/>
  <c r="G55" i="45" s="1"/>
  <c r="D54" i="60"/>
  <c r="G54" i="45" s="1"/>
  <c r="D53" i="60"/>
  <c r="G53" i="45" s="1"/>
  <c r="D52" i="60"/>
  <c r="G52" i="45" s="1"/>
  <c r="D51" i="60"/>
  <c r="G51" i="45" s="1"/>
  <c r="D48" i="60"/>
  <c r="G50" i="45" s="1"/>
  <c r="D47" i="60"/>
  <c r="G49" i="45" s="1"/>
  <c r="D46" i="60"/>
  <c r="G48" i="45" s="1"/>
  <c r="D45" i="60"/>
  <c r="G47" i="45" s="1"/>
  <c r="D44" i="60"/>
  <c r="G46" i="45" s="1"/>
  <c r="D43" i="60"/>
  <c r="G45" i="45" s="1"/>
  <c r="D42" i="60"/>
  <c r="G44" i="45" s="1"/>
  <c r="D41" i="60"/>
  <c r="G43" i="45" s="1"/>
  <c r="D40" i="60"/>
  <c r="G42" i="45" s="1"/>
  <c r="D39" i="60"/>
  <c r="G41" i="45" s="1"/>
  <c r="D38" i="60"/>
  <c r="G40" i="45" s="1"/>
  <c r="D37" i="60"/>
  <c r="G39" i="45" s="1"/>
  <c r="D36" i="60"/>
  <c r="G38" i="45" s="1"/>
  <c r="D35" i="60"/>
  <c r="G37" i="45" s="1"/>
  <c r="D34" i="60"/>
  <c r="G36" i="45" s="1"/>
  <c r="D33" i="60"/>
  <c r="G35" i="45" s="1"/>
  <c r="D32" i="60"/>
  <c r="G34" i="45" s="1"/>
  <c r="D50" i="60"/>
  <c r="G33" i="45" s="1"/>
  <c r="D49" i="60"/>
  <c r="G32" i="45" s="1"/>
  <c r="D31" i="60"/>
  <c r="G31" i="45" s="1"/>
  <c r="D30" i="60"/>
  <c r="G30" i="45" s="1"/>
  <c r="D29" i="60"/>
  <c r="G29" i="45" s="1"/>
  <c r="D28" i="60"/>
  <c r="G28" i="45" s="1"/>
  <c r="D27" i="60"/>
  <c r="G27" i="45" s="1"/>
  <c r="D26" i="60"/>
  <c r="G26" i="45" s="1"/>
  <c r="D25" i="60"/>
  <c r="G25" i="45" s="1"/>
  <c r="D24" i="60"/>
  <c r="G24" i="45" s="1"/>
  <c r="D23" i="60"/>
  <c r="G23" i="45" s="1"/>
  <c r="D22" i="60"/>
  <c r="G22" i="45" s="1"/>
  <c r="D21" i="60"/>
  <c r="G21" i="45" s="1"/>
  <c r="D20" i="60"/>
  <c r="G20" i="45" s="1"/>
  <c r="D19" i="60"/>
  <c r="G19" i="45" s="1"/>
  <c r="D18" i="60"/>
  <c r="G18" i="45" s="1"/>
  <c r="D17" i="60"/>
  <c r="G17" i="45" s="1"/>
  <c r="D16" i="60"/>
  <c r="G16" i="45" s="1"/>
  <c r="D15" i="60"/>
  <c r="G15" i="45" s="1"/>
  <c r="D14" i="60"/>
  <c r="G14" i="45" s="1"/>
  <c r="G12" i="60"/>
  <c r="D13" i="60"/>
  <c r="G13" i="45" s="1"/>
  <c r="G11" i="60"/>
  <c r="D12" i="60"/>
  <c r="G12" i="45" s="1"/>
  <c r="D11" i="60"/>
  <c r="G11" i="45" s="1"/>
  <c r="G10" i="60"/>
  <c r="D10" i="60"/>
  <c r="G10" i="45" s="1"/>
  <c r="G9" i="60"/>
  <c r="D9" i="60"/>
  <c r="G9" i="45" s="1"/>
  <c r="G8" i="60"/>
  <c r="D8" i="60"/>
  <c r="G8" i="45" s="1"/>
  <c r="G7" i="60"/>
  <c r="D7" i="60"/>
  <c r="G7" i="45" s="1"/>
  <c r="D6" i="60"/>
  <c r="G6" i="45" s="1"/>
  <c r="D5" i="60"/>
  <c r="G5" i="45" s="1"/>
  <c r="D4" i="60"/>
  <c r="G4" i="45" s="1"/>
  <c r="D3" i="60"/>
  <c r="G3" i="45" s="1"/>
  <c r="D59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77" i="58"/>
  <c r="D76" i="58"/>
  <c r="D75" i="58"/>
  <c r="D74" i="58"/>
  <c r="D73" i="58"/>
  <c r="D72" i="58"/>
  <c r="D71" i="58"/>
  <c r="D70" i="58"/>
  <c r="D69" i="58"/>
  <c r="D68" i="58"/>
  <c r="D67" i="58"/>
  <c r="D66" i="58"/>
  <c r="D65" i="58"/>
  <c r="D64" i="58"/>
  <c r="D63" i="58"/>
  <c r="D62" i="58"/>
  <c r="D61" i="58"/>
  <c r="D60" i="58"/>
  <c r="D59" i="58"/>
  <c r="D58" i="58"/>
  <c r="D57" i="58"/>
  <c r="D56" i="58"/>
  <c r="D55" i="58"/>
  <c r="D54" i="58"/>
  <c r="D53" i="58"/>
  <c r="D52" i="58"/>
  <c r="D51" i="58"/>
  <c r="D50" i="58"/>
  <c r="D49" i="58"/>
  <c r="D48" i="58"/>
  <c r="D47" i="58"/>
  <c r="D46" i="58"/>
  <c r="D45" i="58"/>
  <c r="D44" i="58"/>
  <c r="D43" i="58"/>
  <c r="D42" i="58"/>
  <c r="D41" i="58"/>
  <c r="D40" i="58"/>
  <c r="D39" i="58"/>
  <c r="D38" i="58"/>
  <c r="D37" i="58"/>
  <c r="D36" i="58"/>
  <c r="D35" i="58"/>
  <c r="D34" i="58"/>
  <c r="D33" i="58"/>
  <c r="D32" i="58"/>
  <c r="D31" i="58"/>
  <c r="D30" i="58"/>
  <c r="D29" i="58"/>
  <c r="D28" i="58"/>
  <c r="D27" i="58"/>
  <c r="D26" i="58"/>
  <c r="D25" i="58"/>
  <c r="D24" i="58"/>
  <c r="D23" i="58"/>
  <c r="D22" i="58"/>
  <c r="D21" i="58"/>
  <c r="D20" i="58"/>
  <c r="D19" i="58"/>
  <c r="D18" i="58"/>
  <c r="D17" i="58"/>
  <c r="D16" i="58"/>
  <c r="D15" i="58"/>
  <c r="D14" i="58"/>
  <c r="D13" i="58"/>
  <c r="G12" i="58"/>
  <c r="D12" i="58"/>
  <c r="G11" i="58"/>
  <c r="D11" i="58"/>
  <c r="G10" i="58"/>
  <c r="D10" i="58"/>
  <c r="G9" i="58"/>
  <c r="D9" i="58"/>
  <c r="G8" i="58"/>
  <c r="D8" i="58"/>
  <c r="G7" i="58"/>
  <c r="D7" i="58"/>
  <c r="D6" i="58"/>
  <c r="D5" i="58"/>
  <c r="D4" i="58"/>
  <c r="D3" i="58"/>
  <c r="G3" i="58" s="1"/>
  <c r="G3" i="63" l="1"/>
  <c r="G3" i="62"/>
  <c r="G4" i="64"/>
  <c r="G3" i="64"/>
  <c r="G4" i="63"/>
  <c r="G4" i="62"/>
  <c r="J3" i="45" a="1"/>
  <c r="J3" i="45" s="1"/>
  <c r="F3" i="45" a="1"/>
  <c r="F3" i="45" s="1"/>
  <c r="G4" i="61"/>
  <c r="G3" i="61"/>
  <c r="I4" i="45" s="1"/>
  <c r="G3" i="60"/>
  <c r="E4" i="45" s="1"/>
  <c r="G4" i="60"/>
  <c r="G4" i="58"/>
  <c r="G11" i="44" l="1"/>
  <c r="G10" i="44"/>
  <c r="C73" i="45"/>
  <c r="C74" i="45"/>
  <c r="C75" i="45"/>
  <c r="C76" i="45"/>
  <c r="C77" i="45"/>
  <c r="C78" i="45"/>
  <c r="C79" i="45"/>
  <c r="C80" i="45"/>
  <c r="C81" i="45"/>
  <c r="C82" i="45"/>
  <c r="C83" i="45"/>
  <c r="C84" i="45"/>
  <c r="C85" i="45"/>
  <c r="C86" i="45"/>
  <c r="C87" i="45"/>
  <c r="C88" i="45"/>
  <c r="C89" i="45"/>
  <c r="C90" i="45"/>
  <c r="C91" i="45"/>
  <c r="C92" i="45"/>
  <c r="C93" i="45"/>
  <c r="C94" i="45"/>
  <c r="C95" i="45"/>
  <c r="C96" i="45"/>
  <c r="C97" i="45"/>
  <c r="C98" i="45"/>
  <c r="C99" i="45"/>
  <c r="C100" i="45"/>
  <c r="C101" i="45"/>
  <c r="C102" i="45"/>
  <c r="C103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D50" i="51"/>
  <c r="D37" i="51"/>
  <c r="D30" i="51"/>
  <c r="D31" i="51"/>
  <c r="D77" i="51"/>
  <c r="D76" i="51"/>
  <c r="D75" i="51"/>
  <c r="D74" i="51"/>
  <c r="D73" i="51"/>
  <c r="D72" i="51"/>
  <c r="D71" i="51"/>
  <c r="D70" i="51"/>
  <c r="D69" i="51"/>
  <c r="D68" i="51"/>
  <c r="D67" i="51"/>
  <c r="D66" i="51"/>
  <c r="D65" i="51"/>
  <c r="D64" i="51"/>
  <c r="D63" i="51"/>
  <c r="D62" i="51"/>
  <c r="D61" i="51"/>
  <c r="D60" i="51"/>
  <c r="D59" i="51"/>
  <c r="D58" i="51"/>
  <c r="D57" i="51"/>
  <c r="D56" i="51"/>
  <c r="D55" i="51"/>
  <c r="D54" i="51"/>
  <c r="D53" i="51"/>
  <c r="D52" i="51"/>
  <c r="D51" i="51"/>
  <c r="D49" i="51"/>
  <c r="D48" i="51"/>
  <c r="D47" i="51"/>
  <c r="D46" i="51"/>
  <c r="D45" i="51"/>
  <c r="D44" i="51"/>
  <c r="D43" i="51"/>
  <c r="D42" i="51"/>
  <c r="D41" i="51"/>
  <c r="D40" i="51"/>
  <c r="D39" i="51"/>
  <c r="D38" i="51"/>
  <c r="D36" i="51"/>
  <c r="D35" i="51"/>
  <c r="D34" i="51"/>
  <c r="D33" i="51"/>
  <c r="D32" i="51"/>
  <c r="D29" i="51"/>
  <c r="D28" i="51"/>
  <c r="D27" i="51"/>
  <c r="D26" i="51"/>
  <c r="D25" i="51"/>
  <c r="D24" i="51"/>
  <c r="D23" i="51"/>
  <c r="D22" i="51"/>
  <c r="D21" i="51"/>
  <c r="D20" i="51"/>
  <c r="D19" i="51"/>
  <c r="D18" i="51"/>
  <c r="D17" i="51"/>
  <c r="D16" i="51"/>
  <c r="D15" i="51"/>
  <c r="D14" i="51"/>
  <c r="D13" i="51"/>
  <c r="G12" i="51"/>
  <c r="D12" i="51"/>
  <c r="G11" i="51"/>
  <c r="D11" i="51"/>
  <c r="G10" i="51"/>
  <c r="D10" i="51"/>
  <c r="G9" i="51"/>
  <c r="D9" i="51"/>
  <c r="G8" i="51"/>
  <c r="D8" i="51"/>
  <c r="G7" i="51"/>
  <c r="D7" i="51"/>
  <c r="D6" i="51"/>
  <c r="D5" i="51"/>
  <c r="D4" i="51"/>
  <c r="D3" i="51"/>
  <c r="C36" i="45"/>
  <c r="C34" i="45"/>
  <c r="C35" i="45"/>
  <c r="G4" i="51" l="1"/>
  <c r="G3" i="51"/>
  <c r="D77" i="48"/>
  <c r="D76" i="48"/>
  <c r="D75" i="48"/>
  <c r="D74" i="48"/>
  <c r="D73" i="48"/>
  <c r="D72" i="48"/>
  <c r="D71" i="48"/>
  <c r="D70" i="48"/>
  <c r="D69" i="48"/>
  <c r="D68" i="48"/>
  <c r="D67" i="48"/>
  <c r="D66" i="48"/>
  <c r="D65" i="48"/>
  <c r="D64" i="48"/>
  <c r="D63" i="48"/>
  <c r="D62" i="48"/>
  <c r="D61" i="48"/>
  <c r="D60" i="48"/>
  <c r="D59" i="48"/>
  <c r="D58" i="48"/>
  <c r="D57" i="48"/>
  <c r="D56" i="48"/>
  <c r="D55" i="48"/>
  <c r="D54" i="48"/>
  <c r="D53" i="48"/>
  <c r="D52" i="48"/>
  <c r="D51" i="48"/>
  <c r="D50" i="48"/>
  <c r="D49" i="48"/>
  <c r="D48" i="48"/>
  <c r="D47" i="48"/>
  <c r="D46" i="48"/>
  <c r="D45" i="48"/>
  <c r="D44" i="48"/>
  <c r="D43" i="48"/>
  <c r="D42" i="48"/>
  <c r="D41" i="48"/>
  <c r="D40" i="48"/>
  <c r="D39" i="48"/>
  <c r="D38" i="48"/>
  <c r="D37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24" i="48"/>
  <c r="D23" i="48"/>
  <c r="D22" i="48"/>
  <c r="D21" i="48"/>
  <c r="D20" i="48"/>
  <c r="D19" i="48"/>
  <c r="D18" i="48"/>
  <c r="D17" i="48"/>
  <c r="D16" i="48"/>
  <c r="D15" i="48"/>
  <c r="G14" i="48"/>
  <c r="D14" i="48"/>
  <c r="G13" i="48"/>
  <c r="D13" i="48"/>
  <c r="G12" i="48"/>
  <c r="D12" i="48"/>
  <c r="G11" i="48"/>
  <c r="D11" i="48"/>
  <c r="G10" i="48"/>
  <c r="D10" i="48"/>
  <c r="G9" i="48"/>
  <c r="D9" i="48"/>
  <c r="G8" i="48"/>
  <c r="D8" i="48"/>
  <c r="G7" i="48"/>
  <c r="D7" i="48"/>
  <c r="D6" i="48"/>
  <c r="D5" i="48"/>
  <c r="D4" i="48"/>
  <c r="D3" i="48"/>
  <c r="G3" i="48" s="1"/>
  <c r="C143" i="45"/>
  <c r="G13" i="46"/>
  <c r="D77" i="46"/>
  <c r="D76" i="46"/>
  <c r="D75" i="46"/>
  <c r="D74" i="46"/>
  <c r="D73" i="46"/>
  <c r="D72" i="46"/>
  <c r="C72" i="45" s="1"/>
  <c r="D71" i="46"/>
  <c r="C71" i="45" s="1"/>
  <c r="D70" i="46"/>
  <c r="C70" i="45" s="1"/>
  <c r="D69" i="46"/>
  <c r="C69" i="45" s="1"/>
  <c r="D68" i="46"/>
  <c r="C68" i="45" s="1"/>
  <c r="D67" i="46"/>
  <c r="C67" i="45" s="1"/>
  <c r="D66" i="46"/>
  <c r="C66" i="45" s="1"/>
  <c r="D65" i="46"/>
  <c r="C65" i="45" s="1"/>
  <c r="D64" i="46"/>
  <c r="C64" i="45" s="1"/>
  <c r="D63" i="46"/>
  <c r="C63" i="45" s="1"/>
  <c r="D62" i="46"/>
  <c r="C62" i="45" s="1"/>
  <c r="D61" i="46"/>
  <c r="C61" i="45" s="1"/>
  <c r="D60" i="46"/>
  <c r="C60" i="45" s="1"/>
  <c r="C59" i="45"/>
  <c r="C58" i="45"/>
  <c r="C57" i="45"/>
  <c r="C56" i="45"/>
  <c r="C55" i="45"/>
  <c r="C54" i="45"/>
  <c r="C53" i="45"/>
  <c r="C52" i="45"/>
  <c r="C51" i="45"/>
  <c r="C50" i="45"/>
  <c r="C49" i="45"/>
  <c r="C48" i="45"/>
  <c r="C47" i="45"/>
  <c r="C46" i="45"/>
  <c r="C45" i="45"/>
  <c r="C44" i="45"/>
  <c r="C43" i="45"/>
  <c r="C42" i="45"/>
  <c r="C41" i="45"/>
  <c r="C40" i="45"/>
  <c r="C39" i="45"/>
  <c r="C38" i="45"/>
  <c r="C37" i="45"/>
  <c r="C33" i="45"/>
  <c r="C32" i="45"/>
  <c r="C31" i="45"/>
  <c r="C30" i="45"/>
  <c r="C29" i="45"/>
  <c r="C28" i="45"/>
  <c r="C27" i="45"/>
  <c r="C26" i="45"/>
  <c r="D25" i="46"/>
  <c r="C25" i="45" s="1"/>
  <c r="D24" i="46"/>
  <c r="C24" i="45" s="1"/>
  <c r="D23" i="46"/>
  <c r="C23" i="45" s="1"/>
  <c r="D22" i="46"/>
  <c r="C22" i="45" s="1"/>
  <c r="D21" i="46"/>
  <c r="C21" i="45" s="1"/>
  <c r="D20" i="46"/>
  <c r="C20" i="45" s="1"/>
  <c r="D19" i="46"/>
  <c r="C19" i="45" s="1"/>
  <c r="D18" i="46"/>
  <c r="C18" i="45" s="1"/>
  <c r="D17" i="46"/>
  <c r="C17" i="45" s="1"/>
  <c r="D16" i="46"/>
  <c r="C16" i="45" s="1"/>
  <c r="D15" i="46"/>
  <c r="C15" i="45" s="1"/>
  <c r="D14" i="46"/>
  <c r="C14" i="45" s="1"/>
  <c r="D13" i="46"/>
  <c r="C13" i="45" s="1"/>
  <c r="G12" i="46"/>
  <c r="D12" i="46"/>
  <c r="C12" i="45" s="1"/>
  <c r="G11" i="46"/>
  <c r="D11" i="46"/>
  <c r="C11" i="45" s="1"/>
  <c r="G10" i="46"/>
  <c r="D10" i="46"/>
  <c r="C10" i="45" s="1"/>
  <c r="G9" i="46"/>
  <c r="D9" i="46"/>
  <c r="C9" i="45" s="1"/>
  <c r="G8" i="46"/>
  <c r="D8" i="46"/>
  <c r="C8" i="45" s="1"/>
  <c r="G7" i="46"/>
  <c r="D7" i="46"/>
  <c r="C7" i="45" s="1"/>
  <c r="D6" i="46"/>
  <c r="C6" i="45" s="1"/>
  <c r="D5" i="46"/>
  <c r="C5" i="45" s="1"/>
  <c r="D4" i="46"/>
  <c r="C4" i="45" s="1"/>
  <c r="D3" i="46"/>
  <c r="C3" i="45" s="1"/>
  <c r="G78" i="18"/>
  <c r="G79" i="18"/>
  <c r="G80" i="18"/>
  <c r="G81" i="18"/>
  <c r="G82" i="18"/>
  <c r="G83" i="18"/>
  <c r="G84" i="18"/>
  <c r="G85" i="18"/>
  <c r="G86" i="18"/>
  <c r="B3" i="45" l="1" a="1"/>
  <c r="B3" i="45" s="1"/>
  <c r="G4" i="48"/>
  <c r="G3" i="46"/>
  <c r="A4" i="45" s="1"/>
  <c r="G4" i="46"/>
  <c r="S86" i="18"/>
  <c r="S85" i="18"/>
  <c r="S84" i="18"/>
  <c r="S83" i="18"/>
  <c r="S82" i="18"/>
  <c r="S81" i="18"/>
  <c r="S80" i="18"/>
  <c r="S79" i="18"/>
  <c r="S78" i="18"/>
  <c r="D77" i="44"/>
  <c r="S77" i="18" s="1"/>
  <c r="D76" i="44"/>
  <c r="S76" i="18" s="1"/>
  <c r="D75" i="44"/>
  <c r="S75" i="18" s="1"/>
  <c r="D74" i="44"/>
  <c r="S74" i="18" s="1"/>
  <c r="D73" i="44"/>
  <c r="S73" i="18" s="1"/>
  <c r="D72" i="44"/>
  <c r="S72" i="18" s="1"/>
  <c r="D71" i="44"/>
  <c r="S71" i="18" s="1"/>
  <c r="D70" i="44"/>
  <c r="S70" i="18" s="1"/>
  <c r="D69" i="44"/>
  <c r="S69" i="18" s="1"/>
  <c r="D68" i="44"/>
  <c r="S68" i="18" s="1"/>
  <c r="D67" i="44"/>
  <c r="S67" i="18" s="1"/>
  <c r="D66" i="44"/>
  <c r="S66" i="18" s="1"/>
  <c r="D65" i="44"/>
  <c r="S65" i="18" s="1"/>
  <c r="D64" i="44"/>
  <c r="S64" i="18" s="1"/>
  <c r="D63" i="44"/>
  <c r="S63" i="18" s="1"/>
  <c r="D62" i="44"/>
  <c r="S62" i="18" s="1"/>
  <c r="D61" i="44"/>
  <c r="S61" i="18" s="1"/>
  <c r="D60" i="44"/>
  <c r="S60" i="18" s="1"/>
  <c r="D59" i="44"/>
  <c r="S59" i="18" s="1"/>
  <c r="D58" i="44"/>
  <c r="S58" i="18" s="1"/>
  <c r="D57" i="44"/>
  <c r="S57" i="18" s="1"/>
  <c r="D56" i="44"/>
  <c r="S56" i="18" s="1"/>
  <c r="D55" i="44"/>
  <c r="S55" i="18" s="1"/>
  <c r="D54" i="44"/>
  <c r="S54" i="18" s="1"/>
  <c r="D53" i="44"/>
  <c r="S53" i="18" s="1"/>
  <c r="D52" i="44"/>
  <c r="S52" i="18" s="1"/>
  <c r="D51" i="44"/>
  <c r="S51" i="18" s="1"/>
  <c r="D50" i="44"/>
  <c r="S50" i="18" s="1"/>
  <c r="D49" i="44"/>
  <c r="S49" i="18" s="1"/>
  <c r="D48" i="44"/>
  <c r="S48" i="18" s="1"/>
  <c r="D47" i="44"/>
  <c r="S47" i="18" s="1"/>
  <c r="D46" i="44"/>
  <c r="S46" i="18" s="1"/>
  <c r="D45" i="44"/>
  <c r="S45" i="18" s="1"/>
  <c r="D44" i="44"/>
  <c r="S44" i="18" s="1"/>
  <c r="D43" i="44"/>
  <c r="S43" i="18" s="1"/>
  <c r="D42" i="44"/>
  <c r="S42" i="18" s="1"/>
  <c r="D41" i="44"/>
  <c r="S41" i="18" s="1"/>
  <c r="D40" i="44"/>
  <c r="S40" i="18" s="1"/>
  <c r="D39" i="44"/>
  <c r="S39" i="18" s="1"/>
  <c r="D38" i="44"/>
  <c r="S38" i="18" s="1"/>
  <c r="D37" i="44"/>
  <c r="S37" i="18" s="1"/>
  <c r="D36" i="44"/>
  <c r="S36" i="18" s="1"/>
  <c r="D35" i="44"/>
  <c r="S35" i="18" s="1"/>
  <c r="D34" i="44"/>
  <c r="S34" i="18" s="1"/>
  <c r="D33" i="44"/>
  <c r="S33" i="18" s="1"/>
  <c r="D32" i="44"/>
  <c r="S32" i="18" s="1"/>
  <c r="D31" i="44"/>
  <c r="S31" i="18" s="1"/>
  <c r="D30" i="44"/>
  <c r="S30" i="18" s="1"/>
  <c r="D29" i="44"/>
  <c r="S29" i="18" s="1"/>
  <c r="D28" i="44"/>
  <c r="S28" i="18" s="1"/>
  <c r="D27" i="44"/>
  <c r="S27" i="18" s="1"/>
  <c r="D26" i="44"/>
  <c r="S26" i="18" s="1"/>
  <c r="D25" i="44"/>
  <c r="S25" i="18" s="1"/>
  <c r="D24" i="44"/>
  <c r="S24" i="18" s="1"/>
  <c r="D23" i="44"/>
  <c r="S23" i="18" s="1"/>
  <c r="D22" i="44"/>
  <c r="S22" i="18" s="1"/>
  <c r="D21" i="44"/>
  <c r="S21" i="18" s="1"/>
  <c r="D20" i="44"/>
  <c r="S20" i="18" s="1"/>
  <c r="D19" i="44"/>
  <c r="S19" i="18" s="1"/>
  <c r="D18" i="44"/>
  <c r="S18" i="18" s="1"/>
  <c r="D17" i="44"/>
  <c r="S17" i="18" s="1"/>
  <c r="D16" i="44"/>
  <c r="S16" i="18" s="1"/>
  <c r="D15" i="44"/>
  <c r="S15" i="18" s="1"/>
  <c r="D14" i="44"/>
  <c r="S14" i="18" s="1"/>
  <c r="D13" i="44"/>
  <c r="S13" i="18" s="1"/>
  <c r="D12" i="44"/>
  <c r="S12" i="18" s="1"/>
  <c r="D11" i="44"/>
  <c r="S11" i="18" s="1"/>
  <c r="D10" i="44"/>
  <c r="S10" i="18" s="1"/>
  <c r="G9" i="44"/>
  <c r="D9" i="44"/>
  <c r="S9" i="18" s="1"/>
  <c r="G8" i="44"/>
  <c r="D8" i="44"/>
  <c r="S8" i="18" s="1"/>
  <c r="G7" i="44"/>
  <c r="D7" i="44"/>
  <c r="S7" i="18" s="1"/>
  <c r="D6" i="44"/>
  <c r="S6" i="18" s="1"/>
  <c r="D5" i="44"/>
  <c r="S5" i="18" s="1"/>
  <c r="D4" i="44"/>
  <c r="S4" i="18" s="1"/>
  <c r="D3" i="44"/>
  <c r="W86" i="18"/>
  <c r="W85" i="18"/>
  <c r="W84" i="18"/>
  <c r="W83" i="18"/>
  <c r="W82" i="18"/>
  <c r="W81" i="18"/>
  <c r="W80" i="18"/>
  <c r="W79" i="18"/>
  <c r="W78" i="18"/>
  <c r="D77" i="43"/>
  <c r="W77" i="18" s="1"/>
  <c r="D76" i="43"/>
  <c r="W76" i="18" s="1"/>
  <c r="D75" i="43"/>
  <c r="W75" i="18" s="1"/>
  <c r="D74" i="43"/>
  <c r="W74" i="18" s="1"/>
  <c r="D73" i="43"/>
  <c r="W73" i="18" s="1"/>
  <c r="D72" i="43"/>
  <c r="W72" i="18" s="1"/>
  <c r="D71" i="43"/>
  <c r="W71" i="18" s="1"/>
  <c r="D70" i="43"/>
  <c r="W70" i="18" s="1"/>
  <c r="D69" i="43"/>
  <c r="W69" i="18" s="1"/>
  <c r="D68" i="43"/>
  <c r="W68" i="18" s="1"/>
  <c r="D67" i="43"/>
  <c r="W67" i="18" s="1"/>
  <c r="D66" i="43"/>
  <c r="W66" i="18" s="1"/>
  <c r="D65" i="43"/>
  <c r="W65" i="18" s="1"/>
  <c r="D64" i="43"/>
  <c r="W64" i="18" s="1"/>
  <c r="D63" i="43"/>
  <c r="W63" i="18" s="1"/>
  <c r="D62" i="43"/>
  <c r="W62" i="18" s="1"/>
  <c r="D61" i="43"/>
  <c r="W61" i="18" s="1"/>
  <c r="D60" i="43"/>
  <c r="W60" i="18" s="1"/>
  <c r="D59" i="43"/>
  <c r="W59" i="18" s="1"/>
  <c r="D58" i="43"/>
  <c r="W58" i="18" s="1"/>
  <c r="D57" i="43"/>
  <c r="W57" i="18" s="1"/>
  <c r="D56" i="43"/>
  <c r="W56" i="18" s="1"/>
  <c r="D55" i="43"/>
  <c r="W55" i="18" s="1"/>
  <c r="D54" i="43"/>
  <c r="W54" i="18" s="1"/>
  <c r="D53" i="43"/>
  <c r="W53" i="18" s="1"/>
  <c r="D52" i="43"/>
  <c r="W52" i="18" s="1"/>
  <c r="D51" i="43"/>
  <c r="W51" i="18" s="1"/>
  <c r="D50" i="43"/>
  <c r="W50" i="18" s="1"/>
  <c r="D49" i="43"/>
  <c r="W49" i="18" s="1"/>
  <c r="D48" i="43"/>
  <c r="W48" i="18" s="1"/>
  <c r="D47" i="43"/>
  <c r="W47" i="18" s="1"/>
  <c r="D46" i="43"/>
  <c r="W46" i="18" s="1"/>
  <c r="D45" i="43"/>
  <c r="W45" i="18" s="1"/>
  <c r="D44" i="43"/>
  <c r="W44" i="18" s="1"/>
  <c r="D43" i="43"/>
  <c r="W43" i="18" s="1"/>
  <c r="D42" i="43"/>
  <c r="W42" i="18" s="1"/>
  <c r="D41" i="43"/>
  <c r="W41" i="18" s="1"/>
  <c r="D40" i="43"/>
  <c r="W40" i="18" s="1"/>
  <c r="D39" i="43"/>
  <c r="W39" i="18" s="1"/>
  <c r="D38" i="43"/>
  <c r="W38" i="18" s="1"/>
  <c r="D37" i="43"/>
  <c r="W37" i="18" s="1"/>
  <c r="D36" i="43"/>
  <c r="W36" i="18" s="1"/>
  <c r="D35" i="43"/>
  <c r="W35" i="18" s="1"/>
  <c r="D34" i="43"/>
  <c r="W34" i="18" s="1"/>
  <c r="D33" i="43"/>
  <c r="W33" i="18" s="1"/>
  <c r="D32" i="43"/>
  <c r="W32" i="18" s="1"/>
  <c r="D31" i="43"/>
  <c r="W31" i="18" s="1"/>
  <c r="D30" i="43"/>
  <c r="W30" i="18" s="1"/>
  <c r="D29" i="43"/>
  <c r="W29" i="18" s="1"/>
  <c r="D28" i="43"/>
  <c r="W28" i="18" s="1"/>
  <c r="D27" i="43"/>
  <c r="W27" i="18" s="1"/>
  <c r="D26" i="43"/>
  <c r="W26" i="18" s="1"/>
  <c r="D25" i="43"/>
  <c r="W25" i="18" s="1"/>
  <c r="D24" i="43"/>
  <c r="W24" i="18" s="1"/>
  <c r="D23" i="43"/>
  <c r="W23" i="18" s="1"/>
  <c r="D22" i="43"/>
  <c r="W22" i="18" s="1"/>
  <c r="D21" i="43"/>
  <c r="W21" i="18" s="1"/>
  <c r="D20" i="43"/>
  <c r="W20" i="18" s="1"/>
  <c r="D19" i="43"/>
  <c r="W19" i="18" s="1"/>
  <c r="D18" i="43"/>
  <c r="W18" i="18" s="1"/>
  <c r="D17" i="43"/>
  <c r="W17" i="18" s="1"/>
  <c r="D16" i="43"/>
  <c r="W16" i="18" s="1"/>
  <c r="D15" i="43"/>
  <c r="W15" i="18" s="1"/>
  <c r="D14" i="43"/>
  <c r="W14" i="18" s="1"/>
  <c r="D13" i="43"/>
  <c r="W13" i="18" s="1"/>
  <c r="G12" i="43"/>
  <c r="D12" i="43"/>
  <c r="W12" i="18" s="1"/>
  <c r="G11" i="43"/>
  <c r="D11" i="43"/>
  <c r="W11" i="18" s="1"/>
  <c r="G10" i="43"/>
  <c r="D10" i="43"/>
  <c r="W10" i="18" s="1"/>
  <c r="G9" i="43"/>
  <c r="D9" i="43"/>
  <c r="W9" i="18" s="1"/>
  <c r="G8" i="43"/>
  <c r="D8" i="43"/>
  <c r="W8" i="18" s="1"/>
  <c r="G7" i="43"/>
  <c r="D7" i="43"/>
  <c r="W7" i="18" s="1"/>
  <c r="D6" i="43"/>
  <c r="W6" i="18" s="1"/>
  <c r="D5" i="43"/>
  <c r="W5" i="18" s="1"/>
  <c r="D4" i="43"/>
  <c r="W4" i="18" s="1"/>
  <c r="D3" i="43"/>
  <c r="W3" i="18" s="1"/>
  <c r="K86" i="18"/>
  <c r="K85" i="18"/>
  <c r="K84" i="18"/>
  <c r="K83" i="18"/>
  <c r="K82" i="18"/>
  <c r="K81" i="18"/>
  <c r="K80" i="18"/>
  <c r="K79" i="18"/>
  <c r="K78" i="18"/>
  <c r="D77" i="42"/>
  <c r="K77" i="18" s="1"/>
  <c r="D76" i="42"/>
  <c r="K76" i="18" s="1"/>
  <c r="D75" i="42"/>
  <c r="K75" i="18" s="1"/>
  <c r="D74" i="42"/>
  <c r="K74" i="18" s="1"/>
  <c r="D73" i="42"/>
  <c r="K73" i="18" s="1"/>
  <c r="D72" i="42"/>
  <c r="K72" i="18" s="1"/>
  <c r="D71" i="42"/>
  <c r="K71" i="18" s="1"/>
  <c r="D70" i="42"/>
  <c r="K70" i="18" s="1"/>
  <c r="D69" i="42"/>
  <c r="K69" i="18" s="1"/>
  <c r="D68" i="42"/>
  <c r="K68" i="18" s="1"/>
  <c r="D67" i="42"/>
  <c r="K67" i="18" s="1"/>
  <c r="D66" i="42"/>
  <c r="K66" i="18" s="1"/>
  <c r="D65" i="42"/>
  <c r="K65" i="18" s="1"/>
  <c r="D64" i="42"/>
  <c r="K64" i="18" s="1"/>
  <c r="D63" i="42"/>
  <c r="K63" i="18" s="1"/>
  <c r="D62" i="42"/>
  <c r="K62" i="18" s="1"/>
  <c r="D61" i="42"/>
  <c r="K61" i="18" s="1"/>
  <c r="D60" i="42"/>
  <c r="K60" i="18" s="1"/>
  <c r="D59" i="42"/>
  <c r="K59" i="18" s="1"/>
  <c r="D58" i="42"/>
  <c r="K58" i="18" s="1"/>
  <c r="D57" i="42"/>
  <c r="K57" i="18" s="1"/>
  <c r="D56" i="42"/>
  <c r="K56" i="18" s="1"/>
  <c r="D55" i="42"/>
  <c r="K55" i="18" s="1"/>
  <c r="D54" i="42"/>
  <c r="K54" i="18" s="1"/>
  <c r="D53" i="42"/>
  <c r="K53" i="18" s="1"/>
  <c r="D52" i="42"/>
  <c r="K52" i="18" s="1"/>
  <c r="D51" i="42"/>
  <c r="K51" i="18" s="1"/>
  <c r="D50" i="42"/>
  <c r="K50" i="18" s="1"/>
  <c r="D49" i="42"/>
  <c r="K49" i="18" s="1"/>
  <c r="D48" i="42"/>
  <c r="K48" i="18" s="1"/>
  <c r="D47" i="42"/>
  <c r="K47" i="18" s="1"/>
  <c r="D46" i="42"/>
  <c r="K46" i="18" s="1"/>
  <c r="D45" i="42"/>
  <c r="K45" i="18" s="1"/>
  <c r="D44" i="42"/>
  <c r="K44" i="18" s="1"/>
  <c r="D43" i="42"/>
  <c r="K43" i="18" s="1"/>
  <c r="D42" i="42"/>
  <c r="K42" i="18" s="1"/>
  <c r="D41" i="42"/>
  <c r="K41" i="18" s="1"/>
  <c r="D40" i="42"/>
  <c r="K40" i="18" s="1"/>
  <c r="D39" i="42"/>
  <c r="K39" i="18" s="1"/>
  <c r="D38" i="42"/>
  <c r="K38" i="18" s="1"/>
  <c r="D37" i="42"/>
  <c r="K37" i="18" s="1"/>
  <c r="D36" i="42"/>
  <c r="K36" i="18" s="1"/>
  <c r="D35" i="42"/>
  <c r="K35" i="18" s="1"/>
  <c r="D34" i="42"/>
  <c r="K34" i="18" s="1"/>
  <c r="D33" i="42"/>
  <c r="K33" i="18" s="1"/>
  <c r="D32" i="42"/>
  <c r="K32" i="18" s="1"/>
  <c r="D31" i="42"/>
  <c r="K31" i="18" s="1"/>
  <c r="D30" i="42"/>
  <c r="K30" i="18" s="1"/>
  <c r="D29" i="42"/>
  <c r="K29" i="18" s="1"/>
  <c r="D28" i="42"/>
  <c r="K28" i="18" s="1"/>
  <c r="D27" i="42"/>
  <c r="K27" i="18" s="1"/>
  <c r="D26" i="42"/>
  <c r="K26" i="18" s="1"/>
  <c r="D25" i="42"/>
  <c r="K25" i="18" s="1"/>
  <c r="D24" i="42"/>
  <c r="K24" i="18" s="1"/>
  <c r="D23" i="42"/>
  <c r="K23" i="18" s="1"/>
  <c r="D22" i="42"/>
  <c r="K22" i="18" s="1"/>
  <c r="D21" i="42"/>
  <c r="K21" i="18" s="1"/>
  <c r="D20" i="42"/>
  <c r="K20" i="18" s="1"/>
  <c r="D19" i="42"/>
  <c r="K19" i="18" s="1"/>
  <c r="D18" i="42"/>
  <c r="K18" i="18" s="1"/>
  <c r="D17" i="42"/>
  <c r="K17" i="18" s="1"/>
  <c r="D16" i="42"/>
  <c r="K16" i="18" s="1"/>
  <c r="D15" i="42"/>
  <c r="K15" i="18" s="1"/>
  <c r="D14" i="42"/>
  <c r="K14" i="18" s="1"/>
  <c r="D13" i="42"/>
  <c r="K13" i="18" s="1"/>
  <c r="D12" i="42"/>
  <c r="K12" i="18" s="1"/>
  <c r="D11" i="42"/>
  <c r="K11" i="18" s="1"/>
  <c r="G10" i="42"/>
  <c r="D10" i="42"/>
  <c r="K10" i="18" s="1"/>
  <c r="G9" i="42"/>
  <c r="D9" i="42"/>
  <c r="K9" i="18" s="1"/>
  <c r="G8" i="42"/>
  <c r="D8" i="42"/>
  <c r="K8" i="18" s="1"/>
  <c r="G7" i="42"/>
  <c r="D7" i="42"/>
  <c r="K7" i="18" s="1"/>
  <c r="D6" i="42"/>
  <c r="K6" i="18" s="1"/>
  <c r="D5" i="42"/>
  <c r="K5" i="18" s="1"/>
  <c r="D4" i="42"/>
  <c r="K4" i="18" s="1"/>
  <c r="D3" i="42"/>
  <c r="K3" i="18" s="1"/>
  <c r="D77" i="41"/>
  <c r="G77" i="18" s="1"/>
  <c r="D76" i="41"/>
  <c r="G76" i="18" s="1"/>
  <c r="D75" i="41"/>
  <c r="G75" i="18" s="1"/>
  <c r="D74" i="41"/>
  <c r="G74" i="18" s="1"/>
  <c r="D73" i="41"/>
  <c r="G73" i="18" s="1"/>
  <c r="D72" i="41"/>
  <c r="G72" i="18" s="1"/>
  <c r="D71" i="41"/>
  <c r="G71" i="18" s="1"/>
  <c r="D70" i="41"/>
  <c r="G70" i="18" s="1"/>
  <c r="D69" i="41"/>
  <c r="G69" i="18" s="1"/>
  <c r="D68" i="41"/>
  <c r="G68" i="18" s="1"/>
  <c r="D67" i="41"/>
  <c r="G67" i="18" s="1"/>
  <c r="D66" i="41"/>
  <c r="G66" i="18" s="1"/>
  <c r="D65" i="41"/>
  <c r="G65" i="18" s="1"/>
  <c r="D64" i="41"/>
  <c r="G64" i="18" s="1"/>
  <c r="D63" i="41"/>
  <c r="G63" i="18" s="1"/>
  <c r="D62" i="41"/>
  <c r="G62" i="18" s="1"/>
  <c r="D61" i="41"/>
  <c r="G61" i="18" s="1"/>
  <c r="D60" i="41"/>
  <c r="G60" i="18" s="1"/>
  <c r="D59" i="41"/>
  <c r="G59" i="18" s="1"/>
  <c r="D58" i="41"/>
  <c r="G58" i="18" s="1"/>
  <c r="D57" i="41"/>
  <c r="G57" i="18" s="1"/>
  <c r="D56" i="41"/>
  <c r="G56" i="18" s="1"/>
  <c r="D55" i="41"/>
  <c r="G55" i="18" s="1"/>
  <c r="D54" i="41"/>
  <c r="G54" i="18" s="1"/>
  <c r="D53" i="41"/>
  <c r="G53" i="18" s="1"/>
  <c r="D52" i="41"/>
  <c r="G52" i="18" s="1"/>
  <c r="D51" i="41"/>
  <c r="G51" i="18" s="1"/>
  <c r="D50" i="41"/>
  <c r="G50" i="18" s="1"/>
  <c r="D49" i="41"/>
  <c r="G49" i="18" s="1"/>
  <c r="D48" i="41"/>
  <c r="G48" i="18" s="1"/>
  <c r="D47" i="41"/>
  <c r="G47" i="18" s="1"/>
  <c r="D46" i="41"/>
  <c r="G46" i="18" s="1"/>
  <c r="D45" i="41"/>
  <c r="G45" i="18" s="1"/>
  <c r="D44" i="41"/>
  <c r="G44" i="18" s="1"/>
  <c r="D43" i="41"/>
  <c r="G43" i="18" s="1"/>
  <c r="D42" i="41"/>
  <c r="G42" i="18" s="1"/>
  <c r="D41" i="41"/>
  <c r="G41" i="18" s="1"/>
  <c r="D40" i="41"/>
  <c r="G40" i="18" s="1"/>
  <c r="D39" i="41"/>
  <c r="G39" i="18" s="1"/>
  <c r="D38" i="41"/>
  <c r="G38" i="18" s="1"/>
  <c r="D37" i="41"/>
  <c r="G37" i="18" s="1"/>
  <c r="D36" i="41"/>
  <c r="G36" i="18" s="1"/>
  <c r="D35" i="41"/>
  <c r="G35" i="18" s="1"/>
  <c r="D34" i="41"/>
  <c r="G34" i="18" s="1"/>
  <c r="D33" i="41"/>
  <c r="G33" i="18" s="1"/>
  <c r="D32" i="41"/>
  <c r="G32" i="18" s="1"/>
  <c r="D31" i="41"/>
  <c r="G31" i="18" s="1"/>
  <c r="D30" i="41"/>
  <c r="G30" i="18" s="1"/>
  <c r="D29" i="41"/>
  <c r="G29" i="18" s="1"/>
  <c r="D28" i="41"/>
  <c r="G28" i="18" s="1"/>
  <c r="D27" i="41"/>
  <c r="G27" i="18" s="1"/>
  <c r="D26" i="41"/>
  <c r="G26" i="18" s="1"/>
  <c r="D25" i="41"/>
  <c r="G25" i="18" s="1"/>
  <c r="D24" i="41"/>
  <c r="G24" i="18" s="1"/>
  <c r="D23" i="41"/>
  <c r="G23" i="18" s="1"/>
  <c r="D22" i="41"/>
  <c r="G22" i="18" s="1"/>
  <c r="D21" i="41"/>
  <c r="G21" i="18" s="1"/>
  <c r="D20" i="41"/>
  <c r="G20" i="18" s="1"/>
  <c r="D19" i="41"/>
  <c r="G19" i="18" s="1"/>
  <c r="D18" i="41"/>
  <c r="G18" i="18" s="1"/>
  <c r="D17" i="41"/>
  <c r="G17" i="18" s="1"/>
  <c r="D16" i="41"/>
  <c r="G16" i="18" s="1"/>
  <c r="D15" i="41"/>
  <c r="G15" i="18" s="1"/>
  <c r="D14" i="41"/>
  <c r="G14" i="18" s="1"/>
  <c r="G13" i="41"/>
  <c r="D13" i="41"/>
  <c r="G13" i="18" s="1"/>
  <c r="G12" i="41"/>
  <c r="D12" i="41"/>
  <c r="G12" i="18" s="1"/>
  <c r="G11" i="41"/>
  <c r="D11" i="41"/>
  <c r="G11" i="18" s="1"/>
  <c r="G10" i="41"/>
  <c r="D10" i="41"/>
  <c r="G10" i="18" s="1"/>
  <c r="G9" i="41"/>
  <c r="D9" i="41"/>
  <c r="G9" i="18" s="1"/>
  <c r="G8" i="41"/>
  <c r="D8" i="41"/>
  <c r="G8" i="18" s="1"/>
  <c r="G7" i="41"/>
  <c r="D7" i="41"/>
  <c r="G7" i="18" s="1"/>
  <c r="D6" i="41"/>
  <c r="G6" i="18" s="1"/>
  <c r="D5" i="41"/>
  <c r="G5" i="18" s="1"/>
  <c r="D4" i="41"/>
  <c r="G4" i="18" s="1"/>
  <c r="D3" i="41"/>
  <c r="G3" i="18" s="1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C86" i="18" s="1"/>
  <c r="D85" i="40"/>
  <c r="C85" i="18" s="1"/>
  <c r="D84" i="40"/>
  <c r="C84" i="18" s="1"/>
  <c r="D83" i="40"/>
  <c r="C83" i="18" s="1"/>
  <c r="D82" i="40"/>
  <c r="C82" i="18" s="1"/>
  <c r="D81" i="40"/>
  <c r="C81" i="18" s="1"/>
  <c r="D80" i="40"/>
  <c r="C80" i="18" s="1"/>
  <c r="D79" i="40"/>
  <c r="C79" i="18" s="1"/>
  <c r="D78" i="40"/>
  <c r="C78" i="18" s="1"/>
  <c r="D77" i="40"/>
  <c r="C77" i="18" s="1"/>
  <c r="D76" i="40"/>
  <c r="C76" i="18" s="1"/>
  <c r="D75" i="40"/>
  <c r="C75" i="18" s="1"/>
  <c r="D74" i="40"/>
  <c r="C74" i="18" s="1"/>
  <c r="D73" i="40"/>
  <c r="C73" i="18" s="1"/>
  <c r="D72" i="40"/>
  <c r="C72" i="18" s="1"/>
  <c r="D71" i="40"/>
  <c r="C71" i="18" s="1"/>
  <c r="D70" i="40"/>
  <c r="C70" i="18" s="1"/>
  <c r="D69" i="40"/>
  <c r="C69" i="18" s="1"/>
  <c r="D68" i="40"/>
  <c r="C68" i="18" s="1"/>
  <c r="D67" i="40"/>
  <c r="C67" i="18" s="1"/>
  <c r="D66" i="40"/>
  <c r="C66" i="18" s="1"/>
  <c r="D65" i="40"/>
  <c r="C65" i="18" s="1"/>
  <c r="D64" i="40"/>
  <c r="C64" i="18" s="1"/>
  <c r="D63" i="40"/>
  <c r="C63" i="18" s="1"/>
  <c r="D62" i="40"/>
  <c r="C62" i="18" s="1"/>
  <c r="D61" i="40"/>
  <c r="C61" i="18" s="1"/>
  <c r="D60" i="40"/>
  <c r="C60" i="18" s="1"/>
  <c r="D59" i="40"/>
  <c r="C59" i="18" s="1"/>
  <c r="D58" i="40"/>
  <c r="C58" i="18" s="1"/>
  <c r="D57" i="40"/>
  <c r="C57" i="18" s="1"/>
  <c r="D56" i="40"/>
  <c r="C56" i="18" s="1"/>
  <c r="D55" i="40"/>
  <c r="C55" i="18" s="1"/>
  <c r="D54" i="40"/>
  <c r="C54" i="18" s="1"/>
  <c r="D53" i="40"/>
  <c r="C53" i="18" s="1"/>
  <c r="D52" i="40"/>
  <c r="C52" i="18" s="1"/>
  <c r="D51" i="40"/>
  <c r="C51" i="18" s="1"/>
  <c r="D50" i="40"/>
  <c r="C50" i="18" s="1"/>
  <c r="D49" i="40"/>
  <c r="C49" i="18" s="1"/>
  <c r="D48" i="40"/>
  <c r="C48" i="18" s="1"/>
  <c r="D47" i="40"/>
  <c r="C47" i="18" s="1"/>
  <c r="D46" i="40"/>
  <c r="C46" i="18" s="1"/>
  <c r="D45" i="40"/>
  <c r="C45" i="18" s="1"/>
  <c r="D44" i="40"/>
  <c r="C44" i="18" s="1"/>
  <c r="D43" i="40"/>
  <c r="C43" i="18" s="1"/>
  <c r="D42" i="40"/>
  <c r="C42" i="18" s="1"/>
  <c r="D41" i="40"/>
  <c r="C41" i="18" s="1"/>
  <c r="D40" i="40"/>
  <c r="C40" i="18" s="1"/>
  <c r="D39" i="40"/>
  <c r="C39" i="18" s="1"/>
  <c r="D38" i="40"/>
  <c r="C38" i="18" s="1"/>
  <c r="D37" i="40"/>
  <c r="C37" i="18" s="1"/>
  <c r="D36" i="40"/>
  <c r="C36" i="18" s="1"/>
  <c r="D35" i="40"/>
  <c r="C35" i="18" s="1"/>
  <c r="D34" i="40"/>
  <c r="C34" i="18" s="1"/>
  <c r="D33" i="40"/>
  <c r="C33" i="18" s="1"/>
  <c r="D32" i="40"/>
  <c r="C32" i="18" s="1"/>
  <c r="D31" i="40"/>
  <c r="C31" i="18" s="1"/>
  <c r="D30" i="40"/>
  <c r="C30" i="18" s="1"/>
  <c r="D29" i="40"/>
  <c r="C29" i="18" s="1"/>
  <c r="D28" i="40"/>
  <c r="C28" i="18" s="1"/>
  <c r="D27" i="40"/>
  <c r="C27" i="18" s="1"/>
  <c r="D26" i="40"/>
  <c r="C26" i="18" s="1"/>
  <c r="D25" i="40"/>
  <c r="C25" i="18" s="1"/>
  <c r="D24" i="40"/>
  <c r="C24" i="18" s="1"/>
  <c r="D23" i="40"/>
  <c r="C23" i="18" s="1"/>
  <c r="D22" i="40"/>
  <c r="C22" i="18" s="1"/>
  <c r="D21" i="40"/>
  <c r="C21" i="18" s="1"/>
  <c r="D20" i="40"/>
  <c r="C20" i="18" s="1"/>
  <c r="D19" i="40"/>
  <c r="C19" i="18" s="1"/>
  <c r="D18" i="40"/>
  <c r="C18" i="18" s="1"/>
  <c r="D17" i="40"/>
  <c r="C17" i="18" s="1"/>
  <c r="D16" i="40"/>
  <c r="C16" i="18" s="1"/>
  <c r="D15" i="40"/>
  <c r="C15" i="18" s="1"/>
  <c r="D14" i="40"/>
  <c r="C14" i="18" s="1"/>
  <c r="D13" i="40"/>
  <c r="C13" i="18" s="1"/>
  <c r="G12" i="40"/>
  <c r="D12" i="40"/>
  <c r="C12" i="18" s="1"/>
  <c r="G11" i="40"/>
  <c r="D11" i="40"/>
  <c r="C11" i="18" s="1"/>
  <c r="G10" i="40"/>
  <c r="D10" i="40"/>
  <c r="C10" i="18" s="1"/>
  <c r="G9" i="40"/>
  <c r="D9" i="40"/>
  <c r="C9" i="18" s="1"/>
  <c r="G8" i="40"/>
  <c r="D8" i="40"/>
  <c r="C8" i="18" s="1"/>
  <c r="G7" i="40"/>
  <c r="D7" i="40"/>
  <c r="C7" i="18" s="1"/>
  <c r="D6" i="40"/>
  <c r="C6" i="18" s="1"/>
  <c r="D5" i="40"/>
  <c r="C5" i="18" s="1"/>
  <c r="D4" i="40"/>
  <c r="C4" i="18" s="1"/>
  <c r="D3" i="40"/>
  <c r="C3" i="18" s="1"/>
  <c r="O70" i="18"/>
  <c r="O78" i="18"/>
  <c r="O79" i="18"/>
  <c r="O80" i="18"/>
  <c r="O81" i="18"/>
  <c r="O82" i="18"/>
  <c r="O83" i="18"/>
  <c r="O84" i="18"/>
  <c r="O85" i="18"/>
  <c r="O86" i="18"/>
  <c r="O87" i="18"/>
  <c r="O88" i="18"/>
  <c r="D63" i="26"/>
  <c r="O63" i="18" s="1"/>
  <c r="D64" i="26"/>
  <c r="O64" i="18" s="1"/>
  <c r="D65" i="26"/>
  <c r="O65" i="18" s="1"/>
  <c r="D66" i="26"/>
  <c r="O66" i="18" s="1"/>
  <c r="D67" i="26"/>
  <c r="O67" i="18" s="1"/>
  <c r="D68" i="26"/>
  <c r="O68" i="18" s="1"/>
  <c r="D69" i="26"/>
  <c r="O69" i="18" s="1"/>
  <c r="D70" i="26"/>
  <c r="D71" i="26"/>
  <c r="O71" i="18" s="1"/>
  <c r="D72" i="26"/>
  <c r="O72" i="18" s="1"/>
  <c r="D73" i="26"/>
  <c r="O73" i="18" s="1"/>
  <c r="D74" i="26"/>
  <c r="O74" i="18" s="1"/>
  <c r="D75" i="26"/>
  <c r="O75" i="18" s="1"/>
  <c r="D76" i="26"/>
  <c r="O76" i="18" s="1"/>
  <c r="D77" i="26"/>
  <c r="O77" i="18" s="1"/>
  <c r="G3" i="41" l="1"/>
  <c r="E4" i="18" s="1"/>
  <c r="G3" i="44"/>
  <c r="Q4" i="18" s="1"/>
  <c r="S3" i="18"/>
  <c r="G4" i="43"/>
  <c r="G3" i="43"/>
  <c r="U4" i="18" s="1"/>
  <c r="G4" i="41"/>
  <c r="G4" i="40"/>
  <c r="G3" i="40"/>
  <c r="A4" i="18" s="1"/>
  <c r="G3" i="42"/>
  <c r="I4" i="18" s="1"/>
  <c r="G4" i="42"/>
  <c r="G4" i="44"/>
  <c r="X1" i="19"/>
  <c r="W1" i="19"/>
  <c r="V1" i="19"/>
  <c r="U1" i="19"/>
  <c r="S1" i="19"/>
  <c r="R1" i="19"/>
  <c r="Q1" i="19"/>
  <c r="P1" i="19"/>
  <c r="N1" i="19"/>
  <c r="C10" i="19" s="1"/>
  <c r="M1" i="19"/>
  <c r="C9" i="19" s="1"/>
  <c r="L1" i="19"/>
  <c r="C8" i="19" s="1"/>
  <c r="K1" i="19"/>
  <c r="H1" i="19"/>
  <c r="C5" i="19" s="1"/>
  <c r="G1" i="19"/>
  <c r="C4" i="19" s="1"/>
  <c r="F1" i="19"/>
  <c r="C3" i="19" s="1"/>
  <c r="E1" i="19"/>
  <c r="A8" i="19"/>
  <c r="A3" i="19"/>
  <c r="C2" i="19" l="1"/>
  <c r="C7" i="19"/>
  <c r="B1" i="19" l="1"/>
  <c r="R3" i="18" l="1" a="1"/>
  <c r="R3" i="18" s="1"/>
  <c r="D62" i="26" l="1"/>
  <c r="O62" i="18" s="1"/>
  <c r="D61" i="26"/>
  <c r="O61" i="18" s="1"/>
  <c r="D60" i="26"/>
  <c r="O60" i="18" s="1"/>
  <c r="D59" i="26"/>
  <c r="O59" i="18" s="1"/>
  <c r="D58" i="26"/>
  <c r="O58" i="18" s="1"/>
  <c r="D57" i="26"/>
  <c r="O57" i="18" s="1"/>
  <c r="D56" i="26"/>
  <c r="O56" i="18" s="1"/>
  <c r="D55" i="26"/>
  <c r="O55" i="18" s="1"/>
  <c r="D54" i="26"/>
  <c r="O54" i="18" s="1"/>
  <c r="D53" i="26"/>
  <c r="O53" i="18" s="1"/>
  <c r="D52" i="26"/>
  <c r="O52" i="18" s="1"/>
  <c r="D51" i="26"/>
  <c r="O51" i="18" s="1"/>
  <c r="D50" i="26"/>
  <c r="O50" i="18" s="1"/>
  <c r="D49" i="26"/>
  <c r="O49" i="18" s="1"/>
  <c r="D48" i="26"/>
  <c r="O48" i="18" s="1"/>
  <c r="D47" i="26"/>
  <c r="O47" i="18" s="1"/>
  <c r="D46" i="26"/>
  <c r="O46" i="18" s="1"/>
  <c r="D45" i="26"/>
  <c r="O45" i="18" s="1"/>
  <c r="D44" i="26"/>
  <c r="O44" i="18" s="1"/>
  <c r="D43" i="26"/>
  <c r="O43" i="18" s="1"/>
  <c r="D42" i="26"/>
  <c r="O42" i="18" s="1"/>
  <c r="D41" i="26"/>
  <c r="O41" i="18" s="1"/>
  <c r="D40" i="26"/>
  <c r="O40" i="18" s="1"/>
  <c r="D39" i="26"/>
  <c r="O39" i="18" s="1"/>
  <c r="D38" i="26"/>
  <c r="O38" i="18" s="1"/>
  <c r="D37" i="26"/>
  <c r="O37" i="18" s="1"/>
  <c r="D36" i="26"/>
  <c r="O36" i="18" s="1"/>
  <c r="D35" i="26"/>
  <c r="O35" i="18" s="1"/>
  <c r="D34" i="26"/>
  <c r="O34" i="18" s="1"/>
  <c r="D33" i="26"/>
  <c r="O33" i="18" s="1"/>
  <c r="D32" i="26"/>
  <c r="O32" i="18" s="1"/>
  <c r="D31" i="26"/>
  <c r="O31" i="18" s="1"/>
  <c r="D30" i="26"/>
  <c r="O30" i="18" s="1"/>
  <c r="D29" i="26"/>
  <c r="O29" i="18" s="1"/>
  <c r="D28" i="26"/>
  <c r="O28" i="18" s="1"/>
  <c r="D27" i="26"/>
  <c r="O27" i="18" s="1"/>
  <c r="D26" i="26"/>
  <c r="O26" i="18" s="1"/>
  <c r="D25" i="26"/>
  <c r="O25" i="18" s="1"/>
  <c r="D24" i="26"/>
  <c r="O24" i="18" s="1"/>
  <c r="D23" i="26"/>
  <c r="O23" i="18" s="1"/>
  <c r="D22" i="26"/>
  <c r="O22" i="18" s="1"/>
  <c r="D21" i="26"/>
  <c r="O21" i="18" s="1"/>
  <c r="D20" i="26"/>
  <c r="O20" i="18" s="1"/>
  <c r="D19" i="26"/>
  <c r="O19" i="18" s="1"/>
  <c r="D18" i="26"/>
  <c r="O18" i="18" s="1"/>
  <c r="D17" i="26"/>
  <c r="O17" i="18" s="1"/>
  <c r="D16" i="26"/>
  <c r="O16" i="18" s="1"/>
  <c r="D15" i="26"/>
  <c r="O15" i="18" s="1"/>
  <c r="D14" i="26"/>
  <c r="O14" i="18" s="1"/>
  <c r="D13" i="26"/>
  <c r="O13" i="18" s="1"/>
  <c r="G12" i="26"/>
  <c r="D12" i="26"/>
  <c r="O12" i="18" s="1"/>
  <c r="G11" i="26"/>
  <c r="D11" i="26"/>
  <c r="O11" i="18" s="1"/>
  <c r="G10" i="26"/>
  <c r="D10" i="26"/>
  <c r="O10" i="18" s="1"/>
  <c r="G9" i="26"/>
  <c r="D9" i="26"/>
  <c r="O9" i="18" s="1"/>
  <c r="G8" i="26"/>
  <c r="D8" i="26"/>
  <c r="O8" i="18" s="1"/>
  <c r="G7" i="26"/>
  <c r="D7" i="26"/>
  <c r="O7" i="18" s="1"/>
  <c r="D6" i="26"/>
  <c r="O6" i="18" s="1"/>
  <c r="D5" i="26"/>
  <c r="O5" i="18" s="1"/>
  <c r="D4" i="26"/>
  <c r="O4" i="18" s="1"/>
  <c r="D3" i="26"/>
  <c r="O3" i="18" s="1"/>
  <c r="G3" i="26" l="1"/>
  <c r="M4" i="18" s="1"/>
  <c r="G4" i="26"/>
  <c r="V3" i="18" l="1" a="1"/>
  <c r="V3" i="18" s="1"/>
  <c r="N3" i="18" a="1"/>
  <c r="N3" i="18" s="1"/>
  <c r="J3" i="18" l="1" a="1"/>
  <c r="J3" i="18" s="1"/>
  <c r="F3" i="18" l="1" a="1"/>
  <c r="F3" i="18" s="1"/>
  <c r="B3" i="18" a="1"/>
  <c r="B3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<sst xmlns="http://schemas.openxmlformats.org/spreadsheetml/2006/main" count="3053" uniqueCount="332">
  <si>
    <t>Função</t>
  </si>
  <si>
    <t>Terreno</t>
  </si>
  <si>
    <t>Island</t>
  </si>
  <si>
    <t>Lonely Sandbar</t>
  </si>
  <si>
    <t>Funções</t>
  </si>
  <si>
    <t>Draw</t>
  </si>
  <si>
    <t>Remoção</t>
  </si>
  <si>
    <t>Mountain</t>
  </si>
  <si>
    <t>Counterspell</t>
  </si>
  <si>
    <t>Carta Final</t>
  </si>
  <si>
    <t>Carta Atual</t>
  </si>
  <si>
    <t>Carta Ideal</t>
  </si>
  <si>
    <t>Mudanças Faltando</t>
  </si>
  <si>
    <t>Total de Cartas</t>
  </si>
  <si>
    <t>Swamp</t>
  </si>
  <si>
    <t>Forest</t>
  </si>
  <si>
    <t>Controle</t>
  </si>
  <si>
    <t>Pump</t>
  </si>
  <si>
    <t>Bojuka Bog</t>
  </si>
  <si>
    <t>Spellstutter Sprite</t>
  </si>
  <si>
    <t>Combate</t>
  </si>
  <si>
    <t>Win</t>
  </si>
  <si>
    <t>Doom Blade</t>
  </si>
  <si>
    <t>Plains</t>
  </si>
  <si>
    <t>Kabira Crossroads</t>
  </si>
  <si>
    <t>Vida</t>
  </si>
  <si>
    <t>Blink</t>
  </si>
  <si>
    <t>Scoured Barrens</t>
  </si>
  <si>
    <t>Whitemane Lion</t>
  </si>
  <si>
    <t>Soul Warden</t>
  </si>
  <si>
    <t>Soul's Attendant</t>
  </si>
  <si>
    <t>Suture Priest</t>
  </si>
  <si>
    <t>Marauding Blight-Priest</t>
  </si>
  <si>
    <t>Fractius</t>
  </si>
  <si>
    <t>Predatory Sliver</t>
  </si>
  <si>
    <t>Sinew Sliver</t>
  </si>
  <si>
    <t>Total</t>
  </si>
  <si>
    <t>Total:</t>
  </si>
  <si>
    <t>Legacy</t>
  </si>
  <si>
    <t>Overrun</t>
  </si>
  <si>
    <t>Total Lojas:</t>
  </si>
  <si>
    <t>Skyhunter Prowler</t>
  </si>
  <si>
    <t>Gallant Cavalry</t>
  </si>
  <si>
    <t>Secluded Steppe</t>
  </si>
  <si>
    <t>Journey to Nowhere</t>
  </si>
  <si>
    <t>Bone Saw</t>
  </si>
  <si>
    <t>Aviation Pioneer</t>
  </si>
  <si>
    <t>Stormbound Geist</t>
  </si>
  <si>
    <t>Surveilling Sprite</t>
  </si>
  <si>
    <t>Mulldrifter</t>
  </si>
  <si>
    <t>Faerie Miscreant</t>
  </si>
  <si>
    <t>Bojuka Brigand</t>
  </si>
  <si>
    <t>Clérigo de Ondu</t>
  </si>
  <si>
    <t>Coorte Irregular</t>
  </si>
  <si>
    <t>Enviada Vampira</t>
  </si>
  <si>
    <t>Maga das Correntes de Zulaport</t>
  </si>
  <si>
    <t>Read the Bones</t>
  </si>
  <si>
    <t>Recover</t>
  </si>
  <si>
    <t>Ephemerate</t>
  </si>
  <si>
    <t>Bloodfell Caves</t>
  </si>
  <si>
    <t>Razortide Bridge</t>
  </si>
  <si>
    <t>Rustvale Bridge</t>
  </si>
  <si>
    <t>Makeshift Munitions</t>
  </si>
  <si>
    <t>Galvanic Blast</t>
  </si>
  <si>
    <t>Contentious Plan</t>
  </si>
  <si>
    <t>Liga</t>
  </si>
  <si>
    <t>MTG Cards Games</t>
  </si>
  <si>
    <t>Mana Vai</t>
  </si>
  <si>
    <t>Blossoming Sands</t>
  </si>
  <si>
    <t>Wind-Scarred Crag</t>
  </si>
  <si>
    <t>Smitten Swordmaster</t>
  </si>
  <si>
    <t>Lost Legion</t>
  </si>
  <si>
    <t>Leonin Skyhunter</t>
  </si>
  <si>
    <t>Ardenvale Tactician</t>
  </si>
  <si>
    <t>Rimrock Knight</t>
  </si>
  <si>
    <t>Knight</t>
  </si>
  <si>
    <t>Sideboard</t>
  </si>
  <si>
    <t>Disenchant</t>
  </si>
  <si>
    <t>Beckon Apparition</t>
  </si>
  <si>
    <t>Diabolic Edict</t>
  </si>
  <si>
    <t>Shining Armor</t>
  </si>
  <si>
    <t>Knights</t>
  </si>
  <si>
    <t>Modular</t>
  </si>
  <si>
    <t>Fadas</t>
  </si>
  <si>
    <t>Thoughtcast</t>
  </si>
  <si>
    <t>Control</t>
  </si>
  <si>
    <t>Flyer</t>
  </si>
  <si>
    <t>Faerie Seer</t>
  </si>
  <si>
    <t>Axe</t>
  </si>
  <si>
    <t>Bonesplitter</t>
  </si>
  <si>
    <t>Heart-Piercer Bow</t>
  </si>
  <si>
    <t>Psychic Barrier</t>
  </si>
  <si>
    <t>Vapor Snag</t>
  </si>
  <si>
    <t>Tranquil Thicket</t>
  </si>
  <si>
    <t>Tranquil Expanse</t>
  </si>
  <si>
    <t>Muscle Sliver</t>
  </si>
  <si>
    <t>Plated Sliver</t>
  </si>
  <si>
    <t>Sidewinder Sliver</t>
  </si>
  <si>
    <t>Adventurous Impulse</t>
  </si>
  <si>
    <t>Commune with Nature</t>
  </si>
  <si>
    <t>Trick</t>
  </si>
  <si>
    <t>Benevolent Bodyguard</t>
  </si>
  <si>
    <t>Mutagenic Growth</t>
  </si>
  <si>
    <t>Talon Sliver</t>
  </si>
  <si>
    <t>Vines of Vastwood</t>
  </si>
  <si>
    <t>Young Wolf</t>
  </si>
  <si>
    <t>Standard Bearer</t>
  </si>
  <si>
    <t>Gut Shot</t>
  </si>
  <si>
    <t>Scattershot Archer</t>
  </si>
  <si>
    <t>Relic of Progenitus</t>
  </si>
  <si>
    <t>Barren Moor</t>
  </si>
  <si>
    <t>Dusk Legion Zealot</t>
  </si>
  <si>
    <t>Thraben Inspector</t>
  </si>
  <si>
    <t>Kor Skyfisher</t>
  </si>
  <si>
    <t>Marauding-Blight Priest</t>
  </si>
  <si>
    <t>Epicure of Blood</t>
  </si>
  <si>
    <t>Disfigure</t>
  </si>
  <si>
    <t>Wail of the Nim</t>
  </si>
  <si>
    <t>Unmake</t>
  </si>
  <si>
    <t>Curandeiro Kalastria</t>
  </si>
  <si>
    <t>Aliado</t>
  </si>
  <si>
    <t>Scrapyard Salvo</t>
  </si>
  <si>
    <t>Hanweir Lancer</t>
  </si>
  <si>
    <t>Temur Control</t>
  </si>
  <si>
    <t>Temur Control - Modern</t>
  </si>
  <si>
    <t>Jeskai Modular - Pauper</t>
  </si>
  <si>
    <t>Mardu Knights - Pauper</t>
  </si>
  <si>
    <t>Fadas e Machados - Pauper</t>
  </si>
  <si>
    <t>Vida e Morte - Pauper</t>
  </si>
  <si>
    <t>Selesnya Fractius - Pauper</t>
  </si>
  <si>
    <t>Field</t>
  </si>
  <si>
    <t>Finisher</t>
  </si>
  <si>
    <t>Anule</t>
  </si>
  <si>
    <t>Growth Spiral</t>
  </si>
  <si>
    <t>Lightning Bolt</t>
  </si>
  <si>
    <t>Spell Pierce</t>
  </si>
  <si>
    <t>Abrade</t>
  </si>
  <si>
    <t>Wilt</t>
  </si>
  <si>
    <t>Eureka Moment</t>
  </si>
  <si>
    <t>Simic Growth Chamber</t>
  </si>
  <si>
    <t>Izzet Boilerworks</t>
  </si>
  <si>
    <t>Swiftwater Cliffs</t>
  </si>
  <si>
    <t>Sprout Swarm</t>
  </si>
  <si>
    <t>Pulse of Murasa</t>
  </si>
  <si>
    <t>Evolving Wilds</t>
  </si>
  <si>
    <t>Rugged Highlands</t>
  </si>
  <si>
    <t>Thornwood Falls</t>
  </si>
  <si>
    <t>Gruul Turf</t>
  </si>
  <si>
    <t>Thorn of the Black Rose</t>
  </si>
  <si>
    <t>Inspiring Overseer</t>
  </si>
  <si>
    <t>Armadura Brilhante</t>
  </si>
  <si>
    <t>Flanquear</t>
  </si>
  <si>
    <t>Fiery Cannonade</t>
  </si>
  <si>
    <t>Terminate</t>
  </si>
  <si>
    <t>Negação Altiva</t>
  </si>
  <si>
    <t>Finalizador</t>
  </si>
  <si>
    <t>Ratos</t>
  </si>
  <si>
    <t>Mono Ratos</t>
  </si>
  <si>
    <t>Pântano</t>
  </si>
  <si>
    <t>Terror</t>
  </si>
  <si>
    <t>Desfigurar</t>
  </si>
  <si>
    <t>Ratos Tifóides</t>
  </si>
  <si>
    <t>Rato Ladrão</t>
  </si>
  <si>
    <t>Ratos Chiadores</t>
  </si>
  <si>
    <t>Ratos do Cemitério</t>
  </si>
  <si>
    <t>Rapaces da Meia-Noite</t>
  </si>
  <si>
    <t>Ratos Vorazes</t>
  </si>
  <si>
    <t>Coiling Oracle</t>
  </si>
  <si>
    <t>Behold the Multiverse</t>
  </si>
  <si>
    <t>Valor</t>
  </si>
  <si>
    <t>Cleansing Wildfire</t>
  </si>
  <si>
    <t>Silverbluff Bridge</t>
  </si>
  <si>
    <t>Metallic Rebuke</t>
  </si>
  <si>
    <t>Apostle's Blessing</t>
  </si>
  <si>
    <t>Blessed Hippogriff // Tyr's Blessing</t>
  </si>
  <si>
    <t>Wizard Replica</t>
  </si>
  <si>
    <t>Arcbound Mouser</t>
  </si>
  <si>
    <t>Arcbound Tracker</t>
  </si>
  <si>
    <t>Arcbound Stinger</t>
  </si>
  <si>
    <t>Arcbound Worker</t>
  </si>
  <si>
    <t>Penregon Strongbull</t>
  </si>
  <si>
    <t>Interessantes</t>
  </si>
  <si>
    <t>Reanimate</t>
  </si>
  <si>
    <t>Grim Return</t>
  </si>
  <si>
    <t>Monoblue Control</t>
  </si>
  <si>
    <t>Compras</t>
  </si>
  <si>
    <t>Deck/Função</t>
  </si>
  <si>
    <t>Serpente Críptica</t>
  </si>
  <si>
    <t>Negate</t>
  </si>
  <si>
    <t>Spellpierce</t>
  </si>
  <si>
    <t>Análise Profunda</t>
  </si>
  <si>
    <t>Afogar em Mágoas</t>
  </si>
  <si>
    <t>Alimentar o Enxame</t>
  </si>
  <si>
    <t>Recommission</t>
  </si>
  <si>
    <t>Kenku Artificer</t>
  </si>
  <si>
    <t>Eterno Aviano</t>
  </si>
  <si>
    <t>Snaremaster Sprite</t>
  </si>
  <si>
    <t>Estalo</t>
  </si>
  <si>
    <t>Ninja das Horas Tardias</t>
  </si>
  <si>
    <t>Olhos Noturnos</t>
  </si>
  <si>
    <t>Manto das Marés</t>
  </si>
  <si>
    <t>Terror Tolariano</t>
  </si>
  <si>
    <t>Allies</t>
  </si>
  <si>
    <t>Orzhov Aliados - Pauper</t>
  </si>
  <si>
    <t>Graypelt Hunter</t>
  </si>
  <si>
    <t>Oran-Rief Survivalist</t>
  </si>
  <si>
    <t>Jungle Hollow</t>
  </si>
  <si>
    <t>Masked Vandal</t>
  </si>
  <si>
    <t>ETB</t>
  </si>
  <si>
    <t>WUR Flicker</t>
  </si>
  <si>
    <t>Dawnbringer Cleric</t>
  </si>
  <si>
    <t>Augur of Bolas</t>
  </si>
  <si>
    <t>Archaeomancer</t>
  </si>
  <si>
    <t>Murmuring Mystic</t>
  </si>
  <si>
    <t>Ponder</t>
  </si>
  <si>
    <t>Brainstorm</t>
  </si>
  <si>
    <t>Cleasing Fire</t>
  </si>
  <si>
    <t>Cast into the Fire</t>
  </si>
  <si>
    <t>Tormod's Crypt</t>
  </si>
  <si>
    <t>Smash to Dust</t>
  </si>
  <si>
    <t>Destroy Evil</t>
  </si>
  <si>
    <t>Late to Dinner</t>
  </si>
  <si>
    <t>Iron Apprentice</t>
  </si>
  <si>
    <t>Airlift Captain</t>
  </si>
  <si>
    <t>Vault Skirge</t>
  </si>
  <si>
    <t>Arcbound Prototype</t>
  </si>
  <si>
    <t>Experimental Augury</t>
  </si>
  <si>
    <t>Sacrifício</t>
  </si>
  <si>
    <t>Deadly Dispute</t>
  </si>
  <si>
    <t>Cast Down</t>
  </si>
  <si>
    <t>Fanatical Offering</t>
  </si>
  <si>
    <t>Whisper of the Dross</t>
  </si>
  <si>
    <t/>
  </si>
  <si>
    <t>All that Glitters</t>
  </si>
  <si>
    <t>Gengibruto</t>
  </si>
  <si>
    <t>Stonehorn Dignitary</t>
  </si>
  <si>
    <t>Seat of the Synod</t>
  </si>
  <si>
    <t>Ancient Den</t>
  </si>
  <si>
    <t>Goldmire Bridge</t>
  </si>
  <si>
    <t>Vault of Whispers</t>
  </si>
  <si>
    <t>Mistvault Bridge</t>
  </si>
  <si>
    <t>Jeskay Control</t>
  </si>
  <si>
    <t>Esper Modular</t>
  </si>
  <si>
    <t>Lórien Revealed</t>
  </si>
  <si>
    <t>Saiba Cryptomancer</t>
  </si>
  <si>
    <t>4 Thorn of the Black Rose</t>
  </si>
  <si>
    <t>4 Brainstorm</t>
  </si>
  <si>
    <t>3 Brainstorm</t>
  </si>
  <si>
    <t>4 Tormod's Crypt</t>
  </si>
  <si>
    <t>2 Smash to Dust</t>
  </si>
  <si>
    <t>2 Ancient Den</t>
  </si>
  <si>
    <t>1 Kenku Artificer</t>
  </si>
  <si>
    <t>2 Recommission</t>
  </si>
  <si>
    <t>2 Tormod's Crypt</t>
  </si>
  <si>
    <t>4 Glint Hawk</t>
  </si>
  <si>
    <t>3 Diabrete de Erva Fétida</t>
  </si>
  <si>
    <t>1 Trol de Khazad-dûm</t>
  </si>
  <si>
    <t>2 Necromassa Contorcida</t>
  </si>
  <si>
    <t>3 Vândalo Mascarado</t>
  </si>
  <si>
    <t>2 Vira-latas de Sucata</t>
  </si>
  <si>
    <t>3 Retorno Aterrorizante</t>
  </si>
  <si>
    <t>4 Existência Torturada</t>
  </si>
  <si>
    <t>4 Portão da Mansão</t>
  </si>
  <si>
    <t>3 Portão do Basilisco</t>
  </si>
  <si>
    <t>2 Portão do Dragão Negro</t>
  </si>
  <si>
    <t>2 Saqueador Saco-de-Carne</t>
  </si>
  <si>
    <t>1 Ancião Galhos-de-Vime</t>
  </si>
  <si>
    <t>4 Esmiuça-Tumba</t>
  </si>
  <si>
    <t>2 Porteiros de Saruli</t>
  </si>
  <si>
    <t>4 Spirited Companion</t>
  </si>
  <si>
    <t>4 Lembas</t>
  </si>
  <si>
    <t>2 Dawnbringer Cleric</t>
  </si>
  <si>
    <t>3 Tithing Blade</t>
  </si>
  <si>
    <t>2 Experimental Augury</t>
  </si>
  <si>
    <t>2 Roer até os Ossos</t>
  </si>
  <si>
    <t>2 Thoughtcast</t>
  </si>
  <si>
    <t>2 Cast Down</t>
  </si>
  <si>
    <t>1 All That Glitters</t>
  </si>
  <si>
    <t>4 Opt</t>
  </si>
  <si>
    <t>Ninja of the Deep Hours</t>
  </si>
  <si>
    <t>Criaturas</t>
  </si>
  <si>
    <t>Mágicas</t>
  </si>
  <si>
    <t>Arms of Hadar</t>
  </si>
  <si>
    <t>Preordain</t>
  </si>
  <si>
    <t>Dispel</t>
  </si>
  <si>
    <t>Chainer's Edict</t>
  </si>
  <si>
    <t>Contaminated Aquifer</t>
  </si>
  <si>
    <t>Maestros Theater</t>
  </si>
  <si>
    <t>UB Faeries</t>
  </si>
  <si>
    <t>BG Tortex</t>
  </si>
  <si>
    <t>WUR Affinity</t>
  </si>
  <si>
    <t>Manor Gate</t>
  </si>
  <si>
    <t>Basilisk Gate</t>
  </si>
  <si>
    <t>Black Dragon Gate</t>
  </si>
  <si>
    <t>Ichor Drinker</t>
  </si>
  <si>
    <t>Spore Frog</t>
  </si>
  <si>
    <t>Satyr Wayfinder</t>
  </si>
  <si>
    <t>Mire Triton</t>
  </si>
  <si>
    <t>Stinkweed Imp</t>
  </si>
  <si>
    <t>Eccentric Farmer</t>
  </si>
  <si>
    <t>Golgari Bronwscales</t>
  </si>
  <si>
    <t>Crypt Rats</t>
  </si>
  <si>
    <t>Kitchen Imp</t>
  </si>
  <si>
    <t>Troll of Khazad-Dûm</t>
  </si>
  <si>
    <t>Lotleth Giant</t>
  </si>
  <si>
    <t>Writhing Necromass</t>
  </si>
  <si>
    <t>Torturados</t>
  </si>
  <si>
    <t>Carcereiro</t>
  </si>
  <si>
    <t>Commune With the Gods</t>
  </si>
  <si>
    <t>Gnaw to the Bone</t>
  </si>
  <si>
    <t>Dread Return</t>
  </si>
  <si>
    <t>Tortured Existence</t>
  </si>
  <si>
    <t>Caustic Caterpillar</t>
  </si>
  <si>
    <t>Scrapwork Mutt</t>
  </si>
  <si>
    <t>Fleshbag Marauder</t>
  </si>
  <si>
    <t>Wickerbough Elder</t>
  </si>
  <si>
    <t>Saruli Gatekeepers</t>
  </si>
  <si>
    <t>Affinity</t>
  </si>
  <si>
    <t>Ornithopter</t>
  </si>
  <si>
    <t>Gengibrute</t>
  </si>
  <si>
    <t>Frogmite</t>
  </si>
  <si>
    <t>Myr Enforcer</t>
  </si>
  <si>
    <t>Glint Hawk</t>
  </si>
  <si>
    <t>All That Glitters</t>
  </si>
  <si>
    <t>Experimental Synthesizer</t>
  </si>
  <si>
    <t>Springleaf Drum</t>
  </si>
  <si>
    <t>Suporte</t>
  </si>
  <si>
    <t>Great Furnace</t>
  </si>
  <si>
    <t>Crimson Acolyte</t>
  </si>
  <si>
    <t>Obsidian Acolyte</t>
  </si>
  <si>
    <t>Opt</t>
  </si>
  <si>
    <t>Grave Scrabbler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</si>
</sst>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[Red]&quot;R$ &quot;#,##0.00"/>
    <numFmt numFmtId="165" formatCode="&quot;R$&quot;#,##0.00"/>
    <numFmt numFmtId="166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0" fontId="0" fillId="0" borderId="0" xfId="0" quotePrefix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9C2-80EC-490F-B169-A635168C3A31}">
  <dimension ref="A1:AB230"/>
  <sheetViews>
    <sheetView topLeftCell="A17" workbookViewId="0">
      <selection activeCell="E24" sqref="E24"/>
    </sheetView>
  </sheetViews>
  <sheetFormatPr defaultRowHeight="15" x14ac:dyDescent="0.25"/>
  <cols>
    <col min="2" max="2" width="16" bestFit="1" customWidth="1"/>
    <col min="4" max="4" width="3.7109375" style="9" customWidth="1"/>
    <col min="5" max="5" width="27.28515625" bestFit="1" customWidth="1"/>
    <col min="6" max="6" width="8.85546875" style="12"/>
    <col min="7" max="7" width="9.28515625" style="12" customWidth="1"/>
    <col min="8" max="8" width="8.85546875" style="12"/>
    <col min="9" max="9" width="3.7109375" style="9" customWidth="1"/>
    <col min="10" max="10" width="18.5703125" bestFit="1" customWidth="1"/>
    <col min="11" max="11" width="22" bestFit="1" customWidth="1"/>
    <col min="15" max="15" width="3.7109375" style="9" customWidth="1"/>
    <col min="20" max="20" width="3.7109375" style="9" customWidth="1"/>
  </cols>
  <sheetData>
    <row r="1" spans="1:28" x14ac:dyDescent="0.25">
      <c r="A1" t="s">
        <v>37</v>
      </c>
      <c r="B1" s="10">
        <f>C2+C7+C12+C17+C22+C27+C32+C37+C42+C55</f>
        <v>0</v>
      </c>
      <c r="C1" s="10"/>
      <c r="E1" t="str">
        <f>A2</f>
        <v>Compras</v>
      </c>
      <c r="F1" s="12" t="str">
        <f>B3</f>
        <v>MTG Cards Games</v>
      </c>
      <c r="G1" s="12" t="str">
        <f>B4</f>
        <v>Legacy</v>
      </c>
      <c r="H1" s="12" t="str">
        <f>B5</f>
        <v>Mana Vai</v>
      </c>
      <c r="J1" t="s">
        <v>186</v>
      </c>
      <c r="K1" t="str">
        <f>A7</f>
        <v>Interessantes</v>
      </c>
      <c r="L1" t="str">
        <f>B8</f>
        <v>Liga</v>
      </c>
      <c r="M1" t="str">
        <f>B9</f>
        <v>Legacy</v>
      </c>
      <c r="N1" t="str">
        <f>B10</f>
        <v>Overrun</v>
      </c>
      <c r="P1">
        <f>A12</f>
        <v>0</v>
      </c>
      <c r="Q1">
        <f>B13</f>
        <v>0</v>
      </c>
      <c r="R1">
        <f>B14</f>
        <v>0</v>
      </c>
      <c r="S1">
        <f>B15</f>
        <v>0</v>
      </c>
      <c r="U1">
        <f>A17</f>
        <v>0</v>
      </c>
      <c r="V1">
        <f>B18</f>
        <v>0</v>
      </c>
      <c r="W1">
        <f>B19</f>
        <v>0</v>
      </c>
      <c r="X1">
        <f>B20</f>
        <v>0</v>
      </c>
    </row>
    <row r="2" spans="1:28" x14ac:dyDescent="0.25">
      <c r="A2" t="s">
        <v>185</v>
      </c>
      <c r="B2" t="s">
        <v>40</v>
      </c>
      <c r="C2" s="10">
        <f>SUM(C3:C5)</f>
        <v>0</v>
      </c>
      <c r="E2" t="s">
        <v>245</v>
      </c>
      <c r="I2" s="11"/>
      <c r="L2" s="10"/>
      <c r="M2" s="10"/>
      <c r="N2" s="10"/>
      <c r="O2" s="11"/>
      <c r="Q2" s="10"/>
      <c r="R2" s="10"/>
      <c r="S2" s="10"/>
      <c r="V2" s="10"/>
      <c r="W2" s="10"/>
      <c r="X2" s="10"/>
      <c r="AA2" s="10"/>
      <c r="AB2" s="10"/>
    </row>
    <row r="3" spans="1:28" x14ac:dyDescent="0.25">
      <c r="A3">
        <f>COUNTA(E2:E175)</f>
        <v>36</v>
      </c>
      <c r="B3" t="s">
        <v>66</v>
      </c>
      <c r="C3" s="10">
        <f>SUM(F:F)</f>
        <v>0</v>
      </c>
      <c r="E3" t="s">
        <v>272</v>
      </c>
      <c r="I3" s="11"/>
      <c r="L3" s="10"/>
      <c r="M3" s="10"/>
      <c r="N3" s="10"/>
      <c r="O3" s="11"/>
      <c r="Q3" s="10"/>
      <c r="R3" s="10"/>
      <c r="S3" s="10"/>
      <c r="V3" s="10"/>
      <c r="W3" s="10"/>
      <c r="X3" s="10"/>
      <c r="AA3" s="10"/>
      <c r="AB3" s="10"/>
    </row>
    <row r="4" spans="1:28" x14ac:dyDescent="0.25">
      <c r="B4" t="s">
        <v>38</v>
      </c>
      <c r="C4" s="10">
        <f>SUM(G:G)</f>
        <v>0</v>
      </c>
      <c r="E4" t="s">
        <v>246</v>
      </c>
      <c r="I4" s="11"/>
      <c r="L4" s="10"/>
      <c r="M4" s="10"/>
      <c r="N4" s="10"/>
      <c r="O4" s="11"/>
      <c r="Q4" s="10"/>
      <c r="R4" s="10"/>
      <c r="S4" s="10"/>
      <c r="V4" s="10"/>
      <c r="W4" s="10"/>
      <c r="X4" s="10"/>
      <c r="AA4" s="10"/>
      <c r="AB4" s="10"/>
    </row>
    <row r="5" spans="1:28" x14ac:dyDescent="0.25">
      <c r="B5" t="s">
        <v>67</v>
      </c>
      <c r="C5" s="10">
        <f>SUM(H:H)</f>
        <v>0</v>
      </c>
      <c r="E5" t="s">
        <v>262</v>
      </c>
      <c r="I5" s="11"/>
      <c r="L5" s="10"/>
      <c r="M5" s="10"/>
      <c r="N5" s="10"/>
      <c r="O5" s="11"/>
      <c r="Q5" s="10"/>
      <c r="R5" s="10"/>
      <c r="S5" s="10"/>
      <c r="V5" s="10"/>
      <c r="W5" s="10"/>
      <c r="X5" s="10"/>
      <c r="AA5" s="10"/>
      <c r="AB5" s="10"/>
    </row>
    <row r="6" spans="1:28" x14ac:dyDescent="0.25">
      <c r="E6" t="s">
        <v>267</v>
      </c>
      <c r="I6" s="11"/>
      <c r="L6" s="10"/>
      <c r="M6" s="10"/>
      <c r="N6" s="10"/>
      <c r="O6" s="11"/>
      <c r="Q6" s="10"/>
      <c r="R6" s="10"/>
      <c r="S6" s="10"/>
      <c r="V6" s="10"/>
      <c r="W6" s="10"/>
      <c r="X6" s="10"/>
      <c r="AA6" s="10"/>
      <c r="AB6" s="10"/>
    </row>
    <row r="7" spans="1:28" x14ac:dyDescent="0.25">
      <c r="A7" t="s">
        <v>181</v>
      </c>
      <c r="B7" t="s">
        <v>40</v>
      </c>
      <c r="C7" s="10">
        <f>SUM(C9:C10)</f>
        <v>0</v>
      </c>
      <c r="E7" t="s">
        <v>278</v>
      </c>
      <c r="I7" s="11"/>
      <c r="L7" s="10"/>
      <c r="M7" s="10"/>
      <c r="N7" s="10"/>
      <c r="O7" s="11"/>
      <c r="Q7" s="10"/>
      <c r="R7" s="10"/>
      <c r="S7" s="10"/>
      <c r="V7" s="10"/>
      <c r="W7" s="10"/>
      <c r="X7" s="10"/>
      <c r="AA7" s="10"/>
      <c r="AB7" s="10"/>
    </row>
    <row r="8" spans="1:28" x14ac:dyDescent="0.25">
      <c r="A8">
        <f>COUNTA(K2:K193)</f>
        <v>0</v>
      </c>
      <c r="B8" t="s">
        <v>65</v>
      </c>
      <c r="C8" s="10">
        <f>SUM(L:L)</f>
        <v>0</v>
      </c>
      <c r="E8" t="s">
        <v>261</v>
      </c>
      <c r="I8" s="11"/>
      <c r="L8" s="10"/>
      <c r="M8" s="10"/>
      <c r="N8" s="10"/>
      <c r="O8" s="11"/>
      <c r="Q8" s="10"/>
      <c r="R8" s="10"/>
      <c r="S8" s="10"/>
      <c r="V8" s="10"/>
      <c r="W8" s="10"/>
      <c r="X8" s="10"/>
      <c r="AA8" s="10"/>
      <c r="AB8" s="10"/>
    </row>
    <row r="9" spans="1:28" x14ac:dyDescent="0.25">
      <c r="B9" t="s">
        <v>38</v>
      </c>
      <c r="C9" s="10">
        <f>SUM(M:M)</f>
        <v>0</v>
      </c>
      <c r="E9" t="s">
        <v>264</v>
      </c>
      <c r="I9" s="11"/>
      <c r="L9" s="10"/>
      <c r="M9" s="10"/>
      <c r="N9" s="10"/>
      <c r="O9" s="11"/>
      <c r="P9" s="10"/>
      <c r="Q9" s="10"/>
      <c r="R9" s="10"/>
      <c r="S9" s="10"/>
      <c r="V9" s="10"/>
      <c r="W9" s="10"/>
      <c r="X9" s="10"/>
      <c r="AA9" s="10"/>
      <c r="AB9" s="10"/>
    </row>
    <row r="10" spans="1:28" x14ac:dyDescent="0.25">
      <c r="B10" t="s">
        <v>39</v>
      </c>
      <c r="C10" s="10">
        <f>SUM(N:N)</f>
        <v>0</v>
      </c>
      <c r="E10" t="s">
        <v>268</v>
      </c>
      <c r="I10" s="11"/>
      <c r="L10" s="10"/>
      <c r="M10" s="10"/>
      <c r="N10" s="10"/>
      <c r="O10" s="11"/>
      <c r="P10" s="10"/>
      <c r="Q10" s="10"/>
      <c r="R10" s="10"/>
      <c r="S10" s="10"/>
      <c r="V10" s="10"/>
      <c r="W10" s="10"/>
      <c r="X10" s="10"/>
      <c r="AA10" s="10"/>
      <c r="AB10" s="10"/>
    </row>
    <row r="11" spans="1:28" x14ac:dyDescent="0.25">
      <c r="E11" t="s">
        <v>278</v>
      </c>
      <c r="I11" s="11"/>
      <c r="L11" s="10"/>
      <c r="M11" s="10"/>
      <c r="N11" s="10"/>
      <c r="O11" s="11"/>
      <c r="Q11" s="10"/>
      <c r="R11" s="10"/>
      <c r="S11" s="10"/>
      <c r="V11" s="10"/>
      <c r="W11" s="10"/>
      <c r="X11" s="10"/>
      <c r="AA11" s="10"/>
      <c r="AB11" s="10"/>
    </row>
    <row r="12" spans="1:28" x14ac:dyDescent="0.25">
      <c r="C12" s="10"/>
      <c r="E12" t="s">
        <v>247</v>
      </c>
      <c r="I12" s="11"/>
      <c r="L12" s="10"/>
      <c r="M12" s="10"/>
      <c r="N12" s="10"/>
      <c r="O12" s="11"/>
      <c r="P12" s="10"/>
      <c r="Q12" s="10"/>
      <c r="R12" s="10"/>
      <c r="S12" s="10"/>
      <c r="V12" s="10"/>
      <c r="W12" s="10"/>
      <c r="X12" s="10"/>
      <c r="AA12" s="10"/>
      <c r="AB12" s="10"/>
    </row>
    <row r="13" spans="1:28" x14ac:dyDescent="0.25">
      <c r="C13" s="10"/>
      <c r="E13" t="s">
        <v>274</v>
      </c>
      <c r="I13" s="11"/>
      <c r="L13" s="10"/>
      <c r="M13" s="10"/>
      <c r="N13" s="10"/>
      <c r="O13" s="11"/>
      <c r="Q13" s="10"/>
      <c r="R13" s="10"/>
      <c r="S13" s="10"/>
      <c r="V13" s="10"/>
      <c r="W13" s="10"/>
      <c r="X13" s="10"/>
      <c r="AA13" s="10"/>
      <c r="AB13" s="10"/>
    </row>
    <row r="14" spans="1:28" x14ac:dyDescent="0.25">
      <c r="C14" s="10"/>
      <c r="E14" t="s">
        <v>248</v>
      </c>
      <c r="I14" s="11"/>
      <c r="L14" s="10"/>
      <c r="M14" s="10"/>
      <c r="N14" s="10"/>
      <c r="O14" s="11"/>
      <c r="P14" s="10"/>
      <c r="Q14" s="10"/>
      <c r="R14" s="10"/>
      <c r="S14" s="10"/>
      <c r="V14" s="10"/>
      <c r="W14" s="10"/>
      <c r="X14" s="10"/>
      <c r="AA14" s="10"/>
      <c r="AB14" s="10"/>
    </row>
    <row r="15" spans="1:28" x14ac:dyDescent="0.25">
      <c r="C15" s="10"/>
      <c r="E15" t="s">
        <v>249</v>
      </c>
      <c r="I15" s="11"/>
      <c r="L15" s="10"/>
      <c r="M15" s="10"/>
      <c r="N15" s="10"/>
      <c r="O15" s="11"/>
      <c r="Q15" s="10"/>
      <c r="R15" s="10"/>
      <c r="S15" s="10"/>
      <c r="V15" s="10"/>
      <c r="W15" s="10"/>
      <c r="X15" s="10"/>
      <c r="AA15" s="10"/>
      <c r="AB15" s="10"/>
    </row>
    <row r="16" spans="1:28" x14ac:dyDescent="0.25">
      <c r="E16" t="s">
        <v>269</v>
      </c>
      <c r="I16" s="11"/>
      <c r="L16" s="10"/>
      <c r="M16" s="10"/>
      <c r="N16" s="10"/>
      <c r="O16" s="11"/>
      <c r="P16" s="10"/>
      <c r="Q16" s="10"/>
      <c r="R16" s="10"/>
      <c r="S16" s="10"/>
      <c r="V16" s="10"/>
      <c r="W16" s="10"/>
      <c r="X16" s="10"/>
      <c r="AA16" s="10"/>
      <c r="AB16" s="10"/>
    </row>
    <row r="17" spans="3:28" x14ac:dyDescent="0.25">
      <c r="C17" s="10"/>
      <c r="E17" t="s">
        <v>250</v>
      </c>
      <c r="I17" s="11"/>
      <c r="L17" s="10"/>
      <c r="M17" s="10"/>
      <c r="N17" s="10"/>
      <c r="O17" s="11"/>
      <c r="Q17" s="10"/>
      <c r="R17" s="10"/>
      <c r="S17" s="10"/>
      <c r="V17" s="10"/>
      <c r="W17" s="10"/>
      <c r="X17" s="10"/>
      <c r="AA17" s="10"/>
      <c r="AB17" s="10"/>
    </row>
    <row r="18" spans="3:28" x14ac:dyDescent="0.25">
      <c r="C18" s="10"/>
      <c r="E18" t="s">
        <v>251</v>
      </c>
      <c r="I18" s="11"/>
      <c r="L18" s="10"/>
      <c r="M18" s="10"/>
      <c r="N18" s="10"/>
      <c r="O18" s="11"/>
      <c r="Q18" s="10"/>
      <c r="R18" s="10"/>
      <c r="S18" s="10"/>
      <c r="V18" s="10"/>
      <c r="W18" s="10"/>
      <c r="X18" s="10"/>
      <c r="AA18" s="10"/>
      <c r="AB18" s="10"/>
    </row>
    <row r="19" spans="3:28" x14ac:dyDescent="0.25">
      <c r="C19" s="10"/>
      <c r="E19" t="s">
        <v>273</v>
      </c>
      <c r="I19" s="11"/>
      <c r="L19" s="10"/>
      <c r="M19" s="10"/>
      <c r="N19" s="10"/>
      <c r="O19" s="11"/>
      <c r="Q19" s="10"/>
      <c r="R19" s="10"/>
      <c r="S19" s="10"/>
      <c r="V19" s="10"/>
      <c r="W19" s="10"/>
      <c r="X19" s="10"/>
      <c r="AA19" s="10"/>
      <c r="AB19" s="10"/>
    </row>
    <row r="20" spans="3:28" x14ac:dyDescent="0.25">
      <c r="C20" s="10"/>
      <c r="E20" t="s">
        <v>275</v>
      </c>
      <c r="I20" s="11"/>
      <c r="L20" s="10"/>
      <c r="M20" s="10"/>
      <c r="N20" s="10"/>
      <c r="O20" s="11"/>
      <c r="Q20" s="10"/>
      <c r="R20" s="10"/>
      <c r="S20" s="10"/>
      <c r="V20" s="10"/>
      <c r="W20" s="10"/>
      <c r="X20" s="10"/>
      <c r="AA20" s="10"/>
      <c r="AB20" s="10"/>
    </row>
    <row r="21" spans="3:28" x14ac:dyDescent="0.25">
      <c r="E21" t="s">
        <v>265</v>
      </c>
      <c r="I21" s="11"/>
      <c r="L21" s="10"/>
      <c r="M21" s="10"/>
      <c r="N21" s="10"/>
      <c r="O21" s="11"/>
      <c r="Q21" s="10"/>
      <c r="R21" s="10"/>
      <c r="S21" s="10"/>
      <c r="V21" s="10"/>
      <c r="W21" s="10"/>
      <c r="X21" s="10"/>
      <c r="AA21" s="10"/>
      <c r="AB21" s="10"/>
    </row>
    <row r="22" spans="3:28" x14ac:dyDescent="0.25">
      <c r="C22" s="10"/>
      <c r="E22" t="s">
        <v>277</v>
      </c>
      <c r="I22" s="11"/>
      <c r="L22" s="10"/>
      <c r="M22" s="10"/>
      <c r="N22" s="10"/>
      <c r="O22" s="11"/>
      <c r="Q22" s="10"/>
      <c r="R22" s="10"/>
      <c r="S22" s="10"/>
      <c r="V22" s="10"/>
      <c r="W22" s="10"/>
      <c r="X22" s="10"/>
      <c r="AA22" s="10"/>
      <c r="AB22" s="10"/>
    </row>
    <row r="23" spans="3:28" x14ac:dyDescent="0.25">
      <c r="C23" s="10"/>
      <c r="E23" t="s">
        <v>252</v>
      </c>
      <c r="I23" s="11"/>
      <c r="L23" s="10"/>
      <c r="M23" s="10"/>
      <c r="N23" s="10"/>
      <c r="O23" s="11"/>
      <c r="Q23" s="10"/>
      <c r="R23" s="10"/>
      <c r="S23" s="10"/>
      <c r="V23" s="10"/>
      <c r="W23" s="10"/>
      <c r="X23" s="10"/>
      <c r="AA23" s="10"/>
      <c r="AB23" s="10"/>
    </row>
    <row r="24" spans="3:28" x14ac:dyDescent="0.25">
      <c r="C24" s="10"/>
      <c r="E24" t="s">
        <v>259</v>
      </c>
      <c r="I24" s="11"/>
      <c r="L24" s="10"/>
      <c r="M24" s="10"/>
      <c r="N24" s="10"/>
      <c r="O24" s="11"/>
      <c r="Q24" s="10"/>
      <c r="R24" s="10"/>
      <c r="S24" s="10"/>
      <c r="V24" s="10"/>
      <c r="W24" s="10"/>
      <c r="X24" s="10"/>
      <c r="AA24" s="10"/>
      <c r="AB24" s="10"/>
    </row>
    <row r="25" spans="3:28" x14ac:dyDescent="0.25">
      <c r="C25" s="10"/>
      <c r="E25" t="s">
        <v>253</v>
      </c>
      <c r="I25" s="11"/>
      <c r="L25" s="10"/>
      <c r="M25" s="10"/>
      <c r="N25" s="10"/>
      <c r="O25" s="11"/>
      <c r="Q25" s="10"/>
      <c r="R25" s="10"/>
      <c r="S25" s="10"/>
      <c r="V25" s="10"/>
      <c r="W25" s="10"/>
      <c r="X25" s="10"/>
      <c r="AA25" s="10"/>
      <c r="AB25" s="10"/>
    </row>
    <row r="26" spans="3:28" x14ac:dyDescent="0.25">
      <c r="E26" t="s">
        <v>254</v>
      </c>
      <c r="I26" s="11"/>
      <c r="L26" s="10"/>
      <c r="M26" s="10"/>
      <c r="N26" s="10"/>
      <c r="O26" s="11"/>
      <c r="Q26" s="10"/>
      <c r="R26" s="10"/>
      <c r="S26" s="10"/>
      <c r="V26" s="10"/>
      <c r="W26" s="10"/>
      <c r="X26" s="10"/>
      <c r="AA26" s="10"/>
      <c r="AB26" s="10"/>
    </row>
    <row r="27" spans="3:28" x14ac:dyDescent="0.25">
      <c r="C27" s="10"/>
      <c r="E27" t="s">
        <v>260</v>
      </c>
      <c r="I27" s="11"/>
      <c r="L27" s="10"/>
      <c r="M27" s="10"/>
      <c r="N27" s="10"/>
      <c r="O27" s="11"/>
      <c r="Q27" s="10"/>
      <c r="R27" s="10"/>
      <c r="S27" s="10"/>
      <c r="V27" s="10"/>
      <c r="W27" s="10"/>
      <c r="X27" s="10"/>
      <c r="AA27" s="10"/>
      <c r="AB27" s="10"/>
    </row>
    <row r="28" spans="3:28" x14ac:dyDescent="0.25">
      <c r="C28" s="10"/>
      <c r="E28" t="s">
        <v>266</v>
      </c>
      <c r="I28" s="11"/>
      <c r="L28" s="10"/>
      <c r="M28" s="10"/>
      <c r="N28" s="10"/>
      <c r="O28" s="11"/>
      <c r="P28" s="10"/>
      <c r="Q28" s="10"/>
      <c r="R28" s="10"/>
      <c r="S28" s="10"/>
      <c r="V28" s="10"/>
      <c r="W28" s="10"/>
      <c r="X28" s="10"/>
      <c r="AA28" s="10"/>
      <c r="AB28" s="10"/>
    </row>
    <row r="29" spans="3:28" x14ac:dyDescent="0.25">
      <c r="C29" s="10"/>
      <c r="E29" t="s">
        <v>245</v>
      </c>
      <c r="I29" s="11"/>
      <c r="L29" s="10"/>
      <c r="M29" s="10"/>
      <c r="N29" s="10"/>
      <c r="O29" s="11"/>
      <c r="Q29" s="10"/>
      <c r="R29" s="10"/>
      <c r="S29" s="10"/>
      <c r="V29" s="10"/>
      <c r="W29" s="10"/>
      <c r="X29" s="10"/>
      <c r="AA29" s="10"/>
      <c r="AB29" s="10"/>
    </row>
    <row r="30" spans="3:28" x14ac:dyDescent="0.25">
      <c r="C30" s="10"/>
      <c r="E30" t="s">
        <v>270</v>
      </c>
      <c r="I30" s="11"/>
      <c r="L30" s="10"/>
      <c r="M30" s="10"/>
      <c r="N30" s="10"/>
      <c r="O30" s="11"/>
      <c r="Q30" s="10"/>
      <c r="R30" s="10"/>
      <c r="S30" s="10"/>
      <c r="V30" s="10"/>
      <c r="W30" s="10"/>
      <c r="X30" s="10"/>
      <c r="AA30" s="10"/>
      <c r="AB30" s="10"/>
    </row>
    <row r="31" spans="3:28" x14ac:dyDescent="0.25">
      <c r="E31" t="s">
        <v>276</v>
      </c>
      <c r="L31" s="10"/>
      <c r="M31" s="10"/>
      <c r="N31" s="10"/>
      <c r="Q31" s="10"/>
      <c r="R31" s="10"/>
      <c r="S31" s="10"/>
      <c r="V31" s="10"/>
      <c r="W31" s="10"/>
      <c r="X31" s="10"/>
      <c r="AA31" s="10"/>
      <c r="AB31" s="10"/>
    </row>
    <row r="32" spans="3:28" x14ac:dyDescent="0.25">
      <c r="C32" s="10"/>
      <c r="E32" t="s">
        <v>271</v>
      </c>
      <c r="L32" s="10"/>
      <c r="M32" s="10"/>
      <c r="N32" s="10"/>
      <c r="Q32" s="10"/>
      <c r="R32" s="10"/>
      <c r="S32" s="10"/>
      <c r="V32" s="10"/>
      <c r="W32" s="10"/>
      <c r="X32" s="10"/>
      <c r="AA32" s="10"/>
      <c r="AB32" s="10"/>
    </row>
    <row r="33" spans="3:28" x14ac:dyDescent="0.25">
      <c r="C33" s="10"/>
      <c r="E33" t="s">
        <v>255</v>
      </c>
      <c r="L33" s="10"/>
      <c r="M33" s="10"/>
      <c r="N33" s="10"/>
      <c r="Q33" s="10"/>
      <c r="R33" s="10"/>
      <c r="S33" s="10"/>
      <c r="V33" s="10"/>
      <c r="W33" s="10"/>
      <c r="X33" s="10"/>
      <c r="AA33" s="10"/>
      <c r="AB33" s="10"/>
    </row>
    <row r="34" spans="3:28" x14ac:dyDescent="0.25">
      <c r="C34" s="10"/>
      <c r="E34" t="s">
        <v>256</v>
      </c>
      <c r="L34" s="10"/>
      <c r="M34" s="10"/>
      <c r="N34" s="10"/>
      <c r="Q34" s="10"/>
      <c r="R34" s="10"/>
      <c r="S34" s="10"/>
      <c r="V34" s="10"/>
      <c r="W34" s="10"/>
      <c r="X34" s="10"/>
      <c r="AA34" s="10"/>
      <c r="AB34" s="10"/>
    </row>
    <row r="35" spans="3:28" x14ac:dyDescent="0.25">
      <c r="C35" s="10"/>
      <c r="E35" t="s">
        <v>263</v>
      </c>
      <c r="L35" s="10"/>
      <c r="M35" s="10"/>
      <c r="N35" s="10"/>
      <c r="Q35" s="10"/>
      <c r="R35" s="10"/>
      <c r="S35" s="10"/>
      <c r="V35" s="10"/>
      <c r="W35" s="10"/>
      <c r="X35" s="10"/>
      <c r="AA35" s="10"/>
      <c r="AB35" s="10"/>
    </row>
    <row r="36" spans="3:28" x14ac:dyDescent="0.25">
      <c r="C36" s="10"/>
      <c r="E36" t="s">
        <v>257</v>
      </c>
      <c r="L36" s="10"/>
      <c r="M36" s="10"/>
      <c r="N36" s="10"/>
      <c r="Q36" s="10"/>
      <c r="R36" s="10"/>
      <c r="S36" s="10"/>
      <c r="V36" s="10"/>
      <c r="W36" s="10"/>
      <c r="X36" s="10"/>
      <c r="AA36" s="10"/>
      <c r="AB36" s="10"/>
    </row>
    <row r="37" spans="3:28" x14ac:dyDescent="0.25">
      <c r="C37" s="10"/>
      <c r="E37" t="s">
        <v>258</v>
      </c>
      <c r="L37" s="10"/>
      <c r="M37" s="10"/>
      <c r="N37" s="10"/>
      <c r="Q37" s="10"/>
      <c r="R37" s="10"/>
      <c r="S37" s="10"/>
      <c r="V37" s="10"/>
      <c r="W37" s="10"/>
      <c r="X37" s="10"/>
      <c r="AA37" s="10"/>
      <c r="AB37" s="10"/>
    </row>
    <row r="38" spans="3:28" x14ac:dyDescent="0.25">
      <c r="C38" s="10"/>
      <c r="L38" s="10"/>
      <c r="M38" s="10"/>
      <c r="N38" s="10"/>
      <c r="Q38" s="10"/>
      <c r="R38" s="10"/>
      <c r="S38" s="10"/>
      <c r="V38" s="10"/>
      <c r="W38" s="10"/>
      <c r="X38" s="10"/>
      <c r="AA38" s="10"/>
      <c r="AB38" s="10"/>
    </row>
    <row r="39" spans="3:28" x14ac:dyDescent="0.25">
      <c r="C39" s="10"/>
      <c r="L39" s="10"/>
      <c r="M39" s="10"/>
      <c r="N39" s="10"/>
      <c r="Q39" s="10"/>
      <c r="R39" s="10"/>
      <c r="S39" s="10"/>
      <c r="V39" s="10"/>
      <c r="W39" s="10"/>
      <c r="X39" s="10"/>
      <c r="AA39" s="10"/>
      <c r="AB39" s="10"/>
    </row>
    <row r="40" spans="3:28" x14ac:dyDescent="0.25">
      <c r="C40" s="10"/>
      <c r="L40" s="10"/>
      <c r="M40" s="10"/>
      <c r="N40" s="10"/>
      <c r="Q40" s="10"/>
      <c r="R40" s="10"/>
      <c r="S40" s="10"/>
      <c r="V40" s="10"/>
      <c r="W40" s="10"/>
      <c r="X40" s="10"/>
      <c r="AA40" s="10"/>
      <c r="AB40" s="10"/>
    </row>
    <row r="41" spans="3:28" x14ac:dyDescent="0.25">
      <c r="C41" s="10"/>
      <c r="L41" s="10"/>
      <c r="M41" s="10"/>
      <c r="N41" s="10"/>
      <c r="Q41" s="10"/>
      <c r="R41" s="10"/>
      <c r="S41" s="10"/>
      <c r="V41" s="10"/>
      <c r="W41" s="10"/>
      <c r="X41" s="10"/>
      <c r="AA41" s="10"/>
      <c r="AB41" s="10"/>
    </row>
    <row r="42" spans="3:28" x14ac:dyDescent="0.25">
      <c r="C42" s="10"/>
      <c r="L42" s="10"/>
      <c r="M42" s="10"/>
      <c r="N42" s="10"/>
      <c r="Q42" s="10"/>
      <c r="R42" s="10"/>
      <c r="S42" s="10"/>
      <c r="V42" s="10"/>
      <c r="W42" s="10"/>
      <c r="X42" s="10"/>
      <c r="AA42" s="10"/>
      <c r="AB42" s="10"/>
    </row>
    <row r="43" spans="3:28" x14ac:dyDescent="0.25">
      <c r="C43" s="10"/>
      <c r="L43" s="10"/>
      <c r="M43" s="10"/>
      <c r="N43" s="10"/>
      <c r="Q43" s="10"/>
      <c r="R43" s="10"/>
      <c r="S43" s="10"/>
      <c r="V43" s="10"/>
      <c r="W43" s="10"/>
      <c r="X43" s="10"/>
      <c r="AA43" s="10"/>
      <c r="AB43" s="10"/>
    </row>
    <row r="44" spans="3:28" x14ac:dyDescent="0.25">
      <c r="C44" s="10"/>
      <c r="L44" s="10"/>
      <c r="M44" s="10"/>
      <c r="N44" s="10"/>
      <c r="Q44" s="10"/>
      <c r="R44" s="10"/>
      <c r="S44" s="10"/>
      <c r="V44" s="10"/>
      <c r="W44" s="10"/>
      <c r="X44" s="10"/>
      <c r="AA44" s="10"/>
      <c r="AB44" s="10"/>
    </row>
    <row r="45" spans="3:28" x14ac:dyDescent="0.25">
      <c r="C45" s="10"/>
      <c r="L45" s="10"/>
      <c r="M45" s="10"/>
      <c r="N45" s="10"/>
      <c r="Q45" s="10"/>
      <c r="R45" s="10"/>
      <c r="S45" s="10"/>
      <c r="V45" s="10"/>
      <c r="W45" s="10"/>
      <c r="X45" s="10"/>
      <c r="AA45" s="10"/>
      <c r="AB45" s="10"/>
    </row>
    <row r="46" spans="3:28" x14ac:dyDescent="0.25">
      <c r="C46" s="10"/>
      <c r="L46" s="10"/>
      <c r="M46" s="10"/>
      <c r="N46" s="10"/>
      <c r="Q46" s="10"/>
      <c r="R46" s="10"/>
      <c r="S46" s="10"/>
      <c r="V46" s="10"/>
      <c r="W46" s="10"/>
      <c r="X46" s="10"/>
      <c r="AA46" s="10"/>
      <c r="AB46" s="10"/>
    </row>
    <row r="47" spans="3:28" x14ac:dyDescent="0.25">
      <c r="C47" s="10"/>
      <c r="L47" s="10"/>
      <c r="M47" s="10"/>
      <c r="N47" s="10"/>
      <c r="Q47" s="10"/>
      <c r="R47" s="10"/>
      <c r="S47" s="10"/>
      <c r="V47" s="10"/>
      <c r="W47" s="10"/>
      <c r="X47" s="10"/>
      <c r="AA47" s="10"/>
      <c r="AB47" s="10"/>
    </row>
    <row r="48" spans="3:28" x14ac:dyDescent="0.25">
      <c r="C48" s="10"/>
      <c r="L48" s="10"/>
      <c r="M48" s="10"/>
      <c r="N48" s="10"/>
      <c r="Q48" s="10"/>
      <c r="R48" s="10"/>
      <c r="S48" s="10"/>
      <c r="V48" s="10"/>
      <c r="W48" s="10"/>
      <c r="X48" s="10"/>
      <c r="AA48" s="10"/>
      <c r="AB48" s="10"/>
    </row>
    <row r="49" spans="3:28" x14ac:dyDescent="0.25">
      <c r="C49" s="10"/>
      <c r="L49" s="10"/>
      <c r="M49" s="10"/>
      <c r="N49" s="10"/>
      <c r="Q49" s="10"/>
      <c r="R49" s="10"/>
      <c r="S49" s="10"/>
      <c r="V49" s="10"/>
      <c r="W49" s="10"/>
      <c r="X49" s="10"/>
      <c r="AA49" s="10"/>
      <c r="AB49" s="10"/>
    </row>
    <row r="50" spans="3:28" x14ac:dyDescent="0.25">
      <c r="C50" s="10"/>
      <c r="L50" s="10"/>
      <c r="M50" s="10"/>
      <c r="N50" s="10"/>
      <c r="Q50" s="10"/>
      <c r="R50" s="10"/>
      <c r="S50" s="10"/>
      <c r="V50" s="10"/>
      <c r="W50" s="10"/>
      <c r="X50" s="10"/>
      <c r="AA50" s="10"/>
      <c r="AB50" s="10"/>
    </row>
    <row r="51" spans="3:28" x14ac:dyDescent="0.25">
      <c r="C51" s="10"/>
      <c r="L51" s="10"/>
      <c r="M51" s="10"/>
      <c r="N51" s="10"/>
      <c r="Q51" s="10"/>
      <c r="R51" s="10"/>
      <c r="S51" s="10"/>
      <c r="V51" s="10"/>
      <c r="W51" s="10"/>
      <c r="X51" s="10"/>
      <c r="AA51" s="10"/>
      <c r="AB51" s="10"/>
    </row>
    <row r="52" spans="3:28" x14ac:dyDescent="0.25">
      <c r="C52" s="10"/>
      <c r="L52" s="10"/>
      <c r="M52" s="10"/>
      <c r="N52" s="10"/>
      <c r="Q52" s="10"/>
      <c r="R52" s="10"/>
      <c r="S52" s="10"/>
      <c r="V52" s="10"/>
      <c r="W52" s="10"/>
      <c r="X52" s="10"/>
      <c r="AA52" s="10"/>
      <c r="AB52" s="10"/>
    </row>
    <row r="53" spans="3:28" x14ac:dyDescent="0.25">
      <c r="C53" s="10"/>
      <c r="L53" s="10"/>
      <c r="M53" s="10"/>
      <c r="N53" s="10"/>
      <c r="Q53" s="10"/>
      <c r="R53" s="10"/>
      <c r="S53" s="10"/>
      <c r="V53" s="10"/>
      <c r="W53" s="10"/>
      <c r="X53" s="10"/>
      <c r="AA53" s="10"/>
      <c r="AB53" s="10"/>
    </row>
    <row r="54" spans="3:28" x14ac:dyDescent="0.25">
      <c r="C54" s="10"/>
      <c r="L54" s="10"/>
      <c r="M54" s="10"/>
      <c r="N54" s="10"/>
      <c r="Q54" s="10"/>
      <c r="R54" s="10"/>
      <c r="S54" s="10"/>
      <c r="V54" s="10"/>
      <c r="W54" s="10"/>
      <c r="X54" s="10"/>
      <c r="AA54" s="10"/>
      <c r="AB54" s="10"/>
    </row>
    <row r="55" spans="3:28" x14ac:dyDescent="0.25">
      <c r="C55" s="10"/>
      <c r="L55" s="10"/>
      <c r="M55" s="10"/>
      <c r="N55" s="10"/>
      <c r="Q55" s="10"/>
      <c r="R55" s="10"/>
      <c r="S55" s="10"/>
      <c r="V55" s="10"/>
      <c r="W55" s="10"/>
      <c r="X55" s="10"/>
      <c r="AA55" s="10"/>
      <c r="AB55" s="10"/>
    </row>
    <row r="56" spans="3:28" x14ac:dyDescent="0.25">
      <c r="C56" s="10"/>
      <c r="I56" s="11"/>
      <c r="L56" s="10"/>
      <c r="M56" s="10"/>
      <c r="N56" s="10"/>
      <c r="O56" s="11"/>
      <c r="Q56" s="10"/>
      <c r="R56" s="10"/>
      <c r="S56" s="10"/>
      <c r="V56" s="10"/>
      <c r="W56" s="10"/>
      <c r="X56" s="10"/>
      <c r="AA56" s="10"/>
      <c r="AB56" s="10"/>
    </row>
    <row r="57" spans="3:28" x14ac:dyDescent="0.25">
      <c r="C57" s="10"/>
      <c r="I57" s="11"/>
      <c r="L57" s="10"/>
      <c r="M57" s="10"/>
      <c r="N57" s="10"/>
      <c r="O57" s="11"/>
      <c r="Q57" s="10"/>
      <c r="R57" s="10"/>
      <c r="S57" s="10"/>
      <c r="V57" s="10"/>
      <c r="W57" s="10"/>
      <c r="X57" s="10"/>
      <c r="AA57" s="10"/>
      <c r="AB57" s="10"/>
    </row>
    <row r="58" spans="3:28" x14ac:dyDescent="0.25">
      <c r="C58" s="10"/>
      <c r="I58" s="11"/>
      <c r="L58" s="10"/>
      <c r="M58" s="10"/>
      <c r="N58" s="10"/>
      <c r="O58" s="11"/>
      <c r="Q58" s="10"/>
      <c r="R58" s="10"/>
      <c r="S58" s="10"/>
      <c r="V58" s="10"/>
      <c r="W58" s="10"/>
      <c r="X58" s="10"/>
      <c r="AA58" s="10"/>
      <c r="AB58" s="10"/>
    </row>
    <row r="59" spans="3:28" x14ac:dyDescent="0.25">
      <c r="C59" s="10"/>
      <c r="I59" s="11"/>
      <c r="L59" s="10"/>
      <c r="M59" s="10"/>
      <c r="N59" s="10"/>
      <c r="O59" s="11"/>
      <c r="Q59" s="10"/>
      <c r="R59" s="10"/>
      <c r="S59" s="10"/>
      <c r="V59" s="10"/>
      <c r="W59" s="10"/>
      <c r="X59" s="10"/>
      <c r="AA59" s="10"/>
      <c r="AB59" s="10"/>
    </row>
    <row r="60" spans="3:28" x14ac:dyDescent="0.25">
      <c r="C60" s="10"/>
      <c r="I60" s="11"/>
      <c r="L60" s="10"/>
      <c r="M60" s="10"/>
      <c r="N60" s="10"/>
      <c r="O60" s="11"/>
      <c r="Q60" s="10"/>
      <c r="R60" s="10"/>
      <c r="S60" s="10"/>
      <c r="V60" s="10"/>
      <c r="W60" s="10"/>
      <c r="X60" s="10"/>
      <c r="AA60" s="10"/>
      <c r="AB60" s="10"/>
    </row>
    <row r="61" spans="3:28" x14ac:dyDescent="0.25">
      <c r="C61" s="10"/>
      <c r="I61" s="11"/>
      <c r="L61" s="10"/>
      <c r="M61" s="10"/>
      <c r="N61" s="10"/>
      <c r="O61" s="11"/>
      <c r="Q61" s="10"/>
      <c r="R61" s="10"/>
      <c r="S61" s="10"/>
      <c r="V61" s="10"/>
      <c r="W61" s="10"/>
      <c r="X61" s="10"/>
      <c r="AA61" s="10"/>
      <c r="AB61" s="10"/>
    </row>
    <row r="62" spans="3:28" x14ac:dyDescent="0.25">
      <c r="C62" s="10"/>
      <c r="I62" s="11"/>
      <c r="L62" s="10"/>
      <c r="M62" s="10"/>
      <c r="N62" s="10"/>
      <c r="O62" s="11"/>
      <c r="Q62" s="10"/>
      <c r="R62" s="10"/>
      <c r="S62" s="10"/>
      <c r="V62" s="10"/>
      <c r="W62" s="10"/>
      <c r="X62" s="10"/>
      <c r="AA62" s="10"/>
      <c r="AB62" s="10"/>
    </row>
    <row r="63" spans="3:28" x14ac:dyDescent="0.25">
      <c r="C63" s="10"/>
      <c r="I63" s="11"/>
      <c r="L63" s="10"/>
      <c r="M63" s="10"/>
      <c r="N63" s="10"/>
      <c r="O63" s="11"/>
      <c r="Q63" s="10"/>
      <c r="R63" s="10"/>
      <c r="S63" s="10"/>
      <c r="V63" s="10"/>
      <c r="W63" s="10"/>
      <c r="X63" s="10"/>
      <c r="AA63" s="10"/>
      <c r="AB63" s="10"/>
    </row>
    <row r="64" spans="3:28" x14ac:dyDescent="0.25">
      <c r="C64" s="10"/>
      <c r="I64" s="11"/>
      <c r="L64" s="10"/>
      <c r="M64" s="10"/>
      <c r="N64" s="10"/>
      <c r="O64" s="11"/>
      <c r="Q64" s="10"/>
      <c r="R64" s="10"/>
      <c r="S64" s="10"/>
      <c r="V64" s="10"/>
      <c r="W64" s="10"/>
      <c r="X64" s="10"/>
      <c r="AA64" s="10"/>
      <c r="AB64" s="10"/>
    </row>
    <row r="65" spans="3:28" x14ac:dyDescent="0.25">
      <c r="C65" s="10"/>
      <c r="I65" s="11"/>
      <c r="L65" s="10"/>
      <c r="M65" s="10"/>
      <c r="N65" s="10"/>
      <c r="O65" s="11"/>
      <c r="Q65" s="10"/>
      <c r="R65" s="10"/>
      <c r="S65" s="10"/>
      <c r="V65" s="10"/>
      <c r="W65" s="10"/>
      <c r="X65" s="10"/>
      <c r="AA65" s="10"/>
      <c r="AB65" s="10"/>
    </row>
    <row r="66" spans="3:28" x14ac:dyDescent="0.25">
      <c r="C66" s="10"/>
      <c r="I66" s="11"/>
      <c r="L66" s="10"/>
      <c r="M66" s="10"/>
      <c r="N66" s="10"/>
      <c r="O66" s="11"/>
      <c r="Q66" s="10"/>
      <c r="R66" s="10"/>
      <c r="S66" s="10"/>
      <c r="V66" s="10"/>
      <c r="W66" s="10"/>
      <c r="X66" s="10"/>
      <c r="AA66" s="10"/>
      <c r="AB66" s="10"/>
    </row>
    <row r="67" spans="3:28" x14ac:dyDescent="0.25">
      <c r="C67" s="10"/>
      <c r="I67" s="11"/>
      <c r="L67" s="10"/>
      <c r="M67" s="10"/>
      <c r="N67" s="10"/>
      <c r="O67" s="11"/>
      <c r="Q67" s="10"/>
      <c r="R67" s="10"/>
      <c r="S67" s="10"/>
      <c r="V67" s="10"/>
      <c r="W67" s="10"/>
      <c r="X67" s="10"/>
      <c r="AA67" s="10"/>
      <c r="AB67" s="10"/>
    </row>
    <row r="68" spans="3:28" x14ac:dyDescent="0.25">
      <c r="C68" s="10"/>
      <c r="I68" s="11"/>
      <c r="L68" s="10"/>
      <c r="M68" s="10"/>
      <c r="N68" s="10"/>
      <c r="O68" s="11"/>
      <c r="Q68" s="10"/>
      <c r="R68" s="10"/>
      <c r="S68" s="10"/>
      <c r="V68" s="10"/>
      <c r="W68" s="10"/>
      <c r="X68" s="10"/>
      <c r="AA68" s="10"/>
      <c r="AB68" s="10"/>
    </row>
    <row r="69" spans="3:28" x14ac:dyDescent="0.25">
      <c r="C69" s="10"/>
      <c r="I69" s="11"/>
      <c r="L69" s="10"/>
      <c r="M69" s="10"/>
      <c r="N69" s="10"/>
      <c r="O69" s="11"/>
      <c r="Q69" s="10"/>
      <c r="R69" s="10"/>
      <c r="S69" s="10"/>
      <c r="V69" s="10"/>
      <c r="W69" s="10"/>
      <c r="X69" s="10"/>
      <c r="AA69" s="10"/>
      <c r="AB69" s="10"/>
    </row>
    <row r="70" spans="3:28" x14ac:dyDescent="0.25">
      <c r="C70" s="10"/>
      <c r="I70" s="11"/>
      <c r="L70" s="10"/>
      <c r="M70" s="10"/>
      <c r="N70" s="10"/>
      <c r="O70" s="11"/>
      <c r="Q70" s="10"/>
      <c r="R70" s="10"/>
      <c r="S70" s="10"/>
      <c r="V70" s="10"/>
      <c r="W70" s="10"/>
      <c r="X70" s="10"/>
      <c r="AA70" s="10"/>
      <c r="AB70" s="10"/>
    </row>
    <row r="71" spans="3:28" x14ac:dyDescent="0.25">
      <c r="C71" s="10"/>
      <c r="I71" s="11"/>
      <c r="L71" s="10"/>
      <c r="M71" s="10"/>
      <c r="N71" s="10"/>
      <c r="O71" s="11"/>
      <c r="Q71" s="10"/>
      <c r="R71" s="10"/>
      <c r="S71" s="10"/>
      <c r="V71" s="10"/>
      <c r="W71" s="10"/>
      <c r="X71" s="10"/>
      <c r="AA71" s="10"/>
      <c r="AB71" s="10"/>
    </row>
    <row r="72" spans="3:28" x14ac:dyDescent="0.25">
      <c r="C72" s="10"/>
      <c r="I72" s="11"/>
      <c r="L72" s="10"/>
      <c r="M72" s="10"/>
      <c r="N72" s="10"/>
      <c r="O72" s="11"/>
      <c r="Q72" s="10"/>
      <c r="R72" s="10"/>
      <c r="S72" s="10"/>
      <c r="V72" s="10"/>
      <c r="W72" s="10"/>
      <c r="X72" s="10"/>
      <c r="AA72" s="10"/>
      <c r="AB72" s="10"/>
    </row>
    <row r="73" spans="3:28" x14ac:dyDescent="0.25">
      <c r="C73" s="10"/>
      <c r="I73" s="11"/>
      <c r="L73" s="10"/>
      <c r="M73" s="10"/>
      <c r="N73" s="10"/>
      <c r="O73" s="11"/>
      <c r="Q73" s="10"/>
      <c r="R73" s="10"/>
      <c r="S73" s="10"/>
      <c r="V73" s="10"/>
      <c r="W73" s="10"/>
      <c r="X73" s="10"/>
      <c r="AA73" s="10"/>
      <c r="AB73" s="10"/>
    </row>
    <row r="74" spans="3:28" x14ac:dyDescent="0.25">
      <c r="C74" s="10"/>
      <c r="I74" s="11"/>
      <c r="L74" s="10"/>
      <c r="M74" s="10"/>
      <c r="N74" s="10"/>
      <c r="O74" s="11"/>
      <c r="Q74" s="10"/>
      <c r="R74" s="10"/>
      <c r="S74" s="10"/>
      <c r="V74" s="10"/>
      <c r="W74" s="10"/>
      <c r="X74" s="10"/>
      <c r="AA74" s="10"/>
      <c r="AB74" s="10"/>
    </row>
    <row r="75" spans="3:28" x14ac:dyDescent="0.25">
      <c r="C75" s="10"/>
      <c r="I75" s="11"/>
      <c r="L75" s="10"/>
      <c r="M75" s="10"/>
      <c r="N75" s="10"/>
      <c r="O75" s="11"/>
      <c r="Q75" s="10"/>
      <c r="R75" s="10"/>
      <c r="S75" s="10"/>
      <c r="V75" s="10"/>
      <c r="W75" s="10"/>
      <c r="X75" s="10"/>
      <c r="AA75" s="10"/>
      <c r="AB75" s="10"/>
    </row>
    <row r="76" spans="3:28" x14ac:dyDescent="0.25">
      <c r="C76" s="10"/>
      <c r="I76" s="11"/>
      <c r="L76" s="10"/>
      <c r="M76" s="10"/>
      <c r="N76" s="10"/>
      <c r="O76" s="11"/>
      <c r="Q76" s="10"/>
      <c r="R76" s="10"/>
      <c r="S76" s="10"/>
      <c r="V76" s="10"/>
      <c r="W76" s="10"/>
      <c r="X76" s="10"/>
      <c r="AA76" s="10"/>
      <c r="AB76" s="10"/>
    </row>
    <row r="77" spans="3:28" x14ac:dyDescent="0.25">
      <c r="C77" s="10"/>
      <c r="I77" s="11"/>
      <c r="J77" s="10"/>
      <c r="K77" s="10"/>
      <c r="L77" s="10"/>
      <c r="M77" s="10"/>
      <c r="N77" s="10"/>
      <c r="O77" s="11"/>
      <c r="Q77" s="10"/>
      <c r="R77" s="10"/>
      <c r="S77" s="10"/>
      <c r="V77" s="10"/>
      <c r="W77" s="10"/>
      <c r="X77" s="10"/>
      <c r="AA77" s="10"/>
      <c r="AB77" s="10"/>
    </row>
    <row r="78" spans="3:28" x14ac:dyDescent="0.25">
      <c r="C78" s="10"/>
      <c r="I78" s="11"/>
      <c r="L78" s="10"/>
      <c r="M78" s="10"/>
      <c r="N78" s="10"/>
      <c r="O78" s="11"/>
      <c r="Q78" s="10"/>
      <c r="R78" s="10"/>
      <c r="S78" s="10"/>
      <c r="V78" s="10"/>
      <c r="W78" s="10"/>
      <c r="X78" s="10"/>
      <c r="AA78" s="10"/>
      <c r="AB78" s="10"/>
    </row>
    <row r="79" spans="3:28" x14ac:dyDescent="0.25">
      <c r="L79" s="10"/>
      <c r="M79" s="10"/>
      <c r="N79" s="10"/>
      <c r="Q79" s="10"/>
      <c r="R79" s="10"/>
      <c r="S79" s="10"/>
      <c r="V79" s="10"/>
      <c r="W79" s="10"/>
      <c r="X79" s="10"/>
      <c r="AA79" s="10"/>
      <c r="AB79" s="10"/>
    </row>
    <row r="80" spans="3:28" x14ac:dyDescent="0.25">
      <c r="L80" s="10"/>
      <c r="M80" s="10"/>
      <c r="N80" s="10"/>
      <c r="Q80" s="10"/>
      <c r="R80" s="10"/>
      <c r="S80" s="10"/>
      <c r="V80" s="10"/>
      <c r="W80" s="10"/>
      <c r="X80" s="10"/>
      <c r="AA80" s="10"/>
      <c r="AB80" s="10"/>
    </row>
    <row r="81" spans="12:28" x14ac:dyDescent="0.25">
      <c r="L81" s="10"/>
      <c r="M81" s="10"/>
      <c r="N81" s="10"/>
      <c r="Q81" s="10"/>
      <c r="R81" s="10"/>
      <c r="S81" s="10"/>
      <c r="V81" s="10"/>
      <c r="W81" s="10"/>
      <c r="X81" s="10"/>
      <c r="AA81" s="10"/>
      <c r="AB81" s="10"/>
    </row>
    <row r="82" spans="12:28" x14ac:dyDescent="0.25">
      <c r="L82" s="10"/>
      <c r="M82" s="10"/>
      <c r="N82" s="10"/>
      <c r="Q82" s="10"/>
      <c r="R82" s="10"/>
      <c r="S82" s="10"/>
      <c r="V82" s="10"/>
      <c r="W82" s="10"/>
      <c r="X82" s="10"/>
      <c r="AA82" s="10"/>
      <c r="AB82" s="10"/>
    </row>
    <row r="83" spans="12:28" x14ac:dyDescent="0.25">
      <c r="L83" s="10"/>
      <c r="M83" s="10"/>
      <c r="N83" s="10"/>
      <c r="Q83" s="10"/>
      <c r="R83" s="10"/>
      <c r="S83" s="10"/>
      <c r="V83" s="10"/>
      <c r="W83" s="10"/>
      <c r="X83" s="10"/>
      <c r="AA83" s="10"/>
      <c r="AB83" s="10"/>
    </row>
    <row r="84" spans="12:28" x14ac:dyDescent="0.25">
      <c r="L84" s="10"/>
      <c r="M84" s="10"/>
      <c r="N84" s="10"/>
      <c r="Q84" s="10"/>
      <c r="R84" s="10"/>
      <c r="S84" s="10"/>
      <c r="V84" s="10"/>
      <c r="W84" s="10"/>
      <c r="X84" s="10"/>
      <c r="AA84" s="10"/>
      <c r="AB84" s="10"/>
    </row>
    <row r="85" spans="12:28" x14ac:dyDescent="0.25">
      <c r="L85" s="10"/>
      <c r="M85" s="10"/>
      <c r="N85" s="10"/>
      <c r="Q85" s="10"/>
      <c r="R85" s="10"/>
      <c r="S85" s="10"/>
      <c r="V85" s="10"/>
      <c r="W85" s="10"/>
      <c r="X85" s="10"/>
      <c r="AA85" s="10"/>
      <c r="AB85" s="10"/>
    </row>
    <row r="86" spans="12:28" x14ac:dyDescent="0.25">
      <c r="L86" s="10"/>
      <c r="M86" s="10"/>
      <c r="N86" s="10"/>
      <c r="Q86" s="10"/>
      <c r="R86" s="10"/>
      <c r="S86" s="10"/>
      <c r="V86" s="10"/>
      <c r="W86" s="10"/>
      <c r="X86" s="10"/>
      <c r="AA86" s="10"/>
      <c r="AB86" s="10"/>
    </row>
    <row r="87" spans="12:28" x14ac:dyDescent="0.25">
      <c r="L87" s="10"/>
      <c r="M87" s="10"/>
      <c r="N87" s="10"/>
      <c r="Q87" s="10"/>
      <c r="R87" s="10"/>
      <c r="S87" s="10"/>
      <c r="V87" s="10"/>
      <c r="W87" s="10"/>
      <c r="X87" s="10"/>
      <c r="AA87" s="10"/>
      <c r="AB87" s="10"/>
    </row>
    <row r="88" spans="12:28" x14ac:dyDescent="0.25">
      <c r="L88" s="10"/>
      <c r="M88" s="10"/>
      <c r="N88" s="10"/>
      <c r="Q88" s="10"/>
      <c r="R88" s="10"/>
      <c r="S88" s="10"/>
      <c r="V88" s="10"/>
      <c r="W88" s="10"/>
      <c r="X88" s="10"/>
      <c r="AA88" s="10"/>
      <c r="AB88" s="10"/>
    </row>
    <row r="89" spans="12:28" x14ac:dyDescent="0.25">
      <c r="L89" s="10"/>
      <c r="M89" s="10"/>
      <c r="N89" s="10"/>
      <c r="Q89" s="10"/>
      <c r="R89" s="10"/>
      <c r="S89" s="10"/>
      <c r="V89" s="10"/>
      <c r="W89" s="10"/>
      <c r="X89" s="10"/>
      <c r="AA89" s="10"/>
      <c r="AB89" s="10"/>
    </row>
    <row r="90" spans="12:28" x14ac:dyDescent="0.25">
      <c r="L90" s="10"/>
      <c r="M90" s="10"/>
      <c r="N90" s="10"/>
      <c r="Q90" s="10"/>
      <c r="R90" s="10"/>
      <c r="S90" s="10"/>
      <c r="V90" s="10"/>
      <c r="W90" s="10"/>
      <c r="X90" s="10"/>
      <c r="AA90" s="10"/>
      <c r="AB90" s="10"/>
    </row>
    <row r="91" spans="12:28" x14ac:dyDescent="0.25">
      <c r="L91" s="10"/>
      <c r="M91" s="10"/>
      <c r="N91" s="10"/>
      <c r="Q91" s="10"/>
      <c r="R91" s="10"/>
      <c r="S91" s="10"/>
      <c r="V91" s="10"/>
      <c r="W91" s="10"/>
      <c r="X91" s="10"/>
      <c r="AA91" s="10"/>
      <c r="AB91" s="10"/>
    </row>
    <row r="92" spans="12:28" x14ac:dyDescent="0.25">
      <c r="L92" s="10"/>
      <c r="M92" s="10"/>
      <c r="N92" s="10"/>
      <c r="Q92" s="10"/>
      <c r="R92" s="10"/>
      <c r="S92" s="10"/>
      <c r="V92" s="10"/>
      <c r="W92" s="10"/>
      <c r="X92" s="10"/>
      <c r="AA92" s="10"/>
      <c r="AB92" s="10"/>
    </row>
    <row r="93" spans="12:28" x14ac:dyDescent="0.25">
      <c r="L93" s="10"/>
      <c r="M93" s="10"/>
      <c r="N93" s="10"/>
      <c r="Q93" s="10"/>
      <c r="R93" s="10"/>
      <c r="S93" s="10"/>
      <c r="V93" s="10"/>
      <c r="W93" s="10"/>
      <c r="X93" s="10"/>
      <c r="AA93" s="10"/>
      <c r="AB93" s="10"/>
    </row>
    <row r="94" spans="12:28" x14ac:dyDescent="0.25">
      <c r="L94" s="10"/>
      <c r="M94" s="10"/>
      <c r="N94" s="10"/>
      <c r="Q94" s="10"/>
      <c r="R94" s="10"/>
      <c r="S94" s="10"/>
      <c r="V94" s="10"/>
      <c r="W94" s="10"/>
      <c r="X94" s="10"/>
      <c r="AA94" s="10"/>
      <c r="AB94" s="10"/>
    </row>
    <row r="95" spans="12:28" x14ac:dyDescent="0.25">
      <c r="L95" s="10"/>
      <c r="M95" s="10"/>
      <c r="N95" s="10"/>
      <c r="Q95" s="10"/>
      <c r="R95" s="10"/>
      <c r="S95" s="10"/>
      <c r="V95" s="10"/>
      <c r="W95" s="10"/>
      <c r="X95" s="10"/>
      <c r="AA95" s="10"/>
      <c r="AB95" s="10"/>
    </row>
    <row r="96" spans="12:28" x14ac:dyDescent="0.25">
      <c r="L96" s="10"/>
      <c r="M96" s="10"/>
      <c r="N96" s="10"/>
      <c r="Q96" s="10"/>
      <c r="R96" s="10"/>
      <c r="S96" s="10"/>
      <c r="V96" s="10"/>
      <c r="W96" s="10"/>
      <c r="X96" s="10"/>
      <c r="AA96" s="10"/>
      <c r="AB96" s="10"/>
    </row>
    <row r="97" spans="12:28" x14ac:dyDescent="0.25">
      <c r="L97" s="10"/>
      <c r="M97" s="10"/>
      <c r="N97" s="10"/>
      <c r="Q97" s="10"/>
      <c r="R97" s="10"/>
      <c r="S97" s="10"/>
      <c r="V97" s="10"/>
      <c r="W97" s="10"/>
      <c r="X97" s="10"/>
      <c r="AA97" s="10"/>
      <c r="AB97" s="10"/>
    </row>
    <row r="98" spans="12:28" x14ac:dyDescent="0.25">
      <c r="L98" s="10"/>
      <c r="M98" s="10"/>
      <c r="N98" s="10"/>
      <c r="Q98" s="10"/>
      <c r="R98" s="10"/>
      <c r="S98" s="10"/>
      <c r="V98" s="10"/>
      <c r="W98" s="10"/>
      <c r="X98" s="10"/>
      <c r="AA98" s="10"/>
      <c r="AB98" s="10"/>
    </row>
    <row r="99" spans="12:28" x14ac:dyDescent="0.25">
      <c r="L99" s="10"/>
      <c r="M99" s="10"/>
      <c r="N99" s="10"/>
      <c r="Q99" s="10"/>
      <c r="R99" s="10"/>
      <c r="S99" s="10"/>
      <c r="V99" s="10"/>
      <c r="W99" s="10"/>
      <c r="X99" s="10"/>
      <c r="AA99" s="10"/>
      <c r="AB99" s="10"/>
    </row>
    <row r="100" spans="12:28" x14ac:dyDescent="0.25">
      <c r="L100" s="10"/>
      <c r="M100" s="10"/>
      <c r="N100" s="10"/>
      <c r="Q100" s="10"/>
      <c r="R100" s="10"/>
      <c r="S100" s="10"/>
      <c r="V100" s="10"/>
      <c r="W100" s="10"/>
      <c r="X100" s="10"/>
      <c r="AA100" s="10"/>
      <c r="AB100" s="10"/>
    </row>
    <row r="101" spans="12:28" x14ac:dyDescent="0.25">
      <c r="L101" s="10"/>
      <c r="M101" s="10"/>
      <c r="N101" s="10"/>
      <c r="Q101" s="10"/>
      <c r="R101" s="10"/>
      <c r="S101" s="10"/>
      <c r="V101" s="10"/>
      <c r="W101" s="10"/>
      <c r="X101" s="10"/>
      <c r="AA101" s="10"/>
      <c r="AB101" s="10"/>
    </row>
    <row r="102" spans="12:28" x14ac:dyDescent="0.25">
      <c r="L102" s="10"/>
      <c r="M102" s="10"/>
      <c r="N102" s="10"/>
      <c r="Q102" s="10"/>
      <c r="R102" s="10"/>
      <c r="S102" s="10"/>
      <c r="V102" s="10"/>
      <c r="W102" s="10"/>
      <c r="X102" s="10"/>
      <c r="AA102" s="10"/>
      <c r="AB102" s="10"/>
    </row>
    <row r="103" spans="12:28" x14ac:dyDescent="0.25">
      <c r="L103" s="10"/>
      <c r="M103" s="10"/>
      <c r="N103" s="10"/>
      <c r="Q103" s="10"/>
      <c r="R103" s="10"/>
      <c r="S103" s="10"/>
      <c r="V103" s="10"/>
      <c r="W103" s="10"/>
      <c r="X103" s="10"/>
      <c r="AA103" s="10"/>
      <c r="AB103" s="10"/>
    </row>
    <row r="104" spans="12:28" x14ac:dyDescent="0.25">
      <c r="L104" s="10"/>
      <c r="M104" s="10"/>
      <c r="N104" s="10"/>
      <c r="Q104" s="10"/>
      <c r="R104" s="10"/>
      <c r="S104" s="10"/>
      <c r="V104" s="10"/>
      <c r="W104" s="10"/>
      <c r="X104" s="10"/>
      <c r="AA104" s="10"/>
      <c r="AB104" s="10"/>
    </row>
    <row r="105" spans="12:28" x14ac:dyDescent="0.25">
      <c r="L105" s="10"/>
      <c r="M105" s="10"/>
      <c r="N105" s="10"/>
      <c r="Q105" s="10"/>
      <c r="R105" s="10"/>
      <c r="S105" s="10"/>
      <c r="V105" s="10"/>
      <c r="W105" s="10"/>
      <c r="X105" s="10"/>
      <c r="AA105" s="10"/>
      <c r="AB105" s="10"/>
    </row>
    <row r="106" spans="12:28" x14ac:dyDescent="0.25">
      <c r="L106" s="10"/>
      <c r="M106" s="10"/>
      <c r="N106" s="10"/>
      <c r="Q106" s="10"/>
      <c r="R106" s="10"/>
      <c r="S106" s="10"/>
      <c r="V106" s="10"/>
      <c r="W106" s="10"/>
      <c r="X106" s="10"/>
      <c r="AA106" s="10"/>
      <c r="AB106" s="10"/>
    </row>
    <row r="107" spans="12:28" x14ac:dyDescent="0.25">
      <c r="L107" s="10"/>
      <c r="M107" s="10"/>
      <c r="N107" s="10"/>
      <c r="Q107" s="10"/>
      <c r="R107" s="10"/>
      <c r="S107" s="10"/>
      <c r="V107" s="10"/>
      <c r="W107" s="10"/>
      <c r="X107" s="10"/>
      <c r="AA107" s="10"/>
      <c r="AB107" s="10"/>
    </row>
    <row r="108" spans="12:28" x14ac:dyDescent="0.25">
      <c r="L108" s="10"/>
      <c r="M108" s="10"/>
      <c r="N108" s="10"/>
      <c r="Q108" s="10"/>
      <c r="R108" s="10"/>
      <c r="S108" s="10"/>
      <c r="V108" s="10"/>
      <c r="W108" s="10"/>
      <c r="X108" s="10"/>
      <c r="AA108" s="10"/>
      <c r="AB108" s="10"/>
    </row>
    <row r="109" spans="12:28" x14ac:dyDescent="0.25">
      <c r="L109" s="10"/>
      <c r="M109" s="10"/>
      <c r="N109" s="10"/>
      <c r="Q109" s="10"/>
      <c r="R109" s="10"/>
      <c r="S109" s="10"/>
      <c r="V109" s="10"/>
      <c r="W109" s="10"/>
      <c r="X109" s="10"/>
      <c r="AA109" s="10"/>
      <c r="AB109" s="10"/>
    </row>
    <row r="110" spans="12:28" x14ac:dyDescent="0.25">
      <c r="L110" s="10"/>
      <c r="M110" s="10"/>
      <c r="N110" s="10"/>
      <c r="Q110" s="10"/>
      <c r="R110" s="10"/>
      <c r="S110" s="10"/>
      <c r="V110" s="10"/>
      <c r="W110" s="10"/>
      <c r="X110" s="10"/>
      <c r="AA110" s="10"/>
      <c r="AB110" s="10"/>
    </row>
    <row r="111" spans="12:28" x14ac:dyDescent="0.25">
      <c r="L111" s="10"/>
      <c r="M111" s="10"/>
      <c r="N111" s="10"/>
      <c r="Q111" s="10"/>
      <c r="R111" s="10"/>
      <c r="S111" s="10"/>
      <c r="V111" s="10"/>
      <c r="W111" s="10"/>
      <c r="X111" s="10"/>
      <c r="AA111" s="10"/>
      <c r="AB111" s="10"/>
    </row>
    <row r="112" spans="12:28" x14ac:dyDescent="0.25">
      <c r="L112" s="10"/>
      <c r="M112" s="10"/>
      <c r="N112" s="10"/>
      <c r="Q112" s="10"/>
      <c r="R112" s="10"/>
      <c r="S112" s="10"/>
      <c r="V112" s="10"/>
      <c r="W112" s="10"/>
      <c r="X112" s="10"/>
      <c r="AA112" s="10"/>
      <c r="AB112" s="10"/>
    </row>
    <row r="113" spans="12:28" x14ac:dyDescent="0.25">
      <c r="L113" s="10"/>
      <c r="M113" s="10"/>
      <c r="N113" s="10"/>
      <c r="Q113" s="10"/>
      <c r="R113" s="10"/>
      <c r="S113" s="10"/>
      <c r="V113" s="10"/>
      <c r="W113" s="10"/>
      <c r="X113" s="10"/>
      <c r="AA113" s="10"/>
      <c r="AB113" s="10"/>
    </row>
    <row r="114" spans="12:28" x14ac:dyDescent="0.25">
      <c r="L114" s="10"/>
      <c r="M114" s="10"/>
      <c r="N114" s="10"/>
      <c r="Q114" s="10"/>
      <c r="R114" s="10"/>
      <c r="S114" s="10"/>
      <c r="V114" s="10"/>
      <c r="W114" s="10"/>
      <c r="X114" s="10"/>
      <c r="AA114" s="10"/>
      <c r="AB114" s="10"/>
    </row>
    <row r="115" spans="12:28" x14ac:dyDescent="0.25">
      <c r="L115" s="10"/>
      <c r="M115" s="10"/>
      <c r="N115" s="10"/>
      <c r="Q115" s="10"/>
      <c r="R115" s="10"/>
      <c r="S115" s="10"/>
      <c r="V115" s="10"/>
      <c r="W115" s="10"/>
      <c r="X115" s="10"/>
      <c r="AA115" s="10"/>
      <c r="AB115" s="10"/>
    </row>
    <row r="116" spans="12:28" x14ac:dyDescent="0.25">
      <c r="L116" s="10"/>
      <c r="M116" s="10"/>
      <c r="N116" s="10"/>
      <c r="Q116" s="10"/>
      <c r="R116" s="10"/>
      <c r="S116" s="10"/>
      <c r="V116" s="10"/>
      <c r="W116" s="10"/>
      <c r="X116" s="10"/>
      <c r="AA116" s="10"/>
      <c r="AB116" s="10"/>
    </row>
    <row r="117" spans="12:28" x14ac:dyDescent="0.25">
      <c r="L117" s="10"/>
      <c r="M117" s="10"/>
      <c r="N117" s="10"/>
      <c r="Q117" s="10"/>
      <c r="R117" s="10"/>
      <c r="S117" s="10"/>
      <c r="V117" s="10"/>
      <c r="W117" s="10"/>
      <c r="X117" s="10"/>
      <c r="AA117" s="10"/>
      <c r="AB117" s="10"/>
    </row>
    <row r="118" spans="12:28" x14ac:dyDescent="0.25">
      <c r="L118" s="10"/>
      <c r="M118" s="10"/>
      <c r="N118" s="10"/>
      <c r="Q118" s="10"/>
      <c r="R118" s="10"/>
      <c r="S118" s="10"/>
      <c r="V118" s="10"/>
      <c r="W118" s="10"/>
      <c r="X118" s="10"/>
      <c r="AA118" s="10"/>
      <c r="AB118" s="10"/>
    </row>
    <row r="119" spans="12:28" x14ac:dyDescent="0.25">
      <c r="L119" s="10"/>
      <c r="M119" s="10"/>
      <c r="N119" s="10"/>
      <c r="Q119" s="10"/>
      <c r="R119" s="10"/>
      <c r="S119" s="10"/>
      <c r="V119" s="10"/>
      <c r="W119" s="10"/>
      <c r="X119" s="10"/>
      <c r="AA119" s="10"/>
      <c r="AB119" s="10"/>
    </row>
    <row r="120" spans="12:28" x14ac:dyDescent="0.25">
      <c r="L120" s="10"/>
      <c r="M120" s="10"/>
      <c r="N120" s="10"/>
      <c r="Q120" s="10"/>
      <c r="R120" s="10"/>
      <c r="S120" s="10"/>
      <c r="V120" s="10"/>
      <c r="W120" s="10"/>
      <c r="X120" s="10"/>
      <c r="AA120" s="10"/>
      <c r="AB120" s="10"/>
    </row>
    <row r="121" spans="12:28" x14ac:dyDescent="0.25">
      <c r="L121" s="10"/>
      <c r="M121" s="10"/>
      <c r="N121" s="10"/>
      <c r="Q121" s="10"/>
      <c r="R121" s="10"/>
      <c r="S121" s="10"/>
      <c r="V121" s="10"/>
      <c r="W121" s="10"/>
      <c r="X121" s="10"/>
      <c r="AA121" s="10"/>
      <c r="AB121" s="10"/>
    </row>
    <row r="122" spans="12:28" x14ac:dyDescent="0.25">
      <c r="L122" s="10"/>
      <c r="M122" s="10"/>
      <c r="N122" s="10"/>
      <c r="Q122" s="10"/>
      <c r="R122" s="10"/>
      <c r="S122" s="10"/>
      <c r="V122" s="10"/>
      <c r="W122" s="10"/>
      <c r="X122" s="10"/>
      <c r="AA122" s="10"/>
      <c r="AB122" s="10"/>
    </row>
    <row r="123" spans="12:28" x14ac:dyDescent="0.25">
      <c r="L123" s="10"/>
      <c r="M123" s="10"/>
      <c r="N123" s="10"/>
      <c r="Q123" s="10"/>
      <c r="R123" s="10"/>
      <c r="S123" s="10"/>
      <c r="V123" s="10"/>
      <c r="W123" s="10"/>
      <c r="X123" s="10"/>
      <c r="AA123" s="10"/>
      <c r="AB123" s="10"/>
    </row>
    <row r="124" spans="12:28" x14ac:dyDescent="0.25">
      <c r="L124" s="10"/>
      <c r="M124" s="10"/>
      <c r="N124" s="10"/>
      <c r="Q124" s="10"/>
      <c r="R124" s="10"/>
      <c r="S124" s="10"/>
      <c r="V124" s="10"/>
      <c r="W124" s="10"/>
      <c r="X124" s="10"/>
      <c r="AA124" s="10"/>
      <c r="AB124" s="10"/>
    </row>
    <row r="125" spans="12:28" x14ac:dyDescent="0.25">
      <c r="L125" s="10"/>
      <c r="M125" s="10"/>
      <c r="N125" s="10"/>
      <c r="Q125" s="10"/>
      <c r="R125" s="10"/>
      <c r="S125" s="10"/>
      <c r="V125" s="10"/>
      <c r="W125" s="10"/>
      <c r="X125" s="10"/>
      <c r="AA125" s="10"/>
      <c r="AB125" s="10"/>
    </row>
    <row r="126" spans="12:28" x14ac:dyDescent="0.25">
      <c r="L126" s="10"/>
      <c r="M126" s="10"/>
      <c r="N126" s="10"/>
      <c r="Q126" s="10"/>
      <c r="R126" s="10"/>
      <c r="S126" s="10"/>
      <c r="V126" s="10"/>
      <c r="W126" s="10"/>
      <c r="X126" s="10"/>
      <c r="AA126" s="10"/>
      <c r="AB126" s="10"/>
    </row>
    <row r="127" spans="12:28" x14ac:dyDescent="0.25">
      <c r="L127" s="10"/>
      <c r="M127" s="10"/>
      <c r="N127" s="10"/>
      <c r="Q127" s="10"/>
      <c r="R127" s="10"/>
      <c r="S127" s="10"/>
      <c r="V127" s="10"/>
      <c r="W127" s="10"/>
      <c r="X127" s="10"/>
      <c r="AA127" s="10"/>
      <c r="AB127" s="10"/>
    </row>
    <row r="128" spans="12:28" x14ac:dyDescent="0.25">
      <c r="L128" s="10"/>
      <c r="M128" s="10"/>
      <c r="N128" s="10"/>
      <c r="Q128" s="10"/>
      <c r="R128" s="10"/>
      <c r="S128" s="10"/>
      <c r="V128" s="10"/>
      <c r="W128" s="10"/>
      <c r="X128" s="10"/>
      <c r="AA128" s="10"/>
      <c r="AB128" s="10"/>
    </row>
    <row r="129" spans="12:28" x14ac:dyDescent="0.25">
      <c r="L129" s="10"/>
      <c r="M129" s="10"/>
      <c r="N129" s="10"/>
      <c r="Q129" s="10"/>
      <c r="R129" s="10"/>
      <c r="S129" s="10"/>
      <c r="V129" s="10"/>
      <c r="W129" s="10"/>
      <c r="X129" s="10"/>
      <c r="AA129" s="10"/>
      <c r="AB129" s="10"/>
    </row>
    <row r="130" spans="12:28" x14ac:dyDescent="0.25">
      <c r="L130" s="10"/>
      <c r="M130" s="10"/>
      <c r="N130" s="10"/>
      <c r="Q130" s="10"/>
      <c r="R130" s="10"/>
      <c r="S130" s="10"/>
      <c r="V130" s="10"/>
      <c r="W130" s="10"/>
      <c r="X130" s="10"/>
      <c r="AA130" s="10"/>
      <c r="AB130" s="10"/>
    </row>
    <row r="131" spans="12:28" x14ac:dyDescent="0.25">
      <c r="L131" s="10"/>
      <c r="M131" s="10"/>
      <c r="N131" s="10"/>
      <c r="Q131" s="10"/>
      <c r="R131" s="10"/>
      <c r="S131" s="10"/>
      <c r="V131" s="10"/>
      <c r="W131" s="10"/>
      <c r="X131" s="10"/>
      <c r="AA131" s="10"/>
      <c r="AB131" s="10"/>
    </row>
    <row r="132" spans="12:28" x14ac:dyDescent="0.25">
      <c r="L132" s="10"/>
      <c r="M132" s="10"/>
      <c r="N132" s="10"/>
      <c r="Q132" s="10"/>
      <c r="R132" s="10"/>
      <c r="S132" s="10"/>
      <c r="V132" s="10"/>
      <c r="W132" s="10"/>
      <c r="X132" s="10"/>
      <c r="AA132" s="10"/>
      <c r="AB132" s="10"/>
    </row>
    <row r="133" spans="12:28" x14ac:dyDescent="0.25">
      <c r="L133" s="10"/>
      <c r="M133" s="10"/>
      <c r="N133" s="10"/>
      <c r="Q133" s="10"/>
      <c r="R133" s="10"/>
      <c r="S133" s="10"/>
      <c r="V133" s="10"/>
      <c r="W133" s="10"/>
      <c r="X133" s="10"/>
      <c r="AA133" s="10"/>
      <c r="AB133" s="10"/>
    </row>
    <row r="134" spans="12:28" x14ac:dyDescent="0.25">
      <c r="L134" s="10"/>
      <c r="M134" s="10"/>
      <c r="N134" s="10"/>
      <c r="Q134" s="10"/>
      <c r="R134" s="10"/>
      <c r="S134" s="10"/>
      <c r="V134" s="10"/>
      <c r="W134" s="10"/>
      <c r="X134" s="10"/>
      <c r="AA134" s="10"/>
      <c r="AB134" s="10"/>
    </row>
    <row r="135" spans="12:28" x14ac:dyDescent="0.25">
      <c r="L135" s="10"/>
      <c r="M135" s="10"/>
      <c r="N135" s="10"/>
      <c r="Q135" s="10"/>
      <c r="R135" s="10"/>
      <c r="S135" s="10"/>
      <c r="V135" s="10"/>
      <c r="W135" s="10"/>
      <c r="X135" s="10"/>
      <c r="AA135" s="10"/>
      <c r="AB135" s="10"/>
    </row>
    <row r="136" spans="12:28" x14ac:dyDescent="0.25">
      <c r="L136" s="10"/>
      <c r="M136" s="10"/>
      <c r="N136" s="10"/>
      <c r="Q136" s="10"/>
      <c r="R136" s="10"/>
      <c r="S136" s="10"/>
      <c r="V136" s="10"/>
      <c r="W136" s="10"/>
      <c r="X136" s="10"/>
      <c r="AA136" s="10"/>
      <c r="AB136" s="10"/>
    </row>
    <row r="137" spans="12:28" x14ac:dyDescent="0.25">
      <c r="L137" s="10"/>
      <c r="M137" s="10"/>
      <c r="N137" s="10"/>
      <c r="Q137" s="10"/>
      <c r="R137" s="10"/>
      <c r="S137" s="10"/>
      <c r="V137" s="10"/>
      <c r="W137" s="10"/>
      <c r="X137" s="10"/>
      <c r="AA137" s="10"/>
      <c r="AB137" s="10"/>
    </row>
    <row r="138" spans="12:28" x14ac:dyDescent="0.25">
      <c r="L138" s="10"/>
      <c r="M138" s="10"/>
      <c r="N138" s="10"/>
      <c r="Q138" s="10"/>
      <c r="R138" s="10"/>
      <c r="S138" s="10"/>
      <c r="V138" s="10"/>
      <c r="W138" s="10"/>
      <c r="X138" s="10"/>
      <c r="AA138" s="10"/>
      <c r="AB138" s="10"/>
    </row>
    <row r="139" spans="12:28" x14ac:dyDescent="0.25">
      <c r="L139" s="10"/>
      <c r="M139" s="10"/>
      <c r="N139" s="10"/>
      <c r="Q139" s="10"/>
      <c r="R139" s="10"/>
      <c r="S139" s="10"/>
      <c r="V139" s="10"/>
      <c r="W139" s="10"/>
      <c r="X139" s="10"/>
      <c r="AA139" s="10"/>
      <c r="AB139" s="10"/>
    </row>
    <row r="140" spans="12:28" x14ac:dyDescent="0.25">
      <c r="L140" s="10"/>
      <c r="M140" s="10"/>
      <c r="N140" s="10"/>
      <c r="Q140" s="10"/>
      <c r="R140" s="10"/>
      <c r="S140" s="10"/>
      <c r="V140" s="10"/>
      <c r="W140" s="10"/>
      <c r="X140" s="10"/>
      <c r="AA140" s="10"/>
      <c r="AB140" s="10"/>
    </row>
    <row r="141" spans="12:28" x14ac:dyDescent="0.25">
      <c r="L141" s="10"/>
      <c r="M141" s="10"/>
      <c r="N141" s="10"/>
      <c r="Q141" s="10"/>
      <c r="R141" s="10"/>
      <c r="S141" s="10"/>
      <c r="V141" s="10"/>
      <c r="W141" s="10"/>
      <c r="X141" s="10"/>
      <c r="AA141" s="10"/>
      <c r="AB141" s="10"/>
    </row>
    <row r="142" spans="12:28" x14ac:dyDescent="0.25">
      <c r="L142" s="10"/>
      <c r="M142" s="10"/>
      <c r="N142" s="10"/>
      <c r="Q142" s="10"/>
      <c r="R142" s="10"/>
      <c r="S142" s="10"/>
      <c r="V142" s="10"/>
      <c r="W142" s="10"/>
      <c r="X142" s="10"/>
      <c r="AA142" s="10"/>
      <c r="AB142" s="10"/>
    </row>
    <row r="143" spans="12:28" x14ac:dyDescent="0.25">
      <c r="L143" s="10"/>
      <c r="M143" s="10"/>
      <c r="N143" s="10"/>
      <c r="Q143" s="10"/>
      <c r="R143" s="10"/>
      <c r="S143" s="10"/>
      <c r="V143" s="10"/>
      <c r="W143" s="10"/>
      <c r="X143" s="10"/>
      <c r="AA143" s="10"/>
      <c r="AB143" s="10"/>
    </row>
    <row r="144" spans="12:28" x14ac:dyDescent="0.25">
      <c r="L144" s="10"/>
      <c r="M144" s="10"/>
      <c r="N144" s="10"/>
      <c r="Q144" s="10"/>
      <c r="R144" s="10"/>
      <c r="S144" s="10"/>
      <c r="V144" s="10"/>
      <c r="W144" s="10"/>
      <c r="X144" s="10"/>
      <c r="AA144" s="10"/>
      <c r="AB144" s="10"/>
    </row>
    <row r="145" spans="12:28" x14ac:dyDescent="0.25">
      <c r="L145" s="10"/>
      <c r="M145" s="10"/>
      <c r="N145" s="10"/>
      <c r="Q145" s="10"/>
      <c r="R145" s="10"/>
      <c r="S145" s="10"/>
      <c r="V145" s="10"/>
      <c r="W145" s="10"/>
      <c r="X145" s="10"/>
      <c r="AA145" s="10"/>
      <c r="AB145" s="10"/>
    </row>
    <row r="146" spans="12:28" x14ac:dyDescent="0.25">
      <c r="L146" s="10"/>
      <c r="M146" s="10"/>
      <c r="N146" s="10"/>
      <c r="Q146" s="10"/>
      <c r="R146" s="10"/>
      <c r="S146" s="10"/>
      <c r="V146" s="10"/>
      <c r="W146" s="10"/>
      <c r="X146" s="10"/>
      <c r="AA146" s="10"/>
      <c r="AB146" s="10"/>
    </row>
    <row r="147" spans="12:28" x14ac:dyDescent="0.25">
      <c r="L147" s="10"/>
      <c r="M147" s="10"/>
      <c r="N147" s="10"/>
      <c r="Q147" s="10"/>
      <c r="R147" s="10"/>
      <c r="S147" s="10"/>
      <c r="V147" s="10"/>
      <c r="W147" s="10"/>
      <c r="X147" s="10"/>
      <c r="AA147" s="10"/>
      <c r="AB147" s="10"/>
    </row>
    <row r="148" spans="12:28" x14ac:dyDescent="0.25">
      <c r="L148" s="10"/>
      <c r="M148" s="10"/>
      <c r="N148" s="10"/>
      <c r="Q148" s="10"/>
      <c r="R148" s="10"/>
      <c r="S148" s="10"/>
      <c r="V148" s="10"/>
      <c r="W148" s="10"/>
      <c r="X148" s="10"/>
      <c r="AA148" s="10"/>
      <c r="AB148" s="10"/>
    </row>
    <row r="149" spans="12:28" x14ac:dyDescent="0.25">
      <c r="L149" s="10"/>
      <c r="M149" s="10"/>
      <c r="N149" s="10"/>
      <c r="Q149" s="10"/>
      <c r="R149" s="10"/>
      <c r="S149" s="10"/>
      <c r="V149" s="10"/>
      <c r="W149" s="10"/>
      <c r="X149" s="10"/>
      <c r="AA149" s="10"/>
      <c r="AB149" s="10"/>
    </row>
    <row r="150" spans="12:28" x14ac:dyDescent="0.25">
      <c r="L150" s="10"/>
      <c r="M150" s="10"/>
      <c r="N150" s="10"/>
      <c r="Q150" s="10"/>
      <c r="R150" s="10"/>
      <c r="S150" s="10"/>
      <c r="V150" s="10"/>
      <c r="W150" s="10"/>
      <c r="X150" s="10"/>
      <c r="AA150" s="10"/>
      <c r="AB150" s="10"/>
    </row>
    <row r="151" spans="12:28" x14ac:dyDescent="0.25">
      <c r="L151" s="10"/>
      <c r="M151" s="10"/>
      <c r="N151" s="10"/>
      <c r="Q151" s="10"/>
      <c r="R151" s="10"/>
      <c r="S151" s="10"/>
      <c r="V151" s="10"/>
      <c r="W151" s="10"/>
      <c r="X151" s="10"/>
      <c r="AA151" s="10"/>
      <c r="AB151" s="10"/>
    </row>
    <row r="152" spans="12:28" x14ac:dyDescent="0.25">
      <c r="L152" s="10"/>
      <c r="M152" s="10"/>
      <c r="N152" s="10"/>
      <c r="Q152" s="10"/>
      <c r="R152" s="10"/>
      <c r="S152" s="10"/>
      <c r="V152" s="10"/>
      <c r="W152" s="10"/>
      <c r="X152" s="10"/>
      <c r="AA152" s="10"/>
      <c r="AB152" s="10"/>
    </row>
    <row r="153" spans="12:28" x14ac:dyDescent="0.25">
      <c r="L153" s="10"/>
      <c r="M153" s="10"/>
      <c r="N153" s="10"/>
      <c r="Q153" s="10"/>
      <c r="R153" s="10"/>
      <c r="S153" s="10"/>
      <c r="V153" s="10"/>
      <c r="W153" s="10"/>
      <c r="X153" s="10"/>
      <c r="AA153" s="10"/>
      <c r="AB153" s="10"/>
    </row>
    <row r="154" spans="12:28" x14ac:dyDescent="0.25">
      <c r="L154" s="10"/>
      <c r="M154" s="10"/>
      <c r="N154" s="10"/>
      <c r="Q154" s="10"/>
      <c r="R154" s="10"/>
      <c r="S154" s="10"/>
      <c r="V154" s="10"/>
      <c r="W154" s="10"/>
      <c r="X154" s="10"/>
      <c r="AA154" s="10"/>
      <c r="AB154" s="10"/>
    </row>
    <row r="155" spans="12:28" x14ac:dyDescent="0.25">
      <c r="L155" s="10"/>
      <c r="M155" s="10"/>
      <c r="N155" s="10"/>
      <c r="Q155" s="10"/>
      <c r="R155" s="10"/>
      <c r="S155" s="10"/>
      <c r="V155" s="10"/>
      <c r="W155" s="10"/>
      <c r="X155" s="10"/>
      <c r="AA155" s="10"/>
      <c r="AB155" s="10"/>
    </row>
    <row r="156" spans="12:28" x14ac:dyDescent="0.25">
      <c r="L156" s="10"/>
      <c r="M156" s="10"/>
      <c r="N156" s="10"/>
      <c r="Q156" s="10"/>
      <c r="R156" s="10"/>
      <c r="S156" s="10"/>
      <c r="V156" s="10"/>
      <c r="W156" s="10"/>
      <c r="X156" s="10"/>
      <c r="AA156" s="10"/>
      <c r="AB156" s="10"/>
    </row>
    <row r="157" spans="12:28" x14ac:dyDescent="0.25">
      <c r="L157" s="10"/>
      <c r="M157" s="10"/>
      <c r="N157" s="10"/>
      <c r="Q157" s="10"/>
      <c r="R157" s="10"/>
      <c r="S157" s="10"/>
      <c r="V157" s="10"/>
      <c r="W157" s="10"/>
      <c r="X157" s="10"/>
      <c r="AA157" s="10"/>
      <c r="AB157" s="10"/>
    </row>
    <row r="158" spans="12:28" x14ac:dyDescent="0.25">
      <c r="L158" s="10"/>
      <c r="M158" s="10"/>
      <c r="N158" s="10"/>
      <c r="Q158" s="10"/>
      <c r="R158" s="10"/>
      <c r="S158" s="10"/>
      <c r="V158" s="10"/>
      <c r="W158" s="10"/>
      <c r="X158" s="10"/>
      <c r="AA158" s="10"/>
      <c r="AB158" s="10"/>
    </row>
    <row r="159" spans="12:28" x14ac:dyDescent="0.25">
      <c r="L159" s="10"/>
      <c r="M159" s="10"/>
      <c r="N159" s="10"/>
      <c r="Q159" s="10"/>
      <c r="R159" s="10"/>
      <c r="S159" s="10"/>
      <c r="V159" s="10"/>
      <c r="W159" s="10"/>
      <c r="X159" s="10"/>
      <c r="AA159" s="10"/>
      <c r="AB159" s="10"/>
    </row>
    <row r="160" spans="12:28" x14ac:dyDescent="0.25">
      <c r="L160" s="10"/>
      <c r="M160" s="10"/>
      <c r="N160" s="10"/>
      <c r="Q160" s="10"/>
      <c r="R160" s="10"/>
      <c r="S160" s="10"/>
      <c r="V160" s="10"/>
      <c r="W160" s="10"/>
      <c r="X160" s="10"/>
      <c r="AA160" s="10"/>
      <c r="AB160" s="10"/>
    </row>
    <row r="161" spans="12:28" x14ac:dyDescent="0.25">
      <c r="L161" s="10"/>
      <c r="M161" s="10"/>
      <c r="N161" s="10"/>
      <c r="Q161" s="10"/>
      <c r="R161" s="10"/>
      <c r="S161" s="10"/>
      <c r="V161" s="10"/>
      <c r="W161" s="10"/>
      <c r="X161" s="10"/>
      <c r="AA161" s="10"/>
      <c r="AB161" s="10"/>
    </row>
    <row r="162" spans="12:28" x14ac:dyDescent="0.25">
      <c r="L162" s="10"/>
      <c r="M162" s="10"/>
      <c r="N162" s="10"/>
      <c r="Q162" s="10"/>
      <c r="R162" s="10"/>
      <c r="S162" s="10"/>
      <c r="V162" s="10"/>
      <c r="W162" s="10"/>
      <c r="X162" s="10"/>
      <c r="AA162" s="10"/>
      <c r="AB162" s="10"/>
    </row>
    <row r="163" spans="12:28" x14ac:dyDescent="0.25">
      <c r="L163" s="10"/>
      <c r="M163" s="10"/>
      <c r="N163" s="10"/>
      <c r="Q163" s="10"/>
      <c r="R163" s="10"/>
      <c r="S163" s="10"/>
      <c r="V163" s="10"/>
      <c r="W163" s="10"/>
      <c r="X163" s="10"/>
      <c r="AA163" s="10"/>
      <c r="AB163" s="10"/>
    </row>
    <row r="164" spans="12:28" x14ac:dyDescent="0.25">
      <c r="L164" s="10"/>
      <c r="M164" s="10"/>
      <c r="N164" s="10"/>
      <c r="Q164" s="10"/>
      <c r="R164" s="10"/>
      <c r="S164" s="10"/>
      <c r="V164" s="10"/>
      <c r="W164" s="10"/>
      <c r="X164" s="10"/>
      <c r="AA164" s="10"/>
      <c r="AB164" s="10"/>
    </row>
    <row r="165" spans="12:28" x14ac:dyDescent="0.25">
      <c r="L165" s="10"/>
      <c r="M165" s="10"/>
      <c r="N165" s="10"/>
      <c r="Q165" s="10"/>
      <c r="R165" s="10"/>
      <c r="S165" s="10"/>
      <c r="V165" s="10"/>
      <c r="W165" s="10"/>
      <c r="X165" s="10"/>
      <c r="AA165" s="10"/>
      <c r="AB165" s="10"/>
    </row>
    <row r="166" spans="12:28" x14ac:dyDescent="0.25">
      <c r="L166" s="10"/>
      <c r="M166" s="10"/>
      <c r="N166" s="10"/>
      <c r="Q166" s="10"/>
      <c r="R166" s="10"/>
      <c r="S166" s="10"/>
      <c r="V166" s="10"/>
      <c r="W166" s="10"/>
      <c r="X166" s="10"/>
      <c r="AA166" s="10"/>
      <c r="AB166" s="10"/>
    </row>
    <row r="167" spans="12:28" x14ac:dyDescent="0.25">
      <c r="L167" s="10"/>
      <c r="M167" s="10"/>
      <c r="N167" s="10"/>
      <c r="Q167" s="10"/>
      <c r="R167" s="10"/>
      <c r="S167" s="10"/>
      <c r="V167" s="10"/>
      <c r="W167" s="10"/>
      <c r="X167" s="10"/>
      <c r="AA167" s="10"/>
      <c r="AB167" s="10"/>
    </row>
    <row r="168" spans="12:28" x14ac:dyDescent="0.25">
      <c r="L168" s="10"/>
      <c r="M168" s="10"/>
      <c r="N168" s="10"/>
      <c r="Q168" s="10"/>
      <c r="R168" s="10"/>
      <c r="S168" s="10"/>
      <c r="V168" s="10"/>
      <c r="W168" s="10"/>
      <c r="X168" s="10"/>
      <c r="AA168" s="10"/>
      <c r="AB168" s="10"/>
    </row>
    <row r="169" spans="12:28" x14ac:dyDescent="0.25">
      <c r="L169" s="10"/>
      <c r="M169" s="10"/>
      <c r="N169" s="10"/>
      <c r="Q169" s="10"/>
      <c r="R169" s="10"/>
      <c r="S169" s="10"/>
      <c r="V169" s="10"/>
      <c r="W169" s="10"/>
      <c r="X169" s="10"/>
      <c r="AA169" s="10"/>
      <c r="AB169" s="10"/>
    </row>
    <row r="170" spans="12:28" x14ac:dyDescent="0.25">
      <c r="L170" s="10"/>
      <c r="M170" s="10"/>
      <c r="N170" s="10"/>
      <c r="Q170" s="10"/>
      <c r="R170" s="10"/>
      <c r="S170" s="10"/>
      <c r="V170" s="10"/>
      <c r="W170" s="10"/>
      <c r="X170" s="10"/>
      <c r="AA170" s="10"/>
      <c r="AB170" s="10"/>
    </row>
    <row r="171" spans="12:28" x14ac:dyDescent="0.25">
      <c r="L171" s="10"/>
      <c r="M171" s="10"/>
      <c r="N171" s="10"/>
      <c r="Q171" s="10"/>
      <c r="R171" s="10"/>
      <c r="S171" s="10"/>
      <c r="V171" s="10"/>
      <c r="W171" s="10"/>
      <c r="X171" s="10"/>
      <c r="AA171" s="10"/>
      <c r="AB171" s="10"/>
    </row>
    <row r="172" spans="12:28" x14ac:dyDescent="0.25">
      <c r="L172" s="10"/>
      <c r="M172" s="10"/>
      <c r="N172" s="10"/>
      <c r="Q172" s="10"/>
      <c r="R172" s="10"/>
      <c r="S172" s="10"/>
      <c r="V172" s="10"/>
      <c r="W172" s="10"/>
      <c r="X172" s="10"/>
      <c r="AA172" s="10"/>
      <c r="AB172" s="10"/>
    </row>
    <row r="173" spans="12:28" x14ac:dyDescent="0.25">
      <c r="L173" s="10"/>
      <c r="M173" s="10"/>
      <c r="N173" s="10"/>
      <c r="Q173" s="10"/>
      <c r="R173" s="10"/>
      <c r="S173" s="10"/>
      <c r="V173" s="10"/>
      <c r="W173" s="10"/>
      <c r="X173" s="10"/>
      <c r="AA173" s="10"/>
      <c r="AB173" s="10"/>
    </row>
    <row r="174" spans="12:28" x14ac:dyDescent="0.25">
      <c r="L174" s="10"/>
      <c r="M174" s="10"/>
      <c r="N174" s="10"/>
      <c r="Q174" s="10"/>
      <c r="R174" s="10"/>
      <c r="S174" s="10"/>
      <c r="V174" s="10"/>
      <c r="W174" s="10"/>
      <c r="X174" s="10"/>
      <c r="AA174" s="10"/>
      <c r="AB174" s="10"/>
    </row>
    <row r="175" spans="12:28" x14ac:dyDescent="0.25">
      <c r="L175" s="10"/>
      <c r="M175" s="10"/>
      <c r="N175" s="10"/>
      <c r="Q175" s="10"/>
      <c r="R175" s="10"/>
      <c r="S175" s="10"/>
      <c r="V175" s="10"/>
      <c r="W175" s="10"/>
      <c r="X175" s="10"/>
      <c r="AA175" s="10"/>
      <c r="AB175" s="10"/>
    </row>
    <row r="176" spans="12:28" x14ac:dyDescent="0.25">
      <c r="L176" s="10"/>
      <c r="M176" s="10"/>
      <c r="N176" s="10"/>
      <c r="Q176" s="10"/>
      <c r="R176" s="10"/>
      <c r="S176" s="10"/>
      <c r="V176" s="10"/>
      <c r="W176" s="10"/>
      <c r="X176" s="10"/>
      <c r="AA176" s="10"/>
      <c r="AB176" s="10"/>
    </row>
    <row r="177" spans="12:28" x14ac:dyDescent="0.25">
      <c r="L177" s="10"/>
      <c r="M177" s="10"/>
      <c r="N177" s="10"/>
      <c r="Q177" s="10"/>
      <c r="R177" s="10"/>
      <c r="S177" s="10"/>
      <c r="V177" s="10"/>
      <c r="W177" s="10"/>
      <c r="X177" s="10"/>
      <c r="AA177" s="10"/>
      <c r="AB177" s="10"/>
    </row>
    <row r="178" spans="12:28" x14ac:dyDescent="0.25">
      <c r="L178" s="10"/>
      <c r="M178" s="10"/>
      <c r="N178" s="10"/>
      <c r="Q178" s="10"/>
      <c r="R178" s="10"/>
      <c r="S178" s="10"/>
      <c r="V178" s="10"/>
      <c r="W178" s="10"/>
      <c r="X178" s="10"/>
      <c r="AA178" s="10"/>
      <c r="AB178" s="10"/>
    </row>
    <row r="179" spans="12:28" x14ac:dyDescent="0.25">
      <c r="L179" s="10"/>
      <c r="M179" s="10"/>
      <c r="N179" s="10"/>
      <c r="Q179" s="10"/>
      <c r="R179" s="10"/>
      <c r="S179" s="10"/>
      <c r="V179" s="10"/>
      <c r="W179" s="10"/>
      <c r="X179" s="10"/>
      <c r="AA179" s="10"/>
      <c r="AB179" s="10"/>
    </row>
    <row r="180" spans="12:28" x14ac:dyDescent="0.25">
      <c r="L180" s="10"/>
      <c r="M180" s="10"/>
      <c r="N180" s="10"/>
      <c r="Q180" s="10"/>
      <c r="R180" s="10"/>
      <c r="S180" s="10"/>
      <c r="V180" s="10"/>
      <c r="W180" s="10"/>
      <c r="X180" s="10"/>
      <c r="AA180" s="10"/>
      <c r="AB180" s="10"/>
    </row>
    <row r="181" spans="12:28" x14ac:dyDescent="0.25">
      <c r="L181" s="10"/>
      <c r="M181" s="10"/>
      <c r="N181" s="10"/>
      <c r="Q181" s="10"/>
      <c r="R181" s="10"/>
      <c r="S181" s="10"/>
      <c r="V181" s="10"/>
      <c r="W181" s="10"/>
      <c r="X181" s="10"/>
      <c r="AA181" s="10"/>
      <c r="AB181" s="10"/>
    </row>
    <row r="182" spans="12:28" x14ac:dyDescent="0.25">
      <c r="L182" s="10"/>
      <c r="M182" s="10"/>
      <c r="N182" s="10"/>
      <c r="Q182" s="10"/>
      <c r="R182" s="10"/>
      <c r="S182" s="10"/>
      <c r="V182" s="10"/>
      <c r="W182" s="10"/>
      <c r="X182" s="10"/>
      <c r="AA182" s="10"/>
      <c r="AB182" s="10"/>
    </row>
    <row r="183" spans="12:28" x14ac:dyDescent="0.25">
      <c r="L183" s="10"/>
      <c r="M183" s="10"/>
      <c r="N183" s="10"/>
      <c r="Q183" s="10"/>
      <c r="R183" s="10"/>
      <c r="S183" s="10"/>
      <c r="V183" s="10"/>
      <c r="W183" s="10"/>
      <c r="X183" s="10"/>
      <c r="AA183" s="10"/>
      <c r="AB183" s="10"/>
    </row>
    <row r="184" spans="12:28" x14ac:dyDescent="0.25">
      <c r="L184" s="10"/>
      <c r="M184" s="10"/>
      <c r="N184" s="10"/>
      <c r="Q184" s="10"/>
      <c r="R184" s="10"/>
      <c r="S184" s="10"/>
      <c r="V184" s="10"/>
      <c r="W184" s="10"/>
      <c r="X184" s="10"/>
      <c r="AA184" s="10"/>
      <c r="AB184" s="10"/>
    </row>
    <row r="185" spans="12:28" x14ac:dyDescent="0.25">
      <c r="L185" s="10"/>
      <c r="M185" s="10"/>
      <c r="N185" s="10"/>
      <c r="Q185" s="10"/>
      <c r="R185" s="10"/>
      <c r="S185" s="10"/>
      <c r="V185" s="10"/>
      <c r="W185" s="10"/>
      <c r="X185" s="10"/>
      <c r="AA185" s="10"/>
      <c r="AB185" s="10"/>
    </row>
    <row r="186" spans="12:28" x14ac:dyDescent="0.25">
      <c r="L186" s="10"/>
      <c r="M186" s="10"/>
      <c r="N186" s="10"/>
      <c r="Q186" s="10"/>
      <c r="R186" s="10"/>
      <c r="S186" s="10"/>
      <c r="V186" s="10"/>
      <c r="W186" s="10"/>
      <c r="X186" s="10"/>
      <c r="AA186" s="10"/>
      <c r="AB186" s="10"/>
    </row>
    <row r="187" spans="12:28" x14ac:dyDescent="0.25">
      <c r="L187" s="10"/>
      <c r="M187" s="10"/>
      <c r="N187" s="10"/>
      <c r="Q187" s="10"/>
      <c r="R187" s="10"/>
      <c r="S187" s="10"/>
      <c r="V187" s="10"/>
      <c r="W187" s="10"/>
      <c r="X187" s="10"/>
      <c r="AA187" s="10"/>
      <c r="AB187" s="10"/>
    </row>
    <row r="188" spans="12:28" x14ac:dyDescent="0.25">
      <c r="L188" s="10"/>
      <c r="M188" s="10"/>
      <c r="N188" s="10"/>
      <c r="Q188" s="10"/>
      <c r="R188" s="10"/>
      <c r="S188" s="10"/>
      <c r="V188" s="10"/>
      <c r="W188" s="10"/>
      <c r="X188" s="10"/>
      <c r="AA188" s="10"/>
      <c r="AB188" s="10"/>
    </row>
    <row r="189" spans="12:28" x14ac:dyDescent="0.25">
      <c r="L189" s="10"/>
      <c r="M189" s="10"/>
      <c r="N189" s="10"/>
      <c r="Q189" s="10"/>
      <c r="R189" s="10"/>
      <c r="S189" s="10"/>
      <c r="V189" s="10"/>
      <c r="W189" s="10"/>
      <c r="X189" s="10"/>
      <c r="AA189" s="10"/>
      <c r="AB189" s="10"/>
    </row>
    <row r="190" spans="12:28" x14ac:dyDescent="0.25">
      <c r="L190" s="10"/>
      <c r="M190" s="10"/>
      <c r="N190" s="10"/>
      <c r="Q190" s="10"/>
      <c r="R190" s="10"/>
      <c r="S190" s="10"/>
      <c r="V190" s="10"/>
      <c r="W190" s="10"/>
      <c r="X190" s="10"/>
      <c r="AA190" s="10"/>
      <c r="AB190" s="10"/>
    </row>
    <row r="191" spans="12:28" x14ac:dyDescent="0.25">
      <c r="L191" s="10"/>
      <c r="M191" s="10"/>
      <c r="N191" s="10"/>
      <c r="Q191" s="10"/>
      <c r="R191" s="10"/>
      <c r="S191" s="10"/>
      <c r="V191" s="10"/>
      <c r="W191" s="10"/>
      <c r="X191" s="10"/>
      <c r="AA191" s="10"/>
      <c r="AB191" s="10"/>
    </row>
    <row r="192" spans="12:28" x14ac:dyDescent="0.25">
      <c r="L192" s="10"/>
      <c r="M192" s="10"/>
      <c r="N192" s="10"/>
      <c r="Q192" s="10"/>
      <c r="R192" s="10"/>
      <c r="S192" s="10"/>
      <c r="V192" s="10"/>
      <c r="W192" s="10"/>
      <c r="X192" s="10"/>
      <c r="AA192" s="10"/>
      <c r="AB192" s="10"/>
    </row>
    <row r="193" spans="12:28" x14ac:dyDescent="0.25">
      <c r="L193" s="10"/>
      <c r="M193" s="10"/>
      <c r="N193" s="10"/>
      <c r="Q193" s="10"/>
      <c r="R193" s="10"/>
      <c r="S193" s="10"/>
      <c r="V193" s="10"/>
      <c r="W193" s="10"/>
      <c r="X193" s="10"/>
      <c r="AA193" s="10"/>
      <c r="AB193" s="10"/>
    </row>
    <row r="194" spans="12:28" x14ac:dyDescent="0.25">
      <c r="L194" s="10"/>
      <c r="M194" s="10"/>
      <c r="N194" s="10"/>
      <c r="Q194" s="10"/>
      <c r="R194" s="10"/>
      <c r="S194" s="10"/>
      <c r="V194" s="10"/>
      <c r="W194" s="10"/>
      <c r="X194" s="10"/>
      <c r="AA194" s="10"/>
      <c r="AB194" s="10"/>
    </row>
    <row r="195" spans="12:28" x14ac:dyDescent="0.25">
      <c r="L195" s="10"/>
      <c r="M195" s="10"/>
      <c r="N195" s="10"/>
      <c r="Q195" s="10"/>
      <c r="R195" s="10"/>
      <c r="S195" s="10"/>
      <c r="V195" s="10"/>
      <c r="W195" s="10"/>
      <c r="X195" s="10"/>
      <c r="AA195" s="10"/>
      <c r="AB195" s="10"/>
    </row>
    <row r="196" spans="12:28" x14ac:dyDescent="0.25">
      <c r="L196" s="10"/>
      <c r="M196" s="10"/>
      <c r="N196" s="10"/>
      <c r="Q196" s="10"/>
      <c r="R196" s="10"/>
      <c r="S196" s="10"/>
      <c r="V196" s="10"/>
      <c r="W196" s="10"/>
      <c r="X196" s="10"/>
      <c r="AA196" s="10"/>
      <c r="AB196" s="10"/>
    </row>
    <row r="197" spans="12:28" x14ac:dyDescent="0.25">
      <c r="L197" s="10"/>
      <c r="M197" s="10"/>
      <c r="N197" s="10"/>
      <c r="Q197" s="10"/>
      <c r="R197" s="10"/>
      <c r="S197" s="10"/>
      <c r="V197" s="10"/>
      <c r="W197" s="10"/>
      <c r="X197" s="10"/>
      <c r="AA197" s="10"/>
      <c r="AB197" s="10"/>
    </row>
    <row r="198" spans="12:28" x14ac:dyDescent="0.25">
      <c r="L198" s="10"/>
      <c r="M198" s="10"/>
      <c r="N198" s="10"/>
      <c r="Q198" s="10"/>
      <c r="R198" s="10"/>
      <c r="S198" s="10"/>
      <c r="V198" s="10"/>
      <c r="W198" s="10"/>
      <c r="X198" s="10"/>
      <c r="AA198" s="10"/>
      <c r="AB198" s="10"/>
    </row>
    <row r="199" spans="12:28" x14ac:dyDescent="0.25">
      <c r="L199" s="10"/>
      <c r="M199" s="10"/>
      <c r="N199" s="10"/>
      <c r="Q199" s="10"/>
      <c r="R199" s="10"/>
      <c r="S199" s="10"/>
      <c r="V199" s="10"/>
      <c r="W199" s="10"/>
      <c r="X199" s="10"/>
      <c r="AA199" s="10"/>
      <c r="AB199" s="10"/>
    </row>
    <row r="200" spans="12:28" x14ac:dyDescent="0.25">
      <c r="L200" s="10"/>
      <c r="M200" s="10"/>
      <c r="N200" s="10"/>
      <c r="Q200" s="10"/>
      <c r="R200" s="10"/>
      <c r="S200" s="10"/>
      <c r="V200" s="10"/>
      <c r="W200" s="10"/>
      <c r="X200" s="10"/>
      <c r="AA200" s="10"/>
      <c r="AB200" s="10"/>
    </row>
    <row r="201" spans="12:28" x14ac:dyDescent="0.25">
      <c r="L201" s="10"/>
      <c r="M201" s="10"/>
      <c r="N201" s="10"/>
      <c r="Q201" s="10"/>
      <c r="R201" s="10"/>
      <c r="S201" s="10"/>
      <c r="V201" s="10"/>
      <c r="W201" s="10"/>
      <c r="X201" s="10"/>
      <c r="AA201" s="10"/>
      <c r="AB201" s="10"/>
    </row>
    <row r="202" spans="12:28" x14ac:dyDescent="0.25">
      <c r="L202" s="10"/>
      <c r="M202" s="10"/>
      <c r="N202" s="10"/>
      <c r="Q202" s="10"/>
      <c r="R202" s="10"/>
      <c r="S202" s="10"/>
      <c r="V202" s="10"/>
      <c r="W202" s="10"/>
      <c r="X202" s="10"/>
      <c r="AA202" s="10"/>
      <c r="AB202" s="10"/>
    </row>
    <row r="203" spans="12:28" x14ac:dyDescent="0.25">
      <c r="L203" s="10"/>
      <c r="M203" s="10"/>
      <c r="N203" s="10"/>
      <c r="Q203" s="10"/>
      <c r="R203" s="10"/>
      <c r="S203" s="10"/>
      <c r="V203" s="10"/>
      <c r="W203" s="10"/>
      <c r="X203" s="10"/>
      <c r="AA203" s="10"/>
      <c r="AB203" s="10"/>
    </row>
    <row r="204" spans="12:28" x14ac:dyDescent="0.25">
      <c r="L204" s="10"/>
      <c r="M204" s="10"/>
      <c r="N204" s="10"/>
      <c r="Q204" s="10"/>
      <c r="R204" s="10"/>
      <c r="S204" s="10"/>
      <c r="V204" s="10"/>
      <c r="W204" s="10"/>
      <c r="X204" s="10"/>
      <c r="AA204" s="10"/>
      <c r="AB204" s="10"/>
    </row>
    <row r="205" spans="12:28" x14ac:dyDescent="0.25">
      <c r="L205" s="10"/>
      <c r="M205" s="10"/>
      <c r="N205" s="10"/>
      <c r="Q205" s="10"/>
      <c r="R205" s="10"/>
      <c r="S205" s="10"/>
      <c r="V205" s="10"/>
      <c r="W205" s="10"/>
      <c r="X205" s="10"/>
      <c r="AA205" s="10"/>
      <c r="AB205" s="10"/>
    </row>
    <row r="206" spans="12:28" x14ac:dyDescent="0.25">
      <c r="L206" s="10"/>
      <c r="M206" s="10"/>
      <c r="N206" s="10"/>
      <c r="Q206" s="10"/>
      <c r="R206" s="10"/>
      <c r="S206" s="10"/>
      <c r="V206" s="10"/>
      <c r="W206" s="10"/>
      <c r="X206" s="10"/>
      <c r="AA206" s="10"/>
      <c r="AB206" s="10"/>
    </row>
    <row r="207" spans="12:28" x14ac:dyDescent="0.25">
      <c r="L207" s="10"/>
      <c r="M207" s="10"/>
      <c r="N207" s="10"/>
      <c r="Q207" s="10"/>
      <c r="R207" s="10"/>
      <c r="S207" s="10"/>
      <c r="V207" s="10"/>
      <c r="W207" s="10"/>
      <c r="X207" s="10"/>
      <c r="AA207" s="10"/>
      <c r="AB207" s="10"/>
    </row>
    <row r="208" spans="12:28" x14ac:dyDescent="0.25">
      <c r="L208" s="10"/>
      <c r="M208" s="10"/>
      <c r="N208" s="10"/>
      <c r="Q208" s="10"/>
      <c r="R208" s="10"/>
      <c r="S208" s="10"/>
      <c r="V208" s="10"/>
      <c r="W208" s="10"/>
      <c r="X208" s="10"/>
      <c r="AA208" s="10"/>
      <c r="AB208" s="10"/>
    </row>
    <row r="209" spans="12:28" x14ac:dyDescent="0.25">
      <c r="L209" s="10"/>
      <c r="M209" s="10"/>
      <c r="N209" s="10"/>
      <c r="Q209" s="10"/>
      <c r="R209" s="10"/>
      <c r="S209" s="10"/>
      <c r="V209" s="10"/>
      <c r="W209" s="10"/>
      <c r="X209" s="10"/>
      <c r="AA209" s="10"/>
      <c r="AB209" s="10"/>
    </row>
    <row r="210" spans="12:28" x14ac:dyDescent="0.25">
      <c r="L210" s="10"/>
      <c r="M210" s="10"/>
      <c r="N210" s="10"/>
      <c r="Q210" s="10"/>
      <c r="R210" s="10"/>
      <c r="S210" s="10"/>
      <c r="V210" s="10"/>
      <c r="W210" s="10"/>
      <c r="X210" s="10"/>
      <c r="AA210" s="10"/>
      <c r="AB210" s="10"/>
    </row>
    <row r="211" spans="12:28" x14ac:dyDescent="0.25">
      <c r="L211" s="10"/>
      <c r="M211" s="10"/>
      <c r="N211" s="10"/>
      <c r="Q211" s="10"/>
      <c r="R211" s="10"/>
      <c r="S211" s="10"/>
      <c r="V211" s="10"/>
      <c r="W211" s="10"/>
      <c r="X211" s="10"/>
      <c r="AA211" s="10"/>
      <c r="AB211" s="10"/>
    </row>
    <row r="212" spans="12:28" x14ac:dyDescent="0.25">
      <c r="L212" s="10"/>
      <c r="M212" s="10"/>
      <c r="N212" s="10"/>
      <c r="Q212" s="10"/>
      <c r="R212" s="10"/>
      <c r="S212" s="10"/>
      <c r="V212" s="10"/>
      <c r="W212" s="10"/>
      <c r="X212" s="10"/>
      <c r="AA212" s="10"/>
      <c r="AB212" s="10"/>
    </row>
    <row r="213" spans="12:28" x14ac:dyDescent="0.25">
      <c r="L213" s="10"/>
      <c r="M213" s="10"/>
      <c r="N213" s="10"/>
      <c r="Q213" s="10"/>
      <c r="R213" s="10"/>
      <c r="S213" s="10"/>
      <c r="V213" s="10"/>
      <c r="W213" s="10"/>
      <c r="X213" s="10"/>
      <c r="AA213" s="10"/>
      <c r="AB213" s="10"/>
    </row>
    <row r="214" spans="12:28" x14ac:dyDescent="0.25">
      <c r="L214" s="10"/>
      <c r="M214" s="10"/>
      <c r="N214" s="10"/>
      <c r="Q214" s="10"/>
      <c r="R214" s="10"/>
      <c r="S214" s="10"/>
      <c r="V214" s="10"/>
      <c r="W214" s="10"/>
      <c r="X214" s="10"/>
      <c r="AA214" s="10"/>
      <c r="AB214" s="10"/>
    </row>
    <row r="215" spans="12:28" x14ac:dyDescent="0.25">
      <c r="L215" s="10"/>
      <c r="M215" s="10"/>
      <c r="N215" s="10"/>
      <c r="Q215" s="10"/>
      <c r="R215" s="10"/>
      <c r="S215" s="10"/>
      <c r="V215" s="10"/>
      <c r="W215" s="10"/>
      <c r="X215" s="10"/>
      <c r="AA215" s="10"/>
      <c r="AB215" s="10"/>
    </row>
    <row r="216" spans="12:28" x14ac:dyDescent="0.25">
      <c r="L216" s="10"/>
      <c r="M216" s="10"/>
      <c r="N216" s="10"/>
      <c r="Q216" s="10"/>
      <c r="R216" s="10"/>
      <c r="S216" s="10"/>
      <c r="V216" s="10"/>
      <c r="W216" s="10"/>
      <c r="X216" s="10"/>
      <c r="AA216" s="10"/>
      <c r="AB216" s="10"/>
    </row>
    <row r="217" spans="12:28" x14ac:dyDescent="0.25">
      <c r="L217" s="10"/>
      <c r="M217" s="10"/>
      <c r="N217" s="10"/>
      <c r="Q217" s="10"/>
      <c r="R217" s="10"/>
      <c r="S217" s="10"/>
      <c r="V217" s="10"/>
      <c r="W217" s="10"/>
      <c r="X217" s="10"/>
      <c r="AA217" s="10"/>
      <c r="AB217" s="10"/>
    </row>
    <row r="218" spans="12:28" x14ac:dyDescent="0.25">
      <c r="L218" s="10"/>
      <c r="M218" s="10"/>
      <c r="N218" s="10"/>
      <c r="Q218" s="10"/>
      <c r="R218" s="10"/>
      <c r="S218" s="10"/>
      <c r="V218" s="10"/>
      <c r="W218" s="10"/>
      <c r="X218" s="10"/>
      <c r="AA218" s="10"/>
      <c r="AB218" s="10"/>
    </row>
    <row r="219" spans="12:28" x14ac:dyDescent="0.25">
      <c r="L219" s="10"/>
      <c r="M219" s="10"/>
      <c r="N219" s="10"/>
      <c r="Q219" s="10"/>
      <c r="R219" s="10"/>
      <c r="S219" s="10"/>
      <c r="V219" s="10"/>
      <c r="W219" s="10"/>
      <c r="X219" s="10"/>
      <c r="AA219" s="10"/>
      <c r="AB219" s="10"/>
    </row>
    <row r="220" spans="12:28" x14ac:dyDescent="0.25">
      <c r="L220" s="10"/>
      <c r="M220" s="10"/>
      <c r="N220" s="10"/>
      <c r="Q220" s="10"/>
      <c r="R220" s="10"/>
      <c r="S220" s="10"/>
      <c r="V220" s="10"/>
      <c r="W220" s="10"/>
      <c r="X220" s="10"/>
      <c r="AA220" s="10"/>
      <c r="AB220" s="10"/>
    </row>
    <row r="221" spans="12:28" x14ac:dyDescent="0.25">
      <c r="L221" s="10"/>
      <c r="M221" s="10"/>
      <c r="N221" s="10"/>
      <c r="Q221" s="10"/>
      <c r="R221" s="10"/>
      <c r="S221" s="10"/>
      <c r="V221" s="10"/>
      <c r="W221" s="10"/>
      <c r="X221" s="10"/>
      <c r="AA221" s="10"/>
      <c r="AB221" s="10"/>
    </row>
    <row r="222" spans="12:28" x14ac:dyDescent="0.25">
      <c r="L222" s="10"/>
      <c r="M222" s="10"/>
      <c r="N222" s="10"/>
      <c r="Q222" s="10"/>
      <c r="R222" s="10"/>
      <c r="S222" s="10"/>
      <c r="V222" s="10"/>
      <c r="W222" s="10"/>
      <c r="X222" s="10"/>
      <c r="AA222" s="10"/>
      <c r="AB222" s="10"/>
    </row>
    <row r="223" spans="12:28" x14ac:dyDescent="0.25">
      <c r="L223" s="10"/>
      <c r="M223" s="10"/>
      <c r="N223" s="10"/>
      <c r="Q223" s="10"/>
      <c r="R223" s="10"/>
      <c r="S223" s="10"/>
      <c r="V223" s="10"/>
      <c r="W223" s="10"/>
      <c r="X223" s="10"/>
      <c r="AA223" s="10"/>
      <c r="AB223" s="10"/>
    </row>
    <row r="224" spans="12:28" x14ac:dyDescent="0.25">
      <c r="L224" s="10"/>
      <c r="M224" s="10"/>
      <c r="N224" s="10"/>
      <c r="Q224" s="10"/>
      <c r="R224" s="10"/>
      <c r="S224" s="10"/>
      <c r="V224" s="10"/>
      <c r="W224" s="10"/>
      <c r="X224" s="10"/>
      <c r="AA224" s="10"/>
      <c r="AB224" s="10"/>
    </row>
    <row r="225" spans="12:28" x14ac:dyDescent="0.25">
      <c r="L225" s="10"/>
      <c r="M225" s="10"/>
      <c r="N225" s="10"/>
      <c r="Q225" s="10"/>
      <c r="R225" s="10"/>
      <c r="S225" s="10"/>
      <c r="V225" s="10"/>
      <c r="W225" s="10"/>
      <c r="X225" s="10"/>
      <c r="AA225" s="10"/>
      <c r="AB225" s="10"/>
    </row>
    <row r="226" spans="12:28" x14ac:dyDescent="0.25">
      <c r="L226" s="10"/>
      <c r="M226" s="10"/>
      <c r="N226" s="10"/>
      <c r="Q226" s="10"/>
      <c r="R226" s="10"/>
      <c r="S226" s="10"/>
      <c r="V226" s="10"/>
      <c r="W226" s="10"/>
      <c r="X226" s="10"/>
      <c r="AA226" s="10"/>
      <c r="AB226" s="10"/>
    </row>
    <row r="227" spans="12:28" x14ac:dyDescent="0.25">
      <c r="L227" s="10"/>
      <c r="M227" s="10"/>
      <c r="N227" s="10"/>
      <c r="Q227" s="10"/>
      <c r="R227" s="10"/>
      <c r="S227" s="10"/>
      <c r="V227" s="10"/>
      <c r="W227" s="10"/>
      <c r="X227" s="10"/>
      <c r="AA227" s="10"/>
      <c r="AB227" s="10"/>
    </row>
    <row r="228" spans="12:28" x14ac:dyDescent="0.25">
      <c r="L228" s="10"/>
      <c r="M228" s="10"/>
      <c r="N228" s="10"/>
      <c r="Q228" s="10"/>
      <c r="R228" s="10"/>
      <c r="S228" s="10"/>
      <c r="V228" s="10"/>
      <c r="W228" s="10"/>
      <c r="X228" s="10"/>
      <c r="AA228" s="10"/>
      <c r="AB228" s="10"/>
    </row>
    <row r="229" spans="12:28" x14ac:dyDescent="0.25">
      <c r="L229" s="10"/>
      <c r="M229" s="10"/>
      <c r="N229" s="10"/>
      <c r="Q229" s="10"/>
      <c r="R229" s="10"/>
      <c r="S229" s="10"/>
      <c r="V229" s="10"/>
      <c r="W229" s="10"/>
      <c r="X229" s="10"/>
      <c r="AA229" s="10"/>
      <c r="AB229" s="10"/>
    </row>
    <row r="230" spans="12:28" x14ac:dyDescent="0.25">
      <c r="L230" s="10"/>
      <c r="M230" s="10"/>
      <c r="N230" s="10"/>
      <c r="Q230" s="10"/>
      <c r="R230" s="10"/>
      <c r="S230" s="10"/>
      <c r="V230" s="10"/>
      <c r="W230" s="10"/>
      <c r="X230" s="10"/>
      <c r="AA230" s="10"/>
      <c r="AB230" s="10"/>
    </row>
  </sheetData>
  <sortState xmlns:xlrd2="http://schemas.microsoft.com/office/spreadsheetml/2017/richdata2" ref="E1:H1">
    <sortCondition descending="1" ref="H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38CA-C550-4170-87DA-8873DF864564}">
  <dimension ref="A1:X88"/>
  <sheetViews>
    <sheetView workbookViewId="0">
      <pane ySplit="2" topLeftCell="A3" activePane="bottomLeft" state="frozen"/>
      <selection pane="bottomLeft" sqref="A1:C2"/>
    </sheetView>
  </sheetViews>
  <sheetFormatPr defaultRowHeight="15" x14ac:dyDescent="0.25"/>
  <cols>
    <col min="2" max="2" width="20.7109375" customWidth="1"/>
    <col min="3" max="3" width="14.7109375" hidden="1" customWidth="1"/>
    <col min="4" max="4" width="2.7109375" style="9" customWidth="1"/>
    <col min="5" max="5" width="8.85546875" customWidth="1"/>
    <col min="6" max="6" width="20.7109375" customWidth="1"/>
    <col min="7" max="7" width="14.7109375" hidden="1" customWidth="1"/>
    <col min="8" max="8" width="2.7109375" style="9" customWidth="1"/>
    <col min="9" max="9" width="8.85546875" customWidth="1"/>
    <col min="10" max="10" width="20.7109375" customWidth="1"/>
    <col min="11" max="11" width="14.7109375" hidden="1" customWidth="1"/>
    <col min="12" max="12" width="2.7109375" style="9" customWidth="1"/>
    <col min="13" max="13" width="8.85546875" customWidth="1"/>
    <col min="14" max="14" width="22" bestFit="1" customWidth="1"/>
    <col min="15" max="15" width="14.7109375" hidden="1" customWidth="1"/>
    <col min="16" max="16" width="2.7109375" style="9" customWidth="1"/>
    <col min="17" max="17" width="8.85546875" customWidth="1"/>
    <col min="18" max="18" width="20.7109375" customWidth="1"/>
    <col min="19" max="19" width="14.7109375" hidden="1" customWidth="1"/>
    <col min="20" max="20" width="2.7109375" style="9" customWidth="1"/>
    <col min="21" max="21" width="8.85546875" customWidth="1"/>
    <col min="22" max="22" width="20.7109375" customWidth="1"/>
    <col min="23" max="23" width="14.7109375" hidden="1" customWidth="1"/>
    <col min="24" max="24" width="2.7109375" style="9" customWidth="1"/>
    <col min="25" max="25" width="8.85546875" customWidth="1"/>
  </cols>
  <sheetData>
    <row r="1" spans="1:24" s="4" customFormat="1" x14ac:dyDescent="0.25">
      <c r="A1" s="17" t="s">
        <v>33</v>
      </c>
      <c r="B1" s="17"/>
      <c r="C1" s="17"/>
      <c r="D1" s="8"/>
      <c r="E1" s="17" t="s">
        <v>25</v>
      </c>
      <c r="F1" s="17"/>
      <c r="G1" s="17"/>
      <c r="H1" s="8"/>
      <c r="I1" s="17" t="s">
        <v>83</v>
      </c>
      <c r="J1" s="17"/>
      <c r="K1" s="17"/>
      <c r="L1" s="8"/>
      <c r="M1" s="17" t="s">
        <v>81</v>
      </c>
      <c r="N1" s="17"/>
      <c r="O1" s="17"/>
      <c r="P1" s="8"/>
      <c r="Q1" s="17" t="s">
        <v>82</v>
      </c>
      <c r="R1" s="17"/>
      <c r="S1" s="17"/>
      <c r="T1" s="8"/>
      <c r="U1" s="17" t="s">
        <v>202</v>
      </c>
      <c r="V1" s="17"/>
      <c r="W1" s="17"/>
      <c r="X1" s="8"/>
    </row>
    <row r="2" spans="1:24" s="4" customFormat="1" x14ac:dyDescent="0.25">
      <c r="A2" s="17"/>
      <c r="B2" s="17"/>
      <c r="C2" s="17"/>
      <c r="D2" s="8"/>
      <c r="E2" s="17"/>
      <c r="F2" s="17"/>
      <c r="G2" s="17"/>
      <c r="H2" s="8"/>
      <c r="I2" s="17"/>
      <c r="J2" s="17"/>
      <c r="K2" s="17"/>
      <c r="L2" s="8"/>
      <c r="M2" s="17"/>
      <c r="N2" s="17"/>
      <c r="O2" s="17"/>
      <c r="P2" s="8"/>
      <c r="Q2" s="17"/>
      <c r="R2" s="17"/>
      <c r="S2" s="17"/>
      <c r="T2" s="8"/>
      <c r="U2" s="17"/>
      <c r="V2" s="17"/>
      <c r="W2" s="17"/>
      <c r="X2" s="8"/>
    </row>
    <row r="3" spans="1:24" x14ac:dyDescent="0.25">
      <c r="A3" s="4" t="s">
        <v>36</v>
      </c>
      <c r="B3" t="str" cm="1">
        <f t="array" ref="B3:B86">_xlfn._xlws.SORT(C3:C86,1,-1,0)</f>
        <v>Young Wolf</v>
      </c>
      <c r="C3" t="str">
        <f>IF(WGFractius!D3="Não",WGFractius!C3, " ")</f>
        <v xml:space="preserve"> </v>
      </c>
      <c r="E3" s="4" t="s">
        <v>36</v>
      </c>
      <c r="F3" t="str" cm="1">
        <f t="array" ref="F3:F86">_xlfn._xlws.SORT(G3:G86,1,-1,0)</f>
        <v>Unmake</v>
      </c>
      <c r="G3" t="str">
        <f>IF(Vida!D3="Não",Vida!C3, " ")</f>
        <v xml:space="preserve"> </v>
      </c>
      <c r="I3" s="4" t="s">
        <v>36</v>
      </c>
      <c r="J3" t="str" cm="1">
        <f t="array" ref="J3:J86">_xlfn._xlws.SORT(K3:K86,1,-1,0)</f>
        <v>Vapor Snag</v>
      </c>
      <c r="K3" t="str">
        <f>IF(Fadas!D3="Não",Fadas!C3, " ")</f>
        <v xml:space="preserve"> </v>
      </c>
      <c r="M3" s="4" t="s">
        <v>36</v>
      </c>
      <c r="N3" t="str" cm="1">
        <f t="array" ref="N3:N86">_xlfn._xlws.SORT(O3:O86,1,-1,0)</f>
        <v>Thorn of the Black Rose</v>
      </c>
      <c r="O3" t="str">
        <f>IF(WBRKnights!D3="Não",WBRKnights!C3, " ")</f>
        <v xml:space="preserve"> </v>
      </c>
      <c r="Q3" s="4" t="s">
        <v>36</v>
      </c>
      <c r="R3" t="str" cm="1">
        <f t="array" ref="R3:R86">_xlfn._xlws.SORT(S3:S86,1,-1,0)</f>
        <v>Thoughtcast</v>
      </c>
      <c r="S3" t="str">
        <f>IF(Modular!D3="Não",Modular!C3, " ")</f>
        <v xml:space="preserve"> </v>
      </c>
      <c r="U3" s="4" t="s">
        <v>36</v>
      </c>
      <c r="V3" t="str" cm="1">
        <f t="array" ref="V3:V86">_xlfn._xlws.SORT(W3:W86,1,-1,0)</f>
        <v>Swamp</v>
      </c>
      <c r="W3" t="str">
        <f>IF(WBGAllies!D3="Não",WBGAllies!C3, " ")</f>
        <v xml:space="preserve"> </v>
      </c>
    </row>
    <row r="4" spans="1:24" x14ac:dyDescent="0.25">
      <c r="A4" s="3">
        <f>WGFractius!G3</f>
        <v>17</v>
      </c>
      <c r="B4" t="str">
        <v>Young Wolf</v>
      </c>
      <c r="C4" t="str">
        <f>IF(WGFractius!D4="Não",WGFractius!C4, " ")</f>
        <v xml:space="preserve"> </v>
      </c>
      <c r="E4" s="3">
        <f>Vida!G3</f>
        <v>10</v>
      </c>
      <c r="F4" t="str">
        <v>Thraben Inspector</v>
      </c>
      <c r="G4" t="str">
        <f>IF(Vida!D4="Não",Vida!C4, " ")</f>
        <v xml:space="preserve"> </v>
      </c>
      <c r="I4" s="3">
        <f>Fadas!G3</f>
        <v>41</v>
      </c>
      <c r="J4" t="str">
        <v>Vapor Snag</v>
      </c>
      <c r="K4" t="str">
        <f>IF(Fadas!D4="Não",Fadas!C4, " ")</f>
        <v xml:space="preserve"> </v>
      </c>
      <c r="M4" s="3">
        <f>WBRKnights!G3</f>
        <v>14</v>
      </c>
      <c r="N4" t="str">
        <v>Thorn of the Black Rose</v>
      </c>
      <c r="O4" t="str">
        <f>IF(WBRKnights!D4="Não",WBRKnights!C4, " ")</f>
        <v xml:space="preserve"> </v>
      </c>
      <c r="Q4" s="3">
        <f>Modular!G3</f>
        <v>33</v>
      </c>
      <c r="R4" t="str">
        <v>Thoughtcast</v>
      </c>
      <c r="S4" t="str">
        <f>IF(Modular!D4="Não",Modular!C4, " ")</f>
        <v xml:space="preserve"> </v>
      </c>
      <c r="U4" s="3">
        <f>WBGAllies!G3</f>
        <v>36</v>
      </c>
      <c r="V4" t="str">
        <v>Swamp</v>
      </c>
      <c r="W4" t="str">
        <f>IF(WBGAllies!D4="Não",WBGAllies!C4, " ")</f>
        <v xml:space="preserve"> </v>
      </c>
    </row>
    <row r="5" spans="1:24" x14ac:dyDescent="0.25">
      <c r="B5" t="str">
        <v>Standard Bearer</v>
      </c>
      <c r="C5" t="str">
        <f>IF(WGFractius!D5="Não",WGFractius!C5, " ")</f>
        <v xml:space="preserve"> </v>
      </c>
      <c r="F5" t="str">
        <v>Ephemerate</v>
      </c>
      <c r="G5" t="str">
        <f>IF(Vida!D5="Não",Vida!C5, " ")</f>
        <v xml:space="preserve"> </v>
      </c>
      <c r="J5" t="str">
        <v>Vapor Snag</v>
      </c>
      <c r="K5" t="str">
        <f>IF(Fadas!D5="Não",Fadas!C5, " ")</f>
        <v xml:space="preserve"> </v>
      </c>
      <c r="N5" t="str">
        <v>Thorn of the Black Rose</v>
      </c>
      <c r="O5" t="str">
        <f>IF(WBRKnights!D5="Não",WBRKnights!C5, " ")</f>
        <v xml:space="preserve"> </v>
      </c>
      <c r="R5" t="str">
        <v>Thoughtcast</v>
      </c>
      <c r="S5" t="str">
        <f>IF(Modular!D5="Não",Modular!C5, " ")</f>
        <v xml:space="preserve"> </v>
      </c>
      <c r="V5" t="str">
        <v>Oran-Rief Survivalist</v>
      </c>
      <c r="W5" t="str">
        <f>IF(WBGAllies!D5="Não",WBGAllies!C5, " ")</f>
        <v xml:space="preserve"> </v>
      </c>
    </row>
    <row r="6" spans="1:24" x14ac:dyDescent="0.25">
      <c r="B6" t="str">
        <v>Standard Bearer</v>
      </c>
      <c r="C6" t="str">
        <f>IF(WGFractius!D6="Não",WGFractius!C6, " ")</f>
        <v xml:space="preserve"> </v>
      </c>
      <c r="F6" t="str">
        <v>Ephemerate</v>
      </c>
      <c r="G6" t="str">
        <f>IF(Vida!D6="Não",Vida!C6, " ")</f>
        <v xml:space="preserve"> </v>
      </c>
      <c r="J6" t="str">
        <v>Vapor Snag</v>
      </c>
      <c r="K6" t="str">
        <f>IF(Fadas!D6="Não",Fadas!C6, " ")</f>
        <v xml:space="preserve"> </v>
      </c>
      <c r="N6" t="str">
        <v>Terminate</v>
      </c>
      <c r="O6" t="str">
        <f>IF(WBRKnights!D6="Não",WBRKnights!C6, " ")</f>
        <v xml:space="preserve"> </v>
      </c>
      <c r="R6" t="str">
        <v>Thoughtcast</v>
      </c>
      <c r="S6" t="str">
        <f>IF(Modular!D6="Não",Modular!C6, " ")</f>
        <v xml:space="preserve"> </v>
      </c>
      <c r="V6" t="str">
        <v>Oran-Rief Survivalist</v>
      </c>
      <c r="W6" t="str">
        <f>IF(WBGAllies!D6="Não",WBGAllies!C6, " ")</f>
        <v>Blossoming Sands</v>
      </c>
    </row>
    <row r="7" spans="1:24" x14ac:dyDescent="0.25">
      <c r="B7" t="str">
        <v>Standard Bearer</v>
      </c>
      <c r="C7" t="str">
        <f>IF(WGFractius!D7="Não",WGFractius!C7, " ")</f>
        <v xml:space="preserve"> </v>
      </c>
      <c r="F7" t="str">
        <v>Ephemerate</v>
      </c>
      <c r="G7" t="str">
        <f>IF(Vida!D7="Não",Vida!C7, " ")</f>
        <v>Bojuka Bog</v>
      </c>
      <c r="J7" t="str">
        <v>Spellstutter Sprite</v>
      </c>
      <c r="K7" t="str">
        <f>IF(Fadas!D7="Não",Fadas!C7, " ")</f>
        <v xml:space="preserve"> </v>
      </c>
      <c r="N7" t="str">
        <v>Terminate</v>
      </c>
      <c r="O7" t="str">
        <f>IF(WBRKnights!D7="Não",WBRKnights!C7, " ")</f>
        <v>Bojuka Bog</v>
      </c>
      <c r="R7" t="str">
        <v>Silverbluff Bridge</v>
      </c>
      <c r="S7" t="str">
        <f>IF(Modular!D7="Não",Modular!C7, " ")</f>
        <v xml:space="preserve"> </v>
      </c>
      <c r="V7" t="str">
        <v>Oran-Rief Survivalist</v>
      </c>
      <c r="W7" t="str">
        <f>IF(WBGAllies!D7="Não",WBGAllies!C7, " ")</f>
        <v>Blossoming Sands</v>
      </c>
    </row>
    <row r="8" spans="1:24" x14ac:dyDescent="0.25">
      <c r="B8" t="str">
        <v>Scattershot Archer</v>
      </c>
      <c r="C8" t="str">
        <f>IF(WGFractius!D8="Não",WGFractius!C8, " ")</f>
        <v xml:space="preserve"> </v>
      </c>
      <c r="F8" t="str">
        <v>Ephemerate</v>
      </c>
      <c r="G8" t="str">
        <f>IF(Vida!D8="Não",Vida!C8, " ")</f>
        <v>Bojuka Bog</v>
      </c>
      <c r="J8" t="str">
        <v>Spellstutter Sprite</v>
      </c>
      <c r="K8" t="str">
        <f>IF(Fadas!D8="Não",Fadas!C8, " ")</f>
        <v xml:space="preserve"> </v>
      </c>
      <c r="N8" t="str">
        <v>Shining Armor</v>
      </c>
      <c r="O8" t="str">
        <f>IF(WBRKnights!D8="Não",WBRKnights!C8, " ")</f>
        <v>Bojuka Bog</v>
      </c>
      <c r="R8" t="str">
        <v>Silverbluff Bridge</v>
      </c>
      <c r="S8" t="str">
        <f>IF(Modular!D8="Não",Modular!C8, " ")</f>
        <v xml:space="preserve"> </v>
      </c>
      <c r="V8" t="str">
        <v>Oran-Rief Survivalist</v>
      </c>
      <c r="W8" t="str">
        <f>IF(WBGAllies!D8="Não",WBGAllies!C8, " ")</f>
        <v>Blossoming Sands</v>
      </c>
    </row>
    <row r="9" spans="1:24" x14ac:dyDescent="0.25">
      <c r="B9" t="str">
        <v>Scattershot Archer</v>
      </c>
      <c r="C9" t="str">
        <f>IF(WGFractius!D9="Não",WGFractius!C9, " ")</f>
        <v xml:space="preserve"> </v>
      </c>
      <c r="F9" t="str">
        <v>Doom Blade</v>
      </c>
      <c r="G9" t="str">
        <f>IF(Vida!D9="Não",Vida!C9, " ")</f>
        <v xml:space="preserve"> </v>
      </c>
      <c r="J9" t="str">
        <v>Spellstutter Sprite</v>
      </c>
      <c r="K9" t="str">
        <f>IF(Fadas!D9="Não",Fadas!C9, " ")</f>
        <v xml:space="preserve"> </v>
      </c>
      <c r="N9" t="str">
        <v>Shining Armor</v>
      </c>
      <c r="O9" t="str">
        <f>IF(WBRKnights!D9="Não",WBRKnights!C9, " ")</f>
        <v xml:space="preserve"> </v>
      </c>
      <c r="R9" t="str">
        <v>Silverbluff Bridge</v>
      </c>
      <c r="S9" t="str">
        <f>IF(Modular!D9="Não",Modular!C9, " ")</f>
        <v xml:space="preserve"> </v>
      </c>
      <c r="V9" t="str">
        <v>Masked Vandal</v>
      </c>
      <c r="W9" t="str">
        <f>IF(WBGAllies!D9="Não",WBGAllies!C9, " ")</f>
        <v>Blossoming Sands</v>
      </c>
    </row>
    <row r="10" spans="1:24" x14ac:dyDescent="0.25">
      <c r="B10" t="str">
        <v>Relic of Progenitus</v>
      </c>
      <c r="C10" t="str">
        <f>IF(WGFractius!D10="Não",WGFractius!C10, " ")</f>
        <v xml:space="preserve"> </v>
      </c>
      <c r="F10" t="str">
        <v>Doom Blade</v>
      </c>
      <c r="G10" t="str">
        <f>IF(Vida!D10="Não",Vida!C10, " ")</f>
        <v xml:space="preserve"> </v>
      </c>
      <c r="J10" t="str">
        <v>Snaremaster Sprite</v>
      </c>
      <c r="K10" t="str">
        <f>IF(Fadas!D10="Não",Fadas!C10, " ")</f>
        <v xml:space="preserve"> </v>
      </c>
      <c r="N10" t="str">
        <v>Shining Armor</v>
      </c>
      <c r="O10" t="str">
        <f>IF(WBRKnights!D10="Não",WBRKnights!C10, " ")</f>
        <v xml:space="preserve"> </v>
      </c>
      <c r="R10" t="str">
        <v>Silverbluff Bridge</v>
      </c>
      <c r="S10" t="str">
        <f>IF(Modular!D10="Não",Modular!C10, " ")</f>
        <v xml:space="preserve"> </v>
      </c>
      <c r="V10" t="str">
        <v>Masked Vandal</v>
      </c>
      <c r="W10" t="str">
        <f>IF(WBGAllies!D10="Não",WBGAllies!C10, " ")</f>
        <v>Jungle Hollow</v>
      </c>
    </row>
    <row r="11" spans="1:24" x14ac:dyDescent="0.25">
      <c r="B11" t="str">
        <v>Relic of Progenitus</v>
      </c>
      <c r="C11" t="str">
        <f>IF(WGFractius!D11="Não",WGFractius!C11, " ")</f>
        <v xml:space="preserve"> </v>
      </c>
      <c r="F11" t="str">
        <v>Bojuka Bog</v>
      </c>
      <c r="G11" t="str">
        <f>IF(Vida!D11="Não",Vida!C11, " ")</f>
        <v xml:space="preserve"> </v>
      </c>
      <c r="J11" t="str">
        <v>Snaremaster Sprite</v>
      </c>
      <c r="K11" t="str">
        <f>IF(Fadas!D11="Não",Fadas!C11, " ")</f>
        <v xml:space="preserve"> </v>
      </c>
      <c r="N11" t="str">
        <v>Gallant Cavalry</v>
      </c>
      <c r="O11" t="str">
        <f>IF(WBRKnights!D11="Não",WBRKnights!C11, " ")</f>
        <v xml:space="preserve"> </v>
      </c>
      <c r="R11" t="str">
        <v>Scrapyard Salvo</v>
      </c>
      <c r="S11" t="str">
        <f>IF(Modular!D11="Não",Modular!C11, " ")</f>
        <v>Silverbluff Bridge</v>
      </c>
      <c r="V11" t="str">
        <v>Masked Vandal</v>
      </c>
      <c r="W11" t="str">
        <f>IF(WBGAllies!D11="Não",WBGAllies!C11, " ")</f>
        <v>Jungle Hollow</v>
      </c>
    </row>
    <row r="12" spans="1:24" x14ac:dyDescent="0.25">
      <c r="B12" t="str">
        <v>Relic of Progenitus</v>
      </c>
      <c r="C12" t="str">
        <f>IF(WGFractius!D12="Não",WGFractius!C12, " ")</f>
        <v xml:space="preserve"> </v>
      </c>
      <c r="F12" t="str">
        <v>Bojuka Bog</v>
      </c>
      <c r="G12" t="str">
        <f>IF(Vida!D12="Não",Vida!C12, " ")</f>
        <v xml:space="preserve"> </v>
      </c>
      <c r="J12" t="str">
        <v>Snaremaster Sprite</v>
      </c>
      <c r="K12" t="str">
        <f>IF(Fadas!D12="Não",Fadas!C12, " ")</f>
        <v xml:space="preserve"> </v>
      </c>
      <c r="N12" t="str">
        <v>Diabolic Edict</v>
      </c>
      <c r="O12" t="str">
        <f>IF(WBRKnights!D12="Não",WBRKnights!C12, " ")</f>
        <v xml:space="preserve"> </v>
      </c>
      <c r="R12" t="str">
        <v>Scrapyard Salvo</v>
      </c>
      <c r="S12" t="str">
        <f>IF(Modular!D12="Não",Modular!C12, " ")</f>
        <v>Silverbluff Bridge</v>
      </c>
      <c r="V12" t="str">
        <v>Masked Vandal</v>
      </c>
      <c r="W12" t="str">
        <f>IF(WBGAllies!D12="Não",WBGAllies!C12, " ")</f>
        <v>Jungle Hollow</v>
      </c>
    </row>
    <row r="13" spans="1:24" x14ac:dyDescent="0.25">
      <c r="B13" t="str">
        <v>Mutagenic Growth</v>
      </c>
      <c r="C13" t="str">
        <f>IF(WGFractius!D13="Não",WGFractius!C13, " ")</f>
        <v xml:space="preserve"> </v>
      </c>
      <c r="F13" t="str">
        <v xml:space="preserve"> </v>
      </c>
      <c r="G13" t="str">
        <f>IF(Vida!D13="Não",Vida!C13, " ")</f>
        <v xml:space="preserve"> </v>
      </c>
      <c r="J13" t="str">
        <v>Snaremaster Sprite</v>
      </c>
      <c r="K13" t="str">
        <f>IF(Fadas!D13="Não",Fadas!C13, " ")</f>
        <v xml:space="preserve"> </v>
      </c>
      <c r="N13" t="str">
        <v>Diabolic Edict</v>
      </c>
      <c r="O13" t="str">
        <f>IF(WBRKnights!D13="Não",WBRKnights!C13, " ")</f>
        <v xml:space="preserve"> </v>
      </c>
      <c r="R13" t="str">
        <v>Relic of Progenitus</v>
      </c>
      <c r="S13" t="str">
        <f>IF(Modular!D13="Não",Modular!C13, " ")</f>
        <v>Silverbluff Bridge</v>
      </c>
      <c r="V13" t="str">
        <v>Jungle Hollow</v>
      </c>
      <c r="W13" t="str">
        <f>IF(WBGAllies!D13="Não",WBGAllies!C13, " ")</f>
        <v>Evolving Wilds</v>
      </c>
    </row>
    <row r="14" spans="1:24" x14ac:dyDescent="0.25">
      <c r="B14" t="str">
        <v>Mutagenic Growth</v>
      </c>
      <c r="C14" t="str">
        <f>IF(WGFractius!D14="Não",WGFractius!C14, " ")</f>
        <v xml:space="preserve"> </v>
      </c>
      <c r="F14" t="str">
        <v xml:space="preserve"> </v>
      </c>
      <c r="G14" t="str">
        <f>IF(Vida!D14="Não",Vida!C14, " ")</f>
        <v xml:space="preserve"> </v>
      </c>
      <c r="J14" t="str">
        <v>Psychic Barrier</v>
      </c>
      <c r="K14" t="str">
        <f>IF(Fadas!D14="Não",Fadas!C14, " ")</f>
        <v xml:space="preserve"> </v>
      </c>
      <c r="N14" t="str">
        <v>Diabolic Edict</v>
      </c>
      <c r="O14" t="str">
        <f>IF(WBRKnights!D14="Não",WBRKnights!C14, " ")</f>
        <v xml:space="preserve"> </v>
      </c>
      <c r="R14" t="str">
        <v>Relic of Progenitus</v>
      </c>
      <c r="S14" t="str">
        <f>IF(Modular!D14="Não",Modular!C14, " ")</f>
        <v>Silverbluff Bridge</v>
      </c>
      <c r="V14" t="str">
        <v>Jungle Hollow</v>
      </c>
      <c r="W14" t="str">
        <f>IF(WBGAllies!D14="Não",WBGAllies!C14, " ")</f>
        <v xml:space="preserve"> </v>
      </c>
    </row>
    <row r="15" spans="1:24" x14ac:dyDescent="0.25">
      <c r="B15" t="str">
        <v>Journey to Nowhere</v>
      </c>
      <c r="C15" t="str">
        <f>IF(WGFractius!D15="Não",WGFractius!C15, " ")</f>
        <v xml:space="preserve"> </v>
      </c>
      <c r="F15" t="str">
        <v xml:space="preserve"> </v>
      </c>
      <c r="G15" t="str">
        <f>IF(Vida!D15="Não",Vida!C15, " ")</f>
        <v xml:space="preserve"> </v>
      </c>
      <c r="J15" t="str">
        <v>Psychic Barrier</v>
      </c>
      <c r="K15" t="str">
        <f>IF(Fadas!D15="Não",Fadas!C15, " ")</f>
        <v xml:space="preserve"> </v>
      </c>
      <c r="N15" t="str">
        <v>Bojuka Bog</v>
      </c>
      <c r="O15" t="str">
        <f>IF(WBRKnights!D15="Não",WBRKnights!C15, " ")</f>
        <v xml:space="preserve"> </v>
      </c>
      <c r="R15" t="str">
        <v>Recommission</v>
      </c>
      <c r="S15" t="str">
        <f>IF(Modular!D15="Não",Modular!C15, " ")</f>
        <v xml:space="preserve"> </v>
      </c>
      <c r="V15" t="str">
        <v>Jungle Hollow</v>
      </c>
      <c r="W15" t="str">
        <f>IF(WBGAllies!D15="Não",WBGAllies!C15, " ")</f>
        <v>Swamp</v>
      </c>
    </row>
    <row r="16" spans="1:24" x14ac:dyDescent="0.25">
      <c r="B16" t="str">
        <v>Journey to Nowhere</v>
      </c>
      <c r="C16" t="str">
        <f>IF(WGFractius!D16="Não",WGFractius!C16, " ")</f>
        <v xml:space="preserve"> </v>
      </c>
      <c r="F16" t="str">
        <v xml:space="preserve"> </v>
      </c>
      <c r="G16" t="str">
        <f>IF(Vida!D16="Não",Vida!C16, " ")</f>
        <v xml:space="preserve"> </v>
      </c>
      <c r="J16" t="str">
        <v>Psychic Barrier</v>
      </c>
      <c r="K16" t="str">
        <f>IF(Fadas!D16="Não",Fadas!C16, " ")</f>
        <v xml:space="preserve"> </v>
      </c>
      <c r="N16" t="str">
        <v>Bojuka Bog</v>
      </c>
      <c r="O16" t="str">
        <f>IF(WBRKnights!D16="Não",WBRKnights!C16, " ")</f>
        <v xml:space="preserve"> </v>
      </c>
      <c r="R16" t="str">
        <v>Recommission</v>
      </c>
      <c r="S16" t="str">
        <f>IF(Modular!D16="Não",Modular!C16, " ")</f>
        <v xml:space="preserve"> </v>
      </c>
      <c r="V16" t="str">
        <v>Graypelt Hunter</v>
      </c>
      <c r="W16" t="str">
        <f>IF(WBGAllies!D16="Não",WBGAllies!C16, " ")</f>
        <v>Swamp</v>
      </c>
    </row>
    <row r="17" spans="2:23" x14ac:dyDescent="0.25">
      <c r="B17" t="str">
        <v>Gut Shot</v>
      </c>
      <c r="C17" t="str">
        <f>IF(WGFractius!D17="Não",WGFractius!C17, " ")</f>
        <v xml:space="preserve"> </v>
      </c>
      <c r="F17" t="str">
        <v xml:space="preserve"> </v>
      </c>
      <c r="G17" t="str">
        <f>IF(Vida!D17="Não",Vida!C17, " ")</f>
        <v xml:space="preserve"> </v>
      </c>
      <c r="J17" t="str">
        <v>Olhos Noturnos</v>
      </c>
      <c r="K17" t="str">
        <f>IF(Fadas!D17="Não",Fadas!C17, " ")</f>
        <v xml:space="preserve"> </v>
      </c>
      <c r="N17" t="str">
        <v xml:space="preserve"> </v>
      </c>
      <c r="O17" t="str">
        <f>IF(WBRKnights!D17="Não",WBRKnights!C17, " ")</f>
        <v xml:space="preserve"> </v>
      </c>
      <c r="R17" t="str">
        <v>Recommission</v>
      </c>
      <c r="S17" t="str">
        <f>IF(Modular!D17="Não",Modular!C17, " ")</f>
        <v xml:space="preserve"> </v>
      </c>
      <c r="V17" t="str">
        <v>Graypelt Hunter</v>
      </c>
      <c r="W17" t="str">
        <f>IF(WBGAllies!D17="Não",WBGAllies!C17, " ")</f>
        <v>Forest</v>
      </c>
    </row>
    <row r="18" spans="2:23" x14ac:dyDescent="0.25">
      <c r="B18" t="str">
        <v>Gut Shot</v>
      </c>
      <c r="C18" t="str">
        <f>IF(WGFractius!D18="Não",WGFractius!C18, " ")</f>
        <v xml:space="preserve"> </v>
      </c>
      <c r="F18" t="str">
        <v xml:space="preserve"> </v>
      </c>
      <c r="G18" t="str">
        <f>IF(Vida!D18="Não",Vida!C18, " ")</f>
        <v xml:space="preserve"> </v>
      </c>
      <c r="J18" t="str">
        <v>Olhos Noturnos</v>
      </c>
      <c r="K18" t="str">
        <f>IF(Fadas!D18="Não",Fadas!C18, " ")</f>
        <v xml:space="preserve"> </v>
      </c>
      <c r="N18" t="str">
        <v xml:space="preserve"> </v>
      </c>
      <c r="O18" t="str">
        <f>IF(WBRKnights!D18="Não",WBRKnights!C18, " ")</f>
        <v xml:space="preserve"> </v>
      </c>
      <c r="R18" t="str">
        <v>Metallic Rebuke</v>
      </c>
      <c r="S18" t="str">
        <f>IF(Modular!D18="Não",Modular!C18, " ")</f>
        <v xml:space="preserve"> </v>
      </c>
      <c r="V18" t="str">
        <v>Graypelt Hunter</v>
      </c>
      <c r="W18" t="str">
        <f>IF(WBGAllies!D18="Não",WBGAllies!C18, " ")</f>
        <v>Forest</v>
      </c>
    </row>
    <row r="19" spans="2:23" x14ac:dyDescent="0.25">
      <c r="B19" t="str">
        <v>Gut Shot</v>
      </c>
      <c r="C19" t="str">
        <f>IF(WGFractius!D19="Não",WGFractius!C19, " ")</f>
        <v xml:space="preserve"> </v>
      </c>
      <c r="F19" t="str">
        <v xml:space="preserve"> </v>
      </c>
      <c r="G19" t="str">
        <f>IF(Vida!D19="Não",Vida!C19, " ")</f>
        <v xml:space="preserve"> </v>
      </c>
      <c r="J19" t="str">
        <v>Olhos Noturnos</v>
      </c>
      <c r="K19" t="str">
        <f>IF(Fadas!D19="Não",Fadas!C19, " ")</f>
        <v xml:space="preserve"> </v>
      </c>
      <c r="N19" t="str">
        <v xml:space="preserve"> </v>
      </c>
      <c r="O19" t="str">
        <f>IF(WBRKnights!D19="Não",WBRKnights!C19, " ")</f>
        <v xml:space="preserve"> </v>
      </c>
      <c r="R19" t="str">
        <v>Metallic Rebuke</v>
      </c>
      <c r="S19" t="str">
        <f>IF(Modular!D19="Não",Modular!C19, " ")</f>
        <v xml:space="preserve"> </v>
      </c>
      <c r="V19" t="str">
        <v>Graypelt Hunter</v>
      </c>
      <c r="W19" t="str">
        <f>IF(WBGAllies!D19="Não",WBGAllies!C19, " ")</f>
        <v>Forest</v>
      </c>
    </row>
    <row r="20" spans="2:23" x14ac:dyDescent="0.25">
      <c r="B20" t="str">
        <v xml:space="preserve"> </v>
      </c>
      <c r="C20" t="str">
        <f>IF(WGFractius!D20="Não",WGFractius!C20, " ")</f>
        <v xml:space="preserve"> </v>
      </c>
      <c r="F20" t="str">
        <v xml:space="preserve"> </v>
      </c>
      <c r="G20" t="str">
        <f>IF(Vida!D20="Não",Vida!C20, " ")</f>
        <v xml:space="preserve"> </v>
      </c>
      <c r="J20" t="str">
        <v>Olhos Noturnos</v>
      </c>
      <c r="K20" t="str">
        <f>IF(Fadas!D20="Não",Fadas!C20, " ")</f>
        <v xml:space="preserve"> </v>
      </c>
      <c r="N20" t="str">
        <v xml:space="preserve"> </v>
      </c>
      <c r="O20" t="str">
        <f>IF(WBRKnights!D20="Não",WBRKnights!C20, " ")</f>
        <v xml:space="preserve"> </v>
      </c>
      <c r="R20" t="str">
        <v>Metallic Rebuke</v>
      </c>
      <c r="S20" t="str">
        <f>IF(Modular!D20="Não",Modular!C20, " ")</f>
        <v xml:space="preserve"> </v>
      </c>
      <c r="V20" t="str">
        <v>Forest</v>
      </c>
      <c r="W20" t="str">
        <f>IF(WBGAllies!D20="Não",WBGAllies!C20, " ")</f>
        <v xml:space="preserve"> </v>
      </c>
    </row>
    <row r="21" spans="2:23" x14ac:dyDescent="0.25">
      <c r="B21" t="str">
        <v xml:space="preserve"> </v>
      </c>
      <c r="C21" t="str">
        <f>IF(WGFractius!D21="Não",WGFractius!C21, " ")</f>
        <v xml:space="preserve"> </v>
      </c>
      <c r="F21" t="str">
        <v xml:space="preserve"> </v>
      </c>
      <c r="G21" t="str">
        <f>IF(Vida!D21="Não",Vida!C21, " ")</f>
        <v xml:space="preserve"> </v>
      </c>
      <c r="J21" t="str">
        <v>Ninja das Horas Tardias</v>
      </c>
      <c r="K21" t="str">
        <f>IF(Fadas!D21="Não",Fadas!C21, " ")</f>
        <v xml:space="preserve"> </v>
      </c>
      <c r="N21" t="str">
        <v xml:space="preserve"> </v>
      </c>
      <c r="O21" t="str">
        <f>IF(WBRKnights!D21="Não",WBRKnights!C21, " ")</f>
        <v xml:space="preserve"> </v>
      </c>
      <c r="R21" t="str">
        <v>Metallic Rebuke</v>
      </c>
      <c r="S21" t="str">
        <f>IF(Modular!D21="Não",Modular!C21, " ")</f>
        <v xml:space="preserve"> </v>
      </c>
      <c r="V21" t="str">
        <v>Forest</v>
      </c>
      <c r="W21" t="str">
        <f>IF(WBGAllies!D21="Não",WBGAllies!C21, " ")</f>
        <v xml:space="preserve"> </v>
      </c>
    </row>
    <row r="22" spans="2:23" x14ac:dyDescent="0.25">
      <c r="B22" t="str">
        <v xml:space="preserve"> </v>
      </c>
      <c r="C22" t="str">
        <f>IF(WGFractius!D22="Não",WGFractius!C22, " ")</f>
        <v xml:space="preserve"> </v>
      </c>
      <c r="F22" t="str">
        <v xml:space="preserve"> </v>
      </c>
      <c r="G22" t="str">
        <f>IF(Vida!D22="Não",Vida!C22, " ")</f>
        <v xml:space="preserve"> </v>
      </c>
      <c r="J22" t="str">
        <v>Ninja das Horas Tardias</v>
      </c>
      <c r="K22" t="str">
        <f>IF(Fadas!D22="Não",Fadas!C22, " ")</f>
        <v xml:space="preserve"> </v>
      </c>
      <c r="N22" t="str">
        <v xml:space="preserve"> </v>
      </c>
      <c r="O22" t="str">
        <f>IF(WBRKnights!D22="Não",WBRKnights!C22, " ")</f>
        <v xml:space="preserve"> </v>
      </c>
      <c r="R22" t="str">
        <v>Makeshift Munitions</v>
      </c>
      <c r="S22" t="str">
        <f>IF(Modular!D22="Não",Modular!C22, " ")</f>
        <v xml:space="preserve"> </v>
      </c>
      <c r="V22" t="str">
        <v>Forest</v>
      </c>
      <c r="W22" t="str">
        <f>IF(WBGAllies!D22="Não",WBGAllies!C22, " ")</f>
        <v xml:space="preserve"> </v>
      </c>
    </row>
    <row r="23" spans="2:23" x14ac:dyDescent="0.25">
      <c r="B23" t="str">
        <v xml:space="preserve"> </v>
      </c>
      <c r="C23" t="str">
        <f>IF(WGFractius!D23="Não",WGFractius!C23, " ")</f>
        <v xml:space="preserve"> </v>
      </c>
      <c r="F23" t="str">
        <v xml:space="preserve"> </v>
      </c>
      <c r="G23" t="str">
        <f>IF(Vida!D23="Não",Vida!C23, " ")</f>
        <v xml:space="preserve"> </v>
      </c>
      <c r="J23" t="str">
        <v>Ninja das Horas Tardias</v>
      </c>
      <c r="K23" t="str">
        <f>IF(Fadas!D23="Não",Fadas!C23, " ")</f>
        <v xml:space="preserve"> </v>
      </c>
      <c r="N23" t="str">
        <v xml:space="preserve"> </v>
      </c>
      <c r="O23" t="str">
        <f>IF(WBRKnights!D23="Não",WBRKnights!C23, " ")</f>
        <v xml:space="preserve"> </v>
      </c>
      <c r="R23" t="str">
        <v>Makeshift Munitions</v>
      </c>
      <c r="S23" t="str">
        <f>IF(Modular!D23="Não",Modular!C23, " ")</f>
        <v xml:space="preserve"> </v>
      </c>
      <c r="V23" t="str">
        <v>Evolving Wilds</v>
      </c>
      <c r="W23" t="str">
        <f>IF(WBGAllies!D23="Não",WBGAllies!C23, " ")</f>
        <v xml:space="preserve"> </v>
      </c>
    </row>
    <row r="24" spans="2:23" x14ac:dyDescent="0.25">
      <c r="B24" t="str">
        <v xml:space="preserve"> </v>
      </c>
      <c r="C24" t="str">
        <f>IF(WGFractius!D24="Não",WGFractius!C24, " ")</f>
        <v xml:space="preserve"> </v>
      </c>
      <c r="F24" t="str">
        <v xml:space="preserve"> </v>
      </c>
      <c r="G24" t="str">
        <f>IF(Vida!D24="Não",Vida!C24, " ")</f>
        <v xml:space="preserve"> </v>
      </c>
      <c r="J24" t="str">
        <v>Ninja das Horas Tardias</v>
      </c>
      <c r="K24" t="str">
        <f>IF(Fadas!D24="Não",Fadas!C24, " ")</f>
        <v xml:space="preserve"> </v>
      </c>
      <c r="N24" t="str">
        <v xml:space="preserve"> </v>
      </c>
      <c r="O24" t="str">
        <f>IF(WBRKnights!D24="Não",WBRKnights!C24, " ")</f>
        <v xml:space="preserve"> </v>
      </c>
      <c r="R24" t="str">
        <v>Kenku Artificer</v>
      </c>
      <c r="S24" t="str">
        <f>IF(Modular!D24="Não",Modular!C24, " ")</f>
        <v xml:space="preserve"> </v>
      </c>
      <c r="V24" t="str">
        <v>Doom Blade</v>
      </c>
      <c r="W24" t="str">
        <f>IF(WBGAllies!D24="Não",WBGAllies!C24, " ")</f>
        <v xml:space="preserve"> </v>
      </c>
    </row>
    <row r="25" spans="2:23" x14ac:dyDescent="0.25">
      <c r="B25" t="str">
        <v xml:space="preserve"> </v>
      </c>
      <c r="C25" t="str">
        <f>IF(WGFractius!D25="Não",WGFractius!C25, " ")</f>
        <v xml:space="preserve"> </v>
      </c>
      <c r="F25" t="str">
        <v xml:space="preserve"> </v>
      </c>
      <c r="G25" t="str">
        <f>IF(Vida!D25="Não",Vida!C25, " ")</f>
        <v xml:space="preserve"> </v>
      </c>
      <c r="J25" t="str">
        <v>Negação Altiva</v>
      </c>
      <c r="K25" t="str">
        <f>IF(Fadas!D25="Não",Fadas!C25, " ")</f>
        <v xml:space="preserve"> </v>
      </c>
      <c r="N25" t="str">
        <v xml:space="preserve"> </v>
      </c>
      <c r="O25" t="str">
        <f>IF(WBRKnights!D25="Não",WBRKnights!C25, " ")</f>
        <v xml:space="preserve"> </v>
      </c>
      <c r="R25" t="str">
        <v>Kenku Artificer</v>
      </c>
      <c r="S25" t="str">
        <f>IF(Modular!D25="Não",Modular!C25, " ")</f>
        <v xml:space="preserve"> </v>
      </c>
      <c r="V25" t="str">
        <v>Doom Blade</v>
      </c>
      <c r="W25" t="str">
        <f>IF(WBGAllies!D25="Não",WBGAllies!C25, " ")</f>
        <v xml:space="preserve"> </v>
      </c>
    </row>
    <row r="26" spans="2:23" x14ac:dyDescent="0.25">
      <c r="B26" t="str">
        <v xml:space="preserve"> </v>
      </c>
      <c r="C26" t="str">
        <f>IF(WGFractius!D26="Não",WGFractius!C26, " ")</f>
        <v xml:space="preserve"> </v>
      </c>
      <c r="F26" t="str">
        <v xml:space="preserve"> </v>
      </c>
      <c r="G26" t="str">
        <f>IF(Vida!D26="Não",Vida!C26, " ")</f>
        <v xml:space="preserve"> </v>
      </c>
      <c r="J26" t="str">
        <v>Negação Altiva</v>
      </c>
      <c r="K26" t="str">
        <f>IF(Fadas!D26="Não",Fadas!C26, " ")</f>
        <v xml:space="preserve"> </v>
      </c>
      <c r="N26" t="str">
        <v xml:space="preserve"> </v>
      </c>
      <c r="O26" t="str">
        <f>IF(WBRKnights!D26="Não",WBRKnights!C26, " ")</f>
        <v xml:space="preserve"> </v>
      </c>
      <c r="R26" t="str">
        <v>Kenku Artificer</v>
      </c>
      <c r="S26" t="str">
        <f>IF(Modular!D26="Não",Modular!C26, " ")</f>
        <v xml:space="preserve"> </v>
      </c>
      <c r="V26" t="str">
        <v>Doom Blade</v>
      </c>
      <c r="W26" t="str">
        <f>IF(WBGAllies!D26="Não",WBGAllies!C26, " ")</f>
        <v xml:space="preserve"> </v>
      </c>
    </row>
    <row r="27" spans="2:23" x14ac:dyDescent="0.25">
      <c r="B27" t="str">
        <v xml:space="preserve"> </v>
      </c>
      <c r="C27" t="str">
        <f>IF(WGFractius!D27="Não",WGFractius!C27, " ")</f>
        <v xml:space="preserve"> </v>
      </c>
      <c r="F27" t="str">
        <v xml:space="preserve"> </v>
      </c>
      <c r="G27" t="str">
        <f>IF(Vida!D27="Não",Vida!C27, " ")</f>
        <v xml:space="preserve"> </v>
      </c>
      <c r="J27" t="str">
        <v>Negação Altiva</v>
      </c>
      <c r="K27" t="str">
        <f>IF(Fadas!D27="Não",Fadas!C27, " ")</f>
        <v xml:space="preserve"> </v>
      </c>
      <c r="N27" t="str">
        <v xml:space="preserve"> </v>
      </c>
      <c r="O27" t="str">
        <f>IF(WBRKnights!D27="Não",WBRKnights!C27, " ")</f>
        <v xml:space="preserve"> </v>
      </c>
      <c r="R27" t="str">
        <v>Kenku Artificer</v>
      </c>
      <c r="S27" t="str">
        <f>IF(Modular!D27="Não",Modular!C27, " ")</f>
        <v xml:space="preserve"> </v>
      </c>
      <c r="V27" t="str">
        <v>Doom Blade</v>
      </c>
      <c r="W27" t="str">
        <f>IF(WBGAllies!D27="Não",WBGAllies!C27, " ")</f>
        <v xml:space="preserve"> </v>
      </c>
    </row>
    <row r="28" spans="2:23" x14ac:dyDescent="0.25">
      <c r="B28" t="str">
        <v xml:space="preserve"> </v>
      </c>
      <c r="C28" t="str">
        <f>IF(WGFractius!D28="Não",WGFractius!C28, " ")</f>
        <v xml:space="preserve"> </v>
      </c>
      <c r="F28" t="str">
        <v xml:space="preserve"> </v>
      </c>
      <c r="G28" t="str">
        <f>IF(Vida!D28="Não",Vida!C28, " ")</f>
        <v xml:space="preserve"> </v>
      </c>
      <c r="J28" t="str">
        <v>Negação Altiva</v>
      </c>
      <c r="K28" t="str">
        <f>IF(Fadas!D28="Não",Fadas!C28, " ")</f>
        <v xml:space="preserve"> </v>
      </c>
      <c r="N28" t="str">
        <v xml:space="preserve"> </v>
      </c>
      <c r="O28" t="str">
        <f>IF(WBRKnights!D28="Não",WBRKnights!C28, " ")</f>
        <v xml:space="preserve"> </v>
      </c>
      <c r="R28" t="str">
        <v>Galvanic Blast</v>
      </c>
      <c r="S28" t="str">
        <f>IF(Modular!D28="Não",Modular!C28, " ")</f>
        <v xml:space="preserve"> </v>
      </c>
      <c r="V28" t="str">
        <v>Diabolic Edict</v>
      </c>
      <c r="W28" t="str">
        <f>IF(WBGAllies!D28="Não",WBGAllies!C28, " ")</f>
        <v xml:space="preserve"> </v>
      </c>
    </row>
    <row r="29" spans="2:23" x14ac:dyDescent="0.25">
      <c r="B29" t="str">
        <v xml:space="preserve"> </v>
      </c>
      <c r="C29" t="str">
        <f>IF(WGFractius!D29="Não",WGFractius!C29, " ")</f>
        <v xml:space="preserve"> </v>
      </c>
      <c r="F29" t="str">
        <v xml:space="preserve"> </v>
      </c>
      <c r="G29" t="str">
        <f>IF(Vida!D29="Não",Vida!C29, " ")</f>
        <v xml:space="preserve"> </v>
      </c>
      <c r="J29" t="str">
        <v>Mulldrifter</v>
      </c>
      <c r="K29" t="str">
        <f>IF(Fadas!D29="Não",Fadas!C29, " ")</f>
        <v>Snaremaster Sprite</v>
      </c>
      <c r="N29" t="str">
        <v xml:space="preserve"> </v>
      </c>
      <c r="O29" t="str">
        <f>IF(WBRKnights!D29="Não",WBRKnights!C29, " ")</f>
        <v xml:space="preserve"> </v>
      </c>
      <c r="R29" t="str">
        <v>Galvanic Blast</v>
      </c>
      <c r="S29" t="str">
        <f>IF(Modular!D29="Não",Modular!C29, " ")</f>
        <v xml:space="preserve"> </v>
      </c>
      <c r="V29" t="str">
        <v>Diabolic Edict</v>
      </c>
      <c r="W29" t="str">
        <f>IF(WBGAllies!D29="Não",WBGAllies!C29, " ")</f>
        <v xml:space="preserve"> </v>
      </c>
    </row>
    <row r="30" spans="2:23" x14ac:dyDescent="0.25">
      <c r="B30" t="str">
        <v xml:space="preserve"> </v>
      </c>
      <c r="C30" t="str">
        <f>IF(WGFractius!D30="Não",WGFractius!C30, " ")</f>
        <v xml:space="preserve"> </v>
      </c>
      <c r="F30" t="str">
        <v xml:space="preserve"> </v>
      </c>
      <c r="G30" t="str">
        <f>IF(Vida!D30="Não",Vida!C30, " ")</f>
        <v xml:space="preserve"> </v>
      </c>
      <c r="J30" t="str">
        <v>Mulldrifter</v>
      </c>
      <c r="K30" t="str">
        <f>IF(Fadas!D30="Não",Fadas!C30, " ")</f>
        <v>Snaremaster Sprite</v>
      </c>
      <c r="N30" t="str">
        <v xml:space="preserve"> </v>
      </c>
      <c r="O30" t="str">
        <f>IF(WBRKnights!D30="Não",WBRKnights!C30, " ")</f>
        <v xml:space="preserve"> </v>
      </c>
      <c r="R30" t="str">
        <v>Galvanic Blast</v>
      </c>
      <c r="S30" t="str">
        <f>IF(Modular!D30="Não",Modular!C30, " ")</f>
        <v xml:space="preserve"> </v>
      </c>
      <c r="V30" t="str">
        <v>Diabolic Edict</v>
      </c>
      <c r="W30" t="str">
        <f>IF(WBGAllies!D30="Não",WBGAllies!C30, " ")</f>
        <v xml:space="preserve"> </v>
      </c>
    </row>
    <row r="31" spans="2:23" x14ac:dyDescent="0.25">
      <c r="B31" t="str">
        <v xml:space="preserve"> </v>
      </c>
      <c r="C31" t="str">
        <f>IF(WGFractius!D31="Não",WGFractius!C31, " ")</f>
        <v xml:space="preserve"> </v>
      </c>
      <c r="F31" t="str">
        <v xml:space="preserve"> </v>
      </c>
      <c r="G31" t="str">
        <f>IF(Vida!D31="Não",Vida!C31, " ")</f>
        <v xml:space="preserve"> </v>
      </c>
      <c r="J31" t="str">
        <v>Mulldrifter</v>
      </c>
      <c r="K31" t="str">
        <f>IF(Fadas!D31="Não",Fadas!C31, " ")</f>
        <v>Snaremaster Sprite</v>
      </c>
      <c r="N31" t="str">
        <v xml:space="preserve"> </v>
      </c>
      <c r="O31" t="str">
        <f>IF(WBRKnights!D31="Não",WBRKnights!C31, " ")</f>
        <v xml:space="preserve"> </v>
      </c>
      <c r="R31" t="str">
        <v>Galvanic Blast</v>
      </c>
      <c r="S31" t="str">
        <f>IF(Modular!D31="Não",Modular!C31, " ")</f>
        <v xml:space="preserve"> </v>
      </c>
      <c r="V31" t="str">
        <v>Diabolic Edict</v>
      </c>
      <c r="W31" t="str">
        <f>IF(WBGAllies!D31="Não",WBGAllies!C31, " ")</f>
        <v xml:space="preserve"> </v>
      </c>
    </row>
    <row r="32" spans="2:23" x14ac:dyDescent="0.25">
      <c r="B32" t="str">
        <v xml:space="preserve"> </v>
      </c>
      <c r="C32" t="str">
        <f>IF(WGFractius!D32="Não",WGFractius!C32, " ")</f>
        <v xml:space="preserve"> </v>
      </c>
      <c r="F32" t="str">
        <v xml:space="preserve"> </v>
      </c>
      <c r="G32" t="str">
        <f>IF(Vida!D32="Não",Vida!C32, " ")</f>
        <v xml:space="preserve"> </v>
      </c>
      <c r="J32" t="str">
        <v>Mulldrifter</v>
      </c>
      <c r="K32" t="str">
        <f>IF(Fadas!D32="Não",Fadas!C32, " ")</f>
        <v>Snaremaster Sprite</v>
      </c>
      <c r="N32" t="str">
        <v xml:space="preserve"> </v>
      </c>
      <c r="O32" t="str">
        <f>IF(WBRKnights!D32="Não",WBRKnights!C32, " ")</f>
        <v xml:space="preserve"> </v>
      </c>
      <c r="R32" t="str">
        <v>Blessed Hippogriff // Tyr's Blessing</v>
      </c>
      <c r="S32" t="str">
        <f>IF(Modular!D32="Não",Modular!C32, " ")</f>
        <v xml:space="preserve"> </v>
      </c>
      <c r="V32" t="str">
        <v>Blossoming Sands</v>
      </c>
      <c r="W32" t="str">
        <f>IF(WBGAllies!D32="Não",WBGAllies!C32, " ")</f>
        <v xml:space="preserve"> </v>
      </c>
    </row>
    <row r="33" spans="2:23" x14ac:dyDescent="0.25">
      <c r="B33" t="str">
        <v xml:space="preserve"> </v>
      </c>
      <c r="C33" t="str">
        <f>IF(WGFractius!D33="Não",WGFractius!C33, " ")</f>
        <v xml:space="preserve"> </v>
      </c>
      <c r="F33" t="str">
        <v xml:space="preserve"> </v>
      </c>
      <c r="G33" t="str">
        <f>IF(Vida!D33="Não",Vida!C33, " ")</f>
        <v xml:space="preserve"> </v>
      </c>
      <c r="J33" t="str">
        <v>Manto das Marés</v>
      </c>
      <c r="K33" t="str">
        <f>IF(Fadas!D33="Não",Fadas!C33, " ")</f>
        <v>Mulldrifter</v>
      </c>
      <c r="N33" t="str">
        <v xml:space="preserve"> </v>
      </c>
      <c r="O33" t="str">
        <f>IF(WBRKnights!D33="Não",WBRKnights!C33, " ")</f>
        <v xml:space="preserve"> </v>
      </c>
      <c r="R33" t="str">
        <v>Blessed Hippogriff // Tyr's Blessing</v>
      </c>
      <c r="S33" t="str">
        <f>IF(Modular!D33="Não",Modular!C33, " ")</f>
        <v xml:space="preserve"> </v>
      </c>
      <c r="V33" t="str">
        <v>Blossoming Sands</v>
      </c>
      <c r="W33" t="str">
        <f>IF(WBGAllies!D33="Não",WBGAllies!C33, " ")</f>
        <v xml:space="preserve"> </v>
      </c>
    </row>
    <row r="34" spans="2:23" x14ac:dyDescent="0.25">
      <c r="B34" t="str">
        <v xml:space="preserve"> </v>
      </c>
      <c r="C34" t="str">
        <f>IF(WGFractius!D34="Não",WGFractius!C34, " ")</f>
        <v xml:space="preserve"> </v>
      </c>
      <c r="F34" t="str">
        <v xml:space="preserve"> </v>
      </c>
      <c r="G34" t="str">
        <f>IF(Vida!D34="Não",Vida!C34, " ")</f>
        <v xml:space="preserve"> </v>
      </c>
      <c r="J34" t="str">
        <v>Manto das Marés</v>
      </c>
      <c r="K34" t="str">
        <f>IF(Fadas!D34="Não",Fadas!C34, " ")</f>
        <v>Mulldrifter</v>
      </c>
      <c r="N34" t="str">
        <v xml:space="preserve"> </v>
      </c>
      <c r="O34" t="str">
        <f>IF(WBRKnights!D34="Não",WBRKnights!C34, " ")</f>
        <v xml:space="preserve"> </v>
      </c>
      <c r="R34" t="str">
        <v>Apostle's Blessing</v>
      </c>
      <c r="S34" t="str">
        <f>IF(Modular!D34="Não",Modular!C34, " ")</f>
        <v xml:space="preserve"> </v>
      </c>
      <c r="V34" t="str">
        <v>Blossoming Sands</v>
      </c>
      <c r="W34" t="str">
        <f>IF(WBGAllies!D34="Não",WBGAllies!C34, " ")</f>
        <v xml:space="preserve"> </v>
      </c>
    </row>
    <row r="35" spans="2:23" x14ac:dyDescent="0.25">
      <c r="B35" t="str">
        <v xml:space="preserve"> </v>
      </c>
      <c r="C35" t="str">
        <f>IF(WGFractius!D35="Não",WGFractius!C35, " ")</f>
        <v xml:space="preserve"> </v>
      </c>
      <c r="F35" t="str">
        <v xml:space="preserve"> </v>
      </c>
      <c r="G35" t="str">
        <f>IF(Vida!D35="Não",Vida!C35, " ")</f>
        <v xml:space="preserve"> </v>
      </c>
      <c r="J35" t="str">
        <v>Eterno Aviano</v>
      </c>
      <c r="K35" t="str">
        <f>IF(Fadas!D35="Não",Fadas!C35, " ")</f>
        <v>Mulldrifter</v>
      </c>
      <c r="N35" t="str">
        <v xml:space="preserve"> </v>
      </c>
      <c r="O35" t="str">
        <f>IF(WBRKnights!D35="Não",WBRKnights!C35, " ")</f>
        <v xml:space="preserve"> </v>
      </c>
      <c r="R35" t="str">
        <v>Apostle's Blessing</v>
      </c>
      <c r="S35" t="str">
        <f>IF(Modular!D35="Não",Modular!C35, " ")</f>
        <v xml:space="preserve"> </v>
      </c>
      <c r="V35" t="str">
        <v>Blossoming Sands</v>
      </c>
      <c r="W35" t="str">
        <f>IF(WBGAllies!D35="Não",WBGAllies!C35, " ")</f>
        <v xml:space="preserve"> </v>
      </c>
    </row>
    <row r="36" spans="2:23" x14ac:dyDescent="0.25">
      <c r="B36" t="str">
        <v xml:space="preserve"> </v>
      </c>
      <c r="C36" t="str">
        <f>IF(WGFractius!D36="Não",WGFractius!C36, " ")</f>
        <v xml:space="preserve"> </v>
      </c>
      <c r="F36" t="str">
        <v xml:space="preserve"> </v>
      </c>
      <c r="G36" t="str">
        <f>IF(Vida!D36="Não",Vida!C36, " ")</f>
        <v xml:space="preserve"> </v>
      </c>
      <c r="J36" t="str">
        <v>Estalo</v>
      </c>
      <c r="K36" t="str">
        <f>IF(Fadas!D36="Não",Fadas!C36, " ")</f>
        <v>Mulldrifter</v>
      </c>
      <c r="N36" t="str">
        <v xml:space="preserve"> </v>
      </c>
      <c r="O36" t="str">
        <f>IF(WBRKnights!D36="Não",WBRKnights!C36, " ")</f>
        <v xml:space="preserve"> </v>
      </c>
      <c r="R36" t="str">
        <v xml:space="preserve"> </v>
      </c>
      <c r="S36" t="str">
        <f>IF(Modular!D36="Não",Modular!C36, " ")</f>
        <v xml:space="preserve"> </v>
      </c>
      <c r="V36" t="str">
        <v>Blessed Hippogriff // Tyr's Blessing</v>
      </c>
      <c r="W36" t="str">
        <f>IF(WBGAllies!D36="Não",WBGAllies!C36, " ")</f>
        <v xml:space="preserve"> </v>
      </c>
    </row>
    <row r="37" spans="2:23" x14ac:dyDescent="0.25">
      <c r="B37" t="str">
        <v xml:space="preserve"> </v>
      </c>
      <c r="C37" t="str">
        <f>IF(WGFractius!D37="Não",WGFractius!C37, " ")</f>
        <v xml:space="preserve"> </v>
      </c>
      <c r="F37" t="str">
        <v xml:space="preserve"> </v>
      </c>
      <c r="G37" t="str">
        <f>IF(Vida!D37="Não",Vida!C37, " ")</f>
        <v xml:space="preserve"> </v>
      </c>
      <c r="J37" t="str">
        <v>Estalo</v>
      </c>
      <c r="K37" t="str">
        <f>IF(Fadas!D37="Não",Fadas!C37, " ")</f>
        <v xml:space="preserve"> </v>
      </c>
      <c r="N37" t="str">
        <v xml:space="preserve"> </v>
      </c>
      <c r="O37" t="str">
        <f>IF(WBRKnights!D37="Não",WBRKnights!C37, " ")</f>
        <v xml:space="preserve"> </v>
      </c>
      <c r="R37" t="str">
        <v xml:space="preserve"> </v>
      </c>
      <c r="S37" t="str">
        <f>IF(Modular!D37="Não",Modular!C37, " ")</f>
        <v xml:space="preserve"> </v>
      </c>
      <c r="V37" t="str">
        <v>Blessed Hippogriff // Tyr's Blessing</v>
      </c>
      <c r="W37" t="str">
        <f>IF(WBGAllies!D37="Não",WBGAllies!C37, " ")</f>
        <v xml:space="preserve"> </v>
      </c>
    </row>
    <row r="38" spans="2:23" x14ac:dyDescent="0.25">
      <c r="B38" t="str">
        <v xml:space="preserve"> </v>
      </c>
      <c r="C38" t="str">
        <f>IF(WGFractius!D38="Não",WGFractius!C38, " ")</f>
        <v xml:space="preserve"> </v>
      </c>
      <c r="F38" t="str">
        <v xml:space="preserve"> </v>
      </c>
      <c r="G38" t="str">
        <f>IF(Vida!D38="Não",Vida!C38, " ")</f>
        <v xml:space="preserve"> </v>
      </c>
      <c r="J38" t="str">
        <v>Estalo</v>
      </c>
      <c r="K38" t="str">
        <f>IF(Fadas!D38="Não",Fadas!C38, " ")</f>
        <v xml:space="preserve"> </v>
      </c>
      <c r="N38" t="str">
        <v xml:space="preserve"> </v>
      </c>
      <c r="O38" t="str">
        <f>IF(WBRKnights!D38="Não",WBRKnights!C38, " ")</f>
        <v xml:space="preserve"> </v>
      </c>
      <c r="R38" t="str">
        <v xml:space="preserve"> </v>
      </c>
      <c r="S38" t="str">
        <f>IF(Modular!D38="Não",Modular!C38, " ")</f>
        <v xml:space="preserve"> </v>
      </c>
      <c r="V38" t="str">
        <v>Blessed Hippogriff // Tyr's Blessing</v>
      </c>
      <c r="W38" t="str">
        <f>IF(WBGAllies!D38="Não",WBGAllies!C38, " ")</f>
        <v xml:space="preserve"> </v>
      </c>
    </row>
    <row r="39" spans="2:23" x14ac:dyDescent="0.25">
      <c r="B39" t="str">
        <v xml:space="preserve"> </v>
      </c>
      <c r="C39" t="str">
        <f>IF(WGFractius!D39="Não",WGFractius!C39, " ")</f>
        <v xml:space="preserve"> </v>
      </c>
      <c r="F39" t="str">
        <v xml:space="preserve"> </v>
      </c>
      <c r="G39" t="str">
        <f>IF(Vida!D39="Não",Vida!C39, " ")</f>
        <v xml:space="preserve"> </v>
      </c>
      <c r="J39" t="str">
        <v>Estalo</v>
      </c>
      <c r="K39" t="str">
        <f>IF(Fadas!D39="Não",Fadas!C39, " ")</f>
        <v xml:space="preserve"> </v>
      </c>
      <c r="N39" t="str">
        <v xml:space="preserve"> </v>
      </c>
      <c r="O39" t="str">
        <f>IF(WBRKnights!D39="Não",WBRKnights!C39, " ")</f>
        <v xml:space="preserve"> </v>
      </c>
      <c r="R39" t="str">
        <v xml:space="preserve"> </v>
      </c>
      <c r="S39" t="str">
        <f>IF(Modular!D39="Não",Modular!C39, " ")</f>
        <v>Kenku Artificer</v>
      </c>
      <c r="V39" t="str">
        <v xml:space="preserve"> </v>
      </c>
      <c r="W39" t="str">
        <f>IF(WBGAllies!D39="Não",WBGAllies!C39, " ")</f>
        <v>Masked Vandal</v>
      </c>
    </row>
    <row r="40" spans="2:23" x14ac:dyDescent="0.25">
      <c r="B40" t="str">
        <v xml:space="preserve"> </v>
      </c>
      <c r="C40" t="str">
        <f>IF(WGFractius!D40="Não",WGFractius!C40, " ")</f>
        <v xml:space="preserve"> </v>
      </c>
      <c r="F40" t="str">
        <v xml:space="preserve"> </v>
      </c>
      <c r="G40" t="str">
        <f>IF(Vida!D40="Não",Vida!C40, " ")</f>
        <v xml:space="preserve"> </v>
      </c>
      <c r="J40" t="str">
        <v>Counterspell</v>
      </c>
      <c r="K40" t="str">
        <f>IF(Fadas!D40="Não",Fadas!C40, " ")</f>
        <v>Eterno Aviano</v>
      </c>
      <c r="N40" t="str">
        <v xml:space="preserve"> </v>
      </c>
      <c r="O40" t="str">
        <f>IF(WBRKnights!D40="Não",WBRKnights!C40, " ")</f>
        <v xml:space="preserve"> </v>
      </c>
      <c r="R40" t="str">
        <v xml:space="preserve"> </v>
      </c>
      <c r="S40" t="str">
        <f>IF(Modular!D40="Não",Modular!C40, " ")</f>
        <v>Kenku Artificer</v>
      </c>
      <c r="V40" t="str">
        <v xml:space="preserve"> </v>
      </c>
      <c r="W40" t="str">
        <f>IF(WBGAllies!D40="Não",WBGAllies!C40, " ")</f>
        <v>Masked Vandal</v>
      </c>
    </row>
    <row r="41" spans="2:23" x14ac:dyDescent="0.25">
      <c r="B41" t="str">
        <v xml:space="preserve"> </v>
      </c>
      <c r="C41" t="str">
        <f>IF(WGFractius!D41="Não",WGFractius!C41, " ")</f>
        <v xml:space="preserve"> </v>
      </c>
      <c r="F41" t="str">
        <v xml:space="preserve"> </v>
      </c>
      <c r="G41" t="str">
        <f>IF(Vida!D41="Não",Vida!C41, " ")</f>
        <v xml:space="preserve"> </v>
      </c>
      <c r="J41" t="str">
        <v>Counterspell</v>
      </c>
      <c r="K41" t="str">
        <f>IF(Fadas!D41="Não",Fadas!C41, " ")</f>
        <v>Ninja das Horas Tardias</v>
      </c>
      <c r="N41" t="str">
        <v xml:space="preserve"> </v>
      </c>
      <c r="O41" t="str">
        <f>IF(WBRKnights!D41="Não",WBRKnights!C41, " ")</f>
        <v xml:space="preserve"> </v>
      </c>
      <c r="R41" t="str">
        <v xml:space="preserve"> </v>
      </c>
      <c r="S41" t="str">
        <f>IF(Modular!D41="Não",Modular!C41, " ")</f>
        <v>Kenku Artificer</v>
      </c>
      <c r="V41" t="str">
        <v xml:space="preserve"> </v>
      </c>
      <c r="W41" t="str">
        <f>IF(WBGAllies!D41="Não",WBGAllies!C41, " ")</f>
        <v>Masked Vandal</v>
      </c>
    </row>
    <row r="42" spans="2:23" x14ac:dyDescent="0.25">
      <c r="B42" t="str">
        <v xml:space="preserve"> </v>
      </c>
      <c r="C42" t="str">
        <f>IF(WGFractius!D42="Não",WGFractius!C42, " ")</f>
        <v xml:space="preserve"> </v>
      </c>
      <c r="F42" t="str">
        <v xml:space="preserve"> </v>
      </c>
      <c r="G42" t="str">
        <f>IF(Vida!D42="Não",Vida!C42, " ")</f>
        <v xml:space="preserve"> </v>
      </c>
      <c r="J42" t="str">
        <v>Counterspell</v>
      </c>
      <c r="K42" t="str">
        <f>IF(Fadas!D42="Não",Fadas!C42, " ")</f>
        <v>Ninja das Horas Tardias</v>
      </c>
      <c r="N42" t="str">
        <v xml:space="preserve"> </v>
      </c>
      <c r="O42" t="str">
        <f>IF(WBRKnights!D42="Não",WBRKnights!C42, " ")</f>
        <v xml:space="preserve"> </v>
      </c>
      <c r="R42" t="str">
        <v xml:space="preserve"> </v>
      </c>
      <c r="S42" t="str">
        <f>IF(Modular!D42="Não",Modular!C42, " ")</f>
        <v>Kenku Artificer</v>
      </c>
      <c r="V42" t="str">
        <v xml:space="preserve"> </v>
      </c>
      <c r="W42" t="str">
        <f>IF(WBGAllies!D42="Não",WBGAllies!C42, " ")</f>
        <v>Masked Vandal</v>
      </c>
    </row>
    <row r="43" spans="2:23" x14ac:dyDescent="0.25">
      <c r="B43" t="str">
        <v xml:space="preserve"> </v>
      </c>
      <c r="C43" t="str">
        <f>IF(WGFractius!D43="Não",WGFractius!C43, " ")</f>
        <v xml:space="preserve"> </v>
      </c>
      <c r="F43" t="str">
        <v xml:space="preserve"> </v>
      </c>
      <c r="G43" t="str">
        <f>IF(Vida!D43="Não",Vida!C43, " ")</f>
        <v xml:space="preserve"> </v>
      </c>
      <c r="J43" t="str">
        <v>Counterspell</v>
      </c>
      <c r="K43" t="str">
        <f>IF(Fadas!D43="Não",Fadas!C43, " ")</f>
        <v>Ninja das Horas Tardias</v>
      </c>
      <c r="N43" t="str">
        <v xml:space="preserve"> </v>
      </c>
      <c r="O43" t="str">
        <f>IF(WBRKnights!D43="Não",WBRKnights!C43, " ")</f>
        <v>Gallant Cavalry</v>
      </c>
      <c r="R43" t="str">
        <v xml:space="preserve"> </v>
      </c>
      <c r="S43" t="str">
        <f>IF(Modular!D43="Não",Modular!C43, " ")</f>
        <v xml:space="preserve"> </v>
      </c>
      <c r="V43" t="str">
        <v xml:space="preserve"> </v>
      </c>
      <c r="W43" t="str">
        <f>IF(WBGAllies!D43="Não",WBGAllies!C43, " ")</f>
        <v>Oran-Rief Survivalist</v>
      </c>
    </row>
    <row r="44" spans="2:23" x14ac:dyDescent="0.25">
      <c r="B44" t="str">
        <v xml:space="preserve"> </v>
      </c>
      <c r="C44" t="str">
        <f>IF(WGFractius!D44="Não",WGFractius!C44, " ")</f>
        <v xml:space="preserve"> </v>
      </c>
      <c r="F44" t="str">
        <v xml:space="preserve"> </v>
      </c>
      <c r="G44" t="str">
        <f>IF(Vida!D44="Não",Vida!C44, " ")</f>
        <v xml:space="preserve"> </v>
      </c>
      <c r="J44" t="str">
        <v xml:space="preserve"> </v>
      </c>
      <c r="K44" t="str">
        <f>IF(Fadas!D44="Não",Fadas!C44, " ")</f>
        <v>Ninja das Horas Tardias</v>
      </c>
      <c r="N44" t="str">
        <v xml:space="preserve"> </v>
      </c>
      <c r="O44" t="str">
        <f>IF(WBRKnights!D44="Não",WBRKnights!C44, " ")</f>
        <v xml:space="preserve"> </v>
      </c>
      <c r="R44" t="str">
        <v xml:space="preserve"> </v>
      </c>
      <c r="S44" t="str">
        <f>IF(Modular!D44="Não",Modular!C44, " ")</f>
        <v xml:space="preserve"> </v>
      </c>
      <c r="V44" t="str">
        <v xml:space="preserve"> </v>
      </c>
      <c r="W44" t="str">
        <f>IF(WBGAllies!D44="Não",WBGAllies!C44, " ")</f>
        <v>Oran-Rief Survivalist</v>
      </c>
    </row>
    <row r="45" spans="2:23" x14ac:dyDescent="0.25">
      <c r="B45" t="str">
        <v xml:space="preserve"> </v>
      </c>
      <c r="C45" t="str">
        <f>IF(WGFractius!D45="Não",WGFractius!C45, " ")</f>
        <v xml:space="preserve"> </v>
      </c>
      <c r="F45" t="str">
        <v xml:space="preserve"> </v>
      </c>
      <c r="G45" t="str">
        <f>IF(Vida!D45="Não",Vida!C45, " ")</f>
        <v xml:space="preserve"> </v>
      </c>
      <c r="J45" t="str">
        <v xml:space="preserve"> </v>
      </c>
      <c r="K45" t="str">
        <f>IF(Fadas!D45="Não",Fadas!C45, " ")</f>
        <v xml:space="preserve"> </v>
      </c>
      <c r="N45" t="str">
        <v xml:space="preserve"> </v>
      </c>
      <c r="O45" t="str">
        <f>IF(WBRKnights!D45="Não",WBRKnights!C45, " ")</f>
        <v xml:space="preserve"> </v>
      </c>
      <c r="R45" t="str">
        <v xml:space="preserve"> </v>
      </c>
      <c r="S45" t="str">
        <f>IF(Modular!D45="Não",Modular!C45, " ")</f>
        <v xml:space="preserve"> </v>
      </c>
      <c r="V45" t="str">
        <v xml:space="preserve"> </v>
      </c>
      <c r="W45" t="str">
        <f>IF(WBGAllies!D45="Não",WBGAllies!C45, " ")</f>
        <v>Oran-Rief Survivalist</v>
      </c>
    </row>
    <row r="46" spans="2:23" x14ac:dyDescent="0.25">
      <c r="B46" t="str">
        <v xml:space="preserve"> </v>
      </c>
      <c r="C46" t="str">
        <f>IF(WGFractius!D46="Não",WGFractius!C46, " ")</f>
        <v xml:space="preserve"> </v>
      </c>
      <c r="F46" t="str">
        <v xml:space="preserve"> </v>
      </c>
      <c r="G46" t="str">
        <f>IF(Vida!D46="Não",Vida!C46, " ")</f>
        <v xml:space="preserve"> </v>
      </c>
      <c r="J46" t="str">
        <v xml:space="preserve"> </v>
      </c>
      <c r="K46" t="str">
        <f>IF(Fadas!D46="Não",Fadas!C46, " ")</f>
        <v>Spellstutter Sprite</v>
      </c>
      <c r="N46" t="str">
        <v xml:space="preserve"> </v>
      </c>
      <c r="O46" t="str">
        <f>IF(WBRKnights!D46="Não",WBRKnights!C46, " ")</f>
        <v xml:space="preserve"> </v>
      </c>
      <c r="R46" t="str">
        <v xml:space="preserve"> </v>
      </c>
      <c r="S46" t="str">
        <f>IF(Modular!D46="Não",Modular!C46, " ")</f>
        <v xml:space="preserve"> </v>
      </c>
      <c r="V46" t="str">
        <v xml:space="preserve"> </v>
      </c>
      <c r="W46" t="str">
        <f>IF(WBGAllies!D46="Não",WBGAllies!C46, " ")</f>
        <v>Oran-Rief Survivalist</v>
      </c>
    </row>
    <row r="47" spans="2:23" x14ac:dyDescent="0.25">
      <c r="B47" t="str">
        <v xml:space="preserve"> </v>
      </c>
      <c r="C47" t="str">
        <f>IF(WGFractius!D47="Não",WGFractius!C47, " ")</f>
        <v xml:space="preserve"> </v>
      </c>
      <c r="F47" t="str">
        <v xml:space="preserve"> </v>
      </c>
      <c r="G47" t="str">
        <f>IF(Vida!D47="Não",Vida!C47, " ")</f>
        <v>Ephemerate</v>
      </c>
      <c r="J47" t="str">
        <v xml:space="preserve"> </v>
      </c>
      <c r="K47" t="str">
        <f>IF(Fadas!D47="Não",Fadas!C47, " ")</f>
        <v>Spellstutter Sprite</v>
      </c>
      <c r="N47" t="str">
        <v xml:space="preserve"> </v>
      </c>
      <c r="O47" t="str">
        <f>IF(WBRKnights!D47="Não",WBRKnights!C47, " ")</f>
        <v xml:space="preserve"> </v>
      </c>
      <c r="R47" t="str">
        <v xml:space="preserve"> </v>
      </c>
      <c r="S47" t="str">
        <f>IF(Modular!D47="Não",Modular!C47, " ")</f>
        <v xml:space="preserve"> </v>
      </c>
      <c r="V47" t="str">
        <v xml:space="preserve"> </v>
      </c>
      <c r="W47" t="str">
        <f>IF(WBGAllies!D47="Não",WBGAllies!C47, " ")</f>
        <v>Graypelt Hunter</v>
      </c>
    </row>
    <row r="48" spans="2:23" x14ac:dyDescent="0.25">
      <c r="B48" t="str">
        <v xml:space="preserve"> </v>
      </c>
      <c r="C48" t="str">
        <f>IF(WGFractius!D48="Não",WGFractius!C48, " ")</f>
        <v xml:space="preserve"> </v>
      </c>
      <c r="F48" t="str">
        <v xml:space="preserve"> </v>
      </c>
      <c r="G48" t="str">
        <f>IF(Vida!D48="Não",Vida!C48, " ")</f>
        <v>Ephemerate</v>
      </c>
      <c r="J48" t="str">
        <v xml:space="preserve"> </v>
      </c>
      <c r="K48" t="str">
        <f>IF(Fadas!D48="Não",Fadas!C48, " ")</f>
        <v>Spellstutter Sprite</v>
      </c>
      <c r="N48" t="str">
        <v xml:space="preserve"> </v>
      </c>
      <c r="O48" t="str">
        <f>IF(WBRKnights!D48="Não",WBRKnights!C48, " ")</f>
        <v xml:space="preserve"> </v>
      </c>
      <c r="R48" t="str">
        <v xml:space="preserve"> </v>
      </c>
      <c r="S48" t="str">
        <f>IF(Modular!D48="Não",Modular!C48, " ")</f>
        <v xml:space="preserve"> </v>
      </c>
      <c r="V48" t="str">
        <v xml:space="preserve"> </v>
      </c>
      <c r="W48" t="str">
        <f>IF(WBGAllies!D48="Não",WBGAllies!C48, " ")</f>
        <v>Graypelt Hunter</v>
      </c>
    </row>
    <row r="49" spans="2:23" x14ac:dyDescent="0.25">
      <c r="B49" t="str">
        <v xml:space="preserve"> </v>
      </c>
      <c r="C49" t="str">
        <f>IF(WGFractius!D49="Não",WGFractius!C49, " ")</f>
        <v xml:space="preserve"> </v>
      </c>
      <c r="F49" t="str">
        <v xml:space="preserve"> </v>
      </c>
      <c r="G49" t="str">
        <f>IF(Vida!D49="Não",Vida!C49, " ")</f>
        <v>Ephemerate</v>
      </c>
      <c r="J49" t="str">
        <v xml:space="preserve"> </v>
      </c>
      <c r="K49" t="str">
        <f>IF(Fadas!D49="Não",Fadas!C49, " ")</f>
        <v>Estalo</v>
      </c>
      <c r="N49" t="str">
        <v xml:space="preserve"> </v>
      </c>
      <c r="O49" t="str">
        <f>IF(WBRKnights!D49="Não",WBRKnights!C49, " ")</f>
        <v xml:space="preserve"> </v>
      </c>
      <c r="R49" t="str">
        <v xml:space="preserve"> </v>
      </c>
      <c r="S49" t="str">
        <f>IF(Modular!D49="Não",Modular!C49, " ")</f>
        <v xml:space="preserve"> </v>
      </c>
      <c r="V49" t="str">
        <v xml:space="preserve"> </v>
      </c>
      <c r="W49" t="str">
        <f>IF(WBGAllies!D49="Não",WBGAllies!C49, " ")</f>
        <v>Graypelt Hunter</v>
      </c>
    </row>
    <row r="50" spans="2:23" x14ac:dyDescent="0.25">
      <c r="B50" t="str">
        <v xml:space="preserve"> </v>
      </c>
      <c r="C50" t="str">
        <f>IF(WGFractius!D50="Não",WGFractius!C50, " ")</f>
        <v xml:space="preserve"> </v>
      </c>
      <c r="F50" t="str">
        <v xml:space="preserve"> </v>
      </c>
      <c r="G50" t="str">
        <f>IF(Vida!D50="Não",Vida!C50, " ")</f>
        <v>Ephemerate</v>
      </c>
      <c r="J50" t="str">
        <v xml:space="preserve"> </v>
      </c>
      <c r="K50" t="str">
        <f>IF(Fadas!D50="Não",Fadas!C50, " ")</f>
        <v>Estalo</v>
      </c>
      <c r="N50" t="str">
        <v xml:space="preserve"> </v>
      </c>
      <c r="O50" t="str">
        <f>IF(WBRKnights!D50="Não",WBRKnights!C50, " ")</f>
        <v>Thorn of the Black Rose</v>
      </c>
      <c r="R50" t="str">
        <v xml:space="preserve"> </v>
      </c>
      <c r="S50" t="str">
        <f>IF(Modular!D50="Não",Modular!C50, " ")</f>
        <v xml:space="preserve"> </v>
      </c>
      <c r="V50" t="str">
        <v xml:space="preserve"> </v>
      </c>
      <c r="W50" t="str">
        <f>IF(WBGAllies!D50="Não",WBGAllies!C50, " ")</f>
        <v>Graypelt Hunter</v>
      </c>
    </row>
    <row r="51" spans="2:23" x14ac:dyDescent="0.25">
      <c r="B51" t="str">
        <v xml:space="preserve"> </v>
      </c>
      <c r="C51" t="str">
        <f>IF(WGFractius!D51="Não",WGFractius!C51, " ")</f>
        <v xml:space="preserve"> </v>
      </c>
      <c r="F51" t="str">
        <v xml:space="preserve"> </v>
      </c>
      <c r="G51" t="str">
        <f>IF(Vida!D51="Não",Vida!C51, " ")</f>
        <v xml:space="preserve"> </v>
      </c>
      <c r="J51" t="str">
        <v xml:space="preserve"> </v>
      </c>
      <c r="K51" t="str">
        <f>IF(Fadas!D51="Não",Fadas!C51, " ")</f>
        <v>Estalo</v>
      </c>
      <c r="N51" t="str">
        <v xml:space="preserve"> </v>
      </c>
      <c r="O51" t="str">
        <f>IF(WBRKnights!D51="Não",WBRKnights!C51, " ")</f>
        <v>Thorn of the Black Rose</v>
      </c>
      <c r="R51" t="str">
        <v xml:space="preserve"> </v>
      </c>
      <c r="S51" t="str">
        <f>IF(Modular!D51="Não",Modular!C51, " ")</f>
        <v>Thoughtcast</v>
      </c>
      <c r="V51" t="str">
        <v xml:space="preserve"> </v>
      </c>
      <c r="W51" t="str">
        <f>IF(WBGAllies!D51="Não",WBGAllies!C51, " ")</f>
        <v xml:space="preserve"> </v>
      </c>
    </row>
    <row r="52" spans="2:23" x14ac:dyDescent="0.25">
      <c r="B52" t="str">
        <v xml:space="preserve"> </v>
      </c>
      <c r="C52" t="str">
        <f>IF(WGFractius!D52="Não",WGFractius!C52, " ")</f>
        <v xml:space="preserve"> </v>
      </c>
      <c r="F52" t="str">
        <v xml:space="preserve"> </v>
      </c>
      <c r="G52" t="str">
        <f>IF(Vida!D52="Não",Vida!C52, " ")</f>
        <v xml:space="preserve"> </v>
      </c>
      <c r="J52" t="str">
        <v xml:space="preserve"> </v>
      </c>
      <c r="K52" t="str">
        <f>IF(Fadas!D52="Não",Fadas!C52, " ")</f>
        <v>Estalo</v>
      </c>
      <c r="N52" t="str">
        <v xml:space="preserve"> </v>
      </c>
      <c r="O52" t="str">
        <f>IF(WBRKnights!D52="Não",WBRKnights!C52, " ")</f>
        <v>Thorn of the Black Rose</v>
      </c>
      <c r="R52" t="str">
        <v xml:space="preserve"> </v>
      </c>
      <c r="S52" t="str">
        <f>IF(Modular!D52="Não",Modular!C52, " ")</f>
        <v>Thoughtcast</v>
      </c>
      <c r="V52" t="str">
        <v xml:space="preserve"> </v>
      </c>
      <c r="W52" t="str">
        <f>IF(WBGAllies!D52="Não",WBGAllies!C52, " ")</f>
        <v xml:space="preserve"> </v>
      </c>
    </row>
    <row r="53" spans="2:23" x14ac:dyDescent="0.25">
      <c r="B53" t="str">
        <v xml:space="preserve"> </v>
      </c>
      <c r="C53" t="str">
        <f>IF(WGFractius!D53="Não",WGFractius!C53, " ")</f>
        <v>Mutagenic Growth</v>
      </c>
      <c r="F53" t="str">
        <v xml:space="preserve"> </v>
      </c>
      <c r="G53" t="str">
        <f>IF(Vida!D53="Não",Vida!C53, " ")</f>
        <v xml:space="preserve"> </v>
      </c>
      <c r="J53" t="str">
        <v xml:space="preserve"> </v>
      </c>
      <c r="K53" t="str">
        <f>IF(Fadas!D53="Não",Fadas!C53, " ")</f>
        <v xml:space="preserve"> </v>
      </c>
      <c r="N53" t="str">
        <v xml:space="preserve"> </v>
      </c>
      <c r="O53" t="str">
        <f>IF(WBRKnights!D53="Não",WBRKnights!C53, " ")</f>
        <v xml:space="preserve"> </v>
      </c>
      <c r="R53" t="str">
        <v xml:space="preserve"> </v>
      </c>
      <c r="S53" t="str">
        <f>IF(Modular!D53="Não",Modular!C53, " ")</f>
        <v>Thoughtcast</v>
      </c>
      <c r="V53" t="str">
        <v xml:space="preserve"> </v>
      </c>
      <c r="W53" t="str">
        <f>IF(WBGAllies!D53="Não",WBGAllies!C53, " ")</f>
        <v xml:space="preserve"> </v>
      </c>
    </row>
    <row r="54" spans="2:23" x14ac:dyDescent="0.25">
      <c r="B54" t="str">
        <v xml:space="preserve"> </v>
      </c>
      <c r="C54" t="str">
        <f>IF(WGFractius!D54="Não",WGFractius!C54, " ")</f>
        <v>Mutagenic Growth</v>
      </c>
      <c r="F54" t="str">
        <v xml:space="preserve"> </v>
      </c>
      <c r="G54" t="str">
        <f>IF(Vida!D54="Não",Vida!C54, " ")</f>
        <v xml:space="preserve"> </v>
      </c>
      <c r="J54" t="str">
        <v xml:space="preserve"> </v>
      </c>
      <c r="K54" t="str">
        <f>IF(Fadas!D54="Não",Fadas!C54, " ")</f>
        <v xml:space="preserve"> </v>
      </c>
      <c r="N54" t="str">
        <v xml:space="preserve"> </v>
      </c>
      <c r="O54" t="str">
        <f>IF(WBRKnights!D54="Não",WBRKnights!C54, " ")</f>
        <v xml:space="preserve"> </v>
      </c>
      <c r="R54" t="str">
        <v xml:space="preserve"> </v>
      </c>
      <c r="S54" t="str">
        <f>IF(Modular!D54="Não",Modular!C54, " ")</f>
        <v>Thoughtcast</v>
      </c>
      <c r="V54" t="str">
        <v xml:space="preserve"> </v>
      </c>
      <c r="W54" t="str">
        <f>IF(WBGAllies!D54="Não",WBGAllies!C54, " ")</f>
        <v xml:space="preserve"> </v>
      </c>
    </row>
    <row r="55" spans="2:23" x14ac:dyDescent="0.25">
      <c r="B55" t="str">
        <v xml:space="preserve"> </v>
      </c>
      <c r="C55" t="str">
        <f>IF(WGFractius!D55="Não",WGFractius!C55, " ")</f>
        <v xml:space="preserve"> </v>
      </c>
      <c r="F55" t="str">
        <v xml:space="preserve"> </v>
      </c>
      <c r="G55" t="str">
        <f>IF(Vida!D55="Não",Vida!C55, " ")</f>
        <v xml:space="preserve"> </v>
      </c>
      <c r="J55" t="str">
        <v xml:space="preserve"> </v>
      </c>
      <c r="K55" t="str">
        <f>IF(Fadas!D55="Não",Fadas!C55, " ")</f>
        <v xml:space="preserve"> </v>
      </c>
      <c r="N55" t="str">
        <v xml:space="preserve"> </v>
      </c>
      <c r="O55" t="str">
        <f>IF(WBRKnights!D55="Não",WBRKnights!C55, " ")</f>
        <v xml:space="preserve"> </v>
      </c>
      <c r="R55" t="str">
        <v xml:space="preserve"> </v>
      </c>
      <c r="S55" t="str">
        <f>IF(Modular!D55="Não",Modular!C55, " ")</f>
        <v xml:space="preserve"> </v>
      </c>
      <c r="V55" t="str">
        <v xml:space="preserve"> </v>
      </c>
      <c r="W55" t="str">
        <f>IF(WBGAllies!D55="Não",WBGAllies!C55, " ")</f>
        <v xml:space="preserve"> </v>
      </c>
    </row>
    <row r="56" spans="2:23" x14ac:dyDescent="0.25">
      <c r="B56" t="str">
        <v xml:space="preserve"> </v>
      </c>
      <c r="C56" t="str">
        <f>IF(WGFractius!D56="Não",WGFractius!C56, " ")</f>
        <v xml:space="preserve"> </v>
      </c>
      <c r="F56" t="str">
        <v xml:space="preserve"> </v>
      </c>
      <c r="G56" t="str">
        <f>IF(Vida!D56="Não",Vida!C56, " ")</f>
        <v xml:space="preserve"> </v>
      </c>
      <c r="J56" t="str">
        <v xml:space="preserve"> </v>
      </c>
      <c r="K56" t="str">
        <f>IF(Fadas!D56="Não",Fadas!C56, " ")</f>
        <v xml:space="preserve"> </v>
      </c>
      <c r="N56" t="str">
        <v xml:space="preserve"> </v>
      </c>
      <c r="O56" t="str">
        <f>IF(WBRKnights!D56="Não",WBRKnights!C56, " ")</f>
        <v xml:space="preserve"> </v>
      </c>
      <c r="R56" t="str">
        <v xml:space="preserve"> </v>
      </c>
      <c r="S56" t="str">
        <f>IF(Modular!D56="Não",Modular!C56, " ")</f>
        <v xml:space="preserve"> </v>
      </c>
      <c r="V56" t="str">
        <v xml:space="preserve"> </v>
      </c>
      <c r="W56" t="str">
        <f>IF(WBGAllies!D56="Não",WBGAllies!C56, " ")</f>
        <v xml:space="preserve"> </v>
      </c>
    </row>
    <row r="57" spans="2:23" x14ac:dyDescent="0.25">
      <c r="B57" t="str">
        <v xml:space="preserve"> </v>
      </c>
      <c r="C57" t="str">
        <f>IF(WGFractius!D57="Não",WGFractius!C57, " ")</f>
        <v xml:space="preserve"> </v>
      </c>
      <c r="F57" t="str">
        <v xml:space="preserve"> </v>
      </c>
      <c r="G57" t="str">
        <f>IF(Vida!D57="Não",Vida!C57, " ")</f>
        <v xml:space="preserve"> </v>
      </c>
      <c r="J57" t="str">
        <v xml:space="preserve"> </v>
      </c>
      <c r="K57" t="str">
        <f>IF(Fadas!D57="Não",Fadas!C57, " ")</f>
        <v>Olhos Noturnos</v>
      </c>
      <c r="N57" t="str">
        <v xml:space="preserve"> </v>
      </c>
      <c r="O57" t="str">
        <f>IF(WBRKnights!D57="Não",WBRKnights!C57, " ")</f>
        <v xml:space="preserve"> </v>
      </c>
      <c r="R57" t="str">
        <v xml:space="preserve"> </v>
      </c>
      <c r="S57" t="str">
        <f>IF(Modular!D57="Não",Modular!C57, " ")</f>
        <v>Apostle's Blessing</v>
      </c>
      <c r="V57" t="str">
        <v xml:space="preserve"> </v>
      </c>
      <c r="W57" t="str">
        <f>IF(WBGAllies!D57="Não",WBGAllies!C57, " ")</f>
        <v xml:space="preserve"> </v>
      </c>
    </row>
    <row r="58" spans="2:23" x14ac:dyDescent="0.25">
      <c r="B58" t="str">
        <v xml:space="preserve"> </v>
      </c>
      <c r="C58" t="str">
        <f>IF(WGFractius!D58="Não",WGFractius!C58, " ")</f>
        <v xml:space="preserve"> </v>
      </c>
      <c r="F58" t="str">
        <v xml:space="preserve"> </v>
      </c>
      <c r="G58" t="str">
        <f>IF(Vida!D58="Não",Vida!C58, " ")</f>
        <v xml:space="preserve"> </v>
      </c>
      <c r="J58" t="str">
        <v xml:space="preserve"> </v>
      </c>
      <c r="K58" t="str">
        <f>IF(Fadas!D58="Não",Fadas!C58, " ")</f>
        <v>Olhos Noturnos</v>
      </c>
      <c r="N58" t="str">
        <v xml:space="preserve"> </v>
      </c>
      <c r="O58" t="str">
        <f>IF(WBRKnights!D58="Não",WBRKnights!C58, " ")</f>
        <v xml:space="preserve"> </v>
      </c>
      <c r="R58" t="str">
        <v xml:space="preserve"> </v>
      </c>
      <c r="S58" t="str">
        <f>IF(Modular!D58="Não",Modular!C58, " ")</f>
        <v>Apostle's Blessing</v>
      </c>
      <c r="V58" t="str">
        <v xml:space="preserve"> </v>
      </c>
      <c r="W58" t="str">
        <f>IF(WBGAllies!D58="Não",WBGAllies!C58, " ")</f>
        <v xml:space="preserve"> </v>
      </c>
    </row>
    <row r="59" spans="2:23" x14ac:dyDescent="0.25">
      <c r="B59" t="str">
        <v xml:space="preserve"> </v>
      </c>
      <c r="C59" t="str">
        <f>IF(WGFractius!D59="Não",WGFractius!C59, " ")</f>
        <v xml:space="preserve"> </v>
      </c>
      <c r="F59" t="str">
        <v xml:space="preserve"> </v>
      </c>
      <c r="G59" t="str">
        <f>IF(Vida!D59="Não",Vida!C59, " ")</f>
        <v xml:space="preserve"> </v>
      </c>
      <c r="J59" t="str">
        <v xml:space="preserve"> </v>
      </c>
      <c r="K59" t="str">
        <f>IF(Fadas!D59="Não",Fadas!C59, " ")</f>
        <v>Olhos Noturnos</v>
      </c>
      <c r="N59" t="str">
        <v xml:space="preserve"> </v>
      </c>
      <c r="O59" t="str">
        <f>IF(WBRKnights!D59="Não",WBRKnights!C59, " ")</f>
        <v xml:space="preserve"> </v>
      </c>
      <c r="R59" t="str">
        <v xml:space="preserve"> </v>
      </c>
      <c r="S59" t="str">
        <f>IF(Modular!D59="Não",Modular!C59, " ")</f>
        <v>Metallic Rebuke</v>
      </c>
      <c r="V59" t="str">
        <v xml:space="preserve"> </v>
      </c>
      <c r="W59" t="str">
        <f>IF(WBGAllies!D59="Não",WBGAllies!C59, " ")</f>
        <v xml:space="preserve"> </v>
      </c>
    </row>
    <row r="60" spans="2:23" x14ac:dyDescent="0.25">
      <c r="B60" t="str">
        <v xml:space="preserve"> </v>
      </c>
      <c r="C60" t="str">
        <f>IF(WGFractius!D60="Não",WGFractius!C60, " ")</f>
        <v xml:space="preserve"> </v>
      </c>
      <c r="F60" t="str">
        <v xml:space="preserve"> </v>
      </c>
      <c r="G60" t="str">
        <f>IF(Vida!D60="Não",Vida!C60, " ")</f>
        <v xml:space="preserve"> </v>
      </c>
      <c r="J60" t="str">
        <v xml:space="preserve"> </v>
      </c>
      <c r="K60" t="str">
        <f>IF(Fadas!D60="Não",Fadas!C60, " ")</f>
        <v>Olhos Noturnos</v>
      </c>
      <c r="N60" t="str">
        <v xml:space="preserve"> </v>
      </c>
      <c r="O60" t="str">
        <f>IF(WBRKnights!D60="Não",WBRKnights!C60, " ")</f>
        <v xml:space="preserve"> </v>
      </c>
      <c r="R60" t="str">
        <v xml:space="preserve"> </v>
      </c>
      <c r="S60" t="str">
        <f>IF(Modular!D60="Não",Modular!C60, " ")</f>
        <v>Metallic Rebuke</v>
      </c>
      <c r="V60" t="str">
        <v xml:space="preserve"> </v>
      </c>
      <c r="W60" t="str">
        <f>IF(WBGAllies!D60="Não",WBGAllies!C60, " ")</f>
        <v xml:space="preserve"> </v>
      </c>
    </row>
    <row r="61" spans="2:23" x14ac:dyDescent="0.25">
      <c r="B61" t="str">
        <v xml:space="preserve"> </v>
      </c>
      <c r="C61" t="str">
        <f>IF(WGFractius!D61="Não",WGFractius!C61, " ")</f>
        <v xml:space="preserve"> </v>
      </c>
      <c r="F61" t="str">
        <v xml:space="preserve"> </v>
      </c>
      <c r="G61" t="str">
        <f>IF(Vida!D61="Não",Vida!C61, " ")</f>
        <v xml:space="preserve"> </v>
      </c>
      <c r="J61" t="str">
        <v xml:space="preserve"> </v>
      </c>
      <c r="K61" t="str">
        <f>IF(Fadas!D61="Não",Fadas!C61, " ")</f>
        <v>Manto das Marés</v>
      </c>
      <c r="N61" t="str">
        <v xml:space="preserve"> </v>
      </c>
      <c r="O61" t="str">
        <f>IF(WBRKnights!D61="Não",WBRKnights!C61, " ")</f>
        <v>Terminate</v>
      </c>
      <c r="R61" t="str">
        <v xml:space="preserve"> </v>
      </c>
      <c r="S61" t="str">
        <f>IF(Modular!D61="Não",Modular!C61, " ")</f>
        <v>Metallic Rebuke</v>
      </c>
      <c r="V61" t="str">
        <v xml:space="preserve"> </v>
      </c>
      <c r="W61" t="str">
        <f>IF(WBGAllies!D61="Não",WBGAllies!C61, " ")</f>
        <v xml:space="preserve"> </v>
      </c>
    </row>
    <row r="62" spans="2:23" x14ac:dyDescent="0.25">
      <c r="B62" t="str">
        <v xml:space="preserve"> </v>
      </c>
      <c r="C62" t="str">
        <f>IF(WGFractius!D62="Não",WGFractius!C62, " ")</f>
        <v xml:space="preserve"> </v>
      </c>
      <c r="F62" t="str">
        <v xml:space="preserve"> </v>
      </c>
      <c r="G62" t="str">
        <f>IF(Vida!D62="Não",Vida!C62, " ")</f>
        <v>Thraben Inspector</v>
      </c>
      <c r="J62" t="str">
        <v xml:space="preserve"> </v>
      </c>
      <c r="K62" t="str">
        <f>IF(Fadas!D62="Não",Fadas!C62, " ")</f>
        <v>Manto das Marés</v>
      </c>
      <c r="N62" t="str">
        <v xml:space="preserve"> </v>
      </c>
      <c r="O62" t="str">
        <f>IF(WBRKnights!D62="Não",WBRKnights!C62, " ")</f>
        <v>Terminate</v>
      </c>
      <c r="R62" t="str">
        <v xml:space="preserve"> </v>
      </c>
      <c r="S62" t="str">
        <f>IF(Modular!D62="Não",Modular!C62, " ")</f>
        <v>Metallic Rebuke</v>
      </c>
      <c r="V62" t="str">
        <v xml:space="preserve"> </v>
      </c>
      <c r="W62" t="str">
        <f>IF(WBGAllies!D62="Não",WBGAllies!C62, " ")</f>
        <v xml:space="preserve"> </v>
      </c>
    </row>
    <row r="63" spans="2:23" x14ac:dyDescent="0.25">
      <c r="B63" t="str">
        <v xml:space="preserve"> </v>
      </c>
      <c r="C63" t="str">
        <f>IF(WGFractius!D63="Não",WGFractius!C63, " ")</f>
        <v>Journey to Nowhere</v>
      </c>
      <c r="F63" t="str">
        <v xml:space="preserve"> </v>
      </c>
      <c r="G63" t="str">
        <f>IF(Vida!D63="Não",Vida!C63, " ")</f>
        <v>Doom Blade</v>
      </c>
      <c r="J63" t="str">
        <v xml:space="preserve"> </v>
      </c>
      <c r="K63" t="str">
        <f>IF(Fadas!D63="Não",Fadas!C63, " ")</f>
        <v>Counterspell</v>
      </c>
      <c r="N63" t="str">
        <v xml:space="preserve"> </v>
      </c>
      <c r="O63" t="str">
        <f>IF(WBRKnights!D63="Não",WBRKnights!C63, " ")</f>
        <v xml:space="preserve"> </v>
      </c>
      <c r="R63" t="str">
        <v xml:space="preserve"> </v>
      </c>
      <c r="S63" t="str">
        <f>IF(Modular!D63="Não",Modular!C63, " ")</f>
        <v>Makeshift Munitions</v>
      </c>
      <c r="V63" t="str">
        <v xml:space="preserve"> </v>
      </c>
      <c r="W63" t="str">
        <f>IF(WBGAllies!D63="Não",WBGAllies!C63, " ")</f>
        <v xml:space="preserve"> </v>
      </c>
    </row>
    <row r="64" spans="2:23" x14ac:dyDescent="0.25">
      <c r="B64" t="str">
        <v xml:space="preserve"> </v>
      </c>
      <c r="C64" t="str">
        <f>IF(WGFractius!D64="Não",WGFractius!C64, " ")</f>
        <v>Journey to Nowhere</v>
      </c>
      <c r="F64" t="str">
        <v xml:space="preserve"> </v>
      </c>
      <c r="G64" t="str">
        <f>IF(Vida!D64="Não",Vida!C64, " ")</f>
        <v>Doom Blade</v>
      </c>
      <c r="J64" t="str">
        <v xml:space="preserve"> </v>
      </c>
      <c r="K64" t="str">
        <f>IF(Fadas!D64="Não",Fadas!C64, " ")</f>
        <v>Counterspell</v>
      </c>
      <c r="N64" t="str">
        <v xml:space="preserve"> </v>
      </c>
      <c r="O64" t="str">
        <f>IF(WBRKnights!D64="Não",WBRKnights!C64, " ")</f>
        <v xml:space="preserve"> </v>
      </c>
      <c r="R64" t="str">
        <v xml:space="preserve"> </v>
      </c>
      <c r="S64" t="str">
        <f>IF(Modular!D64="Não",Modular!C64, " ")</f>
        <v>Makeshift Munitions</v>
      </c>
      <c r="V64" t="str">
        <v xml:space="preserve"> </v>
      </c>
      <c r="W64" t="str">
        <f>IF(WBGAllies!D64="Não",WBGAllies!C64, " ")</f>
        <v xml:space="preserve"> </v>
      </c>
    </row>
    <row r="65" spans="2:23" x14ac:dyDescent="0.25">
      <c r="B65" t="str">
        <v xml:space="preserve"> </v>
      </c>
      <c r="C65" t="str">
        <f>IF(WGFractius!D65="Não",WGFractius!C65, " ")</f>
        <v>Young Wolf</v>
      </c>
      <c r="F65" t="str">
        <v xml:space="preserve"> </v>
      </c>
      <c r="G65" t="str">
        <f>IF(Vida!D65="Não",Vida!C65, " ")</f>
        <v xml:space="preserve"> </v>
      </c>
      <c r="J65" t="str">
        <v xml:space="preserve"> </v>
      </c>
      <c r="K65" t="str">
        <f>IF(Fadas!D65="Não",Fadas!C65, " ")</f>
        <v>Counterspell</v>
      </c>
      <c r="N65" t="str">
        <v xml:space="preserve"> </v>
      </c>
      <c r="O65" t="str">
        <f>IF(WBRKnights!D65="Não",WBRKnights!C65, " ")</f>
        <v xml:space="preserve"> </v>
      </c>
      <c r="R65" t="str">
        <v xml:space="preserve"> </v>
      </c>
      <c r="S65" t="str">
        <f>IF(Modular!D65="Não",Modular!C65, " ")</f>
        <v>Scrapyard Salvo</v>
      </c>
      <c r="V65" t="str">
        <v xml:space="preserve"> </v>
      </c>
      <c r="W65" t="str">
        <f>IF(WBGAllies!D65="Não",WBGAllies!C65, " ")</f>
        <v xml:space="preserve"> </v>
      </c>
    </row>
    <row r="66" spans="2:23" x14ac:dyDescent="0.25">
      <c r="B66" t="str">
        <v xml:space="preserve"> </v>
      </c>
      <c r="C66" t="str">
        <f>IF(WGFractius!D66="Não",WGFractius!C66, " ")</f>
        <v>Young Wolf</v>
      </c>
      <c r="F66" t="str">
        <v xml:space="preserve"> </v>
      </c>
      <c r="G66" t="str">
        <f>IF(Vida!D66="Não",Vida!C66, " ")</f>
        <v xml:space="preserve"> </v>
      </c>
      <c r="J66" t="str">
        <v xml:space="preserve"> </v>
      </c>
      <c r="K66" t="str">
        <f>IF(Fadas!D66="Não",Fadas!C66, " ")</f>
        <v>Counterspell</v>
      </c>
      <c r="N66" t="str">
        <v xml:space="preserve"> </v>
      </c>
      <c r="O66" t="str">
        <f>IF(WBRKnights!D66="Não",WBRKnights!C66, " ")</f>
        <v xml:space="preserve"> </v>
      </c>
      <c r="R66" t="str">
        <v xml:space="preserve"> </v>
      </c>
      <c r="S66" t="str">
        <f>IF(Modular!D66="Não",Modular!C66, " ")</f>
        <v>Scrapyard Salvo</v>
      </c>
      <c r="V66" t="str">
        <v xml:space="preserve"> </v>
      </c>
      <c r="W66" t="str">
        <f>IF(WBGAllies!D66="Não",WBGAllies!C66, " ")</f>
        <v xml:space="preserve"> </v>
      </c>
    </row>
    <row r="67" spans="2:23" x14ac:dyDescent="0.25">
      <c r="B67" t="str">
        <v xml:space="preserve"> </v>
      </c>
      <c r="C67" t="str">
        <f>IF(WGFractius!D67="Não",WGFractius!C67, " ")</f>
        <v>Standard Bearer</v>
      </c>
      <c r="F67" t="str">
        <v xml:space="preserve"> </v>
      </c>
      <c r="G67" t="str">
        <f>IF(Vida!D67="Não",Vida!C67, " ")</f>
        <v xml:space="preserve"> </v>
      </c>
      <c r="J67" t="str">
        <v xml:space="preserve"> </v>
      </c>
      <c r="K67" t="str">
        <f>IF(Fadas!D67="Não",Fadas!C67, " ")</f>
        <v>Psychic Barrier</v>
      </c>
      <c r="N67" t="str">
        <v xml:space="preserve"> </v>
      </c>
      <c r="O67" t="str">
        <f>IF(WBRKnights!D67="Não",WBRKnights!C67, " ")</f>
        <v xml:space="preserve"> </v>
      </c>
      <c r="R67" t="str">
        <v xml:space="preserve"> </v>
      </c>
      <c r="S67" t="str">
        <f>IF(Modular!D67="Não",Modular!C67, " ")</f>
        <v>Galvanic Blast</v>
      </c>
      <c r="V67" t="str">
        <v xml:space="preserve"> </v>
      </c>
      <c r="W67" t="str">
        <f>IF(WBGAllies!D67="Não",WBGAllies!C67, " ")</f>
        <v>Diabolic Edict</v>
      </c>
    </row>
    <row r="68" spans="2:23" x14ac:dyDescent="0.25">
      <c r="B68" t="str">
        <v xml:space="preserve"> </v>
      </c>
      <c r="C68" t="str">
        <f>IF(WGFractius!D68="Não",WGFractius!C68, " ")</f>
        <v>Standard Bearer</v>
      </c>
      <c r="F68" t="str">
        <v xml:space="preserve"> </v>
      </c>
      <c r="G68" t="str">
        <f>IF(Vida!D68="Não",Vida!C68, " ")</f>
        <v xml:space="preserve"> </v>
      </c>
      <c r="J68" t="str">
        <v xml:space="preserve"> </v>
      </c>
      <c r="K68" t="str">
        <f>IF(Fadas!D68="Não",Fadas!C68, " ")</f>
        <v>Psychic Barrier</v>
      </c>
      <c r="N68" t="str">
        <v xml:space="preserve"> </v>
      </c>
      <c r="O68" t="str">
        <f>IF(WBRKnights!D68="Não",WBRKnights!C68, " ")</f>
        <v xml:space="preserve"> </v>
      </c>
      <c r="R68" t="str">
        <v xml:space="preserve"> </v>
      </c>
      <c r="S68" t="str">
        <f>IF(Modular!D68="Não",Modular!C68, " ")</f>
        <v>Galvanic Blast</v>
      </c>
      <c r="V68" t="str">
        <v xml:space="preserve"> </v>
      </c>
      <c r="W68" t="str">
        <f>IF(WBGAllies!D68="Não",WBGAllies!C68, " ")</f>
        <v>Diabolic Edict</v>
      </c>
    </row>
    <row r="69" spans="2:23" x14ac:dyDescent="0.25">
      <c r="B69" t="str">
        <v xml:space="preserve"> </v>
      </c>
      <c r="C69" t="str">
        <f>IF(WGFractius!D69="Não",WGFractius!C69, " ")</f>
        <v>Standard Bearer</v>
      </c>
      <c r="F69" t="str">
        <v xml:space="preserve"> </v>
      </c>
      <c r="G69" t="str">
        <f>IF(Vida!D69="Não",Vida!C69, " ")</f>
        <v xml:space="preserve"> </v>
      </c>
      <c r="J69" t="str">
        <v xml:space="preserve"> </v>
      </c>
      <c r="K69" t="str">
        <f>IF(Fadas!D69="Não",Fadas!C69, " ")</f>
        <v>Psychic Barrier</v>
      </c>
      <c r="N69" t="str">
        <v xml:space="preserve"> </v>
      </c>
      <c r="O69" t="str">
        <f>IF(WBRKnights!D69="Não",WBRKnights!C69, " ")</f>
        <v xml:space="preserve"> </v>
      </c>
      <c r="R69" t="str">
        <v xml:space="preserve"> </v>
      </c>
      <c r="S69" t="str">
        <f>IF(Modular!D69="Não",Modular!C69, " ")</f>
        <v>Galvanic Blast</v>
      </c>
      <c r="V69" t="str">
        <v xml:space="preserve"> </v>
      </c>
      <c r="W69" t="str">
        <f>IF(WBGAllies!D69="Não",WBGAllies!C69, " ")</f>
        <v>Diabolic Edict</v>
      </c>
    </row>
    <row r="70" spans="2:23" x14ac:dyDescent="0.25">
      <c r="B70" t="str">
        <v xml:space="preserve"> </v>
      </c>
      <c r="C70" t="str">
        <f>IF(WGFractius!D70="Não",WGFractius!C70, " ")</f>
        <v>Gut Shot</v>
      </c>
      <c r="F70" t="str">
        <v xml:space="preserve"> </v>
      </c>
      <c r="G70" t="str">
        <f>IF(Vida!D70="Não",Vida!C70, " ")</f>
        <v xml:space="preserve"> </v>
      </c>
      <c r="J70" t="str">
        <v xml:space="preserve"> </v>
      </c>
      <c r="K70" t="str">
        <f>IF(Fadas!D70="Não",Fadas!C70, " ")</f>
        <v>Vapor Snag</v>
      </c>
      <c r="N70" t="str">
        <v xml:space="preserve"> </v>
      </c>
      <c r="O70" t="str">
        <f>IF(WBRKnights!D70="Não",WBRKnights!C70, " ")</f>
        <v xml:space="preserve"> </v>
      </c>
      <c r="R70" t="str">
        <v xml:space="preserve"> </v>
      </c>
      <c r="S70" t="str">
        <f>IF(Modular!D70="Não",Modular!C70, " ")</f>
        <v>Galvanic Blast</v>
      </c>
      <c r="V70" t="str">
        <v xml:space="preserve"> </v>
      </c>
      <c r="W70" t="str">
        <f>IF(WBGAllies!D70="Não",WBGAllies!C70, " ")</f>
        <v>Diabolic Edict</v>
      </c>
    </row>
    <row r="71" spans="2:23" x14ac:dyDescent="0.25">
      <c r="B71" t="str">
        <v xml:space="preserve"> </v>
      </c>
      <c r="C71" t="str">
        <f>IF(WGFractius!D71="Não",WGFractius!C71, " ")</f>
        <v>Gut Shot</v>
      </c>
      <c r="F71" t="str">
        <v xml:space="preserve"> </v>
      </c>
      <c r="G71" t="str">
        <f>IF(Vida!D71="Não",Vida!C71, " ")</f>
        <v xml:space="preserve"> </v>
      </c>
      <c r="J71" t="str">
        <v xml:space="preserve"> </v>
      </c>
      <c r="K71" t="str">
        <f>IF(Fadas!D71="Não",Fadas!C71, " ")</f>
        <v>Vapor Snag</v>
      </c>
      <c r="N71" t="str">
        <v xml:space="preserve"> </v>
      </c>
      <c r="O71" t="str">
        <f>IF(WBRKnights!D71="Não",WBRKnights!C71, " ")</f>
        <v>Diabolic Edict</v>
      </c>
      <c r="R71" t="str">
        <v xml:space="preserve"> </v>
      </c>
      <c r="S71" t="str">
        <f>IF(Modular!D71="Não",Modular!C71, " ")</f>
        <v>Recommission</v>
      </c>
      <c r="V71" t="str">
        <v xml:space="preserve"> </v>
      </c>
      <c r="W71" t="str">
        <f>IF(WBGAllies!D71="Não",WBGAllies!C71, " ")</f>
        <v>Blessed Hippogriff // Tyr's Blessing</v>
      </c>
    </row>
    <row r="72" spans="2:23" x14ac:dyDescent="0.25">
      <c r="B72" t="str">
        <v xml:space="preserve"> </v>
      </c>
      <c r="C72" t="str">
        <f>IF(WGFractius!D72="Não",WGFractius!C72, " ")</f>
        <v>Gut Shot</v>
      </c>
      <c r="F72" t="str">
        <v xml:space="preserve"> </v>
      </c>
      <c r="G72" t="str">
        <f>IF(Vida!D72="Não",Vida!C72, " ")</f>
        <v xml:space="preserve"> </v>
      </c>
      <c r="J72" t="str">
        <v xml:space="preserve"> </v>
      </c>
      <c r="K72" t="str">
        <f>IF(Fadas!D72="Não",Fadas!C72, " ")</f>
        <v>Vapor Snag</v>
      </c>
      <c r="N72" t="str">
        <v xml:space="preserve"> </v>
      </c>
      <c r="O72" t="str">
        <f>IF(WBRKnights!D72="Não",WBRKnights!C72, " ")</f>
        <v>Diabolic Edict</v>
      </c>
      <c r="R72" t="str">
        <v xml:space="preserve"> </v>
      </c>
      <c r="S72" t="str">
        <f>IF(Modular!D72="Não",Modular!C72, " ")</f>
        <v>Recommission</v>
      </c>
      <c r="V72" t="str">
        <v xml:space="preserve"> </v>
      </c>
      <c r="W72" t="str">
        <f>IF(WBGAllies!D72="Não",WBGAllies!C72, " ")</f>
        <v>Blessed Hippogriff // Tyr's Blessing</v>
      </c>
    </row>
    <row r="73" spans="2:23" x14ac:dyDescent="0.25">
      <c r="B73" t="str">
        <v xml:space="preserve"> </v>
      </c>
      <c r="C73" t="str">
        <f>IF(WGFractius!D73="Não",WGFractius!C73, " ")</f>
        <v>Scattershot Archer</v>
      </c>
      <c r="F73" t="str">
        <v xml:space="preserve"> </v>
      </c>
      <c r="G73" t="str">
        <f>IF(Vida!D73="Não",Vida!C73, " ")</f>
        <v xml:space="preserve"> </v>
      </c>
      <c r="J73" t="str">
        <v xml:space="preserve"> </v>
      </c>
      <c r="K73" t="str">
        <f>IF(Fadas!D73="Não",Fadas!C73, " ")</f>
        <v>Vapor Snag</v>
      </c>
      <c r="N73" t="str">
        <v xml:space="preserve"> </v>
      </c>
      <c r="O73" t="str">
        <f>IF(WBRKnights!D73="Não",WBRKnights!C73, " ")</f>
        <v>Diabolic Edict</v>
      </c>
      <c r="R73" t="str">
        <v xml:space="preserve"> </v>
      </c>
      <c r="S73" t="str">
        <f>IF(Modular!D73="Não",Modular!C73, " ")</f>
        <v>Recommission</v>
      </c>
      <c r="V73" t="str">
        <v xml:space="preserve"> </v>
      </c>
      <c r="W73" t="str">
        <f>IF(WBGAllies!D73="Não",WBGAllies!C73, " ")</f>
        <v>Blessed Hippogriff // Tyr's Blessing</v>
      </c>
    </row>
    <row r="74" spans="2:23" x14ac:dyDescent="0.25">
      <c r="B74" t="str">
        <v xml:space="preserve"> </v>
      </c>
      <c r="C74" t="str">
        <f>IF(WGFractius!D74="Não",WGFractius!C74, " ")</f>
        <v>Scattershot Archer</v>
      </c>
      <c r="F74" t="str">
        <v xml:space="preserve"> </v>
      </c>
      <c r="G74" t="str">
        <f>IF(Vida!D74="Não",Vida!C74, " ")</f>
        <v xml:space="preserve"> </v>
      </c>
      <c r="J74" t="str">
        <v xml:space="preserve"> </v>
      </c>
      <c r="K74" t="str">
        <f>IF(Fadas!D74="Não",Fadas!C74, " ")</f>
        <v>Negação Altiva</v>
      </c>
      <c r="N74" t="str">
        <v xml:space="preserve"> </v>
      </c>
      <c r="O74" t="str">
        <f>IF(WBRKnights!D74="Não",WBRKnights!C74, " ")</f>
        <v>Shining Armor</v>
      </c>
      <c r="R74" t="str">
        <v xml:space="preserve"> </v>
      </c>
      <c r="S74" t="str">
        <f>IF(Modular!D74="Não",Modular!C74, " ")</f>
        <v>Relic of Progenitus</v>
      </c>
      <c r="V74" t="str">
        <v xml:space="preserve"> </v>
      </c>
      <c r="W74" t="str">
        <f>IF(WBGAllies!D74="Não",WBGAllies!C74, " ")</f>
        <v>Doom Blade</v>
      </c>
    </row>
    <row r="75" spans="2:23" x14ac:dyDescent="0.25">
      <c r="B75" t="str">
        <v xml:space="preserve"> </v>
      </c>
      <c r="C75" t="str">
        <f>IF(WGFractius!D75="Não",WGFractius!C75, " ")</f>
        <v>Relic of Progenitus</v>
      </c>
      <c r="F75" t="str">
        <v xml:space="preserve"> </v>
      </c>
      <c r="G75" t="str">
        <f>IF(Vida!D75="Não",Vida!C75, " ")</f>
        <v xml:space="preserve"> </v>
      </c>
      <c r="J75" t="str">
        <v xml:space="preserve"> </v>
      </c>
      <c r="K75" t="str">
        <f>IF(Fadas!D75="Não",Fadas!C75, " ")</f>
        <v>Negação Altiva</v>
      </c>
      <c r="N75" t="str">
        <v xml:space="preserve"> </v>
      </c>
      <c r="O75" t="str">
        <f>IF(WBRKnights!D75="Não",WBRKnights!C75, " ")</f>
        <v>Shining Armor</v>
      </c>
      <c r="R75" t="str">
        <v xml:space="preserve"> </v>
      </c>
      <c r="S75" t="str">
        <f>IF(Modular!D75="Não",Modular!C75, " ")</f>
        <v>Relic of Progenitus</v>
      </c>
      <c r="V75" t="str">
        <v xml:space="preserve"> </v>
      </c>
      <c r="W75" t="str">
        <f>IF(WBGAllies!D75="Não",WBGAllies!C75, " ")</f>
        <v>Doom Blade</v>
      </c>
    </row>
    <row r="76" spans="2:23" x14ac:dyDescent="0.25">
      <c r="B76" t="str">
        <v xml:space="preserve"> </v>
      </c>
      <c r="C76" t="str">
        <f>IF(WGFractius!D76="Não",WGFractius!C76, " ")</f>
        <v>Relic of Progenitus</v>
      </c>
      <c r="F76" t="str">
        <v xml:space="preserve"> </v>
      </c>
      <c r="G76" t="str">
        <f>IF(Vida!D76="Não",Vida!C76, " ")</f>
        <v xml:space="preserve"> </v>
      </c>
      <c r="J76" t="str">
        <v xml:space="preserve"> </v>
      </c>
      <c r="K76" t="str">
        <f>IF(Fadas!D76="Não",Fadas!C76, " ")</f>
        <v>Negação Altiva</v>
      </c>
      <c r="N76" t="str">
        <v xml:space="preserve"> </v>
      </c>
      <c r="O76" t="str">
        <f>IF(WBRKnights!D76="Não",WBRKnights!C76, " ")</f>
        <v xml:space="preserve"> </v>
      </c>
      <c r="R76" t="str">
        <v xml:space="preserve"> </v>
      </c>
      <c r="S76" t="str">
        <f>IF(Modular!D76="Não",Modular!C76, " ")</f>
        <v>Blessed Hippogriff // Tyr's Blessing</v>
      </c>
      <c r="V76" t="str">
        <v xml:space="preserve"> </v>
      </c>
      <c r="W76" t="str">
        <f>IF(WBGAllies!D76="Não",WBGAllies!C76, " ")</f>
        <v>Doom Blade</v>
      </c>
    </row>
    <row r="77" spans="2:23" x14ac:dyDescent="0.25">
      <c r="B77" t="str">
        <v xml:space="preserve"> </v>
      </c>
      <c r="C77" t="str">
        <f>IF(WGFractius!D77="Não",WGFractius!C77, " ")</f>
        <v>Relic of Progenitus</v>
      </c>
      <c r="F77" t="str">
        <v xml:space="preserve"> </v>
      </c>
      <c r="G77" t="str">
        <f>IF(Vida!D77="Não",Vida!C77, " ")</f>
        <v>Unmake</v>
      </c>
      <c r="J77" t="str">
        <v xml:space="preserve"> </v>
      </c>
      <c r="K77" t="str">
        <f>IF(Fadas!D77="Não",Fadas!C77, " ")</f>
        <v>Negação Altiva</v>
      </c>
      <c r="N77" t="str">
        <v xml:space="preserve"> </v>
      </c>
      <c r="O77" t="str">
        <f>IF(WBRKnights!D77="Não",WBRKnights!C77, " ")</f>
        <v>Shining Armor</v>
      </c>
      <c r="R77" t="str">
        <v xml:space="preserve"> </v>
      </c>
      <c r="S77" t="str">
        <f>IF(Modular!D77="Não",Modular!C77, " ")</f>
        <v>Blessed Hippogriff // Tyr's Blessing</v>
      </c>
      <c r="V77" t="str">
        <v xml:space="preserve"> </v>
      </c>
      <c r="W77" t="str">
        <f>IF(WBGAllies!D77="Não",WBGAllies!C77, " ")</f>
        <v>Doom Blade</v>
      </c>
    </row>
    <row r="78" spans="2:23" x14ac:dyDescent="0.25">
      <c r="B78" t="str">
        <v xml:space="preserve"> </v>
      </c>
      <c r="C78" t="str">
        <f>IF(WGFractius!D78="Não",WGFractius!C78, " ")</f>
        <v xml:space="preserve"> </v>
      </c>
      <c r="F78" t="str">
        <v xml:space="preserve"> </v>
      </c>
      <c r="G78" t="str">
        <f>IF(Vida!D78="Não",Vida!C78, " ")</f>
        <v xml:space="preserve"> </v>
      </c>
      <c r="J78" t="str">
        <v xml:space="preserve"> </v>
      </c>
      <c r="K78" t="str">
        <f>IF(Fadas!D78="Não",Fadas!C78, " ")</f>
        <v xml:space="preserve"> </v>
      </c>
      <c r="N78" t="str">
        <v xml:space="preserve"> </v>
      </c>
      <c r="O78" t="str">
        <f>IF(WBRKnights!D78="Não",WBRKnights!C78, " ")</f>
        <v xml:space="preserve"> </v>
      </c>
      <c r="R78" t="str">
        <v xml:space="preserve"> </v>
      </c>
      <c r="S78" t="str">
        <f>IF(Modular!D78="Não",Modular!C78, " ")</f>
        <v xml:space="preserve"> </v>
      </c>
      <c r="V78" t="str">
        <v xml:space="preserve"> </v>
      </c>
      <c r="W78" t="str">
        <f>IF(WBGAllies!D78="Não",WBGAllies!C78, " ")</f>
        <v xml:space="preserve"> </v>
      </c>
    </row>
    <row r="79" spans="2:23" x14ac:dyDescent="0.25">
      <c r="B79" t="str">
        <v xml:space="preserve"> </v>
      </c>
      <c r="C79" t="str">
        <f>IF(WGFractius!D79="Não",WGFractius!C79, " ")</f>
        <v xml:space="preserve"> </v>
      </c>
      <c r="F79" t="str">
        <v xml:space="preserve"> </v>
      </c>
      <c r="G79" t="str">
        <f>IF(Vida!D79="Não",Vida!C79, " ")</f>
        <v xml:space="preserve"> </v>
      </c>
      <c r="J79" t="str">
        <v xml:space="preserve"> </v>
      </c>
      <c r="K79" t="str">
        <f>IF(Fadas!D79="Não",Fadas!C79, " ")</f>
        <v xml:space="preserve"> </v>
      </c>
      <c r="N79" t="str">
        <v xml:space="preserve"> </v>
      </c>
      <c r="O79" t="str">
        <f>IF(WBRKnights!D79="Não",WBRKnights!C79, " ")</f>
        <v xml:space="preserve"> </v>
      </c>
      <c r="R79" t="str">
        <v xml:space="preserve"> </v>
      </c>
      <c r="S79" t="str">
        <f>IF(Modular!D79="Não",Modular!C79, " ")</f>
        <v xml:space="preserve"> </v>
      </c>
      <c r="V79" t="str">
        <v xml:space="preserve"> </v>
      </c>
      <c r="W79" t="str">
        <f>IF(WBGAllies!D79="Não",WBGAllies!C79, " ")</f>
        <v xml:space="preserve"> </v>
      </c>
    </row>
    <row r="80" spans="2:23" x14ac:dyDescent="0.25">
      <c r="B80" t="str">
        <v xml:space="preserve"> </v>
      </c>
      <c r="C80" t="str">
        <f>IF(WGFractius!D80="Não",WGFractius!C80, " ")</f>
        <v xml:space="preserve"> </v>
      </c>
      <c r="F80" t="str">
        <v xml:space="preserve"> </v>
      </c>
      <c r="G80" t="str">
        <f>IF(Vida!D80="Não",Vida!C80, " ")</f>
        <v xml:space="preserve"> </v>
      </c>
      <c r="J80" t="str">
        <v xml:space="preserve"> </v>
      </c>
      <c r="K80" t="str">
        <f>IF(Fadas!D80="Não",Fadas!C80, " ")</f>
        <v xml:space="preserve"> </v>
      </c>
      <c r="N80" t="str">
        <v xml:space="preserve"> </v>
      </c>
      <c r="O80" t="str">
        <f>IF(WBRKnights!D80="Não",WBRKnights!C80, " ")</f>
        <v xml:space="preserve"> </v>
      </c>
      <c r="R80" t="str">
        <v xml:space="preserve"> </v>
      </c>
      <c r="S80" t="str">
        <f>IF(Modular!D80="Não",Modular!C80, " ")</f>
        <v xml:space="preserve"> </v>
      </c>
      <c r="V80" t="str">
        <v xml:space="preserve"> </v>
      </c>
      <c r="W80" t="str">
        <f>IF(WBGAllies!D80="Não",WBGAllies!C80, " ")</f>
        <v xml:space="preserve"> </v>
      </c>
    </row>
    <row r="81" spans="2:23" x14ac:dyDescent="0.25">
      <c r="B81" t="str">
        <v xml:space="preserve"> </v>
      </c>
      <c r="C81" t="str">
        <f>IF(WGFractius!D81="Não",WGFractius!C81, " ")</f>
        <v xml:space="preserve"> </v>
      </c>
      <c r="F81" t="str">
        <v xml:space="preserve"> </v>
      </c>
      <c r="G81" t="str">
        <f>IF(Vida!D81="Não",Vida!C81, " ")</f>
        <v xml:space="preserve"> </v>
      </c>
      <c r="J81" t="str">
        <v xml:space="preserve"> </v>
      </c>
      <c r="K81" t="str">
        <f>IF(Fadas!D81="Não",Fadas!C81, " ")</f>
        <v xml:space="preserve"> </v>
      </c>
      <c r="N81" t="str">
        <v xml:space="preserve"> </v>
      </c>
      <c r="O81" t="str">
        <f>IF(WBRKnights!D81="Não",WBRKnights!C81, " ")</f>
        <v xml:space="preserve"> </v>
      </c>
      <c r="R81" t="str">
        <v xml:space="preserve"> </v>
      </c>
      <c r="S81" t="str">
        <f>IF(Modular!D81="Não",Modular!C81, " ")</f>
        <v xml:space="preserve"> </v>
      </c>
      <c r="V81" t="str">
        <v xml:space="preserve"> </v>
      </c>
      <c r="W81" t="str">
        <f>IF(WBGAllies!D81="Não",WBGAllies!C81, " ")</f>
        <v xml:space="preserve"> </v>
      </c>
    </row>
    <row r="82" spans="2:23" x14ac:dyDescent="0.25">
      <c r="B82" t="str">
        <v xml:space="preserve"> </v>
      </c>
      <c r="C82" t="str">
        <f>IF(WGFractius!D82="Não",WGFractius!C82, " ")</f>
        <v xml:space="preserve"> </v>
      </c>
      <c r="F82" t="str">
        <v xml:space="preserve"> </v>
      </c>
      <c r="G82" t="str">
        <f>IF(Vida!D82="Não",Vida!C82, " ")</f>
        <v xml:space="preserve"> </v>
      </c>
      <c r="J82" t="str">
        <v xml:space="preserve"> </v>
      </c>
      <c r="K82" t="str">
        <f>IF(Fadas!D82="Não",Fadas!C82, " ")</f>
        <v xml:space="preserve"> </v>
      </c>
      <c r="N82" t="str">
        <v xml:space="preserve"> </v>
      </c>
      <c r="O82" t="str">
        <f>IF(WBRKnights!D82="Não",WBRKnights!C82, " ")</f>
        <v xml:space="preserve"> </v>
      </c>
      <c r="R82" t="str">
        <v xml:space="preserve"> </v>
      </c>
      <c r="S82" t="str">
        <f>IF(Modular!D82="Não",Modular!C82, " ")</f>
        <v xml:space="preserve"> </v>
      </c>
      <c r="V82" t="str">
        <v xml:space="preserve"> </v>
      </c>
      <c r="W82" t="str">
        <f>IF(WBGAllies!D82="Não",WBGAllies!C82, " ")</f>
        <v xml:space="preserve"> </v>
      </c>
    </row>
    <row r="83" spans="2:23" x14ac:dyDescent="0.25">
      <c r="B83" t="str">
        <v xml:space="preserve"> </v>
      </c>
      <c r="C83" t="str">
        <f>IF(WGFractius!D83="Não",WGFractius!C83, " ")</f>
        <v xml:space="preserve"> </v>
      </c>
      <c r="F83" t="str">
        <v xml:space="preserve"> </v>
      </c>
      <c r="G83" t="str">
        <f>IF(Vida!D83="Não",Vida!C83, " ")</f>
        <v xml:space="preserve"> </v>
      </c>
      <c r="J83" t="str">
        <v xml:space="preserve"> </v>
      </c>
      <c r="K83" t="str">
        <f>IF(Fadas!D83="Não",Fadas!C83, " ")</f>
        <v xml:space="preserve"> </v>
      </c>
      <c r="N83" t="str">
        <v xml:space="preserve"> </v>
      </c>
      <c r="O83" t="str">
        <f>IF(WBRKnights!D83="Não",WBRKnights!C83, " ")</f>
        <v xml:space="preserve"> </v>
      </c>
      <c r="R83" t="str">
        <v xml:space="preserve"> </v>
      </c>
      <c r="S83" t="str">
        <f>IF(Modular!D83="Não",Modular!C83, " ")</f>
        <v xml:space="preserve"> </v>
      </c>
      <c r="V83" t="str">
        <v xml:space="preserve"> </v>
      </c>
      <c r="W83" t="str">
        <f>IF(WBGAllies!D83="Não",WBGAllies!C83, " ")</f>
        <v xml:space="preserve"> </v>
      </c>
    </row>
    <row r="84" spans="2:23" x14ac:dyDescent="0.25">
      <c r="B84" t="str">
        <v xml:space="preserve"> </v>
      </c>
      <c r="C84" t="str">
        <f>IF(WGFractius!D84="Não",WGFractius!C84, " ")</f>
        <v xml:space="preserve"> </v>
      </c>
      <c r="F84" t="str">
        <v xml:space="preserve"> </v>
      </c>
      <c r="G84" t="str">
        <f>IF(Vida!D84="Não",Vida!C84, " ")</f>
        <v xml:space="preserve"> </v>
      </c>
      <c r="J84" t="str">
        <v xml:space="preserve"> </v>
      </c>
      <c r="K84" t="str">
        <f>IF(Fadas!D84="Não",Fadas!C84, " ")</f>
        <v xml:space="preserve"> </v>
      </c>
      <c r="N84" t="str">
        <v xml:space="preserve"> </v>
      </c>
      <c r="O84" t="str">
        <f>IF(WBRKnights!D84="Não",WBRKnights!C84, " ")</f>
        <v xml:space="preserve"> </v>
      </c>
      <c r="R84" t="str">
        <v xml:space="preserve"> </v>
      </c>
      <c r="S84" t="str">
        <f>IF(Modular!D84="Não",Modular!C84, " ")</f>
        <v xml:space="preserve"> </v>
      </c>
      <c r="V84" t="str">
        <v xml:space="preserve"> </v>
      </c>
      <c r="W84" t="str">
        <f>IF(WBGAllies!D84="Não",WBGAllies!C84, " ")</f>
        <v xml:space="preserve"> </v>
      </c>
    </row>
    <row r="85" spans="2:23" x14ac:dyDescent="0.25">
      <c r="B85" t="str">
        <v xml:space="preserve"> </v>
      </c>
      <c r="C85" t="str">
        <f>IF(WGFractius!D85="Não",WGFractius!C85, " ")</f>
        <v xml:space="preserve"> </v>
      </c>
      <c r="F85" t="str">
        <v xml:space="preserve"> </v>
      </c>
      <c r="G85" t="str">
        <f>IF(Vida!D85="Não",Vida!C85, " ")</f>
        <v xml:space="preserve"> </v>
      </c>
      <c r="J85" t="str">
        <v xml:space="preserve"> </v>
      </c>
      <c r="K85" t="str">
        <f>IF(Fadas!D85="Não",Fadas!C85, " ")</f>
        <v xml:space="preserve"> </v>
      </c>
      <c r="N85" t="str">
        <v xml:space="preserve"> </v>
      </c>
      <c r="O85" t="str">
        <f>IF(WBRKnights!D85="Não",WBRKnights!C85, " ")</f>
        <v xml:space="preserve"> </v>
      </c>
      <c r="R85" t="str">
        <v xml:space="preserve"> </v>
      </c>
      <c r="S85" t="str">
        <f>IF(Modular!D85="Não",Modular!C85, " ")</f>
        <v xml:space="preserve"> </v>
      </c>
      <c r="V85" t="str">
        <v xml:space="preserve"> </v>
      </c>
      <c r="W85" t="str">
        <f>IF(WBGAllies!D85="Não",WBGAllies!C85, " ")</f>
        <v xml:space="preserve"> </v>
      </c>
    </row>
    <row r="86" spans="2:23" x14ac:dyDescent="0.25">
      <c r="B86" t="str">
        <v xml:space="preserve"> </v>
      </c>
      <c r="C86" t="str">
        <f>IF(WGFractius!D86="Não",WGFractius!C86, " ")</f>
        <v xml:space="preserve"> </v>
      </c>
      <c r="F86" t="str">
        <v xml:space="preserve"> </v>
      </c>
      <c r="G86" t="str">
        <f>IF(Vida!D86="Não",Vida!C86, " ")</f>
        <v xml:space="preserve"> </v>
      </c>
      <c r="J86" t="str">
        <v xml:space="preserve"> </v>
      </c>
      <c r="K86" t="str">
        <f>IF(Fadas!D86="Não",Fadas!C86, " ")</f>
        <v xml:space="preserve"> </v>
      </c>
      <c r="N86" t="str">
        <v xml:space="preserve"> </v>
      </c>
      <c r="O86" t="str">
        <f>IF(WBRKnights!D86="Não",WBRKnights!C86, " ")</f>
        <v xml:space="preserve"> </v>
      </c>
      <c r="R86" t="str">
        <v xml:space="preserve"> </v>
      </c>
      <c r="S86" t="str">
        <f>IF(Modular!D86="Não",Modular!C86, " ")</f>
        <v xml:space="preserve"> </v>
      </c>
      <c r="V86" t="str">
        <v xml:space="preserve"> </v>
      </c>
      <c r="W86" t="str">
        <f>IF(WBGAllies!D86="Não",WBGAllies!C86, " ")</f>
        <v xml:space="preserve"> </v>
      </c>
    </row>
    <row r="87" spans="2:23" x14ac:dyDescent="0.25">
      <c r="O87" t="str">
        <f>IF(WBRKnights!D104="Não",WBRKnights!C104, " ")</f>
        <v xml:space="preserve"> </v>
      </c>
    </row>
    <row r="88" spans="2:23" x14ac:dyDescent="0.25">
      <c r="O88" t="str">
        <f>IF(WBRKnights!D105="Não",WBRKnights!C105, " ")</f>
        <v xml:space="preserve"> </v>
      </c>
    </row>
  </sheetData>
  <sortState xmlns:xlrd2="http://schemas.microsoft.com/office/spreadsheetml/2017/richdata2" ref="C3:C86">
    <sortCondition descending="1" ref="C3:C86"/>
  </sortState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E42A-461D-42E1-B774-7C3D8B592AED}">
  <dimension ref="A1:X143"/>
  <sheetViews>
    <sheetView workbookViewId="0">
      <pane ySplit="2" topLeftCell="A3" activePane="bottomLeft" state="frozen"/>
      <selection pane="bottomLeft" activeCell="N46" sqref="N46"/>
    </sheetView>
  </sheetViews>
  <sheetFormatPr defaultRowHeight="15" x14ac:dyDescent="0.25"/>
  <cols>
    <col min="2" max="2" width="20.7109375" customWidth="1"/>
    <col min="3" max="3" width="14.7109375" hidden="1" customWidth="1"/>
    <col min="4" max="4" width="2.7109375" style="9" customWidth="1"/>
    <col min="6" max="6" width="20.7109375" customWidth="1"/>
    <col min="7" max="7" width="14.7109375" hidden="1" customWidth="1"/>
    <col min="8" max="8" width="2.7109375" style="9" customWidth="1"/>
    <col min="10" max="10" width="20.7109375" customWidth="1"/>
    <col min="11" max="11" width="14.7109375" hidden="1" customWidth="1"/>
    <col min="12" max="12" width="2.7109375" style="9" customWidth="1"/>
    <col min="13" max="13" width="8.85546875" customWidth="1"/>
    <col min="14" max="14" width="25.7109375" bestFit="1" customWidth="1"/>
    <col min="15" max="15" width="14.7109375" hidden="1" customWidth="1"/>
    <col min="16" max="16" width="2.7109375" style="9" customWidth="1"/>
    <col min="17" max="17" width="8.85546875" customWidth="1"/>
    <col min="18" max="18" width="20.7109375" customWidth="1"/>
    <col min="19" max="19" width="14.7109375" hidden="1" customWidth="1"/>
    <col min="20" max="20" width="2.7109375" style="9" customWidth="1"/>
    <col min="21" max="21" width="8.85546875" customWidth="1"/>
    <col min="22" max="22" width="20.7109375" customWidth="1"/>
    <col min="23" max="23" width="14.7109375" hidden="1" customWidth="1"/>
    <col min="24" max="24" width="2.7109375" style="9" customWidth="1"/>
    <col min="25" max="25" width="8.85546875" customWidth="1"/>
  </cols>
  <sheetData>
    <row r="1" spans="1:24" s="4" customFormat="1" ht="15" customHeight="1" x14ac:dyDescent="0.25">
      <c r="A1" s="17" t="s">
        <v>123</v>
      </c>
      <c r="B1" s="17"/>
      <c r="C1" s="17"/>
      <c r="D1" s="8"/>
      <c r="E1" s="17" t="s">
        <v>241</v>
      </c>
      <c r="F1" s="17"/>
      <c r="G1" s="17"/>
      <c r="H1" s="8"/>
      <c r="I1" s="17" t="s">
        <v>242</v>
      </c>
      <c r="J1" s="17"/>
      <c r="K1" s="17"/>
      <c r="L1" s="8"/>
      <c r="M1" s="17"/>
      <c r="N1" s="17"/>
      <c r="O1" s="17"/>
      <c r="P1" s="8"/>
      <c r="Q1" s="17"/>
      <c r="R1" s="17"/>
      <c r="S1" s="17"/>
      <c r="T1" s="8"/>
      <c r="U1" s="17"/>
      <c r="V1" s="17"/>
      <c r="W1" s="17"/>
      <c r="X1" s="8"/>
    </row>
    <row r="2" spans="1:24" s="4" customFormat="1" ht="15" customHeight="1" x14ac:dyDescent="0.25">
      <c r="A2" s="17"/>
      <c r="B2" s="17"/>
      <c r="C2" s="17"/>
      <c r="D2" s="8"/>
      <c r="E2" s="17"/>
      <c r="F2" s="17"/>
      <c r="G2" s="17"/>
      <c r="H2" s="8"/>
      <c r="I2" s="17"/>
      <c r="J2" s="17"/>
      <c r="K2" s="17"/>
      <c r="L2" s="8"/>
      <c r="M2" s="17"/>
      <c r="N2" s="17"/>
      <c r="O2" s="17"/>
      <c r="P2" s="8"/>
      <c r="Q2" s="17"/>
      <c r="R2" s="17"/>
      <c r="S2" s="17"/>
      <c r="T2" s="8"/>
      <c r="U2" s="17"/>
      <c r="V2" s="17"/>
      <c r="W2" s="17"/>
      <c r="X2" s="8"/>
    </row>
    <row r="3" spans="1:24" x14ac:dyDescent="0.25">
      <c r="A3" s="4" t="s">
        <v>36</v>
      </c>
      <c r="B3" t="str" cm="1">
        <f t="array" ref="B3:B86">_xlfn._xlws.SORT(C3:C86,1,-1,0)</f>
        <v>Wilt</v>
      </c>
      <c r="C3" t="str">
        <f>IF(TemurC!D3="Não",TemurC!C3, " ")</f>
        <v>Simic Growth Chamber</v>
      </c>
      <c r="E3" s="4" t="s">
        <v>36</v>
      </c>
      <c r="F3" t="str" cm="1">
        <f t="array" ref="F3:F86">_xlfn._xlws.SORT(G3:G86,1,-1,0)</f>
        <v>Ponder</v>
      </c>
      <c r="G3" t="str">
        <f>IF(WURFlicker!D3="Não",WURFlicker!C3, " ")</f>
        <v xml:space="preserve"> </v>
      </c>
      <c r="I3" s="4" t="s">
        <v>36</v>
      </c>
      <c r="J3" t="str" cm="1">
        <f t="array" ref="J3:J86">_xlfn._xlws.SORT(K3:K86,1,-1,0)</f>
        <v>Ancient Den</v>
      </c>
      <c r="K3" t="str">
        <f>IF(WUBModular!D3="Não",WUBModular!C3, " ")</f>
        <v xml:space="preserve"> </v>
      </c>
      <c r="M3" s="4"/>
      <c r="Q3" s="4"/>
      <c r="U3" s="4"/>
    </row>
    <row r="4" spans="1:24" x14ac:dyDescent="0.25">
      <c r="A4" s="3">
        <f>TemurC!G3</f>
        <v>75</v>
      </c>
      <c r="B4" t="str">
        <v>Wilt</v>
      </c>
      <c r="C4" t="str">
        <f>IF(TemurC!D4="Não",TemurC!C4, " ")</f>
        <v>Simic Growth Chamber</v>
      </c>
      <c r="E4" s="3">
        <f>WURFlicker!G3</f>
        <v>10</v>
      </c>
      <c r="F4" t="str">
        <v>Ponder</v>
      </c>
      <c r="G4" t="str">
        <f>IF(WURFlicker!D4="Não",WURFlicker!C4, " ")</f>
        <v xml:space="preserve"> </v>
      </c>
      <c r="I4" s="3">
        <f>WUBModular!G3</f>
        <v>1</v>
      </c>
      <c r="J4" t="str">
        <v xml:space="preserve"> </v>
      </c>
      <c r="K4" t="str">
        <f>IF(WUBModular!D4="Não",WUBModular!C4, " ")</f>
        <v xml:space="preserve"> </v>
      </c>
      <c r="M4" s="3"/>
      <c r="Q4" s="3"/>
      <c r="U4" s="3"/>
    </row>
    <row r="5" spans="1:24" x14ac:dyDescent="0.25">
      <c r="B5" t="str">
        <v>Wilt</v>
      </c>
      <c r="C5" t="str">
        <f>IF(TemurC!D5="Não",TemurC!C5, " ")</f>
        <v>Izzet Boilerworks</v>
      </c>
      <c r="F5" t="str">
        <v>Ponder</v>
      </c>
      <c r="G5" t="str">
        <f>IF(WURFlicker!D5="Não",WURFlicker!C5, " ")</f>
        <v xml:space="preserve"> </v>
      </c>
      <c r="J5" t="str">
        <v xml:space="preserve"> </v>
      </c>
      <c r="K5" t="str">
        <f>IF(WUBModular!D5="Não",WUBModular!C5, " ")</f>
        <v xml:space="preserve"> </v>
      </c>
    </row>
    <row r="6" spans="1:24" x14ac:dyDescent="0.25">
      <c r="B6" t="str">
        <v>Wilt</v>
      </c>
      <c r="C6" t="str">
        <f>IF(TemurC!D6="Não",TemurC!C6, " ")</f>
        <v>Izzet Boilerworks</v>
      </c>
      <c r="F6" t="str">
        <v>Ponder</v>
      </c>
      <c r="G6" t="str">
        <f>IF(WURFlicker!D6="Não",WURFlicker!C6, " ")</f>
        <v xml:space="preserve"> </v>
      </c>
      <c r="J6" t="str">
        <v xml:space="preserve"> </v>
      </c>
      <c r="K6" t="str">
        <f>IF(WUBModular!D6="Não",WUBModular!C6, " ")</f>
        <v xml:space="preserve"> </v>
      </c>
    </row>
    <row r="7" spans="1:24" x14ac:dyDescent="0.25">
      <c r="B7" t="str">
        <v>Vapor Snag</v>
      </c>
      <c r="C7" t="str">
        <f>IF(TemurC!D7="Não",TemurC!C7, " ")</f>
        <v>Gruul Turf</v>
      </c>
      <c r="F7" t="str">
        <v>Lórien Revealed</v>
      </c>
      <c r="G7" t="str">
        <f>IF(WURFlicker!D7="Não",WURFlicker!C7, " ")</f>
        <v xml:space="preserve"> </v>
      </c>
      <c r="J7" t="str">
        <v xml:space="preserve"> </v>
      </c>
      <c r="K7" t="str">
        <f>IF(WUBModular!D7="Não",WUBModular!C7, " ")</f>
        <v xml:space="preserve"> </v>
      </c>
    </row>
    <row r="8" spans="1:24" x14ac:dyDescent="0.25">
      <c r="B8" t="str">
        <v>Vapor Snag</v>
      </c>
      <c r="C8" t="str">
        <f>IF(TemurC!D8="Não",TemurC!C8, " ")</f>
        <v>Gruul Turf</v>
      </c>
      <c r="F8" t="str">
        <v>Lórien Revealed</v>
      </c>
      <c r="G8" t="str">
        <f>IF(WURFlicker!D8="Não",WURFlicker!C8, " ")</f>
        <v xml:space="preserve"> </v>
      </c>
      <c r="J8" t="str">
        <v xml:space="preserve"> </v>
      </c>
      <c r="K8" t="str">
        <f>IF(WUBModular!D8="Não",WUBModular!C8, " ")</f>
        <v xml:space="preserve"> </v>
      </c>
    </row>
    <row r="9" spans="1:24" x14ac:dyDescent="0.25">
      <c r="B9" t="str">
        <v>Vapor Snag</v>
      </c>
      <c r="C9" t="str">
        <f>IF(TemurC!D9="Não",TemurC!C9, " ")</f>
        <v>Swiftwater Cliffs</v>
      </c>
      <c r="F9" t="str">
        <v>Destroy Evil</v>
      </c>
      <c r="G9" t="str">
        <f>IF(WURFlicker!D9="Não",WURFlicker!C9, " ")</f>
        <v xml:space="preserve"> </v>
      </c>
      <c r="J9" t="str">
        <v xml:space="preserve"> </v>
      </c>
      <c r="K9" t="str">
        <f>IF(WUBModular!D9="Não",WUBModular!C9, " ")</f>
        <v xml:space="preserve"> </v>
      </c>
    </row>
    <row r="10" spans="1:24" x14ac:dyDescent="0.25">
      <c r="B10" t="str">
        <v>Vapor Snag</v>
      </c>
      <c r="C10" t="str">
        <f>IF(TemurC!D10="Não",TemurC!C10, " ")</f>
        <v>Swiftwater Cliffs</v>
      </c>
      <c r="F10" t="str">
        <v>Destroy Evil</v>
      </c>
      <c r="G10" t="str">
        <f>IF(WURFlicker!D10="Não",WURFlicker!C10, " ")</f>
        <v xml:space="preserve"> </v>
      </c>
      <c r="J10" t="str">
        <v xml:space="preserve"> </v>
      </c>
      <c r="K10" t="str">
        <f>IF(WUBModular!D10="Não",WUBModular!C10, " ")</f>
        <v xml:space="preserve"> </v>
      </c>
    </row>
    <row r="11" spans="1:24" x14ac:dyDescent="0.25">
      <c r="B11" t="str">
        <v>Thornwood Falls</v>
      </c>
      <c r="C11" t="str">
        <f>IF(TemurC!D11="Não",TemurC!C11, " ")</f>
        <v>Rugged Highlands</v>
      </c>
      <c r="F11" t="str">
        <v>Destroy Evil</v>
      </c>
      <c r="G11" t="str">
        <f>IF(WURFlicker!D11="Não",WURFlicker!C11, " ")</f>
        <v xml:space="preserve"> </v>
      </c>
      <c r="J11" t="str">
        <v xml:space="preserve"> </v>
      </c>
      <c r="K11" t="str">
        <f>IF(WUBModular!D11="Não",WUBModular!C11, " ")</f>
        <v xml:space="preserve"> </v>
      </c>
    </row>
    <row r="12" spans="1:24" x14ac:dyDescent="0.25">
      <c r="B12" t="str">
        <v>Thornwood Falls</v>
      </c>
      <c r="C12" t="str">
        <f>IF(TemurC!D12="Não",TemurC!C12, " ")</f>
        <v>Rugged Highlands</v>
      </c>
      <c r="F12" t="str">
        <v>Cast into the Fire</v>
      </c>
      <c r="G12" t="str">
        <f>IF(WURFlicker!D12="Não",WURFlicker!C12, " ")</f>
        <v xml:space="preserve"> </v>
      </c>
      <c r="J12" t="str">
        <v xml:space="preserve"> </v>
      </c>
      <c r="K12" t="str">
        <f>IF(WUBModular!D12="Não",WUBModular!C12, " ")</f>
        <v xml:space="preserve"> </v>
      </c>
    </row>
    <row r="13" spans="1:24" x14ac:dyDescent="0.25">
      <c r="B13" t="str">
        <v>Terror Tolariano</v>
      </c>
      <c r="C13" t="str">
        <f>IF(TemurC!D13="Não",TemurC!C13, " ")</f>
        <v>Thornwood Falls</v>
      </c>
      <c r="F13" t="str">
        <v xml:space="preserve"> </v>
      </c>
      <c r="G13" t="str">
        <f>IF(WURFlicker!D13="Não",WURFlicker!C13, " ")</f>
        <v xml:space="preserve"> </v>
      </c>
      <c r="J13" t="str">
        <v xml:space="preserve"> </v>
      </c>
      <c r="K13" t="str">
        <f>IF(WUBModular!D13="Não",WUBModular!C13, " ")</f>
        <v xml:space="preserve"> </v>
      </c>
    </row>
    <row r="14" spans="1:24" x14ac:dyDescent="0.25">
      <c r="B14" t="str">
        <v>Terror Tolariano</v>
      </c>
      <c r="C14" t="str">
        <f>IF(TemurC!D14="Não",TemurC!C14, " ")</f>
        <v>Thornwood Falls</v>
      </c>
      <c r="F14" t="str">
        <v xml:space="preserve"> </v>
      </c>
      <c r="G14" t="str">
        <f>IF(WURFlicker!D14="Não",WURFlicker!C14, " ")</f>
        <v xml:space="preserve"> </v>
      </c>
      <c r="J14" t="str">
        <v xml:space="preserve"> </v>
      </c>
      <c r="K14" t="str">
        <f>IF(WUBModular!D14="Não",WUBModular!C14, " ")</f>
        <v xml:space="preserve"> </v>
      </c>
    </row>
    <row r="15" spans="1:24" x14ac:dyDescent="0.25">
      <c r="B15" t="str">
        <v>Terror Tolariano</v>
      </c>
      <c r="C15" t="str">
        <f>IF(TemurC!D15="Não",TemurC!C15, " ")</f>
        <v>Evolving Wilds</v>
      </c>
      <c r="F15" t="str">
        <v xml:space="preserve"> </v>
      </c>
      <c r="G15" t="str">
        <f>IF(WURFlicker!D15="Não",WURFlicker!C15, " ")</f>
        <v xml:space="preserve"> </v>
      </c>
      <c r="J15" t="str">
        <v xml:space="preserve"> </v>
      </c>
      <c r="K15" t="str">
        <f>IF(WUBModular!D15="Não",WUBModular!C15, " ")</f>
        <v xml:space="preserve"> </v>
      </c>
    </row>
    <row r="16" spans="1:24" x14ac:dyDescent="0.25">
      <c r="B16" t="str">
        <v>Terror Tolariano</v>
      </c>
      <c r="C16" t="str">
        <f>IF(TemurC!D16="Não",TemurC!C16, " ")</f>
        <v>Evolving Wilds</v>
      </c>
      <c r="F16" t="str">
        <v xml:space="preserve"> </v>
      </c>
      <c r="G16" t="str">
        <f>IF(WURFlicker!D16="Não",WURFlicker!C16, " ")</f>
        <v xml:space="preserve"> </v>
      </c>
      <c r="J16" t="str">
        <v xml:space="preserve"> </v>
      </c>
      <c r="K16" t="str">
        <f>IF(WUBModular!D16="Não",WUBModular!C16, " ")</f>
        <v xml:space="preserve"> </v>
      </c>
    </row>
    <row r="17" spans="2:11" x14ac:dyDescent="0.25">
      <c r="B17" t="str">
        <v>Swiftwater Cliffs</v>
      </c>
      <c r="C17" t="str">
        <f>IF(TemurC!D17="Não",TemurC!C17, " ")</f>
        <v>Island</v>
      </c>
      <c r="F17" t="str">
        <v xml:space="preserve"> </v>
      </c>
      <c r="G17" t="str">
        <f>IF(WURFlicker!D17="Não",WURFlicker!C17, " ")</f>
        <v xml:space="preserve"> </v>
      </c>
      <c r="J17" t="str">
        <v xml:space="preserve"> </v>
      </c>
      <c r="K17" t="str">
        <f>IF(WUBModular!D17="Não",WUBModular!C17, " ")</f>
        <v xml:space="preserve"> </v>
      </c>
    </row>
    <row r="18" spans="2:11" x14ac:dyDescent="0.25">
      <c r="B18" t="str">
        <v>Swiftwater Cliffs</v>
      </c>
      <c r="C18" t="str">
        <f>IF(TemurC!D18="Não",TemurC!C18, " ")</f>
        <v>Island</v>
      </c>
      <c r="F18" t="str">
        <v xml:space="preserve"> </v>
      </c>
      <c r="G18" t="str">
        <f>IF(WURFlicker!D18="Não",WURFlicker!C18, " ")</f>
        <v xml:space="preserve"> </v>
      </c>
      <c r="J18" t="str">
        <v xml:space="preserve"> </v>
      </c>
      <c r="K18" t="str">
        <f>IF(WUBModular!D18="Não",WUBModular!C18, " ")</f>
        <v xml:space="preserve"> </v>
      </c>
    </row>
    <row r="19" spans="2:11" x14ac:dyDescent="0.25">
      <c r="B19" t="str">
        <v>Sprout Swarm</v>
      </c>
      <c r="C19" t="str">
        <f>IF(TemurC!D19="Não",TemurC!C19, " ")</f>
        <v>Island</v>
      </c>
      <c r="F19" t="str">
        <v xml:space="preserve"> </v>
      </c>
      <c r="G19" t="str">
        <f>IF(WURFlicker!D19="Não",WURFlicker!C19, " ")</f>
        <v xml:space="preserve"> </v>
      </c>
      <c r="J19" t="str">
        <v xml:space="preserve"> </v>
      </c>
      <c r="K19" t="str">
        <f>IF(WUBModular!D19="Não",WUBModular!C19, " ")</f>
        <v xml:space="preserve"> </v>
      </c>
    </row>
    <row r="20" spans="2:11" x14ac:dyDescent="0.25">
      <c r="B20" t="str">
        <v>Sprout Swarm</v>
      </c>
      <c r="C20" t="str">
        <f>IF(TemurC!D20="Não",TemurC!C20, " ")</f>
        <v>Mountain</v>
      </c>
      <c r="F20" t="str">
        <v xml:space="preserve"> </v>
      </c>
      <c r="G20" t="str">
        <f>IF(WURFlicker!D20="Não",WURFlicker!C20, " ")</f>
        <v xml:space="preserve"> </v>
      </c>
      <c r="J20" t="str">
        <v xml:space="preserve"> </v>
      </c>
      <c r="K20" t="str">
        <f>IF(WUBModular!D20="Não",WUBModular!C20, " ")</f>
        <v xml:space="preserve"> </v>
      </c>
    </row>
    <row r="21" spans="2:11" x14ac:dyDescent="0.25">
      <c r="B21" t="str">
        <v>Spell Pierce</v>
      </c>
      <c r="C21" t="str">
        <f>IF(TemurC!D21="Não",TemurC!C21, " ")</f>
        <v>Mountain</v>
      </c>
      <c r="F21" t="str">
        <v xml:space="preserve"> </v>
      </c>
      <c r="G21" t="str">
        <f>IF(WURFlicker!D21="Não",WURFlicker!C21, " ")</f>
        <v xml:space="preserve"> </v>
      </c>
      <c r="J21" t="str">
        <v xml:space="preserve"> </v>
      </c>
      <c r="K21" t="str">
        <f>IF(WUBModular!D21="Não",WUBModular!C21, " ")</f>
        <v>Ancient Den</v>
      </c>
    </row>
    <row r="22" spans="2:11" x14ac:dyDescent="0.25">
      <c r="B22" t="str">
        <v>Spell Pierce</v>
      </c>
      <c r="C22" t="str">
        <f>IF(TemurC!D22="Não",TemurC!C22, " ")</f>
        <v>Mountain</v>
      </c>
      <c r="F22" t="str">
        <v xml:space="preserve"> </v>
      </c>
      <c r="G22" t="str">
        <f>IF(WURFlicker!D22="Não",WURFlicker!C22, " ")</f>
        <v xml:space="preserve"> </v>
      </c>
      <c r="J22" t="str">
        <v xml:space="preserve"> </v>
      </c>
      <c r="K22" t="str">
        <f>IF(WUBModular!D22="Não",WUBModular!C22, " ")</f>
        <v xml:space="preserve"> </v>
      </c>
    </row>
    <row r="23" spans="2:11" x14ac:dyDescent="0.25">
      <c r="B23" t="str">
        <v>Spell Pierce</v>
      </c>
      <c r="C23" t="str">
        <f>IF(TemurC!D23="Não",TemurC!C23, " ")</f>
        <v>Forest</v>
      </c>
      <c r="F23" t="str">
        <v xml:space="preserve"> </v>
      </c>
      <c r="G23" t="str">
        <f>IF(WURFlicker!D23="Não",WURFlicker!C23, " ")</f>
        <v xml:space="preserve"> </v>
      </c>
      <c r="J23" t="str">
        <v xml:space="preserve"> </v>
      </c>
      <c r="K23" t="str">
        <f>IF(WUBModular!D23="Não",WUBModular!C23, " ")</f>
        <v xml:space="preserve"> </v>
      </c>
    </row>
    <row r="24" spans="2:11" x14ac:dyDescent="0.25">
      <c r="B24" t="str">
        <v>Spell Pierce</v>
      </c>
      <c r="C24" t="str">
        <f>IF(TemurC!D24="Não",TemurC!C24, " ")</f>
        <v>Forest</v>
      </c>
      <c r="F24" t="str">
        <v xml:space="preserve"> </v>
      </c>
      <c r="G24" t="str">
        <f>IF(WURFlicker!D24="Não",WURFlicker!C24, " ")</f>
        <v xml:space="preserve"> </v>
      </c>
      <c r="J24" t="str">
        <v xml:space="preserve"> </v>
      </c>
      <c r="K24" t="str">
        <f>IF(WUBModular!D24="Não",WUBModular!C24, " ")</f>
        <v xml:space="preserve"> </v>
      </c>
    </row>
    <row r="25" spans="2:11" x14ac:dyDescent="0.25">
      <c r="B25" t="str">
        <v>Simic Growth Chamber</v>
      </c>
      <c r="C25" t="str">
        <f>IF(TemurC!D25="Não",TemurC!C25, " ")</f>
        <v>Forest</v>
      </c>
      <c r="F25" t="str">
        <v xml:space="preserve"> </v>
      </c>
      <c r="G25" t="str">
        <f>IF(WURFlicker!D25="Não",WURFlicker!C25, " ")</f>
        <v xml:space="preserve"> </v>
      </c>
      <c r="J25" t="str">
        <v xml:space="preserve"> </v>
      </c>
      <c r="K25" t="str">
        <f>IF(WUBModular!D25="Não",WUBModular!C25, " ")</f>
        <v xml:space="preserve"> </v>
      </c>
    </row>
    <row r="26" spans="2:11" x14ac:dyDescent="0.25">
      <c r="B26" t="str">
        <v>Simic Growth Chamber</v>
      </c>
      <c r="C26" t="str">
        <f>IF(TemurC!D26="Não",TemurC!C26, " ")</f>
        <v>Terror Tolariano</v>
      </c>
      <c r="F26" t="str">
        <v xml:space="preserve"> </v>
      </c>
      <c r="G26" t="str">
        <f>IF(WURFlicker!D26="Não",WURFlicker!C26, " ")</f>
        <v xml:space="preserve"> </v>
      </c>
      <c r="J26" t="str">
        <v xml:space="preserve"> </v>
      </c>
      <c r="K26" t="str">
        <f>IF(WUBModular!D26="Não",WUBModular!C26, " ")</f>
        <v xml:space="preserve"> </v>
      </c>
    </row>
    <row r="27" spans="2:11" x14ac:dyDescent="0.25">
      <c r="B27" t="str">
        <v>Rugged Highlands</v>
      </c>
      <c r="C27" t="str">
        <f>IF(TemurC!D27="Não",TemurC!C27, " ")</f>
        <v>Terror Tolariano</v>
      </c>
      <c r="F27" t="str">
        <v xml:space="preserve"> </v>
      </c>
      <c r="G27" t="str">
        <f>IF(WURFlicker!D27="Não",WURFlicker!C27, " ")</f>
        <v xml:space="preserve"> </v>
      </c>
      <c r="J27" t="str">
        <v xml:space="preserve"> </v>
      </c>
      <c r="K27" t="str">
        <f>IF(WUBModular!D27="Não",WUBModular!C27, " ")</f>
        <v xml:space="preserve"> </v>
      </c>
    </row>
    <row r="28" spans="2:11" x14ac:dyDescent="0.25">
      <c r="B28" t="str">
        <v>Rugged Highlands</v>
      </c>
      <c r="C28" t="str">
        <f>IF(TemurC!D28="Não",TemurC!C28, " ")</f>
        <v>Terror Tolariano</v>
      </c>
      <c r="F28" t="str">
        <v xml:space="preserve"> </v>
      </c>
      <c r="G28" t="str">
        <f>IF(WURFlicker!D28="Não",WURFlicker!C28, " ")</f>
        <v xml:space="preserve"> </v>
      </c>
      <c r="J28" t="str">
        <v xml:space="preserve"> </v>
      </c>
      <c r="K28" t="str">
        <f>IF(WUBModular!D28="Não",WUBModular!C28, " ")</f>
        <v xml:space="preserve"> </v>
      </c>
    </row>
    <row r="29" spans="2:11" x14ac:dyDescent="0.25">
      <c r="B29" t="str">
        <v>Relic of Progenitus</v>
      </c>
      <c r="C29" t="str">
        <f>IF(TemurC!D29="Não",TemurC!C29, " ")</f>
        <v>Terror Tolariano</v>
      </c>
      <c r="F29" t="str">
        <v xml:space="preserve"> </v>
      </c>
      <c r="G29" t="str">
        <f>IF(WURFlicker!D29="Não",WURFlicker!C29, " ")</f>
        <v xml:space="preserve"> </v>
      </c>
      <c r="J29" t="str">
        <v xml:space="preserve"> </v>
      </c>
      <c r="K29" t="str">
        <f>IF(WUBModular!D29="Não",WUBModular!C29, " ")</f>
        <v xml:space="preserve"> </v>
      </c>
    </row>
    <row r="30" spans="2:11" x14ac:dyDescent="0.25">
      <c r="B30" t="str">
        <v>Relic of Progenitus</v>
      </c>
      <c r="C30" t="str">
        <f>IF(TemurC!D30="Não",TemurC!C30, " ")</f>
        <v>Sprout Swarm</v>
      </c>
      <c r="F30" t="str">
        <v xml:space="preserve"> </v>
      </c>
      <c r="G30" t="str">
        <f>IF(WURFlicker!D30="Não",WURFlicker!C30, " ")</f>
        <v xml:space="preserve"> </v>
      </c>
      <c r="J30" t="str">
        <v xml:space="preserve"> </v>
      </c>
      <c r="K30" t="str">
        <f>IF(WUBModular!D30="Não",WUBModular!C30, " ")</f>
        <v xml:space="preserve"> </v>
      </c>
    </row>
    <row r="31" spans="2:11" x14ac:dyDescent="0.25">
      <c r="B31" t="str">
        <v>Relic of Progenitus</v>
      </c>
      <c r="C31" t="str">
        <f>IF(TemurC!D31="Não",TemurC!C31, " ")</f>
        <v>Sprout Swarm</v>
      </c>
      <c r="F31" t="str">
        <v xml:space="preserve"> </v>
      </c>
      <c r="G31" t="str">
        <f>IF(WURFlicker!D31="Não",WURFlicker!C31, " ")</f>
        <v xml:space="preserve"> </v>
      </c>
      <c r="J31" t="str">
        <v xml:space="preserve"> </v>
      </c>
      <c r="K31" t="str">
        <f>IF(WUBModular!D31="Não",WUBModular!C31, " ")</f>
        <v xml:space="preserve"> </v>
      </c>
    </row>
    <row r="32" spans="2:11" x14ac:dyDescent="0.25">
      <c r="B32" t="str">
        <v>Pulse of Murasa</v>
      </c>
      <c r="C32" t="str">
        <f>IF(TemurC!D32="Não",TemurC!C32, " ")</f>
        <v>Coiling Oracle</v>
      </c>
      <c r="F32" t="str">
        <v xml:space="preserve"> </v>
      </c>
      <c r="G32" t="str">
        <f>IF(WURFlicker!D49="Não",WURFlicker!C49, " ")</f>
        <v>Lórien Revealed</v>
      </c>
      <c r="J32" t="str">
        <v xml:space="preserve"> </v>
      </c>
      <c r="K32" t="str">
        <f>IF(WUBModular!D32="Não",WUBModular!C32, " ")</f>
        <v xml:space="preserve"> </v>
      </c>
    </row>
    <row r="33" spans="2:11" x14ac:dyDescent="0.25">
      <c r="B33" t="str">
        <v>Pulse of Murasa</v>
      </c>
      <c r="C33" t="str">
        <f>IF(TemurC!D33="Não",TemurC!C33, " ")</f>
        <v>Coiling Oracle</v>
      </c>
      <c r="F33" t="str">
        <v xml:space="preserve"> </v>
      </c>
      <c r="G33" t="str">
        <f>IF(WURFlicker!D50="Não",WURFlicker!C50, " ")</f>
        <v>Lórien Revealed</v>
      </c>
      <c r="J33" t="str">
        <v xml:space="preserve"> </v>
      </c>
      <c r="K33" t="str">
        <f>IF(WUBModular!D33="Não",WUBModular!C33, " ")</f>
        <v xml:space="preserve"> </v>
      </c>
    </row>
    <row r="34" spans="2:11" x14ac:dyDescent="0.25">
      <c r="B34" t="str">
        <v>Pulse of Murasa</v>
      </c>
      <c r="C34" t="str">
        <f>IF(TemurC!D34="Não",TemurC!C34, " ")</f>
        <v>Behold the Multiverse</v>
      </c>
      <c r="F34" t="str">
        <v xml:space="preserve"> </v>
      </c>
      <c r="G34" t="str">
        <f>IF(WURFlicker!D32="Não",WURFlicker!C32, " ")</f>
        <v xml:space="preserve"> </v>
      </c>
      <c r="J34" t="str">
        <v xml:space="preserve"> </v>
      </c>
      <c r="K34" t="str">
        <f>IF(WUBModular!D34="Não",WUBModular!C34, " ")</f>
        <v xml:space="preserve"> </v>
      </c>
    </row>
    <row r="35" spans="2:11" x14ac:dyDescent="0.25">
      <c r="B35" t="str">
        <v>Pulse of Murasa</v>
      </c>
      <c r="C35" t="str">
        <f>IF(TemurC!D35="Não",TemurC!C35, " ")</f>
        <v>Behold the Multiverse</v>
      </c>
      <c r="F35" t="str">
        <v xml:space="preserve"> </v>
      </c>
      <c r="G35" t="str">
        <f>IF(WURFlicker!D33="Não",WURFlicker!C33, " ")</f>
        <v xml:space="preserve"> </v>
      </c>
      <c r="J35" t="str">
        <v xml:space="preserve"> </v>
      </c>
      <c r="K35" t="str">
        <f>IF(WUBModular!D35="Não",WUBModular!C35, " ")</f>
        <v xml:space="preserve"> </v>
      </c>
    </row>
    <row r="36" spans="2:11" x14ac:dyDescent="0.25">
      <c r="B36" t="str">
        <v>Mountain</v>
      </c>
      <c r="C36" t="str">
        <f>IF(TemurC!D36="Não",TemurC!C36, " ")</f>
        <v>Behold the Multiverse</v>
      </c>
      <c r="F36" t="str">
        <v xml:space="preserve"> </v>
      </c>
      <c r="G36" t="str">
        <f>IF(WURFlicker!D34="Não",WURFlicker!C34, " ")</f>
        <v xml:space="preserve"> </v>
      </c>
      <c r="J36" t="str">
        <v xml:space="preserve"> </v>
      </c>
      <c r="K36" t="str">
        <f>IF(WUBModular!D36="Não",WUBModular!C36, " ")</f>
        <v xml:space="preserve"> </v>
      </c>
    </row>
    <row r="37" spans="2:11" x14ac:dyDescent="0.25">
      <c r="B37" t="str">
        <v>Mountain</v>
      </c>
      <c r="C37" t="str">
        <f>IF(TemurC!D37="Não",TemurC!C37, " ")</f>
        <v>Growth Spiral</v>
      </c>
      <c r="F37" t="str">
        <v xml:space="preserve"> </v>
      </c>
      <c r="G37" t="str">
        <f>IF(WURFlicker!D35="Não",WURFlicker!C35, " ")</f>
        <v xml:space="preserve"> </v>
      </c>
      <c r="J37" t="str">
        <v xml:space="preserve"> </v>
      </c>
      <c r="K37" t="str">
        <f>IF(WUBModular!D37="Não",WUBModular!C37, " ")</f>
        <v xml:space="preserve"> </v>
      </c>
    </row>
    <row r="38" spans="2:11" x14ac:dyDescent="0.25">
      <c r="B38" t="str">
        <v>Mountain</v>
      </c>
      <c r="C38" t="str">
        <f>IF(TemurC!D38="Não",TemurC!C38, " ")</f>
        <v>Growth Spiral</v>
      </c>
      <c r="F38" t="str">
        <v xml:space="preserve"> </v>
      </c>
      <c r="G38" t="str">
        <f>IF(WURFlicker!D36="Não",WURFlicker!C36, " ")</f>
        <v xml:space="preserve"> </v>
      </c>
      <c r="J38" t="str">
        <v xml:space="preserve"> </v>
      </c>
      <c r="K38" t="str">
        <f>IF(WUBModular!D38="Não",WUBModular!C38, " ")</f>
        <v xml:space="preserve"> </v>
      </c>
    </row>
    <row r="39" spans="2:11" x14ac:dyDescent="0.25">
      <c r="B39" t="str">
        <v>Lightning Bolt</v>
      </c>
      <c r="C39" t="str">
        <f>IF(TemurC!D39="Não",TemurC!C39, " ")</f>
        <v>Growth Spiral</v>
      </c>
      <c r="F39" t="str">
        <v xml:space="preserve"> </v>
      </c>
      <c r="G39" t="str">
        <f>IF(WURFlicker!D37="Não",WURFlicker!C37, " ")</f>
        <v>Ponder</v>
      </c>
      <c r="J39" t="str">
        <v xml:space="preserve"> </v>
      </c>
      <c r="K39" t="str">
        <f>IF(WUBModular!D39="Não",WUBModular!C39, " ")</f>
        <v xml:space="preserve"> </v>
      </c>
    </row>
    <row r="40" spans="2:11" x14ac:dyDescent="0.25">
      <c r="B40" t="str">
        <v>Lightning Bolt</v>
      </c>
      <c r="C40" t="str">
        <f>IF(TemurC!D40="Não",TemurC!C40, " ")</f>
        <v>Growth Spiral</v>
      </c>
      <c r="F40" t="str">
        <v xml:space="preserve"> </v>
      </c>
      <c r="G40" t="str">
        <f>IF(WURFlicker!D38="Não",WURFlicker!C38, " ")</f>
        <v>Ponder</v>
      </c>
      <c r="J40" t="str">
        <v xml:space="preserve"> </v>
      </c>
      <c r="K40" t="str">
        <f>IF(WUBModular!D40="Não",WUBModular!C40, " ")</f>
        <v xml:space="preserve"> </v>
      </c>
    </row>
    <row r="41" spans="2:11" x14ac:dyDescent="0.25">
      <c r="B41" t="str">
        <v>Lightning Bolt</v>
      </c>
      <c r="C41" t="str">
        <f>IF(TemurC!D41="Não",TemurC!C41, " ")</f>
        <v>Eureka Moment</v>
      </c>
      <c r="F41" t="str">
        <v xml:space="preserve"> </v>
      </c>
      <c r="G41" t="str">
        <f>IF(WURFlicker!D39="Não",WURFlicker!C39, " ")</f>
        <v>Ponder</v>
      </c>
      <c r="J41" t="str">
        <v xml:space="preserve"> </v>
      </c>
      <c r="K41" t="str">
        <f>IF(WUBModular!D41="Não",WUBModular!C41, " ")</f>
        <v xml:space="preserve"> </v>
      </c>
    </row>
    <row r="42" spans="2:11" x14ac:dyDescent="0.25">
      <c r="B42" t="str">
        <v>Lightning Bolt</v>
      </c>
      <c r="C42" t="str">
        <f>IF(TemurC!D42="Não",TemurC!C42, " ")</f>
        <v>Eureka Moment</v>
      </c>
      <c r="F42" t="str">
        <v xml:space="preserve"> </v>
      </c>
      <c r="G42" t="str">
        <f>IF(WURFlicker!D40="Não",WURFlicker!C40, " ")</f>
        <v>Ponder</v>
      </c>
      <c r="J42" t="str">
        <v xml:space="preserve"> </v>
      </c>
      <c r="K42" t="str">
        <f>IF(WUBModular!D42="Não",WUBModular!C42, " ")</f>
        <v xml:space="preserve"> </v>
      </c>
    </row>
    <row r="43" spans="2:11" x14ac:dyDescent="0.25">
      <c r="B43" t="str">
        <v>Izzet Boilerworks</v>
      </c>
      <c r="C43" t="str">
        <f>IF(TemurC!D43="Não",TemurC!C43, " ")</f>
        <v>Eureka Moment</v>
      </c>
      <c r="F43" t="str">
        <v xml:space="preserve"> </v>
      </c>
      <c r="G43" t="str">
        <f>IF(WURFlicker!D41="Não",WURFlicker!C41, " ")</f>
        <v xml:space="preserve"> </v>
      </c>
      <c r="J43" t="str">
        <v xml:space="preserve"> </v>
      </c>
      <c r="K43" t="str">
        <f>IF(WUBModular!D43="Não",WUBModular!C43, " ")</f>
        <v xml:space="preserve"> </v>
      </c>
    </row>
    <row r="44" spans="2:11" x14ac:dyDescent="0.25">
      <c r="B44" t="str">
        <v>Izzet Boilerworks</v>
      </c>
      <c r="C44" t="str">
        <f>IF(TemurC!D44="Não",TemurC!C44, " ")</f>
        <v>Eureka Moment</v>
      </c>
      <c r="F44" t="str">
        <v xml:space="preserve"> </v>
      </c>
      <c r="G44" t="str">
        <f>IF(WURFlicker!D42="Não",WURFlicker!C42, " ")</f>
        <v xml:space="preserve"> </v>
      </c>
      <c r="J44" t="str">
        <v xml:space="preserve"> </v>
      </c>
      <c r="K44" t="str">
        <f>IF(WUBModular!D44="Não",WUBModular!C44, " ")</f>
        <v xml:space="preserve"> </v>
      </c>
    </row>
    <row r="45" spans="2:11" x14ac:dyDescent="0.25">
      <c r="B45" t="str">
        <v>Island</v>
      </c>
      <c r="C45" t="str">
        <f>IF(TemurC!D45="Não",TemurC!C45, " ")</f>
        <v>Counterspell</v>
      </c>
      <c r="F45" t="str">
        <v xml:space="preserve"> </v>
      </c>
      <c r="G45" t="str">
        <f>IF(WURFlicker!D43="Não",WURFlicker!C43, " ")</f>
        <v xml:space="preserve"> </v>
      </c>
      <c r="J45" t="str">
        <v xml:space="preserve"> </v>
      </c>
      <c r="K45" t="str">
        <f>IF(WUBModular!D45="Não",WUBModular!C45, " ")</f>
        <v xml:space="preserve"> </v>
      </c>
    </row>
    <row r="46" spans="2:11" x14ac:dyDescent="0.25">
      <c r="B46" t="str">
        <v>Island</v>
      </c>
      <c r="C46" t="str">
        <f>IF(TemurC!D46="Não",TemurC!C46, " ")</f>
        <v>Counterspell</v>
      </c>
      <c r="F46" t="str">
        <v xml:space="preserve"> </v>
      </c>
      <c r="G46" t="str">
        <f>IF(WURFlicker!D44="Não",WURFlicker!C44, " ")</f>
        <v xml:space="preserve"> </v>
      </c>
      <c r="J46" t="str">
        <v xml:space="preserve"> </v>
      </c>
      <c r="K46" t="str">
        <f>IF(WUBModular!D46="Não",WUBModular!C46, " ")</f>
        <v xml:space="preserve"> </v>
      </c>
    </row>
    <row r="47" spans="2:11" x14ac:dyDescent="0.25">
      <c r="B47" t="str">
        <v>Island</v>
      </c>
      <c r="C47" t="str">
        <f>IF(TemurC!D47="Não",TemurC!C47, " ")</f>
        <v>Spell Pierce</v>
      </c>
      <c r="F47" t="str">
        <v xml:space="preserve"> </v>
      </c>
      <c r="G47" t="str">
        <f>IF(WURFlicker!D45="Não",WURFlicker!C45, " ")</f>
        <v xml:space="preserve"> </v>
      </c>
      <c r="J47" t="str">
        <v xml:space="preserve"> </v>
      </c>
      <c r="K47" t="str">
        <f>IF(WUBModular!D47="Não",WUBModular!C47, " ")</f>
        <v xml:space="preserve"> </v>
      </c>
    </row>
    <row r="48" spans="2:11" x14ac:dyDescent="0.25">
      <c r="B48" t="str">
        <v>Gruul Turf</v>
      </c>
      <c r="C48" t="str">
        <f>IF(TemurC!D48="Não",TemurC!C48, " ")</f>
        <v>Spell Pierce</v>
      </c>
      <c r="F48" t="str">
        <v xml:space="preserve"> </v>
      </c>
      <c r="G48" t="str">
        <f>IF(WURFlicker!D46="Não",WURFlicker!C46, " ")</f>
        <v xml:space="preserve"> </v>
      </c>
      <c r="J48" t="str">
        <v xml:space="preserve"> </v>
      </c>
      <c r="K48" t="str">
        <f>IF(WUBModular!D48="Não",WUBModular!C48, " ")</f>
        <v xml:space="preserve"> </v>
      </c>
    </row>
    <row r="49" spans="2:11" x14ac:dyDescent="0.25">
      <c r="B49" t="str">
        <v>Gruul Turf</v>
      </c>
      <c r="C49" t="str">
        <f>IF(TemurC!D49="Não",TemurC!C49, " ")</f>
        <v>Spell Pierce</v>
      </c>
      <c r="F49" t="str">
        <v xml:space="preserve"> </v>
      </c>
      <c r="G49" t="str">
        <f>IF(WURFlicker!D47="Não",WURFlicker!C47, " ")</f>
        <v xml:space="preserve"> </v>
      </c>
      <c r="J49" t="str">
        <v xml:space="preserve"> </v>
      </c>
      <c r="K49" t="str">
        <f>IF(WUBModular!D49="Não",WUBModular!C49, " ")</f>
        <v xml:space="preserve"> </v>
      </c>
    </row>
    <row r="50" spans="2:11" x14ac:dyDescent="0.25">
      <c r="B50" t="str">
        <v>Growth Spiral</v>
      </c>
      <c r="C50" t="str">
        <f>IF(TemurC!D50="Não",TemurC!C50, " ")</f>
        <v>Spell Pierce</v>
      </c>
      <c r="F50" t="str">
        <v xml:space="preserve"> </v>
      </c>
      <c r="G50" t="str">
        <f>IF(WURFlicker!D48="Não",WURFlicker!C48, " ")</f>
        <v xml:space="preserve"> </v>
      </c>
      <c r="J50" t="str">
        <v xml:space="preserve"> </v>
      </c>
      <c r="K50" t="str">
        <f>IF(WUBModular!D50="Não",WUBModular!C50, " ")</f>
        <v xml:space="preserve"> </v>
      </c>
    </row>
    <row r="51" spans="2:11" x14ac:dyDescent="0.25">
      <c r="B51" t="str">
        <v>Growth Spiral</v>
      </c>
      <c r="C51" t="str">
        <f>IF(TemurC!D51="Não",TemurC!C51, " ")</f>
        <v>Lightning Bolt</v>
      </c>
      <c r="F51" t="str">
        <v xml:space="preserve"> </v>
      </c>
      <c r="G51" t="str">
        <f>IF(WURFlicker!D51="Não",WURFlicker!C51, " ")</f>
        <v xml:space="preserve"> </v>
      </c>
      <c r="J51" t="str">
        <v xml:space="preserve"> </v>
      </c>
      <c r="K51" t="str">
        <f>IF(WUBModular!D51="Não",WUBModular!C51, " ")</f>
        <v xml:space="preserve"> </v>
      </c>
    </row>
    <row r="52" spans="2:11" x14ac:dyDescent="0.25">
      <c r="B52" t="str">
        <v>Growth Spiral</v>
      </c>
      <c r="C52" t="str">
        <f>IF(TemurC!D52="Não",TemurC!C52, " ")</f>
        <v>Lightning Bolt</v>
      </c>
      <c r="F52" t="str">
        <v xml:space="preserve"> </v>
      </c>
      <c r="G52" t="str">
        <f>IF(WURFlicker!D52="Não",WURFlicker!C52, " ")</f>
        <v xml:space="preserve"> </v>
      </c>
      <c r="J52" t="str">
        <v xml:space="preserve"> </v>
      </c>
      <c r="K52" t="str">
        <f>IF(WUBModular!D52="Não",WUBModular!C52, " ")</f>
        <v xml:space="preserve"> </v>
      </c>
    </row>
    <row r="53" spans="2:11" x14ac:dyDescent="0.25">
      <c r="B53" t="str">
        <v>Growth Spiral</v>
      </c>
      <c r="C53" t="str">
        <f>IF(TemurC!D53="Não",TemurC!C53, " ")</f>
        <v>Lightning Bolt</v>
      </c>
      <c r="F53" t="str">
        <v xml:space="preserve"> </v>
      </c>
      <c r="G53" t="str">
        <f>IF(WURFlicker!D53="Não",WURFlicker!C53, " ")</f>
        <v xml:space="preserve"> </v>
      </c>
      <c r="J53" t="str">
        <v xml:space="preserve"> </v>
      </c>
      <c r="K53" t="str">
        <f>IF(WUBModular!D53="Não",WUBModular!C53, " ")</f>
        <v xml:space="preserve"> </v>
      </c>
    </row>
    <row r="54" spans="2:11" x14ac:dyDescent="0.25">
      <c r="B54" t="str">
        <v>Forest</v>
      </c>
      <c r="C54" t="str">
        <f>IF(TemurC!D54="Não",TemurC!C54, " ")</f>
        <v>Lightning Bolt</v>
      </c>
      <c r="F54" t="str">
        <v xml:space="preserve"> </v>
      </c>
      <c r="G54" t="str">
        <f>IF(WURFlicker!D54="Não",WURFlicker!C54, " ")</f>
        <v xml:space="preserve"> </v>
      </c>
      <c r="J54" t="str">
        <v xml:space="preserve"> </v>
      </c>
      <c r="K54" t="str">
        <f>IF(WUBModular!D54="Não",WUBModular!C54, " ")</f>
        <v xml:space="preserve"> </v>
      </c>
    </row>
    <row r="55" spans="2:11" x14ac:dyDescent="0.25">
      <c r="B55" t="str">
        <v>Forest</v>
      </c>
      <c r="C55" t="str">
        <f>IF(TemurC!D55="Não",TemurC!C55, " ")</f>
        <v>Vapor Snag</v>
      </c>
      <c r="F55" t="str">
        <v xml:space="preserve"> </v>
      </c>
      <c r="G55" t="str">
        <f>IF(WURFlicker!D55="Não",WURFlicker!C55, " ")</f>
        <v xml:space="preserve"> </v>
      </c>
      <c r="J55" t="str">
        <v xml:space="preserve"> </v>
      </c>
      <c r="K55" t="str">
        <f>IF(WUBModular!D55="Não",WUBModular!C55, " ")</f>
        <v xml:space="preserve"> </v>
      </c>
    </row>
    <row r="56" spans="2:11" x14ac:dyDescent="0.25">
      <c r="B56" t="str">
        <v>Forest</v>
      </c>
      <c r="C56" t="str">
        <f>IF(TemurC!D56="Não",TemurC!C56, " ")</f>
        <v>Vapor Snag</v>
      </c>
      <c r="F56" t="str">
        <v xml:space="preserve"> </v>
      </c>
      <c r="G56" t="str">
        <f>IF(WURFlicker!D56="Não",WURFlicker!C56, " ")</f>
        <v xml:space="preserve"> </v>
      </c>
      <c r="J56" t="str">
        <v xml:space="preserve"> </v>
      </c>
      <c r="K56" t="str">
        <f>IF(WUBModular!D56="Não",WUBModular!C56, " ")</f>
        <v xml:space="preserve"> </v>
      </c>
    </row>
    <row r="57" spans="2:11" x14ac:dyDescent="0.25">
      <c r="B57" t="str">
        <v>Fiery Cannonade</v>
      </c>
      <c r="C57" t="str">
        <f>IF(TemurC!D57="Não",TemurC!C57, " ")</f>
        <v>Vapor Snag</v>
      </c>
      <c r="F57" t="str">
        <v xml:space="preserve"> </v>
      </c>
      <c r="G57" t="str">
        <f>IF(WURFlicker!D57="Não",WURFlicker!C57, " ")</f>
        <v xml:space="preserve"> </v>
      </c>
      <c r="J57" t="str">
        <v xml:space="preserve"> </v>
      </c>
      <c r="K57" t="str">
        <f>IF(WUBModular!D57="Não",WUBModular!C57, " ")</f>
        <v xml:space="preserve"> </v>
      </c>
    </row>
    <row r="58" spans="2:11" x14ac:dyDescent="0.25">
      <c r="B58" t="str">
        <v>Fiery Cannonade</v>
      </c>
      <c r="C58" t="str">
        <f>IF(TemurC!D58="Não",TemurC!C58, " ")</f>
        <v>Vapor Snag</v>
      </c>
      <c r="F58" t="str">
        <v xml:space="preserve"> </v>
      </c>
      <c r="G58" t="str">
        <f>IF(WURFlicker!D58="Não",WURFlicker!C58, " ")</f>
        <v xml:space="preserve"> </v>
      </c>
      <c r="J58" t="str">
        <v xml:space="preserve"> </v>
      </c>
      <c r="K58" t="str">
        <f>IF(WUBModular!D58="Não",WUBModular!C58, " ")</f>
        <v xml:space="preserve"> </v>
      </c>
    </row>
    <row r="59" spans="2:11" x14ac:dyDescent="0.25">
      <c r="B59" t="str">
        <v>Evolving Wilds</v>
      </c>
      <c r="C59" t="str">
        <f>IF(TemurC!D59="Não",TemurC!C59, " ")</f>
        <v>Abrade</v>
      </c>
      <c r="F59" t="str">
        <v xml:space="preserve"> </v>
      </c>
      <c r="G59" t="str">
        <f>IF(WURFlicker!D59="Não",WURFlicker!C59, " ")</f>
        <v xml:space="preserve"> </v>
      </c>
      <c r="J59" t="str">
        <v xml:space="preserve"> </v>
      </c>
      <c r="K59" t="str">
        <f>IF(WUBModular!D59="Não",WUBModular!C59, " ")</f>
        <v xml:space="preserve"> </v>
      </c>
    </row>
    <row r="60" spans="2:11" x14ac:dyDescent="0.25">
      <c r="B60" t="str">
        <v>Evolving Wilds</v>
      </c>
      <c r="C60" t="str">
        <f>IF(TemurC!D60="Não",TemurC!C60, " ")</f>
        <v>Abrade</v>
      </c>
      <c r="F60" t="str">
        <v xml:space="preserve"> </v>
      </c>
      <c r="G60" t="str">
        <f>IF(WURFlicker!D60="Não",WURFlicker!C60, " ")</f>
        <v xml:space="preserve"> </v>
      </c>
      <c r="J60" t="str">
        <v xml:space="preserve"> </v>
      </c>
      <c r="K60" t="str">
        <f>IF(WUBModular!D60="Não",WUBModular!C60, " ")</f>
        <v xml:space="preserve"> </v>
      </c>
    </row>
    <row r="61" spans="2:11" x14ac:dyDescent="0.25">
      <c r="B61" t="str">
        <v>Eureka Moment</v>
      </c>
      <c r="C61" t="str">
        <f>IF(TemurC!D61="Não",TemurC!C61, " ")</f>
        <v>Abrade</v>
      </c>
      <c r="F61" t="str">
        <v xml:space="preserve"> </v>
      </c>
      <c r="G61" t="str">
        <f>IF(WURFlicker!D61="Não",WURFlicker!C61, " ")</f>
        <v xml:space="preserve"> </v>
      </c>
      <c r="J61" t="str">
        <v xml:space="preserve"> </v>
      </c>
      <c r="K61" t="str">
        <f>IF(WUBModular!D61="Não",WUBModular!C61, " ")</f>
        <v xml:space="preserve"> </v>
      </c>
    </row>
    <row r="62" spans="2:11" x14ac:dyDescent="0.25">
      <c r="B62" t="str">
        <v>Eureka Moment</v>
      </c>
      <c r="C62" t="str">
        <f>IF(TemurC!D62="Não",TemurC!C62, " ")</f>
        <v>Abrade</v>
      </c>
      <c r="F62" t="str">
        <v xml:space="preserve"> </v>
      </c>
      <c r="G62" t="str">
        <f>IF(WURFlicker!D62="Não",WURFlicker!C62, " ")</f>
        <v xml:space="preserve"> </v>
      </c>
      <c r="J62" t="str">
        <v xml:space="preserve"> </v>
      </c>
      <c r="K62" t="str">
        <f>IF(WUBModular!D62="Não",WUBModular!C62, " ")</f>
        <v xml:space="preserve"> </v>
      </c>
    </row>
    <row r="63" spans="2:11" x14ac:dyDescent="0.25">
      <c r="B63" t="str">
        <v>Eureka Moment</v>
      </c>
      <c r="C63" t="str">
        <f>IF(TemurC!D63="Não",TemurC!C63, " ")</f>
        <v>Wilt</v>
      </c>
      <c r="F63" t="str">
        <v xml:space="preserve"> </v>
      </c>
      <c r="G63" t="str">
        <f>IF(WURFlicker!D63="Não",WURFlicker!C63, " ")</f>
        <v xml:space="preserve"> </v>
      </c>
      <c r="J63" t="str">
        <v xml:space="preserve"> </v>
      </c>
      <c r="K63" t="str">
        <f>IF(WUBModular!D63="Não",WUBModular!C63, " ")</f>
        <v xml:space="preserve"> </v>
      </c>
    </row>
    <row r="64" spans="2:11" x14ac:dyDescent="0.25">
      <c r="B64" t="str">
        <v>Eureka Moment</v>
      </c>
      <c r="C64" t="str">
        <f>IF(TemurC!D64="Não",TemurC!C64, " ")</f>
        <v>Wilt</v>
      </c>
      <c r="F64" t="str">
        <v xml:space="preserve"> </v>
      </c>
      <c r="G64" t="str">
        <f>IF(WURFlicker!D64="Não",WURFlicker!C64, " ")</f>
        <v xml:space="preserve"> </v>
      </c>
      <c r="J64" t="str">
        <v xml:space="preserve"> </v>
      </c>
      <c r="K64" t="str">
        <f>IF(WUBModular!D64="Não",WUBModular!C64, " ")</f>
        <v xml:space="preserve"> </v>
      </c>
    </row>
    <row r="65" spans="2:11" x14ac:dyDescent="0.25">
      <c r="B65" t="str">
        <v>Counterspell</v>
      </c>
      <c r="C65" t="str">
        <f>IF(TemurC!D65="Não",TemurC!C65, " ")</f>
        <v>Wilt</v>
      </c>
      <c r="F65" t="str">
        <v xml:space="preserve"> </v>
      </c>
      <c r="G65" t="str">
        <f>IF(WURFlicker!D65="Não",WURFlicker!C65, " ")</f>
        <v xml:space="preserve"> </v>
      </c>
      <c r="J65" t="str">
        <v xml:space="preserve"> </v>
      </c>
      <c r="K65" t="str">
        <f>IF(WUBModular!D65="Não",WUBModular!C65, " ")</f>
        <v xml:space="preserve"> </v>
      </c>
    </row>
    <row r="66" spans="2:11" x14ac:dyDescent="0.25">
      <c r="B66" t="str">
        <v>Counterspell</v>
      </c>
      <c r="C66" t="str">
        <f>IF(TemurC!D66="Não",TemurC!C66, " ")</f>
        <v>Wilt</v>
      </c>
      <c r="F66" t="str">
        <v xml:space="preserve"> </v>
      </c>
      <c r="G66" t="str">
        <f>IF(WURFlicker!D66="Não",WURFlicker!C66, " ")</f>
        <v xml:space="preserve"> </v>
      </c>
      <c r="J66" t="str">
        <v xml:space="preserve"> </v>
      </c>
      <c r="K66" t="str">
        <f>IF(WUBModular!D66="Não",WUBModular!C66, " ")</f>
        <v xml:space="preserve"> </v>
      </c>
    </row>
    <row r="67" spans="2:11" x14ac:dyDescent="0.25">
      <c r="B67" t="str">
        <v>Coiling Oracle</v>
      </c>
      <c r="C67" t="str">
        <f>IF(TemurC!D67="Não",TemurC!C67, " ")</f>
        <v>Pulse of Murasa</v>
      </c>
      <c r="F67" t="str">
        <v xml:space="preserve"> </v>
      </c>
      <c r="G67" t="str">
        <f>IF(WURFlicker!D67="Não",WURFlicker!C67, " ")</f>
        <v>Cast into the Fire</v>
      </c>
      <c r="J67" t="str">
        <v xml:space="preserve"> </v>
      </c>
      <c r="K67" t="str">
        <f>IF(WUBModular!D67="Não",WUBModular!C67, " ")</f>
        <v xml:space="preserve"> </v>
      </c>
    </row>
    <row r="68" spans="2:11" x14ac:dyDescent="0.25">
      <c r="B68" t="str">
        <v>Coiling Oracle</v>
      </c>
      <c r="C68" t="str">
        <f>IF(TemurC!D68="Não",TemurC!C68, " ")</f>
        <v>Pulse of Murasa</v>
      </c>
      <c r="F68" t="str">
        <v xml:space="preserve"> </v>
      </c>
      <c r="G68" t="str">
        <f>IF(WURFlicker!D68="Não",WURFlicker!C68, " ")</f>
        <v xml:space="preserve"> </v>
      </c>
      <c r="J68" t="str">
        <v xml:space="preserve"> </v>
      </c>
      <c r="K68" t="str">
        <f>IF(WUBModular!D68="Não",WUBModular!C68, " ")</f>
        <v xml:space="preserve"> </v>
      </c>
    </row>
    <row r="69" spans="2:11" x14ac:dyDescent="0.25">
      <c r="B69" t="str">
        <v>Behold the Multiverse</v>
      </c>
      <c r="C69" t="str">
        <f>IF(TemurC!D69="Não",TemurC!C69, " ")</f>
        <v>Pulse of Murasa</v>
      </c>
      <c r="F69" t="str">
        <v xml:space="preserve"> </v>
      </c>
      <c r="G69" t="str">
        <f>IF(WURFlicker!D69="Não",WURFlicker!C69, " ")</f>
        <v xml:space="preserve"> </v>
      </c>
      <c r="J69" t="str">
        <v xml:space="preserve"> </v>
      </c>
      <c r="K69" t="str">
        <f>IF(WUBModular!D69="Não",WUBModular!C69, " ")</f>
        <v xml:space="preserve"> </v>
      </c>
    </row>
    <row r="70" spans="2:11" x14ac:dyDescent="0.25">
      <c r="B70" t="str">
        <v>Behold the Multiverse</v>
      </c>
      <c r="C70" t="str">
        <f>IF(TemurC!D70="Não",TemurC!C70, " ")</f>
        <v>Pulse of Murasa</v>
      </c>
      <c r="F70" t="str">
        <v xml:space="preserve"> </v>
      </c>
      <c r="G70" t="str">
        <f>IF(WURFlicker!D70="Não",WURFlicker!C70, " ")</f>
        <v xml:space="preserve"> </v>
      </c>
      <c r="J70" t="str">
        <v xml:space="preserve"> </v>
      </c>
      <c r="K70" t="str">
        <f>IF(WUBModular!D70="Não",WUBModular!C70, " ")</f>
        <v xml:space="preserve"> </v>
      </c>
    </row>
    <row r="71" spans="2:11" x14ac:dyDescent="0.25">
      <c r="B71" t="str">
        <v>Behold the Multiverse</v>
      </c>
      <c r="C71" t="str">
        <f>IF(TemurC!D71="Não",TemurC!C71, " ")</f>
        <v>Abrade</v>
      </c>
      <c r="F71" t="str">
        <v xml:space="preserve"> </v>
      </c>
      <c r="G71" t="str">
        <f>IF(WURFlicker!D71="Não",WURFlicker!C71, " ")</f>
        <v xml:space="preserve"> </v>
      </c>
      <c r="J71" t="str">
        <v xml:space="preserve"> </v>
      </c>
      <c r="K71" t="str">
        <f>IF(WUBModular!D71="Não",WUBModular!C71, " ")</f>
        <v xml:space="preserve"> </v>
      </c>
    </row>
    <row r="72" spans="2:11" x14ac:dyDescent="0.25">
      <c r="B72" t="str">
        <v>Abrade</v>
      </c>
      <c r="C72" t="str">
        <f>IF(TemurC!D72="Não",TemurC!C72, " ")</f>
        <v>Abrade</v>
      </c>
      <c r="F72" t="str">
        <v xml:space="preserve"> </v>
      </c>
      <c r="G72" t="str">
        <f>IF(WURFlicker!D72="Não",WURFlicker!C72, " ")</f>
        <v xml:space="preserve"> </v>
      </c>
      <c r="J72" t="str">
        <v xml:space="preserve"> </v>
      </c>
      <c r="K72" t="str">
        <f>IF(WUBModular!D72="Não",WUBModular!C72, " ")</f>
        <v xml:space="preserve"> </v>
      </c>
    </row>
    <row r="73" spans="2:11" x14ac:dyDescent="0.25">
      <c r="B73" t="str">
        <v>Abrade</v>
      </c>
      <c r="C73" t="str">
        <f>IF(TemurC!D73="Não",TemurC!C73, " ")</f>
        <v>Fiery Cannonade</v>
      </c>
      <c r="F73" t="str">
        <v xml:space="preserve"> </v>
      </c>
      <c r="G73" t="str">
        <f>IF(WURFlicker!D73="Não",WURFlicker!C73, " ")</f>
        <v xml:space="preserve"> </v>
      </c>
      <c r="J73" t="str">
        <v xml:space="preserve"> </v>
      </c>
      <c r="K73" t="str">
        <f>IF(WUBModular!D73="Não",WUBModular!C73, " ")</f>
        <v xml:space="preserve"> </v>
      </c>
    </row>
    <row r="74" spans="2:11" x14ac:dyDescent="0.25">
      <c r="B74" t="str">
        <v>Abrade</v>
      </c>
      <c r="C74" t="str">
        <f>IF(TemurC!D74="Não",TemurC!C74, " ")</f>
        <v>Fiery Cannonade</v>
      </c>
      <c r="F74" t="str">
        <v xml:space="preserve"> </v>
      </c>
      <c r="G74" t="str">
        <f>IF(WURFlicker!D74="Não",WURFlicker!C74, " ")</f>
        <v>Destroy Evil</v>
      </c>
      <c r="J74" t="str">
        <v xml:space="preserve"> </v>
      </c>
      <c r="K74" t="str">
        <f>IF(WUBModular!D74="Não",WUBModular!C74, " ")</f>
        <v xml:space="preserve"> </v>
      </c>
    </row>
    <row r="75" spans="2:11" x14ac:dyDescent="0.25">
      <c r="B75" t="str">
        <v>Abrade</v>
      </c>
      <c r="C75" t="str">
        <f>IF(TemurC!D75="Não",TemurC!C75, " ")</f>
        <v>Relic of Progenitus</v>
      </c>
      <c r="F75" t="str">
        <v xml:space="preserve"> </v>
      </c>
      <c r="G75" t="str">
        <f>IF(WURFlicker!D75="Não",WURFlicker!C75, " ")</f>
        <v>Destroy Evil</v>
      </c>
      <c r="J75" t="str">
        <v xml:space="preserve"> </v>
      </c>
      <c r="K75" t="str">
        <f>IF(WUBModular!D75="Não",WUBModular!C75, " ")</f>
        <v xml:space="preserve"> </v>
      </c>
    </row>
    <row r="76" spans="2:11" x14ac:dyDescent="0.25">
      <c r="B76" t="str">
        <v>Abrade</v>
      </c>
      <c r="C76" t="str">
        <f>IF(TemurC!D76="Não",TemurC!C76, " ")</f>
        <v>Relic of Progenitus</v>
      </c>
      <c r="F76" t="str">
        <v xml:space="preserve"> </v>
      </c>
      <c r="G76" t="str">
        <f>IF(WURFlicker!D76="Não",WURFlicker!C76, " ")</f>
        <v>Destroy Evil</v>
      </c>
      <c r="J76" t="str">
        <v xml:space="preserve"> </v>
      </c>
      <c r="K76" t="str">
        <f>IF(WUBModular!D76="Não",WUBModular!C76, " ")</f>
        <v xml:space="preserve"> </v>
      </c>
    </row>
    <row r="77" spans="2:11" x14ac:dyDescent="0.25">
      <c r="B77" t="str">
        <v>Abrade</v>
      </c>
      <c r="C77" t="str">
        <f>IF(TemurC!D77="Não",TemurC!C77, " ")</f>
        <v>Relic of Progenitus</v>
      </c>
      <c r="F77" t="str">
        <v xml:space="preserve"> </v>
      </c>
      <c r="G77" t="str">
        <f>IF(WURFlicker!D77="Não",WURFlicker!C77, " ")</f>
        <v xml:space="preserve"> </v>
      </c>
      <c r="J77" t="str">
        <v xml:space="preserve"> </v>
      </c>
      <c r="K77" t="str">
        <f>IF(WUBModular!D77="Não",WUBModular!C77, " ")</f>
        <v xml:space="preserve"> </v>
      </c>
    </row>
    <row r="78" spans="2:11" x14ac:dyDescent="0.25">
      <c r="B78" t="str">
        <v xml:space="preserve"> </v>
      </c>
      <c r="C78" t="str">
        <f>IF(TemurC!D78="Não",TemurC!C78, " ")</f>
        <v xml:space="preserve"> </v>
      </c>
      <c r="F78" t="str">
        <v xml:space="preserve"> </v>
      </c>
      <c r="G78" t="str">
        <f>IF(TemurC!H78="Não",TemurC!G78, " ")</f>
        <v xml:space="preserve"> </v>
      </c>
      <c r="J78" t="str">
        <v xml:space="preserve"> </v>
      </c>
      <c r="K78" t="str">
        <f>IF(TemurC!L78="Não",TemurC!K78, " ")</f>
        <v xml:space="preserve"> </v>
      </c>
    </row>
    <row r="79" spans="2:11" x14ac:dyDescent="0.25">
      <c r="B79" t="str">
        <v xml:space="preserve"> </v>
      </c>
      <c r="C79" t="str">
        <f>IF(TemurC!D79="Não",TemurC!C79, " ")</f>
        <v xml:space="preserve"> </v>
      </c>
      <c r="F79" t="str">
        <v xml:space="preserve"> </v>
      </c>
      <c r="G79" t="str">
        <f>IF(TemurC!H79="Não",TemurC!G79, " ")</f>
        <v xml:space="preserve"> </v>
      </c>
      <c r="J79" t="str">
        <v xml:space="preserve"> </v>
      </c>
      <c r="K79" t="str">
        <f>IF(TemurC!L79="Não",TemurC!K79, " ")</f>
        <v xml:space="preserve"> </v>
      </c>
    </row>
    <row r="80" spans="2:11" x14ac:dyDescent="0.25">
      <c r="B80" t="str">
        <v xml:space="preserve"> </v>
      </c>
      <c r="C80" t="str">
        <f>IF(TemurC!D80="Não",TemurC!C80, " ")</f>
        <v xml:space="preserve"> </v>
      </c>
      <c r="F80" t="str">
        <v xml:space="preserve"> </v>
      </c>
      <c r="G80" t="str">
        <f>IF(TemurC!H80="Não",TemurC!G80, " ")</f>
        <v xml:space="preserve"> </v>
      </c>
      <c r="J80" t="str">
        <v xml:space="preserve"> </v>
      </c>
      <c r="K80" t="str">
        <f>IF(TemurC!L80="Não",TemurC!K80, " ")</f>
        <v xml:space="preserve"> </v>
      </c>
    </row>
    <row r="81" spans="2:11" x14ac:dyDescent="0.25">
      <c r="B81" t="str">
        <v xml:space="preserve"> </v>
      </c>
      <c r="C81" t="str">
        <f>IF(TemurC!D81="Não",TemurC!C81, " ")</f>
        <v xml:space="preserve"> </v>
      </c>
      <c r="F81" t="str">
        <v xml:space="preserve"> </v>
      </c>
      <c r="G81" t="str">
        <f>IF(TemurC!H81="Não",TemurC!G81, " ")</f>
        <v xml:space="preserve"> </v>
      </c>
      <c r="J81" t="str">
        <v xml:space="preserve"> </v>
      </c>
      <c r="K81" t="str">
        <f>IF(TemurC!L81="Não",TemurC!K81, " ")</f>
        <v xml:space="preserve"> </v>
      </c>
    </row>
    <row r="82" spans="2:11" x14ac:dyDescent="0.25">
      <c r="B82" t="str">
        <v xml:space="preserve"> </v>
      </c>
      <c r="C82" t="str">
        <f>IF(TemurC!D82="Não",TemurC!C82, " ")</f>
        <v xml:space="preserve"> </v>
      </c>
      <c r="F82" t="str">
        <v xml:space="preserve"> </v>
      </c>
      <c r="G82" t="str">
        <f>IF(TemurC!H82="Não",TemurC!G82, " ")</f>
        <v xml:space="preserve"> </v>
      </c>
      <c r="J82" t="str">
        <v xml:space="preserve"> </v>
      </c>
      <c r="K82" t="str">
        <f>IF(TemurC!L82="Não",TemurC!K82, " ")</f>
        <v xml:space="preserve"> </v>
      </c>
    </row>
    <row r="83" spans="2:11" x14ac:dyDescent="0.25">
      <c r="B83" t="str">
        <v xml:space="preserve"> </v>
      </c>
      <c r="C83" t="str">
        <f>IF(TemurC!D83="Não",TemurC!C83, " ")</f>
        <v xml:space="preserve"> </v>
      </c>
      <c r="F83" t="str">
        <v xml:space="preserve"> </v>
      </c>
      <c r="G83" t="str">
        <f>IF(TemurC!H83="Não",TemurC!G83, " ")</f>
        <v xml:space="preserve"> </v>
      </c>
      <c r="J83" t="str">
        <v xml:space="preserve"> </v>
      </c>
      <c r="K83" t="str">
        <f>IF(TemurC!L83="Não",TemurC!K83, " ")</f>
        <v xml:space="preserve"> </v>
      </c>
    </row>
    <row r="84" spans="2:11" x14ac:dyDescent="0.25">
      <c r="B84" t="str">
        <v xml:space="preserve"> </v>
      </c>
      <c r="C84" t="str">
        <f>IF(TemurC!D84="Não",TemurC!C84, " ")</f>
        <v xml:space="preserve"> </v>
      </c>
      <c r="F84" t="str">
        <v xml:space="preserve"> </v>
      </c>
      <c r="G84" t="str">
        <f>IF(TemurC!H84="Não",TemurC!G84, " ")</f>
        <v xml:space="preserve"> </v>
      </c>
      <c r="J84" t="str">
        <v xml:space="preserve"> </v>
      </c>
      <c r="K84" t="str">
        <f>IF(TemurC!L84="Não",TemurC!K84, " ")</f>
        <v xml:space="preserve"> </v>
      </c>
    </row>
    <row r="85" spans="2:11" x14ac:dyDescent="0.25">
      <c r="B85" t="str">
        <v xml:space="preserve"> </v>
      </c>
      <c r="C85" t="str">
        <f>IF(TemurC!D85="Não",TemurC!C85, " ")</f>
        <v xml:space="preserve"> </v>
      </c>
      <c r="F85" t="str">
        <v xml:space="preserve"> </v>
      </c>
      <c r="G85" t="str">
        <f>IF(TemurC!H85="Não",TemurC!G85, " ")</f>
        <v xml:space="preserve"> </v>
      </c>
      <c r="J85" t="str">
        <v xml:space="preserve"> </v>
      </c>
      <c r="K85" t="str">
        <f>IF(TemurC!L85="Não",TemurC!K85, " ")</f>
        <v xml:space="preserve"> </v>
      </c>
    </row>
    <row r="86" spans="2:11" x14ac:dyDescent="0.25">
      <c r="B86" t="str">
        <v xml:space="preserve"> </v>
      </c>
      <c r="C86" t="str">
        <f>IF(TemurC!D86="Não",TemurC!C86, " ")</f>
        <v xml:space="preserve"> </v>
      </c>
      <c r="F86" t="str">
        <v xml:space="preserve"> </v>
      </c>
      <c r="G86" t="str">
        <f>IF(TemurC!H86="Não",TemurC!G86, " ")</f>
        <v xml:space="preserve"> </v>
      </c>
      <c r="J86" t="str">
        <v xml:space="preserve"> </v>
      </c>
      <c r="K86" t="str">
        <f>IF(TemurC!L86="Não",TemurC!K86, " ")</f>
        <v xml:space="preserve"> </v>
      </c>
    </row>
    <row r="87" spans="2:11" x14ac:dyDescent="0.25">
      <c r="C87" t="str">
        <f>IF(TemurC!D87="Não",TemurC!C87, " ")</f>
        <v xml:space="preserve"> </v>
      </c>
      <c r="G87" t="str">
        <f>IF(TemurC!H87="Não",TemurC!G87, " ")</f>
        <v xml:space="preserve"> </v>
      </c>
      <c r="K87" t="str">
        <f>IF(TemurC!L87="Não",TemurC!K87, " ")</f>
        <v xml:space="preserve"> </v>
      </c>
    </row>
    <row r="88" spans="2:11" x14ac:dyDescent="0.25">
      <c r="C88" t="str">
        <f>IF(TemurC!D88="Não",TemurC!C88, " ")</f>
        <v xml:space="preserve"> </v>
      </c>
      <c r="G88" t="str">
        <f>IF(TemurC!H88="Não",TemurC!G88, " ")</f>
        <v xml:space="preserve"> </v>
      </c>
      <c r="K88" t="str">
        <f>IF(TemurC!L88="Não",TemurC!K88, " ")</f>
        <v xml:space="preserve"> </v>
      </c>
    </row>
    <row r="89" spans="2:11" x14ac:dyDescent="0.25">
      <c r="C89" t="str">
        <f>IF(TemurC!D89="Não",TemurC!C89, " ")</f>
        <v xml:space="preserve"> </v>
      </c>
      <c r="G89" t="str">
        <f>IF(TemurC!H89="Não",TemurC!G89, " ")</f>
        <v xml:space="preserve"> </v>
      </c>
      <c r="K89" t="str">
        <f>IF(TemurC!L89="Não",TemurC!K89, " ")</f>
        <v xml:space="preserve"> </v>
      </c>
    </row>
    <row r="90" spans="2:11" x14ac:dyDescent="0.25">
      <c r="C90" t="str">
        <f>IF(TemurC!D90="Não",TemurC!C90, " ")</f>
        <v xml:space="preserve"> </v>
      </c>
      <c r="G90" t="str">
        <f>IF(TemurC!H90="Não",TemurC!G90, " ")</f>
        <v xml:space="preserve"> </v>
      </c>
      <c r="K90" t="str">
        <f>IF(TemurC!L90="Não",TemurC!K90, " ")</f>
        <v xml:space="preserve"> </v>
      </c>
    </row>
    <row r="91" spans="2:11" x14ac:dyDescent="0.25">
      <c r="C91" t="str">
        <f>IF(TemurC!D91="Não",TemurC!C91, " ")</f>
        <v xml:space="preserve"> </v>
      </c>
      <c r="G91" t="str">
        <f>IF(TemurC!H91="Não",TemurC!G91, " ")</f>
        <v xml:space="preserve"> </v>
      </c>
      <c r="K91" t="str">
        <f>IF(TemurC!L91="Não",TemurC!K91, " ")</f>
        <v xml:space="preserve"> </v>
      </c>
    </row>
    <row r="92" spans="2:11" x14ac:dyDescent="0.25">
      <c r="C92" t="str">
        <f>IF(TemurC!D92="Não",TemurC!C92, " ")</f>
        <v xml:space="preserve"> </v>
      </c>
      <c r="G92" t="str">
        <f>IF(TemurC!H92="Não",TemurC!G92, " ")</f>
        <v xml:space="preserve"> </v>
      </c>
      <c r="K92" t="str">
        <f>IF(TemurC!L92="Não",TemurC!K92, " ")</f>
        <v xml:space="preserve"> </v>
      </c>
    </row>
    <row r="93" spans="2:11" x14ac:dyDescent="0.25">
      <c r="C93" t="str">
        <f>IF(TemurC!D93="Não",TemurC!C93, " ")</f>
        <v xml:space="preserve"> </v>
      </c>
      <c r="G93" t="str">
        <f>IF(TemurC!H93="Não",TemurC!G93, " ")</f>
        <v xml:space="preserve"> </v>
      </c>
      <c r="K93" t="str">
        <f>IF(TemurC!L93="Não",TemurC!K93, " ")</f>
        <v xml:space="preserve"> </v>
      </c>
    </row>
    <row r="94" spans="2:11" x14ac:dyDescent="0.25">
      <c r="C94" t="str">
        <f>IF(TemurC!D94="Não",TemurC!C94, " ")</f>
        <v xml:space="preserve"> </v>
      </c>
      <c r="G94" t="str">
        <f>IF(TemurC!H94="Não",TemurC!G94, " ")</f>
        <v xml:space="preserve"> </v>
      </c>
      <c r="K94" t="str">
        <f>IF(TemurC!L94="Não",TemurC!K94, " ")</f>
        <v xml:space="preserve"> </v>
      </c>
    </row>
    <row r="95" spans="2:11" x14ac:dyDescent="0.25">
      <c r="C95" t="str">
        <f>IF(TemurC!D95="Não",TemurC!C95, " ")</f>
        <v xml:space="preserve"> </v>
      </c>
      <c r="G95" t="str">
        <f>IF(TemurC!H95="Não",TemurC!G95, " ")</f>
        <v xml:space="preserve"> </v>
      </c>
      <c r="K95" t="str">
        <f>IF(TemurC!L95="Não",TemurC!K95, " ")</f>
        <v xml:space="preserve"> </v>
      </c>
    </row>
    <row r="96" spans="2:11" x14ac:dyDescent="0.25">
      <c r="C96" t="str">
        <f>IF(TemurC!D96="Não",TemurC!C96, " ")</f>
        <v xml:space="preserve"> </v>
      </c>
      <c r="G96" t="str">
        <f>IF(TemurC!H96="Não",TemurC!G96, " ")</f>
        <v xml:space="preserve"> </v>
      </c>
      <c r="K96" t="str">
        <f>IF(TemurC!L96="Não",TemurC!K96, " ")</f>
        <v xml:space="preserve"> </v>
      </c>
    </row>
    <row r="97" spans="3:11" x14ac:dyDescent="0.25">
      <c r="C97" t="str">
        <f>IF(TemurC!D97="Não",TemurC!C97, " ")</f>
        <v xml:space="preserve"> </v>
      </c>
      <c r="G97" t="str">
        <f>IF(TemurC!H97="Não",TemurC!G97, " ")</f>
        <v xml:space="preserve"> </v>
      </c>
      <c r="K97" t="str">
        <f>IF(TemurC!L97="Não",TemurC!K97, " ")</f>
        <v xml:space="preserve"> </v>
      </c>
    </row>
    <row r="98" spans="3:11" x14ac:dyDescent="0.25">
      <c r="C98" t="str">
        <f>IF(TemurC!D98="Não",TemurC!C98, " ")</f>
        <v xml:space="preserve"> </v>
      </c>
      <c r="G98" t="str">
        <f>IF(TemurC!H98="Não",TemurC!G98, " ")</f>
        <v xml:space="preserve"> </v>
      </c>
      <c r="K98" t="str">
        <f>IF(TemurC!L98="Não",TemurC!K98, " ")</f>
        <v xml:space="preserve"> </v>
      </c>
    </row>
    <row r="99" spans="3:11" x14ac:dyDescent="0.25">
      <c r="C99" t="str">
        <f>IF(TemurC!D99="Não",TemurC!C99, " ")</f>
        <v xml:space="preserve"> </v>
      </c>
      <c r="G99" t="str">
        <f>IF(TemurC!H99="Não",TemurC!G99, " ")</f>
        <v xml:space="preserve"> </v>
      </c>
      <c r="K99" t="str">
        <f>IF(TemurC!L99="Não",TemurC!K99, " ")</f>
        <v xml:space="preserve"> </v>
      </c>
    </row>
    <row r="100" spans="3:11" x14ac:dyDescent="0.25">
      <c r="C100" t="str">
        <f>IF(TemurC!D100="Não",TemurC!C100, " ")</f>
        <v xml:space="preserve"> </v>
      </c>
      <c r="G100" t="str">
        <f>IF(TemurC!H100="Não",TemurC!G100, " ")</f>
        <v xml:space="preserve"> </v>
      </c>
      <c r="K100" t="str">
        <f>IF(TemurC!L100="Não",TemurC!K100, " ")</f>
        <v xml:space="preserve"> </v>
      </c>
    </row>
    <row r="101" spans="3:11" x14ac:dyDescent="0.25">
      <c r="C101" t="str">
        <f>IF(TemurC!D101="Não",TemurC!C101, " ")</f>
        <v xml:space="preserve"> </v>
      </c>
      <c r="G101" t="str">
        <f>IF(TemurC!H101="Não",TemurC!G101, " ")</f>
        <v xml:space="preserve"> </v>
      </c>
      <c r="K101" t="str">
        <f>IF(TemurC!L101="Não",TemurC!K101, " ")</f>
        <v xml:space="preserve"> </v>
      </c>
    </row>
    <row r="102" spans="3:11" x14ac:dyDescent="0.25">
      <c r="C102" t="str">
        <f>IF(TemurC!D102="Não",TemurC!C102, " ")</f>
        <v xml:space="preserve"> </v>
      </c>
      <c r="G102" t="str">
        <f>IF(TemurC!H102="Não",TemurC!G102, " ")</f>
        <v xml:space="preserve"> </v>
      </c>
      <c r="K102" t="str">
        <f>IF(TemurC!L102="Não",TemurC!K102, " ")</f>
        <v xml:space="preserve"> </v>
      </c>
    </row>
    <row r="103" spans="3:11" x14ac:dyDescent="0.25">
      <c r="C103" t="str">
        <f>IF(TemurC!D103="Não",TemurC!C103, " ")</f>
        <v xml:space="preserve"> </v>
      </c>
      <c r="G103" t="str">
        <f>IF(TemurC!H103="Não",TemurC!G103, " ")</f>
        <v xml:space="preserve"> </v>
      </c>
      <c r="K103" t="str">
        <f>IF(TemurC!L103="Não",TemurC!K103, " ")</f>
        <v xml:space="preserve"> </v>
      </c>
    </row>
    <row r="104" spans="3:11" x14ac:dyDescent="0.25">
      <c r="C104" t="str">
        <f>IF(TemurC!D104="Não",TemurC!C104, " ")</f>
        <v xml:space="preserve"> </v>
      </c>
      <c r="G104" t="str">
        <f>IF(TemurC!H104="Não",TemurC!G104, " ")</f>
        <v xml:space="preserve"> </v>
      </c>
      <c r="K104" t="str">
        <f>IF(TemurC!L104="Não",TemurC!K104, " ")</f>
        <v xml:space="preserve"> </v>
      </c>
    </row>
    <row r="105" spans="3:11" x14ac:dyDescent="0.25">
      <c r="C105" t="str">
        <f>IF(TemurC!D105="Não",TemurC!C105, " ")</f>
        <v xml:space="preserve"> </v>
      </c>
      <c r="G105" t="str">
        <f>IF(TemurC!H105="Não",TemurC!G105, " ")</f>
        <v xml:space="preserve"> </v>
      </c>
      <c r="K105" t="str">
        <f>IF(TemurC!L105="Não",TemurC!K105, " ")</f>
        <v xml:space="preserve"> </v>
      </c>
    </row>
    <row r="106" spans="3:11" x14ac:dyDescent="0.25">
      <c r="C106" t="str">
        <f>IF(TemurC!D106="Não",TemurC!C106, " ")</f>
        <v xml:space="preserve"> </v>
      </c>
      <c r="G106" t="str">
        <f>IF(TemurC!H106="Não",TemurC!G106, " ")</f>
        <v xml:space="preserve"> </v>
      </c>
      <c r="K106" t="str">
        <f>IF(TemurC!L106="Não",TemurC!K106, " ")</f>
        <v xml:space="preserve"> </v>
      </c>
    </row>
    <row r="107" spans="3:11" x14ac:dyDescent="0.25">
      <c r="C107" t="str">
        <f>IF(TemurC!D107="Não",TemurC!C107, " ")</f>
        <v xml:space="preserve"> </v>
      </c>
      <c r="G107" t="str">
        <f>IF(TemurC!H107="Não",TemurC!G107, " ")</f>
        <v xml:space="preserve"> </v>
      </c>
      <c r="K107" t="str">
        <f>IF(TemurC!L107="Não",TemurC!K107, " ")</f>
        <v xml:space="preserve"> </v>
      </c>
    </row>
    <row r="108" spans="3:11" x14ac:dyDescent="0.25">
      <c r="C108" t="str">
        <f>IF(TemurC!D108="Não",TemurC!C108, " ")</f>
        <v xml:space="preserve"> </v>
      </c>
      <c r="G108" t="str">
        <f>IF(TemurC!H108="Não",TemurC!G108, " ")</f>
        <v xml:space="preserve"> </v>
      </c>
      <c r="K108" t="str">
        <f>IF(TemurC!L108="Não",TemurC!K108, " ")</f>
        <v xml:space="preserve"> </v>
      </c>
    </row>
    <row r="109" spans="3:11" x14ac:dyDescent="0.25">
      <c r="C109" t="str">
        <f>IF(TemurC!D109="Não",TemurC!C109, " ")</f>
        <v xml:space="preserve"> </v>
      </c>
      <c r="G109" t="str">
        <f>IF(TemurC!H109="Não",TemurC!G109, " ")</f>
        <v xml:space="preserve"> </v>
      </c>
      <c r="K109" t="str">
        <f>IF(TemurC!L109="Não",TemurC!K109, " ")</f>
        <v xml:space="preserve"> </v>
      </c>
    </row>
    <row r="110" spans="3:11" x14ac:dyDescent="0.25">
      <c r="C110" t="str">
        <f>IF(TemurC!D110="Não",TemurC!C110, " ")</f>
        <v xml:space="preserve"> </v>
      </c>
      <c r="G110" t="str">
        <f>IF(TemurC!H110="Não",TemurC!G110, " ")</f>
        <v xml:space="preserve"> </v>
      </c>
      <c r="K110" t="str">
        <f>IF(TemurC!L110="Não",TemurC!K110, " ")</f>
        <v xml:space="preserve"> </v>
      </c>
    </row>
    <row r="111" spans="3:11" x14ac:dyDescent="0.25">
      <c r="C111" t="str">
        <f>IF(TemurC!D111="Não",TemurC!C111, " ")</f>
        <v xml:space="preserve"> </v>
      </c>
      <c r="G111" t="str">
        <f>IF(TemurC!H111="Não",TemurC!G111, " ")</f>
        <v xml:space="preserve"> </v>
      </c>
      <c r="K111" t="str">
        <f>IF(TemurC!L111="Não",TemurC!K111, " ")</f>
        <v xml:space="preserve"> </v>
      </c>
    </row>
    <row r="112" spans="3:11" x14ac:dyDescent="0.25">
      <c r="C112" t="str">
        <f>IF(TemurC!D112="Não",TemurC!C112, " ")</f>
        <v xml:space="preserve"> </v>
      </c>
      <c r="G112" t="str">
        <f>IF(TemurC!H112="Não",TemurC!G112, " ")</f>
        <v xml:space="preserve"> </v>
      </c>
      <c r="K112" t="str">
        <f>IF(TemurC!L112="Não",TemurC!K112, " ")</f>
        <v xml:space="preserve"> </v>
      </c>
    </row>
    <row r="113" spans="3:11" x14ac:dyDescent="0.25">
      <c r="C113" t="str">
        <f>IF(TemurC!D113="Não",TemurC!C113, " ")</f>
        <v xml:space="preserve"> </v>
      </c>
      <c r="G113" t="str">
        <f>IF(TemurC!H113="Não",TemurC!G113, " ")</f>
        <v xml:space="preserve"> </v>
      </c>
      <c r="K113" t="str">
        <f>IF(TemurC!L113="Não",TemurC!K113, " ")</f>
        <v xml:space="preserve"> </v>
      </c>
    </row>
    <row r="114" spans="3:11" x14ac:dyDescent="0.25">
      <c r="C114" t="str">
        <f>IF(TemurC!D114="Não",TemurC!C114, " ")</f>
        <v xml:space="preserve"> </v>
      </c>
      <c r="G114" t="str">
        <f>IF(TemurC!H114="Não",TemurC!G114, " ")</f>
        <v xml:space="preserve"> </v>
      </c>
      <c r="K114" t="str">
        <f>IF(TemurC!L114="Não",TemurC!K114, " ")</f>
        <v xml:space="preserve"> </v>
      </c>
    </row>
    <row r="115" spans="3:11" x14ac:dyDescent="0.25">
      <c r="C115" t="str">
        <f>IF(TemurC!D115="Não",TemurC!C115, " ")</f>
        <v xml:space="preserve"> </v>
      </c>
      <c r="G115" t="str">
        <f>IF(TemurC!H115="Não",TemurC!G115, " ")</f>
        <v xml:space="preserve"> </v>
      </c>
      <c r="K115" t="str">
        <f>IF(TemurC!L115="Não",TemurC!K115, " ")</f>
        <v xml:space="preserve"> </v>
      </c>
    </row>
    <row r="116" spans="3:11" x14ac:dyDescent="0.25">
      <c r="C116" t="str">
        <f>IF(TemurC!D116="Não",TemurC!C116, " ")</f>
        <v xml:space="preserve"> </v>
      </c>
      <c r="G116" t="str">
        <f>IF(TemurC!H116="Não",TemurC!G116, " ")</f>
        <v xml:space="preserve"> </v>
      </c>
      <c r="K116" t="str">
        <f>IF(TemurC!L116="Não",TemurC!K116, " ")</f>
        <v xml:space="preserve"> </v>
      </c>
    </row>
    <row r="117" spans="3:11" x14ac:dyDescent="0.25">
      <c r="C117" t="str">
        <f>IF(TemurC!D117="Não",TemurC!C117, " ")</f>
        <v xml:space="preserve"> </v>
      </c>
      <c r="G117" t="str">
        <f>IF(TemurC!H117="Não",TemurC!G117, " ")</f>
        <v xml:space="preserve"> </v>
      </c>
      <c r="K117" t="str">
        <f>IF(TemurC!L117="Não",TemurC!K117, " ")</f>
        <v xml:space="preserve"> </v>
      </c>
    </row>
    <row r="118" spans="3:11" x14ac:dyDescent="0.25">
      <c r="C118" t="str">
        <f>IF(TemurC!D118="Não",TemurC!C118, " ")</f>
        <v xml:space="preserve"> </v>
      </c>
      <c r="G118" t="str">
        <f>IF(TemurC!H118="Não",TemurC!G118, " ")</f>
        <v xml:space="preserve"> </v>
      </c>
      <c r="K118" t="str">
        <f>IF(TemurC!L118="Não",TemurC!K118, " ")</f>
        <v xml:space="preserve"> </v>
      </c>
    </row>
    <row r="119" spans="3:11" x14ac:dyDescent="0.25">
      <c r="C119" t="str">
        <f>IF(TemurC!D119="Não",TemurC!C119, " ")</f>
        <v xml:space="preserve"> </v>
      </c>
      <c r="G119" t="str">
        <f>IF(TemurC!H119="Não",TemurC!G119, " ")</f>
        <v xml:space="preserve"> </v>
      </c>
      <c r="K119" t="str">
        <f>IF(TemurC!L119="Não",TemurC!K119, " ")</f>
        <v xml:space="preserve"> </v>
      </c>
    </row>
    <row r="120" spans="3:11" x14ac:dyDescent="0.25">
      <c r="C120" t="str">
        <f>IF(TemurC!D120="Não",TemurC!C120, " ")</f>
        <v xml:space="preserve"> </v>
      </c>
      <c r="G120" t="str">
        <f>IF(TemurC!H120="Não",TemurC!G120, " ")</f>
        <v xml:space="preserve"> </v>
      </c>
      <c r="K120" t="str">
        <f>IF(TemurC!L120="Não",TemurC!K120, " ")</f>
        <v xml:space="preserve"> </v>
      </c>
    </row>
    <row r="121" spans="3:11" x14ac:dyDescent="0.25">
      <c r="C121" t="str">
        <f>IF(TemurC!D121="Não",TemurC!C121, " ")</f>
        <v xml:space="preserve"> </v>
      </c>
      <c r="G121" t="str">
        <f>IF(TemurC!H121="Não",TemurC!G121, " ")</f>
        <v xml:space="preserve"> </v>
      </c>
      <c r="K121" t="str">
        <f>IF(TemurC!L121="Não",TemurC!K121, " ")</f>
        <v xml:space="preserve"> </v>
      </c>
    </row>
    <row r="122" spans="3:11" x14ac:dyDescent="0.25">
      <c r="C122" t="str">
        <f>IF(TemurC!D122="Não",TemurC!C122, " ")</f>
        <v xml:space="preserve"> </v>
      </c>
      <c r="G122" t="str">
        <f>IF(TemurC!H122="Não",TemurC!G122, " ")</f>
        <v xml:space="preserve"> </v>
      </c>
      <c r="K122" t="str">
        <f>IF(TemurC!L122="Não",TemurC!K122, " ")</f>
        <v xml:space="preserve"> </v>
      </c>
    </row>
    <row r="123" spans="3:11" x14ac:dyDescent="0.25">
      <c r="C123" t="str">
        <f>IF(TemurC!D123="Não",TemurC!C123, " ")</f>
        <v xml:space="preserve"> </v>
      </c>
      <c r="G123" t="str">
        <f>IF(TemurC!H123="Não",TemurC!G123, " ")</f>
        <v xml:space="preserve"> </v>
      </c>
      <c r="K123" t="str">
        <f>IF(TemurC!L123="Não",TemurC!K123, " ")</f>
        <v xml:space="preserve"> </v>
      </c>
    </row>
    <row r="124" spans="3:11" x14ac:dyDescent="0.25">
      <c r="C124" t="str">
        <f>IF(TemurC!D124="Não",TemurC!C124, " ")</f>
        <v xml:space="preserve"> </v>
      </c>
      <c r="G124" t="str">
        <f>IF(TemurC!H124="Não",TemurC!G124, " ")</f>
        <v xml:space="preserve"> </v>
      </c>
      <c r="K124" t="str">
        <f>IF(TemurC!L124="Não",TemurC!K124, " ")</f>
        <v xml:space="preserve"> </v>
      </c>
    </row>
    <row r="125" spans="3:11" x14ac:dyDescent="0.25">
      <c r="C125" t="str">
        <f>IF(TemurC!D125="Não",TemurC!C125, " ")</f>
        <v xml:space="preserve"> </v>
      </c>
      <c r="G125" t="str">
        <f>IF(TemurC!H125="Não",TemurC!G125, " ")</f>
        <v xml:space="preserve"> </v>
      </c>
      <c r="K125" t="str">
        <f>IF(TemurC!L125="Não",TemurC!K125, " ")</f>
        <v xml:space="preserve"> </v>
      </c>
    </row>
    <row r="126" spans="3:11" x14ac:dyDescent="0.25">
      <c r="C126" t="str">
        <f>IF(TemurC!D126="Não",TemurC!C126, " ")</f>
        <v xml:space="preserve"> </v>
      </c>
      <c r="G126" t="str">
        <f>IF(TemurC!H126="Não",TemurC!G126, " ")</f>
        <v xml:space="preserve"> </v>
      </c>
      <c r="K126" t="str">
        <f>IF(TemurC!L126="Não",TemurC!K126, " ")</f>
        <v xml:space="preserve"> </v>
      </c>
    </row>
    <row r="127" spans="3:11" x14ac:dyDescent="0.25">
      <c r="C127" t="str">
        <f>IF(TemurC!D127="Não",TemurC!C127, " ")</f>
        <v xml:space="preserve"> </v>
      </c>
      <c r="G127" t="str">
        <f>IF(TemurC!H127="Não",TemurC!G127, " ")</f>
        <v xml:space="preserve"> </v>
      </c>
      <c r="K127" t="str">
        <f>IF(TemurC!L127="Não",TemurC!K127, " ")</f>
        <v xml:space="preserve"> </v>
      </c>
    </row>
    <row r="128" spans="3:11" x14ac:dyDescent="0.25">
      <c r="C128" t="str">
        <f>IF(TemurC!D128="Não",TemurC!C128, " ")</f>
        <v xml:space="preserve"> </v>
      </c>
      <c r="G128" t="str">
        <f>IF(TemurC!H128="Não",TemurC!G128, " ")</f>
        <v xml:space="preserve"> </v>
      </c>
      <c r="K128" t="str">
        <f>IF(TemurC!L128="Não",TemurC!K128, " ")</f>
        <v xml:space="preserve"> </v>
      </c>
    </row>
    <row r="129" spans="3:11" x14ac:dyDescent="0.25">
      <c r="C129" t="str">
        <f>IF(TemurC!D129="Não",TemurC!C129, " ")</f>
        <v xml:space="preserve"> </v>
      </c>
      <c r="G129" t="str">
        <f>IF(TemurC!H129="Não",TemurC!G129, " ")</f>
        <v xml:space="preserve"> </v>
      </c>
      <c r="K129" t="str">
        <f>IF(TemurC!L129="Não",TemurC!K129, " ")</f>
        <v xml:space="preserve"> </v>
      </c>
    </row>
    <row r="130" spans="3:11" x14ac:dyDescent="0.25">
      <c r="C130" t="str">
        <f>IF(TemurC!D130="Não",TemurC!C130, " ")</f>
        <v xml:space="preserve"> </v>
      </c>
      <c r="G130" t="str">
        <f>IF(TemurC!H130="Não",TemurC!G130, " ")</f>
        <v xml:space="preserve"> </v>
      </c>
      <c r="K130" t="str">
        <f>IF(TemurC!L130="Não",TemurC!K130, " ")</f>
        <v xml:space="preserve"> </v>
      </c>
    </row>
    <row r="131" spans="3:11" x14ac:dyDescent="0.25">
      <c r="C131" t="str">
        <f>IF(TemurC!D131="Não",TemurC!C131, " ")</f>
        <v xml:space="preserve"> </v>
      </c>
      <c r="G131" t="str">
        <f>IF(TemurC!H131="Não",TemurC!G131, " ")</f>
        <v xml:space="preserve"> </v>
      </c>
      <c r="K131" t="str">
        <f>IF(TemurC!L131="Não",TemurC!K131, " ")</f>
        <v xml:space="preserve"> </v>
      </c>
    </row>
    <row r="132" spans="3:11" x14ac:dyDescent="0.25">
      <c r="C132" t="str">
        <f>IF(TemurC!D132="Não",TemurC!C132, " ")</f>
        <v xml:space="preserve"> </v>
      </c>
      <c r="G132" t="str">
        <f>IF(TemurC!H132="Não",TemurC!G132, " ")</f>
        <v xml:space="preserve"> </v>
      </c>
      <c r="K132" t="str">
        <f>IF(TemurC!L132="Não",TemurC!K132, " ")</f>
        <v xml:space="preserve"> </v>
      </c>
    </row>
    <row r="133" spans="3:11" x14ac:dyDescent="0.25">
      <c r="C133" t="str">
        <f>IF(TemurC!D133="Não",TemurC!C133, " ")</f>
        <v xml:space="preserve"> </v>
      </c>
      <c r="G133" t="str">
        <f>IF(TemurC!H133="Não",TemurC!G133, " ")</f>
        <v xml:space="preserve"> </v>
      </c>
      <c r="K133" t="str">
        <f>IF(TemurC!L133="Não",TemurC!K133, " ")</f>
        <v xml:space="preserve"> </v>
      </c>
    </row>
    <row r="134" spans="3:11" x14ac:dyDescent="0.25">
      <c r="C134" t="str">
        <f>IF(TemurC!D134="Não",TemurC!C134, " ")</f>
        <v xml:space="preserve"> </v>
      </c>
      <c r="G134" t="str">
        <f>IF(TemurC!H134="Não",TemurC!G134, " ")</f>
        <v xml:space="preserve"> </v>
      </c>
      <c r="K134" t="str">
        <f>IF(TemurC!L134="Não",TemurC!K134, " ")</f>
        <v xml:space="preserve"> </v>
      </c>
    </row>
    <row r="135" spans="3:11" x14ac:dyDescent="0.25">
      <c r="C135" t="str">
        <f>IF(TemurC!D135="Não",TemurC!C135, " ")</f>
        <v xml:space="preserve"> </v>
      </c>
      <c r="G135" t="str">
        <f>IF(TemurC!H135="Não",TemurC!G135, " ")</f>
        <v xml:space="preserve"> </v>
      </c>
      <c r="K135" t="str">
        <f>IF(TemurC!L135="Não",TemurC!K135, " ")</f>
        <v xml:space="preserve"> </v>
      </c>
    </row>
    <row r="136" spans="3:11" x14ac:dyDescent="0.25">
      <c r="C136" t="str">
        <f>IF(TemurC!D136="Não",TemurC!C136, " ")</f>
        <v xml:space="preserve"> </v>
      </c>
      <c r="G136" t="str">
        <f>IF(TemurC!H136="Não",TemurC!G136, " ")</f>
        <v xml:space="preserve"> </v>
      </c>
      <c r="K136" t="str">
        <f>IF(TemurC!L136="Não",TemurC!K136, " ")</f>
        <v xml:space="preserve"> </v>
      </c>
    </row>
    <row r="137" spans="3:11" x14ac:dyDescent="0.25">
      <c r="C137" t="str">
        <f>IF(TemurC!D137="Não",TemurC!C137, " ")</f>
        <v xml:space="preserve"> </v>
      </c>
      <c r="G137" t="str">
        <f>IF(TemurC!H137="Não",TemurC!G137, " ")</f>
        <v xml:space="preserve"> </v>
      </c>
      <c r="K137" t="str">
        <f>IF(TemurC!L137="Não",TemurC!K137, " ")</f>
        <v xml:space="preserve"> </v>
      </c>
    </row>
    <row r="138" spans="3:11" x14ac:dyDescent="0.25">
      <c r="C138" t="str">
        <f>IF(TemurC!D138="Não",TemurC!C138, " ")</f>
        <v xml:space="preserve"> </v>
      </c>
      <c r="G138" t="str">
        <f>IF(TemurC!H138="Não",TemurC!G138, " ")</f>
        <v xml:space="preserve"> </v>
      </c>
      <c r="K138" t="str">
        <f>IF(TemurC!L138="Não",TemurC!K138, " ")</f>
        <v xml:space="preserve"> </v>
      </c>
    </row>
    <row r="139" spans="3:11" x14ac:dyDescent="0.25">
      <c r="C139" t="str">
        <f>IF(TemurC!D139="Não",TemurC!C139, " ")</f>
        <v xml:space="preserve"> </v>
      </c>
      <c r="G139" t="str">
        <f>IF(TemurC!H139="Não",TemurC!G139, " ")</f>
        <v xml:space="preserve"> </v>
      </c>
      <c r="K139" t="str">
        <f>IF(TemurC!L139="Não",TemurC!K139, " ")</f>
        <v xml:space="preserve"> </v>
      </c>
    </row>
    <row r="140" spans="3:11" x14ac:dyDescent="0.25">
      <c r="C140" t="str">
        <f>IF(TemurC!D140="Não",TemurC!C140, " ")</f>
        <v xml:space="preserve"> </v>
      </c>
      <c r="G140" t="str">
        <f>IF(TemurC!H140="Não",TemurC!G140, " ")</f>
        <v xml:space="preserve"> </v>
      </c>
      <c r="K140" t="str">
        <f>IF(TemurC!L140="Não",TemurC!K140, " ")</f>
        <v xml:space="preserve"> </v>
      </c>
    </row>
    <row r="141" spans="3:11" x14ac:dyDescent="0.25">
      <c r="C141" t="str">
        <f>IF(TemurC!D141="Não",TemurC!C141, " ")</f>
        <v xml:space="preserve"> </v>
      </c>
      <c r="G141" t="str">
        <f>IF(TemurC!H141="Não",TemurC!G141, " ")</f>
        <v xml:space="preserve"> </v>
      </c>
      <c r="K141" t="str">
        <f>IF(TemurC!L141="Não",TemurC!K141, " ")</f>
        <v xml:space="preserve"> </v>
      </c>
    </row>
    <row r="142" spans="3:11" x14ac:dyDescent="0.25">
      <c r="C142" t="str">
        <f>IF(TemurC!D142="Não",TemurC!C142, " ")</f>
        <v xml:space="preserve"> </v>
      </c>
      <c r="G142" t="str">
        <f>IF(TemurC!H142="Não",TemurC!G142, " ")</f>
        <v xml:space="preserve"> </v>
      </c>
      <c r="K142" t="str">
        <f>IF(TemurC!L142="Não",TemurC!K142, " ")</f>
        <v xml:space="preserve"> </v>
      </c>
    </row>
    <row r="143" spans="3:11" x14ac:dyDescent="0.25">
      <c r="C143" t="str">
        <f>IF(TemurC!D143="Não",TemurC!C143, " ")</f>
        <v xml:space="preserve"> </v>
      </c>
      <c r="G143" t="str">
        <f>IF(TemurC!H143="Não",TemurC!G143, " ")</f>
        <v xml:space="preserve"> </v>
      </c>
      <c r="K143" t="str">
        <f>IF(TemurC!L143="Não",TemurC!K143, " ")</f>
        <v xml:space="preserve"> </v>
      </c>
    </row>
  </sheetData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543C-B334-4041-ADD5-0CA0CB9E4A63}">
  <dimension ref="A1:G100"/>
  <sheetViews>
    <sheetView workbookViewId="0">
      <selection activeCell="E56" sqref="E56:F78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129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B3" t="s">
        <v>68</v>
      </c>
      <c r="C3" t="s">
        <v>68</v>
      </c>
      <c r="D3" t="str">
        <f>IF(B3=C3, "Sim", "Não")</f>
        <v>Sim</v>
      </c>
      <c r="F3" s="4" t="s">
        <v>12</v>
      </c>
      <c r="G3" s="3">
        <f>COUNTIF(D3:D105,"Não")</f>
        <v>17</v>
      </c>
    </row>
    <row r="4" spans="1:7" x14ac:dyDescent="0.25">
      <c r="A4" t="s">
        <v>1</v>
      </c>
      <c r="B4" t="s">
        <v>68</v>
      </c>
      <c r="C4" t="s">
        <v>68</v>
      </c>
      <c r="D4" t="str">
        <f t="shared" ref="D4:D67" si="0">IF(B4=C4, "Sim", "Não")</f>
        <v>Sim</v>
      </c>
      <c r="F4" s="4" t="s">
        <v>13</v>
      </c>
      <c r="G4" s="3">
        <f>SUM(G7:G25)</f>
        <v>75</v>
      </c>
    </row>
    <row r="5" spans="1:7" x14ac:dyDescent="0.25">
      <c r="A5" t="s">
        <v>1</v>
      </c>
      <c r="B5" t="s">
        <v>68</v>
      </c>
      <c r="C5" t="s">
        <v>68</v>
      </c>
      <c r="D5" t="str">
        <f t="shared" si="0"/>
        <v>Sim</v>
      </c>
    </row>
    <row r="6" spans="1:7" x14ac:dyDescent="0.25">
      <c r="A6" t="s">
        <v>1</v>
      </c>
      <c r="B6" t="s">
        <v>68</v>
      </c>
      <c r="C6" t="s">
        <v>68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B7" t="s">
        <v>93</v>
      </c>
      <c r="C7" t="s">
        <v>93</v>
      </c>
      <c r="D7" t="str">
        <f t="shared" si="0"/>
        <v>Sim</v>
      </c>
      <c r="F7" s="7" t="s">
        <v>1</v>
      </c>
      <c r="G7" s="2">
        <f>COUNTIF(A:A,F7)</f>
        <v>21</v>
      </c>
    </row>
    <row r="8" spans="1:7" x14ac:dyDescent="0.25">
      <c r="A8" t="s">
        <v>1</v>
      </c>
      <c r="B8" t="s">
        <v>93</v>
      </c>
      <c r="C8" t="s">
        <v>93</v>
      </c>
      <c r="D8" t="str">
        <f t="shared" si="0"/>
        <v>Sim</v>
      </c>
      <c r="F8" s="7" t="s">
        <v>20</v>
      </c>
      <c r="G8" s="2">
        <f t="shared" ref="G8:G12" si="1">COUNTIF(A:A,F8)</f>
        <v>20</v>
      </c>
    </row>
    <row r="9" spans="1:7" x14ac:dyDescent="0.25">
      <c r="A9" t="s">
        <v>1</v>
      </c>
      <c r="B9" t="s">
        <v>93</v>
      </c>
      <c r="C9" t="s">
        <v>93</v>
      </c>
      <c r="D9" t="str">
        <f t="shared" si="0"/>
        <v>Sim</v>
      </c>
      <c r="F9" s="7" t="s">
        <v>5</v>
      </c>
      <c r="G9" s="2">
        <f t="shared" si="1"/>
        <v>8</v>
      </c>
    </row>
    <row r="10" spans="1:7" x14ac:dyDescent="0.25">
      <c r="A10" t="s">
        <v>1</v>
      </c>
      <c r="B10" t="s">
        <v>43</v>
      </c>
      <c r="C10" t="s">
        <v>43</v>
      </c>
      <c r="D10" t="str">
        <f t="shared" si="0"/>
        <v>Sim</v>
      </c>
      <c r="F10" s="7" t="s">
        <v>100</v>
      </c>
      <c r="G10" s="2">
        <f t="shared" si="1"/>
        <v>9</v>
      </c>
    </row>
    <row r="11" spans="1:7" x14ac:dyDescent="0.25">
      <c r="A11" t="s">
        <v>1</v>
      </c>
      <c r="B11" t="s">
        <v>15</v>
      </c>
      <c r="C11" t="s">
        <v>15</v>
      </c>
      <c r="D11" t="str">
        <f t="shared" si="0"/>
        <v>Sim</v>
      </c>
      <c r="F11" s="7" t="s">
        <v>16</v>
      </c>
      <c r="G11" s="2">
        <f t="shared" si="1"/>
        <v>2</v>
      </c>
    </row>
    <row r="12" spans="1:7" x14ac:dyDescent="0.25">
      <c r="A12" t="s">
        <v>1</v>
      </c>
      <c r="B12" t="s">
        <v>15</v>
      </c>
      <c r="C12" t="s">
        <v>15</v>
      </c>
      <c r="D12" t="str">
        <f t="shared" si="0"/>
        <v>Sim</v>
      </c>
      <c r="F12" s="7" t="s">
        <v>76</v>
      </c>
      <c r="G12" s="2">
        <f t="shared" si="1"/>
        <v>15</v>
      </c>
    </row>
    <row r="13" spans="1:7" x14ac:dyDescent="0.25">
      <c r="A13" t="s">
        <v>1</v>
      </c>
      <c r="B13" t="s">
        <v>15</v>
      </c>
      <c r="C13" t="s">
        <v>15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B14" t="s">
        <v>15</v>
      </c>
      <c r="C14" t="s">
        <v>15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15</v>
      </c>
      <c r="C15" t="s">
        <v>15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15</v>
      </c>
      <c r="C16" t="s">
        <v>15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23</v>
      </c>
      <c r="C17" t="s">
        <v>23</v>
      </c>
      <c r="D17" t="str">
        <f t="shared" si="0"/>
        <v>Sim</v>
      </c>
    </row>
    <row r="18" spans="1:4" x14ac:dyDescent="0.25">
      <c r="A18" t="s">
        <v>1</v>
      </c>
      <c r="B18" t="s">
        <v>23</v>
      </c>
      <c r="C18" t="s">
        <v>23</v>
      </c>
      <c r="D18" t="str">
        <f t="shared" si="0"/>
        <v>Sim</v>
      </c>
    </row>
    <row r="19" spans="1:4" x14ac:dyDescent="0.25">
      <c r="A19" t="s">
        <v>1</v>
      </c>
      <c r="B19" t="s">
        <v>23</v>
      </c>
      <c r="C19" t="s">
        <v>23</v>
      </c>
      <c r="D19" t="str">
        <f t="shared" si="0"/>
        <v>Sim</v>
      </c>
    </row>
    <row r="20" spans="1:4" x14ac:dyDescent="0.25">
      <c r="A20" t="s">
        <v>1</v>
      </c>
      <c r="B20" t="s">
        <v>23</v>
      </c>
      <c r="C20" t="s">
        <v>23</v>
      </c>
      <c r="D20" t="str">
        <f t="shared" si="0"/>
        <v>Sim</v>
      </c>
    </row>
    <row r="21" spans="1:4" x14ac:dyDescent="0.25">
      <c r="A21" t="s">
        <v>1</v>
      </c>
      <c r="B21" t="s">
        <v>23</v>
      </c>
      <c r="C21" t="s">
        <v>23</v>
      </c>
      <c r="D21" t="str">
        <f t="shared" si="0"/>
        <v>Sim</v>
      </c>
    </row>
    <row r="22" spans="1:4" x14ac:dyDescent="0.25">
      <c r="A22" t="s">
        <v>1</v>
      </c>
      <c r="B22" t="s">
        <v>94</v>
      </c>
      <c r="C22" t="s">
        <v>94</v>
      </c>
      <c r="D22" t="str">
        <f t="shared" si="0"/>
        <v>Sim</v>
      </c>
    </row>
    <row r="23" spans="1:4" x14ac:dyDescent="0.25">
      <c r="A23" t="s">
        <v>1</v>
      </c>
      <c r="B23" t="s">
        <v>94</v>
      </c>
      <c r="C23" t="s">
        <v>94</v>
      </c>
      <c r="D23" t="str">
        <f t="shared" si="0"/>
        <v>Sim</v>
      </c>
    </row>
    <row r="24" spans="1:4" x14ac:dyDescent="0.25">
      <c r="A24" t="s">
        <v>20</v>
      </c>
      <c r="B24" t="s">
        <v>34</v>
      </c>
      <c r="C24" t="s">
        <v>34</v>
      </c>
      <c r="D24" t="str">
        <f t="shared" si="0"/>
        <v>Sim</v>
      </c>
    </row>
    <row r="25" spans="1:4" x14ac:dyDescent="0.25">
      <c r="A25" t="s">
        <v>20</v>
      </c>
      <c r="B25" t="s">
        <v>34</v>
      </c>
      <c r="C25" t="s">
        <v>34</v>
      </c>
      <c r="D25" t="str">
        <f t="shared" si="0"/>
        <v>Sim</v>
      </c>
    </row>
    <row r="26" spans="1:4" x14ac:dyDescent="0.25">
      <c r="A26" t="s">
        <v>20</v>
      </c>
      <c r="B26" t="s">
        <v>34</v>
      </c>
      <c r="C26" t="s">
        <v>34</v>
      </c>
      <c r="D26" t="str">
        <f t="shared" si="0"/>
        <v>Sim</v>
      </c>
    </row>
    <row r="27" spans="1:4" x14ac:dyDescent="0.25">
      <c r="A27" t="s">
        <v>20</v>
      </c>
      <c r="B27" t="s">
        <v>34</v>
      </c>
      <c r="C27" t="s">
        <v>34</v>
      </c>
      <c r="D27" t="str">
        <f t="shared" si="0"/>
        <v>Sim</v>
      </c>
    </row>
    <row r="28" spans="1:4" x14ac:dyDescent="0.25">
      <c r="A28" t="s">
        <v>20</v>
      </c>
      <c r="B28" t="s">
        <v>95</v>
      </c>
      <c r="C28" t="s">
        <v>95</v>
      </c>
      <c r="D28" t="str">
        <f t="shared" si="0"/>
        <v>Sim</v>
      </c>
    </row>
    <row r="29" spans="1:4" x14ac:dyDescent="0.25">
      <c r="A29" t="s">
        <v>20</v>
      </c>
      <c r="B29" t="s">
        <v>95</v>
      </c>
      <c r="C29" t="s">
        <v>95</v>
      </c>
      <c r="D29" t="str">
        <f t="shared" si="0"/>
        <v>Sim</v>
      </c>
    </row>
    <row r="30" spans="1:4" x14ac:dyDescent="0.25">
      <c r="A30" t="s">
        <v>20</v>
      </c>
      <c r="B30" t="s">
        <v>95</v>
      </c>
      <c r="C30" t="s">
        <v>95</v>
      </c>
      <c r="D30" t="str">
        <f t="shared" si="0"/>
        <v>Sim</v>
      </c>
    </row>
    <row r="31" spans="1:4" x14ac:dyDescent="0.25">
      <c r="A31" t="s">
        <v>20</v>
      </c>
      <c r="B31" t="s">
        <v>95</v>
      </c>
      <c r="C31" t="s">
        <v>95</v>
      </c>
      <c r="D31" t="str">
        <f t="shared" si="0"/>
        <v>Sim</v>
      </c>
    </row>
    <row r="32" spans="1:4" x14ac:dyDescent="0.25">
      <c r="A32" t="s">
        <v>20</v>
      </c>
      <c r="B32" t="s">
        <v>35</v>
      </c>
      <c r="C32" t="s">
        <v>35</v>
      </c>
      <c r="D32" t="str">
        <f t="shared" si="0"/>
        <v>Sim</v>
      </c>
    </row>
    <row r="33" spans="1:4" x14ac:dyDescent="0.25">
      <c r="A33" t="s">
        <v>20</v>
      </c>
      <c r="B33" t="s">
        <v>35</v>
      </c>
      <c r="C33" t="s">
        <v>35</v>
      </c>
      <c r="D33" t="str">
        <f t="shared" si="0"/>
        <v>Sim</v>
      </c>
    </row>
    <row r="34" spans="1:4" x14ac:dyDescent="0.25">
      <c r="A34" t="s">
        <v>20</v>
      </c>
      <c r="B34" t="s">
        <v>35</v>
      </c>
      <c r="C34" t="s">
        <v>35</v>
      </c>
      <c r="D34" t="str">
        <f t="shared" si="0"/>
        <v>Sim</v>
      </c>
    </row>
    <row r="35" spans="1:4" x14ac:dyDescent="0.25">
      <c r="A35" t="s">
        <v>20</v>
      </c>
      <c r="B35" t="s">
        <v>35</v>
      </c>
      <c r="C35" t="s">
        <v>35</v>
      </c>
      <c r="D35" t="str">
        <f t="shared" si="0"/>
        <v>Sim</v>
      </c>
    </row>
    <row r="36" spans="1:4" x14ac:dyDescent="0.25">
      <c r="A36" t="s">
        <v>20</v>
      </c>
      <c r="B36" t="s">
        <v>96</v>
      </c>
      <c r="C36" t="s">
        <v>96</v>
      </c>
      <c r="D36" t="str">
        <f t="shared" si="0"/>
        <v>Sim</v>
      </c>
    </row>
    <row r="37" spans="1:4" x14ac:dyDescent="0.25">
      <c r="A37" t="s">
        <v>20</v>
      </c>
      <c r="B37" t="s">
        <v>96</v>
      </c>
      <c r="C37" t="s">
        <v>96</v>
      </c>
      <c r="D37" t="str">
        <f t="shared" si="0"/>
        <v>Sim</v>
      </c>
    </row>
    <row r="38" spans="1:4" x14ac:dyDescent="0.25">
      <c r="A38" t="s">
        <v>20</v>
      </c>
      <c r="B38" t="s">
        <v>96</v>
      </c>
      <c r="C38" t="s">
        <v>96</v>
      </c>
      <c r="D38" t="str">
        <f t="shared" si="0"/>
        <v>Sim</v>
      </c>
    </row>
    <row r="39" spans="1:4" x14ac:dyDescent="0.25">
      <c r="A39" t="s">
        <v>20</v>
      </c>
      <c r="B39" t="s">
        <v>96</v>
      </c>
      <c r="C39" t="s">
        <v>96</v>
      </c>
      <c r="D39" t="str">
        <f t="shared" si="0"/>
        <v>Sim</v>
      </c>
    </row>
    <row r="40" spans="1:4" x14ac:dyDescent="0.25">
      <c r="A40" t="s">
        <v>20</v>
      </c>
      <c r="B40" t="s">
        <v>97</v>
      </c>
      <c r="C40" t="s">
        <v>97</v>
      </c>
      <c r="D40" t="str">
        <f t="shared" si="0"/>
        <v>Sim</v>
      </c>
    </row>
    <row r="41" spans="1:4" x14ac:dyDescent="0.25">
      <c r="A41" t="s">
        <v>20</v>
      </c>
      <c r="B41" t="s">
        <v>97</v>
      </c>
      <c r="C41" t="s">
        <v>97</v>
      </c>
      <c r="D41" t="str">
        <f t="shared" si="0"/>
        <v>Sim</v>
      </c>
    </row>
    <row r="42" spans="1:4" x14ac:dyDescent="0.25">
      <c r="A42" t="s">
        <v>20</v>
      </c>
      <c r="B42" t="s">
        <v>97</v>
      </c>
      <c r="C42" t="s">
        <v>97</v>
      </c>
      <c r="D42" t="str">
        <f t="shared" si="0"/>
        <v>Sim</v>
      </c>
    </row>
    <row r="43" spans="1:4" x14ac:dyDescent="0.25">
      <c r="A43" t="s">
        <v>20</v>
      </c>
      <c r="B43" t="s">
        <v>97</v>
      </c>
      <c r="C43" t="s">
        <v>97</v>
      </c>
      <c r="D43" t="str">
        <f t="shared" si="0"/>
        <v>Sim</v>
      </c>
    </row>
    <row r="44" spans="1:4" x14ac:dyDescent="0.25">
      <c r="A44" t="s">
        <v>5</v>
      </c>
      <c r="B44" t="s">
        <v>98</v>
      </c>
      <c r="C44" t="s">
        <v>98</v>
      </c>
      <c r="D44" t="str">
        <f t="shared" si="0"/>
        <v>Sim</v>
      </c>
    </row>
    <row r="45" spans="1:4" x14ac:dyDescent="0.25">
      <c r="A45" t="s">
        <v>5</v>
      </c>
      <c r="B45" t="s">
        <v>98</v>
      </c>
      <c r="C45" t="s">
        <v>98</v>
      </c>
      <c r="D45" t="str">
        <f t="shared" si="0"/>
        <v>Sim</v>
      </c>
    </row>
    <row r="46" spans="1:4" x14ac:dyDescent="0.25">
      <c r="A46" t="s">
        <v>5</v>
      </c>
      <c r="B46" t="s">
        <v>98</v>
      </c>
      <c r="C46" t="s">
        <v>98</v>
      </c>
      <c r="D46" t="str">
        <f t="shared" si="0"/>
        <v>Sim</v>
      </c>
    </row>
    <row r="47" spans="1:4" x14ac:dyDescent="0.25">
      <c r="A47" t="s">
        <v>5</v>
      </c>
      <c r="B47" t="s">
        <v>98</v>
      </c>
      <c r="C47" t="s">
        <v>98</v>
      </c>
      <c r="D47" t="str">
        <f t="shared" si="0"/>
        <v>Sim</v>
      </c>
    </row>
    <row r="48" spans="1:4" x14ac:dyDescent="0.25">
      <c r="A48" t="s">
        <v>5</v>
      </c>
      <c r="B48" t="s">
        <v>99</v>
      </c>
      <c r="C48" t="s">
        <v>99</v>
      </c>
      <c r="D48" t="str">
        <f t="shared" si="0"/>
        <v>Sim</v>
      </c>
    </row>
    <row r="49" spans="1:4" x14ac:dyDescent="0.25">
      <c r="A49" t="s">
        <v>5</v>
      </c>
      <c r="B49" t="s">
        <v>99</v>
      </c>
      <c r="C49" t="s">
        <v>99</v>
      </c>
      <c r="D49" t="str">
        <f t="shared" si="0"/>
        <v>Sim</v>
      </c>
    </row>
    <row r="50" spans="1:4" x14ac:dyDescent="0.25">
      <c r="A50" t="s">
        <v>5</v>
      </c>
      <c r="B50" t="s">
        <v>99</v>
      </c>
      <c r="C50" t="s">
        <v>99</v>
      </c>
      <c r="D50" t="str">
        <f t="shared" si="0"/>
        <v>Sim</v>
      </c>
    </row>
    <row r="51" spans="1:4" x14ac:dyDescent="0.25">
      <c r="A51" t="s">
        <v>5</v>
      </c>
      <c r="B51" t="s">
        <v>99</v>
      </c>
      <c r="C51" t="s">
        <v>99</v>
      </c>
      <c r="D51" t="str">
        <f t="shared" si="0"/>
        <v>Sim</v>
      </c>
    </row>
    <row r="52" spans="1:4" x14ac:dyDescent="0.25">
      <c r="A52" t="s">
        <v>100</v>
      </c>
      <c r="B52" t="s">
        <v>101</v>
      </c>
      <c r="C52" t="s">
        <v>101</v>
      </c>
      <c r="D52" t="str">
        <f t="shared" si="0"/>
        <v>Sim</v>
      </c>
    </row>
    <row r="53" spans="1:4" x14ac:dyDescent="0.25">
      <c r="A53" t="s">
        <v>100</v>
      </c>
      <c r="B53" t="s">
        <v>103</v>
      </c>
      <c r="C53" t="s">
        <v>102</v>
      </c>
      <c r="D53" t="str">
        <f t="shared" si="0"/>
        <v>Não</v>
      </c>
    </row>
    <row r="54" spans="1:4" x14ac:dyDescent="0.25">
      <c r="A54" t="s">
        <v>100</v>
      </c>
      <c r="B54" t="s">
        <v>103</v>
      </c>
      <c r="C54" t="s">
        <v>102</v>
      </c>
      <c r="D54" t="str">
        <f t="shared" si="0"/>
        <v>Não</v>
      </c>
    </row>
    <row r="55" spans="1:4" x14ac:dyDescent="0.25">
      <c r="A55" t="s">
        <v>100</v>
      </c>
      <c r="B55" t="s">
        <v>102</v>
      </c>
      <c r="C55" t="s">
        <v>102</v>
      </c>
      <c r="D55" t="str">
        <f t="shared" si="0"/>
        <v>Sim</v>
      </c>
    </row>
    <row r="56" spans="1:4" x14ac:dyDescent="0.25">
      <c r="A56" t="s">
        <v>100</v>
      </c>
      <c r="B56" t="s">
        <v>102</v>
      </c>
      <c r="C56" t="s">
        <v>102</v>
      </c>
      <c r="D56" t="str">
        <f t="shared" si="0"/>
        <v>Sim</v>
      </c>
    </row>
    <row r="57" spans="1:4" x14ac:dyDescent="0.25">
      <c r="A57" t="s">
        <v>100</v>
      </c>
      <c r="B57" t="s">
        <v>104</v>
      </c>
      <c r="C57" t="s">
        <v>104</v>
      </c>
      <c r="D57" t="str">
        <f t="shared" si="0"/>
        <v>Sim</v>
      </c>
    </row>
    <row r="58" spans="1:4" x14ac:dyDescent="0.25">
      <c r="A58" t="s">
        <v>100</v>
      </c>
      <c r="B58" t="s">
        <v>104</v>
      </c>
      <c r="C58" t="s">
        <v>104</v>
      </c>
      <c r="D58" t="str">
        <f t="shared" si="0"/>
        <v>Sim</v>
      </c>
    </row>
    <row r="59" spans="1:4" x14ac:dyDescent="0.25">
      <c r="A59" t="s">
        <v>100</v>
      </c>
      <c r="B59" t="s">
        <v>104</v>
      </c>
      <c r="C59" t="s">
        <v>104</v>
      </c>
      <c r="D59" t="str">
        <f t="shared" si="0"/>
        <v>Sim</v>
      </c>
    </row>
    <row r="60" spans="1:4" x14ac:dyDescent="0.25">
      <c r="A60" t="s">
        <v>100</v>
      </c>
      <c r="B60" t="s">
        <v>104</v>
      </c>
      <c r="C60" t="s">
        <v>104</v>
      </c>
      <c r="D60" t="str">
        <f t="shared" si="0"/>
        <v>Sim</v>
      </c>
    </row>
    <row r="61" spans="1:4" x14ac:dyDescent="0.25">
      <c r="A61" t="s">
        <v>16</v>
      </c>
      <c r="B61" t="s">
        <v>44</v>
      </c>
      <c r="C61" t="s">
        <v>44</v>
      </c>
      <c r="D61" t="str">
        <f t="shared" si="0"/>
        <v>Sim</v>
      </c>
    </row>
    <row r="62" spans="1:4" x14ac:dyDescent="0.25">
      <c r="A62" t="s">
        <v>16</v>
      </c>
      <c r="B62" t="s">
        <v>44</v>
      </c>
      <c r="C62" t="s">
        <v>44</v>
      </c>
      <c r="D62" t="str">
        <f t="shared" si="0"/>
        <v>Sim</v>
      </c>
    </row>
    <row r="63" spans="1:4" x14ac:dyDescent="0.25">
      <c r="A63" t="s">
        <v>76</v>
      </c>
      <c r="C63" t="s">
        <v>44</v>
      </c>
      <c r="D63" t="str">
        <f t="shared" si="0"/>
        <v>Não</v>
      </c>
    </row>
    <row r="64" spans="1:4" x14ac:dyDescent="0.25">
      <c r="A64" t="s">
        <v>76</v>
      </c>
      <c r="C64" t="s">
        <v>44</v>
      </c>
      <c r="D64" t="str">
        <f t="shared" si="0"/>
        <v>Não</v>
      </c>
    </row>
    <row r="65" spans="1:4" x14ac:dyDescent="0.25">
      <c r="A65" t="s">
        <v>76</v>
      </c>
      <c r="C65" t="s">
        <v>105</v>
      </c>
      <c r="D65" t="str">
        <f t="shared" si="0"/>
        <v>Não</v>
      </c>
    </row>
    <row r="66" spans="1:4" x14ac:dyDescent="0.25">
      <c r="A66" t="s">
        <v>76</v>
      </c>
      <c r="C66" t="s">
        <v>105</v>
      </c>
      <c r="D66" t="str">
        <f t="shared" si="0"/>
        <v>Não</v>
      </c>
    </row>
    <row r="67" spans="1:4" x14ac:dyDescent="0.25">
      <c r="A67" t="s">
        <v>76</v>
      </c>
      <c r="C67" t="s">
        <v>106</v>
      </c>
      <c r="D67" t="str">
        <f t="shared" si="0"/>
        <v>Não</v>
      </c>
    </row>
    <row r="68" spans="1:4" x14ac:dyDescent="0.25">
      <c r="A68" t="s">
        <v>76</v>
      </c>
      <c r="C68" t="s">
        <v>106</v>
      </c>
      <c r="D68" t="str">
        <f t="shared" ref="D68:D100" si="2">IF(B68=C68, "Sim", "Não")</f>
        <v>Não</v>
      </c>
    </row>
    <row r="69" spans="1:4" x14ac:dyDescent="0.25">
      <c r="A69" t="s">
        <v>76</v>
      </c>
      <c r="C69" t="s">
        <v>106</v>
      </c>
      <c r="D69" t="str">
        <f t="shared" si="2"/>
        <v>Não</v>
      </c>
    </row>
    <row r="70" spans="1:4" x14ac:dyDescent="0.25">
      <c r="A70" t="s">
        <v>76</v>
      </c>
      <c r="C70" t="s">
        <v>107</v>
      </c>
      <c r="D70" t="str">
        <f t="shared" si="2"/>
        <v>Não</v>
      </c>
    </row>
    <row r="71" spans="1:4" x14ac:dyDescent="0.25">
      <c r="A71" t="s">
        <v>76</v>
      </c>
      <c r="C71" t="s">
        <v>107</v>
      </c>
      <c r="D71" t="str">
        <f t="shared" si="2"/>
        <v>Não</v>
      </c>
    </row>
    <row r="72" spans="1:4" x14ac:dyDescent="0.25">
      <c r="A72" t="s">
        <v>76</v>
      </c>
      <c r="C72" t="s">
        <v>107</v>
      </c>
      <c r="D72" t="str">
        <f t="shared" si="2"/>
        <v>Não</v>
      </c>
    </row>
    <row r="73" spans="1:4" x14ac:dyDescent="0.25">
      <c r="A73" t="s">
        <v>76</v>
      </c>
      <c r="C73" t="s">
        <v>108</v>
      </c>
      <c r="D73" t="str">
        <f t="shared" si="2"/>
        <v>Não</v>
      </c>
    </row>
    <row r="74" spans="1:4" x14ac:dyDescent="0.25">
      <c r="A74" t="s">
        <v>76</v>
      </c>
      <c r="C74" t="s">
        <v>108</v>
      </c>
      <c r="D74" t="str">
        <f t="shared" si="2"/>
        <v>Não</v>
      </c>
    </row>
    <row r="75" spans="1:4" x14ac:dyDescent="0.25">
      <c r="A75" t="s">
        <v>76</v>
      </c>
      <c r="C75" t="s">
        <v>109</v>
      </c>
      <c r="D75" t="str">
        <f t="shared" si="2"/>
        <v>Não</v>
      </c>
    </row>
    <row r="76" spans="1:4" x14ac:dyDescent="0.25">
      <c r="A76" t="s">
        <v>76</v>
      </c>
      <c r="C76" t="s">
        <v>109</v>
      </c>
      <c r="D76" t="str">
        <f t="shared" si="2"/>
        <v>Não</v>
      </c>
    </row>
    <row r="77" spans="1:4" x14ac:dyDescent="0.25">
      <c r="A77" t="s">
        <v>76</v>
      </c>
      <c r="C77" t="s">
        <v>109</v>
      </c>
      <c r="D77" t="str">
        <f t="shared" si="2"/>
        <v>Não</v>
      </c>
    </row>
    <row r="78" spans="1:4" x14ac:dyDescent="0.25">
      <c r="A78"/>
      <c r="D78" t="str">
        <f t="shared" si="2"/>
        <v>Sim</v>
      </c>
    </row>
    <row r="79" spans="1:4" x14ac:dyDescent="0.25">
      <c r="A79"/>
      <c r="D79" t="str">
        <f t="shared" si="2"/>
        <v>Sim</v>
      </c>
    </row>
    <row r="80" spans="1:4" x14ac:dyDescent="0.25">
      <c r="A80"/>
      <c r="D80" t="str">
        <f t="shared" si="2"/>
        <v>Sim</v>
      </c>
    </row>
    <row r="81" spans="1:4" x14ac:dyDescent="0.25">
      <c r="A81"/>
      <c r="D81" t="str">
        <f t="shared" si="2"/>
        <v>Sim</v>
      </c>
    </row>
    <row r="82" spans="1:4" x14ac:dyDescent="0.25">
      <c r="A82"/>
      <c r="D82" t="str">
        <f t="shared" si="2"/>
        <v>Sim</v>
      </c>
    </row>
    <row r="83" spans="1:4" x14ac:dyDescent="0.25">
      <c r="A83"/>
      <c r="D83" t="str">
        <f t="shared" si="2"/>
        <v>Sim</v>
      </c>
    </row>
    <row r="84" spans="1:4" x14ac:dyDescent="0.25">
      <c r="A84"/>
      <c r="D84" t="str">
        <f t="shared" si="2"/>
        <v>Sim</v>
      </c>
    </row>
    <row r="85" spans="1:4" x14ac:dyDescent="0.25">
      <c r="A85"/>
      <c r="D85" t="str">
        <f t="shared" si="2"/>
        <v>Sim</v>
      </c>
    </row>
    <row r="86" spans="1:4" x14ac:dyDescent="0.25">
      <c r="A86"/>
      <c r="D86" t="str">
        <f t="shared" si="2"/>
        <v>Sim</v>
      </c>
    </row>
    <row r="87" spans="1:4" x14ac:dyDescent="0.25">
      <c r="A87"/>
      <c r="D87" t="str">
        <f t="shared" si="2"/>
        <v>Sim</v>
      </c>
    </row>
    <row r="88" spans="1:4" x14ac:dyDescent="0.25">
      <c r="A88"/>
      <c r="D88" t="str">
        <f t="shared" si="2"/>
        <v>Sim</v>
      </c>
    </row>
    <row r="89" spans="1:4" x14ac:dyDescent="0.25">
      <c r="A89"/>
      <c r="D89" t="str">
        <f t="shared" si="2"/>
        <v>Sim</v>
      </c>
    </row>
    <row r="90" spans="1:4" x14ac:dyDescent="0.25">
      <c r="A90"/>
      <c r="D90" t="str">
        <f t="shared" si="2"/>
        <v>Sim</v>
      </c>
    </row>
    <row r="91" spans="1:4" x14ac:dyDescent="0.25">
      <c r="A91"/>
      <c r="D91" t="str">
        <f t="shared" si="2"/>
        <v>Sim</v>
      </c>
    </row>
    <row r="92" spans="1:4" x14ac:dyDescent="0.25">
      <c r="A92"/>
      <c r="D92" t="str">
        <f t="shared" si="2"/>
        <v>Sim</v>
      </c>
    </row>
    <row r="93" spans="1:4" x14ac:dyDescent="0.25">
      <c r="A93"/>
      <c r="D93" t="str">
        <f t="shared" si="2"/>
        <v>Sim</v>
      </c>
    </row>
    <row r="94" spans="1:4" x14ac:dyDescent="0.25">
      <c r="A94"/>
      <c r="D94" t="str">
        <f t="shared" si="2"/>
        <v>Sim</v>
      </c>
    </row>
    <row r="95" spans="1:4" x14ac:dyDescent="0.25">
      <c r="A95"/>
      <c r="D95" t="str">
        <f t="shared" si="2"/>
        <v>Sim</v>
      </c>
    </row>
    <row r="96" spans="1:4" x14ac:dyDescent="0.25">
      <c r="A96"/>
      <c r="D96" t="str">
        <f t="shared" si="2"/>
        <v>Sim</v>
      </c>
    </row>
    <row r="97" spans="1:4" x14ac:dyDescent="0.25">
      <c r="A97"/>
      <c r="D97" t="str">
        <f t="shared" si="2"/>
        <v>Sim</v>
      </c>
    </row>
    <row r="98" spans="1:4" x14ac:dyDescent="0.25">
      <c r="A98"/>
      <c r="D98" t="str">
        <f t="shared" si="2"/>
        <v>Sim</v>
      </c>
    </row>
    <row r="99" spans="1:4" x14ac:dyDescent="0.25">
      <c r="A99"/>
      <c r="D99" t="str">
        <f t="shared" si="2"/>
        <v>Sim</v>
      </c>
    </row>
    <row r="100" spans="1:4" x14ac:dyDescent="0.25">
      <c r="A100"/>
      <c r="D100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A127-8540-42B0-83D4-7C25E267BB42}">
  <dimension ref="A1:G100"/>
  <sheetViews>
    <sheetView topLeftCell="A30" workbookViewId="0">
      <selection activeCell="A61" sqref="A6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128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B3" t="s">
        <v>27</v>
      </c>
      <c r="C3" t="s">
        <v>27</v>
      </c>
      <c r="D3" t="str">
        <f>IF(B3=C3, "Sim", "Não")</f>
        <v>Sim</v>
      </c>
      <c r="F3" s="4" t="s">
        <v>12</v>
      </c>
      <c r="G3" s="3">
        <f>COUNTIF(D3:D105,"Não")</f>
        <v>10</v>
      </c>
    </row>
    <row r="4" spans="1:7" x14ac:dyDescent="0.25">
      <c r="A4" t="s">
        <v>1</v>
      </c>
      <c r="B4" t="s">
        <v>27</v>
      </c>
      <c r="C4" t="s">
        <v>27</v>
      </c>
      <c r="D4" t="str">
        <f t="shared" ref="D4:D67" si="0">IF(B4=C4, "Sim", "Não")</f>
        <v>Sim</v>
      </c>
      <c r="F4" s="4" t="s">
        <v>13</v>
      </c>
      <c r="G4" s="3">
        <f>SUM(G7:G25)</f>
        <v>75</v>
      </c>
    </row>
    <row r="5" spans="1:7" x14ac:dyDescent="0.25">
      <c r="A5" t="s">
        <v>1</v>
      </c>
      <c r="B5" t="s">
        <v>27</v>
      </c>
      <c r="C5" t="s">
        <v>27</v>
      </c>
      <c r="D5" t="str">
        <f t="shared" si="0"/>
        <v>Sim</v>
      </c>
    </row>
    <row r="6" spans="1:7" x14ac:dyDescent="0.25">
      <c r="A6" t="s">
        <v>1</v>
      </c>
      <c r="B6" t="s">
        <v>27</v>
      </c>
      <c r="C6" t="s">
        <v>27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B7" t="s">
        <v>23</v>
      </c>
      <c r="C7" t="s">
        <v>18</v>
      </c>
      <c r="D7" t="str">
        <f t="shared" si="0"/>
        <v>Não</v>
      </c>
      <c r="F7" s="7" t="s">
        <v>1</v>
      </c>
      <c r="G7" s="2">
        <f>COUNTIF(A:A,F7)</f>
        <v>20</v>
      </c>
    </row>
    <row r="8" spans="1:7" x14ac:dyDescent="0.25">
      <c r="A8" t="s">
        <v>1</v>
      </c>
      <c r="B8" t="s">
        <v>14</v>
      </c>
      <c r="C8" t="s">
        <v>18</v>
      </c>
      <c r="D8" t="str">
        <f t="shared" si="0"/>
        <v>Não</v>
      </c>
      <c r="F8" s="7" t="s">
        <v>25</v>
      </c>
      <c r="G8" s="2">
        <f t="shared" ref="G8:G13" si="1">COUNTIF(A:A,F8)</f>
        <v>12</v>
      </c>
    </row>
    <row r="9" spans="1:7" x14ac:dyDescent="0.25">
      <c r="A9" t="s">
        <v>1</v>
      </c>
      <c r="B9" t="s">
        <v>43</v>
      </c>
      <c r="C9" t="s">
        <v>43</v>
      </c>
      <c r="D9" t="str">
        <f t="shared" si="0"/>
        <v>Sim</v>
      </c>
      <c r="F9" s="7" t="s">
        <v>26</v>
      </c>
      <c r="G9" s="2">
        <f t="shared" si="1"/>
        <v>11</v>
      </c>
    </row>
    <row r="10" spans="1:7" x14ac:dyDescent="0.25">
      <c r="A10" t="s">
        <v>1</v>
      </c>
      <c r="B10" t="s">
        <v>43</v>
      </c>
      <c r="C10" t="s">
        <v>43</v>
      </c>
      <c r="D10" t="str">
        <f t="shared" si="0"/>
        <v>Sim</v>
      </c>
      <c r="F10" s="7" t="s">
        <v>5</v>
      </c>
      <c r="G10" s="2">
        <f t="shared" si="1"/>
        <v>12</v>
      </c>
    </row>
    <row r="11" spans="1:7" x14ac:dyDescent="0.25">
      <c r="A11" t="s">
        <v>1</v>
      </c>
      <c r="B11" t="s">
        <v>43</v>
      </c>
      <c r="C11" t="s">
        <v>43</v>
      </c>
      <c r="D11" t="str">
        <f t="shared" si="0"/>
        <v>Sim</v>
      </c>
      <c r="F11" s="7" t="s">
        <v>21</v>
      </c>
      <c r="G11" s="2">
        <f t="shared" si="1"/>
        <v>5</v>
      </c>
    </row>
    <row r="12" spans="1:7" x14ac:dyDescent="0.25">
      <c r="A12" t="s">
        <v>1</v>
      </c>
      <c r="B12" t="s">
        <v>110</v>
      </c>
      <c r="C12" t="s">
        <v>110</v>
      </c>
      <c r="D12" t="str">
        <f t="shared" si="0"/>
        <v>Sim</v>
      </c>
      <c r="F12" s="7" t="s">
        <v>16</v>
      </c>
      <c r="G12" s="2">
        <f t="shared" si="1"/>
        <v>0</v>
      </c>
    </row>
    <row r="13" spans="1:7" x14ac:dyDescent="0.25">
      <c r="A13" t="s">
        <v>1</v>
      </c>
      <c r="B13" t="s">
        <v>110</v>
      </c>
      <c r="C13" t="s">
        <v>110</v>
      </c>
      <c r="D13" t="str">
        <f t="shared" si="0"/>
        <v>Sim</v>
      </c>
      <c r="F13" s="7" t="s">
        <v>76</v>
      </c>
      <c r="G13" s="2">
        <f t="shared" si="1"/>
        <v>15</v>
      </c>
    </row>
    <row r="14" spans="1:7" x14ac:dyDescent="0.25">
      <c r="A14" t="s">
        <v>1</v>
      </c>
      <c r="B14" t="s">
        <v>24</v>
      </c>
      <c r="C14" t="s">
        <v>24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24</v>
      </c>
      <c r="C15" t="s">
        <v>24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23</v>
      </c>
      <c r="C16" t="s">
        <v>23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23</v>
      </c>
      <c r="C17" t="s">
        <v>23</v>
      </c>
      <c r="D17" t="str">
        <f t="shared" si="0"/>
        <v>Sim</v>
      </c>
    </row>
    <row r="18" spans="1:4" x14ac:dyDescent="0.25">
      <c r="A18" t="s">
        <v>1</v>
      </c>
      <c r="B18" t="s">
        <v>23</v>
      </c>
      <c r="C18" t="s">
        <v>23</v>
      </c>
      <c r="D18" t="str">
        <f t="shared" si="0"/>
        <v>Sim</v>
      </c>
    </row>
    <row r="19" spans="1:4" x14ac:dyDescent="0.25">
      <c r="A19" t="s">
        <v>1</v>
      </c>
      <c r="B19" t="s">
        <v>14</v>
      </c>
      <c r="C19" t="s">
        <v>14</v>
      </c>
      <c r="D19" t="str">
        <f t="shared" si="0"/>
        <v>Sim</v>
      </c>
    </row>
    <row r="20" spans="1:4" x14ac:dyDescent="0.25">
      <c r="A20" t="s">
        <v>1</v>
      </c>
      <c r="B20" t="s">
        <v>14</v>
      </c>
      <c r="C20" t="s">
        <v>14</v>
      </c>
      <c r="D20" t="str">
        <f t="shared" si="0"/>
        <v>Sim</v>
      </c>
    </row>
    <row r="21" spans="1:4" x14ac:dyDescent="0.25">
      <c r="A21" t="s">
        <v>1</v>
      </c>
      <c r="B21" t="s">
        <v>14</v>
      </c>
      <c r="C21" t="s">
        <v>14</v>
      </c>
      <c r="D21" t="str">
        <f t="shared" si="0"/>
        <v>Sim</v>
      </c>
    </row>
    <row r="22" spans="1:4" x14ac:dyDescent="0.25">
      <c r="A22" t="s">
        <v>1</v>
      </c>
      <c r="B22" t="s">
        <v>14</v>
      </c>
      <c r="C22" t="s">
        <v>14</v>
      </c>
      <c r="D22" t="str">
        <f t="shared" si="0"/>
        <v>Sim</v>
      </c>
    </row>
    <row r="23" spans="1:4" x14ac:dyDescent="0.25">
      <c r="A23" t="s">
        <v>25</v>
      </c>
      <c r="B23" t="s">
        <v>29</v>
      </c>
      <c r="C23" t="s">
        <v>29</v>
      </c>
      <c r="D23" t="str">
        <f t="shared" si="0"/>
        <v>Sim</v>
      </c>
    </row>
    <row r="24" spans="1:4" x14ac:dyDescent="0.25">
      <c r="A24" t="s">
        <v>25</v>
      </c>
      <c r="B24" t="s">
        <v>29</v>
      </c>
      <c r="C24" t="s">
        <v>29</v>
      </c>
      <c r="D24" t="str">
        <f t="shared" si="0"/>
        <v>Sim</v>
      </c>
    </row>
    <row r="25" spans="1:4" x14ac:dyDescent="0.25">
      <c r="A25" t="s">
        <v>25</v>
      </c>
      <c r="B25" t="s">
        <v>29</v>
      </c>
      <c r="C25" t="s">
        <v>29</v>
      </c>
      <c r="D25" t="str">
        <f t="shared" si="0"/>
        <v>Sim</v>
      </c>
    </row>
    <row r="26" spans="1:4" x14ac:dyDescent="0.25">
      <c r="A26" t="s">
        <v>25</v>
      </c>
      <c r="B26" t="s">
        <v>29</v>
      </c>
      <c r="C26" t="s">
        <v>29</v>
      </c>
      <c r="D26" t="str">
        <f t="shared" si="0"/>
        <v>Sim</v>
      </c>
    </row>
    <row r="27" spans="1:4" x14ac:dyDescent="0.25">
      <c r="A27" t="s">
        <v>25</v>
      </c>
      <c r="B27" t="s">
        <v>30</v>
      </c>
      <c r="C27" t="s">
        <v>30</v>
      </c>
      <c r="D27" t="str">
        <f t="shared" si="0"/>
        <v>Sim</v>
      </c>
    </row>
    <row r="28" spans="1:4" x14ac:dyDescent="0.25">
      <c r="A28" t="s">
        <v>25</v>
      </c>
      <c r="B28" t="s">
        <v>30</v>
      </c>
      <c r="C28" t="s">
        <v>30</v>
      </c>
      <c r="D28" t="str">
        <f t="shared" si="0"/>
        <v>Sim</v>
      </c>
    </row>
    <row r="29" spans="1:4" x14ac:dyDescent="0.25">
      <c r="A29" t="s">
        <v>25</v>
      </c>
      <c r="B29" t="s">
        <v>30</v>
      </c>
      <c r="C29" t="s">
        <v>30</v>
      </c>
      <c r="D29" t="str">
        <f t="shared" si="0"/>
        <v>Sim</v>
      </c>
    </row>
    <row r="30" spans="1:4" x14ac:dyDescent="0.25">
      <c r="A30" t="s">
        <v>25</v>
      </c>
      <c r="B30" t="s">
        <v>30</v>
      </c>
      <c r="C30" t="s">
        <v>30</v>
      </c>
      <c r="D30" t="str">
        <f t="shared" si="0"/>
        <v>Sim</v>
      </c>
    </row>
    <row r="31" spans="1:4" x14ac:dyDescent="0.25">
      <c r="A31" t="s">
        <v>25</v>
      </c>
      <c r="B31" t="s">
        <v>31</v>
      </c>
      <c r="C31" t="s">
        <v>31</v>
      </c>
      <c r="D31" t="str">
        <f t="shared" si="0"/>
        <v>Sim</v>
      </c>
    </row>
    <row r="32" spans="1:4" x14ac:dyDescent="0.25">
      <c r="A32" t="s">
        <v>25</v>
      </c>
      <c r="B32" t="s">
        <v>31</v>
      </c>
      <c r="C32" t="s">
        <v>31</v>
      </c>
      <c r="D32" t="str">
        <f t="shared" si="0"/>
        <v>Sim</v>
      </c>
    </row>
    <row r="33" spans="1:4" x14ac:dyDescent="0.25">
      <c r="A33" t="s">
        <v>25</v>
      </c>
      <c r="B33" t="s">
        <v>31</v>
      </c>
      <c r="C33" t="s">
        <v>31</v>
      </c>
      <c r="D33" t="str">
        <f t="shared" si="0"/>
        <v>Sim</v>
      </c>
    </row>
    <row r="34" spans="1:4" x14ac:dyDescent="0.25">
      <c r="A34" t="s">
        <v>25</v>
      </c>
      <c r="B34" t="s">
        <v>31</v>
      </c>
      <c r="C34" t="s">
        <v>31</v>
      </c>
      <c r="D34" t="str">
        <f t="shared" si="0"/>
        <v>Sim</v>
      </c>
    </row>
    <row r="35" spans="1:4" x14ac:dyDescent="0.25">
      <c r="A35" t="s">
        <v>5</v>
      </c>
      <c r="B35" t="s">
        <v>111</v>
      </c>
      <c r="C35" t="s">
        <v>111</v>
      </c>
      <c r="D35" t="str">
        <f t="shared" si="0"/>
        <v>Sim</v>
      </c>
    </row>
    <row r="36" spans="1:4" x14ac:dyDescent="0.25">
      <c r="A36" t="s">
        <v>5</v>
      </c>
      <c r="B36" t="s">
        <v>111</v>
      </c>
      <c r="C36" t="s">
        <v>111</v>
      </c>
      <c r="D36" t="str">
        <f t="shared" si="0"/>
        <v>Sim</v>
      </c>
    </row>
    <row r="37" spans="1:4" x14ac:dyDescent="0.25">
      <c r="A37" t="s">
        <v>5</v>
      </c>
      <c r="B37" t="s">
        <v>111</v>
      </c>
      <c r="C37" t="s">
        <v>111</v>
      </c>
      <c r="D37" t="str">
        <f t="shared" si="0"/>
        <v>Sim</v>
      </c>
    </row>
    <row r="38" spans="1:4" x14ac:dyDescent="0.25">
      <c r="A38" t="s">
        <v>5</v>
      </c>
      <c r="B38" t="s">
        <v>111</v>
      </c>
      <c r="C38" t="s">
        <v>111</v>
      </c>
      <c r="D38" t="str">
        <f t="shared" si="0"/>
        <v>Sim</v>
      </c>
    </row>
    <row r="39" spans="1:4" x14ac:dyDescent="0.25">
      <c r="A39" t="s">
        <v>5</v>
      </c>
      <c r="B39" t="s">
        <v>149</v>
      </c>
      <c r="C39" t="s">
        <v>149</v>
      </c>
      <c r="D39" t="str">
        <f t="shared" si="0"/>
        <v>Sim</v>
      </c>
    </row>
    <row r="40" spans="1:4" x14ac:dyDescent="0.25">
      <c r="A40" t="s">
        <v>5</v>
      </c>
      <c r="B40" t="s">
        <v>149</v>
      </c>
      <c r="C40" t="s">
        <v>149</v>
      </c>
      <c r="D40" t="str">
        <f t="shared" si="0"/>
        <v>Sim</v>
      </c>
    </row>
    <row r="41" spans="1:4" x14ac:dyDescent="0.25">
      <c r="A41" t="s">
        <v>5</v>
      </c>
      <c r="B41" t="s">
        <v>149</v>
      </c>
      <c r="C41" t="s">
        <v>149</v>
      </c>
      <c r="D41" t="str">
        <f t="shared" si="0"/>
        <v>Sim</v>
      </c>
    </row>
    <row r="42" spans="1:4" x14ac:dyDescent="0.25">
      <c r="A42" t="s">
        <v>5</v>
      </c>
      <c r="B42" t="s">
        <v>149</v>
      </c>
      <c r="C42" t="s">
        <v>149</v>
      </c>
      <c r="D42" t="str">
        <f t="shared" si="0"/>
        <v>Sim</v>
      </c>
    </row>
    <row r="43" spans="1:4" x14ac:dyDescent="0.25">
      <c r="A43" t="s">
        <v>26</v>
      </c>
      <c r="B43" t="s">
        <v>113</v>
      </c>
      <c r="C43" t="s">
        <v>113</v>
      </c>
      <c r="D43" t="str">
        <f t="shared" si="0"/>
        <v>Sim</v>
      </c>
    </row>
    <row r="44" spans="1:4" x14ac:dyDescent="0.25">
      <c r="A44" t="s">
        <v>26</v>
      </c>
      <c r="B44" t="s">
        <v>113</v>
      </c>
      <c r="C44" t="s">
        <v>113</v>
      </c>
      <c r="D44" t="str">
        <f t="shared" si="0"/>
        <v>Sim</v>
      </c>
    </row>
    <row r="45" spans="1:4" x14ac:dyDescent="0.25">
      <c r="A45" t="s">
        <v>26</v>
      </c>
      <c r="B45" t="s">
        <v>113</v>
      </c>
      <c r="C45" t="s">
        <v>113</v>
      </c>
      <c r="D45" t="str">
        <f t="shared" si="0"/>
        <v>Sim</v>
      </c>
    </row>
    <row r="46" spans="1:4" x14ac:dyDescent="0.25">
      <c r="A46" t="s">
        <v>26</v>
      </c>
      <c r="B46" t="s">
        <v>113</v>
      </c>
      <c r="C46" t="s">
        <v>113</v>
      </c>
      <c r="D46" t="str">
        <f t="shared" si="0"/>
        <v>Sim</v>
      </c>
    </row>
    <row r="47" spans="1:4" x14ac:dyDescent="0.25">
      <c r="A47" t="s">
        <v>26</v>
      </c>
      <c r="C47" t="s">
        <v>58</v>
      </c>
      <c r="D47" t="str">
        <f t="shared" si="0"/>
        <v>Não</v>
      </c>
    </row>
    <row r="48" spans="1:4" x14ac:dyDescent="0.25">
      <c r="A48" t="s">
        <v>26</v>
      </c>
      <c r="C48" t="s">
        <v>58</v>
      </c>
      <c r="D48" t="str">
        <f t="shared" si="0"/>
        <v>Não</v>
      </c>
    </row>
    <row r="49" spans="1:4" x14ac:dyDescent="0.25">
      <c r="A49" t="s">
        <v>26</v>
      </c>
      <c r="C49" t="s">
        <v>58</v>
      </c>
      <c r="D49" t="str">
        <f t="shared" si="0"/>
        <v>Não</v>
      </c>
    </row>
    <row r="50" spans="1:4" x14ac:dyDescent="0.25">
      <c r="A50" t="s">
        <v>26</v>
      </c>
      <c r="C50" t="s">
        <v>58</v>
      </c>
      <c r="D50" t="str">
        <f t="shared" si="0"/>
        <v>Não</v>
      </c>
    </row>
    <row r="51" spans="1:4" x14ac:dyDescent="0.25">
      <c r="A51" t="s">
        <v>26</v>
      </c>
      <c r="B51" t="s">
        <v>28</v>
      </c>
      <c r="C51" t="s">
        <v>28</v>
      </c>
      <c r="D51" t="str">
        <f t="shared" si="0"/>
        <v>Sim</v>
      </c>
    </row>
    <row r="52" spans="1:4" x14ac:dyDescent="0.25">
      <c r="A52" t="s">
        <v>26</v>
      </c>
      <c r="B52" t="s">
        <v>28</v>
      </c>
      <c r="C52" t="s">
        <v>28</v>
      </c>
      <c r="D52" t="str">
        <f t="shared" si="0"/>
        <v>Sim</v>
      </c>
    </row>
    <row r="53" spans="1:4" x14ac:dyDescent="0.25">
      <c r="A53" t="s">
        <v>26</v>
      </c>
      <c r="B53" t="s">
        <v>28</v>
      </c>
      <c r="C53" t="s">
        <v>28</v>
      </c>
      <c r="D53" t="str">
        <f t="shared" si="0"/>
        <v>Sim</v>
      </c>
    </row>
    <row r="54" spans="1:4" x14ac:dyDescent="0.25">
      <c r="A54" t="s">
        <v>21</v>
      </c>
      <c r="B54" t="s">
        <v>114</v>
      </c>
      <c r="C54" t="s">
        <v>114</v>
      </c>
      <c r="D54" t="str">
        <f t="shared" si="0"/>
        <v>Sim</v>
      </c>
    </row>
    <row r="55" spans="1:4" x14ac:dyDescent="0.25">
      <c r="A55" t="s">
        <v>21</v>
      </c>
      <c r="B55" t="s">
        <v>114</v>
      </c>
      <c r="C55" t="s">
        <v>114</v>
      </c>
      <c r="D55" t="str">
        <f t="shared" si="0"/>
        <v>Sim</v>
      </c>
    </row>
    <row r="56" spans="1:4" x14ac:dyDescent="0.25">
      <c r="A56" t="s">
        <v>21</v>
      </c>
      <c r="B56" t="s">
        <v>114</v>
      </c>
      <c r="C56" t="s">
        <v>114</v>
      </c>
      <c r="D56" t="str">
        <f t="shared" si="0"/>
        <v>Sim</v>
      </c>
    </row>
    <row r="57" spans="1:4" x14ac:dyDescent="0.25">
      <c r="A57" t="s">
        <v>21</v>
      </c>
      <c r="B57" t="s">
        <v>115</v>
      </c>
      <c r="C57" t="s">
        <v>115</v>
      </c>
      <c r="D57" t="str">
        <f t="shared" si="0"/>
        <v>Sim</v>
      </c>
    </row>
    <row r="58" spans="1:4" x14ac:dyDescent="0.25">
      <c r="A58" t="s">
        <v>21</v>
      </c>
      <c r="B58" t="s">
        <v>115</v>
      </c>
      <c r="C58" t="s">
        <v>115</v>
      </c>
      <c r="D58" t="str">
        <f t="shared" si="0"/>
        <v>Sim</v>
      </c>
    </row>
    <row r="59" spans="1:4" x14ac:dyDescent="0.25">
      <c r="A59" t="s">
        <v>5</v>
      </c>
      <c r="B59" t="s">
        <v>112</v>
      </c>
      <c r="C59" t="s">
        <v>112</v>
      </c>
      <c r="D59" t="str">
        <f t="shared" si="0"/>
        <v>Sim</v>
      </c>
    </row>
    <row r="60" spans="1:4" x14ac:dyDescent="0.25">
      <c r="A60" t="s">
        <v>5</v>
      </c>
      <c r="B60" t="s">
        <v>112</v>
      </c>
      <c r="C60" t="s">
        <v>112</v>
      </c>
      <c r="D60" t="str">
        <f t="shared" si="0"/>
        <v>Sim</v>
      </c>
    </row>
    <row r="61" spans="1:4" x14ac:dyDescent="0.25">
      <c r="A61" t="s">
        <v>5</v>
      </c>
      <c r="B61" t="s">
        <v>112</v>
      </c>
      <c r="C61" t="s">
        <v>112</v>
      </c>
      <c r="D61" t="str">
        <f t="shared" si="0"/>
        <v>Sim</v>
      </c>
    </row>
    <row r="62" spans="1:4" x14ac:dyDescent="0.25">
      <c r="A62" t="s">
        <v>5</v>
      </c>
      <c r="C62" t="s">
        <v>112</v>
      </c>
      <c r="D62" t="str">
        <f t="shared" si="0"/>
        <v>Não</v>
      </c>
    </row>
    <row r="63" spans="1:4" x14ac:dyDescent="0.25">
      <c r="A63" t="s">
        <v>76</v>
      </c>
      <c r="B63" t="s">
        <v>79</v>
      </c>
      <c r="C63" t="s">
        <v>22</v>
      </c>
      <c r="D63" t="str">
        <f t="shared" si="0"/>
        <v>Não</v>
      </c>
    </row>
    <row r="64" spans="1:4" x14ac:dyDescent="0.25">
      <c r="A64" t="s">
        <v>76</v>
      </c>
      <c r="B64" t="s">
        <v>79</v>
      </c>
      <c r="C64" t="s">
        <v>22</v>
      </c>
      <c r="D64" t="str">
        <f t="shared" si="0"/>
        <v>Não</v>
      </c>
    </row>
    <row r="65" spans="1:4" x14ac:dyDescent="0.25">
      <c r="A65" t="s">
        <v>76</v>
      </c>
      <c r="B65" t="s">
        <v>77</v>
      </c>
      <c r="C65" t="s">
        <v>77</v>
      </c>
      <c r="D65" t="str">
        <f t="shared" si="0"/>
        <v>Sim</v>
      </c>
    </row>
    <row r="66" spans="1:4" x14ac:dyDescent="0.25">
      <c r="A66" t="s">
        <v>76</v>
      </c>
      <c r="B66" t="s">
        <v>77</v>
      </c>
      <c r="C66" t="s">
        <v>77</v>
      </c>
      <c r="D66" t="str">
        <f t="shared" si="0"/>
        <v>Sim</v>
      </c>
    </row>
    <row r="67" spans="1:4" x14ac:dyDescent="0.25">
      <c r="A67" t="s">
        <v>76</v>
      </c>
      <c r="B67" t="s">
        <v>77</v>
      </c>
      <c r="C67" t="s">
        <v>77</v>
      </c>
      <c r="D67" t="str">
        <f t="shared" si="0"/>
        <v>Sim</v>
      </c>
    </row>
    <row r="68" spans="1:4" x14ac:dyDescent="0.25">
      <c r="A68" t="s">
        <v>76</v>
      </c>
      <c r="B68" t="s">
        <v>77</v>
      </c>
      <c r="C68" t="s">
        <v>77</v>
      </c>
      <c r="D68" t="str">
        <f t="shared" ref="D68:D77" si="2">IF(B68=C68, "Sim", "Não")</f>
        <v>Sim</v>
      </c>
    </row>
    <row r="69" spans="1:4" x14ac:dyDescent="0.25">
      <c r="A69" t="s">
        <v>76</v>
      </c>
      <c r="B69" t="s">
        <v>78</v>
      </c>
      <c r="C69" t="s">
        <v>78</v>
      </c>
      <c r="D69" t="str">
        <f t="shared" si="2"/>
        <v>Sim</v>
      </c>
    </row>
    <row r="70" spans="1:4" x14ac:dyDescent="0.25">
      <c r="A70" t="s">
        <v>76</v>
      </c>
      <c r="B70" t="s">
        <v>78</v>
      </c>
      <c r="C70" t="s">
        <v>78</v>
      </c>
      <c r="D70" t="str">
        <f t="shared" si="2"/>
        <v>Sim</v>
      </c>
    </row>
    <row r="71" spans="1:4" x14ac:dyDescent="0.25">
      <c r="A71" t="s">
        <v>76</v>
      </c>
      <c r="B71" t="s">
        <v>78</v>
      </c>
      <c r="C71" t="s">
        <v>78</v>
      </c>
      <c r="D71" t="str">
        <f t="shared" si="2"/>
        <v>Sim</v>
      </c>
    </row>
    <row r="72" spans="1:4" x14ac:dyDescent="0.25">
      <c r="A72" t="s">
        <v>76</v>
      </c>
      <c r="B72" t="s">
        <v>78</v>
      </c>
      <c r="C72" t="s">
        <v>78</v>
      </c>
      <c r="D72" t="str">
        <f t="shared" si="2"/>
        <v>Sim</v>
      </c>
    </row>
    <row r="73" spans="1:4" x14ac:dyDescent="0.25">
      <c r="A73" t="s">
        <v>76</v>
      </c>
      <c r="B73" t="s">
        <v>116</v>
      </c>
      <c r="C73" t="s">
        <v>116</v>
      </c>
      <c r="D73" t="str">
        <f t="shared" si="2"/>
        <v>Sim</v>
      </c>
    </row>
    <row r="74" spans="1:4" x14ac:dyDescent="0.25">
      <c r="A74" t="s">
        <v>76</v>
      </c>
      <c r="B74" t="s">
        <v>116</v>
      </c>
      <c r="C74" t="s">
        <v>116</v>
      </c>
      <c r="D74" t="str">
        <f t="shared" si="2"/>
        <v>Sim</v>
      </c>
    </row>
    <row r="75" spans="1:4" x14ac:dyDescent="0.25">
      <c r="A75" t="s">
        <v>76</v>
      </c>
      <c r="B75" t="s">
        <v>117</v>
      </c>
      <c r="C75" t="s">
        <v>117</v>
      </c>
      <c r="D75" t="str">
        <f t="shared" si="2"/>
        <v>Sim</v>
      </c>
    </row>
    <row r="76" spans="1:4" x14ac:dyDescent="0.25">
      <c r="A76" t="s">
        <v>76</v>
      </c>
      <c r="B76" t="s">
        <v>117</v>
      </c>
      <c r="C76" t="s">
        <v>117</v>
      </c>
      <c r="D76" t="str">
        <f t="shared" si="2"/>
        <v>Sim</v>
      </c>
    </row>
    <row r="77" spans="1:4" x14ac:dyDescent="0.25">
      <c r="A77" t="s">
        <v>76</v>
      </c>
      <c r="B77" t="s">
        <v>79</v>
      </c>
      <c r="C77" t="s">
        <v>118</v>
      </c>
      <c r="D77" t="str">
        <f t="shared" si="2"/>
        <v>Não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02F7-6350-48D0-8308-3EC3E29DBB31}">
  <dimension ref="A1:G100"/>
  <sheetViews>
    <sheetView topLeftCell="A11" workbookViewId="0">
      <selection activeCell="B33" sqref="B33:B36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127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B3" t="s">
        <v>3</v>
      </c>
      <c r="C3" t="s">
        <v>3</v>
      </c>
      <c r="D3" t="str">
        <f>IF(B3=C3, "Sim", "Não")</f>
        <v>Sim</v>
      </c>
      <c r="F3" s="4" t="s">
        <v>12</v>
      </c>
      <c r="G3" s="3">
        <f>COUNTIF(D3:D105,"Não")</f>
        <v>41</v>
      </c>
    </row>
    <row r="4" spans="1:7" x14ac:dyDescent="0.25">
      <c r="A4" t="s">
        <v>1</v>
      </c>
      <c r="B4" t="s">
        <v>3</v>
      </c>
      <c r="C4" t="s">
        <v>3</v>
      </c>
      <c r="D4" t="str">
        <f t="shared" ref="D4:D67" si="0">IF(B4=C4, "Sim", "Não")</f>
        <v>Sim</v>
      </c>
      <c r="F4" s="4" t="s">
        <v>13</v>
      </c>
      <c r="G4" s="3">
        <f>SUM(G7:G25)</f>
        <v>75</v>
      </c>
    </row>
    <row r="5" spans="1:7" x14ac:dyDescent="0.25">
      <c r="A5" t="s">
        <v>1</v>
      </c>
      <c r="B5" t="s">
        <v>3</v>
      </c>
      <c r="C5" t="s">
        <v>3</v>
      </c>
      <c r="D5" t="str">
        <f t="shared" si="0"/>
        <v>Sim</v>
      </c>
    </row>
    <row r="6" spans="1:7" x14ac:dyDescent="0.25">
      <c r="A6" t="s">
        <v>1</v>
      </c>
      <c r="B6" t="s">
        <v>3</v>
      </c>
      <c r="C6" t="s">
        <v>3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B7" t="s">
        <v>2</v>
      </c>
      <c r="C7" t="s">
        <v>2</v>
      </c>
      <c r="D7" t="str">
        <f t="shared" si="0"/>
        <v>Sim</v>
      </c>
      <c r="F7" s="7" t="s">
        <v>1</v>
      </c>
      <c r="G7" s="2">
        <f>COUNTIF(A:A,F7)</f>
        <v>18</v>
      </c>
    </row>
    <row r="8" spans="1:7" x14ac:dyDescent="0.25">
      <c r="A8" t="s">
        <v>1</v>
      </c>
      <c r="B8" t="s">
        <v>2</v>
      </c>
      <c r="C8" t="s">
        <v>2</v>
      </c>
      <c r="D8" t="str">
        <f t="shared" si="0"/>
        <v>Sim</v>
      </c>
      <c r="F8" s="7" t="s">
        <v>86</v>
      </c>
      <c r="G8" s="2">
        <f t="shared" ref="G8:G10" si="1">COUNTIF(A:A,F8)</f>
        <v>28</v>
      </c>
    </row>
    <row r="9" spans="1:7" x14ac:dyDescent="0.25">
      <c r="A9" t="s">
        <v>1</v>
      </c>
      <c r="B9" t="s">
        <v>2</v>
      </c>
      <c r="C9" t="s">
        <v>2</v>
      </c>
      <c r="D9" t="str">
        <f t="shared" si="0"/>
        <v>Sim</v>
      </c>
      <c r="F9" s="7" t="s">
        <v>88</v>
      </c>
      <c r="G9" s="2">
        <f t="shared" si="1"/>
        <v>14</v>
      </c>
    </row>
    <row r="10" spans="1:7" x14ac:dyDescent="0.25">
      <c r="A10" t="s">
        <v>1</v>
      </c>
      <c r="B10" t="s">
        <v>2</v>
      </c>
      <c r="C10" t="s">
        <v>2</v>
      </c>
      <c r="D10" t="str">
        <f t="shared" si="0"/>
        <v>Sim</v>
      </c>
      <c r="F10" s="7" t="s">
        <v>76</v>
      </c>
      <c r="G10" s="2">
        <f t="shared" si="1"/>
        <v>15</v>
      </c>
    </row>
    <row r="11" spans="1:7" x14ac:dyDescent="0.25">
      <c r="A11" t="s">
        <v>1</v>
      </c>
      <c r="B11" t="s">
        <v>2</v>
      </c>
      <c r="C11" t="s">
        <v>2</v>
      </c>
      <c r="D11" t="str">
        <f t="shared" si="0"/>
        <v>Sim</v>
      </c>
      <c r="F11" s="7"/>
      <c r="G11" s="2"/>
    </row>
    <row r="12" spans="1:7" x14ac:dyDescent="0.25">
      <c r="A12" t="s">
        <v>1</v>
      </c>
      <c r="B12" t="s">
        <v>2</v>
      </c>
      <c r="C12" t="s">
        <v>2</v>
      </c>
      <c r="D12" t="str">
        <f t="shared" si="0"/>
        <v>Sim</v>
      </c>
      <c r="F12" s="7"/>
      <c r="G12" s="2"/>
    </row>
    <row r="13" spans="1:7" x14ac:dyDescent="0.25">
      <c r="A13" t="s">
        <v>1</v>
      </c>
      <c r="B13" t="s">
        <v>2</v>
      </c>
      <c r="C13" t="s">
        <v>2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B14" t="s">
        <v>2</v>
      </c>
      <c r="C14" t="s">
        <v>2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2</v>
      </c>
      <c r="C15" t="s">
        <v>2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2</v>
      </c>
      <c r="C16" t="s">
        <v>2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2</v>
      </c>
      <c r="C17" t="s">
        <v>2</v>
      </c>
      <c r="D17" t="str">
        <f t="shared" si="0"/>
        <v>Sim</v>
      </c>
    </row>
    <row r="18" spans="1:4" x14ac:dyDescent="0.25">
      <c r="A18" t="s">
        <v>1</v>
      </c>
      <c r="B18" t="s">
        <v>2</v>
      </c>
      <c r="C18" t="s">
        <v>2</v>
      </c>
      <c r="D18" t="str">
        <f t="shared" si="0"/>
        <v>Sim</v>
      </c>
    </row>
    <row r="19" spans="1:4" x14ac:dyDescent="0.25">
      <c r="A19" t="s">
        <v>1</v>
      </c>
      <c r="B19" t="s">
        <v>2</v>
      </c>
      <c r="C19" t="s">
        <v>2</v>
      </c>
      <c r="D19" t="str">
        <f t="shared" si="0"/>
        <v>Sim</v>
      </c>
    </row>
    <row r="20" spans="1:4" x14ac:dyDescent="0.25">
      <c r="A20" t="s">
        <v>1</v>
      </c>
      <c r="B20" t="s">
        <v>2</v>
      </c>
      <c r="C20" t="s">
        <v>2</v>
      </c>
      <c r="D20" t="str">
        <f t="shared" si="0"/>
        <v>Sim</v>
      </c>
    </row>
    <row r="21" spans="1:4" x14ac:dyDescent="0.25">
      <c r="A21" t="s">
        <v>86</v>
      </c>
      <c r="B21" t="s">
        <v>87</v>
      </c>
      <c r="C21" t="s">
        <v>87</v>
      </c>
      <c r="D21" t="str">
        <f t="shared" si="0"/>
        <v>Sim</v>
      </c>
    </row>
    <row r="22" spans="1:4" x14ac:dyDescent="0.25">
      <c r="A22" t="s">
        <v>86</v>
      </c>
      <c r="B22" t="s">
        <v>87</v>
      </c>
      <c r="C22" t="s">
        <v>87</v>
      </c>
      <c r="D22" t="str">
        <f t="shared" si="0"/>
        <v>Sim</v>
      </c>
    </row>
    <row r="23" spans="1:4" x14ac:dyDescent="0.25">
      <c r="A23" t="s">
        <v>86</v>
      </c>
      <c r="B23" t="s">
        <v>87</v>
      </c>
      <c r="C23" t="s">
        <v>87</v>
      </c>
      <c r="D23" t="str">
        <f t="shared" si="0"/>
        <v>Sim</v>
      </c>
    </row>
    <row r="24" spans="1:4" x14ac:dyDescent="0.25">
      <c r="A24" t="s">
        <v>86</v>
      </c>
      <c r="B24" t="s">
        <v>87</v>
      </c>
      <c r="C24" t="s">
        <v>87</v>
      </c>
      <c r="D24" t="str">
        <f t="shared" si="0"/>
        <v>Sim</v>
      </c>
    </row>
    <row r="25" spans="1:4" x14ac:dyDescent="0.25">
      <c r="A25" t="s">
        <v>86</v>
      </c>
      <c r="B25" t="s">
        <v>50</v>
      </c>
      <c r="C25" t="s">
        <v>50</v>
      </c>
      <c r="D25" t="str">
        <f t="shared" si="0"/>
        <v>Sim</v>
      </c>
    </row>
    <row r="26" spans="1:4" x14ac:dyDescent="0.25">
      <c r="A26" t="s">
        <v>86</v>
      </c>
      <c r="B26" t="s">
        <v>50</v>
      </c>
      <c r="C26" t="s">
        <v>50</v>
      </c>
      <c r="D26" t="str">
        <f t="shared" si="0"/>
        <v>Sim</v>
      </c>
    </row>
    <row r="27" spans="1:4" x14ac:dyDescent="0.25">
      <c r="A27" t="s">
        <v>86</v>
      </c>
      <c r="B27" t="s">
        <v>50</v>
      </c>
      <c r="C27" t="s">
        <v>50</v>
      </c>
      <c r="D27" t="str">
        <f t="shared" si="0"/>
        <v>Sim</v>
      </c>
    </row>
    <row r="28" spans="1:4" x14ac:dyDescent="0.25">
      <c r="A28" t="s">
        <v>86</v>
      </c>
      <c r="B28" t="s">
        <v>50</v>
      </c>
      <c r="C28" t="s">
        <v>50</v>
      </c>
      <c r="D28" t="str">
        <f t="shared" si="0"/>
        <v>Sim</v>
      </c>
    </row>
    <row r="29" spans="1:4" x14ac:dyDescent="0.25">
      <c r="A29" t="s">
        <v>86</v>
      </c>
      <c r="B29" t="s">
        <v>48</v>
      </c>
      <c r="C29" t="s">
        <v>196</v>
      </c>
      <c r="D29" t="str">
        <f t="shared" si="0"/>
        <v>Não</v>
      </c>
    </row>
    <row r="30" spans="1:4" x14ac:dyDescent="0.25">
      <c r="A30" t="s">
        <v>86</v>
      </c>
      <c r="B30" t="s">
        <v>48</v>
      </c>
      <c r="C30" t="s">
        <v>196</v>
      </c>
      <c r="D30" t="str">
        <f t="shared" si="0"/>
        <v>Não</v>
      </c>
    </row>
    <row r="31" spans="1:4" x14ac:dyDescent="0.25">
      <c r="A31" t="s">
        <v>86</v>
      </c>
      <c r="B31" t="s">
        <v>48</v>
      </c>
      <c r="C31" t="s">
        <v>196</v>
      </c>
      <c r="D31" t="str">
        <f t="shared" si="0"/>
        <v>Não</v>
      </c>
    </row>
    <row r="32" spans="1:4" x14ac:dyDescent="0.25">
      <c r="A32" t="s">
        <v>86</v>
      </c>
      <c r="B32" t="s">
        <v>48</v>
      </c>
      <c r="C32" t="s">
        <v>196</v>
      </c>
      <c r="D32" t="str">
        <f t="shared" si="0"/>
        <v>Não</v>
      </c>
    </row>
    <row r="33" spans="1:4" x14ac:dyDescent="0.25">
      <c r="A33" t="s">
        <v>86</v>
      </c>
      <c r="C33" t="s">
        <v>49</v>
      </c>
      <c r="D33" t="str">
        <f t="shared" si="0"/>
        <v>Não</v>
      </c>
    </row>
    <row r="34" spans="1:4" x14ac:dyDescent="0.25">
      <c r="A34" t="s">
        <v>86</v>
      </c>
      <c r="C34" t="s">
        <v>49</v>
      </c>
      <c r="D34" t="str">
        <f t="shared" si="0"/>
        <v>Não</v>
      </c>
    </row>
    <row r="35" spans="1:4" x14ac:dyDescent="0.25">
      <c r="A35" t="s">
        <v>86</v>
      </c>
      <c r="C35" t="s">
        <v>49</v>
      </c>
      <c r="D35" t="str">
        <f t="shared" si="0"/>
        <v>Não</v>
      </c>
    </row>
    <row r="36" spans="1:4" x14ac:dyDescent="0.25">
      <c r="A36" t="s">
        <v>86</v>
      </c>
      <c r="C36" t="s">
        <v>49</v>
      </c>
      <c r="D36" t="str">
        <f t="shared" si="0"/>
        <v>Não</v>
      </c>
    </row>
    <row r="37" spans="1:4" x14ac:dyDescent="0.25">
      <c r="A37" t="s">
        <v>86</v>
      </c>
      <c r="B37" t="s">
        <v>195</v>
      </c>
      <c r="C37" t="s">
        <v>195</v>
      </c>
      <c r="D37" t="str">
        <f t="shared" si="0"/>
        <v>Sim</v>
      </c>
    </row>
    <row r="38" spans="1:4" x14ac:dyDescent="0.25">
      <c r="A38" t="s">
        <v>86</v>
      </c>
      <c r="B38" t="s">
        <v>195</v>
      </c>
      <c r="C38" t="s">
        <v>195</v>
      </c>
      <c r="D38" t="str">
        <f t="shared" si="0"/>
        <v>Sim</v>
      </c>
    </row>
    <row r="39" spans="1:4" x14ac:dyDescent="0.25">
      <c r="A39" t="s">
        <v>86</v>
      </c>
      <c r="B39" t="s">
        <v>195</v>
      </c>
      <c r="C39" t="s">
        <v>195</v>
      </c>
      <c r="D39" t="str">
        <f t="shared" si="0"/>
        <v>Sim</v>
      </c>
    </row>
    <row r="40" spans="1:4" x14ac:dyDescent="0.25">
      <c r="A40" t="s">
        <v>86</v>
      </c>
      <c r="B40" t="s">
        <v>46</v>
      </c>
      <c r="C40" t="s">
        <v>195</v>
      </c>
      <c r="D40" t="str">
        <f t="shared" si="0"/>
        <v>Não</v>
      </c>
    </row>
    <row r="41" spans="1:4" x14ac:dyDescent="0.25">
      <c r="A41" t="s">
        <v>86</v>
      </c>
      <c r="B41" t="s">
        <v>47</v>
      </c>
      <c r="C41" t="s">
        <v>198</v>
      </c>
      <c r="D41" t="str">
        <f t="shared" si="0"/>
        <v>Não</v>
      </c>
    </row>
    <row r="42" spans="1:4" x14ac:dyDescent="0.25">
      <c r="A42" t="s">
        <v>86</v>
      </c>
      <c r="B42" t="s">
        <v>47</v>
      </c>
      <c r="C42" t="s">
        <v>198</v>
      </c>
      <c r="D42" t="str">
        <f t="shared" si="0"/>
        <v>Não</v>
      </c>
    </row>
    <row r="43" spans="1:4" x14ac:dyDescent="0.25">
      <c r="A43" t="s">
        <v>86</v>
      </c>
      <c r="B43" t="s">
        <v>47</v>
      </c>
      <c r="C43" t="s">
        <v>198</v>
      </c>
      <c r="D43" t="str">
        <f t="shared" si="0"/>
        <v>Não</v>
      </c>
    </row>
    <row r="44" spans="1:4" x14ac:dyDescent="0.25">
      <c r="A44" t="s">
        <v>86</v>
      </c>
      <c r="B44" t="s">
        <v>47</v>
      </c>
      <c r="C44" t="s">
        <v>198</v>
      </c>
      <c r="D44" t="str">
        <f t="shared" si="0"/>
        <v>Não</v>
      </c>
    </row>
    <row r="45" spans="1:4" x14ac:dyDescent="0.25">
      <c r="A45" t="s">
        <v>86</v>
      </c>
      <c r="B45" t="s">
        <v>19</v>
      </c>
      <c r="C45" t="s">
        <v>19</v>
      </c>
      <c r="D45" t="str">
        <f t="shared" si="0"/>
        <v>Sim</v>
      </c>
    </row>
    <row r="46" spans="1:4" x14ac:dyDescent="0.25">
      <c r="A46" t="s">
        <v>86</v>
      </c>
      <c r="B46" t="s">
        <v>46</v>
      </c>
      <c r="C46" t="s">
        <v>19</v>
      </c>
      <c r="D46" t="str">
        <f t="shared" si="0"/>
        <v>Não</v>
      </c>
    </row>
    <row r="47" spans="1:4" x14ac:dyDescent="0.25">
      <c r="A47" t="s">
        <v>86</v>
      </c>
      <c r="B47" t="s">
        <v>46</v>
      </c>
      <c r="C47" t="s">
        <v>19</v>
      </c>
      <c r="D47" t="str">
        <f t="shared" si="0"/>
        <v>Não</v>
      </c>
    </row>
    <row r="48" spans="1:4" x14ac:dyDescent="0.25">
      <c r="A48" t="s">
        <v>86</v>
      </c>
      <c r="B48" t="s">
        <v>46</v>
      </c>
      <c r="C48" t="s">
        <v>19</v>
      </c>
      <c r="D48" t="str">
        <f t="shared" si="0"/>
        <v>Não</v>
      </c>
    </row>
    <row r="49" spans="1:4" x14ac:dyDescent="0.25">
      <c r="A49" t="s">
        <v>88</v>
      </c>
      <c r="B49" t="s">
        <v>45</v>
      </c>
      <c r="C49" t="s">
        <v>197</v>
      </c>
      <c r="D49" t="str">
        <f t="shared" si="0"/>
        <v>Não</v>
      </c>
    </row>
    <row r="50" spans="1:4" x14ac:dyDescent="0.25">
      <c r="A50" t="s">
        <v>88</v>
      </c>
      <c r="B50" t="s">
        <v>45</v>
      </c>
      <c r="C50" t="s">
        <v>197</v>
      </c>
      <c r="D50" t="str">
        <f t="shared" si="0"/>
        <v>Não</v>
      </c>
    </row>
    <row r="51" spans="1:4" x14ac:dyDescent="0.25">
      <c r="A51" t="s">
        <v>88</v>
      </c>
      <c r="B51" t="s">
        <v>45</v>
      </c>
      <c r="C51" t="s">
        <v>197</v>
      </c>
      <c r="D51" t="str">
        <f t="shared" si="0"/>
        <v>Não</v>
      </c>
    </row>
    <row r="52" spans="1:4" x14ac:dyDescent="0.25">
      <c r="A52" t="s">
        <v>88</v>
      </c>
      <c r="B52" t="s">
        <v>45</v>
      </c>
      <c r="C52" t="s">
        <v>197</v>
      </c>
      <c r="D52" t="str">
        <f t="shared" si="0"/>
        <v>Não</v>
      </c>
    </row>
    <row r="53" spans="1:4" x14ac:dyDescent="0.25">
      <c r="A53" t="s">
        <v>88</v>
      </c>
      <c r="B53" t="s">
        <v>89</v>
      </c>
      <c r="C53" t="s">
        <v>89</v>
      </c>
      <c r="D53" t="str">
        <f t="shared" si="0"/>
        <v>Sim</v>
      </c>
    </row>
    <row r="54" spans="1:4" x14ac:dyDescent="0.25">
      <c r="A54" t="s">
        <v>88</v>
      </c>
      <c r="B54" t="s">
        <v>89</v>
      </c>
      <c r="C54" t="s">
        <v>89</v>
      </c>
      <c r="D54" t="str">
        <f t="shared" si="0"/>
        <v>Sim</v>
      </c>
    </row>
    <row r="55" spans="1:4" x14ac:dyDescent="0.25">
      <c r="A55" t="s">
        <v>88</v>
      </c>
      <c r="B55" t="s">
        <v>89</v>
      </c>
      <c r="C55" t="s">
        <v>89</v>
      </c>
      <c r="D55" t="str">
        <f t="shared" si="0"/>
        <v>Sim</v>
      </c>
    </row>
    <row r="56" spans="1:4" x14ac:dyDescent="0.25">
      <c r="A56" t="s">
        <v>88</v>
      </c>
      <c r="B56" t="s">
        <v>89</v>
      </c>
      <c r="C56" t="s">
        <v>89</v>
      </c>
      <c r="D56" t="str">
        <f t="shared" si="0"/>
        <v>Sim</v>
      </c>
    </row>
    <row r="57" spans="1:4" x14ac:dyDescent="0.25">
      <c r="A57" t="s">
        <v>88</v>
      </c>
      <c r="B57" t="s">
        <v>90</v>
      </c>
      <c r="C57" t="s">
        <v>199</v>
      </c>
      <c r="D57" t="str">
        <f t="shared" si="0"/>
        <v>Não</v>
      </c>
    </row>
    <row r="58" spans="1:4" x14ac:dyDescent="0.25">
      <c r="A58" t="s">
        <v>88</v>
      </c>
      <c r="B58" t="s">
        <v>90</v>
      </c>
      <c r="C58" t="s">
        <v>199</v>
      </c>
      <c r="D58" t="str">
        <f t="shared" si="0"/>
        <v>Não</v>
      </c>
    </row>
    <row r="59" spans="1:4" x14ac:dyDescent="0.25">
      <c r="A59" t="s">
        <v>88</v>
      </c>
      <c r="B59" t="s">
        <v>90</v>
      </c>
      <c r="C59" t="s">
        <v>199</v>
      </c>
      <c r="D59" t="str">
        <f t="shared" si="0"/>
        <v>Não</v>
      </c>
    </row>
    <row r="60" spans="1:4" x14ac:dyDescent="0.25">
      <c r="A60" t="s">
        <v>88</v>
      </c>
      <c r="B60" t="s">
        <v>90</v>
      </c>
      <c r="C60" t="s">
        <v>199</v>
      </c>
      <c r="D60" t="str">
        <f t="shared" si="0"/>
        <v>Não</v>
      </c>
    </row>
    <row r="61" spans="1:4" x14ac:dyDescent="0.25">
      <c r="A61" t="s">
        <v>88</v>
      </c>
      <c r="B61" t="s">
        <v>2</v>
      </c>
      <c r="C61" t="s">
        <v>200</v>
      </c>
      <c r="D61" t="str">
        <f t="shared" si="0"/>
        <v>Não</v>
      </c>
    </row>
    <row r="62" spans="1:4" x14ac:dyDescent="0.25">
      <c r="A62" t="s">
        <v>88</v>
      </c>
      <c r="B62" t="s">
        <v>2</v>
      </c>
      <c r="C62" t="s">
        <v>200</v>
      </c>
      <c r="D62" t="str">
        <f t="shared" si="0"/>
        <v>Não</v>
      </c>
    </row>
    <row r="63" spans="1:4" x14ac:dyDescent="0.25">
      <c r="A63" t="s">
        <v>76</v>
      </c>
      <c r="C63" t="s">
        <v>8</v>
      </c>
      <c r="D63" t="str">
        <f t="shared" si="0"/>
        <v>Não</v>
      </c>
    </row>
    <row r="64" spans="1:4" x14ac:dyDescent="0.25">
      <c r="A64" t="s">
        <v>76</v>
      </c>
      <c r="C64" t="s">
        <v>8</v>
      </c>
      <c r="D64" t="str">
        <f t="shared" si="0"/>
        <v>Não</v>
      </c>
    </row>
    <row r="65" spans="1:4" x14ac:dyDescent="0.25">
      <c r="A65" t="s">
        <v>76</v>
      </c>
      <c r="C65" t="s">
        <v>8</v>
      </c>
      <c r="D65" t="str">
        <f t="shared" si="0"/>
        <v>Não</v>
      </c>
    </row>
    <row r="66" spans="1:4" x14ac:dyDescent="0.25">
      <c r="A66" t="s">
        <v>76</v>
      </c>
      <c r="C66" t="s">
        <v>8</v>
      </c>
      <c r="D66" t="str">
        <f t="shared" si="0"/>
        <v>Não</v>
      </c>
    </row>
    <row r="67" spans="1:4" x14ac:dyDescent="0.25">
      <c r="A67" t="s">
        <v>76</v>
      </c>
      <c r="C67" t="s">
        <v>91</v>
      </c>
      <c r="D67" t="str">
        <f t="shared" si="0"/>
        <v>Não</v>
      </c>
    </row>
    <row r="68" spans="1:4" x14ac:dyDescent="0.25">
      <c r="A68" t="s">
        <v>76</v>
      </c>
      <c r="C68" t="s">
        <v>91</v>
      </c>
      <c r="D68" t="str">
        <f t="shared" ref="D68:D77" si="2">IF(B68=C68, "Sim", "Não")</f>
        <v>Não</v>
      </c>
    </row>
    <row r="69" spans="1:4" x14ac:dyDescent="0.25">
      <c r="A69" t="s">
        <v>76</v>
      </c>
      <c r="C69" t="s">
        <v>91</v>
      </c>
      <c r="D69" t="str">
        <f t="shared" si="2"/>
        <v>Não</v>
      </c>
    </row>
    <row r="70" spans="1:4" x14ac:dyDescent="0.25">
      <c r="A70" t="s">
        <v>76</v>
      </c>
      <c r="C70" t="s">
        <v>92</v>
      </c>
      <c r="D70" t="str">
        <f t="shared" si="2"/>
        <v>Não</v>
      </c>
    </row>
    <row r="71" spans="1:4" x14ac:dyDescent="0.25">
      <c r="A71" t="s">
        <v>76</v>
      </c>
      <c r="C71" t="s">
        <v>92</v>
      </c>
      <c r="D71" t="str">
        <f t="shared" si="2"/>
        <v>Não</v>
      </c>
    </row>
    <row r="72" spans="1:4" x14ac:dyDescent="0.25">
      <c r="A72" t="s">
        <v>76</v>
      </c>
      <c r="C72" t="s">
        <v>92</v>
      </c>
      <c r="D72" t="str">
        <f t="shared" si="2"/>
        <v>Não</v>
      </c>
    </row>
    <row r="73" spans="1:4" x14ac:dyDescent="0.25">
      <c r="A73" t="s">
        <v>76</v>
      </c>
      <c r="C73" t="s">
        <v>92</v>
      </c>
      <c r="D73" t="str">
        <f t="shared" si="2"/>
        <v>Não</v>
      </c>
    </row>
    <row r="74" spans="1:4" x14ac:dyDescent="0.25">
      <c r="A74" t="s">
        <v>76</v>
      </c>
      <c r="C74" t="s">
        <v>154</v>
      </c>
      <c r="D74" t="str">
        <f t="shared" si="2"/>
        <v>Não</v>
      </c>
    </row>
    <row r="75" spans="1:4" x14ac:dyDescent="0.25">
      <c r="A75" t="s">
        <v>76</v>
      </c>
      <c r="C75" t="s">
        <v>154</v>
      </c>
      <c r="D75" t="str">
        <f t="shared" si="2"/>
        <v>Não</v>
      </c>
    </row>
    <row r="76" spans="1:4" x14ac:dyDescent="0.25">
      <c r="A76" t="s">
        <v>76</v>
      </c>
      <c r="C76" t="s">
        <v>154</v>
      </c>
      <c r="D76" t="str">
        <f t="shared" si="2"/>
        <v>Não</v>
      </c>
    </row>
    <row r="77" spans="1:4" x14ac:dyDescent="0.25">
      <c r="A77" t="s">
        <v>76</v>
      </c>
      <c r="C77" t="s">
        <v>154</v>
      </c>
      <c r="D77" t="str">
        <f t="shared" si="2"/>
        <v>Não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4074-238F-4E68-9DAA-CBE3D5952917}">
  <dimension ref="A1:G101"/>
  <sheetViews>
    <sheetView workbookViewId="0">
      <selection activeCell="C65" sqref="C65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126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B3" t="s">
        <v>27</v>
      </c>
      <c r="C3" t="s">
        <v>27</v>
      </c>
      <c r="D3" t="str">
        <f>IF(B3=C3, "Sim", "Não")</f>
        <v>Sim</v>
      </c>
      <c r="F3" s="4" t="s">
        <v>12</v>
      </c>
      <c r="G3" s="3">
        <f>COUNTIF(D3:D105,"Não")</f>
        <v>14</v>
      </c>
    </row>
    <row r="4" spans="1:7" x14ac:dyDescent="0.25">
      <c r="A4" t="s">
        <v>1</v>
      </c>
      <c r="B4" t="s">
        <v>27</v>
      </c>
      <c r="C4" t="s">
        <v>27</v>
      </c>
      <c r="D4" t="str">
        <f t="shared" ref="D4:D67" si="0">IF(B4=C4, "Sim", "Não")</f>
        <v>Sim</v>
      </c>
      <c r="F4" s="4" t="s">
        <v>13</v>
      </c>
      <c r="G4" s="3">
        <f>SUM(G7:G25)</f>
        <v>75</v>
      </c>
    </row>
    <row r="5" spans="1:7" x14ac:dyDescent="0.25">
      <c r="A5" t="s">
        <v>1</v>
      </c>
      <c r="B5" t="s">
        <v>27</v>
      </c>
      <c r="C5" t="s">
        <v>27</v>
      </c>
      <c r="D5" t="str">
        <f t="shared" si="0"/>
        <v>Sim</v>
      </c>
    </row>
    <row r="6" spans="1:7" x14ac:dyDescent="0.25">
      <c r="A6" t="s">
        <v>1</v>
      </c>
      <c r="B6" t="s">
        <v>27</v>
      </c>
      <c r="C6" t="s">
        <v>27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B7" t="s">
        <v>14</v>
      </c>
      <c r="C7" t="s">
        <v>18</v>
      </c>
      <c r="D7" t="str">
        <f t="shared" si="0"/>
        <v>Não</v>
      </c>
      <c r="F7" s="1" t="s">
        <v>1</v>
      </c>
      <c r="G7" s="2">
        <f>COUNTIF(A:A,F7)</f>
        <v>20</v>
      </c>
    </row>
    <row r="8" spans="1:7" x14ac:dyDescent="0.25">
      <c r="A8" t="s">
        <v>1</v>
      </c>
      <c r="B8" t="s">
        <v>14</v>
      </c>
      <c r="C8" t="s">
        <v>18</v>
      </c>
      <c r="D8" t="str">
        <f t="shared" si="0"/>
        <v>Não</v>
      </c>
      <c r="F8" s="1" t="s">
        <v>75</v>
      </c>
      <c r="G8" s="2">
        <f t="shared" ref="G8:G12" si="1">COUNTIF(A:A,F8)</f>
        <v>26</v>
      </c>
    </row>
    <row r="9" spans="1:7" x14ac:dyDescent="0.25">
      <c r="A9" t="s">
        <v>1</v>
      </c>
      <c r="B9" t="s">
        <v>69</v>
      </c>
      <c r="C9" t="s">
        <v>69</v>
      </c>
      <c r="D9" t="str">
        <f t="shared" si="0"/>
        <v>Sim</v>
      </c>
      <c r="F9" s="1" t="s">
        <v>5</v>
      </c>
      <c r="G9" s="2">
        <f t="shared" si="1"/>
        <v>6</v>
      </c>
    </row>
    <row r="10" spans="1:7" x14ac:dyDescent="0.25">
      <c r="A10" t="s">
        <v>1</v>
      </c>
      <c r="B10" t="s">
        <v>69</v>
      </c>
      <c r="C10" t="s">
        <v>69</v>
      </c>
      <c r="D10" t="str">
        <f t="shared" si="0"/>
        <v>Sim</v>
      </c>
      <c r="F10" s="1" t="s">
        <v>17</v>
      </c>
      <c r="G10" s="2">
        <f t="shared" si="1"/>
        <v>4</v>
      </c>
    </row>
    <row r="11" spans="1:7" x14ac:dyDescent="0.25">
      <c r="A11" t="s">
        <v>1</v>
      </c>
      <c r="B11" t="s">
        <v>69</v>
      </c>
      <c r="C11" t="s">
        <v>69</v>
      </c>
      <c r="D11" t="str">
        <f t="shared" si="0"/>
        <v>Sim</v>
      </c>
      <c r="F11" s="1" t="s">
        <v>6</v>
      </c>
      <c r="G11" s="2">
        <f t="shared" si="1"/>
        <v>4</v>
      </c>
    </row>
    <row r="12" spans="1:7" x14ac:dyDescent="0.25">
      <c r="A12" t="s">
        <v>1</v>
      </c>
      <c r="B12" t="s">
        <v>69</v>
      </c>
      <c r="C12" t="s">
        <v>69</v>
      </c>
      <c r="D12" t="str">
        <f t="shared" si="0"/>
        <v>Sim</v>
      </c>
      <c r="F12" s="1" t="s">
        <v>76</v>
      </c>
      <c r="G12" s="2">
        <f t="shared" si="1"/>
        <v>15</v>
      </c>
    </row>
    <row r="13" spans="1:7" x14ac:dyDescent="0.25">
      <c r="A13" t="s">
        <v>1</v>
      </c>
      <c r="B13" t="s">
        <v>59</v>
      </c>
      <c r="C13" t="s">
        <v>59</v>
      </c>
      <c r="D13" t="str">
        <f t="shared" si="0"/>
        <v>Sim</v>
      </c>
      <c r="F13" s="1"/>
      <c r="G13" s="2"/>
    </row>
    <row r="14" spans="1:7" x14ac:dyDescent="0.25">
      <c r="A14" t="s">
        <v>1</v>
      </c>
      <c r="B14" t="s">
        <v>59</v>
      </c>
      <c r="C14" t="s">
        <v>59</v>
      </c>
      <c r="D14" t="str">
        <f t="shared" si="0"/>
        <v>Sim</v>
      </c>
      <c r="F14" s="1"/>
      <c r="G14" s="2"/>
    </row>
    <row r="15" spans="1:7" x14ac:dyDescent="0.25">
      <c r="A15" t="s">
        <v>1</v>
      </c>
      <c r="B15" t="s">
        <v>59</v>
      </c>
      <c r="C15" t="s">
        <v>59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59</v>
      </c>
      <c r="C16" t="s">
        <v>59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23</v>
      </c>
      <c r="C17" t="s">
        <v>23</v>
      </c>
      <c r="D17" t="str">
        <f t="shared" si="0"/>
        <v>Sim</v>
      </c>
    </row>
    <row r="18" spans="1:4" x14ac:dyDescent="0.25">
      <c r="A18" t="s">
        <v>1</v>
      </c>
      <c r="B18" t="s">
        <v>23</v>
      </c>
      <c r="C18" t="s">
        <v>23</v>
      </c>
      <c r="D18" t="str">
        <f t="shared" si="0"/>
        <v>Sim</v>
      </c>
    </row>
    <row r="19" spans="1:4" x14ac:dyDescent="0.25">
      <c r="A19" t="s">
        <v>1</v>
      </c>
      <c r="B19" t="s">
        <v>23</v>
      </c>
      <c r="C19" t="s">
        <v>23</v>
      </c>
      <c r="D19" t="str">
        <f t="shared" si="0"/>
        <v>Sim</v>
      </c>
    </row>
    <row r="20" spans="1:4" x14ac:dyDescent="0.25">
      <c r="A20" t="s">
        <v>1</v>
      </c>
      <c r="B20" t="s">
        <v>14</v>
      </c>
      <c r="C20" t="s">
        <v>14</v>
      </c>
      <c r="D20" t="str">
        <f t="shared" si="0"/>
        <v>Sim</v>
      </c>
    </row>
    <row r="21" spans="1:4" x14ac:dyDescent="0.25">
      <c r="A21" t="s">
        <v>1</v>
      </c>
      <c r="B21" t="s">
        <v>14</v>
      </c>
      <c r="C21" t="s">
        <v>14</v>
      </c>
      <c r="D21" t="str">
        <f t="shared" si="0"/>
        <v>Sim</v>
      </c>
    </row>
    <row r="22" spans="1:4" x14ac:dyDescent="0.25">
      <c r="A22" t="s">
        <v>1</v>
      </c>
      <c r="B22" t="s">
        <v>7</v>
      </c>
      <c r="C22" t="s">
        <v>7</v>
      </c>
      <c r="D22" t="str">
        <f t="shared" si="0"/>
        <v>Sim</v>
      </c>
    </row>
    <row r="23" spans="1:4" x14ac:dyDescent="0.25">
      <c r="A23" t="s">
        <v>75</v>
      </c>
      <c r="B23" t="s">
        <v>70</v>
      </c>
      <c r="C23" t="s">
        <v>70</v>
      </c>
      <c r="D23" t="str">
        <f t="shared" si="0"/>
        <v>Sim</v>
      </c>
    </row>
    <row r="24" spans="1:4" x14ac:dyDescent="0.25">
      <c r="A24" t="s">
        <v>75</v>
      </c>
      <c r="B24" t="s">
        <v>70</v>
      </c>
      <c r="C24" t="s">
        <v>70</v>
      </c>
      <c r="D24" t="str">
        <f t="shared" si="0"/>
        <v>Sim</v>
      </c>
    </row>
    <row r="25" spans="1:4" x14ac:dyDescent="0.25">
      <c r="A25" t="s">
        <v>75</v>
      </c>
      <c r="B25" t="s">
        <v>70</v>
      </c>
      <c r="C25" t="s">
        <v>70</v>
      </c>
      <c r="D25" t="str">
        <f t="shared" si="0"/>
        <v>Sim</v>
      </c>
    </row>
    <row r="26" spans="1:4" x14ac:dyDescent="0.25">
      <c r="A26" t="s">
        <v>75</v>
      </c>
      <c r="B26" t="s">
        <v>70</v>
      </c>
      <c r="C26" t="s">
        <v>70</v>
      </c>
      <c r="D26" t="str">
        <f t="shared" si="0"/>
        <v>Sim</v>
      </c>
    </row>
    <row r="27" spans="1:4" x14ac:dyDescent="0.25">
      <c r="A27" t="s">
        <v>75</v>
      </c>
      <c r="B27" t="s">
        <v>122</v>
      </c>
      <c r="C27" t="s">
        <v>122</v>
      </c>
      <c r="D27" t="str">
        <f t="shared" si="0"/>
        <v>Sim</v>
      </c>
    </row>
    <row r="28" spans="1:4" x14ac:dyDescent="0.25">
      <c r="A28" t="s">
        <v>75</v>
      </c>
      <c r="B28" t="s">
        <v>122</v>
      </c>
      <c r="C28" t="s">
        <v>122</v>
      </c>
      <c r="D28" t="str">
        <f t="shared" si="0"/>
        <v>Sim</v>
      </c>
    </row>
    <row r="29" spans="1:4" x14ac:dyDescent="0.25">
      <c r="A29" t="s">
        <v>75</v>
      </c>
      <c r="B29" t="s">
        <v>122</v>
      </c>
      <c r="C29" t="s">
        <v>122</v>
      </c>
      <c r="D29" t="str">
        <f t="shared" si="0"/>
        <v>Sim</v>
      </c>
    </row>
    <row r="30" spans="1:4" x14ac:dyDescent="0.25">
      <c r="A30" t="s">
        <v>75</v>
      </c>
      <c r="B30" t="s">
        <v>122</v>
      </c>
      <c r="C30" t="s">
        <v>122</v>
      </c>
      <c r="D30" t="str">
        <f t="shared" si="0"/>
        <v>Sim</v>
      </c>
    </row>
    <row r="31" spans="1:4" x14ac:dyDescent="0.25">
      <c r="A31" t="s">
        <v>75</v>
      </c>
      <c r="B31" t="s">
        <v>72</v>
      </c>
      <c r="C31" t="s">
        <v>72</v>
      </c>
      <c r="D31" t="str">
        <f t="shared" si="0"/>
        <v>Sim</v>
      </c>
    </row>
    <row r="32" spans="1:4" x14ac:dyDescent="0.25">
      <c r="A32" t="s">
        <v>75</v>
      </c>
      <c r="B32" t="s">
        <v>72</v>
      </c>
      <c r="C32" t="s">
        <v>72</v>
      </c>
      <c r="D32" t="str">
        <f t="shared" si="0"/>
        <v>Sim</v>
      </c>
    </row>
    <row r="33" spans="1:4" x14ac:dyDescent="0.25">
      <c r="A33" t="s">
        <v>75</v>
      </c>
      <c r="B33" t="s">
        <v>72</v>
      </c>
      <c r="C33" t="s">
        <v>72</v>
      </c>
      <c r="D33" t="str">
        <f t="shared" si="0"/>
        <v>Sim</v>
      </c>
    </row>
    <row r="34" spans="1:4" x14ac:dyDescent="0.25">
      <c r="A34" t="s">
        <v>75</v>
      </c>
      <c r="B34" t="s">
        <v>72</v>
      </c>
      <c r="C34" t="s">
        <v>72</v>
      </c>
      <c r="D34" t="str">
        <f t="shared" si="0"/>
        <v>Sim</v>
      </c>
    </row>
    <row r="35" spans="1:4" x14ac:dyDescent="0.25">
      <c r="A35" t="s">
        <v>75</v>
      </c>
      <c r="B35" t="s">
        <v>73</v>
      </c>
      <c r="C35" t="s">
        <v>73</v>
      </c>
      <c r="D35" t="str">
        <f t="shared" si="0"/>
        <v>Sim</v>
      </c>
    </row>
    <row r="36" spans="1:4" x14ac:dyDescent="0.25">
      <c r="A36" t="s">
        <v>75</v>
      </c>
      <c r="B36" t="s">
        <v>73</v>
      </c>
      <c r="C36" t="s">
        <v>73</v>
      </c>
      <c r="D36" t="str">
        <f t="shared" si="0"/>
        <v>Sim</v>
      </c>
    </row>
    <row r="37" spans="1:4" x14ac:dyDescent="0.25">
      <c r="A37" t="s">
        <v>75</v>
      </c>
      <c r="B37" t="s">
        <v>73</v>
      </c>
      <c r="C37" t="s">
        <v>73</v>
      </c>
      <c r="D37" t="str">
        <f t="shared" si="0"/>
        <v>Sim</v>
      </c>
    </row>
    <row r="38" spans="1:4" x14ac:dyDescent="0.25">
      <c r="A38" t="s">
        <v>75</v>
      </c>
      <c r="B38" t="s">
        <v>73</v>
      </c>
      <c r="C38" t="s">
        <v>73</v>
      </c>
      <c r="D38" t="str">
        <f t="shared" si="0"/>
        <v>Sim</v>
      </c>
    </row>
    <row r="39" spans="1:4" x14ac:dyDescent="0.25">
      <c r="A39" t="s">
        <v>75</v>
      </c>
      <c r="B39" t="s">
        <v>74</v>
      </c>
      <c r="C39" t="s">
        <v>74</v>
      </c>
      <c r="D39" t="str">
        <f t="shared" si="0"/>
        <v>Sim</v>
      </c>
    </row>
    <row r="40" spans="1:4" x14ac:dyDescent="0.25">
      <c r="A40" t="s">
        <v>75</v>
      </c>
      <c r="B40" t="s">
        <v>74</v>
      </c>
      <c r="C40" t="s">
        <v>74</v>
      </c>
      <c r="D40" t="str">
        <f t="shared" si="0"/>
        <v>Sim</v>
      </c>
    </row>
    <row r="41" spans="1:4" x14ac:dyDescent="0.25">
      <c r="A41" t="s">
        <v>75</v>
      </c>
      <c r="B41" t="s">
        <v>74</v>
      </c>
      <c r="C41" t="s">
        <v>74</v>
      </c>
      <c r="D41" t="str">
        <f t="shared" si="0"/>
        <v>Sim</v>
      </c>
    </row>
    <row r="42" spans="1:4" x14ac:dyDescent="0.25">
      <c r="A42" t="s">
        <v>75</v>
      </c>
      <c r="B42" t="s">
        <v>74</v>
      </c>
      <c r="C42" t="s">
        <v>74</v>
      </c>
      <c r="D42" t="str">
        <f t="shared" si="0"/>
        <v>Sim</v>
      </c>
    </row>
    <row r="43" spans="1:4" x14ac:dyDescent="0.25">
      <c r="A43" t="s">
        <v>75</v>
      </c>
      <c r="B43" t="s">
        <v>71</v>
      </c>
      <c r="C43" t="s">
        <v>42</v>
      </c>
      <c r="D43" t="str">
        <f t="shared" si="0"/>
        <v>Não</v>
      </c>
    </row>
    <row r="44" spans="1:4" x14ac:dyDescent="0.25">
      <c r="A44" t="s">
        <v>75</v>
      </c>
      <c r="B44" t="s">
        <v>42</v>
      </c>
      <c r="C44" t="s">
        <v>42</v>
      </c>
      <c r="D44" t="str">
        <f t="shared" si="0"/>
        <v>Sim</v>
      </c>
    </row>
    <row r="45" spans="1:4" x14ac:dyDescent="0.25">
      <c r="A45" t="s">
        <v>75</v>
      </c>
      <c r="B45" t="s">
        <v>41</v>
      </c>
      <c r="C45" t="s">
        <v>41</v>
      </c>
      <c r="D45" t="str">
        <f t="shared" si="0"/>
        <v>Sim</v>
      </c>
    </row>
    <row r="46" spans="1:4" x14ac:dyDescent="0.25">
      <c r="A46" t="s">
        <v>75</v>
      </c>
      <c r="B46" t="s">
        <v>41</v>
      </c>
      <c r="C46" t="s">
        <v>41</v>
      </c>
      <c r="D46" t="str">
        <f t="shared" si="0"/>
        <v>Sim</v>
      </c>
    </row>
    <row r="47" spans="1:4" x14ac:dyDescent="0.25">
      <c r="A47" t="s">
        <v>75</v>
      </c>
      <c r="B47" t="s">
        <v>41</v>
      </c>
      <c r="C47" t="s">
        <v>41</v>
      </c>
      <c r="D47" t="str">
        <f t="shared" si="0"/>
        <v>Sim</v>
      </c>
    </row>
    <row r="48" spans="1:4" x14ac:dyDescent="0.25">
      <c r="A48" t="s">
        <v>75</v>
      </c>
      <c r="B48" t="s">
        <v>41</v>
      </c>
      <c r="C48" t="s">
        <v>41</v>
      </c>
      <c r="D48" t="str">
        <f t="shared" si="0"/>
        <v>Sim</v>
      </c>
    </row>
    <row r="49" spans="1:4" x14ac:dyDescent="0.25">
      <c r="A49" t="s">
        <v>5</v>
      </c>
      <c r="B49" t="s">
        <v>148</v>
      </c>
      <c r="C49" t="s">
        <v>148</v>
      </c>
      <c r="D49" t="str">
        <f t="shared" si="0"/>
        <v>Sim</v>
      </c>
    </row>
    <row r="50" spans="1:4" x14ac:dyDescent="0.25">
      <c r="A50" t="s">
        <v>5</v>
      </c>
      <c r="B50" t="s">
        <v>150</v>
      </c>
      <c r="C50" t="s">
        <v>148</v>
      </c>
      <c r="D50" t="str">
        <f t="shared" si="0"/>
        <v>Não</v>
      </c>
    </row>
    <row r="51" spans="1:4" x14ac:dyDescent="0.25">
      <c r="A51" t="s">
        <v>5</v>
      </c>
      <c r="B51" t="s">
        <v>150</v>
      </c>
      <c r="C51" t="s">
        <v>148</v>
      </c>
      <c r="D51" t="str">
        <f t="shared" si="0"/>
        <v>Não</v>
      </c>
    </row>
    <row r="52" spans="1:4" x14ac:dyDescent="0.25">
      <c r="A52" t="s">
        <v>5</v>
      </c>
      <c r="B52" t="s">
        <v>150</v>
      </c>
      <c r="C52" t="s">
        <v>148</v>
      </c>
      <c r="D52" t="str">
        <f t="shared" si="0"/>
        <v>Não</v>
      </c>
    </row>
    <row r="53" spans="1:4" x14ac:dyDescent="0.25">
      <c r="A53" t="s">
        <v>5</v>
      </c>
      <c r="B53" t="s">
        <v>56</v>
      </c>
      <c r="C53" t="s">
        <v>56</v>
      </c>
      <c r="D53" t="str">
        <f t="shared" si="0"/>
        <v>Sim</v>
      </c>
    </row>
    <row r="54" spans="1:4" x14ac:dyDescent="0.25">
      <c r="A54" t="s">
        <v>5</v>
      </c>
      <c r="B54" t="s">
        <v>56</v>
      </c>
      <c r="C54" t="s">
        <v>56</v>
      </c>
      <c r="D54" t="str">
        <f t="shared" si="0"/>
        <v>Sim</v>
      </c>
    </row>
    <row r="55" spans="1:4" x14ac:dyDescent="0.25">
      <c r="A55" t="s">
        <v>17</v>
      </c>
      <c r="B55" t="s">
        <v>89</v>
      </c>
      <c r="C55" t="s">
        <v>89</v>
      </c>
      <c r="D55" t="str">
        <f t="shared" si="0"/>
        <v>Sim</v>
      </c>
    </row>
    <row r="56" spans="1:4" x14ac:dyDescent="0.25">
      <c r="A56" t="s">
        <v>17</v>
      </c>
      <c r="B56" t="s">
        <v>89</v>
      </c>
      <c r="C56" t="s">
        <v>89</v>
      </c>
      <c r="D56" t="str">
        <f t="shared" si="0"/>
        <v>Sim</v>
      </c>
    </row>
    <row r="57" spans="1:4" x14ac:dyDescent="0.25">
      <c r="A57" t="s">
        <v>17</v>
      </c>
      <c r="B57" t="s">
        <v>89</v>
      </c>
      <c r="C57" t="s">
        <v>89</v>
      </c>
      <c r="D57" t="str">
        <f t="shared" si="0"/>
        <v>Sim</v>
      </c>
    </row>
    <row r="58" spans="1:4" x14ac:dyDescent="0.25">
      <c r="A58" t="s">
        <v>17</v>
      </c>
      <c r="B58" t="s">
        <v>89</v>
      </c>
      <c r="C58" t="s">
        <v>89</v>
      </c>
      <c r="D58" t="str">
        <f t="shared" si="0"/>
        <v>Sim</v>
      </c>
    </row>
    <row r="59" spans="1:4" x14ac:dyDescent="0.25">
      <c r="A59" t="s">
        <v>6</v>
      </c>
      <c r="B59" t="s">
        <v>153</v>
      </c>
      <c r="C59" t="s">
        <v>153</v>
      </c>
      <c r="D59" t="str">
        <f t="shared" si="0"/>
        <v>Sim</v>
      </c>
    </row>
    <row r="60" spans="1:4" x14ac:dyDescent="0.25">
      <c r="A60" t="s">
        <v>6</v>
      </c>
      <c r="B60" t="s">
        <v>153</v>
      </c>
      <c r="C60" t="s">
        <v>153</v>
      </c>
      <c r="D60" t="str">
        <f t="shared" si="0"/>
        <v>Sim</v>
      </c>
    </row>
    <row r="61" spans="1:4" x14ac:dyDescent="0.25">
      <c r="A61" t="s">
        <v>6</v>
      </c>
      <c r="B61" t="s">
        <v>151</v>
      </c>
      <c r="C61" t="s">
        <v>153</v>
      </c>
      <c r="D61" t="str">
        <f t="shared" si="0"/>
        <v>Não</v>
      </c>
    </row>
    <row r="62" spans="1:4" x14ac:dyDescent="0.25">
      <c r="A62" t="s">
        <v>6</v>
      </c>
      <c r="B62" t="s">
        <v>151</v>
      </c>
      <c r="C62" t="s">
        <v>153</v>
      </c>
      <c r="D62" t="str">
        <f t="shared" si="0"/>
        <v>Não</v>
      </c>
    </row>
    <row r="63" spans="1:4" x14ac:dyDescent="0.25">
      <c r="A63" t="s">
        <v>76</v>
      </c>
      <c r="B63" t="s">
        <v>77</v>
      </c>
      <c r="C63" t="s">
        <v>77</v>
      </c>
      <c r="D63" t="str">
        <f t="shared" si="0"/>
        <v>Sim</v>
      </c>
    </row>
    <row r="64" spans="1:4" x14ac:dyDescent="0.25">
      <c r="A64" t="s">
        <v>76</v>
      </c>
      <c r="B64" t="s">
        <v>77</v>
      </c>
      <c r="C64" t="s">
        <v>77</v>
      </c>
      <c r="D64" t="str">
        <f t="shared" si="0"/>
        <v>Sim</v>
      </c>
    </row>
    <row r="65" spans="1:4" x14ac:dyDescent="0.25">
      <c r="A65" t="s">
        <v>76</v>
      </c>
      <c r="B65" t="s">
        <v>77</v>
      </c>
      <c r="C65" t="s">
        <v>77</v>
      </c>
      <c r="D65" t="str">
        <f t="shared" si="0"/>
        <v>Sim</v>
      </c>
    </row>
    <row r="66" spans="1:4" x14ac:dyDescent="0.25">
      <c r="A66" t="s">
        <v>76</v>
      </c>
      <c r="B66" t="s">
        <v>77</v>
      </c>
      <c r="C66" t="s">
        <v>77</v>
      </c>
      <c r="D66" t="str">
        <f t="shared" si="0"/>
        <v>Sim</v>
      </c>
    </row>
    <row r="67" spans="1:4" x14ac:dyDescent="0.25">
      <c r="A67" t="s">
        <v>76</v>
      </c>
      <c r="B67" t="s">
        <v>78</v>
      </c>
      <c r="C67" t="s">
        <v>78</v>
      </c>
      <c r="D67" t="str">
        <f t="shared" si="0"/>
        <v>Sim</v>
      </c>
    </row>
    <row r="68" spans="1:4" x14ac:dyDescent="0.25">
      <c r="A68" t="s">
        <v>76</v>
      </c>
      <c r="B68" t="s">
        <v>78</v>
      </c>
      <c r="C68" t="s">
        <v>78</v>
      </c>
      <c r="D68" t="str">
        <f t="shared" ref="D68:D77" si="2">IF(B68=C68, "Sim", "Não")</f>
        <v>Sim</v>
      </c>
    </row>
    <row r="69" spans="1:4" x14ac:dyDescent="0.25">
      <c r="A69" t="s">
        <v>76</v>
      </c>
      <c r="B69" t="s">
        <v>78</v>
      </c>
      <c r="C69" t="s">
        <v>78</v>
      </c>
      <c r="D69" t="str">
        <f t="shared" si="2"/>
        <v>Sim</v>
      </c>
    </row>
    <row r="70" spans="1:4" x14ac:dyDescent="0.25">
      <c r="A70" t="s">
        <v>76</v>
      </c>
      <c r="B70" t="s">
        <v>79</v>
      </c>
      <c r="C70" t="s">
        <v>79</v>
      </c>
      <c r="D70" t="str">
        <f t="shared" si="2"/>
        <v>Sim</v>
      </c>
    </row>
    <row r="71" spans="1:4" x14ac:dyDescent="0.25">
      <c r="A71" t="s">
        <v>76</v>
      </c>
      <c r="B71" t="s">
        <v>71</v>
      </c>
      <c r="C71" t="s">
        <v>79</v>
      </c>
      <c r="D71" t="str">
        <f t="shared" si="2"/>
        <v>Não</v>
      </c>
    </row>
    <row r="72" spans="1:4" x14ac:dyDescent="0.25">
      <c r="A72" t="s">
        <v>76</v>
      </c>
      <c r="B72" t="s">
        <v>71</v>
      </c>
      <c r="C72" t="s">
        <v>79</v>
      </c>
      <c r="D72" t="str">
        <f t="shared" si="2"/>
        <v>Não</v>
      </c>
    </row>
    <row r="73" spans="1:4" x14ac:dyDescent="0.25">
      <c r="A73" t="s">
        <v>76</v>
      </c>
      <c r="B73" t="s">
        <v>71</v>
      </c>
      <c r="C73" t="s">
        <v>79</v>
      </c>
      <c r="D73" t="str">
        <f t="shared" si="2"/>
        <v>Não</v>
      </c>
    </row>
    <row r="74" spans="1:4" x14ac:dyDescent="0.25">
      <c r="A74" t="s">
        <v>76</v>
      </c>
      <c r="B74" t="s">
        <v>151</v>
      </c>
      <c r="C74" t="s">
        <v>80</v>
      </c>
      <c r="D74" t="str">
        <f t="shared" si="2"/>
        <v>Não</v>
      </c>
    </row>
    <row r="75" spans="1:4" x14ac:dyDescent="0.25">
      <c r="A75" t="s">
        <v>76</v>
      </c>
      <c r="B75" t="s">
        <v>151</v>
      </c>
      <c r="C75" t="s">
        <v>80</v>
      </c>
      <c r="D75" t="str">
        <f t="shared" si="2"/>
        <v>Não</v>
      </c>
    </row>
    <row r="76" spans="1:4" x14ac:dyDescent="0.25">
      <c r="A76" t="s">
        <v>76</v>
      </c>
      <c r="B76" t="s">
        <v>80</v>
      </c>
      <c r="C76" t="s">
        <v>80</v>
      </c>
      <c r="D76" t="str">
        <f t="shared" si="2"/>
        <v>Sim</v>
      </c>
    </row>
    <row r="77" spans="1:4" x14ac:dyDescent="0.25">
      <c r="A77" t="s">
        <v>76</v>
      </c>
      <c r="C77" t="s">
        <v>80</v>
      </c>
      <c r="D77" t="str">
        <f t="shared" si="2"/>
        <v>Não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0A04-AF72-4BB0-B799-2734DA07C3B0}">
  <dimension ref="A1:G100"/>
  <sheetViews>
    <sheetView topLeftCell="A42" workbookViewId="0">
      <selection activeCell="B3" sqref="B3:C77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125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B3" t="s">
        <v>60</v>
      </c>
      <c r="C3" t="s">
        <v>60</v>
      </c>
      <c r="D3" t="str">
        <f>IF(B3=C3, "Sim", "Não")</f>
        <v>Sim</v>
      </c>
      <c r="F3" s="4" t="s">
        <v>12</v>
      </c>
      <c r="G3" s="3">
        <f>COUNTIF(D3:D105,"Não")</f>
        <v>33</v>
      </c>
    </row>
    <row r="4" spans="1:7" x14ac:dyDescent="0.25">
      <c r="A4" t="s">
        <v>1</v>
      </c>
      <c r="B4" t="s">
        <v>60</v>
      </c>
      <c r="C4" t="s">
        <v>60</v>
      </c>
      <c r="D4" t="str">
        <f t="shared" ref="D4:D67" si="0">IF(B4=C4, "Sim", "Não")</f>
        <v>Sim</v>
      </c>
      <c r="F4" s="4" t="s">
        <v>13</v>
      </c>
      <c r="G4" s="3">
        <f>SUM(G7:G25)</f>
        <v>75</v>
      </c>
    </row>
    <row r="5" spans="1:7" x14ac:dyDescent="0.25">
      <c r="A5" t="s">
        <v>1</v>
      </c>
      <c r="B5" t="s">
        <v>60</v>
      </c>
      <c r="C5" t="s">
        <v>60</v>
      </c>
      <c r="D5" t="str">
        <f t="shared" si="0"/>
        <v>Sim</v>
      </c>
    </row>
    <row r="6" spans="1:7" x14ac:dyDescent="0.25">
      <c r="A6" t="s">
        <v>1</v>
      </c>
      <c r="B6" t="s">
        <v>60</v>
      </c>
      <c r="C6" t="s">
        <v>60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B7" t="s">
        <v>61</v>
      </c>
      <c r="C7" t="s">
        <v>61</v>
      </c>
      <c r="D7" t="str">
        <f t="shared" si="0"/>
        <v>Sim</v>
      </c>
      <c r="F7" s="7" t="s">
        <v>1</v>
      </c>
      <c r="G7" s="2">
        <f>COUNTIF(A:A,F7)</f>
        <v>20</v>
      </c>
    </row>
    <row r="8" spans="1:7" x14ac:dyDescent="0.25">
      <c r="A8" t="s">
        <v>1</v>
      </c>
      <c r="B8" t="s">
        <v>61</v>
      </c>
      <c r="C8" t="s">
        <v>61</v>
      </c>
      <c r="D8" t="str">
        <f t="shared" si="0"/>
        <v>Sim</v>
      </c>
      <c r="F8" s="7" t="s">
        <v>82</v>
      </c>
      <c r="G8" s="2">
        <f t="shared" ref="G8:G9" si="1">COUNTIF(A:A,F8)</f>
        <v>20</v>
      </c>
    </row>
    <row r="9" spans="1:7" x14ac:dyDescent="0.25">
      <c r="A9" t="s">
        <v>1</v>
      </c>
      <c r="B9" t="s">
        <v>61</v>
      </c>
      <c r="C9" t="s">
        <v>61</v>
      </c>
      <c r="D9" t="str">
        <f t="shared" si="0"/>
        <v>Sim</v>
      </c>
      <c r="F9" s="7" t="s">
        <v>5</v>
      </c>
      <c r="G9" s="2">
        <f t="shared" si="1"/>
        <v>12</v>
      </c>
    </row>
    <row r="10" spans="1:7" x14ac:dyDescent="0.25">
      <c r="A10" t="s">
        <v>1</v>
      </c>
      <c r="B10" t="s">
        <v>61</v>
      </c>
      <c r="C10" t="s">
        <v>61</v>
      </c>
      <c r="D10" t="str">
        <f t="shared" si="0"/>
        <v>Sim</v>
      </c>
      <c r="F10" s="7" t="s">
        <v>85</v>
      </c>
      <c r="G10" s="2">
        <f t="shared" ref="G10:G11" si="2">COUNTIF(A:A,F10)</f>
        <v>8</v>
      </c>
    </row>
    <row r="11" spans="1:7" x14ac:dyDescent="0.25">
      <c r="A11" t="s">
        <v>1</v>
      </c>
      <c r="C11" t="s">
        <v>171</v>
      </c>
      <c r="D11" t="str">
        <f t="shared" si="0"/>
        <v>Não</v>
      </c>
      <c r="F11" s="7" t="s">
        <v>76</v>
      </c>
      <c r="G11" s="2">
        <f t="shared" si="2"/>
        <v>15</v>
      </c>
    </row>
    <row r="12" spans="1:7" x14ac:dyDescent="0.25">
      <c r="A12" t="s">
        <v>1</v>
      </c>
      <c r="C12" t="s">
        <v>171</v>
      </c>
      <c r="D12" t="str">
        <f t="shared" si="0"/>
        <v>Não</v>
      </c>
      <c r="F12" s="7"/>
      <c r="G12" s="2"/>
    </row>
    <row r="13" spans="1:7" x14ac:dyDescent="0.25">
      <c r="A13" t="s">
        <v>1</v>
      </c>
      <c r="C13" t="s">
        <v>171</v>
      </c>
      <c r="D13" t="str">
        <f t="shared" si="0"/>
        <v>Não</v>
      </c>
      <c r="F13" s="7"/>
      <c r="G13" s="2"/>
    </row>
    <row r="14" spans="1:7" x14ac:dyDescent="0.25">
      <c r="A14" t="s">
        <v>1</v>
      </c>
      <c r="C14" t="s">
        <v>171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B15" t="s">
        <v>7</v>
      </c>
      <c r="C15" t="s">
        <v>7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7</v>
      </c>
      <c r="C16" t="s">
        <v>7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2</v>
      </c>
      <c r="C17" t="s">
        <v>2</v>
      </c>
      <c r="D17" t="str">
        <f t="shared" si="0"/>
        <v>Sim</v>
      </c>
    </row>
    <row r="18" spans="1:4" x14ac:dyDescent="0.25">
      <c r="A18" t="s">
        <v>1</v>
      </c>
      <c r="B18" t="s">
        <v>2</v>
      </c>
      <c r="C18" t="s">
        <v>2</v>
      </c>
      <c r="D18" t="str">
        <f t="shared" si="0"/>
        <v>Sim</v>
      </c>
    </row>
    <row r="19" spans="1:4" x14ac:dyDescent="0.25">
      <c r="A19" t="s">
        <v>1</v>
      </c>
      <c r="B19" t="s">
        <v>2</v>
      </c>
      <c r="C19" t="s">
        <v>2</v>
      </c>
      <c r="D19" t="str">
        <f t="shared" si="0"/>
        <v>Sim</v>
      </c>
    </row>
    <row r="20" spans="1:4" x14ac:dyDescent="0.25">
      <c r="A20" t="s">
        <v>1</v>
      </c>
      <c r="B20" t="s">
        <v>23</v>
      </c>
      <c r="C20" t="s">
        <v>23</v>
      </c>
      <c r="D20" t="str">
        <f t="shared" si="0"/>
        <v>Sim</v>
      </c>
    </row>
    <row r="21" spans="1:4" x14ac:dyDescent="0.25">
      <c r="A21" t="s">
        <v>1</v>
      </c>
      <c r="B21" t="s">
        <v>23</v>
      </c>
      <c r="C21" t="s">
        <v>23</v>
      </c>
      <c r="D21" t="str">
        <f t="shared" si="0"/>
        <v>Sim</v>
      </c>
    </row>
    <row r="22" spans="1:4" x14ac:dyDescent="0.25">
      <c r="A22" t="s">
        <v>1</v>
      </c>
      <c r="B22" t="s">
        <v>23</v>
      </c>
      <c r="C22" t="s">
        <v>23</v>
      </c>
      <c r="D22" t="str">
        <f t="shared" si="0"/>
        <v>Sim</v>
      </c>
    </row>
    <row r="23" spans="1:4" x14ac:dyDescent="0.25">
      <c r="A23" t="s">
        <v>82</v>
      </c>
      <c r="B23" t="s">
        <v>176</v>
      </c>
      <c r="C23" t="s">
        <v>176</v>
      </c>
      <c r="D23" t="str">
        <f t="shared" si="0"/>
        <v>Sim</v>
      </c>
    </row>
    <row r="24" spans="1:4" x14ac:dyDescent="0.25">
      <c r="A24" t="s">
        <v>82</v>
      </c>
      <c r="B24" t="s">
        <v>176</v>
      </c>
      <c r="C24" t="s">
        <v>176</v>
      </c>
      <c r="D24" t="str">
        <f t="shared" si="0"/>
        <v>Sim</v>
      </c>
    </row>
    <row r="25" spans="1:4" x14ac:dyDescent="0.25">
      <c r="A25" t="s">
        <v>82</v>
      </c>
      <c r="B25" t="s">
        <v>176</v>
      </c>
      <c r="C25" t="s">
        <v>176</v>
      </c>
      <c r="D25" t="str">
        <f t="shared" si="0"/>
        <v>Sim</v>
      </c>
    </row>
    <row r="26" spans="1:4" x14ac:dyDescent="0.25">
      <c r="A26" t="s">
        <v>82</v>
      </c>
      <c r="B26" t="s">
        <v>176</v>
      </c>
      <c r="C26" t="s">
        <v>176</v>
      </c>
      <c r="D26" t="str">
        <f t="shared" si="0"/>
        <v>Sim</v>
      </c>
    </row>
    <row r="27" spans="1:4" x14ac:dyDescent="0.25">
      <c r="A27" t="s">
        <v>82</v>
      </c>
      <c r="B27" t="s">
        <v>179</v>
      </c>
      <c r="C27" t="s">
        <v>179</v>
      </c>
      <c r="D27" t="str">
        <f t="shared" si="0"/>
        <v>Sim</v>
      </c>
    </row>
    <row r="28" spans="1:4" x14ac:dyDescent="0.25">
      <c r="A28" t="s">
        <v>82</v>
      </c>
      <c r="B28" t="s">
        <v>179</v>
      </c>
      <c r="C28" t="s">
        <v>179</v>
      </c>
      <c r="D28" t="str">
        <f t="shared" si="0"/>
        <v>Sim</v>
      </c>
    </row>
    <row r="29" spans="1:4" x14ac:dyDescent="0.25">
      <c r="A29" t="s">
        <v>82</v>
      </c>
      <c r="B29" t="s">
        <v>179</v>
      </c>
      <c r="C29" t="s">
        <v>179</v>
      </c>
      <c r="D29" t="str">
        <f t="shared" si="0"/>
        <v>Sim</v>
      </c>
    </row>
    <row r="30" spans="1:4" x14ac:dyDescent="0.25">
      <c r="A30" t="s">
        <v>82</v>
      </c>
      <c r="B30" t="s">
        <v>179</v>
      </c>
      <c r="C30" t="s">
        <v>179</v>
      </c>
      <c r="D30" t="str">
        <f t="shared" si="0"/>
        <v>Sim</v>
      </c>
    </row>
    <row r="31" spans="1:4" x14ac:dyDescent="0.25">
      <c r="A31" t="s">
        <v>82</v>
      </c>
      <c r="B31" t="s">
        <v>178</v>
      </c>
      <c r="C31" t="s">
        <v>178</v>
      </c>
      <c r="D31" t="str">
        <f t="shared" si="0"/>
        <v>Sim</v>
      </c>
    </row>
    <row r="32" spans="1:4" x14ac:dyDescent="0.25">
      <c r="A32" t="s">
        <v>82</v>
      </c>
      <c r="B32" t="s">
        <v>178</v>
      </c>
      <c r="C32" t="s">
        <v>178</v>
      </c>
      <c r="D32" t="str">
        <f t="shared" si="0"/>
        <v>Sim</v>
      </c>
    </row>
    <row r="33" spans="1:4" x14ac:dyDescent="0.25">
      <c r="A33" t="s">
        <v>82</v>
      </c>
      <c r="B33" t="s">
        <v>178</v>
      </c>
      <c r="C33" t="s">
        <v>178</v>
      </c>
      <c r="D33" t="str">
        <f t="shared" si="0"/>
        <v>Sim</v>
      </c>
    </row>
    <row r="34" spans="1:4" x14ac:dyDescent="0.25">
      <c r="A34" t="s">
        <v>82</v>
      </c>
      <c r="B34" t="s">
        <v>178</v>
      </c>
      <c r="C34" t="s">
        <v>178</v>
      </c>
      <c r="D34" t="str">
        <f t="shared" si="0"/>
        <v>Sim</v>
      </c>
    </row>
    <row r="35" spans="1:4" x14ac:dyDescent="0.25">
      <c r="A35" t="s">
        <v>82</v>
      </c>
      <c r="B35" t="s">
        <v>177</v>
      </c>
      <c r="C35" t="s">
        <v>177</v>
      </c>
      <c r="D35" t="str">
        <f t="shared" si="0"/>
        <v>Sim</v>
      </c>
    </row>
    <row r="36" spans="1:4" x14ac:dyDescent="0.25">
      <c r="A36" t="s">
        <v>82</v>
      </c>
      <c r="B36" t="s">
        <v>177</v>
      </c>
      <c r="C36" t="s">
        <v>177</v>
      </c>
      <c r="D36" t="str">
        <f t="shared" si="0"/>
        <v>Sim</v>
      </c>
    </row>
    <row r="37" spans="1:4" x14ac:dyDescent="0.25">
      <c r="A37" t="s">
        <v>82</v>
      </c>
      <c r="B37" t="s">
        <v>177</v>
      </c>
      <c r="C37" t="s">
        <v>177</v>
      </c>
      <c r="D37" t="str">
        <f t="shared" si="0"/>
        <v>Sim</v>
      </c>
    </row>
    <row r="38" spans="1:4" x14ac:dyDescent="0.25">
      <c r="A38" t="s">
        <v>82</v>
      </c>
      <c r="B38" t="s">
        <v>177</v>
      </c>
      <c r="C38" t="s">
        <v>177</v>
      </c>
      <c r="D38" t="str">
        <f t="shared" si="0"/>
        <v>Sim</v>
      </c>
    </row>
    <row r="39" spans="1:4" x14ac:dyDescent="0.25">
      <c r="A39" t="s">
        <v>82</v>
      </c>
      <c r="B39" t="s">
        <v>175</v>
      </c>
      <c r="C39" t="s">
        <v>194</v>
      </c>
      <c r="D39" t="str">
        <f t="shared" si="0"/>
        <v>Não</v>
      </c>
    </row>
    <row r="40" spans="1:4" x14ac:dyDescent="0.25">
      <c r="A40" t="s">
        <v>82</v>
      </c>
      <c r="B40" t="s">
        <v>175</v>
      </c>
      <c r="C40" t="s">
        <v>194</v>
      </c>
      <c r="D40" t="str">
        <f t="shared" si="0"/>
        <v>Não</v>
      </c>
    </row>
    <row r="41" spans="1:4" x14ac:dyDescent="0.25">
      <c r="A41" t="s">
        <v>82</v>
      </c>
      <c r="B41" t="s">
        <v>175</v>
      </c>
      <c r="C41" t="s">
        <v>194</v>
      </c>
      <c r="D41" t="str">
        <f t="shared" si="0"/>
        <v>Não</v>
      </c>
    </row>
    <row r="42" spans="1:4" x14ac:dyDescent="0.25">
      <c r="A42" t="s">
        <v>82</v>
      </c>
      <c r="B42" t="s">
        <v>175</v>
      </c>
      <c r="C42" t="s">
        <v>194</v>
      </c>
      <c r="D42" t="str">
        <f t="shared" si="0"/>
        <v>Não</v>
      </c>
    </row>
    <row r="43" spans="1:4" x14ac:dyDescent="0.25">
      <c r="A43" t="s">
        <v>5</v>
      </c>
      <c r="B43" t="s">
        <v>170</v>
      </c>
      <c r="C43" t="s">
        <v>170</v>
      </c>
      <c r="D43" t="str">
        <f t="shared" si="0"/>
        <v>Sim</v>
      </c>
    </row>
    <row r="44" spans="1:4" x14ac:dyDescent="0.25">
      <c r="A44" t="s">
        <v>5</v>
      </c>
      <c r="B44" t="s">
        <v>170</v>
      </c>
      <c r="C44" t="s">
        <v>170</v>
      </c>
      <c r="D44" t="str">
        <f t="shared" si="0"/>
        <v>Sim</v>
      </c>
    </row>
    <row r="45" spans="1:4" x14ac:dyDescent="0.25">
      <c r="A45" t="s">
        <v>5</v>
      </c>
      <c r="B45" t="s">
        <v>170</v>
      </c>
      <c r="C45" t="s">
        <v>170</v>
      </c>
      <c r="D45" t="str">
        <f t="shared" si="0"/>
        <v>Sim</v>
      </c>
    </row>
    <row r="46" spans="1:4" x14ac:dyDescent="0.25">
      <c r="A46" t="s">
        <v>5</v>
      </c>
      <c r="B46" t="s">
        <v>170</v>
      </c>
      <c r="C46" t="s">
        <v>170</v>
      </c>
      <c r="D46" t="str">
        <f t="shared" si="0"/>
        <v>Sim</v>
      </c>
    </row>
    <row r="47" spans="1:4" x14ac:dyDescent="0.25">
      <c r="A47" t="s">
        <v>5</v>
      </c>
      <c r="B47" t="s">
        <v>64</v>
      </c>
      <c r="C47" t="s">
        <v>64</v>
      </c>
      <c r="D47" t="str">
        <f t="shared" si="0"/>
        <v>Sim</v>
      </c>
    </row>
    <row r="48" spans="1:4" x14ac:dyDescent="0.25">
      <c r="A48" t="s">
        <v>5</v>
      </c>
      <c r="B48" t="s">
        <v>64</v>
      </c>
      <c r="C48" t="s">
        <v>64</v>
      </c>
      <c r="D48" t="str">
        <f t="shared" si="0"/>
        <v>Sim</v>
      </c>
    </row>
    <row r="49" spans="1:6" x14ac:dyDescent="0.25">
      <c r="A49" t="s">
        <v>5</v>
      </c>
      <c r="B49" t="s">
        <v>64</v>
      </c>
      <c r="C49" t="s">
        <v>64</v>
      </c>
      <c r="D49" t="str">
        <f t="shared" si="0"/>
        <v>Sim</v>
      </c>
    </row>
    <row r="50" spans="1:6" x14ac:dyDescent="0.25">
      <c r="A50" t="s">
        <v>5</v>
      </c>
      <c r="B50" t="s">
        <v>64</v>
      </c>
      <c r="C50" t="s">
        <v>64</v>
      </c>
      <c r="D50" t="str">
        <f t="shared" si="0"/>
        <v>Sim</v>
      </c>
    </row>
    <row r="51" spans="1:6" x14ac:dyDescent="0.25">
      <c r="A51" t="s">
        <v>5</v>
      </c>
      <c r="C51" t="s">
        <v>84</v>
      </c>
      <c r="D51" t="str">
        <f t="shared" si="0"/>
        <v>Não</v>
      </c>
    </row>
    <row r="52" spans="1:6" x14ac:dyDescent="0.25">
      <c r="A52" t="s">
        <v>5</v>
      </c>
      <c r="C52" t="s">
        <v>84</v>
      </c>
      <c r="D52" t="str">
        <f t="shared" si="0"/>
        <v>Não</v>
      </c>
    </row>
    <row r="53" spans="1:6" x14ac:dyDescent="0.25">
      <c r="A53" t="s">
        <v>5</v>
      </c>
      <c r="C53" t="s">
        <v>84</v>
      </c>
      <c r="D53" t="str">
        <f t="shared" si="0"/>
        <v>Não</v>
      </c>
    </row>
    <row r="54" spans="1:6" x14ac:dyDescent="0.25">
      <c r="A54" t="s">
        <v>5</v>
      </c>
      <c r="C54" t="s">
        <v>84</v>
      </c>
      <c r="D54" t="str">
        <f t="shared" si="0"/>
        <v>Não</v>
      </c>
    </row>
    <row r="55" spans="1:6" x14ac:dyDescent="0.25">
      <c r="A55" t="s">
        <v>85</v>
      </c>
      <c r="B55" t="s">
        <v>173</v>
      </c>
      <c r="C55" t="s">
        <v>173</v>
      </c>
      <c r="D55" t="str">
        <f t="shared" si="0"/>
        <v>Sim</v>
      </c>
    </row>
    <row r="56" spans="1:6" x14ac:dyDescent="0.25">
      <c r="A56" t="s">
        <v>85</v>
      </c>
      <c r="B56" t="s">
        <v>173</v>
      </c>
      <c r="C56" t="s">
        <v>173</v>
      </c>
      <c r="D56" t="str">
        <f t="shared" si="0"/>
        <v>Sim</v>
      </c>
    </row>
    <row r="57" spans="1:6" x14ac:dyDescent="0.25">
      <c r="A57" t="s">
        <v>85</v>
      </c>
      <c r="C57" t="s">
        <v>173</v>
      </c>
      <c r="D57" t="str">
        <f t="shared" si="0"/>
        <v>Não</v>
      </c>
    </row>
    <row r="58" spans="1:6" x14ac:dyDescent="0.25">
      <c r="A58" t="s">
        <v>85</v>
      </c>
      <c r="C58" t="s">
        <v>173</v>
      </c>
      <c r="D58" t="str">
        <f t="shared" si="0"/>
        <v>Não</v>
      </c>
    </row>
    <row r="59" spans="1:6" x14ac:dyDescent="0.25">
      <c r="A59" t="s">
        <v>85</v>
      </c>
      <c r="C59" t="s">
        <v>172</v>
      </c>
      <c r="D59" t="str">
        <f t="shared" si="0"/>
        <v>Não</v>
      </c>
    </row>
    <row r="60" spans="1:6" x14ac:dyDescent="0.25">
      <c r="A60" t="s">
        <v>85</v>
      </c>
      <c r="C60" t="s">
        <v>172</v>
      </c>
      <c r="D60" t="str">
        <f t="shared" si="0"/>
        <v>Não</v>
      </c>
    </row>
    <row r="61" spans="1:6" x14ac:dyDescent="0.25">
      <c r="A61" t="s">
        <v>85</v>
      </c>
      <c r="C61" t="s">
        <v>172</v>
      </c>
      <c r="D61" t="str">
        <f t="shared" si="0"/>
        <v>Não</v>
      </c>
    </row>
    <row r="62" spans="1:6" x14ac:dyDescent="0.25">
      <c r="A62" t="s">
        <v>85</v>
      </c>
      <c r="C62" t="s">
        <v>172</v>
      </c>
      <c r="D62" t="str">
        <f t="shared" si="0"/>
        <v>Não</v>
      </c>
    </row>
    <row r="63" spans="1:6" x14ac:dyDescent="0.25">
      <c r="A63" t="s">
        <v>76</v>
      </c>
      <c r="C63" t="s">
        <v>62</v>
      </c>
      <c r="D63" t="str">
        <f t="shared" si="0"/>
        <v>Não</v>
      </c>
      <c r="F63" s="3" t="s">
        <v>180</v>
      </c>
    </row>
    <row r="64" spans="1:6" x14ac:dyDescent="0.25">
      <c r="A64" t="s">
        <v>76</v>
      </c>
      <c r="C64" t="s">
        <v>62</v>
      </c>
      <c r="D64" t="str">
        <f t="shared" si="0"/>
        <v>Não</v>
      </c>
    </row>
    <row r="65" spans="1:4" x14ac:dyDescent="0.25">
      <c r="A65" t="s">
        <v>76</v>
      </c>
      <c r="C65" t="s">
        <v>121</v>
      </c>
      <c r="D65" t="str">
        <f t="shared" si="0"/>
        <v>Não</v>
      </c>
    </row>
    <row r="66" spans="1:4" x14ac:dyDescent="0.25">
      <c r="A66" t="s">
        <v>76</v>
      </c>
      <c r="C66" t="s">
        <v>121</v>
      </c>
      <c r="D66" t="str">
        <f t="shared" si="0"/>
        <v>Não</v>
      </c>
    </row>
    <row r="67" spans="1:4" x14ac:dyDescent="0.25">
      <c r="A67" t="s">
        <v>76</v>
      </c>
      <c r="C67" t="s">
        <v>63</v>
      </c>
      <c r="D67" t="str">
        <f t="shared" si="0"/>
        <v>Não</v>
      </c>
    </row>
    <row r="68" spans="1:4" x14ac:dyDescent="0.25">
      <c r="A68" t="s">
        <v>76</v>
      </c>
      <c r="C68" t="s">
        <v>63</v>
      </c>
      <c r="D68" t="str">
        <f t="shared" ref="D68:D77" si="3">IF(B68=C68, "Sim", "Não")</f>
        <v>Não</v>
      </c>
    </row>
    <row r="69" spans="1:4" x14ac:dyDescent="0.25">
      <c r="A69" t="s">
        <v>76</v>
      </c>
      <c r="C69" t="s">
        <v>63</v>
      </c>
      <c r="D69" t="str">
        <f t="shared" si="3"/>
        <v>Não</v>
      </c>
    </row>
    <row r="70" spans="1:4" x14ac:dyDescent="0.25">
      <c r="A70" t="s">
        <v>76</v>
      </c>
      <c r="C70" t="s">
        <v>63</v>
      </c>
      <c r="D70" t="str">
        <f t="shared" si="3"/>
        <v>Não</v>
      </c>
    </row>
    <row r="71" spans="1:4" x14ac:dyDescent="0.25">
      <c r="A71" t="s">
        <v>76</v>
      </c>
      <c r="C71" t="s">
        <v>193</v>
      </c>
      <c r="D71" t="str">
        <f t="shared" si="3"/>
        <v>Não</v>
      </c>
    </row>
    <row r="72" spans="1:4" x14ac:dyDescent="0.25">
      <c r="A72" t="s">
        <v>76</v>
      </c>
      <c r="C72" t="s">
        <v>193</v>
      </c>
      <c r="D72" t="str">
        <f t="shared" si="3"/>
        <v>Não</v>
      </c>
    </row>
    <row r="73" spans="1:4" x14ac:dyDescent="0.25">
      <c r="A73" t="s">
        <v>76</v>
      </c>
      <c r="C73" t="s">
        <v>193</v>
      </c>
      <c r="D73" t="str">
        <f t="shared" si="3"/>
        <v>Não</v>
      </c>
    </row>
    <row r="74" spans="1:4" x14ac:dyDescent="0.25">
      <c r="A74" t="s">
        <v>76</v>
      </c>
      <c r="C74" t="s">
        <v>109</v>
      </c>
      <c r="D74" t="str">
        <f t="shared" si="3"/>
        <v>Não</v>
      </c>
    </row>
    <row r="75" spans="1:4" x14ac:dyDescent="0.25">
      <c r="A75" t="s">
        <v>76</v>
      </c>
      <c r="C75" t="s">
        <v>109</v>
      </c>
      <c r="D75" t="str">
        <f t="shared" si="3"/>
        <v>Não</v>
      </c>
    </row>
    <row r="76" spans="1:4" x14ac:dyDescent="0.25">
      <c r="A76" t="s">
        <v>76</v>
      </c>
      <c r="C76" t="s">
        <v>174</v>
      </c>
      <c r="D76" t="str">
        <f t="shared" si="3"/>
        <v>Não</v>
      </c>
    </row>
    <row r="77" spans="1:4" x14ac:dyDescent="0.25">
      <c r="A77" t="s">
        <v>76</v>
      </c>
      <c r="C77" t="s">
        <v>174</v>
      </c>
      <c r="D77" t="str">
        <f t="shared" si="3"/>
        <v>Não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C087-581E-4F3B-896E-DD1E94293E2E}">
  <dimension ref="A1:G100"/>
  <sheetViews>
    <sheetView workbookViewId="0">
      <selection activeCell="F25" sqref="F25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203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B3" t="s">
        <v>27</v>
      </c>
      <c r="C3" t="s">
        <v>27</v>
      </c>
      <c r="D3" t="str">
        <f>IF(B3=C3, "Sim", "Não")</f>
        <v>Sim</v>
      </c>
      <c r="F3" s="4" t="s">
        <v>12</v>
      </c>
      <c r="G3" s="3">
        <f>COUNTIF(D3:D105,"Não")</f>
        <v>36</v>
      </c>
    </row>
    <row r="4" spans="1:7" x14ac:dyDescent="0.25">
      <c r="A4" t="s">
        <v>1</v>
      </c>
      <c r="B4" t="s">
        <v>27</v>
      </c>
      <c r="C4" t="s">
        <v>27</v>
      </c>
      <c r="D4" t="str">
        <f t="shared" ref="D4:D67" si="0">IF(B4=C4, "Sim", "Não")</f>
        <v>Sim</v>
      </c>
      <c r="F4" s="4" t="s">
        <v>13</v>
      </c>
      <c r="G4" s="3">
        <f>SUM(G7:G25)</f>
        <v>75</v>
      </c>
    </row>
    <row r="5" spans="1:7" x14ac:dyDescent="0.25">
      <c r="A5" t="s">
        <v>1</v>
      </c>
      <c r="B5" t="s">
        <v>27</v>
      </c>
      <c r="C5" t="s">
        <v>27</v>
      </c>
      <c r="D5" t="str">
        <f t="shared" si="0"/>
        <v>Sim</v>
      </c>
    </row>
    <row r="6" spans="1:7" x14ac:dyDescent="0.25">
      <c r="A6" t="s">
        <v>1</v>
      </c>
      <c r="B6" t="s">
        <v>27</v>
      </c>
      <c r="C6" t="s">
        <v>68</v>
      </c>
      <c r="D6" t="str">
        <f t="shared" si="0"/>
        <v>Não</v>
      </c>
      <c r="F6" s="6" t="s">
        <v>4</v>
      </c>
      <c r="G6" s="1"/>
    </row>
    <row r="7" spans="1:7" x14ac:dyDescent="0.25">
      <c r="A7" t="s">
        <v>1</v>
      </c>
      <c r="B7" t="s">
        <v>14</v>
      </c>
      <c r="C7" t="s">
        <v>68</v>
      </c>
      <c r="D7" t="str">
        <f t="shared" si="0"/>
        <v>Não</v>
      </c>
      <c r="F7" s="7" t="s">
        <v>1</v>
      </c>
      <c r="G7" s="2">
        <f>COUNTIF(A:A,F7)</f>
        <v>20</v>
      </c>
    </row>
    <row r="8" spans="1:7" x14ac:dyDescent="0.25">
      <c r="A8" t="s">
        <v>1</v>
      </c>
      <c r="B8" t="s">
        <v>14</v>
      </c>
      <c r="C8" t="s">
        <v>68</v>
      </c>
      <c r="D8" t="str">
        <f t="shared" si="0"/>
        <v>Não</v>
      </c>
      <c r="F8" s="7" t="s">
        <v>120</v>
      </c>
      <c r="G8" s="2">
        <f t="shared" ref="G8:G12" si="1">COUNTIF(A:A,F8)</f>
        <v>24</v>
      </c>
    </row>
    <row r="9" spans="1:7" x14ac:dyDescent="0.25">
      <c r="A9" t="s">
        <v>1</v>
      </c>
      <c r="B9" t="s">
        <v>14</v>
      </c>
      <c r="C9" t="s">
        <v>68</v>
      </c>
      <c r="D9" t="str">
        <f t="shared" si="0"/>
        <v>Não</v>
      </c>
      <c r="F9" s="7" t="s">
        <v>21</v>
      </c>
      <c r="G9" s="2">
        <f t="shared" si="1"/>
        <v>4</v>
      </c>
    </row>
    <row r="10" spans="1:7" x14ac:dyDescent="0.25">
      <c r="A10" t="s">
        <v>1</v>
      </c>
      <c r="B10" t="s">
        <v>14</v>
      </c>
      <c r="C10" t="s">
        <v>206</v>
      </c>
      <c r="D10" t="str">
        <f t="shared" si="0"/>
        <v>Não</v>
      </c>
      <c r="F10" s="7" t="s">
        <v>5</v>
      </c>
      <c r="G10" s="2">
        <f t="shared" si="1"/>
        <v>8</v>
      </c>
    </row>
    <row r="11" spans="1:7" x14ac:dyDescent="0.25">
      <c r="A11" t="s">
        <v>1</v>
      </c>
      <c r="B11" t="s">
        <v>14</v>
      </c>
      <c r="C11" t="s">
        <v>206</v>
      </c>
      <c r="D11" t="str">
        <f t="shared" si="0"/>
        <v>Não</v>
      </c>
      <c r="F11" s="7" t="s">
        <v>26</v>
      </c>
      <c r="G11" s="2">
        <f t="shared" si="1"/>
        <v>4</v>
      </c>
    </row>
    <row r="12" spans="1:7" x14ac:dyDescent="0.25">
      <c r="A12" t="s">
        <v>1</v>
      </c>
      <c r="B12" t="s">
        <v>14</v>
      </c>
      <c r="C12" t="s">
        <v>206</v>
      </c>
      <c r="D12" t="str">
        <f t="shared" si="0"/>
        <v>Não</v>
      </c>
      <c r="F12" s="7" t="s">
        <v>76</v>
      </c>
      <c r="G12" s="2">
        <f t="shared" si="1"/>
        <v>15</v>
      </c>
    </row>
    <row r="13" spans="1:7" x14ac:dyDescent="0.25">
      <c r="A13" t="s">
        <v>1</v>
      </c>
      <c r="B13" t="s">
        <v>14</v>
      </c>
      <c r="C13" t="s">
        <v>144</v>
      </c>
      <c r="D13" t="str">
        <f t="shared" si="0"/>
        <v>Não</v>
      </c>
      <c r="F13" s="7"/>
      <c r="G13" s="2"/>
    </row>
    <row r="14" spans="1:7" x14ac:dyDescent="0.25">
      <c r="A14" t="s">
        <v>1</v>
      </c>
      <c r="B14" t="s">
        <v>14</v>
      </c>
      <c r="C14" t="s">
        <v>14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23</v>
      </c>
      <c r="C15" t="s">
        <v>14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B16" t="s">
        <v>23</v>
      </c>
      <c r="C16" t="s">
        <v>14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B17" t="s">
        <v>23</v>
      </c>
      <c r="C17" t="s">
        <v>15</v>
      </c>
      <c r="D17" t="str">
        <f t="shared" si="0"/>
        <v>Não</v>
      </c>
    </row>
    <row r="18" spans="1:4" x14ac:dyDescent="0.25">
      <c r="A18" t="s">
        <v>1</v>
      </c>
      <c r="B18" t="s">
        <v>23</v>
      </c>
      <c r="C18" t="s">
        <v>15</v>
      </c>
      <c r="D18" t="str">
        <f t="shared" si="0"/>
        <v>Não</v>
      </c>
    </row>
    <row r="19" spans="1:4" x14ac:dyDescent="0.25">
      <c r="A19" t="s">
        <v>1</v>
      </c>
      <c r="B19" t="s">
        <v>23</v>
      </c>
      <c r="C19" t="s">
        <v>15</v>
      </c>
      <c r="D19" t="str">
        <f t="shared" si="0"/>
        <v>Não</v>
      </c>
    </row>
    <row r="20" spans="1:4" x14ac:dyDescent="0.25">
      <c r="A20" t="s">
        <v>1</v>
      </c>
      <c r="B20" t="s">
        <v>23</v>
      </c>
      <c r="C20" t="s">
        <v>23</v>
      </c>
      <c r="D20" t="str">
        <f t="shared" si="0"/>
        <v>Sim</v>
      </c>
    </row>
    <row r="21" spans="1:4" x14ac:dyDescent="0.25">
      <c r="A21" t="s">
        <v>1</v>
      </c>
      <c r="B21" t="s">
        <v>23</v>
      </c>
      <c r="C21" t="s">
        <v>23</v>
      </c>
      <c r="D21" t="str">
        <f t="shared" si="0"/>
        <v>Sim</v>
      </c>
    </row>
    <row r="22" spans="1:4" x14ac:dyDescent="0.25">
      <c r="A22" t="s">
        <v>1</v>
      </c>
      <c r="B22" t="s">
        <v>23</v>
      </c>
      <c r="C22" t="s">
        <v>23</v>
      </c>
      <c r="D22" t="str">
        <f t="shared" si="0"/>
        <v>Sim</v>
      </c>
    </row>
    <row r="23" spans="1:4" x14ac:dyDescent="0.25">
      <c r="A23" t="s">
        <v>120</v>
      </c>
      <c r="B23" t="s">
        <v>51</v>
      </c>
      <c r="C23" t="s">
        <v>51</v>
      </c>
      <c r="D23" t="str">
        <f t="shared" si="0"/>
        <v>Sim</v>
      </c>
    </row>
    <row r="24" spans="1:4" x14ac:dyDescent="0.25">
      <c r="A24" t="s">
        <v>120</v>
      </c>
      <c r="B24" t="s">
        <v>51</v>
      </c>
      <c r="C24" t="s">
        <v>51</v>
      </c>
      <c r="D24" t="str">
        <f t="shared" si="0"/>
        <v>Sim</v>
      </c>
    </row>
    <row r="25" spans="1:4" x14ac:dyDescent="0.25">
      <c r="A25" t="s">
        <v>120</v>
      </c>
      <c r="B25" t="s">
        <v>51</v>
      </c>
      <c r="C25" t="s">
        <v>51</v>
      </c>
      <c r="D25" t="str">
        <f t="shared" si="0"/>
        <v>Sim</v>
      </c>
    </row>
    <row r="26" spans="1:4" x14ac:dyDescent="0.25">
      <c r="A26" t="s">
        <v>120</v>
      </c>
      <c r="B26" t="s">
        <v>51</v>
      </c>
      <c r="C26" t="s">
        <v>51</v>
      </c>
      <c r="D26" t="str">
        <f t="shared" si="0"/>
        <v>Sim</v>
      </c>
    </row>
    <row r="27" spans="1:4" x14ac:dyDescent="0.25">
      <c r="A27" t="s">
        <v>120</v>
      </c>
      <c r="B27" t="s">
        <v>52</v>
      </c>
      <c r="C27" t="s">
        <v>52</v>
      </c>
      <c r="D27" t="str">
        <f t="shared" si="0"/>
        <v>Sim</v>
      </c>
    </row>
    <row r="28" spans="1:4" x14ac:dyDescent="0.25">
      <c r="A28" t="s">
        <v>120</v>
      </c>
      <c r="B28" t="s">
        <v>52</v>
      </c>
      <c r="C28" t="s">
        <v>52</v>
      </c>
      <c r="D28" t="str">
        <f t="shared" si="0"/>
        <v>Sim</v>
      </c>
    </row>
    <row r="29" spans="1:4" x14ac:dyDescent="0.25">
      <c r="A29" t="s">
        <v>120</v>
      </c>
      <c r="B29" t="s">
        <v>52</v>
      </c>
      <c r="C29" t="s">
        <v>52</v>
      </c>
      <c r="D29" t="str">
        <f t="shared" si="0"/>
        <v>Sim</v>
      </c>
    </row>
    <row r="30" spans="1:4" x14ac:dyDescent="0.25">
      <c r="A30" t="s">
        <v>120</v>
      </c>
      <c r="B30" t="s">
        <v>52</v>
      </c>
      <c r="C30" t="s">
        <v>52</v>
      </c>
      <c r="D30" t="str">
        <f t="shared" si="0"/>
        <v>Sim</v>
      </c>
    </row>
    <row r="31" spans="1:4" x14ac:dyDescent="0.25">
      <c r="A31" t="s">
        <v>120</v>
      </c>
      <c r="B31" t="s">
        <v>119</v>
      </c>
      <c r="C31" t="s">
        <v>119</v>
      </c>
      <c r="D31" t="str">
        <f t="shared" si="0"/>
        <v>Sim</v>
      </c>
    </row>
    <row r="32" spans="1:4" x14ac:dyDescent="0.25">
      <c r="A32" t="s">
        <v>120</v>
      </c>
      <c r="B32" t="s">
        <v>119</v>
      </c>
      <c r="C32" t="s">
        <v>119</v>
      </c>
      <c r="D32" t="str">
        <f t="shared" si="0"/>
        <v>Sim</v>
      </c>
    </row>
    <row r="33" spans="1:4" x14ac:dyDescent="0.25">
      <c r="A33" t="s">
        <v>120</v>
      </c>
      <c r="B33" t="s">
        <v>119</v>
      </c>
      <c r="C33" t="s">
        <v>119</v>
      </c>
      <c r="D33" t="str">
        <f t="shared" si="0"/>
        <v>Sim</v>
      </c>
    </row>
    <row r="34" spans="1:4" x14ac:dyDescent="0.25">
      <c r="A34" t="s">
        <v>120</v>
      </c>
      <c r="B34" t="s">
        <v>119</v>
      </c>
      <c r="C34" t="s">
        <v>119</v>
      </c>
      <c r="D34" t="str">
        <f t="shared" si="0"/>
        <v>Sim</v>
      </c>
    </row>
    <row r="35" spans="1:4" x14ac:dyDescent="0.25">
      <c r="A35" t="s">
        <v>120</v>
      </c>
      <c r="B35" t="s">
        <v>53</v>
      </c>
      <c r="C35" t="s">
        <v>53</v>
      </c>
      <c r="D35" t="str">
        <f t="shared" si="0"/>
        <v>Sim</v>
      </c>
    </row>
    <row r="36" spans="1:4" x14ac:dyDescent="0.25">
      <c r="A36" t="s">
        <v>120</v>
      </c>
      <c r="B36" t="s">
        <v>53</v>
      </c>
      <c r="C36" t="s">
        <v>53</v>
      </c>
      <c r="D36" t="str">
        <f t="shared" si="0"/>
        <v>Sim</v>
      </c>
    </row>
    <row r="37" spans="1:4" x14ac:dyDescent="0.25">
      <c r="A37" t="s">
        <v>120</v>
      </c>
      <c r="B37" t="s">
        <v>53</v>
      </c>
      <c r="C37" t="s">
        <v>53</v>
      </c>
      <c r="D37" t="str">
        <f t="shared" si="0"/>
        <v>Sim</v>
      </c>
    </row>
    <row r="38" spans="1:4" x14ac:dyDescent="0.25">
      <c r="A38" t="s">
        <v>120</v>
      </c>
      <c r="B38" t="s">
        <v>53</v>
      </c>
      <c r="C38" t="s">
        <v>53</v>
      </c>
      <c r="D38" t="str">
        <f t="shared" si="0"/>
        <v>Sim</v>
      </c>
    </row>
    <row r="39" spans="1:4" x14ac:dyDescent="0.25">
      <c r="A39" t="s">
        <v>120</v>
      </c>
      <c r="B39" t="s">
        <v>54</v>
      </c>
      <c r="C39" t="s">
        <v>207</v>
      </c>
      <c r="D39" t="str">
        <f t="shared" si="0"/>
        <v>Não</v>
      </c>
    </row>
    <row r="40" spans="1:4" x14ac:dyDescent="0.25">
      <c r="A40" t="s">
        <v>120</v>
      </c>
      <c r="B40" t="s">
        <v>54</v>
      </c>
      <c r="C40" t="s">
        <v>207</v>
      </c>
      <c r="D40" t="str">
        <f t="shared" si="0"/>
        <v>Não</v>
      </c>
    </row>
    <row r="41" spans="1:4" x14ac:dyDescent="0.25">
      <c r="A41" t="s">
        <v>120</v>
      </c>
      <c r="B41" t="s">
        <v>54</v>
      </c>
      <c r="C41" t="s">
        <v>207</v>
      </c>
      <c r="D41" t="str">
        <f t="shared" si="0"/>
        <v>Não</v>
      </c>
    </row>
    <row r="42" spans="1:4" x14ac:dyDescent="0.25">
      <c r="A42" t="s">
        <v>120</v>
      </c>
      <c r="B42" t="s">
        <v>54</v>
      </c>
      <c r="C42" t="s">
        <v>207</v>
      </c>
      <c r="D42" t="str">
        <f t="shared" si="0"/>
        <v>Não</v>
      </c>
    </row>
    <row r="43" spans="1:4" x14ac:dyDescent="0.25">
      <c r="A43" t="s">
        <v>120</v>
      </c>
      <c r="B43" t="s">
        <v>55</v>
      </c>
      <c r="C43" t="s">
        <v>205</v>
      </c>
      <c r="D43" t="str">
        <f t="shared" si="0"/>
        <v>Não</v>
      </c>
    </row>
    <row r="44" spans="1:4" x14ac:dyDescent="0.25">
      <c r="A44" t="s">
        <v>120</v>
      </c>
      <c r="B44" t="s">
        <v>55</v>
      </c>
      <c r="C44" t="s">
        <v>205</v>
      </c>
      <c r="D44" t="str">
        <f t="shared" si="0"/>
        <v>Não</v>
      </c>
    </row>
    <row r="45" spans="1:4" x14ac:dyDescent="0.25">
      <c r="A45" t="s">
        <v>120</v>
      </c>
      <c r="B45" t="s">
        <v>55</v>
      </c>
      <c r="C45" t="s">
        <v>205</v>
      </c>
      <c r="D45" t="str">
        <f t="shared" si="0"/>
        <v>Não</v>
      </c>
    </row>
    <row r="46" spans="1:4" x14ac:dyDescent="0.25">
      <c r="A46" t="s">
        <v>120</v>
      </c>
      <c r="B46" t="s">
        <v>55</v>
      </c>
      <c r="C46" t="s">
        <v>205</v>
      </c>
      <c r="D46" t="str">
        <f t="shared" si="0"/>
        <v>Não</v>
      </c>
    </row>
    <row r="47" spans="1:4" x14ac:dyDescent="0.25">
      <c r="A47" t="s">
        <v>21</v>
      </c>
      <c r="B47" t="s">
        <v>32</v>
      </c>
      <c r="C47" t="s">
        <v>204</v>
      </c>
      <c r="D47" t="str">
        <f t="shared" si="0"/>
        <v>Não</v>
      </c>
    </row>
    <row r="48" spans="1:4" x14ac:dyDescent="0.25">
      <c r="A48" t="s">
        <v>21</v>
      </c>
      <c r="B48" t="s">
        <v>32</v>
      </c>
      <c r="C48" t="s">
        <v>204</v>
      </c>
      <c r="D48" t="str">
        <f t="shared" si="0"/>
        <v>Não</v>
      </c>
    </row>
    <row r="49" spans="1:4" x14ac:dyDescent="0.25">
      <c r="A49" t="s">
        <v>21</v>
      </c>
      <c r="B49" t="s">
        <v>32</v>
      </c>
      <c r="C49" t="s">
        <v>204</v>
      </c>
      <c r="D49" t="str">
        <f t="shared" si="0"/>
        <v>Não</v>
      </c>
    </row>
    <row r="50" spans="1:4" x14ac:dyDescent="0.25">
      <c r="A50" t="s">
        <v>21</v>
      </c>
      <c r="B50" t="s">
        <v>32</v>
      </c>
      <c r="C50" t="s">
        <v>204</v>
      </c>
      <c r="D50" t="str">
        <f t="shared" si="0"/>
        <v>Não</v>
      </c>
    </row>
    <row r="51" spans="1:4" x14ac:dyDescent="0.25">
      <c r="A51" t="s">
        <v>5</v>
      </c>
      <c r="B51" t="s">
        <v>56</v>
      </c>
      <c r="C51" t="s">
        <v>56</v>
      </c>
      <c r="D51" t="str">
        <f t="shared" si="0"/>
        <v>Sim</v>
      </c>
    </row>
    <row r="52" spans="1:4" x14ac:dyDescent="0.25">
      <c r="A52" t="s">
        <v>5</v>
      </c>
      <c r="B52" t="s">
        <v>56</v>
      </c>
      <c r="C52" t="s">
        <v>56</v>
      </c>
      <c r="D52" t="str">
        <f t="shared" si="0"/>
        <v>Sim</v>
      </c>
    </row>
    <row r="53" spans="1:4" x14ac:dyDescent="0.25">
      <c r="A53" t="s">
        <v>5</v>
      </c>
      <c r="B53" t="s">
        <v>56</v>
      </c>
      <c r="C53" t="s">
        <v>56</v>
      </c>
      <c r="D53" t="str">
        <f t="shared" si="0"/>
        <v>Sim</v>
      </c>
    </row>
    <row r="54" spans="1:4" x14ac:dyDescent="0.25">
      <c r="A54" t="s">
        <v>5</v>
      </c>
      <c r="B54" t="s">
        <v>56</v>
      </c>
      <c r="C54" t="s">
        <v>56</v>
      </c>
      <c r="D54" t="str">
        <f t="shared" si="0"/>
        <v>Sim</v>
      </c>
    </row>
    <row r="55" spans="1:4" x14ac:dyDescent="0.25">
      <c r="A55" t="s">
        <v>5</v>
      </c>
      <c r="B55" t="s">
        <v>57</v>
      </c>
      <c r="C55" t="s">
        <v>57</v>
      </c>
      <c r="D55" t="str">
        <f t="shared" si="0"/>
        <v>Sim</v>
      </c>
    </row>
    <row r="56" spans="1:4" x14ac:dyDescent="0.25">
      <c r="A56" t="s">
        <v>5</v>
      </c>
      <c r="B56" t="s">
        <v>57</v>
      </c>
      <c r="C56" t="s">
        <v>57</v>
      </c>
      <c r="D56" t="str">
        <f t="shared" si="0"/>
        <v>Sim</v>
      </c>
    </row>
    <row r="57" spans="1:4" x14ac:dyDescent="0.25">
      <c r="A57" t="s">
        <v>5</v>
      </c>
      <c r="B57" t="s">
        <v>57</v>
      </c>
      <c r="C57" t="s">
        <v>57</v>
      </c>
      <c r="D57" t="str">
        <f t="shared" si="0"/>
        <v>Sim</v>
      </c>
    </row>
    <row r="58" spans="1:4" x14ac:dyDescent="0.25">
      <c r="A58" t="s">
        <v>5</v>
      </c>
      <c r="B58" t="s">
        <v>57</v>
      </c>
      <c r="C58" t="s">
        <v>57</v>
      </c>
      <c r="D58" t="str">
        <f t="shared" si="0"/>
        <v>Sim</v>
      </c>
    </row>
    <row r="59" spans="1:4" x14ac:dyDescent="0.25">
      <c r="A59" t="s">
        <v>26</v>
      </c>
      <c r="B59" t="s">
        <v>58</v>
      </c>
      <c r="C59" t="s">
        <v>58</v>
      </c>
      <c r="D59" t="str">
        <f t="shared" si="0"/>
        <v>Sim</v>
      </c>
    </row>
    <row r="60" spans="1:4" x14ac:dyDescent="0.25">
      <c r="A60" t="s">
        <v>26</v>
      </c>
      <c r="B60" t="s">
        <v>58</v>
      </c>
      <c r="C60" t="s">
        <v>58</v>
      </c>
      <c r="D60" t="str">
        <f t="shared" si="0"/>
        <v>Sim</v>
      </c>
    </row>
    <row r="61" spans="1:4" x14ac:dyDescent="0.25">
      <c r="A61" t="s">
        <v>26</v>
      </c>
      <c r="B61" t="s">
        <v>58</v>
      </c>
      <c r="C61" t="s">
        <v>58</v>
      </c>
      <c r="D61" t="str">
        <f t="shared" si="0"/>
        <v>Sim</v>
      </c>
    </row>
    <row r="62" spans="1:4" x14ac:dyDescent="0.25">
      <c r="A62" t="s">
        <v>26</v>
      </c>
      <c r="B62" t="s">
        <v>58</v>
      </c>
      <c r="C62" t="s">
        <v>58</v>
      </c>
      <c r="D62" t="str">
        <f t="shared" si="0"/>
        <v>Sim</v>
      </c>
    </row>
    <row r="63" spans="1:4" x14ac:dyDescent="0.25">
      <c r="A63" t="s">
        <v>76</v>
      </c>
      <c r="B63" t="s">
        <v>78</v>
      </c>
      <c r="C63" t="s">
        <v>78</v>
      </c>
      <c r="D63" t="str">
        <f t="shared" si="0"/>
        <v>Sim</v>
      </c>
    </row>
    <row r="64" spans="1:4" x14ac:dyDescent="0.25">
      <c r="A64" t="s">
        <v>76</v>
      </c>
      <c r="B64" t="s">
        <v>78</v>
      </c>
      <c r="C64" t="s">
        <v>78</v>
      </c>
      <c r="D64" t="str">
        <f t="shared" si="0"/>
        <v>Sim</v>
      </c>
    </row>
    <row r="65" spans="1:4" x14ac:dyDescent="0.25">
      <c r="A65" t="s">
        <v>76</v>
      </c>
      <c r="B65" t="s">
        <v>78</v>
      </c>
      <c r="C65" t="s">
        <v>78</v>
      </c>
      <c r="D65" t="str">
        <f t="shared" si="0"/>
        <v>Sim</v>
      </c>
    </row>
    <row r="66" spans="1:4" x14ac:dyDescent="0.25">
      <c r="A66" t="s">
        <v>76</v>
      </c>
      <c r="B66" t="s">
        <v>78</v>
      </c>
      <c r="C66" t="s">
        <v>78</v>
      </c>
      <c r="D66" t="str">
        <f t="shared" si="0"/>
        <v>Sim</v>
      </c>
    </row>
    <row r="67" spans="1:4" x14ac:dyDescent="0.25">
      <c r="A67" t="s">
        <v>76</v>
      </c>
      <c r="C67" t="s">
        <v>79</v>
      </c>
      <c r="D67" t="str">
        <f t="shared" si="0"/>
        <v>Não</v>
      </c>
    </row>
    <row r="68" spans="1:4" x14ac:dyDescent="0.25">
      <c r="A68" t="s">
        <v>76</v>
      </c>
      <c r="C68" t="s">
        <v>79</v>
      </c>
      <c r="D68" t="str">
        <f t="shared" ref="D68:D77" si="2">IF(B68=C68, "Sim", "Não")</f>
        <v>Não</v>
      </c>
    </row>
    <row r="69" spans="1:4" x14ac:dyDescent="0.25">
      <c r="A69" t="s">
        <v>76</v>
      </c>
      <c r="C69" t="s">
        <v>79</v>
      </c>
      <c r="D69" t="str">
        <f t="shared" si="2"/>
        <v>Não</v>
      </c>
    </row>
    <row r="70" spans="1:4" x14ac:dyDescent="0.25">
      <c r="A70" t="s">
        <v>76</v>
      </c>
      <c r="C70" t="s">
        <v>79</v>
      </c>
      <c r="D70" t="str">
        <f t="shared" si="2"/>
        <v>Não</v>
      </c>
    </row>
    <row r="71" spans="1:4" x14ac:dyDescent="0.25">
      <c r="A71" t="s">
        <v>76</v>
      </c>
      <c r="C71" t="s">
        <v>174</v>
      </c>
      <c r="D71" t="str">
        <f t="shared" si="2"/>
        <v>Não</v>
      </c>
    </row>
    <row r="72" spans="1:4" x14ac:dyDescent="0.25">
      <c r="A72" t="s">
        <v>76</v>
      </c>
      <c r="C72" t="s">
        <v>174</v>
      </c>
      <c r="D72" t="str">
        <f t="shared" si="2"/>
        <v>Não</v>
      </c>
    </row>
    <row r="73" spans="1:4" x14ac:dyDescent="0.25">
      <c r="A73" t="s">
        <v>76</v>
      </c>
      <c r="C73" t="s">
        <v>174</v>
      </c>
      <c r="D73" t="str">
        <f t="shared" si="2"/>
        <v>Não</v>
      </c>
    </row>
    <row r="74" spans="1:4" x14ac:dyDescent="0.25">
      <c r="A74" t="s">
        <v>76</v>
      </c>
      <c r="C74" t="s">
        <v>22</v>
      </c>
      <c r="D74" t="str">
        <f t="shared" si="2"/>
        <v>Não</v>
      </c>
    </row>
    <row r="75" spans="1:4" x14ac:dyDescent="0.25">
      <c r="A75" t="s">
        <v>76</v>
      </c>
      <c r="C75" t="s">
        <v>22</v>
      </c>
      <c r="D75" t="str">
        <f t="shared" si="2"/>
        <v>Não</v>
      </c>
    </row>
    <row r="76" spans="1:4" x14ac:dyDescent="0.25">
      <c r="A76" t="s">
        <v>76</v>
      </c>
      <c r="C76" t="s">
        <v>22</v>
      </c>
      <c r="D76" t="str">
        <f t="shared" si="2"/>
        <v>Não</v>
      </c>
    </row>
    <row r="77" spans="1:4" x14ac:dyDescent="0.25">
      <c r="A77" t="s">
        <v>76</v>
      </c>
      <c r="C77" t="s">
        <v>22</v>
      </c>
      <c r="D77" t="str">
        <f t="shared" si="2"/>
        <v>Não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5C8F-DB74-4AA9-871E-5BFD8D7A3BBF}">
  <dimension ref="A1:G100"/>
  <sheetViews>
    <sheetView workbookViewId="0">
      <selection activeCell="C24" sqref="C24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124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C3" t="s">
        <v>139</v>
      </c>
      <c r="D3" t="str">
        <f t="shared" ref="D3:D25" si="0">IF(B3=C3, "Sim", "Não")</f>
        <v>Não</v>
      </c>
      <c r="F3" s="4" t="s">
        <v>12</v>
      </c>
      <c r="G3" s="3">
        <f>COUNTIF(D3:D105,"Não")</f>
        <v>75</v>
      </c>
    </row>
    <row r="4" spans="1:7" x14ac:dyDescent="0.25">
      <c r="A4" t="s">
        <v>1</v>
      </c>
      <c r="C4" t="s">
        <v>139</v>
      </c>
      <c r="D4" t="str">
        <f t="shared" si="0"/>
        <v>Não</v>
      </c>
      <c r="F4" s="4" t="s">
        <v>13</v>
      </c>
      <c r="G4" s="3">
        <f>SUM(G7:G23)</f>
        <v>75</v>
      </c>
    </row>
    <row r="5" spans="1:7" x14ac:dyDescent="0.25">
      <c r="A5" t="s">
        <v>1</v>
      </c>
      <c r="C5" t="s">
        <v>140</v>
      </c>
      <c r="D5" t="str">
        <f t="shared" si="0"/>
        <v>Não</v>
      </c>
    </row>
    <row r="6" spans="1:7" x14ac:dyDescent="0.25">
      <c r="A6" t="s">
        <v>1</v>
      </c>
      <c r="C6" t="s">
        <v>140</v>
      </c>
      <c r="D6" t="str">
        <f t="shared" si="0"/>
        <v>Não</v>
      </c>
      <c r="F6" s="6" t="s">
        <v>4</v>
      </c>
      <c r="G6" s="1"/>
    </row>
    <row r="7" spans="1:7" x14ac:dyDescent="0.25">
      <c r="A7" t="s">
        <v>1</v>
      </c>
      <c r="C7" t="s">
        <v>147</v>
      </c>
      <c r="D7" t="str">
        <f t="shared" si="0"/>
        <v>Não</v>
      </c>
      <c r="F7" s="7" t="s">
        <v>1</v>
      </c>
      <c r="G7" s="2">
        <f t="shared" ref="G7:G13" si="1">COUNTIF(A:A,F7)</f>
        <v>23</v>
      </c>
    </row>
    <row r="8" spans="1:7" x14ac:dyDescent="0.25">
      <c r="A8" t="s">
        <v>1</v>
      </c>
      <c r="C8" t="s">
        <v>147</v>
      </c>
      <c r="D8" t="str">
        <f t="shared" si="0"/>
        <v>Não</v>
      </c>
      <c r="F8" s="7" t="s">
        <v>5</v>
      </c>
      <c r="G8" s="2">
        <f t="shared" si="1"/>
        <v>11</v>
      </c>
    </row>
    <row r="9" spans="1:7" x14ac:dyDescent="0.25">
      <c r="A9" t="s">
        <v>1</v>
      </c>
      <c r="C9" t="s">
        <v>141</v>
      </c>
      <c r="D9" t="str">
        <f t="shared" si="0"/>
        <v>Não</v>
      </c>
      <c r="F9" s="7" t="s">
        <v>131</v>
      </c>
      <c r="G9" s="2">
        <f t="shared" si="1"/>
        <v>0</v>
      </c>
    </row>
    <row r="10" spans="1:7" x14ac:dyDescent="0.25">
      <c r="A10" t="s">
        <v>1</v>
      </c>
      <c r="C10" t="s">
        <v>141</v>
      </c>
      <c r="D10" t="str">
        <f t="shared" si="0"/>
        <v>Não</v>
      </c>
      <c r="F10" s="7" t="s">
        <v>132</v>
      </c>
      <c r="G10" s="2">
        <f t="shared" si="1"/>
        <v>6</v>
      </c>
    </row>
    <row r="11" spans="1:7" x14ac:dyDescent="0.25">
      <c r="A11" t="s">
        <v>1</v>
      </c>
      <c r="C11" t="s">
        <v>145</v>
      </c>
      <c r="D11" t="str">
        <f t="shared" si="0"/>
        <v>Não</v>
      </c>
      <c r="F11" s="7" t="s">
        <v>6</v>
      </c>
      <c r="G11" s="2">
        <f t="shared" si="1"/>
        <v>12</v>
      </c>
    </row>
    <row r="12" spans="1:7" x14ac:dyDescent="0.25">
      <c r="A12" t="s">
        <v>1</v>
      </c>
      <c r="C12" t="s">
        <v>145</v>
      </c>
      <c r="D12" t="str">
        <f t="shared" si="0"/>
        <v>Não</v>
      </c>
      <c r="F12" s="7" t="s">
        <v>130</v>
      </c>
      <c r="G12" s="2">
        <f t="shared" si="1"/>
        <v>8</v>
      </c>
    </row>
    <row r="13" spans="1:7" x14ac:dyDescent="0.25">
      <c r="A13" t="s">
        <v>1</v>
      </c>
      <c r="C13" t="s">
        <v>146</v>
      </c>
      <c r="D13" t="str">
        <f t="shared" si="0"/>
        <v>Não</v>
      </c>
      <c r="F13" s="7" t="s">
        <v>76</v>
      </c>
      <c r="G13" s="2">
        <f t="shared" si="1"/>
        <v>15</v>
      </c>
    </row>
    <row r="14" spans="1:7" x14ac:dyDescent="0.25">
      <c r="A14" t="s">
        <v>1</v>
      </c>
      <c r="C14" t="s">
        <v>146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144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144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2</v>
      </c>
      <c r="D17" t="str">
        <f t="shared" si="0"/>
        <v>Não</v>
      </c>
    </row>
    <row r="18" spans="1:4" x14ac:dyDescent="0.25">
      <c r="A18" t="s">
        <v>1</v>
      </c>
      <c r="C18" t="s">
        <v>2</v>
      </c>
      <c r="D18" t="str">
        <f t="shared" si="0"/>
        <v>Não</v>
      </c>
    </row>
    <row r="19" spans="1:4" x14ac:dyDescent="0.25">
      <c r="A19" t="s">
        <v>1</v>
      </c>
      <c r="C19" t="s">
        <v>2</v>
      </c>
      <c r="D19" t="str">
        <f t="shared" si="0"/>
        <v>Não</v>
      </c>
    </row>
    <row r="20" spans="1:4" x14ac:dyDescent="0.25">
      <c r="A20" t="s">
        <v>1</v>
      </c>
      <c r="C20" t="s">
        <v>7</v>
      </c>
      <c r="D20" t="str">
        <f t="shared" si="0"/>
        <v>Não</v>
      </c>
    </row>
    <row r="21" spans="1:4" x14ac:dyDescent="0.25">
      <c r="A21" t="s">
        <v>1</v>
      </c>
      <c r="C21" t="s">
        <v>7</v>
      </c>
      <c r="D21" t="str">
        <f t="shared" si="0"/>
        <v>Não</v>
      </c>
    </row>
    <row r="22" spans="1:4" x14ac:dyDescent="0.25">
      <c r="A22" t="s">
        <v>1</v>
      </c>
      <c r="C22" t="s">
        <v>7</v>
      </c>
      <c r="D22" t="str">
        <f t="shared" si="0"/>
        <v>Não</v>
      </c>
    </row>
    <row r="23" spans="1:4" x14ac:dyDescent="0.25">
      <c r="A23" t="s">
        <v>1</v>
      </c>
      <c r="C23" t="s">
        <v>15</v>
      </c>
      <c r="D23" t="str">
        <f t="shared" si="0"/>
        <v>Não</v>
      </c>
    </row>
    <row r="24" spans="1:4" x14ac:dyDescent="0.25">
      <c r="A24" t="s">
        <v>1</v>
      </c>
      <c r="C24" t="s">
        <v>15</v>
      </c>
      <c r="D24" t="str">
        <f t="shared" si="0"/>
        <v>Não</v>
      </c>
    </row>
    <row r="25" spans="1:4" x14ac:dyDescent="0.25">
      <c r="A25" t="s">
        <v>1</v>
      </c>
      <c r="C25" t="s">
        <v>15</v>
      </c>
      <c r="D25" t="str">
        <f t="shared" si="0"/>
        <v>Não</v>
      </c>
    </row>
    <row r="26" spans="1:4" x14ac:dyDescent="0.25">
      <c r="A26" t="s">
        <v>130</v>
      </c>
      <c r="C26" t="s">
        <v>201</v>
      </c>
      <c r="D26" t="str">
        <f t="shared" ref="D26:D59" si="2">IF(B26=C26, "Sim", "Não")</f>
        <v>Não</v>
      </c>
    </row>
    <row r="27" spans="1:4" x14ac:dyDescent="0.25">
      <c r="A27" t="s">
        <v>130</v>
      </c>
      <c r="C27" t="s">
        <v>201</v>
      </c>
      <c r="D27" t="str">
        <f t="shared" si="2"/>
        <v>Não</v>
      </c>
    </row>
    <row r="28" spans="1:4" x14ac:dyDescent="0.25">
      <c r="A28" t="s">
        <v>130</v>
      </c>
      <c r="C28" t="s">
        <v>201</v>
      </c>
      <c r="D28" t="str">
        <f t="shared" si="2"/>
        <v>Não</v>
      </c>
    </row>
    <row r="29" spans="1:4" x14ac:dyDescent="0.25">
      <c r="A29" t="s">
        <v>130</v>
      </c>
      <c r="C29" t="s">
        <v>201</v>
      </c>
      <c r="D29" t="str">
        <f t="shared" si="2"/>
        <v>Não</v>
      </c>
    </row>
    <row r="30" spans="1:4" x14ac:dyDescent="0.25">
      <c r="A30" t="s">
        <v>130</v>
      </c>
      <c r="C30" t="s">
        <v>142</v>
      </c>
      <c r="D30" t="str">
        <f t="shared" si="2"/>
        <v>Não</v>
      </c>
    </row>
    <row r="31" spans="1:4" x14ac:dyDescent="0.25">
      <c r="A31" t="s">
        <v>130</v>
      </c>
      <c r="C31" t="s">
        <v>142</v>
      </c>
      <c r="D31" t="str">
        <f t="shared" si="2"/>
        <v>Não</v>
      </c>
    </row>
    <row r="32" spans="1:4" x14ac:dyDescent="0.25">
      <c r="A32" t="s">
        <v>130</v>
      </c>
      <c r="B32" s="5"/>
      <c r="C32" s="5" t="s">
        <v>167</v>
      </c>
      <c r="D32" t="str">
        <f t="shared" si="2"/>
        <v>Não</v>
      </c>
    </row>
    <row r="33" spans="1:4" x14ac:dyDescent="0.25">
      <c r="A33" t="s">
        <v>130</v>
      </c>
      <c r="C33" s="5" t="s">
        <v>167</v>
      </c>
      <c r="D33" t="str">
        <f t="shared" si="2"/>
        <v>Não</v>
      </c>
    </row>
    <row r="34" spans="1:4" x14ac:dyDescent="0.25">
      <c r="A34" t="s">
        <v>5</v>
      </c>
      <c r="C34" t="s">
        <v>168</v>
      </c>
      <c r="D34" t="str">
        <f t="shared" si="2"/>
        <v>Não</v>
      </c>
    </row>
    <row r="35" spans="1:4" x14ac:dyDescent="0.25">
      <c r="A35" t="s">
        <v>5</v>
      </c>
      <c r="C35" t="s">
        <v>168</v>
      </c>
      <c r="D35" t="str">
        <f t="shared" si="2"/>
        <v>Não</v>
      </c>
    </row>
    <row r="36" spans="1:4" x14ac:dyDescent="0.25">
      <c r="A36" t="s">
        <v>5</v>
      </c>
      <c r="C36" t="s">
        <v>168</v>
      </c>
      <c r="D36" t="str">
        <f t="shared" si="2"/>
        <v>Não</v>
      </c>
    </row>
    <row r="37" spans="1:4" x14ac:dyDescent="0.25">
      <c r="A37" t="s">
        <v>5</v>
      </c>
      <c r="C37" t="s">
        <v>133</v>
      </c>
      <c r="D37" t="str">
        <f t="shared" si="2"/>
        <v>Não</v>
      </c>
    </row>
    <row r="38" spans="1:4" x14ac:dyDescent="0.25">
      <c r="A38" t="s">
        <v>5</v>
      </c>
      <c r="C38" t="s">
        <v>133</v>
      </c>
      <c r="D38" t="str">
        <f t="shared" si="2"/>
        <v>Não</v>
      </c>
    </row>
    <row r="39" spans="1:4" x14ac:dyDescent="0.25">
      <c r="A39" t="s">
        <v>5</v>
      </c>
      <c r="C39" t="s">
        <v>133</v>
      </c>
      <c r="D39" t="str">
        <f t="shared" si="2"/>
        <v>Não</v>
      </c>
    </row>
    <row r="40" spans="1:4" x14ac:dyDescent="0.25">
      <c r="A40" t="s">
        <v>5</v>
      </c>
      <c r="C40" t="s">
        <v>133</v>
      </c>
      <c r="D40" t="str">
        <f t="shared" si="2"/>
        <v>Não</v>
      </c>
    </row>
    <row r="41" spans="1:4" x14ac:dyDescent="0.25">
      <c r="A41" t="s">
        <v>5</v>
      </c>
      <c r="C41" t="s">
        <v>138</v>
      </c>
      <c r="D41" t="str">
        <f t="shared" si="2"/>
        <v>Não</v>
      </c>
    </row>
    <row r="42" spans="1:4" x14ac:dyDescent="0.25">
      <c r="A42" t="s">
        <v>5</v>
      </c>
      <c r="C42" t="s">
        <v>138</v>
      </c>
      <c r="D42" t="str">
        <f t="shared" si="2"/>
        <v>Não</v>
      </c>
    </row>
    <row r="43" spans="1:4" x14ac:dyDescent="0.25">
      <c r="A43" t="s">
        <v>5</v>
      </c>
      <c r="C43" t="s">
        <v>138</v>
      </c>
      <c r="D43" t="str">
        <f t="shared" si="2"/>
        <v>Não</v>
      </c>
    </row>
    <row r="44" spans="1:4" x14ac:dyDescent="0.25">
      <c r="A44" t="s">
        <v>5</v>
      </c>
      <c r="C44" t="s">
        <v>138</v>
      </c>
      <c r="D44" t="str">
        <f t="shared" si="2"/>
        <v>Não</v>
      </c>
    </row>
    <row r="45" spans="1:4" x14ac:dyDescent="0.25">
      <c r="A45" t="s">
        <v>132</v>
      </c>
      <c r="C45" t="s">
        <v>8</v>
      </c>
      <c r="D45" t="str">
        <f t="shared" si="2"/>
        <v>Não</v>
      </c>
    </row>
    <row r="46" spans="1:4" x14ac:dyDescent="0.25">
      <c r="A46" t="s">
        <v>132</v>
      </c>
      <c r="C46" t="s">
        <v>8</v>
      </c>
      <c r="D46" t="str">
        <f t="shared" si="2"/>
        <v>Não</v>
      </c>
    </row>
    <row r="47" spans="1:4" x14ac:dyDescent="0.25">
      <c r="A47" t="s">
        <v>132</v>
      </c>
      <c r="C47" t="s">
        <v>135</v>
      </c>
      <c r="D47" t="str">
        <f t="shared" si="2"/>
        <v>Não</v>
      </c>
    </row>
    <row r="48" spans="1:4" x14ac:dyDescent="0.25">
      <c r="A48" t="s">
        <v>132</v>
      </c>
      <c r="C48" t="s">
        <v>135</v>
      </c>
      <c r="D48" t="str">
        <f t="shared" si="2"/>
        <v>Não</v>
      </c>
    </row>
    <row r="49" spans="1:4" x14ac:dyDescent="0.25">
      <c r="A49" t="s">
        <v>132</v>
      </c>
      <c r="C49" t="s">
        <v>135</v>
      </c>
      <c r="D49" t="str">
        <f t="shared" si="2"/>
        <v>Não</v>
      </c>
    </row>
    <row r="50" spans="1:4" x14ac:dyDescent="0.25">
      <c r="A50" t="s">
        <v>132</v>
      </c>
      <c r="C50" t="s">
        <v>135</v>
      </c>
      <c r="D50" t="str">
        <f t="shared" si="2"/>
        <v>Não</v>
      </c>
    </row>
    <row r="51" spans="1:4" x14ac:dyDescent="0.25">
      <c r="A51" t="s">
        <v>6</v>
      </c>
      <c r="C51" t="s">
        <v>134</v>
      </c>
      <c r="D51" t="str">
        <f t="shared" si="2"/>
        <v>Não</v>
      </c>
    </row>
    <row r="52" spans="1:4" x14ac:dyDescent="0.25">
      <c r="A52" t="s">
        <v>6</v>
      </c>
      <c r="C52" t="s">
        <v>134</v>
      </c>
      <c r="D52" t="str">
        <f t="shared" si="2"/>
        <v>Não</v>
      </c>
    </row>
    <row r="53" spans="1:4" x14ac:dyDescent="0.25">
      <c r="A53" t="s">
        <v>6</v>
      </c>
      <c r="C53" t="s">
        <v>134</v>
      </c>
      <c r="D53" t="str">
        <f t="shared" si="2"/>
        <v>Não</v>
      </c>
    </row>
    <row r="54" spans="1:4" x14ac:dyDescent="0.25">
      <c r="A54" t="s">
        <v>6</v>
      </c>
      <c r="C54" t="s">
        <v>134</v>
      </c>
      <c r="D54" t="str">
        <f t="shared" si="2"/>
        <v>Não</v>
      </c>
    </row>
    <row r="55" spans="1:4" x14ac:dyDescent="0.25">
      <c r="A55" t="s">
        <v>6</v>
      </c>
      <c r="C55" t="s">
        <v>92</v>
      </c>
      <c r="D55" t="str">
        <f t="shared" si="2"/>
        <v>Não</v>
      </c>
    </row>
    <row r="56" spans="1:4" x14ac:dyDescent="0.25">
      <c r="A56" t="s">
        <v>6</v>
      </c>
      <c r="C56" t="s">
        <v>92</v>
      </c>
      <c r="D56" t="str">
        <f t="shared" si="2"/>
        <v>Não</v>
      </c>
    </row>
    <row r="57" spans="1:4" x14ac:dyDescent="0.25">
      <c r="A57" t="s">
        <v>6</v>
      </c>
      <c r="C57" t="s">
        <v>92</v>
      </c>
      <c r="D57" t="str">
        <f t="shared" si="2"/>
        <v>Não</v>
      </c>
    </row>
    <row r="58" spans="1:4" x14ac:dyDescent="0.25">
      <c r="A58" t="s">
        <v>6</v>
      </c>
      <c r="C58" t="s">
        <v>92</v>
      </c>
      <c r="D58" t="str">
        <f t="shared" si="2"/>
        <v>Não</v>
      </c>
    </row>
    <row r="59" spans="1:4" x14ac:dyDescent="0.25">
      <c r="A59" t="s">
        <v>6</v>
      </c>
      <c r="C59" t="s">
        <v>136</v>
      </c>
      <c r="D59" t="str">
        <f t="shared" si="2"/>
        <v>Não</v>
      </c>
    </row>
    <row r="60" spans="1:4" x14ac:dyDescent="0.25">
      <c r="A60" t="s">
        <v>6</v>
      </c>
      <c r="C60" t="s">
        <v>136</v>
      </c>
      <c r="D60" t="str">
        <f t="shared" ref="D60:D66" si="3">IF(B60=C60, "Sim", "Não")</f>
        <v>Não</v>
      </c>
    </row>
    <row r="61" spans="1:4" x14ac:dyDescent="0.25">
      <c r="A61" t="s">
        <v>6</v>
      </c>
      <c r="C61" t="s">
        <v>136</v>
      </c>
      <c r="D61" t="str">
        <f t="shared" si="3"/>
        <v>Não</v>
      </c>
    </row>
    <row r="62" spans="1:4" x14ac:dyDescent="0.25">
      <c r="A62" t="s">
        <v>6</v>
      </c>
      <c r="C62" t="s">
        <v>136</v>
      </c>
      <c r="D62" t="str">
        <f t="shared" si="3"/>
        <v>Não</v>
      </c>
    </row>
    <row r="63" spans="1:4" x14ac:dyDescent="0.25">
      <c r="A63" t="s">
        <v>76</v>
      </c>
      <c r="C63" t="s">
        <v>137</v>
      </c>
      <c r="D63" t="str">
        <f t="shared" si="3"/>
        <v>Não</v>
      </c>
    </row>
    <row r="64" spans="1:4" x14ac:dyDescent="0.25">
      <c r="A64" t="s">
        <v>76</v>
      </c>
      <c r="C64" t="s">
        <v>137</v>
      </c>
      <c r="D64" t="str">
        <f t="shared" si="3"/>
        <v>Não</v>
      </c>
    </row>
    <row r="65" spans="1:4" x14ac:dyDescent="0.25">
      <c r="A65" t="s">
        <v>76</v>
      </c>
      <c r="C65" t="s">
        <v>137</v>
      </c>
      <c r="D65" t="str">
        <f t="shared" si="3"/>
        <v>Não</v>
      </c>
    </row>
    <row r="66" spans="1:4" x14ac:dyDescent="0.25">
      <c r="A66" t="s">
        <v>76</v>
      </c>
      <c r="C66" t="s">
        <v>137</v>
      </c>
      <c r="D66" t="str">
        <f t="shared" si="3"/>
        <v>Não</v>
      </c>
    </row>
    <row r="67" spans="1:4" x14ac:dyDescent="0.25">
      <c r="A67" t="s">
        <v>76</v>
      </c>
      <c r="C67" t="s">
        <v>143</v>
      </c>
      <c r="D67" t="str">
        <f t="shared" ref="D67:D77" si="4">IF(B67=C67, "Sim", "Não")</f>
        <v>Não</v>
      </c>
    </row>
    <row r="68" spans="1:4" x14ac:dyDescent="0.25">
      <c r="A68" t="s">
        <v>76</v>
      </c>
      <c r="C68" t="s">
        <v>143</v>
      </c>
      <c r="D68" t="str">
        <f t="shared" si="4"/>
        <v>Não</v>
      </c>
    </row>
    <row r="69" spans="1:4" x14ac:dyDescent="0.25">
      <c r="A69" t="s">
        <v>76</v>
      </c>
      <c r="C69" t="s">
        <v>143</v>
      </c>
      <c r="D69" t="str">
        <f t="shared" si="4"/>
        <v>Não</v>
      </c>
    </row>
    <row r="70" spans="1:4" x14ac:dyDescent="0.25">
      <c r="A70" t="s">
        <v>76</v>
      </c>
      <c r="C70" t="s">
        <v>143</v>
      </c>
      <c r="D70" t="str">
        <f t="shared" si="4"/>
        <v>Não</v>
      </c>
    </row>
    <row r="71" spans="1:4" x14ac:dyDescent="0.25">
      <c r="A71" t="s">
        <v>76</v>
      </c>
      <c r="C71" t="s">
        <v>136</v>
      </c>
      <c r="D71" t="str">
        <f t="shared" si="4"/>
        <v>Não</v>
      </c>
    </row>
    <row r="72" spans="1:4" x14ac:dyDescent="0.25">
      <c r="A72" t="s">
        <v>76</v>
      </c>
      <c r="C72" t="s">
        <v>136</v>
      </c>
      <c r="D72" t="str">
        <f t="shared" si="4"/>
        <v>Não</v>
      </c>
    </row>
    <row r="73" spans="1:4" x14ac:dyDescent="0.25">
      <c r="A73" t="s">
        <v>76</v>
      </c>
      <c r="C73" t="s">
        <v>152</v>
      </c>
      <c r="D73" t="str">
        <f t="shared" si="4"/>
        <v>Não</v>
      </c>
    </row>
    <row r="74" spans="1:4" x14ac:dyDescent="0.25">
      <c r="A74" t="s">
        <v>76</v>
      </c>
      <c r="C74" t="s">
        <v>152</v>
      </c>
      <c r="D74" t="str">
        <f t="shared" si="4"/>
        <v>Não</v>
      </c>
    </row>
    <row r="75" spans="1:4" x14ac:dyDescent="0.25">
      <c r="A75" t="s">
        <v>76</v>
      </c>
      <c r="C75" t="s">
        <v>109</v>
      </c>
      <c r="D75" t="str">
        <f t="shared" si="4"/>
        <v>Não</v>
      </c>
    </row>
    <row r="76" spans="1:4" x14ac:dyDescent="0.25">
      <c r="A76" t="s">
        <v>76</v>
      </c>
      <c r="C76" t="s">
        <v>109</v>
      </c>
      <c r="D76" t="str">
        <f t="shared" si="4"/>
        <v>Não</v>
      </c>
    </row>
    <row r="77" spans="1:4" x14ac:dyDescent="0.25">
      <c r="A77" t="s">
        <v>76</v>
      </c>
      <c r="C77" t="s">
        <v>109</v>
      </c>
      <c r="D77" t="str">
        <f t="shared" si="4"/>
        <v>Não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6:6" customFormat="1" x14ac:dyDescent="0.25">
      <c r="F81" s="3"/>
    </row>
    <row r="82" spans="6:6" customFormat="1" x14ac:dyDescent="0.25">
      <c r="F82" s="3"/>
    </row>
    <row r="83" spans="6:6" customFormat="1" x14ac:dyDescent="0.25">
      <c r="F83" s="3"/>
    </row>
    <row r="84" spans="6:6" customFormat="1" x14ac:dyDescent="0.25">
      <c r="F84" s="3"/>
    </row>
    <row r="85" spans="6:6" customFormat="1" x14ac:dyDescent="0.25">
      <c r="F85" s="3"/>
    </row>
    <row r="86" spans="6:6" customFormat="1" x14ac:dyDescent="0.25">
      <c r="F86" s="3"/>
    </row>
    <row r="87" spans="6:6" customFormat="1" x14ac:dyDescent="0.25">
      <c r="F87" s="3"/>
    </row>
    <row r="88" spans="6:6" customFormat="1" x14ac:dyDescent="0.25">
      <c r="F88" s="3"/>
    </row>
    <row r="89" spans="6:6" customFormat="1" x14ac:dyDescent="0.25">
      <c r="F89" s="3"/>
    </row>
    <row r="90" spans="6:6" customFormat="1" x14ac:dyDescent="0.25">
      <c r="F90" s="3"/>
    </row>
    <row r="91" spans="6:6" customFormat="1" x14ac:dyDescent="0.25">
      <c r="F91" s="3"/>
    </row>
    <row r="92" spans="6:6" customFormat="1" x14ac:dyDescent="0.25">
      <c r="F92" s="3"/>
    </row>
    <row r="93" spans="6:6" customFormat="1" x14ac:dyDescent="0.25">
      <c r="F93" s="3"/>
    </row>
    <row r="94" spans="6:6" customFormat="1" x14ac:dyDescent="0.25">
      <c r="F94" s="3"/>
    </row>
    <row r="95" spans="6:6" customFormat="1" x14ac:dyDescent="0.25">
      <c r="F95" s="3"/>
    </row>
    <row r="96" spans="6:6" customFormat="1" x14ac:dyDescent="0.25">
      <c r="F96" s="3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DD75-FF0C-4DFD-84F6-A0DF6943BB2A}">
  <dimension ref="A1:G100"/>
  <sheetViews>
    <sheetView workbookViewId="0">
      <selection activeCell="C80" sqref="C80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209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B3" t="s">
        <v>171</v>
      </c>
      <c r="C3" t="s">
        <v>171</v>
      </c>
      <c r="D3" t="str">
        <f>IF(B3=C3, "Sim", "Não")</f>
        <v>Sim</v>
      </c>
      <c r="F3" s="4" t="s">
        <v>12</v>
      </c>
      <c r="G3" s="3">
        <f>COUNTIF(D3:D105,"Não")</f>
        <v>10</v>
      </c>
    </row>
    <row r="4" spans="1:7" x14ac:dyDescent="0.25">
      <c r="A4" t="s">
        <v>1</v>
      </c>
      <c r="B4" t="s">
        <v>171</v>
      </c>
      <c r="C4" t="s">
        <v>171</v>
      </c>
      <c r="D4" t="str">
        <f t="shared" ref="D4:D67" si="0">IF(B4=C4, "Sim", "Não")</f>
        <v>Sim</v>
      </c>
      <c r="F4" s="4" t="s">
        <v>13</v>
      </c>
      <c r="G4" s="3">
        <f>SUM(G7:G25)</f>
        <v>75</v>
      </c>
    </row>
    <row r="5" spans="1:7" x14ac:dyDescent="0.25">
      <c r="A5" t="s">
        <v>1</v>
      </c>
      <c r="B5" t="s">
        <v>171</v>
      </c>
      <c r="C5" t="s">
        <v>171</v>
      </c>
      <c r="D5" t="str">
        <f t="shared" si="0"/>
        <v>Sim</v>
      </c>
    </row>
    <row r="6" spans="1:7" x14ac:dyDescent="0.25">
      <c r="A6" t="s">
        <v>1</v>
      </c>
      <c r="B6" t="s">
        <v>171</v>
      </c>
      <c r="C6" t="s">
        <v>171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B7" t="s">
        <v>61</v>
      </c>
      <c r="C7" t="s">
        <v>61</v>
      </c>
      <c r="D7" t="str">
        <f t="shared" si="0"/>
        <v>Sim</v>
      </c>
      <c r="F7" s="7" t="s">
        <v>1</v>
      </c>
      <c r="G7" s="2">
        <f t="shared" ref="G7:G12" si="1">COUNTIF(A:A,F7)</f>
        <v>19</v>
      </c>
    </row>
    <row r="8" spans="1:7" x14ac:dyDescent="0.25">
      <c r="A8" t="s">
        <v>1</v>
      </c>
      <c r="B8" t="s">
        <v>61</v>
      </c>
      <c r="C8" t="s">
        <v>61</v>
      </c>
      <c r="D8" t="str">
        <f t="shared" si="0"/>
        <v>Sim</v>
      </c>
      <c r="F8" s="7" t="s">
        <v>208</v>
      </c>
      <c r="G8" s="2">
        <f t="shared" si="1"/>
        <v>11</v>
      </c>
    </row>
    <row r="9" spans="1:7" x14ac:dyDescent="0.25">
      <c r="A9" t="s">
        <v>1</v>
      </c>
      <c r="B9" t="s">
        <v>61</v>
      </c>
      <c r="C9" t="s">
        <v>61</v>
      </c>
      <c r="D9" t="str">
        <f t="shared" si="0"/>
        <v>Sim</v>
      </c>
      <c r="F9" s="7" t="s">
        <v>26</v>
      </c>
      <c r="G9" s="2">
        <f t="shared" si="1"/>
        <v>4</v>
      </c>
    </row>
    <row r="10" spans="1:7" x14ac:dyDescent="0.25">
      <c r="A10" t="s">
        <v>1</v>
      </c>
      <c r="B10" t="s">
        <v>61</v>
      </c>
      <c r="C10" t="s">
        <v>61</v>
      </c>
      <c r="D10" t="str">
        <f t="shared" si="0"/>
        <v>Sim</v>
      </c>
      <c r="F10" s="7" t="s">
        <v>5</v>
      </c>
      <c r="G10" s="2">
        <f t="shared" si="1"/>
        <v>18</v>
      </c>
    </row>
    <row r="11" spans="1:7" x14ac:dyDescent="0.25">
      <c r="A11" t="s">
        <v>1</v>
      </c>
      <c r="B11" t="s">
        <v>60</v>
      </c>
      <c r="C11" t="s">
        <v>60</v>
      </c>
      <c r="D11" t="str">
        <f t="shared" si="0"/>
        <v>Sim</v>
      </c>
      <c r="F11" s="7" t="s">
        <v>16</v>
      </c>
      <c r="G11" s="2">
        <f t="shared" si="1"/>
        <v>8</v>
      </c>
    </row>
    <row r="12" spans="1:7" x14ac:dyDescent="0.25">
      <c r="A12" t="s">
        <v>1</v>
      </c>
      <c r="B12" t="s">
        <v>60</v>
      </c>
      <c r="C12" t="s">
        <v>60</v>
      </c>
      <c r="D12" t="str">
        <f t="shared" si="0"/>
        <v>Sim</v>
      </c>
      <c r="F12" s="7" t="s">
        <v>76</v>
      </c>
      <c r="G12" s="2">
        <f t="shared" si="1"/>
        <v>15</v>
      </c>
    </row>
    <row r="13" spans="1:7" x14ac:dyDescent="0.25">
      <c r="A13" t="s">
        <v>1</v>
      </c>
      <c r="B13" t="s">
        <v>2</v>
      </c>
      <c r="C13" t="s">
        <v>2</v>
      </c>
      <c r="D13" t="str">
        <f t="shared" si="0"/>
        <v>Sim</v>
      </c>
    </row>
    <row r="14" spans="1:7" x14ac:dyDescent="0.25">
      <c r="A14" t="s">
        <v>1</v>
      </c>
      <c r="B14" t="s">
        <v>2</v>
      </c>
      <c r="C14" t="s">
        <v>2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2</v>
      </c>
      <c r="C15" t="s">
        <v>2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2</v>
      </c>
      <c r="C16" t="s">
        <v>2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2</v>
      </c>
      <c r="C17" t="s">
        <v>2</v>
      </c>
      <c r="D17" t="str">
        <f t="shared" si="0"/>
        <v>Sim</v>
      </c>
    </row>
    <row r="18" spans="1:4" x14ac:dyDescent="0.25">
      <c r="A18" t="s">
        <v>1</v>
      </c>
      <c r="B18" t="s">
        <v>2</v>
      </c>
      <c r="C18" t="s">
        <v>2</v>
      </c>
      <c r="D18" t="str">
        <f t="shared" si="0"/>
        <v>Sim</v>
      </c>
    </row>
    <row r="19" spans="1:4" x14ac:dyDescent="0.25">
      <c r="A19" t="s">
        <v>1</v>
      </c>
      <c r="B19" t="s">
        <v>2</v>
      </c>
      <c r="C19" t="s">
        <v>2</v>
      </c>
      <c r="D19" t="str">
        <f t="shared" si="0"/>
        <v>Sim</v>
      </c>
    </row>
    <row r="20" spans="1:4" x14ac:dyDescent="0.25">
      <c r="A20" t="s">
        <v>1</v>
      </c>
      <c r="B20" t="s">
        <v>7</v>
      </c>
      <c r="C20" t="s">
        <v>7</v>
      </c>
      <c r="D20" t="str">
        <f t="shared" si="0"/>
        <v>Sim</v>
      </c>
    </row>
    <row r="21" spans="1:4" x14ac:dyDescent="0.25">
      <c r="A21" t="s">
        <v>1</v>
      </c>
      <c r="B21" t="s">
        <v>23</v>
      </c>
      <c r="C21" t="s">
        <v>23</v>
      </c>
      <c r="D21" t="str">
        <f t="shared" si="0"/>
        <v>Sim</v>
      </c>
    </row>
    <row r="22" spans="1:4" x14ac:dyDescent="0.25">
      <c r="A22" t="s">
        <v>208</v>
      </c>
      <c r="B22" s="14" t="s">
        <v>235</v>
      </c>
      <c r="C22" s="14" t="s">
        <v>235</v>
      </c>
      <c r="D22" t="str">
        <f t="shared" si="0"/>
        <v>Sim</v>
      </c>
    </row>
    <row r="23" spans="1:4" x14ac:dyDescent="0.25">
      <c r="A23" t="s">
        <v>208</v>
      </c>
      <c r="B23" s="14" t="s">
        <v>235</v>
      </c>
      <c r="C23" s="14" t="s">
        <v>235</v>
      </c>
      <c r="D23" t="str">
        <f t="shared" si="0"/>
        <v>Sim</v>
      </c>
    </row>
    <row r="24" spans="1:4" x14ac:dyDescent="0.25">
      <c r="A24" t="s">
        <v>208</v>
      </c>
      <c r="B24" t="s">
        <v>210</v>
      </c>
      <c r="C24" t="s">
        <v>210</v>
      </c>
      <c r="D24" t="str">
        <f t="shared" si="0"/>
        <v>Sim</v>
      </c>
    </row>
    <row r="25" spans="1:4" x14ac:dyDescent="0.25">
      <c r="A25" t="s">
        <v>208</v>
      </c>
      <c r="B25" t="s">
        <v>211</v>
      </c>
      <c r="C25" t="s">
        <v>211</v>
      </c>
      <c r="D25" t="str">
        <f t="shared" si="0"/>
        <v>Sim</v>
      </c>
    </row>
    <row r="26" spans="1:4" x14ac:dyDescent="0.25">
      <c r="A26" t="s">
        <v>208</v>
      </c>
      <c r="B26" t="s">
        <v>211</v>
      </c>
      <c r="C26" t="s">
        <v>211</v>
      </c>
      <c r="D26" t="str">
        <f t="shared" si="0"/>
        <v>Sim</v>
      </c>
    </row>
    <row r="27" spans="1:4" x14ac:dyDescent="0.25">
      <c r="A27" t="s">
        <v>208</v>
      </c>
      <c r="B27" t="s">
        <v>211</v>
      </c>
      <c r="C27" t="s">
        <v>211</v>
      </c>
      <c r="D27" t="str">
        <f t="shared" si="0"/>
        <v>Sim</v>
      </c>
    </row>
    <row r="28" spans="1:4" x14ac:dyDescent="0.25">
      <c r="A28" t="s">
        <v>208</v>
      </c>
      <c r="B28" t="s">
        <v>211</v>
      </c>
      <c r="C28" t="s">
        <v>211</v>
      </c>
      <c r="D28" t="str">
        <f t="shared" si="0"/>
        <v>Sim</v>
      </c>
    </row>
    <row r="29" spans="1:4" x14ac:dyDescent="0.25">
      <c r="A29" t="s">
        <v>208</v>
      </c>
      <c r="B29" t="s">
        <v>212</v>
      </c>
      <c r="C29" t="s">
        <v>212</v>
      </c>
      <c r="D29" t="str">
        <f t="shared" si="0"/>
        <v>Sim</v>
      </c>
    </row>
    <row r="30" spans="1:4" x14ac:dyDescent="0.25">
      <c r="A30" t="s">
        <v>208</v>
      </c>
      <c r="B30" t="s">
        <v>212</v>
      </c>
      <c r="C30" t="s">
        <v>212</v>
      </c>
      <c r="D30" t="str">
        <f t="shared" si="0"/>
        <v>Sim</v>
      </c>
    </row>
    <row r="31" spans="1:4" x14ac:dyDescent="0.25">
      <c r="A31" t="s">
        <v>208</v>
      </c>
      <c r="B31" t="s">
        <v>212</v>
      </c>
      <c r="C31" t="s">
        <v>212</v>
      </c>
      <c r="D31" t="str">
        <f t="shared" si="0"/>
        <v>Sim</v>
      </c>
    </row>
    <row r="32" spans="1:4" x14ac:dyDescent="0.25">
      <c r="A32" t="s">
        <v>208</v>
      </c>
      <c r="B32" t="s">
        <v>213</v>
      </c>
      <c r="C32" t="s">
        <v>213</v>
      </c>
      <c r="D32" t="str">
        <f t="shared" si="0"/>
        <v>Sim</v>
      </c>
    </row>
    <row r="33" spans="1:4" x14ac:dyDescent="0.25">
      <c r="A33" t="s">
        <v>5</v>
      </c>
      <c r="B33" t="s">
        <v>49</v>
      </c>
      <c r="C33" t="s">
        <v>49</v>
      </c>
      <c r="D33" t="str">
        <f t="shared" si="0"/>
        <v>Sim</v>
      </c>
    </row>
    <row r="34" spans="1:4" x14ac:dyDescent="0.25">
      <c r="A34" t="s">
        <v>5</v>
      </c>
      <c r="B34" t="s">
        <v>49</v>
      </c>
      <c r="C34" t="s">
        <v>49</v>
      </c>
      <c r="D34" t="str">
        <f t="shared" si="0"/>
        <v>Sim</v>
      </c>
    </row>
    <row r="35" spans="1:4" x14ac:dyDescent="0.25">
      <c r="A35" t="s">
        <v>5</v>
      </c>
      <c r="B35" t="s">
        <v>49</v>
      </c>
      <c r="C35" t="s">
        <v>49</v>
      </c>
      <c r="D35" t="str">
        <f t="shared" ref="D35:D42" si="2">IF(B35=C35, "Sim", "Não")</f>
        <v>Sim</v>
      </c>
    </row>
    <row r="36" spans="1:4" x14ac:dyDescent="0.25">
      <c r="A36" t="s">
        <v>5</v>
      </c>
      <c r="B36" t="s">
        <v>49</v>
      </c>
      <c r="C36" t="s">
        <v>49</v>
      </c>
      <c r="D36" t="str">
        <f t="shared" si="2"/>
        <v>Sim</v>
      </c>
    </row>
    <row r="37" spans="1:4" x14ac:dyDescent="0.25">
      <c r="A37" t="s">
        <v>5</v>
      </c>
      <c r="B37" t="s">
        <v>330</v>
      </c>
      <c r="C37" t="s">
        <v>214</v>
      </c>
      <c r="D37" t="str">
        <f t="shared" si="2"/>
        <v>Não</v>
      </c>
    </row>
    <row r="38" spans="1:4" x14ac:dyDescent="0.25">
      <c r="A38" t="s">
        <v>5</v>
      </c>
      <c r="B38" t="s">
        <v>330</v>
      </c>
      <c r="C38" t="s">
        <v>214</v>
      </c>
      <c r="D38" t="str">
        <f t="shared" si="2"/>
        <v>Não</v>
      </c>
    </row>
    <row r="39" spans="1:4" x14ac:dyDescent="0.25">
      <c r="A39" t="s">
        <v>5</v>
      </c>
      <c r="B39" t="s">
        <v>330</v>
      </c>
      <c r="C39" t="s">
        <v>214</v>
      </c>
      <c r="D39" t="str">
        <f t="shared" si="2"/>
        <v>Não</v>
      </c>
    </row>
    <row r="40" spans="1:4" x14ac:dyDescent="0.25">
      <c r="A40" t="s">
        <v>5</v>
      </c>
      <c r="B40" t="s">
        <v>330</v>
      </c>
      <c r="C40" t="s">
        <v>214</v>
      </c>
      <c r="D40" t="str">
        <f t="shared" si="2"/>
        <v>Não</v>
      </c>
    </row>
    <row r="41" spans="1:4" x14ac:dyDescent="0.25">
      <c r="A41" t="s">
        <v>5</v>
      </c>
      <c r="B41" t="s">
        <v>215</v>
      </c>
      <c r="C41" t="s">
        <v>215</v>
      </c>
      <c r="D41" t="str">
        <f t="shared" si="2"/>
        <v>Sim</v>
      </c>
    </row>
    <row r="42" spans="1:4" x14ac:dyDescent="0.25">
      <c r="A42" t="s">
        <v>5</v>
      </c>
      <c r="B42" t="s">
        <v>215</v>
      </c>
      <c r="C42" t="s">
        <v>215</v>
      </c>
      <c r="D42" t="str">
        <f t="shared" si="2"/>
        <v>Sim</v>
      </c>
    </row>
    <row r="43" spans="1:4" x14ac:dyDescent="0.25">
      <c r="A43" t="s">
        <v>5</v>
      </c>
      <c r="B43" t="s">
        <v>215</v>
      </c>
      <c r="C43" t="s">
        <v>215</v>
      </c>
      <c r="D43" t="str">
        <f t="shared" si="0"/>
        <v>Sim</v>
      </c>
    </row>
    <row r="44" spans="1:4" x14ac:dyDescent="0.25">
      <c r="A44" t="s">
        <v>5</v>
      </c>
      <c r="B44" t="s">
        <v>215</v>
      </c>
      <c r="C44" t="s">
        <v>215</v>
      </c>
      <c r="D44" t="str">
        <f t="shared" si="0"/>
        <v>Sim</v>
      </c>
    </row>
    <row r="45" spans="1:4" x14ac:dyDescent="0.25">
      <c r="A45" t="s">
        <v>5</v>
      </c>
      <c r="B45" t="s">
        <v>216</v>
      </c>
      <c r="C45" t="s">
        <v>216</v>
      </c>
      <c r="D45" t="str">
        <f t="shared" si="0"/>
        <v>Sim</v>
      </c>
    </row>
    <row r="46" spans="1:4" x14ac:dyDescent="0.25">
      <c r="A46" t="s">
        <v>5</v>
      </c>
      <c r="B46" t="s">
        <v>216</v>
      </c>
      <c r="C46" t="s">
        <v>216</v>
      </c>
      <c r="D46" t="str">
        <f t="shared" si="0"/>
        <v>Sim</v>
      </c>
    </row>
    <row r="47" spans="1:4" x14ac:dyDescent="0.25">
      <c r="A47" t="s">
        <v>5</v>
      </c>
      <c r="B47" t="s">
        <v>216</v>
      </c>
      <c r="C47" t="s">
        <v>216</v>
      </c>
      <c r="D47" t="str">
        <f t="shared" si="0"/>
        <v>Sim</v>
      </c>
    </row>
    <row r="48" spans="1:4" x14ac:dyDescent="0.25">
      <c r="A48" t="s">
        <v>5</v>
      </c>
      <c r="B48" t="s">
        <v>216</v>
      </c>
      <c r="C48" t="s">
        <v>216</v>
      </c>
      <c r="D48" t="str">
        <f t="shared" si="0"/>
        <v>Sim</v>
      </c>
    </row>
    <row r="49" spans="1:4" x14ac:dyDescent="0.25">
      <c r="A49" t="s">
        <v>5</v>
      </c>
      <c r="C49" t="s">
        <v>243</v>
      </c>
      <c r="D49" t="str">
        <f>IF(B49=C49, "Sim", "Não")</f>
        <v>Não</v>
      </c>
    </row>
    <row r="50" spans="1:4" x14ac:dyDescent="0.25">
      <c r="A50" t="s">
        <v>5</v>
      </c>
      <c r="C50" t="s">
        <v>243</v>
      </c>
      <c r="D50" t="str">
        <f>IF(B50=C50, "Sim", "Não")</f>
        <v>Não</v>
      </c>
    </row>
    <row r="51" spans="1:4" x14ac:dyDescent="0.25">
      <c r="A51" t="s">
        <v>26</v>
      </c>
      <c r="B51" t="s">
        <v>58</v>
      </c>
      <c r="C51" t="s">
        <v>58</v>
      </c>
      <c r="D51" t="str">
        <f t="shared" si="0"/>
        <v>Sim</v>
      </c>
    </row>
    <row r="52" spans="1:4" x14ac:dyDescent="0.25">
      <c r="A52" t="s">
        <v>26</v>
      </c>
      <c r="B52" t="s">
        <v>58</v>
      </c>
      <c r="C52" t="s">
        <v>58</v>
      </c>
      <c r="D52" t="str">
        <f t="shared" si="0"/>
        <v>Sim</v>
      </c>
    </row>
    <row r="53" spans="1:4" x14ac:dyDescent="0.25">
      <c r="A53" t="s">
        <v>26</v>
      </c>
      <c r="B53" t="s">
        <v>58</v>
      </c>
      <c r="C53" t="s">
        <v>58</v>
      </c>
      <c r="D53" t="str">
        <f t="shared" si="0"/>
        <v>Sim</v>
      </c>
    </row>
    <row r="54" spans="1:4" x14ac:dyDescent="0.25">
      <c r="A54" t="s">
        <v>26</v>
      </c>
      <c r="B54" t="s">
        <v>58</v>
      </c>
      <c r="C54" t="s">
        <v>58</v>
      </c>
      <c r="D54" t="str">
        <f t="shared" si="0"/>
        <v>Sim</v>
      </c>
    </row>
    <row r="55" spans="1:4" x14ac:dyDescent="0.25">
      <c r="A55" t="s">
        <v>16</v>
      </c>
      <c r="B55" t="s">
        <v>8</v>
      </c>
      <c r="C55" t="s">
        <v>8</v>
      </c>
      <c r="D55" t="str">
        <f t="shared" si="0"/>
        <v>Sim</v>
      </c>
    </row>
    <row r="56" spans="1:4" x14ac:dyDescent="0.25">
      <c r="A56" t="s">
        <v>16</v>
      </c>
      <c r="B56" t="s">
        <v>8</v>
      </c>
      <c r="C56" t="s">
        <v>8</v>
      </c>
      <c r="D56" t="str">
        <f t="shared" si="0"/>
        <v>Sim</v>
      </c>
    </row>
    <row r="57" spans="1:4" x14ac:dyDescent="0.25">
      <c r="A57" t="s">
        <v>16</v>
      </c>
      <c r="B57" t="s">
        <v>8</v>
      </c>
      <c r="C57" t="s">
        <v>8</v>
      </c>
      <c r="D57" t="str">
        <f t="shared" si="0"/>
        <v>Sim</v>
      </c>
    </row>
    <row r="58" spans="1:4" x14ac:dyDescent="0.25">
      <c r="A58" t="s">
        <v>16</v>
      </c>
      <c r="B58" t="s">
        <v>8</v>
      </c>
      <c r="C58" t="s">
        <v>8</v>
      </c>
      <c r="D58" t="str">
        <f t="shared" si="0"/>
        <v>Sim</v>
      </c>
    </row>
    <row r="59" spans="1:4" x14ac:dyDescent="0.25">
      <c r="A59" t="s">
        <v>16</v>
      </c>
      <c r="B59" t="s">
        <v>134</v>
      </c>
      <c r="C59" t="s">
        <v>134</v>
      </c>
      <c r="D59" t="str">
        <f t="shared" si="0"/>
        <v>Sim</v>
      </c>
    </row>
    <row r="60" spans="1:4" x14ac:dyDescent="0.25">
      <c r="A60" t="s">
        <v>16</v>
      </c>
      <c r="B60" t="s">
        <v>134</v>
      </c>
      <c r="C60" t="s">
        <v>134</v>
      </c>
      <c r="D60" t="str">
        <f t="shared" si="0"/>
        <v>Sim</v>
      </c>
    </row>
    <row r="61" spans="1:4" x14ac:dyDescent="0.25">
      <c r="A61" t="s">
        <v>16</v>
      </c>
      <c r="B61" t="s">
        <v>134</v>
      </c>
      <c r="C61" t="s">
        <v>134</v>
      </c>
      <c r="D61" t="str">
        <f t="shared" si="0"/>
        <v>Sim</v>
      </c>
    </row>
    <row r="62" spans="1:4" x14ac:dyDescent="0.25">
      <c r="A62" t="s">
        <v>16</v>
      </c>
      <c r="B62" t="s">
        <v>134</v>
      </c>
      <c r="C62" t="s">
        <v>134</v>
      </c>
      <c r="D62" t="str">
        <f t="shared" si="0"/>
        <v>Sim</v>
      </c>
    </row>
    <row r="63" spans="1:4" x14ac:dyDescent="0.25">
      <c r="A63" t="s">
        <v>76</v>
      </c>
      <c r="B63" t="s">
        <v>136</v>
      </c>
      <c r="C63" t="s">
        <v>136</v>
      </c>
      <c r="D63" t="str">
        <f t="shared" si="0"/>
        <v>Sim</v>
      </c>
    </row>
    <row r="64" spans="1:4" x14ac:dyDescent="0.25">
      <c r="A64" t="s">
        <v>76</v>
      </c>
      <c r="B64" t="s">
        <v>136</v>
      </c>
      <c r="C64" t="s">
        <v>136</v>
      </c>
      <c r="D64" t="str">
        <f t="shared" si="0"/>
        <v>Sim</v>
      </c>
    </row>
    <row r="65" spans="1:4" x14ac:dyDescent="0.25">
      <c r="A65" t="s">
        <v>76</v>
      </c>
      <c r="B65" t="s">
        <v>217</v>
      </c>
      <c r="C65" t="s">
        <v>217</v>
      </c>
      <c r="D65" t="str">
        <f t="shared" si="0"/>
        <v>Sim</v>
      </c>
    </row>
    <row r="66" spans="1:4" x14ac:dyDescent="0.25">
      <c r="A66" t="s">
        <v>76</v>
      </c>
      <c r="B66" t="s">
        <v>217</v>
      </c>
      <c r="C66" t="s">
        <v>217</v>
      </c>
      <c r="D66" t="str">
        <f t="shared" si="0"/>
        <v>Sim</v>
      </c>
    </row>
    <row r="67" spans="1:4" x14ac:dyDescent="0.25">
      <c r="A67" t="s">
        <v>76</v>
      </c>
      <c r="C67" t="s">
        <v>217</v>
      </c>
      <c r="D67" t="str">
        <f t="shared" si="0"/>
        <v>Não</v>
      </c>
    </row>
    <row r="68" spans="1:4" x14ac:dyDescent="0.25">
      <c r="A68" t="s">
        <v>76</v>
      </c>
      <c r="B68" t="s">
        <v>218</v>
      </c>
      <c r="C68" t="s">
        <v>218</v>
      </c>
      <c r="D68" t="str">
        <f t="shared" ref="D68:D77" si="3">IF(B68=C68, "Sim", "Não")</f>
        <v>Sim</v>
      </c>
    </row>
    <row r="69" spans="1:4" x14ac:dyDescent="0.25">
      <c r="A69" t="s">
        <v>76</v>
      </c>
      <c r="B69" t="s">
        <v>218</v>
      </c>
      <c r="C69" t="s">
        <v>218</v>
      </c>
      <c r="D69" t="str">
        <f t="shared" si="3"/>
        <v>Sim</v>
      </c>
    </row>
    <row r="70" spans="1:4" x14ac:dyDescent="0.25">
      <c r="A70" t="s">
        <v>76</v>
      </c>
      <c r="B70" t="s">
        <v>218</v>
      </c>
      <c r="C70" t="s">
        <v>218</v>
      </c>
      <c r="D70" t="str">
        <f t="shared" si="3"/>
        <v>Sim</v>
      </c>
    </row>
    <row r="71" spans="1:4" x14ac:dyDescent="0.25">
      <c r="A71" t="s">
        <v>76</v>
      </c>
      <c r="B71" t="s">
        <v>218</v>
      </c>
      <c r="C71" t="s">
        <v>218</v>
      </c>
      <c r="D71" t="str">
        <f t="shared" si="3"/>
        <v>Sim</v>
      </c>
    </row>
    <row r="72" spans="1:4" x14ac:dyDescent="0.25">
      <c r="A72" t="s">
        <v>76</v>
      </c>
      <c r="B72" t="s">
        <v>219</v>
      </c>
      <c r="C72" t="s">
        <v>219</v>
      </c>
      <c r="D72" t="str">
        <f t="shared" si="3"/>
        <v>Sim</v>
      </c>
    </row>
    <row r="73" spans="1:4" x14ac:dyDescent="0.25">
      <c r="A73" t="s">
        <v>76</v>
      </c>
      <c r="B73" t="s">
        <v>219</v>
      </c>
      <c r="C73" t="s">
        <v>219</v>
      </c>
      <c r="D73" t="str">
        <f t="shared" si="3"/>
        <v>Sim</v>
      </c>
    </row>
    <row r="74" spans="1:4" x14ac:dyDescent="0.25">
      <c r="A74" t="s">
        <v>76</v>
      </c>
      <c r="C74" t="s">
        <v>220</v>
      </c>
      <c r="D74" t="str">
        <f t="shared" si="3"/>
        <v>Não</v>
      </c>
    </row>
    <row r="75" spans="1:4" x14ac:dyDescent="0.25">
      <c r="A75" t="s">
        <v>76</v>
      </c>
      <c r="C75" t="s">
        <v>220</v>
      </c>
      <c r="D75" t="str">
        <f t="shared" si="3"/>
        <v>Não</v>
      </c>
    </row>
    <row r="76" spans="1:4" x14ac:dyDescent="0.25">
      <c r="A76" t="s">
        <v>76</v>
      </c>
      <c r="C76" t="s">
        <v>220</v>
      </c>
      <c r="D76" t="str">
        <f t="shared" si="3"/>
        <v>Não</v>
      </c>
    </row>
    <row r="77" spans="1:4" x14ac:dyDescent="0.25">
      <c r="A77" t="s">
        <v>76</v>
      </c>
      <c r="B77" t="s">
        <v>221</v>
      </c>
      <c r="C77" t="s">
        <v>221</v>
      </c>
      <c r="D77" t="str">
        <f t="shared" si="3"/>
        <v>Sim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8B88-9BB2-41CF-82EC-0F17CEC53FC8}">
  <dimension ref="A1:G100"/>
  <sheetViews>
    <sheetView workbookViewId="0">
      <selection activeCell="C15" sqref="C15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209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B3" t="s">
        <v>60</v>
      </c>
      <c r="C3" t="s">
        <v>60</v>
      </c>
      <c r="D3" t="str">
        <f>IF(B3=C3, "Sim", "Não")</f>
        <v>Sim</v>
      </c>
      <c r="F3" s="4" t="s">
        <v>12</v>
      </c>
      <c r="G3" s="3">
        <f>COUNTIF(D3:D105,"Não")</f>
        <v>1</v>
      </c>
    </row>
    <row r="4" spans="1:7" x14ac:dyDescent="0.25">
      <c r="A4" t="s">
        <v>1</v>
      </c>
      <c r="B4" t="s">
        <v>60</v>
      </c>
      <c r="C4" t="s">
        <v>60</v>
      </c>
      <c r="D4" t="str">
        <f t="shared" ref="D4:D67" si="0">IF(B4=C4, "Sim", "Não")</f>
        <v>Sim</v>
      </c>
      <c r="F4" s="4" t="s">
        <v>13</v>
      </c>
      <c r="G4" s="3">
        <f>SUM(G7:G25)</f>
        <v>75</v>
      </c>
    </row>
    <row r="5" spans="1:7" x14ac:dyDescent="0.25">
      <c r="A5" t="s">
        <v>1</v>
      </c>
      <c r="B5" t="s">
        <v>60</v>
      </c>
      <c r="C5" t="s">
        <v>60</v>
      </c>
      <c r="D5" t="str">
        <f t="shared" si="0"/>
        <v>Sim</v>
      </c>
    </row>
    <row r="6" spans="1:7" x14ac:dyDescent="0.25">
      <c r="A6" t="s">
        <v>1</v>
      </c>
      <c r="B6" t="s">
        <v>60</v>
      </c>
      <c r="C6" t="s">
        <v>60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B7" t="s">
        <v>238</v>
      </c>
      <c r="C7" t="s">
        <v>238</v>
      </c>
      <c r="D7" t="str">
        <f t="shared" si="0"/>
        <v>Sim</v>
      </c>
      <c r="F7" s="7" t="s">
        <v>1</v>
      </c>
      <c r="G7" s="2">
        <f>COUNTIF(A:A,F7)</f>
        <v>20</v>
      </c>
    </row>
    <row r="8" spans="1:7" x14ac:dyDescent="0.25">
      <c r="A8" t="s">
        <v>1</v>
      </c>
      <c r="B8" t="s">
        <v>238</v>
      </c>
      <c r="C8" t="s">
        <v>238</v>
      </c>
      <c r="D8" t="str">
        <f t="shared" si="0"/>
        <v>Sim</v>
      </c>
      <c r="F8" s="7" t="s">
        <v>82</v>
      </c>
      <c r="G8" s="2">
        <f t="shared" ref="G8:G10" si="1">COUNTIF(A:A,F8)</f>
        <v>20</v>
      </c>
    </row>
    <row r="9" spans="1:7" x14ac:dyDescent="0.25">
      <c r="A9" t="s">
        <v>1</v>
      </c>
      <c r="B9" t="s">
        <v>238</v>
      </c>
      <c r="C9" t="s">
        <v>238</v>
      </c>
      <c r="D9" t="str">
        <f t="shared" si="0"/>
        <v>Sim</v>
      </c>
      <c r="F9" s="7" t="s">
        <v>227</v>
      </c>
      <c r="G9" s="2">
        <f t="shared" si="1"/>
        <v>6</v>
      </c>
    </row>
    <row r="10" spans="1:7" x14ac:dyDescent="0.25">
      <c r="A10" t="s">
        <v>1</v>
      </c>
      <c r="B10" t="s">
        <v>238</v>
      </c>
      <c r="C10" t="s">
        <v>238</v>
      </c>
      <c r="D10" t="str">
        <f t="shared" si="0"/>
        <v>Sim</v>
      </c>
      <c r="F10" s="7" t="s">
        <v>5</v>
      </c>
      <c r="G10" s="2">
        <f t="shared" si="1"/>
        <v>10</v>
      </c>
    </row>
    <row r="11" spans="1:7" x14ac:dyDescent="0.25">
      <c r="A11" t="s">
        <v>1</v>
      </c>
      <c r="B11" t="s">
        <v>240</v>
      </c>
      <c r="C11" t="s">
        <v>240</v>
      </c>
      <c r="D11" t="str">
        <f t="shared" si="0"/>
        <v>Sim</v>
      </c>
      <c r="F11" s="7" t="s">
        <v>16</v>
      </c>
      <c r="G11" s="2">
        <f>COUNTIF(A:A,F11)</f>
        <v>2</v>
      </c>
    </row>
    <row r="12" spans="1:7" x14ac:dyDescent="0.25">
      <c r="A12" t="s">
        <v>1</v>
      </c>
      <c r="B12" t="s">
        <v>240</v>
      </c>
      <c r="C12" t="s">
        <v>240</v>
      </c>
      <c r="D12" t="str">
        <f t="shared" si="0"/>
        <v>Sim</v>
      </c>
      <c r="F12" s="7" t="s">
        <v>17</v>
      </c>
      <c r="G12" s="2">
        <f>COUNTIF(A:A,F12)</f>
        <v>2</v>
      </c>
    </row>
    <row r="13" spans="1:7" x14ac:dyDescent="0.25">
      <c r="A13" t="s">
        <v>1</v>
      </c>
      <c r="B13" t="s">
        <v>240</v>
      </c>
      <c r="C13" t="s">
        <v>240</v>
      </c>
      <c r="D13" t="str">
        <f t="shared" si="0"/>
        <v>Sim</v>
      </c>
      <c r="F13" s="3" t="s">
        <v>76</v>
      </c>
      <c r="G13" s="2">
        <f>COUNTIF(A:A,F13)</f>
        <v>15</v>
      </c>
    </row>
    <row r="14" spans="1:7" x14ac:dyDescent="0.25">
      <c r="A14" t="s">
        <v>1</v>
      </c>
      <c r="B14" t="s">
        <v>240</v>
      </c>
      <c r="C14" t="s">
        <v>240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236</v>
      </c>
      <c r="C15" t="s">
        <v>236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236</v>
      </c>
      <c r="C16" t="s">
        <v>236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236</v>
      </c>
      <c r="C17" t="s">
        <v>236</v>
      </c>
      <c r="D17" t="str">
        <f t="shared" si="0"/>
        <v>Sim</v>
      </c>
    </row>
    <row r="18" spans="1:4" x14ac:dyDescent="0.25">
      <c r="A18" t="s">
        <v>1</v>
      </c>
      <c r="B18" t="s">
        <v>2</v>
      </c>
      <c r="C18" t="s">
        <v>2</v>
      </c>
      <c r="D18" t="str">
        <f t="shared" si="0"/>
        <v>Sim</v>
      </c>
    </row>
    <row r="19" spans="1:4" x14ac:dyDescent="0.25">
      <c r="A19" t="s">
        <v>1</v>
      </c>
      <c r="B19" t="s">
        <v>239</v>
      </c>
      <c r="C19" t="s">
        <v>239</v>
      </c>
      <c r="D19" t="str">
        <f t="shared" si="0"/>
        <v>Sim</v>
      </c>
    </row>
    <row r="20" spans="1:4" x14ac:dyDescent="0.25">
      <c r="A20" t="s">
        <v>1</v>
      </c>
      <c r="B20" t="s">
        <v>14</v>
      </c>
      <c r="C20" t="s">
        <v>14</v>
      </c>
      <c r="D20" t="str">
        <f t="shared" si="0"/>
        <v>Sim</v>
      </c>
    </row>
    <row r="21" spans="1:4" x14ac:dyDescent="0.25">
      <c r="A21" t="s">
        <v>1</v>
      </c>
      <c r="C21" t="s">
        <v>237</v>
      </c>
      <c r="D21" t="str">
        <f t="shared" si="0"/>
        <v>Não</v>
      </c>
    </row>
    <row r="22" spans="1:4" x14ac:dyDescent="0.25">
      <c r="A22" t="s">
        <v>1</v>
      </c>
      <c r="B22" t="s">
        <v>23</v>
      </c>
      <c r="C22" t="s">
        <v>23</v>
      </c>
      <c r="D22" t="str">
        <f t="shared" si="0"/>
        <v>Sim</v>
      </c>
    </row>
    <row r="23" spans="1:4" x14ac:dyDescent="0.25">
      <c r="A23" t="s">
        <v>82</v>
      </c>
      <c r="B23" t="s">
        <v>176</v>
      </c>
      <c r="C23" t="s">
        <v>176</v>
      </c>
      <c r="D23" t="str">
        <f t="shared" si="0"/>
        <v>Sim</v>
      </c>
    </row>
    <row r="24" spans="1:4" x14ac:dyDescent="0.25">
      <c r="A24" t="s">
        <v>82</v>
      </c>
      <c r="B24" t="s">
        <v>176</v>
      </c>
      <c r="C24" t="s">
        <v>176</v>
      </c>
      <c r="D24" t="str">
        <f t="shared" si="0"/>
        <v>Sim</v>
      </c>
    </row>
    <row r="25" spans="1:4" x14ac:dyDescent="0.25">
      <c r="A25" t="s">
        <v>82</v>
      </c>
      <c r="B25" t="s">
        <v>176</v>
      </c>
      <c r="C25" t="s">
        <v>176</v>
      </c>
      <c r="D25" t="str">
        <f t="shared" si="0"/>
        <v>Sim</v>
      </c>
    </row>
    <row r="26" spans="1:4" x14ac:dyDescent="0.25">
      <c r="A26" t="s">
        <v>82</v>
      </c>
      <c r="B26" t="s">
        <v>176</v>
      </c>
      <c r="C26" t="s">
        <v>176</v>
      </c>
      <c r="D26" t="str">
        <f t="shared" si="0"/>
        <v>Sim</v>
      </c>
    </row>
    <row r="27" spans="1:4" x14ac:dyDescent="0.25">
      <c r="A27" t="s">
        <v>82</v>
      </c>
      <c r="B27" t="s">
        <v>179</v>
      </c>
      <c r="C27" t="s">
        <v>179</v>
      </c>
      <c r="D27" t="str">
        <f t="shared" si="0"/>
        <v>Sim</v>
      </c>
    </row>
    <row r="28" spans="1:4" x14ac:dyDescent="0.25">
      <c r="A28" t="s">
        <v>82</v>
      </c>
      <c r="B28" t="s">
        <v>179</v>
      </c>
      <c r="C28" t="s">
        <v>179</v>
      </c>
      <c r="D28" t="str">
        <f t="shared" si="0"/>
        <v>Sim</v>
      </c>
    </row>
    <row r="29" spans="1:4" x14ac:dyDescent="0.25">
      <c r="A29" t="s">
        <v>82</v>
      </c>
      <c r="B29" t="s">
        <v>179</v>
      </c>
      <c r="C29" t="s">
        <v>179</v>
      </c>
      <c r="D29" t="str">
        <f t="shared" si="0"/>
        <v>Sim</v>
      </c>
    </row>
    <row r="30" spans="1:4" x14ac:dyDescent="0.25">
      <c r="A30" t="s">
        <v>82</v>
      </c>
      <c r="B30" t="s">
        <v>179</v>
      </c>
      <c r="C30" t="s">
        <v>179</v>
      </c>
      <c r="D30" t="str">
        <f t="shared" si="0"/>
        <v>Sim</v>
      </c>
    </row>
    <row r="31" spans="1:4" x14ac:dyDescent="0.25">
      <c r="A31" t="s">
        <v>82</v>
      </c>
      <c r="B31" t="s">
        <v>178</v>
      </c>
      <c r="C31" t="s">
        <v>178</v>
      </c>
      <c r="D31" t="str">
        <f t="shared" si="0"/>
        <v>Sim</v>
      </c>
    </row>
    <row r="32" spans="1:4" x14ac:dyDescent="0.25">
      <c r="A32" t="s">
        <v>82</v>
      </c>
      <c r="B32" t="s">
        <v>178</v>
      </c>
      <c r="C32" t="s">
        <v>178</v>
      </c>
      <c r="D32" t="str">
        <f t="shared" si="0"/>
        <v>Sim</v>
      </c>
    </row>
    <row r="33" spans="1:6" x14ac:dyDescent="0.25">
      <c r="A33" t="s">
        <v>82</v>
      </c>
      <c r="B33" t="s">
        <v>178</v>
      </c>
      <c r="C33" t="s">
        <v>178</v>
      </c>
      <c r="D33" t="str">
        <f t="shared" si="0"/>
        <v>Sim</v>
      </c>
    </row>
    <row r="34" spans="1:6" x14ac:dyDescent="0.25">
      <c r="A34" t="s">
        <v>82</v>
      </c>
      <c r="B34" t="s">
        <v>178</v>
      </c>
      <c r="C34" t="s">
        <v>178</v>
      </c>
      <c r="D34" t="str">
        <f t="shared" si="0"/>
        <v>Sim</v>
      </c>
    </row>
    <row r="35" spans="1:6" x14ac:dyDescent="0.25">
      <c r="A35" t="s">
        <v>82</v>
      </c>
      <c r="B35" t="s">
        <v>222</v>
      </c>
      <c r="C35" t="s">
        <v>222</v>
      </c>
      <c r="D35" t="str">
        <f t="shared" si="0"/>
        <v>Sim</v>
      </c>
      <c r="F35" s="3" t="s">
        <v>234</v>
      </c>
    </row>
    <row r="36" spans="1:6" x14ac:dyDescent="0.25">
      <c r="A36" t="s">
        <v>82</v>
      </c>
      <c r="B36" t="s">
        <v>222</v>
      </c>
      <c r="C36" t="s">
        <v>222</v>
      </c>
      <c r="D36" t="str">
        <f t="shared" si="0"/>
        <v>Sim</v>
      </c>
      <c r="F36" s="3" t="s">
        <v>223</v>
      </c>
    </row>
    <row r="37" spans="1:6" x14ac:dyDescent="0.25">
      <c r="A37" t="s">
        <v>82</v>
      </c>
      <c r="B37" t="s">
        <v>222</v>
      </c>
      <c r="C37" t="s">
        <v>222</v>
      </c>
      <c r="D37" t="str">
        <f t="shared" ref="D37:D44" si="2">IF(B37=C37, "Sim", "Não")</f>
        <v>Sim</v>
      </c>
      <c r="F37" s="3" t="s">
        <v>224</v>
      </c>
    </row>
    <row r="38" spans="1:6" x14ac:dyDescent="0.25">
      <c r="A38" t="s">
        <v>82</v>
      </c>
      <c r="B38" t="s">
        <v>222</v>
      </c>
      <c r="C38" t="s">
        <v>222</v>
      </c>
      <c r="D38" t="str">
        <f t="shared" si="2"/>
        <v>Sim</v>
      </c>
      <c r="F38" s="3" t="s">
        <v>225</v>
      </c>
    </row>
    <row r="39" spans="1:6" x14ac:dyDescent="0.25">
      <c r="A39" t="s">
        <v>82</v>
      </c>
      <c r="B39" t="s">
        <v>194</v>
      </c>
      <c r="C39" t="s">
        <v>194</v>
      </c>
      <c r="D39" t="str">
        <f t="shared" si="2"/>
        <v>Sim</v>
      </c>
    </row>
    <row r="40" spans="1:6" x14ac:dyDescent="0.25">
      <c r="A40" t="s">
        <v>82</v>
      </c>
      <c r="B40" t="s">
        <v>194</v>
      </c>
      <c r="C40" t="s">
        <v>194</v>
      </c>
      <c r="D40" t="str">
        <f t="shared" si="2"/>
        <v>Sim</v>
      </c>
    </row>
    <row r="41" spans="1:6" x14ac:dyDescent="0.25">
      <c r="A41" t="s">
        <v>82</v>
      </c>
      <c r="B41" t="s">
        <v>194</v>
      </c>
      <c r="C41" t="s">
        <v>194</v>
      </c>
      <c r="D41" t="str">
        <f t="shared" si="2"/>
        <v>Sim</v>
      </c>
    </row>
    <row r="42" spans="1:6" x14ac:dyDescent="0.25">
      <c r="A42" t="s">
        <v>82</v>
      </c>
      <c r="B42" t="s">
        <v>194</v>
      </c>
      <c r="C42" t="s">
        <v>194</v>
      </c>
      <c r="D42" t="str">
        <f t="shared" si="2"/>
        <v>Sim</v>
      </c>
    </row>
    <row r="43" spans="1:6" x14ac:dyDescent="0.25">
      <c r="A43" t="s">
        <v>5</v>
      </c>
      <c r="B43" s="14" t="s">
        <v>226</v>
      </c>
      <c r="C43" s="14" t="s">
        <v>226</v>
      </c>
      <c r="D43" t="str">
        <f t="shared" si="2"/>
        <v>Sim</v>
      </c>
    </row>
    <row r="44" spans="1:6" x14ac:dyDescent="0.25">
      <c r="A44" t="s">
        <v>5</v>
      </c>
      <c r="B44" s="14" t="s">
        <v>226</v>
      </c>
      <c r="C44" s="14" t="s">
        <v>226</v>
      </c>
      <c r="D44" t="str">
        <f t="shared" si="2"/>
        <v>Sim</v>
      </c>
    </row>
    <row r="45" spans="1:6" x14ac:dyDescent="0.25">
      <c r="A45" t="s">
        <v>5</v>
      </c>
      <c r="B45" t="s">
        <v>226</v>
      </c>
      <c r="C45" t="s">
        <v>226</v>
      </c>
      <c r="D45" t="str">
        <f t="shared" si="0"/>
        <v>Sim</v>
      </c>
    </row>
    <row r="46" spans="1:6" x14ac:dyDescent="0.25">
      <c r="A46" t="s">
        <v>5</v>
      </c>
      <c r="B46" t="s">
        <v>226</v>
      </c>
      <c r="C46" t="s">
        <v>226</v>
      </c>
      <c r="D46" t="str">
        <f t="shared" si="0"/>
        <v>Sim</v>
      </c>
    </row>
    <row r="47" spans="1:6" x14ac:dyDescent="0.25">
      <c r="A47" t="s">
        <v>5</v>
      </c>
      <c r="B47" t="s">
        <v>64</v>
      </c>
      <c r="C47" t="s">
        <v>64</v>
      </c>
      <c r="D47" t="str">
        <f t="shared" si="0"/>
        <v>Sim</v>
      </c>
    </row>
    <row r="48" spans="1:6" x14ac:dyDescent="0.25">
      <c r="A48" t="s">
        <v>5</v>
      </c>
      <c r="B48" t="s">
        <v>64</v>
      </c>
      <c r="C48" t="s">
        <v>64</v>
      </c>
      <c r="D48" t="str">
        <f t="shared" si="0"/>
        <v>Sim</v>
      </c>
    </row>
    <row r="49" spans="1:6" x14ac:dyDescent="0.25">
      <c r="A49" t="s">
        <v>5</v>
      </c>
      <c r="B49" t="s">
        <v>84</v>
      </c>
      <c r="C49" t="s">
        <v>84</v>
      </c>
      <c r="D49" t="str">
        <f t="shared" si="0"/>
        <v>Sim</v>
      </c>
    </row>
    <row r="50" spans="1:6" x14ac:dyDescent="0.25">
      <c r="A50" t="s">
        <v>5</v>
      </c>
      <c r="B50" t="s">
        <v>84</v>
      </c>
      <c r="C50" t="s">
        <v>84</v>
      </c>
      <c r="D50" t="str">
        <f t="shared" si="0"/>
        <v>Sim</v>
      </c>
    </row>
    <row r="51" spans="1:6" x14ac:dyDescent="0.25">
      <c r="A51" t="s">
        <v>5</v>
      </c>
      <c r="B51" s="14" t="s">
        <v>84</v>
      </c>
      <c r="C51" s="14" t="s">
        <v>84</v>
      </c>
      <c r="D51" t="str">
        <f t="shared" si="0"/>
        <v>Sim</v>
      </c>
    </row>
    <row r="52" spans="1:6" x14ac:dyDescent="0.25">
      <c r="A52" t="s">
        <v>5</v>
      </c>
      <c r="B52" s="14" t="s">
        <v>84</v>
      </c>
      <c r="C52" s="14" t="s">
        <v>84</v>
      </c>
      <c r="D52" t="str">
        <f t="shared" si="0"/>
        <v>Sim</v>
      </c>
    </row>
    <row r="53" spans="1:6" x14ac:dyDescent="0.25">
      <c r="A53" t="s">
        <v>227</v>
      </c>
      <c r="B53" t="s">
        <v>228</v>
      </c>
      <c r="C53" t="s">
        <v>228</v>
      </c>
      <c r="D53" t="str">
        <f t="shared" si="0"/>
        <v>Sim</v>
      </c>
    </row>
    <row r="54" spans="1:6" x14ac:dyDescent="0.25">
      <c r="A54" t="s">
        <v>227</v>
      </c>
      <c r="B54" t="s">
        <v>228</v>
      </c>
      <c r="C54" t="s">
        <v>228</v>
      </c>
      <c r="D54" t="str">
        <f t="shared" si="0"/>
        <v>Sim</v>
      </c>
    </row>
    <row r="55" spans="1:6" x14ac:dyDescent="0.25">
      <c r="A55" t="s">
        <v>227</v>
      </c>
      <c r="B55" t="s">
        <v>228</v>
      </c>
      <c r="C55" t="s">
        <v>228</v>
      </c>
      <c r="D55" t="str">
        <f t="shared" si="0"/>
        <v>Sim</v>
      </c>
    </row>
    <row r="56" spans="1:6" x14ac:dyDescent="0.25">
      <c r="A56" t="s">
        <v>227</v>
      </c>
      <c r="B56" t="s">
        <v>228</v>
      </c>
      <c r="C56" t="s">
        <v>228</v>
      </c>
      <c r="D56" t="str">
        <f t="shared" si="0"/>
        <v>Sim</v>
      </c>
    </row>
    <row r="57" spans="1:6" x14ac:dyDescent="0.25">
      <c r="A57" t="s">
        <v>227</v>
      </c>
      <c r="B57" t="s">
        <v>230</v>
      </c>
      <c r="C57" t="s">
        <v>230</v>
      </c>
      <c r="D57" t="str">
        <f t="shared" si="0"/>
        <v>Sim</v>
      </c>
    </row>
    <row r="58" spans="1:6" x14ac:dyDescent="0.25">
      <c r="A58" t="s">
        <v>227</v>
      </c>
      <c r="B58" t="s">
        <v>230</v>
      </c>
      <c r="C58" t="s">
        <v>230</v>
      </c>
      <c r="D58" t="str">
        <f t="shared" si="0"/>
        <v>Sim</v>
      </c>
    </row>
    <row r="59" spans="1:6" x14ac:dyDescent="0.25">
      <c r="A59" t="s">
        <v>16</v>
      </c>
      <c r="B59" s="14" t="s">
        <v>229</v>
      </c>
      <c r="C59" s="14" t="s">
        <v>229</v>
      </c>
      <c r="D59" t="str">
        <f t="shared" si="0"/>
        <v>Sim</v>
      </c>
    </row>
    <row r="60" spans="1:6" x14ac:dyDescent="0.25">
      <c r="A60" t="s">
        <v>16</v>
      </c>
      <c r="B60" s="14" t="s">
        <v>229</v>
      </c>
      <c r="C60" s="14" t="s">
        <v>229</v>
      </c>
      <c r="D60" t="str">
        <f t="shared" si="0"/>
        <v>Sim</v>
      </c>
      <c r="F60" s="5"/>
    </row>
    <row r="61" spans="1:6" x14ac:dyDescent="0.25">
      <c r="A61" t="s">
        <v>17</v>
      </c>
      <c r="B61" t="s">
        <v>233</v>
      </c>
      <c r="C61" t="s">
        <v>233</v>
      </c>
      <c r="D61" t="str">
        <f t="shared" si="0"/>
        <v>Sim</v>
      </c>
      <c r="F61" s="5"/>
    </row>
    <row r="62" spans="1:6" x14ac:dyDescent="0.25">
      <c r="A62" t="s">
        <v>17</v>
      </c>
      <c r="B62" t="s">
        <v>233</v>
      </c>
      <c r="C62" t="s">
        <v>233</v>
      </c>
      <c r="D62" t="str">
        <f t="shared" si="0"/>
        <v>Sim</v>
      </c>
      <c r="F62" s="5"/>
    </row>
    <row r="63" spans="1:6" x14ac:dyDescent="0.25">
      <c r="A63" t="s">
        <v>76</v>
      </c>
      <c r="B63" s="5" t="s">
        <v>173</v>
      </c>
      <c r="C63" s="5" t="s">
        <v>173</v>
      </c>
      <c r="D63" t="str">
        <f t="shared" si="0"/>
        <v>Sim</v>
      </c>
      <c r="F63" s="5"/>
    </row>
    <row r="64" spans="1:6" x14ac:dyDescent="0.25">
      <c r="A64" t="s">
        <v>76</v>
      </c>
      <c r="B64" s="5" t="s">
        <v>173</v>
      </c>
      <c r="C64" s="5" t="s">
        <v>173</v>
      </c>
      <c r="D64" t="str">
        <f t="shared" si="0"/>
        <v>Sim</v>
      </c>
      <c r="F64" s="5"/>
    </row>
    <row r="65" spans="1:6" x14ac:dyDescent="0.25">
      <c r="A65" t="s">
        <v>76</v>
      </c>
      <c r="B65" s="5" t="s">
        <v>231</v>
      </c>
      <c r="C65" s="5" t="s">
        <v>231</v>
      </c>
      <c r="D65" t="str">
        <f t="shared" si="0"/>
        <v>Sim</v>
      </c>
      <c r="F65" s="5"/>
    </row>
    <row r="66" spans="1:6" x14ac:dyDescent="0.25">
      <c r="A66" t="s">
        <v>76</v>
      </c>
      <c r="B66" s="5" t="s">
        <v>231</v>
      </c>
      <c r="C66" s="5" t="s">
        <v>231</v>
      </c>
      <c r="D66" t="str">
        <f t="shared" si="0"/>
        <v>Sim</v>
      </c>
      <c r="F66" s="13" t="s">
        <v>232</v>
      </c>
    </row>
    <row r="67" spans="1:6" x14ac:dyDescent="0.25">
      <c r="A67" t="s">
        <v>76</v>
      </c>
      <c r="B67" s="14" t="s">
        <v>229</v>
      </c>
      <c r="C67" s="14" t="s">
        <v>229</v>
      </c>
      <c r="D67" t="str">
        <f t="shared" si="0"/>
        <v>Sim</v>
      </c>
      <c r="F67" s="5"/>
    </row>
    <row r="68" spans="1:6" x14ac:dyDescent="0.25">
      <c r="A68" t="s">
        <v>76</v>
      </c>
      <c r="B68" s="14" t="s">
        <v>229</v>
      </c>
      <c r="C68" s="14" t="s">
        <v>229</v>
      </c>
      <c r="D68" t="str">
        <f t="shared" ref="D68:D77" si="3">IF(B68=C68, "Sim", "Não")</f>
        <v>Sim</v>
      </c>
      <c r="F68" s="5"/>
    </row>
    <row r="69" spans="1:6" x14ac:dyDescent="0.25">
      <c r="A69" t="s">
        <v>76</v>
      </c>
      <c r="B69" t="s">
        <v>193</v>
      </c>
      <c r="C69" t="s">
        <v>193</v>
      </c>
      <c r="D69" t="str">
        <f t="shared" si="3"/>
        <v>Sim</v>
      </c>
      <c r="F69" s="5"/>
    </row>
    <row r="70" spans="1:6" x14ac:dyDescent="0.25">
      <c r="A70" t="s">
        <v>76</v>
      </c>
      <c r="B70" t="s">
        <v>193</v>
      </c>
      <c r="C70" t="s">
        <v>193</v>
      </c>
      <c r="D70" t="str">
        <f t="shared" si="3"/>
        <v>Sim</v>
      </c>
      <c r="F70" s="5"/>
    </row>
    <row r="71" spans="1:6" x14ac:dyDescent="0.25">
      <c r="A71" t="s">
        <v>76</v>
      </c>
      <c r="B71" t="s">
        <v>172</v>
      </c>
      <c r="C71" t="s">
        <v>172</v>
      </c>
      <c r="D71" t="str">
        <f t="shared" si="3"/>
        <v>Sim</v>
      </c>
      <c r="F71" s="5"/>
    </row>
    <row r="72" spans="1:6" x14ac:dyDescent="0.25">
      <c r="A72" t="s">
        <v>76</v>
      </c>
      <c r="B72" t="s">
        <v>172</v>
      </c>
      <c r="C72" t="s">
        <v>172</v>
      </c>
      <c r="D72" t="str">
        <f t="shared" si="3"/>
        <v>Sim</v>
      </c>
    </row>
    <row r="73" spans="1:6" x14ac:dyDescent="0.25">
      <c r="A73" t="s">
        <v>76</v>
      </c>
      <c r="B73" s="14" t="s">
        <v>172</v>
      </c>
      <c r="C73" s="14" t="s">
        <v>172</v>
      </c>
      <c r="D73" t="str">
        <f t="shared" si="3"/>
        <v>Sim</v>
      </c>
    </row>
    <row r="74" spans="1:6" x14ac:dyDescent="0.25">
      <c r="A74" t="s">
        <v>76</v>
      </c>
      <c r="B74" t="s">
        <v>218</v>
      </c>
      <c r="C74" t="s">
        <v>218</v>
      </c>
      <c r="D74" t="str">
        <f t="shared" si="3"/>
        <v>Sim</v>
      </c>
    </row>
    <row r="75" spans="1:6" x14ac:dyDescent="0.25">
      <c r="A75" t="s">
        <v>76</v>
      </c>
      <c r="B75" t="s">
        <v>218</v>
      </c>
      <c r="C75" t="s">
        <v>218</v>
      </c>
      <c r="D75" t="str">
        <f t="shared" si="3"/>
        <v>Sim</v>
      </c>
    </row>
    <row r="76" spans="1:6" x14ac:dyDescent="0.25">
      <c r="A76" t="s">
        <v>76</v>
      </c>
      <c r="B76" t="s">
        <v>244</v>
      </c>
      <c r="C76" t="s">
        <v>244</v>
      </c>
      <c r="D76" t="str">
        <f t="shared" si="3"/>
        <v>Sim</v>
      </c>
    </row>
    <row r="77" spans="1:6" x14ac:dyDescent="0.25">
      <c r="A77" t="s">
        <v>76</v>
      </c>
      <c r="B77" t="s">
        <v>244</v>
      </c>
      <c r="C77" t="s">
        <v>244</v>
      </c>
      <c r="D77" t="str">
        <f t="shared" si="3"/>
        <v>Sim</v>
      </c>
    </row>
    <row r="78" spans="1:6" x14ac:dyDescent="0.25">
      <c r="A78"/>
    </row>
    <row r="79" spans="1:6" x14ac:dyDescent="0.25">
      <c r="A79"/>
    </row>
    <row r="80" spans="1:6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7A9C-44D5-46B0-AAA5-073BFA8E4B81}">
  <dimension ref="A1:G100"/>
  <sheetViews>
    <sheetView topLeftCell="A12" workbookViewId="0">
      <selection activeCell="E77" sqref="E15:E77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288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C3" t="s">
        <v>286</v>
      </c>
      <c r="D3" t="str">
        <f>IF(B3=C3, "Sim", "Não")</f>
        <v>Não</v>
      </c>
      <c r="F3" s="4" t="s">
        <v>12</v>
      </c>
      <c r="G3" s="3">
        <f>COUNTIF(D3:D105,"Não")</f>
        <v>29</v>
      </c>
    </row>
    <row r="4" spans="1:7" x14ac:dyDescent="0.25">
      <c r="A4" t="s">
        <v>1</v>
      </c>
      <c r="C4" t="s">
        <v>286</v>
      </c>
      <c r="D4" t="str">
        <f t="shared" ref="D4:D67" si="0">IF(B4=C4, "Sim", "Não")</f>
        <v>Não</v>
      </c>
      <c r="F4" s="4" t="s">
        <v>13</v>
      </c>
      <c r="G4" s="3">
        <f>SUM(G7:G25)</f>
        <v>33</v>
      </c>
    </row>
    <row r="5" spans="1:7" x14ac:dyDescent="0.25">
      <c r="A5" t="s">
        <v>1</v>
      </c>
      <c r="C5" t="s">
        <v>286</v>
      </c>
      <c r="D5" t="str">
        <f t="shared" si="0"/>
        <v>Não</v>
      </c>
    </row>
    <row r="6" spans="1:7" x14ac:dyDescent="0.25">
      <c r="A6" t="s">
        <v>1</v>
      </c>
      <c r="C6" t="s">
        <v>286</v>
      </c>
      <c r="D6" t="str">
        <f t="shared" si="0"/>
        <v>Não</v>
      </c>
      <c r="F6" s="6" t="s">
        <v>4</v>
      </c>
      <c r="G6" s="1"/>
    </row>
    <row r="7" spans="1:7" x14ac:dyDescent="0.25">
      <c r="A7" t="s">
        <v>1</v>
      </c>
      <c r="C7" t="s">
        <v>287</v>
      </c>
      <c r="D7" t="str">
        <f t="shared" si="0"/>
        <v>Não</v>
      </c>
      <c r="F7" s="7" t="s">
        <v>1</v>
      </c>
      <c r="G7" s="2">
        <f t="shared" ref="G7:G12" si="1">COUNTIF(A:A,F7)</f>
        <v>18</v>
      </c>
    </row>
    <row r="8" spans="1:7" x14ac:dyDescent="0.25">
      <c r="A8" t="s">
        <v>1</v>
      </c>
      <c r="C8" t="s">
        <v>18</v>
      </c>
      <c r="D8" t="str">
        <f t="shared" si="0"/>
        <v>Não</v>
      </c>
      <c r="F8" s="7" t="s">
        <v>208</v>
      </c>
      <c r="G8" s="2">
        <f t="shared" si="1"/>
        <v>0</v>
      </c>
    </row>
    <row r="9" spans="1:7" x14ac:dyDescent="0.25">
      <c r="A9" t="s">
        <v>1</v>
      </c>
      <c r="B9" t="s">
        <v>14</v>
      </c>
      <c r="C9" t="s">
        <v>14</v>
      </c>
      <c r="D9" t="str">
        <f t="shared" si="0"/>
        <v>Sim</v>
      </c>
      <c r="F9" s="7" t="s">
        <v>26</v>
      </c>
      <c r="G9" s="2">
        <f t="shared" si="1"/>
        <v>0</v>
      </c>
    </row>
    <row r="10" spans="1:7" x14ac:dyDescent="0.25">
      <c r="A10" t="s">
        <v>1</v>
      </c>
      <c r="B10" t="s">
        <v>14</v>
      </c>
      <c r="C10" t="s">
        <v>14</v>
      </c>
      <c r="D10" t="str">
        <f t="shared" si="0"/>
        <v>Sim</v>
      </c>
      <c r="F10" s="7" t="s">
        <v>5</v>
      </c>
      <c r="G10" s="2">
        <f t="shared" si="1"/>
        <v>0</v>
      </c>
    </row>
    <row r="11" spans="1:7" x14ac:dyDescent="0.25">
      <c r="A11" t="s">
        <v>1</v>
      </c>
      <c r="B11" t="s">
        <v>14</v>
      </c>
      <c r="C11" t="s">
        <v>14</v>
      </c>
      <c r="D11" t="str">
        <f t="shared" si="0"/>
        <v>Sim</v>
      </c>
      <c r="F11" s="7" t="s">
        <v>16</v>
      </c>
      <c r="G11" s="2">
        <f t="shared" si="1"/>
        <v>0</v>
      </c>
    </row>
    <row r="12" spans="1:7" x14ac:dyDescent="0.25">
      <c r="A12" t="s">
        <v>1</v>
      </c>
      <c r="B12" t="s">
        <v>2</v>
      </c>
      <c r="C12" t="s">
        <v>2</v>
      </c>
      <c r="D12" t="str">
        <f t="shared" si="0"/>
        <v>Sim</v>
      </c>
      <c r="F12" s="7" t="s">
        <v>76</v>
      </c>
      <c r="G12" s="2">
        <f t="shared" si="1"/>
        <v>15</v>
      </c>
    </row>
    <row r="13" spans="1:7" x14ac:dyDescent="0.25">
      <c r="A13" t="s">
        <v>1</v>
      </c>
      <c r="B13" t="s">
        <v>2</v>
      </c>
      <c r="C13" t="s">
        <v>2</v>
      </c>
      <c r="D13" t="str">
        <f t="shared" si="0"/>
        <v>Sim</v>
      </c>
    </row>
    <row r="14" spans="1:7" x14ac:dyDescent="0.25">
      <c r="A14" t="s">
        <v>1</v>
      </c>
      <c r="B14" t="s">
        <v>2</v>
      </c>
      <c r="C14" t="s">
        <v>2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2</v>
      </c>
      <c r="C15" t="s">
        <v>2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2</v>
      </c>
      <c r="C16" t="s">
        <v>2</v>
      </c>
      <c r="D16" t="str">
        <f t="shared" si="0"/>
        <v>Sim</v>
      </c>
      <c r="F16" s="4"/>
      <c r="G16" s="2"/>
    </row>
    <row r="17" spans="1:5" x14ac:dyDescent="0.25">
      <c r="A17" t="s">
        <v>1</v>
      </c>
      <c r="B17" t="s">
        <v>2</v>
      </c>
      <c r="C17" t="s">
        <v>2</v>
      </c>
      <c r="D17" t="str">
        <f t="shared" si="0"/>
        <v>Sim</v>
      </c>
    </row>
    <row r="18" spans="1:5" x14ac:dyDescent="0.25">
      <c r="A18" t="s">
        <v>1</v>
      </c>
      <c r="B18" t="s">
        <v>2</v>
      </c>
      <c r="C18" t="s">
        <v>2</v>
      </c>
      <c r="D18" t="str">
        <f t="shared" si="0"/>
        <v>Sim</v>
      </c>
    </row>
    <row r="19" spans="1:5" x14ac:dyDescent="0.25">
      <c r="A19" t="s">
        <v>1</v>
      </c>
      <c r="B19" t="s">
        <v>2</v>
      </c>
      <c r="C19" t="s">
        <v>2</v>
      </c>
      <c r="D19" t="str">
        <f t="shared" si="0"/>
        <v>Sim</v>
      </c>
    </row>
    <row r="20" spans="1:5" x14ac:dyDescent="0.25">
      <c r="A20" t="s">
        <v>1</v>
      </c>
      <c r="B20" t="s">
        <v>2</v>
      </c>
      <c r="C20" t="s">
        <v>2</v>
      </c>
      <c r="D20" t="str">
        <f t="shared" si="0"/>
        <v>Sim</v>
      </c>
    </row>
    <row r="21" spans="1:5" x14ac:dyDescent="0.25">
      <c r="A21" t="s">
        <v>280</v>
      </c>
      <c r="C21" t="s">
        <v>213</v>
      </c>
      <c r="D21" t="str">
        <f t="shared" si="0"/>
        <v>Não</v>
      </c>
    </row>
    <row r="22" spans="1:5" x14ac:dyDescent="0.25">
      <c r="A22" t="s">
        <v>280</v>
      </c>
      <c r="B22" t="s">
        <v>87</v>
      </c>
      <c r="C22" t="s">
        <v>87</v>
      </c>
      <c r="D22" t="str">
        <f t="shared" si="0"/>
        <v>Sim</v>
      </c>
      <c r="E22">
        <v>2.9</v>
      </c>
    </row>
    <row r="23" spans="1:5" x14ac:dyDescent="0.25">
      <c r="A23" t="s">
        <v>280</v>
      </c>
      <c r="B23" t="s">
        <v>87</v>
      </c>
      <c r="C23" t="s">
        <v>87</v>
      </c>
      <c r="D23" t="str">
        <f t="shared" si="0"/>
        <v>Sim</v>
      </c>
      <c r="E23">
        <v>2.9</v>
      </c>
    </row>
    <row r="24" spans="1:5" x14ac:dyDescent="0.25">
      <c r="A24" t="s">
        <v>280</v>
      </c>
      <c r="B24" t="s">
        <v>87</v>
      </c>
      <c r="C24" t="s">
        <v>87</v>
      </c>
      <c r="D24" t="str">
        <f t="shared" si="0"/>
        <v>Sim</v>
      </c>
      <c r="E24">
        <v>2.9</v>
      </c>
    </row>
    <row r="25" spans="1:5" x14ac:dyDescent="0.25">
      <c r="A25" t="s">
        <v>280</v>
      </c>
      <c r="B25" t="s">
        <v>87</v>
      </c>
      <c r="C25" t="s">
        <v>87</v>
      </c>
      <c r="D25" t="str">
        <f t="shared" si="0"/>
        <v>Sim</v>
      </c>
      <c r="E25">
        <v>2.9</v>
      </c>
    </row>
    <row r="26" spans="1:5" x14ac:dyDescent="0.25">
      <c r="A26" t="s">
        <v>280</v>
      </c>
      <c r="C26" t="s">
        <v>19</v>
      </c>
      <c r="D26" t="str">
        <f t="shared" si="0"/>
        <v>Não</v>
      </c>
    </row>
    <row r="27" spans="1:5" x14ac:dyDescent="0.25">
      <c r="A27" t="s">
        <v>280</v>
      </c>
      <c r="C27" t="s">
        <v>19</v>
      </c>
      <c r="D27" t="str">
        <f t="shared" si="0"/>
        <v>Não</v>
      </c>
    </row>
    <row r="28" spans="1:5" x14ac:dyDescent="0.25">
      <c r="A28" t="s">
        <v>280</v>
      </c>
      <c r="C28" t="s">
        <v>19</v>
      </c>
      <c r="D28" t="str">
        <f t="shared" si="0"/>
        <v>Não</v>
      </c>
    </row>
    <row r="29" spans="1:5" x14ac:dyDescent="0.25">
      <c r="A29" t="s">
        <v>280</v>
      </c>
      <c r="C29" t="s">
        <v>19</v>
      </c>
      <c r="D29" t="str">
        <f t="shared" si="0"/>
        <v>Não</v>
      </c>
    </row>
    <row r="30" spans="1:5" x14ac:dyDescent="0.25">
      <c r="A30" t="s">
        <v>280</v>
      </c>
      <c r="B30" t="s">
        <v>211</v>
      </c>
      <c r="C30" t="s">
        <v>211</v>
      </c>
      <c r="D30" t="str">
        <f t="shared" si="0"/>
        <v>Sim</v>
      </c>
      <c r="E30">
        <v>1.25</v>
      </c>
    </row>
    <row r="31" spans="1:5" x14ac:dyDescent="0.25">
      <c r="A31" t="s">
        <v>280</v>
      </c>
      <c r="B31" t="s">
        <v>211</v>
      </c>
      <c r="C31" t="s">
        <v>211</v>
      </c>
      <c r="D31" t="str">
        <f t="shared" si="0"/>
        <v>Sim</v>
      </c>
      <c r="E31">
        <v>1.25</v>
      </c>
    </row>
    <row r="32" spans="1:5" x14ac:dyDescent="0.25">
      <c r="A32" t="s">
        <v>280</v>
      </c>
      <c r="B32" t="s">
        <v>211</v>
      </c>
      <c r="C32" t="s">
        <v>211</v>
      </c>
      <c r="D32" t="str">
        <f t="shared" si="0"/>
        <v>Sim</v>
      </c>
      <c r="E32">
        <v>1.25</v>
      </c>
    </row>
    <row r="33" spans="1:5" x14ac:dyDescent="0.25">
      <c r="A33" t="s">
        <v>280</v>
      </c>
      <c r="B33" t="s">
        <v>211</v>
      </c>
      <c r="C33" t="s">
        <v>211</v>
      </c>
      <c r="D33" t="str">
        <f t="shared" si="0"/>
        <v>Sim</v>
      </c>
      <c r="E33">
        <v>1.25</v>
      </c>
    </row>
    <row r="34" spans="1:5" x14ac:dyDescent="0.25">
      <c r="A34" t="s">
        <v>280</v>
      </c>
      <c r="C34" t="s">
        <v>279</v>
      </c>
      <c r="D34" t="str">
        <f t="shared" si="0"/>
        <v>Não</v>
      </c>
    </row>
    <row r="35" spans="1:5" x14ac:dyDescent="0.25">
      <c r="A35" t="s">
        <v>280</v>
      </c>
      <c r="C35" t="s">
        <v>279</v>
      </c>
      <c r="D35" t="str">
        <f t="shared" si="0"/>
        <v>Não</v>
      </c>
    </row>
    <row r="36" spans="1:5" x14ac:dyDescent="0.25">
      <c r="A36" t="s">
        <v>280</v>
      </c>
      <c r="C36" t="s">
        <v>279</v>
      </c>
      <c r="D36" t="str">
        <f t="shared" si="0"/>
        <v>Não</v>
      </c>
    </row>
    <row r="37" spans="1:5" x14ac:dyDescent="0.25">
      <c r="A37" t="s">
        <v>280</v>
      </c>
      <c r="C37" t="s">
        <v>279</v>
      </c>
      <c r="D37" t="str">
        <f t="shared" si="0"/>
        <v>Não</v>
      </c>
    </row>
    <row r="38" spans="1:5" x14ac:dyDescent="0.25">
      <c r="A38" t="s">
        <v>280</v>
      </c>
      <c r="B38" t="s">
        <v>148</v>
      </c>
      <c r="C38" t="s">
        <v>148</v>
      </c>
      <c r="D38" t="str">
        <f t="shared" si="0"/>
        <v>Sim</v>
      </c>
    </row>
    <row r="39" spans="1:5" x14ac:dyDescent="0.25">
      <c r="A39" t="s">
        <v>280</v>
      </c>
      <c r="B39" t="s">
        <v>148</v>
      </c>
      <c r="C39" t="s">
        <v>148</v>
      </c>
      <c r="D39" t="str">
        <f t="shared" si="0"/>
        <v>Sim</v>
      </c>
    </row>
    <row r="40" spans="1:5" x14ac:dyDescent="0.25">
      <c r="A40" t="s">
        <v>281</v>
      </c>
      <c r="B40" s="14" t="s">
        <v>229</v>
      </c>
      <c r="C40" s="14" t="s">
        <v>229</v>
      </c>
      <c r="D40" t="str">
        <f t="shared" si="0"/>
        <v>Sim</v>
      </c>
      <c r="E40">
        <v>3.5</v>
      </c>
    </row>
    <row r="41" spans="1:5" x14ac:dyDescent="0.25">
      <c r="A41" t="s">
        <v>281</v>
      </c>
      <c r="B41" s="14" t="s">
        <v>229</v>
      </c>
      <c r="C41" s="14" t="s">
        <v>229</v>
      </c>
      <c r="D41" t="str">
        <f t="shared" si="0"/>
        <v>Sim</v>
      </c>
      <c r="E41">
        <v>3.5</v>
      </c>
    </row>
    <row r="42" spans="1:5" x14ac:dyDescent="0.25">
      <c r="A42" t="s">
        <v>281</v>
      </c>
      <c r="B42" s="14" t="s">
        <v>229</v>
      </c>
      <c r="C42" s="14" t="s">
        <v>229</v>
      </c>
      <c r="D42" t="str">
        <f t="shared" si="0"/>
        <v>Sim</v>
      </c>
      <c r="E42">
        <v>3.5</v>
      </c>
    </row>
    <row r="43" spans="1:5" x14ac:dyDescent="0.25">
      <c r="A43" t="s">
        <v>281</v>
      </c>
      <c r="B43" s="14" t="s">
        <v>229</v>
      </c>
      <c r="C43" s="14" t="s">
        <v>229</v>
      </c>
      <c r="D43" t="str">
        <f t="shared" si="0"/>
        <v>Sim</v>
      </c>
      <c r="E43">
        <v>3.5</v>
      </c>
    </row>
    <row r="44" spans="1:5" x14ac:dyDescent="0.25">
      <c r="A44" t="s">
        <v>281</v>
      </c>
      <c r="B44" t="s">
        <v>8</v>
      </c>
      <c r="C44" t="s">
        <v>8</v>
      </c>
      <c r="D44" t="str">
        <f t="shared" si="0"/>
        <v>Sim</v>
      </c>
      <c r="E44">
        <v>7.9</v>
      </c>
    </row>
    <row r="45" spans="1:5" x14ac:dyDescent="0.25">
      <c r="A45" t="s">
        <v>281</v>
      </c>
      <c r="B45" t="s">
        <v>8</v>
      </c>
      <c r="C45" t="s">
        <v>8</v>
      </c>
      <c r="D45" t="str">
        <f t="shared" si="0"/>
        <v>Sim</v>
      </c>
      <c r="E45">
        <v>7.9</v>
      </c>
    </row>
    <row r="46" spans="1:5" x14ac:dyDescent="0.25">
      <c r="A46" t="s">
        <v>281</v>
      </c>
      <c r="B46" t="s">
        <v>8</v>
      </c>
      <c r="C46" t="s">
        <v>8</v>
      </c>
      <c r="D46" t="str">
        <f t="shared" si="0"/>
        <v>Sim</v>
      </c>
      <c r="E46">
        <v>7.9</v>
      </c>
    </row>
    <row r="47" spans="1:5" x14ac:dyDescent="0.25">
      <c r="A47" t="s">
        <v>281</v>
      </c>
      <c r="B47" t="s">
        <v>8</v>
      </c>
      <c r="C47" t="s">
        <v>8</v>
      </c>
      <c r="D47" t="str">
        <f t="shared" si="0"/>
        <v>Sim</v>
      </c>
      <c r="E47">
        <v>8.99</v>
      </c>
    </row>
    <row r="48" spans="1:5" x14ac:dyDescent="0.25">
      <c r="A48" t="s">
        <v>281</v>
      </c>
      <c r="B48" t="s">
        <v>215</v>
      </c>
      <c r="C48" t="s">
        <v>215</v>
      </c>
      <c r="D48" t="str">
        <f t="shared" si="0"/>
        <v>Sim</v>
      </c>
      <c r="E48">
        <v>11.99</v>
      </c>
    </row>
    <row r="49" spans="1:5" x14ac:dyDescent="0.25">
      <c r="A49" t="s">
        <v>281</v>
      </c>
      <c r="B49" t="s">
        <v>215</v>
      </c>
      <c r="C49" t="s">
        <v>215</v>
      </c>
      <c r="D49" t="str">
        <f>IF(B49=C49, "Sim", "Não")</f>
        <v>Sim</v>
      </c>
      <c r="E49">
        <v>11.99</v>
      </c>
    </row>
    <row r="50" spans="1:5" x14ac:dyDescent="0.25">
      <c r="A50" t="s">
        <v>281</v>
      </c>
      <c r="B50" t="s">
        <v>215</v>
      </c>
      <c r="C50" t="s">
        <v>215</v>
      </c>
      <c r="D50" t="str">
        <f>IF(B50=C50, "Sim", "Não")</f>
        <v>Sim</v>
      </c>
      <c r="E50">
        <v>11.99</v>
      </c>
    </row>
    <row r="51" spans="1:5" x14ac:dyDescent="0.25">
      <c r="A51" t="s">
        <v>281</v>
      </c>
      <c r="B51" t="s">
        <v>215</v>
      </c>
      <c r="C51" t="s">
        <v>215</v>
      </c>
      <c r="D51" t="str">
        <f t="shared" si="0"/>
        <v>Sim</v>
      </c>
      <c r="E51">
        <v>11.99</v>
      </c>
    </row>
    <row r="52" spans="1:5" x14ac:dyDescent="0.25">
      <c r="A52" t="s">
        <v>281</v>
      </c>
      <c r="C52" t="s">
        <v>285</v>
      </c>
      <c r="D52" t="str">
        <f t="shared" si="0"/>
        <v>Não</v>
      </c>
    </row>
    <row r="53" spans="1:5" x14ac:dyDescent="0.25">
      <c r="A53" t="s">
        <v>281</v>
      </c>
      <c r="C53" t="s">
        <v>285</v>
      </c>
      <c r="D53" t="str">
        <f t="shared" si="0"/>
        <v>Não</v>
      </c>
    </row>
    <row r="54" spans="1:5" x14ac:dyDescent="0.25">
      <c r="A54" t="s">
        <v>281</v>
      </c>
      <c r="B54" t="s">
        <v>330</v>
      </c>
      <c r="C54" t="s">
        <v>283</v>
      </c>
      <c r="D54" t="str">
        <f t="shared" si="0"/>
        <v>Não</v>
      </c>
    </row>
    <row r="55" spans="1:5" x14ac:dyDescent="0.25">
      <c r="A55" t="s">
        <v>281</v>
      </c>
      <c r="B55" t="s">
        <v>330</v>
      </c>
      <c r="C55" t="s">
        <v>283</v>
      </c>
      <c r="D55" t="str">
        <f t="shared" si="0"/>
        <v>Não</v>
      </c>
    </row>
    <row r="56" spans="1:5" x14ac:dyDescent="0.25">
      <c r="A56" t="s">
        <v>281</v>
      </c>
      <c r="B56" t="s">
        <v>330</v>
      </c>
      <c r="C56" t="s">
        <v>283</v>
      </c>
      <c r="D56" t="str">
        <f t="shared" si="0"/>
        <v>Não</v>
      </c>
    </row>
    <row r="57" spans="1:5" x14ac:dyDescent="0.25">
      <c r="A57" t="s">
        <v>281</v>
      </c>
      <c r="B57" t="s">
        <v>330</v>
      </c>
      <c r="C57" t="s">
        <v>283</v>
      </c>
      <c r="D57" t="str">
        <f t="shared" si="0"/>
        <v>Não</v>
      </c>
    </row>
    <row r="58" spans="1:5" x14ac:dyDescent="0.25">
      <c r="A58" t="s">
        <v>281</v>
      </c>
      <c r="B58" t="s">
        <v>282</v>
      </c>
      <c r="C58" t="s">
        <v>282</v>
      </c>
      <c r="D58" t="str">
        <f t="shared" si="0"/>
        <v>Sim</v>
      </c>
      <c r="E58">
        <v>4.9000000000000004</v>
      </c>
    </row>
    <row r="59" spans="1:5" x14ac:dyDescent="0.25">
      <c r="A59" t="s">
        <v>281</v>
      </c>
      <c r="C59" t="s">
        <v>243</v>
      </c>
      <c r="D59" t="str">
        <f t="shared" si="0"/>
        <v>Não</v>
      </c>
    </row>
    <row r="60" spans="1:5" x14ac:dyDescent="0.25">
      <c r="A60" t="s">
        <v>281</v>
      </c>
      <c r="C60" t="s">
        <v>243</v>
      </c>
      <c r="D60" t="str">
        <f t="shared" si="0"/>
        <v>Não</v>
      </c>
    </row>
    <row r="61" spans="1:5" x14ac:dyDescent="0.25">
      <c r="A61" t="s">
        <v>281</v>
      </c>
      <c r="C61" t="s">
        <v>243</v>
      </c>
      <c r="D61" t="str">
        <f t="shared" si="0"/>
        <v>Não</v>
      </c>
    </row>
    <row r="62" spans="1:5" x14ac:dyDescent="0.25">
      <c r="A62" t="s">
        <v>281</v>
      </c>
      <c r="C62" t="s">
        <v>243</v>
      </c>
      <c r="D62" t="str">
        <f t="shared" si="0"/>
        <v>Não</v>
      </c>
    </row>
    <row r="63" spans="1:5" x14ac:dyDescent="0.25">
      <c r="A63" t="s">
        <v>76</v>
      </c>
      <c r="B63" t="s">
        <v>148</v>
      </c>
      <c r="C63" t="s">
        <v>148</v>
      </c>
      <c r="D63" t="str">
        <f t="shared" si="0"/>
        <v>Sim</v>
      </c>
    </row>
    <row r="64" spans="1:5" x14ac:dyDescent="0.25">
      <c r="A64" t="s">
        <v>76</v>
      </c>
      <c r="B64" t="s">
        <v>148</v>
      </c>
      <c r="C64" t="s">
        <v>148</v>
      </c>
      <c r="D64" t="str">
        <f t="shared" si="0"/>
        <v>Sim</v>
      </c>
    </row>
    <row r="65" spans="1:5" x14ac:dyDescent="0.25">
      <c r="A65" t="s">
        <v>76</v>
      </c>
      <c r="B65" t="s">
        <v>282</v>
      </c>
      <c r="C65" t="s">
        <v>282</v>
      </c>
      <c r="D65" t="str">
        <f t="shared" si="0"/>
        <v>Sim</v>
      </c>
      <c r="E65">
        <v>4.9000000000000004</v>
      </c>
    </row>
    <row r="66" spans="1:5" x14ac:dyDescent="0.25">
      <c r="A66" t="s">
        <v>76</v>
      </c>
      <c r="B66" s="14" t="s">
        <v>284</v>
      </c>
      <c r="C66" s="14" t="s">
        <v>284</v>
      </c>
      <c r="D66" t="str">
        <f t="shared" si="0"/>
        <v>Sim</v>
      </c>
      <c r="E66">
        <v>2</v>
      </c>
    </row>
    <row r="67" spans="1:5" x14ac:dyDescent="0.25">
      <c r="A67" t="s">
        <v>76</v>
      </c>
      <c r="B67" s="14" t="s">
        <v>284</v>
      </c>
      <c r="C67" s="14" t="s">
        <v>284</v>
      </c>
      <c r="D67" t="str">
        <f t="shared" si="0"/>
        <v>Sim</v>
      </c>
      <c r="E67">
        <v>2</v>
      </c>
    </row>
    <row r="68" spans="1:5" x14ac:dyDescent="0.25">
      <c r="A68" t="s">
        <v>76</v>
      </c>
      <c r="B68" s="14" t="s">
        <v>284</v>
      </c>
      <c r="C68" s="14" t="s">
        <v>284</v>
      </c>
      <c r="D68" t="str">
        <f t="shared" ref="D68:D77" si="2">IF(B68=C68, "Sim", "Não")</f>
        <v>Sim</v>
      </c>
      <c r="E68">
        <v>2</v>
      </c>
    </row>
    <row r="69" spans="1:5" x14ac:dyDescent="0.25">
      <c r="A69" t="s">
        <v>76</v>
      </c>
      <c r="B69" s="14" t="s">
        <v>284</v>
      </c>
      <c r="C69" s="14" t="s">
        <v>284</v>
      </c>
      <c r="D69" t="str">
        <f t="shared" si="2"/>
        <v>Sim</v>
      </c>
      <c r="E69">
        <v>2</v>
      </c>
    </row>
    <row r="70" spans="1:5" x14ac:dyDescent="0.25">
      <c r="A70" t="s">
        <v>76</v>
      </c>
      <c r="C70" t="s">
        <v>285</v>
      </c>
      <c r="D70" t="str">
        <f t="shared" si="2"/>
        <v>Não</v>
      </c>
    </row>
    <row r="71" spans="1:5" x14ac:dyDescent="0.25">
      <c r="A71" t="s">
        <v>76</v>
      </c>
      <c r="C71" t="s">
        <v>285</v>
      </c>
      <c r="D71" t="str">
        <f t="shared" si="2"/>
        <v>Não</v>
      </c>
    </row>
    <row r="72" spans="1:5" x14ac:dyDescent="0.25">
      <c r="A72" t="s">
        <v>76</v>
      </c>
      <c r="C72" t="s">
        <v>109</v>
      </c>
      <c r="D72" t="str">
        <f t="shared" si="2"/>
        <v>Não</v>
      </c>
    </row>
    <row r="73" spans="1:5" x14ac:dyDescent="0.25">
      <c r="A73" t="s">
        <v>76</v>
      </c>
      <c r="C73" t="s">
        <v>109</v>
      </c>
      <c r="D73" t="str">
        <f t="shared" si="2"/>
        <v>Não</v>
      </c>
    </row>
    <row r="74" spans="1:5" x14ac:dyDescent="0.25">
      <c r="A74" t="s">
        <v>76</v>
      </c>
      <c r="B74" t="s">
        <v>47</v>
      </c>
      <c r="C74" t="s">
        <v>47</v>
      </c>
      <c r="D74" t="str">
        <f t="shared" si="2"/>
        <v>Sim</v>
      </c>
      <c r="E74">
        <v>1.75</v>
      </c>
    </row>
    <row r="75" spans="1:5" x14ac:dyDescent="0.25">
      <c r="A75" t="s">
        <v>76</v>
      </c>
      <c r="B75" t="s">
        <v>47</v>
      </c>
      <c r="C75" t="s">
        <v>47</v>
      </c>
      <c r="D75" t="str">
        <f t="shared" si="2"/>
        <v>Sim</v>
      </c>
      <c r="E75">
        <v>1.75</v>
      </c>
    </row>
    <row r="76" spans="1:5" x14ac:dyDescent="0.25">
      <c r="A76" t="s">
        <v>76</v>
      </c>
      <c r="B76" t="s">
        <v>47</v>
      </c>
      <c r="C76" t="s">
        <v>47</v>
      </c>
      <c r="D76" t="str">
        <f t="shared" si="2"/>
        <v>Sim</v>
      </c>
      <c r="E76">
        <v>1.75</v>
      </c>
    </row>
    <row r="77" spans="1:5" x14ac:dyDescent="0.25">
      <c r="A77" t="s">
        <v>76</v>
      </c>
      <c r="B77" t="s">
        <v>47</v>
      </c>
      <c r="C77" t="s">
        <v>47</v>
      </c>
      <c r="D77" t="str">
        <f t="shared" si="2"/>
        <v>Sim</v>
      </c>
      <c r="E77">
        <v>1.75</v>
      </c>
    </row>
    <row r="78" spans="1:5" x14ac:dyDescent="0.25">
      <c r="A78"/>
    </row>
    <row r="79" spans="1:5" x14ac:dyDescent="0.25">
      <c r="A79"/>
    </row>
    <row r="80" spans="1:5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E2FF-B496-4889-BBA8-B2D18A56658F}">
  <dimension ref="A1:G100"/>
  <sheetViews>
    <sheetView topLeftCell="A51" workbookViewId="0">
      <selection activeCell="F26" sqref="F26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289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B3" t="s">
        <v>291</v>
      </c>
      <c r="C3" t="s">
        <v>291</v>
      </c>
      <c r="D3" t="str">
        <f>IF(B3=C3, "Sim", "Não")</f>
        <v>Sim</v>
      </c>
      <c r="E3">
        <v>5.99</v>
      </c>
      <c r="F3" s="4" t="s">
        <v>12</v>
      </c>
      <c r="G3" s="3">
        <f>COUNTIF(D3:D105,"Não")</f>
        <v>7</v>
      </c>
    </row>
    <row r="4" spans="1:7" x14ac:dyDescent="0.25">
      <c r="A4" t="s">
        <v>1</v>
      </c>
      <c r="B4" t="s">
        <v>291</v>
      </c>
      <c r="C4" t="s">
        <v>291</v>
      </c>
      <c r="D4" t="str">
        <f t="shared" ref="D4:D67" si="0">IF(B4=C4, "Sim", "Não")</f>
        <v>Sim</v>
      </c>
      <c r="E4">
        <v>5.99</v>
      </c>
      <c r="F4" s="4" t="s">
        <v>13</v>
      </c>
      <c r="G4" s="3">
        <f>SUM(G7:G25)</f>
        <v>80</v>
      </c>
    </row>
    <row r="5" spans="1:7" x14ac:dyDescent="0.25">
      <c r="A5" t="s">
        <v>1</v>
      </c>
      <c r="B5" t="s">
        <v>291</v>
      </c>
      <c r="C5" t="s">
        <v>291</v>
      </c>
      <c r="D5" t="str">
        <f t="shared" si="0"/>
        <v>Sim</v>
      </c>
      <c r="E5">
        <v>5.99</v>
      </c>
    </row>
    <row r="6" spans="1:7" x14ac:dyDescent="0.25">
      <c r="A6" t="s">
        <v>1</v>
      </c>
      <c r="B6" t="s">
        <v>291</v>
      </c>
      <c r="C6" t="s">
        <v>291</v>
      </c>
      <c r="D6" t="str">
        <f t="shared" si="0"/>
        <v>Sim</v>
      </c>
      <c r="E6">
        <v>5.99</v>
      </c>
      <c r="F6" s="6" t="s">
        <v>4</v>
      </c>
      <c r="G6" s="1"/>
    </row>
    <row r="7" spans="1:7" x14ac:dyDescent="0.25">
      <c r="A7" t="s">
        <v>1</v>
      </c>
      <c r="B7" t="s">
        <v>292</v>
      </c>
      <c r="C7" t="s">
        <v>292</v>
      </c>
      <c r="D7" t="str">
        <f t="shared" si="0"/>
        <v>Sim</v>
      </c>
      <c r="E7">
        <v>11.99</v>
      </c>
      <c r="F7" s="7" t="s">
        <v>1</v>
      </c>
      <c r="G7" s="2">
        <f t="shared" ref="G7:G12" si="1">COUNTIF(A:A,F7)</f>
        <v>20</v>
      </c>
    </row>
    <row r="8" spans="1:7" x14ac:dyDescent="0.25">
      <c r="A8" t="s">
        <v>1</v>
      </c>
      <c r="B8" t="s">
        <v>292</v>
      </c>
      <c r="C8" t="s">
        <v>292</v>
      </c>
      <c r="D8" t="str">
        <f t="shared" si="0"/>
        <v>Sim</v>
      </c>
      <c r="E8">
        <v>11.99</v>
      </c>
      <c r="F8" s="7" t="s">
        <v>306</v>
      </c>
      <c r="G8" s="2">
        <f t="shared" si="1"/>
        <v>24</v>
      </c>
    </row>
    <row r="9" spans="1:7" x14ac:dyDescent="0.25">
      <c r="A9" t="s">
        <v>1</v>
      </c>
      <c r="C9" t="s">
        <v>292</v>
      </c>
      <c r="D9" t="str">
        <f t="shared" si="0"/>
        <v>Não</v>
      </c>
      <c r="F9" s="7" t="s">
        <v>25</v>
      </c>
      <c r="G9" s="2">
        <f t="shared" si="1"/>
        <v>2</v>
      </c>
    </row>
    <row r="10" spans="1:7" x14ac:dyDescent="0.25">
      <c r="A10" t="s">
        <v>1</v>
      </c>
      <c r="B10" t="s">
        <v>293</v>
      </c>
      <c r="C10" t="s">
        <v>293</v>
      </c>
      <c r="D10" t="str">
        <f t="shared" si="0"/>
        <v>Sim</v>
      </c>
      <c r="E10">
        <v>4.99</v>
      </c>
      <c r="F10" s="7" t="s">
        <v>5</v>
      </c>
      <c r="G10" s="2">
        <f t="shared" si="1"/>
        <v>2</v>
      </c>
    </row>
    <row r="11" spans="1:7" x14ac:dyDescent="0.25">
      <c r="A11" t="s">
        <v>1</v>
      </c>
      <c r="B11" t="s">
        <v>293</v>
      </c>
      <c r="C11" t="s">
        <v>293</v>
      </c>
      <c r="D11" t="str">
        <f t="shared" si="0"/>
        <v>Sim</v>
      </c>
      <c r="E11">
        <v>4.99</v>
      </c>
      <c r="F11" s="7" t="s">
        <v>182</v>
      </c>
      <c r="G11" s="2">
        <f t="shared" si="1"/>
        <v>7</v>
      </c>
    </row>
    <row r="12" spans="1:7" x14ac:dyDescent="0.25">
      <c r="A12" t="s">
        <v>1</v>
      </c>
      <c r="B12" t="s">
        <v>15</v>
      </c>
      <c r="C12" t="s">
        <v>15</v>
      </c>
      <c r="D12" t="str">
        <f t="shared" si="0"/>
        <v>Sim</v>
      </c>
      <c r="F12" s="7" t="s">
        <v>307</v>
      </c>
      <c r="G12" s="2">
        <f t="shared" si="1"/>
        <v>5</v>
      </c>
    </row>
    <row r="13" spans="1:7" x14ac:dyDescent="0.25">
      <c r="A13" t="s">
        <v>1</v>
      </c>
      <c r="B13" t="s">
        <v>15</v>
      </c>
      <c r="C13" t="s">
        <v>15</v>
      </c>
      <c r="D13" t="str">
        <f t="shared" si="0"/>
        <v>Sim</v>
      </c>
      <c r="F13" s="7" t="s">
        <v>76</v>
      </c>
      <c r="G13" s="2">
        <f t="shared" ref="G13" si="2">COUNTIF(A:A,F13)</f>
        <v>20</v>
      </c>
    </row>
    <row r="14" spans="1:7" x14ac:dyDescent="0.25">
      <c r="A14" t="s">
        <v>1</v>
      </c>
      <c r="B14" t="s">
        <v>15</v>
      </c>
      <c r="C14" t="s">
        <v>15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15</v>
      </c>
      <c r="C15" t="s">
        <v>15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t="s">
        <v>15</v>
      </c>
      <c r="C16" t="s">
        <v>15</v>
      </c>
      <c r="D16" t="str">
        <f t="shared" si="0"/>
        <v>Sim</v>
      </c>
      <c r="F16" s="4"/>
      <c r="G16" s="2"/>
    </row>
    <row r="17" spans="1:5" x14ac:dyDescent="0.25">
      <c r="A17" t="s">
        <v>1</v>
      </c>
      <c r="B17" t="s">
        <v>15</v>
      </c>
      <c r="C17" t="s">
        <v>15</v>
      </c>
      <c r="D17" t="str">
        <f t="shared" si="0"/>
        <v>Sim</v>
      </c>
    </row>
    <row r="18" spans="1:5" x14ac:dyDescent="0.25">
      <c r="A18" t="s">
        <v>1</v>
      </c>
      <c r="B18" t="s">
        <v>15</v>
      </c>
      <c r="C18" t="s">
        <v>15</v>
      </c>
      <c r="D18" t="str">
        <f t="shared" si="0"/>
        <v>Sim</v>
      </c>
    </row>
    <row r="19" spans="1:5" x14ac:dyDescent="0.25">
      <c r="A19" t="s">
        <v>1</v>
      </c>
      <c r="B19" t="s">
        <v>15</v>
      </c>
      <c r="C19" t="s">
        <v>15</v>
      </c>
      <c r="D19" t="str">
        <f t="shared" si="0"/>
        <v>Sim</v>
      </c>
    </row>
    <row r="20" spans="1:5" x14ac:dyDescent="0.25">
      <c r="A20" t="s">
        <v>1</v>
      </c>
      <c r="B20" t="s">
        <v>15</v>
      </c>
      <c r="C20" t="s">
        <v>15</v>
      </c>
      <c r="D20" t="str">
        <f t="shared" si="0"/>
        <v>Sim</v>
      </c>
    </row>
    <row r="21" spans="1:5" x14ac:dyDescent="0.25">
      <c r="A21" t="s">
        <v>1</v>
      </c>
      <c r="B21" t="s">
        <v>15</v>
      </c>
      <c r="C21" t="s">
        <v>15</v>
      </c>
      <c r="D21" t="str">
        <f t="shared" si="0"/>
        <v>Sim</v>
      </c>
    </row>
    <row r="22" spans="1:5" x14ac:dyDescent="0.25">
      <c r="A22" t="s">
        <v>1</v>
      </c>
      <c r="B22" t="s">
        <v>15</v>
      </c>
      <c r="C22" t="s">
        <v>15</v>
      </c>
      <c r="D22" t="str">
        <f t="shared" si="0"/>
        <v>Sim</v>
      </c>
    </row>
    <row r="23" spans="1:5" x14ac:dyDescent="0.25">
      <c r="A23" t="s">
        <v>306</v>
      </c>
      <c r="B23" t="s">
        <v>294</v>
      </c>
      <c r="C23" t="s">
        <v>294</v>
      </c>
      <c r="D23" t="str">
        <f t="shared" si="0"/>
        <v>Sim</v>
      </c>
      <c r="E23">
        <v>0.75</v>
      </c>
    </row>
    <row r="24" spans="1:5" x14ac:dyDescent="0.25">
      <c r="A24" t="s">
        <v>306</v>
      </c>
      <c r="B24" t="s">
        <v>294</v>
      </c>
      <c r="C24" t="s">
        <v>294</v>
      </c>
      <c r="D24" t="str">
        <f t="shared" si="0"/>
        <v>Sim</v>
      </c>
      <c r="E24">
        <v>0.75</v>
      </c>
    </row>
    <row r="25" spans="1:5" x14ac:dyDescent="0.25">
      <c r="A25" t="s">
        <v>306</v>
      </c>
      <c r="B25" t="s">
        <v>295</v>
      </c>
      <c r="C25" t="s">
        <v>295</v>
      </c>
      <c r="D25" t="str">
        <f t="shared" si="0"/>
        <v>Sim</v>
      </c>
      <c r="E25">
        <v>2.4900000000000002</v>
      </c>
    </row>
    <row r="26" spans="1:5" x14ac:dyDescent="0.25">
      <c r="A26" t="s">
        <v>306</v>
      </c>
      <c r="B26" t="s">
        <v>295</v>
      </c>
      <c r="C26" t="s">
        <v>295</v>
      </c>
      <c r="D26" t="str">
        <f t="shared" si="0"/>
        <v>Sim</v>
      </c>
      <c r="E26">
        <v>2.4900000000000002</v>
      </c>
    </row>
    <row r="27" spans="1:5" x14ac:dyDescent="0.25">
      <c r="A27" t="s">
        <v>306</v>
      </c>
      <c r="B27" t="s">
        <v>295</v>
      </c>
      <c r="C27" t="s">
        <v>295</v>
      </c>
      <c r="D27" t="str">
        <f t="shared" si="0"/>
        <v>Sim</v>
      </c>
      <c r="E27">
        <v>2.4900000000000002</v>
      </c>
    </row>
    <row r="28" spans="1:5" x14ac:dyDescent="0.25">
      <c r="A28" t="s">
        <v>306</v>
      </c>
      <c r="B28" t="s">
        <v>295</v>
      </c>
      <c r="C28" t="s">
        <v>295</v>
      </c>
      <c r="D28" t="str">
        <f t="shared" si="0"/>
        <v>Sim</v>
      </c>
      <c r="E28">
        <v>2.4900000000000002</v>
      </c>
    </row>
    <row r="29" spans="1:5" x14ac:dyDescent="0.25">
      <c r="A29" t="s">
        <v>306</v>
      </c>
      <c r="B29" t="s">
        <v>296</v>
      </c>
      <c r="C29" t="s">
        <v>296</v>
      </c>
      <c r="D29" t="str">
        <f t="shared" si="0"/>
        <v>Sim</v>
      </c>
      <c r="E29">
        <v>0.75</v>
      </c>
    </row>
    <row r="30" spans="1:5" x14ac:dyDescent="0.25">
      <c r="A30" t="s">
        <v>306</v>
      </c>
      <c r="B30" t="s">
        <v>296</v>
      </c>
      <c r="C30" t="s">
        <v>296</v>
      </c>
      <c r="D30" t="str">
        <f t="shared" si="0"/>
        <v>Sim</v>
      </c>
      <c r="E30">
        <v>0.75</v>
      </c>
    </row>
    <row r="31" spans="1:5" x14ac:dyDescent="0.25">
      <c r="A31" t="s">
        <v>306</v>
      </c>
      <c r="B31" t="s">
        <v>296</v>
      </c>
      <c r="C31" t="s">
        <v>296</v>
      </c>
      <c r="D31" t="str">
        <f t="shared" si="0"/>
        <v>Sim</v>
      </c>
      <c r="E31">
        <v>0.75</v>
      </c>
    </row>
    <row r="32" spans="1:5" x14ac:dyDescent="0.25">
      <c r="A32" t="s">
        <v>306</v>
      </c>
      <c r="B32" t="s">
        <v>297</v>
      </c>
      <c r="C32" t="s">
        <v>297</v>
      </c>
      <c r="D32" t="str">
        <f t="shared" si="0"/>
        <v>Sim</v>
      </c>
      <c r="E32">
        <v>0.49</v>
      </c>
    </row>
    <row r="33" spans="1:5" x14ac:dyDescent="0.25">
      <c r="A33" t="s">
        <v>306</v>
      </c>
      <c r="B33" t="s">
        <v>297</v>
      </c>
      <c r="C33" t="s">
        <v>297</v>
      </c>
      <c r="D33" t="str">
        <f t="shared" si="0"/>
        <v>Sim</v>
      </c>
      <c r="E33">
        <v>0.49</v>
      </c>
    </row>
    <row r="34" spans="1:5" x14ac:dyDescent="0.25">
      <c r="A34" t="s">
        <v>306</v>
      </c>
      <c r="B34" t="s">
        <v>298</v>
      </c>
      <c r="C34" t="s">
        <v>298</v>
      </c>
      <c r="D34" t="str">
        <f t="shared" si="0"/>
        <v>Sim</v>
      </c>
      <c r="E34">
        <v>3.99</v>
      </c>
    </row>
    <row r="35" spans="1:5" x14ac:dyDescent="0.25">
      <c r="A35" t="s">
        <v>306</v>
      </c>
      <c r="B35" t="s">
        <v>298</v>
      </c>
      <c r="C35" t="s">
        <v>298</v>
      </c>
      <c r="D35" t="str">
        <f t="shared" si="0"/>
        <v>Sim</v>
      </c>
      <c r="E35">
        <v>3.99</v>
      </c>
    </row>
    <row r="36" spans="1:5" x14ac:dyDescent="0.25">
      <c r="A36" t="s">
        <v>306</v>
      </c>
      <c r="B36" t="s">
        <v>298</v>
      </c>
      <c r="C36" t="s">
        <v>298</v>
      </c>
      <c r="D36" t="str">
        <f t="shared" si="0"/>
        <v>Sim</v>
      </c>
      <c r="E36">
        <v>3.99</v>
      </c>
    </row>
    <row r="37" spans="1:5" x14ac:dyDescent="0.25">
      <c r="A37" t="s">
        <v>306</v>
      </c>
      <c r="B37" t="s">
        <v>299</v>
      </c>
      <c r="C37" t="s">
        <v>299</v>
      </c>
      <c r="D37" t="str">
        <f t="shared" si="0"/>
        <v>Sim</v>
      </c>
      <c r="E37">
        <v>0.25</v>
      </c>
    </row>
    <row r="38" spans="1:5" x14ac:dyDescent="0.25">
      <c r="A38" t="s">
        <v>306</v>
      </c>
      <c r="B38" t="s">
        <v>299</v>
      </c>
      <c r="C38" t="s">
        <v>299</v>
      </c>
      <c r="D38" t="str">
        <f t="shared" si="0"/>
        <v>Sim</v>
      </c>
      <c r="E38">
        <v>0.25</v>
      </c>
    </row>
    <row r="39" spans="1:5" x14ac:dyDescent="0.25">
      <c r="A39" t="s">
        <v>306</v>
      </c>
      <c r="B39" t="s">
        <v>299</v>
      </c>
      <c r="C39" t="s">
        <v>299</v>
      </c>
      <c r="D39" t="str">
        <f t="shared" si="0"/>
        <v>Sim</v>
      </c>
      <c r="E39">
        <v>0.25</v>
      </c>
    </row>
    <row r="40" spans="1:5" x14ac:dyDescent="0.25">
      <c r="A40" t="s">
        <v>306</v>
      </c>
      <c r="B40" t="s">
        <v>300</v>
      </c>
      <c r="C40" t="s">
        <v>300</v>
      </c>
      <c r="D40" t="str">
        <f t="shared" si="0"/>
        <v>Sim</v>
      </c>
      <c r="E40">
        <v>0.9</v>
      </c>
    </row>
    <row r="41" spans="1:5" x14ac:dyDescent="0.25">
      <c r="A41" t="s">
        <v>306</v>
      </c>
      <c r="B41" t="s">
        <v>300</v>
      </c>
      <c r="C41" t="s">
        <v>300</v>
      </c>
      <c r="D41" t="str">
        <f t="shared" si="0"/>
        <v>Sim</v>
      </c>
      <c r="E41">
        <v>0.9</v>
      </c>
    </row>
    <row r="42" spans="1:5" x14ac:dyDescent="0.25">
      <c r="A42" t="s">
        <v>306</v>
      </c>
      <c r="B42" t="s">
        <v>301</v>
      </c>
      <c r="C42" t="s">
        <v>301</v>
      </c>
      <c r="D42" t="str">
        <f t="shared" si="0"/>
        <v>Sim</v>
      </c>
      <c r="E42">
        <v>2.9</v>
      </c>
    </row>
    <row r="43" spans="1:5" x14ac:dyDescent="0.25">
      <c r="A43" t="s">
        <v>306</v>
      </c>
      <c r="B43" t="s">
        <v>302</v>
      </c>
      <c r="C43" t="s">
        <v>302</v>
      </c>
      <c r="D43" t="str">
        <f t="shared" si="0"/>
        <v>Sim</v>
      </c>
      <c r="E43">
        <v>1.25</v>
      </c>
    </row>
    <row r="44" spans="1:5" x14ac:dyDescent="0.25">
      <c r="A44" t="s">
        <v>306</v>
      </c>
      <c r="B44" t="s">
        <v>302</v>
      </c>
      <c r="C44" t="s">
        <v>302</v>
      </c>
      <c r="D44" t="str">
        <f t="shared" si="0"/>
        <v>Sim</v>
      </c>
      <c r="E44">
        <v>1.25</v>
      </c>
    </row>
    <row r="45" spans="1:5" x14ac:dyDescent="0.25">
      <c r="A45" t="s">
        <v>306</v>
      </c>
      <c r="B45" t="s">
        <v>302</v>
      </c>
      <c r="C45" t="s">
        <v>302</v>
      </c>
      <c r="D45" t="str">
        <f t="shared" si="0"/>
        <v>Sim</v>
      </c>
      <c r="E45">
        <v>1.25</v>
      </c>
    </row>
    <row r="46" spans="1:5" x14ac:dyDescent="0.25">
      <c r="A46" t="s">
        <v>306</v>
      </c>
      <c r="B46" t="s">
        <v>302</v>
      </c>
      <c r="C46" t="s">
        <v>302</v>
      </c>
      <c r="D46" t="str">
        <f t="shared" si="0"/>
        <v>Sim</v>
      </c>
      <c r="E46">
        <v>1.25</v>
      </c>
    </row>
    <row r="47" spans="1:5" x14ac:dyDescent="0.25">
      <c r="A47" t="s">
        <v>307</v>
      </c>
      <c r="B47" t="s">
        <v>303</v>
      </c>
      <c r="C47" t="s">
        <v>303</v>
      </c>
      <c r="D47" t="str">
        <f t="shared" si="0"/>
        <v>Sim</v>
      </c>
    </row>
    <row r="48" spans="1:5" x14ac:dyDescent="0.25">
      <c r="A48" t="s">
        <v>307</v>
      </c>
      <c r="B48" s="14" t="s">
        <v>304</v>
      </c>
      <c r="C48" s="14" t="s">
        <v>304</v>
      </c>
      <c r="D48" t="str">
        <f t="shared" si="0"/>
        <v>Sim</v>
      </c>
      <c r="E48">
        <v>0.8</v>
      </c>
    </row>
    <row r="49" spans="1:5" x14ac:dyDescent="0.25">
      <c r="A49" t="s">
        <v>307</v>
      </c>
      <c r="B49" s="14" t="s">
        <v>304</v>
      </c>
      <c r="C49" s="14" t="s">
        <v>304</v>
      </c>
      <c r="D49" t="str">
        <f t="shared" si="0"/>
        <v>Sim</v>
      </c>
      <c r="E49">
        <v>0.8</v>
      </c>
    </row>
    <row r="50" spans="1:5" x14ac:dyDescent="0.25">
      <c r="A50" t="s">
        <v>307</v>
      </c>
      <c r="B50" t="s">
        <v>305</v>
      </c>
      <c r="C50" t="s">
        <v>305</v>
      </c>
      <c r="D50" t="str">
        <f t="shared" si="0"/>
        <v>Sim</v>
      </c>
      <c r="E50">
        <v>0.75</v>
      </c>
    </row>
    <row r="51" spans="1:5" x14ac:dyDescent="0.25">
      <c r="A51" t="s">
        <v>307</v>
      </c>
      <c r="B51" t="s">
        <v>305</v>
      </c>
      <c r="C51" t="s">
        <v>305</v>
      </c>
      <c r="D51" t="str">
        <f t="shared" si="0"/>
        <v>Sim</v>
      </c>
      <c r="E51">
        <v>0.75</v>
      </c>
    </row>
    <row r="52" spans="1:5" x14ac:dyDescent="0.25">
      <c r="A52" t="s">
        <v>5</v>
      </c>
      <c r="B52" s="14" t="s">
        <v>308</v>
      </c>
      <c r="C52" s="14" t="s">
        <v>308</v>
      </c>
      <c r="D52" t="str">
        <f t="shared" si="0"/>
        <v>Sim</v>
      </c>
      <c r="E52">
        <v>0.5</v>
      </c>
    </row>
    <row r="53" spans="1:5" x14ac:dyDescent="0.25">
      <c r="A53" t="s">
        <v>5</v>
      </c>
      <c r="B53" s="14" t="s">
        <v>308</v>
      </c>
      <c r="C53" s="14" t="s">
        <v>308</v>
      </c>
      <c r="D53" t="str">
        <f t="shared" si="0"/>
        <v>Sim</v>
      </c>
      <c r="E53">
        <v>0.5</v>
      </c>
    </row>
    <row r="54" spans="1:5" x14ac:dyDescent="0.25">
      <c r="A54" t="s">
        <v>25</v>
      </c>
      <c r="B54" s="14" t="s">
        <v>309</v>
      </c>
      <c r="C54" s="14" t="s">
        <v>309</v>
      </c>
      <c r="D54" t="str">
        <f t="shared" si="0"/>
        <v>Sim</v>
      </c>
      <c r="E54">
        <v>1.95</v>
      </c>
    </row>
    <row r="55" spans="1:5" x14ac:dyDescent="0.25">
      <c r="A55" t="s">
        <v>25</v>
      </c>
      <c r="B55" s="14" t="s">
        <v>309</v>
      </c>
      <c r="C55" s="14" t="s">
        <v>309</v>
      </c>
      <c r="D55" t="str">
        <f t="shared" si="0"/>
        <v>Sim</v>
      </c>
      <c r="E55">
        <v>1.95</v>
      </c>
    </row>
    <row r="56" spans="1:5" x14ac:dyDescent="0.25">
      <c r="A56" t="s">
        <v>182</v>
      </c>
      <c r="B56" t="s">
        <v>310</v>
      </c>
      <c r="C56" t="s">
        <v>310</v>
      </c>
      <c r="D56" t="str">
        <f t="shared" si="0"/>
        <v>Sim</v>
      </c>
      <c r="E56">
        <v>2.99</v>
      </c>
    </row>
    <row r="57" spans="1:5" x14ac:dyDescent="0.25">
      <c r="A57" t="s">
        <v>182</v>
      </c>
      <c r="B57" t="s">
        <v>310</v>
      </c>
      <c r="C57" t="s">
        <v>310</v>
      </c>
      <c r="D57" t="str">
        <f t="shared" si="0"/>
        <v>Sim</v>
      </c>
      <c r="E57">
        <v>2.99</v>
      </c>
    </row>
    <row r="58" spans="1:5" x14ac:dyDescent="0.25">
      <c r="A58" t="s">
        <v>182</v>
      </c>
      <c r="B58" t="s">
        <v>310</v>
      </c>
      <c r="C58" t="s">
        <v>310</v>
      </c>
      <c r="D58" t="str">
        <f t="shared" si="0"/>
        <v>Sim</v>
      </c>
      <c r="E58">
        <v>2.99</v>
      </c>
    </row>
    <row r="59" spans="1:5" x14ac:dyDescent="0.25">
      <c r="A59" t="s">
        <v>182</v>
      </c>
      <c r="C59" t="s">
        <v>311</v>
      </c>
      <c r="D59" t="str">
        <f t="shared" si="0"/>
        <v>Não</v>
      </c>
    </row>
    <row r="60" spans="1:5" x14ac:dyDescent="0.25">
      <c r="A60" t="s">
        <v>182</v>
      </c>
      <c r="C60" t="s">
        <v>311</v>
      </c>
      <c r="D60" t="str">
        <f t="shared" si="0"/>
        <v>Não</v>
      </c>
    </row>
    <row r="61" spans="1:5" x14ac:dyDescent="0.25">
      <c r="A61" t="s">
        <v>182</v>
      </c>
      <c r="C61" t="s">
        <v>311</v>
      </c>
      <c r="D61" t="str">
        <f t="shared" si="0"/>
        <v>Não</v>
      </c>
    </row>
    <row r="62" spans="1:5" x14ac:dyDescent="0.25">
      <c r="A62" t="s">
        <v>182</v>
      </c>
      <c r="C62" t="s">
        <v>311</v>
      </c>
      <c r="D62" t="str">
        <f t="shared" si="0"/>
        <v>Não</v>
      </c>
    </row>
    <row r="63" spans="1:5" x14ac:dyDescent="0.25">
      <c r="A63" t="s">
        <v>76</v>
      </c>
      <c r="B63" t="s">
        <v>312</v>
      </c>
      <c r="C63" t="s">
        <v>312</v>
      </c>
      <c r="D63" t="str">
        <f t="shared" si="0"/>
        <v>Sim</v>
      </c>
      <c r="E63">
        <v>0.75</v>
      </c>
    </row>
    <row r="64" spans="1:5" x14ac:dyDescent="0.25">
      <c r="A64" t="s">
        <v>76</v>
      </c>
      <c r="B64" t="s">
        <v>312</v>
      </c>
      <c r="C64" t="s">
        <v>312</v>
      </c>
      <c r="D64" t="str">
        <f t="shared" si="0"/>
        <v>Sim</v>
      </c>
      <c r="E64">
        <v>0.75</v>
      </c>
    </row>
    <row r="65" spans="1:5" x14ac:dyDescent="0.25">
      <c r="A65" t="s">
        <v>76</v>
      </c>
      <c r="B65" t="s">
        <v>312</v>
      </c>
      <c r="C65" t="s">
        <v>312</v>
      </c>
      <c r="D65" t="str">
        <f t="shared" si="0"/>
        <v>Sim</v>
      </c>
      <c r="E65">
        <v>0.75</v>
      </c>
    </row>
    <row r="66" spans="1:5" x14ac:dyDescent="0.25">
      <c r="A66" t="s">
        <v>76</v>
      </c>
      <c r="B66" t="s">
        <v>312</v>
      </c>
      <c r="C66" t="s">
        <v>312</v>
      </c>
      <c r="D66" t="str">
        <f t="shared" si="0"/>
        <v>Sim</v>
      </c>
      <c r="E66">
        <v>0.75</v>
      </c>
    </row>
    <row r="67" spans="1:5" x14ac:dyDescent="0.25">
      <c r="A67" t="s">
        <v>76</v>
      </c>
      <c r="B67" t="s">
        <v>207</v>
      </c>
      <c r="C67" t="s">
        <v>207</v>
      </c>
      <c r="D67" t="str">
        <f t="shared" si="0"/>
        <v>Sim</v>
      </c>
      <c r="E67">
        <v>4.99</v>
      </c>
    </row>
    <row r="68" spans="1:5" x14ac:dyDescent="0.25">
      <c r="A68" t="s">
        <v>76</v>
      </c>
      <c r="B68" t="s">
        <v>207</v>
      </c>
      <c r="C68" t="s">
        <v>207</v>
      </c>
      <c r="D68" t="str">
        <f t="shared" ref="D68:D82" si="3">IF(B68=C68, "Sim", "Não")</f>
        <v>Sim</v>
      </c>
      <c r="E68">
        <v>4.99</v>
      </c>
    </row>
    <row r="69" spans="1:5" x14ac:dyDescent="0.25">
      <c r="A69" t="s">
        <v>76</v>
      </c>
      <c r="B69" t="s">
        <v>207</v>
      </c>
      <c r="C69" t="s">
        <v>207</v>
      </c>
      <c r="D69" t="str">
        <f t="shared" si="3"/>
        <v>Sim</v>
      </c>
      <c r="E69">
        <v>4.99</v>
      </c>
    </row>
    <row r="70" spans="1:5" x14ac:dyDescent="0.25">
      <c r="A70" t="s">
        <v>76</v>
      </c>
      <c r="B70" t="s">
        <v>313</v>
      </c>
      <c r="C70" t="s">
        <v>313</v>
      </c>
      <c r="D70" t="str">
        <f t="shared" si="3"/>
        <v>Sim</v>
      </c>
      <c r="E70">
        <v>1.49</v>
      </c>
    </row>
    <row r="71" spans="1:5" x14ac:dyDescent="0.25">
      <c r="A71" t="s">
        <v>76</v>
      </c>
      <c r="B71" t="s">
        <v>313</v>
      </c>
      <c r="C71" t="s">
        <v>313</v>
      </c>
      <c r="D71" t="str">
        <f t="shared" si="3"/>
        <v>Sim</v>
      </c>
      <c r="E71">
        <v>1.49</v>
      </c>
    </row>
    <row r="72" spans="1:5" x14ac:dyDescent="0.25">
      <c r="A72" t="s">
        <v>76</v>
      </c>
      <c r="C72" t="s">
        <v>309</v>
      </c>
      <c r="D72" t="str">
        <f t="shared" si="3"/>
        <v>Não</v>
      </c>
    </row>
    <row r="73" spans="1:5" x14ac:dyDescent="0.25">
      <c r="A73" t="s">
        <v>76</v>
      </c>
      <c r="C73" t="s">
        <v>309</v>
      </c>
      <c r="D73" t="str">
        <f t="shared" si="3"/>
        <v>Não</v>
      </c>
    </row>
    <row r="74" spans="1:5" x14ac:dyDescent="0.25">
      <c r="A74" t="s">
        <v>76</v>
      </c>
      <c r="B74" t="s">
        <v>314</v>
      </c>
      <c r="C74" t="s">
        <v>314</v>
      </c>
      <c r="D74" t="str">
        <f t="shared" si="3"/>
        <v>Sim</v>
      </c>
      <c r="E74">
        <v>0.74</v>
      </c>
    </row>
    <row r="75" spans="1:5" x14ac:dyDescent="0.25">
      <c r="A75" t="s">
        <v>76</v>
      </c>
      <c r="B75" t="s">
        <v>314</v>
      </c>
      <c r="C75" t="s">
        <v>314</v>
      </c>
      <c r="D75" t="str">
        <f t="shared" si="3"/>
        <v>Sim</v>
      </c>
      <c r="E75">
        <v>0.74</v>
      </c>
    </row>
    <row r="76" spans="1:5" x14ac:dyDescent="0.25">
      <c r="A76" t="s">
        <v>76</v>
      </c>
      <c r="B76" t="s">
        <v>315</v>
      </c>
      <c r="C76" t="s">
        <v>315</v>
      </c>
      <c r="D76" t="str">
        <f t="shared" si="3"/>
        <v>Sim</v>
      </c>
      <c r="E76">
        <v>0.45</v>
      </c>
    </row>
    <row r="77" spans="1:5" x14ac:dyDescent="0.25">
      <c r="A77" t="s">
        <v>76</v>
      </c>
      <c r="B77" t="s">
        <v>316</v>
      </c>
      <c r="C77" t="s">
        <v>316</v>
      </c>
      <c r="D77" t="str">
        <f t="shared" si="3"/>
        <v>Sim</v>
      </c>
      <c r="E77">
        <v>0.34</v>
      </c>
    </row>
    <row r="78" spans="1:5" x14ac:dyDescent="0.25">
      <c r="A78" t="s">
        <v>76</v>
      </c>
      <c r="B78" t="s">
        <v>316</v>
      </c>
      <c r="C78" t="s">
        <v>316</v>
      </c>
      <c r="D78" t="str">
        <f t="shared" si="3"/>
        <v>Sim</v>
      </c>
      <c r="E78">
        <v>0.34</v>
      </c>
    </row>
    <row r="79" spans="1:5" x14ac:dyDescent="0.25">
      <c r="A79" t="s">
        <v>76</v>
      </c>
      <c r="B79" t="s">
        <v>331</v>
      </c>
      <c r="C79" t="s">
        <v>331</v>
      </c>
      <c r="D79" t="str">
        <f t="shared" si="3"/>
        <v>Sim</v>
      </c>
      <c r="E79">
        <v>0.25</v>
      </c>
    </row>
    <row r="80" spans="1:5" x14ac:dyDescent="0.25">
      <c r="A80" t="s">
        <v>76</v>
      </c>
      <c r="B80" t="s">
        <v>331</v>
      </c>
      <c r="C80" t="s">
        <v>331</v>
      </c>
      <c r="D80" t="str">
        <f t="shared" si="3"/>
        <v>Sim</v>
      </c>
      <c r="E80">
        <v>0.25</v>
      </c>
    </row>
    <row r="81" spans="1:5" x14ac:dyDescent="0.25">
      <c r="A81" t="s">
        <v>76</v>
      </c>
      <c r="B81" t="s">
        <v>331</v>
      </c>
      <c r="C81" t="s">
        <v>331</v>
      </c>
      <c r="D81" t="str">
        <f t="shared" si="3"/>
        <v>Sim</v>
      </c>
      <c r="E81">
        <v>0.25</v>
      </c>
    </row>
    <row r="82" spans="1:5" x14ac:dyDescent="0.25">
      <c r="A82" t="s">
        <v>76</v>
      </c>
      <c r="B82" t="s">
        <v>331</v>
      </c>
      <c r="C82" t="s">
        <v>331</v>
      </c>
      <c r="D82" t="str">
        <f t="shared" si="3"/>
        <v>Sim</v>
      </c>
      <c r="E82">
        <v>0.25</v>
      </c>
    </row>
    <row r="83" spans="1:5" x14ac:dyDescent="0.25">
      <c r="A83"/>
    </row>
    <row r="84" spans="1:5" x14ac:dyDescent="0.25">
      <c r="A84"/>
    </row>
    <row r="85" spans="1:5" x14ac:dyDescent="0.25">
      <c r="A85"/>
    </row>
    <row r="86" spans="1:5" x14ac:dyDescent="0.25">
      <c r="A86"/>
    </row>
    <row r="87" spans="1:5" x14ac:dyDescent="0.25">
      <c r="A87"/>
    </row>
    <row r="88" spans="1:5" x14ac:dyDescent="0.25">
      <c r="A88"/>
    </row>
    <row r="89" spans="1:5" x14ac:dyDescent="0.25">
      <c r="A89"/>
    </row>
    <row r="90" spans="1:5" x14ac:dyDescent="0.25">
      <c r="A90"/>
    </row>
    <row r="91" spans="1:5" x14ac:dyDescent="0.25">
      <c r="A91"/>
    </row>
    <row r="92" spans="1:5" x14ac:dyDescent="0.25">
      <c r="A92"/>
    </row>
    <row r="93" spans="1:5" x14ac:dyDescent="0.25">
      <c r="A93"/>
    </row>
    <row r="94" spans="1:5" x14ac:dyDescent="0.25">
      <c r="A94"/>
    </row>
    <row r="95" spans="1:5" x14ac:dyDescent="0.25">
      <c r="A95"/>
    </row>
    <row r="96" spans="1:5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79B5-77F3-4314-B8A8-C07772092E9D}">
  <dimension ref="A1:G100"/>
  <sheetViews>
    <sheetView tabSelected="1" workbookViewId="0">
      <selection activeCell="C41" sqref="C4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290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B3" s="15" t="s">
        <v>61</v>
      </c>
      <c r="C3" s="15" t="s">
        <v>61</v>
      </c>
      <c r="D3" t="str">
        <f>IF(B3=C3, "Sim", "Não")</f>
        <v>Sim</v>
      </c>
      <c r="F3" s="4" t="s">
        <v>12</v>
      </c>
      <c r="G3" s="3">
        <f>COUNTIF(D3:D105,"Não")</f>
        <v>37</v>
      </c>
    </row>
    <row r="4" spans="1:7" x14ac:dyDescent="0.25">
      <c r="A4" t="s">
        <v>1</v>
      </c>
      <c r="B4" s="15" t="s">
        <v>61</v>
      </c>
      <c r="C4" s="15" t="s">
        <v>61</v>
      </c>
      <c r="D4" t="str">
        <f t="shared" ref="D4:D67" si="0">IF(B4=C4, "Sim", "Não")</f>
        <v>Sim</v>
      </c>
      <c r="F4" s="4" t="s">
        <v>13</v>
      </c>
      <c r="G4" s="3">
        <f>SUM(G7:G25)</f>
        <v>75</v>
      </c>
    </row>
    <row r="5" spans="1:7" x14ac:dyDescent="0.25">
      <c r="A5" t="s">
        <v>1</v>
      </c>
      <c r="B5" s="15" t="s">
        <v>61</v>
      </c>
      <c r="C5" s="15" t="s">
        <v>61</v>
      </c>
      <c r="D5" t="str">
        <f t="shared" si="0"/>
        <v>Sim</v>
      </c>
    </row>
    <row r="6" spans="1:7" x14ac:dyDescent="0.25">
      <c r="A6" t="s">
        <v>1</v>
      </c>
      <c r="B6" s="15" t="s">
        <v>61</v>
      </c>
      <c r="C6" s="15" t="s">
        <v>61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B7" t="s">
        <v>60</v>
      </c>
      <c r="C7" t="s">
        <v>60</v>
      </c>
      <c r="D7" t="str">
        <f t="shared" si="0"/>
        <v>Sim</v>
      </c>
      <c r="E7">
        <v>3.9</v>
      </c>
      <c r="F7" s="7" t="s">
        <v>1</v>
      </c>
      <c r="G7" s="2">
        <f t="shared" ref="G7:G10" si="1">COUNTIF(A:A,F7)</f>
        <v>16</v>
      </c>
    </row>
    <row r="8" spans="1:7" x14ac:dyDescent="0.25">
      <c r="A8" t="s">
        <v>1</v>
      </c>
      <c r="B8" t="s">
        <v>60</v>
      </c>
      <c r="C8" t="s">
        <v>60</v>
      </c>
      <c r="D8" t="str">
        <f t="shared" si="0"/>
        <v>Sim</v>
      </c>
      <c r="E8">
        <v>3.9</v>
      </c>
      <c r="F8" s="7" t="s">
        <v>317</v>
      </c>
      <c r="G8" s="2">
        <f t="shared" si="1"/>
        <v>16</v>
      </c>
    </row>
    <row r="9" spans="1:7" x14ac:dyDescent="0.25">
      <c r="A9" t="s">
        <v>1</v>
      </c>
      <c r="B9" s="15" t="s">
        <v>171</v>
      </c>
      <c r="C9" s="15" t="s">
        <v>171</v>
      </c>
      <c r="D9" t="str">
        <f t="shared" si="0"/>
        <v>Sim</v>
      </c>
      <c r="E9">
        <v>4.9000000000000004</v>
      </c>
      <c r="F9" s="7" t="s">
        <v>5</v>
      </c>
      <c r="G9" s="2">
        <f t="shared" si="1"/>
        <v>12</v>
      </c>
    </row>
    <row r="10" spans="1:7" x14ac:dyDescent="0.25">
      <c r="A10" t="s">
        <v>1</v>
      </c>
      <c r="C10" t="s">
        <v>236</v>
      </c>
      <c r="D10" t="str">
        <f t="shared" si="0"/>
        <v>Não</v>
      </c>
      <c r="F10" s="7" t="s">
        <v>326</v>
      </c>
      <c r="G10" s="2">
        <f t="shared" si="1"/>
        <v>16</v>
      </c>
    </row>
    <row r="11" spans="1:7" x14ac:dyDescent="0.25">
      <c r="A11" t="s">
        <v>1</v>
      </c>
      <c r="C11" t="s">
        <v>236</v>
      </c>
      <c r="D11" t="str">
        <f t="shared" si="0"/>
        <v>Não</v>
      </c>
      <c r="F11" s="7" t="s">
        <v>76</v>
      </c>
      <c r="G11" s="2">
        <f t="shared" ref="G11" si="2">COUNTIF(A:A,F11)</f>
        <v>15</v>
      </c>
    </row>
    <row r="12" spans="1:7" x14ac:dyDescent="0.25">
      <c r="A12" t="s">
        <v>1</v>
      </c>
      <c r="C12" t="s">
        <v>327</v>
      </c>
      <c r="D12" t="str">
        <f t="shared" si="0"/>
        <v>Não</v>
      </c>
      <c r="F12" s="7"/>
      <c r="G12" s="2"/>
    </row>
    <row r="13" spans="1:7" x14ac:dyDescent="0.25">
      <c r="A13" t="s">
        <v>1</v>
      </c>
      <c r="C13" t="s">
        <v>327</v>
      </c>
      <c r="D13" t="str">
        <f t="shared" si="0"/>
        <v>Não</v>
      </c>
    </row>
    <row r="14" spans="1:7" x14ac:dyDescent="0.25">
      <c r="A14" t="s">
        <v>1</v>
      </c>
      <c r="C14" t="s">
        <v>327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237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237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237</v>
      </c>
      <c r="D17" t="str">
        <f t="shared" si="0"/>
        <v>Não</v>
      </c>
    </row>
    <row r="18" spans="1:4" x14ac:dyDescent="0.25">
      <c r="A18" t="s">
        <v>1</v>
      </c>
      <c r="C18" t="s">
        <v>237</v>
      </c>
      <c r="D18" t="str">
        <f t="shared" si="0"/>
        <v>Não</v>
      </c>
    </row>
    <row r="19" spans="1:4" x14ac:dyDescent="0.25">
      <c r="A19" t="s">
        <v>317</v>
      </c>
      <c r="B19" s="15" t="s">
        <v>318</v>
      </c>
      <c r="C19" s="15" t="s">
        <v>318</v>
      </c>
      <c r="D19" t="str">
        <f t="shared" si="0"/>
        <v>Sim</v>
      </c>
    </row>
    <row r="20" spans="1:4" x14ac:dyDescent="0.25">
      <c r="A20" t="s">
        <v>317</v>
      </c>
      <c r="B20" s="15" t="s">
        <v>318</v>
      </c>
      <c r="C20" s="15" t="s">
        <v>318</v>
      </c>
      <c r="D20" t="str">
        <f t="shared" si="0"/>
        <v>Sim</v>
      </c>
    </row>
    <row r="21" spans="1:4" x14ac:dyDescent="0.25">
      <c r="A21" t="s">
        <v>317</v>
      </c>
      <c r="B21" s="15" t="s">
        <v>318</v>
      </c>
      <c r="C21" s="15" t="s">
        <v>318</v>
      </c>
      <c r="D21" t="str">
        <f t="shared" si="0"/>
        <v>Sim</v>
      </c>
    </row>
    <row r="22" spans="1:4" x14ac:dyDescent="0.25">
      <c r="A22" t="s">
        <v>317</v>
      </c>
      <c r="B22" s="15" t="s">
        <v>318</v>
      </c>
      <c r="C22" s="15" t="s">
        <v>318</v>
      </c>
      <c r="D22" t="str">
        <f t="shared" si="0"/>
        <v>Sim</v>
      </c>
    </row>
    <row r="23" spans="1:4" x14ac:dyDescent="0.25">
      <c r="A23" t="s">
        <v>317</v>
      </c>
      <c r="B23" t="s">
        <v>319</v>
      </c>
      <c r="C23" t="s">
        <v>319</v>
      </c>
      <c r="D23" t="str">
        <f t="shared" si="0"/>
        <v>Sim</v>
      </c>
    </row>
    <row r="24" spans="1:4" x14ac:dyDescent="0.25">
      <c r="A24" t="s">
        <v>317</v>
      </c>
      <c r="B24" t="s">
        <v>319</v>
      </c>
      <c r="C24" t="s">
        <v>319</v>
      </c>
      <c r="D24" t="str">
        <f t="shared" si="0"/>
        <v>Sim</v>
      </c>
    </row>
    <row r="25" spans="1:4" x14ac:dyDescent="0.25">
      <c r="A25" t="s">
        <v>317</v>
      </c>
      <c r="B25" t="s">
        <v>319</v>
      </c>
      <c r="C25" t="s">
        <v>319</v>
      </c>
      <c r="D25" t="str">
        <f t="shared" si="0"/>
        <v>Sim</v>
      </c>
    </row>
    <row r="26" spans="1:4" x14ac:dyDescent="0.25">
      <c r="A26" t="s">
        <v>317</v>
      </c>
      <c r="B26" t="s">
        <v>319</v>
      </c>
      <c r="C26" t="s">
        <v>319</v>
      </c>
      <c r="D26" t="str">
        <f t="shared" si="0"/>
        <v>Sim</v>
      </c>
    </row>
    <row r="27" spans="1:4" x14ac:dyDescent="0.25">
      <c r="A27" t="s">
        <v>317</v>
      </c>
      <c r="B27" s="15" t="s">
        <v>320</v>
      </c>
      <c r="C27" s="15" t="s">
        <v>320</v>
      </c>
      <c r="D27" t="str">
        <f t="shared" si="0"/>
        <v>Sim</v>
      </c>
    </row>
    <row r="28" spans="1:4" x14ac:dyDescent="0.25">
      <c r="A28" t="s">
        <v>317</v>
      </c>
      <c r="B28" s="15" t="s">
        <v>320</v>
      </c>
      <c r="C28" s="15" t="s">
        <v>320</v>
      </c>
      <c r="D28" t="str">
        <f t="shared" si="0"/>
        <v>Sim</v>
      </c>
    </row>
    <row r="29" spans="1:4" x14ac:dyDescent="0.25">
      <c r="A29" t="s">
        <v>317</v>
      </c>
      <c r="C29" t="s">
        <v>320</v>
      </c>
      <c r="D29" t="str">
        <f t="shared" si="0"/>
        <v>Não</v>
      </c>
    </row>
    <row r="30" spans="1:4" x14ac:dyDescent="0.25">
      <c r="A30" t="s">
        <v>317</v>
      </c>
      <c r="C30" t="s">
        <v>320</v>
      </c>
      <c r="D30" t="str">
        <f t="shared" si="0"/>
        <v>Não</v>
      </c>
    </row>
    <row r="31" spans="1:4" x14ac:dyDescent="0.25">
      <c r="A31" t="s">
        <v>317</v>
      </c>
      <c r="B31" s="15" t="s">
        <v>321</v>
      </c>
      <c r="C31" s="15" t="s">
        <v>321</v>
      </c>
      <c r="D31" t="str">
        <f t="shared" si="0"/>
        <v>Sim</v>
      </c>
    </row>
    <row r="32" spans="1:4" x14ac:dyDescent="0.25">
      <c r="A32" t="s">
        <v>317</v>
      </c>
      <c r="B32" s="15" t="s">
        <v>321</v>
      </c>
      <c r="C32" s="15" t="s">
        <v>321</v>
      </c>
      <c r="D32" t="str">
        <f t="shared" si="0"/>
        <v>Sim</v>
      </c>
    </row>
    <row r="33" spans="1:5" x14ac:dyDescent="0.25">
      <c r="A33" t="s">
        <v>317</v>
      </c>
      <c r="C33" t="s">
        <v>321</v>
      </c>
      <c r="D33" t="str">
        <f t="shared" si="0"/>
        <v>Não</v>
      </c>
    </row>
    <row r="34" spans="1:5" x14ac:dyDescent="0.25">
      <c r="A34" t="s">
        <v>317</v>
      </c>
      <c r="C34" t="s">
        <v>321</v>
      </c>
      <c r="D34" t="str">
        <f t="shared" si="0"/>
        <v>Não</v>
      </c>
    </row>
    <row r="35" spans="1:5" x14ac:dyDescent="0.25">
      <c r="A35" t="s">
        <v>5</v>
      </c>
      <c r="B35" t="s">
        <v>112</v>
      </c>
      <c r="C35" t="s">
        <v>112</v>
      </c>
      <c r="D35" t="str">
        <f t="shared" si="0"/>
        <v>Sim</v>
      </c>
      <c r="E35">
        <v>1.49</v>
      </c>
    </row>
    <row r="36" spans="1:5" x14ac:dyDescent="0.25">
      <c r="A36" t="s">
        <v>5</v>
      </c>
      <c r="B36" t="s">
        <v>112</v>
      </c>
      <c r="C36" t="s">
        <v>112</v>
      </c>
      <c r="D36" t="str">
        <f t="shared" si="0"/>
        <v>Sim</v>
      </c>
      <c r="E36">
        <v>1.49</v>
      </c>
    </row>
    <row r="37" spans="1:5" x14ac:dyDescent="0.25">
      <c r="A37" t="s">
        <v>5</v>
      </c>
      <c r="B37" t="s">
        <v>112</v>
      </c>
      <c r="C37" t="s">
        <v>112</v>
      </c>
      <c r="D37" t="str">
        <f t="shared" si="0"/>
        <v>Sim</v>
      </c>
      <c r="E37">
        <v>1.49</v>
      </c>
    </row>
    <row r="38" spans="1:5" x14ac:dyDescent="0.25">
      <c r="A38" t="s">
        <v>5</v>
      </c>
      <c r="B38" t="s">
        <v>112</v>
      </c>
      <c r="C38" t="s">
        <v>112</v>
      </c>
      <c r="D38" t="str">
        <f t="shared" si="0"/>
        <v>Sim</v>
      </c>
      <c r="E38">
        <v>1.49</v>
      </c>
    </row>
    <row r="39" spans="1:5" x14ac:dyDescent="0.25">
      <c r="A39" t="s">
        <v>5</v>
      </c>
      <c r="B39" s="15" t="s">
        <v>84</v>
      </c>
      <c r="C39" s="15" t="s">
        <v>84</v>
      </c>
      <c r="D39" t="str">
        <f t="shared" si="0"/>
        <v>Sim</v>
      </c>
    </row>
    <row r="40" spans="1:5" x14ac:dyDescent="0.25">
      <c r="A40" t="s">
        <v>5</v>
      </c>
      <c r="B40" s="15" t="s">
        <v>84</v>
      </c>
      <c r="C40" s="15" t="s">
        <v>84</v>
      </c>
      <c r="D40" t="str">
        <f t="shared" si="0"/>
        <v>Sim</v>
      </c>
    </row>
    <row r="41" spans="1:5" x14ac:dyDescent="0.25">
      <c r="A41" t="s">
        <v>5</v>
      </c>
      <c r="B41" s="15" t="s">
        <v>84</v>
      </c>
      <c r="C41" s="15" t="s">
        <v>84</v>
      </c>
      <c r="D41" t="str">
        <f t="shared" si="0"/>
        <v>Sim</v>
      </c>
    </row>
    <row r="42" spans="1:5" x14ac:dyDescent="0.25">
      <c r="A42" t="s">
        <v>5</v>
      </c>
      <c r="B42" s="15" t="s">
        <v>84</v>
      </c>
      <c r="C42" s="15" t="s">
        <v>84</v>
      </c>
      <c r="D42" t="str">
        <f t="shared" si="0"/>
        <v>Sim</v>
      </c>
    </row>
    <row r="43" spans="1:5" x14ac:dyDescent="0.25">
      <c r="A43" t="s">
        <v>5</v>
      </c>
      <c r="C43" t="s">
        <v>324</v>
      </c>
      <c r="D43" t="str">
        <f t="shared" si="0"/>
        <v>Não</v>
      </c>
    </row>
    <row r="44" spans="1:5" x14ac:dyDescent="0.25">
      <c r="A44" t="s">
        <v>5</v>
      </c>
      <c r="C44" t="s">
        <v>324</v>
      </c>
      <c r="D44" t="str">
        <f t="shared" si="0"/>
        <v>Não</v>
      </c>
    </row>
    <row r="45" spans="1:5" x14ac:dyDescent="0.25">
      <c r="A45" t="s">
        <v>5</v>
      </c>
      <c r="C45" t="s">
        <v>324</v>
      </c>
      <c r="D45" t="str">
        <f t="shared" si="0"/>
        <v>Não</v>
      </c>
    </row>
    <row r="46" spans="1:5" x14ac:dyDescent="0.25">
      <c r="A46" t="s">
        <v>5</v>
      </c>
      <c r="C46" t="s">
        <v>324</v>
      </c>
      <c r="D46" t="str">
        <f t="shared" si="0"/>
        <v>Não</v>
      </c>
    </row>
    <row r="47" spans="1:5" x14ac:dyDescent="0.25">
      <c r="A47" t="s">
        <v>326</v>
      </c>
      <c r="C47" t="s">
        <v>322</v>
      </c>
      <c r="D47" t="str">
        <f t="shared" si="0"/>
        <v>Não</v>
      </c>
    </row>
    <row r="48" spans="1:5" x14ac:dyDescent="0.25">
      <c r="A48" t="s">
        <v>326</v>
      </c>
      <c r="C48" t="s">
        <v>322</v>
      </c>
      <c r="D48" t="str">
        <f t="shared" si="0"/>
        <v>Não</v>
      </c>
    </row>
    <row r="49" spans="1:4" x14ac:dyDescent="0.25">
      <c r="A49" t="s">
        <v>326</v>
      </c>
      <c r="C49" t="s">
        <v>322</v>
      </c>
      <c r="D49" t="str">
        <f>IF(B49=C49, "Sim", "Não")</f>
        <v>Não</v>
      </c>
    </row>
    <row r="50" spans="1:4" x14ac:dyDescent="0.25">
      <c r="A50" t="s">
        <v>326</v>
      </c>
      <c r="C50" t="s">
        <v>322</v>
      </c>
      <c r="D50" t="str">
        <f>IF(B50=C50, "Sim", "Não")</f>
        <v>Não</v>
      </c>
    </row>
    <row r="51" spans="1:4" x14ac:dyDescent="0.25">
      <c r="A51" t="s">
        <v>326</v>
      </c>
      <c r="C51" t="s">
        <v>323</v>
      </c>
      <c r="D51" t="str">
        <f t="shared" si="0"/>
        <v>Não</v>
      </c>
    </row>
    <row r="52" spans="1:4" x14ac:dyDescent="0.25">
      <c r="A52" t="s">
        <v>326</v>
      </c>
      <c r="C52" t="s">
        <v>323</v>
      </c>
      <c r="D52" t="str">
        <f t="shared" si="0"/>
        <v>Não</v>
      </c>
    </row>
    <row r="53" spans="1:4" x14ac:dyDescent="0.25">
      <c r="A53" t="s">
        <v>326</v>
      </c>
      <c r="C53" t="s">
        <v>323</v>
      </c>
      <c r="D53" t="str">
        <f t="shared" si="0"/>
        <v>Não</v>
      </c>
    </row>
    <row r="54" spans="1:4" x14ac:dyDescent="0.25">
      <c r="A54" t="s">
        <v>326</v>
      </c>
      <c r="C54" t="s">
        <v>323</v>
      </c>
      <c r="D54" t="str">
        <f t="shared" si="0"/>
        <v>Não</v>
      </c>
    </row>
    <row r="55" spans="1:4" x14ac:dyDescent="0.25">
      <c r="A55" t="s">
        <v>326</v>
      </c>
      <c r="B55" s="15" t="s">
        <v>63</v>
      </c>
      <c r="C55" s="15" t="s">
        <v>63</v>
      </c>
      <c r="D55" t="str">
        <f t="shared" si="0"/>
        <v>Sim</v>
      </c>
    </row>
    <row r="56" spans="1:4" x14ac:dyDescent="0.25">
      <c r="A56" t="s">
        <v>326</v>
      </c>
      <c r="B56" s="15" t="s">
        <v>63</v>
      </c>
      <c r="C56" s="15" t="s">
        <v>63</v>
      </c>
      <c r="D56" t="str">
        <f t="shared" si="0"/>
        <v>Sim</v>
      </c>
    </row>
    <row r="57" spans="1:4" x14ac:dyDescent="0.25">
      <c r="A57" t="s">
        <v>326</v>
      </c>
      <c r="B57" s="15" t="s">
        <v>63</v>
      </c>
      <c r="C57" s="15" t="s">
        <v>63</v>
      </c>
      <c r="D57" t="str">
        <f t="shared" si="0"/>
        <v>Sim</v>
      </c>
    </row>
    <row r="58" spans="1:4" x14ac:dyDescent="0.25">
      <c r="A58" t="s">
        <v>326</v>
      </c>
      <c r="B58" s="15" t="s">
        <v>63</v>
      </c>
      <c r="C58" s="15" t="s">
        <v>63</v>
      </c>
      <c r="D58" t="str">
        <f t="shared" si="0"/>
        <v>Sim</v>
      </c>
    </row>
    <row r="59" spans="1:4" x14ac:dyDescent="0.25">
      <c r="A59" t="s">
        <v>326</v>
      </c>
      <c r="B59" s="16" t="s">
        <v>325</v>
      </c>
      <c r="C59" s="16" t="s">
        <v>325</v>
      </c>
      <c r="D59" t="str">
        <f t="shared" si="0"/>
        <v>Sim</v>
      </c>
    </row>
    <row r="60" spans="1:4" x14ac:dyDescent="0.25">
      <c r="A60" t="s">
        <v>326</v>
      </c>
      <c r="B60" s="16" t="s">
        <v>325</v>
      </c>
      <c r="C60" s="16" t="s">
        <v>325</v>
      </c>
      <c r="D60" t="str">
        <f t="shared" si="0"/>
        <v>Sim</v>
      </c>
    </row>
    <row r="61" spans="1:4" x14ac:dyDescent="0.25">
      <c r="A61" t="s">
        <v>326</v>
      </c>
      <c r="B61" s="16" t="s">
        <v>325</v>
      </c>
      <c r="C61" s="16" t="s">
        <v>325</v>
      </c>
      <c r="D61" t="str">
        <f t="shared" si="0"/>
        <v>Sim</v>
      </c>
    </row>
    <row r="62" spans="1:4" x14ac:dyDescent="0.25">
      <c r="A62" t="s">
        <v>326</v>
      </c>
      <c r="B62" s="16" t="s">
        <v>325</v>
      </c>
      <c r="C62" s="16" t="s">
        <v>325</v>
      </c>
      <c r="D62" t="str">
        <f t="shared" si="0"/>
        <v>Sim</v>
      </c>
    </row>
    <row r="63" spans="1:4" x14ac:dyDescent="0.25">
      <c r="A63" t="s">
        <v>76</v>
      </c>
      <c r="C63" t="s">
        <v>244</v>
      </c>
      <c r="D63" t="str">
        <f t="shared" si="0"/>
        <v>Não</v>
      </c>
    </row>
    <row r="64" spans="1:4" x14ac:dyDescent="0.25">
      <c r="A64" t="s">
        <v>76</v>
      </c>
      <c r="C64" t="s">
        <v>244</v>
      </c>
      <c r="D64" t="str">
        <f t="shared" si="0"/>
        <v>Não</v>
      </c>
    </row>
    <row r="65" spans="1:4" x14ac:dyDescent="0.25">
      <c r="A65" t="s">
        <v>76</v>
      </c>
      <c r="C65" t="s">
        <v>106</v>
      </c>
      <c r="D65" t="str">
        <f t="shared" si="0"/>
        <v>Não</v>
      </c>
    </row>
    <row r="66" spans="1:4" x14ac:dyDescent="0.25">
      <c r="A66" t="s">
        <v>76</v>
      </c>
      <c r="C66" t="s">
        <v>106</v>
      </c>
      <c r="D66" t="str">
        <f t="shared" si="0"/>
        <v>Não</v>
      </c>
    </row>
    <row r="67" spans="1:4" x14ac:dyDescent="0.25">
      <c r="A67" t="s">
        <v>76</v>
      </c>
      <c r="C67" t="s">
        <v>106</v>
      </c>
      <c r="D67" t="str">
        <f t="shared" si="0"/>
        <v>Não</v>
      </c>
    </row>
    <row r="68" spans="1:4" x14ac:dyDescent="0.25">
      <c r="A68" t="s">
        <v>76</v>
      </c>
      <c r="C68" t="s">
        <v>106</v>
      </c>
      <c r="D68" t="str">
        <f t="shared" ref="D68:D77" si="3">IF(B68=C68, "Sim", "Não")</f>
        <v>Não</v>
      </c>
    </row>
    <row r="69" spans="1:4" x14ac:dyDescent="0.25">
      <c r="A69" t="s">
        <v>76</v>
      </c>
      <c r="C69" t="s">
        <v>109</v>
      </c>
      <c r="D69" t="str">
        <f t="shared" si="3"/>
        <v>Não</v>
      </c>
    </row>
    <row r="70" spans="1:4" x14ac:dyDescent="0.25">
      <c r="A70" t="s">
        <v>76</v>
      </c>
      <c r="C70" t="s">
        <v>109</v>
      </c>
      <c r="D70" t="str">
        <f t="shared" si="3"/>
        <v>Não</v>
      </c>
    </row>
    <row r="71" spans="1:4" x14ac:dyDescent="0.25">
      <c r="A71" t="s">
        <v>76</v>
      </c>
      <c r="C71" t="s">
        <v>328</v>
      </c>
      <c r="D71" t="str">
        <f t="shared" si="3"/>
        <v>Não</v>
      </c>
    </row>
    <row r="72" spans="1:4" x14ac:dyDescent="0.25">
      <c r="A72" t="s">
        <v>76</v>
      </c>
      <c r="C72" t="s">
        <v>328</v>
      </c>
      <c r="D72" t="str">
        <f t="shared" si="3"/>
        <v>Não</v>
      </c>
    </row>
    <row r="73" spans="1:4" x14ac:dyDescent="0.25">
      <c r="A73" t="s">
        <v>76</v>
      </c>
      <c r="C73" t="s">
        <v>329</v>
      </c>
      <c r="D73" t="str">
        <f t="shared" si="3"/>
        <v>Não</v>
      </c>
    </row>
    <row r="74" spans="1:4" x14ac:dyDescent="0.25">
      <c r="A74" t="s">
        <v>76</v>
      </c>
      <c r="C74" t="s">
        <v>329</v>
      </c>
      <c r="D74" t="str">
        <f t="shared" si="3"/>
        <v>Não</v>
      </c>
    </row>
    <row r="75" spans="1:4" x14ac:dyDescent="0.25">
      <c r="A75" t="s">
        <v>76</v>
      </c>
      <c r="B75" t="s">
        <v>284</v>
      </c>
      <c r="C75" t="s">
        <v>284</v>
      </c>
      <c r="D75" t="str">
        <f t="shared" si="3"/>
        <v>Sim</v>
      </c>
    </row>
    <row r="76" spans="1:4" x14ac:dyDescent="0.25">
      <c r="A76" t="s">
        <v>76</v>
      </c>
      <c r="B76" t="s">
        <v>284</v>
      </c>
      <c r="C76" t="s">
        <v>284</v>
      </c>
      <c r="D76" t="str">
        <f t="shared" si="3"/>
        <v>Sim</v>
      </c>
    </row>
    <row r="77" spans="1:4" x14ac:dyDescent="0.25">
      <c r="A77" t="s">
        <v>76</v>
      </c>
      <c r="B77" t="s">
        <v>284</v>
      </c>
      <c r="C77" t="s">
        <v>284</v>
      </c>
      <c r="D77" t="str">
        <f t="shared" si="3"/>
        <v>Sim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E90B-73E8-4CED-BCB9-CC121EE643BA}">
  <dimension ref="A1:G100"/>
  <sheetViews>
    <sheetView workbookViewId="0">
      <selection activeCell="F17" sqref="F17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/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D3" t="str">
        <f>IF(B3=C3, "Sim", "Não")</f>
        <v>Sim</v>
      </c>
      <c r="F3" s="4" t="s">
        <v>12</v>
      </c>
      <c r="G3" s="3">
        <f>COUNTIF(D3:D105,"Não")</f>
        <v>0</v>
      </c>
    </row>
    <row r="4" spans="1:7" x14ac:dyDescent="0.25">
      <c r="A4" t="s">
        <v>1</v>
      </c>
      <c r="D4" t="str">
        <f t="shared" ref="D4:D67" si="0">IF(B4=C4, "Sim", "Não")</f>
        <v>Sim</v>
      </c>
      <c r="F4" s="4" t="s">
        <v>13</v>
      </c>
      <c r="G4" s="3">
        <f>SUM(G7:G25)</f>
        <v>35</v>
      </c>
    </row>
    <row r="5" spans="1:7" x14ac:dyDescent="0.25">
      <c r="A5" t="s">
        <v>1</v>
      </c>
      <c r="D5" t="str">
        <f t="shared" si="0"/>
        <v>Sim</v>
      </c>
    </row>
    <row r="6" spans="1:7" x14ac:dyDescent="0.25">
      <c r="A6" t="s">
        <v>1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D7" t="str">
        <f t="shared" si="0"/>
        <v>Sim</v>
      </c>
      <c r="F7" s="7" t="s">
        <v>1</v>
      </c>
      <c r="G7" s="2">
        <f t="shared" ref="G7:G11" si="1">COUNTIF(A:A,F7)</f>
        <v>20</v>
      </c>
    </row>
    <row r="8" spans="1:7" x14ac:dyDescent="0.25">
      <c r="A8" t="s">
        <v>1</v>
      </c>
      <c r="D8" t="str">
        <f t="shared" si="0"/>
        <v>Sim</v>
      </c>
      <c r="F8" s="7" t="s">
        <v>317</v>
      </c>
      <c r="G8" s="2">
        <f t="shared" si="1"/>
        <v>0</v>
      </c>
    </row>
    <row r="9" spans="1:7" x14ac:dyDescent="0.25">
      <c r="A9" t="s">
        <v>1</v>
      </c>
      <c r="D9" t="str">
        <f t="shared" si="0"/>
        <v>Sim</v>
      </c>
      <c r="F9" s="7" t="s">
        <v>5</v>
      </c>
      <c r="G9" s="2">
        <f t="shared" si="1"/>
        <v>0</v>
      </c>
    </row>
    <row r="10" spans="1:7" x14ac:dyDescent="0.25">
      <c r="A10" t="s">
        <v>1</v>
      </c>
      <c r="D10" t="str">
        <f t="shared" si="0"/>
        <v>Sim</v>
      </c>
      <c r="F10" s="7" t="s">
        <v>326</v>
      </c>
      <c r="G10" s="2">
        <f t="shared" si="1"/>
        <v>0</v>
      </c>
    </row>
    <row r="11" spans="1:7" x14ac:dyDescent="0.25">
      <c r="A11" t="s">
        <v>1</v>
      </c>
      <c r="D11" t="str">
        <f t="shared" si="0"/>
        <v>Sim</v>
      </c>
      <c r="F11" s="7" t="s">
        <v>76</v>
      </c>
      <c r="G11" s="2">
        <f t="shared" si="1"/>
        <v>15</v>
      </c>
    </row>
    <row r="12" spans="1:7" x14ac:dyDescent="0.25">
      <c r="A12" t="s">
        <v>1</v>
      </c>
      <c r="D12" t="str">
        <f t="shared" si="0"/>
        <v>Sim</v>
      </c>
      <c r="F12" s="7"/>
      <c r="G12" s="2"/>
    </row>
    <row r="13" spans="1:7" x14ac:dyDescent="0.25">
      <c r="A13" t="s">
        <v>1</v>
      </c>
      <c r="D13" t="str">
        <f t="shared" si="0"/>
        <v>Sim</v>
      </c>
    </row>
    <row r="14" spans="1:7" x14ac:dyDescent="0.25">
      <c r="A14" t="s">
        <v>1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D17" t="str">
        <f t="shared" si="0"/>
        <v>Sim</v>
      </c>
    </row>
    <row r="18" spans="1:4" x14ac:dyDescent="0.25">
      <c r="A18" t="s">
        <v>1</v>
      </c>
      <c r="D18" t="str">
        <f t="shared" si="0"/>
        <v>Sim</v>
      </c>
    </row>
    <row r="19" spans="1:4" x14ac:dyDescent="0.25">
      <c r="A19" t="s">
        <v>1</v>
      </c>
      <c r="D19" t="str">
        <f t="shared" si="0"/>
        <v>Sim</v>
      </c>
    </row>
    <row r="20" spans="1:4" x14ac:dyDescent="0.25">
      <c r="A20" t="s">
        <v>1</v>
      </c>
      <c r="D20" t="str">
        <f t="shared" si="0"/>
        <v>Sim</v>
      </c>
    </row>
    <row r="21" spans="1:4" x14ac:dyDescent="0.25">
      <c r="A21" t="s">
        <v>1</v>
      </c>
      <c r="D21" t="str">
        <f t="shared" si="0"/>
        <v>Sim</v>
      </c>
    </row>
    <row r="22" spans="1:4" x14ac:dyDescent="0.25">
      <c r="A22" t="s">
        <v>1</v>
      </c>
      <c r="D22" t="str">
        <f t="shared" si="0"/>
        <v>Sim</v>
      </c>
    </row>
    <row r="23" spans="1:4" x14ac:dyDescent="0.25">
      <c r="A23"/>
      <c r="D23" t="str">
        <f t="shared" si="0"/>
        <v>Sim</v>
      </c>
    </row>
    <row r="24" spans="1:4" x14ac:dyDescent="0.25">
      <c r="A24"/>
      <c r="D24" t="str">
        <f t="shared" si="0"/>
        <v>Sim</v>
      </c>
    </row>
    <row r="25" spans="1:4" x14ac:dyDescent="0.25">
      <c r="A25"/>
      <c r="D25" t="str">
        <f t="shared" si="0"/>
        <v>Sim</v>
      </c>
    </row>
    <row r="26" spans="1:4" x14ac:dyDescent="0.25">
      <c r="A26"/>
      <c r="D26" t="str">
        <f t="shared" si="0"/>
        <v>Sim</v>
      </c>
    </row>
    <row r="27" spans="1:4" x14ac:dyDescent="0.25">
      <c r="A27"/>
      <c r="D27" t="str">
        <f t="shared" si="0"/>
        <v>Sim</v>
      </c>
    </row>
    <row r="28" spans="1:4" x14ac:dyDescent="0.25">
      <c r="A28"/>
      <c r="D28" t="str">
        <f t="shared" si="0"/>
        <v>Sim</v>
      </c>
    </row>
    <row r="29" spans="1:4" x14ac:dyDescent="0.25">
      <c r="A29"/>
      <c r="D29" t="str">
        <f t="shared" si="0"/>
        <v>Sim</v>
      </c>
    </row>
    <row r="30" spans="1:4" x14ac:dyDescent="0.25">
      <c r="A30"/>
      <c r="D30" t="str">
        <f t="shared" si="0"/>
        <v>Sim</v>
      </c>
    </row>
    <row r="31" spans="1:4" x14ac:dyDescent="0.25">
      <c r="A31"/>
      <c r="D31" t="str">
        <f t="shared" si="0"/>
        <v>Sim</v>
      </c>
    </row>
    <row r="32" spans="1:4" x14ac:dyDescent="0.25">
      <c r="A32"/>
      <c r="D32" t="str">
        <f t="shared" si="0"/>
        <v>Sim</v>
      </c>
    </row>
    <row r="33" spans="1:4" x14ac:dyDescent="0.25">
      <c r="A33"/>
      <c r="D33" t="str">
        <f t="shared" si="0"/>
        <v>Sim</v>
      </c>
    </row>
    <row r="34" spans="1:4" x14ac:dyDescent="0.25">
      <c r="A34"/>
      <c r="D34" t="str">
        <f t="shared" si="0"/>
        <v>Sim</v>
      </c>
    </row>
    <row r="35" spans="1:4" x14ac:dyDescent="0.25">
      <c r="A35"/>
      <c r="D35" t="str">
        <f t="shared" si="0"/>
        <v>Sim</v>
      </c>
    </row>
    <row r="36" spans="1:4" x14ac:dyDescent="0.25">
      <c r="A36"/>
      <c r="D36" t="str">
        <f t="shared" si="0"/>
        <v>Sim</v>
      </c>
    </row>
    <row r="37" spans="1:4" x14ac:dyDescent="0.25">
      <c r="A37"/>
      <c r="D37" t="str">
        <f t="shared" si="0"/>
        <v>Sim</v>
      </c>
    </row>
    <row r="38" spans="1:4" x14ac:dyDescent="0.25">
      <c r="A38"/>
      <c r="D38" t="str">
        <f t="shared" si="0"/>
        <v>Sim</v>
      </c>
    </row>
    <row r="39" spans="1:4" x14ac:dyDescent="0.25">
      <c r="A39"/>
      <c r="D39" t="str">
        <f t="shared" si="0"/>
        <v>Sim</v>
      </c>
    </row>
    <row r="40" spans="1:4" x14ac:dyDescent="0.25">
      <c r="A40"/>
      <c r="D40" t="str">
        <f t="shared" si="0"/>
        <v>Sim</v>
      </c>
    </row>
    <row r="41" spans="1:4" x14ac:dyDescent="0.25">
      <c r="A41"/>
      <c r="D41" t="str">
        <f t="shared" si="0"/>
        <v>Sim</v>
      </c>
    </row>
    <row r="42" spans="1:4" x14ac:dyDescent="0.25">
      <c r="A42"/>
      <c r="D42" t="str">
        <f t="shared" si="0"/>
        <v>Sim</v>
      </c>
    </row>
    <row r="43" spans="1:4" x14ac:dyDescent="0.25">
      <c r="A43"/>
      <c r="D43" t="str">
        <f t="shared" si="0"/>
        <v>Sim</v>
      </c>
    </row>
    <row r="44" spans="1:4" x14ac:dyDescent="0.25">
      <c r="A44"/>
      <c r="D44" t="str">
        <f t="shared" si="0"/>
        <v>Sim</v>
      </c>
    </row>
    <row r="45" spans="1:4" x14ac:dyDescent="0.25">
      <c r="A45"/>
      <c r="D45" t="str">
        <f t="shared" si="0"/>
        <v>Sim</v>
      </c>
    </row>
    <row r="46" spans="1:4" x14ac:dyDescent="0.25">
      <c r="A46"/>
      <c r="D46" t="str">
        <f t="shared" si="0"/>
        <v>Sim</v>
      </c>
    </row>
    <row r="47" spans="1:4" x14ac:dyDescent="0.25">
      <c r="A47"/>
      <c r="D47" t="str">
        <f t="shared" si="0"/>
        <v>Sim</v>
      </c>
    </row>
    <row r="48" spans="1:4" x14ac:dyDescent="0.25">
      <c r="A48"/>
      <c r="D48" t="str">
        <f t="shared" si="0"/>
        <v>Sim</v>
      </c>
    </row>
    <row r="49" spans="1:4" x14ac:dyDescent="0.25">
      <c r="A49"/>
      <c r="D49" t="str">
        <f>IF(B49=C49, "Sim", "Não")</f>
        <v>Sim</v>
      </c>
    </row>
    <row r="50" spans="1:4" x14ac:dyDescent="0.25">
      <c r="A50"/>
      <c r="D50" t="str">
        <f>IF(B50=C50, "Sim", "Não")</f>
        <v>Sim</v>
      </c>
    </row>
    <row r="51" spans="1:4" x14ac:dyDescent="0.25">
      <c r="A51"/>
      <c r="D51" t="str">
        <f t="shared" si="0"/>
        <v>Sim</v>
      </c>
    </row>
    <row r="52" spans="1:4" x14ac:dyDescent="0.25">
      <c r="A52"/>
      <c r="D52" t="str">
        <f t="shared" si="0"/>
        <v>Sim</v>
      </c>
    </row>
    <row r="53" spans="1:4" x14ac:dyDescent="0.25">
      <c r="A53"/>
      <c r="D53" t="str">
        <f t="shared" si="0"/>
        <v>Sim</v>
      </c>
    </row>
    <row r="54" spans="1:4" x14ac:dyDescent="0.25">
      <c r="A54"/>
      <c r="D54" t="str">
        <f t="shared" si="0"/>
        <v>Sim</v>
      </c>
    </row>
    <row r="55" spans="1:4" x14ac:dyDescent="0.25">
      <c r="A55"/>
      <c r="D55" t="str">
        <f t="shared" si="0"/>
        <v>Sim</v>
      </c>
    </row>
    <row r="56" spans="1:4" x14ac:dyDescent="0.25">
      <c r="A56"/>
      <c r="D56" t="str">
        <f t="shared" si="0"/>
        <v>Sim</v>
      </c>
    </row>
    <row r="57" spans="1:4" x14ac:dyDescent="0.25">
      <c r="A57"/>
      <c r="D57" t="str">
        <f t="shared" si="0"/>
        <v>Sim</v>
      </c>
    </row>
    <row r="58" spans="1:4" x14ac:dyDescent="0.25">
      <c r="A58"/>
      <c r="D58" t="str">
        <f t="shared" si="0"/>
        <v>Sim</v>
      </c>
    </row>
    <row r="59" spans="1:4" x14ac:dyDescent="0.25">
      <c r="A59"/>
      <c r="D59" t="str">
        <f t="shared" si="0"/>
        <v>Sim</v>
      </c>
    </row>
    <row r="60" spans="1:4" x14ac:dyDescent="0.25">
      <c r="A60"/>
      <c r="D60" t="str">
        <f t="shared" si="0"/>
        <v>Sim</v>
      </c>
    </row>
    <row r="61" spans="1:4" x14ac:dyDescent="0.25">
      <c r="A61"/>
      <c r="D61" t="str">
        <f t="shared" si="0"/>
        <v>Sim</v>
      </c>
    </row>
    <row r="62" spans="1:4" x14ac:dyDescent="0.25">
      <c r="A62"/>
      <c r="D62" t="str">
        <f t="shared" si="0"/>
        <v>Sim</v>
      </c>
    </row>
    <row r="63" spans="1:4" x14ac:dyDescent="0.25">
      <c r="A63" t="s">
        <v>76</v>
      </c>
      <c r="D63" t="str">
        <f t="shared" si="0"/>
        <v>Sim</v>
      </c>
    </row>
    <row r="64" spans="1:4" x14ac:dyDescent="0.25">
      <c r="A64" t="s">
        <v>76</v>
      </c>
      <c r="D64" t="str">
        <f t="shared" si="0"/>
        <v>Sim</v>
      </c>
    </row>
    <row r="65" spans="1:4" x14ac:dyDescent="0.25">
      <c r="A65" t="s">
        <v>76</v>
      </c>
      <c r="D65" t="str">
        <f t="shared" si="0"/>
        <v>Sim</v>
      </c>
    </row>
    <row r="66" spans="1:4" x14ac:dyDescent="0.25">
      <c r="A66" t="s">
        <v>76</v>
      </c>
      <c r="D66" t="str">
        <f t="shared" si="0"/>
        <v>Sim</v>
      </c>
    </row>
    <row r="67" spans="1:4" x14ac:dyDescent="0.25">
      <c r="A67" t="s">
        <v>76</v>
      </c>
      <c r="D67" t="str">
        <f t="shared" si="0"/>
        <v>Sim</v>
      </c>
    </row>
    <row r="68" spans="1:4" x14ac:dyDescent="0.25">
      <c r="A68" t="s">
        <v>76</v>
      </c>
      <c r="D68" t="str">
        <f t="shared" ref="D68:D77" si="2">IF(B68=C68, "Sim", "Não")</f>
        <v>Sim</v>
      </c>
    </row>
    <row r="69" spans="1:4" x14ac:dyDescent="0.25">
      <c r="A69" t="s">
        <v>76</v>
      </c>
      <c r="D69" t="str">
        <f t="shared" si="2"/>
        <v>Sim</v>
      </c>
    </row>
    <row r="70" spans="1:4" x14ac:dyDescent="0.25">
      <c r="A70" t="s">
        <v>76</v>
      </c>
      <c r="D70" t="str">
        <f t="shared" si="2"/>
        <v>Sim</v>
      </c>
    </row>
    <row r="71" spans="1:4" x14ac:dyDescent="0.25">
      <c r="A71" t="s">
        <v>76</v>
      </c>
      <c r="D71" t="str">
        <f t="shared" si="2"/>
        <v>Sim</v>
      </c>
    </row>
    <row r="72" spans="1:4" x14ac:dyDescent="0.25">
      <c r="A72" t="s">
        <v>76</v>
      </c>
      <c r="D72" t="str">
        <f t="shared" si="2"/>
        <v>Sim</v>
      </c>
    </row>
    <row r="73" spans="1:4" x14ac:dyDescent="0.25">
      <c r="A73" t="s">
        <v>76</v>
      </c>
      <c r="D73" t="str">
        <f t="shared" si="2"/>
        <v>Sim</v>
      </c>
    </row>
    <row r="74" spans="1:4" x14ac:dyDescent="0.25">
      <c r="A74" t="s">
        <v>76</v>
      </c>
      <c r="D74" t="str">
        <f t="shared" si="2"/>
        <v>Sim</v>
      </c>
    </row>
    <row r="75" spans="1:4" x14ac:dyDescent="0.25">
      <c r="A75" t="s">
        <v>76</v>
      </c>
      <c r="D75" t="str">
        <f t="shared" si="2"/>
        <v>Sim</v>
      </c>
    </row>
    <row r="76" spans="1:4" x14ac:dyDescent="0.25">
      <c r="A76" t="s">
        <v>76</v>
      </c>
      <c r="D76" t="str">
        <f t="shared" si="2"/>
        <v>Sim</v>
      </c>
    </row>
    <row r="77" spans="1:4" x14ac:dyDescent="0.25">
      <c r="A77" t="s">
        <v>76</v>
      </c>
      <c r="D77" t="str">
        <f t="shared" si="2"/>
        <v>Sim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C07E-607B-470F-8C19-CD1EE31BB738}">
  <dimension ref="A1:G100"/>
  <sheetViews>
    <sheetView topLeftCell="A41" workbookViewId="0">
      <selection activeCell="A62" sqref="A6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157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C3" t="s">
        <v>158</v>
      </c>
      <c r="D3" t="str">
        <f>IF(B3=C3, "Sim", "Não")</f>
        <v>Não</v>
      </c>
      <c r="F3" s="4" t="s">
        <v>12</v>
      </c>
      <c r="G3" s="3">
        <f>COUNTIF(D3:D105,"Não")</f>
        <v>60</v>
      </c>
    </row>
    <row r="4" spans="1:7" x14ac:dyDescent="0.25">
      <c r="A4" t="s">
        <v>1</v>
      </c>
      <c r="C4" t="s">
        <v>158</v>
      </c>
      <c r="D4" t="str">
        <f t="shared" ref="D4:D67" si="0">IF(B4=C4, "Sim", "Não")</f>
        <v>Não</v>
      </c>
      <c r="F4" s="4" t="s">
        <v>13</v>
      </c>
      <c r="G4" s="3">
        <f>SUM(G7:G25)</f>
        <v>75</v>
      </c>
    </row>
    <row r="5" spans="1:7" x14ac:dyDescent="0.25">
      <c r="A5" t="s">
        <v>1</v>
      </c>
      <c r="C5" t="s">
        <v>158</v>
      </c>
      <c r="D5" t="str">
        <f t="shared" si="0"/>
        <v>Não</v>
      </c>
    </row>
    <row r="6" spans="1:7" x14ac:dyDescent="0.25">
      <c r="A6" t="s">
        <v>1</v>
      </c>
      <c r="C6" t="s">
        <v>158</v>
      </c>
      <c r="D6" t="str">
        <f t="shared" si="0"/>
        <v>Não</v>
      </c>
      <c r="F6" s="6" t="s">
        <v>4</v>
      </c>
      <c r="G6" s="1"/>
    </row>
    <row r="7" spans="1:7" x14ac:dyDescent="0.25">
      <c r="A7" t="s">
        <v>1</v>
      </c>
      <c r="C7" t="s">
        <v>158</v>
      </c>
      <c r="D7" t="str">
        <f t="shared" si="0"/>
        <v>Não</v>
      </c>
      <c r="F7" s="7" t="s">
        <v>1</v>
      </c>
      <c r="G7" s="2">
        <f>COUNTIF(A:A,F7)</f>
        <v>23</v>
      </c>
    </row>
    <row r="8" spans="1:7" x14ac:dyDescent="0.25">
      <c r="A8" t="s">
        <v>1</v>
      </c>
      <c r="C8" t="s">
        <v>158</v>
      </c>
      <c r="D8" t="str">
        <f t="shared" si="0"/>
        <v>Não</v>
      </c>
      <c r="F8" s="7" t="s">
        <v>156</v>
      </c>
      <c r="G8" s="2">
        <f t="shared" ref="G8:G14" si="1">COUNTIF(A:A,F8)</f>
        <v>20</v>
      </c>
    </row>
    <row r="9" spans="1:7" x14ac:dyDescent="0.25">
      <c r="A9" t="s">
        <v>1</v>
      </c>
      <c r="C9" t="s">
        <v>158</v>
      </c>
      <c r="D9" t="str">
        <f t="shared" si="0"/>
        <v>Não</v>
      </c>
      <c r="F9" s="7" t="s">
        <v>6</v>
      </c>
      <c r="G9" s="2">
        <f t="shared" si="1"/>
        <v>10</v>
      </c>
    </row>
    <row r="10" spans="1:7" x14ac:dyDescent="0.25">
      <c r="A10" t="s">
        <v>1</v>
      </c>
      <c r="C10" t="s">
        <v>158</v>
      </c>
      <c r="D10" t="str">
        <f t="shared" si="0"/>
        <v>Não</v>
      </c>
      <c r="F10" s="7" t="s">
        <v>155</v>
      </c>
      <c r="G10" s="2">
        <f t="shared" si="1"/>
        <v>3</v>
      </c>
    </row>
    <row r="11" spans="1:7" x14ac:dyDescent="0.25">
      <c r="A11" t="s">
        <v>1</v>
      </c>
      <c r="C11" t="s">
        <v>158</v>
      </c>
      <c r="D11" t="str">
        <f t="shared" si="0"/>
        <v>Não</v>
      </c>
      <c r="F11" s="7" t="s">
        <v>76</v>
      </c>
      <c r="G11" s="2">
        <f t="shared" si="1"/>
        <v>15</v>
      </c>
    </row>
    <row r="12" spans="1:7" x14ac:dyDescent="0.25">
      <c r="A12" t="s">
        <v>1</v>
      </c>
      <c r="C12" t="s">
        <v>158</v>
      </c>
      <c r="D12" t="str">
        <f t="shared" si="0"/>
        <v>Não</v>
      </c>
      <c r="F12" s="7" t="s">
        <v>5</v>
      </c>
      <c r="G12" s="2">
        <f t="shared" si="1"/>
        <v>4</v>
      </c>
    </row>
    <row r="13" spans="1:7" x14ac:dyDescent="0.25">
      <c r="A13" t="s">
        <v>1</v>
      </c>
      <c r="C13" t="s">
        <v>158</v>
      </c>
      <c r="D13" t="str">
        <f t="shared" si="0"/>
        <v>Não</v>
      </c>
      <c r="F13" s="7"/>
      <c r="G13" s="2">
        <f t="shared" si="1"/>
        <v>0</v>
      </c>
    </row>
    <row r="14" spans="1:7" x14ac:dyDescent="0.25">
      <c r="A14" t="s">
        <v>1</v>
      </c>
      <c r="C14" t="s">
        <v>158</v>
      </c>
      <c r="D14" t="str">
        <f t="shared" si="0"/>
        <v>Não</v>
      </c>
      <c r="F14" s="7"/>
      <c r="G14" s="2">
        <f t="shared" si="1"/>
        <v>0</v>
      </c>
    </row>
    <row r="15" spans="1:7" x14ac:dyDescent="0.25">
      <c r="A15" t="s">
        <v>1</v>
      </c>
      <c r="C15" t="s">
        <v>158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158</v>
      </c>
      <c r="D16" t="str">
        <f t="shared" si="0"/>
        <v>Não</v>
      </c>
      <c r="F16" s="4"/>
      <c r="G16" s="2"/>
    </row>
    <row r="17" spans="1:7" x14ac:dyDescent="0.25">
      <c r="A17" t="s">
        <v>1</v>
      </c>
      <c r="C17" t="s">
        <v>158</v>
      </c>
      <c r="D17" t="str">
        <f t="shared" si="0"/>
        <v>Não</v>
      </c>
      <c r="G17" s="2"/>
    </row>
    <row r="18" spans="1:7" x14ac:dyDescent="0.25">
      <c r="A18" t="s">
        <v>1</v>
      </c>
      <c r="C18" t="s">
        <v>158</v>
      </c>
      <c r="D18" t="str">
        <f t="shared" si="0"/>
        <v>Não</v>
      </c>
      <c r="G18" s="2"/>
    </row>
    <row r="19" spans="1:7" x14ac:dyDescent="0.25">
      <c r="A19" t="s">
        <v>1</v>
      </c>
      <c r="C19" t="s">
        <v>158</v>
      </c>
      <c r="D19" t="str">
        <f t="shared" si="0"/>
        <v>Não</v>
      </c>
    </row>
    <row r="20" spans="1:7" x14ac:dyDescent="0.25">
      <c r="A20" t="s">
        <v>1</v>
      </c>
      <c r="C20" t="s">
        <v>158</v>
      </c>
      <c r="D20" t="str">
        <f t="shared" si="0"/>
        <v>Não</v>
      </c>
    </row>
    <row r="21" spans="1:7" x14ac:dyDescent="0.25">
      <c r="A21" t="s">
        <v>1</v>
      </c>
      <c r="C21" t="s">
        <v>158</v>
      </c>
      <c r="D21" t="str">
        <f t="shared" si="0"/>
        <v>Não</v>
      </c>
    </row>
    <row r="22" spans="1:7" x14ac:dyDescent="0.25">
      <c r="A22" t="s">
        <v>1</v>
      </c>
      <c r="C22" t="s">
        <v>158</v>
      </c>
      <c r="D22" t="str">
        <f t="shared" si="0"/>
        <v>Não</v>
      </c>
    </row>
    <row r="23" spans="1:7" x14ac:dyDescent="0.25">
      <c r="A23" t="s">
        <v>1</v>
      </c>
      <c r="C23" t="s">
        <v>158</v>
      </c>
      <c r="D23" t="str">
        <f t="shared" si="0"/>
        <v>Não</v>
      </c>
    </row>
    <row r="24" spans="1:7" x14ac:dyDescent="0.25">
      <c r="A24" t="s">
        <v>1</v>
      </c>
      <c r="C24" t="s">
        <v>158</v>
      </c>
      <c r="D24" t="str">
        <f t="shared" si="0"/>
        <v>Não</v>
      </c>
    </row>
    <row r="25" spans="1:7" x14ac:dyDescent="0.25">
      <c r="A25" t="s">
        <v>1</v>
      </c>
      <c r="C25" t="s">
        <v>158</v>
      </c>
      <c r="D25" t="str">
        <f t="shared" si="0"/>
        <v>Não</v>
      </c>
    </row>
    <row r="26" spans="1:7" x14ac:dyDescent="0.25">
      <c r="A26" t="s">
        <v>156</v>
      </c>
      <c r="C26" t="s">
        <v>166</v>
      </c>
      <c r="D26" t="str">
        <f t="shared" si="0"/>
        <v>Não</v>
      </c>
    </row>
    <row r="27" spans="1:7" x14ac:dyDescent="0.25">
      <c r="A27" t="s">
        <v>156</v>
      </c>
      <c r="C27" t="s">
        <v>166</v>
      </c>
      <c r="D27" t="str">
        <f t="shared" si="0"/>
        <v>Não</v>
      </c>
    </row>
    <row r="28" spans="1:7" x14ac:dyDescent="0.25">
      <c r="A28" t="s">
        <v>156</v>
      </c>
      <c r="C28" t="s">
        <v>166</v>
      </c>
      <c r="D28" t="str">
        <f t="shared" si="0"/>
        <v>Não</v>
      </c>
    </row>
    <row r="29" spans="1:7" x14ac:dyDescent="0.25">
      <c r="A29" t="s">
        <v>156</v>
      </c>
      <c r="C29" t="s">
        <v>166</v>
      </c>
      <c r="D29" t="str">
        <f t="shared" si="0"/>
        <v>Não</v>
      </c>
    </row>
    <row r="30" spans="1:7" x14ac:dyDescent="0.25">
      <c r="A30" t="s">
        <v>156</v>
      </c>
      <c r="C30" t="s">
        <v>162</v>
      </c>
      <c r="D30" t="str">
        <f t="shared" si="0"/>
        <v>Não</v>
      </c>
    </row>
    <row r="31" spans="1:7" x14ac:dyDescent="0.25">
      <c r="A31" t="s">
        <v>156</v>
      </c>
      <c r="C31" t="s">
        <v>162</v>
      </c>
      <c r="D31" t="str">
        <f t="shared" si="0"/>
        <v>Não</v>
      </c>
    </row>
    <row r="32" spans="1:7" x14ac:dyDescent="0.25">
      <c r="A32" t="s">
        <v>156</v>
      </c>
      <c r="C32" t="s">
        <v>162</v>
      </c>
      <c r="D32" t="str">
        <f t="shared" si="0"/>
        <v>Não</v>
      </c>
    </row>
    <row r="33" spans="1:4" x14ac:dyDescent="0.25">
      <c r="A33" t="s">
        <v>156</v>
      </c>
      <c r="C33" t="s">
        <v>162</v>
      </c>
      <c r="D33" t="str">
        <f t="shared" si="0"/>
        <v>Não</v>
      </c>
    </row>
    <row r="34" spans="1:4" x14ac:dyDescent="0.25">
      <c r="A34" t="s">
        <v>156</v>
      </c>
      <c r="C34" t="s">
        <v>163</v>
      </c>
      <c r="D34" t="str">
        <f t="shared" si="0"/>
        <v>Não</v>
      </c>
    </row>
    <row r="35" spans="1:4" x14ac:dyDescent="0.25">
      <c r="A35" t="s">
        <v>156</v>
      </c>
      <c r="C35" t="s">
        <v>163</v>
      </c>
      <c r="D35" t="str">
        <f t="shared" si="0"/>
        <v>Não</v>
      </c>
    </row>
    <row r="36" spans="1:4" x14ac:dyDescent="0.25">
      <c r="A36" t="s">
        <v>156</v>
      </c>
      <c r="C36" t="s">
        <v>163</v>
      </c>
      <c r="D36" t="str">
        <f t="shared" si="0"/>
        <v>Não</v>
      </c>
    </row>
    <row r="37" spans="1:4" x14ac:dyDescent="0.25">
      <c r="A37" t="s">
        <v>156</v>
      </c>
      <c r="C37" t="s">
        <v>163</v>
      </c>
      <c r="D37" t="str">
        <f t="shared" si="0"/>
        <v>Não</v>
      </c>
    </row>
    <row r="38" spans="1:4" x14ac:dyDescent="0.25">
      <c r="A38" t="s">
        <v>156</v>
      </c>
      <c r="C38" t="s">
        <v>161</v>
      </c>
      <c r="D38" t="str">
        <f t="shared" si="0"/>
        <v>Não</v>
      </c>
    </row>
    <row r="39" spans="1:4" x14ac:dyDescent="0.25">
      <c r="A39" t="s">
        <v>156</v>
      </c>
      <c r="C39" t="s">
        <v>161</v>
      </c>
      <c r="D39" t="str">
        <f t="shared" si="0"/>
        <v>Não</v>
      </c>
    </row>
    <row r="40" spans="1:4" x14ac:dyDescent="0.25">
      <c r="A40" t="s">
        <v>156</v>
      </c>
      <c r="C40" t="s">
        <v>161</v>
      </c>
      <c r="D40" t="str">
        <f t="shared" si="0"/>
        <v>Não</v>
      </c>
    </row>
    <row r="41" spans="1:4" x14ac:dyDescent="0.25">
      <c r="A41" t="s">
        <v>156</v>
      </c>
      <c r="C41" t="s">
        <v>161</v>
      </c>
      <c r="D41" t="str">
        <f t="shared" si="0"/>
        <v>Não</v>
      </c>
    </row>
    <row r="42" spans="1:4" x14ac:dyDescent="0.25">
      <c r="A42" t="s">
        <v>156</v>
      </c>
      <c r="C42" t="s">
        <v>164</v>
      </c>
      <c r="D42" t="str">
        <f t="shared" si="0"/>
        <v>Não</v>
      </c>
    </row>
    <row r="43" spans="1:4" x14ac:dyDescent="0.25">
      <c r="A43" t="s">
        <v>156</v>
      </c>
      <c r="C43" t="s">
        <v>164</v>
      </c>
      <c r="D43" t="str">
        <f t="shared" si="0"/>
        <v>Não</v>
      </c>
    </row>
    <row r="44" spans="1:4" x14ac:dyDescent="0.25">
      <c r="A44" t="s">
        <v>156</v>
      </c>
      <c r="C44" t="s">
        <v>164</v>
      </c>
      <c r="D44" t="str">
        <f t="shared" si="0"/>
        <v>Não</v>
      </c>
    </row>
    <row r="45" spans="1:4" x14ac:dyDescent="0.25">
      <c r="A45" t="s">
        <v>156</v>
      </c>
      <c r="C45" t="s">
        <v>164</v>
      </c>
      <c r="D45" t="str">
        <f t="shared" si="0"/>
        <v>Não</v>
      </c>
    </row>
    <row r="46" spans="1:4" x14ac:dyDescent="0.25">
      <c r="A46" t="s">
        <v>155</v>
      </c>
      <c r="C46" t="s">
        <v>165</v>
      </c>
      <c r="D46" t="str">
        <f t="shared" si="0"/>
        <v>Não</v>
      </c>
    </row>
    <row r="47" spans="1:4" x14ac:dyDescent="0.25">
      <c r="A47" t="s">
        <v>155</v>
      </c>
      <c r="C47" t="s">
        <v>165</v>
      </c>
      <c r="D47" t="str">
        <f t="shared" si="0"/>
        <v>Não</v>
      </c>
    </row>
    <row r="48" spans="1:4" x14ac:dyDescent="0.25">
      <c r="A48" t="s">
        <v>155</v>
      </c>
      <c r="C48" t="s">
        <v>165</v>
      </c>
      <c r="D48" t="str">
        <f t="shared" si="0"/>
        <v>Não</v>
      </c>
    </row>
    <row r="49" spans="1:4" x14ac:dyDescent="0.25">
      <c r="A49" t="s">
        <v>5</v>
      </c>
      <c r="C49" t="s">
        <v>148</v>
      </c>
      <c r="D49" t="str">
        <f t="shared" si="0"/>
        <v>Não</v>
      </c>
    </row>
    <row r="50" spans="1:4" x14ac:dyDescent="0.25">
      <c r="A50" t="s">
        <v>5</v>
      </c>
      <c r="C50" t="s">
        <v>148</v>
      </c>
      <c r="D50" t="str">
        <f t="shared" si="0"/>
        <v>Não</v>
      </c>
    </row>
    <row r="51" spans="1:4" x14ac:dyDescent="0.25">
      <c r="A51" t="s">
        <v>5</v>
      </c>
      <c r="C51" t="s">
        <v>148</v>
      </c>
      <c r="D51" t="str">
        <f t="shared" si="0"/>
        <v>Não</v>
      </c>
    </row>
    <row r="52" spans="1:4" x14ac:dyDescent="0.25">
      <c r="A52" t="s">
        <v>5</v>
      </c>
      <c r="C52" t="s">
        <v>148</v>
      </c>
      <c r="D52" t="str">
        <f t="shared" si="0"/>
        <v>Não</v>
      </c>
    </row>
    <row r="53" spans="1:4" x14ac:dyDescent="0.25">
      <c r="A53" t="s">
        <v>6</v>
      </c>
      <c r="C53" t="s">
        <v>159</v>
      </c>
      <c r="D53" t="str">
        <f t="shared" si="0"/>
        <v>Não</v>
      </c>
    </row>
    <row r="54" spans="1:4" x14ac:dyDescent="0.25">
      <c r="A54" t="s">
        <v>6</v>
      </c>
      <c r="C54" t="s">
        <v>159</v>
      </c>
      <c r="D54" t="str">
        <f t="shared" si="0"/>
        <v>Não</v>
      </c>
    </row>
    <row r="55" spans="1:4" x14ac:dyDescent="0.25">
      <c r="A55" t="s">
        <v>6</v>
      </c>
      <c r="C55" t="s">
        <v>159</v>
      </c>
      <c r="D55" t="str">
        <f t="shared" si="0"/>
        <v>Não</v>
      </c>
    </row>
    <row r="56" spans="1:4" x14ac:dyDescent="0.25">
      <c r="A56" t="s">
        <v>6</v>
      </c>
      <c r="C56" t="s">
        <v>159</v>
      </c>
      <c r="D56" t="str">
        <f t="shared" si="0"/>
        <v>Não</v>
      </c>
    </row>
    <row r="57" spans="1:4" x14ac:dyDescent="0.25">
      <c r="A57" t="s">
        <v>6</v>
      </c>
      <c r="C57" t="s">
        <v>160</v>
      </c>
      <c r="D57" t="str">
        <f t="shared" si="0"/>
        <v>Não</v>
      </c>
    </row>
    <row r="58" spans="1:4" x14ac:dyDescent="0.25">
      <c r="A58" t="s">
        <v>6</v>
      </c>
      <c r="C58" t="s">
        <v>160</v>
      </c>
      <c r="D58" t="str">
        <f t="shared" si="0"/>
        <v>Não</v>
      </c>
    </row>
    <row r="59" spans="1:4" x14ac:dyDescent="0.25">
      <c r="A59" t="s">
        <v>6</v>
      </c>
      <c r="C59" t="s">
        <v>160</v>
      </c>
      <c r="D59" t="str">
        <f t="shared" si="0"/>
        <v>Não</v>
      </c>
    </row>
    <row r="60" spans="1:4" x14ac:dyDescent="0.25">
      <c r="A60" t="s">
        <v>6</v>
      </c>
      <c r="C60" t="s">
        <v>160</v>
      </c>
      <c r="D60" t="str">
        <f t="shared" si="0"/>
        <v>Não</v>
      </c>
    </row>
    <row r="61" spans="1:4" x14ac:dyDescent="0.25">
      <c r="A61" t="s">
        <v>6</v>
      </c>
      <c r="C61" t="s">
        <v>118</v>
      </c>
      <c r="D61" t="str">
        <f t="shared" si="0"/>
        <v>Não</v>
      </c>
    </row>
    <row r="62" spans="1:4" x14ac:dyDescent="0.25">
      <c r="A62" t="s">
        <v>6</v>
      </c>
      <c r="C62" t="s">
        <v>118</v>
      </c>
      <c r="D62" t="str">
        <f t="shared" si="0"/>
        <v>Não</v>
      </c>
    </row>
    <row r="63" spans="1:4" x14ac:dyDescent="0.25">
      <c r="A63" t="s">
        <v>76</v>
      </c>
      <c r="D63" t="str">
        <f t="shared" si="0"/>
        <v>Sim</v>
      </c>
    </row>
    <row r="64" spans="1:4" x14ac:dyDescent="0.25">
      <c r="A64" t="s">
        <v>76</v>
      </c>
      <c r="D64" t="str">
        <f t="shared" si="0"/>
        <v>Sim</v>
      </c>
    </row>
    <row r="65" spans="1:4" x14ac:dyDescent="0.25">
      <c r="A65" t="s">
        <v>76</v>
      </c>
      <c r="D65" t="str">
        <f t="shared" si="0"/>
        <v>Sim</v>
      </c>
    </row>
    <row r="66" spans="1:4" x14ac:dyDescent="0.25">
      <c r="A66" t="s">
        <v>76</v>
      </c>
      <c r="D66" t="str">
        <f t="shared" si="0"/>
        <v>Sim</v>
      </c>
    </row>
    <row r="67" spans="1:4" x14ac:dyDescent="0.25">
      <c r="A67" t="s">
        <v>76</v>
      </c>
      <c r="D67" t="str">
        <f t="shared" si="0"/>
        <v>Sim</v>
      </c>
    </row>
    <row r="68" spans="1:4" x14ac:dyDescent="0.25">
      <c r="A68" t="s">
        <v>76</v>
      </c>
      <c r="D68" t="str">
        <f t="shared" ref="D68:D77" si="2">IF(B68=C68, "Sim", "Não")</f>
        <v>Sim</v>
      </c>
    </row>
    <row r="69" spans="1:4" x14ac:dyDescent="0.25">
      <c r="A69" t="s">
        <v>76</v>
      </c>
      <c r="D69" t="str">
        <f t="shared" si="2"/>
        <v>Sim</v>
      </c>
    </row>
    <row r="70" spans="1:4" x14ac:dyDescent="0.25">
      <c r="A70" t="s">
        <v>76</v>
      </c>
      <c r="D70" t="str">
        <f t="shared" si="2"/>
        <v>Sim</v>
      </c>
    </row>
    <row r="71" spans="1:4" x14ac:dyDescent="0.25">
      <c r="A71" t="s">
        <v>76</v>
      </c>
      <c r="D71" t="str">
        <f t="shared" si="2"/>
        <v>Sim</v>
      </c>
    </row>
    <row r="72" spans="1:4" x14ac:dyDescent="0.25">
      <c r="A72" t="s">
        <v>76</v>
      </c>
      <c r="D72" t="str">
        <f t="shared" si="2"/>
        <v>Sim</v>
      </c>
    </row>
    <row r="73" spans="1:4" x14ac:dyDescent="0.25">
      <c r="A73" t="s">
        <v>76</v>
      </c>
      <c r="D73" t="str">
        <f t="shared" si="2"/>
        <v>Sim</v>
      </c>
    </row>
    <row r="74" spans="1:4" x14ac:dyDescent="0.25">
      <c r="A74" t="s">
        <v>76</v>
      </c>
      <c r="D74" t="str">
        <f t="shared" si="2"/>
        <v>Sim</v>
      </c>
    </row>
    <row r="75" spans="1:4" x14ac:dyDescent="0.25">
      <c r="A75" t="s">
        <v>76</v>
      </c>
      <c r="D75" t="str">
        <f t="shared" si="2"/>
        <v>Sim</v>
      </c>
    </row>
    <row r="76" spans="1:4" x14ac:dyDescent="0.25">
      <c r="A76" t="s">
        <v>76</v>
      </c>
      <c r="D76" t="str">
        <f t="shared" si="2"/>
        <v>Sim</v>
      </c>
    </row>
    <row r="77" spans="1:4" x14ac:dyDescent="0.25">
      <c r="A77" t="s">
        <v>76</v>
      </c>
      <c r="D77" t="str">
        <f t="shared" si="2"/>
        <v>Sim</v>
      </c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1067-ECAE-4AB6-AC5F-8BDA4F7B3AC3}">
  <dimension ref="A1:G98"/>
  <sheetViews>
    <sheetView workbookViewId="0">
      <selection activeCell="C22" sqref="C2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182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/>
      <c r="C3" t="s">
        <v>183</v>
      </c>
      <c r="D3" t="str">
        <f t="shared" ref="D3:D29" si="0">IF(B3=C3, "Sim", "Não")</f>
        <v>Não</v>
      </c>
      <c r="F3" s="4" t="s">
        <v>12</v>
      </c>
      <c r="G3" s="3">
        <f>COUNTIF(D3:D103,"Não")</f>
        <v>3</v>
      </c>
    </row>
    <row r="4" spans="1:7" x14ac:dyDescent="0.25">
      <c r="A4"/>
      <c r="C4" t="s">
        <v>191</v>
      </c>
      <c r="D4" t="str">
        <f t="shared" si="0"/>
        <v>Não</v>
      </c>
      <c r="F4" s="4" t="s">
        <v>13</v>
      </c>
      <c r="G4" s="3">
        <f>SUM(G7:G24)</f>
        <v>15</v>
      </c>
    </row>
    <row r="5" spans="1:7" x14ac:dyDescent="0.25">
      <c r="A5"/>
      <c r="C5" t="s">
        <v>192</v>
      </c>
      <c r="D5" t="str">
        <f t="shared" si="0"/>
        <v>Não</v>
      </c>
    </row>
    <row r="6" spans="1:7" x14ac:dyDescent="0.25">
      <c r="A6"/>
      <c r="D6" t="str">
        <f t="shared" si="0"/>
        <v>Sim</v>
      </c>
      <c r="F6" s="6" t="s">
        <v>4</v>
      </c>
      <c r="G6" s="1"/>
    </row>
    <row r="7" spans="1:7" x14ac:dyDescent="0.25">
      <c r="A7"/>
      <c r="D7" t="str">
        <f t="shared" si="0"/>
        <v>Sim</v>
      </c>
      <c r="F7" s="7" t="s">
        <v>1</v>
      </c>
      <c r="G7" s="2">
        <f t="shared" ref="G7:G12" si="1">COUNTIF(A:A,F7)</f>
        <v>0</v>
      </c>
    </row>
    <row r="8" spans="1:7" x14ac:dyDescent="0.25">
      <c r="A8"/>
      <c r="D8" t="str">
        <f t="shared" si="0"/>
        <v>Sim</v>
      </c>
      <c r="F8" s="7" t="s">
        <v>169</v>
      </c>
      <c r="G8" s="2">
        <f t="shared" si="1"/>
        <v>0</v>
      </c>
    </row>
    <row r="9" spans="1:7" x14ac:dyDescent="0.25">
      <c r="A9"/>
      <c r="D9" t="str">
        <f t="shared" si="0"/>
        <v>Sim</v>
      </c>
      <c r="F9" s="7" t="s">
        <v>6</v>
      </c>
      <c r="G9" s="2">
        <f t="shared" si="1"/>
        <v>0</v>
      </c>
    </row>
    <row r="10" spans="1:7" x14ac:dyDescent="0.25">
      <c r="A10"/>
      <c r="D10" t="str">
        <f t="shared" si="0"/>
        <v>Sim</v>
      </c>
      <c r="F10" s="7" t="s">
        <v>5</v>
      </c>
      <c r="G10" s="2">
        <f t="shared" si="1"/>
        <v>0</v>
      </c>
    </row>
    <row r="11" spans="1:7" x14ac:dyDescent="0.25">
      <c r="A11"/>
      <c r="D11" t="str">
        <f t="shared" si="0"/>
        <v>Sim</v>
      </c>
      <c r="F11" s="7" t="s">
        <v>155</v>
      </c>
      <c r="G11" s="2">
        <f t="shared" si="1"/>
        <v>0</v>
      </c>
    </row>
    <row r="12" spans="1:7" x14ac:dyDescent="0.25">
      <c r="A12"/>
      <c r="D12" t="str">
        <f t="shared" si="0"/>
        <v>Sim</v>
      </c>
      <c r="F12" s="7" t="s">
        <v>76</v>
      </c>
      <c r="G12" s="2">
        <f t="shared" si="1"/>
        <v>15</v>
      </c>
    </row>
    <row r="13" spans="1:7" x14ac:dyDescent="0.25">
      <c r="A13"/>
      <c r="D13" t="str">
        <f t="shared" si="0"/>
        <v>Sim</v>
      </c>
      <c r="F13" s="7"/>
      <c r="G13" s="2"/>
    </row>
    <row r="14" spans="1:7" x14ac:dyDescent="0.25">
      <c r="A14"/>
      <c r="D14" t="str">
        <f t="shared" si="0"/>
        <v>Sim</v>
      </c>
      <c r="F14" s="7"/>
      <c r="G14" s="2"/>
    </row>
    <row r="15" spans="1:7" x14ac:dyDescent="0.25">
      <c r="A15"/>
      <c r="D15" t="str">
        <f t="shared" si="0"/>
        <v>Sim</v>
      </c>
      <c r="F15" s="4"/>
      <c r="G15" s="2"/>
    </row>
    <row r="16" spans="1:7" x14ac:dyDescent="0.25">
      <c r="A16"/>
      <c r="D16" t="str">
        <f t="shared" si="0"/>
        <v>Sim</v>
      </c>
      <c r="F16" s="4"/>
      <c r="G16" s="2"/>
    </row>
    <row r="17" spans="1:7" x14ac:dyDescent="0.25">
      <c r="A17"/>
      <c r="D17" t="str">
        <f t="shared" si="0"/>
        <v>Sim</v>
      </c>
      <c r="G17" s="2"/>
    </row>
    <row r="18" spans="1:7" x14ac:dyDescent="0.25">
      <c r="A18"/>
      <c r="D18" t="str">
        <f t="shared" si="0"/>
        <v>Sim</v>
      </c>
      <c r="G18" s="2"/>
    </row>
    <row r="19" spans="1:7" x14ac:dyDescent="0.25">
      <c r="A19"/>
      <c r="D19" t="str">
        <f t="shared" si="0"/>
        <v>Sim</v>
      </c>
      <c r="G19" s="2"/>
    </row>
    <row r="20" spans="1:7" x14ac:dyDescent="0.25">
      <c r="A20"/>
      <c r="D20" t="str">
        <f t="shared" si="0"/>
        <v>Sim</v>
      </c>
      <c r="G20" s="2"/>
    </row>
    <row r="21" spans="1:7" x14ac:dyDescent="0.25">
      <c r="A21"/>
      <c r="D21" t="str">
        <f t="shared" si="0"/>
        <v>Sim</v>
      </c>
    </row>
    <row r="22" spans="1:7" x14ac:dyDescent="0.25">
      <c r="A22"/>
      <c r="D22" t="str">
        <f t="shared" si="0"/>
        <v>Sim</v>
      </c>
    </row>
    <row r="23" spans="1:7" x14ac:dyDescent="0.25">
      <c r="A23"/>
      <c r="D23" t="str">
        <f t="shared" si="0"/>
        <v>Sim</v>
      </c>
    </row>
    <row r="24" spans="1:7" x14ac:dyDescent="0.25">
      <c r="A24"/>
      <c r="D24" t="str">
        <f t="shared" si="0"/>
        <v>Sim</v>
      </c>
    </row>
    <row r="25" spans="1:7" x14ac:dyDescent="0.25">
      <c r="A25"/>
      <c r="D25" t="str">
        <f t="shared" si="0"/>
        <v>Sim</v>
      </c>
    </row>
    <row r="26" spans="1:7" x14ac:dyDescent="0.25">
      <c r="A26"/>
      <c r="D26" t="str">
        <f t="shared" si="0"/>
        <v>Sim</v>
      </c>
    </row>
    <row r="27" spans="1:7" x14ac:dyDescent="0.25">
      <c r="A27"/>
      <c r="D27" t="str">
        <f t="shared" si="0"/>
        <v>Sim</v>
      </c>
    </row>
    <row r="28" spans="1:7" x14ac:dyDescent="0.25">
      <c r="A28"/>
      <c r="D28" t="str">
        <f t="shared" si="0"/>
        <v>Sim</v>
      </c>
    </row>
    <row r="29" spans="1:7" x14ac:dyDescent="0.25">
      <c r="A29"/>
      <c r="D29" t="str">
        <f t="shared" si="0"/>
        <v>Sim</v>
      </c>
    </row>
    <row r="30" spans="1:7" x14ac:dyDescent="0.25">
      <c r="A30"/>
      <c r="D30" t="str">
        <f t="shared" ref="D30:D31" si="2">IF(B30=C30, "Sim", "Não")</f>
        <v>Sim</v>
      </c>
    </row>
    <row r="31" spans="1:7" x14ac:dyDescent="0.25">
      <c r="A31"/>
      <c r="D31" t="str">
        <f t="shared" si="2"/>
        <v>Sim</v>
      </c>
    </row>
    <row r="32" spans="1:7" x14ac:dyDescent="0.25">
      <c r="A32"/>
      <c r="D32" t="str">
        <f t="shared" ref="D32:D77" si="3">IF(B32=C32, "Sim", "Não")</f>
        <v>Sim</v>
      </c>
    </row>
    <row r="33" spans="1:4" x14ac:dyDescent="0.25">
      <c r="A33"/>
      <c r="D33" t="str">
        <f t="shared" si="3"/>
        <v>Sim</v>
      </c>
    </row>
    <row r="34" spans="1:4" x14ac:dyDescent="0.25">
      <c r="A34"/>
      <c r="D34" t="str">
        <f t="shared" si="3"/>
        <v>Sim</v>
      </c>
    </row>
    <row r="35" spans="1:4" x14ac:dyDescent="0.25">
      <c r="A35"/>
      <c r="D35" t="str">
        <f t="shared" si="3"/>
        <v>Sim</v>
      </c>
    </row>
    <row r="36" spans="1:4" x14ac:dyDescent="0.25">
      <c r="A36"/>
      <c r="D36" t="str">
        <f t="shared" si="3"/>
        <v>Sim</v>
      </c>
    </row>
    <row r="37" spans="1:4" x14ac:dyDescent="0.25">
      <c r="A37"/>
      <c r="D37" t="str">
        <f t="shared" si="3"/>
        <v>Sim</v>
      </c>
    </row>
    <row r="38" spans="1:4" x14ac:dyDescent="0.25">
      <c r="A38"/>
      <c r="D38" t="str">
        <f t="shared" si="3"/>
        <v>Sim</v>
      </c>
    </row>
    <row r="39" spans="1:4" x14ac:dyDescent="0.25">
      <c r="A39"/>
      <c r="D39" t="str">
        <f t="shared" si="3"/>
        <v>Sim</v>
      </c>
    </row>
    <row r="40" spans="1:4" x14ac:dyDescent="0.25">
      <c r="A40"/>
      <c r="D40" t="str">
        <f t="shared" si="3"/>
        <v>Sim</v>
      </c>
    </row>
    <row r="41" spans="1:4" x14ac:dyDescent="0.25">
      <c r="A41"/>
      <c r="D41" t="str">
        <f t="shared" si="3"/>
        <v>Sim</v>
      </c>
    </row>
    <row r="42" spans="1:4" x14ac:dyDescent="0.25">
      <c r="A42"/>
      <c r="D42" t="str">
        <f t="shared" si="3"/>
        <v>Sim</v>
      </c>
    </row>
    <row r="43" spans="1:4" x14ac:dyDescent="0.25">
      <c r="A43"/>
      <c r="D43" t="str">
        <f t="shared" si="3"/>
        <v>Sim</v>
      </c>
    </row>
    <row r="44" spans="1:4" x14ac:dyDescent="0.25">
      <c r="A44"/>
      <c r="D44" t="str">
        <f t="shared" si="3"/>
        <v>Sim</v>
      </c>
    </row>
    <row r="45" spans="1:4" x14ac:dyDescent="0.25">
      <c r="A45"/>
      <c r="D45" t="str">
        <f t="shared" si="3"/>
        <v>Sim</v>
      </c>
    </row>
    <row r="46" spans="1:4" x14ac:dyDescent="0.25">
      <c r="A46"/>
      <c r="D46" t="str">
        <f t="shared" si="3"/>
        <v>Sim</v>
      </c>
    </row>
    <row r="47" spans="1:4" x14ac:dyDescent="0.25">
      <c r="A47"/>
      <c r="D47" t="str">
        <f t="shared" si="3"/>
        <v>Sim</v>
      </c>
    </row>
    <row r="48" spans="1:4" x14ac:dyDescent="0.25">
      <c r="A48"/>
      <c r="D48" t="str">
        <f t="shared" si="3"/>
        <v>Sim</v>
      </c>
    </row>
    <row r="49" spans="1:4" x14ac:dyDescent="0.25">
      <c r="A49"/>
      <c r="D49" t="str">
        <f t="shared" si="3"/>
        <v>Sim</v>
      </c>
    </row>
    <row r="50" spans="1:4" x14ac:dyDescent="0.25">
      <c r="A50"/>
      <c r="D50" t="str">
        <f t="shared" si="3"/>
        <v>Sim</v>
      </c>
    </row>
    <row r="51" spans="1:4" x14ac:dyDescent="0.25">
      <c r="A51"/>
      <c r="D51" t="str">
        <f t="shared" si="3"/>
        <v>Sim</v>
      </c>
    </row>
    <row r="52" spans="1:4" x14ac:dyDescent="0.25">
      <c r="A52"/>
      <c r="D52" t="str">
        <f t="shared" si="3"/>
        <v>Sim</v>
      </c>
    </row>
    <row r="53" spans="1:4" x14ac:dyDescent="0.25">
      <c r="A53"/>
      <c r="D53" t="str">
        <f t="shared" si="3"/>
        <v>Sim</v>
      </c>
    </row>
    <row r="54" spans="1:4" x14ac:dyDescent="0.25">
      <c r="A54"/>
      <c r="D54" t="str">
        <f t="shared" si="3"/>
        <v>Sim</v>
      </c>
    </row>
    <row r="55" spans="1:4" x14ac:dyDescent="0.25">
      <c r="A55"/>
      <c r="D55" t="str">
        <f t="shared" si="3"/>
        <v>Sim</v>
      </c>
    </row>
    <row r="56" spans="1:4" x14ac:dyDescent="0.25">
      <c r="A56"/>
      <c r="D56" t="str">
        <f t="shared" si="3"/>
        <v>Sim</v>
      </c>
    </row>
    <row r="57" spans="1:4" x14ac:dyDescent="0.25">
      <c r="A57"/>
      <c r="D57" t="str">
        <f t="shared" si="3"/>
        <v>Sim</v>
      </c>
    </row>
    <row r="58" spans="1:4" x14ac:dyDescent="0.25">
      <c r="A58"/>
      <c r="D58" t="str">
        <f t="shared" si="3"/>
        <v>Sim</v>
      </c>
    </row>
    <row r="59" spans="1:4" x14ac:dyDescent="0.25">
      <c r="A59"/>
      <c r="D59" t="str">
        <f t="shared" si="3"/>
        <v>Sim</v>
      </c>
    </row>
    <row r="60" spans="1:4" x14ac:dyDescent="0.25">
      <c r="A60"/>
      <c r="D60" t="str">
        <f t="shared" si="3"/>
        <v>Sim</v>
      </c>
    </row>
    <row r="61" spans="1:4" x14ac:dyDescent="0.25">
      <c r="A61"/>
      <c r="D61" t="str">
        <f t="shared" si="3"/>
        <v>Sim</v>
      </c>
    </row>
    <row r="62" spans="1:4" x14ac:dyDescent="0.25">
      <c r="A62"/>
      <c r="D62" t="str">
        <f t="shared" si="3"/>
        <v>Sim</v>
      </c>
    </row>
    <row r="63" spans="1:4" x14ac:dyDescent="0.25">
      <c r="A63" t="s">
        <v>76</v>
      </c>
      <c r="D63" t="str">
        <f t="shared" si="3"/>
        <v>Sim</v>
      </c>
    </row>
    <row r="64" spans="1:4" x14ac:dyDescent="0.25">
      <c r="A64" t="s">
        <v>76</v>
      </c>
      <c r="D64" t="str">
        <f t="shared" si="3"/>
        <v>Sim</v>
      </c>
    </row>
    <row r="65" spans="1:6" x14ac:dyDescent="0.25">
      <c r="A65" t="s">
        <v>76</v>
      </c>
      <c r="D65" t="str">
        <f t="shared" si="3"/>
        <v>Sim</v>
      </c>
    </row>
    <row r="66" spans="1:6" x14ac:dyDescent="0.25">
      <c r="A66" t="s">
        <v>76</v>
      </c>
      <c r="D66" t="str">
        <f t="shared" si="3"/>
        <v>Sim</v>
      </c>
    </row>
    <row r="67" spans="1:6" x14ac:dyDescent="0.25">
      <c r="A67" t="s">
        <v>76</v>
      </c>
      <c r="D67" t="str">
        <f t="shared" si="3"/>
        <v>Sim</v>
      </c>
    </row>
    <row r="68" spans="1:6" x14ac:dyDescent="0.25">
      <c r="A68" t="s">
        <v>76</v>
      </c>
      <c r="D68" t="str">
        <f t="shared" si="3"/>
        <v>Sim</v>
      </c>
    </row>
    <row r="69" spans="1:6" x14ac:dyDescent="0.25">
      <c r="A69" t="s">
        <v>76</v>
      </c>
      <c r="D69" t="str">
        <f t="shared" si="3"/>
        <v>Sim</v>
      </c>
    </row>
    <row r="70" spans="1:6" x14ac:dyDescent="0.25">
      <c r="A70" t="s">
        <v>76</v>
      </c>
      <c r="D70" t="str">
        <f t="shared" si="3"/>
        <v>Sim</v>
      </c>
    </row>
    <row r="71" spans="1:6" x14ac:dyDescent="0.25">
      <c r="A71" t="s">
        <v>76</v>
      </c>
      <c r="D71" t="str">
        <f t="shared" si="3"/>
        <v>Sim</v>
      </c>
      <c r="F71"/>
    </row>
    <row r="72" spans="1:6" x14ac:dyDescent="0.25">
      <c r="A72" t="s">
        <v>76</v>
      </c>
      <c r="D72" t="str">
        <f t="shared" si="3"/>
        <v>Sim</v>
      </c>
    </row>
    <row r="73" spans="1:6" x14ac:dyDescent="0.25">
      <c r="A73" t="s">
        <v>76</v>
      </c>
      <c r="D73" t="str">
        <f t="shared" si="3"/>
        <v>Sim</v>
      </c>
    </row>
    <row r="74" spans="1:6" x14ac:dyDescent="0.25">
      <c r="A74" t="s">
        <v>76</v>
      </c>
      <c r="D74" t="str">
        <f t="shared" si="3"/>
        <v>Sim</v>
      </c>
    </row>
    <row r="75" spans="1:6" x14ac:dyDescent="0.25">
      <c r="A75" t="s">
        <v>76</v>
      </c>
      <c r="D75" t="str">
        <f t="shared" si="3"/>
        <v>Sim</v>
      </c>
    </row>
    <row r="76" spans="1:6" x14ac:dyDescent="0.25">
      <c r="A76" t="s">
        <v>76</v>
      </c>
      <c r="D76" t="str">
        <f t="shared" si="3"/>
        <v>Sim</v>
      </c>
    </row>
    <row r="77" spans="1:6" x14ac:dyDescent="0.25">
      <c r="A77" t="s">
        <v>76</v>
      </c>
      <c r="D77" t="str">
        <f t="shared" si="3"/>
        <v>Sim</v>
      </c>
    </row>
    <row r="78" spans="1:6" x14ac:dyDescent="0.25">
      <c r="A78"/>
    </row>
    <row r="79" spans="1:6" x14ac:dyDescent="0.25">
      <c r="A79"/>
    </row>
    <row r="80" spans="1:6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9377-7B06-47FA-8132-1C4D8921ED7B}">
  <dimension ref="A1:G98"/>
  <sheetViews>
    <sheetView workbookViewId="0">
      <selection sqref="A1:G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8" t="s">
        <v>184</v>
      </c>
      <c r="B1" s="18"/>
      <c r="C1" s="18"/>
      <c r="D1" s="18"/>
      <c r="E1" s="18"/>
      <c r="F1" s="18"/>
      <c r="G1" s="18"/>
    </row>
    <row r="2" spans="1:7" x14ac:dyDescent="0.25">
      <c r="A2" s="4" t="s">
        <v>0</v>
      </c>
      <c r="B2" s="4" t="s">
        <v>10</v>
      </c>
      <c r="C2" s="4" t="s">
        <v>11</v>
      </c>
      <c r="D2" s="4" t="s">
        <v>9</v>
      </c>
    </row>
    <row r="3" spans="1:7" x14ac:dyDescent="0.25">
      <c r="A3" t="s">
        <v>1</v>
      </c>
      <c r="D3" t="str">
        <f t="shared" ref="D3:D66" si="0">IF(B3=C3, "Sim", "Não")</f>
        <v>Sim</v>
      </c>
      <c r="F3" s="4" t="s">
        <v>12</v>
      </c>
      <c r="G3" s="3">
        <f>COUNTIF(D3:D103,"Não")</f>
        <v>12</v>
      </c>
    </row>
    <row r="4" spans="1:7" x14ac:dyDescent="0.25">
      <c r="A4" t="s">
        <v>1</v>
      </c>
      <c r="D4" t="str">
        <f t="shared" si="0"/>
        <v>Sim</v>
      </c>
      <c r="F4" s="4" t="s">
        <v>13</v>
      </c>
      <c r="G4" s="3">
        <f>SUM(G7:G24)</f>
        <v>75</v>
      </c>
    </row>
    <row r="5" spans="1:7" x14ac:dyDescent="0.25">
      <c r="A5" t="s">
        <v>1</v>
      </c>
      <c r="D5" t="str">
        <f t="shared" si="0"/>
        <v>Sim</v>
      </c>
    </row>
    <row r="6" spans="1:7" x14ac:dyDescent="0.25">
      <c r="A6" t="s">
        <v>1</v>
      </c>
      <c r="D6" t="str">
        <f t="shared" si="0"/>
        <v>Sim</v>
      </c>
      <c r="F6" s="6" t="s">
        <v>4</v>
      </c>
      <c r="G6" s="1"/>
    </row>
    <row r="7" spans="1:7" x14ac:dyDescent="0.25">
      <c r="A7" t="s">
        <v>1</v>
      </c>
      <c r="D7" t="str">
        <f t="shared" si="0"/>
        <v>Sim</v>
      </c>
      <c r="F7" s="7" t="s">
        <v>1</v>
      </c>
      <c r="G7" s="2">
        <f t="shared" ref="G7:G12" si="1">COUNTIF(A:A,F7)</f>
        <v>23</v>
      </c>
    </row>
    <row r="8" spans="1:7" x14ac:dyDescent="0.25">
      <c r="A8" t="s">
        <v>1</v>
      </c>
      <c r="D8" t="str">
        <f t="shared" si="0"/>
        <v>Sim</v>
      </c>
      <c r="F8" s="7" t="s">
        <v>132</v>
      </c>
      <c r="G8" s="2">
        <f t="shared" si="1"/>
        <v>12</v>
      </c>
    </row>
    <row r="9" spans="1:7" x14ac:dyDescent="0.25">
      <c r="A9" t="s">
        <v>1</v>
      </c>
      <c r="D9" t="str">
        <f t="shared" si="0"/>
        <v>Sim</v>
      </c>
      <c r="F9" s="7" t="s">
        <v>6</v>
      </c>
      <c r="G9" s="2">
        <f t="shared" si="1"/>
        <v>7</v>
      </c>
    </row>
    <row r="10" spans="1:7" x14ac:dyDescent="0.25">
      <c r="A10" t="s">
        <v>1</v>
      </c>
      <c r="D10" t="str">
        <f t="shared" si="0"/>
        <v>Sim</v>
      </c>
      <c r="F10" s="7" t="s">
        <v>5</v>
      </c>
      <c r="G10" s="2">
        <f t="shared" si="1"/>
        <v>10</v>
      </c>
    </row>
    <row r="11" spans="1:7" x14ac:dyDescent="0.25">
      <c r="A11" t="s">
        <v>1</v>
      </c>
      <c r="D11" t="str">
        <f t="shared" si="0"/>
        <v>Sim</v>
      </c>
      <c r="F11" s="7" t="s">
        <v>155</v>
      </c>
      <c r="G11" s="2">
        <f t="shared" si="1"/>
        <v>8</v>
      </c>
    </row>
    <row r="12" spans="1:7" x14ac:dyDescent="0.25">
      <c r="A12" t="s">
        <v>1</v>
      </c>
      <c r="D12" t="str">
        <f t="shared" si="0"/>
        <v>Sim</v>
      </c>
      <c r="F12" s="7" t="s">
        <v>76</v>
      </c>
      <c r="G12" s="2">
        <f t="shared" si="1"/>
        <v>15</v>
      </c>
    </row>
    <row r="13" spans="1:7" x14ac:dyDescent="0.25">
      <c r="A13" t="s">
        <v>1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D16" t="str">
        <f t="shared" si="0"/>
        <v>Sim</v>
      </c>
      <c r="F16" s="4"/>
      <c r="G16" s="2"/>
    </row>
    <row r="17" spans="1:7" x14ac:dyDescent="0.25">
      <c r="A17" t="s">
        <v>1</v>
      </c>
      <c r="D17" t="str">
        <f t="shared" si="0"/>
        <v>Sim</v>
      </c>
      <c r="G17" s="2"/>
    </row>
    <row r="18" spans="1:7" x14ac:dyDescent="0.25">
      <c r="A18" t="s">
        <v>1</v>
      </c>
      <c r="D18" t="str">
        <f t="shared" si="0"/>
        <v>Sim</v>
      </c>
      <c r="G18" s="2"/>
    </row>
    <row r="19" spans="1:7" x14ac:dyDescent="0.25">
      <c r="A19" t="s">
        <v>1</v>
      </c>
      <c r="D19" t="str">
        <f t="shared" si="0"/>
        <v>Sim</v>
      </c>
      <c r="G19" s="2"/>
    </row>
    <row r="20" spans="1:7" x14ac:dyDescent="0.25">
      <c r="A20" t="s">
        <v>1</v>
      </c>
      <c r="D20" t="str">
        <f t="shared" si="0"/>
        <v>Sim</v>
      </c>
      <c r="G20" s="2"/>
    </row>
    <row r="21" spans="1:7" x14ac:dyDescent="0.25">
      <c r="A21" t="s">
        <v>1</v>
      </c>
      <c r="D21" t="str">
        <f t="shared" si="0"/>
        <v>Sim</v>
      </c>
    </row>
    <row r="22" spans="1:7" x14ac:dyDescent="0.25">
      <c r="A22" t="s">
        <v>1</v>
      </c>
      <c r="D22" t="str">
        <f t="shared" si="0"/>
        <v>Sim</v>
      </c>
    </row>
    <row r="23" spans="1:7" x14ac:dyDescent="0.25">
      <c r="A23" t="s">
        <v>1</v>
      </c>
      <c r="D23" t="str">
        <f t="shared" si="0"/>
        <v>Sim</v>
      </c>
    </row>
    <row r="24" spans="1:7" x14ac:dyDescent="0.25">
      <c r="A24" t="s">
        <v>1</v>
      </c>
      <c r="D24" t="str">
        <f t="shared" si="0"/>
        <v>Sim</v>
      </c>
    </row>
    <row r="25" spans="1:7" x14ac:dyDescent="0.25">
      <c r="A25" t="s">
        <v>1</v>
      </c>
      <c r="D25" t="str">
        <f t="shared" si="0"/>
        <v>Sim</v>
      </c>
    </row>
    <row r="26" spans="1:7" x14ac:dyDescent="0.25">
      <c r="A26" t="s">
        <v>5</v>
      </c>
      <c r="C26" t="s">
        <v>190</v>
      </c>
      <c r="D26" t="str">
        <f t="shared" si="0"/>
        <v>Não</v>
      </c>
    </row>
    <row r="27" spans="1:7" x14ac:dyDescent="0.25">
      <c r="A27" t="s">
        <v>5</v>
      </c>
      <c r="D27" t="str">
        <f t="shared" si="0"/>
        <v>Sim</v>
      </c>
    </row>
    <row r="28" spans="1:7" x14ac:dyDescent="0.25">
      <c r="A28" t="s">
        <v>5</v>
      </c>
      <c r="D28" t="str">
        <f t="shared" si="0"/>
        <v>Sim</v>
      </c>
    </row>
    <row r="29" spans="1:7" x14ac:dyDescent="0.25">
      <c r="A29" t="s">
        <v>5</v>
      </c>
      <c r="D29" t="str">
        <f t="shared" si="0"/>
        <v>Sim</v>
      </c>
    </row>
    <row r="30" spans="1:7" x14ac:dyDescent="0.25">
      <c r="A30" t="s">
        <v>5</v>
      </c>
      <c r="D30" t="str">
        <f t="shared" si="0"/>
        <v>Sim</v>
      </c>
    </row>
    <row r="31" spans="1:7" x14ac:dyDescent="0.25">
      <c r="A31" t="s">
        <v>5</v>
      </c>
      <c r="D31" t="str">
        <f t="shared" si="0"/>
        <v>Sim</v>
      </c>
    </row>
    <row r="32" spans="1:7" x14ac:dyDescent="0.25">
      <c r="A32" t="s">
        <v>5</v>
      </c>
      <c r="D32" t="str">
        <f t="shared" si="0"/>
        <v>Sim</v>
      </c>
    </row>
    <row r="33" spans="1:4" x14ac:dyDescent="0.25">
      <c r="A33" t="s">
        <v>5</v>
      </c>
      <c r="D33" t="str">
        <f t="shared" si="0"/>
        <v>Sim</v>
      </c>
    </row>
    <row r="34" spans="1:4" x14ac:dyDescent="0.25">
      <c r="A34" t="s">
        <v>5</v>
      </c>
      <c r="D34" t="str">
        <f t="shared" si="0"/>
        <v>Sim</v>
      </c>
    </row>
    <row r="35" spans="1:4" x14ac:dyDescent="0.25">
      <c r="A35" t="s">
        <v>5</v>
      </c>
      <c r="D35" t="str">
        <f t="shared" si="0"/>
        <v>Sim</v>
      </c>
    </row>
    <row r="36" spans="1:4" x14ac:dyDescent="0.25">
      <c r="A36" t="s">
        <v>155</v>
      </c>
      <c r="C36" t="s">
        <v>187</v>
      </c>
      <c r="D36" t="str">
        <f t="shared" si="0"/>
        <v>Não</v>
      </c>
    </row>
    <row r="37" spans="1:4" x14ac:dyDescent="0.25">
      <c r="A37" t="s">
        <v>155</v>
      </c>
      <c r="D37" t="str">
        <f t="shared" si="0"/>
        <v>Sim</v>
      </c>
    </row>
    <row r="38" spans="1:4" x14ac:dyDescent="0.25">
      <c r="A38" t="s">
        <v>155</v>
      </c>
      <c r="D38" t="str">
        <f t="shared" si="0"/>
        <v>Sim</v>
      </c>
    </row>
    <row r="39" spans="1:4" x14ac:dyDescent="0.25">
      <c r="A39" t="s">
        <v>155</v>
      </c>
      <c r="D39" t="str">
        <f t="shared" si="0"/>
        <v>Sim</v>
      </c>
    </row>
    <row r="40" spans="1:4" x14ac:dyDescent="0.25">
      <c r="A40" t="s">
        <v>155</v>
      </c>
      <c r="D40" t="str">
        <f t="shared" si="0"/>
        <v>Sim</v>
      </c>
    </row>
    <row r="41" spans="1:4" x14ac:dyDescent="0.25">
      <c r="A41" t="s">
        <v>155</v>
      </c>
      <c r="D41" t="str">
        <f t="shared" si="0"/>
        <v>Sim</v>
      </c>
    </row>
    <row r="42" spans="1:4" x14ac:dyDescent="0.25">
      <c r="A42" t="s">
        <v>155</v>
      </c>
      <c r="D42" t="str">
        <f t="shared" si="0"/>
        <v>Sim</v>
      </c>
    </row>
    <row r="43" spans="1:4" x14ac:dyDescent="0.25">
      <c r="A43" t="s">
        <v>155</v>
      </c>
      <c r="D43" t="str">
        <f t="shared" si="0"/>
        <v>Sim</v>
      </c>
    </row>
    <row r="44" spans="1:4" x14ac:dyDescent="0.25">
      <c r="A44" t="s">
        <v>132</v>
      </c>
      <c r="C44" t="s">
        <v>8</v>
      </c>
      <c r="D44" t="str">
        <f t="shared" si="0"/>
        <v>Não</v>
      </c>
    </row>
    <row r="45" spans="1:4" x14ac:dyDescent="0.25">
      <c r="A45" t="s">
        <v>132</v>
      </c>
      <c r="C45" t="s">
        <v>8</v>
      </c>
      <c r="D45" t="str">
        <f t="shared" si="0"/>
        <v>Não</v>
      </c>
    </row>
    <row r="46" spans="1:4" x14ac:dyDescent="0.25">
      <c r="A46" t="s">
        <v>132</v>
      </c>
      <c r="C46" t="s">
        <v>8</v>
      </c>
      <c r="D46" t="str">
        <f t="shared" si="0"/>
        <v>Não</v>
      </c>
    </row>
    <row r="47" spans="1:4" x14ac:dyDescent="0.25">
      <c r="A47" t="s">
        <v>132</v>
      </c>
      <c r="C47" t="s">
        <v>8</v>
      </c>
      <c r="D47" t="str">
        <f t="shared" si="0"/>
        <v>Não</v>
      </c>
    </row>
    <row r="48" spans="1:4" x14ac:dyDescent="0.25">
      <c r="A48" t="s">
        <v>132</v>
      </c>
      <c r="C48" t="s">
        <v>188</v>
      </c>
      <c r="D48" t="str">
        <f t="shared" si="0"/>
        <v>Não</v>
      </c>
    </row>
    <row r="49" spans="1:4" x14ac:dyDescent="0.25">
      <c r="A49" t="s">
        <v>132</v>
      </c>
      <c r="C49" t="s">
        <v>188</v>
      </c>
      <c r="D49" t="str">
        <f t="shared" si="0"/>
        <v>Não</v>
      </c>
    </row>
    <row r="50" spans="1:4" x14ac:dyDescent="0.25">
      <c r="A50" t="s">
        <v>132</v>
      </c>
      <c r="C50" t="s">
        <v>189</v>
      </c>
      <c r="D50" t="str">
        <f t="shared" si="0"/>
        <v>Não</v>
      </c>
    </row>
    <row r="51" spans="1:4" x14ac:dyDescent="0.25">
      <c r="A51" t="s">
        <v>132</v>
      </c>
      <c r="C51" t="s">
        <v>189</v>
      </c>
      <c r="D51" t="str">
        <f t="shared" si="0"/>
        <v>Não</v>
      </c>
    </row>
    <row r="52" spans="1:4" x14ac:dyDescent="0.25">
      <c r="A52" t="s">
        <v>132</v>
      </c>
      <c r="C52" t="s">
        <v>189</v>
      </c>
      <c r="D52" t="str">
        <f t="shared" si="0"/>
        <v>Não</v>
      </c>
    </row>
    <row r="53" spans="1:4" x14ac:dyDescent="0.25">
      <c r="A53" t="s">
        <v>132</v>
      </c>
      <c r="C53" t="s">
        <v>189</v>
      </c>
      <c r="D53" t="str">
        <f t="shared" si="0"/>
        <v>Não</v>
      </c>
    </row>
    <row r="54" spans="1:4" x14ac:dyDescent="0.25">
      <c r="A54" t="s">
        <v>132</v>
      </c>
      <c r="D54" t="str">
        <f t="shared" si="0"/>
        <v>Sim</v>
      </c>
    </row>
    <row r="55" spans="1:4" x14ac:dyDescent="0.25">
      <c r="A55" t="s">
        <v>132</v>
      </c>
      <c r="D55" t="str">
        <f t="shared" si="0"/>
        <v>Sim</v>
      </c>
    </row>
    <row r="56" spans="1:4" x14ac:dyDescent="0.25">
      <c r="A56" t="s">
        <v>6</v>
      </c>
      <c r="D56" t="str">
        <f t="shared" si="0"/>
        <v>Sim</v>
      </c>
    </row>
    <row r="57" spans="1:4" x14ac:dyDescent="0.25">
      <c r="A57" t="s">
        <v>6</v>
      </c>
      <c r="D57" t="str">
        <f t="shared" si="0"/>
        <v>Sim</v>
      </c>
    </row>
    <row r="58" spans="1:4" x14ac:dyDescent="0.25">
      <c r="A58" t="s">
        <v>6</v>
      </c>
      <c r="D58" t="str">
        <f t="shared" si="0"/>
        <v>Sim</v>
      </c>
    </row>
    <row r="59" spans="1:4" x14ac:dyDescent="0.25">
      <c r="A59" t="s">
        <v>6</v>
      </c>
      <c r="D59" t="str">
        <f t="shared" si="0"/>
        <v>Sim</v>
      </c>
    </row>
    <row r="60" spans="1:4" x14ac:dyDescent="0.25">
      <c r="A60" t="s">
        <v>6</v>
      </c>
      <c r="D60" t="str">
        <f t="shared" si="0"/>
        <v>Sim</v>
      </c>
    </row>
    <row r="61" spans="1:4" x14ac:dyDescent="0.25">
      <c r="A61" t="s">
        <v>6</v>
      </c>
      <c r="D61" t="str">
        <f t="shared" si="0"/>
        <v>Sim</v>
      </c>
    </row>
    <row r="62" spans="1:4" x14ac:dyDescent="0.25">
      <c r="A62" t="s">
        <v>6</v>
      </c>
      <c r="D62" t="str">
        <f t="shared" si="0"/>
        <v>Sim</v>
      </c>
    </row>
    <row r="63" spans="1:4" x14ac:dyDescent="0.25">
      <c r="A63" t="s">
        <v>76</v>
      </c>
      <c r="D63" t="str">
        <f t="shared" si="0"/>
        <v>Sim</v>
      </c>
    </row>
    <row r="64" spans="1:4" x14ac:dyDescent="0.25">
      <c r="A64" t="s">
        <v>76</v>
      </c>
      <c r="D64" t="str">
        <f t="shared" si="0"/>
        <v>Sim</v>
      </c>
    </row>
    <row r="65" spans="1:6" x14ac:dyDescent="0.25">
      <c r="A65" t="s">
        <v>76</v>
      </c>
      <c r="D65" t="str">
        <f t="shared" si="0"/>
        <v>Sim</v>
      </c>
    </row>
    <row r="66" spans="1:6" x14ac:dyDescent="0.25">
      <c r="A66" t="s">
        <v>76</v>
      </c>
      <c r="D66" t="str">
        <f t="shared" si="0"/>
        <v>Sim</v>
      </c>
    </row>
    <row r="67" spans="1:6" x14ac:dyDescent="0.25">
      <c r="A67" t="s">
        <v>76</v>
      </c>
      <c r="D67" t="str">
        <f t="shared" ref="D67:D77" si="2">IF(B67=C67, "Sim", "Não")</f>
        <v>Sim</v>
      </c>
    </row>
    <row r="68" spans="1:6" x14ac:dyDescent="0.25">
      <c r="A68" t="s">
        <v>76</v>
      </c>
      <c r="D68" t="str">
        <f t="shared" si="2"/>
        <v>Sim</v>
      </c>
    </row>
    <row r="69" spans="1:6" x14ac:dyDescent="0.25">
      <c r="A69" t="s">
        <v>76</v>
      </c>
      <c r="D69" t="str">
        <f t="shared" si="2"/>
        <v>Sim</v>
      </c>
    </row>
    <row r="70" spans="1:6" x14ac:dyDescent="0.25">
      <c r="A70" t="s">
        <v>76</v>
      </c>
      <c r="D70" t="str">
        <f t="shared" si="2"/>
        <v>Sim</v>
      </c>
    </row>
    <row r="71" spans="1:6" x14ac:dyDescent="0.25">
      <c r="A71" t="s">
        <v>76</v>
      </c>
      <c r="D71" t="str">
        <f t="shared" si="2"/>
        <v>Sim</v>
      </c>
      <c r="F71"/>
    </row>
    <row r="72" spans="1:6" x14ac:dyDescent="0.25">
      <c r="A72" t="s">
        <v>76</v>
      </c>
      <c r="D72" t="str">
        <f t="shared" si="2"/>
        <v>Sim</v>
      </c>
    </row>
    <row r="73" spans="1:6" x14ac:dyDescent="0.25">
      <c r="A73" t="s">
        <v>76</v>
      </c>
      <c r="D73" t="str">
        <f t="shared" si="2"/>
        <v>Sim</v>
      </c>
    </row>
    <row r="74" spans="1:6" x14ac:dyDescent="0.25">
      <c r="A74" t="s">
        <v>76</v>
      </c>
      <c r="D74" t="str">
        <f t="shared" si="2"/>
        <v>Sim</v>
      </c>
    </row>
    <row r="75" spans="1:6" x14ac:dyDescent="0.25">
      <c r="A75" t="s">
        <v>76</v>
      </c>
      <c r="D75" t="str">
        <f t="shared" si="2"/>
        <v>Sim</v>
      </c>
    </row>
    <row r="76" spans="1:6" x14ac:dyDescent="0.25">
      <c r="A76" t="s">
        <v>76</v>
      </c>
      <c r="D76" t="str">
        <f t="shared" si="2"/>
        <v>Sim</v>
      </c>
    </row>
    <row r="77" spans="1:6" x14ac:dyDescent="0.25">
      <c r="A77" t="s">
        <v>76</v>
      </c>
      <c r="D77" t="str">
        <f t="shared" si="2"/>
        <v>Sim</v>
      </c>
    </row>
    <row r="78" spans="1:6" x14ac:dyDescent="0.25">
      <c r="A78"/>
    </row>
    <row r="79" spans="1:6" x14ac:dyDescent="0.25">
      <c r="A79"/>
    </row>
    <row r="80" spans="1:6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COMPRAS</vt:lpstr>
      <vt:lpstr>RESUMO</vt:lpstr>
      <vt:lpstr>RESUMO (2)</vt:lpstr>
      <vt:lpstr>WGFractius</vt:lpstr>
      <vt:lpstr>Vida</vt:lpstr>
      <vt:lpstr>Fadas</vt:lpstr>
      <vt:lpstr>WBRKnights</vt:lpstr>
      <vt:lpstr>Modular</vt:lpstr>
      <vt:lpstr>WBGAllies</vt:lpstr>
      <vt:lpstr>TemurC</vt:lpstr>
      <vt:lpstr>WURFlicker</vt:lpstr>
      <vt:lpstr>WUBModular</vt:lpstr>
      <vt:lpstr>UBFaeries</vt:lpstr>
      <vt:lpstr>BGTortex</vt:lpstr>
      <vt:lpstr>WURAffinity</vt:lpstr>
      <vt:lpstr>WUCawGates</vt:lpstr>
      <vt:lpstr>Ratos</vt:lpstr>
      <vt:lpstr>Reanimate</vt:lpstr>
      <vt:lpstr>BlueControl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Scalvi</dc:creator>
  <cp:lastModifiedBy>Marcelo Fernandes Scalvi</cp:lastModifiedBy>
  <dcterms:created xsi:type="dcterms:W3CDTF">2021-12-09T15:36:16Z</dcterms:created>
  <dcterms:modified xsi:type="dcterms:W3CDTF">2024-01-26T16:03:47Z</dcterms:modified>
</cp:coreProperties>
</file>