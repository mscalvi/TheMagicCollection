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Usuario\Dropbox\Jogos\Magic\"/>
    </mc:Choice>
  </mc:AlternateContent>
  <xr:revisionPtr revIDLastSave="0" documentId="13_ncr:1_{B4980DDD-938D-4217-BECD-E43B18A0976B}" xr6:coauthVersionLast="47" xr6:coauthVersionMax="47" xr10:uidLastSave="{00000000-0000-0000-0000-000000000000}"/>
  <bookViews>
    <workbookView xWindow="-120" yWindow="-120" windowWidth="20730" windowHeight="11160" tabRatio="814" xr2:uid="{CC72415A-D2E5-4D77-82BF-05A7B4384BC9}"/>
  </bookViews>
  <sheets>
    <sheet name="Thrakiri" sheetId="20" r:id="rId1"/>
    <sheet name="Gitrog" sheetId="21" r:id="rId2"/>
    <sheet name="Elfos" sheetId="23" r:id="rId3"/>
    <sheet name="Fractius" sheetId="32" r:id="rId4"/>
    <sheet name="Inalla" sheetId="29" r:id="rId5"/>
    <sheet name="Akiri" sheetId="35" r:id="rId6"/>
    <sheet name="Modular" sheetId="63" r:id="rId7"/>
    <sheet name="Muzzio" sheetId="25" r:id="rId8"/>
    <sheet name="Rielle" sheetId="1" r:id="rId9"/>
    <sheet name="Alela" sheetId="26" r:id="rId10"/>
    <sheet name="Arcades" sheetId="28" r:id="rId11"/>
    <sheet name="VialIshai" sheetId="31" r:id="rId12"/>
    <sheet name="Yuriko" sheetId="30" r:id="rId13"/>
    <sheet name="Zedruu" sheetId="27" r:id="rId14"/>
    <sheet name="Carlos" sheetId="33" r:id="rId15"/>
    <sheet name="Oona" sheetId="40" r:id="rId16"/>
    <sheet name="Kresh" sheetId="34" r:id="rId17"/>
    <sheet name="Breya" sheetId="39" r:id="rId18"/>
    <sheet name="Rani" sheetId="57" r:id="rId19"/>
    <sheet name="Sisay" sheetId="44" r:id="rId20"/>
    <sheet name="OWA" sheetId="22" r:id="rId21"/>
    <sheet name="Narset" sheetId="46" r:id="rId22"/>
    <sheet name="Kumena" sheetId="47" r:id="rId23"/>
    <sheet name="Zimone" sheetId="49" r:id="rId24"/>
    <sheet name="Baylen" sheetId="51" r:id="rId25"/>
    <sheet name="Tayam" sheetId="53" r:id="rId26"/>
    <sheet name="Jhoira" sheetId="24" r:id="rId27"/>
    <sheet name="Piratas" sheetId="59" r:id="rId28"/>
    <sheet name="Zuko" sheetId="68" r:id="rId29"/>
    <sheet name="Little" sheetId="69" r:id="rId30"/>
    <sheet name="Ool" sheetId="70" r:id="rId31"/>
    <sheet name="4cRash" sheetId="71" r:id="rId32"/>
    <sheet name="JhoiraB" sheetId="58" r:id="rId33"/>
    <sheet name="Yorion" sheetId="67" r:id="rId34"/>
  </sheets>
  <definedNames>
    <definedName name="_xlnm._FilterDatabase" localSheetId="0" hidden="1">Thrakiri!$A$2:$D$102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" i="71" l="1"/>
  <c r="D102" i="71"/>
  <c r="D101" i="71"/>
  <c r="D100" i="71"/>
  <c r="D99" i="71"/>
  <c r="D98" i="71"/>
  <c r="D97" i="71"/>
  <c r="D96" i="71"/>
  <c r="D95" i="71"/>
  <c r="D94" i="71"/>
  <c r="D93" i="71"/>
  <c r="D92" i="71"/>
  <c r="D91" i="71"/>
  <c r="D90" i="71"/>
  <c r="D89" i="71"/>
  <c r="D88" i="71"/>
  <c r="D87" i="71"/>
  <c r="D86" i="71"/>
  <c r="D85" i="71"/>
  <c r="D84" i="71"/>
  <c r="D83" i="71"/>
  <c r="D82" i="71"/>
  <c r="D81" i="71"/>
  <c r="D80" i="71"/>
  <c r="D79" i="71"/>
  <c r="D78" i="71"/>
  <c r="D77" i="71"/>
  <c r="D76" i="71"/>
  <c r="D75" i="71"/>
  <c r="D74" i="71"/>
  <c r="D73" i="71"/>
  <c r="D72" i="71"/>
  <c r="D71" i="71"/>
  <c r="D70" i="71"/>
  <c r="D69" i="71"/>
  <c r="D68" i="71"/>
  <c r="D67" i="71"/>
  <c r="D66" i="71"/>
  <c r="D65" i="71"/>
  <c r="D64" i="71"/>
  <c r="D63" i="71"/>
  <c r="D62" i="71"/>
  <c r="D61" i="71"/>
  <c r="D60" i="71"/>
  <c r="D59" i="71"/>
  <c r="D58" i="71"/>
  <c r="D57" i="71"/>
  <c r="D56" i="71"/>
  <c r="D55" i="71"/>
  <c r="D54" i="71"/>
  <c r="D53" i="71"/>
  <c r="D52" i="71"/>
  <c r="D51" i="71"/>
  <c r="D50" i="71"/>
  <c r="D49" i="71"/>
  <c r="D48" i="71"/>
  <c r="D47" i="71"/>
  <c r="D46" i="71"/>
  <c r="D45" i="71"/>
  <c r="D44" i="71"/>
  <c r="D43" i="71"/>
  <c r="D42" i="71"/>
  <c r="D41" i="71"/>
  <c r="D40" i="71"/>
  <c r="D39" i="71"/>
  <c r="D38" i="71"/>
  <c r="D37" i="71"/>
  <c r="D36" i="71"/>
  <c r="D35" i="71"/>
  <c r="D34" i="71"/>
  <c r="D33" i="71"/>
  <c r="D32" i="71"/>
  <c r="D31" i="71"/>
  <c r="D30" i="71"/>
  <c r="D29" i="71"/>
  <c r="D28" i="71"/>
  <c r="D27" i="71"/>
  <c r="D26" i="71"/>
  <c r="D25" i="71"/>
  <c r="D24" i="71"/>
  <c r="D23" i="71"/>
  <c r="D22" i="71"/>
  <c r="D21" i="71"/>
  <c r="D20" i="71"/>
  <c r="D19" i="71"/>
  <c r="D18" i="71"/>
  <c r="D17" i="71"/>
  <c r="D16" i="71"/>
  <c r="D15" i="71"/>
  <c r="D14" i="71"/>
  <c r="D13" i="71"/>
  <c r="G12" i="71"/>
  <c r="D12" i="71"/>
  <c r="G11" i="71"/>
  <c r="D11" i="71"/>
  <c r="G10" i="71"/>
  <c r="D10" i="71"/>
  <c r="G9" i="71"/>
  <c r="D9" i="71"/>
  <c r="G8" i="71"/>
  <c r="D8" i="71"/>
  <c r="G7" i="71"/>
  <c r="D7" i="71"/>
  <c r="G6" i="71"/>
  <c r="D6" i="71"/>
  <c r="D5" i="71"/>
  <c r="D4" i="71"/>
  <c r="D3" i="71"/>
  <c r="G15" i="68"/>
  <c r="D102" i="70"/>
  <c r="D101" i="70"/>
  <c r="D100" i="70"/>
  <c r="D99" i="70"/>
  <c r="D98" i="70"/>
  <c r="D97" i="70"/>
  <c r="D96" i="70"/>
  <c r="D95" i="70"/>
  <c r="D94" i="70"/>
  <c r="D93" i="70"/>
  <c r="D92" i="70"/>
  <c r="D91" i="70"/>
  <c r="D90" i="70"/>
  <c r="D89" i="70"/>
  <c r="D88" i="70"/>
  <c r="D87" i="70"/>
  <c r="D86" i="70"/>
  <c r="D85" i="70"/>
  <c r="D84" i="70"/>
  <c r="D83" i="70"/>
  <c r="D82" i="70"/>
  <c r="D81" i="70"/>
  <c r="D80" i="70"/>
  <c r="D79" i="70"/>
  <c r="D78" i="70"/>
  <c r="D77" i="70"/>
  <c r="D76" i="70"/>
  <c r="D75" i="70"/>
  <c r="D74" i="70"/>
  <c r="D73" i="70"/>
  <c r="D72" i="70"/>
  <c r="D71" i="70"/>
  <c r="D70" i="70"/>
  <c r="D69" i="70"/>
  <c r="D68" i="70"/>
  <c r="D67" i="70"/>
  <c r="D66" i="70"/>
  <c r="D65" i="70"/>
  <c r="D64" i="70"/>
  <c r="D63" i="70"/>
  <c r="D62" i="70"/>
  <c r="D61" i="70"/>
  <c r="D60" i="70"/>
  <c r="D59" i="70"/>
  <c r="D58" i="70"/>
  <c r="D57" i="70"/>
  <c r="D56" i="70"/>
  <c r="D55" i="70"/>
  <c r="D54" i="70"/>
  <c r="D53" i="70"/>
  <c r="D52" i="70"/>
  <c r="D51" i="70"/>
  <c r="D50" i="70"/>
  <c r="D49" i="70"/>
  <c r="D48" i="70"/>
  <c r="D47" i="70"/>
  <c r="D46" i="70"/>
  <c r="D45" i="70"/>
  <c r="D44" i="70"/>
  <c r="D43" i="70"/>
  <c r="D42" i="70"/>
  <c r="D41" i="70"/>
  <c r="D40" i="70"/>
  <c r="D39" i="70"/>
  <c r="D38" i="70"/>
  <c r="D37" i="70"/>
  <c r="D36" i="70"/>
  <c r="D35" i="70"/>
  <c r="D34" i="70"/>
  <c r="D33" i="70"/>
  <c r="D32" i="70"/>
  <c r="D31" i="70"/>
  <c r="D30" i="70"/>
  <c r="D29" i="70"/>
  <c r="D28" i="70"/>
  <c r="D27" i="70"/>
  <c r="D26" i="70"/>
  <c r="D25" i="70"/>
  <c r="D24" i="70"/>
  <c r="D23" i="70"/>
  <c r="D22" i="70"/>
  <c r="D21" i="70"/>
  <c r="D20" i="70"/>
  <c r="D19" i="70"/>
  <c r="D18" i="70"/>
  <c r="D17" i="70"/>
  <c r="D16" i="70"/>
  <c r="D15" i="70"/>
  <c r="D14" i="70"/>
  <c r="D13" i="70"/>
  <c r="G12" i="70"/>
  <c r="D12" i="70"/>
  <c r="G11" i="70"/>
  <c r="D11" i="70"/>
  <c r="G10" i="70"/>
  <c r="D10" i="70"/>
  <c r="G9" i="70"/>
  <c r="D9" i="70"/>
  <c r="G8" i="70"/>
  <c r="D8" i="70"/>
  <c r="G7" i="70"/>
  <c r="D7" i="70"/>
  <c r="G6" i="70"/>
  <c r="D6" i="70"/>
  <c r="D5" i="70"/>
  <c r="D4" i="70"/>
  <c r="D3" i="70"/>
  <c r="D4" i="69"/>
  <c r="D5" i="69"/>
  <c r="D6" i="69"/>
  <c r="D7" i="69"/>
  <c r="D8" i="69"/>
  <c r="D9" i="69"/>
  <c r="D10" i="69"/>
  <c r="D11" i="69"/>
  <c r="D12" i="69"/>
  <c r="D13" i="69"/>
  <c r="D14" i="69"/>
  <c r="D15" i="69"/>
  <c r="D16" i="69"/>
  <c r="D17" i="69"/>
  <c r="D18" i="69"/>
  <c r="D19" i="69"/>
  <c r="D20" i="69"/>
  <c r="D21" i="69"/>
  <c r="D22" i="69"/>
  <c r="D23" i="69"/>
  <c r="D24" i="69"/>
  <c r="D25" i="69"/>
  <c r="D26" i="69"/>
  <c r="D27" i="69"/>
  <c r="D28" i="69"/>
  <c r="D29" i="69"/>
  <c r="D30" i="69"/>
  <c r="D31" i="69"/>
  <c r="D32" i="69"/>
  <c r="D33" i="69"/>
  <c r="D34" i="69"/>
  <c r="D35" i="69"/>
  <c r="D36" i="69"/>
  <c r="D37" i="69"/>
  <c r="D38" i="69"/>
  <c r="D39" i="69"/>
  <c r="D40" i="69"/>
  <c r="D41" i="69"/>
  <c r="D42" i="69"/>
  <c r="D43" i="69"/>
  <c r="D44" i="69"/>
  <c r="D45" i="69"/>
  <c r="D46" i="69"/>
  <c r="D47" i="69"/>
  <c r="D48" i="69"/>
  <c r="D49" i="69"/>
  <c r="D50" i="69"/>
  <c r="D51" i="69"/>
  <c r="D52" i="69"/>
  <c r="D53" i="69"/>
  <c r="D54" i="69"/>
  <c r="D55" i="69"/>
  <c r="D56" i="69"/>
  <c r="D57" i="69"/>
  <c r="D58" i="69"/>
  <c r="D59" i="69"/>
  <c r="D60" i="69"/>
  <c r="D61" i="69"/>
  <c r="D62" i="69"/>
  <c r="D63" i="69"/>
  <c r="D64" i="69"/>
  <c r="D65" i="69"/>
  <c r="D66" i="69"/>
  <c r="D67" i="69"/>
  <c r="D68" i="69"/>
  <c r="D69" i="69"/>
  <c r="D70" i="69"/>
  <c r="D71" i="69"/>
  <c r="D72" i="69"/>
  <c r="D73" i="69"/>
  <c r="D74" i="69"/>
  <c r="D75" i="69"/>
  <c r="D76" i="69"/>
  <c r="D77" i="69"/>
  <c r="D78" i="69"/>
  <c r="D79" i="69"/>
  <c r="D80" i="69"/>
  <c r="D81" i="69"/>
  <c r="D82" i="69"/>
  <c r="D83" i="69"/>
  <c r="D84" i="69"/>
  <c r="D85" i="69"/>
  <c r="D86" i="69"/>
  <c r="D87" i="69"/>
  <c r="D88" i="69"/>
  <c r="D89" i="69"/>
  <c r="D90" i="69"/>
  <c r="D91" i="69"/>
  <c r="D92" i="69"/>
  <c r="D93" i="69"/>
  <c r="D94" i="69"/>
  <c r="D95" i="69"/>
  <c r="D96" i="69"/>
  <c r="D97" i="69"/>
  <c r="D98" i="69"/>
  <c r="D99" i="69"/>
  <c r="D100" i="69"/>
  <c r="D101" i="69"/>
  <c r="D102" i="69"/>
  <c r="G13" i="69"/>
  <c r="G12" i="69"/>
  <c r="G11" i="69"/>
  <c r="G10" i="69"/>
  <c r="G9" i="69"/>
  <c r="G8" i="69"/>
  <c r="G7" i="69"/>
  <c r="G6" i="69"/>
  <c r="D3" i="69"/>
  <c r="G2" i="71" l="1"/>
  <c r="G3" i="71"/>
  <c r="G2" i="70"/>
  <c r="G3" i="70"/>
  <c r="G2" i="69"/>
  <c r="G3" i="69"/>
  <c r="D82" i="68"/>
  <c r="D81" i="68"/>
  <c r="D80" i="68"/>
  <c r="D79" i="68"/>
  <c r="D78" i="68"/>
  <c r="D73" i="68"/>
  <c r="D72" i="68"/>
  <c r="D71" i="68"/>
  <c r="D70" i="68"/>
  <c r="D69" i="68"/>
  <c r="D68" i="68"/>
  <c r="D67" i="68"/>
  <c r="D66" i="68"/>
  <c r="D65" i="68"/>
  <c r="D64" i="68"/>
  <c r="D63" i="68"/>
  <c r="D62" i="68"/>
  <c r="D61" i="68"/>
  <c r="D60" i="68"/>
  <c r="D59" i="68"/>
  <c r="D58" i="68"/>
  <c r="D57" i="68"/>
  <c r="D56" i="68"/>
  <c r="D55" i="68"/>
  <c r="D54" i="68"/>
  <c r="D53" i="68"/>
  <c r="D52" i="68"/>
  <c r="D51" i="68"/>
  <c r="D48" i="68"/>
  <c r="D46" i="68"/>
  <c r="D77" i="68"/>
  <c r="D76" i="68"/>
  <c r="D75" i="68"/>
  <c r="D74" i="68"/>
  <c r="D45" i="68"/>
  <c r="D44" i="68"/>
  <c r="D43" i="68"/>
  <c r="D42" i="68"/>
  <c r="D41" i="68"/>
  <c r="D40" i="68"/>
  <c r="D39" i="68"/>
  <c r="D86" i="68"/>
  <c r="D85" i="68"/>
  <c r="D84" i="68"/>
  <c r="D83" i="68"/>
  <c r="D38" i="68"/>
  <c r="D37" i="68"/>
  <c r="D36" i="68"/>
  <c r="D35" i="68"/>
  <c r="D34" i="68"/>
  <c r="D33" i="68"/>
  <c r="D32" i="68"/>
  <c r="D31" i="68"/>
  <c r="D30" i="68"/>
  <c r="D29" i="68"/>
  <c r="D28" i="68"/>
  <c r="D27" i="68"/>
  <c r="D26" i="68"/>
  <c r="D25" i="68"/>
  <c r="D24" i="68"/>
  <c r="D23" i="68"/>
  <c r="D22" i="68"/>
  <c r="D21" i="68"/>
  <c r="D20" i="68"/>
  <c r="D19" i="68"/>
  <c r="D18" i="68"/>
  <c r="D17" i="68"/>
  <c r="D16" i="68"/>
  <c r="D15" i="68"/>
  <c r="G14" i="68"/>
  <c r="D14" i="68"/>
  <c r="G13" i="68"/>
  <c r="D13" i="68"/>
  <c r="G12" i="68"/>
  <c r="D12" i="68"/>
  <c r="G11" i="68"/>
  <c r="D11" i="68"/>
  <c r="G10" i="68"/>
  <c r="D10" i="68"/>
  <c r="G9" i="68"/>
  <c r="D9" i="68"/>
  <c r="G8" i="68"/>
  <c r="D8" i="68"/>
  <c r="G7" i="68"/>
  <c r="D7" i="68"/>
  <c r="G6" i="68"/>
  <c r="D6" i="68"/>
  <c r="D5" i="68"/>
  <c r="D4" i="68"/>
  <c r="D3" i="68"/>
  <c r="D102" i="67"/>
  <c r="D101" i="67"/>
  <c r="D100" i="67"/>
  <c r="D99" i="67"/>
  <c r="D98" i="67"/>
  <c r="D97" i="67"/>
  <c r="D96" i="67"/>
  <c r="D95" i="67"/>
  <c r="D94" i="67"/>
  <c r="D93" i="67"/>
  <c r="D92" i="67"/>
  <c r="D91" i="67"/>
  <c r="D90" i="67"/>
  <c r="D89" i="67"/>
  <c r="D88" i="67"/>
  <c r="D87" i="67"/>
  <c r="D86" i="67"/>
  <c r="D85" i="67"/>
  <c r="D84" i="67"/>
  <c r="D83" i="67"/>
  <c r="D82" i="67"/>
  <c r="D81" i="67"/>
  <c r="D80" i="67"/>
  <c r="D79" i="67"/>
  <c r="D78" i="67"/>
  <c r="D77" i="67"/>
  <c r="D76" i="67"/>
  <c r="D75" i="67"/>
  <c r="D74" i="67"/>
  <c r="D73" i="67"/>
  <c r="D72" i="67"/>
  <c r="D71" i="67"/>
  <c r="D70" i="67"/>
  <c r="D69" i="67"/>
  <c r="D68" i="67"/>
  <c r="D67" i="67"/>
  <c r="D66" i="67"/>
  <c r="D65" i="67"/>
  <c r="D64" i="67"/>
  <c r="D63" i="67"/>
  <c r="D62" i="67"/>
  <c r="D61" i="67"/>
  <c r="D60" i="67"/>
  <c r="D59" i="67"/>
  <c r="D58" i="67"/>
  <c r="D57" i="67"/>
  <c r="D56" i="67"/>
  <c r="D55" i="67"/>
  <c r="D54" i="67"/>
  <c r="D53" i="67"/>
  <c r="D52" i="67"/>
  <c r="D51" i="67"/>
  <c r="D50" i="67"/>
  <c r="D49" i="67"/>
  <c r="D48" i="67"/>
  <c r="D47" i="67"/>
  <c r="D46" i="67"/>
  <c r="D45" i="67"/>
  <c r="D44" i="67"/>
  <c r="D43" i="67"/>
  <c r="D42" i="67"/>
  <c r="D41" i="67"/>
  <c r="D40" i="67"/>
  <c r="D39" i="67"/>
  <c r="D38" i="67"/>
  <c r="D37" i="67"/>
  <c r="D36" i="67"/>
  <c r="D35" i="67"/>
  <c r="D34" i="67"/>
  <c r="D33" i="67"/>
  <c r="D32" i="67"/>
  <c r="D31" i="67"/>
  <c r="D30" i="67"/>
  <c r="D29" i="67"/>
  <c r="D28" i="67"/>
  <c r="D27" i="67"/>
  <c r="D26" i="67"/>
  <c r="D25" i="67"/>
  <c r="D24" i="67"/>
  <c r="D23" i="67"/>
  <c r="D22" i="67"/>
  <c r="D21" i="67"/>
  <c r="D20" i="67"/>
  <c r="D19" i="67"/>
  <c r="D18" i="67"/>
  <c r="D17" i="67"/>
  <c r="D16" i="67"/>
  <c r="D15" i="67"/>
  <c r="G14" i="67"/>
  <c r="D14" i="67"/>
  <c r="G13" i="67"/>
  <c r="D13" i="67"/>
  <c r="G12" i="67"/>
  <c r="D12" i="67"/>
  <c r="G11" i="67"/>
  <c r="D11" i="67"/>
  <c r="G10" i="67"/>
  <c r="D10" i="67"/>
  <c r="G9" i="67"/>
  <c r="D9" i="67"/>
  <c r="G8" i="67"/>
  <c r="D8" i="67"/>
  <c r="G7" i="67"/>
  <c r="D7" i="67"/>
  <c r="G6" i="67"/>
  <c r="D6" i="67"/>
  <c r="D5" i="67"/>
  <c r="D4" i="67"/>
  <c r="D3" i="67"/>
  <c r="G3" i="67" l="1"/>
  <c r="G2" i="68"/>
  <c r="G3" i="68"/>
  <c r="G2" i="67"/>
  <c r="D60" i="27"/>
  <c r="D61" i="27"/>
  <c r="D62" i="27"/>
  <c r="D63" i="27"/>
  <c r="G15" i="63" l="1"/>
  <c r="G14" i="63"/>
  <c r="D102" i="63" l="1"/>
  <c r="D101" i="63"/>
  <c r="D100" i="63"/>
  <c r="D99" i="63"/>
  <c r="D98" i="63"/>
  <c r="D97" i="63"/>
  <c r="D94" i="63"/>
  <c r="D96" i="63"/>
  <c r="D95" i="63"/>
  <c r="D93" i="63"/>
  <c r="D92" i="63"/>
  <c r="D91" i="63"/>
  <c r="D90" i="63"/>
  <c r="D89" i="63"/>
  <c r="D88" i="63"/>
  <c r="D87" i="63"/>
  <c r="D86" i="63"/>
  <c r="D85" i="63"/>
  <c r="D84" i="63"/>
  <c r="D83" i="63"/>
  <c r="D82" i="63"/>
  <c r="D81" i="63"/>
  <c r="D80" i="63"/>
  <c r="D79" i="63"/>
  <c r="D78" i="63"/>
  <c r="D77" i="63"/>
  <c r="D76" i="63"/>
  <c r="D75" i="63"/>
  <c r="D74" i="63"/>
  <c r="D73" i="63"/>
  <c r="D72" i="63"/>
  <c r="D71" i="63"/>
  <c r="D70" i="63"/>
  <c r="D69" i="63"/>
  <c r="D68" i="63"/>
  <c r="D67" i="63"/>
  <c r="D66" i="63"/>
  <c r="D65" i="63"/>
  <c r="D64" i="63"/>
  <c r="D63" i="63"/>
  <c r="D62" i="63"/>
  <c r="D61" i="63"/>
  <c r="D60" i="63"/>
  <c r="D59" i="63"/>
  <c r="D58" i="63"/>
  <c r="D57" i="63"/>
  <c r="D56" i="63"/>
  <c r="D55" i="63"/>
  <c r="D54" i="63"/>
  <c r="D53" i="63"/>
  <c r="D52" i="63"/>
  <c r="D51" i="63"/>
  <c r="D50" i="63"/>
  <c r="D49" i="63"/>
  <c r="D48" i="63"/>
  <c r="D47" i="63"/>
  <c r="D46" i="63"/>
  <c r="D45" i="63"/>
  <c r="D44" i="63"/>
  <c r="D43" i="63"/>
  <c r="D42" i="63"/>
  <c r="D41" i="63"/>
  <c r="D40" i="63"/>
  <c r="D39" i="63"/>
  <c r="D38" i="63"/>
  <c r="D37" i="63"/>
  <c r="D36" i="63"/>
  <c r="D35" i="63"/>
  <c r="D34" i="63"/>
  <c r="D33" i="63"/>
  <c r="D32" i="63"/>
  <c r="D31" i="63"/>
  <c r="D30" i="63"/>
  <c r="D29" i="63"/>
  <c r="D28" i="63"/>
  <c r="D27" i="63"/>
  <c r="D26" i="63"/>
  <c r="D25" i="63"/>
  <c r="D24" i="63"/>
  <c r="D23" i="63"/>
  <c r="D22" i="63"/>
  <c r="D21" i="63"/>
  <c r="D20" i="63"/>
  <c r="D19" i="63"/>
  <c r="D18" i="63"/>
  <c r="D17" i="63"/>
  <c r="D16" i="63"/>
  <c r="D15" i="63"/>
  <c r="D14" i="63"/>
  <c r="G13" i="63"/>
  <c r="D13" i="63"/>
  <c r="G12" i="63"/>
  <c r="D12" i="63"/>
  <c r="G11" i="63"/>
  <c r="D11" i="63"/>
  <c r="G10" i="63"/>
  <c r="D10" i="63"/>
  <c r="G9" i="63"/>
  <c r="D9" i="63"/>
  <c r="G8" i="63"/>
  <c r="D8" i="63"/>
  <c r="G7" i="63"/>
  <c r="D7" i="63"/>
  <c r="G6" i="63"/>
  <c r="D6" i="63"/>
  <c r="D5" i="63"/>
  <c r="D4" i="63"/>
  <c r="D3" i="63"/>
  <c r="G3" i="63" l="1"/>
  <c r="G2" i="63"/>
  <c r="G10" i="53" l="1"/>
  <c r="G6" i="53"/>
  <c r="G6" i="35"/>
  <c r="G6" i="44"/>
  <c r="G6" i="47"/>
  <c r="D3" i="35"/>
  <c r="D3" i="44"/>
  <c r="D3" i="47"/>
  <c r="G6" i="34"/>
  <c r="D3" i="34"/>
  <c r="G6" i="40"/>
  <c r="D3" i="40"/>
  <c r="G6" i="33"/>
  <c r="D3" i="33"/>
  <c r="D3" i="29"/>
  <c r="G6" i="29"/>
  <c r="G6" i="27"/>
  <c r="D3" i="27"/>
  <c r="G6" i="31"/>
  <c r="D3" i="31"/>
  <c r="D4" i="31"/>
  <c r="G6" i="22"/>
  <c r="D3" i="23"/>
  <c r="D3" i="21"/>
  <c r="G7" i="20"/>
  <c r="G7" i="23"/>
  <c r="G7" i="24"/>
  <c r="G7" i="32"/>
  <c r="G7" i="59"/>
  <c r="G7" i="57"/>
  <c r="G7" i="58"/>
  <c r="G7" i="49"/>
  <c r="G7" i="46"/>
  <c r="G7" i="51"/>
  <c r="G7" i="39"/>
  <c r="G7" i="25"/>
  <c r="G7" i="1"/>
  <c r="G7" i="26"/>
  <c r="G7" i="28"/>
  <c r="G7" i="30"/>
  <c r="G6" i="21"/>
  <c r="D3" i="32"/>
  <c r="D3" i="49"/>
  <c r="D3" i="46"/>
  <c r="D3" i="51"/>
  <c r="D3" i="39"/>
  <c r="D3" i="25"/>
  <c r="D3" i="1"/>
  <c r="D3" i="26"/>
  <c r="D3" i="28"/>
  <c r="D3" i="30"/>
  <c r="G15" i="24"/>
  <c r="G16" i="23"/>
  <c r="D4" i="23"/>
  <c r="D3" i="22"/>
  <c r="D4" i="22"/>
  <c r="D3" i="57"/>
  <c r="D3" i="20"/>
  <c r="D4" i="20"/>
  <c r="D5" i="57"/>
  <c r="D6" i="57"/>
  <c r="D7" i="57"/>
  <c r="D8" i="57"/>
  <c r="D9" i="57"/>
  <c r="D10" i="57"/>
  <c r="D11" i="57"/>
  <c r="D12" i="57"/>
  <c r="D13" i="57"/>
  <c r="D14" i="57"/>
  <c r="D15" i="57"/>
  <c r="D16" i="57"/>
  <c r="D17" i="57"/>
  <c r="D18" i="57"/>
  <c r="D19" i="57"/>
  <c r="D20" i="57"/>
  <c r="D21" i="57"/>
  <c r="D22" i="57"/>
  <c r="D23" i="57"/>
  <c r="D24" i="57"/>
  <c r="D25" i="57"/>
  <c r="D26" i="57"/>
  <c r="D27" i="57"/>
  <c r="D28" i="57"/>
  <c r="D29" i="57"/>
  <c r="D30" i="57"/>
  <c r="D31" i="57"/>
  <c r="D32" i="57"/>
  <c r="D33" i="57"/>
  <c r="D34" i="57"/>
  <c r="D35" i="57"/>
  <c r="D36" i="57"/>
  <c r="D37" i="57"/>
  <c r="D38" i="57"/>
  <c r="D39" i="57"/>
  <c r="D40" i="57"/>
  <c r="D41" i="57"/>
  <c r="D42" i="57"/>
  <c r="D43" i="57"/>
  <c r="D44" i="57"/>
  <c r="D45" i="57"/>
  <c r="D46" i="57"/>
  <c r="D47" i="57"/>
  <c r="D48" i="57"/>
  <c r="D49" i="57"/>
  <c r="D50" i="57"/>
  <c r="D51" i="57"/>
  <c r="D52" i="57"/>
  <c r="D53" i="57"/>
  <c r="D54" i="57"/>
  <c r="D55" i="57"/>
  <c r="D56" i="57"/>
  <c r="D57" i="57"/>
  <c r="D58" i="57"/>
  <c r="D59" i="57"/>
  <c r="D60" i="57"/>
  <c r="D61" i="57"/>
  <c r="D62" i="57"/>
  <c r="D63" i="57"/>
  <c r="D64" i="57"/>
  <c r="D65" i="57"/>
  <c r="D66" i="57"/>
  <c r="D67" i="57"/>
  <c r="D68" i="57"/>
  <c r="D69" i="57"/>
  <c r="D70" i="57"/>
  <c r="D71" i="57"/>
  <c r="D72" i="57"/>
  <c r="D73" i="57"/>
  <c r="D74" i="57"/>
  <c r="D75" i="57"/>
  <c r="D76" i="57"/>
  <c r="D77" i="57"/>
  <c r="D78" i="57"/>
  <c r="D79" i="57"/>
  <c r="D80" i="57"/>
  <c r="D81" i="57"/>
  <c r="D82" i="57"/>
  <c r="D83" i="57"/>
  <c r="D84" i="57"/>
  <c r="D85" i="57"/>
  <c r="D86" i="57"/>
  <c r="D87" i="57"/>
  <c r="D88" i="57"/>
  <c r="D89" i="57"/>
  <c r="D90" i="57"/>
  <c r="D91" i="57"/>
  <c r="D92" i="57"/>
  <c r="D93" i="57"/>
  <c r="D94" i="57"/>
  <c r="D95" i="57"/>
  <c r="D96" i="57"/>
  <c r="D97" i="57"/>
  <c r="D98" i="57"/>
  <c r="D99" i="57"/>
  <c r="D100" i="57"/>
  <c r="D101" i="57"/>
  <c r="D102" i="57"/>
  <c r="D103" i="57"/>
  <c r="D4" i="58"/>
  <c r="D5" i="58"/>
  <c r="D6" i="58"/>
  <c r="D7" i="58"/>
  <c r="D8" i="58"/>
  <c r="D9" i="58"/>
  <c r="D10" i="58"/>
  <c r="D11" i="58"/>
  <c r="D12" i="58"/>
  <c r="D13" i="58"/>
  <c r="D14" i="58"/>
  <c r="D15" i="58"/>
  <c r="D16" i="58"/>
  <c r="D17" i="58"/>
  <c r="D18" i="58"/>
  <c r="D19" i="58"/>
  <c r="D20" i="58"/>
  <c r="D21" i="58"/>
  <c r="D22" i="58"/>
  <c r="D23" i="58"/>
  <c r="D24" i="58"/>
  <c r="D25" i="58"/>
  <c r="D26" i="58"/>
  <c r="D27" i="58"/>
  <c r="D28" i="58"/>
  <c r="D29" i="58"/>
  <c r="D30" i="58"/>
  <c r="D31" i="58"/>
  <c r="D32" i="58"/>
  <c r="D33" i="58"/>
  <c r="D34" i="58"/>
  <c r="D35" i="58"/>
  <c r="D36" i="58"/>
  <c r="D37" i="58"/>
  <c r="D38" i="58"/>
  <c r="D39" i="58"/>
  <c r="D40" i="58"/>
  <c r="D41" i="58"/>
  <c r="D42" i="58"/>
  <c r="D43" i="58"/>
  <c r="D44" i="58"/>
  <c r="D45" i="58"/>
  <c r="D46" i="58"/>
  <c r="D47" i="58"/>
  <c r="D48" i="58"/>
  <c r="D49" i="58"/>
  <c r="D50" i="58"/>
  <c r="D51" i="58"/>
  <c r="D52" i="58"/>
  <c r="D53" i="58"/>
  <c r="D63" i="58"/>
  <c r="D54" i="58"/>
  <c r="D55" i="58"/>
  <c r="D56" i="58"/>
  <c r="D57" i="58"/>
  <c r="D58" i="58"/>
  <c r="D59" i="58"/>
  <c r="D60" i="58"/>
  <c r="D61" i="58"/>
  <c r="D62" i="58"/>
  <c r="D64" i="58"/>
  <c r="D65" i="58"/>
  <c r="D66" i="58"/>
  <c r="D67" i="58"/>
  <c r="D68" i="58"/>
  <c r="D69" i="58"/>
  <c r="D70" i="58"/>
  <c r="D71" i="58"/>
  <c r="D72" i="58"/>
  <c r="D73" i="58"/>
  <c r="D74" i="58"/>
  <c r="D75" i="58"/>
  <c r="D76" i="58"/>
  <c r="D77" i="58"/>
  <c r="D78" i="58"/>
  <c r="D79" i="58"/>
  <c r="D80" i="58"/>
  <c r="D81" i="58"/>
  <c r="D82" i="58"/>
  <c r="D83" i="58"/>
  <c r="D84" i="58"/>
  <c r="D85" i="58"/>
  <c r="D86" i="58"/>
  <c r="D87" i="58"/>
  <c r="D88" i="58"/>
  <c r="D89" i="58"/>
  <c r="D90" i="58"/>
  <c r="D91" i="58"/>
  <c r="D92" i="58"/>
  <c r="D93" i="58"/>
  <c r="D94" i="58"/>
  <c r="D95" i="58"/>
  <c r="D96" i="58"/>
  <c r="D97" i="58"/>
  <c r="D98" i="58"/>
  <c r="D99" i="58"/>
  <c r="D100" i="58"/>
  <c r="D101" i="58"/>
  <c r="D102" i="58"/>
  <c r="D6" i="22"/>
  <c r="D7" i="22"/>
  <c r="D8" i="22"/>
  <c r="D9" i="22"/>
  <c r="D10" i="22"/>
  <c r="D11" i="22"/>
  <c r="D12" i="22"/>
  <c r="D13" i="22"/>
  <c r="D14" i="22"/>
  <c r="D15" i="22"/>
  <c r="D16" i="22"/>
  <c r="D17" i="22"/>
  <c r="D18" i="22"/>
  <c r="D19" i="22"/>
  <c r="D20" i="22"/>
  <c r="D21" i="22"/>
  <c r="D22" i="22"/>
  <c r="D23" i="22"/>
  <c r="D24" i="22"/>
  <c r="D25" i="22"/>
  <c r="D26" i="22"/>
  <c r="D27" i="22"/>
  <c r="D28" i="22"/>
  <c r="D29" i="22"/>
  <c r="D30" i="22"/>
  <c r="D31" i="22"/>
  <c r="D32" i="22"/>
  <c r="D33" i="22"/>
  <c r="D34" i="22"/>
  <c r="D35" i="22"/>
  <c r="D36" i="22"/>
  <c r="D37" i="22"/>
  <c r="D38" i="22"/>
  <c r="D39" i="22"/>
  <c r="D40" i="22"/>
  <c r="D41" i="22"/>
  <c r="D42" i="22"/>
  <c r="D43" i="22"/>
  <c r="D44" i="22"/>
  <c r="D45" i="22"/>
  <c r="D46" i="22"/>
  <c r="D47" i="22"/>
  <c r="D48" i="22"/>
  <c r="D49" i="22"/>
  <c r="D50" i="22"/>
  <c r="D51" i="22"/>
  <c r="D52" i="22"/>
  <c r="D53" i="22"/>
  <c r="D54" i="22"/>
  <c r="D55" i="22"/>
  <c r="D56" i="22"/>
  <c r="D57" i="22"/>
  <c r="D58" i="22"/>
  <c r="D59" i="22"/>
  <c r="D60" i="22"/>
  <c r="D61" i="22"/>
  <c r="D62" i="22"/>
  <c r="D63" i="22"/>
  <c r="D64" i="22"/>
  <c r="D65" i="22"/>
  <c r="D66" i="22"/>
  <c r="D67" i="22"/>
  <c r="D68" i="22"/>
  <c r="D69" i="22"/>
  <c r="D70" i="22"/>
  <c r="D71" i="22"/>
  <c r="D72" i="22"/>
  <c r="D73" i="22"/>
  <c r="D74" i="22"/>
  <c r="D75" i="22"/>
  <c r="D76" i="22"/>
  <c r="D77" i="22"/>
  <c r="D78" i="22"/>
  <c r="D79" i="22"/>
  <c r="D80" i="22"/>
  <c r="D81" i="22"/>
  <c r="D82" i="22"/>
  <c r="D83" i="22"/>
  <c r="D84" i="22"/>
  <c r="D85" i="22"/>
  <c r="D86" i="22"/>
  <c r="D87" i="22"/>
  <c r="D88" i="22"/>
  <c r="D89" i="22"/>
  <c r="D90" i="22"/>
  <c r="D91" i="22"/>
  <c r="D93" i="22"/>
  <c r="D94" i="22"/>
  <c r="D95" i="22"/>
  <c r="D92" i="22"/>
  <c r="D96" i="22"/>
  <c r="D97" i="22"/>
  <c r="D98" i="22"/>
  <c r="D99" i="22"/>
  <c r="D100" i="22"/>
  <c r="D101" i="22"/>
  <c r="D102" i="22"/>
  <c r="D5" i="49"/>
  <c r="D6" i="49"/>
  <c r="D7" i="49"/>
  <c r="D8" i="49"/>
  <c r="D9" i="49"/>
  <c r="D10" i="49"/>
  <c r="D11" i="49"/>
  <c r="D12" i="49"/>
  <c r="D13" i="49"/>
  <c r="D14" i="49"/>
  <c r="D15" i="49"/>
  <c r="D16" i="49"/>
  <c r="D17" i="49"/>
  <c r="D18" i="49"/>
  <c r="D19" i="49"/>
  <c r="D20" i="49"/>
  <c r="D21" i="49"/>
  <c r="D22" i="49"/>
  <c r="D23" i="49"/>
  <c r="D24" i="49"/>
  <c r="D25" i="49"/>
  <c r="D26" i="49"/>
  <c r="D27" i="49"/>
  <c r="D28" i="49"/>
  <c r="D29" i="49"/>
  <c r="D30" i="49"/>
  <c r="D31" i="49"/>
  <c r="D32" i="49"/>
  <c r="D33" i="49"/>
  <c r="D34" i="49"/>
  <c r="D35" i="49"/>
  <c r="D36" i="49"/>
  <c r="D37" i="49"/>
  <c r="D38" i="49"/>
  <c r="D39" i="49"/>
  <c r="D40" i="49"/>
  <c r="D41" i="49"/>
  <c r="D42" i="49"/>
  <c r="D43" i="49"/>
  <c r="D44" i="49"/>
  <c r="D45" i="49"/>
  <c r="D46" i="49"/>
  <c r="D47" i="49"/>
  <c r="D48" i="49"/>
  <c r="D49" i="49"/>
  <c r="D50" i="49"/>
  <c r="D51" i="49"/>
  <c r="D52" i="49"/>
  <c r="D53" i="49"/>
  <c r="D54" i="49"/>
  <c r="D55" i="49"/>
  <c r="D56" i="49"/>
  <c r="D57" i="49"/>
  <c r="D58" i="49"/>
  <c r="D59" i="49"/>
  <c r="D60" i="49"/>
  <c r="D61" i="49"/>
  <c r="D62" i="49"/>
  <c r="D63" i="49"/>
  <c r="D64" i="49"/>
  <c r="D65" i="49"/>
  <c r="D73" i="49"/>
  <c r="D74" i="49"/>
  <c r="D66" i="49"/>
  <c r="D67" i="49"/>
  <c r="D68" i="49"/>
  <c r="D69" i="49"/>
  <c r="D70" i="49"/>
  <c r="D71" i="49"/>
  <c r="D72" i="49"/>
  <c r="D75" i="49"/>
  <c r="D76" i="49"/>
  <c r="D77" i="49"/>
  <c r="D78" i="49"/>
  <c r="D79" i="49"/>
  <c r="D80" i="49"/>
  <c r="D81" i="49"/>
  <c r="D82" i="49"/>
  <c r="D83" i="49"/>
  <c r="D84" i="49"/>
  <c r="D86" i="49"/>
  <c r="D85" i="49"/>
  <c r="D87" i="49"/>
  <c r="D88" i="49"/>
  <c r="D89" i="49"/>
  <c r="D90" i="49"/>
  <c r="D91" i="49"/>
  <c r="D92" i="49"/>
  <c r="D93" i="49"/>
  <c r="D94" i="49"/>
  <c r="D95" i="49"/>
  <c r="D96" i="49"/>
  <c r="D97" i="49"/>
  <c r="D98" i="49"/>
  <c r="D99" i="49"/>
  <c r="D100" i="49"/>
  <c r="D101" i="49"/>
  <c r="D102" i="49"/>
  <c r="D103" i="49"/>
  <c r="D5" i="46"/>
  <c r="D6" i="46"/>
  <c r="D7" i="46"/>
  <c r="D8" i="46"/>
  <c r="D9" i="46"/>
  <c r="D10" i="46"/>
  <c r="D11" i="46"/>
  <c r="D12" i="46"/>
  <c r="D13" i="46"/>
  <c r="D14" i="46"/>
  <c r="D15" i="46"/>
  <c r="D16" i="46"/>
  <c r="D17" i="46"/>
  <c r="D18" i="46"/>
  <c r="D19" i="46"/>
  <c r="D20" i="46"/>
  <c r="D21" i="46"/>
  <c r="D22" i="46"/>
  <c r="D23" i="46"/>
  <c r="D24" i="46"/>
  <c r="D25" i="46"/>
  <c r="D26" i="46"/>
  <c r="D27" i="46"/>
  <c r="D28" i="46"/>
  <c r="D29" i="46"/>
  <c r="D30" i="46"/>
  <c r="D31" i="46"/>
  <c r="D32" i="46"/>
  <c r="D33" i="46"/>
  <c r="D34" i="46"/>
  <c r="D35" i="46"/>
  <c r="D36" i="46"/>
  <c r="D37" i="46"/>
  <c r="D38" i="46"/>
  <c r="D39" i="46"/>
  <c r="D40" i="46"/>
  <c r="D41" i="46"/>
  <c r="D42" i="46"/>
  <c r="D43" i="46"/>
  <c r="D44" i="46"/>
  <c r="D45" i="46"/>
  <c r="D46" i="46"/>
  <c r="D47" i="46"/>
  <c r="D48" i="46"/>
  <c r="D49" i="46"/>
  <c r="D50" i="46"/>
  <c r="D81" i="46"/>
  <c r="D51" i="46"/>
  <c r="D53" i="46"/>
  <c r="D54" i="46"/>
  <c r="D55" i="46"/>
  <c r="D56" i="46"/>
  <c r="D57" i="46"/>
  <c r="D58" i="46"/>
  <c r="D59" i="46"/>
  <c r="D60" i="46"/>
  <c r="D61" i="46"/>
  <c r="D62" i="46"/>
  <c r="D63" i="46"/>
  <c r="D64" i="46"/>
  <c r="D52" i="46"/>
  <c r="D65" i="46"/>
  <c r="D66" i="46"/>
  <c r="D67" i="46"/>
  <c r="D68" i="46"/>
  <c r="D69" i="46"/>
  <c r="D70" i="46"/>
  <c r="D71" i="46"/>
  <c r="D72" i="46"/>
  <c r="D73" i="46"/>
  <c r="D74" i="46"/>
  <c r="D75" i="46"/>
  <c r="D76" i="46"/>
  <c r="D77" i="46"/>
  <c r="D78" i="46"/>
  <c r="D79" i="46"/>
  <c r="D80" i="46"/>
  <c r="D82" i="46"/>
  <c r="D83" i="46"/>
  <c r="D84" i="46"/>
  <c r="D85" i="46"/>
  <c r="D86" i="46"/>
  <c r="D87" i="46"/>
  <c r="D88" i="46"/>
  <c r="D89" i="46"/>
  <c r="D90" i="46"/>
  <c r="D91" i="46"/>
  <c r="D92" i="46"/>
  <c r="D93" i="46"/>
  <c r="D94" i="46"/>
  <c r="D95" i="46"/>
  <c r="D96" i="46"/>
  <c r="D97" i="46"/>
  <c r="D98" i="46"/>
  <c r="D99" i="46"/>
  <c r="D100" i="46"/>
  <c r="D101" i="46"/>
  <c r="D102" i="46"/>
  <c r="D103" i="46"/>
  <c r="D5" i="51"/>
  <c r="D6" i="51"/>
  <c r="D7" i="51"/>
  <c r="D8" i="51"/>
  <c r="D9" i="51"/>
  <c r="D10" i="51"/>
  <c r="D11" i="51"/>
  <c r="D12" i="51"/>
  <c r="D13" i="51"/>
  <c r="D14" i="51"/>
  <c r="D15" i="51"/>
  <c r="D16" i="51"/>
  <c r="D17" i="51"/>
  <c r="D18" i="51"/>
  <c r="D19" i="51"/>
  <c r="D20" i="51"/>
  <c r="D21" i="51"/>
  <c r="D22" i="51"/>
  <c r="D23" i="51"/>
  <c r="D24" i="51"/>
  <c r="D25" i="51"/>
  <c r="D26" i="51"/>
  <c r="D27" i="51"/>
  <c r="D28" i="51"/>
  <c r="D29" i="51"/>
  <c r="D30" i="51"/>
  <c r="D31" i="51"/>
  <c r="D32" i="51"/>
  <c r="D33" i="51"/>
  <c r="D34" i="51"/>
  <c r="D35" i="51"/>
  <c r="D36" i="51"/>
  <c r="D37" i="51"/>
  <c r="D38" i="51"/>
  <c r="D39" i="51"/>
  <c r="D40" i="51"/>
  <c r="D41" i="51"/>
  <c r="D42" i="51"/>
  <c r="D43" i="51"/>
  <c r="D44" i="51"/>
  <c r="D45" i="51"/>
  <c r="D46" i="51"/>
  <c r="D47" i="51"/>
  <c r="D48" i="51"/>
  <c r="D49" i="51"/>
  <c r="D50" i="51"/>
  <c r="D51" i="51"/>
  <c r="D52" i="51"/>
  <c r="D53" i="51"/>
  <c r="D54" i="51"/>
  <c r="D55" i="51"/>
  <c r="D56" i="51"/>
  <c r="D57" i="51"/>
  <c r="D58" i="51"/>
  <c r="D59" i="51"/>
  <c r="D60" i="51"/>
  <c r="D61" i="51"/>
  <c r="D62" i="51"/>
  <c r="D63" i="51"/>
  <c r="D64" i="51"/>
  <c r="D65" i="51"/>
  <c r="D66" i="51"/>
  <c r="D67" i="51"/>
  <c r="D68" i="51"/>
  <c r="D69" i="51"/>
  <c r="D70" i="51"/>
  <c r="D71" i="51"/>
  <c r="D72" i="51"/>
  <c r="D73" i="51"/>
  <c r="D74" i="51"/>
  <c r="D75" i="51"/>
  <c r="D76" i="51"/>
  <c r="D77" i="51"/>
  <c r="D78" i="51"/>
  <c r="D79" i="51"/>
  <c r="D80" i="51"/>
  <c r="D81" i="51"/>
  <c r="D82" i="51"/>
  <c r="D83" i="51"/>
  <c r="D84" i="51"/>
  <c r="D85" i="51"/>
  <c r="D86" i="51"/>
  <c r="D87" i="51"/>
  <c r="D88" i="51"/>
  <c r="D89" i="51"/>
  <c r="D90" i="51"/>
  <c r="D91" i="51"/>
  <c r="D93" i="51"/>
  <c r="D92" i="51"/>
  <c r="D94" i="51"/>
  <c r="D95" i="51"/>
  <c r="D96" i="51"/>
  <c r="D97" i="51"/>
  <c r="D98" i="51"/>
  <c r="D99" i="51"/>
  <c r="D100" i="51"/>
  <c r="D101" i="51"/>
  <c r="D102" i="51"/>
  <c r="D103" i="51"/>
  <c r="D6" i="20"/>
  <c r="D7" i="20"/>
  <c r="D8" i="20"/>
  <c r="D9" i="20"/>
  <c r="D10" i="20"/>
  <c r="D11" i="20"/>
  <c r="D12" i="20"/>
  <c r="D13" i="20"/>
  <c r="D14" i="20"/>
  <c r="D15" i="20"/>
  <c r="D16" i="20"/>
  <c r="D17" i="20"/>
  <c r="D18" i="20"/>
  <c r="D19" i="20"/>
  <c r="D20" i="20"/>
  <c r="D21" i="20"/>
  <c r="D22" i="20"/>
  <c r="D23" i="20"/>
  <c r="D24" i="20"/>
  <c r="D25" i="20"/>
  <c r="D26" i="20"/>
  <c r="D27" i="20"/>
  <c r="D28" i="20"/>
  <c r="D29" i="20"/>
  <c r="D30" i="20"/>
  <c r="D31" i="20"/>
  <c r="D32" i="20"/>
  <c r="D33" i="20"/>
  <c r="D34" i="20"/>
  <c r="D35" i="20"/>
  <c r="D36" i="20"/>
  <c r="D37" i="20"/>
  <c r="D38" i="20"/>
  <c r="D39" i="20"/>
  <c r="D40" i="20"/>
  <c r="D41" i="20"/>
  <c r="D42" i="20"/>
  <c r="D43" i="20"/>
  <c r="D44" i="20"/>
  <c r="D45" i="20"/>
  <c r="D46" i="20"/>
  <c r="D47" i="20"/>
  <c r="D48" i="20"/>
  <c r="D49" i="20"/>
  <c r="D50" i="20"/>
  <c r="D51" i="20"/>
  <c r="D52" i="20"/>
  <c r="D53" i="20"/>
  <c r="D54" i="20"/>
  <c r="D55" i="20"/>
  <c r="D56" i="20"/>
  <c r="D57" i="20"/>
  <c r="D58" i="20"/>
  <c r="D59" i="20"/>
  <c r="D60" i="20"/>
  <c r="D61" i="20"/>
  <c r="D62" i="20"/>
  <c r="D63" i="20"/>
  <c r="D64" i="20"/>
  <c r="D65" i="20"/>
  <c r="D66" i="20"/>
  <c r="D67" i="20"/>
  <c r="D68" i="20"/>
  <c r="D69" i="20"/>
  <c r="D70" i="20"/>
  <c r="D71" i="20"/>
  <c r="D72" i="20"/>
  <c r="D73" i="20"/>
  <c r="D74" i="20"/>
  <c r="D75" i="20"/>
  <c r="D76" i="20"/>
  <c r="D77" i="20"/>
  <c r="D78" i="20"/>
  <c r="D79" i="20"/>
  <c r="D80" i="20"/>
  <c r="D81" i="20"/>
  <c r="D82" i="20"/>
  <c r="D83" i="20"/>
  <c r="D84" i="20"/>
  <c r="D85" i="20"/>
  <c r="D86" i="20"/>
  <c r="D87" i="20"/>
  <c r="D88" i="20"/>
  <c r="D89" i="20"/>
  <c r="D90" i="20"/>
  <c r="D91" i="20"/>
  <c r="D92" i="20"/>
  <c r="D93" i="20"/>
  <c r="D94" i="20"/>
  <c r="D95" i="20"/>
  <c r="D96" i="20"/>
  <c r="D97" i="20"/>
  <c r="D98" i="20"/>
  <c r="D99" i="20"/>
  <c r="D100" i="20"/>
  <c r="D101" i="20"/>
  <c r="D102" i="20"/>
  <c r="D4" i="59"/>
  <c r="D5" i="59"/>
  <c r="D6" i="59"/>
  <c r="D7" i="59"/>
  <c r="D8" i="59"/>
  <c r="D9" i="59"/>
  <c r="D10" i="59"/>
  <c r="D11" i="59"/>
  <c r="D12" i="59"/>
  <c r="D13" i="59"/>
  <c r="D14" i="59"/>
  <c r="D15" i="59"/>
  <c r="D16" i="59"/>
  <c r="D17" i="59"/>
  <c r="D18" i="59"/>
  <c r="D19" i="59"/>
  <c r="D20" i="59"/>
  <c r="D21" i="59"/>
  <c r="D22" i="59"/>
  <c r="D23" i="59"/>
  <c r="D24" i="59"/>
  <c r="D25" i="59"/>
  <c r="D26" i="59"/>
  <c r="D27" i="59"/>
  <c r="D28" i="59"/>
  <c r="D29" i="59"/>
  <c r="D30" i="59"/>
  <c r="D31" i="59"/>
  <c r="D32" i="59"/>
  <c r="D33" i="59"/>
  <c r="D34" i="59"/>
  <c r="D35" i="59"/>
  <c r="D36" i="59"/>
  <c r="D37" i="59"/>
  <c r="D38" i="59"/>
  <c r="D39" i="59"/>
  <c r="D40" i="59"/>
  <c r="D41" i="59"/>
  <c r="D42" i="59"/>
  <c r="D43" i="59"/>
  <c r="D44" i="59"/>
  <c r="D45" i="59"/>
  <c r="D46" i="59"/>
  <c r="D47" i="59"/>
  <c r="D48" i="59"/>
  <c r="D49" i="59"/>
  <c r="D50" i="59"/>
  <c r="D51" i="59"/>
  <c r="D52" i="59"/>
  <c r="D98" i="59"/>
  <c r="D53" i="59"/>
  <c r="D54" i="59"/>
  <c r="D55" i="59"/>
  <c r="D56" i="59"/>
  <c r="D57" i="59"/>
  <c r="D58" i="59"/>
  <c r="D59" i="59"/>
  <c r="D60" i="59"/>
  <c r="D61" i="59"/>
  <c r="D62" i="59"/>
  <c r="D63" i="59"/>
  <c r="D64" i="59"/>
  <c r="D65" i="59"/>
  <c r="D66" i="59"/>
  <c r="D67" i="59"/>
  <c r="D68" i="59"/>
  <c r="D69" i="59"/>
  <c r="D70" i="59"/>
  <c r="D71" i="59"/>
  <c r="D72" i="59"/>
  <c r="D73" i="59"/>
  <c r="D74" i="59"/>
  <c r="D75" i="59"/>
  <c r="D76" i="59"/>
  <c r="D77" i="59"/>
  <c r="D78" i="59"/>
  <c r="D79" i="59"/>
  <c r="D99" i="59"/>
  <c r="D80" i="59"/>
  <c r="D81" i="59"/>
  <c r="D82" i="59"/>
  <c r="D83" i="59"/>
  <c r="D84" i="59"/>
  <c r="D85" i="59"/>
  <c r="D86" i="59"/>
  <c r="D87" i="59"/>
  <c r="D88" i="59"/>
  <c r="D89" i="59"/>
  <c r="D90" i="59"/>
  <c r="D91" i="59"/>
  <c r="D92" i="59"/>
  <c r="D93" i="59"/>
  <c r="D94" i="59"/>
  <c r="D95" i="59"/>
  <c r="D96" i="59"/>
  <c r="D97" i="59"/>
  <c r="D100" i="59"/>
  <c r="D101" i="59"/>
  <c r="D102" i="59"/>
  <c r="D4" i="57"/>
  <c r="D3" i="58"/>
  <c r="D5" i="22"/>
  <c r="D4" i="49"/>
  <c r="D4" i="46"/>
  <c r="D4" i="51"/>
  <c r="D5" i="20"/>
  <c r="D3" i="59"/>
  <c r="D5" i="21"/>
  <c r="D6" i="21"/>
  <c r="D7" i="21"/>
  <c r="D8" i="21"/>
  <c r="D9" i="21"/>
  <c r="D10" i="21"/>
  <c r="D11" i="21"/>
  <c r="D12" i="21"/>
  <c r="D13" i="21"/>
  <c r="D14" i="21"/>
  <c r="D15" i="21"/>
  <c r="D16" i="21"/>
  <c r="D17" i="21"/>
  <c r="D18" i="21"/>
  <c r="D19" i="21"/>
  <c r="D20" i="21"/>
  <c r="D21" i="21"/>
  <c r="D22" i="21"/>
  <c r="D23" i="21"/>
  <c r="D24" i="21"/>
  <c r="D25" i="21"/>
  <c r="D26" i="21"/>
  <c r="D27" i="21"/>
  <c r="D28" i="21"/>
  <c r="D29" i="21"/>
  <c r="D30" i="21"/>
  <c r="D31" i="21"/>
  <c r="D32" i="21"/>
  <c r="D33" i="21"/>
  <c r="D34" i="21"/>
  <c r="D35" i="21"/>
  <c r="D36" i="21"/>
  <c r="D37" i="21"/>
  <c r="D38" i="21"/>
  <c r="D39" i="21"/>
  <c r="D40" i="21"/>
  <c r="D41" i="21"/>
  <c r="D42" i="21"/>
  <c r="D43" i="21"/>
  <c r="D44" i="21"/>
  <c r="D45" i="21"/>
  <c r="D46" i="21"/>
  <c r="D47" i="21"/>
  <c r="D48" i="21"/>
  <c r="D49" i="21"/>
  <c r="D50" i="21"/>
  <c r="D51" i="21"/>
  <c r="D52" i="21"/>
  <c r="D53" i="21"/>
  <c r="D54" i="21"/>
  <c r="D55" i="21"/>
  <c r="D56" i="21"/>
  <c r="D57" i="21"/>
  <c r="D58" i="21"/>
  <c r="D59" i="21"/>
  <c r="D60" i="21"/>
  <c r="D61" i="21"/>
  <c r="D62" i="21"/>
  <c r="D63" i="21"/>
  <c r="D64" i="21"/>
  <c r="D65" i="21"/>
  <c r="D66" i="21"/>
  <c r="D67" i="21"/>
  <c r="D68" i="21"/>
  <c r="D69" i="21"/>
  <c r="D70" i="21"/>
  <c r="D71" i="21"/>
  <c r="D72" i="21"/>
  <c r="D73" i="21"/>
  <c r="D74" i="21"/>
  <c r="D75" i="21"/>
  <c r="D76" i="21"/>
  <c r="D77" i="21"/>
  <c r="D78" i="21"/>
  <c r="D79" i="21"/>
  <c r="D80" i="21"/>
  <c r="D81" i="21"/>
  <c r="D82" i="21"/>
  <c r="D83" i="21"/>
  <c r="D84" i="21"/>
  <c r="D85" i="21"/>
  <c r="D86" i="21"/>
  <c r="D87" i="21"/>
  <c r="D88" i="21"/>
  <c r="D89" i="21"/>
  <c r="D90" i="21"/>
  <c r="D91" i="21"/>
  <c r="D92" i="21"/>
  <c r="D93" i="21"/>
  <c r="D94" i="21"/>
  <c r="D95" i="21"/>
  <c r="D96" i="21"/>
  <c r="D97" i="21"/>
  <c r="D98" i="21"/>
  <c r="D99" i="21"/>
  <c r="D100" i="21"/>
  <c r="D101" i="21"/>
  <c r="D102" i="21"/>
  <c r="D6" i="23"/>
  <c r="D7" i="23"/>
  <c r="D8" i="23"/>
  <c r="D9" i="23"/>
  <c r="D10" i="23"/>
  <c r="D11" i="23"/>
  <c r="D12" i="23"/>
  <c r="D13" i="23"/>
  <c r="D14" i="23"/>
  <c r="D15" i="23"/>
  <c r="D16" i="23"/>
  <c r="D17" i="23"/>
  <c r="D18" i="23"/>
  <c r="D19" i="23"/>
  <c r="D20" i="23"/>
  <c r="D21" i="23"/>
  <c r="D22" i="23"/>
  <c r="D23" i="23"/>
  <c r="D24" i="23"/>
  <c r="D25" i="23"/>
  <c r="D26" i="23"/>
  <c r="D27" i="23"/>
  <c r="D28" i="23"/>
  <c r="D29" i="23"/>
  <c r="D30" i="23"/>
  <c r="D31" i="23"/>
  <c r="D32" i="23"/>
  <c r="D33" i="23"/>
  <c r="D34" i="23"/>
  <c r="D35" i="23"/>
  <c r="D36" i="23"/>
  <c r="D37" i="23"/>
  <c r="D38" i="23"/>
  <c r="D39" i="23"/>
  <c r="D40" i="23"/>
  <c r="D41" i="23"/>
  <c r="D42" i="23"/>
  <c r="D43" i="23"/>
  <c r="D44" i="23"/>
  <c r="D45" i="23"/>
  <c r="D46" i="23"/>
  <c r="D47" i="23"/>
  <c r="D48" i="23"/>
  <c r="D49" i="23"/>
  <c r="D50" i="23"/>
  <c r="D51" i="23"/>
  <c r="D52" i="23"/>
  <c r="D53" i="23"/>
  <c r="D54" i="23"/>
  <c r="D55" i="23"/>
  <c r="D56" i="23"/>
  <c r="D57" i="23"/>
  <c r="D58" i="23"/>
  <c r="D59" i="23"/>
  <c r="D60" i="23"/>
  <c r="D61" i="23"/>
  <c r="D62" i="23"/>
  <c r="D63" i="23"/>
  <c r="D64" i="23"/>
  <c r="D65" i="23"/>
  <c r="D66" i="23"/>
  <c r="D67" i="23"/>
  <c r="D68" i="23"/>
  <c r="D69" i="23"/>
  <c r="D70" i="23"/>
  <c r="D71" i="23"/>
  <c r="D72" i="23"/>
  <c r="D73" i="23"/>
  <c r="D74" i="23"/>
  <c r="D75" i="23"/>
  <c r="D76" i="23"/>
  <c r="D77" i="23"/>
  <c r="D78" i="23"/>
  <c r="D79" i="23"/>
  <c r="D80" i="23"/>
  <c r="D81" i="23"/>
  <c r="D82" i="23"/>
  <c r="D83" i="23"/>
  <c r="D84" i="23"/>
  <c r="D85" i="23"/>
  <c r="D86" i="23"/>
  <c r="D87" i="23"/>
  <c r="D88" i="23"/>
  <c r="D89" i="23"/>
  <c r="D90" i="23"/>
  <c r="D91" i="23"/>
  <c r="D92" i="23"/>
  <c r="D93" i="23"/>
  <c r="D94" i="23"/>
  <c r="D95" i="23"/>
  <c r="D96" i="23"/>
  <c r="D97" i="23"/>
  <c r="D98" i="23"/>
  <c r="D99" i="23"/>
  <c r="D100" i="23"/>
  <c r="D101" i="23"/>
  <c r="D102" i="23"/>
  <c r="D5" i="39"/>
  <c r="D6" i="39"/>
  <c r="D7" i="39"/>
  <c r="D8" i="39"/>
  <c r="D9" i="39"/>
  <c r="D10" i="39"/>
  <c r="D11" i="39"/>
  <c r="D12" i="39"/>
  <c r="D13" i="39"/>
  <c r="D14" i="39"/>
  <c r="D15" i="39"/>
  <c r="D16" i="39"/>
  <c r="D17" i="39"/>
  <c r="D18" i="39"/>
  <c r="D19" i="39"/>
  <c r="D20" i="39"/>
  <c r="D21" i="39"/>
  <c r="D22" i="39"/>
  <c r="D23" i="39"/>
  <c r="D24" i="39"/>
  <c r="D25" i="39"/>
  <c r="D26" i="39"/>
  <c r="D27" i="39"/>
  <c r="D28" i="39"/>
  <c r="D29" i="39"/>
  <c r="D30" i="39"/>
  <c r="D31" i="39"/>
  <c r="D32" i="39"/>
  <c r="D33" i="39"/>
  <c r="D34" i="39"/>
  <c r="D35" i="39"/>
  <c r="D36" i="39"/>
  <c r="D37" i="39"/>
  <c r="D38" i="39"/>
  <c r="D39" i="39"/>
  <c r="D40" i="39"/>
  <c r="D41" i="39"/>
  <c r="D42" i="39"/>
  <c r="D43" i="39"/>
  <c r="D44" i="39"/>
  <c r="D45" i="39"/>
  <c r="D46" i="39"/>
  <c r="D47" i="39"/>
  <c r="D48" i="39"/>
  <c r="D49" i="39"/>
  <c r="D50" i="39"/>
  <c r="D51" i="39"/>
  <c r="D52" i="39"/>
  <c r="D53" i="39"/>
  <c r="D54" i="39"/>
  <c r="D55" i="39"/>
  <c r="D56" i="39"/>
  <c r="D57" i="39"/>
  <c r="D58" i="39"/>
  <c r="D59" i="39"/>
  <c r="D60" i="39"/>
  <c r="D61" i="39"/>
  <c r="D62" i="39"/>
  <c r="D63" i="39"/>
  <c r="D64" i="39"/>
  <c r="D65" i="39"/>
  <c r="D66" i="39"/>
  <c r="D67" i="39"/>
  <c r="D68" i="39"/>
  <c r="D69" i="39"/>
  <c r="D70" i="39"/>
  <c r="D71" i="39"/>
  <c r="D72" i="39"/>
  <c r="D73" i="39"/>
  <c r="D74" i="39"/>
  <c r="D75" i="39"/>
  <c r="D76" i="39"/>
  <c r="D77" i="39"/>
  <c r="D78" i="39"/>
  <c r="D79" i="39"/>
  <c r="D80" i="39"/>
  <c r="D81" i="39"/>
  <c r="D82" i="39"/>
  <c r="D83" i="39"/>
  <c r="D84" i="39"/>
  <c r="D85" i="39"/>
  <c r="D86" i="39"/>
  <c r="D87" i="39"/>
  <c r="D88" i="39"/>
  <c r="D89" i="39"/>
  <c r="D90" i="39"/>
  <c r="D91" i="39"/>
  <c r="D92" i="39"/>
  <c r="D93" i="39"/>
  <c r="D94" i="39"/>
  <c r="D95" i="39"/>
  <c r="D96" i="39"/>
  <c r="D97" i="39"/>
  <c r="D98" i="39"/>
  <c r="D99" i="39"/>
  <c r="D100" i="39"/>
  <c r="D101" i="39"/>
  <c r="D102" i="39"/>
  <c r="D5" i="32"/>
  <c r="D6" i="32"/>
  <c r="D7" i="32"/>
  <c r="D8" i="32"/>
  <c r="D9" i="32"/>
  <c r="D10" i="32"/>
  <c r="D11" i="32"/>
  <c r="D12" i="32"/>
  <c r="D13" i="32"/>
  <c r="D14" i="32"/>
  <c r="D15" i="32"/>
  <c r="D16" i="32"/>
  <c r="D17" i="32"/>
  <c r="D18" i="32"/>
  <c r="D19" i="32"/>
  <c r="D20" i="32"/>
  <c r="D21" i="32"/>
  <c r="D22" i="32"/>
  <c r="D23" i="32"/>
  <c r="D24" i="32"/>
  <c r="D25" i="32"/>
  <c r="D26" i="32"/>
  <c r="D28" i="32"/>
  <c r="D29" i="32"/>
  <c r="D30" i="32"/>
  <c r="D31" i="32"/>
  <c r="D32" i="32"/>
  <c r="D33" i="32"/>
  <c r="D34" i="32"/>
  <c r="D35" i="32"/>
  <c r="D36" i="32"/>
  <c r="D37" i="32"/>
  <c r="D38" i="32"/>
  <c r="D39" i="32"/>
  <c r="D40" i="32"/>
  <c r="D41" i="32"/>
  <c r="D42" i="32"/>
  <c r="D43" i="32"/>
  <c r="D44" i="32"/>
  <c r="D45" i="32"/>
  <c r="D46" i="32"/>
  <c r="D47" i="32"/>
  <c r="D48" i="32"/>
  <c r="D49" i="32"/>
  <c r="D50" i="32"/>
  <c r="D51" i="32"/>
  <c r="D52" i="32"/>
  <c r="D53" i="32"/>
  <c r="D54" i="32"/>
  <c r="D55" i="32"/>
  <c r="D56" i="32"/>
  <c r="D57" i="32"/>
  <c r="D58" i="32"/>
  <c r="D59" i="32"/>
  <c r="D60" i="32"/>
  <c r="D61" i="32"/>
  <c r="D62" i="32"/>
  <c r="D63" i="32"/>
  <c r="D64" i="32"/>
  <c r="D65" i="32"/>
  <c r="D66" i="32"/>
  <c r="D67" i="32"/>
  <c r="D68" i="32"/>
  <c r="D69" i="32"/>
  <c r="D70" i="32"/>
  <c r="D71" i="32"/>
  <c r="D72" i="32"/>
  <c r="D73" i="32"/>
  <c r="D74" i="32"/>
  <c r="D75" i="32"/>
  <c r="D76" i="32"/>
  <c r="D77" i="32"/>
  <c r="D78" i="32"/>
  <c r="D79" i="32"/>
  <c r="D80" i="32"/>
  <c r="D81" i="32"/>
  <c r="D95" i="32"/>
  <c r="D96" i="32"/>
  <c r="D97" i="32"/>
  <c r="D98" i="32"/>
  <c r="D99" i="32"/>
  <c r="D100" i="32"/>
  <c r="D27" i="32"/>
  <c r="D101" i="32"/>
  <c r="D102" i="32"/>
  <c r="D82" i="32"/>
  <c r="D83" i="32"/>
  <c r="D84" i="32"/>
  <c r="D85" i="32"/>
  <c r="D86" i="32"/>
  <c r="D87" i="32"/>
  <c r="D88" i="32"/>
  <c r="D89" i="32"/>
  <c r="D90" i="32"/>
  <c r="D91" i="32"/>
  <c r="D92" i="32"/>
  <c r="D93" i="32"/>
  <c r="D94" i="32"/>
  <c r="D5" i="25"/>
  <c r="D6" i="25"/>
  <c r="D7" i="25"/>
  <c r="D8" i="25"/>
  <c r="D9" i="25"/>
  <c r="D10" i="25"/>
  <c r="D11" i="25"/>
  <c r="D12" i="25"/>
  <c r="D13" i="25"/>
  <c r="D14" i="25"/>
  <c r="D15" i="25"/>
  <c r="D16" i="25"/>
  <c r="D17" i="25"/>
  <c r="D18" i="25"/>
  <c r="D19" i="25"/>
  <c r="D20" i="25"/>
  <c r="D21" i="25"/>
  <c r="D22" i="25"/>
  <c r="D23" i="25"/>
  <c r="D24" i="25"/>
  <c r="D25" i="25"/>
  <c r="D26" i="25"/>
  <c r="D27" i="25"/>
  <c r="D28" i="25"/>
  <c r="D29" i="25"/>
  <c r="D30" i="25"/>
  <c r="D31" i="25"/>
  <c r="D32" i="25"/>
  <c r="D33" i="25"/>
  <c r="D34" i="25"/>
  <c r="D35" i="25"/>
  <c r="D36" i="25"/>
  <c r="D37" i="25"/>
  <c r="D38" i="25"/>
  <c r="D39" i="25"/>
  <c r="D40" i="25"/>
  <c r="D41" i="25"/>
  <c r="D42" i="25"/>
  <c r="D43" i="25"/>
  <c r="D44" i="25"/>
  <c r="D45" i="25"/>
  <c r="D46" i="25"/>
  <c r="D47" i="25"/>
  <c r="D48" i="25"/>
  <c r="D49" i="25"/>
  <c r="D50" i="25"/>
  <c r="D51" i="25"/>
  <c r="D52" i="25"/>
  <c r="D53" i="25"/>
  <c r="D54" i="25"/>
  <c r="D55" i="25"/>
  <c r="D56" i="25"/>
  <c r="D57" i="25"/>
  <c r="D58" i="25"/>
  <c r="D59" i="25"/>
  <c r="D60" i="25"/>
  <c r="D61" i="25"/>
  <c r="D62" i="25"/>
  <c r="D63" i="25"/>
  <c r="D64" i="25"/>
  <c r="D65" i="25"/>
  <c r="D66" i="25"/>
  <c r="D67" i="25"/>
  <c r="D68" i="25"/>
  <c r="D69" i="25"/>
  <c r="D70" i="25"/>
  <c r="D71" i="25"/>
  <c r="D72" i="25"/>
  <c r="D73" i="25"/>
  <c r="D74" i="25"/>
  <c r="D75" i="25"/>
  <c r="D76" i="25"/>
  <c r="D77" i="25"/>
  <c r="D78" i="25"/>
  <c r="D79" i="25"/>
  <c r="D80" i="25"/>
  <c r="D81" i="25"/>
  <c r="D82" i="25"/>
  <c r="D83" i="25"/>
  <c r="D84" i="25"/>
  <c r="D85" i="25"/>
  <c r="D86" i="25"/>
  <c r="D87" i="25"/>
  <c r="D88" i="25"/>
  <c r="D89" i="25"/>
  <c r="D90" i="25"/>
  <c r="D91" i="25"/>
  <c r="D92" i="25"/>
  <c r="D93" i="25"/>
  <c r="D94" i="25"/>
  <c r="D95" i="25"/>
  <c r="D96" i="25"/>
  <c r="D97" i="25"/>
  <c r="D98" i="25"/>
  <c r="D99" i="25"/>
  <c r="D100" i="25"/>
  <c r="D101" i="25"/>
  <c r="D102" i="25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5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96" i="26"/>
  <c r="D49" i="26"/>
  <c r="D61" i="26"/>
  <c r="D50" i="26"/>
  <c r="D51" i="26"/>
  <c r="D52" i="26"/>
  <c r="D53" i="26"/>
  <c r="D54" i="26"/>
  <c r="D55" i="26"/>
  <c r="D56" i="26"/>
  <c r="D57" i="26"/>
  <c r="D58" i="26"/>
  <c r="D59" i="26"/>
  <c r="D60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7" i="26"/>
  <c r="D98" i="26"/>
  <c r="D99" i="26"/>
  <c r="D100" i="26"/>
  <c r="D101" i="26"/>
  <c r="D102" i="26"/>
  <c r="D5" i="28"/>
  <c r="D6" i="28"/>
  <c r="D7" i="28"/>
  <c r="D8" i="28"/>
  <c r="D9" i="28"/>
  <c r="D10" i="28"/>
  <c r="D11" i="28"/>
  <c r="D12" i="28"/>
  <c r="D13" i="28"/>
  <c r="D14" i="28"/>
  <c r="D15" i="28"/>
  <c r="D16" i="28"/>
  <c r="D17" i="28"/>
  <c r="D18" i="28"/>
  <c r="D19" i="28"/>
  <c r="D20" i="28"/>
  <c r="D21" i="28"/>
  <c r="D22" i="28"/>
  <c r="D23" i="28"/>
  <c r="D24" i="28"/>
  <c r="D25" i="28"/>
  <c r="D26" i="28"/>
  <c r="D27" i="28"/>
  <c r="D28" i="28"/>
  <c r="D29" i="28"/>
  <c r="D30" i="28"/>
  <c r="D31" i="28"/>
  <c r="D32" i="28"/>
  <c r="D33" i="28"/>
  <c r="D34" i="28"/>
  <c r="D35" i="28"/>
  <c r="D36" i="28"/>
  <c r="D37" i="28"/>
  <c r="D38" i="28"/>
  <c r="D39" i="28"/>
  <c r="D40" i="28"/>
  <c r="D41" i="28"/>
  <c r="D42" i="28"/>
  <c r="D43" i="28"/>
  <c r="D44" i="28"/>
  <c r="D45" i="28"/>
  <c r="D46" i="28"/>
  <c r="D47" i="28"/>
  <c r="D48" i="28"/>
  <c r="D49" i="28"/>
  <c r="D50" i="28"/>
  <c r="D51" i="28"/>
  <c r="D52" i="28"/>
  <c r="D53" i="28"/>
  <c r="D54" i="28"/>
  <c r="D55" i="28"/>
  <c r="D56" i="28"/>
  <c r="D57" i="28"/>
  <c r="D59" i="28"/>
  <c r="D60" i="28"/>
  <c r="D61" i="28"/>
  <c r="D62" i="28"/>
  <c r="D63" i="28"/>
  <c r="D64" i="28"/>
  <c r="D65" i="28"/>
  <c r="D66" i="28"/>
  <c r="D68" i="28"/>
  <c r="D69" i="28"/>
  <c r="D70" i="28"/>
  <c r="D72" i="28"/>
  <c r="D73" i="28"/>
  <c r="D74" i="28"/>
  <c r="D75" i="28"/>
  <c r="D76" i="28"/>
  <c r="D77" i="28"/>
  <c r="D78" i="28"/>
  <c r="D79" i="28"/>
  <c r="D80" i="28"/>
  <c r="D81" i="28"/>
  <c r="D82" i="28"/>
  <c r="D83" i="28"/>
  <c r="D58" i="28"/>
  <c r="D71" i="28"/>
  <c r="D84" i="28"/>
  <c r="D85" i="28"/>
  <c r="D86" i="28"/>
  <c r="D87" i="28"/>
  <c r="D88" i="28"/>
  <c r="D95" i="28"/>
  <c r="D89" i="28"/>
  <c r="D90" i="28"/>
  <c r="D91" i="28"/>
  <c r="D92" i="28"/>
  <c r="D93" i="28"/>
  <c r="D94" i="28"/>
  <c r="D96" i="28"/>
  <c r="D97" i="28"/>
  <c r="D67" i="28"/>
  <c r="D98" i="28"/>
  <c r="D99" i="28"/>
  <c r="D100" i="28"/>
  <c r="D101" i="28"/>
  <c r="D102" i="28"/>
  <c r="D4" i="24"/>
  <c r="D5" i="24"/>
  <c r="D6" i="24"/>
  <c r="D7" i="24"/>
  <c r="D8" i="24"/>
  <c r="D9" i="24"/>
  <c r="D10" i="24"/>
  <c r="D11" i="24"/>
  <c r="D12" i="24"/>
  <c r="D13" i="24"/>
  <c r="D14" i="24"/>
  <c r="D15" i="24"/>
  <c r="D16" i="24"/>
  <c r="D17" i="24"/>
  <c r="D18" i="24"/>
  <c r="D19" i="24"/>
  <c r="D20" i="24"/>
  <c r="D21" i="24"/>
  <c r="D22" i="24"/>
  <c r="D23" i="24"/>
  <c r="D24" i="24"/>
  <c r="D25" i="24"/>
  <c r="D26" i="24"/>
  <c r="D27" i="24"/>
  <c r="D28" i="24"/>
  <c r="D29" i="24"/>
  <c r="D30" i="24"/>
  <c r="D31" i="24"/>
  <c r="D32" i="24"/>
  <c r="D33" i="24"/>
  <c r="D34" i="24"/>
  <c r="D35" i="24"/>
  <c r="D36" i="24"/>
  <c r="D37" i="24"/>
  <c r="D38" i="24"/>
  <c r="D39" i="24"/>
  <c r="D40" i="24"/>
  <c r="D41" i="24"/>
  <c r="D42" i="24"/>
  <c r="D43" i="24"/>
  <c r="D44" i="24"/>
  <c r="D45" i="24"/>
  <c r="D46" i="24"/>
  <c r="D47" i="24"/>
  <c r="D48" i="24"/>
  <c r="D49" i="24"/>
  <c r="D50" i="24"/>
  <c r="D51" i="24"/>
  <c r="D52" i="24"/>
  <c r="D53" i="24"/>
  <c r="D54" i="24"/>
  <c r="D55" i="24"/>
  <c r="D56" i="24"/>
  <c r="D57" i="24"/>
  <c r="D58" i="24"/>
  <c r="D59" i="24"/>
  <c r="D60" i="24"/>
  <c r="D61" i="24"/>
  <c r="D62" i="24"/>
  <c r="D63" i="24"/>
  <c r="D64" i="24"/>
  <c r="D65" i="24"/>
  <c r="D66" i="24"/>
  <c r="D67" i="24"/>
  <c r="D68" i="24"/>
  <c r="D69" i="24"/>
  <c r="D70" i="24"/>
  <c r="D71" i="24"/>
  <c r="D72" i="24"/>
  <c r="D73" i="24"/>
  <c r="D74" i="24"/>
  <c r="D75" i="24"/>
  <c r="D76" i="24"/>
  <c r="D77" i="24"/>
  <c r="D78" i="24"/>
  <c r="D79" i="24"/>
  <c r="D80" i="24"/>
  <c r="D81" i="24"/>
  <c r="D82" i="24"/>
  <c r="D83" i="24"/>
  <c r="D84" i="24"/>
  <c r="D85" i="24"/>
  <c r="D86" i="24"/>
  <c r="D87" i="24"/>
  <c r="D88" i="24"/>
  <c r="D89" i="24"/>
  <c r="D90" i="24"/>
  <c r="D91" i="24"/>
  <c r="D92" i="24"/>
  <c r="D93" i="24"/>
  <c r="D94" i="24"/>
  <c r="D95" i="24"/>
  <c r="D96" i="24"/>
  <c r="D97" i="24"/>
  <c r="D98" i="24"/>
  <c r="D99" i="24"/>
  <c r="D100" i="24"/>
  <c r="D101" i="24"/>
  <c r="D5" i="30"/>
  <c r="D6" i="30"/>
  <c r="D7" i="30"/>
  <c r="D8" i="30"/>
  <c r="D9" i="30"/>
  <c r="D10" i="30"/>
  <c r="D11" i="30"/>
  <c r="D12" i="30"/>
  <c r="D13" i="30"/>
  <c r="D14" i="30"/>
  <c r="D15" i="30"/>
  <c r="D16" i="30"/>
  <c r="D17" i="30"/>
  <c r="D18" i="30"/>
  <c r="D19" i="30"/>
  <c r="D20" i="30"/>
  <c r="D21" i="30"/>
  <c r="D22" i="30"/>
  <c r="D23" i="30"/>
  <c r="D24" i="30"/>
  <c r="D25" i="30"/>
  <c r="D26" i="30"/>
  <c r="D27" i="30"/>
  <c r="D28" i="30"/>
  <c r="D29" i="30"/>
  <c r="D30" i="30"/>
  <c r="D31" i="30"/>
  <c r="D32" i="30"/>
  <c r="D33" i="30"/>
  <c r="D34" i="30"/>
  <c r="D35" i="30"/>
  <c r="D36" i="30"/>
  <c r="D37" i="30"/>
  <c r="D38" i="30"/>
  <c r="D39" i="30"/>
  <c r="D40" i="30"/>
  <c r="D41" i="30"/>
  <c r="D44" i="30"/>
  <c r="D45" i="30"/>
  <c r="D46" i="30"/>
  <c r="D47" i="30"/>
  <c r="D48" i="30"/>
  <c r="D49" i="30"/>
  <c r="D50" i="30"/>
  <c r="D51" i="30"/>
  <c r="D52" i="30"/>
  <c r="D53" i="30"/>
  <c r="D54" i="30"/>
  <c r="D55" i="30"/>
  <c r="D56" i="30"/>
  <c r="D57" i="30"/>
  <c r="D58" i="30"/>
  <c r="D59" i="30"/>
  <c r="D60" i="30"/>
  <c r="D61" i="30"/>
  <c r="D62" i="30"/>
  <c r="D63" i="30"/>
  <c r="D64" i="30"/>
  <c r="D65" i="30"/>
  <c r="D66" i="30"/>
  <c r="D67" i="30"/>
  <c r="D68" i="30"/>
  <c r="D69" i="30"/>
  <c r="D70" i="30"/>
  <c r="D71" i="30"/>
  <c r="D72" i="30"/>
  <c r="D73" i="30"/>
  <c r="D43" i="30"/>
  <c r="D74" i="30"/>
  <c r="D75" i="30"/>
  <c r="D76" i="30"/>
  <c r="D77" i="30"/>
  <c r="D78" i="30"/>
  <c r="D42" i="30"/>
  <c r="D79" i="30"/>
  <c r="D80" i="30"/>
  <c r="D81" i="30"/>
  <c r="D82" i="30"/>
  <c r="D83" i="30"/>
  <c r="D84" i="30"/>
  <c r="D85" i="30"/>
  <c r="D86" i="30"/>
  <c r="D87" i="30"/>
  <c r="D88" i="30"/>
  <c r="D89" i="30"/>
  <c r="D90" i="30"/>
  <c r="D91" i="30"/>
  <c r="D92" i="30"/>
  <c r="D93" i="30"/>
  <c r="D94" i="30"/>
  <c r="D95" i="30"/>
  <c r="D96" i="30"/>
  <c r="D97" i="30"/>
  <c r="D98" i="30"/>
  <c r="D99" i="30"/>
  <c r="D100" i="30"/>
  <c r="D101" i="30"/>
  <c r="D102" i="30"/>
  <c r="D6" i="31"/>
  <c r="D7" i="31"/>
  <c r="D8" i="31"/>
  <c r="D9" i="31"/>
  <c r="D10" i="31"/>
  <c r="D11" i="31"/>
  <c r="D12" i="31"/>
  <c r="D13" i="31"/>
  <c r="D14" i="31"/>
  <c r="D15" i="31"/>
  <c r="D16" i="31"/>
  <c r="D17" i="31"/>
  <c r="D18" i="31"/>
  <c r="D19" i="31"/>
  <c r="D20" i="31"/>
  <c r="D21" i="31"/>
  <c r="D22" i="31"/>
  <c r="D23" i="31"/>
  <c r="D24" i="31"/>
  <c r="D25" i="31"/>
  <c r="D26" i="31"/>
  <c r="D27" i="31"/>
  <c r="D28" i="31"/>
  <c r="D29" i="31"/>
  <c r="D30" i="31"/>
  <c r="D31" i="31"/>
  <c r="D32" i="31"/>
  <c r="D33" i="31"/>
  <c r="D34" i="31"/>
  <c r="D35" i="31"/>
  <c r="D36" i="31"/>
  <c r="D37" i="31"/>
  <c r="D38" i="31"/>
  <c r="D39" i="31"/>
  <c r="D40" i="31"/>
  <c r="D41" i="31"/>
  <c r="D42" i="31"/>
  <c r="D43" i="31"/>
  <c r="D44" i="31"/>
  <c r="D45" i="31"/>
  <c r="D46" i="31"/>
  <c r="D47" i="31"/>
  <c r="D48" i="31"/>
  <c r="D49" i="31"/>
  <c r="D50" i="31"/>
  <c r="D51" i="31"/>
  <c r="D52" i="31"/>
  <c r="D53" i="31"/>
  <c r="D54" i="31"/>
  <c r="D55" i="31"/>
  <c r="D56" i="31"/>
  <c r="D57" i="31"/>
  <c r="D58" i="31"/>
  <c r="D59" i="31"/>
  <c r="D60" i="31"/>
  <c r="D61" i="31"/>
  <c r="D62" i="31"/>
  <c r="D63" i="31"/>
  <c r="D64" i="31"/>
  <c r="D65" i="31"/>
  <c r="D66" i="31"/>
  <c r="D67" i="31"/>
  <c r="D68" i="31"/>
  <c r="D69" i="31"/>
  <c r="D70" i="31"/>
  <c r="D71" i="31"/>
  <c r="D72" i="31"/>
  <c r="D73" i="31"/>
  <c r="D74" i="31"/>
  <c r="D75" i="31"/>
  <c r="D76" i="31"/>
  <c r="D77" i="31"/>
  <c r="D78" i="31"/>
  <c r="D79" i="31"/>
  <c r="D80" i="31"/>
  <c r="D81" i="31"/>
  <c r="D82" i="31"/>
  <c r="D83" i="31"/>
  <c r="D85" i="31"/>
  <c r="D86" i="31"/>
  <c r="D87" i="31"/>
  <c r="D88" i="31"/>
  <c r="D89" i="31"/>
  <c r="D90" i="31"/>
  <c r="D91" i="31"/>
  <c r="D92" i="31"/>
  <c r="D93" i="31"/>
  <c r="D94" i="31"/>
  <c r="D84" i="31"/>
  <c r="D95" i="31"/>
  <c r="D96" i="31"/>
  <c r="D97" i="31"/>
  <c r="D98" i="31"/>
  <c r="D99" i="31"/>
  <c r="D100" i="31"/>
  <c r="D101" i="31"/>
  <c r="D102" i="31"/>
  <c r="D4" i="53"/>
  <c r="D5" i="53"/>
  <c r="D6" i="53"/>
  <c r="D7" i="53"/>
  <c r="D8" i="53"/>
  <c r="D9" i="53"/>
  <c r="D10" i="53"/>
  <c r="D11" i="53"/>
  <c r="D12" i="53"/>
  <c r="D13" i="53"/>
  <c r="D14" i="53"/>
  <c r="D15" i="53"/>
  <c r="D16" i="53"/>
  <c r="D17" i="53"/>
  <c r="D18" i="53"/>
  <c r="D19" i="53"/>
  <c r="D20" i="53"/>
  <c r="D21" i="53"/>
  <c r="D22" i="53"/>
  <c r="D23" i="53"/>
  <c r="D24" i="53"/>
  <c r="D25" i="53"/>
  <c r="D26" i="53"/>
  <c r="D27" i="53"/>
  <c r="D28" i="53"/>
  <c r="D29" i="53"/>
  <c r="D30" i="53"/>
  <c r="D31" i="53"/>
  <c r="D32" i="53"/>
  <c r="D33" i="53"/>
  <c r="D34" i="53"/>
  <c r="D35" i="53"/>
  <c r="D36" i="53"/>
  <c r="D37" i="53"/>
  <c r="D38" i="53"/>
  <c r="D39" i="53"/>
  <c r="D40" i="53"/>
  <c r="D41" i="53"/>
  <c r="D42" i="53"/>
  <c r="D43" i="53"/>
  <c r="D44" i="53"/>
  <c r="D45" i="53"/>
  <c r="D46" i="53"/>
  <c r="D47" i="53"/>
  <c r="D48" i="53"/>
  <c r="D49" i="53"/>
  <c r="D50" i="53"/>
  <c r="D51" i="53"/>
  <c r="D52" i="53"/>
  <c r="D53" i="53"/>
  <c r="D54" i="53"/>
  <c r="D55" i="53"/>
  <c r="D56" i="53"/>
  <c r="D57" i="53"/>
  <c r="D58" i="53"/>
  <c r="D59" i="53"/>
  <c r="D60" i="53"/>
  <c r="D61" i="53"/>
  <c r="D62" i="53"/>
  <c r="D63" i="53"/>
  <c r="D64" i="53"/>
  <c r="D65" i="53"/>
  <c r="D66" i="53"/>
  <c r="D67" i="53"/>
  <c r="D68" i="53"/>
  <c r="D69" i="53"/>
  <c r="D70" i="53"/>
  <c r="D71" i="53"/>
  <c r="D72" i="53"/>
  <c r="D73" i="53"/>
  <c r="D74" i="53"/>
  <c r="D75" i="53"/>
  <c r="D76" i="53"/>
  <c r="D77" i="53"/>
  <c r="D78" i="53"/>
  <c r="D79" i="53"/>
  <c r="D80" i="53"/>
  <c r="D81" i="53"/>
  <c r="D82" i="53"/>
  <c r="D83" i="53"/>
  <c r="D84" i="53"/>
  <c r="D85" i="53"/>
  <c r="D86" i="53"/>
  <c r="D87" i="53"/>
  <c r="D88" i="53"/>
  <c r="D89" i="53"/>
  <c r="D90" i="53"/>
  <c r="D91" i="53"/>
  <c r="D92" i="53"/>
  <c r="D93" i="53"/>
  <c r="D94" i="53"/>
  <c r="D95" i="53"/>
  <c r="D96" i="53"/>
  <c r="D97" i="53"/>
  <c r="D98" i="53"/>
  <c r="D99" i="53"/>
  <c r="D100" i="53"/>
  <c r="D101" i="53"/>
  <c r="D5" i="27"/>
  <c r="D6" i="27"/>
  <c r="D7" i="27"/>
  <c r="D8" i="27"/>
  <c r="D9" i="27"/>
  <c r="D10" i="27"/>
  <c r="D11" i="27"/>
  <c r="D12" i="27"/>
  <c r="D13" i="27"/>
  <c r="D14" i="27"/>
  <c r="D15" i="27"/>
  <c r="D16" i="27"/>
  <c r="D17" i="27"/>
  <c r="D18" i="27"/>
  <c r="D19" i="27"/>
  <c r="D20" i="27"/>
  <c r="D21" i="27"/>
  <c r="D22" i="27"/>
  <c r="D23" i="27"/>
  <c r="D24" i="27"/>
  <c r="D25" i="27"/>
  <c r="D26" i="27"/>
  <c r="D27" i="27"/>
  <c r="D28" i="27"/>
  <c r="D29" i="27"/>
  <c r="D30" i="27"/>
  <c r="D31" i="27"/>
  <c r="D32" i="27"/>
  <c r="D33" i="27"/>
  <c r="D34" i="27"/>
  <c r="D35" i="27"/>
  <c r="D36" i="27"/>
  <c r="D37" i="27"/>
  <c r="D38" i="27"/>
  <c r="D39" i="27"/>
  <c r="D40" i="27"/>
  <c r="D41" i="27"/>
  <c r="D42" i="27"/>
  <c r="D43" i="27"/>
  <c r="D44" i="27"/>
  <c r="D45" i="27"/>
  <c r="D46" i="27"/>
  <c r="D47" i="27"/>
  <c r="D48" i="27"/>
  <c r="D49" i="27"/>
  <c r="D50" i="27"/>
  <c r="D51" i="27"/>
  <c r="D52" i="27"/>
  <c r="D53" i="27"/>
  <c r="D54" i="27"/>
  <c r="D55" i="27"/>
  <c r="D56" i="27"/>
  <c r="D57" i="27"/>
  <c r="D58" i="27"/>
  <c r="D59" i="27"/>
  <c r="D64" i="27"/>
  <c r="D65" i="27"/>
  <c r="D66" i="27"/>
  <c r="D67" i="27"/>
  <c r="D68" i="27"/>
  <c r="D69" i="27"/>
  <c r="D70" i="27"/>
  <c r="D71" i="27"/>
  <c r="D72" i="27"/>
  <c r="D73" i="27"/>
  <c r="D74" i="27"/>
  <c r="D75" i="27"/>
  <c r="D76" i="27"/>
  <c r="D77" i="27"/>
  <c r="D78" i="27"/>
  <c r="D79" i="27"/>
  <c r="D80" i="27"/>
  <c r="D81" i="27"/>
  <c r="D82" i="27"/>
  <c r="D83" i="27"/>
  <c r="D84" i="27"/>
  <c r="D85" i="27"/>
  <c r="D86" i="27"/>
  <c r="D87" i="27"/>
  <c r="D88" i="27"/>
  <c r="D89" i="27"/>
  <c r="D90" i="27"/>
  <c r="D91" i="27"/>
  <c r="D92" i="27"/>
  <c r="D93" i="27"/>
  <c r="D94" i="27"/>
  <c r="D95" i="27"/>
  <c r="D96" i="27"/>
  <c r="D97" i="27"/>
  <c r="D98" i="27"/>
  <c r="D99" i="27"/>
  <c r="D100" i="27"/>
  <c r="D101" i="27"/>
  <c r="D102" i="27"/>
  <c r="D5" i="29"/>
  <c r="D6" i="29"/>
  <c r="D7" i="29"/>
  <c r="D8" i="29"/>
  <c r="D9" i="29"/>
  <c r="D10" i="29"/>
  <c r="D11" i="29"/>
  <c r="D12" i="29"/>
  <c r="D13" i="29"/>
  <c r="D14" i="29"/>
  <c r="D15" i="29"/>
  <c r="D16" i="29"/>
  <c r="D17" i="29"/>
  <c r="D18" i="29"/>
  <c r="D19" i="29"/>
  <c r="D20" i="29"/>
  <c r="D21" i="29"/>
  <c r="D22" i="29"/>
  <c r="D23" i="29"/>
  <c r="D24" i="29"/>
  <c r="D25" i="29"/>
  <c r="D26" i="29"/>
  <c r="D27" i="29"/>
  <c r="D28" i="29"/>
  <c r="D29" i="29"/>
  <c r="D30" i="29"/>
  <c r="D31" i="29"/>
  <c r="D32" i="29"/>
  <c r="D33" i="29"/>
  <c r="D34" i="29"/>
  <c r="D35" i="29"/>
  <c r="D36" i="29"/>
  <c r="D37" i="29"/>
  <c r="D38" i="29"/>
  <c r="D39" i="29"/>
  <c r="D40" i="29"/>
  <c r="D41" i="29"/>
  <c r="D42" i="29"/>
  <c r="D43" i="29"/>
  <c r="D44" i="29"/>
  <c r="D45" i="29"/>
  <c r="D46" i="29"/>
  <c r="D47" i="29"/>
  <c r="D48" i="29"/>
  <c r="D49" i="29"/>
  <c r="D50" i="29"/>
  <c r="D51" i="29"/>
  <c r="D52" i="29"/>
  <c r="D53" i="29"/>
  <c r="D54" i="29"/>
  <c r="D55" i="29"/>
  <c r="D56" i="29"/>
  <c r="D57" i="29"/>
  <c r="D58" i="29"/>
  <c r="D59" i="29"/>
  <c r="D60" i="29"/>
  <c r="D61" i="29"/>
  <c r="D62" i="29"/>
  <c r="D63" i="29"/>
  <c r="D64" i="29"/>
  <c r="D65" i="29"/>
  <c r="D66" i="29"/>
  <c r="D67" i="29"/>
  <c r="D68" i="29"/>
  <c r="D69" i="29"/>
  <c r="D70" i="29"/>
  <c r="D71" i="29"/>
  <c r="D72" i="29"/>
  <c r="D73" i="29"/>
  <c r="D74" i="29"/>
  <c r="D75" i="29"/>
  <c r="D76" i="29"/>
  <c r="D77" i="29"/>
  <c r="D78" i="29"/>
  <c r="D79" i="29"/>
  <c r="D80" i="29"/>
  <c r="D81" i="29"/>
  <c r="D82" i="29"/>
  <c r="D83" i="29"/>
  <c r="D84" i="29"/>
  <c r="D85" i="29"/>
  <c r="D86" i="29"/>
  <c r="D87" i="29"/>
  <c r="D88" i="29"/>
  <c r="D89" i="29"/>
  <c r="D90" i="29"/>
  <c r="D91" i="29"/>
  <c r="D92" i="29"/>
  <c r="D93" i="29"/>
  <c r="D94" i="29"/>
  <c r="D95" i="29"/>
  <c r="D96" i="29"/>
  <c r="D97" i="29"/>
  <c r="D98" i="29"/>
  <c r="D99" i="29"/>
  <c r="D100" i="29"/>
  <c r="D101" i="29"/>
  <c r="D102" i="29"/>
  <c r="D5" i="33"/>
  <c r="D6" i="33"/>
  <c r="D7" i="33"/>
  <c r="D8" i="33"/>
  <c r="D9" i="33"/>
  <c r="D10" i="33"/>
  <c r="D11" i="33"/>
  <c r="D12" i="33"/>
  <c r="D13" i="33"/>
  <c r="D14" i="33"/>
  <c r="D15" i="33"/>
  <c r="D16" i="33"/>
  <c r="D17" i="33"/>
  <c r="D18" i="33"/>
  <c r="D19" i="33"/>
  <c r="D20" i="33"/>
  <c r="D21" i="33"/>
  <c r="D22" i="33"/>
  <c r="D23" i="33"/>
  <c r="D24" i="33"/>
  <c r="D25" i="33"/>
  <c r="D26" i="33"/>
  <c r="D27" i="33"/>
  <c r="D28" i="33"/>
  <c r="D29" i="33"/>
  <c r="D30" i="33"/>
  <c r="D31" i="33"/>
  <c r="D32" i="33"/>
  <c r="D33" i="33"/>
  <c r="D34" i="33"/>
  <c r="D35" i="33"/>
  <c r="D36" i="33"/>
  <c r="D37" i="33"/>
  <c r="D38" i="33"/>
  <c r="D39" i="33"/>
  <c r="D40" i="33"/>
  <c r="D41" i="33"/>
  <c r="D42" i="33"/>
  <c r="D43" i="33"/>
  <c r="D44" i="33"/>
  <c r="D45" i="33"/>
  <c r="D46" i="33"/>
  <c r="D47" i="33"/>
  <c r="D48" i="33"/>
  <c r="D49" i="33"/>
  <c r="D50" i="33"/>
  <c r="D51" i="33"/>
  <c r="D52" i="33"/>
  <c r="D53" i="33"/>
  <c r="D54" i="33"/>
  <c r="D55" i="33"/>
  <c r="D56" i="33"/>
  <c r="D57" i="33"/>
  <c r="D58" i="33"/>
  <c r="D59" i="33"/>
  <c r="D60" i="33"/>
  <c r="D61" i="33"/>
  <c r="D62" i="33"/>
  <c r="D63" i="33"/>
  <c r="D64" i="33"/>
  <c r="D65" i="33"/>
  <c r="D66" i="33"/>
  <c r="D67" i="33"/>
  <c r="D68" i="33"/>
  <c r="D69" i="33"/>
  <c r="D70" i="33"/>
  <c r="D71" i="33"/>
  <c r="D72" i="33"/>
  <c r="D73" i="33"/>
  <c r="D74" i="33"/>
  <c r="D75" i="33"/>
  <c r="D76" i="33"/>
  <c r="D77" i="33"/>
  <c r="D78" i="33"/>
  <c r="D79" i="33"/>
  <c r="D80" i="33"/>
  <c r="D81" i="33"/>
  <c r="D82" i="33"/>
  <c r="D83" i="33"/>
  <c r="D84" i="33"/>
  <c r="D85" i="33"/>
  <c r="D86" i="33"/>
  <c r="D87" i="33"/>
  <c r="D88" i="33"/>
  <c r="D89" i="33"/>
  <c r="D90" i="33"/>
  <c r="D91" i="33"/>
  <c r="D92" i="33"/>
  <c r="D93" i="33"/>
  <c r="D94" i="33"/>
  <c r="D95" i="33"/>
  <c r="D96" i="33"/>
  <c r="D97" i="33"/>
  <c r="D98" i="33"/>
  <c r="D99" i="33"/>
  <c r="D100" i="33"/>
  <c r="D101" i="33"/>
  <c r="D102" i="33"/>
  <c r="D5" i="34"/>
  <c r="D6" i="34"/>
  <c r="D7" i="34"/>
  <c r="D8" i="34"/>
  <c r="D9" i="34"/>
  <c r="D10" i="34"/>
  <c r="D11" i="34"/>
  <c r="D12" i="34"/>
  <c r="D13" i="34"/>
  <c r="D14" i="34"/>
  <c r="D15" i="34"/>
  <c r="D16" i="34"/>
  <c r="D17" i="34"/>
  <c r="D18" i="34"/>
  <c r="D19" i="34"/>
  <c r="D20" i="34"/>
  <c r="D22" i="34"/>
  <c r="D23" i="34"/>
  <c r="D24" i="34"/>
  <c r="D25" i="34"/>
  <c r="D26" i="34"/>
  <c r="D27" i="34"/>
  <c r="D28" i="34"/>
  <c r="D29" i="34"/>
  <c r="D30" i="34"/>
  <c r="D31" i="34"/>
  <c r="D33" i="34"/>
  <c r="D34" i="34"/>
  <c r="D35" i="34"/>
  <c r="D36" i="34"/>
  <c r="D37" i="34"/>
  <c r="D38" i="34"/>
  <c r="D39" i="34"/>
  <c r="D40" i="34"/>
  <c r="D41" i="34"/>
  <c r="D42" i="34"/>
  <c r="D43" i="34"/>
  <c r="D44" i="34"/>
  <c r="D45" i="34"/>
  <c r="D46" i="34"/>
  <c r="D47" i="34"/>
  <c r="D48" i="34"/>
  <c r="D49" i="34"/>
  <c r="D50" i="34"/>
  <c r="D51" i="34"/>
  <c r="D52" i="34"/>
  <c r="D53" i="34"/>
  <c r="D54" i="34"/>
  <c r="D55" i="34"/>
  <c r="D56" i="34"/>
  <c r="D57" i="34"/>
  <c r="D58" i="34"/>
  <c r="D59" i="34"/>
  <c r="D60" i="34"/>
  <c r="D61" i="34"/>
  <c r="D62" i="34"/>
  <c r="D63" i="34"/>
  <c r="D21" i="34"/>
  <c r="D64" i="34"/>
  <c r="D65" i="34"/>
  <c r="D66" i="34"/>
  <c r="D67" i="34"/>
  <c r="D68" i="34"/>
  <c r="D69" i="34"/>
  <c r="D70" i="34"/>
  <c r="D71" i="34"/>
  <c r="D72" i="34"/>
  <c r="D73" i="34"/>
  <c r="D74" i="34"/>
  <c r="D75" i="34"/>
  <c r="D76" i="34"/>
  <c r="D77" i="34"/>
  <c r="D78" i="34"/>
  <c r="D79" i="34"/>
  <c r="D80" i="34"/>
  <c r="D81" i="34"/>
  <c r="D82" i="34"/>
  <c r="D84" i="34"/>
  <c r="D85" i="34"/>
  <c r="D86" i="34"/>
  <c r="D87" i="34"/>
  <c r="D88" i="34"/>
  <c r="D89" i="34"/>
  <c r="D90" i="34"/>
  <c r="D92" i="34"/>
  <c r="D93" i="34"/>
  <c r="D94" i="34"/>
  <c r="D95" i="34"/>
  <c r="D96" i="34"/>
  <c r="D97" i="34"/>
  <c r="D91" i="34"/>
  <c r="D83" i="34"/>
  <c r="D32" i="34"/>
  <c r="D98" i="34"/>
  <c r="D99" i="34"/>
  <c r="D100" i="34"/>
  <c r="D101" i="34"/>
  <c r="D102" i="34"/>
  <c r="D5" i="44"/>
  <c r="D6" i="44"/>
  <c r="D7" i="44"/>
  <c r="D8" i="44"/>
  <c r="D9" i="44"/>
  <c r="D10" i="44"/>
  <c r="D11" i="44"/>
  <c r="D12" i="44"/>
  <c r="D13" i="44"/>
  <c r="D14" i="44"/>
  <c r="D15" i="44"/>
  <c r="D16" i="44"/>
  <c r="D17" i="44"/>
  <c r="D18" i="44"/>
  <c r="D19" i="44"/>
  <c r="D20" i="44"/>
  <c r="D21" i="44"/>
  <c r="D22" i="44"/>
  <c r="D23" i="44"/>
  <c r="D24" i="44"/>
  <c r="D25" i="44"/>
  <c r="D26" i="44"/>
  <c r="D27" i="44"/>
  <c r="D28" i="44"/>
  <c r="D29" i="44"/>
  <c r="D30" i="44"/>
  <c r="D31" i="44"/>
  <c r="D32" i="44"/>
  <c r="D33" i="44"/>
  <c r="D34" i="44"/>
  <c r="D35" i="44"/>
  <c r="D36" i="44"/>
  <c r="D37" i="44"/>
  <c r="D38" i="44"/>
  <c r="D39" i="44"/>
  <c r="D40" i="44"/>
  <c r="D41" i="44"/>
  <c r="D42" i="44"/>
  <c r="D43" i="44"/>
  <c r="D44" i="44"/>
  <c r="D45" i="44"/>
  <c r="D46" i="44"/>
  <c r="D47" i="44"/>
  <c r="D48" i="44"/>
  <c r="D49" i="44"/>
  <c r="D50" i="44"/>
  <c r="D51" i="44"/>
  <c r="D52" i="44"/>
  <c r="D53" i="44"/>
  <c r="D54" i="44"/>
  <c r="D55" i="44"/>
  <c r="D56" i="44"/>
  <c r="D57" i="44"/>
  <c r="D58" i="44"/>
  <c r="D59" i="44"/>
  <c r="D60" i="44"/>
  <c r="D61" i="44"/>
  <c r="D62" i="44"/>
  <c r="D63" i="44"/>
  <c r="D64" i="44"/>
  <c r="D65" i="44"/>
  <c r="D66" i="44"/>
  <c r="D67" i="44"/>
  <c r="D68" i="44"/>
  <c r="D69" i="44"/>
  <c r="D70" i="44"/>
  <c r="D71" i="44"/>
  <c r="D72" i="44"/>
  <c r="D73" i="44"/>
  <c r="D74" i="44"/>
  <c r="D75" i="44"/>
  <c r="D76" i="44"/>
  <c r="D77" i="44"/>
  <c r="D78" i="44"/>
  <c r="D79" i="44"/>
  <c r="D80" i="44"/>
  <c r="D81" i="44"/>
  <c r="D82" i="44"/>
  <c r="D83" i="44"/>
  <c r="D84" i="44"/>
  <c r="D85" i="44"/>
  <c r="D86" i="44"/>
  <c r="D87" i="44"/>
  <c r="D88" i="44"/>
  <c r="D89" i="44"/>
  <c r="D90" i="44"/>
  <c r="D91" i="44"/>
  <c r="D92" i="44"/>
  <c r="D93" i="44"/>
  <c r="D94" i="44"/>
  <c r="D95" i="44"/>
  <c r="D96" i="44"/>
  <c r="D97" i="44"/>
  <c r="D98" i="44"/>
  <c r="D99" i="44"/>
  <c r="D100" i="44"/>
  <c r="D101" i="44"/>
  <c r="D102" i="44"/>
  <c r="D5" i="35"/>
  <c r="D6" i="35"/>
  <c r="D7" i="35"/>
  <c r="D8" i="35"/>
  <c r="D9" i="35"/>
  <c r="D10" i="35"/>
  <c r="D11" i="35"/>
  <c r="D12" i="35"/>
  <c r="D13" i="35"/>
  <c r="D14" i="35"/>
  <c r="D15" i="35"/>
  <c r="D16" i="35"/>
  <c r="D17" i="35"/>
  <c r="D18" i="35"/>
  <c r="D19" i="35"/>
  <c r="D20" i="35"/>
  <c r="D21" i="35"/>
  <c r="D22" i="35"/>
  <c r="D23" i="35"/>
  <c r="D24" i="35"/>
  <c r="D25" i="35"/>
  <c r="D26" i="35"/>
  <c r="D27" i="35"/>
  <c r="D28" i="35"/>
  <c r="D29" i="35"/>
  <c r="D30" i="35"/>
  <c r="D31" i="35"/>
  <c r="D32" i="35"/>
  <c r="D33" i="35"/>
  <c r="D34" i="35"/>
  <c r="D35" i="35"/>
  <c r="D36" i="35"/>
  <c r="D37" i="35"/>
  <c r="D38" i="35"/>
  <c r="D39" i="35"/>
  <c r="D40" i="35"/>
  <c r="D41" i="35"/>
  <c r="D42" i="35"/>
  <c r="D43" i="35"/>
  <c r="D44" i="35"/>
  <c r="D45" i="35"/>
  <c r="D46" i="35"/>
  <c r="D47" i="35"/>
  <c r="D48" i="35"/>
  <c r="D49" i="35"/>
  <c r="D50" i="35"/>
  <c r="D51" i="35"/>
  <c r="D52" i="35"/>
  <c r="D53" i="35"/>
  <c r="D55" i="35"/>
  <c r="D56" i="35"/>
  <c r="D57" i="35"/>
  <c r="D58" i="35"/>
  <c r="D59" i="35"/>
  <c r="D60" i="35"/>
  <c r="D61" i="35"/>
  <c r="D62" i="35"/>
  <c r="D63" i="35"/>
  <c r="D64" i="35"/>
  <c r="D65" i="35"/>
  <c r="D66" i="35"/>
  <c r="D67" i="35"/>
  <c r="D68" i="35"/>
  <c r="D69" i="35"/>
  <c r="D70" i="35"/>
  <c r="D71" i="35"/>
  <c r="D72" i="35"/>
  <c r="D73" i="35"/>
  <c r="D54" i="35"/>
  <c r="D74" i="35"/>
  <c r="D75" i="35"/>
  <c r="D76" i="35"/>
  <c r="D77" i="35"/>
  <c r="D78" i="35"/>
  <c r="D79" i="35"/>
  <c r="D80" i="35"/>
  <c r="D81" i="35"/>
  <c r="D82" i="35"/>
  <c r="D83" i="35"/>
  <c r="D84" i="35"/>
  <c r="D85" i="35"/>
  <c r="D86" i="35"/>
  <c r="D87" i="35"/>
  <c r="D88" i="35"/>
  <c r="D89" i="35"/>
  <c r="D90" i="35"/>
  <c r="D91" i="35"/>
  <c r="D92" i="35"/>
  <c r="D93" i="35"/>
  <c r="D94" i="35"/>
  <c r="D95" i="35"/>
  <c r="D96" i="35"/>
  <c r="D97" i="35"/>
  <c r="D98" i="35"/>
  <c r="D99" i="35"/>
  <c r="D100" i="35"/>
  <c r="D101" i="35"/>
  <c r="D102" i="35"/>
  <c r="D5" i="40"/>
  <c r="D6" i="40"/>
  <c r="D7" i="40"/>
  <c r="D8" i="40"/>
  <c r="D9" i="40"/>
  <c r="D10" i="40"/>
  <c r="D11" i="40"/>
  <c r="D12" i="40"/>
  <c r="D13" i="40"/>
  <c r="D14" i="40"/>
  <c r="D15" i="40"/>
  <c r="D16" i="40"/>
  <c r="D17" i="40"/>
  <c r="D18" i="40"/>
  <c r="D19" i="40"/>
  <c r="D20" i="40"/>
  <c r="D21" i="40"/>
  <c r="D22" i="40"/>
  <c r="D23" i="40"/>
  <c r="D24" i="40"/>
  <c r="D25" i="40"/>
  <c r="D26" i="40"/>
  <c r="D27" i="40"/>
  <c r="D28" i="40"/>
  <c r="D29" i="40"/>
  <c r="D30" i="40"/>
  <c r="D31" i="40"/>
  <c r="D32" i="40"/>
  <c r="D33" i="40"/>
  <c r="D34" i="40"/>
  <c r="D35" i="40"/>
  <c r="D36" i="40"/>
  <c r="D37" i="40"/>
  <c r="D38" i="40"/>
  <c r="D39" i="40"/>
  <c r="D40" i="40"/>
  <c r="D41" i="40"/>
  <c r="D42" i="40"/>
  <c r="D43" i="40"/>
  <c r="D44" i="40"/>
  <c r="D45" i="40"/>
  <c r="D46" i="40"/>
  <c r="D47" i="40"/>
  <c r="D48" i="40"/>
  <c r="D49" i="40"/>
  <c r="D50" i="40"/>
  <c r="D51" i="40"/>
  <c r="D52" i="40"/>
  <c r="D53" i="40"/>
  <c r="D54" i="40"/>
  <c r="D55" i="40"/>
  <c r="D56" i="40"/>
  <c r="D57" i="40"/>
  <c r="D58" i="40"/>
  <c r="D59" i="40"/>
  <c r="D60" i="40"/>
  <c r="D61" i="40"/>
  <c r="D62" i="40"/>
  <c r="D63" i="40"/>
  <c r="D64" i="40"/>
  <c r="D65" i="40"/>
  <c r="D66" i="40"/>
  <c r="D67" i="40"/>
  <c r="D68" i="40"/>
  <c r="D69" i="40"/>
  <c r="D70" i="40"/>
  <c r="D71" i="40"/>
  <c r="D72" i="40"/>
  <c r="D73" i="40"/>
  <c r="D74" i="40"/>
  <c r="D75" i="40"/>
  <c r="D76" i="40"/>
  <c r="D77" i="40"/>
  <c r="D78" i="40"/>
  <c r="D79" i="40"/>
  <c r="D80" i="40"/>
  <c r="D81" i="40"/>
  <c r="D82" i="40"/>
  <c r="D83" i="40"/>
  <c r="D84" i="40"/>
  <c r="D85" i="40"/>
  <c r="D86" i="40"/>
  <c r="D87" i="40"/>
  <c r="D88" i="40"/>
  <c r="D89" i="40"/>
  <c r="D90" i="40"/>
  <c r="D91" i="40"/>
  <c r="D92" i="40"/>
  <c r="D93" i="40"/>
  <c r="D94" i="40"/>
  <c r="D95" i="40"/>
  <c r="D96" i="40"/>
  <c r="D97" i="40"/>
  <c r="D98" i="40"/>
  <c r="D99" i="40"/>
  <c r="D100" i="40"/>
  <c r="D101" i="40"/>
  <c r="D102" i="40"/>
  <c r="D5" i="47"/>
  <c r="D6" i="47"/>
  <c r="D7" i="47"/>
  <c r="D8" i="47"/>
  <c r="D9" i="47"/>
  <c r="D10" i="47"/>
  <c r="D11" i="47"/>
  <c r="D12" i="47"/>
  <c r="D13" i="47"/>
  <c r="D14" i="47"/>
  <c r="D15" i="47"/>
  <c r="D16" i="47"/>
  <c r="D17" i="47"/>
  <c r="D18" i="47"/>
  <c r="D19" i="47"/>
  <c r="D20" i="47"/>
  <c r="D21" i="47"/>
  <c r="D22" i="47"/>
  <c r="D23" i="47"/>
  <c r="D24" i="47"/>
  <c r="D25" i="47"/>
  <c r="D26" i="47"/>
  <c r="D27" i="47"/>
  <c r="D28" i="47"/>
  <c r="D29" i="47"/>
  <c r="D30" i="47"/>
  <c r="D31" i="47"/>
  <c r="D32" i="47"/>
  <c r="D33" i="47"/>
  <c r="D34" i="47"/>
  <c r="D35" i="47"/>
  <c r="D36" i="47"/>
  <c r="D37" i="47"/>
  <c r="D38" i="47"/>
  <c r="D39" i="47"/>
  <c r="D40" i="47"/>
  <c r="D41" i="47"/>
  <c r="D42" i="47"/>
  <c r="D43" i="47"/>
  <c r="D44" i="47"/>
  <c r="D45" i="47"/>
  <c r="D46" i="47"/>
  <c r="D47" i="47"/>
  <c r="D48" i="47"/>
  <c r="D49" i="47"/>
  <c r="D50" i="47"/>
  <c r="D80" i="47"/>
  <c r="D51" i="47"/>
  <c r="D52" i="47"/>
  <c r="D53" i="47"/>
  <c r="D54" i="47"/>
  <c r="D55" i="47"/>
  <c r="D56" i="47"/>
  <c r="D57" i="47"/>
  <c r="D58" i="47"/>
  <c r="D59" i="47"/>
  <c r="D60" i="47"/>
  <c r="D61" i="47"/>
  <c r="D62" i="47"/>
  <c r="D63" i="47"/>
  <c r="D64" i="47"/>
  <c r="D65" i="47"/>
  <c r="D66" i="47"/>
  <c r="D67" i="47"/>
  <c r="D68" i="47"/>
  <c r="D69" i="47"/>
  <c r="D70" i="47"/>
  <c r="D71" i="47"/>
  <c r="D72" i="47"/>
  <c r="D73" i="47"/>
  <c r="D74" i="47"/>
  <c r="D75" i="47"/>
  <c r="D76" i="47"/>
  <c r="D77" i="47"/>
  <c r="D78" i="47"/>
  <c r="D79" i="47"/>
  <c r="D81" i="47"/>
  <c r="D82" i="47"/>
  <c r="D83" i="47"/>
  <c r="D84" i="47"/>
  <c r="D85" i="47"/>
  <c r="D87" i="47"/>
  <c r="D88" i="47"/>
  <c r="D86" i="47"/>
  <c r="D89" i="47"/>
  <c r="D90" i="47"/>
  <c r="D91" i="47"/>
  <c r="D92" i="47"/>
  <c r="D93" i="47"/>
  <c r="D94" i="47"/>
  <c r="D95" i="47"/>
  <c r="D96" i="47"/>
  <c r="D97" i="47"/>
  <c r="D98" i="47"/>
  <c r="D99" i="47"/>
  <c r="D100" i="47"/>
  <c r="D101" i="47"/>
  <c r="D102" i="47"/>
  <c r="D4" i="21"/>
  <c r="D5" i="23"/>
  <c r="D4" i="39"/>
  <c r="D4" i="32"/>
  <c r="D4" i="25"/>
  <c r="D4" i="1"/>
  <c r="D4" i="26"/>
  <c r="D4" i="28"/>
  <c r="D3" i="24"/>
  <c r="D4" i="30"/>
  <c r="D5" i="31"/>
  <c r="D3" i="53"/>
  <c r="D4" i="27"/>
  <c r="D4" i="29"/>
  <c r="D4" i="33"/>
  <c r="D4" i="34"/>
  <c r="D4" i="44"/>
  <c r="D4" i="35"/>
  <c r="D4" i="40"/>
  <c r="D4" i="47"/>
  <c r="G2" i="27" l="1"/>
  <c r="G2" i="59"/>
  <c r="G2" i="58"/>
  <c r="G2" i="51"/>
  <c r="G2" i="49"/>
  <c r="G2" i="47"/>
  <c r="G2" i="46"/>
  <c r="G2" i="22"/>
  <c r="G2" i="44"/>
  <c r="G2" i="57"/>
  <c r="G2" i="39"/>
  <c r="G2" i="35"/>
  <c r="G2" i="34"/>
  <c r="G2" i="40"/>
  <c r="G2" i="33"/>
  <c r="G2" i="29"/>
  <c r="G2" i="30"/>
  <c r="G2" i="31"/>
  <c r="G2" i="28"/>
  <c r="G2" i="26"/>
  <c r="G2" i="1"/>
  <c r="G2" i="25"/>
  <c r="G2" i="32"/>
  <c r="G2" i="23"/>
  <c r="G2" i="21"/>
  <c r="G2" i="20"/>
  <c r="G16" i="59"/>
  <c r="G12" i="59"/>
  <c r="G13" i="59"/>
  <c r="G14" i="59"/>
  <c r="G15" i="59"/>
  <c r="G11" i="59"/>
  <c r="G10" i="59"/>
  <c r="G9" i="59"/>
  <c r="G8" i="59"/>
  <c r="G6" i="59"/>
  <c r="G17" i="51"/>
  <c r="G15" i="22"/>
  <c r="G12" i="58"/>
  <c r="G11" i="58"/>
  <c r="G10" i="58"/>
  <c r="G9" i="58"/>
  <c r="G8" i="58"/>
  <c r="G6" i="58"/>
  <c r="G11" i="22"/>
  <c r="G6" i="57"/>
  <c r="G8" i="57"/>
  <c r="G9" i="57"/>
  <c r="G10" i="57"/>
  <c r="G11" i="57"/>
  <c r="G12" i="57"/>
  <c r="G3" i="59" l="1"/>
  <c r="G3" i="57"/>
  <c r="G3" i="58"/>
  <c r="G16" i="46" l="1"/>
  <c r="D102" i="53"/>
  <c r="G2" i="53" s="1"/>
  <c r="G14" i="53"/>
  <c r="G13" i="53"/>
  <c r="G12" i="53"/>
  <c r="G11" i="53"/>
  <c r="G9" i="53"/>
  <c r="G8" i="53"/>
  <c r="G7" i="53"/>
  <c r="G16" i="51"/>
  <c r="G15" i="51"/>
  <c r="G14" i="51"/>
  <c r="G13" i="51"/>
  <c r="G12" i="51"/>
  <c r="G11" i="51"/>
  <c r="G10" i="51"/>
  <c r="G9" i="51"/>
  <c r="G8" i="51"/>
  <c r="G6" i="51"/>
  <c r="G15" i="46"/>
  <c r="G10" i="49"/>
  <c r="G14" i="49"/>
  <c r="G13" i="49"/>
  <c r="G12" i="49"/>
  <c r="G11" i="49"/>
  <c r="G9" i="49"/>
  <c r="G8" i="49"/>
  <c r="G6" i="49"/>
  <c r="G3" i="49" l="1"/>
  <c r="G3" i="53"/>
  <c r="G3" i="51"/>
  <c r="G14" i="22"/>
  <c r="G12" i="47" l="1"/>
  <c r="G11" i="47"/>
  <c r="G10" i="47"/>
  <c r="G9" i="47"/>
  <c r="G8" i="47"/>
  <c r="G7" i="47"/>
  <c r="G14" i="46"/>
  <c r="G13" i="46"/>
  <c r="G12" i="46"/>
  <c r="G11" i="46"/>
  <c r="G10" i="46"/>
  <c r="G9" i="46"/>
  <c r="G8" i="46"/>
  <c r="G6" i="46"/>
  <c r="G3" i="46" l="1"/>
  <c r="G3" i="47"/>
  <c r="G13" i="22"/>
  <c r="G12" i="22"/>
  <c r="G14" i="44" l="1"/>
  <c r="G13" i="44"/>
  <c r="G12" i="44"/>
  <c r="G11" i="44"/>
  <c r="G10" i="44"/>
  <c r="G9" i="44"/>
  <c r="G8" i="44"/>
  <c r="G7" i="44"/>
  <c r="G14" i="31"/>
  <c r="D102" i="24"/>
  <c r="G2" i="24" s="1"/>
  <c r="G12" i="40"/>
  <c r="G11" i="40"/>
  <c r="G10" i="40"/>
  <c r="G9" i="40"/>
  <c r="G8" i="40"/>
  <c r="G7" i="40"/>
  <c r="G14" i="39"/>
  <c r="G13" i="39"/>
  <c r="G12" i="39"/>
  <c r="G11" i="39"/>
  <c r="G10" i="39"/>
  <c r="G9" i="39"/>
  <c r="G8" i="39"/>
  <c r="G6" i="39"/>
  <c r="G15" i="30"/>
  <c r="G14" i="35"/>
  <c r="G13" i="35"/>
  <c r="G12" i="35"/>
  <c r="G11" i="35"/>
  <c r="G10" i="35"/>
  <c r="G9" i="35"/>
  <c r="G8" i="35"/>
  <c r="G7" i="35"/>
  <c r="G15" i="34"/>
  <c r="G14" i="34"/>
  <c r="G13" i="34"/>
  <c r="G12" i="34"/>
  <c r="G11" i="34"/>
  <c r="G10" i="34"/>
  <c r="G9" i="34"/>
  <c r="G8" i="34"/>
  <c r="G7" i="34"/>
  <c r="G14" i="33"/>
  <c r="G13" i="33"/>
  <c r="G12" i="33"/>
  <c r="G11" i="33"/>
  <c r="G10" i="33"/>
  <c r="G9" i="33"/>
  <c r="G8" i="33"/>
  <c r="G7" i="33"/>
  <c r="G10" i="32"/>
  <c r="G9" i="32"/>
  <c r="G8" i="32"/>
  <c r="G6" i="32"/>
  <c r="G13" i="31"/>
  <c r="G12" i="31"/>
  <c r="G11" i="31"/>
  <c r="G10" i="31"/>
  <c r="G9" i="31"/>
  <c r="G8" i="31"/>
  <c r="G7" i="31"/>
  <c r="G8" i="30"/>
  <c r="G14" i="29"/>
  <c r="G14" i="30"/>
  <c r="G13" i="30"/>
  <c r="G12" i="30"/>
  <c r="G11" i="30"/>
  <c r="G10" i="30"/>
  <c r="G9" i="30"/>
  <c r="G6" i="30"/>
  <c r="G13" i="29"/>
  <c r="G12" i="29"/>
  <c r="G11" i="29"/>
  <c r="G10" i="29"/>
  <c r="G9" i="29"/>
  <c r="G8" i="29"/>
  <c r="G7" i="29"/>
  <c r="G15" i="28"/>
  <c r="G14" i="28"/>
  <c r="G13" i="28"/>
  <c r="G12" i="28"/>
  <c r="G11" i="28"/>
  <c r="G10" i="28"/>
  <c r="G9" i="28"/>
  <c r="G8" i="28"/>
  <c r="G6" i="28"/>
  <c r="G15" i="27"/>
  <c r="G14" i="27"/>
  <c r="G13" i="27"/>
  <c r="G12" i="27"/>
  <c r="G11" i="27"/>
  <c r="G10" i="27"/>
  <c r="G9" i="27"/>
  <c r="G8" i="27"/>
  <c r="G7" i="27"/>
  <c r="G14" i="26"/>
  <c r="G13" i="26"/>
  <c r="G12" i="26"/>
  <c r="G11" i="26"/>
  <c r="G10" i="26"/>
  <c r="G9" i="26"/>
  <c r="G8" i="26"/>
  <c r="G6" i="26"/>
  <c r="G12" i="25"/>
  <c r="G11" i="25"/>
  <c r="G10" i="25"/>
  <c r="G9" i="25"/>
  <c r="G8" i="25"/>
  <c r="G6" i="25"/>
  <c r="G14" i="24"/>
  <c r="G13" i="24"/>
  <c r="G12" i="24"/>
  <c r="G11" i="24"/>
  <c r="G10" i="24"/>
  <c r="G9" i="24"/>
  <c r="G8" i="24"/>
  <c r="G6" i="24"/>
  <c r="G13" i="21"/>
  <c r="G12" i="21"/>
  <c r="G11" i="21"/>
  <c r="G10" i="21"/>
  <c r="G9" i="21"/>
  <c r="G8" i="21"/>
  <c r="G7" i="21"/>
  <c r="G13" i="1"/>
  <c r="G12" i="1"/>
  <c r="G11" i="1"/>
  <c r="G10" i="1"/>
  <c r="G9" i="1"/>
  <c r="G8" i="1"/>
  <c r="G6" i="1"/>
  <c r="G13" i="20"/>
  <c r="G12" i="20"/>
  <c r="G11" i="20"/>
  <c r="G10" i="20"/>
  <c r="G9" i="20"/>
  <c r="G8" i="20"/>
  <c r="G6" i="20"/>
  <c r="G10" i="22"/>
  <c r="G9" i="22"/>
  <c r="G8" i="22"/>
  <c r="G7" i="22"/>
  <c r="G15" i="23"/>
  <c r="G8" i="23"/>
  <c r="G9" i="23"/>
  <c r="G10" i="23"/>
  <c r="G11" i="23"/>
  <c r="G12" i="23"/>
  <c r="G13" i="23"/>
  <c r="G14" i="23"/>
  <c r="G6" i="23"/>
  <c r="G3" i="32" l="1"/>
  <c r="G3" i="33"/>
  <c r="G3" i="22"/>
  <c r="G3" i="28"/>
  <c r="G3" i="24"/>
  <c r="G3" i="25"/>
  <c r="G3" i="31"/>
  <c r="G3" i="39"/>
  <c r="G3" i="40"/>
  <c r="G3" i="44"/>
  <c r="G3" i="23"/>
  <c r="G3" i="1"/>
  <c r="G3" i="26"/>
  <c r="G3" i="27"/>
  <c r="G3" i="34"/>
  <c r="G3" i="35"/>
  <c r="G3" i="20"/>
  <c r="G3" i="29"/>
  <c r="G3" i="30"/>
  <c r="G3" i="21"/>
</calcChain>
</file>

<file path=xl/sharedStrings.xml><?xml version="1.0" encoding="utf-8"?>
<sst xmlns="http://schemas.openxmlformats.org/spreadsheetml/2006/main" count="10394" uniqueCount="2297">
  <si>
    <t>Valor</t>
  </si>
  <si>
    <t>Jhoira</t>
  </si>
  <si>
    <t>Fractius</t>
  </si>
  <si>
    <t>Muzzio</t>
  </si>
  <si>
    <t>Alela</t>
  </si>
  <si>
    <t>Arcades</t>
  </si>
  <si>
    <t>Yuriko</t>
  </si>
  <si>
    <t>Zedruu</t>
  </si>
  <si>
    <t>Carlos</t>
  </si>
  <si>
    <t>Oona</t>
  </si>
  <si>
    <t>Kresh</t>
  </si>
  <si>
    <t>Função</t>
  </si>
  <si>
    <t>Carta Atual</t>
  </si>
  <si>
    <t>Carta Ideal</t>
  </si>
  <si>
    <t>Carta Final</t>
  </si>
  <si>
    <t>Terreno</t>
  </si>
  <si>
    <t>Mudanças Faltando</t>
  </si>
  <si>
    <t>Total de Cartas</t>
  </si>
  <si>
    <t>Ancient Ziggurat</t>
  </si>
  <si>
    <t>Funções</t>
  </si>
  <si>
    <t>Command Tower</t>
  </si>
  <si>
    <t>Ramp</t>
  </si>
  <si>
    <t>Draw</t>
  </si>
  <si>
    <t>Remoção</t>
  </si>
  <si>
    <t>Ilha</t>
  </si>
  <si>
    <t>Montanha</t>
  </si>
  <si>
    <t>Anule</t>
  </si>
  <si>
    <t>Global</t>
  </si>
  <si>
    <t>Blink</t>
  </si>
  <si>
    <t>Sisay</t>
  </si>
  <si>
    <t>Narset Mill</t>
  </si>
  <si>
    <t>Kumena</t>
  </si>
  <si>
    <t>Zimone e Dinah</t>
  </si>
  <si>
    <t>Field of the Dead</t>
  </si>
  <si>
    <t>Reliquary Tower</t>
  </si>
  <si>
    <t>Khalni Garden</t>
  </si>
  <si>
    <t>Simic Growth Chamber</t>
  </si>
  <si>
    <t>Golgari Rot Farm</t>
  </si>
  <si>
    <t>Dimir Aqueduct</t>
  </si>
  <si>
    <t>Fabled Passage</t>
  </si>
  <si>
    <t>Bala Ged Recovery</t>
  </si>
  <si>
    <t>Value</t>
  </si>
  <si>
    <t>Proteção</t>
  </si>
  <si>
    <t>Exotic Orchard</t>
  </si>
  <si>
    <t>Controle</t>
  </si>
  <si>
    <t>Bojuka Bog</t>
  </si>
  <si>
    <t>Tokens</t>
  </si>
  <si>
    <t>Zagoth Triome</t>
  </si>
  <si>
    <t>Watery Grave</t>
  </si>
  <si>
    <t>Breeding Pool</t>
  </si>
  <si>
    <t>Overgrown Tomb</t>
  </si>
  <si>
    <t>Bloodstained Mire</t>
  </si>
  <si>
    <t>Scalding Tarn</t>
  </si>
  <si>
    <t>Polluted Delta</t>
  </si>
  <si>
    <t>Windswept Heath</t>
  </si>
  <si>
    <t>Marsh Flats</t>
  </si>
  <si>
    <t>Wooded Foothills</t>
  </si>
  <si>
    <t>Flooded Strand</t>
  </si>
  <si>
    <t>Verdant Catacombs</t>
  </si>
  <si>
    <t>Misty Rainforest</t>
  </si>
  <si>
    <t>Island</t>
  </si>
  <si>
    <t>Swamp</t>
  </si>
  <si>
    <t>Forest</t>
  </si>
  <si>
    <t>Nature's Lore</t>
  </si>
  <si>
    <t>Rampant Growth</t>
  </si>
  <si>
    <t>Entish Restoration</t>
  </si>
  <si>
    <t>Lotus Cobra</t>
  </si>
  <si>
    <t>Tireless Provisioner</t>
  </si>
  <si>
    <t>Morbid Opportunist</t>
  </si>
  <si>
    <t>Tatyova, Benthic Druid</t>
  </si>
  <si>
    <t>Tireless Tracker</t>
  </si>
  <si>
    <t>Deathreap Ritual</t>
  </si>
  <si>
    <t>Phyrexian Arena</t>
  </si>
  <si>
    <t>Teferi's Ageless Insight</t>
  </si>
  <si>
    <t>Chord of Calling</t>
  </si>
  <si>
    <t>Wight of the Reliquary</t>
  </si>
  <si>
    <t>Beledros Witherbloom</t>
  </si>
  <si>
    <t>Emrakul's Messenger</t>
  </si>
  <si>
    <t>Tendershoot Dryad</t>
  </si>
  <si>
    <t>Invasion of Tolvada</t>
  </si>
  <si>
    <t>Minn, Wily Illusionist</t>
  </si>
  <si>
    <t>Pawn of Ulamog</t>
  </si>
  <si>
    <t>Chatterfang, Squirrel General</t>
  </si>
  <si>
    <t>Alandra, Sky Dreamer</t>
  </si>
  <si>
    <t>Nemata, Primeval Warden</t>
  </si>
  <si>
    <t>Pitiless Plunderer</t>
  </si>
  <si>
    <t>Jolrael, Mwonvuli Recluse</t>
  </si>
  <si>
    <t>Springheart Nantuko</t>
  </si>
  <si>
    <t>Scute Swarm</t>
  </si>
  <si>
    <t>Illusionist's Bracers</t>
  </si>
  <si>
    <t>Retreat to Coralhelm</t>
  </si>
  <si>
    <t>Freestrider Lookout</t>
  </si>
  <si>
    <t>Quirion Ranger</t>
  </si>
  <si>
    <t>Reassembling Skeleton</t>
  </si>
  <si>
    <t>Amulet of Vigor</t>
  </si>
  <si>
    <t>Ancient Greenwarden</t>
  </si>
  <si>
    <t>Eternal Witness</t>
  </si>
  <si>
    <t>Swiftfoot Boots</t>
  </si>
  <si>
    <t>Lightning Greaves</t>
  </si>
  <si>
    <t>Countersquall</t>
  </si>
  <si>
    <t>Negate</t>
  </si>
  <si>
    <t>Beast Within</t>
  </si>
  <si>
    <t>Assassin's Trophy</t>
  </si>
  <si>
    <t>Torment of Hailfire</t>
  </si>
  <si>
    <t>Toxic Deluge</t>
  </si>
  <si>
    <t>Sultai Charm</t>
  </si>
  <si>
    <t>An Offer you Can't Refuse</t>
  </si>
  <si>
    <t>Abrupt Decay</t>
  </si>
  <si>
    <t>Exsanguinate</t>
  </si>
  <si>
    <t>Nadier's Nightblade</t>
  </si>
  <si>
    <t>Kazuul's Fury</t>
  </si>
  <si>
    <t>Rogue's Passage</t>
  </si>
  <si>
    <t>Skarrg, the Rage Pits</t>
  </si>
  <si>
    <t>Kessig Wolf Run</t>
  </si>
  <si>
    <t>High Market</t>
  </si>
  <si>
    <t>Mosswort Bridge</t>
  </si>
  <si>
    <t>Llanowar Wastes</t>
  </si>
  <si>
    <t>Khalni Territory</t>
  </si>
  <si>
    <t>War</t>
  </si>
  <si>
    <t>Rootbound Crag</t>
  </si>
  <si>
    <t>Evolving Wilds</t>
  </si>
  <si>
    <t>Suporte</t>
  </si>
  <si>
    <t>Mountain</t>
  </si>
  <si>
    <t>Edge of Autumn</t>
  </si>
  <si>
    <t>Gruul Signet</t>
  </si>
  <si>
    <t>Golgari Signet</t>
  </si>
  <si>
    <t>Rakdos Signet</t>
  </si>
  <si>
    <t>Mind Stone</t>
  </si>
  <si>
    <t>Cultivate</t>
  </si>
  <si>
    <t>Prismatic Lens</t>
  </si>
  <si>
    <t>Kodama's Reach</t>
  </si>
  <si>
    <t>Brazen Cannonade</t>
  </si>
  <si>
    <t>Emberwilde Captain</t>
  </si>
  <si>
    <t>Marchesa's Decree</t>
  </si>
  <si>
    <t>Clackbridge Troll</t>
  </si>
  <si>
    <t>Karazikar, the Eye Tyrant</t>
  </si>
  <si>
    <t>Kardur, Doomscourge</t>
  </si>
  <si>
    <t>Agitator Ant</t>
  </si>
  <si>
    <t>Vengeful Ancestor</t>
  </si>
  <si>
    <t>Geode Rager</t>
  </si>
  <si>
    <t>Disrupt Decorum</t>
  </si>
  <si>
    <t>Tragic Slip</t>
  </si>
  <si>
    <t>Golgari Charm</t>
  </si>
  <si>
    <t>Terminate</t>
  </si>
  <si>
    <t>Sudden Spoiling</t>
  </si>
  <si>
    <t>Nature's Claim</t>
  </si>
  <si>
    <t>Rakdos Charm</t>
  </si>
  <si>
    <t>Kazuul, Tyrant of the Cliffs</t>
  </si>
  <si>
    <t>Curse of Disturbance</t>
  </si>
  <si>
    <t>Revenge of Ravens</t>
  </si>
  <si>
    <t>Hissing Miasma</t>
  </si>
  <si>
    <t>Opal Palace</t>
  </si>
  <si>
    <t>Sokenzan, Crucible of Defiance</t>
  </si>
  <si>
    <t>Slayers' Stronghold</t>
  </si>
  <si>
    <t>Sea of Clouds</t>
  </si>
  <si>
    <t>Training Center</t>
  </si>
  <si>
    <t>Wheel</t>
  </si>
  <si>
    <t>Spectator Seating</t>
  </si>
  <si>
    <t>Mill</t>
  </si>
  <si>
    <t>Sulfur Falls</t>
  </si>
  <si>
    <t>Utility</t>
  </si>
  <si>
    <t>Clifftop Retreat</t>
  </si>
  <si>
    <t>Protection</t>
  </si>
  <si>
    <t>Glacial Fortress</t>
  </si>
  <si>
    <t>Pump</t>
  </si>
  <si>
    <t>Shivan Reef</t>
  </si>
  <si>
    <t>Battlefield Forge</t>
  </si>
  <si>
    <t>Adarkar Wastes</t>
  </si>
  <si>
    <t>Azorius Chancery</t>
  </si>
  <si>
    <t>Boros Garrison</t>
  </si>
  <si>
    <t>Izzet Boilerworks</t>
  </si>
  <si>
    <t>Myriad Landscape</t>
  </si>
  <si>
    <t>Plains</t>
  </si>
  <si>
    <t>Sol Ring</t>
  </si>
  <si>
    <t>Arcane Signet</t>
  </si>
  <si>
    <t>Azorius Signet</t>
  </si>
  <si>
    <t>Boros Signet</t>
  </si>
  <si>
    <t>Izzet Signet</t>
  </si>
  <si>
    <t>Fellwar Stone</t>
  </si>
  <si>
    <t>Thought Vessel</t>
  </si>
  <si>
    <t>Realmbreaker, the Invasion Tree</t>
  </si>
  <si>
    <t>Sword of the Animist</t>
  </si>
  <si>
    <t>Faithless Looting</t>
  </si>
  <si>
    <t>Frantic Search</t>
  </si>
  <si>
    <t>Sanctum of Calm Waters</t>
  </si>
  <si>
    <t>Shorikai, Genesis Engine</t>
  </si>
  <si>
    <t>Treasure Cruise</t>
  </si>
  <si>
    <t>Whirlwind of Thought</t>
  </si>
  <si>
    <t>Mirrodin Besieged</t>
  </si>
  <si>
    <t>Windfall</t>
  </si>
  <si>
    <t>Collective Defiance</t>
  </si>
  <si>
    <t>Incendiary Command</t>
  </si>
  <si>
    <t>Khorvath's Fury</t>
  </si>
  <si>
    <t>Reforge the Soul</t>
  </si>
  <si>
    <t>Wheel of Fate</t>
  </si>
  <si>
    <t>Jace's Erasure</t>
  </si>
  <si>
    <t>Teferi's Tutelage</t>
  </si>
  <si>
    <t>Fraying Sanity</t>
  </si>
  <si>
    <t>Sphinx's Tutelage</t>
  </si>
  <si>
    <t>Mesmeric Orb</t>
  </si>
  <si>
    <t>Tasha's Hideous Laughter</t>
  </si>
  <si>
    <t>Cut your Losses</t>
  </si>
  <si>
    <t>Traumatize</t>
  </si>
  <si>
    <t>Psychic Corrosion</t>
  </si>
  <si>
    <t>Ruin Crab</t>
  </si>
  <si>
    <t>Mindcrank</t>
  </si>
  <si>
    <t>Maddening Cacophony</t>
  </si>
  <si>
    <t>Fractured Sanity</t>
  </si>
  <si>
    <t>Mystic Redaction</t>
  </si>
  <si>
    <t>Spark Double</t>
  </si>
  <si>
    <t>Ominous Seas</t>
  </si>
  <si>
    <t>Strionic Resonator</t>
  </si>
  <si>
    <t>Tormod's Crypt</t>
  </si>
  <si>
    <t>Dovin's Veto</t>
  </si>
  <si>
    <t>Time Wipe</t>
  </si>
  <si>
    <t>Propaganda</t>
  </si>
  <si>
    <t>Ghostly Prison</t>
  </si>
  <si>
    <t>Whispersilk Cloak</t>
  </si>
  <si>
    <t>Othelm e Wernog</t>
  </si>
  <si>
    <t>Castle Ardenvale</t>
  </si>
  <si>
    <t>Gavony Township</t>
  </si>
  <si>
    <t>Westvale Abbey</t>
  </si>
  <si>
    <t>Vitu-Ghazi, the City-Tree</t>
  </si>
  <si>
    <t>Grove of the Guardian</t>
  </si>
  <si>
    <t>Havengul Laboratory</t>
  </si>
  <si>
    <t>Canopy Vista</t>
  </si>
  <si>
    <t>Portão da Guilda Orzhov</t>
  </si>
  <si>
    <t>Scattered Groves</t>
  </si>
  <si>
    <t>Vida</t>
  </si>
  <si>
    <t>Isolated Chapel</t>
  </si>
  <si>
    <t>Untap</t>
  </si>
  <si>
    <t>Woodland Cemetery</t>
  </si>
  <si>
    <t>Sunpetal Grove</t>
  </si>
  <si>
    <t>Sacrifício</t>
  </si>
  <si>
    <t>Brushland</t>
  </si>
  <si>
    <t>Caves of Koilos</t>
  </si>
  <si>
    <t>Recursão</t>
  </si>
  <si>
    <t>Mirrodin's Core</t>
  </si>
  <si>
    <t>Temple of Plenty</t>
  </si>
  <si>
    <t>Temple of Malady</t>
  </si>
  <si>
    <t>Temple of Silence</t>
  </si>
  <si>
    <t>Mirrex</t>
  </si>
  <si>
    <t>Elvish Mystic</t>
  </si>
  <si>
    <t>Llanowar Elves</t>
  </si>
  <si>
    <t>Fyndhorn Elves</t>
  </si>
  <si>
    <t>Sakura-Tribe Elder</t>
  </si>
  <si>
    <t>Elves of Deep Shadow</t>
  </si>
  <si>
    <t>Cryptolith Rite</t>
  </si>
  <si>
    <t>Jaheira, Friend of the Forest</t>
  </si>
  <si>
    <t>Birds of Paradise</t>
  </si>
  <si>
    <t>Inspiring Statuary</t>
  </si>
  <si>
    <t>Oketra's Monument</t>
  </si>
  <si>
    <t>Insidious Roots</t>
  </si>
  <si>
    <t>Tocasia's Welcome</t>
  </si>
  <si>
    <t>Ulvenwald Mysteries</t>
  </si>
  <si>
    <t>Elven Chorus</t>
  </si>
  <si>
    <t>Elas il-Kor, Sadistic Pilgrim</t>
  </si>
  <si>
    <t>Commissar Severina Raine</t>
  </si>
  <si>
    <t>Ashnod's Altar</t>
  </si>
  <si>
    <t>Spawning Pit</t>
  </si>
  <si>
    <t>Martyr's Cause</t>
  </si>
  <si>
    <t>Twilight Drover</t>
  </si>
  <si>
    <t>Wolverine Riders</t>
  </si>
  <si>
    <t>Bramble Sovereign</t>
  </si>
  <si>
    <t>Academy Manufactor</t>
  </si>
  <si>
    <t>Ogre Slumlord</t>
  </si>
  <si>
    <t>Lotho, Corrupt Shirriff</t>
  </si>
  <si>
    <t>Queen Allenal of Ruadach</t>
  </si>
  <si>
    <t>Samwise Gamgee</t>
  </si>
  <si>
    <t>Preston, the Vanisher</t>
  </si>
  <si>
    <t>Thalisse, Reverent Medium</t>
  </si>
  <si>
    <t>Mondrak, Glory Dominus</t>
  </si>
  <si>
    <t>Doubling Season</t>
  </si>
  <si>
    <t>Halo Fountain</t>
  </si>
  <si>
    <t>Journey to Eternity</t>
  </si>
  <si>
    <t>Honest Rutstein</t>
  </si>
  <si>
    <t>Cavalier of Night</t>
  </si>
  <si>
    <t>Living Death</t>
  </si>
  <si>
    <t>The Battle of Bywater</t>
  </si>
  <si>
    <t>Thrasios e Akiri</t>
  </si>
  <si>
    <t>Great Furnace</t>
  </si>
  <si>
    <t>Ancient Den</t>
  </si>
  <si>
    <t>Seat of the Synod</t>
  </si>
  <si>
    <t>Tree of Tales</t>
  </si>
  <si>
    <t>Darksteel Citadel</t>
  </si>
  <si>
    <t>Urza's Saga</t>
  </si>
  <si>
    <t>Engine</t>
  </si>
  <si>
    <t>Combo</t>
  </si>
  <si>
    <t>Utilidade</t>
  </si>
  <si>
    <t>Alchemist's Refuge</t>
  </si>
  <si>
    <t>Tutor</t>
  </si>
  <si>
    <t>Spire Garden</t>
  </si>
  <si>
    <t>Hinterland Harbor</t>
  </si>
  <si>
    <t>Hallowed Fountain</t>
  </si>
  <si>
    <t>Temple Garden</t>
  </si>
  <si>
    <t>Stomping Ground</t>
  </si>
  <si>
    <t>Steam Vents</t>
  </si>
  <si>
    <t>Sacred Foundry</t>
  </si>
  <si>
    <t>Spire of Industry</t>
  </si>
  <si>
    <t>The Mycosynth Gardens</t>
  </si>
  <si>
    <t>Selesnya Signet</t>
  </si>
  <si>
    <t>Simic Signet</t>
  </si>
  <si>
    <t>Basalt Monolith</t>
  </si>
  <si>
    <t>Urza, Lord Protector</t>
  </si>
  <si>
    <t>Liquimetal Torque</t>
  </si>
  <si>
    <t>Gilded Lotus</t>
  </si>
  <si>
    <t>Thran Dynamo</t>
  </si>
  <si>
    <t>The Mightstone and Weakstone</t>
  </si>
  <si>
    <t>Guild Artisan</t>
  </si>
  <si>
    <t>Anciã de Toca das Fadas</t>
  </si>
  <si>
    <t>Swords to Plowshares</t>
  </si>
  <si>
    <t>Dispeller's Capsule</t>
  </si>
  <si>
    <t>Generous Gift</t>
  </si>
  <si>
    <t>Hindering Light</t>
  </si>
  <si>
    <t>An Offer You Can't Refuse</t>
  </si>
  <si>
    <t>Endless Detour</t>
  </si>
  <si>
    <t>Conqueror's Flail</t>
  </si>
  <si>
    <t>Seedborn Muse</t>
  </si>
  <si>
    <t>Zirda, the Dawnwaker</t>
  </si>
  <si>
    <t>Galadriel of Lothlórien</t>
  </si>
  <si>
    <t>Training Grounds</t>
  </si>
  <si>
    <t>Sarinth Greatwurm</t>
  </si>
  <si>
    <t>Clock of Omens</t>
  </si>
  <si>
    <t>Saheeli, Sublime Artificer</t>
  </si>
  <si>
    <t>Whir of Invention</t>
  </si>
  <si>
    <t>Oswald Fiddlebender</t>
  </si>
  <si>
    <t>Wargate</t>
  </si>
  <si>
    <t>Reshape</t>
  </si>
  <si>
    <t>Isochron Scepter</t>
  </si>
  <si>
    <t>Walking Ballista</t>
  </si>
  <si>
    <t>Boros Charm</t>
  </si>
  <si>
    <t>Encroaching Mycosynth</t>
  </si>
  <si>
    <t>Saheeli Rai</t>
  </si>
  <si>
    <t>The Gitrog Monster</t>
  </si>
  <si>
    <t>Argoth, Sanctum of Nature</t>
  </si>
  <si>
    <t>Tainted Wood</t>
  </si>
  <si>
    <t>Crystal Vein</t>
  </si>
  <si>
    <t>Dakmor Salvage</t>
  </si>
  <si>
    <t>Phyrexian Tower</t>
  </si>
  <si>
    <t>Descarte</t>
  </si>
  <si>
    <t>Peat Bog</t>
  </si>
  <si>
    <t>Hickory Woodlot</t>
  </si>
  <si>
    <t>Ash Barrens</t>
  </si>
  <si>
    <t>Petrified Field</t>
  </si>
  <si>
    <t>Ancient Tomb</t>
  </si>
  <si>
    <t>Demolition Field</t>
  </si>
  <si>
    <t>Ghost Quarter</t>
  </si>
  <si>
    <t>Strip Mine</t>
  </si>
  <si>
    <t>Blasted Landscape</t>
  </si>
  <si>
    <t>Wall of Roots</t>
  </si>
  <si>
    <t>Dryad Arbor</t>
  </si>
  <si>
    <t>Deathrite Shaman</t>
  </si>
  <si>
    <t>Priest of Titania</t>
  </si>
  <si>
    <t>Gilded Goose</t>
  </si>
  <si>
    <t>Delighted Halfling</t>
  </si>
  <si>
    <t>Elvish Spirit Guide</t>
  </si>
  <si>
    <t>Tear Asunder</t>
  </si>
  <si>
    <t>Krosan Grip</t>
  </si>
  <si>
    <t>Darkblast</t>
  </si>
  <si>
    <t>Noose Constrictor</t>
  </si>
  <si>
    <t>Oblivion Crown</t>
  </si>
  <si>
    <t>Wild Mongrel</t>
  </si>
  <si>
    <t>Putrid Imp</t>
  </si>
  <si>
    <t>Dark Ritual</t>
  </si>
  <si>
    <t>Ulamog, the Infinite Gyre</t>
  </si>
  <si>
    <t>Gaea's Blessing</t>
  </si>
  <si>
    <t>Lotus Petal</t>
  </si>
  <si>
    <t>Geth's Verdict</t>
  </si>
  <si>
    <t>Cabal Ritual</t>
  </si>
  <si>
    <t>Cemetery Tampering</t>
  </si>
  <si>
    <t>Life from the Loam</t>
  </si>
  <si>
    <t>Blessed Respite</t>
  </si>
  <si>
    <t>Riftsweeper</t>
  </si>
  <si>
    <t>Crawling Infestation</t>
  </si>
  <si>
    <t>Conduit of Worlds</t>
  </si>
  <si>
    <t>Nostalgic Dreams</t>
  </si>
  <si>
    <t>Titania, Voice of Gaea</t>
  </si>
  <si>
    <t>Autumn's Veil</t>
  </si>
  <si>
    <t>Splendid Reclamation</t>
  </si>
  <si>
    <t>Ramunap Excavator</t>
  </si>
  <si>
    <t>Worldly Tutor</t>
  </si>
  <si>
    <t>Crop Rotation</t>
  </si>
  <si>
    <t>Unmarked Grave</t>
  </si>
  <si>
    <t>Invasion of Ikoria</t>
  </si>
  <si>
    <t>Sylvan Scrying</t>
  </si>
  <si>
    <t>Buried Alive</t>
  </si>
  <si>
    <t>Entomb</t>
  </si>
  <si>
    <t>Green Sun's Zenith</t>
  </si>
  <si>
    <t>Eldritch Evolution</t>
  </si>
  <si>
    <t>Elfos - Thrasios e Miara</t>
  </si>
  <si>
    <t>Wirewood Lodge</t>
  </si>
  <si>
    <t>Path of Ancestry</t>
  </si>
  <si>
    <t>Yavimaya Coast</t>
  </si>
  <si>
    <t>Mortuary Mire</t>
  </si>
  <si>
    <t>Bala Ged Sanctuary</t>
  </si>
  <si>
    <t>Interação</t>
  </si>
  <si>
    <t>Port of Karfell</t>
  </si>
  <si>
    <t>Token</t>
  </si>
  <si>
    <t>Haste</t>
  </si>
  <si>
    <t>Nykthos, Shrine to Nyx</t>
  </si>
  <si>
    <t>Circle of Dreams Druid</t>
  </si>
  <si>
    <t>Elvish Guidance</t>
  </si>
  <si>
    <t>Elvish Harbinger</t>
  </si>
  <si>
    <t>Marwyn, the Nurturer</t>
  </si>
  <si>
    <t>Elvish Archdruid</t>
  </si>
  <si>
    <t>Birchlore Rangers</t>
  </si>
  <si>
    <t>Wirewood Channeler</t>
  </si>
  <si>
    <t>Farhaven Elf</t>
  </si>
  <si>
    <t>Devoted Druid</t>
  </si>
  <si>
    <t>Wood Elves</t>
  </si>
  <si>
    <t>Springbloom Druid</t>
  </si>
  <si>
    <t>Arbor Elf</t>
  </si>
  <si>
    <t>Beastcaller Savant</t>
  </si>
  <si>
    <t>Joraga Treespeaker</t>
  </si>
  <si>
    <t>Llanowar Loamspeaker</t>
  </si>
  <si>
    <t>Tyvar Kell</t>
  </si>
  <si>
    <t>Jaspera Sentinel</t>
  </si>
  <si>
    <t>Gwenna, Eyes of Gaea</t>
  </si>
  <si>
    <t>Imperious Perfect</t>
  </si>
  <si>
    <t>Lys Alana Huntmaster</t>
  </si>
  <si>
    <t>Ezuri, Renegade Leader</t>
  </si>
  <si>
    <t>Evolutionary Leap</t>
  </si>
  <si>
    <t>Fauna Shaman</t>
  </si>
  <si>
    <t>Skyshroud Poacher</t>
  </si>
  <si>
    <t>Prime Speaker Vannifar</t>
  </si>
  <si>
    <t>Yisan, the Wanderer Bard</t>
  </si>
  <si>
    <t>Elvish Lyrist</t>
  </si>
  <si>
    <t>Elvish Scrapper</t>
  </si>
  <si>
    <t>Freyalise, Llanowar's Fury</t>
  </si>
  <si>
    <t>Reclamation Sage</t>
  </si>
  <si>
    <t>Masked Vandal</t>
  </si>
  <si>
    <t>Mirage Mirror</t>
  </si>
  <si>
    <t>Yeva, Nature's Herald</t>
  </si>
  <si>
    <t>Simic Charm</t>
  </si>
  <si>
    <t>Nissa, Resurgent Animist</t>
  </si>
  <si>
    <t>Wellwisher</t>
  </si>
  <si>
    <t>Intruder Alarm</t>
  </si>
  <si>
    <t>Seeker of Skybreak</t>
  </si>
  <si>
    <t>Copperhorn Scout</t>
  </si>
  <si>
    <t>Quest for Renewal</t>
  </si>
  <si>
    <t>Faces of the Past</t>
  </si>
  <si>
    <t>Teferi, Temporal Archmage</t>
  </si>
  <si>
    <t>Murkfiend Liege</t>
  </si>
  <si>
    <t>Kiora's Follower</t>
  </si>
  <si>
    <t>Wirewood Symbiote</t>
  </si>
  <si>
    <t>Nissa, Genesis Mage</t>
  </si>
  <si>
    <t>Elvish Soultiller</t>
  </si>
  <si>
    <t>Tyvar, Jubilant Brawler</t>
  </si>
  <si>
    <t>Thousand-Year Elixir</t>
  </si>
  <si>
    <t>Breya Foundry</t>
  </si>
  <si>
    <t>Vault of Whispers</t>
  </si>
  <si>
    <t>Buried Ruin</t>
  </si>
  <si>
    <t>Power Depot</t>
  </si>
  <si>
    <t>Foundry</t>
  </si>
  <si>
    <t>Fundição dos Cônsules</t>
  </si>
  <si>
    <t>Reflecting Pool</t>
  </si>
  <si>
    <t>Goldmire Bridge</t>
  </si>
  <si>
    <t>Razortide Bridge</t>
  </si>
  <si>
    <t>Drossforge Bridge</t>
  </si>
  <si>
    <t>Win</t>
  </si>
  <si>
    <t>Rustvale Bridge</t>
  </si>
  <si>
    <t>Mistvault Bridge</t>
  </si>
  <si>
    <t>Silverbluff Bridge</t>
  </si>
  <si>
    <t>Castle Embereth</t>
  </si>
  <si>
    <t>Sulfurous Springs</t>
  </si>
  <si>
    <t>Underground River</t>
  </si>
  <si>
    <t>Orzhov Signet</t>
  </si>
  <si>
    <t>Dimir Signet</t>
  </si>
  <si>
    <t>Grand Architect</t>
  </si>
  <si>
    <t>Prosperous Partnership</t>
  </si>
  <si>
    <t>Chief Engineer</t>
  </si>
  <si>
    <t>Arcum Dagsson</t>
  </si>
  <si>
    <t>Aetherworks Marvel</t>
  </si>
  <si>
    <t>Skullclamp</t>
  </si>
  <si>
    <t>Grazilaxx, Illithid Scholar</t>
  </si>
  <si>
    <t>Kindred Discovery</t>
  </si>
  <si>
    <t>Curiosity Crafter</t>
  </si>
  <si>
    <t>Thopter Spy Network</t>
  </si>
  <si>
    <t>Bident of Thassa</t>
  </si>
  <si>
    <t>Loyal Apprentice</t>
  </si>
  <si>
    <t>Pia and Kiran Nalaar</t>
  </si>
  <si>
    <t>Jan Jansen, Chaos Crafter</t>
  </si>
  <si>
    <t>Skrelv's Hive</t>
  </si>
  <si>
    <t>Summoning Station</t>
  </si>
  <si>
    <t>Sharding Sphinx</t>
  </si>
  <si>
    <t>Biotransference</t>
  </si>
  <si>
    <t>Saheeli, the Gifted</t>
  </si>
  <si>
    <t>Hangarback Walker</t>
  </si>
  <si>
    <t>Brudiclad, Telchor Engineer</t>
  </si>
  <si>
    <t>Saheeli, Filigree Master</t>
  </si>
  <si>
    <t>Daretti, Ingenious Iconoclast</t>
  </si>
  <si>
    <t>Spiteful Banditry</t>
  </si>
  <si>
    <t>Anguished Unmaking</t>
  </si>
  <si>
    <t>Eldrazi Displacer</t>
  </si>
  <si>
    <t>Thassa, Deep-Dwelling</t>
  </si>
  <si>
    <t>Soulherder</t>
  </si>
  <si>
    <t>Nahiri's Resolve</t>
  </si>
  <si>
    <t>Teleportation Circle</t>
  </si>
  <si>
    <t>Venser, the Sojourner</t>
  </si>
  <si>
    <t>Mayhem Devil</t>
  </si>
  <si>
    <t>Time Sieve</t>
  </si>
  <si>
    <t>Tezzeret, Master of the Bridge</t>
  </si>
  <si>
    <t>Krark-Clan Ironworks</t>
  </si>
  <si>
    <t>The First Sliver</t>
  </si>
  <si>
    <t>Panorama de Naya</t>
  </si>
  <si>
    <t>Raffine's Tower</t>
  </si>
  <si>
    <t>Xander's Lounge</t>
  </si>
  <si>
    <t>Ziatora's Proving Ground</t>
  </si>
  <si>
    <t>Jungle Shrine</t>
  </si>
  <si>
    <t>Jetmir's Garden</t>
  </si>
  <si>
    <t>Spara's Headquarters</t>
  </si>
  <si>
    <t>Terramorphic Expanse</t>
  </si>
  <si>
    <t>Unclaimed Territory</t>
  </si>
  <si>
    <t>Sliver Hive</t>
  </si>
  <si>
    <t>Sliver Queen</t>
  </si>
  <si>
    <t>Sliver Hivelord</t>
  </si>
  <si>
    <t>Sliver Overlord</t>
  </si>
  <si>
    <t>Sliver Legion</t>
  </si>
  <si>
    <t>Sinew Sliver</t>
  </si>
  <si>
    <t>Sliver Gravemother</t>
  </si>
  <si>
    <t>Hibernation Sliver</t>
  </si>
  <si>
    <t>Necrotic Sliver</t>
  </si>
  <si>
    <t>Cloudshredder Sliver</t>
  </si>
  <si>
    <t>Dormant Sliver</t>
  </si>
  <si>
    <t>Harmonic Sliver</t>
  </si>
  <si>
    <t>Darkheart Sliver</t>
  </si>
  <si>
    <t>Lavabelly Sliver</t>
  </si>
  <si>
    <t>Sentinel Sliver</t>
  </si>
  <si>
    <t>Constricting Sliver</t>
  </si>
  <si>
    <t>Quilled Sliver</t>
  </si>
  <si>
    <t>Bonescythe Sliver</t>
  </si>
  <si>
    <t>Gemhide Sliver</t>
  </si>
  <si>
    <t>Venom Sliver</t>
  </si>
  <si>
    <t>Brood Sliver</t>
  </si>
  <si>
    <t>Manaweft Sliver</t>
  </si>
  <si>
    <t>Quick Sliver</t>
  </si>
  <si>
    <t>Root Sliver</t>
  </si>
  <si>
    <t>Basal Sliver</t>
  </si>
  <si>
    <t>Crypt Sliver</t>
  </si>
  <si>
    <t>Syphon Sliver</t>
  </si>
  <si>
    <t>Dregscape Sliver</t>
  </si>
  <si>
    <t>Heart Sliver</t>
  </si>
  <si>
    <t>Homing Sliver</t>
  </si>
  <si>
    <t>Blur Sliver</t>
  </si>
  <si>
    <t>Spiteful Sliver</t>
  </si>
  <si>
    <t>Magma Sliver</t>
  </si>
  <si>
    <t>Thorncaster Sliver</t>
  </si>
  <si>
    <t>Striking Sliver</t>
  </si>
  <si>
    <t>Opaline Sliver</t>
  </si>
  <si>
    <t>Diffusion Sliver</t>
  </si>
  <si>
    <t>Ward Sliver</t>
  </si>
  <si>
    <t>Winged Sliver</t>
  </si>
  <si>
    <t>Essence Sliver</t>
  </si>
  <si>
    <t>Galerider Sliver</t>
  </si>
  <si>
    <t>Crystalline Sliver</t>
  </si>
  <si>
    <t>Shifting Sliver</t>
  </si>
  <si>
    <t>Hatchery Sliver</t>
  </si>
  <si>
    <t>Taunting Sliver</t>
  </si>
  <si>
    <t>Eladamri's Call</t>
  </si>
  <si>
    <t>Signal the Clans</t>
  </si>
  <si>
    <t>Realmwalker</t>
  </si>
  <si>
    <t>Haunted Crossroads</t>
  </si>
  <si>
    <t>Rogues' Gallery</t>
  </si>
  <si>
    <t>Call to the Kindred</t>
  </si>
  <si>
    <t>Farseek</t>
  </si>
  <si>
    <t>Inventors' Fair</t>
  </si>
  <si>
    <t>Minamo, School at Water's Edge</t>
  </si>
  <si>
    <t>Academy Ruins</t>
  </si>
  <si>
    <t>Everflowing Chalice</t>
  </si>
  <si>
    <t>Caged Sun</t>
  </si>
  <si>
    <t>Coldsteel Heart</t>
  </si>
  <si>
    <t>Worn Powerstone</t>
  </si>
  <si>
    <t>Planar Atlas</t>
  </si>
  <si>
    <t>Dreamstone Hedron</t>
  </si>
  <si>
    <t>Stonespeaker Crystal</t>
  </si>
  <si>
    <t>Patriar's Seal</t>
  </si>
  <si>
    <t>Sky Diamond</t>
  </si>
  <si>
    <t>Padeem, Consul of Innovation</t>
  </si>
  <si>
    <t>Master Transmuter</t>
  </si>
  <si>
    <t>Argivian Restoration</t>
  </si>
  <si>
    <t>Platinum Angel</t>
  </si>
  <si>
    <t>Spellskite</t>
  </si>
  <si>
    <t>The Stasis Coffin</t>
  </si>
  <si>
    <t>Brainstorm</t>
  </si>
  <si>
    <t>Brainstone</t>
  </si>
  <si>
    <t>Meteor Golem</t>
  </si>
  <si>
    <t>Counterspell</t>
  </si>
  <si>
    <t>Spine of Ish Sah</t>
  </si>
  <si>
    <t>Duplicant</t>
  </si>
  <si>
    <t>Portal to Phyrexia</t>
  </si>
  <si>
    <t>Rewind</t>
  </si>
  <si>
    <t>All is Dust</t>
  </si>
  <si>
    <t>Reality Shift</t>
  </si>
  <si>
    <t>Stoic Rebuttal</t>
  </si>
  <si>
    <t>Mycosynth Golem</t>
  </si>
  <si>
    <t>Imposter Mech</t>
  </si>
  <si>
    <t>Filigree Sages</t>
  </si>
  <si>
    <t>Darksteel Forge</t>
  </si>
  <si>
    <t>Unwinding Clock</t>
  </si>
  <si>
    <t>Magewright's Stone</t>
  </si>
  <si>
    <t>Nevinyrral's Disk</t>
  </si>
  <si>
    <t>Pentavus</t>
  </si>
  <si>
    <t>Phyrexian Metamorph</t>
  </si>
  <si>
    <t>Memnarch</t>
  </si>
  <si>
    <t>Voltaic Key</t>
  </si>
  <si>
    <t>Mycosynth Lattice</t>
  </si>
  <si>
    <t>Rielle, the Everwise</t>
  </si>
  <si>
    <t>Mystic Sanctuary</t>
  </si>
  <si>
    <t>Lonely Sandbar</t>
  </si>
  <si>
    <t>Forgotten Cave</t>
  </si>
  <si>
    <t>Desolate Lighthouse</t>
  </si>
  <si>
    <t>Remote Isle</t>
  </si>
  <si>
    <t>Smoldering Crater</t>
  </si>
  <si>
    <t>Desert of the Mindful</t>
  </si>
  <si>
    <t>Desert of the Fervent</t>
  </si>
  <si>
    <t>Combate</t>
  </si>
  <si>
    <t>Temple of the False God</t>
  </si>
  <si>
    <t>Riptide Laboratory</t>
  </si>
  <si>
    <t>The Celestus</t>
  </si>
  <si>
    <t>Diamond Lion</t>
  </si>
  <si>
    <t>Anger</t>
  </si>
  <si>
    <t>Archmage Ascension</t>
  </si>
  <si>
    <t>Ledger Shredder</t>
  </si>
  <si>
    <t>Magmatic Insight</t>
  </si>
  <si>
    <t>Tolarian Winds</t>
  </si>
  <si>
    <t>Breakthrough</t>
  </si>
  <si>
    <t>Careful Study</t>
  </si>
  <si>
    <t>Desperate Ravings</t>
  </si>
  <si>
    <t>Burning Inquiry</t>
  </si>
  <si>
    <t>Cathartic Reunion</t>
  </si>
  <si>
    <t>Dangerous Wager</t>
  </si>
  <si>
    <t>Thrill of Possibility</t>
  </si>
  <si>
    <t>Thirst for Meaning</t>
  </si>
  <si>
    <t>Scuttletide</t>
  </si>
  <si>
    <t>Read the Runes</t>
  </si>
  <si>
    <t>Pensamento Sombrio</t>
  </si>
  <si>
    <t>Defabricate</t>
  </si>
  <si>
    <t>Forbid</t>
  </si>
  <si>
    <t>Rites of Refusal</t>
  </si>
  <si>
    <t>Izzet Charm</t>
  </si>
  <si>
    <t>Whirlwind Denial</t>
  </si>
  <si>
    <t>Nimble Obstructionist</t>
  </si>
  <si>
    <t>Foil</t>
  </si>
  <si>
    <t>Arcane Denial</t>
  </si>
  <si>
    <t>Wizard's Retort</t>
  </si>
  <si>
    <t>Turn Aside</t>
  </si>
  <si>
    <t>Stubborn Denial</t>
  </si>
  <si>
    <t>Delay</t>
  </si>
  <si>
    <t>Glorious Gale</t>
  </si>
  <si>
    <t>Unwind</t>
  </si>
  <si>
    <t>Counterflux</t>
  </si>
  <si>
    <t>Chandra's Ignition</t>
  </si>
  <si>
    <t>Nahiri's Wrath</t>
  </si>
  <si>
    <t>Chaos Warp</t>
  </si>
  <si>
    <t>Fateful Showdown</t>
  </si>
  <si>
    <t>Turbulent Dreams</t>
  </si>
  <si>
    <t>Divide by Zero</t>
  </si>
  <si>
    <t>Storm-Kiln Artist</t>
  </si>
  <si>
    <t>Collector's Vault</t>
  </si>
  <si>
    <t>Hot Soup</t>
  </si>
  <si>
    <t>Wings of Hubris</t>
  </si>
  <si>
    <t>Invasion of Segovia</t>
  </si>
  <si>
    <t>Key to the City</t>
  </si>
  <si>
    <t>Currency Converter</t>
  </si>
  <si>
    <t>Surly Badgersaur</t>
  </si>
  <si>
    <t>Hall of Heliod's Generosity</t>
  </si>
  <si>
    <t>Godless Shrine</t>
  </si>
  <si>
    <t>Stax</t>
  </si>
  <si>
    <t>Drowned Catacomb</t>
  </si>
  <si>
    <t>Fort</t>
  </si>
  <si>
    <t>Morphic Pool</t>
  </si>
  <si>
    <t>Dreadship Reef</t>
  </si>
  <si>
    <t>Strixhaven Stadium</t>
  </si>
  <si>
    <t>Heraldic Banner</t>
  </si>
  <si>
    <t>Smothering Tithe</t>
  </si>
  <si>
    <t>Rhystic Study</t>
  </si>
  <si>
    <t>Enlightened Tutor</t>
  </si>
  <si>
    <t>Wedding Ring</t>
  </si>
  <si>
    <t>Torpor Orb</t>
  </si>
  <si>
    <t>Mana Web</t>
  </si>
  <si>
    <t>The Immortal Sun</t>
  </si>
  <si>
    <t>Rest in Peace</t>
  </si>
  <si>
    <t>Gossamer Chains</t>
  </si>
  <si>
    <t>Eidolon of Rhetoric</t>
  </si>
  <si>
    <t>Frozen Aether</t>
  </si>
  <si>
    <t>Oubliette</t>
  </si>
  <si>
    <t>Aura of Silence</t>
  </si>
  <si>
    <t>Seal of Cleansing</t>
  </si>
  <si>
    <t>Seal of Doom</t>
  </si>
  <si>
    <t>Darksteel Mutation</t>
  </si>
  <si>
    <t>Imprisoned in the Moon</t>
  </si>
  <si>
    <t>Detention Sphere</t>
  </si>
  <si>
    <t>Grasp of Fate</t>
  </si>
  <si>
    <t>Steal Enchantment</t>
  </si>
  <si>
    <t>Scion of Oona</t>
  </si>
  <si>
    <t>Brave the Sands</t>
  </si>
  <si>
    <t>Intangible Virtue</t>
  </si>
  <si>
    <t>Divine Visitation</t>
  </si>
  <si>
    <t>Archetype of Courage</t>
  </si>
  <si>
    <t>Etchings of the Chosen</t>
  </si>
  <si>
    <t>Gravitational Shift</t>
  </si>
  <si>
    <t>Radiant Destiny</t>
  </si>
  <si>
    <t>Luminarch Ascension</t>
  </si>
  <si>
    <t>Copy Enchantment</t>
  </si>
  <si>
    <t>Kabira Takedown</t>
  </si>
  <si>
    <t>Windbrisk Heights</t>
  </si>
  <si>
    <t>Calciform Pools</t>
  </si>
  <si>
    <t>Irrigated Farmland</t>
  </si>
  <si>
    <t>Nimbus Maze</t>
  </si>
  <si>
    <t>Orla Krosana</t>
  </si>
  <si>
    <t>Saltcrusted Steppe</t>
  </si>
  <si>
    <t>Access Tunnel</t>
  </si>
  <si>
    <t>Wall of Denial</t>
  </si>
  <si>
    <t>Tree of Redemption</t>
  </si>
  <si>
    <t>Hover Barrier</t>
  </si>
  <si>
    <t>Teyo, Geometric Tactician</t>
  </si>
  <si>
    <t>Stalwart Shield-Bearers</t>
  </si>
  <si>
    <t>Wall of Reverence</t>
  </si>
  <si>
    <t>The Pride of Hull Clade</t>
  </si>
  <si>
    <t>Tetsuko Umezawa, Fugitive</t>
  </si>
  <si>
    <t>Traproot Kami</t>
  </si>
  <si>
    <t>Weathered Sentinels</t>
  </si>
  <si>
    <t>Overgrown Battlement</t>
  </si>
  <si>
    <t>Axebane Guardian</t>
  </si>
  <si>
    <t>Sunscape Familiar</t>
  </si>
  <si>
    <t>Resolute Watchdog</t>
  </si>
  <si>
    <t>Jeskai Barricade</t>
  </si>
  <si>
    <t>Soulsworn Jury</t>
  </si>
  <si>
    <t>Wall of Omens</t>
  </si>
  <si>
    <t>Mirari's Wake</t>
  </si>
  <si>
    <t>Sylvan Caryatid</t>
  </si>
  <si>
    <t>Dusk // Dawn</t>
  </si>
  <si>
    <t>True Conviction</t>
  </si>
  <si>
    <t>Stoneskin</t>
  </si>
  <si>
    <t>Concerted Effort</t>
  </si>
  <si>
    <t>Path to Exile</t>
  </si>
  <si>
    <t>Aura Shards</t>
  </si>
  <si>
    <t>Rigo, Streetwise Mentor</t>
  </si>
  <si>
    <t>Lae'zel's Acrobatics</t>
  </si>
  <si>
    <t>Amuleto Simic</t>
  </si>
  <si>
    <t>High Alert</t>
  </si>
  <si>
    <t>Assault Formation</t>
  </si>
  <si>
    <t>Jhoira of the Ghitu</t>
  </si>
  <si>
    <t>Silundi Vision</t>
  </si>
  <si>
    <t>Valfenda</t>
  </si>
  <si>
    <t>Bichão</t>
  </si>
  <si>
    <t>Final</t>
  </si>
  <si>
    <t>Emrakul, the Promised End</t>
  </si>
  <si>
    <t>Consecrated Sphinx</t>
  </si>
  <si>
    <t>Kozilek, Butcher of Truth</t>
  </si>
  <si>
    <t>Kozilek, the Great Distortion</t>
  </si>
  <si>
    <t>Ulamog, the Ceaseless Hunger</t>
  </si>
  <si>
    <t>Blightsteel Colossus</t>
  </si>
  <si>
    <t>Pathrazer of Ulamog</t>
  </si>
  <si>
    <t>Void Winnower</t>
  </si>
  <si>
    <t>Jin-Gitaxias, Core Augur</t>
  </si>
  <si>
    <t>It That Betrays</t>
  </si>
  <si>
    <t>Omniscience</t>
  </si>
  <si>
    <t>Aminatou's Augury</t>
  </si>
  <si>
    <t>Dilatação da Mente</t>
  </si>
  <si>
    <t>Obliterate</t>
  </si>
  <si>
    <t>Worldfire</t>
  </si>
  <si>
    <t>Apocalipse</t>
  </si>
  <si>
    <t>Jokulhaups</t>
  </si>
  <si>
    <t>Decree of Annihilation</t>
  </si>
  <si>
    <t>Consuming Tide</t>
  </si>
  <si>
    <t>Whelming Wave</t>
  </si>
  <si>
    <t>Evacuação</t>
  </si>
  <si>
    <t>Chain Reaction</t>
  </si>
  <si>
    <t>Blasphemous Act</t>
  </si>
  <si>
    <t>Devastation Tide</t>
  </si>
  <si>
    <t>Curse of Opulence</t>
  </si>
  <si>
    <t>Wibbly-Wobbly, Timey-wimey</t>
  </si>
  <si>
    <t>Clockspinning</t>
  </si>
  <si>
    <t>Timecrafting</t>
  </si>
  <si>
    <t>Jhoira's Timebug</t>
  </si>
  <si>
    <t>Rapid Hybridization</t>
  </si>
  <si>
    <t>Mana Leak</t>
  </si>
  <si>
    <t>Cyber Conversion</t>
  </si>
  <si>
    <t>Pongify</t>
  </si>
  <si>
    <t>Suspend</t>
  </si>
  <si>
    <t>Swan Song</t>
  </si>
  <si>
    <t>Crawlspace</t>
  </si>
  <si>
    <t>Solve the Equation</t>
  </si>
  <si>
    <t>Preordain</t>
  </si>
  <si>
    <t>Mystical Tutor</t>
  </si>
  <si>
    <t>Telling Time</t>
  </si>
  <si>
    <t>Academy Loremaster</t>
  </si>
  <si>
    <t>Antecipar</t>
  </si>
  <si>
    <t>Castle Vantress</t>
  </si>
  <si>
    <t>Shizo, Death's Storehouse</t>
  </si>
  <si>
    <t>Sea Gate Restoration</t>
  </si>
  <si>
    <t>Zof Bloodbog</t>
  </si>
  <si>
    <t>Halimar Depths</t>
  </si>
  <si>
    <t>Batedor</t>
  </si>
  <si>
    <t>Creeping Tar Pit</t>
  </si>
  <si>
    <t>Tolaria West</t>
  </si>
  <si>
    <t>Turns</t>
  </si>
  <si>
    <t>Faerie Conclave</t>
  </si>
  <si>
    <t>Unb</t>
  </si>
  <si>
    <t>Mutavault</t>
  </si>
  <si>
    <t>Temple of Deceit</t>
  </si>
  <si>
    <t>Protection Racket</t>
  </si>
  <si>
    <t>Varragoth, Bloodsky Sire</t>
  </si>
  <si>
    <t>Personal Tutor</t>
  </si>
  <si>
    <t>Dig Through Time</t>
  </si>
  <si>
    <t>Changeling Outcast</t>
  </si>
  <si>
    <t>Slither Blade</t>
  </si>
  <si>
    <t>Thalakos Seer</t>
  </si>
  <si>
    <t>Siren Stormtamer</t>
  </si>
  <si>
    <t>Tormented Soul</t>
  </si>
  <si>
    <t>Mothdust Changeling</t>
  </si>
  <si>
    <t>Faerie Seer</t>
  </si>
  <si>
    <t>Thieves' Tools</t>
  </si>
  <si>
    <t>Wingcrafter</t>
  </si>
  <si>
    <t>Sword Coast Sailor</t>
  </si>
  <si>
    <t>Smoke Shroud</t>
  </si>
  <si>
    <t>Faerie Slumber Party</t>
  </si>
  <si>
    <t>Coastal Breach</t>
  </si>
  <si>
    <t>Familiar's Ruse</t>
  </si>
  <si>
    <t>Spark Harvest</t>
  </si>
  <si>
    <t>Bone Shards</t>
  </si>
  <si>
    <t>Dismember</t>
  </si>
  <si>
    <t>Murderous Cut</t>
  </si>
  <si>
    <t>Abjure</t>
  </si>
  <si>
    <t>Temporal Trespass</t>
  </si>
  <si>
    <t>Temporal Mastery</t>
  </si>
  <si>
    <t>Time Warp</t>
  </si>
  <si>
    <t>Walk the Aeons</t>
  </si>
  <si>
    <t>Temporal Manipulation</t>
  </si>
  <si>
    <t>Conspiracy</t>
  </si>
  <si>
    <t>Maskwood Nexus</t>
  </si>
  <si>
    <t>Arcane Adaptation</t>
  </si>
  <si>
    <t>Vile Consumption</t>
  </si>
  <si>
    <t>Prosperous Thief</t>
  </si>
  <si>
    <t>Call of the Ring</t>
  </si>
  <si>
    <t>Thassa, God of the Sea</t>
  </si>
  <si>
    <t>Amoeboid Changeling</t>
  </si>
  <si>
    <t>Scroll Rack</t>
  </si>
  <si>
    <t>Homeward Path</t>
  </si>
  <si>
    <t>Mystic Monastery</t>
  </si>
  <si>
    <t>Madness</t>
  </si>
  <si>
    <t>Improve</t>
  </si>
  <si>
    <t>AutoPass</t>
  </si>
  <si>
    <t>Discerning Financier</t>
  </si>
  <si>
    <t>Slash the Ranks</t>
  </si>
  <si>
    <t>Fumigate</t>
  </si>
  <si>
    <t>Out of Time</t>
  </si>
  <si>
    <t>One with the Stars</t>
  </si>
  <si>
    <t>Swift Reconfiguration</t>
  </si>
  <si>
    <t>Hithlain Rope</t>
  </si>
  <si>
    <t>Role Reversal</t>
  </si>
  <si>
    <t>Solitary Confinement</t>
  </si>
  <si>
    <t>Aether Flash</t>
  </si>
  <si>
    <t>Lightmine Field</t>
  </si>
  <si>
    <t>Divine Presence</t>
  </si>
  <si>
    <t>Reins of Power</t>
  </si>
  <si>
    <t>Words of War</t>
  </si>
  <si>
    <t>Aetherflux Reservoir</t>
  </si>
  <si>
    <t>Descent into Avernus</t>
  </si>
  <si>
    <t>Hive Mind</t>
  </si>
  <si>
    <t>Shared Fate</t>
  </si>
  <si>
    <t>Possibility Storm</t>
  </si>
  <si>
    <t>Conjured Currency</t>
  </si>
  <si>
    <t>Share the Spoils</t>
  </si>
  <si>
    <t>Knowledge Pool</t>
  </si>
  <si>
    <t>Perplexing Chimera</t>
  </si>
  <si>
    <t>Puca's Mischief</t>
  </si>
  <si>
    <t>Plargg and Nassari</t>
  </si>
  <si>
    <t>Custody Battle</t>
  </si>
  <si>
    <t>Manabarbs</t>
  </si>
  <si>
    <t>Venser's Journal</t>
  </si>
  <si>
    <t>Alhammarret's Archive</t>
  </si>
  <si>
    <t>Paradox Haze</t>
  </si>
  <si>
    <t>Archmage Inalla</t>
  </si>
  <si>
    <t>Grixis Panorama</t>
  </si>
  <si>
    <t>Recurso</t>
  </si>
  <si>
    <t>Vivid Marsh</t>
  </si>
  <si>
    <t>Arcane Lighthouse</t>
  </si>
  <si>
    <t>Glasspool Mimic</t>
  </si>
  <si>
    <t>Azami, Lady of Scrolls</t>
  </si>
  <si>
    <t>Sea Gate Oracle</t>
  </si>
  <si>
    <t>Master of Death</t>
  </si>
  <si>
    <t>Trinket Mage</t>
  </si>
  <si>
    <t>Trophy Mage</t>
  </si>
  <si>
    <t>Bloodline Necromancer</t>
  </si>
  <si>
    <t>Archaeomancer</t>
  </si>
  <si>
    <t>Winter Eladrin</t>
  </si>
  <si>
    <t>Aether Channeler</t>
  </si>
  <si>
    <t>Galecaster Colossus</t>
  </si>
  <si>
    <t>Exclusion Mage</t>
  </si>
  <si>
    <t>Aether Adept</t>
  </si>
  <si>
    <t>Venser, Shaper Savant</t>
  </si>
  <si>
    <t>Ruthless Technomancer</t>
  </si>
  <si>
    <t>Naban, Dean of Iteration</t>
  </si>
  <si>
    <t>Harmonic Prodigy</t>
  </si>
  <si>
    <t>Teferi, Mage of Zhalfir</t>
  </si>
  <si>
    <t>Dualcaster Mage</t>
  </si>
  <si>
    <t>Specimen Collector</t>
  </si>
  <si>
    <t>Wanderwine Prophets</t>
  </si>
  <si>
    <t>Oversold Cemetery</t>
  </si>
  <si>
    <t>Industrial Advancement</t>
  </si>
  <si>
    <t>Panharmonicon</t>
  </si>
  <si>
    <t>Goblin Bombardment</t>
  </si>
  <si>
    <t>Cackling Counterpart</t>
  </si>
  <si>
    <t>Crystal Shard</t>
  </si>
  <si>
    <t>Ghostly Flicker</t>
  </si>
  <si>
    <t>Radiant Fountain</t>
  </si>
  <si>
    <t>Kabira Crossroads</t>
  </si>
  <si>
    <t>Shambling Vent</t>
  </si>
  <si>
    <t>Scoured Barrens</t>
  </si>
  <si>
    <t>Malakir Rebirth</t>
  </si>
  <si>
    <t>Memorial to Folly</t>
  </si>
  <si>
    <t>Japaland</t>
  </si>
  <si>
    <t>Vault of the Archangel</t>
  </si>
  <si>
    <t>Morte</t>
  </si>
  <si>
    <t>Retorno</t>
  </si>
  <si>
    <t>Obscura Storefront</t>
  </si>
  <si>
    <t>Campo Contaminado</t>
  </si>
  <si>
    <t>Necropotence</t>
  </si>
  <si>
    <t>Dark Confidant</t>
  </si>
  <si>
    <t>Ranger of Eos</t>
  </si>
  <si>
    <t>Dark Tutelage</t>
  </si>
  <si>
    <t>Welcoming Vampire</t>
  </si>
  <si>
    <t>Tymaret, Chosen from Death</t>
  </si>
  <si>
    <t>Ayli, Eternal Pilgrim</t>
  </si>
  <si>
    <t>High Priest of Penance</t>
  </si>
  <si>
    <t>Soul Warden</t>
  </si>
  <si>
    <t>Soul's Attendant</t>
  </si>
  <si>
    <t>Suture Priest</t>
  </si>
  <si>
    <t>Kambal, Consul of Allocation</t>
  </si>
  <si>
    <t>Reaper's Talisman</t>
  </si>
  <si>
    <t>Daxos, Blessed by the Sun</t>
  </si>
  <si>
    <t>Distinguished Conjurer</t>
  </si>
  <si>
    <t>Orim's Prayer</t>
  </si>
  <si>
    <t>Deathgreeter</t>
  </si>
  <si>
    <t>Sun Droplet</t>
  </si>
  <si>
    <t>Ashes of the Abhorrent</t>
  </si>
  <si>
    <t>Spectrum Sentinel</t>
  </si>
  <si>
    <t>Case of the Uneaten Feast</t>
  </si>
  <si>
    <t>Speaker of the Heavens</t>
  </si>
  <si>
    <t>Vito, Thorn of the Dusk Rose</t>
  </si>
  <si>
    <t>Marauding Blight-Priest</t>
  </si>
  <si>
    <t>Redemption Choir</t>
  </si>
  <si>
    <t>Phyrexian Reclamation</t>
  </si>
  <si>
    <t>Veinwitch Coven</t>
  </si>
  <si>
    <t>Sorin, Vengeful Bloodlord</t>
  </si>
  <si>
    <t>Sun Titan</t>
  </si>
  <si>
    <t>Extraction Specialist</t>
  </si>
  <si>
    <t>Vizkopa Guildmage</t>
  </si>
  <si>
    <t>Cleric Class</t>
  </si>
  <si>
    <t>Athreos, God of Passage</t>
  </si>
  <si>
    <t>Pega</t>
  </si>
  <si>
    <t>Revitalizing Repast</t>
  </si>
  <si>
    <t>Solemn Simulacrum</t>
  </si>
  <si>
    <t>Dawntreader Elk</t>
  </si>
  <si>
    <t>Asceticism</t>
  </si>
  <si>
    <t>Shriekmaw</t>
  </si>
  <si>
    <t>Ravenous Chupacabra</t>
  </si>
  <si>
    <t>Magus of the Abyss</t>
  </si>
  <si>
    <t>Caustic Caterpillar</t>
  </si>
  <si>
    <t>Ingot Chewer</t>
  </si>
  <si>
    <t>Thrashing Brontodon</t>
  </si>
  <si>
    <t>Deadly Brew</t>
  </si>
  <si>
    <t>Plaguecrafter</t>
  </si>
  <si>
    <t>Fleshbag Marauder</t>
  </si>
  <si>
    <t>Merciless Executioner</t>
  </si>
  <si>
    <t>Demon's Disciple</t>
  </si>
  <si>
    <t>Soul Shatter</t>
  </si>
  <si>
    <t>Mogis, God of Slaughter</t>
  </si>
  <si>
    <t>Archfiend of Depravity</t>
  </si>
  <si>
    <t>Storm's Wrath</t>
  </si>
  <si>
    <t>Bane of Progress</t>
  </si>
  <si>
    <t>Savage Twister</t>
  </si>
  <si>
    <t>Pestilence</t>
  </si>
  <si>
    <t>Volcanic Fallout</t>
  </si>
  <si>
    <t>Incite Rebellion</t>
  </si>
  <si>
    <t>Colossal Majesty</t>
  </si>
  <si>
    <t>Drumhunter</t>
  </si>
  <si>
    <t>Life's Legacy</t>
  </si>
  <si>
    <t>Soul's Majesty</t>
  </si>
  <si>
    <t>Rancor</t>
  </si>
  <si>
    <t>Feldon of the Third Path</t>
  </si>
  <si>
    <t>Loxodon Warhammer</t>
  </si>
  <si>
    <t>Brawn</t>
  </si>
  <si>
    <t>Arcbond</t>
  </si>
  <si>
    <t>Jarad, Golgari Lich Lord</t>
  </si>
  <si>
    <t>Mage Slayer</t>
  </si>
  <si>
    <t>Soul's Fire</t>
  </si>
  <si>
    <t>Thud</t>
  </si>
  <si>
    <t>Rite of Consumption</t>
  </si>
  <si>
    <t>Essence Harvest</t>
  </si>
  <si>
    <t>Fling</t>
  </si>
  <si>
    <t>Arcane Sanctum</t>
  </si>
  <si>
    <t>Seaside Citadel</t>
  </si>
  <si>
    <t>Crumbling Necropolis</t>
  </si>
  <si>
    <t>Savage Lands</t>
  </si>
  <si>
    <t>Nomad Outpost</t>
  </si>
  <si>
    <t>Draw PW</t>
  </si>
  <si>
    <t>Sandsteppe Citadel</t>
  </si>
  <si>
    <t>Remoção PW</t>
  </si>
  <si>
    <t>Opulent Palace</t>
  </si>
  <si>
    <t>Valor PW</t>
  </si>
  <si>
    <t>Frontier Bivouac</t>
  </si>
  <si>
    <t>Vitória PW</t>
  </si>
  <si>
    <t>Temple of Enlightenment</t>
  </si>
  <si>
    <t>Temple of Malice</t>
  </si>
  <si>
    <t>Temple of Abandon</t>
  </si>
  <si>
    <t>Temple of Epiphany</t>
  </si>
  <si>
    <t>Temple of Triumph</t>
  </si>
  <si>
    <t>Temple of Mystery</t>
  </si>
  <si>
    <t>Karn's Bastion</t>
  </si>
  <si>
    <t>Sorin, Grim Nemesis</t>
  </si>
  <si>
    <t>Elminster</t>
  </si>
  <si>
    <t>Ajani Unyielding</t>
  </si>
  <si>
    <t>Liliana Vess</t>
  </si>
  <si>
    <t>Kasmina, Enigma Sage</t>
  </si>
  <si>
    <t>Commodore Guff</t>
  </si>
  <si>
    <t>Jace, Unraveler of Secrets</t>
  </si>
  <si>
    <t>Tasha, the Witch Queen</t>
  </si>
  <si>
    <t>Tamiyo, the Moon Sage</t>
  </si>
  <si>
    <t>Ob Nixilis Reignited</t>
  </si>
  <si>
    <t>Dihada, Binder of Wills</t>
  </si>
  <si>
    <t>Kaya the Inexorable</t>
  </si>
  <si>
    <t>Elspeth, Sun's Champion</t>
  </si>
  <si>
    <t>Vraska the Unseen</t>
  </si>
  <si>
    <t>Ral Zarek</t>
  </si>
  <si>
    <t>The Wanderer</t>
  </si>
  <si>
    <t>Garruk, Cursed Huntsman</t>
  </si>
  <si>
    <t>Angrath, the Flame-Chained</t>
  </si>
  <si>
    <t>Dakkon, Shadow Slayer</t>
  </si>
  <si>
    <t>Ugin, the Ineffable</t>
  </si>
  <si>
    <t>Oko, Thief of Crowns</t>
  </si>
  <si>
    <t>Nicol Bolas, Dragon-God</t>
  </si>
  <si>
    <t>Supreme Verdict</t>
  </si>
  <si>
    <t>Vronos, Masked Inquisitor</t>
  </si>
  <si>
    <t>Dovin, Hand of Control</t>
  </si>
  <si>
    <t>Karn Liberated</t>
  </si>
  <si>
    <t>Wrenn and Realmbreaker</t>
  </si>
  <si>
    <t>Aminatou, the Fateshifter</t>
  </si>
  <si>
    <t>Ashiok, Dream Render</t>
  </si>
  <si>
    <t>Narset, Parter of Veils</t>
  </si>
  <si>
    <t>Sarkhan the Masterless</t>
  </si>
  <si>
    <t>Chandra, Awakened Inferno</t>
  </si>
  <si>
    <t>Djeru, With Eyes Open</t>
  </si>
  <si>
    <t>Jodah, the Unifier</t>
  </si>
  <si>
    <t>Rings of Brighthearth</t>
  </si>
  <si>
    <t>Ripples of Potential</t>
  </si>
  <si>
    <t>Urza Assembles the Titans</t>
  </si>
  <si>
    <t>Carth the Lion</t>
  </si>
  <si>
    <t>Mila, Crafty Companion</t>
  </si>
  <si>
    <t>Brokers Ascendancy</t>
  </si>
  <si>
    <t>Gold-Forged Thopteryx</t>
  </si>
  <si>
    <t>Kethis, the Hidden Hand</t>
  </si>
  <si>
    <t>Oath of Chandra</t>
  </si>
  <si>
    <t>Oath of Ajani</t>
  </si>
  <si>
    <t>Oath of Nissa</t>
  </si>
  <si>
    <t>Oath of Teferi</t>
  </si>
  <si>
    <t>Oath of Gideon</t>
  </si>
  <si>
    <t>Oath of Kaya</t>
  </si>
  <si>
    <t>Oath of Jace</t>
  </si>
  <si>
    <t>Oath of Liliana</t>
  </si>
  <si>
    <t>Fearless Akiri</t>
  </si>
  <si>
    <t>Axgard Armory</t>
  </si>
  <si>
    <t>Redutor</t>
  </si>
  <si>
    <t>Bruenor Battlehammer</t>
  </si>
  <si>
    <t>Forge Anew</t>
  </si>
  <si>
    <t>Danitha Capashen, Paragon</t>
  </si>
  <si>
    <t>Puresteel Paladin</t>
  </si>
  <si>
    <t>Brass Squire</t>
  </si>
  <si>
    <t>Auriok Steelshaper</t>
  </si>
  <si>
    <t>Open the Armory</t>
  </si>
  <si>
    <t>Sram, Senior Edificer</t>
  </si>
  <si>
    <t>Fighter Class</t>
  </si>
  <si>
    <t>Kellan, the Fae-Blooded // Birthright Boon</t>
  </si>
  <si>
    <t>Leonin Shikari</t>
  </si>
  <si>
    <t>Lightning Spear</t>
  </si>
  <si>
    <t>Lion Sash</t>
  </si>
  <si>
    <t>Citizen's Crowbar</t>
  </si>
  <si>
    <t>Dispatch</t>
  </si>
  <si>
    <t>Wrath of God</t>
  </si>
  <si>
    <t>Vanquish the Horde</t>
  </si>
  <si>
    <t>Shatter the Sky</t>
  </si>
  <si>
    <t>Day of Judgment</t>
  </si>
  <si>
    <t>Fell the Mighty</t>
  </si>
  <si>
    <t>Kusari-Gama</t>
  </si>
  <si>
    <t>Tenza, Godo's Maul</t>
  </si>
  <si>
    <t>Umezawa's Jitte</t>
  </si>
  <si>
    <t>Lizard Blades</t>
  </si>
  <si>
    <t>Barbed Spike</t>
  </si>
  <si>
    <t>Leather Armor</t>
  </si>
  <si>
    <t>Glimmer Lens</t>
  </si>
  <si>
    <t>Mask of Memory</t>
  </si>
  <si>
    <t>Infiltration Lens</t>
  </si>
  <si>
    <t>Beamtown Beatstick</t>
  </si>
  <si>
    <t>Komainu Battle Armor</t>
  </si>
  <si>
    <t>Goldvein Pick</t>
  </si>
  <si>
    <t>Basilisk Collar</t>
  </si>
  <si>
    <t>Prying Blade</t>
  </si>
  <si>
    <t>Explorer's Scope</t>
  </si>
  <si>
    <t>Vial Smasher e Ishai</t>
  </si>
  <si>
    <t>Arid Mesa</t>
  </si>
  <si>
    <t>Blood Crypt</t>
  </si>
  <si>
    <t>Ondu Inversion</t>
  </si>
  <si>
    <t>Archivist of Oghma</t>
  </si>
  <si>
    <t>Sygg, River Cutthroat</t>
  </si>
  <si>
    <t>Tandem Lookout</t>
  </si>
  <si>
    <t>Inspiring Refrain</t>
  </si>
  <si>
    <t>Sphinx's Revelation</t>
  </si>
  <si>
    <t>Crackling Doom</t>
  </si>
  <si>
    <t>Pile On</t>
  </si>
  <si>
    <t>Void Rend</t>
  </si>
  <si>
    <t>Mystic Reflection</t>
  </si>
  <si>
    <t>Sculpted Sunburst</t>
  </si>
  <si>
    <t>Terminus</t>
  </si>
  <si>
    <t>Exquisite Blood</t>
  </si>
  <si>
    <t>Pain Magnification</t>
  </si>
  <si>
    <t>Keranos, God of Storms</t>
  </si>
  <si>
    <t>Settle the Wreckage</t>
  </si>
  <si>
    <t>Aetherize</t>
  </si>
  <si>
    <t>Hall of Tagsin</t>
  </si>
  <si>
    <t>Mirror</t>
  </si>
  <si>
    <t>Sol Talisman</t>
  </si>
  <si>
    <t>Charcoal Diamond</t>
  </si>
  <si>
    <t>Ur-Golem's Eye</t>
  </si>
  <si>
    <t>Sisay's Ring</t>
  </si>
  <si>
    <t>Midnight Clock</t>
  </si>
  <si>
    <t>Blinkmoth Urn</t>
  </si>
  <si>
    <t>Karn, Living Legacy</t>
  </si>
  <si>
    <t>Resculpt</t>
  </si>
  <si>
    <t>Terisiare's Devastation</t>
  </si>
  <si>
    <t>Mirrormade</t>
  </si>
  <si>
    <t>Sculpting Steel</t>
  </si>
  <si>
    <t>Clever Impersonator</t>
  </si>
  <si>
    <t>Oblivion Sower</t>
  </si>
  <si>
    <t>Notorious Throng</t>
  </si>
  <si>
    <t>Mind Grind</t>
  </si>
  <si>
    <t>Fabricate</t>
  </si>
  <si>
    <t>Dire Undercurrents</t>
  </si>
  <si>
    <t>Ayara, First of Locthwain</t>
  </si>
  <si>
    <t>Merfolk</t>
  </si>
  <si>
    <t>Harvest Season</t>
  </si>
  <si>
    <t>Vanquisher's Banner</t>
  </si>
  <si>
    <t>Bred for the Hunt</t>
  </si>
  <si>
    <t>Reconnaissance Mission</t>
  </si>
  <si>
    <t>Lifecrafter's Bestiary</t>
  </si>
  <si>
    <t>Seahunter</t>
  </si>
  <si>
    <t>Zegana, Utopian Speaker</t>
  </si>
  <si>
    <t>Prime Speaker Zegana</t>
  </si>
  <si>
    <t>Thada Adel, Acquisitor</t>
  </si>
  <si>
    <t>Svyelun of Sea and Sky</t>
  </si>
  <si>
    <t>Kopala, Warden of Waves</t>
  </si>
  <si>
    <t>Tishana, Voice of Thunder</t>
  </si>
  <si>
    <t>Emperor Mihail II</t>
  </si>
  <si>
    <t>Coralhelm Commander</t>
  </si>
  <si>
    <t>Master of the Pearl Trident</t>
  </si>
  <si>
    <t>Vodalian Hexcatcher</t>
  </si>
  <si>
    <t>Merrow Reejerey</t>
  </si>
  <si>
    <t>Merfolk Mistbinder</t>
  </si>
  <si>
    <t>Lord of Atlantis</t>
  </si>
  <si>
    <t>Metallic Mimic</t>
  </si>
  <si>
    <t>Adaptive Automaton</t>
  </si>
  <si>
    <t>Lullmage Mentor</t>
  </si>
  <si>
    <t>Deeproot Waters</t>
  </si>
  <si>
    <t>Seafloor Oracle</t>
  </si>
  <si>
    <t>Stonybrook Banneret</t>
  </si>
  <si>
    <t>Herald of Secret Streams</t>
  </si>
  <si>
    <t>Forerunner of the Heralds</t>
  </si>
  <si>
    <t>Merrow Harbinger</t>
  </si>
  <si>
    <t>Merfolk Sovereign</t>
  </si>
  <si>
    <t>Cold-Eyed Selkie</t>
  </si>
  <si>
    <t>Wake Thrasher</t>
  </si>
  <si>
    <t>Deeproot Historian</t>
  </si>
  <si>
    <t>Surgespanner</t>
  </si>
  <si>
    <t>Singer of Swift Rivers</t>
  </si>
  <si>
    <t>Icon of Ancestry</t>
  </si>
  <si>
    <t>Door of Destinies</t>
  </si>
  <si>
    <t>Merrow Commerce</t>
  </si>
  <si>
    <t>Filter Out</t>
  </si>
  <si>
    <t>Ashaya, Soul of the Wild</t>
  </si>
  <si>
    <t>Army</t>
  </si>
  <si>
    <t>Artist's Talent</t>
  </si>
  <si>
    <t>Lifecreed Duo</t>
  </si>
  <si>
    <t>Darkstar Augur</t>
  </si>
  <si>
    <t>Gossip's Talent</t>
  </si>
  <si>
    <t>Dour Port-Mage</t>
  </si>
  <si>
    <t>HighTokens</t>
  </si>
  <si>
    <t>Starscape Cleric</t>
  </si>
  <si>
    <t>For the Common Good</t>
  </si>
  <si>
    <t>Farmer Cotton</t>
  </si>
  <si>
    <t>Artifact Mutation</t>
  </si>
  <si>
    <t>Aura Mutation</t>
  </si>
  <si>
    <t>Peregrin Took</t>
  </si>
  <si>
    <t>Cadira, Caller of the Small</t>
  </si>
  <si>
    <t>March of the Multitudes</t>
  </si>
  <si>
    <t>Rosie Cotton of South Lane</t>
  </si>
  <si>
    <t>DoubleTokens</t>
  </si>
  <si>
    <t>AlwaysTokens</t>
  </si>
  <si>
    <t>InstaTokens</t>
  </si>
  <si>
    <t>Arasta of the Endless Web</t>
  </si>
  <si>
    <t>Samwise Gangee</t>
  </si>
  <si>
    <t>Secure the Wastes</t>
  </si>
  <si>
    <t>Sundering Growth</t>
  </si>
  <si>
    <t>Crash the Party</t>
  </si>
  <si>
    <t>Cabaretti Charm</t>
  </si>
  <si>
    <t>Rootborn Defenses</t>
  </si>
  <si>
    <t>Pest Infestation</t>
  </si>
  <si>
    <t>Wildfire Awakener</t>
  </si>
  <si>
    <t>KillMachine</t>
  </si>
  <si>
    <t>Impact Tremors</t>
  </si>
  <si>
    <t>Warleader's Call</t>
  </si>
  <si>
    <t>Rabble Rousing</t>
  </si>
  <si>
    <t>Jetmir, Nexus of Revels</t>
  </si>
  <si>
    <t>Purphoros, God of the Forge</t>
  </si>
  <si>
    <t>Gala Greeters</t>
  </si>
  <si>
    <t>Many Partings</t>
  </si>
  <si>
    <t>The Shire</t>
  </si>
  <si>
    <t>Kher Keep</t>
  </si>
  <si>
    <t>Sheltering Landscape</t>
  </si>
  <si>
    <t>Mossfire Valley</t>
  </si>
  <si>
    <t>Sungrass Prairie</t>
  </si>
  <si>
    <t>Cinder Glade</t>
  </si>
  <si>
    <t>Sunscorched Divide</t>
  </si>
  <si>
    <t>Oltec Matterweaver</t>
  </si>
  <si>
    <t>Illustrious Wanderglyph</t>
  </si>
  <si>
    <t>Ghired, Mirror of the Wilds</t>
  </si>
  <si>
    <t>Horda Germinal</t>
  </si>
  <si>
    <t>Horn of Valhalla // Ysgard's Call</t>
  </si>
  <si>
    <t>Ophiomancer</t>
  </si>
  <si>
    <t>Thirst for Knowledge</t>
  </si>
  <si>
    <t>Baylen, o  Coelho</t>
  </si>
  <si>
    <t>Cephalid Coliseum</t>
  </si>
  <si>
    <t>Enduring Innocence</t>
  </si>
  <si>
    <t>Leyline of Hope</t>
  </si>
  <si>
    <t>Unholy Annex // Ritual Chamber</t>
  </si>
  <si>
    <t>Dazzling Theater // Prop Room</t>
  </si>
  <si>
    <t>Dollmaker's Shop // Porcelain Gallery</t>
  </si>
  <si>
    <t>Enduring Curiosity</t>
  </si>
  <si>
    <t>Marvin, Murderous Mimic</t>
  </si>
  <si>
    <t>Hedge Shredder</t>
  </si>
  <si>
    <t>Leyline of Transformation</t>
  </si>
  <si>
    <t>Silent Hallcreeper</t>
  </si>
  <si>
    <t>The Mindskinner</t>
  </si>
  <si>
    <t>Three Tree City</t>
  </si>
  <si>
    <t>Powerbalance</t>
  </si>
  <si>
    <t>Midnight Guard</t>
  </si>
  <si>
    <t>Insidious Fungus</t>
  </si>
  <si>
    <t>Restricted Office // Lecture Hall</t>
  </si>
  <si>
    <t>Zimone, Mystery Unraveler</t>
  </si>
  <si>
    <t>Scavenging Ooze</t>
  </si>
  <si>
    <t>Scurry Oak</t>
  </si>
  <si>
    <t>Titanic Ultimatum</t>
  </si>
  <si>
    <t>Revive the Shire</t>
  </si>
  <si>
    <t>Selesnya Sanctuary</t>
  </si>
  <si>
    <t>Bloodghast</t>
  </si>
  <si>
    <t>Scryb Ranger</t>
  </si>
  <si>
    <t>Nether Traitor</t>
  </si>
  <si>
    <t>Homunculus Horde</t>
  </si>
  <si>
    <t>Crystal Barricade</t>
  </si>
  <si>
    <t>Scrawling Crawler</t>
  </si>
  <si>
    <t>Dionus, Elvish Archdruid</t>
  </si>
  <si>
    <t>Elvish Regrower</t>
  </si>
  <si>
    <t>Sphere Grid</t>
  </si>
  <si>
    <t>Maester Seymour</t>
  </si>
  <si>
    <t>Tromell, Seymour's Butler</t>
  </si>
  <si>
    <t>Ardbert, Warrior of Darkness</t>
  </si>
  <si>
    <t>Shelinda, Yevon Acolyte</t>
  </si>
  <si>
    <t>Luminous Broodmoth</t>
  </si>
  <si>
    <t>Scholar of New Horizons</t>
  </si>
  <si>
    <t>Inspiring Call</t>
  </si>
  <si>
    <t>Gyre Sage</t>
  </si>
  <si>
    <t>Incubation Druid</t>
  </si>
  <si>
    <t>Muldrotha, the Gravetide</t>
  </si>
  <si>
    <t>Elvish Reclaimer</t>
  </si>
  <si>
    <t>Dictate of Erebos</t>
  </si>
  <si>
    <t>Ecological Appreciation</t>
  </si>
  <si>
    <t>Return</t>
  </si>
  <si>
    <t>Hollowmurk Siege</t>
  </si>
  <si>
    <t>Bulwark Ox</t>
  </si>
  <si>
    <t>Zack Fair</t>
  </si>
  <si>
    <t>Fog</t>
  </si>
  <si>
    <t>The Emperor of Palamecia</t>
  </si>
  <si>
    <t>Luxury Suite</t>
  </si>
  <si>
    <t>Inevitable Defeat</t>
  </si>
  <si>
    <t>Mangara, the Diplomat</t>
  </si>
  <si>
    <t>Comeuppance</t>
  </si>
  <si>
    <t>Take the Bait</t>
  </si>
  <si>
    <t>Blind Obedience</t>
  </si>
  <si>
    <t>Dawn Charm</t>
  </si>
  <si>
    <t>Riot Control</t>
  </si>
  <si>
    <t>Deflecting Palm</t>
  </si>
  <si>
    <t>Mandate of Peace</t>
  </si>
  <si>
    <t>Prismatic Strands</t>
  </si>
  <si>
    <t>Promise of Loyalty</t>
  </si>
  <si>
    <t>Ever-Watching Threshold</t>
  </si>
  <si>
    <t>Amphibian Downpour</t>
  </si>
  <si>
    <t>Matoya, Archon Elder</t>
  </si>
  <si>
    <t>Champions from Beyond</t>
  </si>
  <si>
    <t>Cid, Freeflier Pilot</t>
  </si>
  <si>
    <t>Firion, Wild Rose Warrior</t>
  </si>
  <si>
    <t>Bureau Headmaster</t>
  </si>
  <si>
    <t>Cloud, Midgar Mercenary</t>
  </si>
  <si>
    <t>Dragonfire Blade</t>
  </si>
  <si>
    <t>Stiltzkin, Moogle Merchant</t>
  </si>
  <si>
    <t>Yes Man, Personal Securitron</t>
  </si>
  <si>
    <t>The Second Doctor</t>
  </si>
  <si>
    <t>Treasure Nabber</t>
  </si>
  <si>
    <t>The Water Crystal</t>
  </si>
  <si>
    <t>Aligned Heart</t>
  </si>
  <si>
    <t>Windcrag Siege</t>
  </si>
  <si>
    <t>Riverchurn Monument</t>
  </si>
  <si>
    <t>Full Throttle</t>
  </si>
  <si>
    <t>Relentless Assault</t>
  </si>
  <si>
    <t>World at War</t>
  </si>
  <si>
    <t>Broodheart Engine</t>
  </si>
  <si>
    <t>Tegwyll, Duke of Splendor</t>
  </si>
  <si>
    <t>Renewed Solidarity</t>
  </si>
  <si>
    <t>Baral, Chief of Compliance</t>
  </si>
  <si>
    <t>Gogo, Master of Mimicry</t>
  </si>
  <si>
    <t>Repurposing Bay</t>
  </si>
  <si>
    <t>Sonic Screwdriver</t>
  </si>
  <si>
    <t>Unstoppable Plan</t>
  </si>
  <si>
    <t>Jidoor, Aristocratic Capital // Overture</t>
  </si>
  <si>
    <t>Obyra, Dreaming Duelist</t>
  </si>
  <si>
    <t>Mistrise Village</t>
  </si>
  <si>
    <t>Satoru, the Infiltrator</t>
  </si>
  <si>
    <t>Ingenious Prodigy</t>
  </si>
  <si>
    <t>Mausoleum Wanderer</t>
  </si>
  <si>
    <t>Golbez, Crystal Collector</t>
  </si>
  <si>
    <t>Mahadi, Emporium Master</t>
  </si>
  <si>
    <t>Marionette Apprentice</t>
  </si>
  <si>
    <t>Stridehangar Automaton</t>
  </si>
  <si>
    <t>Cayth, Famed Mechanist</t>
  </si>
  <si>
    <t>Frostcliff Siege</t>
  </si>
  <si>
    <t>Adventurer's Inn</t>
  </si>
  <si>
    <t>Mother of runes</t>
  </si>
  <si>
    <t>Giver of Runes</t>
  </si>
  <si>
    <t>Hinterland Sanctifier</t>
  </si>
  <si>
    <t>Bugenhagen, Wise Elder</t>
  </si>
  <si>
    <t>Red XIII, Proud Warrior</t>
  </si>
  <si>
    <t>Nibelheim Aflame</t>
  </si>
  <si>
    <t>Jenova, Ancient Calamity</t>
  </si>
  <si>
    <t>Ironwill Forger</t>
  </si>
  <si>
    <t>Taigam, Master Opportunist</t>
  </si>
  <si>
    <t>Bedrock Tortoise</t>
  </si>
  <si>
    <t>Quina, Qu Gourmet</t>
  </si>
  <si>
    <t>Spinner of Souls</t>
  </si>
  <si>
    <t>Fanatical Devotion</t>
  </si>
  <si>
    <t>Warren Soultrader</t>
  </si>
  <si>
    <t>Sidisi, Regent of the Mire</t>
  </si>
  <si>
    <t>Grow</t>
  </si>
  <si>
    <t>Control</t>
  </si>
  <si>
    <t>Together Forever</t>
  </si>
  <si>
    <t>Summon: Ixion</t>
  </si>
  <si>
    <t>Rishkar, Peema Renegade</t>
  </si>
  <si>
    <t>Managorger Hydra</t>
  </si>
  <si>
    <t>Winding Constrictor</t>
  </si>
  <si>
    <t>Cankerbloom</t>
  </si>
  <si>
    <t>Hardened Scales</t>
  </si>
  <si>
    <t>Warden of the Grove</t>
  </si>
  <si>
    <t>Knight of Autumn</t>
  </si>
  <si>
    <t>Champion of Lambholt</t>
  </si>
  <si>
    <t>Kami of Whispered Hopes</t>
  </si>
  <si>
    <t>Basking Broodscale</t>
  </si>
  <si>
    <t>Metastatic Evangel</t>
  </si>
  <si>
    <t>Anafenza, Kin-Tree Spirit</t>
  </si>
  <si>
    <t>Lae'zel, Vlaakith's Champion</t>
  </si>
  <si>
    <t>Conclave Mentor</t>
  </si>
  <si>
    <t>Felothar, Dawn of the Abzan</t>
  </si>
  <si>
    <t>Abzan Falconer</t>
  </si>
  <si>
    <t>Breena, the Demagogue</t>
  </si>
  <si>
    <t>Botanical Brawler</t>
  </si>
  <si>
    <t>Skyclave Apparition</t>
  </si>
  <si>
    <t>Unbreakable Formation</t>
  </si>
  <si>
    <t>Damn</t>
  </si>
  <si>
    <t>Ozolith, the Shattered Spire</t>
  </si>
  <si>
    <t>Master Chef</t>
  </si>
  <si>
    <t>Branching Evolution</t>
  </si>
  <si>
    <t>Vraska Joins Up</t>
  </si>
  <si>
    <t>Thran Vigil</t>
  </si>
  <si>
    <t>Retribution of the Ancients</t>
  </si>
  <si>
    <t>Llanowar Reborn</t>
  </si>
  <si>
    <t>Duskshell Crawler</t>
  </si>
  <si>
    <t>Reyhan, Last of the Abzan</t>
  </si>
  <si>
    <t>Deceptive Landscape</t>
  </si>
  <si>
    <t>Arwen, Weaver of Hope</t>
  </si>
  <si>
    <t>Dissipation Field</t>
  </si>
  <si>
    <t>Tayam</t>
  </si>
  <si>
    <t>Bruma Etérea</t>
  </si>
  <si>
    <t>Haywire Mite</t>
  </si>
  <si>
    <t>The Rani's Force</t>
  </si>
  <si>
    <t>Curse of Verbosity</t>
  </si>
  <si>
    <t>Eye of Nidhogg</t>
  </si>
  <si>
    <t>Bothersome Quasit</t>
  </si>
  <si>
    <t>Bloodthirsty Blade</t>
  </si>
  <si>
    <t>Ghoulish Impetus</t>
  </si>
  <si>
    <t>Hot Pursuit</t>
  </si>
  <si>
    <t>Renegade Silent</t>
  </si>
  <si>
    <t>Red Death, Shipwrecker</t>
  </si>
  <si>
    <t>Bjorna, Nightfall Alchemist</t>
  </si>
  <si>
    <t>Hateful Eidolon</t>
  </si>
  <si>
    <t>Life of the Party</t>
  </si>
  <si>
    <t>Grenzo, Havoc Raiser</t>
  </si>
  <si>
    <t>Sly Instigator</t>
  </si>
  <si>
    <t>Erdwal Illuminator</t>
  </si>
  <si>
    <t>Martha Jones</t>
  </si>
  <si>
    <t>Laurine, the Diversion</t>
  </si>
  <si>
    <t>Marchesa, Dealer of Death</t>
  </si>
  <si>
    <t>Maestros Confluence</t>
  </si>
  <si>
    <t>Day of the Moon</t>
  </si>
  <si>
    <t>Archway of Innovation</t>
  </si>
  <si>
    <t>Trenzalore Clocktower</t>
  </si>
  <si>
    <t>Laser Screwdriver</t>
  </si>
  <si>
    <t>Dragonskull Summit</t>
  </si>
  <si>
    <t>Gallifrey Council Chamber</t>
  </si>
  <si>
    <t>Jhoira Bichão</t>
  </si>
  <si>
    <t>Kozilek, the Broken Reality</t>
  </si>
  <si>
    <t>Time Beetle</t>
  </si>
  <si>
    <t>The Tenth Doctor</t>
  </si>
  <si>
    <t>Nezahal, Primal Tide</t>
  </si>
  <si>
    <t>Ulamog's Dreadsire</t>
  </si>
  <si>
    <t>Sibylline Soothsayer</t>
  </si>
  <si>
    <t>Inevitable Betrayal</t>
  </si>
  <si>
    <t>Rise of the Eldrazi</t>
  </si>
  <si>
    <t>Hit the Mother Lode</t>
  </si>
  <si>
    <t>Rotating Fireplace</t>
  </si>
  <si>
    <t>Mox Tantalite</t>
  </si>
  <si>
    <t>Utilidades</t>
  </si>
  <si>
    <t>Elesh Norn</t>
  </si>
  <si>
    <t>Drumbellower</t>
  </si>
  <si>
    <t>River's Rebuke</t>
  </si>
  <si>
    <t>Distant Melody</t>
  </si>
  <si>
    <t>Lonis, Cryptozoologist</t>
  </si>
  <si>
    <t>Aether Spellbomb</t>
  </si>
  <si>
    <t>Summon: Leviathan</t>
  </si>
  <si>
    <t>Keen Duelist</t>
  </si>
  <si>
    <t>Stoneforge Mystic</t>
  </si>
  <si>
    <t>Angelic Renewal</t>
  </si>
  <si>
    <t>Molten Echoes</t>
  </si>
  <si>
    <t>Burnt Offering</t>
  </si>
  <si>
    <t>Mistbind Clique</t>
  </si>
  <si>
    <t>Saffi Eriksdotter</t>
  </si>
  <si>
    <t>Tribute Mage</t>
  </si>
  <si>
    <t>Merchant of Secrets</t>
  </si>
  <si>
    <t>Mana Echoes</t>
  </si>
  <si>
    <t>Detective's Satchel</t>
  </si>
  <si>
    <t>Horizon Explorer</t>
  </si>
  <si>
    <t>Sothera, the Supervoid</t>
  </si>
  <si>
    <t>Thrumming Hivepool</t>
  </si>
  <si>
    <t>Long-Range Sensor</t>
  </si>
  <si>
    <t>Pain for All</t>
  </si>
  <si>
    <t>Adagia, Windswept Bastion</t>
  </si>
  <si>
    <t>Weapons Manufacturing</t>
  </si>
  <si>
    <t>Patrolling Peacemaker</t>
  </si>
  <si>
    <t>Chronomantic Escape</t>
  </si>
  <si>
    <t>Planetary Annihilation</t>
  </si>
  <si>
    <t>Evendo, Waking Haven</t>
  </si>
  <si>
    <t>Susur Secundi, Void Altar</t>
  </si>
  <si>
    <t>Karplusan Forest</t>
  </si>
  <si>
    <t>Uthros, Titanic Godcore</t>
  </si>
  <si>
    <t>The Eternity Elevator</t>
  </si>
  <si>
    <t>Exalted Sunborn</t>
  </si>
  <si>
    <t>Kutzil, Malamet Exemplar</t>
  </si>
  <si>
    <t>Terrasymbiosis</t>
  </si>
  <si>
    <t>Starter</t>
  </si>
  <si>
    <t>Syr Vondam, Sunstar Exemplar</t>
  </si>
  <si>
    <t>Moonlit Meditation</t>
  </si>
  <si>
    <t>Scour for Scrap</t>
  </si>
  <si>
    <t>Haliya, Guided by Light</t>
  </si>
  <si>
    <t>Extinguisher Battleship</t>
  </si>
  <si>
    <t>Dauntless Scrapbot</t>
  </si>
  <si>
    <t>Nicol Bolas, God-Pharaoh</t>
  </si>
  <si>
    <t>Enlistamento</t>
  </si>
  <si>
    <t>Pirataria</t>
  </si>
  <si>
    <t>Vaan, Street Thief</t>
  </si>
  <si>
    <t>Lightning-Rig Crew</t>
  </si>
  <si>
    <t>Spectral Sailor</t>
  </si>
  <si>
    <t>Breeches, Eager Pillager</t>
  </si>
  <si>
    <t>Glint-Horn Buccaneer</t>
  </si>
  <si>
    <t>Revel in Riches</t>
  </si>
  <si>
    <t>Forerunner of the Coalition</t>
  </si>
  <si>
    <t>Warkite Marauder</t>
  </si>
  <si>
    <t>Breeches, Brazen Plunderer</t>
  </si>
  <si>
    <t>Hostage Taker</t>
  </si>
  <si>
    <t>Coercive Recruiter</t>
  </si>
  <si>
    <t>Ramirez DePietro, Pillager</t>
  </si>
  <si>
    <t>Kitesail Larcenist</t>
  </si>
  <si>
    <t>Captain Storm, Cosmium Raider</t>
  </si>
  <si>
    <t>Professional Face-Breaker</t>
  </si>
  <si>
    <t>Departed Deckhand</t>
  </si>
  <si>
    <t>Admiral Beckett Brass</t>
  </si>
  <si>
    <t>Gemcutter Buccaneer</t>
  </si>
  <si>
    <t>Reckless Fireweaver</t>
  </si>
  <si>
    <t>Spyglass Siren</t>
  </si>
  <si>
    <t>Timestream Navigator</t>
  </si>
  <si>
    <t>Xorn</t>
  </si>
  <si>
    <t>Breeches, the Blastmaker</t>
  </si>
  <si>
    <t>Kitesail Freebooter</t>
  </si>
  <si>
    <t>Broadside Bombardiers</t>
  </si>
  <si>
    <t>Captain Vargus Wrath</t>
  </si>
  <si>
    <t>Cutthroat Negotiator</t>
  </si>
  <si>
    <t>Storm Fleet Negotiator</t>
  </si>
  <si>
    <t>Deadeye Tracker</t>
  </si>
  <si>
    <t>Planejamento</t>
  </si>
  <si>
    <t>Marujo</t>
  </si>
  <si>
    <t>Todo Mundo é Pirata</t>
  </si>
  <si>
    <t>Prancha</t>
  </si>
  <si>
    <t>Boa Vida</t>
  </si>
  <si>
    <t>Recruta</t>
  </si>
  <si>
    <t>Coastline Marauders</t>
  </si>
  <si>
    <t>Invert Polarity</t>
  </si>
  <si>
    <t>Walk the Plank</t>
  </si>
  <si>
    <t>Back in Town</t>
  </si>
  <si>
    <t>Treasure Map</t>
  </si>
  <si>
    <t>Captain's Hook</t>
  </si>
  <si>
    <t>Coastal Piracy</t>
  </si>
  <si>
    <t>Storm the Vault</t>
  </si>
  <si>
    <t>Rain of Riches</t>
  </si>
  <si>
    <t>Treasure Vault</t>
  </si>
  <si>
    <t>Mines of Moria</t>
  </si>
  <si>
    <t>Lavagem</t>
  </si>
  <si>
    <t>Malcolm, Alluring Scoundrel</t>
  </si>
  <si>
    <t>Bucaneiro</t>
  </si>
  <si>
    <t>Tesouros</t>
  </si>
  <si>
    <t>Dano</t>
  </si>
  <si>
    <t>Piratas pra Bater</t>
  </si>
  <si>
    <t>Piratas pra Putaria</t>
  </si>
  <si>
    <t>Oficial</t>
  </si>
  <si>
    <t>Malcolm, the Eyes</t>
  </si>
  <si>
    <t>Amphin Mutineer</t>
  </si>
  <si>
    <t>Laughing Jasper Flint</t>
  </si>
  <si>
    <t>Weftstalker Ardent</t>
  </si>
  <si>
    <t>Secluded Courtyard</t>
  </si>
  <si>
    <t>Seething Landscape</t>
  </si>
  <si>
    <t>Go for the Throat</t>
  </si>
  <si>
    <t>Shoot the Sheriff</t>
  </si>
  <si>
    <t>Evolution Sage</t>
  </si>
  <si>
    <t>Zellix, Sanity Flayer</t>
  </si>
  <si>
    <t>Emergency Eject</t>
  </si>
  <si>
    <t>Commander</t>
  </si>
  <si>
    <t>Deprive</t>
  </si>
  <si>
    <t>Akal Pakal, First Among Equals</t>
  </si>
  <si>
    <t>Vial Smasher the Fierce</t>
  </si>
  <si>
    <t>Blood Artist</t>
  </si>
  <si>
    <t>Thrasios, Triton Hero</t>
  </si>
  <si>
    <t>Akiri, Line-Slinger</t>
  </si>
  <si>
    <t>Trocar</t>
  </si>
  <si>
    <t>The Rani</t>
  </si>
  <si>
    <t xml:space="preserve"> </t>
  </si>
  <si>
    <t>Commnader</t>
  </si>
  <si>
    <t>Muzzio, Visionary Architect</t>
  </si>
  <si>
    <t>Miara, Thorn of the Glade</t>
  </si>
  <si>
    <t>Alela, Artful Provocateur</t>
  </si>
  <si>
    <t>Arcades, the Strategist</t>
  </si>
  <si>
    <t>Ishai, Ojutai Dragonspeaker</t>
  </si>
  <si>
    <t>Yuriko, the Tiger's Shadow</t>
  </si>
  <si>
    <t>Zedruu the Greathearted</t>
  </si>
  <si>
    <t>Inalla, Archmage Ritualist</t>
  </si>
  <si>
    <t>Karlov of the Ghost Council</t>
  </si>
  <si>
    <t>Oona, Queen of the Fae</t>
  </si>
  <si>
    <t>Kresh the Bloodbraided</t>
  </si>
  <si>
    <t>Akiri, Fearless Voyager</t>
  </si>
  <si>
    <t>Breya, Etherium Shaper</t>
  </si>
  <si>
    <t>Sisay, Weatherlight Captain</t>
  </si>
  <si>
    <t>Othelm, Sigardian Outcast</t>
  </si>
  <si>
    <t>Wernog, Rider's Chaplain</t>
  </si>
  <si>
    <t>Narset, Enlightened Exile</t>
  </si>
  <si>
    <t>Kumena, Tyrant of Orazca</t>
  </si>
  <si>
    <t>Zimone and Dina</t>
  </si>
  <si>
    <t>Baylen, the Haymaker</t>
  </si>
  <si>
    <t>Tayam, Luminous Enigma</t>
  </si>
  <si>
    <t>Vexing Puzzlebox</t>
  </si>
  <si>
    <t>Promise of Aclazotz // Foul Rebirth</t>
  </si>
  <si>
    <t>Ripples of Undeath</t>
  </si>
  <si>
    <t>Virtue of Loyalty // Ardenvale Fealty</t>
  </si>
  <si>
    <t>Malcolm, Keen-Eyed Navigator</t>
  </si>
  <si>
    <t>Toph, the First Metalbender</t>
  </si>
  <si>
    <t>Modular</t>
  </si>
  <si>
    <t>Hidden Volcano</t>
  </si>
  <si>
    <t>Hidden Nursery</t>
  </si>
  <si>
    <t>Hidden Courtyard</t>
  </si>
  <si>
    <t>Crescer</t>
  </si>
  <si>
    <t>Surge Conductor</t>
  </si>
  <si>
    <t>Evendo Brushrazer</t>
  </si>
  <si>
    <t>Arcbound Ravager</t>
  </si>
  <si>
    <t>Marketback Walker</t>
  </si>
  <si>
    <t>Arcbound Shikari</t>
  </si>
  <si>
    <t>Arcbound Crusher</t>
  </si>
  <si>
    <t>Scrapyard Recombiner</t>
  </si>
  <si>
    <t>Steel Overseer</t>
  </si>
  <si>
    <t>Throne of Geth</t>
  </si>
  <si>
    <t>The Ozolith</t>
  </si>
  <si>
    <t>Niv-Mizzet, Parun</t>
  </si>
  <si>
    <t>Jiang Yanguu, Wildcrafter</t>
  </si>
  <si>
    <t>Deeprooot Wayfinder</t>
  </si>
  <si>
    <t>Zabaz, the Glimmerwasp</t>
  </si>
  <si>
    <t>Arcbound Mouser</t>
  </si>
  <si>
    <t>Arcbound Tracker</t>
  </si>
  <si>
    <t>Arcbound Javelineer</t>
  </si>
  <si>
    <t>Arcbound Reclaimer</t>
  </si>
  <si>
    <t>Arcbound Stinger</t>
  </si>
  <si>
    <t>Arcbound Whelp</t>
  </si>
  <si>
    <t>Arcbound Overseer</t>
  </si>
  <si>
    <t>Arcbound Fiend</t>
  </si>
  <si>
    <t>Mindless Automaton</t>
  </si>
  <si>
    <t>Duty Beyond Death</t>
  </si>
  <si>
    <t>The Great Henge</t>
  </si>
  <si>
    <t>Trading Post</t>
  </si>
  <si>
    <t>Monumental Henge</t>
  </si>
  <si>
    <t>Phyrexia's Core</t>
  </si>
  <si>
    <t>Tannuk, Memorial Ensign</t>
  </si>
  <si>
    <t>Annie Joins Up</t>
  </si>
  <si>
    <t>Sacred Ground</t>
  </si>
  <si>
    <t>Lotus Field</t>
  </si>
  <si>
    <t>Slagwoods Bridge</t>
  </si>
  <si>
    <t>Thornglint Bridge</t>
  </si>
  <si>
    <t>Scrap Welder</t>
  </si>
  <si>
    <t>Tuskguard Captain</t>
  </si>
  <si>
    <t>Animate Dead</t>
  </si>
  <si>
    <t>Culling Dais</t>
  </si>
  <si>
    <t>Thought Reflection</t>
  </si>
  <si>
    <t>Dire Fleet Poisoner</t>
  </si>
  <si>
    <t>Yavimaya, Cradle of Growth</t>
  </si>
  <si>
    <t>Spelunking</t>
  </si>
  <si>
    <t>Vale Afundado</t>
  </si>
  <si>
    <t>The Hunger Tide Rises</t>
  </si>
  <si>
    <t>Harrow</t>
  </si>
  <si>
    <t>Shrine of the Forsaken Gods</t>
  </si>
  <si>
    <t>Foundry of the Consuls</t>
  </si>
  <si>
    <t>Mage-Ring Network</t>
  </si>
  <si>
    <t>Zhalfirin Void</t>
  </si>
  <si>
    <t>Archway of Inovation</t>
  </si>
  <si>
    <t>Spymaster's Vault</t>
  </si>
  <si>
    <t>Aminatou, Veil Piercer</t>
  </si>
  <si>
    <t>Rebbec, Architect of Ascension</t>
  </si>
  <si>
    <t>Portent of Calamity</t>
  </si>
  <si>
    <t>Arcanis the Omnipotent</t>
  </si>
  <si>
    <t>Spinerock Knoll</t>
  </si>
  <si>
    <t>Fury Charm</t>
  </si>
  <si>
    <t>Emrakul, the World Anew</t>
  </si>
  <si>
    <t>Ulamog, the Defiler</t>
  </si>
  <si>
    <t>Etali, Primal Storm</t>
  </si>
  <si>
    <t>Rift Elemental</t>
  </si>
  <si>
    <t>Overflowing Insight</t>
  </si>
  <si>
    <t>Aeon Chronicler</t>
  </si>
  <si>
    <t>Hedron Archive</t>
  </si>
  <si>
    <t>Wayfarrer's Bauble</t>
  </si>
  <si>
    <t>Fire Diamond</t>
  </si>
  <si>
    <t>Crystal Quarry</t>
  </si>
  <si>
    <t>Cavern of Souls</t>
  </si>
  <si>
    <t>Ketria Triome</t>
  </si>
  <si>
    <t>Indatha Triome</t>
  </si>
  <si>
    <t>Raugrin Triome</t>
  </si>
  <si>
    <t>Savai Triome</t>
  </si>
  <si>
    <t>Unsettled Mariner</t>
  </si>
  <si>
    <t>Descendants' Path</t>
  </si>
  <si>
    <t>The Peregrine Dynamo</t>
  </si>
  <si>
    <t>Flux Channeler</t>
  </si>
  <si>
    <t>Bant Charm</t>
  </si>
  <si>
    <t>Urza's Ruinous Blast</t>
  </si>
  <si>
    <t>Lolth, Spider Queen</t>
  </si>
  <si>
    <t>Life Insurance</t>
  </si>
  <si>
    <t>The Eldest Reborn</t>
  </si>
  <si>
    <t>Vault of Champions</t>
  </si>
  <si>
    <t>Khalni Ambush</t>
  </si>
  <si>
    <t>Tougth Vessel</t>
  </si>
  <si>
    <t>Nyx Weaver</t>
  </si>
  <si>
    <t>Scourge of Skola Vale</t>
  </si>
  <si>
    <t>Solidarity of Heroes</t>
  </si>
  <si>
    <t>Simian Simulacrum</t>
  </si>
  <si>
    <t>Villainous Wealth</t>
  </si>
  <si>
    <t>The Enigma Jewel</t>
  </si>
  <si>
    <t>Metalwork Colossus</t>
  </si>
  <si>
    <t>Elixir of Immortality</t>
  </si>
  <si>
    <t>Manifold Key</t>
  </si>
  <si>
    <t>Academy Wall</t>
  </si>
  <si>
    <t>Tectonic Reformation</t>
  </si>
  <si>
    <t>Brass's Tunnel-Grinder</t>
  </si>
  <si>
    <t>Commit // Memory</t>
  </si>
  <si>
    <t>Strix Serenade</t>
  </si>
  <si>
    <t>Spell Pierce</t>
  </si>
  <si>
    <t>Improbable Alliance</t>
  </si>
  <si>
    <t>Sink into Stupor</t>
  </si>
  <si>
    <t>Shire Terrace</t>
  </si>
  <si>
    <t>Court of Grace</t>
  </si>
  <si>
    <t>Idyllic Tutor</t>
  </si>
  <si>
    <t>Urborg, Tomb of Yawgmoth</t>
  </si>
  <si>
    <t>Esper Panorama</t>
  </si>
  <si>
    <t>Duskmantle, House of Shadow</t>
  </si>
  <si>
    <t>Ascend from Avernus</t>
  </si>
  <si>
    <t>Immortal Servitude</t>
  </si>
  <si>
    <t>Court of Ardenvale</t>
  </si>
  <si>
    <t>Master of Ceremonies</t>
  </si>
  <si>
    <t>Authority of the Consuls</t>
  </si>
  <si>
    <t>Lunarch Veteran</t>
  </si>
  <si>
    <t>Guide of Souls</t>
  </si>
  <si>
    <t>Hopeful Initiate</t>
  </si>
  <si>
    <t>Twilight Prophet</t>
  </si>
  <si>
    <t>Gavony Dawnguard</t>
  </si>
  <si>
    <t>Tainted Field</t>
  </si>
  <si>
    <t>Takenuma, Abandoned Mire</t>
  </si>
  <si>
    <t>Witch's Cottage</t>
  </si>
  <si>
    <t>Chimil, the Inner Sun</t>
  </si>
  <si>
    <t>Grisly Salvage</t>
  </si>
  <si>
    <t>Sylvan Library</t>
  </si>
  <si>
    <t>Crucible of Worlds</t>
  </si>
  <si>
    <t>World Shaper</t>
  </si>
  <si>
    <t>Persist</t>
  </si>
  <si>
    <t>Cryptic Gateway</t>
  </si>
  <si>
    <t>Tarrian's Journal</t>
  </si>
  <si>
    <t>Patriarch's Bidding</t>
  </si>
  <si>
    <t>Molten Slagheap</t>
  </si>
  <si>
    <t>Herald's Horn</t>
  </si>
  <si>
    <t>Chromatic Lantern</t>
  </si>
  <si>
    <t>Disciple of Bolas</t>
  </si>
  <si>
    <t>Serum Visionary</t>
  </si>
  <si>
    <t>Graveshifter</t>
  </si>
  <si>
    <t>Watcher for Tomorrow</t>
  </si>
  <si>
    <t>Cloudkin Seer</t>
  </si>
  <si>
    <t>Sidisi's Faithful</t>
  </si>
  <si>
    <t>Basalt Ravager</t>
  </si>
  <si>
    <t>Barrin, Tolarian Archmage</t>
  </si>
  <si>
    <t>Sparkmage Apprentice</t>
  </si>
  <si>
    <t>Quasiduplicate</t>
  </si>
  <si>
    <t>Drown in the Loch</t>
  </si>
  <si>
    <t>Changeling Berserker</t>
  </si>
  <si>
    <t>Phyrexian Altar</t>
  </si>
  <si>
    <t>Thing in the Ice</t>
  </si>
  <si>
    <t>Mythos of Snapdax</t>
  </si>
  <si>
    <t>Stroke of Midnight</t>
  </si>
  <si>
    <t>Inundate</t>
  </si>
  <si>
    <t>Flood of Tears</t>
  </si>
  <si>
    <t>Crush of Tentacles</t>
  </si>
  <si>
    <t>Nashi, Moon Sage's Scion</t>
  </si>
  <si>
    <t>Part the Waterveil</t>
  </si>
  <si>
    <t>Karn's Temporal Sundering</t>
  </si>
  <si>
    <t>Evacuation</t>
  </si>
  <si>
    <t>Gingerbrute</t>
  </si>
  <si>
    <t>Thousand-Faced Shadow</t>
  </si>
  <si>
    <t>Oboro Breezecaller</t>
  </si>
  <si>
    <t>Scheming Symmetry</t>
  </si>
  <si>
    <t>Death Rattle</t>
  </si>
  <si>
    <t>Rivendell</t>
  </si>
  <si>
    <t>Confusion in the Ranks</t>
  </si>
  <si>
    <t>Diplomatic Immunity</t>
  </si>
  <si>
    <t>Coveted Falcon</t>
  </si>
  <si>
    <t>Chained to the Rocks</t>
  </si>
  <si>
    <t>Decanter of Endless Water</t>
  </si>
  <si>
    <t>Pact of Negation</t>
  </si>
  <si>
    <t>Volatile Stormdrake</t>
  </si>
  <si>
    <t>Pramikon, Sky Rampart</t>
  </si>
  <si>
    <t>Nine Lives</t>
  </si>
  <si>
    <t>Fetid Pools</t>
  </si>
  <si>
    <t>Nyx Lotus</t>
  </si>
  <si>
    <t>Empowered Autogenerator</t>
  </si>
  <si>
    <t>Liliana of the Dark Realms</t>
  </si>
  <si>
    <t>Three Steps Ahead</t>
  </si>
  <si>
    <t>Spell Stutter</t>
  </si>
  <si>
    <t>Metallic Rebuke</t>
  </si>
  <si>
    <t>Gale's Redirection</t>
  </si>
  <si>
    <t>Replication Technique</t>
  </si>
  <si>
    <t>Blink of an Eye</t>
  </si>
  <si>
    <t>Sire of Stagnation</t>
  </si>
  <si>
    <t>Outland Liberator</t>
  </si>
  <si>
    <t>Rhythm of the Wild</t>
  </si>
  <si>
    <t>Murderous Rider // Swift End</t>
  </si>
  <si>
    <t>Rise of the Witch-King</t>
  </si>
  <si>
    <t>Accursed Marauder</t>
  </si>
  <si>
    <t>Gravelighter</t>
  </si>
  <si>
    <t>Hidetsugu Consumes All</t>
  </si>
  <si>
    <t>Ghoulish Procession</t>
  </si>
  <si>
    <t>Forging the Tyrite Sword</t>
  </si>
  <si>
    <t>Armored Skyhunter</t>
  </si>
  <si>
    <t>Astor, Bearer of Blades</t>
  </si>
  <si>
    <t>Ardenn, Intrepid Archaeologist</t>
  </si>
  <si>
    <t>Bladehold War-Whip</t>
  </si>
  <si>
    <t>Sword of Truth and Justice</t>
  </si>
  <si>
    <t>Sword of Once and Future</t>
  </si>
  <si>
    <t>Sword of Light and Shadow</t>
  </si>
  <si>
    <t>Sword of Fire and Ice</t>
  </si>
  <si>
    <t>Sword of Forge and Frontier</t>
  </si>
  <si>
    <t>Sword of Feast and Famine</t>
  </si>
  <si>
    <t>Captain's Claws</t>
  </si>
  <si>
    <t>Sword of Hearth and Home</t>
  </si>
  <si>
    <t>Sword of War and Peace</t>
  </si>
  <si>
    <t>Sword of Body and Mind</t>
  </si>
  <si>
    <t>Sword of Sinew and Steel</t>
  </si>
  <si>
    <t>Shifting Shadow</t>
  </si>
  <si>
    <t>Sword of Wealth and Power</t>
  </si>
  <si>
    <t>Goblin Morningstar</t>
  </si>
  <si>
    <t>Lost Jitte</t>
  </si>
  <si>
    <t>Plate Armor</t>
  </si>
  <si>
    <t>Lavaspur Boots</t>
  </si>
  <si>
    <t>Goblin Spymaster</t>
  </si>
  <si>
    <t>Mocking Doppelganger</t>
  </si>
  <si>
    <t>Surge of Salvation</t>
  </si>
  <si>
    <t>Twinferno</t>
  </si>
  <si>
    <t>Crashing Drawbridge</t>
  </si>
  <si>
    <t>Opt</t>
  </si>
  <si>
    <t>Kykar, Wind's Fury</t>
  </si>
  <si>
    <t>Third Path Iconoclast</t>
  </si>
  <si>
    <t>Monastery Mentor</t>
  </si>
  <si>
    <t>Jeskai Ascendancy</t>
  </si>
  <si>
    <t>Trailblazer's Boots</t>
  </si>
  <si>
    <t>Response // Resurgence</t>
  </si>
  <si>
    <t>Deep-Sea Kraken</t>
  </si>
  <si>
    <t>Kederekt Leviathan</t>
  </si>
  <si>
    <t>Scourge of Fleets</t>
  </si>
  <si>
    <t>Stormtide Leviathan</t>
  </si>
  <si>
    <t>Divergent Transformations</t>
  </si>
  <si>
    <t>Prosperous Innkeeper</t>
  </si>
  <si>
    <t>Chatterstorm</t>
  </si>
  <si>
    <t>Thorough Investigation</t>
  </si>
  <si>
    <t>Indulge // Excess</t>
  </si>
  <si>
    <t>Trail of Crumbs</t>
  </si>
  <si>
    <t>Naya Charm</t>
  </si>
  <si>
    <t>Sram's Expertise</t>
  </si>
  <si>
    <t>Presence of Gond</t>
  </si>
  <si>
    <t>Night of the Sweets' Revenge</t>
  </si>
  <si>
    <t>Kayla's Command</t>
  </si>
  <si>
    <t>Noble's Purse</t>
  </si>
  <si>
    <t>Dwarven Mine</t>
  </si>
  <si>
    <t>Gingerbread Cabin</t>
  </si>
  <si>
    <t>Gruul Turf</t>
  </si>
  <si>
    <t>Hakbal of the Surging Soul</t>
  </si>
  <si>
    <t>Repudiate // Replicate</t>
  </si>
  <si>
    <t>Thieving Skydiver</t>
  </si>
  <si>
    <t>Mirror of the Forebears</t>
  </si>
  <si>
    <t>Narset's Reversal</t>
  </si>
  <si>
    <t>Hullbreaker Horror</t>
  </si>
  <si>
    <t>Espadas</t>
  </si>
  <si>
    <t>Digsite Engineer</t>
  </si>
  <si>
    <t>Final Showdown</t>
  </si>
  <si>
    <t>Deserted Temple</t>
  </si>
  <si>
    <t>Aunt May</t>
  </si>
  <si>
    <t>Costume Closet</t>
  </si>
  <si>
    <t>Aranã, Heart of the Spider</t>
  </si>
  <si>
    <t>Sensei's Divining Top</t>
  </si>
  <si>
    <t>Staff of Compleation</t>
  </si>
  <si>
    <t>Blaster, Combat DJ</t>
  </si>
  <si>
    <t>Filigree Vector</t>
  </si>
  <si>
    <t>Iron Spider, Stark Upgrade</t>
  </si>
  <si>
    <t>Giggling Skitterspike</t>
  </si>
  <si>
    <t>Thopter Shop</t>
  </si>
  <si>
    <t>Burgeoning</t>
  </si>
  <si>
    <t>Inventory Management</t>
  </si>
  <si>
    <t>Hare</t>
  </si>
  <si>
    <t>Mirror of Life Trapping</t>
  </si>
  <si>
    <t>Hare Apparent</t>
  </si>
  <si>
    <t>Psychic Paper</t>
  </si>
  <si>
    <t>Rammas Echor, Ancient Shield</t>
  </si>
  <si>
    <t>Magda, the Hoardmaster</t>
  </si>
  <si>
    <t>Vedalken Mastermind</t>
  </si>
  <si>
    <t>The Soul Stone</t>
  </si>
  <si>
    <t>Starfield Vocalist</t>
  </si>
  <si>
    <t>Peter Parker's Camera</t>
  </si>
  <si>
    <t>Ephemerate</t>
  </si>
  <si>
    <t>Yorion, Sky Nomad</t>
  </si>
  <si>
    <t>Oji, the Exquisite Blade</t>
  </si>
  <si>
    <t>Ghostway</t>
  </si>
  <si>
    <t>Candlekeep Sage</t>
  </si>
  <si>
    <t>Thousand Moons Smithy</t>
  </si>
  <si>
    <t>Worldwalker Helm</t>
  </si>
  <si>
    <t>Urza, Lord High Artificer</t>
  </si>
  <si>
    <t>Grim Hireling</t>
  </si>
  <si>
    <t>Ruthless Lawbringer</t>
  </si>
  <si>
    <t>Abstruse Appropriation</t>
  </si>
  <si>
    <t>Retrofitter Foundry</t>
  </si>
  <si>
    <t>Terra Eternal</t>
  </si>
  <si>
    <t>Survey Mechan</t>
  </si>
  <si>
    <t>Tomik, Distinguished Advokist</t>
  </si>
  <si>
    <t>Gonti's Aether Heart</t>
  </si>
  <si>
    <t>Lithoform Engine</t>
  </si>
  <si>
    <t>Arcane Spyglass</t>
  </si>
  <si>
    <t>Ragost, Deft Gastronaut</t>
  </si>
  <si>
    <t>Slagdrill Scrapper</t>
  </si>
  <si>
    <t>Syr Ginger, the Meal Ender</t>
  </si>
  <si>
    <t>The Gold Saucer</t>
  </si>
  <si>
    <t>Voyager Staff</t>
  </si>
  <si>
    <t>Bretagard Stronghold</t>
  </si>
  <si>
    <t>Sokrates, Athenian Teacher</t>
  </si>
  <si>
    <t>Vivien, Champion of the Wilds</t>
  </si>
  <si>
    <t>Guardian Project</t>
  </si>
  <si>
    <t>Tamiyo, Field Researcher</t>
  </si>
  <si>
    <t>Winds of Abandon</t>
  </si>
  <si>
    <t>Wave of Reckoning</t>
  </si>
  <si>
    <t>Parker Luck</t>
  </si>
  <si>
    <t>Forsaken Miner</t>
  </si>
  <si>
    <t>Wall of Stolen Identity</t>
  </si>
  <si>
    <t>Wall of Blossoms</t>
  </si>
  <si>
    <t>Wall of Mourning</t>
  </si>
  <si>
    <t>Shield-Wall Sentinel</t>
  </si>
  <si>
    <t>Teyo, the Shieldmage</t>
  </si>
  <si>
    <t>Orator of Ojutai</t>
  </si>
  <si>
    <t>Ludevic's Test Subject</t>
  </si>
  <si>
    <t>Wall of Shards</t>
  </si>
  <si>
    <t>Rampart Architect</t>
  </si>
  <si>
    <t>Hadana's Climb</t>
  </si>
  <si>
    <t>Aquatic Incursion</t>
  </si>
  <si>
    <t>Mirkwood Bats</t>
  </si>
  <si>
    <t>Shiny Impetus</t>
  </si>
  <si>
    <t>Wand of Wonder</t>
  </si>
  <si>
    <t>Wild Ricochet</t>
  </si>
  <si>
    <t>Wyll's Reversal</t>
  </si>
  <si>
    <t>Captain Lannery Storm</t>
  </si>
  <si>
    <t>Spectacular Spider-Man</t>
  </si>
  <si>
    <t>Court of Garenbrig</t>
  </si>
  <si>
    <t>Evolution Witness</t>
  </si>
  <si>
    <t>Shortcut to Mushrooms</t>
  </si>
  <si>
    <t>Grismold, the Dreadsower</t>
  </si>
  <si>
    <t>Fiend Artisan</t>
  </si>
  <si>
    <t>Solda</t>
  </si>
  <si>
    <t>Ferreiro</t>
  </si>
  <si>
    <t>Toph Modular</t>
  </si>
  <si>
    <t>Finalizador</t>
  </si>
  <si>
    <t>The Jolly Baloon Man</t>
  </si>
  <si>
    <t>Solemn Simulacrun</t>
  </si>
  <si>
    <t>Staged Fight</t>
  </si>
  <si>
    <t>Manobra</t>
  </si>
  <si>
    <t>Eerie Interlude</t>
  </si>
  <si>
    <t>Splash Portal</t>
  </si>
  <si>
    <t>Restoration Angel</t>
  </si>
  <si>
    <t>Felidar Guardian</t>
  </si>
  <si>
    <t>Flickerwisp</t>
  </si>
  <si>
    <t>Charming Prince</t>
  </si>
  <si>
    <t>Guardian of Ghirapur</t>
  </si>
  <si>
    <t>Ephara, God of the Polis</t>
  </si>
  <si>
    <t>Yorion Hares</t>
  </si>
  <si>
    <t>Avatar's Wrath</t>
  </si>
  <si>
    <t>Wan Shi Tong, Librarian</t>
  </si>
  <si>
    <t>Waterbender's Restoration</t>
  </si>
  <si>
    <t>Spirit Water Revival</t>
  </si>
  <si>
    <t>Katara's Reversal</t>
  </si>
  <si>
    <t>Katara, Bending Prodigy</t>
  </si>
  <si>
    <t>Shared Roots</t>
  </si>
  <si>
    <t>Firebender Ascension</t>
  </si>
  <si>
    <t>Abandoned Air Temple</t>
  </si>
  <si>
    <t>Agna Qel'a</t>
  </si>
  <si>
    <t>Water Tribe Rallier</t>
  </si>
  <si>
    <t>Monk Gyatso</t>
  </si>
  <si>
    <t>Iroh, Tea Master</t>
  </si>
  <si>
    <t>Cycle of Renewal</t>
  </si>
  <si>
    <t>Elemental Teachings</t>
  </si>
  <si>
    <t>Airbender Ascension</t>
  </si>
  <si>
    <t>Waterbender Ascension</t>
  </si>
  <si>
    <t>Argent Dais</t>
  </si>
  <si>
    <t>The Cabbage Merchant</t>
  </si>
  <si>
    <t>Kambal, Profiteering Mayor</t>
  </si>
  <si>
    <t>Teysa, Opulent Oligarch</t>
  </si>
  <si>
    <t>June, Bounty Hunter</t>
  </si>
  <si>
    <t>Earthbender Ascension</t>
  </si>
  <si>
    <t>Ba Sing Se</t>
  </si>
  <si>
    <t>The Duke, Rebel Sentry</t>
  </si>
  <si>
    <t>Tale of Katara and Toph</t>
  </si>
  <si>
    <t>Lunar Convocation</t>
  </si>
  <si>
    <t>Curious Farm Animals</t>
  </si>
  <si>
    <t>Obsidian Obelisk</t>
  </si>
  <si>
    <t>Honor-Worn Shaku</t>
  </si>
  <si>
    <t>Silence</t>
  </si>
  <si>
    <t>Stone of Erech</t>
  </si>
  <si>
    <t>Wilderness Reclamation</t>
  </si>
  <si>
    <t>Forensic Gadgeteer</t>
  </si>
  <si>
    <t>Meria, Scholar of Antiquity</t>
  </si>
  <si>
    <t>Biomancer's Familiar</t>
  </si>
  <si>
    <t>Dramatic Reversal</t>
  </si>
  <si>
    <t>Muddle the Mixture</t>
  </si>
  <si>
    <t>Tezzeret the Seeker</t>
  </si>
  <si>
    <t>Kinnan, Bonder Prodigy</t>
  </si>
  <si>
    <t>Planetarium of Wan Shi Tong</t>
  </si>
  <si>
    <t>City of Brass</t>
  </si>
  <si>
    <t>The Walls of Ba Sing Se</t>
  </si>
  <si>
    <t>Rumble Arena</t>
  </si>
  <si>
    <t>Secret Tunnel</t>
  </si>
  <si>
    <t>March of the Canonized</t>
  </si>
  <si>
    <t>Foggy Swamp Visions</t>
  </si>
  <si>
    <t>Bitter Work</t>
  </si>
  <si>
    <t>The Earth King</t>
  </si>
  <si>
    <t>Toph, Hardheaded Teacher</t>
  </si>
  <si>
    <t>Earthshape</t>
  </si>
  <si>
    <t>Solid Ground</t>
  </si>
  <si>
    <t>Piranha Marsh</t>
  </si>
  <si>
    <t>Raven Eagle</t>
  </si>
  <si>
    <t>Retreat to Hagra</t>
  </si>
  <si>
    <t>Beifong's Bounty Hunters</t>
  </si>
  <si>
    <t>Zuko's Benders</t>
  </si>
  <si>
    <t>Fire Lord Zuko</t>
  </si>
  <si>
    <t>Zuko, Exiled Prince</t>
  </si>
  <si>
    <t>Leyline Tyrant</t>
  </si>
  <si>
    <t>Party Thrasher</t>
  </si>
  <si>
    <t>Norin the Wary</t>
  </si>
  <si>
    <t>Ashling, Flame Dancer</t>
  </si>
  <si>
    <t>Commune with Lava</t>
  </si>
  <si>
    <t>Isshin, two Heavens as One</t>
  </si>
  <si>
    <t>The Legend of Roku</t>
  </si>
  <si>
    <t>Cait Sith, Fortune Teller</t>
  </si>
  <si>
    <t>Dream Devourer</t>
  </si>
  <si>
    <t>Bonehoard Dracosaur</t>
  </si>
  <si>
    <t>Pia Nalaar, Consul of Revival</t>
  </si>
  <si>
    <t>Commander Liara Portyr</t>
  </si>
  <si>
    <t>Dragonhawk, Fate's Tempest</t>
  </si>
  <si>
    <t>Decadent Dragon</t>
  </si>
  <si>
    <t>Iraxxa, Empress of Mars</t>
  </si>
  <si>
    <t>Vindictive Warden</t>
  </si>
  <si>
    <t>Rose, Cutthroat Raider</t>
  </si>
  <si>
    <t>Headliner Scarlett</t>
  </si>
  <si>
    <t>Legion Leadership</t>
  </si>
  <si>
    <t>Ultimate Magic: Holy</t>
  </si>
  <si>
    <t>Airbender's Reversal</t>
  </si>
  <si>
    <t>Airbending Lesson</t>
  </si>
  <si>
    <t>Outrageous Robbery</t>
  </si>
  <si>
    <t>Tavern Brawler</t>
  </si>
  <si>
    <t>Obsessive Pursuit</t>
  </si>
  <si>
    <t>Emergence Zone</t>
  </si>
  <si>
    <t>Sunforger</t>
  </si>
  <si>
    <t>Mana</t>
  </si>
  <si>
    <t>Enter the Avatar State</t>
  </si>
  <si>
    <t>Shelter</t>
  </si>
  <si>
    <t>Xantcha, Sleeper Agent</t>
  </si>
  <si>
    <t>Pinnacle Monk</t>
  </si>
  <si>
    <t>Gods Willing</t>
  </si>
  <si>
    <t>Boon of Safety</t>
  </si>
  <si>
    <t>Inti, Seneschal of the Sun</t>
  </si>
  <si>
    <t>Sun Warriors</t>
  </si>
  <si>
    <t>Roilling Regrowth</t>
  </si>
  <si>
    <t>Earth Kingdom General</t>
  </si>
  <si>
    <t>True Ancestry</t>
  </si>
  <si>
    <t>Horizon Stone</t>
  </si>
  <si>
    <t>Electro, Assaulting Battery</t>
  </si>
  <si>
    <t>Virtue of Knowledge // Vantress Visions</t>
  </si>
  <si>
    <t>Vedalken Orrery</t>
  </si>
  <si>
    <t>Cunning Rhetoric</t>
  </si>
  <si>
    <t>Prosper, Tome-Bound</t>
  </si>
  <si>
    <t>Exile</t>
  </si>
  <si>
    <t>Anim Pakal, Thousandth Moon</t>
  </si>
  <si>
    <t>Chaos Wand</t>
  </si>
  <si>
    <t>Pyrohemia</t>
  </si>
  <si>
    <t>Goro-Goro, Disciple of Ryusei</t>
  </si>
  <si>
    <t>Eight-and-a-Half-Tails</t>
  </si>
  <si>
    <t>Barkform Harvester</t>
  </si>
  <si>
    <t>Azula, On the Hunt</t>
  </si>
  <si>
    <t>Wojek Investigator</t>
  </si>
  <si>
    <t>Sophina, Spearsage Deserter</t>
  </si>
  <si>
    <t>Merchant of Truth</t>
  </si>
  <si>
    <t>Smoldering Marsh</t>
  </si>
  <si>
    <t>Billiard Room</t>
  </si>
  <si>
    <t>Obsidian Fireheart</t>
  </si>
  <si>
    <t>Reluctant Role Model</t>
  </si>
  <si>
    <t>Tana, the Bloodsower</t>
  </si>
  <si>
    <t>Tymna the Weaver</t>
  </si>
  <si>
    <t>Attack</t>
  </si>
  <si>
    <t>Suport</t>
  </si>
  <si>
    <t>MacCready, Lamplight Mayor</t>
  </si>
  <si>
    <t>Caesar, Legion's Emperor</t>
  </si>
  <si>
    <t>Isshin, Two Heavens as One</t>
  </si>
  <si>
    <t>Alesha, Who Smiles at Death</t>
  </si>
  <si>
    <t>Zurgo Stormrender</t>
  </si>
  <si>
    <t>Arabella, Abandoned Doll</t>
  </si>
  <si>
    <t>Adeline, Resplendent Cathar</t>
  </si>
  <si>
    <t>Myrel, Shield of Argive</t>
  </si>
  <si>
    <t>Ainok Strike Leader</t>
  </si>
  <si>
    <t>Teysa Karlov</t>
  </si>
  <si>
    <t>Lagomos, Hand of Hatred</t>
  </si>
  <si>
    <t>Wispdrinker Vampire</t>
  </si>
  <si>
    <t>Lurrus of the Dream-Den</t>
  </si>
  <si>
    <t>Within Range</t>
  </si>
  <si>
    <t>Quantity</t>
  </si>
  <si>
    <t>Slimefoot and Squee</t>
  </si>
  <si>
    <t>Skyknight Vanguard</t>
  </si>
  <si>
    <t>Mardu Ascendancy</t>
  </si>
  <si>
    <t>Brutal Hordechief</t>
  </si>
  <si>
    <t>Aurelia, the Law Above</t>
  </si>
  <si>
    <t>Mishra, Claimed by Gix</t>
  </si>
  <si>
    <t>Phyrexian Dragon Engine</t>
  </si>
  <si>
    <t>Zurgo, Thunder's Decree</t>
  </si>
  <si>
    <t>Bitterbloom Bearer</t>
  </si>
  <si>
    <t>Rumor Gatherer</t>
  </si>
  <si>
    <t>Toski, Bearer of Secrets</t>
  </si>
  <si>
    <t>Ohran Frostfang</t>
  </si>
  <si>
    <t>Veteran Soldier</t>
  </si>
  <si>
    <t>Behind the Scenes</t>
  </si>
  <si>
    <t>Searslicer Goblin</t>
  </si>
  <si>
    <t>Sinkhole Surveyor</t>
  </si>
  <si>
    <t>Bedlam</t>
  </si>
  <si>
    <t>Sundering Eruption</t>
  </si>
  <si>
    <t>Fire Nation Attacks</t>
  </si>
  <si>
    <t>Solstice Revelations</t>
  </si>
  <si>
    <t>White Lotus Tile</t>
  </si>
  <si>
    <t>Golden Goose</t>
  </si>
  <si>
    <t>Visions of Phyrexia</t>
  </si>
  <si>
    <t>Sin Prodder</t>
  </si>
  <si>
    <t>Echoing Truth</t>
  </si>
  <si>
    <t>Annul</t>
  </si>
  <si>
    <t>Serum Visions</t>
  </si>
  <si>
    <t>Impulse</t>
  </si>
  <si>
    <t>Eaten Alive</t>
  </si>
  <si>
    <t>Mirror Pool</t>
  </si>
  <si>
    <t>Clever Concealment</t>
  </si>
  <si>
    <t>Return from the Wilds</t>
  </si>
  <si>
    <t>Springleaf Parade</t>
  </si>
  <si>
    <t>Emergency Zone</t>
  </si>
  <si>
    <t>Sontaran General</t>
  </si>
  <si>
    <t>Little Ones</t>
  </si>
  <si>
    <t>Royalty Assassin</t>
  </si>
  <si>
    <t>Mystic Forge</t>
  </si>
  <si>
    <t>Dramatical Reversal</t>
  </si>
  <si>
    <t>Teysa, Orzhov Scion</t>
  </si>
  <si>
    <t>Weatherlight Compleated</t>
  </si>
  <si>
    <t>Congregation at Dawn</t>
  </si>
  <si>
    <t>Shapers' Sanctuary</t>
  </si>
  <si>
    <t>Bygone Bishop</t>
  </si>
  <si>
    <t>Moldervine Reclamation</t>
  </si>
  <si>
    <t>Radiant Summit</t>
  </si>
  <si>
    <t>Peregrin Tuk</t>
  </si>
  <si>
    <t>Ool</t>
  </si>
  <si>
    <t>Auntie Ool, Cursewretch</t>
  </si>
  <si>
    <t>Sheltered Thicket</t>
  </si>
  <si>
    <t>Rakdos Carnarium</t>
  </si>
  <si>
    <t>Festering Thicket</t>
  </si>
  <si>
    <t>Canyon Slough</t>
  </si>
  <si>
    <t>Riveteers Overlook</t>
  </si>
  <si>
    <t>Ifnir Deadlands</t>
  </si>
  <si>
    <t>Vernal Fen</t>
  </si>
  <si>
    <t>Nesting Grounds</t>
  </si>
  <si>
    <t>Ignoble Hierarch</t>
  </si>
  <si>
    <t>Contagion Clasp</t>
  </si>
  <si>
    <t>Infernal Grasp</t>
  </si>
  <si>
    <t>Hapatra, Vizier of Poisons</t>
  </si>
  <si>
    <t>Channeler Initiate</t>
  </si>
  <si>
    <t>Lasting Tarfire</t>
  </si>
  <si>
    <t>Oft-Nabbed Goat</t>
  </si>
  <si>
    <t>Cathartic Pyre</t>
  </si>
  <si>
    <t>Night's Whisper</t>
  </si>
  <si>
    <t>Black Sun's Zenith</t>
  </si>
  <si>
    <t>Burning Curiosity</t>
  </si>
  <si>
    <t>Dusk Urchins</t>
  </si>
  <si>
    <t>Dread Tiller</t>
  </si>
  <si>
    <t>Glissa Sunslayer</t>
  </si>
  <si>
    <t>Blowfly Infestation</t>
  </si>
  <si>
    <t>Necroskitter</t>
  </si>
  <si>
    <t>Fire Covenant</t>
  </si>
  <si>
    <t>Puca's Covenant</t>
  </si>
  <si>
    <t>Putrefy</t>
  </si>
  <si>
    <t>Sinister Gnarlbark</t>
  </si>
  <si>
    <t>Everlasting Torment</t>
  </si>
  <si>
    <t>Painful Truths</t>
  </si>
  <si>
    <t>Wickersmith's Tools</t>
  </si>
  <si>
    <t>Tree of Perdition</t>
  </si>
  <si>
    <t>Wickerbough Elder</t>
  </si>
  <si>
    <t>Soul Snuffers</t>
  </si>
  <si>
    <t>Binding the Old Gods</t>
  </si>
  <si>
    <t>Hoarder's Greed</t>
  </si>
  <si>
    <t>Skinrender</t>
  </si>
  <si>
    <t>Massacre Girl, Known Killer</t>
  </si>
  <si>
    <t>Grave Venerations</t>
  </si>
  <si>
    <t>Harmonize</t>
  </si>
  <si>
    <t>Archfiend of Ifnir</t>
  </si>
  <si>
    <t>Kulrath Knight</t>
  </si>
  <si>
    <t>Flourishing Defenses</t>
  </si>
  <si>
    <t>Incremental Blight</t>
  </si>
  <si>
    <t>Eventide's Shadow</t>
  </si>
  <si>
    <t>Puppeteer Clique</t>
  </si>
  <si>
    <t>The Scorpion God</t>
  </si>
  <si>
    <t>Village Pillagers</t>
  </si>
  <si>
    <t>Aberrant Return</t>
  </si>
  <si>
    <t>Midnight Banshee</t>
  </si>
  <si>
    <t>Carnifex Demon</t>
  </si>
  <si>
    <t>The Reaper, King No More</t>
  </si>
  <si>
    <t>Grave Titan</t>
  </si>
  <si>
    <t>Vraska, Betrayal's Sting</t>
  </si>
  <si>
    <t>Grim Poppet</t>
  </si>
  <si>
    <t>Ferrafor, Young Yew</t>
  </si>
  <si>
    <t>Liliana, Death Wielder</t>
  </si>
  <si>
    <t>Marcador</t>
  </si>
  <si>
    <t>Nest of Scarabs</t>
  </si>
  <si>
    <t>Yawgmoth, Thran Physician</t>
  </si>
  <si>
    <t>Obelisk Spider</t>
  </si>
  <si>
    <t>Generous Patron</t>
  </si>
  <si>
    <t>Persistent Constrictor</t>
  </si>
  <si>
    <t>Dawnhand Dissident</t>
  </si>
  <si>
    <t>Scuzzback Scrounger</t>
  </si>
  <si>
    <t>Ammit Eternal</t>
  </si>
  <si>
    <t>Corrosive Mentor</t>
  </si>
  <si>
    <t>Contagion Engine</t>
  </si>
  <si>
    <t>Cauldron of Souls</t>
  </si>
  <si>
    <t>Grim Affliction</t>
  </si>
  <si>
    <t>Serrated Biskelion</t>
  </si>
  <si>
    <t>Merciless Javelineer</t>
  </si>
  <si>
    <t>Puncture Blast</t>
  </si>
  <si>
    <t>Brigid, Clachan's Heart</t>
  </si>
  <si>
    <t>OwA</t>
  </si>
  <si>
    <t>Kinscaer Sentry</t>
  </si>
  <si>
    <t>Disruptor of Currents</t>
  </si>
  <si>
    <t>Rimekin Recluse</t>
  </si>
  <si>
    <t>Gathering Stone</t>
  </si>
  <si>
    <t>Champions of the Shoal</t>
  </si>
  <si>
    <t>Pestered Wellguard</t>
  </si>
  <si>
    <t>Mutable Explorer</t>
  </si>
  <si>
    <t>Eclipsed Realms</t>
  </si>
  <si>
    <t>Glen Elendra's Answer</t>
  </si>
  <si>
    <t>Gnarlbark Elm</t>
  </si>
  <si>
    <t>Heirloom Auntie</t>
  </si>
  <si>
    <t>Cinder Strike</t>
  </si>
  <si>
    <t>Warren Torchmaster</t>
  </si>
  <si>
    <t>Sting-Slinger</t>
  </si>
  <si>
    <t>Bristlebane Battler</t>
  </si>
  <si>
    <t>Reclaim</t>
  </si>
  <si>
    <t>Six</t>
  </si>
  <si>
    <t>Shigeki, Jukai Visionary</t>
  </si>
  <si>
    <t>Gauntlet of Power</t>
  </si>
  <si>
    <t>Scion of Draco</t>
  </si>
  <si>
    <t>Orbs of Warding</t>
  </si>
  <si>
    <t>Flame Blitz</t>
  </si>
  <si>
    <t>Damping Matrix</t>
  </si>
  <si>
    <t>Bitterblossom</t>
  </si>
  <si>
    <t>Damping Sphere</t>
  </si>
  <si>
    <t>Bant Panorama</t>
  </si>
  <si>
    <t>Bloodchief Ascension</t>
  </si>
  <si>
    <t>Ojer Pakpatiq, Deepest Epoch</t>
  </si>
  <si>
    <t>Sorin of House Markov</t>
  </si>
  <si>
    <t>Soul Immolation</t>
  </si>
  <si>
    <t>Mandate of Abaddon</t>
  </si>
  <si>
    <t>Vona's Hunger</t>
  </si>
  <si>
    <t>Riveteers Charm</t>
  </si>
  <si>
    <t>Stump Stomp</t>
  </si>
  <si>
    <t>Mask of Griselbrand</t>
  </si>
  <si>
    <t>Ritual of Soot</t>
  </si>
  <si>
    <t>Coronation of Chaos</t>
  </si>
  <si>
    <t>Watertrap Weaver</t>
  </si>
  <si>
    <t>Deeproot Pilgrimage</t>
  </si>
  <si>
    <t>Rogue Class</t>
  </si>
  <si>
    <t>Piratas</t>
  </si>
  <si>
    <t>Baylen</t>
  </si>
  <si>
    <t>4cRashmi</t>
  </si>
  <si>
    <t>Rashmi, Eternities Crafter</t>
  </si>
  <si>
    <t>Kaervek the Merciless</t>
  </si>
  <si>
    <t>Displacer Kitten</t>
  </si>
  <si>
    <t>Endurance</t>
  </si>
  <si>
    <t>The Lord of Pain</t>
  </si>
  <si>
    <t>Curtain's Call</t>
  </si>
  <si>
    <t>Kess, Dissident Mage</t>
  </si>
  <si>
    <t>Growth Spiral</t>
  </si>
  <si>
    <t>Comet Storm</t>
  </si>
  <si>
    <t>Mystic Confluence</t>
  </si>
  <si>
    <t>Roiling Regrowth</t>
  </si>
  <si>
    <t>Deathsprout</t>
  </si>
  <si>
    <t>Windgrace's Judgment</t>
  </si>
  <si>
    <t>Planar Genesis</t>
  </si>
  <si>
    <t>Guttersnipe</t>
  </si>
  <si>
    <t>Black Waltz No. 3</t>
  </si>
  <si>
    <t>Coruscation Mage</t>
  </si>
  <si>
    <t>Witherbloom Apprentice</t>
  </si>
  <si>
    <t>Kessig Flamebreather</t>
  </si>
  <si>
    <t>Bedevil</t>
  </si>
  <si>
    <t>Atarka's Command</t>
  </si>
  <si>
    <t>Mizzix's Mastery</t>
  </si>
  <si>
    <t>Culling Ritual</t>
  </si>
  <si>
    <t>Fiery Inscription</t>
  </si>
  <si>
    <t>Ral, Storm Conduit</t>
  </si>
  <si>
    <t>Professor Onyx</t>
  </si>
  <si>
    <t>Exalted Flamer of Tzeentch</t>
  </si>
  <si>
    <t>Erebor Flamesmith</t>
  </si>
  <si>
    <t>Joint Exploration</t>
  </si>
  <si>
    <t>Eureka Moment</t>
  </si>
  <si>
    <t>Natural Connection</t>
  </si>
  <si>
    <t>Perplexing Test</t>
  </si>
  <si>
    <t>Inferno</t>
  </si>
  <si>
    <t>Hurkyl's Final Meditation</t>
  </si>
  <si>
    <t>Fandaniel, Telophoroi Ascian</t>
  </si>
  <si>
    <t>Electrostatic Field</t>
  </si>
  <si>
    <t>Respite</t>
  </si>
  <si>
    <t>Jaheira's Respite</t>
  </si>
  <si>
    <t>Omen of the Hunt</t>
  </si>
  <si>
    <t>Archdruid's Charm</t>
  </si>
  <si>
    <t>Prishe's Wanderings</t>
  </si>
  <si>
    <t>Long Feng, Grand Secretariat</t>
  </si>
  <si>
    <t>Colonel Autumn</t>
  </si>
  <si>
    <t>Enterprising Scallywag</t>
  </si>
  <si>
    <t>Bre of Clan Stoutarm</t>
  </si>
  <si>
    <t>Debt of Loyalty</t>
  </si>
  <si>
    <t>Synapse Sliver</t>
  </si>
  <si>
    <t>Predatory Sliver</t>
  </si>
  <si>
    <t>Muscle Sliver</t>
  </si>
  <si>
    <t>Pulmonic Sliver</t>
  </si>
  <si>
    <t>Regal Sliver</t>
  </si>
  <si>
    <t>Clot Sliver</t>
  </si>
  <si>
    <t>Hollowhead Sliver</t>
  </si>
  <si>
    <t>Abundant Countryside</t>
  </si>
  <si>
    <t>Hunter Sliver</t>
  </si>
  <si>
    <t>Mindlash Sliver</t>
  </si>
  <si>
    <t>Sedge Sliver</t>
  </si>
  <si>
    <t>Talon Sliver</t>
  </si>
  <si>
    <t>Spinneret Sliver</t>
  </si>
  <si>
    <t>Frenetic Sliver</t>
  </si>
  <si>
    <t>Lymph Sliver</t>
  </si>
  <si>
    <t>Mnemonic Sliver</t>
  </si>
  <si>
    <t>Psionic Sliver</t>
  </si>
  <si>
    <t>Telekinetic Sliver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</si>
</sst>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&quot;R$ &quot;#,##0.00;[Red]&quot;R$ &quot;#,##0.0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14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164" fontId="1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0" fontId="3" fillId="0" borderId="0" xfId="0" applyFont="1"/>
    <xf numFmtId="0" fontId="7" fillId="0" borderId="0" xfId="0" applyFont="1" applyAlignment="1">
      <alignment horizontal="left"/>
    </xf>
    <xf numFmtId="0" fontId="0" fillId="0" borderId="0" xfId="1" applyNumberFormat="1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2">
    <cellStyle name="Normal" xfId="0" builtinId="0"/>
    <cellStyle name="Vírgula" xfId="1" builtinId="3"/>
  </cellStyles>
  <dxfs count="34"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AC792-1D39-4A87-ADEA-9B9B29A33674}">
  <sheetPr codeName="Planilha10"/>
  <dimension ref="A1:I102"/>
  <sheetViews>
    <sheetView tabSelected="1" workbookViewId="0">
      <selection activeCell="B42" sqref="B42"/>
    </sheetView>
  </sheetViews>
  <sheetFormatPr defaultRowHeight="15" x14ac:dyDescent="0.25"/>
  <cols>
    <col min="1" max="1" width="11.85546875" style="5" customWidth="1"/>
    <col min="2" max="3" width="38.7109375" customWidth="1"/>
    <col min="4" max="4" width="12.42578125" hidden="1" customWidth="1"/>
    <col min="5" max="5" width="4.28515625" customWidth="1"/>
    <col min="6" max="6" width="22.7109375" style="3" customWidth="1"/>
    <col min="7" max="7" width="9.140625" bestFit="1" customWidth="1"/>
  </cols>
  <sheetData>
    <row r="1" spans="1:9" ht="21" x14ac:dyDescent="0.25">
      <c r="A1" s="12" t="s">
        <v>279</v>
      </c>
      <c r="B1" s="12"/>
      <c r="C1" s="12"/>
      <c r="D1" s="12"/>
      <c r="E1" s="12"/>
      <c r="F1" s="12"/>
      <c r="G1" s="12"/>
    </row>
    <row r="2" spans="1:9" x14ac:dyDescent="0.25">
      <c r="A2" s="4" t="s">
        <v>11</v>
      </c>
      <c r="B2" s="4" t="s">
        <v>12</v>
      </c>
      <c r="C2" s="4" t="s">
        <v>13</v>
      </c>
      <c r="D2" s="4" t="s">
        <v>1546</v>
      </c>
      <c r="F2" s="4" t="s">
        <v>16</v>
      </c>
      <c r="G2" s="3">
        <f>COUNTIF(D:D,"Verdadeiro")</f>
        <v>2</v>
      </c>
    </row>
    <row r="3" spans="1:9" x14ac:dyDescent="0.25">
      <c r="A3" s="5" t="s">
        <v>1539</v>
      </c>
      <c r="B3" s="5" t="s">
        <v>1544</v>
      </c>
      <c r="C3" s="5" t="s">
        <v>1544</v>
      </c>
      <c r="D3" t="b">
        <f>B3&lt;&gt;C3</f>
        <v>0</v>
      </c>
      <c r="F3" s="4" t="s">
        <v>17</v>
      </c>
      <c r="G3" s="10">
        <f>SUM(G5:G29)</f>
        <v>100</v>
      </c>
    </row>
    <row r="4" spans="1:9" x14ac:dyDescent="0.25">
      <c r="A4" s="5" t="s">
        <v>1539</v>
      </c>
      <c r="B4" s="5" t="s">
        <v>1545</v>
      </c>
      <c r="C4" s="5" t="s">
        <v>1545</v>
      </c>
      <c r="D4" t="b">
        <f>B4&lt;&gt;C4</f>
        <v>0</v>
      </c>
    </row>
    <row r="5" spans="1:9" x14ac:dyDescent="0.25">
      <c r="A5" t="s">
        <v>15</v>
      </c>
      <c r="B5" s="5" t="s">
        <v>280</v>
      </c>
      <c r="C5" s="5" t="s">
        <v>280</v>
      </c>
      <c r="D5" t="b">
        <f>B5&lt;&gt;C5</f>
        <v>0</v>
      </c>
      <c r="F5" s="6" t="s">
        <v>19</v>
      </c>
      <c r="G5" s="1"/>
    </row>
    <row r="6" spans="1:9" x14ac:dyDescent="0.25">
      <c r="A6" t="s">
        <v>15</v>
      </c>
      <c r="B6" s="5" t="s">
        <v>281</v>
      </c>
      <c r="C6" s="5" t="s">
        <v>281</v>
      </c>
      <c r="D6" t="b">
        <f t="shared" ref="D6:D69" si="0">B6&lt;&gt;C6</f>
        <v>0</v>
      </c>
      <c r="F6" s="7" t="s">
        <v>1539</v>
      </c>
      <c r="G6" s="2">
        <f t="shared" ref="G6:G13" si="1">COUNTIF(A:A,F6)</f>
        <v>2</v>
      </c>
    </row>
    <row r="7" spans="1:9" x14ac:dyDescent="0.25">
      <c r="A7" t="s">
        <v>15</v>
      </c>
      <c r="B7" s="5" t="s">
        <v>282</v>
      </c>
      <c r="C7" s="5" t="s">
        <v>282</v>
      </c>
      <c r="D7" t="b">
        <f t="shared" si="0"/>
        <v>0</v>
      </c>
      <c r="F7" s="3" t="s">
        <v>15</v>
      </c>
      <c r="G7" s="2">
        <f t="shared" si="1"/>
        <v>34</v>
      </c>
      <c r="I7" t="s">
        <v>1548</v>
      </c>
    </row>
    <row r="8" spans="1:9" x14ac:dyDescent="0.25">
      <c r="A8" t="s">
        <v>15</v>
      </c>
      <c r="B8" s="5" t="s">
        <v>283</v>
      </c>
      <c r="C8" s="5" t="s">
        <v>283</v>
      </c>
      <c r="D8" t="b">
        <f t="shared" si="0"/>
        <v>0</v>
      </c>
      <c r="F8" s="7" t="s">
        <v>21</v>
      </c>
      <c r="G8" s="2">
        <f t="shared" si="1"/>
        <v>20</v>
      </c>
    </row>
    <row r="9" spans="1:9" x14ac:dyDescent="0.25">
      <c r="A9" t="s">
        <v>15</v>
      </c>
      <c r="B9" s="5" t="s">
        <v>284</v>
      </c>
      <c r="C9" s="5" t="s">
        <v>284</v>
      </c>
      <c r="D9" t="b">
        <f t="shared" si="0"/>
        <v>0</v>
      </c>
      <c r="F9" s="7" t="s">
        <v>290</v>
      </c>
      <c r="G9" s="2">
        <f t="shared" si="1"/>
        <v>8</v>
      </c>
    </row>
    <row r="10" spans="1:9" x14ac:dyDescent="0.25">
      <c r="A10" t="s">
        <v>15</v>
      </c>
      <c r="B10" s="5" t="s">
        <v>565</v>
      </c>
      <c r="C10" s="5" t="s">
        <v>565</v>
      </c>
      <c r="D10" t="b">
        <f t="shared" si="0"/>
        <v>0</v>
      </c>
      <c r="F10" s="7" t="s">
        <v>286</v>
      </c>
      <c r="G10" s="2">
        <f t="shared" si="1"/>
        <v>17</v>
      </c>
    </row>
    <row r="11" spans="1:9" x14ac:dyDescent="0.25">
      <c r="A11" t="s">
        <v>15</v>
      </c>
      <c r="B11" s="5" t="s">
        <v>285</v>
      </c>
      <c r="C11" s="5" t="s">
        <v>285</v>
      </c>
      <c r="D11" t="b">
        <f t="shared" si="0"/>
        <v>0</v>
      </c>
      <c r="F11" s="7" t="s">
        <v>23</v>
      </c>
      <c r="G11" s="2">
        <f t="shared" si="1"/>
        <v>12</v>
      </c>
    </row>
    <row r="12" spans="1:9" x14ac:dyDescent="0.25">
      <c r="A12" t="s">
        <v>15</v>
      </c>
      <c r="B12" s="5" t="s">
        <v>113</v>
      </c>
      <c r="C12" s="5" t="s">
        <v>113</v>
      </c>
      <c r="D12" t="b">
        <f t="shared" si="0"/>
        <v>0</v>
      </c>
      <c r="F12" s="7" t="s">
        <v>287</v>
      </c>
      <c r="G12" s="2">
        <f t="shared" si="1"/>
        <v>3</v>
      </c>
    </row>
    <row r="13" spans="1:9" x14ac:dyDescent="0.25">
      <c r="A13" t="s">
        <v>15</v>
      </c>
      <c r="B13" s="5" t="s">
        <v>451</v>
      </c>
      <c r="C13" s="5" t="s">
        <v>451</v>
      </c>
      <c r="D13" t="b">
        <f t="shared" si="0"/>
        <v>0</v>
      </c>
      <c r="F13" s="7" t="s">
        <v>288</v>
      </c>
      <c r="G13" s="2">
        <f t="shared" si="1"/>
        <v>4</v>
      </c>
    </row>
    <row r="14" spans="1:9" x14ac:dyDescent="0.25">
      <c r="A14" t="s">
        <v>15</v>
      </c>
      <c r="B14" s="5" t="s">
        <v>20</v>
      </c>
      <c r="C14" s="5" t="s">
        <v>20</v>
      </c>
      <c r="D14" t="b">
        <f t="shared" si="0"/>
        <v>0</v>
      </c>
    </row>
    <row r="15" spans="1:9" x14ac:dyDescent="0.25">
      <c r="A15" t="s">
        <v>15</v>
      </c>
      <c r="B15" s="5" t="s">
        <v>43</v>
      </c>
      <c r="C15" s="5" t="s">
        <v>43</v>
      </c>
      <c r="D15" t="b">
        <f t="shared" si="0"/>
        <v>0</v>
      </c>
    </row>
    <row r="16" spans="1:9" x14ac:dyDescent="0.25">
      <c r="A16" t="s">
        <v>15</v>
      </c>
      <c r="B16" s="5" t="s">
        <v>289</v>
      </c>
      <c r="C16" s="5" t="s">
        <v>289</v>
      </c>
      <c r="D16" t="b">
        <f t="shared" si="0"/>
        <v>0</v>
      </c>
    </row>
    <row r="17" spans="1:7" x14ac:dyDescent="0.25">
      <c r="A17" t="s">
        <v>15</v>
      </c>
      <c r="B17" s="5" t="s">
        <v>1969</v>
      </c>
      <c r="C17" s="5" t="s">
        <v>1969</v>
      </c>
      <c r="D17" t="b">
        <f t="shared" si="0"/>
        <v>0</v>
      </c>
      <c r="F17" s="7"/>
      <c r="G17" s="2"/>
    </row>
    <row r="18" spans="1:7" x14ac:dyDescent="0.25">
      <c r="A18" t="s">
        <v>15</v>
      </c>
      <c r="B18" s="5" t="s">
        <v>34</v>
      </c>
      <c r="C18" s="5" t="s">
        <v>34</v>
      </c>
      <c r="D18" t="b">
        <f t="shared" si="0"/>
        <v>0</v>
      </c>
      <c r="F18" s="4"/>
      <c r="G18" s="2"/>
    </row>
    <row r="19" spans="1:7" x14ac:dyDescent="0.25">
      <c r="A19" t="s">
        <v>15</v>
      </c>
      <c r="B19" s="5" t="s">
        <v>1459</v>
      </c>
      <c r="C19" s="5" t="s">
        <v>1459</v>
      </c>
      <c r="D19" t="b">
        <f t="shared" si="0"/>
        <v>0</v>
      </c>
      <c r="F19" s="4"/>
      <c r="G19" s="2"/>
    </row>
    <row r="20" spans="1:7" x14ac:dyDescent="0.25">
      <c r="A20" t="s">
        <v>15</v>
      </c>
      <c r="B20" s="5" t="s">
        <v>298</v>
      </c>
      <c r="C20" s="5" t="s">
        <v>298</v>
      </c>
      <c r="D20" t="b">
        <f t="shared" si="0"/>
        <v>0</v>
      </c>
    </row>
    <row r="21" spans="1:7" x14ac:dyDescent="0.25">
      <c r="A21" t="s">
        <v>15</v>
      </c>
      <c r="B21" s="5" t="s">
        <v>299</v>
      </c>
      <c r="C21" s="5" t="s">
        <v>299</v>
      </c>
      <c r="D21" t="b">
        <f t="shared" si="0"/>
        <v>0</v>
      </c>
    </row>
    <row r="22" spans="1:7" x14ac:dyDescent="0.25">
      <c r="A22" t="s">
        <v>15</v>
      </c>
      <c r="B22" s="5" t="s">
        <v>567</v>
      </c>
      <c r="C22" s="5" t="s">
        <v>567</v>
      </c>
      <c r="D22" t="b">
        <f t="shared" si="0"/>
        <v>0</v>
      </c>
    </row>
    <row r="23" spans="1:7" x14ac:dyDescent="0.25">
      <c r="A23" t="s">
        <v>15</v>
      </c>
      <c r="B23" s="5" t="s">
        <v>163</v>
      </c>
      <c r="C23" s="5" t="s">
        <v>163</v>
      </c>
      <c r="D23" t="b">
        <f t="shared" si="0"/>
        <v>0</v>
      </c>
    </row>
    <row r="24" spans="1:7" x14ac:dyDescent="0.25">
      <c r="A24" t="s">
        <v>15</v>
      </c>
      <c r="B24" s="5" t="s">
        <v>232</v>
      </c>
      <c r="C24" s="5" t="s">
        <v>232</v>
      </c>
      <c r="D24" t="b">
        <f t="shared" si="0"/>
        <v>0</v>
      </c>
    </row>
    <row r="25" spans="1:7" x14ac:dyDescent="0.25">
      <c r="A25" t="s">
        <v>15</v>
      </c>
      <c r="B25" s="5" t="s">
        <v>291</v>
      </c>
      <c r="C25" s="5" t="s">
        <v>291</v>
      </c>
      <c r="D25" t="b">
        <f t="shared" si="0"/>
        <v>0</v>
      </c>
    </row>
    <row r="26" spans="1:7" x14ac:dyDescent="0.25">
      <c r="A26" t="s">
        <v>15</v>
      </c>
      <c r="B26" s="5" t="s">
        <v>161</v>
      </c>
      <c r="C26" s="5" t="s">
        <v>161</v>
      </c>
      <c r="D26" t="b">
        <f t="shared" si="0"/>
        <v>0</v>
      </c>
    </row>
    <row r="27" spans="1:7" x14ac:dyDescent="0.25">
      <c r="A27" t="s">
        <v>15</v>
      </c>
      <c r="B27" s="5" t="s">
        <v>159</v>
      </c>
      <c r="C27" s="5" t="s">
        <v>159</v>
      </c>
      <c r="D27" t="b">
        <f t="shared" si="0"/>
        <v>0</v>
      </c>
    </row>
    <row r="28" spans="1:7" x14ac:dyDescent="0.25">
      <c r="A28" t="s">
        <v>15</v>
      </c>
      <c r="B28" s="5" t="s">
        <v>292</v>
      </c>
      <c r="C28" s="5" t="s">
        <v>292</v>
      </c>
      <c r="D28" t="b">
        <f t="shared" si="0"/>
        <v>0</v>
      </c>
    </row>
    <row r="29" spans="1:7" x14ac:dyDescent="0.25">
      <c r="A29" t="s">
        <v>15</v>
      </c>
      <c r="B29" s="5" t="s">
        <v>293</v>
      </c>
      <c r="C29" s="5" t="s">
        <v>293</v>
      </c>
      <c r="D29" t="b">
        <f t="shared" si="0"/>
        <v>0</v>
      </c>
    </row>
    <row r="30" spans="1:7" x14ac:dyDescent="0.25">
      <c r="A30" t="s">
        <v>15</v>
      </c>
      <c r="B30" s="5" t="s">
        <v>294</v>
      </c>
      <c r="C30" s="5" t="s">
        <v>294</v>
      </c>
      <c r="D30" t="b">
        <f t="shared" si="0"/>
        <v>0</v>
      </c>
    </row>
    <row r="31" spans="1:7" x14ac:dyDescent="0.25">
      <c r="A31" t="s">
        <v>15</v>
      </c>
      <c r="B31" s="5" t="s">
        <v>295</v>
      </c>
      <c r="C31" s="5" t="s">
        <v>295</v>
      </c>
      <c r="D31" t="b">
        <f t="shared" si="0"/>
        <v>0</v>
      </c>
    </row>
    <row r="32" spans="1:7" x14ac:dyDescent="0.25">
      <c r="A32" t="s">
        <v>15</v>
      </c>
      <c r="B32" s="5" t="s">
        <v>49</v>
      </c>
      <c r="C32" s="5" t="s">
        <v>49</v>
      </c>
      <c r="D32" t="b">
        <f t="shared" si="0"/>
        <v>0</v>
      </c>
    </row>
    <row r="33" spans="1:4" x14ac:dyDescent="0.25">
      <c r="A33" t="s">
        <v>15</v>
      </c>
      <c r="B33" s="5" t="s">
        <v>296</v>
      </c>
      <c r="C33" s="5" t="s">
        <v>296</v>
      </c>
      <c r="D33" t="b">
        <f t="shared" si="0"/>
        <v>0</v>
      </c>
    </row>
    <row r="34" spans="1:4" x14ac:dyDescent="0.25">
      <c r="A34" t="s">
        <v>15</v>
      </c>
      <c r="B34" s="5" t="s">
        <v>297</v>
      </c>
      <c r="C34" s="5" t="s">
        <v>297</v>
      </c>
      <c r="D34" t="b">
        <f t="shared" si="0"/>
        <v>0</v>
      </c>
    </row>
    <row r="35" spans="1:4" x14ac:dyDescent="0.25">
      <c r="A35" t="s">
        <v>15</v>
      </c>
      <c r="B35" s="5" t="s">
        <v>62</v>
      </c>
      <c r="C35" s="5" t="s">
        <v>62</v>
      </c>
      <c r="D35" t="b">
        <f t="shared" si="0"/>
        <v>0</v>
      </c>
    </row>
    <row r="36" spans="1:4" x14ac:dyDescent="0.25">
      <c r="A36" t="s">
        <v>15</v>
      </c>
      <c r="B36" s="5" t="s">
        <v>172</v>
      </c>
      <c r="C36" s="5" t="s">
        <v>172</v>
      </c>
      <c r="D36" t="b">
        <f t="shared" si="0"/>
        <v>0</v>
      </c>
    </row>
    <row r="37" spans="1:4" x14ac:dyDescent="0.25">
      <c r="A37" t="s">
        <v>15</v>
      </c>
      <c r="B37" s="5" t="s">
        <v>60</v>
      </c>
      <c r="C37" s="5" t="s">
        <v>60</v>
      </c>
      <c r="D37" t="b">
        <f t="shared" si="0"/>
        <v>0</v>
      </c>
    </row>
    <row r="38" spans="1:4" x14ac:dyDescent="0.25">
      <c r="A38" t="s">
        <v>15</v>
      </c>
      <c r="B38" s="5" t="s">
        <v>122</v>
      </c>
      <c r="C38" s="5" t="s">
        <v>122</v>
      </c>
      <c r="D38" t="b">
        <f t="shared" si="0"/>
        <v>0</v>
      </c>
    </row>
    <row r="39" spans="1:4" x14ac:dyDescent="0.25">
      <c r="A39" t="s">
        <v>21</v>
      </c>
      <c r="B39" s="5" t="s">
        <v>176</v>
      </c>
      <c r="C39" s="5" t="s">
        <v>176</v>
      </c>
      <c r="D39" t="b">
        <f t="shared" si="0"/>
        <v>0</v>
      </c>
    </row>
    <row r="40" spans="1:4" x14ac:dyDescent="0.25">
      <c r="A40" t="s">
        <v>21</v>
      </c>
      <c r="B40" s="5" t="s">
        <v>124</v>
      </c>
      <c r="C40" s="5" t="s">
        <v>124</v>
      </c>
      <c r="D40" t="b">
        <f t="shared" si="0"/>
        <v>0</v>
      </c>
    </row>
    <row r="41" spans="1:4" x14ac:dyDescent="0.25">
      <c r="A41" t="s">
        <v>21</v>
      </c>
      <c r="B41" s="5" t="s">
        <v>177</v>
      </c>
      <c r="C41" s="5" t="s">
        <v>177</v>
      </c>
      <c r="D41" t="b">
        <f t="shared" si="0"/>
        <v>0</v>
      </c>
    </row>
    <row r="42" spans="1:4" x14ac:dyDescent="0.25">
      <c r="A42" t="s">
        <v>21</v>
      </c>
      <c r="B42" s="5" t="s">
        <v>175</v>
      </c>
      <c r="C42" s="5" t="s">
        <v>175</v>
      </c>
      <c r="D42" t="b">
        <f t="shared" si="0"/>
        <v>0</v>
      </c>
    </row>
    <row r="43" spans="1:4" x14ac:dyDescent="0.25">
      <c r="A43" t="s">
        <v>21</v>
      </c>
      <c r="B43" s="5" t="s">
        <v>300</v>
      </c>
      <c r="C43" s="5" t="s">
        <v>300</v>
      </c>
      <c r="D43" t="b">
        <f t="shared" si="0"/>
        <v>0</v>
      </c>
    </row>
    <row r="44" spans="1:4" x14ac:dyDescent="0.25">
      <c r="A44" t="s">
        <v>21</v>
      </c>
      <c r="B44" s="5" t="s">
        <v>301</v>
      </c>
      <c r="C44" s="5" t="s">
        <v>301</v>
      </c>
      <c r="D44" t="b">
        <f t="shared" si="0"/>
        <v>0</v>
      </c>
    </row>
    <row r="45" spans="1:4" x14ac:dyDescent="0.25">
      <c r="A45" t="s">
        <v>21</v>
      </c>
      <c r="B45" s="5" t="s">
        <v>178</v>
      </c>
      <c r="C45" s="5" t="s">
        <v>178</v>
      </c>
      <c r="D45" t="b">
        <f t="shared" si="0"/>
        <v>0</v>
      </c>
    </row>
    <row r="46" spans="1:4" x14ac:dyDescent="0.25">
      <c r="A46" t="s">
        <v>21</v>
      </c>
      <c r="B46" s="5" t="s">
        <v>179</v>
      </c>
      <c r="C46" s="5" t="s">
        <v>179</v>
      </c>
      <c r="D46" t="b">
        <f t="shared" si="0"/>
        <v>0</v>
      </c>
    </row>
    <row r="47" spans="1:4" x14ac:dyDescent="0.25">
      <c r="A47" t="s">
        <v>21</v>
      </c>
      <c r="B47" s="5" t="s">
        <v>309</v>
      </c>
      <c r="C47" s="5" t="s">
        <v>1956</v>
      </c>
      <c r="D47" t="b">
        <f t="shared" si="0"/>
        <v>1</v>
      </c>
    </row>
    <row r="48" spans="1:4" x14ac:dyDescent="0.25">
      <c r="A48" t="s">
        <v>21</v>
      </c>
      <c r="B48" s="5" t="s">
        <v>173</v>
      </c>
      <c r="C48" s="5" t="s">
        <v>173</v>
      </c>
      <c r="D48" t="b">
        <f t="shared" si="0"/>
        <v>0</v>
      </c>
    </row>
    <row r="49" spans="1:4" x14ac:dyDescent="0.25">
      <c r="A49" t="s">
        <v>21</v>
      </c>
      <c r="B49" s="5" t="s">
        <v>174</v>
      </c>
      <c r="C49" s="5" t="s">
        <v>174</v>
      </c>
      <c r="D49" t="b">
        <f t="shared" si="0"/>
        <v>0</v>
      </c>
    </row>
    <row r="50" spans="1:4" x14ac:dyDescent="0.25">
      <c r="A50" t="s">
        <v>21</v>
      </c>
      <c r="B50" s="5" t="s">
        <v>302</v>
      </c>
      <c r="C50" s="5" t="s">
        <v>302</v>
      </c>
      <c r="D50" t="b">
        <f t="shared" si="0"/>
        <v>0</v>
      </c>
    </row>
    <row r="51" spans="1:4" x14ac:dyDescent="0.25">
      <c r="A51" t="s">
        <v>21</v>
      </c>
      <c r="B51" s="5" t="s">
        <v>303</v>
      </c>
      <c r="C51" s="5" t="s">
        <v>303</v>
      </c>
      <c r="D51" t="b">
        <f t="shared" si="0"/>
        <v>0</v>
      </c>
    </row>
    <row r="52" spans="1:4" x14ac:dyDescent="0.25">
      <c r="A52" t="s">
        <v>21</v>
      </c>
      <c r="B52" s="5" t="s">
        <v>127</v>
      </c>
      <c r="C52" s="5" t="s">
        <v>127</v>
      </c>
      <c r="D52" t="b">
        <f t="shared" si="0"/>
        <v>0</v>
      </c>
    </row>
    <row r="53" spans="1:4" x14ac:dyDescent="0.25">
      <c r="A53" t="s">
        <v>21</v>
      </c>
      <c r="B53" s="5" t="s">
        <v>304</v>
      </c>
      <c r="C53" s="5" t="s">
        <v>304</v>
      </c>
      <c r="D53" t="b">
        <f t="shared" si="0"/>
        <v>0</v>
      </c>
    </row>
    <row r="54" spans="1:4" x14ac:dyDescent="0.25">
      <c r="A54" t="s">
        <v>21</v>
      </c>
      <c r="B54" s="5" t="s">
        <v>1957</v>
      </c>
      <c r="C54" s="5" t="s">
        <v>1957</v>
      </c>
      <c r="D54" t="b">
        <f t="shared" si="0"/>
        <v>0</v>
      </c>
    </row>
    <row r="55" spans="1:4" x14ac:dyDescent="0.25">
      <c r="A55" t="s">
        <v>21</v>
      </c>
      <c r="B55" s="5" t="s">
        <v>306</v>
      </c>
      <c r="C55" s="5" t="s">
        <v>306</v>
      </c>
      <c r="D55" t="b">
        <f t="shared" si="0"/>
        <v>0</v>
      </c>
    </row>
    <row r="56" spans="1:4" x14ac:dyDescent="0.25">
      <c r="A56" t="s">
        <v>21</v>
      </c>
      <c r="B56" s="5" t="s">
        <v>307</v>
      </c>
      <c r="C56" s="5" t="s">
        <v>307</v>
      </c>
      <c r="D56" t="b">
        <f t="shared" si="0"/>
        <v>0</v>
      </c>
    </row>
    <row r="57" spans="1:4" x14ac:dyDescent="0.25">
      <c r="A57" t="s">
        <v>21</v>
      </c>
      <c r="B57" s="5" t="s">
        <v>308</v>
      </c>
      <c r="C57" s="5" t="s">
        <v>308</v>
      </c>
      <c r="D57" t="b">
        <f t="shared" si="0"/>
        <v>0</v>
      </c>
    </row>
    <row r="58" spans="1:4" x14ac:dyDescent="0.25">
      <c r="A58" t="s">
        <v>21</v>
      </c>
      <c r="B58" s="5" t="s">
        <v>1460</v>
      </c>
      <c r="C58" s="5" t="s">
        <v>1460</v>
      </c>
      <c r="D58" t="b">
        <f t="shared" si="0"/>
        <v>0</v>
      </c>
    </row>
    <row r="59" spans="1:4" x14ac:dyDescent="0.25">
      <c r="A59" t="s">
        <v>23</v>
      </c>
      <c r="B59" s="5" t="s">
        <v>310</v>
      </c>
      <c r="C59" s="5" t="s">
        <v>310</v>
      </c>
      <c r="D59" t="b">
        <f t="shared" si="0"/>
        <v>0</v>
      </c>
    </row>
    <row r="60" spans="1:4" x14ac:dyDescent="0.25">
      <c r="A60" t="s">
        <v>23</v>
      </c>
      <c r="B60" s="5" t="s">
        <v>311</v>
      </c>
      <c r="C60" s="5" t="s">
        <v>311</v>
      </c>
      <c r="D60" t="b">
        <f t="shared" si="0"/>
        <v>0</v>
      </c>
    </row>
    <row r="61" spans="1:4" x14ac:dyDescent="0.25">
      <c r="A61" t="s">
        <v>23</v>
      </c>
      <c r="B61" s="5" t="s">
        <v>312</v>
      </c>
      <c r="C61" s="5" t="s">
        <v>312</v>
      </c>
      <c r="D61" t="b">
        <f t="shared" si="0"/>
        <v>0</v>
      </c>
    </row>
    <row r="62" spans="1:4" x14ac:dyDescent="0.25">
      <c r="A62" t="s">
        <v>23</v>
      </c>
      <c r="B62" s="5" t="s">
        <v>1815</v>
      </c>
      <c r="C62" s="5" t="s">
        <v>1815</v>
      </c>
      <c r="D62" t="b">
        <f t="shared" si="0"/>
        <v>0</v>
      </c>
    </row>
    <row r="63" spans="1:4" x14ac:dyDescent="0.25">
      <c r="A63" t="s">
        <v>23</v>
      </c>
      <c r="B63" s="5" t="s">
        <v>1433</v>
      </c>
      <c r="C63" s="5" t="s">
        <v>1433</v>
      </c>
      <c r="D63" t="b">
        <f t="shared" si="0"/>
        <v>0</v>
      </c>
    </row>
    <row r="64" spans="1:4" x14ac:dyDescent="0.25">
      <c r="A64" t="s">
        <v>23</v>
      </c>
      <c r="B64" s="5" t="s">
        <v>1658</v>
      </c>
      <c r="C64" s="5" t="s">
        <v>1658</v>
      </c>
      <c r="D64" t="b">
        <f t="shared" si="0"/>
        <v>0</v>
      </c>
    </row>
    <row r="65" spans="1:4" x14ac:dyDescent="0.25">
      <c r="A65" t="s">
        <v>23</v>
      </c>
      <c r="B65" s="5" t="s">
        <v>313</v>
      </c>
      <c r="C65" s="5" t="s">
        <v>313</v>
      </c>
      <c r="D65" t="b">
        <f t="shared" si="0"/>
        <v>0</v>
      </c>
    </row>
    <row r="66" spans="1:4" x14ac:dyDescent="0.25">
      <c r="A66" t="s">
        <v>23</v>
      </c>
      <c r="B66" s="5" t="s">
        <v>213</v>
      </c>
      <c r="C66" s="5" t="s">
        <v>213</v>
      </c>
      <c r="D66" t="b">
        <f t="shared" si="0"/>
        <v>0</v>
      </c>
    </row>
    <row r="67" spans="1:4" x14ac:dyDescent="0.25">
      <c r="A67" t="s">
        <v>23</v>
      </c>
      <c r="B67" s="5" t="s">
        <v>314</v>
      </c>
      <c r="C67" s="5" t="s">
        <v>314</v>
      </c>
      <c r="D67" t="b">
        <f t="shared" si="0"/>
        <v>0</v>
      </c>
    </row>
    <row r="68" spans="1:4" x14ac:dyDescent="0.25">
      <c r="A68" t="s">
        <v>23</v>
      </c>
      <c r="B68" s="5" t="s">
        <v>1958</v>
      </c>
      <c r="C68" s="5" t="s">
        <v>1958</v>
      </c>
      <c r="D68" t="b">
        <f t="shared" si="0"/>
        <v>0</v>
      </c>
    </row>
    <row r="69" spans="1:4" x14ac:dyDescent="0.25">
      <c r="A69" t="s">
        <v>23</v>
      </c>
      <c r="B69" s="5" t="s">
        <v>315</v>
      </c>
      <c r="C69" s="5" t="s">
        <v>315</v>
      </c>
      <c r="D69" t="b">
        <f t="shared" si="0"/>
        <v>0</v>
      </c>
    </row>
    <row r="70" spans="1:4" x14ac:dyDescent="0.25">
      <c r="A70" t="s">
        <v>23</v>
      </c>
      <c r="B70" s="5" t="s">
        <v>1959</v>
      </c>
      <c r="C70" s="5" t="s">
        <v>1959</v>
      </c>
      <c r="D70" t="b">
        <f t="shared" ref="D70:D102" si="2">B70&lt;&gt;C70</f>
        <v>0</v>
      </c>
    </row>
    <row r="71" spans="1:4" x14ac:dyDescent="0.25">
      <c r="A71" t="s">
        <v>286</v>
      </c>
      <c r="B71" s="5" t="s">
        <v>316</v>
      </c>
      <c r="C71" s="5" t="s">
        <v>316</v>
      </c>
      <c r="D71" t="b">
        <f t="shared" si="2"/>
        <v>0</v>
      </c>
    </row>
    <row r="72" spans="1:4" x14ac:dyDescent="0.25">
      <c r="A72" t="s">
        <v>286</v>
      </c>
      <c r="B72" s="5" t="s">
        <v>317</v>
      </c>
      <c r="C72" s="5" t="s">
        <v>317</v>
      </c>
      <c r="D72" t="b">
        <f t="shared" si="2"/>
        <v>0</v>
      </c>
    </row>
    <row r="73" spans="1:4" x14ac:dyDescent="0.25">
      <c r="A73" t="s">
        <v>286</v>
      </c>
      <c r="B73" s="5" t="s">
        <v>318</v>
      </c>
      <c r="C73" s="5" t="s">
        <v>318</v>
      </c>
      <c r="D73" t="b">
        <f t="shared" si="2"/>
        <v>0</v>
      </c>
    </row>
    <row r="74" spans="1:4" x14ac:dyDescent="0.25">
      <c r="A74" t="s">
        <v>286</v>
      </c>
      <c r="B74" s="5" t="s">
        <v>1960</v>
      </c>
      <c r="C74" s="5" t="s">
        <v>1960</v>
      </c>
      <c r="D74" t="b">
        <f t="shared" si="2"/>
        <v>0</v>
      </c>
    </row>
    <row r="75" spans="1:4" x14ac:dyDescent="0.25">
      <c r="A75" t="s">
        <v>286</v>
      </c>
      <c r="B75" s="5" t="s">
        <v>1961</v>
      </c>
      <c r="C75" s="5" t="s">
        <v>1961</v>
      </c>
      <c r="D75" t="b">
        <f t="shared" si="2"/>
        <v>0</v>
      </c>
    </row>
    <row r="76" spans="1:4" x14ac:dyDescent="0.25">
      <c r="A76" t="s">
        <v>286</v>
      </c>
      <c r="B76" s="5" t="s">
        <v>431</v>
      </c>
      <c r="C76" s="5" t="s">
        <v>431</v>
      </c>
      <c r="D76" t="b">
        <f t="shared" si="2"/>
        <v>0</v>
      </c>
    </row>
    <row r="77" spans="1:4" x14ac:dyDescent="0.25">
      <c r="A77" t="s">
        <v>286</v>
      </c>
      <c r="B77" s="5" t="s">
        <v>319</v>
      </c>
      <c r="C77" s="5" t="s">
        <v>319</v>
      </c>
      <c r="D77" t="b">
        <f t="shared" si="2"/>
        <v>0</v>
      </c>
    </row>
    <row r="78" spans="1:4" x14ac:dyDescent="0.25">
      <c r="A78" t="s">
        <v>286</v>
      </c>
      <c r="B78" s="5" t="s">
        <v>320</v>
      </c>
      <c r="C78" s="5" t="s">
        <v>320</v>
      </c>
      <c r="D78" t="b">
        <f t="shared" si="2"/>
        <v>0</v>
      </c>
    </row>
    <row r="79" spans="1:4" x14ac:dyDescent="0.25">
      <c r="A79" t="s">
        <v>286</v>
      </c>
      <c r="B79" s="5" t="s">
        <v>1962</v>
      </c>
      <c r="C79" s="5" t="s">
        <v>1962</v>
      </c>
      <c r="D79" t="b">
        <f t="shared" si="2"/>
        <v>0</v>
      </c>
    </row>
    <row r="80" spans="1:4" x14ac:dyDescent="0.25">
      <c r="A80" t="s">
        <v>286</v>
      </c>
      <c r="B80" s="5" t="s">
        <v>321</v>
      </c>
      <c r="C80" s="5" t="s">
        <v>1967</v>
      </c>
      <c r="D80" t="b">
        <f t="shared" si="2"/>
        <v>1</v>
      </c>
    </row>
    <row r="81" spans="1:4" x14ac:dyDescent="0.25">
      <c r="A81" t="s">
        <v>286</v>
      </c>
      <c r="B81" s="5" t="s">
        <v>1296</v>
      </c>
      <c r="C81" s="5" t="s">
        <v>1296</v>
      </c>
      <c r="D81" t="b">
        <f t="shared" si="2"/>
        <v>0</v>
      </c>
    </row>
    <row r="82" spans="1:4" x14ac:dyDescent="0.25">
      <c r="A82" t="s">
        <v>286</v>
      </c>
      <c r="B82" s="5" t="s">
        <v>322</v>
      </c>
      <c r="C82" s="5" t="s">
        <v>322</v>
      </c>
      <c r="D82" t="b">
        <f t="shared" si="2"/>
        <v>0</v>
      </c>
    </row>
    <row r="83" spans="1:4" x14ac:dyDescent="0.25">
      <c r="A83" t="s">
        <v>286</v>
      </c>
      <c r="B83" s="5" t="s">
        <v>598</v>
      </c>
      <c r="C83" s="5" t="s">
        <v>598</v>
      </c>
      <c r="D83" t="b">
        <f t="shared" si="2"/>
        <v>0</v>
      </c>
    </row>
    <row r="84" spans="1:4" x14ac:dyDescent="0.25">
      <c r="A84" t="s">
        <v>286</v>
      </c>
      <c r="B84" s="5" t="s">
        <v>1963</v>
      </c>
      <c r="C84" s="5" t="s">
        <v>1963</v>
      </c>
      <c r="D84" t="b">
        <f t="shared" si="2"/>
        <v>0</v>
      </c>
    </row>
    <row r="85" spans="1:4" x14ac:dyDescent="0.25">
      <c r="A85" t="s">
        <v>286</v>
      </c>
      <c r="B85" s="5" t="s">
        <v>1046</v>
      </c>
      <c r="C85" s="5" t="s">
        <v>1046</v>
      </c>
      <c r="D85" t="b">
        <f t="shared" si="2"/>
        <v>0</v>
      </c>
    </row>
    <row r="86" spans="1:4" x14ac:dyDescent="0.25">
      <c r="A86" t="s">
        <v>286</v>
      </c>
      <c r="B86" s="5" t="s">
        <v>67</v>
      </c>
      <c r="C86" s="5" t="s">
        <v>67</v>
      </c>
      <c r="D86" t="b">
        <f t="shared" si="2"/>
        <v>0</v>
      </c>
    </row>
    <row r="87" spans="1:4" x14ac:dyDescent="0.25">
      <c r="A87" t="s">
        <v>286</v>
      </c>
      <c r="B87" s="5" t="s">
        <v>1968</v>
      </c>
      <c r="C87" s="5" t="s">
        <v>1968</v>
      </c>
      <c r="D87" t="b">
        <f t="shared" si="2"/>
        <v>0</v>
      </c>
    </row>
    <row r="88" spans="1:4" x14ac:dyDescent="0.25">
      <c r="A88" t="s">
        <v>290</v>
      </c>
      <c r="B88" s="5" t="s">
        <v>1966</v>
      </c>
      <c r="C88" s="5" t="s">
        <v>1966</v>
      </c>
      <c r="D88" t="b">
        <f t="shared" si="2"/>
        <v>0</v>
      </c>
    </row>
    <row r="89" spans="1:4" x14ac:dyDescent="0.25">
      <c r="A89" t="s">
        <v>290</v>
      </c>
      <c r="B89" s="5" t="s">
        <v>324</v>
      </c>
      <c r="C89" s="5" t="s">
        <v>324</v>
      </c>
      <c r="D89" t="b">
        <f t="shared" si="2"/>
        <v>0</v>
      </c>
    </row>
    <row r="90" spans="1:4" x14ac:dyDescent="0.25">
      <c r="A90" t="s">
        <v>290</v>
      </c>
      <c r="B90" s="5" t="s">
        <v>1965</v>
      </c>
      <c r="C90" s="5" t="s">
        <v>1965</v>
      </c>
      <c r="D90" t="b">
        <f t="shared" si="2"/>
        <v>0</v>
      </c>
    </row>
    <row r="91" spans="1:4" x14ac:dyDescent="0.25">
      <c r="A91" t="s">
        <v>290</v>
      </c>
      <c r="B91" s="5" t="s">
        <v>883</v>
      </c>
      <c r="C91" s="5" t="s">
        <v>883</v>
      </c>
      <c r="D91" t="b">
        <f t="shared" si="2"/>
        <v>0</v>
      </c>
    </row>
    <row r="92" spans="1:4" x14ac:dyDescent="0.25">
      <c r="A92" t="s">
        <v>290</v>
      </c>
      <c r="B92" s="5" t="s">
        <v>1442</v>
      </c>
      <c r="C92" s="5" t="s">
        <v>1442</v>
      </c>
      <c r="D92" t="b">
        <f t="shared" si="2"/>
        <v>0</v>
      </c>
    </row>
    <row r="93" spans="1:4" x14ac:dyDescent="0.25">
      <c r="A93" t="s">
        <v>290</v>
      </c>
      <c r="B93" s="5" t="s">
        <v>325</v>
      </c>
      <c r="C93" s="5" t="s">
        <v>325</v>
      </c>
      <c r="D93" t="b">
        <f t="shared" si="2"/>
        <v>0</v>
      </c>
    </row>
    <row r="94" spans="1:4" x14ac:dyDescent="0.25">
      <c r="A94" t="s">
        <v>290</v>
      </c>
      <c r="B94" s="5" t="s">
        <v>326</v>
      </c>
      <c r="C94" s="5" t="s">
        <v>326</v>
      </c>
      <c r="D94" t="b">
        <f t="shared" si="2"/>
        <v>0</v>
      </c>
    </row>
    <row r="95" spans="1:4" x14ac:dyDescent="0.25">
      <c r="A95" t="s">
        <v>290</v>
      </c>
      <c r="B95" s="5" t="s">
        <v>327</v>
      </c>
      <c r="C95" s="5" t="s">
        <v>327</v>
      </c>
      <c r="D95" t="b">
        <f t="shared" si="2"/>
        <v>0</v>
      </c>
    </row>
    <row r="96" spans="1:4" x14ac:dyDescent="0.25">
      <c r="A96" t="s">
        <v>287</v>
      </c>
      <c r="B96" s="5" t="s">
        <v>328</v>
      </c>
      <c r="C96" s="5" t="s">
        <v>328</v>
      </c>
      <c r="D96" t="b">
        <f t="shared" si="2"/>
        <v>0</v>
      </c>
    </row>
    <row r="97" spans="1:4" x14ac:dyDescent="0.25">
      <c r="A97" t="s">
        <v>287</v>
      </c>
      <c r="B97" s="5" t="s">
        <v>1964</v>
      </c>
      <c r="C97" s="5" t="s">
        <v>1964</v>
      </c>
      <c r="D97" t="b">
        <f t="shared" si="2"/>
        <v>0</v>
      </c>
    </row>
    <row r="98" spans="1:4" x14ac:dyDescent="0.25">
      <c r="A98" t="s">
        <v>287</v>
      </c>
      <c r="B98" s="5" t="s">
        <v>329</v>
      </c>
      <c r="C98" s="5" t="s">
        <v>329</v>
      </c>
      <c r="D98" t="b">
        <f t="shared" si="2"/>
        <v>0</v>
      </c>
    </row>
    <row r="99" spans="1:4" x14ac:dyDescent="0.25">
      <c r="A99" t="s">
        <v>288</v>
      </c>
      <c r="B99" s="5" t="s">
        <v>330</v>
      </c>
      <c r="C99" s="5" t="s">
        <v>330</v>
      </c>
      <c r="D99" t="b">
        <f t="shared" si="2"/>
        <v>0</v>
      </c>
    </row>
    <row r="100" spans="1:4" x14ac:dyDescent="0.25">
      <c r="A100" t="s">
        <v>288</v>
      </c>
      <c r="B100" s="5" t="s">
        <v>1516</v>
      </c>
      <c r="C100" s="5" t="s">
        <v>1516</v>
      </c>
      <c r="D100" t="b">
        <f t="shared" si="2"/>
        <v>0</v>
      </c>
    </row>
    <row r="101" spans="1:4" x14ac:dyDescent="0.25">
      <c r="A101" t="s">
        <v>288</v>
      </c>
      <c r="B101" s="5" t="s">
        <v>331</v>
      </c>
      <c r="C101" s="5" t="s">
        <v>331</v>
      </c>
      <c r="D101" t="b">
        <f t="shared" si="2"/>
        <v>0</v>
      </c>
    </row>
    <row r="102" spans="1:4" x14ac:dyDescent="0.25">
      <c r="A102" t="s">
        <v>288</v>
      </c>
      <c r="B102" s="5" t="s">
        <v>332</v>
      </c>
      <c r="C102" s="5" t="s">
        <v>332</v>
      </c>
      <c r="D102" t="b">
        <f t="shared" si="2"/>
        <v>0</v>
      </c>
    </row>
  </sheetData>
  <mergeCells count="1">
    <mergeCell ref="A1:G1"/>
  </mergeCells>
  <pageMargins left="0.511811024" right="0.511811024" top="0.78740157499999996" bottom="0.78740157499999996" header="0.31496062000000002" footer="0.3149606200000000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notContainsText" priority="1" operator="notContains" id="{844ED9C9-01B5-4263-83FB-42B518216F0A}">
            <xm:f>ISERROR(SEARCH(C3,B3))</xm:f>
            <xm:f>C3</xm:f>
            <x14:dxf>
              <fill>
                <patternFill>
                  <bgColor theme="5" tint="0.39994506668294322"/>
                </patternFill>
              </fill>
            </x14:dxf>
          </x14:cfRule>
          <xm:sqref>B3:B102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6D87C-9A05-4A83-B394-B1C52A2E2B4C}">
  <sheetPr codeName="Planilha11"/>
  <dimension ref="A1:H102"/>
  <sheetViews>
    <sheetView topLeftCell="A82" workbookViewId="0">
      <selection activeCell="B99" sqref="B99"/>
    </sheetView>
  </sheetViews>
  <sheetFormatPr defaultRowHeight="15" x14ac:dyDescent="0.25"/>
  <cols>
    <col min="1" max="1" width="11.85546875" style="5" customWidth="1"/>
    <col min="2" max="3" width="38.7109375" customWidth="1"/>
    <col min="4" max="4" width="12.42578125" hidden="1" customWidth="1"/>
    <col min="5" max="5" width="4.28515625" customWidth="1"/>
    <col min="6" max="6" width="22.7109375" style="3" customWidth="1"/>
    <col min="7" max="7" width="8" bestFit="1" customWidth="1"/>
    <col min="9" max="9" width="9.85546875" bestFit="1" customWidth="1"/>
  </cols>
  <sheetData>
    <row r="1" spans="1:8" ht="21" customHeight="1" x14ac:dyDescent="0.25">
      <c r="A1" s="12" t="s">
        <v>333</v>
      </c>
      <c r="B1" s="12"/>
      <c r="C1" s="12"/>
      <c r="D1" s="12"/>
      <c r="E1" s="12"/>
      <c r="F1" s="12"/>
      <c r="G1" s="12"/>
    </row>
    <row r="2" spans="1:8" x14ac:dyDescent="0.25">
      <c r="A2" s="4" t="s">
        <v>11</v>
      </c>
      <c r="B2" s="4" t="s">
        <v>12</v>
      </c>
      <c r="C2" s="4" t="s">
        <v>13</v>
      </c>
      <c r="D2" s="4" t="s">
        <v>14</v>
      </c>
      <c r="F2" s="4" t="s">
        <v>16</v>
      </c>
      <c r="G2" s="3">
        <f>COUNTIF(D:D,"Verdadeiro")</f>
        <v>10</v>
      </c>
    </row>
    <row r="3" spans="1:8" x14ac:dyDescent="0.25">
      <c r="A3" s="5" t="s">
        <v>1539</v>
      </c>
      <c r="B3" s="5" t="s">
        <v>333</v>
      </c>
      <c r="C3" s="5" t="s">
        <v>333</v>
      </c>
      <c r="D3" t="b">
        <f>B3&lt;&gt;C3</f>
        <v>0</v>
      </c>
      <c r="F3" s="4" t="s">
        <v>17</v>
      </c>
      <c r="G3" s="3">
        <f>SUM(G6:G26)</f>
        <v>100</v>
      </c>
    </row>
    <row r="4" spans="1:8" x14ac:dyDescent="0.25">
      <c r="A4" t="s">
        <v>15</v>
      </c>
      <c r="B4" s="5" t="s">
        <v>171</v>
      </c>
      <c r="C4" s="5" t="s">
        <v>171</v>
      </c>
      <c r="D4" t="b">
        <f>B4&lt;&gt;C4</f>
        <v>0</v>
      </c>
    </row>
    <row r="5" spans="1:8" x14ac:dyDescent="0.25">
      <c r="A5" t="s">
        <v>15</v>
      </c>
      <c r="B5" s="5" t="s">
        <v>20</v>
      </c>
      <c r="C5" s="5" t="s">
        <v>20</v>
      </c>
      <c r="D5" t="b">
        <f t="shared" ref="D5:D68" si="0">B5&lt;&gt;C5</f>
        <v>0</v>
      </c>
      <c r="F5" s="6" t="s">
        <v>19</v>
      </c>
      <c r="G5" s="1"/>
    </row>
    <row r="6" spans="1:8" x14ac:dyDescent="0.25">
      <c r="A6" t="s">
        <v>15</v>
      </c>
      <c r="B6" s="5" t="s">
        <v>334</v>
      </c>
      <c r="C6" s="5" t="s">
        <v>334</v>
      </c>
      <c r="D6" t="b">
        <f t="shared" si="0"/>
        <v>0</v>
      </c>
      <c r="F6" s="3" t="s">
        <v>1539</v>
      </c>
      <c r="G6" s="2">
        <f t="shared" ref="G6:G13" si="1">COUNTIF(A:A,F6)</f>
        <v>1</v>
      </c>
    </row>
    <row r="7" spans="1:8" x14ac:dyDescent="0.25">
      <c r="A7" t="s">
        <v>15</v>
      </c>
      <c r="B7" s="5" t="s">
        <v>50</v>
      </c>
      <c r="C7" s="5" t="s">
        <v>50</v>
      </c>
      <c r="D7" t="b">
        <f t="shared" si="0"/>
        <v>0</v>
      </c>
      <c r="F7" s="7" t="s">
        <v>15</v>
      </c>
      <c r="G7" s="2">
        <f t="shared" si="1"/>
        <v>38</v>
      </c>
    </row>
    <row r="8" spans="1:8" x14ac:dyDescent="0.25">
      <c r="A8" t="s">
        <v>15</v>
      </c>
      <c r="B8" s="5" t="s">
        <v>116</v>
      </c>
      <c r="C8" s="5" t="s">
        <v>116</v>
      </c>
      <c r="D8" t="b">
        <f t="shared" si="0"/>
        <v>0</v>
      </c>
      <c r="F8" s="7" t="s">
        <v>21</v>
      </c>
      <c r="G8" s="2">
        <f t="shared" si="1"/>
        <v>17</v>
      </c>
    </row>
    <row r="9" spans="1:8" x14ac:dyDescent="0.25">
      <c r="A9" t="s">
        <v>15</v>
      </c>
      <c r="B9" s="5" t="s">
        <v>231</v>
      </c>
      <c r="C9" s="5" t="s">
        <v>231</v>
      </c>
      <c r="D9" t="b">
        <f t="shared" si="0"/>
        <v>0</v>
      </c>
      <c r="F9" s="7" t="s">
        <v>41</v>
      </c>
      <c r="G9" s="2">
        <f t="shared" si="1"/>
        <v>17</v>
      </c>
    </row>
    <row r="10" spans="1:8" x14ac:dyDescent="0.25">
      <c r="A10" t="s">
        <v>15</v>
      </c>
      <c r="B10" s="5" t="s">
        <v>37</v>
      </c>
      <c r="C10" s="5" t="s">
        <v>37</v>
      </c>
      <c r="D10" t="b">
        <f t="shared" si="0"/>
        <v>0</v>
      </c>
      <c r="F10" s="7" t="s">
        <v>290</v>
      </c>
      <c r="G10" s="2">
        <f t="shared" si="1"/>
        <v>9</v>
      </c>
    </row>
    <row r="11" spans="1:8" x14ac:dyDescent="0.25">
      <c r="A11" t="s">
        <v>15</v>
      </c>
      <c r="B11" s="5" t="s">
        <v>335</v>
      </c>
      <c r="C11" s="5" t="s">
        <v>335</v>
      </c>
      <c r="D11" t="b">
        <f t="shared" si="0"/>
        <v>0</v>
      </c>
      <c r="F11" s="7" t="s">
        <v>287</v>
      </c>
      <c r="G11" s="2">
        <f t="shared" si="1"/>
        <v>6</v>
      </c>
    </row>
    <row r="12" spans="1:8" x14ac:dyDescent="0.25">
      <c r="A12" t="s">
        <v>15</v>
      </c>
      <c r="B12" s="5" t="s">
        <v>336</v>
      </c>
      <c r="C12" s="5" t="s">
        <v>336</v>
      </c>
      <c r="D12" t="b">
        <f t="shared" si="0"/>
        <v>0</v>
      </c>
      <c r="F12" s="7" t="s">
        <v>44</v>
      </c>
      <c r="G12" s="2">
        <f t="shared" si="1"/>
        <v>8</v>
      </c>
    </row>
    <row r="13" spans="1:8" x14ac:dyDescent="0.25">
      <c r="A13" t="s">
        <v>15</v>
      </c>
      <c r="B13" s="5" t="s">
        <v>337</v>
      </c>
      <c r="C13" s="5" t="s">
        <v>337</v>
      </c>
      <c r="D13" t="b">
        <f t="shared" si="0"/>
        <v>0</v>
      </c>
      <c r="F13" s="7" t="s">
        <v>339</v>
      </c>
      <c r="G13" s="2">
        <f t="shared" si="1"/>
        <v>4</v>
      </c>
    </row>
    <row r="14" spans="1:8" x14ac:dyDescent="0.25">
      <c r="A14" t="s">
        <v>15</v>
      </c>
      <c r="B14" s="5" t="s">
        <v>61</v>
      </c>
      <c r="C14" s="5" t="s">
        <v>338</v>
      </c>
      <c r="D14" t="b">
        <f t="shared" si="0"/>
        <v>1</v>
      </c>
    </row>
    <row r="15" spans="1:8" x14ac:dyDescent="0.25">
      <c r="A15" t="s">
        <v>15</v>
      </c>
      <c r="B15" s="5" t="s">
        <v>340</v>
      </c>
      <c r="C15" s="5" t="s">
        <v>340</v>
      </c>
      <c r="D15" t="b">
        <f t="shared" si="0"/>
        <v>0</v>
      </c>
    </row>
    <row r="16" spans="1:8" x14ac:dyDescent="0.25">
      <c r="A16" t="s">
        <v>15</v>
      </c>
      <c r="B16" s="5" t="s">
        <v>341</v>
      </c>
      <c r="C16" s="5" t="s">
        <v>341</v>
      </c>
      <c r="D16" t="b">
        <f t="shared" si="0"/>
        <v>0</v>
      </c>
      <c r="F16" s="7"/>
      <c r="G16" s="2"/>
      <c r="H16" s="3"/>
    </row>
    <row r="17" spans="1:7" x14ac:dyDescent="0.25">
      <c r="A17" t="s">
        <v>15</v>
      </c>
      <c r="B17" s="5" t="s">
        <v>342</v>
      </c>
      <c r="C17" s="5" t="s">
        <v>342</v>
      </c>
      <c r="D17" t="b">
        <f t="shared" si="0"/>
        <v>0</v>
      </c>
    </row>
    <row r="18" spans="1:7" x14ac:dyDescent="0.25">
      <c r="A18" t="s">
        <v>15</v>
      </c>
      <c r="B18" s="5" t="s">
        <v>62</v>
      </c>
      <c r="C18" s="5" t="s">
        <v>343</v>
      </c>
      <c r="D18" t="b">
        <f t="shared" si="0"/>
        <v>1</v>
      </c>
      <c r="F18" s="4"/>
      <c r="G18" s="2"/>
    </row>
    <row r="19" spans="1:7" x14ac:dyDescent="0.25">
      <c r="A19" t="s">
        <v>15</v>
      </c>
      <c r="B19" s="5" t="s">
        <v>62</v>
      </c>
      <c r="C19" s="5" t="s">
        <v>344</v>
      </c>
      <c r="D19" t="b">
        <f t="shared" si="0"/>
        <v>1</v>
      </c>
    </row>
    <row r="20" spans="1:7" x14ac:dyDescent="0.25">
      <c r="A20" t="s">
        <v>15</v>
      </c>
      <c r="B20" s="5" t="s">
        <v>345</v>
      </c>
      <c r="C20" s="5" t="s">
        <v>345</v>
      </c>
      <c r="D20" t="b">
        <f t="shared" si="0"/>
        <v>0</v>
      </c>
    </row>
    <row r="21" spans="1:7" x14ac:dyDescent="0.25">
      <c r="A21" t="s">
        <v>15</v>
      </c>
      <c r="B21" s="5" t="s">
        <v>346</v>
      </c>
      <c r="C21" s="5" t="s">
        <v>346</v>
      </c>
      <c r="D21" t="b">
        <f t="shared" si="0"/>
        <v>0</v>
      </c>
    </row>
    <row r="22" spans="1:7" x14ac:dyDescent="0.25">
      <c r="A22" t="s">
        <v>15</v>
      </c>
      <c r="B22" s="5" t="s">
        <v>347</v>
      </c>
      <c r="C22" s="5" t="s">
        <v>347</v>
      </c>
      <c r="D22" t="b">
        <f t="shared" si="0"/>
        <v>0</v>
      </c>
    </row>
    <row r="23" spans="1:7" x14ac:dyDescent="0.25">
      <c r="A23" t="s">
        <v>15</v>
      </c>
      <c r="B23" s="5" t="s">
        <v>348</v>
      </c>
      <c r="C23" s="5" t="s">
        <v>348</v>
      </c>
      <c r="D23" t="b">
        <f t="shared" si="0"/>
        <v>0</v>
      </c>
    </row>
    <row r="24" spans="1:7" x14ac:dyDescent="0.25">
      <c r="A24" t="s">
        <v>15</v>
      </c>
      <c r="B24" s="5" t="s">
        <v>39</v>
      </c>
      <c r="C24" s="5" t="s">
        <v>39</v>
      </c>
      <c r="D24" t="b">
        <f t="shared" si="0"/>
        <v>0</v>
      </c>
    </row>
    <row r="25" spans="1:7" x14ac:dyDescent="0.25">
      <c r="A25" t="s">
        <v>15</v>
      </c>
      <c r="B25" s="5" t="s">
        <v>349</v>
      </c>
      <c r="C25" s="5" t="s">
        <v>1700</v>
      </c>
      <c r="D25" t="b">
        <f t="shared" si="0"/>
        <v>1</v>
      </c>
    </row>
    <row r="26" spans="1:7" x14ac:dyDescent="0.25">
      <c r="A26" t="s">
        <v>15</v>
      </c>
      <c r="B26" s="5" t="s">
        <v>51</v>
      </c>
      <c r="C26" s="5" t="s">
        <v>51</v>
      </c>
      <c r="D26" t="b">
        <f t="shared" si="0"/>
        <v>0</v>
      </c>
    </row>
    <row r="27" spans="1:7" x14ac:dyDescent="0.25">
      <c r="A27" t="s">
        <v>15</v>
      </c>
      <c r="B27" s="5" t="s">
        <v>56</v>
      </c>
      <c r="C27" s="5" t="s">
        <v>56</v>
      </c>
      <c r="D27" t="b">
        <f t="shared" si="0"/>
        <v>0</v>
      </c>
    </row>
    <row r="28" spans="1:7" x14ac:dyDescent="0.25">
      <c r="A28" t="s">
        <v>15</v>
      </c>
      <c r="B28" s="5" t="s">
        <v>59</v>
      </c>
      <c r="C28" s="5" t="s">
        <v>59</v>
      </c>
      <c r="D28" t="b">
        <f t="shared" si="0"/>
        <v>0</v>
      </c>
    </row>
    <row r="29" spans="1:7" x14ac:dyDescent="0.25">
      <c r="A29" t="s">
        <v>15</v>
      </c>
      <c r="B29" s="5" t="s">
        <v>58</v>
      </c>
      <c r="C29" s="5" t="s">
        <v>58</v>
      </c>
      <c r="D29" t="b">
        <f t="shared" si="0"/>
        <v>0</v>
      </c>
    </row>
    <row r="30" spans="1:7" x14ac:dyDescent="0.25">
      <c r="A30" t="s">
        <v>15</v>
      </c>
      <c r="B30" s="5" t="s">
        <v>54</v>
      </c>
      <c r="C30" s="5" t="s">
        <v>54</v>
      </c>
      <c r="D30" t="b">
        <f t="shared" si="0"/>
        <v>0</v>
      </c>
    </row>
    <row r="31" spans="1:7" x14ac:dyDescent="0.25">
      <c r="A31" t="s">
        <v>15</v>
      </c>
      <c r="B31" s="5" t="s">
        <v>285</v>
      </c>
      <c r="C31" s="5" t="s">
        <v>285</v>
      </c>
      <c r="D31" t="b">
        <f t="shared" si="0"/>
        <v>0</v>
      </c>
    </row>
    <row r="32" spans="1:7" x14ac:dyDescent="0.25">
      <c r="A32" t="s">
        <v>15</v>
      </c>
      <c r="B32" s="5" t="s">
        <v>62</v>
      </c>
      <c r="C32" s="5" t="s">
        <v>62</v>
      </c>
      <c r="D32" t="b">
        <f t="shared" si="0"/>
        <v>0</v>
      </c>
    </row>
    <row r="33" spans="1:4" x14ac:dyDescent="0.25">
      <c r="A33" t="s">
        <v>15</v>
      </c>
      <c r="B33" s="5" t="s">
        <v>62</v>
      </c>
      <c r="C33" s="5" t="s">
        <v>62</v>
      </c>
      <c r="D33" t="b">
        <f t="shared" si="0"/>
        <v>0</v>
      </c>
    </row>
    <row r="34" spans="1:4" x14ac:dyDescent="0.25">
      <c r="A34" t="s">
        <v>15</v>
      </c>
      <c r="B34" s="5" t="s">
        <v>62</v>
      </c>
      <c r="C34" s="5" t="s">
        <v>62</v>
      </c>
      <c r="D34" t="b">
        <f t="shared" si="0"/>
        <v>0</v>
      </c>
    </row>
    <row r="35" spans="1:4" x14ac:dyDescent="0.25">
      <c r="A35" t="s">
        <v>15</v>
      </c>
      <c r="B35" s="5" t="s">
        <v>62</v>
      </c>
      <c r="C35" s="5" t="s">
        <v>62</v>
      </c>
      <c r="D35" t="b">
        <f t="shared" si="0"/>
        <v>0</v>
      </c>
    </row>
    <row r="36" spans="1:4" x14ac:dyDescent="0.25">
      <c r="A36" t="s">
        <v>15</v>
      </c>
      <c r="B36" s="5" t="s">
        <v>62</v>
      </c>
      <c r="C36" s="5" t="s">
        <v>62</v>
      </c>
      <c r="D36" t="b">
        <f t="shared" si="0"/>
        <v>0</v>
      </c>
    </row>
    <row r="37" spans="1:4" x14ac:dyDescent="0.25">
      <c r="A37" t="s">
        <v>15</v>
      </c>
      <c r="B37" s="5" t="s">
        <v>62</v>
      </c>
      <c r="C37" s="5" t="s">
        <v>62</v>
      </c>
      <c r="D37" t="b">
        <f t="shared" si="0"/>
        <v>0</v>
      </c>
    </row>
    <row r="38" spans="1:4" x14ac:dyDescent="0.25">
      <c r="A38" t="s">
        <v>15</v>
      </c>
      <c r="B38" s="5" t="s">
        <v>61</v>
      </c>
      <c r="C38" s="5" t="s">
        <v>61</v>
      </c>
      <c r="D38" t="b">
        <f t="shared" si="0"/>
        <v>0</v>
      </c>
    </row>
    <row r="39" spans="1:4" x14ac:dyDescent="0.25">
      <c r="A39" t="s">
        <v>15</v>
      </c>
      <c r="B39" s="5" t="s">
        <v>61</v>
      </c>
      <c r="C39" s="5" t="s">
        <v>61</v>
      </c>
      <c r="D39" t="b">
        <f t="shared" si="0"/>
        <v>0</v>
      </c>
    </row>
    <row r="40" spans="1:4" x14ac:dyDescent="0.25">
      <c r="A40" t="s">
        <v>15</v>
      </c>
      <c r="B40" s="5" t="s">
        <v>61</v>
      </c>
      <c r="C40" s="5" t="s">
        <v>61</v>
      </c>
      <c r="D40" t="b">
        <f t="shared" si="0"/>
        <v>0</v>
      </c>
    </row>
    <row r="41" spans="1:4" x14ac:dyDescent="0.25">
      <c r="A41" t="s">
        <v>15</v>
      </c>
      <c r="B41" s="5" t="s">
        <v>350</v>
      </c>
      <c r="C41" s="5" t="s">
        <v>350</v>
      </c>
      <c r="D41" t="b">
        <f t="shared" si="0"/>
        <v>0</v>
      </c>
    </row>
    <row r="42" spans="1:4" x14ac:dyDescent="0.25">
      <c r="A42" t="s">
        <v>21</v>
      </c>
      <c r="B42" s="5" t="s">
        <v>351</v>
      </c>
      <c r="C42" s="5" t="s">
        <v>351</v>
      </c>
      <c r="D42" t="b">
        <f t="shared" si="0"/>
        <v>0</v>
      </c>
    </row>
    <row r="43" spans="1:4" x14ac:dyDescent="0.25">
      <c r="A43" t="s">
        <v>21</v>
      </c>
      <c r="B43" s="5" t="s">
        <v>246</v>
      </c>
      <c r="C43" s="5" t="s">
        <v>246</v>
      </c>
      <c r="D43" t="b">
        <f t="shared" si="0"/>
        <v>0</v>
      </c>
    </row>
    <row r="44" spans="1:4" x14ac:dyDescent="0.25">
      <c r="A44" t="s">
        <v>21</v>
      </c>
      <c r="B44" s="5" t="s">
        <v>242</v>
      </c>
      <c r="C44" s="5" t="s">
        <v>242</v>
      </c>
      <c r="D44" t="b">
        <f t="shared" si="0"/>
        <v>0</v>
      </c>
    </row>
    <row r="45" spans="1:4" x14ac:dyDescent="0.25">
      <c r="A45" t="s">
        <v>21</v>
      </c>
      <c r="B45" s="5" t="s">
        <v>244</v>
      </c>
      <c r="C45" s="5" t="s">
        <v>244</v>
      </c>
      <c r="D45" t="b">
        <f t="shared" si="0"/>
        <v>0</v>
      </c>
    </row>
    <row r="46" spans="1:4" x14ac:dyDescent="0.25">
      <c r="A46" t="s">
        <v>21</v>
      </c>
      <c r="B46" s="5" t="s">
        <v>243</v>
      </c>
      <c r="C46" s="5" t="s">
        <v>243</v>
      </c>
      <c r="D46" t="b">
        <f t="shared" si="0"/>
        <v>0</v>
      </c>
    </row>
    <row r="47" spans="1:4" x14ac:dyDescent="0.25">
      <c r="A47" t="s">
        <v>21</v>
      </c>
      <c r="B47" s="5" t="s">
        <v>352</v>
      </c>
      <c r="C47" s="5" t="s">
        <v>352</v>
      </c>
      <c r="D47" t="b">
        <f t="shared" si="0"/>
        <v>0</v>
      </c>
    </row>
    <row r="48" spans="1:4" x14ac:dyDescent="0.25">
      <c r="A48" t="s">
        <v>21</v>
      </c>
      <c r="B48" s="5" t="s">
        <v>66</v>
      </c>
      <c r="C48" s="5" t="s">
        <v>66</v>
      </c>
      <c r="D48" t="b">
        <f t="shared" si="0"/>
        <v>0</v>
      </c>
    </row>
    <row r="49" spans="1:4" x14ac:dyDescent="0.25">
      <c r="A49" t="s">
        <v>21</v>
      </c>
      <c r="B49" s="5" t="s">
        <v>249</v>
      </c>
      <c r="C49" s="5" t="s">
        <v>249</v>
      </c>
      <c r="D49" t="b">
        <f t="shared" si="0"/>
        <v>0</v>
      </c>
    </row>
    <row r="50" spans="1:4" x14ac:dyDescent="0.25">
      <c r="A50" t="s">
        <v>21</v>
      </c>
      <c r="B50" s="5" t="s">
        <v>353</v>
      </c>
      <c r="C50" s="5" t="s">
        <v>353</v>
      </c>
      <c r="D50" t="b">
        <f t="shared" si="0"/>
        <v>0</v>
      </c>
    </row>
    <row r="51" spans="1:4" x14ac:dyDescent="0.25">
      <c r="A51" t="s">
        <v>21</v>
      </c>
      <c r="B51" s="5" t="s">
        <v>174</v>
      </c>
      <c r="C51" s="5" t="s">
        <v>174</v>
      </c>
      <c r="D51" t="b">
        <f t="shared" si="0"/>
        <v>0</v>
      </c>
    </row>
    <row r="52" spans="1:4" x14ac:dyDescent="0.25">
      <c r="A52" t="s">
        <v>21</v>
      </c>
      <c r="B52" s="5" t="s">
        <v>173</v>
      </c>
      <c r="C52" s="5" t="s">
        <v>173</v>
      </c>
      <c r="D52" t="b">
        <f t="shared" si="0"/>
        <v>0</v>
      </c>
    </row>
    <row r="53" spans="1:4" x14ac:dyDescent="0.25">
      <c r="A53" t="s">
        <v>21</v>
      </c>
      <c r="B53" s="5" t="s">
        <v>178</v>
      </c>
      <c r="C53" s="5" t="s">
        <v>178</v>
      </c>
      <c r="D53" t="b">
        <f t="shared" si="0"/>
        <v>0</v>
      </c>
    </row>
    <row r="54" spans="1:4" x14ac:dyDescent="0.25">
      <c r="A54" t="s">
        <v>21</v>
      </c>
      <c r="B54" s="5" t="s">
        <v>1941</v>
      </c>
      <c r="C54" s="5" t="s">
        <v>1941</v>
      </c>
      <c r="D54" t="b">
        <f t="shared" si="0"/>
        <v>0</v>
      </c>
    </row>
    <row r="55" spans="1:4" x14ac:dyDescent="0.25">
      <c r="A55" t="s">
        <v>21</v>
      </c>
      <c r="B55" s="5" t="s">
        <v>123</v>
      </c>
      <c r="C55" s="5" t="s">
        <v>123</v>
      </c>
      <c r="D55" t="b">
        <f t="shared" si="0"/>
        <v>0</v>
      </c>
    </row>
    <row r="56" spans="1:4" x14ac:dyDescent="0.25">
      <c r="A56" t="s">
        <v>21</v>
      </c>
      <c r="B56" s="5" t="s">
        <v>63</v>
      </c>
      <c r="C56" s="5" t="s">
        <v>63</v>
      </c>
      <c r="D56" t="b">
        <f t="shared" si="0"/>
        <v>0</v>
      </c>
    </row>
    <row r="57" spans="1:4" x14ac:dyDescent="0.25">
      <c r="A57" t="s">
        <v>21</v>
      </c>
      <c r="B57" s="5" t="s">
        <v>125</v>
      </c>
      <c r="C57" s="5" t="s">
        <v>354</v>
      </c>
      <c r="D57" t="b">
        <f t="shared" si="0"/>
        <v>1</v>
      </c>
    </row>
    <row r="58" spans="1:4" x14ac:dyDescent="0.25">
      <c r="A58" t="s">
        <v>21</v>
      </c>
      <c r="B58" s="5" t="s">
        <v>355</v>
      </c>
      <c r="C58" s="5" t="s">
        <v>355</v>
      </c>
      <c r="D58" t="b">
        <f t="shared" si="0"/>
        <v>0</v>
      </c>
    </row>
    <row r="59" spans="1:4" x14ac:dyDescent="0.25">
      <c r="A59" t="s">
        <v>44</v>
      </c>
      <c r="B59" s="5" t="s">
        <v>102</v>
      </c>
      <c r="C59" s="5" t="s">
        <v>102</v>
      </c>
      <c r="D59" t="b">
        <f t="shared" si="0"/>
        <v>0</v>
      </c>
    </row>
    <row r="60" spans="1:4" x14ac:dyDescent="0.25">
      <c r="A60" t="s">
        <v>44</v>
      </c>
      <c r="B60" s="5" t="s">
        <v>356</v>
      </c>
      <c r="C60" s="5" t="s">
        <v>356</v>
      </c>
      <c r="D60" t="b">
        <f t="shared" si="0"/>
        <v>0</v>
      </c>
    </row>
    <row r="61" spans="1:4" x14ac:dyDescent="0.25">
      <c r="A61" t="s">
        <v>44</v>
      </c>
      <c r="B61" s="5" t="s">
        <v>357</v>
      </c>
      <c r="C61" s="5" t="s">
        <v>357</v>
      </c>
      <c r="D61" t="b">
        <f t="shared" si="0"/>
        <v>0</v>
      </c>
    </row>
    <row r="62" spans="1:4" x14ac:dyDescent="0.25">
      <c r="A62" t="s">
        <v>44</v>
      </c>
      <c r="B62" s="5" t="s">
        <v>358</v>
      </c>
      <c r="C62" s="5" t="s">
        <v>358</v>
      </c>
      <c r="D62" t="b">
        <f t="shared" si="0"/>
        <v>0</v>
      </c>
    </row>
    <row r="63" spans="1:4" x14ac:dyDescent="0.25">
      <c r="A63" t="s">
        <v>44</v>
      </c>
      <c r="B63" s="5" t="s">
        <v>101</v>
      </c>
      <c r="C63" s="5" t="s">
        <v>101</v>
      </c>
      <c r="D63" t="b">
        <f t="shared" si="0"/>
        <v>0</v>
      </c>
    </row>
    <row r="64" spans="1:4" x14ac:dyDescent="0.25">
      <c r="A64" t="s">
        <v>44</v>
      </c>
      <c r="B64" s="5" t="s">
        <v>107</v>
      </c>
      <c r="C64" s="5" t="s">
        <v>107</v>
      </c>
      <c r="D64" t="b">
        <f t="shared" si="0"/>
        <v>0</v>
      </c>
    </row>
    <row r="65" spans="1:4" x14ac:dyDescent="0.25">
      <c r="A65" t="s">
        <v>44</v>
      </c>
      <c r="B65" s="5" t="s">
        <v>145</v>
      </c>
      <c r="C65" s="5" t="s">
        <v>145</v>
      </c>
      <c r="D65" t="b">
        <f t="shared" si="0"/>
        <v>0</v>
      </c>
    </row>
    <row r="66" spans="1:4" x14ac:dyDescent="0.25">
      <c r="A66" t="s">
        <v>44</v>
      </c>
      <c r="B66" s="5" t="s">
        <v>104</v>
      </c>
      <c r="C66" s="5" t="s">
        <v>104</v>
      </c>
      <c r="D66" t="b">
        <f t="shared" si="0"/>
        <v>0</v>
      </c>
    </row>
    <row r="67" spans="1:4" x14ac:dyDescent="0.25">
      <c r="A67" t="s">
        <v>339</v>
      </c>
      <c r="B67" s="5" t="s">
        <v>359</v>
      </c>
      <c r="C67" s="5" t="s">
        <v>359</v>
      </c>
      <c r="D67" t="b">
        <f t="shared" si="0"/>
        <v>0</v>
      </c>
    </row>
    <row r="68" spans="1:4" x14ac:dyDescent="0.25">
      <c r="A68" t="s">
        <v>339</v>
      </c>
      <c r="B68" s="5" t="s">
        <v>360</v>
      </c>
      <c r="C68" s="5" t="s">
        <v>360</v>
      </c>
      <c r="D68" t="b">
        <f t="shared" si="0"/>
        <v>0</v>
      </c>
    </row>
    <row r="69" spans="1:4" x14ac:dyDescent="0.25">
      <c r="A69" t="s">
        <v>339</v>
      </c>
      <c r="B69" s="5" t="s">
        <v>361</v>
      </c>
      <c r="C69" s="5" t="s">
        <v>361</v>
      </c>
      <c r="D69" t="b">
        <f t="shared" ref="D69:D102" si="2">B69&lt;&gt;C69</f>
        <v>0</v>
      </c>
    </row>
    <row r="70" spans="1:4" x14ac:dyDescent="0.25">
      <c r="A70" t="s">
        <v>339</v>
      </c>
      <c r="B70" s="5" t="s">
        <v>362</v>
      </c>
      <c r="C70" s="5" t="s">
        <v>362</v>
      </c>
      <c r="D70" t="b">
        <f t="shared" si="2"/>
        <v>0</v>
      </c>
    </row>
    <row r="71" spans="1:4" x14ac:dyDescent="0.25">
      <c r="A71" t="s">
        <v>287</v>
      </c>
      <c r="B71" s="5" t="s">
        <v>363</v>
      </c>
      <c r="C71" s="5" t="s">
        <v>363</v>
      </c>
      <c r="D71" t="b">
        <f t="shared" si="2"/>
        <v>0</v>
      </c>
    </row>
    <row r="72" spans="1:4" x14ac:dyDescent="0.25">
      <c r="A72" t="s">
        <v>287</v>
      </c>
      <c r="B72" s="5" t="s">
        <v>2205</v>
      </c>
      <c r="C72" s="5" t="s">
        <v>364</v>
      </c>
      <c r="D72" t="b">
        <f t="shared" si="2"/>
        <v>1</v>
      </c>
    </row>
    <row r="73" spans="1:4" x14ac:dyDescent="0.25">
      <c r="A73" t="s">
        <v>287</v>
      </c>
      <c r="B73" s="5" t="s">
        <v>365</v>
      </c>
      <c r="C73" s="5" t="s">
        <v>365</v>
      </c>
      <c r="D73" t="b">
        <f t="shared" si="2"/>
        <v>0</v>
      </c>
    </row>
    <row r="74" spans="1:4" x14ac:dyDescent="0.25">
      <c r="A74" t="s">
        <v>287</v>
      </c>
      <c r="B74" s="5" t="s">
        <v>366</v>
      </c>
      <c r="C74" s="5" t="s">
        <v>366</v>
      </c>
      <c r="D74" t="b">
        <f t="shared" si="2"/>
        <v>0</v>
      </c>
    </row>
    <row r="75" spans="1:4" x14ac:dyDescent="0.25">
      <c r="A75" t="s">
        <v>287</v>
      </c>
      <c r="B75" s="5" t="s">
        <v>367</v>
      </c>
      <c r="C75" s="5" t="s">
        <v>367</v>
      </c>
      <c r="D75" t="b">
        <f t="shared" si="2"/>
        <v>0</v>
      </c>
    </row>
    <row r="76" spans="1:4" x14ac:dyDescent="0.25">
      <c r="A76" t="s">
        <v>287</v>
      </c>
      <c r="B76" s="5" t="s">
        <v>368</v>
      </c>
      <c r="C76" s="5" t="s">
        <v>368</v>
      </c>
      <c r="D76" t="b">
        <f t="shared" si="2"/>
        <v>0</v>
      </c>
    </row>
    <row r="77" spans="1:4" x14ac:dyDescent="0.25">
      <c r="A77" t="s">
        <v>41</v>
      </c>
      <c r="B77" s="5" t="s">
        <v>2206</v>
      </c>
      <c r="C77" s="5" t="s">
        <v>2206</v>
      </c>
      <c r="D77" t="b">
        <f t="shared" si="2"/>
        <v>0</v>
      </c>
    </row>
    <row r="78" spans="1:4" x14ac:dyDescent="0.25">
      <c r="A78" t="s">
        <v>41</v>
      </c>
      <c r="B78" s="5" t="s">
        <v>1239</v>
      </c>
      <c r="C78" s="5" t="s">
        <v>1239</v>
      </c>
      <c r="D78" t="b">
        <f t="shared" si="2"/>
        <v>0</v>
      </c>
    </row>
    <row r="79" spans="1:4" x14ac:dyDescent="0.25">
      <c r="A79" t="s">
        <v>41</v>
      </c>
      <c r="B79" s="5" t="s">
        <v>370</v>
      </c>
      <c r="C79" s="5" t="s">
        <v>370</v>
      </c>
      <c r="D79" t="b">
        <f t="shared" si="2"/>
        <v>0</v>
      </c>
    </row>
    <row r="80" spans="1:4" x14ac:dyDescent="0.25">
      <c r="A80" t="s">
        <v>41</v>
      </c>
      <c r="B80" s="5" t="s">
        <v>1314</v>
      </c>
      <c r="C80" s="5" t="s">
        <v>1314</v>
      </c>
      <c r="D80" t="b">
        <f t="shared" si="2"/>
        <v>0</v>
      </c>
    </row>
    <row r="81" spans="1:4" x14ac:dyDescent="0.25">
      <c r="A81" t="s">
        <v>41</v>
      </c>
      <c r="B81" s="5" t="s">
        <v>371</v>
      </c>
      <c r="C81" s="5" t="s">
        <v>371</v>
      </c>
      <c r="D81" t="b">
        <f t="shared" si="2"/>
        <v>0</v>
      </c>
    </row>
    <row r="82" spans="1:4" x14ac:dyDescent="0.25">
      <c r="A82" t="s">
        <v>41</v>
      </c>
      <c r="B82" s="5" t="s">
        <v>372</v>
      </c>
      <c r="C82" s="5" t="s">
        <v>372</v>
      </c>
      <c r="D82" t="b">
        <f t="shared" si="2"/>
        <v>0</v>
      </c>
    </row>
    <row r="83" spans="1:4" x14ac:dyDescent="0.25">
      <c r="A83" t="s">
        <v>41</v>
      </c>
      <c r="B83" s="5" t="s">
        <v>373</v>
      </c>
      <c r="C83" s="5" t="s">
        <v>1573</v>
      </c>
      <c r="D83" t="b">
        <f t="shared" si="2"/>
        <v>1</v>
      </c>
    </row>
    <row r="84" spans="1:4" x14ac:dyDescent="0.25">
      <c r="A84" t="s">
        <v>41</v>
      </c>
      <c r="B84" s="5" t="s">
        <v>374</v>
      </c>
      <c r="C84" s="5" t="s">
        <v>374</v>
      </c>
      <c r="D84" t="b">
        <f t="shared" si="2"/>
        <v>0</v>
      </c>
    </row>
    <row r="85" spans="1:4" x14ac:dyDescent="0.25">
      <c r="A85" t="s">
        <v>41</v>
      </c>
      <c r="B85" s="5" t="s">
        <v>375</v>
      </c>
      <c r="C85" s="5" t="s">
        <v>375</v>
      </c>
      <c r="D85" t="b">
        <f t="shared" si="2"/>
        <v>0</v>
      </c>
    </row>
    <row r="86" spans="1:4" x14ac:dyDescent="0.25">
      <c r="A86" t="s">
        <v>41</v>
      </c>
      <c r="B86" s="5" t="s">
        <v>1703</v>
      </c>
      <c r="C86" s="5" t="s">
        <v>376</v>
      </c>
      <c r="D86" t="b">
        <f t="shared" si="2"/>
        <v>1</v>
      </c>
    </row>
    <row r="87" spans="1:4" x14ac:dyDescent="0.25">
      <c r="A87" t="s">
        <v>41</v>
      </c>
      <c r="B87" s="5" t="s">
        <v>377</v>
      </c>
      <c r="C87" s="5" t="s">
        <v>377</v>
      </c>
      <c r="D87" t="b">
        <f t="shared" si="2"/>
        <v>0</v>
      </c>
    </row>
    <row r="88" spans="1:4" x14ac:dyDescent="0.25">
      <c r="A88" t="s">
        <v>41</v>
      </c>
      <c r="B88" s="5" t="s">
        <v>2207</v>
      </c>
      <c r="C88" s="5" t="s">
        <v>2207</v>
      </c>
      <c r="D88" t="b">
        <f t="shared" si="2"/>
        <v>0</v>
      </c>
    </row>
    <row r="89" spans="1:4" x14ac:dyDescent="0.25">
      <c r="A89" t="s">
        <v>41</v>
      </c>
      <c r="B89" s="5" t="s">
        <v>378</v>
      </c>
      <c r="C89" s="5" t="s">
        <v>378</v>
      </c>
      <c r="D89" t="b">
        <f t="shared" si="2"/>
        <v>0</v>
      </c>
    </row>
    <row r="90" spans="1:4" x14ac:dyDescent="0.25">
      <c r="A90" t="s">
        <v>41</v>
      </c>
      <c r="B90" s="5" t="s">
        <v>96</v>
      </c>
      <c r="C90" s="5" t="s">
        <v>96</v>
      </c>
      <c r="D90" t="b">
        <f t="shared" si="2"/>
        <v>0</v>
      </c>
    </row>
    <row r="91" spans="1:4" x14ac:dyDescent="0.25">
      <c r="A91" t="s">
        <v>41</v>
      </c>
      <c r="B91" s="5" t="s">
        <v>1704</v>
      </c>
      <c r="C91" s="5" t="s">
        <v>1704</v>
      </c>
      <c r="D91" t="b">
        <f t="shared" si="2"/>
        <v>0</v>
      </c>
    </row>
    <row r="92" spans="1:4" x14ac:dyDescent="0.25">
      <c r="A92" t="s">
        <v>41</v>
      </c>
      <c r="B92" s="5" t="s">
        <v>379</v>
      </c>
      <c r="C92" s="5" t="s">
        <v>379</v>
      </c>
      <c r="D92" t="b">
        <f t="shared" si="2"/>
        <v>0</v>
      </c>
    </row>
    <row r="93" spans="1:4" x14ac:dyDescent="0.25">
      <c r="A93" t="s">
        <v>41</v>
      </c>
      <c r="B93" s="5" t="s">
        <v>1706</v>
      </c>
      <c r="C93" s="5" t="s">
        <v>1705</v>
      </c>
      <c r="D93" t="b">
        <f t="shared" si="2"/>
        <v>1</v>
      </c>
    </row>
    <row r="94" spans="1:4" x14ac:dyDescent="0.25">
      <c r="A94" t="s">
        <v>290</v>
      </c>
      <c r="B94" s="5" t="s">
        <v>380</v>
      </c>
      <c r="C94" s="5" t="s">
        <v>380</v>
      </c>
      <c r="D94" t="b">
        <f t="shared" si="2"/>
        <v>0</v>
      </c>
    </row>
    <row r="95" spans="1:4" x14ac:dyDescent="0.25">
      <c r="A95" t="s">
        <v>290</v>
      </c>
      <c r="B95" s="5" t="s">
        <v>381</v>
      </c>
      <c r="C95" s="5" t="s">
        <v>381</v>
      </c>
      <c r="D95" t="b">
        <f t="shared" si="2"/>
        <v>0</v>
      </c>
    </row>
    <row r="96" spans="1:4" x14ac:dyDescent="0.25">
      <c r="A96" t="s">
        <v>290</v>
      </c>
      <c r="B96" s="5" t="s">
        <v>1942</v>
      </c>
      <c r="C96" s="5" t="s">
        <v>1942</v>
      </c>
      <c r="D96" t="b">
        <f t="shared" si="2"/>
        <v>0</v>
      </c>
    </row>
    <row r="97" spans="1:4" x14ac:dyDescent="0.25">
      <c r="A97" t="s">
        <v>290</v>
      </c>
      <c r="B97" s="5" t="s">
        <v>382</v>
      </c>
      <c r="C97" s="5" t="s">
        <v>382</v>
      </c>
      <c r="D97" t="b">
        <f t="shared" si="2"/>
        <v>0</v>
      </c>
    </row>
    <row r="98" spans="1:4" x14ac:dyDescent="0.25">
      <c r="A98" t="s">
        <v>290</v>
      </c>
      <c r="B98" s="5" t="s">
        <v>383</v>
      </c>
      <c r="C98" s="5" t="s">
        <v>383</v>
      </c>
      <c r="D98" t="b">
        <f t="shared" si="2"/>
        <v>0</v>
      </c>
    </row>
    <row r="99" spans="1:4" x14ac:dyDescent="0.25">
      <c r="A99" t="s">
        <v>290</v>
      </c>
      <c r="B99" s="5" t="s">
        <v>384</v>
      </c>
      <c r="C99" s="5" t="s">
        <v>384</v>
      </c>
      <c r="D99" t="b">
        <f t="shared" si="2"/>
        <v>0</v>
      </c>
    </row>
    <row r="100" spans="1:4" x14ac:dyDescent="0.25">
      <c r="A100" t="s">
        <v>290</v>
      </c>
      <c r="B100" s="5" t="s">
        <v>385</v>
      </c>
      <c r="C100" s="5" t="s">
        <v>386</v>
      </c>
      <c r="D100" t="b">
        <f t="shared" si="2"/>
        <v>1</v>
      </c>
    </row>
    <row r="101" spans="1:4" x14ac:dyDescent="0.25">
      <c r="A101" t="s">
        <v>290</v>
      </c>
      <c r="B101" s="5" t="s">
        <v>387</v>
      </c>
      <c r="C101" s="5" t="s">
        <v>387</v>
      </c>
      <c r="D101" t="b">
        <f t="shared" si="2"/>
        <v>0</v>
      </c>
    </row>
    <row r="102" spans="1:4" x14ac:dyDescent="0.25">
      <c r="A102" t="s">
        <v>290</v>
      </c>
      <c r="B102" s="5" t="s">
        <v>388</v>
      </c>
      <c r="C102" s="5" t="s">
        <v>388</v>
      </c>
      <c r="D102" t="b">
        <f t="shared" si="2"/>
        <v>0</v>
      </c>
    </row>
  </sheetData>
  <mergeCells count="1">
    <mergeCell ref="A1:G1"/>
  </mergeCells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notContainsText" priority="1" operator="notContains" id="{D8D82456-1D20-4F16-A20E-9A4C118CBE27}">
            <xm:f>ISERROR(SEARCH(C3,B3))</xm:f>
            <xm:f>C3</xm:f>
            <x14:dxf>
              <fill>
                <patternFill>
                  <bgColor theme="5" tint="0.39994506668294322"/>
                </patternFill>
              </fill>
            </x14:dxf>
          </x14:cfRule>
          <xm:sqref>B3:B102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D8C8C-2C41-463C-9251-9D1347828DFA}">
  <sheetPr codeName="Planilha12"/>
  <dimension ref="A1:G102"/>
  <sheetViews>
    <sheetView topLeftCell="A83" workbookViewId="0">
      <selection activeCell="C103" sqref="C103"/>
    </sheetView>
  </sheetViews>
  <sheetFormatPr defaultRowHeight="15" x14ac:dyDescent="0.25"/>
  <cols>
    <col min="1" max="1" width="11.85546875" style="5" customWidth="1"/>
    <col min="2" max="3" width="38.7109375" customWidth="1"/>
    <col min="4" max="4" width="12.42578125" hidden="1" customWidth="1"/>
    <col min="5" max="5" width="4.28515625" customWidth="1"/>
    <col min="6" max="6" width="22.7109375" style="3" customWidth="1"/>
    <col min="7" max="7" width="9.140625" bestFit="1" customWidth="1"/>
  </cols>
  <sheetData>
    <row r="1" spans="1:7" ht="21" x14ac:dyDescent="0.25">
      <c r="A1" s="12" t="s">
        <v>389</v>
      </c>
      <c r="B1" s="12"/>
      <c r="C1" s="12"/>
      <c r="D1" s="12"/>
      <c r="E1" s="12"/>
      <c r="F1" s="12"/>
      <c r="G1" s="12"/>
    </row>
    <row r="2" spans="1:7" x14ac:dyDescent="0.25">
      <c r="A2" s="4" t="s">
        <v>11</v>
      </c>
      <c r="B2" s="4" t="s">
        <v>12</v>
      </c>
      <c r="C2" s="4" t="s">
        <v>13</v>
      </c>
      <c r="D2" s="4" t="s">
        <v>14</v>
      </c>
      <c r="F2" s="4" t="s">
        <v>16</v>
      </c>
      <c r="G2" s="3">
        <f>COUNTIF(D:D,"Verdadeiro")</f>
        <v>7</v>
      </c>
    </row>
    <row r="3" spans="1:7" x14ac:dyDescent="0.25">
      <c r="A3" s="5" t="s">
        <v>1539</v>
      </c>
      <c r="B3" s="5" t="s">
        <v>1544</v>
      </c>
      <c r="C3" s="5" t="s">
        <v>1544</v>
      </c>
      <c r="D3" t="b">
        <f>B3&lt;&gt;C3</f>
        <v>0</v>
      </c>
      <c r="F3" s="4" t="s">
        <v>17</v>
      </c>
      <c r="G3" s="10">
        <f>SUM(G5:G29)</f>
        <v>100</v>
      </c>
    </row>
    <row r="4" spans="1:7" x14ac:dyDescent="0.25">
      <c r="A4" s="5" t="s">
        <v>1539</v>
      </c>
      <c r="B4" s="5" t="s">
        <v>1551</v>
      </c>
      <c r="C4" s="5" t="s">
        <v>1551</v>
      </c>
      <c r="D4" t="b">
        <f>B4&lt;&gt;C4</f>
        <v>0</v>
      </c>
    </row>
    <row r="5" spans="1:7" x14ac:dyDescent="0.25">
      <c r="A5" t="s">
        <v>15</v>
      </c>
      <c r="B5" s="5" t="s">
        <v>34</v>
      </c>
      <c r="C5" s="5" t="s">
        <v>34</v>
      </c>
      <c r="D5" t="b">
        <f>B5&lt;&gt;C5</f>
        <v>0</v>
      </c>
      <c r="F5" s="6" t="s">
        <v>19</v>
      </c>
      <c r="G5" s="1"/>
    </row>
    <row r="6" spans="1:7" x14ac:dyDescent="0.25">
      <c r="A6" t="s">
        <v>15</v>
      </c>
      <c r="B6" s="5" t="s">
        <v>390</v>
      </c>
      <c r="C6" s="5" t="s">
        <v>390</v>
      </c>
      <c r="D6" t="b">
        <f t="shared" ref="D6:D69" si="0">B6&lt;&gt;C6</f>
        <v>0</v>
      </c>
      <c r="F6" s="7" t="s">
        <v>15</v>
      </c>
      <c r="G6" s="2">
        <f t="shared" ref="G6:G16" si="1">COUNTIF(A:A,F6)</f>
        <v>32</v>
      </c>
    </row>
    <row r="7" spans="1:7" x14ac:dyDescent="0.25">
      <c r="A7" t="s">
        <v>15</v>
      </c>
      <c r="B7" s="5" t="s">
        <v>391</v>
      </c>
      <c r="C7" s="5" t="s">
        <v>391</v>
      </c>
      <c r="D7" t="b">
        <f t="shared" si="0"/>
        <v>0</v>
      </c>
      <c r="F7" s="3" t="s">
        <v>1539</v>
      </c>
      <c r="G7" s="2">
        <f t="shared" si="1"/>
        <v>2</v>
      </c>
    </row>
    <row r="8" spans="1:7" x14ac:dyDescent="0.25">
      <c r="A8" t="s">
        <v>15</v>
      </c>
      <c r="B8" s="5" t="s">
        <v>61</v>
      </c>
      <c r="C8" s="5" t="s">
        <v>289</v>
      </c>
      <c r="D8" t="b">
        <f t="shared" si="0"/>
        <v>1</v>
      </c>
      <c r="F8" s="7" t="s">
        <v>42</v>
      </c>
      <c r="G8" s="2">
        <f t="shared" si="1"/>
        <v>3</v>
      </c>
    </row>
    <row r="9" spans="1:7" x14ac:dyDescent="0.25">
      <c r="A9" t="s">
        <v>15</v>
      </c>
      <c r="B9" s="5" t="s">
        <v>392</v>
      </c>
      <c r="C9" s="5" t="s">
        <v>392</v>
      </c>
      <c r="D9" t="b">
        <f t="shared" si="0"/>
        <v>0</v>
      </c>
      <c r="F9" s="7" t="s">
        <v>164</v>
      </c>
      <c r="G9" s="2">
        <f t="shared" si="1"/>
        <v>2</v>
      </c>
    </row>
    <row r="10" spans="1:7" x14ac:dyDescent="0.25">
      <c r="A10" t="s">
        <v>15</v>
      </c>
      <c r="B10" s="5" t="s">
        <v>43</v>
      </c>
      <c r="C10" s="5" t="s">
        <v>43</v>
      </c>
      <c r="D10" t="b">
        <f t="shared" si="0"/>
        <v>0</v>
      </c>
      <c r="F10" s="7" t="s">
        <v>22</v>
      </c>
      <c r="G10" s="2">
        <f t="shared" si="1"/>
        <v>6</v>
      </c>
    </row>
    <row r="11" spans="1:7" x14ac:dyDescent="0.25">
      <c r="A11" t="s">
        <v>15</v>
      </c>
      <c r="B11" s="5" t="s">
        <v>20</v>
      </c>
      <c r="C11" s="5" t="s">
        <v>20</v>
      </c>
      <c r="D11" t="b">
        <f t="shared" si="0"/>
        <v>0</v>
      </c>
      <c r="F11" s="7" t="s">
        <v>44</v>
      </c>
      <c r="G11" s="2">
        <f t="shared" si="1"/>
        <v>4</v>
      </c>
    </row>
    <row r="12" spans="1:7" x14ac:dyDescent="0.25">
      <c r="A12" t="s">
        <v>15</v>
      </c>
      <c r="B12" s="5" t="s">
        <v>116</v>
      </c>
      <c r="C12" s="5" t="s">
        <v>116</v>
      </c>
      <c r="D12" t="b">
        <f t="shared" si="0"/>
        <v>0</v>
      </c>
      <c r="F12" s="7" t="s">
        <v>230</v>
      </c>
      <c r="G12" s="2">
        <f t="shared" si="1"/>
        <v>13</v>
      </c>
    </row>
    <row r="13" spans="1:7" x14ac:dyDescent="0.25">
      <c r="A13" t="s">
        <v>15</v>
      </c>
      <c r="B13" s="5" t="s">
        <v>393</v>
      </c>
      <c r="C13" s="5" t="s">
        <v>393</v>
      </c>
      <c r="D13" t="b">
        <f t="shared" si="0"/>
        <v>0</v>
      </c>
      <c r="F13" s="7" t="s">
        <v>395</v>
      </c>
      <c r="G13" s="2">
        <f t="shared" si="1"/>
        <v>7</v>
      </c>
    </row>
    <row r="14" spans="1:7" x14ac:dyDescent="0.25">
      <c r="A14" t="s">
        <v>15</v>
      </c>
      <c r="B14" s="5" t="s">
        <v>394</v>
      </c>
      <c r="C14" s="5" t="s">
        <v>394</v>
      </c>
      <c r="D14" t="b">
        <f t="shared" si="0"/>
        <v>0</v>
      </c>
      <c r="F14" s="7" t="s">
        <v>21</v>
      </c>
      <c r="G14" s="2">
        <f t="shared" si="1"/>
        <v>25</v>
      </c>
    </row>
    <row r="15" spans="1:7" x14ac:dyDescent="0.25">
      <c r="A15" t="s">
        <v>15</v>
      </c>
      <c r="B15" s="5" t="s">
        <v>120</v>
      </c>
      <c r="C15" s="5" t="s">
        <v>47</v>
      </c>
      <c r="D15" t="b">
        <f t="shared" si="0"/>
        <v>1</v>
      </c>
      <c r="F15" s="7" t="s">
        <v>397</v>
      </c>
      <c r="G15" s="2">
        <f t="shared" si="1"/>
        <v>2</v>
      </c>
    </row>
    <row r="16" spans="1:7" x14ac:dyDescent="0.25">
      <c r="A16" t="s">
        <v>15</v>
      </c>
      <c r="B16" s="5" t="s">
        <v>396</v>
      </c>
      <c r="C16" s="5" t="s">
        <v>396</v>
      </c>
      <c r="D16" t="b">
        <f t="shared" si="0"/>
        <v>0</v>
      </c>
      <c r="F16" s="3" t="s">
        <v>398</v>
      </c>
      <c r="G16" s="2">
        <f t="shared" si="1"/>
        <v>4</v>
      </c>
    </row>
    <row r="17" spans="1:7" x14ac:dyDescent="0.25">
      <c r="A17" t="s">
        <v>15</v>
      </c>
      <c r="B17" s="5" t="s">
        <v>18</v>
      </c>
      <c r="C17" s="5" t="s">
        <v>18</v>
      </c>
      <c r="D17" t="b">
        <f t="shared" si="0"/>
        <v>0</v>
      </c>
    </row>
    <row r="18" spans="1:7" x14ac:dyDescent="0.25">
      <c r="A18" t="s">
        <v>15</v>
      </c>
      <c r="B18" s="5" t="s">
        <v>1613</v>
      </c>
      <c r="C18" s="5" t="s">
        <v>1613</v>
      </c>
      <c r="D18" t="b">
        <f t="shared" si="0"/>
        <v>0</v>
      </c>
    </row>
    <row r="19" spans="1:7" x14ac:dyDescent="0.25">
      <c r="A19" t="s">
        <v>15</v>
      </c>
      <c r="B19" s="5" t="s">
        <v>231</v>
      </c>
      <c r="C19" s="5" t="s">
        <v>231</v>
      </c>
      <c r="D19" t="b">
        <f t="shared" si="0"/>
        <v>0</v>
      </c>
      <c r="F19" s="1"/>
      <c r="G19" s="2"/>
    </row>
    <row r="20" spans="1:7" x14ac:dyDescent="0.25">
      <c r="A20" t="s">
        <v>15</v>
      </c>
      <c r="B20" s="5" t="s">
        <v>399</v>
      </c>
      <c r="C20" s="5" t="s">
        <v>399</v>
      </c>
      <c r="D20" t="b">
        <f t="shared" si="0"/>
        <v>0</v>
      </c>
    </row>
    <row r="21" spans="1:7" x14ac:dyDescent="0.25">
      <c r="A21" t="s">
        <v>15</v>
      </c>
      <c r="B21" s="5" t="s">
        <v>60</v>
      </c>
      <c r="C21" s="5" t="s">
        <v>1243</v>
      </c>
      <c r="D21" t="b">
        <f t="shared" si="0"/>
        <v>1</v>
      </c>
    </row>
    <row r="22" spans="1:7" x14ac:dyDescent="0.25">
      <c r="A22" t="s">
        <v>15</v>
      </c>
      <c r="B22" s="5" t="s">
        <v>1456</v>
      </c>
      <c r="C22" s="5" t="s">
        <v>1456</v>
      </c>
      <c r="D22" t="b">
        <f t="shared" si="0"/>
        <v>0</v>
      </c>
    </row>
    <row r="23" spans="1:7" x14ac:dyDescent="0.25">
      <c r="A23" t="s">
        <v>15</v>
      </c>
      <c r="B23" s="5" t="s">
        <v>49</v>
      </c>
      <c r="C23" s="5" t="s">
        <v>49</v>
      </c>
      <c r="D23" t="b">
        <f t="shared" si="0"/>
        <v>0</v>
      </c>
    </row>
    <row r="24" spans="1:7" x14ac:dyDescent="0.25">
      <c r="A24" t="s">
        <v>15</v>
      </c>
      <c r="B24" s="5" t="s">
        <v>50</v>
      </c>
      <c r="C24" s="5" t="s">
        <v>50</v>
      </c>
      <c r="D24" t="b">
        <f t="shared" si="0"/>
        <v>0</v>
      </c>
    </row>
    <row r="25" spans="1:7" x14ac:dyDescent="0.25">
      <c r="A25" t="s">
        <v>15</v>
      </c>
      <c r="B25" s="5" t="s">
        <v>60</v>
      </c>
      <c r="C25" s="5" t="s">
        <v>48</v>
      </c>
      <c r="D25" t="b">
        <f t="shared" si="0"/>
        <v>1</v>
      </c>
    </row>
    <row r="26" spans="1:7" x14ac:dyDescent="0.25">
      <c r="A26" t="s">
        <v>15</v>
      </c>
      <c r="B26" s="5" t="s">
        <v>61</v>
      </c>
      <c r="C26" s="5" t="s">
        <v>1833</v>
      </c>
      <c r="D26" t="b">
        <f t="shared" si="0"/>
        <v>1</v>
      </c>
    </row>
    <row r="27" spans="1:7" x14ac:dyDescent="0.25">
      <c r="A27" t="s">
        <v>15</v>
      </c>
      <c r="B27" s="5" t="s">
        <v>62</v>
      </c>
      <c r="C27" s="5" t="s">
        <v>62</v>
      </c>
      <c r="D27" t="b">
        <f t="shared" si="0"/>
        <v>0</v>
      </c>
    </row>
    <row r="28" spans="1:7" x14ac:dyDescent="0.25">
      <c r="A28" t="s">
        <v>15</v>
      </c>
      <c r="B28" s="5" t="s">
        <v>62</v>
      </c>
      <c r="C28" s="5" t="s">
        <v>62</v>
      </c>
      <c r="D28" t="b">
        <f t="shared" si="0"/>
        <v>0</v>
      </c>
    </row>
    <row r="29" spans="1:7" x14ac:dyDescent="0.25">
      <c r="A29" t="s">
        <v>15</v>
      </c>
      <c r="B29" s="5" t="s">
        <v>62</v>
      </c>
      <c r="C29" s="5" t="s">
        <v>62</v>
      </c>
      <c r="D29" t="b">
        <f t="shared" si="0"/>
        <v>0</v>
      </c>
    </row>
    <row r="30" spans="1:7" x14ac:dyDescent="0.25">
      <c r="A30" t="s">
        <v>15</v>
      </c>
      <c r="B30" s="5" t="s">
        <v>62</v>
      </c>
      <c r="C30" s="5" t="s">
        <v>62</v>
      </c>
      <c r="D30" t="b">
        <f t="shared" si="0"/>
        <v>0</v>
      </c>
    </row>
    <row r="31" spans="1:7" x14ac:dyDescent="0.25">
      <c r="A31" t="s">
        <v>15</v>
      </c>
      <c r="B31" s="5" t="s">
        <v>62</v>
      </c>
      <c r="C31" s="5" t="s">
        <v>62</v>
      </c>
      <c r="D31" t="b">
        <f t="shared" si="0"/>
        <v>0</v>
      </c>
    </row>
    <row r="32" spans="1:7" x14ac:dyDescent="0.25">
      <c r="A32" t="s">
        <v>15</v>
      </c>
      <c r="B32" s="5" t="s">
        <v>62</v>
      </c>
      <c r="C32" s="5" t="s">
        <v>62</v>
      </c>
      <c r="D32" t="b">
        <f t="shared" si="0"/>
        <v>0</v>
      </c>
    </row>
    <row r="33" spans="1:4" x14ac:dyDescent="0.25">
      <c r="A33" t="s">
        <v>15</v>
      </c>
      <c r="B33" s="5" t="s">
        <v>62</v>
      </c>
      <c r="C33" s="5" t="s">
        <v>62</v>
      </c>
      <c r="D33" t="b">
        <f t="shared" si="0"/>
        <v>0</v>
      </c>
    </row>
    <row r="34" spans="1:4" x14ac:dyDescent="0.25">
      <c r="A34" t="s">
        <v>15</v>
      </c>
      <c r="B34" s="5" t="s">
        <v>60</v>
      </c>
      <c r="C34" s="5" t="s">
        <v>60</v>
      </c>
      <c r="D34" t="b">
        <f t="shared" si="0"/>
        <v>0</v>
      </c>
    </row>
    <row r="35" spans="1:4" x14ac:dyDescent="0.25">
      <c r="A35" t="s">
        <v>15</v>
      </c>
      <c r="B35" s="5" t="s">
        <v>61</v>
      </c>
      <c r="C35" s="5" t="s">
        <v>61</v>
      </c>
      <c r="D35" t="b">
        <f t="shared" si="0"/>
        <v>0</v>
      </c>
    </row>
    <row r="36" spans="1:4" x14ac:dyDescent="0.25">
      <c r="A36" t="s">
        <v>15</v>
      </c>
      <c r="B36" s="5" t="s">
        <v>61</v>
      </c>
      <c r="C36" s="5" t="s">
        <v>61</v>
      </c>
      <c r="D36" t="b">
        <f t="shared" si="0"/>
        <v>0</v>
      </c>
    </row>
    <row r="37" spans="1:4" x14ac:dyDescent="0.25">
      <c r="A37" t="s">
        <v>21</v>
      </c>
      <c r="B37" s="5" t="s">
        <v>400</v>
      </c>
      <c r="C37" s="5" t="s">
        <v>400</v>
      </c>
      <c r="D37" t="b">
        <f t="shared" si="0"/>
        <v>0</v>
      </c>
    </row>
    <row r="38" spans="1:4" x14ac:dyDescent="0.25">
      <c r="A38" t="s">
        <v>21</v>
      </c>
      <c r="B38" s="5" t="s">
        <v>401</v>
      </c>
      <c r="C38" s="5" t="s">
        <v>401</v>
      </c>
      <c r="D38" t="b">
        <f t="shared" si="0"/>
        <v>0</v>
      </c>
    </row>
    <row r="39" spans="1:4" x14ac:dyDescent="0.25">
      <c r="A39" t="s">
        <v>21</v>
      </c>
      <c r="B39" s="5" t="s">
        <v>402</v>
      </c>
      <c r="C39" s="5" t="s">
        <v>402</v>
      </c>
      <c r="D39" t="b">
        <f t="shared" si="0"/>
        <v>0</v>
      </c>
    </row>
    <row r="40" spans="1:4" x14ac:dyDescent="0.25">
      <c r="A40" t="s">
        <v>21</v>
      </c>
      <c r="B40" s="5" t="s">
        <v>403</v>
      </c>
      <c r="C40" s="5" t="s">
        <v>403</v>
      </c>
      <c r="D40" t="b">
        <f t="shared" si="0"/>
        <v>0</v>
      </c>
    </row>
    <row r="41" spans="1:4" x14ac:dyDescent="0.25">
      <c r="A41" t="s">
        <v>21</v>
      </c>
      <c r="B41" s="5" t="s">
        <v>404</v>
      </c>
      <c r="C41" s="5" t="s">
        <v>404</v>
      </c>
      <c r="D41" t="b">
        <f t="shared" si="0"/>
        <v>0</v>
      </c>
    </row>
    <row r="42" spans="1:4" x14ac:dyDescent="0.25">
      <c r="A42" t="s">
        <v>21</v>
      </c>
      <c r="B42" s="5" t="s">
        <v>405</v>
      </c>
      <c r="C42" s="5" t="s">
        <v>405</v>
      </c>
      <c r="D42" t="b">
        <f t="shared" si="0"/>
        <v>0</v>
      </c>
    </row>
    <row r="43" spans="1:4" x14ac:dyDescent="0.25">
      <c r="A43" t="s">
        <v>21</v>
      </c>
      <c r="B43" s="5" t="s">
        <v>243</v>
      </c>
      <c r="C43" s="5" t="s">
        <v>243</v>
      </c>
      <c r="D43" t="b">
        <f t="shared" si="0"/>
        <v>0</v>
      </c>
    </row>
    <row r="44" spans="1:4" x14ac:dyDescent="0.25">
      <c r="A44" t="s">
        <v>21</v>
      </c>
      <c r="B44" s="5" t="s">
        <v>352</v>
      </c>
      <c r="C44" s="5" t="s">
        <v>352</v>
      </c>
      <c r="D44" t="b">
        <f t="shared" si="0"/>
        <v>0</v>
      </c>
    </row>
    <row r="45" spans="1:4" x14ac:dyDescent="0.25">
      <c r="A45" t="s">
        <v>21</v>
      </c>
      <c r="B45" s="5" t="s">
        <v>242</v>
      </c>
      <c r="C45" s="5" t="s">
        <v>242</v>
      </c>
      <c r="D45" t="b">
        <f t="shared" si="0"/>
        <v>0</v>
      </c>
    </row>
    <row r="46" spans="1:4" x14ac:dyDescent="0.25">
      <c r="A46" t="s">
        <v>21</v>
      </c>
      <c r="B46" s="5" t="s">
        <v>406</v>
      </c>
      <c r="C46" s="5" t="s">
        <v>406</v>
      </c>
      <c r="D46" t="b">
        <f t="shared" si="0"/>
        <v>0</v>
      </c>
    </row>
    <row r="47" spans="1:4" x14ac:dyDescent="0.25">
      <c r="A47" t="s">
        <v>21</v>
      </c>
      <c r="B47" s="5" t="s">
        <v>407</v>
      </c>
      <c r="C47" s="5" t="s">
        <v>407</v>
      </c>
      <c r="D47" t="b">
        <f t="shared" si="0"/>
        <v>0</v>
      </c>
    </row>
    <row r="48" spans="1:4" x14ac:dyDescent="0.25">
      <c r="A48" t="s">
        <v>21</v>
      </c>
      <c r="B48" s="5" t="s">
        <v>408</v>
      </c>
      <c r="C48" s="5" t="s">
        <v>408</v>
      </c>
      <c r="D48" t="b">
        <f t="shared" si="0"/>
        <v>0</v>
      </c>
    </row>
    <row r="49" spans="1:4" x14ac:dyDescent="0.25">
      <c r="A49" t="s">
        <v>21</v>
      </c>
      <c r="B49" s="5" t="s">
        <v>409</v>
      </c>
      <c r="C49" s="5" t="s">
        <v>409</v>
      </c>
      <c r="D49" t="b">
        <f t="shared" si="0"/>
        <v>0</v>
      </c>
    </row>
    <row r="50" spans="1:4" x14ac:dyDescent="0.25">
      <c r="A50" t="s">
        <v>21</v>
      </c>
      <c r="B50" s="5" t="s">
        <v>410</v>
      </c>
      <c r="C50" s="5" t="s">
        <v>410</v>
      </c>
      <c r="D50" t="b">
        <f t="shared" si="0"/>
        <v>0</v>
      </c>
    </row>
    <row r="51" spans="1:4" x14ac:dyDescent="0.25">
      <c r="A51" t="s">
        <v>21</v>
      </c>
      <c r="B51" s="5" t="s">
        <v>411</v>
      </c>
      <c r="C51" s="5" t="s">
        <v>411</v>
      </c>
      <c r="D51" t="b">
        <f t="shared" si="0"/>
        <v>0</v>
      </c>
    </row>
    <row r="52" spans="1:4" x14ac:dyDescent="0.25">
      <c r="A52" t="s">
        <v>21</v>
      </c>
      <c r="B52" s="5" t="s">
        <v>246</v>
      </c>
      <c r="C52" s="5" t="s">
        <v>246</v>
      </c>
      <c r="D52" t="b">
        <f t="shared" si="0"/>
        <v>0</v>
      </c>
    </row>
    <row r="53" spans="1:4" x14ac:dyDescent="0.25">
      <c r="A53" t="s">
        <v>21</v>
      </c>
      <c r="B53" s="5" t="s">
        <v>412</v>
      </c>
      <c r="C53" s="5" t="s">
        <v>412</v>
      </c>
      <c r="D53" t="b">
        <f t="shared" si="0"/>
        <v>0</v>
      </c>
    </row>
    <row r="54" spans="1:4" x14ac:dyDescent="0.25">
      <c r="A54" t="s">
        <v>21</v>
      </c>
      <c r="B54" s="5" t="s">
        <v>413</v>
      </c>
      <c r="C54" s="5" t="s">
        <v>413</v>
      </c>
      <c r="D54" t="b">
        <f t="shared" si="0"/>
        <v>0</v>
      </c>
    </row>
    <row r="55" spans="1:4" x14ac:dyDescent="0.25">
      <c r="A55" t="s">
        <v>21</v>
      </c>
      <c r="B55" s="5" t="s">
        <v>1354</v>
      </c>
      <c r="C55" s="5" t="s">
        <v>1354</v>
      </c>
      <c r="D55" t="b">
        <f t="shared" si="0"/>
        <v>0</v>
      </c>
    </row>
    <row r="56" spans="1:4" x14ac:dyDescent="0.25">
      <c r="A56" t="s">
        <v>21</v>
      </c>
      <c r="B56" s="5" t="s">
        <v>414</v>
      </c>
      <c r="C56" s="5" t="s">
        <v>414</v>
      </c>
      <c r="D56" t="b">
        <f t="shared" si="0"/>
        <v>0</v>
      </c>
    </row>
    <row r="57" spans="1:4" x14ac:dyDescent="0.25">
      <c r="A57" t="s">
        <v>21</v>
      </c>
      <c r="B57" s="5" t="s">
        <v>415</v>
      </c>
      <c r="C57" s="5" t="s">
        <v>415</v>
      </c>
      <c r="D57" t="b">
        <f t="shared" si="0"/>
        <v>0</v>
      </c>
    </row>
    <row r="58" spans="1:4" x14ac:dyDescent="0.25">
      <c r="A58" t="s">
        <v>21</v>
      </c>
      <c r="B58" s="5" t="s">
        <v>247</v>
      </c>
      <c r="C58" s="5" t="s">
        <v>247</v>
      </c>
      <c r="D58" t="b">
        <f t="shared" si="0"/>
        <v>0</v>
      </c>
    </row>
    <row r="59" spans="1:4" x14ac:dyDescent="0.25">
      <c r="A59" t="s">
        <v>21</v>
      </c>
      <c r="B59" s="5" t="s">
        <v>244</v>
      </c>
      <c r="C59" s="5" t="s">
        <v>244</v>
      </c>
      <c r="D59" t="b">
        <f t="shared" si="0"/>
        <v>0</v>
      </c>
    </row>
    <row r="60" spans="1:4" x14ac:dyDescent="0.25">
      <c r="A60" t="s">
        <v>21</v>
      </c>
      <c r="B60" s="5" t="s">
        <v>416</v>
      </c>
      <c r="C60" s="5" t="s">
        <v>416</v>
      </c>
      <c r="D60" t="b">
        <f t="shared" si="0"/>
        <v>0</v>
      </c>
    </row>
    <row r="61" spans="1:4" x14ac:dyDescent="0.25">
      <c r="A61" t="s">
        <v>21</v>
      </c>
      <c r="B61" s="5" t="s">
        <v>417</v>
      </c>
      <c r="C61" s="5" t="s">
        <v>417</v>
      </c>
      <c r="D61" t="b">
        <f t="shared" si="0"/>
        <v>0</v>
      </c>
    </row>
    <row r="62" spans="1:4" x14ac:dyDescent="0.25">
      <c r="A62" t="s">
        <v>397</v>
      </c>
      <c r="B62" s="5" t="s">
        <v>418</v>
      </c>
      <c r="C62" s="5" t="s">
        <v>418</v>
      </c>
      <c r="D62" t="b">
        <f t="shared" si="0"/>
        <v>0</v>
      </c>
    </row>
    <row r="63" spans="1:4" x14ac:dyDescent="0.25">
      <c r="A63" t="s">
        <v>397</v>
      </c>
      <c r="B63" s="5" t="s">
        <v>419</v>
      </c>
      <c r="C63" s="5" t="s">
        <v>419</v>
      </c>
      <c r="D63" t="b">
        <f t="shared" si="0"/>
        <v>0</v>
      </c>
    </row>
    <row r="64" spans="1:4" x14ac:dyDescent="0.25">
      <c r="A64" t="s">
        <v>164</v>
      </c>
      <c r="B64" s="5" t="s">
        <v>1670</v>
      </c>
      <c r="C64" s="5" t="s">
        <v>1670</v>
      </c>
      <c r="D64" t="b">
        <f t="shared" si="0"/>
        <v>0</v>
      </c>
    </row>
    <row r="65" spans="1:4" x14ac:dyDescent="0.25">
      <c r="A65" t="s">
        <v>164</v>
      </c>
      <c r="B65" s="5" t="s">
        <v>420</v>
      </c>
      <c r="C65" s="5" t="s">
        <v>420</v>
      </c>
      <c r="D65" t="b">
        <f t="shared" si="0"/>
        <v>0</v>
      </c>
    </row>
    <row r="66" spans="1:4" x14ac:dyDescent="0.25">
      <c r="A66" t="s">
        <v>22</v>
      </c>
      <c r="B66" s="5" t="s">
        <v>1275</v>
      </c>
      <c r="C66" s="5" t="s">
        <v>1275</v>
      </c>
      <c r="D66" t="b">
        <f t="shared" si="0"/>
        <v>0</v>
      </c>
    </row>
    <row r="67" spans="1:4" x14ac:dyDescent="0.25">
      <c r="A67" t="s">
        <v>22</v>
      </c>
      <c r="B67" s="5" t="s">
        <v>421</v>
      </c>
      <c r="C67" s="5" t="s">
        <v>421</v>
      </c>
      <c r="D67" t="b">
        <f t="shared" si="0"/>
        <v>0</v>
      </c>
    </row>
    <row r="68" spans="1:4" x14ac:dyDescent="0.25">
      <c r="A68" t="s">
        <v>22</v>
      </c>
      <c r="B68" s="5" t="s">
        <v>422</v>
      </c>
      <c r="C68" s="5" t="s">
        <v>422</v>
      </c>
      <c r="D68" t="b">
        <f t="shared" si="0"/>
        <v>0</v>
      </c>
    </row>
    <row r="69" spans="1:4" x14ac:dyDescent="0.25">
      <c r="A69" t="s">
        <v>22</v>
      </c>
      <c r="B69" s="5" t="s">
        <v>423</v>
      </c>
      <c r="C69" s="5" t="s">
        <v>423</v>
      </c>
      <c r="D69" t="b">
        <f t="shared" si="0"/>
        <v>0</v>
      </c>
    </row>
    <row r="70" spans="1:4" x14ac:dyDescent="0.25">
      <c r="A70" t="s">
        <v>22</v>
      </c>
      <c r="B70" s="5" t="s">
        <v>424</v>
      </c>
      <c r="C70" s="5" t="s">
        <v>424</v>
      </c>
      <c r="D70" t="b">
        <f t="shared" ref="D70:D102" si="2">B70&lt;&gt;C70</f>
        <v>0</v>
      </c>
    </row>
    <row r="71" spans="1:4" x14ac:dyDescent="0.25">
      <c r="A71" t="s">
        <v>22</v>
      </c>
      <c r="B71" s="5" t="s">
        <v>425</v>
      </c>
      <c r="C71" s="5" t="s">
        <v>425</v>
      </c>
      <c r="D71" t="b">
        <f t="shared" si="2"/>
        <v>0</v>
      </c>
    </row>
    <row r="72" spans="1:4" x14ac:dyDescent="0.25">
      <c r="A72" t="s">
        <v>44</v>
      </c>
      <c r="B72" s="5" t="s">
        <v>426</v>
      </c>
      <c r="C72" s="5" t="s">
        <v>426</v>
      </c>
      <c r="D72" t="b">
        <f t="shared" si="2"/>
        <v>0</v>
      </c>
    </row>
    <row r="73" spans="1:4" x14ac:dyDescent="0.25">
      <c r="A73" t="s">
        <v>44</v>
      </c>
      <c r="B73" s="5" t="s">
        <v>427</v>
      </c>
      <c r="C73" s="5" t="s">
        <v>427</v>
      </c>
      <c r="D73" t="b">
        <f t="shared" si="2"/>
        <v>0</v>
      </c>
    </row>
    <row r="74" spans="1:4" x14ac:dyDescent="0.25">
      <c r="A74" t="s">
        <v>44</v>
      </c>
      <c r="B74" s="5" t="s">
        <v>428</v>
      </c>
      <c r="C74" s="5" t="s">
        <v>428</v>
      </c>
      <c r="D74" t="b">
        <f t="shared" si="2"/>
        <v>0</v>
      </c>
    </row>
    <row r="75" spans="1:4" x14ac:dyDescent="0.25">
      <c r="A75" t="s">
        <v>44</v>
      </c>
      <c r="B75" s="5" t="s">
        <v>430</v>
      </c>
      <c r="C75" s="5" t="s">
        <v>430</v>
      </c>
      <c r="D75" t="b">
        <f t="shared" si="2"/>
        <v>0</v>
      </c>
    </row>
    <row r="76" spans="1:4" x14ac:dyDescent="0.25">
      <c r="A76" t="s">
        <v>395</v>
      </c>
      <c r="B76" s="5" t="s">
        <v>320</v>
      </c>
      <c r="C76" s="5" t="s">
        <v>320</v>
      </c>
      <c r="D76" t="b">
        <f t="shared" si="2"/>
        <v>0</v>
      </c>
    </row>
    <row r="77" spans="1:4" x14ac:dyDescent="0.25">
      <c r="A77" t="s">
        <v>395</v>
      </c>
      <c r="B77" s="5" t="s">
        <v>431</v>
      </c>
      <c r="C77" s="5" t="s">
        <v>431</v>
      </c>
      <c r="D77" t="b">
        <f t="shared" si="2"/>
        <v>0</v>
      </c>
    </row>
    <row r="78" spans="1:4" x14ac:dyDescent="0.25">
      <c r="A78" t="s">
        <v>395</v>
      </c>
      <c r="B78" s="5" t="s">
        <v>1238</v>
      </c>
      <c r="C78" s="5" t="s">
        <v>1238</v>
      </c>
      <c r="D78" t="b">
        <f t="shared" si="2"/>
        <v>0</v>
      </c>
    </row>
    <row r="79" spans="1:4" x14ac:dyDescent="0.25">
      <c r="A79" t="s">
        <v>395</v>
      </c>
      <c r="B79" s="5" t="s">
        <v>432</v>
      </c>
      <c r="C79" s="5" t="s">
        <v>432</v>
      </c>
      <c r="D79" t="b">
        <f t="shared" si="2"/>
        <v>0</v>
      </c>
    </row>
    <row r="80" spans="1:4" x14ac:dyDescent="0.25">
      <c r="A80" t="s">
        <v>395</v>
      </c>
      <c r="B80" s="5" t="s">
        <v>443</v>
      </c>
      <c r="C80" s="5" t="s">
        <v>434</v>
      </c>
      <c r="D80" t="b">
        <f t="shared" si="2"/>
        <v>1</v>
      </c>
    </row>
    <row r="81" spans="1:4" x14ac:dyDescent="0.25">
      <c r="A81" t="s">
        <v>395</v>
      </c>
      <c r="B81" s="5" t="s">
        <v>1261</v>
      </c>
      <c r="C81" s="5" t="s">
        <v>1261</v>
      </c>
      <c r="D81" t="b">
        <f t="shared" si="2"/>
        <v>0</v>
      </c>
    </row>
    <row r="82" spans="1:4" x14ac:dyDescent="0.25">
      <c r="A82" t="s">
        <v>395</v>
      </c>
      <c r="B82" s="5" t="s">
        <v>435</v>
      </c>
      <c r="C82" s="5" t="s">
        <v>435</v>
      </c>
      <c r="D82" t="b">
        <f t="shared" si="2"/>
        <v>0</v>
      </c>
    </row>
    <row r="83" spans="1:4" x14ac:dyDescent="0.25">
      <c r="A83" t="s">
        <v>230</v>
      </c>
      <c r="B83" s="5" t="s">
        <v>436</v>
      </c>
      <c r="C83" s="5" t="s">
        <v>436</v>
      </c>
      <c r="D83" t="b">
        <f t="shared" si="2"/>
        <v>0</v>
      </c>
    </row>
    <row r="84" spans="1:4" x14ac:dyDescent="0.25">
      <c r="A84" t="s">
        <v>230</v>
      </c>
      <c r="B84" s="5" t="s">
        <v>92</v>
      </c>
      <c r="C84" s="5" t="s">
        <v>92</v>
      </c>
      <c r="D84" t="b">
        <f t="shared" si="2"/>
        <v>0</v>
      </c>
    </row>
    <row r="85" spans="1:4" x14ac:dyDescent="0.25">
      <c r="A85" t="s">
        <v>230</v>
      </c>
      <c r="B85" s="5" t="s">
        <v>437</v>
      </c>
      <c r="C85" s="5" t="s">
        <v>437</v>
      </c>
      <c r="D85" t="b">
        <f t="shared" si="2"/>
        <v>0</v>
      </c>
    </row>
    <row r="86" spans="1:4" x14ac:dyDescent="0.25">
      <c r="A86" t="s">
        <v>230</v>
      </c>
      <c r="B86" s="5" t="s">
        <v>438</v>
      </c>
      <c r="C86" s="5" t="s">
        <v>438</v>
      </c>
      <c r="D86" t="b">
        <f t="shared" si="2"/>
        <v>0</v>
      </c>
    </row>
    <row r="87" spans="1:4" x14ac:dyDescent="0.25">
      <c r="A87" t="s">
        <v>230</v>
      </c>
      <c r="B87" s="5" t="s">
        <v>439</v>
      </c>
      <c r="C87" s="5" t="s">
        <v>439</v>
      </c>
      <c r="D87" t="b">
        <f t="shared" si="2"/>
        <v>0</v>
      </c>
    </row>
    <row r="88" spans="1:4" x14ac:dyDescent="0.25">
      <c r="A88" t="s">
        <v>230</v>
      </c>
      <c r="B88" s="5" t="s">
        <v>90</v>
      </c>
      <c r="C88" s="5" t="s">
        <v>90</v>
      </c>
      <c r="D88" t="b">
        <f t="shared" si="2"/>
        <v>0</v>
      </c>
    </row>
    <row r="89" spans="1:4" x14ac:dyDescent="0.25">
      <c r="A89" t="s">
        <v>230</v>
      </c>
      <c r="B89" s="5" t="s">
        <v>440</v>
      </c>
      <c r="C89" s="5" t="s">
        <v>440</v>
      </c>
      <c r="D89" t="b">
        <f t="shared" si="2"/>
        <v>0</v>
      </c>
    </row>
    <row r="90" spans="1:4" x14ac:dyDescent="0.25">
      <c r="A90" t="s">
        <v>230</v>
      </c>
      <c r="B90" s="5" t="s">
        <v>317</v>
      </c>
      <c r="C90" s="5" t="s">
        <v>317</v>
      </c>
      <c r="D90" t="b">
        <f t="shared" si="2"/>
        <v>0</v>
      </c>
    </row>
    <row r="91" spans="1:4" x14ac:dyDescent="0.25">
      <c r="A91" t="s">
        <v>230</v>
      </c>
      <c r="B91" s="5" t="s">
        <v>441</v>
      </c>
      <c r="C91" s="5" t="s">
        <v>441</v>
      </c>
      <c r="D91" t="b">
        <f t="shared" si="2"/>
        <v>0</v>
      </c>
    </row>
    <row r="92" spans="1:4" x14ac:dyDescent="0.25">
      <c r="A92" t="s">
        <v>230</v>
      </c>
      <c r="B92" s="5" t="s">
        <v>442</v>
      </c>
      <c r="C92" s="5" t="s">
        <v>442</v>
      </c>
      <c r="D92" t="b">
        <f t="shared" si="2"/>
        <v>0</v>
      </c>
    </row>
    <row r="93" spans="1:4" x14ac:dyDescent="0.25">
      <c r="A93" t="s">
        <v>230</v>
      </c>
      <c r="B93" s="5" t="s">
        <v>1260</v>
      </c>
      <c r="C93" s="5" t="s">
        <v>1260</v>
      </c>
      <c r="D93" t="b">
        <f t="shared" si="2"/>
        <v>0</v>
      </c>
    </row>
    <row r="94" spans="1:4" x14ac:dyDescent="0.25">
      <c r="A94" t="s">
        <v>230</v>
      </c>
      <c r="B94" s="5" t="s">
        <v>444</v>
      </c>
      <c r="C94" s="5" t="s">
        <v>444</v>
      </c>
      <c r="D94" t="b">
        <f t="shared" si="2"/>
        <v>0</v>
      </c>
    </row>
    <row r="95" spans="1:4" x14ac:dyDescent="0.25">
      <c r="A95" t="s">
        <v>230</v>
      </c>
      <c r="B95" s="5" t="s">
        <v>445</v>
      </c>
      <c r="C95" s="5" t="s">
        <v>445</v>
      </c>
      <c r="D95" t="b">
        <f t="shared" si="2"/>
        <v>0</v>
      </c>
    </row>
    <row r="96" spans="1:4" x14ac:dyDescent="0.25">
      <c r="A96" t="s">
        <v>42</v>
      </c>
      <c r="B96" s="5" t="s">
        <v>429</v>
      </c>
      <c r="C96" s="5" t="s">
        <v>1930</v>
      </c>
      <c r="D96" t="b">
        <f t="shared" si="2"/>
        <v>1</v>
      </c>
    </row>
    <row r="97" spans="1:4" x14ac:dyDescent="0.25">
      <c r="A97" t="s">
        <v>42</v>
      </c>
      <c r="B97" s="5" t="s">
        <v>446</v>
      </c>
      <c r="C97" s="5" t="s">
        <v>446</v>
      </c>
      <c r="D97" t="b">
        <f t="shared" si="2"/>
        <v>0</v>
      </c>
    </row>
    <row r="98" spans="1:4" x14ac:dyDescent="0.25">
      <c r="A98" t="s">
        <v>42</v>
      </c>
      <c r="B98" s="5" t="s">
        <v>142</v>
      </c>
      <c r="C98" s="5" t="s">
        <v>142</v>
      </c>
      <c r="D98" t="b">
        <f t="shared" si="2"/>
        <v>0</v>
      </c>
    </row>
    <row r="99" spans="1:4" x14ac:dyDescent="0.25">
      <c r="A99" t="s">
        <v>398</v>
      </c>
      <c r="B99" s="5" t="s">
        <v>447</v>
      </c>
      <c r="C99" s="5" t="s">
        <v>447</v>
      </c>
      <c r="D99" t="b">
        <f t="shared" si="2"/>
        <v>0</v>
      </c>
    </row>
    <row r="100" spans="1:4" x14ac:dyDescent="0.25">
      <c r="A100" t="s">
        <v>398</v>
      </c>
      <c r="B100" s="5" t="s">
        <v>98</v>
      </c>
      <c r="C100" s="5" t="s">
        <v>98</v>
      </c>
      <c r="D100" t="b">
        <f t="shared" si="2"/>
        <v>0</v>
      </c>
    </row>
    <row r="101" spans="1:4" x14ac:dyDescent="0.25">
      <c r="A101" t="s">
        <v>398</v>
      </c>
      <c r="B101" s="5" t="s">
        <v>97</v>
      </c>
      <c r="C101" s="5" t="s">
        <v>97</v>
      </c>
      <c r="D101" t="b">
        <f t="shared" si="2"/>
        <v>0</v>
      </c>
    </row>
    <row r="102" spans="1:4" x14ac:dyDescent="0.25">
      <c r="A102" t="s">
        <v>398</v>
      </c>
      <c r="B102" s="5" t="s">
        <v>448</v>
      </c>
      <c r="C102" s="5" t="s">
        <v>448</v>
      </c>
      <c r="D102" t="b">
        <f t="shared" si="2"/>
        <v>0</v>
      </c>
    </row>
  </sheetData>
  <mergeCells count="1">
    <mergeCell ref="A1:G1"/>
  </mergeCells>
  <pageMargins left="0.511811024" right="0.511811024" top="0.78740157499999996" bottom="0.78740157499999996" header="0.31496062000000002" footer="0.3149606200000000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notContainsText" priority="1" operator="notContains" id="{B1EC8B08-1EE9-4BA5-AB3A-4A2433094292}">
            <xm:f>ISERROR(SEARCH(C3,B3))</xm:f>
            <xm:f>C3</xm:f>
            <x14:dxf>
              <fill>
                <patternFill>
                  <bgColor theme="5" tint="0.39994506668294322"/>
                </patternFill>
              </fill>
            </x14:dxf>
          </x14:cfRule>
          <xm:sqref>B3:B102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7EC13-7091-4996-9830-3CF40BEC1970}">
  <sheetPr codeName="Planilha14"/>
  <dimension ref="A1:G102"/>
  <sheetViews>
    <sheetView workbookViewId="0">
      <selection activeCell="C15" sqref="C15"/>
    </sheetView>
  </sheetViews>
  <sheetFormatPr defaultRowHeight="15" x14ac:dyDescent="0.25"/>
  <cols>
    <col min="1" max="1" width="11.85546875" style="5" customWidth="1"/>
    <col min="2" max="3" width="38.7109375" customWidth="1"/>
    <col min="4" max="4" width="12.42578125" hidden="1" customWidth="1"/>
    <col min="5" max="5" width="4.28515625" customWidth="1"/>
    <col min="6" max="6" width="22.7109375" style="3" customWidth="1"/>
    <col min="7" max="7" width="9.140625" bestFit="1" customWidth="1"/>
  </cols>
  <sheetData>
    <row r="1" spans="1:7" ht="21" x14ac:dyDescent="0.25">
      <c r="A1" s="12" t="s">
        <v>503</v>
      </c>
      <c r="B1" s="12"/>
      <c r="C1" s="12"/>
      <c r="D1" s="12"/>
      <c r="E1" s="12"/>
      <c r="F1" s="12"/>
      <c r="G1" s="12"/>
    </row>
    <row r="2" spans="1:7" x14ac:dyDescent="0.25">
      <c r="A2" s="4" t="s">
        <v>11</v>
      </c>
      <c r="B2" s="4" t="s">
        <v>12</v>
      </c>
      <c r="C2" s="4" t="s">
        <v>13</v>
      </c>
      <c r="D2" s="4" t="s">
        <v>14</v>
      </c>
      <c r="F2" s="4" t="s">
        <v>16</v>
      </c>
      <c r="G2" s="3">
        <f>COUNTIF(D:D,"Verdadeiro")</f>
        <v>100</v>
      </c>
    </row>
    <row r="3" spans="1:7" x14ac:dyDescent="0.25">
      <c r="A3" s="9" t="s">
        <v>1539</v>
      </c>
      <c r="B3" s="5"/>
      <c r="C3" s="5" t="s">
        <v>503</v>
      </c>
      <c r="D3" t="b">
        <f>B3&lt;&gt;C3</f>
        <v>1</v>
      </c>
      <c r="F3" s="4" t="s">
        <v>17</v>
      </c>
      <c r="G3" s="10">
        <f>SUM(G5:G30)</f>
        <v>100</v>
      </c>
    </row>
    <row r="4" spans="1:7" x14ac:dyDescent="0.25">
      <c r="A4" t="s">
        <v>15</v>
      </c>
      <c r="B4" s="5"/>
      <c r="C4" s="5" t="s">
        <v>1650</v>
      </c>
      <c r="D4" t="b">
        <f>B4&lt;&gt;C4</f>
        <v>1</v>
      </c>
    </row>
    <row r="5" spans="1:7" x14ac:dyDescent="0.25">
      <c r="A5" t="s">
        <v>15</v>
      </c>
      <c r="B5" s="5"/>
      <c r="C5" s="5" t="s">
        <v>1651</v>
      </c>
      <c r="D5" t="b">
        <f t="shared" ref="D5:D69" si="0">B5&lt;&gt;C5</f>
        <v>1</v>
      </c>
      <c r="F5" s="6" t="s">
        <v>19</v>
      </c>
      <c r="G5" s="1"/>
    </row>
    <row r="6" spans="1:7" x14ac:dyDescent="0.25">
      <c r="A6" t="s">
        <v>15</v>
      </c>
      <c r="B6" s="5"/>
      <c r="C6" s="5" t="s">
        <v>47</v>
      </c>
      <c r="D6" t="b">
        <f t="shared" si="0"/>
        <v>1</v>
      </c>
      <c r="F6" s="7" t="s">
        <v>15</v>
      </c>
      <c r="G6" s="2">
        <f>COUNTIF(A:A,F6)</f>
        <v>35</v>
      </c>
    </row>
    <row r="7" spans="1:7" x14ac:dyDescent="0.25">
      <c r="A7" t="s">
        <v>15</v>
      </c>
      <c r="B7" s="5"/>
      <c r="C7" s="5" t="s">
        <v>1652</v>
      </c>
      <c r="D7" t="b">
        <f t="shared" si="0"/>
        <v>1</v>
      </c>
      <c r="F7" s="3" t="s">
        <v>1539</v>
      </c>
      <c r="G7" s="2">
        <f>COUNTIF(A:A,F7)</f>
        <v>1</v>
      </c>
    </row>
    <row r="8" spans="1:7" x14ac:dyDescent="0.25">
      <c r="A8" t="s">
        <v>15</v>
      </c>
      <c r="B8" s="5"/>
      <c r="C8" s="5" t="s">
        <v>1653</v>
      </c>
      <c r="D8" t="b">
        <f t="shared" si="0"/>
        <v>1</v>
      </c>
      <c r="F8" s="7" t="s">
        <v>2</v>
      </c>
      <c r="G8" s="2">
        <f>COUNTIF(A:A,F8)</f>
        <v>55</v>
      </c>
    </row>
    <row r="9" spans="1:7" x14ac:dyDescent="0.25">
      <c r="A9" t="s">
        <v>15</v>
      </c>
      <c r="B9" s="5"/>
      <c r="C9" s="5" t="s">
        <v>505</v>
      </c>
      <c r="D9" t="b">
        <f t="shared" si="0"/>
        <v>1</v>
      </c>
      <c r="F9" s="7" t="s">
        <v>121</v>
      </c>
      <c r="G9" s="2">
        <f>COUNTIF(A:A,F9)</f>
        <v>6</v>
      </c>
    </row>
    <row r="10" spans="1:7" x14ac:dyDescent="0.25">
      <c r="A10" t="s">
        <v>15</v>
      </c>
      <c r="B10" s="5"/>
      <c r="C10" s="5" t="s">
        <v>506</v>
      </c>
      <c r="D10" t="b">
        <f t="shared" si="0"/>
        <v>1</v>
      </c>
      <c r="F10" s="7" t="s">
        <v>290</v>
      </c>
      <c r="G10" s="2">
        <f>COUNTIF(A:A,F10)</f>
        <v>3</v>
      </c>
    </row>
    <row r="11" spans="1:7" x14ac:dyDescent="0.25">
      <c r="A11" t="s">
        <v>15</v>
      </c>
      <c r="B11" s="5"/>
      <c r="C11" s="5" t="s">
        <v>507</v>
      </c>
      <c r="D11" t="b">
        <f t="shared" si="0"/>
        <v>1</v>
      </c>
      <c r="F11" s="7"/>
      <c r="G11" s="2"/>
    </row>
    <row r="12" spans="1:7" x14ac:dyDescent="0.25">
      <c r="A12" t="s">
        <v>15</v>
      </c>
      <c r="B12" s="5"/>
      <c r="C12" s="5" t="s">
        <v>509</v>
      </c>
      <c r="D12" t="b">
        <f t="shared" si="0"/>
        <v>1</v>
      </c>
      <c r="F12" s="7"/>
      <c r="G12" s="2"/>
    </row>
    <row r="13" spans="1:7" x14ac:dyDescent="0.25">
      <c r="A13" t="s">
        <v>15</v>
      </c>
      <c r="B13" s="5"/>
      <c r="C13" s="5" t="s">
        <v>510</v>
      </c>
      <c r="D13" t="b">
        <f t="shared" si="0"/>
        <v>1</v>
      </c>
      <c r="F13" s="7"/>
      <c r="G13" s="2"/>
    </row>
    <row r="14" spans="1:7" x14ac:dyDescent="0.25">
      <c r="A14" t="s">
        <v>15</v>
      </c>
      <c r="B14" s="5"/>
      <c r="C14" s="5" t="s">
        <v>49</v>
      </c>
      <c r="D14" t="b">
        <f t="shared" si="0"/>
        <v>1</v>
      </c>
      <c r="G14" s="2"/>
    </row>
    <row r="15" spans="1:7" x14ac:dyDescent="0.25">
      <c r="A15" t="s">
        <v>15</v>
      </c>
      <c r="B15" s="5"/>
      <c r="C15" s="5" t="s">
        <v>666</v>
      </c>
      <c r="D15" t="b">
        <f t="shared" si="0"/>
        <v>1</v>
      </c>
      <c r="G15" s="2"/>
    </row>
    <row r="16" spans="1:7" x14ac:dyDescent="0.25">
      <c r="A16" t="s">
        <v>15</v>
      </c>
      <c r="B16" s="5"/>
      <c r="C16" s="5" t="s">
        <v>295</v>
      </c>
      <c r="D16" t="b">
        <f t="shared" si="0"/>
        <v>1</v>
      </c>
      <c r="F16" s="7"/>
      <c r="G16" s="2"/>
    </row>
    <row r="17" spans="1:7" x14ac:dyDescent="0.25">
      <c r="A17" t="s">
        <v>15</v>
      </c>
      <c r="B17" s="5"/>
      <c r="C17" s="5" t="s">
        <v>296</v>
      </c>
      <c r="D17" t="b">
        <f t="shared" si="0"/>
        <v>1</v>
      </c>
      <c r="F17" s="4"/>
      <c r="G17" s="2"/>
    </row>
    <row r="18" spans="1:7" x14ac:dyDescent="0.25">
      <c r="A18" t="s">
        <v>15</v>
      </c>
      <c r="B18" s="5"/>
      <c r="C18" s="5" t="s">
        <v>293</v>
      </c>
      <c r="D18" t="b">
        <f t="shared" si="0"/>
        <v>1</v>
      </c>
      <c r="F18" s="4"/>
      <c r="G18" s="2"/>
    </row>
    <row r="19" spans="1:7" x14ac:dyDescent="0.25">
      <c r="A19" t="s">
        <v>15</v>
      </c>
      <c r="B19" s="5"/>
      <c r="C19" s="5" t="s">
        <v>48</v>
      </c>
      <c r="D19" t="b">
        <f t="shared" si="0"/>
        <v>1</v>
      </c>
    </row>
    <row r="20" spans="1:7" x14ac:dyDescent="0.25">
      <c r="A20" t="s">
        <v>15</v>
      </c>
      <c r="B20" s="5"/>
      <c r="C20" s="5" t="s">
        <v>294</v>
      </c>
      <c r="D20" t="b">
        <f t="shared" si="0"/>
        <v>1</v>
      </c>
    </row>
    <row r="21" spans="1:7" x14ac:dyDescent="0.25">
      <c r="A21" t="s">
        <v>15</v>
      </c>
      <c r="B21" s="5"/>
      <c r="C21" s="5" t="s">
        <v>50</v>
      </c>
      <c r="D21" t="b">
        <f t="shared" si="0"/>
        <v>1</v>
      </c>
    </row>
    <row r="22" spans="1:7" x14ac:dyDescent="0.25">
      <c r="A22" t="s">
        <v>15</v>
      </c>
      <c r="B22" s="5"/>
      <c r="C22" s="5" t="s">
        <v>297</v>
      </c>
      <c r="D22" t="b">
        <f t="shared" si="0"/>
        <v>1</v>
      </c>
    </row>
    <row r="23" spans="1:7" x14ac:dyDescent="0.25">
      <c r="A23" t="s">
        <v>15</v>
      </c>
      <c r="B23" s="5"/>
      <c r="C23" s="5" t="s">
        <v>43</v>
      </c>
      <c r="D23" t="b">
        <f t="shared" si="0"/>
        <v>1</v>
      </c>
    </row>
    <row r="24" spans="1:7" x14ac:dyDescent="0.25">
      <c r="A24" t="s">
        <v>15</v>
      </c>
      <c r="B24" s="5"/>
      <c r="C24" s="5" t="s">
        <v>513</v>
      </c>
      <c r="D24" t="b">
        <f t="shared" si="0"/>
        <v>1</v>
      </c>
    </row>
    <row r="25" spans="1:7" x14ac:dyDescent="0.25">
      <c r="A25" t="s">
        <v>15</v>
      </c>
      <c r="B25" s="5"/>
      <c r="C25" s="5" t="s">
        <v>20</v>
      </c>
      <c r="D25" t="b">
        <f t="shared" si="0"/>
        <v>1</v>
      </c>
    </row>
    <row r="26" spans="1:7" x14ac:dyDescent="0.25">
      <c r="A26" t="s">
        <v>15</v>
      </c>
      <c r="B26" s="5"/>
      <c r="C26" s="5" t="s">
        <v>1649</v>
      </c>
      <c r="D26" t="b">
        <f t="shared" si="0"/>
        <v>1</v>
      </c>
    </row>
    <row r="27" spans="1:7" x14ac:dyDescent="0.25">
      <c r="A27" t="s">
        <v>15</v>
      </c>
      <c r="B27" s="5"/>
      <c r="C27" s="5" t="s">
        <v>2286</v>
      </c>
      <c r="D27" t="b">
        <f>B27&lt;&gt;C27</f>
        <v>1</v>
      </c>
    </row>
    <row r="28" spans="1:7" x14ac:dyDescent="0.25">
      <c r="A28" t="s">
        <v>15</v>
      </c>
      <c r="B28" s="5"/>
      <c r="C28" s="5" t="s">
        <v>62</v>
      </c>
      <c r="D28" t="b">
        <f t="shared" si="0"/>
        <v>1</v>
      </c>
    </row>
    <row r="29" spans="1:7" x14ac:dyDescent="0.25">
      <c r="A29" t="s">
        <v>15</v>
      </c>
      <c r="B29" s="5"/>
      <c r="C29" s="5" t="s">
        <v>62</v>
      </c>
      <c r="D29" t="b">
        <f t="shared" si="0"/>
        <v>1</v>
      </c>
    </row>
    <row r="30" spans="1:7" x14ac:dyDescent="0.25">
      <c r="A30" t="s">
        <v>15</v>
      </c>
      <c r="B30" s="5"/>
      <c r="C30" s="5" t="s">
        <v>60</v>
      </c>
      <c r="D30" t="b">
        <f t="shared" si="0"/>
        <v>1</v>
      </c>
    </row>
    <row r="31" spans="1:7" x14ac:dyDescent="0.25">
      <c r="A31" t="s">
        <v>15</v>
      </c>
      <c r="B31" s="5"/>
      <c r="C31" s="5" t="s">
        <v>60</v>
      </c>
      <c r="D31" t="b">
        <f t="shared" si="0"/>
        <v>1</v>
      </c>
    </row>
    <row r="32" spans="1:7" x14ac:dyDescent="0.25">
      <c r="A32" t="s">
        <v>15</v>
      </c>
      <c r="B32" s="5"/>
      <c r="C32" s="5" t="s">
        <v>122</v>
      </c>
      <c r="D32" t="b">
        <f t="shared" si="0"/>
        <v>1</v>
      </c>
    </row>
    <row r="33" spans="1:7" x14ac:dyDescent="0.25">
      <c r="A33" t="s">
        <v>15</v>
      </c>
      <c r="B33" s="5"/>
      <c r="C33" s="5" t="s">
        <v>122</v>
      </c>
      <c r="D33" t="b">
        <f t="shared" si="0"/>
        <v>1</v>
      </c>
    </row>
    <row r="34" spans="1:7" x14ac:dyDescent="0.25">
      <c r="A34" t="s">
        <v>15</v>
      </c>
      <c r="B34" s="5"/>
      <c r="C34" s="5" t="s">
        <v>61</v>
      </c>
      <c r="D34" t="b">
        <f t="shared" si="0"/>
        <v>1</v>
      </c>
    </row>
    <row r="35" spans="1:7" x14ac:dyDescent="0.25">
      <c r="A35" t="s">
        <v>15</v>
      </c>
      <c r="B35" s="5"/>
      <c r="C35" s="5" t="s">
        <v>61</v>
      </c>
      <c r="D35" t="b">
        <f t="shared" si="0"/>
        <v>1</v>
      </c>
    </row>
    <row r="36" spans="1:7" x14ac:dyDescent="0.25">
      <c r="A36" t="s">
        <v>15</v>
      </c>
      <c r="B36" s="5"/>
      <c r="C36" s="5" t="s">
        <v>61</v>
      </c>
      <c r="D36" t="b">
        <f t="shared" si="0"/>
        <v>1</v>
      </c>
    </row>
    <row r="37" spans="1:7" x14ac:dyDescent="0.25">
      <c r="A37" t="s">
        <v>15</v>
      </c>
      <c r="B37" s="5"/>
      <c r="C37" s="5" t="s">
        <v>172</v>
      </c>
      <c r="D37" t="b">
        <f t="shared" si="0"/>
        <v>1</v>
      </c>
    </row>
    <row r="38" spans="1:7" x14ac:dyDescent="0.25">
      <c r="A38" t="s">
        <v>15</v>
      </c>
      <c r="B38" s="5"/>
      <c r="C38" s="5" t="s">
        <v>172</v>
      </c>
      <c r="D38" t="b">
        <f t="shared" si="0"/>
        <v>1</v>
      </c>
    </row>
    <row r="39" spans="1:7" x14ac:dyDescent="0.25">
      <c r="A39" t="s">
        <v>2</v>
      </c>
      <c r="B39" s="5"/>
      <c r="C39" s="5" t="s">
        <v>514</v>
      </c>
      <c r="D39" t="b">
        <f t="shared" si="0"/>
        <v>1</v>
      </c>
    </row>
    <row r="40" spans="1:7" x14ac:dyDescent="0.25">
      <c r="A40" t="s">
        <v>2</v>
      </c>
      <c r="B40" s="5"/>
      <c r="C40" s="5" t="s">
        <v>515</v>
      </c>
      <c r="D40" t="b">
        <f t="shared" si="0"/>
        <v>1</v>
      </c>
    </row>
    <row r="41" spans="1:7" x14ac:dyDescent="0.25">
      <c r="A41" t="s">
        <v>2</v>
      </c>
      <c r="B41" s="5"/>
      <c r="C41" s="5" t="s">
        <v>516</v>
      </c>
      <c r="D41" t="b">
        <f t="shared" si="0"/>
        <v>1</v>
      </c>
    </row>
    <row r="42" spans="1:7" x14ac:dyDescent="0.25">
      <c r="A42" t="s">
        <v>2</v>
      </c>
      <c r="B42" s="5"/>
      <c r="C42" s="5" t="s">
        <v>517</v>
      </c>
      <c r="D42" t="b">
        <f t="shared" si="0"/>
        <v>1</v>
      </c>
    </row>
    <row r="43" spans="1:7" x14ac:dyDescent="0.25">
      <c r="A43" t="s">
        <v>2</v>
      </c>
      <c r="B43" s="5"/>
      <c r="C43" s="5" t="s">
        <v>519</v>
      </c>
      <c r="D43" t="b">
        <f t="shared" si="0"/>
        <v>1</v>
      </c>
    </row>
    <row r="44" spans="1:7" x14ac:dyDescent="0.25">
      <c r="A44" t="s">
        <v>2</v>
      </c>
      <c r="B44" s="5"/>
      <c r="C44" s="5" t="s">
        <v>2282</v>
      </c>
      <c r="D44" t="b">
        <f t="shared" si="0"/>
        <v>1</v>
      </c>
      <c r="G44" s="5"/>
    </row>
    <row r="45" spans="1:7" x14ac:dyDescent="0.25">
      <c r="A45" t="s">
        <v>2</v>
      </c>
      <c r="B45" s="5"/>
      <c r="C45" s="5" t="s">
        <v>2294</v>
      </c>
      <c r="D45" t="b">
        <f t="shared" si="0"/>
        <v>1</v>
      </c>
      <c r="G45" s="5"/>
    </row>
    <row r="46" spans="1:7" x14ac:dyDescent="0.25">
      <c r="A46" t="s">
        <v>2</v>
      </c>
      <c r="B46" s="5"/>
      <c r="C46" s="5" t="s">
        <v>2279</v>
      </c>
      <c r="D46" t="b">
        <f t="shared" si="0"/>
        <v>1</v>
      </c>
      <c r="G46" s="5"/>
    </row>
    <row r="47" spans="1:7" x14ac:dyDescent="0.25">
      <c r="A47" t="s">
        <v>2</v>
      </c>
      <c r="B47" s="5"/>
      <c r="C47" s="5" t="s">
        <v>2283</v>
      </c>
      <c r="D47" t="b">
        <f t="shared" si="0"/>
        <v>1</v>
      </c>
      <c r="G47" s="5"/>
    </row>
    <row r="48" spans="1:7" x14ac:dyDescent="0.25">
      <c r="A48" t="s">
        <v>2</v>
      </c>
      <c r="B48" s="5"/>
      <c r="C48" s="5" t="s">
        <v>2285</v>
      </c>
      <c r="D48" t="b">
        <f t="shared" si="0"/>
        <v>1</v>
      </c>
      <c r="G48" s="5"/>
    </row>
    <row r="49" spans="1:7" x14ac:dyDescent="0.25">
      <c r="A49" t="s">
        <v>2</v>
      </c>
      <c r="B49" s="5"/>
      <c r="C49" s="5" t="s">
        <v>542</v>
      </c>
      <c r="D49" t="b">
        <f t="shared" si="0"/>
        <v>1</v>
      </c>
      <c r="G49" s="5"/>
    </row>
    <row r="50" spans="1:7" x14ac:dyDescent="0.25">
      <c r="A50" t="s">
        <v>2</v>
      </c>
      <c r="B50" s="5"/>
      <c r="C50" s="5" t="s">
        <v>2296</v>
      </c>
      <c r="D50" t="b">
        <f t="shared" si="0"/>
        <v>1</v>
      </c>
      <c r="G50" s="5"/>
    </row>
    <row r="51" spans="1:7" x14ac:dyDescent="0.25">
      <c r="A51" t="s">
        <v>2</v>
      </c>
      <c r="B51" s="5"/>
      <c r="C51" s="5" t="s">
        <v>557</v>
      </c>
      <c r="D51" t="b">
        <f t="shared" si="0"/>
        <v>1</v>
      </c>
      <c r="G51" s="5"/>
    </row>
    <row r="52" spans="1:7" x14ac:dyDescent="0.25">
      <c r="A52" t="s">
        <v>2</v>
      </c>
      <c r="B52" s="5"/>
      <c r="C52" s="5" t="s">
        <v>2295</v>
      </c>
      <c r="D52" t="b">
        <f t="shared" si="0"/>
        <v>1</v>
      </c>
      <c r="G52" s="5"/>
    </row>
    <row r="53" spans="1:7" x14ac:dyDescent="0.25">
      <c r="A53" t="s">
        <v>2</v>
      </c>
      <c r="B53" s="5"/>
      <c r="C53" s="5" t="s">
        <v>554</v>
      </c>
      <c r="D53" t="b">
        <f t="shared" si="0"/>
        <v>1</v>
      </c>
      <c r="G53" s="5"/>
    </row>
    <row r="54" spans="1:7" x14ac:dyDescent="0.25">
      <c r="A54" t="s">
        <v>2</v>
      </c>
      <c r="B54" s="5"/>
      <c r="C54" s="5" t="s">
        <v>520</v>
      </c>
      <c r="D54" t="b">
        <f t="shared" si="0"/>
        <v>1</v>
      </c>
      <c r="G54" s="5"/>
    </row>
    <row r="55" spans="1:7" x14ac:dyDescent="0.25">
      <c r="A55" t="s">
        <v>2</v>
      </c>
      <c r="B55" s="5"/>
      <c r="C55" s="5" t="s">
        <v>521</v>
      </c>
      <c r="D55" t="b">
        <f t="shared" si="0"/>
        <v>1</v>
      </c>
      <c r="G55" s="5"/>
    </row>
    <row r="56" spans="1:7" x14ac:dyDescent="0.25">
      <c r="A56" t="s">
        <v>2</v>
      </c>
      <c r="B56" s="5"/>
      <c r="C56" s="5" t="s">
        <v>523</v>
      </c>
      <c r="D56" t="b">
        <f t="shared" si="0"/>
        <v>1</v>
      </c>
      <c r="G56" s="5"/>
    </row>
    <row r="57" spans="1:7" x14ac:dyDescent="0.25">
      <c r="A57" t="s">
        <v>2</v>
      </c>
      <c r="B57" s="5"/>
      <c r="C57" s="5" t="s">
        <v>524</v>
      </c>
      <c r="D57" t="b">
        <f t="shared" si="0"/>
        <v>1</v>
      </c>
      <c r="G57" s="5"/>
    </row>
    <row r="58" spans="1:7" x14ac:dyDescent="0.25">
      <c r="A58" t="s">
        <v>2</v>
      </c>
      <c r="B58" s="5"/>
      <c r="C58" s="5" t="s">
        <v>525</v>
      </c>
      <c r="D58" t="b">
        <f t="shared" si="0"/>
        <v>1</v>
      </c>
      <c r="G58" s="5"/>
    </row>
    <row r="59" spans="1:7" x14ac:dyDescent="0.25">
      <c r="A59" t="s">
        <v>2</v>
      </c>
      <c r="B59" s="5"/>
      <c r="C59" s="5" t="s">
        <v>528</v>
      </c>
      <c r="D59" t="b">
        <f t="shared" si="0"/>
        <v>1</v>
      </c>
      <c r="G59" s="5"/>
    </row>
    <row r="60" spans="1:7" x14ac:dyDescent="0.25">
      <c r="A60" t="s">
        <v>2</v>
      </c>
      <c r="B60" s="5"/>
      <c r="C60" s="5" t="s">
        <v>531</v>
      </c>
      <c r="D60" t="b">
        <f t="shared" si="0"/>
        <v>1</v>
      </c>
      <c r="G60" s="5"/>
    </row>
    <row r="61" spans="1:7" x14ac:dyDescent="0.25">
      <c r="A61" t="s">
        <v>2</v>
      </c>
      <c r="B61" s="5"/>
      <c r="C61" s="5" t="s">
        <v>534</v>
      </c>
      <c r="D61" t="b">
        <f t="shared" si="0"/>
        <v>1</v>
      </c>
      <c r="G61" s="5"/>
    </row>
    <row r="62" spans="1:7" x14ac:dyDescent="0.25">
      <c r="A62" t="s">
        <v>2</v>
      </c>
      <c r="B62" s="5"/>
      <c r="C62" s="5" t="s">
        <v>536</v>
      </c>
      <c r="D62" t="b">
        <f t="shared" si="0"/>
        <v>1</v>
      </c>
      <c r="G62" s="5"/>
    </row>
    <row r="63" spans="1:7" x14ac:dyDescent="0.25">
      <c r="A63" t="s">
        <v>2</v>
      </c>
      <c r="B63" s="5"/>
      <c r="C63" s="5" t="s">
        <v>537</v>
      </c>
      <c r="D63" t="b">
        <f t="shared" si="0"/>
        <v>1</v>
      </c>
      <c r="G63" s="5"/>
    </row>
    <row r="64" spans="1:7" x14ac:dyDescent="0.25">
      <c r="A64" t="s">
        <v>2</v>
      </c>
      <c r="B64" s="5"/>
      <c r="C64" s="5" t="s">
        <v>556</v>
      </c>
      <c r="D64" t="b">
        <f t="shared" si="0"/>
        <v>1</v>
      </c>
      <c r="G64" s="5"/>
    </row>
    <row r="65" spans="1:7" x14ac:dyDescent="0.25">
      <c r="A65" t="s">
        <v>2</v>
      </c>
      <c r="B65" s="5"/>
      <c r="C65" s="5" t="s">
        <v>540</v>
      </c>
      <c r="D65" t="b">
        <f t="shared" si="0"/>
        <v>1</v>
      </c>
      <c r="G65" s="5"/>
    </row>
    <row r="66" spans="1:7" x14ac:dyDescent="0.25">
      <c r="A66" t="s">
        <v>2</v>
      </c>
      <c r="B66" s="5"/>
      <c r="C66" s="5" t="s">
        <v>548</v>
      </c>
      <c r="D66" t="b">
        <f t="shared" si="0"/>
        <v>1</v>
      </c>
      <c r="G66" s="5"/>
    </row>
    <row r="67" spans="1:7" x14ac:dyDescent="0.25">
      <c r="A67" t="s">
        <v>2</v>
      </c>
      <c r="B67" s="5"/>
      <c r="C67" s="5" t="s">
        <v>549</v>
      </c>
      <c r="D67" t="b">
        <f t="shared" si="0"/>
        <v>1</v>
      </c>
    </row>
    <row r="68" spans="1:7" x14ac:dyDescent="0.25">
      <c r="A68" t="s">
        <v>2</v>
      </c>
      <c r="B68" s="5"/>
      <c r="C68" s="5" t="s">
        <v>550</v>
      </c>
      <c r="D68" t="b">
        <f t="shared" si="0"/>
        <v>1</v>
      </c>
      <c r="G68" s="5"/>
    </row>
    <row r="69" spans="1:7" x14ac:dyDescent="0.25">
      <c r="A69" t="s">
        <v>2</v>
      </c>
      <c r="B69" s="5"/>
      <c r="C69" s="5" t="s">
        <v>552</v>
      </c>
      <c r="D69" t="b">
        <f t="shared" si="0"/>
        <v>1</v>
      </c>
      <c r="G69" s="5"/>
    </row>
    <row r="70" spans="1:7" x14ac:dyDescent="0.25">
      <c r="A70" t="s">
        <v>2</v>
      </c>
      <c r="B70" s="5"/>
      <c r="C70" s="5" t="s">
        <v>529</v>
      </c>
      <c r="D70" t="b">
        <f t="shared" ref="D70:D102" si="1">B70&lt;&gt;C70</f>
        <v>1</v>
      </c>
      <c r="G70" s="5"/>
    </row>
    <row r="71" spans="1:7" x14ac:dyDescent="0.25">
      <c r="A71" t="s">
        <v>2</v>
      </c>
      <c r="B71" s="5"/>
      <c r="C71" s="5" t="s">
        <v>530</v>
      </c>
      <c r="D71" t="b">
        <f t="shared" si="1"/>
        <v>1</v>
      </c>
      <c r="G71" s="5"/>
    </row>
    <row r="72" spans="1:7" x14ac:dyDescent="0.25">
      <c r="A72" t="s">
        <v>2</v>
      </c>
      <c r="B72" s="5"/>
      <c r="C72" s="5" t="s">
        <v>532</v>
      </c>
      <c r="D72" t="b">
        <f t="shared" si="1"/>
        <v>1</v>
      </c>
      <c r="G72" s="5"/>
    </row>
    <row r="73" spans="1:7" x14ac:dyDescent="0.25">
      <c r="A73" t="s">
        <v>2</v>
      </c>
      <c r="B73" s="5"/>
      <c r="C73" s="5" t="s">
        <v>533</v>
      </c>
      <c r="D73" t="b">
        <f t="shared" si="1"/>
        <v>1</v>
      </c>
      <c r="G73" s="5"/>
    </row>
    <row r="74" spans="1:7" x14ac:dyDescent="0.25">
      <c r="A74" t="s">
        <v>2</v>
      </c>
      <c r="B74" s="5"/>
      <c r="C74" s="5" t="s">
        <v>535</v>
      </c>
      <c r="D74" t="b">
        <f t="shared" si="1"/>
        <v>1</v>
      </c>
      <c r="G74" s="5"/>
    </row>
    <row r="75" spans="1:7" x14ac:dyDescent="0.25">
      <c r="A75" t="s">
        <v>2</v>
      </c>
      <c r="B75" s="5"/>
      <c r="C75" s="5" t="s">
        <v>539</v>
      </c>
      <c r="D75" t="b">
        <f t="shared" si="1"/>
        <v>1</v>
      </c>
      <c r="G75" s="5"/>
    </row>
    <row r="76" spans="1:7" x14ac:dyDescent="0.25">
      <c r="A76" t="s">
        <v>2</v>
      </c>
      <c r="B76" s="5"/>
      <c r="C76" s="5" t="s">
        <v>544</v>
      </c>
      <c r="D76" t="b">
        <f t="shared" si="1"/>
        <v>1</v>
      </c>
      <c r="G76" s="5"/>
    </row>
    <row r="77" spans="1:7" x14ac:dyDescent="0.25">
      <c r="A77" t="s">
        <v>2</v>
      </c>
      <c r="B77" s="5"/>
      <c r="C77" s="5" t="s">
        <v>545</v>
      </c>
      <c r="D77" t="b">
        <f t="shared" si="1"/>
        <v>1</v>
      </c>
      <c r="G77" s="5"/>
    </row>
    <row r="78" spans="1:7" x14ac:dyDescent="0.25">
      <c r="A78" t="s">
        <v>2</v>
      </c>
      <c r="B78" s="5"/>
      <c r="C78" s="5" t="s">
        <v>546</v>
      </c>
      <c r="D78" t="b">
        <f t="shared" si="1"/>
        <v>1</v>
      </c>
      <c r="G78" s="5"/>
    </row>
    <row r="79" spans="1:7" x14ac:dyDescent="0.25">
      <c r="A79" t="s">
        <v>2</v>
      </c>
      <c r="B79" s="5"/>
      <c r="C79" s="5" t="s">
        <v>547</v>
      </c>
      <c r="D79" t="b">
        <f t="shared" si="1"/>
        <v>1</v>
      </c>
      <c r="G79" s="5"/>
    </row>
    <row r="80" spans="1:7" x14ac:dyDescent="0.25">
      <c r="A80" t="s">
        <v>2</v>
      </c>
      <c r="B80" s="5"/>
      <c r="C80" s="5" t="s">
        <v>522</v>
      </c>
      <c r="D80" t="b">
        <f t="shared" si="1"/>
        <v>1</v>
      </c>
      <c r="G80" s="5"/>
    </row>
    <row r="81" spans="1:7" x14ac:dyDescent="0.25">
      <c r="A81" t="s">
        <v>2</v>
      </c>
      <c r="B81" s="5"/>
      <c r="C81" s="5" t="s">
        <v>526</v>
      </c>
      <c r="D81" t="b">
        <f t="shared" si="1"/>
        <v>1</v>
      </c>
    </row>
    <row r="82" spans="1:7" x14ac:dyDescent="0.25">
      <c r="A82" t="s">
        <v>2</v>
      </c>
      <c r="B82" s="5"/>
      <c r="C82" s="5" t="s">
        <v>527</v>
      </c>
      <c r="D82" t="b">
        <f t="shared" ref="D82:D94" si="2">B82&lt;&gt;C82</f>
        <v>1</v>
      </c>
      <c r="G82" s="5"/>
    </row>
    <row r="83" spans="1:7" x14ac:dyDescent="0.25">
      <c r="A83" t="s">
        <v>2</v>
      </c>
      <c r="B83" s="5"/>
      <c r="C83" s="5" t="s">
        <v>553</v>
      </c>
      <c r="D83" t="b">
        <f t="shared" si="2"/>
        <v>1</v>
      </c>
      <c r="E83" t="s">
        <v>2293</v>
      </c>
      <c r="G83" s="5"/>
    </row>
    <row r="84" spans="1:7" x14ac:dyDescent="0.25">
      <c r="A84" t="s">
        <v>2</v>
      </c>
      <c r="B84" s="5"/>
      <c r="C84" s="5" t="s">
        <v>551</v>
      </c>
      <c r="D84" t="b">
        <f t="shared" si="2"/>
        <v>1</v>
      </c>
      <c r="E84" t="s">
        <v>543</v>
      </c>
      <c r="G84" s="5"/>
    </row>
    <row r="85" spans="1:7" x14ac:dyDescent="0.25">
      <c r="A85" t="s">
        <v>2</v>
      </c>
      <c r="B85" s="5"/>
      <c r="C85" s="5" t="s">
        <v>547</v>
      </c>
      <c r="D85" t="b">
        <f t="shared" si="2"/>
        <v>1</v>
      </c>
      <c r="E85" t="s">
        <v>2288</v>
      </c>
      <c r="G85" s="5"/>
    </row>
    <row r="86" spans="1:7" x14ac:dyDescent="0.25">
      <c r="A86" t="s">
        <v>2</v>
      </c>
      <c r="B86" s="5"/>
      <c r="C86" s="5" t="s">
        <v>555</v>
      </c>
      <c r="D86" t="b">
        <f t="shared" si="2"/>
        <v>1</v>
      </c>
      <c r="E86" t="s">
        <v>2292</v>
      </c>
      <c r="G86" s="5"/>
    </row>
    <row r="87" spans="1:7" x14ac:dyDescent="0.25">
      <c r="A87" t="s">
        <v>2</v>
      </c>
      <c r="B87" s="5"/>
      <c r="C87" s="5" t="s">
        <v>541</v>
      </c>
      <c r="D87" t="b">
        <f t="shared" si="2"/>
        <v>1</v>
      </c>
      <c r="E87" t="s">
        <v>2290</v>
      </c>
      <c r="G87" s="5"/>
    </row>
    <row r="88" spans="1:7" x14ac:dyDescent="0.25">
      <c r="A88" t="s">
        <v>2</v>
      </c>
      <c r="B88" s="5"/>
      <c r="C88" s="5" t="s">
        <v>2287</v>
      </c>
      <c r="D88" t="b">
        <f t="shared" si="2"/>
        <v>1</v>
      </c>
      <c r="E88" t="s">
        <v>2291</v>
      </c>
      <c r="G88" s="5"/>
    </row>
    <row r="89" spans="1:7" x14ac:dyDescent="0.25">
      <c r="A89" t="s">
        <v>2</v>
      </c>
      <c r="B89" s="5"/>
      <c r="C89" s="5" t="s">
        <v>538</v>
      </c>
      <c r="D89" t="b">
        <f t="shared" si="2"/>
        <v>1</v>
      </c>
      <c r="E89" t="s">
        <v>2284</v>
      </c>
      <c r="G89" s="5"/>
    </row>
    <row r="90" spans="1:7" x14ac:dyDescent="0.25">
      <c r="A90" t="s">
        <v>2</v>
      </c>
      <c r="B90" s="5"/>
      <c r="C90" s="5" t="s">
        <v>2289</v>
      </c>
      <c r="D90" t="b">
        <f t="shared" si="2"/>
        <v>1</v>
      </c>
      <c r="G90" s="5"/>
    </row>
    <row r="91" spans="1:7" x14ac:dyDescent="0.25">
      <c r="A91" t="s">
        <v>2</v>
      </c>
      <c r="B91" s="5"/>
      <c r="C91" s="5" t="s">
        <v>518</v>
      </c>
      <c r="D91" t="b">
        <f t="shared" si="2"/>
        <v>1</v>
      </c>
      <c r="G91" s="5"/>
    </row>
    <row r="92" spans="1:7" x14ac:dyDescent="0.25">
      <c r="A92" t="s">
        <v>2</v>
      </c>
      <c r="B92" s="5"/>
      <c r="C92" s="5" t="s">
        <v>2280</v>
      </c>
      <c r="D92" t="b">
        <f t="shared" si="2"/>
        <v>1</v>
      </c>
      <c r="G92" s="5"/>
    </row>
    <row r="93" spans="1:7" x14ac:dyDescent="0.25">
      <c r="A93" t="s">
        <v>2</v>
      </c>
      <c r="B93" s="5"/>
      <c r="C93" s="5" t="s">
        <v>2281</v>
      </c>
      <c r="D93" t="b">
        <f t="shared" si="2"/>
        <v>1</v>
      </c>
      <c r="G93" s="5"/>
    </row>
    <row r="94" spans="1:7" x14ac:dyDescent="0.25">
      <c r="A94" t="s">
        <v>290</v>
      </c>
      <c r="B94" s="5"/>
      <c r="C94" s="5" t="s">
        <v>2107</v>
      </c>
      <c r="D94" t="b">
        <f t="shared" si="2"/>
        <v>1</v>
      </c>
    </row>
    <row r="95" spans="1:7" x14ac:dyDescent="0.25">
      <c r="A95" t="s">
        <v>290</v>
      </c>
      <c r="B95" s="5"/>
      <c r="C95" s="5" t="s">
        <v>558</v>
      </c>
      <c r="D95" t="b">
        <f t="shared" si="1"/>
        <v>1</v>
      </c>
    </row>
    <row r="96" spans="1:7" x14ac:dyDescent="0.25">
      <c r="A96" t="s">
        <v>290</v>
      </c>
      <c r="B96" s="5"/>
      <c r="C96" s="5" t="s">
        <v>559</v>
      </c>
      <c r="D96" t="b">
        <f t="shared" si="1"/>
        <v>1</v>
      </c>
    </row>
    <row r="97" spans="1:4" x14ac:dyDescent="0.25">
      <c r="A97" t="s">
        <v>121</v>
      </c>
      <c r="B97" s="5"/>
      <c r="C97" s="5" t="s">
        <v>560</v>
      </c>
      <c r="D97" t="b">
        <f t="shared" si="1"/>
        <v>1</v>
      </c>
    </row>
    <row r="98" spans="1:4" x14ac:dyDescent="0.25">
      <c r="A98" t="s">
        <v>121</v>
      </c>
      <c r="B98" s="5"/>
      <c r="C98" s="5" t="s">
        <v>561</v>
      </c>
      <c r="D98" t="b">
        <f t="shared" si="1"/>
        <v>1</v>
      </c>
    </row>
    <row r="99" spans="1:4" x14ac:dyDescent="0.25">
      <c r="A99" t="s">
        <v>121</v>
      </c>
      <c r="B99" s="5"/>
      <c r="C99" s="5" t="s">
        <v>562</v>
      </c>
      <c r="D99" t="b">
        <f t="shared" si="1"/>
        <v>1</v>
      </c>
    </row>
    <row r="100" spans="1:4" x14ac:dyDescent="0.25">
      <c r="A100" t="s">
        <v>121</v>
      </c>
      <c r="B100" s="5"/>
      <c r="C100" s="5" t="s">
        <v>1655</v>
      </c>
      <c r="D100" t="b">
        <f t="shared" si="1"/>
        <v>1</v>
      </c>
    </row>
    <row r="101" spans="1:4" x14ac:dyDescent="0.25">
      <c r="A101" t="s">
        <v>121</v>
      </c>
      <c r="B101" s="5"/>
      <c r="C101" s="5" t="s">
        <v>1654</v>
      </c>
      <c r="D101" t="b">
        <f t="shared" si="1"/>
        <v>1</v>
      </c>
    </row>
    <row r="102" spans="1:4" x14ac:dyDescent="0.25">
      <c r="A102" t="s">
        <v>121</v>
      </c>
      <c r="B102" s="5"/>
      <c r="C102" s="5" t="s">
        <v>1448</v>
      </c>
      <c r="D102" t="b">
        <f t="shared" si="1"/>
        <v>1</v>
      </c>
    </row>
  </sheetData>
  <mergeCells count="1">
    <mergeCell ref="A1:G1"/>
  </mergeCells>
  <pageMargins left="0.511811024" right="0.511811024" top="0.78740157499999996" bottom="0.78740157499999996" header="0.31496062000000002" footer="0.3149606200000000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notContainsText" priority="1" operator="notContains" id="{4B505829-E849-4B00-9363-76D693B7F984}">
            <xm:f>ISERROR(SEARCH(C3,B3))</xm:f>
            <xm:f>C3</xm:f>
            <x14:dxf>
              <fill>
                <patternFill>
                  <bgColor theme="5" tint="0.39994506668294322"/>
                </patternFill>
              </fill>
            </x14:dxf>
          </x14:cfRule>
          <xm:sqref>B3:B102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FBD3E-8E5B-41EA-888D-34F7C2569BBC}">
  <sheetPr codeName="Planilha22"/>
  <dimension ref="A1:G102"/>
  <sheetViews>
    <sheetView topLeftCell="A85" workbookViewId="0">
      <selection activeCell="C102" sqref="C102"/>
    </sheetView>
  </sheetViews>
  <sheetFormatPr defaultRowHeight="15" x14ac:dyDescent="0.25"/>
  <cols>
    <col min="1" max="1" width="11.85546875" style="5" customWidth="1"/>
    <col min="2" max="3" width="38.7109375" customWidth="1"/>
    <col min="4" max="4" width="12.42578125" hidden="1" customWidth="1"/>
    <col min="5" max="5" width="4.28515625" customWidth="1"/>
    <col min="6" max="6" width="22.7109375" style="3" customWidth="1"/>
    <col min="7" max="7" width="8.7109375" customWidth="1"/>
  </cols>
  <sheetData>
    <row r="1" spans="1:7" ht="21" x14ac:dyDescent="0.25">
      <c r="A1" s="12" t="s">
        <v>874</v>
      </c>
      <c r="B1" s="12"/>
      <c r="C1" s="12"/>
      <c r="D1" s="12"/>
      <c r="E1" s="12"/>
      <c r="F1" s="12"/>
      <c r="G1" s="12"/>
    </row>
    <row r="2" spans="1:7" x14ac:dyDescent="0.25">
      <c r="A2" s="4" t="s">
        <v>11</v>
      </c>
      <c r="B2" s="4" t="s">
        <v>12</v>
      </c>
      <c r="C2" s="4" t="s">
        <v>13</v>
      </c>
      <c r="D2" s="4" t="s">
        <v>14</v>
      </c>
      <c r="F2" s="4" t="s">
        <v>16</v>
      </c>
      <c r="G2" s="3">
        <f>COUNTIF(D:D,"Verdadeiro")</f>
        <v>12</v>
      </c>
    </row>
    <row r="3" spans="1:7" x14ac:dyDescent="0.25">
      <c r="A3" s="5" t="s">
        <v>1539</v>
      </c>
      <c r="B3" s="5" t="s">
        <v>1557</v>
      </c>
      <c r="C3" s="5" t="s">
        <v>1557</v>
      </c>
      <c r="D3" t="b">
        <f>B3&lt;&gt;C3</f>
        <v>0</v>
      </c>
      <c r="F3" s="4" t="s">
        <v>17</v>
      </c>
      <c r="G3" s="3">
        <f>SUM(G6:G26)</f>
        <v>100</v>
      </c>
    </row>
    <row r="4" spans="1:7" x14ac:dyDescent="0.25">
      <c r="A4" t="s">
        <v>15</v>
      </c>
      <c r="B4" s="5" t="s">
        <v>43</v>
      </c>
      <c r="C4" s="5" t="s">
        <v>43</v>
      </c>
      <c r="D4" t="b">
        <f>B4&lt;&gt;C4</f>
        <v>0</v>
      </c>
    </row>
    <row r="5" spans="1:7" x14ac:dyDescent="0.25">
      <c r="A5" t="s">
        <v>15</v>
      </c>
      <c r="B5" s="5" t="s">
        <v>20</v>
      </c>
      <c r="C5" s="5" t="s">
        <v>20</v>
      </c>
      <c r="D5" t="b">
        <f t="shared" ref="D5:D68" si="0">B5&lt;&gt;C5</f>
        <v>0</v>
      </c>
      <c r="F5" s="6" t="s">
        <v>19</v>
      </c>
      <c r="G5" s="1"/>
    </row>
    <row r="6" spans="1:7" x14ac:dyDescent="0.25">
      <c r="A6" t="s">
        <v>15</v>
      </c>
      <c r="B6" s="5" t="s">
        <v>391</v>
      </c>
      <c r="C6" s="5" t="s">
        <v>391</v>
      </c>
      <c r="D6" t="b">
        <f t="shared" si="0"/>
        <v>0</v>
      </c>
      <c r="F6" s="3" t="s">
        <v>1539</v>
      </c>
      <c r="G6" s="2">
        <f t="shared" ref="G6:G14" si="1">COUNTIF(A:A,F6)</f>
        <v>1</v>
      </c>
    </row>
    <row r="7" spans="1:7" x14ac:dyDescent="0.25">
      <c r="A7" t="s">
        <v>15</v>
      </c>
      <c r="B7" s="5" t="s">
        <v>1701</v>
      </c>
      <c r="C7" s="5" t="s">
        <v>1701</v>
      </c>
      <c r="D7" t="b">
        <f t="shared" si="0"/>
        <v>0</v>
      </c>
      <c r="F7" s="7" t="s">
        <v>15</v>
      </c>
      <c r="G7" s="2">
        <f t="shared" si="1"/>
        <v>35</v>
      </c>
    </row>
    <row r="8" spans="1:7" x14ac:dyDescent="0.25">
      <c r="A8" t="s">
        <v>15</v>
      </c>
      <c r="B8" s="5" t="s">
        <v>120</v>
      </c>
      <c r="C8" s="5" t="s">
        <v>120</v>
      </c>
      <c r="D8" t="b">
        <f t="shared" si="0"/>
        <v>0</v>
      </c>
      <c r="F8" s="7" t="s">
        <v>22</v>
      </c>
      <c r="G8" s="2">
        <f t="shared" si="1"/>
        <v>12</v>
      </c>
    </row>
    <row r="9" spans="1:7" x14ac:dyDescent="0.25">
      <c r="A9" t="s">
        <v>15</v>
      </c>
      <c r="B9" s="5" t="s">
        <v>511</v>
      </c>
      <c r="C9" s="5" t="s">
        <v>511</v>
      </c>
      <c r="D9" t="b">
        <f t="shared" si="0"/>
        <v>0</v>
      </c>
      <c r="F9" s="7" t="s">
        <v>876</v>
      </c>
      <c r="G9" s="2">
        <f t="shared" si="1"/>
        <v>4</v>
      </c>
    </row>
    <row r="10" spans="1:7" x14ac:dyDescent="0.25">
      <c r="A10" t="s">
        <v>15</v>
      </c>
      <c r="B10" s="5" t="s">
        <v>875</v>
      </c>
      <c r="C10" s="5" t="s">
        <v>875</v>
      </c>
      <c r="D10" t="b">
        <f t="shared" si="0"/>
        <v>0</v>
      </c>
      <c r="F10" s="7" t="s">
        <v>44</v>
      </c>
      <c r="G10" s="2">
        <f t="shared" si="1"/>
        <v>10</v>
      </c>
    </row>
    <row r="11" spans="1:7" x14ac:dyDescent="0.25">
      <c r="A11" t="s">
        <v>15</v>
      </c>
      <c r="B11" s="5" t="s">
        <v>60</v>
      </c>
      <c r="C11" s="5" t="s">
        <v>34</v>
      </c>
      <c r="D11" t="b">
        <f t="shared" si="0"/>
        <v>1</v>
      </c>
      <c r="F11" s="7" t="s">
        <v>287</v>
      </c>
      <c r="G11" s="2">
        <f t="shared" si="1"/>
        <v>16</v>
      </c>
    </row>
    <row r="12" spans="1:7" x14ac:dyDescent="0.25">
      <c r="A12" t="s">
        <v>15</v>
      </c>
      <c r="B12" s="5" t="s">
        <v>512</v>
      </c>
      <c r="C12" s="5" t="s">
        <v>512</v>
      </c>
      <c r="D12" t="b">
        <f t="shared" si="0"/>
        <v>0</v>
      </c>
      <c r="F12" s="7" t="s">
        <v>23</v>
      </c>
      <c r="G12" s="2">
        <f t="shared" si="1"/>
        <v>6</v>
      </c>
    </row>
    <row r="13" spans="1:7" x14ac:dyDescent="0.25">
      <c r="A13" t="s">
        <v>15</v>
      </c>
      <c r="B13" s="5" t="s">
        <v>617</v>
      </c>
      <c r="C13" s="5" t="s">
        <v>617</v>
      </c>
      <c r="D13" t="b">
        <f t="shared" si="0"/>
        <v>0</v>
      </c>
      <c r="F13" s="7" t="s">
        <v>21</v>
      </c>
      <c r="G13" s="2">
        <f t="shared" si="1"/>
        <v>8</v>
      </c>
    </row>
    <row r="14" spans="1:7" x14ac:dyDescent="0.25">
      <c r="A14" t="s">
        <v>15</v>
      </c>
      <c r="B14" s="5" t="s">
        <v>671</v>
      </c>
      <c r="C14" s="5" t="s">
        <v>671</v>
      </c>
      <c r="D14" t="b">
        <f t="shared" si="0"/>
        <v>0</v>
      </c>
      <c r="F14" s="7" t="s">
        <v>160</v>
      </c>
      <c r="G14" s="2">
        <f t="shared" si="1"/>
        <v>8</v>
      </c>
    </row>
    <row r="15" spans="1:7" x14ac:dyDescent="0.25">
      <c r="A15" t="s">
        <v>15</v>
      </c>
      <c r="B15" s="5" t="s">
        <v>1711</v>
      </c>
      <c r="C15" s="5" t="s">
        <v>1711</v>
      </c>
      <c r="D15" t="b">
        <f t="shared" si="0"/>
        <v>0</v>
      </c>
    </row>
    <row r="16" spans="1:7" x14ac:dyDescent="0.25">
      <c r="A16" t="s">
        <v>15</v>
      </c>
      <c r="B16" s="5" t="s">
        <v>171</v>
      </c>
      <c r="C16" s="5" t="s">
        <v>171</v>
      </c>
      <c r="D16" t="b">
        <f t="shared" si="0"/>
        <v>0</v>
      </c>
      <c r="F16" s="1"/>
      <c r="G16" s="2"/>
    </row>
    <row r="17" spans="1:7" x14ac:dyDescent="0.25">
      <c r="A17" t="s">
        <v>15</v>
      </c>
      <c r="B17" s="5" t="s">
        <v>450</v>
      </c>
      <c r="C17" s="5" t="s">
        <v>450</v>
      </c>
      <c r="D17" t="b">
        <f t="shared" si="0"/>
        <v>0</v>
      </c>
      <c r="F17" s="4"/>
      <c r="G17" s="2"/>
    </row>
    <row r="18" spans="1:7" x14ac:dyDescent="0.25">
      <c r="A18" t="s">
        <v>15</v>
      </c>
      <c r="B18" s="5" t="s">
        <v>282</v>
      </c>
      <c r="C18" s="5" t="s">
        <v>282</v>
      </c>
      <c r="D18" t="b">
        <f t="shared" si="0"/>
        <v>0</v>
      </c>
    </row>
    <row r="19" spans="1:7" x14ac:dyDescent="0.25">
      <c r="A19" t="s">
        <v>15</v>
      </c>
      <c r="B19" s="5" t="s">
        <v>280</v>
      </c>
      <c r="C19" s="5" t="s">
        <v>280</v>
      </c>
      <c r="D19" t="b">
        <f t="shared" si="0"/>
        <v>0</v>
      </c>
    </row>
    <row r="20" spans="1:7" x14ac:dyDescent="0.25">
      <c r="A20" t="s">
        <v>15</v>
      </c>
      <c r="B20" s="5" t="s">
        <v>877</v>
      </c>
      <c r="C20" s="5" t="s">
        <v>45</v>
      </c>
      <c r="D20" t="b">
        <f t="shared" si="0"/>
        <v>1</v>
      </c>
    </row>
    <row r="21" spans="1:7" x14ac:dyDescent="0.25">
      <c r="A21" t="s">
        <v>15</v>
      </c>
      <c r="B21" s="5" t="s">
        <v>61</v>
      </c>
      <c r="C21" s="5" t="s">
        <v>878</v>
      </c>
      <c r="D21" t="b">
        <f t="shared" si="0"/>
        <v>1</v>
      </c>
    </row>
    <row r="22" spans="1:7" x14ac:dyDescent="0.25">
      <c r="A22" t="s">
        <v>15</v>
      </c>
      <c r="B22" s="5" t="s">
        <v>237</v>
      </c>
      <c r="C22" s="5" t="s">
        <v>237</v>
      </c>
      <c r="D22" t="b">
        <f t="shared" si="0"/>
        <v>0</v>
      </c>
    </row>
    <row r="23" spans="1:7" x14ac:dyDescent="0.25">
      <c r="A23" t="s">
        <v>15</v>
      </c>
      <c r="B23" s="5" t="s">
        <v>1629</v>
      </c>
      <c r="C23" s="5" t="s">
        <v>1629</v>
      </c>
      <c r="D23" t="b">
        <f t="shared" si="0"/>
        <v>0</v>
      </c>
    </row>
    <row r="24" spans="1:7" x14ac:dyDescent="0.25">
      <c r="A24" t="s">
        <v>15</v>
      </c>
      <c r="B24" s="5" t="s">
        <v>1683</v>
      </c>
      <c r="C24" s="5" t="s">
        <v>879</v>
      </c>
      <c r="D24" t="b">
        <f t="shared" si="0"/>
        <v>1</v>
      </c>
    </row>
    <row r="25" spans="1:7" x14ac:dyDescent="0.25">
      <c r="A25" t="s">
        <v>15</v>
      </c>
      <c r="B25" s="5" t="s">
        <v>396</v>
      </c>
      <c r="C25" s="5" t="s">
        <v>396</v>
      </c>
      <c r="D25" t="b">
        <f t="shared" si="0"/>
        <v>0</v>
      </c>
    </row>
    <row r="26" spans="1:7" x14ac:dyDescent="0.25">
      <c r="A26" t="s">
        <v>15</v>
      </c>
      <c r="B26" s="5" t="s">
        <v>1532</v>
      </c>
      <c r="C26" s="5" t="s">
        <v>1532</v>
      </c>
      <c r="D26" t="b">
        <f t="shared" si="0"/>
        <v>0</v>
      </c>
    </row>
    <row r="27" spans="1:7" x14ac:dyDescent="0.25">
      <c r="A27" t="s">
        <v>15</v>
      </c>
      <c r="B27" s="5" t="s">
        <v>159</v>
      </c>
      <c r="C27" s="5" t="s">
        <v>159</v>
      </c>
      <c r="D27" t="b">
        <f t="shared" si="0"/>
        <v>0</v>
      </c>
    </row>
    <row r="28" spans="1:7" x14ac:dyDescent="0.25">
      <c r="A28" t="s">
        <v>15</v>
      </c>
      <c r="B28" s="5" t="s">
        <v>60</v>
      </c>
      <c r="C28" s="5" t="s">
        <v>60</v>
      </c>
      <c r="D28" t="b">
        <f t="shared" si="0"/>
        <v>0</v>
      </c>
    </row>
    <row r="29" spans="1:7" x14ac:dyDescent="0.25">
      <c r="A29" t="s">
        <v>15</v>
      </c>
      <c r="B29" s="5" t="s">
        <v>60</v>
      </c>
      <c r="C29" s="5" t="s">
        <v>60</v>
      </c>
      <c r="D29" t="b">
        <f t="shared" si="0"/>
        <v>0</v>
      </c>
    </row>
    <row r="30" spans="1:7" x14ac:dyDescent="0.25">
      <c r="A30" t="s">
        <v>15</v>
      </c>
      <c r="B30" s="5" t="s">
        <v>60</v>
      </c>
      <c r="C30" s="5" t="s">
        <v>60</v>
      </c>
      <c r="D30" t="b">
        <f t="shared" si="0"/>
        <v>0</v>
      </c>
    </row>
    <row r="31" spans="1:7" x14ac:dyDescent="0.25">
      <c r="A31" t="s">
        <v>15</v>
      </c>
      <c r="B31" s="5" t="s">
        <v>60</v>
      </c>
      <c r="C31" s="5" t="s">
        <v>60</v>
      </c>
      <c r="D31" t="b">
        <f t="shared" si="0"/>
        <v>0</v>
      </c>
    </row>
    <row r="32" spans="1:7" x14ac:dyDescent="0.25">
      <c r="A32" t="s">
        <v>15</v>
      </c>
      <c r="B32" s="5" t="s">
        <v>122</v>
      </c>
      <c r="C32" s="5" t="s">
        <v>122</v>
      </c>
      <c r="D32" t="b">
        <f t="shared" si="0"/>
        <v>0</v>
      </c>
    </row>
    <row r="33" spans="1:4" x14ac:dyDescent="0.25">
      <c r="A33" t="s">
        <v>15</v>
      </c>
      <c r="B33" s="5" t="s">
        <v>122</v>
      </c>
      <c r="C33" s="5" t="s">
        <v>122</v>
      </c>
      <c r="D33" t="b">
        <f t="shared" si="0"/>
        <v>0</v>
      </c>
    </row>
    <row r="34" spans="1:4" x14ac:dyDescent="0.25">
      <c r="A34" t="s">
        <v>15</v>
      </c>
      <c r="B34" s="5" t="s">
        <v>122</v>
      </c>
      <c r="C34" s="5" t="s">
        <v>122</v>
      </c>
      <c r="D34" t="b">
        <f t="shared" si="0"/>
        <v>0</v>
      </c>
    </row>
    <row r="35" spans="1:4" x14ac:dyDescent="0.25">
      <c r="A35" t="s">
        <v>15</v>
      </c>
      <c r="B35" s="5" t="s">
        <v>61</v>
      </c>
      <c r="C35" s="5" t="s">
        <v>61</v>
      </c>
      <c r="D35" t="b">
        <f t="shared" si="0"/>
        <v>0</v>
      </c>
    </row>
    <row r="36" spans="1:4" x14ac:dyDescent="0.25">
      <c r="A36" t="s">
        <v>15</v>
      </c>
      <c r="B36" s="5" t="s">
        <v>61</v>
      </c>
      <c r="C36" s="5" t="s">
        <v>61</v>
      </c>
      <c r="D36" t="b">
        <f t="shared" si="0"/>
        <v>0</v>
      </c>
    </row>
    <row r="37" spans="1:4" x14ac:dyDescent="0.25">
      <c r="A37" t="s">
        <v>15</v>
      </c>
      <c r="B37" s="5" t="s">
        <v>61</v>
      </c>
      <c r="C37" s="5" t="s">
        <v>61</v>
      </c>
      <c r="D37" t="b">
        <f t="shared" si="0"/>
        <v>0</v>
      </c>
    </row>
    <row r="38" spans="1:4" x14ac:dyDescent="0.25">
      <c r="A38" t="s">
        <v>15</v>
      </c>
      <c r="B38" s="5" t="s">
        <v>61</v>
      </c>
      <c r="C38" s="5" t="s">
        <v>61</v>
      </c>
      <c r="D38" t="b">
        <f t="shared" si="0"/>
        <v>0</v>
      </c>
    </row>
    <row r="39" spans="1:4" x14ac:dyDescent="0.25">
      <c r="A39" t="s">
        <v>21</v>
      </c>
      <c r="B39" s="5" t="s">
        <v>173</v>
      </c>
      <c r="C39" s="5" t="s">
        <v>173</v>
      </c>
      <c r="D39" t="b">
        <f t="shared" si="0"/>
        <v>0</v>
      </c>
    </row>
    <row r="40" spans="1:4" x14ac:dyDescent="0.25">
      <c r="A40" t="s">
        <v>21</v>
      </c>
      <c r="B40" s="5" t="s">
        <v>467</v>
      </c>
      <c r="C40" s="5" t="s">
        <v>467</v>
      </c>
      <c r="D40" t="b">
        <f t="shared" si="0"/>
        <v>0</v>
      </c>
    </row>
    <row r="41" spans="1:4" x14ac:dyDescent="0.25">
      <c r="A41" t="s">
        <v>21</v>
      </c>
      <c r="B41" s="5" t="s">
        <v>177</v>
      </c>
      <c r="C41" s="5" t="s">
        <v>177</v>
      </c>
      <c r="D41" t="b">
        <f t="shared" si="0"/>
        <v>0</v>
      </c>
    </row>
    <row r="42" spans="1:4" x14ac:dyDescent="0.25">
      <c r="A42" t="s">
        <v>21</v>
      </c>
      <c r="B42" s="5" t="s">
        <v>126</v>
      </c>
      <c r="C42" s="5" t="s">
        <v>126</v>
      </c>
      <c r="D42" t="b">
        <f t="shared" si="0"/>
        <v>0</v>
      </c>
    </row>
    <row r="43" spans="1:4" x14ac:dyDescent="0.25">
      <c r="A43" t="s">
        <v>21</v>
      </c>
      <c r="B43" s="5" t="s">
        <v>174</v>
      </c>
      <c r="C43" s="5" t="s">
        <v>174</v>
      </c>
      <c r="D43" t="b">
        <f t="shared" si="0"/>
        <v>0</v>
      </c>
    </row>
    <row r="44" spans="1:4" x14ac:dyDescent="0.25">
      <c r="A44" t="s">
        <v>21</v>
      </c>
      <c r="B44" s="5" t="s">
        <v>1165</v>
      </c>
      <c r="C44" s="5" t="s">
        <v>1165</v>
      </c>
      <c r="D44" t="b">
        <f t="shared" si="0"/>
        <v>0</v>
      </c>
    </row>
    <row r="45" spans="1:4" x14ac:dyDescent="0.25">
      <c r="A45" t="s">
        <v>21</v>
      </c>
      <c r="B45" s="5" t="s">
        <v>1712</v>
      </c>
      <c r="C45" s="5" t="s">
        <v>1712</v>
      </c>
      <c r="D45" t="b">
        <f t="shared" si="0"/>
        <v>0</v>
      </c>
    </row>
    <row r="46" spans="1:4" x14ac:dyDescent="0.25">
      <c r="A46" t="s">
        <v>21</v>
      </c>
      <c r="B46" s="5" t="s">
        <v>1713</v>
      </c>
      <c r="C46" s="5" t="s">
        <v>2193</v>
      </c>
      <c r="D46" t="b">
        <f t="shared" si="0"/>
        <v>1</v>
      </c>
    </row>
    <row r="47" spans="1:4" x14ac:dyDescent="0.25">
      <c r="A47" t="s">
        <v>22</v>
      </c>
      <c r="B47" s="5" t="s">
        <v>880</v>
      </c>
      <c r="C47" s="5" t="s">
        <v>880</v>
      </c>
      <c r="D47" t="b">
        <f t="shared" si="0"/>
        <v>0</v>
      </c>
    </row>
    <row r="48" spans="1:4" x14ac:dyDescent="0.25">
      <c r="A48" t="s">
        <v>22</v>
      </c>
      <c r="B48" s="5" t="s">
        <v>881</v>
      </c>
      <c r="C48" s="5" t="s">
        <v>881</v>
      </c>
      <c r="D48" t="b">
        <f t="shared" si="0"/>
        <v>0</v>
      </c>
    </row>
    <row r="49" spans="1:4" x14ac:dyDescent="0.25">
      <c r="A49" t="s">
        <v>22</v>
      </c>
      <c r="B49" s="5" t="s">
        <v>1714</v>
      </c>
      <c r="C49" s="5" t="s">
        <v>1714</v>
      </c>
      <c r="D49" t="b">
        <f t="shared" si="0"/>
        <v>0</v>
      </c>
    </row>
    <row r="50" spans="1:4" x14ac:dyDescent="0.25">
      <c r="A50" t="s">
        <v>22</v>
      </c>
      <c r="B50" s="5" t="s">
        <v>1185</v>
      </c>
      <c r="C50" s="5" t="s">
        <v>1185</v>
      </c>
      <c r="D50" t="b">
        <f t="shared" si="0"/>
        <v>0</v>
      </c>
    </row>
    <row r="51" spans="1:4" x14ac:dyDescent="0.25">
      <c r="A51" t="s">
        <v>22</v>
      </c>
      <c r="B51" s="5" t="s">
        <v>1443</v>
      </c>
      <c r="C51" s="5" t="s">
        <v>1443</v>
      </c>
      <c r="D51" t="b">
        <f t="shared" si="0"/>
        <v>0</v>
      </c>
    </row>
    <row r="52" spans="1:4" x14ac:dyDescent="0.25">
      <c r="A52" t="s">
        <v>22</v>
      </c>
      <c r="B52" s="5" t="s">
        <v>1715</v>
      </c>
      <c r="C52" s="5" t="s">
        <v>1715</v>
      </c>
      <c r="D52" t="b">
        <f t="shared" si="0"/>
        <v>0</v>
      </c>
    </row>
    <row r="53" spans="1:4" x14ac:dyDescent="0.25">
      <c r="A53" t="s">
        <v>22</v>
      </c>
      <c r="B53" s="5" t="s">
        <v>1716</v>
      </c>
      <c r="C53" s="5" t="s">
        <v>1716</v>
      </c>
      <c r="D53" t="b">
        <f t="shared" si="0"/>
        <v>0</v>
      </c>
    </row>
    <row r="54" spans="1:4" x14ac:dyDescent="0.25">
      <c r="A54" t="s">
        <v>22</v>
      </c>
      <c r="B54" s="5" t="s">
        <v>1717</v>
      </c>
      <c r="C54" s="5" t="s">
        <v>1717</v>
      </c>
      <c r="D54" t="b">
        <f t="shared" si="0"/>
        <v>0</v>
      </c>
    </row>
    <row r="55" spans="1:4" x14ac:dyDescent="0.25">
      <c r="A55" t="s">
        <v>22</v>
      </c>
      <c r="B55" s="5" t="s">
        <v>1718</v>
      </c>
      <c r="C55" s="5" t="s">
        <v>1718</v>
      </c>
      <c r="D55" t="b">
        <f t="shared" si="0"/>
        <v>0</v>
      </c>
    </row>
    <row r="56" spans="1:4" x14ac:dyDescent="0.25">
      <c r="A56" t="s">
        <v>22</v>
      </c>
      <c r="B56" s="5" t="s">
        <v>883</v>
      </c>
      <c r="C56" s="5" t="s">
        <v>883</v>
      </c>
      <c r="D56" t="b">
        <f t="shared" si="0"/>
        <v>0</v>
      </c>
    </row>
    <row r="57" spans="1:4" x14ac:dyDescent="0.25">
      <c r="A57" t="s">
        <v>22</v>
      </c>
      <c r="B57" s="5" t="s">
        <v>1442</v>
      </c>
      <c r="C57" s="5" t="s">
        <v>1442</v>
      </c>
      <c r="D57" t="b">
        <f t="shared" si="0"/>
        <v>0</v>
      </c>
    </row>
    <row r="58" spans="1:4" x14ac:dyDescent="0.25">
      <c r="A58" t="s">
        <v>22</v>
      </c>
      <c r="B58" s="5" t="s">
        <v>884</v>
      </c>
      <c r="C58" s="5" t="s">
        <v>884</v>
      </c>
      <c r="D58" t="b">
        <f t="shared" si="0"/>
        <v>0</v>
      </c>
    </row>
    <row r="59" spans="1:4" x14ac:dyDescent="0.25">
      <c r="A59" t="s">
        <v>44</v>
      </c>
      <c r="B59" s="5" t="s">
        <v>1719</v>
      </c>
      <c r="C59" s="5" t="s">
        <v>1719</v>
      </c>
      <c r="D59" t="b">
        <f t="shared" si="0"/>
        <v>0</v>
      </c>
    </row>
    <row r="60" spans="1:4" x14ac:dyDescent="0.25">
      <c r="A60" t="s">
        <v>44</v>
      </c>
      <c r="B60" s="5" t="s">
        <v>1720</v>
      </c>
      <c r="C60" s="5" t="s">
        <v>1720</v>
      </c>
      <c r="D60" t="b">
        <f t="shared" si="0"/>
        <v>0</v>
      </c>
    </row>
    <row r="61" spans="1:4" x14ac:dyDescent="0.25">
      <c r="A61" t="s">
        <v>44</v>
      </c>
      <c r="B61" s="5" t="s">
        <v>887</v>
      </c>
      <c r="C61" s="5" t="s">
        <v>887</v>
      </c>
      <c r="D61" t="b">
        <f t="shared" si="0"/>
        <v>0</v>
      </c>
    </row>
    <row r="62" spans="1:4" x14ac:dyDescent="0.25">
      <c r="A62" t="s">
        <v>44</v>
      </c>
      <c r="B62" s="5" t="s">
        <v>888</v>
      </c>
      <c r="C62" s="5" t="s">
        <v>888</v>
      </c>
      <c r="D62" t="b">
        <f t="shared" si="0"/>
        <v>0</v>
      </c>
    </row>
    <row r="63" spans="1:4" x14ac:dyDescent="0.25">
      <c r="A63" t="s">
        <v>44</v>
      </c>
      <c r="B63" s="5" t="s">
        <v>889</v>
      </c>
      <c r="C63" s="5" t="s">
        <v>889</v>
      </c>
      <c r="D63" t="b">
        <f t="shared" si="0"/>
        <v>0</v>
      </c>
    </row>
    <row r="64" spans="1:4" x14ac:dyDescent="0.25">
      <c r="A64" t="s">
        <v>44</v>
      </c>
      <c r="B64" s="5" t="s">
        <v>890</v>
      </c>
      <c r="C64" s="5" t="s">
        <v>2191</v>
      </c>
      <c r="D64" t="b">
        <f t="shared" si="0"/>
        <v>1</v>
      </c>
    </row>
    <row r="65" spans="1:4" x14ac:dyDescent="0.25">
      <c r="A65" t="s">
        <v>44</v>
      </c>
      <c r="B65" s="5" t="s">
        <v>1721</v>
      </c>
      <c r="C65" s="5" t="s">
        <v>1721</v>
      </c>
      <c r="D65" t="b">
        <f t="shared" si="0"/>
        <v>0</v>
      </c>
    </row>
    <row r="66" spans="1:4" x14ac:dyDescent="0.25">
      <c r="A66" t="s">
        <v>44</v>
      </c>
      <c r="B66" s="5" t="s">
        <v>891</v>
      </c>
      <c r="C66" s="5" t="s">
        <v>2192</v>
      </c>
      <c r="D66" t="b">
        <f t="shared" si="0"/>
        <v>1</v>
      </c>
    </row>
    <row r="67" spans="1:4" x14ac:dyDescent="0.25">
      <c r="A67" t="s">
        <v>44</v>
      </c>
      <c r="B67" s="5" t="s">
        <v>892</v>
      </c>
      <c r="C67" s="5" t="s">
        <v>892</v>
      </c>
      <c r="D67" t="b">
        <f t="shared" si="0"/>
        <v>0</v>
      </c>
    </row>
    <row r="68" spans="1:4" x14ac:dyDescent="0.25">
      <c r="A68" t="s">
        <v>44</v>
      </c>
      <c r="B68" s="5" t="s">
        <v>1722</v>
      </c>
      <c r="C68" s="5" t="s">
        <v>1722</v>
      </c>
      <c r="D68" t="b">
        <f t="shared" si="0"/>
        <v>0</v>
      </c>
    </row>
    <row r="69" spans="1:4" x14ac:dyDescent="0.25">
      <c r="A69" t="s">
        <v>876</v>
      </c>
      <c r="B69" s="5" t="s">
        <v>893</v>
      </c>
      <c r="C69" s="5" t="s">
        <v>893</v>
      </c>
      <c r="D69" t="b">
        <f t="shared" ref="D69:D102" si="2">B69&lt;&gt;C69</f>
        <v>0</v>
      </c>
    </row>
    <row r="70" spans="1:4" x14ac:dyDescent="0.25">
      <c r="A70" t="s">
        <v>876</v>
      </c>
      <c r="B70" s="5" t="s">
        <v>896</v>
      </c>
      <c r="C70" s="5" t="s">
        <v>896</v>
      </c>
      <c r="D70" t="b">
        <f t="shared" si="2"/>
        <v>0</v>
      </c>
    </row>
    <row r="71" spans="1:4" x14ac:dyDescent="0.25">
      <c r="A71" t="s">
        <v>876</v>
      </c>
      <c r="B71" s="5" t="s">
        <v>894</v>
      </c>
      <c r="C71" s="5" t="s">
        <v>894</v>
      </c>
      <c r="D71" t="b">
        <f t="shared" si="2"/>
        <v>0</v>
      </c>
    </row>
    <row r="72" spans="1:4" x14ac:dyDescent="0.25">
      <c r="A72" t="s">
        <v>876</v>
      </c>
      <c r="B72" s="5" t="s">
        <v>895</v>
      </c>
      <c r="C72" s="5" t="s">
        <v>895</v>
      </c>
      <c r="D72" t="b">
        <f t="shared" si="2"/>
        <v>0</v>
      </c>
    </row>
    <row r="73" spans="1:4" x14ac:dyDescent="0.25">
      <c r="A73" t="s">
        <v>287</v>
      </c>
      <c r="B73" s="5" t="s">
        <v>885</v>
      </c>
      <c r="C73" s="5" t="s">
        <v>885</v>
      </c>
      <c r="D73" t="b">
        <f t="shared" si="2"/>
        <v>0</v>
      </c>
    </row>
    <row r="74" spans="1:4" x14ac:dyDescent="0.25">
      <c r="A74" t="s">
        <v>287</v>
      </c>
      <c r="B74" s="5" t="s">
        <v>886</v>
      </c>
      <c r="C74" s="5" t="s">
        <v>886</v>
      </c>
      <c r="D74" t="b">
        <f t="shared" si="2"/>
        <v>0</v>
      </c>
    </row>
    <row r="75" spans="1:4" x14ac:dyDescent="0.25">
      <c r="A75" t="s">
        <v>287</v>
      </c>
      <c r="B75" s="5" t="s">
        <v>882</v>
      </c>
      <c r="C75" s="5" t="s">
        <v>1440</v>
      </c>
      <c r="D75" t="b">
        <f t="shared" si="2"/>
        <v>1</v>
      </c>
    </row>
    <row r="76" spans="1:4" x14ac:dyDescent="0.25">
      <c r="A76" t="s">
        <v>287</v>
      </c>
      <c r="B76" s="5" t="s">
        <v>897</v>
      </c>
      <c r="C76" s="5" t="s">
        <v>897</v>
      </c>
      <c r="D76" t="b">
        <f t="shared" si="2"/>
        <v>0</v>
      </c>
    </row>
    <row r="77" spans="1:4" x14ac:dyDescent="0.25">
      <c r="A77" t="s">
        <v>287</v>
      </c>
      <c r="B77" s="5" t="s">
        <v>1723</v>
      </c>
      <c r="C77" s="5" t="s">
        <v>1348</v>
      </c>
      <c r="D77" t="b">
        <f t="shared" si="2"/>
        <v>1</v>
      </c>
    </row>
    <row r="78" spans="1:4" x14ac:dyDescent="0.25">
      <c r="A78" t="s">
        <v>287</v>
      </c>
      <c r="B78" s="5" t="s">
        <v>1725</v>
      </c>
      <c r="C78" s="5" t="s">
        <v>1725</v>
      </c>
      <c r="D78" t="b">
        <f t="shared" si="2"/>
        <v>0</v>
      </c>
    </row>
    <row r="79" spans="1:4" x14ac:dyDescent="0.25">
      <c r="A79" t="s">
        <v>287</v>
      </c>
      <c r="B79" s="5" t="s">
        <v>898</v>
      </c>
      <c r="C79" s="5" t="s">
        <v>898</v>
      </c>
      <c r="D79" t="b">
        <f t="shared" si="2"/>
        <v>0</v>
      </c>
    </row>
    <row r="80" spans="1:4" x14ac:dyDescent="0.25">
      <c r="A80" t="s">
        <v>287</v>
      </c>
      <c r="B80" s="5" t="s">
        <v>899</v>
      </c>
      <c r="C80" s="5" t="s">
        <v>899</v>
      </c>
      <c r="D80" t="b">
        <f t="shared" si="2"/>
        <v>0</v>
      </c>
    </row>
    <row r="81" spans="1:4" x14ac:dyDescent="0.25">
      <c r="A81" t="s">
        <v>287</v>
      </c>
      <c r="B81" s="5" t="s">
        <v>1724</v>
      </c>
      <c r="C81" s="5" t="s">
        <v>1439</v>
      </c>
      <c r="D81" t="b">
        <f t="shared" si="2"/>
        <v>1</v>
      </c>
    </row>
    <row r="82" spans="1:4" x14ac:dyDescent="0.25">
      <c r="A82" t="s">
        <v>287</v>
      </c>
      <c r="B82" s="5" t="s">
        <v>900</v>
      </c>
      <c r="C82" s="5" t="s">
        <v>1438</v>
      </c>
      <c r="D82" t="b">
        <f t="shared" si="2"/>
        <v>1</v>
      </c>
    </row>
    <row r="83" spans="1:4" x14ac:dyDescent="0.25">
      <c r="A83" t="s">
        <v>287</v>
      </c>
      <c r="B83" s="5" t="s">
        <v>1209</v>
      </c>
      <c r="C83" s="5" t="s">
        <v>1209</v>
      </c>
      <c r="D83" t="b">
        <f t="shared" si="2"/>
        <v>0</v>
      </c>
    </row>
    <row r="84" spans="1:4" x14ac:dyDescent="0.25">
      <c r="A84" t="s">
        <v>287</v>
      </c>
      <c r="B84" s="5" t="s">
        <v>1726</v>
      </c>
      <c r="C84" s="5" t="s">
        <v>1726</v>
      </c>
      <c r="D84" t="b">
        <f t="shared" si="2"/>
        <v>0</v>
      </c>
    </row>
    <row r="85" spans="1:4" x14ac:dyDescent="0.25">
      <c r="A85" t="s">
        <v>287</v>
      </c>
      <c r="B85" s="5" t="s">
        <v>258</v>
      </c>
      <c r="C85" s="5" t="s">
        <v>258</v>
      </c>
      <c r="D85" t="b">
        <f t="shared" si="2"/>
        <v>0</v>
      </c>
    </row>
    <row r="86" spans="1:4" x14ac:dyDescent="0.25">
      <c r="A86" t="s">
        <v>287</v>
      </c>
      <c r="B86" s="5" t="s">
        <v>904</v>
      </c>
      <c r="C86" s="5" t="s">
        <v>904</v>
      </c>
      <c r="D86" t="b">
        <f t="shared" si="2"/>
        <v>0</v>
      </c>
    </row>
    <row r="87" spans="1:4" x14ac:dyDescent="0.25">
      <c r="A87" t="s">
        <v>287</v>
      </c>
      <c r="B87" s="5" t="s">
        <v>1707</v>
      </c>
      <c r="C87" s="5" t="s">
        <v>1707</v>
      </c>
      <c r="D87" t="b">
        <f t="shared" si="2"/>
        <v>0</v>
      </c>
    </row>
    <row r="88" spans="1:4" x14ac:dyDescent="0.25">
      <c r="A88" t="s">
        <v>287</v>
      </c>
      <c r="B88" s="5" t="s">
        <v>906</v>
      </c>
      <c r="C88" s="5" t="s">
        <v>906</v>
      </c>
      <c r="D88" t="b">
        <f t="shared" si="2"/>
        <v>0</v>
      </c>
    </row>
    <row r="89" spans="1:4" x14ac:dyDescent="0.25">
      <c r="A89" t="s">
        <v>23</v>
      </c>
      <c r="B89" s="5" t="s">
        <v>277</v>
      </c>
      <c r="C89" s="5" t="s">
        <v>277</v>
      </c>
      <c r="D89" t="b">
        <f t="shared" si="2"/>
        <v>0</v>
      </c>
    </row>
    <row r="90" spans="1:4" x14ac:dyDescent="0.25">
      <c r="A90" t="s">
        <v>23</v>
      </c>
      <c r="B90" s="5" t="s">
        <v>640</v>
      </c>
      <c r="C90" s="5" t="s">
        <v>640</v>
      </c>
      <c r="D90" t="b">
        <f t="shared" si="2"/>
        <v>0</v>
      </c>
    </row>
    <row r="91" spans="1:4" x14ac:dyDescent="0.25">
      <c r="A91" t="s">
        <v>23</v>
      </c>
      <c r="B91" s="5" t="s">
        <v>586</v>
      </c>
      <c r="C91" s="5" t="s">
        <v>586</v>
      </c>
      <c r="D91" t="b">
        <f t="shared" si="2"/>
        <v>0</v>
      </c>
    </row>
    <row r="92" spans="1:4" x14ac:dyDescent="0.25">
      <c r="A92" t="s">
        <v>23</v>
      </c>
      <c r="B92" s="5" t="s">
        <v>314</v>
      </c>
      <c r="C92" s="5" t="s">
        <v>314</v>
      </c>
      <c r="D92" t="b">
        <f t="shared" si="2"/>
        <v>0</v>
      </c>
    </row>
    <row r="93" spans="1:4" x14ac:dyDescent="0.25">
      <c r="A93" t="s">
        <v>23</v>
      </c>
      <c r="B93" s="5" t="s">
        <v>99</v>
      </c>
      <c r="C93" s="5" t="s">
        <v>99</v>
      </c>
      <c r="D93" t="b">
        <f t="shared" si="2"/>
        <v>0</v>
      </c>
    </row>
    <row r="94" spans="1:4" x14ac:dyDescent="0.25">
      <c r="A94" t="s">
        <v>23</v>
      </c>
      <c r="B94" s="5" t="s">
        <v>146</v>
      </c>
      <c r="C94" s="5" t="s">
        <v>146</v>
      </c>
      <c r="D94" t="b">
        <f t="shared" si="2"/>
        <v>0</v>
      </c>
    </row>
    <row r="95" spans="1:4" x14ac:dyDescent="0.25">
      <c r="A95" t="s">
        <v>160</v>
      </c>
      <c r="B95" s="5" t="s">
        <v>1466</v>
      </c>
      <c r="C95" s="5" t="s">
        <v>1466</v>
      </c>
      <c r="D95" t="b">
        <f t="shared" si="2"/>
        <v>0</v>
      </c>
    </row>
    <row r="96" spans="1:4" x14ac:dyDescent="0.25">
      <c r="A96" t="s">
        <v>160</v>
      </c>
      <c r="B96" s="5" t="s">
        <v>1444</v>
      </c>
      <c r="C96" s="5" t="s">
        <v>1444</v>
      </c>
      <c r="D96" t="b">
        <f t="shared" si="2"/>
        <v>0</v>
      </c>
    </row>
    <row r="97" spans="1:4" x14ac:dyDescent="0.25">
      <c r="A97" t="s">
        <v>160</v>
      </c>
      <c r="B97" s="5" t="s">
        <v>475</v>
      </c>
      <c r="C97" s="5" t="s">
        <v>475</v>
      </c>
      <c r="D97" t="b">
        <f t="shared" si="2"/>
        <v>0</v>
      </c>
    </row>
    <row r="98" spans="1:4" x14ac:dyDescent="0.25">
      <c r="A98" t="s">
        <v>160</v>
      </c>
      <c r="B98" s="5" t="s">
        <v>902</v>
      </c>
      <c r="C98" s="5" t="s">
        <v>902</v>
      </c>
      <c r="D98" t="b">
        <f t="shared" si="2"/>
        <v>0</v>
      </c>
    </row>
    <row r="99" spans="1:4" x14ac:dyDescent="0.25">
      <c r="A99" t="s">
        <v>160</v>
      </c>
      <c r="B99" s="5" t="s">
        <v>1708</v>
      </c>
      <c r="C99" s="5" t="s">
        <v>1708</v>
      </c>
      <c r="D99" t="b">
        <f t="shared" si="2"/>
        <v>0</v>
      </c>
    </row>
    <row r="100" spans="1:4" x14ac:dyDescent="0.25">
      <c r="A100" t="s">
        <v>160</v>
      </c>
      <c r="B100" s="5" t="s">
        <v>905</v>
      </c>
      <c r="C100" s="5" t="s">
        <v>905</v>
      </c>
      <c r="D100" t="b">
        <f t="shared" si="2"/>
        <v>0</v>
      </c>
    </row>
    <row r="101" spans="1:4" x14ac:dyDescent="0.25">
      <c r="A101" t="s">
        <v>160</v>
      </c>
      <c r="B101" s="5" t="s">
        <v>901</v>
      </c>
      <c r="C101" s="5" t="s">
        <v>901</v>
      </c>
      <c r="D101" t="b">
        <f t="shared" si="2"/>
        <v>0</v>
      </c>
    </row>
    <row r="102" spans="1:4" x14ac:dyDescent="0.25">
      <c r="A102" t="s">
        <v>160</v>
      </c>
      <c r="B102" s="5" t="s">
        <v>1710</v>
      </c>
      <c r="C102" s="5" t="s">
        <v>1709</v>
      </c>
      <c r="D102" t="b">
        <f t="shared" si="2"/>
        <v>1</v>
      </c>
    </row>
  </sheetData>
  <mergeCells count="1">
    <mergeCell ref="A1:G1"/>
  </mergeCells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notContainsText" priority="1" operator="notContains" id="{5C7D6AAF-0072-4394-A929-16BDF0F3B5A8}">
            <xm:f>ISERROR(SEARCH(C3,B3))</xm:f>
            <xm:f>C3</xm:f>
            <x14:dxf>
              <fill>
                <patternFill>
                  <bgColor theme="5" tint="0.39994506668294322"/>
                </patternFill>
              </fill>
            </x14:dxf>
          </x14:cfRule>
          <xm:sqref>B3:B102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79D3E-46DC-42EA-90ED-427B7DF1FEBD}">
  <sheetPr codeName="Planilha26"/>
  <dimension ref="A1:G102"/>
  <sheetViews>
    <sheetView topLeftCell="A72" workbookViewId="0">
      <selection activeCell="B85" sqref="B85"/>
    </sheetView>
  </sheetViews>
  <sheetFormatPr defaultRowHeight="15" x14ac:dyDescent="0.25"/>
  <cols>
    <col min="1" max="1" width="11.85546875" style="5" customWidth="1"/>
    <col min="2" max="3" width="38.7109375" customWidth="1"/>
    <col min="4" max="4" width="10.28515625" hidden="1" customWidth="1"/>
    <col min="5" max="5" width="4.28515625" customWidth="1"/>
    <col min="6" max="6" width="22.7109375" style="3" customWidth="1"/>
    <col min="7" max="7" width="8.7109375" customWidth="1"/>
  </cols>
  <sheetData>
    <row r="1" spans="1:7" ht="21" x14ac:dyDescent="0.25">
      <c r="A1" s="12" t="s">
        <v>1062</v>
      </c>
      <c r="B1" s="12"/>
      <c r="C1" s="12"/>
      <c r="D1" s="12"/>
      <c r="E1" s="12"/>
      <c r="F1" s="12"/>
      <c r="G1" s="12"/>
    </row>
    <row r="2" spans="1:7" x14ac:dyDescent="0.25">
      <c r="A2" s="4" t="s">
        <v>11</v>
      </c>
      <c r="B2" s="4" t="s">
        <v>12</v>
      </c>
      <c r="C2" s="4" t="s">
        <v>13</v>
      </c>
      <c r="D2" s="4" t="s">
        <v>14</v>
      </c>
      <c r="F2" s="4" t="s">
        <v>16</v>
      </c>
      <c r="G2" s="3">
        <f>COUNTIF(D:D,"Verdadeiro")</f>
        <v>14</v>
      </c>
    </row>
    <row r="3" spans="1:7" x14ac:dyDescent="0.25">
      <c r="A3" s="9" t="s">
        <v>1539</v>
      </c>
      <c r="B3" s="5" t="s">
        <v>1561</v>
      </c>
      <c r="C3" s="5" t="s">
        <v>1561</v>
      </c>
      <c r="D3" t="b">
        <f>B3&lt;&gt;C3</f>
        <v>0</v>
      </c>
      <c r="F3" s="4" t="s">
        <v>17</v>
      </c>
      <c r="G3" s="3">
        <f>SUM(G6:G24)</f>
        <v>100</v>
      </c>
    </row>
    <row r="4" spans="1:7" x14ac:dyDescent="0.25">
      <c r="A4" t="s">
        <v>15</v>
      </c>
      <c r="B4" s="5" t="s">
        <v>110</v>
      </c>
      <c r="C4" s="5" t="s">
        <v>110</v>
      </c>
      <c r="D4" t="b">
        <f>B4&lt;&gt;C4</f>
        <v>0</v>
      </c>
    </row>
    <row r="5" spans="1:7" x14ac:dyDescent="0.25">
      <c r="A5" t="s">
        <v>15</v>
      </c>
      <c r="B5" s="5" t="s">
        <v>111</v>
      </c>
      <c r="C5" s="5" t="s">
        <v>111</v>
      </c>
      <c r="D5" t="b">
        <f t="shared" ref="D5:D69" si="0">B5&lt;&gt;C5</f>
        <v>0</v>
      </c>
      <c r="F5" s="6" t="s">
        <v>19</v>
      </c>
      <c r="G5" s="1"/>
    </row>
    <row r="6" spans="1:7" x14ac:dyDescent="0.25">
      <c r="A6" t="s">
        <v>15</v>
      </c>
      <c r="B6" s="5" t="s">
        <v>451</v>
      </c>
      <c r="C6" s="5" t="s">
        <v>451</v>
      </c>
      <c r="D6" t="b">
        <f t="shared" si="0"/>
        <v>0</v>
      </c>
      <c r="F6" s="3" t="s">
        <v>1539</v>
      </c>
      <c r="G6" s="2">
        <f t="shared" ref="G6:G14" si="1">COUNTIF(A:A,F6)</f>
        <v>1</v>
      </c>
    </row>
    <row r="7" spans="1:7" x14ac:dyDescent="0.25">
      <c r="A7" t="s">
        <v>15</v>
      </c>
      <c r="B7" s="5" t="s">
        <v>1063</v>
      </c>
      <c r="C7" s="5" t="s">
        <v>1063</v>
      </c>
      <c r="D7" t="b">
        <f t="shared" si="0"/>
        <v>0</v>
      </c>
      <c r="F7" s="7" t="s">
        <v>15</v>
      </c>
      <c r="G7" s="2">
        <f t="shared" si="1"/>
        <v>34</v>
      </c>
    </row>
    <row r="8" spans="1:7" x14ac:dyDescent="0.25">
      <c r="A8" t="s">
        <v>15</v>
      </c>
      <c r="B8" s="5" t="s">
        <v>166</v>
      </c>
      <c r="C8" s="5" t="s">
        <v>166</v>
      </c>
      <c r="D8" t="b">
        <f t="shared" si="0"/>
        <v>0</v>
      </c>
      <c r="F8" s="7" t="s">
        <v>1064</v>
      </c>
      <c r="G8" s="2">
        <f t="shared" si="1"/>
        <v>11</v>
      </c>
    </row>
    <row r="9" spans="1:7" x14ac:dyDescent="0.25">
      <c r="A9" t="s">
        <v>15</v>
      </c>
      <c r="B9" s="5" t="s">
        <v>43</v>
      </c>
      <c r="C9" s="5" t="s">
        <v>43</v>
      </c>
      <c r="D9" t="b">
        <f t="shared" si="0"/>
        <v>0</v>
      </c>
      <c r="F9" s="7" t="s">
        <v>290</v>
      </c>
      <c r="G9" s="2">
        <f t="shared" si="1"/>
        <v>8</v>
      </c>
    </row>
    <row r="10" spans="1:7" x14ac:dyDescent="0.25">
      <c r="A10" t="s">
        <v>15</v>
      </c>
      <c r="B10" s="5" t="s">
        <v>20</v>
      </c>
      <c r="C10" s="5" t="s">
        <v>20</v>
      </c>
      <c r="D10" t="b">
        <f t="shared" si="0"/>
        <v>0</v>
      </c>
      <c r="F10" s="7" t="s">
        <v>288</v>
      </c>
      <c r="G10" s="2">
        <f t="shared" si="1"/>
        <v>5</v>
      </c>
    </row>
    <row r="11" spans="1:7" x14ac:dyDescent="0.25">
      <c r="A11" t="s">
        <v>15</v>
      </c>
      <c r="B11" s="5" t="s">
        <v>34</v>
      </c>
      <c r="C11" s="5" t="s">
        <v>34</v>
      </c>
      <c r="D11" t="b">
        <f t="shared" si="0"/>
        <v>0</v>
      </c>
      <c r="F11" s="7" t="s">
        <v>23</v>
      </c>
      <c r="G11" s="2">
        <f t="shared" si="1"/>
        <v>4</v>
      </c>
    </row>
    <row r="12" spans="1:7" x14ac:dyDescent="0.25">
      <c r="A12" t="s">
        <v>15</v>
      </c>
      <c r="B12" s="5" t="s">
        <v>171</v>
      </c>
      <c r="C12" s="5" t="s">
        <v>171</v>
      </c>
      <c r="D12" t="b">
        <f t="shared" si="0"/>
        <v>0</v>
      </c>
      <c r="F12" s="7" t="s">
        <v>27</v>
      </c>
      <c r="G12" s="2">
        <f t="shared" si="1"/>
        <v>9</v>
      </c>
    </row>
    <row r="13" spans="1:7" x14ac:dyDescent="0.25">
      <c r="A13" t="s">
        <v>15</v>
      </c>
      <c r="B13" s="5" t="s">
        <v>172</v>
      </c>
      <c r="C13" s="5" t="s">
        <v>172</v>
      </c>
      <c r="D13" t="b">
        <f t="shared" si="0"/>
        <v>0</v>
      </c>
      <c r="F13" s="7" t="s">
        <v>1830</v>
      </c>
      <c r="G13" s="2">
        <f t="shared" si="1"/>
        <v>15</v>
      </c>
    </row>
    <row r="14" spans="1:7" x14ac:dyDescent="0.25">
      <c r="A14" t="s">
        <v>15</v>
      </c>
      <c r="B14" s="5" t="s">
        <v>172</v>
      </c>
      <c r="C14" s="5" t="s">
        <v>172</v>
      </c>
      <c r="D14" t="b">
        <f t="shared" si="0"/>
        <v>0</v>
      </c>
      <c r="F14" s="7" t="s">
        <v>121</v>
      </c>
      <c r="G14" s="2">
        <f t="shared" si="1"/>
        <v>13</v>
      </c>
    </row>
    <row r="15" spans="1:7" x14ac:dyDescent="0.25">
      <c r="A15" t="s">
        <v>15</v>
      </c>
      <c r="B15" s="5" t="s">
        <v>172</v>
      </c>
      <c r="C15" s="5" t="s">
        <v>172</v>
      </c>
      <c r="D15" t="b">
        <f t="shared" si="0"/>
        <v>0</v>
      </c>
      <c r="F15" s="7"/>
      <c r="G15" s="2"/>
    </row>
    <row r="16" spans="1:7" x14ac:dyDescent="0.25">
      <c r="A16" t="s">
        <v>15</v>
      </c>
      <c r="B16" s="5" t="s">
        <v>172</v>
      </c>
      <c r="C16" s="5" t="s">
        <v>172</v>
      </c>
      <c r="D16" t="b">
        <f t="shared" si="0"/>
        <v>0</v>
      </c>
      <c r="F16" s="1"/>
      <c r="G16" s="2"/>
    </row>
    <row r="17" spans="1:4" x14ac:dyDescent="0.25">
      <c r="A17" t="s">
        <v>15</v>
      </c>
      <c r="B17" s="5" t="s">
        <v>172</v>
      </c>
      <c r="C17" s="5" t="s">
        <v>172</v>
      </c>
      <c r="D17" t="b">
        <f t="shared" si="0"/>
        <v>0</v>
      </c>
    </row>
    <row r="18" spans="1:4" x14ac:dyDescent="0.25">
      <c r="A18" t="s">
        <v>15</v>
      </c>
      <c r="B18" s="5" t="s">
        <v>172</v>
      </c>
      <c r="C18" s="5" t="s">
        <v>172</v>
      </c>
      <c r="D18" t="b">
        <f t="shared" si="0"/>
        <v>0</v>
      </c>
    </row>
    <row r="19" spans="1:4" x14ac:dyDescent="0.25">
      <c r="A19" t="s">
        <v>15</v>
      </c>
      <c r="B19" s="5" t="s">
        <v>172</v>
      </c>
      <c r="C19" s="5" t="s">
        <v>172</v>
      </c>
      <c r="D19" t="b">
        <f t="shared" si="0"/>
        <v>0</v>
      </c>
    </row>
    <row r="20" spans="1:4" x14ac:dyDescent="0.25">
      <c r="A20" t="s">
        <v>15</v>
      </c>
      <c r="B20" s="5" t="s">
        <v>172</v>
      </c>
      <c r="C20" s="5" t="s">
        <v>172</v>
      </c>
      <c r="D20" t="b">
        <f t="shared" si="0"/>
        <v>0</v>
      </c>
    </row>
    <row r="21" spans="1:4" x14ac:dyDescent="0.25">
      <c r="A21" t="s">
        <v>15</v>
      </c>
      <c r="B21" s="5" t="s">
        <v>172</v>
      </c>
      <c r="C21" s="5" t="s">
        <v>172</v>
      </c>
      <c r="D21" t="b">
        <f t="shared" si="0"/>
        <v>0</v>
      </c>
    </row>
    <row r="22" spans="1:4" x14ac:dyDescent="0.25">
      <c r="A22" t="s">
        <v>15</v>
      </c>
      <c r="B22" s="5" t="s">
        <v>172</v>
      </c>
      <c r="C22" s="5" t="s">
        <v>172</v>
      </c>
      <c r="D22" t="b">
        <f t="shared" si="0"/>
        <v>0</v>
      </c>
    </row>
    <row r="23" spans="1:4" x14ac:dyDescent="0.25">
      <c r="A23" t="s">
        <v>15</v>
      </c>
      <c r="B23" s="5" t="s">
        <v>172</v>
      </c>
      <c r="C23" s="5" t="s">
        <v>172</v>
      </c>
      <c r="D23" t="b">
        <f t="shared" si="0"/>
        <v>0</v>
      </c>
    </row>
    <row r="24" spans="1:4" x14ac:dyDescent="0.25">
      <c r="A24" t="s">
        <v>15</v>
      </c>
      <c r="B24" s="5" t="s">
        <v>172</v>
      </c>
      <c r="C24" s="5" t="s">
        <v>172</v>
      </c>
      <c r="D24" t="b">
        <f t="shared" si="0"/>
        <v>0</v>
      </c>
    </row>
    <row r="25" spans="1:4" x14ac:dyDescent="0.25">
      <c r="A25" t="s">
        <v>15</v>
      </c>
      <c r="B25" s="5" t="s">
        <v>172</v>
      </c>
      <c r="C25" s="5" t="s">
        <v>172</v>
      </c>
      <c r="D25" t="b">
        <f t="shared" si="0"/>
        <v>0</v>
      </c>
    </row>
    <row r="26" spans="1:4" x14ac:dyDescent="0.25">
      <c r="A26" t="s">
        <v>15</v>
      </c>
      <c r="B26" s="5" t="s">
        <v>172</v>
      </c>
      <c r="C26" s="5" t="s">
        <v>172</v>
      </c>
      <c r="D26" t="b">
        <f t="shared" si="0"/>
        <v>0</v>
      </c>
    </row>
    <row r="27" spans="1:4" x14ac:dyDescent="0.25">
      <c r="A27" t="s">
        <v>15</v>
      </c>
      <c r="B27" s="5" t="s">
        <v>122</v>
      </c>
      <c r="C27" s="5" t="s">
        <v>122</v>
      </c>
      <c r="D27" t="b">
        <f t="shared" si="0"/>
        <v>0</v>
      </c>
    </row>
    <row r="28" spans="1:4" x14ac:dyDescent="0.25">
      <c r="A28" t="s">
        <v>15</v>
      </c>
      <c r="B28" s="5" t="s">
        <v>122</v>
      </c>
      <c r="C28" s="5" t="s">
        <v>122</v>
      </c>
      <c r="D28" t="b">
        <f t="shared" si="0"/>
        <v>0</v>
      </c>
    </row>
    <row r="29" spans="1:4" x14ac:dyDescent="0.25">
      <c r="A29" t="s">
        <v>15</v>
      </c>
      <c r="B29" s="5" t="s">
        <v>122</v>
      </c>
      <c r="C29" s="5" t="s">
        <v>122</v>
      </c>
      <c r="D29" t="b">
        <f t="shared" si="0"/>
        <v>0</v>
      </c>
    </row>
    <row r="30" spans="1:4" x14ac:dyDescent="0.25">
      <c r="A30" t="s">
        <v>15</v>
      </c>
      <c r="B30" s="5" t="s">
        <v>122</v>
      </c>
      <c r="C30" s="5" t="s">
        <v>122</v>
      </c>
      <c r="D30" t="b">
        <f t="shared" si="0"/>
        <v>0</v>
      </c>
    </row>
    <row r="31" spans="1:4" x14ac:dyDescent="0.25">
      <c r="A31" t="s">
        <v>15</v>
      </c>
      <c r="B31" s="5" t="s">
        <v>122</v>
      </c>
      <c r="C31" s="5" t="s">
        <v>122</v>
      </c>
      <c r="D31" t="b">
        <f t="shared" si="0"/>
        <v>0</v>
      </c>
    </row>
    <row r="32" spans="1:4" x14ac:dyDescent="0.25">
      <c r="A32" t="s">
        <v>15</v>
      </c>
      <c r="B32" s="5" t="s">
        <v>122</v>
      </c>
      <c r="C32" s="5" t="s">
        <v>122</v>
      </c>
      <c r="D32" t="b">
        <f t="shared" si="0"/>
        <v>0</v>
      </c>
    </row>
    <row r="33" spans="1:6" x14ac:dyDescent="0.25">
      <c r="A33" t="s">
        <v>15</v>
      </c>
      <c r="B33" s="5" t="s">
        <v>122</v>
      </c>
      <c r="C33" s="5" t="s">
        <v>122</v>
      </c>
      <c r="D33" t="b">
        <f t="shared" si="0"/>
        <v>0</v>
      </c>
    </row>
    <row r="34" spans="1:6" x14ac:dyDescent="0.25">
      <c r="A34" t="s">
        <v>15</v>
      </c>
      <c r="B34" s="5" t="s">
        <v>122</v>
      </c>
      <c r="C34" s="5" t="s">
        <v>122</v>
      </c>
      <c r="D34" t="b">
        <f t="shared" si="0"/>
        <v>0</v>
      </c>
    </row>
    <row r="35" spans="1:6" x14ac:dyDescent="0.25">
      <c r="A35" t="s">
        <v>15</v>
      </c>
      <c r="B35" s="5" t="s">
        <v>122</v>
      </c>
      <c r="C35" s="5" t="s">
        <v>122</v>
      </c>
      <c r="D35" t="b">
        <f t="shared" si="0"/>
        <v>0</v>
      </c>
    </row>
    <row r="36" spans="1:6" x14ac:dyDescent="0.25">
      <c r="A36" t="s">
        <v>15</v>
      </c>
      <c r="B36" s="5" t="s">
        <v>122</v>
      </c>
      <c r="C36" s="5" t="s">
        <v>122</v>
      </c>
      <c r="D36" t="b">
        <f t="shared" si="0"/>
        <v>0</v>
      </c>
    </row>
    <row r="37" spans="1:6" x14ac:dyDescent="0.25">
      <c r="A37" t="s">
        <v>15</v>
      </c>
      <c r="B37" s="5" t="s">
        <v>122</v>
      </c>
      <c r="C37" s="5" t="s">
        <v>122</v>
      </c>
      <c r="D37" t="b">
        <f t="shared" si="0"/>
        <v>0</v>
      </c>
    </row>
    <row r="38" spans="1:6" x14ac:dyDescent="0.25">
      <c r="A38" t="s">
        <v>1064</v>
      </c>
      <c r="B38" s="5" t="s">
        <v>1065</v>
      </c>
      <c r="C38" s="5" t="s">
        <v>1065</v>
      </c>
      <c r="D38" t="b">
        <f t="shared" si="0"/>
        <v>0</v>
      </c>
    </row>
    <row r="39" spans="1:6" x14ac:dyDescent="0.25">
      <c r="A39" t="s">
        <v>1064</v>
      </c>
      <c r="B39" s="5" t="s">
        <v>1066</v>
      </c>
      <c r="C39" s="5" t="s">
        <v>1066</v>
      </c>
      <c r="D39" t="b">
        <f t="shared" si="0"/>
        <v>0</v>
      </c>
    </row>
    <row r="40" spans="1:6" x14ac:dyDescent="0.25">
      <c r="A40" t="s">
        <v>1064</v>
      </c>
      <c r="B40" s="5" t="s">
        <v>318</v>
      </c>
      <c r="C40" s="5" t="s">
        <v>318</v>
      </c>
      <c r="D40" t="b">
        <f t="shared" si="0"/>
        <v>0</v>
      </c>
    </row>
    <row r="41" spans="1:6" x14ac:dyDescent="0.25">
      <c r="A41" t="s">
        <v>1064</v>
      </c>
      <c r="B41" s="5" t="s">
        <v>1067</v>
      </c>
      <c r="C41" s="5" t="s">
        <v>1298</v>
      </c>
      <c r="D41" t="b">
        <f t="shared" si="0"/>
        <v>1</v>
      </c>
    </row>
    <row r="42" spans="1:6" x14ac:dyDescent="0.25">
      <c r="A42" t="s">
        <v>1064</v>
      </c>
      <c r="B42" s="5" t="s">
        <v>1300</v>
      </c>
      <c r="C42" s="5" t="s">
        <v>1300</v>
      </c>
      <c r="D42" t="b">
        <f t="shared" si="0"/>
        <v>0</v>
      </c>
      <c r="F42"/>
    </row>
    <row r="43" spans="1:6" x14ac:dyDescent="0.25">
      <c r="A43" t="s">
        <v>1064</v>
      </c>
      <c r="B43" s="5" t="s">
        <v>1775</v>
      </c>
      <c r="C43" s="5" t="s">
        <v>1775</v>
      </c>
      <c r="D43" t="b">
        <f t="shared" si="0"/>
        <v>0</v>
      </c>
    </row>
    <row r="44" spans="1:6" x14ac:dyDescent="0.25">
      <c r="A44" t="s">
        <v>1064</v>
      </c>
      <c r="B44" s="5" t="s">
        <v>1068</v>
      </c>
      <c r="C44" s="5" t="s">
        <v>1068</v>
      </c>
      <c r="D44" t="b">
        <f t="shared" si="0"/>
        <v>0</v>
      </c>
    </row>
    <row r="45" spans="1:6" x14ac:dyDescent="0.25">
      <c r="A45" t="s">
        <v>1064</v>
      </c>
      <c r="B45" s="5" t="s">
        <v>1774</v>
      </c>
      <c r="C45" s="5" t="s">
        <v>1774</v>
      </c>
      <c r="D45" t="b">
        <f t="shared" si="0"/>
        <v>0</v>
      </c>
    </row>
    <row r="46" spans="1:6" x14ac:dyDescent="0.25">
      <c r="A46" t="s">
        <v>1064</v>
      </c>
      <c r="B46" s="5" t="s">
        <v>1773</v>
      </c>
      <c r="C46" s="5" t="s">
        <v>1773</v>
      </c>
      <c r="D46" t="b">
        <f t="shared" si="0"/>
        <v>0</v>
      </c>
    </row>
    <row r="47" spans="1:6" x14ac:dyDescent="0.25">
      <c r="A47" t="s">
        <v>1064</v>
      </c>
      <c r="B47" s="5" t="s">
        <v>1069</v>
      </c>
      <c r="C47" s="5" t="s">
        <v>1069</v>
      </c>
      <c r="D47" t="b">
        <f t="shared" si="0"/>
        <v>0</v>
      </c>
    </row>
    <row r="48" spans="1:6" x14ac:dyDescent="0.25">
      <c r="A48" t="s">
        <v>1064</v>
      </c>
      <c r="B48" s="5" t="s">
        <v>1070</v>
      </c>
      <c r="C48" s="5" t="s">
        <v>1070</v>
      </c>
      <c r="D48" t="b">
        <f t="shared" si="0"/>
        <v>0</v>
      </c>
    </row>
    <row r="49" spans="1:4" x14ac:dyDescent="0.25">
      <c r="A49" t="s">
        <v>290</v>
      </c>
      <c r="B49" s="5" t="s">
        <v>1831</v>
      </c>
      <c r="C49" s="5" t="s">
        <v>1436</v>
      </c>
      <c r="D49" t="b">
        <f t="shared" si="0"/>
        <v>1</v>
      </c>
    </row>
    <row r="50" spans="1:4" x14ac:dyDescent="0.25">
      <c r="A50" t="s">
        <v>290</v>
      </c>
      <c r="B50" s="5" t="s">
        <v>1071</v>
      </c>
      <c r="C50" s="5" t="s">
        <v>1071</v>
      </c>
      <c r="D50" t="b">
        <f t="shared" si="0"/>
        <v>0</v>
      </c>
    </row>
    <row r="51" spans="1:4" x14ac:dyDescent="0.25">
      <c r="A51" t="s">
        <v>290</v>
      </c>
      <c r="B51" s="5" t="s">
        <v>1772</v>
      </c>
      <c r="C51" s="5" t="s">
        <v>1772</v>
      </c>
      <c r="D51" t="b">
        <f t="shared" si="0"/>
        <v>0</v>
      </c>
    </row>
    <row r="52" spans="1:4" x14ac:dyDescent="0.25">
      <c r="A52" t="s">
        <v>290</v>
      </c>
      <c r="B52" s="5" t="s">
        <v>1787</v>
      </c>
      <c r="C52" s="5" t="s">
        <v>1301</v>
      </c>
      <c r="D52" t="b">
        <f t="shared" si="0"/>
        <v>1</v>
      </c>
    </row>
    <row r="53" spans="1:4" x14ac:dyDescent="0.25">
      <c r="A53" t="s">
        <v>290</v>
      </c>
      <c r="B53" s="5" t="s">
        <v>1073</v>
      </c>
      <c r="C53" s="5" t="s">
        <v>1073</v>
      </c>
      <c r="D53" t="b">
        <f t="shared" si="0"/>
        <v>0</v>
      </c>
    </row>
    <row r="54" spans="1:4" x14ac:dyDescent="0.25">
      <c r="A54" t="s">
        <v>290</v>
      </c>
      <c r="B54" s="5" t="s">
        <v>1084</v>
      </c>
      <c r="C54" s="5" t="s">
        <v>1935</v>
      </c>
      <c r="D54" t="b">
        <f>B54&lt;&gt;C54</f>
        <v>1</v>
      </c>
    </row>
    <row r="55" spans="1:4" x14ac:dyDescent="0.25">
      <c r="A55" t="s">
        <v>290</v>
      </c>
      <c r="B55" s="5" t="s">
        <v>1771</v>
      </c>
      <c r="C55" s="5" t="s">
        <v>1771</v>
      </c>
      <c r="D55" t="b">
        <f t="shared" si="0"/>
        <v>0</v>
      </c>
    </row>
    <row r="56" spans="1:4" x14ac:dyDescent="0.25">
      <c r="A56" t="s">
        <v>290</v>
      </c>
      <c r="B56" s="5" t="s">
        <v>1634</v>
      </c>
      <c r="C56" s="5" t="s">
        <v>1074</v>
      </c>
      <c r="D56" t="b">
        <f t="shared" si="0"/>
        <v>1</v>
      </c>
    </row>
    <row r="57" spans="1:4" x14ac:dyDescent="0.25">
      <c r="A57" t="s">
        <v>288</v>
      </c>
      <c r="B57" s="5" t="s">
        <v>1072</v>
      </c>
      <c r="C57" s="5" t="s">
        <v>1072</v>
      </c>
      <c r="D57" t="b">
        <f t="shared" si="0"/>
        <v>0</v>
      </c>
    </row>
    <row r="58" spans="1:4" x14ac:dyDescent="0.25">
      <c r="A58" t="s">
        <v>288</v>
      </c>
      <c r="B58" s="5" t="s">
        <v>1075</v>
      </c>
      <c r="C58" s="5" t="s">
        <v>1075</v>
      </c>
      <c r="D58" t="b">
        <f t="shared" si="0"/>
        <v>0</v>
      </c>
    </row>
    <row r="59" spans="1:4" x14ac:dyDescent="0.25">
      <c r="A59" t="s">
        <v>288</v>
      </c>
      <c r="B59" s="5" t="s">
        <v>1299</v>
      </c>
      <c r="C59" s="5" t="s">
        <v>1299</v>
      </c>
      <c r="D59" t="b">
        <f t="shared" si="0"/>
        <v>0</v>
      </c>
    </row>
    <row r="60" spans="1:4" x14ac:dyDescent="0.25">
      <c r="A60" t="s">
        <v>288</v>
      </c>
      <c r="B60" s="5" t="s">
        <v>330</v>
      </c>
      <c r="C60" s="5" t="s">
        <v>330</v>
      </c>
      <c r="D60" t="b">
        <f t="shared" si="0"/>
        <v>0</v>
      </c>
    </row>
    <row r="61" spans="1:4" x14ac:dyDescent="0.25">
      <c r="A61" t="s">
        <v>288</v>
      </c>
      <c r="B61" s="5" t="s">
        <v>1076</v>
      </c>
      <c r="C61" s="5" t="s">
        <v>1845</v>
      </c>
      <c r="D61" t="b">
        <f t="shared" si="0"/>
        <v>1</v>
      </c>
    </row>
    <row r="62" spans="1:4" x14ac:dyDescent="0.25">
      <c r="A62" t="s">
        <v>23</v>
      </c>
      <c r="B62" s="5" t="s">
        <v>735</v>
      </c>
      <c r="C62" s="5" t="s">
        <v>735</v>
      </c>
      <c r="D62" t="b">
        <f t="shared" si="0"/>
        <v>0</v>
      </c>
    </row>
    <row r="63" spans="1:4" x14ac:dyDescent="0.25">
      <c r="A63" t="s">
        <v>23</v>
      </c>
      <c r="B63" s="5" t="s">
        <v>1077</v>
      </c>
      <c r="C63" s="5" t="s">
        <v>1077</v>
      </c>
      <c r="D63" t="b">
        <f t="shared" si="0"/>
        <v>0</v>
      </c>
    </row>
    <row r="64" spans="1:4" x14ac:dyDescent="0.25">
      <c r="A64" t="s">
        <v>23</v>
      </c>
      <c r="B64" s="5" t="s">
        <v>1078</v>
      </c>
      <c r="C64" s="5" t="s">
        <v>1078</v>
      </c>
      <c r="D64" t="b">
        <f t="shared" si="0"/>
        <v>0</v>
      </c>
    </row>
    <row r="65" spans="1:6" x14ac:dyDescent="0.25">
      <c r="A65" t="s">
        <v>23</v>
      </c>
      <c r="B65" s="5" t="s">
        <v>1079</v>
      </c>
      <c r="C65" s="5" t="s">
        <v>1079</v>
      </c>
      <c r="D65" t="b">
        <f t="shared" si="0"/>
        <v>0</v>
      </c>
    </row>
    <row r="66" spans="1:6" x14ac:dyDescent="0.25">
      <c r="A66" t="s">
        <v>27</v>
      </c>
      <c r="B66" s="5" t="s">
        <v>846</v>
      </c>
      <c r="C66" s="5" t="s">
        <v>846</v>
      </c>
      <c r="D66" t="b">
        <f t="shared" si="0"/>
        <v>0</v>
      </c>
    </row>
    <row r="67" spans="1:6" x14ac:dyDescent="0.25">
      <c r="A67" t="s">
        <v>27</v>
      </c>
      <c r="B67" s="5" t="s">
        <v>1080</v>
      </c>
      <c r="C67" s="5" t="s">
        <v>1080</v>
      </c>
      <c r="D67" t="b">
        <f t="shared" si="0"/>
        <v>0</v>
      </c>
    </row>
    <row r="68" spans="1:6" x14ac:dyDescent="0.25">
      <c r="A68" t="s">
        <v>27</v>
      </c>
      <c r="B68" s="5" t="s">
        <v>985</v>
      </c>
      <c r="C68" s="5" t="s">
        <v>985</v>
      </c>
      <c r="D68" t="b">
        <f t="shared" si="0"/>
        <v>0</v>
      </c>
    </row>
    <row r="69" spans="1:6" x14ac:dyDescent="0.25">
      <c r="A69" t="s">
        <v>27</v>
      </c>
      <c r="B69" s="5" t="s">
        <v>1081</v>
      </c>
      <c r="C69" s="5" t="s">
        <v>1081</v>
      </c>
      <c r="D69" t="b">
        <f t="shared" si="0"/>
        <v>0</v>
      </c>
    </row>
    <row r="70" spans="1:6" x14ac:dyDescent="0.25">
      <c r="A70" t="s">
        <v>27</v>
      </c>
      <c r="B70" s="5" t="s">
        <v>769</v>
      </c>
      <c r="C70" s="5" t="s">
        <v>769</v>
      </c>
      <c r="D70" t="b">
        <f t="shared" ref="D70:D102" si="2">B70&lt;&gt;C70</f>
        <v>0</v>
      </c>
    </row>
    <row r="71" spans="1:6" x14ac:dyDescent="0.25">
      <c r="A71" t="s">
        <v>27</v>
      </c>
      <c r="B71" s="5" t="s">
        <v>1082</v>
      </c>
      <c r="C71" s="5" t="s">
        <v>1082</v>
      </c>
      <c r="D71" t="b">
        <f t="shared" si="2"/>
        <v>0</v>
      </c>
    </row>
    <row r="72" spans="1:6" x14ac:dyDescent="0.25">
      <c r="A72" t="s">
        <v>27</v>
      </c>
      <c r="B72" s="5" t="s">
        <v>1083</v>
      </c>
      <c r="C72" s="5" t="s">
        <v>1083</v>
      </c>
      <c r="D72" t="b">
        <f t="shared" si="2"/>
        <v>0</v>
      </c>
    </row>
    <row r="73" spans="1:6" x14ac:dyDescent="0.25">
      <c r="A73" t="s">
        <v>27</v>
      </c>
      <c r="B73" s="5" t="s">
        <v>1085</v>
      </c>
      <c r="C73" s="5" t="s">
        <v>1832</v>
      </c>
      <c r="D73" t="b">
        <f t="shared" si="2"/>
        <v>1</v>
      </c>
    </row>
    <row r="74" spans="1:6" x14ac:dyDescent="0.25">
      <c r="A74" t="s">
        <v>27</v>
      </c>
      <c r="B74" s="5" t="s">
        <v>768</v>
      </c>
      <c r="C74" s="5" t="s">
        <v>768</v>
      </c>
      <c r="D74" t="b">
        <f t="shared" si="2"/>
        <v>0</v>
      </c>
    </row>
    <row r="75" spans="1:6" x14ac:dyDescent="0.25">
      <c r="A75" t="s">
        <v>1830</v>
      </c>
      <c r="B75" s="5" t="s">
        <v>1089</v>
      </c>
      <c r="C75" s="5" t="s">
        <v>1776</v>
      </c>
      <c r="D75" t="b">
        <f t="shared" si="2"/>
        <v>1</v>
      </c>
      <c r="F75"/>
    </row>
    <row r="76" spans="1:6" x14ac:dyDescent="0.25">
      <c r="A76" t="s">
        <v>1830</v>
      </c>
      <c r="B76" s="5" t="s">
        <v>1777</v>
      </c>
      <c r="C76" s="5" t="s">
        <v>1777</v>
      </c>
      <c r="D76" t="b">
        <f t="shared" si="2"/>
        <v>0</v>
      </c>
    </row>
    <row r="77" spans="1:6" x14ac:dyDescent="0.25">
      <c r="A77" t="s">
        <v>1830</v>
      </c>
      <c r="B77" s="5" t="s">
        <v>1091</v>
      </c>
      <c r="C77" s="5" t="s">
        <v>1778</v>
      </c>
      <c r="D77" t="b">
        <f t="shared" si="2"/>
        <v>1</v>
      </c>
    </row>
    <row r="78" spans="1:6" x14ac:dyDescent="0.25">
      <c r="A78" t="s">
        <v>1830</v>
      </c>
      <c r="B78" s="5" t="s">
        <v>1092</v>
      </c>
      <c r="C78" s="5" t="s">
        <v>1779</v>
      </c>
      <c r="D78" t="b">
        <f t="shared" si="2"/>
        <v>1</v>
      </c>
      <c r="F78"/>
    </row>
    <row r="79" spans="1:6" x14ac:dyDescent="0.25">
      <c r="A79" t="s">
        <v>1830</v>
      </c>
      <c r="B79" s="5" t="s">
        <v>1093</v>
      </c>
      <c r="C79" s="5" t="s">
        <v>1781</v>
      </c>
      <c r="D79" t="b">
        <f t="shared" si="2"/>
        <v>1</v>
      </c>
      <c r="F79"/>
    </row>
    <row r="80" spans="1:6" x14ac:dyDescent="0.25">
      <c r="A80" t="s">
        <v>1830</v>
      </c>
      <c r="B80" s="5" t="s">
        <v>1780</v>
      </c>
      <c r="C80" s="5" t="s">
        <v>1780</v>
      </c>
      <c r="D80" t="b">
        <f t="shared" si="2"/>
        <v>0</v>
      </c>
      <c r="F80"/>
    </row>
    <row r="81" spans="1:6" x14ac:dyDescent="0.25">
      <c r="A81" t="s">
        <v>1830</v>
      </c>
      <c r="B81" s="5" t="s">
        <v>1783</v>
      </c>
      <c r="C81" s="5" t="s">
        <v>1783</v>
      </c>
      <c r="D81" t="b">
        <f t="shared" si="2"/>
        <v>0</v>
      </c>
      <c r="F81"/>
    </row>
    <row r="82" spans="1:6" x14ac:dyDescent="0.25">
      <c r="A82" t="s">
        <v>1830</v>
      </c>
      <c r="B82" s="5" t="s">
        <v>1784</v>
      </c>
      <c r="C82" s="5" t="s">
        <v>1784</v>
      </c>
      <c r="D82" t="b">
        <f t="shared" si="2"/>
        <v>0</v>
      </c>
      <c r="F82"/>
    </row>
    <row r="83" spans="1:6" x14ac:dyDescent="0.25">
      <c r="A83" t="s">
        <v>1830</v>
      </c>
      <c r="B83" s="5" t="s">
        <v>1785</v>
      </c>
      <c r="C83" s="5" t="s">
        <v>1785</v>
      </c>
      <c r="D83" t="b">
        <f t="shared" si="2"/>
        <v>0</v>
      </c>
      <c r="F83"/>
    </row>
    <row r="84" spans="1:6" x14ac:dyDescent="0.25">
      <c r="A84" t="s">
        <v>1830</v>
      </c>
      <c r="B84" s="5" t="s">
        <v>1786</v>
      </c>
      <c r="C84" s="5" t="s">
        <v>1786</v>
      </c>
      <c r="D84" t="b">
        <f t="shared" si="2"/>
        <v>0</v>
      </c>
      <c r="F84"/>
    </row>
    <row r="85" spans="1:6" x14ac:dyDescent="0.25">
      <c r="A85" t="s">
        <v>1830</v>
      </c>
      <c r="B85" s="5" t="s">
        <v>1789</v>
      </c>
      <c r="C85" s="5" t="s">
        <v>1788</v>
      </c>
      <c r="D85" t="b">
        <f t="shared" si="2"/>
        <v>1</v>
      </c>
    </row>
    <row r="86" spans="1:6" x14ac:dyDescent="0.25">
      <c r="A86" t="s">
        <v>1830</v>
      </c>
      <c r="B86" s="5" t="s">
        <v>983</v>
      </c>
      <c r="C86" s="5" t="s">
        <v>983</v>
      </c>
      <c r="D86" t="b">
        <f t="shared" si="2"/>
        <v>0</v>
      </c>
    </row>
    <row r="87" spans="1:6" x14ac:dyDescent="0.25">
      <c r="A87" t="s">
        <v>1830</v>
      </c>
      <c r="B87" s="5" t="s">
        <v>1088</v>
      </c>
      <c r="C87" s="5" t="s">
        <v>1088</v>
      </c>
      <c r="D87" t="b">
        <f t="shared" si="2"/>
        <v>0</v>
      </c>
    </row>
    <row r="88" spans="1:6" x14ac:dyDescent="0.25">
      <c r="A88" t="s">
        <v>1830</v>
      </c>
      <c r="B88" s="5" t="s">
        <v>1086</v>
      </c>
      <c r="C88" s="5" t="s">
        <v>1086</v>
      </c>
      <c r="D88" t="b">
        <f t="shared" si="2"/>
        <v>0</v>
      </c>
    </row>
    <row r="89" spans="1:6" x14ac:dyDescent="0.25">
      <c r="A89" t="s">
        <v>1830</v>
      </c>
      <c r="B89" s="5" t="s">
        <v>1782</v>
      </c>
      <c r="C89" s="5" t="s">
        <v>1782</v>
      </c>
      <c r="D89" t="b">
        <f t="shared" si="2"/>
        <v>0</v>
      </c>
    </row>
    <row r="90" spans="1:6" x14ac:dyDescent="0.25">
      <c r="A90" t="s">
        <v>121</v>
      </c>
      <c r="B90" s="5" t="s">
        <v>1090</v>
      </c>
      <c r="C90" s="5" t="s">
        <v>1090</v>
      </c>
      <c r="D90" t="b">
        <f t="shared" si="2"/>
        <v>0</v>
      </c>
    </row>
    <row r="91" spans="1:6" x14ac:dyDescent="0.25">
      <c r="A91" t="s">
        <v>121</v>
      </c>
      <c r="B91" s="5" t="s">
        <v>217</v>
      </c>
      <c r="C91" s="5" t="s">
        <v>217</v>
      </c>
      <c r="D91" t="b">
        <f t="shared" si="2"/>
        <v>0</v>
      </c>
    </row>
    <row r="92" spans="1:6" x14ac:dyDescent="0.25">
      <c r="A92" t="s">
        <v>121</v>
      </c>
      <c r="B92" s="5" t="s">
        <v>97</v>
      </c>
      <c r="C92" s="5" t="s">
        <v>97</v>
      </c>
      <c r="D92" t="b">
        <f t="shared" si="2"/>
        <v>0</v>
      </c>
    </row>
    <row r="93" spans="1:6" x14ac:dyDescent="0.25">
      <c r="A93" t="s">
        <v>121</v>
      </c>
      <c r="B93" s="5" t="s">
        <v>1791</v>
      </c>
      <c r="C93" s="5" t="s">
        <v>1792</v>
      </c>
      <c r="D93" t="b">
        <f t="shared" si="2"/>
        <v>1</v>
      </c>
    </row>
    <row r="94" spans="1:6" x14ac:dyDescent="0.25">
      <c r="A94" t="s">
        <v>121</v>
      </c>
      <c r="B94" s="5" t="s">
        <v>1087</v>
      </c>
      <c r="C94" s="5" t="s">
        <v>1087</v>
      </c>
      <c r="D94" t="b">
        <f t="shared" si="2"/>
        <v>0</v>
      </c>
      <c r="F94"/>
    </row>
    <row r="95" spans="1:6" x14ac:dyDescent="0.25">
      <c r="A95" t="s">
        <v>121</v>
      </c>
      <c r="B95" s="5" t="s">
        <v>1227</v>
      </c>
      <c r="C95" s="5" t="s">
        <v>1790</v>
      </c>
      <c r="D95" t="b">
        <f t="shared" si="2"/>
        <v>1</v>
      </c>
      <c r="F95"/>
    </row>
    <row r="96" spans="1:6" x14ac:dyDescent="0.25">
      <c r="A96" t="s">
        <v>121</v>
      </c>
      <c r="B96" s="5" t="s">
        <v>1094</v>
      </c>
      <c r="C96" s="5" t="s">
        <v>1094</v>
      </c>
      <c r="D96" t="b">
        <f t="shared" si="2"/>
        <v>0</v>
      </c>
    </row>
    <row r="97" spans="1:4" x14ac:dyDescent="0.25">
      <c r="A97" t="s">
        <v>121</v>
      </c>
      <c r="B97" s="5" t="s">
        <v>181</v>
      </c>
      <c r="C97" s="5" t="s">
        <v>181</v>
      </c>
      <c r="D97" t="b">
        <f t="shared" si="2"/>
        <v>0</v>
      </c>
    </row>
    <row r="98" spans="1:4" x14ac:dyDescent="0.25">
      <c r="A98" t="s">
        <v>121</v>
      </c>
      <c r="B98" s="5" t="s">
        <v>1302</v>
      </c>
      <c r="C98" s="5" t="s">
        <v>1302</v>
      </c>
      <c r="D98" t="b">
        <f t="shared" si="2"/>
        <v>0</v>
      </c>
    </row>
    <row r="99" spans="1:4" x14ac:dyDescent="0.25">
      <c r="A99" t="s">
        <v>121</v>
      </c>
      <c r="B99" s="5" t="s">
        <v>1096</v>
      </c>
      <c r="C99" s="5" t="s">
        <v>1096</v>
      </c>
      <c r="D99" t="b">
        <f t="shared" si="2"/>
        <v>0</v>
      </c>
    </row>
    <row r="100" spans="1:4" x14ac:dyDescent="0.25">
      <c r="A100" t="s">
        <v>121</v>
      </c>
      <c r="B100" s="5" t="s">
        <v>1097</v>
      </c>
      <c r="C100" s="5" t="s">
        <v>1097</v>
      </c>
      <c r="D100" t="b">
        <f t="shared" si="2"/>
        <v>0</v>
      </c>
    </row>
    <row r="101" spans="1:4" x14ac:dyDescent="0.25">
      <c r="A101" t="s">
        <v>121</v>
      </c>
      <c r="B101" s="5" t="s">
        <v>1098</v>
      </c>
      <c r="C101" s="5" t="s">
        <v>1098</v>
      </c>
      <c r="D101" t="b">
        <f t="shared" si="2"/>
        <v>0</v>
      </c>
    </row>
    <row r="102" spans="1:4" x14ac:dyDescent="0.25">
      <c r="A102" t="s">
        <v>121</v>
      </c>
      <c r="B102" s="5" t="s">
        <v>1099</v>
      </c>
      <c r="C102" s="5" t="s">
        <v>1099</v>
      </c>
      <c r="D102" t="b">
        <f t="shared" si="2"/>
        <v>0</v>
      </c>
    </row>
  </sheetData>
  <mergeCells count="1">
    <mergeCell ref="A1:G1"/>
  </mergeCells>
  <pageMargins left="0.511811024" right="0.511811024" top="0.78740157499999996" bottom="0.78740157499999996" header="0.31496062000000002" footer="0.3149606200000000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notContainsText" priority="1" operator="notContains" id="{4A34E9BD-72E0-40E4-B14F-00F4A715774B}">
            <xm:f>ISERROR(SEARCH(C3,B3))</xm:f>
            <xm:f>C3</xm:f>
            <x14:dxf>
              <fill>
                <patternFill>
                  <bgColor theme="5" tint="0.39994506668294322"/>
                </patternFill>
              </fill>
            </x14:dxf>
          </x14:cfRule>
          <xm:sqref>B3:B102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949CC-A81D-48AA-B5E1-4D8000409296}">
  <dimension ref="A1:O102"/>
  <sheetViews>
    <sheetView topLeftCell="A83" workbookViewId="0">
      <selection activeCell="C102" sqref="C102"/>
    </sheetView>
  </sheetViews>
  <sheetFormatPr defaultRowHeight="15" x14ac:dyDescent="0.25"/>
  <cols>
    <col min="1" max="1" width="11.85546875" style="5" customWidth="1"/>
    <col min="2" max="2" width="38.7109375" style="5" customWidth="1"/>
    <col min="3" max="3" width="38.7109375" customWidth="1"/>
    <col min="4" max="4" width="12.42578125" hidden="1" customWidth="1"/>
    <col min="5" max="5" width="4.28515625" customWidth="1"/>
    <col min="6" max="6" width="22.7109375" style="3" customWidth="1"/>
    <col min="7" max="7" width="9.140625" bestFit="1" customWidth="1"/>
  </cols>
  <sheetData>
    <row r="1" spans="1:7" ht="21" x14ac:dyDescent="0.25">
      <c r="A1" s="12" t="s">
        <v>1913</v>
      </c>
      <c r="B1" s="12"/>
      <c r="C1" s="12"/>
      <c r="D1" s="12"/>
      <c r="E1" s="12"/>
      <c r="F1" s="12"/>
      <c r="G1" s="12"/>
    </row>
    <row r="2" spans="1:7" x14ac:dyDescent="0.25">
      <c r="A2" s="4" t="s">
        <v>11</v>
      </c>
      <c r="B2" s="4" t="s">
        <v>12</v>
      </c>
      <c r="C2" s="4" t="s">
        <v>13</v>
      </c>
      <c r="D2" s="4" t="s">
        <v>14</v>
      </c>
      <c r="F2" s="4" t="s">
        <v>16</v>
      </c>
      <c r="G2" s="3">
        <f>COUNTIF(D:D,"Verdadeiro")</f>
        <v>27</v>
      </c>
    </row>
    <row r="3" spans="1:7" x14ac:dyDescent="0.25">
      <c r="A3" s="9" t="s">
        <v>1539</v>
      </c>
      <c r="B3" s="5" t="s">
        <v>1576</v>
      </c>
      <c r="C3" s="5" t="s">
        <v>1576</v>
      </c>
      <c r="D3" t="b">
        <f>B3&lt;&gt;C3</f>
        <v>0</v>
      </c>
      <c r="F3" s="4" t="s">
        <v>17</v>
      </c>
      <c r="G3" s="10">
        <f>SUM(G5:G29)</f>
        <v>90</v>
      </c>
    </row>
    <row r="4" spans="1:7" x14ac:dyDescent="0.25">
      <c r="A4" t="s">
        <v>15</v>
      </c>
      <c r="B4" s="5" t="s">
        <v>281</v>
      </c>
      <c r="C4" s="5" t="s">
        <v>281</v>
      </c>
      <c r="D4" t="b">
        <f>B4&lt;&gt;C4</f>
        <v>0</v>
      </c>
    </row>
    <row r="5" spans="1:7" x14ac:dyDescent="0.25">
      <c r="A5" t="s">
        <v>15</v>
      </c>
      <c r="B5" s="5" t="s">
        <v>122</v>
      </c>
      <c r="C5" s="5" t="s">
        <v>280</v>
      </c>
      <c r="D5" t="b">
        <f t="shared" ref="D5:D68" si="0">B5&lt;&gt;C5</f>
        <v>1</v>
      </c>
      <c r="F5" s="6" t="s">
        <v>19</v>
      </c>
      <c r="G5" s="1"/>
    </row>
    <row r="6" spans="1:7" x14ac:dyDescent="0.25">
      <c r="A6" t="s">
        <v>15</v>
      </c>
      <c r="B6" s="5" t="s">
        <v>62</v>
      </c>
      <c r="C6" s="5" t="s">
        <v>283</v>
      </c>
      <c r="D6" t="b">
        <f t="shared" si="0"/>
        <v>1</v>
      </c>
      <c r="F6" s="7" t="s">
        <v>1539</v>
      </c>
      <c r="G6" s="2">
        <f t="shared" ref="G6:G15" si="1">COUNTIF(A:A,F6)</f>
        <v>1</v>
      </c>
    </row>
    <row r="7" spans="1:7" x14ac:dyDescent="0.25">
      <c r="A7" t="s">
        <v>15</v>
      </c>
      <c r="B7" s="5" t="s">
        <v>284</v>
      </c>
      <c r="C7" s="5" t="s">
        <v>284</v>
      </c>
      <c r="D7" t="b">
        <f t="shared" si="0"/>
        <v>0</v>
      </c>
      <c r="F7" s="3" t="s">
        <v>15</v>
      </c>
      <c r="G7" s="2">
        <f t="shared" si="1"/>
        <v>35</v>
      </c>
    </row>
    <row r="8" spans="1:7" x14ac:dyDescent="0.25">
      <c r="A8" t="s">
        <v>15</v>
      </c>
      <c r="B8" s="5" t="s">
        <v>1615</v>
      </c>
      <c r="C8" s="5" t="s">
        <v>1615</v>
      </c>
      <c r="D8" t="b">
        <f t="shared" si="0"/>
        <v>0</v>
      </c>
      <c r="F8" s="7" t="s">
        <v>21</v>
      </c>
      <c r="G8" s="2">
        <f t="shared" si="1"/>
        <v>8</v>
      </c>
    </row>
    <row r="9" spans="1:7" x14ac:dyDescent="0.25">
      <c r="A9" t="s">
        <v>15</v>
      </c>
      <c r="B9" s="5" t="s">
        <v>1614</v>
      </c>
      <c r="C9" s="5" t="s">
        <v>1614</v>
      </c>
      <c r="D9" t="b">
        <f t="shared" si="0"/>
        <v>0</v>
      </c>
      <c r="F9" s="7" t="s">
        <v>22</v>
      </c>
      <c r="G9" s="2">
        <f t="shared" si="1"/>
        <v>12</v>
      </c>
    </row>
    <row r="10" spans="1:7" x14ac:dyDescent="0.25">
      <c r="A10" t="s">
        <v>15</v>
      </c>
      <c r="B10" s="5" t="s">
        <v>460</v>
      </c>
      <c r="C10" s="5" t="s">
        <v>460</v>
      </c>
      <c r="D10" t="b">
        <f t="shared" si="0"/>
        <v>0</v>
      </c>
      <c r="F10" s="7" t="s">
        <v>44</v>
      </c>
      <c r="G10" s="2">
        <f t="shared" si="1"/>
        <v>4</v>
      </c>
    </row>
    <row r="11" spans="1:7" x14ac:dyDescent="0.25">
      <c r="A11" t="s">
        <v>15</v>
      </c>
      <c r="B11" s="5" t="s">
        <v>1580</v>
      </c>
      <c r="C11" s="5" t="s">
        <v>1877</v>
      </c>
      <c r="D11" t="b">
        <f t="shared" si="0"/>
        <v>1</v>
      </c>
      <c r="F11" s="7" t="s">
        <v>42</v>
      </c>
      <c r="G11" s="2">
        <f t="shared" si="1"/>
        <v>4</v>
      </c>
    </row>
    <row r="12" spans="1:7" x14ac:dyDescent="0.25">
      <c r="A12" t="s">
        <v>15</v>
      </c>
      <c r="B12" s="5" t="s">
        <v>171</v>
      </c>
      <c r="C12" s="5" t="s">
        <v>171</v>
      </c>
      <c r="D12" t="b">
        <f t="shared" si="0"/>
        <v>0</v>
      </c>
      <c r="F12" s="7" t="s">
        <v>1577</v>
      </c>
      <c r="G12" s="2">
        <f t="shared" si="1"/>
        <v>14</v>
      </c>
    </row>
    <row r="13" spans="1:7" x14ac:dyDescent="0.25">
      <c r="A13" t="s">
        <v>15</v>
      </c>
      <c r="B13" s="5" t="s">
        <v>1971</v>
      </c>
      <c r="C13" s="5" t="s">
        <v>1622</v>
      </c>
      <c r="D13" t="b">
        <f t="shared" si="0"/>
        <v>1</v>
      </c>
      <c r="F13" s="7" t="s">
        <v>1581</v>
      </c>
      <c r="G13" s="2">
        <f t="shared" si="1"/>
        <v>12</v>
      </c>
    </row>
    <row r="14" spans="1:7" x14ac:dyDescent="0.25">
      <c r="A14" t="s">
        <v>15</v>
      </c>
      <c r="B14" s="5" t="s">
        <v>1578</v>
      </c>
      <c r="C14" s="5" t="s">
        <v>1936</v>
      </c>
      <c r="D14" t="b">
        <f t="shared" si="0"/>
        <v>1</v>
      </c>
      <c r="F14" s="3" t="s">
        <v>1911</v>
      </c>
      <c r="G14" s="2">
        <f t="shared" si="1"/>
        <v>0</v>
      </c>
    </row>
    <row r="15" spans="1:7" x14ac:dyDescent="0.25">
      <c r="A15" t="s">
        <v>15</v>
      </c>
      <c r="B15" s="5" t="s">
        <v>1579</v>
      </c>
      <c r="C15" s="5" t="s">
        <v>1103</v>
      </c>
      <c r="D15" t="b">
        <f t="shared" si="0"/>
        <v>1</v>
      </c>
      <c r="F15" s="3" t="s">
        <v>1912</v>
      </c>
      <c r="G15" s="2">
        <f t="shared" si="1"/>
        <v>0</v>
      </c>
    </row>
    <row r="16" spans="1:7" x14ac:dyDescent="0.25">
      <c r="A16" t="s">
        <v>15</v>
      </c>
      <c r="B16" s="5" t="s">
        <v>1951</v>
      </c>
      <c r="C16" s="5" t="s">
        <v>1951</v>
      </c>
      <c r="D16" t="b">
        <f t="shared" si="0"/>
        <v>0</v>
      </c>
      <c r="F16" s="7"/>
      <c r="G16" s="2"/>
    </row>
    <row r="17" spans="1:7" x14ac:dyDescent="0.25">
      <c r="A17" t="s">
        <v>15</v>
      </c>
      <c r="B17" s="5" t="s">
        <v>1609</v>
      </c>
      <c r="C17" s="5" t="s">
        <v>1609</v>
      </c>
      <c r="D17" t="b">
        <f t="shared" si="0"/>
        <v>0</v>
      </c>
      <c r="F17" s="4"/>
      <c r="G17" s="2"/>
    </row>
    <row r="18" spans="1:7" x14ac:dyDescent="0.25">
      <c r="A18" t="s">
        <v>15</v>
      </c>
      <c r="B18" s="5" t="s">
        <v>114</v>
      </c>
      <c r="C18" s="5" t="s">
        <v>114</v>
      </c>
      <c r="D18" t="b">
        <f t="shared" si="0"/>
        <v>0</v>
      </c>
      <c r="F18" s="4"/>
      <c r="G18" s="2"/>
    </row>
    <row r="19" spans="1:7" x14ac:dyDescent="0.25">
      <c r="A19" t="s">
        <v>15</v>
      </c>
      <c r="B19" s="5" t="s">
        <v>1608</v>
      </c>
      <c r="C19" s="5" t="s">
        <v>1608</v>
      </c>
      <c r="D19" t="b">
        <f t="shared" si="0"/>
        <v>0</v>
      </c>
    </row>
    <row r="20" spans="1:7" x14ac:dyDescent="0.25">
      <c r="A20" t="s">
        <v>15</v>
      </c>
      <c r="B20" s="5" t="s">
        <v>20</v>
      </c>
      <c r="C20" s="5" t="s">
        <v>20</v>
      </c>
      <c r="D20" t="b">
        <f t="shared" si="0"/>
        <v>0</v>
      </c>
    </row>
    <row r="21" spans="1:7" x14ac:dyDescent="0.25">
      <c r="A21" t="s">
        <v>15</v>
      </c>
      <c r="B21" s="5" t="s">
        <v>43</v>
      </c>
      <c r="C21" s="5" t="s">
        <v>43</v>
      </c>
      <c r="D21" t="b">
        <f t="shared" si="0"/>
        <v>0</v>
      </c>
    </row>
    <row r="22" spans="1:7" x14ac:dyDescent="0.25">
      <c r="A22" t="s">
        <v>15</v>
      </c>
      <c r="B22" s="5" t="s">
        <v>111</v>
      </c>
      <c r="C22" s="5" t="s">
        <v>111</v>
      </c>
      <c r="D22" t="b">
        <f t="shared" si="0"/>
        <v>0</v>
      </c>
    </row>
    <row r="23" spans="1:7" x14ac:dyDescent="0.25">
      <c r="A23" t="s">
        <v>15</v>
      </c>
      <c r="B23" s="5" t="s">
        <v>511</v>
      </c>
      <c r="C23" s="5" t="s">
        <v>1011</v>
      </c>
      <c r="D23" t="b">
        <f t="shared" si="0"/>
        <v>1</v>
      </c>
    </row>
    <row r="24" spans="1:7" x14ac:dyDescent="0.25">
      <c r="A24" t="s">
        <v>15</v>
      </c>
      <c r="B24" s="5" t="s">
        <v>451</v>
      </c>
      <c r="C24" s="5" t="s">
        <v>451</v>
      </c>
      <c r="D24" t="b">
        <f t="shared" si="0"/>
        <v>0</v>
      </c>
    </row>
    <row r="25" spans="1:7" x14ac:dyDescent="0.25">
      <c r="A25" t="s">
        <v>15</v>
      </c>
      <c r="B25" s="5" t="s">
        <v>452</v>
      </c>
      <c r="C25" s="5" t="s">
        <v>452</v>
      </c>
      <c r="D25" t="b">
        <f t="shared" si="0"/>
        <v>0</v>
      </c>
    </row>
    <row r="26" spans="1:7" x14ac:dyDescent="0.25">
      <c r="A26" t="s">
        <v>15</v>
      </c>
      <c r="B26" s="5" t="s">
        <v>1879</v>
      </c>
      <c r="C26" s="5" t="s">
        <v>1879</v>
      </c>
      <c r="D26" t="b">
        <f t="shared" si="0"/>
        <v>0</v>
      </c>
    </row>
    <row r="27" spans="1:7" x14ac:dyDescent="0.25">
      <c r="A27" t="s">
        <v>15</v>
      </c>
      <c r="B27" s="5" t="s">
        <v>110</v>
      </c>
      <c r="C27" s="5" t="s">
        <v>110</v>
      </c>
      <c r="D27" t="b">
        <f t="shared" si="0"/>
        <v>0</v>
      </c>
    </row>
    <row r="28" spans="1:7" x14ac:dyDescent="0.25">
      <c r="A28" t="s">
        <v>15</v>
      </c>
      <c r="B28" s="5" t="s">
        <v>112</v>
      </c>
      <c r="C28" s="5" t="s">
        <v>1833</v>
      </c>
      <c r="D28" t="b">
        <f t="shared" si="0"/>
        <v>1</v>
      </c>
    </row>
    <row r="29" spans="1:7" x14ac:dyDescent="0.25">
      <c r="A29" t="s">
        <v>15</v>
      </c>
      <c r="B29" s="5" t="s">
        <v>120</v>
      </c>
      <c r="C29" s="5" t="s">
        <v>39</v>
      </c>
      <c r="D29" t="b">
        <f t="shared" si="0"/>
        <v>1</v>
      </c>
    </row>
    <row r="30" spans="1:7" x14ac:dyDescent="0.25">
      <c r="A30" t="s">
        <v>15</v>
      </c>
      <c r="B30" s="5" t="s">
        <v>172</v>
      </c>
      <c r="C30" s="5" t="s">
        <v>172</v>
      </c>
      <c r="D30" t="b">
        <f t="shared" si="0"/>
        <v>0</v>
      </c>
    </row>
    <row r="31" spans="1:7" x14ac:dyDescent="0.25">
      <c r="A31" t="s">
        <v>15</v>
      </c>
      <c r="B31" s="5" t="s">
        <v>172</v>
      </c>
      <c r="C31" s="5" t="s">
        <v>172</v>
      </c>
      <c r="D31" t="b">
        <f t="shared" si="0"/>
        <v>0</v>
      </c>
    </row>
    <row r="32" spans="1:7" x14ac:dyDescent="0.25">
      <c r="A32" t="s">
        <v>15</v>
      </c>
      <c r="B32" s="5" t="s">
        <v>172</v>
      </c>
      <c r="C32" s="5" t="s">
        <v>172</v>
      </c>
      <c r="D32" t="b">
        <f t="shared" si="0"/>
        <v>0</v>
      </c>
    </row>
    <row r="33" spans="1:4" x14ac:dyDescent="0.25">
      <c r="A33" t="s">
        <v>15</v>
      </c>
      <c r="B33" s="5" t="s">
        <v>172</v>
      </c>
      <c r="C33" s="5" t="s">
        <v>172</v>
      </c>
      <c r="D33" t="b">
        <f t="shared" si="0"/>
        <v>0</v>
      </c>
    </row>
    <row r="34" spans="1:4" x14ac:dyDescent="0.25">
      <c r="A34" t="s">
        <v>15</v>
      </c>
      <c r="B34" s="5" t="s">
        <v>122</v>
      </c>
      <c r="C34" s="5" t="s">
        <v>122</v>
      </c>
      <c r="D34" t="b">
        <f t="shared" si="0"/>
        <v>0</v>
      </c>
    </row>
    <row r="35" spans="1:4" x14ac:dyDescent="0.25">
      <c r="A35" t="s">
        <v>15</v>
      </c>
      <c r="B35" s="5" t="s">
        <v>122</v>
      </c>
      <c r="C35" s="5" t="s">
        <v>122</v>
      </c>
      <c r="D35" t="b">
        <f t="shared" si="0"/>
        <v>0</v>
      </c>
    </row>
    <row r="36" spans="1:4" x14ac:dyDescent="0.25">
      <c r="A36" t="s">
        <v>15</v>
      </c>
      <c r="B36" s="5" t="s">
        <v>122</v>
      </c>
      <c r="C36" s="5" t="s">
        <v>122</v>
      </c>
      <c r="D36" t="b">
        <f t="shared" si="0"/>
        <v>0</v>
      </c>
    </row>
    <row r="37" spans="1:4" x14ac:dyDescent="0.25">
      <c r="A37" t="s">
        <v>15</v>
      </c>
      <c r="B37" s="5" t="s">
        <v>62</v>
      </c>
      <c r="C37" s="5" t="s">
        <v>62</v>
      </c>
      <c r="D37" t="b">
        <f t="shared" si="0"/>
        <v>0</v>
      </c>
    </row>
    <row r="38" spans="1:4" x14ac:dyDescent="0.25">
      <c r="A38" t="s">
        <v>15</v>
      </c>
      <c r="B38" s="5" t="s">
        <v>62</v>
      </c>
      <c r="C38" s="5" t="s">
        <v>62</v>
      </c>
      <c r="D38" t="b">
        <f t="shared" si="0"/>
        <v>0</v>
      </c>
    </row>
    <row r="39" spans="1:4" x14ac:dyDescent="0.25">
      <c r="A39" t="s">
        <v>21</v>
      </c>
      <c r="B39" s="5" t="s">
        <v>1626</v>
      </c>
      <c r="C39" s="5" t="s">
        <v>173</v>
      </c>
      <c r="D39" t="b">
        <f t="shared" si="0"/>
        <v>1</v>
      </c>
    </row>
    <row r="40" spans="1:4" x14ac:dyDescent="0.25">
      <c r="A40" t="s">
        <v>21</v>
      </c>
      <c r="B40" s="5" t="s">
        <v>174</v>
      </c>
      <c r="C40" s="5" t="s">
        <v>174</v>
      </c>
      <c r="D40" t="b">
        <f t="shared" si="0"/>
        <v>0</v>
      </c>
    </row>
    <row r="41" spans="1:4" x14ac:dyDescent="0.25">
      <c r="A41" t="s">
        <v>21</v>
      </c>
      <c r="B41" s="5" t="s">
        <v>176</v>
      </c>
      <c r="C41" s="5" t="s">
        <v>176</v>
      </c>
      <c r="D41" t="b">
        <f t="shared" si="0"/>
        <v>0</v>
      </c>
    </row>
    <row r="42" spans="1:4" x14ac:dyDescent="0.25">
      <c r="A42" t="s">
        <v>21</v>
      </c>
      <c r="B42" s="5" t="s">
        <v>300</v>
      </c>
      <c r="C42" s="5" t="s">
        <v>300</v>
      </c>
      <c r="D42" t="b">
        <f t="shared" si="0"/>
        <v>0</v>
      </c>
    </row>
    <row r="43" spans="1:4" x14ac:dyDescent="0.25">
      <c r="A43" t="s">
        <v>21</v>
      </c>
      <c r="B43" s="5" t="s">
        <v>124</v>
      </c>
      <c r="C43" s="5" t="s">
        <v>124</v>
      </c>
      <c r="D43" t="b">
        <f t="shared" si="0"/>
        <v>0</v>
      </c>
    </row>
    <row r="44" spans="1:4" x14ac:dyDescent="0.25">
      <c r="A44" t="s">
        <v>21</v>
      </c>
      <c r="B44" s="5" t="s">
        <v>2023</v>
      </c>
      <c r="C44" s="5" t="s">
        <v>304</v>
      </c>
      <c r="D44" t="b">
        <f t="shared" si="0"/>
        <v>1</v>
      </c>
    </row>
    <row r="45" spans="1:4" x14ac:dyDescent="0.25">
      <c r="A45" t="s">
        <v>21</v>
      </c>
      <c r="B45" s="5" t="s">
        <v>1950</v>
      </c>
      <c r="C45" s="5" t="s">
        <v>1950</v>
      </c>
      <c r="D45" t="b">
        <f t="shared" si="0"/>
        <v>0</v>
      </c>
    </row>
    <row r="46" spans="1:4" x14ac:dyDescent="0.25">
      <c r="A46" t="s">
        <v>21</v>
      </c>
      <c r="B46" s="5" t="s">
        <v>1976</v>
      </c>
      <c r="C46" s="5" t="s">
        <v>1976</v>
      </c>
      <c r="D46" t="b">
        <f t="shared" si="0"/>
        <v>0</v>
      </c>
    </row>
    <row r="47" spans="1:4" x14ac:dyDescent="0.25">
      <c r="A47" t="s">
        <v>22</v>
      </c>
      <c r="B47" s="5" t="s">
        <v>1607</v>
      </c>
      <c r="C47" s="5" t="s">
        <v>1607</v>
      </c>
      <c r="D47" t="b">
        <f t="shared" si="0"/>
        <v>0</v>
      </c>
    </row>
    <row r="48" spans="1:4" x14ac:dyDescent="0.25">
      <c r="A48" t="s">
        <v>22</v>
      </c>
      <c r="B48" s="5" t="s">
        <v>1463</v>
      </c>
      <c r="C48" s="5" t="s">
        <v>1463</v>
      </c>
      <c r="D48" t="b">
        <f t="shared" si="0"/>
        <v>0</v>
      </c>
    </row>
    <row r="49" spans="1:15" x14ac:dyDescent="0.25">
      <c r="A49" t="s">
        <v>22</v>
      </c>
      <c r="B49" s="5" t="s">
        <v>1585</v>
      </c>
      <c r="C49" s="5" t="s">
        <v>1585</v>
      </c>
      <c r="D49" t="b">
        <f t="shared" si="0"/>
        <v>0</v>
      </c>
    </row>
    <row r="50" spans="1:15" x14ac:dyDescent="0.25">
      <c r="A50" t="s">
        <v>22</v>
      </c>
      <c r="B50" s="5" t="s">
        <v>1873</v>
      </c>
      <c r="C50" s="5" t="s">
        <v>1873</v>
      </c>
      <c r="D50" t="b">
        <f t="shared" si="0"/>
        <v>0</v>
      </c>
    </row>
    <row r="51" spans="1:15" x14ac:dyDescent="0.25">
      <c r="A51" t="s">
        <v>22</v>
      </c>
      <c r="B51" s="5" t="s">
        <v>1583</v>
      </c>
      <c r="C51" s="5" t="s">
        <v>1583</v>
      </c>
      <c r="D51" t="b">
        <f t="shared" si="0"/>
        <v>0</v>
      </c>
    </row>
    <row r="52" spans="1:15" x14ac:dyDescent="0.25">
      <c r="A52" t="s">
        <v>22</v>
      </c>
      <c r="B52" s="5" t="s">
        <v>1916</v>
      </c>
      <c r="C52" s="5" t="s">
        <v>1843</v>
      </c>
      <c r="D52" t="b">
        <f t="shared" si="0"/>
        <v>1</v>
      </c>
    </row>
    <row r="53" spans="1:15" x14ac:dyDescent="0.25">
      <c r="A53" t="s">
        <v>22</v>
      </c>
      <c r="B53" s="5" t="s">
        <v>1836</v>
      </c>
      <c r="C53" s="5" t="s">
        <v>1836</v>
      </c>
      <c r="D53" t="b">
        <f t="shared" si="0"/>
        <v>0</v>
      </c>
    </row>
    <row r="54" spans="1:15" x14ac:dyDescent="0.25">
      <c r="A54" t="s">
        <v>22</v>
      </c>
      <c r="B54" s="5" t="s">
        <v>1449</v>
      </c>
      <c r="C54" s="5" t="s">
        <v>1449</v>
      </c>
      <c r="D54" t="b">
        <f t="shared" si="0"/>
        <v>0</v>
      </c>
    </row>
    <row r="55" spans="1:15" x14ac:dyDescent="0.25">
      <c r="A55" t="s">
        <v>22</v>
      </c>
      <c r="B55" s="5" t="s">
        <v>1875</v>
      </c>
      <c r="C55" s="5" t="s">
        <v>1606</v>
      </c>
      <c r="D55" t="b">
        <f t="shared" si="0"/>
        <v>1</v>
      </c>
    </row>
    <row r="56" spans="1:15" x14ac:dyDescent="0.25">
      <c r="A56" t="s">
        <v>22</v>
      </c>
      <c r="B56" s="5" t="s">
        <v>1604</v>
      </c>
      <c r="C56" s="5" t="s">
        <v>1604</v>
      </c>
      <c r="D56" t="b">
        <f t="shared" si="0"/>
        <v>0</v>
      </c>
    </row>
    <row r="57" spans="1:15" x14ac:dyDescent="0.25">
      <c r="A57" t="s">
        <v>22</v>
      </c>
      <c r="B57" s="5" t="s">
        <v>1610</v>
      </c>
      <c r="C57" s="5" t="s">
        <v>1610</v>
      </c>
      <c r="D57" t="b">
        <f t="shared" si="0"/>
        <v>0</v>
      </c>
    </row>
    <row r="58" spans="1:15" x14ac:dyDescent="0.25">
      <c r="A58" t="s">
        <v>22</v>
      </c>
      <c r="B58" s="5" t="s">
        <v>1975</v>
      </c>
      <c r="C58" s="5" t="s">
        <v>1975</v>
      </c>
      <c r="D58" t="b">
        <f t="shared" si="0"/>
        <v>0</v>
      </c>
    </row>
    <row r="59" spans="1:15" x14ac:dyDescent="0.25">
      <c r="A59" t="s">
        <v>44</v>
      </c>
      <c r="B59" s="5" t="s">
        <v>1869</v>
      </c>
      <c r="C59" s="5" t="s">
        <v>1869</v>
      </c>
      <c r="D59" t="b">
        <f t="shared" si="0"/>
        <v>0</v>
      </c>
    </row>
    <row r="60" spans="1:15" x14ac:dyDescent="0.25">
      <c r="A60" t="s">
        <v>44</v>
      </c>
      <c r="B60" s="5" t="s">
        <v>1079</v>
      </c>
      <c r="C60" s="5" t="s">
        <v>1079</v>
      </c>
      <c r="D60" t="b">
        <f t="shared" si="0"/>
        <v>0</v>
      </c>
      <c r="O60" s="5"/>
    </row>
    <row r="61" spans="1:15" x14ac:dyDescent="0.25">
      <c r="A61" t="s">
        <v>44</v>
      </c>
      <c r="B61" s="5" t="s">
        <v>1269</v>
      </c>
      <c r="C61" s="5" t="s">
        <v>1389</v>
      </c>
      <c r="D61" t="b">
        <f t="shared" si="0"/>
        <v>1</v>
      </c>
      <c r="O61" s="5"/>
    </row>
    <row r="62" spans="1:15" x14ac:dyDescent="0.25">
      <c r="A62" t="s">
        <v>44</v>
      </c>
      <c r="B62" s="5" t="s">
        <v>1878</v>
      </c>
      <c r="C62" s="5" t="s">
        <v>1878</v>
      </c>
      <c r="D62" t="b">
        <f t="shared" si="0"/>
        <v>0</v>
      </c>
      <c r="O62" s="5"/>
    </row>
    <row r="63" spans="1:15" x14ac:dyDescent="0.25">
      <c r="A63" t="s">
        <v>42</v>
      </c>
      <c r="B63" s="5" t="s">
        <v>1612</v>
      </c>
      <c r="C63" s="5" t="s">
        <v>1868</v>
      </c>
      <c r="D63" t="b">
        <f t="shared" si="0"/>
        <v>1</v>
      </c>
      <c r="O63" s="5"/>
    </row>
    <row r="64" spans="1:15" x14ac:dyDescent="0.25">
      <c r="A64" t="s">
        <v>42</v>
      </c>
      <c r="B64" s="5" t="s">
        <v>582</v>
      </c>
      <c r="C64" s="5" t="s">
        <v>582</v>
      </c>
      <c r="D64" t="b">
        <f t="shared" si="0"/>
        <v>0</v>
      </c>
      <c r="O64" s="5"/>
    </row>
    <row r="65" spans="1:15" x14ac:dyDescent="0.25">
      <c r="A65" t="s">
        <v>42</v>
      </c>
      <c r="B65" s="5" t="s">
        <v>1870</v>
      </c>
      <c r="C65" s="5" t="s">
        <v>1870</v>
      </c>
      <c r="D65" t="b">
        <f t="shared" si="0"/>
        <v>0</v>
      </c>
      <c r="O65" s="5"/>
    </row>
    <row r="66" spans="1:15" x14ac:dyDescent="0.25">
      <c r="A66" t="s">
        <v>42</v>
      </c>
      <c r="B66" s="5" t="s">
        <v>1605</v>
      </c>
      <c r="C66" s="5" t="s">
        <v>1978</v>
      </c>
      <c r="D66" t="b">
        <f t="shared" si="0"/>
        <v>1</v>
      </c>
      <c r="O66" s="5"/>
    </row>
    <row r="67" spans="1:15" x14ac:dyDescent="0.25">
      <c r="A67" t="s">
        <v>1577</v>
      </c>
      <c r="B67" s="5" t="s">
        <v>1602</v>
      </c>
      <c r="C67" s="5" t="s">
        <v>1602</v>
      </c>
      <c r="D67" t="b">
        <f t="shared" si="0"/>
        <v>0</v>
      </c>
    </row>
    <row r="68" spans="1:15" x14ac:dyDescent="0.25">
      <c r="A68" t="s">
        <v>1577</v>
      </c>
      <c r="B68" s="5" t="s">
        <v>1603</v>
      </c>
      <c r="C68" s="5" t="s">
        <v>1603</v>
      </c>
      <c r="D68" t="b">
        <f t="shared" si="0"/>
        <v>0</v>
      </c>
    </row>
    <row r="69" spans="1:15" x14ac:dyDescent="0.25">
      <c r="A69" t="s">
        <v>1577</v>
      </c>
      <c r="B69" s="5" t="s">
        <v>1584</v>
      </c>
      <c r="C69" s="5" t="s">
        <v>1584</v>
      </c>
      <c r="D69" t="e">
        <f>B69&lt;&gt;#REF!</f>
        <v>#REF!</v>
      </c>
    </row>
    <row r="70" spans="1:15" x14ac:dyDescent="0.25">
      <c r="A70" t="s">
        <v>1577</v>
      </c>
      <c r="B70" s="5" t="s">
        <v>1586</v>
      </c>
      <c r="C70" s="5" t="s">
        <v>1586</v>
      </c>
      <c r="D70" t="e">
        <f>B70&lt;&gt;#REF!</f>
        <v>#REF!</v>
      </c>
    </row>
    <row r="71" spans="1:15" x14ac:dyDescent="0.25">
      <c r="A71" t="s">
        <v>1577</v>
      </c>
      <c r="B71" s="5" t="s">
        <v>1587</v>
      </c>
      <c r="C71" s="5" t="s">
        <v>1587</v>
      </c>
      <c r="D71" t="e">
        <f>B71&lt;&gt;#REF!</f>
        <v>#REF!</v>
      </c>
    </row>
    <row r="72" spans="1:15" x14ac:dyDescent="0.25">
      <c r="A72" t="s">
        <v>1577</v>
      </c>
      <c r="B72" s="5" t="s">
        <v>1596</v>
      </c>
      <c r="C72" s="5" t="s">
        <v>1596</v>
      </c>
      <c r="D72" t="e">
        <f>B72&lt;&gt;#REF!</f>
        <v>#REF!</v>
      </c>
    </row>
    <row r="73" spans="1:15" x14ac:dyDescent="0.25">
      <c r="A73" t="s">
        <v>1577</v>
      </c>
      <c r="B73" s="5" t="s">
        <v>1598</v>
      </c>
      <c r="C73" s="5" t="s">
        <v>1598</v>
      </c>
      <c r="D73" t="e">
        <f>B73&lt;&gt;#REF!</f>
        <v>#REF!</v>
      </c>
    </row>
    <row r="74" spans="1:15" x14ac:dyDescent="0.25">
      <c r="A74" t="s">
        <v>1577</v>
      </c>
      <c r="B74" s="5" t="s">
        <v>1597</v>
      </c>
      <c r="C74" s="5" t="s">
        <v>1597</v>
      </c>
      <c r="D74" t="e">
        <f>B74&lt;&gt;#REF!</f>
        <v>#REF!</v>
      </c>
    </row>
    <row r="75" spans="1:15" x14ac:dyDescent="0.25">
      <c r="A75" t="s">
        <v>1577</v>
      </c>
      <c r="B75" s="5" t="s">
        <v>1599</v>
      </c>
      <c r="C75" s="5" t="s">
        <v>1599</v>
      </c>
      <c r="D75" t="e">
        <f>B75&lt;&gt;#REF!</f>
        <v>#REF!</v>
      </c>
    </row>
    <row r="76" spans="1:15" x14ac:dyDescent="0.25">
      <c r="A76" t="s">
        <v>1577</v>
      </c>
      <c r="B76" s="5" t="s">
        <v>1600</v>
      </c>
      <c r="C76" s="5" t="s">
        <v>1600</v>
      </c>
      <c r="D76" t="e">
        <f>B76&lt;&gt;#REF!</f>
        <v>#REF!</v>
      </c>
    </row>
    <row r="77" spans="1:15" x14ac:dyDescent="0.25">
      <c r="A77" t="s">
        <v>1577</v>
      </c>
      <c r="B77" s="5" t="s">
        <v>1601</v>
      </c>
      <c r="C77" s="5" t="s">
        <v>1601</v>
      </c>
      <c r="D77" t="e">
        <f>B77&lt;&gt;#REF!</f>
        <v>#REF!</v>
      </c>
    </row>
    <row r="78" spans="1:15" x14ac:dyDescent="0.25">
      <c r="A78" t="s">
        <v>1577</v>
      </c>
      <c r="B78" s="5" t="s">
        <v>1588</v>
      </c>
      <c r="C78" s="5" t="s">
        <v>1588</v>
      </c>
      <c r="D78" t="e">
        <f>B78&lt;&gt;#REF!</f>
        <v>#REF!</v>
      </c>
    </row>
    <row r="79" spans="1:15" x14ac:dyDescent="0.25">
      <c r="A79" t="s">
        <v>1577</v>
      </c>
      <c r="B79" s="5" t="s">
        <v>1839</v>
      </c>
      <c r="C79" s="5" t="s">
        <v>1839</v>
      </c>
      <c r="D79" t="e">
        <f>B79&lt;&gt;#REF!</f>
        <v>#REF!</v>
      </c>
    </row>
    <row r="80" spans="1:15" x14ac:dyDescent="0.25">
      <c r="A80" t="s">
        <v>1577</v>
      </c>
      <c r="B80" s="5" t="s">
        <v>1595</v>
      </c>
      <c r="C80" s="5" t="s">
        <v>1595</v>
      </c>
      <c r="D80" t="e">
        <f>B80&lt;&gt;#REF!</f>
        <v>#REF!</v>
      </c>
    </row>
    <row r="81" spans="1:15" x14ac:dyDescent="0.25">
      <c r="A81" t="s">
        <v>1914</v>
      </c>
      <c r="B81" t="s">
        <v>1876</v>
      </c>
      <c r="C81" t="s">
        <v>1871</v>
      </c>
      <c r="D81" t="e">
        <f>B81&lt;&gt;#REF!</f>
        <v>#REF!</v>
      </c>
    </row>
    <row r="82" spans="1:15" x14ac:dyDescent="0.25">
      <c r="A82" t="s">
        <v>1914</v>
      </c>
      <c r="B82" s="5" t="s">
        <v>329</v>
      </c>
      <c r="C82" s="5" t="s">
        <v>1842</v>
      </c>
      <c r="D82" t="e">
        <f>B82&lt;&gt;#REF!</f>
        <v>#REF!</v>
      </c>
      <c r="O82" s="5"/>
    </row>
    <row r="83" spans="1:15" x14ac:dyDescent="0.25">
      <c r="A83" t="s">
        <v>1581</v>
      </c>
      <c r="B83" s="5" t="s">
        <v>1841</v>
      </c>
      <c r="C83" s="5" t="s">
        <v>1841</v>
      </c>
      <c r="D83" t="e">
        <f>B83&lt;&gt;#REF!</f>
        <v>#REF!</v>
      </c>
      <c r="O83" s="5"/>
    </row>
    <row r="84" spans="1:15" x14ac:dyDescent="0.25">
      <c r="A84" t="s">
        <v>1581</v>
      </c>
      <c r="B84" s="5" t="s">
        <v>1590</v>
      </c>
      <c r="C84" s="5" t="s">
        <v>1590</v>
      </c>
      <c r="D84" t="b">
        <f>B84&lt;&gt;C84</f>
        <v>0</v>
      </c>
      <c r="N84" s="5"/>
      <c r="O84" s="5"/>
    </row>
    <row r="85" spans="1:15" x14ac:dyDescent="0.25">
      <c r="A85" t="s">
        <v>1581</v>
      </c>
      <c r="B85" s="5" t="s">
        <v>1835</v>
      </c>
      <c r="C85" s="5" t="s">
        <v>1835</v>
      </c>
      <c r="D85" t="e">
        <f>B85&lt;&gt;#REF!</f>
        <v>#REF!</v>
      </c>
      <c r="O85" s="5"/>
    </row>
    <row r="86" spans="1:15" x14ac:dyDescent="0.25">
      <c r="A86" t="s">
        <v>1581</v>
      </c>
      <c r="B86" s="5" t="s">
        <v>1917</v>
      </c>
      <c r="C86" s="5" t="s">
        <v>1840</v>
      </c>
      <c r="D86" t="e">
        <f>B86&lt;&gt;#REF!</f>
        <v>#REF!</v>
      </c>
      <c r="O86" s="5"/>
    </row>
    <row r="87" spans="1:15" x14ac:dyDescent="0.25">
      <c r="A87" t="s">
        <v>1581</v>
      </c>
      <c r="B87" s="5" t="s">
        <v>1375</v>
      </c>
      <c r="C87" s="5" t="s">
        <v>1375</v>
      </c>
      <c r="D87" t="b">
        <f t="shared" ref="D87:D93" si="2">B87&lt;&gt;C85</f>
        <v>1</v>
      </c>
      <c r="O87" s="5"/>
    </row>
    <row r="88" spans="1:15" x14ac:dyDescent="0.25">
      <c r="A88" t="s">
        <v>1581</v>
      </c>
      <c r="B88" s="5" t="s">
        <v>1589</v>
      </c>
      <c r="C88" s="5" t="s">
        <v>1589</v>
      </c>
      <c r="D88" t="b">
        <f t="shared" si="2"/>
        <v>1</v>
      </c>
      <c r="O88" s="5"/>
    </row>
    <row r="89" spans="1:15" x14ac:dyDescent="0.25">
      <c r="A89" t="s">
        <v>1581</v>
      </c>
      <c r="B89" s="5" t="s">
        <v>1582</v>
      </c>
      <c r="C89" s="5" t="s">
        <v>1582</v>
      </c>
      <c r="D89" t="b">
        <f t="shared" si="2"/>
        <v>1</v>
      </c>
      <c r="O89" s="5"/>
    </row>
    <row r="90" spans="1:15" x14ac:dyDescent="0.25">
      <c r="A90" t="s">
        <v>1581</v>
      </c>
      <c r="B90" s="5" t="s">
        <v>1453</v>
      </c>
      <c r="C90" s="5" t="s">
        <v>1453</v>
      </c>
      <c r="D90" t="b">
        <f t="shared" si="2"/>
        <v>1</v>
      </c>
      <c r="O90" s="5"/>
    </row>
    <row r="91" spans="1:15" x14ac:dyDescent="0.25">
      <c r="A91" t="s">
        <v>1581</v>
      </c>
      <c r="B91" s="5" t="s">
        <v>1591</v>
      </c>
      <c r="C91" s="5" t="s">
        <v>1591</v>
      </c>
      <c r="D91" t="b">
        <f t="shared" si="2"/>
        <v>1</v>
      </c>
      <c r="O91" s="5"/>
    </row>
    <row r="92" spans="1:15" x14ac:dyDescent="0.25">
      <c r="A92" t="s">
        <v>1581</v>
      </c>
      <c r="B92" s="5" t="s">
        <v>1977</v>
      </c>
      <c r="C92" s="5" t="s">
        <v>1977</v>
      </c>
      <c r="D92" t="b">
        <f t="shared" si="2"/>
        <v>1</v>
      </c>
      <c r="O92" s="5"/>
    </row>
    <row r="93" spans="1:15" x14ac:dyDescent="0.25">
      <c r="A93" t="s">
        <v>1581</v>
      </c>
      <c r="B93" s="5" t="s">
        <v>1536</v>
      </c>
      <c r="C93" s="5" t="s">
        <v>1536</v>
      </c>
      <c r="D93" t="b">
        <f t="shared" si="2"/>
        <v>1</v>
      </c>
      <c r="O93" s="5"/>
    </row>
    <row r="94" spans="1:15" x14ac:dyDescent="0.25">
      <c r="A94" t="s">
        <v>1581</v>
      </c>
      <c r="B94" s="5" t="s">
        <v>2024</v>
      </c>
      <c r="C94" s="5" t="s">
        <v>1979</v>
      </c>
      <c r="D94" t="b">
        <f>B94&lt;&gt;C94</f>
        <v>1</v>
      </c>
      <c r="O94" s="5"/>
    </row>
    <row r="95" spans="1:15" x14ac:dyDescent="0.25">
      <c r="A95" t="s">
        <v>233</v>
      </c>
      <c r="B95" s="5" t="s">
        <v>1874</v>
      </c>
      <c r="C95" s="5" t="s">
        <v>1874</v>
      </c>
      <c r="D95" t="b">
        <f>B95&lt;&gt;C92</f>
        <v>1</v>
      </c>
      <c r="O95" s="5"/>
    </row>
    <row r="96" spans="1:15" x14ac:dyDescent="0.25">
      <c r="A96" t="s">
        <v>233</v>
      </c>
      <c r="B96" s="5" t="s">
        <v>1838</v>
      </c>
      <c r="C96" s="5" t="s">
        <v>1838</v>
      </c>
      <c r="D96" t="b">
        <f>B96&lt;&gt;C93</f>
        <v>1</v>
      </c>
      <c r="O96" s="5"/>
    </row>
    <row r="97" spans="1:15" x14ac:dyDescent="0.25">
      <c r="A97" t="s">
        <v>233</v>
      </c>
      <c r="B97" s="5" t="s">
        <v>1616</v>
      </c>
      <c r="C97" s="5" t="s">
        <v>1616</v>
      </c>
      <c r="D97" t="b">
        <f t="shared" ref="D97:D102" si="3">B97&lt;&gt;C97</f>
        <v>0</v>
      </c>
      <c r="O97" s="5"/>
    </row>
    <row r="98" spans="1:15" x14ac:dyDescent="0.25">
      <c r="A98" t="s">
        <v>233</v>
      </c>
      <c r="B98" s="5" t="s">
        <v>1619</v>
      </c>
      <c r="C98" s="5" t="s">
        <v>1619</v>
      </c>
      <c r="D98" t="b">
        <f t="shared" si="3"/>
        <v>0</v>
      </c>
      <c r="O98" s="5"/>
    </row>
    <row r="99" spans="1:15" x14ac:dyDescent="0.25">
      <c r="A99" t="s">
        <v>121</v>
      </c>
      <c r="B99" s="5" t="s">
        <v>211</v>
      </c>
      <c r="C99" s="5" t="s">
        <v>211</v>
      </c>
      <c r="D99" t="b">
        <f t="shared" si="3"/>
        <v>0</v>
      </c>
      <c r="O99" s="5"/>
    </row>
    <row r="100" spans="1:15" x14ac:dyDescent="0.25">
      <c r="A100" t="s">
        <v>121</v>
      </c>
      <c r="B100" s="5" t="s">
        <v>1611</v>
      </c>
      <c r="C100" s="5" t="s">
        <v>1611</v>
      </c>
      <c r="D100" t="b">
        <f t="shared" si="3"/>
        <v>0</v>
      </c>
      <c r="O100" s="5"/>
    </row>
    <row r="101" spans="1:15" x14ac:dyDescent="0.25">
      <c r="A101" t="s">
        <v>121</v>
      </c>
      <c r="B101" s="5" t="s">
        <v>1855</v>
      </c>
      <c r="C101" s="5" t="s">
        <v>1855</v>
      </c>
      <c r="D101" t="b">
        <f t="shared" si="3"/>
        <v>0</v>
      </c>
      <c r="O101" s="5"/>
    </row>
    <row r="102" spans="1:15" x14ac:dyDescent="0.25">
      <c r="A102" t="s">
        <v>121</v>
      </c>
      <c r="B102" s="5" t="s">
        <v>1915</v>
      </c>
      <c r="C102" s="5" t="s">
        <v>1872</v>
      </c>
      <c r="D102" t="b">
        <f t="shared" si="3"/>
        <v>1</v>
      </c>
    </row>
  </sheetData>
  <mergeCells count="1">
    <mergeCell ref="A1:G1"/>
  </mergeCells>
  <pageMargins left="0.511811024" right="0.511811024" top="0.78740157499999996" bottom="0.78740157499999996" header="0.31496062000000002" footer="0.31496062000000002"/>
  <pageSetup paperSize="9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notContainsText" priority="1" operator="notContains" id="{1DE5E202-A8D5-4DC7-AB5B-AF101D97EC8B}">
            <xm:f>ISERROR(SEARCH(C3,B3))</xm:f>
            <xm:f>C3</xm:f>
            <x14:dxf>
              <fill>
                <patternFill>
                  <bgColor theme="5"/>
                </patternFill>
              </fill>
            </x14:dxf>
          </x14:cfRule>
          <xm:sqref>B3:B102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5EFDE-6504-40DC-97A6-AE499BEA990E}">
  <sheetPr codeName="Planilha15"/>
  <dimension ref="A1:G102"/>
  <sheetViews>
    <sheetView topLeftCell="A84" workbookViewId="0">
      <selection activeCell="B99" sqref="B99"/>
    </sheetView>
  </sheetViews>
  <sheetFormatPr defaultRowHeight="15" x14ac:dyDescent="0.25"/>
  <cols>
    <col min="1" max="1" width="11.85546875" style="5" customWidth="1"/>
    <col min="2" max="3" width="38.7109375" customWidth="1"/>
    <col min="4" max="4" width="12.42578125" hidden="1" customWidth="1"/>
    <col min="5" max="5" width="4.28515625" customWidth="1"/>
    <col min="6" max="6" width="22.7109375" style="3" customWidth="1"/>
    <col min="7" max="7" width="9.140625" bestFit="1" customWidth="1"/>
  </cols>
  <sheetData>
    <row r="1" spans="1:7" ht="21" x14ac:dyDescent="0.25">
      <c r="A1" s="12" t="s">
        <v>3</v>
      </c>
      <c r="B1" s="12"/>
      <c r="C1" s="12"/>
      <c r="D1" s="12"/>
      <c r="E1" s="12"/>
      <c r="F1" s="12"/>
      <c r="G1" s="12"/>
    </row>
    <row r="2" spans="1:7" x14ac:dyDescent="0.25">
      <c r="A2" s="4" t="s">
        <v>11</v>
      </c>
      <c r="B2" s="4" t="s">
        <v>12</v>
      </c>
      <c r="C2" s="4" t="s">
        <v>13</v>
      </c>
      <c r="D2" s="4" t="s">
        <v>14</v>
      </c>
      <c r="F2" s="4" t="s">
        <v>16</v>
      </c>
      <c r="G2" s="3">
        <f>COUNTIF(D:D,"Verdadeiro")</f>
        <v>7</v>
      </c>
    </row>
    <row r="3" spans="1:7" x14ac:dyDescent="0.25">
      <c r="A3" s="9" t="s">
        <v>1539</v>
      </c>
      <c r="B3" s="5" t="s">
        <v>1550</v>
      </c>
      <c r="C3" s="5" t="s">
        <v>1550</v>
      </c>
      <c r="D3" t="b">
        <f>B3&lt;&gt;C3</f>
        <v>0</v>
      </c>
      <c r="F3" s="4" t="s">
        <v>17</v>
      </c>
      <c r="G3" s="10">
        <f>SUM(G5:G29)</f>
        <v>100</v>
      </c>
    </row>
    <row r="4" spans="1:7" x14ac:dyDescent="0.25">
      <c r="A4" t="s">
        <v>15</v>
      </c>
      <c r="B4" s="5" t="s">
        <v>284</v>
      </c>
      <c r="C4" s="5" t="s">
        <v>284</v>
      </c>
      <c r="D4" t="b">
        <f>B4&lt;&gt;C4</f>
        <v>0</v>
      </c>
    </row>
    <row r="5" spans="1:7" x14ac:dyDescent="0.25">
      <c r="A5" t="s">
        <v>15</v>
      </c>
      <c r="B5" s="5" t="s">
        <v>60</v>
      </c>
      <c r="C5" s="5" t="s">
        <v>565</v>
      </c>
      <c r="D5" t="b">
        <f t="shared" ref="D5:D68" si="0">B5&lt;&gt;C5</f>
        <v>1</v>
      </c>
      <c r="F5" s="6" t="s">
        <v>19</v>
      </c>
      <c r="G5" s="1"/>
    </row>
    <row r="6" spans="1:7" x14ac:dyDescent="0.25">
      <c r="A6" t="s">
        <v>15</v>
      </c>
      <c r="B6" s="5" t="s">
        <v>607</v>
      </c>
      <c r="C6" s="5" t="s">
        <v>607</v>
      </c>
      <c r="D6" t="b">
        <f t="shared" si="0"/>
        <v>0</v>
      </c>
      <c r="F6" s="7" t="s">
        <v>1539</v>
      </c>
      <c r="G6" s="2">
        <f t="shared" ref="G6:G12" si="1">COUNTIF(A:A,F6)</f>
        <v>1</v>
      </c>
    </row>
    <row r="7" spans="1:7" x14ac:dyDescent="0.25">
      <c r="A7" t="s">
        <v>15</v>
      </c>
      <c r="B7" s="5" t="s">
        <v>1627</v>
      </c>
      <c r="C7" s="5" t="s">
        <v>1627</v>
      </c>
      <c r="D7" t="b">
        <f t="shared" si="0"/>
        <v>0</v>
      </c>
      <c r="F7" s="3" t="s">
        <v>15</v>
      </c>
      <c r="G7" s="2">
        <f t="shared" si="1"/>
        <v>31</v>
      </c>
    </row>
    <row r="8" spans="1:7" x14ac:dyDescent="0.25">
      <c r="A8" t="s">
        <v>15</v>
      </c>
      <c r="B8" s="5" t="s">
        <v>1628</v>
      </c>
      <c r="C8" s="5" t="s">
        <v>1628</v>
      </c>
      <c r="D8" t="b">
        <f t="shared" si="0"/>
        <v>0</v>
      </c>
      <c r="F8" s="7" t="s">
        <v>21</v>
      </c>
      <c r="G8" s="2">
        <f t="shared" si="1"/>
        <v>19</v>
      </c>
    </row>
    <row r="9" spans="1:7" x14ac:dyDescent="0.25">
      <c r="A9" t="s">
        <v>15</v>
      </c>
      <c r="B9" s="5" t="s">
        <v>566</v>
      </c>
      <c r="C9" s="5" t="s">
        <v>566</v>
      </c>
      <c r="D9" t="b">
        <f t="shared" si="0"/>
        <v>0</v>
      </c>
      <c r="F9" s="7" t="s">
        <v>0</v>
      </c>
      <c r="G9" s="2">
        <f t="shared" si="1"/>
        <v>26</v>
      </c>
    </row>
    <row r="10" spans="1:7" x14ac:dyDescent="0.25">
      <c r="A10" t="s">
        <v>15</v>
      </c>
      <c r="B10" s="5" t="s">
        <v>282</v>
      </c>
      <c r="C10" s="5" t="s">
        <v>282</v>
      </c>
      <c r="D10" t="b">
        <f t="shared" si="0"/>
        <v>0</v>
      </c>
      <c r="F10" s="7" t="s">
        <v>290</v>
      </c>
      <c r="G10" s="2">
        <f t="shared" si="1"/>
        <v>2</v>
      </c>
    </row>
    <row r="11" spans="1:7" x14ac:dyDescent="0.25">
      <c r="A11" t="s">
        <v>15</v>
      </c>
      <c r="B11" s="5" t="s">
        <v>793</v>
      </c>
      <c r="C11" s="5" t="s">
        <v>793</v>
      </c>
      <c r="D11" t="b">
        <f t="shared" si="0"/>
        <v>0</v>
      </c>
      <c r="F11" s="7" t="s">
        <v>42</v>
      </c>
      <c r="G11" s="2">
        <f t="shared" si="1"/>
        <v>8</v>
      </c>
    </row>
    <row r="12" spans="1:7" x14ac:dyDescent="0.25">
      <c r="A12" t="s">
        <v>15</v>
      </c>
      <c r="B12" s="5" t="s">
        <v>1629</v>
      </c>
      <c r="C12" s="5" t="s">
        <v>1629</v>
      </c>
      <c r="D12" t="b">
        <f t="shared" si="0"/>
        <v>0</v>
      </c>
      <c r="F12" s="7" t="s">
        <v>44</v>
      </c>
      <c r="G12" s="2">
        <f t="shared" si="1"/>
        <v>13</v>
      </c>
    </row>
    <row r="13" spans="1:7" x14ac:dyDescent="0.25">
      <c r="A13" t="s">
        <v>15</v>
      </c>
      <c r="B13" s="5" t="s">
        <v>1630</v>
      </c>
      <c r="C13" s="5" t="s">
        <v>1630</v>
      </c>
      <c r="D13" t="b">
        <f t="shared" si="0"/>
        <v>0</v>
      </c>
      <c r="F13" s="7"/>
      <c r="G13" s="2"/>
    </row>
    <row r="14" spans="1:7" x14ac:dyDescent="0.25">
      <c r="A14" t="s">
        <v>15</v>
      </c>
      <c r="B14" s="5" t="s">
        <v>567</v>
      </c>
      <c r="C14" s="5" t="s">
        <v>567</v>
      </c>
      <c r="D14" t="b">
        <f t="shared" si="0"/>
        <v>0</v>
      </c>
      <c r="F14" s="7"/>
      <c r="G14" s="2"/>
    </row>
    <row r="15" spans="1:7" x14ac:dyDescent="0.25">
      <c r="A15" t="s">
        <v>15</v>
      </c>
      <c r="B15" s="5" t="s">
        <v>451</v>
      </c>
      <c r="C15" s="5" t="s">
        <v>451</v>
      </c>
      <c r="D15" t="b">
        <f t="shared" si="0"/>
        <v>0</v>
      </c>
    </row>
    <row r="16" spans="1:7" x14ac:dyDescent="0.25">
      <c r="A16" t="s">
        <v>15</v>
      </c>
      <c r="B16" s="5" t="s">
        <v>241</v>
      </c>
      <c r="C16" s="5" t="s">
        <v>241</v>
      </c>
      <c r="D16" t="b">
        <f t="shared" si="0"/>
        <v>0</v>
      </c>
    </row>
    <row r="17" spans="1:7" x14ac:dyDescent="0.25">
      <c r="A17" t="s">
        <v>15</v>
      </c>
      <c r="B17" s="5" t="s">
        <v>60</v>
      </c>
      <c r="C17" s="5" t="s">
        <v>299</v>
      </c>
      <c r="D17" t="b">
        <f t="shared" si="0"/>
        <v>1</v>
      </c>
      <c r="F17" s="4"/>
      <c r="G17" s="2"/>
    </row>
    <row r="18" spans="1:7" x14ac:dyDescent="0.25">
      <c r="A18" t="s">
        <v>15</v>
      </c>
      <c r="B18" s="5" t="s">
        <v>171</v>
      </c>
      <c r="C18" s="5" t="s">
        <v>171</v>
      </c>
      <c r="D18" t="b">
        <f t="shared" si="0"/>
        <v>0</v>
      </c>
      <c r="F18" s="4"/>
      <c r="G18" s="2"/>
    </row>
    <row r="19" spans="1:7" x14ac:dyDescent="0.25">
      <c r="A19" t="s">
        <v>15</v>
      </c>
      <c r="B19" s="5" t="s">
        <v>1410</v>
      </c>
      <c r="C19" s="5" t="s">
        <v>1410</v>
      </c>
      <c r="D19" t="b">
        <f t="shared" si="0"/>
        <v>0</v>
      </c>
    </row>
    <row r="20" spans="1:7" x14ac:dyDescent="0.25">
      <c r="A20" t="s">
        <v>15</v>
      </c>
      <c r="B20" s="5" t="s">
        <v>1971</v>
      </c>
      <c r="C20" s="5" t="s">
        <v>1971</v>
      </c>
      <c r="D20" t="b">
        <f t="shared" si="0"/>
        <v>0</v>
      </c>
    </row>
    <row r="21" spans="1:7" x14ac:dyDescent="0.25">
      <c r="A21" t="s">
        <v>15</v>
      </c>
      <c r="B21" s="5" t="s">
        <v>60</v>
      </c>
      <c r="C21" s="5" t="s">
        <v>60</v>
      </c>
      <c r="D21" t="b">
        <f t="shared" si="0"/>
        <v>0</v>
      </c>
    </row>
    <row r="22" spans="1:7" x14ac:dyDescent="0.25">
      <c r="A22" t="s">
        <v>15</v>
      </c>
      <c r="B22" s="5" t="s">
        <v>60</v>
      </c>
      <c r="C22" s="5" t="s">
        <v>60</v>
      </c>
      <c r="D22" t="b">
        <f t="shared" si="0"/>
        <v>0</v>
      </c>
    </row>
    <row r="23" spans="1:7" x14ac:dyDescent="0.25">
      <c r="A23" t="s">
        <v>15</v>
      </c>
      <c r="B23" s="5" t="s">
        <v>60</v>
      </c>
      <c r="C23" s="5" t="s">
        <v>60</v>
      </c>
      <c r="D23" t="b">
        <f t="shared" si="0"/>
        <v>0</v>
      </c>
    </row>
    <row r="24" spans="1:7" x14ac:dyDescent="0.25">
      <c r="A24" t="s">
        <v>15</v>
      </c>
      <c r="B24" s="5" t="s">
        <v>60</v>
      </c>
      <c r="C24" s="5" t="s">
        <v>60</v>
      </c>
      <c r="D24" t="b">
        <f t="shared" si="0"/>
        <v>0</v>
      </c>
    </row>
    <row r="25" spans="1:7" x14ac:dyDescent="0.25">
      <c r="A25" t="s">
        <v>15</v>
      </c>
      <c r="B25" s="5" t="s">
        <v>60</v>
      </c>
      <c r="C25" s="5" t="s">
        <v>60</v>
      </c>
      <c r="D25" t="b">
        <f t="shared" si="0"/>
        <v>0</v>
      </c>
    </row>
    <row r="26" spans="1:7" x14ac:dyDescent="0.25">
      <c r="A26" t="s">
        <v>15</v>
      </c>
      <c r="B26" s="5" t="s">
        <v>60</v>
      </c>
      <c r="C26" s="5" t="s">
        <v>60</v>
      </c>
      <c r="D26" t="b">
        <f t="shared" si="0"/>
        <v>0</v>
      </c>
    </row>
    <row r="27" spans="1:7" x14ac:dyDescent="0.25">
      <c r="A27" t="s">
        <v>15</v>
      </c>
      <c r="B27" s="5" t="s">
        <v>60</v>
      </c>
      <c r="C27" s="5" t="s">
        <v>60</v>
      </c>
      <c r="D27" t="b">
        <f t="shared" si="0"/>
        <v>0</v>
      </c>
    </row>
    <row r="28" spans="1:7" x14ac:dyDescent="0.25">
      <c r="A28" t="s">
        <v>15</v>
      </c>
      <c r="B28" s="5" t="s">
        <v>60</v>
      </c>
      <c r="C28" s="5" t="s">
        <v>60</v>
      </c>
      <c r="D28" t="b">
        <f t="shared" si="0"/>
        <v>0</v>
      </c>
    </row>
    <row r="29" spans="1:7" x14ac:dyDescent="0.25">
      <c r="A29" t="s">
        <v>15</v>
      </c>
      <c r="B29" s="5" t="s">
        <v>60</v>
      </c>
      <c r="C29" s="5" t="s">
        <v>60</v>
      </c>
      <c r="D29" t="b">
        <f t="shared" si="0"/>
        <v>0</v>
      </c>
    </row>
    <row r="30" spans="1:7" x14ac:dyDescent="0.25">
      <c r="A30" t="s">
        <v>15</v>
      </c>
      <c r="B30" s="5" t="s">
        <v>60</v>
      </c>
      <c r="C30" s="5" t="s">
        <v>60</v>
      </c>
      <c r="D30" t="b">
        <f t="shared" si="0"/>
        <v>0</v>
      </c>
    </row>
    <row r="31" spans="1:7" x14ac:dyDescent="0.25">
      <c r="A31" t="s">
        <v>15</v>
      </c>
      <c r="B31" s="5" t="s">
        <v>60</v>
      </c>
      <c r="C31" s="5" t="s">
        <v>60</v>
      </c>
      <c r="D31" t="b">
        <f t="shared" si="0"/>
        <v>0</v>
      </c>
    </row>
    <row r="32" spans="1:7" x14ac:dyDescent="0.25">
      <c r="A32" t="s">
        <v>15</v>
      </c>
      <c r="B32" s="5" t="s">
        <v>60</v>
      </c>
      <c r="C32" s="5" t="s">
        <v>60</v>
      </c>
      <c r="D32" t="b">
        <f t="shared" si="0"/>
        <v>0</v>
      </c>
    </row>
    <row r="33" spans="1:4" x14ac:dyDescent="0.25">
      <c r="A33" t="s">
        <v>15</v>
      </c>
      <c r="B33" s="5" t="s">
        <v>60</v>
      </c>
      <c r="C33" s="5" t="s">
        <v>60</v>
      </c>
      <c r="D33" t="b">
        <f t="shared" si="0"/>
        <v>0</v>
      </c>
    </row>
    <row r="34" spans="1:4" x14ac:dyDescent="0.25">
      <c r="A34" t="s">
        <v>15</v>
      </c>
      <c r="B34" s="5" t="s">
        <v>60</v>
      </c>
      <c r="C34" s="5" t="s">
        <v>60</v>
      </c>
      <c r="D34" t="b">
        <f t="shared" si="0"/>
        <v>0</v>
      </c>
    </row>
    <row r="35" spans="1:4" x14ac:dyDescent="0.25">
      <c r="A35" t="s">
        <v>21</v>
      </c>
      <c r="B35" s="5" t="s">
        <v>173</v>
      </c>
      <c r="C35" s="5" t="s">
        <v>173</v>
      </c>
      <c r="D35" t="b">
        <f t="shared" si="0"/>
        <v>0</v>
      </c>
    </row>
    <row r="36" spans="1:4" x14ac:dyDescent="0.25">
      <c r="A36" t="s">
        <v>21</v>
      </c>
      <c r="B36" s="5" t="s">
        <v>572</v>
      </c>
      <c r="C36" s="5" t="s">
        <v>572</v>
      </c>
      <c r="D36" t="b">
        <f t="shared" si="0"/>
        <v>0</v>
      </c>
    </row>
    <row r="37" spans="1:4" x14ac:dyDescent="0.25">
      <c r="A37" t="s">
        <v>21</v>
      </c>
      <c r="B37" s="5" t="s">
        <v>576</v>
      </c>
      <c r="C37" s="5" t="s">
        <v>576</v>
      </c>
      <c r="D37" t="b">
        <f t="shared" si="0"/>
        <v>0</v>
      </c>
    </row>
    <row r="38" spans="1:4" x14ac:dyDescent="0.25">
      <c r="A38" t="s">
        <v>21</v>
      </c>
      <c r="B38" s="5" t="s">
        <v>304</v>
      </c>
      <c r="C38" s="5" t="s">
        <v>304</v>
      </c>
      <c r="D38" t="b">
        <f t="shared" si="0"/>
        <v>0</v>
      </c>
    </row>
    <row r="39" spans="1:4" x14ac:dyDescent="0.25">
      <c r="A39" t="s">
        <v>21</v>
      </c>
      <c r="B39" s="5" t="s">
        <v>570</v>
      </c>
      <c r="C39" s="5" t="s">
        <v>570</v>
      </c>
      <c r="D39" t="b">
        <f t="shared" si="0"/>
        <v>0</v>
      </c>
    </row>
    <row r="40" spans="1:4" x14ac:dyDescent="0.25">
      <c r="A40" t="s">
        <v>21</v>
      </c>
      <c r="B40" s="5" t="s">
        <v>568</v>
      </c>
      <c r="C40" s="5" t="s">
        <v>568</v>
      </c>
      <c r="D40" t="b">
        <f t="shared" si="0"/>
        <v>0</v>
      </c>
    </row>
    <row r="41" spans="1:4" x14ac:dyDescent="0.25">
      <c r="A41" t="s">
        <v>21</v>
      </c>
      <c r="B41" s="5" t="s">
        <v>302</v>
      </c>
      <c r="C41" s="5" t="s">
        <v>302</v>
      </c>
      <c r="D41" t="b">
        <f t="shared" si="0"/>
        <v>0</v>
      </c>
    </row>
    <row r="42" spans="1:4" x14ac:dyDescent="0.25">
      <c r="A42" t="s">
        <v>21</v>
      </c>
      <c r="B42" s="5" t="s">
        <v>571</v>
      </c>
      <c r="C42" s="5" t="s">
        <v>1320</v>
      </c>
      <c r="D42" t="b">
        <f t="shared" si="0"/>
        <v>1</v>
      </c>
    </row>
    <row r="43" spans="1:4" x14ac:dyDescent="0.25">
      <c r="A43" t="s">
        <v>21</v>
      </c>
      <c r="B43" s="5" t="s">
        <v>1126</v>
      </c>
      <c r="C43" s="5" t="s">
        <v>1126</v>
      </c>
      <c r="D43" t="b">
        <f t="shared" si="0"/>
        <v>0</v>
      </c>
    </row>
    <row r="44" spans="1:4" x14ac:dyDescent="0.25">
      <c r="A44" t="s">
        <v>21</v>
      </c>
      <c r="B44" s="5" t="s">
        <v>575</v>
      </c>
      <c r="C44" s="5" t="s">
        <v>575</v>
      </c>
      <c r="D44" t="b">
        <f t="shared" si="0"/>
        <v>0</v>
      </c>
    </row>
    <row r="45" spans="1:4" x14ac:dyDescent="0.25">
      <c r="A45" t="s">
        <v>21</v>
      </c>
      <c r="B45" s="5" t="s">
        <v>574</v>
      </c>
      <c r="C45" s="5" t="s">
        <v>574</v>
      </c>
      <c r="D45" t="b">
        <f t="shared" si="0"/>
        <v>0</v>
      </c>
    </row>
    <row r="46" spans="1:4" x14ac:dyDescent="0.25">
      <c r="A46" t="s">
        <v>21</v>
      </c>
      <c r="B46" s="5" t="s">
        <v>306</v>
      </c>
      <c r="C46" s="5" t="s">
        <v>306</v>
      </c>
      <c r="D46" t="b">
        <f t="shared" si="0"/>
        <v>0</v>
      </c>
    </row>
    <row r="47" spans="1:4" x14ac:dyDescent="0.25">
      <c r="A47" t="s">
        <v>21</v>
      </c>
      <c r="B47" s="5" t="s">
        <v>1754</v>
      </c>
      <c r="C47" s="5" t="s">
        <v>1754</v>
      </c>
      <c r="D47" t="b">
        <f t="shared" si="0"/>
        <v>0</v>
      </c>
    </row>
    <row r="48" spans="1:4" x14ac:dyDescent="0.25">
      <c r="A48" t="s">
        <v>21</v>
      </c>
      <c r="B48" s="5" t="s">
        <v>127</v>
      </c>
      <c r="C48" s="5" t="s">
        <v>127</v>
      </c>
      <c r="D48" t="b">
        <f t="shared" si="0"/>
        <v>0</v>
      </c>
    </row>
    <row r="49" spans="1:4" x14ac:dyDescent="0.25">
      <c r="A49" t="s">
        <v>21</v>
      </c>
      <c r="B49" s="5" t="s">
        <v>305</v>
      </c>
      <c r="C49" s="5" t="s">
        <v>305</v>
      </c>
      <c r="D49" t="b">
        <f t="shared" si="0"/>
        <v>0</v>
      </c>
    </row>
    <row r="50" spans="1:4" x14ac:dyDescent="0.25">
      <c r="A50" t="s">
        <v>21</v>
      </c>
      <c r="B50" s="5" t="s">
        <v>1127</v>
      </c>
      <c r="C50" s="5" t="s">
        <v>1571</v>
      </c>
      <c r="D50" t="b">
        <f t="shared" si="0"/>
        <v>1</v>
      </c>
    </row>
    <row r="51" spans="1:4" x14ac:dyDescent="0.25">
      <c r="A51" t="s">
        <v>21</v>
      </c>
      <c r="B51" s="5" t="s">
        <v>2208</v>
      </c>
      <c r="C51" s="5" t="s">
        <v>2208</v>
      </c>
      <c r="D51" t="b">
        <f t="shared" si="0"/>
        <v>0</v>
      </c>
    </row>
    <row r="52" spans="1:4" x14ac:dyDescent="0.25">
      <c r="A52" t="s">
        <v>21</v>
      </c>
      <c r="B52" s="5" t="s">
        <v>573</v>
      </c>
      <c r="C52" s="5" t="s">
        <v>573</v>
      </c>
      <c r="D52" t="b">
        <f t="shared" si="0"/>
        <v>0</v>
      </c>
    </row>
    <row r="53" spans="1:4" x14ac:dyDescent="0.25">
      <c r="A53" t="s">
        <v>21</v>
      </c>
      <c r="B53" s="5" t="s">
        <v>569</v>
      </c>
      <c r="C53" s="5" t="s">
        <v>569</v>
      </c>
      <c r="D53" t="b">
        <f t="shared" si="0"/>
        <v>0</v>
      </c>
    </row>
    <row r="54" spans="1:4" x14ac:dyDescent="0.25">
      <c r="A54" t="s">
        <v>42</v>
      </c>
      <c r="B54" s="5" t="s">
        <v>577</v>
      </c>
      <c r="C54" s="5" t="s">
        <v>577</v>
      </c>
      <c r="D54" t="b">
        <f t="shared" si="0"/>
        <v>0</v>
      </c>
    </row>
    <row r="55" spans="1:4" x14ac:dyDescent="0.25">
      <c r="A55" t="s">
        <v>42</v>
      </c>
      <c r="B55" s="5" t="s">
        <v>1970</v>
      </c>
      <c r="C55" s="5" t="s">
        <v>1970</v>
      </c>
      <c r="D55" t="b">
        <f t="shared" si="0"/>
        <v>0</v>
      </c>
    </row>
    <row r="56" spans="1:4" x14ac:dyDescent="0.25">
      <c r="A56" t="s">
        <v>42</v>
      </c>
      <c r="B56" s="5" t="s">
        <v>2209</v>
      </c>
      <c r="C56" s="5" t="s">
        <v>2209</v>
      </c>
      <c r="D56" t="b">
        <f t="shared" si="0"/>
        <v>0</v>
      </c>
    </row>
    <row r="57" spans="1:4" x14ac:dyDescent="0.25">
      <c r="A57" t="s">
        <v>42</v>
      </c>
      <c r="B57" s="5" t="s">
        <v>579</v>
      </c>
      <c r="C57" s="5" t="s">
        <v>579</v>
      </c>
      <c r="D57" t="b">
        <f t="shared" si="0"/>
        <v>0</v>
      </c>
    </row>
    <row r="58" spans="1:4" x14ac:dyDescent="0.25">
      <c r="A58" t="s">
        <v>42</v>
      </c>
      <c r="B58" s="5" t="s">
        <v>580</v>
      </c>
      <c r="C58" s="5" t="s">
        <v>580</v>
      </c>
      <c r="D58" t="b">
        <f t="shared" si="0"/>
        <v>0</v>
      </c>
    </row>
    <row r="59" spans="1:4" x14ac:dyDescent="0.25">
      <c r="A59" t="s">
        <v>42</v>
      </c>
      <c r="B59" s="5" t="s">
        <v>581</v>
      </c>
      <c r="C59" s="5" t="s">
        <v>581</v>
      </c>
      <c r="D59" t="b">
        <f t="shared" si="0"/>
        <v>0</v>
      </c>
    </row>
    <row r="60" spans="1:4" x14ac:dyDescent="0.25">
      <c r="A60" t="s">
        <v>42</v>
      </c>
      <c r="B60" s="5" t="s">
        <v>2210</v>
      </c>
      <c r="C60" s="5" t="s">
        <v>2210</v>
      </c>
      <c r="D60" t="b">
        <f t="shared" si="0"/>
        <v>0</v>
      </c>
    </row>
    <row r="61" spans="1:4" x14ac:dyDescent="0.25">
      <c r="A61" t="s">
        <v>42</v>
      </c>
      <c r="B61" s="5" t="s">
        <v>582</v>
      </c>
      <c r="C61" s="5" t="s">
        <v>582</v>
      </c>
      <c r="D61" t="b">
        <f t="shared" si="0"/>
        <v>0</v>
      </c>
    </row>
    <row r="62" spans="1:4" x14ac:dyDescent="0.25">
      <c r="A62" t="s">
        <v>290</v>
      </c>
      <c r="B62" s="5" t="s">
        <v>584</v>
      </c>
      <c r="C62" s="5" t="s">
        <v>584</v>
      </c>
      <c r="D62" t="b">
        <f t="shared" si="0"/>
        <v>0</v>
      </c>
    </row>
    <row r="63" spans="1:4" x14ac:dyDescent="0.25">
      <c r="A63" t="s">
        <v>290</v>
      </c>
      <c r="B63" s="5" t="s">
        <v>1319</v>
      </c>
      <c r="C63" s="5" t="s">
        <v>1319</v>
      </c>
      <c r="D63" t="b">
        <f t="shared" si="0"/>
        <v>0</v>
      </c>
    </row>
    <row r="64" spans="1:4" x14ac:dyDescent="0.25">
      <c r="A64" t="s">
        <v>44</v>
      </c>
      <c r="B64" s="5" t="s">
        <v>585</v>
      </c>
      <c r="C64" s="5" t="s">
        <v>585</v>
      </c>
      <c r="D64" t="b">
        <f t="shared" si="0"/>
        <v>0</v>
      </c>
    </row>
    <row r="65" spans="1:4" x14ac:dyDescent="0.25">
      <c r="A65" t="s">
        <v>44</v>
      </c>
      <c r="B65" s="5" t="s">
        <v>586</v>
      </c>
      <c r="C65" s="5" t="s">
        <v>586</v>
      </c>
      <c r="D65" t="b">
        <f t="shared" si="0"/>
        <v>0</v>
      </c>
    </row>
    <row r="66" spans="1:4" x14ac:dyDescent="0.25">
      <c r="A66" t="s">
        <v>44</v>
      </c>
      <c r="B66" s="5" t="s">
        <v>587</v>
      </c>
      <c r="C66" s="5" t="s">
        <v>587</v>
      </c>
      <c r="D66" t="b">
        <f t="shared" si="0"/>
        <v>0</v>
      </c>
    </row>
    <row r="67" spans="1:4" x14ac:dyDescent="0.25">
      <c r="A67" t="s">
        <v>44</v>
      </c>
      <c r="B67" s="5" t="s">
        <v>1469</v>
      </c>
      <c r="C67" s="5" t="s">
        <v>1469</v>
      </c>
      <c r="D67" t="b">
        <f t="shared" si="0"/>
        <v>0</v>
      </c>
    </row>
    <row r="68" spans="1:4" x14ac:dyDescent="0.25">
      <c r="A68" t="s">
        <v>44</v>
      </c>
      <c r="B68" s="5" t="s">
        <v>589</v>
      </c>
      <c r="C68" s="5" t="s">
        <v>589</v>
      </c>
      <c r="D68" t="b">
        <f t="shared" si="0"/>
        <v>0</v>
      </c>
    </row>
    <row r="69" spans="1:4" x14ac:dyDescent="0.25">
      <c r="A69" t="s">
        <v>44</v>
      </c>
      <c r="B69" s="5" t="s">
        <v>1470</v>
      </c>
      <c r="C69" s="5" t="s">
        <v>1470</v>
      </c>
      <c r="D69" t="b">
        <f t="shared" ref="D69:D102" si="2">B69&lt;&gt;C69</f>
        <v>0</v>
      </c>
    </row>
    <row r="70" spans="1:4" x14ac:dyDescent="0.25">
      <c r="A70" t="s">
        <v>44</v>
      </c>
      <c r="B70" s="5" t="s">
        <v>590</v>
      </c>
      <c r="C70" s="5" t="s">
        <v>590</v>
      </c>
      <c r="D70" t="b">
        <f t="shared" si="2"/>
        <v>0</v>
      </c>
    </row>
    <row r="71" spans="1:4" x14ac:dyDescent="0.25">
      <c r="A71" t="s">
        <v>44</v>
      </c>
      <c r="B71" s="5" t="s">
        <v>100</v>
      </c>
      <c r="C71" s="5" t="s">
        <v>100</v>
      </c>
      <c r="D71" t="b">
        <f t="shared" si="2"/>
        <v>0</v>
      </c>
    </row>
    <row r="72" spans="1:4" x14ac:dyDescent="0.25">
      <c r="A72" t="s">
        <v>44</v>
      </c>
      <c r="B72" s="5" t="s">
        <v>649</v>
      </c>
      <c r="C72" s="5" t="s">
        <v>649</v>
      </c>
      <c r="D72" t="b">
        <f t="shared" si="2"/>
        <v>0</v>
      </c>
    </row>
    <row r="73" spans="1:4" x14ac:dyDescent="0.25">
      <c r="A73" t="s">
        <v>44</v>
      </c>
      <c r="B73" s="5" t="s">
        <v>1433</v>
      </c>
      <c r="C73" s="5" t="s">
        <v>1433</v>
      </c>
      <c r="D73" t="b">
        <f t="shared" si="2"/>
        <v>0</v>
      </c>
    </row>
    <row r="74" spans="1:4" x14ac:dyDescent="0.25">
      <c r="A74" t="s">
        <v>44</v>
      </c>
      <c r="B74" s="5" t="s">
        <v>591</v>
      </c>
      <c r="C74" s="5" t="s">
        <v>591</v>
      </c>
      <c r="D74" t="b">
        <f t="shared" si="2"/>
        <v>0</v>
      </c>
    </row>
    <row r="75" spans="1:4" x14ac:dyDescent="0.25">
      <c r="A75" t="s">
        <v>44</v>
      </c>
      <c r="B75" s="5" t="s">
        <v>592</v>
      </c>
      <c r="C75" s="5" t="s">
        <v>592</v>
      </c>
      <c r="D75" t="b">
        <f t="shared" si="2"/>
        <v>0</v>
      </c>
    </row>
    <row r="76" spans="1:4" x14ac:dyDescent="0.25">
      <c r="A76" t="s">
        <v>44</v>
      </c>
      <c r="B76" s="5" t="s">
        <v>593</v>
      </c>
      <c r="C76" s="5" t="s">
        <v>1932</v>
      </c>
      <c r="D76" t="b">
        <f t="shared" si="2"/>
        <v>1</v>
      </c>
    </row>
    <row r="77" spans="1:4" x14ac:dyDescent="0.25">
      <c r="A77" t="s">
        <v>0</v>
      </c>
      <c r="B77" s="5" t="s">
        <v>1607</v>
      </c>
      <c r="C77" s="5" t="s">
        <v>1607</v>
      </c>
      <c r="D77" t="b">
        <f t="shared" si="2"/>
        <v>0</v>
      </c>
    </row>
    <row r="78" spans="1:4" x14ac:dyDescent="0.25">
      <c r="A78" t="s">
        <v>0</v>
      </c>
      <c r="B78" s="5" t="s">
        <v>588</v>
      </c>
      <c r="C78" s="5" t="s">
        <v>1671</v>
      </c>
      <c r="D78" t="b">
        <f t="shared" si="2"/>
        <v>1</v>
      </c>
    </row>
    <row r="79" spans="1:4" x14ac:dyDescent="0.25">
      <c r="A79" t="s">
        <v>0</v>
      </c>
      <c r="B79" s="5" t="s">
        <v>594</v>
      </c>
      <c r="C79" s="5" t="s">
        <v>594</v>
      </c>
      <c r="D79" t="b">
        <f t="shared" si="2"/>
        <v>0</v>
      </c>
    </row>
    <row r="80" spans="1:4" x14ac:dyDescent="0.25">
      <c r="A80" t="s">
        <v>0</v>
      </c>
      <c r="B80" s="5" t="s">
        <v>595</v>
      </c>
      <c r="C80" s="5" t="s">
        <v>595</v>
      </c>
      <c r="D80" t="b">
        <f t="shared" si="2"/>
        <v>0</v>
      </c>
    </row>
    <row r="81" spans="1:4" x14ac:dyDescent="0.25">
      <c r="A81" t="s">
        <v>0</v>
      </c>
      <c r="B81" s="5" t="s">
        <v>1672</v>
      </c>
      <c r="C81" s="5" t="s">
        <v>1672</v>
      </c>
      <c r="D81" t="b">
        <f t="shared" si="2"/>
        <v>0</v>
      </c>
    </row>
    <row r="82" spans="1:4" x14ac:dyDescent="0.25">
      <c r="A82" t="s">
        <v>0</v>
      </c>
      <c r="B82" s="5" t="s">
        <v>1238</v>
      </c>
      <c r="C82" s="5" t="s">
        <v>1238</v>
      </c>
      <c r="D82" t="b">
        <f t="shared" si="2"/>
        <v>0</v>
      </c>
    </row>
    <row r="83" spans="1:4" x14ac:dyDescent="0.25">
      <c r="A83" t="s">
        <v>0</v>
      </c>
      <c r="B83" s="5" t="s">
        <v>431</v>
      </c>
      <c r="C83" s="5" t="s">
        <v>431</v>
      </c>
      <c r="D83" t="b">
        <f t="shared" si="2"/>
        <v>0</v>
      </c>
    </row>
    <row r="84" spans="1:4" x14ac:dyDescent="0.25">
      <c r="A84" t="s">
        <v>0</v>
      </c>
      <c r="B84" s="5" t="s">
        <v>596</v>
      </c>
      <c r="C84" s="5" t="s">
        <v>596</v>
      </c>
      <c r="D84" t="b">
        <f t="shared" si="2"/>
        <v>0</v>
      </c>
    </row>
    <row r="85" spans="1:4" x14ac:dyDescent="0.25">
      <c r="A85" t="s">
        <v>0</v>
      </c>
      <c r="B85" s="5" t="s">
        <v>578</v>
      </c>
      <c r="C85" s="5" t="s">
        <v>578</v>
      </c>
      <c r="D85" t="b">
        <f t="shared" si="2"/>
        <v>0</v>
      </c>
    </row>
    <row r="86" spans="1:4" x14ac:dyDescent="0.25">
      <c r="A86" t="s">
        <v>0</v>
      </c>
      <c r="B86" s="5" t="s">
        <v>597</v>
      </c>
      <c r="C86" s="5" t="s">
        <v>597</v>
      </c>
      <c r="D86" t="b">
        <f t="shared" si="2"/>
        <v>0</v>
      </c>
    </row>
    <row r="87" spans="1:4" x14ac:dyDescent="0.25">
      <c r="A87" t="s">
        <v>0</v>
      </c>
      <c r="B87" s="5" t="s">
        <v>598</v>
      </c>
      <c r="C87" s="5" t="s">
        <v>598</v>
      </c>
      <c r="D87" t="b">
        <f t="shared" si="2"/>
        <v>0</v>
      </c>
    </row>
    <row r="88" spans="1:4" x14ac:dyDescent="0.25">
      <c r="A88" t="s">
        <v>0</v>
      </c>
      <c r="B88" s="5" t="s">
        <v>1673</v>
      </c>
      <c r="C88" s="5" t="s">
        <v>1673</v>
      </c>
      <c r="D88" t="b">
        <f t="shared" si="2"/>
        <v>0</v>
      </c>
    </row>
    <row r="89" spans="1:4" x14ac:dyDescent="0.25">
      <c r="A89" t="s">
        <v>0</v>
      </c>
      <c r="B89" s="5" t="s">
        <v>599</v>
      </c>
      <c r="C89" s="5" t="s">
        <v>599</v>
      </c>
      <c r="D89" t="b">
        <f t="shared" si="2"/>
        <v>0</v>
      </c>
    </row>
    <row r="90" spans="1:4" x14ac:dyDescent="0.25">
      <c r="A90" t="s">
        <v>0</v>
      </c>
      <c r="B90" s="5" t="s">
        <v>600</v>
      </c>
      <c r="C90" s="5" t="s">
        <v>600</v>
      </c>
      <c r="D90" t="b">
        <f t="shared" si="2"/>
        <v>0</v>
      </c>
    </row>
    <row r="91" spans="1:4" x14ac:dyDescent="0.25">
      <c r="A91" t="s">
        <v>0</v>
      </c>
      <c r="B91" s="5" t="s">
        <v>601</v>
      </c>
      <c r="C91" s="5" t="s">
        <v>1046</v>
      </c>
      <c r="D91" t="b">
        <f t="shared" si="2"/>
        <v>1</v>
      </c>
    </row>
    <row r="92" spans="1:4" x14ac:dyDescent="0.25">
      <c r="A92" t="s">
        <v>0</v>
      </c>
      <c r="B92" s="5" t="s">
        <v>602</v>
      </c>
      <c r="C92" s="5" t="s">
        <v>602</v>
      </c>
      <c r="D92" t="b">
        <f t="shared" si="2"/>
        <v>0</v>
      </c>
    </row>
    <row r="93" spans="1:4" x14ac:dyDescent="0.25">
      <c r="A93" t="s">
        <v>0</v>
      </c>
      <c r="B93" s="5" t="s">
        <v>320</v>
      </c>
      <c r="C93" s="5" t="s">
        <v>320</v>
      </c>
      <c r="D93" t="b">
        <f t="shared" si="2"/>
        <v>0</v>
      </c>
    </row>
    <row r="94" spans="1:4" x14ac:dyDescent="0.25">
      <c r="A94" t="s">
        <v>0</v>
      </c>
      <c r="B94" s="5" t="s">
        <v>1674</v>
      </c>
      <c r="C94" s="5" t="s">
        <v>1674</v>
      </c>
      <c r="D94" t="b">
        <f t="shared" si="2"/>
        <v>0</v>
      </c>
    </row>
    <row r="95" spans="1:4" x14ac:dyDescent="0.25">
      <c r="A95" t="s">
        <v>0</v>
      </c>
      <c r="B95" s="5" t="s">
        <v>1318</v>
      </c>
      <c r="C95" s="5" t="s">
        <v>1318</v>
      </c>
      <c r="D95" t="b">
        <f t="shared" si="2"/>
        <v>0</v>
      </c>
    </row>
    <row r="96" spans="1:4" x14ac:dyDescent="0.25">
      <c r="A96" t="s">
        <v>0</v>
      </c>
      <c r="B96" s="5" t="s">
        <v>603</v>
      </c>
      <c r="C96" s="5" t="s">
        <v>603</v>
      </c>
      <c r="D96" t="b">
        <f t="shared" si="2"/>
        <v>0</v>
      </c>
    </row>
    <row r="97" spans="1:4" x14ac:dyDescent="0.25">
      <c r="A97" t="s">
        <v>0</v>
      </c>
      <c r="B97" s="5" t="s">
        <v>604</v>
      </c>
      <c r="C97" s="5" t="s">
        <v>604</v>
      </c>
      <c r="D97" t="b">
        <f t="shared" si="2"/>
        <v>0</v>
      </c>
    </row>
    <row r="98" spans="1:4" x14ac:dyDescent="0.25">
      <c r="A98" t="s">
        <v>0</v>
      </c>
      <c r="B98" s="5" t="s">
        <v>605</v>
      </c>
      <c r="C98" s="5" t="s">
        <v>605</v>
      </c>
      <c r="D98" t="b">
        <f t="shared" si="2"/>
        <v>0</v>
      </c>
    </row>
    <row r="99" spans="1:4" x14ac:dyDescent="0.25">
      <c r="A99" t="s">
        <v>0</v>
      </c>
      <c r="B99" s="5" t="s">
        <v>1702</v>
      </c>
      <c r="C99" s="5" t="s">
        <v>1702</v>
      </c>
      <c r="D99" t="b">
        <f t="shared" si="2"/>
        <v>0</v>
      </c>
    </row>
    <row r="100" spans="1:4" x14ac:dyDescent="0.25">
      <c r="A100" t="s">
        <v>0</v>
      </c>
      <c r="B100" s="5" t="s">
        <v>448</v>
      </c>
      <c r="C100" s="5" t="s">
        <v>448</v>
      </c>
      <c r="D100" t="b">
        <f t="shared" si="2"/>
        <v>0</v>
      </c>
    </row>
    <row r="101" spans="1:4" x14ac:dyDescent="0.25">
      <c r="A101" t="s">
        <v>0</v>
      </c>
      <c r="B101" s="5" t="s">
        <v>1321</v>
      </c>
      <c r="C101" s="5" t="s">
        <v>1321</v>
      </c>
      <c r="D101" t="b">
        <f t="shared" si="2"/>
        <v>0</v>
      </c>
    </row>
    <row r="102" spans="1:4" x14ac:dyDescent="0.25">
      <c r="A102" t="s">
        <v>0</v>
      </c>
      <c r="B102" s="5" t="s">
        <v>322</v>
      </c>
      <c r="C102" s="5" t="s">
        <v>322</v>
      </c>
      <c r="D102" t="b">
        <f t="shared" si="2"/>
        <v>0</v>
      </c>
    </row>
  </sheetData>
  <mergeCells count="1">
    <mergeCell ref="A1:G1"/>
  </mergeCells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notContainsText" priority="1" operator="notContains" id="{4F9435D7-B3FA-4F95-956D-6DB59B396DAE}">
            <xm:f>ISERROR(SEARCH(C3,B3))</xm:f>
            <xm:f>C3</xm:f>
            <x14:dxf>
              <fill>
                <patternFill>
                  <bgColor theme="5" tint="0.39994506668294322"/>
                </patternFill>
              </fill>
            </x14:dxf>
          </x14:cfRule>
          <xm:sqref>B3:B102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871F5-45DA-463C-8695-545A3F46113B}">
  <sheetPr codeName="Planilha16"/>
  <dimension ref="A1:H102"/>
  <sheetViews>
    <sheetView topLeftCell="A85" workbookViewId="0">
      <selection activeCell="C102" sqref="C102"/>
    </sheetView>
  </sheetViews>
  <sheetFormatPr defaultRowHeight="15" x14ac:dyDescent="0.25"/>
  <cols>
    <col min="1" max="1" width="11.85546875" style="5" customWidth="1"/>
    <col min="2" max="3" width="38.7109375" customWidth="1"/>
    <col min="4" max="4" width="10.28515625" hidden="1" customWidth="1"/>
    <col min="5" max="5" width="4.28515625" customWidth="1"/>
    <col min="6" max="6" width="22.7109375" style="3" customWidth="1"/>
    <col min="7" max="7" width="9.140625" bestFit="1" customWidth="1"/>
    <col min="9" max="9" width="9.85546875" bestFit="1" customWidth="1"/>
  </cols>
  <sheetData>
    <row r="1" spans="1:8" ht="21" x14ac:dyDescent="0.25">
      <c r="A1" s="12" t="s">
        <v>606</v>
      </c>
      <c r="B1" s="12"/>
      <c r="C1" s="12"/>
      <c r="D1" s="12"/>
      <c r="E1" s="12"/>
      <c r="F1" s="12"/>
      <c r="G1" s="12"/>
    </row>
    <row r="2" spans="1:8" x14ac:dyDescent="0.25">
      <c r="A2" s="4" t="s">
        <v>11</v>
      </c>
      <c r="B2" s="4" t="s">
        <v>12</v>
      </c>
      <c r="C2" s="4" t="s">
        <v>13</v>
      </c>
      <c r="D2" s="4" t="s">
        <v>14</v>
      </c>
      <c r="F2" s="4" t="s">
        <v>16</v>
      </c>
      <c r="G2" s="3">
        <f>COUNTIF(D:D,"Verdadeiro")</f>
        <v>8</v>
      </c>
    </row>
    <row r="3" spans="1:8" x14ac:dyDescent="0.25">
      <c r="A3" s="9" t="s">
        <v>1539</v>
      </c>
      <c r="B3" s="5" t="s">
        <v>606</v>
      </c>
      <c r="C3" s="5" t="s">
        <v>606</v>
      </c>
      <c r="D3" t="b">
        <f>B3&lt;&gt;C3</f>
        <v>0</v>
      </c>
      <c r="F3" s="4" t="s">
        <v>17</v>
      </c>
      <c r="G3" s="10">
        <f>SUM(G5:G29)</f>
        <v>100</v>
      </c>
    </row>
    <row r="4" spans="1:8" x14ac:dyDescent="0.25">
      <c r="A4" s="5" t="s">
        <v>15</v>
      </c>
      <c r="B4" s="5" t="s">
        <v>607</v>
      </c>
      <c r="C4" s="5" t="s">
        <v>607</v>
      </c>
      <c r="D4" t="b">
        <f>B4&lt;&gt;C4</f>
        <v>0</v>
      </c>
    </row>
    <row r="5" spans="1:8" x14ac:dyDescent="0.25">
      <c r="A5" s="5" t="s">
        <v>15</v>
      </c>
      <c r="B5" s="5" t="s">
        <v>608</v>
      </c>
      <c r="C5" s="5" t="s">
        <v>608</v>
      </c>
      <c r="D5" t="b">
        <f t="shared" ref="D5:D68" si="0">B5&lt;&gt;C5</f>
        <v>0</v>
      </c>
      <c r="F5" s="6" t="s">
        <v>19</v>
      </c>
      <c r="G5" s="1"/>
    </row>
    <row r="6" spans="1:8" x14ac:dyDescent="0.25">
      <c r="A6" s="5" t="s">
        <v>15</v>
      </c>
      <c r="B6" s="5" t="s">
        <v>609</v>
      </c>
      <c r="C6" s="5" t="s">
        <v>609</v>
      </c>
      <c r="D6" t="b">
        <f t="shared" si="0"/>
        <v>0</v>
      </c>
      <c r="F6" s="7" t="s">
        <v>1539</v>
      </c>
      <c r="G6" s="2">
        <f t="shared" ref="G6:G13" si="1">COUNTIF(A:A,F6)</f>
        <v>1</v>
      </c>
    </row>
    <row r="7" spans="1:8" x14ac:dyDescent="0.25">
      <c r="A7" s="5" t="s">
        <v>15</v>
      </c>
      <c r="B7" s="5" t="s">
        <v>610</v>
      </c>
      <c r="C7" s="5" t="s">
        <v>610</v>
      </c>
      <c r="D7" t="b">
        <f t="shared" si="0"/>
        <v>0</v>
      </c>
      <c r="F7" s="3" t="s">
        <v>15</v>
      </c>
      <c r="G7" s="2">
        <f t="shared" si="1"/>
        <v>33</v>
      </c>
    </row>
    <row r="8" spans="1:8" x14ac:dyDescent="0.25">
      <c r="A8" s="5" t="s">
        <v>15</v>
      </c>
      <c r="B8" s="5" t="s">
        <v>111</v>
      </c>
      <c r="C8" s="5" t="s">
        <v>111</v>
      </c>
      <c r="D8" t="b">
        <f t="shared" si="0"/>
        <v>0</v>
      </c>
      <c r="F8" s="7" t="s">
        <v>21</v>
      </c>
      <c r="G8" s="2">
        <f t="shared" si="1"/>
        <v>3</v>
      </c>
    </row>
    <row r="9" spans="1:8" x14ac:dyDescent="0.25">
      <c r="A9" s="5" t="s">
        <v>15</v>
      </c>
      <c r="B9" s="5" t="s">
        <v>611</v>
      </c>
      <c r="C9" s="5" t="s">
        <v>611</v>
      </c>
      <c r="D9" t="b">
        <f t="shared" si="0"/>
        <v>0</v>
      </c>
      <c r="F9" s="7" t="s">
        <v>22</v>
      </c>
      <c r="G9" s="2">
        <f t="shared" si="1"/>
        <v>22</v>
      </c>
    </row>
    <row r="10" spans="1:8" x14ac:dyDescent="0.25">
      <c r="A10" s="5" t="s">
        <v>15</v>
      </c>
      <c r="B10" s="5" t="s">
        <v>612</v>
      </c>
      <c r="C10" s="5" t="s">
        <v>612</v>
      </c>
      <c r="D10" t="b">
        <f t="shared" si="0"/>
        <v>0</v>
      </c>
      <c r="F10" s="7" t="s">
        <v>26</v>
      </c>
      <c r="G10" s="2">
        <f t="shared" si="1"/>
        <v>20</v>
      </c>
    </row>
    <row r="11" spans="1:8" x14ac:dyDescent="0.25">
      <c r="A11" s="5" t="s">
        <v>15</v>
      </c>
      <c r="B11" s="5" t="s">
        <v>613</v>
      </c>
      <c r="C11" s="5" t="s">
        <v>613</v>
      </c>
      <c r="D11" t="b">
        <f t="shared" si="0"/>
        <v>0</v>
      </c>
      <c r="F11" s="7" t="s">
        <v>23</v>
      </c>
      <c r="G11" s="2">
        <f t="shared" si="1"/>
        <v>7</v>
      </c>
    </row>
    <row r="12" spans="1:8" x14ac:dyDescent="0.25">
      <c r="A12" s="5" t="s">
        <v>15</v>
      </c>
      <c r="B12" s="5" t="s">
        <v>614</v>
      </c>
      <c r="C12" s="5" t="s">
        <v>614</v>
      </c>
      <c r="D12" t="b">
        <f t="shared" si="0"/>
        <v>0</v>
      </c>
      <c r="F12" s="7" t="s">
        <v>615</v>
      </c>
      <c r="G12" s="2">
        <f t="shared" si="1"/>
        <v>13</v>
      </c>
    </row>
    <row r="13" spans="1:8" x14ac:dyDescent="0.25">
      <c r="A13" s="5" t="s">
        <v>15</v>
      </c>
      <c r="B13" s="5" t="s">
        <v>342</v>
      </c>
      <c r="C13" s="5" t="s">
        <v>342</v>
      </c>
      <c r="D13" t="b">
        <f t="shared" si="0"/>
        <v>0</v>
      </c>
      <c r="F13" s="7" t="s">
        <v>398</v>
      </c>
      <c r="G13" s="2">
        <f t="shared" si="1"/>
        <v>1</v>
      </c>
    </row>
    <row r="14" spans="1:8" x14ac:dyDescent="0.25">
      <c r="A14" s="5" t="s">
        <v>15</v>
      </c>
      <c r="B14" s="5" t="s">
        <v>616</v>
      </c>
      <c r="C14" s="5" t="s">
        <v>616</v>
      </c>
      <c r="D14" t="b">
        <f t="shared" si="0"/>
        <v>0</v>
      </c>
      <c r="F14" s="7"/>
      <c r="G14" s="2"/>
    </row>
    <row r="15" spans="1:8" x14ac:dyDescent="0.25">
      <c r="A15" s="5" t="s">
        <v>15</v>
      </c>
      <c r="B15" s="5" t="s">
        <v>348</v>
      </c>
      <c r="C15" s="5" t="s">
        <v>348</v>
      </c>
      <c r="D15" t="b">
        <f t="shared" si="0"/>
        <v>0</v>
      </c>
    </row>
    <row r="16" spans="1:8" x14ac:dyDescent="0.25">
      <c r="A16" s="5" t="s">
        <v>15</v>
      </c>
      <c r="B16" s="5" t="s">
        <v>20</v>
      </c>
      <c r="C16" s="5" t="s">
        <v>20</v>
      </c>
      <c r="D16" t="b">
        <f t="shared" si="0"/>
        <v>0</v>
      </c>
      <c r="H16" s="3"/>
    </row>
    <row r="17" spans="1:7" x14ac:dyDescent="0.25">
      <c r="A17" s="5" t="s">
        <v>15</v>
      </c>
      <c r="B17" s="5" t="s">
        <v>1683</v>
      </c>
      <c r="C17" s="5" t="s">
        <v>152</v>
      </c>
      <c r="D17" t="b">
        <f t="shared" si="0"/>
        <v>1</v>
      </c>
      <c r="F17" s="4"/>
      <c r="G17" s="2"/>
    </row>
    <row r="18" spans="1:7" x14ac:dyDescent="0.25">
      <c r="A18" s="5" t="s">
        <v>15</v>
      </c>
      <c r="B18" s="5" t="s">
        <v>617</v>
      </c>
      <c r="C18" s="5" t="s">
        <v>617</v>
      </c>
      <c r="D18" t="b">
        <f t="shared" si="0"/>
        <v>0</v>
      </c>
      <c r="F18" s="4"/>
      <c r="G18" s="2"/>
    </row>
    <row r="19" spans="1:7" x14ac:dyDescent="0.25">
      <c r="A19" s="5" t="s">
        <v>15</v>
      </c>
      <c r="B19" s="5" t="s">
        <v>60</v>
      </c>
      <c r="C19" s="5" t="s">
        <v>1682</v>
      </c>
      <c r="D19" t="b">
        <f t="shared" si="0"/>
        <v>1</v>
      </c>
    </row>
    <row r="20" spans="1:7" x14ac:dyDescent="0.25">
      <c r="A20" s="5" t="s">
        <v>15</v>
      </c>
      <c r="B20" s="5" t="s">
        <v>1231</v>
      </c>
      <c r="C20" s="5" t="s">
        <v>1231</v>
      </c>
      <c r="D20" t="b">
        <f t="shared" si="0"/>
        <v>0</v>
      </c>
    </row>
    <row r="21" spans="1:7" x14ac:dyDescent="0.25">
      <c r="A21" s="5" t="s">
        <v>15</v>
      </c>
      <c r="B21" s="5" t="s">
        <v>60</v>
      </c>
      <c r="C21" s="5" t="s">
        <v>1937</v>
      </c>
      <c r="D21" t="b">
        <f t="shared" si="0"/>
        <v>1</v>
      </c>
    </row>
    <row r="22" spans="1:7" x14ac:dyDescent="0.25">
      <c r="A22" s="5" t="s">
        <v>15</v>
      </c>
      <c r="B22" s="5" t="s">
        <v>60</v>
      </c>
      <c r="C22" s="5" t="s">
        <v>60</v>
      </c>
      <c r="D22" t="b">
        <f t="shared" si="0"/>
        <v>0</v>
      </c>
    </row>
    <row r="23" spans="1:7" x14ac:dyDescent="0.25">
      <c r="A23" s="5" t="s">
        <v>15</v>
      </c>
      <c r="B23" s="5" t="s">
        <v>60</v>
      </c>
      <c r="C23" s="5" t="s">
        <v>60</v>
      </c>
      <c r="D23" t="b">
        <f t="shared" si="0"/>
        <v>0</v>
      </c>
    </row>
    <row r="24" spans="1:7" x14ac:dyDescent="0.25">
      <c r="A24" s="5" t="s">
        <v>15</v>
      </c>
      <c r="B24" s="5" t="s">
        <v>60</v>
      </c>
      <c r="C24" s="5" t="s">
        <v>60</v>
      </c>
      <c r="D24" t="b">
        <f t="shared" si="0"/>
        <v>0</v>
      </c>
    </row>
    <row r="25" spans="1:7" x14ac:dyDescent="0.25">
      <c r="A25" s="5" t="s">
        <v>15</v>
      </c>
      <c r="B25" s="5" t="s">
        <v>60</v>
      </c>
      <c r="C25" s="5" t="s">
        <v>60</v>
      </c>
      <c r="D25" t="b">
        <f t="shared" si="0"/>
        <v>0</v>
      </c>
    </row>
    <row r="26" spans="1:7" x14ac:dyDescent="0.25">
      <c r="A26" s="5" t="s">
        <v>15</v>
      </c>
      <c r="B26" s="5" t="s">
        <v>60</v>
      </c>
      <c r="C26" s="5" t="s">
        <v>60</v>
      </c>
      <c r="D26" t="b">
        <f t="shared" si="0"/>
        <v>0</v>
      </c>
    </row>
    <row r="27" spans="1:7" x14ac:dyDescent="0.25">
      <c r="A27" s="5" t="s">
        <v>15</v>
      </c>
      <c r="B27" s="5" t="s">
        <v>60</v>
      </c>
      <c r="C27" s="5" t="s">
        <v>60</v>
      </c>
      <c r="D27" t="b">
        <f t="shared" si="0"/>
        <v>0</v>
      </c>
    </row>
    <row r="28" spans="1:7" x14ac:dyDescent="0.25">
      <c r="A28" s="5" t="s">
        <v>15</v>
      </c>
      <c r="B28" s="5" t="s">
        <v>60</v>
      </c>
      <c r="C28" s="5" t="s">
        <v>60</v>
      </c>
      <c r="D28" t="b">
        <f t="shared" si="0"/>
        <v>0</v>
      </c>
    </row>
    <row r="29" spans="1:7" x14ac:dyDescent="0.25">
      <c r="A29" s="5" t="s">
        <v>15</v>
      </c>
      <c r="B29" s="5" t="s">
        <v>122</v>
      </c>
      <c r="C29" s="5" t="s">
        <v>122</v>
      </c>
      <c r="D29" t="b">
        <f t="shared" si="0"/>
        <v>0</v>
      </c>
    </row>
    <row r="30" spans="1:7" x14ac:dyDescent="0.25">
      <c r="A30" s="5" t="s">
        <v>15</v>
      </c>
      <c r="B30" s="5" t="s">
        <v>122</v>
      </c>
      <c r="C30" s="5" t="s">
        <v>122</v>
      </c>
      <c r="D30" t="b">
        <f t="shared" si="0"/>
        <v>0</v>
      </c>
    </row>
    <row r="31" spans="1:7" x14ac:dyDescent="0.25">
      <c r="A31" s="5" t="s">
        <v>15</v>
      </c>
      <c r="B31" s="5" t="s">
        <v>122</v>
      </c>
      <c r="C31" s="5" t="s">
        <v>122</v>
      </c>
      <c r="D31" t="b">
        <f t="shared" si="0"/>
        <v>0</v>
      </c>
    </row>
    <row r="32" spans="1:7" x14ac:dyDescent="0.25">
      <c r="A32" s="5" t="s">
        <v>15</v>
      </c>
      <c r="B32" s="5" t="s">
        <v>122</v>
      </c>
      <c r="C32" s="5" t="s">
        <v>122</v>
      </c>
      <c r="D32" t="b">
        <f t="shared" si="0"/>
        <v>0</v>
      </c>
    </row>
    <row r="33" spans="1:4" x14ac:dyDescent="0.25">
      <c r="A33" s="5" t="s">
        <v>15</v>
      </c>
      <c r="B33" s="5" t="s">
        <v>122</v>
      </c>
      <c r="C33" s="5" t="s">
        <v>122</v>
      </c>
      <c r="D33" t="b">
        <f t="shared" si="0"/>
        <v>0</v>
      </c>
    </row>
    <row r="34" spans="1:4" x14ac:dyDescent="0.25">
      <c r="A34" s="5" t="s">
        <v>15</v>
      </c>
      <c r="B34" s="5" t="s">
        <v>122</v>
      </c>
      <c r="C34" s="5" t="s">
        <v>122</v>
      </c>
      <c r="D34" t="b">
        <f t="shared" si="0"/>
        <v>0</v>
      </c>
    </row>
    <row r="35" spans="1:4" x14ac:dyDescent="0.25">
      <c r="A35" s="5" t="s">
        <v>15</v>
      </c>
      <c r="B35" s="5" t="s">
        <v>122</v>
      </c>
      <c r="C35" s="5" t="s">
        <v>122</v>
      </c>
      <c r="D35" t="b">
        <f t="shared" si="0"/>
        <v>0</v>
      </c>
    </row>
    <row r="36" spans="1:4" x14ac:dyDescent="0.25">
      <c r="A36" s="5" t="s">
        <v>15</v>
      </c>
      <c r="B36" s="5" t="s">
        <v>122</v>
      </c>
      <c r="C36" s="5" t="s">
        <v>122</v>
      </c>
      <c r="D36" t="b">
        <f t="shared" si="0"/>
        <v>0</v>
      </c>
    </row>
    <row r="37" spans="1:4" x14ac:dyDescent="0.25">
      <c r="A37" s="5" t="s">
        <v>21</v>
      </c>
      <c r="B37" s="5" t="s">
        <v>618</v>
      </c>
      <c r="C37" s="5" t="s">
        <v>618</v>
      </c>
      <c r="D37" t="b">
        <f t="shared" si="0"/>
        <v>0</v>
      </c>
    </row>
    <row r="38" spans="1:4" x14ac:dyDescent="0.25">
      <c r="A38" s="5" t="s">
        <v>21</v>
      </c>
      <c r="B38" s="5" t="s">
        <v>1281</v>
      </c>
      <c r="C38" s="5" t="s">
        <v>1281</v>
      </c>
      <c r="D38" t="b">
        <f t="shared" si="0"/>
        <v>0</v>
      </c>
    </row>
    <row r="39" spans="1:4" x14ac:dyDescent="0.25">
      <c r="A39" s="5" t="s">
        <v>21</v>
      </c>
      <c r="B39" s="5" t="s">
        <v>619</v>
      </c>
      <c r="C39" s="5" t="s">
        <v>619</v>
      </c>
      <c r="D39" t="b">
        <f t="shared" si="0"/>
        <v>0</v>
      </c>
    </row>
    <row r="40" spans="1:4" x14ac:dyDescent="0.25">
      <c r="A40" s="5" t="s">
        <v>398</v>
      </c>
      <c r="B40" s="5" t="s">
        <v>620</v>
      </c>
      <c r="C40" s="5" t="s">
        <v>620</v>
      </c>
      <c r="D40" t="b">
        <f t="shared" si="0"/>
        <v>0</v>
      </c>
    </row>
    <row r="41" spans="1:4" x14ac:dyDescent="0.25">
      <c r="A41" s="5" t="s">
        <v>22</v>
      </c>
      <c r="B41" s="5" t="s">
        <v>2211</v>
      </c>
      <c r="C41" s="5" t="s">
        <v>2211</v>
      </c>
      <c r="D41" t="b">
        <f t="shared" si="0"/>
        <v>0</v>
      </c>
    </row>
    <row r="42" spans="1:4" x14ac:dyDescent="0.25">
      <c r="A42" s="5" t="s">
        <v>22</v>
      </c>
      <c r="B42" s="5" t="s">
        <v>621</v>
      </c>
      <c r="C42" s="5" t="s">
        <v>621</v>
      </c>
      <c r="D42" t="b">
        <f t="shared" si="0"/>
        <v>0</v>
      </c>
    </row>
    <row r="43" spans="1:4" x14ac:dyDescent="0.25">
      <c r="A43" s="5" t="s">
        <v>22</v>
      </c>
      <c r="B43" s="5" t="s">
        <v>622</v>
      </c>
      <c r="C43" s="5" t="s">
        <v>622</v>
      </c>
      <c r="D43" t="b">
        <f t="shared" si="0"/>
        <v>0</v>
      </c>
    </row>
    <row r="44" spans="1:4" x14ac:dyDescent="0.25">
      <c r="A44" s="5" t="s">
        <v>22</v>
      </c>
      <c r="B44" s="5" t="s">
        <v>623</v>
      </c>
      <c r="C44" s="5" t="s">
        <v>623</v>
      </c>
      <c r="D44" t="b">
        <f t="shared" si="0"/>
        <v>0</v>
      </c>
    </row>
    <row r="45" spans="1:4" x14ac:dyDescent="0.25">
      <c r="A45" s="5" t="s">
        <v>22</v>
      </c>
      <c r="B45" s="5" t="s">
        <v>624</v>
      </c>
      <c r="C45" s="5" t="s">
        <v>624</v>
      </c>
      <c r="D45" t="b">
        <f t="shared" si="0"/>
        <v>0</v>
      </c>
    </row>
    <row r="46" spans="1:4" x14ac:dyDescent="0.25">
      <c r="A46" s="5" t="s">
        <v>22</v>
      </c>
      <c r="B46" s="5" t="s">
        <v>625</v>
      </c>
      <c r="C46" s="5" t="s">
        <v>625</v>
      </c>
      <c r="D46" t="b">
        <f t="shared" si="0"/>
        <v>0</v>
      </c>
    </row>
    <row r="47" spans="1:4" x14ac:dyDescent="0.25">
      <c r="A47" s="5" t="s">
        <v>22</v>
      </c>
      <c r="B47" s="5" t="s">
        <v>182</v>
      </c>
      <c r="C47" s="5" t="s">
        <v>182</v>
      </c>
      <c r="D47" t="b">
        <f t="shared" si="0"/>
        <v>0</v>
      </c>
    </row>
    <row r="48" spans="1:4" x14ac:dyDescent="0.25">
      <c r="A48" s="5" t="s">
        <v>22</v>
      </c>
      <c r="B48" s="5" t="s">
        <v>1229</v>
      </c>
      <c r="C48" s="5" t="s">
        <v>626</v>
      </c>
      <c r="D48" t="b">
        <f t="shared" si="0"/>
        <v>1</v>
      </c>
    </row>
    <row r="49" spans="1:4" x14ac:dyDescent="0.25">
      <c r="A49" s="5" t="s">
        <v>22</v>
      </c>
      <c r="B49" s="5" t="s">
        <v>627</v>
      </c>
      <c r="C49" s="5" t="s">
        <v>627</v>
      </c>
      <c r="D49" t="b">
        <f t="shared" si="0"/>
        <v>0</v>
      </c>
    </row>
    <row r="50" spans="1:4" x14ac:dyDescent="0.25">
      <c r="A50" s="5" t="s">
        <v>22</v>
      </c>
      <c r="B50" s="5" t="s">
        <v>183</v>
      </c>
      <c r="C50" s="5" t="s">
        <v>183</v>
      </c>
      <c r="D50" t="b">
        <f t="shared" si="0"/>
        <v>0</v>
      </c>
    </row>
    <row r="51" spans="1:4" x14ac:dyDescent="0.25">
      <c r="A51" s="5" t="s">
        <v>22</v>
      </c>
      <c r="B51" s="5" t="s">
        <v>628</v>
      </c>
      <c r="C51" s="5" t="s">
        <v>628</v>
      </c>
      <c r="D51" t="b">
        <f t="shared" si="0"/>
        <v>0</v>
      </c>
    </row>
    <row r="52" spans="1:4" x14ac:dyDescent="0.25">
      <c r="A52" s="5" t="s">
        <v>22</v>
      </c>
      <c r="B52" s="5" t="s">
        <v>629</v>
      </c>
      <c r="C52" s="5" t="s">
        <v>629</v>
      </c>
      <c r="D52" t="b">
        <f t="shared" si="0"/>
        <v>0</v>
      </c>
    </row>
    <row r="53" spans="1:4" x14ac:dyDescent="0.25">
      <c r="A53" s="5" t="s">
        <v>22</v>
      </c>
      <c r="B53" s="5" t="s">
        <v>630</v>
      </c>
      <c r="C53" s="5" t="s">
        <v>630</v>
      </c>
      <c r="D53" t="b">
        <f t="shared" si="0"/>
        <v>0</v>
      </c>
    </row>
    <row r="54" spans="1:4" x14ac:dyDescent="0.25">
      <c r="A54" s="5" t="s">
        <v>22</v>
      </c>
      <c r="B54" s="5" t="s">
        <v>631</v>
      </c>
      <c r="C54" s="5" t="s">
        <v>631</v>
      </c>
      <c r="D54" t="b">
        <f t="shared" si="0"/>
        <v>0</v>
      </c>
    </row>
    <row r="55" spans="1:4" x14ac:dyDescent="0.25">
      <c r="A55" s="5" t="s">
        <v>22</v>
      </c>
      <c r="B55" s="5" t="s">
        <v>632</v>
      </c>
      <c r="C55" s="5" t="s">
        <v>632</v>
      </c>
      <c r="D55" t="b">
        <f t="shared" si="0"/>
        <v>0</v>
      </c>
    </row>
    <row r="56" spans="1:4" x14ac:dyDescent="0.25">
      <c r="A56" s="5" t="s">
        <v>22</v>
      </c>
      <c r="B56" s="5" t="s">
        <v>633</v>
      </c>
      <c r="C56" s="5" t="s">
        <v>633</v>
      </c>
      <c r="D56" t="b">
        <f t="shared" si="0"/>
        <v>0</v>
      </c>
    </row>
    <row r="57" spans="1:4" x14ac:dyDescent="0.25">
      <c r="A57" s="5" t="s">
        <v>22</v>
      </c>
      <c r="B57" s="5" t="s">
        <v>634</v>
      </c>
      <c r="C57" s="5" t="s">
        <v>634</v>
      </c>
      <c r="D57" t="b">
        <f t="shared" si="0"/>
        <v>0</v>
      </c>
    </row>
    <row r="58" spans="1:4" x14ac:dyDescent="0.25">
      <c r="A58" s="5" t="s">
        <v>22</v>
      </c>
      <c r="B58" s="5" t="s">
        <v>1676</v>
      </c>
      <c r="C58" s="5" t="s">
        <v>1676</v>
      </c>
      <c r="D58" t="b">
        <f t="shared" si="0"/>
        <v>0</v>
      </c>
    </row>
    <row r="59" spans="1:4" x14ac:dyDescent="0.25">
      <c r="A59" s="5" t="s">
        <v>22</v>
      </c>
      <c r="B59" s="5" t="s">
        <v>1181</v>
      </c>
      <c r="C59" s="5" t="s">
        <v>1181</v>
      </c>
      <c r="D59" t="b">
        <f t="shared" si="0"/>
        <v>0</v>
      </c>
    </row>
    <row r="60" spans="1:4" x14ac:dyDescent="0.25">
      <c r="A60" s="5" t="s">
        <v>22</v>
      </c>
      <c r="B60" s="5" t="s">
        <v>1675</v>
      </c>
      <c r="C60" s="5" t="s">
        <v>1675</v>
      </c>
      <c r="D60" t="b">
        <f t="shared" si="0"/>
        <v>0</v>
      </c>
    </row>
    <row r="61" spans="1:4" x14ac:dyDescent="0.25">
      <c r="A61" s="5" t="s">
        <v>22</v>
      </c>
      <c r="B61" s="5" t="s">
        <v>635</v>
      </c>
      <c r="C61" s="5" t="s">
        <v>658</v>
      </c>
      <c r="D61" t="b">
        <f t="shared" si="0"/>
        <v>1</v>
      </c>
    </row>
    <row r="62" spans="1:4" x14ac:dyDescent="0.25">
      <c r="A62" s="5" t="s">
        <v>22</v>
      </c>
      <c r="B62" s="5" t="s">
        <v>1677</v>
      </c>
      <c r="C62" s="5" t="s">
        <v>1677</v>
      </c>
      <c r="D62" t="b">
        <f t="shared" si="0"/>
        <v>0</v>
      </c>
    </row>
    <row r="63" spans="1:4" x14ac:dyDescent="0.25">
      <c r="A63" s="5" t="s">
        <v>26</v>
      </c>
      <c r="B63" s="5" t="s">
        <v>1678</v>
      </c>
      <c r="C63" s="5" t="s">
        <v>1678</v>
      </c>
      <c r="D63" t="b">
        <f t="shared" si="0"/>
        <v>0</v>
      </c>
    </row>
    <row r="64" spans="1:4" x14ac:dyDescent="0.25">
      <c r="A64" s="5" t="s">
        <v>26</v>
      </c>
      <c r="B64" s="5" t="s">
        <v>636</v>
      </c>
      <c r="C64" s="5" t="s">
        <v>636</v>
      </c>
      <c r="D64" t="b">
        <f t="shared" si="0"/>
        <v>0</v>
      </c>
    </row>
    <row r="65" spans="1:4" x14ac:dyDescent="0.25">
      <c r="A65" s="5" t="s">
        <v>26</v>
      </c>
      <c r="B65" s="5" t="s">
        <v>637</v>
      </c>
      <c r="C65" s="5" t="s">
        <v>637</v>
      </c>
      <c r="D65" t="b">
        <f t="shared" si="0"/>
        <v>0</v>
      </c>
    </row>
    <row r="66" spans="1:4" x14ac:dyDescent="0.25">
      <c r="A66" s="5" t="s">
        <v>26</v>
      </c>
      <c r="B66" s="5" t="s">
        <v>314</v>
      </c>
      <c r="C66" s="5" t="s">
        <v>314</v>
      </c>
      <c r="D66" t="b">
        <f t="shared" si="0"/>
        <v>0</v>
      </c>
    </row>
    <row r="67" spans="1:4" x14ac:dyDescent="0.25">
      <c r="A67" s="5" t="s">
        <v>26</v>
      </c>
      <c r="B67" s="5" t="s">
        <v>638</v>
      </c>
      <c r="C67" s="5" t="s">
        <v>638</v>
      </c>
      <c r="D67" t="b">
        <f t="shared" si="0"/>
        <v>0</v>
      </c>
    </row>
    <row r="68" spans="1:4" x14ac:dyDescent="0.25">
      <c r="A68" s="5" t="s">
        <v>26</v>
      </c>
      <c r="B68" s="5" t="s">
        <v>639</v>
      </c>
      <c r="C68" s="5" t="s">
        <v>639</v>
      </c>
      <c r="D68" t="b">
        <f t="shared" si="0"/>
        <v>0</v>
      </c>
    </row>
    <row r="69" spans="1:4" x14ac:dyDescent="0.25">
      <c r="A69" s="5" t="s">
        <v>26</v>
      </c>
      <c r="B69" s="5" t="s">
        <v>640</v>
      </c>
      <c r="C69" s="5" t="s">
        <v>640</v>
      </c>
      <c r="D69" t="b">
        <f t="shared" ref="D69:D102" si="2">B69&lt;&gt;C69</f>
        <v>0</v>
      </c>
    </row>
    <row r="70" spans="1:4" x14ac:dyDescent="0.25">
      <c r="A70" s="5" t="s">
        <v>26</v>
      </c>
      <c r="B70" s="5" t="s">
        <v>641</v>
      </c>
      <c r="C70" s="5" t="s">
        <v>1679</v>
      </c>
      <c r="D70" t="b">
        <f t="shared" si="2"/>
        <v>1</v>
      </c>
    </row>
    <row r="71" spans="1:4" x14ac:dyDescent="0.25">
      <c r="A71" s="5" t="s">
        <v>26</v>
      </c>
      <c r="B71" s="5" t="s">
        <v>642</v>
      </c>
      <c r="C71" s="5" t="s">
        <v>642</v>
      </c>
      <c r="D71" t="b">
        <f t="shared" si="2"/>
        <v>0</v>
      </c>
    </row>
    <row r="72" spans="1:4" x14ac:dyDescent="0.25">
      <c r="A72" s="5" t="s">
        <v>26</v>
      </c>
      <c r="B72" s="5" t="s">
        <v>586</v>
      </c>
      <c r="C72" s="5" t="s">
        <v>586</v>
      </c>
      <c r="D72" t="b">
        <f t="shared" si="2"/>
        <v>0</v>
      </c>
    </row>
    <row r="73" spans="1:4" x14ac:dyDescent="0.25">
      <c r="A73" s="5" t="s">
        <v>26</v>
      </c>
      <c r="B73" s="5" t="s">
        <v>643</v>
      </c>
      <c r="C73" s="5" t="s">
        <v>643</v>
      </c>
      <c r="D73" t="b">
        <f t="shared" si="2"/>
        <v>0</v>
      </c>
    </row>
    <row r="74" spans="1:4" x14ac:dyDescent="0.25">
      <c r="A74" s="5" t="s">
        <v>26</v>
      </c>
      <c r="B74" s="5" t="s">
        <v>644</v>
      </c>
      <c r="C74" s="5" t="s">
        <v>781</v>
      </c>
      <c r="D74" t="b">
        <f t="shared" si="2"/>
        <v>1</v>
      </c>
    </row>
    <row r="75" spans="1:4" x14ac:dyDescent="0.25">
      <c r="A75" s="5" t="s">
        <v>26</v>
      </c>
      <c r="B75" s="5" t="s">
        <v>645</v>
      </c>
      <c r="C75" s="5" t="s">
        <v>645</v>
      </c>
      <c r="D75" t="b">
        <f t="shared" si="2"/>
        <v>0</v>
      </c>
    </row>
    <row r="76" spans="1:4" x14ac:dyDescent="0.25">
      <c r="A76" s="5" t="s">
        <v>26</v>
      </c>
      <c r="B76" s="5" t="s">
        <v>100</v>
      </c>
      <c r="C76" s="5" t="s">
        <v>100</v>
      </c>
      <c r="D76" t="b">
        <f t="shared" si="2"/>
        <v>0</v>
      </c>
    </row>
    <row r="77" spans="1:4" x14ac:dyDescent="0.25">
      <c r="A77" s="5" t="s">
        <v>26</v>
      </c>
      <c r="B77" s="5" t="s">
        <v>646</v>
      </c>
      <c r="C77" s="5" t="s">
        <v>646</v>
      </c>
      <c r="D77" t="b">
        <f t="shared" si="2"/>
        <v>0</v>
      </c>
    </row>
    <row r="78" spans="1:4" x14ac:dyDescent="0.25">
      <c r="A78" s="5" t="s">
        <v>26</v>
      </c>
      <c r="B78" s="5" t="s">
        <v>647</v>
      </c>
      <c r="C78" s="5" t="s">
        <v>647</v>
      </c>
      <c r="D78" t="b">
        <f t="shared" si="2"/>
        <v>0</v>
      </c>
    </row>
    <row r="79" spans="1:4" x14ac:dyDescent="0.25">
      <c r="A79" s="5" t="s">
        <v>26</v>
      </c>
      <c r="B79" s="5" t="s">
        <v>648</v>
      </c>
      <c r="C79" s="5" t="s">
        <v>648</v>
      </c>
      <c r="D79" t="b">
        <f t="shared" si="2"/>
        <v>0</v>
      </c>
    </row>
    <row r="80" spans="1:4" x14ac:dyDescent="0.25">
      <c r="A80" s="5" t="s">
        <v>26</v>
      </c>
      <c r="B80" s="5" t="s">
        <v>649</v>
      </c>
      <c r="C80" s="5" t="s">
        <v>649</v>
      </c>
      <c r="D80" t="b">
        <f t="shared" si="2"/>
        <v>0</v>
      </c>
    </row>
    <row r="81" spans="1:4" x14ac:dyDescent="0.25">
      <c r="A81" s="5" t="s">
        <v>26</v>
      </c>
      <c r="B81" s="5" t="s">
        <v>1680</v>
      </c>
      <c r="C81" s="5" t="s">
        <v>1680</v>
      </c>
      <c r="D81" t="b">
        <f t="shared" si="2"/>
        <v>0</v>
      </c>
    </row>
    <row r="82" spans="1:4" x14ac:dyDescent="0.25">
      <c r="A82" s="5" t="s">
        <v>26</v>
      </c>
      <c r="B82" s="5" t="s">
        <v>650</v>
      </c>
      <c r="C82" s="5" t="s">
        <v>650</v>
      </c>
      <c r="D82" t="b">
        <f t="shared" si="2"/>
        <v>0</v>
      </c>
    </row>
    <row r="83" spans="1:4" x14ac:dyDescent="0.25">
      <c r="A83" s="5" t="s">
        <v>23</v>
      </c>
      <c r="B83" s="5" t="s">
        <v>651</v>
      </c>
      <c r="C83" s="5" t="s">
        <v>651</v>
      </c>
      <c r="D83" t="b">
        <f t="shared" si="2"/>
        <v>0</v>
      </c>
    </row>
    <row r="84" spans="1:4" x14ac:dyDescent="0.25">
      <c r="A84" s="5" t="s">
        <v>23</v>
      </c>
      <c r="B84" s="5" t="s">
        <v>652</v>
      </c>
      <c r="C84" s="5" t="s">
        <v>652</v>
      </c>
      <c r="D84" t="b">
        <f t="shared" si="2"/>
        <v>0</v>
      </c>
    </row>
    <row r="85" spans="1:4" x14ac:dyDescent="0.25">
      <c r="A85" s="5" t="s">
        <v>23</v>
      </c>
      <c r="B85" s="5" t="s">
        <v>592</v>
      </c>
      <c r="C85" s="5" t="s">
        <v>592</v>
      </c>
      <c r="D85" t="b">
        <f t="shared" si="2"/>
        <v>0</v>
      </c>
    </row>
    <row r="86" spans="1:4" x14ac:dyDescent="0.25">
      <c r="A86" s="5" t="s">
        <v>23</v>
      </c>
      <c r="B86" s="5" t="s">
        <v>653</v>
      </c>
      <c r="C86" s="5" t="s">
        <v>653</v>
      </c>
      <c r="D86" t="b">
        <f t="shared" si="2"/>
        <v>0</v>
      </c>
    </row>
    <row r="87" spans="1:4" x14ac:dyDescent="0.25">
      <c r="A87" s="5" t="s">
        <v>23</v>
      </c>
      <c r="B87" s="5" t="s">
        <v>654</v>
      </c>
      <c r="C87" s="5" t="s">
        <v>654</v>
      </c>
      <c r="D87" t="b">
        <f t="shared" si="2"/>
        <v>0</v>
      </c>
    </row>
    <row r="88" spans="1:4" x14ac:dyDescent="0.25">
      <c r="A88" s="5" t="s">
        <v>23</v>
      </c>
      <c r="B88" s="5" t="s">
        <v>655</v>
      </c>
      <c r="C88" s="5" t="s">
        <v>655</v>
      </c>
      <c r="D88" t="b">
        <f t="shared" si="2"/>
        <v>0</v>
      </c>
    </row>
    <row r="89" spans="1:4" x14ac:dyDescent="0.25">
      <c r="A89" s="5" t="s">
        <v>23</v>
      </c>
      <c r="B89" s="5" t="s">
        <v>656</v>
      </c>
      <c r="C89" s="5" t="s">
        <v>656</v>
      </c>
      <c r="D89" t="b">
        <f t="shared" si="2"/>
        <v>0</v>
      </c>
    </row>
    <row r="90" spans="1:4" x14ac:dyDescent="0.25">
      <c r="A90" s="5" t="s">
        <v>615</v>
      </c>
      <c r="B90" s="5" t="s">
        <v>60</v>
      </c>
      <c r="C90" s="5" t="s">
        <v>1317</v>
      </c>
      <c r="D90" t="b">
        <f t="shared" si="2"/>
        <v>1</v>
      </c>
    </row>
    <row r="91" spans="1:4" x14ac:dyDescent="0.25">
      <c r="A91" s="5" t="s">
        <v>615</v>
      </c>
      <c r="B91" s="5" t="s">
        <v>657</v>
      </c>
      <c r="C91" s="5" t="s">
        <v>657</v>
      </c>
      <c r="D91" t="b">
        <f t="shared" si="2"/>
        <v>0</v>
      </c>
    </row>
    <row r="92" spans="1:4" x14ac:dyDescent="0.25">
      <c r="A92" s="5" t="s">
        <v>615</v>
      </c>
      <c r="B92" s="5" t="s">
        <v>1681</v>
      </c>
      <c r="C92" s="5" t="s">
        <v>1681</v>
      </c>
      <c r="D92" t="b">
        <f t="shared" si="2"/>
        <v>0</v>
      </c>
    </row>
    <row r="93" spans="1:4" x14ac:dyDescent="0.25">
      <c r="A93" s="5" t="s">
        <v>615</v>
      </c>
      <c r="B93" s="5" t="s">
        <v>659</v>
      </c>
      <c r="C93" s="5" t="s">
        <v>659</v>
      </c>
      <c r="D93" t="b">
        <f t="shared" si="2"/>
        <v>0</v>
      </c>
    </row>
    <row r="94" spans="1:4" x14ac:dyDescent="0.25">
      <c r="A94" s="5" t="s">
        <v>615</v>
      </c>
      <c r="B94" s="5" t="s">
        <v>660</v>
      </c>
      <c r="C94" s="5" t="s">
        <v>660</v>
      </c>
      <c r="D94" t="b">
        <f t="shared" si="2"/>
        <v>0</v>
      </c>
    </row>
    <row r="95" spans="1:4" x14ac:dyDescent="0.25">
      <c r="A95" s="5" t="s">
        <v>615</v>
      </c>
      <c r="B95" s="5" t="s">
        <v>661</v>
      </c>
      <c r="C95" s="5" t="s">
        <v>661</v>
      </c>
      <c r="D95" t="b">
        <f t="shared" si="2"/>
        <v>0</v>
      </c>
    </row>
    <row r="96" spans="1:4" x14ac:dyDescent="0.25">
      <c r="A96" s="5" t="s">
        <v>615</v>
      </c>
      <c r="B96" s="5" t="s">
        <v>662</v>
      </c>
      <c r="C96" s="5" t="s">
        <v>662</v>
      </c>
      <c r="D96" t="b">
        <f t="shared" si="2"/>
        <v>0</v>
      </c>
    </row>
    <row r="97" spans="1:4" x14ac:dyDescent="0.25">
      <c r="A97" s="5" t="s">
        <v>615</v>
      </c>
      <c r="B97" s="5" t="s">
        <v>217</v>
      </c>
      <c r="C97" s="5" t="s">
        <v>217</v>
      </c>
      <c r="D97" t="b">
        <f t="shared" si="2"/>
        <v>0</v>
      </c>
    </row>
    <row r="98" spans="1:4" x14ac:dyDescent="0.25">
      <c r="A98" s="5" t="s">
        <v>615</v>
      </c>
      <c r="B98" s="5" t="s">
        <v>97</v>
      </c>
      <c r="C98" s="5" t="s">
        <v>97</v>
      </c>
      <c r="D98" t="b">
        <f t="shared" si="2"/>
        <v>0</v>
      </c>
    </row>
    <row r="99" spans="1:4" x14ac:dyDescent="0.25">
      <c r="A99" s="5" t="s">
        <v>615</v>
      </c>
      <c r="B99" s="5" t="s">
        <v>98</v>
      </c>
      <c r="C99" s="5" t="s">
        <v>98</v>
      </c>
      <c r="D99" t="b">
        <f t="shared" si="2"/>
        <v>0</v>
      </c>
    </row>
    <row r="100" spans="1:4" x14ac:dyDescent="0.25">
      <c r="A100" s="5" t="s">
        <v>615</v>
      </c>
      <c r="B100" s="5" t="s">
        <v>663</v>
      </c>
      <c r="C100" s="5" t="s">
        <v>663</v>
      </c>
      <c r="D100" t="b">
        <f t="shared" si="2"/>
        <v>0</v>
      </c>
    </row>
    <row r="101" spans="1:4" x14ac:dyDescent="0.25">
      <c r="A101" s="5" t="s">
        <v>615</v>
      </c>
      <c r="B101" s="5" t="s">
        <v>210</v>
      </c>
      <c r="C101" s="5" t="s">
        <v>210</v>
      </c>
      <c r="D101" t="b">
        <f t="shared" si="2"/>
        <v>0</v>
      </c>
    </row>
    <row r="102" spans="1:4" x14ac:dyDescent="0.25">
      <c r="A102" s="5" t="s">
        <v>615</v>
      </c>
      <c r="B102" s="5" t="s">
        <v>664</v>
      </c>
      <c r="C102" s="5" t="s">
        <v>664</v>
      </c>
      <c r="D102" t="b">
        <f t="shared" si="2"/>
        <v>0</v>
      </c>
    </row>
  </sheetData>
  <mergeCells count="1">
    <mergeCell ref="A1:G1"/>
  </mergeCells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notContainsText" priority="1" operator="notContains" id="{7C72568E-9962-4780-8E49-C0B101948306}">
            <xm:f>ISERROR(SEARCH(C3,B3))</xm:f>
            <xm:f>C3</xm:f>
            <x14:dxf>
              <fill>
                <patternFill>
                  <bgColor theme="5" tint="0.39994506668294322"/>
                </patternFill>
              </fill>
            </x14:dxf>
          </x14:cfRule>
          <xm:sqref>B3:B102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F4074-238F-4E68-9DAA-CBE3D5952917}">
  <sheetPr codeName="Planilha17"/>
  <dimension ref="A1:G102"/>
  <sheetViews>
    <sheetView topLeftCell="A82" workbookViewId="0">
      <selection activeCell="C95" sqref="C95"/>
    </sheetView>
  </sheetViews>
  <sheetFormatPr defaultRowHeight="15" x14ac:dyDescent="0.25"/>
  <cols>
    <col min="1" max="1" width="11.85546875" style="5" customWidth="1"/>
    <col min="2" max="3" width="38.7109375" customWidth="1"/>
    <col min="4" max="4" width="10.28515625" hidden="1" customWidth="1"/>
    <col min="5" max="5" width="4.28515625" customWidth="1"/>
    <col min="6" max="6" width="22.7109375" style="3" customWidth="1"/>
    <col min="7" max="7" width="9.140625" bestFit="1" customWidth="1"/>
  </cols>
  <sheetData>
    <row r="1" spans="1:7" ht="21" x14ac:dyDescent="0.25">
      <c r="A1" s="12" t="s">
        <v>4</v>
      </c>
      <c r="B1" s="12"/>
      <c r="C1" s="12"/>
      <c r="D1" s="12"/>
      <c r="E1" s="12"/>
      <c r="F1" s="12"/>
      <c r="G1" s="12"/>
    </row>
    <row r="2" spans="1:7" x14ac:dyDescent="0.25">
      <c r="A2" s="4" t="s">
        <v>11</v>
      </c>
      <c r="B2" s="4" t="s">
        <v>12</v>
      </c>
      <c r="C2" s="4" t="s">
        <v>13</v>
      </c>
      <c r="D2" s="4" t="s">
        <v>14</v>
      </c>
      <c r="F2" s="4" t="s">
        <v>16</v>
      </c>
      <c r="G2" s="3">
        <f>COUNTIF(D:D,"Verdadeiro")</f>
        <v>6</v>
      </c>
    </row>
    <row r="3" spans="1:7" x14ac:dyDescent="0.25">
      <c r="A3" s="9" t="s">
        <v>1539</v>
      </c>
      <c r="B3" s="5" t="s">
        <v>1552</v>
      </c>
      <c r="C3" s="5" t="s">
        <v>1552</v>
      </c>
      <c r="D3" t="b">
        <f>B3&lt;&gt;C3</f>
        <v>0</v>
      </c>
      <c r="F3" s="4" t="s">
        <v>17</v>
      </c>
      <c r="G3" s="10">
        <f>SUM(G5:G29)</f>
        <v>100</v>
      </c>
    </row>
    <row r="4" spans="1:7" x14ac:dyDescent="0.25">
      <c r="A4" t="s">
        <v>15</v>
      </c>
      <c r="B4" s="5" t="s">
        <v>665</v>
      </c>
      <c r="C4" s="5" t="s">
        <v>665</v>
      </c>
      <c r="D4" t="b">
        <f>B4&lt;&gt;C4</f>
        <v>0</v>
      </c>
    </row>
    <row r="5" spans="1:7" x14ac:dyDescent="0.25">
      <c r="A5" t="s">
        <v>15</v>
      </c>
      <c r="B5" s="5" t="s">
        <v>45</v>
      </c>
      <c r="C5" s="5" t="s">
        <v>45</v>
      </c>
      <c r="D5" t="b">
        <f t="shared" ref="D5:D67" si="0">B5&lt;&gt;C5</f>
        <v>0</v>
      </c>
      <c r="F5" s="6" t="s">
        <v>19</v>
      </c>
      <c r="G5" s="1"/>
    </row>
    <row r="6" spans="1:7" x14ac:dyDescent="0.25">
      <c r="A6" t="s">
        <v>15</v>
      </c>
      <c r="B6" s="5" t="s">
        <v>34</v>
      </c>
      <c r="C6" s="5" t="s">
        <v>34</v>
      </c>
      <c r="D6" t="b">
        <f t="shared" si="0"/>
        <v>0</v>
      </c>
      <c r="F6" s="7" t="s">
        <v>1539</v>
      </c>
      <c r="G6" s="2">
        <f t="shared" ref="G6:G14" si="1">COUNTIF(A:A,F6)</f>
        <v>1</v>
      </c>
    </row>
    <row r="7" spans="1:7" x14ac:dyDescent="0.25">
      <c r="A7" t="s">
        <v>15</v>
      </c>
      <c r="B7" s="5" t="s">
        <v>20</v>
      </c>
      <c r="C7" s="5" t="s">
        <v>20</v>
      </c>
      <c r="D7" t="b">
        <f t="shared" si="0"/>
        <v>0</v>
      </c>
      <c r="F7" s="3" t="s">
        <v>15</v>
      </c>
      <c r="G7" s="2">
        <f t="shared" si="1"/>
        <v>36</v>
      </c>
    </row>
    <row r="8" spans="1:7" x14ac:dyDescent="0.25">
      <c r="A8" t="s">
        <v>15</v>
      </c>
      <c r="B8" s="5" t="s">
        <v>43</v>
      </c>
      <c r="C8" s="5" t="s">
        <v>43</v>
      </c>
      <c r="D8" t="b">
        <f t="shared" si="0"/>
        <v>0</v>
      </c>
      <c r="F8" s="7" t="s">
        <v>21</v>
      </c>
      <c r="G8" s="2">
        <f t="shared" si="1"/>
        <v>11</v>
      </c>
    </row>
    <row r="9" spans="1:7" x14ac:dyDescent="0.25">
      <c r="A9" t="s">
        <v>15</v>
      </c>
      <c r="B9" s="5" t="s">
        <v>465</v>
      </c>
      <c r="C9" s="5" t="s">
        <v>465</v>
      </c>
      <c r="D9" t="b">
        <f t="shared" si="0"/>
        <v>0</v>
      </c>
      <c r="F9" s="7" t="s">
        <v>22</v>
      </c>
      <c r="G9" s="2">
        <f t="shared" si="1"/>
        <v>11</v>
      </c>
    </row>
    <row r="10" spans="1:7" x14ac:dyDescent="0.25">
      <c r="A10" t="s">
        <v>15</v>
      </c>
      <c r="B10" s="5" t="s">
        <v>235</v>
      </c>
      <c r="C10" s="5" t="s">
        <v>235</v>
      </c>
      <c r="D10" t="b">
        <f t="shared" si="0"/>
        <v>0</v>
      </c>
      <c r="F10" s="7" t="s">
        <v>667</v>
      </c>
      <c r="G10" s="2">
        <f t="shared" si="1"/>
        <v>12</v>
      </c>
    </row>
    <row r="11" spans="1:7" x14ac:dyDescent="0.25">
      <c r="A11" t="s">
        <v>15</v>
      </c>
      <c r="B11" s="5" t="s">
        <v>167</v>
      </c>
      <c r="C11" s="5" t="s">
        <v>167</v>
      </c>
      <c r="D11" t="b">
        <f t="shared" si="0"/>
        <v>0</v>
      </c>
      <c r="F11" s="7" t="s">
        <v>669</v>
      </c>
      <c r="G11" s="2">
        <f t="shared" si="1"/>
        <v>0</v>
      </c>
    </row>
    <row r="12" spans="1:7" x14ac:dyDescent="0.25">
      <c r="A12" t="s">
        <v>15</v>
      </c>
      <c r="B12" s="5" t="s">
        <v>668</v>
      </c>
      <c r="C12" s="5" t="s">
        <v>668</v>
      </c>
      <c r="D12" t="b">
        <f t="shared" si="0"/>
        <v>0</v>
      </c>
      <c r="F12" s="7" t="s">
        <v>44</v>
      </c>
      <c r="G12" s="2">
        <f t="shared" si="1"/>
        <v>14</v>
      </c>
    </row>
    <row r="13" spans="1:7" x14ac:dyDescent="0.25">
      <c r="A13" t="s">
        <v>15</v>
      </c>
      <c r="B13" s="5" t="s">
        <v>163</v>
      </c>
      <c r="C13" s="5" t="s">
        <v>163</v>
      </c>
      <c r="D13" t="b">
        <f t="shared" si="0"/>
        <v>0</v>
      </c>
      <c r="F13" s="7" t="s">
        <v>160</v>
      </c>
      <c r="G13" s="2">
        <f t="shared" si="1"/>
        <v>7</v>
      </c>
    </row>
    <row r="14" spans="1:7" x14ac:dyDescent="0.25">
      <c r="A14" t="s">
        <v>15</v>
      </c>
      <c r="B14" s="5" t="s">
        <v>229</v>
      </c>
      <c r="C14" s="5" t="s">
        <v>229</v>
      </c>
      <c r="D14" t="b">
        <f t="shared" si="0"/>
        <v>0</v>
      </c>
      <c r="F14" s="7" t="s">
        <v>164</v>
      </c>
      <c r="G14" s="2">
        <f t="shared" si="1"/>
        <v>8</v>
      </c>
    </row>
    <row r="15" spans="1:7" x14ac:dyDescent="0.25">
      <c r="A15" t="s">
        <v>15</v>
      </c>
      <c r="B15" s="5" t="s">
        <v>219</v>
      </c>
      <c r="C15" s="5" t="s">
        <v>219</v>
      </c>
      <c r="D15" t="b">
        <f t="shared" si="0"/>
        <v>0</v>
      </c>
    </row>
    <row r="16" spans="1:7" x14ac:dyDescent="0.25">
      <c r="A16" t="s">
        <v>15</v>
      </c>
      <c r="B16" s="5" t="s">
        <v>1688</v>
      </c>
      <c r="C16" s="5" t="s">
        <v>1688</v>
      </c>
      <c r="D16" t="b">
        <f t="shared" si="0"/>
        <v>0</v>
      </c>
    </row>
    <row r="17" spans="1:7" x14ac:dyDescent="0.25">
      <c r="A17" t="s">
        <v>15</v>
      </c>
      <c r="B17" s="5" t="s">
        <v>1687</v>
      </c>
      <c r="C17" s="5" t="s">
        <v>1687</v>
      </c>
      <c r="D17" t="b">
        <f t="shared" si="0"/>
        <v>0</v>
      </c>
      <c r="F17" s="4"/>
      <c r="G17" s="2"/>
    </row>
    <row r="18" spans="1:7" x14ac:dyDescent="0.25">
      <c r="A18" t="s">
        <v>15</v>
      </c>
      <c r="B18" s="5" t="s">
        <v>670</v>
      </c>
      <c r="C18" s="5" t="s">
        <v>670</v>
      </c>
      <c r="D18" t="b">
        <f t="shared" si="0"/>
        <v>0</v>
      </c>
      <c r="F18" s="4"/>
      <c r="G18" s="2"/>
    </row>
    <row r="19" spans="1:7" x14ac:dyDescent="0.25">
      <c r="A19" t="s">
        <v>15</v>
      </c>
      <c r="B19" s="5" t="s">
        <v>221</v>
      </c>
      <c r="C19" s="5" t="s">
        <v>221</v>
      </c>
      <c r="D19" t="b">
        <f t="shared" si="0"/>
        <v>0</v>
      </c>
    </row>
    <row r="20" spans="1:7" x14ac:dyDescent="0.25">
      <c r="A20" t="s">
        <v>15</v>
      </c>
      <c r="B20" s="5" t="s">
        <v>1686</v>
      </c>
      <c r="C20" s="5" t="s">
        <v>1686</v>
      </c>
      <c r="D20" t="b">
        <f t="shared" si="0"/>
        <v>0</v>
      </c>
    </row>
    <row r="21" spans="1:7" x14ac:dyDescent="0.25">
      <c r="A21" t="s">
        <v>15</v>
      </c>
      <c r="B21" s="5" t="s">
        <v>706</v>
      </c>
      <c r="C21" s="5" t="s">
        <v>706</v>
      </c>
      <c r="D21" t="b">
        <f t="shared" si="0"/>
        <v>0</v>
      </c>
    </row>
    <row r="22" spans="1:7" x14ac:dyDescent="0.25">
      <c r="A22" t="s">
        <v>15</v>
      </c>
      <c r="B22" s="5" t="s">
        <v>671</v>
      </c>
      <c r="C22" s="5" t="s">
        <v>671</v>
      </c>
      <c r="D22" t="b">
        <f t="shared" si="0"/>
        <v>0</v>
      </c>
    </row>
    <row r="23" spans="1:7" x14ac:dyDescent="0.25">
      <c r="A23" t="s">
        <v>15</v>
      </c>
      <c r="B23" s="5" t="s">
        <v>39</v>
      </c>
      <c r="C23" s="5" t="s">
        <v>39</v>
      </c>
      <c r="D23" t="b">
        <f t="shared" si="0"/>
        <v>0</v>
      </c>
    </row>
    <row r="24" spans="1:7" x14ac:dyDescent="0.25">
      <c r="A24" t="s">
        <v>15</v>
      </c>
      <c r="B24" s="5" t="s">
        <v>172</v>
      </c>
      <c r="C24" s="5" t="s">
        <v>2095</v>
      </c>
      <c r="D24" t="b">
        <f t="shared" si="0"/>
        <v>1</v>
      </c>
    </row>
    <row r="25" spans="1:7" x14ac:dyDescent="0.25">
      <c r="A25" t="s">
        <v>15</v>
      </c>
      <c r="B25" s="5" t="s">
        <v>172</v>
      </c>
      <c r="C25" s="5" t="s">
        <v>1451</v>
      </c>
      <c r="D25" t="b">
        <f t="shared" si="0"/>
        <v>1</v>
      </c>
    </row>
    <row r="26" spans="1:7" x14ac:dyDescent="0.25">
      <c r="A26" t="s">
        <v>15</v>
      </c>
      <c r="B26" s="5" t="s">
        <v>172</v>
      </c>
      <c r="C26" s="5" t="s">
        <v>172</v>
      </c>
      <c r="D26" t="b">
        <f t="shared" si="0"/>
        <v>0</v>
      </c>
    </row>
    <row r="27" spans="1:7" x14ac:dyDescent="0.25">
      <c r="A27" t="s">
        <v>15</v>
      </c>
      <c r="B27" s="5" t="s">
        <v>172</v>
      </c>
      <c r="C27" s="5" t="s">
        <v>172</v>
      </c>
      <c r="D27" t="b">
        <f t="shared" si="0"/>
        <v>0</v>
      </c>
    </row>
    <row r="28" spans="1:7" x14ac:dyDescent="0.25">
      <c r="A28" t="s">
        <v>15</v>
      </c>
      <c r="B28" s="5" t="s">
        <v>172</v>
      </c>
      <c r="C28" s="5" t="s">
        <v>172</v>
      </c>
      <c r="D28" t="b">
        <f t="shared" si="0"/>
        <v>0</v>
      </c>
    </row>
    <row r="29" spans="1:7" x14ac:dyDescent="0.25">
      <c r="A29" t="s">
        <v>15</v>
      </c>
      <c r="B29" s="5" t="s">
        <v>172</v>
      </c>
      <c r="C29" s="5" t="s">
        <v>172</v>
      </c>
      <c r="D29" t="b">
        <f t="shared" si="0"/>
        <v>0</v>
      </c>
    </row>
    <row r="30" spans="1:7" x14ac:dyDescent="0.25">
      <c r="A30" t="s">
        <v>15</v>
      </c>
      <c r="B30" s="5" t="s">
        <v>172</v>
      </c>
      <c r="C30" s="5" t="s">
        <v>172</v>
      </c>
      <c r="D30" t="b">
        <f t="shared" si="0"/>
        <v>0</v>
      </c>
    </row>
    <row r="31" spans="1:7" x14ac:dyDescent="0.25">
      <c r="A31" t="s">
        <v>15</v>
      </c>
      <c r="B31" s="5" t="s">
        <v>60</v>
      </c>
      <c r="C31" s="5" t="s">
        <v>60</v>
      </c>
      <c r="D31" t="b">
        <f t="shared" si="0"/>
        <v>0</v>
      </c>
    </row>
    <row r="32" spans="1:7" x14ac:dyDescent="0.25">
      <c r="A32" t="s">
        <v>15</v>
      </c>
      <c r="B32" s="5" t="s">
        <v>60</v>
      </c>
      <c r="C32" s="5" t="s">
        <v>60</v>
      </c>
      <c r="D32" t="b">
        <f t="shared" si="0"/>
        <v>0</v>
      </c>
    </row>
    <row r="33" spans="1:4" x14ac:dyDescent="0.25">
      <c r="A33" t="s">
        <v>15</v>
      </c>
      <c r="B33" s="5" t="s">
        <v>60</v>
      </c>
      <c r="C33" s="5" t="s">
        <v>60</v>
      </c>
      <c r="D33" t="b">
        <f t="shared" si="0"/>
        <v>0</v>
      </c>
    </row>
    <row r="34" spans="1:4" x14ac:dyDescent="0.25">
      <c r="A34" t="s">
        <v>15</v>
      </c>
      <c r="B34" s="5" t="s">
        <v>60</v>
      </c>
      <c r="C34" s="5" t="s">
        <v>60</v>
      </c>
      <c r="D34" t="b">
        <f t="shared" si="0"/>
        <v>0</v>
      </c>
    </row>
    <row r="35" spans="1:4" x14ac:dyDescent="0.25">
      <c r="A35" t="s">
        <v>15</v>
      </c>
      <c r="B35" s="5" t="s">
        <v>60</v>
      </c>
      <c r="C35" s="5" t="s">
        <v>60</v>
      </c>
      <c r="D35" t="b">
        <f t="shared" si="0"/>
        <v>0</v>
      </c>
    </row>
    <row r="36" spans="1:4" x14ac:dyDescent="0.25">
      <c r="A36" t="s">
        <v>15</v>
      </c>
      <c r="B36" s="5" t="s">
        <v>61</v>
      </c>
      <c r="C36" s="5" t="s">
        <v>61</v>
      </c>
      <c r="D36" t="b">
        <f t="shared" si="0"/>
        <v>0</v>
      </c>
    </row>
    <row r="37" spans="1:4" x14ac:dyDescent="0.25">
      <c r="A37" t="s">
        <v>15</v>
      </c>
      <c r="B37" s="5" t="s">
        <v>61</v>
      </c>
      <c r="C37" s="5" t="s">
        <v>61</v>
      </c>
      <c r="D37" t="b">
        <f t="shared" si="0"/>
        <v>0</v>
      </c>
    </row>
    <row r="38" spans="1:4" x14ac:dyDescent="0.25">
      <c r="A38" t="s">
        <v>15</v>
      </c>
      <c r="B38" s="5" t="s">
        <v>61</v>
      </c>
      <c r="C38" s="5" t="s">
        <v>61</v>
      </c>
      <c r="D38" t="b">
        <f t="shared" si="0"/>
        <v>0</v>
      </c>
    </row>
    <row r="39" spans="1:4" x14ac:dyDescent="0.25">
      <c r="A39" t="s">
        <v>15</v>
      </c>
      <c r="B39" s="5" t="s">
        <v>61</v>
      </c>
      <c r="C39" s="5" t="s">
        <v>61</v>
      </c>
      <c r="D39" t="b">
        <f t="shared" si="0"/>
        <v>0</v>
      </c>
    </row>
    <row r="40" spans="1:4" x14ac:dyDescent="0.25">
      <c r="A40" t="s">
        <v>21</v>
      </c>
      <c r="B40" s="5" t="s">
        <v>173</v>
      </c>
      <c r="C40" s="5" t="s">
        <v>173</v>
      </c>
      <c r="D40" t="b">
        <f t="shared" si="0"/>
        <v>0</v>
      </c>
    </row>
    <row r="41" spans="1:4" x14ac:dyDescent="0.25">
      <c r="A41" t="s">
        <v>21</v>
      </c>
      <c r="B41" s="5" t="s">
        <v>175</v>
      </c>
      <c r="C41" s="5" t="s">
        <v>175</v>
      </c>
      <c r="D41" t="b">
        <f t="shared" si="0"/>
        <v>0</v>
      </c>
    </row>
    <row r="42" spans="1:4" x14ac:dyDescent="0.25">
      <c r="A42" t="s">
        <v>21</v>
      </c>
      <c r="B42" s="5" t="s">
        <v>467</v>
      </c>
      <c r="C42" s="5" t="s">
        <v>467</v>
      </c>
      <c r="D42" t="b">
        <f t="shared" si="0"/>
        <v>0</v>
      </c>
    </row>
    <row r="43" spans="1:4" x14ac:dyDescent="0.25">
      <c r="A43" t="s">
        <v>21</v>
      </c>
      <c r="B43" s="5" t="s">
        <v>466</v>
      </c>
      <c r="C43" s="5" t="s">
        <v>466</v>
      </c>
      <c r="D43" t="b">
        <f t="shared" si="0"/>
        <v>0</v>
      </c>
    </row>
    <row r="44" spans="1:4" x14ac:dyDescent="0.25">
      <c r="A44" t="s">
        <v>21</v>
      </c>
      <c r="B44" s="5" t="s">
        <v>174</v>
      </c>
      <c r="C44" s="5" t="s">
        <v>174</v>
      </c>
      <c r="D44" t="b">
        <f t="shared" si="0"/>
        <v>0</v>
      </c>
    </row>
    <row r="45" spans="1:4" x14ac:dyDescent="0.25">
      <c r="A45" t="s">
        <v>21</v>
      </c>
      <c r="B45" s="5" t="s">
        <v>672</v>
      </c>
      <c r="C45" s="5" t="s">
        <v>672</v>
      </c>
      <c r="D45" t="b">
        <f t="shared" si="0"/>
        <v>0</v>
      </c>
    </row>
    <row r="46" spans="1:4" x14ac:dyDescent="0.25">
      <c r="A46" t="s">
        <v>21</v>
      </c>
      <c r="B46" s="5" t="s">
        <v>178</v>
      </c>
      <c r="C46" s="5" t="s">
        <v>178</v>
      </c>
      <c r="D46" t="b">
        <f t="shared" si="0"/>
        <v>0</v>
      </c>
    </row>
    <row r="47" spans="1:4" x14ac:dyDescent="0.25">
      <c r="A47" t="s">
        <v>21</v>
      </c>
      <c r="B47" s="5" t="s">
        <v>181</v>
      </c>
      <c r="C47" s="5" t="s">
        <v>181</v>
      </c>
      <c r="D47" t="b">
        <f t="shared" si="0"/>
        <v>0</v>
      </c>
    </row>
    <row r="48" spans="1:4" x14ac:dyDescent="0.25">
      <c r="A48" t="s">
        <v>21</v>
      </c>
      <c r="B48" s="5" t="s">
        <v>179</v>
      </c>
      <c r="C48" s="5" t="s">
        <v>179</v>
      </c>
      <c r="D48" t="b">
        <f t="shared" si="0"/>
        <v>0</v>
      </c>
    </row>
    <row r="49" spans="1:6" x14ac:dyDescent="0.25">
      <c r="A49" t="s">
        <v>21</v>
      </c>
      <c r="B49" s="5" t="s">
        <v>673</v>
      </c>
      <c r="C49" s="5" t="s">
        <v>673</v>
      </c>
      <c r="D49" t="b">
        <f t="shared" si="0"/>
        <v>0</v>
      </c>
    </row>
    <row r="50" spans="1:6" x14ac:dyDescent="0.25">
      <c r="A50" t="s">
        <v>22</v>
      </c>
      <c r="B50" s="5" t="s">
        <v>675</v>
      </c>
      <c r="C50" s="5" t="s">
        <v>675</v>
      </c>
      <c r="D50" t="b">
        <f t="shared" si="0"/>
        <v>0</v>
      </c>
    </row>
    <row r="51" spans="1:6" x14ac:dyDescent="0.25">
      <c r="A51" t="s">
        <v>22</v>
      </c>
      <c r="B51" s="5" t="s">
        <v>72</v>
      </c>
      <c r="C51" s="5" t="s">
        <v>72</v>
      </c>
      <c r="D51" t="b">
        <f t="shared" si="0"/>
        <v>0</v>
      </c>
    </row>
    <row r="52" spans="1:6" x14ac:dyDescent="0.25">
      <c r="A52" t="s">
        <v>22</v>
      </c>
      <c r="B52" s="5" t="s">
        <v>676</v>
      </c>
      <c r="C52" s="5" t="s">
        <v>676</v>
      </c>
      <c r="D52" t="b">
        <f t="shared" si="0"/>
        <v>0</v>
      </c>
      <c r="F52"/>
    </row>
    <row r="53" spans="1:6" x14ac:dyDescent="0.25">
      <c r="A53" t="s">
        <v>22</v>
      </c>
      <c r="B53" s="5" t="s">
        <v>1315</v>
      </c>
      <c r="C53" s="5" t="s">
        <v>1315</v>
      </c>
      <c r="D53" t="b">
        <f t="shared" si="0"/>
        <v>0</v>
      </c>
    </row>
    <row r="54" spans="1:6" x14ac:dyDescent="0.25">
      <c r="A54" t="s">
        <v>22</v>
      </c>
      <c r="B54" s="5" t="s">
        <v>475</v>
      </c>
      <c r="C54" s="5" t="s">
        <v>475</v>
      </c>
      <c r="D54" t="b">
        <f t="shared" si="0"/>
        <v>0</v>
      </c>
    </row>
    <row r="55" spans="1:6" x14ac:dyDescent="0.25">
      <c r="A55" t="s">
        <v>22</v>
      </c>
      <c r="B55" s="5" t="s">
        <v>1685</v>
      </c>
      <c r="C55" s="5" t="s">
        <v>1685</v>
      </c>
      <c r="D55" t="b">
        <f t="shared" si="0"/>
        <v>0</v>
      </c>
    </row>
    <row r="56" spans="1:6" x14ac:dyDescent="0.25">
      <c r="A56" t="s">
        <v>22</v>
      </c>
      <c r="B56" s="5" t="s">
        <v>478</v>
      </c>
      <c r="C56" s="5" t="s">
        <v>478</v>
      </c>
      <c r="D56" t="b">
        <f t="shared" si="0"/>
        <v>0</v>
      </c>
    </row>
    <row r="57" spans="1:6" x14ac:dyDescent="0.25">
      <c r="A57" t="s">
        <v>22</v>
      </c>
      <c r="B57" s="5" t="s">
        <v>1944</v>
      </c>
      <c r="C57" s="5" t="s">
        <v>1944</v>
      </c>
      <c r="D57" t="b">
        <f t="shared" si="0"/>
        <v>0</v>
      </c>
    </row>
    <row r="58" spans="1:6" x14ac:dyDescent="0.25">
      <c r="A58" t="s">
        <v>22</v>
      </c>
      <c r="B58" s="5" t="s">
        <v>476</v>
      </c>
      <c r="C58" s="5" t="s">
        <v>476</v>
      </c>
      <c r="D58" t="b">
        <f t="shared" si="0"/>
        <v>0</v>
      </c>
    </row>
    <row r="59" spans="1:6" x14ac:dyDescent="0.25">
      <c r="A59" t="s">
        <v>22</v>
      </c>
      <c r="B59" s="5" t="s">
        <v>677</v>
      </c>
      <c r="C59" s="5" t="s">
        <v>677</v>
      </c>
      <c r="D59" t="b">
        <f t="shared" si="0"/>
        <v>0</v>
      </c>
    </row>
    <row r="60" spans="1:6" x14ac:dyDescent="0.25">
      <c r="A60" t="s">
        <v>22</v>
      </c>
      <c r="B60" s="5" t="s">
        <v>1237</v>
      </c>
      <c r="C60" s="5" t="s">
        <v>1237</v>
      </c>
      <c r="D60" t="b">
        <f t="shared" si="0"/>
        <v>0</v>
      </c>
    </row>
    <row r="61" spans="1:6" x14ac:dyDescent="0.25">
      <c r="A61" t="s">
        <v>667</v>
      </c>
      <c r="B61" s="5" t="s">
        <v>674</v>
      </c>
      <c r="C61" s="5" t="s">
        <v>674</v>
      </c>
      <c r="D61" t="b">
        <f>B61&lt;&gt;C61</f>
        <v>0</v>
      </c>
    </row>
    <row r="62" spans="1:6" x14ac:dyDescent="0.25">
      <c r="A62" t="s">
        <v>667</v>
      </c>
      <c r="B62" s="5" t="s">
        <v>1287</v>
      </c>
      <c r="C62" s="5" t="s">
        <v>1287</v>
      </c>
      <c r="D62" t="b">
        <f t="shared" si="0"/>
        <v>0</v>
      </c>
    </row>
    <row r="63" spans="1:6" x14ac:dyDescent="0.25">
      <c r="A63" t="s">
        <v>667</v>
      </c>
      <c r="B63" s="5" t="s">
        <v>678</v>
      </c>
      <c r="C63" s="5" t="s">
        <v>678</v>
      </c>
      <c r="D63" t="b">
        <f t="shared" si="0"/>
        <v>0</v>
      </c>
    </row>
    <row r="64" spans="1:6" x14ac:dyDescent="0.25">
      <c r="A64" t="s">
        <v>667</v>
      </c>
      <c r="B64" s="5" t="s">
        <v>679</v>
      </c>
      <c r="C64" s="5" t="s">
        <v>679</v>
      </c>
      <c r="D64" t="b">
        <f t="shared" si="0"/>
        <v>0</v>
      </c>
    </row>
    <row r="65" spans="1:4" x14ac:dyDescent="0.25">
      <c r="A65" t="s">
        <v>667</v>
      </c>
      <c r="B65" s="5" t="s">
        <v>2212</v>
      </c>
      <c r="C65" s="5" t="s">
        <v>2212</v>
      </c>
      <c r="D65" t="b">
        <f t="shared" si="0"/>
        <v>0</v>
      </c>
    </row>
    <row r="66" spans="1:4" x14ac:dyDescent="0.25">
      <c r="A66" t="s">
        <v>667</v>
      </c>
      <c r="B66" s="5" t="s">
        <v>681</v>
      </c>
      <c r="C66" s="5" t="s">
        <v>681</v>
      </c>
      <c r="D66" t="b">
        <f t="shared" si="0"/>
        <v>0</v>
      </c>
    </row>
    <row r="67" spans="1:4" x14ac:dyDescent="0.25">
      <c r="A67" t="s">
        <v>667</v>
      </c>
      <c r="B67" s="5" t="s">
        <v>311</v>
      </c>
      <c r="C67" s="5" t="s">
        <v>2214</v>
      </c>
      <c r="D67" t="b">
        <f t="shared" si="0"/>
        <v>1</v>
      </c>
    </row>
    <row r="68" spans="1:4" x14ac:dyDescent="0.25">
      <c r="A68" t="s">
        <v>667</v>
      </c>
      <c r="B68" s="5" t="s">
        <v>683</v>
      </c>
      <c r="C68" s="5" t="s">
        <v>683</v>
      </c>
      <c r="D68" t="b">
        <f t="shared" ref="D68:D102" si="2">B68&lt;&gt;C68</f>
        <v>0</v>
      </c>
    </row>
    <row r="69" spans="1:4" x14ac:dyDescent="0.25">
      <c r="A69" t="s">
        <v>667</v>
      </c>
      <c r="B69" s="5" t="s">
        <v>684</v>
      </c>
      <c r="C69" s="5" t="s">
        <v>684</v>
      </c>
      <c r="D69" t="b">
        <f t="shared" si="2"/>
        <v>0</v>
      </c>
    </row>
    <row r="70" spans="1:4" x14ac:dyDescent="0.25">
      <c r="A70" t="s">
        <v>667</v>
      </c>
      <c r="B70" s="5" t="s">
        <v>216</v>
      </c>
      <c r="C70" s="5" t="s">
        <v>216</v>
      </c>
      <c r="D70" t="b">
        <f t="shared" si="2"/>
        <v>0</v>
      </c>
    </row>
    <row r="71" spans="1:4" x14ac:dyDescent="0.25">
      <c r="A71" t="s">
        <v>667</v>
      </c>
      <c r="B71" s="5" t="s">
        <v>215</v>
      </c>
      <c r="C71" s="5" t="s">
        <v>215</v>
      </c>
      <c r="D71" t="b">
        <f t="shared" si="2"/>
        <v>0</v>
      </c>
    </row>
    <row r="72" spans="1:4" x14ac:dyDescent="0.25">
      <c r="A72" t="s">
        <v>667</v>
      </c>
      <c r="B72" s="5" t="s">
        <v>260</v>
      </c>
      <c r="C72" s="5" t="s">
        <v>260</v>
      </c>
      <c r="D72" t="b">
        <f t="shared" si="2"/>
        <v>0</v>
      </c>
    </row>
    <row r="73" spans="1:4" x14ac:dyDescent="0.25">
      <c r="A73" t="s">
        <v>44</v>
      </c>
      <c r="B73" s="5" t="s">
        <v>847</v>
      </c>
      <c r="C73" s="5" t="s">
        <v>847</v>
      </c>
      <c r="D73" t="b">
        <f t="shared" si="2"/>
        <v>0</v>
      </c>
    </row>
    <row r="74" spans="1:4" x14ac:dyDescent="0.25">
      <c r="A74" t="s">
        <v>44</v>
      </c>
      <c r="B74" s="5" t="s">
        <v>685</v>
      </c>
      <c r="C74" s="5" t="s">
        <v>685</v>
      </c>
      <c r="D74" t="b">
        <f t="shared" si="2"/>
        <v>0</v>
      </c>
    </row>
    <row r="75" spans="1:4" x14ac:dyDescent="0.25">
      <c r="A75" t="s">
        <v>44</v>
      </c>
      <c r="B75" s="5" t="s">
        <v>686</v>
      </c>
      <c r="C75" s="5" t="s">
        <v>686</v>
      </c>
      <c r="D75" t="b">
        <f t="shared" si="2"/>
        <v>0</v>
      </c>
    </row>
    <row r="76" spans="1:4" x14ac:dyDescent="0.25">
      <c r="A76" t="s">
        <v>44</v>
      </c>
      <c r="B76" s="5" t="s">
        <v>687</v>
      </c>
      <c r="C76" s="5" t="s">
        <v>687</v>
      </c>
      <c r="D76" t="b">
        <f t="shared" si="2"/>
        <v>0</v>
      </c>
    </row>
    <row r="77" spans="1:4" x14ac:dyDescent="0.25">
      <c r="A77" t="s">
        <v>44</v>
      </c>
      <c r="B77" s="5" t="s">
        <v>682</v>
      </c>
      <c r="C77" s="5" t="s">
        <v>682</v>
      </c>
      <c r="D77" t="b">
        <f t="shared" si="2"/>
        <v>0</v>
      </c>
    </row>
    <row r="78" spans="1:4" x14ac:dyDescent="0.25">
      <c r="A78" t="s">
        <v>44</v>
      </c>
      <c r="B78" s="5" t="s">
        <v>688</v>
      </c>
      <c r="C78" s="5" t="s">
        <v>688</v>
      </c>
      <c r="D78" t="b">
        <f t="shared" si="2"/>
        <v>0</v>
      </c>
    </row>
    <row r="79" spans="1:4" x14ac:dyDescent="0.25">
      <c r="A79" t="s">
        <v>44</v>
      </c>
      <c r="B79" s="5" t="s">
        <v>689</v>
      </c>
      <c r="C79" s="5" t="s">
        <v>689</v>
      </c>
      <c r="D79" t="b">
        <f t="shared" si="2"/>
        <v>0</v>
      </c>
    </row>
    <row r="80" spans="1:4" x14ac:dyDescent="0.25">
      <c r="A80" t="s">
        <v>44</v>
      </c>
      <c r="B80" s="5" t="s">
        <v>690</v>
      </c>
      <c r="C80" s="5" t="s">
        <v>690</v>
      </c>
      <c r="D80" t="b">
        <f t="shared" si="2"/>
        <v>0</v>
      </c>
    </row>
    <row r="81" spans="1:4" x14ac:dyDescent="0.25">
      <c r="A81" t="s">
        <v>44</v>
      </c>
      <c r="B81" s="5" t="s">
        <v>691</v>
      </c>
      <c r="C81" s="5" t="s">
        <v>691</v>
      </c>
      <c r="D81" t="b">
        <f t="shared" si="2"/>
        <v>0</v>
      </c>
    </row>
    <row r="82" spans="1:4" x14ac:dyDescent="0.25">
      <c r="A82" t="s">
        <v>44</v>
      </c>
      <c r="B82" s="5" t="s">
        <v>692</v>
      </c>
      <c r="C82" s="5" t="s">
        <v>692</v>
      </c>
      <c r="D82" t="b">
        <f t="shared" si="2"/>
        <v>0</v>
      </c>
    </row>
    <row r="83" spans="1:4" x14ac:dyDescent="0.25">
      <c r="A83" t="s">
        <v>44</v>
      </c>
      <c r="B83" s="5" t="s">
        <v>213</v>
      </c>
      <c r="C83" s="5" t="s">
        <v>213</v>
      </c>
      <c r="D83" t="b">
        <f t="shared" si="2"/>
        <v>0</v>
      </c>
    </row>
    <row r="84" spans="1:4" x14ac:dyDescent="0.25">
      <c r="A84" t="s">
        <v>44</v>
      </c>
      <c r="B84" s="5" t="s">
        <v>592</v>
      </c>
      <c r="C84" s="5" t="s">
        <v>592</v>
      </c>
      <c r="D84" t="b">
        <f t="shared" si="2"/>
        <v>0</v>
      </c>
    </row>
    <row r="85" spans="1:4" x14ac:dyDescent="0.25">
      <c r="A85" t="s">
        <v>44</v>
      </c>
      <c r="B85" s="5" t="s">
        <v>693</v>
      </c>
      <c r="C85" s="5" t="s">
        <v>693</v>
      </c>
      <c r="D85" t="b">
        <f t="shared" si="2"/>
        <v>0</v>
      </c>
    </row>
    <row r="86" spans="1:4" x14ac:dyDescent="0.25">
      <c r="A86" t="s">
        <v>44</v>
      </c>
      <c r="B86" s="5" t="s">
        <v>106</v>
      </c>
      <c r="C86" s="5" t="s">
        <v>106</v>
      </c>
      <c r="D86" t="b">
        <f t="shared" si="2"/>
        <v>0</v>
      </c>
    </row>
    <row r="87" spans="1:4" x14ac:dyDescent="0.25">
      <c r="A87" t="s">
        <v>164</v>
      </c>
      <c r="B87" s="5" t="s">
        <v>694</v>
      </c>
      <c r="C87" s="5" t="s">
        <v>694</v>
      </c>
      <c r="D87" t="b">
        <f t="shared" si="2"/>
        <v>0</v>
      </c>
    </row>
    <row r="88" spans="1:4" x14ac:dyDescent="0.25">
      <c r="A88" t="s">
        <v>164</v>
      </c>
      <c r="B88" s="5" t="s">
        <v>695</v>
      </c>
      <c r="C88" s="5" t="s">
        <v>695</v>
      </c>
      <c r="D88" t="b">
        <f t="shared" si="2"/>
        <v>0</v>
      </c>
    </row>
    <row r="89" spans="1:4" x14ac:dyDescent="0.25">
      <c r="A89" t="s">
        <v>164</v>
      </c>
      <c r="B89" s="5" t="s">
        <v>696</v>
      </c>
      <c r="C89" s="5" t="s">
        <v>696</v>
      </c>
      <c r="D89" t="b">
        <f t="shared" si="2"/>
        <v>0</v>
      </c>
    </row>
    <row r="90" spans="1:4" x14ac:dyDescent="0.25">
      <c r="A90" t="s">
        <v>164</v>
      </c>
      <c r="B90" s="5" t="s">
        <v>697</v>
      </c>
      <c r="C90" s="5" t="s">
        <v>1316</v>
      </c>
      <c r="D90" t="b">
        <f t="shared" si="2"/>
        <v>1</v>
      </c>
    </row>
    <row r="91" spans="1:4" x14ac:dyDescent="0.25">
      <c r="A91" t="s">
        <v>164</v>
      </c>
      <c r="B91" s="5" t="s">
        <v>698</v>
      </c>
      <c r="C91" s="5" t="s">
        <v>698</v>
      </c>
      <c r="D91" t="b">
        <f t="shared" si="2"/>
        <v>0</v>
      </c>
    </row>
    <row r="92" spans="1:4" x14ac:dyDescent="0.25">
      <c r="A92" t="s">
        <v>164</v>
      </c>
      <c r="B92" s="5" t="s">
        <v>699</v>
      </c>
      <c r="C92" s="5" t="s">
        <v>699</v>
      </c>
      <c r="D92" t="b">
        <f t="shared" si="2"/>
        <v>0</v>
      </c>
    </row>
    <row r="93" spans="1:4" x14ac:dyDescent="0.25">
      <c r="A93" t="s">
        <v>164</v>
      </c>
      <c r="B93" s="5" t="s">
        <v>700</v>
      </c>
      <c r="C93" s="5" t="s">
        <v>700</v>
      </c>
      <c r="D93" t="b">
        <f t="shared" si="2"/>
        <v>0</v>
      </c>
    </row>
    <row r="94" spans="1:4" x14ac:dyDescent="0.25">
      <c r="A94" t="s">
        <v>164</v>
      </c>
      <c r="B94" s="5" t="s">
        <v>701</v>
      </c>
      <c r="C94" s="5" t="s">
        <v>701</v>
      </c>
      <c r="D94" t="b">
        <f t="shared" si="2"/>
        <v>0</v>
      </c>
    </row>
    <row r="95" spans="1:4" x14ac:dyDescent="0.25">
      <c r="A95" t="s">
        <v>160</v>
      </c>
      <c r="B95" s="5" t="s">
        <v>1684</v>
      </c>
      <c r="C95" s="5" t="s">
        <v>1684</v>
      </c>
      <c r="D95" t="b">
        <f t="shared" si="2"/>
        <v>0</v>
      </c>
    </row>
    <row r="96" spans="1:4" x14ac:dyDescent="0.25">
      <c r="A96" t="s">
        <v>21</v>
      </c>
      <c r="B96" s="5" t="s">
        <v>680</v>
      </c>
      <c r="C96" s="5" t="s">
        <v>1947</v>
      </c>
      <c r="D96" t="b">
        <f>B96&lt;&gt;C96</f>
        <v>1</v>
      </c>
    </row>
    <row r="97" spans="1:4" x14ac:dyDescent="0.25">
      <c r="A97" t="s">
        <v>160</v>
      </c>
      <c r="B97" s="5" t="s">
        <v>702</v>
      </c>
      <c r="C97" s="5" t="s">
        <v>702</v>
      </c>
      <c r="D97" t="b">
        <f t="shared" si="2"/>
        <v>0</v>
      </c>
    </row>
    <row r="98" spans="1:4" x14ac:dyDescent="0.25">
      <c r="A98" t="s">
        <v>160</v>
      </c>
      <c r="B98" s="5" t="s">
        <v>98</v>
      </c>
      <c r="C98" s="5" t="s">
        <v>98</v>
      </c>
      <c r="D98" t="b">
        <f t="shared" si="2"/>
        <v>0</v>
      </c>
    </row>
    <row r="99" spans="1:4" x14ac:dyDescent="0.25">
      <c r="A99" t="s">
        <v>160</v>
      </c>
      <c r="B99" s="5" t="s">
        <v>97</v>
      </c>
      <c r="C99" s="5" t="s">
        <v>97</v>
      </c>
      <c r="D99" t="b">
        <f t="shared" si="2"/>
        <v>0</v>
      </c>
    </row>
    <row r="100" spans="1:4" x14ac:dyDescent="0.25">
      <c r="A100" t="s">
        <v>160</v>
      </c>
      <c r="B100" s="5" t="s">
        <v>79</v>
      </c>
      <c r="C100" s="5" t="s">
        <v>79</v>
      </c>
      <c r="D100" t="b">
        <f t="shared" si="2"/>
        <v>0</v>
      </c>
    </row>
    <row r="101" spans="1:4" x14ac:dyDescent="0.25">
      <c r="A101" t="s">
        <v>160</v>
      </c>
      <c r="B101" s="5" t="s">
        <v>1633</v>
      </c>
      <c r="C101" s="5" t="s">
        <v>2213</v>
      </c>
      <c r="D101" t="b">
        <f t="shared" si="2"/>
        <v>1</v>
      </c>
    </row>
    <row r="102" spans="1:4" x14ac:dyDescent="0.25">
      <c r="A102" t="s">
        <v>160</v>
      </c>
      <c r="B102" s="5" t="s">
        <v>703</v>
      </c>
      <c r="C102" s="5" t="s">
        <v>703</v>
      </c>
      <c r="D102" t="b">
        <f t="shared" si="2"/>
        <v>0</v>
      </c>
    </row>
  </sheetData>
  <mergeCells count="1">
    <mergeCell ref="A1:G1"/>
  </mergeCells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notContainsText" priority="1" operator="notContains" id="{F7C31516-ACE1-45DB-A2F7-608D21DC6558}">
            <xm:f>ISERROR(SEARCH(C3,B3))</xm:f>
            <xm:f>C3</xm:f>
            <x14:dxf>
              <fill>
                <patternFill>
                  <bgColor theme="5" tint="0.39994506668294322"/>
                </patternFill>
              </fill>
            </x14:dxf>
          </x14:cfRule>
          <xm:sqref>B3:B102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DEC15-FAF5-4647-9F0B-1496C83D3244}">
  <sheetPr codeName="Planilha18"/>
  <dimension ref="A1:G102"/>
  <sheetViews>
    <sheetView topLeftCell="A79" workbookViewId="0">
      <selection activeCell="C106" sqref="C106"/>
    </sheetView>
  </sheetViews>
  <sheetFormatPr defaultRowHeight="15" x14ac:dyDescent="0.25"/>
  <cols>
    <col min="1" max="1" width="11.85546875" style="5" customWidth="1"/>
    <col min="2" max="3" width="38.7109375" customWidth="1"/>
    <col min="4" max="4" width="10.28515625" hidden="1" customWidth="1"/>
    <col min="5" max="5" width="4.28515625" customWidth="1"/>
    <col min="6" max="6" width="22.7109375" style="3" customWidth="1"/>
    <col min="7" max="7" width="9.140625" bestFit="1" customWidth="1"/>
  </cols>
  <sheetData>
    <row r="1" spans="1:7" ht="21" x14ac:dyDescent="0.25">
      <c r="A1" s="12" t="s">
        <v>5</v>
      </c>
      <c r="B1" s="12"/>
      <c r="C1" s="12"/>
      <c r="D1" s="12"/>
      <c r="E1" s="12"/>
      <c r="F1" s="12"/>
      <c r="G1" s="12"/>
    </row>
    <row r="2" spans="1:7" x14ac:dyDescent="0.25">
      <c r="A2" s="4" t="s">
        <v>11</v>
      </c>
      <c r="B2" s="4" t="s">
        <v>12</v>
      </c>
      <c r="C2" s="4" t="s">
        <v>13</v>
      </c>
      <c r="D2" s="4" t="s">
        <v>14</v>
      </c>
      <c r="F2" s="4" t="s">
        <v>16</v>
      </c>
      <c r="G2" s="3">
        <f>COUNTIF(D:D,"Verdadeiro")</f>
        <v>2</v>
      </c>
    </row>
    <row r="3" spans="1:7" x14ac:dyDescent="0.25">
      <c r="A3" s="9" t="s">
        <v>1539</v>
      </c>
      <c r="B3" s="5" t="s">
        <v>1553</v>
      </c>
      <c r="C3" s="5" t="s">
        <v>1553</v>
      </c>
      <c r="D3" t="b">
        <f>B3&lt;&gt;C3</f>
        <v>0</v>
      </c>
      <c r="F3" s="4" t="s">
        <v>17</v>
      </c>
      <c r="G3" s="10">
        <f>SUM(G5:G29)</f>
        <v>100</v>
      </c>
    </row>
    <row r="4" spans="1:7" x14ac:dyDescent="0.25">
      <c r="A4" t="s">
        <v>15</v>
      </c>
      <c r="B4" s="5" t="s">
        <v>704</v>
      </c>
      <c r="C4" s="5" t="s">
        <v>704</v>
      </c>
      <c r="D4" t="b">
        <f>B4&lt;&gt;C4</f>
        <v>0</v>
      </c>
    </row>
    <row r="5" spans="1:7" x14ac:dyDescent="0.25">
      <c r="A5" t="s">
        <v>15</v>
      </c>
      <c r="B5" s="5" t="s">
        <v>2215</v>
      </c>
      <c r="C5" s="5" t="s">
        <v>2215</v>
      </c>
      <c r="D5" t="b">
        <f t="shared" ref="D5:D70" si="0">B5&lt;&gt;C5</f>
        <v>0</v>
      </c>
      <c r="F5" s="6" t="s">
        <v>19</v>
      </c>
      <c r="G5" s="1"/>
    </row>
    <row r="6" spans="1:7" x14ac:dyDescent="0.25">
      <c r="A6" t="s">
        <v>15</v>
      </c>
      <c r="B6" s="5" t="s">
        <v>705</v>
      </c>
      <c r="C6" s="5" t="s">
        <v>705</v>
      </c>
      <c r="D6" t="b">
        <f t="shared" si="0"/>
        <v>0</v>
      </c>
      <c r="F6" s="7" t="s">
        <v>1539</v>
      </c>
      <c r="G6" s="2">
        <f t="shared" ref="G6:G15" si="1">COUNTIF(A:A,F6)</f>
        <v>1</v>
      </c>
    </row>
    <row r="7" spans="1:7" x14ac:dyDescent="0.25">
      <c r="A7" t="s">
        <v>15</v>
      </c>
      <c r="B7" s="5" t="s">
        <v>20</v>
      </c>
      <c r="C7" s="5" t="s">
        <v>20</v>
      </c>
      <c r="D7" t="b">
        <f t="shared" si="0"/>
        <v>0</v>
      </c>
      <c r="F7" s="3" t="s">
        <v>15</v>
      </c>
      <c r="G7" s="2">
        <f t="shared" si="1"/>
        <v>34</v>
      </c>
    </row>
    <row r="8" spans="1:7" x14ac:dyDescent="0.25">
      <c r="A8" t="s">
        <v>15</v>
      </c>
      <c r="B8" s="5" t="s">
        <v>706</v>
      </c>
      <c r="C8" s="5" t="s">
        <v>706</v>
      </c>
      <c r="D8" t="b">
        <f t="shared" si="0"/>
        <v>0</v>
      </c>
      <c r="F8" s="7" t="s">
        <v>615</v>
      </c>
      <c r="G8" s="2">
        <f t="shared" si="1"/>
        <v>12</v>
      </c>
    </row>
    <row r="9" spans="1:7" x14ac:dyDescent="0.25">
      <c r="A9" t="s">
        <v>15</v>
      </c>
      <c r="B9" s="5" t="s">
        <v>171</v>
      </c>
      <c r="C9" s="5" t="s">
        <v>171</v>
      </c>
      <c r="D9" t="b">
        <f t="shared" si="0"/>
        <v>0</v>
      </c>
      <c r="F9" s="7" t="s">
        <v>121</v>
      </c>
      <c r="G9" s="2">
        <f t="shared" si="1"/>
        <v>14</v>
      </c>
    </row>
    <row r="10" spans="1:7" x14ac:dyDescent="0.25">
      <c r="A10" t="s">
        <v>15</v>
      </c>
      <c r="B10" s="5" t="s">
        <v>227</v>
      </c>
      <c r="C10" s="5" t="s">
        <v>227</v>
      </c>
      <c r="D10" t="b">
        <f t="shared" si="0"/>
        <v>0</v>
      </c>
      <c r="F10" s="7" t="s">
        <v>27</v>
      </c>
      <c r="G10" s="2">
        <f t="shared" si="1"/>
        <v>4</v>
      </c>
    </row>
    <row r="11" spans="1:7" x14ac:dyDescent="0.25">
      <c r="A11" t="s">
        <v>15</v>
      </c>
      <c r="B11" s="5" t="s">
        <v>707</v>
      </c>
      <c r="C11" s="5" t="s">
        <v>707</v>
      </c>
      <c r="D11" t="b">
        <f t="shared" si="0"/>
        <v>0</v>
      </c>
      <c r="F11" s="7" t="s">
        <v>23</v>
      </c>
      <c r="G11" s="2">
        <f t="shared" si="1"/>
        <v>5</v>
      </c>
    </row>
    <row r="12" spans="1:7" x14ac:dyDescent="0.25">
      <c r="A12" t="s">
        <v>15</v>
      </c>
      <c r="B12" s="5" t="s">
        <v>43</v>
      </c>
      <c r="C12" s="5" t="s">
        <v>43</v>
      </c>
      <c r="D12" t="b">
        <f t="shared" si="0"/>
        <v>0</v>
      </c>
      <c r="F12" s="7" t="s">
        <v>22</v>
      </c>
      <c r="G12" s="2">
        <f t="shared" si="1"/>
        <v>6</v>
      </c>
    </row>
    <row r="13" spans="1:7" x14ac:dyDescent="0.25">
      <c r="A13" t="s">
        <v>15</v>
      </c>
      <c r="B13" s="5" t="s">
        <v>34</v>
      </c>
      <c r="C13" s="5" t="s">
        <v>34</v>
      </c>
      <c r="D13" t="b">
        <f t="shared" si="0"/>
        <v>0</v>
      </c>
      <c r="F13" s="7" t="s">
        <v>164</v>
      </c>
      <c r="G13" s="2">
        <f t="shared" si="1"/>
        <v>7</v>
      </c>
    </row>
    <row r="14" spans="1:7" x14ac:dyDescent="0.25">
      <c r="A14" t="s">
        <v>15</v>
      </c>
      <c r="B14" s="5" t="s">
        <v>708</v>
      </c>
      <c r="C14" s="5" t="s">
        <v>708</v>
      </c>
      <c r="D14" t="b">
        <f t="shared" si="0"/>
        <v>0</v>
      </c>
      <c r="F14" s="7" t="s">
        <v>21</v>
      </c>
      <c r="G14" s="2">
        <f t="shared" si="1"/>
        <v>9</v>
      </c>
    </row>
    <row r="15" spans="1:7" x14ac:dyDescent="0.25">
      <c r="A15" t="s">
        <v>15</v>
      </c>
      <c r="B15" s="5" t="s">
        <v>709</v>
      </c>
      <c r="C15" s="5" t="s">
        <v>709</v>
      </c>
      <c r="D15" t="b">
        <f t="shared" si="0"/>
        <v>0</v>
      </c>
      <c r="F15" s="7" t="s">
        <v>288</v>
      </c>
      <c r="G15" s="2">
        <f t="shared" si="1"/>
        <v>8</v>
      </c>
    </row>
    <row r="16" spans="1:7" x14ac:dyDescent="0.25">
      <c r="A16" t="s">
        <v>15</v>
      </c>
      <c r="B16" s="5" t="s">
        <v>710</v>
      </c>
      <c r="C16" s="5" t="s">
        <v>710</v>
      </c>
      <c r="D16" t="b">
        <f t="shared" si="0"/>
        <v>0</v>
      </c>
    </row>
    <row r="17" spans="1:7" x14ac:dyDescent="0.25">
      <c r="A17" t="s">
        <v>15</v>
      </c>
      <c r="B17" s="5" t="s">
        <v>232</v>
      </c>
      <c r="C17" s="5" t="s">
        <v>232</v>
      </c>
      <c r="D17" t="b">
        <f t="shared" si="0"/>
        <v>0</v>
      </c>
    </row>
    <row r="18" spans="1:7" x14ac:dyDescent="0.25">
      <c r="A18" t="s">
        <v>15</v>
      </c>
      <c r="B18" s="5" t="s">
        <v>292</v>
      </c>
      <c r="C18" s="5" t="s">
        <v>292</v>
      </c>
      <c r="D18" t="b">
        <f t="shared" si="0"/>
        <v>0</v>
      </c>
      <c r="F18" s="4"/>
      <c r="G18" s="2"/>
    </row>
    <row r="19" spans="1:7" x14ac:dyDescent="0.25">
      <c r="A19" t="s">
        <v>15</v>
      </c>
      <c r="B19" s="5" t="s">
        <v>163</v>
      </c>
      <c r="C19" s="5" t="s">
        <v>163</v>
      </c>
      <c r="D19" t="b">
        <f t="shared" si="0"/>
        <v>0</v>
      </c>
    </row>
    <row r="20" spans="1:7" x14ac:dyDescent="0.25">
      <c r="A20" t="s">
        <v>15</v>
      </c>
      <c r="B20" s="5" t="s">
        <v>234</v>
      </c>
      <c r="C20" s="5" t="s">
        <v>234</v>
      </c>
      <c r="D20" t="b">
        <f t="shared" si="0"/>
        <v>0</v>
      </c>
    </row>
    <row r="21" spans="1:7" x14ac:dyDescent="0.25">
      <c r="A21" t="s">
        <v>15</v>
      </c>
      <c r="B21" s="5" t="s">
        <v>392</v>
      </c>
      <c r="C21" s="5" t="s">
        <v>392</v>
      </c>
      <c r="D21" t="b">
        <f t="shared" si="0"/>
        <v>0</v>
      </c>
    </row>
    <row r="22" spans="1:7" x14ac:dyDescent="0.25">
      <c r="A22" t="s">
        <v>15</v>
      </c>
      <c r="B22" s="5" t="s">
        <v>167</v>
      </c>
      <c r="C22" s="5" t="s">
        <v>167</v>
      </c>
      <c r="D22" t="b">
        <f t="shared" si="0"/>
        <v>0</v>
      </c>
    </row>
    <row r="23" spans="1:7" x14ac:dyDescent="0.25">
      <c r="A23" t="s">
        <v>15</v>
      </c>
      <c r="B23" s="5" t="s">
        <v>62</v>
      </c>
      <c r="C23" s="5" t="s">
        <v>289</v>
      </c>
      <c r="D23" t="b">
        <f t="shared" si="0"/>
        <v>1</v>
      </c>
    </row>
    <row r="24" spans="1:7" x14ac:dyDescent="0.25">
      <c r="A24" t="s">
        <v>15</v>
      </c>
      <c r="B24" s="5" t="s">
        <v>711</v>
      </c>
      <c r="C24" s="5" t="s">
        <v>711</v>
      </c>
      <c r="D24" t="b">
        <f t="shared" si="0"/>
        <v>0</v>
      </c>
    </row>
    <row r="25" spans="1:7" x14ac:dyDescent="0.25">
      <c r="A25" t="s">
        <v>15</v>
      </c>
      <c r="B25" s="5" t="s">
        <v>60</v>
      </c>
      <c r="C25" s="5" t="s">
        <v>60</v>
      </c>
      <c r="D25" t="b">
        <f t="shared" si="0"/>
        <v>0</v>
      </c>
    </row>
    <row r="26" spans="1:7" x14ac:dyDescent="0.25">
      <c r="A26" t="s">
        <v>15</v>
      </c>
      <c r="B26" s="5" t="s">
        <v>60</v>
      </c>
      <c r="C26" s="5" t="s">
        <v>60</v>
      </c>
      <c r="D26" t="b">
        <f t="shared" si="0"/>
        <v>0</v>
      </c>
    </row>
    <row r="27" spans="1:7" x14ac:dyDescent="0.25">
      <c r="A27" t="s">
        <v>15</v>
      </c>
      <c r="B27" s="5" t="s">
        <v>60</v>
      </c>
      <c r="C27" s="5" t="s">
        <v>60</v>
      </c>
      <c r="D27" t="b">
        <f t="shared" si="0"/>
        <v>0</v>
      </c>
    </row>
    <row r="28" spans="1:7" x14ac:dyDescent="0.25">
      <c r="A28" t="s">
        <v>15</v>
      </c>
      <c r="B28" s="5" t="s">
        <v>60</v>
      </c>
      <c r="C28" s="5" t="s">
        <v>60</v>
      </c>
      <c r="D28" t="b">
        <f t="shared" si="0"/>
        <v>0</v>
      </c>
    </row>
    <row r="29" spans="1:7" x14ac:dyDescent="0.25">
      <c r="A29" t="s">
        <v>15</v>
      </c>
      <c r="B29" s="5" t="s">
        <v>60</v>
      </c>
      <c r="C29" s="5" t="s">
        <v>60</v>
      </c>
      <c r="D29" t="b">
        <f t="shared" si="0"/>
        <v>0</v>
      </c>
    </row>
    <row r="30" spans="1:7" x14ac:dyDescent="0.25">
      <c r="A30" t="s">
        <v>15</v>
      </c>
      <c r="B30" s="5" t="s">
        <v>62</v>
      </c>
      <c r="C30" s="5" t="s">
        <v>62</v>
      </c>
      <c r="D30" t="b">
        <f t="shared" si="0"/>
        <v>0</v>
      </c>
    </row>
    <row r="31" spans="1:7" x14ac:dyDescent="0.25">
      <c r="A31" t="s">
        <v>15</v>
      </c>
      <c r="B31" s="5" t="s">
        <v>62</v>
      </c>
      <c r="C31" s="5" t="s">
        <v>62</v>
      </c>
      <c r="D31" t="b">
        <f t="shared" si="0"/>
        <v>0</v>
      </c>
    </row>
    <row r="32" spans="1:7" x14ac:dyDescent="0.25">
      <c r="A32" t="s">
        <v>15</v>
      </c>
      <c r="B32" s="5" t="s">
        <v>62</v>
      </c>
      <c r="C32" s="5" t="s">
        <v>62</v>
      </c>
      <c r="D32" t="b">
        <f t="shared" si="0"/>
        <v>0</v>
      </c>
    </row>
    <row r="33" spans="1:4" x14ac:dyDescent="0.25">
      <c r="A33" t="s">
        <v>15</v>
      </c>
      <c r="B33" s="5" t="s">
        <v>62</v>
      </c>
      <c r="C33" s="5" t="s">
        <v>62</v>
      </c>
      <c r="D33" t="b">
        <f t="shared" si="0"/>
        <v>0</v>
      </c>
    </row>
    <row r="34" spans="1:4" x14ac:dyDescent="0.25">
      <c r="A34" t="s">
        <v>15</v>
      </c>
      <c r="B34" s="5" t="s">
        <v>62</v>
      </c>
      <c r="C34" s="5" t="s">
        <v>62</v>
      </c>
      <c r="D34" t="b">
        <f t="shared" si="0"/>
        <v>0</v>
      </c>
    </row>
    <row r="35" spans="1:4" x14ac:dyDescent="0.25">
      <c r="A35" t="s">
        <v>15</v>
      </c>
      <c r="B35" s="5" t="s">
        <v>172</v>
      </c>
      <c r="C35" s="5" t="s">
        <v>172</v>
      </c>
      <c r="D35" t="b">
        <f t="shared" si="0"/>
        <v>0</v>
      </c>
    </row>
    <row r="36" spans="1:4" x14ac:dyDescent="0.25">
      <c r="A36" t="s">
        <v>15</v>
      </c>
      <c r="B36" s="5" t="s">
        <v>172</v>
      </c>
      <c r="C36" s="5" t="s">
        <v>172</v>
      </c>
      <c r="D36" t="b">
        <f t="shared" si="0"/>
        <v>0</v>
      </c>
    </row>
    <row r="37" spans="1:4" x14ac:dyDescent="0.25">
      <c r="A37" t="s">
        <v>15</v>
      </c>
      <c r="B37" s="5" t="s">
        <v>172</v>
      </c>
      <c r="C37" s="5" t="s">
        <v>172</v>
      </c>
      <c r="D37" t="b">
        <f t="shared" si="0"/>
        <v>0</v>
      </c>
    </row>
    <row r="38" spans="1:4" x14ac:dyDescent="0.25">
      <c r="A38" t="s">
        <v>615</v>
      </c>
      <c r="B38" s="5" t="s">
        <v>712</v>
      </c>
      <c r="C38" s="5" t="s">
        <v>712</v>
      </c>
      <c r="D38" t="b">
        <f t="shared" si="0"/>
        <v>0</v>
      </c>
    </row>
    <row r="39" spans="1:4" x14ac:dyDescent="0.25">
      <c r="A39" t="s">
        <v>615</v>
      </c>
      <c r="B39" s="5" t="s">
        <v>713</v>
      </c>
      <c r="C39" s="5" t="s">
        <v>713</v>
      </c>
      <c r="D39" t="b">
        <f t="shared" si="0"/>
        <v>0</v>
      </c>
    </row>
    <row r="40" spans="1:4" x14ac:dyDescent="0.25">
      <c r="A40" t="s">
        <v>615</v>
      </c>
      <c r="B40" s="5" t="s">
        <v>1895</v>
      </c>
      <c r="C40" s="5" t="s">
        <v>1895</v>
      </c>
      <c r="D40" t="b">
        <f t="shared" si="0"/>
        <v>0</v>
      </c>
    </row>
    <row r="41" spans="1:4" x14ac:dyDescent="0.25">
      <c r="A41" t="s">
        <v>615</v>
      </c>
      <c r="B41" s="5" t="s">
        <v>714</v>
      </c>
      <c r="C41" s="5" t="s">
        <v>714</v>
      </c>
      <c r="D41" t="b">
        <f t="shared" si="0"/>
        <v>0</v>
      </c>
    </row>
    <row r="42" spans="1:4" x14ac:dyDescent="0.25">
      <c r="A42" t="s">
        <v>615</v>
      </c>
      <c r="B42" s="5" t="s">
        <v>1894</v>
      </c>
      <c r="C42" s="5" t="s">
        <v>1894</v>
      </c>
      <c r="D42" t="b">
        <f t="shared" si="0"/>
        <v>0</v>
      </c>
    </row>
    <row r="43" spans="1:4" x14ac:dyDescent="0.25">
      <c r="A43" t="s">
        <v>615</v>
      </c>
      <c r="B43" s="5" t="s">
        <v>1850</v>
      </c>
      <c r="C43" s="5" t="s">
        <v>1850</v>
      </c>
      <c r="D43" t="b">
        <f t="shared" si="0"/>
        <v>0</v>
      </c>
    </row>
    <row r="44" spans="1:4" x14ac:dyDescent="0.25">
      <c r="A44" t="s">
        <v>615</v>
      </c>
      <c r="B44" s="5" t="s">
        <v>715</v>
      </c>
      <c r="C44" s="5" t="s">
        <v>715</v>
      </c>
      <c r="D44" t="b">
        <f t="shared" si="0"/>
        <v>0</v>
      </c>
    </row>
    <row r="45" spans="1:4" x14ac:dyDescent="0.25">
      <c r="A45" t="s">
        <v>615</v>
      </c>
      <c r="B45" s="5" t="s">
        <v>717</v>
      </c>
      <c r="C45" s="5" t="s">
        <v>717</v>
      </c>
      <c r="D45" t="b">
        <f t="shared" si="0"/>
        <v>0</v>
      </c>
    </row>
    <row r="46" spans="1:4" x14ac:dyDescent="0.25">
      <c r="A46" t="s">
        <v>615</v>
      </c>
      <c r="B46" s="5" t="s">
        <v>718</v>
      </c>
      <c r="C46" s="5" t="s">
        <v>718</v>
      </c>
      <c r="D46" t="b">
        <f t="shared" si="0"/>
        <v>0</v>
      </c>
    </row>
    <row r="47" spans="1:4" x14ac:dyDescent="0.25">
      <c r="A47" t="s">
        <v>615</v>
      </c>
      <c r="B47" s="5" t="s">
        <v>1893</v>
      </c>
      <c r="C47" s="5" t="s">
        <v>1893</v>
      </c>
      <c r="D47" t="b">
        <f t="shared" si="0"/>
        <v>0</v>
      </c>
    </row>
    <row r="48" spans="1:4" x14ac:dyDescent="0.25">
      <c r="A48" t="s">
        <v>615</v>
      </c>
      <c r="B48" s="5" t="s">
        <v>720</v>
      </c>
      <c r="C48" s="5" t="s">
        <v>720</v>
      </c>
      <c r="D48" t="b">
        <f t="shared" si="0"/>
        <v>0</v>
      </c>
    </row>
    <row r="49" spans="1:4" x14ac:dyDescent="0.25">
      <c r="A49" t="s">
        <v>615</v>
      </c>
      <c r="B49" s="5" t="s">
        <v>721</v>
      </c>
      <c r="C49" s="5" t="s">
        <v>721</v>
      </c>
      <c r="D49" t="b">
        <f t="shared" si="0"/>
        <v>0</v>
      </c>
    </row>
    <row r="50" spans="1:4" x14ac:dyDescent="0.25">
      <c r="A50" t="s">
        <v>121</v>
      </c>
      <c r="B50" s="5" t="s">
        <v>722</v>
      </c>
      <c r="C50" s="5" t="s">
        <v>722</v>
      </c>
      <c r="D50" t="b">
        <f t="shared" si="0"/>
        <v>0</v>
      </c>
    </row>
    <row r="51" spans="1:4" x14ac:dyDescent="0.25">
      <c r="A51" t="s">
        <v>121</v>
      </c>
      <c r="B51" s="5" t="s">
        <v>723</v>
      </c>
      <c r="C51" s="5" t="s">
        <v>723</v>
      </c>
      <c r="D51" t="b">
        <f t="shared" si="0"/>
        <v>0</v>
      </c>
    </row>
    <row r="52" spans="1:4" x14ac:dyDescent="0.25">
      <c r="A52" t="s">
        <v>121</v>
      </c>
      <c r="B52" s="5" t="s">
        <v>724</v>
      </c>
      <c r="C52" s="5" t="s">
        <v>724</v>
      </c>
      <c r="D52" t="b">
        <f t="shared" si="0"/>
        <v>0</v>
      </c>
    </row>
    <row r="53" spans="1:4" x14ac:dyDescent="0.25">
      <c r="A53" t="s">
        <v>121</v>
      </c>
      <c r="B53" s="5" t="s">
        <v>1890</v>
      </c>
      <c r="C53" s="5" t="s">
        <v>1890</v>
      </c>
      <c r="D53" t="b">
        <f t="shared" si="0"/>
        <v>0</v>
      </c>
    </row>
    <row r="54" spans="1:4" x14ac:dyDescent="0.25">
      <c r="A54" t="s">
        <v>121</v>
      </c>
      <c r="B54" s="5" t="s">
        <v>1892</v>
      </c>
      <c r="C54" s="5" t="s">
        <v>1892</v>
      </c>
      <c r="D54" t="b">
        <f t="shared" si="0"/>
        <v>0</v>
      </c>
    </row>
    <row r="55" spans="1:4" x14ac:dyDescent="0.25">
      <c r="A55" t="s">
        <v>121</v>
      </c>
      <c r="B55" s="5" t="s">
        <v>1888</v>
      </c>
      <c r="C55" s="5" t="s">
        <v>1888</v>
      </c>
      <c r="D55" t="b">
        <f t="shared" si="0"/>
        <v>0</v>
      </c>
    </row>
    <row r="56" spans="1:4" x14ac:dyDescent="0.25">
      <c r="A56" t="s">
        <v>121</v>
      </c>
      <c r="B56" s="5" t="s">
        <v>725</v>
      </c>
      <c r="C56" s="5" t="s">
        <v>725</v>
      </c>
      <c r="D56" t="b">
        <f t="shared" si="0"/>
        <v>0</v>
      </c>
    </row>
    <row r="57" spans="1:4" x14ac:dyDescent="0.25">
      <c r="A57" t="s">
        <v>121</v>
      </c>
      <c r="B57" s="5" t="s">
        <v>726</v>
      </c>
      <c r="C57" s="5" t="s">
        <v>726</v>
      </c>
      <c r="D57" t="b">
        <f t="shared" si="0"/>
        <v>0</v>
      </c>
    </row>
    <row r="58" spans="1:4" x14ac:dyDescent="0.25">
      <c r="A58" t="s">
        <v>121</v>
      </c>
      <c r="B58" s="5" t="s">
        <v>1896</v>
      </c>
      <c r="C58" s="5" t="s">
        <v>1896</v>
      </c>
      <c r="D58" t="b">
        <f>B58&lt;&gt;C58</f>
        <v>0</v>
      </c>
    </row>
    <row r="59" spans="1:4" x14ac:dyDescent="0.25">
      <c r="A59" t="s">
        <v>121</v>
      </c>
      <c r="B59" s="5" t="s">
        <v>727</v>
      </c>
      <c r="C59" s="5" t="s">
        <v>727</v>
      </c>
      <c r="D59" t="b">
        <f t="shared" si="0"/>
        <v>0</v>
      </c>
    </row>
    <row r="60" spans="1:4" x14ac:dyDescent="0.25">
      <c r="A60" t="s">
        <v>121</v>
      </c>
      <c r="B60" s="5" t="s">
        <v>1889</v>
      </c>
      <c r="C60" s="5" t="s">
        <v>1889</v>
      </c>
      <c r="D60" t="b">
        <f t="shared" si="0"/>
        <v>0</v>
      </c>
    </row>
    <row r="61" spans="1:4" x14ac:dyDescent="0.25">
      <c r="A61" t="s">
        <v>121</v>
      </c>
      <c r="B61" s="5" t="s">
        <v>1258</v>
      </c>
      <c r="C61" s="5" t="s">
        <v>1258</v>
      </c>
      <c r="D61" t="b">
        <f t="shared" si="0"/>
        <v>0</v>
      </c>
    </row>
    <row r="62" spans="1:4" x14ac:dyDescent="0.25">
      <c r="A62" t="s">
        <v>121</v>
      </c>
      <c r="B62" s="5" t="s">
        <v>728</v>
      </c>
      <c r="C62" s="5" t="s">
        <v>728</v>
      </c>
      <c r="D62" t="b">
        <f t="shared" si="0"/>
        <v>0</v>
      </c>
    </row>
    <row r="63" spans="1:4" x14ac:dyDescent="0.25">
      <c r="A63" t="s">
        <v>121</v>
      </c>
      <c r="B63" s="5" t="s">
        <v>1891</v>
      </c>
      <c r="C63" s="5" t="s">
        <v>1891</v>
      </c>
      <c r="D63" t="b">
        <f t="shared" si="0"/>
        <v>0</v>
      </c>
    </row>
    <row r="64" spans="1:4" x14ac:dyDescent="0.25">
      <c r="A64" t="s">
        <v>21</v>
      </c>
      <c r="B64" s="5" t="s">
        <v>128</v>
      </c>
      <c r="C64" s="5" t="s">
        <v>128</v>
      </c>
      <c r="D64" t="b">
        <f t="shared" si="0"/>
        <v>0</v>
      </c>
    </row>
    <row r="65" spans="1:4" x14ac:dyDescent="0.25">
      <c r="A65" t="s">
        <v>21</v>
      </c>
      <c r="B65" s="5" t="s">
        <v>130</v>
      </c>
      <c r="C65" s="5" t="s">
        <v>130</v>
      </c>
      <c r="D65" t="b">
        <f t="shared" si="0"/>
        <v>0</v>
      </c>
    </row>
    <row r="66" spans="1:4" x14ac:dyDescent="0.25">
      <c r="A66" t="s">
        <v>21</v>
      </c>
      <c r="B66" s="5" t="s">
        <v>564</v>
      </c>
      <c r="C66" s="5" t="s">
        <v>564</v>
      </c>
      <c r="D66" t="b">
        <f t="shared" si="0"/>
        <v>0</v>
      </c>
    </row>
    <row r="67" spans="1:4" x14ac:dyDescent="0.25">
      <c r="A67" t="s">
        <v>21</v>
      </c>
      <c r="B67" s="5" t="s">
        <v>63</v>
      </c>
      <c r="C67" s="5" t="s">
        <v>63</v>
      </c>
      <c r="D67" t="b">
        <f>B67&lt;&gt;C67</f>
        <v>0</v>
      </c>
    </row>
    <row r="68" spans="1:4" x14ac:dyDescent="0.25">
      <c r="A68" t="s">
        <v>21</v>
      </c>
      <c r="B68" s="5" t="s">
        <v>173</v>
      </c>
      <c r="C68" s="5" t="s">
        <v>173</v>
      </c>
      <c r="D68" t="b">
        <f t="shared" si="0"/>
        <v>0</v>
      </c>
    </row>
    <row r="69" spans="1:4" x14ac:dyDescent="0.25">
      <c r="A69" t="s">
        <v>21</v>
      </c>
      <c r="B69" s="5" t="s">
        <v>729</v>
      </c>
      <c r="C69" s="5" t="s">
        <v>729</v>
      </c>
      <c r="D69" t="b">
        <f t="shared" si="0"/>
        <v>0</v>
      </c>
    </row>
    <row r="70" spans="1:4" x14ac:dyDescent="0.25">
      <c r="A70" t="s">
        <v>21</v>
      </c>
      <c r="B70" s="5" t="s">
        <v>64</v>
      </c>
      <c r="C70" s="5" t="s">
        <v>64</v>
      </c>
      <c r="D70" t="b">
        <f t="shared" si="0"/>
        <v>0</v>
      </c>
    </row>
    <row r="71" spans="1:4" x14ac:dyDescent="0.25">
      <c r="A71" t="s">
        <v>21</v>
      </c>
      <c r="B71" s="5" t="s">
        <v>1934</v>
      </c>
      <c r="C71" s="5" t="s">
        <v>1934</v>
      </c>
      <c r="D71" t="b">
        <f>B71&lt;&gt;C71</f>
        <v>0</v>
      </c>
    </row>
    <row r="72" spans="1:4" x14ac:dyDescent="0.25">
      <c r="A72" t="s">
        <v>21</v>
      </c>
      <c r="B72" s="5" t="s">
        <v>730</v>
      </c>
      <c r="C72" s="5" t="s">
        <v>730</v>
      </c>
      <c r="D72" t="b">
        <f t="shared" ref="D72:D102" si="2">B72&lt;&gt;C72</f>
        <v>0</v>
      </c>
    </row>
    <row r="73" spans="1:4" x14ac:dyDescent="0.25">
      <c r="A73" t="s">
        <v>27</v>
      </c>
      <c r="B73" s="5" t="s">
        <v>1928</v>
      </c>
      <c r="C73" s="5" t="s">
        <v>1928</v>
      </c>
      <c r="D73" t="b">
        <f t="shared" si="2"/>
        <v>0</v>
      </c>
    </row>
    <row r="74" spans="1:4" x14ac:dyDescent="0.25">
      <c r="A74" t="s">
        <v>27</v>
      </c>
      <c r="B74" s="5" t="s">
        <v>1247</v>
      </c>
      <c r="C74" s="5" t="s">
        <v>1247</v>
      </c>
      <c r="D74" t="b">
        <f t="shared" si="2"/>
        <v>0</v>
      </c>
    </row>
    <row r="75" spans="1:4" x14ac:dyDescent="0.25">
      <c r="A75" t="s">
        <v>27</v>
      </c>
      <c r="B75" s="5" t="s">
        <v>1885</v>
      </c>
      <c r="C75" s="5" t="s">
        <v>1885</v>
      </c>
      <c r="D75" t="b">
        <f t="shared" si="2"/>
        <v>0</v>
      </c>
    </row>
    <row r="76" spans="1:4" x14ac:dyDescent="0.25">
      <c r="A76" t="s">
        <v>27</v>
      </c>
      <c r="B76" s="5" t="s">
        <v>1884</v>
      </c>
      <c r="C76" s="5" t="s">
        <v>1884</v>
      </c>
      <c r="D76" t="b">
        <f t="shared" si="2"/>
        <v>0</v>
      </c>
    </row>
    <row r="77" spans="1:4" x14ac:dyDescent="0.25">
      <c r="A77" t="s">
        <v>164</v>
      </c>
      <c r="B77" s="5" t="s">
        <v>1342</v>
      </c>
      <c r="C77" s="5" t="s">
        <v>1342</v>
      </c>
      <c r="D77" t="b">
        <f t="shared" si="2"/>
        <v>0</v>
      </c>
    </row>
    <row r="78" spans="1:4" x14ac:dyDescent="0.25">
      <c r="A78" t="s">
        <v>164</v>
      </c>
      <c r="B78" s="5" t="s">
        <v>732</v>
      </c>
      <c r="C78" s="5" t="s">
        <v>732</v>
      </c>
      <c r="D78" t="b">
        <f t="shared" si="2"/>
        <v>0</v>
      </c>
    </row>
    <row r="79" spans="1:4" x14ac:dyDescent="0.25">
      <c r="A79" t="s">
        <v>164</v>
      </c>
      <c r="B79" s="5" t="s">
        <v>733</v>
      </c>
      <c r="C79" s="5" t="s">
        <v>733</v>
      </c>
      <c r="D79" t="b">
        <f t="shared" si="2"/>
        <v>0</v>
      </c>
    </row>
    <row r="80" spans="1:4" x14ac:dyDescent="0.25">
      <c r="A80" t="s">
        <v>164</v>
      </c>
      <c r="B80" s="5" t="s">
        <v>734</v>
      </c>
      <c r="C80" s="5" t="s">
        <v>734</v>
      </c>
      <c r="D80" t="b">
        <f t="shared" si="2"/>
        <v>0</v>
      </c>
    </row>
    <row r="81" spans="1:4" x14ac:dyDescent="0.25">
      <c r="A81" t="s">
        <v>164</v>
      </c>
      <c r="B81" s="5" t="s">
        <v>719</v>
      </c>
      <c r="C81" s="5" t="s">
        <v>719</v>
      </c>
      <c r="D81" t="b">
        <f t="shared" si="2"/>
        <v>0</v>
      </c>
    </row>
    <row r="82" spans="1:4" x14ac:dyDescent="0.25">
      <c r="A82" t="s">
        <v>164</v>
      </c>
      <c r="B82" s="5" t="s">
        <v>716</v>
      </c>
      <c r="C82" s="5" t="s">
        <v>716</v>
      </c>
      <c r="D82" t="b">
        <f t="shared" si="2"/>
        <v>0</v>
      </c>
    </row>
    <row r="83" spans="1:4" x14ac:dyDescent="0.25">
      <c r="A83" t="s">
        <v>164</v>
      </c>
      <c r="B83" s="5" t="s">
        <v>1797</v>
      </c>
      <c r="C83" s="5" t="s">
        <v>1797</v>
      </c>
      <c r="D83" t="b">
        <f t="shared" si="2"/>
        <v>0</v>
      </c>
    </row>
    <row r="84" spans="1:4" x14ac:dyDescent="0.25">
      <c r="A84" t="s">
        <v>23</v>
      </c>
      <c r="B84" s="5" t="s">
        <v>315</v>
      </c>
      <c r="C84" s="5" t="s">
        <v>315</v>
      </c>
      <c r="D84" t="b">
        <f t="shared" si="2"/>
        <v>0</v>
      </c>
    </row>
    <row r="85" spans="1:4" x14ac:dyDescent="0.25">
      <c r="A85" t="s">
        <v>23</v>
      </c>
      <c r="B85" s="5" t="s">
        <v>735</v>
      </c>
      <c r="C85" s="5" t="s">
        <v>735</v>
      </c>
      <c r="D85" t="b">
        <f t="shared" si="2"/>
        <v>0</v>
      </c>
    </row>
    <row r="86" spans="1:4" x14ac:dyDescent="0.25">
      <c r="A86" t="s">
        <v>23</v>
      </c>
      <c r="B86" s="5" t="s">
        <v>312</v>
      </c>
      <c r="C86" s="5" t="s">
        <v>312</v>
      </c>
      <c r="D86" t="b">
        <f t="shared" si="2"/>
        <v>0</v>
      </c>
    </row>
    <row r="87" spans="1:4" x14ac:dyDescent="0.25">
      <c r="A87" t="s">
        <v>23</v>
      </c>
      <c r="B87" s="5" t="s">
        <v>310</v>
      </c>
      <c r="C87" s="5" t="s">
        <v>310</v>
      </c>
      <c r="D87" t="b">
        <f t="shared" si="2"/>
        <v>0</v>
      </c>
    </row>
    <row r="88" spans="1:4" x14ac:dyDescent="0.25">
      <c r="A88" t="s">
        <v>23</v>
      </c>
      <c r="B88" s="5" t="s">
        <v>586</v>
      </c>
      <c r="C88" s="5" t="s">
        <v>586</v>
      </c>
      <c r="D88" t="b">
        <f t="shared" si="2"/>
        <v>0</v>
      </c>
    </row>
    <row r="89" spans="1:4" x14ac:dyDescent="0.25">
      <c r="A89" t="s">
        <v>22</v>
      </c>
      <c r="B89" s="5" t="s">
        <v>1880</v>
      </c>
      <c r="C89" s="5" t="s">
        <v>1880</v>
      </c>
      <c r="D89" t="b">
        <f t="shared" si="2"/>
        <v>0</v>
      </c>
    </row>
    <row r="90" spans="1:4" x14ac:dyDescent="0.25">
      <c r="A90" t="s">
        <v>22</v>
      </c>
      <c r="B90" s="5" t="s">
        <v>1883</v>
      </c>
      <c r="C90" s="5" t="s">
        <v>1883</v>
      </c>
      <c r="D90" t="b">
        <f t="shared" si="2"/>
        <v>0</v>
      </c>
    </row>
    <row r="91" spans="1:4" x14ac:dyDescent="0.25">
      <c r="A91" t="s">
        <v>22</v>
      </c>
      <c r="B91" s="5" t="s">
        <v>737</v>
      </c>
      <c r="C91" s="5" t="s">
        <v>737</v>
      </c>
      <c r="D91" t="b">
        <f t="shared" si="2"/>
        <v>0</v>
      </c>
    </row>
    <row r="92" spans="1:4" x14ac:dyDescent="0.25">
      <c r="A92" t="s">
        <v>22</v>
      </c>
      <c r="B92" s="5" t="s">
        <v>1882</v>
      </c>
      <c r="C92" s="5" t="s">
        <v>1882</v>
      </c>
      <c r="D92" t="b">
        <f t="shared" si="2"/>
        <v>0</v>
      </c>
    </row>
    <row r="93" spans="1:4" x14ac:dyDescent="0.25">
      <c r="A93" t="s">
        <v>22</v>
      </c>
      <c r="B93" s="5" t="s">
        <v>209</v>
      </c>
      <c r="C93" s="5" t="s">
        <v>209</v>
      </c>
      <c r="D93" t="b">
        <f t="shared" si="2"/>
        <v>0</v>
      </c>
    </row>
    <row r="94" spans="1:4" x14ac:dyDescent="0.25">
      <c r="A94" t="s">
        <v>22</v>
      </c>
      <c r="B94" s="5" t="s">
        <v>1881</v>
      </c>
      <c r="C94" s="5" t="s">
        <v>1881</v>
      </c>
      <c r="D94" t="b">
        <f t="shared" si="2"/>
        <v>0</v>
      </c>
    </row>
    <row r="95" spans="1:4" x14ac:dyDescent="0.25">
      <c r="A95" t="s">
        <v>288</v>
      </c>
      <c r="B95" s="5" t="s">
        <v>736</v>
      </c>
      <c r="C95" s="5" t="s">
        <v>1939</v>
      </c>
      <c r="D95" t="b">
        <f>B95&lt;&gt;C95</f>
        <v>1</v>
      </c>
    </row>
    <row r="96" spans="1:4" x14ac:dyDescent="0.25">
      <c r="A96" t="s">
        <v>288</v>
      </c>
      <c r="B96" s="5" t="s">
        <v>1343</v>
      </c>
      <c r="C96" s="5" t="s">
        <v>1343</v>
      </c>
      <c r="D96" t="b">
        <f t="shared" si="2"/>
        <v>0</v>
      </c>
    </row>
    <row r="97" spans="1:4" x14ac:dyDescent="0.25">
      <c r="A97" t="s">
        <v>288</v>
      </c>
      <c r="B97" s="5" t="s">
        <v>1344</v>
      </c>
      <c r="C97" s="5" t="s">
        <v>1344</v>
      </c>
      <c r="D97" t="b">
        <f t="shared" si="2"/>
        <v>0</v>
      </c>
    </row>
    <row r="98" spans="1:4" x14ac:dyDescent="0.25">
      <c r="A98" t="s">
        <v>288</v>
      </c>
      <c r="B98" s="5" t="s">
        <v>739</v>
      </c>
      <c r="C98" s="5" t="s">
        <v>739</v>
      </c>
      <c r="D98" t="b">
        <f t="shared" si="2"/>
        <v>0</v>
      </c>
    </row>
    <row r="99" spans="1:4" x14ac:dyDescent="0.25">
      <c r="A99" t="s">
        <v>288</v>
      </c>
      <c r="B99" s="5" t="s">
        <v>97</v>
      </c>
      <c r="C99" s="5" t="s">
        <v>97</v>
      </c>
      <c r="D99" t="b">
        <f t="shared" si="2"/>
        <v>0</v>
      </c>
    </row>
    <row r="100" spans="1:4" x14ac:dyDescent="0.25">
      <c r="A100" t="s">
        <v>288</v>
      </c>
      <c r="B100" s="5" t="s">
        <v>98</v>
      </c>
      <c r="C100" s="5" t="s">
        <v>98</v>
      </c>
      <c r="D100" t="b">
        <f t="shared" si="2"/>
        <v>0</v>
      </c>
    </row>
    <row r="101" spans="1:4" x14ac:dyDescent="0.25">
      <c r="A101" t="s">
        <v>288</v>
      </c>
      <c r="B101" s="5" t="s">
        <v>740</v>
      </c>
      <c r="C101" s="5" t="s">
        <v>740</v>
      </c>
      <c r="D101" t="b">
        <f t="shared" si="2"/>
        <v>0</v>
      </c>
    </row>
    <row r="102" spans="1:4" x14ac:dyDescent="0.25">
      <c r="A102" t="s">
        <v>288</v>
      </c>
      <c r="B102" s="5" t="s">
        <v>741</v>
      </c>
      <c r="C102" s="5" t="s">
        <v>741</v>
      </c>
      <c r="D102" t="b">
        <f t="shared" si="2"/>
        <v>0</v>
      </c>
    </row>
  </sheetData>
  <mergeCells count="1">
    <mergeCell ref="A1:G1"/>
  </mergeCells>
  <pageMargins left="0.511811024" right="0.511811024" top="0.78740157499999996" bottom="0.78740157499999996" header="0.31496062000000002" footer="0.3149606200000000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notContainsText" priority="1" operator="notContains" id="{99B5F831-3D11-40B8-9566-D3F660302BF8}">
            <xm:f>ISERROR(SEARCH(C3,B3))</xm:f>
            <xm:f>C3</xm:f>
            <x14:dxf>
              <fill>
                <patternFill>
                  <bgColor theme="5" tint="0.39994506668294322"/>
                </patternFill>
              </fill>
            </x14:dxf>
          </x14:cfRule>
          <xm:sqref>B3:B102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B432A-A041-4D66-AD92-9000ED2E2DDB}">
  <sheetPr codeName="Planilha27"/>
  <dimension ref="A1:G102"/>
  <sheetViews>
    <sheetView topLeftCell="A2" workbookViewId="0">
      <selection activeCell="C3" sqref="C3"/>
    </sheetView>
  </sheetViews>
  <sheetFormatPr defaultRowHeight="15" x14ac:dyDescent="0.25"/>
  <cols>
    <col min="1" max="1" width="11.85546875" style="5" customWidth="1"/>
    <col min="2" max="3" width="38.7109375" customWidth="1"/>
    <col min="4" max="4" width="12.42578125" hidden="1" customWidth="1"/>
    <col min="5" max="5" width="4.28515625" customWidth="1"/>
    <col min="6" max="6" width="22.7109375" style="3" customWidth="1"/>
    <col min="7" max="7" width="8.7109375" customWidth="1"/>
  </cols>
  <sheetData>
    <row r="1" spans="1:7" ht="21" x14ac:dyDescent="0.25">
      <c r="A1" s="12" t="s">
        <v>1100</v>
      </c>
      <c r="B1" s="12"/>
      <c r="C1" s="12"/>
      <c r="D1" s="12"/>
      <c r="E1" s="12"/>
      <c r="F1" s="12"/>
      <c r="G1" s="12"/>
    </row>
    <row r="2" spans="1:7" x14ac:dyDescent="0.25">
      <c r="A2" s="4" t="s">
        <v>11</v>
      </c>
      <c r="B2" s="4" t="s">
        <v>12</v>
      </c>
      <c r="C2" s="4" t="s">
        <v>13</v>
      </c>
      <c r="D2" s="4" t="s">
        <v>14</v>
      </c>
      <c r="F2" s="4" t="s">
        <v>16</v>
      </c>
      <c r="G2" s="3">
        <f>COUNTIF(D:D,"Verdadeiro")</f>
        <v>10</v>
      </c>
    </row>
    <row r="3" spans="1:7" x14ac:dyDescent="0.25">
      <c r="A3" s="5" t="s">
        <v>1539</v>
      </c>
      <c r="B3" s="5" t="s">
        <v>1542</v>
      </c>
      <c r="C3" s="5" t="s">
        <v>1542</v>
      </c>
      <c r="D3" t="b">
        <f t="shared" ref="D3:D34" si="0">B3&lt;&gt;C3</f>
        <v>0</v>
      </c>
      <c r="F3" s="4" t="s">
        <v>17</v>
      </c>
      <c r="G3" s="3">
        <f>SUM(G6:G27)</f>
        <v>100</v>
      </c>
    </row>
    <row r="4" spans="1:7" x14ac:dyDescent="0.25">
      <c r="A4" s="5" t="s">
        <v>1539</v>
      </c>
      <c r="B4" s="5" t="s">
        <v>1554</v>
      </c>
      <c r="C4" s="5" t="s">
        <v>1554</v>
      </c>
      <c r="D4" t="b">
        <f t="shared" si="0"/>
        <v>0</v>
      </c>
    </row>
    <row r="5" spans="1:7" x14ac:dyDescent="0.25">
      <c r="A5" t="s">
        <v>15</v>
      </c>
      <c r="B5" s="5" t="s">
        <v>57</v>
      </c>
      <c r="C5" s="5" t="s">
        <v>57</v>
      </c>
      <c r="D5" t="b">
        <f t="shared" si="0"/>
        <v>0</v>
      </c>
      <c r="F5" s="6" t="s">
        <v>19</v>
      </c>
      <c r="G5" s="1"/>
    </row>
    <row r="6" spans="1:7" x14ac:dyDescent="0.25">
      <c r="A6" t="s">
        <v>15</v>
      </c>
      <c r="B6" s="5" t="s">
        <v>60</v>
      </c>
      <c r="C6" s="5" t="s">
        <v>53</v>
      </c>
      <c r="D6" t="b">
        <f t="shared" si="0"/>
        <v>1</v>
      </c>
      <c r="F6" s="3" t="s">
        <v>1539</v>
      </c>
      <c r="G6" s="2">
        <f t="shared" ref="G6:G14" si="1">COUNTIF(A:A,F6)</f>
        <v>2</v>
      </c>
    </row>
    <row r="7" spans="1:7" x14ac:dyDescent="0.25">
      <c r="A7" t="s">
        <v>15</v>
      </c>
      <c r="B7" s="5" t="s">
        <v>51</v>
      </c>
      <c r="C7" s="5" t="s">
        <v>51</v>
      </c>
      <c r="D7" t="b">
        <f t="shared" si="0"/>
        <v>0</v>
      </c>
      <c r="F7" s="7" t="s">
        <v>15</v>
      </c>
      <c r="G7" s="2">
        <f t="shared" si="1"/>
        <v>37</v>
      </c>
    </row>
    <row r="8" spans="1:7" x14ac:dyDescent="0.25">
      <c r="A8" t="s">
        <v>15</v>
      </c>
      <c r="B8" s="5" t="s">
        <v>56</v>
      </c>
      <c r="C8" s="5" t="s">
        <v>56</v>
      </c>
      <c r="D8" t="b">
        <f t="shared" si="0"/>
        <v>0</v>
      </c>
      <c r="F8" s="7" t="s">
        <v>21</v>
      </c>
      <c r="G8" s="2">
        <f t="shared" si="1"/>
        <v>10</v>
      </c>
    </row>
    <row r="9" spans="1:7" x14ac:dyDescent="0.25">
      <c r="A9" t="s">
        <v>15</v>
      </c>
      <c r="B9" s="5" t="s">
        <v>54</v>
      </c>
      <c r="C9" s="5" t="s">
        <v>54</v>
      </c>
      <c r="D9" t="b">
        <f t="shared" si="0"/>
        <v>0</v>
      </c>
      <c r="F9" s="7" t="s">
        <v>22</v>
      </c>
      <c r="G9" s="2">
        <f t="shared" si="1"/>
        <v>12</v>
      </c>
    </row>
    <row r="10" spans="1:7" x14ac:dyDescent="0.25">
      <c r="A10" t="s">
        <v>15</v>
      </c>
      <c r="B10" s="5" t="s">
        <v>55</v>
      </c>
      <c r="C10" s="5" t="s">
        <v>55</v>
      </c>
      <c r="D10" t="b">
        <f t="shared" si="0"/>
        <v>0</v>
      </c>
      <c r="F10" s="7" t="s">
        <v>23</v>
      </c>
      <c r="G10" s="2">
        <f t="shared" si="1"/>
        <v>10</v>
      </c>
    </row>
    <row r="11" spans="1:7" x14ac:dyDescent="0.25">
      <c r="A11" t="s">
        <v>15</v>
      </c>
      <c r="B11" s="5" t="s">
        <v>52</v>
      </c>
      <c r="C11" s="5" t="s">
        <v>52</v>
      </c>
      <c r="D11" t="b">
        <f t="shared" si="0"/>
        <v>0</v>
      </c>
      <c r="F11" s="7" t="s">
        <v>27</v>
      </c>
      <c r="G11" s="2">
        <f t="shared" si="1"/>
        <v>6</v>
      </c>
    </row>
    <row r="12" spans="1:7" x14ac:dyDescent="0.25">
      <c r="A12" t="s">
        <v>15</v>
      </c>
      <c r="B12" s="5" t="s">
        <v>58</v>
      </c>
      <c r="C12" s="5" t="s">
        <v>58</v>
      </c>
      <c r="D12" t="b">
        <f t="shared" si="0"/>
        <v>0</v>
      </c>
      <c r="F12" s="7" t="s">
        <v>26</v>
      </c>
      <c r="G12" s="2">
        <f t="shared" si="1"/>
        <v>6</v>
      </c>
    </row>
    <row r="13" spans="1:7" x14ac:dyDescent="0.25">
      <c r="A13" t="s">
        <v>15</v>
      </c>
      <c r="B13" s="5" t="s">
        <v>60</v>
      </c>
      <c r="C13" s="5" t="s">
        <v>1101</v>
      </c>
      <c r="D13" t="b">
        <f t="shared" si="0"/>
        <v>1</v>
      </c>
      <c r="F13" s="7" t="s">
        <v>1280</v>
      </c>
      <c r="G13" s="2">
        <f t="shared" si="1"/>
        <v>10</v>
      </c>
    </row>
    <row r="14" spans="1:7" x14ac:dyDescent="0.25">
      <c r="A14" t="s">
        <v>15</v>
      </c>
      <c r="B14" s="5" t="s">
        <v>59</v>
      </c>
      <c r="C14" s="5" t="s">
        <v>59</v>
      </c>
      <c r="D14" t="b">
        <f t="shared" si="0"/>
        <v>0</v>
      </c>
      <c r="F14" s="7" t="s">
        <v>41</v>
      </c>
      <c r="G14" s="2">
        <f t="shared" si="1"/>
        <v>7</v>
      </c>
    </row>
    <row r="15" spans="1:7" x14ac:dyDescent="0.25">
      <c r="A15" t="s">
        <v>15</v>
      </c>
      <c r="B15" s="5" t="s">
        <v>293</v>
      </c>
      <c r="C15" s="5" t="s">
        <v>293</v>
      </c>
      <c r="D15" t="b">
        <f t="shared" si="0"/>
        <v>0</v>
      </c>
    </row>
    <row r="16" spans="1:7" x14ac:dyDescent="0.25">
      <c r="A16" t="s">
        <v>15</v>
      </c>
      <c r="B16" s="5" t="s">
        <v>122</v>
      </c>
      <c r="C16" s="5" t="s">
        <v>48</v>
      </c>
      <c r="D16" t="b">
        <f t="shared" si="0"/>
        <v>1</v>
      </c>
    </row>
    <row r="17" spans="1:7" x14ac:dyDescent="0.25">
      <c r="A17" t="s">
        <v>15</v>
      </c>
      <c r="B17" s="5" t="s">
        <v>1102</v>
      </c>
      <c r="C17" s="5" t="s">
        <v>1102</v>
      </c>
      <c r="D17" t="b">
        <f t="shared" si="0"/>
        <v>0</v>
      </c>
      <c r="F17" s="1"/>
      <c r="G17" s="2"/>
    </row>
    <row r="18" spans="1:7" x14ac:dyDescent="0.25">
      <c r="A18" t="s">
        <v>15</v>
      </c>
      <c r="B18" s="5" t="s">
        <v>297</v>
      </c>
      <c r="C18" s="5" t="s">
        <v>297</v>
      </c>
      <c r="D18" t="b">
        <f t="shared" si="0"/>
        <v>0</v>
      </c>
      <c r="F18" s="4"/>
      <c r="G18" s="2"/>
    </row>
    <row r="19" spans="1:7" x14ac:dyDescent="0.25">
      <c r="A19" t="s">
        <v>15</v>
      </c>
      <c r="B19" s="5" t="s">
        <v>296</v>
      </c>
      <c r="C19" s="5" t="s">
        <v>296</v>
      </c>
      <c r="D19" t="b">
        <f t="shared" si="0"/>
        <v>0</v>
      </c>
    </row>
    <row r="20" spans="1:7" x14ac:dyDescent="0.25">
      <c r="A20" t="s">
        <v>15</v>
      </c>
      <c r="B20" s="5" t="s">
        <v>666</v>
      </c>
      <c r="C20" s="5" t="s">
        <v>666</v>
      </c>
      <c r="D20" t="b">
        <f t="shared" si="0"/>
        <v>0</v>
      </c>
    </row>
    <row r="21" spans="1:7" x14ac:dyDescent="0.25">
      <c r="A21" t="s">
        <v>15</v>
      </c>
      <c r="B21" s="5" t="s">
        <v>155</v>
      </c>
      <c r="C21" s="5" t="s">
        <v>155</v>
      </c>
      <c r="D21" t="b">
        <f t="shared" si="0"/>
        <v>0</v>
      </c>
    </row>
    <row r="22" spans="1:7" x14ac:dyDescent="0.25">
      <c r="A22" t="s">
        <v>15</v>
      </c>
      <c r="B22" s="5" t="s">
        <v>670</v>
      </c>
      <c r="C22" s="5" t="s">
        <v>670</v>
      </c>
      <c r="D22" t="b">
        <f t="shared" si="0"/>
        <v>0</v>
      </c>
    </row>
    <row r="23" spans="1:7" x14ac:dyDescent="0.25">
      <c r="A23" t="s">
        <v>15</v>
      </c>
      <c r="B23" s="5" t="s">
        <v>154</v>
      </c>
      <c r="C23" s="5" t="s">
        <v>154</v>
      </c>
      <c r="D23" t="b">
        <f t="shared" si="0"/>
        <v>0</v>
      </c>
    </row>
    <row r="24" spans="1:7" x14ac:dyDescent="0.25">
      <c r="A24" t="s">
        <v>15</v>
      </c>
      <c r="B24" s="5" t="s">
        <v>61</v>
      </c>
      <c r="C24" s="5" t="s">
        <v>1282</v>
      </c>
      <c r="D24" t="b">
        <f t="shared" si="0"/>
        <v>1</v>
      </c>
    </row>
    <row r="25" spans="1:7" x14ac:dyDescent="0.25">
      <c r="A25" t="s">
        <v>15</v>
      </c>
      <c r="B25" s="5" t="s">
        <v>743</v>
      </c>
      <c r="C25" s="5" t="s">
        <v>157</v>
      </c>
      <c r="D25" t="b">
        <f t="shared" si="0"/>
        <v>1</v>
      </c>
    </row>
    <row r="26" spans="1:7" x14ac:dyDescent="0.25">
      <c r="A26" t="s">
        <v>15</v>
      </c>
      <c r="B26" s="5" t="s">
        <v>61</v>
      </c>
      <c r="C26" s="5" t="s">
        <v>1663</v>
      </c>
      <c r="D26" t="b">
        <f t="shared" si="0"/>
        <v>1</v>
      </c>
    </row>
    <row r="27" spans="1:7" x14ac:dyDescent="0.25">
      <c r="A27" t="s">
        <v>15</v>
      </c>
      <c r="B27" s="5" t="s">
        <v>20</v>
      </c>
      <c r="C27" s="5" t="s">
        <v>20</v>
      </c>
      <c r="D27" t="b">
        <f t="shared" si="0"/>
        <v>0</v>
      </c>
    </row>
    <row r="28" spans="1:7" x14ac:dyDescent="0.25">
      <c r="A28" t="s">
        <v>15</v>
      </c>
      <c r="B28" s="5" t="s">
        <v>43</v>
      </c>
      <c r="C28" s="5" t="s">
        <v>43</v>
      </c>
      <c r="D28" t="b">
        <f t="shared" si="0"/>
        <v>0</v>
      </c>
    </row>
    <row r="29" spans="1:7" x14ac:dyDescent="0.25">
      <c r="A29" t="s">
        <v>15</v>
      </c>
      <c r="B29" s="5" t="s">
        <v>34</v>
      </c>
      <c r="C29" s="5" t="s">
        <v>34</v>
      </c>
      <c r="D29" t="b">
        <f t="shared" si="0"/>
        <v>0</v>
      </c>
    </row>
    <row r="30" spans="1:7" x14ac:dyDescent="0.25">
      <c r="A30" t="s">
        <v>15</v>
      </c>
      <c r="B30" s="5" t="s">
        <v>878</v>
      </c>
      <c r="C30" s="5" t="s">
        <v>878</v>
      </c>
      <c r="D30" t="b">
        <f t="shared" si="0"/>
        <v>0</v>
      </c>
    </row>
    <row r="31" spans="1:7" x14ac:dyDescent="0.25">
      <c r="A31" t="s">
        <v>15</v>
      </c>
      <c r="B31" s="5" t="s">
        <v>45</v>
      </c>
      <c r="C31" s="5" t="s">
        <v>45</v>
      </c>
      <c r="D31" t="b">
        <f t="shared" si="0"/>
        <v>0</v>
      </c>
    </row>
    <row r="32" spans="1:7" x14ac:dyDescent="0.25">
      <c r="A32" t="s">
        <v>15</v>
      </c>
      <c r="B32" s="5" t="s">
        <v>39</v>
      </c>
      <c r="C32" s="5" t="s">
        <v>39</v>
      </c>
      <c r="D32" t="b">
        <f t="shared" si="0"/>
        <v>0</v>
      </c>
    </row>
    <row r="33" spans="1:4" x14ac:dyDescent="0.25">
      <c r="A33" t="s">
        <v>15</v>
      </c>
      <c r="B33" s="5" t="s">
        <v>1103</v>
      </c>
      <c r="C33" s="5" t="s">
        <v>1103</v>
      </c>
      <c r="D33" t="b">
        <f t="shared" si="0"/>
        <v>0</v>
      </c>
    </row>
    <row r="34" spans="1:4" x14ac:dyDescent="0.25">
      <c r="A34" t="s">
        <v>15</v>
      </c>
      <c r="B34" s="5" t="s">
        <v>172</v>
      </c>
      <c r="C34" s="5" t="s">
        <v>172</v>
      </c>
      <c r="D34" t="b">
        <f t="shared" si="0"/>
        <v>0</v>
      </c>
    </row>
    <row r="35" spans="1:4" x14ac:dyDescent="0.25">
      <c r="A35" t="s">
        <v>15</v>
      </c>
      <c r="B35" s="5" t="s">
        <v>172</v>
      </c>
      <c r="C35" s="5" t="s">
        <v>172</v>
      </c>
      <c r="D35" t="b">
        <f t="shared" ref="D35:D66" si="2">B35&lt;&gt;C35</f>
        <v>0</v>
      </c>
    </row>
    <row r="36" spans="1:4" x14ac:dyDescent="0.25">
      <c r="A36" t="s">
        <v>15</v>
      </c>
      <c r="B36" s="5" t="s">
        <v>60</v>
      </c>
      <c r="C36" s="5" t="s">
        <v>60</v>
      </c>
      <c r="D36" t="b">
        <f t="shared" si="2"/>
        <v>0</v>
      </c>
    </row>
    <row r="37" spans="1:4" x14ac:dyDescent="0.25">
      <c r="A37" t="s">
        <v>15</v>
      </c>
      <c r="B37" s="5" t="s">
        <v>60</v>
      </c>
      <c r="C37" s="5" t="s">
        <v>60</v>
      </c>
      <c r="D37" t="b">
        <f t="shared" si="2"/>
        <v>0</v>
      </c>
    </row>
    <row r="38" spans="1:4" x14ac:dyDescent="0.25">
      <c r="A38" t="s">
        <v>15</v>
      </c>
      <c r="B38" s="5" t="s">
        <v>122</v>
      </c>
      <c r="C38" s="5" t="s">
        <v>122</v>
      </c>
      <c r="D38" t="b">
        <f t="shared" si="2"/>
        <v>0</v>
      </c>
    </row>
    <row r="39" spans="1:4" x14ac:dyDescent="0.25">
      <c r="A39" t="s">
        <v>15</v>
      </c>
      <c r="B39" s="5" t="s">
        <v>122</v>
      </c>
      <c r="C39" s="5" t="s">
        <v>122</v>
      </c>
      <c r="D39" t="b">
        <f t="shared" si="2"/>
        <v>0</v>
      </c>
    </row>
    <row r="40" spans="1:4" x14ac:dyDescent="0.25">
      <c r="A40" t="s">
        <v>15</v>
      </c>
      <c r="B40" s="5" t="s">
        <v>61</v>
      </c>
      <c r="C40" s="5" t="s">
        <v>61</v>
      </c>
      <c r="D40" t="b">
        <f t="shared" si="2"/>
        <v>0</v>
      </c>
    </row>
    <row r="41" spans="1:4" x14ac:dyDescent="0.25">
      <c r="A41" t="s">
        <v>15</v>
      </c>
      <c r="B41" s="5" t="s">
        <v>61</v>
      </c>
      <c r="C41" s="5" t="s">
        <v>61</v>
      </c>
      <c r="D41" t="b">
        <f t="shared" si="2"/>
        <v>0</v>
      </c>
    </row>
    <row r="42" spans="1:4" x14ac:dyDescent="0.25">
      <c r="A42" t="s">
        <v>21</v>
      </c>
      <c r="B42" s="5" t="s">
        <v>173</v>
      </c>
      <c r="C42" s="5" t="s">
        <v>173</v>
      </c>
      <c r="D42" t="b">
        <f t="shared" si="2"/>
        <v>0</v>
      </c>
    </row>
    <row r="43" spans="1:4" x14ac:dyDescent="0.25">
      <c r="A43" t="s">
        <v>21</v>
      </c>
      <c r="B43" s="5" t="s">
        <v>174</v>
      </c>
      <c r="C43" s="5" t="s">
        <v>174</v>
      </c>
      <c r="D43" t="b">
        <f t="shared" si="2"/>
        <v>0</v>
      </c>
    </row>
    <row r="44" spans="1:4" x14ac:dyDescent="0.25">
      <c r="A44" t="s">
        <v>21</v>
      </c>
      <c r="B44" s="5" t="s">
        <v>175</v>
      </c>
      <c r="C44" s="5" t="s">
        <v>175</v>
      </c>
      <c r="D44" t="b">
        <f t="shared" si="2"/>
        <v>0</v>
      </c>
    </row>
    <row r="45" spans="1:4" x14ac:dyDescent="0.25">
      <c r="A45" t="s">
        <v>21</v>
      </c>
      <c r="B45" s="5" t="s">
        <v>467</v>
      </c>
      <c r="C45" s="5" t="s">
        <v>467</v>
      </c>
      <c r="D45" t="b">
        <f t="shared" si="2"/>
        <v>0</v>
      </c>
    </row>
    <row r="46" spans="1:4" x14ac:dyDescent="0.25">
      <c r="A46" t="s">
        <v>21</v>
      </c>
      <c r="B46" s="5" t="s">
        <v>126</v>
      </c>
      <c r="C46" s="5" t="s">
        <v>126</v>
      </c>
      <c r="D46" t="b">
        <f t="shared" si="2"/>
        <v>0</v>
      </c>
    </row>
    <row r="47" spans="1:4" x14ac:dyDescent="0.25">
      <c r="A47" t="s">
        <v>21</v>
      </c>
      <c r="B47" s="5" t="s">
        <v>466</v>
      </c>
      <c r="C47" s="5" t="s">
        <v>466</v>
      </c>
      <c r="D47" t="b">
        <f t="shared" si="2"/>
        <v>0</v>
      </c>
    </row>
    <row r="48" spans="1:4" x14ac:dyDescent="0.25">
      <c r="A48" t="s">
        <v>21</v>
      </c>
      <c r="B48" s="5" t="s">
        <v>177</v>
      </c>
      <c r="C48" s="5" t="s">
        <v>177</v>
      </c>
      <c r="D48" t="b">
        <f t="shared" si="2"/>
        <v>0</v>
      </c>
    </row>
    <row r="49" spans="1:4" x14ac:dyDescent="0.25">
      <c r="A49" t="s">
        <v>21</v>
      </c>
      <c r="B49" s="5" t="s">
        <v>178</v>
      </c>
      <c r="C49" s="5" t="s">
        <v>178</v>
      </c>
      <c r="D49" t="b">
        <f t="shared" si="2"/>
        <v>0</v>
      </c>
    </row>
    <row r="50" spans="1:4" x14ac:dyDescent="0.25">
      <c r="A50" t="s">
        <v>21</v>
      </c>
      <c r="B50" s="5" t="s">
        <v>1281</v>
      </c>
      <c r="C50" s="5" t="s">
        <v>1281</v>
      </c>
      <c r="D50" t="b">
        <f t="shared" si="2"/>
        <v>0</v>
      </c>
    </row>
    <row r="51" spans="1:4" x14ac:dyDescent="0.25">
      <c r="A51" t="s">
        <v>21</v>
      </c>
      <c r="B51" s="5" t="s">
        <v>179</v>
      </c>
      <c r="C51" s="5" t="s">
        <v>179</v>
      </c>
      <c r="D51" t="b">
        <f t="shared" si="2"/>
        <v>0</v>
      </c>
    </row>
    <row r="52" spans="1:4" x14ac:dyDescent="0.25">
      <c r="A52" t="s">
        <v>22</v>
      </c>
      <c r="B52" s="5" t="s">
        <v>805</v>
      </c>
      <c r="C52" s="5" t="s">
        <v>805</v>
      </c>
      <c r="D52" t="b">
        <f t="shared" si="2"/>
        <v>0</v>
      </c>
    </row>
    <row r="53" spans="1:4" x14ac:dyDescent="0.25">
      <c r="A53" t="s">
        <v>22</v>
      </c>
      <c r="B53" s="5" t="s">
        <v>186</v>
      </c>
      <c r="C53" s="5" t="s">
        <v>186</v>
      </c>
      <c r="D53" t="b">
        <f t="shared" si="2"/>
        <v>0</v>
      </c>
    </row>
    <row r="54" spans="1:4" x14ac:dyDescent="0.25">
      <c r="A54" t="s">
        <v>22</v>
      </c>
      <c r="B54" s="5" t="s">
        <v>1294</v>
      </c>
      <c r="C54" s="5" t="s">
        <v>1294</v>
      </c>
      <c r="D54" t="b">
        <f t="shared" si="2"/>
        <v>0</v>
      </c>
    </row>
    <row r="55" spans="1:4" x14ac:dyDescent="0.25">
      <c r="A55" t="s">
        <v>22</v>
      </c>
      <c r="B55" s="5" t="s">
        <v>1107</v>
      </c>
      <c r="C55" s="5" t="s">
        <v>1929</v>
      </c>
      <c r="D55" t="b">
        <f t="shared" si="2"/>
        <v>1</v>
      </c>
    </row>
    <row r="56" spans="1:4" x14ac:dyDescent="0.25">
      <c r="A56" t="s">
        <v>22</v>
      </c>
      <c r="B56" s="5" t="s">
        <v>1104</v>
      </c>
      <c r="C56" s="5" t="s">
        <v>1104</v>
      </c>
      <c r="D56" t="b">
        <f t="shared" si="2"/>
        <v>0</v>
      </c>
    </row>
    <row r="57" spans="1:4" x14ac:dyDescent="0.25">
      <c r="A57" t="s">
        <v>22</v>
      </c>
      <c r="B57" s="5" t="s">
        <v>68</v>
      </c>
      <c r="C57" s="5" t="s">
        <v>68</v>
      </c>
      <c r="D57" t="b">
        <f t="shared" si="2"/>
        <v>0</v>
      </c>
    </row>
    <row r="58" spans="1:4" x14ac:dyDescent="0.25">
      <c r="A58" t="s">
        <v>22</v>
      </c>
      <c r="B58" s="5" t="s">
        <v>1105</v>
      </c>
      <c r="C58" s="5" t="s">
        <v>1105</v>
      </c>
      <c r="D58" t="b">
        <f t="shared" si="2"/>
        <v>0</v>
      </c>
    </row>
    <row r="59" spans="1:4" x14ac:dyDescent="0.25">
      <c r="A59" t="s">
        <v>22</v>
      </c>
      <c r="B59" s="5" t="s">
        <v>72</v>
      </c>
      <c r="C59" s="5" t="s">
        <v>72</v>
      </c>
      <c r="D59" t="b">
        <f t="shared" si="2"/>
        <v>0</v>
      </c>
    </row>
    <row r="60" spans="1:4" x14ac:dyDescent="0.25">
      <c r="A60" t="s">
        <v>22</v>
      </c>
      <c r="B60" s="5" t="s">
        <v>1106</v>
      </c>
      <c r="C60" s="5" t="s">
        <v>1106</v>
      </c>
      <c r="D60" t="b">
        <f t="shared" si="2"/>
        <v>0</v>
      </c>
    </row>
    <row r="61" spans="1:4" x14ac:dyDescent="0.25">
      <c r="A61" t="s">
        <v>22</v>
      </c>
      <c r="B61" s="5" t="s">
        <v>1284</v>
      </c>
      <c r="C61" s="5" t="s">
        <v>1284</v>
      </c>
      <c r="D61" t="b">
        <f t="shared" si="2"/>
        <v>0</v>
      </c>
    </row>
    <row r="62" spans="1:4" x14ac:dyDescent="0.25">
      <c r="A62" t="s">
        <v>22</v>
      </c>
      <c r="B62" s="5" t="s">
        <v>1117</v>
      </c>
      <c r="C62" s="5" t="s">
        <v>1117</v>
      </c>
      <c r="D62" t="b">
        <f t="shared" si="2"/>
        <v>0</v>
      </c>
    </row>
    <row r="63" spans="1:4" x14ac:dyDescent="0.25">
      <c r="A63" t="s">
        <v>22</v>
      </c>
      <c r="B63" s="5" t="s">
        <v>1108</v>
      </c>
      <c r="C63" s="5" t="s">
        <v>1108</v>
      </c>
      <c r="D63" t="b">
        <f t="shared" si="2"/>
        <v>0</v>
      </c>
    </row>
    <row r="64" spans="1:4" x14ac:dyDescent="0.25">
      <c r="A64" t="s">
        <v>23</v>
      </c>
      <c r="B64" s="5" t="s">
        <v>1109</v>
      </c>
      <c r="C64" s="5" t="s">
        <v>1109</v>
      </c>
      <c r="D64" t="b">
        <f t="shared" si="2"/>
        <v>0</v>
      </c>
    </row>
    <row r="65" spans="1:4" x14ac:dyDescent="0.25">
      <c r="A65" t="s">
        <v>23</v>
      </c>
      <c r="B65" s="5" t="s">
        <v>310</v>
      </c>
      <c r="C65" s="5" t="s">
        <v>310</v>
      </c>
      <c r="D65" t="b">
        <f t="shared" si="2"/>
        <v>0</v>
      </c>
    </row>
    <row r="66" spans="1:4" x14ac:dyDescent="0.25">
      <c r="A66" t="s">
        <v>23</v>
      </c>
      <c r="B66" s="5" t="s">
        <v>1729</v>
      </c>
      <c r="C66" s="5" t="s">
        <v>1729</v>
      </c>
      <c r="D66" t="b">
        <f t="shared" si="2"/>
        <v>0</v>
      </c>
    </row>
    <row r="67" spans="1:4" x14ac:dyDescent="0.25">
      <c r="A67" t="s">
        <v>23</v>
      </c>
      <c r="B67" s="5" t="s">
        <v>1386</v>
      </c>
      <c r="C67" s="5" t="s">
        <v>1295</v>
      </c>
      <c r="D67" t="b">
        <f t="shared" ref="D67:D69" si="3">B67&lt;&gt;C67</f>
        <v>1</v>
      </c>
    </row>
    <row r="68" spans="1:4" x14ac:dyDescent="0.25">
      <c r="A68" t="s">
        <v>23</v>
      </c>
      <c r="B68" s="5" t="s">
        <v>1111</v>
      </c>
      <c r="C68" s="5" t="s">
        <v>1111</v>
      </c>
      <c r="D68" t="b">
        <f t="shared" si="3"/>
        <v>0</v>
      </c>
    </row>
    <row r="69" spans="1:4" x14ac:dyDescent="0.25">
      <c r="A69" t="s">
        <v>23</v>
      </c>
      <c r="B69" s="5" t="s">
        <v>1283</v>
      </c>
      <c r="C69" s="5" t="s">
        <v>1283</v>
      </c>
      <c r="D69" t="b">
        <f t="shared" si="3"/>
        <v>0</v>
      </c>
    </row>
    <row r="70" spans="1:4" x14ac:dyDescent="0.25">
      <c r="A70" t="s">
        <v>23</v>
      </c>
      <c r="B70" s="5" t="s">
        <v>146</v>
      </c>
      <c r="C70" s="5" t="s">
        <v>146</v>
      </c>
      <c r="D70" t="b">
        <f t="shared" ref="D70:D102" si="4">B70&lt;&gt;C70</f>
        <v>0</v>
      </c>
    </row>
    <row r="71" spans="1:4" x14ac:dyDescent="0.25">
      <c r="A71" t="s">
        <v>23</v>
      </c>
      <c r="B71" s="5" t="s">
        <v>735</v>
      </c>
      <c r="C71" s="5" t="s">
        <v>735</v>
      </c>
      <c r="D71" t="b">
        <f t="shared" si="4"/>
        <v>0</v>
      </c>
    </row>
    <row r="72" spans="1:4" x14ac:dyDescent="0.25">
      <c r="A72" t="s">
        <v>23</v>
      </c>
      <c r="B72" s="5" t="s">
        <v>823</v>
      </c>
      <c r="C72" s="5" t="s">
        <v>823</v>
      </c>
      <c r="D72" t="b">
        <f t="shared" si="4"/>
        <v>0</v>
      </c>
    </row>
    <row r="73" spans="1:4" x14ac:dyDescent="0.25">
      <c r="A73" t="s">
        <v>23</v>
      </c>
      <c r="B73" s="5" t="s">
        <v>653</v>
      </c>
      <c r="C73" s="5" t="s">
        <v>653</v>
      </c>
      <c r="D73" t="b">
        <f t="shared" si="4"/>
        <v>0</v>
      </c>
    </row>
    <row r="74" spans="1:4" x14ac:dyDescent="0.25">
      <c r="A74" t="s">
        <v>27</v>
      </c>
      <c r="B74" s="5" t="s">
        <v>1081</v>
      </c>
      <c r="C74" s="5" t="s">
        <v>1081</v>
      </c>
      <c r="D74" t="b">
        <f t="shared" si="4"/>
        <v>0</v>
      </c>
    </row>
    <row r="75" spans="1:4" x14ac:dyDescent="0.25">
      <c r="A75" t="s">
        <v>27</v>
      </c>
      <c r="B75" s="5" t="s">
        <v>1727</v>
      </c>
      <c r="C75" s="5" t="s">
        <v>1727</v>
      </c>
      <c r="D75" t="b">
        <f t="shared" si="4"/>
        <v>0</v>
      </c>
    </row>
    <row r="76" spans="1:4" x14ac:dyDescent="0.25">
      <c r="A76" t="s">
        <v>27</v>
      </c>
      <c r="B76" s="5" t="s">
        <v>1114</v>
      </c>
      <c r="C76" s="5" t="s">
        <v>1114</v>
      </c>
      <c r="D76" t="b">
        <f t="shared" si="4"/>
        <v>0</v>
      </c>
    </row>
    <row r="77" spans="1:4" x14ac:dyDescent="0.25">
      <c r="A77" t="s">
        <v>27</v>
      </c>
      <c r="B77" s="5" t="s">
        <v>1728</v>
      </c>
      <c r="C77" s="5" t="s">
        <v>1928</v>
      </c>
      <c r="D77" t="b">
        <f t="shared" si="4"/>
        <v>1</v>
      </c>
    </row>
    <row r="78" spans="1:4" x14ac:dyDescent="0.25">
      <c r="A78" t="s">
        <v>27</v>
      </c>
      <c r="B78" s="5" t="s">
        <v>1293</v>
      </c>
      <c r="C78" s="5" t="s">
        <v>1293</v>
      </c>
      <c r="D78" t="b">
        <f t="shared" si="4"/>
        <v>0</v>
      </c>
    </row>
    <row r="79" spans="1:4" x14ac:dyDescent="0.25">
      <c r="A79" t="s">
        <v>27</v>
      </c>
      <c r="B79" s="5" t="s">
        <v>1113</v>
      </c>
      <c r="C79" s="5" t="s">
        <v>1113</v>
      </c>
      <c r="D79" t="b">
        <f t="shared" si="4"/>
        <v>0</v>
      </c>
    </row>
    <row r="80" spans="1:4" x14ac:dyDescent="0.25">
      <c r="A80" t="s">
        <v>26</v>
      </c>
      <c r="B80" s="5" t="s">
        <v>314</v>
      </c>
      <c r="C80" s="5" t="s">
        <v>314</v>
      </c>
      <c r="D80" t="b">
        <f t="shared" si="4"/>
        <v>0</v>
      </c>
    </row>
    <row r="81" spans="1:6" x14ac:dyDescent="0.25">
      <c r="A81" t="s">
        <v>26</v>
      </c>
      <c r="B81" s="5" t="s">
        <v>586</v>
      </c>
      <c r="C81" s="5" t="s">
        <v>586</v>
      </c>
      <c r="D81" t="b">
        <f t="shared" si="4"/>
        <v>0</v>
      </c>
    </row>
    <row r="82" spans="1:6" x14ac:dyDescent="0.25">
      <c r="A82" t="s">
        <v>26</v>
      </c>
      <c r="B82" s="5" t="s">
        <v>213</v>
      </c>
      <c r="C82" s="5" t="s">
        <v>213</v>
      </c>
      <c r="D82" t="b">
        <f t="shared" si="4"/>
        <v>0</v>
      </c>
    </row>
    <row r="83" spans="1:6" x14ac:dyDescent="0.25">
      <c r="A83" t="s">
        <v>26</v>
      </c>
      <c r="B83" s="5" t="s">
        <v>649</v>
      </c>
      <c r="C83" s="5" t="s">
        <v>649</v>
      </c>
      <c r="D83" t="b">
        <f t="shared" si="4"/>
        <v>0</v>
      </c>
    </row>
    <row r="84" spans="1:6" x14ac:dyDescent="0.25">
      <c r="A84" t="s">
        <v>26</v>
      </c>
      <c r="B84" s="5" t="s">
        <v>1388</v>
      </c>
      <c r="C84" s="5" t="s">
        <v>2198</v>
      </c>
      <c r="D84" t="b">
        <f>B84&lt;&gt;C84</f>
        <v>1</v>
      </c>
    </row>
    <row r="85" spans="1:6" x14ac:dyDescent="0.25">
      <c r="A85" t="s">
        <v>26</v>
      </c>
      <c r="B85" s="5" t="s">
        <v>640</v>
      </c>
      <c r="C85" s="5" t="s">
        <v>640</v>
      </c>
      <c r="D85" t="b">
        <f t="shared" si="4"/>
        <v>0</v>
      </c>
    </row>
    <row r="86" spans="1:6" x14ac:dyDescent="0.25">
      <c r="A86" t="s">
        <v>1280</v>
      </c>
      <c r="B86" s="5" t="s">
        <v>1454</v>
      </c>
      <c r="C86" s="5" t="s">
        <v>1454</v>
      </c>
      <c r="D86" t="b">
        <f t="shared" si="4"/>
        <v>0</v>
      </c>
    </row>
    <row r="87" spans="1:6" x14ac:dyDescent="0.25">
      <c r="A87" t="s">
        <v>1280</v>
      </c>
      <c r="B87" s="5" t="s">
        <v>1285</v>
      </c>
      <c r="C87" s="5" t="s">
        <v>1285</v>
      </c>
      <c r="D87" t="b">
        <f t="shared" si="4"/>
        <v>0</v>
      </c>
      <c r="F87"/>
    </row>
    <row r="88" spans="1:6" x14ac:dyDescent="0.25">
      <c r="A88" t="s">
        <v>1280</v>
      </c>
      <c r="B88" s="5" t="s">
        <v>1290</v>
      </c>
      <c r="C88" s="5" t="s">
        <v>1290</v>
      </c>
      <c r="D88" t="b">
        <f t="shared" si="4"/>
        <v>0</v>
      </c>
      <c r="F88"/>
    </row>
    <row r="89" spans="1:6" x14ac:dyDescent="0.25">
      <c r="A89" t="s">
        <v>1280</v>
      </c>
      <c r="B89" s="5" t="s">
        <v>1291</v>
      </c>
      <c r="C89" s="5" t="s">
        <v>1291</v>
      </c>
      <c r="D89" t="b">
        <f t="shared" si="4"/>
        <v>0</v>
      </c>
      <c r="F89"/>
    </row>
    <row r="90" spans="1:6" x14ac:dyDescent="0.25">
      <c r="A90" t="s">
        <v>1280</v>
      </c>
      <c r="B90" s="5" t="s">
        <v>1292</v>
      </c>
      <c r="C90" s="5" t="s">
        <v>1292</v>
      </c>
      <c r="D90" t="b">
        <f t="shared" si="4"/>
        <v>0</v>
      </c>
      <c r="F90"/>
    </row>
    <row r="91" spans="1:6" x14ac:dyDescent="0.25">
      <c r="A91" t="s">
        <v>1280</v>
      </c>
      <c r="B91" s="5" t="s">
        <v>1286</v>
      </c>
      <c r="C91" s="5" t="s">
        <v>1286</v>
      </c>
      <c r="D91" t="b">
        <f t="shared" si="4"/>
        <v>0</v>
      </c>
      <c r="F91"/>
    </row>
    <row r="92" spans="1:6" x14ac:dyDescent="0.25">
      <c r="A92" t="s">
        <v>1280</v>
      </c>
      <c r="B92" s="5" t="s">
        <v>1288</v>
      </c>
      <c r="C92" s="5" t="s">
        <v>1288</v>
      </c>
      <c r="D92" t="b">
        <f t="shared" si="4"/>
        <v>0</v>
      </c>
      <c r="F92"/>
    </row>
    <row r="93" spans="1:6" x14ac:dyDescent="0.25">
      <c r="A93" t="s">
        <v>1280</v>
      </c>
      <c r="B93" s="5" t="s">
        <v>1119</v>
      </c>
      <c r="C93" s="5" t="s">
        <v>1119</v>
      </c>
      <c r="D93" t="b">
        <f t="shared" si="4"/>
        <v>0</v>
      </c>
      <c r="F93"/>
    </row>
    <row r="94" spans="1:6" x14ac:dyDescent="0.25">
      <c r="A94" t="s">
        <v>1280</v>
      </c>
      <c r="B94" s="5" t="s">
        <v>1289</v>
      </c>
      <c r="C94" s="5" t="s">
        <v>1289</v>
      </c>
      <c r="D94" t="b">
        <f t="shared" si="4"/>
        <v>0</v>
      </c>
      <c r="F94"/>
    </row>
    <row r="95" spans="1:6" x14ac:dyDescent="0.25">
      <c r="A95" t="s">
        <v>1280</v>
      </c>
      <c r="B95" s="5" t="s">
        <v>1118</v>
      </c>
      <c r="C95" s="5" t="s">
        <v>1118</v>
      </c>
      <c r="D95" t="b">
        <f t="shared" si="4"/>
        <v>0</v>
      </c>
    </row>
    <row r="96" spans="1:6" x14ac:dyDescent="0.25">
      <c r="A96" t="s">
        <v>41</v>
      </c>
      <c r="B96" s="5" t="s">
        <v>1116</v>
      </c>
      <c r="C96" s="5" t="s">
        <v>1116</v>
      </c>
      <c r="D96" t="b">
        <f t="shared" si="4"/>
        <v>0</v>
      </c>
    </row>
    <row r="97" spans="1:6" x14ac:dyDescent="0.25">
      <c r="A97" t="s">
        <v>41</v>
      </c>
      <c r="B97" s="5" t="s">
        <v>1115</v>
      </c>
      <c r="C97" s="5" t="s">
        <v>1115</v>
      </c>
      <c r="D97" t="b">
        <f t="shared" si="4"/>
        <v>0</v>
      </c>
    </row>
    <row r="98" spans="1:6" x14ac:dyDescent="0.25">
      <c r="A98" t="s">
        <v>41</v>
      </c>
      <c r="B98" s="5" t="s">
        <v>2216</v>
      </c>
      <c r="C98" s="5" t="s">
        <v>2216</v>
      </c>
      <c r="D98" t="b">
        <f t="shared" si="4"/>
        <v>0</v>
      </c>
    </row>
    <row r="99" spans="1:6" x14ac:dyDescent="0.25">
      <c r="A99" t="s">
        <v>41</v>
      </c>
      <c r="B99" s="5" t="s">
        <v>2217</v>
      </c>
      <c r="C99" s="5" t="s">
        <v>2217</v>
      </c>
      <c r="D99" t="b">
        <f t="shared" si="4"/>
        <v>0</v>
      </c>
      <c r="F99"/>
    </row>
    <row r="100" spans="1:6" x14ac:dyDescent="0.25">
      <c r="A100" t="s">
        <v>41</v>
      </c>
      <c r="B100" s="5" t="s">
        <v>1097</v>
      </c>
      <c r="C100" s="5" t="s">
        <v>1097</v>
      </c>
      <c r="D100" t="b">
        <f t="shared" si="4"/>
        <v>0</v>
      </c>
    </row>
    <row r="101" spans="1:6" x14ac:dyDescent="0.25">
      <c r="A101" t="s">
        <v>41</v>
      </c>
      <c r="B101" s="5" t="s">
        <v>1287</v>
      </c>
      <c r="C101" s="5" t="s">
        <v>1287</v>
      </c>
      <c r="D101" t="b">
        <f t="shared" si="4"/>
        <v>0</v>
      </c>
    </row>
    <row r="102" spans="1:6" x14ac:dyDescent="0.25">
      <c r="A102" t="s">
        <v>41</v>
      </c>
      <c r="B102" s="5" t="s">
        <v>930</v>
      </c>
      <c r="C102" s="5" t="s">
        <v>930</v>
      </c>
      <c r="D102" t="b">
        <f t="shared" si="4"/>
        <v>0</v>
      </c>
    </row>
  </sheetData>
  <mergeCells count="1">
    <mergeCell ref="A1:G1"/>
  </mergeCells>
  <pageMargins left="0.511811024" right="0.511811024" top="0.78740157499999996" bottom="0.78740157499999996" header="0.31496062000000002" footer="0.3149606200000000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notContainsText" priority="1" operator="notContains" id="{FF86AED8-0C77-4377-885B-D9CBFB6ECCC9}">
            <xm:f>ISERROR(SEARCH(C3,B3))</xm:f>
            <xm:f>C3</xm:f>
            <x14:dxf>
              <fill>
                <patternFill>
                  <bgColor theme="5" tint="0.39994506668294322"/>
                </patternFill>
              </fill>
            </x14:dxf>
          </x14:cfRule>
          <xm:sqref>B3:B102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89FFD-C65F-440F-96C9-84F08FACEC45}">
  <sheetPr codeName="Planilha20"/>
  <dimension ref="A1:G102"/>
  <sheetViews>
    <sheetView topLeftCell="A83" workbookViewId="0">
      <selection activeCell="C100" sqref="C100"/>
    </sheetView>
  </sheetViews>
  <sheetFormatPr defaultRowHeight="15" x14ac:dyDescent="0.25"/>
  <cols>
    <col min="1" max="1" width="11.85546875" style="5" customWidth="1"/>
    <col min="2" max="3" width="38.7109375" customWidth="1"/>
    <col min="4" max="4" width="10.28515625" hidden="1" customWidth="1"/>
    <col min="5" max="5" width="4.28515625" customWidth="1"/>
    <col min="6" max="6" width="22.7109375" style="3" customWidth="1"/>
    <col min="7" max="7" width="9.140625" bestFit="1" customWidth="1"/>
  </cols>
  <sheetData>
    <row r="1" spans="1:7" ht="21" x14ac:dyDescent="0.25">
      <c r="A1" s="12" t="s">
        <v>6</v>
      </c>
      <c r="B1" s="12"/>
      <c r="C1" s="12"/>
      <c r="D1" s="12"/>
      <c r="E1" s="12"/>
      <c r="F1" s="12"/>
      <c r="G1" s="12"/>
    </row>
    <row r="2" spans="1:7" x14ac:dyDescent="0.25">
      <c r="A2" s="4" t="s">
        <v>11</v>
      </c>
      <c r="B2" s="4" t="s">
        <v>12</v>
      </c>
      <c r="C2" s="4" t="s">
        <v>13</v>
      </c>
      <c r="D2" s="4" t="s">
        <v>14</v>
      </c>
      <c r="F2" s="4" t="s">
        <v>16</v>
      </c>
      <c r="G2" s="3">
        <f>COUNTIF(D:D,"Verdadeiro")</f>
        <v>13</v>
      </c>
    </row>
    <row r="3" spans="1:7" x14ac:dyDescent="0.25">
      <c r="A3" s="5" t="s">
        <v>1539</v>
      </c>
      <c r="B3" s="5" t="s">
        <v>1555</v>
      </c>
      <c r="C3" s="5" t="s">
        <v>1555</v>
      </c>
      <c r="D3" t="b">
        <f>B3&lt;&gt;C3</f>
        <v>0</v>
      </c>
      <c r="F3" s="4" t="s">
        <v>17</v>
      </c>
      <c r="G3" s="10">
        <f>SUM(G5:G29)</f>
        <v>100</v>
      </c>
    </row>
    <row r="4" spans="1:7" x14ac:dyDescent="0.25">
      <c r="A4" t="s">
        <v>15</v>
      </c>
      <c r="B4" s="5" t="s">
        <v>789</v>
      </c>
      <c r="C4" s="5" t="s">
        <v>789</v>
      </c>
      <c r="D4" t="b">
        <f>B4&lt;&gt;C4</f>
        <v>0</v>
      </c>
    </row>
    <row r="5" spans="1:7" x14ac:dyDescent="0.25">
      <c r="A5" t="s">
        <v>15</v>
      </c>
      <c r="B5" s="5" t="s">
        <v>45</v>
      </c>
      <c r="C5" s="5" t="s">
        <v>45</v>
      </c>
      <c r="D5" t="b">
        <f t="shared" ref="D5:D70" si="0">B5&lt;&gt;C5</f>
        <v>0</v>
      </c>
      <c r="F5" s="6" t="s">
        <v>19</v>
      </c>
      <c r="G5" s="1"/>
    </row>
    <row r="6" spans="1:7" x14ac:dyDescent="0.25">
      <c r="A6" t="s">
        <v>15</v>
      </c>
      <c r="B6" s="5" t="s">
        <v>61</v>
      </c>
      <c r="C6" s="5" t="s">
        <v>790</v>
      </c>
      <c r="D6" t="b">
        <f t="shared" si="0"/>
        <v>1</v>
      </c>
      <c r="F6" s="7" t="s">
        <v>1539</v>
      </c>
      <c r="G6" s="2">
        <f t="shared" ref="G6:G15" si="1">COUNTIF(A:A,F6)</f>
        <v>1</v>
      </c>
    </row>
    <row r="7" spans="1:7" x14ac:dyDescent="0.25">
      <c r="A7" t="s">
        <v>15</v>
      </c>
      <c r="B7" s="5" t="s">
        <v>60</v>
      </c>
      <c r="C7" s="5" t="s">
        <v>791</v>
      </c>
      <c r="D7" t="b">
        <f t="shared" si="0"/>
        <v>1</v>
      </c>
      <c r="F7" s="3" t="s">
        <v>15</v>
      </c>
      <c r="G7" s="2">
        <f t="shared" si="1"/>
        <v>33</v>
      </c>
    </row>
    <row r="8" spans="1:7" x14ac:dyDescent="0.25">
      <c r="A8" t="s">
        <v>15</v>
      </c>
      <c r="B8" s="5" t="s">
        <v>792</v>
      </c>
      <c r="C8" s="5" t="s">
        <v>792</v>
      </c>
      <c r="D8" t="b">
        <f t="shared" si="0"/>
        <v>0</v>
      </c>
      <c r="F8" s="7" t="s">
        <v>287</v>
      </c>
      <c r="G8" s="2">
        <f t="shared" si="1"/>
        <v>0</v>
      </c>
    </row>
    <row r="9" spans="1:7" x14ac:dyDescent="0.25">
      <c r="A9" t="s">
        <v>15</v>
      </c>
      <c r="B9" s="5" t="s">
        <v>61</v>
      </c>
      <c r="C9" s="5" t="s">
        <v>670</v>
      </c>
      <c r="D9" t="b">
        <f t="shared" si="0"/>
        <v>1</v>
      </c>
      <c r="F9" s="7" t="s">
        <v>22</v>
      </c>
      <c r="G9" s="2">
        <f t="shared" si="1"/>
        <v>10</v>
      </c>
    </row>
    <row r="10" spans="1:7" x14ac:dyDescent="0.25">
      <c r="A10" t="s">
        <v>15</v>
      </c>
      <c r="B10" s="5" t="s">
        <v>607</v>
      </c>
      <c r="C10" s="5" t="s">
        <v>607</v>
      </c>
      <c r="D10" t="b">
        <f t="shared" si="0"/>
        <v>0</v>
      </c>
      <c r="F10" s="7" t="s">
        <v>794</v>
      </c>
      <c r="G10" s="2">
        <f t="shared" si="1"/>
        <v>14</v>
      </c>
    </row>
    <row r="11" spans="1:7" x14ac:dyDescent="0.25">
      <c r="A11" t="s">
        <v>15</v>
      </c>
      <c r="B11" s="5" t="s">
        <v>793</v>
      </c>
      <c r="C11" s="5" t="s">
        <v>793</v>
      </c>
      <c r="D11" t="b">
        <f t="shared" si="0"/>
        <v>0</v>
      </c>
      <c r="F11" s="7" t="s">
        <v>23</v>
      </c>
      <c r="G11" s="2">
        <f t="shared" si="1"/>
        <v>11</v>
      </c>
    </row>
    <row r="12" spans="1:7" x14ac:dyDescent="0.25">
      <c r="A12" t="s">
        <v>15</v>
      </c>
      <c r="B12" s="5" t="s">
        <v>34</v>
      </c>
      <c r="C12" s="5" t="s">
        <v>34</v>
      </c>
      <c r="D12" t="b">
        <f t="shared" si="0"/>
        <v>0</v>
      </c>
      <c r="F12" s="7" t="s">
        <v>27</v>
      </c>
      <c r="G12" s="2">
        <f t="shared" si="1"/>
        <v>7</v>
      </c>
    </row>
    <row r="13" spans="1:7" x14ac:dyDescent="0.25">
      <c r="A13" t="s">
        <v>15</v>
      </c>
      <c r="B13" s="5" t="s">
        <v>61</v>
      </c>
      <c r="C13" s="5" t="s">
        <v>795</v>
      </c>
      <c r="D13" t="b">
        <f t="shared" si="0"/>
        <v>1</v>
      </c>
      <c r="F13" s="7" t="s">
        <v>797</v>
      </c>
      <c r="G13" s="2">
        <f t="shared" si="1"/>
        <v>5</v>
      </c>
    </row>
    <row r="14" spans="1:7" x14ac:dyDescent="0.25">
      <c r="A14" t="s">
        <v>15</v>
      </c>
      <c r="B14" s="5" t="s">
        <v>796</v>
      </c>
      <c r="C14" s="5" t="s">
        <v>796</v>
      </c>
      <c r="D14" t="b">
        <f t="shared" si="0"/>
        <v>0</v>
      </c>
      <c r="F14" s="7" t="s">
        <v>288</v>
      </c>
      <c r="G14" s="2">
        <f t="shared" si="1"/>
        <v>13</v>
      </c>
    </row>
    <row r="15" spans="1:7" x14ac:dyDescent="0.25">
      <c r="A15" t="s">
        <v>15</v>
      </c>
      <c r="B15" s="5" t="s">
        <v>20</v>
      </c>
      <c r="C15" s="5" t="s">
        <v>20</v>
      </c>
      <c r="D15" t="b">
        <f t="shared" si="0"/>
        <v>0</v>
      </c>
      <c r="F15" s="7" t="s">
        <v>799</v>
      </c>
      <c r="G15" s="2">
        <f t="shared" si="1"/>
        <v>6</v>
      </c>
    </row>
    <row r="16" spans="1:7" x14ac:dyDescent="0.25">
      <c r="A16" t="s">
        <v>15</v>
      </c>
      <c r="B16" s="5" t="s">
        <v>798</v>
      </c>
      <c r="C16" s="5" t="s">
        <v>798</v>
      </c>
      <c r="D16" t="b">
        <f t="shared" si="0"/>
        <v>0</v>
      </c>
    </row>
    <row r="17" spans="1:7" x14ac:dyDescent="0.25">
      <c r="A17" t="s">
        <v>15</v>
      </c>
      <c r="B17" s="5" t="s">
        <v>800</v>
      </c>
      <c r="C17" s="5" t="s">
        <v>800</v>
      </c>
      <c r="D17" t="b">
        <f t="shared" si="0"/>
        <v>0</v>
      </c>
    </row>
    <row r="18" spans="1:7" x14ac:dyDescent="0.25">
      <c r="A18" t="s">
        <v>15</v>
      </c>
      <c r="B18" s="5" t="s">
        <v>711</v>
      </c>
      <c r="C18" s="5" t="s">
        <v>711</v>
      </c>
      <c r="D18" t="b">
        <f t="shared" si="0"/>
        <v>0</v>
      </c>
      <c r="F18" s="5"/>
      <c r="G18" s="2"/>
    </row>
    <row r="19" spans="1:7" x14ac:dyDescent="0.25">
      <c r="A19" t="s">
        <v>15</v>
      </c>
      <c r="B19" s="5" t="s">
        <v>61</v>
      </c>
      <c r="C19" s="5" t="s">
        <v>48</v>
      </c>
      <c r="D19" t="b">
        <f t="shared" si="0"/>
        <v>1</v>
      </c>
    </row>
    <row r="20" spans="1:7" x14ac:dyDescent="0.25">
      <c r="A20" t="s">
        <v>15</v>
      </c>
      <c r="B20" s="5" t="s">
        <v>60</v>
      </c>
      <c r="C20" s="5" t="s">
        <v>668</v>
      </c>
      <c r="D20" t="b">
        <f t="shared" si="0"/>
        <v>1</v>
      </c>
    </row>
    <row r="21" spans="1:7" x14ac:dyDescent="0.25">
      <c r="A21" t="s">
        <v>15</v>
      </c>
      <c r="B21" s="5" t="s">
        <v>60</v>
      </c>
      <c r="C21" s="5" t="s">
        <v>1742</v>
      </c>
      <c r="D21" t="b">
        <f t="shared" si="0"/>
        <v>1</v>
      </c>
    </row>
    <row r="22" spans="1:7" x14ac:dyDescent="0.25">
      <c r="A22" t="s">
        <v>15</v>
      </c>
      <c r="B22" s="5" t="s">
        <v>455</v>
      </c>
      <c r="C22" s="5" t="s">
        <v>455</v>
      </c>
      <c r="D22" t="b">
        <f t="shared" si="0"/>
        <v>0</v>
      </c>
    </row>
    <row r="23" spans="1:7" x14ac:dyDescent="0.25">
      <c r="A23" t="s">
        <v>15</v>
      </c>
      <c r="B23" s="5" t="s">
        <v>801</v>
      </c>
      <c r="C23" s="5" t="s">
        <v>801</v>
      </c>
      <c r="D23" t="b">
        <f t="shared" si="0"/>
        <v>0</v>
      </c>
    </row>
    <row r="24" spans="1:7" x14ac:dyDescent="0.25">
      <c r="A24" t="s">
        <v>15</v>
      </c>
      <c r="B24" s="5" t="s">
        <v>60</v>
      </c>
      <c r="C24" s="5" t="s">
        <v>60</v>
      </c>
      <c r="D24" t="b">
        <f t="shared" si="0"/>
        <v>0</v>
      </c>
    </row>
    <row r="25" spans="1:7" x14ac:dyDescent="0.25">
      <c r="A25" t="s">
        <v>15</v>
      </c>
      <c r="B25" s="5" t="s">
        <v>60</v>
      </c>
      <c r="C25" s="5" t="s">
        <v>60</v>
      </c>
      <c r="D25" t="b">
        <f t="shared" si="0"/>
        <v>0</v>
      </c>
    </row>
    <row r="26" spans="1:7" x14ac:dyDescent="0.25">
      <c r="A26" t="s">
        <v>15</v>
      </c>
      <c r="B26" s="5" t="s">
        <v>60</v>
      </c>
      <c r="C26" s="5" t="s">
        <v>60</v>
      </c>
      <c r="D26" t="b">
        <f t="shared" si="0"/>
        <v>0</v>
      </c>
    </row>
    <row r="27" spans="1:7" x14ac:dyDescent="0.25">
      <c r="A27" t="s">
        <v>15</v>
      </c>
      <c r="B27" s="5" t="s">
        <v>60</v>
      </c>
      <c r="C27" s="5" t="s">
        <v>60</v>
      </c>
      <c r="D27" t="b">
        <f t="shared" si="0"/>
        <v>0</v>
      </c>
    </row>
    <row r="28" spans="1:7" x14ac:dyDescent="0.25">
      <c r="A28" t="s">
        <v>15</v>
      </c>
      <c r="B28" s="5" t="s">
        <v>60</v>
      </c>
      <c r="C28" s="5" t="s">
        <v>60</v>
      </c>
      <c r="D28" t="b">
        <f t="shared" si="0"/>
        <v>0</v>
      </c>
    </row>
    <row r="29" spans="1:7" x14ac:dyDescent="0.25">
      <c r="A29" t="s">
        <v>15</v>
      </c>
      <c r="B29" s="5" t="s">
        <v>60</v>
      </c>
      <c r="C29" s="5" t="s">
        <v>60</v>
      </c>
      <c r="D29" t="b">
        <f t="shared" si="0"/>
        <v>0</v>
      </c>
    </row>
    <row r="30" spans="1:7" x14ac:dyDescent="0.25">
      <c r="A30" t="s">
        <v>15</v>
      </c>
      <c r="B30" s="5" t="s">
        <v>60</v>
      </c>
      <c r="C30" s="5" t="s">
        <v>60</v>
      </c>
      <c r="D30" t="b">
        <f t="shared" si="0"/>
        <v>0</v>
      </c>
    </row>
    <row r="31" spans="1:7" x14ac:dyDescent="0.25">
      <c r="A31" t="s">
        <v>15</v>
      </c>
      <c r="B31" s="5" t="s">
        <v>61</v>
      </c>
      <c r="C31" s="5" t="s">
        <v>61</v>
      </c>
      <c r="D31" t="b">
        <f t="shared" si="0"/>
        <v>0</v>
      </c>
    </row>
    <row r="32" spans="1:7" x14ac:dyDescent="0.25">
      <c r="A32" t="s">
        <v>15</v>
      </c>
      <c r="B32" s="5" t="s">
        <v>61</v>
      </c>
      <c r="C32" s="5" t="s">
        <v>61</v>
      </c>
      <c r="D32" t="b">
        <f t="shared" si="0"/>
        <v>0</v>
      </c>
    </row>
    <row r="33" spans="1:4" x14ac:dyDescent="0.25">
      <c r="A33" t="s">
        <v>15</v>
      </c>
      <c r="B33" s="5" t="s">
        <v>61</v>
      </c>
      <c r="C33" s="5" t="s">
        <v>61</v>
      </c>
      <c r="D33" t="b">
        <f t="shared" si="0"/>
        <v>0</v>
      </c>
    </row>
    <row r="34" spans="1:4" x14ac:dyDescent="0.25">
      <c r="A34" t="s">
        <v>15</v>
      </c>
      <c r="B34" s="5" t="s">
        <v>61</v>
      </c>
      <c r="C34" s="5" t="s">
        <v>61</v>
      </c>
      <c r="D34" t="b">
        <f t="shared" si="0"/>
        <v>0</v>
      </c>
    </row>
    <row r="35" spans="1:4" x14ac:dyDescent="0.25">
      <c r="A35" t="s">
        <v>15</v>
      </c>
      <c r="B35" s="5" t="s">
        <v>61</v>
      </c>
      <c r="C35" s="5" t="s">
        <v>61</v>
      </c>
      <c r="D35" t="b">
        <f t="shared" si="0"/>
        <v>0</v>
      </c>
    </row>
    <row r="36" spans="1:4" x14ac:dyDescent="0.25">
      <c r="A36" t="s">
        <v>15</v>
      </c>
      <c r="B36" s="5" t="s">
        <v>61</v>
      </c>
      <c r="C36" s="5" t="s">
        <v>61</v>
      </c>
      <c r="D36" t="b">
        <f t="shared" si="0"/>
        <v>0</v>
      </c>
    </row>
    <row r="37" spans="1:4" x14ac:dyDescent="0.25">
      <c r="A37" t="s">
        <v>22</v>
      </c>
      <c r="B37" s="5" t="s">
        <v>1740</v>
      </c>
      <c r="C37" s="5" t="s">
        <v>1740</v>
      </c>
      <c r="D37" t="b">
        <f t="shared" si="0"/>
        <v>0</v>
      </c>
    </row>
    <row r="38" spans="1:4" x14ac:dyDescent="0.25">
      <c r="A38" t="s">
        <v>22</v>
      </c>
      <c r="B38" s="5" t="s">
        <v>1741</v>
      </c>
      <c r="C38" s="5" t="s">
        <v>1325</v>
      </c>
      <c r="D38" t="b">
        <f t="shared" si="0"/>
        <v>1</v>
      </c>
    </row>
    <row r="39" spans="1:4" x14ac:dyDescent="0.25">
      <c r="A39" t="s">
        <v>22</v>
      </c>
      <c r="B39" s="5" t="s">
        <v>803</v>
      </c>
      <c r="C39" s="5" t="s">
        <v>803</v>
      </c>
      <c r="D39" t="b">
        <f t="shared" si="0"/>
        <v>0</v>
      </c>
    </row>
    <row r="40" spans="1:4" x14ac:dyDescent="0.25">
      <c r="A40" t="s">
        <v>22</v>
      </c>
      <c r="B40" s="5" t="s">
        <v>583</v>
      </c>
      <c r="C40" s="5" t="s">
        <v>583</v>
      </c>
      <c r="D40" t="b">
        <f t="shared" si="0"/>
        <v>0</v>
      </c>
    </row>
    <row r="41" spans="1:4" x14ac:dyDescent="0.25">
      <c r="A41" t="s">
        <v>22</v>
      </c>
      <c r="B41" s="5" t="s">
        <v>186</v>
      </c>
      <c r="C41" s="5" t="s">
        <v>186</v>
      </c>
      <c r="D41" t="b">
        <f t="shared" si="0"/>
        <v>0</v>
      </c>
    </row>
    <row r="42" spans="1:4" x14ac:dyDescent="0.25">
      <c r="A42" t="s">
        <v>22</v>
      </c>
      <c r="B42" s="5" t="s">
        <v>2094</v>
      </c>
      <c r="C42" s="5" t="s">
        <v>1435</v>
      </c>
      <c r="D42" t="b">
        <f>B42&lt;&gt;C42</f>
        <v>1</v>
      </c>
    </row>
    <row r="43" spans="1:4" x14ac:dyDescent="0.25">
      <c r="A43" t="s">
        <v>22</v>
      </c>
      <c r="B43" s="5" t="s">
        <v>802</v>
      </c>
      <c r="C43" s="5" t="s">
        <v>802</v>
      </c>
      <c r="D43" t="b">
        <f>B43&lt;&gt;C43</f>
        <v>0</v>
      </c>
    </row>
    <row r="44" spans="1:4" x14ac:dyDescent="0.25">
      <c r="A44" t="s">
        <v>22</v>
      </c>
      <c r="B44" s="5" t="s">
        <v>804</v>
      </c>
      <c r="C44" s="5" t="s">
        <v>804</v>
      </c>
      <c r="D44" t="b">
        <f t="shared" si="0"/>
        <v>0</v>
      </c>
    </row>
    <row r="45" spans="1:4" x14ac:dyDescent="0.25">
      <c r="A45" t="s">
        <v>22</v>
      </c>
      <c r="B45" s="5" t="s">
        <v>805</v>
      </c>
      <c r="C45" s="5" t="s">
        <v>805</v>
      </c>
      <c r="D45" t="b">
        <f t="shared" si="0"/>
        <v>0</v>
      </c>
    </row>
    <row r="46" spans="1:4" x14ac:dyDescent="0.25">
      <c r="A46" t="s">
        <v>22</v>
      </c>
      <c r="B46" s="5" t="s">
        <v>785</v>
      </c>
      <c r="C46" s="5" t="s">
        <v>785</v>
      </c>
      <c r="D46" t="b">
        <f t="shared" si="0"/>
        <v>0</v>
      </c>
    </row>
    <row r="47" spans="1:4" x14ac:dyDescent="0.25">
      <c r="A47" t="s">
        <v>794</v>
      </c>
      <c r="B47" s="5" t="s">
        <v>719</v>
      </c>
      <c r="C47" s="5" t="s">
        <v>719</v>
      </c>
      <c r="D47" t="b">
        <f t="shared" si="0"/>
        <v>0</v>
      </c>
    </row>
    <row r="48" spans="1:4" x14ac:dyDescent="0.25">
      <c r="A48" t="s">
        <v>794</v>
      </c>
      <c r="B48" s="5" t="s">
        <v>806</v>
      </c>
      <c r="C48" s="5" t="s">
        <v>806</v>
      </c>
      <c r="D48" t="b">
        <f t="shared" si="0"/>
        <v>0</v>
      </c>
    </row>
    <row r="49" spans="1:6" x14ac:dyDescent="0.25">
      <c r="A49" t="s">
        <v>794</v>
      </c>
      <c r="B49" s="5" t="s">
        <v>807</v>
      </c>
      <c r="C49" s="5" t="s">
        <v>807</v>
      </c>
      <c r="D49" t="b">
        <f t="shared" si="0"/>
        <v>0</v>
      </c>
    </row>
    <row r="50" spans="1:6" x14ac:dyDescent="0.25">
      <c r="A50" t="s">
        <v>794</v>
      </c>
      <c r="B50" s="5" t="s">
        <v>808</v>
      </c>
      <c r="C50" s="5" t="s">
        <v>808</v>
      </c>
      <c r="D50" t="b">
        <f t="shared" si="0"/>
        <v>0</v>
      </c>
    </row>
    <row r="51" spans="1:6" x14ac:dyDescent="0.25">
      <c r="A51" t="s">
        <v>794</v>
      </c>
      <c r="B51" s="5" t="s">
        <v>1327</v>
      </c>
      <c r="C51" s="5" t="s">
        <v>1327</v>
      </c>
      <c r="D51" t="b">
        <f t="shared" si="0"/>
        <v>0</v>
      </c>
    </row>
    <row r="52" spans="1:6" x14ac:dyDescent="0.25">
      <c r="A52" t="s">
        <v>794</v>
      </c>
      <c r="B52" s="5" t="s">
        <v>809</v>
      </c>
      <c r="C52" s="5" t="s">
        <v>809</v>
      </c>
      <c r="D52" t="b">
        <f t="shared" si="0"/>
        <v>0</v>
      </c>
    </row>
    <row r="53" spans="1:6" x14ac:dyDescent="0.25">
      <c r="A53" t="s">
        <v>794</v>
      </c>
      <c r="B53" s="5" t="s">
        <v>810</v>
      </c>
      <c r="C53" s="5" t="s">
        <v>810</v>
      </c>
      <c r="D53" t="b">
        <f t="shared" si="0"/>
        <v>0</v>
      </c>
    </row>
    <row r="54" spans="1:6" x14ac:dyDescent="0.25">
      <c r="A54" t="s">
        <v>794</v>
      </c>
      <c r="B54" s="5" t="s">
        <v>1241</v>
      </c>
      <c r="C54" s="5" t="s">
        <v>1241</v>
      </c>
      <c r="D54" t="b">
        <f t="shared" si="0"/>
        <v>0</v>
      </c>
    </row>
    <row r="55" spans="1:6" x14ac:dyDescent="0.25">
      <c r="A55" t="s">
        <v>794</v>
      </c>
      <c r="B55" s="5" t="s">
        <v>1737</v>
      </c>
      <c r="C55" s="5" t="s">
        <v>1737</v>
      </c>
      <c r="D55" t="b">
        <f t="shared" si="0"/>
        <v>0</v>
      </c>
    </row>
    <row r="56" spans="1:6" x14ac:dyDescent="0.25">
      <c r="A56" t="s">
        <v>794</v>
      </c>
      <c r="B56" s="5" t="s">
        <v>1326</v>
      </c>
      <c r="C56" s="5" t="s">
        <v>1326</v>
      </c>
      <c r="D56" t="b">
        <f t="shared" si="0"/>
        <v>0</v>
      </c>
    </row>
    <row r="57" spans="1:6" x14ac:dyDescent="0.25">
      <c r="A57" t="s">
        <v>794</v>
      </c>
      <c r="B57" s="5" t="s">
        <v>1738</v>
      </c>
      <c r="C57" s="5" t="s">
        <v>1738</v>
      </c>
      <c r="D57" t="b">
        <f t="shared" si="0"/>
        <v>0</v>
      </c>
    </row>
    <row r="58" spans="1:6" x14ac:dyDescent="0.25">
      <c r="A58" t="s">
        <v>794</v>
      </c>
      <c r="B58" s="5" t="s">
        <v>1739</v>
      </c>
      <c r="C58" s="5" t="s">
        <v>1739</v>
      </c>
      <c r="D58" t="b">
        <f t="shared" si="0"/>
        <v>0</v>
      </c>
    </row>
    <row r="59" spans="1:6" x14ac:dyDescent="0.25">
      <c r="A59" t="s">
        <v>794</v>
      </c>
      <c r="B59" s="5" t="s">
        <v>811</v>
      </c>
      <c r="C59" s="5" t="s">
        <v>811</v>
      </c>
      <c r="D59" t="b">
        <f t="shared" si="0"/>
        <v>0</v>
      </c>
      <c r="F59"/>
    </row>
    <row r="60" spans="1:6" x14ac:dyDescent="0.25">
      <c r="A60" t="s">
        <v>794</v>
      </c>
      <c r="B60" s="5" t="s">
        <v>812</v>
      </c>
      <c r="C60" s="5" t="s">
        <v>812</v>
      </c>
      <c r="D60" t="b">
        <f t="shared" si="0"/>
        <v>0</v>
      </c>
    </row>
    <row r="61" spans="1:6" x14ac:dyDescent="0.25">
      <c r="A61" t="s">
        <v>799</v>
      </c>
      <c r="B61" s="5" t="s">
        <v>813</v>
      </c>
      <c r="C61" s="5" t="s">
        <v>813</v>
      </c>
      <c r="D61" t="b">
        <f t="shared" si="0"/>
        <v>0</v>
      </c>
    </row>
    <row r="62" spans="1:6" x14ac:dyDescent="0.25">
      <c r="A62" t="s">
        <v>799</v>
      </c>
      <c r="B62" s="5" t="s">
        <v>660</v>
      </c>
      <c r="C62" s="5" t="s">
        <v>660</v>
      </c>
      <c r="D62" t="b">
        <f t="shared" si="0"/>
        <v>0</v>
      </c>
    </row>
    <row r="63" spans="1:6" x14ac:dyDescent="0.25">
      <c r="A63" t="s">
        <v>799</v>
      </c>
      <c r="B63" s="5" t="s">
        <v>814</v>
      </c>
      <c r="C63" s="5" t="s">
        <v>814</v>
      </c>
      <c r="D63" t="b">
        <f t="shared" si="0"/>
        <v>0</v>
      </c>
    </row>
    <row r="64" spans="1:6" x14ac:dyDescent="0.25">
      <c r="A64" t="s">
        <v>799</v>
      </c>
      <c r="B64" s="5" t="s">
        <v>1184</v>
      </c>
      <c r="C64" s="5" t="s">
        <v>1184</v>
      </c>
      <c r="D64" t="b">
        <f t="shared" si="0"/>
        <v>0</v>
      </c>
    </row>
    <row r="65" spans="1:6" x14ac:dyDescent="0.25">
      <c r="A65" t="s">
        <v>799</v>
      </c>
      <c r="B65" s="5" t="s">
        <v>815</v>
      </c>
      <c r="C65" s="5" t="s">
        <v>815</v>
      </c>
      <c r="D65" t="b">
        <f t="shared" si="0"/>
        <v>0</v>
      </c>
    </row>
    <row r="66" spans="1:6" x14ac:dyDescent="0.25">
      <c r="A66" t="s">
        <v>799</v>
      </c>
      <c r="B66" s="5" t="s">
        <v>816</v>
      </c>
      <c r="C66" s="5" t="s">
        <v>1849</v>
      </c>
      <c r="D66" t="b">
        <f t="shared" si="0"/>
        <v>1</v>
      </c>
    </row>
    <row r="67" spans="1:6" x14ac:dyDescent="0.25">
      <c r="A67" t="s">
        <v>27</v>
      </c>
      <c r="B67" s="5" t="s">
        <v>765</v>
      </c>
      <c r="C67" s="5" t="s">
        <v>765</v>
      </c>
      <c r="D67" t="b">
        <f t="shared" si="0"/>
        <v>0</v>
      </c>
    </row>
    <row r="68" spans="1:6" x14ac:dyDescent="0.25">
      <c r="A68" t="s">
        <v>27</v>
      </c>
      <c r="B68" s="5" t="s">
        <v>1736</v>
      </c>
      <c r="C68" s="5" t="s">
        <v>1736</v>
      </c>
      <c r="D68" t="b">
        <f t="shared" si="0"/>
        <v>0</v>
      </c>
      <c r="F68"/>
    </row>
    <row r="69" spans="1:6" x14ac:dyDescent="0.25">
      <c r="A69" t="s">
        <v>27</v>
      </c>
      <c r="B69" s="5" t="s">
        <v>766</v>
      </c>
      <c r="C69" s="5" t="s">
        <v>817</v>
      </c>
      <c r="D69" t="b">
        <f t="shared" si="0"/>
        <v>1</v>
      </c>
    </row>
    <row r="70" spans="1:6" x14ac:dyDescent="0.25">
      <c r="A70" t="s">
        <v>27</v>
      </c>
      <c r="B70" s="5" t="s">
        <v>1730</v>
      </c>
      <c r="C70" s="5" t="s">
        <v>1730</v>
      </c>
      <c r="D70" t="b">
        <f t="shared" si="0"/>
        <v>0</v>
      </c>
    </row>
    <row r="71" spans="1:6" x14ac:dyDescent="0.25">
      <c r="A71" t="s">
        <v>27</v>
      </c>
      <c r="B71" s="5" t="s">
        <v>1731</v>
      </c>
      <c r="C71" s="5" t="s">
        <v>1731</v>
      </c>
      <c r="D71" t="b">
        <f t="shared" ref="D71:D102" si="2">B71&lt;&gt;C71</f>
        <v>0</v>
      </c>
    </row>
    <row r="72" spans="1:6" x14ac:dyDescent="0.25">
      <c r="A72" t="s">
        <v>27</v>
      </c>
      <c r="B72" s="5" t="s">
        <v>818</v>
      </c>
      <c r="C72" s="5" t="s">
        <v>818</v>
      </c>
      <c r="D72" t="b">
        <f t="shared" si="2"/>
        <v>0</v>
      </c>
    </row>
    <row r="73" spans="1:6" x14ac:dyDescent="0.25">
      <c r="A73" t="s">
        <v>27</v>
      </c>
      <c r="B73" s="5" t="s">
        <v>1732</v>
      </c>
      <c r="C73" s="5" t="s">
        <v>1732</v>
      </c>
      <c r="D73" t="b">
        <f t="shared" si="2"/>
        <v>0</v>
      </c>
    </row>
    <row r="74" spans="1:6" x14ac:dyDescent="0.25">
      <c r="A74" t="s">
        <v>23</v>
      </c>
      <c r="B74" s="5" t="s">
        <v>100</v>
      </c>
      <c r="C74" s="5" t="s">
        <v>100</v>
      </c>
      <c r="D74" t="b">
        <f t="shared" si="2"/>
        <v>0</v>
      </c>
    </row>
    <row r="75" spans="1:6" x14ac:dyDescent="0.25">
      <c r="A75" t="s">
        <v>23</v>
      </c>
      <c r="B75" s="5" t="s">
        <v>1112</v>
      </c>
      <c r="C75" s="5" t="s">
        <v>1112</v>
      </c>
      <c r="D75" t="b">
        <f t="shared" si="2"/>
        <v>0</v>
      </c>
    </row>
    <row r="76" spans="1:6" x14ac:dyDescent="0.25">
      <c r="A76" t="s">
        <v>23</v>
      </c>
      <c r="B76" s="5" t="s">
        <v>586</v>
      </c>
      <c r="C76" s="5" t="s">
        <v>586</v>
      </c>
      <c r="D76" t="b">
        <f t="shared" si="2"/>
        <v>0</v>
      </c>
    </row>
    <row r="77" spans="1:6" x14ac:dyDescent="0.25">
      <c r="A77" t="s">
        <v>23</v>
      </c>
      <c r="B77" s="5" t="s">
        <v>640</v>
      </c>
      <c r="C77" s="5" t="s">
        <v>640</v>
      </c>
      <c r="D77" t="b">
        <f t="shared" si="2"/>
        <v>0</v>
      </c>
    </row>
    <row r="78" spans="1:6" x14ac:dyDescent="0.25">
      <c r="A78" t="s">
        <v>23</v>
      </c>
      <c r="B78" s="5" t="s">
        <v>819</v>
      </c>
      <c r="C78" s="5" t="s">
        <v>819</v>
      </c>
      <c r="D78" t="b">
        <f t="shared" si="2"/>
        <v>0</v>
      </c>
    </row>
    <row r="79" spans="1:6" x14ac:dyDescent="0.25">
      <c r="A79" t="s">
        <v>23</v>
      </c>
      <c r="B79" s="5" t="s">
        <v>820</v>
      </c>
      <c r="C79" s="5" t="s">
        <v>820</v>
      </c>
      <c r="D79" t="b">
        <f t="shared" si="2"/>
        <v>0</v>
      </c>
    </row>
    <row r="80" spans="1:6" x14ac:dyDescent="0.25">
      <c r="A80" t="s">
        <v>23</v>
      </c>
      <c r="B80" s="5" t="s">
        <v>821</v>
      </c>
      <c r="C80" s="5" t="s">
        <v>821</v>
      </c>
      <c r="D80" t="b">
        <f t="shared" si="2"/>
        <v>0</v>
      </c>
    </row>
    <row r="81" spans="1:4" x14ac:dyDescent="0.25">
      <c r="A81" t="s">
        <v>23</v>
      </c>
      <c r="B81" s="5" t="s">
        <v>822</v>
      </c>
      <c r="C81" s="5" t="s">
        <v>822</v>
      </c>
      <c r="D81" t="b">
        <f t="shared" si="2"/>
        <v>0</v>
      </c>
    </row>
    <row r="82" spans="1:4" x14ac:dyDescent="0.25">
      <c r="A82" t="s">
        <v>23</v>
      </c>
      <c r="B82" s="5" t="s">
        <v>823</v>
      </c>
      <c r="C82" s="5" t="s">
        <v>823</v>
      </c>
      <c r="D82" t="b">
        <f t="shared" si="2"/>
        <v>0</v>
      </c>
    </row>
    <row r="83" spans="1:4" x14ac:dyDescent="0.25">
      <c r="A83" t="s">
        <v>23</v>
      </c>
      <c r="B83" s="5" t="s">
        <v>649</v>
      </c>
      <c r="C83" s="5" t="s">
        <v>649</v>
      </c>
      <c r="D83" t="b">
        <f t="shared" si="2"/>
        <v>0</v>
      </c>
    </row>
    <row r="84" spans="1:4" x14ac:dyDescent="0.25">
      <c r="A84" t="s">
        <v>23</v>
      </c>
      <c r="B84" s="5" t="s">
        <v>824</v>
      </c>
      <c r="C84" s="5" t="s">
        <v>824</v>
      </c>
      <c r="D84" t="b">
        <f t="shared" si="2"/>
        <v>0</v>
      </c>
    </row>
    <row r="85" spans="1:4" x14ac:dyDescent="0.25">
      <c r="A85" t="s">
        <v>797</v>
      </c>
      <c r="B85" s="5" t="s">
        <v>1735</v>
      </c>
      <c r="C85" s="5" t="s">
        <v>825</v>
      </c>
      <c r="D85" t="b">
        <f t="shared" si="2"/>
        <v>1</v>
      </c>
    </row>
    <row r="86" spans="1:4" x14ac:dyDescent="0.25">
      <c r="A86" t="s">
        <v>797</v>
      </c>
      <c r="B86" s="5" t="s">
        <v>826</v>
      </c>
      <c r="C86" s="5" t="s">
        <v>826</v>
      </c>
      <c r="D86" t="b">
        <f t="shared" si="2"/>
        <v>0</v>
      </c>
    </row>
    <row r="87" spans="1:4" x14ac:dyDescent="0.25">
      <c r="A87" t="s">
        <v>797</v>
      </c>
      <c r="B87" s="5" t="s">
        <v>827</v>
      </c>
      <c r="C87" s="5" t="s">
        <v>827</v>
      </c>
      <c r="D87" t="b">
        <f t="shared" si="2"/>
        <v>0</v>
      </c>
    </row>
    <row r="88" spans="1:4" x14ac:dyDescent="0.25">
      <c r="A88" t="s">
        <v>797</v>
      </c>
      <c r="B88" s="5" t="s">
        <v>1734</v>
      </c>
      <c r="C88" s="5" t="s">
        <v>829</v>
      </c>
      <c r="D88" t="b">
        <f t="shared" si="2"/>
        <v>1</v>
      </c>
    </row>
    <row r="89" spans="1:4" x14ac:dyDescent="0.25">
      <c r="A89" t="s">
        <v>797</v>
      </c>
      <c r="B89" s="5" t="s">
        <v>828</v>
      </c>
      <c r="C89" s="5" t="s">
        <v>828</v>
      </c>
      <c r="D89" t="b">
        <f t="shared" si="2"/>
        <v>0</v>
      </c>
    </row>
    <row r="90" spans="1:4" x14ac:dyDescent="0.25">
      <c r="A90" t="s">
        <v>288</v>
      </c>
      <c r="B90" s="5" t="s">
        <v>1240</v>
      </c>
      <c r="C90" s="5" t="s">
        <v>1240</v>
      </c>
      <c r="D90" t="b">
        <f t="shared" si="2"/>
        <v>0</v>
      </c>
    </row>
    <row r="91" spans="1:4" x14ac:dyDescent="0.25">
      <c r="A91" t="s">
        <v>288</v>
      </c>
      <c r="B91" s="5" t="s">
        <v>830</v>
      </c>
      <c r="C91" s="5" t="s">
        <v>830</v>
      </c>
      <c r="D91" t="b">
        <f t="shared" si="2"/>
        <v>0</v>
      </c>
    </row>
    <row r="92" spans="1:4" x14ac:dyDescent="0.25">
      <c r="A92" t="s">
        <v>288</v>
      </c>
      <c r="B92" s="5" t="s">
        <v>831</v>
      </c>
      <c r="C92" s="5" t="s">
        <v>831</v>
      </c>
      <c r="D92" t="b">
        <f t="shared" si="2"/>
        <v>0</v>
      </c>
    </row>
    <row r="93" spans="1:4" x14ac:dyDescent="0.25">
      <c r="A93" t="s">
        <v>288</v>
      </c>
      <c r="B93" s="5" t="s">
        <v>832</v>
      </c>
      <c r="C93" s="5" t="s">
        <v>832</v>
      </c>
      <c r="D93" t="b">
        <f t="shared" si="2"/>
        <v>0</v>
      </c>
    </row>
    <row r="94" spans="1:4" x14ac:dyDescent="0.25">
      <c r="A94" t="s">
        <v>288</v>
      </c>
      <c r="B94" s="5" t="s">
        <v>833</v>
      </c>
      <c r="C94" s="5" t="s">
        <v>833</v>
      </c>
      <c r="D94" t="b">
        <f t="shared" si="2"/>
        <v>0</v>
      </c>
    </row>
    <row r="95" spans="1:4" x14ac:dyDescent="0.25">
      <c r="A95" t="s">
        <v>288</v>
      </c>
      <c r="B95" s="5" t="s">
        <v>834</v>
      </c>
      <c r="C95" s="5" t="s">
        <v>834</v>
      </c>
      <c r="D95" t="b">
        <f t="shared" si="2"/>
        <v>0</v>
      </c>
    </row>
    <row r="96" spans="1:4" x14ac:dyDescent="0.25">
      <c r="A96" t="s">
        <v>288</v>
      </c>
      <c r="B96" s="5" t="s">
        <v>1733</v>
      </c>
      <c r="C96" s="5" t="s">
        <v>1733</v>
      </c>
      <c r="D96" t="b">
        <f t="shared" si="2"/>
        <v>0</v>
      </c>
    </row>
    <row r="97" spans="1:4" x14ac:dyDescent="0.25">
      <c r="A97" t="s">
        <v>288</v>
      </c>
      <c r="B97" s="5" t="s">
        <v>1886</v>
      </c>
      <c r="C97" s="5" t="s">
        <v>1886</v>
      </c>
      <c r="D97" t="b">
        <f t="shared" si="2"/>
        <v>0</v>
      </c>
    </row>
    <row r="98" spans="1:4" x14ac:dyDescent="0.25">
      <c r="A98" t="s">
        <v>288</v>
      </c>
      <c r="B98" s="5" t="s">
        <v>836</v>
      </c>
      <c r="C98" s="5" t="s">
        <v>836</v>
      </c>
      <c r="D98" t="b">
        <f t="shared" si="2"/>
        <v>0</v>
      </c>
    </row>
    <row r="99" spans="1:4" x14ac:dyDescent="0.25">
      <c r="A99" t="s">
        <v>288</v>
      </c>
      <c r="B99" s="5" t="s">
        <v>1837</v>
      </c>
      <c r="C99" s="5" t="s">
        <v>1837</v>
      </c>
      <c r="D99" t="b">
        <f t="shared" si="2"/>
        <v>0</v>
      </c>
    </row>
    <row r="100" spans="1:4" x14ac:dyDescent="0.25">
      <c r="A100" t="s">
        <v>288</v>
      </c>
      <c r="B100" s="5" t="s">
        <v>837</v>
      </c>
      <c r="C100" s="5" t="s">
        <v>837</v>
      </c>
      <c r="D100" t="b">
        <f t="shared" si="2"/>
        <v>0</v>
      </c>
    </row>
    <row r="101" spans="1:4" x14ac:dyDescent="0.25">
      <c r="A101" t="s">
        <v>288</v>
      </c>
      <c r="B101" s="5" t="s">
        <v>1185</v>
      </c>
      <c r="C101" s="5" t="s">
        <v>1185</v>
      </c>
      <c r="D101" t="b">
        <f t="shared" si="2"/>
        <v>0</v>
      </c>
    </row>
    <row r="102" spans="1:4" x14ac:dyDescent="0.25">
      <c r="A102" t="s">
        <v>288</v>
      </c>
      <c r="B102" s="5" t="s">
        <v>838</v>
      </c>
      <c r="C102" s="5" t="s">
        <v>838</v>
      </c>
      <c r="D102" t="b">
        <f t="shared" si="2"/>
        <v>0</v>
      </c>
    </row>
  </sheetData>
  <mergeCells count="1">
    <mergeCell ref="A1:G1"/>
  </mergeCells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notContainsText" priority="1" operator="notContains" id="{7A815023-DC47-42CD-9D76-919B0D03AAF5}">
            <xm:f>ISERROR(SEARCH(C3,B3))</xm:f>
            <xm:f>C3</xm:f>
            <x14:dxf>
              <fill>
                <patternFill>
                  <bgColor theme="5" tint="0.39994506668294322"/>
                </patternFill>
              </fill>
            </x14:dxf>
          </x14:cfRule>
          <xm:sqref>B3:B102</xm:sqref>
        </x14:conditionalFormatting>
      </x14:conditionalFormatting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8345B-186E-49E1-8614-1028C37C33C5}">
  <sheetPr codeName="Planilha21"/>
  <dimension ref="A1:G102"/>
  <sheetViews>
    <sheetView topLeftCell="A84" workbookViewId="0">
      <selection activeCell="B102" sqref="B102"/>
    </sheetView>
  </sheetViews>
  <sheetFormatPr defaultRowHeight="15" x14ac:dyDescent="0.25"/>
  <cols>
    <col min="1" max="1" width="11.85546875" style="5" customWidth="1"/>
    <col min="2" max="3" width="38.7109375" customWidth="1"/>
    <col min="4" max="4" width="12.42578125" hidden="1" customWidth="1"/>
    <col min="5" max="5" width="4.28515625" customWidth="1"/>
    <col min="6" max="6" width="22.7109375" style="3" customWidth="1"/>
    <col min="7" max="7" width="8.7109375" customWidth="1"/>
  </cols>
  <sheetData>
    <row r="1" spans="1:7" ht="21" x14ac:dyDescent="0.25">
      <c r="A1" s="12" t="s">
        <v>7</v>
      </c>
      <c r="B1" s="12"/>
      <c r="C1" s="12"/>
      <c r="D1" s="12"/>
      <c r="E1" s="12"/>
      <c r="F1" s="12"/>
      <c r="G1" s="12"/>
    </row>
    <row r="2" spans="1:7" x14ac:dyDescent="0.25">
      <c r="A2" s="4" t="s">
        <v>11</v>
      </c>
      <c r="B2" s="4" t="s">
        <v>12</v>
      </c>
      <c r="C2" s="4" t="s">
        <v>13</v>
      </c>
      <c r="D2" s="4" t="s">
        <v>14</v>
      </c>
      <c r="F2" s="4" t="s">
        <v>16</v>
      </c>
      <c r="G2" s="3">
        <f>COUNTIF(D:D,"Verdadeiro")</f>
        <v>1</v>
      </c>
    </row>
    <row r="3" spans="1:7" x14ac:dyDescent="0.25">
      <c r="A3" s="5" t="s">
        <v>1539</v>
      </c>
      <c r="B3" s="5" t="s">
        <v>1556</v>
      </c>
      <c r="C3" s="5" t="s">
        <v>1556</v>
      </c>
      <c r="D3" t="b">
        <f>B3&lt;&gt;C3</f>
        <v>0</v>
      </c>
      <c r="F3" s="4" t="s">
        <v>17</v>
      </c>
      <c r="G3" s="3">
        <f>SUM(G6:G26)</f>
        <v>100</v>
      </c>
    </row>
    <row r="4" spans="1:7" x14ac:dyDescent="0.25">
      <c r="A4" t="s">
        <v>15</v>
      </c>
      <c r="B4" s="5" t="s">
        <v>122</v>
      </c>
      <c r="C4" s="5" t="s">
        <v>839</v>
      </c>
      <c r="D4" t="b">
        <f>B4&lt;&gt;C4</f>
        <v>1</v>
      </c>
    </row>
    <row r="5" spans="1:7" x14ac:dyDescent="0.25">
      <c r="A5" t="s">
        <v>15</v>
      </c>
      <c r="B5" s="5" t="s">
        <v>34</v>
      </c>
      <c r="C5" s="5" t="s">
        <v>34</v>
      </c>
      <c r="D5" t="b">
        <f t="shared" ref="D5:D68" si="0">B5&lt;&gt;C5</f>
        <v>0</v>
      </c>
      <c r="F5" s="6" t="s">
        <v>19</v>
      </c>
      <c r="G5" s="1"/>
    </row>
    <row r="6" spans="1:7" x14ac:dyDescent="0.25">
      <c r="A6" t="s">
        <v>15</v>
      </c>
      <c r="B6" s="5" t="s">
        <v>120</v>
      </c>
      <c r="C6" s="5" t="s">
        <v>120</v>
      </c>
      <c r="D6" t="b">
        <f t="shared" si="0"/>
        <v>0</v>
      </c>
      <c r="F6" s="3" t="s">
        <v>1539</v>
      </c>
      <c r="G6" s="2">
        <f t="shared" ref="G6:G15" si="1">COUNTIF(A:A,F6)</f>
        <v>1</v>
      </c>
    </row>
    <row r="7" spans="1:7" x14ac:dyDescent="0.25">
      <c r="A7" t="s">
        <v>15</v>
      </c>
      <c r="B7" s="5" t="s">
        <v>511</v>
      </c>
      <c r="C7" s="5" t="s">
        <v>511</v>
      </c>
      <c r="D7" t="b">
        <f t="shared" si="0"/>
        <v>0</v>
      </c>
      <c r="F7" s="7" t="s">
        <v>15</v>
      </c>
      <c r="G7" s="2">
        <f t="shared" si="1"/>
        <v>36</v>
      </c>
    </row>
    <row r="8" spans="1:7" x14ac:dyDescent="0.25">
      <c r="A8" t="s">
        <v>15</v>
      </c>
      <c r="B8" s="5" t="s">
        <v>840</v>
      </c>
      <c r="C8" s="5" t="s">
        <v>840</v>
      </c>
      <c r="D8" t="b">
        <f t="shared" si="0"/>
        <v>0</v>
      </c>
      <c r="F8" s="7" t="s">
        <v>21</v>
      </c>
      <c r="G8" s="2">
        <f t="shared" si="1"/>
        <v>10</v>
      </c>
    </row>
    <row r="9" spans="1:7" x14ac:dyDescent="0.25">
      <c r="A9" t="s">
        <v>15</v>
      </c>
      <c r="B9" s="5" t="s">
        <v>20</v>
      </c>
      <c r="C9" s="5" t="s">
        <v>20</v>
      </c>
      <c r="D9" t="b">
        <f t="shared" si="0"/>
        <v>0</v>
      </c>
      <c r="F9" s="7" t="s">
        <v>44</v>
      </c>
      <c r="G9" s="2">
        <f t="shared" si="1"/>
        <v>16</v>
      </c>
    </row>
    <row r="10" spans="1:7" x14ac:dyDescent="0.25">
      <c r="A10" t="s">
        <v>15</v>
      </c>
      <c r="B10" s="5" t="s">
        <v>616</v>
      </c>
      <c r="C10" s="5" t="s">
        <v>616</v>
      </c>
      <c r="D10" t="b">
        <f t="shared" si="0"/>
        <v>0</v>
      </c>
      <c r="F10" s="7" t="s">
        <v>667</v>
      </c>
      <c r="G10" s="2">
        <f t="shared" si="1"/>
        <v>0</v>
      </c>
    </row>
    <row r="11" spans="1:7" x14ac:dyDescent="0.25">
      <c r="A11" t="s">
        <v>15</v>
      </c>
      <c r="B11" s="5" t="s">
        <v>171</v>
      </c>
      <c r="C11" s="5" t="s">
        <v>171</v>
      </c>
      <c r="D11" t="b">
        <f t="shared" si="0"/>
        <v>0</v>
      </c>
      <c r="F11" s="7" t="s">
        <v>459</v>
      </c>
      <c r="G11" s="2">
        <f t="shared" si="1"/>
        <v>4</v>
      </c>
    </row>
    <row r="12" spans="1:7" x14ac:dyDescent="0.25">
      <c r="A12" t="s">
        <v>15</v>
      </c>
      <c r="B12" s="5" t="s">
        <v>43</v>
      </c>
      <c r="C12" s="5" t="s">
        <v>43</v>
      </c>
      <c r="D12" t="b">
        <f t="shared" si="0"/>
        <v>0</v>
      </c>
      <c r="F12" s="7" t="s">
        <v>841</v>
      </c>
      <c r="G12" s="2">
        <f t="shared" si="1"/>
        <v>12</v>
      </c>
    </row>
    <row r="13" spans="1:7" x14ac:dyDescent="0.25">
      <c r="A13" t="s">
        <v>15</v>
      </c>
      <c r="B13" s="5" t="s">
        <v>166</v>
      </c>
      <c r="C13" s="5" t="s">
        <v>166</v>
      </c>
      <c r="D13" t="b">
        <f t="shared" si="0"/>
        <v>0</v>
      </c>
      <c r="F13" s="7" t="s">
        <v>843</v>
      </c>
      <c r="G13" s="2">
        <f t="shared" si="1"/>
        <v>7</v>
      </c>
    </row>
    <row r="14" spans="1:7" x14ac:dyDescent="0.25">
      <c r="A14" t="s">
        <v>15</v>
      </c>
      <c r="B14" s="5" t="s">
        <v>165</v>
      </c>
      <c r="C14" s="5" t="s">
        <v>165</v>
      </c>
      <c r="D14" t="b">
        <f t="shared" si="0"/>
        <v>0</v>
      </c>
      <c r="F14" s="7" t="s">
        <v>42</v>
      </c>
      <c r="G14" s="2">
        <f t="shared" si="1"/>
        <v>10</v>
      </c>
    </row>
    <row r="15" spans="1:7" x14ac:dyDescent="0.25">
      <c r="A15" t="s">
        <v>15</v>
      </c>
      <c r="B15" s="5" t="s">
        <v>167</v>
      </c>
      <c r="C15" s="5" t="s">
        <v>167</v>
      </c>
      <c r="D15" t="b">
        <f t="shared" si="0"/>
        <v>0</v>
      </c>
      <c r="F15" s="7" t="s">
        <v>842</v>
      </c>
      <c r="G15" s="2">
        <f t="shared" si="1"/>
        <v>4</v>
      </c>
    </row>
    <row r="16" spans="1:7" x14ac:dyDescent="0.25">
      <c r="A16" t="s">
        <v>15</v>
      </c>
      <c r="B16" s="5" t="s">
        <v>163</v>
      </c>
      <c r="C16" s="5" t="s">
        <v>163</v>
      </c>
      <c r="D16" t="b">
        <f t="shared" si="0"/>
        <v>0</v>
      </c>
    </row>
    <row r="17" spans="1:7" x14ac:dyDescent="0.25">
      <c r="A17" t="s">
        <v>15</v>
      </c>
      <c r="B17" s="5" t="s">
        <v>122</v>
      </c>
      <c r="C17" s="5" t="s">
        <v>122</v>
      </c>
      <c r="D17" t="b">
        <f t="shared" si="0"/>
        <v>0</v>
      </c>
      <c r="F17" s="1"/>
      <c r="G17" s="2"/>
    </row>
    <row r="18" spans="1:7" x14ac:dyDescent="0.25">
      <c r="A18" t="s">
        <v>15</v>
      </c>
      <c r="B18" s="5" t="s">
        <v>122</v>
      </c>
      <c r="C18" s="5" t="s">
        <v>122</v>
      </c>
      <c r="D18" t="b">
        <f t="shared" si="0"/>
        <v>0</v>
      </c>
    </row>
    <row r="19" spans="1:7" x14ac:dyDescent="0.25">
      <c r="A19" t="s">
        <v>15</v>
      </c>
      <c r="B19" s="5" t="s">
        <v>122</v>
      </c>
      <c r="C19" s="5" t="s">
        <v>122</v>
      </c>
      <c r="D19" t="b">
        <f t="shared" si="0"/>
        <v>0</v>
      </c>
    </row>
    <row r="20" spans="1:7" x14ac:dyDescent="0.25">
      <c r="A20" t="s">
        <v>15</v>
      </c>
      <c r="B20" s="5" t="s">
        <v>122</v>
      </c>
      <c r="C20" s="5" t="s">
        <v>122</v>
      </c>
      <c r="D20" t="b">
        <f t="shared" si="0"/>
        <v>0</v>
      </c>
    </row>
    <row r="21" spans="1:7" x14ac:dyDescent="0.25">
      <c r="A21" t="s">
        <v>15</v>
      </c>
      <c r="B21" s="5" t="s">
        <v>122</v>
      </c>
      <c r="C21" s="5" t="s">
        <v>122</v>
      </c>
      <c r="D21" t="b">
        <f t="shared" si="0"/>
        <v>0</v>
      </c>
    </row>
    <row r="22" spans="1:7" x14ac:dyDescent="0.25">
      <c r="A22" t="s">
        <v>15</v>
      </c>
      <c r="B22" s="5" t="s">
        <v>122</v>
      </c>
      <c r="C22" s="5" t="s">
        <v>122</v>
      </c>
      <c r="D22" t="b">
        <f t="shared" si="0"/>
        <v>0</v>
      </c>
    </row>
    <row r="23" spans="1:7" x14ac:dyDescent="0.25">
      <c r="A23" t="s">
        <v>15</v>
      </c>
      <c r="B23" s="5" t="s">
        <v>122</v>
      </c>
      <c r="C23" s="5" t="s">
        <v>122</v>
      </c>
      <c r="D23" t="b">
        <f t="shared" si="0"/>
        <v>0</v>
      </c>
    </row>
    <row r="24" spans="1:7" x14ac:dyDescent="0.25">
      <c r="A24" t="s">
        <v>15</v>
      </c>
      <c r="B24" s="5" t="s">
        <v>60</v>
      </c>
      <c r="C24" s="5" t="s">
        <v>60</v>
      </c>
      <c r="D24" t="b">
        <f t="shared" si="0"/>
        <v>0</v>
      </c>
    </row>
    <row r="25" spans="1:7" x14ac:dyDescent="0.25">
      <c r="A25" t="s">
        <v>15</v>
      </c>
      <c r="B25" s="5" t="s">
        <v>60</v>
      </c>
      <c r="C25" s="5" t="s">
        <v>60</v>
      </c>
      <c r="D25" t="b">
        <f t="shared" si="0"/>
        <v>0</v>
      </c>
    </row>
    <row r="26" spans="1:7" x14ac:dyDescent="0.25">
      <c r="A26" t="s">
        <v>15</v>
      </c>
      <c r="B26" s="5" t="s">
        <v>60</v>
      </c>
      <c r="C26" s="5" t="s">
        <v>60</v>
      </c>
      <c r="D26" t="b">
        <f t="shared" si="0"/>
        <v>0</v>
      </c>
    </row>
    <row r="27" spans="1:7" x14ac:dyDescent="0.25">
      <c r="A27" t="s">
        <v>15</v>
      </c>
      <c r="B27" s="5" t="s">
        <v>60</v>
      </c>
      <c r="C27" s="5" t="s">
        <v>60</v>
      </c>
      <c r="D27" t="b">
        <f t="shared" si="0"/>
        <v>0</v>
      </c>
    </row>
    <row r="28" spans="1:7" x14ac:dyDescent="0.25">
      <c r="A28" t="s">
        <v>15</v>
      </c>
      <c r="B28" s="5" t="s">
        <v>60</v>
      </c>
      <c r="C28" s="5" t="s">
        <v>60</v>
      </c>
      <c r="D28" t="b">
        <f t="shared" si="0"/>
        <v>0</v>
      </c>
    </row>
    <row r="29" spans="1:7" x14ac:dyDescent="0.25">
      <c r="A29" t="s">
        <v>15</v>
      </c>
      <c r="B29" s="5" t="s">
        <v>60</v>
      </c>
      <c r="C29" s="5" t="s">
        <v>60</v>
      </c>
      <c r="D29" t="b">
        <f t="shared" si="0"/>
        <v>0</v>
      </c>
    </row>
    <row r="30" spans="1:7" x14ac:dyDescent="0.25">
      <c r="A30" t="s">
        <v>15</v>
      </c>
      <c r="B30" s="5" t="s">
        <v>60</v>
      </c>
      <c r="C30" s="5" t="s">
        <v>60</v>
      </c>
      <c r="D30" t="b">
        <f t="shared" si="0"/>
        <v>0</v>
      </c>
    </row>
    <row r="31" spans="1:7" x14ac:dyDescent="0.25">
      <c r="A31" t="s">
        <v>15</v>
      </c>
      <c r="B31" s="5" t="s">
        <v>60</v>
      </c>
      <c r="C31" s="5" t="s">
        <v>60</v>
      </c>
      <c r="D31" t="b">
        <f t="shared" si="0"/>
        <v>0</v>
      </c>
    </row>
    <row r="32" spans="1:7" x14ac:dyDescent="0.25">
      <c r="A32" t="s">
        <v>15</v>
      </c>
      <c r="B32" s="5" t="s">
        <v>60</v>
      </c>
      <c r="C32" s="5" t="s">
        <v>60</v>
      </c>
      <c r="D32" t="b">
        <f t="shared" si="0"/>
        <v>0</v>
      </c>
    </row>
    <row r="33" spans="1:4" x14ac:dyDescent="0.25">
      <c r="A33" t="s">
        <v>15</v>
      </c>
      <c r="B33" s="5" t="s">
        <v>172</v>
      </c>
      <c r="C33" s="5" t="s">
        <v>172</v>
      </c>
      <c r="D33" t="b">
        <f t="shared" si="0"/>
        <v>0</v>
      </c>
    </row>
    <row r="34" spans="1:4" x14ac:dyDescent="0.25">
      <c r="A34" t="s">
        <v>15</v>
      </c>
      <c r="B34" s="5" t="s">
        <v>172</v>
      </c>
      <c r="C34" s="5" t="s">
        <v>172</v>
      </c>
      <c r="D34" t="b">
        <f t="shared" si="0"/>
        <v>0</v>
      </c>
    </row>
    <row r="35" spans="1:4" x14ac:dyDescent="0.25">
      <c r="A35" t="s">
        <v>15</v>
      </c>
      <c r="B35" s="5" t="s">
        <v>172</v>
      </c>
      <c r="C35" s="5" t="s">
        <v>172</v>
      </c>
      <c r="D35" t="b">
        <f t="shared" si="0"/>
        <v>0</v>
      </c>
    </row>
    <row r="36" spans="1:4" x14ac:dyDescent="0.25">
      <c r="A36" t="s">
        <v>15</v>
      </c>
      <c r="B36" s="5" t="s">
        <v>172</v>
      </c>
      <c r="C36" s="5" t="s">
        <v>172</v>
      </c>
      <c r="D36" t="b">
        <f t="shared" si="0"/>
        <v>0</v>
      </c>
    </row>
    <row r="37" spans="1:4" x14ac:dyDescent="0.25">
      <c r="A37" t="s">
        <v>15</v>
      </c>
      <c r="B37" s="5" t="s">
        <v>172</v>
      </c>
      <c r="C37" s="5" t="s">
        <v>172</v>
      </c>
      <c r="D37" t="b">
        <f t="shared" si="0"/>
        <v>0</v>
      </c>
    </row>
    <row r="38" spans="1:4" x14ac:dyDescent="0.25">
      <c r="A38" t="s">
        <v>15</v>
      </c>
      <c r="B38" s="5" t="s">
        <v>172</v>
      </c>
      <c r="C38" s="5" t="s">
        <v>172</v>
      </c>
      <c r="D38" t="b">
        <f t="shared" si="0"/>
        <v>0</v>
      </c>
    </row>
    <row r="39" spans="1:4" x14ac:dyDescent="0.25">
      <c r="A39" t="s">
        <v>15</v>
      </c>
      <c r="B39" s="5" t="s">
        <v>172</v>
      </c>
      <c r="C39" s="5" t="s">
        <v>172</v>
      </c>
      <c r="D39" t="b">
        <f t="shared" si="0"/>
        <v>0</v>
      </c>
    </row>
    <row r="40" spans="1:4" x14ac:dyDescent="0.25">
      <c r="A40" t="s">
        <v>21</v>
      </c>
      <c r="B40" s="5" t="s">
        <v>173</v>
      </c>
      <c r="C40" s="5" t="s">
        <v>173</v>
      </c>
      <c r="D40" t="b">
        <f t="shared" si="0"/>
        <v>0</v>
      </c>
    </row>
    <row r="41" spans="1:4" x14ac:dyDescent="0.25">
      <c r="A41" t="s">
        <v>21</v>
      </c>
      <c r="B41" s="5" t="s">
        <v>179</v>
      </c>
      <c r="C41" s="5" t="s">
        <v>179</v>
      </c>
      <c r="D41" t="b">
        <f t="shared" si="0"/>
        <v>0</v>
      </c>
    </row>
    <row r="42" spans="1:4" x14ac:dyDescent="0.25">
      <c r="A42" t="s">
        <v>21</v>
      </c>
      <c r="B42" s="5" t="s">
        <v>129</v>
      </c>
      <c r="C42" s="5" t="s">
        <v>129</v>
      </c>
      <c r="D42" t="b">
        <f t="shared" si="0"/>
        <v>0</v>
      </c>
    </row>
    <row r="43" spans="1:4" x14ac:dyDescent="0.25">
      <c r="A43" t="s">
        <v>21</v>
      </c>
      <c r="B43" s="5" t="s">
        <v>571</v>
      </c>
      <c r="C43" s="5" t="s">
        <v>571</v>
      </c>
      <c r="D43" t="b">
        <f t="shared" si="0"/>
        <v>0</v>
      </c>
    </row>
    <row r="44" spans="1:4" x14ac:dyDescent="0.25">
      <c r="A44" t="s">
        <v>21</v>
      </c>
      <c r="B44" s="5" t="s">
        <v>844</v>
      </c>
      <c r="C44" s="5" t="s">
        <v>844</v>
      </c>
      <c r="D44" t="b">
        <f t="shared" si="0"/>
        <v>0</v>
      </c>
    </row>
    <row r="45" spans="1:4" x14ac:dyDescent="0.25">
      <c r="A45" t="s">
        <v>21</v>
      </c>
      <c r="B45" s="5" t="s">
        <v>175</v>
      </c>
      <c r="C45" s="5" t="s">
        <v>175</v>
      </c>
      <c r="D45" t="b">
        <f t="shared" si="0"/>
        <v>0</v>
      </c>
    </row>
    <row r="46" spans="1:4" x14ac:dyDescent="0.25">
      <c r="A46" t="s">
        <v>21</v>
      </c>
      <c r="B46" s="5" t="s">
        <v>176</v>
      </c>
      <c r="C46" s="5" t="s">
        <v>176</v>
      </c>
      <c r="D46" t="b">
        <f t="shared" si="0"/>
        <v>0</v>
      </c>
    </row>
    <row r="47" spans="1:4" x14ac:dyDescent="0.25">
      <c r="A47" t="s">
        <v>21</v>
      </c>
      <c r="B47" s="5" t="s">
        <v>1747</v>
      </c>
      <c r="C47" s="5" t="s">
        <v>1747</v>
      </c>
      <c r="D47" t="b">
        <f t="shared" si="0"/>
        <v>0</v>
      </c>
    </row>
    <row r="48" spans="1:4" x14ac:dyDescent="0.25">
      <c r="A48" t="s">
        <v>21</v>
      </c>
      <c r="B48" s="5" t="s">
        <v>1306</v>
      </c>
      <c r="C48" s="5" t="s">
        <v>1306</v>
      </c>
      <c r="D48" t="b">
        <f t="shared" si="0"/>
        <v>0</v>
      </c>
    </row>
    <row r="49" spans="1:4" x14ac:dyDescent="0.25">
      <c r="A49" t="s">
        <v>21</v>
      </c>
      <c r="B49" s="5" t="s">
        <v>177</v>
      </c>
      <c r="C49" s="5" t="s">
        <v>177</v>
      </c>
      <c r="D49" t="b">
        <f t="shared" si="0"/>
        <v>0</v>
      </c>
    </row>
    <row r="50" spans="1:4" x14ac:dyDescent="0.25">
      <c r="A50" t="s">
        <v>44</v>
      </c>
      <c r="B50" s="5" t="s">
        <v>586</v>
      </c>
      <c r="C50" s="5" t="s">
        <v>586</v>
      </c>
      <c r="D50" t="b">
        <f t="shared" si="0"/>
        <v>0</v>
      </c>
    </row>
    <row r="51" spans="1:4" x14ac:dyDescent="0.25">
      <c r="A51" t="s">
        <v>44</v>
      </c>
      <c r="B51" s="5" t="s">
        <v>650</v>
      </c>
      <c r="C51" s="5" t="s">
        <v>650</v>
      </c>
      <c r="D51" t="b">
        <f t="shared" si="0"/>
        <v>0</v>
      </c>
    </row>
    <row r="52" spans="1:4" x14ac:dyDescent="0.25">
      <c r="A52" t="s">
        <v>44</v>
      </c>
      <c r="B52" s="5" t="s">
        <v>1748</v>
      </c>
      <c r="C52" s="5" t="s">
        <v>1748</v>
      </c>
      <c r="D52" t="b">
        <f t="shared" si="0"/>
        <v>0</v>
      </c>
    </row>
    <row r="53" spans="1:4" x14ac:dyDescent="0.25">
      <c r="A53" t="s">
        <v>44</v>
      </c>
      <c r="B53" s="5" t="s">
        <v>214</v>
      </c>
      <c r="C53" s="5" t="s">
        <v>214</v>
      </c>
      <c r="D53" t="b">
        <f t="shared" si="0"/>
        <v>0</v>
      </c>
    </row>
    <row r="54" spans="1:4" x14ac:dyDescent="0.25">
      <c r="A54" t="s">
        <v>44</v>
      </c>
      <c r="B54" s="5" t="s">
        <v>1746</v>
      </c>
      <c r="C54" s="5" t="s">
        <v>1746</v>
      </c>
      <c r="D54" t="b">
        <f t="shared" si="0"/>
        <v>0</v>
      </c>
    </row>
    <row r="55" spans="1:4" x14ac:dyDescent="0.25">
      <c r="A55" t="s">
        <v>44</v>
      </c>
      <c r="B55" s="5" t="s">
        <v>845</v>
      </c>
      <c r="C55" s="5" t="s">
        <v>845</v>
      </c>
      <c r="D55" t="b">
        <f t="shared" si="0"/>
        <v>0</v>
      </c>
    </row>
    <row r="56" spans="1:4" x14ac:dyDescent="0.25">
      <c r="A56" t="s">
        <v>44</v>
      </c>
      <c r="B56" s="5" t="s">
        <v>690</v>
      </c>
      <c r="C56" s="5" t="s">
        <v>690</v>
      </c>
      <c r="D56" t="b">
        <f t="shared" si="0"/>
        <v>0</v>
      </c>
    </row>
    <row r="57" spans="1:4" x14ac:dyDescent="0.25">
      <c r="A57" t="s">
        <v>44</v>
      </c>
      <c r="B57" s="5" t="s">
        <v>689</v>
      </c>
      <c r="C57" s="5" t="s">
        <v>689</v>
      </c>
      <c r="D57" t="b">
        <f t="shared" si="0"/>
        <v>0</v>
      </c>
    </row>
    <row r="58" spans="1:4" x14ac:dyDescent="0.25">
      <c r="A58" t="s">
        <v>44</v>
      </c>
      <c r="B58" s="5" t="s">
        <v>691</v>
      </c>
      <c r="C58" s="5" t="s">
        <v>691</v>
      </c>
      <c r="D58" t="b">
        <f t="shared" si="0"/>
        <v>0</v>
      </c>
    </row>
    <row r="59" spans="1:4" x14ac:dyDescent="0.25">
      <c r="A59" t="s">
        <v>44</v>
      </c>
      <c r="B59" s="5" t="s">
        <v>649</v>
      </c>
      <c r="C59" s="5" t="s">
        <v>649</v>
      </c>
      <c r="D59" t="b">
        <f t="shared" si="0"/>
        <v>0</v>
      </c>
    </row>
    <row r="60" spans="1:4" x14ac:dyDescent="0.25">
      <c r="A60" t="s">
        <v>44</v>
      </c>
      <c r="B60" s="5" t="s">
        <v>846</v>
      </c>
      <c r="C60" s="5" t="s">
        <v>846</v>
      </c>
      <c r="D60" t="b">
        <f t="shared" si="0"/>
        <v>0</v>
      </c>
    </row>
    <row r="61" spans="1:4" x14ac:dyDescent="0.25">
      <c r="A61" t="s">
        <v>44</v>
      </c>
      <c r="B61" s="5" t="s">
        <v>1538</v>
      </c>
      <c r="C61" s="5" t="s">
        <v>1538</v>
      </c>
      <c r="D61" t="b">
        <f t="shared" si="0"/>
        <v>0</v>
      </c>
    </row>
    <row r="62" spans="1:4" x14ac:dyDescent="0.25">
      <c r="A62" t="s">
        <v>44</v>
      </c>
      <c r="B62" s="5" t="s">
        <v>847</v>
      </c>
      <c r="C62" s="5" t="s">
        <v>847</v>
      </c>
      <c r="D62" t="b">
        <f t="shared" si="0"/>
        <v>0</v>
      </c>
    </row>
    <row r="63" spans="1:4" x14ac:dyDescent="0.25">
      <c r="A63" t="s">
        <v>44</v>
      </c>
      <c r="B63" s="5" t="s">
        <v>213</v>
      </c>
      <c r="C63" s="5" t="s">
        <v>213</v>
      </c>
      <c r="D63" t="b">
        <f t="shared" si="0"/>
        <v>0</v>
      </c>
    </row>
    <row r="64" spans="1:4" x14ac:dyDescent="0.25">
      <c r="A64" t="s">
        <v>44</v>
      </c>
      <c r="B64" s="5" t="s">
        <v>848</v>
      </c>
      <c r="C64" s="5" t="s">
        <v>848</v>
      </c>
      <c r="D64" t="b">
        <f t="shared" si="0"/>
        <v>0</v>
      </c>
    </row>
    <row r="65" spans="1:4" x14ac:dyDescent="0.25">
      <c r="A65" t="s">
        <v>44</v>
      </c>
      <c r="B65" s="5" t="s">
        <v>849</v>
      </c>
      <c r="C65" s="5" t="s">
        <v>849</v>
      </c>
      <c r="D65" t="b">
        <f t="shared" si="0"/>
        <v>0</v>
      </c>
    </row>
    <row r="66" spans="1:4" x14ac:dyDescent="0.25">
      <c r="A66" t="s">
        <v>843</v>
      </c>
      <c r="B66" s="5" t="s">
        <v>850</v>
      </c>
      <c r="C66" s="5" t="s">
        <v>850</v>
      </c>
      <c r="D66" t="b">
        <f t="shared" si="0"/>
        <v>0</v>
      </c>
    </row>
    <row r="67" spans="1:4" x14ac:dyDescent="0.25">
      <c r="A67" t="s">
        <v>843</v>
      </c>
      <c r="B67" s="5" t="s">
        <v>851</v>
      </c>
      <c r="C67" s="5" t="s">
        <v>851</v>
      </c>
      <c r="D67" t="b">
        <f t="shared" si="0"/>
        <v>0</v>
      </c>
    </row>
    <row r="68" spans="1:4" x14ac:dyDescent="0.25">
      <c r="A68" t="s">
        <v>843</v>
      </c>
      <c r="B68" s="5" t="s">
        <v>1749</v>
      </c>
      <c r="C68" s="5" t="s">
        <v>1749</v>
      </c>
      <c r="D68" t="b">
        <f t="shared" si="0"/>
        <v>0</v>
      </c>
    </row>
    <row r="69" spans="1:4" x14ac:dyDescent="0.25">
      <c r="A69" t="s">
        <v>843</v>
      </c>
      <c r="B69" s="5" t="s">
        <v>1304</v>
      </c>
      <c r="C69" s="5" t="s">
        <v>1304</v>
      </c>
      <c r="D69" t="b">
        <f t="shared" ref="D69:D102" si="2">B69&lt;&gt;C69</f>
        <v>0</v>
      </c>
    </row>
    <row r="70" spans="1:4" x14ac:dyDescent="0.25">
      <c r="A70" t="s">
        <v>843</v>
      </c>
      <c r="B70" s="5" t="s">
        <v>1303</v>
      </c>
      <c r="C70" s="5" t="s">
        <v>1303</v>
      </c>
      <c r="D70" t="b">
        <f t="shared" si="2"/>
        <v>0</v>
      </c>
    </row>
    <row r="71" spans="1:4" x14ac:dyDescent="0.25">
      <c r="A71" t="s">
        <v>843</v>
      </c>
      <c r="B71" s="5" t="s">
        <v>1940</v>
      </c>
      <c r="C71" s="5" t="s">
        <v>1940</v>
      </c>
      <c r="D71" t="b">
        <f t="shared" si="2"/>
        <v>0</v>
      </c>
    </row>
    <row r="72" spans="1:4" x14ac:dyDescent="0.25">
      <c r="A72" t="s">
        <v>843</v>
      </c>
      <c r="B72" s="5" t="s">
        <v>1745</v>
      </c>
      <c r="C72" s="5" t="s">
        <v>1745</v>
      </c>
      <c r="D72" t="b">
        <f t="shared" si="2"/>
        <v>0</v>
      </c>
    </row>
    <row r="73" spans="1:4" x14ac:dyDescent="0.25">
      <c r="A73" t="s">
        <v>459</v>
      </c>
      <c r="B73" s="5" t="s">
        <v>856</v>
      </c>
      <c r="C73" s="5" t="s">
        <v>856</v>
      </c>
      <c r="D73" t="b">
        <f t="shared" si="2"/>
        <v>0</v>
      </c>
    </row>
    <row r="74" spans="1:4" x14ac:dyDescent="0.25">
      <c r="A74" t="s">
        <v>459</v>
      </c>
      <c r="B74" s="5" t="s">
        <v>857</v>
      </c>
      <c r="C74" s="5" t="s">
        <v>857</v>
      </c>
      <c r="D74" t="b">
        <f t="shared" si="2"/>
        <v>0</v>
      </c>
    </row>
    <row r="75" spans="1:4" x14ac:dyDescent="0.25">
      <c r="A75" t="s">
        <v>459</v>
      </c>
      <c r="B75" s="5" t="s">
        <v>858</v>
      </c>
      <c r="C75" s="5" t="s">
        <v>858</v>
      </c>
      <c r="D75" t="b">
        <f t="shared" si="2"/>
        <v>0</v>
      </c>
    </row>
    <row r="76" spans="1:4" x14ac:dyDescent="0.25">
      <c r="A76" t="s">
        <v>459</v>
      </c>
      <c r="B76" s="5" t="s">
        <v>859</v>
      </c>
      <c r="C76" s="5" t="s">
        <v>859</v>
      </c>
      <c r="D76" t="b">
        <f t="shared" si="2"/>
        <v>0</v>
      </c>
    </row>
    <row r="77" spans="1:4" x14ac:dyDescent="0.25">
      <c r="A77" t="s">
        <v>841</v>
      </c>
      <c r="B77" s="5" t="s">
        <v>860</v>
      </c>
      <c r="C77" s="5" t="s">
        <v>860</v>
      </c>
      <c r="D77" t="b">
        <f t="shared" si="2"/>
        <v>0</v>
      </c>
    </row>
    <row r="78" spans="1:4" x14ac:dyDescent="0.25">
      <c r="A78" t="s">
        <v>841</v>
      </c>
      <c r="B78" s="5" t="s">
        <v>861</v>
      </c>
      <c r="C78" s="5" t="s">
        <v>861</v>
      </c>
      <c r="D78" t="b">
        <f t="shared" si="2"/>
        <v>0</v>
      </c>
    </row>
    <row r="79" spans="1:4" x14ac:dyDescent="0.25">
      <c r="A79" t="s">
        <v>841</v>
      </c>
      <c r="B79" s="5" t="s">
        <v>862</v>
      </c>
      <c r="C79" s="5" t="s">
        <v>862</v>
      </c>
      <c r="D79" t="b">
        <f t="shared" si="2"/>
        <v>0</v>
      </c>
    </row>
    <row r="80" spans="1:4" x14ac:dyDescent="0.25">
      <c r="A80" t="s">
        <v>841</v>
      </c>
      <c r="B80" s="5" t="s">
        <v>863</v>
      </c>
      <c r="C80" s="5" t="s">
        <v>863</v>
      </c>
      <c r="D80" t="b">
        <f t="shared" si="2"/>
        <v>0</v>
      </c>
    </row>
    <row r="81" spans="1:4" x14ac:dyDescent="0.25">
      <c r="A81" t="s">
        <v>841</v>
      </c>
      <c r="B81" s="5" t="s">
        <v>864</v>
      </c>
      <c r="C81" s="5" t="s">
        <v>864</v>
      </c>
      <c r="D81" t="b">
        <f t="shared" si="2"/>
        <v>0</v>
      </c>
    </row>
    <row r="82" spans="1:4" x14ac:dyDescent="0.25">
      <c r="A82" t="s">
        <v>841</v>
      </c>
      <c r="B82" s="5" t="s">
        <v>865</v>
      </c>
      <c r="C82" s="5" t="s">
        <v>865</v>
      </c>
      <c r="D82" t="b">
        <f t="shared" si="2"/>
        <v>0</v>
      </c>
    </row>
    <row r="83" spans="1:4" x14ac:dyDescent="0.25">
      <c r="A83" t="s">
        <v>841</v>
      </c>
      <c r="B83" s="5" t="s">
        <v>866</v>
      </c>
      <c r="C83" s="5" t="s">
        <v>866</v>
      </c>
      <c r="D83" t="b">
        <f t="shared" si="2"/>
        <v>0</v>
      </c>
    </row>
    <row r="84" spans="1:4" x14ac:dyDescent="0.25">
      <c r="A84" t="s">
        <v>841</v>
      </c>
      <c r="B84" s="5" t="s">
        <v>867</v>
      </c>
      <c r="C84" s="5" t="s">
        <v>867</v>
      </c>
      <c r="D84" t="b">
        <f t="shared" si="2"/>
        <v>0</v>
      </c>
    </row>
    <row r="85" spans="1:4" x14ac:dyDescent="0.25">
      <c r="A85" t="s">
        <v>841</v>
      </c>
      <c r="B85" s="5" t="s">
        <v>868</v>
      </c>
      <c r="C85" s="5" t="s">
        <v>868</v>
      </c>
      <c r="D85" t="b">
        <f t="shared" si="2"/>
        <v>0</v>
      </c>
    </row>
    <row r="86" spans="1:4" x14ac:dyDescent="0.25">
      <c r="A86" t="s">
        <v>841</v>
      </c>
      <c r="B86" s="5" t="s">
        <v>869</v>
      </c>
      <c r="C86" s="5" t="s">
        <v>869</v>
      </c>
      <c r="D86" t="b">
        <f t="shared" si="2"/>
        <v>0</v>
      </c>
    </row>
    <row r="87" spans="1:4" x14ac:dyDescent="0.25">
      <c r="A87" t="s">
        <v>841</v>
      </c>
      <c r="B87" s="5" t="s">
        <v>1743</v>
      </c>
      <c r="C87" s="5" t="s">
        <v>1743</v>
      </c>
      <c r="D87" t="b">
        <f t="shared" si="2"/>
        <v>0</v>
      </c>
    </row>
    <row r="88" spans="1:4" x14ac:dyDescent="0.25">
      <c r="A88" t="s">
        <v>841</v>
      </c>
      <c r="B88" s="5" t="s">
        <v>870</v>
      </c>
      <c r="C88" s="5" t="s">
        <v>870</v>
      </c>
      <c r="D88" t="b">
        <f t="shared" si="2"/>
        <v>0</v>
      </c>
    </row>
    <row r="89" spans="1:4" x14ac:dyDescent="0.25">
      <c r="A89" t="s">
        <v>42</v>
      </c>
      <c r="B89" s="5" t="s">
        <v>1244</v>
      </c>
      <c r="C89" s="5" t="s">
        <v>1244</v>
      </c>
      <c r="D89" t="b">
        <f t="shared" si="2"/>
        <v>0</v>
      </c>
    </row>
    <row r="90" spans="1:4" x14ac:dyDescent="0.25">
      <c r="A90" t="s">
        <v>42</v>
      </c>
      <c r="B90" s="5" t="s">
        <v>1744</v>
      </c>
      <c r="C90" s="5" t="s">
        <v>1744</v>
      </c>
      <c r="D90" t="b">
        <f t="shared" si="2"/>
        <v>0</v>
      </c>
    </row>
    <row r="91" spans="1:4" x14ac:dyDescent="0.25">
      <c r="A91" t="s">
        <v>42</v>
      </c>
      <c r="B91" s="5" t="s">
        <v>852</v>
      </c>
      <c r="C91" s="5" t="s">
        <v>852</v>
      </c>
      <c r="D91" t="b">
        <f t="shared" si="2"/>
        <v>0</v>
      </c>
    </row>
    <row r="92" spans="1:4" x14ac:dyDescent="0.25">
      <c r="A92" t="s">
        <v>42</v>
      </c>
      <c r="B92" s="5" t="s">
        <v>853</v>
      </c>
      <c r="C92" s="5" t="s">
        <v>853</v>
      </c>
      <c r="D92" t="b">
        <f t="shared" si="2"/>
        <v>0</v>
      </c>
    </row>
    <row r="93" spans="1:4" x14ac:dyDescent="0.25">
      <c r="A93" t="s">
        <v>42</v>
      </c>
      <c r="B93" s="5" t="s">
        <v>854</v>
      </c>
      <c r="C93" s="5" t="s">
        <v>854</v>
      </c>
      <c r="D93" t="b">
        <f t="shared" si="2"/>
        <v>0</v>
      </c>
    </row>
    <row r="94" spans="1:4" x14ac:dyDescent="0.25">
      <c r="A94" t="s">
        <v>42</v>
      </c>
      <c r="B94" s="5" t="s">
        <v>855</v>
      </c>
      <c r="C94" s="5" t="s">
        <v>855</v>
      </c>
      <c r="D94" t="b">
        <f t="shared" si="2"/>
        <v>0</v>
      </c>
    </row>
    <row r="95" spans="1:4" x14ac:dyDescent="0.25">
      <c r="A95" t="s">
        <v>42</v>
      </c>
      <c r="B95" s="5" t="s">
        <v>1750</v>
      </c>
      <c r="C95" s="5" t="s">
        <v>1750</v>
      </c>
      <c r="D95" t="b">
        <f t="shared" si="2"/>
        <v>0</v>
      </c>
    </row>
    <row r="96" spans="1:4" x14ac:dyDescent="0.25">
      <c r="A96" t="s">
        <v>42</v>
      </c>
      <c r="B96" s="5" t="s">
        <v>1305</v>
      </c>
      <c r="C96" s="5" t="s">
        <v>1305</v>
      </c>
      <c r="D96" t="b">
        <f t="shared" si="2"/>
        <v>0</v>
      </c>
    </row>
    <row r="97" spans="1:4" x14ac:dyDescent="0.25">
      <c r="A97" t="s">
        <v>42</v>
      </c>
      <c r="B97" s="5" t="s">
        <v>216</v>
      </c>
      <c r="C97" s="5" t="s">
        <v>216</v>
      </c>
      <c r="D97" t="b">
        <f t="shared" si="2"/>
        <v>0</v>
      </c>
    </row>
    <row r="98" spans="1:4" x14ac:dyDescent="0.25">
      <c r="A98" t="s">
        <v>42</v>
      </c>
      <c r="B98" s="5" t="s">
        <v>1751</v>
      </c>
      <c r="C98" s="5" t="s">
        <v>1751</v>
      </c>
      <c r="D98" t="b">
        <f t="shared" si="2"/>
        <v>0</v>
      </c>
    </row>
    <row r="99" spans="1:4" x14ac:dyDescent="0.25">
      <c r="A99" t="s">
        <v>842</v>
      </c>
      <c r="B99" s="5" t="s">
        <v>211</v>
      </c>
      <c r="C99" s="5" t="s">
        <v>211</v>
      </c>
      <c r="D99" t="b">
        <f t="shared" si="2"/>
        <v>0</v>
      </c>
    </row>
    <row r="100" spans="1:4" x14ac:dyDescent="0.25">
      <c r="A100" t="s">
        <v>842</v>
      </c>
      <c r="B100" s="5" t="s">
        <v>871</v>
      </c>
      <c r="C100" s="5" t="s">
        <v>871</v>
      </c>
      <c r="D100" t="b">
        <f t="shared" si="2"/>
        <v>0</v>
      </c>
    </row>
    <row r="101" spans="1:4" x14ac:dyDescent="0.25">
      <c r="A101" t="s">
        <v>842</v>
      </c>
      <c r="B101" s="5" t="s">
        <v>872</v>
      </c>
      <c r="C101" s="5" t="s">
        <v>872</v>
      </c>
      <c r="D101" t="b">
        <f t="shared" si="2"/>
        <v>0</v>
      </c>
    </row>
    <row r="102" spans="1:4" x14ac:dyDescent="0.25">
      <c r="A102" t="s">
        <v>842</v>
      </c>
      <c r="B102" s="5" t="s">
        <v>873</v>
      </c>
      <c r="C102" s="5" t="s">
        <v>873</v>
      </c>
      <c r="D102" t="b">
        <f t="shared" si="2"/>
        <v>0</v>
      </c>
    </row>
  </sheetData>
  <mergeCells count="1">
    <mergeCell ref="A1:G1"/>
  </mergeCells>
  <pageMargins left="0.511811024" right="0.511811024" top="0.78740157499999996" bottom="0.78740157499999996" header="0.31496062000000002" footer="0.3149606200000000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notContainsText" priority="1" operator="notContains" id="{BD282C73-8600-4DEE-BB25-67FAD3692FE0}">
            <xm:f>ISERROR(SEARCH(C3,B3))</xm:f>
            <xm:f>C3</xm:f>
            <x14:dxf>
              <fill>
                <patternFill>
                  <bgColor theme="5" tint="0.39994506668294322"/>
                </patternFill>
              </fill>
            </x14:dxf>
          </x14:cfRule>
          <xm:sqref>B3:B102</xm:sqref>
        </x14:conditionalFormatting>
      </x14:conditionalFormatting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34962-DB48-4C8D-A9F7-3CEA30E9EFC3}">
  <sheetPr codeName="Planilha23"/>
  <dimension ref="A1:G102"/>
  <sheetViews>
    <sheetView topLeftCell="A86" workbookViewId="0">
      <selection activeCell="B100" sqref="B100"/>
    </sheetView>
  </sheetViews>
  <sheetFormatPr defaultRowHeight="15" x14ac:dyDescent="0.25"/>
  <cols>
    <col min="1" max="1" width="11.85546875" style="5" customWidth="1"/>
    <col min="2" max="3" width="38.7109375" customWidth="1"/>
    <col min="4" max="4" width="10.28515625" hidden="1" customWidth="1"/>
    <col min="5" max="5" width="4.28515625" customWidth="1"/>
    <col min="6" max="6" width="22.7109375" style="3" customWidth="1"/>
    <col min="7" max="7" width="8.7109375" customWidth="1"/>
  </cols>
  <sheetData>
    <row r="1" spans="1:7" ht="21" x14ac:dyDescent="0.25">
      <c r="A1" s="12" t="s">
        <v>8</v>
      </c>
      <c r="B1" s="12"/>
      <c r="C1" s="12"/>
      <c r="D1" s="12"/>
      <c r="E1" s="12"/>
      <c r="F1" s="12"/>
      <c r="G1" s="12"/>
    </row>
    <row r="2" spans="1:7" x14ac:dyDescent="0.25">
      <c r="A2" s="4" t="s">
        <v>11</v>
      </c>
      <c r="B2" s="4" t="s">
        <v>12</v>
      </c>
      <c r="C2" s="4" t="s">
        <v>13</v>
      </c>
      <c r="D2" s="4" t="s">
        <v>14</v>
      </c>
      <c r="F2" s="4" t="s">
        <v>16</v>
      </c>
      <c r="G2" s="3">
        <f>COUNTIF(D:D,"Verdadeiro")</f>
        <v>9</v>
      </c>
    </row>
    <row r="3" spans="1:7" x14ac:dyDescent="0.25">
      <c r="A3" s="5" t="s">
        <v>1539</v>
      </c>
      <c r="B3" s="5" t="s">
        <v>1558</v>
      </c>
      <c r="C3" s="5" t="s">
        <v>1558</v>
      </c>
      <c r="D3" t="b">
        <f>B3&lt;&gt;C3</f>
        <v>0</v>
      </c>
      <c r="F3" s="4" t="s">
        <v>17</v>
      </c>
      <c r="G3" s="3">
        <f>SUM(G6:G26)</f>
        <v>100</v>
      </c>
    </row>
    <row r="4" spans="1:7" x14ac:dyDescent="0.25">
      <c r="A4" t="s">
        <v>15</v>
      </c>
      <c r="B4" s="5" t="s">
        <v>907</v>
      </c>
      <c r="C4" s="5" t="s">
        <v>907</v>
      </c>
      <c r="D4" t="b">
        <f>B4&lt;&gt;C4</f>
        <v>0</v>
      </c>
    </row>
    <row r="5" spans="1:7" x14ac:dyDescent="0.25">
      <c r="A5" t="s">
        <v>15</v>
      </c>
      <c r="B5" s="5" t="s">
        <v>908</v>
      </c>
      <c r="C5" s="5" t="s">
        <v>908</v>
      </c>
      <c r="D5" t="b">
        <f t="shared" ref="D5:D68" si="0">B5&lt;&gt;C5</f>
        <v>0</v>
      </c>
      <c r="F5" s="6" t="s">
        <v>19</v>
      </c>
      <c r="G5" s="1"/>
    </row>
    <row r="6" spans="1:7" x14ac:dyDescent="0.25">
      <c r="A6" t="s">
        <v>15</v>
      </c>
      <c r="B6" s="5" t="s">
        <v>393</v>
      </c>
      <c r="C6" s="5" t="s">
        <v>393</v>
      </c>
      <c r="D6" t="b">
        <f t="shared" si="0"/>
        <v>0</v>
      </c>
      <c r="F6" s="3" t="s">
        <v>1539</v>
      </c>
      <c r="G6" s="2">
        <f t="shared" ref="G6:G14" si="1">COUNTIF(A:A,F6)</f>
        <v>1</v>
      </c>
    </row>
    <row r="7" spans="1:7" x14ac:dyDescent="0.25">
      <c r="A7" t="s">
        <v>15</v>
      </c>
      <c r="B7" s="5" t="s">
        <v>511</v>
      </c>
      <c r="C7" s="5" t="s">
        <v>511</v>
      </c>
      <c r="D7" t="b">
        <f t="shared" si="0"/>
        <v>0</v>
      </c>
      <c r="F7" s="7" t="s">
        <v>15</v>
      </c>
      <c r="G7" s="2">
        <f t="shared" si="1"/>
        <v>38</v>
      </c>
    </row>
    <row r="8" spans="1:7" x14ac:dyDescent="0.25">
      <c r="A8" t="s">
        <v>15</v>
      </c>
      <c r="B8" s="5" t="s">
        <v>878</v>
      </c>
      <c r="C8" s="5" t="s">
        <v>878</v>
      </c>
      <c r="D8" t="b">
        <f t="shared" si="0"/>
        <v>0</v>
      </c>
      <c r="F8" s="7" t="s">
        <v>22</v>
      </c>
      <c r="G8" s="2">
        <f t="shared" si="1"/>
        <v>12</v>
      </c>
    </row>
    <row r="9" spans="1:7" x14ac:dyDescent="0.25">
      <c r="A9" t="s">
        <v>15</v>
      </c>
      <c r="B9" s="5" t="s">
        <v>45</v>
      </c>
      <c r="C9" s="5" t="s">
        <v>45</v>
      </c>
      <c r="D9" t="b">
        <f t="shared" si="0"/>
        <v>0</v>
      </c>
      <c r="F9" s="7" t="s">
        <v>228</v>
      </c>
      <c r="G9" s="2">
        <f t="shared" si="1"/>
        <v>21</v>
      </c>
    </row>
    <row r="10" spans="1:7" x14ac:dyDescent="0.25">
      <c r="A10" t="s">
        <v>15</v>
      </c>
      <c r="B10" s="5" t="s">
        <v>909</v>
      </c>
      <c r="C10" s="5" t="s">
        <v>909</v>
      </c>
      <c r="D10" t="b">
        <f t="shared" si="0"/>
        <v>0</v>
      </c>
      <c r="F10" s="7" t="s">
        <v>28</v>
      </c>
      <c r="G10" s="2">
        <f t="shared" si="1"/>
        <v>0</v>
      </c>
    </row>
    <row r="11" spans="1:7" x14ac:dyDescent="0.25">
      <c r="A11" t="s">
        <v>15</v>
      </c>
      <c r="B11" s="5" t="s">
        <v>910</v>
      </c>
      <c r="C11" s="5" t="s">
        <v>910</v>
      </c>
      <c r="D11" t="b">
        <f t="shared" si="0"/>
        <v>0</v>
      </c>
      <c r="F11" s="7" t="s">
        <v>288</v>
      </c>
      <c r="G11" s="2">
        <f t="shared" si="1"/>
        <v>7</v>
      </c>
    </row>
    <row r="12" spans="1:7" x14ac:dyDescent="0.25">
      <c r="A12" t="s">
        <v>15</v>
      </c>
      <c r="B12" s="5" t="s">
        <v>911</v>
      </c>
      <c r="C12" s="5" t="s">
        <v>911</v>
      </c>
      <c r="D12" t="b">
        <f t="shared" si="0"/>
        <v>0</v>
      </c>
      <c r="F12" s="7" t="s">
        <v>44</v>
      </c>
      <c r="G12" s="2">
        <f t="shared" si="1"/>
        <v>8</v>
      </c>
    </row>
    <row r="13" spans="1:7" x14ac:dyDescent="0.25">
      <c r="A13" t="s">
        <v>15</v>
      </c>
      <c r="B13" s="5" t="s">
        <v>912</v>
      </c>
      <c r="C13" s="5" t="s">
        <v>912</v>
      </c>
      <c r="D13" t="b">
        <f t="shared" si="0"/>
        <v>0</v>
      </c>
      <c r="F13" s="7" t="s">
        <v>915</v>
      </c>
      <c r="G13" s="2">
        <f t="shared" si="1"/>
        <v>4</v>
      </c>
    </row>
    <row r="14" spans="1:7" x14ac:dyDescent="0.25">
      <c r="A14" t="s">
        <v>15</v>
      </c>
      <c r="B14" s="5" t="s">
        <v>913</v>
      </c>
      <c r="C14" s="5" t="s">
        <v>914</v>
      </c>
      <c r="D14" t="b">
        <f t="shared" si="0"/>
        <v>1</v>
      </c>
      <c r="F14" s="7" t="s">
        <v>916</v>
      </c>
      <c r="G14" s="2">
        <f t="shared" si="1"/>
        <v>9</v>
      </c>
    </row>
    <row r="15" spans="1:7" x14ac:dyDescent="0.25">
      <c r="A15" t="s">
        <v>15</v>
      </c>
      <c r="B15" s="5" t="s">
        <v>1701</v>
      </c>
      <c r="C15" s="5" t="s">
        <v>1701</v>
      </c>
      <c r="D15" t="b">
        <f t="shared" si="0"/>
        <v>0</v>
      </c>
    </row>
    <row r="16" spans="1:7" x14ac:dyDescent="0.25">
      <c r="A16" t="s">
        <v>15</v>
      </c>
      <c r="B16" s="5" t="s">
        <v>20</v>
      </c>
      <c r="C16" s="5" t="s">
        <v>20</v>
      </c>
      <c r="D16" t="b">
        <f t="shared" si="0"/>
        <v>0</v>
      </c>
      <c r="F16" s="4"/>
      <c r="G16" s="2"/>
    </row>
    <row r="17" spans="1:7" x14ac:dyDescent="0.25">
      <c r="A17" t="s">
        <v>15</v>
      </c>
      <c r="B17" s="5" t="s">
        <v>229</v>
      </c>
      <c r="C17" s="5" t="s">
        <v>229</v>
      </c>
      <c r="D17" t="b">
        <f t="shared" si="0"/>
        <v>0</v>
      </c>
      <c r="F17" s="4"/>
      <c r="G17" s="2"/>
    </row>
    <row r="18" spans="1:7" x14ac:dyDescent="0.25">
      <c r="A18" t="s">
        <v>15</v>
      </c>
      <c r="B18" s="5" t="s">
        <v>172</v>
      </c>
      <c r="C18" s="5" t="s">
        <v>1700</v>
      </c>
      <c r="D18" t="b">
        <f t="shared" si="0"/>
        <v>1</v>
      </c>
    </row>
    <row r="19" spans="1:7" x14ac:dyDescent="0.25">
      <c r="A19" t="s">
        <v>15</v>
      </c>
      <c r="B19" s="5" t="s">
        <v>111</v>
      </c>
      <c r="C19" s="5" t="s">
        <v>111</v>
      </c>
      <c r="D19" t="b">
        <f t="shared" si="0"/>
        <v>0</v>
      </c>
    </row>
    <row r="20" spans="1:7" x14ac:dyDescent="0.25">
      <c r="A20" t="s">
        <v>15</v>
      </c>
      <c r="B20" s="5" t="s">
        <v>917</v>
      </c>
      <c r="C20" s="5" t="s">
        <v>917</v>
      </c>
      <c r="D20" t="b">
        <f t="shared" si="0"/>
        <v>0</v>
      </c>
    </row>
    <row r="21" spans="1:7" x14ac:dyDescent="0.25">
      <c r="A21" t="s">
        <v>15</v>
      </c>
      <c r="B21" s="5" t="s">
        <v>43</v>
      </c>
      <c r="C21" s="5" t="s">
        <v>43</v>
      </c>
      <c r="D21" t="b">
        <f t="shared" si="0"/>
        <v>0</v>
      </c>
    </row>
    <row r="22" spans="1:7" x14ac:dyDescent="0.25">
      <c r="A22" t="s">
        <v>15</v>
      </c>
      <c r="B22" s="5" t="s">
        <v>235</v>
      </c>
      <c r="C22" s="5" t="s">
        <v>235</v>
      </c>
      <c r="D22" t="b">
        <f t="shared" si="0"/>
        <v>0</v>
      </c>
    </row>
    <row r="23" spans="1:7" x14ac:dyDescent="0.25">
      <c r="A23" t="s">
        <v>15</v>
      </c>
      <c r="B23" s="5" t="s">
        <v>918</v>
      </c>
      <c r="C23" s="5" t="s">
        <v>1699</v>
      </c>
      <c r="D23" t="b">
        <f t="shared" si="0"/>
        <v>1</v>
      </c>
    </row>
    <row r="24" spans="1:7" x14ac:dyDescent="0.25">
      <c r="A24" t="s">
        <v>15</v>
      </c>
      <c r="B24" s="5" t="s">
        <v>39</v>
      </c>
      <c r="C24" s="5" t="s">
        <v>39</v>
      </c>
      <c r="D24" t="b">
        <f t="shared" si="0"/>
        <v>0</v>
      </c>
    </row>
    <row r="25" spans="1:7" x14ac:dyDescent="0.25">
      <c r="A25" t="s">
        <v>15</v>
      </c>
      <c r="B25" s="5" t="s">
        <v>1334</v>
      </c>
      <c r="C25" s="5" t="s">
        <v>1334</v>
      </c>
      <c r="D25" t="b">
        <f t="shared" si="0"/>
        <v>0</v>
      </c>
    </row>
    <row r="26" spans="1:7" x14ac:dyDescent="0.25">
      <c r="A26" t="s">
        <v>15</v>
      </c>
      <c r="B26" s="5" t="s">
        <v>120</v>
      </c>
      <c r="C26" s="5" t="s">
        <v>120</v>
      </c>
      <c r="D26" t="b">
        <f t="shared" si="0"/>
        <v>0</v>
      </c>
    </row>
    <row r="27" spans="1:7" x14ac:dyDescent="0.25">
      <c r="A27" t="s">
        <v>15</v>
      </c>
      <c r="B27" s="5" t="s">
        <v>172</v>
      </c>
      <c r="C27" s="5" t="s">
        <v>172</v>
      </c>
      <c r="D27" t="b">
        <f t="shared" si="0"/>
        <v>0</v>
      </c>
    </row>
    <row r="28" spans="1:7" x14ac:dyDescent="0.25">
      <c r="A28" t="s">
        <v>15</v>
      </c>
      <c r="B28" s="5" t="s">
        <v>172</v>
      </c>
      <c r="C28" s="5" t="s">
        <v>172</v>
      </c>
      <c r="D28" t="b">
        <f t="shared" si="0"/>
        <v>0</v>
      </c>
    </row>
    <row r="29" spans="1:7" x14ac:dyDescent="0.25">
      <c r="A29" t="s">
        <v>15</v>
      </c>
      <c r="B29" s="5" t="s">
        <v>172</v>
      </c>
      <c r="C29" s="5" t="s">
        <v>172</v>
      </c>
      <c r="D29" t="b">
        <f t="shared" si="0"/>
        <v>0</v>
      </c>
    </row>
    <row r="30" spans="1:7" x14ac:dyDescent="0.25">
      <c r="A30" t="s">
        <v>15</v>
      </c>
      <c r="B30" s="5" t="s">
        <v>172</v>
      </c>
      <c r="C30" s="5" t="s">
        <v>172</v>
      </c>
      <c r="D30" t="b">
        <f t="shared" si="0"/>
        <v>0</v>
      </c>
    </row>
    <row r="31" spans="1:7" x14ac:dyDescent="0.25">
      <c r="A31" t="s">
        <v>15</v>
      </c>
      <c r="B31" s="5" t="s">
        <v>172</v>
      </c>
      <c r="C31" s="5" t="s">
        <v>172</v>
      </c>
      <c r="D31" t="b">
        <f t="shared" si="0"/>
        <v>0</v>
      </c>
    </row>
    <row r="32" spans="1:7" x14ac:dyDescent="0.25">
      <c r="A32" t="s">
        <v>15</v>
      </c>
      <c r="B32" s="5" t="s">
        <v>172</v>
      </c>
      <c r="C32" s="5" t="s">
        <v>172</v>
      </c>
      <c r="D32" t="b">
        <f t="shared" si="0"/>
        <v>0</v>
      </c>
    </row>
    <row r="33" spans="1:4" x14ac:dyDescent="0.25">
      <c r="A33" t="s">
        <v>15</v>
      </c>
      <c r="B33" s="5" t="s">
        <v>172</v>
      </c>
      <c r="C33" s="5" t="s">
        <v>172</v>
      </c>
      <c r="D33" t="b">
        <f t="shared" si="0"/>
        <v>0</v>
      </c>
    </row>
    <row r="34" spans="1:4" x14ac:dyDescent="0.25">
      <c r="A34" t="s">
        <v>15</v>
      </c>
      <c r="B34" s="5" t="s">
        <v>172</v>
      </c>
      <c r="C34" s="5" t="s">
        <v>172</v>
      </c>
      <c r="D34" t="b">
        <f t="shared" si="0"/>
        <v>0</v>
      </c>
    </row>
    <row r="35" spans="1:4" x14ac:dyDescent="0.25">
      <c r="A35" t="s">
        <v>15</v>
      </c>
      <c r="B35" s="5" t="s">
        <v>172</v>
      </c>
      <c r="C35" s="5" t="s">
        <v>172</v>
      </c>
      <c r="D35" t="b">
        <f t="shared" si="0"/>
        <v>0</v>
      </c>
    </row>
    <row r="36" spans="1:4" x14ac:dyDescent="0.25">
      <c r="A36" t="s">
        <v>15</v>
      </c>
      <c r="B36" s="5" t="s">
        <v>172</v>
      </c>
      <c r="C36" s="5" t="s">
        <v>172</v>
      </c>
      <c r="D36" t="b">
        <f t="shared" si="0"/>
        <v>0</v>
      </c>
    </row>
    <row r="37" spans="1:4" x14ac:dyDescent="0.25">
      <c r="A37" t="s">
        <v>15</v>
      </c>
      <c r="B37" s="5" t="s">
        <v>61</v>
      </c>
      <c r="C37" s="5" t="s">
        <v>61</v>
      </c>
      <c r="D37" t="b">
        <f t="shared" si="0"/>
        <v>0</v>
      </c>
    </row>
    <row r="38" spans="1:4" x14ac:dyDescent="0.25">
      <c r="A38" t="s">
        <v>15</v>
      </c>
      <c r="B38" s="5" t="s">
        <v>61</v>
      </c>
      <c r="C38" s="5" t="s">
        <v>61</v>
      </c>
      <c r="D38" t="b">
        <f t="shared" si="0"/>
        <v>0</v>
      </c>
    </row>
    <row r="39" spans="1:4" x14ac:dyDescent="0.25">
      <c r="A39" t="s">
        <v>15</v>
      </c>
      <c r="B39" s="5" t="s">
        <v>61</v>
      </c>
      <c r="C39" s="5" t="s">
        <v>61</v>
      </c>
      <c r="D39" t="b">
        <f t="shared" si="0"/>
        <v>0</v>
      </c>
    </row>
    <row r="40" spans="1:4" x14ac:dyDescent="0.25">
      <c r="A40" t="s">
        <v>15</v>
      </c>
      <c r="B40" s="5" t="s">
        <v>61</v>
      </c>
      <c r="C40" s="5" t="s">
        <v>61</v>
      </c>
      <c r="D40" t="b">
        <f t="shared" si="0"/>
        <v>0</v>
      </c>
    </row>
    <row r="41" spans="1:4" x14ac:dyDescent="0.25">
      <c r="A41" t="s">
        <v>15</v>
      </c>
      <c r="B41" s="5" t="s">
        <v>61</v>
      </c>
      <c r="C41" s="5" t="s">
        <v>61</v>
      </c>
      <c r="D41" t="b">
        <f t="shared" si="0"/>
        <v>0</v>
      </c>
    </row>
    <row r="42" spans="1:4" x14ac:dyDescent="0.25">
      <c r="A42" t="s">
        <v>22</v>
      </c>
      <c r="B42" s="5" t="s">
        <v>919</v>
      </c>
      <c r="C42" s="5" t="s">
        <v>919</v>
      </c>
      <c r="D42" t="b">
        <f t="shared" si="0"/>
        <v>0</v>
      </c>
    </row>
    <row r="43" spans="1:4" x14ac:dyDescent="0.25">
      <c r="A43" t="s">
        <v>22</v>
      </c>
      <c r="B43" s="5" t="s">
        <v>920</v>
      </c>
      <c r="C43" s="5" t="s">
        <v>920</v>
      </c>
      <c r="D43" t="b">
        <f t="shared" si="0"/>
        <v>0</v>
      </c>
    </row>
    <row r="44" spans="1:4" x14ac:dyDescent="0.25">
      <c r="A44" t="s">
        <v>22</v>
      </c>
      <c r="B44" s="5" t="s">
        <v>72</v>
      </c>
      <c r="C44" s="5" t="s">
        <v>72</v>
      </c>
      <c r="D44" t="b">
        <f t="shared" si="0"/>
        <v>0</v>
      </c>
    </row>
    <row r="45" spans="1:4" x14ac:dyDescent="0.25">
      <c r="A45" t="s">
        <v>22</v>
      </c>
      <c r="B45" s="5" t="s">
        <v>1697</v>
      </c>
      <c r="C45" s="5" t="s">
        <v>1697</v>
      </c>
      <c r="D45" t="b">
        <f t="shared" si="0"/>
        <v>0</v>
      </c>
    </row>
    <row r="46" spans="1:4" x14ac:dyDescent="0.25">
      <c r="A46" t="s">
        <v>22</v>
      </c>
      <c r="B46" s="5" t="s">
        <v>1284</v>
      </c>
      <c r="C46" s="5" t="s">
        <v>1284</v>
      </c>
      <c r="D46" t="b">
        <f t="shared" si="0"/>
        <v>0</v>
      </c>
    </row>
    <row r="47" spans="1:4" x14ac:dyDescent="0.25">
      <c r="A47" t="s">
        <v>22</v>
      </c>
      <c r="B47" s="5" t="s">
        <v>1698</v>
      </c>
      <c r="C47" s="5" t="s">
        <v>1234</v>
      </c>
      <c r="D47" t="b">
        <f t="shared" si="0"/>
        <v>1</v>
      </c>
    </row>
    <row r="48" spans="1:4" x14ac:dyDescent="0.25">
      <c r="A48" t="s">
        <v>22</v>
      </c>
      <c r="B48" s="5" t="s">
        <v>921</v>
      </c>
      <c r="C48" s="5" t="s">
        <v>1232</v>
      </c>
      <c r="D48" t="b">
        <f t="shared" si="0"/>
        <v>1</v>
      </c>
    </row>
    <row r="49" spans="1:4" x14ac:dyDescent="0.25">
      <c r="A49" t="s">
        <v>22</v>
      </c>
      <c r="B49" s="5" t="s">
        <v>1954</v>
      </c>
      <c r="C49" s="5" t="s">
        <v>1954</v>
      </c>
      <c r="D49" t="b">
        <f t="shared" si="0"/>
        <v>0</v>
      </c>
    </row>
    <row r="50" spans="1:4" x14ac:dyDescent="0.25">
      <c r="A50" t="s">
        <v>22</v>
      </c>
      <c r="B50" s="5" t="s">
        <v>922</v>
      </c>
      <c r="C50" s="5" t="s">
        <v>922</v>
      </c>
      <c r="D50" t="b">
        <f t="shared" si="0"/>
        <v>0</v>
      </c>
    </row>
    <row r="51" spans="1:4" x14ac:dyDescent="0.25">
      <c r="A51" t="s">
        <v>22</v>
      </c>
      <c r="B51" s="5" t="s">
        <v>1183</v>
      </c>
      <c r="C51" s="5" t="s">
        <v>1183</v>
      </c>
      <c r="D51" t="b">
        <f t="shared" si="0"/>
        <v>0</v>
      </c>
    </row>
    <row r="52" spans="1:4" x14ac:dyDescent="0.25">
      <c r="A52" t="s">
        <v>22</v>
      </c>
      <c r="B52" s="5" t="s">
        <v>1938</v>
      </c>
      <c r="C52" s="5" t="s">
        <v>1938</v>
      </c>
      <c r="D52" t="b">
        <f t="shared" si="0"/>
        <v>0</v>
      </c>
    </row>
    <row r="53" spans="1:4" x14ac:dyDescent="0.25">
      <c r="A53" t="s">
        <v>22</v>
      </c>
      <c r="B53" s="5" t="s">
        <v>835</v>
      </c>
      <c r="C53" s="5" t="s">
        <v>835</v>
      </c>
      <c r="D53" t="b">
        <f t="shared" si="0"/>
        <v>0</v>
      </c>
    </row>
    <row r="54" spans="1:4" x14ac:dyDescent="0.25">
      <c r="A54" t="s">
        <v>44</v>
      </c>
      <c r="B54" s="5" t="s">
        <v>924</v>
      </c>
      <c r="C54" s="5" t="s">
        <v>924</v>
      </c>
      <c r="D54" t="b">
        <f t="shared" si="0"/>
        <v>0</v>
      </c>
    </row>
    <row r="55" spans="1:4" x14ac:dyDescent="0.25">
      <c r="A55" t="s">
        <v>44</v>
      </c>
      <c r="B55" s="5" t="s">
        <v>925</v>
      </c>
      <c r="C55" s="5" t="s">
        <v>925</v>
      </c>
      <c r="D55" t="b">
        <f t="shared" si="0"/>
        <v>0</v>
      </c>
    </row>
    <row r="56" spans="1:4" x14ac:dyDescent="0.25">
      <c r="A56" t="s">
        <v>44</v>
      </c>
      <c r="B56" s="5" t="s">
        <v>926</v>
      </c>
      <c r="C56" s="5" t="s">
        <v>1336</v>
      </c>
      <c r="D56" t="b">
        <f t="shared" si="0"/>
        <v>1</v>
      </c>
    </row>
    <row r="57" spans="1:4" x14ac:dyDescent="0.25">
      <c r="A57" t="s">
        <v>44</v>
      </c>
      <c r="B57" s="5" t="s">
        <v>492</v>
      </c>
      <c r="C57" s="5" t="s">
        <v>492</v>
      </c>
      <c r="D57" t="b">
        <f t="shared" si="0"/>
        <v>0</v>
      </c>
    </row>
    <row r="58" spans="1:4" x14ac:dyDescent="0.25">
      <c r="A58" t="s">
        <v>44</v>
      </c>
      <c r="B58" s="5" t="s">
        <v>731</v>
      </c>
      <c r="C58" s="5" t="s">
        <v>731</v>
      </c>
      <c r="D58" t="b">
        <f t="shared" si="0"/>
        <v>0</v>
      </c>
    </row>
    <row r="59" spans="1:4" x14ac:dyDescent="0.25">
      <c r="A59" t="s">
        <v>44</v>
      </c>
      <c r="B59" s="5" t="s">
        <v>1955</v>
      </c>
      <c r="C59" s="5" t="s">
        <v>1955</v>
      </c>
      <c r="D59" t="b">
        <f t="shared" si="0"/>
        <v>0</v>
      </c>
    </row>
    <row r="60" spans="1:4" x14ac:dyDescent="0.25">
      <c r="A60" t="s">
        <v>44</v>
      </c>
      <c r="B60" s="5" t="s">
        <v>1696</v>
      </c>
      <c r="C60" s="5" t="s">
        <v>1696</v>
      </c>
      <c r="D60" t="b">
        <f t="shared" si="0"/>
        <v>0</v>
      </c>
    </row>
    <row r="61" spans="1:4" x14ac:dyDescent="0.25">
      <c r="A61" t="s">
        <v>44</v>
      </c>
      <c r="B61" s="5" t="s">
        <v>1335</v>
      </c>
      <c r="C61" s="5" t="s">
        <v>1335</v>
      </c>
      <c r="D61" t="b">
        <f t="shared" si="0"/>
        <v>0</v>
      </c>
    </row>
    <row r="62" spans="1:4" x14ac:dyDescent="0.25">
      <c r="A62" t="s">
        <v>228</v>
      </c>
      <c r="B62" s="5" t="s">
        <v>927</v>
      </c>
      <c r="C62" s="5" t="s">
        <v>927</v>
      </c>
      <c r="D62" t="b">
        <f t="shared" si="0"/>
        <v>0</v>
      </c>
    </row>
    <row r="63" spans="1:4" x14ac:dyDescent="0.25">
      <c r="A63" t="s">
        <v>228</v>
      </c>
      <c r="B63" s="5" t="s">
        <v>928</v>
      </c>
      <c r="C63" s="5" t="s">
        <v>928</v>
      </c>
      <c r="D63" t="b">
        <f t="shared" si="0"/>
        <v>0</v>
      </c>
    </row>
    <row r="64" spans="1:4" x14ac:dyDescent="0.25">
      <c r="A64" t="s">
        <v>228</v>
      </c>
      <c r="B64" s="5" t="s">
        <v>929</v>
      </c>
      <c r="C64" s="5" t="s">
        <v>929</v>
      </c>
      <c r="D64" t="b">
        <f t="shared" si="0"/>
        <v>0</v>
      </c>
    </row>
    <row r="65" spans="1:4" x14ac:dyDescent="0.25">
      <c r="A65" t="s">
        <v>228</v>
      </c>
      <c r="B65" s="5" t="s">
        <v>1337</v>
      </c>
      <c r="C65" s="5" t="s">
        <v>1337</v>
      </c>
      <c r="D65" t="b">
        <f t="shared" si="0"/>
        <v>0</v>
      </c>
    </row>
    <row r="66" spans="1:4" x14ac:dyDescent="0.25">
      <c r="A66" t="s">
        <v>228</v>
      </c>
      <c r="B66" s="5" t="s">
        <v>930</v>
      </c>
      <c r="C66" s="5" t="s">
        <v>930</v>
      </c>
      <c r="D66" t="b">
        <f t="shared" si="0"/>
        <v>0</v>
      </c>
    </row>
    <row r="67" spans="1:4" x14ac:dyDescent="0.25">
      <c r="A67" t="s">
        <v>228</v>
      </c>
      <c r="B67" s="5" t="s">
        <v>1694</v>
      </c>
      <c r="C67" s="5" t="s">
        <v>1694</v>
      </c>
      <c r="D67" t="b">
        <f t="shared" si="0"/>
        <v>0</v>
      </c>
    </row>
    <row r="68" spans="1:4" x14ac:dyDescent="0.25">
      <c r="A68" t="s">
        <v>228</v>
      </c>
      <c r="B68" s="5" t="s">
        <v>931</v>
      </c>
      <c r="C68" s="5" t="s">
        <v>1695</v>
      </c>
      <c r="D68" t="b">
        <f t="shared" si="0"/>
        <v>1</v>
      </c>
    </row>
    <row r="69" spans="1:4" x14ac:dyDescent="0.25">
      <c r="A69" t="s">
        <v>228</v>
      </c>
      <c r="B69" s="5" t="s">
        <v>932</v>
      </c>
      <c r="C69" s="5" t="s">
        <v>932</v>
      </c>
      <c r="D69" t="b">
        <f t="shared" ref="D69:D102" si="2">B69&lt;&gt;C69</f>
        <v>0</v>
      </c>
    </row>
    <row r="70" spans="1:4" x14ac:dyDescent="0.25">
      <c r="A70" t="s">
        <v>228</v>
      </c>
      <c r="B70" s="5" t="s">
        <v>933</v>
      </c>
      <c r="C70" s="5" t="s">
        <v>933</v>
      </c>
      <c r="D70" t="b">
        <f t="shared" si="2"/>
        <v>0</v>
      </c>
    </row>
    <row r="71" spans="1:4" x14ac:dyDescent="0.25">
      <c r="A71" t="s">
        <v>228</v>
      </c>
      <c r="B71" s="5" t="s">
        <v>934</v>
      </c>
      <c r="C71" s="5" t="s">
        <v>934</v>
      </c>
      <c r="D71" t="b">
        <f t="shared" si="2"/>
        <v>0</v>
      </c>
    </row>
    <row r="72" spans="1:4" x14ac:dyDescent="0.25">
      <c r="A72" t="s">
        <v>228</v>
      </c>
      <c r="B72" s="5" t="s">
        <v>1834</v>
      </c>
      <c r="C72" s="5" t="s">
        <v>1834</v>
      </c>
      <c r="D72" t="b">
        <f t="shared" si="2"/>
        <v>0</v>
      </c>
    </row>
    <row r="73" spans="1:4" x14ac:dyDescent="0.25">
      <c r="A73" t="s">
        <v>228</v>
      </c>
      <c r="B73" s="5" t="s">
        <v>2218</v>
      </c>
      <c r="C73" s="5" t="s">
        <v>2218</v>
      </c>
      <c r="D73" t="b">
        <f t="shared" si="2"/>
        <v>0</v>
      </c>
    </row>
    <row r="74" spans="1:4" x14ac:dyDescent="0.25">
      <c r="A74" t="s">
        <v>228</v>
      </c>
      <c r="B74" s="5" t="s">
        <v>1182</v>
      </c>
      <c r="C74" s="5" t="s">
        <v>1693</v>
      </c>
      <c r="D74" t="b">
        <f t="shared" si="2"/>
        <v>1</v>
      </c>
    </row>
    <row r="75" spans="1:4" x14ac:dyDescent="0.25">
      <c r="A75" t="s">
        <v>228</v>
      </c>
      <c r="B75" s="5" t="s">
        <v>1468</v>
      </c>
      <c r="C75" s="5" t="s">
        <v>1468</v>
      </c>
      <c r="D75" t="b">
        <f t="shared" si="2"/>
        <v>0</v>
      </c>
    </row>
    <row r="76" spans="1:4" x14ac:dyDescent="0.25">
      <c r="A76" t="s">
        <v>228</v>
      </c>
      <c r="B76" s="5" t="s">
        <v>935</v>
      </c>
      <c r="C76" s="5" t="s">
        <v>935</v>
      </c>
      <c r="D76" t="b">
        <f t="shared" si="2"/>
        <v>0</v>
      </c>
    </row>
    <row r="77" spans="1:4" x14ac:dyDescent="0.25">
      <c r="A77" t="s">
        <v>228</v>
      </c>
      <c r="B77" s="5" t="s">
        <v>1543</v>
      </c>
      <c r="C77" s="5" t="s">
        <v>1543</v>
      </c>
      <c r="D77" t="b">
        <f t="shared" si="2"/>
        <v>0</v>
      </c>
    </row>
    <row r="78" spans="1:4" x14ac:dyDescent="0.25">
      <c r="A78" t="s">
        <v>228</v>
      </c>
      <c r="B78" s="5" t="s">
        <v>936</v>
      </c>
      <c r="C78" s="5" t="s">
        <v>936</v>
      </c>
      <c r="D78" t="b">
        <f t="shared" si="2"/>
        <v>0</v>
      </c>
    </row>
    <row r="79" spans="1:4" x14ac:dyDescent="0.25">
      <c r="A79" t="s">
        <v>228</v>
      </c>
      <c r="B79" s="5" t="s">
        <v>256</v>
      </c>
      <c r="C79" s="5" t="s">
        <v>256</v>
      </c>
      <c r="D79" t="b">
        <f t="shared" si="2"/>
        <v>0</v>
      </c>
    </row>
    <row r="80" spans="1:4" x14ac:dyDescent="0.25">
      <c r="A80" t="s">
        <v>228</v>
      </c>
      <c r="B80" s="5" t="s">
        <v>937</v>
      </c>
      <c r="C80" s="5" t="s">
        <v>937</v>
      </c>
      <c r="D80" t="b">
        <f t="shared" si="2"/>
        <v>0</v>
      </c>
    </row>
    <row r="81" spans="1:4" x14ac:dyDescent="0.25">
      <c r="A81" t="s">
        <v>228</v>
      </c>
      <c r="B81" s="5" t="s">
        <v>938</v>
      </c>
      <c r="C81" s="5" t="s">
        <v>938</v>
      </c>
      <c r="D81" t="b">
        <f t="shared" si="2"/>
        <v>0</v>
      </c>
    </row>
    <row r="82" spans="1:4" x14ac:dyDescent="0.25">
      <c r="A82" t="s">
        <v>228</v>
      </c>
      <c r="B82" s="5" t="s">
        <v>939</v>
      </c>
      <c r="C82" s="5" t="s">
        <v>939</v>
      </c>
      <c r="D82" t="b">
        <f t="shared" si="2"/>
        <v>0</v>
      </c>
    </row>
    <row r="83" spans="1:4" x14ac:dyDescent="0.25">
      <c r="A83" t="s">
        <v>915</v>
      </c>
      <c r="B83" s="5" t="s">
        <v>940</v>
      </c>
      <c r="C83" s="5" t="s">
        <v>940</v>
      </c>
      <c r="D83" t="b">
        <f t="shared" si="2"/>
        <v>0</v>
      </c>
    </row>
    <row r="84" spans="1:4" x14ac:dyDescent="0.25">
      <c r="A84" t="s">
        <v>915</v>
      </c>
      <c r="B84" s="5" t="s">
        <v>941</v>
      </c>
      <c r="C84" s="5" t="s">
        <v>941</v>
      </c>
      <c r="D84" t="b">
        <f t="shared" si="2"/>
        <v>0</v>
      </c>
    </row>
    <row r="85" spans="1:4" x14ac:dyDescent="0.25">
      <c r="A85" t="s">
        <v>915</v>
      </c>
      <c r="B85" s="5" t="s">
        <v>1187</v>
      </c>
      <c r="C85" s="5" t="s">
        <v>1187</v>
      </c>
      <c r="D85" t="b">
        <f t="shared" si="2"/>
        <v>0</v>
      </c>
    </row>
    <row r="86" spans="1:4" x14ac:dyDescent="0.25">
      <c r="A86" t="s">
        <v>915</v>
      </c>
      <c r="B86" s="5" t="s">
        <v>942</v>
      </c>
      <c r="C86" s="5" t="s">
        <v>942</v>
      </c>
      <c r="D86" t="b">
        <f t="shared" si="2"/>
        <v>0</v>
      </c>
    </row>
    <row r="87" spans="1:4" x14ac:dyDescent="0.25">
      <c r="A87" t="s">
        <v>916</v>
      </c>
      <c r="B87" s="5" t="s">
        <v>943</v>
      </c>
      <c r="C87" s="5" t="s">
        <v>943</v>
      </c>
      <c r="D87" t="b">
        <f t="shared" si="2"/>
        <v>0</v>
      </c>
    </row>
    <row r="88" spans="1:4" x14ac:dyDescent="0.25">
      <c r="A88" t="s">
        <v>916</v>
      </c>
      <c r="B88" s="5" t="s">
        <v>944</v>
      </c>
      <c r="C88" s="5" t="s">
        <v>944</v>
      </c>
      <c r="D88" t="b">
        <f t="shared" si="2"/>
        <v>0</v>
      </c>
    </row>
    <row r="89" spans="1:4" x14ac:dyDescent="0.25">
      <c r="A89" t="s">
        <v>916</v>
      </c>
      <c r="B89" s="5" t="s">
        <v>945</v>
      </c>
      <c r="C89" s="5" t="s">
        <v>945</v>
      </c>
      <c r="D89" t="b">
        <f t="shared" si="2"/>
        <v>0</v>
      </c>
    </row>
    <row r="90" spans="1:4" x14ac:dyDescent="0.25">
      <c r="A90" t="s">
        <v>916</v>
      </c>
      <c r="B90" s="5" t="s">
        <v>946</v>
      </c>
      <c r="C90" s="5" t="s">
        <v>946</v>
      </c>
      <c r="D90" t="b">
        <f t="shared" si="2"/>
        <v>0</v>
      </c>
    </row>
    <row r="91" spans="1:4" x14ac:dyDescent="0.25">
      <c r="A91" t="s">
        <v>916</v>
      </c>
      <c r="B91" s="5" t="s">
        <v>1691</v>
      </c>
      <c r="C91" s="5" t="s">
        <v>1691</v>
      </c>
      <c r="D91" t="b">
        <f t="shared" si="2"/>
        <v>0</v>
      </c>
    </row>
    <row r="92" spans="1:4" x14ac:dyDescent="0.25">
      <c r="A92" t="s">
        <v>916</v>
      </c>
      <c r="B92" s="5" t="s">
        <v>1690</v>
      </c>
      <c r="C92" s="5" t="s">
        <v>1689</v>
      </c>
      <c r="D92" t="b">
        <f t="shared" si="2"/>
        <v>1</v>
      </c>
    </row>
    <row r="93" spans="1:4" x14ac:dyDescent="0.25">
      <c r="A93" t="s">
        <v>916</v>
      </c>
      <c r="B93" s="5" t="s">
        <v>2063</v>
      </c>
      <c r="C93" s="5" t="s">
        <v>2063</v>
      </c>
      <c r="D93" t="b">
        <f t="shared" si="2"/>
        <v>0</v>
      </c>
    </row>
    <row r="94" spans="1:4" x14ac:dyDescent="0.25">
      <c r="A94" t="s">
        <v>916</v>
      </c>
      <c r="B94" s="5" t="s">
        <v>947</v>
      </c>
      <c r="C94" s="5" t="s">
        <v>947</v>
      </c>
      <c r="D94" t="b">
        <f t="shared" si="2"/>
        <v>0</v>
      </c>
    </row>
    <row r="95" spans="1:4" x14ac:dyDescent="0.25">
      <c r="A95" t="s">
        <v>916</v>
      </c>
      <c r="B95" s="5" t="s">
        <v>948</v>
      </c>
      <c r="C95" s="5" t="s">
        <v>948</v>
      </c>
      <c r="D95" t="b">
        <f t="shared" si="2"/>
        <v>0</v>
      </c>
    </row>
    <row r="96" spans="1:4" x14ac:dyDescent="0.25">
      <c r="A96" t="s">
        <v>288</v>
      </c>
      <c r="B96" s="5" t="s">
        <v>1233</v>
      </c>
      <c r="C96" s="5" t="s">
        <v>1233</v>
      </c>
      <c r="D96" t="b">
        <f t="shared" si="2"/>
        <v>0</v>
      </c>
    </row>
    <row r="97" spans="1:4" x14ac:dyDescent="0.25">
      <c r="A97" t="s">
        <v>288</v>
      </c>
      <c r="B97" s="5" t="s">
        <v>97</v>
      </c>
      <c r="C97" s="5" t="s">
        <v>97</v>
      </c>
      <c r="D97" t="b">
        <f t="shared" si="2"/>
        <v>0</v>
      </c>
    </row>
    <row r="98" spans="1:4" x14ac:dyDescent="0.25">
      <c r="A98" t="s">
        <v>288</v>
      </c>
      <c r="B98" s="5" t="s">
        <v>949</v>
      </c>
      <c r="C98" s="5" t="s">
        <v>949</v>
      </c>
      <c r="D98" t="b">
        <f t="shared" si="2"/>
        <v>0</v>
      </c>
    </row>
    <row r="99" spans="1:4" x14ac:dyDescent="0.25">
      <c r="A99" t="s">
        <v>288</v>
      </c>
      <c r="B99" s="5" t="s">
        <v>950</v>
      </c>
      <c r="C99" s="5" t="s">
        <v>950</v>
      </c>
      <c r="D99" t="b">
        <f t="shared" si="2"/>
        <v>0</v>
      </c>
    </row>
    <row r="100" spans="1:4" x14ac:dyDescent="0.25">
      <c r="A100" t="s">
        <v>288</v>
      </c>
      <c r="B100" s="5" t="s">
        <v>251</v>
      </c>
      <c r="C100" s="5" t="s">
        <v>251</v>
      </c>
      <c r="D100" t="b">
        <f t="shared" si="2"/>
        <v>0</v>
      </c>
    </row>
    <row r="101" spans="1:4" x14ac:dyDescent="0.25">
      <c r="A101" t="s">
        <v>288</v>
      </c>
      <c r="B101" s="5" t="s">
        <v>951</v>
      </c>
      <c r="C101" s="5" t="s">
        <v>951</v>
      </c>
      <c r="D101" t="b">
        <f t="shared" si="2"/>
        <v>0</v>
      </c>
    </row>
    <row r="102" spans="1:4" x14ac:dyDescent="0.25">
      <c r="A102" t="s">
        <v>288</v>
      </c>
      <c r="B102" s="5" t="s">
        <v>1692</v>
      </c>
      <c r="C102" s="5" t="s">
        <v>1692</v>
      </c>
      <c r="D102" t="b">
        <f t="shared" si="2"/>
        <v>0</v>
      </c>
    </row>
  </sheetData>
  <mergeCells count="1">
    <mergeCell ref="A1:G1"/>
  </mergeCells>
  <pageMargins left="0.511811024" right="0.511811024" top="0.78740157499999996" bottom="0.78740157499999996" header="0.31496062000000002" footer="0.3149606200000000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notContainsText" priority="1" operator="notContains" id="{9F35BE29-99FD-4093-8BE3-0ADACF25D02C}">
            <xm:f>ISERROR(SEARCH(C3,B3))</xm:f>
            <xm:f>C3</xm:f>
            <x14:dxf>
              <fill>
                <patternFill>
                  <bgColor theme="5" tint="0.39994506668294322"/>
                </patternFill>
              </fill>
            </x14:dxf>
          </x14:cfRule>
          <xm:sqref>B3:B102</xm:sqref>
        </x14:conditionalFormatting>
      </x14:conditionalFormatting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252BF-0F94-41B2-8DA5-D2D357D36D6F}">
  <sheetPr codeName="Planilha28"/>
  <dimension ref="A1:G102"/>
  <sheetViews>
    <sheetView topLeftCell="A84" workbookViewId="0">
      <selection activeCell="C102" sqref="C102"/>
    </sheetView>
  </sheetViews>
  <sheetFormatPr defaultRowHeight="15" x14ac:dyDescent="0.25"/>
  <cols>
    <col min="1" max="1" width="11.85546875" style="5" customWidth="1"/>
    <col min="2" max="3" width="38.7109375" customWidth="1"/>
    <col min="4" max="4" width="12.42578125" hidden="1" customWidth="1"/>
    <col min="5" max="5" width="4.28515625" customWidth="1"/>
    <col min="6" max="6" width="22.7109375" style="3" customWidth="1"/>
    <col min="7" max="7" width="8.7109375" customWidth="1"/>
  </cols>
  <sheetData>
    <row r="1" spans="1:7" ht="21" x14ac:dyDescent="0.25">
      <c r="A1" s="12" t="s">
        <v>9</v>
      </c>
      <c r="B1" s="12"/>
      <c r="C1" s="12"/>
      <c r="D1" s="12"/>
      <c r="E1" s="12"/>
      <c r="F1" s="12"/>
      <c r="G1" s="12"/>
    </row>
    <row r="2" spans="1:7" x14ac:dyDescent="0.25">
      <c r="A2" s="4" t="s">
        <v>11</v>
      </c>
      <c r="B2" s="4" t="s">
        <v>12</v>
      </c>
      <c r="C2" s="4" t="s">
        <v>13</v>
      </c>
      <c r="D2" s="4" t="s">
        <v>14</v>
      </c>
      <c r="F2" s="4" t="s">
        <v>16</v>
      </c>
      <c r="G2" s="3">
        <f>COUNTIF(D:D,"Verdadeiro")</f>
        <v>7</v>
      </c>
    </row>
    <row r="3" spans="1:7" x14ac:dyDescent="0.25">
      <c r="A3" s="5" t="s">
        <v>1539</v>
      </c>
      <c r="B3" s="5" t="s">
        <v>1559</v>
      </c>
      <c r="C3" s="5" t="s">
        <v>1559</v>
      </c>
      <c r="D3" t="b">
        <f t="shared" ref="D3:D34" si="0">B3&lt;&gt;C3</f>
        <v>0</v>
      </c>
      <c r="F3" s="4" t="s">
        <v>17</v>
      </c>
      <c r="G3" s="3">
        <f>SUM(G6:G26)</f>
        <v>99</v>
      </c>
    </row>
    <row r="4" spans="1:7" x14ac:dyDescent="0.25">
      <c r="A4" t="s">
        <v>15</v>
      </c>
      <c r="B4" s="5" t="s">
        <v>60</v>
      </c>
      <c r="C4" s="5" t="s">
        <v>1322</v>
      </c>
      <c r="D4" t="b">
        <f t="shared" si="0"/>
        <v>1</v>
      </c>
    </row>
    <row r="5" spans="1:7" x14ac:dyDescent="0.25">
      <c r="A5" t="s">
        <v>15</v>
      </c>
      <c r="B5" s="5" t="s">
        <v>607</v>
      </c>
      <c r="C5" s="5" t="s">
        <v>607</v>
      </c>
      <c r="D5" t="b">
        <f t="shared" si="0"/>
        <v>0</v>
      </c>
      <c r="F5" s="6" t="s">
        <v>19</v>
      </c>
      <c r="G5" s="1"/>
    </row>
    <row r="6" spans="1:7" x14ac:dyDescent="0.25">
      <c r="A6" t="s">
        <v>15</v>
      </c>
      <c r="B6" s="5" t="s">
        <v>171</v>
      </c>
      <c r="C6" s="5" t="s">
        <v>171</v>
      </c>
      <c r="D6" t="b">
        <f t="shared" si="0"/>
        <v>0</v>
      </c>
      <c r="F6" s="3" t="s">
        <v>1549</v>
      </c>
      <c r="G6" s="2">
        <f t="shared" ref="G6:G12" si="1">COUNTIF(A:A,F6)</f>
        <v>0</v>
      </c>
    </row>
    <row r="7" spans="1:7" x14ac:dyDescent="0.25">
      <c r="A7" t="s">
        <v>15</v>
      </c>
      <c r="B7" s="5" t="s">
        <v>671</v>
      </c>
      <c r="C7" s="5" t="s">
        <v>671</v>
      </c>
      <c r="D7" t="b">
        <f t="shared" si="0"/>
        <v>0</v>
      </c>
      <c r="F7" s="7" t="s">
        <v>15</v>
      </c>
      <c r="G7" s="2">
        <f t="shared" si="1"/>
        <v>32</v>
      </c>
    </row>
    <row r="8" spans="1:7" x14ac:dyDescent="0.25">
      <c r="A8" t="s">
        <v>15</v>
      </c>
      <c r="B8" s="5" t="s">
        <v>1629</v>
      </c>
      <c r="C8" s="5" t="s">
        <v>1629</v>
      </c>
      <c r="D8" t="b">
        <f t="shared" si="0"/>
        <v>0</v>
      </c>
      <c r="F8" s="7" t="s">
        <v>21</v>
      </c>
      <c r="G8" s="2">
        <f t="shared" si="1"/>
        <v>25</v>
      </c>
    </row>
    <row r="9" spans="1:7" x14ac:dyDescent="0.25">
      <c r="A9" t="s">
        <v>15</v>
      </c>
      <c r="B9" s="5" t="s">
        <v>451</v>
      </c>
      <c r="C9" s="5" t="s">
        <v>451</v>
      </c>
      <c r="D9" t="b">
        <f t="shared" si="0"/>
        <v>0</v>
      </c>
      <c r="F9" s="7" t="s">
        <v>0</v>
      </c>
      <c r="G9" s="2">
        <f t="shared" si="1"/>
        <v>11</v>
      </c>
    </row>
    <row r="10" spans="1:7" x14ac:dyDescent="0.25">
      <c r="A10" t="s">
        <v>15</v>
      </c>
      <c r="B10" s="5" t="s">
        <v>20</v>
      </c>
      <c r="C10" s="5" t="s">
        <v>20</v>
      </c>
      <c r="D10" t="b">
        <f t="shared" si="0"/>
        <v>0</v>
      </c>
      <c r="F10" s="7" t="s">
        <v>44</v>
      </c>
      <c r="G10" s="2">
        <f t="shared" si="1"/>
        <v>13</v>
      </c>
    </row>
    <row r="11" spans="1:7" x14ac:dyDescent="0.25">
      <c r="A11" t="s">
        <v>15</v>
      </c>
      <c r="B11" s="5" t="s">
        <v>1752</v>
      </c>
      <c r="C11" s="5" t="s">
        <v>1752</v>
      </c>
      <c r="D11" t="b">
        <f t="shared" si="0"/>
        <v>0</v>
      </c>
      <c r="F11" s="7" t="s">
        <v>22</v>
      </c>
      <c r="G11" s="2">
        <f t="shared" si="1"/>
        <v>11</v>
      </c>
    </row>
    <row r="12" spans="1:7" x14ac:dyDescent="0.25">
      <c r="A12" t="s">
        <v>15</v>
      </c>
      <c r="B12" s="5" t="s">
        <v>43</v>
      </c>
      <c r="C12" s="5" t="s">
        <v>43</v>
      </c>
      <c r="D12" t="b">
        <f t="shared" si="0"/>
        <v>0</v>
      </c>
      <c r="F12" s="7" t="s">
        <v>1121</v>
      </c>
      <c r="G12" s="2">
        <f t="shared" si="1"/>
        <v>7</v>
      </c>
    </row>
    <row r="13" spans="1:7" x14ac:dyDescent="0.25">
      <c r="A13" t="s">
        <v>15</v>
      </c>
      <c r="B13" s="5" t="s">
        <v>1120</v>
      </c>
      <c r="C13" s="5" t="s">
        <v>1120</v>
      </c>
      <c r="D13" t="b">
        <f t="shared" si="0"/>
        <v>0</v>
      </c>
    </row>
    <row r="14" spans="1:7" x14ac:dyDescent="0.25">
      <c r="A14" t="s">
        <v>15</v>
      </c>
      <c r="B14" s="5" t="s">
        <v>1631</v>
      </c>
      <c r="C14" s="5" t="s">
        <v>1631</v>
      </c>
      <c r="D14" t="b">
        <f t="shared" si="0"/>
        <v>0</v>
      </c>
      <c r="F14" s="1"/>
      <c r="G14" s="2"/>
    </row>
    <row r="15" spans="1:7" x14ac:dyDescent="0.25">
      <c r="A15" t="s">
        <v>15</v>
      </c>
      <c r="B15" s="5" t="s">
        <v>60</v>
      </c>
      <c r="C15" s="5" t="s">
        <v>60</v>
      </c>
      <c r="D15" t="b">
        <f t="shared" si="0"/>
        <v>0</v>
      </c>
      <c r="F15" s="1"/>
      <c r="G15" s="2"/>
    </row>
    <row r="16" spans="1:7" x14ac:dyDescent="0.25">
      <c r="A16" t="s">
        <v>15</v>
      </c>
      <c r="B16" s="5" t="s">
        <v>60</v>
      </c>
      <c r="C16" s="5" t="s">
        <v>60</v>
      </c>
      <c r="D16" t="b">
        <f t="shared" si="0"/>
        <v>0</v>
      </c>
      <c r="F16" s="4"/>
      <c r="G16" s="2"/>
    </row>
    <row r="17" spans="1:7" x14ac:dyDescent="0.25">
      <c r="A17" t="s">
        <v>15</v>
      </c>
      <c r="B17" s="5" t="s">
        <v>60</v>
      </c>
      <c r="C17" s="5" t="s">
        <v>60</v>
      </c>
      <c r="D17" t="b">
        <f t="shared" si="0"/>
        <v>0</v>
      </c>
      <c r="F17" s="4"/>
      <c r="G17" s="2"/>
    </row>
    <row r="18" spans="1:7" x14ac:dyDescent="0.25">
      <c r="A18" t="s">
        <v>15</v>
      </c>
      <c r="B18" s="5" t="s">
        <v>60</v>
      </c>
      <c r="C18" s="5" t="s">
        <v>60</v>
      </c>
      <c r="D18" t="b">
        <f t="shared" si="0"/>
        <v>0</v>
      </c>
    </row>
    <row r="19" spans="1:7" x14ac:dyDescent="0.25">
      <c r="A19" t="s">
        <v>15</v>
      </c>
      <c r="B19" s="5" t="s">
        <v>60</v>
      </c>
      <c r="C19" s="5" t="s">
        <v>60</v>
      </c>
      <c r="D19" t="b">
        <f t="shared" si="0"/>
        <v>0</v>
      </c>
    </row>
    <row r="20" spans="1:7" x14ac:dyDescent="0.25">
      <c r="A20" t="s">
        <v>15</v>
      </c>
      <c r="B20" s="5" t="s">
        <v>60</v>
      </c>
      <c r="C20" s="5" t="s">
        <v>60</v>
      </c>
      <c r="D20" t="b">
        <f t="shared" si="0"/>
        <v>0</v>
      </c>
    </row>
    <row r="21" spans="1:7" x14ac:dyDescent="0.25">
      <c r="A21" t="s">
        <v>15</v>
      </c>
      <c r="B21" s="5" t="s">
        <v>60</v>
      </c>
      <c r="C21" s="5" t="s">
        <v>60</v>
      </c>
      <c r="D21" t="b">
        <f t="shared" si="0"/>
        <v>0</v>
      </c>
    </row>
    <row r="22" spans="1:7" x14ac:dyDescent="0.25">
      <c r="A22" t="s">
        <v>15</v>
      </c>
      <c r="B22" s="5" t="s">
        <v>60</v>
      </c>
      <c r="C22" s="5" t="s">
        <v>60</v>
      </c>
      <c r="D22" t="b">
        <f t="shared" si="0"/>
        <v>0</v>
      </c>
    </row>
    <row r="23" spans="1:7" x14ac:dyDescent="0.25">
      <c r="A23" t="s">
        <v>15</v>
      </c>
      <c r="B23" s="5" t="s">
        <v>60</v>
      </c>
      <c r="C23" s="5" t="s">
        <v>60</v>
      </c>
      <c r="D23" t="b">
        <f t="shared" si="0"/>
        <v>0</v>
      </c>
    </row>
    <row r="24" spans="1:7" x14ac:dyDescent="0.25">
      <c r="A24" t="s">
        <v>15</v>
      </c>
      <c r="B24" s="5" t="s">
        <v>60</v>
      </c>
      <c r="C24" s="5" t="s">
        <v>60</v>
      </c>
      <c r="D24" t="b">
        <f t="shared" si="0"/>
        <v>0</v>
      </c>
    </row>
    <row r="25" spans="1:7" x14ac:dyDescent="0.25">
      <c r="A25" t="s">
        <v>15</v>
      </c>
      <c r="B25" s="5" t="s">
        <v>60</v>
      </c>
      <c r="C25" s="5" t="s">
        <v>60</v>
      </c>
      <c r="D25" t="b">
        <f t="shared" si="0"/>
        <v>0</v>
      </c>
    </row>
    <row r="26" spans="1:7" x14ac:dyDescent="0.25">
      <c r="A26" t="s">
        <v>15</v>
      </c>
      <c r="B26" s="5" t="s">
        <v>60</v>
      </c>
      <c r="C26" s="5" t="s">
        <v>60</v>
      </c>
      <c r="D26" t="b">
        <f t="shared" si="0"/>
        <v>0</v>
      </c>
    </row>
    <row r="27" spans="1:7" x14ac:dyDescent="0.25">
      <c r="A27" t="s">
        <v>15</v>
      </c>
      <c r="B27" s="5" t="s">
        <v>61</v>
      </c>
      <c r="C27" s="5" t="s">
        <v>61</v>
      </c>
      <c r="D27" t="b">
        <f t="shared" si="0"/>
        <v>0</v>
      </c>
    </row>
    <row r="28" spans="1:7" x14ac:dyDescent="0.25">
      <c r="A28" t="s">
        <v>15</v>
      </c>
      <c r="B28" s="5" t="s">
        <v>61</v>
      </c>
      <c r="C28" s="5" t="s">
        <v>61</v>
      </c>
      <c r="D28" t="b">
        <f t="shared" si="0"/>
        <v>0</v>
      </c>
    </row>
    <row r="29" spans="1:7" x14ac:dyDescent="0.25">
      <c r="A29" t="s">
        <v>15</v>
      </c>
      <c r="B29" s="5" t="s">
        <v>61</v>
      </c>
      <c r="C29" s="5" t="s">
        <v>61</v>
      </c>
      <c r="D29" t="b">
        <f t="shared" si="0"/>
        <v>0</v>
      </c>
    </row>
    <row r="30" spans="1:7" x14ac:dyDescent="0.25">
      <c r="A30" t="s">
        <v>15</v>
      </c>
      <c r="B30" s="5" t="s">
        <v>61</v>
      </c>
      <c r="C30" s="5" t="s">
        <v>61</v>
      </c>
      <c r="D30" t="b">
        <f t="shared" si="0"/>
        <v>0</v>
      </c>
    </row>
    <row r="31" spans="1:7" x14ac:dyDescent="0.25">
      <c r="A31" t="s">
        <v>15</v>
      </c>
      <c r="B31" s="5" t="s">
        <v>61</v>
      </c>
      <c r="C31" s="5" t="s">
        <v>61</v>
      </c>
      <c r="D31" t="b">
        <f t="shared" si="0"/>
        <v>0</v>
      </c>
    </row>
    <row r="32" spans="1:7" x14ac:dyDescent="0.25">
      <c r="A32" t="s">
        <v>15</v>
      </c>
      <c r="B32" s="5" t="s">
        <v>61</v>
      </c>
      <c r="C32" s="5" t="s">
        <v>61</v>
      </c>
      <c r="D32" t="b">
        <f t="shared" si="0"/>
        <v>0</v>
      </c>
    </row>
    <row r="33" spans="1:4" x14ac:dyDescent="0.25">
      <c r="A33" t="s">
        <v>15</v>
      </c>
      <c r="B33" s="5" t="s">
        <v>61</v>
      </c>
      <c r="C33" s="5" t="s">
        <v>61</v>
      </c>
      <c r="D33" t="b">
        <f t="shared" si="0"/>
        <v>0</v>
      </c>
    </row>
    <row r="34" spans="1:4" x14ac:dyDescent="0.25">
      <c r="A34" t="s">
        <v>15</v>
      </c>
      <c r="B34" s="5" t="s">
        <v>61</v>
      </c>
      <c r="C34" s="5" t="s">
        <v>61</v>
      </c>
      <c r="D34" t="b">
        <f t="shared" si="0"/>
        <v>0</v>
      </c>
    </row>
    <row r="35" spans="1:4" x14ac:dyDescent="0.25">
      <c r="A35" t="s">
        <v>15</v>
      </c>
      <c r="B35" s="5" t="s">
        <v>61</v>
      </c>
      <c r="C35" s="5" t="s">
        <v>61</v>
      </c>
      <c r="D35" t="b">
        <f t="shared" ref="D35:D66" si="2">B35&lt;&gt;C35</f>
        <v>0</v>
      </c>
    </row>
    <row r="36" spans="1:4" x14ac:dyDescent="0.25">
      <c r="A36" t="s">
        <v>21</v>
      </c>
      <c r="B36" s="5" t="s">
        <v>173</v>
      </c>
      <c r="C36" s="5" t="s">
        <v>173</v>
      </c>
      <c r="D36" t="b">
        <f t="shared" si="2"/>
        <v>0</v>
      </c>
    </row>
    <row r="37" spans="1:4" x14ac:dyDescent="0.25">
      <c r="A37" t="s">
        <v>21</v>
      </c>
      <c r="B37" s="5" t="s">
        <v>572</v>
      </c>
      <c r="C37" s="5" t="s">
        <v>572</v>
      </c>
      <c r="D37" t="b">
        <f t="shared" si="2"/>
        <v>0</v>
      </c>
    </row>
    <row r="38" spans="1:4" x14ac:dyDescent="0.25">
      <c r="A38" t="s">
        <v>21</v>
      </c>
      <c r="B38" s="5" t="s">
        <v>467</v>
      </c>
      <c r="C38" s="5" t="s">
        <v>467</v>
      </c>
      <c r="D38" t="b">
        <f t="shared" si="2"/>
        <v>0</v>
      </c>
    </row>
    <row r="39" spans="1:4" x14ac:dyDescent="0.25">
      <c r="A39" t="s">
        <v>21</v>
      </c>
      <c r="B39" s="5" t="s">
        <v>127</v>
      </c>
      <c r="C39" s="5" t="s">
        <v>127</v>
      </c>
      <c r="D39" t="b">
        <f t="shared" si="2"/>
        <v>0</v>
      </c>
    </row>
    <row r="40" spans="1:4" x14ac:dyDescent="0.25">
      <c r="A40" t="s">
        <v>21</v>
      </c>
      <c r="B40" s="5" t="s">
        <v>129</v>
      </c>
      <c r="C40" s="5" t="s">
        <v>129</v>
      </c>
      <c r="D40" t="b">
        <f t="shared" si="2"/>
        <v>0</v>
      </c>
    </row>
    <row r="41" spans="1:4" x14ac:dyDescent="0.25">
      <c r="A41" t="s">
        <v>21</v>
      </c>
      <c r="B41" s="5" t="s">
        <v>1122</v>
      </c>
      <c r="C41" s="5" t="s">
        <v>1122</v>
      </c>
      <c r="D41" t="b">
        <f t="shared" si="2"/>
        <v>0</v>
      </c>
    </row>
    <row r="42" spans="1:4" x14ac:dyDescent="0.25">
      <c r="A42" t="s">
        <v>21</v>
      </c>
      <c r="B42" s="5" t="s">
        <v>576</v>
      </c>
      <c r="C42" s="5" t="s">
        <v>576</v>
      </c>
      <c r="D42" t="b">
        <f t="shared" si="2"/>
        <v>0</v>
      </c>
    </row>
    <row r="43" spans="1:4" x14ac:dyDescent="0.25">
      <c r="A43" t="s">
        <v>21</v>
      </c>
      <c r="B43" s="5" t="s">
        <v>1123</v>
      </c>
      <c r="C43" s="5" t="s">
        <v>1123</v>
      </c>
      <c r="D43" t="b">
        <f t="shared" si="2"/>
        <v>0</v>
      </c>
    </row>
    <row r="44" spans="1:4" x14ac:dyDescent="0.25">
      <c r="A44" t="s">
        <v>21</v>
      </c>
      <c r="B44" s="5" t="s">
        <v>304</v>
      </c>
      <c r="C44" s="5" t="s">
        <v>304</v>
      </c>
      <c r="D44" t="b">
        <f t="shared" si="2"/>
        <v>0</v>
      </c>
    </row>
    <row r="45" spans="1:4" x14ac:dyDescent="0.25">
      <c r="A45" t="s">
        <v>21</v>
      </c>
      <c r="B45" s="5" t="s">
        <v>1125</v>
      </c>
      <c r="C45" s="5" t="s">
        <v>1320</v>
      </c>
      <c r="D45" t="b">
        <f t="shared" si="2"/>
        <v>1</v>
      </c>
    </row>
    <row r="46" spans="1:4" x14ac:dyDescent="0.25">
      <c r="A46" t="s">
        <v>21</v>
      </c>
      <c r="B46" s="5" t="s">
        <v>673</v>
      </c>
      <c r="C46" s="5" t="s">
        <v>673</v>
      </c>
      <c r="D46" t="b">
        <f t="shared" si="2"/>
        <v>0</v>
      </c>
    </row>
    <row r="47" spans="1:4" x14ac:dyDescent="0.25">
      <c r="A47" t="s">
        <v>21</v>
      </c>
      <c r="B47" s="5" t="s">
        <v>1126</v>
      </c>
      <c r="C47" s="5" t="s">
        <v>1126</v>
      </c>
      <c r="D47" t="b">
        <f t="shared" si="2"/>
        <v>0</v>
      </c>
    </row>
    <row r="48" spans="1:4" x14ac:dyDescent="0.25">
      <c r="A48" t="s">
        <v>21</v>
      </c>
      <c r="B48" s="5" t="s">
        <v>672</v>
      </c>
      <c r="C48" s="5" t="s">
        <v>672</v>
      </c>
      <c r="D48" t="b">
        <f t="shared" si="2"/>
        <v>0</v>
      </c>
    </row>
    <row r="49" spans="1:4" x14ac:dyDescent="0.25">
      <c r="A49" t="s">
        <v>21</v>
      </c>
      <c r="B49" s="5" t="s">
        <v>1460</v>
      </c>
      <c r="C49" s="5" t="s">
        <v>1460</v>
      </c>
      <c r="D49" t="b">
        <f t="shared" si="2"/>
        <v>0</v>
      </c>
    </row>
    <row r="50" spans="1:4" x14ac:dyDescent="0.25">
      <c r="A50" t="s">
        <v>21</v>
      </c>
      <c r="B50" s="5" t="s">
        <v>574</v>
      </c>
      <c r="C50" s="5" t="s">
        <v>574</v>
      </c>
      <c r="D50" t="b">
        <f t="shared" si="2"/>
        <v>0</v>
      </c>
    </row>
    <row r="51" spans="1:4" x14ac:dyDescent="0.25">
      <c r="A51" t="s">
        <v>21</v>
      </c>
      <c r="B51" s="5" t="s">
        <v>1124</v>
      </c>
      <c r="C51" s="5" t="s">
        <v>1124</v>
      </c>
      <c r="D51" t="b">
        <f t="shared" si="2"/>
        <v>0</v>
      </c>
    </row>
    <row r="52" spans="1:4" x14ac:dyDescent="0.25">
      <c r="A52" t="s">
        <v>21</v>
      </c>
      <c r="B52" s="5" t="s">
        <v>306</v>
      </c>
      <c r="C52" s="5" t="s">
        <v>306</v>
      </c>
      <c r="D52" t="b">
        <f t="shared" si="2"/>
        <v>0</v>
      </c>
    </row>
    <row r="53" spans="1:4" x14ac:dyDescent="0.25">
      <c r="A53" t="s">
        <v>21</v>
      </c>
      <c r="B53" s="5" t="s">
        <v>1753</v>
      </c>
      <c r="C53" s="5" t="s">
        <v>1753</v>
      </c>
      <c r="D53" t="b">
        <f t="shared" si="2"/>
        <v>0</v>
      </c>
    </row>
    <row r="54" spans="1:4" x14ac:dyDescent="0.25">
      <c r="A54" t="s">
        <v>21</v>
      </c>
      <c r="B54" s="5" t="s">
        <v>1754</v>
      </c>
      <c r="C54" s="5" t="s">
        <v>1754</v>
      </c>
      <c r="D54" t="b">
        <f t="shared" si="2"/>
        <v>0</v>
      </c>
    </row>
    <row r="55" spans="1:4" x14ac:dyDescent="0.25">
      <c r="A55" t="s">
        <v>21</v>
      </c>
      <c r="B55" s="5" t="s">
        <v>305</v>
      </c>
      <c r="C55" s="5" t="s">
        <v>305</v>
      </c>
      <c r="D55" t="b">
        <f t="shared" si="2"/>
        <v>0</v>
      </c>
    </row>
    <row r="56" spans="1:4" x14ac:dyDescent="0.25">
      <c r="A56" t="s">
        <v>21</v>
      </c>
      <c r="B56" s="5" t="s">
        <v>1127</v>
      </c>
      <c r="C56" s="5" t="s">
        <v>1127</v>
      </c>
      <c r="D56" t="b">
        <f t="shared" si="2"/>
        <v>0</v>
      </c>
    </row>
    <row r="57" spans="1:4" x14ac:dyDescent="0.25">
      <c r="A57" t="s">
        <v>21</v>
      </c>
      <c r="B57" s="5" t="s">
        <v>573</v>
      </c>
      <c r="C57" s="5" t="s">
        <v>573</v>
      </c>
      <c r="D57" t="b">
        <f t="shared" si="2"/>
        <v>0</v>
      </c>
    </row>
    <row r="58" spans="1:4" x14ac:dyDescent="0.25">
      <c r="A58" t="s">
        <v>21</v>
      </c>
      <c r="B58" s="5" t="s">
        <v>2086</v>
      </c>
      <c r="C58" s="5" t="s">
        <v>2086</v>
      </c>
      <c r="D58" t="b">
        <f t="shared" si="2"/>
        <v>0</v>
      </c>
    </row>
    <row r="59" spans="1:4" x14ac:dyDescent="0.25">
      <c r="A59" t="s">
        <v>21</v>
      </c>
      <c r="B59" s="5" t="s">
        <v>1755</v>
      </c>
      <c r="C59" s="5" t="s">
        <v>1755</v>
      </c>
      <c r="D59" t="b">
        <f t="shared" si="2"/>
        <v>0</v>
      </c>
    </row>
    <row r="60" spans="1:4" x14ac:dyDescent="0.25">
      <c r="A60" t="s">
        <v>21</v>
      </c>
      <c r="B60" s="5" t="s">
        <v>1128</v>
      </c>
      <c r="C60" s="5" t="s">
        <v>1128</v>
      </c>
      <c r="D60" t="b">
        <f t="shared" si="2"/>
        <v>0</v>
      </c>
    </row>
    <row r="61" spans="1:4" x14ac:dyDescent="0.25">
      <c r="A61" t="s">
        <v>44</v>
      </c>
      <c r="B61" s="5" t="s">
        <v>592</v>
      </c>
      <c r="C61" s="5" t="s">
        <v>592</v>
      </c>
      <c r="D61" t="b">
        <f t="shared" si="2"/>
        <v>0</v>
      </c>
    </row>
    <row r="62" spans="1:4" x14ac:dyDescent="0.25">
      <c r="A62" t="s">
        <v>44</v>
      </c>
      <c r="B62" s="5" t="s">
        <v>1761</v>
      </c>
      <c r="C62" s="5" t="s">
        <v>1756</v>
      </c>
      <c r="D62" t="b">
        <f t="shared" si="2"/>
        <v>1</v>
      </c>
    </row>
    <row r="63" spans="1:4" x14ac:dyDescent="0.25">
      <c r="A63" t="s">
        <v>44</v>
      </c>
      <c r="B63" s="5" t="s">
        <v>1129</v>
      </c>
      <c r="C63" s="5" t="s">
        <v>1129</v>
      </c>
      <c r="D63" t="b">
        <f t="shared" si="2"/>
        <v>0</v>
      </c>
    </row>
    <row r="64" spans="1:4" x14ac:dyDescent="0.25">
      <c r="A64" t="s">
        <v>44</v>
      </c>
      <c r="B64" s="5" t="s">
        <v>1130</v>
      </c>
      <c r="C64" s="5" t="s">
        <v>1130</v>
      </c>
      <c r="D64" t="b">
        <f t="shared" si="2"/>
        <v>0</v>
      </c>
    </row>
    <row r="65" spans="1:4" x14ac:dyDescent="0.25">
      <c r="A65" t="s">
        <v>44</v>
      </c>
      <c r="B65" s="5" t="s">
        <v>1758</v>
      </c>
      <c r="C65" s="5" t="s">
        <v>2198</v>
      </c>
      <c r="D65" t="b">
        <f t="shared" si="2"/>
        <v>1</v>
      </c>
    </row>
    <row r="66" spans="1:4" x14ac:dyDescent="0.25">
      <c r="A66" t="s">
        <v>44</v>
      </c>
      <c r="B66" s="5" t="s">
        <v>646</v>
      </c>
      <c r="C66" s="5" t="s">
        <v>646</v>
      </c>
      <c r="D66" t="b">
        <f t="shared" si="2"/>
        <v>0</v>
      </c>
    </row>
    <row r="67" spans="1:4" x14ac:dyDescent="0.25">
      <c r="A67" t="s">
        <v>44</v>
      </c>
      <c r="B67" s="5" t="s">
        <v>1757</v>
      </c>
      <c r="C67" s="5" t="s">
        <v>1932</v>
      </c>
      <c r="D67" t="b">
        <f t="shared" ref="D67:D68" si="3">B67&lt;&gt;C67</f>
        <v>1</v>
      </c>
    </row>
    <row r="68" spans="1:4" x14ac:dyDescent="0.25">
      <c r="A68" t="s">
        <v>44</v>
      </c>
      <c r="B68" s="5" t="s">
        <v>100</v>
      </c>
      <c r="C68" s="5" t="s">
        <v>100</v>
      </c>
      <c r="D68" t="b">
        <f t="shared" si="3"/>
        <v>0</v>
      </c>
    </row>
    <row r="69" spans="1:4" x14ac:dyDescent="0.25">
      <c r="A69" t="s">
        <v>44</v>
      </c>
      <c r="B69" s="5" t="s">
        <v>636</v>
      </c>
      <c r="C69" s="5" t="s">
        <v>636</v>
      </c>
      <c r="D69" t="b">
        <f t="shared" ref="D69:D102" si="4">B69&lt;&gt;C69</f>
        <v>0</v>
      </c>
    </row>
    <row r="70" spans="1:4" x14ac:dyDescent="0.25">
      <c r="A70" t="s">
        <v>44</v>
      </c>
      <c r="B70" s="5" t="s">
        <v>590</v>
      </c>
      <c r="C70" s="5" t="s">
        <v>590</v>
      </c>
      <c r="D70" t="b">
        <f t="shared" si="4"/>
        <v>0</v>
      </c>
    </row>
    <row r="71" spans="1:4" x14ac:dyDescent="0.25">
      <c r="A71" t="s">
        <v>44</v>
      </c>
      <c r="B71" s="5" t="s">
        <v>649</v>
      </c>
      <c r="C71" s="5" t="s">
        <v>649</v>
      </c>
      <c r="D71" t="b">
        <f t="shared" si="4"/>
        <v>0</v>
      </c>
    </row>
    <row r="72" spans="1:4" x14ac:dyDescent="0.25">
      <c r="A72" t="s">
        <v>44</v>
      </c>
      <c r="B72" s="5" t="s">
        <v>640</v>
      </c>
      <c r="C72" s="5" t="s">
        <v>640</v>
      </c>
      <c r="D72" t="b">
        <f t="shared" si="4"/>
        <v>0</v>
      </c>
    </row>
    <row r="73" spans="1:4" x14ac:dyDescent="0.25">
      <c r="A73" t="s">
        <v>44</v>
      </c>
      <c r="B73" s="5" t="s">
        <v>1110</v>
      </c>
      <c r="C73" s="5" t="s">
        <v>1110</v>
      </c>
      <c r="D73" t="b">
        <f t="shared" si="4"/>
        <v>0</v>
      </c>
    </row>
    <row r="74" spans="1:4" x14ac:dyDescent="0.25">
      <c r="A74" t="s">
        <v>1121</v>
      </c>
      <c r="B74" s="5" t="s">
        <v>1131</v>
      </c>
      <c r="C74" s="5" t="s">
        <v>1131</v>
      </c>
      <c r="D74" t="b">
        <f t="shared" si="4"/>
        <v>0</v>
      </c>
    </row>
    <row r="75" spans="1:4" x14ac:dyDescent="0.25">
      <c r="A75" t="s">
        <v>1121</v>
      </c>
      <c r="B75" s="5" t="s">
        <v>1760</v>
      </c>
      <c r="C75" s="5" t="s">
        <v>1760</v>
      </c>
      <c r="D75" t="b">
        <f t="shared" si="4"/>
        <v>0</v>
      </c>
    </row>
    <row r="76" spans="1:4" x14ac:dyDescent="0.25">
      <c r="A76" t="s">
        <v>1121</v>
      </c>
      <c r="B76" s="5" t="s">
        <v>1466</v>
      </c>
      <c r="C76" s="5" t="s">
        <v>1466</v>
      </c>
      <c r="D76" t="b">
        <f t="shared" si="4"/>
        <v>0</v>
      </c>
    </row>
    <row r="77" spans="1:4" x14ac:dyDescent="0.25">
      <c r="A77" t="s">
        <v>1121</v>
      </c>
      <c r="B77" s="5" t="s">
        <v>431</v>
      </c>
      <c r="C77" s="5" t="s">
        <v>431</v>
      </c>
      <c r="D77" t="b">
        <f t="shared" si="4"/>
        <v>0</v>
      </c>
    </row>
    <row r="78" spans="1:4" x14ac:dyDescent="0.25">
      <c r="A78" t="s">
        <v>1121</v>
      </c>
      <c r="B78" s="5" t="s">
        <v>1132</v>
      </c>
      <c r="C78" s="5" t="s">
        <v>1132</v>
      </c>
      <c r="D78" t="b">
        <f t="shared" si="4"/>
        <v>0</v>
      </c>
    </row>
    <row r="79" spans="1:4" x14ac:dyDescent="0.25">
      <c r="A79" t="s">
        <v>1121</v>
      </c>
      <c r="B79" s="5" t="s">
        <v>1133</v>
      </c>
      <c r="C79" s="5" t="s">
        <v>1133</v>
      </c>
      <c r="D79" t="b">
        <f t="shared" si="4"/>
        <v>0</v>
      </c>
    </row>
    <row r="80" spans="1:4" x14ac:dyDescent="0.25">
      <c r="A80" t="s">
        <v>1121</v>
      </c>
      <c r="B80" s="5" t="s">
        <v>602</v>
      </c>
      <c r="C80" s="5" t="s">
        <v>602</v>
      </c>
      <c r="D80" t="b">
        <f t="shared" si="4"/>
        <v>0</v>
      </c>
    </row>
    <row r="81" spans="1:4" x14ac:dyDescent="0.25">
      <c r="A81" t="s">
        <v>0</v>
      </c>
      <c r="B81" s="5" t="s">
        <v>2104</v>
      </c>
      <c r="C81" s="5" t="s">
        <v>661</v>
      </c>
      <c r="D81" t="b">
        <f t="shared" si="4"/>
        <v>1</v>
      </c>
    </row>
    <row r="82" spans="1:4" x14ac:dyDescent="0.25">
      <c r="A82" t="s">
        <v>0</v>
      </c>
      <c r="B82" s="5" t="s">
        <v>604</v>
      </c>
      <c r="C82" s="5" t="s">
        <v>604</v>
      </c>
      <c r="D82" t="b">
        <f t="shared" si="4"/>
        <v>0</v>
      </c>
    </row>
    <row r="83" spans="1:4" x14ac:dyDescent="0.25">
      <c r="A83" t="s">
        <v>0</v>
      </c>
      <c r="B83" s="5" t="s">
        <v>1674</v>
      </c>
      <c r="C83" s="5" t="s">
        <v>1674</v>
      </c>
      <c r="D83" t="b">
        <f t="shared" si="4"/>
        <v>0</v>
      </c>
    </row>
    <row r="84" spans="1:4" x14ac:dyDescent="0.25">
      <c r="A84" t="s">
        <v>0</v>
      </c>
      <c r="B84" s="5" t="s">
        <v>1321</v>
      </c>
      <c r="C84" s="5" t="s">
        <v>1321</v>
      </c>
      <c r="D84" t="b">
        <f t="shared" si="4"/>
        <v>0</v>
      </c>
    </row>
    <row r="85" spans="1:4" x14ac:dyDescent="0.25">
      <c r="A85" t="s">
        <v>0</v>
      </c>
      <c r="B85" s="5" t="s">
        <v>1136</v>
      </c>
      <c r="C85" s="5" t="s">
        <v>1136</v>
      </c>
      <c r="D85" t="b">
        <f t="shared" si="4"/>
        <v>0</v>
      </c>
    </row>
    <row r="86" spans="1:4" x14ac:dyDescent="0.25">
      <c r="A86" t="s">
        <v>0</v>
      </c>
      <c r="B86" s="5" t="s">
        <v>322</v>
      </c>
      <c r="C86" s="5" t="s">
        <v>322</v>
      </c>
      <c r="D86" t="b">
        <f t="shared" si="4"/>
        <v>0</v>
      </c>
    </row>
    <row r="87" spans="1:4" x14ac:dyDescent="0.25">
      <c r="A87" t="s">
        <v>0</v>
      </c>
      <c r="B87" s="5" t="s">
        <v>598</v>
      </c>
      <c r="C87" s="5" t="s">
        <v>598</v>
      </c>
      <c r="D87" t="b">
        <f t="shared" si="4"/>
        <v>0</v>
      </c>
    </row>
    <row r="88" spans="1:4" x14ac:dyDescent="0.25">
      <c r="A88" t="s">
        <v>0</v>
      </c>
      <c r="B88" s="5" t="s">
        <v>1134</v>
      </c>
      <c r="C88" s="5" t="s">
        <v>1134</v>
      </c>
      <c r="D88" t="b">
        <f t="shared" si="4"/>
        <v>0</v>
      </c>
    </row>
    <row r="89" spans="1:4" x14ac:dyDescent="0.25">
      <c r="A89" t="s">
        <v>0</v>
      </c>
      <c r="B89" s="5" t="s">
        <v>89</v>
      </c>
      <c r="C89" s="5" t="s">
        <v>89</v>
      </c>
      <c r="D89" t="b">
        <f t="shared" si="4"/>
        <v>0</v>
      </c>
    </row>
    <row r="90" spans="1:4" x14ac:dyDescent="0.25">
      <c r="A90" t="s">
        <v>0</v>
      </c>
      <c r="B90" s="5" t="s">
        <v>1323</v>
      </c>
      <c r="C90" s="5" t="s">
        <v>1323</v>
      </c>
      <c r="D90" t="b">
        <f t="shared" si="4"/>
        <v>0</v>
      </c>
    </row>
    <row r="91" spans="1:4" x14ac:dyDescent="0.25">
      <c r="A91" t="s">
        <v>0</v>
      </c>
      <c r="B91" s="5" t="s">
        <v>1135</v>
      </c>
      <c r="C91" s="5" t="s">
        <v>1135</v>
      </c>
      <c r="D91" t="b">
        <f t="shared" si="4"/>
        <v>0</v>
      </c>
    </row>
    <row r="92" spans="1:4" x14ac:dyDescent="0.25">
      <c r="A92" t="s">
        <v>22</v>
      </c>
      <c r="B92" s="5" t="s">
        <v>2103</v>
      </c>
      <c r="C92" s="5" t="s">
        <v>1931</v>
      </c>
      <c r="D92" t="b">
        <f t="shared" si="4"/>
        <v>1</v>
      </c>
    </row>
    <row r="93" spans="1:4" x14ac:dyDescent="0.25">
      <c r="A93" t="s">
        <v>22</v>
      </c>
      <c r="B93" s="5" t="s">
        <v>1467</v>
      </c>
      <c r="C93" s="5" t="s">
        <v>1467</v>
      </c>
      <c r="D93" t="b">
        <f t="shared" si="4"/>
        <v>0</v>
      </c>
    </row>
    <row r="94" spans="1:4" x14ac:dyDescent="0.25">
      <c r="A94" t="s">
        <v>22</v>
      </c>
      <c r="B94" s="5" t="s">
        <v>473</v>
      </c>
      <c r="C94" s="5" t="s">
        <v>473</v>
      </c>
      <c r="D94" t="b">
        <f t="shared" si="4"/>
        <v>0</v>
      </c>
    </row>
    <row r="95" spans="1:4" x14ac:dyDescent="0.25">
      <c r="A95" t="s">
        <v>22</v>
      </c>
      <c r="B95" s="5" t="s">
        <v>1137</v>
      </c>
      <c r="C95" s="5" t="s">
        <v>1137</v>
      </c>
      <c r="D95" t="b">
        <f t="shared" si="4"/>
        <v>0</v>
      </c>
    </row>
    <row r="96" spans="1:4" x14ac:dyDescent="0.25">
      <c r="A96" t="s">
        <v>22</v>
      </c>
      <c r="B96" s="5" t="s">
        <v>478</v>
      </c>
      <c r="C96" s="5" t="s">
        <v>478</v>
      </c>
      <c r="D96" t="b">
        <f t="shared" si="4"/>
        <v>0</v>
      </c>
    </row>
    <row r="97" spans="1:4" x14ac:dyDescent="0.25">
      <c r="A97" t="s">
        <v>22</v>
      </c>
      <c r="B97" s="5" t="s">
        <v>1138</v>
      </c>
      <c r="C97" s="5" t="s">
        <v>1138</v>
      </c>
      <c r="D97" t="b">
        <f t="shared" si="4"/>
        <v>0</v>
      </c>
    </row>
    <row r="98" spans="1:4" x14ac:dyDescent="0.25">
      <c r="A98" t="s">
        <v>22</v>
      </c>
      <c r="B98" s="5" t="s">
        <v>1762</v>
      </c>
      <c r="C98" s="5" t="s">
        <v>1762</v>
      </c>
      <c r="D98" t="b">
        <f t="shared" si="4"/>
        <v>0</v>
      </c>
    </row>
    <row r="99" spans="1:4" x14ac:dyDescent="0.25">
      <c r="A99" t="s">
        <v>22</v>
      </c>
      <c r="B99" s="5" t="s">
        <v>1144</v>
      </c>
      <c r="C99" s="5" t="s">
        <v>1144</v>
      </c>
      <c r="D99" t="b">
        <f t="shared" si="4"/>
        <v>0</v>
      </c>
    </row>
    <row r="100" spans="1:4" x14ac:dyDescent="0.25">
      <c r="A100" t="s">
        <v>22</v>
      </c>
      <c r="B100" s="5" t="s">
        <v>1139</v>
      </c>
      <c r="C100" s="5" t="s">
        <v>1139</v>
      </c>
      <c r="D100" t="b">
        <f t="shared" si="4"/>
        <v>0</v>
      </c>
    </row>
    <row r="101" spans="1:4" x14ac:dyDescent="0.25">
      <c r="A101" t="s">
        <v>22</v>
      </c>
      <c r="B101" s="5" t="s">
        <v>327</v>
      </c>
      <c r="C101" s="5" t="s">
        <v>327</v>
      </c>
      <c r="D101" t="b">
        <f t="shared" si="4"/>
        <v>0</v>
      </c>
    </row>
    <row r="102" spans="1:4" x14ac:dyDescent="0.25">
      <c r="A102" t="s">
        <v>22</v>
      </c>
      <c r="B102" s="5" t="s">
        <v>1933</v>
      </c>
      <c r="C102" s="5" t="s">
        <v>1933</v>
      </c>
      <c r="D102" t="b">
        <f t="shared" si="4"/>
        <v>0</v>
      </c>
    </row>
  </sheetData>
  <mergeCells count="1">
    <mergeCell ref="A1:G1"/>
  </mergeCells>
  <pageMargins left="0.511811024" right="0.511811024" top="0.78740157499999996" bottom="0.78740157499999996" header="0.31496062000000002" footer="0.3149606200000000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notContainsText" priority="1" operator="notContains" id="{AC19A2F9-5CB9-4F8E-8460-75FE239115B6}">
            <xm:f>ISERROR(SEARCH(C3,B3))</xm:f>
            <xm:f>C3</xm:f>
            <x14:dxf>
              <fill>
                <patternFill>
                  <bgColor theme="5"/>
                </patternFill>
              </fill>
            </x14:dxf>
          </x14:cfRule>
          <xm:sqref>B3:B102</xm:sqref>
        </x14:conditionalFormatting>
      </x14:conditionalFormatting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7A862-2C2B-4693-8520-25B9A32D4305}">
  <sheetPr codeName="Planilha24"/>
  <dimension ref="A1:G102"/>
  <sheetViews>
    <sheetView topLeftCell="A2" workbookViewId="0">
      <selection activeCell="C2" sqref="C2"/>
    </sheetView>
  </sheetViews>
  <sheetFormatPr defaultRowHeight="15" x14ac:dyDescent="0.25"/>
  <cols>
    <col min="1" max="1" width="11.85546875" style="5" customWidth="1"/>
    <col min="2" max="3" width="38.7109375" customWidth="1"/>
    <col min="4" max="4" width="10.28515625" hidden="1" customWidth="1"/>
    <col min="5" max="5" width="4.28515625" customWidth="1"/>
    <col min="6" max="6" width="22.7109375" style="3" customWidth="1"/>
    <col min="7" max="7" width="8.7109375" customWidth="1"/>
  </cols>
  <sheetData>
    <row r="1" spans="1:7" ht="21" x14ac:dyDescent="0.25">
      <c r="A1" s="12" t="s">
        <v>10</v>
      </c>
      <c r="B1" s="12"/>
      <c r="C1" s="12"/>
      <c r="D1" s="12"/>
      <c r="E1" s="12"/>
      <c r="F1" s="12"/>
      <c r="G1" s="12"/>
    </row>
    <row r="2" spans="1:7" x14ac:dyDescent="0.25">
      <c r="A2" s="4" t="s">
        <v>11</v>
      </c>
      <c r="B2" s="4" t="s">
        <v>12</v>
      </c>
      <c r="C2" s="4" t="s">
        <v>13</v>
      </c>
      <c r="D2" s="4" t="s">
        <v>14</v>
      </c>
      <c r="F2" s="4" t="s">
        <v>16</v>
      </c>
      <c r="G2" s="3">
        <f>COUNTIF(D:D,"Verdadeiro")</f>
        <v>19</v>
      </c>
    </row>
    <row r="3" spans="1:7" x14ac:dyDescent="0.25">
      <c r="A3" s="5" t="s">
        <v>1539</v>
      </c>
      <c r="B3" s="5" t="s">
        <v>1560</v>
      </c>
      <c r="C3" s="5" t="s">
        <v>1560</v>
      </c>
      <c r="D3" t="b">
        <f>B3&lt;&gt;C3</f>
        <v>0</v>
      </c>
      <c r="F3" s="4" t="s">
        <v>17</v>
      </c>
      <c r="G3" s="3">
        <f>SUM(G6:G27)</f>
        <v>100</v>
      </c>
    </row>
    <row r="4" spans="1:7" x14ac:dyDescent="0.25">
      <c r="A4" t="s">
        <v>15</v>
      </c>
      <c r="B4" s="5" t="s">
        <v>110</v>
      </c>
      <c r="C4" s="5" t="s">
        <v>110</v>
      </c>
      <c r="D4" t="b">
        <f>B4&lt;&gt;C4</f>
        <v>0</v>
      </c>
    </row>
    <row r="5" spans="1:7" x14ac:dyDescent="0.25">
      <c r="A5" t="s">
        <v>15</v>
      </c>
      <c r="B5" s="5" t="s">
        <v>111</v>
      </c>
      <c r="C5" s="5" t="s">
        <v>111</v>
      </c>
      <c r="D5" t="b">
        <f t="shared" ref="D5:D69" si="0">B5&lt;&gt;C5</f>
        <v>0</v>
      </c>
      <c r="F5" s="6" t="s">
        <v>19</v>
      </c>
      <c r="G5" s="1"/>
    </row>
    <row r="6" spans="1:7" x14ac:dyDescent="0.25">
      <c r="A6" t="s">
        <v>15</v>
      </c>
      <c r="B6" s="5" t="s">
        <v>112</v>
      </c>
      <c r="C6" s="5" t="s">
        <v>112</v>
      </c>
      <c r="D6" t="b">
        <f t="shared" si="0"/>
        <v>0</v>
      </c>
      <c r="F6" s="3" t="s">
        <v>1539</v>
      </c>
      <c r="G6" s="2">
        <f t="shared" ref="G6:G15" si="1">COUNTIF(A:A,F6)</f>
        <v>1</v>
      </c>
    </row>
    <row r="7" spans="1:7" x14ac:dyDescent="0.25">
      <c r="A7" t="s">
        <v>15</v>
      </c>
      <c r="B7" s="5" t="s">
        <v>113</v>
      </c>
      <c r="C7" s="5" t="s">
        <v>113</v>
      </c>
      <c r="D7" t="b">
        <f t="shared" si="0"/>
        <v>0</v>
      </c>
      <c r="F7" s="7" t="s">
        <v>15</v>
      </c>
      <c r="G7" s="2">
        <f t="shared" si="1"/>
        <v>35</v>
      </c>
    </row>
    <row r="8" spans="1:7" x14ac:dyDescent="0.25">
      <c r="A8" t="s">
        <v>15</v>
      </c>
      <c r="B8" s="5" t="s">
        <v>114</v>
      </c>
      <c r="C8" s="5" t="s">
        <v>114</v>
      </c>
      <c r="D8" t="b">
        <f t="shared" si="0"/>
        <v>0</v>
      </c>
      <c r="F8" s="7" t="s">
        <v>21</v>
      </c>
      <c r="G8" s="2">
        <f t="shared" si="1"/>
        <v>12</v>
      </c>
    </row>
    <row r="9" spans="1:7" x14ac:dyDescent="0.25">
      <c r="A9" t="s">
        <v>15</v>
      </c>
      <c r="B9" s="5" t="s">
        <v>115</v>
      </c>
      <c r="C9" s="5" t="s">
        <v>115</v>
      </c>
      <c r="D9" t="b">
        <f t="shared" si="0"/>
        <v>0</v>
      </c>
      <c r="F9" s="7" t="s">
        <v>27</v>
      </c>
      <c r="G9" s="2">
        <f t="shared" si="1"/>
        <v>8</v>
      </c>
    </row>
    <row r="10" spans="1:7" x14ac:dyDescent="0.25">
      <c r="A10" t="s">
        <v>15</v>
      </c>
      <c r="B10" s="5" t="s">
        <v>116</v>
      </c>
      <c r="C10" s="5" t="s">
        <v>116</v>
      </c>
      <c r="D10" t="b">
        <f t="shared" si="0"/>
        <v>0</v>
      </c>
      <c r="F10" s="7" t="s">
        <v>233</v>
      </c>
      <c r="G10" s="2">
        <f t="shared" si="1"/>
        <v>10</v>
      </c>
    </row>
    <row r="11" spans="1:7" x14ac:dyDescent="0.25">
      <c r="A11" t="s">
        <v>15</v>
      </c>
      <c r="B11" s="5" t="s">
        <v>117</v>
      </c>
      <c r="C11" s="5" t="s">
        <v>117</v>
      </c>
      <c r="D11" t="b">
        <f t="shared" si="0"/>
        <v>0</v>
      </c>
      <c r="F11" s="7" t="s">
        <v>42</v>
      </c>
      <c r="G11" s="2">
        <f t="shared" si="1"/>
        <v>4</v>
      </c>
    </row>
    <row r="12" spans="1:7" x14ac:dyDescent="0.25">
      <c r="A12" t="s">
        <v>15</v>
      </c>
      <c r="B12" s="5" t="s">
        <v>119</v>
      </c>
      <c r="C12" s="5" t="s">
        <v>119</v>
      </c>
      <c r="D12" t="b">
        <f t="shared" si="0"/>
        <v>0</v>
      </c>
      <c r="F12" s="7" t="s">
        <v>23</v>
      </c>
      <c r="G12" s="2">
        <f t="shared" si="1"/>
        <v>10</v>
      </c>
    </row>
    <row r="13" spans="1:7" x14ac:dyDescent="0.25">
      <c r="A13" t="s">
        <v>15</v>
      </c>
      <c r="B13" s="5" t="s">
        <v>1458</v>
      </c>
      <c r="C13" s="5" t="s">
        <v>1458</v>
      </c>
      <c r="D13" t="b">
        <f t="shared" si="0"/>
        <v>0</v>
      </c>
      <c r="F13" s="7" t="s">
        <v>22</v>
      </c>
      <c r="G13" s="2">
        <f t="shared" si="1"/>
        <v>10</v>
      </c>
    </row>
    <row r="14" spans="1:7" x14ac:dyDescent="0.25">
      <c r="A14" t="s">
        <v>15</v>
      </c>
      <c r="B14" s="5" t="s">
        <v>120</v>
      </c>
      <c r="C14" s="5" t="s">
        <v>120</v>
      </c>
      <c r="D14" t="b">
        <f t="shared" si="0"/>
        <v>0</v>
      </c>
      <c r="F14" s="7" t="s">
        <v>0</v>
      </c>
      <c r="G14" s="2">
        <f t="shared" si="1"/>
        <v>5</v>
      </c>
    </row>
    <row r="15" spans="1:7" x14ac:dyDescent="0.25">
      <c r="A15" t="s">
        <v>15</v>
      </c>
      <c r="B15" s="5" t="s">
        <v>20</v>
      </c>
      <c r="C15" s="5" t="s">
        <v>20</v>
      </c>
      <c r="D15" t="b">
        <f t="shared" si="0"/>
        <v>0</v>
      </c>
      <c r="F15" s="7" t="s">
        <v>952</v>
      </c>
      <c r="G15" s="2">
        <f t="shared" si="1"/>
        <v>5</v>
      </c>
    </row>
    <row r="16" spans="1:7" x14ac:dyDescent="0.25">
      <c r="A16" t="s">
        <v>15</v>
      </c>
      <c r="B16" s="5" t="s">
        <v>43</v>
      </c>
      <c r="C16" s="5" t="s">
        <v>43</v>
      </c>
      <c r="D16" t="b">
        <f t="shared" si="0"/>
        <v>0</v>
      </c>
    </row>
    <row r="17" spans="1:7" x14ac:dyDescent="0.25">
      <c r="A17" t="s">
        <v>15</v>
      </c>
      <c r="B17" s="5" t="s">
        <v>171</v>
      </c>
      <c r="C17" s="5" t="s">
        <v>171</v>
      </c>
      <c r="D17" t="b">
        <f t="shared" si="0"/>
        <v>0</v>
      </c>
      <c r="F17" s="1"/>
      <c r="G17" s="2"/>
    </row>
    <row r="18" spans="1:7" x14ac:dyDescent="0.25">
      <c r="A18" t="s">
        <v>15</v>
      </c>
      <c r="B18" s="5" t="s">
        <v>40</v>
      </c>
      <c r="C18" s="5" t="s">
        <v>40</v>
      </c>
      <c r="D18" t="b">
        <f t="shared" si="0"/>
        <v>0</v>
      </c>
    </row>
    <row r="19" spans="1:7" x14ac:dyDescent="0.25">
      <c r="A19" t="s">
        <v>15</v>
      </c>
      <c r="B19" s="5" t="s">
        <v>953</v>
      </c>
      <c r="C19" s="5" t="s">
        <v>953</v>
      </c>
      <c r="D19" t="b">
        <f t="shared" si="0"/>
        <v>0</v>
      </c>
    </row>
    <row r="20" spans="1:7" x14ac:dyDescent="0.25">
      <c r="A20" t="s">
        <v>15</v>
      </c>
      <c r="B20" s="5" t="s">
        <v>961</v>
      </c>
      <c r="C20" s="5" t="s">
        <v>2223</v>
      </c>
      <c r="D20" t="b">
        <f t="shared" si="0"/>
        <v>1</v>
      </c>
    </row>
    <row r="21" spans="1:7" x14ac:dyDescent="0.25">
      <c r="A21" t="s">
        <v>21</v>
      </c>
      <c r="B21" s="5" t="s">
        <v>61</v>
      </c>
      <c r="C21" s="5" t="s">
        <v>61</v>
      </c>
      <c r="D21" t="b">
        <f>B21&lt;&gt;C21</f>
        <v>0</v>
      </c>
    </row>
    <row r="22" spans="1:7" x14ac:dyDescent="0.25">
      <c r="A22" t="s">
        <v>15</v>
      </c>
      <c r="B22" s="5" t="s">
        <v>61</v>
      </c>
      <c r="C22" s="5" t="s">
        <v>61</v>
      </c>
      <c r="D22" t="b">
        <f t="shared" si="0"/>
        <v>0</v>
      </c>
    </row>
    <row r="23" spans="1:7" x14ac:dyDescent="0.25">
      <c r="A23" t="s">
        <v>15</v>
      </c>
      <c r="B23" s="5" t="s">
        <v>61</v>
      </c>
      <c r="C23" s="5" t="s">
        <v>61</v>
      </c>
      <c r="D23" t="b">
        <f t="shared" si="0"/>
        <v>0</v>
      </c>
    </row>
    <row r="24" spans="1:7" x14ac:dyDescent="0.25">
      <c r="A24" t="s">
        <v>15</v>
      </c>
      <c r="B24" s="5" t="s">
        <v>61</v>
      </c>
      <c r="C24" s="5" t="s">
        <v>61</v>
      </c>
      <c r="D24" t="b">
        <f t="shared" si="0"/>
        <v>0</v>
      </c>
    </row>
    <row r="25" spans="1:7" x14ac:dyDescent="0.25">
      <c r="A25" t="s">
        <v>15</v>
      </c>
      <c r="B25" s="5" t="s">
        <v>61</v>
      </c>
      <c r="C25" s="5" t="s">
        <v>61</v>
      </c>
      <c r="D25" t="b">
        <f t="shared" si="0"/>
        <v>0</v>
      </c>
    </row>
    <row r="26" spans="1:7" x14ac:dyDescent="0.25">
      <c r="A26" t="s">
        <v>15</v>
      </c>
      <c r="B26" s="5" t="s">
        <v>61</v>
      </c>
      <c r="C26" s="5" t="s">
        <v>61</v>
      </c>
      <c r="D26" t="b">
        <f t="shared" si="0"/>
        <v>0</v>
      </c>
    </row>
    <row r="27" spans="1:7" x14ac:dyDescent="0.25">
      <c r="A27" t="s">
        <v>15</v>
      </c>
      <c r="B27" s="5" t="s">
        <v>122</v>
      </c>
      <c r="C27" s="5" t="s">
        <v>122</v>
      </c>
      <c r="D27" t="b">
        <f t="shared" si="0"/>
        <v>0</v>
      </c>
    </row>
    <row r="28" spans="1:7" x14ac:dyDescent="0.25">
      <c r="A28" t="s">
        <v>15</v>
      </c>
      <c r="B28" s="5" t="s">
        <v>122</v>
      </c>
      <c r="C28" s="5" t="s">
        <v>122</v>
      </c>
      <c r="D28" t="b">
        <f t="shared" si="0"/>
        <v>0</v>
      </c>
    </row>
    <row r="29" spans="1:7" x14ac:dyDescent="0.25">
      <c r="A29" t="s">
        <v>15</v>
      </c>
      <c r="B29" s="5" t="s">
        <v>122</v>
      </c>
      <c r="C29" s="5" t="s">
        <v>122</v>
      </c>
      <c r="D29" t="b">
        <f t="shared" si="0"/>
        <v>0</v>
      </c>
    </row>
    <row r="30" spans="1:7" x14ac:dyDescent="0.25">
      <c r="A30" t="s">
        <v>15</v>
      </c>
      <c r="B30" s="5" t="s">
        <v>122</v>
      </c>
      <c r="C30" s="5" t="s">
        <v>122</v>
      </c>
      <c r="D30" t="b">
        <f t="shared" si="0"/>
        <v>0</v>
      </c>
    </row>
    <row r="31" spans="1:7" x14ac:dyDescent="0.25">
      <c r="A31" t="s">
        <v>15</v>
      </c>
      <c r="B31" s="5" t="s">
        <v>122</v>
      </c>
      <c r="C31" s="5" t="s">
        <v>122</v>
      </c>
      <c r="D31" t="b">
        <f t="shared" si="0"/>
        <v>0</v>
      </c>
    </row>
    <row r="32" spans="1:7" x14ac:dyDescent="0.25">
      <c r="A32" t="s">
        <v>21</v>
      </c>
      <c r="B32" s="5" t="s">
        <v>987</v>
      </c>
      <c r="C32" s="5" t="s">
        <v>62</v>
      </c>
      <c r="D32" t="b">
        <f>B32&lt;&gt;C32</f>
        <v>1</v>
      </c>
    </row>
    <row r="33" spans="1:4" x14ac:dyDescent="0.25">
      <c r="A33" t="s">
        <v>15</v>
      </c>
      <c r="B33" s="5" t="s">
        <v>62</v>
      </c>
      <c r="C33" s="5" t="s">
        <v>62</v>
      </c>
      <c r="D33" t="b">
        <f t="shared" si="0"/>
        <v>0</v>
      </c>
    </row>
    <row r="34" spans="1:4" x14ac:dyDescent="0.25">
      <c r="A34" t="s">
        <v>15</v>
      </c>
      <c r="B34" s="5" t="s">
        <v>62</v>
      </c>
      <c r="C34" s="5" t="s">
        <v>62</v>
      </c>
      <c r="D34" t="b">
        <f t="shared" si="0"/>
        <v>0</v>
      </c>
    </row>
    <row r="35" spans="1:4" x14ac:dyDescent="0.25">
      <c r="A35" t="s">
        <v>15</v>
      </c>
      <c r="B35" s="5" t="s">
        <v>62</v>
      </c>
      <c r="C35" s="5" t="s">
        <v>62</v>
      </c>
      <c r="D35" t="b">
        <f t="shared" si="0"/>
        <v>0</v>
      </c>
    </row>
    <row r="36" spans="1:4" x14ac:dyDescent="0.25">
      <c r="A36" t="s">
        <v>15</v>
      </c>
      <c r="B36" s="5" t="s">
        <v>62</v>
      </c>
      <c r="C36" s="5" t="s">
        <v>62</v>
      </c>
      <c r="D36" t="b">
        <f t="shared" si="0"/>
        <v>0</v>
      </c>
    </row>
    <row r="37" spans="1:4" x14ac:dyDescent="0.25">
      <c r="A37" t="s">
        <v>15</v>
      </c>
      <c r="B37" s="5" t="s">
        <v>62</v>
      </c>
      <c r="C37" s="5" t="s">
        <v>62</v>
      </c>
      <c r="D37" t="b">
        <f t="shared" si="0"/>
        <v>0</v>
      </c>
    </row>
    <row r="38" spans="1:4" x14ac:dyDescent="0.25">
      <c r="A38" t="s">
        <v>15</v>
      </c>
      <c r="B38" s="5" t="s">
        <v>62</v>
      </c>
      <c r="C38" s="5" t="s">
        <v>62</v>
      </c>
      <c r="D38" t="b">
        <f t="shared" si="0"/>
        <v>0</v>
      </c>
    </row>
    <row r="39" spans="1:4" x14ac:dyDescent="0.25">
      <c r="A39" t="s">
        <v>15</v>
      </c>
      <c r="B39" s="5" t="s">
        <v>62</v>
      </c>
      <c r="C39" s="5" t="s">
        <v>62</v>
      </c>
      <c r="D39" t="b">
        <f t="shared" si="0"/>
        <v>0</v>
      </c>
    </row>
    <row r="40" spans="1:4" x14ac:dyDescent="0.25">
      <c r="A40" t="s">
        <v>15</v>
      </c>
      <c r="B40" s="5" t="s">
        <v>62</v>
      </c>
      <c r="C40" s="5" t="s">
        <v>62</v>
      </c>
      <c r="D40" t="b">
        <f t="shared" si="0"/>
        <v>0</v>
      </c>
    </row>
    <row r="41" spans="1:4" x14ac:dyDescent="0.25">
      <c r="A41" t="s">
        <v>21</v>
      </c>
      <c r="B41" s="5" t="s">
        <v>245</v>
      </c>
      <c r="C41" s="5" t="s">
        <v>245</v>
      </c>
      <c r="D41" t="b">
        <f t="shared" si="0"/>
        <v>0</v>
      </c>
    </row>
    <row r="42" spans="1:4" x14ac:dyDescent="0.25">
      <c r="A42" t="s">
        <v>21</v>
      </c>
      <c r="B42" s="5" t="s">
        <v>64</v>
      </c>
      <c r="C42" s="5" t="s">
        <v>64</v>
      </c>
      <c r="D42" t="b">
        <f t="shared" si="0"/>
        <v>0</v>
      </c>
    </row>
    <row r="43" spans="1:4" x14ac:dyDescent="0.25">
      <c r="A43" t="s">
        <v>21</v>
      </c>
      <c r="B43" s="5" t="s">
        <v>954</v>
      </c>
      <c r="C43" s="5" t="s">
        <v>954</v>
      </c>
      <c r="D43" t="b">
        <f t="shared" si="0"/>
        <v>0</v>
      </c>
    </row>
    <row r="44" spans="1:4" x14ac:dyDescent="0.25">
      <c r="A44" t="s">
        <v>21</v>
      </c>
      <c r="B44" s="5" t="s">
        <v>128</v>
      </c>
      <c r="C44" s="5" t="s">
        <v>128</v>
      </c>
      <c r="D44" t="b">
        <f t="shared" si="0"/>
        <v>0</v>
      </c>
    </row>
    <row r="45" spans="1:4" x14ac:dyDescent="0.25">
      <c r="A45" t="s">
        <v>21</v>
      </c>
      <c r="B45" s="5" t="s">
        <v>130</v>
      </c>
      <c r="C45" s="5" t="s">
        <v>130</v>
      </c>
      <c r="D45" t="b">
        <f t="shared" si="0"/>
        <v>0</v>
      </c>
    </row>
    <row r="46" spans="1:4" x14ac:dyDescent="0.25">
      <c r="A46" t="s">
        <v>21</v>
      </c>
      <c r="B46" s="5" t="s">
        <v>409</v>
      </c>
      <c r="C46" s="5" t="s">
        <v>409</v>
      </c>
      <c r="D46" t="b">
        <f t="shared" si="0"/>
        <v>0</v>
      </c>
    </row>
    <row r="47" spans="1:4" x14ac:dyDescent="0.25">
      <c r="A47" t="s">
        <v>21</v>
      </c>
      <c r="B47" s="5" t="s">
        <v>407</v>
      </c>
      <c r="C47" s="5" t="s">
        <v>407</v>
      </c>
      <c r="D47" t="b">
        <f t="shared" si="0"/>
        <v>0</v>
      </c>
    </row>
    <row r="48" spans="1:4" x14ac:dyDescent="0.25">
      <c r="A48" t="s">
        <v>21</v>
      </c>
      <c r="B48" s="5" t="s">
        <v>410</v>
      </c>
      <c r="C48" s="5" t="s">
        <v>410</v>
      </c>
      <c r="D48" t="b">
        <f t="shared" si="0"/>
        <v>0</v>
      </c>
    </row>
    <row r="49" spans="1:4" x14ac:dyDescent="0.25">
      <c r="A49" t="s">
        <v>21</v>
      </c>
      <c r="B49" s="5" t="s">
        <v>955</v>
      </c>
      <c r="C49" s="5" t="s">
        <v>1338</v>
      </c>
      <c r="D49" t="b">
        <f t="shared" si="0"/>
        <v>1</v>
      </c>
    </row>
    <row r="50" spans="1:4" x14ac:dyDescent="0.25">
      <c r="A50" t="s">
        <v>21</v>
      </c>
      <c r="B50" s="5" t="s">
        <v>1950</v>
      </c>
      <c r="C50" s="5" t="s">
        <v>1950</v>
      </c>
      <c r="D50" t="b">
        <f t="shared" si="0"/>
        <v>0</v>
      </c>
    </row>
    <row r="51" spans="1:4" x14ac:dyDescent="0.25">
      <c r="A51" t="s">
        <v>42</v>
      </c>
      <c r="B51" s="5" t="s">
        <v>956</v>
      </c>
      <c r="C51" s="5" t="s">
        <v>956</v>
      </c>
      <c r="D51" t="b">
        <f t="shared" si="0"/>
        <v>0</v>
      </c>
    </row>
    <row r="52" spans="1:4" x14ac:dyDescent="0.25">
      <c r="A52" t="s">
        <v>42</v>
      </c>
      <c r="B52" s="5" t="s">
        <v>96</v>
      </c>
      <c r="C52" s="5" t="s">
        <v>96</v>
      </c>
      <c r="D52" t="b">
        <f t="shared" si="0"/>
        <v>0</v>
      </c>
    </row>
    <row r="53" spans="1:4" x14ac:dyDescent="0.25">
      <c r="A53" t="s">
        <v>42</v>
      </c>
      <c r="B53" s="5" t="s">
        <v>1764</v>
      </c>
      <c r="C53" s="5" t="s">
        <v>1764</v>
      </c>
      <c r="D53" t="b">
        <f t="shared" si="0"/>
        <v>0</v>
      </c>
    </row>
    <row r="54" spans="1:4" x14ac:dyDescent="0.25">
      <c r="A54" t="s">
        <v>42</v>
      </c>
      <c r="B54" s="5" t="s">
        <v>97</v>
      </c>
      <c r="C54" s="5" t="s">
        <v>97</v>
      </c>
      <c r="D54" t="b">
        <f t="shared" si="0"/>
        <v>0</v>
      </c>
    </row>
    <row r="55" spans="1:4" x14ac:dyDescent="0.25">
      <c r="A55" t="s">
        <v>23</v>
      </c>
      <c r="B55" s="5" t="s">
        <v>957</v>
      </c>
      <c r="C55" s="5" t="s">
        <v>957</v>
      </c>
      <c r="D55" t="b">
        <f t="shared" si="0"/>
        <v>0</v>
      </c>
    </row>
    <row r="56" spans="1:4" x14ac:dyDescent="0.25">
      <c r="A56" t="s">
        <v>23</v>
      </c>
      <c r="B56" s="5" t="s">
        <v>958</v>
      </c>
      <c r="C56" s="5" t="s">
        <v>102</v>
      </c>
      <c r="D56" t="b">
        <f t="shared" si="0"/>
        <v>1</v>
      </c>
    </row>
    <row r="57" spans="1:4" x14ac:dyDescent="0.25">
      <c r="A57" t="s">
        <v>23</v>
      </c>
      <c r="B57" s="5" t="s">
        <v>959</v>
      </c>
      <c r="C57" s="5" t="s">
        <v>959</v>
      </c>
      <c r="D57" t="b">
        <f t="shared" si="0"/>
        <v>0</v>
      </c>
    </row>
    <row r="58" spans="1:4" x14ac:dyDescent="0.25">
      <c r="A58" t="s">
        <v>23</v>
      </c>
      <c r="B58" s="5" t="s">
        <v>143</v>
      </c>
      <c r="C58" s="5" t="s">
        <v>143</v>
      </c>
      <c r="D58" t="b">
        <f t="shared" si="0"/>
        <v>0</v>
      </c>
    </row>
    <row r="59" spans="1:4" x14ac:dyDescent="0.25">
      <c r="A59" t="s">
        <v>23</v>
      </c>
      <c r="B59" s="5" t="s">
        <v>1763</v>
      </c>
      <c r="C59" s="5" t="s">
        <v>1190</v>
      </c>
      <c r="D59" t="b">
        <f t="shared" si="0"/>
        <v>1</v>
      </c>
    </row>
    <row r="60" spans="1:4" x14ac:dyDescent="0.25">
      <c r="A60" t="s">
        <v>23</v>
      </c>
      <c r="B60" s="5" t="s">
        <v>357</v>
      </c>
      <c r="C60" s="5" t="s">
        <v>357</v>
      </c>
      <c r="D60" t="b">
        <f t="shared" si="0"/>
        <v>0</v>
      </c>
    </row>
    <row r="61" spans="1:4" x14ac:dyDescent="0.25">
      <c r="A61" t="s">
        <v>23</v>
      </c>
      <c r="B61" s="5" t="s">
        <v>1450</v>
      </c>
      <c r="C61" s="5" t="s">
        <v>1450</v>
      </c>
      <c r="D61" t="b">
        <f t="shared" si="0"/>
        <v>0</v>
      </c>
    </row>
    <row r="62" spans="1:4" x14ac:dyDescent="0.25">
      <c r="A62" t="s">
        <v>23</v>
      </c>
      <c r="B62" s="5" t="s">
        <v>1765</v>
      </c>
      <c r="C62" s="5" t="s">
        <v>101</v>
      </c>
      <c r="D62" t="b">
        <f t="shared" si="0"/>
        <v>1</v>
      </c>
    </row>
    <row r="63" spans="1:4" x14ac:dyDescent="0.25">
      <c r="A63" t="s">
        <v>23</v>
      </c>
      <c r="B63" s="5" t="s">
        <v>960</v>
      </c>
      <c r="C63" s="5" t="s">
        <v>2222</v>
      </c>
      <c r="D63" t="b">
        <f t="shared" si="0"/>
        <v>1</v>
      </c>
    </row>
    <row r="64" spans="1:4" x14ac:dyDescent="0.25">
      <c r="A64" t="s">
        <v>23</v>
      </c>
      <c r="B64" s="5" t="s">
        <v>962</v>
      </c>
      <c r="C64" s="5" t="s">
        <v>962</v>
      </c>
      <c r="D64" t="b">
        <f t="shared" si="0"/>
        <v>0</v>
      </c>
    </row>
    <row r="65" spans="1:4" x14ac:dyDescent="0.25">
      <c r="A65" t="s">
        <v>233</v>
      </c>
      <c r="B65" s="5" t="s">
        <v>963</v>
      </c>
      <c r="C65" s="5" t="s">
        <v>963</v>
      </c>
      <c r="D65" t="b">
        <f t="shared" si="0"/>
        <v>0</v>
      </c>
    </row>
    <row r="66" spans="1:4" x14ac:dyDescent="0.25">
      <c r="A66" t="s">
        <v>233</v>
      </c>
      <c r="B66" s="5" t="s">
        <v>964</v>
      </c>
      <c r="C66" s="5" t="s">
        <v>964</v>
      </c>
      <c r="D66" t="b">
        <f t="shared" si="0"/>
        <v>0</v>
      </c>
    </row>
    <row r="67" spans="1:4" x14ac:dyDescent="0.25">
      <c r="A67" t="s">
        <v>233</v>
      </c>
      <c r="B67" s="5" t="s">
        <v>1766</v>
      </c>
      <c r="C67" s="5" t="s">
        <v>1766</v>
      </c>
      <c r="D67" t="b">
        <f t="shared" si="0"/>
        <v>0</v>
      </c>
    </row>
    <row r="68" spans="1:4" x14ac:dyDescent="0.25">
      <c r="A68" t="s">
        <v>233</v>
      </c>
      <c r="B68" s="5" t="s">
        <v>965</v>
      </c>
      <c r="C68" s="5" t="s">
        <v>965</v>
      </c>
      <c r="D68" t="b">
        <f t="shared" si="0"/>
        <v>0</v>
      </c>
    </row>
    <row r="69" spans="1:4" x14ac:dyDescent="0.25">
      <c r="A69" t="s">
        <v>233</v>
      </c>
      <c r="B69" s="5" t="s">
        <v>966</v>
      </c>
      <c r="C69" s="5" t="s">
        <v>966</v>
      </c>
      <c r="D69" t="b">
        <f t="shared" si="0"/>
        <v>0</v>
      </c>
    </row>
    <row r="70" spans="1:4" x14ac:dyDescent="0.25">
      <c r="A70" t="s">
        <v>233</v>
      </c>
      <c r="B70" s="5" t="s">
        <v>1768</v>
      </c>
      <c r="C70" s="5" t="s">
        <v>1767</v>
      </c>
      <c r="D70" t="b">
        <f t="shared" ref="D70:D102" si="2">B70&lt;&gt;C70</f>
        <v>1</v>
      </c>
    </row>
    <row r="71" spans="1:4" x14ac:dyDescent="0.25">
      <c r="A71" t="s">
        <v>233</v>
      </c>
      <c r="B71" s="5" t="s">
        <v>967</v>
      </c>
      <c r="C71" s="5" t="s">
        <v>967</v>
      </c>
      <c r="D71" t="b">
        <f t="shared" si="2"/>
        <v>0</v>
      </c>
    </row>
    <row r="72" spans="1:4" x14ac:dyDescent="0.25">
      <c r="A72" t="s">
        <v>233</v>
      </c>
      <c r="B72" s="5" t="s">
        <v>968</v>
      </c>
      <c r="C72" s="5" t="s">
        <v>968</v>
      </c>
      <c r="D72" t="b">
        <f t="shared" si="2"/>
        <v>0</v>
      </c>
    </row>
    <row r="73" spans="1:4" x14ac:dyDescent="0.25">
      <c r="A73" t="s">
        <v>233</v>
      </c>
      <c r="B73" s="5" t="s">
        <v>969</v>
      </c>
      <c r="C73" s="5" t="s">
        <v>2221</v>
      </c>
      <c r="D73" t="b">
        <f t="shared" si="2"/>
        <v>1</v>
      </c>
    </row>
    <row r="74" spans="1:4" x14ac:dyDescent="0.25">
      <c r="A74" t="s">
        <v>233</v>
      </c>
      <c r="B74" s="5" t="s">
        <v>970</v>
      </c>
      <c r="C74" s="5" t="s">
        <v>970</v>
      </c>
      <c r="D74" t="b">
        <f t="shared" si="2"/>
        <v>0</v>
      </c>
    </row>
    <row r="75" spans="1:4" x14ac:dyDescent="0.25">
      <c r="A75" t="s">
        <v>27</v>
      </c>
      <c r="B75" s="5" t="s">
        <v>971</v>
      </c>
      <c r="C75" s="5" t="s">
        <v>651</v>
      </c>
      <c r="D75" t="b">
        <f t="shared" si="2"/>
        <v>1</v>
      </c>
    </row>
    <row r="76" spans="1:4" x14ac:dyDescent="0.25">
      <c r="A76" t="s">
        <v>27</v>
      </c>
      <c r="B76" s="5" t="s">
        <v>1769</v>
      </c>
      <c r="C76" s="5" t="s">
        <v>1769</v>
      </c>
      <c r="D76" t="b">
        <f t="shared" si="2"/>
        <v>0</v>
      </c>
    </row>
    <row r="77" spans="1:4" x14ac:dyDescent="0.25">
      <c r="A77" t="s">
        <v>27</v>
      </c>
      <c r="B77" s="5" t="s">
        <v>972</v>
      </c>
      <c r="C77" s="5" t="s">
        <v>972</v>
      </c>
      <c r="D77" t="b">
        <f t="shared" si="2"/>
        <v>0</v>
      </c>
    </row>
    <row r="78" spans="1:4" x14ac:dyDescent="0.25">
      <c r="A78" t="s">
        <v>27</v>
      </c>
      <c r="B78" s="5" t="s">
        <v>2225</v>
      </c>
      <c r="C78" s="5" t="s">
        <v>2220</v>
      </c>
      <c r="D78" t="b">
        <f t="shared" si="2"/>
        <v>1</v>
      </c>
    </row>
    <row r="79" spans="1:4" x14ac:dyDescent="0.25">
      <c r="A79" t="s">
        <v>27</v>
      </c>
      <c r="B79" s="5" t="s">
        <v>973</v>
      </c>
      <c r="C79" s="5" t="s">
        <v>1340</v>
      </c>
      <c r="D79" t="b">
        <f t="shared" si="2"/>
        <v>1</v>
      </c>
    </row>
    <row r="80" spans="1:4" x14ac:dyDescent="0.25">
      <c r="A80" t="s">
        <v>27</v>
      </c>
      <c r="B80" s="5" t="s">
        <v>974</v>
      </c>
      <c r="C80" s="5" t="s">
        <v>2219</v>
      </c>
      <c r="D80" t="b">
        <f t="shared" si="2"/>
        <v>1</v>
      </c>
    </row>
    <row r="81" spans="1:4" x14ac:dyDescent="0.25">
      <c r="A81" t="s">
        <v>27</v>
      </c>
      <c r="B81" s="5" t="s">
        <v>975</v>
      </c>
      <c r="C81" s="5" t="s">
        <v>975</v>
      </c>
      <c r="D81" t="b">
        <f t="shared" si="2"/>
        <v>0</v>
      </c>
    </row>
    <row r="82" spans="1:4" x14ac:dyDescent="0.25">
      <c r="A82" t="s">
        <v>27</v>
      </c>
      <c r="B82" s="5" t="s">
        <v>976</v>
      </c>
      <c r="C82" s="5" t="s">
        <v>769</v>
      </c>
      <c r="D82" t="b">
        <f t="shared" si="2"/>
        <v>1</v>
      </c>
    </row>
    <row r="83" spans="1:4" x14ac:dyDescent="0.25">
      <c r="A83" t="s">
        <v>22</v>
      </c>
      <c r="B83" s="5" t="s">
        <v>986</v>
      </c>
      <c r="C83" s="5" t="s">
        <v>72</v>
      </c>
      <c r="D83" t="b">
        <f>B83&lt;&gt;C83</f>
        <v>1</v>
      </c>
    </row>
    <row r="84" spans="1:4" x14ac:dyDescent="0.25">
      <c r="A84" t="s">
        <v>22</v>
      </c>
      <c r="B84" s="5" t="s">
        <v>977</v>
      </c>
      <c r="C84" s="5" t="s">
        <v>977</v>
      </c>
      <c r="D84" t="b">
        <f t="shared" si="2"/>
        <v>0</v>
      </c>
    </row>
    <row r="85" spans="1:4" x14ac:dyDescent="0.25">
      <c r="A85" t="s">
        <v>22</v>
      </c>
      <c r="B85" s="5" t="s">
        <v>1975</v>
      </c>
      <c r="C85" s="5" t="s">
        <v>1975</v>
      </c>
      <c r="D85" t="b">
        <f t="shared" si="2"/>
        <v>0</v>
      </c>
    </row>
    <row r="86" spans="1:4" x14ac:dyDescent="0.25">
      <c r="A86" t="s">
        <v>22</v>
      </c>
      <c r="B86" s="5" t="s">
        <v>134</v>
      </c>
      <c r="C86" s="5" t="s">
        <v>134</v>
      </c>
      <c r="D86" t="b">
        <f t="shared" si="2"/>
        <v>0</v>
      </c>
    </row>
    <row r="87" spans="1:4" x14ac:dyDescent="0.25">
      <c r="A87" t="s">
        <v>22</v>
      </c>
      <c r="B87" s="5" t="s">
        <v>978</v>
      </c>
      <c r="C87" s="5" t="s">
        <v>978</v>
      </c>
      <c r="D87" t="b">
        <f t="shared" si="2"/>
        <v>0</v>
      </c>
    </row>
    <row r="88" spans="1:4" x14ac:dyDescent="0.25">
      <c r="A88" t="s">
        <v>22</v>
      </c>
      <c r="B88" s="5" t="s">
        <v>71</v>
      </c>
      <c r="C88" s="5" t="s">
        <v>71</v>
      </c>
      <c r="D88" t="b">
        <f t="shared" si="2"/>
        <v>0</v>
      </c>
    </row>
    <row r="89" spans="1:4" x14ac:dyDescent="0.25">
      <c r="A89" t="s">
        <v>22</v>
      </c>
      <c r="B89" s="5" t="s">
        <v>979</v>
      </c>
      <c r="C89" s="5" t="s">
        <v>979</v>
      </c>
      <c r="D89" t="b">
        <f t="shared" si="2"/>
        <v>0</v>
      </c>
    </row>
    <row r="90" spans="1:4" x14ac:dyDescent="0.25">
      <c r="A90" t="s">
        <v>22</v>
      </c>
      <c r="B90" s="5" t="s">
        <v>980</v>
      </c>
      <c r="C90" s="5" t="s">
        <v>1341</v>
      </c>
      <c r="D90" t="b">
        <f t="shared" si="2"/>
        <v>1</v>
      </c>
    </row>
    <row r="91" spans="1:4" x14ac:dyDescent="0.25">
      <c r="A91" t="s">
        <v>22</v>
      </c>
      <c r="B91" s="5" t="s">
        <v>985</v>
      </c>
      <c r="C91" s="5" t="s">
        <v>2224</v>
      </c>
      <c r="D91" t="b">
        <f>B91&lt;&gt;C91</f>
        <v>1</v>
      </c>
    </row>
    <row r="92" spans="1:4" x14ac:dyDescent="0.25">
      <c r="A92" t="s">
        <v>22</v>
      </c>
      <c r="B92" s="5" t="s">
        <v>68</v>
      </c>
      <c r="C92" s="5" t="s">
        <v>68</v>
      </c>
      <c r="D92" t="b">
        <f t="shared" si="2"/>
        <v>0</v>
      </c>
    </row>
    <row r="93" spans="1:4" x14ac:dyDescent="0.25">
      <c r="A93" t="s">
        <v>0</v>
      </c>
      <c r="B93" s="5" t="s">
        <v>981</v>
      </c>
      <c r="C93" s="5" t="s">
        <v>981</v>
      </c>
      <c r="D93" t="b">
        <f t="shared" si="2"/>
        <v>0</v>
      </c>
    </row>
    <row r="94" spans="1:4" x14ac:dyDescent="0.25">
      <c r="A94" t="s">
        <v>0</v>
      </c>
      <c r="B94" s="5" t="s">
        <v>984</v>
      </c>
      <c r="C94" s="5" t="s">
        <v>1983</v>
      </c>
      <c r="D94" t="b">
        <f t="shared" si="2"/>
        <v>1</v>
      </c>
    </row>
    <row r="95" spans="1:4" x14ac:dyDescent="0.25">
      <c r="A95" t="s">
        <v>0</v>
      </c>
      <c r="B95" s="5" t="s">
        <v>982</v>
      </c>
      <c r="C95" s="5" t="s">
        <v>1339</v>
      </c>
      <c r="D95" t="b">
        <f t="shared" si="2"/>
        <v>1</v>
      </c>
    </row>
    <row r="96" spans="1:4" x14ac:dyDescent="0.25">
      <c r="A96" t="s">
        <v>0</v>
      </c>
      <c r="B96" s="5" t="s">
        <v>983</v>
      </c>
      <c r="C96" s="5" t="s">
        <v>983</v>
      </c>
      <c r="D96" t="b">
        <f t="shared" si="2"/>
        <v>0</v>
      </c>
    </row>
    <row r="97" spans="1:4" x14ac:dyDescent="0.25">
      <c r="A97" t="s">
        <v>0</v>
      </c>
      <c r="B97" s="5" t="s">
        <v>1974</v>
      </c>
      <c r="C97" s="5" t="s">
        <v>1974</v>
      </c>
      <c r="D97" t="b">
        <f t="shared" si="2"/>
        <v>0</v>
      </c>
    </row>
    <row r="98" spans="1:4" x14ac:dyDescent="0.25">
      <c r="A98" t="s">
        <v>952</v>
      </c>
      <c r="B98" s="5" t="s">
        <v>988</v>
      </c>
      <c r="C98" s="5" t="s">
        <v>988</v>
      </c>
      <c r="D98" t="b">
        <f t="shared" si="2"/>
        <v>0</v>
      </c>
    </row>
    <row r="99" spans="1:4" x14ac:dyDescent="0.25">
      <c r="A99" t="s">
        <v>952</v>
      </c>
      <c r="B99" s="5" t="s">
        <v>989</v>
      </c>
      <c r="C99" s="5" t="s">
        <v>989</v>
      </c>
      <c r="D99" t="b">
        <f t="shared" si="2"/>
        <v>0</v>
      </c>
    </row>
    <row r="100" spans="1:4" x14ac:dyDescent="0.25">
      <c r="A100" t="s">
        <v>952</v>
      </c>
      <c r="B100" s="5" t="s">
        <v>990</v>
      </c>
      <c r="C100" s="5" t="s">
        <v>990</v>
      </c>
      <c r="D100" t="b">
        <f t="shared" si="2"/>
        <v>0</v>
      </c>
    </row>
    <row r="101" spans="1:4" x14ac:dyDescent="0.25">
      <c r="A101" t="s">
        <v>952</v>
      </c>
      <c r="B101" s="5" t="s">
        <v>991</v>
      </c>
      <c r="C101" s="5" t="s">
        <v>991</v>
      </c>
      <c r="D101" t="b">
        <f t="shared" si="2"/>
        <v>0</v>
      </c>
    </row>
    <row r="102" spans="1:4" x14ac:dyDescent="0.25">
      <c r="A102" t="s">
        <v>952</v>
      </c>
      <c r="B102" s="5" t="s">
        <v>992</v>
      </c>
      <c r="C102" s="5" t="s">
        <v>992</v>
      </c>
      <c r="D102" t="b">
        <f t="shared" si="2"/>
        <v>0</v>
      </c>
    </row>
  </sheetData>
  <mergeCells count="1">
    <mergeCell ref="A1:G1"/>
  </mergeCells>
  <pageMargins left="0.511811024" right="0.511811024" top="0.78740157499999996" bottom="0.78740157499999996" header="0.31496062000000002" footer="0.3149606200000000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notContainsText" priority="1" operator="notContains" id="{CA453437-F723-4AAA-8153-CCFE5A64D46E}">
            <xm:f>ISERROR(SEARCH(C3,B3))</xm:f>
            <xm:f>C3</xm:f>
            <x14:dxf>
              <fill>
                <patternFill>
                  <bgColor theme="5" tint="0.39994506668294322"/>
                </patternFill>
              </fill>
            </x14:dxf>
          </x14:cfRule>
          <xm:sqref>B3:B102</xm:sqref>
        </x14:conditionalFormatting>
      </x14:conditionalFormatting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08ED5-AC05-4B8F-8403-9806AB6A6B77}">
  <sheetPr codeName="Planilha13"/>
  <dimension ref="A1:G102"/>
  <sheetViews>
    <sheetView topLeftCell="A57" workbookViewId="0">
      <selection activeCell="B74" sqref="B74"/>
    </sheetView>
  </sheetViews>
  <sheetFormatPr defaultRowHeight="15" x14ac:dyDescent="0.25"/>
  <cols>
    <col min="1" max="1" width="11.85546875" style="5" customWidth="1"/>
    <col min="2" max="3" width="38.7109375" customWidth="1"/>
    <col min="4" max="4" width="10.28515625" hidden="1" customWidth="1"/>
    <col min="5" max="5" width="4.28515625" customWidth="1"/>
    <col min="6" max="6" width="22.7109375" style="3" customWidth="1"/>
    <col min="7" max="7" width="9.140625" bestFit="1" customWidth="1"/>
  </cols>
  <sheetData>
    <row r="1" spans="1:7" ht="21" x14ac:dyDescent="0.25">
      <c r="A1" s="12" t="s">
        <v>449</v>
      </c>
      <c r="B1" s="12"/>
      <c r="C1" s="12"/>
      <c r="D1" s="12"/>
      <c r="E1" s="12"/>
      <c r="F1" s="12"/>
      <c r="G1" s="12"/>
    </row>
    <row r="2" spans="1:7" x14ac:dyDescent="0.25">
      <c r="A2" s="4" t="s">
        <v>11</v>
      </c>
      <c r="B2" s="4" t="s">
        <v>12</v>
      </c>
      <c r="C2" s="4" t="s">
        <v>13</v>
      </c>
      <c r="D2" s="4" t="s">
        <v>14</v>
      </c>
      <c r="F2" s="4" t="s">
        <v>16</v>
      </c>
      <c r="G2" s="3">
        <f>COUNTIF(D:D,"Verdadeiro")</f>
        <v>3</v>
      </c>
    </row>
    <row r="3" spans="1:7" x14ac:dyDescent="0.25">
      <c r="A3" s="9" t="s">
        <v>1539</v>
      </c>
      <c r="B3" s="5" t="s">
        <v>1562</v>
      </c>
      <c r="C3" s="5" t="s">
        <v>1562</v>
      </c>
      <c r="D3" t="b">
        <f>B3&lt;&gt;C3</f>
        <v>0</v>
      </c>
      <c r="F3" s="4" t="s">
        <v>17</v>
      </c>
      <c r="G3" s="10">
        <f>SUM(G5:G29)</f>
        <v>100</v>
      </c>
    </row>
    <row r="4" spans="1:7" x14ac:dyDescent="0.25">
      <c r="A4" t="s">
        <v>15</v>
      </c>
      <c r="B4" s="5" t="s">
        <v>282</v>
      </c>
      <c r="C4" t="s">
        <v>282</v>
      </c>
      <c r="D4" t="b">
        <f>B4&lt;&gt;C4</f>
        <v>0</v>
      </c>
    </row>
    <row r="5" spans="1:7" x14ac:dyDescent="0.25">
      <c r="A5" t="s">
        <v>15</v>
      </c>
      <c r="B5" s="5" t="s">
        <v>450</v>
      </c>
      <c r="C5" t="s">
        <v>450</v>
      </c>
      <c r="D5" t="b">
        <f t="shared" ref="D5:D68" si="0">B5&lt;&gt;C5</f>
        <v>0</v>
      </c>
      <c r="F5" s="6" t="s">
        <v>19</v>
      </c>
      <c r="G5" s="1"/>
    </row>
    <row r="6" spans="1:7" x14ac:dyDescent="0.25">
      <c r="A6" t="s">
        <v>15</v>
      </c>
      <c r="B6" s="5" t="s">
        <v>280</v>
      </c>
      <c r="C6" t="s">
        <v>280</v>
      </c>
      <c r="D6" t="b">
        <f t="shared" si="0"/>
        <v>0</v>
      </c>
      <c r="F6" s="7" t="s">
        <v>1539</v>
      </c>
      <c r="G6" s="2">
        <f t="shared" ref="G6:G14" si="1">COUNTIF(A:A,F6)</f>
        <v>1</v>
      </c>
    </row>
    <row r="7" spans="1:7" x14ac:dyDescent="0.25">
      <c r="A7" t="s">
        <v>15</v>
      </c>
      <c r="B7" s="5" t="s">
        <v>281</v>
      </c>
      <c r="C7" t="s">
        <v>281</v>
      </c>
      <c r="D7" t="b">
        <f t="shared" si="0"/>
        <v>0</v>
      </c>
      <c r="F7" s="3" t="s">
        <v>15</v>
      </c>
      <c r="G7" s="2">
        <f t="shared" si="1"/>
        <v>35</v>
      </c>
    </row>
    <row r="8" spans="1:7" x14ac:dyDescent="0.25">
      <c r="A8" t="s">
        <v>15</v>
      </c>
      <c r="B8" s="5" t="s">
        <v>284</v>
      </c>
      <c r="C8" t="s">
        <v>284</v>
      </c>
      <c r="D8" t="b">
        <f t="shared" si="0"/>
        <v>0</v>
      </c>
      <c r="F8" s="7" t="s">
        <v>21</v>
      </c>
      <c r="G8" s="2">
        <f t="shared" si="1"/>
        <v>12</v>
      </c>
    </row>
    <row r="9" spans="1:7" x14ac:dyDescent="0.25">
      <c r="A9" t="s">
        <v>15</v>
      </c>
      <c r="B9" s="5" t="s">
        <v>451</v>
      </c>
      <c r="C9" t="s">
        <v>451</v>
      </c>
      <c r="D9" t="b">
        <f t="shared" si="0"/>
        <v>0</v>
      </c>
      <c r="F9" s="7" t="s">
        <v>22</v>
      </c>
      <c r="G9" s="2">
        <f t="shared" si="1"/>
        <v>11</v>
      </c>
    </row>
    <row r="10" spans="1:7" x14ac:dyDescent="0.25">
      <c r="A10" t="s">
        <v>15</v>
      </c>
      <c r="B10" s="5" t="s">
        <v>299</v>
      </c>
      <c r="C10" t="s">
        <v>299</v>
      </c>
      <c r="D10" t="b">
        <f t="shared" si="0"/>
        <v>0</v>
      </c>
      <c r="F10" s="7" t="s">
        <v>453</v>
      </c>
      <c r="G10" s="2">
        <f t="shared" si="1"/>
        <v>22</v>
      </c>
    </row>
    <row r="11" spans="1:7" x14ac:dyDescent="0.25">
      <c r="A11" t="s">
        <v>15</v>
      </c>
      <c r="B11" s="5" t="s">
        <v>452</v>
      </c>
      <c r="C11" t="s">
        <v>452</v>
      </c>
      <c r="D11" t="b">
        <f t="shared" si="0"/>
        <v>0</v>
      </c>
      <c r="F11" s="7" t="s">
        <v>23</v>
      </c>
      <c r="G11" s="2">
        <f t="shared" si="1"/>
        <v>5</v>
      </c>
    </row>
    <row r="12" spans="1:7" x14ac:dyDescent="0.25">
      <c r="A12" t="s">
        <v>15</v>
      </c>
      <c r="B12" s="5" t="s">
        <v>454</v>
      </c>
      <c r="C12" t="s">
        <v>455</v>
      </c>
      <c r="D12" t="b">
        <f t="shared" si="0"/>
        <v>1</v>
      </c>
      <c r="F12" s="7" t="s">
        <v>288</v>
      </c>
      <c r="G12" s="2">
        <f t="shared" si="1"/>
        <v>8</v>
      </c>
    </row>
    <row r="13" spans="1:7" x14ac:dyDescent="0.25">
      <c r="A13" t="s">
        <v>15</v>
      </c>
      <c r="B13" s="5" t="s">
        <v>456</v>
      </c>
      <c r="C13" t="s">
        <v>456</v>
      </c>
      <c r="D13" t="b">
        <f t="shared" si="0"/>
        <v>0</v>
      </c>
      <c r="F13" s="7" t="s">
        <v>28</v>
      </c>
      <c r="G13" s="2">
        <f t="shared" si="1"/>
        <v>6</v>
      </c>
    </row>
    <row r="14" spans="1:7" x14ac:dyDescent="0.25">
      <c r="A14" t="s">
        <v>15</v>
      </c>
      <c r="B14" s="5" t="s">
        <v>457</v>
      </c>
      <c r="C14" t="s">
        <v>457</v>
      </c>
      <c r="D14" t="b">
        <f t="shared" si="0"/>
        <v>0</v>
      </c>
      <c r="F14" s="7" t="s">
        <v>459</v>
      </c>
      <c r="G14" s="2">
        <f t="shared" si="1"/>
        <v>0</v>
      </c>
    </row>
    <row r="15" spans="1:7" x14ac:dyDescent="0.25">
      <c r="A15" t="s">
        <v>15</v>
      </c>
      <c r="B15" s="5" t="s">
        <v>458</v>
      </c>
      <c r="C15" t="s">
        <v>458</v>
      </c>
      <c r="D15" t="b">
        <f t="shared" si="0"/>
        <v>0</v>
      </c>
    </row>
    <row r="16" spans="1:7" x14ac:dyDescent="0.25">
      <c r="A16" t="s">
        <v>15</v>
      </c>
      <c r="B16" s="5" t="s">
        <v>460</v>
      </c>
      <c r="C16" t="s">
        <v>460</v>
      </c>
      <c r="D16" t="b">
        <f t="shared" si="0"/>
        <v>0</v>
      </c>
    </row>
    <row r="17" spans="1:7" x14ac:dyDescent="0.25">
      <c r="A17" t="s">
        <v>15</v>
      </c>
      <c r="B17" s="5" t="s">
        <v>461</v>
      </c>
      <c r="C17" t="s">
        <v>461</v>
      </c>
      <c r="D17" t="b">
        <f t="shared" si="0"/>
        <v>0</v>
      </c>
      <c r="F17" s="4"/>
      <c r="G17" s="2"/>
    </row>
    <row r="18" spans="1:7" x14ac:dyDescent="0.25">
      <c r="A18" t="s">
        <v>15</v>
      </c>
      <c r="B18" s="5" t="s">
        <v>462</v>
      </c>
      <c r="C18" t="s">
        <v>462</v>
      </c>
      <c r="D18" t="b">
        <f t="shared" si="0"/>
        <v>0</v>
      </c>
      <c r="F18" s="4"/>
      <c r="G18" s="2"/>
    </row>
    <row r="19" spans="1:7" x14ac:dyDescent="0.25">
      <c r="A19" t="s">
        <v>15</v>
      </c>
      <c r="B19" s="5" t="s">
        <v>45</v>
      </c>
      <c r="C19" t="s">
        <v>45</v>
      </c>
      <c r="D19" t="b">
        <f t="shared" si="0"/>
        <v>0</v>
      </c>
    </row>
    <row r="20" spans="1:7" x14ac:dyDescent="0.25">
      <c r="A20" t="s">
        <v>15</v>
      </c>
      <c r="B20" s="5" t="s">
        <v>43</v>
      </c>
      <c r="C20" t="s">
        <v>43</v>
      </c>
      <c r="D20" t="b">
        <f t="shared" si="0"/>
        <v>0</v>
      </c>
    </row>
    <row r="21" spans="1:7" x14ac:dyDescent="0.25">
      <c r="A21" t="s">
        <v>15</v>
      </c>
      <c r="B21" s="5" t="s">
        <v>20</v>
      </c>
      <c r="C21" t="s">
        <v>20</v>
      </c>
      <c r="D21" t="b">
        <f t="shared" si="0"/>
        <v>0</v>
      </c>
    </row>
    <row r="22" spans="1:7" x14ac:dyDescent="0.25">
      <c r="A22" t="s">
        <v>15</v>
      </c>
      <c r="B22" s="5" t="s">
        <v>463</v>
      </c>
      <c r="C22" t="s">
        <v>463</v>
      </c>
      <c r="D22" t="b">
        <f t="shared" si="0"/>
        <v>0</v>
      </c>
    </row>
    <row r="23" spans="1:7" x14ac:dyDescent="0.25">
      <c r="A23" t="s">
        <v>15</v>
      </c>
      <c r="B23" s="5" t="s">
        <v>298</v>
      </c>
      <c r="C23" t="s">
        <v>298</v>
      </c>
      <c r="D23" t="b">
        <f t="shared" si="0"/>
        <v>0</v>
      </c>
    </row>
    <row r="24" spans="1:7" x14ac:dyDescent="0.25">
      <c r="A24" t="s">
        <v>15</v>
      </c>
      <c r="B24" s="5" t="s">
        <v>396</v>
      </c>
      <c r="C24" t="s">
        <v>396</v>
      </c>
      <c r="D24" t="b">
        <f t="shared" si="0"/>
        <v>0</v>
      </c>
    </row>
    <row r="25" spans="1:7" x14ac:dyDescent="0.25">
      <c r="A25" t="s">
        <v>15</v>
      </c>
      <c r="B25" s="5" t="s">
        <v>166</v>
      </c>
      <c r="C25" t="s">
        <v>166</v>
      </c>
      <c r="D25" t="b">
        <f t="shared" si="0"/>
        <v>0</v>
      </c>
    </row>
    <row r="26" spans="1:7" x14ac:dyDescent="0.25">
      <c r="A26" t="s">
        <v>15</v>
      </c>
      <c r="B26" s="5" t="s">
        <v>167</v>
      </c>
      <c r="C26" t="s">
        <v>167</v>
      </c>
      <c r="D26" t="b">
        <f t="shared" si="0"/>
        <v>0</v>
      </c>
    </row>
    <row r="27" spans="1:7" x14ac:dyDescent="0.25">
      <c r="A27" t="s">
        <v>15</v>
      </c>
      <c r="B27" s="5" t="s">
        <v>165</v>
      </c>
      <c r="C27" t="s">
        <v>165</v>
      </c>
      <c r="D27" t="b">
        <f t="shared" si="0"/>
        <v>0</v>
      </c>
    </row>
    <row r="28" spans="1:7" x14ac:dyDescent="0.25">
      <c r="A28" t="s">
        <v>15</v>
      </c>
      <c r="B28" s="5" t="s">
        <v>235</v>
      </c>
      <c r="C28" t="s">
        <v>235</v>
      </c>
      <c r="D28" t="b">
        <f t="shared" si="0"/>
        <v>0</v>
      </c>
    </row>
    <row r="29" spans="1:7" x14ac:dyDescent="0.25">
      <c r="A29" t="s">
        <v>15</v>
      </c>
      <c r="B29" s="5" t="s">
        <v>464</v>
      </c>
      <c r="C29" t="s">
        <v>464</v>
      </c>
      <c r="D29" t="b">
        <f t="shared" si="0"/>
        <v>0</v>
      </c>
    </row>
    <row r="30" spans="1:7" x14ac:dyDescent="0.25">
      <c r="A30" t="s">
        <v>15</v>
      </c>
      <c r="B30" s="5" t="s">
        <v>465</v>
      </c>
      <c r="C30" t="s">
        <v>465</v>
      </c>
      <c r="D30" t="b">
        <f t="shared" si="0"/>
        <v>0</v>
      </c>
    </row>
    <row r="31" spans="1:7" x14ac:dyDescent="0.25">
      <c r="A31" t="s">
        <v>15</v>
      </c>
      <c r="B31" s="5" t="s">
        <v>34</v>
      </c>
      <c r="C31" t="s">
        <v>34</v>
      </c>
      <c r="D31" t="b">
        <f t="shared" si="0"/>
        <v>0</v>
      </c>
    </row>
    <row r="32" spans="1:7" x14ac:dyDescent="0.25">
      <c r="A32" t="s">
        <v>15</v>
      </c>
      <c r="B32" s="5" t="s">
        <v>1451</v>
      </c>
      <c r="C32" t="s">
        <v>1451</v>
      </c>
      <c r="D32" t="b">
        <f t="shared" si="0"/>
        <v>0</v>
      </c>
    </row>
    <row r="33" spans="1:4" x14ac:dyDescent="0.25">
      <c r="A33" t="s">
        <v>15</v>
      </c>
      <c r="B33" s="5" t="s">
        <v>172</v>
      </c>
      <c r="C33" t="s">
        <v>172</v>
      </c>
      <c r="D33" t="b">
        <f t="shared" si="0"/>
        <v>0</v>
      </c>
    </row>
    <row r="34" spans="1:4" x14ac:dyDescent="0.25">
      <c r="A34" t="s">
        <v>15</v>
      </c>
      <c r="B34" s="5" t="s">
        <v>172</v>
      </c>
      <c r="C34" t="s">
        <v>172</v>
      </c>
      <c r="D34" t="b">
        <f t="shared" si="0"/>
        <v>0</v>
      </c>
    </row>
    <row r="35" spans="1:4" x14ac:dyDescent="0.25">
      <c r="A35" t="s">
        <v>15</v>
      </c>
      <c r="B35" s="5" t="s">
        <v>60</v>
      </c>
      <c r="C35" t="s">
        <v>60</v>
      </c>
      <c r="D35" t="b">
        <f t="shared" si="0"/>
        <v>0</v>
      </c>
    </row>
    <row r="36" spans="1:4" x14ac:dyDescent="0.25">
      <c r="A36" t="s">
        <v>15</v>
      </c>
      <c r="B36" s="5" t="s">
        <v>60</v>
      </c>
      <c r="C36" t="s">
        <v>60</v>
      </c>
      <c r="D36" t="b">
        <f t="shared" si="0"/>
        <v>0</v>
      </c>
    </row>
    <row r="37" spans="1:4" x14ac:dyDescent="0.25">
      <c r="A37" t="s">
        <v>15</v>
      </c>
      <c r="B37" s="5" t="s">
        <v>122</v>
      </c>
      <c r="C37" t="s">
        <v>122</v>
      </c>
      <c r="D37" t="b">
        <f t="shared" si="0"/>
        <v>0</v>
      </c>
    </row>
    <row r="38" spans="1:4" x14ac:dyDescent="0.25">
      <c r="A38" t="s">
        <v>15</v>
      </c>
      <c r="B38" s="5" t="s">
        <v>61</v>
      </c>
      <c r="C38" t="s">
        <v>61</v>
      </c>
      <c r="D38" t="b">
        <f t="shared" si="0"/>
        <v>0</v>
      </c>
    </row>
    <row r="39" spans="1:4" x14ac:dyDescent="0.25">
      <c r="A39" t="s">
        <v>21</v>
      </c>
      <c r="B39" s="5" t="s">
        <v>173</v>
      </c>
      <c r="C39" t="s">
        <v>173</v>
      </c>
      <c r="D39" t="b">
        <f t="shared" si="0"/>
        <v>0</v>
      </c>
    </row>
    <row r="40" spans="1:4" x14ac:dyDescent="0.25">
      <c r="A40" t="s">
        <v>21</v>
      </c>
      <c r="B40" s="5" t="s">
        <v>174</v>
      </c>
      <c r="C40" t="s">
        <v>174</v>
      </c>
      <c r="D40" t="b">
        <f t="shared" si="0"/>
        <v>0</v>
      </c>
    </row>
    <row r="41" spans="1:4" x14ac:dyDescent="0.25">
      <c r="A41" t="s">
        <v>21</v>
      </c>
      <c r="B41" s="5" t="s">
        <v>176</v>
      </c>
      <c r="C41" s="8" t="s">
        <v>176</v>
      </c>
      <c r="D41" t="b">
        <f t="shared" si="0"/>
        <v>0</v>
      </c>
    </row>
    <row r="42" spans="1:4" x14ac:dyDescent="0.25">
      <c r="A42" t="s">
        <v>21</v>
      </c>
      <c r="B42" s="5" t="s">
        <v>175</v>
      </c>
      <c r="C42" t="s">
        <v>175</v>
      </c>
      <c r="D42" t="b">
        <f t="shared" si="0"/>
        <v>0</v>
      </c>
    </row>
    <row r="43" spans="1:4" x14ac:dyDescent="0.25">
      <c r="A43" t="s">
        <v>21</v>
      </c>
      <c r="B43" s="5" t="s">
        <v>177</v>
      </c>
      <c r="C43" t="s">
        <v>177</v>
      </c>
      <c r="D43" t="b">
        <f t="shared" si="0"/>
        <v>0</v>
      </c>
    </row>
    <row r="44" spans="1:4" x14ac:dyDescent="0.25">
      <c r="A44" t="s">
        <v>21</v>
      </c>
      <c r="B44" s="5" t="s">
        <v>466</v>
      </c>
      <c r="C44" t="s">
        <v>466</v>
      </c>
      <c r="D44" t="b">
        <f t="shared" si="0"/>
        <v>0</v>
      </c>
    </row>
    <row r="45" spans="1:4" x14ac:dyDescent="0.25">
      <c r="A45" t="s">
        <v>21</v>
      </c>
      <c r="B45" s="5" t="s">
        <v>126</v>
      </c>
      <c r="C45" t="s">
        <v>126</v>
      </c>
      <c r="D45" t="b">
        <f t="shared" si="0"/>
        <v>0</v>
      </c>
    </row>
    <row r="46" spans="1:4" x14ac:dyDescent="0.25">
      <c r="A46" t="s">
        <v>21</v>
      </c>
      <c r="B46" s="5" t="s">
        <v>467</v>
      </c>
      <c r="C46" t="s">
        <v>467</v>
      </c>
      <c r="D46" t="b">
        <f t="shared" si="0"/>
        <v>0</v>
      </c>
    </row>
    <row r="47" spans="1:4" x14ac:dyDescent="0.25">
      <c r="A47" t="s">
        <v>21</v>
      </c>
      <c r="B47" s="5" t="s">
        <v>304</v>
      </c>
      <c r="C47" t="s">
        <v>304</v>
      </c>
      <c r="D47" t="b">
        <f t="shared" si="0"/>
        <v>0</v>
      </c>
    </row>
    <row r="48" spans="1:4" x14ac:dyDescent="0.25">
      <c r="A48" t="s">
        <v>21</v>
      </c>
      <c r="B48" s="5" t="s">
        <v>468</v>
      </c>
      <c r="C48" t="s">
        <v>468</v>
      </c>
      <c r="D48" t="b">
        <f t="shared" si="0"/>
        <v>0</v>
      </c>
    </row>
    <row r="49" spans="1:4" x14ac:dyDescent="0.25">
      <c r="A49" t="s">
        <v>21</v>
      </c>
      <c r="B49" s="5" t="s">
        <v>178</v>
      </c>
      <c r="C49" t="s">
        <v>178</v>
      </c>
      <c r="D49" t="b">
        <f t="shared" si="0"/>
        <v>0</v>
      </c>
    </row>
    <row r="50" spans="1:4" x14ac:dyDescent="0.25">
      <c r="A50" t="s">
        <v>21</v>
      </c>
      <c r="B50" s="5" t="s">
        <v>470</v>
      </c>
      <c r="C50" t="s">
        <v>470</v>
      </c>
      <c r="D50" t="b">
        <f t="shared" si="0"/>
        <v>0</v>
      </c>
    </row>
    <row r="51" spans="1:4" x14ac:dyDescent="0.25">
      <c r="A51" t="s">
        <v>22</v>
      </c>
      <c r="B51" s="5" t="s">
        <v>471</v>
      </c>
      <c r="C51" t="s">
        <v>471</v>
      </c>
      <c r="D51" t="b">
        <f t="shared" si="0"/>
        <v>0</v>
      </c>
    </row>
    <row r="52" spans="1:4" x14ac:dyDescent="0.25">
      <c r="A52" t="s">
        <v>22</v>
      </c>
      <c r="B52" s="5" t="s">
        <v>472</v>
      </c>
      <c r="C52" t="s">
        <v>472</v>
      </c>
      <c r="D52" t="b">
        <f t="shared" si="0"/>
        <v>0</v>
      </c>
    </row>
    <row r="53" spans="1:4" x14ac:dyDescent="0.25">
      <c r="A53" t="s">
        <v>22</v>
      </c>
      <c r="B53" s="5" t="s">
        <v>473</v>
      </c>
      <c r="C53" t="s">
        <v>473</v>
      </c>
      <c r="D53" t="b">
        <f t="shared" si="0"/>
        <v>0</v>
      </c>
    </row>
    <row r="54" spans="1:4" x14ac:dyDescent="0.25">
      <c r="A54" t="s">
        <v>22</v>
      </c>
      <c r="B54" s="5" t="s">
        <v>1449</v>
      </c>
      <c r="C54" t="s">
        <v>1449</v>
      </c>
      <c r="D54" t="b">
        <f t="shared" si="0"/>
        <v>0</v>
      </c>
    </row>
    <row r="55" spans="1:4" x14ac:dyDescent="0.25">
      <c r="A55" t="s">
        <v>22</v>
      </c>
      <c r="B55" s="5" t="s">
        <v>1944</v>
      </c>
      <c r="C55" t="s">
        <v>1944</v>
      </c>
      <c r="D55" t="b">
        <f t="shared" si="0"/>
        <v>0</v>
      </c>
    </row>
    <row r="56" spans="1:4" x14ac:dyDescent="0.25">
      <c r="A56" t="s">
        <v>22</v>
      </c>
      <c r="B56" s="5" t="s">
        <v>1933</v>
      </c>
      <c r="C56" t="s">
        <v>1933</v>
      </c>
      <c r="D56" t="b">
        <f t="shared" si="0"/>
        <v>0</v>
      </c>
    </row>
    <row r="57" spans="1:4" x14ac:dyDescent="0.25">
      <c r="A57" t="s">
        <v>22</v>
      </c>
      <c r="B57" s="5" t="s">
        <v>1328</v>
      </c>
      <c r="C57" t="s">
        <v>1328</v>
      </c>
      <c r="D57" t="b">
        <f t="shared" si="0"/>
        <v>0</v>
      </c>
    </row>
    <row r="58" spans="1:4" x14ac:dyDescent="0.25">
      <c r="A58" t="s">
        <v>22</v>
      </c>
      <c r="B58" s="5" t="s">
        <v>476</v>
      </c>
      <c r="C58" t="s">
        <v>476</v>
      </c>
      <c r="D58" t="b">
        <f t="shared" si="0"/>
        <v>0</v>
      </c>
    </row>
    <row r="59" spans="1:4" x14ac:dyDescent="0.25">
      <c r="A59" t="s">
        <v>22</v>
      </c>
      <c r="B59" s="5" t="s">
        <v>477</v>
      </c>
      <c r="C59" t="s">
        <v>477</v>
      </c>
      <c r="D59" t="b">
        <f t="shared" si="0"/>
        <v>0</v>
      </c>
    </row>
    <row r="60" spans="1:4" x14ac:dyDescent="0.25">
      <c r="A60" t="s">
        <v>22</v>
      </c>
      <c r="B60" s="5" t="s">
        <v>1333</v>
      </c>
      <c r="C60" t="s">
        <v>1333</v>
      </c>
      <c r="D60" t="b">
        <f t="shared" si="0"/>
        <v>0</v>
      </c>
    </row>
    <row r="61" spans="1:4" x14ac:dyDescent="0.25">
      <c r="A61" t="s">
        <v>22</v>
      </c>
      <c r="B61" s="5" t="s">
        <v>478</v>
      </c>
      <c r="C61" t="s">
        <v>478</v>
      </c>
      <c r="D61" t="b">
        <f t="shared" si="0"/>
        <v>0</v>
      </c>
    </row>
    <row r="62" spans="1:4" x14ac:dyDescent="0.25">
      <c r="A62" t="s">
        <v>453</v>
      </c>
      <c r="B62" s="5" t="s">
        <v>1445</v>
      </c>
      <c r="C62" t="s">
        <v>1224</v>
      </c>
      <c r="D62" t="b">
        <f t="shared" si="0"/>
        <v>1</v>
      </c>
    </row>
    <row r="63" spans="1:4" x14ac:dyDescent="0.25">
      <c r="A63" t="s">
        <v>453</v>
      </c>
      <c r="B63" s="5" t="s">
        <v>1331</v>
      </c>
      <c r="C63" t="s">
        <v>1331</v>
      </c>
      <c r="D63" t="b">
        <f t="shared" si="0"/>
        <v>0</v>
      </c>
    </row>
    <row r="64" spans="1:4" x14ac:dyDescent="0.25">
      <c r="A64" t="s">
        <v>453</v>
      </c>
      <c r="B64" s="5" t="s">
        <v>1861</v>
      </c>
      <c r="C64" t="s">
        <v>1861</v>
      </c>
      <c r="D64" t="b">
        <f t="shared" si="0"/>
        <v>0</v>
      </c>
    </row>
    <row r="65" spans="1:4" x14ac:dyDescent="0.25">
      <c r="A65" t="s">
        <v>453</v>
      </c>
      <c r="B65" s="5" t="s">
        <v>1329</v>
      </c>
      <c r="C65" t="s">
        <v>1329</v>
      </c>
      <c r="D65" t="b">
        <f t="shared" si="0"/>
        <v>0</v>
      </c>
    </row>
    <row r="66" spans="1:4" x14ac:dyDescent="0.25">
      <c r="A66" t="s">
        <v>453</v>
      </c>
      <c r="B66" s="5" t="s">
        <v>1862</v>
      </c>
      <c r="C66" t="s">
        <v>1862</v>
      </c>
      <c r="D66" t="b">
        <f t="shared" si="0"/>
        <v>0</v>
      </c>
    </row>
    <row r="67" spans="1:4" x14ac:dyDescent="0.25">
      <c r="A67" t="s">
        <v>453</v>
      </c>
      <c r="B67" s="5" t="s">
        <v>480</v>
      </c>
      <c r="C67" t="s">
        <v>480</v>
      </c>
      <c r="D67" t="b">
        <f t="shared" si="0"/>
        <v>0</v>
      </c>
    </row>
    <row r="68" spans="1:4" x14ac:dyDescent="0.25">
      <c r="A68" t="s">
        <v>453</v>
      </c>
      <c r="B68" s="5" t="s">
        <v>1864</v>
      </c>
      <c r="C68" t="s">
        <v>1864</v>
      </c>
      <c r="D68" t="b">
        <f t="shared" si="0"/>
        <v>0</v>
      </c>
    </row>
    <row r="69" spans="1:4" x14ac:dyDescent="0.25">
      <c r="A69" t="s">
        <v>453</v>
      </c>
      <c r="B69" s="5" t="s">
        <v>481</v>
      </c>
      <c r="C69" t="s">
        <v>481</v>
      </c>
      <c r="D69" t="b">
        <f t="shared" ref="D69:D102" si="2">B69&lt;&gt;C69</f>
        <v>0</v>
      </c>
    </row>
    <row r="70" spans="1:4" x14ac:dyDescent="0.25">
      <c r="A70" t="s">
        <v>453</v>
      </c>
      <c r="B70" s="5" t="s">
        <v>1863</v>
      </c>
      <c r="C70" t="s">
        <v>1863</v>
      </c>
      <c r="D70" t="b">
        <f t="shared" si="2"/>
        <v>0</v>
      </c>
    </row>
    <row r="71" spans="1:4" x14ac:dyDescent="0.25">
      <c r="A71" t="s">
        <v>453</v>
      </c>
      <c r="B71" s="5" t="s">
        <v>1236</v>
      </c>
      <c r="C71" t="s">
        <v>1236</v>
      </c>
      <c r="D71" t="b">
        <f t="shared" si="2"/>
        <v>0</v>
      </c>
    </row>
    <row r="72" spans="1:4" x14ac:dyDescent="0.25">
      <c r="A72" t="s">
        <v>453</v>
      </c>
      <c r="B72" s="5" t="s">
        <v>1330</v>
      </c>
      <c r="C72" t="s">
        <v>1330</v>
      </c>
      <c r="D72" t="b">
        <f t="shared" si="2"/>
        <v>0</v>
      </c>
    </row>
    <row r="73" spans="1:4" x14ac:dyDescent="0.25">
      <c r="A73" t="s">
        <v>453</v>
      </c>
      <c r="B73" s="5" t="s">
        <v>483</v>
      </c>
      <c r="C73" t="s">
        <v>483</v>
      </c>
      <c r="D73" t="b">
        <f t="shared" si="2"/>
        <v>0</v>
      </c>
    </row>
    <row r="74" spans="1:4" x14ac:dyDescent="0.25">
      <c r="A74" t="s">
        <v>453</v>
      </c>
      <c r="B74" s="5" t="s">
        <v>85</v>
      </c>
      <c r="C74" t="s">
        <v>85</v>
      </c>
      <c r="D74" t="b">
        <f t="shared" si="2"/>
        <v>0</v>
      </c>
    </row>
    <row r="75" spans="1:4" x14ac:dyDescent="0.25">
      <c r="A75" t="s">
        <v>453</v>
      </c>
      <c r="B75" s="5" t="s">
        <v>484</v>
      </c>
      <c r="C75" t="s">
        <v>484</v>
      </c>
      <c r="D75" t="b">
        <f t="shared" si="2"/>
        <v>0</v>
      </c>
    </row>
    <row r="76" spans="1:4" x14ac:dyDescent="0.25">
      <c r="A76" t="s">
        <v>453</v>
      </c>
      <c r="B76" s="5" t="s">
        <v>485</v>
      </c>
      <c r="C76" t="s">
        <v>485</v>
      </c>
      <c r="D76" t="b">
        <f t="shared" si="2"/>
        <v>0</v>
      </c>
    </row>
    <row r="77" spans="1:4" x14ac:dyDescent="0.25">
      <c r="A77" t="s">
        <v>453</v>
      </c>
      <c r="B77" s="5" t="s">
        <v>486</v>
      </c>
      <c r="C77" t="s">
        <v>486</v>
      </c>
      <c r="D77" t="b">
        <f t="shared" si="2"/>
        <v>0</v>
      </c>
    </row>
    <row r="78" spans="1:4" x14ac:dyDescent="0.25">
      <c r="A78" t="s">
        <v>453</v>
      </c>
      <c r="B78" s="5" t="s">
        <v>487</v>
      </c>
      <c r="C78" t="s">
        <v>487</v>
      </c>
      <c r="D78" t="b">
        <f t="shared" si="2"/>
        <v>0</v>
      </c>
    </row>
    <row r="79" spans="1:4" x14ac:dyDescent="0.25">
      <c r="A79" t="s">
        <v>453</v>
      </c>
      <c r="B79" s="5" t="s">
        <v>1332</v>
      </c>
      <c r="C79" t="s">
        <v>1332</v>
      </c>
      <c r="D79" t="b">
        <f t="shared" si="2"/>
        <v>0</v>
      </c>
    </row>
    <row r="80" spans="1:4" x14ac:dyDescent="0.25">
      <c r="A80" t="s">
        <v>453</v>
      </c>
      <c r="B80" s="5" t="s">
        <v>488</v>
      </c>
      <c r="C80" t="s">
        <v>488</v>
      </c>
      <c r="D80" t="b">
        <f t="shared" si="2"/>
        <v>0</v>
      </c>
    </row>
    <row r="81" spans="1:4" x14ac:dyDescent="0.25">
      <c r="A81" t="s">
        <v>453</v>
      </c>
      <c r="B81" s="5" t="s">
        <v>1452</v>
      </c>
      <c r="C81" t="s">
        <v>1452</v>
      </c>
      <c r="D81" t="b">
        <f t="shared" si="2"/>
        <v>0</v>
      </c>
    </row>
    <row r="82" spans="1:4" x14ac:dyDescent="0.25">
      <c r="A82" s="5" t="s">
        <v>453</v>
      </c>
      <c r="B82" s="5" t="s">
        <v>489</v>
      </c>
      <c r="C82" t="s">
        <v>490</v>
      </c>
      <c r="D82" t="b">
        <f t="shared" si="2"/>
        <v>1</v>
      </c>
    </row>
    <row r="83" spans="1:4" x14ac:dyDescent="0.25">
      <c r="A83" t="s">
        <v>453</v>
      </c>
      <c r="B83" s="5" t="s">
        <v>1867</v>
      </c>
      <c r="C83" t="s">
        <v>1867</v>
      </c>
      <c r="D83" t="b">
        <f t="shared" si="2"/>
        <v>0</v>
      </c>
    </row>
    <row r="84" spans="1:4" x14ac:dyDescent="0.25">
      <c r="A84" t="s">
        <v>23</v>
      </c>
      <c r="B84" s="5" t="s">
        <v>491</v>
      </c>
      <c r="C84" t="s">
        <v>491</v>
      </c>
      <c r="D84" t="b">
        <f t="shared" si="2"/>
        <v>0</v>
      </c>
    </row>
    <row r="85" spans="1:4" x14ac:dyDescent="0.25">
      <c r="A85" t="s">
        <v>23</v>
      </c>
      <c r="B85" s="5" t="s">
        <v>1866</v>
      </c>
      <c r="C85" t="s">
        <v>1866</v>
      </c>
      <c r="D85" t="b">
        <f t="shared" si="2"/>
        <v>0</v>
      </c>
    </row>
    <row r="86" spans="1:4" x14ac:dyDescent="0.25">
      <c r="A86" t="s">
        <v>23</v>
      </c>
      <c r="B86" s="5" t="s">
        <v>492</v>
      </c>
      <c r="C86" t="s">
        <v>492</v>
      </c>
      <c r="D86" t="b">
        <f t="shared" si="2"/>
        <v>0</v>
      </c>
    </row>
    <row r="87" spans="1:4" x14ac:dyDescent="0.25">
      <c r="A87" t="s">
        <v>23</v>
      </c>
      <c r="B87" s="5" t="s">
        <v>312</v>
      </c>
      <c r="C87" t="s">
        <v>312</v>
      </c>
      <c r="D87" t="b">
        <f t="shared" si="2"/>
        <v>0</v>
      </c>
    </row>
    <row r="88" spans="1:4" x14ac:dyDescent="0.25">
      <c r="A88" t="s">
        <v>23</v>
      </c>
      <c r="B88" s="5" t="s">
        <v>1865</v>
      </c>
      <c r="C88" t="s">
        <v>1865</v>
      </c>
      <c r="D88" t="b">
        <f t="shared" si="2"/>
        <v>0</v>
      </c>
    </row>
    <row r="89" spans="1:4" x14ac:dyDescent="0.25">
      <c r="A89" t="s">
        <v>28</v>
      </c>
      <c r="B89" s="5" t="s">
        <v>493</v>
      </c>
      <c r="C89" t="s">
        <v>493</v>
      </c>
      <c r="D89" t="b">
        <f t="shared" si="2"/>
        <v>0</v>
      </c>
    </row>
    <row r="90" spans="1:4" x14ac:dyDescent="0.25">
      <c r="A90" t="s">
        <v>28</v>
      </c>
      <c r="B90" s="5" t="s">
        <v>494</v>
      </c>
      <c r="C90" t="s">
        <v>494</v>
      </c>
      <c r="D90" t="b">
        <f t="shared" si="2"/>
        <v>0</v>
      </c>
    </row>
    <row r="91" spans="1:4" x14ac:dyDescent="0.25">
      <c r="A91" t="s">
        <v>28</v>
      </c>
      <c r="B91" s="5" t="s">
        <v>495</v>
      </c>
      <c r="C91" t="s">
        <v>495</v>
      </c>
      <c r="D91" t="b">
        <f t="shared" si="2"/>
        <v>0</v>
      </c>
    </row>
    <row r="92" spans="1:4" x14ac:dyDescent="0.25">
      <c r="A92" t="s">
        <v>28</v>
      </c>
      <c r="B92" s="5" t="s">
        <v>496</v>
      </c>
      <c r="C92" t="s">
        <v>496</v>
      </c>
      <c r="D92" t="b">
        <f t="shared" si="2"/>
        <v>0</v>
      </c>
    </row>
    <row r="93" spans="1:4" x14ac:dyDescent="0.25">
      <c r="A93" t="s">
        <v>28</v>
      </c>
      <c r="B93" s="5" t="s">
        <v>1943</v>
      </c>
      <c r="C93" t="s">
        <v>1943</v>
      </c>
      <c r="D93" t="b">
        <f t="shared" si="2"/>
        <v>0</v>
      </c>
    </row>
    <row r="94" spans="1:4" x14ac:dyDescent="0.25">
      <c r="A94" t="s">
        <v>28</v>
      </c>
      <c r="B94" s="5" t="s">
        <v>498</v>
      </c>
      <c r="C94" t="s">
        <v>498</v>
      </c>
      <c r="D94" t="b">
        <f t="shared" si="2"/>
        <v>0</v>
      </c>
    </row>
    <row r="95" spans="1:4" x14ac:dyDescent="0.25">
      <c r="A95" t="s">
        <v>288</v>
      </c>
      <c r="B95" s="5" t="s">
        <v>469</v>
      </c>
      <c r="C95" t="s">
        <v>469</v>
      </c>
      <c r="D95" t="b">
        <f t="shared" si="2"/>
        <v>0</v>
      </c>
    </row>
    <row r="96" spans="1:4" x14ac:dyDescent="0.25">
      <c r="A96" t="s">
        <v>288</v>
      </c>
      <c r="B96" s="5" t="s">
        <v>266</v>
      </c>
      <c r="C96" t="s">
        <v>266</v>
      </c>
      <c r="D96" t="b">
        <f t="shared" si="2"/>
        <v>0</v>
      </c>
    </row>
    <row r="97" spans="1:4" x14ac:dyDescent="0.25">
      <c r="A97" t="s">
        <v>288</v>
      </c>
      <c r="B97" s="5" t="s">
        <v>79</v>
      </c>
      <c r="C97" t="s">
        <v>79</v>
      </c>
      <c r="D97" t="b">
        <f t="shared" si="2"/>
        <v>0</v>
      </c>
    </row>
    <row r="98" spans="1:4" x14ac:dyDescent="0.25">
      <c r="A98" t="s">
        <v>288</v>
      </c>
      <c r="B98" s="5" t="s">
        <v>499</v>
      </c>
      <c r="C98" t="s">
        <v>499</v>
      </c>
      <c r="D98" t="b">
        <f t="shared" si="2"/>
        <v>0</v>
      </c>
    </row>
    <row r="99" spans="1:4" x14ac:dyDescent="0.25">
      <c r="A99" t="s">
        <v>288</v>
      </c>
      <c r="B99" s="5" t="s">
        <v>500</v>
      </c>
      <c r="C99" t="s">
        <v>500</v>
      </c>
      <c r="D99" t="b">
        <f t="shared" si="2"/>
        <v>0</v>
      </c>
    </row>
    <row r="100" spans="1:4" x14ac:dyDescent="0.25">
      <c r="A100" t="s">
        <v>288</v>
      </c>
      <c r="B100" s="5" t="s">
        <v>501</v>
      </c>
      <c r="C100" t="s">
        <v>501</v>
      </c>
      <c r="D100" t="b">
        <f t="shared" si="2"/>
        <v>0</v>
      </c>
    </row>
    <row r="101" spans="1:4" x14ac:dyDescent="0.25">
      <c r="A101" t="s">
        <v>288</v>
      </c>
      <c r="B101" s="5" t="s">
        <v>258</v>
      </c>
      <c r="C101" t="s">
        <v>258</v>
      </c>
      <c r="D101" t="b">
        <f t="shared" si="2"/>
        <v>0</v>
      </c>
    </row>
    <row r="102" spans="1:4" x14ac:dyDescent="0.25">
      <c r="A102" t="s">
        <v>288</v>
      </c>
      <c r="B102" s="5" t="s">
        <v>502</v>
      </c>
      <c r="C102" t="s">
        <v>502</v>
      </c>
      <c r="D102" t="b">
        <f t="shared" si="2"/>
        <v>0</v>
      </c>
    </row>
  </sheetData>
  <mergeCells count="1">
    <mergeCell ref="A1:G1"/>
  </mergeCells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notContainsText" priority="1" operator="notContains" id="{1A57FF46-F3A9-4C78-BE3D-8105D8FFC0BC}">
            <xm:f>ISERROR(SEARCH(C3,B3))</xm:f>
            <xm:f>C3</xm:f>
            <x14:dxf>
              <fill>
                <patternFill>
                  <bgColor theme="5" tint="0.39994506668294322"/>
                </patternFill>
              </fill>
            </x14:dxf>
          </x14:cfRule>
          <xm:sqref>B3:B102</xm:sqref>
        </x14:conditionalFormatting>
      </x14:conditionalFormatting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977A7-268E-4791-87BA-973927C302C7}">
  <dimension ref="A1:G103"/>
  <sheetViews>
    <sheetView topLeftCell="A85" workbookViewId="0">
      <selection activeCell="B102" sqref="B102"/>
    </sheetView>
  </sheetViews>
  <sheetFormatPr defaultRowHeight="15" x14ac:dyDescent="0.25"/>
  <cols>
    <col min="1" max="1" width="11.85546875" style="5" customWidth="1"/>
    <col min="2" max="3" width="38.7109375" customWidth="1"/>
    <col min="4" max="4" width="12.42578125" hidden="1" customWidth="1"/>
    <col min="5" max="5" width="4.28515625" customWidth="1"/>
    <col min="6" max="6" width="22.7109375" style="3" customWidth="1"/>
    <col min="7" max="7" width="9.140625" bestFit="1" customWidth="1"/>
  </cols>
  <sheetData>
    <row r="1" spans="1:7" ht="21" x14ac:dyDescent="0.25">
      <c r="A1" s="12" t="s">
        <v>1390</v>
      </c>
      <c r="B1" s="12"/>
      <c r="C1" s="12"/>
      <c r="D1" s="12"/>
      <c r="E1" s="12"/>
      <c r="F1" s="12"/>
      <c r="G1" s="12"/>
    </row>
    <row r="2" spans="1:7" x14ac:dyDescent="0.25">
      <c r="A2" s="4" t="s">
        <v>11</v>
      </c>
      <c r="B2" s="4" t="s">
        <v>12</v>
      </c>
      <c r="C2" s="4" t="s">
        <v>13</v>
      </c>
      <c r="D2" s="4" t="s">
        <v>14</v>
      </c>
      <c r="F2" s="4" t="s">
        <v>16</v>
      </c>
      <c r="G2" s="3">
        <f>COUNTIF(D:D,"Verdadeiro")</f>
        <v>10</v>
      </c>
    </row>
    <row r="3" spans="1:7" x14ac:dyDescent="0.25">
      <c r="A3" s="5" t="s">
        <v>1539</v>
      </c>
      <c r="B3" s="5" t="s">
        <v>1547</v>
      </c>
      <c r="C3" s="5" t="s">
        <v>1547</v>
      </c>
      <c r="D3" t="b">
        <f>B3&lt;&gt;C3</f>
        <v>0</v>
      </c>
      <c r="F3" s="4" t="s">
        <v>17</v>
      </c>
      <c r="G3" s="10">
        <f>SUM(G5:G29)</f>
        <v>100</v>
      </c>
    </row>
    <row r="4" spans="1:7" x14ac:dyDescent="0.25">
      <c r="A4" t="s">
        <v>15</v>
      </c>
      <c r="B4" s="5" t="s">
        <v>2099</v>
      </c>
      <c r="C4" t="s">
        <v>111</v>
      </c>
      <c r="D4" t="b">
        <f>B4&lt;&gt;C4</f>
        <v>1</v>
      </c>
    </row>
    <row r="5" spans="1:7" x14ac:dyDescent="0.25">
      <c r="A5" t="s">
        <v>15</v>
      </c>
      <c r="B5" s="5" t="s">
        <v>20</v>
      </c>
      <c r="C5" t="s">
        <v>20</v>
      </c>
      <c r="D5" t="b">
        <f t="shared" ref="D5:D68" si="0">B5&lt;&gt;C5</f>
        <v>0</v>
      </c>
      <c r="F5" s="6" t="s">
        <v>19</v>
      </c>
      <c r="G5" s="1"/>
    </row>
    <row r="6" spans="1:7" x14ac:dyDescent="0.25">
      <c r="A6" t="s">
        <v>15</v>
      </c>
      <c r="B6" s="5" t="s">
        <v>43</v>
      </c>
      <c r="C6" t="s">
        <v>43</v>
      </c>
      <c r="D6" t="b">
        <f t="shared" si="0"/>
        <v>0</v>
      </c>
      <c r="F6" s="1" t="s">
        <v>15</v>
      </c>
      <c r="G6" s="2">
        <f t="shared" ref="G6:G12" si="1">COUNTIF(A:A,F6)</f>
        <v>38</v>
      </c>
    </row>
    <row r="7" spans="1:7" x14ac:dyDescent="0.25">
      <c r="A7" t="s">
        <v>15</v>
      </c>
      <c r="B7" s="5" t="s">
        <v>171</v>
      </c>
      <c r="C7" t="s">
        <v>171</v>
      </c>
      <c r="D7" t="b">
        <f t="shared" si="0"/>
        <v>0</v>
      </c>
      <c r="F7" s="3" t="s">
        <v>1539</v>
      </c>
      <c r="G7" s="2">
        <f t="shared" si="1"/>
        <v>1</v>
      </c>
    </row>
    <row r="8" spans="1:7" x14ac:dyDescent="0.25">
      <c r="A8" t="s">
        <v>15</v>
      </c>
      <c r="B8" s="5" t="s">
        <v>110</v>
      </c>
      <c r="C8" t="s">
        <v>110</v>
      </c>
      <c r="D8" t="b">
        <f t="shared" si="0"/>
        <v>0</v>
      </c>
      <c r="F8" s="1" t="s">
        <v>21</v>
      </c>
      <c r="G8" s="2">
        <f t="shared" si="1"/>
        <v>10</v>
      </c>
    </row>
    <row r="9" spans="1:7" x14ac:dyDescent="0.25">
      <c r="A9" t="s">
        <v>15</v>
      </c>
      <c r="B9" s="5" t="s">
        <v>1410</v>
      </c>
      <c r="C9" t="s">
        <v>1410</v>
      </c>
      <c r="D9" t="b">
        <f t="shared" si="0"/>
        <v>0</v>
      </c>
      <c r="F9" s="1" t="s">
        <v>22</v>
      </c>
      <c r="G9" s="2">
        <f t="shared" si="1"/>
        <v>8</v>
      </c>
    </row>
    <row r="10" spans="1:7" x14ac:dyDescent="0.25">
      <c r="A10" t="s">
        <v>15</v>
      </c>
      <c r="B10" s="5" t="s">
        <v>1411</v>
      </c>
      <c r="C10" t="s">
        <v>1411</v>
      </c>
      <c r="D10" t="b">
        <f t="shared" si="0"/>
        <v>0</v>
      </c>
      <c r="F10" s="1" t="s">
        <v>44</v>
      </c>
      <c r="G10" s="2">
        <f t="shared" si="1"/>
        <v>8</v>
      </c>
    </row>
    <row r="11" spans="1:7" x14ac:dyDescent="0.25">
      <c r="A11" t="s">
        <v>15</v>
      </c>
      <c r="B11" s="5" t="s">
        <v>224</v>
      </c>
      <c r="C11" t="s">
        <v>224</v>
      </c>
      <c r="D11" t="b">
        <f t="shared" si="0"/>
        <v>0</v>
      </c>
      <c r="F11" s="1" t="s">
        <v>118</v>
      </c>
      <c r="G11" s="2">
        <f t="shared" si="1"/>
        <v>17</v>
      </c>
    </row>
    <row r="12" spans="1:7" x14ac:dyDescent="0.25">
      <c r="A12" t="s">
        <v>15</v>
      </c>
      <c r="B12" s="5" t="s">
        <v>45</v>
      </c>
      <c r="C12" t="s">
        <v>45</v>
      </c>
      <c r="D12" t="b">
        <f t="shared" si="0"/>
        <v>0</v>
      </c>
      <c r="F12" s="1" t="s">
        <v>121</v>
      </c>
      <c r="G12" s="2">
        <f t="shared" si="1"/>
        <v>18</v>
      </c>
    </row>
    <row r="13" spans="1:7" x14ac:dyDescent="0.25">
      <c r="A13" t="s">
        <v>15</v>
      </c>
      <c r="B13" s="5" t="s">
        <v>671</v>
      </c>
      <c r="C13" t="s">
        <v>34</v>
      </c>
      <c r="D13" t="b">
        <f t="shared" si="0"/>
        <v>1</v>
      </c>
    </row>
    <row r="14" spans="1:7" x14ac:dyDescent="0.25">
      <c r="A14" t="s">
        <v>15</v>
      </c>
      <c r="B14" s="5" t="s">
        <v>1711</v>
      </c>
      <c r="C14" t="s">
        <v>711</v>
      </c>
      <c r="D14" t="b">
        <f t="shared" si="0"/>
        <v>1</v>
      </c>
    </row>
    <row r="15" spans="1:7" x14ac:dyDescent="0.25">
      <c r="A15" t="s">
        <v>15</v>
      </c>
      <c r="B15" s="5" t="s">
        <v>1413</v>
      </c>
      <c r="C15" t="s">
        <v>1413</v>
      </c>
      <c r="D15" t="b">
        <f t="shared" si="0"/>
        <v>0</v>
      </c>
      <c r="F15" s="1"/>
      <c r="G15" s="2"/>
    </row>
    <row r="16" spans="1:7" x14ac:dyDescent="0.25">
      <c r="A16" t="s">
        <v>15</v>
      </c>
      <c r="B16" s="5" t="s">
        <v>668</v>
      </c>
      <c r="C16" t="s">
        <v>668</v>
      </c>
      <c r="D16" t="b">
        <f t="shared" si="0"/>
        <v>0</v>
      </c>
      <c r="F16" s="1"/>
      <c r="G16" s="2"/>
    </row>
    <row r="17" spans="1:7" x14ac:dyDescent="0.25">
      <c r="A17" t="s">
        <v>15</v>
      </c>
      <c r="B17" s="5" t="s">
        <v>159</v>
      </c>
      <c r="C17" t="s">
        <v>159</v>
      </c>
      <c r="D17" t="b">
        <f t="shared" si="0"/>
        <v>0</v>
      </c>
      <c r="F17" s="5"/>
      <c r="G17" s="2"/>
    </row>
    <row r="18" spans="1:7" x14ac:dyDescent="0.25">
      <c r="A18" t="s">
        <v>15</v>
      </c>
      <c r="B18" s="5" t="s">
        <v>120</v>
      </c>
      <c r="C18" t="s">
        <v>1414</v>
      </c>
      <c r="D18" t="b">
        <f t="shared" si="0"/>
        <v>1</v>
      </c>
      <c r="F18" s="5"/>
      <c r="G18" s="2"/>
    </row>
    <row r="19" spans="1:7" x14ac:dyDescent="0.25">
      <c r="A19" t="s">
        <v>15</v>
      </c>
      <c r="B19" t="s">
        <v>60</v>
      </c>
      <c r="C19" t="s">
        <v>60</v>
      </c>
      <c r="D19" t="b">
        <f t="shared" si="0"/>
        <v>0</v>
      </c>
    </row>
    <row r="20" spans="1:7" x14ac:dyDescent="0.25">
      <c r="A20" t="s">
        <v>15</v>
      </c>
      <c r="B20" s="5" t="s">
        <v>60</v>
      </c>
      <c r="C20" t="s">
        <v>60</v>
      </c>
      <c r="D20" t="b">
        <f t="shared" si="0"/>
        <v>0</v>
      </c>
    </row>
    <row r="21" spans="1:7" x14ac:dyDescent="0.25">
      <c r="A21" t="s">
        <v>15</v>
      </c>
      <c r="B21" s="5" t="s">
        <v>60</v>
      </c>
      <c r="C21" t="s">
        <v>60</v>
      </c>
      <c r="D21" t="b">
        <f t="shared" si="0"/>
        <v>0</v>
      </c>
    </row>
    <row r="22" spans="1:7" x14ac:dyDescent="0.25">
      <c r="A22" t="s">
        <v>15</v>
      </c>
      <c r="B22" s="5" t="s">
        <v>60</v>
      </c>
      <c r="C22" t="s">
        <v>60</v>
      </c>
      <c r="D22" t="b">
        <f t="shared" si="0"/>
        <v>0</v>
      </c>
    </row>
    <row r="23" spans="1:7" x14ac:dyDescent="0.25">
      <c r="A23" t="s">
        <v>15</v>
      </c>
      <c r="B23" s="5" t="s">
        <v>60</v>
      </c>
      <c r="C23" t="s">
        <v>60</v>
      </c>
      <c r="D23" t="b">
        <f t="shared" si="0"/>
        <v>0</v>
      </c>
    </row>
    <row r="24" spans="1:7" x14ac:dyDescent="0.25">
      <c r="A24" t="s">
        <v>15</v>
      </c>
      <c r="B24" s="5" t="s">
        <v>60</v>
      </c>
      <c r="C24" t="s">
        <v>60</v>
      </c>
      <c r="D24" t="b">
        <f t="shared" si="0"/>
        <v>0</v>
      </c>
    </row>
    <row r="25" spans="1:7" x14ac:dyDescent="0.25">
      <c r="A25" t="s">
        <v>15</v>
      </c>
      <c r="B25" s="5" t="s">
        <v>60</v>
      </c>
      <c r="C25" t="s">
        <v>60</v>
      </c>
      <c r="D25" t="b">
        <f t="shared" si="0"/>
        <v>0</v>
      </c>
    </row>
    <row r="26" spans="1:7" x14ac:dyDescent="0.25">
      <c r="A26" t="s">
        <v>15</v>
      </c>
      <c r="B26" s="5" t="s">
        <v>60</v>
      </c>
      <c r="C26" t="s">
        <v>60</v>
      </c>
      <c r="D26" t="b">
        <f t="shared" si="0"/>
        <v>0</v>
      </c>
    </row>
    <row r="27" spans="1:7" x14ac:dyDescent="0.25">
      <c r="A27" t="s">
        <v>15</v>
      </c>
      <c r="B27" s="5" t="s">
        <v>61</v>
      </c>
      <c r="C27" t="s">
        <v>61</v>
      </c>
      <c r="D27" t="b">
        <f t="shared" si="0"/>
        <v>0</v>
      </c>
    </row>
    <row r="28" spans="1:7" x14ac:dyDescent="0.25">
      <c r="A28" t="s">
        <v>15</v>
      </c>
      <c r="B28" s="5" t="s">
        <v>61</v>
      </c>
      <c r="C28" t="s">
        <v>61</v>
      </c>
      <c r="D28" t="b">
        <f t="shared" si="0"/>
        <v>0</v>
      </c>
    </row>
    <row r="29" spans="1:7" x14ac:dyDescent="0.25">
      <c r="A29" t="s">
        <v>15</v>
      </c>
      <c r="B29" s="5" t="s">
        <v>61</v>
      </c>
      <c r="C29" t="s">
        <v>61</v>
      </c>
      <c r="D29" t="b">
        <f t="shared" si="0"/>
        <v>0</v>
      </c>
    </row>
    <row r="30" spans="1:7" x14ac:dyDescent="0.25">
      <c r="A30" t="s">
        <v>15</v>
      </c>
      <c r="B30" s="5" t="s">
        <v>61</v>
      </c>
      <c r="C30" t="s">
        <v>61</v>
      </c>
      <c r="D30" t="b">
        <f t="shared" si="0"/>
        <v>0</v>
      </c>
    </row>
    <row r="31" spans="1:7" x14ac:dyDescent="0.25">
      <c r="A31" t="s">
        <v>15</v>
      </c>
      <c r="B31" s="5" t="s">
        <v>61</v>
      </c>
      <c r="C31" t="s">
        <v>61</v>
      </c>
      <c r="D31" t="b">
        <f t="shared" si="0"/>
        <v>0</v>
      </c>
    </row>
    <row r="32" spans="1:7" x14ac:dyDescent="0.25">
      <c r="A32" t="s">
        <v>15</v>
      </c>
      <c r="B32" s="5" t="s">
        <v>61</v>
      </c>
      <c r="C32" t="s">
        <v>61</v>
      </c>
      <c r="D32" t="b">
        <f t="shared" si="0"/>
        <v>0</v>
      </c>
    </row>
    <row r="33" spans="1:6" x14ac:dyDescent="0.25">
      <c r="A33" t="s">
        <v>15</v>
      </c>
      <c r="B33" s="5" t="s">
        <v>61</v>
      </c>
      <c r="C33" t="s">
        <v>61</v>
      </c>
      <c r="D33" t="b">
        <f t="shared" si="0"/>
        <v>0</v>
      </c>
    </row>
    <row r="34" spans="1:6" x14ac:dyDescent="0.25">
      <c r="A34" t="s">
        <v>15</v>
      </c>
      <c r="B34" s="5" t="s">
        <v>61</v>
      </c>
      <c r="C34" t="s">
        <v>61</v>
      </c>
      <c r="D34" t="b">
        <f t="shared" si="0"/>
        <v>0</v>
      </c>
    </row>
    <row r="35" spans="1:6" x14ac:dyDescent="0.25">
      <c r="A35" t="s">
        <v>15</v>
      </c>
      <c r="B35" s="5" t="s">
        <v>122</v>
      </c>
      <c r="C35" t="s">
        <v>122</v>
      </c>
      <c r="D35" t="b">
        <f t="shared" si="0"/>
        <v>0</v>
      </c>
    </row>
    <row r="36" spans="1:6" x14ac:dyDescent="0.25">
      <c r="A36" t="s">
        <v>15</v>
      </c>
      <c r="B36" s="5" t="s">
        <v>122</v>
      </c>
      <c r="C36" t="s">
        <v>122</v>
      </c>
      <c r="D36" t="b">
        <f t="shared" si="0"/>
        <v>0</v>
      </c>
    </row>
    <row r="37" spans="1:6" x14ac:dyDescent="0.25">
      <c r="A37" t="s">
        <v>15</v>
      </c>
      <c r="B37" s="5" t="s">
        <v>122</v>
      </c>
      <c r="C37" t="s">
        <v>122</v>
      </c>
      <c r="D37" t="b">
        <f t="shared" si="0"/>
        <v>0</v>
      </c>
    </row>
    <row r="38" spans="1:6" x14ac:dyDescent="0.25">
      <c r="A38" t="s">
        <v>15</v>
      </c>
      <c r="B38" s="5" t="s">
        <v>122</v>
      </c>
      <c r="C38" t="s">
        <v>122</v>
      </c>
      <c r="D38" t="b">
        <f t="shared" si="0"/>
        <v>0</v>
      </c>
    </row>
    <row r="39" spans="1:6" x14ac:dyDescent="0.25">
      <c r="A39" t="s">
        <v>15</v>
      </c>
      <c r="B39" s="5" t="s">
        <v>122</v>
      </c>
      <c r="C39" t="s">
        <v>122</v>
      </c>
      <c r="D39" t="b">
        <f t="shared" si="0"/>
        <v>0</v>
      </c>
    </row>
    <row r="40" spans="1:6" x14ac:dyDescent="0.25">
      <c r="A40" t="s">
        <v>15</v>
      </c>
      <c r="B40" s="5" t="s">
        <v>122</v>
      </c>
      <c r="C40" t="s">
        <v>122</v>
      </c>
      <c r="D40" t="b">
        <f t="shared" si="0"/>
        <v>0</v>
      </c>
    </row>
    <row r="41" spans="1:6" x14ac:dyDescent="0.25">
      <c r="A41" t="s">
        <v>15</v>
      </c>
      <c r="B41" s="5" t="s">
        <v>122</v>
      </c>
      <c r="C41" t="s">
        <v>122</v>
      </c>
      <c r="D41" t="b">
        <f t="shared" si="0"/>
        <v>0</v>
      </c>
    </row>
    <row r="42" spans="1:6" x14ac:dyDescent="0.25">
      <c r="A42" t="s">
        <v>21</v>
      </c>
      <c r="B42" s="5" t="s">
        <v>173</v>
      </c>
      <c r="C42" t="s">
        <v>173</v>
      </c>
      <c r="D42" t="b">
        <f t="shared" si="0"/>
        <v>0</v>
      </c>
    </row>
    <row r="43" spans="1:6" x14ac:dyDescent="0.25">
      <c r="A43" t="s">
        <v>21</v>
      </c>
      <c r="B43" s="5" t="s">
        <v>126</v>
      </c>
      <c r="C43" t="s">
        <v>126</v>
      </c>
      <c r="D43" t="b">
        <f t="shared" si="0"/>
        <v>0</v>
      </c>
    </row>
    <row r="44" spans="1:6" x14ac:dyDescent="0.25">
      <c r="A44" t="s">
        <v>21</v>
      </c>
      <c r="B44" s="5" t="s">
        <v>177</v>
      </c>
      <c r="C44" t="s">
        <v>177</v>
      </c>
      <c r="D44" t="b">
        <f t="shared" si="0"/>
        <v>0</v>
      </c>
    </row>
    <row r="45" spans="1:6" x14ac:dyDescent="0.25">
      <c r="A45" t="s">
        <v>21</v>
      </c>
      <c r="B45" s="5" t="s">
        <v>467</v>
      </c>
      <c r="C45" t="s">
        <v>467</v>
      </c>
      <c r="D45" t="b">
        <f t="shared" si="0"/>
        <v>0</v>
      </c>
    </row>
    <row r="46" spans="1:6" x14ac:dyDescent="0.25">
      <c r="A46" t="s">
        <v>21</v>
      </c>
      <c r="B46" t="s">
        <v>127</v>
      </c>
      <c r="C46" t="s">
        <v>127</v>
      </c>
      <c r="D46" t="b">
        <f t="shared" si="0"/>
        <v>0</v>
      </c>
    </row>
    <row r="47" spans="1:6" x14ac:dyDescent="0.25">
      <c r="A47" t="s">
        <v>21</v>
      </c>
      <c r="B47" s="5" t="s">
        <v>174</v>
      </c>
      <c r="C47" t="s">
        <v>174</v>
      </c>
      <c r="D47" t="b">
        <f t="shared" si="0"/>
        <v>0</v>
      </c>
    </row>
    <row r="48" spans="1:6" x14ac:dyDescent="0.25">
      <c r="A48" t="s">
        <v>21</v>
      </c>
      <c r="B48" s="5" t="s">
        <v>178</v>
      </c>
      <c r="C48" t="s">
        <v>178</v>
      </c>
      <c r="D48" t="b">
        <f t="shared" si="0"/>
        <v>0</v>
      </c>
      <c r="F48"/>
    </row>
    <row r="49" spans="1:6" x14ac:dyDescent="0.25">
      <c r="A49" t="s">
        <v>21</v>
      </c>
      <c r="B49" s="5" t="s">
        <v>129</v>
      </c>
      <c r="C49" t="s">
        <v>129</v>
      </c>
      <c r="D49" t="b">
        <f t="shared" si="0"/>
        <v>0</v>
      </c>
    </row>
    <row r="50" spans="1:6" x14ac:dyDescent="0.25">
      <c r="A50" t="s">
        <v>21</v>
      </c>
      <c r="B50" s="5" t="s">
        <v>1412</v>
      </c>
      <c r="C50" t="s">
        <v>1412</v>
      </c>
      <c r="D50" t="b">
        <f t="shared" si="0"/>
        <v>0</v>
      </c>
    </row>
    <row r="51" spans="1:6" x14ac:dyDescent="0.25">
      <c r="A51" t="s">
        <v>21</v>
      </c>
      <c r="B51" s="5" t="s">
        <v>250</v>
      </c>
      <c r="C51" t="s">
        <v>250</v>
      </c>
      <c r="D51" t="b">
        <f t="shared" si="0"/>
        <v>0</v>
      </c>
    </row>
    <row r="52" spans="1:6" x14ac:dyDescent="0.25">
      <c r="A52" t="s">
        <v>22</v>
      </c>
      <c r="B52" s="5" t="s">
        <v>1407</v>
      </c>
      <c r="C52" t="s">
        <v>1407</v>
      </c>
      <c r="D52" t="b">
        <f t="shared" si="0"/>
        <v>0</v>
      </c>
    </row>
    <row r="53" spans="1:6" x14ac:dyDescent="0.25">
      <c r="A53" t="s">
        <v>22</v>
      </c>
      <c r="B53" s="5" t="s">
        <v>68</v>
      </c>
      <c r="C53" t="s">
        <v>68</v>
      </c>
      <c r="D53" t="b">
        <f t="shared" si="0"/>
        <v>0</v>
      </c>
    </row>
    <row r="54" spans="1:6" x14ac:dyDescent="0.25">
      <c r="A54" t="s">
        <v>22</v>
      </c>
      <c r="B54" s="5" t="s">
        <v>2100</v>
      </c>
      <c r="C54" t="s">
        <v>2011</v>
      </c>
      <c r="D54" t="b">
        <f t="shared" si="0"/>
        <v>1</v>
      </c>
      <c r="F54"/>
    </row>
    <row r="55" spans="1:6" x14ac:dyDescent="0.25">
      <c r="A55" t="s">
        <v>22</v>
      </c>
      <c r="B55" s="5" t="s">
        <v>132</v>
      </c>
      <c r="C55" t="s">
        <v>132</v>
      </c>
      <c r="D55" t="b">
        <f t="shared" si="0"/>
        <v>0</v>
      </c>
    </row>
    <row r="56" spans="1:6" x14ac:dyDescent="0.25">
      <c r="A56" t="s">
        <v>22</v>
      </c>
      <c r="B56" s="5" t="s">
        <v>133</v>
      </c>
      <c r="C56" t="s">
        <v>133</v>
      </c>
      <c r="D56" t="b">
        <f t="shared" si="0"/>
        <v>0</v>
      </c>
    </row>
    <row r="57" spans="1:6" x14ac:dyDescent="0.25">
      <c r="A57" t="s">
        <v>22</v>
      </c>
      <c r="B57" s="5" t="s">
        <v>1541</v>
      </c>
      <c r="C57" t="s">
        <v>1541</v>
      </c>
      <c r="D57" t="b">
        <f t="shared" si="0"/>
        <v>0</v>
      </c>
    </row>
    <row r="58" spans="1:6" x14ac:dyDescent="0.25">
      <c r="A58" t="s">
        <v>22</v>
      </c>
      <c r="B58" t="s">
        <v>135</v>
      </c>
      <c r="C58" t="s">
        <v>135</v>
      </c>
      <c r="D58" t="b">
        <f t="shared" si="0"/>
        <v>0</v>
      </c>
    </row>
    <row r="59" spans="1:6" x14ac:dyDescent="0.25">
      <c r="A59" t="s">
        <v>22</v>
      </c>
      <c r="B59" s="5" t="s">
        <v>1400</v>
      </c>
      <c r="C59" t="s">
        <v>1400</v>
      </c>
      <c r="D59" t="b">
        <f t="shared" si="0"/>
        <v>0</v>
      </c>
    </row>
    <row r="60" spans="1:6" x14ac:dyDescent="0.25">
      <c r="A60" t="s">
        <v>44</v>
      </c>
      <c r="B60" s="5" t="s">
        <v>141</v>
      </c>
      <c r="C60" t="s">
        <v>141</v>
      </c>
      <c r="D60" t="b">
        <f t="shared" si="0"/>
        <v>0</v>
      </c>
      <c r="F60"/>
    </row>
    <row r="61" spans="1:6" x14ac:dyDescent="0.25">
      <c r="A61" t="s">
        <v>44</v>
      </c>
      <c r="B61" s="5" t="s">
        <v>143</v>
      </c>
      <c r="C61" t="s">
        <v>143</v>
      </c>
      <c r="D61" t="b">
        <f t="shared" si="0"/>
        <v>0</v>
      </c>
      <c r="F61"/>
    </row>
    <row r="62" spans="1:6" x14ac:dyDescent="0.25">
      <c r="A62" t="s">
        <v>44</v>
      </c>
      <c r="B62" s="5" t="s">
        <v>144</v>
      </c>
      <c r="C62" t="s">
        <v>144</v>
      </c>
      <c r="D62" t="b">
        <f t="shared" si="0"/>
        <v>0</v>
      </c>
      <c r="F62"/>
    </row>
    <row r="63" spans="1:6" x14ac:dyDescent="0.25">
      <c r="A63" t="s">
        <v>44</v>
      </c>
      <c r="B63" s="5" t="s">
        <v>146</v>
      </c>
      <c r="C63" t="s">
        <v>146</v>
      </c>
      <c r="D63" t="b">
        <f t="shared" si="0"/>
        <v>0</v>
      </c>
      <c r="F63"/>
    </row>
    <row r="64" spans="1:6" x14ac:dyDescent="0.25">
      <c r="A64" t="s">
        <v>44</v>
      </c>
      <c r="B64" s="5" t="s">
        <v>100</v>
      </c>
      <c r="C64" t="s">
        <v>100</v>
      </c>
      <c r="D64" t="b">
        <f t="shared" si="0"/>
        <v>0</v>
      </c>
      <c r="F64"/>
    </row>
    <row r="65" spans="1:6" x14ac:dyDescent="0.25">
      <c r="A65" t="s">
        <v>44</v>
      </c>
      <c r="B65" s="5" t="s">
        <v>99</v>
      </c>
      <c r="C65" t="s">
        <v>99</v>
      </c>
      <c r="D65" t="b">
        <f t="shared" si="0"/>
        <v>0</v>
      </c>
    </row>
    <row r="66" spans="1:6" x14ac:dyDescent="0.25">
      <c r="A66" t="s">
        <v>44</v>
      </c>
      <c r="B66" s="5" t="s">
        <v>650</v>
      </c>
      <c r="C66" t="s">
        <v>650</v>
      </c>
      <c r="D66" t="b">
        <f t="shared" si="0"/>
        <v>0</v>
      </c>
      <c r="F66"/>
    </row>
    <row r="67" spans="1:6" x14ac:dyDescent="0.25">
      <c r="A67" t="s">
        <v>44</v>
      </c>
      <c r="B67" s="5" t="s">
        <v>1408</v>
      </c>
      <c r="C67" t="s">
        <v>1408</v>
      </c>
      <c r="D67" t="b">
        <f t="shared" si="0"/>
        <v>0</v>
      </c>
      <c r="F67"/>
    </row>
    <row r="68" spans="1:6" x14ac:dyDescent="0.25">
      <c r="A68" t="s">
        <v>118</v>
      </c>
      <c r="B68" s="5" t="s">
        <v>1398</v>
      </c>
      <c r="C68" t="s">
        <v>1398</v>
      </c>
      <c r="D68" t="b">
        <f t="shared" si="0"/>
        <v>0</v>
      </c>
      <c r="F68"/>
    </row>
    <row r="69" spans="1:6" x14ac:dyDescent="0.25">
      <c r="A69" t="s">
        <v>118</v>
      </c>
      <c r="B69" s="5" t="s">
        <v>1396</v>
      </c>
      <c r="C69" t="s">
        <v>1396</v>
      </c>
      <c r="D69" t="b">
        <f t="shared" ref="D69:D103" si="2">B69&lt;&gt;C69</f>
        <v>0</v>
      </c>
      <c r="F69"/>
    </row>
    <row r="70" spans="1:6" x14ac:dyDescent="0.25">
      <c r="A70" t="s">
        <v>118</v>
      </c>
      <c r="B70" s="5" t="s">
        <v>1399</v>
      </c>
      <c r="C70" t="s">
        <v>1399</v>
      </c>
      <c r="D70" t="b">
        <f t="shared" si="2"/>
        <v>0</v>
      </c>
      <c r="F70"/>
    </row>
    <row r="71" spans="1:6" x14ac:dyDescent="0.25">
      <c r="A71" t="s">
        <v>118</v>
      </c>
      <c r="B71" s="5" t="s">
        <v>1394</v>
      </c>
      <c r="C71" t="s">
        <v>1394</v>
      </c>
      <c r="D71" t="b">
        <f t="shared" si="2"/>
        <v>0</v>
      </c>
      <c r="F71"/>
    </row>
    <row r="72" spans="1:6" x14ac:dyDescent="0.25">
      <c r="A72" t="s">
        <v>118</v>
      </c>
      <c r="B72" s="5" t="s">
        <v>1409</v>
      </c>
      <c r="C72" t="s">
        <v>1409</v>
      </c>
      <c r="D72" t="b">
        <f t="shared" si="2"/>
        <v>0</v>
      </c>
      <c r="F72" s="5"/>
    </row>
    <row r="73" spans="1:6" x14ac:dyDescent="0.25">
      <c r="A73" t="s">
        <v>118</v>
      </c>
      <c r="B73" s="5" t="s">
        <v>1392</v>
      </c>
      <c r="C73" t="s">
        <v>1392</v>
      </c>
      <c r="D73" t="b">
        <f t="shared" si="2"/>
        <v>0</v>
      </c>
      <c r="F73" s="5"/>
    </row>
    <row r="74" spans="1:6" x14ac:dyDescent="0.25">
      <c r="A74" t="s">
        <v>118</v>
      </c>
      <c r="B74" s="5" t="s">
        <v>1406</v>
      </c>
      <c r="C74" t="s">
        <v>1406</v>
      </c>
      <c r="D74" t="b">
        <f t="shared" si="2"/>
        <v>0</v>
      </c>
      <c r="F74" s="5"/>
    </row>
    <row r="75" spans="1:6" x14ac:dyDescent="0.25">
      <c r="A75" t="s">
        <v>118</v>
      </c>
      <c r="B75" s="5" t="s">
        <v>136</v>
      </c>
      <c r="C75" t="s">
        <v>136</v>
      </c>
      <c r="D75" t="b">
        <f t="shared" si="2"/>
        <v>0</v>
      </c>
    </row>
    <row r="76" spans="1:6" x14ac:dyDescent="0.25">
      <c r="A76" t="s">
        <v>118</v>
      </c>
      <c r="B76" s="5" t="s">
        <v>140</v>
      </c>
      <c r="C76" t="s">
        <v>140</v>
      </c>
      <c r="D76" t="b">
        <f t="shared" si="2"/>
        <v>0</v>
      </c>
    </row>
    <row r="77" spans="1:6" x14ac:dyDescent="0.25">
      <c r="A77" t="s">
        <v>118</v>
      </c>
      <c r="B77" s="5" t="s">
        <v>138</v>
      </c>
      <c r="C77" t="s">
        <v>138</v>
      </c>
      <c r="D77" t="b">
        <f t="shared" si="2"/>
        <v>0</v>
      </c>
    </row>
    <row r="78" spans="1:6" x14ac:dyDescent="0.25">
      <c r="A78" t="s">
        <v>118</v>
      </c>
      <c r="B78" s="5" t="s">
        <v>1397</v>
      </c>
      <c r="C78" t="s">
        <v>1397</v>
      </c>
      <c r="D78" t="b">
        <f t="shared" si="2"/>
        <v>0</v>
      </c>
    </row>
    <row r="79" spans="1:6" x14ac:dyDescent="0.25">
      <c r="A79" t="s">
        <v>118</v>
      </c>
      <c r="B79" s="5" t="s">
        <v>1403</v>
      </c>
      <c r="C79" t="s">
        <v>1403</v>
      </c>
      <c r="D79" t="b">
        <f t="shared" si="2"/>
        <v>0</v>
      </c>
    </row>
    <row r="80" spans="1:6" x14ac:dyDescent="0.25">
      <c r="A80" t="s">
        <v>118</v>
      </c>
      <c r="B80" s="5" t="s">
        <v>1794</v>
      </c>
      <c r="C80" t="s">
        <v>1794</v>
      </c>
      <c r="D80" t="b">
        <f t="shared" si="2"/>
        <v>0</v>
      </c>
      <c r="F80"/>
    </row>
    <row r="81" spans="1:6" x14ac:dyDescent="0.25">
      <c r="A81" t="s">
        <v>118</v>
      </c>
      <c r="B81" s="5" t="s">
        <v>1900</v>
      </c>
      <c r="C81" t="s">
        <v>1393</v>
      </c>
      <c r="D81" t="b">
        <f t="shared" si="2"/>
        <v>1</v>
      </c>
      <c r="F81"/>
    </row>
    <row r="82" spans="1:6" x14ac:dyDescent="0.25">
      <c r="A82" t="s">
        <v>118</v>
      </c>
      <c r="B82" s="5" t="s">
        <v>1793</v>
      </c>
      <c r="C82" s="5" t="s">
        <v>1401</v>
      </c>
      <c r="D82" t="b">
        <f t="shared" si="2"/>
        <v>1</v>
      </c>
      <c r="E82" s="5"/>
    </row>
    <row r="83" spans="1:6" x14ac:dyDescent="0.25">
      <c r="A83" t="s">
        <v>118</v>
      </c>
      <c r="B83" s="5" t="s">
        <v>2226</v>
      </c>
      <c r="C83" t="s">
        <v>1395</v>
      </c>
      <c r="D83" t="b">
        <f t="shared" si="2"/>
        <v>1</v>
      </c>
    </row>
    <row r="84" spans="1:6" x14ac:dyDescent="0.25">
      <c r="A84" t="s">
        <v>118</v>
      </c>
      <c r="B84" s="5" t="s">
        <v>139</v>
      </c>
      <c r="C84" t="s">
        <v>139</v>
      </c>
      <c r="D84" t="b">
        <f t="shared" si="2"/>
        <v>0</v>
      </c>
    </row>
    <row r="85" spans="1:6" x14ac:dyDescent="0.25">
      <c r="A85" t="s">
        <v>121</v>
      </c>
      <c r="B85" s="5" t="s">
        <v>147</v>
      </c>
      <c r="C85" t="s">
        <v>1981</v>
      </c>
      <c r="D85" t="b">
        <f t="shared" si="2"/>
        <v>1</v>
      </c>
      <c r="E85" s="5"/>
    </row>
    <row r="86" spans="1:6" x14ac:dyDescent="0.25">
      <c r="A86" t="s">
        <v>121</v>
      </c>
      <c r="B86" s="5" t="s">
        <v>264</v>
      </c>
      <c r="C86" t="s">
        <v>264</v>
      </c>
      <c r="D86" t="b">
        <f t="shared" si="2"/>
        <v>0</v>
      </c>
    </row>
    <row r="87" spans="1:6" x14ac:dyDescent="0.25">
      <c r="A87" t="s">
        <v>121</v>
      </c>
      <c r="B87" s="5" t="s">
        <v>1184</v>
      </c>
      <c r="C87" t="s">
        <v>1184</v>
      </c>
      <c r="D87" t="b">
        <f t="shared" si="2"/>
        <v>0</v>
      </c>
      <c r="F87" s="5"/>
    </row>
    <row r="88" spans="1:6" x14ac:dyDescent="0.25">
      <c r="A88" t="s">
        <v>121</v>
      </c>
      <c r="B88" s="5" t="s">
        <v>815</v>
      </c>
      <c r="C88" t="s">
        <v>815</v>
      </c>
      <c r="D88" t="b">
        <f t="shared" si="2"/>
        <v>0</v>
      </c>
      <c r="F88" s="5"/>
    </row>
    <row r="89" spans="1:6" x14ac:dyDescent="0.25">
      <c r="A89" t="s">
        <v>121</v>
      </c>
      <c r="B89" s="5" t="s">
        <v>1404</v>
      </c>
      <c r="C89" t="s">
        <v>1404</v>
      </c>
      <c r="D89" t="b">
        <f t="shared" si="2"/>
        <v>0</v>
      </c>
      <c r="F89" s="5"/>
    </row>
    <row r="90" spans="1:6" x14ac:dyDescent="0.25">
      <c r="A90" t="s">
        <v>121</v>
      </c>
      <c r="B90" s="5" t="s">
        <v>137</v>
      </c>
      <c r="C90" t="s">
        <v>137</v>
      </c>
      <c r="D90" t="b">
        <f t="shared" si="2"/>
        <v>0</v>
      </c>
      <c r="F90" s="5"/>
    </row>
    <row r="91" spans="1:6" x14ac:dyDescent="0.25">
      <c r="A91" t="s">
        <v>121</v>
      </c>
      <c r="B91" s="5" t="s">
        <v>1851</v>
      </c>
      <c r="C91" t="s">
        <v>1851</v>
      </c>
      <c r="D91" t="b">
        <f t="shared" si="2"/>
        <v>0</v>
      </c>
      <c r="F91" s="5"/>
    </row>
    <row r="92" spans="1:6" x14ac:dyDescent="0.25">
      <c r="A92" t="s">
        <v>121</v>
      </c>
      <c r="B92" s="5" t="s">
        <v>2102</v>
      </c>
      <c r="C92" t="s">
        <v>1930</v>
      </c>
      <c r="D92" t="b">
        <f t="shared" si="2"/>
        <v>1</v>
      </c>
    </row>
    <row r="93" spans="1:6" x14ac:dyDescent="0.25">
      <c r="A93" t="s">
        <v>121</v>
      </c>
      <c r="B93" s="5" t="s">
        <v>149</v>
      </c>
      <c r="C93" t="s">
        <v>149</v>
      </c>
      <c r="D93" t="b">
        <f t="shared" si="2"/>
        <v>0</v>
      </c>
    </row>
    <row r="94" spans="1:6" x14ac:dyDescent="0.25">
      <c r="A94" t="s">
        <v>121</v>
      </c>
      <c r="B94" s="5" t="s">
        <v>1935</v>
      </c>
      <c r="C94" s="5" t="s">
        <v>1935</v>
      </c>
      <c r="D94" t="b">
        <f t="shared" si="2"/>
        <v>0</v>
      </c>
    </row>
    <row r="95" spans="1:6" x14ac:dyDescent="0.25">
      <c r="A95" t="s">
        <v>121</v>
      </c>
      <c r="B95" s="5" t="s">
        <v>150</v>
      </c>
      <c r="C95" t="s">
        <v>150</v>
      </c>
      <c r="D95" t="b">
        <f t="shared" si="2"/>
        <v>0</v>
      </c>
      <c r="F95"/>
    </row>
    <row r="96" spans="1:6" x14ac:dyDescent="0.25">
      <c r="A96" t="s">
        <v>121</v>
      </c>
      <c r="B96" s="5" t="s">
        <v>1402</v>
      </c>
      <c r="C96" t="s">
        <v>1402</v>
      </c>
      <c r="D96" t="b">
        <f t="shared" si="2"/>
        <v>0</v>
      </c>
      <c r="F96"/>
    </row>
    <row r="97" spans="1:6" x14ac:dyDescent="0.25">
      <c r="A97" t="s">
        <v>121</v>
      </c>
      <c r="B97" s="5" t="s">
        <v>148</v>
      </c>
      <c r="C97" t="s">
        <v>148</v>
      </c>
      <c r="D97" t="b">
        <f t="shared" si="2"/>
        <v>0</v>
      </c>
      <c r="F97"/>
    </row>
    <row r="98" spans="1:6" x14ac:dyDescent="0.25">
      <c r="A98" t="s">
        <v>121</v>
      </c>
      <c r="B98" s="5" t="s">
        <v>771</v>
      </c>
      <c r="C98" t="s">
        <v>771</v>
      </c>
      <c r="D98" t="b">
        <f t="shared" si="2"/>
        <v>0</v>
      </c>
    </row>
    <row r="99" spans="1:6" x14ac:dyDescent="0.25">
      <c r="A99" t="s">
        <v>121</v>
      </c>
      <c r="B99" s="5" t="s">
        <v>1391</v>
      </c>
      <c r="C99" t="s">
        <v>1391</v>
      </c>
      <c r="D99" t="b">
        <f t="shared" si="2"/>
        <v>0</v>
      </c>
    </row>
    <row r="100" spans="1:6" x14ac:dyDescent="0.25">
      <c r="A100" t="s">
        <v>121</v>
      </c>
      <c r="B100" s="5" t="s">
        <v>1095</v>
      </c>
      <c r="C100" s="5" t="s">
        <v>1095</v>
      </c>
      <c r="D100" t="b">
        <f t="shared" si="2"/>
        <v>0</v>
      </c>
    </row>
    <row r="101" spans="1:6" x14ac:dyDescent="0.25">
      <c r="A101" t="s">
        <v>121</v>
      </c>
      <c r="B101" s="5" t="s">
        <v>1244</v>
      </c>
      <c r="C101" s="5" t="s">
        <v>1244</v>
      </c>
      <c r="D101" t="b">
        <f t="shared" si="2"/>
        <v>0</v>
      </c>
    </row>
    <row r="102" spans="1:6" x14ac:dyDescent="0.25">
      <c r="A102" t="s">
        <v>121</v>
      </c>
      <c r="B102" s="5" t="s">
        <v>1405</v>
      </c>
      <c r="C102" s="5" t="s">
        <v>1405</v>
      </c>
      <c r="D102" t="b">
        <f t="shared" si="2"/>
        <v>0</v>
      </c>
    </row>
    <row r="103" spans="1:6" x14ac:dyDescent="0.25">
      <c r="D103" t="b">
        <f t="shared" si="2"/>
        <v>0</v>
      </c>
    </row>
  </sheetData>
  <mergeCells count="1">
    <mergeCell ref="A1:G1"/>
  </mergeCells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notContainsText" priority="1" operator="notContains" id="{EB5AD7D9-29B2-47F5-86CF-CA2B52574FF0}">
            <xm:f>ISERROR(SEARCH(C3,B3))</xm:f>
            <xm:f>C3</xm:f>
            <x14:dxf>
              <fill>
                <patternFill>
                  <bgColor theme="5" tint="0.39994506668294322"/>
                </patternFill>
              </fill>
            </x14:dxf>
          </x14:cfRule>
          <xm:sqref>B3:B102</xm:sqref>
        </x14:conditionalFormatting>
      </x14:conditionalFormatting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053AA-B15A-48C2-8C15-C59963A4D3D5}">
  <sheetPr codeName="Planilha25"/>
  <dimension ref="A1:G102"/>
  <sheetViews>
    <sheetView topLeftCell="A50" workbookViewId="0">
      <selection activeCell="C57" sqref="C57"/>
    </sheetView>
  </sheetViews>
  <sheetFormatPr defaultRowHeight="15" x14ac:dyDescent="0.25"/>
  <cols>
    <col min="1" max="1" width="12.5703125" style="5" bestFit="1" customWidth="1"/>
    <col min="2" max="3" width="38.7109375" customWidth="1"/>
    <col min="4" max="4" width="10.28515625" hidden="1" customWidth="1"/>
    <col min="5" max="5" width="4.28515625" customWidth="1"/>
    <col min="6" max="6" width="22.7109375" style="3" customWidth="1"/>
    <col min="7" max="7" width="8.7109375" customWidth="1"/>
  </cols>
  <sheetData>
    <row r="1" spans="1:7" ht="21" x14ac:dyDescent="0.25">
      <c r="A1" s="12" t="s">
        <v>29</v>
      </c>
      <c r="B1" s="12"/>
      <c r="C1" s="12"/>
      <c r="D1" s="12"/>
      <c r="E1" s="12"/>
      <c r="F1" s="12"/>
      <c r="G1" s="12"/>
    </row>
    <row r="2" spans="1:7" x14ac:dyDescent="0.25">
      <c r="A2" s="4" t="s">
        <v>11</v>
      </c>
      <c r="B2" s="4" t="s">
        <v>12</v>
      </c>
      <c r="C2" s="4" t="s">
        <v>13</v>
      </c>
      <c r="D2" s="4" t="s">
        <v>14</v>
      </c>
      <c r="F2" s="4" t="s">
        <v>16</v>
      </c>
      <c r="G2" s="3">
        <f>COUNTIF(D:D,"Verdadeiro")</f>
        <v>10</v>
      </c>
    </row>
    <row r="3" spans="1:7" x14ac:dyDescent="0.25">
      <c r="A3" s="9" t="s">
        <v>1539</v>
      </c>
      <c r="B3" s="5" t="s">
        <v>1045</v>
      </c>
      <c r="C3" s="5" t="s">
        <v>1045</v>
      </c>
      <c r="D3" t="b">
        <f>B3&lt;&gt;C3</f>
        <v>0</v>
      </c>
      <c r="F3" s="4" t="s">
        <v>17</v>
      </c>
      <c r="G3" s="3">
        <f>SUM(G6:G24)</f>
        <v>100</v>
      </c>
    </row>
    <row r="4" spans="1:7" x14ac:dyDescent="0.25">
      <c r="A4" t="s">
        <v>15</v>
      </c>
      <c r="B4" s="5" t="s">
        <v>993</v>
      </c>
      <c r="C4" t="s">
        <v>993</v>
      </c>
      <c r="D4" t="b">
        <f>B4&lt;&gt;C4</f>
        <v>0</v>
      </c>
    </row>
    <row r="5" spans="1:7" x14ac:dyDescent="0.25">
      <c r="A5" t="s">
        <v>15</v>
      </c>
      <c r="B5" s="5" t="s">
        <v>994</v>
      </c>
      <c r="C5" t="s">
        <v>994</v>
      </c>
      <c r="D5" t="b">
        <f t="shared" ref="D5:D68" si="0">B5&lt;&gt;C5</f>
        <v>0</v>
      </c>
      <c r="F5" s="6" t="s">
        <v>19</v>
      </c>
      <c r="G5" s="1"/>
    </row>
    <row r="6" spans="1:7" x14ac:dyDescent="0.25">
      <c r="A6" t="s">
        <v>15</v>
      </c>
      <c r="B6" s="5" t="s">
        <v>508</v>
      </c>
      <c r="C6" t="s">
        <v>508</v>
      </c>
      <c r="D6" t="b">
        <f t="shared" si="0"/>
        <v>0</v>
      </c>
      <c r="F6" s="3" t="s">
        <v>1539</v>
      </c>
      <c r="G6" s="2">
        <f t="shared" ref="G6:G14" si="1">COUNTIF(A:A,F6)</f>
        <v>1</v>
      </c>
    </row>
    <row r="7" spans="1:7" x14ac:dyDescent="0.25">
      <c r="A7" t="s">
        <v>15</v>
      </c>
      <c r="B7" s="5" t="s">
        <v>995</v>
      </c>
      <c r="C7" t="s">
        <v>995</v>
      </c>
      <c r="D7" t="b">
        <f t="shared" si="0"/>
        <v>0</v>
      </c>
      <c r="F7" s="7" t="s">
        <v>15</v>
      </c>
      <c r="G7" s="2">
        <f t="shared" si="1"/>
        <v>35</v>
      </c>
    </row>
    <row r="8" spans="1:7" x14ac:dyDescent="0.25">
      <c r="A8" t="s">
        <v>15</v>
      </c>
      <c r="B8" s="5" t="s">
        <v>996</v>
      </c>
      <c r="C8" t="s">
        <v>996</v>
      </c>
      <c r="D8" t="b">
        <f t="shared" si="0"/>
        <v>0</v>
      </c>
      <c r="F8" s="7" t="s">
        <v>21</v>
      </c>
      <c r="G8" s="2">
        <f t="shared" si="1"/>
        <v>12</v>
      </c>
    </row>
    <row r="9" spans="1:7" x14ac:dyDescent="0.25">
      <c r="A9" t="s">
        <v>15</v>
      </c>
      <c r="B9" s="5" t="s">
        <v>997</v>
      </c>
      <c r="C9" t="s">
        <v>997</v>
      </c>
      <c r="D9" t="b">
        <f t="shared" si="0"/>
        <v>0</v>
      </c>
      <c r="F9" s="7" t="s">
        <v>998</v>
      </c>
      <c r="G9" s="2">
        <f t="shared" si="1"/>
        <v>12</v>
      </c>
    </row>
    <row r="10" spans="1:7" x14ac:dyDescent="0.25">
      <c r="A10" t="s">
        <v>15</v>
      </c>
      <c r="B10" s="5" t="s">
        <v>840</v>
      </c>
      <c r="C10" t="s">
        <v>840</v>
      </c>
      <c r="D10" t="b">
        <f t="shared" si="0"/>
        <v>0</v>
      </c>
      <c r="F10" s="7" t="s">
        <v>1000</v>
      </c>
      <c r="G10" s="2">
        <f t="shared" si="1"/>
        <v>12</v>
      </c>
    </row>
    <row r="11" spans="1:7" x14ac:dyDescent="0.25">
      <c r="A11" t="s">
        <v>15</v>
      </c>
      <c r="B11" s="5" t="s">
        <v>999</v>
      </c>
      <c r="C11" t="s">
        <v>999</v>
      </c>
      <c r="D11" t="b">
        <f t="shared" si="0"/>
        <v>0</v>
      </c>
      <c r="F11" s="7" t="s">
        <v>1002</v>
      </c>
      <c r="G11" s="2">
        <f t="shared" si="1"/>
        <v>8</v>
      </c>
    </row>
    <row r="12" spans="1:7" x14ac:dyDescent="0.25">
      <c r="A12" t="s">
        <v>15</v>
      </c>
      <c r="B12" s="5" t="s">
        <v>1001</v>
      </c>
      <c r="C12" t="s">
        <v>1001</v>
      </c>
      <c r="D12" t="b">
        <f t="shared" si="0"/>
        <v>0</v>
      </c>
      <c r="F12" s="7" t="s">
        <v>1004</v>
      </c>
      <c r="G12" s="2">
        <f t="shared" si="1"/>
        <v>2</v>
      </c>
    </row>
    <row r="13" spans="1:7" x14ac:dyDescent="0.25">
      <c r="A13" t="s">
        <v>15</v>
      </c>
      <c r="B13" s="5" t="s">
        <v>1003</v>
      </c>
      <c r="C13" t="s">
        <v>1003</v>
      </c>
      <c r="D13" t="b">
        <f t="shared" si="0"/>
        <v>0</v>
      </c>
      <c r="F13" s="7" t="s">
        <v>121</v>
      </c>
      <c r="G13" s="2">
        <f t="shared" si="1"/>
        <v>18</v>
      </c>
    </row>
    <row r="14" spans="1:7" x14ac:dyDescent="0.25">
      <c r="A14" t="s">
        <v>15</v>
      </c>
      <c r="B14" s="5" t="s">
        <v>1005</v>
      </c>
      <c r="C14" t="s">
        <v>1005</v>
      </c>
      <c r="D14" t="b">
        <f t="shared" si="0"/>
        <v>0</v>
      </c>
      <c r="F14" s="7" t="s">
        <v>287</v>
      </c>
      <c r="G14" s="2">
        <f t="shared" si="1"/>
        <v>0</v>
      </c>
    </row>
    <row r="15" spans="1:7" x14ac:dyDescent="0.25">
      <c r="A15" t="s">
        <v>15</v>
      </c>
      <c r="B15" s="5" t="s">
        <v>801</v>
      </c>
      <c r="C15" t="s">
        <v>801</v>
      </c>
      <c r="D15" t="b">
        <f t="shared" si="0"/>
        <v>0</v>
      </c>
      <c r="F15" s="4"/>
      <c r="G15" s="2"/>
    </row>
    <row r="16" spans="1:7" x14ac:dyDescent="0.25">
      <c r="A16" t="s">
        <v>15</v>
      </c>
      <c r="B16" s="5" t="s">
        <v>1006</v>
      </c>
      <c r="C16" t="s">
        <v>1006</v>
      </c>
      <c r="D16" t="b">
        <f t="shared" si="0"/>
        <v>0</v>
      </c>
      <c r="F16" s="4"/>
      <c r="G16" s="2"/>
    </row>
    <row r="17" spans="1:4" x14ac:dyDescent="0.25">
      <c r="A17" t="s">
        <v>15</v>
      </c>
      <c r="B17" s="5" t="s">
        <v>1007</v>
      </c>
      <c r="C17" t="s">
        <v>1007</v>
      </c>
      <c r="D17" t="b">
        <f t="shared" si="0"/>
        <v>0</v>
      </c>
    </row>
    <row r="18" spans="1:4" x14ac:dyDescent="0.25">
      <c r="A18" t="s">
        <v>15</v>
      </c>
      <c r="B18" s="5" t="s">
        <v>238</v>
      </c>
      <c r="C18" t="s">
        <v>238</v>
      </c>
      <c r="D18" t="b">
        <f t="shared" si="0"/>
        <v>0</v>
      </c>
    </row>
    <row r="19" spans="1:4" x14ac:dyDescent="0.25">
      <c r="A19" t="s">
        <v>15</v>
      </c>
      <c r="B19" s="5" t="s">
        <v>240</v>
      </c>
      <c r="C19" t="s">
        <v>240</v>
      </c>
      <c r="D19" t="b">
        <f t="shared" si="0"/>
        <v>0</v>
      </c>
    </row>
    <row r="20" spans="1:4" x14ac:dyDescent="0.25">
      <c r="A20" t="s">
        <v>15</v>
      </c>
      <c r="B20" s="5" t="s">
        <v>1008</v>
      </c>
      <c r="C20" t="s">
        <v>1008</v>
      </c>
      <c r="D20" t="b">
        <f t="shared" si="0"/>
        <v>0</v>
      </c>
    </row>
    <row r="21" spans="1:4" x14ac:dyDescent="0.25">
      <c r="A21" t="s">
        <v>15</v>
      </c>
      <c r="B21" s="5" t="s">
        <v>239</v>
      </c>
      <c r="C21" t="s">
        <v>239</v>
      </c>
      <c r="D21" t="b">
        <f t="shared" si="0"/>
        <v>0</v>
      </c>
    </row>
    <row r="22" spans="1:4" x14ac:dyDescent="0.25">
      <c r="A22" t="s">
        <v>15</v>
      </c>
      <c r="B22" s="5" t="s">
        <v>1009</v>
      </c>
      <c r="C22" t="s">
        <v>1009</v>
      </c>
      <c r="D22" t="b">
        <f t="shared" si="0"/>
        <v>0</v>
      </c>
    </row>
    <row r="23" spans="1:4" x14ac:dyDescent="0.25">
      <c r="A23" t="s">
        <v>15</v>
      </c>
      <c r="B23" s="5" t="s">
        <v>1010</v>
      </c>
      <c r="C23" t="s">
        <v>1010</v>
      </c>
      <c r="D23" t="b">
        <f t="shared" si="0"/>
        <v>0</v>
      </c>
    </row>
    <row r="24" spans="1:4" x14ac:dyDescent="0.25">
      <c r="A24" t="s">
        <v>15</v>
      </c>
      <c r="B24" s="5" t="s">
        <v>34</v>
      </c>
      <c r="C24" t="s">
        <v>34</v>
      </c>
      <c r="D24" t="b">
        <f t="shared" si="0"/>
        <v>0</v>
      </c>
    </row>
    <row r="25" spans="1:4" x14ac:dyDescent="0.25">
      <c r="A25" t="s">
        <v>15</v>
      </c>
      <c r="B25" s="5" t="s">
        <v>1011</v>
      </c>
      <c r="C25" t="s">
        <v>1011</v>
      </c>
      <c r="D25" t="b">
        <f t="shared" si="0"/>
        <v>0</v>
      </c>
    </row>
    <row r="26" spans="1:4" x14ac:dyDescent="0.25">
      <c r="A26" t="s">
        <v>15</v>
      </c>
      <c r="B26" s="5" t="s">
        <v>1648</v>
      </c>
      <c r="C26" t="s">
        <v>1648</v>
      </c>
      <c r="D26" t="b">
        <f t="shared" si="0"/>
        <v>0</v>
      </c>
    </row>
    <row r="27" spans="1:4" x14ac:dyDescent="0.25">
      <c r="A27" t="s">
        <v>15</v>
      </c>
      <c r="B27" s="5" t="s">
        <v>20</v>
      </c>
      <c r="C27" t="s">
        <v>20</v>
      </c>
      <c r="D27" t="b">
        <f t="shared" si="0"/>
        <v>0</v>
      </c>
    </row>
    <row r="28" spans="1:4" x14ac:dyDescent="0.25">
      <c r="A28" t="s">
        <v>15</v>
      </c>
      <c r="B28" s="5" t="s">
        <v>43</v>
      </c>
      <c r="C28" t="s">
        <v>43</v>
      </c>
      <c r="D28" t="b">
        <f t="shared" si="0"/>
        <v>0</v>
      </c>
    </row>
    <row r="29" spans="1:4" x14ac:dyDescent="0.25">
      <c r="A29" t="s">
        <v>15</v>
      </c>
      <c r="B29" s="5" t="s">
        <v>60</v>
      </c>
      <c r="C29" t="s">
        <v>60</v>
      </c>
      <c r="D29" t="b">
        <f t="shared" si="0"/>
        <v>0</v>
      </c>
    </row>
    <row r="30" spans="1:4" x14ac:dyDescent="0.25">
      <c r="A30" t="s">
        <v>15</v>
      </c>
      <c r="B30" s="5" t="s">
        <v>60</v>
      </c>
      <c r="C30" t="s">
        <v>60</v>
      </c>
      <c r="D30" t="b">
        <f t="shared" si="0"/>
        <v>0</v>
      </c>
    </row>
    <row r="31" spans="1:4" x14ac:dyDescent="0.25">
      <c r="A31" t="s">
        <v>15</v>
      </c>
      <c r="B31" s="5" t="s">
        <v>62</v>
      </c>
      <c r="C31" t="s">
        <v>62</v>
      </c>
      <c r="D31" t="b">
        <f t="shared" si="0"/>
        <v>0</v>
      </c>
    </row>
    <row r="32" spans="1:4" x14ac:dyDescent="0.25">
      <c r="A32" t="s">
        <v>15</v>
      </c>
      <c r="B32" s="5" t="s">
        <v>62</v>
      </c>
      <c r="C32" t="s">
        <v>62</v>
      </c>
      <c r="D32" t="b">
        <f t="shared" si="0"/>
        <v>0</v>
      </c>
    </row>
    <row r="33" spans="1:4" x14ac:dyDescent="0.25">
      <c r="A33" t="s">
        <v>15</v>
      </c>
      <c r="B33" s="5" t="s">
        <v>172</v>
      </c>
      <c r="C33" t="s">
        <v>172</v>
      </c>
      <c r="D33" t="b">
        <f t="shared" si="0"/>
        <v>0</v>
      </c>
    </row>
    <row r="34" spans="1:4" x14ac:dyDescent="0.25">
      <c r="A34" t="s">
        <v>15</v>
      </c>
      <c r="B34" s="5" t="s">
        <v>172</v>
      </c>
      <c r="C34" t="s">
        <v>172</v>
      </c>
      <c r="D34" t="b">
        <f t="shared" si="0"/>
        <v>0</v>
      </c>
    </row>
    <row r="35" spans="1:4" x14ac:dyDescent="0.25">
      <c r="A35" t="s">
        <v>15</v>
      </c>
      <c r="B35" s="5" t="s">
        <v>61</v>
      </c>
      <c r="C35" t="s">
        <v>61</v>
      </c>
      <c r="D35" t="b">
        <f t="shared" si="0"/>
        <v>0</v>
      </c>
    </row>
    <row r="36" spans="1:4" x14ac:dyDescent="0.25">
      <c r="A36" t="s">
        <v>15</v>
      </c>
      <c r="B36" s="5" t="s">
        <v>61</v>
      </c>
      <c r="C36" t="s">
        <v>61</v>
      </c>
      <c r="D36" t="b">
        <f t="shared" si="0"/>
        <v>0</v>
      </c>
    </row>
    <row r="37" spans="1:4" x14ac:dyDescent="0.25">
      <c r="A37" t="s">
        <v>15</v>
      </c>
      <c r="B37" s="5" t="s">
        <v>122</v>
      </c>
      <c r="C37" t="s">
        <v>122</v>
      </c>
      <c r="D37" t="b">
        <f t="shared" si="0"/>
        <v>0</v>
      </c>
    </row>
    <row r="38" spans="1:4" x14ac:dyDescent="0.25">
      <c r="A38" t="s">
        <v>15</v>
      </c>
      <c r="B38" s="5" t="s">
        <v>122</v>
      </c>
      <c r="C38" t="s">
        <v>122</v>
      </c>
      <c r="D38" t="b">
        <f t="shared" si="0"/>
        <v>0</v>
      </c>
    </row>
    <row r="39" spans="1:4" x14ac:dyDescent="0.25">
      <c r="A39" t="s">
        <v>21</v>
      </c>
      <c r="B39" s="5" t="s">
        <v>173</v>
      </c>
      <c r="C39" t="s">
        <v>173</v>
      </c>
      <c r="D39" t="b">
        <f t="shared" si="0"/>
        <v>0</v>
      </c>
    </row>
    <row r="40" spans="1:4" x14ac:dyDescent="0.25">
      <c r="A40" t="s">
        <v>21</v>
      </c>
      <c r="B40" s="5" t="s">
        <v>174</v>
      </c>
      <c r="C40" t="s">
        <v>174</v>
      </c>
      <c r="D40" t="b">
        <f t="shared" si="0"/>
        <v>0</v>
      </c>
    </row>
    <row r="41" spans="1:4" x14ac:dyDescent="0.25">
      <c r="A41" t="s">
        <v>21</v>
      </c>
      <c r="B41" s="5" t="s">
        <v>176</v>
      </c>
      <c r="C41" t="s">
        <v>176</v>
      </c>
      <c r="D41" t="b">
        <f t="shared" si="0"/>
        <v>0</v>
      </c>
    </row>
    <row r="42" spans="1:4" x14ac:dyDescent="0.25">
      <c r="A42" t="s">
        <v>21</v>
      </c>
      <c r="B42" s="5" t="s">
        <v>175</v>
      </c>
      <c r="C42" t="s">
        <v>175</v>
      </c>
      <c r="D42" t="b">
        <f t="shared" si="0"/>
        <v>0</v>
      </c>
    </row>
    <row r="43" spans="1:4" x14ac:dyDescent="0.25">
      <c r="A43" t="s">
        <v>21</v>
      </c>
      <c r="B43" s="5" t="s">
        <v>466</v>
      </c>
      <c r="C43" t="s">
        <v>466</v>
      </c>
      <c r="D43" t="b">
        <f t="shared" si="0"/>
        <v>0</v>
      </c>
    </row>
    <row r="44" spans="1:4" x14ac:dyDescent="0.25">
      <c r="A44" t="s">
        <v>21</v>
      </c>
      <c r="B44" s="5" t="s">
        <v>300</v>
      </c>
      <c r="C44" t="s">
        <v>300</v>
      </c>
      <c r="D44" t="b">
        <f t="shared" si="0"/>
        <v>0</v>
      </c>
    </row>
    <row r="45" spans="1:4" x14ac:dyDescent="0.25">
      <c r="A45" t="s">
        <v>21</v>
      </c>
      <c r="B45" s="5" t="s">
        <v>177</v>
      </c>
      <c r="C45" t="s">
        <v>177</v>
      </c>
      <c r="D45" t="b">
        <f t="shared" si="0"/>
        <v>0</v>
      </c>
    </row>
    <row r="46" spans="1:4" x14ac:dyDescent="0.25">
      <c r="A46" t="s">
        <v>21</v>
      </c>
      <c r="B46" s="5" t="s">
        <v>301</v>
      </c>
      <c r="C46" t="s">
        <v>301</v>
      </c>
      <c r="D46" t="b">
        <f t="shared" si="0"/>
        <v>0</v>
      </c>
    </row>
    <row r="47" spans="1:4" x14ac:dyDescent="0.25">
      <c r="A47" t="s">
        <v>21</v>
      </c>
      <c r="B47" s="5" t="s">
        <v>467</v>
      </c>
      <c r="C47" t="s">
        <v>467</v>
      </c>
      <c r="D47" t="b">
        <f t="shared" si="0"/>
        <v>0</v>
      </c>
    </row>
    <row r="48" spans="1:4" x14ac:dyDescent="0.25">
      <c r="A48" t="s">
        <v>21</v>
      </c>
      <c r="B48" s="5" t="s">
        <v>124</v>
      </c>
      <c r="C48" t="s">
        <v>124</v>
      </c>
      <c r="D48" t="b">
        <f t="shared" si="0"/>
        <v>0</v>
      </c>
    </row>
    <row r="49" spans="1:4" x14ac:dyDescent="0.25">
      <c r="A49" t="s">
        <v>21</v>
      </c>
      <c r="B49" s="5" t="s">
        <v>126</v>
      </c>
      <c r="C49" t="s">
        <v>126</v>
      </c>
      <c r="D49" t="b">
        <f t="shared" si="0"/>
        <v>0</v>
      </c>
    </row>
    <row r="50" spans="1:4" x14ac:dyDescent="0.25">
      <c r="A50" t="s">
        <v>21</v>
      </c>
      <c r="B50" s="5" t="s">
        <v>125</v>
      </c>
      <c r="C50" t="s">
        <v>125</v>
      </c>
      <c r="D50" t="b">
        <f t="shared" si="0"/>
        <v>0</v>
      </c>
    </row>
    <row r="51" spans="1:4" x14ac:dyDescent="0.25">
      <c r="A51" t="s">
        <v>998</v>
      </c>
      <c r="B51" s="5" t="s">
        <v>1661</v>
      </c>
      <c r="C51" t="s">
        <v>1660</v>
      </c>
      <c r="D51" t="b">
        <f t="shared" si="0"/>
        <v>1</v>
      </c>
    </row>
    <row r="52" spans="1:4" x14ac:dyDescent="0.25">
      <c r="A52" t="s">
        <v>998</v>
      </c>
      <c r="B52" s="5" t="s">
        <v>1012</v>
      </c>
      <c r="C52" t="s">
        <v>1012</v>
      </c>
      <c r="D52" t="b">
        <f t="shared" si="0"/>
        <v>0</v>
      </c>
    </row>
    <row r="53" spans="1:4" x14ac:dyDescent="0.25">
      <c r="A53" t="s">
        <v>998</v>
      </c>
      <c r="B53" s="5" t="s">
        <v>1013</v>
      </c>
      <c r="C53" t="s">
        <v>1013</v>
      </c>
      <c r="D53" t="b">
        <f t="shared" si="0"/>
        <v>0</v>
      </c>
    </row>
    <row r="54" spans="1:4" x14ac:dyDescent="0.25">
      <c r="A54" t="s">
        <v>998</v>
      </c>
      <c r="B54" s="5" t="s">
        <v>1014</v>
      </c>
      <c r="C54" t="s">
        <v>1014</v>
      </c>
      <c r="D54" t="b">
        <f t="shared" si="0"/>
        <v>0</v>
      </c>
    </row>
    <row r="55" spans="1:4" x14ac:dyDescent="0.25">
      <c r="A55" t="s">
        <v>998</v>
      </c>
      <c r="B55" s="5" t="s">
        <v>1015</v>
      </c>
      <c r="C55" t="s">
        <v>1015</v>
      </c>
      <c r="D55" t="b">
        <f t="shared" si="0"/>
        <v>0</v>
      </c>
    </row>
    <row r="56" spans="1:4" x14ac:dyDescent="0.25">
      <c r="A56" t="s">
        <v>998</v>
      </c>
      <c r="B56" s="5" t="s">
        <v>1016</v>
      </c>
      <c r="C56" t="s">
        <v>1017</v>
      </c>
      <c r="D56" t="b">
        <f t="shared" si="0"/>
        <v>1</v>
      </c>
    </row>
    <row r="57" spans="1:4" x14ac:dyDescent="0.25">
      <c r="A57" t="s">
        <v>998</v>
      </c>
      <c r="B57" s="5" t="s">
        <v>1018</v>
      </c>
      <c r="C57" t="s">
        <v>1018</v>
      </c>
      <c r="D57" t="b">
        <f t="shared" si="0"/>
        <v>0</v>
      </c>
    </row>
    <row r="58" spans="1:4" x14ac:dyDescent="0.25">
      <c r="A58" t="s">
        <v>998</v>
      </c>
      <c r="B58" s="5" t="s">
        <v>1019</v>
      </c>
      <c r="C58" t="s">
        <v>1019</v>
      </c>
      <c r="D58" t="b">
        <f t="shared" si="0"/>
        <v>0</v>
      </c>
    </row>
    <row r="59" spans="1:4" x14ac:dyDescent="0.25">
      <c r="A59" t="s">
        <v>998</v>
      </c>
      <c r="B59" s="5" t="s">
        <v>441</v>
      </c>
      <c r="C59" t="s">
        <v>441</v>
      </c>
      <c r="D59" t="b">
        <f t="shared" si="0"/>
        <v>0</v>
      </c>
    </row>
    <row r="60" spans="1:4" x14ac:dyDescent="0.25">
      <c r="A60" t="s">
        <v>998</v>
      </c>
      <c r="B60" s="5" t="s">
        <v>1020</v>
      </c>
      <c r="C60" t="s">
        <v>1020</v>
      </c>
      <c r="D60" t="b">
        <f t="shared" si="0"/>
        <v>0</v>
      </c>
    </row>
    <row r="61" spans="1:4" x14ac:dyDescent="0.25">
      <c r="A61" t="s">
        <v>998</v>
      </c>
      <c r="B61" s="5" t="s">
        <v>1021</v>
      </c>
      <c r="C61" t="s">
        <v>1021</v>
      </c>
      <c r="D61" t="b">
        <f t="shared" si="0"/>
        <v>0</v>
      </c>
    </row>
    <row r="62" spans="1:4" x14ac:dyDescent="0.25">
      <c r="A62" t="s">
        <v>998</v>
      </c>
      <c r="B62" s="5" t="s">
        <v>1022</v>
      </c>
      <c r="C62" t="s">
        <v>1022</v>
      </c>
      <c r="D62" t="b">
        <f t="shared" si="0"/>
        <v>0</v>
      </c>
    </row>
    <row r="63" spans="1:4" x14ac:dyDescent="0.25">
      <c r="A63" t="s">
        <v>1000</v>
      </c>
      <c r="B63" s="5" t="s">
        <v>653</v>
      </c>
      <c r="C63" t="s">
        <v>1023</v>
      </c>
      <c r="D63" t="b">
        <f t="shared" si="0"/>
        <v>1</v>
      </c>
    </row>
    <row r="64" spans="1:4" x14ac:dyDescent="0.25">
      <c r="A64" t="s">
        <v>1000</v>
      </c>
      <c r="B64" s="5" t="s">
        <v>1662</v>
      </c>
      <c r="C64" t="s">
        <v>1024</v>
      </c>
      <c r="D64" t="b">
        <f t="shared" si="0"/>
        <v>1</v>
      </c>
    </row>
    <row r="65" spans="1:4" x14ac:dyDescent="0.25">
      <c r="A65" t="s">
        <v>1000</v>
      </c>
      <c r="B65" s="5" t="s">
        <v>1658</v>
      </c>
      <c r="C65" t="s">
        <v>428</v>
      </c>
      <c r="D65" t="b">
        <f t="shared" si="0"/>
        <v>1</v>
      </c>
    </row>
    <row r="66" spans="1:4" x14ac:dyDescent="0.25">
      <c r="A66" t="s">
        <v>1000</v>
      </c>
      <c r="B66" s="5" t="s">
        <v>1025</v>
      </c>
      <c r="C66" t="s">
        <v>1025</v>
      </c>
      <c r="D66" t="b">
        <f t="shared" si="0"/>
        <v>0</v>
      </c>
    </row>
    <row r="67" spans="1:4" x14ac:dyDescent="0.25">
      <c r="A67" t="s">
        <v>1000</v>
      </c>
      <c r="B67" s="5" t="s">
        <v>1026</v>
      </c>
      <c r="C67" t="s">
        <v>1026</v>
      </c>
      <c r="D67" t="b">
        <f t="shared" si="0"/>
        <v>0</v>
      </c>
    </row>
    <row r="68" spans="1:4" x14ac:dyDescent="0.25">
      <c r="A68" t="s">
        <v>1000</v>
      </c>
      <c r="B68" s="5" t="s">
        <v>1027</v>
      </c>
      <c r="C68" t="s">
        <v>1027</v>
      </c>
      <c r="D68" t="b">
        <f t="shared" si="0"/>
        <v>0</v>
      </c>
    </row>
    <row r="69" spans="1:4" x14ac:dyDescent="0.25">
      <c r="A69" t="s">
        <v>1000</v>
      </c>
      <c r="B69" s="5" t="s">
        <v>1028</v>
      </c>
      <c r="C69" t="s">
        <v>1028</v>
      </c>
      <c r="D69" t="b">
        <f t="shared" ref="D69:D102" si="2">B69&lt;&gt;C69</f>
        <v>0</v>
      </c>
    </row>
    <row r="70" spans="1:4" x14ac:dyDescent="0.25">
      <c r="A70" t="s">
        <v>1000</v>
      </c>
      <c r="B70" s="5" t="s">
        <v>1029</v>
      </c>
      <c r="C70" t="s">
        <v>1029</v>
      </c>
      <c r="D70" t="b">
        <f t="shared" si="2"/>
        <v>0</v>
      </c>
    </row>
    <row r="71" spans="1:4" x14ac:dyDescent="0.25">
      <c r="A71" t="s">
        <v>1000</v>
      </c>
      <c r="B71" s="5" t="s">
        <v>1030</v>
      </c>
      <c r="C71" t="s">
        <v>1030</v>
      </c>
      <c r="D71" t="b">
        <f t="shared" si="2"/>
        <v>0</v>
      </c>
    </row>
    <row r="72" spans="1:4" x14ac:dyDescent="0.25">
      <c r="A72" t="s">
        <v>1000</v>
      </c>
      <c r="B72" s="5" t="s">
        <v>1031</v>
      </c>
      <c r="C72" t="s">
        <v>1031</v>
      </c>
      <c r="D72" t="b">
        <f t="shared" si="2"/>
        <v>0</v>
      </c>
    </row>
    <row r="73" spans="1:4" x14ac:dyDescent="0.25">
      <c r="A73" t="s">
        <v>1000</v>
      </c>
      <c r="B73" s="5" t="s">
        <v>1659</v>
      </c>
      <c r="C73" t="s">
        <v>1032</v>
      </c>
      <c r="D73" t="b">
        <f t="shared" si="2"/>
        <v>1</v>
      </c>
    </row>
    <row r="74" spans="1:4" x14ac:dyDescent="0.25">
      <c r="A74" t="s">
        <v>1000</v>
      </c>
      <c r="B74" s="5" t="s">
        <v>1033</v>
      </c>
      <c r="C74" t="s">
        <v>1471</v>
      </c>
      <c r="D74" t="b">
        <f t="shared" si="2"/>
        <v>1</v>
      </c>
    </row>
    <row r="75" spans="1:4" x14ac:dyDescent="0.25">
      <c r="A75" t="s">
        <v>1002</v>
      </c>
      <c r="B75" s="5" t="s">
        <v>1034</v>
      </c>
      <c r="C75" t="s">
        <v>1035</v>
      </c>
      <c r="D75" t="b">
        <f t="shared" si="2"/>
        <v>1</v>
      </c>
    </row>
    <row r="76" spans="1:4" x14ac:dyDescent="0.25">
      <c r="A76" t="s">
        <v>1002</v>
      </c>
      <c r="B76" s="5" t="s">
        <v>498</v>
      </c>
      <c r="C76" t="s">
        <v>498</v>
      </c>
      <c r="D76" t="b">
        <f t="shared" si="2"/>
        <v>0</v>
      </c>
    </row>
    <row r="77" spans="1:4" x14ac:dyDescent="0.25">
      <c r="A77" t="s">
        <v>1002</v>
      </c>
      <c r="B77" s="5" t="s">
        <v>1036</v>
      </c>
      <c r="C77" t="s">
        <v>1036</v>
      </c>
      <c r="D77" t="b">
        <f t="shared" si="2"/>
        <v>0</v>
      </c>
    </row>
    <row r="78" spans="1:4" x14ac:dyDescent="0.25">
      <c r="A78" t="s">
        <v>1002</v>
      </c>
      <c r="B78" s="5" t="s">
        <v>1037</v>
      </c>
      <c r="C78" t="s">
        <v>1037</v>
      </c>
      <c r="D78" t="b">
        <f t="shared" si="2"/>
        <v>0</v>
      </c>
    </row>
    <row r="79" spans="1:4" x14ac:dyDescent="0.25">
      <c r="A79" t="s">
        <v>1002</v>
      </c>
      <c r="B79" s="5" t="s">
        <v>1038</v>
      </c>
      <c r="C79" t="s">
        <v>1038</v>
      </c>
      <c r="D79" t="b">
        <f t="shared" si="2"/>
        <v>0</v>
      </c>
    </row>
    <row r="80" spans="1:4" x14ac:dyDescent="0.25">
      <c r="A80" t="s">
        <v>1002</v>
      </c>
      <c r="B80" s="5" t="s">
        <v>1039</v>
      </c>
      <c r="C80" t="s">
        <v>1039</v>
      </c>
      <c r="D80" t="b">
        <f t="shared" si="2"/>
        <v>0</v>
      </c>
    </row>
    <row r="81" spans="1:4" x14ac:dyDescent="0.25">
      <c r="A81" t="s">
        <v>1002</v>
      </c>
      <c r="B81" s="5" t="s">
        <v>1040</v>
      </c>
      <c r="C81" t="s">
        <v>1040</v>
      </c>
      <c r="D81" t="b">
        <f t="shared" si="2"/>
        <v>0</v>
      </c>
    </row>
    <row r="82" spans="1:4" x14ac:dyDescent="0.25">
      <c r="A82" t="s">
        <v>1002</v>
      </c>
      <c r="B82" s="5" t="s">
        <v>1041</v>
      </c>
      <c r="C82" t="s">
        <v>1041</v>
      </c>
      <c r="D82" t="b">
        <f t="shared" si="2"/>
        <v>0</v>
      </c>
    </row>
    <row r="83" spans="1:4" x14ac:dyDescent="0.25">
      <c r="A83" t="s">
        <v>1004</v>
      </c>
      <c r="B83" s="5" t="s">
        <v>1042</v>
      </c>
      <c r="C83" t="s">
        <v>1042</v>
      </c>
      <c r="D83" t="b">
        <f t="shared" si="2"/>
        <v>0</v>
      </c>
    </row>
    <row r="84" spans="1:4" x14ac:dyDescent="0.25">
      <c r="A84" t="s">
        <v>1004</v>
      </c>
      <c r="B84" s="5" t="s">
        <v>1043</v>
      </c>
      <c r="C84" t="s">
        <v>1043</v>
      </c>
      <c r="D84" t="b">
        <f t="shared" si="2"/>
        <v>0</v>
      </c>
    </row>
    <row r="85" spans="1:4" x14ac:dyDescent="0.25">
      <c r="A85" t="s">
        <v>121</v>
      </c>
      <c r="B85" s="5" t="s">
        <v>1044</v>
      </c>
      <c r="C85" t="s">
        <v>1044</v>
      </c>
      <c r="D85" t="b">
        <f t="shared" si="2"/>
        <v>0</v>
      </c>
    </row>
    <row r="86" spans="1:4" x14ac:dyDescent="0.25">
      <c r="A86" t="s">
        <v>121</v>
      </c>
      <c r="B86" s="5" t="s">
        <v>1563</v>
      </c>
      <c r="C86" t="s">
        <v>1563</v>
      </c>
      <c r="D86" t="b">
        <f t="shared" si="2"/>
        <v>0</v>
      </c>
    </row>
    <row r="87" spans="1:4" x14ac:dyDescent="0.25">
      <c r="A87" t="s">
        <v>121</v>
      </c>
      <c r="B87" s="5" t="s">
        <v>1046</v>
      </c>
      <c r="C87" t="s">
        <v>1046</v>
      </c>
      <c r="D87" t="b">
        <f t="shared" si="2"/>
        <v>0</v>
      </c>
    </row>
    <row r="88" spans="1:4" x14ac:dyDescent="0.25">
      <c r="A88" t="s">
        <v>121</v>
      </c>
      <c r="B88" s="5" t="s">
        <v>1657</v>
      </c>
      <c r="C88" t="s">
        <v>1047</v>
      </c>
      <c r="D88" t="b">
        <f t="shared" si="2"/>
        <v>1</v>
      </c>
    </row>
    <row r="89" spans="1:4" x14ac:dyDescent="0.25">
      <c r="A89" t="s">
        <v>121</v>
      </c>
      <c r="B89" s="5" t="s">
        <v>1048</v>
      </c>
      <c r="C89" t="s">
        <v>1656</v>
      </c>
      <c r="D89" t="b">
        <f t="shared" si="2"/>
        <v>1</v>
      </c>
    </row>
    <row r="90" spans="1:4" x14ac:dyDescent="0.25">
      <c r="A90" t="s">
        <v>121</v>
      </c>
      <c r="B90" s="5" t="s">
        <v>1049</v>
      </c>
      <c r="C90" t="s">
        <v>1049</v>
      </c>
      <c r="D90" t="b">
        <f t="shared" si="2"/>
        <v>0</v>
      </c>
    </row>
    <row r="91" spans="1:4" x14ac:dyDescent="0.25">
      <c r="A91" t="s">
        <v>121</v>
      </c>
      <c r="B91" s="5" t="s">
        <v>1050</v>
      </c>
      <c r="C91" t="s">
        <v>1050</v>
      </c>
      <c r="D91" t="b">
        <f t="shared" si="2"/>
        <v>0</v>
      </c>
    </row>
    <row r="92" spans="1:4" x14ac:dyDescent="0.25">
      <c r="A92" t="s">
        <v>121</v>
      </c>
      <c r="B92" s="5" t="s">
        <v>1051</v>
      </c>
      <c r="C92" t="s">
        <v>1051</v>
      </c>
      <c r="D92" t="b">
        <f t="shared" si="2"/>
        <v>0</v>
      </c>
    </row>
    <row r="93" spans="1:4" x14ac:dyDescent="0.25">
      <c r="A93" t="s">
        <v>121</v>
      </c>
      <c r="B93" s="5" t="s">
        <v>1052</v>
      </c>
      <c r="C93" t="s">
        <v>1052</v>
      </c>
      <c r="D93" t="b">
        <f t="shared" si="2"/>
        <v>0</v>
      </c>
    </row>
    <row r="94" spans="1:4" x14ac:dyDescent="0.25">
      <c r="A94" t="s">
        <v>121</v>
      </c>
      <c r="B94" s="5" t="s">
        <v>1053</v>
      </c>
      <c r="C94" t="s">
        <v>1053</v>
      </c>
      <c r="D94" t="b">
        <f t="shared" si="2"/>
        <v>0</v>
      </c>
    </row>
    <row r="95" spans="1:4" x14ac:dyDescent="0.25">
      <c r="A95" t="s">
        <v>121</v>
      </c>
      <c r="B95" s="5" t="s">
        <v>1054</v>
      </c>
      <c r="C95" t="s">
        <v>1054</v>
      </c>
      <c r="D95" t="b">
        <f t="shared" si="2"/>
        <v>0</v>
      </c>
    </row>
    <row r="96" spans="1:4" x14ac:dyDescent="0.25">
      <c r="A96" t="s">
        <v>121</v>
      </c>
      <c r="B96" s="5" t="s">
        <v>1055</v>
      </c>
      <c r="C96" t="s">
        <v>1055</v>
      </c>
      <c r="D96" t="b">
        <f t="shared" si="2"/>
        <v>0</v>
      </c>
    </row>
    <row r="97" spans="1:4" x14ac:dyDescent="0.25">
      <c r="A97" t="s">
        <v>121</v>
      </c>
      <c r="B97" s="5" t="s">
        <v>1056</v>
      </c>
      <c r="C97" t="s">
        <v>1056</v>
      </c>
      <c r="D97" t="b">
        <f t="shared" si="2"/>
        <v>0</v>
      </c>
    </row>
    <row r="98" spans="1:4" x14ac:dyDescent="0.25">
      <c r="A98" t="s">
        <v>121</v>
      </c>
      <c r="B98" s="5" t="s">
        <v>1057</v>
      </c>
      <c r="C98" t="s">
        <v>1057</v>
      </c>
      <c r="D98" t="b">
        <f t="shared" si="2"/>
        <v>0</v>
      </c>
    </row>
    <row r="99" spans="1:4" x14ac:dyDescent="0.25">
      <c r="A99" t="s">
        <v>121</v>
      </c>
      <c r="B99" s="5" t="s">
        <v>1058</v>
      </c>
      <c r="C99" t="s">
        <v>1058</v>
      </c>
      <c r="D99" t="b">
        <f t="shared" si="2"/>
        <v>0</v>
      </c>
    </row>
    <row r="100" spans="1:4" x14ac:dyDescent="0.25">
      <c r="A100" t="s">
        <v>121</v>
      </c>
      <c r="B100" s="5" t="s">
        <v>1059</v>
      </c>
      <c r="C100" t="s">
        <v>1059</v>
      </c>
      <c r="D100" t="b">
        <f t="shared" si="2"/>
        <v>0</v>
      </c>
    </row>
    <row r="101" spans="1:4" x14ac:dyDescent="0.25">
      <c r="A101" t="s">
        <v>121</v>
      </c>
      <c r="B101" s="5" t="s">
        <v>1060</v>
      </c>
      <c r="C101" t="s">
        <v>1060</v>
      </c>
      <c r="D101" t="b">
        <f t="shared" si="2"/>
        <v>0</v>
      </c>
    </row>
    <row r="102" spans="1:4" x14ac:dyDescent="0.25">
      <c r="A102" s="5" t="s">
        <v>121</v>
      </c>
      <c r="B102" s="5" t="s">
        <v>1061</v>
      </c>
      <c r="C102" t="s">
        <v>1061</v>
      </c>
      <c r="D102" t="b">
        <f t="shared" si="2"/>
        <v>0</v>
      </c>
    </row>
  </sheetData>
  <mergeCells count="1">
    <mergeCell ref="A1:G1"/>
  </mergeCells>
  <pageMargins left="0.511811024" right="0.511811024" top="0.78740157499999996" bottom="0.78740157499999996" header="0.31496062000000002" footer="0.3149606200000000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notContainsText" priority="1" operator="notContains" id="{901F56B5-D59B-43AF-B9F3-B9276F4C0066}">
            <xm:f>ISERROR(SEARCH(C4,B4))</xm:f>
            <xm:f>C4</xm:f>
            <x14:dxf>
              <fill>
                <patternFill>
                  <bgColor theme="5" tint="0.39994506668294322"/>
                </patternFill>
              </fill>
            </x14:dxf>
          </x14:cfRule>
          <xm:sqref>B4:B102</xm:sqref>
        </x14:conditionalFormatting>
      </x14:conditionalFormatting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98A16-6CA0-4541-8314-7615E670E233}">
  <sheetPr codeName="Planilha8"/>
  <dimension ref="A1:G102"/>
  <sheetViews>
    <sheetView topLeftCell="A33" workbookViewId="0">
      <selection activeCell="B39" sqref="B39"/>
    </sheetView>
  </sheetViews>
  <sheetFormatPr defaultRowHeight="15" x14ac:dyDescent="0.25"/>
  <cols>
    <col min="1" max="1" width="11.85546875" style="5" customWidth="1"/>
    <col min="2" max="3" width="38.7109375" customWidth="1"/>
    <col min="4" max="4" width="12.42578125" style="3" hidden="1" customWidth="1"/>
    <col min="5" max="5" width="4.28515625" customWidth="1"/>
    <col min="6" max="6" width="22.7109375" style="3" customWidth="1"/>
    <col min="7" max="7" width="8" bestFit="1" customWidth="1"/>
  </cols>
  <sheetData>
    <row r="1" spans="1:7" ht="21" x14ac:dyDescent="0.25">
      <c r="A1" s="12" t="s">
        <v>218</v>
      </c>
      <c r="B1" s="12"/>
      <c r="C1" s="12"/>
      <c r="D1" s="12"/>
      <c r="E1" s="12"/>
      <c r="F1" s="12"/>
      <c r="G1" s="12"/>
    </row>
    <row r="2" spans="1:7" x14ac:dyDescent="0.25">
      <c r="A2" s="4" t="s">
        <v>11</v>
      </c>
      <c r="B2" s="4" t="s">
        <v>12</v>
      </c>
      <c r="C2" s="4" t="s">
        <v>13</v>
      </c>
      <c r="D2" s="4" t="s">
        <v>14</v>
      </c>
      <c r="F2" s="4" t="s">
        <v>16</v>
      </c>
      <c r="G2" s="3">
        <f>COUNTIF(D:D,"Verdadeiro")</f>
        <v>8</v>
      </c>
    </row>
    <row r="3" spans="1:7" x14ac:dyDescent="0.25">
      <c r="A3" s="5" t="s">
        <v>1539</v>
      </c>
      <c r="B3" s="5" t="s">
        <v>1564</v>
      </c>
      <c r="C3" s="5" t="s">
        <v>1564</v>
      </c>
      <c r="D3" s="3" t="b">
        <f>B3&lt;&gt;C3</f>
        <v>0</v>
      </c>
      <c r="F3" s="4" t="s">
        <v>17</v>
      </c>
      <c r="G3" s="3">
        <f>SUM(G6:G27)</f>
        <v>100</v>
      </c>
    </row>
    <row r="4" spans="1:7" x14ac:dyDescent="0.25">
      <c r="A4" s="5" t="s">
        <v>1539</v>
      </c>
      <c r="B4" s="5" t="s">
        <v>1565</v>
      </c>
      <c r="C4" s="5" t="s">
        <v>1565</v>
      </c>
      <c r="D4" s="3" t="b">
        <f>B4&lt;&gt;C4</f>
        <v>0</v>
      </c>
    </row>
    <row r="5" spans="1:7" x14ac:dyDescent="0.25">
      <c r="A5" t="s">
        <v>15</v>
      </c>
      <c r="B5" s="5" t="s">
        <v>219</v>
      </c>
      <c r="C5" t="s">
        <v>219</v>
      </c>
      <c r="D5" s="3" t="b">
        <f>B5&lt;&gt;C5</f>
        <v>0</v>
      </c>
      <c r="F5" s="4" t="s">
        <v>19</v>
      </c>
      <c r="G5" s="1"/>
    </row>
    <row r="6" spans="1:7" x14ac:dyDescent="0.25">
      <c r="A6" t="s">
        <v>15</v>
      </c>
      <c r="B6" s="5" t="s">
        <v>220</v>
      </c>
      <c r="C6" t="s">
        <v>220</v>
      </c>
      <c r="D6" s="3" t="b">
        <f t="shared" ref="D6:D69" si="0">B6&lt;&gt;C6</f>
        <v>0</v>
      </c>
      <c r="F6" s="7" t="s">
        <v>1539</v>
      </c>
      <c r="G6" s="2">
        <f t="shared" ref="G6:G15" si="1">COUNTIF(A:A,F6)</f>
        <v>2</v>
      </c>
    </row>
    <row r="7" spans="1:7" x14ac:dyDescent="0.25">
      <c r="A7" t="s">
        <v>15</v>
      </c>
      <c r="B7" s="5" t="s">
        <v>221</v>
      </c>
      <c r="C7" t="s">
        <v>221</v>
      </c>
      <c r="D7" s="3" t="b">
        <f t="shared" si="0"/>
        <v>0</v>
      </c>
      <c r="F7" s="7" t="s">
        <v>15</v>
      </c>
      <c r="G7" s="2">
        <f t="shared" si="1"/>
        <v>34</v>
      </c>
    </row>
    <row r="8" spans="1:7" x14ac:dyDescent="0.25">
      <c r="A8" t="s">
        <v>15</v>
      </c>
      <c r="B8" s="5" t="s">
        <v>222</v>
      </c>
      <c r="C8" t="s">
        <v>222</v>
      </c>
      <c r="D8" s="3" t="b">
        <f t="shared" si="0"/>
        <v>0</v>
      </c>
      <c r="F8" s="7" t="s">
        <v>21</v>
      </c>
      <c r="G8" s="2">
        <f t="shared" si="1"/>
        <v>12</v>
      </c>
    </row>
    <row r="9" spans="1:7" x14ac:dyDescent="0.25">
      <c r="A9" t="s">
        <v>15</v>
      </c>
      <c r="B9" s="5" t="s">
        <v>223</v>
      </c>
      <c r="C9" t="s">
        <v>223</v>
      </c>
      <c r="D9" s="3" t="b">
        <f t="shared" si="0"/>
        <v>0</v>
      </c>
      <c r="F9" s="7" t="s">
        <v>22</v>
      </c>
      <c r="G9" s="2">
        <f t="shared" si="1"/>
        <v>6</v>
      </c>
    </row>
    <row r="10" spans="1:7" x14ac:dyDescent="0.25">
      <c r="A10" t="s">
        <v>15</v>
      </c>
      <c r="B10" s="5" t="s">
        <v>224</v>
      </c>
      <c r="C10" t="s">
        <v>224</v>
      </c>
      <c r="D10" s="3" t="b">
        <f t="shared" si="0"/>
        <v>0</v>
      </c>
      <c r="F10" s="7" t="s">
        <v>228</v>
      </c>
      <c r="G10" s="2">
        <f t="shared" si="1"/>
        <v>4</v>
      </c>
    </row>
    <row r="11" spans="1:7" x14ac:dyDescent="0.25">
      <c r="A11" t="s">
        <v>15</v>
      </c>
      <c r="B11" s="5" t="s">
        <v>225</v>
      </c>
      <c r="C11" t="s">
        <v>225</v>
      </c>
      <c r="D11" s="3" t="b">
        <f t="shared" si="0"/>
        <v>0</v>
      </c>
      <c r="F11" s="3" t="s">
        <v>236</v>
      </c>
      <c r="G11" s="2">
        <f t="shared" si="1"/>
        <v>5</v>
      </c>
    </row>
    <row r="12" spans="1:7" x14ac:dyDescent="0.25">
      <c r="A12" t="s">
        <v>15</v>
      </c>
      <c r="B12" s="5" t="s">
        <v>226</v>
      </c>
      <c r="C12" t="s">
        <v>227</v>
      </c>
      <c r="D12" s="3" t="b">
        <f t="shared" si="0"/>
        <v>1</v>
      </c>
      <c r="F12" s="7" t="s">
        <v>23</v>
      </c>
      <c r="G12" s="2">
        <f t="shared" si="1"/>
        <v>5</v>
      </c>
    </row>
    <row r="13" spans="1:7" x14ac:dyDescent="0.25">
      <c r="A13" t="s">
        <v>15</v>
      </c>
      <c r="B13" s="5" t="s">
        <v>229</v>
      </c>
      <c r="C13" t="s">
        <v>229</v>
      </c>
      <c r="D13" s="3" t="b">
        <f t="shared" si="0"/>
        <v>0</v>
      </c>
      <c r="F13" s="7" t="s">
        <v>233</v>
      </c>
      <c r="G13" s="2">
        <f t="shared" si="1"/>
        <v>5</v>
      </c>
    </row>
    <row r="14" spans="1:7" x14ac:dyDescent="0.25">
      <c r="A14" t="s">
        <v>15</v>
      </c>
      <c r="B14" s="5" t="s">
        <v>231</v>
      </c>
      <c r="C14" t="s">
        <v>231</v>
      </c>
      <c r="D14" s="3" t="b">
        <f t="shared" si="0"/>
        <v>0</v>
      </c>
      <c r="F14" s="7" t="s">
        <v>46</v>
      </c>
      <c r="G14" s="2">
        <f t="shared" si="1"/>
        <v>22</v>
      </c>
    </row>
    <row r="15" spans="1:7" x14ac:dyDescent="0.25">
      <c r="A15" t="s">
        <v>15</v>
      </c>
      <c r="B15" s="5" t="s">
        <v>232</v>
      </c>
      <c r="C15" t="s">
        <v>232</v>
      </c>
      <c r="D15" s="3" t="b">
        <f t="shared" si="0"/>
        <v>0</v>
      </c>
      <c r="F15" s="3" t="s">
        <v>1427</v>
      </c>
      <c r="G15" s="2">
        <f t="shared" si="1"/>
        <v>5</v>
      </c>
    </row>
    <row r="16" spans="1:7" x14ac:dyDescent="0.25">
      <c r="A16" t="s">
        <v>15</v>
      </c>
      <c r="B16" s="5" t="s">
        <v>234</v>
      </c>
      <c r="C16" t="s">
        <v>234</v>
      </c>
      <c r="D16" s="3" t="b">
        <f t="shared" si="0"/>
        <v>0</v>
      </c>
    </row>
    <row r="17" spans="1:7" x14ac:dyDescent="0.25">
      <c r="A17" t="s">
        <v>15</v>
      </c>
      <c r="B17" s="5" t="s">
        <v>235</v>
      </c>
      <c r="C17" t="s">
        <v>235</v>
      </c>
      <c r="D17" s="3" t="b">
        <f t="shared" si="0"/>
        <v>0</v>
      </c>
    </row>
    <row r="18" spans="1:7" x14ac:dyDescent="0.25">
      <c r="A18" t="s">
        <v>15</v>
      </c>
      <c r="B18" s="5" t="s">
        <v>116</v>
      </c>
      <c r="C18" t="s">
        <v>116</v>
      </c>
      <c r="D18" s="3" t="b">
        <f t="shared" si="0"/>
        <v>0</v>
      </c>
    </row>
    <row r="19" spans="1:7" x14ac:dyDescent="0.25">
      <c r="A19" t="s">
        <v>15</v>
      </c>
      <c r="B19" s="5" t="s">
        <v>20</v>
      </c>
      <c r="C19" t="s">
        <v>20</v>
      </c>
      <c r="D19" s="3" t="b">
        <f t="shared" si="0"/>
        <v>0</v>
      </c>
      <c r="F19" s="4"/>
      <c r="G19" s="2"/>
    </row>
    <row r="20" spans="1:7" x14ac:dyDescent="0.25">
      <c r="A20" t="s">
        <v>15</v>
      </c>
      <c r="B20" s="5" t="s">
        <v>43</v>
      </c>
      <c r="C20" t="s">
        <v>43</v>
      </c>
      <c r="D20" s="3" t="b">
        <f t="shared" si="0"/>
        <v>0</v>
      </c>
      <c r="G20" s="2"/>
    </row>
    <row r="21" spans="1:7" x14ac:dyDescent="0.25">
      <c r="A21" t="s">
        <v>15</v>
      </c>
      <c r="B21" s="5" t="s">
        <v>237</v>
      </c>
      <c r="C21" t="s">
        <v>237</v>
      </c>
      <c r="D21" s="3" t="b">
        <f t="shared" si="0"/>
        <v>0</v>
      </c>
      <c r="G21" s="2"/>
    </row>
    <row r="22" spans="1:7" x14ac:dyDescent="0.25">
      <c r="A22" t="s">
        <v>15</v>
      </c>
      <c r="B22" s="5" t="s">
        <v>114</v>
      </c>
      <c r="C22" t="s">
        <v>114</v>
      </c>
      <c r="D22" s="3" t="b">
        <f t="shared" si="0"/>
        <v>0</v>
      </c>
      <c r="G22" s="2"/>
    </row>
    <row r="23" spans="1:7" x14ac:dyDescent="0.25">
      <c r="A23" t="s">
        <v>15</v>
      </c>
      <c r="B23" s="5" t="s">
        <v>45</v>
      </c>
      <c r="C23" t="s">
        <v>45</v>
      </c>
      <c r="D23" s="3" t="b">
        <f t="shared" si="0"/>
        <v>0</v>
      </c>
      <c r="G23" s="2"/>
    </row>
    <row r="24" spans="1:7" x14ac:dyDescent="0.25">
      <c r="A24" t="s">
        <v>15</v>
      </c>
      <c r="B24" s="5" t="s">
        <v>238</v>
      </c>
      <c r="C24" t="s">
        <v>238</v>
      </c>
      <c r="D24" s="3" t="b">
        <f t="shared" si="0"/>
        <v>0</v>
      </c>
      <c r="G24" s="2"/>
    </row>
    <row r="25" spans="1:7" x14ac:dyDescent="0.25">
      <c r="A25" t="s">
        <v>15</v>
      </c>
      <c r="B25" s="5" t="s">
        <v>239</v>
      </c>
      <c r="C25" t="s">
        <v>239</v>
      </c>
      <c r="D25" s="3" t="b">
        <f t="shared" si="0"/>
        <v>0</v>
      </c>
      <c r="G25" s="2"/>
    </row>
    <row r="26" spans="1:7" x14ac:dyDescent="0.25">
      <c r="A26" t="s">
        <v>15</v>
      </c>
      <c r="B26" s="5" t="s">
        <v>240</v>
      </c>
      <c r="C26" t="s">
        <v>240</v>
      </c>
      <c r="D26" s="3" t="b">
        <f t="shared" si="0"/>
        <v>0</v>
      </c>
      <c r="G26" s="2"/>
    </row>
    <row r="27" spans="1:7" x14ac:dyDescent="0.25">
      <c r="A27" t="s">
        <v>15</v>
      </c>
      <c r="B27" s="5" t="s">
        <v>40</v>
      </c>
      <c r="C27" t="s">
        <v>40</v>
      </c>
      <c r="D27" s="3" t="b">
        <f t="shared" si="0"/>
        <v>0</v>
      </c>
      <c r="G27" s="2"/>
    </row>
    <row r="28" spans="1:7" x14ac:dyDescent="0.25">
      <c r="A28" t="s">
        <v>15</v>
      </c>
      <c r="B28" s="5" t="s">
        <v>34</v>
      </c>
      <c r="C28" t="s">
        <v>34</v>
      </c>
      <c r="D28" s="3" t="b">
        <f t="shared" si="0"/>
        <v>0</v>
      </c>
      <c r="G28" s="2"/>
    </row>
    <row r="29" spans="1:7" x14ac:dyDescent="0.25">
      <c r="A29" t="s">
        <v>15</v>
      </c>
      <c r="B29" s="5" t="s">
        <v>61</v>
      </c>
      <c r="C29" t="s">
        <v>1457</v>
      </c>
      <c r="D29" s="3" t="b">
        <f t="shared" si="0"/>
        <v>1</v>
      </c>
      <c r="G29" s="2"/>
    </row>
    <row r="30" spans="1:7" x14ac:dyDescent="0.25">
      <c r="A30" t="s">
        <v>15</v>
      </c>
      <c r="B30" s="5" t="s">
        <v>172</v>
      </c>
      <c r="C30" t="s">
        <v>172</v>
      </c>
      <c r="D30" s="3" t="b">
        <f t="shared" si="0"/>
        <v>0</v>
      </c>
      <c r="G30" s="2"/>
    </row>
    <row r="31" spans="1:7" x14ac:dyDescent="0.25">
      <c r="A31" t="s">
        <v>15</v>
      </c>
      <c r="B31" s="5" t="s">
        <v>172</v>
      </c>
      <c r="C31" t="s">
        <v>172</v>
      </c>
      <c r="D31" s="3" t="b">
        <f t="shared" si="0"/>
        <v>0</v>
      </c>
    </row>
    <row r="32" spans="1:7" x14ac:dyDescent="0.25">
      <c r="A32" t="s">
        <v>15</v>
      </c>
      <c r="B32" s="5" t="s">
        <v>62</v>
      </c>
      <c r="C32" t="s">
        <v>62</v>
      </c>
      <c r="D32" s="3" t="b">
        <f t="shared" si="0"/>
        <v>0</v>
      </c>
      <c r="G32" s="2"/>
    </row>
    <row r="33" spans="1:7" x14ac:dyDescent="0.25">
      <c r="A33" t="s">
        <v>15</v>
      </c>
      <c r="B33" s="5" t="s">
        <v>62</v>
      </c>
      <c r="C33" t="s">
        <v>62</v>
      </c>
      <c r="D33" s="3" t="b">
        <f t="shared" si="0"/>
        <v>0</v>
      </c>
      <c r="G33" s="2"/>
    </row>
    <row r="34" spans="1:7" x14ac:dyDescent="0.25">
      <c r="A34" t="s">
        <v>15</v>
      </c>
      <c r="B34" s="5" t="s">
        <v>62</v>
      </c>
      <c r="C34" t="s">
        <v>62</v>
      </c>
      <c r="D34" s="3" t="b">
        <f t="shared" si="0"/>
        <v>0</v>
      </c>
      <c r="G34" s="2"/>
    </row>
    <row r="35" spans="1:7" x14ac:dyDescent="0.25">
      <c r="A35" t="s">
        <v>15</v>
      </c>
      <c r="B35" s="5" t="s">
        <v>62</v>
      </c>
      <c r="C35" t="s">
        <v>62</v>
      </c>
      <c r="D35" s="3" t="b">
        <f t="shared" si="0"/>
        <v>0</v>
      </c>
      <c r="G35" s="2"/>
    </row>
    <row r="36" spans="1:7" x14ac:dyDescent="0.25">
      <c r="A36" t="s">
        <v>15</v>
      </c>
      <c r="B36" s="5" t="s">
        <v>61</v>
      </c>
      <c r="C36" t="s">
        <v>61</v>
      </c>
      <c r="D36" s="3" t="b">
        <f t="shared" si="0"/>
        <v>0</v>
      </c>
      <c r="G36" s="2"/>
    </row>
    <row r="37" spans="1:7" x14ac:dyDescent="0.25">
      <c r="A37" t="s">
        <v>15</v>
      </c>
      <c r="B37" s="5" t="s">
        <v>61</v>
      </c>
      <c r="C37" t="s">
        <v>61</v>
      </c>
      <c r="D37" s="3" t="b">
        <f t="shared" si="0"/>
        <v>0</v>
      </c>
      <c r="G37" s="2"/>
    </row>
    <row r="38" spans="1:7" x14ac:dyDescent="0.25">
      <c r="A38" t="s">
        <v>15</v>
      </c>
      <c r="B38" s="5" t="s">
        <v>61</v>
      </c>
      <c r="C38" t="s">
        <v>61</v>
      </c>
      <c r="D38" s="3" t="b">
        <f t="shared" si="0"/>
        <v>0</v>
      </c>
    </row>
    <row r="39" spans="1:7" x14ac:dyDescent="0.25">
      <c r="A39" t="s">
        <v>21</v>
      </c>
      <c r="B39" s="5" t="s">
        <v>247</v>
      </c>
      <c r="C39" t="s">
        <v>247</v>
      </c>
      <c r="D39" s="3" t="b">
        <f t="shared" si="0"/>
        <v>0</v>
      </c>
      <c r="G39" s="2"/>
    </row>
    <row r="40" spans="1:7" x14ac:dyDescent="0.25">
      <c r="A40" t="s">
        <v>21</v>
      </c>
      <c r="B40" s="5" t="s">
        <v>242</v>
      </c>
      <c r="C40" t="s">
        <v>242</v>
      </c>
      <c r="D40" s="3" t="b">
        <f t="shared" si="0"/>
        <v>0</v>
      </c>
      <c r="G40" s="2"/>
    </row>
    <row r="41" spans="1:7" x14ac:dyDescent="0.25">
      <c r="A41" t="s">
        <v>21</v>
      </c>
      <c r="B41" s="5" t="s">
        <v>243</v>
      </c>
      <c r="C41" t="s">
        <v>243</v>
      </c>
      <c r="D41" s="3" t="b">
        <f t="shared" si="0"/>
        <v>0</v>
      </c>
    </row>
    <row r="42" spans="1:7" x14ac:dyDescent="0.25">
      <c r="A42" t="s">
        <v>21</v>
      </c>
      <c r="B42" s="5" t="s">
        <v>244</v>
      </c>
      <c r="C42" t="s">
        <v>244</v>
      </c>
      <c r="D42" s="3" t="b">
        <f t="shared" si="0"/>
        <v>0</v>
      </c>
    </row>
    <row r="43" spans="1:7" x14ac:dyDescent="0.25">
      <c r="A43" t="s">
        <v>21</v>
      </c>
      <c r="B43" s="5" t="s">
        <v>245</v>
      </c>
      <c r="C43" t="s">
        <v>245</v>
      </c>
      <c r="D43" s="3" t="b">
        <f t="shared" si="0"/>
        <v>0</v>
      </c>
    </row>
    <row r="44" spans="1:7" x14ac:dyDescent="0.25">
      <c r="A44" t="s">
        <v>21</v>
      </c>
      <c r="B44" s="5" t="s">
        <v>1235</v>
      </c>
      <c r="C44" t="s">
        <v>1235</v>
      </c>
      <c r="D44" s="3" t="b">
        <f t="shared" si="0"/>
        <v>0</v>
      </c>
    </row>
    <row r="45" spans="1:7" x14ac:dyDescent="0.25">
      <c r="A45" t="s">
        <v>21</v>
      </c>
      <c r="B45" s="5" t="s">
        <v>248</v>
      </c>
      <c r="C45" t="s">
        <v>248</v>
      </c>
      <c r="D45" s="3" t="b">
        <f t="shared" si="0"/>
        <v>0</v>
      </c>
    </row>
    <row r="46" spans="1:7" x14ac:dyDescent="0.25">
      <c r="A46" t="s">
        <v>21</v>
      </c>
      <c r="B46" s="5" t="s">
        <v>249</v>
      </c>
      <c r="C46" t="s">
        <v>249</v>
      </c>
      <c r="D46" s="3" t="b">
        <f t="shared" si="0"/>
        <v>0</v>
      </c>
    </row>
    <row r="47" spans="1:7" x14ac:dyDescent="0.25">
      <c r="A47" t="s">
        <v>21</v>
      </c>
      <c r="B47" s="5" t="s">
        <v>271</v>
      </c>
      <c r="C47" t="s">
        <v>2098</v>
      </c>
      <c r="D47" s="3" t="b">
        <f t="shared" si="0"/>
        <v>1</v>
      </c>
    </row>
    <row r="48" spans="1:7" x14ac:dyDescent="0.25">
      <c r="A48" t="s">
        <v>21</v>
      </c>
      <c r="B48" s="5" t="s">
        <v>250</v>
      </c>
      <c r="C48" t="s">
        <v>1853</v>
      </c>
      <c r="D48" s="3" t="b">
        <f t="shared" si="0"/>
        <v>1</v>
      </c>
    </row>
    <row r="49" spans="1:6" x14ac:dyDescent="0.25">
      <c r="A49" t="s">
        <v>21</v>
      </c>
      <c r="B49" s="5" t="s">
        <v>266</v>
      </c>
      <c r="C49" t="s">
        <v>2188</v>
      </c>
      <c r="D49" s="3" t="b">
        <f t="shared" si="0"/>
        <v>1</v>
      </c>
    </row>
    <row r="50" spans="1:6" x14ac:dyDescent="0.25">
      <c r="A50" t="s">
        <v>21</v>
      </c>
      <c r="B50" s="5" t="s">
        <v>252</v>
      </c>
      <c r="C50" t="s">
        <v>252</v>
      </c>
      <c r="D50" s="3" t="b">
        <f t="shared" si="0"/>
        <v>0</v>
      </c>
    </row>
    <row r="51" spans="1:6" x14ac:dyDescent="0.25">
      <c r="A51" t="s">
        <v>22</v>
      </c>
      <c r="B51" s="5" t="s">
        <v>1346</v>
      </c>
      <c r="C51" s="5" t="s">
        <v>1346</v>
      </c>
      <c r="D51" s="3" t="b">
        <f t="shared" si="0"/>
        <v>0</v>
      </c>
      <c r="F51" s="5"/>
    </row>
    <row r="52" spans="1:6" x14ac:dyDescent="0.25">
      <c r="A52" t="s">
        <v>22</v>
      </c>
      <c r="B52" s="5" t="s">
        <v>1949</v>
      </c>
      <c r="C52" t="s">
        <v>1949</v>
      </c>
      <c r="D52" s="3" t="b">
        <f t="shared" si="0"/>
        <v>0</v>
      </c>
    </row>
    <row r="53" spans="1:6" x14ac:dyDescent="0.25">
      <c r="A53" t="s">
        <v>22</v>
      </c>
      <c r="B53" s="5" t="s">
        <v>2011</v>
      </c>
      <c r="C53" t="s">
        <v>2011</v>
      </c>
      <c r="D53" s="3" t="b">
        <f t="shared" si="0"/>
        <v>0</v>
      </c>
    </row>
    <row r="54" spans="1:6" x14ac:dyDescent="0.25">
      <c r="A54" t="s">
        <v>22</v>
      </c>
      <c r="B54" s="5" t="s">
        <v>254</v>
      </c>
      <c r="C54" t="s">
        <v>254</v>
      </c>
      <c r="D54" s="3" t="b">
        <f t="shared" si="0"/>
        <v>0</v>
      </c>
    </row>
    <row r="55" spans="1:6" x14ac:dyDescent="0.25">
      <c r="A55" t="s">
        <v>22</v>
      </c>
      <c r="B55" s="5" t="s">
        <v>255</v>
      </c>
      <c r="C55" t="s">
        <v>255</v>
      </c>
      <c r="D55" s="3" t="b">
        <f t="shared" si="0"/>
        <v>0</v>
      </c>
    </row>
    <row r="56" spans="1:6" x14ac:dyDescent="0.25">
      <c r="A56" t="s">
        <v>22</v>
      </c>
      <c r="B56" s="5" t="s">
        <v>1948</v>
      </c>
      <c r="C56" t="s">
        <v>1948</v>
      </c>
      <c r="D56" s="3" t="b">
        <f t="shared" si="0"/>
        <v>0</v>
      </c>
    </row>
    <row r="57" spans="1:6" x14ac:dyDescent="0.25">
      <c r="A57" t="s">
        <v>228</v>
      </c>
      <c r="B57" s="5" t="s">
        <v>1899</v>
      </c>
      <c r="C57" t="s">
        <v>1899</v>
      </c>
      <c r="D57" s="3" t="b">
        <f t="shared" si="0"/>
        <v>0</v>
      </c>
    </row>
    <row r="58" spans="1:6" x14ac:dyDescent="0.25">
      <c r="A58" t="s">
        <v>228</v>
      </c>
      <c r="B58" s="5" t="s">
        <v>256</v>
      </c>
      <c r="C58" t="s">
        <v>256</v>
      </c>
      <c r="D58" s="3" t="b">
        <f t="shared" si="0"/>
        <v>0</v>
      </c>
    </row>
    <row r="59" spans="1:6" x14ac:dyDescent="0.25">
      <c r="A59" t="s">
        <v>228</v>
      </c>
      <c r="B59" s="5" t="s">
        <v>1947</v>
      </c>
      <c r="C59" t="s">
        <v>1947</v>
      </c>
      <c r="D59" s="3" t="b">
        <f t="shared" si="0"/>
        <v>0</v>
      </c>
    </row>
    <row r="60" spans="1:6" x14ac:dyDescent="0.25">
      <c r="A60" t="s">
        <v>228</v>
      </c>
      <c r="B60" s="5" t="s">
        <v>109</v>
      </c>
      <c r="C60" t="s">
        <v>109</v>
      </c>
      <c r="D60" s="3" t="b">
        <f t="shared" si="0"/>
        <v>0</v>
      </c>
    </row>
    <row r="61" spans="1:6" x14ac:dyDescent="0.25">
      <c r="A61" t="s">
        <v>233</v>
      </c>
      <c r="B61" s="5" t="s">
        <v>1349</v>
      </c>
      <c r="C61" s="5" t="s">
        <v>1349</v>
      </c>
      <c r="D61" s="3" t="b">
        <f t="shared" si="0"/>
        <v>0</v>
      </c>
    </row>
    <row r="62" spans="1:6" x14ac:dyDescent="0.25">
      <c r="A62" t="s">
        <v>233</v>
      </c>
      <c r="B62" s="5" t="s">
        <v>259</v>
      </c>
      <c r="C62" t="s">
        <v>259</v>
      </c>
      <c r="D62" s="3" t="b">
        <f t="shared" si="0"/>
        <v>0</v>
      </c>
    </row>
    <row r="63" spans="1:6" x14ac:dyDescent="0.25">
      <c r="A63" t="s">
        <v>233</v>
      </c>
      <c r="B63" s="5" t="s">
        <v>1347</v>
      </c>
      <c r="C63" s="5" t="s">
        <v>1347</v>
      </c>
      <c r="D63" s="3" t="b">
        <f t="shared" si="0"/>
        <v>0</v>
      </c>
    </row>
    <row r="64" spans="1:6" x14ac:dyDescent="0.25">
      <c r="A64" t="s">
        <v>233</v>
      </c>
      <c r="B64" s="5" t="s">
        <v>1348</v>
      </c>
      <c r="C64" s="5" t="s">
        <v>1348</v>
      </c>
      <c r="D64" s="3" t="b">
        <f t="shared" si="0"/>
        <v>0</v>
      </c>
    </row>
    <row r="65" spans="1:7" x14ac:dyDescent="0.25">
      <c r="A65" t="s">
        <v>233</v>
      </c>
      <c r="B65" s="5" t="s">
        <v>260</v>
      </c>
      <c r="C65" t="s">
        <v>260</v>
      </c>
      <c r="D65" s="3" t="b">
        <f t="shared" si="0"/>
        <v>0</v>
      </c>
    </row>
    <row r="66" spans="1:7" x14ac:dyDescent="0.25">
      <c r="A66" t="s">
        <v>46</v>
      </c>
      <c r="B66" s="5" t="s">
        <v>268</v>
      </c>
      <c r="C66" t="s">
        <v>268</v>
      </c>
      <c r="D66" s="3" t="b">
        <f t="shared" si="0"/>
        <v>0</v>
      </c>
    </row>
    <row r="67" spans="1:7" x14ac:dyDescent="0.25">
      <c r="A67" t="s">
        <v>46</v>
      </c>
      <c r="B67" s="5" t="s">
        <v>87</v>
      </c>
      <c r="C67" t="s">
        <v>87</v>
      </c>
      <c r="D67" s="3" t="b">
        <f t="shared" si="0"/>
        <v>0</v>
      </c>
      <c r="G67" s="2"/>
    </row>
    <row r="68" spans="1:7" x14ac:dyDescent="0.25">
      <c r="A68" t="s">
        <v>46</v>
      </c>
      <c r="B68" s="5" t="s">
        <v>257</v>
      </c>
      <c r="C68" t="s">
        <v>1236</v>
      </c>
      <c r="D68" s="3" t="b">
        <f t="shared" si="0"/>
        <v>1</v>
      </c>
    </row>
    <row r="69" spans="1:7" x14ac:dyDescent="0.25">
      <c r="A69" t="s">
        <v>46</v>
      </c>
      <c r="B69" s="5" t="s">
        <v>261</v>
      </c>
      <c r="C69" t="s">
        <v>261</v>
      </c>
      <c r="D69" s="3" t="b">
        <f t="shared" si="0"/>
        <v>0</v>
      </c>
    </row>
    <row r="70" spans="1:7" x14ac:dyDescent="0.25">
      <c r="A70" t="s">
        <v>46</v>
      </c>
      <c r="B70" s="5" t="s">
        <v>1345</v>
      </c>
      <c r="C70" s="5" t="s">
        <v>1345</v>
      </c>
      <c r="D70" s="3" t="b">
        <f t="shared" ref="D70:D102" si="2">B70&lt;&gt;C70</f>
        <v>0</v>
      </c>
    </row>
    <row r="71" spans="1:7" x14ac:dyDescent="0.25">
      <c r="A71" t="s">
        <v>46</v>
      </c>
      <c r="B71" s="5" t="s">
        <v>1192</v>
      </c>
      <c r="C71" s="5" t="s">
        <v>1192</v>
      </c>
      <c r="D71" s="3" t="b">
        <f t="shared" si="2"/>
        <v>0</v>
      </c>
      <c r="G71" s="2"/>
    </row>
    <row r="72" spans="1:7" x14ac:dyDescent="0.25">
      <c r="A72" t="s">
        <v>46</v>
      </c>
      <c r="B72" s="5" t="s">
        <v>1331</v>
      </c>
      <c r="C72" s="5" t="s">
        <v>1331</v>
      </c>
      <c r="D72" s="3" t="b">
        <f t="shared" si="2"/>
        <v>0</v>
      </c>
      <c r="F72"/>
    </row>
    <row r="73" spans="1:7" x14ac:dyDescent="0.25">
      <c r="A73" t="s">
        <v>46</v>
      </c>
      <c r="B73" s="5" t="s">
        <v>81</v>
      </c>
      <c r="C73" t="s">
        <v>81</v>
      </c>
      <c r="D73" s="3" t="b">
        <f t="shared" si="2"/>
        <v>0</v>
      </c>
    </row>
    <row r="74" spans="1:7" x14ac:dyDescent="0.25">
      <c r="A74" t="s">
        <v>46</v>
      </c>
      <c r="B74" s="5" t="s">
        <v>82</v>
      </c>
      <c r="C74" t="s">
        <v>82</v>
      </c>
      <c r="D74" s="3" t="b">
        <f t="shared" si="2"/>
        <v>0</v>
      </c>
      <c r="F74"/>
    </row>
    <row r="75" spans="1:7" x14ac:dyDescent="0.25">
      <c r="A75" t="s">
        <v>46</v>
      </c>
      <c r="B75" s="5" t="s">
        <v>264</v>
      </c>
      <c r="C75" t="s">
        <v>264</v>
      </c>
      <c r="D75" s="3" t="b">
        <f t="shared" si="2"/>
        <v>0</v>
      </c>
      <c r="F75"/>
    </row>
    <row r="76" spans="1:7" x14ac:dyDescent="0.25">
      <c r="A76" t="s">
        <v>46</v>
      </c>
      <c r="B76" s="5" t="s">
        <v>267</v>
      </c>
      <c r="C76" t="s">
        <v>267</v>
      </c>
      <c r="D76" s="3" t="b">
        <f t="shared" si="2"/>
        <v>0</v>
      </c>
    </row>
    <row r="77" spans="1:7" x14ac:dyDescent="0.25">
      <c r="A77" t="s">
        <v>46</v>
      </c>
      <c r="B77" s="5" t="s">
        <v>84</v>
      </c>
      <c r="C77" t="s">
        <v>84</v>
      </c>
      <c r="D77" s="3" t="b">
        <f t="shared" si="2"/>
        <v>0</v>
      </c>
      <c r="F77"/>
    </row>
    <row r="78" spans="1:7" x14ac:dyDescent="0.25">
      <c r="A78" t="s">
        <v>46</v>
      </c>
      <c r="B78" s="5" t="s">
        <v>263</v>
      </c>
      <c r="C78" t="s">
        <v>263</v>
      </c>
      <c r="D78" s="3" t="b">
        <f t="shared" si="2"/>
        <v>0</v>
      </c>
      <c r="F78"/>
    </row>
    <row r="79" spans="1:7" x14ac:dyDescent="0.25">
      <c r="A79" t="s">
        <v>46</v>
      </c>
      <c r="B79" s="5" t="s">
        <v>2087</v>
      </c>
      <c r="C79" t="s">
        <v>2087</v>
      </c>
      <c r="D79" s="3" t="b">
        <f t="shared" si="2"/>
        <v>0</v>
      </c>
    </row>
    <row r="80" spans="1:7" x14ac:dyDescent="0.25">
      <c r="A80" t="s">
        <v>46</v>
      </c>
      <c r="B80" s="5" t="s">
        <v>85</v>
      </c>
      <c r="C80" t="s">
        <v>85</v>
      </c>
      <c r="D80" s="3" t="b">
        <f t="shared" si="2"/>
        <v>0</v>
      </c>
    </row>
    <row r="81" spans="1:6" x14ac:dyDescent="0.25">
      <c r="A81" t="s">
        <v>46</v>
      </c>
      <c r="B81" s="5" t="s">
        <v>78</v>
      </c>
      <c r="C81" t="s">
        <v>78</v>
      </c>
      <c r="D81" s="3" t="b">
        <f t="shared" si="2"/>
        <v>0</v>
      </c>
    </row>
    <row r="82" spans="1:6" x14ac:dyDescent="0.25">
      <c r="A82" t="s">
        <v>46</v>
      </c>
      <c r="B82" s="5" t="s">
        <v>270</v>
      </c>
      <c r="C82" t="s">
        <v>270</v>
      </c>
      <c r="D82" s="3" t="b">
        <f t="shared" si="2"/>
        <v>0</v>
      </c>
      <c r="F82"/>
    </row>
    <row r="83" spans="1:6" x14ac:dyDescent="0.25">
      <c r="A83" t="s">
        <v>46</v>
      </c>
      <c r="B83" s="5" t="s">
        <v>265</v>
      </c>
      <c r="C83" t="s">
        <v>265</v>
      </c>
      <c r="D83" s="3" t="b">
        <f t="shared" si="2"/>
        <v>0</v>
      </c>
      <c r="F83"/>
    </row>
    <row r="84" spans="1:6" x14ac:dyDescent="0.25">
      <c r="A84" t="s">
        <v>46</v>
      </c>
      <c r="B84" s="5" t="s">
        <v>251</v>
      </c>
      <c r="C84" t="s">
        <v>251</v>
      </c>
      <c r="D84" s="3" t="b">
        <f t="shared" si="2"/>
        <v>0</v>
      </c>
    </row>
    <row r="85" spans="1:6" x14ac:dyDescent="0.25">
      <c r="A85" t="s">
        <v>46</v>
      </c>
      <c r="B85" s="5" t="s">
        <v>246</v>
      </c>
      <c r="C85" t="s">
        <v>1224</v>
      </c>
      <c r="D85" s="3" t="b">
        <f t="shared" si="2"/>
        <v>1</v>
      </c>
    </row>
    <row r="86" spans="1:6" x14ac:dyDescent="0.25">
      <c r="A86" t="s">
        <v>46</v>
      </c>
      <c r="B86" s="5" t="s">
        <v>262</v>
      </c>
      <c r="C86" t="s">
        <v>262</v>
      </c>
      <c r="D86" s="3" t="b">
        <f t="shared" si="2"/>
        <v>0</v>
      </c>
      <c r="F86"/>
    </row>
    <row r="87" spans="1:6" x14ac:dyDescent="0.25">
      <c r="A87" t="s">
        <v>46</v>
      </c>
      <c r="B87" s="5" t="s">
        <v>76</v>
      </c>
      <c r="C87" t="s">
        <v>76</v>
      </c>
      <c r="D87" s="3" t="b">
        <f t="shared" si="2"/>
        <v>0</v>
      </c>
    </row>
    <row r="88" spans="1:6" x14ac:dyDescent="0.25">
      <c r="A88" t="s">
        <v>1427</v>
      </c>
      <c r="B88" s="5" t="s">
        <v>75</v>
      </c>
      <c r="C88" s="5" t="s">
        <v>75</v>
      </c>
      <c r="D88" s="3" t="b">
        <f t="shared" si="2"/>
        <v>0</v>
      </c>
    </row>
    <row r="89" spans="1:6" x14ac:dyDescent="0.25">
      <c r="A89" t="s">
        <v>1427</v>
      </c>
      <c r="B89" s="5" t="s">
        <v>1429</v>
      </c>
      <c r="C89" t="s">
        <v>1429</v>
      </c>
      <c r="D89" s="3" t="b">
        <f t="shared" si="2"/>
        <v>0</v>
      </c>
    </row>
    <row r="90" spans="1:6" x14ac:dyDescent="0.25">
      <c r="A90" t="s">
        <v>1427</v>
      </c>
      <c r="B90" s="5" t="s">
        <v>1572</v>
      </c>
      <c r="C90" s="5" t="s">
        <v>1572</v>
      </c>
      <c r="D90" s="3" t="b">
        <f t="shared" si="2"/>
        <v>0</v>
      </c>
    </row>
    <row r="91" spans="1:6" x14ac:dyDescent="0.25">
      <c r="A91" t="s">
        <v>1427</v>
      </c>
      <c r="B91" s="5" t="s">
        <v>273</v>
      </c>
      <c r="C91" t="s">
        <v>273</v>
      </c>
      <c r="D91" s="3" t="b">
        <f t="shared" si="2"/>
        <v>0</v>
      </c>
    </row>
    <row r="92" spans="1:6" x14ac:dyDescent="0.25">
      <c r="A92" t="s">
        <v>1427</v>
      </c>
      <c r="B92" s="5" t="s">
        <v>1437</v>
      </c>
      <c r="C92" t="s">
        <v>1946</v>
      </c>
      <c r="D92" s="3" t="b">
        <f>B92&lt;&gt;C92</f>
        <v>1</v>
      </c>
    </row>
    <row r="93" spans="1:6" x14ac:dyDescent="0.25">
      <c r="A93" t="s">
        <v>236</v>
      </c>
      <c r="B93" s="5" t="s">
        <v>1267</v>
      </c>
      <c r="C93" s="5" t="s">
        <v>1267</v>
      </c>
      <c r="D93" s="3" t="b">
        <f t="shared" si="2"/>
        <v>0</v>
      </c>
      <c r="F93"/>
    </row>
    <row r="94" spans="1:6" x14ac:dyDescent="0.25">
      <c r="A94" t="s">
        <v>236</v>
      </c>
      <c r="B94" s="5" t="s">
        <v>1441</v>
      </c>
      <c r="C94" t="s">
        <v>1441</v>
      </c>
      <c r="D94" s="3" t="b">
        <f t="shared" si="2"/>
        <v>0</v>
      </c>
    </row>
    <row r="95" spans="1:6" x14ac:dyDescent="0.25">
      <c r="A95" t="s">
        <v>236</v>
      </c>
      <c r="B95" s="5" t="s">
        <v>79</v>
      </c>
      <c r="C95" t="s">
        <v>79</v>
      </c>
      <c r="D95" s="3" t="b">
        <f t="shared" si="2"/>
        <v>0</v>
      </c>
    </row>
    <row r="96" spans="1:6" x14ac:dyDescent="0.25">
      <c r="A96" t="s">
        <v>236</v>
      </c>
      <c r="B96" s="5" t="s">
        <v>274</v>
      </c>
      <c r="C96" t="s">
        <v>274</v>
      </c>
      <c r="D96" s="3" t="b">
        <f t="shared" si="2"/>
        <v>0</v>
      </c>
    </row>
    <row r="97" spans="1:4" x14ac:dyDescent="0.25">
      <c r="A97" t="s">
        <v>236</v>
      </c>
      <c r="B97" s="5" t="s">
        <v>275</v>
      </c>
      <c r="C97" t="s">
        <v>275</v>
      </c>
      <c r="D97" s="3" t="b">
        <f t="shared" si="2"/>
        <v>0</v>
      </c>
    </row>
    <row r="98" spans="1:4" x14ac:dyDescent="0.25">
      <c r="A98" t="s">
        <v>23</v>
      </c>
      <c r="B98" s="5" t="s">
        <v>1945</v>
      </c>
      <c r="C98" t="s">
        <v>1945</v>
      </c>
      <c r="D98" s="3" t="b">
        <f t="shared" si="2"/>
        <v>0</v>
      </c>
    </row>
    <row r="99" spans="1:4" x14ac:dyDescent="0.25">
      <c r="A99" t="s">
        <v>23</v>
      </c>
      <c r="B99" s="5" t="s">
        <v>276</v>
      </c>
      <c r="C99" t="s">
        <v>276</v>
      </c>
      <c r="D99" s="3" t="b">
        <f t="shared" si="2"/>
        <v>0</v>
      </c>
    </row>
    <row r="100" spans="1:4" x14ac:dyDescent="0.25">
      <c r="A100" t="s">
        <v>23</v>
      </c>
      <c r="B100" s="5" t="s">
        <v>277</v>
      </c>
      <c r="C100" t="s">
        <v>277</v>
      </c>
      <c r="D100" s="3" t="b">
        <f t="shared" si="2"/>
        <v>0</v>
      </c>
    </row>
    <row r="101" spans="1:4" x14ac:dyDescent="0.25">
      <c r="A101" t="s">
        <v>23</v>
      </c>
      <c r="B101" s="5" t="s">
        <v>1389</v>
      </c>
      <c r="C101" t="s">
        <v>1389</v>
      </c>
      <c r="D101" s="3" t="b">
        <f t="shared" si="2"/>
        <v>0</v>
      </c>
    </row>
    <row r="102" spans="1:4" x14ac:dyDescent="0.25">
      <c r="A102" t="s">
        <v>23</v>
      </c>
      <c r="B102" s="5" t="s">
        <v>278</v>
      </c>
      <c r="C102" t="s">
        <v>278</v>
      </c>
      <c r="D102" s="3" t="b">
        <f t="shared" si="2"/>
        <v>0</v>
      </c>
    </row>
  </sheetData>
  <sortState xmlns:xlrd2="http://schemas.microsoft.com/office/spreadsheetml/2017/richdata2" ref="B103:C122">
    <sortCondition ref="C103:C122"/>
  </sortState>
  <mergeCells count="1">
    <mergeCell ref="A1:G1"/>
  </mergeCells>
  <phoneticPr fontId="5" type="noConversion"/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notContainsText" priority="1" operator="notContains" id="{93CE94F5-B062-491E-B375-60E052AC0797}">
            <xm:f>ISERROR(SEARCH(C3,B3))</xm:f>
            <xm:f>C3</xm:f>
            <x14:dxf>
              <fill>
                <patternFill>
                  <bgColor theme="5" tint="0.39994506668294322"/>
                </patternFill>
              </fill>
            </x14:dxf>
          </x14:cfRule>
          <xm:sqref>B3:B102</xm:sqref>
        </x14:conditionalFormatting>
      </x14:conditionalFormatting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5B683-7D3D-4093-B29D-814FD7AC6F59}">
  <sheetPr codeName="Planilha29"/>
  <dimension ref="A1:G103"/>
  <sheetViews>
    <sheetView topLeftCell="A43" workbookViewId="0">
      <selection activeCell="C53" sqref="C53"/>
    </sheetView>
  </sheetViews>
  <sheetFormatPr defaultRowHeight="15" x14ac:dyDescent="0.25"/>
  <cols>
    <col min="1" max="1" width="11.85546875" style="5" customWidth="1"/>
    <col min="2" max="3" width="38.7109375" customWidth="1"/>
    <col min="4" max="4" width="12.42578125" hidden="1" customWidth="1"/>
    <col min="5" max="5" width="4.28515625" customWidth="1"/>
    <col min="6" max="6" width="22.7109375" style="3" customWidth="1"/>
    <col min="7" max="7" width="9.140625" bestFit="1" customWidth="1"/>
  </cols>
  <sheetData>
    <row r="1" spans="1:7" ht="21" x14ac:dyDescent="0.25">
      <c r="A1" s="12" t="s">
        <v>30</v>
      </c>
      <c r="B1" s="12"/>
      <c r="C1" s="12"/>
      <c r="D1" s="12"/>
      <c r="E1" s="12"/>
      <c r="F1" s="12"/>
      <c r="G1" s="12"/>
    </row>
    <row r="2" spans="1:7" x14ac:dyDescent="0.25">
      <c r="A2" s="4" t="s">
        <v>11</v>
      </c>
      <c r="B2" s="4" t="s">
        <v>12</v>
      </c>
      <c r="C2" s="4" t="s">
        <v>13</v>
      </c>
      <c r="D2" s="4" t="s">
        <v>14</v>
      </c>
      <c r="F2" s="4" t="s">
        <v>16</v>
      </c>
      <c r="G2" s="3">
        <f>COUNTIF(D:D,"Verdadeiro")</f>
        <v>18</v>
      </c>
    </row>
    <row r="3" spans="1:7" x14ac:dyDescent="0.25">
      <c r="A3" s="9" t="s">
        <v>1539</v>
      </c>
      <c r="B3" s="5" t="s">
        <v>1566</v>
      </c>
      <c r="C3" s="5" t="s">
        <v>1566</v>
      </c>
      <c r="D3" t="b">
        <f>B3&lt;&gt;C3</f>
        <v>0</v>
      </c>
      <c r="F3" s="4" t="s">
        <v>17</v>
      </c>
      <c r="G3" s="10">
        <f>SUM(G5:G29)</f>
        <v>100</v>
      </c>
    </row>
    <row r="4" spans="1:7" x14ac:dyDescent="0.25">
      <c r="A4" t="s">
        <v>15</v>
      </c>
      <c r="B4" s="5" t="s">
        <v>20</v>
      </c>
      <c r="C4" t="s">
        <v>20</v>
      </c>
      <c r="D4" t="b">
        <f>B4&lt;&gt;C4</f>
        <v>0</v>
      </c>
    </row>
    <row r="5" spans="1:7" x14ac:dyDescent="0.25">
      <c r="A5" t="s">
        <v>15</v>
      </c>
      <c r="B5" s="5" t="s">
        <v>43</v>
      </c>
      <c r="C5" t="s">
        <v>43</v>
      </c>
      <c r="D5" t="b">
        <f t="shared" ref="D5:D67" si="0">B5&lt;&gt;C5</f>
        <v>0</v>
      </c>
      <c r="F5" s="6" t="s">
        <v>19</v>
      </c>
      <c r="G5" s="1"/>
    </row>
    <row r="6" spans="1:7" x14ac:dyDescent="0.25">
      <c r="A6" t="s">
        <v>15</v>
      </c>
      <c r="B6" s="5" t="s">
        <v>151</v>
      </c>
      <c r="C6" t="s">
        <v>151</v>
      </c>
      <c r="D6" t="b">
        <f t="shared" si="0"/>
        <v>0</v>
      </c>
      <c r="F6" s="7" t="s">
        <v>1539</v>
      </c>
      <c r="G6" s="2">
        <f t="shared" ref="G6:G16" si="1">COUNTIF(A:A,F6)</f>
        <v>1</v>
      </c>
    </row>
    <row r="7" spans="1:7" x14ac:dyDescent="0.25">
      <c r="A7" t="s">
        <v>15</v>
      </c>
      <c r="B7" s="5" t="s">
        <v>111</v>
      </c>
      <c r="C7" t="s">
        <v>111</v>
      </c>
      <c r="D7" t="b">
        <f t="shared" si="0"/>
        <v>0</v>
      </c>
      <c r="F7" s="3" t="s">
        <v>15</v>
      </c>
      <c r="G7" s="2">
        <f t="shared" si="1"/>
        <v>35</v>
      </c>
    </row>
    <row r="8" spans="1:7" x14ac:dyDescent="0.25">
      <c r="A8" t="s">
        <v>15</v>
      </c>
      <c r="B8" s="5" t="s">
        <v>172</v>
      </c>
      <c r="C8" t="s">
        <v>152</v>
      </c>
      <c r="D8" t="b">
        <f t="shared" si="0"/>
        <v>1</v>
      </c>
      <c r="F8" s="7" t="s">
        <v>21</v>
      </c>
      <c r="G8" s="2">
        <f t="shared" si="1"/>
        <v>8</v>
      </c>
    </row>
    <row r="9" spans="1:7" x14ac:dyDescent="0.25">
      <c r="A9" t="s">
        <v>15</v>
      </c>
      <c r="B9" s="5" t="s">
        <v>172</v>
      </c>
      <c r="C9" t="s">
        <v>153</v>
      </c>
      <c r="D9" t="b">
        <f t="shared" si="0"/>
        <v>1</v>
      </c>
      <c r="F9" s="7" t="s">
        <v>22</v>
      </c>
      <c r="G9" s="2">
        <f t="shared" si="1"/>
        <v>8</v>
      </c>
    </row>
    <row r="10" spans="1:7" x14ac:dyDescent="0.25">
      <c r="A10" t="s">
        <v>15</v>
      </c>
      <c r="B10" t="s">
        <v>168</v>
      </c>
      <c r="C10" t="s">
        <v>168</v>
      </c>
      <c r="D10" t="b">
        <f t="shared" si="0"/>
        <v>0</v>
      </c>
      <c r="F10" s="7" t="s">
        <v>156</v>
      </c>
      <c r="G10" s="2">
        <f t="shared" si="1"/>
        <v>6</v>
      </c>
    </row>
    <row r="11" spans="1:7" x14ac:dyDescent="0.25">
      <c r="A11" t="s">
        <v>15</v>
      </c>
      <c r="B11" t="s">
        <v>169</v>
      </c>
      <c r="C11" t="s">
        <v>169</v>
      </c>
      <c r="D11" t="b">
        <f t="shared" si="0"/>
        <v>0</v>
      </c>
      <c r="F11" s="7" t="s">
        <v>158</v>
      </c>
      <c r="G11" s="2">
        <f t="shared" si="1"/>
        <v>13</v>
      </c>
    </row>
    <row r="12" spans="1:7" x14ac:dyDescent="0.25">
      <c r="A12" t="s">
        <v>15</v>
      </c>
      <c r="B12" t="s">
        <v>170</v>
      </c>
      <c r="C12" t="s">
        <v>170</v>
      </c>
      <c r="D12" t="b">
        <f t="shared" si="0"/>
        <v>0</v>
      </c>
      <c r="F12" s="7" t="s">
        <v>160</v>
      </c>
      <c r="G12" s="2">
        <f t="shared" si="1"/>
        <v>6</v>
      </c>
    </row>
    <row r="13" spans="1:7" x14ac:dyDescent="0.25">
      <c r="A13" t="s">
        <v>15</v>
      </c>
      <c r="B13" s="5" t="s">
        <v>159</v>
      </c>
      <c r="C13" t="s">
        <v>159</v>
      </c>
      <c r="D13" t="b">
        <f t="shared" si="0"/>
        <v>0</v>
      </c>
      <c r="F13" s="7" t="s">
        <v>162</v>
      </c>
      <c r="G13" s="2">
        <f t="shared" si="1"/>
        <v>9</v>
      </c>
    </row>
    <row r="14" spans="1:7" x14ac:dyDescent="0.25">
      <c r="A14" t="s">
        <v>15</v>
      </c>
      <c r="B14" s="5" t="s">
        <v>161</v>
      </c>
      <c r="C14" t="s">
        <v>161</v>
      </c>
      <c r="D14" t="b">
        <f t="shared" si="0"/>
        <v>0</v>
      </c>
      <c r="F14" s="7" t="s">
        <v>23</v>
      </c>
      <c r="G14" s="2">
        <f t="shared" si="1"/>
        <v>5</v>
      </c>
    </row>
    <row r="15" spans="1:7" x14ac:dyDescent="0.25">
      <c r="A15" t="s">
        <v>15</v>
      </c>
      <c r="B15" s="5" t="s">
        <v>163</v>
      </c>
      <c r="C15" t="s">
        <v>163</v>
      </c>
      <c r="D15" t="b">
        <f t="shared" si="0"/>
        <v>0</v>
      </c>
      <c r="F15" s="5" t="s">
        <v>1180</v>
      </c>
      <c r="G15" s="2">
        <f t="shared" si="1"/>
        <v>5</v>
      </c>
    </row>
    <row r="16" spans="1:7" x14ac:dyDescent="0.25">
      <c r="A16" t="s">
        <v>15</v>
      </c>
      <c r="B16" s="5" t="s">
        <v>165</v>
      </c>
      <c r="C16" t="s">
        <v>165</v>
      </c>
      <c r="D16" t="b">
        <f t="shared" si="0"/>
        <v>0</v>
      </c>
      <c r="F16" s="5" t="s">
        <v>615</v>
      </c>
      <c r="G16" s="2">
        <f t="shared" si="1"/>
        <v>4</v>
      </c>
    </row>
    <row r="17" spans="1:4" x14ac:dyDescent="0.25">
      <c r="A17" t="s">
        <v>15</v>
      </c>
      <c r="B17" s="5" t="s">
        <v>166</v>
      </c>
      <c r="C17" t="s">
        <v>166</v>
      </c>
      <c r="D17" t="b">
        <f t="shared" si="0"/>
        <v>0</v>
      </c>
    </row>
    <row r="18" spans="1:4" x14ac:dyDescent="0.25">
      <c r="A18" t="s">
        <v>15</v>
      </c>
      <c r="B18" s="5" t="s">
        <v>60</v>
      </c>
      <c r="C18" t="s">
        <v>167</v>
      </c>
      <c r="D18" t="b">
        <f t="shared" si="0"/>
        <v>1</v>
      </c>
    </row>
    <row r="19" spans="1:4" x14ac:dyDescent="0.25">
      <c r="A19" t="s">
        <v>15</v>
      </c>
      <c r="B19" s="5" t="s">
        <v>122</v>
      </c>
      <c r="C19" t="s">
        <v>1322</v>
      </c>
      <c r="D19" t="b">
        <f t="shared" si="0"/>
        <v>1</v>
      </c>
    </row>
    <row r="20" spans="1:4" x14ac:dyDescent="0.25">
      <c r="A20" t="s">
        <v>15</v>
      </c>
      <c r="B20" s="5" t="s">
        <v>122</v>
      </c>
      <c r="C20" t="s">
        <v>1936</v>
      </c>
      <c r="D20" t="b">
        <f t="shared" si="0"/>
        <v>1</v>
      </c>
    </row>
    <row r="21" spans="1:4" x14ac:dyDescent="0.25">
      <c r="A21" t="s">
        <v>15</v>
      </c>
      <c r="B21" s="5" t="s">
        <v>171</v>
      </c>
      <c r="C21" t="s">
        <v>171</v>
      </c>
      <c r="D21" t="b">
        <f t="shared" si="0"/>
        <v>0</v>
      </c>
    </row>
    <row r="22" spans="1:4" x14ac:dyDescent="0.25">
      <c r="A22" t="s">
        <v>15</v>
      </c>
      <c r="B22" s="5" t="s">
        <v>122</v>
      </c>
      <c r="C22" t="s">
        <v>122</v>
      </c>
      <c r="D22" t="b">
        <f t="shared" si="0"/>
        <v>0</v>
      </c>
    </row>
    <row r="23" spans="1:4" x14ac:dyDescent="0.25">
      <c r="A23" t="s">
        <v>15</v>
      </c>
      <c r="B23" s="5" t="s">
        <v>172</v>
      </c>
      <c r="C23" t="s">
        <v>172</v>
      </c>
      <c r="D23" t="b">
        <f t="shared" si="0"/>
        <v>0</v>
      </c>
    </row>
    <row r="24" spans="1:4" x14ac:dyDescent="0.25">
      <c r="A24" t="s">
        <v>15</v>
      </c>
      <c r="B24" s="5" t="s">
        <v>172</v>
      </c>
      <c r="C24" t="s">
        <v>172</v>
      </c>
      <c r="D24" t="b">
        <f t="shared" si="0"/>
        <v>0</v>
      </c>
    </row>
    <row r="25" spans="1:4" x14ac:dyDescent="0.25">
      <c r="A25" t="s">
        <v>15</v>
      </c>
      <c r="B25" s="5" t="s">
        <v>172</v>
      </c>
      <c r="C25" t="s">
        <v>172</v>
      </c>
      <c r="D25" t="b">
        <f t="shared" si="0"/>
        <v>0</v>
      </c>
    </row>
    <row r="26" spans="1:4" x14ac:dyDescent="0.25">
      <c r="A26" t="s">
        <v>15</v>
      </c>
      <c r="B26" s="5" t="s">
        <v>172</v>
      </c>
      <c r="C26" t="s">
        <v>172</v>
      </c>
      <c r="D26" t="b">
        <f t="shared" si="0"/>
        <v>0</v>
      </c>
    </row>
    <row r="27" spans="1:4" x14ac:dyDescent="0.25">
      <c r="A27" t="s">
        <v>15</v>
      </c>
      <c r="B27" s="5" t="s">
        <v>60</v>
      </c>
      <c r="C27" t="s">
        <v>60</v>
      </c>
      <c r="D27" t="b">
        <f t="shared" si="0"/>
        <v>0</v>
      </c>
    </row>
    <row r="28" spans="1:4" x14ac:dyDescent="0.25">
      <c r="A28" t="s">
        <v>15</v>
      </c>
      <c r="B28" s="5" t="s">
        <v>60</v>
      </c>
      <c r="C28" t="s">
        <v>60</v>
      </c>
      <c r="D28" t="b">
        <f t="shared" si="0"/>
        <v>0</v>
      </c>
    </row>
    <row r="29" spans="1:4" x14ac:dyDescent="0.25">
      <c r="A29" t="s">
        <v>15</v>
      </c>
      <c r="B29" s="5" t="s">
        <v>60</v>
      </c>
      <c r="C29" t="s">
        <v>60</v>
      </c>
      <c r="D29" t="b">
        <f t="shared" si="0"/>
        <v>0</v>
      </c>
    </row>
    <row r="30" spans="1:4" x14ac:dyDescent="0.25">
      <c r="A30" t="s">
        <v>15</v>
      </c>
      <c r="B30" s="5" t="s">
        <v>60</v>
      </c>
      <c r="C30" t="s">
        <v>60</v>
      </c>
      <c r="D30" t="b">
        <f t="shared" si="0"/>
        <v>0</v>
      </c>
    </row>
    <row r="31" spans="1:4" x14ac:dyDescent="0.25">
      <c r="A31" t="s">
        <v>15</v>
      </c>
      <c r="B31" s="5" t="s">
        <v>60</v>
      </c>
      <c r="C31" t="s">
        <v>60</v>
      </c>
      <c r="D31" t="b">
        <f t="shared" si="0"/>
        <v>0</v>
      </c>
    </row>
    <row r="32" spans="1:4" x14ac:dyDescent="0.25">
      <c r="A32" t="s">
        <v>15</v>
      </c>
      <c r="B32" s="5" t="s">
        <v>60</v>
      </c>
      <c r="C32" t="s">
        <v>60</v>
      </c>
      <c r="D32" t="b">
        <f t="shared" si="0"/>
        <v>0</v>
      </c>
    </row>
    <row r="33" spans="1:6" x14ac:dyDescent="0.25">
      <c r="A33" t="s">
        <v>15</v>
      </c>
      <c r="B33" s="5" t="s">
        <v>60</v>
      </c>
      <c r="C33" t="s">
        <v>60</v>
      </c>
      <c r="D33" t="b">
        <f t="shared" si="0"/>
        <v>0</v>
      </c>
    </row>
    <row r="34" spans="1:6" x14ac:dyDescent="0.25">
      <c r="A34" t="s">
        <v>15</v>
      </c>
      <c r="B34" s="5" t="s">
        <v>122</v>
      </c>
      <c r="C34" t="s">
        <v>122</v>
      </c>
      <c r="D34" t="b">
        <f t="shared" si="0"/>
        <v>0</v>
      </c>
    </row>
    <row r="35" spans="1:6" x14ac:dyDescent="0.25">
      <c r="A35" t="s">
        <v>15</v>
      </c>
      <c r="B35" s="5" t="s">
        <v>122</v>
      </c>
      <c r="C35" t="s">
        <v>122</v>
      </c>
      <c r="D35" t="b">
        <f t="shared" si="0"/>
        <v>0</v>
      </c>
    </row>
    <row r="36" spans="1:6" x14ac:dyDescent="0.25">
      <c r="A36" t="s">
        <v>15</v>
      </c>
      <c r="B36" s="5" t="s">
        <v>122</v>
      </c>
      <c r="C36" t="s">
        <v>122</v>
      </c>
      <c r="D36" t="b">
        <f t="shared" si="0"/>
        <v>0</v>
      </c>
    </row>
    <row r="37" spans="1:6" x14ac:dyDescent="0.25">
      <c r="A37" t="s">
        <v>15</v>
      </c>
      <c r="B37" s="5" t="s">
        <v>122</v>
      </c>
      <c r="C37" t="s">
        <v>122</v>
      </c>
      <c r="D37" t="b">
        <f t="shared" si="0"/>
        <v>0</v>
      </c>
    </row>
    <row r="38" spans="1:6" x14ac:dyDescent="0.25">
      <c r="A38" t="s">
        <v>15</v>
      </c>
      <c r="B38" s="5" t="s">
        <v>122</v>
      </c>
      <c r="C38" t="s">
        <v>122</v>
      </c>
      <c r="D38" t="b">
        <f t="shared" si="0"/>
        <v>0</v>
      </c>
    </row>
    <row r="39" spans="1:6" x14ac:dyDescent="0.25">
      <c r="A39" t="s">
        <v>21</v>
      </c>
      <c r="B39" s="5" t="s">
        <v>173</v>
      </c>
      <c r="C39" t="s">
        <v>173</v>
      </c>
      <c r="D39" t="b">
        <f t="shared" si="0"/>
        <v>0</v>
      </c>
    </row>
    <row r="40" spans="1:6" x14ac:dyDescent="0.25">
      <c r="A40" t="s">
        <v>21</v>
      </c>
      <c r="B40" s="5" t="s">
        <v>174</v>
      </c>
      <c r="C40" t="s">
        <v>174</v>
      </c>
      <c r="D40" t="b">
        <f t="shared" si="0"/>
        <v>0</v>
      </c>
    </row>
    <row r="41" spans="1:6" x14ac:dyDescent="0.25">
      <c r="A41" t="s">
        <v>21</v>
      </c>
      <c r="B41" s="5" t="s">
        <v>175</v>
      </c>
      <c r="C41" t="s">
        <v>175</v>
      </c>
      <c r="D41" t="b">
        <f t="shared" si="0"/>
        <v>0</v>
      </c>
    </row>
    <row r="42" spans="1:6" x14ac:dyDescent="0.25">
      <c r="A42" t="s">
        <v>21</v>
      </c>
      <c r="B42" s="5" t="s">
        <v>176</v>
      </c>
      <c r="C42" t="s">
        <v>176</v>
      </c>
      <c r="D42" t="b">
        <f t="shared" si="0"/>
        <v>0</v>
      </c>
    </row>
    <row r="43" spans="1:6" x14ac:dyDescent="0.25">
      <c r="A43" t="s">
        <v>21</v>
      </c>
      <c r="B43" s="5" t="s">
        <v>177</v>
      </c>
      <c r="C43" t="s">
        <v>177</v>
      </c>
      <c r="D43" t="b">
        <f t="shared" si="0"/>
        <v>0</v>
      </c>
    </row>
    <row r="44" spans="1:6" x14ac:dyDescent="0.25">
      <c r="A44" t="s">
        <v>21</v>
      </c>
      <c r="B44" s="5" t="s">
        <v>178</v>
      </c>
      <c r="C44" t="s">
        <v>178</v>
      </c>
      <c r="D44" t="b">
        <f t="shared" si="0"/>
        <v>0</v>
      </c>
    </row>
    <row r="45" spans="1:6" x14ac:dyDescent="0.25">
      <c r="A45" t="s">
        <v>21</v>
      </c>
      <c r="B45" s="5" t="s">
        <v>1665</v>
      </c>
      <c r="C45" t="s">
        <v>1665</v>
      </c>
      <c r="D45" t="b">
        <f t="shared" si="0"/>
        <v>0</v>
      </c>
      <c r="F45"/>
    </row>
    <row r="46" spans="1:6" x14ac:dyDescent="0.25">
      <c r="A46" t="s">
        <v>21</v>
      </c>
      <c r="B46" s="5" t="s">
        <v>180</v>
      </c>
      <c r="C46" t="s">
        <v>1307</v>
      </c>
      <c r="D46" t="b">
        <f t="shared" si="0"/>
        <v>1</v>
      </c>
    </row>
    <row r="47" spans="1:6" x14ac:dyDescent="0.25">
      <c r="A47" t="s">
        <v>22</v>
      </c>
      <c r="B47" s="5" t="s">
        <v>182</v>
      </c>
      <c r="C47" t="s">
        <v>182</v>
      </c>
      <c r="D47" t="b">
        <f t="shared" si="0"/>
        <v>0</v>
      </c>
    </row>
    <row r="48" spans="1:6" x14ac:dyDescent="0.25">
      <c r="A48" t="s">
        <v>22</v>
      </c>
      <c r="B48" s="5" t="s">
        <v>183</v>
      </c>
      <c r="C48" t="s">
        <v>183</v>
      </c>
      <c r="D48" t="b">
        <f t="shared" si="0"/>
        <v>0</v>
      </c>
    </row>
    <row r="49" spans="1:6" x14ac:dyDescent="0.25">
      <c r="A49" t="s">
        <v>22</v>
      </c>
      <c r="B49" s="5" t="s">
        <v>1944</v>
      </c>
      <c r="C49" t="s">
        <v>1944</v>
      </c>
      <c r="D49" t="b">
        <f t="shared" si="0"/>
        <v>0</v>
      </c>
      <c r="F49"/>
    </row>
    <row r="50" spans="1:6" x14ac:dyDescent="0.25">
      <c r="A50" t="s">
        <v>22</v>
      </c>
      <c r="B50" s="5" t="s">
        <v>185</v>
      </c>
      <c r="C50" t="s">
        <v>185</v>
      </c>
      <c r="D50" t="b">
        <f t="shared" si="0"/>
        <v>0</v>
      </c>
    </row>
    <row r="51" spans="1:6" x14ac:dyDescent="0.25">
      <c r="A51" t="s">
        <v>22</v>
      </c>
      <c r="B51" s="5" t="s">
        <v>187</v>
      </c>
      <c r="C51" t="s">
        <v>187</v>
      </c>
      <c r="D51" t="b">
        <f t="shared" si="0"/>
        <v>0</v>
      </c>
    </row>
    <row r="52" spans="1:6" x14ac:dyDescent="0.25">
      <c r="A52" t="s">
        <v>22</v>
      </c>
      <c r="B52" s="5" t="s">
        <v>1797</v>
      </c>
      <c r="C52" t="s">
        <v>1677</v>
      </c>
      <c r="D52" t="b">
        <f>B52&lt;&gt;C52</f>
        <v>1</v>
      </c>
    </row>
    <row r="53" spans="1:6" x14ac:dyDescent="0.25">
      <c r="A53" t="s">
        <v>22</v>
      </c>
      <c r="B53" s="5" t="s">
        <v>1931</v>
      </c>
      <c r="C53" t="s">
        <v>1931</v>
      </c>
      <c r="D53" t="b">
        <f t="shared" si="0"/>
        <v>0</v>
      </c>
    </row>
    <row r="54" spans="1:6" x14ac:dyDescent="0.25">
      <c r="A54" t="s">
        <v>22</v>
      </c>
      <c r="B54" s="5" t="s">
        <v>188</v>
      </c>
      <c r="C54" t="s">
        <v>188</v>
      </c>
      <c r="D54" t="b">
        <f t="shared" si="0"/>
        <v>0</v>
      </c>
    </row>
    <row r="55" spans="1:6" x14ac:dyDescent="0.25">
      <c r="A55" t="s">
        <v>156</v>
      </c>
      <c r="B55" s="5" t="s">
        <v>189</v>
      </c>
      <c r="C55" t="s">
        <v>189</v>
      </c>
      <c r="D55" t="b">
        <f t="shared" si="0"/>
        <v>0</v>
      </c>
      <c r="F55"/>
    </row>
    <row r="56" spans="1:6" x14ac:dyDescent="0.25">
      <c r="A56" t="s">
        <v>156</v>
      </c>
      <c r="B56" s="5" t="s">
        <v>190</v>
      </c>
      <c r="C56" t="s">
        <v>190</v>
      </c>
      <c r="D56" t="b">
        <f t="shared" si="0"/>
        <v>0</v>
      </c>
      <c r="F56"/>
    </row>
    <row r="57" spans="1:6" x14ac:dyDescent="0.25">
      <c r="A57" t="s">
        <v>156</v>
      </c>
      <c r="B57" s="5" t="s">
        <v>788</v>
      </c>
      <c r="C57" t="s">
        <v>191</v>
      </c>
      <c r="D57" t="b">
        <f t="shared" si="0"/>
        <v>1</v>
      </c>
      <c r="F57"/>
    </row>
    <row r="58" spans="1:6" x14ac:dyDescent="0.25">
      <c r="A58" t="s">
        <v>156</v>
      </c>
      <c r="B58" s="5" t="s">
        <v>1798</v>
      </c>
      <c r="C58" t="s">
        <v>192</v>
      </c>
      <c r="D58" t="b">
        <f t="shared" si="0"/>
        <v>1</v>
      </c>
      <c r="F58"/>
    </row>
    <row r="59" spans="1:6" x14ac:dyDescent="0.25">
      <c r="A59" t="s">
        <v>156</v>
      </c>
      <c r="B59" s="5" t="s">
        <v>201</v>
      </c>
      <c r="C59" t="s">
        <v>193</v>
      </c>
      <c r="D59" t="b">
        <f t="shared" si="0"/>
        <v>1</v>
      </c>
      <c r="F59"/>
    </row>
    <row r="60" spans="1:6" x14ac:dyDescent="0.25">
      <c r="A60" t="s">
        <v>156</v>
      </c>
      <c r="B60" s="5" t="s">
        <v>194</v>
      </c>
      <c r="C60" t="s">
        <v>194</v>
      </c>
      <c r="D60" t="b">
        <f t="shared" si="0"/>
        <v>0</v>
      </c>
    </row>
    <row r="61" spans="1:6" x14ac:dyDescent="0.25">
      <c r="A61" t="s">
        <v>158</v>
      </c>
      <c r="B61" s="5" t="s">
        <v>195</v>
      </c>
      <c r="C61" t="s">
        <v>195</v>
      </c>
      <c r="D61" t="b">
        <f t="shared" si="0"/>
        <v>0</v>
      </c>
      <c r="F61"/>
    </row>
    <row r="62" spans="1:6" x14ac:dyDescent="0.25">
      <c r="A62" t="s">
        <v>158</v>
      </c>
      <c r="B62" s="5" t="s">
        <v>196</v>
      </c>
      <c r="C62" t="s">
        <v>196</v>
      </c>
      <c r="D62" t="b">
        <f t="shared" si="0"/>
        <v>0</v>
      </c>
      <c r="F62"/>
    </row>
    <row r="63" spans="1:6" x14ac:dyDescent="0.25">
      <c r="A63" t="s">
        <v>158</v>
      </c>
      <c r="B63" s="5" t="s">
        <v>198</v>
      </c>
      <c r="C63" t="s">
        <v>198</v>
      </c>
      <c r="D63" t="b">
        <f t="shared" si="0"/>
        <v>0</v>
      </c>
      <c r="F63"/>
    </row>
    <row r="64" spans="1:6" x14ac:dyDescent="0.25">
      <c r="A64" t="s">
        <v>158</v>
      </c>
      <c r="B64" s="5" t="s">
        <v>199</v>
      </c>
      <c r="C64" t="s">
        <v>199</v>
      </c>
      <c r="D64" t="b">
        <f t="shared" si="0"/>
        <v>0</v>
      </c>
      <c r="F64"/>
    </row>
    <row r="65" spans="1:6" x14ac:dyDescent="0.25">
      <c r="A65" t="s">
        <v>158</v>
      </c>
      <c r="B65" s="5" t="s">
        <v>200</v>
      </c>
      <c r="C65" t="s">
        <v>200</v>
      </c>
      <c r="D65" t="b">
        <f t="shared" si="0"/>
        <v>0</v>
      </c>
      <c r="F65"/>
    </row>
    <row r="66" spans="1:6" x14ac:dyDescent="0.25">
      <c r="A66" t="s">
        <v>158</v>
      </c>
      <c r="B66" s="5" t="s">
        <v>1796</v>
      </c>
      <c r="C66" t="s">
        <v>203</v>
      </c>
      <c r="D66" t="b">
        <f t="shared" si="0"/>
        <v>1</v>
      </c>
    </row>
    <row r="67" spans="1:6" x14ac:dyDescent="0.25">
      <c r="A67" t="s">
        <v>158</v>
      </c>
      <c r="B67" s="5" t="s">
        <v>204</v>
      </c>
      <c r="C67" t="s">
        <v>204</v>
      </c>
      <c r="D67" t="b">
        <f t="shared" si="0"/>
        <v>0</v>
      </c>
    </row>
    <row r="68" spans="1:6" x14ac:dyDescent="0.25">
      <c r="A68" t="s">
        <v>158</v>
      </c>
      <c r="B68" s="5" t="s">
        <v>1310</v>
      </c>
      <c r="C68" t="s">
        <v>1310</v>
      </c>
      <c r="D68" t="b">
        <f t="shared" ref="D68:D103" si="2">B68&lt;&gt;C68</f>
        <v>0</v>
      </c>
    </row>
    <row r="69" spans="1:6" x14ac:dyDescent="0.25">
      <c r="A69" t="s">
        <v>158</v>
      </c>
      <c r="B69" s="5" t="s">
        <v>205</v>
      </c>
      <c r="C69" t="s">
        <v>205</v>
      </c>
      <c r="D69" t="b">
        <f t="shared" si="2"/>
        <v>0</v>
      </c>
    </row>
    <row r="70" spans="1:6" x14ac:dyDescent="0.25">
      <c r="A70" t="s">
        <v>158</v>
      </c>
      <c r="B70" s="5" t="s">
        <v>208</v>
      </c>
      <c r="C70" t="s">
        <v>208</v>
      </c>
      <c r="D70" t="b">
        <f t="shared" si="2"/>
        <v>0</v>
      </c>
    </row>
    <row r="71" spans="1:6" x14ac:dyDescent="0.25">
      <c r="A71" t="s">
        <v>158</v>
      </c>
      <c r="B71" s="5" t="s">
        <v>207</v>
      </c>
      <c r="C71" t="s">
        <v>207</v>
      </c>
      <c r="D71" t="b">
        <f t="shared" si="2"/>
        <v>0</v>
      </c>
    </row>
    <row r="72" spans="1:6" x14ac:dyDescent="0.25">
      <c r="A72" t="s">
        <v>158</v>
      </c>
      <c r="B72" s="5" t="s">
        <v>1795</v>
      </c>
      <c r="C72" t="s">
        <v>206</v>
      </c>
      <c r="D72" t="b">
        <f t="shared" si="2"/>
        <v>1</v>
      </c>
    </row>
    <row r="73" spans="1:6" x14ac:dyDescent="0.25">
      <c r="A73" t="s">
        <v>158</v>
      </c>
      <c r="B73" s="5" t="s">
        <v>1242</v>
      </c>
      <c r="C73" t="s">
        <v>1242</v>
      </c>
      <c r="D73" t="b">
        <f t="shared" si="2"/>
        <v>0</v>
      </c>
    </row>
    <row r="74" spans="1:6" x14ac:dyDescent="0.25">
      <c r="A74" t="s">
        <v>1180</v>
      </c>
      <c r="B74" s="5" t="s">
        <v>1800</v>
      </c>
      <c r="C74" t="s">
        <v>1800</v>
      </c>
      <c r="D74" t="b">
        <f t="shared" si="2"/>
        <v>0</v>
      </c>
    </row>
    <row r="75" spans="1:6" x14ac:dyDescent="0.25">
      <c r="A75" t="s">
        <v>1180</v>
      </c>
      <c r="B75" s="5" t="s">
        <v>1799</v>
      </c>
      <c r="C75" t="s">
        <v>1799</v>
      </c>
      <c r="D75" t="b">
        <f t="shared" si="2"/>
        <v>0</v>
      </c>
    </row>
    <row r="76" spans="1:6" x14ac:dyDescent="0.25">
      <c r="A76" t="s">
        <v>1180</v>
      </c>
      <c r="B76" s="5" t="s">
        <v>323</v>
      </c>
      <c r="C76" t="s">
        <v>1537</v>
      </c>
      <c r="D76" t="b">
        <f t="shared" si="2"/>
        <v>1</v>
      </c>
      <c r="F76"/>
    </row>
    <row r="77" spans="1:6" x14ac:dyDescent="0.25">
      <c r="A77" t="s">
        <v>1180</v>
      </c>
      <c r="B77" s="5" t="s">
        <v>1801</v>
      </c>
      <c r="C77" t="s">
        <v>1801</v>
      </c>
      <c r="D77" t="b">
        <f t="shared" si="2"/>
        <v>0</v>
      </c>
      <c r="F77"/>
    </row>
    <row r="78" spans="1:6" x14ac:dyDescent="0.25">
      <c r="A78" t="s">
        <v>1180</v>
      </c>
      <c r="B78" s="5" t="s">
        <v>1802</v>
      </c>
      <c r="C78" t="s">
        <v>1308</v>
      </c>
      <c r="D78" t="b">
        <f t="shared" si="2"/>
        <v>1</v>
      </c>
    </row>
    <row r="79" spans="1:6" x14ac:dyDescent="0.25">
      <c r="A79" t="s">
        <v>160</v>
      </c>
      <c r="B79" s="5" t="s">
        <v>209</v>
      </c>
      <c r="C79" t="s">
        <v>209</v>
      </c>
      <c r="D79" t="b">
        <f t="shared" si="2"/>
        <v>0</v>
      </c>
    </row>
    <row r="80" spans="1:6" x14ac:dyDescent="0.25">
      <c r="A80" t="s">
        <v>160</v>
      </c>
      <c r="B80" s="5" t="s">
        <v>661</v>
      </c>
      <c r="C80" t="s">
        <v>661</v>
      </c>
      <c r="D80" t="b">
        <f t="shared" si="2"/>
        <v>0</v>
      </c>
    </row>
    <row r="81" spans="1:6" x14ac:dyDescent="0.25">
      <c r="A81" t="s">
        <v>160</v>
      </c>
      <c r="B81" s="5" t="s">
        <v>1935</v>
      </c>
      <c r="C81" t="s">
        <v>1935</v>
      </c>
      <c r="D81" t="b">
        <f>B81&lt;&gt;C81</f>
        <v>0</v>
      </c>
    </row>
    <row r="82" spans="1:6" x14ac:dyDescent="0.25">
      <c r="A82" t="s">
        <v>160</v>
      </c>
      <c r="B82" s="5" t="s">
        <v>1309</v>
      </c>
      <c r="C82" t="s">
        <v>1309</v>
      </c>
      <c r="D82" t="b">
        <f t="shared" si="2"/>
        <v>0</v>
      </c>
    </row>
    <row r="83" spans="1:6" x14ac:dyDescent="0.25">
      <c r="A83" t="s">
        <v>160</v>
      </c>
      <c r="B83" s="5" t="s">
        <v>211</v>
      </c>
      <c r="C83" t="s">
        <v>211</v>
      </c>
      <c r="D83" t="b">
        <f t="shared" si="2"/>
        <v>0</v>
      </c>
    </row>
    <row r="84" spans="1:6" x14ac:dyDescent="0.25">
      <c r="A84" t="s">
        <v>160</v>
      </c>
      <c r="B84" s="5" t="s">
        <v>1803</v>
      </c>
      <c r="C84" t="s">
        <v>2276</v>
      </c>
      <c r="D84" t="b">
        <f t="shared" si="2"/>
        <v>1</v>
      </c>
    </row>
    <row r="85" spans="1:6" x14ac:dyDescent="0.25">
      <c r="A85" t="s">
        <v>23</v>
      </c>
      <c r="B85" s="5" t="s">
        <v>1729</v>
      </c>
      <c r="C85" t="s">
        <v>1729</v>
      </c>
      <c r="D85" t="b">
        <f t="shared" si="2"/>
        <v>0</v>
      </c>
    </row>
    <row r="86" spans="1:6" x14ac:dyDescent="0.25">
      <c r="A86" t="s">
        <v>23</v>
      </c>
      <c r="B86" s="5" t="s">
        <v>212</v>
      </c>
      <c r="C86" t="s">
        <v>212</v>
      </c>
      <c r="D86" t="b">
        <f t="shared" si="2"/>
        <v>0</v>
      </c>
    </row>
    <row r="87" spans="1:6" x14ac:dyDescent="0.25">
      <c r="A87" t="s">
        <v>23</v>
      </c>
      <c r="B87" s="5" t="s">
        <v>100</v>
      </c>
      <c r="C87" t="s">
        <v>100</v>
      </c>
      <c r="D87" t="b">
        <f t="shared" si="2"/>
        <v>0</v>
      </c>
    </row>
    <row r="88" spans="1:6" x14ac:dyDescent="0.25">
      <c r="A88" t="s">
        <v>23</v>
      </c>
      <c r="B88" s="5" t="s">
        <v>213</v>
      </c>
      <c r="C88" t="s">
        <v>213</v>
      </c>
      <c r="D88" t="b">
        <f t="shared" si="2"/>
        <v>0</v>
      </c>
    </row>
    <row r="89" spans="1:6" x14ac:dyDescent="0.25">
      <c r="A89" t="s">
        <v>23</v>
      </c>
      <c r="B89" s="5" t="s">
        <v>312</v>
      </c>
      <c r="C89" t="s">
        <v>312</v>
      </c>
      <c r="D89" t="b">
        <f t="shared" si="2"/>
        <v>0</v>
      </c>
    </row>
    <row r="90" spans="1:6" x14ac:dyDescent="0.25">
      <c r="A90" t="s">
        <v>162</v>
      </c>
      <c r="B90" s="5" t="s">
        <v>98</v>
      </c>
      <c r="C90" t="s">
        <v>98</v>
      </c>
      <c r="D90" t="b">
        <f t="shared" si="2"/>
        <v>0</v>
      </c>
    </row>
    <row r="91" spans="1:6" x14ac:dyDescent="0.25">
      <c r="A91" t="s">
        <v>162</v>
      </c>
      <c r="B91" s="5" t="s">
        <v>97</v>
      </c>
      <c r="C91" t="s">
        <v>97</v>
      </c>
      <c r="D91" t="b">
        <f t="shared" si="2"/>
        <v>0</v>
      </c>
    </row>
    <row r="92" spans="1:6" x14ac:dyDescent="0.25">
      <c r="A92" t="s">
        <v>162</v>
      </c>
      <c r="B92" s="5" t="s">
        <v>215</v>
      </c>
      <c r="C92" t="s">
        <v>215</v>
      </c>
      <c r="D92" t="b">
        <f t="shared" si="2"/>
        <v>0</v>
      </c>
    </row>
    <row r="93" spans="1:6" x14ac:dyDescent="0.25">
      <c r="A93" t="s">
        <v>162</v>
      </c>
      <c r="B93" s="5" t="s">
        <v>197</v>
      </c>
      <c r="C93" t="s">
        <v>216</v>
      </c>
      <c r="D93" t="b">
        <f t="shared" si="2"/>
        <v>1</v>
      </c>
      <c r="F93"/>
    </row>
    <row r="94" spans="1:6" x14ac:dyDescent="0.25">
      <c r="A94" t="s">
        <v>162</v>
      </c>
      <c r="B94" s="5" t="s">
        <v>184</v>
      </c>
      <c r="C94" t="s">
        <v>845</v>
      </c>
      <c r="D94" t="b">
        <f t="shared" si="2"/>
        <v>1</v>
      </c>
      <c r="F94"/>
    </row>
    <row r="95" spans="1:6" x14ac:dyDescent="0.25">
      <c r="A95" t="s">
        <v>162</v>
      </c>
      <c r="B95" s="5" t="s">
        <v>214</v>
      </c>
      <c r="C95" t="s">
        <v>214</v>
      </c>
      <c r="D95" t="b">
        <f t="shared" si="2"/>
        <v>0</v>
      </c>
      <c r="F95"/>
    </row>
    <row r="96" spans="1:6" x14ac:dyDescent="0.25">
      <c r="A96" t="s">
        <v>162</v>
      </c>
      <c r="B96" s="5" t="s">
        <v>1081</v>
      </c>
      <c r="C96" t="s">
        <v>1081</v>
      </c>
      <c r="D96" t="b">
        <f t="shared" si="2"/>
        <v>0</v>
      </c>
    </row>
    <row r="97" spans="1:4" x14ac:dyDescent="0.25">
      <c r="A97" t="s">
        <v>162</v>
      </c>
      <c r="B97" s="5" t="s">
        <v>1727</v>
      </c>
      <c r="C97" t="s">
        <v>1727</v>
      </c>
      <c r="D97" t="b">
        <f t="shared" si="2"/>
        <v>0</v>
      </c>
    </row>
    <row r="98" spans="1:4" x14ac:dyDescent="0.25">
      <c r="A98" t="s">
        <v>162</v>
      </c>
      <c r="B98" s="5" t="s">
        <v>1113</v>
      </c>
      <c r="C98" t="s">
        <v>1113</v>
      </c>
      <c r="D98" t="b">
        <f t="shared" si="2"/>
        <v>0</v>
      </c>
    </row>
    <row r="99" spans="1:4" x14ac:dyDescent="0.25">
      <c r="A99" t="s">
        <v>615</v>
      </c>
      <c r="B99" s="5" t="s">
        <v>1311</v>
      </c>
      <c r="C99" t="s">
        <v>1311</v>
      </c>
      <c r="D99" t="b">
        <f t="shared" si="2"/>
        <v>0</v>
      </c>
    </row>
    <row r="100" spans="1:4" x14ac:dyDescent="0.25">
      <c r="A100" t="s">
        <v>615</v>
      </c>
      <c r="B100" s="5" t="s">
        <v>202</v>
      </c>
      <c r="C100" t="s">
        <v>1313</v>
      </c>
      <c r="D100" t="b">
        <f t="shared" si="2"/>
        <v>1</v>
      </c>
    </row>
    <row r="101" spans="1:4" x14ac:dyDescent="0.25">
      <c r="A101" t="s">
        <v>615</v>
      </c>
      <c r="B101" s="5" t="s">
        <v>1312</v>
      </c>
      <c r="C101" t="s">
        <v>1312</v>
      </c>
      <c r="D101" t="b">
        <f t="shared" si="2"/>
        <v>0</v>
      </c>
    </row>
    <row r="102" spans="1:4" x14ac:dyDescent="0.25">
      <c r="A102" t="s">
        <v>615</v>
      </c>
      <c r="B102" s="5" t="s">
        <v>1804</v>
      </c>
      <c r="C102" t="s">
        <v>1804</v>
      </c>
      <c r="D102" t="b">
        <f t="shared" si="2"/>
        <v>0</v>
      </c>
    </row>
    <row r="103" spans="1:4" x14ac:dyDescent="0.25">
      <c r="D103" t="b">
        <f t="shared" si="2"/>
        <v>0</v>
      </c>
    </row>
  </sheetData>
  <mergeCells count="1">
    <mergeCell ref="A1:G1"/>
  </mergeCells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notContainsText" priority="1" operator="notContains" id="{DCD6CF2E-5E44-45E3-8CC8-5986D63CFD04}">
            <xm:f>ISERROR(SEARCH(C3,B3))</xm:f>
            <xm:f>C3</xm:f>
            <x14:dxf>
              <fill>
                <patternFill>
                  <bgColor theme="5"/>
                </patternFill>
              </fill>
            </x14:dxf>
          </x14:cfRule>
          <xm:sqref>B3:B102</xm:sqref>
        </x14:conditionalFormatting>
      </x14:conditionalFormatting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27114-425F-4777-B23D-A4E2EF95C144}">
  <sheetPr codeName="Planilha30"/>
  <dimension ref="A1:G102"/>
  <sheetViews>
    <sheetView topLeftCell="A29" workbookViewId="0">
      <selection activeCell="B37" sqref="B37"/>
    </sheetView>
  </sheetViews>
  <sheetFormatPr defaultRowHeight="15" x14ac:dyDescent="0.25"/>
  <cols>
    <col min="1" max="1" width="11.85546875" style="5" customWidth="1"/>
    <col min="2" max="3" width="38.7109375" customWidth="1"/>
    <col min="4" max="4" width="12.42578125" hidden="1" customWidth="1"/>
    <col min="5" max="5" width="4.28515625" customWidth="1"/>
    <col min="6" max="6" width="22.7109375" style="3" customWidth="1"/>
    <col min="7" max="7" width="8.7109375" customWidth="1"/>
  </cols>
  <sheetData>
    <row r="1" spans="1:7" ht="21" x14ac:dyDescent="0.25">
      <c r="A1" s="12" t="s">
        <v>31</v>
      </c>
      <c r="B1" s="12"/>
      <c r="C1" s="12"/>
      <c r="D1" s="12"/>
      <c r="E1" s="12"/>
      <c r="F1" s="12"/>
      <c r="G1" s="12"/>
    </row>
    <row r="2" spans="1:7" x14ac:dyDescent="0.25">
      <c r="A2" s="4" t="s">
        <v>11</v>
      </c>
      <c r="B2" s="4" t="s">
        <v>12</v>
      </c>
      <c r="C2" s="4" t="s">
        <v>13</v>
      </c>
      <c r="D2" s="4" t="s">
        <v>14</v>
      </c>
      <c r="F2" s="4" t="s">
        <v>16</v>
      </c>
      <c r="G2" s="3">
        <f>COUNTIF(D:D,"Verdadeiro")</f>
        <v>11</v>
      </c>
    </row>
    <row r="3" spans="1:7" x14ac:dyDescent="0.25">
      <c r="A3" s="5" t="s">
        <v>1539</v>
      </c>
      <c r="B3" s="5" t="s">
        <v>1567</v>
      </c>
      <c r="C3" s="5" t="s">
        <v>1567</v>
      </c>
      <c r="D3" t="b">
        <f>B3&lt;&gt;C3</f>
        <v>0</v>
      </c>
      <c r="F3" s="4" t="s">
        <v>17</v>
      </c>
      <c r="G3" s="3">
        <f>SUM(G6:G24)</f>
        <v>100</v>
      </c>
    </row>
    <row r="4" spans="1:7" x14ac:dyDescent="0.25">
      <c r="A4" t="s">
        <v>15</v>
      </c>
      <c r="B4" s="5" t="s">
        <v>60</v>
      </c>
      <c r="C4" t="s">
        <v>34</v>
      </c>
      <c r="D4" t="b">
        <f>B4&lt;&gt;C4</f>
        <v>1</v>
      </c>
    </row>
    <row r="5" spans="1:7" x14ac:dyDescent="0.25">
      <c r="A5" t="s">
        <v>15</v>
      </c>
      <c r="B5" s="5" t="s">
        <v>20</v>
      </c>
      <c r="C5" t="s">
        <v>20</v>
      </c>
      <c r="D5" t="b">
        <f t="shared" ref="D5:D67" si="0">B5&lt;&gt;C5</f>
        <v>0</v>
      </c>
      <c r="F5" s="6" t="s">
        <v>19</v>
      </c>
      <c r="G5" s="1"/>
    </row>
    <row r="6" spans="1:7" x14ac:dyDescent="0.25">
      <c r="A6" t="s">
        <v>15</v>
      </c>
      <c r="B6" s="5" t="s">
        <v>391</v>
      </c>
      <c r="C6" t="s">
        <v>391</v>
      </c>
      <c r="D6" t="b">
        <f t="shared" si="0"/>
        <v>0</v>
      </c>
      <c r="F6" s="3" t="s">
        <v>1539</v>
      </c>
      <c r="G6" s="2">
        <f t="shared" ref="G6:G12" si="1">COUNTIF(A:A,F6)</f>
        <v>1</v>
      </c>
    </row>
    <row r="7" spans="1:7" x14ac:dyDescent="0.25">
      <c r="A7" t="s">
        <v>15</v>
      </c>
      <c r="B7" s="5" t="s">
        <v>392</v>
      </c>
      <c r="C7" t="s">
        <v>392</v>
      </c>
      <c r="D7" t="b">
        <f t="shared" si="0"/>
        <v>0</v>
      </c>
      <c r="F7" s="7" t="s">
        <v>15</v>
      </c>
      <c r="G7" s="2">
        <f t="shared" si="1"/>
        <v>33</v>
      </c>
    </row>
    <row r="8" spans="1:7" x14ac:dyDescent="0.25">
      <c r="A8" t="s">
        <v>15</v>
      </c>
      <c r="B8" s="5" t="s">
        <v>512</v>
      </c>
      <c r="C8" t="s">
        <v>512</v>
      </c>
      <c r="D8" t="b">
        <f t="shared" si="0"/>
        <v>0</v>
      </c>
      <c r="F8" s="7" t="s">
        <v>21</v>
      </c>
      <c r="G8" s="2">
        <f t="shared" si="1"/>
        <v>10</v>
      </c>
    </row>
    <row r="9" spans="1:7" x14ac:dyDescent="0.25">
      <c r="A9" t="s">
        <v>15</v>
      </c>
      <c r="B9" s="5" t="s">
        <v>511</v>
      </c>
      <c r="C9" t="s">
        <v>511</v>
      </c>
      <c r="D9" t="b">
        <f t="shared" si="0"/>
        <v>0</v>
      </c>
      <c r="F9" s="7" t="s">
        <v>22</v>
      </c>
      <c r="G9" s="2">
        <f t="shared" si="1"/>
        <v>7</v>
      </c>
    </row>
    <row r="10" spans="1:7" x14ac:dyDescent="0.25">
      <c r="A10" t="s">
        <v>15</v>
      </c>
      <c r="B10" s="5" t="s">
        <v>62</v>
      </c>
      <c r="C10" t="s">
        <v>2197</v>
      </c>
      <c r="D10" t="b">
        <f t="shared" si="0"/>
        <v>1</v>
      </c>
      <c r="F10" s="7" t="s">
        <v>1140</v>
      </c>
      <c r="G10" s="2">
        <f t="shared" si="1"/>
        <v>34</v>
      </c>
    </row>
    <row r="11" spans="1:7" x14ac:dyDescent="0.25">
      <c r="A11" t="s">
        <v>15</v>
      </c>
      <c r="B11" s="5" t="s">
        <v>62</v>
      </c>
      <c r="C11" t="s">
        <v>62</v>
      </c>
      <c r="D11" t="b">
        <f t="shared" si="0"/>
        <v>0</v>
      </c>
      <c r="F11" s="7" t="s">
        <v>288</v>
      </c>
      <c r="G11" s="2">
        <f t="shared" si="1"/>
        <v>7</v>
      </c>
    </row>
    <row r="12" spans="1:7" x14ac:dyDescent="0.25">
      <c r="A12" t="s">
        <v>15</v>
      </c>
      <c r="B12" s="5" t="s">
        <v>62</v>
      </c>
      <c r="C12" t="s">
        <v>62</v>
      </c>
      <c r="D12" t="b">
        <f t="shared" si="0"/>
        <v>0</v>
      </c>
      <c r="F12" s="7" t="s">
        <v>23</v>
      </c>
      <c r="G12" s="2">
        <f t="shared" si="1"/>
        <v>8</v>
      </c>
    </row>
    <row r="13" spans="1:7" x14ac:dyDescent="0.25">
      <c r="A13" t="s">
        <v>15</v>
      </c>
      <c r="B13" s="5" t="s">
        <v>62</v>
      </c>
      <c r="C13" t="s">
        <v>62</v>
      </c>
      <c r="D13" t="b">
        <f t="shared" si="0"/>
        <v>0</v>
      </c>
    </row>
    <row r="14" spans="1:7" x14ac:dyDescent="0.25">
      <c r="A14" t="s">
        <v>15</v>
      </c>
      <c r="B14" s="5" t="s">
        <v>62</v>
      </c>
      <c r="C14" t="s">
        <v>62</v>
      </c>
      <c r="D14" t="b">
        <f t="shared" si="0"/>
        <v>0</v>
      </c>
      <c r="F14" s="7"/>
      <c r="G14" s="2"/>
    </row>
    <row r="15" spans="1:7" x14ac:dyDescent="0.25">
      <c r="A15" t="s">
        <v>15</v>
      </c>
      <c r="B15" s="5" t="s">
        <v>62</v>
      </c>
      <c r="C15" t="s">
        <v>62</v>
      </c>
      <c r="D15" t="b">
        <f t="shared" si="0"/>
        <v>0</v>
      </c>
      <c r="F15" s="4"/>
      <c r="G15" s="2"/>
    </row>
    <row r="16" spans="1:7" x14ac:dyDescent="0.25">
      <c r="A16" t="s">
        <v>15</v>
      </c>
      <c r="B16" s="5" t="s">
        <v>62</v>
      </c>
      <c r="C16" t="s">
        <v>62</v>
      </c>
      <c r="D16" t="b">
        <f t="shared" si="0"/>
        <v>0</v>
      </c>
      <c r="F16" s="4"/>
      <c r="G16" s="2"/>
    </row>
    <row r="17" spans="1:4" x14ac:dyDescent="0.25">
      <c r="A17" t="s">
        <v>15</v>
      </c>
      <c r="B17" s="5" t="s">
        <v>62</v>
      </c>
      <c r="C17" t="s">
        <v>62</v>
      </c>
      <c r="D17" t="b">
        <f t="shared" si="0"/>
        <v>0</v>
      </c>
    </row>
    <row r="18" spans="1:4" x14ac:dyDescent="0.25">
      <c r="A18" t="s">
        <v>15</v>
      </c>
      <c r="B18" s="5" t="s">
        <v>62</v>
      </c>
      <c r="C18" t="s">
        <v>62</v>
      </c>
      <c r="D18" t="b">
        <f t="shared" si="0"/>
        <v>0</v>
      </c>
    </row>
    <row r="19" spans="1:4" x14ac:dyDescent="0.25">
      <c r="A19" t="s">
        <v>15</v>
      </c>
      <c r="B19" s="5" t="s">
        <v>62</v>
      </c>
      <c r="C19" t="s">
        <v>62</v>
      </c>
      <c r="D19" t="b">
        <f t="shared" si="0"/>
        <v>0</v>
      </c>
    </row>
    <row r="20" spans="1:4" x14ac:dyDescent="0.25">
      <c r="A20" t="s">
        <v>15</v>
      </c>
      <c r="B20" s="5" t="s">
        <v>62</v>
      </c>
      <c r="C20" t="s">
        <v>62</v>
      </c>
      <c r="D20" t="b">
        <f t="shared" si="0"/>
        <v>0</v>
      </c>
    </row>
    <row r="21" spans="1:4" x14ac:dyDescent="0.25">
      <c r="A21" t="s">
        <v>15</v>
      </c>
      <c r="B21" s="5" t="s">
        <v>62</v>
      </c>
      <c r="C21" t="s">
        <v>62</v>
      </c>
      <c r="D21" t="b">
        <f t="shared" si="0"/>
        <v>0</v>
      </c>
    </row>
    <row r="22" spans="1:4" x14ac:dyDescent="0.25">
      <c r="A22" t="s">
        <v>15</v>
      </c>
      <c r="B22" s="5" t="s">
        <v>60</v>
      </c>
      <c r="C22" t="s">
        <v>60</v>
      </c>
      <c r="D22" t="b">
        <f t="shared" si="0"/>
        <v>0</v>
      </c>
    </row>
    <row r="23" spans="1:4" x14ac:dyDescent="0.25">
      <c r="A23" t="s">
        <v>15</v>
      </c>
      <c r="B23" s="5" t="s">
        <v>60</v>
      </c>
      <c r="C23" t="s">
        <v>60</v>
      </c>
      <c r="D23" t="b">
        <f t="shared" si="0"/>
        <v>0</v>
      </c>
    </row>
    <row r="24" spans="1:4" x14ac:dyDescent="0.25">
      <c r="A24" t="s">
        <v>15</v>
      </c>
      <c r="B24" s="5" t="s">
        <v>60</v>
      </c>
      <c r="C24" t="s">
        <v>60</v>
      </c>
      <c r="D24" t="b">
        <f t="shared" si="0"/>
        <v>0</v>
      </c>
    </row>
    <row r="25" spans="1:4" x14ac:dyDescent="0.25">
      <c r="A25" t="s">
        <v>15</v>
      </c>
      <c r="B25" s="5" t="s">
        <v>60</v>
      </c>
      <c r="C25" t="s">
        <v>60</v>
      </c>
      <c r="D25" t="b">
        <f t="shared" si="0"/>
        <v>0</v>
      </c>
    </row>
    <row r="26" spans="1:4" x14ac:dyDescent="0.25">
      <c r="A26" t="s">
        <v>15</v>
      </c>
      <c r="B26" s="5" t="s">
        <v>60</v>
      </c>
      <c r="C26" t="s">
        <v>60</v>
      </c>
      <c r="D26" t="b">
        <f t="shared" si="0"/>
        <v>0</v>
      </c>
    </row>
    <row r="27" spans="1:4" x14ac:dyDescent="0.25">
      <c r="A27" t="s">
        <v>15</v>
      </c>
      <c r="B27" s="5" t="s">
        <v>60</v>
      </c>
      <c r="C27" t="s">
        <v>60</v>
      </c>
      <c r="D27" t="b">
        <f t="shared" si="0"/>
        <v>0</v>
      </c>
    </row>
    <row r="28" spans="1:4" x14ac:dyDescent="0.25">
      <c r="A28" t="s">
        <v>15</v>
      </c>
      <c r="B28" s="5" t="s">
        <v>60</v>
      </c>
      <c r="C28" t="s">
        <v>60</v>
      </c>
      <c r="D28" t="b">
        <f t="shared" si="0"/>
        <v>0</v>
      </c>
    </row>
    <row r="29" spans="1:4" x14ac:dyDescent="0.25">
      <c r="A29" t="s">
        <v>15</v>
      </c>
      <c r="B29" s="5" t="s">
        <v>60</v>
      </c>
      <c r="C29" t="s">
        <v>60</v>
      </c>
      <c r="D29" t="b">
        <f t="shared" si="0"/>
        <v>0</v>
      </c>
    </row>
    <row r="30" spans="1:4" x14ac:dyDescent="0.25">
      <c r="A30" t="s">
        <v>15</v>
      </c>
      <c r="B30" s="5" t="s">
        <v>60</v>
      </c>
      <c r="C30" t="s">
        <v>60</v>
      </c>
      <c r="D30" t="b">
        <f t="shared" si="0"/>
        <v>0</v>
      </c>
    </row>
    <row r="31" spans="1:4" x14ac:dyDescent="0.25">
      <c r="A31" t="s">
        <v>15</v>
      </c>
      <c r="B31" s="5" t="s">
        <v>60</v>
      </c>
      <c r="C31" t="s">
        <v>60</v>
      </c>
      <c r="D31" t="b">
        <f t="shared" si="0"/>
        <v>0</v>
      </c>
    </row>
    <row r="32" spans="1:4" x14ac:dyDescent="0.25">
      <c r="A32" t="s">
        <v>15</v>
      </c>
      <c r="B32" s="5" t="s">
        <v>60</v>
      </c>
      <c r="C32" t="s">
        <v>60</v>
      </c>
      <c r="D32" t="b">
        <f t="shared" si="0"/>
        <v>0</v>
      </c>
    </row>
    <row r="33" spans="1:4" x14ac:dyDescent="0.25">
      <c r="A33" t="s">
        <v>15</v>
      </c>
      <c r="B33" s="5" t="s">
        <v>60</v>
      </c>
      <c r="C33" t="s">
        <v>60</v>
      </c>
      <c r="D33" t="b">
        <f t="shared" si="0"/>
        <v>0</v>
      </c>
    </row>
    <row r="34" spans="1:4" x14ac:dyDescent="0.25">
      <c r="A34" t="s">
        <v>15</v>
      </c>
      <c r="B34" s="5" t="s">
        <v>60</v>
      </c>
      <c r="C34" t="s">
        <v>60</v>
      </c>
      <c r="D34" t="b">
        <f t="shared" si="0"/>
        <v>0</v>
      </c>
    </row>
    <row r="35" spans="1:4" x14ac:dyDescent="0.25">
      <c r="A35" t="s">
        <v>15</v>
      </c>
      <c r="B35" s="5" t="s">
        <v>60</v>
      </c>
      <c r="C35" t="s">
        <v>60</v>
      </c>
      <c r="D35" t="b">
        <f t="shared" si="0"/>
        <v>0</v>
      </c>
    </row>
    <row r="36" spans="1:4" x14ac:dyDescent="0.25">
      <c r="A36" t="s">
        <v>15</v>
      </c>
      <c r="B36" s="5" t="s">
        <v>60</v>
      </c>
      <c r="C36" t="s">
        <v>60</v>
      </c>
      <c r="D36" t="b">
        <f t="shared" si="0"/>
        <v>0</v>
      </c>
    </row>
    <row r="37" spans="1:4" x14ac:dyDescent="0.25">
      <c r="A37" t="s">
        <v>21</v>
      </c>
      <c r="B37" s="5" t="s">
        <v>173</v>
      </c>
      <c r="C37" t="s">
        <v>173</v>
      </c>
      <c r="D37" t="b">
        <f t="shared" si="0"/>
        <v>0</v>
      </c>
    </row>
    <row r="38" spans="1:4" x14ac:dyDescent="0.25">
      <c r="A38" t="s">
        <v>21</v>
      </c>
      <c r="B38" s="5" t="s">
        <v>174</v>
      </c>
      <c r="C38" t="s">
        <v>174</v>
      </c>
      <c r="D38" t="b">
        <f t="shared" si="0"/>
        <v>0</v>
      </c>
    </row>
    <row r="39" spans="1:4" x14ac:dyDescent="0.25">
      <c r="A39" t="s">
        <v>21</v>
      </c>
      <c r="B39" s="5" t="s">
        <v>64</v>
      </c>
      <c r="C39" t="s">
        <v>64</v>
      </c>
      <c r="D39" t="b">
        <f t="shared" si="0"/>
        <v>0</v>
      </c>
    </row>
    <row r="40" spans="1:4" x14ac:dyDescent="0.25">
      <c r="A40" t="s">
        <v>21</v>
      </c>
      <c r="B40" s="5" t="s">
        <v>301</v>
      </c>
      <c r="C40" t="s">
        <v>301</v>
      </c>
      <c r="D40" t="b">
        <f t="shared" si="0"/>
        <v>0</v>
      </c>
    </row>
    <row r="41" spans="1:4" x14ac:dyDescent="0.25">
      <c r="A41" t="s">
        <v>21</v>
      </c>
      <c r="B41" s="5" t="s">
        <v>1747</v>
      </c>
      <c r="C41" t="s">
        <v>2196</v>
      </c>
      <c r="D41" t="b">
        <f t="shared" si="0"/>
        <v>1</v>
      </c>
    </row>
    <row r="42" spans="1:4" x14ac:dyDescent="0.25">
      <c r="A42" t="s">
        <v>21</v>
      </c>
      <c r="B42" s="5" t="s">
        <v>179</v>
      </c>
      <c r="C42" t="s">
        <v>179</v>
      </c>
      <c r="D42" t="b">
        <f t="shared" si="0"/>
        <v>0</v>
      </c>
    </row>
    <row r="43" spans="1:4" x14ac:dyDescent="0.25">
      <c r="A43" t="s">
        <v>21</v>
      </c>
      <c r="B43" s="5" t="s">
        <v>127</v>
      </c>
      <c r="C43" t="s">
        <v>127</v>
      </c>
      <c r="D43" t="b">
        <f t="shared" si="0"/>
        <v>0</v>
      </c>
    </row>
    <row r="44" spans="1:4" x14ac:dyDescent="0.25">
      <c r="A44" t="s">
        <v>21</v>
      </c>
      <c r="B44" s="5" t="s">
        <v>1934</v>
      </c>
      <c r="C44" t="s">
        <v>1934</v>
      </c>
      <c r="D44" t="b">
        <f t="shared" si="0"/>
        <v>0</v>
      </c>
    </row>
    <row r="45" spans="1:4" x14ac:dyDescent="0.25">
      <c r="A45" t="s">
        <v>21</v>
      </c>
      <c r="B45" s="5" t="s">
        <v>128</v>
      </c>
      <c r="C45" t="s">
        <v>128</v>
      </c>
      <c r="D45" t="b">
        <f t="shared" si="0"/>
        <v>0</v>
      </c>
    </row>
    <row r="46" spans="1:4" x14ac:dyDescent="0.25">
      <c r="A46" t="s">
        <v>21</v>
      </c>
      <c r="B46" s="5" t="s">
        <v>1898</v>
      </c>
      <c r="C46" t="s">
        <v>1141</v>
      </c>
      <c r="D46" t="b">
        <f t="shared" si="0"/>
        <v>1</v>
      </c>
    </row>
    <row r="47" spans="1:4" x14ac:dyDescent="0.25">
      <c r="A47" t="s">
        <v>22</v>
      </c>
      <c r="B47" s="5" t="s">
        <v>478</v>
      </c>
      <c r="C47" t="s">
        <v>478</v>
      </c>
      <c r="D47" t="b">
        <f t="shared" si="0"/>
        <v>0</v>
      </c>
    </row>
    <row r="48" spans="1:4" x14ac:dyDescent="0.25">
      <c r="A48" t="s">
        <v>22</v>
      </c>
      <c r="B48" s="5" t="s">
        <v>1142</v>
      </c>
      <c r="C48" t="s">
        <v>1142</v>
      </c>
      <c r="D48" t="b">
        <f t="shared" si="0"/>
        <v>0</v>
      </c>
    </row>
    <row r="49" spans="1:5" x14ac:dyDescent="0.25">
      <c r="A49" t="s">
        <v>22</v>
      </c>
      <c r="B49" s="5" t="s">
        <v>1143</v>
      </c>
      <c r="C49" t="s">
        <v>1143</v>
      </c>
      <c r="D49" t="b">
        <f t="shared" si="0"/>
        <v>0</v>
      </c>
    </row>
    <row r="50" spans="1:5" x14ac:dyDescent="0.25">
      <c r="A50" t="s">
        <v>22</v>
      </c>
      <c r="B50" s="5" t="s">
        <v>1144</v>
      </c>
      <c r="C50" t="s">
        <v>1144</v>
      </c>
      <c r="D50" t="b">
        <f t="shared" si="0"/>
        <v>0</v>
      </c>
    </row>
    <row r="51" spans="1:5" x14ac:dyDescent="0.25">
      <c r="A51" t="s">
        <v>22</v>
      </c>
      <c r="B51" s="5" t="s">
        <v>383</v>
      </c>
      <c r="C51" t="s">
        <v>383</v>
      </c>
      <c r="D51" t="b">
        <f t="shared" si="0"/>
        <v>0</v>
      </c>
    </row>
    <row r="52" spans="1:5" x14ac:dyDescent="0.25">
      <c r="A52" t="s">
        <v>22</v>
      </c>
      <c r="B52" s="5" t="s">
        <v>1432</v>
      </c>
      <c r="C52" t="s">
        <v>1146</v>
      </c>
      <c r="D52" t="b">
        <f t="shared" si="0"/>
        <v>1</v>
      </c>
    </row>
    <row r="53" spans="1:5" x14ac:dyDescent="0.25">
      <c r="A53" t="s">
        <v>22</v>
      </c>
      <c r="B53" s="5" t="s">
        <v>563</v>
      </c>
      <c r="C53" t="s">
        <v>563</v>
      </c>
      <c r="D53" t="b">
        <f t="shared" si="0"/>
        <v>0</v>
      </c>
    </row>
    <row r="54" spans="1:5" x14ac:dyDescent="0.25">
      <c r="A54" t="s">
        <v>1140</v>
      </c>
      <c r="B54" s="5" t="s">
        <v>1147</v>
      </c>
      <c r="C54" t="s">
        <v>1147</v>
      </c>
      <c r="D54" t="b">
        <f t="shared" si="0"/>
        <v>0</v>
      </c>
    </row>
    <row r="55" spans="1:5" x14ac:dyDescent="0.25">
      <c r="A55" t="s">
        <v>1140</v>
      </c>
      <c r="B55" s="5" t="s">
        <v>1148</v>
      </c>
      <c r="C55" t="s">
        <v>1148</v>
      </c>
      <c r="D55" t="b">
        <f t="shared" si="0"/>
        <v>0</v>
      </c>
    </row>
    <row r="56" spans="1:5" x14ac:dyDescent="0.25">
      <c r="A56" t="s">
        <v>1140</v>
      </c>
      <c r="B56" s="5" t="s">
        <v>83</v>
      </c>
      <c r="C56" t="s">
        <v>83</v>
      </c>
      <c r="D56" t="b">
        <f t="shared" si="0"/>
        <v>0</v>
      </c>
    </row>
    <row r="57" spans="1:5" x14ac:dyDescent="0.25">
      <c r="A57" t="s">
        <v>1140</v>
      </c>
      <c r="B57" s="5" t="s">
        <v>1149</v>
      </c>
      <c r="C57" t="s">
        <v>1149</v>
      </c>
      <c r="D57" t="b">
        <f t="shared" si="0"/>
        <v>0</v>
      </c>
    </row>
    <row r="58" spans="1:5" x14ac:dyDescent="0.25">
      <c r="A58" t="s">
        <v>1140</v>
      </c>
      <c r="B58" s="5" t="s">
        <v>1150</v>
      </c>
      <c r="C58" t="s">
        <v>1150</v>
      </c>
      <c r="D58" t="b">
        <f t="shared" si="0"/>
        <v>0</v>
      </c>
    </row>
    <row r="59" spans="1:5" x14ac:dyDescent="0.25">
      <c r="A59" t="s">
        <v>1140</v>
      </c>
      <c r="B59" s="5" t="s">
        <v>1151</v>
      </c>
      <c r="C59" t="s">
        <v>1151</v>
      </c>
      <c r="D59" t="b">
        <f t="shared" si="0"/>
        <v>0</v>
      </c>
    </row>
    <row r="60" spans="1:5" x14ac:dyDescent="0.25">
      <c r="A60" t="s">
        <v>1140</v>
      </c>
      <c r="B60" s="5" t="s">
        <v>1152</v>
      </c>
      <c r="C60" t="s">
        <v>1152</v>
      </c>
      <c r="D60" t="b">
        <f t="shared" si="0"/>
        <v>0</v>
      </c>
    </row>
    <row r="61" spans="1:5" x14ac:dyDescent="0.25">
      <c r="A61" t="s">
        <v>1140</v>
      </c>
      <c r="B61" s="5" t="s">
        <v>69</v>
      </c>
      <c r="C61" t="s">
        <v>69</v>
      </c>
      <c r="D61" t="b">
        <f t="shared" si="0"/>
        <v>0</v>
      </c>
    </row>
    <row r="62" spans="1:5" x14ac:dyDescent="0.25">
      <c r="A62" t="s">
        <v>1140</v>
      </c>
      <c r="B62" s="5" t="s">
        <v>1153</v>
      </c>
      <c r="C62" t="s">
        <v>1153</v>
      </c>
      <c r="D62" t="b">
        <f t="shared" si="0"/>
        <v>0</v>
      </c>
    </row>
    <row r="63" spans="1:5" x14ac:dyDescent="0.25">
      <c r="A63" t="s">
        <v>1140</v>
      </c>
      <c r="B63" s="5" t="s">
        <v>1154</v>
      </c>
      <c r="C63" t="s">
        <v>1154</v>
      </c>
      <c r="D63" t="b">
        <f t="shared" si="0"/>
        <v>0</v>
      </c>
      <c r="E63" s="5"/>
    </row>
    <row r="64" spans="1:5" x14ac:dyDescent="0.25">
      <c r="A64" t="s">
        <v>1140</v>
      </c>
      <c r="B64" s="5" t="s">
        <v>1824</v>
      </c>
      <c r="C64" t="s">
        <v>1824</v>
      </c>
      <c r="D64" t="b">
        <f t="shared" si="0"/>
        <v>0</v>
      </c>
    </row>
    <row r="65" spans="1:4" x14ac:dyDescent="0.25">
      <c r="A65" t="s">
        <v>1140</v>
      </c>
      <c r="B65" s="5" t="s">
        <v>1155</v>
      </c>
      <c r="C65" t="s">
        <v>1155</v>
      </c>
      <c r="D65" t="b">
        <f t="shared" si="0"/>
        <v>0</v>
      </c>
    </row>
    <row r="66" spans="1:4" x14ac:dyDescent="0.25">
      <c r="A66" t="s">
        <v>1140</v>
      </c>
      <c r="B66" s="5" t="s">
        <v>1156</v>
      </c>
      <c r="C66" t="s">
        <v>1156</v>
      </c>
      <c r="D66" t="b">
        <f t="shared" si="0"/>
        <v>0</v>
      </c>
    </row>
    <row r="67" spans="1:4" x14ac:dyDescent="0.25">
      <c r="A67" t="s">
        <v>1140</v>
      </c>
      <c r="B67" s="5" t="s">
        <v>1157</v>
      </c>
      <c r="C67" t="s">
        <v>1157</v>
      </c>
      <c r="D67" t="b">
        <f t="shared" si="0"/>
        <v>0</v>
      </c>
    </row>
    <row r="68" spans="1:4" x14ac:dyDescent="0.25">
      <c r="A68" t="s">
        <v>1140</v>
      </c>
      <c r="B68" s="5" t="s">
        <v>1158</v>
      </c>
      <c r="C68" t="s">
        <v>1158</v>
      </c>
      <c r="D68" t="b">
        <f t="shared" ref="D68:D102" si="2">B68&lt;&gt;C68</f>
        <v>0</v>
      </c>
    </row>
    <row r="69" spans="1:4" x14ac:dyDescent="0.25">
      <c r="A69" t="s">
        <v>1140</v>
      </c>
      <c r="B69" s="5" t="s">
        <v>1594</v>
      </c>
      <c r="C69" t="s">
        <v>1159</v>
      </c>
      <c r="D69" t="b">
        <f t="shared" si="2"/>
        <v>1</v>
      </c>
    </row>
    <row r="70" spans="1:4" x14ac:dyDescent="0.25">
      <c r="A70" t="s">
        <v>1140</v>
      </c>
      <c r="B70" s="5" t="s">
        <v>1160</v>
      </c>
      <c r="C70" t="s">
        <v>1160</v>
      </c>
      <c r="D70" t="b">
        <f t="shared" si="2"/>
        <v>0</v>
      </c>
    </row>
    <row r="71" spans="1:4" x14ac:dyDescent="0.25">
      <c r="A71" t="s">
        <v>1140</v>
      </c>
      <c r="B71" s="5" t="s">
        <v>1161</v>
      </c>
      <c r="C71" t="s">
        <v>1161</v>
      </c>
      <c r="D71" t="b">
        <f t="shared" si="2"/>
        <v>0</v>
      </c>
    </row>
    <row r="72" spans="1:4" x14ac:dyDescent="0.25">
      <c r="A72" t="s">
        <v>1140</v>
      </c>
      <c r="B72" s="5" t="s">
        <v>1162</v>
      </c>
      <c r="C72" t="s">
        <v>1162</v>
      </c>
      <c r="D72" t="b">
        <f t="shared" si="2"/>
        <v>0</v>
      </c>
    </row>
    <row r="73" spans="1:4" x14ac:dyDescent="0.25">
      <c r="A73" t="s">
        <v>1140</v>
      </c>
      <c r="B73" s="5" t="s">
        <v>1163</v>
      </c>
      <c r="C73" t="s">
        <v>1163</v>
      </c>
      <c r="D73" t="b">
        <f t="shared" si="2"/>
        <v>0</v>
      </c>
    </row>
    <row r="74" spans="1:4" x14ac:dyDescent="0.25">
      <c r="A74" t="s">
        <v>1140</v>
      </c>
      <c r="B74" s="5" t="s">
        <v>1164</v>
      </c>
      <c r="C74" t="s">
        <v>1164</v>
      </c>
      <c r="D74" t="b">
        <f t="shared" si="2"/>
        <v>0</v>
      </c>
    </row>
    <row r="75" spans="1:4" x14ac:dyDescent="0.25">
      <c r="A75" t="s">
        <v>1140</v>
      </c>
      <c r="B75" s="5" t="s">
        <v>1825</v>
      </c>
      <c r="C75" t="s">
        <v>1165</v>
      </c>
      <c r="D75" t="b">
        <f t="shared" si="2"/>
        <v>1</v>
      </c>
    </row>
    <row r="76" spans="1:4" x14ac:dyDescent="0.25">
      <c r="A76" t="s">
        <v>1140</v>
      </c>
      <c r="B76" s="5" t="s">
        <v>2228</v>
      </c>
      <c r="C76" t="s">
        <v>2228</v>
      </c>
      <c r="D76" t="b">
        <f t="shared" si="2"/>
        <v>0</v>
      </c>
    </row>
    <row r="77" spans="1:4" x14ac:dyDescent="0.25">
      <c r="A77" t="s">
        <v>1140</v>
      </c>
      <c r="B77" t="s">
        <v>1166</v>
      </c>
      <c r="C77" t="s">
        <v>1166</v>
      </c>
      <c r="D77" t="b">
        <f t="shared" si="2"/>
        <v>0</v>
      </c>
    </row>
    <row r="78" spans="1:4" x14ac:dyDescent="0.25">
      <c r="A78" t="s">
        <v>1140</v>
      </c>
      <c r="B78" s="5" t="s">
        <v>1167</v>
      </c>
      <c r="C78" t="s">
        <v>1167</v>
      </c>
      <c r="D78" t="b">
        <f t="shared" si="2"/>
        <v>0</v>
      </c>
    </row>
    <row r="79" spans="1:4" x14ac:dyDescent="0.25">
      <c r="A79" t="s">
        <v>1140</v>
      </c>
      <c r="B79" s="5" t="s">
        <v>2227</v>
      </c>
      <c r="C79" t="s">
        <v>1168</v>
      </c>
      <c r="D79" t="b">
        <f t="shared" si="2"/>
        <v>1</v>
      </c>
    </row>
    <row r="80" spans="1:4" x14ac:dyDescent="0.25">
      <c r="A80" t="s">
        <v>1140</v>
      </c>
      <c r="B80" s="5" t="s">
        <v>1145</v>
      </c>
      <c r="C80" t="s">
        <v>2195</v>
      </c>
      <c r="D80" t="b">
        <f>B80&lt;&gt;C80</f>
        <v>1</v>
      </c>
    </row>
    <row r="81" spans="1:4" x14ac:dyDescent="0.25">
      <c r="A81" t="s">
        <v>1140</v>
      </c>
      <c r="B81" t="s">
        <v>1169</v>
      </c>
      <c r="C81" t="s">
        <v>1169</v>
      </c>
      <c r="D81" t="b">
        <f t="shared" si="2"/>
        <v>0</v>
      </c>
    </row>
    <row r="82" spans="1:4" x14ac:dyDescent="0.25">
      <c r="A82" t="s">
        <v>1140</v>
      </c>
      <c r="B82" s="5" t="s">
        <v>1170</v>
      </c>
      <c r="C82" t="s">
        <v>1170</v>
      </c>
      <c r="D82" t="b">
        <f t="shared" si="2"/>
        <v>0</v>
      </c>
    </row>
    <row r="83" spans="1:4" x14ac:dyDescent="0.25">
      <c r="A83" t="s">
        <v>1140</v>
      </c>
      <c r="B83" s="5" t="s">
        <v>1171</v>
      </c>
      <c r="C83" t="s">
        <v>1171</v>
      </c>
      <c r="D83" t="b">
        <f t="shared" si="2"/>
        <v>0</v>
      </c>
    </row>
    <row r="84" spans="1:4" x14ac:dyDescent="0.25">
      <c r="A84" t="s">
        <v>1140</v>
      </c>
      <c r="B84" s="5" t="s">
        <v>1172</v>
      </c>
      <c r="C84" t="s">
        <v>1172</v>
      </c>
      <c r="D84" t="b">
        <f t="shared" si="2"/>
        <v>0</v>
      </c>
    </row>
    <row r="85" spans="1:4" x14ac:dyDescent="0.25">
      <c r="A85" t="s">
        <v>1140</v>
      </c>
      <c r="B85" s="5" t="s">
        <v>1173</v>
      </c>
      <c r="C85" t="s">
        <v>1173</v>
      </c>
      <c r="D85" t="b">
        <f t="shared" si="2"/>
        <v>0</v>
      </c>
    </row>
    <row r="86" spans="1:4" x14ac:dyDescent="0.25">
      <c r="A86" t="s">
        <v>1140</v>
      </c>
      <c r="B86" s="5" t="s">
        <v>1826</v>
      </c>
      <c r="C86" t="s">
        <v>2194</v>
      </c>
      <c r="D86" t="b">
        <f>B86&lt;&gt;C86</f>
        <v>1</v>
      </c>
    </row>
    <row r="87" spans="1:4" x14ac:dyDescent="0.25">
      <c r="A87" t="s">
        <v>1140</v>
      </c>
      <c r="B87" s="5" t="s">
        <v>1174</v>
      </c>
      <c r="C87" t="s">
        <v>1174</v>
      </c>
      <c r="D87" t="b">
        <f t="shared" si="2"/>
        <v>0</v>
      </c>
    </row>
    <row r="88" spans="1:4" x14ac:dyDescent="0.25">
      <c r="A88" t="s">
        <v>288</v>
      </c>
      <c r="B88" s="5" t="s">
        <v>1175</v>
      </c>
      <c r="C88" t="s">
        <v>1175</v>
      </c>
      <c r="D88" t="b">
        <f t="shared" si="2"/>
        <v>0</v>
      </c>
    </row>
    <row r="89" spans="1:4" x14ac:dyDescent="0.25">
      <c r="A89" t="s">
        <v>288</v>
      </c>
      <c r="B89" s="5" t="s">
        <v>1176</v>
      </c>
      <c r="C89" t="s">
        <v>1176</v>
      </c>
      <c r="D89" t="b">
        <f t="shared" si="2"/>
        <v>0</v>
      </c>
    </row>
    <row r="90" spans="1:4" x14ac:dyDescent="0.25">
      <c r="A90" t="s">
        <v>288</v>
      </c>
      <c r="B90" s="5" t="s">
        <v>433</v>
      </c>
      <c r="C90" t="s">
        <v>433</v>
      </c>
      <c r="D90" t="b">
        <f t="shared" si="2"/>
        <v>0</v>
      </c>
    </row>
    <row r="91" spans="1:4" x14ac:dyDescent="0.25">
      <c r="A91" t="s">
        <v>288</v>
      </c>
      <c r="B91" s="5" t="s">
        <v>1827</v>
      </c>
      <c r="C91" t="s">
        <v>1827</v>
      </c>
      <c r="D91" t="b">
        <f t="shared" si="2"/>
        <v>0</v>
      </c>
    </row>
    <row r="92" spans="1:4" x14ac:dyDescent="0.25">
      <c r="A92" t="s">
        <v>288</v>
      </c>
      <c r="B92" s="5" t="s">
        <v>431</v>
      </c>
      <c r="C92" t="s">
        <v>431</v>
      </c>
      <c r="D92" t="b">
        <f t="shared" si="2"/>
        <v>0</v>
      </c>
    </row>
    <row r="93" spans="1:4" x14ac:dyDescent="0.25">
      <c r="A93" t="s">
        <v>288</v>
      </c>
      <c r="B93" s="5" t="s">
        <v>442</v>
      </c>
      <c r="C93" t="s">
        <v>442</v>
      </c>
      <c r="D93" t="b">
        <f t="shared" si="2"/>
        <v>0</v>
      </c>
    </row>
    <row r="94" spans="1:4" x14ac:dyDescent="0.25">
      <c r="A94" t="s">
        <v>288</v>
      </c>
      <c r="B94" s="5" t="s">
        <v>1897</v>
      </c>
      <c r="C94" t="s">
        <v>1177</v>
      </c>
      <c r="D94" t="b">
        <f t="shared" si="2"/>
        <v>1</v>
      </c>
    </row>
    <row r="95" spans="1:4" x14ac:dyDescent="0.25">
      <c r="A95" t="s">
        <v>23</v>
      </c>
      <c r="B95" s="5" t="s">
        <v>1434</v>
      </c>
      <c r="C95" t="s">
        <v>1434</v>
      </c>
      <c r="D95" t="b">
        <f t="shared" si="2"/>
        <v>0</v>
      </c>
    </row>
    <row r="96" spans="1:4" x14ac:dyDescent="0.25">
      <c r="A96" t="s">
        <v>23</v>
      </c>
      <c r="B96" s="5" t="s">
        <v>1828</v>
      </c>
      <c r="C96" t="s">
        <v>1828</v>
      </c>
      <c r="D96" t="b">
        <f t="shared" si="2"/>
        <v>0</v>
      </c>
    </row>
    <row r="97" spans="1:4" x14ac:dyDescent="0.25">
      <c r="A97" t="s">
        <v>23</v>
      </c>
      <c r="B97" s="5" t="s">
        <v>1430</v>
      </c>
      <c r="C97" t="s">
        <v>1430</v>
      </c>
      <c r="D97" t="b">
        <f t="shared" si="2"/>
        <v>0</v>
      </c>
    </row>
    <row r="98" spans="1:4" x14ac:dyDescent="0.25">
      <c r="A98" t="s">
        <v>23</v>
      </c>
      <c r="B98" s="5" t="s">
        <v>1178</v>
      </c>
      <c r="C98" t="s">
        <v>1178</v>
      </c>
      <c r="D98" t="b">
        <f t="shared" si="2"/>
        <v>0</v>
      </c>
    </row>
    <row r="99" spans="1:4" x14ac:dyDescent="0.25">
      <c r="A99" t="s">
        <v>23</v>
      </c>
      <c r="B99" s="5" t="s">
        <v>640</v>
      </c>
      <c r="C99" t="s">
        <v>640</v>
      </c>
      <c r="D99" t="b">
        <f t="shared" si="2"/>
        <v>0</v>
      </c>
    </row>
    <row r="100" spans="1:4" x14ac:dyDescent="0.25">
      <c r="A100" t="s">
        <v>23</v>
      </c>
      <c r="B100" s="5" t="s">
        <v>100</v>
      </c>
      <c r="C100" t="s">
        <v>100</v>
      </c>
      <c r="D100" t="b">
        <f t="shared" si="2"/>
        <v>0</v>
      </c>
    </row>
    <row r="101" spans="1:4" x14ac:dyDescent="0.25">
      <c r="A101" t="s">
        <v>23</v>
      </c>
      <c r="B101" s="5" t="s">
        <v>1829</v>
      </c>
      <c r="C101" t="s">
        <v>1829</v>
      </c>
      <c r="D101" t="b">
        <f t="shared" si="2"/>
        <v>0</v>
      </c>
    </row>
    <row r="102" spans="1:4" x14ac:dyDescent="0.25">
      <c r="A102" s="5" t="s">
        <v>23</v>
      </c>
      <c r="B102" s="5" t="s">
        <v>101</v>
      </c>
      <c r="C102" t="s">
        <v>101</v>
      </c>
      <c r="D102" t="b">
        <f t="shared" si="2"/>
        <v>0</v>
      </c>
    </row>
  </sheetData>
  <mergeCells count="1">
    <mergeCell ref="A1:G1"/>
  </mergeCells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notContainsText" priority="1" operator="notContains" id="{9ABE2718-B31B-43CB-A9C3-4C2F2FC9E0D8}">
            <xm:f>ISERROR(SEARCH(C3,B3))</xm:f>
            <xm:f>C3</xm:f>
            <x14:dxf>
              <fill>
                <patternFill>
                  <bgColor theme="5"/>
                </patternFill>
              </fill>
            </x14:dxf>
          </x14:cfRule>
          <xm:sqref>B3:B76 B78:B102</xm:sqref>
        </x14:conditionalFormatting>
      </x14:conditionalFormatting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0CD51-7718-44A5-9A26-1B365003972F}">
  <dimension ref="A1:J104"/>
  <sheetViews>
    <sheetView topLeftCell="A84" workbookViewId="0">
      <selection activeCell="C90" sqref="C90"/>
    </sheetView>
  </sheetViews>
  <sheetFormatPr defaultRowHeight="15" x14ac:dyDescent="0.25"/>
  <cols>
    <col min="1" max="1" width="11.85546875" style="5" customWidth="1"/>
    <col min="2" max="3" width="38.7109375" customWidth="1"/>
    <col min="4" max="4" width="12.42578125" style="3" hidden="1" customWidth="1"/>
    <col min="5" max="5" width="4.28515625" customWidth="1"/>
    <col min="6" max="6" width="22.7109375" style="3" customWidth="1"/>
    <col min="7" max="7" width="9.140625" bestFit="1" customWidth="1"/>
    <col min="9" max="9" width="22.28515625" style="3" bestFit="1" customWidth="1"/>
    <col min="10" max="10" width="9.140625" style="3"/>
  </cols>
  <sheetData>
    <row r="1" spans="1:10" ht="21" x14ac:dyDescent="0.25">
      <c r="A1" s="12" t="s">
        <v>32</v>
      </c>
      <c r="B1" s="12"/>
      <c r="C1" s="12"/>
      <c r="D1" s="12"/>
      <c r="E1" s="12"/>
      <c r="F1" s="12"/>
      <c r="G1" s="12"/>
      <c r="I1" s="13"/>
      <c r="J1" s="13"/>
    </row>
    <row r="2" spans="1:10" x14ac:dyDescent="0.25">
      <c r="A2" s="4" t="s">
        <v>11</v>
      </c>
      <c r="B2" s="4" t="s">
        <v>12</v>
      </c>
      <c r="C2" s="4" t="s">
        <v>13</v>
      </c>
      <c r="D2" s="4" t="s">
        <v>14</v>
      </c>
      <c r="F2" s="4" t="s">
        <v>16</v>
      </c>
      <c r="G2" s="3">
        <f>COUNTIF(D:D,"Verdadeiro")</f>
        <v>9</v>
      </c>
      <c r="I2" s="4"/>
      <c r="J2" s="4"/>
    </row>
    <row r="3" spans="1:10" x14ac:dyDescent="0.25">
      <c r="A3" s="9" t="s">
        <v>1539</v>
      </c>
      <c r="B3" s="5" t="s">
        <v>1568</v>
      </c>
      <c r="C3" s="5" t="s">
        <v>1568</v>
      </c>
      <c r="D3" s="3" t="b">
        <f>B3&lt;&gt;C3</f>
        <v>0</v>
      </c>
      <c r="F3" s="4" t="s">
        <v>17</v>
      </c>
      <c r="G3" s="10">
        <f>SUM(G5:G29)</f>
        <v>100</v>
      </c>
      <c r="I3" s="4"/>
      <c r="J3" s="4"/>
    </row>
    <row r="4" spans="1:10" x14ac:dyDescent="0.25">
      <c r="A4" t="s">
        <v>15</v>
      </c>
      <c r="B4" s="5" t="s">
        <v>33</v>
      </c>
      <c r="C4" t="s">
        <v>33</v>
      </c>
      <c r="D4" s="3" t="b">
        <f>B4&lt;&gt;C4</f>
        <v>0</v>
      </c>
    </row>
    <row r="5" spans="1:10" x14ac:dyDescent="0.25">
      <c r="A5" t="s">
        <v>15</v>
      </c>
      <c r="B5" s="5" t="s">
        <v>34</v>
      </c>
      <c r="C5" t="s">
        <v>34</v>
      </c>
      <c r="D5" s="3" t="b">
        <f t="shared" ref="D5:D66" si="0">B5&lt;&gt;C5</f>
        <v>0</v>
      </c>
      <c r="F5" s="6" t="s">
        <v>19</v>
      </c>
      <c r="G5" s="1"/>
    </row>
    <row r="6" spans="1:10" x14ac:dyDescent="0.25">
      <c r="A6" t="s">
        <v>15</v>
      </c>
      <c r="B6" s="5" t="s">
        <v>35</v>
      </c>
      <c r="C6" t="s">
        <v>35</v>
      </c>
      <c r="D6" s="3" t="b">
        <f t="shared" si="0"/>
        <v>0</v>
      </c>
      <c r="F6" s="7" t="s">
        <v>1539</v>
      </c>
      <c r="G6" s="2">
        <f t="shared" ref="G6:G14" si="1">COUNTIF(A:A,F6)</f>
        <v>1</v>
      </c>
    </row>
    <row r="7" spans="1:10" x14ac:dyDescent="0.25">
      <c r="A7" t="s">
        <v>15</v>
      </c>
      <c r="B7" s="5" t="s">
        <v>36</v>
      </c>
      <c r="C7" t="s">
        <v>36</v>
      </c>
      <c r="D7" s="3" t="b">
        <f t="shared" si="0"/>
        <v>0</v>
      </c>
      <c r="F7" s="3" t="s">
        <v>15</v>
      </c>
      <c r="G7" s="2">
        <f t="shared" si="1"/>
        <v>36</v>
      </c>
    </row>
    <row r="8" spans="1:10" x14ac:dyDescent="0.25">
      <c r="A8" t="s">
        <v>15</v>
      </c>
      <c r="B8" s="5" t="s">
        <v>37</v>
      </c>
      <c r="C8" t="s">
        <v>37</v>
      </c>
      <c r="D8" s="3" t="b">
        <f t="shared" si="0"/>
        <v>0</v>
      </c>
      <c r="F8" s="7" t="s">
        <v>21</v>
      </c>
      <c r="G8" s="2">
        <f t="shared" si="1"/>
        <v>9</v>
      </c>
    </row>
    <row r="9" spans="1:10" x14ac:dyDescent="0.25">
      <c r="A9" t="s">
        <v>15</v>
      </c>
      <c r="B9" s="5" t="s">
        <v>38</v>
      </c>
      <c r="C9" t="s">
        <v>38</v>
      </c>
      <c r="D9" s="3" t="b">
        <f t="shared" si="0"/>
        <v>0</v>
      </c>
      <c r="F9" s="7" t="s">
        <v>22</v>
      </c>
      <c r="G9" s="2">
        <f t="shared" si="1"/>
        <v>9</v>
      </c>
    </row>
    <row r="10" spans="1:10" x14ac:dyDescent="0.25">
      <c r="A10" t="s">
        <v>15</v>
      </c>
      <c r="B10" s="5" t="s">
        <v>39</v>
      </c>
      <c r="C10" t="s">
        <v>39</v>
      </c>
      <c r="D10" s="3" t="b">
        <f t="shared" si="0"/>
        <v>0</v>
      </c>
      <c r="F10" s="3" t="s">
        <v>41</v>
      </c>
      <c r="G10" s="2">
        <f t="shared" si="1"/>
        <v>13</v>
      </c>
    </row>
    <row r="11" spans="1:10" x14ac:dyDescent="0.25">
      <c r="A11" t="s">
        <v>15</v>
      </c>
      <c r="B11" s="5" t="s">
        <v>40</v>
      </c>
      <c r="C11" t="s">
        <v>40</v>
      </c>
      <c r="D11" s="3" t="b">
        <f t="shared" si="0"/>
        <v>0</v>
      </c>
      <c r="F11" s="7" t="s">
        <v>230</v>
      </c>
      <c r="G11" s="2">
        <f t="shared" si="1"/>
        <v>5</v>
      </c>
    </row>
    <row r="12" spans="1:10" x14ac:dyDescent="0.25">
      <c r="A12" t="s">
        <v>15</v>
      </c>
      <c r="B12" s="5" t="s">
        <v>20</v>
      </c>
      <c r="C12" t="s">
        <v>20</v>
      </c>
      <c r="D12" s="3" t="b">
        <f t="shared" si="0"/>
        <v>0</v>
      </c>
      <c r="F12" s="7" t="s">
        <v>44</v>
      </c>
      <c r="G12" s="2">
        <f t="shared" si="1"/>
        <v>12</v>
      </c>
    </row>
    <row r="13" spans="1:10" x14ac:dyDescent="0.25">
      <c r="A13" t="s">
        <v>15</v>
      </c>
      <c r="B13" s="5" t="s">
        <v>43</v>
      </c>
      <c r="C13" t="s">
        <v>43</v>
      </c>
      <c r="D13" s="3" t="b">
        <f t="shared" si="0"/>
        <v>0</v>
      </c>
      <c r="F13" s="7" t="s">
        <v>1276</v>
      </c>
      <c r="G13" s="2">
        <f t="shared" si="1"/>
        <v>4</v>
      </c>
    </row>
    <row r="14" spans="1:10" x14ac:dyDescent="0.25">
      <c r="A14" t="s">
        <v>15</v>
      </c>
      <c r="B14" s="5" t="s">
        <v>45</v>
      </c>
      <c r="C14" t="s">
        <v>45</v>
      </c>
      <c r="D14" s="3" t="b">
        <f t="shared" si="0"/>
        <v>0</v>
      </c>
      <c r="F14" s="7" t="s">
        <v>397</v>
      </c>
      <c r="G14" s="2">
        <f t="shared" si="1"/>
        <v>11</v>
      </c>
    </row>
    <row r="15" spans="1:10" x14ac:dyDescent="0.25">
      <c r="A15" t="s">
        <v>15</v>
      </c>
      <c r="B15" s="5" t="s">
        <v>1937</v>
      </c>
      <c r="C15" t="s">
        <v>1937</v>
      </c>
      <c r="D15" s="3" t="b">
        <f t="shared" si="0"/>
        <v>0</v>
      </c>
    </row>
    <row r="16" spans="1:10" x14ac:dyDescent="0.25">
      <c r="A16" t="s">
        <v>15</v>
      </c>
      <c r="B16" s="5" t="s">
        <v>48</v>
      </c>
      <c r="C16" t="s">
        <v>48</v>
      </c>
      <c r="D16" s="3" t="b">
        <f t="shared" si="0"/>
        <v>0</v>
      </c>
    </row>
    <row r="17" spans="1:7" x14ac:dyDescent="0.25">
      <c r="A17" t="s">
        <v>15</v>
      </c>
      <c r="B17" s="5" t="s">
        <v>49</v>
      </c>
      <c r="C17" t="s">
        <v>49</v>
      </c>
      <c r="D17" s="3" t="b">
        <f t="shared" si="0"/>
        <v>0</v>
      </c>
      <c r="G17" s="2"/>
    </row>
    <row r="18" spans="1:7" x14ac:dyDescent="0.25">
      <c r="A18" t="s">
        <v>15</v>
      </c>
      <c r="B18" s="5" t="s">
        <v>50</v>
      </c>
      <c r="C18" t="s">
        <v>50</v>
      </c>
      <c r="D18" s="3" t="b">
        <f t="shared" si="0"/>
        <v>0</v>
      </c>
      <c r="G18" s="2"/>
    </row>
    <row r="19" spans="1:7" x14ac:dyDescent="0.25">
      <c r="A19" t="s">
        <v>15</v>
      </c>
      <c r="B19" s="5" t="s">
        <v>51</v>
      </c>
      <c r="C19" t="s">
        <v>51</v>
      </c>
      <c r="D19" s="3" t="b">
        <f t="shared" si="0"/>
        <v>0</v>
      </c>
      <c r="G19" s="2"/>
    </row>
    <row r="20" spans="1:7" x14ac:dyDescent="0.25">
      <c r="A20" t="s">
        <v>15</v>
      </c>
      <c r="B20" s="5" t="s">
        <v>1624</v>
      </c>
      <c r="C20" t="s">
        <v>52</v>
      </c>
      <c r="D20" s="3" t="b">
        <f t="shared" si="0"/>
        <v>1</v>
      </c>
      <c r="G20" s="2"/>
    </row>
    <row r="21" spans="1:7" x14ac:dyDescent="0.25">
      <c r="A21" t="s">
        <v>15</v>
      </c>
      <c r="B21" s="5" t="s">
        <v>53</v>
      </c>
      <c r="C21" t="s">
        <v>53</v>
      </c>
      <c r="D21" s="3" t="b">
        <f t="shared" si="0"/>
        <v>0</v>
      </c>
      <c r="G21" s="2"/>
    </row>
    <row r="22" spans="1:7" x14ac:dyDescent="0.25">
      <c r="A22" t="s">
        <v>15</v>
      </c>
      <c r="B22" s="5" t="s">
        <v>54</v>
      </c>
      <c r="C22" t="s">
        <v>54</v>
      </c>
      <c r="D22" s="3" t="b">
        <f t="shared" si="0"/>
        <v>0</v>
      </c>
      <c r="G22" s="2"/>
    </row>
    <row r="23" spans="1:7" x14ac:dyDescent="0.25">
      <c r="A23" t="s">
        <v>15</v>
      </c>
      <c r="B23" s="5" t="s">
        <v>55</v>
      </c>
      <c r="C23" t="s">
        <v>55</v>
      </c>
      <c r="D23" s="3" t="b">
        <f t="shared" si="0"/>
        <v>0</v>
      </c>
      <c r="G23" s="2"/>
    </row>
    <row r="24" spans="1:7" x14ac:dyDescent="0.25">
      <c r="A24" t="s">
        <v>15</v>
      </c>
      <c r="B24" s="5" t="s">
        <v>56</v>
      </c>
      <c r="C24" t="s">
        <v>56</v>
      </c>
      <c r="D24" s="3" t="b">
        <f t="shared" si="0"/>
        <v>0</v>
      </c>
      <c r="G24" s="2"/>
    </row>
    <row r="25" spans="1:7" x14ac:dyDescent="0.25">
      <c r="A25" t="s">
        <v>15</v>
      </c>
      <c r="B25" s="5" t="s">
        <v>57</v>
      </c>
      <c r="C25" t="s">
        <v>57</v>
      </c>
      <c r="D25" s="3" t="b">
        <f t="shared" si="0"/>
        <v>0</v>
      </c>
      <c r="G25" s="2"/>
    </row>
    <row r="26" spans="1:7" x14ac:dyDescent="0.25">
      <c r="A26" t="s">
        <v>15</v>
      </c>
      <c r="B26" s="5" t="s">
        <v>58</v>
      </c>
      <c r="C26" t="s">
        <v>58</v>
      </c>
      <c r="D26" s="3" t="b">
        <f t="shared" si="0"/>
        <v>0</v>
      </c>
      <c r="G26" s="2"/>
    </row>
    <row r="27" spans="1:7" x14ac:dyDescent="0.25">
      <c r="A27" t="s">
        <v>15</v>
      </c>
      <c r="B27" s="5" t="s">
        <v>1980</v>
      </c>
      <c r="C27" t="s">
        <v>59</v>
      </c>
      <c r="D27" s="3" t="b">
        <f t="shared" si="0"/>
        <v>1</v>
      </c>
      <c r="G27" s="2"/>
    </row>
    <row r="28" spans="1:7" x14ac:dyDescent="0.25">
      <c r="A28" t="s">
        <v>15</v>
      </c>
      <c r="B28" s="5" t="s">
        <v>1622</v>
      </c>
      <c r="C28" t="s">
        <v>1622</v>
      </c>
      <c r="D28" s="3" t="b">
        <f t="shared" si="0"/>
        <v>0</v>
      </c>
      <c r="G28" s="2"/>
    </row>
    <row r="29" spans="1:7" x14ac:dyDescent="0.25">
      <c r="A29" t="s">
        <v>15</v>
      </c>
      <c r="B29" s="5" t="s">
        <v>60</v>
      </c>
      <c r="C29" t="s">
        <v>60</v>
      </c>
      <c r="D29" s="3" t="b">
        <f t="shared" si="0"/>
        <v>0</v>
      </c>
      <c r="G29" s="2"/>
    </row>
    <row r="30" spans="1:7" x14ac:dyDescent="0.25">
      <c r="A30" t="s">
        <v>15</v>
      </c>
      <c r="B30" s="5" t="s">
        <v>60</v>
      </c>
      <c r="C30" t="s">
        <v>60</v>
      </c>
      <c r="D30" s="3" t="b">
        <f t="shared" si="0"/>
        <v>0</v>
      </c>
    </row>
    <row r="31" spans="1:7" x14ac:dyDescent="0.25">
      <c r="A31" t="s">
        <v>15</v>
      </c>
      <c r="B31" s="5" t="s">
        <v>60</v>
      </c>
      <c r="C31" t="s">
        <v>60</v>
      </c>
      <c r="D31" s="3" t="b">
        <f t="shared" si="0"/>
        <v>0</v>
      </c>
      <c r="G31" s="2"/>
    </row>
    <row r="32" spans="1:7" x14ac:dyDescent="0.25">
      <c r="A32" t="s">
        <v>15</v>
      </c>
      <c r="B32" s="5" t="s">
        <v>61</v>
      </c>
      <c r="C32" t="s">
        <v>61</v>
      </c>
      <c r="D32" s="3" t="b">
        <f t="shared" si="0"/>
        <v>0</v>
      </c>
      <c r="G32" s="2"/>
    </row>
    <row r="33" spans="1:10" x14ac:dyDescent="0.25">
      <c r="A33" t="s">
        <v>15</v>
      </c>
      <c r="B33" s="5" t="s">
        <v>61</v>
      </c>
      <c r="C33" s="5" t="s">
        <v>61</v>
      </c>
      <c r="D33" s="3" t="b">
        <f t="shared" si="0"/>
        <v>0</v>
      </c>
      <c r="F33"/>
      <c r="G33" s="5"/>
      <c r="I33"/>
    </row>
    <row r="34" spans="1:10" x14ac:dyDescent="0.25">
      <c r="A34" t="s">
        <v>15</v>
      </c>
      <c r="B34" s="5" t="s">
        <v>61</v>
      </c>
      <c r="C34" t="s">
        <v>61</v>
      </c>
      <c r="D34" s="3" t="b">
        <f t="shared" si="0"/>
        <v>0</v>
      </c>
      <c r="G34" s="2"/>
    </row>
    <row r="35" spans="1:10" x14ac:dyDescent="0.25">
      <c r="A35" t="s">
        <v>15</v>
      </c>
      <c r="B35" s="5" t="s">
        <v>61</v>
      </c>
      <c r="C35" t="s">
        <v>61</v>
      </c>
      <c r="D35" s="3" t="b">
        <f t="shared" si="0"/>
        <v>0</v>
      </c>
      <c r="G35" s="2"/>
    </row>
    <row r="36" spans="1:10" x14ac:dyDescent="0.25">
      <c r="A36" t="s">
        <v>15</v>
      </c>
      <c r="B36" s="5" t="s">
        <v>62</v>
      </c>
      <c r="C36" t="s">
        <v>62</v>
      </c>
      <c r="D36" s="3" t="b">
        <f t="shared" si="0"/>
        <v>0</v>
      </c>
      <c r="G36" s="2"/>
    </row>
    <row r="37" spans="1:10" x14ac:dyDescent="0.25">
      <c r="A37" t="s">
        <v>15</v>
      </c>
      <c r="B37" s="5" t="s">
        <v>62</v>
      </c>
      <c r="C37" t="s">
        <v>62</v>
      </c>
      <c r="D37" s="3" t="b">
        <f t="shared" si="0"/>
        <v>0</v>
      </c>
      <c r="G37" s="2"/>
    </row>
    <row r="38" spans="1:10" x14ac:dyDescent="0.25">
      <c r="A38" t="s">
        <v>15</v>
      </c>
      <c r="B38" s="5" t="s">
        <v>62</v>
      </c>
      <c r="C38" t="s">
        <v>62</v>
      </c>
      <c r="D38" s="3" t="b">
        <f t="shared" si="0"/>
        <v>0</v>
      </c>
    </row>
    <row r="39" spans="1:10" x14ac:dyDescent="0.25">
      <c r="A39" t="s">
        <v>15</v>
      </c>
      <c r="B39" s="5" t="s">
        <v>62</v>
      </c>
      <c r="C39" t="s">
        <v>62</v>
      </c>
      <c r="D39" s="3" t="b">
        <f t="shared" si="0"/>
        <v>0</v>
      </c>
      <c r="G39" s="2"/>
    </row>
    <row r="40" spans="1:10" x14ac:dyDescent="0.25">
      <c r="A40" t="s">
        <v>21</v>
      </c>
      <c r="B40" s="5" t="s">
        <v>63</v>
      </c>
      <c r="C40" t="s">
        <v>63</v>
      </c>
      <c r="D40" s="3" t="b">
        <f t="shared" si="0"/>
        <v>0</v>
      </c>
      <c r="F40"/>
      <c r="G40" s="2"/>
    </row>
    <row r="41" spans="1:10" x14ac:dyDescent="0.25">
      <c r="A41" t="s">
        <v>21</v>
      </c>
      <c r="B41" s="5" t="s">
        <v>64</v>
      </c>
      <c r="C41" t="s">
        <v>64</v>
      </c>
      <c r="D41" s="3" t="b">
        <f t="shared" si="0"/>
        <v>0</v>
      </c>
    </row>
    <row r="42" spans="1:10" x14ac:dyDescent="0.25">
      <c r="A42" t="s">
        <v>21</v>
      </c>
      <c r="B42" s="5" t="s">
        <v>123</v>
      </c>
      <c r="C42" t="s">
        <v>123</v>
      </c>
      <c r="D42" s="3" t="b">
        <f t="shared" si="0"/>
        <v>0</v>
      </c>
    </row>
    <row r="43" spans="1:10" x14ac:dyDescent="0.25">
      <c r="A43" t="s">
        <v>21</v>
      </c>
      <c r="B43" s="5" t="s">
        <v>564</v>
      </c>
      <c r="C43" t="s">
        <v>564</v>
      </c>
      <c r="D43" s="3" t="b">
        <f t="shared" si="0"/>
        <v>0</v>
      </c>
    </row>
    <row r="44" spans="1:10" x14ac:dyDescent="0.25">
      <c r="A44" t="s">
        <v>21</v>
      </c>
      <c r="B44" s="5" t="s">
        <v>1950</v>
      </c>
      <c r="C44" t="s">
        <v>1950</v>
      </c>
      <c r="D44" s="3" t="b">
        <f t="shared" si="0"/>
        <v>0</v>
      </c>
    </row>
    <row r="45" spans="1:10" x14ac:dyDescent="0.25">
      <c r="A45" t="s">
        <v>21</v>
      </c>
      <c r="B45" s="5" t="s">
        <v>65</v>
      </c>
      <c r="C45" t="s">
        <v>65</v>
      </c>
      <c r="D45" s="3" t="b">
        <f t="shared" si="0"/>
        <v>0</v>
      </c>
    </row>
    <row r="46" spans="1:10" x14ac:dyDescent="0.25">
      <c r="A46" t="s">
        <v>21</v>
      </c>
      <c r="B46" s="5" t="s">
        <v>407</v>
      </c>
      <c r="C46" t="s">
        <v>407</v>
      </c>
      <c r="D46" s="3" t="b">
        <f t="shared" si="0"/>
        <v>0</v>
      </c>
    </row>
    <row r="47" spans="1:10" x14ac:dyDescent="0.25">
      <c r="A47" t="s">
        <v>21</v>
      </c>
      <c r="B47" s="5" t="s">
        <v>409</v>
      </c>
      <c r="C47" t="s">
        <v>409</v>
      </c>
      <c r="D47" s="3" t="b">
        <f t="shared" si="0"/>
        <v>0</v>
      </c>
    </row>
    <row r="48" spans="1:10" x14ac:dyDescent="0.25">
      <c r="A48" t="s">
        <v>21</v>
      </c>
      <c r="B48" s="5" t="s">
        <v>249</v>
      </c>
      <c r="C48" t="s">
        <v>249</v>
      </c>
      <c r="D48" s="3" t="b">
        <f t="shared" si="0"/>
        <v>0</v>
      </c>
      <c r="F48"/>
      <c r="I48"/>
      <c r="J48"/>
    </row>
    <row r="49" spans="1:10" x14ac:dyDescent="0.25">
      <c r="A49" t="s">
        <v>22</v>
      </c>
      <c r="B49" s="5" t="s">
        <v>1981</v>
      </c>
      <c r="C49" t="s">
        <v>1981</v>
      </c>
      <c r="D49" s="3" t="b">
        <f t="shared" si="0"/>
        <v>0</v>
      </c>
      <c r="F49"/>
    </row>
    <row r="50" spans="1:10" x14ac:dyDescent="0.25">
      <c r="A50" t="s">
        <v>22</v>
      </c>
      <c r="B50" s="5" t="s">
        <v>68</v>
      </c>
      <c r="C50" s="5" t="s">
        <v>68</v>
      </c>
      <c r="D50" s="3" t="b">
        <f t="shared" si="0"/>
        <v>0</v>
      </c>
      <c r="F50" s="5"/>
    </row>
    <row r="51" spans="1:10" x14ac:dyDescent="0.25">
      <c r="A51" t="s">
        <v>22</v>
      </c>
      <c r="B51" s="5" t="s">
        <v>69</v>
      </c>
      <c r="C51" t="s">
        <v>69</v>
      </c>
      <c r="D51" s="3" t="b">
        <f t="shared" si="0"/>
        <v>0</v>
      </c>
    </row>
    <row r="52" spans="1:10" x14ac:dyDescent="0.25">
      <c r="A52" t="s">
        <v>22</v>
      </c>
      <c r="B52" s="5" t="s">
        <v>70</v>
      </c>
      <c r="C52" t="s">
        <v>70</v>
      </c>
      <c r="D52" s="3" t="b">
        <f t="shared" si="0"/>
        <v>0</v>
      </c>
    </row>
    <row r="53" spans="1:10" x14ac:dyDescent="0.25">
      <c r="A53" t="s">
        <v>22</v>
      </c>
      <c r="B53" s="5" t="s">
        <v>1625</v>
      </c>
      <c r="C53" t="s">
        <v>73</v>
      </c>
      <c r="D53" s="3" t="b">
        <f t="shared" si="0"/>
        <v>1</v>
      </c>
    </row>
    <row r="54" spans="1:10" x14ac:dyDescent="0.25">
      <c r="A54" t="s">
        <v>22</v>
      </c>
      <c r="B54" s="5" t="s">
        <v>72</v>
      </c>
      <c r="C54" t="s">
        <v>72</v>
      </c>
      <c r="D54" s="3" t="b">
        <f t="shared" si="0"/>
        <v>0</v>
      </c>
    </row>
    <row r="55" spans="1:10" x14ac:dyDescent="0.25">
      <c r="A55" t="s">
        <v>22</v>
      </c>
      <c r="B55" s="5" t="s">
        <v>74</v>
      </c>
      <c r="C55" t="s">
        <v>74</v>
      </c>
      <c r="D55" s="3" t="b">
        <f t="shared" si="0"/>
        <v>0</v>
      </c>
    </row>
    <row r="56" spans="1:10" x14ac:dyDescent="0.25">
      <c r="A56" t="s">
        <v>22</v>
      </c>
      <c r="B56" s="5" t="s">
        <v>75</v>
      </c>
      <c r="C56" t="s">
        <v>75</v>
      </c>
      <c r="D56" s="3" t="b">
        <f t="shared" si="0"/>
        <v>0</v>
      </c>
      <c r="F56"/>
    </row>
    <row r="57" spans="1:10" x14ac:dyDescent="0.25">
      <c r="A57" t="s">
        <v>22</v>
      </c>
      <c r="B57" s="5" t="s">
        <v>1259</v>
      </c>
      <c r="C57" s="5" t="s">
        <v>1259</v>
      </c>
      <c r="D57" s="3" t="b">
        <f t="shared" si="0"/>
        <v>0</v>
      </c>
    </row>
    <row r="58" spans="1:10" x14ac:dyDescent="0.25">
      <c r="A58" t="s">
        <v>397</v>
      </c>
      <c r="B58" s="5" t="s">
        <v>77</v>
      </c>
      <c r="C58" t="s">
        <v>77</v>
      </c>
      <c r="D58" s="3" t="b">
        <f t="shared" si="0"/>
        <v>0</v>
      </c>
      <c r="F58" s="5"/>
      <c r="I58"/>
      <c r="J58"/>
    </row>
    <row r="59" spans="1:10" x14ac:dyDescent="0.25">
      <c r="A59" t="s">
        <v>397</v>
      </c>
      <c r="B59" s="5" t="s">
        <v>86</v>
      </c>
      <c r="C59" t="s">
        <v>2074</v>
      </c>
      <c r="D59" s="3" t="b">
        <f t="shared" si="0"/>
        <v>1</v>
      </c>
      <c r="F59" s="5"/>
      <c r="I59"/>
    </row>
    <row r="60" spans="1:10" x14ac:dyDescent="0.25">
      <c r="A60" t="s">
        <v>397</v>
      </c>
      <c r="B60" s="5" t="s">
        <v>87</v>
      </c>
      <c r="C60" t="s">
        <v>87</v>
      </c>
      <c r="D60" s="3" t="b">
        <f t="shared" si="0"/>
        <v>0</v>
      </c>
      <c r="F60" s="5"/>
      <c r="I60"/>
    </row>
    <row r="61" spans="1:10" x14ac:dyDescent="0.25">
      <c r="A61" t="s">
        <v>397</v>
      </c>
      <c r="B61" s="5" t="s">
        <v>1983</v>
      </c>
      <c r="C61" t="s">
        <v>1983</v>
      </c>
      <c r="D61" s="3" t="b">
        <f t="shared" si="0"/>
        <v>0</v>
      </c>
      <c r="F61" s="5"/>
      <c r="I61"/>
    </row>
    <row r="62" spans="1:10" x14ac:dyDescent="0.25">
      <c r="A62" t="s">
        <v>397</v>
      </c>
      <c r="B62" s="5" t="s">
        <v>82</v>
      </c>
      <c r="C62" s="5" t="s">
        <v>82</v>
      </c>
      <c r="D62" s="3" t="b">
        <f t="shared" si="0"/>
        <v>0</v>
      </c>
      <c r="F62" s="5"/>
      <c r="I62"/>
    </row>
    <row r="63" spans="1:10" x14ac:dyDescent="0.25">
      <c r="A63" t="s">
        <v>397</v>
      </c>
      <c r="B63" s="5" t="s">
        <v>88</v>
      </c>
      <c r="C63" t="s">
        <v>88</v>
      </c>
      <c r="D63" s="3" t="b">
        <f t="shared" si="0"/>
        <v>0</v>
      </c>
      <c r="F63" s="5"/>
      <c r="I63"/>
    </row>
    <row r="64" spans="1:10" x14ac:dyDescent="0.25">
      <c r="A64" t="s">
        <v>397</v>
      </c>
      <c r="B64" s="5" t="s">
        <v>80</v>
      </c>
      <c r="C64" t="s">
        <v>80</v>
      </c>
      <c r="D64" s="3" t="b">
        <f t="shared" si="0"/>
        <v>0</v>
      </c>
      <c r="F64" s="5"/>
      <c r="I64"/>
    </row>
    <row r="65" spans="1:10" x14ac:dyDescent="0.25">
      <c r="A65" t="s">
        <v>397</v>
      </c>
      <c r="B65" s="5" t="s">
        <v>1228</v>
      </c>
      <c r="C65" t="s">
        <v>1228</v>
      </c>
      <c r="D65" s="3" t="b">
        <f t="shared" si="0"/>
        <v>0</v>
      </c>
      <c r="F65" s="5"/>
    </row>
    <row r="66" spans="1:10" x14ac:dyDescent="0.25">
      <c r="A66" t="s">
        <v>397</v>
      </c>
      <c r="B66" s="5" t="s">
        <v>84</v>
      </c>
      <c r="C66" s="5" t="s">
        <v>84</v>
      </c>
      <c r="D66" s="3" t="b">
        <f t="shared" si="0"/>
        <v>0</v>
      </c>
      <c r="F66" s="5"/>
      <c r="I66"/>
    </row>
    <row r="67" spans="1:10" x14ac:dyDescent="0.25">
      <c r="A67" t="s">
        <v>397</v>
      </c>
      <c r="B67" s="5" t="s">
        <v>1248</v>
      </c>
      <c r="C67" t="s">
        <v>1248</v>
      </c>
      <c r="D67" s="3" t="b">
        <f t="shared" ref="D67:D103" si="2">B67&lt;&gt;C67</f>
        <v>0</v>
      </c>
      <c r="F67" s="5"/>
      <c r="I67"/>
      <c r="J67"/>
    </row>
    <row r="68" spans="1:10" x14ac:dyDescent="0.25">
      <c r="A68" t="s">
        <v>397</v>
      </c>
      <c r="B68" s="5" t="s">
        <v>1257</v>
      </c>
      <c r="C68" s="5" t="s">
        <v>1257</v>
      </c>
      <c r="D68" s="3" t="b">
        <f t="shared" si="2"/>
        <v>0</v>
      </c>
      <c r="F68" s="5"/>
      <c r="G68" s="5"/>
    </row>
    <row r="69" spans="1:10" x14ac:dyDescent="0.25">
      <c r="A69" t="s">
        <v>1276</v>
      </c>
      <c r="B69" s="5" t="s">
        <v>1254</v>
      </c>
      <c r="C69" t="s">
        <v>1254</v>
      </c>
      <c r="D69" s="3" t="b">
        <f t="shared" si="2"/>
        <v>0</v>
      </c>
      <c r="F69" s="5"/>
      <c r="G69" s="5"/>
    </row>
    <row r="70" spans="1:10" x14ac:dyDescent="0.25">
      <c r="A70" t="s">
        <v>1276</v>
      </c>
      <c r="B70" s="5" t="s">
        <v>93</v>
      </c>
      <c r="C70" t="s">
        <v>93</v>
      </c>
      <c r="D70" s="3" t="b">
        <f t="shared" si="2"/>
        <v>0</v>
      </c>
      <c r="F70"/>
    </row>
    <row r="71" spans="1:10" x14ac:dyDescent="0.25">
      <c r="A71" t="s">
        <v>1276</v>
      </c>
      <c r="B71" s="5" t="s">
        <v>1770</v>
      </c>
      <c r="C71" t="s">
        <v>1887</v>
      </c>
      <c r="D71" s="3" t="b">
        <f t="shared" si="2"/>
        <v>1</v>
      </c>
      <c r="F71"/>
      <c r="I71"/>
    </row>
    <row r="72" spans="1:10" x14ac:dyDescent="0.25">
      <c r="A72" t="s">
        <v>1276</v>
      </c>
      <c r="B72" s="5" t="s">
        <v>1256</v>
      </c>
      <c r="C72" s="5" t="s">
        <v>1256</v>
      </c>
      <c r="D72" s="3" t="b">
        <f t="shared" si="2"/>
        <v>0</v>
      </c>
      <c r="F72"/>
    </row>
    <row r="73" spans="1:10" x14ac:dyDescent="0.25">
      <c r="A73" t="s">
        <v>41</v>
      </c>
      <c r="B73" s="5" t="s">
        <v>109</v>
      </c>
      <c r="C73" s="5" t="s">
        <v>109</v>
      </c>
      <c r="D73" s="3" t="b">
        <f>B73&lt;&gt;C73</f>
        <v>0</v>
      </c>
      <c r="F73" s="5"/>
      <c r="I73"/>
    </row>
    <row r="74" spans="1:10" x14ac:dyDescent="0.25">
      <c r="A74" t="s">
        <v>41</v>
      </c>
      <c r="B74" s="5" t="s">
        <v>1543</v>
      </c>
      <c r="C74" t="s">
        <v>1543</v>
      </c>
      <c r="D74" s="3" t="b">
        <f>B74&lt;&gt;C74</f>
        <v>0</v>
      </c>
      <c r="F74" s="5"/>
      <c r="I74"/>
    </row>
    <row r="75" spans="1:10" x14ac:dyDescent="0.25">
      <c r="A75" t="s">
        <v>41</v>
      </c>
      <c r="B75" s="5" t="s">
        <v>66</v>
      </c>
      <c r="C75" t="s">
        <v>66</v>
      </c>
      <c r="D75" s="3" t="b">
        <f t="shared" si="2"/>
        <v>0</v>
      </c>
      <c r="F75"/>
    </row>
    <row r="76" spans="1:10" x14ac:dyDescent="0.25">
      <c r="A76" t="s">
        <v>41</v>
      </c>
      <c r="B76" s="5" t="s">
        <v>67</v>
      </c>
      <c r="C76" t="s">
        <v>67</v>
      </c>
      <c r="D76" s="3" t="b">
        <f t="shared" si="2"/>
        <v>0</v>
      </c>
      <c r="F76"/>
    </row>
    <row r="77" spans="1:10" x14ac:dyDescent="0.25">
      <c r="A77" t="s">
        <v>41</v>
      </c>
      <c r="B77" s="5" t="s">
        <v>94</v>
      </c>
      <c r="C77" t="s">
        <v>94</v>
      </c>
      <c r="D77" s="3" t="b">
        <f t="shared" si="2"/>
        <v>0</v>
      </c>
      <c r="F77"/>
      <c r="J77"/>
    </row>
    <row r="78" spans="1:10" x14ac:dyDescent="0.25">
      <c r="A78" t="s">
        <v>41</v>
      </c>
      <c r="B78" s="5" t="s">
        <v>1446</v>
      </c>
      <c r="C78" t="s">
        <v>1446</v>
      </c>
      <c r="D78" s="3" t="b">
        <f t="shared" si="2"/>
        <v>0</v>
      </c>
      <c r="F78"/>
    </row>
    <row r="79" spans="1:10" x14ac:dyDescent="0.25">
      <c r="A79" t="s">
        <v>41</v>
      </c>
      <c r="B79" s="5" t="s">
        <v>1982</v>
      </c>
      <c r="C79" t="s">
        <v>95</v>
      </c>
      <c r="D79" s="3" t="b">
        <f t="shared" si="2"/>
        <v>1</v>
      </c>
      <c r="F79"/>
    </row>
    <row r="80" spans="1:10" x14ac:dyDescent="0.25">
      <c r="A80" t="s">
        <v>41</v>
      </c>
      <c r="B80" s="5" t="s">
        <v>91</v>
      </c>
      <c r="C80" t="s">
        <v>91</v>
      </c>
      <c r="D80" s="3" t="b">
        <f t="shared" si="2"/>
        <v>0</v>
      </c>
      <c r="F80" s="5"/>
    </row>
    <row r="81" spans="1:10" x14ac:dyDescent="0.25">
      <c r="A81" t="s">
        <v>41</v>
      </c>
      <c r="B81" s="5" t="s">
        <v>1179</v>
      </c>
      <c r="C81" t="s">
        <v>1179</v>
      </c>
      <c r="D81" s="3" t="b">
        <f t="shared" si="2"/>
        <v>0</v>
      </c>
      <c r="F81" s="5"/>
    </row>
    <row r="82" spans="1:10" x14ac:dyDescent="0.25">
      <c r="A82" t="s">
        <v>41</v>
      </c>
      <c r="B82" s="5" t="s">
        <v>1273</v>
      </c>
      <c r="C82" t="s">
        <v>1273</v>
      </c>
      <c r="D82" s="3" t="b">
        <f t="shared" si="2"/>
        <v>0</v>
      </c>
      <c r="F82"/>
      <c r="G82" s="5"/>
    </row>
    <row r="83" spans="1:10" x14ac:dyDescent="0.25">
      <c r="A83" t="s">
        <v>41</v>
      </c>
      <c r="B83" s="5" t="s">
        <v>379</v>
      </c>
      <c r="C83" t="s">
        <v>379</v>
      </c>
      <c r="D83" s="3" t="b">
        <f t="shared" si="2"/>
        <v>0</v>
      </c>
      <c r="F83" s="5"/>
    </row>
    <row r="84" spans="1:10" x14ac:dyDescent="0.25">
      <c r="A84" t="s">
        <v>41</v>
      </c>
      <c r="B84" s="5" t="s">
        <v>1272</v>
      </c>
      <c r="C84" t="s">
        <v>1844</v>
      </c>
      <c r="D84" s="3" t="b">
        <f t="shared" si="2"/>
        <v>1</v>
      </c>
      <c r="F84" s="5"/>
      <c r="G84" s="5"/>
      <c r="I84"/>
    </row>
    <row r="85" spans="1:10" x14ac:dyDescent="0.25">
      <c r="A85" t="s">
        <v>41</v>
      </c>
      <c r="B85" s="5" t="s">
        <v>1275</v>
      </c>
      <c r="C85" t="s">
        <v>1275</v>
      </c>
      <c r="D85" s="3" t="b">
        <f>B85&lt;&gt;C85</f>
        <v>0</v>
      </c>
    </row>
    <row r="86" spans="1:10" x14ac:dyDescent="0.25">
      <c r="A86" t="s">
        <v>44</v>
      </c>
      <c r="B86" s="5" t="s">
        <v>1274</v>
      </c>
      <c r="C86" s="5" t="s">
        <v>1274</v>
      </c>
      <c r="D86" s="3" t="b">
        <f t="shared" si="2"/>
        <v>0</v>
      </c>
      <c r="F86"/>
      <c r="J86"/>
    </row>
    <row r="87" spans="1:10" x14ac:dyDescent="0.25">
      <c r="A87" t="s">
        <v>44</v>
      </c>
      <c r="B87" s="5" t="s">
        <v>1623</v>
      </c>
      <c r="C87" t="s">
        <v>1447</v>
      </c>
      <c r="D87" s="3" t="b">
        <f t="shared" si="2"/>
        <v>1</v>
      </c>
      <c r="F87"/>
    </row>
    <row r="88" spans="1:10" x14ac:dyDescent="0.25">
      <c r="A88" t="s">
        <v>44</v>
      </c>
      <c r="B88" s="5" t="s">
        <v>100</v>
      </c>
      <c r="C88" t="s">
        <v>100</v>
      </c>
      <c r="D88" s="3" t="b">
        <f t="shared" si="2"/>
        <v>0</v>
      </c>
      <c r="G88" s="2"/>
    </row>
    <row r="89" spans="1:10" x14ac:dyDescent="0.25">
      <c r="A89" t="s">
        <v>44</v>
      </c>
      <c r="B89" s="5" t="s">
        <v>101</v>
      </c>
      <c r="C89" t="s">
        <v>101</v>
      </c>
      <c r="D89" s="3" t="b">
        <f t="shared" si="2"/>
        <v>0</v>
      </c>
    </row>
    <row r="90" spans="1:10" x14ac:dyDescent="0.25">
      <c r="A90" t="s">
        <v>44</v>
      </c>
      <c r="B90" s="5" t="s">
        <v>1246</v>
      </c>
      <c r="C90" t="s">
        <v>1246</v>
      </c>
      <c r="D90" s="3" t="b">
        <f t="shared" si="2"/>
        <v>0</v>
      </c>
      <c r="G90" s="2"/>
    </row>
    <row r="91" spans="1:10" x14ac:dyDescent="0.25">
      <c r="A91" t="s">
        <v>44</v>
      </c>
      <c r="B91" s="5" t="s">
        <v>1540</v>
      </c>
      <c r="C91" t="s">
        <v>1540</v>
      </c>
      <c r="D91" s="3" t="b">
        <f t="shared" si="2"/>
        <v>0</v>
      </c>
    </row>
    <row r="92" spans="1:10" x14ac:dyDescent="0.25">
      <c r="A92" t="s">
        <v>44</v>
      </c>
      <c r="B92" s="5" t="s">
        <v>102</v>
      </c>
      <c r="C92" t="s">
        <v>102</v>
      </c>
      <c r="D92" s="3" t="b">
        <f t="shared" si="2"/>
        <v>0</v>
      </c>
    </row>
    <row r="93" spans="1:10" x14ac:dyDescent="0.25">
      <c r="A93" t="s">
        <v>44</v>
      </c>
      <c r="B93" s="5" t="s">
        <v>643</v>
      </c>
      <c r="C93" t="s">
        <v>643</v>
      </c>
      <c r="D93" s="3" t="b">
        <f t="shared" si="2"/>
        <v>0</v>
      </c>
    </row>
    <row r="94" spans="1:10" x14ac:dyDescent="0.25">
      <c r="A94" t="s">
        <v>44</v>
      </c>
      <c r="B94" s="5" t="s">
        <v>104</v>
      </c>
      <c r="C94" t="s">
        <v>104</v>
      </c>
      <c r="D94" s="3" t="b">
        <f t="shared" si="2"/>
        <v>0</v>
      </c>
    </row>
    <row r="95" spans="1:10" x14ac:dyDescent="0.25">
      <c r="A95" t="s">
        <v>44</v>
      </c>
      <c r="B95" s="5" t="s">
        <v>105</v>
      </c>
      <c r="C95" t="s">
        <v>105</v>
      </c>
      <c r="D95" s="3" t="b">
        <f t="shared" si="2"/>
        <v>0</v>
      </c>
    </row>
    <row r="96" spans="1:10" x14ac:dyDescent="0.25">
      <c r="A96" t="s">
        <v>44</v>
      </c>
      <c r="B96" s="5" t="s">
        <v>106</v>
      </c>
      <c r="C96" t="s">
        <v>106</v>
      </c>
      <c r="D96" s="3" t="b">
        <f t="shared" si="2"/>
        <v>0</v>
      </c>
    </row>
    <row r="97" spans="1:6" x14ac:dyDescent="0.25">
      <c r="A97" t="s">
        <v>44</v>
      </c>
      <c r="B97" s="5" t="s">
        <v>107</v>
      </c>
      <c r="C97" t="s">
        <v>107</v>
      </c>
      <c r="D97" s="3" t="b">
        <f t="shared" si="2"/>
        <v>0</v>
      </c>
    </row>
    <row r="98" spans="1:6" x14ac:dyDescent="0.25">
      <c r="A98" t="s">
        <v>230</v>
      </c>
      <c r="B98" s="5" t="s">
        <v>92</v>
      </c>
      <c r="C98" t="s">
        <v>92</v>
      </c>
      <c r="D98" s="3" t="b">
        <f t="shared" si="2"/>
        <v>0</v>
      </c>
    </row>
    <row r="99" spans="1:6" x14ac:dyDescent="0.25">
      <c r="A99" t="s">
        <v>230</v>
      </c>
      <c r="B99" s="5" t="s">
        <v>1238</v>
      </c>
      <c r="C99" s="5" t="s">
        <v>1238</v>
      </c>
      <c r="D99" s="3" t="b">
        <f t="shared" si="2"/>
        <v>0</v>
      </c>
    </row>
    <row r="100" spans="1:6" x14ac:dyDescent="0.25">
      <c r="A100" t="s">
        <v>230</v>
      </c>
      <c r="B100" s="5" t="s">
        <v>1255</v>
      </c>
      <c r="C100" s="5" t="s">
        <v>1255</v>
      </c>
      <c r="D100" s="3" t="b">
        <f t="shared" si="2"/>
        <v>0</v>
      </c>
      <c r="F100" s="5"/>
    </row>
    <row r="101" spans="1:6" x14ac:dyDescent="0.25">
      <c r="A101" t="s">
        <v>230</v>
      </c>
      <c r="B101" s="5" t="s">
        <v>90</v>
      </c>
      <c r="C101" t="s">
        <v>90</v>
      </c>
      <c r="D101" s="3" t="b">
        <f t="shared" si="2"/>
        <v>0</v>
      </c>
      <c r="F101" s="5"/>
    </row>
    <row r="102" spans="1:6" x14ac:dyDescent="0.25">
      <c r="A102" s="5" t="s">
        <v>230</v>
      </c>
      <c r="B102" s="5" t="s">
        <v>1626</v>
      </c>
      <c r="C102" t="s">
        <v>448</v>
      </c>
      <c r="D102" s="3" t="b">
        <f t="shared" si="2"/>
        <v>1</v>
      </c>
      <c r="F102" s="5"/>
    </row>
    <row r="103" spans="1:6" x14ac:dyDescent="0.25">
      <c r="D103" s="3" t="b">
        <f t="shared" si="2"/>
        <v>0</v>
      </c>
      <c r="F103" s="5"/>
    </row>
    <row r="104" spans="1:6" x14ac:dyDescent="0.25">
      <c r="F104" s="5"/>
    </row>
  </sheetData>
  <mergeCells count="2">
    <mergeCell ref="A1:G1"/>
    <mergeCell ref="I1:J1"/>
  </mergeCells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notContainsText" priority="1" operator="notContains" id="{175F81B6-21D0-4DEE-9D74-5906610C3AB2}">
            <xm:f>ISERROR(SEARCH(C3,B3))</xm:f>
            <xm:f>C3</xm:f>
            <x14:dxf>
              <fill>
                <patternFill>
                  <bgColor theme="5" tint="0.39994506668294322"/>
                </patternFill>
              </fill>
            </x14:dxf>
          </x14:cfRule>
          <xm:sqref>B3:B102</xm:sqref>
        </x14:conditionalFormatting>
      </x14:conditionalFormatting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3312F-77B4-4E32-B259-BC7FC6CF6F07}">
  <dimension ref="A1:G103"/>
  <sheetViews>
    <sheetView topLeftCell="A74" workbookViewId="0">
      <selection activeCell="C84" sqref="C84"/>
    </sheetView>
  </sheetViews>
  <sheetFormatPr defaultRowHeight="15" x14ac:dyDescent="0.25"/>
  <cols>
    <col min="1" max="1" width="13.85546875" style="5" customWidth="1"/>
    <col min="2" max="3" width="38.7109375" customWidth="1"/>
    <col min="4" max="4" width="12.42578125" style="3" hidden="1" customWidth="1"/>
    <col min="5" max="5" width="4.28515625" customWidth="1"/>
    <col min="6" max="6" width="22.7109375" style="3" customWidth="1"/>
    <col min="7" max="7" width="9.140625" bestFit="1" customWidth="1"/>
  </cols>
  <sheetData>
    <row r="1" spans="1:7" ht="21" x14ac:dyDescent="0.25">
      <c r="A1" s="12" t="s">
        <v>1230</v>
      </c>
      <c r="B1" s="12"/>
      <c r="C1" s="12"/>
      <c r="D1" s="12"/>
      <c r="E1" s="12"/>
      <c r="F1" s="12"/>
      <c r="G1" s="12"/>
    </row>
    <row r="2" spans="1:7" x14ac:dyDescent="0.25">
      <c r="A2" s="4" t="s">
        <v>11</v>
      </c>
      <c r="B2" s="4" t="s">
        <v>12</v>
      </c>
      <c r="C2" s="4" t="s">
        <v>13</v>
      </c>
      <c r="D2" s="4" t="s">
        <v>14</v>
      </c>
      <c r="F2" s="4" t="s">
        <v>16</v>
      </c>
      <c r="G2" s="3">
        <f>COUNTIF(D:D,"Verdadeiro")</f>
        <v>26</v>
      </c>
    </row>
    <row r="3" spans="1:7" x14ac:dyDescent="0.25">
      <c r="A3" s="9" t="s">
        <v>1539</v>
      </c>
      <c r="B3" s="5" t="s">
        <v>1569</v>
      </c>
      <c r="C3" s="5" t="s">
        <v>1569</v>
      </c>
      <c r="D3" s="3" t="b">
        <f>B3&lt;&gt;C3</f>
        <v>0</v>
      </c>
      <c r="F3" s="4" t="s">
        <v>17</v>
      </c>
      <c r="G3" s="10">
        <f>SUM(G5:G29)</f>
        <v>100</v>
      </c>
    </row>
    <row r="4" spans="1:7" x14ac:dyDescent="0.25">
      <c r="A4" t="s">
        <v>15</v>
      </c>
      <c r="B4" s="5" t="s">
        <v>35</v>
      </c>
      <c r="C4" t="s">
        <v>35</v>
      </c>
      <c r="D4" s="3" t="b">
        <f>B4&lt;&gt;C4</f>
        <v>0</v>
      </c>
    </row>
    <row r="5" spans="1:7" x14ac:dyDescent="0.25">
      <c r="A5" t="s">
        <v>15</v>
      </c>
      <c r="B5" s="5" t="s">
        <v>34</v>
      </c>
      <c r="C5" t="s">
        <v>34</v>
      </c>
      <c r="D5" s="3" t="b">
        <f t="shared" ref="D5:D68" si="0">B5&lt;&gt;C5</f>
        <v>0</v>
      </c>
      <c r="F5" s="6" t="s">
        <v>19</v>
      </c>
      <c r="G5" s="1"/>
    </row>
    <row r="6" spans="1:7" x14ac:dyDescent="0.25">
      <c r="A6" t="s">
        <v>15</v>
      </c>
      <c r="B6" s="5" t="s">
        <v>1253</v>
      </c>
      <c r="C6" t="s">
        <v>1216</v>
      </c>
      <c r="D6" s="3" t="b">
        <f t="shared" si="0"/>
        <v>1</v>
      </c>
      <c r="F6" s="7" t="s">
        <v>1539</v>
      </c>
      <c r="G6" s="2">
        <f t="shared" ref="G6:G17" si="1">COUNTIF(A:A,F6)</f>
        <v>1</v>
      </c>
    </row>
    <row r="7" spans="1:7" x14ac:dyDescent="0.25">
      <c r="A7" t="s">
        <v>15</v>
      </c>
      <c r="B7" s="5" t="s">
        <v>1217</v>
      </c>
      <c r="C7" t="s">
        <v>1217</v>
      </c>
      <c r="D7" s="3" t="b">
        <f t="shared" si="0"/>
        <v>0</v>
      </c>
      <c r="F7" s="3" t="s">
        <v>15</v>
      </c>
      <c r="G7" s="2">
        <f t="shared" si="1"/>
        <v>35</v>
      </c>
    </row>
    <row r="8" spans="1:7" x14ac:dyDescent="0.25">
      <c r="A8" t="s">
        <v>15</v>
      </c>
      <c r="B8" s="5" t="s">
        <v>120</v>
      </c>
      <c r="C8" t="s">
        <v>219</v>
      </c>
      <c r="D8" s="3" t="b">
        <f t="shared" si="0"/>
        <v>1</v>
      </c>
      <c r="F8" s="7" t="s">
        <v>21</v>
      </c>
      <c r="G8" s="2">
        <f t="shared" si="1"/>
        <v>7</v>
      </c>
    </row>
    <row r="9" spans="1:7" x14ac:dyDescent="0.25">
      <c r="A9" t="s">
        <v>15</v>
      </c>
      <c r="B9" s="5" t="s">
        <v>222</v>
      </c>
      <c r="C9" t="s">
        <v>222</v>
      </c>
      <c r="D9" s="3" t="b">
        <f t="shared" si="0"/>
        <v>0</v>
      </c>
      <c r="F9" s="7" t="s">
        <v>290</v>
      </c>
      <c r="G9" s="2">
        <f t="shared" si="1"/>
        <v>1</v>
      </c>
    </row>
    <row r="10" spans="1:7" x14ac:dyDescent="0.25">
      <c r="A10" t="s">
        <v>15</v>
      </c>
      <c r="B10" s="5" t="s">
        <v>1823</v>
      </c>
      <c r="C10" t="s">
        <v>220</v>
      </c>
      <c r="D10" s="3" t="b">
        <f t="shared" si="0"/>
        <v>1</v>
      </c>
      <c r="F10" s="7" t="s">
        <v>1198</v>
      </c>
      <c r="G10" s="2">
        <f t="shared" si="1"/>
        <v>5</v>
      </c>
    </row>
    <row r="11" spans="1:7" x14ac:dyDescent="0.25">
      <c r="A11" t="s">
        <v>15</v>
      </c>
      <c r="B11" s="5" t="s">
        <v>111</v>
      </c>
      <c r="C11" t="s">
        <v>111</v>
      </c>
      <c r="D11" s="3" t="b">
        <f t="shared" si="0"/>
        <v>0</v>
      </c>
      <c r="F11" s="7" t="s">
        <v>1196</v>
      </c>
      <c r="G11" s="2">
        <f t="shared" si="1"/>
        <v>4</v>
      </c>
    </row>
    <row r="12" spans="1:7" x14ac:dyDescent="0.25">
      <c r="A12" t="s">
        <v>15</v>
      </c>
      <c r="B12" s="5" t="s">
        <v>20</v>
      </c>
      <c r="C12" t="s">
        <v>20</v>
      </c>
      <c r="D12" s="3" t="b">
        <f t="shared" si="0"/>
        <v>0</v>
      </c>
      <c r="F12" s="7" t="s">
        <v>1186</v>
      </c>
      <c r="G12" s="2">
        <f t="shared" si="1"/>
        <v>9</v>
      </c>
    </row>
    <row r="13" spans="1:7" x14ac:dyDescent="0.25">
      <c r="A13" t="s">
        <v>15</v>
      </c>
      <c r="B13" s="5" t="s">
        <v>43</v>
      </c>
      <c r="C13" t="s">
        <v>43</v>
      </c>
      <c r="D13" s="3" t="b">
        <f t="shared" si="0"/>
        <v>0</v>
      </c>
      <c r="F13" s="7" t="s">
        <v>1197</v>
      </c>
      <c r="G13" s="2">
        <f t="shared" si="1"/>
        <v>13</v>
      </c>
    </row>
    <row r="14" spans="1:7" x14ac:dyDescent="0.25">
      <c r="A14" t="s">
        <v>15</v>
      </c>
      <c r="B14" s="5" t="s">
        <v>1218</v>
      </c>
      <c r="C14" t="s">
        <v>1218</v>
      </c>
      <c r="D14" s="3" t="b">
        <f t="shared" si="0"/>
        <v>0</v>
      </c>
      <c r="F14" s="7" t="s">
        <v>23</v>
      </c>
      <c r="G14" s="2">
        <f t="shared" si="1"/>
        <v>10</v>
      </c>
    </row>
    <row r="15" spans="1:7" x14ac:dyDescent="0.25">
      <c r="A15" t="s">
        <v>15</v>
      </c>
      <c r="B15" s="5" t="s">
        <v>1219</v>
      </c>
      <c r="C15" t="s">
        <v>1219</v>
      </c>
      <c r="D15" s="3" t="b">
        <f t="shared" si="0"/>
        <v>0</v>
      </c>
      <c r="F15" s="3" t="s">
        <v>41</v>
      </c>
      <c r="G15" s="2">
        <f t="shared" si="1"/>
        <v>5</v>
      </c>
    </row>
    <row r="16" spans="1:7" x14ac:dyDescent="0.25">
      <c r="A16" t="s">
        <v>15</v>
      </c>
      <c r="B16" s="5" t="s">
        <v>1220</v>
      </c>
      <c r="C16" t="s">
        <v>1220</v>
      </c>
      <c r="D16" s="3" t="b">
        <f t="shared" si="0"/>
        <v>0</v>
      </c>
      <c r="F16" s="7" t="s">
        <v>42</v>
      </c>
      <c r="G16" s="2">
        <f t="shared" si="1"/>
        <v>5</v>
      </c>
    </row>
    <row r="17" spans="1:7" x14ac:dyDescent="0.25">
      <c r="A17" t="s">
        <v>15</v>
      </c>
      <c r="B17" s="5" t="s">
        <v>504</v>
      </c>
      <c r="C17" t="s">
        <v>1222</v>
      </c>
      <c r="D17" s="3" t="b">
        <f t="shared" si="0"/>
        <v>1</v>
      </c>
      <c r="F17" s="3" t="s">
        <v>1208</v>
      </c>
      <c r="G17" s="2">
        <f t="shared" si="1"/>
        <v>5</v>
      </c>
    </row>
    <row r="18" spans="1:7" x14ac:dyDescent="0.25">
      <c r="A18" t="s">
        <v>15</v>
      </c>
      <c r="B18" s="5" t="s">
        <v>1221</v>
      </c>
      <c r="C18" t="s">
        <v>1221</v>
      </c>
      <c r="D18" s="3" t="b">
        <f t="shared" si="0"/>
        <v>0</v>
      </c>
    </row>
    <row r="19" spans="1:7" x14ac:dyDescent="0.25">
      <c r="A19" t="s">
        <v>15</v>
      </c>
      <c r="B19" s="5" t="s">
        <v>225</v>
      </c>
      <c r="C19" t="s">
        <v>225</v>
      </c>
      <c r="D19" s="3" t="b">
        <f t="shared" si="0"/>
        <v>0</v>
      </c>
    </row>
    <row r="20" spans="1:7" x14ac:dyDescent="0.25">
      <c r="A20" t="s">
        <v>15</v>
      </c>
      <c r="B20" s="5" t="s">
        <v>1821</v>
      </c>
      <c r="C20" t="s">
        <v>1821</v>
      </c>
      <c r="D20" s="3" t="b">
        <f t="shared" si="0"/>
        <v>0</v>
      </c>
      <c r="G20" s="2"/>
    </row>
    <row r="21" spans="1:7" x14ac:dyDescent="0.25">
      <c r="A21" t="s">
        <v>15</v>
      </c>
      <c r="B21" s="5" t="s">
        <v>1822</v>
      </c>
      <c r="C21" t="s">
        <v>1822</v>
      </c>
      <c r="D21" s="3" t="b">
        <f t="shared" si="0"/>
        <v>0</v>
      </c>
      <c r="G21" s="2"/>
    </row>
    <row r="22" spans="1:7" x14ac:dyDescent="0.25">
      <c r="A22" t="s">
        <v>15</v>
      </c>
      <c r="B22" s="5" t="s">
        <v>166</v>
      </c>
      <c r="C22" t="s">
        <v>166</v>
      </c>
      <c r="D22" s="3" t="b">
        <f t="shared" si="0"/>
        <v>0</v>
      </c>
      <c r="G22" s="2"/>
    </row>
    <row r="23" spans="1:7" x14ac:dyDescent="0.25">
      <c r="A23" t="s">
        <v>15</v>
      </c>
      <c r="B23" s="5" t="s">
        <v>122</v>
      </c>
      <c r="C23" t="s">
        <v>1458</v>
      </c>
      <c r="D23" s="3" t="b">
        <f t="shared" si="0"/>
        <v>1</v>
      </c>
      <c r="G23" s="2"/>
    </row>
    <row r="24" spans="1:7" x14ac:dyDescent="0.25">
      <c r="A24" t="s">
        <v>15</v>
      </c>
      <c r="B24" s="5" t="s">
        <v>172</v>
      </c>
      <c r="C24" t="s">
        <v>234</v>
      </c>
      <c r="D24" s="3" t="b">
        <f t="shared" si="0"/>
        <v>1</v>
      </c>
      <c r="G24" s="2"/>
    </row>
    <row r="25" spans="1:7" x14ac:dyDescent="0.25">
      <c r="A25" t="s">
        <v>15</v>
      </c>
      <c r="B25" s="5" t="s">
        <v>62</v>
      </c>
      <c r="C25" t="s">
        <v>62</v>
      </c>
      <c r="D25" s="3" t="b">
        <f t="shared" si="0"/>
        <v>0</v>
      </c>
      <c r="G25" s="2"/>
    </row>
    <row r="26" spans="1:7" x14ac:dyDescent="0.25">
      <c r="A26" t="s">
        <v>15</v>
      </c>
      <c r="B26" s="5" t="s">
        <v>62</v>
      </c>
      <c r="C26" t="s">
        <v>62</v>
      </c>
      <c r="D26" s="3" t="b">
        <f t="shared" si="0"/>
        <v>0</v>
      </c>
      <c r="G26" s="2"/>
    </row>
    <row r="27" spans="1:7" x14ac:dyDescent="0.25">
      <c r="A27" t="s">
        <v>15</v>
      </c>
      <c r="B27" s="5" t="s">
        <v>62</v>
      </c>
      <c r="C27" t="s">
        <v>62</v>
      </c>
      <c r="D27" s="3" t="b">
        <f t="shared" si="0"/>
        <v>0</v>
      </c>
      <c r="G27" s="2"/>
    </row>
    <row r="28" spans="1:7" x14ac:dyDescent="0.25">
      <c r="A28" t="s">
        <v>15</v>
      </c>
      <c r="B28" s="5" t="s">
        <v>62</v>
      </c>
      <c r="C28" t="s">
        <v>62</v>
      </c>
      <c r="D28" s="3" t="b">
        <f t="shared" si="0"/>
        <v>0</v>
      </c>
      <c r="G28" s="2"/>
    </row>
    <row r="29" spans="1:7" x14ac:dyDescent="0.25">
      <c r="A29" t="s">
        <v>15</v>
      </c>
      <c r="B29" s="5" t="s">
        <v>62</v>
      </c>
      <c r="C29" t="s">
        <v>62</v>
      </c>
      <c r="D29" s="3" t="b">
        <f t="shared" si="0"/>
        <v>0</v>
      </c>
      <c r="G29" s="2"/>
    </row>
    <row r="30" spans="1:7" x14ac:dyDescent="0.25">
      <c r="A30" t="s">
        <v>15</v>
      </c>
      <c r="B30" s="5" t="s">
        <v>62</v>
      </c>
      <c r="C30" t="s">
        <v>62</v>
      </c>
      <c r="D30" s="3" t="b">
        <f t="shared" si="0"/>
        <v>0</v>
      </c>
    </row>
    <row r="31" spans="1:7" x14ac:dyDescent="0.25">
      <c r="A31" t="s">
        <v>15</v>
      </c>
      <c r="B31" s="5" t="s">
        <v>122</v>
      </c>
      <c r="C31" t="s">
        <v>122</v>
      </c>
      <c r="D31" s="3" t="b">
        <f t="shared" si="0"/>
        <v>0</v>
      </c>
      <c r="G31" s="2"/>
    </row>
    <row r="32" spans="1:7" x14ac:dyDescent="0.25">
      <c r="A32" t="s">
        <v>15</v>
      </c>
      <c r="B32" s="5" t="s">
        <v>122</v>
      </c>
      <c r="C32" t="s">
        <v>122</v>
      </c>
      <c r="D32" s="3" t="b">
        <f t="shared" si="0"/>
        <v>0</v>
      </c>
      <c r="G32" s="2"/>
    </row>
    <row r="33" spans="1:7" x14ac:dyDescent="0.25">
      <c r="A33" t="s">
        <v>15</v>
      </c>
      <c r="B33" s="5" t="s">
        <v>122</v>
      </c>
      <c r="C33" t="s">
        <v>122</v>
      </c>
      <c r="D33" s="3" t="b">
        <f t="shared" si="0"/>
        <v>0</v>
      </c>
      <c r="G33" s="2"/>
    </row>
    <row r="34" spans="1:7" x14ac:dyDescent="0.25">
      <c r="A34" t="s">
        <v>15</v>
      </c>
      <c r="B34" s="5" t="s">
        <v>122</v>
      </c>
      <c r="C34" t="s">
        <v>122</v>
      </c>
      <c r="D34" s="3" t="b">
        <f t="shared" si="0"/>
        <v>0</v>
      </c>
      <c r="G34" s="2"/>
    </row>
    <row r="35" spans="1:7" x14ac:dyDescent="0.25">
      <c r="A35" t="s">
        <v>15</v>
      </c>
      <c r="B35" s="5" t="s">
        <v>172</v>
      </c>
      <c r="C35" t="s">
        <v>172</v>
      </c>
      <c r="D35" s="3" t="b">
        <f t="shared" si="0"/>
        <v>0</v>
      </c>
      <c r="G35" s="2"/>
    </row>
    <row r="36" spans="1:7" x14ac:dyDescent="0.25">
      <c r="A36" t="s">
        <v>15</v>
      </c>
      <c r="B36" s="5" t="s">
        <v>172</v>
      </c>
      <c r="C36" t="s">
        <v>172</v>
      </c>
      <c r="D36" s="3" t="b">
        <f t="shared" si="0"/>
        <v>0</v>
      </c>
      <c r="G36" s="2"/>
    </row>
    <row r="37" spans="1:7" x14ac:dyDescent="0.25">
      <c r="A37" t="s">
        <v>15</v>
      </c>
      <c r="B37" s="5" t="s">
        <v>172</v>
      </c>
      <c r="C37" t="s">
        <v>172</v>
      </c>
      <c r="D37" s="3" t="b">
        <f t="shared" si="0"/>
        <v>0</v>
      </c>
    </row>
    <row r="38" spans="1:7" x14ac:dyDescent="0.25">
      <c r="A38" t="s">
        <v>15</v>
      </c>
      <c r="B38" s="5" t="s">
        <v>172</v>
      </c>
      <c r="C38" t="s">
        <v>172</v>
      </c>
      <c r="D38" s="3" t="b">
        <f t="shared" si="0"/>
        <v>0</v>
      </c>
      <c r="G38" s="2"/>
    </row>
    <row r="39" spans="1:7" x14ac:dyDescent="0.25">
      <c r="A39" t="s">
        <v>21</v>
      </c>
      <c r="B39" s="5" t="s">
        <v>64</v>
      </c>
      <c r="C39" t="s">
        <v>64</v>
      </c>
      <c r="D39" s="3" t="b">
        <f t="shared" si="0"/>
        <v>0</v>
      </c>
      <c r="G39" s="2"/>
    </row>
    <row r="40" spans="1:7" x14ac:dyDescent="0.25">
      <c r="A40" t="s">
        <v>21</v>
      </c>
      <c r="B40" s="5" t="s">
        <v>63</v>
      </c>
      <c r="C40" t="s">
        <v>63</v>
      </c>
      <c r="D40" s="3" t="b">
        <f t="shared" si="0"/>
        <v>0</v>
      </c>
    </row>
    <row r="41" spans="1:7" x14ac:dyDescent="0.25">
      <c r="A41" t="s">
        <v>21</v>
      </c>
      <c r="B41" s="5" t="s">
        <v>1934</v>
      </c>
      <c r="C41" t="s">
        <v>1934</v>
      </c>
      <c r="D41" s="3" t="b">
        <f t="shared" si="0"/>
        <v>0</v>
      </c>
    </row>
    <row r="42" spans="1:7" x14ac:dyDescent="0.25">
      <c r="A42" t="s">
        <v>21</v>
      </c>
      <c r="B42" s="5" t="s">
        <v>1215</v>
      </c>
      <c r="C42" t="s">
        <v>1215</v>
      </c>
      <c r="D42" s="3" t="b">
        <f t="shared" si="0"/>
        <v>0</v>
      </c>
    </row>
    <row r="43" spans="1:7" x14ac:dyDescent="0.25">
      <c r="A43" t="s">
        <v>21</v>
      </c>
      <c r="B43" s="5" t="s">
        <v>771</v>
      </c>
      <c r="C43" t="s">
        <v>771</v>
      </c>
      <c r="D43" s="3" t="b">
        <f t="shared" si="0"/>
        <v>0</v>
      </c>
    </row>
    <row r="44" spans="1:7" x14ac:dyDescent="0.25">
      <c r="A44" t="s">
        <v>21</v>
      </c>
      <c r="B44" s="5" t="s">
        <v>308</v>
      </c>
      <c r="C44" t="s">
        <v>308</v>
      </c>
      <c r="D44" s="3" t="b">
        <f t="shared" si="0"/>
        <v>0</v>
      </c>
    </row>
    <row r="45" spans="1:7" x14ac:dyDescent="0.25">
      <c r="A45" t="s">
        <v>21</v>
      </c>
      <c r="B45" s="5" t="s">
        <v>1820</v>
      </c>
      <c r="C45" t="s">
        <v>2097</v>
      </c>
      <c r="D45" s="3" t="b">
        <f t="shared" si="0"/>
        <v>1</v>
      </c>
    </row>
    <row r="46" spans="1:7" x14ac:dyDescent="0.25">
      <c r="A46" t="s">
        <v>290</v>
      </c>
      <c r="B46" s="5" t="s">
        <v>74</v>
      </c>
      <c r="C46" t="s">
        <v>74</v>
      </c>
      <c r="D46" s="3" t="b">
        <f t="shared" si="0"/>
        <v>0</v>
      </c>
    </row>
    <row r="47" spans="1:7" x14ac:dyDescent="0.25">
      <c r="A47" t="s">
        <v>1208</v>
      </c>
      <c r="B47" s="5" t="s">
        <v>1251</v>
      </c>
      <c r="C47" t="s">
        <v>1212</v>
      </c>
      <c r="D47" s="3" t="b">
        <f t="shared" si="0"/>
        <v>1</v>
      </c>
    </row>
    <row r="48" spans="1:7" x14ac:dyDescent="0.25">
      <c r="A48" t="s">
        <v>1208</v>
      </c>
      <c r="B48" s="5" t="s">
        <v>1819</v>
      </c>
      <c r="C48" t="s">
        <v>1213</v>
      </c>
      <c r="D48" s="3" t="b">
        <f t="shared" si="0"/>
        <v>1</v>
      </c>
    </row>
    <row r="49" spans="1:6" x14ac:dyDescent="0.25">
      <c r="A49" t="s">
        <v>1208</v>
      </c>
      <c r="B49" s="5" t="s">
        <v>1818</v>
      </c>
      <c r="C49" s="5" t="s">
        <v>1210</v>
      </c>
      <c r="D49" s="3" t="b">
        <f t="shared" si="0"/>
        <v>1</v>
      </c>
    </row>
    <row r="50" spans="1:6" x14ac:dyDescent="0.25">
      <c r="A50" t="s">
        <v>1208</v>
      </c>
      <c r="B50" s="5" t="s">
        <v>1209</v>
      </c>
      <c r="C50" t="s">
        <v>1209</v>
      </c>
      <c r="D50" s="3" t="b">
        <f t="shared" si="0"/>
        <v>0</v>
      </c>
    </row>
    <row r="51" spans="1:6" x14ac:dyDescent="0.25">
      <c r="A51" t="s">
        <v>1208</v>
      </c>
      <c r="B51" s="5" t="s">
        <v>1227</v>
      </c>
      <c r="C51" t="s">
        <v>1227</v>
      </c>
      <c r="D51" s="3" t="b">
        <f t="shared" si="0"/>
        <v>0</v>
      </c>
    </row>
    <row r="52" spans="1:6" x14ac:dyDescent="0.25">
      <c r="A52" t="s">
        <v>1198</v>
      </c>
      <c r="B52" s="5" t="s">
        <v>1817</v>
      </c>
      <c r="C52" t="s">
        <v>469</v>
      </c>
      <c r="D52" s="3" t="b">
        <f t="shared" si="0"/>
        <v>1</v>
      </c>
    </row>
    <row r="53" spans="1:6" x14ac:dyDescent="0.25">
      <c r="A53" t="s">
        <v>1198</v>
      </c>
      <c r="B53" s="5" t="s">
        <v>482</v>
      </c>
      <c r="C53" t="s">
        <v>482</v>
      </c>
      <c r="D53" s="3" t="b">
        <f t="shared" si="0"/>
        <v>0</v>
      </c>
    </row>
    <row r="54" spans="1:6" x14ac:dyDescent="0.25">
      <c r="A54" t="s">
        <v>1198</v>
      </c>
      <c r="B54" s="5" t="s">
        <v>1816</v>
      </c>
      <c r="C54" t="s">
        <v>1816</v>
      </c>
      <c r="D54" s="3" t="b">
        <f t="shared" si="0"/>
        <v>0</v>
      </c>
    </row>
    <row r="55" spans="1:6" x14ac:dyDescent="0.25">
      <c r="A55" t="s">
        <v>1198</v>
      </c>
      <c r="B55" s="5" t="s">
        <v>1814</v>
      </c>
      <c r="C55" t="s">
        <v>2098</v>
      </c>
      <c r="D55" s="3" t="b">
        <f t="shared" si="0"/>
        <v>1</v>
      </c>
    </row>
    <row r="56" spans="1:6" x14ac:dyDescent="0.25">
      <c r="A56" t="s">
        <v>1198</v>
      </c>
      <c r="B56" s="5" t="s">
        <v>353</v>
      </c>
      <c r="C56" t="s">
        <v>353</v>
      </c>
      <c r="D56" s="3" t="b">
        <f t="shared" si="0"/>
        <v>0</v>
      </c>
    </row>
    <row r="57" spans="1:6" x14ac:dyDescent="0.25">
      <c r="A57" t="s">
        <v>1196</v>
      </c>
      <c r="B57" s="5" t="s">
        <v>1203</v>
      </c>
      <c r="C57" t="s">
        <v>1203</v>
      </c>
      <c r="D57" s="3" t="b">
        <f t="shared" si="0"/>
        <v>0</v>
      </c>
    </row>
    <row r="58" spans="1:6" x14ac:dyDescent="0.25">
      <c r="A58" t="s">
        <v>1196</v>
      </c>
      <c r="B58" s="5" t="s">
        <v>272</v>
      </c>
      <c r="C58" t="s">
        <v>272</v>
      </c>
      <c r="D58" s="3" t="b">
        <f t="shared" si="0"/>
        <v>0</v>
      </c>
    </row>
    <row r="59" spans="1:6" x14ac:dyDescent="0.25">
      <c r="A59" t="s">
        <v>1196</v>
      </c>
      <c r="B59" s="5" t="s">
        <v>1815</v>
      </c>
      <c r="C59" t="s">
        <v>1461</v>
      </c>
      <c r="D59" s="3" t="b">
        <f t="shared" si="0"/>
        <v>1</v>
      </c>
      <c r="F59"/>
    </row>
    <row r="60" spans="1:6" x14ac:dyDescent="0.25">
      <c r="A60" t="s">
        <v>1196</v>
      </c>
      <c r="B60" s="5" t="s">
        <v>1195</v>
      </c>
      <c r="C60" t="s">
        <v>271</v>
      </c>
      <c r="D60" s="3" t="b">
        <f t="shared" si="0"/>
        <v>1</v>
      </c>
    </row>
    <row r="61" spans="1:6" x14ac:dyDescent="0.25">
      <c r="A61" t="s">
        <v>1197</v>
      </c>
      <c r="B61" s="5" t="s">
        <v>479</v>
      </c>
      <c r="C61" t="s">
        <v>479</v>
      </c>
      <c r="D61" s="3" t="b">
        <f t="shared" si="0"/>
        <v>0</v>
      </c>
    </row>
    <row r="62" spans="1:6" x14ac:dyDescent="0.25">
      <c r="A62" t="s">
        <v>1197</v>
      </c>
      <c r="B62" s="5" t="s">
        <v>1214</v>
      </c>
      <c r="C62" t="s">
        <v>1214</v>
      </c>
      <c r="D62" s="3" t="b">
        <f t="shared" si="0"/>
        <v>0</v>
      </c>
    </row>
    <row r="63" spans="1:6" x14ac:dyDescent="0.25">
      <c r="A63" t="s">
        <v>1197</v>
      </c>
      <c r="B63" s="5" t="s">
        <v>70</v>
      </c>
      <c r="C63" t="s">
        <v>70</v>
      </c>
      <c r="D63" s="3" t="b">
        <f t="shared" si="0"/>
        <v>0</v>
      </c>
    </row>
    <row r="64" spans="1:6" x14ac:dyDescent="0.25">
      <c r="A64" t="s">
        <v>1197</v>
      </c>
      <c r="B64" s="5" t="s">
        <v>1225</v>
      </c>
      <c r="C64" t="s">
        <v>1225</v>
      </c>
      <c r="D64" s="3" t="b">
        <f t="shared" si="0"/>
        <v>0</v>
      </c>
    </row>
    <row r="65" spans="1:6" x14ac:dyDescent="0.25">
      <c r="A65" t="s">
        <v>1197</v>
      </c>
      <c r="B65" s="5" t="s">
        <v>67</v>
      </c>
      <c r="C65" t="s">
        <v>67</v>
      </c>
      <c r="D65" s="3" t="b">
        <f t="shared" si="0"/>
        <v>0</v>
      </c>
    </row>
    <row r="66" spans="1:6" x14ac:dyDescent="0.25">
      <c r="A66" t="s">
        <v>1197</v>
      </c>
      <c r="B66" s="5" t="s">
        <v>264</v>
      </c>
      <c r="C66" t="s">
        <v>264</v>
      </c>
      <c r="D66" s="3" t="b">
        <f t="shared" si="0"/>
        <v>0</v>
      </c>
    </row>
    <row r="67" spans="1:6" x14ac:dyDescent="0.25">
      <c r="A67" t="s">
        <v>1197</v>
      </c>
      <c r="B67" s="5" t="s">
        <v>1200</v>
      </c>
      <c r="C67" t="s">
        <v>1200</v>
      </c>
      <c r="D67" s="3" t="b">
        <f t="shared" si="0"/>
        <v>0</v>
      </c>
    </row>
    <row r="68" spans="1:6" x14ac:dyDescent="0.25">
      <c r="A68" t="s">
        <v>1197</v>
      </c>
      <c r="B68" s="5" t="s">
        <v>1199</v>
      </c>
      <c r="C68" t="s">
        <v>1199</v>
      </c>
      <c r="D68" s="3" t="b">
        <f t="shared" si="0"/>
        <v>0</v>
      </c>
    </row>
    <row r="69" spans="1:6" x14ac:dyDescent="0.25">
      <c r="A69" t="s">
        <v>1197</v>
      </c>
      <c r="B69" s="5" t="s">
        <v>267</v>
      </c>
      <c r="C69" t="s">
        <v>267</v>
      </c>
      <c r="D69" s="3" t="b">
        <f t="shared" ref="D69:D103" si="2">B69&lt;&gt;C69</f>
        <v>0</v>
      </c>
      <c r="F69"/>
    </row>
    <row r="70" spans="1:6" x14ac:dyDescent="0.25">
      <c r="A70" t="s">
        <v>1197</v>
      </c>
      <c r="B70" s="5" t="s">
        <v>674</v>
      </c>
      <c r="C70" t="s">
        <v>674</v>
      </c>
      <c r="D70" s="3" t="b">
        <f t="shared" si="2"/>
        <v>0</v>
      </c>
    </row>
    <row r="71" spans="1:6" x14ac:dyDescent="0.25">
      <c r="A71" t="s">
        <v>1197</v>
      </c>
      <c r="B71" s="5" t="s">
        <v>1192</v>
      </c>
      <c r="C71" t="s">
        <v>1192</v>
      </c>
      <c r="D71" s="3" t="b">
        <f t="shared" si="2"/>
        <v>0</v>
      </c>
      <c r="F71"/>
    </row>
    <row r="72" spans="1:6" x14ac:dyDescent="0.25">
      <c r="A72" t="s">
        <v>1197</v>
      </c>
      <c r="B72" s="5" t="s">
        <v>1193</v>
      </c>
      <c r="C72" t="s">
        <v>1193</v>
      </c>
      <c r="D72" s="3" t="b">
        <f t="shared" si="2"/>
        <v>0</v>
      </c>
      <c r="F72"/>
    </row>
    <row r="73" spans="1:6" x14ac:dyDescent="0.25">
      <c r="A73" t="s">
        <v>1197</v>
      </c>
      <c r="B73" s="5" t="s">
        <v>1223</v>
      </c>
      <c r="C73" t="s">
        <v>1223</v>
      </c>
      <c r="D73" s="3" t="b">
        <f t="shared" si="2"/>
        <v>0</v>
      </c>
      <c r="F73"/>
    </row>
    <row r="74" spans="1:6" x14ac:dyDescent="0.25">
      <c r="A74" t="s">
        <v>1186</v>
      </c>
      <c r="B74" s="5" t="s">
        <v>1211</v>
      </c>
      <c r="C74" t="s">
        <v>1211</v>
      </c>
      <c r="D74" s="3" t="b">
        <f t="shared" si="2"/>
        <v>0</v>
      </c>
      <c r="F74"/>
    </row>
    <row r="75" spans="1:6" x14ac:dyDescent="0.25">
      <c r="A75" t="s">
        <v>1186</v>
      </c>
      <c r="B75" s="5" t="s">
        <v>2022</v>
      </c>
      <c r="C75" t="s">
        <v>2022</v>
      </c>
      <c r="D75" s="3" t="b">
        <f t="shared" si="2"/>
        <v>0</v>
      </c>
      <c r="F75"/>
    </row>
    <row r="76" spans="1:6" x14ac:dyDescent="0.25">
      <c r="A76" t="s">
        <v>1186</v>
      </c>
      <c r="B76" s="5" t="s">
        <v>1194</v>
      </c>
      <c r="C76" t="s">
        <v>1194</v>
      </c>
      <c r="D76" s="3" t="b">
        <f t="shared" si="2"/>
        <v>0</v>
      </c>
    </row>
    <row r="77" spans="1:6" x14ac:dyDescent="0.25">
      <c r="A77" t="s">
        <v>1186</v>
      </c>
      <c r="B77" s="5" t="s">
        <v>1207</v>
      </c>
      <c r="C77" t="s">
        <v>1207</v>
      </c>
      <c r="D77" s="3" t="b">
        <f t="shared" si="2"/>
        <v>0</v>
      </c>
    </row>
    <row r="78" spans="1:6" x14ac:dyDescent="0.25">
      <c r="A78" t="s">
        <v>1186</v>
      </c>
      <c r="B78" s="5" t="s">
        <v>1188</v>
      </c>
      <c r="C78" t="s">
        <v>1188</v>
      </c>
      <c r="D78" s="3" t="b">
        <f t="shared" si="2"/>
        <v>0</v>
      </c>
    </row>
    <row r="79" spans="1:6" x14ac:dyDescent="0.25">
      <c r="A79" t="s">
        <v>1186</v>
      </c>
      <c r="B79" s="5" t="s">
        <v>1813</v>
      </c>
      <c r="C79" t="s">
        <v>1189</v>
      </c>
      <c r="D79" s="3" t="b">
        <f t="shared" si="2"/>
        <v>1</v>
      </c>
      <c r="F79"/>
    </row>
    <row r="80" spans="1:6" x14ac:dyDescent="0.25">
      <c r="A80" t="s">
        <v>1186</v>
      </c>
      <c r="B80" s="5" t="s">
        <v>1226</v>
      </c>
      <c r="C80" t="s">
        <v>1297</v>
      </c>
      <c r="D80" s="3" t="b">
        <f t="shared" si="2"/>
        <v>1</v>
      </c>
    </row>
    <row r="81" spans="1:7" x14ac:dyDescent="0.25">
      <c r="A81" t="s">
        <v>1186</v>
      </c>
      <c r="B81" s="5" t="s">
        <v>903</v>
      </c>
      <c r="C81" t="s">
        <v>1973</v>
      </c>
      <c r="D81" s="3" t="b">
        <f t="shared" si="2"/>
        <v>1</v>
      </c>
    </row>
    <row r="82" spans="1:7" x14ac:dyDescent="0.25">
      <c r="A82" t="s">
        <v>1186</v>
      </c>
      <c r="B82" s="5" t="s">
        <v>1201</v>
      </c>
      <c r="C82" t="s">
        <v>1201</v>
      </c>
      <c r="D82" s="3" t="b">
        <f t="shared" si="2"/>
        <v>0</v>
      </c>
    </row>
    <row r="83" spans="1:7" x14ac:dyDescent="0.25">
      <c r="A83" t="s">
        <v>42</v>
      </c>
      <c r="B83" s="5" t="s">
        <v>1811</v>
      </c>
      <c r="C83" t="s">
        <v>330</v>
      </c>
      <c r="D83" s="3" t="b">
        <f t="shared" si="2"/>
        <v>1</v>
      </c>
      <c r="G83" s="2"/>
    </row>
    <row r="84" spans="1:7" x14ac:dyDescent="0.25">
      <c r="A84" t="s">
        <v>42</v>
      </c>
      <c r="B84" s="5" t="s">
        <v>1812</v>
      </c>
      <c r="C84" t="s">
        <v>2096</v>
      </c>
      <c r="D84" s="3" t="b">
        <f t="shared" si="2"/>
        <v>1</v>
      </c>
    </row>
    <row r="85" spans="1:7" x14ac:dyDescent="0.25">
      <c r="A85" t="s">
        <v>42</v>
      </c>
      <c r="B85" s="5" t="s">
        <v>1205</v>
      </c>
      <c r="C85" t="s">
        <v>1205</v>
      </c>
      <c r="D85" s="3" t="b">
        <f t="shared" si="2"/>
        <v>0</v>
      </c>
      <c r="G85" s="2"/>
    </row>
    <row r="86" spans="1:7" x14ac:dyDescent="0.25">
      <c r="A86" t="s">
        <v>42</v>
      </c>
      <c r="B86" s="5" t="s">
        <v>1204</v>
      </c>
      <c r="C86" t="s">
        <v>1204</v>
      </c>
      <c r="D86" s="3" t="b">
        <f t="shared" si="2"/>
        <v>0</v>
      </c>
    </row>
    <row r="87" spans="1:7" x14ac:dyDescent="0.25">
      <c r="A87" t="s">
        <v>42</v>
      </c>
      <c r="B87" s="5" t="s">
        <v>2025</v>
      </c>
      <c r="C87" t="s">
        <v>98</v>
      </c>
      <c r="D87" s="3" t="b">
        <f t="shared" si="2"/>
        <v>1</v>
      </c>
    </row>
    <row r="88" spans="1:7" x14ac:dyDescent="0.25">
      <c r="A88" t="s">
        <v>41</v>
      </c>
      <c r="B88" s="5" t="s">
        <v>1810</v>
      </c>
      <c r="C88" t="s">
        <v>1574</v>
      </c>
      <c r="D88" s="3" t="b">
        <f t="shared" si="2"/>
        <v>1</v>
      </c>
    </row>
    <row r="89" spans="1:7" x14ac:dyDescent="0.25">
      <c r="A89" t="s">
        <v>41</v>
      </c>
      <c r="B89" s="5" t="s">
        <v>1252</v>
      </c>
      <c r="C89" t="s">
        <v>1252</v>
      </c>
      <c r="D89" s="3" t="b">
        <f t="shared" si="2"/>
        <v>0</v>
      </c>
    </row>
    <row r="90" spans="1:7" x14ac:dyDescent="0.25">
      <c r="A90" t="s">
        <v>41</v>
      </c>
      <c r="B90" s="5" t="s">
        <v>1245</v>
      </c>
      <c r="C90" t="s">
        <v>317</v>
      </c>
      <c r="D90" s="3" t="b">
        <f t="shared" si="2"/>
        <v>1</v>
      </c>
    </row>
    <row r="91" spans="1:7" x14ac:dyDescent="0.25">
      <c r="A91" t="s">
        <v>41</v>
      </c>
      <c r="B91" s="5" t="s">
        <v>248</v>
      </c>
      <c r="C91" t="s">
        <v>248</v>
      </c>
      <c r="D91" s="3" t="b">
        <f t="shared" si="2"/>
        <v>0</v>
      </c>
    </row>
    <row r="92" spans="1:7" x14ac:dyDescent="0.25">
      <c r="A92" t="s">
        <v>41</v>
      </c>
      <c r="B92" s="5" t="s">
        <v>1235</v>
      </c>
      <c r="C92" t="s">
        <v>1235</v>
      </c>
      <c r="D92" s="3" t="b">
        <f>B92&lt;&gt;C92</f>
        <v>0</v>
      </c>
    </row>
    <row r="93" spans="1:7" x14ac:dyDescent="0.25">
      <c r="A93" t="s">
        <v>23</v>
      </c>
      <c r="B93" s="5" t="s">
        <v>1250</v>
      </c>
      <c r="C93" t="s">
        <v>735</v>
      </c>
      <c r="D93" s="3" t="b">
        <f t="shared" si="2"/>
        <v>1</v>
      </c>
    </row>
    <row r="94" spans="1:7" x14ac:dyDescent="0.25">
      <c r="A94" t="s">
        <v>23</v>
      </c>
      <c r="B94" s="5" t="s">
        <v>1428</v>
      </c>
      <c r="C94" t="s">
        <v>653</v>
      </c>
      <c r="D94" s="3" t="b">
        <f t="shared" si="2"/>
        <v>1</v>
      </c>
    </row>
    <row r="95" spans="1:7" x14ac:dyDescent="0.25">
      <c r="A95" t="s">
        <v>23</v>
      </c>
      <c r="B95" s="5" t="s">
        <v>357</v>
      </c>
      <c r="C95" t="s">
        <v>1191</v>
      </c>
      <c r="D95" s="3" t="b">
        <f t="shared" si="2"/>
        <v>1</v>
      </c>
    </row>
    <row r="96" spans="1:7" x14ac:dyDescent="0.25">
      <c r="A96" t="s">
        <v>23</v>
      </c>
      <c r="B96" s="5" t="s">
        <v>1249</v>
      </c>
      <c r="C96" t="s">
        <v>1190</v>
      </c>
      <c r="D96" s="3" t="b">
        <f t="shared" si="2"/>
        <v>1</v>
      </c>
    </row>
    <row r="97" spans="1:4" x14ac:dyDescent="0.25">
      <c r="A97" t="s">
        <v>23</v>
      </c>
      <c r="B97" s="5" t="s">
        <v>101</v>
      </c>
      <c r="C97" t="s">
        <v>101</v>
      </c>
      <c r="D97" s="3" t="b">
        <f t="shared" si="2"/>
        <v>0</v>
      </c>
    </row>
    <row r="98" spans="1:4" x14ac:dyDescent="0.25">
      <c r="A98" t="s">
        <v>23</v>
      </c>
      <c r="B98" s="5" t="s">
        <v>312</v>
      </c>
      <c r="C98" t="s">
        <v>312</v>
      </c>
      <c r="D98" s="3" t="b">
        <f t="shared" si="2"/>
        <v>0</v>
      </c>
    </row>
    <row r="99" spans="1:4" x14ac:dyDescent="0.25">
      <c r="A99" t="s">
        <v>23</v>
      </c>
      <c r="B99" s="5" t="s">
        <v>1202</v>
      </c>
      <c r="C99" t="s">
        <v>1202</v>
      </c>
      <c r="D99" s="3" t="b">
        <f t="shared" si="2"/>
        <v>0</v>
      </c>
    </row>
    <row r="100" spans="1:4" x14ac:dyDescent="0.25">
      <c r="A100" t="s">
        <v>23</v>
      </c>
      <c r="B100" s="5" t="s">
        <v>1206</v>
      </c>
      <c r="C100" t="s">
        <v>1206</v>
      </c>
      <c r="D100" s="3" t="b">
        <f t="shared" si="2"/>
        <v>0</v>
      </c>
    </row>
    <row r="101" spans="1:4" x14ac:dyDescent="0.25">
      <c r="A101" t="s">
        <v>23</v>
      </c>
      <c r="B101" s="5" t="s">
        <v>145</v>
      </c>
      <c r="C101" t="s">
        <v>145</v>
      </c>
      <c r="D101" s="3" t="b">
        <f t="shared" si="2"/>
        <v>0</v>
      </c>
    </row>
    <row r="102" spans="1:4" x14ac:dyDescent="0.25">
      <c r="A102" t="s">
        <v>23</v>
      </c>
      <c r="B102" s="5" t="s">
        <v>310</v>
      </c>
      <c r="C102" t="s">
        <v>310</v>
      </c>
      <c r="D102" s="3" t="b">
        <f t="shared" si="2"/>
        <v>0</v>
      </c>
    </row>
    <row r="103" spans="1:4" x14ac:dyDescent="0.25">
      <c r="D103" s="3" t="b">
        <f t="shared" si="2"/>
        <v>0</v>
      </c>
    </row>
  </sheetData>
  <mergeCells count="1">
    <mergeCell ref="A1:G1"/>
  </mergeCells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notContainsText" priority="1" operator="notContains" id="{9C3ADB59-F30E-4FFD-AEBA-05DB173B4565}">
            <xm:f>ISERROR(SEARCH(C3,B3))</xm:f>
            <xm:f>C3</xm:f>
            <x14:dxf>
              <fill>
                <patternFill>
                  <bgColor theme="5" tint="0.39994506668294322"/>
                </patternFill>
              </fill>
            </x14:dxf>
          </x14:cfRule>
          <xm:sqref>B3:B102</xm:sqref>
        </x14:conditionalFormatting>
      </x14:conditionalFormatting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8CF31-27E0-4B75-BAFB-F3D79578772B}">
  <dimension ref="A1:G102"/>
  <sheetViews>
    <sheetView topLeftCell="A47" workbookViewId="0">
      <selection activeCell="C58" sqref="C58"/>
    </sheetView>
  </sheetViews>
  <sheetFormatPr defaultRowHeight="15" x14ac:dyDescent="0.25"/>
  <cols>
    <col min="1" max="1" width="11.85546875" style="5" customWidth="1"/>
    <col min="2" max="3" width="38.7109375" customWidth="1"/>
    <col min="4" max="4" width="12.42578125" hidden="1" customWidth="1"/>
    <col min="5" max="5" width="4.28515625" customWidth="1"/>
    <col min="6" max="6" width="22.7109375" style="3" customWidth="1"/>
    <col min="7" max="7" width="8.7109375" customWidth="1"/>
  </cols>
  <sheetData>
    <row r="1" spans="1:7" ht="21" x14ac:dyDescent="0.25">
      <c r="A1" s="12" t="s">
        <v>1387</v>
      </c>
      <c r="B1" s="12"/>
      <c r="C1" s="12"/>
      <c r="D1" s="12"/>
      <c r="E1" s="12"/>
      <c r="F1" s="12"/>
      <c r="G1" s="12"/>
    </row>
    <row r="2" spans="1:7" x14ac:dyDescent="0.25">
      <c r="A2" s="4" t="s">
        <v>11</v>
      </c>
      <c r="B2" s="4" t="s">
        <v>12</v>
      </c>
      <c r="C2" s="4" t="s">
        <v>13</v>
      </c>
      <c r="D2" s="4" t="s">
        <v>14</v>
      </c>
      <c r="F2" s="4" t="s">
        <v>16</v>
      </c>
      <c r="G2" s="3">
        <f>COUNTIF(D4:D106,"Verdadeiro")</f>
        <v>23</v>
      </c>
    </row>
    <row r="3" spans="1:7" s="5" customFormat="1" x14ac:dyDescent="0.25">
      <c r="A3" s="5" t="s">
        <v>1539</v>
      </c>
      <c r="B3" s="5" t="s">
        <v>1570</v>
      </c>
      <c r="C3" s="5" t="s">
        <v>1570</v>
      </c>
      <c r="D3" t="b">
        <f>B3&lt;&gt;C3</f>
        <v>0</v>
      </c>
      <c r="F3" s="4" t="s">
        <v>17</v>
      </c>
      <c r="G3" s="3">
        <f>SUM(G6:G28)</f>
        <v>100</v>
      </c>
    </row>
    <row r="4" spans="1:7" x14ac:dyDescent="0.25">
      <c r="A4" t="s">
        <v>15</v>
      </c>
      <c r="B4" s="5" t="s">
        <v>62</v>
      </c>
      <c r="C4" t="s">
        <v>220</v>
      </c>
      <c r="D4" t="b">
        <f t="shared" ref="D4:D67" si="0">B4&lt;&gt;C4</f>
        <v>1</v>
      </c>
    </row>
    <row r="5" spans="1:7" x14ac:dyDescent="0.25">
      <c r="A5" t="s">
        <v>15</v>
      </c>
      <c r="B5" s="5" t="s">
        <v>1381</v>
      </c>
      <c r="C5" t="s">
        <v>1381</v>
      </c>
      <c r="D5" t="b">
        <f t="shared" si="0"/>
        <v>0</v>
      </c>
      <c r="F5" s="6" t="s">
        <v>19</v>
      </c>
      <c r="G5" s="1"/>
    </row>
    <row r="6" spans="1:7" x14ac:dyDescent="0.25">
      <c r="A6" t="s">
        <v>15</v>
      </c>
      <c r="B6" s="5" t="s">
        <v>20</v>
      </c>
      <c r="C6" t="s">
        <v>20</v>
      </c>
      <c r="D6" t="b">
        <f t="shared" si="0"/>
        <v>0</v>
      </c>
      <c r="F6" s="3" t="s">
        <v>1539</v>
      </c>
      <c r="G6" s="2">
        <f t="shared" ref="G6:G14" si="1">COUNTIF(A:A,F6)</f>
        <v>1</v>
      </c>
    </row>
    <row r="7" spans="1:7" x14ac:dyDescent="0.25">
      <c r="A7" t="s">
        <v>15</v>
      </c>
      <c r="B7" s="5" t="s">
        <v>43</v>
      </c>
      <c r="C7" t="s">
        <v>43</v>
      </c>
      <c r="D7" t="b">
        <f t="shared" si="0"/>
        <v>0</v>
      </c>
      <c r="F7" s="7" t="s">
        <v>15</v>
      </c>
      <c r="G7" s="2">
        <f t="shared" si="1"/>
        <v>35</v>
      </c>
    </row>
    <row r="8" spans="1:7" x14ac:dyDescent="0.25">
      <c r="A8" t="s">
        <v>15</v>
      </c>
      <c r="B8" s="5" t="s">
        <v>225</v>
      </c>
      <c r="C8" t="s">
        <v>225</v>
      </c>
      <c r="D8" t="b">
        <f t="shared" si="0"/>
        <v>0</v>
      </c>
      <c r="F8" s="7" t="s">
        <v>21</v>
      </c>
      <c r="G8" s="2">
        <f t="shared" si="1"/>
        <v>12</v>
      </c>
    </row>
    <row r="9" spans="1:7" x14ac:dyDescent="0.25">
      <c r="A9" t="s">
        <v>15</v>
      </c>
      <c r="B9" s="5" t="s">
        <v>1384</v>
      </c>
      <c r="C9" t="s">
        <v>1384</v>
      </c>
      <c r="D9" t="b">
        <f t="shared" si="0"/>
        <v>0</v>
      </c>
      <c r="F9" s="7" t="s">
        <v>22</v>
      </c>
      <c r="G9" s="2">
        <f t="shared" si="1"/>
        <v>3</v>
      </c>
    </row>
    <row r="10" spans="1:7" x14ac:dyDescent="0.25">
      <c r="A10" t="s">
        <v>15</v>
      </c>
      <c r="B10" s="5" t="s">
        <v>511</v>
      </c>
      <c r="C10" t="s">
        <v>511</v>
      </c>
      <c r="D10" t="b">
        <f t="shared" si="0"/>
        <v>0</v>
      </c>
      <c r="F10" s="3" t="s">
        <v>1464</v>
      </c>
      <c r="G10" s="2">
        <f t="shared" si="1"/>
        <v>19</v>
      </c>
    </row>
    <row r="11" spans="1:7" x14ac:dyDescent="0.25">
      <c r="A11" t="s">
        <v>15</v>
      </c>
      <c r="B11" t="s">
        <v>120</v>
      </c>
      <c r="C11" t="s">
        <v>120</v>
      </c>
      <c r="D11" t="b">
        <f t="shared" si="0"/>
        <v>0</v>
      </c>
      <c r="F11" s="7" t="s">
        <v>1350</v>
      </c>
      <c r="G11" s="2">
        <f t="shared" si="1"/>
        <v>8</v>
      </c>
    </row>
    <row r="12" spans="1:7" x14ac:dyDescent="0.25">
      <c r="A12" t="s">
        <v>15</v>
      </c>
      <c r="B12" s="5" t="s">
        <v>1664</v>
      </c>
      <c r="C12" t="s">
        <v>1664</v>
      </c>
      <c r="D12" t="b">
        <f t="shared" si="0"/>
        <v>0</v>
      </c>
      <c r="F12" s="7" t="s">
        <v>160</v>
      </c>
      <c r="G12" s="2">
        <f t="shared" si="1"/>
        <v>6</v>
      </c>
    </row>
    <row r="13" spans="1:7" x14ac:dyDescent="0.25">
      <c r="A13" t="s">
        <v>15</v>
      </c>
      <c r="B13" s="5" t="s">
        <v>237</v>
      </c>
      <c r="C13" t="s">
        <v>237</v>
      </c>
      <c r="D13" t="b">
        <f t="shared" si="0"/>
        <v>0</v>
      </c>
      <c r="F13" s="7" t="s">
        <v>162</v>
      </c>
      <c r="G13" s="2">
        <f t="shared" si="1"/>
        <v>6</v>
      </c>
    </row>
    <row r="14" spans="1:7" x14ac:dyDescent="0.25">
      <c r="A14" t="s">
        <v>15</v>
      </c>
      <c r="B14" s="5" t="s">
        <v>953</v>
      </c>
      <c r="C14" t="s">
        <v>953</v>
      </c>
      <c r="D14" t="b">
        <f t="shared" si="0"/>
        <v>0</v>
      </c>
      <c r="F14" s="7" t="s">
        <v>1351</v>
      </c>
      <c r="G14" s="2">
        <f t="shared" si="1"/>
        <v>10</v>
      </c>
    </row>
    <row r="15" spans="1:7" x14ac:dyDescent="0.25">
      <c r="A15" t="s">
        <v>15</v>
      </c>
      <c r="B15" s="5" t="s">
        <v>1632</v>
      </c>
      <c r="C15" t="s">
        <v>1632</v>
      </c>
      <c r="D15" t="b">
        <f t="shared" si="0"/>
        <v>0</v>
      </c>
      <c r="G15" s="2"/>
    </row>
    <row r="16" spans="1:7" x14ac:dyDescent="0.25">
      <c r="A16" t="s">
        <v>15</v>
      </c>
      <c r="B16" s="5" t="s">
        <v>61</v>
      </c>
      <c r="C16" t="s">
        <v>231</v>
      </c>
      <c r="D16" t="b">
        <f t="shared" si="0"/>
        <v>1</v>
      </c>
      <c r="F16"/>
      <c r="G16" s="2"/>
    </row>
    <row r="17" spans="1:7" x14ac:dyDescent="0.25">
      <c r="A17" t="s">
        <v>15</v>
      </c>
      <c r="B17" s="5" t="s">
        <v>229</v>
      </c>
      <c r="C17" t="s">
        <v>229</v>
      </c>
      <c r="D17" t="b">
        <f t="shared" si="0"/>
        <v>0</v>
      </c>
      <c r="F17"/>
      <c r="G17" s="2"/>
    </row>
    <row r="18" spans="1:7" x14ac:dyDescent="0.25">
      <c r="A18" t="s">
        <v>15</v>
      </c>
      <c r="B18" s="5" t="s">
        <v>62</v>
      </c>
      <c r="C18" t="s">
        <v>232</v>
      </c>
      <c r="D18" t="b">
        <f t="shared" si="0"/>
        <v>1</v>
      </c>
      <c r="F18"/>
    </row>
    <row r="19" spans="1:7" x14ac:dyDescent="0.25">
      <c r="A19" t="s">
        <v>15</v>
      </c>
      <c r="B19" s="5" t="s">
        <v>116</v>
      </c>
      <c r="C19" t="s">
        <v>116</v>
      </c>
      <c r="D19" t="b">
        <f t="shared" si="0"/>
        <v>0</v>
      </c>
      <c r="F19"/>
    </row>
    <row r="20" spans="1:7" x14ac:dyDescent="0.25">
      <c r="A20" t="s">
        <v>15</v>
      </c>
      <c r="B20" s="5" t="s">
        <v>62</v>
      </c>
      <c r="C20" t="s">
        <v>234</v>
      </c>
      <c r="D20" t="b">
        <f t="shared" si="0"/>
        <v>1</v>
      </c>
      <c r="F20"/>
    </row>
    <row r="21" spans="1:7" x14ac:dyDescent="0.25">
      <c r="A21" t="s">
        <v>15</v>
      </c>
      <c r="B21" s="5" t="s">
        <v>61</v>
      </c>
      <c r="C21" t="s">
        <v>235</v>
      </c>
      <c r="D21" t="b">
        <f t="shared" si="0"/>
        <v>1</v>
      </c>
      <c r="F21"/>
    </row>
    <row r="22" spans="1:7" x14ac:dyDescent="0.25">
      <c r="A22" t="s">
        <v>15</v>
      </c>
      <c r="B22" s="5" t="s">
        <v>62</v>
      </c>
      <c r="C22" t="s">
        <v>1951</v>
      </c>
      <c r="D22" t="b">
        <f t="shared" si="0"/>
        <v>1</v>
      </c>
      <c r="F22"/>
    </row>
    <row r="23" spans="1:7" x14ac:dyDescent="0.25">
      <c r="A23" t="s">
        <v>15</v>
      </c>
      <c r="B23" s="5" t="s">
        <v>172</v>
      </c>
      <c r="C23" t="s">
        <v>1936</v>
      </c>
      <c r="D23" t="b">
        <f t="shared" si="0"/>
        <v>1</v>
      </c>
      <c r="F23"/>
    </row>
    <row r="24" spans="1:7" x14ac:dyDescent="0.25">
      <c r="A24" t="s">
        <v>15</v>
      </c>
      <c r="B24" s="5" t="s">
        <v>62</v>
      </c>
      <c r="C24" t="s">
        <v>62</v>
      </c>
      <c r="D24" t="b">
        <f t="shared" si="0"/>
        <v>0</v>
      </c>
      <c r="F24"/>
    </row>
    <row r="25" spans="1:7" x14ac:dyDescent="0.25">
      <c r="A25" t="s">
        <v>15</v>
      </c>
      <c r="B25" s="5" t="s">
        <v>62</v>
      </c>
      <c r="C25" t="s">
        <v>62</v>
      </c>
      <c r="D25" t="b">
        <f t="shared" si="0"/>
        <v>0</v>
      </c>
      <c r="F25"/>
    </row>
    <row r="26" spans="1:7" x14ac:dyDescent="0.25">
      <c r="A26" t="s">
        <v>15</v>
      </c>
      <c r="B26" s="5" t="s">
        <v>62</v>
      </c>
      <c r="C26" t="s">
        <v>62</v>
      </c>
      <c r="D26" t="b">
        <f t="shared" si="0"/>
        <v>0</v>
      </c>
      <c r="F26"/>
    </row>
    <row r="27" spans="1:7" x14ac:dyDescent="0.25">
      <c r="A27" t="s">
        <v>15</v>
      </c>
      <c r="B27" s="5" t="s">
        <v>62</v>
      </c>
      <c r="C27" t="s">
        <v>62</v>
      </c>
      <c r="D27" t="b">
        <f t="shared" si="0"/>
        <v>0</v>
      </c>
      <c r="F27"/>
    </row>
    <row r="28" spans="1:7" x14ac:dyDescent="0.25">
      <c r="A28" t="s">
        <v>15</v>
      </c>
      <c r="B28" s="5" t="s">
        <v>62</v>
      </c>
      <c r="C28" t="s">
        <v>62</v>
      </c>
      <c r="D28" t="b">
        <f t="shared" si="0"/>
        <v>0</v>
      </c>
      <c r="F28"/>
    </row>
    <row r="29" spans="1:7" x14ac:dyDescent="0.25">
      <c r="A29" t="s">
        <v>15</v>
      </c>
      <c r="B29" s="5" t="s">
        <v>62</v>
      </c>
      <c r="C29" t="s">
        <v>62</v>
      </c>
      <c r="D29" t="b">
        <f t="shared" si="0"/>
        <v>0</v>
      </c>
      <c r="F29"/>
    </row>
    <row r="30" spans="1:7" x14ac:dyDescent="0.25">
      <c r="A30" t="s">
        <v>15</v>
      </c>
      <c r="B30" s="5" t="s">
        <v>61</v>
      </c>
      <c r="C30" t="s">
        <v>61</v>
      </c>
      <c r="D30" t="b">
        <f t="shared" si="0"/>
        <v>0</v>
      </c>
      <c r="F30"/>
    </row>
    <row r="31" spans="1:7" x14ac:dyDescent="0.25">
      <c r="A31" t="s">
        <v>15</v>
      </c>
      <c r="B31" s="5" t="s">
        <v>61</v>
      </c>
      <c r="C31" t="s">
        <v>61</v>
      </c>
      <c r="D31" t="b">
        <f t="shared" si="0"/>
        <v>0</v>
      </c>
      <c r="F31"/>
    </row>
    <row r="32" spans="1:7" x14ac:dyDescent="0.25">
      <c r="A32" t="s">
        <v>15</v>
      </c>
      <c r="B32" s="5" t="s">
        <v>61</v>
      </c>
      <c r="C32" t="s">
        <v>61</v>
      </c>
      <c r="D32" t="b">
        <f t="shared" si="0"/>
        <v>0</v>
      </c>
      <c r="F32"/>
    </row>
    <row r="33" spans="1:6" x14ac:dyDescent="0.25">
      <c r="A33" t="s">
        <v>15</v>
      </c>
      <c r="B33" t="s">
        <v>61</v>
      </c>
      <c r="C33" t="s">
        <v>61</v>
      </c>
      <c r="D33" t="b">
        <f t="shared" si="0"/>
        <v>0</v>
      </c>
      <c r="F33"/>
    </row>
    <row r="34" spans="1:6" x14ac:dyDescent="0.25">
      <c r="A34" t="s">
        <v>15</v>
      </c>
      <c r="B34" t="s">
        <v>61</v>
      </c>
      <c r="C34" t="s">
        <v>61</v>
      </c>
      <c r="D34" t="b">
        <f t="shared" si="0"/>
        <v>0</v>
      </c>
      <c r="F34"/>
    </row>
    <row r="35" spans="1:6" x14ac:dyDescent="0.25">
      <c r="A35" t="s">
        <v>15</v>
      </c>
      <c r="B35" s="5" t="s">
        <v>172</v>
      </c>
      <c r="C35" t="s">
        <v>172</v>
      </c>
      <c r="D35" t="b">
        <f t="shared" si="0"/>
        <v>0</v>
      </c>
      <c r="F35"/>
    </row>
    <row r="36" spans="1:6" x14ac:dyDescent="0.25">
      <c r="A36" t="s">
        <v>15</v>
      </c>
      <c r="B36" s="5" t="s">
        <v>172</v>
      </c>
      <c r="C36" t="s">
        <v>172</v>
      </c>
      <c r="D36" t="b">
        <f t="shared" si="0"/>
        <v>0</v>
      </c>
      <c r="F36"/>
    </row>
    <row r="37" spans="1:6" x14ac:dyDescent="0.25">
      <c r="A37" t="s">
        <v>15</v>
      </c>
      <c r="B37" s="5" t="s">
        <v>172</v>
      </c>
      <c r="C37" t="s">
        <v>172</v>
      </c>
      <c r="D37" t="b">
        <f t="shared" si="0"/>
        <v>0</v>
      </c>
      <c r="F37"/>
    </row>
    <row r="38" spans="1:6" x14ac:dyDescent="0.25">
      <c r="A38" t="s">
        <v>15</v>
      </c>
      <c r="B38" s="5" t="s">
        <v>172</v>
      </c>
      <c r="C38" t="s">
        <v>172</v>
      </c>
      <c r="D38" t="b">
        <f t="shared" si="0"/>
        <v>0</v>
      </c>
      <c r="F38"/>
    </row>
    <row r="39" spans="1:6" x14ac:dyDescent="0.25">
      <c r="A39" t="s">
        <v>21</v>
      </c>
      <c r="B39" s="5" t="s">
        <v>127</v>
      </c>
      <c r="C39" t="s">
        <v>1950</v>
      </c>
      <c r="D39" t="b">
        <f t="shared" si="0"/>
        <v>1</v>
      </c>
      <c r="F39"/>
    </row>
    <row r="40" spans="1:6" x14ac:dyDescent="0.25">
      <c r="A40" t="s">
        <v>21</v>
      </c>
      <c r="B40" s="5" t="s">
        <v>1271</v>
      </c>
      <c r="C40" t="s">
        <v>1271</v>
      </c>
      <c r="D40" t="b">
        <f t="shared" si="0"/>
        <v>0</v>
      </c>
      <c r="F40"/>
    </row>
    <row r="41" spans="1:6" x14ac:dyDescent="0.25">
      <c r="A41" t="s">
        <v>21</v>
      </c>
      <c r="B41" s="5" t="s">
        <v>1270</v>
      </c>
      <c r="C41" t="s">
        <v>1270</v>
      </c>
      <c r="D41" t="b">
        <f t="shared" si="0"/>
        <v>0</v>
      </c>
      <c r="F41"/>
    </row>
    <row r="42" spans="1:6" x14ac:dyDescent="0.25">
      <c r="A42" t="s">
        <v>21</v>
      </c>
      <c r="B42" s="5" t="s">
        <v>1235</v>
      </c>
      <c r="C42" t="s">
        <v>1235</v>
      </c>
      <c r="D42" t="b">
        <f t="shared" si="0"/>
        <v>0</v>
      </c>
    </row>
    <row r="43" spans="1:6" x14ac:dyDescent="0.25">
      <c r="A43" t="s">
        <v>21</v>
      </c>
      <c r="B43" s="5" t="s">
        <v>408</v>
      </c>
      <c r="C43" t="s">
        <v>408</v>
      </c>
      <c r="D43" t="b">
        <f t="shared" si="0"/>
        <v>0</v>
      </c>
    </row>
    <row r="44" spans="1:6" x14ac:dyDescent="0.25">
      <c r="A44" t="s">
        <v>21</v>
      </c>
      <c r="B44" s="5" t="s">
        <v>1354</v>
      </c>
      <c r="C44" t="s">
        <v>1354</v>
      </c>
      <c r="D44" t="b">
        <f t="shared" si="0"/>
        <v>0</v>
      </c>
    </row>
    <row r="45" spans="1:6" x14ac:dyDescent="0.25">
      <c r="A45" t="s">
        <v>21</v>
      </c>
      <c r="B45" s="5" t="s">
        <v>349</v>
      </c>
      <c r="C45" t="s">
        <v>349</v>
      </c>
      <c r="D45" t="b">
        <f t="shared" si="0"/>
        <v>0</v>
      </c>
    </row>
    <row r="46" spans="1:6" x14ac:dyDescent="0.25">
      <c r="A46" t="s">
        <v>21</v>
      </c>
      <c r="B46" s="5" t="s">
        <v>1362</v>
      </c>
      <c r="C46" t="s">
        <v>1362</v>
      </c>
      <c r="D46" t="b">
        <f t="shared" si="0"/>
        <v>0</v>
      </c>
    </row>
    <row r="47" spans="1:6" x14ac:dyDescent="0.25">
      <c r="A47" t="s">
        <v>21</v>
      </c>
      <c r="B47" s="5" t="s">
        <v>245</v>
      </c>
      <c r="C47" t="s">
        <v>245</v>
      </c>
      <c r="D47" t="b">
        <f t="shared" si="0"/>
        <v>0</v>
      </c>
    </row>
    <row r="48" spans="1:6" x14ac:dyDescent="0.25">
      <c r="A48" t="s">
        <v>21</v>
      </c>
      <c r="B48" s="5" t="s">
        <v>1593</v>
      </c>
      <c r="C48" t="s">
        <v>1593</v>
      </c>
      <c r="D48" t="b">
        <f t="shared" si="0"/>
        <v>0</v>
      </c>
    </row>
    <row r="49" spans="1:6" x14ac:dyDescent="0.25">
      <c r="A49" t="s">
        <v>21</v>
      </c>
      <c r="B49" s="5" t="s">
        <v>409</v>
      </c>
      <c r="C49" t="s">
        <v>409</v>
      </c>
      <c r="D49" t="b">
        <f t="shared" si="0"/>
        <v>0</v>
      </c>
    </row>
    <row r="50" spans="1:6" x14ac:dyDescent="0.25">
      <c r="A50" t="s">
        <v>21</v>
      </c>
      <c r="B50" s="5" t="s">
        <v>900</v>
      </c>
      <c r="C50" t="s">
        <v>407</v>
      </c>
      <c r="D50" t="b">
        <f t="shared" si="0"/>
        <v>1</v>
      </c>
    </row>
    <row r="51" spans="1:6" x14ac:dyDescent="0.25">
      <c r="A51" t="s">
        <v>22</v>
      </c>
      <c r="B51" s="5" t="s">
        <v>68</v>
      </c>
      <c r="C51" t="s">
        <v>1462</v>
      </c>
      <c r="D51" t="b">
        <f t="shared" si="0"/>
        <v>1</v>
      </c>
    </row>
    <row r="52" spans="1:6" x14ac:dyDescent="0.25">
      <c r="A52" t="s">
        <v>22</v>
      </c>
      <c r="B52" s="5" t="s">
        <v>1370</v>
      </c>
      <c r="C52" t="s">
        <v>1370</v>
      </c>
      <c r="D52" t="b">
        <f t="shared" si="0"/>
        <v>0</v>
      </c>
    </row>
    <row r="53" spans="1:6" x14ac:dyDescent="0.25">
      <c r="A53" t="s">
        <v>22</v>
      </c>
      <c r="B53" s="5" t="s">
        <v>1378</v>
      </c>
      <c r="C53" t="s">
        <v>1378</v>
      </c>
      <c r="D53" t="b">
        <f t="shared" si="0"/>
        <v>0</v>
      </c>
    </row>
    <row r="54" spans="1:6" x14ac:dyDescent="0.25">
      <c r="A54" t="s">
        <v>1464</v>
      </c>
      <c r="B54" s="5" t="s">
        <v>1263</v>
      </c>
      <c r="C54" t="s">
        <v>1263</v>
      </c>
      <c r="D54" t="b">
        <f t="shared" si="0"/>
        <v>0</v>
      </c>
    </row>
    <row r="55" spans="1:6" x14ac:dyDescent="0.25">
      <c r="A55" t="s">
        <v>1464</v>
      </c>
      <c r="B55" s="5" t="s">
        <v>1669</v>
      </c>
      <c r="C55" t="s">
        <v>1953</v>
      </c>
      <c r="D55" t="b">
        <f t="shared" si="0"/>
        <v>1</v>
      </c>
    </row>
    <row r="56" spans="1:6" x14ac:dyDescent="0.25">
      <c r="A56" t="s">
        <v>1464</v>
      </c>
      <c r="B56" s="5" t="s">
        <v>1908</v>
      </c>
      <c r="C56" t="s">
        <v>1262</v>
      </c>
      <c r="D56" t="b">
        <f t="shared" si="0"/>
        <v>1</v>
      </c>
    </row>
    <row r="57" spans="1:6" x14ac:dyDescent="0.25">
      <c r="A57" t="s">
        <v>1464</v>
      </c>
      <c r="B57" s="5" t="s">
        <v>1264</v>
      </c>
      <c r="C57" t="s">
        <v>1264</v>
      </c>
      <c r="D57" t="b">
        <f t="shared" si="0"/>
        <v>0</v>
      </c>
    </row>
    <row r="58" spans="1:6" x14ac:dyDescent="0.25">
      <c r="A58" t="s">
        <v>1464</v>
      </c>
      <c r="B58" s="5" t="s">
        <v>1352</v>
      </c>
      <c r="C58" t="s">
        <v>2274</v>
      </c>
      <c r="D58" t="b">
        <f t="shared" si="0"/>
        <v>1</v>
      </c>
    </row>
    <row r="59" spans="1:6" x14ac:dyDescent="0.25">
      <c r="A59" t="s">
        <v>1464</v>
      </c>
      <c r="B59" s="5" t="s">
        <v>1368</v>
      </c>
      <c r="C59" t="s">
        <v>1368</v>
      </c>
      <c r="D59" t="b">
        <f t="shared" si="0"/>
        <v>0</v>
      </c>
    </row>
    <row r="60" spans="1:6" x14ac:dyDescent="0.25">
      <c r="A60" t="s">
        <v>1464</v>
      </c>
      <c r="B60" s="5" t="s">
        <v>1910</v>
      </c>
      <c r="C60" t="s">
        <v>1385</v>
      </c>
      <c r="D60" t="b">
        <f t="shared" si="0"/>
        <v>1</v>
      </c>
    </row>
    <row r="61" spans="1:6" x14ac:dyDescent="0.25">
      <c r="A61" t="s">
        <v>1464</v>
      </c>
      <c r="B61" s="5" t="s">
        <v>1365</v>
      </c>
      <c r="C61" t="s">
        <v>1365</v>
      </c>
      <c r="D61" t="b">
        <f t="shared" si="0"/>
        <v>0</v>
      </c>
    </row>
    <row r="62" spans="1:6" x14ac:dyDescent="0.25">
      <c r="A62" t="s">
        <v>1464</v>
      </c>
      <c r="B62" s="5" t="s">
        <v>1371</v>
      </c>
      <c r="C62" t="s">
        <v>1371</v>
      </c>
      <c r="D62" t="b">
        <f t="shared" si="0"/>
        <v>0</v>
      </c>
      <c r="F62"/>
    </row>
    <row r="63" spans="1:6" x14ac:dyDescent="0.25">
      <c r="A63" t="s">
        <v>1464</v>
      </c>
      <c r="B63" s="5" t="s">
        <v>1909</v>
      </c>
      <c r="C63" t="s">
        <v>1361</v>
      </c>
      <c r="D63" t="b">
        <f t="shared" si="0"/>
        <v>1</v>
      </c>
    </row>
    <row r="64" spans="1:6" x14ac:dyDescent="0.25">
      <c r="A64" t="s">
        <v>1464</v>
      </c>
      <c r="B64" s="5" t="s">
        <v>1359</v>
      </c>
      <c r="C64" t="s">
        <v>1359</v>
      </c>
      <c r="D64" t="b">
        <f t="shared" si="0"/>
        <v>0</v>
      </c>
    </row>
    <row r="65" spans="1:6" x14ac:dyDescent="0.25">
      <c r="A65" t="s">
        <v>1464</v>
      </c>
      <c r="B65" s="5" t="s">
        <v>1355</v>
      </c>
      <c r="C65" t="s">
        <v>1355</v>
      </c>
      <c r="D65" t="b">
        <f t="shared" si="0"/>
        <v>0</v>
      </c>
    </row>
    <row r="66" spans="1:6" x14ac:dyDescent="0.25">
      <c r="A66" t="s">
        <v>1464</v>
      </c>
      <c r="B66" s="5" t="s">
        <v>1667</v>
      </c>
      <c r="C66" t="s">
        <v>2275</v>
      </c>
      <c r="D66" t="b">
        <f t="shared" si="0"/>
        <v>1</v>
      </c>
    </row>
    <row r="67" spans="1:6" x14ac:dyDescent="0.25">
      <c r="A67" t="s">
        <v>1464</v>
      </c>
      <c r="B67" s="5" t="s">
        <v>1382</v>
      </c>
      <c r="C67" t="s">
        <v>1382</v>
      </c>
      <c r="D67" t="b">
        <f t="shared" si="0"/>
        <v>0</v>
      </c>
    </row>
    <row r="68" spans="1:6" x14ac:dyDescent="0.25">
      <c r="A68" t="s">
        <v>1464</v>
      </c>
      <c r="B68" s="5" t="s">
        <v>1266</v>
      </c>
      <c r="C68" t="s">
        <v>1266</v>
      </c>
      <c r="D68" t="b">
        <f t="shared" ref="D68:D101" si="2">B68&lt;&gt;C68</f>
        <v>0</v>
      </c>
    </row>
    <row r="69" spans="1:6" x14ac:dyDescent="0.25">
      <c r="A69" t="s">
        <v>1464</v>
      </c>
      <c r="B69" s="5" t="s">
        <v>1265</v>
      </c>
      <c r="C69" t="s">
        <v>1265</v>
      </c>
      <c r="D69" t="b">
        <f t="shared" si="2"/>
        <v>0</v>
      </c>
    </row>
    <row r="70" spans="1:6" x14ac:dyDescent="0.25">
      <c r="A70" t="s">
        <v>1464</v>
      </c>
      <c r="B70" s="5" t="s">
        <v>1376</v>
      </c>
      <c r="C70" t="s">
        <v>1376</v>
      </c>
      <c r="D70" t="b">
        <f t="shared" si="2"/>
        <v>0</v>
      </c>
    </row>
    <row r="71" spans="1:6" x14ac:dyDescent="0.25">
      <c r="A71" t="s">
        <v>1464</v>
      </c>
      <c r="B71" s="5" t="s">
        <v>1453</v>
      </c>
      <c r="C71" t="s">
        <v>1453</v>
      </c>
      <c r="D71" t="b">
        <f t="shared" si="2"/>
        <v>0</v>
      </c>
    </row>
    <row r="72" spans="1:6" x14ac:dyDescent="0.25">
      <c r="A72" t="s">
        <v>1464</v>
      </c>
      <c r="B72" s="5" t="s">
        <v>1379</v>
      </c>
      <c r="C72" t="s">
        <v>1379</v>
      </c>
      <c r="D72" t="b">
        <f t="shared" si="2"/>
        <v>0</v>
      </c>
    </row>
    <row r="73" spans="1:6" x14ac:dyDescent="0.25">
      <c r="A73" t="s">
        <v>1350</v>
      </c>
      <c r="B73" s="5" t="s">
        <v>1358</v>
      </c>
      <c r="C73" t="s">
        <v>1358</v>
      </c>
      <c r="D73" t="b">
        <f t="shared" si="2"/>
        <v>0</v>
      </c>
    </row>
    <row r="74" spans="1:6" x14ac:dyDescent="0.25">
      <c r="A74" t="s">
        <v>1350</v>
      </c>
      <c r="B74" s="5" t="s">
        <v>1364</v>
      </c>
      <c r="C74" t="s">
        <v>1364</v>
      </c>
      <c r="D74" t="b">
        <f t="shared" si="2"/>
        <v>0</v>
      </c>
    </row>
    <row r="75" spans="1:6" x14ac:dyDescent="0.25">
      <c r="A75" t="s">
        <v>1350</v>
      </c>
      <c r="B75" s="5" t="s">
        <v>1367</v>
      </c>
      <c r="C75" t="s">
        <v>1367</v>
      </c>
      <c r="D75" t="b">
        <f t="shared" si="2"/>
        <v>0</v>
      </c>
      <c r="F75"/>
    </row>
    <row r="76" spans="1:6" x14ac:dyDescent="0.25">
      <c r="A76" t="s">
        <v>1350</v>
      </c>
      <c r="B76" s="5" t="s">
        <v>1377</v>
      </c>
      <c r="C76" t="s">
        <v>1377</v>
      </c>
      <c r="D76" t="b">
        <f t="shared" si="2"/>
        <v>0</v>
      </c>
    </row>
    <row r="77" spans="1:6" x14ac:dyDescent="0.25">
      <c r="A77" t="s">
        <v>1350</v>
      </c>
      <c r="B77" s="5" t="s">
        <v>1668</v>
      </c>
      <c r="C77" t="s">
        <v>1366</v>
      </c>
      <c r="D77" t="b">
        <f t="shared" si="2"/>
        <v>1</v>
      </c>
    </row>
    <row r="78" spans="1:6" x14ac:dyDescent="0.25">
      <c r="A78" t="s">
        <v>1350</v>
      </c>
      <c r="B78" s="5" t="s">
        <v>1356</v>
      </c>
      <c r="C78" t="s">
        <v>1356</v>
      </c>
      <c r="D78" t="b">
        <f t="shared" si="2"/>
        <v>0</v>
      </c>
    </row>
    <row r="79" spans="1:6" x14ac:dyDescent="0.25">
      <c r="A79" t="s">
        <v>1350</v>
      </c>
      <c r="B79" s="5" t="s">
        <v>1369</v>
      </c>
      <c r="C79" t="s">
        <v>1369</v>
      </c>
      <c r="D79" t="b">
        <f t="shared" si="2"/>
        <v>0</v>
      </c>
    </row>
    <row r="80" spans="1:6" x14ac:dyDescent="0.25">
      <c r="A80" t="s">
        <v>1350</v>
      </c>
      <c r="B80" s="5" t="s">
        <v>1617</v>
      </c>
      <c r="C80" t="s">
        <v>1906</v>
      </c>
      <c r="D80" t="b">
        <f t="shared" si="2"/>
        <v>1</v>
      </c>
    </row>
    <row r="81" spans="1:6" x14ac:dyDescent="0.25">
      <c r="A81" t="s">
        <v>160</v>
      </c>
      <c r="B81" s="5" t="s">
        <v>1907</v>
      </c>
      <c r="C81" t="s">
        <v>1907</v>
      </c>
      <c r="D81" t="b">
        <f t="shared" si="2"/>
        <v>0</v>
      </c>
    </row>
    <row r="82" spans="1:6" x14ac:dyDescent="0.25">
      <c r="A82" t="s">
        <v>160</v>
      </c>
      <c r="B82" s="5" t="s">
        <v>1363</v>
      </c>
      <c r="C82" t="s">
        <v>1363</v>
      </c>
      <c r="D82" t="b">
        <f t="shared" si="2"/>
        <v>0</v>
      </c>
    </row>
    <row r="83" spans="1:6" x14ac:dyDescent="0.25">
      <c r="A83" t="s">
        <v>160</v>
      </c>
      <c r="B83" s="5" t="s">
        <v>1666</v>
      </c>
      <c r="C83" t="s">
        <v>1383</v>
      </c>
      <c r="D83" t="b">
        <f t="shared" si="2"/>
        <v>1</v>
      </c>
      <c r="F83" s="5"/>
    </row>
    <row r="84" spans="1:6" x14ac:dyDescent="0.25">
      <c r="A84" t="s">
        <v>160</v>
      </c>
      <c r="B84" s="5" t="s">
        <v>2046</v>
      </c>
      <c r="C84" t="s">
        <v>2046</v>
      </c>
      <c r="D84" t="b">
        <f t="shared" si="2"/>
        <v>0</v>
      </c>
      <c r="E84" s="5"/>
      <c r="F84" s="5"/>
    </row>
    <row r="85" spans="1:6" x14ac:dyDescent="0.25">
      <c r="A85" t="s">
        <v>160</v>
      </c>
      <c r="B85" s="5" t="s">
        <v>1268</v>
      </c>
      <c r="C85" t="s">
        <v>1268</v>
      </c>
      <c r="D85" t="b">
        <f t="shared" si="2"/>
        <v>0</v>
      </c>
      <c r="F85" s="5"/>
    </row>
    <row r="86" spans="1:6" x14ac:dyDescent="0.25">
      <c r="A86" t="s">
        <v>160</v>
      </c>
      <c r="B86" s="5" t="s">
        <v>1277</v>
      </c>
      <c r="C86" t="s">
        <v>1277</v>
      </c>
      <c r="D86" t="b">
        <f t="shared" si="2"/>
        <v>0</v>
      </c>
      <c r="F86" s="5"/>
    </row>
    <row r="87" spans="1:6" x14ac:dyDescent="0.25">
      <c r="A87" t="s">
        <v>162</v>
      </c>
      <c r="B87" s="5" t="s">
        <v>369</v>
      </c>
      <c r="C87" t="s">
        <v>1952</v>
      </c>
      <c r="D87" t="b">
        <f t="shared" si="2"/>
        <v>1</v>
      </c>
    </row>
    <row r="88" spans="1:6" x14ac:dyDescent="0.25">
      <c r="A88" t="s">
        <v>162</v>
      </c>
      <c r="B88" s="5" t="s">
        <v>96</v>
      </c>
      <c r="C88" t="s">
        <v>1905</v>
      </c>
      <c r="D88" t="b">
        <f t="shared" si="2"/>
        <v>1</v>
      </c>
    </row>
    <row r="89" spans="1:6" x14ac:dyDescent="0.25">
      <c r="A89" t="s">
        <v>162</v>
      </c>
      <c r="B89" s="5" t="s">
        <v>1269</v>
      </c>
      <c r="C89" t="s">
        <v>1269</v>
      </c>
      <c r="D89" t="b">
        <f t="shared" si="2"/>
        <v>0</v>
      </c>
    </row>
    <row r="90" spans="1:6" x14ac:dyDescent="0.25">
      <c r="A90" t="s">
        <v>162</v>
      </c>
      <c r="B90" s="5" t="s">
        <v>1618</v>
      </c>
      <c r="C90" t="s">
        <v>1373</v>
      </c>
      <c r="D90" t="b">
        <f t="shared" si="2"/>
        <v>1</v>
      </c>
    </row>
    <row r="91" spans="1:6" x14ac:dyDescent="0.25">
      <c r="A91" t="s">
        <v>162</v>
      </c>
      <c r="B91" s="5" t="s">
        <v>1278</v>
      </c>
      <c r="C91" t="s">
        <v>1278</v>
      </c>
      <c r="D91" t="b">
        <f t="shared" si="2"/>
        <v>0</v>
      </c>
    </row>
    <row r="92" spans="1:6" x14ac:dyDescent="0.25">
      <c r="A92" t="s">
        <v>162</v>
      </c>
      <c r="B92" s="5" t="s">
        <v>1279</v>
      </c>
      <c r="C92" t="s">
        <v>1279</v>
      </c>
      <c r="D92" t="b">
        <f t="shared" si="2"/>
        <v>0</v>
      </c>
    </row>
    <row r="93" spans="1:6" x14ac:dyDescent="0.25">
      <c r="A93" t="s">
        <v>1351</v>
      </c>
      <c r="B93" s="5" t="s">
        <v>253</v>
      </c>
      <c r="C93" t="s">
        <v>1353</v>
      </c>
      <c r="D93" t="b">
        <f t="shared" si="2"/>
        <v>1</v>
      </c>
    </row>
    <row r="94" spans="1:6" x14ac:dyDescent="0.25">
      <c r="A94" t="s">
        <v>1351</v>
      </c>
      <c r="B94" s="5" t="s">
        <v>1357</v>
      </c>
      <c r="C94" t="s">
        <v>1357</v>
      </c>
      <c r="D94" t="b">
        <f t="shared" si="2"/>
        <v>0</v>
      </c>
    </row>
    <row r="95" spans="1:6" x14ac:dyDescent="0.25">
      <c r="A95" t="s">
        <v>1351</v>
      </c>
      <c r="B95" s="5" t="s">
        <v>1360</v>
      </c>
      <c r="C95" t="s">
        <v>1360</v>
      </c>
      <c r="D95" t="b">
        <f t="shared" si="2"/>
        <v>0</v>
      </c>
    </row>
    <row r="96" spans="1:6" x14ac:dyDescent="0.25">
      <c r="A96" t="s">
        <v>1351</v>
      </c>
      <c r="B96" s="5" t="s">
        <v>1372</v>
      </c>
      <c r="C96" t="s">
        <v>1372</v>
      </c>
      <c r="D96" t="b">
        <f t="shared" si="2"/>
        <v>0</v>
      </c>
    </row>
    <row r="97" spans="1:4" x14ac:dyDescent="0.25">
      <c r="A97" t="s">
        <v>1351</v>
      </c>
      <c r="B97" s="5" t="s">
        <v>1249</v>
      </c>
      <c r="C97" t="s">
        <v>1249</v>
      </c>
      <c r="D97" t="b">
        <f t="shared" si="2"/>
        <v>0</v>
      </c>
    </row>
    <row r="98" spans="1:4" x14ac:dyDescent="0.25">
      <c r="A98" t="s">
        <v>1351</v>
      </c>
      <c r="B98" s="5" t="s">
        <v>429</v>
      </c>
      <c r="C98" t="s">
        <v>429</v>
      </c>
      <c r="D98" t="b">
        <f t="shared" si="2"/>
        <v>0</v>
      </c>
    </row>
    <row r="99" spans="1:4" x14ac:dyDescent="0.25">
      <c r="A99" t="s">
        <v>1351</v>
      </c>
      <c r="B99" s="5" t="s">
        <v>1380</v>
      </c>
      <c r="C99" t="s">
        <v>1380</v>
      </c>
      <c r="D99" t="b">
        <f t="shared" si="2"/>
        <v>0</v>
      </c>
    </row>
    <row r="100" spans="1:4" x14ac:dyDescent="0.25">
      <c r="A100" t="s">
        <v>1351</v>
      </c>
      <c r="B100" s="5" t="s">
        <v>1374</v>
      </c>
      <c r="C100" t="s">
        <v>1374</v>
      </c>
      <c r="D100" t="b">
        <f t="shared" si="2"/>
        <v>0</v>
      </c>
    </row>
    <row r="101" spans="1:4" x14ac:dyDescent="0.25">
      <c r="A101" t="s">
        <v>1351</v>
      </c>
      <c r="B101" s="5" t="s">
        <v>1465</v>
      </c>
      <c r="C101" t="s">
        <v>1465</v>
      </c>
      <c r="D101" t="b">
        <f t="shared" si="2"/>
        <v>0</v>
      </c>
    </row>
    <row r="102" spans="1:4" x14ac:dyDescent="0.25">
      <c r="A102" t="s">
        <v>1351</v>
      </c>
      <c r="B102" s="5" t="s">
        <v>692</v>
      </c>
      <c r="C102" t="s">
        <v>692</v>
      </c>
      <c r="D102" t="str">
        <f>IF(B102=C102, "Sim", "Não")</f>
        <v>Sim</v>
      </c>
    </row>
  </sheetData>
  <mergeCells count="1">
    <mergeCell ref="A1:G1"/>
  </mergeCells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notContainsText" priority="1" operator="notContains" id="{209E2EEE-6868-40FC-9021-33FF28E4A881}">
            <xm:f>ISERROR(SEARCH(C3,B3))</xm:f>
            <xm:f>C3</xm:f>
            <x14:dxf>
              <fill>
                <patternFill>
                  <bgColor theme="5" tint="0.39994506668294322"/>
                </patternFill>
              </fill>
            </x14:dxf>
          </x14:cfRule>
          <xm:sqref>B3:B102</xm:sqref>
        </x14:conditionalFormatting>
      </x14:conditionalFormatting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87245-12E0-4FC7-9E2A-950CF34AEAEB}">
  <sheetPr codeName="Planilha19"/>
  <dimension ref="A1:G102"/>
  <sheetViews>
    <sheetView topLeftCell="A83" workbookViewId="0">
      <selection activeCell="C102" sqref="C102"/>
    </sheetView>
  </sheetViews>
  <sheetFormatPr defaultRowHeight="15" x14ac:dyDescent="0.25"/>
  <cols>
    <col min="1" max="1" width="11.85546875" style="5" customWidth="1"/>
    <col min="2" max="3" width="38.7109375" customWidth="1"/>
    <col min="4" max="4" width="12.42578125" hidden="1" customWidth="1"/>
    <col min="5" max="5" width="4.28515625" customWidth="1"/>
    <col min="6" max="6" width="22.7109375" style="3" customWidth="1"/>
    <col min="7" max="7" width="9.140625" bestFit="1" customWidth="1"/>
  </cols>
  <sheetData>
    <row r="1" spans="1:7" ht="21" x14ac:dyDescent="0.25">
      <c r="A1" s="12" t="s">
        <v>742</v>
      </c>
      <c r="B1" s="12"/>
      <c r="C1" s="12"/>
      <c r="D1" s="12"/>
      <c r="E1" s="12"/>
      <c r="F1" s="12"/>
      <c r="G1" s="12"/>
    </row>
    <row r="2" spans="1:7" x14ac:dyDescent="0.25">
      <c r="A2" s="4" t="s">
        <v>11</v>
      </c>
      <c r="B2" s="4" t="s">
        <v>12</v>
      </c>
      <c r="C2" s="4" t="s">
        <v>13</v>
      </c>
      <c r="D2" s="4" t="s">
        <v>14</v>
      </c>
      <c r="F2" s="4" t="s">
        <v>16</v>
      </c>
      <c r="G2" s="3">
        <f>COUNTIF(D:D,"Verdadeiro")</f>
        <v>5</v>
      </c>
    </row>
    <row r="3" spans="1:7" x14ac:dyDescent="0.25">
      <c r="A3" s="9" t="s">
        <v>1539</v>
      </c>
      <c r="B3" s="5" t="s">
        <v>742</v>
      </c>
      <c r="C3" s="5" t="s">
        <v>742</v>
      </c>
      <c r="D3" t="b">
        <f>B3&lt;&gt;C3</f>
        <v>0</v>
      </c>
      <c r="F3" s="4" t="s">
        <v>17</v>
      </c>
      <c r="G3" s="10">
        <f>SUM(G5:G29)</f>
        <v>100</v>
      </c>
    </row>
    <row r="4" spans="1:7" x14ac:dyDescent="0.25">
      <c r="A4" t="s">
        <v>15</v>
      </c>
      <c r="B4" s="5" t="s">
        <v>1637</v>
      </c>
      <c r="C4" s="5" t="s">
        <v>1637</v>
      </c>
      <c r="D4" t="b">
        <f t="shared" ref="D4:D67" si="0">B4&lt;&gt;C4</f>
        <v>0</v>
      </c>
    </row>
    <row r="5" spans="1:7" x14ac:dyDescent="0.25">
      <c r="A5" t="s">
        <v>15</v>
      </c>
      <c r="B5" s="5" t="s">
        <v>34</v>
      </c>
      <c r="C5" s="5" t="s">
        <v>34</v>
      </c>
      <c r="D5" t="b">
        <f t="shared" si="0"/>
        <v>0</v>
      </c>
      <c r="F5" s="6" t="s">
        <v>19</v>
      </c>
      <c r="G5" s="1"/>
    </row>
    <row r="6" spans="1:7" x14ac:dyDescent="0.25">
      <c r="A6" t="s">
        <v>15</v>
      </c>
      <c r="B6" s="5" t="s">
        <v>159</v>
      </c>
      <c r="C6" s="5" t="s">
        <v>159</v>
      </c>
      <c r="D6" t="b">
        <f t="shared" si="0"/>
        <v>0</v>
      </c>
      <c r="F6" s="7" t="s">
        <v>1539</v>
      </c>
      <c r="G6" s="2">
        <f t="shared" ref="G6:G15" si="1">COUNTIF(A:A,F6)</f>
        <v>1</v>
      </c>
    </row>
    <row r="7" spans="1:7" x14ac:dyDescent="0.25">
      <c r="A7" t="s">
        <v>15</v>
      </c>
      <c r="B7" s="5" t="s">
        <v>743</v>
      </c>
      <c r="C7" s="5" t="s">
        <v>743</v>
      </c>
      <c r="D7" t="b">
        <f t="shared" si="0"/>
        <v>0</v>
      </c>
      <c r="F7" s="3" t="s">
        <v>15</v>
      </c>
      <c r="G7" s="2">
        <f t="shared" si="1"/>
        <v>32</v>
      </c>
    </row>
    <row r="8" spans="1:7" x14ac:dyDescent="0.25">
      <c r="A8" t="s">
        <v>15</v>
      </c>
      <c r="B8" s="5" t="s">
        <v>20</v>
      </c>
      <c r="C8" s="5" t="s">
        <v>20</v>
      </c>
      <c r="D8" t="b">
        <f t="shared" si="0"/>
        <v>0</v>
      </c>
      <c r="F8" s="7" t="s">
        <v>745</v>
      </c>
      <c r="G8" s="2">
        <f t="shared" si="1"/>
        <v>13</v>
      </c>
    </row>
    <row r="9" spans="1:7" x14ac:dyDescent="0.25">
      <c r="A9" t="s">
        <v>15</v>
      </c>
      <c r="B9" s="5" t="s">
        <v>24</v>
      </c>
      <c r="C9" s="5" t="s">
        <v>744</v>
      </c>
      <c r="D9" t="b">
        <f t="shared" si="0"/>
        <v>1</v>
      </c>
      <c r="F9" s="7" t="s">
        <v>27</v>
      </c>
      <c r="G9" s="2">
        <f t="shared" si="1"/>
        <v>7</v>
      </c>
    </row>
    <row r="10" spans="1:7" x14ac:dyDescent="0.25">
      <c r="A10" t="s">
        <v>15</v>
      </c>
      <c r="B10" s="5" t="s">
        <v>24</v>
      </c>
      <c r="C10" s="5" t="s">
        <v>1324</v>
      </c>
      <c r="D10" t="b">
        <f t="shared" si="0"/>
        <v>1</v>
      </c>
      <c r="F10" s="7" t="s">
        <v>41</v>
      </c>
      <c r="G10" s="2">
        <f t="shared" si="1"/>
        <v>3</v>
      </c>
    </row>
    <row r="11" spans="1:7" x14ac:dyDescent="0.25">
      <c r="A11" t="s">
        <v>15</v>
      </c>
      <c r="B11" s="5" t="s">
        <v>24</v>
      </c>
      <c r="C11" s="5" t="s">
        <v>1937</v>
      </c>
      <c r="D11" t="b">
        <f t="shared" si="0"/>
        <v>1</v>
      </c>
      <c r="F11" s="7" t="s">
        <v>23</v>
      </c>
      <c r="G11" s="2">
        <f t="shared" si="1"/>
        <v>21</v>
      </c>
    </row>
    <row r="12" spans="1:7" x14ac:dyDescent="0.25">
      <c r="A12" t="s">
        <v>15</v>
      </c>
      <c r="B12" s="5" t="s">
        <v>24</v>
      </c>
      <c r="C12" s="5" t="s">
        <v>24</v>
      </c>
      <c r="D12" t="b">
        <f t="shared" si="0"/>
        <v>0</v>
      </c>
      <c r="F12" s="7" t="s">
        <v>746</v>
      </c>
      <c r="G12" s="2">
        <f t="shared" si="1"/>
        <v>5</v>
      </c>
    </row>
    <row r="13" spans="1:7" x14ac:dyDescent="0.25">
      <c r="A13" t="s">
        <v>15</v>
      </c>
      <c r="B13" s="5" t="s">
        <v>24</v>
      </c>
      <c r="C13" s="5" t="s">
        <v>24</v>
      </c>
      <c r="D13" t="b">
        <f t="shared" si="0"/>
        <v>0</v>
      </c>
      <c r="F13" s="7" t="s">
        <v>22</v>
      </c>
      <c r="G13" s="2">
        <f t="shared" si="1"/>
        <v>10</v>
      </c>
    </row>
    <row r="14" spans="1:7" x14ac:dyDescent="0.25">
      <c r="A14" t="s">
        <v>15</v>
      </c>
      <c r="B14" s="5" t="s">
        <v>24</v>
      </c>
      <c r="C14" s="5" t="s">
        <v>24</v>
      </c>
      <c r="D14" t="b">
        <f t="shared" si="0"/>
        <v>0</v>
      </c>
      <c r="F14" s="7" t="s">
        <v>21</v>
      </c>
      <c r="G14" s="2">
        <f t="shared" si="1"/>
        <v>2</v>
      </c>
    </row>
    <row r="15" spans="1:7" x14ac:dyDescent="0.25">
      <c r="A15" t="s">
        <v>15</v>
      </c>
      <c r="B15" s="5" t="s">
        <v>24</v>
      </c>
      <c r="C15" s="5" t="s">
        <v>24</v>
      </c>
      <c r="D15" t="b">
        <f t="shared" si="0"/>
        <v>0</v>
      </c>
      <c r="F15" s="3" t="s">
        <v>1</v>
      </c>
      <c r="G15" s="2">
        <f t="shared" si="1"/>
        <v>6</v>
      </c>
    </row>
    <row r="16" spans="1:7" x14ac:dyDescent="0.25">
      <c r="A16" t="s">
        <v>15</v>
      </c>
      <c r="B16" s="5" t="s">
        <v>24</v>
      </c>
      <c r="C16" s="5" t="s">
        <v>24</v>
      </c>
      <c r="D16" t="b">
        <f t="shared" si="0"/>
        <v>0</v>
      </c>
    </row>
    <row r="17" spans="1:7" x14ac:dyDescent="0.25">
      <c r="A17" t="s">
        <v>15</v>
      </c>
      <c r="B17" s="5" t="s">
        <v>24</v>
      </c>
      <c r="C17" s="5" t="s">
        <v>24</v>
      </c>
      <c r="D17" t="b">
        <f t="shared" si="0"/>
        <v>0</v>
      </c>
      <c r="F17" s="1"/>
      <c r="G17" s="2"/>
    </row>
    <row r="18" spans="1:7" x14ac:dyDescent="0.25">
      <c r="A18" t="s">
        <v>15</v>
      </c>
      <c r="B18" s="5" t="s">
        <v>24</v>
      </c>
      <c r="C18" s="5" t="s">
        <v>24</v>
      </c>
      <c r="D18" t="b">
        <f t="shared" si="0"/>
        <v>0</v>
      </c>
      <c r="F18" s="4"/>
      <c r="G18" s="2"/>
    </row>
    <row r="19" spans="1:7" x14ac:dyDescent="0.25">
      <c r="A19" t="s">
        <v>15</v>
      </c>
      <c r="B19" s="5" t="s">
        <v>24</v>
      </c>
      <c r="C19" s="5" t="s">
        <v>24</v>
      </c>
      <c r="D19" t="b">
        <f t="shared" si="0"/>
        <v>0</v>
      </c>
    </row>
    <row r="20" spans="1:7" x14ac:dyDescent="0.25">
      <c r="A20" t="s">
        <v>15</v>
      </c>
      <c r="B20" s="5" t="s">
        <v>24</v>
      </c>
      <c r="C20" s="5" t="s">
        <v>24</v>
      </c>
      <c r="D20" t="b">
        <f t="shared" si="0"/>
        <v>0</v>
      </c>
    </row>
    <row r="21" spans="1:7" x14ac:dyDescent="0.25">
      <c r="A21" t="s">
        <v>15</v>
      </c>
      <c r="B21" s="5" t="s">
        <v>24</v>
      </c>
      <c r="C21" s="5" t="s">
        <v>24</v>
      </c>
      <c r="D21" t="b">
        <f t="shared" si="0"/>
        <v>0</v>
      </c>
    </row>
    <row r="22" spans="1:7" x14ac:dyDescent="0.25">
      <c r="A22" t="s">
        <v>15</v>
      </c>
      <c r="B22" s="5" t="s">
        <v>24</v>
      </c>
      <c r="C22" s="5" t="s">
        <v>24</v>
      </c>
      <c r="D22" t="b">
        <f t="shared" si="0"/>
        <v>0</v>
      </c>
    </row>
    <row r="23" spans="1:7" x14ac:dyDescent="0.25">
      <c r="A23" t="s">
        <v>15</v>
      </c>
      <c r="B23" s="5" t="s">
        <v>24</v>
      </c>
      <c r="C23" s="5" t="s">
        <v>24</v>
      </c>
      <c r="D23" t="b">
        <f t="shared" si="0"/>
        <v>0</v>
      </c>
    </row>
    <row r="24" spans="1:7" x14ac:dyDescent="0.25">
      <c r="A24" t="s">
        <v>15</v>
      </c>
      <c r="B24" s="5" t="s">
        <v>25</v>
      </c>
      <c r="C24" s="5" t="s">
        <v>25</v>
      </c>
      <c r="D24" t="b">
        <f t="shared" si="0"/>
        <v>0</v>
      </c>
    </row>
    <row r="25" spans="1:7" x14ac:dyDescent="0.25">
      <c r="A25" t="s">
        <v>15</v>
      </c>
      <c r="B25" s="5" t="s">
        <v>25</v>
      </c>
      <c r="C25" s="5" t="s">
        <v>25</v>
      </c>
      <c r="D25" t="b">
        <f t="shared" si="0"/>
        <v>0</v>
      </c>
    </row>
    <row r="26" spans="1:7" x14ac:dyDescent="0.25">
      <c r="A26" t="s">
        <v>15</v>
      </c>
      <c r="B26" s="5" t="s">
        <v>25</v>
      </c>
      <c r="C26" s="5" t="s">
        <v>25</v>
      </c>
      <c r="D26" t="b">
        <f t="shared" si="0"/>
        <v>0</v>
      </c>
    </row>
    <row r="27" spans="1:7" x14ac:dyDescent="0.25">
      <c r="A27" t="s">
        <v>15</v>
      </c>
      <c r="B27" s="5" t="s">
        <v>25</v>
      </c>
      <c r="C27" s="5" t="s">
        <v>25</v>
      </c>
      <c r="D27" t="b">
        <f t="shared" si="0"/>
        <v>0</v>
      </c>
    </row>
    <row r="28" spans="1:7" x14ac:dyDescent="0.25">
      <c r="A28" t="s">
        <v>15</v>
      </c>
      <c r="B28" s="5" t="s">
        <v>25</v>
      </c>
      <c r="C28" s="5" t="s">
        <v>25</v>
      </c>
      <c r="D28" t="b">
        <f t="shared" si="0"/>
        <v>0</v>
      </c>
    </row>
    <row r="29" spans="1:7" x14ac:dyDescent="0.25">
      <c r="A29" t="s">
        <v>15</v>
      </c>
      <c r="B29" s="5" t="s">
        <v>25</v>
      </c>
      <c r="C29" s="5" t="s">
        <v>25</v>
      </c>
      <c r="D29" t="b">
        <f t="shared" si="0"/>
        <v>0</v>
      </c>
    </row>
    <row r="30" spans="1:7" x14ac:dyDescent="0.25">
      <c r="A30" t="s">
        <v>15</v>
      </c>
      <c r="B30" s="5" t="s">
        <v>25</v>
      </c>
      <c r="C30" s="5" t="s">
        <v>25</v>
      </c>
      <c r="D30" t="b">
        <f t="shared" si="0"/>
        <v>0</v>
      </c>
    </row>
    <row r="31" spans="1:7" x14ac:dyDescent="0.25">
      <c r="A31" t="s">
        <v>15</v>
      </c>
      <c r="B31" s="5" t="s">
        <v>25</v>
      </c>
      <c r="C31" s="5" t="s">
        <v>25</v>
      </c>
      <c r="D31" t="b">
        <f t="shared" si="0"/>
        <v>0</v>
      </c>
    </row>
    <row r="32" spans="1:7" x14ac:dyDescent="0.25">
      <c r="A32" t="s">
        <v>15</v>
      </c>
      <c r="B32" s="5" t="s">
        <v>25</v>
      </c>
      <c r="C32" s="5" t="s">
        <v>25</v>
      </c>
      <c r="D32" t="b">
        <f t="shared" si="0"/>
        <v>0</v>
      </c>
    </row>
    <row r="33" spans="1:4" x14ac:dyDescent="0.25">
      <c r="A33" t="s">
        <v>15</v>
      </c>
      <c r="B33" s="5" t="s">
        <v>25</v>
      </c>
      <c r="C33" s="5" t="s">
        <v>25</v>
      </c>
      <c r="D33" t="b">
        <f t="shared" si="0"/>
        <v>0</v>
      </c>
    </row>
    <row r="34" spans="1:4" x14ac:dyDescent="0.25">
      <c r="A34" t="s">
        <v>15</v>
      </c>
      <c r="B34" s="5" t="s">
        <v>25</v>
      </c>
      <c r="C34" s="5" t="s">
        <v>25</v>
      </c>
      <c r="D34" t="b">
        <f t="shared" si="0"/>
        <v>0</v>
      </c>
    </row>
    <row r="35" spans="1:4" x14ac:dyDescent="0.25">
      <c r="A35" t="s">
        <v>15</v>
      </c>
      <c r="B35" s="5" t="s">
        <v>25</v>
      </c>
      <c r="C35" s="5" t="s">
        <v>25</v>
      </c>
      <c r="D35" t="b">
        <f t="shared" si="0"/>
        <v>0</v>
      </c>
    </row>
    <row r="36" spans="1:4" x14ac:dyDescent="0.25">
      <c r="A36" t="s">
        <v>745</v>
      </c>
      <c r="B36" s="5" t="s">
        <v>747</v>
      </c>
      <c r="C36" s="5" t="s">
        <v>747</v>
      </c>
      <c r="D36" t="b">
        <f t="shared" si="0"/>
        <v>0</v>
      </c>
    </row>
    <row r="37" spans="1:4" x14ac:dyDescent="0.25">
      <c r="A37" t="s">
        <v>745</v>
      </c>
      <c r="B37" s="5" t="s">
        <v>748</v>
      </c>
      <c r="C37" s="5" t="s">
        <v>1639</v>
      </c>
      <c r="D37" t="b">
        <f t="shared" si="0"/>
        <v>1</v>
      </c>
    </row>
    <row r="38" spans="1:4" x14ac:dyDescent="0.25">
      <c r="A38" t="s">
        <v>745</v>
      </c>
      <c r="B38" s="5" t="s">
        <v>749</v>
      </c>
      <c r="C38" s="5" t="s">
        <v>749</v>
      </c>
      <c r="D38" t="b">
        <f t="shared" si="0"/>
        <v>0</v>
      </c>
    </row>
    <row r="39" spans="1:4" x14ac:dyDescent="0.25">
      <c r="A39" t="s">
        <v>745</v>
      </c>
      <c r="B39" s="5" t="s">
        <v>750</v>
      </c>
      <c r="C39" s="5" t="s">
        <v>750</v>
      </c>
      <c r="D39" t="b">
        <f t="shared" si="0"/>
        <v>0</v>
      </c>
    </row>
    <row r="40" spans="1:4" x14ac:dyDescent="0.25">
      <c r="A40" t="s">
        <v>745</v>
      </c>
      <c r="B40" s="5" t="s">
        <v>364</v>
      </c>
      <c r="C40" s="5" t="s">
        <v>364</v>
      </c>
      <c r="D40" t="b">
        <f t="shared" si="0"/>
        <v>0</v>
      </c>
    </row>
    <row r="41" spans="1:4" x14ac:dyDescent="0.25">
      <c r="A41" t="s">
        <v>745</v>
      </c>
      <c r="B41" s="5" t="s">
        <v>751</v>
      </c>
      <c r="C41" s="5" t="s">
        <v>751</v>
      </c>
      <c r="D41" t="b">
        <f t="shared" si="0"/>
        <v>0</v>
      </c>
    </row>
    <row r="42" spans="1:4" x14ac:dyDescent="0.25">
      <c r="A42" t="s">
        <v>745</v>
      </c>
      <c r="B42" s="5" t="s">
        <v>1419</v>
      </c>
      <c r="C42" s="5" t="s">
        <v>1640</v>
      </c>
      <c r="D42" t="b">
        <f t="shared" si="0"/>
        <v>1</v>
      </c>
    </row>
    <row r="43" spans="1:4" x14ac:dyDescent="0.25">
      <c r="A43" t="s">
        <v>745</v>
      </c>
      <c r="B43" s="5" t="s">
        <v>1641</v>
      </c>
      <c r="C43" s="5" t="s">
        <v>1641</v>
      </c>
      <c r="D43" t="b">
        <f t="shared" si="0"/>
        <v>0</v>
      </c>
    </row>
    <row r="44" spans="1:4" x14ac:dyDescent="0.25">
      <c r="A44" t="s">
        <v>745</v>
      </c>
      <c r="B44" s="5" t="s">
        <v>752</v>
      </c>
      <c r="C44" s="5" t="s">
        <v>752</v>
      </c>
      <c r="D44" t="b">
        <f t="shared" si="0"/>
        <v>0</v>
      </c>
    </row>
    <row r="45" spans="1:4" x14ac:dyDescent="0.25">
      <c r="A45" t="s">
        <v>745</v>
      </c>
      <c r="B45" s="5" t="s">
        <v>753</v>
      </c>
      <c r="C45" s="5" t="s">
        <v>753</v>
      </c>
      <c r="D45" t="b">
        <f t="shared" si="0"/>
        <v>0</v>
      </c>
    </row>
    <row r="46" spans="1:4" x14ac:dyDescent="0.25">
      <c r="A46" t="s">
        <v>745</v>
      </c>
      <c r="B46" s="5" t="s">
        <v>754</v>
      </c>
      <c r="C46" s="5" t="s">
        <v>754</v>
      </c>
      <c r="D46" t="b">
        <f t="shared" si="0"/>
        <v>0</v>
      </c>
    </row>
    <row r="47" spans="1:4" x14ac:dyDescent="0.25">
      <c r="A47" t="s">
        <v>745</v>
      </c>
      <c r="B47" s="5" t="s">
        <v>755</v>
      </c>
      <c r="C47" s="5" t="s">
        <v>755</v>
      </c>
      <c r="D47" t="b">
        <f t="shared" si="0"/>
        <v>0</v>
      </c>
    </row>
    <row r="48" spans="1:4" x14ac:dyDescent="0.25">
      <c r="A48" t="s">
        <v>745</v>
      </c>
      <c r="B48" s="5" t="s">
        <v>756</v>
      </c>
      <c r="C48" s="5" t="s">
        <v>756</v>
      </c>
      <c r="D48" t="b">
        <f t="shared" si="0"/>
        <v>0</v>
      </c>
    </row>
    <row r="49" spans="1:4" x14ac:dyDescent="0.25">
      <c r="A49" t="s">
        <v>41</v>
      </c>
      <c r="B49" s="5" t="s">
        <v>757</v>
      </c>
      <c r="C49" s="5" t="s">
        <v>757</v>
      </c>
      <c r="D49" t="b">
        <f t="shared" si="0"/>
        <v>0</v>
      </c>
    </row>
    <row r="50" spans="1:4" x14ac:dyDescent="0.25">
      <c r="A50" t="s">
        <v>41</v>
      </c>
      <c r="B50" s="5" t="s">
        <v>758</v>
      </c>
      <c r="C50" s="5" t="s">
        <v>758</v>
      </c>
      <c r="D50" t="b">
        <f t="shared" si="0"/>
        <v>0</v>
      </c>
    </row>
    <row r="51" spans="1:4" x14ac:dyDescent="0.25">
      <c r="A51" t="s">
        <v>41</v>
      </c>
      <c r="B51" s="5" t="s">
        <v>759</v>
      </c>
      <c r="C51" s="5" t="s">
        <v>759</v>
      </c>
      <c r="D51" t="b">
        <f t="shared" si="0"/>
        <v>0</v>
      </c>
    </row>
    <row r="52" spans="1:4" x14ac:dyDescent="0.25">
      <c r="A52" t="s">
        <v>746</v>
      </c>
      <c r="B52" s="5" t="s">
        <v>760</v>
      </c>
      <c r="C52" s="5" t="s">
        <v>760</v>
      </c>
      <c r="D52" t="b">
        <f t="shared" si="0"/>
        <v>0</v>
      </c>
    </row>
    <row r="53" spans="1:4" x14ac:dyDescent="0.25">
      <c r="A53" t="s">
        <v>746</v>
      </c>
      <c r="B53" s="5" t="s">
        <v>761</v>
      </c>
      <c r="C53" s="5" t="s">
        <v>761</v>
      </c>
      <c r="D53" t="b">
        <f t="shared" si="0"/>
        <v>0</v>
      </c>
    </row>
    <row r="54" spans="1:4" x14ac:dyDescent="0.25">
      <c r="A54" t="s">
        <v>746</v>
      </c>
      <c r="B54" s="5" t="s">
        <v>762</v>
      </c>
      <c r="C54" s="5" t="s">
        <v>762</v>
      </c>
      <c r="D54" t="b">
        <f t="shared" si="0"/>
        <v>0</v>
      </c>
    </row>
    <row r="55" spans="1:4" x14ac:dyDescent="0.25">
      <c r="A55" t="s">
        <v>746</v>
      </c>
      <c r="B55" s="5" t="s">
        <v>763</v>
      </c>
      <c r="C55" s="5" t="s">
        <v>763</v>
      </c>
      <c r="D55" t="b">
        <f t="shared" si="0"/>
        <v>0</v>
      </c>
    </row>
    <row r="56" spans="1:4" x14ac:dyDescent="0.25">
      <c r="A56" t="s">
        <v>746</v>
      </c>
      <c r="B56" s="5" t="s">
        <v>764</v>
      </c>
      <c r="C56" s="5" t="s">
        <v>764</v>
      </c>
      <c r="D56" t="b">
        <f t="shared" si="0"/>
        <v>0</v>
      </c>
    </row>
    <row r="57" spans="1:4" x14ac:dyDescent="0.25">
      <c r="A57" t="s">
        <v>27</v>
      </c>
      <c r="B57" s="5" t="s">
        <v>765</v>
      </c>
      <c r="C57" s="5" t="s">
        <v>765</v>
      </c>
      <c r="D57" t="b">
        <f t="shared" si="0"/>
        <v>0</v>
      </c>
    </row>
    <row r="58" spans="1:4" x14ac:dyDescent="0.25">
      <c r="A58" t="s">
        <v>27</v>
      </c>
      <c r="B58" s="5" t="s">
        <v>766</v>
      </c>
      <c r="C58" s="5" t="s">
        <v>766</v>
      </c>
      <c r="D58" t="b">
        <f t="shared" si="0"/>
        <v>0</v>
      </c>
    </row>
    <row r="59" spans="1:4" x14ac:dyDescent="0.25">
      <c r="A59" t="s">
        <v>27</v>
      </c>
      <c r="B59" s="5" t="s">
        <v>767</v>
      </c>
      <c r="C59" s="5" t="s">
        <v>767</v>
      </c>
      <c r="D59" t="b">
        <f t="shared" si="0"/>
        <v>0</v>
      </c>
    </row>
    <row r="60" spans="1:4" x14ac:dyDescent="0.25">
      <c r="A60" t="s">
        <v>27</v>
      </c>
      <c r="B60" s="5" t="s">
        <v>768</v>
      </c>
      <c r="C60" s="5" t="s">
        <v>768</v>
      </c>
      <c r="D60" t="b">
        <f t="shared" si="0"/>
        <v>0</v>
      </c>
    </row>
    <row r="61" spans="1:4" x14ac:dyDescent="0.25">
      <c r="A61" t="s">
        <v>27</v>
      </c>
      <c r="B61" s="5" t="s">
        <v>769</v>
      </c>
      <c r="C61" s="5" t="s">
        <v>769</v>
      </c>
      <c r="D61" t="b">
        <f t="shared" si="0"/>
        <v>0</v>
      </c>
    </row>
    <row r="62" spans="1:4" x14ac:dyDescent="0.25">
      <c r="A62" t="s">
        <v>27</v>
      </c>
      <c r="B62" s="5" t="s">
        <v>770</v>
      </c>
      <c r="C62" s="5" t="s">
        <v>770</v>
      </c>
      <c r="D62" t="b">
        <f t="shared" si="0"/>
        <v>0</v>
      </c>
    </row>
    <row r="63" spans="1:4" x14ac:dyDescent="0.25">
      <c r="A63" t="s">
        <v>27</v>
      </c>
      <c r="B63" s="5" t="s">
        <v>1455</v>
      </c>
      <c r="C63" s="5" t="s">
        <v>1455</v>
      </c>
      <c r="D63" t="b">
        <f t="shared" si="0"/>
        <v>0</v>
      </c>
    </row>
    <row r="64" spans="1:4" x14ac:dyDescent="0.25">
      <c r="A64" t="s">
        <v>21</v>
      </c>
      <c r="B64" s="5" t="s">
        <v>173</v>
      </c>
      <c r="C64" s="5" t="s">
        <v>173</v>
      </c>
      <c r="D64" t="b">
        <f t="shared" si="0"/>
        <v>0</v>
      </c>
    </row>
    <row r="65" spans="1:4" x14ac:dyDescent="0.25">
      <c r="A65" t="s">
        <v>21</v>
      </c>
      <c r="B65" s="5" t="s">
        <v>771</v>
      </c>
      <c r="C65" s="5" t="s">
        <v>771</v>
      </c>
      <c r="D65" t="b">
        <f t="shared" si="0"/>
        <v>0</v>
      </c>
    </row>
    <row r="66" spans="1:4" x14ac:dyDescent="0.25">
      <c r="A66" t="s">
        <v>1</v>
      </c>
      <c r="B66" s="5" t="s">
        <v>772</v>
      </c>
      <c r="C66" s="5" t="s">
        <v>772</v>
      </c>
      <c r="D66" t="b">
        <f t="shared" si="0"/>
        <v>0</v>
      </c>
    </row>
    <row r="67" spans="1:4" x14ac:dyDescent="0.25">
      <c r="A67" t="s">
        <v>1</v>
      </c>
      <c r="B67" s="5" t="s">
        <v>1642</v>
      </c>
      <c r="C67" s="5" t="s">
        <v>1642</v>
      </c>
      <c r="D67" t="b">
        <f t="shared" si="0"/>
        <v>0</v>
      </c>
    </row>
    <row r="68" spans="1:4" x14ac:dyDescent="0.25">
      <c r="A68" t="s">
        <v>1</v>
      </c>
      <c r="B68" s="5" t="s">
        <v>1638</v>
      </c>
      <c r="C68" s="5" t="s">
        <v>1638</v>
      </c>
      <c r="D68" t="b">
        <f t="shared" ref="D68:D101" si="2">B68&lt;&gt;C68</f>
        <v>0</v>
      </c>
    </row>
    <row r="69" spans="1:4" x14ac:dyDescent="0.25">
      <c r="A69" t="s">
        <v>1</v>
      </c>
      <c r="B69" s="5" t="s">
        <v>773</v>
      </c>
      <c r="C69" s="5" t="s">
        <v>773</v>
      </c>
      <c r="D69" t="b">
        <f t="shared" si="2"/>
        <v>0</v>
      </c>
    </row>
    <row r="70" spans="1:4" x14ac:dyDescent="0.25">
      <c r="A70" t="s">
        <v>1</v>
      </c>
      <c r="B70" s="5" t="s">
        <v>774</v>
      </c>
      <c r="C70" s="5" t="s">
        <v>774</v>
      </c>
      <c r="D70" t="b">
        <f t="shared" si="2"/>
        <v>0</v>
      </c>
    </row>
    <row r="71" spans="1:4" x14ac:dyDescent="0.25">
      <c r="A71" t="s">
        <v>1</v>
      </c>
      <c r="B71" s="5" t="s">
        <v>775</v>
      </c>
      <c r="C71" s="5" t="s">
        <v>775</v>
      </c>
      <c r="D71" t="b">
        <f t="shared" si="2"/>
        <v>0</v>
      </c>
    </row>
    <row r="72" spans="1:4" x14ac:dyDescent="0.25">
      <c r="A72" t="s">
        <v>23</v>
      </c>
      <c r="B72" s="5" t="s">
        <v>650</v>
      </c>
      <c r="C72" s="5" t="s">
        <v>650</v>
      </c>
      <c r="D72" t="b">
        <f t="shared" si="2"/>
        <v>0</v>
      </c>
    </row>
    <row r="73" spans="1:4" x14ac:dyDescent="0.25">
      <c r="A73" t="s">
        <v>23</v>
      </c>
      <c r="B73" s="5" t="s">
        <v>314</v>
      </c>
      <c r="C73" s="5" t="s">
        <v>314</v>
      </c>
      <c r="D73" t="b">
        <f t="shared" si="2"/>
        <v>0</v>
      </c>
    </row>
    <row r="74" spans="1:4" x14ac:dyDescent="0.25">
      <c r="A74" t="s">
        <v>23</v>
      </c>
      <c r="B74" s="5" t="s">
        <v>640</v>
      </c>
      <c r="C74" s="5" t="s">
        <v>640</v>
      </c>
      <c r="D74" t="b">
        <f t="shared" si="2"/>
        <v>0</v>
      </c>
    </row>
    <row r="75" spans="1:4" x14ac:dyDescent="0.25">
      <c r="A75" t="s">
        <v>23</v>
      </c>
      <c r="B75" s="5" t="s">
        <v>2091</v>
      </c>
      <c r="C75" s="5" t="s">
        <v>2091</v>
      </c>
      <c r="D75" t="b">
        <f t="shared" si="2"/>
        <v>0</v>
      </c>
    </row>
    <row r="76" spans="1:4" x14ac:dyDescent="0.25">
      <c r="A76" t="s">
        <v>23</v>
      </c>
      <c r="B76" s="5" t="s">
        <v>2090</v>
      </c>
      <c r="C76" s="5" t="s">
        <v>2090</v>
      </c>
      <c r="D76" t="b">
        <f t="shared" si="2"/>
        <v>0</v>
      </c>
    </row>
    <row r="77" spans="1:4" x14ac:dyDescent="0.25">
      <c r="A77" t="s">
        <v>23</v>
      </c>
      <c r="B77" s="5" t="s">
        <v>592</v>
      </c>
      <c r="C77" s="5" t="s">
        <v>592</v>
      </c>
      <c r="D77" t="b">
        <f t="shared" si="2"/>
        <v>0</v>
      </c>
    </row>
    <row r="78" spans="1:4" x14ac:dyDescent="0.25">
      <c r="A78" t="s">
        <v>23</v>
      </c>
      <c r="B78" s="5" t="s">
        <v>653</v>
      </c>
      <c r="C78" s="5" t="s">
        <v>653</v>
      </c>
      <c r="D78" t="b">
        <f t="shared" si="2"/>
        <v>0</v>
      </c>
    </row>
    <row r="79" spans="1:4" x14ac:dyDescent="0.25">
      <c r="A79" t="s">
        <v>23</v>
      </c>
      <c r="B79" s="5" t="s">
        <v>776</v>
      </c>
      <c r="C79" s="5" t="s">
        <v>776</v>
      </c>
      <c r="D79" t="b">
        <f t="shared" si="2"/>
        <v>0</v>
      </c>
    </row>
    <row r="80" spans="1:4" x14ac:dyDescent="0.25">
      <c r="A80" t="s">
        <v>23</v>
      </c>
      <c r="B80" s="5" t="s">
        <v>777</v>
      </c>
      <c r="C80" s="5" t="s">
        <v>777</v>
      </c>
      <c r="D80" t="b">
        <f t="shared" si="2"/>
        <v>0</v>
      </c>
    </row>
    <row r="81" spans="1:4" x14ac:dyDescent="0.25">
      <c r="A81" t="s">
        <v>23</v>
      </c>
      <c r="B81" s="5" t="s">
        <v>778</v>
      </c>
      <c r="C81" s="5" t="s">
        <v>778</v>
      </c>
      <c r="D81" t="b">
        <f t="shared" si="2"/>
        <v>0</v>
      </c>
    </row>
    <row r="82" spans="1:4" x14ac:dyDescent="0.25">
      <c r="A82" t="s">
        <v>23</v>
      </c>
      <c r="B82" s="5" t="s">
        <v>779</v>
      </c>
      <c r="C82" s="5" t="s">
        <v>779</v>
      </c>
      <c r="D82" t="b">
        <f t="shared" si="2"/>
        <v>0</v>
      </c>
    </row>
    <row r="83" spans="1:4" x14ac:dyDescent="0.25">
      <c r="A83" t="s">
        <v>23</v>
      </c>
      <c r="B83" s="5" t="s">
        <v>780</v>
      </c>
      <c r="C83" s="5" t="s">
        <v>780</v>
      </c>
      <c r="D83" t="b">
        <f t="shared" si="2"/>
        <v>0</v>
      </c>
    </row>
    <row r="84" spans="1:4" x14ac:dyDescent="0.25">
      <c r="A84" t="s">
        <v>23</v>
      </c>
      <c r="B84" s="5" t="s">
        <v>647</v>
      </c>
      <c r="C84" s="5" t="s">
        <v>647</v>
      </c>
      <c r="D84" t="b">
        <f t="shared" si="2"/>
        <v>0</v>
      </c>
    </row>
    <row r="85" spans="1:4" x14ac:dyDescent="0.25">
      <c r="A85" t="s">
        <v>23</v>
      </c>
      <c r="B85" s="5" t="s">
        <v>1119</v>
      </c>
      <c r="C85" s="5" t="s">
        <v>1119</v>
      </c>
      <c r="D85" t="b">
        <f t="shared" si="2"/>
        <v>0</v>
      </c>
    </row>
    <row r="86" spans="1:4" x14ac:dyDescent="0.25">
      <c r="A86" t="s">
        <v>23</v>
      </c>
      <c r="B86" s="5" t="s">
        <v>643</v>
      </c>
      <c r="C86" s="5" t="s">
        <v>643</v>
      </c>
      <c r="D86" t="b">
        <f t="shared" si="2"/>
        <v>0</v>
      </c>
    </row>
    <row r="87" spans="1:4" x14ac:dyDescent="0.25">
      <c r="A87" t="s">
        <v>23</v>
      </c>
      <c r="B87" s="5" t="s">
        <v>586</v>
      </c>
      <c r="C87" s="5" t="s">
        <v>586</v>
      </c>
      <c r="D87" t="b">
        <f t="shared" si="2"/>
        <v>0</v>
      </c>
    </row>
    <row r="88" spans="1:4" x14ac:dyDescent="0.25">
      <c r="A88" t="s">
        <v>23</v>
      </c>
      <c r="B88" s="5" t="s">
        <v>100</v>
      </c>
      <c r="C88" s="5" t="s">
        <v>100</v>
      </c>
      <c r="D88" t="b">
        <f t="shared" si="2"/>
        <v>0</v>
      </c>
    </row>
    <row r="89" spans="1:4" x14ac:dyDescent="0.25">
      <c r="A89" t="s">
        <v>23</v>
      </c>
      <c r="B89" s="5" t="s">
        <v>781</v>
      </c>
      <c r="C89" s="5" t="s">
        <v>781</v>
      </c>
      <c r="D89" t="b">
        <f t="shared" si="2"/>
        <v>0</v>
      </c>
    </row>
    <row r="90" spans="1:4" x14ac:dyDescent="0.25">
      <c r="A90" t="s">
        <v>23</v>
      </c>
      <c r="B90" s="5" t="s">
        <v>649</v>
      </c>
      <c r="C90" s="5" t="s">
        <v>649</v>
      </c>
      <c r="D90" t="b">
        <f t="shared" si="2"/>
        <v>0</v>
      </c>
    </row>
    <row r="91" spans="1:4" x14ac:dyDescent="0.25">
      <c r="A91" t="s">
        <v>23</v>
      </c>
      <c r="B91" s="5" t="s">
        <v>215</v>
      </c>
      <c r="C91" s="5" t="s">
        <v>215</v>
      </c>
      <c r="D91" t="b">
        <f t="shared" si="2"/>
        <v>0</v>
      </c>
    </row>
    <row r="92" spans="1:4" x14ac:dyDescent="0.25">
      <c r="A92" t="s">
        <v>23</v>
      </c>
      <c r="B92" s="5" t="s">
        <v>782</v>
      </c>
      <c r="C92" s="5" t="s">
        <v>782</v>
      </c>
      <c r="D92" t="b">
        <f t="shared" si="2"/>
        <v>0</v>
      </c>
    </row>
    <row r="93" spans="1:4" x14ac:dyDescent="0.25">
      <c r="A93" t="s">
        <v>22</v>
      </c>
      <c r="B93" s="5" t="s">
        <v>783</v>
      </c>
      <c r="C93" s="5" t="s">
        <v>783</v>
      </c>
      <c r="D93" t="b">
        <f t="shared" si="2"/>
        <v>0</v>
      </c>
    </row>
    <row r="94" spans="1:4" x14ac:dyDescent="0.25">
      <c r="A94" t="s">
        <v>22</v>
      </c>
      <c r="B94" s="5" t="s">
        <v>784</v>
      </c>
      <c r="C94" s="5" t="s">
        <v>784</v>
      </c>
      <c r="D94" t="b">
        <f t="shared" si="2"/>
        <v>0</v>
      </c>
    </row>
    <row r="95" spans="1:4" x14ac:dyDescent="0.25">
      <c r="A95" t="s">
        <v>22</v>
      </c>
      <c r="B95" s="5" t="s">
        <v>675</v>
      </c>
      <c r="C95" s="5" t="s">
        <v>675</v>
      </c>
      <c r="D95" t="b">
        <f t="shared" si="2"/>
        <v>0</v>
      </c>
    </row>
    <row r="96" spans="1:4" x14ac:dyDescent="0.25">
      <c r="A96" t="s">
        <v>22</v>
      </c>
      <c r="B96" s="5" t="s">
        <v>785</v>
      </c>
      <c r="C96" s="5" t="s">
        <v>785</v>
      </c>
      <c r="D96" t="b">
        <f t="shared" si="2"/>
        <v>0</v>
      </c>
    </row>
    <row r="97" spans="1:4" x14ac:dyDescent="0.25">
      <c r="A97" t="s">
        <v>22</v>
      </c>
      <c r="B97" s="5" t="s">
        <v>786</v>
      </c>
      <c r="C97" s="5" t="s">
        <v>786</v>
      </c>
      <c r="D97" t="b">
        <f t="shared" si="2"/>
        <v>0</v>
      </c>
    </row>
    <row r="98" spans="1:4" x14ac:dyDescent="0.25">
      <c r="A98" t="s">
        <v>22</v>
      </c>
      <c r="B98" s="5" t="s">
        <v>787</v>
      </c>
      <c r="C98" s="5" t="s">
        <v>787</v>
      </c>
      <c r="D98" t="b">
        <f t="shared" si="2"/>
        <v>0</v>
      </c>
    </row>
    <row r="99" spans="1:4" x14ac:dyDescent="0.25">
      <c r="A99" t="s">
        <v>22</v>
      </c>
      <c r="B99" s="5" t="s">
        <v>2092</v>
      </c>
      <c r="C99" s="5" t="s">
        <v>2092</v>
      </c>
      <c r="D99" t="b">
        <f t="shared" si="2"/>
        <v>0</v>
      </c>
    </row>
    <row r="100" spans="1:4" x14ac:dyDescent="0.25">
      <c r="A100" t="s">
        <v>22</v>
      </c>
      <c r="B100" s="5" t="s">
        <v>788</v>
      </c>
      <c r="C100" s="5" t="s">
        <v>788</v>
      </c>
      <c r="D100" t="b">
        <f t="shared" si="2"/>
        <v>0</v>
      </c>
    </row>
    <row r="101" spans="1:4" x14ac:dyDescent="0.25">
      <c r="A101" t="s">
        <v>22</v>
      </c>
      <c r="B101" s="5" t="s">
        <v>2093</v>
      </c>
      <c r="C101" s="5" t="s">
        <v>2093</v>
      </c>
      <c r="D101" t="b">
        <f t="shared" si="2"/>
        <v>0</v>
      </c>
    </row>
    <row r="102" spans="1:4" x14ac:dyDescent="0.25">
      <c r="A102" t="s">
        <v>22</v>
      </c>
      <c r="B102" s="5" t="s">
        <v>1635</v>
      </c>
      <c r="C102" s="5" t="s">
        <v>1635</v>
      </c>
      <c r="D102" t="str">
        <f>IF(B102=C102, "Sim", "Não")</f>
        <v>Sim</v>
      </c>
    </row>
  </sheetData>
  <mergeCells count="1">
    <mergeCell ref="A1:G1"/>
  </mergeCells>
  <pageMargins left="0.511811024" right="0.511811024" top="0.78740157499999996" bottom="0.78740157499999996" header="0.31496062000000002" footer="0.3149606200000000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notContainsText" priority="1" operator="notContains" id="{66487289-4443-4AC7-8A43-D13CD54BB24F}">
            <xm:f>ISERROR(SEARCH(C3,B3))</xm:f>
            <xm:f>C3</xm:f>
            <x14:dxf>
              <fill>
                <patternFill>
                  <bgColor theme="5" tint="0.39994506668294322"/>
                </patternFill>
              </fill>
            </x14:dxf>
          </x14:cfRule>
          <xm:sqref>B3:B102</xm:sqref>
        </x14:conditionalFormatting>
      </x14:conditionalFormatting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8DBD8-D14A-4713-8E05-F678CCB4D54C}">
  <dimension ref="A1:H102"/>
  <sheetViews>
    <sheetView topLeftCell="A83" workbookViewId="0">
      <selection activeCell="B100" sqref="B100"/>
    </sheetView>
  </sheetViews>
  <sheetFormatPr defaultRowHeight="15" x14ac:dyDescent="0.25"/>
  <cols>
    <col min="1" max="1" width="13.7109375" style="5" bestFit="1" customWidth="1"/>
    <col min="2" max="3" width="38.7109375" customWidth="1"/>
    <col min="4" max="4" width="12.42578125" hidden="1" customWidth="1"/>
    <col min="5" max="5" width="4.28515625" customWidth="1"/>
    <col min="6" max="6" width="22.7109375" style="3" customWidth="1"/>
    <col min="7" max="7" width="9.140625" bestFit="1" customWidth="1"/>
  </cols>
  <sheetData>
    <row r="1" spans="1:8" ht="21" x14ac:dyDescent="0.25">
      <c r="A1" s="12" t="s">
        <v>1473</v>
      </c>
      <c r="B1" s="12"/>
      <c r="C1" s="12"/>
      <c r="D1" s="12"/>
      <c r="E1" s="12"/>
      <c r="F1" s="12"/>
      <c r="G1" s="12"/>
    </row>
    <row r="2" spans="1:8" x14ac:dyDescent="0.25">
      <c r="A2" s="4" t="s">
        <v>11</v>
      </c>
      <c r="B2" s="4" t="s">
        <v>12</v>
      </c>
      <c r="C2" s="4" t="s">
        <v>13</v>
      </c>
      <c r="D2" s="4" t="s">
        <v>14</v>
      </c>
      <c r="F2" s="4" t="s">
        <v>16</v>
      </c>
      <c r="G2" s="3">
        <f>COUNTIF(D:D,"Verdadeiro")</f>
        <v>9</v>
      </c>
    </row>
    <row r="3" spans="1:8" x14ac:dyDescent="0.25">
      <c r="A3" s="5" t="s">
        <v>1539</v>
      </c>
      <c r="B3" s="5" t="s">
        <v>1542</v>
      </c>
      <c r="C3" s="5" t="s">
        <v>1542</v>
      </c>
      <c r="D3" t="b">
        <f>B3&lt;&gt;C3</f>
        <v>0</v>
      </c>
      <c r="F3" s="4" t="s">
        <v>17</v>
      </c>
      <c r="G3" s="10">
        <f>SUM(G5:G29)</f>
        <v>100</v>
      </c>
    </row>
    <row r="4" spans="1:8" x14ac:dyDescent="0.25">
      <c r="A4" s="5" t="s">
        <v>1539</v>
      </c>
      <c r="B4" s="5" t="s">
        <v>1575</v>
      </c>
      <c r="C4" s="5" t="s">
        <v>1575</v>
      </c>
      <c r="D4" t="b">
        <f t="shared" ref="D4:D66" si="0">B4&lt;&gt;C4</f>
        <v>0</v>
      </c>
    </row>
    <row r="5" spans="1:8" x14ac:dyDescent="0.25">
      <c r="A5" t="s">
        <v>15</v>
      </c>
      <c r="B5" s="5" t="s">
        <v>111</v>
      </c>
      <c r="C5" t="s">
        <v>111</v>
      </c>
      <c r="D5" t="b">
        <f t="shared" si="0"/>
        <v>0</v>
      </c>
      <c r="F5" s="6" t="s">
        <v>19</v>
      </c>
      <c r="G5" s="1"/>
    </row>
    <row r="6" spans="1:8" x14ac:dyDescent="0.25">
      <c r="A6" t="s">
        <v>15</v>
      </c>
      <c r="B6" s="5" t="s">
        <v>711</v>
      </c>
      <c r="C6" t="s">
        <v>711</v>
      </c>
      <c r="D6" t="b">
        <f t="shared" si="0"/>
        <v>0</v>
      </c>
      <c r="F6" s="7" t="s">
        <v>1539</v>
      </c>
      <c r="G6" s="2">
        <f t="shared" ref="G6:G16" si="1">COUNTIF(A:A,F6)</f>
        <v>2</v>
      </c>
    </row>
    <row r="7" spans="1:8" x14ac:dyDescent="0.25">
      <c r="A7" t="s">
        <v>15</v>
      </c>
      <c r="B7" s="5" t="s">
        <v>45</v>
      </c>
      <c r="C7" t="s">
        <v>45</v>
      </c>
      <c r="D7" t="b">
        <f t="shared" si="0"/>
        <v>0</v>
      </c>
      <c r="F7" s="3" t="s">
        <v>15</v>
      </c>
      <c r="G7" s="2">
        <f t="shared" si="1"/>
        <v>36</v>
      </c>
    </row>
    <row r="8" spans="1:8" x14ac:dyDescent="0.25">
      <c r="A8" t="s">
        <v>15</v>
      </c>
      <c r="B8" s="5" t="s">
        <v>61</v>
      </c>
      <c r="C8" t="s">
        <v>1518</v>
      </c>
      <c r="D8" t="b">
        <f t="shared" si="0"/>
        <v>1</v>
      </c>
      <c r="F8" s="7" t="s">
        <v>1503</v>
      </c>
      <c r="G8" s="2">
        <f t="shared" si="1"/>
        <v>12</v>
      </c>
      <c r="H8" t="s">
        <v>22</v>
      </c>
    </row>
    <row r="9" spans="1:8" x14ac:dyDescent="0.25">
      <c r="A9" t="s">
        <v>15</v>
      </c>
      <c r="B9" s="5" t="s">
        <v>61</v>
      </c>
      <c r="C9" t="s">
        <v>34</v>
      </c>
      <c r="D9" t="b">
        <f t="shared" si="0"/>
        <v>1</v>
      </c>
      <c r="F9" s="7" t="s">
        <v>1472</v>
      </c>
      <c r="G9" s="2">
        <f t="shared" si="1"/>
        <v>1</v>
      </c>
      <c r="H9" t="s">
        <v>1505</v>
      </c>
    </row>
    <row r="10" spans="1:8" x14ac:dyDescent="0.25">
      <c r="A10" t="s">
        <v>15</v>
      </c>
      <c r="B10" s="5" t="s">
        <v>61</v>
      </c>
      <c r="C10" t="s">
        <v>1519</v>
      </c>
      <c r="D10" t="b">
        <f t="shared" si="0"/>
        <v>1</v>
      </c>
      <c r="F10" s="7" t="s">
        <v>1504</v>
      </c>
      <c r="G10" s="2">
        <f t="shared" si="1"/>
        <v>14</v>
      </c>
      <c r="H10" t="s">
        <v>1525</v>
      </c>
    </row>
    <row r="11" spans="1:8" x14ac:dyDescent="0.25">
      <c r="A11" t="s">
        <v>15</v>
      </c>
      <c r="B11" s="5" t="s">
        <v>1410</v>
      </c>
      <c r="C11" t="s">
        <v>1410</v>
      </c>
      <c r="D11" t="b">
        <f t="shared" si="0"/>
        <v>0</v>
      </c>
      <c r="F11" s="7" t="s">
        <v>1522</v>
      </c>
      <c r="G11" s="2">
        <f t="shared" si="1"/>
        <v>4</v>
      </c>
      <c r="H11" t="s">
        <v>164</v>
      </c>
    </row>
    <row r="12" spans="1:8" x14ac:dyDescent="0.25">
      <c r="A12" t="s">
        <v>15</v>
      </c>
      <c r="B12" s="5" t="s">
        <v>43</v>
      </c>
      <c r="C12" t="s">
        <v>43</v>
      </c>
      <c r="D12" t="b">
        <f t="shared" si="0"/>
        <v>0</v>
      </c>
      <c r="F12" s="7" t="s">
        <v>1527</v>
      </c>
      <c r="G12" s="2">
        <f t="shared" si="1"/>
        <v>8</v>
      </c>
      <c r="H12" t="s">
        <v>1526</v>
      </c>
    </row>
    <row r="13" spans="1:8" x14ac:dyDescent="0.25">
      <c r="A13" t="s">
        <v>15</v>
      </c>
      <c r="B13" s="5" t="s">
        <v>20</v>
      </c>
      <c r="C13" t="s">
        <v>20</v>
      </c>
      <c r="D13" t="b">
        <f t="shared" si="0"/>
        <v>0</v>
      </c>
      <c r="F13" s="7" t="s">
        <v>1520</v>
      </c>
      <c r="G13" s="2">
        <f t="shared" si="1"/>
        <v>4</v>
      </c>
      <c r="H13" t="s">
        <v>1523</v>
      </c>
    </row>
    <row r="14" spans="1:8" x14ac:dyDescent="0.25">
      <c r="A14" t="s">
        <v>15</v>
      </c>
      <c r="B14" s="5" t="s">
        <v>391</v>
      </c>
      <c r="C14" t="s">
        <v>391</v>
      </c>
      <c r="D14" t="b">
        <f t="shared" si="0"/>
        <v>0</v>
      </c>
      <c r="F14" s="7" t="s">
        <v>1508</v>
      </c>
      <c r="G14" s="2">
        <f t="shared" si="1"/>
        <v>3</v>
      </c>
      <c r="H14" t="s">
        <v>1524</v>
      </c>
    </row>
    <row r="15" spans="1:8" x14ac:dyDescent="0.25">
      <c r="A15" t="s">
        <v>15</v>
      </c>
      <c r="B15" s="5" t="s">
        <v>512</v>
      </c>
      <c r="C15" t="s">
        <v>512</v>
      </c>
      <c r="D15" t="b">
        <f t="shared" si="0"/>
        <v>0</v>
      </c>
      <c r="F15" s="7" t="s">
        <v>1507</v>
      </c>
      <c r="G15" s="2">
        <f t="shared" si="1"/>
        <v>8</v>
      </c>
      <c r="H15" t="s">
        <v>121</v>
      </c>
    </row>
    <row r="16" spans="1:8" x14ac:dyDescent="0.25">
      <c r="A16" t="s">
        <v>15</v>
      </c>
      <c r="B16" s="5" t="s">
        <v>1532</v>
      </c>
      <c r="C16" t="s">
        <v>1532</v>
      </c>
      <c r="D16" t="b">
        <f t="shared" si="0"/>
        <v>0</v>
      </c>
      <c r="F16" s="3" t="s">
        <v>1506</v>
      </c>
      <c r="G16" s="2">
        <f t="shared" si="1"/>
        <v>8</v>
      </c>
      <c r="H16" t="s">
        <v>23</v>
      </c>
    </row>
    <row r="17" spans="1:4" x14ac:dyDescent="0.25">
      <c r="A17" t="s">
        <v>15</v>
      </c>
      <c r="B17" s="5" t="s">
        <v>1533</v>
      </c>
      <c r="C17" t="s">
        <v>1533</v>
      </c>
      <c r="D17" t="b">
        <f t="shared" si="0"/>
        <v>0</v>
      </c>
    </row>
    <row r="18" spans="1:4" x14ac:dyDescent="0.25">
      <c r="A18" t="s">
        <v>15</v>
      </c>
      <c r="B18" s="5" t="s">
        <v>298</v>
      </c>
      <c r="C18" t="s">
        <v>298</v>
      </c>
      <c r="D18" t="b">
        <f t="shared" si="0"/>
        <v>0</v>
      </c>
    </row>
    <row r="19" spans="1:4" x14ac:dyDescent="0.25">
      <c r="A19" t="s">
        <v>15</v>
      </c>
      <c r="B19" s="5" t="s">
        <v>801</v>
      </c>
      <c r="C19" t="s">
        <v>801</v>
      </c>
      <c r="D19" t="b">
        <f t="shared" si="0"/>
        <v>0</v>
      </c>
    </row>
    <row r="20" spans="1:4" x14ac:dyDescent="0.25">
      <c r="A20" t="s">
        <v>15</v>
      </c>
      <c r="B20" s="5" t="s">
        <v>122</v>
      </c>
      <c r="C20" t="s">
        <v>1006</v>
      </c>
      <c r="D20" t="b">
        <f t="shared" si="0"/>
        <v>1</v>
      </c>
    </row>
    <row r="21" spans="1:4" x14ac:dyDescent="0.25">
      <c r="A21" t="s">
        <v>15</v>
      </c>
      <c r="B21" s="5" t="s">
        <v>1008</v>
      </c>
      <c r="C21" t="s">
        <v>1008</v>
      </c>
      <c r="D21" t="b">
        <f t="shared" si="0"/>
        <v>0</v>
      </c>
    </row>
    <row r="22" spans="1:4" x14ac:dyDescent="0.25">
      <c r="A22" t="s">
        <v>15</v>
      </c>
      <c r="B22" s="5" t="s">
        <v>511</v>
      </c>
      <c r="C22" t="s">
        <v>511</v>
      </c>
      <c r="D22" t="b">
        <f t="shared" si="0"/>
        <v>0</v>
      </c>
    </row>
    <row r="23" spans="1:4" x14ac:dyDescent="0.25">
      <c r="A23" t="s">
        <v>15</v>
      </c>
      <c r="B23" s="5" t="s">
        <v>120</v>
      </c>
      <c r="C23" t="s">
        <v>120</v>
      </c>
      <c r="D23" t="b">
        <f t="shared" si="0"/>
        <v>0</v>
      </c>
    </row>
    <row r="24" spans="1:4" x14ac:dyDescent="0.25">
      <c r="A24" t="s">
        <v>15</v>
      </c>
      <c r="B24" s="5" t="s">
        <v>39</v>
      </c>
      <c r="C24" t="s">
        <v>39</v>
      </c>
      <c r="D24" t="b">
        <f t="shared" si="0"/>
        <v>0</v>
      </c>
    </row>
    <row r="25" spans="1:4" x14ac:dyDescent="0.25">
      <c r="A25" t="s">
        <v>15</v>
      </c>
      <c r="B25" s="5" t="s">
        <v>60</v>
      </c>
      <c r="C25" t="s">
        <v>1972</v>
      </c>
      <c r="D25" t="b">
        <f t="shared" si="0"/>
        <v>1</v>
      </c>
    </row>
    <row r="26" spans="1:4" x14ac:dyDescent="0.25">
      <c r="A26" t="s">
        <v>15</v>
      </c>
      <c r="B26" s="5" t="s">
        <v>60</v>
      </c>
      <c r="C26" t="s">
        <v>60</v>
      </c>
      <c r="D26" t="b">
        <f t="shared" si="0"/>
        <v>0</v>
      </c>
    </row>
    <row r="27" spans="1:4" x14ac:dyDescent="0.25">
      <c r="A27" t="s">
        <v>15</v>
      </c>
      <c r="B27" s="5" t="s">
        <v>60</v>
      </c>
      <c r="C27" t="s">
        <v>60</v>
      </c>
      <c r="D27" t="b">
        <f t="shared" si="0"/>
        <v>0</v>
      </c>
    </row>
    <row r="28" spans="1:4" x14ac:dyDescent="0.25">
      <c r="A28" t="s">
        <v>15</v>
      </c>
      <c r="B28" s="5" t="s">
        <v>60</v>
      </c>
      <c r="C28" t="s">
        <v>60</v>
      </c>
      <c r="D28" t="b">
        <f t="shared" si="0"/>
        <v>0</v>
      </c>
    </row>
    <row r="29" spans="1:4" x14ac:dyDescent="0.25">
      <c r="A29" t="s">
        <v>15</v>
      </c>
      <c r="B29" s="5" t="s">
        <v>60</v>
      </c>
      <c r="C29" t="s">
        <v>60</v>
      </c>
      <c r="D29" t="b">
        <f t="shared" si="0"/>
        <v>0</v>
      </c>
    </row>
    <row r="30" spans="1:4" x14ac:dyDescent="0.25">
      <c r="A30" t="s">
        <v>15</v>
      </c>
      <c r="B30" s="5" t="s">
        <v>60</v>
      </c>
      <c r="C30" t="s">
        <v>60</v>
      </c>
      <c r="D30" t="b">
        <f t="shared" si="0"/>
        <v>0</v>
      </c>
    </row>
    <row r="31" spans="1:4" x14ac:dyDescent="0.25">
      <c r="A31" t="s">
        <v>15</v>
      </c>
      <c r="B31" s="5" t="s">
        <v>61</v>
      </c>
      <c r="C31" t="s">
        <v>61</v>
      </c>
      <c r="D31" t="b">
        <f t="shared" si="0"/>
        <v>0</v>
      </c>
    </row>
    <row r="32" spans="1:4" x14ac:dyDescent="0.25">
      <c r="A32" t="s">
        <v>15</v>
      </c>
      <c r="B32" s="5" t="s">
        <v>61</v>
      </c>
      <c r="C32" t="s">
        <v>61</v>
      </c>
      <c r="D32" t="b">
        <f t="shared" si="0"/>
        <v>0</v>
      </c>
    </row>
    <row r="33" spans="1:4" x14ac:dyDescent="0.25">
      <c r="A33" t="s">
        <v>15</v>
      </c>
      <c r="B33" s="5" t="s">
        <v>61</v>
      </c>
      <c r="C33" t="s">
        <v>61</v>
      </c>
      <c r="D33" t="b">
        <f t="shared" si="0"/>
        <v>0</v>
      </c>
    </row>
    <row r="34" spans="1:4" x14ac:dyDescent="0.25">
      <c r="A34" t="s">
        <v>15</v>
      </c>
      <c r="B34" s="5" t="s">
        <v>61</v>
      </c>
      <c r="C34" t="s">
        <v>61</v>
      </c>
      <c r="D34" t="b">
        <f t="shared" si="0"/>
        <v>0</v>
      </c>
    </row>
    <row r="35" spans="1:4" x14ac:dyDescent="0.25">
      <c r="A35" t="s">
        <v>15</v>
      </c>
      <c r="B35" s="5" t="s">
        <v>61</v>
      </c>
      <c r="C35" t="s">
        <v>61</v>
      </c>
      <c r="D35" t="b">
        <f t="shared" si="0"/>
        <v>0</v>
      </c>
    </row>
    <row r="36" spans="1:4" x14ac:dyDescent="0.25">
      <c r="A36" t="s">
        <v>15</v>
      </c>
      <c r="B36" s="5" t="s">
        <v>122</v>
      </c>
      <c r="C36" t="s">
        <v>122</v>
      </c>
      <c r="D36" t="b">
        <f t="shared" si="0"/>
        <v>0</v>
      </c>
    </row>
    <row r="37" spans="1:4" x14ac:dyDescent="0.25">
      <c r="A37" t="s">
        <v>15</v>
      </c>
      <c r="B37" s="5" t="s">
        <v>122</v>
      </c>
      <c r="C37" t="s">
        <v>122</v>
      </c>
      <c r="D37" t="b">
        <f t="shared" si="0"/>
        <v>0</v>
      </c>
    </row>
    <row r="38" spans="1:4" x14ac:dyDescent="0.25">
      <c r="A38" t="s">
        <v>15</v>
      </c>
      <c r="B38" s="5" t="s">
        <v>122</v>
      </c>
      <c r="C38" t="s">
        <v>122</v>
      </c>
      <c r="D38" t="b">
        <f t="shared" si="0"/>
        <v>0</v>
      </c>
    </row>
    <row r="39" spans="1:4" x14ac:dyDescent="0.25">
      <c r="A39" t="s">
        <v>15</v>
      </c>
      <c r="B39" s="5" t="s">
        <v>122</v>
      </c>
      <c r="C39" t="s">
        <v>122</v>
      </c>
      <c r="D39" t="b">
        <f t="shared" si="0"/>
        <v>0</v>
      </c>
    </row>
    <row r="40" spans="1:4" x14ac:dyDescent="0.25">
      <c r="A40" t="s">
        <v>15</v>
      </c>
      <c r="B40" s="5" t="s">
        <v>122</v>
      </c>
      <c r="C40" t="s">
        <v>122</v>
      </c>
      <c r="D40" t="b">
        <f t="shared" si="0"/>
        <v>0</v>
      </c>
    </row>
    <row r="41" spans="1:4" x14ac:dyDescent="0.25">
      <c r="A41" t="s">
        <v>1503</v>
      </c>
      <c r="B41" s="5" t="s">
        <v>474</v>
      </c>
      <c r="C41" t="s">
        <v>474</v>
      </c>
      <c r="D41" t="b">
        <f t="shared" si="0"/>
        <v>0</v>
      </c>
    </row>
    <row r="42" spans="1:4" x14ac:dyDescent="0.25">
      <c r="A42" t="s">
        <v>1503</v>
      </c>
      <c r="B42" s="5" t="s">
        <v>922</v>
      </c>
      <c r="C42" t="s">
        <v>922</v>
      </c>
      <c r="D42" t="b">
        <f t="shared" si="0"/>
        <v>0</v>
      </c>
    </row>
    <row r="43" spans="1:4" x14ac:dyDescent="0.25">
      <c r="A43" t="s">
        <v>1503</v>
      </c>
      <c r="B43" s="5" t="s">
        <v>1933</v>
      </c>
      <c r="C43" t="s">
        <v>1933</v>
      </c>
      <c r="D43" t="b">
        <f t="shared" si="0"/>
        <v>0</v>
      </c>
    </row>
    <row r="44" spans="1:4" x14ac:dyDescent="0.25">
      <c r="A44" t="s">
        <v>1503</v>
      </c>
      <c r="B44" s="5" t="s">
        <v>478</v>
      </c>
      <c r="C44" t="s">
        <v>478</v>
      </c>
      <c r="D44" t="b">
        <f t="shared" si="0"/>
        <v>0</v>
      </c>
    </row>
    <row r="45" spans="1:4" x14ac:dyDescent="0.25">
      <c r="A45" t="s">
        <v>1503</v>
      </c>
      <c r="B45" s="5" t="s">
        <v>1513</v>
      </c>
      <c r="C45" t="s">
        <v>1513</v>
      </c>
      <c r="D45" t="b">
        <f t="shared" si="0"/>
        <v>0</v>
      </c>
    </row>
    <row r="46" spans="1:4" x14ac:dyDescent="0.25">
      <c r="A46" t="s">
        <v>1503</v>
      </c>
      <c r="B46" s="5" t="s">
        <v>1515</v>
      </c>
      <c r="C46" t="s">
        <v>1515</v>
      </c>
      <c r="D46" t="b">
        <f t="shared" si="0"/>
        <v>0</v>
      </c>
    </row>
    <row r="47" spans="1:4" x14ac:dyDescent="0.25">
      <c r="A47" t="s">
        <v>1503</v>
      </c>
      <c r="B47" s="5" t="s">
        <v>1431</v>
      </c>
      <c r="C47" t="s">
        <v>1431</v>
      </c>
      <c r="D47" t="b">
        <f t="shared" si="0"/>
        <v>0</v>
      </c>
    </row>
    <row r="48" spans="1:4" x14ac:dyDescent="0.25">
      <c r="A48" t="s">
        <v>1503</v>
      </c>
      <c r="B48" s="5" t="s">
        <v>1530</v>
      </c>
      <c r="C48" t="s">
        <v>1530</v>
      </c>
      <c r="D48" t="b">
        <f t="shared" si="0"/>
        <v>0</v>
      </c>
    </row>
    <row r="49" spans="1:6" x14ac:dyDescent="0.25">
      <c r="A49" t="s">
        <v>1503</v>
      </c>
      <c r="B49" s="5" t="s">
        <v>1480</v>
      </c>
      <c r="C49" t="s">
        <v>1480</v>
      </c>
      <c r="D49" t="b">
        <f t="shared" si="0"/>
        <v>0</v>
      </c>
    </row>
    <row r="50" spans="1:6" x14ac:dyDescent="0.25">
      <c r="A50" t="s">
        <v>1503</v>
      </c>
      <c r="B50" s="5" t="s">
        <v>2229</v>
      </c>
      <c r="C50" t="s">
        <v>2229</v>
      </c>
      <c r="D50" t="b">
        <f t="shared" si="0"/>
        <v>0</v>
      </c>
    </row>
    <row r="51" spans="1:6" x14ac:dyDescent="0.25">
      <c r="A51" t="s">
        <v>1503</v>
      </c>
      <c r="B51" s="5" t="s">
        <v>1528</v>
      </c>
      <c r="C51" t="s">
        <v>1528</v>
      </c>
      <c r="D51" t="b">
        <f t="shared" si="0"/>
        <v>0</v>
      </c>
    </row>
    <row r="52" spans="1:6" x14ac:dyDescent="0.25">
      <c r="A52" t="s">
        <v>1503</v>
      </c>
      <c r="B52" s="5" t="s">
        <v>1931</v>
      </c>
      <c r="C52" t="s">
        <v>1931</v>
      </c>
      <c r="D52" t="b">
        <f t="shared" si="0"/>
        <v>0</v>
      </c>
    </row>
    <row r="53" spans="1:6" x14ac:dyDescent="0.25">
      <c r="A53" t="s">
        <v>1472</v>
      </c>
      <c r="B53" s="5" t="s">
        <v>1514</v>
      </c>
      <c r="C53" t="s">
        <v>1514</v>
      </c>
      <c r="D53" t="b">
        <f t="shared" si="0"/>
        <v>0</v>
      </c>
    </row>
    <row r="54" spans="1:6" x14ac:dyDescent="0.25">
      <c r="A54" t="s">
        <v>1504</v>
      </c>
      <c r="B54" s="5" t="s">
        <v>1476</v>
      </c>
      <c r="C54" t="s">
        <v>1476</v>
      </c>
      <c r="D54" t="b">
        <f t="shared" si="0"/>
        <v>0</v>
      </c>
      <c r="F54"/>
    </row>
    <row r="55" spans="1:6" x14ac:dyDescent="0.25">
      <c r="A55" t="s">
        <v>1504</v>
      </c>
      <c r="B55" s="5" t="s">
        <v>1493</v>
      </c>
      <c r="C55" t="s">
        <v>1493</v>
      </c>
      <c r="D55" t="b">
        <f t="shared" si="0"/>
        <v>0</v>
      </c>
      <c r="F55"/>
    </row>
    <row r="56" spans="1:6" x14ac:dyDescent="0.25">
      <c r="A56" t="s">
        <v>1504</v>
      </c>
      <c r="B56" s="5" t="s">
        <v>806</v>
      </c>
      <c r="C56" t="s">
        <v>806</v>
      </c>
      <c r="D56" t="b">
        <f t="shared" si="0"/>
        <v>0</v>
      </c>
      <c r="F56"/>
    </row>
    <row r="57" spans="1:6" x14ac:dyDescent="0.25">
      <c r="A57" t="s">
        <v>1504</v>
      </c>
      <c r="B57" s="5" t="s">
        <v>809</v>
      </c>
      <c r="C57" t="s">
        <v>809</v>
      </c>
      <c r="D57" t="b">
        <f t="shared" si="0"/>
        <v>0</v>
      </c>
      <c r="F57"/>
    </row>
    <row r="58" spans="1:6" x14ac:dyDescent="0.25">
      <c r="A58" t="s">
        <v>1504</v>
      </c>
      <c r="B58" s="5" t="s">
        <v>1497</v>
      </c>
      <c r="C58" t="s">
        <v>1497</v>
      </c>
      <c r="D58" t="b">
        <f t="shared" si="0"/>
        <v>0</v>
      </c>
      <c r="F58"/>
    </row>
    <row r="59" spans="1:6" x14ac:dyDescent="0.25">
      <c r="A59" t="s">
        <v>1504</v>
      </c>
      <c r="B59" s="5" t="s">
        <v>1489</v>
      </c>
      <c r="C59" t="s">
        <v>1489</v>
      </c>
      <c r="D59" t="b">
        <f t="shared" si="0"/>
        <v>0</v>
      </c>
      <c r="F59"/>
    </row>
    <row r="60" spans="1:6" x14ac:dyDescent="0.25">
      <c r="A60" t="s">
        <v>1504</v>
      </c>
      <c r="B60" s="5" t="s">
        <v>1521</v>
      </c>
      <c r="C60" t="s">
        <v>1521</v>
      </c>
      <c r="D60" t="b">
        <f t="shared" si="0"/>
        <v>0</v>
      </c>
      <c r="F60"/>
    </row>
    <row r="61" spans="1:6" x14ac:dyDescent="0.25">
      <c r="A61" t="s">
        <v>1504</v>
      </c>
      <c r="B61" s="5" t="s">
        <v>1481</v>
      </c>
      <c r="C61" t="s">
        <v>1481</v>
      </c>
      <c r="D61" t="b">
        <f t="shared" si="0"/>
        <v>0</v>
      </c>
      <c r="F61"/>
    </row>
    <row r="62" spans="1:6" x14ac:dyDescent="0.25">
      <c r="A62" t="s">
        <v>1504</v>
      </c>
      <c r="B62" s="5" t="s">
        <v>1621</v>
      </c>
      <c r="C62" t="s">
        <v>1498</v>
      </c>
      <c r="D62" t="b">
        <f t="shared" si="0"/>
        <v>1</v>
      </c>
      <c r="F62"/>
    </row>
    <row r="63" spans="1:6" x14ac:dyDescent="0.25">
      <c r="A63" t="s">
        <v>1504</v>
      </c>
      <c r="B63" s="5" t="s">
        <v>1477</v>
      </c>
      <c r="C63" t="s">
        <v>1477</v>
      </c>
      <c r="D63" t="b">
        <f t="shared" si="0"/>
        <v>0</v>
      </c>
      <c r="F63"/>
    </row>
    <row r="64" spans="1:6" x14ac:dyDescent="0.25">
      <c r="A64" t="s">
        <v>1504</v>
      </c>
      <c r="B64" s="5" t="s">
        <v>1486</v>
      </c>
      <c r="C64" t="s">
        <v>1486</v>
      </c>
      <c r="D64" t="b">
        <f t="shared" si="0"/>
        <v>0</v>
      </c>
      <c r="F64"/>
    </row>
    <row r="65" spans="1:6" x14ac:dyDescent="0.25">
      <c r="A65" t="s">
        <v>1504</v>
      </c>
      <c r="B65" s="5" t="s">
        <v>1501</v>
      </c>
      <c r="C65" t="s">
        <v>1501</v>
      </c>
      <c r="D65" t="b">
        <f t="shared" si="0"/>
        <v>0</v>
      </c>
      <c r="F65"/>
    </row>
    <row r="66" spans="1:6" x14ac:dyDescent="0.25">
      <c r="A66" t="s">
        <v>1504</v>
      </c>
      <c r="B66" s="5" t="s">
        <v>1500</v>
      </c>
      <c r="C66" t="s">
        <v>1500</v>
      </c>
      <c r="D66" t="b">
        <f t="shared" si="0"/>
        <v>0</v>
      </c>
      <c r="F66"/>
    </row>
    <row r="67" spans="1:6" x14ac:dyDescent="0.25">
      <c r="A67" t="s">
        <v>1504</v>
      </c>
      <c r="B67" s="5" t="s">
        <v>1509</v>
      </c>
      <c r="C67" t="s">
        <v>1509</v>
      </c>
      <c r="D67" t="b">
        <f t="shared" ref="D67:D102" si="2">B67&lt;&gt;C67</f>
        <v>0</v>
      </c>
      <c r="F67"/>
    </row>
    <row r="68" spans="1:6" x14ac:dyDescent="0.25">
      <c r="A68" t="s">
        <v>1522</v>
      </c>
      <c r="B68" s="5" t="s">
        <v>1490</v>
      </c>
      <c r="C68" t="s">
        <v>1490</v>
      </c>
      <c r="D68" t="b">
        <f t="shared" si="2"/>
        <v>0</v>
      </c>
      <c r="F68"/>
    </row>
    <row r="69" spans="1:6" x14ac:dyDescent="0.25">
      <c r="A69" t="s">
        <v>1522</v>
      </c>
      <c r="B69" s="5" t="s">
        <v>1499</v>
      </c>
      <c r="C69" t="s">
        <v>1499</v>
      </c>
      <c r="D69" t="b">
        <f t="shared" si="2"/>
        <v>0</v>
      </c>
      <c r="F69"/>
    </row>
    <row r="70" spans="1:6" x14ac:dyDescent="0.25">
      <c r="A70" t="s">
        <v>1522</v>
      </c>
      <c r="B70" s="5" t="s">
        <v>1487</v>
      </c>
      <c r="C70" t="s">
        <v>1487</v>
      </c>
      <c r="D70" t="b">
        <f t="shared" si="2"/>
        <v>0</v>
      </c>
      <c r="F70"/>
    </row>
    <row r="71" spans="1:6" x14ac:dyDescent="0.25">
      <c r="A71" t="s">
        <v>1522</v>
      </c>
      <c r="B71" s="5" t="s">
        <v>1491</v>
      </c>
      <c r="C71" t="s">
        <v>1491</v>
      </c>
      <c r="D71" t="b">
        <f t="shared" si="2"/>
        <v>0</v>
      </c>
      <c r="F71"/>
    </row>
    <row r="72" spans="1:6" x14ac:dyDescent="0.25">
      <c r="A72" t="s">
        <v>1527</v>
      </c>
      <c r="B72" s="5" t="s">
        <v>1494</v>
      </c>
      <c r="C72" t="s">
        <v>1494</v>
      </c>
      <c r="D72" t="b">
        <f t="shared" si="2"/>
        <v>0</v>
      </c>
      <c r="F72"/>
    </row>
    <row r="73" spans="1:6" x14ac:dyDescent="0.25">
      <c r="A73" t="s">
        <v>1527</v>
      </c>
      <c r="B73" s="5" t="s">
        <v>1485</v>
      </c>
      <c r="C73" t="s">
        <v>1485</v>
      </c>
      <c r="D73" t="b">
        <f t="shared" si="2"/>
        <v>0</v>
      </c>
      <c r="F73"/>
    </row>
    <row r="74" spans="1:6" x14ac:dyDescent="0.25">
      <c r="A74" t="s">
        <v>1527</v>
      </c>
      <c r="B74" s="5" t="s">
        <v>1903</v>
      </c>
      <c r="C74" t="s">
        <v>1478</v>
      </c>
      <c r="D74" t="b">
        <f t="shared" si="2"/>
        <v>1</v>
      </c>
      <c r="F74"/>
    </row>
    <row r="75" spans="1:6" x14ac:dyDescent="0.25">
      <c r="A75" t="s">
        <v>1527</v>
      </c>
      <c r="B75" s="5" t="s">
        <v>1496</v>
      </c>
      <c r="C75" t="s">
        <v>1496</v>
      </c>
      <c r="D75" t="b">
        <f t="shared" si="2"/>
        <v>0</v>
      </c>
      <c r="F75"/>
    </row>
    <row r="76" spans="1:6" x14ac:dyDescent="0.25">
      <c r="A76" t="s">
        <v>1527</v>
      </c>
      <c r="B76" s="5" t="s">
        <v>1482</v>
      </c>
      <c r="C76" t="s">
        <v>1482</v>
      </c>
      <c r="D76" t="b">
        <f t="shared" si="2"/>
        <v>0</v>
      </c>
      <c r="F76"/>
    </row>
    <row r="77" spans="1:6" x14ac:dyDescent="0.25">
      <c r="A77" t="s">
        <v>1527</v>
      </c>
      <c r="B77" s="5" t="s">
        <v>1484</v>
      </c>
      <c r="C77" t="s">
        <v>1484</v>
      </c>
      <c r="D77" t="b">
        <f t="shared" si="2"/>
        <v>0</v>
      </c>
      <c r="F77"/>
    </row>
    <row r="78" spans="1:6" x14ac:dyDescent="0.25">
      <c r="A78" t="s">
        <v>1527</v>
      </c>
      <c r="B78" s="5" t="s">
        <v>1475</v>
      </c>
      <c r="C78" t="s">
        <v>1475</v>
      </c>
      <c r="D78" t="b">
        <f t="shared" si="2"/>
        <v>0</v>
      </c>
      <c r="F78"/>
    </row>
    <row r="79" spans="1:6" x14ac:dyDescent="0.25">
      <c r="A79" t="s">
        <v>1527</v>
      </c>
      <c r="B79" s="5" t="s">
        <v>1529</v>
      </c>
      <c r="C79" t="s">
        <v>1529</v>
      </c>
      <c r="D79" t="b">
        <f t="shared" si="2"/>
        <v>0</v>
      </c>
      <c r="F79"/>
    </row>
    <row r="80" spans="1:6" x14ac:dyDescent="0.25">
      <c r="A80" t="s">
        <v>1508</v>
      </c>
      <c r="B80" s="5" t="s">
        <v>1531</v>
      </c>
      <c r="C80" t="s">
        <v>1531</v>
      </c>
      <c r="D80" t="b">
        <f t="shared" si="2"/>
        <v>0</v>
      </c>
    </row>
    <row r="81" spans="1:4" x14ac:dyDescent="0.25">
      <c r="A81" t="s">
        <v>1508</v>
      </c>
      <c r="B81" s="5" t="s">
        <v>1492</v>
      </c>
      <c r="C81" t="s">
        <v>1492</v>
      </c>
      <c r="D81" t="b">
        <f t="shared" si="2"/>
        <v>0</v>
      </c>
    </row>
    <row r="82" spans="1:4" x14ac:dyDescent="0.25">
      <c r="A82" t="s">
        <v>1508</v>
      </c>
      <c r="B82" s="5" t="s">
        <v>499</v>
      </c>
      <c r="C82" t="s">
        <v>499</v>
      </c>
      <c r="D82" t="b">
        <f t="shared" si="2"/>
        <v>0</v>
      </c>
    </row>
    <row r="83" spans="1:4" x14ac:dyDescent="0.25">
      <c r="A83" t="s">
        <v>1520</v>
      </c>
      <c r="B83" s="5" t="s">
        <v>1495</v>
      </c>
      <c r="C83" t="s">
        <v>1495</v>
      </c>
      <c r="D83" t="b">
        <f t="shared" si="2"/>
        <v>0</v>
      </c>
    </row>
    <row r="84" spans="1:4" x14ac:dyDescent="0.25">
      <c r="A84" t="s">
        <v>1520</v>
      </c>
      <c r="B84" s="5" t="s">
        <v>264</v>
      </c>
      <c r="C84" t="s">
        <v>264</v>
      </c>
      <c r="D84" t="b">
        <f t="shared" si="2"/>
        <v>0</v>
      </c>
    </row>
    <row r="85" spans="1:4" x14ac:dyDescent="0.25">
      <c r="A85" t="s">
        <v>1520</v>
      </c>
      <c r="B85" s="5" t="s">
        <v>1488</v>
      </c>
      <c r="C85" t="s">
        <v>1488</v>
      </c>
      <c r="D85" t="b">
        <f t="shared" si="2"/>
        <v>0</v>
      </c>
    </row>
    <row r="86" spans="1:4" x14ac:dyDescent="0.25">
      <c r="A86" t="s">
        <v>1520</v>
      </c>
      <c r="B86" s="5" t="s">
        <v>1474</v>
      </c>
      <c r="C86" t="s">
        <v>1474</v>
      </c>
      <c r="D86" t="b">
        <f t="shared" si="2"/>
        <v>0</v>
      </c>
    </row>
    <row r="87" spans="1:4" x14ac:dyDescent="0.25">
      <c r="A87" t="s">
        <v>1507</v>
      </c>
      <c r="B87" s="5" t="s">
        <v>1904</v>
      </c>
      <c r="C87" t="s">
        <v>1512</v>
      </c>
      <c r="D87" t="b">
        <f t="shared" si="2"/>
        <v>1</v>
      </c>
    </row>
    <row r="88" spans="1:4" x14ac:dyDescent="0.25">
      <c r="A88" t="s">
        <v>1507</v>
      </c>
      <c r="B88" s="5" t="s">
        <v>308</v>
      </c>
      <c r="C88" t="s">
        <v>308</v>
      </c>
      <c r="D88" t="b">
        <f t="shared" si="2"/>
        <v>0</v>
      </c>
    </row>
    <row r="89" spans="1:4" x14ac:dyDescent="0.25">
      <c r="A89" t="s">
        <v>1507</v>
      </c>
      <c r="B89" s="5" t="s">
        <v>1516</v>
      </c>
      <c r="C89" t="s">
        <v>1516</v>
      </c>
      <c r="D89" t="b">
        <f t="shared" si="2"/>
        <v>0</v>
      </c>
    </row>
    <row r="90" spans="1:4" x14ac:dyDescent="0.25">
      <c r="A90" t="s">
        <v>1507</v>
      </c>
      <c r="B90" s="5" t="s">
        <v>1517</v>
      </c>
      <c r="C90" t="s">
        <v>1517</v>
      </c>
      <c r="D90" t="b">
        <f t="shared" si="2"/>
        <v>0</v>
      </c>
    </row>
    <row r="91" spans="1:4" x14ac:dyDescent="0.25">
      <c r="A91" t="s">
        <v>1507</v>
      </c>
      <c r="B91" s="5" t="s">
        <v>500</v>
      </c>
      <c r="C91" t="s">
        <v>500</v>
      </c>
      <c r="D91" t="b">
        <f t="shared" si="2"/>
        <v>0</v>
      </c>
    </row>
    <row r="92" spans="1:4" x14ac:dyDescent="0.25">
      <c r="A92" t="s">
        <v>1507</v>
      </c>
      <c r="B92" s="5" t="s">
        <v>1479</v>
      </c>
      <c r="C92" t="s">
        <v>1479</v>
      </c>
      <c r="D92" t="b">
        <f t="shared" si="2"/>
        <v>0</v>
      </c>
    </row>
    <row r="93" spans="1:4" x14ac:dyDescent="0.25">
      <c r="A93" t="s">
        <v>1507</v>
      </c>
      <c r="B93" s="5" t="s">
        <v>108</v>
      </c>
      <c r="C93" t="s">
        <v>108</v>
      </c>
      <c r="D93" t="b">
        <f t="shared" si="2"/>
        <v>0</v>
      </c>
    </row>
    <row r="94" spans="1:4" x14ac:dyDescent="0.25">
      <c r="A94" t="s">
        <v>1507</v>
      </c>
      <c r="B94" s="5" t="s">
        <v>103</v>
      </c>
      <c r="C94" t="s">
        <v>103</v>
      </c>
      <c r="D94" t="b">
        <f t="shared" si="2"/>
        <v>0</v>
      </c>
    </row>
    <row r="95" spans="1:4" x14ac:dyDescent="0.25">
      <c r="A95" t="s">
        <v>1506</v>
      </c>
      <c r="B95" s="5" t="s">
        <v>1510</v>
      </c>
      <c r="C95" t="s">
        <v>1510</v>
      </c>
      <c r="D95" t="b">
        <f t="shared" si="2"/>
        <v>0</v>
      </c>
    </row>
    <row r="96" spans="1:4" x14ac:dyDescent="0.25">
      <c r="A96" t="s">
        <v>1506</v>
      </c>
      <c r="B96" s="5" t="s">
        <v>1511</v>
      </c>
      <c r="C96" t="s">
        <v>1511</v>
      </c>
      <c r="D96" t="b">
        <f t="shared" si="2"/>
        <v>0</v>
      </c>
    </row>
    <row r="97" spans="1:6" x14ac:dyDescent="0.25">
      <c r="A97" t="s">
        <v>1506</v>
      </c>
      <c r="B97" s="5" t="s">
        <v>1534</v>
      </c>
      <c r="C97" t="s">
        <v>1534</v>
      </c>
      <c r="D97" t="b">
        <f t="shared" si="2"/>
        <v>0</v>
      </c>
    </row>
    <row r="98" spans="1:6" x14ac:dyDescent="0.25">
      <c r="A98" t="s">
        <v>1506</v>
      </c>
      <c r="B98" s="5" t="s">
        <v>1759</v>
      </c>
      <c r="C98" t="s">
        <v>1759</v>
      </c>
      <c r="D98" t="b">
        <f>B98&lt;&gt;C98</f>
        <v>0</v>
      </c>
    </row>
    <row r="99" spans="1:6" x14ac:dyDescent="0.25">
      <c r="A99" t="s">
        <v>1506</v>
      </c>
      <c r="B99" s="5" t="s">
        <v>1902</v>
      </c>
      <c r="C99" t="s">
        <v>1902</v>
      </c>
      <c r="D99" t="b">
        <f>B99&lt;&gt;C99</f>
        <v>0</v>
      </c>
      <c r="F99"/>
    </row>
    <row r="100" spans="1:6" x14ac:dyDescent="0.25">
      <c r="A100" t="s">
        <v>1506</v>
      </c>
      <c r="B100" s="5" t="s">
        <v>1502</v>
      </c>
      <c r="C100" t="s">
        <v>1502</v>
      </c>
      <c r="D100" t="b">
        <f t="shared" si="2"/>
        <v>0</v>
      </c>
    </row>
    <row r="101" spans="1:6" x14ac:dyDescent="0.25">
      <c r="A101" t="s">
        <v>1506</v>
      </c>
      <c r="B101" s="5" t="s">
        <v>1901</v>
      </c>
      <c r="C101" t="s">
        <v>1535</v>
      </c>
      <c r="D101" t="b">
        <f t="shared" si="2"/>
        <v>1</v>
      </c>
    </row>
    <row r="102" spans="1:6" x14ac:dyDescent="0.25">
      <c r="A102" s="5" t="s">
        <v>1506</v>
      </c>
      <c r="B102" s="5" t="s">
        <v>1483</v>
      </c>
      <c r="C102" t="s">
        <v>1483</v>
      </c>
      <c r="D102" t="b">
        <f t="shared" si="2"/>
        <v>0</v>
      </c>
    </row>
  </sheetData>
  <mergeCells count="1">
    <mergeCell ref="A1:G1"/>
  </mergeCells>
  <pageMargins left="0.511811024" right="0.511811024" top="0.78740157499999996" bottom="0.78740157499999996" header="0.31496062000000002" footer="0.3149606200000000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notContainsText" priority="1" operator="notContains" id="{020995DF-F7B7-4917-ACD7-C95623FB6602}">
            <xm:f>ISERROR(SEARCH(C3,B3))</xm:f>
            <xm:f>C3</xm:f>
            <x14:dxf>
              <fill>
                <patternFill>
                  <bgColor theme="5" tint="0.39994506668294322"/>
                </patternFill>
              </fill>
            </x14:dxf>
          </x14:cfRule>
          <xm:sqref>B3:B102</xm:sqref>
        </x14:conditionalFormatting>
      </x14:conditionalFormatting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7E540-ACD9-44A6-9CE4-D5A317AA2F80}">
  <dimension ref="A1:N112"/>
  <sheetViews>
    <sheetView topLeftCell="A49" workbookViewId="0">
      <selection activeCell="C63" sqref="C63"/>
    </sheetView>
  </sheetViews>
  <sheetFormatPr defaultRowHeight="15" x14ac:dyDescent="0.25"/>
  <cols>
    <col min="1" max="1" width="13.7109375" style="5" bestFit="1" customWidth="1"/>
    <col min="2" max="3" width="38.7109375" customWidth="1"/>
    <col min="4" max="4" width="12.42578125" hidden="1" customWidth="1"/>
    <col min="5" max="5" width="4.28515625" customWidth="1"/>
    <col min="6" max="6" width="22.7109375" style="3" customWidth="1"/>
    <col min="7" max="7" width="9.140625" bestFit="1" customWidth="1"/>
  </cols>
  <sheetData>
    <row r="1" spans="1:7" ht="21" x14ac:dyDescent="0.25">
      <c r="A1" s="12" t="s">
        <v>1984</v>
      </c>
      <c r="B1" s="12"/>
      <c r="C1" s="12"/>
      <c r="D1" s="12"/>
      <c r="E1" s="12"/>
      <c r="F1" s="12"/>
      <c r="G1" s="12"/>
    </row>
    <row r="2" spans="1:7" x14ac:dyDescent="0.25">
      <c r="A2" s="4" t="s">
        <v>11</v>
      </c>
      <c r="B2" s="4" t="s">
        <v>12</v>
      </c>
      <c r="C2" s="4" t="s">
        <v>13</v>
      </c>
      <c r="D2" s="4" t="s">
        <v>14</v>
      </c>
      <c r="F2" s="4" t="s">
        <v>16</v>
      </c>
      <c r="G2" s="3">
        <f>COUNTIF(D:D,"Verdadeiro")</f>
        <v>52</v>
      </c>
    </row>
    <row r="3" spans="1:7" x14ac:dyDescent="0.25">
      <c r="A3" s="5" t="s">
        <v>1539</v>
      </c>
      <c r="B3" s="5" t="s">
        <v>1985</v>
      </c>
      <c r="C3" s="5" t="s">
        <v>1985</v>
      </c>
      <c r="D3" t="b">
        <f>B3&lt;&gt;C3</f>
        <v>0</v>
      </c>
      <c r="F3" s="4" t="s">
        <v>17</v>
      </c>
      <c r="G3" s="10">
        <f>SUM(G5:G29)</f>
        <v>100</v>
      </c>
    </row>
    <row r="4" spans="1:7" x14ac:dyDescent="0.25">
      <c r="A4" s="5" t="s">
        <v>15</v>
      </c>
      <c r="B4" s="5"/>
      <c r="C4" s="5" t="s">
        <v>1637</v>
      </c>
      <c r="D4" t="b">
        <f t="shared" ref="D4:D55" si="0">B4&lt;&gt;C4</f>
        <v>1</v>
      </c>
    </row>
    <row r="5" spans="1:7" x14ac:dyDescent="0.25">
      <c r="A5" t="s">
        <v>15</v>
      </c>
      <c r="B5" s="5"/>
      <c r="C5" t="s">
        <v>705</v>
      </c>
      <c r="D5" t="b">
        <f t="shared" si="0"/>
        <v>1</v>
      </c>
      <c r="F5" s="6" t="s">
        <v>19</v>
      </c>
      <c r="G5" s="1"/>
    </row>
    <row r="6" spans="1:7" x14ac:dyDescent="0.25">
      <c r="A6" t="s">
        <v>15</v>
      </c>
      <c r="B6" s="5" t="s">
        <v>2018</v>
      </c>
      <c r="C6" t="s">
        <v>2018</v>
      </c>
      <c r="D6" t="b">
        <f t="shared" si="0"/>
        <v>0</v>
      </c>
      <c r="F6" s="7" t="s">
        <v>1539</v>
      </c>
      <c r="G6" s="2">
        <f t="shared" ref="G6:G15" si="1">COUNTIF(A:A,F6)</f>
        <v>1</v>
      </c>
    </row>
    <row r="7" spans="1:7" x14ac:dyDescent="0.25">
      <c r="A7" t="s">
        <v>15</v>
      </c>
      <c r="B7" s="5" t="s">
        <v>111</v>
      </c>
      <c r="C7" t="s">
        <v>111</v>
      </c>
      <c r="D7" t="b">
        <f t="shared" si="0"/>
        <v>0</v>
      </c>
      <c r="F7" s="3" t="s">
        <v>15</v>
      </c>
      <c r="G7" s="2">
        <f t="shared" si="1"/>
        <v>35</v>
      </c>
    </row>
    <row r="8" spans="1:7" x14ac:dyDescent="0.25">
      <c r="A8" t="s">
        <v>15</v>
      </c>
      <c r="B8" s="5"/>
      <c r="C8" t="s">
        <v>1936</v>
      </c>
      <c r="D8" t="b">
        <f t="shared" si="0"/>
        <v>1</v>
      </c>
      <c r="F8" s="7" t="s">
        <v>2032</v>
      </c>
      <c r="G8" s="2">
        <f t="shared" si="1"/>
        <v>12</v>
      </c>
    </row>
    <row r="9" spans="1:7" x14ac:dyDescent="0.25">
      <c r="A9" t="s">
        <v>15</v>
      </c>
      <c r="B9" s="5"/>
      <c r="C9" t="s">
        <v>2012</v>
      </c>
      <c r="D9" t="b">
        <f t="shared" si="0"/>
        <v>1</v>
      </c>
      <c r="F9" s="7" t="s">
        <v>22</v>
      </c>
      <c r="G9" s="2">
        <f t="shared" si="1"/>
        <v>8</v>
      </c>
    </row>
    <row r="10" spans="1:7" x14ac:dyDescent="0.25">
      <c r="A10" t="s">
        <v>15</v>
      </c>
      <c r="B10" s="5"/>
      <c r="C10" t="s">
        <v>914</v>
      </c>
      <c r="D10" t="b">
        <f t="shared" si="0"/>
        <v>1</v>
      </c>
      <c r="F10" s="7" t="s">
        <v>2013</v>
      </c>
      <c r="G10" s="2">
        <f t="shared" si="1"/>
        <v>16</v>
      </c>
    </row>
    <row r="11" spans="1:7" x14ac:dyDescent="0.25">
      <c r="A11" t="s">
        <v>15</v>
      </c>
      <c r="B11" s="5" t="s">
        <v>2005</v>
      </c>
      <c r="C11" t="s">
        <v>2005</v>
      </c>
      <c r="D11" t="b">
        <f t="shared" si="0"/>
        <v>0</v>
      </c>
      <c r="F11" s="7" t="s">
        <v>42</v>
      </c>
      <c r="G11" s="2">
        <f t="shared" si="1"/>
        <v>3</v>
      </c>
    </row>
    <row r="12" spans="1:7" x14ac:dyDescent="0.25">
      <c r="A12" t="s">
        <v>15</v>
      </c>
      <c r="B12" s="5"/>
      <c r="C12" t="s">
        <v>224</v>
      </c>
      <c r="D12" t="b">
        <f t="shared" si="0"/>
        <v>1</v>
      </c>
      <c r="F12" s="7" t="s">
        <v>27</v>
      </c>
      <c r="G12" s="2">
        <f t="shared" si="1"/>
        <v>3</v>
      </c>
    </row>
    <row r="13" spans="1:7" x14ac:dyDescent="0.25">
      <c r="A13" t="s">
        <v>15</v>
      </c>
      <c r="B13" s="5"/>
      <c r="C13" t="s">
        <v>565</v>
      </c>
      <c r="D13" t="b">
        <f t="shared" si="0"/>
        <v>1</v>
      </c>
      <c r="F13" s="7" t="s">
        <v>2014</v>
      </c>
      <c r="G13" s="2">
        <f t="shared" si="1"/>
        <v>4</v>
      </c>
    </row>
    <row r="14" spans="1:7" x14ac:dyDescent="0.25">
      <c r="A14" t="s">
        <v>15</v>
      </c>
      <c r="B14" s="5" t="s">
        <v>20</v>
      </c>
      <c r="C14" t="s">
        <v>20</v>
      </c>
      <c r="D14" t="b">
        <f t="shared" si="0"/>
        <v>0</v>
      </c>
      <c r="F14" s="7" t="s">
        <v>288</v>
      </c>
      <c r="G14" s="2">
        <f t="shared" si="1"/>
        <v>14</v>
      </c>
    </row>
    <row r="15" spans="1:7" x14ac:dyDescent="0.25">
      <c r="A15" t="s">
        <v>15</v>
      </c>
      <c r="B15" s="5" t="s">
        <v>43</v>
      </c>
      <c r="C15" t="s">
        <v>43</v>
      </c>
      <c r="D15" t="b">
        <f t="shared" si="0"/>
        <v>0</v>
      </c>
      <c r="F15" s="7" t="s">
        <v>46</v>
      </c>
      <c r="G15" s="2">
        <f t="shared" si="1"/>
        <v>4</v>
      </c>
    </row>
    <row r="16" spans="1:7" x14ac:dyDescent="0.25">
      <c r="A16" t="s">
        <v>15</v>
      </c>
      <c r="B16" s="5"/>
      <c r="C16" t="s">
        <v>997</v>
      </c>
      <c r="D16" t="b">
        <f t="shared" si="0"/>
        <v>1</v>
      </c>
      <c r="G16" s="2"/>
    </row>
    <row r="17" spans="1:7" x14ac:dyDescent="0.25">
      <c r="A17" t="s">
        <v>15</v>
      </c>
      <c r="B17" s="5" t="s">
        <v>229</v>
      </c>
      <c r="C17" t="s">
        <v>229</v>
      </c>
      <c r="D17" t="b">
        <f t="shared" si="0"/>
        <v>0</v>
      </c>
      <c r="G17" s="2"/>
    </row>
    <row r="18" spans="1:7" x14ac:dyDescent="0.25">
      <c r="A18" t="s">
        <v>15</v>
      </c>
      <c r="B18" s="5" t="s">
        <v>161</v>
      </c>
      <c r="C18" t="s">
        <v>161</v>
      </c>
      <c r="D18" t="b">
        <f t="shared" si="0"/>
        <v>0</v>
      </c>
      <c r="G18" s="2"/>
    </row>
    <row r="19" spans="1:7" x14ac:dyDescent="0.25">
      <c r="A19" t="s">
        <v>15</v>
      </c>
      <c r="B19" s="5"/>
      <c r="C19" t="s">
        <v>1413</v>
      </c>
      <c r="D19" t="b">
        <f t="shared" si="0"/>
        <v>1</v>
      </c>
      <c r="G19" s="2"/>
    </row>
    <row r="20" spans="1:7" x14ac:dyDescent="0.25">
      <c r="A20" t="s">
        <v>15</v>
      </c>
      <c r="B20" s="5"/>
      <c r="C20" t="s">
        <v>2043</v>
      </c>
      <c r="D20" t="b">
        <f t="shared" si="0"/>
        <v>1</v>
      </c>
      <c r="G20" s="2"/>
    </row>
    <row r="21" spans="1:7" x14ac:dyDescent="0.25">
      <c r="A21" t="s">
        <v>15</v>
      </c>
      <c r="B21" s="5"/>
      <c r="C21" t="s">
        <v>2044</v>
      </c>
      <c r="D21" t="b">
        <f t="shared" si="0"/>
        <v>1</v>
      </c>
      <c r="G21" s="2"/>
    </row>
    <row r="22" spans="1:7" x14ac:dyDescent="0.25">
      <c r="A22" t="s">
        <v>15</v>
      </c>
      <c r="B22" s="5"/>
      <c r="C22" t="s">
        <v>172</v>
      </c>
      <c r="D22" t="b">
        <f t="shared" si="0"/>
        <v>1</v>
      </c>
      <c r="G22" s="2"/>
    </row>
    <row r="23" spans="1:7" x14ac:dyDescent="0.25">
      <c r="A23" t="s">
        <v>15</v>
      </c>
      <c r="B23" s="5"/>
      <c r="C23" t="s">
        <v>172</v>
      </c>
      <c r="D23" t="b">
        <f t="shared" si="0"/>
        <v>1</v>
      </c>
      <c r="G23" s="2"/>
    </row>
    <row r="24" spans="1:7" x14ac:dyDescent="0.25">
      <c r="A24" t="s">
        <v>15</v>
      </c>
      <c r="B24" s="5"/>
      <c r="C24" t="s">
        <v>172</v>
      </c>
      <c r="D24" t="b">
        <f t="shared" si="0"/>
        <v>1</v>
      </c>
      <c r="G24" s="2"/>
    </row>
    <row r="25" spans="1:7" x14ac:dyDescent="0.25">
      <c r="A25" t="s">
        <v>15</v>
      </c>
      <c r="B25" s="5"/>
      <c r="C25" t="s">
        <v>172</v>
      </c>
      <c r="D25" t="b">
        <f t="shared" si="0"/>
        <v>1</v>
      </c>
    </row>
    <row r="26" spans="1:7" x14ac:dyDescent="0.25">
      <c r="A26" t="s">
        <v>15</v>
      </c>
      <c r="B26" s="5"/>
      <c r="C26" t="s">
        <v>172</v>
      </c>
      <c r="D26" t="b">
        <f t="shared" si="0"/>
        <v>1</v>
      </c>
    </row>
    <row r="27" spans="1:7" x14ac:dyDescent="0.25">
      <c r="A27" t="s">
        <v>15</v>
      </c>
      <c r="B27" s="5"/>
      <c r="C27" t="s">
        <v>172</v>
      </c>
      <c r="D27" t="b">
        <f t="shared" si="0"/>
        <v>1</v>
      </c>
    </row>
    <row r="28" spans="1:7" x14ac:dyDescent="0.25">
      <c r="A28" t="s">
        <v>15</v>
      </c>
      <c r="B28" s="5"/>
      <c r="C28" t="s">
        <v>61</v>
      </c>
      <c r="D28" t="b">
        <f t="shared" si="0"/>
        <v>1</v>
      </c>
    </row>
    <row r="29" spans="1:7" x14ac:dyDescent="0.25">
      <c r="A29" t="s">
        <v>15</v>
      </c>
      <c r="B29" s="5"/>
      <c r="C29" t="s">
        <v>61</v>
      </c>
      <c r="D29" t="b">
        <f t="shared" si="0"/>
        <v>1</v>
      </c>
    </row>
    <row r="30" spans="1:7" x14ac:dyDescent="0.25">
      <c r="A30" t="s">
        <v>15</v>
      </c>
      <c r="B30" s="5"/>
      <c r="C30" t="s">
        <v>61</v>
      </c>
      <c r="D30" t="b">
        <f t="shared" si="0"/>
        <v>1</v>
      </c>
    </row>
    <row r="31" spans="1:7" x14ac:dyDescent="0.25">
      <c r="A31" t="s">
        <v>15</v>
      </c>
      <c r="B31" s="5"/>
      <c r="C31" t="s">
        <v>61</v>
      </c>
      <c r="D31" t="b">
        <f t="shared" si="0"/>
        <v>1</v>
      </c>
    </row>
    <row r="32" spans="1:7" x14ac:dyDescent="0.25">
      <c r="A32" t="s">
        <v>15</v>
      </c>
      <c r="B32" s="5"/>
      <c r="C32" t="s">
        <v>61</v>
      </c>
      <c r="D32" t="b">
        <f t="shared" si="0"/>
        <v>1</v>
      </c>
    </row>
    <row r="33" spans="1:8" x14ac:dyDescent="0.25">
      <c r="A33" t="s">
        <v>15</v>
      </c>
      <c r="B33" s="5"/>
      <c r="C33" t="s">
        <v>122</v>
      </c>
      <c r="D33" t="b">
        <f t="shared" si="0"/>
        <v>1</v>
      </c>
    </row>
    <row r="34" spans="1:8" x14ac:dyDescent="0.25">
      <c r="A34" t="s">
        <v>15</v>
      </c>
      <c r="B34" s="5"/>
      <c r="C34" t="s">
        <v>122</v>
      </c>
      <c r="D34" t="b">
        <f t="shared" si="0"/>
        <v>1</v>
      </c>
    </row>
    <row r="35" spans="1:8" x14ac:dyDescent="0.25">
      <c r="A35" t="s">
        <v>15</v>
      </c>
      <c r="B35" s="5"/>
      <c r="C35" t="s">
        <v>122</v>
      </c>
      <c r="D35" t="b">
        <f t="shared" si="0"/>
        <v>1</v>
      </c>
    </row>
    <row r="36" spans="1:8" x14ac:dyDescent="0.25">
      <c r="A36" t="s">
        <v>15</v>
      </c>
      <c r="B36" s="5"/>
      <c r="C36" t="s">
        <v>122</v>
      </c>
      <c r="D36" t="b">
        <f t="shared" si="0"/>
        <v>1</v>
      </c>
    </row>
    <row r="37" spans="1:8" x14ac:dyDescent="0.25">
      <c r="A37" t="s">
        <v>15</v>
      </c>
      <c r="B37" s="5"/>
      <c r="C37" t="s">
        <v>122</v>
      </c>
      <c r="D37" t="b">
        <f t="shared" si="0"/>
        <v>1</v>
      </c>
    </row>
    <row r="38" spans="1:8" x14ac:dyDescent="0.25">
      <c r="A38" t="s">
        <v>15</v>
      </c>
      <c r="B38" s="5"/>
      <c r="C38" t="s">
        <v>122</v>
      </c>
      <c r="D38" t="b">
        <f t="shared" si="0"/>
        <v>1</v>
      </c>
    </row>
    <row r="39" spans="1:8" x14ac:dyDescent="0.25">
      <c r="A39" t="s">
        <v>22</v>
      </c>
      <c r="B39" t="s">
        <v>2017</v>
      </c>
      <c r="C39" t="s">
        <v>2017</v>
      </c>
      <c r="D39" t="e">
        <f>#REF!&lt;&gt;#REF!</f>
        <v>#REF!</v>
      </c>
    </row>
    <row r="40" spans="1:8" x14ac:dyDescent="0.25">
      <c r="A40" t="s">
        <v>22</v>
      </c>
      <c r="B40" t="s">
        <v>2011</v>
      </c>
      <c r="C40" t="s">
        <v>2011</v>
      </c>
      <c r="D40" t="e">
        <f>#REF!&lt;&gt;#REF!</f>
        <v>#REF!</v>
      </c>
    </row>
    <row r="41" spans="1:8" x14ac:dyDescent="0.25">
      <c r="A41" t="s">
        <v>22</v>
      </c>
      <c r="B41" t="s">
        <v>2040</v>
      </c>
      <c r="C41" t="s">
        <v>2040</v>
      </c>
      <c r="D41" t="e">
        <f>#REF!&lt;&gt;#REF!</f>
        <v>#REF!</v>
      </c>
    </row>
    <row r="42" spans="1:8" x14ac:dyDescent="0.25">
      <c r="A42" t="s">
        <v>22</v>
      </c>
      <c r="C42" t="s">
        <v>2041</v>
      </c>
      <c r="D42" t="b">
        <f>F98&lt;&gt;I98</f>
        <v>0</v>
      </c>
    </row>
    <row r="43" spans="1:8" x14ac:dyDescent="0.25">
      <c r="A43" t="s">
        <v>22</v>
      </c>
      <c r="B43" t="s">
        <v>1812</v>
      </c>
      <c r="C43" t="s">
        <v>1812</v>
      </c>
      <c r="D43" t="b">
        <f>F99&lt;&gt;I99</f>
        <v>0</v>
      </c>
      <c r="E43" t="s">
        <v>2231</v>
      </c>
    </row>
    <row r="44" spans="1:8" x14ac:dyDescent="0.25">
      <c r="A44" t="s">
        <v>22</v>
      </c>
      <c r="B44" t="s">
        <v>2089</v>
      </c>
      <c r="C44" t="s">
        <v>2042</v>
      </c>
      <c r="D44" t="b">
        <f>F100&lt;&gt;I100</f>
        <v>0</v>
      </c>
    </row>
    <row r="45" spans="1:8" x14ac:dyDescent="0.25">
      <c r="A45" t="s">
        <v>22</v>
      </c>
      <c r="B45" t="s">
        <v>2039</v>
      </c>
      <c r="C45" t="s">
        <v>2039</v>
      </c>
      <c r="D45" t="b">
        <f>F101&lt;&gt;I101</f>
        <v>0</v>
      </c>
    </row>
    <row r="46" spans="1:8" x14ac:dyDescent="0.25">
      <c r="A46" t="s">
        <v>22</v>
      </c>
      <c r="C46" t="s">
        <v>1981</v>
      </c>
      <c r="D46" t="b">
        <f>F102&lt;&gt;I102</f>
        <v>0</v>
      </c>
      <c r="F46"/>
      <c r="H46" s="3"/>
    </row>
    <row r="47" spans="1:8" x14ac:dyDescent="0.25">
      <c r="A47" t="s">
        <v>2014</v>
      </c>
      <c r="B47" t="s">
        <v>2026</v>
      </c>
      <c r="C47" t="s">
        <v>2026</v>
      </c>
      <c r="F47"/>
      <c r="H47" s="3"/>
    </row>
    <row r="48" spans="1:8" x14ac:dyDescent="0.25">
      <c r="A48" t="s">
        <v>2014</v>
      </c>
      <c r="B48" t="s">
        <v>1990</v>
      </c>
      <c r="C48" t="s">
        <v>1990</v>
      </c>
      <c r="D48" t="b">
        <f t="shared" si="0"/>
        <v>0</v>
      </c>
    </row>
    <row r="49" spans="1:6" x14ac:dyDescent="0.25">
      <c r="A49" t="s">
        <v>2014</v>
      </c>
      <c r="B49" s="5" t="s">
        <v>2027</v>
      </c>
      <c r="C49" t="s">
        <v>2027</v>
      </c>
    </row>
    <row r="50" spans="1:6" x14ac:dyDescent="0.25">
      <c r="A50" t="s">
        <v>2014</v>
      </c>
      <c r="B50" s="5"/>
      <c r="C50" t="s">
        <v>1987</v>
      </c>
    </row>
    <row r="51" spans="1:6" x14ac:dyDescent="0.25">
      <c r="A51" t="s">
        <v>2013</v>
      </c>
      <c r="C51" t="s">
        <v>310</v>
      </c>
      <c r="D51" t="b">
        <f t="shared" si="0"/>
        <v>1</v>
      </c>
      <c r="F51"/>
    </row>
    <row r="52" spans="1:6" x14ac:dyDescent="0.25">
      <c r="A52" t="s">
        <v>2013</v>
      </c>
      <c r="C52" t="s">
        <v>735</v>
      </c>
      <c r="D52" t="b">
        <f t="shared" si="0"/>
        <v>1</v>
      </c>
    </row>
    <row r="53" spans="1:6" x14ac:dyDescent="0.25">
      <c r="A53" t="s">
        <v>2013</v>
      </c>
      <c r="B53" t="s">
        <v>653</v>
      </c>
      <c r="C53" t="s">
        <v>653</v>
      </c>
      <c r="D53" t="b">
        <f t="shared" si="0"/>
        <v>0</v>
      </c>
    </row>
    <row r="54" spans="1:6" x14ac:dyDescent="0.25">
      <c r="A54" t="s">
        <v>2013</v>
      </c>
      <c r="C54" t="s">
        <v>312</v>
      </c>
      <c r="D54" t="b">
        <f t="shared" si="0"/>
        <v>1</v>
      </c>
    </row>
    <row r="55" spans="1:6" x14ac:dyDescent="0.25">
      <c r="A55" t="s">
        <v>2013</v>
      </c>
      <c r="C55" t="s">
        <v>492</v>
      </c>
      <c r="D55" t="b">
        <f t="shared" si="0"/>
        <v>1</v>
      </c>
    </row>
    <row r="56" spans="1:6" x14ac:dyDescent="0.25">
      <c r="A56" t="s">
        <v>2013</v>
      </c>
      <c r="B56" s="5"/>
      <c r="C56" t="s">
        <v>1729</v>
      </c>
      <c r="D56" t="b">
        <f t="shared" ref="D56:D82" si="2">B56&lt;&gt;C56</f>
        <v>1</v>
      </c>
      <c r="F56"/>
    </row>
    <row r="57" spans="1:6" x14ac:dyDescent="0.25">
      <c r="A57" t="s">
        <v>2013</v>
      </c>
      <c r="B57" s="5"/>
      <c r="C57" t="s">
        <v>146</v>
      </c>
      <c r="D57" t="b">
        <f t="shared" si="2"/>
        <v>1</v>
      </c>
      <c r="F57"/>
    </row>
    <row r="58" spans="1:6" x14ac:dyDescent="0.25">
      <c r="A58" t="s">
        <v>2013</v>
      </c>
      <c r="B58" s="5"/>
      <c r="C58" t="s">
        <v>330</v>
      </c>
      <c r="D58" t="b">
        <f t="shared" si="2"/>
        <v>1</v>
      </c>
      <c r="F58"/>
    </row>
    <row r="59" spans="1:6" x14ac:dyDescent="0.25">
      <c r="A59" t="s">
        <v>2013</v>
      </c>
      <c r="B59" s="5" t="s">
        <v>2015</v>
      </c>
      <c r="C59" t="s">
        <v>2015</v>
      </c>
      <c r="D59" t="b">
        <f t="shared" si="2"/>
        <v>0</v>
      </c>
      <c r="F59"/>
    </row>
    <row r="60" spans="1:6" x14ac:dyDescent="0.25">
      <c r="A60" t="s">
        <v>2013</v>
      </c>
      <c r="B60" s="5"/>
      <c r="C60" t="s">
        <v>2016</v>
      </c>
      <c r="D60" t="b">
        <f t="shared" si="2"/>
        <v>1</v>
      </c>
      <c r="F60"/>
    </row>
    <row r="61" spans="1:6" x14ac:dyDescent="0.25">
      <c r="A61" t="s">
        <v>2013</v>
      </c>
      <c r="B61" s="5" t="s">
        <v>2019</v>
      </c>
      <c r="C61" t="s">
        <v>2019</v>
      </c>
      <c r="D61" t="b">
        <f t="shared" si="2"/>
        <v>0</v>
      </c>
      <c r="F61"/>
    </row>
    <row r="62" spans="1:6" x14ac:dyDescent="0.25">
      <c r="A62" t="s">
        <v>2013</v>
      </c>
      <c r="B62" s="5"/>
      <c r="C62" t="s">
        <v>2278</v>
      </c>
      <c r="D62" t="b">
        <f t="shared" si="2"/>
        <v>1</v>
      </c>
      <c r="F62"/>
    </row>
    <row r="63" spans="1:6" x14ac:dyDescent="0.25">
      <c r="A63" t="s">
        <v>2013</v>
      </c>
      <c r="B63" s="5" t="s">
        <v>2020</v>
      </c>
      <c r="C63" t="s">
        <v>2020</v>
      </c>
      <c r="D63" t="b">
        <f t="shared" si="2"/>
        <v>0</v>
      </c>
      <c r="F63"/>
    </row>
    <row r="64" spans="1:6" x14ac:dyDescent="0.25">
      <c r="A64" t="s">
        <v>2013</v>
      </c>
      <c r="B64" s="5"/>
      <c r="C64" t="s">
        <v>2006</v>
      </c>
      <c r="D64" t="b">
        <f t="shared" si="2"/>
        <v>1</v>
      </c>
    </row>
    <row r="65" spans="1:8" x14ac:dyDescent="0.25">
      <c r="A65" t="s">
        <v>2013</v>
      </c>
      <c r="B65" s="5" t="s">
        <v>2008</v>
      </c>
      <c r="C65" t="s">
        <v>2008</v>
      </c>
      <c r="D65" t="b">
        <f t="shared" si="2"/>
        <v>0</v>
      </c>
    </row>
    <row r="66" spans="1:8" x14ac:dyDescent="0.25">
      <c r="A66" t="s">
        <v>2013</v>
      </c>
      <c r="B66" s="5" t="s">
        <v>2007</v>
      </c>
      <c r="C66" t="s">
        <v>2007</v>
      </c>
      <c r="D66" t="b">
        <f t="shared" si="2"/>
        <v>0</v>
      </c>
    </row>
    <row r="67" spans="1:8" x14ac:dyDescent="0.25">
      <c r="A67" t="s">
        <v>42</v>
      </c>
      <c r="B67" s="5"/>
      <c r="C67" t="s">
        <v>1939</v>
      </c>
      <c r="D67" t="b">
        <f t="shared" si="2"/>
        <v>1</v>
      </c>
    </row>
    <row r="68" spans="1:8" x14ac:dyDescent="0.25">
      <c r="A68" t="s">
        <v>42</v>
      </c>
      <c r="B68" s="5" t="s">
        <v>97</v>
      </c>
      <c r="C68" t="s">
        <v>97</v>
      </c>
      <c r="D68" t="b">
        <f t="shared" si="2"/>
        <v>0</v>
      </c>
    </row>
    <row r="69" spans="1:8" x14ac:dyDescent="0.25">
      <c r="A69" t="s">
        <v>42</v>
      </c>
      <c r="B69" s="5"/>
      <c r="C69" t="s">
        <v>98</v>
      </c>
      <c r="D69" t="b">
        <f t="shared" si="2"/>
        <v>1</v>
      </c>
    </row>
    <row r="70" spans="1:8" x14ac:dyDescent="0.25">
      <c r="A70" t="s">
        <v>27</v>
      </c>
      <c r="B70" s="5" t="s">
        <v>1374</v>
      </c>
      <c r="C70" t="s">
        <v>1374</v>
      </c>
      <c r="D70" t="b">
        <f t="shared" si="2"/>
        <v>0</v>
      </c>
    </row>
    <row r="71" spans="1:8" x14ac:dyDescent="0.25">
      <c r="A71" t="s">
        <v>27</v>
      </c>
      <c r="B71" s="5"/>
      <c r="C71" t="s">
        <v>769</v>
      </c>
      <c r="D71" t="b">
        <f t="shared" si="2"/>
        <v>1</v>
      </c>
      <c r="F71" s="5"/>
    </row>
    <row r="72" spans="1:8" x14ac:dyDescent="0.25">
      <c r="A72" t="s">
        <v>27</v>
      </c>
      <c r="B72" s="5"/>
      <c r="C72" t="s">
        <v>1928</v>
      </c>
      <c r="D72" t="b">
        <f t="shared" si="2"/>
        <v>1</v>
      </c>
      <c r="F72" s="5"/>
    </row>
    <row r="73" spans="1:8" x14ac:dyDescent="0.25">
      <c r="A73" t="s">
        <v>288</v>
      </c>
      <c r="B73" s="5" t="s">
        <v>2013</v>
      </c>
      <c r="C73" t="s">
        <v>2013</v>
      </c>
      <c r="D73" t="b">
        <f t="shared" si="2"/>
        <v>0</v>
      </c>
      <c r="F73" s="5"/>
    </row>
    <row r="74" spans="1:8" x14ac:dyDescent="0.25">
      <c r="A74" t="s">
        <v>288</v>
      </c>
      <c r="B74" s="5"/>
      <c r="C74" t="s">
        <v>2029</v>
      </c>
      <c r="D74" t="b">
        <f>B74&lt;&gt;C74</f>
        <v>1</v>
      </c>
      <c r="F74" s="5"/>
    </row>
    <row r="75" spans="1:8" x14ac:dyDescent="0.25">
      <c r="A75" t="s">
        <v>288</v>
      </c>
      <c r="B75" s="5" t="s">
        <v>2084</v>
      </c>
      <c r="C75" t="s">
        <v>1989</v>
      </c>
      <c r="D75" t="b">
        <f>B75&lt;&gt;C75</f>
        <v>1</v>
      </c>
      <c r="F75" s="5"/>
    </row>
    <row r="76" spans="1:8" x14ac:dyDescent="0.25">
      <c r="A76" t="s">
        <v>288</v>
      </c>
      <c r="B76" s="5" t="s">
        <v>2002</v>
      </c>
      <c r="C76" t="s">
        <v>2035</v>
      </c>
      <c r="D76" t="b">
        <f>B76&lt;&gt;C76</f>
        <v>1</v>
      </c>
      <c r="F76" s="5" t="s">
        <v>2036</v>
      </c>
    </row>
    <row r="77" spans="1:8" x14ac:dyDescent="0.25">
      <c r="A77" t="s">
        <v>288</v>
      </c>
      <c r="B77" s="5"/>
      <c r="C77" s="5" t="s">
        <v>2034</v>
      </c>
      <c r="D77" t="b">
        <f>B77&lt;&gt;C77</f>
        <v>1</v>
      </c>
      <c r="F77" s="5"/>
    </row>
    <row r="78" spans="1:8" x14ac:dyDescent="0.25">
      <c r="A78" t="s">
        <v>288</v>
      </c>
      <c r="B78" s="5" t="s">
        <v>2038</v>
      </c>
      <c r="C78" t="s">
        <v>2004</v>
      </c>
      <c r="D78" t="b">
        <f t="shared" si="2"/>
        <v>1</v>
      </c>
      <c r="F78" s="5"/>
    </row>
    <row r="79" spans="1:8" x14ac:dyDescent="0.25">
      <c r="A79" t="s">
        <v>288</v>
      </c>
      <c r="B79" s="5" t="s">
        <v>1901</v>
      </c>
      <c r="C79" t="s">
        <v>1901</v>
      </c>
      <c r="D79" t="b">
        <f t="shared" si="2"/>
        <v>0</v>
      </c>
      <c r="E79" t="s">
        <v>2230</v>
      </c>
      <c r="F79" s="5"/>
      <c r="H79" s="5"/>
    </row>
    <row r="80" spans="1:8" x14ac:dyDescent="0.25">
      <c r="A80" t="s">
        <v>288</v>
      </c>
      <c r="B80" s="5" t="s">
        <v>1992</v>
      </c>
      <c r="C80" t="s">
        <v>1992</v>
      </c>
      <c r="D80" t="b">
        <f t="shared" si="2"/>
        <v>0</v>
      </c>
      <c r="H80" s="5"/>
    </row>
    <row r="81" spans="1:14" x14ac:dyDescent="0.25">
      <c r="A81" t="s">
        <v>288</v>
      </c>
      <c r="B81" s="5"/>
      <c r="C81" s="5" t="s">
        <v>1935</v>
      </c>
      <c r="D81" t="b">
        <f t="shared" si="2"/>
        <v>1</v>
      </c>
      <c r="H81" s="5"/>
    </row>
    <row r="82" spans="1:14" x14ac:dyDescent="0.25">
      <c r="A82" t="s">
        <v>288</v>
      </c>
      <c r="B82" s="5"/>
      <c r="C82" t="s">
        <v>1309</v>
      </c>
      <c r="D82" t="b">
        <f t="shared" si="2"/>
        <v>1</v>
      </c>
    </row>
    <row r="83" spans="1:14" x14ac:dyDescent="0.25">
      <c r="A83" t="s">
        <v>288</v>
      </c>
      <c r="B83" s="5" t="s">
        <v>2045</v>
      </c>
      <c r="C83" t="s">
        <v>2045</v>
      </c>
      <c r="D83" t="b">
        <f>B83&lt;&gt;C83</f>
        <v>0</v>
      </c>
    </row>
    <row r="84" spans="1:14" x14ac:dyDescent="0.25">
      <c r="A84" t="s">
        <v>288</v>
      </c>
      <c r="B84" s="5"/>
      <c r="C84" t="s">
        <v>2037</v>
      </c>
      <c r="D84" t="b">
        <f>B84&lt;&gt;C84</f>
        <v>1</v>
      </c>
    </row>
    <row r="85" spans="1:14" x14ac:dyDescent="0.25">
      <c r="A85" t="s">
        <v>288</v>
      </c>
      <c r="B85" s="5"/>
      <c r="C85" t="s">
        <v>1995</v>
      </c>
      <c r="D85" t="b">
        <f>B85&lt;&gt;C85</f>
        <v>1</v>
      </c>
    </row>
    <row r="86" spans="1:14" x14ac:dyDescent="0.25">
      <c r="A86" t="s">
        <v>288</v>
      </c>
      <c r="B86" s="5"/>
      <c r="C86" t="s">
        <v>1988</v>
      </c>
      <c r="D86" t="b">
        <f>B86&lt;&gt;C86</f>
        <v>1</v>
      </c>
    </row>
    <row r="87" spans="1:14" x14ac:dyDescent="0.25">
      <c r="A87" t="s">
        <v>46</v>
      </c>
      <c r="B87" s="5"/>
      <c r="C87" s="5" t="s">
        <v>2033</v>
      </c>
    </row>
    <row r="88" spans="1:14" x14ac:dyDescent="0.25">
      <c r="A88" t="s">
        <v>46</v>
      </c>
      <c r="B88" s="5" t="s">
        <v>1997</v>
      </c>
      <c r="C88" t="s">
        <v>1997</v>
      </c>
    </row>
    <row r="89" spans="1:14" x14ac:dyDescent="0.25">
      <c r="A89" t="s">
        <v>46</v>
      </c>
      <c r="B89" s="5" t="s">
        <v>1801</v>
      </c>
      <c r="C89" t="s">
        <v>1801</v>
      </c>
    </row>
    <row r="90" spans="1:14" x14ac:dyDescent="0.25">
      <c r="A90" t="s">
        <v>46</v>
      </c>
      <c r="B90" s="5"/>
      <c r="C90" t="s">
        <v>2001</v>
      </c>
    </row>
    <row r="91" spans="1:14" x14ac:dyDescent="0.25">
      <c r="A91" t="s">
        <v>2032</v>
      </c>
      <c r="B91" s="5"/>
      <c r="C91" t="s">
        <v>2030</v>
      </c>
      <c r="F91" t="s">
        <v>1991</v>
      </c>
    </row>
    <row r="92" spans="1:14" x14ac:dyDescent="0.25">
      <c r="A92" t="s">
        <v>2032</v>
      </c>
      <c r="B92" s="5" t="s">
        <v>2088</v>
      </c>
      <c r="C92" t="s">
        <v>1993</v>
      </c>
      <c r="F92" t="s">
        <v>2009</v>
      </c>
      <c r="G92" s="3"/>
      <c r="L92" s="3"/>
    </row>
    <row r="93" spans="1:14" x14ac:dyDescent="0.25">
      <c r="A93" t="s">
        <v>2032</v>
      </c>
      <c r="B93" s="5" t="s">
        <v>2021</v>
      </c>
      <c r="C93" t="s">
        <v>2021</v>
      </c>
      <c r="F93"/>
      <c r="N93" s="3"/>
    </row>
    <row r="94" spans="1:14" x14ac:dyDescent="0.25">
      <c r="A94" t="s">
        <v>2032</v>
      </c>
      <c r="B94" s="5" t="s">
        <v>2000</v>
      </c>
      <c r="C94" s="5" t="s">
        <v>2000</v>
      </c>
      <c r="F94"/>
    </row>
    <row r="95" spans="1:14" x14ac:dyDescent="0.25">
      <c r="A95" t="s">
        <v>2032</v>
      </c>
      <c r="B95" s="5" t="s">
        <v>1999</v>
      </c>
      <c r="C95" s="5" t="s">
        <v>1449</v>
      </c>
      <c r="F95"/>
    </row>
    <row r="96" spans="1:14" x14ac:dyDescent="0.25">
      <c r="A96" t="s">
        <v>2032</v>
      </c>
      <c r="B96" s="5" t="s">
        <v>1986</v>
      </c>
      <c r="C96" s="5" t="s">
        <v>1986</v>
      </c>
      <c r="F96"/>
    </row>
    <row r="97" spans="1:12" x14ac:dyDescent="0.25">
      <c r="A97" t="s">
        <v>2032</v>
      </c>
      <c r="B97" s="5" t="s">
        <v>2010</v>
      </c>
      <c r="C97" s="5" t="s">
        <v>2010</v>
      </c>
      <c r="L97" s="3"/>
    </row>
    <row r="98" spans="1:12" x14ac:dyDescent="0.25">
      <c r="A98" t="s">
        <v>2032</v>
      </c>
      <c r="B98" s="5" t="s">
        <v>2085</v>
      </c>
      <c r="C98" t="s">
        <v>2003</v>
      </c>
      <c r="F98" s="5"/>
    </row>
    <row r="99" spans="1:12" x14ac:dyDescent="0.25">
      <c r="A99" t="s">
        <v>2032</v>
      </c>
      <c r="B99" s="5" t="s">
        <v>131</v>
      </c>
      <c r="C99" s="5" t="s">
        <v>2031</v>
      </c>
      <c r="F99" s="5"/>
      <c r="K99" s="3"/>
    </row>
    <row r="100" spans="1:12" x14ac:dyDescent="0.25">
      <c r="A100" t="s">
        <v>2032</v>
      </c>
      <c r="B100" s="5"/>
      <c r="C100" t="s">
        <v>1994</v>
      </c>
      <c r="F100" s="5"/>
    </row>
    <row r="101" spans="1:12" x14ac:dyDescent="0.25">
      <c r="A101" t="s">
        <v>2032</v>
      </c>
      <c r="B101" s="5" t="s">
        <v>1998</v>
      </c>
      <c r="C101" s="5" t="s">
        <v>1998</v>
      </c>
      <c r="F101" s="5"/>
    </row>
    <row r="102" spans="1:12" x14ac:dyDescent="0.25">
      <c r="A102" s="5" t="s">
        <v>2032</v>
      </c>
      <c r="B102" s="5"/>
      <c r="C102" s="5" t="s">
        <v>1996</v>
      </c>
      <c r="F102"/>
    </row>
    <row r="103" spans="1:12" x14ac:dyDescent="0.25">
      <c r="F103"/>
    </row>
    <row r="104" spans="1:12" x14ac:dyDescent="0.25">
      <c r="F104"/>
    </row>
    <row r="105" spans="1:12" x14ac:dyDescent="0.25">
      <c r="F105"/>
    </row>
    <row r="106" spans="1:12" x14ac:dyDescent="0.25">
      <c r="F106"/>
    </row>
    <row r="107" spans="1:12" x14ac:dyDescent="0.25">
      <c r="F107"/>
    </row>
    <row r="108" spans="1:12" x14ac:dyDescent="0.25">
      <c r="F108"/>
    </row>
    <row r="109" spans="1:12" x14ac:dyDescent="0.25">
      <c r="F109"/>
    </row>
    <row r="110" spans="1:12" x14ac:dyDescent="0.25">
      <c r="F110"/>
    </row>
    <row r="111" spans="1:12" x14ac:dyDescent="0.25">
      <c r="F111"/>
    </row>
    <row r="112" spans="1:12" x14ac:dyDescent="0.25">
      <c r="F112"/>
    </row>
  </sheetData>
  <mergeCells count="1">
    <mergeCell ref="A1:G1"/>
  </mergeCells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notContainsText" priority="1" operator="notContains" id="{A439A1BA-429B-42D3-A2DC-4A4C581D9E09}">
            <xm:f>ISERROR(SEARCH(C3,B3))</xm:f>
            <xm:f>C3</xm:f>
            <x14:dxf>
              <fill>
                <patternFill>
                  <bgColor theme="5" tint="0.39994506668294322"/>
                </patternFill>
              </fill>
            </x14:dxf>
          </x14:cfRule>
          <xm:sqref>B3:B102</xm:sqref>
        </x14:conditionalFormatting>
      </x14:conditionalFormatting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962D4-A40A-4884-842A-3AC0E5319374}">
  <dimension ref="A1:G102"/>
  <sheetViews>
    <sheetView workbookViewId="0">
      <selection activeCell="C7" sqref="C7"/>
    </sheetView>
  </sheetViews>
  <sheetFormatPr defaultRowHeight="15" x14ac:dyDescent="0.25"/>
  <cols>
    <col min="1" max="1" width="12.85546875" style="5" customWidth="1"/>
    <col min="2" max="2" width="38.7109375" customWidth="1"/>
    <col min="3" max="3" width="38.7109375" style="5" customWidth="1"/>
    <col min="4" max="4" width="12.42578125" hidden="1" customWidth="1"/>
    <col min="5" max="5" width="4.28515625" customWidth="1"/>
    <col min="6" max="6" width="22.7109375" style="3" customWidth="1"/>
    <col min="7" max="7" width="8.140625" bestFit="1" customWidth="1"/>
  </cols>
  <sheetData>
    <row r="1" spans="1:7" ht="21" x14ac:dyDescent="0.25">
      <c r="A1" s="12" t="s">
        <v>2101</v>
      </c>
      <c r="B1" s="12"/>
      <c r="C1" s="12"/>
      <c r="D1" s="12"/>
      <c r="E1" s="12"/>
      <c r="F1" s="12"/>
      <c r="G1" s="12"/>
    </row>
    <row r="2" spans="1:7" x14ac:dyDescent="0.25">
      <c r="A2" s="4" t="s">
        <v>11</v>
      </c>
      <c r="B2" s="4" t="s">
        <v>12</v>
      </c>
      <c r="C2" s="11" t="s">
        <v>13</v>
      </c>
      <c r="D2" s="4" t="s">
        <v>14</v>
      </c>
      <c r="F2" s="4" t="s">
        <v>16</v>
      </c>
      <c r="G2" s="3">
        <f>COUNTIF(D:D,"Verdadeiro")</f>
        <v>86</v>
      </c>
    </row>
    <row r="3" spans="1:7" x14ac:dyDescent="0.25">
      <c r="A3" s="5" t="s">
        <v>1539</v>
      </c>
      <c r="B3" s="5"/>
      <c r="C3" s="5" t="s">
        <v>2047</v>
      </c>
      <c r="D3" t="b">
        <f>B3&lt;&gt;C3</f>
        <v>1</v>
      </c>
      <c r="F3" s="4" t="s">
        <v>17</v>
      </c>
      <c r="G3" s="10">
        <f>SUM(G5:G29)</f>
        <v>100</v>
      </c>
    </row>
    <row r="4" spans="1:7" x14ac:dyDescent="0.25">
      <c r="A4" t="s">
        <v>1539</v>
      </c>
      <c r="B4" s="5"/>
      <c r="C4" s="5" t="s">
        <v>2048</v>
      </c>
      <c r="D4" t="b">
        <f t="shared" ref="D4:D67" si="0">B4&lt;&gt;C4</f>
        <v>1</v>
      </c>
    </row>
    <row r="5" spans="1:7" x14ac:dyDescent="0.25">
      <c r="A5" t="s">
        <v>15</v>
      </c>
      <c r="B5" s="5"/>
      <c r="C5" s="5" t="s">
        <v>704</v>
      </c>
      <c r="D5" t="b">
        <f t="shared" si="0"/>
        <v>1</v>
      </c>
      <c r="F5" s="6" t="s">
        <v>19</v>
      </c>
      <c r="G5" s="1"/>
    </row>
    <row r="6" spans="1:7" x14ac:dyDescent="0.25">
      <c r="A6" t="s">
        <v>15</v>
      </c>
      <c r="B6" s="5"/>
      <c r="C6" s="5" t="s">
        <v>914</v>
      </c>
      <c r="D6" t="b">
        <f t="shared" si="0"/>
        <v>1</v>
      </c>
      <c r="F6" s="1" t="s">
        <v>15</v>
      </c>
      <c r="G6" s="2">
        <f t="shared" ref="G6:G13" si="1">COUNTIF(A:A,F6)</f>
        <v>35</v>
      </c>
    </row>
    <row r="7" spans="1:7" x14ac:dyDescent="0.25">
      <c r="A7" t="s">
        <v>15</v>
      </c>
      <c r="B7" s="5"/>
      <c r="C7" s="5" t="s">
        <v>2083</v>
      </c>
      <c r="D7" t="b">
        <f t="shared" si="0"/>
        <v>1</v>
      </c>
      <c r="F7" s="5" t="s">
        <v>1539</v>
      </c>
      <c r="G7" s="2">
        <f t="shared" si="1"/>
        <v>2</v>
      </c>
    </row>
    <row r="8" spans="1:7" x14ac:dyDescent="0.25">
      <c r="A8" t="s">
        <v>15</v>
      </c>
      <c r="B8" s="5" t="s">
        <v>20</v>
      </c>
      <c r="C8" s="5" t="s">
        <v>20</v>
      </c>
      <c r="D8" t="b">
        <f t="shared" si="0"/>
        <v>0</v>
      </c>
      <c r="F8" s="1" t="s">
        <v>21</v>
      </c>
      <c r="G8" s="2">
        <f t="shared" si="1"/>
        <v>0</v>
      </c>
    </row>
    <row r="9" spans="1:7" x14ac:dyDescent="0.25">
      <c r="A9" t="s">
        <v>15</v>
      </c>
      <c r="B9" s="5" t="s">
        <v>43</v>
      </c>
      <c r="C9" s="5" t="s">
        <v>43</v>
      </c>
      <c r="D9" t="b">
        <f t="shared" si="0"/>
        <v>0</v>
      </c>
      <c r="F9" s="1" t="s">
        <v>22</v>
      </c>
      <c r="G9" s="2">
        <f t="shared" si="1"/>
        <v>12</v>
      </c>
    </row>
    <row r="10" spans="1:7" x14ac:dyDescent="0.25">
      <c r="A10" t="s">
        <v>15</v>
      </c>
      <c r="B10" s="5"/>
      <c r="C10" s="5" t="s">
        <v>234</v>
      </c>
      <c r="D10" t="b">
        <f t="shared" si="0"/>
        <v>1</v>
      </c>
      <c r="F10" s="1" t="s">
        <v>2065</v>
      </c>
      <c r="G10" s="2">
        <f t="shared" si="1"/>
        <v>20</v>
      </c>
    </row>
    <row r="11" spans="1:7" x14ac:dyDescent="0.25">
      <c r="A11" t="s">
        <v>15</v>
      </c>
      <c r="B11" s="5"/>
      <c r="C11" s="5" t="s">
        <v>166</v>
      </c>
      <c r="D11" t="b">
        <f t="shared" si="0"/>
        <v>1</v>
      </c>
      <c r="F11" s="1" t="s">
        <v>44</v>
      </c>
      <c r="G11" s="2">
        <f t="shared" si="1"/>
        <v>10</v>
      </c>
    </row>
    <row r="12" spans="1:7" x14ac:dyDescent="0.25">
      <c r="A12" t="s">
        <v>15</v>
      </c>
      <c r="B12" s="5"/>
      <c r="C12" s="5" t="s">
        <v>116</v>
      </c>
      <c r="D12" t="b">
        <f t="shared" si="0"/>
        <v>1</v>
      </c>
      <c r="F12" s="1" t="s">
        <v>2049</v>
      </c>
      <c r="G12" s="2">
        <f t="shared" si="1"/>
        <v>6</v>
      </c>
    </row>
    <row r="13" spans="1:7" x14ac:dyDescent="0.25">
      <c r="A13" t="s">
        <v>15</v>
      </c>
      <c r="B13" s="5"/>
      <c r="C13" s="5" t="s">
        <v>235</v>
      </c>
      <c r="D13" t="b">
        <f t="shared" si="0"/>
        <v>1</v>
      </c>
      <c r="F13" s="5" t="s">
        <v>2050</v>
      </c>
      <c r="G13" s="2">
        <f t="shared" si="1"/>
        <v>15</v>
      </c>
    </row>
    <row r="14" spans="1:7" x14ac:dyDescent="0.25">
      <c r="A14" t="s">
        <v>15</v>
      </c>
      <c r="B14" s="5"/>
      <c r="C14" s="5" t="s">
        <v>1221</v>
      </c>
      <c r="D14" t="b">
        <f t="shared" si="0"/>
        <v>1</v>
      </c>
      <c r="F14" s="5"/>
      <c r="G14" s="2"/>
    </row>
    <row r="15" spans="1:7" x14ac:dyDescent="0.25">
      <c r="A15" t="s">
        <v>15</v>
      </c>
      <c r="B15" s="5"/>
      <c r="C15" s="5" t="s">
        <v>225</v>
      </c>
      <c r="D15" t="b">
        <f t="shared" si="0"/>
        <v>1</v>
      </c>
      <c r="F15" s="1"/>
      <c r="G15" s="2"/>
    </row>
    <row r="16" spans="1:7" x14ac:dyDescent="0.25">
      <c r="A16" t="s">
        <v>15</v>
      </c>
      <c r="B16" s="5"/>
      <c r="C16" s="5" t="s">
        <v>2043</v>
      </c>
      <c r="D16" t="b">
        <f t="shared" si="0"/>
        <v>1</v>
      </c>
      <c r="F16" s="1"/>
      <c r="G16" s="2"/>
    </row>
    <row r="17" spans="1:7" x14ac:dyDescent="0.25">
      <c r="A17" t="s">
        <v>15</v>
      </c>
      <c r="B17" s="5"/>
      <c r="C17" s="5" t="s">
        <v>2111</v>
      </c>
      <c r="D17" t="b">
        <f t="shared" si="0"/>
        <v>1</v>
      </c>
      <c r="F17" s="5"/>
      <c r="G17" s="2"/>
    </row>
    <row r="18" spans="1:7" x14ac:dyDescent="0.25">
      <c r="A18" t="s">
        <v>15</v>
      </c>
      <c r="B18" s="5"/>
      <c r="C18" s="5" t="s">
        <v>232</v>
      </c>
      <c r="D18" t="b">
        <f t="shared" si="0"/>
        <v>1</v>
      </c>
      <c r="F18" s="5"/>
      <c r="G18" s="2"/>
    </row>
    <row r="19" spans="1:7" x14ac:dyDescent="0.25">
      <c r="A19" t="s">
        <v>15</v>
      </c>
      <c r="B19" s="5"/>
      <c r="C19" s="5" t="s">
        <v>229</v>
      </c>
      <c r="D19" t="b">
        <f t="shared" si="0"/>
        <v>1</v>
      </c>
    </row>
    <row r="20" spans="1:7" x14ac:dyDescent="0.25">
      <c r="A20" t="s">
        <v>15</v>
      </c>
      <c r="B20" s="5"/>
      <c r="C20" s="5" t="s">
        <v>231</v>
      </c>
      <c r="D20" t="b">
        <f t="shared" si="0"/>
        <v>1</v>
      </c>
    </row>
    <row r="21" spans="1:7" x14ac:dyDescent="0.25">
      <c r="A21" t="s">
        <v>15</v>
      </c>
      <c r="B21" s="5" t="s">
        <v>119</v>
      </c>
      <c r="C21" s="5" t="s">
        <v>119</v>
      </c>
      <c r="D21" t="b">
        <f t="shared" si="0"/>
        <v>0</v>
      </c>
    </row>
    <row r="22" spans="1:7" x14ac:dyDescent="0.25">
      <c r="A22" t="s">
        <v>15</v>
      </c>
      <c r="B22" s="5"/>
      <c r="C22" s="5" t="s">
        <v>1413</v>
      </c>
      <c r="D22" t="b">
        <f t="shared" si="0"/>
        <v>1</v>
      </c>
    </row>
    <row r="23" spans="1:7" x14ac:dyDescent="0.25">
      <c r="A23" t="s">
        <v>15</v>
      </c>
      <c r="B23" s="5"/>
      <c r="C23" s="5" t="s">
        <v>161</v>
      </c>
      <c r="D23" t="b">
        <f t="shared" si="0"/>
        <v>1</v>
      </c>
    </row>
    <row r="24" spans="1:7" x14ac:dyDescent="0.25">
      <c r="A24" t="s">
        <v>15</v>
      </c>
      <c r="B24" s="5"/>
      <c r="C24" s="5" t="s">
        <v>122</v>
      </c>
      <c r="D24" t="b">
        <f t="shared" si="0"/>
        <v>1</v>
      </c>
    </row>
    <row r="25" spans="1:7" x14ac:dyDescent="0.25">
      <c r="A25" t="s">
        <v>15</v>
      </c>
      <c r="B25" s="5"/>
      <c r="C25" s="5" t="s">
        <v>122</v>
      </c>
      <c r="D25" t="b">
        <f t="shared" si="0"/>
        <v>1</v>
      </c>
    </row>
    <row r="26" spans="1:7" x14ac:dyDescent="0.25">
      <c r="A26" t="s">
        <v>15</v>
      </c>
      <c r="B26" s="5"/>
      <c r="C26" s="5" t="s">
        <v>122</v>
      </c>
      <c r="D26" t="b">
        <f t="shared" si="0"/>
        <v>1</v>
      </c>
    </row>
    <row r="27" spans="1:7" x14ac:dyDescent="0.25">
      <c r="A27" t="s">
        <v>15</v>
      </c>
      <c r="B27" s="5"/>
      <c r="C27" s="5" t="s">
        <v>122</v>
      </c>
      <c r="D27" t="b">
        <f t="shared" si="0"/>
        <v>1</v>
      </c>
    </row>
    <row r="28" spans="1:7" x14ac:dyDescent="0.25">
      <c r="A28" t="s">
        <v>15</v>
      </c>
      <c r="B28" s="5"/>
      <c r="C28" s="5" t="s">
        <v>61</v>
      </c>
      <c r="D28" t="b">
        <f t="shared" si="0"/>
        <v>1</v>
      </c>
    </row>
    <row r="29" spans="1:7" x14ac:dyDescent="0.25">
      <c r="A29" t="s">
        <v>15</v>
      </c>
      <c r="B29" s="5"/>
      <c r="C29" s="5" t="s">
        <v>61</v>
      </c>
      <c r="D29" t="b">
        <f t="shared" si="0"/>
        <v>1</v>
      </c>
    </row>
    <row r="30" spans="1:7" x14ac:dyDescent="0.25">
      <c r="A30" t="s">
        <v>15</v>
      </c>
      <c r="B30" s="5"/>
      <c r="C30" s="5" t="s">
        <v>61</v>
      </c>
      <c r="D30" t="b">
        <f t="shared" si="0"/>
        <v>1</v>
      </c>
    </row>
    <row r="31" spans="1:7" x14ac:dyDescent="0.25">
      <c r="A31" t="s">
        <v>15</v>
      </c>
      <c r="B31" s="5"/>
      <c r="C31" s="5" t="s">
        <v>61</v>
      </c>
      <c r="D31" t="b">
        <f t="shared" si="0"/>
        <v>1</v>
      </c>
    </row>
    <row r="32" spans="1:7" x14ac:dyDescent="0.25">
      <c r="A32" t="s">
        <v>15</v>
      </c>
      <c r="B32" s="5"/>
      <c r="C32" s="5" t="s">
        <v>172</v>
      </c>
      <c r="D32" t="b">
        <f t="shared" si="0"/>
        <v>1</v>
      </c>
    </row>
    <row r="33" spans="1:6" x14ac:dyDescent="0.25">
      <c r="A33" t="s">
        <v>15</v>
      </c>
      <c r="B33" s="5"/>
      <c r="C33" s="5" t="s">
        <v>172</v>
      </c>
      <c r="D33" t="b">
        <f t="shared" si="0"/>
        <v>1</v>
      </c>
    </row>
    <row r="34" spans="1:6" x14ac:dyDescent="0.25">
      <c r="A34" t="s">
        <v>15</v>
      </c>
      <c r="B34" s="5"/>
      <c r="C34" s="5" t="s">
        <v>172</v>
      </c>
      <c r="D34" t="b">
        <f t="shared" si="0"/>
        <v>1</v>
      </c>
    </row>
    <row r="35" spans="1:6" x14ac:dyDescent="0.25">
      <c r="A35" t="s">
        <v>15</v>
      </c>
      <c r="B35" s="5"/>
      <c r="C35" s="5" t="s">
        <v>172</v>
      </c>
      <c r="D35" t="b">
        <f t="shared" si="0"/>
        <v>1</v>
      </c>
    </row>
    <row r="36" spans="1:6" x14ac:dyDescent="0.25">
      <c r="A36" t="s">
        <v>15</v>
      </c>
      <c r="B36" s="5"/>
      <c r="C36" s="5" t="s">
        <v>62</v>
      </c>
      <c r="D36" t="b">
        <f t="shared" si="0"/>
        <v>1</v>
      </c>
    </row>
    <row r="37" spans="1:6" x14ac:dyDescent="0.25">
      <c r="A37" t="s">
        <v>15</v>
      </c>
      <c r="B37" s="5"/>
      <c r="C37" s="5" t="s">
        <v>62</v>
      </c>
      <c r="D37" t="b">
        <f t="shared" si="0"/>
        <v>1</v>
      </c>
    </row>
    <row r="38" spans="1:6" x14ac:dyDescent="0.25">
      <c r="A38" t="s">
        <v>15</v>
      </c>
      <c r="B38" s="5"/>
      <c r="C38" s="5" t="s">
        <v>62</v>
      </c>
      <c r="D38" t="b">
        <f t="shared" si="0"/>
        <v>1</v>
      </c>
    </row>
    <row r="39" spans="1:6" x14ac:dyDescent="0.25">
      <c r="A39" t="s">
        <v>15</v>
      </c>
      <c r="B39" s="5"/>
      <c r="C39" s="5" t="s">
        <v>62</v>
      </c>
      <c r="D39" t="b">
        <f t="shared" si="0"/>
        <v>1</v>
      </c>
    </row>
    <row r="40" spans="1:6" x14ac:dyDescent="0.25">
      <c r="A40" t="s">
        <v>22</v>
      </c>
      <c r="B40" s="5" t="s">
        <v>923</v>
      </c>
      <c r="C40" s="5" t="s">
        <v>923</v>
      </c>
      <c r="D40" t="b">
        <f t="shared" si="0"/>
        <v>0</v>
      </c>
    </row>
    <row r="41" spans="1:6" x14ac:dyDescent="0.25">
      <c r="A41" t="s">
        <v>22</v>
      </c>
      <c r="B41" s="5" t="s">
        <v>2106</v>
      </c>
      <c r="C41" s="5" t="s">
        <v>1938</v>
      </c>
      <c r="D41" t="b">
        <f t="shared" si="0"/>
        <v>1</v>
      </c>
    </row>
    <row r="42" spans="1:6" x14ac:dyDescent="0.25">
      <c r="A42" t="s">
        <v>22</v>
      </c>
      <c r="B42" s="5" t="s">
        <v>68</v>
      </c>
      <c r="C42" s="5" t="s">
        <v>68</v>
      </c>
      <c r="D42" t="b">
        <f t="shared" si="0"/>
        <v>0</v>
      </c>
      <c r="E42" t="s">
        <v>1387</v>
      </c>
    </row>
    <row r="43" spans="1:6" x14ac:dyDescent="0.25">
      <c r="A43" t="s">
        <v>22</v>
      </c>
      <c r="B43" s="5" t="s">
        <v>2107</v>
      </c>
      <c r="C43" s="5" t="s">
        <v>1948</v>
      </c>
      <c r="D43" t="b">
        <f t="shared" si="0"/>
        <v>1</v>
      </c>
    </row>
    <row r="44" spans="1:6" x14ac:dyDescent="0.25">
      <c r="A44" t="s">
        <v>22</v>
      </c>
      <c r="B44" s="5" t="s">
        <v>2108</v>
      </c>
      <c r="C44" s="5" t="s">
        <v>2077</v>
      </c>
      <c r="D44" t="b">
        <f t="shared" si="0"/>
        <v>1</v>
      </c>
    </row>
    <row r="45" spans="1:6" x14ac:dyDescent="0.25">
      <c r="A45" t="s">
        <v>22</v>
      </c>
      <c r="B45" s="5" t="s">
        <v>2109</v>
      </c>
      <c r="C45" s="5" t="s">
        <v>2055</v>
      </c>
      <c r="D45" t="b">
        <f t="shared" si="0"/>
        <v>1</v>
      </c>
    </row>
    <row r="46" spans="1:6" x14ac:dyDescent="0.25">
      <c r="A46" t="s">
        <v>22</v>
      </c>
      <c r="B46" s="5" t="s">
        <v>253</v>
      </c>
      <c r="C46" s="5" t="s">
        <v>253</v>
      </c>
      <c r="D46" t="b">
        <f t="shared" si="0"/>
        <v>0</v>
      </c>
    </row>
    <row r="47" spans="1:6" x14ac:dyDescent="0.25">
      <c r="A47" t="s">
        <v>22</v>
      </c>
      <c r="B47" s="5" t="s">
        <v>2110</v>
      </c>
      <c r="C47" s="5" t="s">
        <v>2277</v>
      </c>
      <c r="D47" t="b">
        <f t="shared" si="0"/>
        <v>1</v>
      </c>
      <c r="F47"/>
    </row>
    <row r="48" spans="1:6" x14ac:dyDescent="0.25">
      <c r="A48" t="s">
        <v>22</v>
      </c>
      <c r="B48" s="5" t="s">
        <v>2075</v>
      </c>
      <c r="C48" s="5" t="s">
        <v>2075</v>
      </c>
      <c r="D48" t="b">
        <f t="shared" si="0"/>
        <v>0</v>
      </c>
      <c r="F48"/>
    </row>
    <row r="49" spans="1:6" x14ac:dyDescent="0.25">
      <c r="A49" t="s">
        <v>22</v>
      </c>
      <c r="B49" s="5" t="s">
        <v>1183</v>
      </c>
      <c r="C49" s="5" t="s">
        <v>1183</v>
      </c>
      <c r="D49" t="b">
        <f t="shared" si="0"/>
        <v>0</v>
      </c>
      <c r="F49"/>
    </row>
    <row r="50" spans="1:6" x14ac:dyDescent="0.25">
      <c r="A50" t="s">
        <v>22</v>
      </c>
      <c r="B50" s="5" t="s">
        <v>1625</v>
      </c>
      <c r="C50" s="5" t="s">
        <v>2070</v>
      </c>
      <c r="D50" t="b">
        <f t="shared" si="0"/>
        <v>1</v>
      </c>
      <c r="F50"/>
    </row>
    <row r="51" spans="1:6" x14ac:dyDescent="0.25">
      <c r="A51" t="s">
        <v>22</v>
      </c>
      <c r="B51" s="5" t="s">
        <v>2112</v>
      </c>
      <c r="C51" s="5" t="s">
        <v>2076</v>
      </c>
      <c r="D51" t="b">
        <f t="shared" si="0"/>
        <v>1</v>
      </c>
      <c r="F51"/>
    </row>
    <row r="52" spans="1:6" x14ac:dyDescent="0.25">
      <c r="A52" t="s">
        <v>2049</v>
      </c>
      <c r="B52" s="5" t="s">
        <v>71</v>
      </c>
      <c r="C52" s="5" t="s">
        <v>2056</v>
      </c>
      <c r="D52" t="b">
        <f t="shared" si="0"/>
        <v>1</v>
      </c>
      <c r="F52"/>
    </row>
    <row r="53" spans="1:6" x14ac:dyDescent="0.25">
      <c r="A53" t="s">
        <v>2049</v>
      </c>
      <c r="B53" s="5"/>
      <c r="C53" s="5" t="s">
        <v>2064</v>
      </c>
      <c r="D53" t="b">
        <f t="shared" si="0"/>
        <v>1</v>
      </c>
      <c r="F53"/>
    </row>
    <row r="54" spans="1:6" x14ac:dyDescent="0.25">
      <c r="A54" t="s">
        <v>2049</v>
      </c>
      <c r="B54" s="5" t="s">
        <v>257</v>
      </c>
      <c r="C54" s="5" t="s">
        <v>257</v>
      </c>
      <c r="D54" t="b">
        <f t="shared" si="0"/>
        <v>0</v>
      </c>
      <c r="E54" t="s">
        <v>2189</v>
      </c>
      <c r="F54"/>
    </row>
    <row r="55" spans="1:6" x14ac:dyDescent="0.25">
      <c r="A55" t="s">
        <v>2049</v>
      </c>
      <c r="B55" s="5"/>
      <c r="C55" s="5" t="s">
        <v>2071</v>
      </c>
      <c r="D55" t="b">
        <f t="shared" si="0"/>
        <v>1</v>
      </c>
      <c r="F55"/>
    </row>
    <row r="56" spans="1:6" x14ac:dyDescent="0.25">
      <c r="A56" t="s">
        <v>2049</v>
      </c>
      <c r="C56" s="5" t="s">
        <v>2069</v>
      </c>
      <c r="D56" t="b">
        <f t="shared" si="0"/>
        <v>1</v>
      </c>
      <c r="F56"/>
    </row>
    <row r="57" spans="1:6" x14ac:dyDescent="0.25">
      <c r="A57" t="s">
        <v>2049</v>
      </c>
      <c r="B57" s="5"/>
      <c r="C57" s="5" t="s">
        <v>2082</v>
      </c>
      <c r="D57" t="b">
        <f t="shared" si="0"/>
        <v>1</v>
      </c>
      <c r="F57"/>
    </row>
    <row r="58" spans="1:6" x14ac:dyDescent="0.25">
      <c r="A58" t="s">
        <v>2065</v>
      </c>
      <c r="B58" s="5"/>
      <c r="C58" s="5" t="s">
        <v>2073</v>
      </c>
      <c r="D58" t="b">
        <f t="shared" si="0"/>
        <v>1</v>
      </c>
      <c r="F58"/>
    </row>
    <row r="59" spans="1:6" x14ac:dyDescent="0.25">
      <c r="A59" t="s">
        <v>2065</v>
      </c>
      <c r="B59" s="5"/>
      <c r="C59" s="5" t="s">
        <v>2068</v>
      </c>
      <c r="D59" t="b">
        <f t="shared" si="0"/>
        <v>1</v>
      </c>
      <c r="F59"/>
    </row>
    <row r="60" spans="1:6" x14ac:dyDescent="0.25">
      <c r="A60" t="s">
        <v>2065</v>
      </c>
      <c r="B60" s="5"/>
      <c r="C60" s="5" t="s">
        <v>2058</v>
      </c>
      <c r="D60" t="b">
        <f t="shared" si="0"/>
        <v>1</v>
      </c>
      <c r="F60"/>
    </row>
    <row r="61" spans="1:6" x14ac:dyDescent="0.25">
      <c r="A61" t="s">
        <v>2065</v>
      </c>
      <c r="B61" s="5"/>
      <c r="C61" s="5" t="s">
        <v>2067</v>
      </c>
      <c r="D61" t="b">
        <f t="shared" si="0"/>
        <v>1</v>
      </c>
      <c r="F61"/>
    </row>
    <row r="62" spans="1:6" x14ac:dyDescent="0.25">
      <c r="A62" t="s">
        <v>2065</v>
      </c>
      <c r="B62" s="5"/>
      <c r="C62" s="5" t="s">
        <v>2057</v>
      </c>
      <c r="D62" t="b">
        <f t="shared" si="0"/>
        <v>1</v>
      </c>
      <c r="F62" s="5"/>
    </row>
    <row r="63" spans="1:6" x14ac:dyDescent="0.25">
      <c r="A63" t="s">
        <v>2065</v>
      </c>
      <c r="B63" s="5"/>
      <c r="C63" s="5" t="s">
        <v>2052</v>
      </c>
      <c r="D63" t="b">
        <f t="shared" si="0"/>
        <v>1</v>
      </c>
    </row>
    <row r="64" spans="1:6" x14ac:dyDescent="0.25">
      <c r="A64" t="s">
        <v>2065</v>
      </c>
      <c r="B64" s="5"/>
      <c r="C64" s="5" t="s">
        <v>1236</v>
      </c>
      <c r="D64" t="b">
        <f t="shared" si="0"/>
        <v>1</v>
      </c>
      <c r="F64"/>
    </row>
    <row r="65" spans="1:6" x14ac:dyDescent="0.25">
      <c r="A65" t="s">
        <v>2065</v>
      </c>
      <c r="B65" s="5"/>
      <c r="C65" s="5" t="s">
        <v>2059</v>
      </c>
      <c r="D65" t="b">
        <f t="shared" si="0"/>
        <v>1</v>
      </c>
      <c r="F65"/>
    </row>
    <row r="66" spans="1:6" x14ac:dyDescent="0.25">
      <c r="A66" t="s">
        <v>2065</v>
      </c>
      <c r="B66" s="5"/>
      <c r="C66" s="5" t="s">
        <v>2033</v>
      </c>
      <c r="D66" t="b">
        <f t="shared" si="0"/>
        <v>1</v>
      </c>
      <c r="F66"/>
    </row>
    <row r="67" spans="1:6" x14ac:dyDescent="0.25">
      <c r="A67" t="s">
        <v>2065</v>
      </c>
      <c r="B67" s="5"/>
      <c r="C67" s="5" t="s">
        <v>1947</v>
      </c>
      <c r="D67" t="b">
        <f t="shared" si="0"/>
        <v>1</v>
      </c>
      <c r="F67"/>
    </row>
    <row r="68" spans="1:6" x14ac:dyDescent="0.25">
      <c r="A68" t="s">
        <v>2065</v>
      </c>
      <c r="C68" s="5" t="s">
        <v>2074</v>
      </c>
      <c r="D68" t="b">
        <f t="shared" ref="D68:D102" si="2">B68&lt;&gt;C68</f>
        <v>1</v>
      </c>
      <c r="E68" s="5"/>
      <c r="F68"/>
    </row>
    <row r="69" spans="1:6" x14ac:dyDescent="0.25">
      <c r="A69" t="s">
        <v>2065</v>
      </c>
      <c r="C69" s="5" t="s">
        <v>1983</v>
      </c>
      <c r="D69" t="b">
        <f t="shared" si="2"/>
        <v>1</v>
      </c>
    </row>
    <row r="70" spans="1:6" x14ac:dyDescent="0.25">
      <c r="A70" t="s">
        <v>2065</v>
      </c>
      <c r="B70" t="s">
        <v>82</v>
      </c>
      <c r="C70" s="5" t="s">
        <v>82</v>
      </c>
      <c r="D70" t="b">
        <f t="shared" si="2"/>
        <v>0</v>
      </c>
    </row>
    <row r="71" spans="1:6" x14ac:dyDescent="0.25">
      <c r="A71" t="s">
        <v>2065</v>
      </c>
      <c r="B71" s="5"/>
      <c r="C71" s="5" t="s">
        <v>2081</v>
      </c>
      <c r="D71" t="b">
        <f t="shared" si="2"/>
        <v>1</v>
      </c>
      <c r="E71" s="5"/>
    </row>
    <row r="72" spans="1:6" x14ac:dyDescent="0.25">
      <c r="A72" t="s">
        <v>2065</v>
      </c>
      <c r="B72" s="5"/>
      <c r="C72" s="5" t="s">
        <v>479</v>
      </c>
      <c r="D72" t="b">
        <f t="shared" si="2"/>
        <v>1</v>
      </c>
      <c r="F72" s="5"/>
    </row>
    <row r="73" spans="1:6" x14ac:dyDescent="0.25">
      <c r="A73" t="s">
        <v>2065</v>
      </c>
      <c r="B73" s="5"/>
      <c r="C73" s="5" t="s">
        <v>2078</v>
      </c>
      <c r="D73" t="b">
        <f t="shared" si="2"/>
        <v>1</v>
      </c>
    </row>
    <row r="74" spans="1:6" x14ac:dyDescent="0.25">
      <c r="A74" t="s">
        <v>2065</v>
      </c>
      <c r="B74" s="5"/>
      <c r="C74" s="5" t="s">
        <v>2190</v>
      </c>
      <c r="D74" t="b">
        <f t="shared" si="2"/>
        <v>1</v>
      </c>
    </row>
    <row r="75" spans="1:6" x14ac:dyDescent="0.25">
      <c r="A75" t="s">
        <v>2065</v>
      </c>
      <c r="B75" s="5"/>
      <c r="C75" s="5" t="s">
        <v>1211</v>
      </c>
      <c r="D75" t="b">
        <f t="shared" si="2"/>
        <v>1</v>
      </c>
      <c r="F75" s="5"/>
    </row>
    <row r="76" spans="1:6" x14ac:dyDescent="0.25">
      <c r="A76" t="s">
        <v>2065</v>
      </c>
      <c r="B76" s="5"/>
      <c r="C76" s="5" t="s">
        <v>251</v>
      </c>
      <c r="D76" t="b">
        <f t="shared" si="2"/>
        <v>1</v>
      </c>
      <c r="F76" s="5"/>
    </row>
    <row r="77" spans="1:6" x14ac:dyDescent="0.25">
      <c r="A77" t="s">
        <v>2065</v>
      </c>
      <c r="B77" s="5"/>
      <c r="C77" s="5" t="s">
        <v>2080</v>
      </c>
      <c r="D77" t="b">
        <f t="shared" si="2"/>
        <v>1</v>
      </c>
    </row>
    <row r="78" spans="1:6" x14ac:dyDescent="0.25">
      <c r="A78" t="s">
        <v>2050</v>
      </c>
      <c r="B78" s="5"/>
      <c r="C78" s="5" t="s">
        <v>1329</v>
      </c>
      <c r="D78" t="b">
        <f t="shared" si="2"/>
        <v>1</v>
      </c>
    </row>
    <row r="79" spans="1:6" x14ac:dyDescent="0.25">
      <c r="A79" t="s">
        <v>2050</v>
      </c>
      <c r="B79" s="5"/>
      <c r="C79" s="5" t="s">
        <v>1611</v>
      </c>
      <c r="D79" t="b">
        <f t="shared" si="2"/>
        <v>1</v>
      </c>
    </row>
    <row r="80" spans="1:6" x14ac:dyDescent="0.25">
      <c r="A80" t="s">
        <v>2050</v>
      </c>
      <c r="B80" s="5"/>
      <c r="C80" s="5" t="s">
        <v>2060</v>
      </c>
      <c r="D80" t="b">
        <f t="shared" si="2"/>
        <v>1</v>
      </c>
    </row>
    <row r="81" spans="1:6" x14ac:dyDescent="0.25">
      <c r="A81" t="s">
        <v>2050</v>
      </c>
      <c r="B81" s="5"/>
      <c r="C81" s="5" t="s">
        <v>2062</v>
      </c>
      <c r="D81" t="b">
        <f t="shared" si="2"/>
        <v>1</v>
      </c>
    </row>
    <row r="82" spans="1:6" x14ac:dyDescent="0.25">
      <c r="A82" t="s">
        <v>2050</v>
      </c>
      <c r="B82" s="5"/>
      <c r="C82" s="5" t="s">
        <v>2053</v>
      </c>
      <c r="D82" t="b">
        <f t="shared" si="2"/>
        <v>1</v>
      </c>
      <c r="F82"/>
    </row>
    <row r="83" spans="1:6" x14ac:dyDescent="0.25">
      <c r="A83" t="s">
        <v>2050</v>
      </c>
      <c r="B83" s="5"/>
      <c r="C83" s="5" t="s">
        <v>1935</v>
      </c>
      <c r="D83" t="b">
        <f t="shared" si="2"/>
        <v>1</v>
      </c>
    </row>
    <row r="84" spans="1:6" x14ac:dyDescent="0.25">
      <c r="A84" t="s">
        <v>2050</v>
      </c>
      <c r="B84" s="5"/>
      <c r="C84" s="5" t="s">
        <v>1309</v>
      </c>
      <c r="D84" t="b">
        <f t="shared" si="2"/>
        <v>1</v>
      </c>
      <c r="F84" s="5"/>
    </row>
    <row r="85" spans="1:6" x14ac:dyDescent="0.25">
      <c r="A85" t="s">
        <v>2050</v>
      </c>
      <c r="B85" s="5"/>
      <c r="C85" s="5" t="s">
        <v>2079</v>
      </c>
      <c r="D85" t="b">
        <f t="shared" si="2"/>
        <v>1</v>
      </c>
      <c r="F85"/>
    </row>
    <row r="86" spans="1:6" x14ac:dyDescent="0.25">
      <c r="A86" t="s">
        <v>2050</v>
      </c>
      <c r="B86" s="5"/>
      <c r="C86" s="5" t="s">
        <v>2072</v>
      </c>
      <c r="D86" t="b">
        <f t="shared" si="2"/>
        <v>1</v>
      </c>
      <c r="F86" s="5"/>
    </row>
    <row r="87" spans="1:6" x14ac:dyDescent="0.25">
      <c r="A87" t="s">
        <v>2050</v>
      </c>
      <c r="B87" s="5" t="s">
        <v>2051</v>
      </c>
      <c r="C87" s="5" t="s">
        <v>2051</v>
      </c>
      <c r="D87" t="b">
        <f t="shared" si="2"/>
        <v>0</v>
      </c>
      <c r="F87" s="5"/>
    </row>
    <row r="88" spans="1:6" x14ac:dyDescent="0.25">
      <c r="A88" t="s">
        <v>2050</v>
      </c>
      <c r="B88" s="5"/>
      <c r="C88" s="5" t="s">
        <v>2061</v>
      </c>
      <c r="D88" t="b">
        <f t="shared" si="2"/>
        <v>1</v>
      </c>
      <c r="F88" s="5"/>
    </row>
    <row r="89" spans="1:6" x14ac:dyDescent="0.25">
      <c r="A89" t="s">
        <v>2050</v>
      </c>
      <c r="B89" s="5"/>
      <c r="C89" s="5" t="s">
        <v>2063</v>
      </c>
      <c r="D89" t="b">
        <f t="shared" si="2"/>
        <v>1</v>
      </c>
      <c r="F89" s="5"/>
    </row>
    <row r="90" spans="1:6" x14ac:dyDescent="0.25">
      <c r="A90" t="s">
        <v>2050</v>
      </c>
      <c r="B90" s="5" t="s">
        <v>266</v>
      </c>
      <c r="C90" s="5" t="s">
        <v>266</v>
      </c>
      <c r="D90" t="b">
        <f t="shared" si="2"/>
        <v>0</v>
      </c>
      <c r="E90" t="s">
        <v>2189</v>
      </c>
      <c r="F90"/>
    </row>
    <row r="91" spans="1:6" x14ac:dyDescent="0.25">
      <c r="A91" t="s">
        <v>2050</v>
      </c>
      <c r="B91" s="5"/>
      <c r="C91" t="s">
        <v>2054</v>
      </c>
      <c r="D91" t="b">
        <f t="shared" si="2"/>
        <v>1</v>
      </c>
      <c r="F91"/>
    </row>
    <row r="92" spans="1:6" x14ac:dyDescent="0.25">
      <c r="A92" t="s">
        <v>2050</v>
      </c>
      <c r="B92" s="5" t="s">
        <v>2066</v>
      </c>
      <c r="C92" s="5" t="s">
        <v>2066</v>
      </c>
      <c r="D92" t="b">
        <f t="shared" si="2"/>
        <v>0</v>
      </c>
      <c r="F92"/>
    </row>
    <row r="93" spans="1:6" x14ac:dyDescent="0.25">
      <c r="A93" t="s">
        <v>44</v>
      </c>
      <c r="B93" s="5"/>
      <c r="C93" s="5" t="s">
        <v>1191</v>
      </c>
      <c r="D93" t="b">
        <f t="shared" si="2"/>
        <v>1</v>
      </c>
    </row>
    <row r="94" spans="1:6" x14ac:dyDescent="0.25">
      <c r="A94" t="s">
        <v>44</v>
      </c>
      <c r="B94" s="5"/>
      <c r="C94" s="5" t="s">
        <v>1190</v>
      </c>
      <c r="D94" t="b">
        <f t="shared" si="2"/>
        <v>1</v>
      </c>
      <c r="F94"/>
    </row>
    <row r="95" spans="1:6" x14ac:dyDescent="0.25">
      <c r="A95" t="s">
        <v>44</v>
      </c>
      <c r="B95" s="5"/>
      <c r="C95" s="5" t="s">
        <v>1024</v>
      </c>
      <c r="D95" t="b">
        <f t="shared" si="2"/>
        <v>1</v>
      </c>
      <c r="F95"/>
    </row>
    <row r="96" spans="1:6" x14ac:dyDescent="0.25">
      <c r="A96" t="s">
        <v>44</v>
      </c>
      <c r="B96" s="5"/>
      <c r="C96" s="5" t="s">
        <v>2105</v>
      </c>
      <c r="D96" t="b">
        <f t="shared" si="2"/>
        <v>1</v>
      </c>
    </row>
    <row r="97" spans="1:6" x14ac:dyDescent="0.25">
      <c r="A97" t="s">
        <v>44</v>
      </c>
      <c r="B97" s="5"/>
      <c r="C97" s="5" t="s">
        <v>278</v>
      </c>
      <c r="D97" t="b">
        <f t="shared" si="2"/>
        <v>1</v>
      </c>
      <c r="F97"/>
    </row>
    <row r="98" spans="1:6" x14ac:dyDescent="0.25">
      <c r="A98" t="s">
        <v>44</v>
      </c>
      <c r="B98" s="5"/>
      <c r="C98" s="5" t="s">
        <v>731</v>
      </c>
      <c r="D98" t="b">
        <f t="shared" si="2"/>
        <v>1</v>
      </c>
      <c r="F98"/>
    </row>
    <row r="99" spans="1:6" x14ac:dyDescent="0.25">
      <c r="A99" t="s">
        <v>44</v>
      </c>
      <c r="B99" s="5"/>
      <c r="C99" s="5" t="s">
        <v>1955</v>
      </c>
      <c r="D99" t="b">
        <f t="shared" si="2"/>
        <v>1</v>
      </c>
    </row>
    <row r="100" spans="1:6" x14ac:dyDescent="0.25">
      <c r="A100" t="s">
        <v>44</v>
      </c>
      <c r="B100" s="5"/>
      <c r="C100" s="5" t="s">
        <v>1981</v>
      </c>
      <c r="D100" t="b">
        <f t="shared" si="2"/>
        <v>1</v>
      </c>
    </row>
    <row r="101" spans="1:6" x14ac:dyDescent="0.25">
      <c r="A101" t="s">
        <v>44</v>
      </c>
      <c r="B101" s="5" t="s">
        <v>958</v>
      </c>
      <c r="C101" s="5" t="s">
        <v>958</v>
      </c>
      <c r="D101" t="b">
        <f t="shared" si="2"/>
        <v>0</v>
      </c>
    </row>
    <row r="102" spans="1:6" x14ac:dyDescent="0.25">
      <c r="A102" t="s">
        <v>44</v>
      </c>
      <c r="B102" s="5"/>
      <c r="C102" s="5" t="s">
        <v>102</v>
      </c>
      <c r="D102" t="b">
        <f t="shared" si="2"/>
        <v>1</v>
      </c>
    </row>
  </sheetData>
  <mergeCells count="1">
    <mergeCell ref="A1:G1"/>
  </mergeCells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notContainsText" priority="1" operator="notContains" id="{7D561E93-4CB8-43B6-A758-7DDA1BD01E1D}">
            <xm:f>ISERROR(SEARCH(C3,B3))</xm:f>
            <xm:f>C3</xm:f>
            <x14:dxf>
              <fill>
                <patternFill>
                  <bgColor theme="5" tint="0.39994506668294322"/>
                </patternFill>
              </fill>
            </x14:dxf>
          </x14:cfRule>
          <xm:sqref>B3:B102</xm:sqref>
        </x14:conditionalFormatting>
      </x14:conditionalFormatting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D72E1-7816-4F64-A976-C693976FE439}">
  <dimension ref="A1:G102"/>
  <sheetViews>
    <sheetView topLeftCell="A37" workbookViewId="0">
      <selection activeCell="B49" sqref="B49"/>
    </sheetView>
  </sheetViews>
  <sheetFormatPr defaultRowHeight="15" x14ac:dyDescent="0.25"/>
  <cols>
    <col min="1" max="1" width="12.85546875" style="5" customWidth="1"/>
    <col min="2" max="2" width="38.7109375" customWidth="1"/>
    <col min="3" max="3" width="38.7109375" style="5" customWidth="1"/>
    <col min="4" max="4" width="12.42578125" hidden="1" customWidth="1"/>
    <col min="5" max="5" width="4.28515625" customWidth="1"/>
    <col min="6" max="6" width="22.7109375" style="3" customWidth="1"/>
    <col min="7" max="7" width="8.140625" bestFit="1" customWidth="1"/>
  </cols>
  <sheetData>
    <row r="1" spans="1:7" ht="21" x14ac:dyDescent="0.25">
      <c r="A1" s="12" t="s">
        <v>2113</v>
      </c>
      <c r="B1" s="12"/>
      <c r="C1" s="12"/>
      <c r="D1" s="12"/>
      <c r="E1" s="12"/>
      <c r="F1" s="12"/>
      <c r="G1" s="12"/>
    </row>
    <row r="2" spans="1:7" x14ac:dyDescent="0.25">
      <c r="A2" s="4" t="s">
        <v>11</v>
      </c>
      <c r="B2" s="4" t="s">
        <v>12</v>
      </c>
      <c r="C2" s="11" t="s">
        <v>13</v>
      </c>
      <c r="D2" s="4" t="s">
        <v>14</v>
      </c>
      <c r="F2" s="4" t="s">
        <v>16</v>
      </c>
      <c r="G2" s="3">
        <f>COUNTIF(D:D,"Verdadeiro")</f>
        <v>23</v>
      </c>
    </row>
    <row r="3" spans="1:7" x14ac:dyDescent="0.25">
      <c r="A3" s="5" t="s">
        <v>1539</v>
      </c>
      <c r="B3" s="5" t="s">
        <v>2114</v>
      </c>
      <c r="C3" s="5" t="s">
        <v>2114</v>
      </c>
      <c r="D3" t="b">
        <f>B3&lt;&gt;C3</f>
        <v>0</v>
      </c>
      <c r="F3" s="4" t="s">
        <v>17</v>
      </c>
      <c r="G3" s="10">
        <f>SUM(G5:G29)</f>
        <v>100</v>
      </c>
    </row>
    <row r="4" spans="1:7" x14ac:dyDescent="0.25">
      <c r="A4" t="s">
        <v>15</v>
      </c>
      <c r="B4" s="5" t="s">
        <v>43</v>
      </c>
      <c r="C4" t="s">
        <v>43</v>
      </c>
      <c r="D4" t="b">
        <f t="shared" ref="D4:D67" si="0">B4&lt;&gt;C4</f>
        <v>0</v>
      </c>
    </row>
    <row r="5" spans="1:7" x14ac:dyDescent="0.25">
      <c r="A5" t="s">
        <v>15</v>
      </c>
      <c r="B5" s="5" t="s">
        <v>20</v>
      </c>
      <c r="C5" t="s">
        <v>20</v>
      </c>
      <c r="D5" t="b">
        <f t="shared" si="0"/>
        <v>0</v>
      </c>
      <c r="F5" s="6" t="s">
        <v>19</v>
      </c>
      <c r="G5" s="1"/>
    </row>
    <row r="6" spans="1:7" x14ac:dyDescent="0.25">
      <c r="A6" t="s">
        <v>15</v>
      </c>
      <c r="B6" s="5" t="s">
        <v>391</v>
      </c>
      <c r="C6" t="s">
        <v>391</v>
      </c>
      <c r="D6" t="b">
        <f t="shared" si="0"/>
        <v>0</v>
      </c>
      <c r="F6" s="1" t="s">
        <v>15</v>
      </c>
      <c r="G6" s="2">
        <f t="shared" ref="G6:G12" si="1">COUNTIF(A:A,F6)</f>
        <v>36</v>
      </c>
    </row>
    <row r="7" spans="1:7" x14ac:dyDescent="0.25">
      <c r="A7" t="s">
        <v>15</v>
      </c>
      <c r="B7" s="5" t="s">
        <v>119</v>
      </c>
      <c r="C7" t="s">
        <v>119</v>
      </c>
      <c r="D7" t="b">
        <f t="shared" si="0"/>
        <v>0</v>
      </c>
      <c r="F7" s="5" t="s">
        <v>1539</v>
      </c>
      <c r="G7" s="2">
        <f t="shared" si="1"/>
        <v>1</v>
      </c>
    </row>
    <row r="8" spans="1:7" x14ac:dyDescent="0.25">
      <c r="A8" t="s">
        <v>15</v>
      </c>
      <c r="B8" s="5" t="s">
        <v>1413</v>
      </c>
      <c r="C8" t="s">
        <v>1413</v>
      </c>
      <c r="D8" t="b">
        <f t="shared" si="0"/>
        <v>0</v>
      </c>
      <c r="F8" s="1" t="s">
        <v>21</v>
      </c>
      <c r="G8" s="2">
        <f t="shared" si="1"/>
        <v>10</v>
      </c>
    </row>
    <row r="9" spans="1:7" x14ac:dyDescent="0.25">
      <c r="A9" t="s">
        <v>15</v>
      </c>
      <c r="B9" s="5" t="s">
        <v>231</v>
      </c>
      <c r="C9" t="s">
        <v>231</v>
      </c>
      <c r="D9" t="b">
        <f t="shared" si="0"/>
        <v>0</v>
      </c>
      <c r="F9" s="1" t="s">
        <v>22</v>
      </c>
      <c r="G9" s="2">
        <f t="shared" si="1"/>
        <v>6</v>
      </c>
    </row>
    <row r="10" spans="1:7" x14ac:dyDescent="0.25">
      <c r="A10" t="s">
        <v>15</v>
      </c>
      <c r="B10" s="5" t="s">
        <v>2117</v>
      </c>
      <c r="C10" t="s">
        <v>2117</v>
      </c>
      <c r="D10" t="b">
        <f t="shared" si="0"/>
        <v>0</v>
      </c>
      <c r="F10" s="1" t="s">
        <v>2172</v>
      </c>
      <c r="G10" s="2">
        <f t="shared" si="1"/>
        <v>20</v>
      </c>
    </row>
    <row r="11" spans="1:7" x14ac:dyDescent="0.25">
      <c r="A11" t="s">
        <v>15</v>
      </c>
      <c r="B11" s="5" t="s">
        <v>2115</v>
      </c>
      <c r="C11" t="s">
        <v>2115</v>
      </c>
      <c r="D11" t="b">
        <f t="shared" si="0"/>
        <v>0</v>
      </c>
      <c r="F11" s="1" t="s">
        <v>44</v>
      </c>
      <c r="G11" s="2">
        <f t="shared" si="1"/>
        <v>12</v>
      </c>
    </row>
    <row r="12" spans="1:7" x14ac:dyDescent="0.25">
      <c r="A12" t="s">
        <v>15</v>
      </c>
      <c r="B12" s="5" t="s">
        <v>2118</v>
      </c>
      <c r="C12" t="s">
        <v>2118</v>
      </c>
      <c r="D12" t="b">
        <f t="shared" si="0"/>
        <v>0</v>
      </c>
      <c r="F12" s="1" t="s">
        <v>121</v>
      </c>
      <c r="G12" s="2">
        <f t="shared" si="1"/>
        <v>15</v>
      </c>
    </row>
    <row r="13" spans="1:7" x14ac:dyDescent="0.25">
      <c r="A13" t="s">
        <v>15</v>
      </c>
      <c r="B13" s="5" t="s">
        <v>2121</v>
      </c>
      <c r="C13" t="s">
        <v>2121</v>
      </c>
      <c r="D13" t="b">
        <f t="shared" si="0"/>
        <v>0</v>
      </c>
      <c r="F13" s="5"/>
      <c r="G13" s="2"/>
    </row>
    <row r="14" spans="1:7" x14ac:dyDescent="0.25">
      <c r="A14" t="s">
        <v>15</v>
      </c>
      <c r="B14" s="5" t="s">
        <v>2043</v>
      </c>
      <c r="C14" t="s">
        <v>2043</v>
      </c>
      <c r="D14" t="b">
        <f t="shared" si="0"/>
        <v>0</v>
      </c>
      <c r="F14" s="5"/>
      <c r="G14" s="2"/>
    </row>
    <row r="15" spans="1:7" x14ac:dyDescent="0.25">
      <c r="A15" t="s">
        <v>15</v>
      </c>
      <c r="B15" s="5" t="s">
        <v>1221</v>
      </c>
      <c r="C15" t="s">
        <v>1221</v>
      </c>
      <c r="D15" t="b">
        <f t="shared" si="0"/>
        <v>0</v>
      </c>
      <c r="F15" s="1"/>
      <c r="G15" s="2"/>
    </row>
    <row r="16" spans="1:7" x14ac:dyDescent="0.25">
      <c r="A16" t="s">
        <v>15</v>
      </c>
      <c r="B16" s="5" t="s">
        <v>2116</v>
      </c>
      <c r="C16" t="s">
        <v>2116</v>
      </c>
      <c r="D16" t="b">
        <f t="shared" si="0"/>
        <v>0</v>
      </c>
      <c r="F16" s="1"/>
      <c r="G16" s="2"/>
    </row>
    <row r="17" spans="1:7" x14ac:dyDescent="0.25">
      <c r="A17" t="s">
        <v>15</v>
      </c>
      <c r="B17" s="5" t="s">
        <v>37</v>
      </c>
      <c r="C17" t="s">
        <v>37</v>
      </c>
      <c r="D17" t="b">
        <f t="shared" si="0"/>
        <v>0</v>
      </c>
      <c r="F17" s="5"/>
      <c r="G17" s="2"/>
    </row>
    <row r="18" spans="1:7" x14ac:dyDescent="0.25">
      <c r="A18" t="s">
        <v>15</v>
      </c>
      <c r="B18" s="5" t="s">
        <v>1823</v>
      </c>
      <c r="C18" t="s">
        <v>1823</v>
      </c>
      <c r="D18" t="b">
        <f t="shared" si="0"/>
        <v>0</v>
      </c>
      <c r="F18" s="5"/>
      <c r="G18" s="2"/>
    </row>
    <row r="19" spans="1:7" x14ac:dyDescent="0.25">
      <c r="A19" t="s">
        <v>15</v>
      </c>
      <c r="B19" s="5" t="s">
        <v>996</v>
      </c>
      <c r="C19" t="s">
        <v>996</v>
      </c>
      <c r="D19" t="b">
        <f t="shared" si="0"/>
        <v>0</v>
      </c>
    </row>
    <row r="20" spans="1:7" x14ac:dyDescent="0.25">
      <c r="A20" t="s">
        <v>15</v>
      </c>
      <c r="B20" s="5" t="s">
        <v>2122</v>
      </c>
      <c r="C20" t="s">
        <v>2122</v>
      </c>
      <c r="D20" t="b">
        <f t="shared" si="0"/>
        <v>0</v>
      </c>
    </row>
    <row r="21" spans="1:7" x14ac:dyDescent="0.25">
      <c r="A21" t="s">
        <v>15</v>
      </c>
      <c r="B21" s="5" t="s">
        <v>2120</v>
      </c>
      <c r="C21" t="s">
        <v>2120</v>
      </c>
      <c r="D21" t="b">
        <f t="shared" si="0"/>
        <v>0</v>
      </c>
    </row>
    <row r="22" spans="1:7" x14ac:dyDescent="0.25">
      <c r="A22" t="s">
        <v>15</v>
      </c>
      <c r="B22" s="5" t="s">
        <v>61</v>
      </c>
      <c r="C22" t="s">
        <v>61</v>
      </c>
      <c r="D22" t="b">
        <f t="shared" si="0"/>
        <v>0</v>
      </c>
      <c r="F22"/>
    </row>
    <row r="23" spans="1:7" x14ac:dyDescent="0.25">
      <c r="A23" t="s">
        <v>15</v>
      </c>
      <c r="B23" s="5" t="s">
        <v>61</v>
      </c>
      <c r="C23" t="s">
        <v>61</v>
      </c>
      <c r="D23" t="b">
        <f t="shared" si="0"/>
        <v>0</v>
      </c>
      <c r="F23" s="5"/>
    </row>
    <row r="24" spans="1:7" x14ac:dyDescent="0.25">
      <c r="A24" t="s">
        <v>15</v>
      </c>
      <c r="B24" s="5" t="s">
        <v>61</v>
      </c>
      <c r="C24" t="s">
        <v>61</v>
      </c>
      <c r="D24" t="b">
        <f t="shared" si="0"/>
        <v>0</v>
      </c>
      <c r="F24"/>
    </row>
    <row r="25" spans="1:7" x14ac:dyDescent="0.25">
      <c r="A25" t="s">
        <v>15</v>
      </c>
      <c r="B25" s="5" t="s">
        <v>61</v>
      </c>
      <c r="C25" s="5" t="s">
        <v>61</v>
      </c>
      <c r="D25" t="b">
        <f t="shared" si="0"/>
        <v>0</v>
      </c>
      <c r="F25"/>
    </row>
    <row r="26" spans="1:7" x14ac:dyDescent="0.25">
      <c r="A26" t="s">
        <v>15</v>
      </c>
      <c r="B26" s="5" t="s">
        <v>61</v>
      </c>
      <c r="C26" s="5" t="s">
        <v>61</v>
      </c>
      <c r="D26" t="b">
        <f t="shared" si="0"/>
        <v>0</v>
      </c>
    </row>
    <row r="27" spans="1:7" x14ac:dyDescent="0.25">
      <c r="A27" t="s">
        <v>15</v>
      </c>
      <c r="B27" s="5" t="s">
        <v>61</v>
      </c>
      <c r="C27" s="5" t="s">
        <v>61</v>
      </c>
      <c r="D27" t="b">
        <f t="shared" si="0"/>
        <v>0</v>
      </c>
    </row>
    <row r="28" spans="1:7" x14ac:dyDescent="0.25">
      <c r="A28" t="s">
        <v>15</v>
      </c>
      <c r="B28" s="5" t="s">
        <v>61</v>
      </c>
      <c r="C28" s="5" t="s">
        <v>122</v>
      </c>
      <c r="D28" t="b">
        <f t="shared" si="0"/>
        <v>1</v>
      </c>
    </row>
    <row r="29" spans="1:7" x14ac:dyDescent="0.25">
      <c r="A29" t="s">
        <v>15</v>
      </c>
      <c r="B29" s="5" t="s">
        <v>996</v>
      </c>
      <c r="C29" s="5" t="s">
        <v>122</v>
      </c>
      <c r="D29" t="b">
        <f t="shared" si="0"/>
        <v>1</v>
      </c>
    </row>
    <row r="30" spans="1:7" x14ac:dyDescent="0.25">
      <c r="A30" t="s">
        <v>15</v>
      </c>
      <c r="B30" s="5" t="s">
        <v>122</v>
      </c>
      <c r="C30" s="5" t="s">
        <v>122</v>
      </c>
      <c r="D30" t="b">
        <f t="shared" si="0"/>
        <v>0</v>
      </c>
    </row>
    <row r="31" spans="1:7" x14ac:dyDescent="0.25">
      <c r="A31" t="s">
        <v>15</v>
      </c>
      <c r="B31" s="5" t="s">
        <v>122</v>
      </c>
      <c r="C31" s="5" t="s">
        <v>122</v>
      </c>
      <c r="D31" t="b">
        <f t="shared" si="0"/>
        <v>0</v>
      </c>
    </row>
    <row r="32" spans="1:7" x14ac:dyDescent="0.25">
      <c r="A32" t="s">
        <v>15</v>
      </c>
      <c r="B32" s="5" t="s">
        <v>122</v>
      </c>
      <c r="C32" s="5" t="s">
        <v>122</v>
      </c>
      <c r="D32" t="b">
        <f t="shared" si="0"/>
        <v>0</v>
      </c>
    </row>
    <row r="33" spans="1:6" x14ac:dyDescent="0.25">
      <c r="A33" t="s">
        <v>15</v>
      </c>
      <c r="B33" s="5" t="s">
        <v>122</v>
      </c>
      <c r="C33" s="5" t="s">
        <v>122</v>
      </c>
      <c r="D33" t="b">
        <f t="shared" si="0"/>
        <v>0</v>
      </c>
    </row>
    <row r="34" spans="1:6" x14ac:dyDescent="0.25">
      <c r="A34" t="s">
        <v>15</v>
      </c>
      <c r="B34" s="5" t="s">
        <v>62</v>
      </c>
      <c r="C34" s="5" t="s">
        <v>62</v>
      </c>
      <c r="D34" t="b">
        <f t="shared" si="0"/>
        <v>0</v>
      </c>
    </row>
    <row r="35" spans="1:6" x14ac:dyDescent="0.25">
      <c r="A35" t="s">
        <v>15</v>
      </c>
      <c r="B35" s="5" t="s">
        <v>62</v>
      </c>
      <c r="C35" s="5" t="s">
        <v>62</v>
      </c>
      <c r="D35" t="b">
        <f t="shared" si="0"/>
        <v>0</v>
      </c>
    </row>
    <row r="36" spans="1:6" x14ac:dyDescent="0.25">
      <c r="A36" t="s">
        <v>15</v>
      </c>
      <c r="B36" s="5" t="s">
        <v>62</v>
      </c>
      <c r="C36" s="5" t="s">
        <v>62</v>
      </c>
      <c r="D36" t="b">
        <f t="shared" si="0"/>
        <v>0</v>
      </c>
    </row>
    <row r="37" spans="1:6" x14ac:dyDescent="0.25">
      <c r="A37" t="s">
        <v>15</v>
      </c>
      <c r="B37" s="5" t="s">
        <v>62</v>
      </c>
      <c r="C37" s="5" t="s">
        <v>62</v>
      </c>
      <c r="D37" t="b">
        <f t="shared" si="0"/>
        <v>0</v>
      </c>
    </row>
    <row r="38" spans="1:6" x14ac:dyDescent="0.25">
      <c r="A38" t="s">
        <v>15</v>
      </c>
      <c r="B38" s="5" t="s">
        <v>62</v>
      </c>
      <c r="C38" s="5" t="s">
        <v>62</v>
      </c>
      <c r="D38" t="b">
        <f t="shared" si="0"/>
        <v>0</v>
      </c>
    </row>
    <row r="39" spans="1:6" x14ac:dyDescent="0.25">
      <c r="A39" t="s">
        <v>15</v>
      </c>
      <c r="B39" s="5" t="s">
        <v>62</v>
      </c>
      <c r="C39" s="5" t="s">
        <v>62</v>
      </c>
      <c r="D39" t="b">
        <f t="shared" si="0"/>
        <v>0</v>
      </c>
    </row>
    <row r="40" spans="1:6" x14ac:dyDescent="0.25">
      <c r="A40" t="s">
        <v>21</v>
      </c>
      <c r="B40" s="5" t="s">
        <v>173</v>
      </c>
      <c r="C40" s="5" t="s">
        <v>173</v>
      </c>
      <c r="D40" t="b">
        <f t="shared" si="0"/>
        <v>0</v>
      </c>
    </row>
    <row r="41" spans="1:6" x14ac:dyDescent="0.25">
      <c r="A41" t="s">
        <v>21</v>
      </c>
      <c r="B41" s="5" t="s">
        <v>2123</v>
      </c>
      <c r="C41" s="5" t="s">
        <v>2123</v>
      </c>
      <c r="D41" t="b">
        <f t="shared" si="0"/>
        <v>0</v>
      </c>
    </row>
    <row r="42" spans="1:6" x14ac:dyDescent="0.25">
      <c r="A42" t="s">
        <v>21</v>
      </c>
      <c r="B42" s="5" t="s">
        <v>408</v>
      </c>
      <c r="C42" s="5" t="s">
        <v>408</v>
      </c>
      <c r="D42" t="b">
        <f t="shared" si="0"/>
        <v>0</v>
      </c>
    </row>
    <row r="43" spans="1:6" x14ac:dyDescent="0.25">
      <c r="A43" t="s">
        <v>21</v>
      </c>
      <c r="B43" s="5" t="s">
        <v>174</v>
      </c>
      <c r="C43" s="5" t="s">
        <v>174</v>
      </c>
      <c r="D43" t="b">
        <f t="shared" si="0"/>
        <v>0</v>
      </c>
    </row>
    <row r="44" spans="1:6" x14ac:dyDescent="0.25">
      <c r="A44" t="s">
        <v>21</v>
      </c>
      <c r="B44" s="5" t="s">
        <v>2127</v>
      </c>
      <c r="C44" s="5" t="s">
        <v>2127</v>
      </c>
      <c r="D44" t="b">
        <f t="shared" si="0"/>
        <v>0</v>
      </c>
    </row>
    <row r="45" spans="1:6" x14ac:dyDescent="0.25">
      <c r="A45" t="s">
        <v>21</v>
      </c>
      <c r="B45" s="5" t="s">
        <v>2145</v>
      </c>
      <c r="C45" s="5" t="s">
        <v>2145</v>
      </c>
      <c r="D45" t="b">
        <f t="shared" si="0"/>
        <v>0</v>
      </c>
    </row>
    <row r="46" spans="1:6" x14ac:dyDescent="0.25">
      <c r="A46" t="s">
        <v>21</v>
      </c>
      <c r="B46" s="5" t="s">
        <v>2119</v>
      </c>
      <c r="C46" s="5" t="s">
        <v>249</v>
      </c>
      <c r="D46" t="b">
        <f t="shared" si="0"/>
        <v>1</v>
      </c>
    </row>
    <row r="47" spans="1:6" x14ac:dyDescent="0.25">
      <c r="A47" t="s">
        <v>21</v>
      </c>
      <c r="B47" s="5" t="s">
        <v>2144</v>
      </c>
      <c r="C47" s="5" t="s">
        <v>2179</v>
      </c>
      <c r="D47" t="b">
        <f t="shared" si="0"/>
        <v>1</v>
      </c>
      <c r="F47"/>
    </row>
    <row r="48" spans="1:6" x14ac:dyDescent="0.25">
      <c r="A48" t="s">
        <v>21</v>
      </c>
      <c r="B48" s="5" t="s">
        <v>125</v>
      </c>
      <c r="C48" s="5" t="s">
        <v>125</v>
      </c>
      <c r="D48" t="b">
        <f t="shared" si="0"/>
        <v>0</v>
      </c>
      <c r="F48"/>
    </row>
    <row r="49" spans="1:6" x14ac:dyDescent="0.25">
      <c r="A49" t="s">
        <v>21</v>
      </c>
      <c r="B49" s="5" t="s">
        <v>124</v>
      </c>
      <c r="C49" s="5" t="s">
        <v>124</v>
      </c>
      <c r="D49" t="b">
        <f t="shared" si="0"/>
        <v>0</v>
      </c>
      <c r="F49"/>
    </row>
    <row r="50" spans="1:6" x14ac:dyDescent="0.25">
      <c r="A50" t="s">
        <v>22</v>
      </c>
      <c r="B50" s="5" t="s">
        <v>2129</v>
      </c>
      <c r="C50" s="5" t="s">
        <v>2129</v>
      </c>
      <c r="D50" t="b">
        <f t="shared" si="0"/>
        <v>0</v>
      </c>
      <c r="F50"/>
    </row>
    <row r="51" spans="1:6" x14ac:dyDescent="0.25">
      <c r="A51" t="s">
        <v>22</v>
      </c>
      <c r="B51" s="5" t="s">
        <v>2161</v>
      </c>
      <c r="C51" s="5" t="s">
        <v>2161</v>
      </c>
      <c r="D51" t="b">
        <f t="shared" si="0"/>
        <v>0</v>
      </c>
      <c r="F51"/>
    </row>
    <row r="52" spans="1:6" x14ac:dyDescent="0.25">
      <c r="A52" t="s">
        <v>22</v>
      </c>
      <c r="B52" s="5" t="s">
        <v>2159</v>
      </c>
      <c r="C52" s="5" t="s">
        <v>2159</v>
      </c>
      <c r="D52" t="b">
        <f t="shared" si="0"/>
        <v>0</v>
      </c>
      <c r="F52"/>
    </row>
    <row r="53" spans="1:6" x14ac:dyDescent="0.25">
      <c r="A53" t="s">
        <v>22</v>
      </c>
      <c r="B53" s="5" t="s">
        <v>2152</v>
      </c>
      <c r="C53" s="5" t="s">
        <v>2152</v>
      </c>
      <c r="D53" t="b">
        <f t="shared" si="0"/>
        <v>0</v>
      </c>
      <c r="F53"/>
    </row>
    <row r="54" spans="1:6" x14ac:dyDescent="0.25">
      <c r="A54" t="s">
        <v>22</v>
      </c>
      <c r="B54" s="5" t="s">
        <v>2142</v>
      </c>
      <c r="C54" s="5" t="s">
        <v>2142</v>
      </c>
      <c r="D54" t="b">
        <f t="shared" si="0"/>
        <v>0</v>
      </c>
      <c r="F54"/>
    </row>
    <row r="55" spans="1:6" x14ac:dyDescent="0.25">
      <c r="A55" t="s">
        <v>22</v>
      </c>
      <c r="B55" s="5" t="s">
        <v>2154</v>
      </c>
      <c r="C55" s="5" t="s">
        <v>2176</v>
      </c>
      <c r="D55" t="b">
        <f t="shared" si="0"/>
        <v>1</v>
      </c>
      <c r="F55"/>
    </row>
    <row r="56" spans="1:6" x14ac:dyDescent="0.25">
      <c r="A56" t="s">
        <v>44</v>
      </c>
      <c r="B56" t="s">
        <v>2131</v>
      </c>
      <c r="C56" s="5" t="s">
        <v>2187</v>
      </c>
      <c r="D56" t="b">
        <f t="shared" si="0"/>
        <v>1</v>
      </c>
      <c r="F56"/>
    </row>
    <row r="57" spans="1:6" x14ac:dyDescent="0.25">
      <c r="A57" t="s">
        <v>44</v>
      </c>
      <c r="B57" s="5" t="s">
        <v>629</v>
      </c>
      <c r="C57" s="5" t="s">
        <v>2201</v>
      </c>
      <c r="D57" t="b">
        <f t="shared" si="0"/>
        <v>1</v>
      </c>
      <c r="F57"/>
    </row>
    <row r="58" spans="1:6" x14ac:dyDescent="0.25">
      <c r="A58" t="s">
        <v>44</v>
      </c>
      <c r="B58" s="5" t="s">
        <v>143</v>
      </c>
      <c r="C58" s="5" t="s">
        <v>143</v>
      </c>
      <c r="D58" t="b">
        <f t="shared" si="0"/>
        <v>0</v>
      </c>
      <c r="F58"/>
    </row>
    <row r="59" spans="1:6" x14ac:dyDescent="0.25">
      <c r="A59" t="s">
        <v>44</v>
      </c>
      <c r="B59" s="5" t="s">
        <v>102</v>
      </c>
      <c r="C59" s="5" t="s">
        <v>102</v>
      </c>
      <c r="D59" t="b">
        <f t="shared" si="0"/>
        <v>0</v>
      </c>
      <c r="F59"/>
    </row>
    <row r="60" spans="1:6" x14ac:dyDescent="0.25">
      <c r="A60" t="s">
        <v>44</v>
      </c>
      <c r="B60" s="5" t="s">
        <v>2132</v>
      </c>
      <c r="C60" s="5" t="s">
        <v>2132</v>
      </c>
      <c r="D60" t="b">
        <f t="shared" si="0"/>
        <v>0</v>
      </c>
      <c r="F60"/>
    </row>
    <row r="61" spans="1:6" x14ac:dyDescent="0.25">
      <c r="A61" t="s">
        <v>44</v>
      </c>
      <c r="B61" s="5" t="s">
        <v>2141</v>
      </c>
      <c r="C61" s="5" t="s">
        <v>2141</v>
      </c>
      <c r="D61" t="b">
        <f t="shared" si="0"/>
        <v>0</v>
      </c>
      <c r="F61"/>
    </row>
    <row r="62" spans="1:6" x14ac:dyDescent="0.25">
      <c r="A62" t="s">
        <v>44</v>
      </c>
      <c r="B62" s="5" t="s">
        <v>2125</v>
      </c>
      <c r="C62" s="5" t="s">
        <v>2125</v>
      </c>
      <c r="D62" t="b">
        <f t="shared" si="0"/>
        <v>0</v>
      </c>
      <c r="F62" s="5"/>
    </row>
    <row r="63" spans="1:6" x14ac:dyDescent="0.25">
      <c r="A63" t="s">
        <v>44</v>
      </c>
      <c r="B63" s="5" t="s">
        <v>2158</v>
      </c>
      <c r="C63" s="5" t="s">
        <v>2158</v>
      </c>
      <c r="D63" t="b">
        <f t="shared" si="0"/>
        <v>0</v>
      </c>
    </row>
    <row r="64" spans="1:6" x14ac:dyDescent="0.25">
      <c r="A64" t="s">
        <v>44</v>
      </c>
      <c r="B64" s="5" t="s">
        <v>2139</v>
      </c>
      <c r="C64" s="5" t="s">
        <v>1357</v>
      </c>
      <c r="D64" t="b">
        <f t="shared" si="0"/>
        <v>1</v>
      </c>
      <c r="F64"/>
    </row>
    <row r="65" spans="1:6" x14ac:dyDescent="0.25">
      <c r="A65" t="s">
        <v>44</v>
      </c>
      <c r="B65" s="5" t="s">
        <v>2147</v>
      </c>
      <c r="C65" s="5" t="s">
        <v>2147</v>
      </c>
      <c r="D65" t="b">
        <f t="shared" si="0"/>
        <v>0</v>
      </c>
      <c r="F65"/>
    </row>
    <row r="66" spans="1:6" x14ac:dyDescent="0.25">
      <c r="A66" t="s">
        <v>44</v>
      </c>
      <c r="B66" s="5" t="s">
        <v>768</v>
      </c>
      <c r="C66" s="5" t="s">
        <v>768</v>
      </c>
      <c r="D66" t="b">
        <f t="shared" si="0"/>
        <v>0</v>
      </c>
      <c r="F66"/>
    </row>
    <row r="67" spans="1:6" x14ac:dyDescent="0.25">
      <c r="A67" t="s">
        <v>44</v>
      </c>
      <c r="B67" s="5" t="s">
        <v>2149</v>
      </c>
      <c r="C67" s="5" t="s">
        <v>2149</v>
      </c>
      <c r="D67" t="b">
        <f t="shared" si="0"/>
        <v>0</v>
      </c>
      <c r="F67"/>
    </row>
    <row r="68" spans="1:6" x14ac:dyDescent="0.25">
      <c r="A68" t="s">
        <v>2172</v>
      </c>
      <c r="B68" t="s">
        <v>2124</v>
      </c>
      <c r="C68" s="5" t="s">
        <v>2124</v>
      </c>
      <c r="D68" t="b">
        <f t="shared" ref="D68:D102" si="2">B68&lt;&gt;C68</f>
        <v>0</v>
      </c>
      <c r="E68" t="s">
        <v>2186</v>
      </c>
      <c r="F68"/>
    </row>
    <row r="69" spans="1:6" x14ac:dyDescent="0.25">
      <c r="A69" t="s">
        <v>2172</v>
      </c>
      <c r="B69" t="s">
        <v>2150</v>
      </c>
      <c r="C69" s="5" t="s">
        <v>2185</v>
      </c>
      <c r="D69" t="b">
        <f t="shared" si="2"/>
        <v>1</v>
      </c>
    </row>
    <row r="70" spans="1:6" x14ac:dyDescent="0.25">
      <c r="A70" t="s">
        <v>2172</v>
      </c>
      <c r="B70" t="s">
        <v>2146</v>
      </c>
      <c r="C70" s="5" t="s">
        <v>2177</v>
      </c>
      <c r="D70" t="b">
        <f t="shared" si="2"/>
        <v>1</v>
      </c>
    </row>
    <row r="71" spans="1:6" x14ac:dyDescent="0.25">
      <c r="A71" t="s">
        <v>2172</v>
      </c>
      <c r="B71" s="5" t="s">
        <v>2148</v>
      </c>
      <c r="C71" s="5" t="s">
        <v>2148</v>
      </c>
      <c r="D71" t="b">
        <f t="shared" si="2"/>
        <v>0</v>
      </c>
    </row>
    <row r="72" spans="1:6" x14ac:dyDescent="0.25">
      <c r="A72" t="s">
        <v>2172</v>
      </c>
      <c r="B72" s="5" t="s">
        <v>2130</v>
      </c>
      <c r="C72" s="5" t="s">
        <v>2180</v>
      </c>
      <c r="D72" t="b">
        <f t="shared" si="2"/>
        <v>1</v>
      </c>
      <c r="F72" s="5"/>
    </row>
    <row r="73" spans="1:6" x14ac:dyDescent="0.25">
      <c r="A73" t="s">
        <v>2172</v>
      </c>
      <c r="B73" s="5" t="s">
        <v>2160</v>
      </c>
      <c r="C73" s="5" t="s">
        <v>2182</v>
      </c>
      <c r="D73" t="b">
        <f t="shared" si="2"/>
        <v>1</v>
      </c>
    </row>
    <row r="74" spans="1:6" x14ac:dyDescent="0.25">
      <c r="A74" t="s">
        <v>2172</v>
      </c>
      <c r="B74" s="5" t="s">
        <v>511</v>
      </c>
      <c r="C74" s="5" t="s">
        <v>2184</v>
      </c>
      <c r="D74" t="b">
        <f t="shared" si="2"/>
        <v>1</v>
      </c>
    </row>
    <row r="75" spans="1:6" x14ac:dyDescent="0.25">
      <c r="A75" t="s">
        <v>2172</v>
      </c>
      <c r="B75" s="5" t="s">
        <v>2153</v>
      </c>
      <c r="C75" s="5" t="s">
        <v>2181</v>
      </c>
      <c r="D75" t="b">
        <f t="shared" si="2"/>
        <v>1</v>
      </c>
      <c r="F75" s="5"/>
    </row>
    <row r="76" spans="1:6" x14ac:dyDescent="0.25">
      <c r="A76" t="s">
        <v>2172</v>
      </c>
      <c r="B76" s="5" t="s">
        <v>2137</v>
      </c>
      <c r="C76" s="5" t="s">
        <v>2137</v>
      </c>
      <c r="D76" t="b">
        <f t="shared" si="2"/>
        <v>0</v>
      </c>
      <c r="F76" s="5"/>
    </row>
    <row r="77" spans="1:6" x14ac:dyDescent="0.25">
      <c r="A77" t="s">
        <v>2172</v>
      </c>
      <c r="B77" s="5" t="s">
        <v>2135</v>
      </c>
      <c r="C77" s="5" t="s">
        <v>2135</v>
      </c>
      <c r="D77" t="b">
        <f t="shared" si="2"/>
        <v>0</v>
      </c>
    </row>
    <row r="78" spans="1:6" x14ac:dyDescent="0.25">
      <c r="A78" t="s">
        <v>2172</v>
      </c>
      <c r="B78" s="5" t="s">
        <v>2134</v>
      </c>
      <c r="C78" s="5" t="s">
        <v>2134</v>
      </c>
      <c r="D78" t="b">
        <f t="shared" si="2"/>
        <v>0</v>
      </c>
    </row>
    <row r="79" spans="1:6" x14ac:dyDescent="0.25">
      <c r="A79" t="s">
        <v>2172</v>
      </c>
      <c r="B79" s="5" t="s">
        <v>2151</v>
      </c>
      <c r="C79" s="5" t="s">
        <v>2151</v>
      </c>
      <c r="D79" t="b">
        <f t="shared" si="2"/>
        <v>0</v>
      </c>
    </row>
    <row r="80" spans="1:6" x14ac:dyDescent="0.25">
      <c r="A80" t="s">
        <v>2172</v>
      </c>
      <c r="B80" s="5" t="s">
        <v>2133</v>
      </c>
      <c r="C80" s="5" t="s">
        <v>2175</v>
      </c>
      <c r="D80" t="b">
        <f t="shared" si="2"/>
        <v>1</v>
      </c>
    </row>
    <row r="81" spans="1:6" x14ac:dyDescent="0.25">
      <c r="A81" t="s">
        <v>2172</v>
      </c>
      <c r="B81" s="5" t="s">
        <v>2155</v>
      </c>
      <c r="C81" s="5" t="s">
        <v>2155</v>
      </c>
      <c r="D81" t="b">
        <f t="shared" si="2"/>
        <v>0</v>
      </c>
    </row>
    <row r="82" spans="1:6" x14ac:dyDescent="0.25">
      <c r="A82" t="s">
        <v>2172</v>
      </c>
      <c r="B82" s="5" t="s">
        <v>2169</v>
      </c>
      <c r="C82" s="5" t="s">
        <v>2202</v>
      </c>
      <c r="D82" t="b">
        <f t="shared" si="2"/>
        <v>1</v>
      </c>
      <c r="F82"/>
    </row>
    <row r="83" spans="1:6" x14ac:dyDescent="0.25">
      <c r="A83" t="s">
        <v>2172</v>
      </c>
      <c r="B83" s="5" t="s">
        <v>2166</v>
      </c>
      <c r="C83" s="5" t="s">
        <v>2166</v>
      </c>
      <c r="D83" t="b">
        <f t="shared" si="2"/>
        <v>0</v>
      </c>
    </row>
    <row r="84" spans="1:6" x14ac:dyDescent="0.25">
      <c r="A84" t="s">
        <v>2172</v>
      </c>
      <c r="B84" s="5" t="s">
        <v>2165</v>
      </c>
      <c r="C84" s="5" t="s">
        <v>2203</v>
      </c>
      <c r="D84" t="b">
        <f t="shared" si="2"/>
        <v>1</v>
      </c>
      <c r="F84" s="5"/>
    </row>
    <row r="85" spans="1:6" x14ac:dyDescent="0.25">
      <c r="A85" t="s">
        <v>2172</v>
      </c>
      <c r="B85" s="5" t="s">
        <v>2162</v>
      </c>
      <c r="C85" s="5" t="s">
        <v>2162</v>
      </c>
      <c r="D85" t="b">
        <f t="shared" si="2"/>
        <v>0</v>
      </c>
      <c r="F85"/>
    </row>
    <row r="86" spans="1:6" x14ac:dyDescent="0.25">
      <c r="A86" t="s">
        <v>2172</v>
      </c>
      <c r="B86" s="5" t="s">
        <v>2164</v>
      </c>
      <c r="C86" s="5" t="s">
        <v>2164</v>
      </c>
      <c r="D86" t="b">
        <f t="shared" si="2"/>
        <v>0</v>
      </c>
      <c r="F86" s="5"/>
    </row>
    <row r="87" spans="1:6" x14ac:dyDescent="0.25">
      <c r="A87" t="s">
        <v>2172</v>
      </c>
      <c r="B87" s="5" t="s">
        <v>1536</v>
      </c>
      <c r="C87" s="5" t="s">
        <v>1536</v>
      </c>
      <c r="D87" t="b">
        <f t="shared" si="2"/>
        <v>0</v>
      </c>
      <c r="F87" s="5"/>
    </row>
    <row r="88" spans="1:6" x14ac:dyDescent="0.25">
      <c r="A88" t="s">
        <v>121</v>
      </c>
      <c r="B88" s="5" t="s">
        <v>2171</v>
      </c>
      <c r="C88" s="5" t="s">
        <v>2183</v>
      </c>
      <c r="D88" t="b">
        <f t="shared" si="2"/>
        <v>1</v>
      </c>
      <c r="E88" t="s">
        <v>2199</v>
      </c>
      <c r="F88" s="5"/>
    </row>
    <row r="89" spans="1:6" x14ac:dyDescent="0.25">
      <c r="A89" t="s">
        <v>121</v>
      </c>
      <c r="B89" s="5" t="s">
        <v>2126</v>
      </c>
      <c r="C89" s="5" t="s">
        <v>2126</v>
      </c>
      <c r="D89" t="b">
        <f t="shared" si="2"/>
        <v>0</v>
      </c>
      <c r="E89" s="5" t="s">
        <v>2204</v>
      </c>
      <c r="F89" s="5"/>
    </row>
    <row r="90" spans="1:6" x14ac:dyDescent="0.25">
      <c r="A90" t="s">
        <v>121</v>
      </c>
      <c r="B90" s="5" t="s">
        <v>2128</v>
      </c>
      <c r="C90" s="5" t="s">
        <v>1851</v>
      </c>
      <c r="D90" t="b">
        <f t="shared" si="2"/>
        <v>1</v>
      </c>
      <c r="F90"/>
    </row>
    <row r="91" spans="1:6" x14ac:dyDescent="0.25">
      <c r="A91" t="s">
        <v>121</v>
      </c>
      <c r="B91" s="5" t="s">
        <v>1707</v>
      </c>
      <c r="C91" t="s">
        <v>1707</v>
      </c>
      <c r="D91" t="b">
        <f t="shared" si="2"/>
        <v>0</v>
      </c>
      <c r="F91"/>
    </row>
    <row r="92" spans="1:6" x14ac:dyDescent="0.25">
      <c r="A92" t="s">
        <v>121</v>
      </c>
      <c r="B92" s="5" t="s">
        <v>2170</v>
      </c>
      <c r="C92" s="5" t="s">
        <v>2200</v>
      </c>
      <c r="D92" t="b">
        <f t="shared" si="2"/>
        <v>1</v>
      </c>
      <c r="F92"/>
    </row>
    <row r="93" spans="1:6" x14ac:dyDescent="0.25">
      <c r="A93" t="s">
        <v>121</v>
      </c>
      <c r="B93" s="5" t="s">
        <v>2163</v>
      </c>
      <c r="C93" s="5" t="s">
        <v>2163</v>
      </c>
      <c r="D93" t="b">
        <f t="shared" si="2"/>
        <v>0</v>
      </c>
    </row>
    <row r="94" spans="1:6" x14ac:dyDescent="0.25">
      <c r="A94" t="s">
        <v>121</v>
      </c>
      <c r="B94" s="5" t="s">
        <v>2157</v>
      </c>
      <c r="C94" s="5" t="s">
        <v>2157</v>
      </c>
      <c r="D94" t="b">
        <f t="shared" si="2"/>
        <v>0</v>
      </c>
      <c r="F94"/>
    </row>
    <row r="95" spans="1:6" x14ac:dyDescent="0.25">
      <c r="A95" t="s">
        <v>121</v>
      </c>
      <c r="B95" s="5" t="s">
        <v>2156</v>
      </c>
      <c r="C95" s="5" t="s">
        <v>2156</v>
      </c>
      <c r="D95" t="b">
        <f t="shared" si="2"/>
        <v>0</v>
      </c>
      <c r="F95"/>
    </row>
    <row r="96" spans="1:6" x14ac:dyDescent="0.25">
      <c r="A96" t="s">
        <v>121</v>
      </c>
      <c r="B96" s="5" t="s">
        <v>2138</v>
      </c>
      <c r="C96" s="5" t="s">
        <v>2138</v>
      </c>
      <c r="D96" t="b">
        <f t="shared" si="2"/>
        <v>0</v>
      </c>
    </row>
    <row r="97" spans="1:6" x14ac:dyDescent="0.25">
      <c r="A97" t="s">
        <v>121</v>
      </c>
      <c r="B97" s="5" t="s">
        <v>2136</v>
      </c>
      <c r="C97" s="5" t="s">
        <v>2136</v>
      </c>
      <c r="D97" t="b">
        <f t="shared" si="2"/>
        <v>0</v>
      </c>
      <c r="F97"/>
    </row>
    <row r="98" spans="1:6" x14ac:dyDescent="0.25">
      <c r="A98" t="s">
        <v>121</v>
      </c>
      <c r="B98" s="5" t="s">
        <v>2140</v>
      </c>
      <c r="C98" s="5" t="s">
        <v>2140</v>
      </c>
      <c r="D98" t="b">
        <f t="shared" si="2"/>
        <v>0</v>
      </c>
      <c r="F98"/>
    </row>
    <row r="99" spans="1:6" x14ac:dyDescent="0.25">
      <c r="A99" t="s">
        <v>121</v>
      </c>
      <c r="B99" s="5" t="s">
        <v>2143</v>
      </c>
      <c r="C99" s="5" t="s">
        <v>2143</v>
      </c>
      <c r="D99" t="b">
        <f t="shared" si="2"/>
        <v>0</v>
      </c>
    </row>
    <row r="100" spans="1:6" x14ac:dyDescent="0.25">
      <c r="A100" t="s">
        <v>121</v>
      </c>
      <c r="B100" s="5" t="s">
        <v>1702</v>
      </c>
      <c r="C100" s="5" t="s">
        <v>2173</v>
      </c>
      <c r="D100" t="b">
        <f t="shared" si="2"/>
        <v>1</v>
      </c>
    </row>
    <row r="101" spans="1:6" x14ac:dyDescent="0.25">
      <c r="A101" t="s">
        <v>121</v>
      </c>
      <c r="B101" s="5" t="s">
        <v>2167</v>
      </c>
      <c r="C101" s="5" t="s">
        <v>2174</v>
      </c>
      <c r="D101" t="b">
        <f t="shared" si="2"/>
        <v>1</v>
      </c>
    </row>
    <row r="102" spans="1:6" x14ac:dyDescent="0.25">
      <c r="A102" t="s">
        <v>121</v>
      </c>
      <c r="B102" s="5" t="s">
        <v>2168</v>
      </c>
      <c r="C102" s="5" t="s">
        <v>2178</v>
      </c>
      <c r="D102" t="b">
        <f t="shared" si="2"/>
        <v>1</v>
      </c>
    </row>
  </sheetData>
  <mergeCells count="1">
    <mergeCell ref="A1:G1"/>
  </mergeCells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notContainsText" priority="2" operator="notContains" id="{04F5A757-2034-499E-99B6-D7F42A5F7766}">
            <xm:f>ISERROR(SEARCH(C3,B3))</xm:f>
            <xm:f>C3</xm:f>
            <x14:dxf>
              <fill>
                <patternFill>
                  <bgColor theme="5" tint="0.39994506668294322"/>
                </patternFill>
              </fill>
            </x14:dxf>
          </x14:cfRule>
          <xm:sqref>B3:B102</xm:sqref>
        </x14:conditionalFormatting>
      </x14:conditionalFormatting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A6042-406E-4380-90C8-8E77B26144E8}">
  <dimension ref="A1:G102"/>
  <sheetViews>
    <sheetView workbookViewId="0">
      <selection activeCell="C12" sqref="C12"/>
    </sheetView>
  </sheetViews>
  <sheetFormatPr defaultRowHeight="15" x14ac:dyDescent="0.25"/>
  <cols>
    <col min="1" max="1" width="12.85546875" style="5" customWidth="1"/>
    <col min="2" max="2" width="38.7109375" customWidth="1"/>
    <col min="3" max="3" width="38.7109375" style="5" customWidth="1"/>
    <col min="4" max="4" width="12.42578125" hidden="1" customWidth="1"/>
    <col min="5" max="5" width="4.28515625" customWidth="1"/>
    <col min="6" max="6" width="22.7109375" style="3" customWidth="1"/>
    <col min="7" max="7" width="8.140625" bestFit="1" customWidth="1"/>
  </cols>
  <sheetData>
    <row r="1" spans="1:7" ht="21" x14ac:dyDescent="0.25">
      <c r="A1" s="12" t="s">
        <v>2232</v>
      </c>
      <c r="B1" s="12"/>
      <c r="C1" s="12"/>
      <c r="D1" s="12"/>
      <c r="E1" s="12"/>
      <c r="F1" s="12"/>
      <c r="G1" s="12"/>
    </row>
    <row r="2" spans="1:7" x14ac:dyDescent="0.25">
      <c r="A2" s="4" t="s">
        <v>11</v>
      </c>
      <c r="B2" s="4" t="s">
        <v>12</v>
      </c>
      <c r="C2" s="11" t="s">
        <v>13</v>
      </c>
      <c r="D2" s="4" t="s">
        <v>14</v>
      </c>
      <c r="F2" s="4" t="s">
        <v>16</v>
      </c>
      <c r="G2" s="3">
        <f>COUNTIF(D:D,"Verdadeiro")</f>
        <v>98</v>
      </c>
    </row>
    <row r="3" spans="1:7" x14ac:dyDescent="0.25">
      <c r="A3" s="5" t="s">
        <v>1539</v>
      </c>
      <c r="B3" s="5" t="s">
        <v>1544</v>
      </c>
      <c r="C3" s="5" t="s">
        <v>1544</v>
      </c>
      <c r="D3" t="b">
        <f>B3&lt;&gt;C3</f>
        <v>0</v>
      </c>
      <c r="F3" s="4" t="s">
        <v>17</v>
      </c>
      <c r="G3" s="10">
        <f>SUM(G5:G29)</f>
        <v>100</v>
      </c>
    </row>
    <row r="4" spans="1:7" x14ac:dyDescent="0.25">
      <c r="A4" t="s">
        <v>1539</v>
      </c>
      <c r="B4" s="5" t="s">
        <v>1542</v>
      </c>
      <c r="C4" s="5" t="s">
        <v>1542</v>
      </c>
      <c r="D4" t="b">
        <f t="shared" ref="D4:D67" si="0">B4&lt;&gt;C4</f>
        <v>0</v>
      </c>
    </row>
    <row r="5" spans="1:7" x14ac:dyDescent="0.25">
      <c r="A5" t="s">
        <v>15</v>
      </c>
      <c r="B5" s="5"/>
      <c r="C5" s="5" t="s">
        <v>34</v>
      </c>
      <c r="D5" t="b">
        <f t="shared" si="0"/>
        <v>1</v>
      </c>
      <c r="F5" s="6" t="s">
        <v>19</v>
      </c>
      <c r="G5" s="1"/>
    </row>
    <row r="6" spans="1:7" x14ac:dyDescent="0.25">
      <c r="A6" t="s">
        <v>15</v>
      </c>
      <c r="B6" s="5"/>
      <c r="C6" s="5" t="s">
        <v>616</v>
      </c>
      <c r="D6" t="b">
        <f t="shared" si="0"/>
        <v>1</v>
      </c>
      <c r="F6" s="1" t="s">
        <v>15</v>
      </c>
      <c r="G6" s="2">
        <f t="shared" ref="G6:G13" si="1">COUNTIF(A:A,F6)</f>
        <v>37</v>
      </c>
    </row>
    <row r="7" spans="1:7" x14ac:dyDescent="0.25">
      <c r="A7" t="s">
        <v>15</v>
      </c>
      <c r="B7" s="5"/>
      <c r="C7" s="5" t="s">
        <v>45</v>
      </c>
      <c r="D7" t="b">
        <f t="shared" si="0"/>
        <v>1</v>
      </c>
      <c r="F7" s="5" t="s">
        <v>1539</v>
      </c>
      <c r="G7" s="2">
        <f t="shared" si="1"/>
        <v>2</v>
      </c>
    </row>
    <row r="8" spans="1:7" x14ac:dyDescent="0.25">
      <c r="A8" t="s">
        <v>15</v>
      </c>
      <c r="B8" s="5"/>
      <c r="C8" s="5" t="s">
        <v>20</v>
      </c>
      <c r="D8" t="b">
        <f t="shared" si="0"/>
        <v>1</v>
      </c>
      <c r="F8" s="1" t="s">
        <v>21</v>
      </c>
      <c r="G8" s="2">
        <f t="shared" si="1"/>
        <v>15</v>
      </c>
    </row>
    <row r="9" spans="1:7" x14ac:dyDescent="0.25">
      <c r="A9" t="s">
        <v>15</v>
      </c>
      <c r="B9" s="5"/>
      <c r="C9" s="5" t="s">
        <v>43</v>
      </c>
      <c r="D9" t="b">
        <f t="shared" si="0"/>
        <v>1</v>
      </c>
      <c r="F9" s="1" t="s">
        <v>26</v>
      </c>
      <c r="G9" s="2">
        <f t="shared" si="1"/>
        <v>5</v>
      </c>
    </row>
    <row r="10" spans="1:7" x14ac:dyDescent="0.25">
      <c r="A10" t="s">
        <v>15</v>
      </c>
      <c r="B10" s="5"/>
      <c r="C10" s="5" t="s">
        <v>62</v>
      </c>
      <c r="D10" t="b">
        <f t="shared" si="0"/>
        <v>1</v>
      </c>
      <c r="F10" s="1" t="s">
        <v>23</v>
      </c>
      <c r="G10" s="2">
        <f t="shared" si="1"/>
        <v>16</v>
      </c>
    </row>
    <row r="11" spans="1:7" x14ac:dyDescent="0.25">
      <c r="A11" t="s">
        <v>15</v>
      </c>
      <c r="B11" s="5"/>
      <c r="C11" s="5" t="s">
        <v>62</v>
      </c>
      <c r="D11" t="b">
        <f t="shared" si="0"/>
        <v>1</v>
      </c>
      <c r="F11" s="1" t="s">
        <v>2050</v>
      </c>
      <c r="G11" s="2">
        <f t="shared" si="1"/>
        <v>13</v>
      </c>
    </row>
    <row r="12" spans="1:7" x14ac:dyDescent="0.25">
      <c r="A12" t="s">
        <v>15</v>
      </c>
      <c r="B12" s="5"/>
      <c r="C12" s="5" t="s">
        <v>62</v>
      </c>
      <c r="D12" t="b">
        <f t="shared" si="0"/>
        <v>1</v>
      </c>
      <c r="F12" s="1" t="s">
        <v>27</v>
      </c>
      <c r="G12" s="2">
        <f t="shared" si="1"/>
        <v>8</v>
      </c>
    </row>
    <row r="13" spans="1:7" x14ac:dyDescent="0.25">
      <c r="A13" t="s">
        <v>15</v>
      </c>
      <c r="B13" s="5"/>
      <c r="C13" s="5" t="s">
        <v>62</v>
      </c>
      <c r="D13" t="b">
        <f t="shared" si="0"/>
        <v>1</v>
      </c>
      <c r="F13" s="5" t="s">
        <v>1280</v>
      </c>
      <c r="G13" s="2">
        <f t="shared" si="1"/>
        <v>4</v>
      </c>
    </row>
    <row r="14" spans="1:7" x14ac:dyDescent="0.25">
      <c r="A14" t="s">
        <v>15</v>
      </c>
      <c r="B14" s="5"/>
      <c r="C14" s="5" t="s">
        <v>62</v>
      </c>
      <c r="D14" t="b">
        <f t="shared" si="0"/>
        <v>1</v>
      </c>
      <c r="F14" s="5"/>
      <c r="G14" s="2"/>
    </row>
    <row r="15" spans="1:7" x14ac:dyDescent="0.25">
      <c r="A15" t="s">
        <v>15</v>
      </c>
      <c r="B15" s="5"/>
      <c r="C15" s="5" t="s">
        <v>62</v>
      </c>
      <c r="D15" t="b">
        <f t="shared" si="0"/>
        <v>1</v>
      </c>
      <c r="F15" s="1"/>
      <c r="G15" s="2"/>
    </row>
    <row r="16" spans="1:7" x14ac:dyDescent="0.25">
      <c r="A16" t="s">
        <v>15</v>
      </c>
      <c r="B16" s="5"/>
      <c r="C16" s="5" t="s">
        <v>62</v>
      </c>
      <c r="D16" t="b">
        <f t="shared" si="0"/>
        <v>1</v>
      </c>
      <c r="F16" s="1"/>
      <c r="G16" s="2"/>
    </row>
    <row r="17" spans="1:7" x14ac:dyDescent="0.25">
      <c r="A17" t="s">
        <v>15</v>
      </c>
      <c r="B17" s="5"/>
      <c r="C17" s="5" t="s">
        <v>62</v>
      </c>
      <c r="D17" t="b">
        <f t="shared" si="0"/>
        <v>1</v>
      </c>
      <c r="F17" s="5"/>
      <c r="G17" s="2"/>
    </row>
    <row r="18" spans="1:7" x14ac:dyDescent="0.25">
      <c r="A18" t="s">
        <v>15</v>
      </c>
      <c r="B18" s="5"/>
      <c r="C18" s="5" t="s">
        <v>62</v>
      </c>
      <c r="D18" t="b">
        <f t="shared" si="0"/>
        <v>1</v>
      </c>
      <c r="F18" s="5"/>
      <c r="G18" s="2"/>
    </row>
    <row r="19" spans="1:7" x14ac:dyDescent="0.25">
      <c r="A19" t="s">
        <v>15</v>
      </c>
      <c r="B19" s="5"/>
      <c r="C19" s="5" t="s">
        <v>62</v>
      </c>
      <c r="D19" t="b">
        <f t="shared" si="0"/>
        <v>1</v>
      </c>
    </row>
    <row r="20" spans="1:7" x14ac:dyDescent="0.25">
      <c r="A20" t="s">
        <v>15</v>
      </c>
      <c r="B20" s="5"/>
      <c r="C20" s="5" t="s">
        <v>62</v>
      </c>
      <c r="D20" t="b">
        <f t="shared" si="0"/>
        <v>1</v>
      </c>
    </row>
    <row r="21" spans="1:7" x14ac:dyDescent="0.25">
      <c r="A21" t="s">
        <v>15</v>
      </c>
      <c r="B21" s="5"/>
      <c r="C21" s="5" t="s">
        <v>62</v>
      </c>
      <c r="D21" t="b">
        <f t="shared" si="0"/>
        <v>1</v>
      </c>
    </row>
    <row r="22" spans="1:7" x14ac:dyDescent="0.25">
      <c r="A22" t="s">
        <v>15</v>
      </c>
      <c r="B22" s="5"/>
      <c r="C22" s="5" t="s">
        <v>62</v>
      </c>
      <c r="D22" t="b">
        <f t="shared" si="0"/>
        <v>1</v>
      </c>
    </row>
    <row r="23" spans="1:7" x14ac:dyDescent="0.25">
      <c r="A23" t="s">
        <v>15</v>
      </c>
      <c r="B23" s="5"/>
      <c r="C23" s="5" t="s">
        <v>61</v>
      </c>
      <c r="D23" t="b">
        <f t="shared" si="0"/>
        <v>1</v>
      </c>
    </row>
    <row r="24" spans="1:7" x14ac:dyDescent="0.25">
      <c r="A24" t="s">
        <v>15</v>
      </c>
      <c r="B24" s="5"/>
      <c r="C24" s="5" t="s">
        <v>61</v>
      </c>
      <c r="D24" t="b">
        <f t="shared" si="0"/>
        <v>1</v>
      </c>
    </row>
    <row r="25" spans="1:7" x14ac:dyDescent="0.25">
      <c r="A25" t="s">
        <v>15</v>
      </c>
      <c r="B25" s="5"/>
      <c r="C25" s="5" t="s">
        <v>61</v>
      </c>
      <c r="D25" t="b">
        <f t="shared" si="0"/>
        <v>1</v>
      </c>
    </row>
    <row r="26" spans="1:7" x14ac:dyDescent="0.25">
      <c r="A26" t="s">
        <v>15</v>
      </c>
      <c r="B26" s="5"/>
      <c r="C26" s="5" t="s">
        <v>61</v>
      </c>
      <c r="D26" t="b">
        <f t="shared" si="0"/>
        <v>1</v>
      </c>
    </row>
    <row r="27" spans="1:7" x14ac:dyDescent="0.25">
      <c r="A27" t="s">
        <v>15</v>
      </c>
      <c r="B27" s="5"/>
      <c r="C27" s="5" t="s">
        <v>61</v>
      </c>
      <c r="D27" t="b">
        <f t="shared" si="0"/>
        <v>1</v>
      </c>
    </row>
    <row r="28" spans="1:7" x14ac:dyDescent="0.25">
      <c r="A28" t="s">
        <v>15</v>
      </c>
      <c r="B28" s="5"/>
      <c r="C28" s="5" t="s">
        <v>61</v>
      </c>
      <c r="D28" t="b">
        <f t="shared" si="0"/>
        <v>1</v>
      </c>
    </row>
    <row r="29" spans="1:7" x14ac:dyDescent="0.25">
      <c r="A29" t="s">
        <v>15</v>
      </c>
      <c r="B29" s="5"/>
      <c r="C29" s="5" t="s">
        <v>60</v>
      </c>
      <c r="D29" t="b">
        <f t="shared" si="0"/>
        <v>1</v>
      </c>
    </row>
    <row r="30" spans="1:7" x14ac:dyDescent="0.25">
      <c r="A30" t="s">
        <v>15</v>
      </c>
      <c r="B30" s="5"/>
      <c r="C30" s="5" t="s">
        <v>60</v>
      </c>
      <c r="D30" t="b">
        <f t="shared" si="0"/>
        <v>1</v>
      </c>
    </row>
    <row r="31" spans="1:7" x14ac:dyDescent="0.25">
      <c r="A31" t="s">
        <v>15</v>
      </c>
      <c r="B31" s="5"/>
      <c r="C31" s="5" t="s">
        <v>60</v>
      </c>
      <c r="D31" t="b">
        <f t="shared" si="0"/>
        <v>1</v>
      </c>
    </row>
    <row r="32" spans="1:7" x14ac:dyDescent="0.25">
      <c r="A32" t="s">
        <v>15</v>
      </c>
      <c r="B32" s="5"/>
      <c r="C32" s="5" t="s">
        <v>60</v>
      </c>
      <c r="D32" t="b">
        <f t="shared" si="0"/>
        <v>1</v>
      </c>
    </row>
    <row r="33" spans="1:6" x14ac:dyDescent="0.25">
      <c r="A33" t="s">
        <v>15</v>
      </c>
      <c r="B33" s="5"/>
      <c r="C33" s="5" t="s">
        <v>60</v>
      </c>
      <c r="D33" t="b">
        <f t="shared" si="0"/>
        <v>1</v>
      </c>
    </row>
    <row r="34" spans="1:6" x14ac:dyDescent="0.25">
      <c r="A34" t="s">
        <v>15</v>
      </c>
      <c r="B34" s="5"/>
      <c r="C34" s="5" t="s">
        <v>60</v>
      </c>
      <c r="D34" t="b">
        <f t="shared" si="0"/>
        <v>1</v>
      </c>
    </row>
    <row r="35" spans="1:6" x14ac:dyDescent="0.25">
      <c r="A35" t="s">
        <v>15</v>
      </c>
      <c r="B35" s="5"/>
      <c r="C35" s="5" t="s">
        <v>60</v>
      </c>
      <c r="D35" t="b">
        <f t="shared" si="0"/>
        <v>1</v>
      </c>
    </row>
    <row r="36" spans="1:6" x14ac:dyDescent="0.25">
      <c r="A36" t="s">
        <v>15</v>
      </c>
      <c r="B36" s="5"/>
      <c r="C36" s="5" t="s">
        <v>122</v>
      </c>
      <c r="D36" t="b">
        <f t="shared" si="0"/>
        <v>1</v>
      </c>
    </row>
    <row r="37" spans="1:6" x14ac:dyDescent="0.25">
      <c r="A37" t="s">
        <v>15</v>
      </c>
      <c r="B37" s="5"/>
      <c r="C37" s="5" t="s">
        <v>122</v>
      </c>
      <c r="D37" t="b">
        <f t="shared" si="0"/>
        <v>1</v>
      </c>
    </row>
    <row r="38" spans="1:6" x14ac:dyDescent="0.25">
      <c r="A38" t="s">
        <v>15</v>
      </c>
      <c r="B38" s="5"/>
      <c r="C38" s="5" t="s">
        <v>122</v>
      </c>
      <c r="D38" t="b">
        <f t="shared" si="0"/>
        <v>1</v>
      </c>
    </row>
    <row r="39" spans="1:6" x14ac:dyDescent="0.25">
      <c r="A39" t="s">
        <v>15</v>
      </c>
      <c r="B39" s="5"/>
      <c r="C39" s="5" t="s">
        <v>122</v>
      </c>
      <c r="D39" t="b">
        <f t="shared" si="0"/>
        <v>1</v>
      </c>
    </row>
    <row r="40" spans="1:6" x14ac:dyDescent="0.25">
      <c r="A40" t="s">
        <v>15</v>
      </c>
      <c r="B40" s="5"/>
      <c r="C40" s="5" t="s">
        <v>122</v>
      </c>
      <c r="D40" t="b">
        <f t="shared" si="0"/>
        <v>1</v>
      </c>
    </row>
    <row r="41" spans="1:6" x14ac:dyDescent="0.25">
      <c r="A41" t="s">
        <v>15</v>
      </c>
      <c r="B41" s="5"/>
      <c r="C41" s="5" t="s">
        <v>122</v>
      </c>
      <c r="D41" t="b">
        <f t="shared" si="0"/>
        <v>1</v>
      </c>
    </row>
    <row r="42" spans="1:6" x14ac:dyDescent="0.25">
      <c r="A42" t="s">
        <v>21</v>
      </c>
      <c r="B42" s="5"/>
      <c r="C42" s="5" t="s">
        <v>2271</v>
      </c>
      <c r="D42" t="b">
        <f t="shared" si="0"/>
        <v>1</v>
      </c>
    </row>
    <row r="43" spans="1:6" x14ac:dyDescent="0.25">
      <c r="A43" t="s">
        <v>21</v>
      </c>
      <c r="B43" s="5"/>
      <c r="C43" s="5" t="s">
        <v>2272</v>
      </c>
      <c r="D43" t="b">
        <f t="shared" si="0"/>
        <v>1</v>
      </c>
    </row>
    <row r="44" spans="1:6" x14ac:dyDescent="0.25">
      <c r="A44" t="s">
        <v>21</v>
      </c>
      <c r="B44" s="5"/>
      <c r="C44" s="5" t="s">
        <v>2263</v>
      </c>
      <c r="D44" t="b">
        <f t="shared" si="0"/>
        <v>1</v>
      </c>
    </row>
    <row r="45" spans="1:6" x14ac:dyDescent="0.25">
      <c r="A45" t="s">
        <v>21</v>
      </c>
      <c r="B45" s="5"/>
      <c r="C45" s="5" t="s">
        <v>64</v>
      </c>
      <c r="D45" t="b">
        <f t="shared" si="0"/>
        <v>1</v>
      </c>
    </row>
    <row r="46" spans="1:6" x14ac:dyDescent="0.25">
      <c r="A46" t="s">
        <v>21</v>
      </c>
      <c r="B46" s="5"/>
      <c r="C46" s="5" t="s">
        <v>2273</v>
      </c>
      <c r="D46" t="b">
        <f t="shared" si="0"/>
        <v>1</v>
      </c>
    </row>
    <row r="47" spans="1:6" x14ac:dyDescent="0.25">
      <c r="A47" t="s">
        <v>21</v>
      </c>
      <c r="B47" s="5"/>
      <c r="C47" s="5" t="s">
        <v>2253</v>
      </c>
      <c r="D47" t="b">
        <f t="shared" si="0"/>
        <v>1</v>
      </c>
      <c r="F47"/>
    </row>
    <row r="48" spans="1:6" x14ac:dyDescent="0.25">
      <c r="A48" t="s">
        <v>21</v>
      </c>
      <c r="B48" s="5"/>
      <c r="C48" s="5" t="s">
        <v>65</v>
      </c>
      <c r="D48" t="b">
        <f t="shared" si="0"/>
        <v>1</v>
      </c>
      <c r="F48"/>
    </row>
    <row r="49" spans="1:6" x14ac:dyDescent="0.25">
      <c r="A49" t="s">
        <v>21</v>
      </c>
      <c r="B49" s="5"/>
      <c r="C49" s="5" t="s">
        <v>1281</v>
      </c>
      <c r="D49" t="b">
        <f t="shared" si="0"/>
        <v>1</v>
      </c>
      <c r="F49"/>
    </row>
    <row r="50" spans="1:6" x14ac:dyDescent="0.25">
      <c r="A50" t="s">
        <v>21</v>
      </c>
      <c r="B50" s="5"/>
      <c r="C50" s="5" t="s">
        <v>2261</v>
      </c>
      <c r="D50" t="b">
        <f t="shared" si="0"/>
        <v>1</v>
      </c>
      <c r="F50"/>
    </row>
    <row r="51" spans="1:6" x14ac:dyDescent="0.25">
      <c r="A51" t="s">
        <v>21</v>
      </c>
      <c r="B51" s="5"/>
      <c r="C51" s="5" t="s">
        <v>2262</v>
      </c>
      <c r="D51" t="b">
        <f t="shared" si="0"/>
        <v>1</v>
      </c>
      <c r="F51"/>
    </row>
    <row r="52" spans="1:6" x14ac:dyDescent="0.25">
      <c r="A52" t="s">
        <v>21</v>
      </c>
      <c r="B52" s="5"/>
      <c r="C52" s="5" t="s">
        <v>1941</v>
      </c>
      <c r="D52" t="b">
        <f t="shared" si="0"/>
        <v>1</v>
      </c>
      <c r="F52"/>
    </row>
    <row r="53" spans="1:6" x14ac:dyDescent="0.25">
      <c r="A53" t="s">
        <v>21</v>
      </c>
      <c r="B53" s="5"/>
      <c r="C53" s="5" t="s">
        <v>2246</v>
      </c>
      <c r="D53" t="b">
        <f t="shared" si="0"/>
        <v>1</v>
      </c>
      <c r="F53"/>
    </row>
    <row r="54" spans="1:6" x14ac:dyDescent="0.25">
      <c r="A54" t="s">
        <v>21</v>
      </c>
      <c r="B54" s="5"/>
      <c r="C54" s="5" t="s">
        <v>2243</v>
      </c>
      <c r="D54" t="b">
        <f t="shared" si="0"/>
        <v>1</v>
      </c>
      <c r="F54"/>
    </row>
    <row r="55" spans="1:6" x14ac:dyDescent="0.25">
      <c r="A55" t="s">
        <v>21</v>
      </c>
      <c r="B55" s="5"/>
      <c r="C55" s="5" t="s">
        <v>1626</v>
      </c>
      <c r="D55" t="b">
        <f t="shared" si="0"/>
        <v>1</v>
      </c>
      <c r="F55"/>
    </row>
    <row r="56" spans="1:6" x14ac:dyDescent="0.25">
      <c r="A56" t="s">
        <v>21</v>
      </c>
      <c r="C56" s="5" t="s">
        <v>2240</v>
      </c>
      <c r="D56" t="b">
        <f t="shared" si="0"/>
        <v>1</v>
      </c>
      <c r="F56"/>
    </row>
    <row r="57" spans="1:6" x14ac:dyDescent="0.25">
      <c r="A57" t="s">
        <v>26</v>
      </c>
      <c r="B57" s="5"/>
      <c r="C57" s="5" t="s">
        <v>106</v>
      </c>
      <c r="D57" t="b">
        <f t="shared" si="0"/>
        <v>1</v>
      </c>
      <c r="F57"/>
    </row>
    <row r="58" spans="1:6" x14ac:dyDescent="0.25">
      <c r="A58" t="s">
        <v>26</v>
      </c>
      <c r="B58" s="5"/>
      <c r="C58" s="5" t="s">
        <v>100</v>
      </c>
      <c r="D58" t="b">
        <f t="shared" si="0"/>
        <v>1</v>
      </c>
      <c r="F58"/>
    </row>
    <row r="59" spans="1:6" x14ac:dyDescent="0.25">
      <c r="A59" t="s">
        <v>26</v>
      </c>
      <c r="B59" s="5"/>
      <c r="C59" s="5" t="s">
        <v>586</v>
      </c>
      <c r="D59" t="b">
        <f t="shared" si="0"/>
        <v>1</v>
      </c>
      <c r="F59"/>
    </row>
    <row r="60" spans="1:6" x14ac:dyDescent="0.25">
      <c r="A60" t="s">
        <v>26</v>
      </c>
      <c r="B60" s="5"/>
      <c r="C60" s="5" t="s">
        <v>649</v>
      </c>
      <c r="D60" t="b">
        <f t="shared" si="0"/>
        <v>1</v>
      </c>
      <c r="F60"/>
    </row>
    <row r="61" spans="1:6" x14ac:dyDescent="0.25">
      <c r="A61" t="s">
        <v>26</v>
      </c>
      <c r="B61" s="5"/>
      <c r="C61" s="5" t="s">
        <v>590</v>
      </c>
      <c r="D61" t="b">
        <f t="shared" si="0"/>
        <v>1</v>
      </c>
      <c r="F61"/>
    </row>
    <row r="62" spans="1:6" x14ac:dyDescent="0.25">
      <c r="A62" t="s">
        <v>1280</v>
      </c>
      <c r="B62" s="5"/>
      <c r="C62" s="5" t="s">
        <v>215</v>
      </c>
      <c r="D62" t="b">
        <f t="shared" si="0"/>
        <v>1</v>
      </c>
      <c r="F62" s="5"/>
    </row>
    <row r="63" spans="1:6" x14ac:dyDescent="0.25">
      <c r="A63" t="s">
        <v>1280</v>
      </c>
      <c r="B63" s="5"/>
      <c r="C63" s="5" t="s">
        <v>1119</v>
      </c>
      <c r="D63" t="b">
        <f t="shared" si="0"/>
        <v>1</v>
      </c>
    </row>
    <row r="64" spans="1:6" x14ac:dyDescent="0.25">
      <c r="A64" t="s">
        <v>1280</v>
      </c>
      <c r="B64" s="5"/>
      <c r="C64" s="5" t="s">
        <v>2269</v>
      </c>
      <c r="D64" t="b">
        <f t="shared" si="0"/>
        <v>1</v>
      </c>
      <c r="F64"/>
    </row>
    <row r="65" spans="1:6" x14ac:dyDescent="0.25">
      <c r="A65" t="s">
        <v>1280</v>
      </c>
      <c r="B65" s="5"/>
      <c r="C65" s="5" t="s">
        <v>2270</v>
      </c>
      <c r="D65" t="b">
        <f t="shared" si="0"/>
        <v>1</v>
      </c>
      <c r="F65"/>
    </row>
    <row r="66" spans="1:6" x14ac:dyDescent="0.25">
      <c r="A66" t="s">
        <v>23</v>
      </c>
      <c r="B66" s="5"/>
      <c r="C66" s="5" t="s">
        <v>2242</v>
      </c>
      <c r="D66" t="b">
        <f t="shared" si="0"/>
        <v>1</v>
      </c>
      <c r="F66"/>
    </row>
    <row r="67" spans="1:6" x14ac:dyDescent="0.25">
      <c r="A67" t="s">
        <v>23</v>
      </c>
      <c r="B67" s="5"/>
      <c r="C67" s="5" t="s">
        <v>2252</v>
      </c>
      <c r="D67" t="b">
        <f t="shared" si="0"/>
        <v>1</v>
      </c>
      <c r="F67"/>
    </row>
    <row r="68" spans="1:6" x14ac:dyDescent="0.25">
      <c r="A68" t="s">
        <v>23</v>
      </c>
      <c r="C68" s="5" t="s">
        <v>143</v>
      </c>
      <c r="D68" t="b">
        <f t="shared" ref="D68:D101" si="2">B68&lt;&gt;C68</f>
        <v>1</v>
      </c>
      <c r="E68" s="5"/>
      <c r="F68"/>
    </row>
    <row r="69" spans="1:6" x14ac:dyDescent="0.25">
      <c r="A69" t="s">
        <v>23</v>
      </c>
      <c r="C69" s="5" t="s">
        <v>779</v>
      </c>
      <c r="D69" t="b">
        <f t="shared" si="2"/>
        <v>1</v>
      </c>
    </row>
    <row r="70" spans="1:6" x14ac:dyDescent="0.25">
      <c r="A70" t="s">
        <v>23</v>
      </c>
      <c r="C70" s="5" t="s">
        <v>653</v>
      </c>
      <c r="D70" t="b">
        <f t="shared" si="2"/>
        <v>1</v>
      </c>
    </row>
    <row r="71" spans="1:6" x14ac:dyDescent="0.25">
      <c r="A71" t="s">
        <v>23</v>
      </c>
      <c r="B71" s="5"/>
      <c r="C71" s="5" t="s">
        <v>102</v>
      </c>
      <c r="D71" t="b">
        <f t="shared" si="2"/>
        <v>1</v>
      </c>
      <c r="E71" s="5"/>
    </row>
    <row r="72" spans="1:6" x14ac:dyDescent="0.25">
      <c r="A72" t="s">
        <v>23</v>
      </c>
      <c r="B72" s="5"/>
      <c r="C72" s="5" t="s">
        <v>107</v>
      </c>
      <c r="D72" t="b">
        <f t="shared" si="2"/>
        <v>1</v>
      </c>
      <c r="F72" s="5"/>
    </row>
    <row r="73" spans="1:6" x14ac:dyDescent="0.25">
      <c r="A73" t="s">
        <v>23</v>
      </c>
      <c r="B73" s="5"/>
      <c r="C73" s="5" t="s">
        <v>2238</v>
      </c>
      <c r="D73" t="b">
        <f t="shared" si="2"/>
        <v>1</v>
      </c>
    </row>
    <row r="74" spans="1:6" x14ac:dyDescent="0.25">
      <c r="A74" t="s">
        <v>23</v>
      </c>
      <c r="B74" s="5"/>
      <c r="C74" s="5" t="s">
        <v>146</v>
      </c>
      <c r="D74" t="b">
        <f t="shared" si="2"/>
        <v>1</v>
      </c>
    </row>
    <row r="75" spans="1:6" x14ac:dyDescent="0.25">
      <c r="A75" t="s">
        <v>23</v>
      </c>
      <c r="B75" s="5"/>
      <c r="C75" s="5" t="s">
        <v>101</v>
      </c>
      <c r="D75" t="b">
        <f t="shared" si="2"/>
        <v>1</v>
      </c>
      <c r="F75" s="5"/>
    </row>
    <row r="76" spans="1:6" x14ac:dyDescent="0.25">
      <c r="A76" t="s">
        <v>23</v>
      </c>
      <c r="B76" s="5"/>
      <c r="C76" s="5" t="s">
        <v>357</v>
      </c>
      <c r="D76" t="b">
        <f t="shared" si="2"/>
        <v>1</v>
      </c>
      <c r="F76" s="5"/>
    </row>
    <row r="77" spans="1:6" x14ac:dyDescent="0.25">
      <c r="A77" t="s">
        <v>23</v>
      </c>
      <c r="B77" s="5"/>
      <c r="C77" s="5" t="s">
        <v>2236</v>
      </c>
      <c r="D77" t="b">
        <f t="shared" si="2"/>
        <v>1</v>
      </c>
    </row>
    <row r="78" spans="1:6" x14ac:dyDescent="0.25">
      <c r="A78" t="s">
        <v>23</v>
      </c>
      <c r="B78" s="5"/>
      <c r="C78" s="5" t="s">
        <v>2244</v>
      </c>
      <c r="D78" t="b">
        <f t="shared" si="2"/>
        <v>1</v>
      </c>
    </row>
    <row r="79" spans="1:6" x14ac:dyDescent="0.25">
      <c r="A79" t="s">
        <v>23</v>
      </c>
      <c r="B79" s="5"/>
      <c r="C79" s="5" t="s">
        <v>2245</v>
      </c>
      <c r="D79" t="b">
        <f t="shared" si="2"/>
        <v>1</v>
      </c>
    </row>
    <row r="80" spans="1:6" x14ac:dyDescent="0.25">
      <c r="A80" t="s">
        <v>23</v>
      </c>
      <c r="B80" s="5"/>
      <c r="C80" s="5" t="s">
        <v>592</v>
      </c>
      <c r="D80" t="b">
        <f t="shared" si="2"/>
        <v>1</v>
      </c>
    </row>
    <row r="81" spans="1:6" x14ac:dyDescent="0.25">
      <c r="A81" t="s">
        <v>23</v>
      </c>
      <c r="B81" s="5"/>
      <c r="C81" s="5" t="s">
        <v>356</v>
      </c>
      <c r="D81" t="b">
        <f t="shared" si="2"/>
        <v>1</v>
      </c>
    </row>
    <row r="82" spans="1:6" x14ac:dyDescent="0.25">
      <c r="A82" t="s">
        <v>27</v>
      </c>
      <c r="B82" s="5"/>
      <c r="C82" s="5" t="s">
        <v>769</v>
      </c>
      <c r="D82" t="b">
        <f t="shared" si="2"/>
        <v>1</v>
      </c>
      <c r="F82"/>
    </row>
    <row r="83" spans="1:6" x14ac:dyDescent="0.25">
      <c r="A83" t="s">
        <v>27</v>
      </c>
      <c r="B83" s="5"/>
      <c r="C83" s="5" t="s">
        <v>1736</v>
      </c>
      <c r="D83" t="b">
        <f t="shared" si="2"/>
        <v>1</v>
      </c>
    </row>
    <row r="84" spans="1:6" x14ac:dyDescent="0.25">
      <c r="A84" t="s">
        <v>27</v>
      </c>
      <c r="B84" s="5"/>
      <c r="C84" s="5" t="s">
        <v>2241</v>
      </c>
      <c r="D84" t="b">
        <f t="shared" si="2"/>
        <v>1</v>
      </c>
      <c r="F84" s="5"/>
    </row>
    <row r="85" spans="1:6" x14ac:dyDescent="0.25">
      <c r="A85" t="s">
        <v>27</v>
      </c>
      <c r="B85" s="5"/>
      <c r="C85" s="5" t="s">
        <v>104</v>
      </c>
      <c r="D85" t="b">
        <f t="shared" si="2"/>
        <v>1</v>
      </c>
      <c r="F85"/>
    </row>
    <row r="86" spans="1:6" x14ac:dyDescent="0.25">
      <c r="A86" t="s">
        <v>27</v>
      </c>
      <c r="B86" s="5"/>
      <c r="C86" s="5" t="s">
        <v>2255</v>
      </c>
      <c r="D86" t="b">
        <f t="shared" si="2"/>
        <v>1</v>
      </c>
      <c r="F86" s="5"/>
    </row>
    <row r="87" spans="1:6" x14ac:dyDescent="0.25">
      <c r="A87" t="s">
        <v>27</v>
      </c>
      <c r="B87" s="5"/>
      <c r="C87" s="5" t="s">
        <v>2264</v>
      </c>
      <c r="D87" t="b">
        <f t="shared" si="2"/>
        <v>1</v>
      </c>
      <c r="F87" s="5"/>
    </row>
    <row r="88" spans="1:6" x14ac:dyDescent="0.25">
      <c r="A88" t="s">
        <v>27</v>
      </c>
      <c r="B88" s="5"/>
      <c r="C88" s="5" t="s">
        <v>2265</v>
      </c>
      <c r="D88" t="b">
        <f t="shared" si="2"/>
        <v>1</v>
      </c>
      <c r="F88" s="5"/>
    </row>
    <row r="89" spans="1:6" x14ac:dyDescent="0.25">
      <c r="A89" t="s">
        <v>27</v>
      </c>
      <c r="B89" s="5"/>
      <c r="C89" s="5" t="s">
        <v>2266</v>
      </c>
      <c r="D89" t="b">
        <f t="shared" si="2"/>
        <v>1</v>
      </c>
      <c r="F89" s="5"/>
    </row>
    <row r="90" spans="1:6" x14ac:dyDescent="0.25">
      <c r="A90" t="s">
        <v>2050</v>
      </c>
      <c r="B90" s="5"/>
      <c r="C90" s="5" t="s">
        <v>108</v>
      </c>
      <c r="D90" t="b">
        <f t="shared" si="2"/>
        <v>1</v>
      </c>
      <c r="E90" t="s">
        <v>2251</v>
      </c>
      <c r="F90"/>
    </row>
    <row r="91" spans="1:6" x14ac:dyDescent="0.25">
      <c r="A91" t="s">
        <v>2050</v>
      </c>
      <c r="B91" s="5"/>
      <c r="C91" t="s">
        <v>2247</v>
      </c>
      <c r="D91" t="b">
        <f t="shared" si="2"/>
        <v>1</v>
      </c>
      <c r="E91" t="s">
        <v>2268</v>
      </c>
      <c r="F91"/>
    </row>
    <row r="92" spans="1:6" x14ac:dyDescent="0.25">
      <c r="A92" t="s">
        <v>2050</v>
      </c>
      <c r="B92" s="5"/>
      <c r="C92" s="5" t="s">
        <v>2248</v>
      </c>
      <c r="D92" t="b">
        <f t="shared" si="2"/>
        <v>1</v>
      </c>
      <c r="F92"/>
    </row>
    <row r="93" spans="1:6" x14ac:dyDescent="0.25">
      <c r="A93" t="s">
        <v>2050</v>
      </c>
      <c r="B93" s="5"/>
      <c r="C93" s="5" t="s">
        <v>2249</v>
      </c>
      <c r="D93" t="b">
        <f t="shared" si="2"/>
        <v>1</v>
      </c>
      <c r="E93" t="s">
        <v>2260</v>
      </c>
    </row>
    <row r="94" spans="1:6" x14ac:dyDescent="0.25">
      <c r="A94" t="s">
        <v>2050</v>
      </c>
      <c r="B94" s="5"/>
      <c r="C94" s="5" t="s">
        <v>2239</v>
      </c>
      <c r="D94" t="b">
        <f t="shared" si="2"/>
        <v>1</v>
      </c>
      <c r="E94" t="s">
        <v>2256</v>
      </c>
      <c r="F94"/>
    </row>
    <row r="95" spans="1:6" x14ac:dyDescent="0.25">
      <c r="A95" t="s">
        <v>2050</v>
      </c>
      <c r="B95" s="5"/>
      <c r="C95" s="5" t="s">
        <v>2250</v>
      </c>
      <c r="D95" t="b">
        <f t="shared" si="2"/>
        <v>1</v>
      </c>
      <c r="F95"/>
    </row>
    <row r="96" spans="1:6" x14ac:dyDescent="0.25">
      <c r="A96" t="s">
        <v>2050</v>
      </c>
      <c r="B96" s="5"/>
      <c r="C96" s="5" t="s">
        <v>2237</v>
      </c>
      <c r="D96" t="b">
        <f t="shared" si="2"/>
        <v>1</v>
      </c>
      <c r="E96" t="s">
        <v>2257</v>
      </c>
    </row>
    <row r="97" spans="1:6" x14ac:dyDescent="0.25">
      <c r="A97" t="s">
        <v>2050</v>
      </c>
      <c r="B97" s="5"/>
      <c r="C97" s="5" t="s">
        <v>1592</v>
      </c>
      <c r="D97" t="b">
        <f t="shared" si="2"/>
        <v>1</v>
      </c>
      <c r="E97" t="s">
        <v>2258</v>
      </c>
      <c r="F97"/>
    </row>
    <row r="98" spans="1:6" x14ac:dyDescent="0.25">
      <c r="A98" t="s">
        <v>2050</v>
      </c>
      <c r="B98" s="5"/>
      <c r="C98" s="5" t="s">
        <v>2267</v>
      </c>
      <c r="D98" t="b">
        <f t="shared" si="2"/>
        <v>1</v>
      </c>
      <c r="F98"/>
    </row>
    <row r="99" spans="1:6" x14ac:dyDescent="0.25">
      <c r="A99" t="s">
        <v>2050</v>
      </c>
      <c r="B99" s="5"/>
      <c r="C99" s="5" t="s">
        <v>2235</v>
      </c>
      <c r="D99" t="b">
        <f t="shared" si="2"/>
        <v>1</v>
      </c>
      <c r="E99" t="s">
        <v>2254</v>
      </c>
    </row>
    <row r="100" spans="1:6" x14ac:dyDescent="0.25">
      <c r="A100" t="s">
        <v>2050</v>
      </c>
      <c r="B100" s="5"/>
      <c r="C100" s="5" t="s">
        <v>2234</v>
      </c>
      <c r="D100" t="b">
        <f t="shared" si="2"/>
        <v>1</v>
      </c>
    </row>
    <row r="101" spans="1:6" x14ac:dyDescent="0.25">
      <c r="A101" t="s">
        <v>2050</v>
      </c>
      <c r="B101" s="5"/>
      <c r="C101" s="5" t="s">
        <v>2233</v>
      </c>
      <c r="D101" t="b">
        <f t="shared" si="2"/>
        <v>1</v>
      </c>
    </row>
    <row r="102" spans="1:6" x14ac:dyDescent="0.25">
      <c r="A102" t="s">
        <v>2050</v>
      </c>
      <c r="B102" s="5"/>
      <c r="C102" s="5" t="s">
        <v>2259</v>
      </c>
      <c r="D102" t="b">
        <f>B102&lt;&gt;C102</f>
        <v>1</v>
      </c>
    </row>
  </sheetData>
  <mergeCells count="1">
    <mergeCell ref="A1:G1"/>
  </mergeCells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notContainsText" priority="1" operator="notContains" id="{DF0257EA-AD99-43AF-9D5A-C550349BC0D7}">
            <xm:f>ISERROR(SEARCH(C3,B3))</xm:f>
            <xm:f>C3</xm:f>
            <x14:dxf>
              <fill>
                <patternFill>
                  <bgColor theme="5" tint="0.39994506668294322"/>
                </patternFill>
              </fill>
            </x14:dxf>
          </x14:cfRule>
          <xm:sqref>B3:B102</xm:sqref>
        </x14:conditionalFormatting>
      </x14:conditionalFormatting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BC2F7-1089-41C4-A2B4-B21C85C55814}">
  <dimension ref="A1:G102"/>
  <sheetViews>
    <sheetView topLeftCell="A2" workbookViewId="0">
      <selection activeCell="C3" sqref="C3"/>
    </sheetView>
  </sheetViews>
  <sheetFormatPr defaultRowHeight="15" x14ac:dyDescent="0.25"/>
  <cols>
    <col min="1" max="1" width="11.85546875" style="5" customWidth="1"/>
    <col min="2" max="3" width="38.7109375" customWidth="1"/>
    <col min="4" max="4" width="12.42578125" hidden="1" customWidth="1"/>
    <col min="5" max="5" width="4.28515625" customWidth="1"/>
    <col min="6" max="6" width="22.7109375" style="3" customWidth="1"/>
    <col min="7" max="7" width="8.140625" bestFit="1" customWidth="1"/>
  </cols>
  <sheetData>
    <row r="1" spans="1:7" ht="21" x14ac:dyDescent="0.25">
      <c r="A1" s="12" t="s">
        <v>1415</v>
      </c>
      <c r="B1" s="12"/>
      <c r="C1" s="12"/>
      <c r="D1" s="12"/>
      <c r="E1" s="12"/>
      <c r="F1" s="12"/>
      <c r="G1" s="12"/>
    </row>
    <row r="2" spans="1:7" x14ac:dyDescent="0.25">
      <c r="A2" s="4" t="s">
        <v>11</v>
      </c>
      <c r="B2" s="4" t="s">
        <v>12</v>
      </c>
      <c r="C2" s="4" t="s">
        <v>13</v>
      </c>
      <c r="D2" s="4" t="s">
        <v>14</v>
      </c>
      <c r="F2" s="4" t="s">
        <v>16</v>
      </c>
      <c r="G2" s="3">
        <f>COUNTIF(D:D,"Verdadeiro")</f>
        <v>12</v>
      </c>
    </row>
    <row r="3" spans="1:7" x14ac:dyDescent="0.25">
      <c r="A3" s="5" t="s">
        <v>1539</v>
      </c>
      <c r="B3" s="5" t="s">
        <v>742</v>
      </c>
      <c r="C3" s="5" t="s">
        <v>742</v>
      </c>
      <c r="D3" t="b">
        <f>B3&lt;&gt;C3</f>
        <v>0</v>
      </c>
      <c r="F3" s="4" t="s">
        <v>17</v>
      </c>
      <c r="G3" s="10">
        <f>SUM(G5:G29)</f>
        <v>100</v>
      </c>
    </row>
    <row r="4" spans="1:7" x14ac:dyDescent="0.25">
      <c r="A4" t="s">
        <v>15</v>
      </c>
      <c r="B4" s="5" t="s">
        <v>1637</v>
      </c>
      <c r="C4" t="s">
        <v>1637</v>
      </c>
      <c r="D4" t="b">
        <f t="shared" ref="D4:D67" si="0">B4&lt;&gt;C4</f>
        <v>0</v>
      </c>
    </row>
    <row r="5" spans="1:7" x14ac:dyDescent="0.25">
      <c r="A5" t="s">
        <v>15</v>
      </c>
      <c r="B5" s="5" t="s">
        <v>34</v>
      </c>
      <c r="C5" t="s">
        <v>34</v>
      </c>
      <c r="D5" t="b">
        <f t="shared" si="0"/>
        <v>0</v>
      </c>
      <c r="F5" s="6" t="s">
        <v>19</v>
      </c>
      <c r="G5" s="1"/>
    </row>
    <row r="6" spans="1:7" x14ac:dyDescent="0.25">
      <c r="A6" t="s">
        <v>15</v>
      </c>
      <c r="B6" s="5" t="s">
        <v>159</v>
      </c>
      <c r="C6" t="s">
        <v>159</v>
      </c>
      <c r="D6" t="b">
        <f t="shared" si="0"/>
        <v>0</v>
      </c>
      <c r="F6" s="1" t="s">
        <v>15</v>
      </c>
      <c r="G6" s="2">
        <f t="shared" ref="G6:G12" si="1">COUNTIF(A:A,F6)</f>
        <v>35</v>
      </c>
    </row>
    <row r="7" spans="1:7" x14ac:dyDescent="0.25">
      <c r="A7" t="s">
        <v>15</v>
      </c>
      <c r="B7" s="5" t="s">
        <v>616</v>
      </c>
      <c r="C7" t="s">
        <v>616</v>
      </c>
      <c r="D7" t="b">
        <f t="shared" si="0"/>
        <v>0</v>
      </c>
      <c r="F7" s="3" t="s">
        <v>1539</v>
      </c>
      <c r="G7" s="2">
        <f t="shared" si="1"/>
        <v>1</v>
      </c>
    </row>
    <row r="8" spans="1:7" x14ac:dyDescent="0.25">
      <c r="A8" t="s">
        <v>15</v>
      </c>
      <c r="B8" s="5" t="s">
        <v>20</v>
      </c>
      <c r="C8" t="s">
        <v>20</v>
      </c>
      <c r="D8" t="b">
        <f t="shared" si="0"/>
        <v>0</v>
      </c>
      <c r="F8" s="1" t="s">
        <v>21</v>
      </c>
      <c r="G8" s="2">
        <f t="shared" si="1"/>
        <v>10</v>
      </c>
    </row>
    <row r="9" spans="1:7" x14ac:dyDescent="0.25">
      <c r="A9" t="s">
        <v>15</v>
      </c>
      <c r="B9" s="5" t="s">
        <v>60</v>
      </c>
      <c r="C9" t="s">
        <v>1742</v>
      </c>
      <c r="D9" t="b">
        <f t="shared" si="0"/>
        <v>1</v>
      </c>
      <c r="F9" s="1" t="s">
        <v>22</v>
      </c>
      <c r="G9" s="2">
        <f t="shared" si="1"/>
        <v>8</v>
      </c>
    </row>
    <row r="10" spans="1:7" x14ac:dyDescent="0.25">
      <c r="A10" t="s">
        <v>15</v>
      </c>
      <c r="B10" s="5" t="s">
        <v>60</v>
      </c>
      <c r="C10" t="s">
        <v>1324</v>
      </c>
      <c r="D10" t="b">
        <f t="shared" si="0"/>
        <v>1</v>
      </c>
      <c r="F10" s="1" t="s">
        <v>44</v>
      </c>
      <c r="G10" s="2">
        <f t="shared" si="1"/>
        <v>7</v>
      </c>
    </row>
    <row r="11" spans="1:7" x14ac:dyDescent="0.25">
      <c r="A11" t="s">
        <v>15</v>
      </c>
      <c r="B11" s="5" t="s">
        <v>60</v>
      </c>
      <c r="C11" t="s">
        <v>1937</v>
      </c>
      <c r="D11" t="b">
        <f t="shared" si="0"/>
        <v>1</v>
      </c>
      <c r="F11" s="1" t="s">
        <v>745</v>
      </c>
      <c r="G11" s="2">
        <f t="shared" si="1"/>
        <v>19</v>
      </c>
    </row>
    <row r="12" spans="1:7" x14ac:dyDescent="0.25">
      <c r="A12" t="s">
        <v>15</v>
      </c>
      <c r="B12" s="5" t="s">
        <v>60</v>
      </c>
      <c r="C12" t="s">
        <v>60</v>
      </c>
      <c r="D12" t="b">
        <f t="shared" si="0"/>
        <v>0</v>
      </c>
      <c r="F12" s="1" t="s">
        <v>121</v>
      </c>
      <c r="G12" s="2">
        <f t="shared" si="1"/>
        <v>20</v>
      </c>
    </row>
    <row r="13" spans="1:7" x14ac:dyDescent="0.25">
      <c r="A13" t="s">
        <v>15</v>
      </c>
      <c r="B13" s="5" t="s">
        <v>60</v>
      </c>
      <c r="C13" t="s">
        <v>60</v>
      </c>
      <c r="D13" t="b">
        <f t="shared" si="0"/>
        <v>0</v>
      </c>
    </row>
    <row r="14" spans="1:7" x14ac:dyDescent="0.25">
      <c r="A14" t="s">
        <v>15</v>
      </c>
      <c r="B14" s="5" t="s">
        <v>60</v>
      </c>
      <c r="C14" t="s">
        <v>60</v>
      </c>
      <c r="D14" t="b">
        <f t="shared" si="0"/>
        <v>0</v>
      </c>
    </row>
    <row r="15" spans="1:7" x14ac:dyDescent="0.25">
      <c r="A15" t="s">
        <v>15</v>
      </c>
      <c r="B15" s="5" t="s">
        <v>60</v>
      </c>
      <c r="C15" t="s">
        <v>60</v>
      </c>
      <c r="D15" t="b">
        <f t="shared" si="0"/>
        <v>0</v>
      </c>
      <c r="F15" s="1"/>
      <c r="G15" s="2"/>
    </row>
    <row r="16" spans="1:7" x14ac:dyDescent="0.25">
      <c r="A16" t="s">
        <v>15</v>
      </c>
      <c r="B16" s="5" t="s">
        <v>60</v>
      </c>
      <c r="C16" t="s">
        <v>60</v>
      </c>
      <c r="D16" t="b">
        <f t="shared" si="0"/>
        <v>0</v>
      </c>
      <c r="F16" s="1"/>
      <c r="G16" s="2"/>
    </row>
    <row r="17" spans="1:7" x14ac:dyDescent="0.25">
      <c r="A17" t="s">
        <v>15</v>
      </c>
      <c r="B17" s="5" t="s">
        <v>60</v>
      </c>
      <c r="C17" t="s">
        <v>60</v>
      </c>
      <c r="D17" t="b">
        <f t="shared" si="0"/>
        <v>0</v>
      </c>
      <c r="F17" s="5"/>
      <c r="G17" s="2"/>
    </row>
    <row r="18" spans="1:7" x14ac:dyDescent="0.25">
      <c r="A18" t="s">
        <v>15</v>
      </c>
      <c r="B18" s="5" t="s">
        <v>60</v>
      </c>
      <c r="C18" t="s">
        <v>60</v>
      </c>
      <c r="D18" t="b">
        <f t="shared" si="0"/>
        <v>0</v>
      </c>
      <c r="F18" s="5"/>
      <c r="G18" s="2"/>
    </row>
    <row r="19" spans="1:7" x14ac:dyDescent="0.25">
      <c r="A19" t="s">
        <v>15</v>
      </c>
      <c r="B19" s="5" t="s">
        <v>60</v>
      </c>
      <c r="C19" t="s">
        <v>60</v>
      </c>
      <c r="D19" t="b">
        <f t="shared" si="0"/>
        <v>0</v>
      </c>
    </row>
    <row r="20" spans="1:7" x14ac:dyDescent="0.25">
      <c r="A20" t="s">
        <v>15</v>
      </c>
      <c r="B20" s="5" t="s">
        <v>60</v>
      </c>
      <c r="C20" t="s">
        <v>60</v>
      </c>
      <c r="D20" t="b">
        <f t="shared" si="0"/>
        <v>0</v>
      </c>
    </row>
    <row r="21" spans="1:7" x14ac:dyDescent="0.25">
      <c r="A21" t="s">
        <v>15</v>
      </c>
      <c r="B21" s="5" t="s">
        <v>60</v>
      </c>
      <c r="C21" t="s">
        <v>60</v>
      </c>
      <c r="D21" t="b">
        <f t="shared" si="0"/>
        <v>0</v>
      </c>
    </row>
    <row r="22" spans="1:7" x14ac:dyDescent="0.25">
      <c r="A22" t="s">
        <v>15</v>
      </c>
      <c r="B22" s="5" t="s">
        <v>60</v>
      </c>
      <c r="C22" t="s">
        <v>60</v>
      </c>
      <c r="D22" t="b">
        <f t="shared" si="0"/>
        <v>0</v>
      </c>
    </row>
    <row r="23" spans="1:7" x14ac:dyDescent="0.25">
      <c r="A23" t="s">
        <v>15</v>
      </c>
      <c r="B23" s="5" t="s">
        <v>60</v>
      </c>
      <c r="C23" t="s">
        <v>60</v>
      </c>
      <c r="D23" t="b">
        <f t="shared" si="0"/>
        <v>0</v>
      </c>
    </row>
    <row r="24" spans="1:7" x14ac:dyDescent="0.25">
      <c r="A24" t="s">
        <v>15</v>
      </c>
      <c r="B24" s="5" t="s">
        <v>60</v>
      </c>
      <c r="C24" t="s">
        <v>60</v>
      </c>
      <c r="D24" t="b">
        <f t="shared" si="0"/>
        <v>0</v>
      </c>
    </row>
    <row r="25" spans="1:7" x14ac:dyDescent="0.25">
      <c r="A25" t="s">
        <v>15</v>
      </c>
      <c r="B25" s="5" t="s">
        <v>60</v>
      </c>
      <c r="C25" t="s">
        <v>60</v>
      </c>
      <c r="D25" t="b">
        <f t="shared" si="0"/>
        <v>0</v>
      </c>
    </row>
    <row r="26" spans="1:7" x14ac:dyDescent="0.25">
      <c r="A26" t="s">
        <v>15</v>
      </c>
      <c r="B26" s="5" t="s">
        <v>60</v>
      </c>
      <c r="C26" t="s">
        <v>60</v>
      </c>
      <c r="D26" t="b">
        <f t="shared" si="0"/>
        <v>0</v>
      </c>
    </row>
    <row r="27" spans="1:7" x14ac:dyDescent="0.25">
      <c r="A27" t="s">
        <v>15</v>
      </c>
      <c r="B27" s="5" t="s">
        <v>122</v>
      </c>
      <c r="C27" t="s">
        <v>122</v>
      </c>
      <c r="D27" t="b">
        <f t="shared" si="0"/>
        <v>0</v>
      </c>
    </row>
    <row r="28" spans="1:7" x14ac:dyDescent="0.25">
      <c r="A28" t="s">
        <v>15</v>
      </c>
      <c r="B28" s="5" t="s">
        <v>122</v>
      </c>
      <c r="C28" t="s">
        <v>122</v>
      </c>
      <c r="D28" t="b">
        <f t="shared" si="0"/>
        <v>0</v>
      </c>
    </row>
    <row r="29" spans="1:7" x14ac:dyDescent="0.25">
      <c r="A29" t="s">
        <v>15</v>
      </c>
      <c r="B29" s="5" t="s">
        <v>122</v>
      </c>
      <c r="C29" t="s">
        <v>122</v>
      </c>
      <c r="D29" t="b">
        <f t="shared" si="0"/>
        <v>0</v>
      </c>
    </row>
    <row r="30" spans="1:7" x14ac:dyDescent="0.25">
      <c r="A30" t="s">
        <v>15</v>
      </c>
      <c r="B30" s="5" t="s">
        <v>122</v>
      </c>
      <c r="C30" t="s">
        <v>122</v>
      </c>
      <c r="D30" t="b">
        <f t="shared" si="0"/>
        <v>0</v>
      </c>
    </row>
    <row r="31" spans="1:7" x14ac:dyDescent="0.25">
      <c r="A31" t="s">
        <v>15</v>
      </c>
      <c r="B31" s="5" t="s">
        <v>122</v>
      </c>
      <c r="C31" t="s">
        <v>122</v>
      </c>
      <c r="D31" t="b">
        <f t="shared" si="0"/>
        <v>0</v>
      </c>
    </row>
    <row r="32" spans="1:7" x14ac:dyDescent="0.25">
      <c r="A32" t="s">
        <v>15</v>
      </c>
      <c r="B32" s="5" t="s">
        <v>122</v>
      </c>
      <c r="C32" t="s">
        <v>122</v>
      </c>
      <c r="D32" t="b">
        <f t="shared" si="0"/>
        <v>0</v>
      </c>
    </row>
    <row r="33" spans="1:6" x14ac:dyDescent="0.25">
      <c r="A33" t="s">
        <v>15</v>
      </c>
      <c r="B33" s="5" t="s">
        <v>122</v>
      </c>
      <c r="C33" t="s">
        <v>122</v>
      </c>
      <c r="D33" t="b">
        <f t="shared" si="0"/>
        <v>0</v>
      </c>
    </row>
    <row r="34" spans="1:6" x14ac:dyDescent="0.25">
      <c r="A34" t="s">
        <v>15</v>
      </c>
      <c r="B34" s="5" t="s">
        <v>122</v>
      </c>
      <c r="C34" t="s">
        <v>122</v>
      </c>
      <c r="D34" t="b">
        <f t="shared" si="0"/>
        <v>0</v>
      </c>
    </row>
    <row r="35" spans="1:6" x14ac:dyDescent="0.25">
      <c r="A35" t="s">
        <v>15</v>
      </c>
      <c r="B35" s="5" t="s">
        <v>122</v>
      </c>
      <c r="C35" t="s">
        <v>122</v>
      </c>
      <c r="D35" t="b">
        <f t="shared" si="0"/>
        <v>0</v>
      </c>
    </row>
    <row r="36" spans="1:6" x14ac:dyDescent="0.25">
      <c r="A36" t="s">
        <v>15</v>
      </c>
      <c r="B36" s="5" t="s">
        <v>122</v>
      </c>
      <c r="C36" t="s">
        <v>122</v>
      </c>
      <c r="D36" t="b">
        <f t="shared" si="0"/>
        <v>0</v>
      </c>
    </row>
    <row r="37" spans="1:6" x14ac:dyDescent="0.25">
      <c r="A37" t="s">
        <v>15</v>
      </c>
      <c r="B37" s="5" t="s">
        <v>122</v>
      </c>
      <c r="C37" t="s">
        <v>122</v>
      </c>
      <c r="D37" t="b">
        <f t="shared" si="0"/>
        <v>0</v>
      </c>
    </row>
    <row r="38" spans="1:6" x14ac:dyDescent="0.25">
      <c r="A38" t="s">
        <v>15</v>
      </c>
      <c r="B38" s="5" t="s">
        <v>122</v>
      </c>
      <c r="C38" t="s">
        <v>122</v>
      </c>
      <c r="D38" t="b">
        <f t="shared" si="0"/>
        <v>0</v>
      </c>
    </row>
    <row r="39" spans="1:6" x14ac:dyDescent="0.25">
      <c r="A39" t="s">
        <v>21</v>
      </c>
      <c r="B39" s="5" t="s">
        <v>173</v>
      </c>
      <c r="C39" t="s">
        <v>173</v>
      </c>
      <c r="D39" t="b">
        <f t="shared" si="0"/>
        <v>0</v>
      </c>
    </row>
    <row r="40" spans="1:6" x14ac:dyDescent="0.25">
      <c r="A40" t="s">
        <v>21</v>
      </c>
      <c r="B40" s="5" t="s">
        <v>174</v>
      </c>
      <c r="C40" t="s">
        <v>174</v>
      </c>
      <c r="D40" t="b">
        <f t="shared" si="0"/>
        <v>0</v>
      </c>
    </row>
    <row r="41" spans="1:6" x14ac:dyDescent="0.25">
      <c r="A41" t="s">
        <v>21</v>
      </c>
      <c r="B41" s="5" t="s">
        <v>177</v>
      </c>
      <c r="C41" t="s">
        <v>177</v>
      </c>
      <c r="D41" t="b">
        <f t="shared" si="0"/>
        <v>0</v>
      </c>
    </row>
    <row r="42" spans="1:6" x14ac:dyDescent="0.25">
      <c r="A42" t="s">
        <v>21</v>
      </c>
      <c r="B42" s="5" t="s">
        <v>179</v>
      </c>
      <c r="C42" t="s">
        <v>179</v>
      </c>
      <c r="D42" t="b">
        <f t="shared" si="0"/>
        <v>0</v>
      </c>
    </row>
    <row r="43" spans="1:6" x14ac:dyDescent="0.25">
      <c r="A43" t="s">
        <v>21</v>
      </c>
      <c r="B43" s="5" t="s">
        <v>771</v>
      </c>
      <c r="C43" t="s">
        <v>771</v>
      </c>
      <c r="D43" t="b">
        <f t="shared" si="0"/>
        <v>0</v>
      </c>
    </row>
    <row r="44" spans="1:6" x14ac:dyDescent="0.25">
      <c r="A44" t="s">
        <v>21</v>
      </c>
      <c r="B44" s="5" t="s">
        <v>305</v>
      </c>
      <c r="C44" t="s">
        <v>305</v>
      </c>
      <c r="D44" t="b">
        <f t="shared" si="0"/>
        <v>0</v>
      </c>
    </row>
    <row r="45" spans="1:6" x14ac:dyDescent="0.25">
      <c r="A45" t="s">
        <v>21</v>
      </c>
      <c r="B45" s="5" t="s">
        <v>1646</v>
      </c>
      <c r="C45" t="s">
        <v>1425</v>
      </c>
      <c r="D45" t="b">
        <f t="shared" si="0"/>
        <v>1</v>
      </c>
    </row>
    <row r="46" spans="1:6" x14ac:dyDescent="0.25">
      <c r="A46" t="s">
        <v>21</v>
      </c>
      <c r="B46" s="5" t="s">
        <v>1122</v>
      </c>
      <c r="C46" t="s">
        <v>1122</v>
      </c>
      <c r="D46" t="b">
        <f t="shared" si="0"/>
        <v>0</v>
      </c>
    </row>
    <row r="47" spans="1:6" x14ac:dyDescent="0.25">
      <c r="A47" t="s">
        <v>21</v>
      </c>
      <c r="B47" s="5" t="s">
        <v>1645</v>
      </c>
      <c r="C47" t="s">
        <v>306</v>
      </c>
      <c r="D47" t="b">
        <f t="shared" si="0"/>
        <v>1</v>
      </c>
      <c r="F47"/>
    </row>
    <row r="48" spans="1:6" x14ac:dyDescent="0.25">
      <c r="A48" t="s">
        <v>21</v>
      </c>
      <c r="B48" s="5" t="s">
        <v>1647</v>
      </c>
      <c r="C48" t="s">
        <v>1426</v>
      </c>
      <c r="D48" t="b">
        <f t="shared" si="0"/>
        <v>1</v>
      </c>
    </row>
    <row r="49" spans="1:6" x14ac:dyDescent="0.25">
      <c r="A49" t="s">
        <v>22</v>
      </c>
      <c r="B49" s="5" t="s">
        <v>675</v>
      </c>
      <c r="C49" t="s">
        <v>675</v>
      </c>
      <c r="D49" t="b">
        <f t="shared" si="0"/>
        <v>0</v>
      </c>
    </row>
    <row r="50" spans="1:6" x14ac:dyDescent="0.25">
      <c r="A50" t="s">
        <v>22</v>
      </c>
      <c r="B50" s="5" t="s">
        <v>787</v>
      </c>
      <c r="C50" t="s">
        <v>787</v>
      </c>
      <c r="D50" t="b">
        <f t="shared" si="0"/>
        <v>0</v>
      </c>
    </row>
    <row r="51" spans="1:6" x14ac:dyDescent="0.25">
      <c r="A51" t="s">
        <v>22</v>
      </c>
      <c r="B51" s="5" t="s">
        <v>1643</v>
      </c>
      <c r="C51" t="s">
        <v>1643</v>
      </c>
      <c r="D51" t="b">
        <f t="shared" si="0"/>
        <v>0</v>
      </c>
    </row>
    <row r="52" spans="1:6" x14ac:dyDescent="0.25">
      <c r="A52" t="s">
        <v>22</v>
      </c>
      <c r="B52" s="5" t="s">
        <v>1636</v>
      </c>
      <c r="C52" t="s">
        <v>1636</v>
      </c>
      <c r="D52" t="b">
        <f t="shared" si="0"/>
        <v>0</v>
      </c>
    </row>
    <row r="53" spans="1:6" x14ac:dyDescent="0.25">
      <c r="A53" t="s">
        <v>22</v>
      </c>
      <c r="B53" s="5" t="s">
        <v>1644</v>
      </c>
      <c r="C53" t="s">
        <v>1423</v>
      </c>
      <c r="D53" t="b">
        <f t="shared" si="0"/>
        <v>1</v>
      </c>
    </row>
    <row r="54" spans="1:6" x14ac:dyDescent="0.25">
      <c r="A54" t="s">
        <v>22</v>
      </c>
      <c r="B54" s="5" t="s">
        <v>1592</v>
      </c>
      <c r="C54" t="s">
        <v>1592</v>
      </c>
      <c r="D54" t="b">
        <f t="shared" si="0"/>
        <v>0</v>
      </c>
    </row>
    <row r="55" spans="1:6" x14ac:dyDescent="0.25">
      <c r="A55" t="s">
        <v>22</v>
      </c>
      <c r="B55" s="5" t="s">
        <v>1620</v>
      </c>
      <c r="C55" t="s">
        <v>1620</v>
      </c>
      <c r="D55" t="b">
        <f t="shared" si="0"/>
        <v>0</v>
      </c>
      <c r="F55"/>
    </row>
    <row r="56" spans="1:6" x14ac:dyDescent="0.25">
      <c r="A56" t="s">
        <v>22</v>
      </c>
      <c r="B56" s="5" t="s">
        <v>194</v>
      </c>
      <c r="C56" t="s">
        <v>194</v>
      </c>
      <c r="D56" t="b">
        <f t="shared" si="0"/>
        <v>0</v>
      </c>
      <c r="F56"/>
    </row>
    <row r="57" spans="1:6" x14ac:dyDescent="0.25">
      <c r="A57" t="s">
        <v>44</v>
      </c>
      <c r="B57" s="5" t="s">
        <v>776</v>
      </c>
      <c r="C57" t="s">
        <v>776</v>
      </c>
      <c r="D57" t="b">
        <f t="shared" si="0"/>
        <v>0</v>
      </c>
      <c r="F57"/>
    </row>
    <row r="58" spans="1:6" x14ac:dyDescent="0.25">
      <c r="A58" t="s">
        <v>44</v>
      </c>
      <c r="B58" s="5" t="s">
        <v>314</v>
      </c>
      <c r="C58" t="s">
        <v>314</v>
      </c>
      <c r="D58" t="b">
        <f t="shared" si="0"/>
        <v>0</v>
      </c>
      <c r="F58"/>
    </row>
    <row r="59" spans="1:6" x14ac:dyDescent="0.25">
      <c r="A59" t="s">
        <v>44</v>
      </c>
      <c r="B59" s="5" t="s">
        <v>640</v>
      </c>
      <c r="C59" t="s">
        <v>640</v>
      </c>
      <c r="D59" t="b">
        <f t="shared" si="0"/>
        <v>0</v>
      </c>
      <c r="F59"/>
    </row>
    <row r="60" spans="1:6" x14ac:dyDescent="0.25">
      <c r="A60" t="s">
        <v>44</v>
      </c>
      <c r="B60" s="5" t="s">
        <v>653</v>
      </c>
      <c r="C60" t="s">
        <v>653</v>
      </c>
      <c r="D60" t="b">
        <f t="shared" si="0"/>
        <v>0</v>
      </c>
    </row>
    <row r="61" spans="1:6" x14ac:dyDescent="0.25">
      <c r="A61" t="s">
        <v>44</v>
      </c>
      <c r="B61" s="5" t="s">
        <v>100</v>
      </c>
      <c r="C61" t="s">
        <v>100</v>
      </c>
      <c r="D61" t="b">
        <f t="shared" si="0"/>
        <v>0</v>
      </c>
      <c r="F61"/>
    </row>
    <row r="62" spans="1:6" x14ac:dyDescent="0.25">
      <c r="A62" t="s">
        <v>44</v>
      </c>
      <c r="B62" s="5" t="s">
        <v>586</v>
      </c>
      <c r="C62" t="s">
        <v>586</v>
      </c>
      <c r="D62" t="b">
        <f t="shared" si="0"/>
        <v>0</v>
      </c>
      <c r="F62"/>
    </row>
    <row r="63" spans="1:6" x14ac:dyDescent="0.25">
      <c r="A63" t="s">
        <v>44</v>
      </c>
      <c r="B63" s="5" t="s">
        <v>778</v>
      </c>
      <c r="C63" t="s">
        <v>778</v>
      </c>
      <c r="D63" t="b">
        <f>B63&lt;&gt;C63</f>
        <v>0</v>
      </c>
    </row>
    <row r="64" spans="1:6" x14ac:dyDescent="0.25">
      <c r="A64" t="s">
        <v>745</v>
      </c>
      <c r="B64" s="5" t="s">
        <v>747</v>
      </c>
      <c r="C64" t="s">
        <v>747</v>
      </c>
      <c r="D64" t="b">
        <f t="shared" si="0"/>
        <v>0</v>
      </c>
      <c r="F64"/>
    </row>
    <row r="65" spans="1:6" x14ac:dyDescent="0.25">
      <c r="A65" t="s">
        <v>745</v>
      </c>
      <c r="B65" s="5" t="s">
        <v>1805</v>
      </c>
      <c r="C65" t="s">
        <v>1639</v>
      </c>
      <c r="D65" t="b">
        <f t="shared" si="0"/>
        <v>1</v>
      </c>
      <c r="F65"/>
    </row>
    <row r="66" spans="1:6" x14ac:dyDescent="0.25">
      <c r="A66" t="s">
        <v>745</v>
      </c>
      <c r="B66" s="5" t="s">
        <v>749</v>
      </c>
      <c r="C66" t="s">
        <v>749</v>
      </c>
      <c r="D66" t="b">
        <f t="shared" si="0"/>
        <v>0</v>
      </c>
      <c r="F66"/>
    </row>
    <row r="67" spans="1:6" x14ac:dyDescent="0.25">
      <c r="A67" t="s">
        <v>745</v>
      </c>
      <c r="B67" s="5" t="s">
        <v>750</v>
      </c>
      <c r="C67" t="s">
        <v>750</v>
      </c>
      <c r="D67" t="b">
        <f t="shared" si="0"/>
        <v>0</v>
      </c>
      <c r="F67"/>
    </row>
    <row r="68" spans="1:6" x14ac:dyDescent="0.25">
      <c r="A68" t="s">
        <v>745</v>
      </c>
      <c r="B68" s="5" t="s">
        <v>1806</v>
      </c>
      <c r="C68" t="s">
        <v>1416</v>
      </c>
      <c r="D68" t="b">
        <f t="shared" ref="D68:D102" si="2">B68&lt;&gt;C68</f>
        <v>1</v>
      </c>
      <c r="F68" s="5"/>
    </row>
    <row r="69" spans="1:6" x14ac:dyDescent="0.25">
      <c r="A69" t="s">
        <v>745</v>
      </c>
      <c r="B69" s="5" t="s">
        <v>364</v>
      </c>
      <c r="C69" t="s">
        <v>364</v>
      </c>
      <c r="D69" t="b">
        <f t="shared" si="2"/>
        <v>0</v>
      </c>
      <c r="F69" s="5"/>
    </row>
    <row r="70" spans="1:6" x14ac:dyDescent="0.25">
      <c r="A70" t="s">
        <v>745</v>
      </c>
      <c r="B70" s="5" t="s">
        <v>751</v>
      </c>
      <c r="C70" t="s">
        <v>751</v>
      </c>
      <c r="D70" t="b">
        <f t="shared" si="2"/>
        <v>0</v>
      </c>
      <c r="F70" s="5"/>
    </row>
    <row r="71" spans="1:6" x14ac:dyDescent="0.25">
      <c r="A71" t="s">
        <v>745</v>
      </c>
      <c r="B71" s="5" t="s">
        <v>1807</v>
      </c>
      <c r="C71" t="s">
        <v>1640</v>
      </c>
      <c r="D71" t="b">
        <f t="shared" si="2"/>
        <v>1</v>
      </c>
    </row>
    <row r="72" spans="1:6" x14ac:dyDescent="0.25">
      <c r="A72" t="s">
        <v>745</v>
      </c>
      <c r="B72" s="5" t="s">
        <v>1641</v>
      </c>
      <c r="C72" t="s">
        <v>1641</v>
      </c>
      <c r="D72" t="b">
        <f t="shared" si="2"/>
        <v>0</v>
      </c>
    </row>
    <row r="73" spans="1:6" x14ac:dyDescent="0.25">
      <c r="A73" t="s">
        <v>745</v>
      </c>
      <c r="B73" s="5" t="s">
        <v>752</v>
      </c>
      <c r="C73" t="s">
        <v>752</v>
      </c>
      <c r="D73" t="b">
        <f t="shared" si="2"/>
        <v>0</v>
      </c>
    </row>
    <row r="74" spans="1:6" x14ac:dyDescent="0.25">
      <c r="A74" t="s">
        <v>745</v>
      </c>
      <c r="B74" s="5" t="s">
        <v>753</v>
      </c>
      <c r="C74" t="s">
        <v>753</v>
      </c>
      <c r="D74" t="b">
        <f t="shared" si="2"/>
        <v>0</v>
      </c>
    </row>
    <row r="75" spans="1:6" x14ac:dyDescent="0.25">
      <c r="A75" t="s">
        <v>745</v>
      </c>
      <c r="B75" s="5" t="s">
        <v>754</v>
      </c>
      <c r="C75" t="s">
        <v>754</v>
      </c>
      <c r="D75" t="b">
        <f t="shared" si="2"/>
        <v>0</v>
      </c>
    </row>
    <row r="76" spans="1:6" x14ac:dyDescent="0.25">
      <c r="A76" t="s">
        <v>745</v>
      </c>
      <c r="B76" s="5" t="s">
        <v>755</v>
      </c>
      <c r="C76" t="s">
        <v>755</v>
      </c>
      <c r="D76" t="b">
        <f t="shared" si="2"/>
        <v>0</v>
      </c>
      <c r="F76"/>
    </row>
    <row r="77" spans="1:6" x14ac:dyDescent="0.25">
      <c r="A77" t="s">
        <v>745</v>
      </c>
      <c r="B77" s="5" t="s">
        <v>756</v>
      </c>
      <c r="C77" t="s">
        <v>756</v>
      </c>
      <c r="D77" t="b">
        <f t="shared" si="2"/>
        <v>0</v>
      </c>
      <c r="F77"/>
    </row>
    <row r="78" spans="1:6" x14ac:dyDescent="0.25">
      <c r="A78" t="s">
        <v>745</v>
      </c>
      <c r="B78" s="5" t="s">
        <v>757</v>
      </c>
      <c r="C78" t="s">
        <v>757</v>
      </c>
      <c r="D78" t="b">
        <f t="shared" si="2"/>
        <v>0</v>
      </c>
      <c r="E78" s="5"/>
    </row>
    <row r="79" spans="1:6" x14ac:dyDescent="0.25">
      <c r="A79" t="s">
        <v>745</v>
      </c>
      <c r="B79" s="5" t="s">
        <v>758</v>
      </c>
      <c r="C79" t="s">
        <v>758</v>
      </c>
      <c r="D79" t="b">
        <f t="shared" si="2"/>
        <v>0</v>
      </c>
    </row>
    <row r="80" spans="1:6" x14ac:dyDescent="0.25">
      <c r="A80" t="s">
        <v>745</v>
      </c>
      <c r="B80" s="5" t="s">
        <v>748</v>
      </c>
      <c r="C80" t="s">
        <v>748</v>
      </c>
      <c r="D80" t="b">
        <f t="shared" si="2"/>
        <v>0</v>
      </c>
    </row>
    <row r="81" spans="1:6" x14ac:dyDescent="0.25">
      <c r="A81" t="s">
        <v>745</v>
      </c>
      <c r="B81" s="5" t="s">
        <v>1419</v>
      </c>
      <c r="C81" t="s">
        <v>1419</v>
      </c>
      <c r="D81" t="b">
        <f t="shared" si="2"/>
        <v>0</v>
      </c>
      <c r="E81" s="5"/>
    </row>
    <row r="82" spans="1:6" x14ac:dyDescent="0.25">
      <c r="A82" t="s">
        <v>745</v>
      </c>
      <c r="B82" s="5" t="s">
        <v>1808</v>
      </c>
      <c r="C82" t="s">
        <v>1420</v>
      </c>
      <c r="D82" t="b">
        <f t="shared" si="2"/>
        <v>1</v>
      </c>
      <c r="F82" s="5"/>
    </row>
    <row r="83" spans="1:6" x14ac:dyDescent="0.25">
      <c r="A83" t="s">
        <v>121</v>
      </c>
      <c r="B83" s="5" t="s">
        <v>769</v>
      </c>
      <c r="C83" t="s">
        <v>769</v>
      </c>
      <c r="D83" t="b">
        <f t="shared" si="2"/>
        <v>0</v>
      </c>
      <c r="F83" s="5"/>
    </row>
    <row r="84" spans="1:6" x14ac:dyDescent="0.25">
      <c r="A84" t="s">
        <v>121</v>
      </c>
      <c r="B84" s="5" t="s">
        <v>766</v>
      </c>
      <c r="C84" t="s">
        <v>766</v>
      </c>
      <c r="D84" t="b">
        <f t="shared" si="2"/>
        <v>0</v>
      </c>
      <c r="F84" s="5"/>
    </row>
    <row r="85" spans="1:6" x14ac:dyDescent="0.25">
      <c r="A85" t="s">
        <v>121</v>
      </c>
      <c r="B85" s="5" t="s">
        <v>765</v>
      </c>
      <c r="C85" t="s">
        <v>765</v>
      </c>
      <c r="D85" t="b">
        <f t="shared" si="2"/>
        <v>0</v>
      </c>
      <c r="F85" s="5"/>
    </row>
    <row r="86" spans="1:6" x14ac:dyDescent="0.25">
      <c r="A86" t="s">
        <v>121</v>
      </c>
      <c r="B86" s="5" t="s">
        <v>768</v>
      </c>
      <c r="C86" t="s">
        <v>768</v>
      </c>
      <c r="D86" t="b">
        <f t="shared" si="2"/>
        <v>0</v>
      </c>
      <c r="F86" s="5"/>
    </row>
    <row r="87" spans="1:6" x14ac:dyDescent="0.25">
      <c r="A87" t="s">
        <v>121</v>
      </c>
      <c r="B87" s="5" t="s">
        <v>770</v>
      </c>
      <c r="C87" t="s">
        <v>770</v>
      </c>
      <c r="D87" t="b">
        <f t="shared" si="2"/>
        <v>0</v>
      </c>
    </row>
    <row r="88" spans="1:6" x14ac:dyDescent="0.25">
      <c r="A88" t="s">
        <v>121</v>
      </c>
      <c r="B88" s="5" t="s">
        <v>873</v>
      </c>
      <c r="C88" t="s">
        <v>873</v>
      </c>
      <c r="D88" t="b">
        <f t="shared" si="2"/>
        <v>0</v>
      </c>
    </row>
    <row r="89" spans="1:6" x14ac:dyDescent="0.25">
      <c r="A89" t="s">
        <v>121</v>
      </c>
      <c r="B89" s="5" t="s">
        <v>1809</v>
      </c>
      <c r="C89" t="s">
        <v>1418</v>
      </c>
      <c r="D89" t="b">
        <f t="shared" si="2"/>
        <v>1</v>
      </c>
    </row>
    <row r="90" spans="1:6" x14ac:dyDescent="0.25">
      <c r="A90" t="s">
        <v>121</v>
      </c>
      <c r="B90" s="5" t="s">
        <v>772</v>
      </c>
      <c r="C90" t="s">
        <v>772</v>
      </c>
      <c r="D90" t="b">
        <f t="shared" si="2"/>
        <v>0</v>
      </c>
    </row>
    <row r="91" spans="1:6" x14ac:dyDescent="0.25">
      <c r="A91" t="s">
        <v>121</v>
      </c>
      <c r="B91" s="5" t="s">
        <v>1642</v>
      </c>
      <c r="C91" t="s">
        <v>1642</v>
      </c>
      <c r="D91" t="b">
        <f t="shared" si="2"/>
        <v>0</v>
      </c>
    </row>
    <row r="92" spans="1:6" x14ac:dyDescent="0.25">
      <c r="A92" t="s">
        <v>121</v>
      </c>
      <c r="B92" s="5" t="s">
        <v>1638</v>
      </c>
      <c r="C92" t="s">
        <v>1638</v>
      </c>
      <c r="D92" t="b">
        <f t="shared" si="2"/>
        <v>0</v>
      </c>
      <c r="F92"/>
    </row>
    <row r="93" spans="1:6" x14ac:dyDescent="0.25">
      <c r="A93" t="s">
        <v>121</v>
      </c>
      <c r="B93" s="5" t="s">
        <v>773</v>
      </c>
      <c r="C93" t="s">
        <v>773</v>
      </c>
      <c r="D93" t="b">
        <f t="shared" si="2"/>
        <v>0</v>
      </c>
      <c r="F93"/>
    </row>
    <row r="94" spans="1:6" x14ac:dyDescent="0.25">
      <c r="A94" t="s">
        <v>121</v>
      </c>
      <c r="B94" s="5" t="s">
        <v>774</v>
      </c>
      <c r="C94" t="s">
        <v>774</v>
      </c>
      <c r="D94" t="b">
        <f t="shared" si="2"/>
        <v>0</v>
      </c>
      <c r="F94"/>
    </row>
    <row r="95" spans="1:6" x14ac:dyDescent="0.25">
      <c r="A95" t="s">
        <v>121</v>
      </c>
      <c r="B95" s="5" t="s">
        <v>775</v>
      </c>
      <c r="C95" t="s">
        <v>775</v>
      </c>
      <c r="D95" t="b">
        <f t="shared" si="2"/>
        <v>0</v>
      </c>
    </row>
    <row r="96" spans="1:6" x14ac:dyDescent="0.25">
      <c r="A96" t="s">
        <v>121</v>
      </c>
      <c r="B96" s="5" t="s">
        <v>1417</v>
      </c>
      <c r="C96" t="s">
        <v>1417</v>
      </c>
      <c r="D96" t="b">
        <f t="shared" si="2"/>
        <v>0</v>
      </c>
    </row>
    <row r="97" spans="1:6" x14ac:dyDescent="0.25">
      <c r="A97" t="s">
        <v>121</v>
      </c>
      <c r="B97" s="5" t="s">
        <v>1424</v>
      </c>
      <c r="C97" t="s">
        <v>1424</v>
      </c>
      <c r="D97" t="b">
        <f t="shared" si="2"/>
        <v>0</v>
      </c>
    </row>
    <row r="98" spans="1:6" x14ac:dyDescent="0.25">
      <c r="A98" t="s">
        <v>121</v>
      </c>
      <c r="B98" s="5" t="s">
        <v>1422</v>
      </c>
      <c r="C98" s="5" t="s">
        <v>1422</v>
      </c>
      <c r="D98" t="b">
        <f t="shared" si="2"/>
        <v>0</v>
      </c>
      <c r="F98"/>
    </row>
    <row r="99" spans="1:6" x14ac:dyDescent="0.25">
      <c r="A99" t="s">
        <v>121</v>
      </c>
      <c r="B99" s="5" t="s">
        <v>1421</v>
      </c>
      <c r="C99" s="5" t="s">
        <v>1421</v>
      </c>
      <c r="D99" t="b">
        <f t="shared" si="2"/>
        <v>0</v>
      </c>
    </row>
    <row r="100" spans="1:6" x14ac:dyDescent="0.25">
      <c r="A100" t="s">
        <v>121</v>
      </c>
      <c r="B100" s="5" t="s">
        <v>215</v>
      </c>
      <c r="C100" t="s">
        <v>215</v>
      </c>
      <c r="D100" t="b">
        <f t="shared" si="2"/>
        <v>0</v>
      </c>
    </row>
    <row r="101" spans="1:6" x14ac:dyDescent="0.25">
      <c r="A101" t="s">
        <v>121</v>
      </c>
      <c r="B101" s="5" t="s">
        <v>782</v>
      </c>
      <c r="C101" s="5" t="s">
        <v>782</v>
      </c>
      <c r="D101" t="b">
        <f t="shared" si="2"/>
        <v>0</v>
      </c>
    </row>
    <row r="102" spans="1:6" x14ac:dyDescent="0.25">
      <c r="A102" t="s">
        <v>121</v>
      </c>
      <c r="B102" s="5" t="s">
        <v>1635</v>
      </c>
      <c r="C102" t="s">
        <v>1635</v>
      </c>
      <c r="D102" t="b">
        <f t="shared" si="2"/>
        <v>0</v>
      </c>
    </row>
  </sheetData>
  <mergeCells count="1">
    <mergeCell ref="A1:G1"/>
  </mergeCells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notContainsText" priority="1" operator="notContains" id="{7FBCDD53-D426-47F9-815D-478D434F93E1}">
            <xm:f>ISERROR(SEARCH(C3,B3))</xm:f>
            <xm:f>C3</xm:f>
            <x14:dxf>
              <fill>
                <patternFill>
                  <bgColor theme="5" tint="0.39994506668294322"/>
                </patternFill>
              </fill>
            </x14:dxf>
          </x14:cfRule>
          <xm:sqref>B3:B102</xm:sqref>
        </x14:conditionalFormatting>
      </x14:conditionalFormatting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BA3FC-2B2A-4A2A-8A98-11F21F189E95}">
  <dimension ref="A1:J102"/>
  <sheetViews>
    <sheetView topLeftCell="A2" workbookViewId="0">
      <selection activeCell="C21" sqref="C21"/>
    </sheetView>
  </sheetViews>
  <sheetFormatPr defaultRowHeight="15" x14ac:dyDescent="0.25"/>
  <cols>
    <col min="1" max="1" width="12.85546875" style="5" customWidth="1"/>
    <col min="2" max="3" width="38.7109375" customWidth="1"/>
    <col min="4" max="4" width="12.42578125" hidden="1" customWidth="1"/>
    <col min="5" max="5" width="4.28515625" customWidth="1"/>
    <col min="6" max="6" width="22.7109375" style="3" customWidth="1"/>
    <col min="7" max="7" width="8.140625" bestFit="1" customWidth="1"/>
  </cols>
  <sheetData>
    <row r="1" spans="1:7" ht="21" x14ac:dyDescent="0.25">
      <c r="A1" s="12" t="s">
        <v>1927</v>
      </c>
      <c r="B1" s="12"/>
      <c r="C1" s="12"/>
      <c r="D1" s="12"/>
      <c r="E1" s="12"/>
      <c r="F1" s="12"/>
      <c r="G1" s="12"/>
    </row>
    <row r="2" spans="1:7" x14ac:dyDescent="0.25">
      <c r="A2" s="4" t="s">
        <v>11</v>
      </c>
      <c r="B2" s="4" t="s">
        <v>12</v>
      </c>
      <c r="C2" s="4" t="s">
        <v>13</v>
      </c>
      <c r="D2" s="4" t="s">
        <v>14</v>
      </c>
      <c r="F2" s="4" t="s">
        <v>16</v>
      </c>
      <c r="G2" s="3">
        <f>COUNTIF(D:D,"Verdadeiro")</f>
        <v>83</v>
      </c>
    </row>
    <row r="3" spans="1:7" x14ac:dyDescent="0.25">
      <c r="A3" s="5" t="s">
        <v>1539</v>
      </c>
      <c r="B3" s="5" t="s">
        <v>1857</v>
      </c>
      <c r="C3" s="5" t="s">
        <v>1857</v>
      </c>
      <c r="D3" t="b">
        <f>B3&lt;&gt;C3</f>
        <v>0</v>
      </c>
      <c r="F3" s="4" t="s">
        <v>17</v>
      </c>
      <c r="G3" s="10">
        <f>SUM(G5:G29)</f>
        <v>100</v>
      </c>
    </row>
    <row r="4" spans="1:7" x14ac:dyDescent="0.25">
      <c r="A4" t="s">
        <v>15</v>
      </c>
      <c r="B4" s="5"/>
      <c r="C4" t="s">
        <v>34</v>
      </c>
      <c r="D4" t="b">
        <f t="shared" ref="D4:D67" si="0">B4&lt;&gt;C4</f>
        <v>1</v>
      </c>
    </row>
    <row r="5" spans="1:7" x14ac:dyDescent="0.25">
      <c r="A5" t="s">
        <v>15</v>
      </c>
      <c r="B5" s="5"/>
      <c r="C5" t="s">
        <v>607</v>
      </c>
      <c r="D5" t="b">
        <f t="shared" si="0"/>
        <v>1</v>
      </c>
      <c r="F5" s="6" t="s">
        <v>19</v>
      </c>
      <c r="G5" s="1"/>
    </row>
    <row r="6" spans="1:7" x14ac:dyDescent="0.25">
      <c r="A6" t="s">
        <v>15</v>
      </c>
      <c r="B6" s="5"/>
      <c r="C6" t="s">
        <v>172</v>
      </c>
      <c r="D6" t="b">
        <f t="shared" si="0"/>
        <v>1</v>
      </c>
      <c r="F6" s="1" t="s">
        <v>15</v>
      </c>
      <c r="G6" s="2">
        <f t="shared" ref="G6:G14" si="1">COUNTIF(A:A,F6)</f>
        <v>35</v>
      </c>
    </row>
    <row r="7" spans="1:7" x14ac:dyDescent="0.25">
      <c r="A7" t="s">
        <v>15</v>
      </c>
      <c r="B7" s="5"/>
      <c r="C7" t="s">
        <v>172</v>
      </c>
      <c r="D7" t="b">
        <f t="shared" si="0"/>
        <v>1</v>
      </c>
      <c r="F7" s="5" t="s">
        <v>1539</v>
      </c>
      <c r="G7" s="2">
        <f t="shared" si="1"/>
        <v>1</v>
      </c>
    </row>
    <row r="8" spans="1:7" x14ac:dyDescent="0.25">
      <c r="A8" t="s">
        <v>15</v>
      </c>
      <c r="B8" s="5"/>
      <c r="C8" t="s">
        <v>172</v>
      </c>
      <c r="D8" t="b">
        <f t="shared" si="0"/>
        <v>1</v>
      </c>
      <c r="F8" s="1" t="s">
        <v>21</v>
      </c>
      <c r="G8" s="2">
        <f t="shared" si="1"/>
        <v>6</v>
      </c>
    </row>
    <row r="9" spans="1:7" x14ac:dyDescent="0.25">
      <c r="A9" t="s">
        <v>15</v>
      </c>
      <c r="B9" s="5"/>
      <c r="C9" t="s">
        <v>172</v>
      </c>
      <c r="D9" t="b">
        <f t="shared" si="0"/>
        <v>1</v>
      </c>
      <c r="F9" s="1" t="s">
        <v>22</v>
      </c>
      <c r="G9" s="2">
        <f t="shared" si="1"/>
        <v>10</v>
      </c>
    </row>
    <row r="10" spans="1:7" x14ac:dyDescent="0.25">
      <c r="A10" t="s">
        <v>15</v>
      </c>
      <c r="B10" s="5"/>
      <c r="C10" t="s">
        <v>172</v>
      </c>
      <c r="D10" t="b">
        <f t="shared" si="0"/>
        <v>1</v>
      </c>
      <c r="F10" s="1" t="s">
        <v>44</v>
      </c>
      <c r="G10" s="2">
        <f t="shared" si="1"/>
        <v>8</v>
      </c>
    </row>
    <row r="11" spans="1:7" x14ac:dyDescent="0.25">
      <c r="A11" t="s">
        <v>15</v>
      </c>
      <c r="B11" s="5"/>
      <c r="C11" t="s">
        <v>172</v>
      </c>
      <c r="D11" t="b">
        <f t="shared" si="0"/>
        <v>1</v>
      </c>
      <c r="F11" s="1" t="s">
        <v>1846</v>
      </c>
      <c r="G11" s="2">
        <f t="shared" si="1"/>
        <v>23</v>
      </c>
    </row>
    <row r="12" spans="1:7" x14ac:dyDescent="0.25">
      <c r="A12" t="s">
        <v>15</v>
      </c>
      <c r="B12" s="5"/>
      <c r="C12" t="s">
        <v>172</v>
      </c>
      <c r="D12" t="b">
        <f t="shared" si="0"/>
        <v>1</v>
      </c>
      <c r="F12" s="1" t="s">
        <v>121</v>
      </c>
      <c r="G12" s="2">
        <f t="shared" si="1"/>
        <v>7</v>
      </c>
    </row>
    <row r="13" spans="1:7" x14ac:dyDescent="0.25">
      <c r="A13" t="s">
        <v>15</v>
      </c>
      <c r="B13" s="5"/>
      <c r="C13" t="s">
        <v>172</v>
      </c>
      <c r="D13" t="b">
        <f t="shared" si="0"/>
        <v>1</v>
      </c>
      <c r="F13" s="5" t="s">
        <v>28</v>
      </c>
      <c r="G13" s="2">
        <f t="shared" si="1"/>
        <v>4</v>
      </c>
    </row>
    <row r="14" spans="1:7" x14ac:dyDescent="0.25">
      <c r="A14" t="s">
        <v>15</v>
      </c>
      <c r="B14" s="5"/>
      <c r="C14" t="s">
        <v>172</v>
      </c>
      <c r="D14" t="b">
        <f t="shared" si="0"/>
        <v>1</v>
      </c>
      <c r="F14" s="5" t="s">
        <v>1918</v>
      </c>
      <c r="G14" s="2">
        <f t="shared" si="1"/>
        <v>6</v>
      </c>
    </row>
    <row r="15" spans="1:7" x14ac:dyDescent="0.25">
      <c r="A15" t="s">
        <v>15</v>
      </c>
      <c r="B15" s="5"/>
      <c r="C15" t="s">
        <v>172</v>
      </c>
      <c r="D15" t="b">
        <f t="shared" si="0"/>
        <v>1</v>
      </c>
      <c r="F15" s="1"/>
      <c r="G15" s="2"/>
    </row>
    <row r="16" spans="1:7" x14ac:dyDescent="0.25">
      <c r="A16" t="s">
        <v>15</v>
      </c>
      <c r="B16" s="5"/>
      <c r="C16" t="s">
        <v>172</v>
      </c>
      <c r="D16" t="b">
        <f t="shared" si="0"/>
        <v>1</v>
      </c>
      <c r="F16" s="1"/>
      <c r="G16" s="2"/>
    </row>
    <row r="17" spans="1:7" x14ac:dyDescent="0.25">
      <c r="A17" t="s">
        <v>15</v>
      </c>
      <c r="B17" s="5"/>
      <c r="C17" t="s">
        <v>172</v>
      </c>
      <c r="D17" t="b">
        <f t="shared" si="0"/>
        <v>1</v>
      </c>
      <c r="F17" s="5"/>
      <c r="G17" s="2"/>
    </row>
    <row r="18" spans="1:7" x14ac:dyDescent="0.25">
      <c r="A18" t="s">
        <v>15</v>
      </c>
      <c r="B18" s="5"/>
      <c r="C18" t="s">
        <v>172</v>
      </c>
      <c r="D18" t="b">
        <f t="shared" si="0"/>
        <v>1</v>
      </c>
      <c r="F18" s="5"/>
      <c r="G18" s="2"/>
    </row>
    <row r="19" spans="1:7" x14ac:dyDescent="0.25">
      <c r="A19" t="s">
        <v>15</v>
      </c>
      <c r="B19" s="5"/>
      <c r="C19" t="s">
        <v>172</v>
      </c>
      <c r="D19" t="b">
        <f t="shared" si="0"/>
        <v>1</v>
      </c>
    </row>
    <row r="20" spans="1:7" x14ac:dyDescent="0.25">
      <c r="A20" t="s">
        <v>15</v>
      </c>
      <c r="B20" s="5"/>
      <c r="C20" t="s">
        <v>172</v>
      </c>
      <c r="D20" t="b">
        <f t="shared" si="0"/>
        <v>1</v>
      </c>
    </row>
    <row r="21" spans="1:7" x14ac:dyDescent="0.25">
      <c r="A21" t="s">
        <v>15</v>
      </c>
      <c r="B21" s="5"/>
      <c r="C21" t="s">
        <v>172</v>
      </c>
      <c r="D21" t="b">
        <f t="shared" si="0"/>
        <v>1</v>
      </c>
    </row>
    <row r="22" spans="1:7" x14ac:dyDescent="0.25">
      <c r="A22" t="s">
        <v>15</v>
      </c>
      <c r="B22" s="5"/>
      <c r="C22" t="s">
        <v>172</v>
      </c>
      <c r="D22" t="b">
        <f t="shared" si="0"/>
        <v>1</v>
      </c>
    </row>
    <row r="23" spans="1:7" x14ac:dyDescent="0.25">
      <c r="A23" t="s">
        <v>15</v>
      </c>
      <c r="B23" s="5"/>
      <c r="C23" t="s">
        <v>60</v>
      </c>
      <c r="D23" t="b">
        <f t="shared" si="0"/>
        <v>1</v>
      </c>
    </row>
    <row r="24" spans="1:7" x14ac:dyDescent="0.25">
      <c r="A24" t="s">
        <v>15</v>
      </c>
      <c r="B24" s="5"/>
      <c r="C24" t="s">
        <v>60</v>
      </c>
      <c r="D24" t="b">
        <f t="shared" si="0"/>
        <v>1</v>
      </c>
    </row>
    <row r="25" spans="1:7" x14ac:dyDescent="0.25">
      <c r="A25" t="s">
        <v>15</v>
      </c>
      <c r="B25" s="5"/>
      <c r="C25" t="s">
        <v>60</v>
      </c>
      <c r="D25" t="b">
        <f t="shared" si="0"/>
        <v>1</v>
      </c>
    </row>
    <row r="26" spans="1:7" x14ac:dyDescent="0.25">
      <c r="A26" t="s">
        <v>15</v>
      </c>
      <c r="B26" s="5"/>
      <c r="C26" t="s">
        <v>60</v>
      </c>
      <c r="D26" t="b">
        <f t="shared" si="0"/>
        <v>1</v>
      </c>
    </row>
    <row r="27" spans="1:7" x14ac:dyDescent="0.25">
      <c r="A27" t="s">
        <v>15</v>
      </c>
      <c r="B27" s="5"/>
      <c r="C27" t="s">
        <v>60</v>
      </c>
      <c r="D27" t="b">
        <f t="shared" si="0"/>
        <v>1</v>
      </c>
    </row>
    <row r="28" spans="1:7" x14ac:dyDescent="0.25">
      <c r="A28" t="s">
        <v>15</v>
      </c>
      <c r="B28" s="5"/>
      <c r="C28" t="s">
        <v>60</v>
      </c>
      <c r="D28" t="b">
        <f t="shared" si="0"/>
        <v>1</v>
      </c>
    </row>
    <row r="29" spans="1:7" x14ac:dyDescent="0.25">
      <c r="A29" t="s">
        <v>15</v>
      </c>
      <c r="B29" s="5"/>
      <c r="C29" t="s">
        <v>60</v>
      </c>
      <c r="D29" t="b">
        <f t="shared" si="0"/>
        <v>1</v>
      </c>
    </row>
    <row r="30" spans="1:7" x14ac:dyDescent="0.25">
      <c r="A30" t="s">
        <v>15</v>
      </c>
      <c r="B30" s="5"/>
      <c r="C30" t="s">
        <v>60</v>
      </c>
      <c r="D30" t="b">
        <f t="shared" si="0"/>
        <v>1</v>
      </c>
    </row>
    <row r="31" spans="1:7" x14ac:dyDescent="0.25">
      <c r="A31" t="s">
        <v>15</v>
      </c>
      <c r="B31" s="5"/>
      <c r="C31" t="s">
        <v>60</v>
      </c>
      <c r="D31" t="b">
        <f t="shared" si="0"/>
        <v>1</v>
      </c>
    </row>
    <row r="32" spans="1:7" x14ac:dyDescent="0.25">
      <c r="A32" t="s">
        <v>15</v>
      </c>
      <c r="B32" s="5"/>
      <c r="C32" t="s">
        <v>60</v>
      </c>
      <c r="D32" t="b">
        <f t="shared" si="0"/>
        <v>1</v>
      </c>
    </row>
    <row r="33" spans="1:6" x14ac:dyDescent="0.25">
      <c r="A33" t="s">
        <v>15</v>
      </c>
      <c r="B33" s="5"/>
      <c r="C33" t="s">
        <v>60</v>
      </c>
      <c r="D33" t="b">
        <f t="shared" si="0"/>
        <v>1</v>
      </c>
    </row>
    <row r="34" spans="1:6" x14ac:dyDescent="0.25">
      <c r="A34" t="s">
        <v>15</v>
      </c>
      <c r="B34" s="5"/>
      <c r="C34" t="s">
        <v>60</v>
      </c>
      <c r="D34" t="b">
        <f t="shared" si="0"/>
        <v>1</v>
      </c>
    </row>
    <row r="35" spans="1:6" x14ac:dyDescent="0.25">
      <c r="A35" t="s">
        <v>15</v>
      </c>
      <c r="B35" s="5"/>
      <c r="C35" t="s">
        <v>60</v>
      </c>
      <c r="D35" t="b">
        <f t="shared" si="0"/>
        <v>1</v>
      </c>
    </row>
    <row r="36" spans="1:6" x14ac:dyDescent="0.25">
      <c r="A36" t="s">
        <v>15</v>
      </c>
      <c r="B36" s="5"/>
      <c r="C36" t="s">
        <v>60</v>
      </c>
      <c r="D36" t="b">
        <f t="shared" si="0"/>
        <v>1</v>
      </c>
    </row>
    <row r="37" spans="1:6" x14ac:dyDescent="0.25">
      <c r="A37" t="s">
        <v>15</v>
      </c>
      <c r="B37" s="5"/>
      <c r="C37" t="s">
        <v>60</v>
      </c>
      <c r="D37" t="b">
        <f t="shared" si="0"/>
        <v>1</v>
      </c>
    </row>
    <row r="38" spans="1:6" x14ac:dyDescent="0.25">
      <c r="A38" t="s">
        <v>15</v>
      </c>
      <c r="B38" s="5"/>
      <c r="C38" t="s">
        <v>60</v>
      </c>
      <c r="D38" t="b">
        <f t="shared" si="0"/>
        <v>1</v>
      </c>
    </row>
    <row r="39" spans="1:6" x14ac:dyDescent="0.25">
      <c r="A39" t="s">
        <v>21</v>
      </c>
      <c r="B39" s="5"/>
      <c r="C39" t="s">
        <v>173</v>
      </c>
      <c r="D39" t="b">
        <f t="shared" si="0"/>
        <v>1</v>
      </c>
    </row>
    <row r="40" spans="1:6" x14ac:dyDescent="0.25">
      <c r="A40" t="s">
        <v>21</v>
      </c>
      <c r="B40" s="5" t="s">
        <v>174</v>
      </c>
      <c r="C40" t="s">
        <v>174</v>
      </c>
      <c r="D40" t="b">
        <f t="shared" si="0"/>
        <v>0</v>
      </c>
    </row>
    <row r="41" spans="1:6" x14ac:dyDescent="0.25">
      <c r="A41" t="s">
        <v>21</v>
      </c>
      <c r="B41" s="5" t="s">
        <v>175</v>
      </c>
      <c r="C41" t="s">
        <v>175</v>
      </c>
      <c r="D41" t="b">
        <f t="shared" si="0"/>
        <v>0</v>
      </c>
    </row>
    <row r="42" spans="1:6" x14ac:dyDescent="0.25">
      <c r="A42" t="s">
        <v>21</v>
      </c>
      <c r="B42" s="5"/>
      <c r="C42" t="s">
        <v>127</v>
      </c>
      <c r="D42" t="b">
        <f t="shared" si="0"/>
        <v>1</v>
      </c>
    </row>
    <row r="43" spans="1:6" x14ac:dyDescent="0.25">
      <c r="A43" t="s">
        <v>21</v>
      </c>
      <c r="B43" s="5"/>
      <c r="C43" t="s">
        <v>179</v>
      </c>
      <c r="D43" t="b">
        <f t="shared" si="0"/>
        <v>1</v>
      </c>
    </row>
    <row r="44" spans="1:6" x14ac:dyDescent="0.25">
      <c r="A44" t="s">
        <v>21</v>
      </c>
      <c r="B44" s="5"/>
      <c r="C44" t="s">
        <v>129</v>
      </c>
      <c r="D44" t="b">
        <f t="shared" si="0"/>
        <v>1</v>
      </c>
    </row>
    <row r="45" spans="1:6" x14ac:dyDescent="0.25">
      <c r="A45" t="s">
        <v>22</v>
      </c>
      <c r="B45" s="5" t="s">
        <v>1860</v>
      </c>
      <c r="C45" t="s">
        <v>1860</v>
      </c>
      <c r="D45" t="b">
        <f t="shared" si="0"/>
        <v>0</v>
      </c>
    </row>
    <row r="46" spans="1:6" x14ac:dyDescent="0.25">
      <c r="A46" t="s">
        <v>22</v>
      </c>
      <c r="B46" s="5" t="s">
        <v>1858</v>
      </c>
      <c r="C46" t="s">
        <v>1858</v>
      </c>
      <c r="D46" t="b">
        <f t="shared" si="0"/>
        <v>0</v>
      </c>
    </row>
    <row r="47" spans="1:6" x14ac:dyDescent="0.25">
      <c r="A47" t="s">
        <v>22</v>
      </c>
      <c r="B47" s="5"/>
      <c r="C47" t="s">
        <v>1938</v>
      </c>
      <c r="D47" t="b">
        <f t="shared" si="0"/>
        <v>1</v>
      </c>
      <c r="F47"/>
    </row>
    <row r="48" spans="1:6" x14ac:dyDescent="0.25">
      <c r="A48" t="s">
        <v>22</v>
      </c>
      <c r="B48" s="5"/>
      <c r="C48" t="s">
        <v>1931</v>
      </c>
      <c r="D48" t="b">
        <f t="shared" si="0"/>
        <v>1</v>
      </c>
      <c r="F48"/>
    </row>
    <row r="49" spans="1:6" x14ac:dyDescent="0.25">
      <c r="A49" t="s">
        <v>22</v>
      </c>
      <c r="B49" s="5"/>
      <c r="C49" t="s">
        <v>253</v>
      </c>
      <c r="D49" t="b">
        <f t="shared" si="0"/>
        <v>1</v>
      </c>
      <c r="F49"/>
    </row>
    <row r="50" spans="1:6" x14ac:dyDescent="0.25">
      <c r="A50" t="s">
        <v>22</v>
      </c>
      <c r="B50" s="5"/>
      <c r="C50" t="s">
        <v>1926</v>
      </c>
      <c r="D50" t="b">
        <f t="shared" si="0"/>
        <v>1</v>
      </c>
      <c r="F50"/>
    </row>
    <row r="51" spans="1:6" x14ac:dyDescent="0.25">
      <c r="A51" t="s">
        <v>22</v>
      </c>
      <c r="B51" s="5" t="s">
        <v>1933</v>
      </c>
      <c r="C51" t="s">
        <v>1933</v>
      </c>
      <c r="D51" t="b">
        <f t="shared" si="0"/>
        <v>0</v>
      </c>
      <c r="F51"/>
    </row>
    <row r="52" spans="1:6" x14ac:dyDescent="0.25">
      <c r="A52" t="s">
        <v>22</v>
      </c>
      <c r="B52" s="5"/>
      <c r="C52" t="s">
        <v>1185</v>
      </c>
      <c r="D52" t="b">
        <f t="shared" si="0"/>
        <v>1</v>
      </c>
      <c r="F52"/>
    </row>
    <row r="53" spans="1:6" x14ac:dyDescent="0.25">
      <c r="A53" t="s">
        <v>22</v>
      </c>
      <c r="B53" s="5"/>
      <c r="C53" s="5" t="s">
        <v>1924</v>
      </c>
      <c r="D53" t="b">
        <f t="shared" si="0"/>
        <v>1</v>
      </c>
      <c r="F53"/>
    </row>
    <row r="54" spans="1:6" x14ac:dyDescent="0.25">
      <c r="A54" t="s">
        <v>22</v>
      </c>
      <c r="B54" s="5"/>
      <c r="C54" t="s">
        <v>886</v>
      </c>
      <c r="D54" t="b">
        <f t="shared" si="0"/>
        <v>1</v>
      </c>
      <c r="F54"/>
    </row>
    <row r="55" spans="1:6" x14ac:dyDescent="0.25">
      <c r="A55" t="s">
        <v>44</v>
      </c>
      <c r="B55" s="5" t="s">
        <v>100</v>
      </c>
      <c r="C55" t="s">
        <v>100</v>
      </c>
      <c r="D55" t="b">
        <f t="shared" si="0"/>
        <v>0</v>
      </c>
      <c r="F55"/>
    </row>
    <row r="56" spans="1:6" x14ac:dyDescent="0.25">
      <c r="A56" t="s">
        <v>44</v>
      </c>
      <c r="B56" s="5"/>
      <c r="C56" t="s">
        <v>586</v>
      </c>
      <c r="D56" t="b">
        <f t="shared" si="0"/>
        <v>1</v>
      </c>
      <c r="F56"/>
    </row>
    <row r="57" spans="1:6" x14ac:dyDescent="0.25">
      <c r="A57" t="s">
        <v>44</v>
      </c>
      <c r="B57" s="5"/>
      <c r="C57" t="s">
        <v>213</v>
      </c>
      <c r="D57" t="b">
        <f t="shared" si="0"/>
        <v>1</v>
      </c>
      <c r="F57"/>
    </row>
    <row r="58" spans="1:6" x14ac:dyDescent="0.25">
      <c r="A58" t="s">
        <v>44</v>
      </c>
      <c r="B58" s="5"/>
      <c r="C58" t="s">
        <v>314</v>
      </c>
      <c r="D58" t="b">
        <f t="shared" si="0"/>
        <v>1</v>
      </c>
      <c r="F58"/>
    </row>
    <row r="59" spans="1:6" x14ac:dyDescent="0.25">
      <c r="A59" t="s">
        <v>44</v>
      </c>
      <c r="B59" s="5" t="s">
        <v>592</v>
      </c>
      <c r="C59" t="s">
        <v>592</v>
      </c>
      <c r="D59" t="b">
        <f t="shared" si="0"/>
        <v>0</v>
      </c>
      <c r="F59"/>
    </row>
    <row r="60" spans="1:6" x14ac:dyDescent="0.25">
      <c r="A60" t="s">
        <v>44</v>
      </c>
      <c r="B60" s="5"/>
      <c r="C60" t="s">
        <v>735</v>
      </c>
      <c r="D60" t="b">
        <f t="shared" si="0"/>
        <v>1</v>
      </c>
    </row>
    <row r="61" spans="1:6" x14ac:dyDescent="0.25">
      <c r="A61" t="s">
        <v>44</v>
      </c>
      <c r="B61" s="5"/>
      <c r="C61" t="s">
        <v>1928</v>
      </c>
      <c r="D61" t="b">
        <f t="shared" si="0"/>
        <v>1</v>
      </c>
      <c r="F61"/>
    </row>
    <row r="62" spans="1:6" x14ac:dyDescent="0.25">
      <c r="A62" t="s">
        <v>44</v>
      </c>
      <c r="B62" s="5"/>
      <c r="C62" t="s">
        <v>731</v>
      </c>
      <c r="D62" t="b">
        <f t="shared" si="0"/>
        <v>1</v>
      </c>
      <c r="F62"/>
    </row>
    <row r="63" spans="1:6" x14ac:dyDescent="0.25">
      <c r="A63" t="s">
        <v>28</v>
      </c>
      <c r="B63" s="5"/>
      <c r="C63" t="s">
        <v>1922</v>
      </c>
      <c r="D63" t="b">
        <f>B63&lt;&gt;C63</f>
        <v>1</v>
      </c>
    </row>
    <row r="64" spans="1:6" x14ac:dyDescent="0.25">
      <c r="A64" t="s">
        <v>28</v>
      </c>
      <c r="B64" s="5"/>
      <c r="C64" t="s">
        <v>1921</v>
      </c>
      <c r="D64" t="b">
        <f t="shared" si="0"/>
        <v>1</v>
      </c>
      <c r="F64"/>
    </row>
    <row r="65" spans="1:6" x14ac:dyDescent="0.25">
      <c r="A65" t="s">
        <v>28</v>
      </c>
      <c r="B65" s="5" t="s">
        <v>1923</v>
      </c>
      <c r="C65" t="s">
        <v>1923</v>
      </c>
      <c r="D65" t="b">
        <f t="shared" si="0"/>
        <v>0</v>
      </c>
      <c r="F65" t="s">
        <v>1925</v>
      </c>
    </row>
    <row r="66" spans="1:6" x14ac:dyDescent="0.25">
      <c r="A66" t="s">
        <v>28</v>
      </c>
      <c r="B66" t="s">
        <v>1847</v>
      </c>
      <c r="C66" t="s">
        <v>1847</v>
      </c>
      <c r="D66" t="b">
        <f t="shared" si="0"/>
        <v>0</v>
      </c>
      <c r="F66"/>
    </row>
    <row r="67" spans="1:6" x14ac:dyDescent="0.25">
      <c r="A67" t="s">
        <v>1918</v>
      </c>
      <c r="B67" s="5" t="s">
        <v>738</v>
      </c>
      <c r="C67" t="s">
        <v>738</v>
      </c>
      <c r="D67" t="b">
        <f t="shared" si="0"/>
        <v>0</v>
      </c>
      <c r="F67"/>
    </row>
    <row r="68" spans="1:6" x14ac:dyDescent="0.25">
      <c r="A68" t="s">
        <v>1918</v>
      </c>
      <c r="B68" s="5"/>
      <c r="C68" t="s">
        <v>1856</v>
      </c>
      <c r="D68" t="b">
        <f t="shared" ref="D68:D102" si="2">B68&lt;&gt;C68</f>
        <v>1</v>
      </c>
      <c r="F68"/>
    </row>
    <row r="69" spans="1:6" x14ac:dyDescent="0.25">
      <c r="A69" t="s">
        <v>1918</v>
      </c>
      <c r="B69" s="5"/>
      <c r="C69" t="s">
        <v>1920</v>
      </c>
      <c r="D69" t="b">
        <f t="shared" si="2"/>
        <v>1</v>
      </c>
      <c r="F69" s="5"/>
    </row>
    <row r="70" spans="1:6" x14ac:dyDescent="0.25">
      <c r="A70" t="s">
        <v>1918</v>
      </c>
      <c r="B70" s="5" t="s">
        <v>1919</v>
      </c>
      <c r="C70" t="s">
        <v>1919</v>
      </c>
      <c r="D70" t="b">
        <f t="shared" si="2"/>
        <v>0</v>
      </c>
      <c r="F70" s="5"/>
    </row>
    <row r="71" spans="1:6" x14ac:dyDescent="0.25">
      <c r="A71" t="s">
        <v>1918</v>
      </c>
      <c r="B71" s="5"/>
      <c r="C71" t="s">
        <v>1930</v>
      </c>
      <c r="D71" t="b">
        <f t="shared" si="2"/>
        <v>1</v>
      </c>
    </row>
    <row r="72" spans="1:6" x14ac:dyDescent="0.25">
      <c r="A72" t="s">
        <v>1918</v>
      </c>
      <c r="B72" s="5"/>
      <c r="C72" s="5" t="s">
        <v>1859</v>
      </c>
      <c r="D72" t="b">
        <f t="shared" si="2"/>
        <v>1</v>
      </c>
    </row>
    <row r="73" spans="1:6" x14ac:dyDescent="0.25">
      <c r="A73" t="s">
        <v>121</v>
      </c>
      <c r="B73" s="5"/>
      <c r="C73" t="s">
        <v>1939</v>
      </c>
      <c r="D73" t="b">
        <f t="shared" si="2"/>
        <v>1</v>
      </c>
    </row>
    <row r="74" spans="1:6" x14ac:dyDescent="0.25">
      <c r="A74" t="s">
        <v>121</v>
      </c>
      <c r="B74" s="5"/>
      <c r="C74" t="s">
        <v>2028</v>
      </c>
      <c r="D74" t="b">
        <f t="shared" si="2"/>
        <v>1</v>
      </c>
      <c r="F74" s="5"/>
    </row>
    <row r="75" spans="1:6" x14ac:dyDescent="0.25">
      <c r="A75" t="s">
        <v>121</v>
      </c>
      <c r="B75" t="s">
        <v>269</v>
      </c>
      <c r="C75" t="s">
        <v>269</v>
      </c>
      <c r="D75" t="b">
        <f t="shared" si="2"/>
        <v>0</v>
      </c>
      <c r="F75"/>
    </row>
    <row r="76" spans="1:6" x14ac:dyDescent="0.25">
      <c r="A76" t="s">
        <v>121</v>
      </c>
      <c r="B76" s="5"/>
      <c r="C76" t="s">
        <v>1854</v>
      </c>
      <c r="D76" t="b">
        <f t="shared" si="2"/>
        <v>1</v>
      </c>
      <c r="F76"/>
    </row>
    <row r="77" spans="1:6" x14ac:dyDescent="0.25">
      <c r="A77" t="s">
        <v>121</v>
      </c>
      <c r="B77" s="5"/>
      <c r="C77" t="s">
        <v>1852</v>
      </c>
      <c r="D77" t="b">
        <f t="shared" si="2"/>
        <v>1</v>
      </c>
      <c r="F77"/>
    </row>
    <row r="78" spans="1:6" x14ac:dyDescent="0.25">
      <c r="A78" t="s">
        <v>121</v>
      </c>
      <c r="B78" t="s">
        <v>497</v>
      </c>
      <c r="C78" t="s">
        <v>497</v>
      </c>
      <c r="D78" t="b">
        <f t="shared" si="2"/>
        <v>0</v>
      </c>
      <c r="E78" s="5"/>
      <c r="F78"/>
    </row>
    <row r="79" spans="1:6" x14ac:dyDescent="0.25">
      <c r="A79" t="s">
        <v>121</v>
      </c>
      <c r="B79" t="s">
        <v>1943</v>
      </c>
      <c r="C79" t="s">
        <v>1943</v>
      </c>
      <c r="D79" t="b">
        <f t="shared" si="2"/>
        <v>0</v>
      </c>
    </row>
    <row r="80" spans="1:6" x14ac:dyDescent="0.25">
      <c r="A80" t="s">
        <v>1846</v>
      </c>
      <c r="B80" t="s">
        <v>1848</v>
      </c>
      <c r="C80" t="s">
        <v>1848</v>
      </c>
      <c r="D80" t="b">
        <f t="shared" si="2"/>
        <v>0</v>
      </c>
    </row>
    <row r="81" spans="1:6" x14ac:dyDescent="0.25">
      <c r="A81" t="s">
        <v>1846</v>
      </c>
      <c r="B81" s="5" t="s">
        <v>1848</v>
      </c>
      <c r="C81" t="s">
        <v>1848</v>
      </c>
      <c r="D81" t="b">
        <f t="shared" si="2"/>
        <v>0</v>
      </c>
      <c r="E81" s="5"/>
    </row>
    <row r="82" spans="1:6" x14ac:dyDescent="0.25">
      <c r="A82" t="s">
        <v>1846</v>
      </c>
      <c r="B82" s="5"/>
      <c r="C82" t="s">
        <v>1848</v>
      </c>
      <c r="D82" t="b">
        <f t="shared" si="2"/>
        <v>1</v>
      </c>
      <c r="F82" s="5"/>
    </row>
    <row r="83" spans="1:6" x14ac:dyDescent="0.25">
      <c r="A83" t="s">
        <v>1846</v>
      </c>
      <c r="B83" s="5"/>
      <c r="C83" t="s">
        <v>1848</v>
      </c>
      <c r="D83" t="b">
        <f t="shared" si="2"/>
        <v>1</v>
      </c>
      <c r="F83" s="5"/>
    </row>
    <row r="84" spans="1:6" x14ac:dyDescent="0.25">
      <c r="A84" t="s">
        <v>1846</v>
      </c>
      <c r="B84" s="5"/>
      <c r="C84" t="s">
        <v>1848</v>
      </c>
      <c r="D84" t="b">
        <f t="shared" si="2"/>
        <v>1</v>
      </c>
      <c r="F84" s="5"/>
    </row>
    <row r="85" spans="1:6" x14ac:dyDescent="0.25">
      <c r="A85" t="s">
        <v>1846</v>
      </c>
      <c r="B85" s="5"/>
      <c r="C85" t="s">
        <v>1848</v>
      </c>
      <c r="D85" t="b">
        <f t="shared" si="2"/>
        <v>1</v>
      </c>
      <c r="F85" s="5"/>
    </row>
    <row r="86" spans="1:6" x14ac:dyDescent="0.25">
      <c r="A86" t="s">
        <v>1846</v>
      </c>
      <c r="B86" s="5"/>
      <c r="C86" t="s">
        <v>1848</v>
      </c>
      <c r="D86" t="b">
        <f t="shared" si="2"/>
        <v>1</v>
      </c>
      <c r="F86" s="5"/>
    </row>
    <row r="87" spans="1:6" x14ac:dyDescent="0.25">
      <c r="A87" t="s">
        <v>1846</v>
      </c>
      <c r="B87" s="5"/>
      <c r="C87" t="s">
        <v>1848</v>
      </c>
      <c r="D87" t="b">
        <f t="shared" si="2"/>
        <v>1</v>
      </c>
    </row>
    <row r="88" spans="1:6" x14ac:dyDescent="0.25">
      <c r="A88" t="s">
        <v>1846</v>
      </c>
      <c r="B88" s="5"/>
      <c r="C88" t="s">
        <v>1848</v>
      </c>
      <c r="D88" t="b">
        <f t="shared" si="2"/>
        <v>1</v>
      </c>
    </row>
    <row r="89" spans="1:6" x14ac:dyDescent="0.25">
      <c r="A89" t="s">
        <v>1846</v>
      </c>
      <c r="B89" s="5"/>
      <c r="C89" t="s">
        <v>1848</v>
      </c>
      <c r="D89" t="b">
        <f t="shared" si="2"/>
        <v>1</v>
      </c>
    </row>
    <row r="90" spans="1:6" x14ac:dyDescent="0.25">
      <c r="A90" t="s">
        <v>1846</v>
      </c>
      <c r="B90" s="5"/>
      <c r="C90" t="s">
        <v>1848</v>
      </c>
      <c r="D90" t="b">
        <f t="shared" si="2"/>
        <v>1</v>
      </c>
    </row>
    <row r="91" spans="1:6" x14ac:dyDescent="0.25">
      <c r="A91" t="s">
        <v>1846</v>
      </c>
      <c r="B91" s="5"/>
      <c r="C91" t="s">
        <v>1848</v>
      </c>
      <c r="D91" t="b">
        <f t="shared" si="2"/>
        <v>1</v>
      </c>
    </row>
    <row r="92" spans="1:6" x14ac:dyDescent="0.25">
      <c r="A92" t="s">
        <v>1846</v>
      </c>
      <c r="B92" s="5"/>
      <c r="C92" t="s">
        <v>1848</v>
      </c>
      <c r="D92" t="b">
        <f t="shared" si="2"/>
        <v>1</v>
      </c>
      <c r="F92"/>
    </row>
    <row r="93" spans="1:6" x14ac:dyDescent="0.25">
      <c r="A93" t="s">
        <v>1846</v>
      </c>
      <c r="B93" s="5"/>
      <c r="C93" t="s">
        <v>1848</v>
      </c>
      <c r="D93" t="b">
        <f t="shared" si="2"/>
        <v>1</v>
      </c>
      <c r="F93"/>
    </row>
    <row r="94" spans="1:6" x14ac:dyDescent="0.25">
      <c r="A94" t="s">
        <v>1846</v>
      </c>
      <c r="B94" s="5"/>
      <c r="C94" t="s">
        <v>1848</v>
      </c>
      <c r="D94" t="b">
        <f t="shared" si="2"/>
        <v>1</v>
      </c>
      <c r="F94"/>
    </row>
    <row r="95" spans="1:6" x14ac:dyDescent="0.25">
      <c r="A95" t="s">
        <v>1846</v>
      </c>
      <c r="B95" s="5"/>
      <c r="C95" t="s">
        <v>1848</v>
      </c>
      <c r="D95" t="b">
        <f t="shared" si="2"/>
        <v>1</v>
      </c>
    </row>
    <row r="96" spans="1:6" x14ac:dyDescent="0.25">
      <c r="A96" t="s">
        <v>1846</v>
      </c>
      <c r="B96" s="5"/>
      <c r="C96" t="s">
        <v>1848</v>
      </c>
      <c r="D96" t="b">
        <f t="shared" si="2"/>
        <v>1</v>
      </c>
    </row>
    <row r="97" spans="1:10" x14ac:dyDescent="0.25">
      <c r="A97" t="s">
        <v>1846</v>
      </c>
      <c r="B97" s="5"/>
      <c r="C97" t="s">
        <v>1848</v>
      </c>
      <c r="D97" t="b">
        <f t="shared" si="2"/>
        <v>1</v>
      </c>
    </row>
    <row r="98" spans="1:10" x14ac:dyDescent="0.25">
      <c r="A98" t="s">
        <v>1846</v>
      </c>
      <c r="B98" s="5"/>
      <c r="C98" t="s">
        <v>1848</v>
      </c>
      <c r="D98" t="b">
        <f t="shared" si="2"/>
        <v>1</v>
      </c>
      <c r="J98" s="5"/>
    </row>
    <row r="99" spans="1:10" x14ac:dyDescent="0.25">
      <c r="A99" t="s">
        <v>1846</v>
      </c>
      <c r="B99" s="5"/>
      <c r="C99" t="s">
        <v>1848</v>
      </c>
      <c r="D99" t="b">
        <f t="shared" si="2"/>
        <v>1</v>
      </c>
      <c r="J99" s="5"/>
    </row>
    <row r="100" spans="1:10" x14ac:dyDescent="0.25">
      <c r="A100" t="s">
        <v>1846</v>
      </c>
      <c r="B100" s="5"/>
      <c r="C100" t="s">
        <v>1848</v>
      </c>
      <c r="D100" t="b">
        <f t="shared" si="2"/>
        <v>1</v>
      </c>
    </row>
    <row r="101" spans="1:10" x14ac:dyDescent="0.25">
      <c r="A101" t="s">
        <v>1846</v>
      </c>
      <c r="B101" s="5"/>
      <c r="C101" t="s">
        <v>1848</v>
      </c>
      <c r="D101" t="b">
        <f t="shared" si="2"/>
        <v>1</v>
      </c>
      <c r="J101" s="5"/>
    </row>
    <row r="102" spans="1:10" x14ac:dyDescent="0.25">
      <c r="A102" t="s">
        <v>1846</v>
      </c>
      <c r="B102" s="5"/>
      <c r="C102" t="s">
        <v>1848</v>
      </c>
      <c r="D102" t="b">
        <f t="shared" si="2"/>
        <v>1</v>
      </c>
    </row>
  </sheetData>
  <mergeCells count="1">
    <mergeCell ref="A1:G1"/>
  </mergeCells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notContainsText" priority="1" operator="notContains" id="{ABA4D8B7-6669-460A-B8C4-CC7698DEC317}">
            <xm:f>ISERROR(SEARCH(C3,B3))</xm:f>
            <xm:f>C3</xm:f>
            <x14:dxf>
              <fill>
                <patternFill>
                  <bgColor theme="5" tint="0.39994506668294322"/>
                </patternFill>
              </fill>
            </x14:dxf>
          </x14:cfRule>
          <xm:sqref>B3:B74 B76:B102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34</vt:i4>
      </vt:variant>
    </vt:vector>
  </HeadingPairs>
  <TitlesOfParts>
    <vt:vector size="34" baseType="lpstr">
      <vt:lpstr>Thrakiri</vt:lpstr>
      <vt:lpstr>Gitrog</vt:lpstr>
      <vt:lpstr>Elfos</vt:lpstr>
      <vt:lpstr>Fractius</vt:lpstr>
      <vt:lpstr>Inalla</vt:lpstr>
      <vt:lpstr>Akiri</vt:lpstr>
      <vt:lpstr>Modular</vt:lpstr>
      <vt:lpstr>Muzzio</vt:lpstr>
      <vt:lpstr>Rielle</vt:lpstr>
      <vt:lpstr>Alela</vt:lpstr>
      <vt:lpstr>Arcades</vt:lpstr>
      <vt:lpstr>VialIshai</vt:lpstr>
      <vt:lpstr>Yuriko</vt:lpstr>
      <vt:lpstr>Zedruu</vt:lpstr>
      <vt:lpstr>Carlos</vt:lpstr>
      <vt:lpstr>Oona</vt:lpstr>
      <vt:lpstr>Kresh</vt:lpstr>
      <vt:lpstr>Breya</vt:lpstr>
      <vt:lpstr>Rani</vt:lpstr>
      <vt:lpstr>Sisay</vt:lpstr>
      <vt:lpstr>OWA</vt:lpstr>
      <vt:lpstr>Narset</vt:lpstr>
      <vt:lpstr>Kumena</vt:lpstr>
      <vt:lpstr>Zimone</vt:lpstr>
      <vt:lpstr>Baylen</vt:lpstr>
      <vt:lpstr>Tayam</vt:lpstr>
      <vt:lpstr>Jhoira</vt:lpstr>
      <vt:lpstr>Piratas</vt:lpstr>
      <vt:lpstr>Zuko</vt:lpstr>
      <vt:lpstr>Little</vt:lpstr>
      <vt:lpstr>Ool</vt:lpstr>
      <vt:lpstr>4cRash</vt:lpstr>
      <vt:lpstr>JhoiraB</vt:lpstr>
      <vt:lpstr>Yorion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Marcelo Scalvi</dc:creator>
  <cp:keywords/>
  <dc:description/>
  <cp:lastModifiedBy>Marcelo Fernandes Scalvi</cp:lastModifiedBy>
  <cp:revision/>
  <dcterms:created xsi:type="dcterms:W3CDTF">2021-12-09T15:36:16Z</dcterms:created>
  <dcterms:modified xsi:type="dcterms:W3CDTF">2026-01-27T13:51:07Z</dcterms:modified>
  <cp:category/>
  <cp:contentStatus/>
</cp:coreProperties>
</file>