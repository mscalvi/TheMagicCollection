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Jogos\Magic\"/>
    </mc:Choice>
  </mc:AlternateContent>
  <xr:revisionPtr revIDLastSave="0" documentId="13_ncr:1_{99A2ED64-6DA8-4D58-8FBF-DD679A4C8936}" xr6:coauthVersionLast="47" xr6:coauthVersionMax="47" xr10:uidLastSave="{00000000-0000-0000-0000-000000000000}"/>
  <bookViews>
    <workbookView xWindow="-120" yWindow="-120" windowWidth="20730" windowHeight="11160" tabRatio="835" activeTab="2" xr2:uid="{CC72415A-D2E5-4D77-82BF-05A7B4384BC9}"/>
  </bookViews>
  <sheets>
    <sheet name="COMPRAS" sheetId="19" r:id="rId1"/>
    <sheet name="RESUMO" sheetId="18" r:id="rId2"/>
    <sheet name="RESUMO (2)" sheetId="45" r:id="rId3"/>
    <sheet name="Fractius" sheetId="40" r:id="rId4"/>
    <sheet name="Life" sheetId="41" r:id="rId5"/>
    <sheet name="Flicker" sheetId="60" r:id="rId6"/>
    <sheet name="Modular" sheetId="61" r:id="rId7"/>
    <sheet name="WBGAllies" sheetId="43" r:id="rId8"/>
    <sheet name="WURAffinity" sheetId="64" r:id="rId9"/>
  </sheets>
  <definedNames>
    <definedName name="_xlnm._FilterDatabase" localSheetId="1" hidden="1">RESUMO!$A$2:$C$213</definedName>
    <definedName name="_xlnm._FilterDatabase" localSheetId="2" hidden="1">'RESUMO (2)'!$A$2:$C$213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64" l="1"/>
  <c r="D77" i="64"/>
  <c r="D76" i="64"/>
  <c r="D75" i="64"/>
  <c r="D74" i="64"/>
  <c r="D73" i="64"/>
  <c r="D72" i="64"/>
  <c r="D71" i="64"/>
  <c r="D70" i="64"/>
  <c r="D69" i="64"/>
  <c r="D68" i="64"/>
  <c r="D67" i="64"/>
  <c r="D66" i="64"/>
  <c r="D65" i="64"/>
  <c r="D64" i="64"/>
  <c r="D63" i="64"/>
  <c r="D62" i="64"/>
  <c r="D61" i="64"/>
  <c r="D60" i="64"/>
  <c r="D59" i="64"/>
  <c r="D58" i="64"/>
  <c r="D57" i="64"/>
  <c r="D56" i="64"/>
  <c r="D55" i="64"/>
  <c r="D54" i="64"/>
  <c r="D53" i="64"/>
  <c r="D52" i="64"/>
  <c r="D51" i="64"/>
  <c r="D50" i="64"/>
  <c r="D49" i="64"/>
  <c r="D48" i="64"/>
  <c r="D47" i="64"/>
  <c r="D46" i="64"/>
  <c r="D45" i="64"/>
  <c r="D44" i="64"/>
  <c r="D43" i="64"/>
  <c r="D42" i="64"/>
  <c r="D41" i="64"/>
  <c r="D40" i="64"/>
  <c r="D39" i="64"/>
  <c r="D38" i="64"/>
  <c r="D37" i="64"/>
  <c r="D36" i="64"/>
  <c r="D35" i="64"/>
  <c r="D34" i="64"/>
  <c r="D33" i="64"/>
  <c r="D32" i="64"/>
  <c r="D31" i="64"/>
  <c r="D30" i="64"/>
  <c r="D29" i="64"/>
  <c r="D28" i="64"/>
  <c r="D27" i="64"/>
  <c r="D26" i="64"/>
  <c r="D25" i="64"/>
  <c r="D24" i="64"/>
  <c r="D23" i="64"/>
  <c r="D22" i="64"/>
  <c r="D21" i="64"/>
  <c r="D20" i="64"/>
  <c r="D19" i="64"/>
  <c r="D18" i="64"/>
  <c r="D17" i="64"/>
  <c r="D16" i="64"/>
  <c r="D15" i="64"/>
  <c r="D14" i="64"/>
  <c r="D13" i="64"/>
  <c r="D12" i="64"/>
  <c r="D11" i="64"/>
  <c r="G10" i="64"/>
  <c r="D10" i="64"/>
  <c r="G9" i="64"/>
  <c r="D9" i="64"/>
  <c r="G8" i="64"/>
  <c r="D8" i="64"/>
  <c r="G7" i="64"/>
  <c r="D7" i="64"/>
  <c r="D6" i="64"/>
  <c r="D5" i="64"/>
  <c r="D4" i="64"/>
  <c r="D3" i="64"/>
  <c r="G13" i="61"/>
  <c r="K4" i="45"/>
  <c r="K16" i="45"/>
  <c r="K17" i="45"/>
  <c r="K21" i="45"/>
  <c r="K23" i="45"/>
  <c r="K24" i="45"/>
  <c r="K25" i="45"/>
  <c r="K26" i="45"/>
  <c r="K27" i="45"/>
  <c r="K28" i="45"/>
  <c r="K29" i="45"/>
  <c r="K30" i="45"/>
  <c r="K31" i="45"/>
  <c r="K32" i="45"/>
  <c r="K33" i="45"/>
  <c r="K34" i="45"/>
  <c r="K36" i="45"/>
  <c r="K52" i="45"/>
  <c r="K143" i="45"/>
  <c r="K142" i="45"/>
  <c r="K141" i="45"/>
  <c r="K140" i="45"/>
  <c r="K139" i="45"/>
  <c r="K138" i="45"/>
  <c r="K137" i="45"/>
  <c r="K136" i="45"/>
  <c r="K135" i="45"/>
  <c r="K134" i="45"/>
  <c r="K133" i="45"/>
  <c r="K132" i="45"/>
  <c r="K131" i="45"/>
  <c r="K130" i="45"/>
  <c r="K129" i="45"/>
  <c r="K128" i="45"/>
  <c r="K127" i="45"/>
  <c r="K126" i="45"/>
  <c r="K125" i="45"/>
  <c r="K124" i="45"/>
  <c r="K123" i="45"/>
  <c r="K122" i="45"/>
  <c r="K121" i="45"/>
  <c r="K120" i="45"/>
  <c r="K119" i="45"/>
  <c r="K118" i="45"/>
  <c r="K117" i="45"/>
  <c r="K116" i="45"/>
  <c r="K115" i="45"/>
  <c r="K114" i="45"/>
  <c r="K113" i="45"/>
  <c r="K112" i="45"/>
  <c r="K111" i="45"/>
  <c r="K110" i="45"/>
  <c r="K109" i="45"/>
  <c r="K108" i="45"/>
  <c r="K107" i="45"/>
  <c r="K106" i="45"/>
  <c r="K105" i="45"/>
  <c r="K104" i="45"/>
  <c r="K103" i="45"/>
  <c r="K102" i="45"/>
  <c r="K101" i="45"/>
  <c r="K100" i="45"/>
  <c r="K99" i="45"/>
  <c r="K98" i="45"/>
  <c r="K97" i="45"/>
  <c r="K96" i="45"/>
  <c r="K95" i="45"/>
  <c r="K94" i="45"/>
  <c r="K93" i="45"/>
  <c r="K92" i="45"/>
  <c r="K91" i="45"/>
  <c r="K90" i="45"/>
  <c r="K89" i="45"/>
  <c r="K88" i="45"/>
  <c r="K87" i="45"/>
  <c r="K86" i="45"/>
  <c r="K85" i="45"/>
  <c r="K84" i="45"/>
  <c r="K83" i="45"/>
  <c r="K82" i="45"/>
  <c r="K81" i="45"/>
  <c r="K80" i="45"/>
  <c r="K79" i="45"/>
  <c r="K78" i="45"/>
  <c r="G143" i="45"/>
  <c r="G142" i="45"/>
  <c r="G141" i="45"/>
  <c r="G140" i="45"/>
  <c r="G139" i="45"/>
  <c r="G138" i="45"/>
  <c r="G137" i="45"/>
  <c r="G136" i="45"/>
  <c r="G135" i="45"/>
  <c r="G134" i="45"/>
  <c r="G133" i="45"/>
  <c r="G132" i="45"/>
  <c r="G131" i="45"/>
  <c r="G130" i="45"/>
  <c r="G129" i="45"/>
  <c r="G128" i="45"/>
  <c r="G127" i="45"/>
  <c r="G126" i="45"/>
  <c r="G125" i="45"/>
  <c r="G124" i="45"/>
  <c r="G123" i="45"/>
  <c r="G122" i="45"/>
  <c r="G121" i="45"/>
  <c r="G120" i="45"/>
  <c r="G119" i="45"/>
  <c r="G118" i="45"/>
  <c r="G117" i="45"/>
  <c r="G116" i="45"/>
  <c r="G115" i="45"/>
  <c r="G114" i="45"/>
  <c r="G113" i="45"/>
  <c r="G112" i="45"/>
  <c r="G111" i="45"/>
  <c r="G110" i="45"/>
  <c r="G109" i="45"/>
  <c r="G108" i="45"/>
  <c r="G107" i="45"/>
  <c r="G106" i="45"/>
  <c r="G105" i="45"/>
  <c r="G104" i="45"/>
  <c r="G103" i="45"/>
  <c r="G102" i="45"/>
  <c r="G101" i="45"/>
  <c r="G100" i="45"/>
  <c r="G99" i="45"/>
  <c r="G98" i="45"/>
  <c r="G97" i="45"/>
  <c r="G96" i="45"/>
  <c r="G95" i="45"/>
  <c r="G94" i="45"/>
  <c r="G93" i="45"/>
  <c r="G92" i="45"/>
  <c r="G91" i="45"/>
  <c r="G90" i="45"/>
  <c r="G89" i="45"/>
  <c r="G88" i="45"/>
  <c r="G87" i="45"/>
  <c r="G86" i="45"/>
  <c r="G85" i="45"/>
  <c r="G84" i="45"/>
  <c r="G83" i="45"/>
  <c r="G82" i="45"/>
  <c r="G81" i="45"/>
  <c r="G80" i="45"/>
  <c r="G79" i="45"/>
  <c r="G78" i="45"/>
  <c r="D77" i="61"/>
  <c r="K77" i="45" s="1"/>
  <c r="D76" i="61"/>
  <c r="K76" i="45" s="1"/>
  <c r="D75" i="61"/>
  <c r="K75" i="45" s="1"/>
  <c r="D74" i="61"/>
  <c r="K74" i="45" s="1"/>
  <c r="D73" i="61"/>
  <c r="K73" i="45" s="1"/>
  <c r="D72" i="61"/>
  <c r="K72" i="45" s="1"/>
  <c r="D71" i="61"/>
  <c r="K71" i="45" s="1"/>
  <c r="D70" i="61"/>
  <c r="K70" i="45" s="1"/>
  <c r="D69" i="61"/>
  <c r="K69" i="45" s="1"/>
  <c r="D68" i="61"/>
  <c r="K68" i="45" s="1"/>
  <c r="D67" i="61"/>
  <c r="K67" i="45" s="1"/>
  <c r="D66" i="61"/>
  <c r="K66" i="45" s="1"/>
  <c r="D65" i="61"/>
  <c r="K65" i="45" s="1"/>
  <c r="D64" i="61"/>
  <c r="K64" i="45" s="1"/>
  <c r="D63" i="61"/>
  <c r="K63" i="45" s="1"/>
  <c r="D62" i="61"/>
  <c r="K62" i="45" s="1"/>
  <c r="D61" i="61"/>
  <c r="K61" i="45" s="1"/>
  <c r="D60" i="61"/>
  <c r="K60" i="45" s="1"/>
  <c r="D59" i="61"/>
  <c r="K59" i="45" s="1"/>
  <c r="D58" i="61"/>
  <c r="K58" i="45" s="1"/>
  <c r="D57" i="61"/>
  <c r="K57" i="45" s="1"/>
  <c r="D56" i="61"/>
  <c r="K56" i="45" s="1"/>
  <c r="D55" i="61"/>
  <c r="K55" i="45" s="1"/>
  <c r="D54" i="61"/>
  <c r="K54" i="45" s="1"/>
  <c r="D53" i="61"/>
  <c r="K53" i="45" s="1"/>
  <c r="D52" i="61"/>
  <c r="D51" i="61"/>
  <c r="K51" i="45" s="1"/>
  <c r="D50" i="61"/>
  <c r="K50" i="45" s="1"/>
  <c r="D49" i="61"/>
  <c r="K49" i="45" s="1"/>
  <c r="D48" i="61"/>
  <c r="K48" i="45" s="1"/>
  <c r="D47" i="61"/>
  <c r="K47" i="45" s="1"/>
  <c r="D46" i="61"/>
  <c r="K46" i="45" s="1"/>
  <c r="D45" i="61"/>
  <c r="K45" i="45" s="1"/>
  <c r="D44" i="61"/>
  <c r="K44" i="45" s="1"/>
  <c r="D43" i="61"/>
  <c r="K43" i="45" s="1"/>
  <c r="D42" i="61"/>
  <c r="K42" i="45" s="1"/>
  <c r="D41" i="61"/>
  <c r="K41" i="45" s="1"/>
  <c r="D40" i="61"/>
  <c r="K40" i="45" s="1"/>
  <c r="D39" i="61"/>
  <c r="K39" i="45" s="1"/>
  <c r="D38" i="61"/>
  <c r="K38" i="45" s="1"/>
  <c r="D37" i="61"/>
  <c r="K37" i="45" s="1"/>
  <c r="D36" i="61"/>
  <c r="D35" i="61"/>
  <c r="K35" i="45" s="1"/>
  <c r="D34" i="61"/>
  <c r="D33" i="61"/>
  <c r="D32" i="61"/>
  <c r="D31" i="61"/>
  <c r="D30" i="61"/>
  <c r="D29" i="61"/>
  <c r="D28" i="61"/>
  <c r="D27" i="61"/>
  <c r="D26" i="61"/>
  <c r="D25" i="61"/>
  <c r="D24" i="61"/>
  <c r="D23" i="61"/>
  <c r="D22" i="61"/>
  <c r="K22" i="45" s="1"/>
  <c r="D21" i="61"/>
  <c r="D20" i="61"/>
  <c r="K20" i="45" s="1"/>
  <c r="D19" i="61"/>
  <c r="K19" i="45" s="1"/>
  <c r="D18" i="61"/>
  <c r="K18" i="45" s="1"/>
  <c r="D17" i="61"/>
  <c r="D16" i="61"/>
  <c r="D15" i="61"/>
  <c r="K15" i="45" s="1"/>
  <c r="D14" i="61"/>
  <c r="K14" i="45" s="1"/>
  <c r="D13" i="61"/>
  <c r="K13" i="45" s="1"/>
  <c r="G12" i="61"/>
  <c r="D12" i="61"/>
  <c r="K12" i="45" s="1"/>
  <c r="G11" i="61"/>
  <c r="D11" i="61"/>
  <c r="K11" i="45" s="1"/>
  <c r="G10" i="61"/>
  <c r="D10" i="61"/>
  <c r="K10" i="45" s="1"/>
  <c r="G9" i="61"/>
  <c r="D9" i="61"/>
  <c r="K9" i="45" s="1"/>
  <c r="G8" i="61"/>
  <c r="D8" i="61"/>
  <c r="K8" i="45" s="1"/>
  <c r="G7" i="61"/>
  <c r="D7" i="61"/>
  <c r="K7" i="45" s="1"/>
  <c r="D6" i="61"/>
  <c r="K6" i="45" s="1"/>
  <c r="D5" i="61"/>
  <c r="K5" i="45" s="1"/>
  <c r="D4" i="61"/>
  <c r="D3" i="61"/>
  <c r="K3" i="45" s="1"/>
  <c r="D77" i="60"/>
  <c r="G77" i="45" s="1"/>
  <c r="D76" i="60"/>
  <c r="G76" i="45" s="1"/>
  <c r="D75" i="60"/>
  <c r="G75" i="45" s="1"/>
  <c r="D74" i="60"/>
  <c r="G74" i="45" s="1"/>
  <c r="D73" i="60"/>
  <c r="G73" i="45" s="1"/>
  <c r="D72" i="60"/>
  <c r="G72" i="45" s="1"/>
  <c r="D71" i="60"/>
  <c r="G71" i="45" s="1"/>
  <c r="D70" i="60"/>
  <c r="G70" i="45" s="1"/>
  <c r="D69" i="60"/>
  <c r="G69" i="45" s="1"/>
  <c r="D68" i="60"/>
  <c r="G68" i="45" s="1"/>
  <c r="D67" i="60"/>
  <c r="G67" i="45" s="1"/>
  <c r="D66" i="60"/>
  <c r="G66" i="45" s="1"/>
  <c r="D65" i="60"/>
  <c r="G65" i="45" s="1"/>
  <c r="D64" i="60"/>
  <c r="G64" i="45" s="1"/>
  <c r="D63" i="60"/>
  <c r="G63" i="45" s="1"/>
  <c r="D62" i="60"/>
  <c r="G62" i="45" s="1"/>
  <c r="D61" i="60"/>
  <c r="G61" i="45" s="1"/>
  <c r="D60" i="60"/>
  <c r="G60" i="45" s="1"/>
  <c r="D59" i="60"/>
  <c r="G59" i="45" s="1"/>
  <c r="D58" i="60"/>
  <c r="G58" i="45" s="1"/>
  <c r="D57" i="60"/>
  <c r="G57" i="45" s="1"/>
  <c r="D56" i="60"/>
  <c r="G56" i="45" s="1"/>
  <c r="D55" i="60"/>
  <c r="G55" i="45" s="1"/>
  <c r="D54" i="60"/>
  <c r="G54" i="45" s="1"/>
  <c r="D53" i="60"/>
  <c r="G53" i="45" s="1"/>
  <c r="D52" i="60"/>
  <c r="G52" i="45" s="1"/>
  <c r="D51" i="60"/>
  <c r="G51" i="45" s="1"/>
  <c r="D48" i="60"/>
  <c r="G50" i="45" s="1"/>
  <c r="D47" i="60"/>
  <c r="G49" i="45" s="1"/>
  <c r="D46" i="60"/>
  <c r="G48" i="45" s="1"/>
  <c r="D45" i="60"/>
  <c r="G47" i="45" s="1"/>
  <c r="D44" i="60"/>
  <c r="G46" i="45" s="1"/>
  <c r="D43" i="60"/>
  <c r="G45" i="45" s="1"/>
  <c r="D42" i="60"/>
  <c r="G44" i="45" s="1"/>
  <c r="D41" i="60"/>
  <c r="G43" i="45" s="1"/>
  <c r="D40" i="60"/>
  <c r="G42" i="45" s="1"/>
  <c r="D39" i="60"/>
  <c r="G41" i="45" s="1"/>
  <c r="D38" i="60"/>
  <c r="G40" i="45" s="1"/>
  <c r="D37" i="60"/>
  <c r="G39" i="45" s="1"/>
  <c r="D36" i="60"/>
  <c r="G38" i="45" s="1"/>
  <c r="D35" i="60"/>
  <c r="G37" i="45" s="1"/>
  <c r="D34" i="60"/>
  <c r="G36" i="45" s="1"/>
  <c r="D33" i="60"/>
  <c r="G35" i="45" s="1"/>
  <c r="D32" i="60"/>
  <c r="G34" i="45" s="1"/>
  <c r="D50" i="60"/>
  <c r="G33" i="45" s="1"/>
  <c r="D49" i="60"/>
  <c r="G32" i="45" s="1"/>
  <c r="D31" i="60"/>
  <c r="G31" i="45" s="1"/>
  <c r="D30" i="60"/>
  <c r="G30" i="45" s="1"/>
  <c r="D29" i="60"/>
  <c r="G29" i="45" s="1"/>
  <c r="D28" i="60"/>
  <c r="G28" i="45" s="1"/>
  <c r="D27" i="60"/>
  <c r="G27" i="45" s="1"/>
  <c r="D26" i="60"/>
  <c r="G26" i="45" s="1"/>
  <c r="D25" i="60"/>
  <c r="G25" i="45" s="1"/>
  <c r="D24" i="60"/>
  <c r="G24" i="45" s="1"/>
  <c r="D23" i="60"/>
  <c r="G23" i="45" s="1"/>
  <c r="D22" i="60"/>
  <c r="G22" i="45" s="1"/>
  <c r="D21" i="60"/>
  <c r="G21" i="45" s="1"/>
  <c r="D20" i="60"/>
  <c r="G20" i="45" s="1"/>
  <c r="D19" i="60"/>
  <c r="G19" i="45" s="1"/>
  <c r="D18" i="60"/>
  <c r="G18" i="45" s="1"/>
  <c r="D17" i="60"/>
  <c r="G17" i="45" s="1"/>
  <c r="D16" i="60"/>
  <c r="G16" i="45" s="1"/>
  <c r="D15" i="60"/>
  <c r="G15" i="45" s="1"/>
  <c r="D14" i="60"/>
  <c r="G14" i="45" s="1"/>
  <c r="G12" i="60"/>
  <c r="D13" i="60"/>
  <c r="G13" i="45" s="1"/>
  <c r="G11" i="60"/>
  <c r="D12" i="60"/>
  <c r="G12" i="45" s="1"/>
  <c r="D11" i="60"/>
  <c r="G11" i="45" s="1"/>
  <c r="G10" i="60"/>
  <c r="D10" i="60"/>
  <c r="G10" i="45" s="1"/>
  <c r="G9" i="60"/>
  <c r="D9" i="60"/>
  <c r="G9" i="45" s="1"/>
  <c r="G8" i="60"/>
  <c r="D8" i="60"/>
  <c r="G8" i="45" s="1"/>
  <c r="G7" i="60"/>
  <c r="D7" i="60"/>
  <c r="G7" i="45" s="1"/>
  <c r="D6" i="60"/>
  <c r="G6" i="45" s="1"/>
  <c r="D5" i="60"/>
  <c r="G5" i="45" s="1"/>
  <c r="D4" i="60"/>
  <c r="G4" i="45" s="1"/>
  <c r="D3" i="60"/>
  <c r="G3" i="45" s="1"/>
  <c r="G4" i="64" l="1"/>
  <c r="G3" i="64"/>
  <c r="J3" i="45" a="1"/>
  <c r="J3" i="45" s="1"/>
  <c r="F3" i="45" a="1"/>
  <c r="F3" i="45" s="1"/>
  <c r="G4" i="61"/>
  <c r="G3" i="61"/>
  <c r="I4" i="45" s="1"/>
  <c r="G3" i="60"/>
  <c r="E4" i="45" s="1"/>
  <c r="G4" i="60"/>
  <c r="C73" i="45" l="1"/>
  <c r="C74" i="45"/>
  <c r="C75" i="45"/>
  <c r="C76" i="45"/>
  <c r="C77" i="45"/>
  <c r="C78" i="45"/>
  <c r="C79" i="45"/>
  <c r="C80" i="45"/>
  <c r="C81" i="45"/>
  <c r="C82" i="45"/>
  <c r="C83" i="45"/>
  <c r="C84" i="45"/>
  <c r="C85" i="45"/>
  <c r="C86" i="45"/>
  <c r="C87" i="45"/>
  <c r="C88" i="45"/>
  <c r="C89" i="45"/>
  <c r="C90" i="45"/>
  <c r="C91" i="45"/>
  <c r="C92" i="45"/>
  <c r="C93" i="45"/>
  <c r="C94" i="45"/>
  <c r="C95" i="45"/>
  <c r="C96" i="45"/>
  <c r="C97" i="45"/>
  <c r="C98" i="45"/>
  <c r="C99" i="45"/>
  <c r="C100" i="45"/>
  <c r="C101" i="45"/>
  <c r="C102" i="45"/>
  <c r="C103" i="45"/>
  <c r="C104" i="45"/>
  <c r="C105" i="45"/>
  <c r="C106" i="45"/>
  <c r="C107" i="45"/>
  <c r="C108" i="45"/>
  <c r="C109" i="45"/>
  <c r="C110" i="45"/>
  <c r="C111" i="45"/>
  <c r="C112" i="45"/>
  <c r="C113" i="45"/>
  <c r="C114" i="45"/>
  <c r="C115" i="45"/>
  <c r="C116" i="45"/>
  <c r="C117" i="45"/>
  <c r="C118" i="45"/>
  <c r="C119" i="45"/>
  <c r="C120" i="45"/>
  <c r="C121" i="45"/>
  <c r="C122" i="45"/>
  <c r="C123" i="45"/>
  <c r="C124" i="45"/>
  <c r="C125" i="45"/>
  <c r="C126" i="45"/>
  <c r="C127" i="45"/>
  <c r="C128" i="45"/>
  <c r="C129" i="45"/>
  <c r="C130" i="45"/>
  <c r="C131" i="45"/>
  <c r="C132" i="45"/>
  <c r="C133" i="45"/>
  <c r="C134" i="45"/>
  <c r="C135" i="45"/>
  <c r="C136" i="45"/>
  <c r="C137" i="45"/>
  <c r="C138" i="45"/>
  <c r="C139" i="45"/>
  <c r="C140" i="45"/>
  <c r="C141" i="45"/>
  <c r="C142" i="45"/>
  <c r="C36" i="45"/>
  <c r="C34" i="45"/>
  <c r="C35" i="45"/>
  <c r="C143" i="45" l="1"/>
  <c r="C72" i="45"/>
  <c r="C71" i="45"/>
  <c r="C70" i="45"/>
  <c r="C69" i="45"/>
  <c r="C68" i="45"/>
  <c r="C67" i="45"/>
  <c r="C66" i="45"/>
  <c r="C65" i="45"/>
  <c r="C64" i="45"/>
  <c r="C63" i="45"/>
  <c r="C62" i="45"/>
  <c r="C61" i="45"/>
  <c r="C60" i="45"/>
  <c r="C59" i="45"/>
  <c r="C58" i="45"/>
  <c r="C57" i="45"/>
  <c r="C56" i="45"/>
  <c r="C55" i="45"/>
  <c r="C54" i="45"/>
  <c r="C53" i="45"/>
  <c r="C52" i="45"/>
  <c r="C51" i="45"/>
  <c r="C50" i="45"/>
  <c r="C49" i="45"/>
  <c r="C48" i="45"/>
  <c r="C47" i="45"/>
  <c r="C46" i="45"/>
  <c r="C45" i="45"/>
  <c r="C44" i="45"/>
  <c r="C43" i="45"/>
  <c r="C42" i="45"/>
  <c r="C41" i="45"/>
  <c r="C40" i="45"/>
  <c r="C39" i="45"/>
  <c r="C38" i="45"/>
  <c r="C37" i="45"/>
  <c r="C33" i="45"/>
  <c r="C32" i="45"/>
  <c r="C31" i="45"/>
  <c r="C30" i="45"/>
  <c r="C29" i="45"/>
  <c r="C28" i="45"/>
  <c r="C27" i="45"/>
  <c r="C26" i="45"/>
  <c r="C25" i="45"/>
  <c r="C24" i="45"/>
  <c r="C23" i="45"/>
  <c r="C22" i="45"/>
  <c r="C21" i="45"/>
  <c r="C20" i="45"/>
  <c r="C19" i="45"/>
  <c r="C18" i="45"/>
  <c r="C17" i="45"/>
  <c r="C16" i="45"/>
  <c r="C15" i="45"/>
  <c r="C14" i="45"/>
  <c r="C13" i="45"/>
  <c r="C12" i="45"/>
  <c r="C11" i="45"/>
  <c r="C10" i="45"/>
  <c r="C9" i="45"/>
  <c r="C8" i="45"/>
  <c r="C7" i="45"/>
  <c r="C6" i="45"/>
  <c r="C5" i="45"/>
  <c r="C4" i="45"/>
  <c r="C3" i="45"/>
  <c r="G78" i="18"/>
  <c r="G79" i="18"/>
  <c r="G80" i="18"/>
  <c r="G81" i="18"/>
  <c r="G82" i="18"/>
  <c r="G83" i="18"/>
  <c r="G84" i="18"/>
  <c r="G85" i="18"/>
  <c r="G86" i="18"/>
  <c r="B3" i="45" l="1" a="1"/>
  <c r="B3" i="45" s="1"/>
  <c r="A4" i="45"/>
  <c r="S86" i="18"/>
  <c r="S85" i="18"/>
  <c r="S84" i="18"/>
  <c r="S83" i="18"/>
  <c r="S82" i="18"/>
  <c r="S81" i="18"/>
  <c r="S80" i="18"/>
  <c r="S79" i="18"/>
  <c r="S78" i="18"/>
  <c r="S77" i="18"/>
  <c r="S76" i="18"/>
  <c r="S75" i="18"/>
  <c r="S74" i="18"/>
  <c r="S73" i="18"/>
  <c r="S72" i="18"/>
  <c r="S71" i="18"/>
  <c r="S70" i="18"/>
  <c r="S69" i="18"/>
  <c r="S68" i="18"/>
  <c r="S67" i="18"/>
  <c r="S66" i="18"/>
  <c r="S65" i="18"/>
  <c r="S64" i="18"/>
  <c r="S63" i="18"/>
  <c r="S62" i="18"/>
  <c r="S61" i="18"/>
  <c r="S60" i="18"/>
  <c r="S59" i="18"/>
  <c r="S58" i="18"/>
  <c r="S57" i="18"/>
  <c r="S56" i="18"/>
  <c r="S55" i="18"/>
  <c r="S54" i="18"/>
  <c r="S53" i="18"/>
  <c r="S52" i="18"/>
  <c r="S51" i="18"/>
  <c r="S50" i="18"/>
  <c r="S49" i="18"/>
  <c r="S48" i="18"/>
  <c r="S47" i="18"/>
  <c r="S46" i="18"/>
  <c r="S45" i="18"/>
  <c r="S44" i="18"/>
  <c r="S43" i="18"/>
  <c r="S42" i="18"/>
  <c r="S41" i="18"/>
  <c r="S40" i="18"/>
  <c r="S39" i="18"/>
  <c r="S38" i="18"/>
  <c r="S37" i="18"/>
  <c r="S36" i="18"/>
  <c r="S35" i="18"/>
  <c r="S34" i="18"/>
  <c r="S33" i="18"/>
  <c r="S32" i="18"/>
  <c r="S31" i="18"/>
  <c r="S30" i="18"/>
  <c r="S29" i="18"/>
  <c r="S28" i="18"/>
  <c r="S27" i="18"/>
  <c r="S26" i="18"/>
  <c r="S25" i="18"/>
  <c r="S24" i="18"/>
  <c r="S23" i="18"/>
  <c r="S22" i="18"/>
  <c r="S21" i="18"/>
  <c r="S20" i="18"/>
  <c r="S19" i="18"/>
  <c r="S18" i="18"/>
  <c r="S17" i="18"/>
  <c r="S16" i="18"/>
  <c r="S15" i="18"/>
  <c r="S14" i="18"/>
  <c r="S13" i="18"/>
  <c r="S12" i="18"/>
  <c r="S11" i="18"/>
  <c r="S10" i="18"/>
  <c r="S9" i="18"/>
  <c r="S8" i="18"/>
  <c r="S7" i="18"/>
  <c r="S6" i="18"/>
  <c r="S5" i="18"/>
  <c r="S4" i="18"/>
  <c r="W86" i="18"/>
  <c r="W85" i="18"/>
  <c r="W84" i="18"/>
  <c r="W83" i="18"/>
  <c r="W82" i="18"/>
  <c r="W81" i="18"/>
  <c r="W80" i="18"/>
  <c r="W79" i="18"/>
  <c r="W78" i="18"/>
  <c r="D77" i="43"/>
  <c r="W77" i="18" s="1"/>
  <c r="D76" i="43"/>
  <c r="W76" i="18" s="1"/>
  <c r="D75" i="43"/>
  <c r="W75" i="18" s="1"/>
  <c r="D74" i="43"/>
  <c r="W74" i="18" s="1"/>
  <c r="D73" i="43"/>
  <c r="W73" i="18" s="1"/>
  <c r="D72" i="43"/>
  <c r="W72" i="18" s="1"/>
  <c r="D71" i="43"/>
  <c r="W71" i="18" s="1"/>
  <c r="D70" i="43"/>
  <c r="W70" i="18" s="1"/>
  <c r="D69" i="43"/>
  <c r="W69" i="18" s="1"/>
  <c r="D68" i="43"/>
  <c r="W68" i="18" s="1"/>
  <c r="D67" i="43"/>
  <c r="W67" i="18" s="1"/>
  <c r="D66" i="43"/>
  <c r="W66" i="18" s="1"/>
  <c r="D65" i="43"/>
  <c r="W65" i="18" s="1"/>
  <c r="D64" i="43"/>
  <c r="W64" i="18" s="1"/>
  <c r="D63" i="43"/>
  <c r="W63" i="18" s="1"/>
  <c r="D62" i="43"/>
  <c r="W62" i="18" s="1"/>
  <c r="D61" i="43"/>
  <c r="W61" i="18" s="1"/>
  <c r="D60" i="43"/>
  <c r="W60" i="18" s="1"/>
  <c r="D59" i="43"/>
  <c r="W59" i="18" s="1"/>
  <c r="D58" i="43"/>
  <c r="W58" i="18" s="1"/>
  <c r="D57" i="43"/>
  <c r="W57" i="18" s="1"/>
  <c r="D56" i="43"/>
  <c r="W56" i="18" s="1"/>
  <c r="D55" i="43"/>
  <c r="W55" i="18" s="1"/>
  <c r="D54" i="43"/>
  <c r="W54" i="18" s="1"/>
  <c r="D53" i="43"/>
  <c r="W53" i="18" s="1"/>
  <c r="D52" i="43"/>
  <c r="W52" i="18" s="1"/>
  <c r="D51" i="43"/>
  <c r="W51" i="18" s="1"/>
  <c r="D50" i="43"/>
  <c r="W50" i="18" s="1"/>
  <c r="D49" i="43"/>
  <c r="W49" i="18" s="1"/>
  <c r="D48" i="43"/>
  <c r="W48" i="18" s="1"/>
  <c r="D47" i="43"/>
  <c r="W47" i="18" s="1"/>
  <c r="D46" i="43"/>
  <c r="W46" i="18" s="1"/>
  <c r="D45" i="43"/>
  <c r="W45" i="18" s="1"/>
  <c r="D44" i="43"/>
  <c r="W44" i="18" s="1"/>
  <c r="D43" i="43"/>
  <c r="W43" i="18" s="1"/>
  <c r="D42" i="43"/>
  <c r="W42" i="18" s="1"/>
  <c r="D41" i="43"/>
  <c r="W41" i="18" s="1"/>
  <c r="D40" i="43"/>
  <c r="W40" i="18" s="1"/>
  <c r="D39" i="43"/>
  <c r="W39" i="18" s="1"/>
  <c r="D38" i="43"/>
  <c r="W38" i="18" s="1"/>
  <c r="D37" i="43"/>
  <c r="W37" i="18" s="1"/>
  <c r="D36" i="43"/>
  <c r="W36" i="18" s="1"/>
  <c r="D35" i="43"/>
  <c r="W35" i="18" s="1"/>
  <c r="D34" i="43"/>
  <c r="W34" i="18" s="1"/>
  <c r="D33" i="43"/>
  <c r="W33" i="18" s="1"/>
  <c r="D32" i="43"/>
  <c r="W32" i="18" s="1"/>
  <c r="D31" i="43"/>
  <c r="W31" i="18" s="1"/>
  <c r="D30" i="43"/>
  <c r="W30" i="18" s="1"/>
  <c r="D29" i="43"/>
  <c r="W29" i="18" s="1"/>
  <c r="D28" i="43"/>
  <c r="W28" i="18" s="1"/>
  <c r="D27" i="43"/>
  <c r="W27" i="18" s="1"/>
  <c r="D26" i="43"/>
  <c r="W26" i="18" s="1"/>
  <c r="D25" i="43"/>
  <c r="W25" i="18" s="1"/>
  <c r="D24" i="43"/>
  <c r="W24" i="18" s="1"/>
  <c r="D23" i="43"/>
  <c r="W23" i="18" s="1"/>
  <c r="D22" i="43"/>
  <c r="W22" i="18" s="1"/>
  <c r="D21" i="43"/>
  <c r="W21" i="18" s="1"/>
  <c r="D20" i="43"/>
  <c r="W20" i="18" s="1"/>
  <c r="D19" i="43"/>
  <c r="W19" i="18" s="1"/>
  <c r="D18" i="43"/>
  <c r="W18" i="18" s="1"/>
  <c r="D17" i="43"/>
  <c r="W17" i="18" s="1"/>
  <c r="D16" i="43"/>
  <c r="W16" i="18" s="1"/>
  <c r="D15" i="43"/>
  <c r="W15" i="18" s="1"/>
  <c r="D14" i="43"/>
  <c r="W14" i="18" s="1"/>
  <c r="D13" i="43"/>
  <c r="W13" i="18" s="1"/>
  <c r="G12" i="43"/>
  <c r="D12" i="43"/>
  <c r="W12" i="18" s="1"/>
  <c r="G11" i="43"/>
  <c r="D11" i="43"/>
  <c r="W11" i="18" s="1"/>
  <c r="G10" i="43"/>
  <c r="D10" i="43"/>
  <c r="W10" i="18" s="1"/>
  <c r="G9" i="43"/>
  <c r="D9" i="43"/>
  <c r="W9" i="18" s="1"/>
  <c r="G8" i="43"/>
  <c r="D8" i="43"/>
  <c r="W8" i="18" s="1"/>
  <c r="G7" i="43"/>
  <c r="D7" i="43"/>
  <c r="W7" i="18" s="1"/>
  <c r="D6" i="43"/>
  <c r="W6" i="18" s="1"/>
  <c r="D5" i="43"/>
  <c r="W5" i="18" s="1"/>
  <c r="D4" i="43"/>
  <c r="W4" i="18" s="1"/>
  <c r="D3" i="43"/>
  <c r="W3" i="18" s="1"/>
  <c r="K86" i="18"/>
  <c r="K85" i="18"/>
  <c r="K84" i="18"/>
  <c r="K83" i="18"/>
  <c r="K82" i="18"/>
  <c r="K81" i="18"/>
  <c r="K80" i="18"/>
  <c r="K79" i="18"/>
  <c r="K78" i="18"/>
  <c r="K77" i="18"/>
  <c r="K76" i="18"/>
  <c r="K75" i="18"/>
  <c r="K74" i="18"/>
  <c r="K73" i="18"/>
  <c r="K72" i="18"/>
  <c r="K71" i="18"/>
  <c r="K70" i="18"/>
  <c r="K69" i="18"/>
  <c r="K68" i="18"/>
  <c r="K67" i="18"/>
  <c r="K66" i="18"/>
  <c r="K65" i="18"/>
  <c r="K64" i="18"/>
  <c r="K63" i="18"/>
  <c r="K62" i="18"/>
  <c r="K61" i="18"/>
  <c r="K60" i="18"/>
  <c r="K59" i="18"/>
  <c r="K58" i="18"/>
  <c r="K57" i="18"/>
  <c r="K56" i="18"/>
  <c r="K55" i="18"/>
  <c r="K54" i="18"/>
  <c r="K53" i="18"/>
  <c r="K52" i="18"/>
  <c r="K51" i="18"/>
  <c r="K50" i="18"/>
  <c r="K49" i="18"/>
  <c r="K48" i="18"/>
  <c r="K47" i="18"/>
  <c r="K46" i="18"/>
  <c r="K45" i="18"/>
  <c r="K44" i="18"/>
  <c r="K43" i="18"/>
  <c r="K42" i="18"/>
  <c r="K41" i="18"/>
  <c r="K40" i="18"/>
  <c r="K39" i="18"/>
  <c r="K38" i="18"/>
  <c r="K37" i="18"/>
  <c r="K36" i="18"/>
  <c r="K35" i="18"/>
  <c r="K34" i="18"/>
  <c r="K33" i="18"/>
  <c r="K32" i="18"/>
  <c r="K31" i="18"/>
  <c r="K30" i="18"/>
  <c r="K29" i="18"/>
  <c r="K28" i="18"/>
  <c r="K27" i="18"/>
  <c r="K26" i="18"/>
  <c r="K25" i="18"/>
  <c r="K24" i="18"/>
  <c r="K23" i="18"/>
  <c r="K22" i="18"/>
  <c r="K21" i="18"/>
  <c r="K20" i="18"/>
  <c r="K19" i="18"/>
  <c r="K18" i="18"/>
  <c r="K17" i="18"/>
  <c r="K16" i="18"/>
  <c r="K15" i="18"/>
  <c r="K14" i="18"/>
  <c r="K13" i="18"/>
  <c r="K12" i="18"/>
  <c r="K11" i="18"/>
  <c r="K10" i="18"/>
  <c r="K9" i="18"/>
  <c r="K8" i="18"/>
  <c r="K7" i="18"/>
  <c r="K6" i="18"/>
  <c r="K5" i="18"/>
  <c r="K4" i="18"/>
  <c r="K3" i="18"/>
  <c r="D77" i="41"/>
  <c r="G77" i="18" s="1"/>
  <c r="D76" i="41"/>
  <c r="G76" i="18" s="1"/>
  <c r="D75" i="41"/>
  <c r="G75" i="18" s="1"/>
  <c r="D74" i="41"/>
  <c r="G74" i="18" s="1"/>
  <c r="D73" i="41"/>
  <c r="G73" i="18" s="1"/>
  <c r="D72" i="41"/>
  <c r="G72" i="18" s="1"/>
  <c r="D71" i="41"/>
  <c r="G71" i="18" s="1"/>
  <c r="D70" i="41"/>
  <c r="G70" i="18" s="1"/>
  <c r="D69" i="41"/>
  <c r="G69" i="18" s="1"/>
  <c r="D68" i="41"/>
  <c r="G68" i="18" s="1"/>
  <c r="D67" i="41"/>
  <c r="G67" i="18" s="1"/>
  <c r="D66" i="41"/>
  <c r="G66" i="18" s="1"/>
  <c r="D65" i="41"/>
  <c r="G65" i="18" s="1"/>
  <c r="D64" i="41"/>
  <c r="G64" i="18" s="1"/>
  <c r="D63" i="41"/>
  <c r="G63" i="18" s="1"/>
  <c r="D62" i="41"/>
  <c r="G62" i="18" s="1"/>
  <c r="D61" i="41"/>
  <c r="G61" i="18" s="1"/>
  <c r="D60" i="41"/>
  <c r="G60" i="18" s="1"/>
  <c r="D59" i="41"/>
  <c r="G59" i="18" s="1"/>
  <c r="D58" i="41"/>
  <c r="G58" i="18" s="1"/>
  <c r="D57" i="41"/>
  <c r="G57" i="18" s="1"/>
  <c r="D56" i="41"/>
  <c r="G56" i="18" s="1"/>
  <c r="D55" i="41"/>
  <c r="G55" i="18" s="1"/>
  <c r="D54" i="41"/>
  <c r="G54" i="18" s="1"/>
  <c r="D53" i="41"/>
  <c r="G53" i="18" s="1"/>
  <c r="D52" i="41"/>
  <c r="G52" i="18" s="1"/>
  <c r="D51" i="41"/>
  <c r="G51" i="18" s="1"/>
  <c r="D50" i="41"/>
  <c r="G50" i="18" s="1"/>
  <c r="D49" i="41"/>
  <c r="G49" i="18" s="1"/>
  <c r="D48" i="41"/>
  <c r="G48" i="18" s="1"/>
  <c r="D47" i="41"/>
  <c r="G47" i="18" s="1"/>
  <c r="D46" i="41"/>
  <c r="G46" i="18" s="1"/>
  <c r="D45" i="41"/>
  <c r="G45" i="18" s="1"/>
  <c r="D44" i="41"/>
  <c r="G44" i="18" s="1"/>
  <c r="D43" i="41"/>
  <c r="G43" i="18" s="1"/>
  <c r="D42" i="41"/>
  <c r="G42" i="18" s="1"/>
  <c r="D41" i="41"/>
  <c r="G41" i="18" s="1"/>
  <c r="D40" i="41"/>
  <c r="G40" i="18" s="1"/>
  <c r="D39" i="41"/>
  <c r="G39" i="18" s="1"/>
  <c r="D38" i="41"/>
  <c r="G38" i="18" s="1"/>
  <c r="D37" i="41"/>
  <c r="G37" i="18" s="1"/>
  <c r="D36" i="41"/>
  <c r="G36" i="18" s="1"/>
  <c r="D35" i="41"/>
  <c r="G35" i="18" s="1"/>
  <c r="D34" i="41"/>
  <c r="G34" i="18" s="1"/>
  <c r="D33" i="41"/>
  <c r="G33" i="18" s="1"/>
  <c r="D32" i="41"/>
  <c r="G32" i="18" s="1"/>
  <c r="D31" i="41"/>
  <c r="G31" i="18" s="1"/>
  <c r="D30" i="41"/>
  <c r="G30" i="18" s="1"/>
  <c r="D29" i="41"/>
  <c r="G29" i="18" s="1"/>
  <c r="D28" i="41"/>
  <c r="G28" i="18" s="1"/>
  <c r="D27" i="41"/>
  <c r="G27" i="18" s="1"/>
  <c r="D26" i="41"/>
  <c r="G26" i="18" s="1"/>
  <c r="D25" i="41"/>
  <c r="G25" i="18" s="1"/>
  <c r="D24" i="41"/>
  <c r="G24" i="18" s="1"/>
  <c r="D23" i="41"/>
  <c r="G23" i="18" s="1"/>
  <c r="D22" i="41"/>
  <c r="G22" i="18" s="1"/>
  <c r="D21" i="41"/>
  <c r="G21" i="18" s="1"/>
  <c r="D20" i="41"/>
  <c r="G20" i="18" s="1"/>
  <c r="D19" i="41"/>
  <c r="G19" i="18" s="1"/>
  <c r="D18" i="41"/>
  <c r="G18" i="18" s="1"/>
  <c r="D17" i="41"/>
  <c r="G17" i="18" s="1"/>
  <c r="D16" i="41"/>
  <c r="G16" i="18" s="1"/>
  <c r="D15" i="41"/>
  <c r="G15" i="18" s="1"/>
  <c r="D14" i="41"/>
  <c r="G14" i="18" s="1"/>
  <c r="G13" i="41"/>
  <c r="D13" i="41"/>
  <c r="G13" i="18" s="1"/>
  <c r="G12" i="41"/>
  <c r="D12" i="41"/>
  <c r="G12" i="18" s="1"/>
  <c r="G11" i="41"/>
  <c r="D11" i="41"/>
  <c r="G11" i="18" s="1"/>
  <c r="G10" i="41"/>
  <c r="D10" i="41"/>
  <c r="G10" i="18" s="1"/>
  <c r="G9" i="41"/>
  <c r="D9" i="41"/>
  <c r="G9" i="18" s="1"/>
  <c r="G8" i="41"/>
  <c r="D8" i="41"/>
  <c r="G8" i="18" s="1"/>
  <c r="G7" i="41"/>
  <c r="D7" i="41"/>
  <c r="G7" i="18" s="1"/>
  <c r="D6" i="41"/>
  <c r="G6" i="18" s="1"/>
  <c r="D5" i="41"/>
  <c r="G5" i="18" s="1"/>
  <c r="D4" i="41"/>
  <c r="G4" i="18" s="1"/>
  <c r="D3" i="41"/>
  <c r="G3" i="18" s="1"/>
  <c r="C86" i="18"/>
  <c r="C85" i="18"/>
  <c r="C84" i="18"/>
  <c r="C83" i="18"/>
  <c r="C82" i="18"/>
  <c r="C81" i="18"/>
  <c r="C80" i="18"/>
  <c r="C79" i="18"/>
  <c r="C78" i="18"/>
  <c r="D77" i="40"/>
  <c r="C77" i="18" s="1"/>
  <c r="D76" i="40"/>
  <c r="C76" i="18" s="1"/>
  <c r="D75" i="40"/>
  <c r="C75" i="18" s="1"/>
  <c r="D74" i="40"/>
  <c r="C74" i="18" s="1"/>
  <c r="D73" i="40"/>
  <c r="C73" i="18" s="1"/>
  <c r="D72" i="40"/>
  <c r="C72" i="18" s="1"/>
  <c r="D71" i="40"/>
  <c r="C71" i="18" s="1"/>
  <c r="D70" i="40"/>
  <c r="C70" i="18" s="1"/>
  <c r="D69" i="40"/>
  <c r="C69" i="18" s="1"/>
  <c r="D68" i="40"/>
  <c r="C68" i="18" s="1"/>
  <c r="D67" i="40"/>
  <c r="C67" i="18" s="1"/>
  <c r="D66" i="40"/>
  <c r="C66" i="18" s="1"/>
  <c r="D65" i="40"/>
  <c r="C65" i="18" s="1"/>
  <c r="D64" i="40"/>
  <c r="C64" i="18" s="1"/>
  <c r="D63" i="40"/>
  <c r="C63" i="18" s="1"/>
  <c r="D62" i="40"/>
  <c r="C62" i="18" s="1"/>
  <c r="D61" i="40"/>
  <c r="C61" i="18" s="1"/>
  <c r="D60" i="40"/>
  <c r="C60" i="18" s="1"/>
  <c r="D59" i="40"/>
  <c r="C59" i="18" s="1"/>
  <c r="D58" i="40"/>
  <c r="C58" i="18" s="1"/>
  <c r="D57" i="40"/>
  <c r="C57" i="18" s="1"/>
  <c r="D56" i="40"/>
  <c r="C56" i="18" s="1"/>
  <c r="D55" i="40"/>
  <c r="C55" i="18" s="1"/>
  <c r="D54" i="40"/>
  <c r="C54" i="18" s="1"/>
  <c r="D53" i="40"/>
  <c r="C53" i="18" s="1"/>
  <c r="D52" i="40"/>
  <c r="C52" i="18" s="1"/>
  <c r="D51" i="40"/>
  <c r="C51" i="18" s="1"/>
  <c r="D50" i="40"/>
  <c r="C50" i="18" s="1"/>
  <c r="D49" i="40"/>
  <c r="C49" i="18" s="1"/>
  <c r="D48" i="40"/>
  <c r="C48" i="18" s="1"/>
  <c r="D47" i="40"/>
  <c r="C47" i="18" s="1"/>
  <c r="D46" i="40"/>
  <c r="C46" i="18" s="1"/>
  <c r="D45" i="40"/>
  <c r="C45" i="18" s="1"/>
  <c r="D44" i="40"/>
  <c r="C44" i="18" s="1"/>
  <c r="D43" i="40"/>
  <c r="C43" i="18" s="1"/>
  <c r="D42" i="40"/>
  <c r="C42" i="18" s="1"/>
  <c r="D41" i="40"/>
  <c r="C41" i="18" s="1"/>
  <c r="D40" i="40"/>
  <c r="C40" i="18" s="1"/>
  <c r="D39" i="40"/>
  <c r="C39" i="18" s="1"/>
  <c r="D38" i="40"/>
  <c r="C38" i="18" s="1"/>
  <c r="D37" i="40"/>
  <c r="C37" i="18" s="1"/>
  <c r="D36" i="40"/>
  <c r="C36" i="18" s="1"/>
  <c r="D35" i="40"/>
  <c r="C35" i="18" s="1"/>
  <c r="D34" i="40"/>
  <c r="C34" i="18" s="1"/>
  <c r="D33" i="40"/>
  <c r="C33" i="18" s="1"/>
  <c r="D32" i="40"/>
  <c r="C32" i="18" s="1"/>
  <c r="D31" i="40"/>
  <c r="C31" i="18" s="1"/>
  <c r="D30" i="40"/>
  <c r="C30" i="18" s="1"/>
  <c r="D29" i="40"/>
  <c r="C29" i="18" s="1"/>
  <c r="D28" i="40"/>
  <c r="C28" i="18" s="1"/>
  <c r="D27" i="40"/>
  <c r="C27" i="18" s="1"/>
  <c r="D26" i="40"/>
  <c r="C26" i="18" s="1"/>
  <c r="D25" i="40"/>
  <c r="C25" i="18" s="1"/>
  <c r="D24" i="40"/>
  <c r="C24" i="18" s="1"/>
  <c r="D23" i="40"/>
  <c r="C23" i="18" s="1"/>
  <c r="D22" i="40"/>
  <c r="C22" i="18" s="1"/>
  <c r="D21" i="40"/>
  <c r="C21" i="18" s="1"/>
  <c r="D20" i="40"/>
  <c r="C20" i="18" s="1"/>
  <c r="D19" i="40"/>
  <c r="C19" i="18" s="1"/>
  <c r="D18" i="40"/>
  <c r="C18" i="18" s="1"/>
  <c r="D17" i="40"/>
  <c r="C17" i="18" s="1"/>
  <c r="D16" i="40"/>
  <c r="C16" i="18" s="1"/>
  <c r="D15" i="40"/>
  <c r="C15" i="18" s="1"/>
  <c r="D14" i="40"/>
  <c r="C14" i="18" s="1"/>
  <c r="D13" i="40"/>
  <c r="C13" i="18" s="1"/>
  <c r="G12" i="40"/>
  <c r="D12" i="40"/>
  <c r="C12" i="18" s="1"/>
  <c r="G11" i="40"/>
  <c r="D11" i="40"/>
  <c r="C11" i="18" s="1"/>
  <c r="G10" i="40"/>
  <c r="D10" i="40"/>
  <c r="C10" i="18" s="1"/>
  <c r="G9" i="40"/>
  <c r="D9" i="40"/>
  <c r="C9" i="18" s="1"/>
  <c r="G8" i="40"/>
  <c r="D8" i="40"/>
  <c r="C8" i="18" s="1"/>
  <c r="G7" i="40"/>
  <c r="D7" i="40"/>
  <c r="C7" i="18" s="1"/>
  <c r="D6" i="40"/>
  <c r="C6" i="18" s="1"/>
  <c r="D5" i="40"/>
  <c r="C5" i="18" s="1"/>
  <c r="D4" i="40"/>
  <c r="C4" i="18" s="1"/>
  <c r="D3" i="40"/>
  <c r="C3" i="18" s="1"/>
  <c r="O70" i="18"/>
  <c r="O78" i="18"/>
  <c r="O79" i="18"/>
  <c r="O80" i="18"/>
  <c r="O81" i="18"/>
  <c r="O82" i="18"/>
  <c r="O83" i="18"/>
  <c r="O84" i="18"/>
  <c r="O85" i="18"/>
  <c r="O86" i="18"/>
  <c r="O87" i="18"/>
  <c r="O88" i="18"/>
  <c r="O63" i="18"/>
  <c r="O64" i="18"/>
  <c r="O65" i="18"/>
  <c r="O66" i="18"/>
  <c r="O67" i="18"/>
  <c r="O68" i="18"/>
  <c r="O69" i="18"/>
  <c r="O71" i="18"/>
  <c r="O72" i="18"/>
  <c r="O73" i="18"/>
  <c r="O74" i="18"/>
  <c r="O75" i="18"/>
  <c r="O76" i="18"/>
  <c r="O77" i="18"/>
  <c r="G3" i="41" l="1"/>
  <c r="E4" i="18" s="1"/>
  <c r="Q4" i="18"/>
  <c r="S3" i="18"/>
  <c r="G4" i="43"/>
  <c r="G3" i="43"/>
  <c r="U4" i="18" s="1"/>
  <c r="G4" i="41"/>
  <c r="G4" i="40"/>
  <c r="G3" i="40"/>
  <c r="A4" i="18" s="1"/>
  <c r="I4" i="18"/>
  <c r="X1" i="19"/>
  <c r="W1" i="19"/>
  <c r="V1" i="19"/>
  <c r="U1" i="19"/>
  <c r="S1" i="19"/>
  <c r="R1" i="19"/>
  <c r="Q1" i="19"/>
  <c r="P1" i="19"/>
  <c r="N1" i="19"/>
  <c r="C10" i="19" s="1"/>
  <c r="M1" i="19"/>
  <c r="C9" i="19" s="1"/>
  <c r="L1" i="19"/>
  <c r="C8" i="19" s="1"/>
  <c r="K1" i="19"/>
  <c r="H1" i="19"/>
  <c r="C5" i="19" s="1"/>
  <c r="G1" i="19"/>
  <c r="C4" i="19" s="1"/>
  <c r="F1" i="19"/>
  <c r="C3" i="19" s="1"/>
  <c r="E1" i="19"/>
  <c r="A8" i="19"/>
  <c r="A3" i="19"/>
  <c r="C2" i="19" l="1"/>
  <c r="C7" i="19"/>
  <c r="B1" i="19" l="1"/>
  <c r="R3" i="18" l="1" a="1"/>
  <c r="R3" i="18" s="1"/>
  <c r="O62" i="18" l="1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5" i="18"/>
  <c r="O44" i="18"/>
  <c r="O43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M4" i="18" l="1"/>
  <c r="V3" i="18" l="1" a="1"/>
  <c r="V3" i="18" s="1"/>
  <c r="N3" i="18" a="1"/>
  <c r="N3" i="18" s="1"/>
  <c r="J3" i="18" l="1" a="1"/>
  <c r="J3" i="18" s="1"/>
  <c r="F3" i="18" l="1" a="1"/>
  <c r="F3" i="18" s="1"/>
  <c r="B3" i="18" a="1"/>
  <c r="B3" i="18" s="1"/>
  <c r="J86" i="45"/>
  <c r="J85" i="45"/>
  <c r="J84" i="45"/>
  <c r="J83" i="45"/>
  <c r="J82" i="45"/>
  <c r="J81" i="45"/>
  <c r="J80" i="45"/>
  <c r="J79" i="45"/>
  <c r="J78" i="45"/>
  <c r="J77" i="45"/>
  <c r="J76" i="45"/>
  <c r="J75" i="45"/>
  <c r="J74" i="45"/>
  <c r="J73" i="45"/>
  <c r="J72" i="45"/>
  <c r="J71" i="45"/>
  <c r="J70" i="45"/>
  <c r="J69" i="45"/>
  <c r="J68" i="45"/>
  <c r="J67" i="45"/>
  <c r="J66" i="45"/>
  <c r="J65" i="45"/>
  <c r="J64" i="45"/>
  <c r="J63" i="45"/>
  <c r="J62" i="45"/>
  <c r="J61" i="45"/>
  <c r="J60" i="45"/>
  <c r="J59" i="45"/>
  <c r="J58" i="45"/>
  <c r="J57" i="45"/>
  <c r="J56" i="45"/>
  <c r="J55" i="45"/>
  <c r="J54" i="45"/>
  <c r="J53" i="45"/>
  <c r="J52" i="45"/>
  <c r="J51" i="45"/>
  <c r="J50" i="45"/>
  <c r="J49" i="45"/>
  <c r="J48" i="45"/>
  <c r="J47" i="45"/>
  <c r="J46" i="45"/>
  <c r="J45" i="45"/>
  <c r="J44" i="45"/>
  <c r="J43" i="45"/>
  <c r="J42" i="45"/>
  <c r="J41" i="45"/>
  <c r="J40" i="45"/>
  <c r="J39" i="45"/>
  <c r="J38" i="45"/>
  <c r="J37" i="45"/>
  <c r="J36" i="45"/>
  <c r="J35" i="45"/>
  <c r="J34" i="45"/>
  <c r="J33" i="45"/>
  <c r="J32" i="45"/>
  <c r="J31" i="45"/>
  <c r="J30" i="45"/>
  <c r="J29" i="45"/>
  <c r="J28" i="45"/>
  <c r="J27" i="45"/>
  <c r="J26" i="45"/>
  <c r="J25" i="45"/>
  <c r="J24" i="45"/>
  <c r="J23" i="45"/>
  <c r="J22" i="45"/>
  <c r="J21" i="45"/>
  <c r="J20" i="45"/>
  <c r="J19" i="45"/>
  <c r="J18" i="45"/>
  <c r="J17" i="45"/>
  <c r="J16" i="45"/>
  <c r="J15" i="45"/>
  <c r="J14" i="45"/>
  <c r="J13" i="45"/>
  <c r="J12" i="45"/>
  <c r="J11" i="45"/>
  <c r="J10" i="45"/>
  <c r="J9" i="45"/>
  <c r="J8" i="45"/>
  <c r="J7" i="45"/>
  <c r="J6" i="45"/>
  <c r="J5" i="45"/>
  <c r="J4" i="45"/>
  <c r="F86" i="45"/>
  <c r="F85" i="45"/>
  <c r="F84" i="45"/>
  <c r="F83" i="45"/>
  <c r="F82" i="45"/>
  <c r="F81" i="45"/>
  <c r="F80" i="45"/>
  <c r="F79" i="45"/>
  <c r="F78" i="45"/>
  <c r="F77" i="45"/>
  <c r="F76" i="45"/>
  <c r="F75" i="45"/>
  <c r="F74" i="45"/>
  <c r="F73" i="45"/>
  <c r="F72" i="45"/>
  <c r="F71" i="45"/>
  <c r="F70" i="45"/>
  <c r="F69" i="45"/>
  <c r="F68" i="45"/>
  <c r="F67" i="45"/>
  <c r="F66" i="45"/>
  <c r="F65" i="45"/>
  <c r="F64" i="45"/>
  <c r="F63" i="45"/>
  <c r="F62" i="45"/>
  <c r="F61" i="45"/>
  <c r="F60" i="45"/>
  <c r="F59" i="45"/>
  <c r="F58" i="45"/>
  <c r="F57" i="45"/>
  <c r="F56" i="45"/>
  <c r="F55" i="45"/>
  <c r="F54" i="45"/>
  <c r="F53" i="45"/>
  <c r="F52" i="45"/>
  <c r="F51" i="45"/>
  <c r="F50" i="45"/>
  <c r="F49" i="45"/>
  <c r="F48" i="45"/>
  <c r="F47" i="45"/>
  <c r="F46" i="45"/>
  <c r="F45" i="45"/>
  <c r="F44" i="45"/>
  <c r="F43" i="45"/>
  <c r="F42" i="45"/>
  <c r="F41" i="45"/>
  <c r="F40" i="45"/>
  <c r="F39" i="45"/>
  <c r="F38" i="45"/>
  <c r="F37" i="45"/>
  <c r="F36" i="45"/>
  <c r="F35" i="45"/>
  <c r="F34" i="45"/>
  <c r="F33" i="45"/>
  <c r="F32" i="45"/>
  <c r="F31" i="45"/>
  <c r="F30" i="45"/>
  <c r="F29" i="45"/>
  <c r="F28" i="45"/>
  <c r="F27" i="45"/>
  <c r="F26" i="45"/>
  <c r="F25" i="45"/>
  <c r="F24" i="45"/>
  <c r="F23" i="45"/>
  <c r="F22" i="45"/>
  <c r="F21" i="45"/>
  <c r="F20" i="45"/>
  <c r="F19" i="45"/>
  <c r="F18" i="45"/>
  <c r="F17" i="45"/>
  <c r="F16" i="45"/>
  <c r="F15" i="45"/>
  <c r="F14" i="45"/>
  <c r="F13" i="45"/>
  <c r="F12" i="45"/>
  <c r="F11" i="45"/>
  <c r="F10" i="45"/>
  <c r="F9" i="45"/>
  <c r="F8" i="45"/>
  <c r="F7" i="45"/>
  <c r="F6" i="45"/>
  <c r="F5" i="45"/>
  <c r="F4" i="45"/>
  <c r="B86" i="45"/>
  <c r="B85" i="45"/>
  <c r="B84" i="45"/>
  <c r="B83" i="45"/>
  <c r="B82" i="45"/>
  <c r="B81" i="45"/>
  <c r="B80" i="45"/>
  <c r="B79" i="45"/>
  <c r="B78" i="45"/>
  <c r="B77" i="45"/>
  <c r="B76" i="45"/>
  <c r="B75" i="45"/>
  <c r="B74" i="45"/>
  <c r="B73" i="45"/>
  <c r="B72" i="45"/>
  <c r="B71" i="45"/>
  <c r="B70" i="45"/>
  <c r="B69" i="45"/>
  <c r="B68" i="45"/>
  <c r="B67" i="45"/>
  <c r="B66" i="45"/>
  <c r="B65" i="45"/>
  <c r="B64" i="45"/>
  <c r="B63" i="45"/>
  <c r="B62" i="45"/>
  <c r="B61" i="45"/>
  <c r="B60" i="45"/>
  <c r="B59" i="45"/>
  <c r="B58" i="45"/>
  <c r="B57" i="45"/>
  <c r="B56" i="45"/>
  <c r="B55" i="45"/>
  <c r="B54" i="45"/>
  <c r="B53" i="45"/>
  <c r="B52" i="45"/>
  <c r="B51" i="45"/>
  <c r="B50" i="45"/>
  <c r="B49" i="45"/>
  <c r="B48" i="45"/>
  <c r="B47" i="45"/>
  <c r="B46" i="45"/>
  <c r="B45" i="45"/>
  <c r="B44" i="45"/>
  <c r="B43" i="45"/>
  <c r="B42" i="45"/>
  <c r="B41" i="45"/>
  <c r="B40" i="45"/>
  <c r="B39" i="45"/>
  <c r="B38" i="45"/>
  <c r="B37" i="45"/>
  <c r="B36" i="45"/>
  <c r="B35" i="45"/>
  <c r="B34" i="45"/>
  <c r="B33" i="45"/>
  <c r="B32" i="45"/>
  <c r="B31" i="45"/>
  <c r="B30" i="45"/>
  <c r="B29" i="45"/>
  <c r="B28" i="45"/>
  <c r="B27" i="45"/>
  <c r="B26" i="45"/>
  <c r="B25" i="45"/>
  <c r="B24" i="45"/>
  <c r="B23" i="45"/>
  <c r="B22" i="45"/>
  <c r="B21" i="45"/>
  <c r="B20" i="45"/>
  <c r="B19" i="45"/>
  <c r="B18" i="45"/>
  <c r="B17" i="45"/>
  <c r="B16" i="45"/>
  <c r="B15" i="45"/>
  <c r="B14" i="45"/>
  <c r="B13" i="45"/>
  <c r="B12" i="45"/>
  <c r="B11" i="45"/>
  <c r="B10" i="45"/>
  <c r="B9" i="45"/>
  <c r="B8" i="45"/>
  <c r="B7" i="45"/>
  <c r="B6" i="45"/>
  <c r="B5" i="45"/>
  <c r="B4" i="45"/>
  <c r="V86" i="18"/>
  <c r="V85" i="18"/>
  <c r="V84" i="18"/>
  <c r="V83" i="18"/>
  <c r="V82" i="18"/>
  <c r="V81" i="18"/>
  <c r="V80" i="18"/>
  <c r="V79" i="18"/>
  <c r="V78" i="18"/>
  <c r="V77" i="18"/>
  <c r="V76" i="18"/>
  <c r="V75" i="18"/>
  <c r="V74" i="18"/>
  <c r="V73" i="18"/>
  <c r="V72" i="18"/>
  <c r="V71" i="18"/>
  <c r="V70" i="18"/>
  <c r="V69" i="18"/>
  <c r="V68" i="18"/>
  <c r="V67" i="18"/>
  <c r="V66" i="18"/>
  <c r="V65" i="18"/>
  <c r="V64" i="18"/>
  <c r="V63" i="18"/>
  <c r="V62" i="18"/>
  <c r="V61" i="18"/>
  <c r="V60" i="18"/>
  <c r="V59" i="18"/>
  <c r="V58" i="18"/>
  <c r="V57" i="18"/>
  <c r="V56" i="18"/>
  <c r="V55" i="18"/>
  <c r="V54" i="18"/>
  <c r="V53" i="18"/>
  <c r="V52" i="18"/>
  <c r="V51" i="18"/>
  <c r="V50" i="18"/>
  <c r="V49" i="18"/>
  <c r="V48" i="18"/>
  <c r="V47" i="18"/>
  <c r="V46" i="18"/>
  <c r="V45" i="18"/>
  <c r="V44" i="18"/>
  <c r="V43" i="18"/>
  <c r="V42" i="18"/>
  <c r="V41" i="18"/>
  <c r="V40" i="18"/>
  <c r="V39" i="18"/>
  <c r="V38" i="18"/>
  <c r="V37" i="18"/>
  <c r="V36" i="18"/>
  <c r="V35" i="18"/>
  <c r="V34" i="18"/>
  <c r="V33" i="18"/>
  <c r="V32" i="18"/>
  <c r="V31" i="18"/>
  <c r="V30" i="18"/>
  <c r="V29" i="18"/>
  <c r="V28" i="18"/>
  <c r="V27" i="18"/>
  <c r="V26" i="18"/>
  <c r="V25" i="18"/>
  <c r="V24" i="18"/>
  <c r="V23" i="18"/>
  <c r="V22" i="18"/>
  <c r="V21" i="18"/>
  <c r="V20" i="18"/>
  <c r="V19" i="18"/>
  <c r="V18" i="18"/>
  <c r="V17" i="18"/>
  <c r="V16" i="18"/>
  <c r="V15" i="18"/>
  <c r="V14" i="18"/>
  <c r="V13" i="18"/>
  <c r="V12" i="18"/>
  <c r="V11" i="18"/>
  <c r="V10" i="18"/>
  <c r="V9" i="18"/>
  <c r="V8" i="18"/>
  <c r="V7" i="18"/>
  <c r="V6" i="18"/>
  <c r="V5" i="18"/>
  <c r="V4" i="18"/>
  <c r="R86" i="18"/>
  <c r="R85" i="18"/>
  <c r="R84" i="18"/>
  <c r="R83" i="18"/>
  <c r="R82" i="18"/>
  <c r="R81" i="18"/>
  <c r="R80" i="18"/>
  <c r="R79" i="18"/>
  <c r="R78" i="18"/>
  <c r="R77" i="18"/>
  <c r="R76" i="18"/>
  <c r="R75" i="18"/>
  <c r="R74" i="18"/>
  <c r="R73" i="18"/>
  <c r="R72" i="18"/>
  <c r="R71" i="18"/>
  <c r="R70" i="18"/>
  <c r="R69" i="18"/>
  <c r="R68" i="18"/>
  <c r="R67" i="18"/>
  <c r="R66" i="18"/>
  <c r="R65" i="18"/>
  <c r="R64" i="18"/>
  <c r="R63" i="18"/>
  <c r="R62" i="18"/>
  <c r="R61" i="18"/>
  <c r="R60" i="18"/>
  <c r="R59" i="18"/>
  <c r="R58" i="18"/>
  <c r="R57" i="18"/>
  <c r="R56" i="18"/>
  <c r="R55" i="18"/>
  <c r="R54" i="18"/>
  <c r="R53" i="18"/>
  <c r="R52" i="18"/>
  <c r="R51" i="18"/>
  <c r="R50" i="18"/>
  <c r="R49" i="18"/>
  <c r="R48" i="18"/>
  <c r="R47" i="18"/>
  <c r="R46" i="18"/>
  <c r="R45" i="18"/>
  <c r="R44" i="18"/>
  <c r="R43" i="18"/>
  <c r="R42" i="18"/>
  <c r="R41" i="18"/>
  <c r="R40" i="18"/>
  <c r="R39" i="18"/>
  <c r="R38" i="18"/>
  <c r="R37" i="18"/>
  <c r="R36" i="18"/>
  <c r="R35" i="18"/>
  <c r="R34" i="18"/>
  <c r="R33" i="18"/>
  <c r="R32" i="18"/>
  <c r="R31" i="18"/>
  <c r="R30" i="18"/>
  <c r="R29" i="18"/>
  <c r="R28" i="18"/>
  <c r="R27" i="18"/>
  <c r="R26" i="18"/>
  <c r="R25" i="18"/>
  <c r="R24" i="18"/>
  <c r="R23" i="18"/>
  <c r="R22" i="18"/>
  <c r="R21" i="18"/>
  <c r="R20" i="18"/>
  <c r="R19" i="18"/>
  <c r="R18" i="18"/>
  <c r="R17" i="18"/>
  <c r="R16" i="18"/>
  <c r="R15" i="18"/>
  <c r="R14" i="18"/>
  <c r="R13" i="18"/>
  <c r="R12" i="18"/>
  <c r="R11" i="18"/>
  <c r="R10" i="18"/>
  <c r="R9" i="18"/>
  <c r="R8" i="18"/>
  <c r="R7" i="18"/>
  <c r="R6" i="18"/>
  <c r="R5" i="18"/>
  <c r="R4" i="18"/>
  <c r="N86" i="18"/>
  <c r="N85" i="18"/>
  <c r="N84" i="18"/>
  <c r="N83" i="18"/>
  <c r="N82" i="18"/>
  <c r="N81" i="18"/>
  <c r="N80" i="18"/>
  <c r="N79" i="18"/>
  <c r="N78" i="18"/>
  <c r="N77" i="18"/>
  <c r="N76" i="18"/>
  <c r="N75" i="18"/>
  <c r="N74" i="18"/>
  <c r="N73" i="18"/>
  <c r="N72" i="18"/>
  <c r="N71" i="18"/>
  <c r="N70" i="18"/>
  <c r="N69" i="18"/>
  <c r="N68" i="18"/>
  <c r="N67" i="18"/>
  <c r="N66" i="18"/>
  <c r="N65" i="18"/>
  <c r="N64" i="18"/>
  <c r="N63" i="18"/>
  <c r="N62" i="18"/>
  <c r="N61" i="18"/>
  <c r="N60" i="18"/>
  <c r="N59" i="18"/>
  <c r="N58" i="18"/>
  <c r="N57" i="18"/>
  <c r="N56" i="18"/>
  <c r="N55" i="18"/>
  <c r="N54" i="18"/>
  <c r="N53" i="18"/>
  <c r="N52" i="18"/>
  <c r="N51" i="18"/>
  <c r="N50" i="18"/>
  <c r="N49" i="18"/>
  <c r="N48" i="18"/>
  <c r="N47" i="18"/>
  <c r="N46" i="18"/>
  <c r="N45" i="18"/>
  <c r="N44" i="18"/>
  <c r="N43" i="18"/>
  <c r="N42" i="18"/>
  <c r="N41" i="18"/>
  <c r="N40" i="18"/>
  <c r="N39" i="18"/>
  <c r="N38" i="18"/>
  <c r="N37" i="18"/>
  <c r="N36" i="18"/>
  <c r="N35" i="18"/>
  <c r="N34" i="18"/>
  <c r="N33" i="18"/>
  <c r="N32" i="18"/>
  <c r="N31" i="18"/>
  <c r="N30" i="18"/>
  <c r="N29" i="18"/>
  <c r="N28" i="18"/>
  <c r="N27" i="18"/>
  <c r="N26" i="18"/>
  <c r="N25" i="18"/>
  <c r="N24" i="18"/>
  <c r="N23" i="18"/>
  <c r="N22" i="18"/>
  <c r="N21" i="18"/>
  <c r="N20" i="18"/>
  <c r="N19" i="18"/>
  <c r="N18" i="18"/>
  <c r="N17" i="18"/>
  <c r="N16" i="18"/>
  <c r="N15" i="18"/>
  <c r="N14" i="18"/>
  <c r="N13" i="18"/>
  <c r="N12" i="18"/>
  <c r="N11" i="18"/>
  <c r="N10" i="18"/>
  <c r="N9" i="18"/>
  <c r="N8" i="18"/>
  <c r="N7" i="18"/>
  <c r="N6" i="18"/>
  <c r="N5" i="18"/>
  <c r="N4" i="18"/>
  <c r="J86" i="18"/>
  <c r="J85" i="18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J52" i="18"/>
  <c r="J51" i="18"/>
  <c r="J50" i="18"/>
  <c r="J49" i="18"/>
  <c r="J48" i="18"/>
  <c r="J47" i="18"/>
  <c r="J46" i="18"/>
  <c r="J45" i="18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9" i="18"/>
  <c r="J8" i="18"/>
  <c r="J7" i="18"/>
  <c r="J6" i="18"/>
  <c r="J5" i="18"/>
  <c r="J4" i="18"/>
  <c r="F33" i="18" l="1"/>
  <c r="F12" i="18"/>
  <c r="F36" i="18"/>
  <c r="F81" i="18"/>
  <c r="F17" i="18"/>
  <c r="F52" i="18"/>
  <c r="F76" i="18"/>
  <c r="F20" i="18"/>
  <c r="F60" i="18"/>
  <c r="F44" i="18"/>
  <c r="F65" i="18"/>
  <c r="F84" i="18"/>
  <c r="F4" i="18"/>
  <c r="F28" i="18"/>
  <c r="F49" i="18"/>
  <c r="F68" i="18"/>
  <c r="F9" i="18"/>
  <c r="F25" i="18"/>
  <c r="F41" i="18"/>
  <c r="F57" i="18"/>
  <c r="F73" i="18"/>
  <c r="F21" i="18"/>
  <c r="F45" i="18"/>
  <c r="F61" i="18"/>
  <c r="F69" i="18"/>
  <c r="F77" i="18"/>
  <c r="F85" i="18"/>
  <c r="F5" i="18"/>
  <c r="F13" i="18"/>
  <c r="F29" i="18"/>
  <c r="F37" i="18"/>
  <c r="F53" i="18"/>
  <c r="F8" i="18"/>
  <c r="F16" i="18"/>
  <c r="F24" i="18"/>
  <c r="F32" i="18"/>
  <c r="F40" i="18"/>
  <c r="F48" i="18"/>
  <c r="F56" i="18"/>
  <c r="F64" i="18"/>
  <c r="F72" i="18"/>
  <c r="F80" i="18"/>
  <c r="F6" i="18"/>
  <c r="F10" i="18"/>
  <c r="F14" i="18"/>
  <c r="F18" i="18"/>
  <c r="F22" i="18"/>
  <c r="F26" i="18"/>
  <c r="F30" i="18"/>
  <c r="F34" i="18"/>
  <c r="F38" i="18"/>
  <c r="F42" i="18"/>
  <c r="F46" i="18"/>
  <c r="F50" i="18"/>
  <c r="F54" i="18"/>
  <c r="F58" i="18"/>
  <c r="F62" i="18"/>
  <c r="F66" i="18"/>
  <c r="F70" i="18"/>
  <c r="F74" i="18"/>
  <c r="F78" i="18"/>
  <c r="F82" i="18"/>
  <c r="F86" i="18"/>
  <c r="F7" i="18"/>
  <c r="F11" i="18"/>
  <c r="F15" i="18"/>
  <c r="F19" i="18"/>
  <c r="F23" i="18"/>
  <c r="F27" i="18"/>
  <c r="F31" i="18"/>
  <c r="F35" i="18"/>
  <c r="F39" i="18"/>
  <c r="F43" i="18"/>
  <c r="F47" i="18"/>
  <c r="F51" i="18"/>
  <c r="F55" i="18"/>
  <c r="F59" i="18"/>
  <c r="F63" i="18"/>
  <c r="F67" i="18"/>
  <c r="F71" i="18"/>
  <c r="F75" i="18"/>
  <c r="F79" i="18"/>
  <c r="F83" i="18"/>
  <c r="B15" i="18"/>
  <c r="B39" i="18"/>
  <c r="B75" i="18"/>
  <c r="B4" i="18"/>
  <c r="B5" i="18"/>
  <c r="B9" i="18"/>
  <c r="B13" i="18"/>
  <c r="B17" i="18"/>
  <c r="B21" i="18"/>
  <c r="B25" i="18"/>
  <c r="B29" i="18"/>
  <c r="B33" i="18"/>
  <c r="B37" i="18"/>
  <c r="B41" i="18"/>
  <c r="B45" i="18"/>
  <c r="B49" i="18"/>
  <c r="B53" i="18"/>
  <c r="B57" i="18"/>
  <c r="B61" i="18"/>
  <c r="B65" i="18"/>
  <c r="B69" i="18"/>
  <c r="B73" i="18"/>
  <c r="B77" i="18"/>
  <c r="B81" i="18"/>
  <c r="B85" i="18"/>
  <c r="B11" i="18"/>
  <c r="B23" i="18"/>
  <c r="B31" i="18"/>
  <c r="B47" i="18"/>
  <c r="B55" i="18"/>
  <c r="B63" i="18"/>
  <c r="B71" i="18"/>
  <c r="B79" i="18"/>
  <c r="B6" i="18"/>
  <c r="B10" i="18"/>
  <c r="B14" i="18"/>
  <c r="B18" i="18"/>
  <c r="B22" i="18"/>
  <c r="B26" i="18"/>
  <c r="B30" i="18"/>
  <c r="B34" i="18"/>
  <c r="B38" i="18"/>
  <c r="B42" i="18"/>
  <c r="B46" i="18"/>
  <c r="B50" i="18"/>
  <c r="B54" i="18"/>
  <c r="B58" i="18"/>
  <c r="B62" i="18"/>
  <c r="B66" i="18"/>
  <c r="B70" i="18"/>
  <c r="B74" i="18"/>
  <c r="B78" i="18"/>
  <c r="B82" i="18"/>
  <c r="B86" i="18"/>
  <c r="B7" i="18"/>
  <c r="B19" i="18"/>
  <c r="B27" i="18"/>
  <c r="B35" i="18"/>
  <c r="B43" i="18"/>
  <c r="B51" i="18"/>
  <c r="B59" i="18"/>
  <c r="B67" i="18"/>
  <c r="B83" i="18"/>
  <c r="B8" i="18"/>
  <c r="B12" i="18"/>
  <c r="B16" i="18"/>
  <c r="B20" i="18"/>
  <c r="B24" i="18"/>
  <c r="B28" i="18"/>
  <c r="B32" i="18"/>
  <c r="B36" i="18"/>
  <c r="B40" i="18"/>
  <c r="B44" i="18"/>
  <c r="B48" i="18"/>
  <c r="B52" i="18"/>
  <c r="B56" i="18"/>
  <c r="B60" i="18"/>
  <c r="B64" i="18"/>
  <c r="B68" i="18"/>
  <c r="B72" i="18"/>
  <c r="B76" i="18"/>
  <c r="B80" i="18"/>
  <c r="B84" i="18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<sst xmlns="http://schemas.openxmlformats.org/spreadsheetml/2006/main" count="1404" uniqueCount="178">
  <si>
    <t>Função</t>
  </si>
  <si>
    <t>Terreno</t>
  </si>
  <si>
    <t>Island</t>
  </si>
  <si>
    <t>Funções</t>
  </si>
  <si>
    <t>Draw</t>
  </si>
  <si>
    <t>Mountain</t>
  </si>
  <si>
    <t>Counterspell</t>
  </si>
  <si>
    <t>Carta Final</t>
  </si>
  <si>
    <t>Carta Atual</t>
  </si>
  <si>
    <t>Carta Ideal</t>
  </si>
  <si>
    <t>Mudanças Faltando</t>
  </si>
  <si>
    <t>Total de Cartas</t>
  </si>
  <si>
    <t>Swamp</t>
  </si>
  <si>
    <t>Forest</t>
  </si>
  <si>
    <t>Controle</t>
  </si>
  <si>
    <t>Pump</t>
  </si>
  <si>
    <t>Bojuka Bog</t>
  </si>
  <si>
    <t>Combate</t>
  </si>
  <si>
    <t>Win</t>
  </si>
  <si>
    <t>Doom Blade</t>
  </si>
  <si>
    <t>Plains</t>
  </si>
  <si>
    <t>Kabira Crossroads</t>
  </si>
  <si>
    <t>Vida</t>
  </si>
  <si>
    <t>Blink</t>
  </si>
  <si>
    <t>Scoured Barrens</t>
  </si>
  <si>
    <t>Whitemane Lion</t>
  </si>
  <si>
    <t>Soul Warden</t>
  </si>
  <si>
    <t>Soul's Attendant</t>
  </si>
  <si>
    <t>Suture Priest</t>
  </si>
  <si>
    <t>Marauding Blight-Priest</t>
  </si>
  <si>
    <t>Fractius</t>
  </si>
  <si>
    <t>Predatory Sliver</t>
  </si>
  <si>
    <t>Sinew Sliver</t>
  </si>
  <si>
    <t>Total</t>
  </si>
  <si>
    <t>Total:</t>
  </si>
  <si>
    <t>Legacy</t>
  </si>
  <si>
    <t>Overrun</t>
  </si>
  <si>
    <t>Total Lojas:</t>
  </si>
  <si>
    <t>Secluded Steppe</t>
  </si>
  <si>
    <t>Journey to Nowhere</t>
  </si>
  <si>
    <t>Mulldrifter</t>
  </si>
  <si>
    <t>Bojuka Brigand</t>
  </si>
  <si>
    <t>Clérigo de Ondu</t>
  </si>
  <si>
    <t>Coorte Irregular</t>
  </si>
  <si>
    <t>Enviada Vampira</t>
  </si>
  <si>
    <t>Maga das Correntes de Zulaport</t>
  </si>
  <si>
    <t>Read the Bones</t>
  </si>
  <si>
    <t>Recover</t>
  </si>
  <si>
    <t>Ephemerate</t>
  </si>
  <si>
    <t>Razortide Bridge</t>
  </si>
  <si>
    <t>Rustvale Bridge</t>
  </si>
  <si>
    <t>Galvanic Blast</t>
  </si>
  <si>
    <t>Contentious Plan</t>
  </si>
  <si>
    <t>Liga</t>
  </si>
  <si>
    <t>MTG Cards Games</t>
  </si>
  <si>
    <t>Mana Vai</t>
  </si>
  <si>
    <t>Blossoming Sands</t>
  </si>
  <si>
    <t>Sideboard</t>
  </si>
  <si>
    <t>Disenchant</t>
  </si>
  <si>
    <t>Beckon Apparition</t>
  </si>
  <si>
    <t>Diabolic Edict</t>
  </si>
  <si>
    <t>Knights</t>
  </si>
  <si>
    <t>Modular</t>
  </si>
  <si>
    <t>Fadas</t>
  </si>
  <si>
    <t>Thoughtcast</t>
  </si>
  <si>
    <t>Tranquil Thicket</t>
  </si>
  <si>
    <t>Tranquil Expanse</t>
  </si>
  <si>
    <t>Muscle Sliver</t>
  </si>
  <si>
    <t>Plated Sliver</t>
  </si>
  <si>
    <t>Sidewinder Sliver</t>
  </si>
  <si>
    <t>Adventurous Impulse</t>
  </si>
  <si>
    <t>Commune with Nature</t>
  </si>
  <si>
    <t>Trick</t>
  </si>
  <si>
    <t>Benevolent Bodyguard</t>
  </si>
  <si>
    <t>Mutagenic Growth</t>
  </si>
  <si>
    <t>Talon Sliver</t>
  </si>
  <si>
    <t>Vines of Vastwood</t>
  </si>
  <si>
    <t>Young Wolf</t>
  </si>
  <si>
    <t>Standard Bearer</t>
  </si>
  <si>
    <t>Gut Shot</t>
  </si>
  <si>
    <t>Scattershot Archer</t>
  </si>
  <si>
    <t>Relic of Progenitus</t>
  </si>
  <si>
    <t>Barren Moor</t>
  </si>
  <si>
    <t>Dusk Legion Zealot</t>
  </si>
  <si>
    <t>Thraben Inspector</t>
  </si>
  <si>
    <t>Kor Skyfisher</t>
  </si>
  <si>
    <t>Marauding-Blight Priest</t>
  </si>
  <si>
    <t>Curandeiro Kalastria</t>
  </si>
  <si>
    <t>Aliado</t>
  </si>
  <si>
    <t>Temur Control</t>
  </si>
  <si>
    <t>Vida e Morte - Pauper</t>
  </si>
  <si>
    <t>Selesnya Fractius - Pauper</t>
  </si>
  <si>
    <t>Lightning Bolt</t>
  </si>
  <si>
    <t>Abrade</t>
  </si>
  <si>
    <t>Evolving Wilds</t>
  </si>
  <si>
    <t>Inspiring Overseer</t>
  </si>
  <si>
    <t>Silverbluff Bridge</t>
  </si>
  <si>
    <t>Metallic Rebuke</t>
  </si>
  <si>
    <t>Apostle's Blessing</t>
  </si>
  <si>
    <t>Blessed Hippogriff // Tyr's Blessing</t>
  </si>
  <si>
    <t>Arcbound Mouser</t>
  </si>
  <si>
    <t>Arcbound Stinger</t>
  </si>
  <si>
    <t>Arcbound Worker</t>
  </si>
  <si>
    <t>Interessantes</t>
  </si>
  <si>
    <t>Compras</t>
  </si>
  <si>
    <t>Deck/Função</t>
  </si>
  <si>
    <t>Recommission</t>
  </si>
  <si>
    <t>Kenku Artificer</t>
  </si>
  <si>
    <t>Allies</t>
  </si>
  <si>
    <t>Orzhov Aliados - Pauper</t>
  </si>
  <si>
    <t>Graypelt Hunter</t>
  </si>
  <si>
    <t>Oran-Rief Survivalist</t>
  </si>
  <si>
    <t>Jungle Hollow</t>
  </si>
  <si>
    <t>Masked Vandal</t>
  </si>
  <si>
    <t>ETB</t>
  </si>
  <si>
    <t>WUR Flicker</t>
  </si>
  <si>
    <t>Dawnbringer Cleric</t>
  </si>
  <si>
    <t>Augur of Bolas</t>
  </si>
  <si>
    <t>Archaeomancer</t>
  </si>
  <si>
    <t>Murmuring Mystic</t>
  </si>
  <si>
    <t>Ponder</t>
  </si>
  <si>
    <t>Brainstorm</t>
  </si>
  <si>
    <t>Cleasing Fire</t>
  </si>
  <si>
    <t>Cast into the Fire</t>
  </si>
  <si>
    <t>Tormod's Crypt</t>
  </si>
  <si>
    <t>Smash to Dust</t>
  </si>
  <si>
    <t>Destroy Evil</t>
  </si>
  <si>
    <t>Late to Dinner</t>
  </si>
  <si>
    <t>Iron Apprentice</t>
  </si>
  <si>
    <t>Airlift Captain</t>
  </si>
  <si>
    <t>Vault Skirge</t>
  </si>
  <si>
    <t>Arcbound Prototype</t>
  </si>
  <si>
    <t>Experimental Augury</t>
  </si>
  <si>
    <t>Sacrifício</t>
  </si>
  <si>
    <t>Deadly Dispute</t>
  </si>
  <si>
    <t>Cast Down</t>
  </si>
  <si>
    <t>Fanatical Offering</t>
  </si>
  <si>
    <t>Whisper of the Dross</t>
  </si>
  <si>
    <t/>
  </si>
  <si>
    <t>All that Glitters</t>
  </si>
  <si>
    <t>Gengibruto</t>
  </si>
  <si>
    <t>Stonehorn Dignitary</t>
  </si>
  <si>
    <t>Seat of the Synod</t>
  </si>
  <si>
    <t>Ancient Den</t>
  </si>
  <si>
    <t>Goldmire Bridge</t>
  </si>
  <si>
    <t>Vault of Whispers</t>
  </si>
  <si>
    <t>Mistvault Bridge</t>
  </si>
  <si>
    <t>Jeskay Control</t>
  </si>
  <si>
    <t>Esper Modular</t>
  </si>
  <si>
    <t>Lórien Revealed</t>
  </si>
  <si>
    <t>Saiba Cryptomancer</t>
  </si>
  <si>
    <t>Dispel</t>
  </si>
  <si>
    <t>WUR Affinity</t>
  </si>
  <si>
    <t>Affinity</t>
  </si>
  <si>
    <t>Ornithopter</t>
  </si>
  <si>
    <t>Gengibrute</t>
  </si>
  <si>
    <t>Frogmite</t>
  </si>
  <si>
    <t>Myr Enforcer</t>
  </si>
  <si>
    <t>Glint Hawk</t>
  </si>
  <si>
    <t>All That Glitters</t>
  </si>
  <si>
    <t>Experimental Synthesizer</t>
  </si>
  <si>
    <t>Springleaf Drum</t>
  </si>
  <si>
    <t>Suporte</t>
  </si>
  <si>
    <t>Great Furnace</t>
  </si>
  <si>
    <t>Crimson Acolyte</t>
  </si>
  <si>
    <t>Obsidian Acolyte</t>
  </si>
  <si>
    <t>Opt</t>
  </si>
  <si>
    <t>Instigar Aparição</t>
  </si>
  <si>
    <t>Arma de Sopro</t>
  </si>
  <si>
    <t>Preordain</t>
  </si>
  <si>
    <t>Novice Inspector</t>
  </si>
  <si>
    <t>Remoção</t>
  </si>
  <si>
    <t>Thraben Charm</t>
  </si>
  <si>
    <t>Guardião Pégaso</t>
  </si>
  <si>
    <t>Revoke Existence</t>
  </si>
  <si>
    <t>Música Angelical</t>
  </si>
  <si>
    <t>Lâmina da Coleta</t>
  </si>
  <si>
    <t>Dockworker Drone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</si>
</sst>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 &quot;#,##0.00;[Red]&quot;R$ &quot;#,##0.00"/>
    <numFmt numFmtId="165" formatCode="&quot;R$&quot;#,##0.00"/>
    <numFmt numFmtId="166" formatCode="&quot;R$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165" fontId="0" fillId="0" borderId="0" xfId="0" applyNumberFormat="1"/>
    <xf numFmtId="165" fontId="0" fillId="2" borderId="0" xfId="0" applyNumberFormat="1" applyFill="1"/>
    <xf numFmtId="166" fontId="0" fillId="0" borderId="0" xfId="0" applyNumberFormat="1"/>
    <xf numFmtId="0" fontId="0" fillId="0" borderId="0" xfId="0" quotePrefix="1" applyAlignment="1">
      <alignment horizontal="left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C9C2-80EC-490F-B169-A635168C3A31}">
  <dimension ref="A1:AB230"/>
  <sheetViews>
    <sheetView workbookViewId="0">
      <selection activeCell="E2" sqref="E2:E38"/>
    </sheetView>
  </sheetViews>
  <sheetFormatPr defaultRowHeight="15" x14ac:dyDescent="0.25"/>
  <cols>
    <col min="2" max="2" width="16" bestFit="1" customWidth="1"/>
    <col min="4" max="4" width="3.7109375" style="9" customWidth="1"/>
    <col min="5" max="5" width="27.28515625" bestFit="1" customWidth="1"/>
    <col min="6" max="6" width="8.85546875" style="12"/>
    <col min="7" max="7" width="9.28515625" style="12" customWidth="1"/>
    <col min="8" max="8" width="8.85546875" style="12"/>
    <col min="9" max="9" width="3.7109375" style="9" customWidth="1"/>
    <col min="10" max="10" width="18.5703125" bestFit="1" customWidth="1"/>
    <col min="11" max="11" width="22" bestFit="1" customWidth="1"/>
    <col min="15" max="15" width="3.7109375" style="9" customWidth="1"/>
    <col min="20" max="20" width="3.7109375" style="9" customWidth="1"/>
  </cols>
  <sheetData>
    <row r="1" spans="1:28" x14ac:dyDescent="0.25">
      <c r="A1" t="s">
        <v>34</v>
      </c>
      <c r="B1" s="10">
        <f>C2+C7+C12+C17+C22+C27+C32+C37+C42+C55</f>
        <v>0</v>
      </c>
      <c r="C1" s="10"/>
      <c r="E1" t="str">
        <f>A2</f>
        <v>Compras</v>
      </c>
      <c r="F1" s="12" t="str">
        <f>B3</f>
        <v>MTG Cards Games</v>
      </c>
      <c r="G1" s="12" t="str">
        <f>B4</f>
        <v>Legacy</v>
      </c>
      <c r="H1" s="12" t="str">
        <f>B5</f>
        <v>Mana Vai</v>
      </c>
      <c r="J1" t="s">
        <v>105</v>
      </c>
      <c r="K1" t="str">
        <f>A7</f>
        <v>Interessantes</v>
      </c>
      <c r="L1" t="str">
        <f>B8</f>
        <v>Liga</v>
      </c>
      <c r="M1" t="str">
        <f>B9</f>
        <v>Legacy</v>
      </c>
      <c r="N1" t="str">
        <f>B10</f>
        <v>Overrun</v>
      </c>
      <c r="P1">
        <f>A12</f>
        <v>0</v>
      </c>
      <c r="Q1">
        <f>B13</f>
        <v>0</v>
      </c>
      <c r="R1">
        <f>B14</f>
        <v>0</v>
      </c>
      <c r="S1">
        <f>B15</f>
        <v>0</v>
      </c>
      <c r="U1">
        <f>A17</f>
        <v>0</v>
      </c>
      <c r="V1">
        <f>B18</f>
        <v>0</v>
      </c>
      <c r="W1">
        <f>B19</f>
        <v>0</v>
      </c>
      <c r="X1">
        <f>B20</f>
        <v>0</v>
      </c>
    </row>
    <row r="2" spans="1:28" x14ac:dyDescent="0.25">
      <c r="A2" t="s">
        <v>104</v>
      </c>
      <c r="B2" t="s">
        <v>37</v>
      </c>
      <c r="C2" s="10">
        <f>SUM(C3:C5)</f>
        <v>0</v>
      </c>
      <c r="I2" s="11"/>
      <c r="L2" s="10"/>
      <c r="M2" s="10"/>
      <c r="N2" s="10"/>
      <c r="O2" s="11"/>
      <c r="Q2" s="10"/>
      <c r="R2" s="10"/>
      <c r="S2" s="10"/>
      <c r="V2" s="10"/>
      <c r="W2" s="10"/>
      <c r="X2" s="10"/>
      <c r="AA2" s="10"/>
      <c r="AB2" s="10"/>
    </row>
    <row r="3" spans="1:28" x14ac:dyDescent="0.25">
      <c r="A3">
        <f>COUNTA(E2:E175)</f>
        <v>0</v>
      </c>
      <c r="B3" t="s">
        <v>54</v>
      </c>
      <c r="C3" s="10">
        <f>SUM(F:F)</f>
        <v>0</v>
      </c>
      <c r="I3" s="11"/>
      <c r="L3" s="10"/>
      <c r="M3" s="10"/>
      <c r="N3" s="10"/>
      <c r="O3" s="11"/>
      <c r="Q3" s="10"/>
      <c r="R3" s="10"/>
      <c r="S3" s="10"/>
      <c r="V3" s="10"/>
      <c r="W3" s="10"/>
      <c r="X3" s="10"/>
      <c r="AA3" s="10"/>
      <c r="AB3" s="10"/>
    </row>
    <row r="4" spans="1:28" x14ac:dyDescent="0.25">
      <c r="B4" t="s">
        <v>35</v>
      </c>
      <c r="C4" s="10">
        <f>SUM(G:G)</f>
        <v>0</v>
      </c>
      <c r="I4" s="11"/>
      <c r="L4" s="10"/>
      <c r="M4" s="10"/>
      <c r="N4" s="10"/>
      <c r="O4" s="11"/>
      <c r="Q4" s="10"/>
      <c r="R4" s="10"/>
      <c r="S4" s="10"/>
      <c r="V4" s="10"/>
      <c r="W4" s="10"/>
      <c r="X4" s="10"/>
      <c r="AA4" s="10"/>
      <c r="AB4" s="10"/>
    </row>
    <row r="5" spans="1:28" x14ac:dyDescent="0.25">
      <c r="B5" t="s">
        <v>55</v>
      </c>
      <c r="C5" s="10">
        <f>SUM(H:H)</f>
        <v>0</v>
      </c>
      <c r="I5" s="11"/>
      <c r="L5" s="10"/>
      <c r="M5" s="10"/>
      <c r="N5" s="10"/>
      <c r="O5" s="11"/>
      <c r="Q5" s="10"/>
      <c r="R5" s="10"/>
      <c r="S5" s="10"/>
      <c r="V5" s="10"/>
      <c r="W5" s="10"/>
      <c r="X5" s="10"/>
      <c r="AA5" s="10"/>
      <c r="AB5" s="10"/>
    </row>
    <row r="6" spans="1:28" x14ac:dyDescent="0.25">
      <c r="I6" s="11"/>
      <c r="L6" s="10"/>
      <c r="M6" s="10"/>
      <c r="N6" s="10"/>
      <c r="O6" s="11"/>
      <c r="Q6" s="10"/>
      <c r="R6" s="10"/>
      <c r="S6" s="10"/>
      <c r="V6" s="10"/>
      <c r="W6" s="10"/>
      <c r="X6" s="10"/>
      <c r="AA6" s="10"/>
      <c r="AB6" s="10"/>
    </row>
    <row r="7" spans="1:28" x14ac:dyDescent="0.25">
      <c r="A7" t="s">
        <v>103</v>
      </c>
      <c r="B7" t="s">
        <v>37</v>
      </c>
      <c r="C7" s="10">
        <f>SUM(C9:C10)</f>
        <v>0</v>
      </c>
      <c r="I7" s="11"/>
      <c r="L7" s="10"/>
      <c r="M7" s="10"/>
      <c r="N7" s="10"/>
      <c r="O7" s="11"/>
      <c r="Q7" s="10"/>
      <c r="R7" s="10"/>
      <c r="S7" s="10"/>
      <c r="V7" s="10"/>
      <c r="W7" s="10"/>
      <c r="X7" s="10"/>
      <c r="AA7" s="10"/>
      <c r="AB7" s="10"/>
    </row>
    <row r="8" spans="1:28" x14ac:dyDescent="0.25">
      <c r="A8">
        <f>COUNTA(K2:K193)</f>
        <v>0</v>
      </c>
      <c r="B8" t="s">
        <v>53</v>
      </c>
      <c r="C8" s="10">
        <f>SUM(L:L)</f>
        <v>0</v>
      </c>
      <c r="I8" s="11"/>
      <c r="L8" s="10"/>
      <c r="M8" s="10"/>
      <c r="N8" s="10"/>
      <c r="O8" s="11"/>
      <c r="Q8" s="10"/>
      <c r="R8" s="10"/>
      <c r="S8" s="10"/>
      <c r="V8" s="10"/>
      <c r="W8" s="10"/>
      <c r="X8" s="10"/>
      <c r="AA8" s="10"/>
      <c r="AB8" s="10"/>
    </row>
    <row r="9" spans="1:28" x14ac:dyDescent="0.25">
      <c r="B9" t="s">
        <v>35</v>
      </c>
      <c r="C9" s="10">
        <f>SUM(M:M)</f>
        <v>0</v>
      </c>
      <c r="I9" s="11"/>
      <c r="L9" s="10"/>
      <c r="M9" s="10"/>
      <c r="N9" s="10"/>
      <c r="O9" s="11"/>
      <c r="P9" s="10"/>
      <c r="Q9" s="10"/>
      <c r="R9" s="10"/>
      <c r="S9" s="10"/>
      <c r="V9" s="10"/>
      <c r="W9" s="10"/>
      <c r="X9" s="10"/>
      <c r="AA9" s="10"/>
      <c r="AB9" s="10"/>
    </row>
    <row r="10" spans="1:28" x14ac:dyDescent="0.25">
      <c r="B10" t="s">
        <v>36</v>
      </c>
      <c r="C10" s="10">
        <f>SUM(N:N)</f>
        <v>0</v>
      </c>
      <c r="I10" s="11"/>
      <c r="L10" s="10"/>
      <c r="M10" s="10"/>
      <c r="N10" s="10"/>
      <c r="O10" s="11"/>
      <c r="P10" s="10"/>
      <c r="Q10" s="10"/>
      <c r="R10" s="10"/>
      <c r="S10" s="10"/>
      <c r="V10" s="10"/>
      <c r="W10" s="10"/>
      <c r="X10" s="10"/>
      <c r="AA10" s="10"/>
      <c r="AB10" s="10"/>
    </row>
    <row r="11" spans="1:28" x14ac:dyDescent="0.25">
      <c r="I11" s="11"/>
      <c r="L11" s="10"/>
      <c r="M11" s="10"/>
      <c r="N11" s="10"/>
      <c r="O11" s="11"/>
      <c r="Q11" s="10"/>
      <c r="R11" s="10"/>
      <c r="S11" s="10"/>
      <c r="V11" s="10"/>
      <c r="W11" s="10"/>
      <c r="X11" s="10"/>
      <c r="AA11" s="10"/>
      <c r="AB11" s="10"/>
    </row>
    <row r="12" spans="1:28" x14ac:dyDescent="0.25">
      <c r="C12" s="10"/>
      <c r="I12" s="11"/>
      <c r="L12" s="10"/>
      <c r="M12" s="10"/>
      <c r="N12" s="10"/>
      <c r="O12" s="11"/>
      <c r="P12" s="10"/>
      <c r="Q12" s="10"/>
      <c r="R12" s="10"/>
      <c r="S12" s="10"/>
      <c r="V12" s="10"/>
      <c r="W12" s="10"/>
      <c r="X12" s="10"/>
      <c r="AA12" s="10"/>
      <c r="AB12" s="10"/>
    </row>
    <row r="13" spans="1:28" x14ac:dyDescent="0.25">
      <c r="C13" s="10"/>
      <c r="I13" s="11"/>
      <c r="L13" s="10"/>
      <c r="M13" s="10"/>
      <c r="N13" s="10"/>
      <c r="O13" s="11"/>
      <c r="Q13" s="10"/>
      <c r="R13" s="10"/>
      <c r="S13" s="10"/>
      <c r="V13" s="10"/>
      <c r="W13" s="10"/>
      <c r="X13" s="10"/>
      <c r="AA13" s="10"/>
      <c r="AB13" s="10"/>
    </row>
    <row r="14" spans="1:28" x14ac:dyDescent="0.25">
      <c r="C14" s="10"/>
      <c r="I14" s="11"/>
      <c r="L14" s="10"/>
      <c r="M14" s="10"/>
      <c r="N14" s="10"/>
      <c r="O14" s="11"/>
      <c r="P14" s="10"/>
      <c r="Q14" s="10"/>
      <c r="R14" s="10"/>
      <c r="S14" s="10"/>
      <c r="V14" s="10"/>
      <c r="W14" s="10"/>
      <c r="X14" s="10"/>
      <c r="AA14" s="10"/>
      <c r="AB14" s="10"/>
    </row>
    <row r="15" spans="1:28" x14ac:dyDescent="0.25">
      <c r="C15" s="10"/>
      <c r="I15" s="11"/>
      <c r="L15" s="10"/>
      <c r="M15" s="10"/>
      <c r="N15" s="10"/>
      <c r="O15" s="11"/>
      <c r="Q15" s="10"/>
      <c r="R15" s="10"/>
      <c r="S15" s="10"/>
      <c r="V15" s="10"/>
      <c r="W15" s="10"/>
      <c r="X15" s="10"/>
      <c r="AA15" s="10"/>
      <c r="AB15" s="10"/>
    </row>
    <row r="16" spans="1:28" x14ac:dyDescent="0.25">
      <c r="I16" s="11"/>
      <c r="L16" s="10"/>
      <c r="M16" s="10"/>
      <c r="N16" s="10"/>
      <c r="O16" s="11"/>
      <c r="P16" s="10"/>
      <c r="Q16" s="10"/>
      <c r="R16" s="10"/>
      <c r="S16" s="10"/>
      <c r="V16" s="10"/>
      <c r="W16" s="10"/>
      <c r="X16" s="10"/>
      <c r="AA16" s="10"/>
      <c r="AB16" s="10"/>
    </row>
    <row r="17" spans="3:28" x14ac:dyDescent="0.25">
      <c r="C17" s="10"/>
      <c r="I17" s="11"/>
      <c r="L17" s="10"/>
      <c r="M17" s="10"/>
      <c r="N17" s="10"/>
      <c r="O17" s="11"/>
      <c r="Q17" s="10"/>
      <c r="R17" s="10"/>
      <c r="S17" s="10"/>
      <c r="V17" s="10"/>
      <c r="W17" s="10"/>
      <c r="X17" s="10"/>
      <c r="AA17" s="10"/>
      <c r="AB17" s="10"/>
    </row>
    <row r="18" spans="3:28" x14ac:dyDescent="0.25">
      <c r="C18" s="10"/>
      <c r="I18" s="11"/>
      <c r="L18" s="10"/>
      <c r="M18" s="10"/>
      <c r="N18" s="10"/>
      <c r="O18" s="11"/>
      <c r="Q18" s="10"/>
      <c r="R18" s="10"/>
      <c r="S18" s="10"/>
      <c r="V18" s="10"/>
      <c r="W18" s="10"/>
      <c r="X18" s="10"/>
      <c r="AA18" s="10"/>
      <c r="AB18" s="10"/>
    </row>
    <row r="19" spans="3:28" x14ac:dyDescent="0.25">
      <c r="C19" s="10"/>
      <c r="I19" s="11"/>
      <c r="L19" s="10"/>
      <c r="M19" s="10"/>
      <c r="N19" s="10"/>
      <c r="O19" s="11"/>
      <c r="Q19" s="10"/>
      <c r="R19" s="10"/>
      <c r="S19" s="10"/>
      <c r="V19" s="10"/>
      <c r="W19" s="10"/>
      <c r="X19" s="10"/>
      <c r="AA19" s="10"/>
      <c r="AB19" s="10"/>
    </row>
    <row r="20" spans="3:28" x14ac:dyDescent="0.25">
      <c r="C20" s="10"/>
      <c r="I20" s="11"/>
      <c r="L20" s="10"/>
      <c r="M20" s="10"/>
      <c r="N20" s="10"/>
      <c r="O20" s="11"/>
      <c r="Q20" s="10"/>
      <c r="R20" s="10"/>
      <c r="S20" s="10"/>
      <c r="V20" s="10"/>
      <c r="W20" s="10"/>
      <c r="X20" s="10"/>
      <c r="AA20" s="10"/>
      <c r="AB20" s="10"/>
    </row>
    <row r="21" spans="3:28" x14ac:dyDescent="0.25">
      <c r="I21" s="11"/>
      <c r="L21" s="10"/>
      <c r="M21" s="10"/>
      <c r="N21" s="10"/>
      <c r="O21" s="11"/>
      <c r="Q21" s="10"/>
      <c r="R21" s="10"/>
      <c r="S21" s="10"/>
      <c r="V21" s="10"/>
      <c r="W21" s="10"/>
      <c r="X21" s="10"/>
      <c r="AA21" s="10"/>
      <c r="AB21" s="10"/>
    </row>
    <row r="22" spans="3:28" x14ac:dyDescent="0.25">
      <c r="C22" s="10"/>
      <c r="I22" s="11"/>
      <c r="L22" s="10"/>
      <c r="M22" s="10"/>
      <c r="N22" s="10"/>
      <c r="O22" s="11"/>
      <c r="Q22" s="10"/>
      <c r="R22" s="10"/>
      <c r="S22" s="10"/>
      <c r="V22" s="10"/>
      <c r="W22" s="10"/>
      <c r="X22" s="10"/>
      <c r="AA22" s="10"/>
      <c r="AB22" s="10"/>
    </row>
    <row r="23" spans="3:28" x14ac:dyDescent="0.25">
      <c r="C23" s="10"/>
      <c r="I23" s="11"/>
      <c r="L23" s="10"/>
      <c r="M23" s="10"/>
      <c r="N23" s="10"/>
      <c r="O23" s="11"/>
      <c r="Q23" s="10"/>
      <c r="R23" s="10"/>
      <c r="S23" s="10"/>
      <c r="V23" s="10"/>
      <c r="W23" s="10"/>
      <c r="X23" s="10"/>
      <c r="AA23" s="10"/>
      <c r="AB23" s="10"/>
    </row>
    <row r="24" spans="3:28" x14ac:dyDescent="0.25">
      <c r="C24" s="10"/>
      <c r="I24" s="11"/>
      <c r="L24" s="10"/>
      <c r="M24" s="10"/>
      <c r="N24" s="10"/>
      <c r="O24" s="11"/>
      <c r="Q24" s="10"/>
      <c r="R24" s="10"/>
      <c r="S24" s="10"/>
      <c r="V24" s="10"/>
      <c r="W24" s="10"/>
      <c r="X24" s="10"/>
      <c r="AA24" s="10"/>
      <c r="AB24" s="10"/>
    </row>
    <row r="25" spans="3:28" x14ac:dyDescent="0.25">
      <c r="C25" s="10"/>
      <c r="I25" s="11"/>
      <c r="L25" s="10"/>
      <c r="M25" s="10"/>
      <c r="N25" s="10"/>
      <c r="O25" s="11"/>
      <c r="Q25" s="10"/>
      <c r="R25" s="10"/>
      <c r="S25" s="10"/>
      <c r="V25" s="10"/>
      <c r="W25" s="10"/>
      <c r="X25" s="10"/>
      <c r="AA25" s="10"/>
      <c r="AB25" s="10"/>
    </row>
    <row r="26" spans="3:28" x14ac:dyDescent="0.25">
      <c r="I26" s="11"/>
      <c r="L26" s="10"/>
      <c r="M26" s="10"/>
      <c r="N26" s="10"/>
      <c r="O26" s="11"/>
      <c r="Q26" s="10"/>
      <c r="R26" s="10"/>
      <c r="S26" s="10"/>
      <c r="V26" s="10"/>
      <c r="W26" s="10"/>
      <c r="X26" s="10"/>
      <c r="AA26" s="10"/>
      <c r="AB26" s="10"/>
    </row>
    <row r="27" spans="3:28" x14ac:dyDescent="0.25">
      <c r="C27" s="10"/>
      <c r="I27" s="11"/>
      <c r="L27" s="10"/>
      <c r="M27" s="10"/>
      <c r="N27" s="10"/>
      <c r="O27" s="11"/>
      <c r="Q27" s="10"/>
      <c r="R27" s="10"/>
      <c r="S27" s="10"/>
      <c r="V27" s="10"/>
      <c r="W27" s="10"/>
      <c r="X27" s="10"/>
      <c r="AA27" s="10"/>
      <c r="AB27" s="10"/>
    </row>
    <row r="28" spans="3:28" x14ac:dyDescent="0.25">
      <c r="C28" s="10"/>
      <c r="I28" s="11"/>
      <c r="L28" s="10"/>
      <c r="M28" s="10"/>
      <c r="N28" s="10"/>
      <c r="O28" s="11"/>
      <c r="P28" s="10"/>
      <c r="Q28" s="10"/>
      <c r="R28" s="10"/>
      <c r="S28" s="10"/>
      <c r="V28" s="10"/>
      <c r="W28" s="10"/>
      <c r="X28" s="10"/>
      <c r="AA28" s="10"/>
      <c r="AB28" s="10"/>
    </row>
    <row r="29" spans="3:28" x14ac:dyDescent="0.25">
      <c r="C29" s="10"/>
      <c r="I29" s="11"/>
      <c r="L29" s="10"/>
      <c r="M29" s="10"/>
      <c r="N29" s="10"/>
      <c r="O29" s="11"/>
      <c r="Q29" s="10"/>
      <c r="R29" s="10"/>
      <c r="S29" s="10"/>
      <c r="V29" s="10"/>
      <c r="W29" s="10"/>
      <c r="X29" s="10"/>
      <c r="AA29" s="10"/>
      <c r="AB29" s="10"/>
    </row>
    <row r="30" spans="3:28" x14ac:dyDescent="0.25">
      <c r="C30" s="10"/>
      <c r="I30" s="11"/>
      <c r="L30" s="10"/>
      <c r="M30" s="10"/>
      <c r="N30" s="10"/>
      <c r="O30" s="11"/>
      <c r="Q30" s="10"/>
      <c r="R30" s="10"/>
      <c r="S30" s="10"/>
      <c r="V30" s="10"/>
      <c r="W30" s="10"/>
      <c r="X30" s="10"/>
      <c r="AA30" s="10"/>
      <c r="AB30" s="10"/>
    </row>
    <row r="31" spans="3:28" x14ac:dyDescent="0.25">
      <c r="L31" s="10"/>
      <c r="M31" s="10"/>
      <c r="N31" s="10"/>
      <c r="Q31" s="10"/>
      <c r="R31" s="10"/>
      <c r="S31" s="10"/>
      <c r="V31" s="10"/>
      <c r="W31" s="10"/>
      <c r="X31" s="10"/>
      <c r="AA31" s="10"/>
      <c r="AB31" s="10"/>
    </row>
    <row r="32" spans="3:28" x14ac:dyDescent="0.25">
      <c r="C32" s="10"/>
      <c r="L32" s="10"/>
      <c r="M32" s="10"/>
      <c r="N32" s="10"/>
      <c r="Q32" s="10"/>
      <c r="R32" s="10"/>
      <c r="S32" s="10"/>
      <c r="V32" s="10"/>
      <c r="W32" s="10"/>
      <c r="X32" s="10"/>
      <c r="AA32" s="10"/>
      <c r="AB32" s="10"/>
    </row>
    <row r="33" spans="3:28" x14ac:dyDescent="0.25">
      <c r="C33" s="10"/>
      <c r="L33" s="10"/>
      <c r="M33" s="10"/>
      <c r="N33" s="10"/>
      <c r="Q33" s="10"/>
      <c r="R33" s="10"/>
      <c r="S33" s="10"/>
      <c r="V33" s="10"/>
      <c r="W33" s="10"/>
      <c r="X33" s="10"/>
      <c r="AA33" s="10"/>
      <c r="AB33" s="10"/>
    </row>
    <row r="34" spans="3:28" x14ac:dyDescent="0.25">
      <c r="C34" s="10"/>
      <c r="L34" s="10"/>
      <c r="M34" s="10"/>
      <c r="N34" s="10"/>
      <c r="Q34" s="10"/>
      <c r="R34" s="10"/>
      <c r="S34" s="10"/>
      <c r="V34" s="10"/>
      <c r="W34" s="10"/>
      <c r="X34" s="10"/>
      <c r="AA34" s="10"/>
      <c r="AB34" s="10"/>
    </row>
    <row r="35" spans="3:28" x14ac:dyDescent="0.25">
      <c r="C35" s="10"/>
      <c r="L35" s="10"/>
      <c r="M35" s="10"/>
      <c r="N35" s="10"/>
      <c r="Q35" s="10"/>
      <c r="R35" s="10"/>
      <c r="S35" s="10"/>
      <c r="V35" s="10"/>
      <c r="W35" s="10"/>
      <c r="X35" s="10"/>
      <c r="AA35" s="10"/>
      <c r="AB35" s="10"/>
    </row>
    <row r="36" spans="3:28" x14ac:dyDescent="0.25">
      <c r="C36" s="10"/>
      <c r="L36" s="10"/>
      <c r="M36" s="10"/>
      <c r="N36" s="10"/>
      <c r="Q36" s="10"/>
      <c r="R36" s="10"/>
      <c r="S36" s="10"/>
      <c r="V36" s="10"/>
      <c r="W36" s="10"/>
      <c r="X36" s="10"/>
      <c r="AA36" s="10"/>
      <c r="AB36" s="10"/>
    </row>
    <row r="37" spans="3:28" x14ac:dyDescent="0.25">
      <c r="C37" s="10"/>
      <c r="L37" s="10"/>
      <c r="M37" s="10"/>
      <c r="N37" s="10"/>
      <c r="Q37" s="10"/>
      <c r="R37" s="10"/>
      <c r="S37" s="10"/>
      <c r="V37" s="10"/>
      <c r="W37" s="10"/>
      <c r="X37" s="10"/>
      <c r="AA37" s="10"/>
      <c r="AB37" s="10"/>
    </row>
    <row r="38" spans="3:28" x14ac:dyDescent="0.25">
      <c r="C38" s="10"/>
      <c r="L38" s="10"/>
      <c r="M38" s="10"/>
      <c r="N38" s="10"/>
      <c r="Q38" s="10"/>
      <c r="R38" s="10"/>
      <c r="S38" s="10"/>
      <c r="V38" s="10"/>
      <c r="W38" s="10"/>
      <c r="X38" s="10"/>
      <c r="AA38" s="10"/>
      <c r="AB38" s="10"/>
    </row>
    <row r="39" spans="3:28" x14ac:dyDescent="0.25">
      <c r="C39" s="10"/>
      <c r="L39" s="10"/>
      <c r="M39" s="10"/>
      <c r="N39" s="10"/>
      <c r="Q39" s="10"/>
      <c r="R39" s="10"/>
      <c r="S39" s="10"/>
      <c r="V39" s="10"/>
      <c r="W39" s="10"/>
      <c r="X39" s="10"/>
      <c r="AA39" s="10"/>
      <c r="AB39" s="10"/>
    </row>
    <row r="40" spans="3:28" x14ac:dyDescent="0.25">
      <c r="C40" s="10"/>
      <c r="L40" s="10"/>
      <c r="M40" s="10"/>
      <c r="N40" s="10"/>
      <c r="Q40" s="10"/>
      <c r="R40" s="10"/>
      <c r="S40" s="10"/>
      <c r="V40" s="10"/>
      <c r="W40" s="10"/>
      <c r="X40" s="10"/>
      <c r="AA40" s="10"/>
      <c r="AB40" s="10"/>
    </row>
    <row r="41" spans="3:28" x14ac:dyDescent="0.25">
      <c r="C41" s="10"/>
      <c r="L41" s="10"/>
      <c r="M41" s="10"/>
      <c r="N41" s="10"/>
      <c r="Q41" s="10"/>
      <c r="R41" s="10"/>
      <c r="S41" s="10"/>
      <c r="V41" s="10"/>
      <c r="W41" s="10"/>
      <c r="X41" s="10"/>
      <c r="AA41" s="10"/>
      <c r="AB41" s="10"/>
    </row>
    <row r="42" spans="3:28" x14ac:dyDescent="0.25">
      <c r="C42" s="10"/>
      <c r="L42" s="10"/>
      <c r="M42" s="10"/>
      <c r="N42" s="10"/>
      <c r="Q42" s="10"/>
      <c r="R42" s="10"/>
      <c r="S42" s="10"/>
      <c r="V42" s="10"/>
      <c r="W42" s="10"/>
      <c r="X42" s="10"/>
      <c r="AA42" s="10"/>
      <c r="AB42" s="10"/>
    </row>
    <row r="43" spans="3:28" x14ac:dyDescent="0.25">
      <c r="C43" s="10"/>
      <c r="L43" s="10"/>
      <c r="M43" s="10"/>
      <c r="N43" s="10"/>
      <c r="Q43" s="10"/>
      <c r="R43" s="10"/>
      <c r="S43" s="10"/>
      <c r="V43" s="10"/>
      <c r="W43" s="10"/>
      <c r="X43" s="10"/>
      <c r="AA43" s="10"/>
      <c r="AB43" s="10"/>
    </row>
    <row r="44" spans="3:28" x14ac:dyDescent="0.25">
      <c r="C44" s="10"/>
      <c r="L44" s="10"/>
      <c r="M44" s="10"/>
      <c r="N44" s="10"/>
      <c r="Q44" s="10"/>
      <c r="R44" s="10"/>
      <c r="S44" s="10"/>
      <c r="V44" s="10"/>
      <c r="W44" s="10"/>
      <c r="X44" s="10"/>
      <c r="AA44" s="10"/>
      <c r="AB44" s="10"/>
    </row>
    <row r="45" spans="3:28" x14ac:dyDescent="0.25">
      <c r="C45" s="10"/>
      <c r="L45" s="10"/>
      <c r="M45" s="10"/>
      <c r="N45" s="10"/>
      <c r="Q45" s="10"/>
      <c r="R45" s="10"/>
      <c r="S45" s="10"/>
      <c r="V45" s="10"/>
      <c r="W45" s="10"/>
      <c r="X45" s="10"/>
      <c r="AA45" s="10"/>
      <c r="AB45" s="10"/>
    </row>
    <row r="46" spans="3:28" x14ac:dyDescent="0.25">
      <c r="C46" s="10"/>
      <c r="L46" s="10"/>
      <c r="M46" s="10"/>
      <c r="N46" s="10"/>
      <c r="Q46" s="10"/>
      <c r="R46" s="10"/>
      <c r="S46" s="10"/>
      <c r="V46" s="10"/>
      <c r="W46" s="10"/>
      <c r="X46" s="10"/>
      <c r="AA46" s="10"/>
      <c r="AB46" s="10"/>
    </row>
    <row r="47" spans="3:28" x14ac:dyDescent="0.25">
      <c r="C47" s="10"/>
      <c r="L47" s="10"/>
      <c r="M47" s="10"/>
      <c r="N47" s="10"/>
      <c r="Q47" s="10"/>
      <c r="R47" s="10"/>
      <c r="S47" s="10"/>
      <c r="V47" s="10"/>
      <c r="W47" s="10"/>
      <c r="X47" s="10"/>
      <c r="AA47" s="10"/>
      <c r="AB47" s="10"/>
    </row>
    <row r="48" spans="3:28" x14ac:dyDescent="0.25">
      <c r="C48" s="10"/>
      <c r="L48" s="10"/>
      <c r="M48" s="10"/>
      <c r="N48" s="10"/>
      <c r="Q48" s="10"/>
      <c r="R48" s="10"/>
      <c r="S48" s="10"/>
      <c r="V48" s="10"/>
      <c r="W48" s="10"/>
      <c r="X48" s="10"/>
      <c r="AA48" s="10"/>
      <c r="AB48" s="10"/>
    </row>
    <row r="49" spans="3:28" x14ac:dyDescent="0.25">
      <c r="C49" s="10"/>
      <c r="L49" s="10"/>
      <c r="M49" s="10"/>
      <c r="N49" s="10"/>
      <c r="Q49" s="10"/>
      <c r="R49" s="10"/>
      <c r="S49" s="10"/>
      <c r="V49" s="10"/>
      <c r="W49" s="10"/>
      <c r="X49" s="10"/>
      <c r="AA49" s="10"/>
      <c r="AB49" s="10"/>
    </row>
    <row r="50" spans="3:28" x14ac:dyDescent="0.25">
      <c r="C50" s="10"/>
      <c r="L50" s="10"/>
      <c r="M50" s="10"/>
      <c r="N50" s="10"/>
      <c r="Q50" s="10"/>
      <c r="R50" s="10"/>
      <c r="S50" s="10"/>
      <c r="V50" s="10"/>
      <c r="W50" s="10"/>
      <c r="X50" s="10"/>
      <c r="AA50" s="10"/>
      <c r="AB50" s="10"/>
    </row>
    <row r="51" spans="3:28" x14ac:dyDescent="0.25">
      <c r="C51" s="10"/>
      <c r="L51" s="10"/>
      <c r="M51" s="10"/>
      <c r="N51" s="10"/>
      <c r="Q51" s="10"/>
      <c r="R51" s="10"/>
      <c r="S51" s="10"/>
      <c r="V51" s="10"/>
      <c r="W51" s="10"/>
      <c r="X51" s="10"/>
      <c r="AA51" s="10"/>
      <c r="AB51" s="10"/>
    </row>
    <row r="52" spans="3:28" x14ac:dyDescent="0.25">
      <c r="C52" s="10"/>
      <c r="L52" s="10"/>
      <c r="M52" s="10"/>
      <c r="N52" s="10"/>
      <c r="Q52" s="10"/>
      <c r="R52" s="10"/>
      <c r="S52" s="10"/>
      <c r="V52" s="10"/>
      <c r="W52" s="10"/>
      <c r="X52" s="10"/>
      <c r="AA52" s="10"/>
      <c r="AB52" s="10"/>
    </row>
    <row r="53" spans="3:28" x14ac:dyDescent="0.25">
      <c r="C53" s="10"/>
      <c r="L53" s="10"/>
      <c r="M53" s="10"/>
      <c r="N53" s="10"/>
      <c r="Q53" s="10"/>
      <c r="R53" s="10"/>
      <c r="S53" s="10"/>
      <c r="V53" s="10"/>
      <c r="W53" s="10"/>
      <c r="X53" s="10"/>
      <c r="AA53" s="10"/>
      <c r="AB53" s="10"/>
    </row>
    <row r="54" spans="3:28" x14ac:dyDescent="0.25">
      <c r="C54" s="10"/>
      <c r="L54" s="10"/>
      <c r="M54" s="10"/>
      <c r="N54" s="10"/>
      <c r="Q54" s="10"/>
      <c r="R54" s="10"/>
      <c r="S54" s="10"/>
      <c r="V54" s="10"/>
      <c r="W54" s="10"/>
      <c r="X54" s="10"/>
      <c r="AA54" s="10"/>
      <c r="AB54" s="10"/>
    </row>
    <row r="55" spans="3:28" x14ac:dyDescent="0.25">
      <c r="C55" s="10"/>
      <c r="L55" s="10"/>
      <c r="M55" s="10"/>
      <c r="N55" s="10"/>
      <c r="Q55" s="10"/>
      <c r="R55" s="10"/>
      <c r="S55" s="10"/>
      <c r="V55" s="10"/>
      <c r="W55" s="10"/>
      <c r="X55" s="10"/>
      <c r="AA55" s="10"/>
      <c r="AB55" s="10"/>
    </row>
    <row r="56" spans="3:28" x14ac:dyDescent="0.25">
      <c r="C56" s="10"/>
      <c r="I56" s="11"/>
      <c r="L56" s="10"/>
      <c r="M56" s="10"/>
      <c r="N56" s="10"/>
      <c r="O56" s="11"/>
      <c r="Q56" s="10"/>
      <c r="R56" s="10"/>
      <c r="S56" s="10"/>
      <c r="V56" s="10"/>
      <c r="W56" s="10"/>
      <c r="X56" s="10"/>
      <c r="AA56" s="10"/>
      <c r="AB56" s="10"/>
    </row>
    <row r="57" spans="3:28" x14ac:dyDescent="0.25">
      <c r="C57" s="10"/>
      <c r="I57" s="11"/>
      <c r="L57" s="10"/>
      <c r="M57" s="10"/>
      <c r="N57" s="10"/>
      <c r="O57" s="11"/>
      <c r="Q57" s="10"/>
      <c r="R57" s="10"/>
      <c r="S57" s="10"/>
      <c r="V57" s="10"/>
      <c r="W57" s="10"/>
      <c r="X57" s="10"/>
      <c r="AA57" s="10"/>
      <c r="AB57" s="10"/>
    </row>
    <row r="58" spans="3:28" x14ac:dyDescent="0.25">
      <c r="C58" s="10"/>
      <c r="I58" s="11"/>
      <c r="L58" s="10"/>
      <c r="M58" s="10"/>
      <c r="N58" s="10"/>
      <c r="O58" s="11"/>
      <c r="Q58" s="10"/>
      <c r="R58" s="10"/>
      <c r="S58" s="10"/>
      <c r="V58" s="10"/>
      <c r="W58" s="10"/>
      <c r="X58" s="10"/>
      <c r="AA58" s="10"/>
      <c r="AB58" s="10"/>
    </row>
    <row r="59" spans="3:28" x14ac:dyDescent="0.25">
      <c r="C59" s="10"/>
      <c r="I59" s="11"/>
      <c r="L59" s="10"/>
      <c r="M59" s="10"/>
      <c r="N59" s="10"/>
      <c r="O59" s="11"/>
      <c r="Q59" s="10"/>
      <c r="R59" s="10"/>
      <c r="S59" s="10"/>
      <c r="V59" s="10"/>
      <c r="W59" s="10"/>
      <c r="X59" s="10"/>
      <c r="AA59" s="10"/>
      <c r="AB59" s="10"/>
    </row>
    <row r="60" spans="3:28" x14ac:dyDescent="0.25">
      <c r="C60" s="10"/>
      <c r="I60" s="11"/>
      <c r="L60" s="10"/>
      <c r="M60" s="10"/>
      <c r="N60" s="10"/>
      <c r="O60" s="11"/>
      <c r="Q60" s="10"/>
      <c r="R60" s="10"/>
      <c r="S60" s="10"/>
      <c r="V60" s="10"/>
      <c r="W60" s="10"/>
      <c r="X60" s="10"/>
      <c r="AA60" s="10"/>
      <c r="AB60" s="10"/>
    </row>
    <row r="61" spans="3:28" x14ac:dyDescent="0.25">
      <c r="C61" s="10"/>
      <c r="I61" s="11"/>
      <c r="L61" s="10"/>
      <c r="M61" s="10"/>
      <c r="N61" s="10"/>
      <c r="O61" s="11"/>
      <c r="Q61" s="10"/>
      <c r="R61" s="10"/>
      <c r="S61" s="10"/>
      <c r="V61" s="10"/>
      <c r="W61" s="10"/>
      <c r="X61" s="10"/>
      <c r="AA61" s="10"/>
      <c r="AB61" s="10"/>
    </row>
    <row r="62" spans="3:28" x14ac:dyDescent="0.25">
      <c r="C62" s="10"/>
      <c r="I62" s="11"/>
      <c r="L62" s="10"/>
      <c r="M62" s="10"/>
      <c r="N62" s="10"/>
      <c r="O62" s="11"/>
      <c r="Q62" s="10"/>
      <c r="R62" s="10"/>
      <c r="S62" s="10"/>
      <c r="V62" s="10"/>
      <c r="W62" s="10"/>
      <c r="X62" s="10"/>
      <c r="AA62" s="10"/>
      <c r="AB62" s="10"/>
    </row>
    <row r="63" spans="3:28" x14ac:dyDescent="0.25">
      <c r="C63" s="10"/>
      <c r="I63" s="11"/>
      <c r="L63" s="10"/>
      <c r="M63" s="10"/>
      <c r="N63" s="10"/>
      <c r="O63" s="11"/>
      <c r="Q63" s="10"/>
      <c r="R63" s="10"/>
      <c r="S63" s="10"/>
      <c r="V63" s="10"/>
      <c r="W63" s="10"/>
      <c r="X63" s="10"/>
      <c r="AA63" s="10"/>
      <c r="AB63" s="10"/>
    </row>
    <row r="64" spans="3:28" x14ac:dyDescent="0.25">
      <c r="C64" s="10"/>
      <c r="I64" s="11"/>
      <c r="L64" s="10"/>
      <c r="M64" s="10"/>
      <c r="N64" s="10"/>
      <c r="O64" s="11"/>
      <c r="Q64" s="10"/>
      <c r="R64" s="10"/>
      <c r="S64" s="10"/>
      <c r="V64" s="10"/>
      <c r="W64" s="10"/>
      <c r="X64" s="10"/>
      <c r="AA64" s="10"/>
      <c r="AB64" s="10"/>
    </row>
    <row r="65" spans="3:28" x14ac:dyDescent="0.25">
      <c r="C65" s="10"/>
      <c r="I65" s="11"/>
      <c r="L65" s="10"/>
      <c r="M65" s="10"/>
      <c r="N65" s="10"/>
      <c r="O65" s="11"/>
      <c r="Q65" s="10"/>
      <c r="R65" s="10"/>
      <c r="S65" s="10"/>
      <c r="V65" s="10"/>
      <c r="W65" s="10"/>
      <c r="X65" s="10"/>
      <c r="AA65" s="10"/>
      <c r="AB65" s="10"/>
    </row>
    <row r="66" spans="3:28" x14ac:dyDescent="0.25">
      <c r="C66" s="10"/>
      <c r="I66" s="11"/>
      <c r="L66" s="10"/>
      <c r="M66" s="10"/>
      <c r="N66" s="10"/>
      <c r="O66" s="11"/>
      <c r="Q66" s="10"/>
      <c r="R66" s="10"/>
      <c r="S66" s="10"/>
      <c r="V66" s="10"/>
      <c r="W66" s="10"/>
      <c r="X66" s="10"/>
      <c r="AA66" s="10"/>
      <c r="AB66" s="10"/>
    </row>
    <row r="67" spans="3:28" x14ac:dyDescent="0.25">
      <c r="C67" s="10"/>
      <c r="I67" s="11"/>
      <c r="L67" s="10"/>
      <c r="M67" s="10"/>
      <c r="N67" s="10"/>
      <c r="O67" s="11"/>
      <c r="Q67" s="10"/>
      <c r="R67" s="10"/>
      <c r="S67" s="10"/>
      <c r="V67" s="10"/>
      <c r="W67" s="10"/>
      <c r="X67" s="10"/>
      <c r="AA67" s="10"/>
      <c r="AB67" s="10"/>
    </row>
    <row r="68" spans="3:28" x14ac:dyDescent="0.25">
      <c r="C68" s="10"/>
      <c r="I68" s="11"/>
      <c r="L68" s="10"/>
      <c r="M68" s="10"/>
      <c r="N68" s="10"/>
      <c r="O68" s="11"/>
      <c r="Q68" s="10"/>
      <c r="R68" s="10"/>
      <c r="S68" s="10"/>
      <c r="V68" s="10"/>
      <c r="W68" s="10"/>
      <c r="X68" s="10"/>
      <c r="AA68" s="10"/>
      <c r="AB68" s="10"/>
    </row>
    <row r="69" spans="3:28" x14ac:dyDescent="0.25">
      <c r="C69" s="10"/>
      <c r="I69" s="11"/>
      <c r="L69" s="10"/>
      <c r="M69" s="10"/>
      <c r="N69" s="10"/>
      <c r="O69" s="11"/>
      <c r="Q69" s="10"/>
      <c r="R69" s="10"/>
      <c r="S69" s="10"/>
      <c r="V69" s="10"/>
      <c r="W69" s="10"/>
      <c r="X69" s="10"/>
      <c r="AA69" s="10"/>
      <c r="AB69" s="10"/>
    </row>
    <row r="70" spans="3:28" x14ac:dyDescent="0.25">
      <c r="C70" s="10"/>
      <c r="I70" s="11"/>
      <c r="L70" s="10"/>
      <c r="M70" s="10"/>
      <c r="N70" s="10"/>
      <c r="O70" s="11"/>
      <c r="Q70" s="10"/>
      <c r="R70" s="10"/>
      <c r="S70" s="10"/>
      <c r="V70" s="10"/>
      <c r="W70" s="10"/>
      <c r="X70" s="10"/>
      <c r="AA70" s="10"/>
      <c r="AB70" s="10"/>
    </row>
    <row r="71" spans="3:28" x14ac:dyDescent="0.25">
      <c r="C71" s="10"/>
      <c r="I71" s="11"/>
      <c r="L71" s="10"/>
      <c r="M71" s="10"/>
      <c r="N71" s="10"/>
      <c r="O71" s="11"/>
      <c r="Q71" s="10"/>
      <c r="R71" s="10"/>
      <c r="S71" s="10"/>
      <c r="V71" s="10"/>
      <c r="W71" s="10"/>
      <c r="X71" s="10"/>
      <c r="AA71" s="10"/>
      <c r="AB71" s="10"/>
    </row>
    <row r="72" spans="3:28" x14ac:dyDescent="0.25">
      <c r="C72" s="10"/>
      <c r="I72" s="11"/>
      <c r="L72" s="10"/>
      <c r="M72" s="10"/>
      <c r="N72" s="10"/>
      <c r="O72" s="11"/>
      <c r="Q72" s="10"/>
      <c r="R72" s="10"/>
      <c r="S72" s="10"/>
      <c r="V72" s="10"/>
      <c r="W72" s="10"/>
      <c r="X72" s="10"/>
      <c r="AA72" s="10"/>
      <c r="AB72" s="10"/>
    </row>
    <row r="73" spans="3:28" x14ac:dyDescent="0.25">
      <c r="C73" s="10"/>
      <c r="I73" s="11"/>
      <c r="L73" s="10"/>
      <c r="M73" s="10"/>
      <c r="N73" s="10"/>
      <c r="O73" s="11"/>
      <c r="Q73" s="10"/>
      <c r="R73" s="10"/>
      <c r="S73" s="10"/>
      <c r="V73" s="10"/>
      <c r="W73" s="10"/>
      <c r="X73" s="10"/>
      <c r="AA73" s="10"/>
      <c r="AB73" s="10"/>
    </row>
    <row r="74" spans="3:28" x14ac:dyDescent="0.25">
      <c r="C74" s="10"/>
      <c r="I74" s="11"/>
      <c r="L74" s="10"/>
      <c r="M74" s="10"/>
      <c r="N74" s="10"/>
      <c r="O74" s="11"/>
      <c r="Q74" s="10"/>
      <c r="R74" s="10"/>
      <c r="S74" s="10"/>
      <c r="V74" s="10"/>
      <c r="W74" s="10"/>
      <c r="X74" s="10"/>
      <c r="AA74" s="10"/>
      <c r="AB74" s="10"/>
    </row>
    <row r="75" spans="3:28" x14ac:dyDescent="0.25">
      <c r="C75" s="10"/>
      <c r="I75" s="11"/>
      <c r="L75" s="10"/>
      <c r="M75" s="10"/>
      <c r="N75" s="10"/>
      <c r="O75" s="11"/>
      <c r="Q75" s="10"/>
      <c r="R75" s="10"/>
      <c r="S75" s="10"/>
      <c r="V75" s="10"/>
      <c r="W75" s="10"/>
      <c r="X75" s="10"/>
      <c r="AA75" s="10"/>
      <c r="AB75" s="10"/>
    </row>
    <row r="76" spans="3:28" x14ac:dyDescent="0.25">
      <c r="C76" s="10"/>
      <c r="I76" s="11"/>
      <c r="L76" s="10"/>
      <c r="M76" s="10"/>
      <c r="N76" s="10"/>
      <c r="O76" s="11"/>
      <c r="Q76" s="10"/>
      <c r="R76" s="10"/>
      <c r="S76" s="10"/>
      <c r="V76" s="10"/>
      <c r="W76" s="10"/>
      <c r="X76" s="10"/>
      <c r="AA76" s="10"/>
      <c r="AB76" s="10"/>
    </row>
    <row r="77" spans="3:28" x14ac:dyDescent="0.25">
      <c r="C77" s="10"/>
      <c r="I77" s="11"/>
      <c r="J77" s="10"/>
      <c r="K77" s="10"/>
      <c r="L77" s="10"/>
      <c r="M77" s="10"/>
      <c r="N77" s="10"/>
      <c r="O77" s="11"/>
      <c r="Q77" s="10"/>
      <c r="R77" s="10"/>
      <c r="S77" s="10"/>
      <c r="V77" s="10"/>
      <c r="W77" s="10"/>
      <c r="X77" s="10"/>
      <c r="AA77" s="10"/>
      <c r="AB77" s="10"/>
    </row>
    <row r="78" spans="3:28" x14ac:dyDescent="0.25">
      <c r="C78" s="10"/>
      <c r="I78" s="11"/>
      <c r="L78" s="10"/>
      <c r="M78" s="10"/>
      <c r="N78" s="10"/>
      <c r="O78" s="11"/>
      <c r="Q78" s="10"/>
      <c r="R78" s="10"/>
      <c r="S78" s="10"/>
      <c r="V78" s="10"/>
      <c r="W78" s="10"/>
      <c r="X78" s="10"/>
      <c r="AA78" s="10"/>
      <c r="AB78" s="10"/>
    </row>
    <row r="79" spans="3:28" x14ac:dyDescent="0.25">
      <c r="L79" s="10"/>
      <c r="M79" s="10"/>
      <c r="N79" s="10"/>
      <c r="Q79" s="10"/>
      <c r="R79" s="10"/>
      <c r="S79" s="10"/>
      <c r="V79" s="10"/>
      <c r="W79" s="10"/>
      <c r="X79" s="10"/>
      <c r="AA79" s="10"/>
      <c r="AB79" s="10"/>
    </row>
    <row r="80" spans="3:28" x14ac:dyDescent="0.25">
      <c r="L80" s="10"/>
      <c r="M80" s="10"/>
      <c r="N80" s="10"/>
      <c r="Q80" s="10"/>
      <c r="R80" s="10"/>
      <c r="S80" s="10"/>
      <c r="V80" s="10"/>
      <c r="W80" s="10"/>
      <c r="X80" s="10"/>
      <c r="AA80" s="10"/>
      <c r="AB80" s="10"/>
    </row>
    <row r="81" spans="12:28" x14ac:dyDescent="0.25">
      <c r="L81" s="10"/>
      <c r="M81" s="10"/>
      <c r="N81" s="10"/>
      <c r="Q81" s="10"/>
      <c r="R81" s="10"/>
      <c r="S81" s="10"/>
      <c r="V81" s="10"/>
      <c r="W81" s="10"/>
      <c r="X81" s="10"/>
      <c r="AA81" s="10"/>
      <c r="AB81" s="10"/>
    </row>
    <row r="82" spans="12:28" x14ac:dyDescent="0.25">
      <c r="L82" s="10"/>
      <c r="M82" s="10"/>
      <c r="N82" s="10"/>
      <c r="Q82" s="10"/>
      <c r="R82" s="10"/>
      <c r="S82" s="10"/>
      <c r="V82" s="10"/>
      <c r="W82" s="10"/>
      <c r="X82" s="10"/>
      <c r="AA82" s="10"/>
      <c r="AB82" s="10"/>
    </row>
    <row r="83" spans="12:28" x14ac:dyDescent="0.25">
      <c r="L83" s="10"/>
      <c r="M83" s="10"/>
      <c r="N83" s="10"/>
      <c r="Q83" s="10"/>
      <c r="R83" s="10"/>
      <c r="S83" s="10"/>
      <c r="V83" s="10"/>
      <c r="W83" s="10"/>
      <c r="X83" s="10"/>
      <c r="AA83" s="10"/>
      <c r="AB83" s="10"/>
    </row>
    <row r="84" spans="12:28" x14ac:dyDescent="0.25">
      <c r="L84" s="10"/>
      <c r="M84" s="10"/>
      <c r="N84" s="10"/>
      <c r="Q84" s="10"/>
      <c r="R84" s="10"/>
      <c r="S84" s="10"/>
      <c r="V84" s="10"/>
      <c r="W84" s="10"/>
      <c r="X84" s="10"/>
      <c r="AA84" s="10"/>
      <c r="AB84" s="10"/>
    </row>
    <row r="85" spans="12:28" x14ac:dyDescent="0.25">
      <c r="L85" s="10"/>
      <c r="M85" s="10"/>
      <c r="N85" s="10"/>
      <c r="Q85" s="10"/>
      <c r="R85" s="10"/>
      <c r="S85" s="10"/>
      <c r="V85" s="10"/>
      <c r="W85" s="10"/>
      <c r="X85" s="10"/>
      <c r="AA85" s="10"/>
      <c r="AB85" s="10"/>
    </row>
    <row r="86" spans="12:28" x14ac:dyDescent="0.25">
      <c r="L86" s="10"/>
      <c r="M86" s="10"/>
      <c r="N86" s="10"/>
      <c r="Q86" s="10"/>
      <c r="R86" s="10"/>
      <c r="S86" s="10"/>
      <c r="V86" s="10"/>
      <c r="W86" s="10"/>
      <c r="X86" s="10"/>
      <c r="AA86" s="10"/>
      <c r="AB86" s="10"/>
    </row>
    <row r="87" spans="12:28" x14ac:dyDescent="0.25">
      <c r="L87" s="10"/>
      <c r="M87" s="10"/>
      <c r="N87" s="10"/>
      <c r="Q87" s="10"/>
      <c r="R87" s="10"/>
      <c r="S87" s="10"/>
      <c r="V87" s="10"/>
      <c r="W87" s="10"/>
      <c r="X87" s="10"/>
      <c r="AA87" s="10"/>
      <c r="AB87" s="10"/>
    </row>
    <row r="88" spans="12:28" x14ac:dyDescent="0.25">
      <c r="L88" s="10"/>
      <c r="M88" s="10"/>
      <c r="N88" s="10"/>
      <c r="Q88" s="10"/>
      <c r="R88" s="10"/>
      <c r="S88" s="10"/>
      <c r="V88" s="10"/>
      <c r="W88" s="10"/>
      <c r="X88" s="10"/>
      <c r="AA88" s="10"/>
      <c r="AB88" s="10"/>
    </row>
    <row r="89" spans="12:28" x14ac:dyDescent="0.25">
      <c r="L89" s="10"/>
      <c r="M89" s="10"/>
      <c r="N89" s="10"/>
      <c r="Q89" s="10"/>
      <c r="R89" s="10"/>
      <c r="S89" s="10"/>
      <c r="V89" s="10"/>
      <c r="W89" s="10"/>
      <c r="X89" s="10"/>
      <c r="AA89" s="10"/>
      <c r="AB89" s="10"/>
    </row>
    <row r="90" spans="12:28" x14ac:dyDescent="0.25">
      <c r="L90" s="10"/>
      <c r="M90" s="10"/>
      <c r="N90" s="10"/>
      <c r="Q90" s="10"/>
      <c r="R90" s="10"/>
      <c r="S90" s="10"/>
      <c r="V90" s="10"/>
      <c r="W90" s="10"/>
      <c r="X90" s="10"/>
      <c r="AA90" s="10"/>
      <c r="AB90" s="10"/>
    </row>
    <row r="91" spans="12:28" x14ac:dyDescent="0.25">
      <c r="L91" s="10"/>
      <c r="M91" s="10"/>
      <c r="N91" s="10"/>
      <c r="Q91" s="10"/>
      <c r="R91" s="10"/>
      <c r="S91" s="10"/>
      <c r="V91" s="10"/>
      <c r="W91" s="10"/>
      <c r="X91" s="10"/>
      <c r="AA91" s="10"/>
      <c r="AB91" s="10"/>
    </row>
    <row r="92" spans="12:28" x14ac:dyDescent="0.25">
      <c r="L92" s="10"/>
      <c r="M92" s="10"/>
      <c r="N92" s="10"/>
      <c r="Q92" s="10"/>
      <c r="R92" s="10"/>
      <c r="S92" s="10"/>
      <c r="V92" s="10"/>
      <c r="W92" s="10"/>
      <c r="X92" s="10"/>
      <c r="AA92" s="10"/>
      <c r="AB92" s="10"/>
    </row>
    <row r="93" spans="12:28" x14ac:dyDescent="0.25">
      <c r="L93" s="10"/>
      <c r="M93" s="10"/>
      <c r="N93" s="10"/>
      <c r="Q93" s="10"/>
      <c r="R93" s="10"/>
      <c r="S93" s="10"/>
      <c r="V93" s="10"/>
      <c r="W93" s="10"/>
      <c r="X93" s="10"/>
      <c r="AA93" s="10"/>
      <c r="AB93" s="10"/>
    </row>
    <row r="94" spans="12:28" x14ac:dyDescent="0.25">
      <c r="L94" s="10"/>
      <c r="M94" s="10"/>
      <c r="N94" s="10"/>
      <c r="Q94" s="10"/>
      <c r="R94" s="10"/>
      <c r="S94" s="10"/>
      <c r="V94" s="10"/>
      <c r="W94" s="10"/>
      <c r="X94" s="10"/>
      <c r="AA94" s="10"/>
      <c r="AB94" s="10"/>
    </row>
    <row r="95" spans="12:28" x14ac:dyDescent="0.25">
      <c r="L95" s="10"/>
      <c r="M95" s="10"/>
      <c r="N95" s="10"/>
      <c r="Q95" s="10"/>
      <c r="R95" s="10"/>
      <c r="S95" s="10"/>
      <c r="V95" s="10"/>
      <c r="W95" s="10"/>
      <c r="X95" s="10"/>
      <c r="AA95" s="10"/>
      <c r="AB95" s="10"/>
    </row>
    <row r="96" spans="12:28" x14ac:dyDescent="0.25">
      <c r="L96" s="10"/>
      <c r="M96" s="10"/>
      <c r="N96" s="10"/>
      <c r="Q96" s="10"/>
      <c r="R96" s="10"/>
      <c r="S96" s="10"/>
      <c r="V96" s="10"/>
      <c r="W96" s="10"/>
      <c r="X96" s="10"/>
      <c r="AA96" s="10"/>
      <c r="AB96" s="10"/>
    </row>
    <row r="97" spans="12:28" x14ac:dyDescent="0.25">
      <c r="L97" s="10"/>
      <c r="M97" s="10"/>
      <c r="N97" s="10"/>
      <c r="Q97" s="10"/>
      <c r="R97" s="10"/>
      <c r="S97" s="10"/>
      <c r="V97" s="10"/>
      <c r="W97" s="10"/>
      <c r="X97" s="10"/>
      <c r="AA97" s="10"/>
      <c r="AB97" s="10"/>
    </row>
    <row r="98" spans="12:28" x14ac:dyDescent="0.25">
      <c r="L98" s="10"/>
      <c r="M98" s="10"/>
      <c r="N98" s="10"/>
      <c r="Q98" s="10"/>
      <c r="R98" s="10"/>
      <c r="S98" s="10"/>
      <c r="V98" s="10"/>
      <c r="W98" s="10"/>
      <c r="X98" s="10"/>
      <c r="AA98" s="10"/>
      <c r="AB98" s="10"/>
    </row>
    <row r="99" spans="12:28" x14ac:dyDescent="0.25">
      <c r="L99" s="10"/>
      <c r="M99" s="10"/>
      <c r="N99" s="10"/>
      <c r="Q99" s="10"/>
      <c r="R99" s="10"/>
      <c r="S99" s="10"/>
      <c r="V99" s="10"/>
      <c r="W99" s="10"/>
      <c r="X99" s="10"/>
      <c r="AA99" s="10"/>
      <c r="AB99" s="10"/>
    </row>
    <row r="100" spans="12:28" x14ac:dyDescent="0.25">
      <c r="L100" s="10"/>
      <c r="M100" s="10"/>
      <c r="N100" s="10"/>
      <c r="Q100" s="10"/>
      <c r="R100" s="10"/>
      <c r="S100" s="10"/>
      <c r="V100" s="10"/>
      <c r="W100" s="10"/>
      <c r="X100" s="10"/>
      <c r="AA100" s="10"/>
      <c r="AB100" s="10"/>
    </row>
    <row r="101" spans="12:28" x14ac:dyDescent="0.25">
      <c r="L101" s="10"/>
      <c r="M101" s="10"/>
      <c r="N101" s="10"/>
      <c r="Q101" s="10"/>
      <c r="R101" s="10"/>
      <c r="S101" s="10"/>
      <c r="V101" s="10"/>
      <c r="W101" s="10"/>
      <c r="X101" s="10"/>
      <c r="AA101" s="10"/>
      <c r="AB101" s="10"/>
    </row>
    <row r="102" spans="12:28" x14ac:dyDescent="0.25">
      <c r="L102" s="10"/>
      <c r="M102" s="10"/>
      <c r="N102" s="10"/>
      <c r="Q102" s="10"/>
      <c r="R102" s="10"/>
      <c r="S102" s="10"/>
      <c r="V102" s="10"/>
      <c r="W102" s="10"/>
      <c r="X102" s="10"/>
      <c r="AA102" s="10"/>
      <c r="AB102" s="10"/>
    </row>
    <row r="103" spans="12:28" x14ac:dyDescent="0.25">
      <c r="L103" s="10"/>
      <c r="M103" s="10"/>
      <c r="N103" s="10"/>
      <c r="Q103" s="10"/>
      <c r="R103" s="10"/>
      <c r="S103" s="10"/>
      <c r="V103" s="10"/>
      <c r="W103" s="10"/>
      <c r="X103" s="10"/>
      <c r="AA103" s="10"/>
      <c r="AB103" s="10"/>
    </row>
    <row r="104" spans="12:28" x14ac:dyDescent="0.25">
      <c r="L104" s="10"/>
      <c r="M104" s="10"/>
      <c r="N104" s="10"/>
      <c r="Q104" s="10"/>
      <c r="R104" s="10"/>
      <c r="S104" s="10"/>
      <c r="V104" s="10"/>
      <c r="W104" s="10"/>
      <c r="X104" s="10"/>
      <c r="AA104" s="10"/>
      <c r="AB104" s="10"/>
    </row>
    <row r="105" spans="12:28" x14ac:dyDescent="0.25">
      <c r="L105" s="10"/>
      <c r="M105" s="10"/>
      <c r="N105" s="10"/>
      <c r="Q105" s="10"/>
      <c r="R105" s="10"/>
      <c r="S105" s="10"/>
      <c r="V105" s="10"/>
      <c r="W105" s="10"/>
      <c r="X105" s="10"/>
      <c r="AA105" s="10"/>
      <c r="AB105" s="10"/>
    </row>
    <row r="106" spans="12:28" x14ac:dyDescent="0.25">
      <c r="L106" s="10"/>
      <c r="M106" s="10"/>
      <c r="N106" s="10"/>
      <c r="Q106" s="10"/>
      <c r="R106" s="10"/>
      <c r="S106" s="10"/>
      <c r="V106" s="10"/>
      <c r="W106" s="10"/>
      <c r="X106" s="10"/>
      <c r="AA106" s="10"/>
      <c r="AB106" s="10"/>
    </row>
    <row r="107" spans="12:28" x14ac:dyDescent="0.25">
      <c r="L107" s="10"/>
      <c r="M107" s="10"/>
      <c r="N107" s="10"/>
      <c r="Q107" s="10"/>
      <c r="R107" s="10"/>
      <c r="S107" s="10"/>
      <c r="V107" s="10"/>
      <c r="W107" s="10"/>
      <c r="X107" s="10"/>
      <c r="AA107" s="10"/>
      <c r="AB107" s="10"/>
    </row>
    <row r="108" spans="12:28" x14ac:dyDescent="0.25">
      <c r="L108" s="10"/>
      <c r="M108" s="10"/>
      <c r="N108" s="10"/>
      <c r="Q108" s="10"/>
      <c r="R108" s="10"/>
      <c r="S108" s="10"/>
      <c r="V108" s="10"/>
      <c r="W108" s="10"/>
      <c r="X108" s="10"/>
      <c r="AA108" s="10"/>
      <c r="AB108" s="10"/>
    </row>
    <row r="109" spans="12:28" x14ac:dyDescent="0.25">
      <c r="L109" s="10"/>
      <c r="M109" s="10"/>
      <c r="N109" s="10"/>
      <c r="Q109" s="10"/>
      <c r="R109" s="10"/>
      <c r="S109" s="10"/>
      <c r="V109" s="10"/>
      <c r="W109" s="10"/>
      <c r="X109" s="10"/>
      <c r="AA109" s="10"/>
      <c r="AB109" s="10"/>
    </row>
    <row r="110" spans="12:28" x14ac:dyDescent="0.25">
      <c r="L110" s="10"/>
      <c r="M110" s="10"/>
      <c r="N110" s="10"/>
      <c r="Q110" s="10"/>
      <c r="R110" s="10"/>
      <c r="S110" s="10"/>
      <c r="V110" s="10"/>
      <c r="W110" s="10"/>
      <c r="X110" s="10"/>
      <c r="AA110" s="10"/>
      <c r="AB110" s="10"/>
    </row>
    <row r="111" spans="12:28" x14ac:dyDescent="0.25">
      <c r="L111" s="10"/>
      <c r="M111" s="10"/>
      <c r="N111" s="10"/>
      <c r="Q111" s="10"/>
      <c r="R111" s="10"/>
      <c r="S111" s="10"/>
      <c r="V111" s="10"/>
      <c r="W111" s="10"/>
      <c r="X111" s="10"/>
      <c r="AA111" s="10"/>
      <c r="AB111" s="10"/>
    </row>
    <row r="112" spans="12:28" x14ac:dyDescent="0.25">
      <c r="L112" s="10"/>
      <c r="M112" s="10"/>
      <c r="N112" s="10"/>
      <c r="Q112" s="10"/>
      <c r="R112" s="10"/>
      <c r="S112" s="10"/>
      <c r="V112" s="10"/>
      <c r="W112" s="10"/>
      <c r="X112" s="10"/>
      <c r="AA112" s="10"/>
      <c r="AB112" s="10"/>
    </row>
    <row r="113" spans="12:28" x14ac:dyDescent="0.25">
      <c r="L113" s="10"/>
      <c r="M113" s="10"/>
      <c r="N113" s="10"/>
      <c r="Q113" s="10"/>
      <c r="R113" s="10"/>
      <c r="S113" s="10"/>
      <c r="V113" s="10"/>
      <c r="W113" s="10"/>
      <c r="X113" s="10"/>
      <c r="AA113" s="10"/>
      <c r="AB113" s="10"/>
    </row>
    <row r="114" spans="12:28" x14ac:dyDescent="0.25">
      <c r="L114" s="10"/>
      <c r="M114" s="10"/>
      <c r="N114" s="10"/>
      <c r="Q114" s="10"/>
      <c r="R114" s="10"/>
      <c r="S114" s="10"/>
      <c r="V114" s="10"/>
      <c r="W114" s="10"/>
      <c r="X114" s="10"/>
      <c r="AA114" s="10"/>
      <c r="AB114" s="10"/>
    </row>
    <row r="115" spans="12:28" x14ac:dyDescent="0.25">
      <c r="L115" s="10"/>
      <c r="M115" s="10"/>
      <c r="N115" s="10"/>
      <c r="Q115" s="10"/>
      <c r="R115" s="10"/>
      <c r="S115" s="10"/>
      <c r="V115" s="10"/>
      <c r="W115" s="10"/>
      <c r="X115" s="10"/>
      <c r="AA115" s="10"/>
      <c r="AB115" s="10"/>
    </row>
    <row r="116" spans="12:28" x14ac:dyDescent="0.25">
      <c r="L116" s="10"/>
      <c r="M116" s="10"/>
      <c r="N116" s="10"/>
      <c r="Q116" s="10"/>
      <c r="R116" s="10"/>
      <c r="S116" s="10"/>
      <c r="V116" s="10"/>
      <c r="W116" s="10"/>
      <c r="X116" s="10"/>
      <c r="AA116" s="10"/>
      <c r="AB116" s="10"/>
    </row>
    <row r="117" spans="12:28" x14ac:dyDescent="0.25">
      <c r="L117" s="10"/>
      <c r="M117" s="10"/>
      <c r="N117" s="10"/>
      <c r="Q117" s="10"/>
      <c r="R117" s="10"/>
      <c r="S117" s="10"/>
      <c r="V117" s="10"/>
      <c r="W117" s="10"/>
      <c r="X117" s="10"/>
      <c r="AA117" s="10"/>
      <c r="AB117" s="10"/>
    </row>
    <row r="118" spans="12:28" x14ac:dyDescent="0.25">
      <c r="L118" s="10"/>
      <c r="M118" s="10"/>
      <c r="N118" s="10"/>
      <c r="Q118" s="10"/>
      <c r="R118" s="10"/>
      <c r="S118" s="10"/>
      <c r="V118" s="10"/>
      <c r="W118" s="10"/>
      <c r="X118" s="10"/>
      <c r="AA118" s="10"/>
      <c r="AB118" s="10"/>
    </row>
    <row r="119" spans="12:28" x14ac:dyDescent="0.25">
      <c r="L119" s="10"/>
      <c r="M119" s="10"/>
      <c r="N119" s="10"/>
      <c r="Q119" s="10"/>
      <c r="R119" s="10"/>
      <c r="S119" s="10"/>
      <c r="V119" s="10"/>
      <c r="W119" s="10"/>
      <c r="X119" s="10"/>
      <c r="AA119" s="10"/>
      <c r="AB119" s="10"/>
    </row>
    <row r="120" spans="12:28" x14ac:dyDescent="0.25">
      <c r="L120" s="10"/>
      <c r="M120" s="10"/>
      <c r="N120" s="10"/>
      <c r="Q120" s="10"/>
      <c r="R120" s="10"/>
      <c r="S120" s="10"/>
      <c r="V120" s="10"/>
      <c r="W120" s="10"/>
      <c r="X120" s="10"/>
      <c r="AA120" s="10"/>
      <c r="AB120" s="10"/>
    </row>
    <row r="121" spans="12:28" x14ac:dyDescent="0.25">
      <c r="L121" s="10"/>
      <c r="M121" s="10"/>
      <c r="N121" s="10"/>
      <c r="Q121" s="10"/>
      <c r="R121" s="10"/>
      <c r="S121" s="10"/>
      <c r="V121" s="10"/>
      <c r="W121" s="10"/>
      <c r="X121" s="10"/>
      <c r="AA121" s="10"/>
      <c r="AB121" s="10"/>
    </row>
    <row r="122" spans="12:28" x14ac:dyDescent="0.25">
      <c r="L122" s="10"/>
      <c r="M122" s="10"/>
      <c r="N122" s="10"/>
      <c r="Q122" s="10"/>
      <c r="R122" s="10"/>
      <c r="S122" s="10"/>
      <c r="V122" s="10"/>
      <c r="W122" s="10"/>
      <c r="X122" s="10"/>
      <c r="AA122" s="10"/>
      <c r="AB122" s="10"/>
    </row>
    <row r="123" spans="12:28" x14ac:dyDescent="0.25">
      <c r="L123" s="10"/>
      <c r="M123" s="10"/>
      <c r="N123" s="10"/>
      <c r="Q123" s="10"/>
      <c r="R123" s="10"/>
      <c r="S123" s="10"/>
      <c r="V123" s="10"/>
      <c r="W123" s="10"/>
      <c r="X123" s="10"/>
      <c r="AA123" s="10"/>
      <c r="AB123" s="10"/>
    </row>
    <row r="124" spans="12:28" x14ac:dyDescent="0.25">
      <c r="L124" s="10"/>
      <c r="M124" s="10"/>
      <c r="N124" s="10"/>
      <c r="Q124" s="10"/>
      <c r="R124" s="10"/>
      <c r="S124" s="10"/>
      <c r="V124" s="10"/>
      <c r="W124" s="10"/>
      <c r="X124" s="10"/>
      <c r="AA124" s="10"/>
      <c r="AB124" s="10"/>
    </row>
    <row r="125" spans="12:28" x14ac:dyDescent="0.25">
      <c r="L125" s="10"/>
      <c r="M125" s="10"/>
      <c r="N125" s="10"/>
      <c r="Q125" s="10"/>
      <c r="R125" s="10"/>
      <c r="S125" s="10"/>
      <c r="V125" s="10"/>
      <c r="W125" s="10"/>
      <c r="X125" s="10"/>
      <c r="AA125" s="10"/>
      <c r="AB125" s="10"/>
    </row>
    <row r="126" spans="12:28" x14ac:dyDescent="0.25">
      <c r="L126" s="10"/>
      <c r="M126" s="10"/>
      <c r="N126" s="10"/>
      <c r="Q126" s="10"/>
      <c r="R126" s="10"/>
      <c r="S126" s="10"/>
      <c r="V126" s="10"/>
      <c r="W126" s="10"/>
      <c r="X126" s="10"/>
      <c r="AA126" s="10"/>
      <c r="AB126" s="10"/>
    </row>
    <row r="127" spans="12:28" x14ac:dyDescent="0.25">
      <c r="L127" s="10"/>
      <c r="M127" s="10"/>
      <c r="N127" s="10"/>
      <c r="Q127" s="10"/>
      <c r="R127" s="10"/>
      <c r="S127" s="10"/>
      <c r="V127" s="10"/>
      <c r="W127" s="10"/>
      <c r="X127" s="10"/>
      <c r="AA127" s="10"/>
      <c r="AB127" s="10"/>
    </row>
    <row r="128" spans="12:28" x14ac:dyDescent="0.25">
      <c r="L128" s="10"/>
      <c r="M128" s="10"/>
      <c r="N128" s="10"/>
      <c r="Q128" s="10"/>
      <c r="R128" s="10"/>
      <c r="S128" s="10"/>
      <c r="V128" s="10"/>
      <c r="W128" s="10"/>
      <c r="X128" s="10"/>
      <c r="AA128" s="10"/>
      <c r="AB128" s="10"/>
    </row>
    <row r="129" spans="12:28" x14ac:dyDescent="0.25">
      <c r="L129" s="10"/>
      <c r="M129" s="10"/>
      <c r="N129" s="10"/>
      <c r="Q129" s="10"/>
      <c r="R129" s="10"/>
      <c r="S129" s="10"/>
      <c r="V129" s="10"/>
      <c r="W129" s="10"/>
      <c r="X129" s="10"/>
      <c r="AA129" s="10"/>
      <c r="AB129" s="10"/>
    </row>
    <row r="130" spans="12:28" x14ac:dyDescent="0.25">
      <c r="L130" s="10"/>
      <c r="M130" s="10"/>
      <c r="N130" s="10"/>
      <c r="Q130" s="10"/>
      <c r="R130" s="10"/>
      <c r="S130" s="10"/>
      <c r="V130" s="10"/>
      <c r="W130" s="10"/>
      <c r="X130" s="10"/>
      <c r="AA130" s="10"/>
      <c r="AB130" s="10"/>
    </row>
    <row r="131" spans="12:28" x14ac:dyDescent="0.25">
      <c r="L131" s="10"/>
      <c r="M131" s="10"/>
      <c r="N131" s="10"/>
      <c r="Q131" s="10"/>
      <c r="R131" s="10"/>
      <c r="S131" s="10"/>
      <c r="V131" s="10"/>
      <c r="W131" s="10"/>
      <c r="X131" s="10"/>
      <c r="AA131" s="10"/>
      <c r="AB131" s="10"/>
    </row>
    <row r="132" spans="12:28" x14ac:dyDescent="0.25">
      <c r="L132" s="10"/>
      <c r="M132" s="10"/>
      <c r="N132" s="10"/>
      <c r="Q132" s="10"/>
      <c r="R132" s="10"/>
      <c r="S132" s="10"/>
      <c r="V132" s="10"/>
      <c r="W132" s="10"/>
      <c r="X132" s="10"/>
      <c r="AA132" s="10"/>
      <c r="AB132" s="10"/>
    </row>
    <row r="133" spans="12:28" x14ac:dyDescent="0.25">
      <c r="L133" s="10"/>
      <c r="M133" s="10"/>
      <c r="N133" s="10"/>
      <c r="Q133" s="10"/>
      <c r="R133" s="10"/>
      <c r="S133" s="10"/>
      <c r="V133" s="10"/>
      <c r="W133" s="10"/>
      <c r="X133" s="10"/>
      <c r="AA133" s="10"/>
      <c r="AB133" s="10"/>
    </row>
    <row r="134" spans="12:28" x14ac:dyDescent="0.25">
      <c r="L134" s="10"/>
      <c r="M134" s="10"/>
      <c r="N134" s="10"/>
      <c r="Q134" s="10"/>
      <c r="R134" s="10"/>
      <c r="S134" s="10"/>
      <c r="V134" s="10"/>
      <c r="W134" s="10"/>
      <c r="X134" s="10"/>
      <c r="AA134" s="10"/>
      <c r="AB134" s="10"/>
    </row>
    <row r="135" spans="12:28" x14ac:dyDescent="0.25">
      <c r="L135" s="10"/>
      <c r="M135" s="10"/>
      <c r="N135" s="10"/>
      <c r="Q135" s="10"/>
      <c r="R135" s="10"/>
      <c r="S135" s="10"/>
      <c r="V135" s="10"/>
      <c r="W135" s="10"/>
      <c r="X135" s="10"/>
      <c r="AA135" s="10"/>
      <c r="AB135" s="10"/>
    </row>
    <row r="136" spans="12:28" x14ac:dyDescent="0.25">
      <c r="L136" s="10"/>
      <c r="M136" s="10"/>
      <c r="N136" s="10"/>
      <c r="Q136" s="10"/>
      <c r="R136" s="10"/>
      <c r="S136" s="10"/>
      <c r="V136" s="10"/>
      <c r="W136" s="10"/>
      <c r="X136" s="10"/>
      <c r="AA136" s="10"/>
      <c r="AB136" s="10"/>
    </row>
    <row r="137" spans="12:28" x14ac:dyDescent="0.25">
      <c r="L137" s="10"/>
      <c r="M137" s="10"/>
      <c r="N137" s="10"/>
      <c r="Q137" s="10"/>
      <c r="R137" s="10"/>
      <c r="S137" s="10"/>
      <c r="V137" s="10"/>
      <c r="W137" s="10"/>
      <c r="X137" s="10"/>
      <c r="AA137" s="10"/>
      <c r="AB137" s="10"/>
    </row>
    <row r="138" spans="12:28" x14ac:dyDescent="0.25">
      <c r="L138" s="10"/>
      <c r="M138" s="10"/>
      <c r="N138" s="10"/>
      <c r="Q138" s="10"/>
      <c r="R138" s="10"/>
      <c r="S138" s="10"/>
      <c r="V138" s="10"/>
      <c r="W138" s="10"/>
      <c r="X138" s="10"/>
      <c r="AA138" s="10"/>
      <c r="AB138" s="10"/>
    </row>
    <row r="139" spans="12:28" x14ac:dyDescent="0.25">
      <c r="L139" s="10"/>
      <c r="M139" s="10"/>
      <c r="N139" s="10"/>
      <c r="Q139" s="10"/>
      <c r="R139" s="10"/>
      <c r="S139" s="10"/>
      <c r="V139" s="10"/>
      <c r="W139" s="10"/>
      <c r="X139" s="10"/>
      <c r="AA139" s="10"/>
      <c r="AB139" s="10"/>
    </row>
    <row r="140" spans="12:28" x14ac:dyDescent="0.25">
      <c r="L140" s="10"/>
      <c r="M140" s="10"/>
      <c r="N140" s="10"/>
      <c r="Q140" s="10"/>
      <c r="R140" s="10"/>
      <c r="S140" s="10"/>
      <c r="V140" s="10"/>
      <c r="W140" s="10"/>
      <c r="X140" s="10"/>
      <c r="AA140" s="10"/>
      <c r="AB140" s="10"/>
    </row>
    <row r="141" spans="12:28" x14ac:dyDescent="0.25">
      <c r="L141" s="10"/>
      <c r="M141" s="10"/>
      <c r="N141" s="10"/>
      <c r="Q141" s="10"/>
      <c r="R141" s="10"/>
      <c r="S141" s="10"/>
      <c r="V141" s="10"/>
      <c r="W141" s="10"/>
      <c r="X141" s="10"/>
      <c r="AA141" s="10"/>
      <c r="AB141" s="10"/>
    </row>
    <row r="142" spans="12:28" x14ac:dyDescent="0.25">
      <c r="L142" s="10"/>
      <c r="M142" s="10"/>
      <c r="N142" s="10"/>
      <c r="Q142" s="10"/>
      <c r="R142" s="10"/>
      <c r="S142" s="10"/>
      <c r="V142" s="10"/>
      <c r="W142" s="10"/>
      <c r="X142" s="10"/>
      <c r="AA142" s="10"/>
      <c r="AB142" s="10"/>
    </row>
    <row r="143" spans="12:28" x14ac:dyDescent="0.25">
      <c r="L143" s="10"/>
      <c r="M143" s="10"/>
      <c r="N143" s="10"/>
      <c r="Q143" s="10"/>
      <c r="R143" s="10"/>
      <c r="S143" s="10"/>
      <c r="V143" s="10"/>
      <c r="W143" s="10"/>
      <c r="X143" s="10"/>
      <c r="AA143" s="10"/>
      <c r="AB143" s="10"/>
    </row>
    <row r="144" spans="12:28" x14ac:dyDescent="0.25">
      <c r="L144" s="10"/>
      <c r="M144" s="10"/>
      <c r="N144" s="10"/>
      <c r="Q144" s="10"/>
      <c r="R144" s="10"/>
      <c r="S144" s="10"/>
      <c r="V144" s="10"/>
      <c r="W144" s="10"/>
      <c r="X144" s="10"/>
      <c r="AA144" s="10"/>
      <c r="AB144" s="10"/>
    </row>
    <row r="145" spans="12:28" x14ac:dyDescent="0.25">
      <c r="L145" s="10"/>
      <c r="M145" s="10"/>
      <c r="N145" s="10"/>
      <c r="Q145" s="10"/>
      <c r="R145" s="10"/>
      <c r="S145" s="10"/>
      <c r="V145" s="10"/>
      <c r="W145" s="10"/>
      <c r="X145" s="10"/>
      <c r="AA145" s="10"/>
      <c r="AB145" s="10"/>
    </row>
    <row r="146" spans="12:28" x14ac:dyDescent="0.25">
      <c r="L146" s="10"/>
      <c r="M146" s="10"/>
      <c r="N146" s="10"/>
      <c r="Q146" s="10"/>
      <c r="R146" s="10"/>
      <c r="S146" s="10"/>
      <c r="V146" s="10"/>
      <c r="W146" s="10"/>
      <c r="X146" s="10"/>
      <c r="AA146" s="10"/>
      <c r="AB146" s="10"/>
    </row>
    <row r="147" spans="12:28" x14ac:dyDescent="0.25">
      <c r="L147" s="10"/>
      <c r="M147" s="10"/>
      <c r="N147" s="10"/>
      <c r="Q147" s="10"/>
      <c r="R147" s="10"/>
      <c r="S147" s="10"/>
      <c r="V147" s="10"/>
      <c r="W147" s="10"/>
      <c r="X147" s="10"/>
      <c r="AA147" s="10"/>
      <c r="AB147" s="10"/>
    </row>
    <row r="148" spans="12:28" x14ac:dyDescent="0.25">
      <c r="L148" s="10"/>
      <c r="M148" s="10"/>
      <c r="N148" s="10"/>
      <c r="Q148" s="10"/>
      <c r="R148" s="10"/>
      <c r="S148" s="10"/>
      <c r="V148" s="10"/>
      <c r="W148" s="10"/>
      <c r="X148" s="10"/>
      <c r="AA148" s="10"/>
      <c r="AB148" s="10"/>
    </row>
    <row r="149" spans="12:28" x14ac:dyDescent="0.25">
      <c r="L149" s="10"/>
      <c r="M149" s="10"/>
      <c r="N149" s="10"/>
      <c r="Q149" s="10"/>
      <c r="R149" s="10"/>
      <c r="S149" s="10"/>
      <c r="V149" s="10"/>
      <c r="W149" s="10"/>
      <c r="X149" s="10"/>
      <c r="AA149" s="10"/>
      <c r="AB149" s="10"/>
    </row>
    <row r="150" spans="12:28" x14ac:dyDescent="0.25">
      <c r="L150" s="10"/>
      <c r="M150" s="10"/>
      <c r="N150" s="10"/>
      <c r="Q150" s="10"/>
      <c r="R150" s="10"/>
      <c r="S150" s="10"/>
      <c r="V150" s="10"/>
      <c r="W150" s="10"/>
      <c r="X150" s="10"/>
      <c r="AA150" s="10"/>
      <c r="AB150" s="10"/>
    </row>
    <row r="151" spans="12:28" x14ac:dyDescent="0.25">
      <c r="L151" s="10"/>
      <c r="M151" s="10"/>
      <c r="N151" s="10"/>
      <c r="Q151" s="10"/>
      <c r="R151" s="10"/>
      <c r="S151" s="10"/>
      <c r="V151" s="10"/>
      <c r="W151" s="10"/>
      <c r="X151" s="10"/>
      <c r="AA151" s="10"/>
      <c r="AB151" s="10"/>
    </row>
    <row r="152" spans="12:28" x14ac:dyDescent="0.25">
      <c r="L152" s="10"/>
      <c r="M152" s="10"/>
      <c r="N152" s="10"/>
      <c r="Q152" s="10"/>
      <c r="R152" s="10"/>
      <c r="S152" s="10"/>
      <c r="V152" s="10"/>
      <c r="W152" s="10"/>
      <c r="X152" s="10"/>
      <c r="AA152" s="10"/>
      <c r="AB152" s="10"/>
    </row>
    <row r="153" spans="12:28" x14ac:dyDescent="0.25">
      <c r="L153" s="10"/>
      <c r="M153" s="10"/>
      <c r="N153" s="10"/>
      <c r="Q153" s="10"/>
      <c r="R153" s="10"/>
      <c r="S153" s="10"/>
      <c r="V153" s="10"/>
      <c r="W153" s="10"/>
      <c r="X153" s="10"/>
      <c r="AA153" s="10"/>
      <c r="AB153" s="10"/>
    </row>
    <row r="154" spans="12:28" x14ac:dyDescent="0.25">
      <c r="L154" s="10"/>
      <c r="M154" s="10"/>
      <c r="N154" s="10"/>
      <c r="Q154" s="10"/>
      <c r="R154" s="10"/>
      <c r="S154" s="10"/>
      <c r="V154" s="10"/>
      <c r="W154" s="10"/>
      <c r="X154" s="10"/>
      <c r="AA154" s="10"/>
      <c r="AB154" s="10"/>
    </row>
    <row r="155" spans="12:28" x14ac:dyDescent="0.25">
      <c r="L155" s="10"/>
      <c r="M155" s="10"/>
      <c r="N155" s="10"/>
      <c r="Q155" s="10"/>
      <c r="R155" s="10"/>
      <c r="S155" s="10"/>
      <c r="V155" s="10"/>
      <c r="W155" s="10"/>
      <c r="X155" s="10"/>
      <c r="AA155" s="10"/>
      <c r="AB155" s="10"/>
    </row>
    <row r="156" spans="12:28" x14ac:dyDescent="0.25">
      <c r="L156" s="10"/>
      <c r="M156" s="10"/>
      <c r="N156" s="10"/>
      <c r="Q156" s="10"/>
      <c r="R156" s="10"/>
      <c r="S156" s="10"/>
      <c r="V156" s="10"/>
      <c r="W156" s="10"/>
      <c r="X156" s="10"/>
      <c r="AA156" s="10"/>
      <c r="AB156" s="10"/>
    </row>
    <row r="157" spans="12:28" x14ac:dyDescent="0.25">
      <c r="L157" s="10"/>
      <c r="M157" s="10"/>
      <c r="N157" s="10"/>
      <c r="Q157" s="10"/>
      <c r="R157" s="10"/>
      <c r="S157" s="10"/>
      <c r="V157" s="10"/>
      <c r="W157" s="10"/>
      <c r="X157" s="10"/>
      <c r="AA157" s="10"/>
      <c r="AB157" s="10"/>
    </row>
    <row r="158" spans="12:28" x14ac:dyDescent="0.25">
      <c r="L158" s="10"/>
      <c r="M158" s="10"/>
      <c r="N158" s="10"/>
      <c r="Q158" s="10"/>
      <c r="R158" s="10"/>
      <c r="S158" s="10"/>
      <c r="V158" s="10"/>
      <c r="W158" s="10"/>
      <c r="X158" s="10"/>
      <c r="AA158" s="10"/>
      <c r="AB158" s="10"/>
    </row>
    <row r="159" spans="12:28" x14ac:dyDescent="0.25">
      <c r="L159" s="10"/>
      <c r="M159" s="10"/>
      <c r="N159" s="10"/>
      <c r="Q159" s="10"/>
      <c r="R159" s="10"/>
      <c r="S159" s="10"/>
      <c r="V159" s="10"/>
      <c r="W159" s="10"/>
      <c r="X159" s="10"/>
      <c r="AA159" s="10"/>
      <c r="AB159" s="10"/>
    </row>
    <row r="160" spans="12:28" x14ac:dyDescent="0.25">
      <c r="L160" s="10"/>
      <c r="M160" s="10"/>
      <c r="N160" s="10"/>
      <c r="Q160" s="10"/>
      <c r="R160" s="10"/>
      <c r="S160" s="10"/>
      <c r="V160" s="10"/>
      <c r="W160" s="10"/>
      <c r="X160" s="10"/>
      <c r="AA160" s="10"/>
      <c r="AB160" s="10"/>
    </row>
    <row r="161" spans="12:28" x14ac:dyDescent="0.25">
      <c r="L161" s="10"/>
      <c r="M161" s="10"/>
      <c r="N161" s="10"/>
      <c r="Q161" s="10"/>
      <c r="R161" s="10"/>
      <c r="S161" s="10"/>
      <c r="V161" s="10"/>
      <c r="W161" s="10"/>
      <c r="X161" s="10"/>
      <c r="AA161" s="10"/>
      <c r="AB161" s="10"/>
    </row>
    <row r="162" spans="12:28" x14ac:dyDescent="0.25">
      <c r="L162" s="10"/>
      <c r="M162" s="10"/>
      <c r="N162" s="10"/>
      <c r="Q162" s="10"/>
      <c r="R162" s="10"/>
      <c r="S162" s="10"/>
      <c r="V162" s="10"/>
      <c r="W162" s="10"/>
      <c r="X162" s="10"/>
      <c r="AA162" s="10"/>
      <c r="AB162" s="10"/>
    </row>
    <row r="163" spans="12:28" x14ac:dyDescent="0.25">
      <c r="L163" s="10"/>
      <c r="M163" s="10"/>
      <c r="N163" s="10"/>
      <c r="Q163" s="10"/>
      <c r="R163" s="10"/>
      <c r="S163" s="10"/>
      <c r="V163" s="10"/>
      <c r="W163" s="10"/>
      <c r="X163" s="10"/>
      <c r="AA163" s="10"/>
      <c r="AB163" s="10"/>
    </row>
    <row r="164" spans="12:28" x14ac:dyDescent="0.25">
      <c r="L164" s="10"/>
      <c r="M164" s="10"/>
      <c r="N164" s="10"/>
      <c r="Q164" s="10"/>
      <c r="R164" s="10"/>
      <c r="S164" s="10"/>
      <c r="V164" s="10"/>
      <c r="W164" s="10"/>
      <c r="X164" s="10"/>
      <c r="AA164" s="10"/>
      <c r="AB164" s="10"/>
    </row>
    <row r="165" spans="12:28" x14ac:dyDescent="0.25">
      <c r="L165" s="10"/>
      <c r="M165" s="10"/>
      <c r="N165" s="10"/>
      <c r="Q165" s="10"/>
      <c r="R165" s="10"/>
      <c r="S165" s="10"/>
      <c r="V165" s="10"/>
      <c r="W165" s="10"/>
      <c r="X165" s="10"/>
      <c r="AA165" s="10"/>
      <c r="AB165" s="10"/>
    </row>
    <row r="166" spans="12:28" x14ac:dyDescent="0.25">
      <c r="L166" s="10"/>
      <c r="M166" s="10"/>
      <c r="N166" s="10"/>
      <c r="Q166" s="10"/>
      <c r="R166" s="10"/>
      <c r="S166" s="10"/>
      <c r="V166" s="10"/>
      <c r="W166" s="10"/>
      <c r="X166" s="10"/>
      <c r="AA166" s="10"/>
      <c r="AB166" s="10"/>
    </row>
    <row r="167" spans="12:28" x14ac:dyDescent="0.25">
      <c r="L167" s="10"/>
      <c r="M167" s="10"/>
      <c r="N167" s="10"/>
      <c r="Q167" s="10"/>
      <c r="R167" s="10"/>
      <c r="S167" s="10"/>
      <c r="V167" s="10"/>
      <c r="W167" s="10"/>
      <c r="X167" s="10"/>
      <c r="AA167" s="10"/>
      <c r="AB167" s="10"/>
    </row>
    <row r="168" spans="12:28" x14ac:dyDescent="0.25">
      <c r="L168" s="10"/>
      <c r="M168" s="10"/>
      <c r="N168" s="10"/>
      <c r="Q168" s="10"/>
      <c r="R168" s="10"/>
      <c r="S168" s="10"/>
      <c r="V168" s="10"/>
      <c r="W168" s="10"/>
      <c r="X168" s="10"/>
      <c r="AA168" s="10"/>
      <c r="AB168" s="10"/>
    </row>
    <row r="169" spans="12:28" x14ac:dyDescent="0.25">
      <c r="L169" s="10"/>
      <c r="M169" s="10"/>
      <c r="N169" s="10"/>
      <c r="Q169" s="10"/>
      <c r="R169" s="10"/>
      <c r="S169" s="10"/>
      <c r="V169" s="10"/>
      <c r="W169" s="10"/>
      <c r="X169" s="10"/>
      <c r="AA169" s="10"/>
      <c r="AB169" s="10"/>
    </row>
    <row r="170" spans="12:28" x14ac:dyDescent="0.25">
      <c r="L170" s="10"/>
      <c r="M170" s="10"/>
      <c r="N170" s="10"/>
      <c r="Q170" s="10"/>
      <c r="R170" s="10"/>
      <c r="S170" s="10"/>
      <c r="V170" s="10"/>
      <c r="W170" s="10"/>
      <c r="X170" s="10"/>
      <c r="AA170" s="10"/>
      <c r="AB170" s="10"/>
    </row>
    <row r="171" spans="12:28" x14ac:dyDescent="0.25">
      <c r="L171" s="10"/>
      <c r="M171" s="10"/>
      <c r="N171" s="10"/>
      <c r="Q171" s="10"/>
      <c r="R171" s="10"/>
      <c r="S171" s="10"/>
      <c r="V171" s="10"/>
      <c r="W171" s="10"/>
      <c r="X171" s="10"/>
      <c r="AA171" s="10"/>
      <c r="AB171" s="10"/>
    </row>
    <row r="172" spans="12:28" x14ac:dyDescent="0.25">
      <c r="L172" s="10"/>
      <c r="M172" s="10"/>
      <c r="N172" s="10"/>
      <c r="Q172" s="10"/>
      <c r="R172" s="10"/>
      <c r="S172" s="10"/>
      <c r="V172" s="10"/>
      <c r="W172" s="10"/>
      <c r="X172" s="10"/>
      <c r="AA172" s="10"/>
      <c r="AB172" s="10"/>
    </row>
    <row r="173" spans="12:28" x14ac:dyDescent="0.25">
      <c r="L173" s="10"/>
      <c r="M173" s="10"/>
      <c r="N173" s="10"/>
      <c r="Q173" s="10"/>
      <c r="R173" s="10"/>
      <c r="S173" s="10"/>
      <c r="V173" s="10"/>
      <c r="W173" s="10"/>
      <c r="X173" s="10"/>
      <c r="AA173" s="10"/>
      <c r="AB173" s="10"/>
    </row>
    <row r="174" spans="12:28" x14ac:dyDescent="0.25">
      <c r="L174" s="10"/>
      <c r="M174" s="10"/>
      <c r="N174" s="10"/>
      <c r="Q174" s="10"/>
      <c r="R174" s="10"/>
      <c r="S174" s="10"/>
      <c r="V174" s="10"/>
      <c r="W174" s="10"/>
      <c r="X174" s="10"/>
      <c r="AA174" s="10"/>
      <c r="AB174" s="10"/>
    </row>
    <row r="175" spans="12:28" x14ac:dyDescent="0.25">
      <c r="L175" s="10"/>
      <c r="M175" s="10"/>
      <c r="N175" s="10"/>
      <c r="Q175" s="10"/>
      <c r="R175" s="10"/>
      <c r="S175" s="10"/>
      <c r="V175" s="10"/>
      <c r="W175" s="10"/>
      <c r="X175" s="10"/>
      <c r="AA175" s="10"/>
      <c r="AB175" s="10"/>
    </row>
    <row r="176" spans="12:28" x14ac:dyDescent="0.25">
      <c r="L176" s="10"/>
      <c r="M176" s="10"/>
      <c r="N176" s="10"/>
      <c r="Q176" s="10"/>
      <c r="R176" s="10"/>
      <c r="S176" s="10"/>
      <c r="V176" s="10"/>
      <c r="W176" s="10"/>
      <c r="X176" s="10"/>
      <c r="AA176" s="10"/>
      <c r="AB176" s="10"/>
    </row>
    <row r="177" spans="12:28" x14ac:dyDescent="0.25">
      <c r="L177" s="10"/>
      <c r="M177" s="10"/>
      <c r="N177" s="10"/>
      <c r="Q177" s="10"/>
      <c r="R177" s="10"/>
      <c r="S177" s="10"/>
      <c r="V177" s="10"/>
      <c r="W177" s="10"/>
      <c r="X177" s="10"/>
      <c r="AA177" s="10"/>
      <c r="AB177" s="10"/>
    </row>
    <row r="178" spans="12:28" x14ac:dyDescent="0.25">
      <c r="L178" s="10"/>
      <c r="M178" s="10"/>
      <c r="N178" s="10"/>
      <c r="Q178" s="10"/>
      <c r="R178" s="10"/>
      <c r="S178" s="10"/>
      <c r="V178" s="10"/>
      <c r="W178" s="10"/>
      <c r="X178" s="10"/>
      <c r="AA178" s="10"/>
      <c r="AB178" s="10"/>
    </row>
    <row r="179" spans="12:28" x14ac:dyDescent="0.25">
      <c r="L179" s="10"/>
      <c r="M179" s="10"/>
      <c r="N179" s="10"/>
      <c r="Q179" s="10"/>
      <c r="R179" s="10"/>
      <c r="S179" s="10"/>
      <c r="V179" s="10"/>
      <c r="W179" s="10"/>
      <c r="X179" s="10"/>
      <c r="AA179" s="10"/>
      <c r="AB179" s="10"/>
    </row>
    <row r="180" spans="12:28" x14ac:dyDescent="0.25">
      <c r="L180" s="10"/>
      <c r="M180" s="10"/>
      <c r="N180" s="10"/>
      <c r="Q180" s="10"/>
      <c r="R180" s="10"/>
      <c r="S180" s="10"/>
      <c r="V180" s="10"/>
      <c r="W180" s="10"/>
      <c r="X180" s="10"/>
      <c r="AA180" s="10"/>
      <c r="AB180" s="10"/>
    </row>
    <row r="181" spans="12:28" x14ac:dyDescent="0.25">
      <c r="L181" s="10"/>
      <c r="M181" s="10"/>
      <c r="N181" s="10"/>
      <c r="Q181" s="10"/>
      <c r="R181" s="10"/>
      <c r="S181" s="10"/>
      <c r="V181" s="10"/>
      <c r="W181" s="10"/>
      <c r="X181" s="10"/>
      <c r="AA181" s="10"/>
      <c r="AB181" s="10"/>
    </row>
    <row r="182" spans="12:28" x14ac:dyDescent="0.25">
      <c r="L182" s="10"/>
      <c r="M182" s="10"/>
      <c r="N182" s="10"/>
      <c r="Q182" s="10"/>
      <c r="R182" s="10"/>
      <c r="S182" s="10"/>
      <c r="V182" s="10"/>
      <c r="W182" s="10"/>
      <c r="X182" s="10"/>
      <c r="AA182" s="10"/>
      <c r="AB182" s="10"/>
    </row>
    <row r="183" spans="12:28" x14ac:dyDescent="0.25">
      <c r="L183" s="10"/>
      <c r="M183" s="10"/>
      <c r="N183" s="10"/>
      <c r="Q183" s="10"/>
      <c r="R183" s="10"/>
      <c r="S183" s="10"/>
      <c r="V183" s="10"/>
      <c r="W183" s="10"/>
      <c r="X183" s="10"/>
      <c r="AA183" s="10"/>
      <c r="AB183" s="10"/>
    </row>
    <row r="184" spans="12:28" x14ac:dyDescent="0.25">
      <c r="L184" s="10"/>
      <c r="M184" s="10"/>
      <c r="N184" s="10"/>
      <c r="Q184" s="10"/>
      <c r="R184" s="10"/>
      <c r="S184" s="10"/>
      <c r="V184" s="10"/>
      <c r="W184" s="10"/>
      <c r="X184" s="10"/>
      <c r="AA184" s="10"/>
      <c r="AB184" s="10"/>
    </row>
    <row r="185" spans="12:28" x14ac:dyDescent="0.25">
      <c r="L185" s="10"/>
      <c r="M185" s="10"/>
      <c r="N185" s="10"/>
      <c r="Q185" s="10"/>
      <c r="R185" s="10"/>
      <c r="S185" s="10"/>
      <c r="V185" s="10"/>
      <c r="W185" s="10"/>
      <c r="X185" s="10"/>
      <c r="AA185" s="10"/>
      <c r="AB185" s="10"/>
    </row>
    <row r="186" spans="12:28" x14ac:dyDescent="0.25">
      <c r="L186" s="10"/>
      <c r="M186" s="10"/>
      <c r="N186" s="10"/>
      <c r="Q186" s="10"/>
      <c r="R186" s="10"/>
      <c r="S186" s="10"/>
      <c r="V186" s="10"/>
      <c r="W186" s="10"/>
      <c r="X186" s="10"/>
      <c r="AA186" s="10"/>
      <c r="AB186" s="10"/>
    </row>
    <row r="187" spans="12:28" x14ac:dyDescent="0.25">
      <c r="L187" s="10"/>
      <c r="M187" s="10"/>
      <c r="N187" s="10"/>
      <c r="Q187" s="10"/>
      <c r="R187" s="10"/>
      <c r="S187" s="10"/>
      <c r="V187" s="10"/>
      <c r="W187" s="10"/>
      <c r="X187" s="10"/>
      <c r="AA187" s="10"/>
      <c r="AB187" s="10"/>
    </row>
    <row r="188" spans="12:28" x14ac:dyDescent="0.25">
      <c r="L188" s="10"/>
      <c r="M188" s="10"/>
      <c r="N188" s="10"/>
      <c r="Q188" s="10"/>
      <c r="R188" s="10"/>
      <c r="S188" s="10"/>
      <c r="V188" s="10"/>
      <c r="W188" s="10"/>
      <c r="X188" s="10"/>
      <c r="AA188" s="10"/>
      <c r="AB188" s="10"/>
    </row>
    <row r="189" spans="12:28" x14ac:dyDescent="0.25">
      <c r="L189" s="10"/>
      <c r="M189" s="10"/>
      <c r="N189" s="10"/>
      <c r="Q189" s="10"/>
      <c r="R189" s="10"/>
      <c r="S189" s="10"/>
      <c r="V189" s="10"/>
      <c r="W189" s="10"/>
      <c r="X189" s="10"/>
      <c r="AA189" s="10"/>
      <c r="AB189" s="10"/>
    </row>
    <row r="190" spans="12:28" x14ac:dyDescent="0.25">
      <c r="L190" s="10"/>
      <c r="M190" s="10"/>
      <c r="N190" s="10"/>
      <c r="Q190" s="10"/>
      <c r="R190" s="10"/>
      <c r="S190" s="10"/>
      <c r="V190" s="10"/>
      <c r="W190" s="10"/>
      <c r="X190" s="10"/>
      <c r="AA190" s="10"/>
      <c r="AB190" s="10"/>
    </row>
    <row r="191" spans="12:28" x14ac:dyDescent="0.25">
      <c r="L191" s="10"/>
      <c r="M191" s="10"/>
      <c r="N191" s="10"/>
      <c r="Q191" s="10"/>
      <c r="R191" s="10"/>
      <c r="S191" s="10"/>
      <c r="V191" s="10"/>
      <c r="W191" s="10"/>
      <c r="X191" s="10"/>
      <c r="AA191" s="10"/>
      <c r="AB191" s="10"/>
    </row>
    <row r="192" spans="12:28" x14ac:dyDescent="0.25">
      <c r="L192" s="10"/>
      <c r="M192" s="10"/>
      <c r="N192" s="10"/>
      <c r="Q192" s="10"/>
      <c r="R192" s="10"/>
      <c r="S192" s="10"/>
      <c r="V192" s="10"/>
      <c r="W192" s="10"/>
      <c r="X192" s="10"/>
      <c r="AA192" s="10"/>
      <c r="AB192" s="10"/>
    </row>
    <row r="193" spans="12:28" x14ac:dyDescent="0.25">
      <c r="L193" s="10"/>
      <c r="M193" s="10"/>
      <c r="N193" s="10"/>
      <c r="Q193" s="10"/>
      <c r="R193" s="10"/>
      <c r="S193" s="10"/>
      <c r="V193" s="10"/>
      <c r="W193" s="10"/>
      <c r="X193" s="10"/>
      <c r="AA193" s="10"/>
      <c r="AB193" s="10"/>
    </row>
    <row r="194" spans="12:28" x14ac:dyDescent="0.25">
      <c r="L194" s="10"/>
      <c r="M194" s="10"/>
      <c r="N194" s="10"/>
      <c r="Q194" s="10"/>
      <c r="R194" s="10"/>
      <c r="S194" s="10"/>
      <c r="V194" s="10"/>
      <c r="W194" s="10"/>
      <c r="X194" s="10"/>
      <c r="AA194" s="10"/>
      <c r="AB194" s="10"/>
    </row>
    <row r="195" spans="12:28" x14ac:dyDescent="0.25">
      <c r="L195" s="10"/>
      <c r="M195" s="10"/>
      <c r="N195" s="10"/>
      <c r="Q195" s="10"/>
      <c r="R195" s="10"/>
      <c r="S195" s="10"/>
      <c r="V195" s="10"/>
      <c r="W195" s="10"/>
      <c r="X195" s="10"/>
      <c r="AA195" s="10"/>
      <c r="AB195" s="10"/>
    </row>
    <row r="196" spans="12:28" x14ac:dyDescent="0.25">
      <c r="L196" s="10"/>
      <c r="M196" s="10"/>
      <c r="N196" s="10"/>
      <c r="Q196" s="10"/>
      <c r="R196" s="10"/>
      <c r="S196" s="10"/>
      <c r="V196" s="10"/>
      <c r="W196" s="10"/>
      <c r="X196" s="10"/>
      <c r="AA196" s="10"/>
      <c r="AB196" s="10"/>
    </row>
    <row r="197" spans="12:28" x14ac:dyDescent="0.25">
      <c r="L197" s="10"/>
      <c r="M197" s="10"/>
      <c r="N197" s="10"/>
      <c r="Q197" s="10"/>
      <c r="R197" s="10"/>
      <c r="S197" s="10"/>
      <c r="V197" s="10"/>
      <c r="W197" s="10"/>
      <c r="X197" s="10"/>
      <c r="AA197" s="10"/>
      <c r="AB197" s="10"/>
    </row>
    <row r="198" spans="12:28" x14ac:dyDescent="0.25">
      <c r="L198" s="10"/>
      <c r="M198" s="10"/>
      <c r="N198" s="10"/>
      <c r="Q198" s="10"/>
      <c r="R198" s="10"/>
      <c r="S198" s="10"/>
      <c r="V198" s="10"/>
      <c r="W198" s="10"/>
      <c r="X198" s="10"/>
      <c r="AA198" s="10"/>
      <c r="AB198" s="10"/>
    </row>
    <row r="199" spans="12:28" x14ac:dyDescent="0.25">
      <c r="L199" s="10"/>
      <c r="M199" s="10"/>
      <c r="N199" s="10"/>
      <c r="Q199" s="10"/>
      <c r="R199" s="10"/>
      <c r="S199" s="10"/>
      <c r="V199" s="10"/>
      <c r="W199" s="10"/>
      <c r="X199" s="10"/>
      <c r="AA199" s="10"/>
      <c r="AB199" s="10"/>
    </row>
    <row r="200" spans="12:28" x14ac:dyDescent="0.25">
      <c r="L200" s="10"/>
      <c r="M200" s="10"/>
      <c r="N200" s="10"/>
      <c r="Q200" s="10"/>
      <c r="R200" s="10"/>
      <c r="S200" s="10"/>
      <c r="V200" s="10"/>
      <c r="W200" s="10"/>
      <c r="X200" s="10"/>
      <c r="AA200" s="10"/>
      <c r="AB200" s="10"/>
    </row>
    <row r="201" spans="12:28" x14ac:dyDescent="0.25">
      <c r="L201" s="10"/>
      <c r="M201" s="10"/>
      <c r="N201" s="10"/>
      <c r="Q201" s="10"/>
      <c r="R201" s="10"/>
      <c r="S201" s="10"/>
      <c r="V201" s="10"/>
      <c r="W201" s="10"/>
      <c r="X201" s="10"/>
      <c r="AA201" s="10"/>
      <c r="AB201" s="10"/>
    </row>
    <row r="202" spans="12:28" x14ac:dyDescent="0.25">
      <c r="L202" s="10"/>
      <c r="M202" s="10"/>
      <c r="N202" s="10"/>
      <c r="Q202" s="10"/>
      <c r="R202" s="10"/>
      <c r="S202" s="10"/>
      <c r="V202" s="10"/>
      <c r="W202" s="10"/>
      <c r="X202" s="10"/>
      <c r="AA202" s="10"/>
      <c r="AB202" s="10"/>
    </row>
    <row r="203" spans="12:28" x14ac:dyDescent="0.25">
      <c r="L203" s="10"/>
      <c r="M203" s="10"/>
      <c r="N203" s="10"/>
      <c r="Q203" s="10"/>
      <c r="R203" s="10"/>
      <c r="S203" s="10"/>
      <c r="V203" s="10"/>
      <c r="W203" s="10"/>
      <c r="X203" s="10"/>
      <c r="AA203" s="10"/>
      <c r="AB203" s="10"/>
    </row>
    <row r="204" spans="12:28" x14ac:dyDescent="0.25">
      <c r="L204" s="10"/>
      <c r="M204" s="10"/>
      <c r="N204" s="10"/>
      <c r="Q204" s="10"/>
      <c r="R204" s="10"/>
      <c r="S204" s="10"/>
      <c r="V204" s="10"/>
      <c r="W204" s="10"/>
      <c r="X204" s="10"/>
      <c r="AA204" s="10"/>
      <c r="AB204" s="10"/>
    </row>
    <row r="205" spans="12:28" x14ac:dyDescent="0.25">
      <c r="L205" s="10"/>
      <c r="M205" s="10"/>
      <c r="N205" s="10"/>
      <c r="Q205" s="10"/>
      <c r="R205" s="10"/>
      <c r="S205" s="10"/>
      <c r="V205" s="10"/>
      <c r="W205" s="10"/>
      <c r="X205" s="10"/>
      <c r="AA205" s="10"/>
      <c r="AB205" s="10"/>
    </row>
    <row r="206" spans="12:28" x14ac:dyDescent="0.25">
      <c r="L206" s="10"/>
      <c r="M206" s="10"/>
      <c r="N206" s="10"/>
      <c r="Q206" s="10"/>
      <c r="R206" s="10"/>
      <c r="S206" s="10"/>
      <c r="V206" s="10"/>
      <c r="W206" s="10"/>
      <c r="X206" s="10"/>
      <c r="AA206" s="10"/>
      <c r="AB206" s="10"/>
    </row>
    <row r="207" spans="12:28" x14ac:dyDescent="0.25">
      <c r="L207" s="10"/>
      <c r="M207" s="10"/>
      <c r="N207" s="10"/>
      <c r="Q207" s="10"/>
      <c r="R207" s="10"/>
      <c r="S207" s="10"/>
      <c r="V207" s="10"/>
      <c r="W207" s="10"/>
      <c r="X207" s="10"/>
      <c r="AA207" s="10"/>
      <c r="AB207" s="10"/>
    </row>
    <row r="208" spans="12:28" x14ac:dyDescent="0.25">
      <c r="L208" s="10"/>
      <c r="M208" s="10"/>
      <c r="N208" s="10"/>
      <c r="Q208" s="10"/>
      <c r="R208" s="10"/>
      <c r="S208" s="10"/>
      <c r="V208" s="10"/>
      <c r="W208" s="10"/>
      <c r="X208" s="10"/>
      <c r="AA208" s="10"/>
      <c r="AB208" s="10"/>
    </row>
    <row r="209" spans="12:28" x14ac:dyDescent="0.25">
      <c r="L209" s="10"/>
      <c r="M209" s="10"/>
      <c r="N209" s="10"/>
      <c r="Q209" s="10"/>
      <c r="R209" s="10"/>
      <c r="S209" s="10"/>
      <c r="V209" s="10"/>
      <c r="W209" s="10"/>
      <c r="X209" s="10"/>
      <c r="AA209" s="10"/>
      <c r="AB209" s="10"/>
    </row>
    <row r="210" spans="12:28" x14ac:dyDescent="0.25">
      <c r="L210" s="10"/>
      <c r="M210" s="10"/>
      <c r="N210" s="10"/>
      <c r="Q210" s="10"/>
      <c r="R210" s="10"/>
      <c r="S210" s="10"/>
      <c r="V210" s="10"/>
      <c r="W210" s="10"/>
      <c r="X210" s="10"/>
      <c r="AA210" s="10"/>
      <c r="AB210" s="10"/>
    </row>
    <row r="211" spans="12:28" x14ac:dyDescent="0.25">
      <c r="L211" s="10"/>
      <c r="M211" s="10"/>
      <c r="N211" s="10"/>
      <c r="Q211" s="10"/>
      <c r="R211" s="10"/>
      <c r="S211" s="10"/>
      <c r="V211" s="10"/>
      <c r="W211" s="10"/>
      <c r="X211" s="10"/>
      <c r="AA211" s="10"/>
      <c r="AB211" s="10"/>
    </row>
    <row r="212" spans="12:28" x14ac:dyDescent="0.25">
      <c r="L212" s="10"/>
      <c r="M212" s="10"/>
      <c r="N212" s="10"/>
      <c r="Q212" s="10"/>
      <c r="R212" s="10"/>
      <c r="S212" s="10"/>
      <c r="V212" s="10"/>
      <c r="W212" s="10"/>
      <c r="X212" s="10"/>
      <c r="AA212" s="10"/>
      <c r="AB212" s="10"/>
    </row>
    <row r="213" spans="12:28" x14ac:dyDescent="0.25">
      <c r="L213" s="10"/>
      <c r="M213" s="10"/>
      <c r="N213" s="10"/>
      <c r="Q213" s="10"/>
      <c r="R213" s="10"/>
      <c r="S213" s="10"/>
      <c r="V213" s="10"/>
      <c r="W213" s="10"/>
      <c r="X213" s="10"/>
      <c r="AA213" s="10"/>
      <c r="AB213" s="10"/>
    </row>
    <row r="214" spans="12:28" x14ac:dyDescent="0.25">
      <c r="L214" s="10"/>
      <c r="M214" s="10"/>
      <c r="N214" s="10"/>
      <c r="Q214" s="10"/>
      <c r="R214" s="10"/>
      <c r="S214" s="10"/>
      <c r="V214" s="10"/>
      <c r="W214" s="10"/>
      <c r="X214" s="10"/>
      <c r="AA214" s="10"/>
      <c r="AB214" s="10"/>
    </row>
    <row r="215" spans="12:28" x14ac:dyDescent="0.25">
      <c r="L215" s="10"/>
      <c r="M215" s="10"/>
      <c r="N215" s="10"/>
      <c r="Q215" s="10"/>
      <c r="R215" s="10"/>
      <c r="S215" s="10"/>
      <c r="V215" s="10"/>
      <c r="W215" s="10"/>
      <c r="X215" s="10"/>
      <c r="AA215" s="10"/>
      <c r="AB215" s="10"/>
    </row>
    <row r="216" spans="12:28" x14ac:dyDescent="0.25">
      <c r="L216" s="10"/>
      <c r="M216" s="10"/>
      <c r="N216" s="10"/>
      <c r="Q216" s="10"/>
      <c r="R216" s="10"/>
      <c r="S216" s="10"/>
      <c r="V216" s="10"/>
      <c r="W216" s="10"/>
      <c r="X216" s="10"/>
      <c r="AA216" s="10"/>
      <c r="AB216" s="10"/>
    </row>
    <row r="217" spans="12:28" x14ac:dyDescent="0.25">
      <c r="L217" s="10"/>
      <c r="M217" s="10"/>
      <c r="N217" s="10"/>
      <c r="Q217" s="10"/>
      <c r="R217" s="10"/>
      <c r="S217" s="10"/>
      <c r="V217" s="10"/>
      <c r="W217" s="10"/>
      <c r="X217" s="10"/>
      <c r="AA217" s="10"/>
      <c r="AB217" s="10"/>
    </row>
    <row r="218" spans="12:28" x14ac:dyDescent="0.25">
      <c r="L218" s="10"/>
      <c r="M218" s="10"/>
      <c r="N218" s="10"/>
      <c r="Q218" s="10"/>
      <c r="R218" s="10"/>
      <c r="S218" s="10"/>
      <c r="V218" s="10"/>
      <c r="W218" s="10"/>
      <c r="X218" s="10"/>
      <c r="AA218" s="10"/>
      <c r="AB218" s="10"/>
    </row>
    <row r="219" spans="12:28" x14ac:dyDescent="0.25">
      <c r="L219" s="10"/>
      <c r="M219" s="10"/>
      <c r="N219" s="10"/>
      <c r="Q219" s="10"/>
      <c r="R219" s="10"/>
      <c r="S219" s="10"/>
      <c r="V219" s="10"/>
      <c r="W219" s="10"/>
      <c r="X219" s="10"/>
      <c r="AA219" s="10"/>
      <c r="AB219" s="10"/>
    </row>
    <row r="220" spans="12:28" x14ac:dyDescent="0.25">
      <c r="L220" s="10"/>
      <c r="M220" s="10"/>
      <c r="N220" s="10"/>
      <c r="Q220" s="10"/>
      <c r="R220" s="10"/>
      <c r="S220" s="10"/>
      <c r="V220" s="10"/>
      <c r="W220" s="10"/>
      <c r="X220" s="10"/>
      <c r="AA220" s="10"/>
      <c r="AB220" s="10"/>
    </row>
    <row r="221" spans="12:28" x14ac:dyDescent="0.25">
      <c r="L221" s="10"/>
      <c r="M221" s="10"/>
      <c r="N221" s="10"/>
      <c r="Q221" s="10"/>
      <c r="R221" s="10"/>
      <c r="S221" s="10"/>
      <c r="V221" s="10"/>
      <c r="W221" s="10"/>
      <c r="X221" s="10"/>
      <c r="AA221" s="10"/>
      <c r="AB221" s="10"/>
    </row>
    <row r="222" spans="12:28" x14ac:dyDescent="0.25">
      <c r="L222" s="10"/>
      <c r="M222" s="10"/>
      <c r="N222" s="10"/>
      <c r="Q222" s="10"/>
      <c r="R222" s="10"/>
      <c r="S222" s="10"/>
      <c r="V222" s="10"/>
      <c r="W222" s="10"/>
      <c r="X222" s="10"/>
      <c r="AA222" s="10"/>
      <c r="AB222" s="10"/>
    </row>
    <row r="223" spans="12:28" x14ac:dyDescent="0.25">
      <c r="L223" s="10"/>
      <c r="M223" s="10"/>
      <c r="N223" s="10"/>
      <c r="Q223" s="10"/>
      <c r="R223" s="10"/>
      <c r="S223" s="10"/>
      <c r="V223" s="10"/>
      <c r="W223" s="10"/>
      <c r="X223" s="10"/>
      <c r="AA223" s="10"/>
      <c r="AB223" s="10"/>
    </row>
    <row r="224" spans="12:28" x14ac:dyDescent="0.25">
      <c r="L224" s="10"/>
      <c r="M224" s="10"/>
      <c r="N224" s="10"/>
      <c r="Q224" s="10"/>
      <c r="R224" s="10"/>
      <c r="S224" s="10"/>
      <c r="V224" s="10"/>
      <c r="W224" s="10"/>
      <c r="X224" s="10"/>
      <c r="AA224" s="10"/>
      <c r="AB224" s="10"/>
    </row>
    <row r="225" spans="12:28" x14ac:dyDescent="0.25">
      <c r="L225" s="10"/>
      <c r="M225" s="10"/>
      <c r="N225" s="10"/>
      <c r="Q225" s="10"/>
      <c r="R225" s="10"/>
      <c r="S225" s="10"/>
      <c r="V225" s="10"/>
      <c r="W225" s="10"/>
      <c r="X225" s="10"/>
      <c r="AA225" s="10"/>
      <c r="AB225" s="10"/>
    </row>
    <row r="226" spans="12:28" x14ac:dyDescent="0.25">
      <c r="L226" s="10"/>
      <c r="M226" s="10"/>
      <c r="N226" s="10"/>
      <c r="Q226" s="10"/>
      <c r="R226" s="10"/>
      <c r="S226" s="10"/>
      <c r="V226" s="10"/>
      <c r="W226" s="10"/>
      <c r="X226" s="10"/>
      <c r="AA226" s="10"/>
      <c r="AB226" s="10"/>
    </row>
    <row r="227" spans="12:28" x14ac:dyDescent="0.25">
      <c r="L227" s="10"/>
      <c r="M227" s="10"/>
      <c r="N227" s="10"/>
      <c r="Q227" s="10"/>
      <c r="R227" s="10"/>
      <c r="S227" s="10"/>
      <c r="V227" s="10"/>
      <c r="W227" s="10"/>
      <c r="X227" s="10"/>
      <c r="AA227" s="10"/>
      <c r="AB227" s="10"/>
    </row>
    <row r="228" spans="12:28" x14ac:dyDescent="0.25">
      <c r="L228" s="10"/>
      <c r="M228" s="10"/>
      <c r="N228" s="10"/>
      <c r="Q228" s="10"/>
      <c r="R228" s="10"/>
      <c r="S228" s="10"/>
      <c r="V228" s="10"/>
      <c r="W228" s="10"/>
      <c r="X228" s="10"/>
      <c r="AA228" s="10"/>
      <c r="AB228" s="10"/>
    </row>
    <row r="229" spans="12:28" x14ac:dyDescent="0.25">
      <c r="L229" s="10"/>
      <c r="M229" s="10"/>
      <c r="N229" s="10"/>
      <c r="Q229" s="10"/>
      <c r="R229" s="10"/>
      <c r="S229" s="10"/>
      <c r="V229" s="10"/>
      <c r="W229" s="10"/>
      <c r="X229" s="10"/>
      <c r="AA229" s="10"/>
      <c r="AB229" s="10"/>
    </row>
    <row r="230" spans="12:28" x14ac:dyDescent="0.25">
      <c r="L230" s="10"/>
      <c r="M230" s="10"/>
      <c r="N230" s="10"/>
      <c r="Q230" s="10"/>
      <c r="R230" s="10"/>
      <c r="S230" s="10"/>
      <c r="V230" s="10"/>
      <c r="W230" s="10"/>
      <c r="X230" s="10"/>
      <c r="AA230" s="10"/>
      <c r="AB230" s="10"/>
    </row>
  </sheetData>
  <sortState xmlns:xlrd2="http://schemas.microsoft.com/office/spreadsheetml/2017/richdata2" ref="E1:H1">
    <sortCondition descending="1" ref="H1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38CA-C550-4170-87DA-8873DF864564}">
  <dimension ref="A1:X88"/>
  <sheetViews>
    <sheetView workbookViewId="0">
      <pane ySplit="2" topLeftCell="A3" activePane="bottomLeft" state="frozen"/>
      <selection pane="bottomLeft" sqref="A1:C2"/>
    </sheetView>
  </sheetViews>
  <sheetFormatPr defaultRowHeight="15" x14ac:dyDescent="0.25"/>
  <cols>
    <col min="2" max="2" width="20.7109375" customWidth="1"/>
    <col min="3" max="3" width="14.7109375" hidden="1" customWidth="1"/>
    <col min="4" max="4" width="2.7109375" style="9" customWidth="1"/>
    <col min="5" max="5" width="8.85546875" customWidth="1"/>
    <col min="6" max="6" width="20.7109375" customWidth="1"/>
    <col min="7" max="7" width="14.7109375" hidden="1" customWidth="1"/>
    <col min="8" max="8" width="2.7109375" style="9" customWidth="1"/>
    <col min="9" max="9" width="8.85546875" customWidth="1"/>
    <col min="10" max="10" width="20.7109375" customWidth="1"/>
    <col min="11" max="11" width="14.7109375" hidden="1" customWidth="1"/>
    <col min="12" max="12" width="2.7109375" style="9" customWidth="1"/>
    <col min="13" max="13" width="8.85546875" customWidth="1"/>
    <col min="14" max="14" width="22" bestFit="1" customWidth="1"/>
    <col min="15" max="15" width="14.7109375" hidden="1" customWidth="1"/>
    <col min="16" max="16" width="2.7109375" style="9" customWidth="1"/>
    <col min="17" max="17" width="8.85546875" customWidth="1"/>
    <col min="18" max="18" width="20.7109375" customWidth="1"/>
    <col min="19" max="19" width="14.7109375" hidden="1" customWidth="1"/>
    <col min="20" max="20" width="2.7109375" style="9" customWidth="1"/>
    <col min="21" max="21" width="8.85546875" customWidth="1"/>
    <col min="22" max="22" width="20.7109375" customWidth="1"/>
    <col min="23" max="23" width="14.7109375" hidden="1" customWidth="1"/>
    <col min="24" max="24" width="2.7109375" style="9" customWidth="1"/>
    <col min="25" max="25" width="8.85546875" customWidth="1"/>
  </cols>
  <sheetData>
    <row r="1" spans="1:24" s="4" customFormat="1" x14ac:dyDescent="0.25">
      <c r="A1" s="17" t="s">
        <v>30</v>
      </c>
      <c r="B1" s="17"/>
      <c r="C1" s="17"/>
      <c r="D1" s="8"/>
      <c r="E1" s="17" t="s">
        <v>22</v>
      </c>
      <c r="F1" s="17"/>
      <c r="G1" s="17"/>
      <c r="H1" s="8"/>
      <c r="I1" s="17" t="s">
        <v>63</v>
      </c>
      <c r="J1" s="17"/>
      <c r="K1" s="17"/>
      <c r="L1" s="8"/>
      <c r="M1" s="17" t="s">
        <v>61</v>
      </c>
      <c r="N1" s="17"/>
      <c r="O1" s="17"/>
      <c r="P1" s="8"/>
      <c r="Q1" s="17" t="s">
        <v>62</v>
      </c>
      <c r="R1" s="17"/>
      <c r="S1" s="17"/>
      <c r="T1" s="8"/>
      <c r="U1" s="17" t="s">
        <v>108</v>
      </c>
      <c r="V1" s="17"/>
      <c r="W1" s="17"/>
      <c r="X1" s="8"/>
    </row>
    <row r="2" spans="1:24" s="4" customFormat="1" x14ac:dyDescent="0.25">
      <c r="A2" s="17"/>
      <c r="B2" s="17"/>
      <c r="C2" s="17"/>
      <c r="D2" s="8"/>
      <c r="E2" s="17"/>
      <c r="F2" s="17"/>
      <c r="G2" s="17"/>
      <c r="H2" s="8"/>
      <c r="I2" s="17"/>
      <c r="J2" s="17"/>
      <c r="K2" s="17"/>
      <c r="L2" s="8"/>
      <c r="M2" s="17"/>
      <c r="N2" s="17"/>
      <c r="O2" s="17"/>
      <c r="P2" s="8"/>
      <c r="Q2" s="17"/>
      <c r="R2" s="17"/>
      <c r="S2" s="17"/>
      <c r="T2" s="8"/>
      <c r="U2" s="17"/>
      <c r="V2" s="17"/>
      <c r="W2" s="17"/>
      <c r="X2" s="8"/>
    </row>
    <row r="3" spans="1:24" x14ac:dyDescent="0.25">
      <c r="A3" s="4" t="s">
        <v>33</v>
      </c>
      <c r="B3" t="e" cm="1">
        <f t="array" aca="1" ref="B3:B86" ca="1">_xlfn._xlws.SORT(C3:C86,1,-1,0)</f>
        <v>#NAME?</v>
      </c>
      <c r="C3" t="str">
        <f>IF(Fractius!D3="Não",Fractius!C3, " ")</f>
        <v xml:space="preserve"> </v>
      </c>
      <c r="E3" s="4" t="s">
        <v>33</v>
      </c>
      <c r="F3" t="e" cm="1">
        <f t="array" aca="1" ref="F3:F86" ca="1">_xlfn._xlws.SORT(G3:G86,1,-1,0)</f>
        <v>#NAME?</v>
      </c>
      <c r="G3" t="str">
        <f>IF(Life!D3="Não",Life!C3, " ")</f>
        <v xml:space="preserve"> </v>
      </c>
      <c r="I3" s="4" t="s">
        <v>33</v>
      </c>
      <c r="J3" t="e" cm="1">
        <f t="array" ref="J3:J86">_xlfn._xlws.SORT(K3:K86,1,-1,0)</f>
        <v>#REF!</v>
      </c>
      <c r="K3" t="e">
        <f>IF(#REF!="Não",#REF!, " ")</f>
        <v>#REF!</v>
      </c>
      <c r="M3" s="4" t="s">
        <v>33</v>
      </c>
      <c r="N3" t="e" cm="1">
        <f t="array" ref="N3:N86">_xlfn._xlws.SORT(O3:O86,1,-1,0)</f>
        <v>#REF!</v>
      </c>
      <c r="O3" t="e">
        <f>IF(#REF!="Não",#REF!, " ")</f>
        <v>#REF!</v>
      </c>
      <c r="Q3" s="4" t="s">
        <v>33</v>
      </c>
      <c r="R3" t="e" cm="1">
        <f t="array" ref="R3:R86">_xlfn._xlws.SORT(S3:S86,1,-1,0)</f>
        <v>#REF!</v>
      </c>
      <c r="S3" t="e">
        <f>IF(#REF!="Não",#REF!, " ")</f>
        <v>#REF!</v>
      </c>
      <c r="U3" s="4" t="s">
        <v>33</v>
      </c>
      <c r="V3" t="str" cm="1">
        <f t="array" ref="V3:V86">_xlfn._xlws.SORT(W3:W86,1,-1,0)</f>
        <v>Swamp</v>
      </c>
      <c r="W3" t="str">
        <f>IF(WBGAllies!D3="Não",WBGAllies!C3, " ")</f>
        <v xml:space="preserve"> </v>
      </c>
    </row>
    <row r="4" spans="1:24" x14ac:dyDescent="0.25">
      <c r="A4" s="3">
        <f>Fractius!G3</f>
        <v>15</v>
      </c>
      <c r="B4" t="e">
        <f ca="1"/>
        <v>#NAME?</v>
      </c>
      <c r="C4" t="str">
        <f>IF(Fractius!D4="Não",Fractius!C4, " ")</f>
        <v xml:space="preserve"> </v>
      </c>
      <c r="E4" s="3">
        <f>Life!G3</f>
        <v>13</v>
      </c>
      <c r="F4" t="e">
        <f ca="1"/>
        <v>#NAME?</v>
      </c>
      <c r="G4" t="str">
        <f>IF(Life!D4="Não",Life!C4, " ")</f>
        <v xml:space="preserve"> </v>
      </c>
      <c r="I4" s="3" t="e">
        <f>#REF!</f>
        <v>#REF!</v>
      </c>
      <c r="J4" t="e">
        <v>#REF!</v>
      </c>
      <c r="K4" t="e">
        <f>IF(#REF!="Não",#REF!, " ")</f>
        <v>#REF!</v>
      </c>
      <c r="M4" s="3" t="e">
        <f>#REF!</f>
        <v>#REF!</v>
      </c>
      <c r="N4" t="e">
        <v>#REF!</v>
      </c>
      <c r="O4" t="e">
        <f>IF(#REF!="Não",#REF!, " ")</f>
        <v>#REF!</v>
      </c>
      <c r="Q4" s="3" t="e">
        <f>#REF!</f>
        <v>#REF!</v>
      </c>
      <c r="R4" t="e">
        <v>#REF!</v>
      </c>
      <c r="S4" t="e">
        <f>IF(#REF!="Não",#REF!, " ")</f>
        <v>#REF!</v>
      </c>
      <c r="U4" s="3">
        <f>WBGAllies!G3</f>
        <v>36</v>
      </c>
      <c r="V4" t="str">
        <v>Swamp</v>
      </c>
      <c r="W4" t="str">
        <f>IF(WBGAllies!D4="Não",WBGAllies!C4, " ")</f>
        <v xml:space="preserve"> </v>
      </c>
    </row>
    <row r="5" spans="1:24" x14ac:dyDescent="0.25">
      <c r="B5" t="e">
        <f ca="1"/>
        <v>#NAME?</v>
      </c>
      <c r="C5" t="str">
        <f>IF(Fractius!D5="Não",Fractius!C5, " ")</f>
        <v xml:space="preserve"> </v>
      </c>
      <c r="F5" t="e">
        <f ca="1"/>
        <v>#NAME?</v>
      </c>
      <c r="G5" t="str">
        <f>IF(Life!D5="Não",Life!C5, " ")</f>
        <v xml:space="preserve"> </v>
      </c>
      <c r="J5" t="e">
        <v>#REF!</v>
      </c>
      <c r="K5" t="e">
        <f>IF(#REF!="Não",#REF!, " ")</f>
        <v>#REF!</v>
      </c>
      <c r="N5" t="e">
        <v>#REF!</v>
      </c>
      <c r="O5" t="e">
        <f>IF(#REF!="Não",#REF!, " ")</f>
        <v>#REF!</v>
      </c>
      <c r="R5" t="e">
        <v>#REF!</v>
      </c>
      <c r="S5" t="e">
        <f>IF(#REF!="Não",#REF!, " ")</f>
        <v>#REF!</v>
      </c>
      <c r="V5" t="str">
        <v>Oran-Rief Survivalist</v>
      </c>
      <c r="W5" t="str">
        <f>IF(WBGAllies!D5="Não",WBGAllies!C5, " ")</f>
        <v xml:space="preserve"> </v>
      </c>
    </row>
    <row r="6" spans="1:24" x14ac:dyDescent="0.25">
      <c r="B6" t="e">
        <f ca="1"/>
        <v>#NAME?</v>
      </c>
      <c r="C6" t="str">
        <f>IF(Fractius!D6="Não",Fractius!C6, " ")</f>
        <v xml:space="preserve"> </v>
      </c>
      <c r="F6" t="e">
        <f ca="1"/>
        <v>#NAME?</v>
      </c>
      <c r="G6" t="str">
        <f>IF(Life!D6="Não",Life!C6, " ")</f>
        <v xml:space="preserve"> </v>
      </c>
      <c r="J6" t="e">
        <v>#REF!</v>
      </c>
      <c r="K6" t="e">
        <f>IF(#REF!="Não",#REF!, " ")</f>
        <v>#REF!</v>
      </c>
      <c r="N6" t="e">
        <v>#REF!</v>
      </c>
      <c r="O6" t="e">
        <f>IF(#REF!="Não",#REF!, " ")</f>
        <v>#REF!</v>
      </c>
      <c r="R6" t="e">
        <v>#REF!</v>
      </c>
      <c r="S6" t="e">
        <f>IF(#REF!="Não",#REF!, " ")</f>
        <v>#REF!</v>
      </c>
      <c r="V6" t="str">
        <v>Oran-Rief Survivalist</v>
      </c>
      <c r="W6" t="str">
        <f>IF(WBGAllies!D6="Não",WBGAllies!C6, " ")</f>
        <v>Blossoming Sands</v>
      </c>
    </row>
    <row r="7" spans="1:24" x14ac:dyDescent="0.25">
      <c r="B7" t="e">
        <f ca="1"/>
        <v>#NAME?</v>
      </c>
      <c r="C7" t="str">
        <f>IF(Fractius!D7="Não",Fractius!C7, " ")</f>
        <v xml:space="preserve"> </v>
      </c>
      <c r="F7" t="e">
        <f ca="1"/>
        <v>#NAME?</v>
      </c>
      <c r="G7" t="str">
        <f>IF(Life!D7="Não",Life!C7, " ")</f>
        <v>Bojuka Bog</v>
      </c>
      <c r="J7" t="e">
        <v>#REF!</v>
      </c>
      <c r="K7" t="e">
        <f>IF(#REF!="Não",#REF!, " ")</f>
        <v>#REF!</v>
      </c>
      <c r="N7" t="e">
        <v>#REF!</v>
      </c>
      <c r="O7" t="e">
        <f>IF(#REF!="Não",#REF!, " ")</f>
        <v>#REF!</v>
      </c>
      <c r="R7" t="e">
        <v>#REF!</v>
      </c>
      <c r="S7" t="e">
        <f>IF(#REF!="Não",#REF!, " ")</f>
        <v>#REF!</v>
      </c>
      <c r="V7" t="str">
        <v>Oran-Rief Survivalist</v>
      </c>
      <c r="W7" t="str">
        <f>IF(WBGAllies!D7="Não",WBGAllies!C7, " ")</f>
        <v>Blossoming Sands</v>
      </c>
    </row>
    <row r="8" spans="1:24" x14ac:dyDescent="0.25">
      <c r="B8" t="e">
        <f ca="1"/>
        <v>#NAME?</v>
      </c>
      <c r="C8" t="str">
        <f>IF(Fractius!D8="Não",Fractius!C8, " ")</f>
        <v xml:space="preserve"> </v>
      </c>
      <c r="F8" t="e">
        <f ca="1"/>
        <v>#NAME?</v>
      </c>
      <c r="G8" t="str">
        <f>IF(Life!D8="Não",Life!C8, " ")</f>
        <v>Bojuka Bog</v>
      </c>
      <c r="J8" t="e">
        <v>#REF!</v>
      </c>
      <c r="K8" t="e">
        <f>IF(#REF!="Não",#REF!, " ")</f>
        <v>#REF!</v>
      </c>
      <c r="N8" t="e">
        <v>#REF!</v>
      </c>
      <c r="O8" t="e">
        <f>IF(#REF!="Não",#REF!, " ")</f>
        <v>#REF!</v>
      </c>
      <c r="R8" t="e">
        <v>#REF!</v>
      </c>
      <c r="S8" t="e">
        <f>IF(#REF!="Não",#REF!, " ")</f>
        <v>#REF!</v>
      </c>
      <c r="V8" t="str">
        <v>Oran-Rief Survivalist</v>
      </c>
      <c r="W8" t="str">
        <f>IF(WBGAllies!D8="Não",WBGAllies!C8, " ")</f>
        <v>Blossoming Sands</v>
      </c>
    </row>
    <row r="9" spans="1:24" x14ac:dyDescent="0.25">
      <c r="B9" t="e">
        <f ca="1"/>
        <v>#NAME?</v>
      </c>
      <c r="C9" t="str">
        <f>IF(Fractius!D9="Não",Fractius!C9, " ")</f>
        <v xml:space="preserve"> </v>
      </c>
      <c r="F9" t="e">
        <f ca="1"/>
        <v>#NAME?</v>
      </c>
      <c r="G9" t="str">
        <f>IF(Life!D9="Não",Life!C9, " ")</f>
        <v xml:space="preserve"> </v>
      </c>
      <c r="J9" t="e">
        <v>#REF!</v>
      </c>
      <c r="K9" t="e">
        <f>IF(#REF!="Não",#REF!, " ")</f>
        <v>#REF!</v>
      </c>
      <c r="N9" t="e">
        <v>#REF!</v>
      </c>
      <c r="O9" t="e">
        <f>IF(#REF!="Não",#REF!, " ")</f>
        <v>#REF!</v>
      </c>
      <c r="R9" t="e">
        <v>#REF!</v>
      </c>
      <c r="S9" t="e">
        <f>IF(#REF!="Não",#REF!, " ")</f>
        <v>#REF!</v>
      </c>
      <c r="V9" t="str">
        <v>Masked Vandal</v>
      </c>
      <c r="W9" t="str">
        <f>IF(WBGAllies!D9="Não",WBGAllies!C9, " ")</f>
        <v>Blossoming Sands</v>
      </c>
    </row>
    <row r="10" spans="1:24" x14ac:dyDescent="0.25">
      <c r="B10" t="e">
        <f ca="1"/>
        <v>#NAME?</v>
      </c>
      <c r="C10" t="str">
        <f>IF(Fractius!D10="Não",Fractius!C10, " ")</f>
        <v xml:space="preserve"> </v>
      </c>
      <c r="F10" t="e">
        <f ca="1"/>
        <v>#NAME?</v>
      </c>
      <c r="G10" t="str">
        <f>IF(Life!D10="Não",Life!C10, " ")</f>
        <v xml:space="preserve"> </v>
      </c>
      <c r="J10" t="e">
        <v>#REF!</v>
      </c>
      <c r="K10" t="e">
        <f>IF(#REF!="Não",#REF!, " ")</f>
        <v>#REF!</v>
      </c>
      <c r="N10" t="e">
        <v>#REF!</v>
      </c>
      <c r="O10" t="e">
        <f>IF(#REF!="Não",#REF!, " ")</f>
        <v>#REF!</v>
      </c>
      <c r="R10" t="e">
        <v>#REF!</v>
      </c>
      <c r="S10" t="e">
        <f>IF(#REF!="Não",#REF!, " ")</f>
        <v>#REF!</v>
      </c>
      <c r="V10" t="str">
        <v>Masked Vandal</v>
      </c>
      <c r="W10" t="str">
        <f>IF(WBGAllies!D10="Não",WBGAllies!C10, " ")</f>
        <v>Jungle Hollow</v>
      </c>
    </row>
    <row r="11" spans="1:24" x14ac:dyDescent="0.25">
      <c r="B11" t="e">
        <f ca="1"/>
        <v>#NAME?</v>
      </c>
      <c r="C11" t="str">
        <f>IF(Fractius!D11="Não",Fractius!C11, " ")</f>
        <v xml:space="preserve"> </v>
      </c>
      <c r="F11" t="e">
        <f ca="1"/>
        <v>#NAME?</v>
      </c>
      <c r="G11" t="str">
        <f>IF(Life!D11="Não",Life!C11, " ")</f>
        <v xml:space="preserve"> </v>
      </c>
      <c r="J11" t="e">
        <v>#REF!</v>
      </c>
      <c r="K11" t="e">
        <f>IF(#REF!="Não",#REF!, " ")</f>
        <v>#REF!</v>
      </c>
      <c r="N11" t="e">
        <v>#REF!</v>
      </c>
      <c r="O11" t="e">
        <f>IF(#REF!="Não",#REF!, " ")</f>
        <v>#REF!</v>
      </c>
      <c r="R11" t="e">
        <v>#REF!</v>
      </c>
      <c r="S11" t="e">
        <f>IF(#REF!="Não",#REF!, " ")</f>
        <v>#REF!</v>
      </c>
      <c r="V11" t="str">
        <v>Masked Vandal</v>
      </c>
      <c r="W11" t="str">
        <f>IF(WBGAllies!D11="Não",WBGAllies!C11, " ")</f>
        <v>Jungle Hollow</v>
      </c>
    </row>
    <row r="12" spans="1:24" x14ac:dyDescent="0.25">
      <c r="B12" t="e">
        <f ca="1"/>
        <v>#NAME?</v>
      </c>
      <c r="C12" t="str">
        <f>IF(Fractius!D12="Não",Fractius!C12, " ")</f>
        <v xml:space="preserve"> </v>
      </c>
      <c r="F12" t="e">
        <f ca="1"/>
        <v>#NAME?</v>
      </c>
      <c r="G12" t="str">
        <f>IF(Life!D12="Não",Life!C12, " ")</f>
        <v xml:space="preserve"> </v>
      </c>
      <c r="J12" t="e">
        <v>#REF!</v>
      </c>
      <c r="K12" t="e">
        <f>IF(#REF!="Não",#REF!, " ")</f>
        <v>#REF!</v>
      </c>
      <c r="N12" t="e">
        <v>#REF!</v>
      </c>
      <c r="O12" t="e">
        <f>IF(#REF!="Não",#REF!, " ")</f>
        <v>#REF!</v>
      </c>
      <c r="R12" t="e">
        <v>#REF!</v>
      </c>
      <c r="S12" t="e">
        <f>IF(#REF!="Não",#REF!, " ")</f>
        <v>#REF!</v>
      </c>
      <c r="V12" t="str">
        <v>Masked Vandal</v>
      </c>
      <c r="W12" t="str">
        <f>IF(WBGAllies!D12="Não",WBGAllies!C12, " ")</f>
        <v>Jungle Hollow</v>
      </c>
    </row>
    <row r="13" spans="1:24" x14ac:dyDescent="0.25">
      <c r="B13" t="e">
        <f ca="1"/>
        <v>#NAME?</v>
      </c>
      <c r="C13" t="str">
        <f>IF(Fractius!D13="Não",Fractius!C13, " ")</f>
        <v xml:space="preserve"> </v>
      </c>
      <c r="F13" t="e">
        <f ca="1"/>
        <v>#NAME?</v>
      </c>
      <c r="G13" t="str">
        <f>IF(Life!D13="Não",Life!C13, " ")</f>
        <v xml:space="preserve"> </v>
      </c>
      <c r="J13" t="e">
        <v>#REF!</v>
      </c>
      <c r="K13" t="e">
        <f>IF(#REF!="Não",#REF!, " ")</f>
        <v>#REF!</v>
      </c>
      <c r="N13" t="e">
        <v>#REF!</v>
      </c>
      <c r="O13" t="e">
        <f>IF(#REF!="Não",#REF!, " ")</f>
        <v>#REF!</v>
      </c>
      <c r="R13" t="e">
        <v>#REF!</v>
      </c>
      <c r="S13" t="e">
        <f>IF(#REF!="Não",#REF!, " ")</f>
        <v>#REF!</v>
      </c>
      <c r="V13" t="str">
        <v>Jungle Hollow</v>
      </c>
      <c r="W13" t="str">
        <f>IF(WBGAllies!D13="Não",WBGAllies!C13, " ")</f>
        <v>Evolving Wilds</v>
      </c>
    </row>
    <row r="14" spans="1:24" x14ac:dyDescent="0.25">
      <c r="B14" t="e">
        <f ca="1"/>
        <v>#NAME?</v>
      </c>
      <c r="C14" t="str">
        <f>IF(Fractius!D14="Não",Fractius!C14, " ")</f>
        <v xml:space="preserve"> </v>
      </c>
      <c r="F14" t="e">
        <f ca="1"/>
        <v>#NAME?</v>
      </c>
      <c r="G14" t="str">
        <f>IF(Life!D14="Não",Life!C14, " ")</f>
        <v xml:space="preserve"> </v>
      </c>
      <c r="J14" t="e">
        <v>#REF!</v>
      </c>
      <c r="K14" t="e">
        <f>IF(#REF!="Não",#REF!, " ")</f>
        <v>#REF!</v>
      </c>
      <c r="N14" t="e">
        <v>#REF!</v>
      </c>
      <c r="O14" t="e">
        <f>IF(#REF!="Não",#REF!, " ")</f>
        <v>#REF!</v>
      </c>
      <c r="R14" t="e">
        <v>#REF!</v>
      </c>
      <c r="S14" t="e">
        <f>IF(#REF!="Não",#REF!, " ")</f>
        <v>#REF!</v>
      </c>
      <c r="V14" t="str">
        <v>Jungle Hollow</v>
      </c>
      <c r="W14" t="str">
        <f>IF(WBGAllies!D14="Não",WBGAllies!C14, " ")</f>
        <v xml:space="preserve"> </v>
      </c>
    </row>
    <row r="15" spans="1:24" x14ac:dyDescent="0.25">
      <c r="B15" t="e">
        <f ca="1"/>
        <v>#NAME?</v>
      </c>
      <c r="C15" t="str">
        <f>IF(Fractius!D15="Não",Fractius!C15, " ")</f>
        <v xml:space="preserve"> </v>
      </c>
      <c r="F15" t="e">
        <f ca="1"/>
        <v>#NAME?</v>
      </c>
      <c r="G15" t="str">
        <f>IF(Life!D15="Não",Life!C15, " ")</f>
        <v xml:space="preserve"> </v>
      </c>
      <c r="J15" t="e">
        <v>#REF!</v>
      </c>
      <c r="K15" t="e">
        <f>IF(#REF!="Não",#REF!, " ")</f>
        <v>#REF!</v>
      </c>
      <c r="N15" t="e">
        <v>#REF!</v>
      </c>
      <c r="O15" t="e">
        <f>IF(#REF!="Não",#REF!, " ")</f>
        <v>#REF!</v>
      </c>
      <c r="R15" t="e">
        <v>#REF!</v>
      </c>
      <c r="S15" t="e">
        <f>IF(#REF!="Não",#REF!, " ")</f>
        <v>#REF!</v>
      </c>
      <c r="V15" t="str">
        <v>Jungle Hollow</v>
      </c>
      <c r="W15" t="str">
        <f>IF(WBGAllies!D15="Não",WBGAllies!C15, " ")</f>
        <v>Swamp</v>
      </c>
    </row>
    <row r="16" spans="1:24" x14ac:dyDescent="0.25">
      <c r="B16" t="e">
        <f ca="1"/>
        <v>#NAME?</v>
      </c>
      <c r="C16" t="str">
        <f>IF(Fractius!D16="Não",Fractius!C16, " ")</f>
        <v xml:space="preserve"> </v>
      </c>
      <c r="F16" t="e">
        <f ca="1"/>
        <v>#NAME?</v>
      </c>
      <c r="G16" t="str">
        <f>IF(Life!D16="Não",Life!C16, " ")</f>
        <v xml:space="preserve"> </v>
      </c>
      <c r="J16" t="e">
        <v>#REF!</v>
      </c>
      <c r="K16" t="e">
        <f>IF(#REF!="Não",#REF!, " ")</f>
        <v>#REF!</v>
      </c>
      <c r="N16" t="e">
        <v>#REF!</v>
      </c>
      <c r="O16" t="e">
        <f>IF(#REF!="Não",#REF!, " ")</f>
        <v>#REF!</v>
      </c>
      <c r="R16" t="e">
        <v>#REF!</v>
      </c>
      <c r="S16" t="e">
        <f>IF(#REF!="Não",#REF!, " ")</f>
        <v>#REF!</v>
      </c>
      <c r="V16" t="str">
        <v>Graypelt Hunter</v>
      </c>
      <c r="W16" t="str">
        <f>IF(WBGAllies!D16="Não",WBGAllies!C16, " ")</f>
        <v>Swamp</v>
      </c>
    </row>
    <row r="17" spans="2:23" x14ac:dyDescent="0.25">
      <c r="B17" t="e">
        <f ca="1"/>
        <v>#NAME?</v>
      </c>
      <c r="C17" t="str">
        <f>IF(Fractius!D17="Não",Fractius!C17, " ")</f>
        <v xml:space="preserve"> </v>
      </c>
      <c r="F17" t="e">
        <f ca="1"/>
        <v>#NAME?</v>
      </c>
      <c r="G17" t="str">
        <f>IF(Life!D17="Não",Life!C17, " ")</f>
        <v xml:space="preserve"> </v>
      </c>
      <c r="J17" t="e">
        <v>#REF!</v>
      </c>
      <c r="K17" t="e">
        <f>IF(#REF!="Não",#REF!, " ")</f>
        <v>#REF!</v>
      </c>
      <c r="N17" t="e">
        <v>#REF!</v>
      </c>
      <c r="O17" t="e">
        <f>IF(#REF!="Não",#REF!, " ")</f>
        <v>#REF!</v>
      </c>
      <c r="R17" t="e">
        <v>#REF!</v>
      </c>
      <c r="S17" t="e">
        <f>IF(#REF!="Não",#REF!, " ")</f>
        <v>#REF!</v>
      </c>
      <c r="V17" t="str">
        <v>Graypelt Hunter</v>
      </c>
      <c r="W17" t="str">
        <f>IF(WBGAllies!D17="Não",WBGAllies!C17, " ")</f>
        <v>Forest</v>
      </c>
    </row>
    <row r="18" spans="2:23" x14ac:dyDescent="0.25">
      <c r="B18" t="e">
        <f ca="1"/>
        <v>#NAME?</v>
      </c>
      <c r="C18" t="str">
        <f>IF(Fractius!D18="Não",Fractius!C18, " ")</f>
        <v xml:space="preserve"> </v>
      </c>
      <c r="F18" t="e">
        <f ca="1"/>
        <v>#NAME?</v>
      </c>
      <c r="G18" t="str">
        <f>IF(Life!D18="Não",Life!C18, " ")</f>
        <v xml:space="preserve"> </v>
      </c>
      <c r="J18" t="e">
        <v>#REF!</v>
      </c>
      <c r="K18" t="e">
        <f>IF(#REF!="Não",#REF!, " ")</f>
        <v>#REF!</v>
      </c>
      <c r="N18" t="e">
        <v>#REF!</v>
      </c>
      <c r="O18" t="e">
        <f>IF(#REF!="Não",#REF!, " ")</f>
        <v>#REF!</v>
      </c>
      <c r="R18" t="e">
        <v>#REF!</v>
      </c>
      <c r="S18" t="e">
        <f>IF(#REF!="Não",#REF!, " ")</f>
        <v>#REF!</v>
      </c>
      <c r="V18" t="str">
        <v>Graypelt Hunter</v>
      </c>
      <c r="W18" t="str">
        <f>IF(WBGAllies!D18="Não",WBGAllies!C18, " ")</f>
        <v>Forest</v>
      </c>
    </row>
    <row r="19" spans="2:23" x14ac:dyDescent="0.25">
      <c r="B19" t="e">
        <f ca="1"/>
        <v>#NAME?</v>
      </c>
      <c r="C19" t="str">
        <f>IF(Fractius!D19="Não",Fractius!C19, " ")</f>
        <v xml:space="preserve"> </v>
      </c>
      <c r="F19" t="e">
        <f ca="1"/>
        <v>#NAME?</v>
      </c>
      <c r="G19" t="str">
        <f>IF(Life!D19="Não",Life!C19, " ")</f>
        <v xml:space="preserve"> </v>
      </c>
      <c r="J19" t="e">
        <v>#REF!</v>
      </c>
      <c r="K19" t="e">
        <f>IF(#REF!="Não",#REF!, " ")</f>
        <v>#REF!</v>
      </c>
      <c r="N19" t="e">
        <v>#REF!</v>
      </c>
      <c r="O19" t="e">
        <f>IF(#REF!="Não",#REF!, " ")</f>
        <v>#REF!</v>
      </c>
      <c r="R19" t="e">
        <v>#REF!</v>
      </c>
      <c r="S19" t="e">
        <f>IF(#REF!="Não",#REF!, " ")</f>
        <v>#REF!</v>
      </c>
      <c r="V19" t="str">
        <v>Graypelt Hunter</v>
      </c>
      <c r="W19" t="str">
        <f>IF(WBGAllies!D19="Não",WBGAllies!C19, " ")</f>
        <v>Forest</v>
      </c>
    </row>
    <row r="20" spans="2:23" x14ac:dyDescent="0.25">
      <c r="B20" t="e">
        <f ca="1"/>
        <v>#NAME?</v>
      </c>
      <c r="C20" t="str">
        <f>IF(Fractius!D20="Não",Fractius!C20, " ")</f>
        <v xml:space="preserve"> </v>
      </c>
      <c r="F20" t="e">
        <f ca="1"/>
        <v>#NAME?</v>
      </c>
      <c r="G20" t="str">
        <f>IF(Life!D20="Não",Life!C20, " ")</f>
        <v xml:space="preserve"> </v>
      </c>
      <c r="J20" t="e">
        <v>#REF!</v>
      </c>
      <c r="K20" t="e">
        <f>IF(#REF!="Não",#REF!, " ")</f>
        <v>#REF!</v>
      </c>
      <c r="N20" t="e">
        <v>#REF!</v>
      </c>
      <c r="O20" t="e">
        <f>IF(#REF!="Não",#REF!, " ")</f>
        <v>#REF!</v>
      </c>
      <c r="R20" t="e">
        <v>#REF!</v>
      </c>
      <c r="S20" t="e">
        <f>IF(#REF!="Não",#REF!, " ")</f>
        <v>#REF!</v>
      </c>
      <c r="V20" t="str">
        <v>Forest</v>
      </c>
      <c r="W20" t="str">
        <f>IF(WBGAllies!D20="Não",WBGAllies!C20, " ")</f>
        <v xml:space="preserve"> </v>
      </c>
    </row>
    <row r="21" spans="2:23" x14ac:dyDescent="0.25">
      <c r="B21" t="e">
        <f ca="1"/>
        <v>#NAME?</v>
      </c>
      <c r="C21" t="str">
        <f>IF(Fractius!D21="Não",Fractius!C21, " ")</f>
        <v xml:space="preserve"> </v>
      </c>
      <c r="F21" t="e">
        <f ca="1"/>
        <v>#NAME?</v>
      </c>
      <c r="G21" t="str">
        <f>IF(Life!D21="Não",Life!C21, " ")</f>
        <v xml:space="preserve"> </v>
      </c>
      <c r="J21" t="e">
        <v>#REF!</v>
      </c>
      <c r="K21" t="e">
        <f>IF(#REF!="Não",#REF!, " ")</f>
        <v>#REF!</v>
      </c>
      <c r="N21" t="e">
        <v>#REF!</v>
      </c>
      <c r="O21" t="e">
        <f>IF(#REF!="Não",#REF!, " ")</f>
        <v>#REF!</v>
      </c>
      <c r="R21" t="e">
        <v>#REF!</v>
      </c>
      <c r="S21" t="e">
        <f>IF(#REF!="Não",#REF!, " ")</f>
        <v>#REF!</v>
      </c>
      <c r="V21" t="str">
        <v>Forest</v>
      </c>
      <c r="W21" t="str">
        <f>IF(WBGAllies!D21="Não",WBGAllies!C21, " ")</f>
        <v xml:space="preserve"> </v>
      </c>
    </row>
    <row r="22" spans="2:23" x14ac:dyDescent="0.25">
      <c r="B22" t="e">
        <f ca="1"/>
        <v>#NAME?</v>
      </c>
      <c r="C22" t="str">
        <f>IF(Fractius!D22="Não",Fractius!C22, " ")</f>
        <v xml:space="preserve"> </v>
      </c>
      <c r="F22" t="e">
        <f ca="1"/>
        <v>#NAME?</v>
      </c>
      <c r="G22" t="str">
        <f>IF(Life!D22="Não",Life!C22, " ")</f>
        <v xml:space="preserve"> </v>
      </c>
      <c r="J22" t="e">
        <v>#REF!</v>
      </c>
      <c r="K22" t="e">
        <f>IF(#REF!="Não",#REF!, " ")</f>
        <v>#REF!</v>
      </c>
      <c r="N22" t="e">
        <v>#REF!</v>
      </c>
      <c r="O22" t="e">
        <f>IF(#REF!="Não",#REF!, " ")</f>
        <v>#REF!</v>
      </c>
      <c r="R22" t="e">
        <v>#REF!</v>
      </c>
      <c r="S22" t="e">
        <f>IF(#REF!="Não",#REF!, " ")</f>
        <v>#REF!</v>
      </c>
      <c r="V22" t="str">
        <v>Forest</v>
      </c>
      <c r="W22" t="str">
        <f>IF(WBGAllies!D22="Não",WBGAllies!C22, " ")</f>
        <v xml:space="preserve"> </v>
      </c>
    </row>
    <row r="23" spans="2:23" x14ac:dyDescent="0.25">
      <c r="B23" t="e">
        <f ca="1"/>
        <v>#NAME?</v>
      </c>
      <c r="C23" t="str">
        <f>IF(Fractius!D23="Não",Fractius!C23, " ")</f>
        <v xml:space="preserve"> </v>
      </c>
      <c r="F23" t="e">
        <f ca="1"/>
        <v>#NAME?</v>
      </c>
      <c r="G23" t="str">
        <f>IF(Life!D23="Não",Life!C23, " ")</f>
        <v xml:space="preserve"> </v>
      </c>
      <c r="J23" t="e">
        <v>#REF!</v>
      </c>
      <c r="K23" t="e">
        <f>IF(#REF!="Não",#REF!, " ")</f>
        <v>#REF!</v>
      </c>
      <c r="N23" t="e">
        <v>#REF!</v>
      </c>
      <c r="O23" t="e">
        <f>IF(#REF!="Não",#REF!, " ")</f>
        <v>#REF!</v>
      </c>
      <c r="R23" t="e">
        <v>#REF!</v>
      </c>
      <c r="S23" t="e">
        <f>IF(#REF!="Não",#REF!, " ")</f>
        <v>#REF!</v>
      </c>
      <c r="V23" t="str">
        <v>Evolving Wilds</v>
      </c>
      <c r="W23" t="str">
        <f>IF(WBGAllies!D23="Não",WBGAllies!C23, " ")</f>
        <v xml:space="preserve"> </v>
      </c>
    </row>
    <row r="24" spans="2:23" x14ac:dyDescent="0.25">
      <c r="B24" t="e">
        <f ca="1"/>
        <v>#NAME?</v>
      </c>
      <c r="C24" t="str">
        <f>IF(Fractius!D24="Não",Fractius!C24, " ")</f>
        <v xml:space="preserve"> </v>
      </c>
      <c r="F24" t="e">
        <f ca="1"/>
        <v>#NAME?</v>
      </c>
      <c r="G24" t="str">
        <f>IF(Life!D24="Não",Life!C24, " ")</f>
        <v xml:space="preserve"> </v>
      </c>
      <c r="J24" t="e">
        <v>#REF!</v>
      </c>
      <c r="K24" t="e">
        <f>IF(#REF!="Não",#REF!, " ")</f>
        <v>#REF!</v>
      </c>
      <c r="N24" t="e">
        <v>#REF!</v>
      </c>
      <c r="O24" t="e">
        <f>IF(#REF!="Não",#REF!, " ")</f>
        <v>#REF!</v>
      </c>
      <c r="R24" t="e">
        <v>#REF!</v>
      </c>
      <c r="S24" t="e">
        <f>IF(#REF!="Não",#REF!, " ")</f>
        <v>#REF!</v>
      </c>
      <c r="V24" t="str">
        <v>Doom Blade</v>
      </c>
      <c r="W24" t="str">
        <f>IF(WBGAllies!D24="Não",WBGAllies!C24, " ")</f>
        <v xml:space="preserve"> </v>
      </c>
    </row>
    <row r="25" spans="2:23" x14ac:dyDescent="0.25">
      <c r="B25" t="e">
        <f ca="1"/>
        <v>#NAME?</v>
      </c>
      <c r="C25" t="str">
        <f>IF(Fractius!D25="Não",Fractius!C25, " ")</f>
        <v xml:space="preserve"> </v>
      </c>
      <c r="F25" t="e">
        <f ca="1"/>
        <v>#NAME?</v>
      </c>
      <c r="G25" t="str">
        <f>IF(Life!D25="Não",Life!C25, " ")</f>
        <v xml:space="preserve"> </v>
      </c>
      <c r="J25" t="e">
        <v>#REF!</v>
      </c>
      <c r="K25" t="e">
        <f>IF(#REF!="Não",#REF!, " ")</f>
        <v>#REF!</v>
      </c>
      <c r="N25" t="e">
        <v>#REF!</v>
      </c>
      <c r="O25" t="e">
        <f>IF(#REF!="Não",#REF!, " ")</f>
        <v>#REF!</v>
      </c>
      <c r="R25" t="e">
        <v>#REF!</v>
      </c>
      <c r="S25" t="e">
        <f>IF(#REF!="Não",#REF!, " ")</f>
        <v>#REF!</v>
      </c>
      <c r="V25" t="str">
        <v>Doom Blade</v>
      </c>
      <c r="W25" t="str">
        <f>IF(WBGAllies!D25="Não",WBGAllies!C25, " ")</f>
        <v xml:space="preserve"> </v>
      </c>
    </row>
    <row r="26" spans="2:23" x14ac:dyDescent="0.25">
      <c r="B26" t="e">
        <f ca="1"/>
        <v>#NAME?</v>
      </c>
      <c r="C26" t="str">
        <f>IF(Fractius!D26="Não",Fractius!C26, " ")</f>
        <v xml:space="preserve"> </v>
      </c>
      <c r="F26" t="e">
        <f ca="1"/>
        <v>#NAME?</v>
      </c>
      <c r="G26" t="str">
        <f>IF(Life!D26="Não",Life!C26, " ")</f>
        <v xml:space="preserve"> </v>
      </c>
      <c r="J26" t="e">
        <v>#REF!</v>
      </c>
      <c r="K26" t="e">
        <f>IF(#REF!="Não",#REF!, " ")</f>
        <v>#REF!</v>
      </c>
      <c r="N26" t="e">
        <v>#REF!</v>
      </c>
      <c r="O26" t="e">
        <f>IF(#REF!="Não",#REF!, " ")</f>
        <v>#REF!</v>
      </c>
      <c r="R26" t="e">
        <v>#REF!</v>
      </c>
      <c r="S26" t="e">
        <f>IF(#REF!="Não",#REF!, " ")</f>
        <v>#REF!</v>
      </c>
      <c r="V26" t="str">
        <v>Doom Blade</v>
      </c>
      <c r="W26" t="str">
        <f>IF(WBGAllies!D26="Não",WBGAllies!C26, " ")</f>
        <v xml:space="preserve"> </v>
      </c>
    </row>
    <row r="27" spans="2:23" x14ac:dyDescent="0.25">
      <c r="B27" t="e">
        <f ca="1"/>
        <v>#NAME?</v>
      </c>
      <c r="C27" t="str">
        <f>IF(Fractius!D27="Não",Fractius!C27, " ")</f>
        <v xml:space="preserve"> </v>
      </c>
      <c r="F27" t="e">
        <f ca="1"/>
        <v>#NAME?</v>
      </c>
      <c r="G27" t="str">
        <f>IF(Life!D27="Não",Life!C27, " ")</f>
        <v xml:space="preserve"> </v>
      </c>
      <c r="J27" t="e">
        <v>#REF!</v>
      </c>
      <c r="K27" t="e">
        <f>IF(#REF!="Não",#REF!, " ")</f>
        <v>#REF!</v>
      </c>
      <c r="N27" t="e">
        <v>#REF!</v>
      </c>
      <c r="O27" t="e">
        <f>IF(#REF!="Não",#REF!, " ")</f>
        <v>#REF!</v>
      </c>
      <c r="R27" t="e">
        <v>#REF!</v>
      </c>
      <c r="S27" t="e">
        <f>IF(#REF!="Não",#REF!, " ")</f>
        <v>#REF!</v>
      </c>
      <c r="V27" t="str">
        <v>Doom Blade</v>
      </c>
      <c r="W27" t="str">
        <f>IF(WBGAllies!D27="Não",WBGAllies!C27, " ")</f>
        <v xml:space="preserve"> </v>
      </c>
    </row>
    <row r="28" spans="2:23" x14ac:dyDescent="0.25">
      <c r="B28" t="e">
        <f ca="1"/>
        <v>#NAME?</v>
      </c>
      <c r="C28" t="str">
        <f>IF(Fractius!D28="Não",Fractius!C28, " ")</f>
        <v xml:space="preserve"> </v>
      </c>
      <c r="F28" t="e">
        <f ca="1"/>
        <v>#NAME?</v>
      </c>
      <c r="G28" t="str">
        <f>IF(Life!D28="Não",Life!C28, " ")</f>
        <v xml:space="preserve"> </v>
      </c>
      <c r="J28" t="e">
        <v>#REF!</v>
      </c>
      <c r="K28" t="e">
        <f>IF(#REF!="Não",#REF!, " ")</f>
        <v>#REF!</v>
      </c>
      <c r="N28" t="e">
        <v>#REF!</v>
      </c>
      <c r="O28" t="e">
        <f>IF(#REF!="Não",#REF!, " ")</f>
        <v>#REF!</v>
      </c>
      <c r="R28" t="e">
        <v>#REF!</v>
      </c>
      <c r="S28" t="e">
        <f>IF(#REF!="Não",#REF!, " ")</f>
        <v>#REF!</v>
      </c>
      <c r="V28" t="str">
        <v>Diabolic Edict</v>
      </c>
      <c r="W28" t="str">
        <f>IF(WBGAllies!D28="Não",WBGAllies!C28, " ")</f>
        <v xml:space="preserve"> </v>
      </c>
    </row>
    <row r="29" spans="2:23" x14ac:dyDescent="0.25">
      <c r="B29" t="e">
        <f ca="1"/>
        <v>#NAME?</v>
      </c>
      <c r="C29" t="str">
        <f>IF(Fractius!D29="Não",Fractius!C29, " ")</f>
        <v xml:space="preserve"> </v>
      </c>
      <c r="F29" t="e">
        <f ca="1"/>
        <v>#NAME?</v>
      </c>
      <c r="G29" t="str">
        <f>IF(Life!D29="Não",Life!C29, " ")</f>
        <v xml:space="preserve"> </v>
      </c>
      <c r="J29" t="e">
        <v>#REF!</v>
      </c>
      <c r="K29" t="e">
        <f>IF(#REF!="Não",#REF!, " ")</f>
        <v>#REF!</v>
      </c>
      <c r="N29" t="e">
        <v>#REF!</v>
      </c>
      <c r="O29" t="e">
        <f>IF(#REF!="Não",#REF!, " ")</f>
        <v>#REF!</v>
      </c>
      <c r="R29" t="e">
        <v>#REF!</v>
      </c>
      <c r="S29" t="e">
        <f>IF(#REF!="Não",#REF!, " ")</f>
        <v>#REF!</v>
      </c>
      <c r="V29" t="str">
        <v>Diabolic Edict</v>
      </c>
      <c r="W29" t="str">
        <f>IF(WBGAllies!D29="Não",WBGAllies!C29, " ")</f>
        <v xml:space="preserve"> </v>
      </c>
    </row>
    <row r="30" spans="2:23" x14ac:dyDescent="0.25">
      <c r="B30" t="e">
        <f ca="1"/>
        <v>#NAME?</v>
      </c>
      <c r="C30" t="str">
        <f>IF(Fractius!D30="Não",Fractius!C30, " ")</f>
        <v xml:space="preserve"> </v>
      </c>
      <c r="F30" t="e">
        <f ca="1"/>
        <v>#NAME?</v>
      </c>
      <c r="G30" t="str">
        <f>IF(Life!D30="Não",Life!C30, " ")</f>
        <v xml:space="preserve"> </v>
      </c>
      <c r="J30" t="e">
        <v>#REF!</v>
      </c>
      <c r="K30" t="e">
        <f>IF(#REF!="Não",#REF!, " ")</f>
        <v>#REF!</v>
      </c>
      <c r="N30" t="e">
        <v>#REF!</v>
      </c>
      <c r="O30" t="e">
        <f>IF(#REF!="Não",#REF!, " ")</f>
        <v>#REF!</v>
      </c>
      <c r="R30" t="e">
        <v>#REF!</v>
      </c>
      <c r="S30" t="e">
        <f>IF(#REF!="Não",#REF!, " ")</f>
        <v>#REF!</v>
      </c>
      <c r="V30" t="str">
        <v>Diabolic Edict</v>
      </c>
      <c r="W30" t="str">
        <f>IF(WBGAllies!D30="Não",WBGAllies!C30, " ")</f>
        <v xml:space="preserve"> </v>
      </c>
    </row>
    <row r="31" spans="2:23" x14ac:dyDescent="0.25">
      <c r="B31" t="e">
        <f ca="1"/>
        <v>#NAME?</v>
      </c>
      <c r="C31" t="str">
        <f>IF(Fractius!D31="Não",Fractius!C31, " ")</f>
        <v xml:space="preserve"> </v>
      </c>
      <c r="F31" t="e">
        <f ca="1"/>
        <v>#NAME?</v>
      </c>
      <c r="G31" t="str">
        <f>IF(Life!D31="Não",Life!C31, " ")</f>
        <v xml:space="preserve"> </v>
      </c>
      <c r="J31" t="e">
        <v>#REF!</v>
      </c>
      <c r="K31" t="e">
        <f>IF(#REF!="Não",#REF!, " ")</f>
        <v>#REF!</v>
      </c>
      <c r="N31" t="e">
        <v>#REF!</v>
      </c>
      <c r="O31" t="e">
        <f>IF(#REF!="Não",#REF!, " ")</f>
        <v>#REF!</v>
      </c>
      <c r="R31" t="e">
        <v>#REF!</v>
      </c>
      <c r="S31" t="e">
        <f>IF(#REF!="Não",#REF!, " ")</f>
        <v>#REF!</v>
      </c>
      <c r="V31" t="str">
        <v>Diabolic Edict</v>
      </c>
      <c r="W31" t="str">
        <f>IF(WBGAllies!D31="Não",WBGAllies!C31, " ")</f>
        <v xml:space="preserve"> </v>
      </c>
    </row>
    <row r="32" spans="2:23" x14ac:dyDescent="0.25">
      <c r="B32" t="e">
        <f ca="1"/>
        <v>#NAME?</v>
      </c>
      <c r="C32" t="str">
        <f>IF(Fractius!D32="Não",Fractius!C32, " ")</f>
        <v xml:space="preserve"> </v>
      </c>
      <c r="F32" t="e">
        <f ca="1"/>
        <v>#NAME?</v>
      </c>
      <c r="G32" t="str">
        <f>IF(Life!D32="Não",Life!C32, " ")</f>
        <v xml:space="preserve"> </v>
      </c>
      <c r="J32" t="e">
        <v>#REF!</v>
      </c>
      <c r="K32" t="e">
        <f>IF(#REF!="Não",#REF!, " ")</f>
        <v>#REF!</v>
      </c>
      <c r="N32" t="e">
        <v>#REF!</v>
      </c>
      <c r="O32" t="e">
        <f>IF(#REF!="Não",#REF!, " ")</f>
        <v>#REF!</v>
      </c>
      <c r="R32" t="e">
        <v>#REF!</v>
      </c>
      <c r="S32" t="e">
        <f>IF(#REF!="Não",#REF!, " ")</f>
        <v>#REF!</v>
      </c>
      <c r="V32" t="str">
        <v>Blossoming Sands</v>
      </c>
      <c r="W32" t="str">
        <f>IF(WBGAllies!D32="Não",WBGAllies!C32, " ")</f>
        <v xml:space="preserve"> </v>
      </c>
    </row>
    <row r="33" spans="2:23" x14ac:dyDescent="0.25">
      <c r="B33" t="e">
        <f ca="1"/>
        <v>#NAME?</v>
      </c>
      <c r="C33" t="str">
        <f>IF(Fractius!D33="Não",Fractius!C33, " ")</f>
        <v xml:space="preserve"> </v>
      </c>
      <c r="F33" t="e">
        <f ca="1"/>
        <v>#NAME?</v>
      </c>
      <c r="G33" t="str">
        <f>IF(Life!D33="Não",Life!C33, " ")</f>
        <v xml:space="preserve"> </v>
      </c>
      <c r="J33" t="e">
        <v>#REF!</v>
      </c>
      <c r="K33" t="e">
        <f>IF(#REF!="Não",#REF!, " ")</f>
        <v>#REF!</v>
      </c>
      <c r="N33" t="e">
        <v>#REF!</v>
      </c>
      <c r="O33" t="e">
        <f>IF(#REF!="Não",#REF!, " ")</f>
        <v>#REF!</v>
      </c>
      <c r="R33" t="e">
        <v>#REF!</v>
      </c>
      <c r="S33" t="e">
        <f>IF(#REF!="Não",#REF!, " ")</f>
        <v>#REF!</v>
      </c>
      <c r="V33" t="str">
        <v>Blossoming Sands</v>
      </c>
      <c r="W33" t="str">
        <f>IF(WBGAllies!D33="Não",WBGAllies!C33, " ")</f>
        <v xml:space="preserve"> </v>
      </c>
    </row>
    <row r="34" spans="2:23" x14ac:dyDescent="0.25">
      <c r="B34" t="e">
        <f ca="1"/>
        <v>#NAME?</v>
      </c>
      <c r="C34" t="str">
        <f>IF(Fractius!D34="Não",Fractius!C34, " ")</f>
        <v xml:space="preserve"> </v>
      </c>
      <c r="F34" t="e">
        <f ca="1"/>
        <v>#NAME?</v>
      </c>
      <c r="G34" t="str">
        <f>IF(Life!D34="Não",Life!C34, " ")</f>
        <v xml:space="preserve"> </v>
      </c>
      <c r="J34" t="e">
        <v>#REF!</v>
      </c>
      <c r="K34" t="e">
        <f>IF(#REF!="Não",#REF!, " ")</f>
        <v>#REF!</v>
      </c>
      <c r="N34" t="e">
        <v>#REF!</v>
      </c>
      <c r="O34" t="e">
        <f>IF(#REF!="Não",#REF!, " ")</f>
        <v>#REF!</v>
      </c>
      <c r="R34" t="e">
        <v>#REF!</v>
      </c>
      <c r="S34" t="e">
        <f>IF(#REF!="Não",#REF!, " ")</f>
        <v>#REF!</v>
      </c>
      <c r="V34" t="str">
        <v>Blossoming Sands</v>
      </c>
      <c r="W34" t="str">
        <f>IF(WBGAllies!D34="Não",WBGAllies!C34, " ")</f>
        <v xml:space="preserve"> </v>
      </c>
    </row>
    <row r="35" spans="2:23" x14ac:dyDescent="0.25">
      <c r="B35" t="e">
        <f ca="1"/>
        <v>#NAME?</v>
      </c>
      <c r="C35" t="str">
        <f>IF(Fractius!D35="Não",Fractius!C35, " ")</f>
        <v xml:space="preserve"> </v>
      </c>
      <c r="F35" t="e">
        <f ca="1"/>
        <v>#NAME?</v>
      </c>
      <c r="G35" t="str">
        <f>IF(Life!D35="Não",Life!C35, " ")</f>
        <v>Novice Inspector</v>
      </c>
      <c r="J35" t="e">
        <v>#REF!</v>
      </c>
      <c r="K35" t="e">
        <f>IF(#REF!="Não",#REF!, " ")</f>
        <v>#REF!</v>
      </c>
      <c r="N35" t="e">
        <v>#REF!</v>
      </c>
      <c r="O35" t="e">
        <f>IF(#REF!="Não",#REF!, " ")</f>
        <v>#REF!</v>
      </c>
      <c r="R35" t="e">
        <v>#REF!</v>
      </c>
      <c r="S35" t="e">
        <f>IF(#REF!="Não",#REF!, " ")</f>
        <v>#REF!</v>
      </c>
      <c r="V35" t="str">
        <v>Blossoming Sands</v>
      </c>
      <c r="W35" t="str">
        <f>IF(WBGAllies!D35="Não",WBGAllies!C35, " ")</f>
        <v xml:space="preserve"> </v>
      </c>
    </row>
    <row r="36" spans="2:23" x14ac:dyDescent="0.25">
      <c r="B36" t="e">
        <f ca="1"/>
        <v>#NAME?</v>
      </c>
      <c r="C36" t="str">
        <f>IF(Fractius!D36="Não",Fractius!C36, " ")</f>
        <v xml:space="preserve"> </v>
      </c>
      <c r="F36" t="e">
        <f ca="1"/>
        <v>#NAME?</v>
      </c>
      <c r="G36" t="str">
        <f>IF(Life!D36="Não",Life!C36, " ")</f>
        <v>Novice Inspector</v>
      </c>
      <c r="J36" t="e">
        <v>#REF!</v>
      </c>
      <c r="K36" t="e">
        <f>IF(#REF!="Não",#REF!, " ")</f>
        <v>#REF!</v>
      </c>
      <c r="N36" t="e">
        <v>#REF!</v>
      </c>
      <c r="O36" t="e">
        <f>IF(#REF!="Não",#REF!, " ")</f>
        <v>#REF!</v>
      </c>
      <c r="R36" t="e">
        <v>#REF!</v>
      </c>
      <c r="S36" t="e">
        <f>IF(#REF!="Não",#REF!, " ")</f>
        <v>#REF!</v>
      </c>
      <c r="V36" t="str">
        <v>Blessed Hippogriff // Tyr's Blessing</v>
      </c>
      <c r="W36" t="str">
        <f>IF(WBGAllies!D36="Não",WBGAllies!C36, " ")</f>
        <v xml:space="preserve"> </v>
      </c>
    </row>
    <row r="37" spans="2:23" x14ac:dyDescent="0.25">
      <c r="B37" t="e">
        <f ca="1"/>
        <v>#NAME?</v>
      </c>
      <c r="C37" t="str">
        <f>IF(Fractius!D37="Não",Fractius!C37, " ")</f>
        <v xml:space="preserve"> </v>
      </c>
      <c r="F37" t="e">
        <f ca="1"/>
        <v>#NAME?</v>
      </c>
      <c r="G37" t="str">
        <f>IF(Life!D37="Não",Life!C37, " ")</f>
        <v>Novice Inspector</v>
      </c>
      <c r="J37" t="e">
        <v>#REF!</v>
      </c>
      <c r="K37" t="e">
        <f>IF(#REF!="Não",#REF!, " ")</f>
        <v>#REF!</v>
      </c>
      <c r="N37" t="e">
        <v>#REF!</v>
      </c>
      <c r="O37" t="e">
        <f>IF(#REF!="Não",#REF!, " ")</f>
        <v>#REF!</v>
      </c>
      <c r="R37" t="e">
        <v>#REF!</v>
      </c>
      <c r="S37" t="e">
        <f>IF(#REF!="Não",#REF!, " ")</f>
        <v>#REF!</v>
      </c>
      <c r="V37" t="str">
        <v>Blessed Hippogriff // Tyr's Blessing</v>
      </c>
      <c r="W37" t="str">
        <f>IF(WBGAllies!D37="Não",WBGAllies!C37, " ")</f>
        <v xml:space="preserve"> </v>
      </c>
    </row>
    <row r="38" spans="2:23" x14ac:dyDescent="0.25">
      <c r="B38" t="e">
        <f ca="1"/>
        <v>#NAME?</v>
      </c>
      <c r="C38" t="str">
        <f>IF(Fractius!D38="Não",Fractius!C38, " ")</f>
        <v xml:space="preserve"> </v>
      </c>
      <c r="F38" t="e">
        <f ca="1"/>
        <v>#NAME?</v>
      </c>
      <c r="G38" t="str">
        <f>IF(Life!D38="Não",Life!C38, " ")</f>
        <v>Novice Inspector</v>
      </c>
      <c r="J38" t="e">
        <v>#REF!</v>
      </c>
      <c r="K38" t="e">
        <f>IF(#REF!="Não",#REF!, " ")</f>
        <v>#REF!</v>
      </c>
      <c r="N38" t="e">
        <v>#REF!</v>
      </c>
      <c r="O38" t="e">
        <f>IF(#REF!="Não",#REF!, " ")</f>
        <v>#REF!</v>
      </c>
      <c r="R38" t="e">
        <v>#REF!</v>
      </c>
      <c r="S38" t="e">
        <f>IF(#REF!="Não",#REF!, " ")</f>
        <v>#REF!</v>
      </c>
      <c r="V38" t="str">
        <v>Blessed Hippogriff // Tyr's Blessing</v>
      </c>
      <c r="W38" t="str">
        <f>IF(WBGAllies!D38="Não",WBGAllies!C38, " ")</f>
        <v xml:space="preserve"> </v>
      </c>
    </row>
    <row r="39" spans="2:23" x14ac:dyDescent="0.25">
      <c r="B39" t="e">
        <f ca="1"/>
        <v>#NAME?</v>
      </c>
      <c r="C39" t="str">
        <f>IF(Fractius!D39="Não",Fractius!C39, " ")</f>
        <v xml:space="preserve"> </v>
      </c>
      <c r="F39" t="e">
        <f ca="1"/>
        <v>#NAME?</v>
      </c>
      <c r="G39" t="str">
        <f>IF(Life!D39="Não",Life!C39, " ")</f>
        <v xml:space="preserve"> </v>
      </c>
      <c r="J39" t="e">
        <v>#REF!</v>
      </c>
      <c r="K39" t="e">
        <f>IF(#REF!="Não",#REF!, " ")</f>
        <v>#REF!</v>
      </c>
      <c r="N39" t="e">
        <v>#REF!</v>
      </c>
      <c r="O39" t="e">
        <f>IF(#REF!="Não",#REF!, " ")</f>
        <v>#REF!</v>
      </c>
      <c r="R39" t="e">
        <v>#REF!</v>
      </c>
      <c r="S39" t="e">
        <f>IF(#REF!="Não",#REF!, " ")</f>
        <v>#REF!</v>
      </c>
      <c r="V39" t="str">
        <v xml:space="preserve"> </v>
      </c>
      <c r="W39" t="str">
        <f>IF(WBGAllies!D39="Não",WBGAllies!C39, " ")</f>
        <v>Masked Vandal</v>
      </c>
    </row>
    <row r="40" spans="2:23" x14ac:dyDescent="0.25">
      <c r="B40" t="e">
        <f ca="1"/>
        <v>#NAME?</v>
      </c>
      <c r="C40" t="str">
        <f>IF(Fractius!D40="Não",Fractius!C40, " ")</f>
        <v xml:space="preserve"> </v>
      </c>
      <c r="F40" t="e">
        <f ca="1"/>
        <v>#NAME?</v>
      </c>
      <c r="G40" t="str">
        <f>IF(Life!D40="Não",Life!C40, " ")</f>
        <v xml:space="preserve"> </v>
      </c>
      <c r="J40" t="e">
        <v>#REF!</v>
      </c>
      <c r="K40" t="e">
        <f>IF(#REF!="Não",#REF!, " ")</f>
        <v>#REF!</v>
      </c>
      <c r="N40" t="e">
        <v>#REF!</v>
      </c>
      <c r="O40" t="e">
        <f>IF(#REF!="Não",#REF!, " ")</f>
        <v>#REF!</v>
      </c>
      <c r="R40" t="e">
        <v>#REF!</v>
      </c>
      <c r="S40" t="e">
        <f>IF(#REF!="Não",#REF!, " ")</f>
        <v>#REF!</v>
      </c>
      <c r="V40" t="str">
        <v xml:space="preserve"> </v>
      </c>
      <c r="W40" t="str">
        <f>IF(WBGAllies!D40="Não",WBGAllies!C40, " ")</f>
        <v>Masked Vandal</v>
      </c>
    </row>
    <row r="41" spans="2:23" x14ac:dyDescent="0.25">
      <c r="B41" t="e">
        <f ca="1"/>
        <v>#NAME?</v>
      </c>
      <c r="C41" t="str">
        <f>IF(Fractius!D41="Não",Fractius!C41, " ")</f>
        <v xml:space="preserve"> </v>
      </c>
      <c r="F41" t="e">
        <f ca="1"/>
        <v>#NAME?</v>
      </c>
      <c r="G41" t="str">
        <f>IF(Life!D41="Não",Life!C41, " ")</f>
        <v xml:space="preserve"> </v>
      </c>
      <c r="J41" t="e">
        <v>#REF!</v>
      </c>
      <c r="K41" t="e">
        <f>IF(#REF!="Não",#REF!, " ")</f>
        <v>#REF!</v>
      </c>
      <c r="N41" t="e">
        <v>#REF!</v>
      </c>
      <c r="O41" t="e">
        <f>IF(#REF!="Não",#REF!, " ")</f>
        <v>#REF!</v>
      </c>
      <c r="R41" t="e">
        <v>#REF!</v>
      </c>
      <c r="S41" t="e">
        <f>IF(#REF!="Não",#REF!, " ")</f>
        <v>#REF!</v>
      </c>
      <c r="V41" t="str">
        <v xml:space="preserve"> </v>
      </c>
      <c r="W41" t="str">
        <f>IF(WBGAllies!D41="Não",WBGAllies!C41, " ")</f>
        <v>Masked Vandal</v>
      </c>
    </row>
    <row r="42" spans="2:23" x14ac:dyDescent="0.25">
      <c r="B42" t="e">
        <f ca="1"/>
        <v>#NAME?</v>
      </c>
      <c r="C42" t="str">
        <f>IF(Fractius!D42="Não",Fractius!C42, " ")</f>
        <v xml:space="preserve"> </v>
      </c>
      <c r="F42" t="e">
        <f ca="1"/>
        <v>#NAME?</v>
      </c>
      <c r="G42" t="str">
        <f>IF(Life!D42="Não",Life!C42, " ")</f>
        <v xml:space="preserve"> </v>
      </c>
      <c r="J42" t="e">
        <v>#REF!</v>
      </c>
      <c r="K42" t="e">
        <f>IF(#REF!="Não",#REF!, " ")</f>
        <v>#REF!</v>
      </c>
      <c r="N42" t="e">
        <v>#REF!</v>
      </c>
      <c r="O42" t="e">
        <f>IF(#REF!="Não",#REF!, " ")</f>
        <v>#REF!</v>
      </c>
      <c r="R42" t="e">
        <v>#REF!</v>
      </c>
      <c r="S42" t="e">
        <f>IF(#REF!="Não",#REF!, " ")</f>
        <v>#REF!</v>
      </c>
      <c r="V42" t="str">
        <v xml:space="preserve"> </v>
      </c>
      <c r="W42" t="str">
        <f>IF(WBGAllies!D42="Não",WBGAllies!C42, " ")</f>
        <v>Masked Vandal</v>
      </c>
    </row>
    <row r="43" spans="2:23" x14ac:dyDescent="0.25">
      <c r="B43" t="e">
        <f ca="1"/>
        <v>#NAME?</v>
      </c>
      <c r="C43" t="str">
        <f>IF(Fractius!D43="Não",Fractius!C43, " ")</f>
        <v xml:space="preserve"> </v>
      </c>
      <c r="F43" t="e">
        <f ca="1"/>
        <v>#NAME?</v>
      </c>
      <c r="G43" t="str">
        <f>IF(Life!D43="Não",Life!C43, " ")</f>
        <v xml:space="preserve"> </v>
      </c>
      <c r="J43" t="e">
        <v>#REF!</v>
      </c>
      <c r="K43" t="e">
        <f>IF(#REF!="Não",#REF!, " ")</f>
        <v>#REF!</v>
      </c>
      <c r="N43" t="e">
        <v>#REF!</v>
      </c>
      <c r="O43" t="e">
        <f>IF(#REF!="Não",#REF!, " ")</f>
        <v>#REF!</v>
      </c>
      <c r="R43" t="e">
        <v>#REF!</v>
      </c>
      <c r="S43" t="e">
        <f>IF(#REF!="Não",#REF!, " ")</f>
        <v>#REF!</v>
      </c>
      <c r="V43" t="str">
        <v xml:space="preserve"> </v>
      </c>
      <c r="W43" t="str">
        <f>IF(WBGAllies!D43="Não",WBGAllies!C43, " ")</f>
        <v>Oran-Rief Survivalist</v>
      </c>
    </row>
    <row r="44" spans="2:23" x14ac:dyDescent="0.25">
      <c r="B44" t="e">
        <f ca="1"/>
        <v>#NAME?</v>
      </c>
      <c r="C44" t="str">
        <f>IF(Fractius!D44="Não",Fractius!C44, " ")</f>
        <v xml:space="preserve"> </v>
      </c>
      <c r="F44" t="e">
        <f ca="1"/>
        <v>#NAME?</v>
      </c>
      <c r="G44" t="str">
        <f>IF(Life!D44="Não",Life!C44, " ")</f>
        <v xml:space="preserve"> </v>
      </c>
      <c r="J44" t="e">
        <v>#REF!</v>
      </c>
      <c r="K44" t="e">
        <f>IF(#REF!="Não",#REF!, " ")</f>
        <v>#REF!</v>
      </c>
      <c r="N44" t="e">
        <v>#REF!</v>
      </c>
      <c r="O44" t="e">
        <f>IF(#REF!="Não",#REF!, " ")</f>
        <v>#REF!</v>
      </c>
      <c r="R44" t="e">
        <v>#REF!</v>
      </c>
      <c r="S44" t="e">
        <f>IF(#REF!="Não",#REF!, " ")</f>
        <v>#REF!</v>
      </c>
      <c r="V44" t="str">
        <v xml:space="preserve"> </v>
      </c>
      <c r="W44" t="str">
        <f>IF(WBGAllies!D44="Não",WBGAllies!C44, " ")</f>
        <v>Oran-Rief Survivalist</v>
      </c>
    </row>
    <row r="45" spans="2:23" x14ac:dyDescent="0.25">
      <c r="B45" t="e">
        <f ca="1"/>
        <v>#NAME?</v>
      </c>
      <c r="C45" t="str">
        <f>IF(Fractius!D45="Não",Fractius!C45, " ")</f>
        <v xml:space="preserve"> </v>
      </c>
      <c r="F45" t="e">
        <f ca="1"/>
        <v>#NAME?</v>
      </c>
      <c r="G45" t="str">
        <f>IF(Life!D45="Não",Life!C45, " ")</f>
        <v xml:space="preserve"> </v>
      </c>
      <c r="J45" t="e">
        <v>#REF!</v>
      </c>
      <c r="K45" t="e">
        <f>IF(#REF!="Não",#REF!, " ")</f>
        <v>#REF!</v>
      </c>
      <c r="N45" t="e">
        <v>#REF!</v>
      </c>
      <c r="O45" t="e">
        <f>IF(#REF!="Não",#REF!, " ")</f>
        <v>#REF!</v>
      </c>
      <c r="R45" t="e">
        <v>#REF!</v>
      </c>
      <c r="S45" t="e">
        <f>IF(#REF!="Não",#REF!, " ")</f>
        <v>#REF!</v>
      </c>
      <c r="V45" t="str">
        <v xml:space="preserve"> </v>
      </c>
      <c r="W45" t="str">
        <f>IF(WBGAllies!D45="Não",WBGAllies!C45, " ")</f>
        <v>Oran-Rief Survivalist</v>
      </c>
    </row>
    <row r="46" spans="2:23" x14ac:dyDescent="0.25">
      <c r="B46" t="e">
        <f ca="1"/>
        <v>#NAME?</v>
      </c>
      <c r="C46" t="str">
        <f>IF(Fractius!D46="Não",Fractius!C46, " ")</f>
        <v xml:space="preserve"> </v>
      </c>
      <c r="F46" t="e">
        <f ca="1"/>
        <v>#NAME?</v>
      </c>
      <c r="G46" t="str">
        <f>IF(Life!D46="Não",Life!C46, " ")</f>
        <v xml:space="preserve"> </v>
      </c>
      <c r="J46" t="e">
        <v>#REF!</v>
      </c>
      <c r="K46" t="e">
        <f>IF(#REF!="Não",#REF!, " ")</f>
        <v>#REF!</v>
      </c>
      <c r="N46" t="e">
        <v>#REF!</v>
      </c>
      <c r="O46" t="e">
        <f>IF(#REF!="Não",#REF!, " ")</f>
        <v>#REF!</v>
      </c>
      <c r="R46" t="e">
        <v>#REF!</v>
      </c>
      <c r="S46" t="e">
        <f>IF(#REF!="Não",#REF!, " ")</f>
        <v>#REF!</v>
      </c>
      <c r="V46" t="str">
        <v xml:space="preserve"> </v>
      </c>
      <c r="W46" t="str">
        <f>IF(WBGAllies!D46="Não",WBGAllies!C46, " ")</f>
        <v>Oran-Rief Survivalist</v>
      </c>
    </row>
    <row r="47" spans="2:23" x14ac:dyDescent="0.25">
      <c r="B47" t="e">
        <f ca="1"/>
        <v>#NAME?</v>
      </c>
      <c r="C47" t="str">
        <f>IF(Fractius!D47="Não",Fractius!C47, " ")</f>
        <v xml:space="preserve"> </v>
      </c>
      <c r="F47" t="e">
        <f ca="1"/>
        <v>#NAME?</v>
      </c>
      <c r="G47" t="str">
        <f>IF(Life!D47="Não",Life!C47, " ")</f>
        <v xml:space="preserve"> </v>
      </c>
      <c r="J47" t="e">
        <v>#REF!</v>
      </c>
      <c r="K47" t="e">
        <f>IF(#REF!="Não",#REF!, " ")</f>
        <v>#REF!</v>
      </c>
      <c r="N47" t="e">
        <v>#REF!</v>
      </c>
      <c r="O47" t="e">
        <f>IF(#REF!="Não",#REF!, " ")</f>
        <v>#REF!</v>
      </c>
      <c r="R47" t="e">
        <v>#REF!</v>
      </c>
      <c r="S47" t="e">
        <f>IF(#REF!="Não",#REF!, " ")</f>
        <v>#REF!</v>
      </c>
      <c r="V47" t="str">
        <v xml:space="preserve"> </v>
      </c>
      <c r="W47" t="str">
        <f>IF(WBGAllies!D47="Não",WBGAllies!C47, " ")</f>
        <v>Graypelt Hunter</v>
      </c>
    </row>
    <row r="48" spans="2:23" x14ac:dyDescent="0.25">
      <c r="B48" t="e">
        <f ca="1"/>
        <v>#NAME?</v>
      </c>
      <c r="C48" t="str">
        <f>IF(Fractius!D48="Não",Fractius!C48, " ")</f>
        <v xml:space="preserve"> </v>
      </c>
      <c r="F48" t="e">
        <f ca="1"/>
        <v>#NAME?</v>
      </c>
      <c r="G48" t="str">
        <f>IF(Life!D48="Não",Life!C48, " ")</f>
        <v xml:space="preserve"> </v>
      </c>
      <c r="J48" t="e">
        <v>#REF!</v>
      </c>
      <c r="K48" t="e">
        <f>IF(#REF!="Não",#REF!, " ")</f>
        <v>#REF!</v>
      </c>
      <c r="N48" t="e">
        <v>#REF!</v>
      </c>
      <c r="O48" t="e">
        <f>IF(#REF!="Não",#REF!, " ")</f>
        <v>#REF!</v>
      </c>
      <c r="R48" t="e">
        <v>#REF!</v>
      </c>
      <c r="S48" t="e">
        <f>IF(#REF!="Não",#REF!, " ")</f>
        <v>#REF!</v>
      </c>
      <c r="V48" t="str">
        <v xml:space="preserve"> </v>
      </c>
      <c r="W48" t="str">
        <f>IF(WBGAllies!D48="Não",WBGAllies!C48, " ")</f>
        <v>Graypelt Hunter</v>
      </c>
    </row>
    <row r="49" spans="2:23" x14ac:dyDescent="0.25">
      <c r="B49" t="e">
        <f ca="1"/>
        <v>#NAME?</v>
      </c>
      <c r="C49" t="str">
        <f>IF(Fractius!D49="Não",Fractius!C49, " ")</f>
        <v xml:space="preserve"> </v>
      </c>
      <c r="F49" t="e">
        <f ca="1"/>
        <v>#NAME?</v>
      </c>
      <c r="G49" t="str">
        <f>IF(Life!D49="Não",Life!C49, " ")</f>
        <v xml:space="preserve"> </v>
      </c>
      <c r="J49" t="e">
        <v>#REF!</v>
      </c>
      <c r="K49" t="e">
        <f>IF(#REF!="Não",#REF!, " ")</f>
        <v>#REF!</v>
      </c>
      <c r="N49" t="e">
        <v>#REF!</v>
      </c>
      <c r="O49" t="e">
        <f>IF(#REF!="Não",#REF!, " ")</f>
        <v>#REF!</v>
      </c>
      <c r="R49" t="e">
        <v>#REF!</v>
      </c>
      <c r="S49" t="e">
        <f>IF(#REF!="Não",#REF!, " ")</f>
        <v>#REF!</v>
      </c>
      <c r="V49" t="str">
        <v xml:space="preserve"> </v>
      </c>
      <c r="W49" t="str">
        <f>IF(WBGAllies!D49="Não",WBGAllies!C49, " ")</f>
        <v>Graypelt Hunter</v>
      </c>
    </row>
    <row r="50" spans="2:23" x14ac:dyDescent="0.25">
      <c r="B50" t="e">
        <f ca="1"/>
        <v>#NAME?</v>
      </c>
      <c r="C50" t="str">
        <f>IF(Fractius!D50="Não",Fractius!C50, " ")</f>
        <v xml:space="preserve"> </v>
      </c>
      <c r="F50" t="e">
        <f ca="1"/>
        <v>#NAME?</v>
      </c>
      <c r="G50" t="str">
        <f>IF(Life!D50="Não",Life!C50, " ")</f>
        <v xml:space="preserve"> </v>
      </c>
      <c r="J50" t="e">
        <v>#REF!</v>
      </c>
      <c r="K50" t="e">
        <f>IF(#REF!="Não",#REF!, " ")</f>
        <v>#REF!</v>
      </c>
      <c r="N50" t="e">
        <v>#REF!</v>
      </c>
      <c r="O50" t="e">
        <f>IF(#REF!="Não",#REF!, " ")</f>
        <v>#REF!</v>
      </c>
      <c r="R50" t="e">
        <v>#REF!</v>
      </c>
      <c r="S50" t="e">
        <f>IF(#REF!="Não",#REF!, " ")</f>
        <v>#REF!</v>
      </c>
      <c r="V50" t="str">
        <v xml:space="preserve"> </v>
      </c>
      <c r="W50" t="str">
        <f>IF(WBGAllies!D50="Não",WBGAllies!C50, " ")</f>
        <v>Graypelt Hunter</v>
      </c>
    </row>
    <row r="51" spans="2:23" x14ac:dyDescent="0.25">
      <c r="B51" t="e">
        <f ca="1"/>
        <v>#NAME?</v>
      </c>
      <c r="C51" t="str">
        <f>IF(Fractius!D51="Não",Fractius!C51, " ")</f>
        <v xml:space="preserve"> </v>
      </c>
      <c r="F51" t="e">
        <f ca="1"/>
        <v>#NAME?</v>
      </c>
      <c r="G51" t="str">
        <f>IF(Life!D51="Não",Life!C51, " ")</f>
        <v>Ephemerate</v>
      </c>
      <c r="J51" t="e">
        <v>#REF!</v>
      </c>
      <c r="K51" t="e">
        <f>IF(#REF!="Não",#REF!, " ")</f>
        <v>#REF!</v>
      </c>
      <c r="N51" t="e">
        <v>#REF!</v>
      </c>
      <c r="O51" t="e">
        <f>IF(#REF!="Não",#REF!, " ")</f>
        <v>#REF!</v>
      </c>
      <c r="R51" t="e">
        <v>#REF!</v>
      </c>
      <c r="S51" t="e">
        <f>IF(#REF!="Não",#REF!, " ")</f>
        <v>#REF!</v>
      </c>
      <c r="V51" t="str">
        <v xml:space="preserve"> </v>
      </c>
      <c r="W51" t="str">
        <f>IF(WBGAllies!D51="Não",WBGAllies!C51, " ")</f>
        <v xml:space="preserve"> </v>
      </c>
    </row>
    <row r="52" spans="2:23" x14ac:dyDescent="0.25">
      <c r="B52" t="e">
        <f ca="1"/>
        <v>#NAME?</v>
      </c>
      <c r="C52" t="str">
        <f>IF(Fractius!D52="Não",Fractius!C52, " ")</f>
        <v xml:space="preserve"> </v>
      </c>
      <c r="F52" t="e">
        <f ca="1"/>
        <v>#NAME?</v>
      </c>
      <c r="G52" t="str">
        <f>IF(Life!D52="Não",Life!C52, " ")</f>
        <v>Ephemerate</v>
      </c>
      <c r="J52" t="e">
        <v>#REF!</v>
      </c>
      <c r="K52" t="e">
        <f>IF(#REF!="Não",#REF!, " ")</f>
        <v>#REF!</v>
      </c>
      <c r="N52" t="e">
        <v>#REF!</v>
      </c>
      <c r="O52" t="e">
        <f>IF(#REF!="Não",#REF!, " ")</f>
        <v>#REF!</v>
      </c>
      <c r="R52" t="e">
        <v>#REF!</v>
      </c>
      <c r="S52" t="e">
        <f>IF(#REF!="Não",#REF!, " ")</f>
        <v>#REF!</v>
      </c>
      <c r="V52" t="str">
        <v xml:space="preserve"> </v>
      </c>
      <c r="W52" t="str">
        <f>IF(WBGAllies!D52="Não",WBGAllies!C52, " ")</f>
        <v xml:space="preserve"> </v>
      </c>
    </row>
    <row r="53" spans="2:23" x14ac:dyDescent="0.25">
      <c r="B53" t="e">
        <f ca="1"/>
        <v>#NAME?</v>
      </c>
      <c r="C53" t="str">
        <f>IF(Fractius!D53="Não",Fractius!C53, " ")</f>
        <v>Mutagenic Growth</v>
      </c>
      <c r="F53" t="e">
        <f ca="1"/>
        <v>#NAME?</v>
      </c>
      <c r="G53" t="str">
        <f>IF(Life!D53="Não",Life!C53, " ")</f>
        <v>Ephemerate</v>
      </c>
      <c r="J53" t="e">
        <v>#REF!</v>
      </c>
      <c r="K53" t="e">
        <f>IF(#REF!="Não",#REF!, " ")</f>
        <v>#REF!</v>
      </c>
      <c r="N53" t="e">
        <v>#REF!</v>
      </c>
      <c r="O53" t="e">
        <f>IF(#REF!="Não",#REF!, " ")</f>
        <v>#REF!</v>
      </c>
      <c r="R53" t="e">
        <v>#REF!</v>
      </c>
      <c r="S53" t="e">
        <f>IF(#REF!="Não",#REF!, " ")</f>
        <v>#REF!</v>
      </c>
      <c r="V53" t="str">
        <v xml:space="preserve"> </v>
      </c>
      <c r="W53" t="str">
        <f>IF(WBGAllies!D53="Não",WBGAllies!C53, " ")</f>
        <v xml:space="preserve"> </v>
      </c>
    </row>
    <row r="54" spans="2:23" x14ac:dyDescent="0.25">
      <c r="B54" t="e">
        <f ca="1"/>
        <v>#NAME?</v>
      </c>
      <c r="C54" t="str">
        <f>IF(Fractius!D54="Não",Fractius!C54, " ")</f>
        <v xml:space="preserve"> </v>
      </c>
      <c r="F54" t="e">
        <f ca="1"/>
        <v>#NAME?</v>
      </c>
      <c r="G54" t="str">
        <f>IF(Life!D54="Não",Life!C54, " ")</f>
        <v>Ephemerate</v>
      </c>
      <c r="J54" t="e">
        <v>#REF!</v>
      </c>
      <c r="K54" t="e">
        <f>IF(#REF!="Não",#REF!, " ")</f>
        <v>#REF!</v>
      </c>
      <c r="N54" t="e">
        <v>#REF!</v>
      </c>
      <c r="O54" t="e">
        <f>IF(#REF!="Não",#REF!, " ")</f>
        <v>#REF!</v>
      </c>
      <c r="R54" t="e">
        <v>#REF!</v>
      </c>
      <c r="S54" t="e">
        <f>IF(#REF!="Não",#REF!, " ")</f>
        <v>#REF!</v>
      </c>
      <c r="V54" t="str">
        <v xml:space="preserve"> </v>
      </c>
      <c r="W54" t="str">
        <f>IF(WBGAllies!D54="Não",WBGAllies!C54, " ")</f>
        <v xml:space="preserve"> </v>
      </c>
    </row>
    <row r="55" spans="2:23" x14ac:dyDescent="0.25">
      <c r="B55" t="e">
        <f ca="1"/>
        <v>#NAME?</v>
      </c>
      <c r="C55" t="str">
        <f>IF(Fractius!D55="Não",Fractius!C55, " ")</f>
        <v xml:space="preserve"> </v>
      </c>
      <c r="F55" t="e">
        <f ca="1"/>
        <v>#NAME?</v>
      </c>
      <c r="G55" t="str">
        <f>IF(Life!D55="Não",Life!C55, " ")</f>
        <v xml:space="preserve"> </v>
      </c>
      <c r="J55" t="e">
        <v>#REF!</v>
      </c>
      <c r="K55" t="e">
        <f>IF(#REF!="Não",#REF!, " ")</f>
        <v>#REF!</v>
      </c>
      <c r="N55" t="e">
        <v>#REF!</v>
      </c>
      <c r="O55" t="e">
        <f>IF(#REF!="Não",#REF!, " ")</f>
        <v>#REF!</v>
      </c>
      <c r="R55" t="e">
        <v>#REF!</v>
      </c>
      <c r="S55" t="e">
        <f>IF(#REF!="Não",#REF!, " ")</f>
        <v>#REF!</v>
      </c>
      <c r="V55" t="str">
        <v xml:space="preserve"> </v>
      </c>
      <c r="W55" t="str">
        <f>IF(WBGAllies!D55="Não",WBGAllies!C55, " ")</f>
        <v xml:space="preserve"> </v>
      </c>
    </row>
    <row r="56" spans="2:23" x14ac:dyDescent="0.25">
      <c r="B56" t="e">
        <f ca="1"/>
        <v>#NAME?</v>
      </c>
      <c r="C56" t="str">
        <f>IF(Fractius!D56="Não",Fractius!C56, " ")</f>
        <v xml:space="preserve"> </v>
      </c>
      <c r="F56" t="e">
        <f ca="1"/>
        <v>#NAME?</v>
      </c>
      <c r="G56" t="str">
        <f>IF(Life!D56="Não",Life!C56, " ")</f>
        <v xml:space="preserve"> </v>
      </c>
      <c r="J56" t="e">
        <v>#REF!</v>
      </c>
      <c r="K56" t="e">
        <f>IF(#REF!="Não",#REF!, " ")</f>
        <v>#REF!</v>
      </c>
      <c r="N56" t="e">
        <v>#REF!</v>
      </c>
      <c r="O56" t="e">
        <f>IF(#REF!="Não",#REF!, " ")</f>
        <v>#REF!</v>
      </c>
      <c r="R56" t="e">
        <v>#REF!</v>
      </c>
      <c r="S56" t="e">
        <f>IF(#REF!="Não",#REF!, " ")</f>
        <v>#REF!</v>
      </c>
      <c r="V56" t="str">
        <v xml:space="preserve"> </v>
      </c>
      <c r="W56" t="str">
        <f>IF(WBGAllies!D56="Não",WBGAllies!C56, " ")</f>
        <v xml:space="preserve"> </v>
      </c>
    </row>
    <row r="57" spans="2:23" x14ac:dyDescent="0.25">
      <c r="B57" t="e">
        <f ca="1"/>
        <v>#NAME?</v>
      </c>
      <c r="C57" t="str">
        <f>IF(Fractius!D57="Não",Fractius!C57, " ")</f>
        <v xml:space="preserve"> </v>
      </c>
      <c r="F57" t="e">
        <f ca="1"/>
        <v>#NAME?</v>
      </c>
      <c r="G57" t="str">
        <f>IF(Life!D57="Não",Life!C57, " ")</f>
        <v>Marauding-Blight Priest</v>
      </c>
      <c r="J57" t="e">
        <v>#REF!</v>
      </c>
      <c r="K57" t="e">
        <f>IF(#REF!="Não",#REF!, " ")</f>
        <v>#REF!</v>
      </c>
      <c r="N57" t="e">
        <v>#REF!</v>
      </c>
      <c r="O57" t="e">
        <f>IF(#REF!="Não",#REF!, " ")</f>
        <v>#REF!</v>
      </c>
      <c r="R57" t="e">
        <v>#REF!</v>
      </c>
      <c r="S57" t="e">
        <f>IF(#REF!="Não",#REF!, " ")</f>
        <v>#REF!</v>
      </c>
      <c r="V57" t="str">
        <v xml:space="preserve"> </v>
      </c>
      <c r="W57" t="str">
        <f>IF(WBGAllies!D57="Não",WBGAllies!C57, " ")</f>
        <v xml:space="preserve"> </v>
      </c>
    </row>
    <row r="58" spans="2:23" x14ac:dyDescent="0.25">
      <c r="B58" t="e">
        <f ca="1"/>
        <v>#NAME?</v>
      </c>
      <c r="C58" t="str">
        <f>IF(Fractius!D58="Não",Fractius!C58, " ")</f>
        <v xml:space="preserve"> </v>
      </c>
      <c r="F58" t="e">
        <f ca="1"/>
        <v>#NAME?</v>
      </c>
      <c r="G58" t="str">
        <f>IF(Life!D58="Não",Life!C58, " ")</f>
        <v xml:space="preserve"> </v>
      </c>
      <c r="J58" t="e">
        <v>#REF!</v>
      </c>
      <c r="K58" t="e">
        <f>IF(#REF!="Não",#REF!, " ")</f>
        <v>#REF!</v>
      </c>
      <c r="N58" t="e">
        <v>#REF!</v>
      </c>
      <c r="O58" t="e">
        <f>IF(#REF!="Não",#REF!, " ")</f>
        <v>#REF!</v>
      </c>
      <c r="R58" t="e">
        <v>#REF!</v>
      </c>
      <c r="S58" t="e">
        <f>IF(#REF!="Não",#REF!, " ")</f>
        <v>#REF!</v>
      </c>
      <c r="V58" t="str">
        <v xml:space="preserve"> </v>
      </c>
      <c r="W58" t="str">
        <f>IF(WBGAllies!D58="Não",WBGAllies!C58, " ")</f>
        <v xml:space="preserve"> </v>
      </c>
    </row>
    <row r="59" spans="2:23" x14ac:dyDescent="0.25">
      <c r="B59" t="e">
        <f ca="1"/>
        <v>#NAME?</v>
      </c>
      <c r="C59" t="str">
        <f>IF(Fractius!D59="Não",Fractius!C59, " ")</f>
        <v xml:space="preserve"> </v>
      </c>
      <c r="F59" t="e">
        <f ca="1"/>
        <v>#NAME?</v>
      </c>
      <c r="G59" t="str">
        <f>IF(Life!D59="Não",Life!C59, " ")</f>
        <v xml:space="preserve"> </v>
      </c>
      <c r="J59" t="e">
        <v>#REF!</v>
      </c>
      <c r="K59" t="e">
        <f>IF(#REF!="Não",#REF!, " ")</f>
        <v>#REF!</v>
      </c>
      <c r="N59" t="e">
        <v>#REF!</v>
      </c>
      <c r="O59" t="e">
        <f>IF(#REF!="Não",#REF!, " ")</f>
        <v>#REF!</v>
      </c>
      <c r="R59" t="e">
        <v>#REF!</v>
      </c>
      <c r="S59" t="e">
        <f>IF(#REF!="Não",#REF!, " ")</f>
        <v>#REF!</v>
      </c>
      <c r="V59" t="str">
        <v xml:space="preserve"> </v>
      </c>
      <c r="W59" t="str">
        <f>IF(WBGAllies!D59="Não",WBGAllies!C59, " ")</f>
        <v xml:space="preserve"> </v>
      </c>
    </row>
    <row r="60" spans="2:23" x14ac:dyDescent="0.25">
      <c r="B60" t="e">
        <f ca="1"/>
        <v>#NAME?</v>
      </c>
      <c r="C60" t="str">
        <f>IF(Fractius!D60="Não",Fractius!C60, " ")</f>
        <v xml:space="preserve"> </v>
      </c>
      <c r="F60" t="e">
        <f ca="1"/>
        <v>#NAME?</v>
      </c>
      <c r="G60" t="str">
        <f>IF(Life!D60="Não",Life!C60, " ")</f>
        <v xml:space="preserve"> </v>
      </c>
      <c r="J60" t="e">
        <v>#REF!</v>
      </c>
      <c r="K60" t="e">
        <f>IF(#REF!="Não",#REF!, " ")</f>
        <v>#REF!</v>
      </c>
      <c r="N60" t="e">
        <v>#REF!</v>
      </c>
      <c r="O60" t="e">
        <f>IF(#REF!="Não",#REF!, " ")</f>
        <v>#REF!</v>
      </c>
      <c r="R60" t="e">
        <v>#REF!</v>
      </c>
      <c r="S60" t="e">
        <f>IF(#REF!="Não",#REF!, " ")</f>
        <v>#REF!</v>
      </c>
      <c r="V60" t="str">
        <v xml:space="preserve"> </v>
      </c>
      <c r="W60" t="str">
        <f>IF(WBGAllies!D60="Não",WBGAllies!C60, " ")</f>
        <v xml:space="preserve"> </v>
      </c>
    </row>
    <row r="61" spans="2:23" x14ac:dyDescent="0.25">
      <c r="B61" t="e">
        <f ca="1"/>
        <v>#NAME?</v>
      </c>
      <c r="C61" t="str">
        <f>IF(Fractius!D61="Não",Fractius!C61, " ")</f>
        <v xml:space="preserve"> </v>
      </c>
      <c r="F61" t="e">
        <f ca="1"/>
        <v>#NAME?</v>
      </c>
      <c r="G61" t="str">
        <f>IF(Life!D61="Não",Life!C61, " ")</f>
        <v xml:space="preserve"> </v>
      </c>
      <c r="J61" t="e">
        <v>#REF!</v>
      </c>
      <c r="K61" t="e">
        <f>IF(#REF!="Não",#REF!, " ")</f>
        <v>#REF!</v>
      </c>
      <c r="N61" t="e">
        <v>#REF!</v>
      </c>
      <c r="O61" t="e">
        <f>IF(#REF!="Não",#REF!, " ")</f>
        <v>#REF!</v>
      </c>
      <c r="R61" t="e">
        <v>#REF!</v>
      </c>
      <c r="S61" t="e">
        <f>IF(#REF!="Não",#REF!, " ")</f>
        <v>#REF!</v>
      </c>
      <c r="V61" t="str">
        <v xml:space="preserve"> </v>
      </c>
      <c r="W61" t="str">
        <f>IF(WBGAllies!D61="Não",WBGAllies!C61, " ")</f>
        <v xml:space="preserve"> </v>
      </c>
    </row>
    <row r="62" spans="2:23" x14ac:dyDescent="0.25">
      <c r="B62" t="e">
        <f ca="1"/>
        <v>#NAME?</v>
      </c>
      <c r="C62" t="str">
        <f>IF(Fractius!D62="Não",Fractius!C62, " ")</f>
        <v xml:space="preserve"> </v>
      </c>
      <c r="F62" t="e">
        <f ca="1"/>
        <v>#NAME?</v>
      </c>
      <c r="G62" t="str">
        <f>IF(Life!D62="Não",Life!C62, " ")</f>
        <v xml:space="preserve"> </v>
      </c>
      <c r="J62" t="e">
        <v>#REF!</v>
      </c>
      <c r="K62" t="e">
        <f>IF(#REF!="Não",#REF!, " ")</f>
        <v>#REF!</v>
      </c>
      <c r="N62" t="e">
        <v>#REF!</v>
      </c>
      <c r="O62" t="e">
        <f>IF(#REF!="Não",#REF!, " ")</f>
        <v>#REF!</v>
      </c>
      <c r="R62" t="e">
        <v>#REF!</v>
      </c>
      <c r="S62" t="e">
        <f>IF(#REF!="Não",#REF!, " ")</f>
        <v>#REF!</v>
      </c>
      <c r="V62" t="str">
        <v xml:space="preserve"> </v>
      </c>
      <c r="W62" t="str">
        <f>IF(WBGAllies!D62="Não",WBGAllies!C62, " ")</f>
        <v xml:space="preserve"> </v>
      </c>
    </row>
    <row r="63" spans="2:23" x14ac:dyDescent="0.25">
      <c r="B63" t="e">
        <f ca="1"/>
        <v>#NAME?</v>
      </c>
      <c r="C63" t="str">
        <f>IF(Fractius!D63="Não",Fractius!C63, " ")</f>
        <v>Journey to Nowhere</v>
      </c>
      <c r="F63" t="e">
        <f ca="1"/>
        <v>#NAME?</v>
      </c>
      <c r="G63" t="str">
        <f>IF(Life!D63="Não",Life!C63, " ")</f>
        <v>Thraben Charm</v>
      </c>
      <c r="J63" t="e">
        <v>#REF!</v>
      </c>
      <c r="K63" t="e">
        <f>IF(#REF!="Não",#REF!, " ")</f>
        <v>#REF!</v>
      </c>
      <c r="N63" t="e">
        <v>#REF!</v>
      </c>
      <c r="O63" t="e">
        <f>IF(#REF!="Não",#REF!, " ")</f>
        <v>#REF!</v>
      </c>
      <c r="R63" t="e">
        <v>#REF!</v>
      </c>
      <c r="S63" t="e">
        <f>IF(#REF!="Não",#REF!, " ")</f>
        <v>#REF!</v>
      </c>
      <c r="V63" t="str">
        <v xml:space="preserve"> </v>
      </c>
      <c r="W63" t="str">
        <f>IF(WBGAllies!D63="Não",WBGAllies!C63, " ")</f>
        <v xml:space="preserve"> </v>
      </c>
    </row>
    <row r="64" spans="2:23" x14ac:dyDescent="0.25">
      <c r="B64" t="e">
        <f ca="1"/>
        <v>#NAME?</v>
      </c>
      <c r="C64" t="str">
        <f>IF(Fractius!D64="Não",Fractius!C64, " ")</f>
        <v>Journey to Nowhere</v>
      </c>
      <c r="F64" t="e">
        <f ca="1"/>
        <v>#NAME?</v>
      </c>
      <c r="G64" t="str">
        <f>IF(Life!D64="Não",Life!C64, " ")</f>
        <v>Thraben Charm</v>
      </c>
      <c r="J64" t="e">
        <v>#REF!</v>
      </c>
      <c r="K64" t="e">
        <f>IF(#REF!="Não",#REF!, " ")</f>
        <v>#REF!</v>
      </c>
      <c r="N64" t="e">
        <v>#REF!</v>
      </c>
      <c r="O64" t="e">
        <f>IF(#REF!="Não",#REF!, " ")</f>
        <v>#REF!</v>
      </c>
      <c r="R64" t="e">
        <v>#REF!</v>
      </c>
      <c r="S64" t="e">
        <f>IF(#REF!="Não",#REF!, " ")</f>
        <v>#REF!</v>
      </c>
      <c r="V64" t="str">
        <v xml:space="preserve"> </v>
      </c>
      <c r="W64" t="str">
        <f>IF(WBGAllies!D64="Não",WBGAllies!C64, " ")</f>
        <v xml:space="preserve"> </v>
      </c>
    </row>
    <row r="65" spans="2:23" x14ac:dyDescent="0.25">
      <c r="B65" t="e">
        <f ca="1"/>
        <v>#NAME?</v>
      </c>
      <c r="C65" t="str">
        <f>IF(Fractius!D65="Não",Fractius!C65, " ")</f>
        <v>Young Wolf</v>
      </c>
      <c r="F65" t="e">
        <f ca="1"/>
        <v>#NAME?</v>
      </c>
      <c r="G65" t="str">
        <f>IF(Life!D65="Não",Life!C65, " ")</f>
        <v xml:space="preserve"> </v>
      </c>
      <c r="J65" t="e">
        <v>#REF!</v>
      </c>
      <c r="K65" t="e">
        <f>IF(#REF!="Não",#REF!, " ")</f>
        <v>#REF!</v>
      </c>
      <c r="N65" t="e">
        <v>#REF!</v>
      </c>
      <c r="O65" t="e">
        <f>IF(#REF!="Não",#REF!, " ")</f>
        <v>#REF!</v>
      </c>
      <c r="R65" t="e">
        <v>#REF!</v>
      </c>
      <c r="S65" t="e">
        <f>IF(#REF!="Não",#REF!, " ")</f>
        <v>#REF!</v>
      </c>
      <c r="V65" t="str">
        <v xml:space="preserve"> </v>
      </c>
      <c r="W65" t="str">
        <f>IF(WBGAllies!D65="Não",WBGAllies!C65, " ")</f>
        <v xml:space="preserve"> </v>
      </c>
    </row>
    <row r="66" spans="2:23" x14ac:dyDescent="0.25">
      <c r="B66" t="e">
        <f ca="1"/>
        <v>#NAME?</v>
      </c>
      <c r="C66" t="str">
        <f>IF(Fractius!D66="Não",Fractius!C66, " ")</f>
        <v>Young Wolf</v>
      </c>
      <c r="F66" t="e">
        <f ca="1"/>
        <v>#NAME?</v>
      </c>
      <c r="G66" t="str">
        <f>IF(Life!D66="Não",Life!C66, " ")</f>
        <v xml:space="preserve"> </v>
      </c>
      <c r="J66" t="e">
        <v>#REF!</v>
      </c>
      <c r="K66" t="e">
        <f>IF(#REF!="Não",#REF!, " ")</f>
        <v>#REF!</v>
      </c>
      <c r="N66" t="e">
        <v>#REF!</v>
      </c>
      <c r="O66" t="e">
        <f>IF(#REF!="Não",#REF!, " ")</f>
        <v>#REF!</v>
      </c>
      <c r="R66" t="e">
        <v>#REF!</v>
      </c>
      <c r="S66" t="e">
        <f>IF(#REF!="Não",#REF!, " ")</f>
        <v>#REF!</v>
      </c>
      <c r="V66" t="str">
        <v xml:space="preserve"> </v>
      </c>
      <c r="W66" t="str">
        <f>IF(WBGAllies!D66="Não",WBGAllies!C66, " ")</f>
        <v xml:space="preserve"> </v>
      </c>
    </row>
    <row r="67" spans="2:23" x14ac:dyDescent="0.25">
      <c r="B67" t="e">
        <f ca="1"/>
        <v>#NAME?</v>
      </c>
      <c r="C67" t="str">
        <f>IF(Fractius!D67="Não",Fractius!C67, " ")</f>
        <v xml:space="preserve"> </v>
      </c>
      <c r="F67" t="e">
        <f ca="1"/>
        <v>#NAME?</v>
      </c>
      <c r="G67" t="str">
        <f>IF(Life!D67="Não",Life!C67, " ")</f>
        <v xml:space="preserve"> </v>
      </c>
      <c r="J67" t="e">
        <v>#REF!</v>
      </c>
      <c r="K67" t="e">
        <f>IF(#REF!="Não",#REF!, " ")</f>
        <v>#REF!</v>
      </c>
      <c r="N67" t="e">
        <v>#REF!</v>
      </c>
      <c r="O67" t="e">
        <f>IF(#REF!="Não",#REF!, " ")</f>
        <v>#REF!</v>
      </c>
      <c r="R67" t="e">
        <v>#REF!</v>
      </c>
      <c r="S67" t="e">
        <f>IF(#REF!="Não",#REF!, " ")</f>
        <v>#REF!</v>
      </c>
      <c r="V67" t="str">
        <v xml:space="preserve"> </v>
      </c>
      <c r="W67" t="str">
        <f>IF(WBGAllies!D67="Não",WBGAllies!C67, " ")</f>
        <v>Diabolic Edict</v>
      </c>
    </row>
    <row r="68" spans="2:23" x14ac:dyDescent="0.25">
      <c r="B68" t="e">
        <f ca="1"/>
        <v>#NAME?</v>
      </c>
      <c r="C68" t="str">
        <f>IF(Fractius!D68="Não",Fractius!C68, " ")</f>
        <v>Standard Bearer</v>
      </c>
      <c r="F68" t="e">
        <f ca="1"/>
        <v>#NAME?</v>
      </c>
      <c r="G68" t="str">
        <f>IF(Life!D68="Não",Life!C68, " ")</f>
        <v xml:space="preserve"> </v>
      </c>
      <c r="J68" t="e">
        <v>#REF!</v>
      </c>
      <c r="K68" t="e">
        <f>IF(#REF!="Não",#REF!, " ")</f>
        <v>#REF!</v>
      </c>
      <c r="N68" t="e">
        <v>#REF!</v>
      </c>
      <c r="O68" t="e">
        <f>IF(#REF!="Não",#REF!, " ")</f>
        <v>#REF!</v>
      </c>
      <c r="R68" t="e">
        <v>#REF!</v>
      </c>
      <c r="S68" t="e">
        <f>IF(#REF!="Não",#REF!, " ")</f>
        <v>#REF!</v>
      </c>
      <c r="V68" t="str">
        <v xml:space="preserve"> </v>
      </c>
      <c r="W68" t="str">
        <f>IF(WBGAllies!D68="Não",WBGAllies!C68, " ")</f>
        <v>Diabolic Edict</v>
      </c>
    </row>
    <row r="69" spans="2:23" x14ac:dyDescent="0.25">
      <c r="B69" t="e">
        <f ca="1"/>
        <v>#NAME?</v>
      </c>
      <c r="C69" t="str">
        <f>IF(Fractius!D69="Não",Fractius!C69, " ")</f>
        <v>Standard Bearer</v>
      </c>
      <c r="F69" t="e">
        <f ca="1"/>
        <v>#NAME?</v>
      </c>
      <c r="G69" t="str">
        <f>IF(Life!D69="Não",Life!C69, " ")</f>
        <v xml:space="preserve"> </v>
      </c>
      <c r="J69" t="e">
        <v>#REF!</v>
      </c>
      <c r="K69" t="e">
        <f>IF(#REF!="Não",#REF!, " ")</f>
        <v>#REF!</v>
      </c>
      <c r="N69" t="e">
        <v>#REF!</v>
      </c>
      <c r="O69" t="e">
        <f>IF(#REF!="Não",#REF!, " ")</f>
        <v>#REF!</v>
      </c>
      <c r="R69" t="e">
        <v>#REF!</v>
      </c>
      <c r="S69" t="e">
        <f>IF(#REF!="Não",#REF!, " ")</f>
        <v>#REF!</v>
      </c>
      <c r="V69" t="str">
        <v xml:space="preserve"> </v>
      </c>
      <c r="W69" t="str">
        <f>IF(WBGAllies!D69="Não",WBGAllies!C69, " ")</f>
        <v>Diabolic Edict</v>
      </c>
    </row>
    <row r="70" spans="2:23" x14ac:dyDescent="0.25">
      <c r="B70" t="e">
        <f ca="1"/>
        <v>#NAME?</v>
      </c>
      <c r="C70" t="str">
        <f>IF(Fractius!D70="Não",Fractius!C70, " ")</f>
        <v>Gut Shot</v>
      </c>
      <c r="F70" t="e">
        <f ca="1"/>
        <v>#NAME?</v>
      </c>
      <c r="G70" t="str">
        <f>IF(Life!D70="Não",Life!C70, " ")</f>
        <v xml:space="preserve"> </v>
      </c>
      <c r="J70" t="e">
        <v>#REF!</v>
      </c>
      <c r="K70" t="e">
        <f>IF(#REF!="Não",#REF!, " ")</f>
        <v>#REF!</v>
      </c>
      <c r="N70" t="e">
        <v>#REF!</v>
      </c>
      <c r="O70" t="e">
        <f>IF(#REF!="Não",#REF!, " ")</f>
        <v>#REF!</v>
      </c>
      <c r="R70" t="e">
        <v>#REF!</v>
      </c>
      <c r="S70" t="e">
        <f>IF(#REF!="Não",#REF!, " ")</f>
        <v>#REF!</v>
      </c>
      <c r="V70" t="str">
        <v xml:space="preserve"> </v>
      </c>
      <c r="W70" t="str">
        <f>IF(WBGAllies!D70="Não",WBGAllies!C70, " ")</f>
        <v>Diabolic Edict</v>
      </c>
    </row>
    <row r="71" spans="2:23" x14ac:dyDescent="0.25">
      <c r="B71" t="e">
        <f ca="1"/>
        <v>#NAME?</v>
      </c>
      <c r="C71" t="str">
        <f>IF(Fractius!D71="Não",Fractius!C71, " ")</f>
        <v>Gut Shot</v>
      </c>
      <c r="F71" t="e">
        <f ca="1"/>
        <v>#NAME?</v>
      </c>
      <c r="G71" t="str">
        <f>IF(Life!D71="Não",Life!C71, " ")</f>
        <v xml:space="preserve"> </v>
      </c>
      <c r="J71" t="e">
        <v>#REF!</v>
      </c>
      <c r="K71" t="e">
        <f>IF(#REF!="Não",#REF!, " ")</f>
        <v>#REF!</v>
      </c>
      <c r="N71" t="e">
        <v>#REF!</v>
      </c>
      <c r="O71" t="e">
        <f>IF(#REF!="Não",#REF!, " ")</f>
        <v>#REF!</v>
      </c>
      <c r="R71" t="e">
        <v>#REF!</v>
      </c>
      <c r="S71" t="e">
        <f>IF(#REF!="Não",#REF!, " ")</f>
        <v>#REF!</v>
      </c>
      <c r="V71" t="str">
        <v xml:space="preserve"> </v>
      </c>
      <c r="W71" t="str">
        <f>IF(WBGAllies!D71="Não",WBGAllies!C71, " ")</f>
        <v>Blessed Hippogriff // Tyr's Blessing</v>
      </c>
    </row>
    <row r="72" spans="2:23" x14ac:dyDescent="0.25">
      <c r="B72" t="e">
        <f ca="1"/>
        <v>#NAME?</v>
      </c>
      <c r="C72" t="str">
        <f>IF(Fractius!D72="Não",Fractius!C72, " ")</f>
        <v>Gut Shot</v>
      </c>
      <c r="F72" t="e">
        <f ca="1"/>
        <v>#NAME?</v>
      </c>
      <c r="G72" t="str">
        <f>IF(Life!D72="Não",Life!C72, " ")</f>
        <v xml:space="preserve"> </v>
      </c>
      <c r="J72" t="e">
        <v>#REF!</v>
      </c>
      <c r="K72" t="e">
        <f>IF(#REF!="Não",#REF!, " ")</f>
        <v>#REF!</v>
      </c>
      <c r="N72" t="e">
        <v>#REF!</v>
      </c>
      <c r="O72" t="e">
        <f>IF(#REF!="Não",#REF!, " ")</f>
        <v>#REF!</v>
      </c>
      <c r="R72" t="e">
        <v>#REF!</v>
      </c>
      <c r="S72" t="e">
        <f>IF(#REF!="Não",#REF!, " ")</f>
        <v>#REF!</v>
      </c>
      <c r="V72" t="str">
        <v xml:space="preserve"> </v>
      </c>
      <c r="W72" t="str">
        <f>IF(WBGAllies!D72="Não",WBGAllies!C72, " ")</f>
        <v>Blessed Hippogriff // Tyr's Blessing</v>
      </c>
    </row>
    <row r="73" spans="2:23" x14ac:dyDescent="0.25">
      <c r="B73" t="e">
        <f ca="1"/>
        <v>#NAME?</v>
      </c>
      <c r="C73" t="str">
        <f>IF(Fractius!D73="Não",Fractius!C73, " ")</f>
        <v>Scattershot Archer</v>
      </c>
      <c r="F73" t="e">
        <f ca="1"/>
        <v>#NAME?</v>
      </c>
      <c r="G73" t="str">
        <f>IF(Life!D73="Não",Life!C73, " ")</f>
        <v xml:space="preserve"> </v>
      </c>
      <c r="J73" t="e">
        <v>#REF!</v>
      </c>
      <c r="K73" t="e">
        <f>IF(#REF!="Não",#REF!, " ")</f>
        <v>#REF!</v>
      </c>
      <c r="N73" t="e">
        <v>#REF!</v>
      </c>
      <c r="O73" t="e">
        <f>IF(#REF!="Não",#REF!, " ")</f>
        <v>#REF!</v>
      </c>
      <c r="R73" t="e">
        <v>#REF!</v>
      </c>
      <c r="S73" t="e">
        <f>IF(#REF!="Não",#REF!, " ")</f>
        <v>#REF!</v>
      </c>
      <c r="V73" t="str">
        <v xml:space="preserve"> </v>
      </c>
      <c r="W73" t="str">
        <f>IF(WBGAllies!D73="Não",WBGAllies!C73, " ")</f>
        <v>Blessed Hippogriff // Tyr's Blessing</v>
      </c>
    </row>
    <row r="74" spans="2:23" x14ac:dyDescent="0.25">
      <c r="B74" t="e">
        <f ca="1"/>
        <v>#NAME?</v>
      </c>
      <c r="C74" t="str">
        <f>IF(Fractius!D74="Não",Fractius!C74, " ")</f>
        <v>Scattershot Archer</v>
      </c>
      <c r="F74" t="e">
        <f ca="1"/>
        <v>#NAME?</v>
      </c>
      <c r="G74" t="str">
        <f>IF(Life!D74="Não",Life!C74, " ")</f>
        <v xml:space="preserve"> </v>
      </c>
      <c r="J74" t="e">
        <v>#REF!</v>
      </c>
      <c r="K74" t="e">
        <f>IF(#REF!="Não",#REF!, " ")</f>
        <v>#REF!</v>
      </c>
      <c r="N74" t="e">
        <v>#REF!</v>
      </c>
      <c r="O74" t="e">
        <f>IF(#REF!="Não",#REF!, " ")</f>
        <v>#REF!</v>
      </c>
      <c r="R74" t="e">
        <v>#REF!</v>
      </c>
      <c r="S74" t="e">
        <f>IF(#REF!="Não",#REF!, " ")</f>
        <v>#REF!</v>
      </c>
      <c r="V74" t="str">
        <v xml:space="preserve"> </v>
      </c>
      <c r="W74" t="str">
        <f>IF(WBGAllies!D74="Não",WBGAllies!C74, " ")</f>
        <v>Doom Blade</v>
      </c>
    </row>
    <row r="75" spans="2:23" x14ac:dyDescent="0.25">
      <c r="B75" t="e">
        <f ca="1"/>
        <v>#NAME?</v>
      </c>
      <c r="C75" t="str">
        <f>IF(Fractius!D75="Não",Fractius!C75, " ")</f>
        <v>Relic of Progenitus</v>
      </c>
      <c r="F75" t="e">
        <f ca="1"/>
        <v>#NAME?</v>
      </c>
      <c r="G75" t="str">
        <f>IF(Life!D75="Não",Life!C75, " ")</f>
        <v xml:space="preserve"> </v>
      </c>
      <c r="J75" t="e">
        <v>#REF!</v>
      </c>
      <c r="K75" t="e">
        <f>IF(#REF!="Não",#REF!, " ")</f>
        <v>#REF!</v>
      </c>
      <c r="N75" t="e">
        <v>#REF!</v>
      </c>
      <c r="O75" t="e">
        <f>IF(#REF!="Não",#REF!, " ")</f>
        <v>#REF!</v>
      </c>
      <c r="R75" t="e">
        <v>#REF!</v>
      </c>
      <c r="S75" t="e">
        <f>IF(#REF!="Não",#REF!, " ")</f>
        <v>#REF!</v>
      </c>
      <c r="V75" t="str">
        <v xml:space="preserve"> </v>
      </c>
      <c r="W75" t="str">
        <f>IF(WBGAllies!D75="Não",WBGAllies!C75, " ")</f>
        <v>Doom Blade</v>
      </c>
    </row>
    <row r="76" spans="2:23" x14ac:dyDescent="0.25">
      <c r="B76" t="e">
        <f ca="1"/>
        <v>#NAME?</v>
      </c>
      <c r="C76" t="str">
        <f>IF(Fractius!D76="Não",Fractius!C76, " ")</f>
        <v>Relic of Progenitus</v>
      </c>
      <c r="F76" t="e">
        <f ca="1"/>
        <v>#NAME?</v>
      </c>
      <c r="G76" t="str">
        <f>IF(Life!D76="Não",Life!C76, " ")</f>
        <v xml:space="preserve"> </v>
      </c>
      <c r="J76" t="e">
        <v>#REF!</v>
      </c>
      <c r="K76" t="e">
        <f>IF(#REF!="Não",#REF!, " ")</f>
        <v>#REF!</v>
      </c>
      <c r="N76" t="e">
        <v>#REF!</v>
      </c>
      <c r="O76" t="e">
        <f>IF(#REF!="Não",#REF!, " ")</f>
        <v>#REF!</v>
      </c>
      <c r="R76" t="e">
        <v>#REF!</v>
      </c>
      <c r="S76" t="e">
        <f>IF(#REF!="Não",#REF!, " ")</f>
        <v>#REF!</v>
      </c>
      <c r="V76" t="str">
        <v xml:space="preserve"> </v>
      </c>
      <c r="W76" t="str">
        <f>IF(WBGAllies!D76="Não",WBGAllies!C76, " ")</f>
        <v>Doom Blade</v>
      </c>
    </row>
    <row r="77" spans="2:23" x14ac:dyDescent="0.25">
      <c r="B77" t="e">
        <f ca="1"/>
        <v>#NAME?</v>
      </c>
      <c r="C77" t="str">
        <f>IF(Fractius!D77="Não",Fractius!C77, " ")</f>
        <v>Relic of Progenitus</v>
      </c>
      <c r="F77" t="e">
        <f ca="1"/>
        <v>#NAME?</v>
      </c>
      <c r="G77" t="str">
        <f>IF(Life!D77="Não",Life!C77, " ")</f>
        <v xml:space="preserve"> </v>
      </c>
      <c r="J77" t="e">
        <v>#REF!</v>
      </c>
      <c r="K77" t="e">
        <f>IF(#REF!="Não",#REF!, " ")</f>
        <v>#REF!</v>
      </c>
      <c r="N77" t="e">
        <v>#REF!</v>
      </c>
      <c r="O77" t="e">
        <f>IF(#REF!="Não",#REF!, " ")</f>
        <v>#REF!</v>
      </c>
      <c r="R77" t="e">
        <v>#REF!</v>
      </c>
      <c r="S77" t="e">
        <f>IF(#REF!="Não",#REF!, " ")</f>
        <v>#REF!</v>
      </c>
      <c r="V77" t="str">
        <v xml:space="preserve"> </v>
      </c>
      <c r="W77" t="str">
        <f>IF(WBGAllies!D77="Não",WBGAllies!C77, " ")</f>
        <v>Doom Blade</v>
      </c>
    </row>
    <row r="78" spans="2:23" x14ac:dyDescent="0.25">
      <c r="B78" t="e">
        <f ca="1"/>
        <v>#NAME?</v>
      </c>
      <c r="C78" t="str">
        <f>IF(Fractius!D78="Não",Fractius!C78, " ")</f>
        <v xml:space="preserve"> </v>
      </c>
      <c r="F78" t="e">
        <f ca="1"/>
        <v>#NAME?</v>
      </c>
      <c r="G78" t="str">
        <f>IF(Life!D78="Não",Life!C78, " ")</f>
        <v xml:space="preserve"> </v>
      </c>
      <c r="J78" t="e">
        <v>#REF!</v>
      </c>
      <c r="K78" t="e">
        <f>IF(#REF!="Não",#REF!, " ")</f>
        <v>#REF!</v>
      </c>
      <c r="N78" t="e">
        <v>#REF!</v>
      </c>
      <c r="O78" t="e">
        <f>IF(#REF!="Não",#REF!, " ")</f>
        <v>#REF!</v>
      </c>
      <c r="R78" t="e">
        <v>#REF!</v>
      </c>
      <c r="S78" t="e">
        <f>IF(#REF!="Não",#REF!, " ")</f>
        <v>#REF!</v>
      </c>
      <c r="V78" t="str">
        <v xml:space="preserve"> </v>
      </c>
      <c r="W78" t="str">
        <f>IF(WBGAllies!D78="Não",WBGAllies!C78, " ")</f>
        <v xml:space="preserve"> </v>
      </c>
    </row>
    <row r="79" spans="2:23" x14ac:dyDescent="0.25">
      <c r="B79" t="e">
        <f ca="1"/>
        <v>#NAME?</v>
      </c>
      <c r="C79" t="str">
        <f>IF(Fractius!D79="Não",Fractius!C79, " ")</f>
        <v xml:space="preserve"> </v>
      </c>
      <c r="F79" t="e">
        <f ca="1"/>
        <v>#NAME?</v>
      </c>
      <c r="G79" t="str">
        <f>IF(Life!D79="Não",Life!C79, " ")</f>
        <v xml:space="preserve"> </v>
      </c>
      <c r="J79" t="e">
        <v>#REF!</v>
      </c>
      <c r="K79" t="e">
        <f>IF(#REF!="Não",#REF!, " ")</f>
        <v>#REF!</v>
      </c>
      <c r="N79" t="e">
        <v>#REF!</v>
      </c>
      <c r="O79" t="e">
        <f>IF(#REF!="Não",#REF!, " ")</f>
        <v>#REF!</v>
      </c>
      <c r="R79" t="e">
        <v>#REF!</v>
      </c>
      <c r="S79" t="e">
        <f>IF(#REF!="Não",#REF!, " ")</f>
        <v>#REF!</v>
      </c>
      <c r="V79" t="str">
        <v xml:space="preserve"> </v>
      </c>
      <c r="W79" t="str">
        <f>IF(WBGAllies!D79="Não",WBGAllies!C79, " ")</f>
        <v xml:space="preserve"> </v>
      </c>
    </row>
    <row r="80" spans="2:23" x14ac:dyDescent="0.25">
      <c r="B80" t="e">
        <f ca="1"/>
        <v>#NAME?</v>
      </c>
      <c r="C80" t="str">
        <f>IF(Fractius!D80="Não",Fractius!C80, " ")</f>
        <v xml:space="preserve"> </v>
      </c>
      <c r="F80" t="e">
        <f ca="1"/>
        <v>#NAME?</v>
      </c>
      <c r="G80" t="str">
        <f>IF(Life!D80="Não",Life!C80, " ")</f>
        <v xml:space="preserve"> </v>
      </c>
      <c r="J80" t="e">
        <v>#REF!</v>
      </c>
      <c r="K80" t="e">
        <f>IF(#REF!="Não",#REF!, " ")</f>
        <v>#REF!</v>
      </c>
      <c r="N80" t="e">
        <v>#REF!</v>
      </c>
      <c r="O80" t="e">
        <f>IF(#REF!="Não",#REF!, " ")</f>
        <v>#REF!</v>
      </c>
      <c r="R80" t="e">
        <v>#REF!</v>
      </c>
      <c r="S80" t="e">
        <f>IF(#REF!="Não",#REF!, " ")</f>
        <v>#REF!</v>
      </c>
      <c r="V80" t="str">
        <v xml:space="preserve"> </v>
      </c>
      <c r="W80" t="str">
        <f>IF(WBGAllies!D80="Não",WBGAllies!C80, " ")</f>
        <v xml:space="preserve"> </v>
      </c>
    </row>
    <row r="81" spans="2:23" x14ac:dyDescent="0.25">
      <c r="B81" t="e">
        <f ca="1"/>
        <v>#NAME?</v>
      </c>
      <c r="C81" t="str">
        <f>IF(Fractius!D81="Não",Fractius!C81, " ")</f>
        <v xml:space="preserve"> </v>
      </c>
      <c r="F81" t="e">
        <f ca="1"/>
        <v>#NAME?</v>
      </c>
      <c r="G81" t="str">
        <f>IF(Life!D81="Não",Life!C81, " ")</f>
        <v xml:space="preserve"> </v>
      </c>
      <c r="J81" t="e">
        <v>#REF!</v>
      </c>
      <c r="K81" t="e">
        <f>IF(#REF!="Não",#REF!, " ")</f>
        <v>#REF!</v>
      </c>
      <c r="N81" t="e">
        <v>#REF!</v>
      </c>
      <c r="O81" t="e">
        <f>IF(#REF!="Não",#REF!, " ")</f>
        <v>#REF!</v>
      </c>
      <c r="R81" t="e">
        <v>#REF!</v>
      </c>
      <c r="S81" t="e">
        <f>IF(#REF!="Não",#REF!, " ")</f>
        <v>#REF!</v>
      </c>
      <c r="V81" t="str">
        <v xml:space="preserve"> </v>
      </c>
      <c r="W81" t="str">
        <f>IF(WBGAllies!D81="Não",WBGAllies!C81, " ")</f>
        <v xml:space="preserve"> </v>
      </c>
    </row>
    <row r="82" spans="2:23" x14ac:dyDescent="0.25">
      <c r="B82" t="e">
        <f ca="1"/>
        <v>#NAME?</v>
      </c>
      <c r="C82" t="str">
        <f>IF(Fractius!D82="Não",Fractius!C82, " ")</f>
        <v xml:space="preserve"> </v>
      </c>
      <c r="F82" t="e">
        <f ca="1"/>
        <v>#NAME?</v>
      </c>
      <c r="G82" t="str">
        <f>IF(Life!D82="Não",Life!C82, " ")</f>
        <v xml:space="preserve"> </v>
      </c>
      <c r="J82" t="e">
        <v>#REF!</v>
      </c>
      <c r="K82" t="e">
        <f>IF(#REF!="Não",#REF!, " ")</f>
        <v>#REF!</v>
      </c>
      <c r="N82" t="e">
        <v>#REF!</v>
      </c>
      <c r="O82" t="e">
        <f>IF(#REF!="Não",#REF!, " ")</f>
        <v>#REF!</v>
      </c>
      <c r="R82" t="e">
        <v>#REF!</v>
      </c>
      <c r="S82" t="e">
        <f>IF(#REF!="Não",#REF!, " ")</f>
        <v>#REF!</v>
      </c>
      <c r="V82" t="str">
        <v xml:space="preserve"> </v>
      </c>
      <c r="W82" t="str">
        <f>IF(WBGAllies!D82="Não",WBGAllies!C82, " ")</f>
        <v xml:space="preserve"> </v>
      </c>
    </row>
    <row r="83" spans="2:23" x14ac:dyDescent="0.25">
      <c r="B83" t="e">
        <f ca="1"/>
        <v>#NAME?</v>
      </c>
      <c r="C83" t="str">
        <f>IF(Fractius!D83="Não",Fractius!C83, " ")</f>
        <v xml:space="preserve"> </v>
      </c>
      <c r="F83" t="e">
        <f ca="1"/>
        <v>#NAME?</v>
      </c>
      <c r="G83" t="str">
        <f>IF(Life!D83="Não",Life!C83, " ")</f>
        <v xml:space="preserve"> </v>
      </c>
      <c r="J83" t="e">
        <v>#REF!</v>
      </c>
      <c r="K83" t="e">
        <f>IF(#REF!="Não",#REF!, " ")</f>
        <v>#REF!</v>
      </c>
      <c r="N83" t="e">
        <v>#REF!</v>
      </c>
      <c r="O83" t="e">
        <f>IF(#REF!="Não",#REF!, " ")</f>
        <v>#REF!</v>
      </c>
      <c r="R83" t="e">
        <v>#REF!</v>
      </c>
      <c r="S83" t="e">
        <f>IF(#REF!="Não",#REF!, " ")</f>
        <v>#REF!</v>
      </c>
      <c r="V83" t="str">
        <v xml:space="preserve"> </v>
      </c>
      <c r="W83" t="str">
        <f>IF(WBGAllies!D83="Não",WBGAllies!C83, " ")</f>
        <v xml:space="preserve"> </v>
      </c>
    </row>
    <row r="84" spans="2:23" x14ac:dyDescent="0.25">
      <c r="B84" t="e">
        <f ca="1"/>
        <v>#NAME?</v>
      </c>
      <c r="C84" t="str">
        <f>IF(Fractius!D84="Não",Fractius!C84, " ")</f>
        <v xml:space="preserve"> </v>
      </c>
      <c r="F84" t="e">
        <f ca="1"/>
        <v>#NAME?</v>
      </c>
      <c r="G84" t="str">
        <f>IF(Life!D84="Não",Life!C84, " ")</f>
        <v xml:space="preserve"> </v>
      </c>
      <c r="J84" t="e">
        <v>#REF!</v>
      </c>
      <c r="K84" t="e">
        <f>IF(#REF!="Não",#REF!, " ")</f>
        <v>#REF!</v>
      </c>
      <c r="N84" t="e">
        <v>#REF!</v>
      </c>
      <c r="O84" t="e">
        <f>IF(#REF!="Não",#REF!, " ")</f>
        <v>#REF!</v>
      </c>
      <c r="R84" t="e">
        <v>#REF!</v>
      </c>
      <c r="S84" t="e">
        <f>IF(#REF!="Não",#REF!, " ")</f>
        <v>#REF!</v>
      </c>
      <c r="V84" t="str">
        <v xml:space="preserve"> </v>
      </c>
      <c r="W84" t="str">
        <f>IF(WBGAllies!D84="Não",WBGAllies!C84, " ")</f>
        <v xml:space="preserve"> </v>
      </c>
    </row>
    <row r="85" spans="2:23" x14ac:dyDescent="0.25">
      <c r="B85" t="e">
        <f ca="1"/>
        <v>#NAME?</v>
      </c>
      <c r="C85" t="str">
        <f>IF(Fractius!D85="Não",Fractius!C85, " ")</f>
        <v xml:space="preserve"> </v>
      </c>
      <c r="F85" t="e">
        <f ca="1"/>
        <v>#NAME?</v>
      </c>
      <c r="G85" t="str">
        <f>IF(Life!D85="Não",Life!C85, " ")</f>
        <v xml:space="preserve"> </v>
      </c>
      <c r="J85" t="e">
        <v>#REF!</v>
      </c>
      <c r="K85" t="e">
        <f>IF(#REF!="Não",#REF!, " ")</f>
        <v>#REF!</v>
      </c>
      <c r="N85" t="e">
        <v>#REF!</v>
      </c>
      <c r="O85" t="e">
        <f>IF(#REF!="Não",#REF!, " ")</f>
        <v>#REF!</v>
      </c>
      <c r="R85" t="e">
        <v>#REF!</v>
      </c>
      <c r="S85" t="e">
        <f>IF(#REF!="Não",#REF!, " ")</f>
        <v>#REF!</v>
      </c>
      <c r="V85" t="str">
        <v xml:space="preserve"> </v>
      </c>
      <c r="W85" t="str">
        <f>IF(WBGAllies!D85="Não",WBGAllies!C85, " ")</f>
        <v xml:space="preserve"> </v>
      </c>
    </row>
    <row r="86" spans="2:23" x14ac:dyDescent="0.25">
      <c r="B86" t="e">
        <f ca="1"/>
        <v>#NAME?</v>
      </c>
      <c r="C86" t="str">
        <f>IF(Fractius!D86="Não",Fractius!C86, " ")</f>
        <v xml:space="preserve"> </v>
      </c>
      <c r="F86" t="e">
        <f ca="1"/>
        <v>#NAME?</v>
      </c>
      <c r="G86" t="str">
        <f>IF(Life!D86="Não",Life!C86, " ")</f>
        <v xml:space="preserve"> </v>
      </c>
      <c r="J86" t="e">
        <v>#REF!</v>
      </c>
      <c r="K86" t="e">
        <f>IF(#REF!="Não",#REF!, " ")</f>
        <v>#REF!</v>
      </c>
      <c r="N86" t="e">
        <v>#REF!</v>
      </c>
      <c r="O86" t="e">
        <f>IF(#REF!="Não",#REF!, " ")</f>
        <v>#REF!</v>
      </c>
      <c r="R86" t="e">
        <v>#REF!</v>
      </c>
      <c r="S86" t="e">
        <f>IF(#REF!="Não",#REF!, " ")</f>
        <v>#REF!</v>
      </c>
      <c r="V86" t="str">
        <v xml:space="preserve"> </v>
      </c>
      <c r="W86" t="str">
        <f>IF(WBGAllies!D86="Não",WBGAllies!C86, " ")</f>
        <v xml:space="preserve"> </v>
      </c>
    </row>
    <row r="87" spans="2:23" x14ac:dyDescent="0.25">
      <c r="O87" t="e">
        <f>IF(#REF!="Não",#REF!, " ")</f>
        <v>#REF!</v>
      </c>
    </row>
    <row r="88" spans="2:23" x14ac:dyDescent="0.25">
      <c r="O88" t="e">
        <f>IF(#REF!="Não",#REF!, " ")</f>
        <v>#REF!</v>
      </c>
    </row>
  </sheetData>
  <sortState xmlns:xlrd2="http://schemas.microsoft.com/office/spreadsheetml/2017/richdata2" ref="C3:C86">
    <sortCondition descending="1" ref="C3:C86"/>
  </sortState>
  <mergeCells count="6">
    <mergeCell ref="U1:W2"/>
    <mergeCell ref="A1:C2"/>
    <mergeCell ref="E1:G2"/>
    <mergeCell ref="I1:K2"/>
    <mergeCell ref="M1:O2"/>
    <mergeCell ref="Q1:S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AE42A-461D-42E1-B774-7C3D8B592AED}">
  <dimension ref="A1:X143"/>
  <sheetViews>
    <sheetView tabSelected="1" workbookViewId="0">
      <pane ySplit="2" topLeftCell="A3" activePane="bottomLeft" state="frozen"/>
      <selection pane="bottomLeft" activeCell="N46" sqref="N46"/>
    </sheetView>
  </sheetViews>
  <sheetFormatPr defaultRowHeight="15" x14ac:dyDescent="0.25"/>
  <cols>
    <col min="2" max="2" width="20.7109375" customWidth="1"/>
    <col min="3" max="3" width="14.7109375" hidden="1" customWidth="1"/>
    <col min="4" max="4" width="2.7109375" style="9" customWidth="1"/>
    <col min="6" max="6" width="20.7109375" customWidth="1"/>
    <col min="7" max="7" width="14.7109375" hidden="1" customWidth="1"/>
    <col min="8" max="8" width="2.7109375" style="9" customWidth="1"/>
    <col min="10" max="10" width="20.7109375" customWidth="1"/>
    <col min="11" max="11" width="14.7109375" hidden="1" customWidth="1"/>
    <col min="12" max="12" width="2.7109375" style="9" customWidth="1"/>
    <col min="13" max="13" width="8.85546875" customWidth="1"/>
    <col min="14" max="14" width="25.7109375" bestFit="1" customWidth="1"/>
    <col min="15" max="15" width="14.7109375" hidden="1" customWidth="1"/>
    <col min="16" max="16" width="2.7109375" style="9" customWidth="1"/>
    <col min="17" max="17" width="8.85546875" customWidth="1"/>
    <col min="18" max="18" width="20.7109375" customWidth="1"/>
    <col min="19" max="19" width="14.7109375" hidden="1" customWidth="1"/>
    <col min="20" max="20" width="2.7109375" style="9" customWidth="1"/>
    <col min="21" max="21" width="8.85546875" customWidth="1"/>
    <col min="22" max="22" width="20.7109375" customWidth="1"/>
    <col min="23" max="23" width="14.7109375" hidden="1" customWidth="1"/>
    <col min="24" max="24" width="2.7109375" style="9" customWidth="1"/>
    <col min="25" max="25" width="8.85546875" customWidth="1"/>
  </cols>
  <sheetData>
    <row r="1" spans="1:24" s="4" customFormat="1" ht="15" customHeight="1" x14ac:dyDescent="0.25">
      <c r="A1" s="17" t="s">
        <v>89</v>
      </c>
      <c r="B1" s="17"/>
      <c r="C1" s="17"/>
      <c r="D1" s="8"/>
      <c r="E1" s="17" t="s">
        <v>147</v>
      </c>
      <c r="F1" s="17"/>
      <c r="G1" s="17"/>
      <c r="H1" s="8"/>
      <c r="I1" s="17" t="s">
        <v>148</v>
      </c>
      <c r="J1" s="17"/>
      <c r="K1" s="17"/>
      <c r="L1" s="8"/>
      <c r="M1" s="17"/>
      <c r="N1" s="17"/>
      <c r="O1" s="17"/>
      <c r="P1" s="8"/>
      <c r="Q1" s="17"/>
      <c r="R1" s="17"/>
      <c r="S1" s="17"/>
      <c r="T1" s="8"/>
      <c r="U1" s="17"/>
      <c r="V1" s="17"/>
      <c r="W1" s="17"/>
      <c r="X1" s="8"/>
    </row>
    <row r="2" spans="1:24" s="4" customFormat="1" ht="15" customHeight="1" x14ac:dyDescent="0.25">
      <c r="A2" s="17"/>
      <c r="B2" s="17"/>
      <c r="C2" s="17"/>
      <c r="D2" s="8"/>
      <c r="E2" s="17"/>
      <c r="F2" s="17"/>
      <c r="G2" s="17"/>
      <c r="H2" s="8"/>
      <c r="I2" s="17"/>
      <c r="J2" s="17"/>
      <c r="K2" s="17"/>
      <c r="L2" s="8"/>
      <c r="M2" s="17"/>
      <c r="N2" s="17"/>
      <c r="O2" s="17"/>
      <c r="P2" s="8"/>
      <c r="Q2" s="17"/>
      <c r="R2" s="17"/>
      <c r="S2" s="17"/>
      <c r="T2" s="8"/>
      <c r="U2" s="17"/>
      <c r="V2" s="17"/>
      <c r="W2" s="17"/>
      <c r="X2" s="8"/>
    </row>
    <row r="3" spans="1:24" x14ac:dyDescent="0.25">
      <c r="A3" s="4" t="s">
        <v>33</v>
      </c>
      <c r="B3" t="e" cm="1">
        <f t="array" ref="B3:B86">_xlfn._xlws.SORT(C3:C86,1,-1,0)</f>
        <v>#REF!</v>
      </c>
      <c r="C3" t="e">
        <f>IF(#REF!="Não",#REF!, " ")</f>
        <v>#REF!</v>
      </c>
      <c r="E3" s="4" t="s">
        <v>33</v>
      </c>
      <c r="F3" t="e" cm="1">
        <f t="array" aca="1" ref="F3:F86" ca="1">_xlfn._xlws.SORT(G3:G86,1,-1,0)</f>
        <v>#NAME?</v>
      </c>
      <c r="G3" t="str">
        <f>IF(Flicker!D3="Não",Flicker!C3, " ")</f>
        <v xml:space="preserve"> </v>
      </c>
      <c r="I3" s="4" t="s">
        <v>33</v>
      </c>
      <c r="J3" t="e" cm="1">
        <f t="array" ref="J3:J86">_xlfn._xlws.SORT(K3:K86,1,-1,0)</f>
        <v>#REF!</v>
      </c>
      <c r="K3" t="str">
        <f>IF(Modular!D3="Não",Modular!C3, " ")</f>
        <v xml:space="preserve"> </v>
      </c>
      <c r="M3" s="4"/>
      <c r="Q3" s="4"/>
      <c r="U3" s="4"/>
    </row>
    <row r="4" spans="1:24" x14ac:dyDescent="0.25">
      <c r="A4" s="3" t="e">
        <f>#REF!</f>
        <v>#REF!</v>
      </c>
      <c r="B4" t="e">
        <v>#REF!</v>
      </c>
      <c r="C4" t="e">
        <f>IF(#REF!="Não",#REF!, " ")</f>
        <v>#REF!</v>
      </c>
      <c r="E4" s="3">
        <f>Flicker!G3</f>
        <v>8</v>
      </c>
      <c r="F4" t="e">
        <f ca="1"/>
        <v>#NAME?</v>
      </c>
      <c r="G4" t="str">
        <f>IF(Flicker!D4="Não",Flicker!C4, " ")</f>
        <v xml:space="preserve"> </v>
      </c>
      <c r="I4" s="3">
        <f>Modular!G3</f>
        <v>1</v>
      </c>
      <c r="J4" t="e">
        <v>#REF!</v>
      </c>
      <c r="K4" t="str">
        <f>IF(Modular!D4="Não",Modular!C4, " ")</f>
        <v xml:space="preserve"> </v>
      </c>
      <c r="M4" s="3"/>
      <c r="Q4" s="3"/>
      <c r="U4" s="3"/>
    </row>
    <row r="5" spans="1:24" x14ac:dyDescent="0.25">
      <c r="B5" t="e">
        <v>#REF!</v>
      </c>
      <c r="C5" t="e">
        <f>IF(#REF!="Não",#REF!, " ")</f>
        <v>#REF!</v>
      </c>
      <c r="F5" t="e">
        <f ca="1"/>
        <v>#NAME?</v>
      </c>
      <c r="G5" t="str">
        <f>IF(Flicker!D5="Não",Flicker!C5, " ")</f>
        <v xml:space="preserve"> </v>
      </c>
      <c r="J5" t="e">
        <v>#REF!</v>
      </c>
      <c r="K5" t="str">
        <f>IF(Modular!D5="Não",Modular!C5, " ")</f>
        <v xml:space="preserve"> </v>
      </c>
    </row>
    <row r="6" spans="1:24" x14ac:dyDescent="0.25">
      <c r="B6" t="e">
        <v>#REF!</v>
      </c>
      <c r="C6" t="e">
        <f>IF(#REF!="Não",#REF!, " ")</f>
        <v>#REF!</v>
      </c>
      <c r="F6" t="e">
        <f ca="1"/>
        <v>#NAME?</v>
      </c>
      <c r="G6" t="str">
        <f>IF(Flicker!D6="Não",Flicker!C6, " ")</f>
        <v xml:space="preserve"> </v>
      </c>
      <c r="J6" t="e">
        <v>#REF!</v>
      </c>
      <c r="K6" t="str">
        <f>IF(Modular!D6="Não",Modular!C6, " ")</f>
        <v xml:space="preserve"> </v>
      </c>
    </row>
    <row r="7" spans="1:24" x14ac:dyDescent="0.25">
      <c r="B7" t="e">
        <v>#REF!</v>
      </c>
      <c r="C7" t="e">
        <f>IF(#REF!="Não",#REF!, " ")</f>
        <v>#REF!</v>
      </c>
      <c r="F7" t="e">
        <f ca="1"/>
        <v>#NAME?</v>
      </c>
      <c r="G7" t="str">
        <f>IF(Flicker!D7="Não",Flicker!C7, " ")</f>
        <v xml:space="preserve"> </v>
      </c>
      <c r="J7" t="e">
        <v>#REF!</v>
      </c>
      <c r="K7" t="str">
        <f>IF(Modular!D7="Não",Modular!C7, " ")</f>
        <v xml:space="preserve"> </v>
      </c>
    </row>
    <row r="8" spans="1:24" x14ac:dyDescent="0.25">
      <c r="B8" t="e">
        <v>#REF!</v>
      </c>
      <c r="C8" t="e">
        <f>IF(#REF!="Não",#REF!, " ")</f>
        <v>#REF!</v>
      </c>
      <c r="F8" t="e">
        <f ca="1"/>
        <v>#NAME?</v>
      </c>
      <c r="G8" t="str">
        <f>IF(Flicker!D8="Não",Flicker!C8, " ")</f>
        <v xml:space="preserve"> </v>
      </c>
      <c r="J8" t="e">
        <v>#REF!</v>
      </c>
      <c r="K8" t="str">
        <f>IF(Modular!D8="Não",Modular!C8, " ")</f>
        <v xml:space="preserve"> </v>
      </c>
    </row>
    <row r="9" spans="1:24" x14ac:dyDescent="0.25">
      <c r="B9" t="e">
        <v>#REF!</v>
      </c>
      <c r="C9" t="e">
        <f>IF(#REF!="Não",#REF!, " ")</f>
        <v>#REF!</v>
      </c>
      <c r="F9" t="e">
        <f ca="1"/>
        <v>#NAME?</v>
      </c>
      <c r="G9" t="str">
        <f>IF(Flicker!D9="Não",Flicker!C9, " ")</f>
        <v xml:space="preserve"> </v>
      </c>
      <c r="J9" t="e">
        <v>#REF!</v>
      </c>
      <c r="K9" t="str">
        <f>IF(Modular!D9="Não",Modular!C9, " ")</f>
        <v xml:space="preserve"> </v>
      </c>
    </row>
    <row r="10" spans="1:24" x14ac:dyDescent="0.25">
      <c r="B10" t="e">
        <v>#REF!</v>
      </c>
      <c r="C10" t="e">
        <f>IF(#REF!="Não",#REF!, " ")</f>
        <v>#REF!</v>
      </c>
      <c r="F10" t="e">
        <f ca="1"/>
        <v>#NAME?</v>
      </c>
      <c r="G10" t="str">
        <f>IF(Flicker!D10="Não",Flicker!C10, " ")</f>
        <v xml:space="preserve"> </v>
      </c>
      <c r="J10" t="e">
        <v>#REF!</v>
      </c>
      <c r="K10" t="str">
        <f>IF(Modular!D10="Não",Modular!C10, " ")</f>
        <v xml:space="preserve"> </v>
      </c>
    </row>
    <row r="11" spans="1:24" x14ac:dyDescent="0.25">
      <c r="B11" t="e">
        <v>#REF!</v>
      </c>
      <c r="C11" t="e">
        <f>IF(#REF!="Não",#REF!, " ")</f>
        <v>#REF!</v>
      </c>
      <c r="F11" t="e">
        <f ca="1"/>
        <v>#NAME?</v>
      </c>
      <c r="G11" t="str">
        <f>IF(Flicker!D11="Não",Flicker!C11, " ")</f>
        <v xml:space="preserve"> </v>
      </c>
      <c r="J11" t="e">
        <v>#REF!</v>
      </c>
      <c r="K11" t="str">
        <f>IF(Modular!D11="Não",Modular!C11, " ")</f>
        <v xml:space="preserve"> </v>
      </c>
    </row>
    <row r="12" spans="1:24" x14ac:dyDescent="0.25">
      <c r="B12" t="e">
        <v>#REF!</v>
      </c>
      <c r="C12" t="e">
        <f>IF(#REF!="Não",#REF!, " ")</f>
        <v>#REF!</v>
      </c>
      <c r="F12" t="e">
        <f ca="1"/>
        <v>#NAME?</v>
      </c>
      <c r="G12" t="str">
        <f>IF(Flicker!D12="Não",Flicker!C12, " ")</f>
        <v xml:space="preserve"> </v>
      </c>
      <c r="J12" t="str">
        <v>Ancient Den</v>
      </c>
      <c r="K12" t="str">
        <f>IF(Modular!D12="Não",Modular!C12, " ")</f>
        <v xml:space="preserve"> </v>
      </c>
    </row>
    <row r="13" spans="1:24" x14ac:dyDescent="0.25">
      <c r="B13" t="e">
        <v>#REF!</v>
      </c>
      <c r="C13" t="e">
        <f>IF(#REF!="Não",#REF!, " ")</f>
        <v>#REF!</v>
      </c>
      <c r="F13" t="e">
        <f ca="1"/>
        <v>#NAME?</v>
      </c>
      <c r="G13" t="str">
        <f>IF(Flicker!D13="Não",Flicker!C13, " ")</f>
        <v xml:space="preserve"> </v>
      </c>
      <c r="J13" t="str">
        <v xml:space="preserve"> </v>
      </c>
      <c r="K13" t="str">
        <f>IF(Modular!D13="Não",Modular!C13, " ")</f>
        <v xml:space="preserve"> </v>
      </c>
    </row>
    <row r="14" spans="1:24" x14ac:dyDescent="0.25">
      <c r="B14" t="e">
        <v>#REF!</v>
      </c>
      <c r="C14" t="e">
        <f>IF(#REF!="Não",#REF!, " ")</f>
        <v>#REF!</v>
      </c>
      <c r="F14" t="e">
        <f ca="1"/>
        <v>#NAME?</v>
      </c>
      <c r="G14" t="str">
        <f>IF(Flicker!D14="Não",Flicker!C14, " ")</f>
        <v xml:space="preserve"> </v>
      </c>
      <c r="J14" t="str">
        <v xml:space="preserve"> </v>
      </c>
      <c r="K14" t="str">
        <f>IF(Modular!D14="Não",Modular!C14, " ")</f>
        <v xml:space="preserve"> </v>
      </c>
    </row>
    <row r="15" spans="1:24" x14ac:dyDescent="0.25">
      <c r="B15" t="e">
        <v>#REF!</v>
      </c>
      <c r="C15" t="e">
        <f>IF(#REF!="Não",#REF!, " ")</f>
        <v>#REF!</v>
      </c>
      <c r="F15" t="e">
        <f ca="1"/>
        <v>#NAME?</v>
      </c>
      <c r="G15" t="str">
        <f>IF(Flicker!D15="Não",Flicker!C15, " ")</f>
        <v xml:space="preserve"> </v>
      </c>
      <c r="J15" t="str">
        <v xml:space="preserve"> </v>
      </c>
      <c r="K15" t="str">
        <f>IF(Modular!D15="Não",Modular!C15, " ")</f>
        <v xml:space="preserve"> </v>
      </c>
    </row>
    <row r="16" spans="1:24" x14ac:dyDescent="0.25">
      <c r="B16" t="e">
        <v>#REF!</v>
      </c>
      <c r="C16" t="e">
        <f>IF(#REF!="Não",#REF!, " ")</f>
        <v>#REF!</v>
      </c>
      <c r="F16" t="e">
        <f ca="1"/>
        <v>#NAME?</v>
      </c>
      <c r="G16" t="str">
        <f>IF(Flicker!D16="Não",Flicker!C16, " ")</f>
        <v xml:space="preserve"> </v>
      </c>
      <c r="J16" t="str">
        <v xml:space="preserve"> </v>
      </c>
      <c r="K16" t="str">
        <f>IF(Modular!D16="Não",Modular!C16, " ")</f>
        <v xml:space="preserve"> </v>
      </c>
    </row>
    <row r="17" spans="2:11" x14ac:dyDescent="0.25">
      <c r="B17" t="e">
        <v>#REF!</v>
      </c>
      <c r="C17" t="e">
        <f>IF(#REF!="Não",#REF!, " ")</f>
        <v>#REF!</v>
      </c>
      <c r="F17" t="e">
        <f ca="1"/>
        <v>#NAME?</v>
      </c>
      <c r="G17" t="str">
        <f>IF(Flicker!D17="Não",Flicker!C17, " ")</f>
        <v xml:space="preserve"> </v>
      </c>
      <c r="J17" t="str">
        <v xml:space="preserve"> </v>
      </c>
      <c r="K17" t="str">
        <f>IF(Modular!D17="Não",Modular!C17, " ")</f>
        <v xml:space="preserve"> </v>
      </c>
    </row>
    <row r="18" spans="2:11" x14ac:dyDescent="0.25">
      <c r="B18" t="e">
        <v>#REF!</v>
      </c>
      <c r="C18" t="e">
        <f>IF(#REF!="Não",#REF!, " ")</f>
        <v>#REF!</v>
      </c>
      <c r="F18" t="e">
        <f ca="1"/>
        <v>#NAME?</v>
      </c>
      <c r="G18" t="str">
        <f>IF(Flicker!D18="Não",Flicker!C18, " ")</f>
        <v xml:space="preserve"> </v>
      </c>
      <c r="J18" t="str">
        <v xml:space="preserve"> </v>
      </c>
      <c r="K18" t="str">
        <f>IF(Modular!D18="Não",Modular!C18, " ")</f>
        <v xml:space="preserve"> </v>
      </c>
    </row>
    <row r="19" spans="2:11" x14ac:dyDescent="0.25">
      <c r="B19" t="e">
        <v>#REF!</v>
      </c>
      <c r="C19" t="e">
        <f>IF(#REF!="Não",#REF!, " ")</f>
        <v>#REF!</v>
      </c>
      <c r="F19" t="e">
        <f ca="1"/>
        <v>#NAME?</v>
      </c>
      <c r="G19" t="str">
        <f>IF(Flicker!D19="Não",Flicker!C19, " ")</f>
        <v xml:space="preserve"> </v>
      </c>
      <c r="J19" t="str">
        <v xml:space="preserve"> </v>
      </c>
      <c r="K19" t="str">
        <f>IF(Modular!D19="Não",Modular!C19, " ")</f>
        <v xml:space="preserve"> </v>
      </c>
    </row>
    <row r="20" spans="2:11" x14ac:dyDescent="0.25">
      <c r="B20" t="e">
        <v>#REF!</v>
      </c>
      <c r="C20" t="e">
        <f>IF(#REF!="Não",#REF!, " ")</f>
        <v>#REF!</v>
      </c>
      <c r="F20" t="e">
        <f ca="1"/>
        <v>#NAME?</v>
      </c>
      <c r="G20" t="str">
        <f>IF(Flicker!D20="Não",Flicker!C20, " ")</f>
        <v xml:space="preserve"> </v>
      </c>
      <c r="J20" t="str">
        <v xml:space="preserve"> </v>
      </c>
      <c r="K20" t="str">
        <f>IF(Modular!D20="Não",Modular!C20, " ")</f>
        <v xml:space="preserve"> </v>
      </c>
    </row>
    <row r="21" spans="2:11" x14ac:dyDescent="0.25">
      <c r="B21" t="e">
        <v>#REF!</v>
      </c>
      <c r="C21" t="e">
        <f>IF(#REF!="Não",#REF!, " ")</f>
        <v>#REF!</v>
      </c>
      <c r="F21" t="e">
        <f ca="1"/>
        <v>#NAME?</v>
      </c>
      <c r="G21" t="str">
        <f>IF(Flicker!D21="Não",Flicker!C21, " ")</f>
        <v xml:space="preserve"> </v>
      </c>
      <c r="J21" t="str">
        <v xml:space="preserve"> </v>
      </c>
      <c r="K21" t="str">
        <f>IF(Modular!D21="Não",Modular!C21, " ")</f>
        <v>Ancient Den</v>
      </c>
    </row>
    <row r="22" spans="2:11" x14ac:dyDescent="0.25">
      <c r="B22" t="e">
        <v>#REF!</v>
      </c>
      <c r="C22" t="e">
        <f>IF(#REF!="Não",#REF!, " ")</f>
        <v>#REF!</v>
      </c>
      <c r="F22" t="e">
        <f ca="1"/>
        <v>#NAME?</v>
      </c>
      <c r="G22" t="str">
        <f>IF(Flicker!D22="Não",Flicker!C22, " ")</f>
        <v xml:space="preserve"> </v>
      </c>
      <c r="J22" t="str">
        <v xml:space="preserve"> </v>
      </c>
      <c r="K22" t="str">
        <f>IF(Modular!D22="Não",Modular!C22, " ")</f>
        <v xml:space="preserve"> </v>
      </c>
    </row>
    <row r="23" spans="2:11" x14ac:dyDescent="0.25">
      <c r="B23" t="e">
        <v>#REF!</v>
      </c>
      <c r="C23" t="e">
        <f>IF(#REF!="Não",#REF!, " ")</f>
        <v>#REF!</v>
      </c>
      <c r="F23" t="e">
        <f ca="1"/>
        <v>#NAME?</v>
      </c>
      <c r="G23" t="str">
        <f>IF(Flicker!D23="Não",Flicker!C23, " ")</f>
        <v xml:space="preserve"> </v>
      </c>
      <c r="J23" t="str">
        <v xml:space="preserve"> </v>
      </c>
      <c r="K23" t="str">
        <f>IF(Modular!D23="Não",Modular!C23, " ")</f>
        <v xml:space="preserve"> </v>
      </c>
    </row>
    <row r="24" spans="2:11" x14ac:dyDescent="0.25">
      <c r="B24" t="e">
        <v>#REF!</v>
      </c>
      <c r="C24" t="e">
        <f>IF(#REF!="Não",#REF!, " ")</f>
        <v>#REF!</v>
      </c>
      <c r="F24" t="e">
        <f ca="1"/>
        <v>#NAME?</v>
      </c>
      <c r="G24" t="str">
        <f>IF(Flicker!D24="Não",Flicker!C24, " ")</f>
        <v xml:space="preserve"> </v>
      </c>
      <c r="J24" t="str">
        <v xml:space="preserve"> </v>
      </c>
      <c r="K24" t="str">
        <f>IF(Modular!D24="Não",Modular!C24, " ")</f>
        <v xml:space="preserve"> </v>
      </c>
    </row>
    <row r="25" spans="2:11" x14ac:dyDescent="0.25">
      <c r="B25" t="e">
        <v>#REF!</v>
      </c>
      <c r="C25" t="e">
        <f>IF(#REF!="Não",#REF!, " ")</f>
        <v>#REF!</v>
      </c>
      <c r="F25" t="e">
        <f ca="1"/>
        <v>#NAME?</v>
      </c>
      <c r="G25" t="str">
        <f>IF(Flicker!D25="Não",Flicker!C25, " ")</f>
        <v xml:space="preserve"> </v>
      </c>
      <c r="J25" t="str">
        <v xml:space="preserve"> </v>
      </c>
      <c r="K25" t="str">
        <f>IF(Modular!D25="Não",Modular!C25, " ")</f>
        <v xml:space="preserve"> </v>
      </c>
    </row>
    <row r="26" spans="2:11" x14ac:dyDescent="0.25">
      <c r="B26" t="e">
        <v>#REF!</v>
      </c>
      <c r="C26" t="e">
        <f>IF(#REF!="Não",#REF!, " ")</f>
        <v>#REF!</v>
      </c>
      <c r="F26" t="e">
        <f ca="1"/>
        <v>#NAME?</v>
      </c>
      <c r="G26" t="str">
        <f>IF(Flicker!D26="Não",Flicker!C26, " ")</f>
        <v xml:space="preserve"> </v>
      </c>
      <c r="J26" t="str">
        <v xml:space="preserve"> </v>
      </c>
      <c r="K26" t="str">
        <f>IF(Modular!D26="Não",Modular!C26, " ")</f>
        <v xml:space="preserve"> </v>
      </c>
    </row>
    <row r="27" spans="2:11" x14ac:dyDescent="0.25">
      <c r="B27" t="e">
        <v>#REF!</v>
      </c>
      <c r="C27" t="e">
        <f>IF(#REF!="Não",#REF!, " ")</f>
        <v>#REF!</v>
      </c>
      <c r="F27" t="e">
        <f ca="1"/>
        <v>#NAME?</v>
      </c>
      <c r="G27" t="str">
        <f>IF(Flicker!D27="Não",Flicker!C27, " ")</f>
        <v xml:space="preserve"> </v>
      </c>
      <c r="J27" t="str">
        <v xml:space="preserve"> </v>
      </c>
      <c r="K27" t="str">
        <f>IF(Modular!D27="Não",Modular!C27, " ")</f>
        <v xml:space="preserve"> </v>
      </c>
    </row>
    <row r="28" spans="2:11" x14ac:dyDescent="0.25">
      <c r="B28" t="e">
        <v>#REF!</v>
      </c>
      <c r="C28" t="e">
        <f>IF(#REF!="Não",#REF!, " ")</f>
        <v>#REF!</v>
      </c>
      <c r="F28" t="e">
        <f ca="1"/>
        <v>#NAME?</v>
      </c>
      <c r="G28" t="str">
        <f>IF(Flicker!D28="Não",Flicker!C28, " ")</f>
        <v xml:space="preserve"> </v>
      </c>
      <c r="J28" t="str">
        <v xml:space="preserve"> </v>
      </c>
      <c r="K28" t="str">
        <f>IF(Modular!D28="Não",Modular!C28, " ")</f>
        <v xml:space="preserve"> </v>
      </c>
    </row>
    <row r="29" spans="2:11" x14ac:dyDescent="0.25">
      <c r="B29" t="e">
        <v>#REF!</v>
      </c>
      <c r="C29" t="e">
        <f>IF(#REF!="Não",#REF!, " ")</f>
        <v>#REF!</v>
      </c>
      <c r="F29" t="e">
        <f ca="1"/>
        <v>#NAME?</v>
      </c>
      <c r="G29" t="str">
        <f>IF(Flicker!D29="Não",Flicker!C29, " ")</f>
        <v xml:space="preserve"> </v>
      </c>
      <c r="J29" t="str">
        <v xml:space="preserve"> </v>
      </c>
      <c r="K29" t="str">
        <f>IF(Modular!D29="Não",Modular!C29, " ")</f>
        <v xml:space="preserve"> </v>
      </c>
    </row>
    <row r="30" spans="2:11" x14ac:dyDescent="0.25">
      <c r="B30" t="e">
        <v>#REF!</v>
      </c>
      <c r="C30" t="e">
        <f>IF(#REF!="Não",#REF!, " ")</f>
        <v>#REF!</v>
      </c>
      <c r="F30" t="e">
        <f ca="1"/>
        <v>#NAME?</v>
      </c>
      <c r="G30" t="str">
        <f>IF(Flicker!D30="Não",Flicker!C30, " ")</f>
        <v xml:space="preserve"> </v>
      </c>
      <c r="J30" t="str">
        <v xml:space="preserve"> </v>
      </c>
      <c r="K30" t="str">
        <f>IF(Modular!D30="Não",Modular!C30, " ")</f>
        <v xml:space="preserve"> </v>
      </c>
    </row>
    <row r="31" spans="2:11" x14ac:dyDescent="0.25">
      <c r="B31" t="e">
        <v>#REF!</v>
      </c>
      <c r="C31" t="e">
        <f>IF(#REF!="Não",#REF!, " ")</f>
        <v>#REF!</v>
      </c>
      <c r="F31" t="e">
        <f ca="1"/>
        <v>#NAME?</v>
      </c>
      <c r="G31" t="str">
        <f>IF(Flicker!D31="Não",Flicker!C31, " ")</f>
        <v xml:space="preserve"> </v>
      </c>
      <c r="J31" t="str">
        <v xml:space="preserve"> </v>
      </c>
      <c r="K31" t="str">
        <f>IF(Modular!D31="Não",Modular!C31, " ")</f>
        <v xml:space="preserve"> </v>
      </c>
    </row>
    <row r="32" spans="2:11" x14ac:dyDescent="0.25">
      <c r="B32" t="e">
        <v>#REF!</v>
      </c>
      <c r="C32" t="e">
        <f>IF(#REF!="Não",#REF!, " ")</f>
        <v>#REF!</v>
      </c>
      <c r="F32" t="e">
        <f ca="1"/>
        <v>#NAME?</v>
      </c>
      <c r="G32" t="str">
        <f>IF(Flicker!D49="Não",Flicker!C49, " ")</f>
        <v xml:space="preserve"> </v>
      </c>
      <c r="J32" t="str">
        <v xml:space="preserve"> </v>
      </c>
      <c r="K32" t="str">
        <f>IF(Modular!D32="Não",Modular!C32, " ")</f>
        <v xml:space="preserve"> </v>
      </c>
    </row>
    <row r="33" spans="2:11" x14ac:dyDescent="0.25">
      <c r="B33" t="e">
        <v>#REF!</v>
      </c>
      <c r="C33" t="e">
        <f>IF(#REF!="Não",#REF!, " ")</f>
        <v>#REF!</v>
      </c>
      <c r="F33" t="e">
        <f ca="1"/>
        <v>#NAME?</v>
      </c>
      <c r="G33" t="str">
        <f>IF(Flicker!D50="Não",Flicker!C50, " ")</f>
        <v>Lórien Revealed</v>
      </c>
      <c r="J33" t="str">
        <v xml:space="preserve"> </v>
      </c>
      <c r="K33" t="str">
        <f>IF(Modular!D33="Não",Modular!C33, " ")</f>
        <v xml:space="preserve"> </v>
      </c>
    </row>
    <row r="34" spans="2:11" x14ac:dyDescent="0.25">
      <c r="B34" t="e">
        <v>#REF!</v>
      </c>
      <c r="C34" t="e">
        <f>IF(#REF!="Não",#REF!, " ")</f>
        <v>#REF!</v>
      </c>
      <c r="F34" t="e">
        <f ca="1"/>
        <v>#NAME?</v>
      </c>
      <c r="G34" t="str">
        <f>IF(Flicker!D32="Não",Flicker!C32, " ")</f>
        <v xml:space="preserve"> </v>
      </c>
      <c r="J34" t="str">
        <v xml:space="preserve"> </v>
      </c>
      <c r="K34" t="str">
        <f>IF(Modular!D34="Não",Modular!C34, " ")</f>
        <v xml:space="preserve"> </v>
      </c>
    </row>
    <row r="35" spans="2:11" x14ac:dyDescent="0.25">
      <c r="B35" t="e">
        <v>#REF!</v>
      </c>
      <c r="C35" t="e">
        <f>IF(#REF!="Não",#REF!, " ")</f>
        <v>#REF!</v>
      </c>
      <c r="F35" t="e">
        <f ca="1"/>
        <v>#NAME?</v>
      </c>
      <c r="G35" t="str">
        <f>IF(Flicker!D33="Não",Flicker!C33, " ")</f>
        <v xml:space="preserve"> </v>
      </c>
      <c r="J35" t="str">
        <v xml:space="preserve"> </v>
      </c>
      <c r="K35" t="str">
        <f>IF(Modular!D35="Não",Modular!C35, " ")</f>
        <v xml:space="preserve"> </v>
      </c>
    </row>
    <row r="36" spans="2:11" x14ac:dyDescent="0.25">
      <c r="B36" t="e">
        <v>#REF!</v>
      </c>
      <c r="C36" t="e">
        <f>IF(#REF!="Não",#REF!, " ")</f>
        <v>#REF!</v>
      </c>
      <c r="F36" t="e">
        <f ca="1"/>
        <v>#NAME?</v>
      </c>
      <c r="G36" t="str">
        <f>IF(Flicker!D34="Não",Flicker!C34, " ")</f>
        <v xml:space="preserve"> </v>
      </c>
      <c r="J36" t="str">
        <v xml:space="preserve"> </v>
      </c>
      <c r="K36" t="str">
        <f>IF(Modular!D36="Não",Modular!C36, " ")</f>
        <v xml:space="preserve"> </v>
      </c>
    </row>
    <row r="37" spans="2:11" x14ac:dyDescent="0.25">
      <c r="B37" t="e">
        <v>#REF!</v>
      </c>
      <c r="C37" t="e">
        <f>IF(#REF!="Não",#REF!, " ")</f>
        <v>#REF!</v>
      </c>
      <c r="F37" t="e">
        <f ca="1"/>
        <v>#NAME?</v>
      </c>
      <c r="G37" t="str">
        <f>IF(Flicker!D35="Não",Flicker!C35, " ")</f>
        <v xml:space="preserve"> </v>
      </c>
      <c r="J37" t="str">
        <v xml:space="preserve"> </v>
      </c>
      <c r="K37" t="str">
        <f>IF(Modular!D37="Não",Modular!C37, " ")</f>
        <v xml:space="preserve"> </v>
      </c>
    </row>
    <row r="38" spans="2:11" x14ac:dyDescent="0.25">
      <c r="B38" t="e">
        <v>#REF!</v>
      </c>
      <c r="C38" t="e">
        <f>IF(#REF!="Não",#REF!, " ")</f>
        <v>#REF!</v>
      </c>
      <c r="F38" t="e">
        <f ca="1"/>
        <v>#NAME?</v>
      </c>
      <c r="G38" t="str">
        <f>IF(Flicker!D36="Não",Flicker!C36, " ")</f>
        <v xml:space="preserve"> </v>
      </c>
      <c r="J38" t="str">
        <v xml:space="preserve"> </v>
      </c>
      <c r="K38" t="str">
        <f>IF(Modular!D38="Não",Modular!C38, " ")</f>
        <v xml:space="preserve"> </v>
      </c>
    </row>
    <row r="39" spans="2:11" x14ac:dyDescent="0.25">
      <c r="B39" t="e">
        <v>#REF!</v>
      </c>
      <c r="C39" t="e">
        <f>IF(#REF!="Não",#REF!, " ")</f>
        <v>#REF!</v>
      </c>
      <c r="F39" t="e">
        <f ca="1"/>
        <v>#NAME?</v>
      </c>
      <c r="G39" t="str">
        <f>IF(Flicker!D37="Não",Flicker!C37, " ")</f>
        <v>Ponder</v>
      </c>
      <c r="J39" t="str">
        <v xml:space="preserve"> </v>
      </c>
      <c r="K39" t="str">
        <f>IF(Modular!D39="Não",Modular!C39, " ")</f>
        <v xml:space="preserve"> </v>
      </c>
    </row>
    <row r="40" spans="2:11" x14ac:dyDescent="0.25">
      <c r="B40" t="e">
        <v>#REF!</v>
      </c>
      <c r="C40" t="e">
        <f>IF(#REF!="Não",#REF!, " ")</f>
        <v>#REF!</v>
      </c>
      <c r="F40" t="e">
        <f ca="1"/>
        <v>#NAME?</v>
      </c>
      <c r="G40" t="str">
        <f>IF(Flicker!D38="Não",Flicker!C38, " ")</f>
        <v>Ponder</v>
      </c>
      <c r="J40" t="str">
        <v xml:space="preserve"> </v>
      </c>
      <c r="K40" t="str">
        <f>IF(Modular!D40="Não",Modular!C40, " ")</f>
        <v xml:space="preserve"> </v>
      </c>
    </row>
    <row r="41" spans="2:11" x14ac:dyDescent="0.25">
      <c r="B41" t="e">
        <v>#REF!</v>
      </c>
      <c r="C41" t="e">
        <f>IF(#REF!="Não",#REF!, " ")</f>
        <v>#REF!</v>
      </c>
      <c r="F41" t="e">
        <f ca="1"/>
        <v>#NAME?</v>
      </c>
      <c r="G41" t="str">
        <f>IF(Flicker!D39="Não",Flicker!C39, " ")</f>
        <v>Ponder</v>
      </c>
      <c r="J41" t="str">
        <v xml:space="preserve"> </v>
      </c>
      <c r="K41" t="str">
        <f>IF(Modular!D41="Não",Modular!C41, " ")</f>
        <v xml:space="preserve"> </v>
      </c>
    </row>
    <row r="42" spans="2:11" x14ac:dyDescent="0.25">
      <c r="B42" t="e">
        <v>#REF!</v>
      </c>
      <c r="C42" t="e">
        <f>IF(#REF!="Não",#REF!, " ")</f>
        <v>#REF!</v>
      </c>
      <c r="F42" t="e">
        <f ca="1"/>
        <v>#NAME?</v>
      </c>
      <c r="G42" t="str">
        <f>IF(Flicker!D40="Não",Flicker!C40, " ")</f>
        <v>Ponder</v>
      </c>
      <c r="J42" t="str">
        <v xml:space="preserve"> </v>
      </c>
      <c r="K42" t="str">
        <f>IF(Modular!D42="Não",Modular!C42, " ")</f>
        <v xml:space="preserve"> </v>
      </c>
    </row>
    <row r="43" spans="2:11" x14ac:dyDescent="0.25">
      <c r="B43" t="e">
        <v>#REF!</v>
      </c>
      <c r="C43" t="e">
        <f>IF(#REF!="Não",#REF!, " ")</f>
        <v>#REF!</v>
      </c>
      <c r="F43" t="e">
        <f ca="1"/>
        <v>#NAME?</v>
      </c>
      <c r="G43" t="str">
        <f>IF(Flicker!D41="Não",Flicker!C41, " ")</f>
        <v xml:space="preserve"> </v>
      </c>
      <c r="J43" t="str">
        <v xml:space="preserve"> </v>
      </c>
      <c r="K43" t="str">
        <f>IF(Modular!D43="Não",Modular!C43, " ")</f>
        <v xml:space="preserve"> </v>
      </c>
    </row>
    <row r="44" spans="2:11" x14ac:dyDescent="0.25">
      <c r="B44" t="e">
        <v>#REF!</v>
      </c>
      <c r="C44" t="e">
        <f>IF(#REF!="Não",#REF!, " ")</f>
        <v>#REF!</v>
      </c>
      <c r="F44" t="e">
        <f ca="1"/>
        <v>#NAME?</v>
      </c>
      <c r="G44" t="str">
        <f>IF(Flicker!D42="Não",Flicker!C42, " ")</f>
        <v xml:space="preserve"> </v>
      </c>
      <c r="J44" t="str">
        <v xml:space="preserve"> </v>
      </c>
      <c r="K44" t="str">
        <f>IF(Modular!D44="Não",Modular!C44, " ")</f>
        <v xml:space="preserve"> </v>
      </c>
    </row>
    <row r="45" spans="2:11" x14ac:dyDescent="0.25">
      <c r="B45" t="e">
        <v>#REF!</v>
      </c>
      <c r="C45" t="e">
        <f>IF(#REF!="Não",#REF!, " ")</f>
        <v>#REF!</v>
      </c>
      <c r="F45" t="e">
        <f ca="1"/>
        <v>#NAME?</v>
      </c>
      <c r="G45" t="str">
        <f>IF(Flicker!D43="Não",Flicker!C43, " ")</f>
        <v xml:space="preserve"> </v>
      </c>
      <c r="J45" t="str">
        <v xml:space="preserve"> </v>
      </c>
      <c r="K45" t="str">
        <f>IF(Modular!D45="Não",Modular!C45, " ")</f>
        <v xml:space="preserve"> </v>
      </c>
    </row>
    <row r="46" spans="2:11" x14ac:dyDescent="0.25">
      <c r="B46" t="e">
        <v>#REF!</v>
      </c>
      <c r="C46" t="e">
        <f>IF(#REF!="Não",#REF!, " ")</f>
        <v>#REF!</v>
      </c>
      <c r="F46" t="e">
        <f ca="1"/>
        <v>#NAME?</v>
      </c>
      <c r="G46" t="str">
        <f>IF(Flicker!D44="Não",Flicker!C44, " ")</f>
        <v>Brainstorm</v>
      </c>
      <c r="J46" t="str">
        <v xml:space="preserve"> </v>
      </c>
      <c r="K46" t="str">
        <f>IF(Modular!D46="Não",Modular!C46, " ")</f>
        <v xml:space="preserve"> </v>
      </c>
    </row>
    <row r="47" spans="2:11" x14ac:dyDescent="0.25">
      <c r="B47" t="e">
        <v>#REF!</v>
      </c>
      <c r="C47" t="e">
        <f>IF(#REF!="Não",#REF!, " ")</f>
        <v>#REF!</v>
      </c>
      <c r="F47" t="e">
        <f ca="1"/>
        <v>#NAME?</v>
      </c>
      <c r="G47" t="str">
        <f>IF(Flicker!D45="Não",Flicker!C45, " ")</f>
        <v xml:space="preserve"> </v>
      </c>
      <c r="J47" t="str">
        <v xml:space="preserve"> </v>
      </c>
      <c r="K47" t="str">
        <f>IF(Modular!D47="Não",Modular!C47, " ")</f>
        <v xml:space="preserve"> </v>
      </c>
    </row>
    <row r="48" spans="2:11" x14ac:dyDescent="0.25">
      <c r="B48" t="e">
        <v>#REF!</v>
      </c>
      <c r="C48" t="e">
        <f>IF(#REF!="Não",#REF!, " ")</f>
        <v>#REF!</v>
      </c>
      <c r="F48" t="e">
        <f ca="1"/>
        <v>#NAME?</v>
      </c>
      <c r="G48" t="str">
        <f>IF(Flicker!D46="Não",Flicker!C46, " ")</f>
        <v xml:space="preserve"> </v>
      </c>
      <c r="J48" t="str">
        <v xml:space="preserve"> </v>
      </c>
      <c r="K48" t="str">
        <f>IF(Modular!D48="Não",Modular!C48, " ")</f>
        <v xml:space="preserve"> </v>
      </c>
    </row>
    <row r="49" spans="2:11" x14ac:dyDescent="0.25">
      <c r="B49" t="e">
        <v>#REF!</v>
      </c>
      <c r="C49" t="e">
        <f>IF(#REF!="Não",#REF!, " ")</f>
        <v>#REF!</v>
      </c>
      <c r="F49" t="e">
        <f ca="1"/>
        <v>#NAME?</v>
      </c>
      <c r="G49" t="str">
        <f>IF(Flicker!D47="Não",Flicker!C47, " ")</f>
        <v xml:space="preserve"> </v>
      </c>
      <c r="J49" t="str">
        <v xml:space="preserve"> </v>
      </c>
      <c r="K49" t="str">
        <f>IF(Modular!D49="Não",Modular!C49, " ")</f>
        <v xml:space="preserve"> </v>
      </c>
    </row>
    <row r="50" spans="2:11" x14ac:dyDescent="0.25">
      <c r="B50" t="e">
        <v>#REF!</v>
      </c>
      <c r="C50" t="e">
        <f>IF(#REF!="Não",#REF!, " ")</f>
        <v>#REF!</v>
      </c>
      <c r="F50" t="e">
        <f ca="1"/>
        <v>#NAME?</v>
      </c>
      <c r="G50" t="str">
        <f>IF(Flicker!D48="Não",Flicker!C48, " ")</f>
        <v xml:space="preserve"> </v>
      </c>
      <c r="J50" t="str">
        <v xml:space="preserve"> </v>
      </c>
      <c r="K50" t="str">
        <f>IF(Modular!D50="Não",Modular!C50, " ")</f>
        <v xml:space="preserve"> </v>
      </c>
    </row>
    <row r="51" spans="2:11" x14ac:dyDescent="0.25">
      <c r="B51" t="e">
        <v>#REF!</v>
      </c>
      <c r="C51" t="e">
        <f>IF(#REF!="Não",#REF!, " ")</f>
        <v>#REF!</v>
      </c>
      <c r="F51" t="e">
        <f ca="1"/>
        <v>#NAME?</v>
      </c>
      <c r="G51" t="str">
        <f>IF(Flicker!D51="Não",Flicker!C51, " ")</f>
        <v xml:space="preserve"> </v>
      </c>
      <c r="J51" t="str">
        <v xml:space="preserve"> </v>
      </c>
      <c r="K51" t="str">
        <f>IF(Modular!D51="Não",Modular!C51, " ")</f>
        <v xml:space="preserve"> </v>
      </c>
    </row>
    <row r="52" spans="2:11" x14ac:dyDescent="0.25">
      <c r="B52" t="e">
        <v>#REF!</v>
      </c>
      <c r="C52" t="e">
        <f>IF(#REF!="Não",#REF!, " ")</f>
        <v>#REF!</v>
      </c>
      <c r="F52" t="e">
        <f ca="1"/>
        <v>#NAME?</v>
      </c>
      <c r="G52" t="str">
        <f>IF(Flicker!D52="Não",Flicker!C52, " ")</f>
        <v xml:space="preserve"> </v>
      </c>
      <c r="J52" t="str">
        <v xml:space="preserve"> </v>
      </c>
      <c r="K52" t="str">
        <f>IF(Modular!D52="Não",Modular!C52, " ")</f>
        <v xml:space="preserve"> </v>
      </c>
    </row>
    <row r="53" spans="2:11" x14ac:dyDescent="0.25">
      <c r="B53" t="e">
        <v>#REF!</v>
      </c>
      <c r="C53" t="e">
        <f>IF(#REF!="Não",#REF!, " ")</f>
        <v>#REF!</v>
      </c>
      <c r="F53" t="e">
        <f ca="1"/>
        <v>#NAME?</v>
      </c>
      <c r="G53" t="str">
        <f>IF(Flicker!D53="Não",Flicker!C53, " ")</f>
        <v xml:space="preserve"> </v>
      </c>
      <c r="J53" t="str">
        <v xml:space="preserve"> </v>
      </c>
      <c r="K53" t="str">
        <f>IF(Modular!D53="Não",Modular!C53, " ")</f>
        <v xml:space="preserve"> </v>
      </c>
    </row>
    <row r="54" spans="2:11" x14ac:dyDescent="0.25">
      <c r="B54" t="e">
        <v>#REF!</v>
      </c>
      <c r="C54" t="e">
        <f>IF(#REF!="Não",#REF!, " ")</f>
        <v>#REF!</v>
      </c>
      <c r="F54" t="e">
        <f ca="1"/>
        <v>#NAME?</v>
      </c>
      <c r="G54" t="str">
        <f>IF(Flicker!D54="Não",Flicker!C54, " ")</f>
        <v xml:space="preserve"> </v>
      </c>
      <c r="J54" t="str">
        <v xml:space="preserve"> </v>
      </c>
      <c r="K54" t="str">
        <f>IF(Modular!D54="Não",Modular!C54, " ")</f>
        <v xml:space="preserve"> </v>
      </c>
    </row>
    <row r="55" spans="2:11" x14ac:dyDescent="0.25">
      <c r="B55" t="e">
        <v>#REF!</v>
      </c>
      <c r="C55" t="e">
        <f>IF(#REF!="Não",#REF!, " ")</f>
        <v>#REF!</v>
      </c>
      <c r="F55" t="e">
        <f ca="1"/>
        <v>#NAME?</v>
      </c>
      <c r="G55" t="str">
        <f>IF(Flicker!D55="Não",Flicker!C55, " ")</f>
        <v xml:space="preserve"> </v>
      </c>
      <c r="J55" t="str">
        <v xml:space="preserve"> </v>
      </c>
      <c r="K55" t="str">
        <f>IF(Modular!D55="Não",Modular!C55, " ")</f>
        <v xml:space="preserve"> </v>
      </c>
    </row>
    <row r="56" spans="2:11" x14ac:dyDescent="0.25">
      <c r="B56" t="e">
        <v>#REF!</v>
      </c>
      <c r="C56" t="e">
        <f>IF(#REF!="Não",#REF!, " ")</f>
        <v>#REF!</v>
      </c>
      <c r="F56" t="e">
        <f ca="1"/>
        <v>#NAME?</v>
      </c>
      <c r="G56" t="str">
        <f>IF(Flicker!D56="Não",Flicker!C56, " ")</f>
        <v xml:space="preserve"> </v>
      </c>
      <c r="J56" t="str">
        <v xml:space="preserve"> </v>
      </c>
      <c r="K56" t="str">
        <f>IF(Modular!D56="Não",Modular!C56, " ")</f>
        <v xml:space="preserve"> </v>
      </c>
    </row>
    <row r="57" spans="2:11" x14ac:dyDescent="0.25">
      <c r="B57" t="e">
        <v>#REF!</v>
      </c>
      <c r="C57" t="e">
        <f>IF(#REF!="Não",#REF!, " ")</f>
        <v>#REF!</v>
      </c>
      <c r="F57" t="e">
        <f ca="1"/>
        <v>#NAME?</v>
      </c>
      <c r="G57" t="str">
        <f>IF(Flicker!D57="Não",Flicker!C57, " ")</f>
        <v xml:space="preserve"> </v>
      </c>
      <c r="J57" t="str">
        <v xml:space="preserve"> </v>
      </c>
      <c r="K57" t="str">
        <f>IF(Modular!D57="Não",Modular!C57, " ")</f>
        <v xml:space="preserve"> </v>
      </c>
    </row>
    <row r="58" spans="2:11" x14ac:dyDescent="0.25">
      <c r="B58" t="e">
        <v>#REF!</v>
      </c>
      <c r="C58" t="e">
        <f>IF(#REF!="Não",#REF!, " ")</f>
        <v>#REF!</v>
      </c>
      <c r="F58" t="e">
        <f ca="1"/>
        <v>#NAME?</v>
      </c>
      <c r="G58" t="str">
        <f>IF(Flicker!D58="Não",Flicker!C58, " ")</f>
        <v xml:space="preserve"> </v>
      </c>
      <c r="J58" t="str">
        <v xml:space="preserve"> </v>
      </c>
      <c r="K58" t="str">
        <f>IF(Modular!D58="Não",Modular!C58, " ")</f>
        <v xml:space="preserve"> </v>
      </c>
    </row>
    <row r="59" spans="2:11" x14ac:dyDescent="0.25">
      <c r="B59" t="e">
        <v>#REF!</v>
      </c>
      <c r="C59" t="e">
        <f>IF(#REF!="Não",#REF!, " ")</f>
        <v>#REF!</v>
      </c>
      <c r="F59" t="e">
        <f ca="1"/>
        <v>#NAME?</v>
      </c>
      <c r="G59" t="str">
        <f>IF(Flicker!D59="Não",Flicker!C59, " ")</f>
        <v xml:space="preserve"> </v>
      </c>
      <c r="J59" t="str">
        <v xml:space="preserve"> </v>
      </c>
      <c r="K59" t="str">
        <f>IF(Modular!D59="Não",Modular!C59, " ")</f>
        <v xml:space="preserve"> </v>
      </c>
    </row>
    <row r="60" spans="2:11" x14ac:dyDescent="0.25">
      <c r="B60" t="e">
        <v>#REF!</v>
      </c>
      <c r="C60" t="e">
        <f>IF(#REF!="Não",#REF!, " ")</f>
        <v>#REF!</v>
      </c>
      <c r="F60" t="e">
        <f ca="1"/>
        <v>#NAME?</v>
      </c>
      <c r="G60" t="str">
        <f>IF(Flicker!D60="Não",Flicker!C60, " ")</f>
        <v xml:space="preserve"> </v>
      </c>
      <c r="J60" t="str">
        <v xml:space="preserve"> </v>
      </c>
      <c r="K60" t="str">
        <f>IF(Modular!D60="Não",Modular!C60, " ")</f>
        <v xml:space="preserve"> </v>
      </c>
    </row>
    <row r="61" spans="2:11" x14ac:dyDescent="0.25">
      <c r="B61" t="e">
        <v>#REF!</v>
      </c>
      <c r="C61" t="e">
        <f>IF(#REF!="Não",#REF!, " ")</f>
        <v>#REF!</v>
      </c>
      <c r="F61" t="e">
        <f ca="1"/>
        <v>#NAME?</v>
      </c>
      <c r="G61" t="str">
        <f>IF(Flicker!D61="Não",Flicker!C61, " ")</f>
        <v xml:space="preserve"> </v>
      </c>
      <c r="J61" t="str">
        <v xml:space="preserve"> </v>
      </c>
      <c r="K61" t="str">
        <f>IF(Modular!D61="Não",Modular!C61, " ")</f>
        <v xml:space="preserve"> </v>
      </c>
    </row>
    <row r="62" spans="2:11" x14ac:dyDescent="0.25">
      <c r="B62" t="e">
        <v>#REF!</v>
      </c>
      <c r="C62" t="e">
        <f>IF(#REF!="Não",#REF!, " ")</f>
        <v>#REF!</v>
      </c>
      <c r="F62" t="e">
        <f ca="1"/>
        <v>#NAME?</v>
      </c>
      <c r="G62" t="str">
        <f>IF(Flicker!D62="Não",Flicker!C62, " ")</f>
        <v xml:space="preserve"> </v>
      </c>
      <c r="J62" t="str">
        <v xml:space="preserve"> </v>
      </c>
      <c r="K62" t="str">
        <f>IF(Modular!D62="Não",Modular!C62, " ")</f>
        <v xml:space="preserve"> </v>
      </c>
    </row>
    <row r="63" spans="2:11" x14ac:dyDescent="0.25">
      <c r="B63" t="e">
        <v>#REF!</v>
      </c>
      <c r="C63" t="e">
        <f>IF(#REF!="Não",#REF!, " ")</f>
        <v>#REF!</v>
      </c>
      <c r="F63" t="e">
        <f ca="1"/>
        <v>#NAME?</v>
      </c>
      <c r="G63" t="str">
        <f>IF(Flicker!D63="Não",Flicker!C63, " ")</f>
        <v xml:space="preserve"> </v>
      </c>
      <c r="J63" t="str">
        <v xml:space="preserve"> </v>
      </c>
      <c r="K63" t="str">
        <f>IF(Modular!D63="Não",Modular!C63, " ")</f>
        <v xml:space="preserve"> </v>
      </c>
    </row>
    <row r="64" spans="2:11" x14ac:dyDescent="0.25">
      <c r="B64" t="e">
        <v>#REF!</v>
      </c>
      <c r="C64" t="e">
        <f>IF(#REF!="Não",#REF!, " ")</f>
        <v>#REF!</v>
      </c>
      <c r="F64" t="e">
        <f ca="1"/>
        <v>#NAME?</v>
      </c>
      <c r="G64" t="str">
        <f>IF(Flicker!D64="Não",Flicker!C64, " ")</f>
        <v xml:space="preserve"> </v>
      </c>
      <c r="J64" t="str">
        <v xml:space="preserve"> </v>
      </c>
      <c r="K64" t="str">
        <f>IF(Modular!D64="Não",Modular!C64, " ")</f>
        <v xml:space="preserve"> </v>
      </c>
    </row>
    <row r="65" spans="2:11" x14ac:dyDescent="0.25">
      <c r="B65" t="e">
        <v>#REF!</v>
      </c>
      <c r="C65" t="e">
        <f>IF(#REF!="Não",#REF!, " ")</f>
        <v>#REF!</v>
      </c>
      <c r="F65" t="e">
        <f ca="1"/>
        <v>#NAME?</v>
      </c>
      <c r="G65" t="str">
        <f>IF(Flicker!D65="Não",Flicker!C65, " ")</f>
        <v xml:space="preserve"> </v>
      </c>
      <c r="J65" t="str">
        <v xml:space="preserve"> </v>
      </c>
      <c r="K65" t="str">
        <f>IF(Modular!D65="Não",Modular!C65, " ")</f>
        <v xml:space="preserve"> </v>
      </c>
    </row>
    <row r="66" spans="2:11" x14ac:dyDescent="0.25">
      <c r="B66" t="e">
        <v>#REF!</v>
      </c>
      <c r="C66" t="e">
        <f>IF(#REF!="Não",#REF!, " ")</f>
        <v>#REF!</v>
      </c>
      <c r="F66" t="e">
        <f ca="1"/>
        <v>#NAME?</v>
      </c>
      <c r="G66" t="str">
        <f>IF(Flicker!D66="Não",Flicker!C66, " ")</f>
        <v xml:space="preserve"> </v>
      </c>
      <c r="J66" t="str">
        <v xml:space="preserve"> </v>
      </c>
      <c r="K66" t="str">
        <f>IF(Modular!D66="Não",Modular!C66, " ")</f>
        <v xml:space="preserve"> </v>
      </c>
    </row>
    <row r="67" spans="2:11" x14ac:dyDescent="0.25">
      <c r="B67" t="e">
        <v>#REF!</v>
      </c>
      <c r="C67" t="e">
        <f>IF(#REF!="Não",#REF!, " ")</f>
        <v>#REF!</v>
      </c>
      <c r="F67" t="e">
        <f ca="1"/>
        <v>#NAME?</v>
      </c>
      <c r="G67" t="str">
        <f>IF(Flicker!D67="Não",Flicker!C67, " ")</f>
        <v xml:space="preserve"> </v>
      </c>
      <c r="J67" t="str">
        <v xml:space="preserve"> </v>
      </c>
      <c r="K67" t="str">
        <f>IF(Modular!D67="Não",Modular!C67, " ")</f>
        <v xml:space="preserve"> </v>
      </c>
    </row>
    <row r="68" spans="2:11" x14ac:dyDescent="0.25">
      <c r="B68" t="e">
        <v>#REF!</v>
      </c>
      <c r="C68" t="e">
        <f>IF(#REF!="Não",#REF!, " ")</f>
        <v>#REF!</v>
      </c>
      <c r="F68" t="e">
        <f ca="1"/>
        <v>#NAME?</v>
      </c>
      <c r="G68" t="str">
        <f>IF(Flicker!D68="Não",Flicker!C68, " ")</f>
        <v xml:space="preserve"> </v>
      </c>
      <c r="J68" t="str">
        <v xml:space="preserve"> </v>
      </c>
      <c r="K68" t="str">
        <f>IF(Modular!D68="Não",Modular!C68, " ")</f>
        <v xml:space="preserve"> </v>
      </c>
    </row>
    <row r="69" spans="2:11" x14ac:dyDescent="0.25">
      <c r="B69" t="e">
        <v>#REF!</v>
      </c>
      <c r="C69" t="e">
        <f>IF(#REF!="Não",#REF!, " ")</f>
        <v>#REF!</v>
      </c>
      <c r="F69" t="e">
        <f ca="1"/>
        <v>#NAME?</v>
      </c>
      <c r="G69" t="str">
        <f>IF(Flicker!D69="Não",Flicker!C69, " ")</f>
        <v xml:space="preserve"> </v>
      </c>
      <c r="J69" t="str">
        <v xml:space="preserve"> </v>
      </c>
      <c r="K69" t="str">
        <f>IF(Modular!D69="Não",Modular!C69, " ")</f>
        <v xml:space="preserve"> </v>
      </c>
    </row>
    <row r="70" spans="2:11" x14ac:dyDescent="0.25">
      <c r="B70" t="e">
        <v>#REF!</v>
      </c>
      <c r="C70" t="e">
        <f>IF(#REF!="Não",#REF!, " ")</f>
        <v>#REF!</v>
      </c>
      <c r="F70" t="e">
        <f ca="1"/>
        <v>#NAME?</v>
      </c>
      <c r="G70" t="str">
        <f>IF(Flicker!D70="Não",Flicker!C70, " ")</f>
        <v xml:space="preserve"> </v>
      </c>
      <c r="J70" t="str">
        <v xml:space="preserve"> </v>
      </c>
      <c r="K70" t="str">
        <f>IF(Modular!D70="Não",Modular!C70, " ")</f>
        <v xml:space="preserve"> </v>
      </c>
    </row>
    <row r="71" spans="2:11" x14ac:dyDescent="0.25">
      <c r="B71" t="e">
        <v>#REF!</v>
      </c>
      <c r="C71" t="e">
        <f>IF(#REF!="Não",#REF!, " ")</f>
        <v>#REF!</v>
      </c>
      <c r="F71" t="e">
        <f ca="1"/>
        <v>#NAME?</v>
      </c>
      <c r="G71" t="str">
        <f>IF(Flicker!D71="Não",Flicker!C71, " ")</f>
        <v xml:space="preserve"> </v>
      </c>
      <c r="J71" t="str">
        <v xml:space="preserve"> </v>
      </c>
      <c r="K71" t="str">
        <f>IF(Modular!D71="Não",Modular!C71, " ")</f>
        <v xml:space="preserve"> </v>
      </c>
    </row>
    <row r="72" spans="2:11" x14ac:dyDescent="0.25">
      <c r="B72" t="e">
        <v>#REF!</v>
      </c>
      <c r="C72" t="e">
        <f>IF(#REF!="Não",#REF!, " ")</f>
        <v>#REF!</v>
      </c>
      <c r="F72" t="e">
        <f ca="1"/>
        <v>#NAME?</v>
      </c>
      <c r="G72" t="str">
        <f>IF(Flicker!D72="Não",Flicker!C72, " ")</f>
        <v xml:space="preserve"> </v>
      </c>
      <c r="J72" t="str">
        <v xml:space="preserve"> </v>
      </c>
      <c r="K72" t="str">
        <f>IF(Modular!D72="Não",Modular!C72, " ")</f>
        <v xml:space="preserve"> </v>
      </c>
    </row>
    <row r="73" spans="2:11" x14ac:dyDescent="0.25">
      <c r="B73" t="e">
        <v>#REF!</v>
      </c>
      <c r="C73" t="e">
        <f>IF(#REF!="Não",#REF!, " ")</f>
        <v>#REF!</v>
      </c>
      <c r="F73" t="e">
        <f ca="1"/>
        <v>#NAME?</v>
      </c>
      <c r="G73" t="str">
        <f>IF(Flicker!D73="Não",Flicker!C73, " ")</f>
        <v xml:space="preserve"> </v>
      </c>
      <c r="J73" t="str">
        <v xml:space="preserve"> </v>
      </c>
      <c r="K73" t="str">
        <f>IF(Modular!D73="Não",Modular!C73, " ")</f>
        <v xml:space="preserve"> </v>
      </c>
    </row>
    <row r="74" spans="2:11" x14ac:dyDescent="0.25">
      <c r="B74" t="e">
        <v>#REF!</v>
      </c>
      <c r="C74" t="e">
        <f>IF(#REF!="Não",#REF!, " ")</f>
        <v>#REF!</v>
      </c>
      <c r="F74" t="e">
        <f ca="1"/>
        <v>#NAME?</v>
      </c>
      <c r="G74" t="str">
        <f>IF(Flicker!D74="Não",Flicker!C74, " ")</f>
        <v xml:space="preserve"> </v>
      </c>
      <c r="J74" t="str">
        <v xml:space="preserve"> </v>
      </c>
      <c r="K74" t="str">
        <f>IF(Modular!D74="Não",Modular!C74, " ")</f>
        <v xml:space="preserve"> </v>
      </c>
    </row>
    <row r="75" spans="2:11" x14ac:dyDescent="0.25">
      <c r="B75" t="e">
        <v>#REF!</v>
      </c>
      <c r="C75" t="e">
        <f>IF(#REF!="Não",#REF!, " ")</f>
        <v>#REF!</v>
      </c>
      <c r="F75" t="e">
        <f ca="1"/>
        <v>#NAME?</v>
      </c>
      <c r="G75" t="str">
        <f>IF(Flicker!D75="Não",Flicker!C75, " ")</f>
        <v>Destroy Evil</v>
      </c>
      <c r="J75" t="str">
        <v xml:space="preserve"> </v>
      </c>
      <c r="K75" t="str">
        <f>IF(Modular!D75="Não",Modular!C75, " ")</f>
        <v xml:space="preserve"> </v>
      </c>
    </row>
    <row r="76" spans="2:11" x14ac:dyDescent="0.25">
      <c r="B76" t="e">
        <v>#REF!</v>
      </c>
      <c r="C76" t="e">
        <f>IF(#REF!="Não",#REF!, " ")</f>
        <v>#REF!</v>
      </c>
      <c r="F76" t="e">
        <f ca="1"/>
        <v>#NAME?</v>
      </c>
      <c r="G76" t="str">
        <f>IF(Flicker!D76="Não",Flicker!C76, " ")</f>
        <v>Destroy Evil</v>
      </c>
      <c r="J76" t="str">
        <v xml:space="preserve"> </v>
      </c>
      <c r="K76" t="str">
        <f>IF(Modular!D76="Não",Modular!C76, " ")</f>
        <v xml:space="preserve"> </v>
      </c>
    </row>
    <row r="77" spans="2:11" x14ac:dyDescent="0.25">
      <c r="B77" t="e">
        <v>#REF!</v>
      </c>
      <c r="C77" t="e">
        <f>IF(#REF!="Não",#REF!, " ")</f>
        <v>#REF!</v>
      </c>
      <c r="F77" t="e">
        <f ca="1"/>
        <v>#NAME?</v>
      </c>
      <c r="G77" t="str">
        <f>IF(Flicker!D77="Não",Flicker!C77, " ")</f>
        <v xml:space="preserve"> </v>
      </c>
      <c r="J77" t="str">
        <v xml:space="preserve"> </v>
      </c>
      <c r="K77" t="str">
        <f>IF(Modular!D77="Não",Modular!C77, " ")</f>
        <v xml:space="preserve"> </v>
      </c>
    </row>
    <row r="78" spans="2:11" x14ac:dyDescent="0.25">
      <c r="B78" t="e">
        <v>#REF!</v>
      </c>
      <c r="C78" t="e">
        <f>IF(#REF!="Não",#REF!, " ")</f>
        <v>#REF!</v>
      </c>
      <c r="F78" t="e">
        <f ca="1"/>
        <v>#NAME?</v>
      </c>
      <c r="G78" t="e">
        <f>IF(#REF!="Não",#REF!, " ")</f>
        <v>#REF!</v>
      </c>
      <c r="J78" t="str">
        <v xml:space="preserve"> </v>
      </c>
      <c r="K78" t="e">
        <f>IF(#REF!="Não",#REF!, " ")</f>
        <v>#REF!</v>
      </c>
    </row>
    <row r="79" spans="2:11" x14ac:dyDescent="0.25">
      <c r="B79" t="e">
        <v>#REF!</v>
      </c>
      <c r="C79" t="e">
        <f>IF(#REF!="Não",#REF!, " ")</f>
        <v>#REF!</v>
      </c>
      <c r="F79" t="e">
        <f ca="1"/>
        <v>#NAME?</v>
      </c>
      <c r="G79" t="e">
        <f>IF(#REF!="Não",#REF!, " ")</f>
        <v>#REF!</v>
      </c>
      <c r="J79" t="str">
        <v xml:space="preserve"> </v>
      </c>
      <c r="K79" t="e">
        <f>IF(#REF!="Não",#REF!, " ")</f>
        <v>#REF!</v>
      </c>
    </row>
    <row r="80" spans="2:11" x14ac:dyDescent="0.25">
      <c r="B80" t="e">
        <v>#REF!</v>
      </c>
      <c r="C80" t="e">
        <f>IF(#REF!="Não",#REF!, " ")</f>
        <v>#REF!</v>
      </c>
      <c r="F80" t="e">
        <f ca="1"/>
        <v>#NAME?</v>
      </c>
      <c r="G80" t="e">
        <f>IF(#REF!="Não",#REF!, " ")</f>
        <v>#REF!</v>
      </c>
      <c r="J80" t="str">
        <v xml:space="preserve"> </v>
      </c>
      <c r="K80" t="e">
        <f>IF(#REF!="Não",#REF!, " ")</f>
        <v>#REF!</v>
      </c>
    </row>
    <row r="81" spans="2:11" x14ac:dyDescent="0.25">
      <c r="B81" t="e">
        <v>#REF!</v>
      </c>
      <c r="C81" t="e">
        <f>IF(#REF!="Não",#REF!, " ")</f>
        <v>#REF!</v>
      </c>
      <c r="F81" t="e">
        <f ca="1"/>
        <v>#NAME?</v>
      </c>
      <c r="G81" t="e">
        <f>IF(#REF!="Não",#REF!, " ")</f>
        <v>#REF!</v>
      </c>
      <c r="J81" t="str">
        <v xml:space="preserve"> </v>
      </c>
      <c r="K81" t="e">
        <f>IF(#REF!="Não",#REF!, " ")</f>
        <v>#REF!</v>
      </c>
    </row>
    <row r="82" spans="2:11" x14ac:dyDescent="0.25">
      <c r="B82" t="e">
        <v>#REF!</v>
      </c>
      <c r="C82" t="e">
        <f>IF(#REF!="Não",#REF!, " ")</f>
        <v>#REF!</v>
      </c>
      <c r="F82" t="e">
        <f ca="1"/>
        <v>#NAME?</v>
      </c>
      <c r="G82" t="e">
        <f>IF(#REF!="Não",#REF!, " ")</f>
        <v>#REF!</v>
      </c>
      <c r="J82" t="str">
        <v xml:space="preserve"> </v>
      </c>
      <c r="K82" t="e">
        <f>IF(#REF!="Não",#REF!, " ")</f>
        <v>#REF!</v>
      </c>
    </row>
    <row r="83" spans="2:11" x14ac:dyDescent="0.25">
      <c r="B83" t="e">
        <v>#REF!</v>
      </c>
      <c r="C83" t="e">
        <f>IF(#REF!="Não",#REF!, " ")</f>
        <v>#REF!</v>
      </c>
      <c r="F83" t="e">
        <f ca="1"/>
        <v>#NAME?</v>
      </c>
      <c r="G83" t="e">
        <f>IF(#REF!="Não",#REF!, " ")</f>
        <v>#REF!</v>
      </c>
      <c r="J83" t="str">
        <v xml:space="preserve"> </v>
      </c>
      <c r="K83" t="e">
        <f>IF(#REF!="Não",#REF!, " ")</f>
        <v>#REF!</v>
      </c>
    </row>
    <row r="84" spans="2:11" x14ac:dyDescent="0.25">
      <c r="B84" t="e">
        <v>#REF!</v>
      </c>
      <c r="C84" t="e">
        <f>IF(#REF!="Não",#REF!, " ")</f>
        <v>#REF!</v>
      </c>
      <c r="F84" t="e">
        <f ca="1"/>
        <v>#NAME?</v>
      </c>
      <c r="G84" t="e">
        <f>IF(#REF!="Não",#REF!, " ")</f>
        <v>#REF!</v>
      </c>
      <c r="J84" t="str">
        <v xml:space="preserve"> </v>
      </c>
      <c r="K84" t="e">
        <f>IF(#REF!="Não",#REF!, " ")</f>
        <v>#REF!</v>
      </c>
    </row>
    <row r="85" spans="2:11" x14ac:dyDescent="0.25">
      <c r="B85" t="e">
        <v>#REF!</v>
      </c>
      <c r="C85" t="e">
        <f>IF(#REF!="Não",#REF!, " ")</f>
        <v>#REF!</v>
      </c>
      <c r="F85" t="e">
        <f ca="1"/>
        <v>#NAME?</v>
      </c>
      <c r="G85" t="e">
        <f>IF(#REF!="Não",#REF!, " ")</f>
        <v>#REF!</v>
      </c>
      <c r="J85" t="str">
        <v xml:space="preserve"> </v>
      </c>
      <c r="K85" t="e">
        <f>IF(#REF!="Não",#REF!, " ")</f>
        <v>#REF!</v>
      </c>
    </row>
    <row r="86" spans="2:11" x14ac:dyDescent="0.25">
      <c r="B86" t="e">
        <v>#REF!</v>
      </c>
      <c r="C86" t="e">
        <f>IF(#REF!="Não",#REF!, " ")</f>
        <v>#REF!</v>
      </c>
      <c r="F86" t="e">
        <f ca="1"/>
        <v>#NAME?</v>
      </c>
      <c r="G86" t="e">
        <f>IF(#REF!="Não",#REF!, " ")</f>
        <v>#REF!</v>
      </c>
      <c r="J86" t="str">
        <v xml:space="preserve"> </v>
      </c>
      <c r="K86" t="e">
        <f>IF(#REF!="Não",#REF!, " ")</f>
        <v>#REF!</v>
      </c>
    </row>
    <row r="87" spans="2:11" x14ac:dyDescent="0.25">
      <c r="C87" t="e">
        <f>IF(#REF!="Não",#REF!, " ")</f>
        <v>#REF!</v>
      </c>
      <c r="G87" t="e">
        <f>IF(#REF!="Não",#REF!, " ")</f>
        <v>#REF!</v>
      </c>
      <c r="K87" t="e">
        <f>IF(#REF!="Não",#REF!, " ")</f>
        <v>#REF!</v>
      </c>
    </row>
    <row r="88" spans="2:11" x14ac:dyDescent="0.25">
      <c r="C88" t="e">
        <f>IF(#REF!="Não",#REF!, " ")</f>
        <v>#REF!</v>
      </c>
      <c r="G88" t="e">
        <f>IF(#REF!="Não",#REF!, " ")</f>
        <v>#REF!</v>
      </c>
      <c r="K88" t="e">
        <f>IF(#REF!="Não",#REF!, " ")</f>
        <v>#REF!</v>
      </c>
    </row>
    <row r="89" spans="2:11" x14ac:dyDescent="0.25">
      <c r="C89" t="e">
        <f>IF(#REF!="Não",#REF!, " ")</f>
        <v>#REF!</v>
      </c>
      <c r="G89" t="e">
        <f>IF(#REF!="Não",#REF!, " ")</f>
        <v>#REF!</v>
      </c>
      <c r="K89" t="e">
        <f>IF(#REF!="Não",#REF!, " ")</f>
        <v>#REF!</v>
      </c>
    </row>
    <row r="90" spans="2:11" x14ac:dyDescent="0.25">
      <c r="C90" t="e">
        <f>IF(#REF!="Não",#REF!, " ")</f>
        <v>#REF!</v>
      </c>
      <c r="G90" t="e">
        <f>IF(#REF!="Não",#REF!, " ")</f>
        <v>#REF!</v>
      </c>
      <c r="K90" t="e">
        <f>IF(#REF!="Não",#REF!, " ")</f>
        <v>#REF!</v>
      </c>
    </row>
    <row r="91" spans="2:11" x14ac:dyDescent="0.25">
      <c r="C91" t="e">
        <f>IF(#REF!="Não",#REF!, " ")</f>
        <v>#REF!</v>
      </c>
      <c r="G91" t="e">
        <f>IF(#REF!="Não",#REF!, " ")</f>
        <v>#REF!</v>
      </c>
      <c r="K91" t="e">
        <f>IF(#REF!="Não",#REF!, " ")</f>
        <v>#REF!</v>
      </c>
    </row>
    <row r="92" spans="2:11" x14ac:dyDescent="0.25">
      <c r="C92" t="e">
        <f>IF(#REF!="Não",#REF!, " ")</f>
        <v>#REF!</v>
      </c>
      <c r="G92" t="e">
        <f>IF(#REF!="Não",#REF!, " ")</f>
        <v>#REF!</v>
      </c>
      <c r="K92" t="e">
        <f>IF(#REF!="Não",#REF!, " ")</f>
        <v>#REF!</v>
      </c>
    </row>
    <row r="93" spans="2:11" x14ac:dyDescent="0.25">
      <c r="C93" t="e">
        <f>IF(#REF!="Não",#REF!, " ")</f>
        <v>#REF!</v>
      </c>
      <c r="G93" t="e">
        <f>IF(#REF!="Não",#REF!, " ")</f>
        <v>#REF!</v>
      </c>
      <c r="K93" t="e">
        <f>IF(#REF!="Não",#REF!, " ")</f>
        <v>#REF!</v>
      </c>
    </row>
    <row r="94" spans="2:11" x14ac:dyDescent="0.25">
      <c r="C94" t="e">
        <f>IF(#REF!="Não",#REF!, " ")</f>
        <v>#REF!</v>
      </c>
      <c r="G94" t="e">
        <f>IF(#REF!="Não",#REF!, " ")</f>
        <v>#REF!</v>
      </c>
      <c r="K94" t="e">
        <f>IF(#REF!="Não",#REF!, " ")</f>
        <v>#REF!</v>
      </c>
    </row>
    <row r="95" spans="2:11" x14ac:dyDescent="0.25">
      <c r="C95" t="e">
        <f>IF(#REF!="Não",#REF!, " ")</f>
        <v>#REF!</v>
      </c>
      <c r="G95" t="e">
        <f>IF(#REF!="Não",#REF!, " ")</f>
        <v>#REF!</v>
      </c>
      <c r="K95" t="e">
        <f>IF(#REF!="Não",#REF!, " ")</f>
        <v>#REF!</v>
      </c>
    </row>
    <row r="96" spans="2:11" x14ac:dyDescent="0.25">
      <c r="C96" t="e">
        <f>IF(#REF!="Não",#REF!, " ")</f>
        <v>#REF!</v>
      </c>
      <c r="G96" t="e">
        <f>IF(#REF!="Não",#REF!, " ")</f>
        <v>#REF!</v>
      </c>
      <c r="K96" t="e">
        <f>IF(#REF!="Não",#REF!, " ")</f>
        <v>#REF!</v>
      </c>
    </row>
    <row r="97" spans="3:11" x14ac:dyDescent="0.25">
      <c r="C97" t="e">
        <f>IF(#REF!="Não",#REF!, " ")</f>
        <v>#REF!</v>
      </c>
      <c r="G97" t="e">
        <f>IF(#REF!="Não",#REF!, " ")</f>
        <v>#REF!</v>
      </c>
      <c r="K97" t="e">
        <f>IF(#REF!="Não",#REF!, " ")</f>
        <v>#REF!</v>
      </c>
    </row>
    <row r="98" spans="3:11" x14ac:dyDescent="0.25">
      <c r="C98" t="e">
        <f>IF(#REF!="Não",#REF!, " ")</f>
        <v>#REF!</v>
      </c>
      <c r="G98" t="e">
        <f>IF(#REF!="Não",#REF!, " ")</f>
        <v>#REF!</v>
      </c>
      <c r="K98" t="e">
        <f>IF(#REF!="Não",#REF!, " ")</f>
        <v>#REF!</v>
      </c>
    </row>
    <row r="99" spans="3:11" x14ac:dyDescent="0.25">
      <c r="C99" t="e">
        <f>IF(#REF!="Não",#REF!, " ")</f>
        <v>#REF!</v>
      </c>
      <c r="G99" t="e">
        <f>IF(#REF!="Não",#REF!, " ")</f>
        <v>#REF!</v>
      </c>
      <c r="K99" t="e">
        <f>IF(#REF!="Não",#REF!, " ")</f>
        <v>#REF!</v>
      </c>
    </row>
    <row r="100" spans="3:11" x14ac:dyDescent="0.25">
      <c r="C100" t="e">
        <f>IF(#REF!="Não",#REF!, " ")</f>
        <v>#REF!</v>
      </c>
      <c r="G100" t="e">
        <f>IF(#REF!="Não",#REF!, " ")</f>
        <v>#REF!</v>
      </c>
      <c r="K100" t="e">
        <f>IF(#REF!="Não",#REF!, " ")</f>
        <v>#REF!</v>
      </c>
    </row>
    <row r="101" spans="3:11" x14ac:dyDescent="0.25">
      <c r="C101" t="e">
        <f>IF(#REF!="Não",#REF!, " ")</f>
        <v>#REF!</v>
      </c>
      <c r="G101" t="e">
        <f>IF(#REF!="Não",#REF!, " ")</f>
        <v>#REF!</v>
      </c>
      <c r="K101" t="e">
        <f>IF(#REF!="Não",#REF!, " ")</f>
        <v>#REF!</v>
      </c>
    </row>
    <row r="102" spans="3:11" x14ac:dyDescent="0.25">
      <c r="C102" t="e">
        <f>IF(#REF!="Não",#REF!, " ")</f>
        <v>#REF!</v>
      </c>
      <c r="G102" t="e">
        <f>IF(#REF!="Não",#REF!, " ")</f>
        <v>#REF!</v>
      </c>
      <c r="K102" t="e">
        <f>IF(#REF!="Não",#REF!, " ")</f>
        <v>#REF!</v>
      </c>
    </row>
    <row r="103" spans="3:11" x14ac:dyDescent="0.25">
      <c r="C103" t="e">
        <f>IF(#REF!="Não",#REF!, " ")</f>
        <v>#REF!</v>
      </c>
      <c r="G103" t="e">
        <f>IF(#REF!="Não",#REF!, " ")</f>
        <v>#REF!</v>
      </c>
      <c r="K103" t="e">
        <f>IF(#REF!="Não",#REF!, " ")</f>
        <v>#REF!</v>
      </c>
    </row>
    <row r="104" spans="3:11" x14ac:dyDescent="0.25">
      <c r="C104" t="e">
        <f>IF(#REF!="Não",#REF!, " ")</f>
        <v>#REF!</v>
      </c>
      <c r="G104" t="e">
        <f>IF(#REF!="Não",#REF!, " ")</f>
        <v>#REF!</v>
      </c>
      <c r="K104" t="e">
        <f>IF(#REF!="Não",#REF!, " ")</f>
        <v>#REF!</v>
      </c>
    </row>
    <row r="105" spans="3:11" x14ac:dyDescent="0.25">
      <c r="C105" t="e">
        <f>IF(#REF!="Não",#REF!, " ")</f>
        <v>#REF!</v>
      </c>
      <c r="G105" t="e">
        <f>IF(#REF!="Não",#REF!, " ")</f>
        <v>#REF!</v>
      </c>
      <c r="K105" t="e">
        <f>IF(#REF!="Não",#REF!, " ")</f>
        <v>#REF!</v>
      </c>
    </row>
    <row r="106" spans="3:11" x14ac:dyDescent="0.25">
      <c r="C106" t="e">
        <f>IF(#REF!="Não",#REF!, " ")</f>
        <v>#REF!</v>
      </c>
      <c r="G106" t="e">
        <f>IF(#REF!="Não",#REF!, " ")</f>
        <v>#REF!</v>
      </c>
      <c r="K106" t="e">
        <f>IF(#REF!="Não",#REF!, " ")</f>
        <v>#REF!</v>
      </c>
    </row>
    <row r="107" spans="3:11" x14ac:dyDescent="0.25">
      <c r="C107" t="e">
        <f>IF(#REF!="Não",#REF!, " ")</f>
        <v>#REF!</v>
      </c>
      <c r="G107" t="e">
        <f>IF(#REF!="Não",#REF!, " ")</f>
        <v>#REF!</v>
      </c>
      <c r="K107" t="e">
        <f>IF(#REF!="Não",#REF!, " ")</f>
        <v>#REF!</v>
      </c>
    </row>
    <row r="108" spans="3:11" x14ac:dyDescent="0.25">
      <c r="C108" t="e">
        <f>IF(#REF!="Não",#REF!, " ")</f>
        <v>#REF!</v>
      </c>
      <c r="G108" t="e">
        <f>IF(#REF!="Não",#REF!, " ")</f>
        <v>#REF!</v>
      </c>
      <c r="K108" t="e">
        <f>IF(#REF!="Não",#REF!, " ")</f>
        <v>#REF!</v>
      </c>
    </row>
    <row r="109" spans="3:11" x14ac:dyDescent="0.25">
      <c r="C109" t="e">
        <f>IF(#REF!="Não",#REF!, " ")</f>
        <v>#REF!</v>
      </c>
      <c r="G109" t="e">
        <f>IF(#REF!="Não",#REF!, " ")</f>
        <v>#REF!</v>
      </c>
      <c r="K109" t="e">
        <f>IF(#REF!="Não",#REF!, " ")</f>
        <v>#REF!</v>
      </c>
    </row>
    <row r="110" spans="3:11" x14ac:dyDescent="0.25">
      <c r="C110" t="e">
        <f>IF(#REF!="Não",#REF!, " ")</f>
        <v>#REF!</v>
      </c>
      <c r="G110" t="e">
        <f>IF(#REF!="Não",#REF!, " ")</f>
        <v>#REF!</v>
      </c>
      <c r="K110" t="e">
        <f>IF(#REF!="Não",#REF!, " ")</f>
        <v>#REF!</v>
      </c>
    </row>
    <row r="111" spans="3:11" x14ac:dyDescent="0.25">
      <c r="C111" t="e">
        <f>IF(#REF!="Não",#REF!, " ")</f>
        <v>#REF!</v>
      </c>
      <c r="G111" t="e">
        <f>IF(#REF!="Não",#REF!, " ")</f>
        <v>#REF!</v>
      </c>
      <c r="K111" t="e">
        <f>IF(#REF!="Não",#REF!, " ")</f>
        <v>#REF!</v>
      </c>
    </row>
    <row r="112" spans="3:11" x14ac:dyDescent="0.25">
      <c r="C112" t="e">
        <f>IF(#REF!="Não",#REF!, " ")</f>
        <v>#REF!</v>
      </c>
      <c r="G112" t="e">
        <f>IF(#REF!="Não",#REF!, " ")</f>
        <v>#REF!</v>
      </c>
      <c r="K112" t="e">
        <f>IF(#REF!="Não",#REF!, " ")</f>
        <v>#REF!</v>
      </c>
    </row>
    <row r="113" spans="3:11" x14ac:dyDescent="0.25">
      <c r="C113" t="e">
        <f>IF(#REF!="Não",#REF!, " ")</f>
        <v>#REF!</v>
      </c>
      <c r="G113" t="e">
        <f>IF(#REF!="Não",#REF!, " ")</f>
        <v>#REF!</v>
      </c>
      <c r="K113" t="e">
        <f>IF(#REF!="Não",#REF!, " ")</f>
        <v>#REF!</v>
      </c>
    </row>
    <row r="114" spans="3:11" x14ac:dyDescent="0.25">
      <c r="C114" t="e">
        <f>IF(#REF!="Não",#REF!, " ")</f>
        <v>#REF!</v>
      </c>
      <c r="G114" t="e">
        <f>IF(#REF!="Não",#REF!, " ")</f>
        <v>#REF!</v>
      </c>
      <c r="K114" t="e">
        <f>IF(#REF!="Não",#REF!, " ")</f>
        <v>#REF!</v>
      </c>
    </row>
    <row r="115" spans="3:11" x14ac:dyDescent="0.25">
      <c r="C115" t="e">
        <f>IF(#REF!="Não",#REF!, " ")</f>
        <v>#REF!</v>
      </c>
      <c r="G115" t="e">
        <f>IF(#REF!="Não",#REF!, " ")</f>
        <v>#REF!</v>
      </c>
      <c r="K115" t="e">
        <f>IF(#REF!="Não",#REF!, " ")</f>
        <v>#REF!</v>
      </c>
    </row>
    <row r="116" spans="3:11" x14ac:dyDescent="0.25">
      <c r="C116" t="e">
        <f>IF(#REF!="Não",#REF!, " ")</f>
        <v>#REF!</v>
      </c>
      <c r="G116" t="e">
        <f>IF(#REF!="Não",#REF!, " ")</f>
        <v>#REF!</v>
      </c>
      <c r="K116" t="e">
        <f>IF(#REF!="Não",#REF!, " ")</f>
        <v>#REF!</v>
      </c>
    </row>
    <row r="117" spans="3:11" x14ac:dyDescent="0.25">
      <c r="C117" t="e">
        <f>IF(#REF!="Não",#REF!, " ")</f>
        <v>#REF!</v>
      </c>
      <c r="G117" t="e">
        <f>IF(#REF!="Não",#REF!, " ")</f>
        <v>#REF!</v>
      </c>
      <c r="K117" t="e">
        <f>IF(#REF!="Não",#REF!, " ")</f>
        <v>#REF!</v>
      </c>
    </row>
    <row r="118" spans="3:11" x14ac:dyDescent="0.25">
      <c r="C118" t="e">
        <f>IF(#REF!="Não",#REF!, " ")</f>
        <v>#REF!</v>
      </c>
      <c r="G118" t="e">
        <f>IF(#REF!="Não",#REF!, " ")</f>
        <v>#REF!</v>
      </c>
      <c r="K118" t="e">
        <f>IF(#REF!="Não",#REF!, " ")</f>
        <v>#REF!</v>
      </c>
    </row>
    <row r="119" spans="3:11" x14ac:dyDescent="0.25">
      <c r="C119" t="e">
        <f>IF(#REF!="Não",#REF!, " ")</f>
        <v>#REF!</v>
      </c>
      <c r="G119" t="e">
        <f>IF(#REF!="Não",#REF!, " ")</f>
        <v>#REF!</v>
      </c>
      <c r="K119" t="e">
        <f>IF(#REF!="Não",#REF!, " ")</f>
        <v>#REF!</v>
      </c>
    </row>
    <row r="120" spans="3:11" x14ac:dyDescent="0.25">
      <c r="C120" t="e">
        <f>IF(#REF!="Não",#REF!, " ")</f>
        <v>#REF!</v>
      </c>
      <c r="G120" t="e">
        <f>IF(#REF!="Não",#REF!, " ")</f>
        <v>#REF!</v>
      </c>
      <c r="K120" t="e">
        <f>IF(#REF!="Não",#REF!, " ")</f>
        <v>#REF!</v>
      </c>
    </row>
    <row r="121" spans="3:11" x14ac:dyDescent="0.25">
      <c r="C121" t="e">
        <f>IF(#REF!="Não",#REF!, " ")</f>
        <v>#REF!</v>
      </c>
      <c r="G121" t="e">
        <f>IF(#REF!="Não",#REF!, " ")</f>
        <v>#REF!</v>
      </c>
      <c r="K121" t="e">
        <f>IF(#REF!="Não",#REF!, " ")</f>
        <v>#REF!</v>
      </c>
    </row>
    <row r="122" spans="3:11" x14ac:dyDescent="0.25">
      <c r="C122" t="e">
        <f>IF(#REF!="Não",#REF!, " ")</f>
        <v>#REF!</v>
      </c>
      <c r="G122" t="e">
        <f>IF(#REF!="Não",#REF!, " ")</f>
        <v>#REF!</v>
      </c>
      <c r="K122" t="e">
        <f>IF(#REF!="Não",#REF!, " ")</f>
        <v>#REF!</v>
      </c>
    </row>
    <row r="123" spans="3:11" x14ac:dyDescent="0.25">
      <c r="C123" t="e">
        <f>IF(#REF!="Não",#REF!, " ")</f>
        <v>#REF!</v>
      </c>
      <c r="G123" t="e">
        <f>IF(#REF!="Não",#REF!, " ")</f>
        <v>#REF!</v>
      </c>
      <c r="K123" t="e">
        <f>IF(#REF!="Não",#REF!, " ")</f>
        <v>#REF!</v>
      </c>
    </row>
    <row r="124" spans="3:11" x14ac:dyDescent="0.25">
      <c r="C124" t="e">
        <f>IF(#REF!="Não",#REF!, " ")</f>
        <v>#REF!</v>
      </c>
      <c r="G124" t="e">
        <f>IF(#REF!="Não",#REF!, " ")</f>
        <v>#REF!</v>
      </c>
      <c r="K124" t="e">
        <f>IF(#REF!="Não",#REF!, " ")</f>
        <v>#REF!</v>
      </c>
    </row>
    <row r="125" spans="3:11" x14ac:dyDescent="0.25">
      <c r="C125" t="e">
        <f>IF(#REF!="Não",#REF!, " ")</f>
        <v>#REF!</v>
      </c>
      <c r="G125" t="e">
        <f>IF(#REF!="Não",#REF!, " ")</f>
        <v>#REF!</v>
      </c>
      <c r="K125" t="e">
        <f>IF(#REF!="Não",#REF!, " ")</f>
        <v>#REF!</v>
      </c>
    </row>
    <row r="126" spans="3:11" x14ac:dyDescent="0.25">
      <c r="C126" t="e">
        <f>IF(#REF!="Não",#REF!, " ")</f>
        <v>#REF!</v>
      </c>
      <c r="G126" t="e">
        <f>IF(#REF!="Não",#REF!, " ")</f>
        <v>#REF!</v>
      </c>
      <c r="K126" t="e">
        <f>IF(#REF!="Não",#REF!, " ")</f>
        <v>#REF!</v>
      </c>
    </row>
    <row r="127" spans="3:11" x14ac:dyDescent="0.25">
      <c r="C127" t="e">
        <f>IF(#REF!="Não",#REF!, " ")</f>
        <v>#REF!</v>
      </c>
      <c r="G127" t="e">
        <f>IF(#REF!="Não",#REF!, " ")</f>
        <v>#REF!</v>
      </c>
      <c r="K127" t="e">
        <f>IF(#REF!="Não",#REF!, " ")</f>
        <v>#REF!</v>
      </c>
    </row>
    <row r="128" spans="3:11" x14ac:dyDescent="0.25">
      <c r="C128" t="e">
        <f>IF(#REF!="Não",#REF!, " ")</f>
        <v>#REF!</v>
      </c>
      <c r="G128" t="e">
        <f>IF(#REF!="Não",#REF!, " ")</f>
        <v>#REF!</v>
      </c>
      <c r="K128" t="e">
        <f>IF(#REF!="Não",#REF!, " ")</f>
        <v>#REF!</v>
      </c>
    </row>
    <row r="129" spans="3:11" x14ac:dyDescent="0.25">
      <c r="C129" t="e">
        <f>IF(#REF!="Não",#REF!, " ")</f>
        <v>#REF!</v>
      </c>
      <c r="G129" t="e">
        <f>IF(#REF!="Não",#REF!, " ")</f>
        <v>#REF!</v>
      </c>
      <c r="K129" t="e">
        <f>IF(#REF!="Não",#REF!, " ")</f>
        <v>#REF!</v>
      </c>
    </row>
    <row r="130" spans="3:11" x14ac:dyDescent="0.25">
      <c r="C130" t="e">
        <f>IF(#REF!="Não",#REF!, " ")</f>
        <v>#REF!</v>
      </c>
      <c r="G130" t="e">
        <f>IF(#REF!="Não",#REF!, " ")</f>
        <v>#REF!</v>
      </c>
      <c r="K130" t="e">
        <f>IF(#REF!="Não",#REF!, " ")</f>
        <v>#REF!</v>
      </c>
    </row>
    <row r="131" spans="3:11" x14ac:dyDescent="0.25">
      <c r="C131" t="e">
        <f>IF(#REF!="Não",#REF!, " ")</f>
        <v>#REF!</v>
      </c>
      <c r="G131" t="e">
        <f>IF(#REF!="Não",#REF!, " ")</f>
        <v>#REF!</v>
      </c>
      <c r="K131" t="e">
        <f>IF(#REF!="Não",#REF!, " ")</f>
        <v>#REF!</v>
      </c>
    </row>
    <row r="132" spans="3:11" x14ac:dyDescent="0.25">
      <c r="C132" t="e">
        <f>IF(#REF!="Não",#REF!, " ")</f>
        <v>#REF!</v>
      </c>
      <c r="G132" t="e">
        <f>IF(#REF!="Não",#REF!, " ")</f>
        <v>#REF!</v>
      </c>
      <c r="K132" t="e">
        <f>IF(#REF!="Não",#REF!, " ")</f>
        <v>#REF!</v>
      </c>
    </row>
    <row r="133" spans="3:11" x14ac:dyDescent="0.25">
      <c r="C133" t="e">
        <f>IF(#REF!="Não",#REF!, " ")</f>
        <v>#REF!</v>
      </c>
      <c r="G133" t="e">
        <f>IF(#REF!="Não",#REF!, " ")</f>
        <v>#REF!</v>
      </c>
      <c r="K133" t="e">
        <f>IF(#REF!="Não",#REF!, " ")</f>
        <v>#REF!</v>
      </c>
    </row>
    <row r="134" spans="3:11" x14ac:dyDescent="0.25">
      <c r="C134" t="e">
        <f>IF(#REF!="Não",#REF!, " ")</f>
        <v>#REF!</v>
      </c>
      <c r="G134" t="e">
        <f>IF(#REF!="Não",#REF!, " ")</f>
        <v>#REF!</v>
      </c>
      <c r="K134" t="e">
        <f>IF(#REF!="Não",#REF!, " ")</f>
        <v>#REF!</v>
      </c>
    </row>
    <row r="135" spans="3:11" x14ac:dyDescent="0.25">
      <c r="C135" t="e">
        <f>IF(#REF!="Não",#REF!, " ")</f>
        <v>#REF!</v>
      </c>
      <c r="G135" t="e">
        <f>IF(#REF!="Não",#REF!, " ")</f>
        <v>#REF!</v>
      </c>
      <c r="K135" t="e">
        <f>IF(#REF!="Não",#REF!, " ")</f>
        <v>#REF!</v>
      </c>
    </row>
    <row r="136" spans="3:11" x14ac:dyDescent="0.25">
      <c r="C136" t="e">
        <f>IF(#REF!="Não",#REF!, " ")</f>
        <v>#REF!</v>
      </c>
      <c r="G136" t="e">
        <f>IF(#REF!="Não",#REF!, " ")</f>
        <v>#REF!</v>
      </c>
      <c r="K136" t="e">
        <f>IF(#REF!="Não",#REF!, " ")</f>
        <v>#REF!</v>
      </c>
    </row>
    <row r="137" spans="3:11" x14ac:dyDescent="0.25">
      <c r="C137" t="e">
        <f>IF(#REF!="Não",#REF!, " ")</f>
        <v>#REF!</v>
      </c>
      <c r="G137" t="e">
        <f>IF(#REF!="Não",#REF!, " ")</f>
        <v>#REF!</v>
      </c>
      <c r="K137" t="e">
        <f>IF(#REF!="Não",#REF!, " ")</f>
        <v>#REF!</v>
      </c>
    </row>
    <row r="138" spans="3:11" x14ac:dyDescent="0.25">
      <c r="C138" t="e">
        <f>IF(#REF!="Não",#REF!, " ")</f>
        <v>#REF!</v>
      </c>
      <c r="G138" t="e">
        <f>IF(#REF!="Não",#REF!, " ")</f>
        <v>#REF!</v>
      </c>
      <c r="K138" t="e">
        <f>IF(#REF!="Não",#REF!, " ")</f>
        <v>#REF!</v>
      </c>
    </row>
    <row r="139" spans="3:11" x14ac:dyDescent="0.25">
      <c r="C139" t="e">
        <f>IF(#REF!="Não",#REF!, " ")</f>
        <v>#REF!</v>
      </c>
      <c r="G139" t="e">
        <f>IF(#REF!="Não",#REF!, " ")</f>
        <v>#REF!</v>
      </c>
      <c r="K139" t="e">
        <f>IF(#REF!="Não",#REF!, " ")</f>
        <v>#REF!</v>
      </c>
    </row>
    <row r="140" spans="3:11" x14ac:dyDescent="0.25">
      <c r="C140" t="e">
        <f>IF(#REF!="Não",#REF!, " ")</f>
        <v>#REF!</v>
      </c>
      <c r="G140" t="e">
        <f>IF(#REF!="Não",#REF!, " ")</f>
        <v>#REF!</v>
      </c>
      <c r="K140" t="e">
        <f>IF(#REF!="Não",#REF!, " ")</f>
        <v>#REF!</v>
      </c>
    </row>
    <row r="141" spans="3:11" x14ac:dyDescent="0.25">
      <c r="C141" t="e">
        <f>IF(#REF!="Não",#REF!, " ")</f>
        <v>#REF!</v>
      </c>
      <c r="G141" t="e">
        <f>IF(#REF!="Não",#REF!, " ")</f>
        <v>#REF!</v>
      </c>
      <c r="K141" t="e">
        <f>IF(#REF!="Não",#REF!, " ")</f>
        <v>#REF!</v>
      </c>
    </row>
    <row r="142" spans="3:11" x14ac:dyDescent="0.25">
      <c r="C142" t="e">
        <f>IF(#REF!="Não",#REF!, " ")</f>
        <v>#REF!</v>
      </c>
      <c r="G142" t="e">
        <f>IF(#REF!="Não",#REF!, " ")</f>
        <v>#REF!</v>
      </c>
      <c r="K142" t="e">
        <f>IF(#REF!="Não",#REF!, " ")</f>
        <v>#REF!</v>
      </c>
    </row>
    <row r="143" spans="3:11" x14ac:dyDescent="0.25">
      <c r="C143" t="e">
        <f>IF(#REF!="Não",#REF!, " ")</f>
        <v>#REF!</v>
      </c>
      <c r="G143" t="e">
        <f>IF(#REF!="Não",#REF!, " ")</f>
        <v>#REF!</v>
      </c>
      <c r="K143" t="e">
        <f>IF(#REF!="Não",#REF!, " ")</f>
        <v>#REF!</v>
      </c>
    </row>
  </sheetData>
  <mergeCells count="6">
    <mergeCell ref="U1:W2"/>
    <mergeCell ref="A1:C2"/>
    <mergeCell ref="E1:G2"/>
    <mergeCell ref="I1:K2"/>
    <mergeCell ref="M1:O2"/>
    <mergeCell ref="Q1:S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6543C-B334-4041-ADD5-0CA0CB9E4A63}">
  <dimension ref="A1:G100"/>
  <sheetViews>
    <sheetView topLeftCell="A36" workbookViewId="0">
      <selection activeCell="C67" sqref="B67:C67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8" t="s">
        <v>91</v>
      </c>
      <c r="B1" s="18"/>
      <c r="C1" s="18"/>
      <c r="D1" s="18"/>
      <c r="E1" s="18"/>
      <c r="F1" s="18"/>
      <c r="G1" s="18"/>
    </row>
    <row r="2" spans="1:7" x14ac:dyDescent="0.25">
      <c r="A2" s="4" t="s">
        <v>0</v>
      </c>
      <c r="B2" s="4" t="s">
        <v>8</v>
      </c>
      <c r="C2" s="4" t="s">
        <v>9</v>
      </c>
      <c r="D2" s="4" t="s">
        <v>7</v>
      </c>
    </row>
    <row r="3" spans="1:7" x14ac:dyDescent="0.25">
      <c r="A3" t="s">
        <v>1</v>
      </c>
      <c r="B3" t="s">
        <v>56</v>
      </c>
      <c r="C3" t="s">
        <v>56</v>
      </c>
      <c r="D3" t="str">
        <f>IF(B3=C3, "Sim", "Não")</f>
        <v>Sim</v>
      </c>
      <c r="F3" s="4" t="s">
        <v>10</v>
      </c>
      <c r="G3" s="3">
        <f>COUNTIF(D3:D105,"Não")</f>
        <v>15</v>
      </c>
    </row>
    <row r="4" spans="1:7" x14ac:dyDescent="0.25">
      <c r="A4" t="s">
        <v>1</v>
      </c>
      <c r="B4" t="s">
        <v>56</v>
      </c>
      <c r="C4" t="s">
        <v>56</v>
      </c>
      <c r="D4" t="str">
        <f t="shared" ref="D4:D67" si="0">IF(B4=C4, "Sim", "Não")</f>
        <v>Sim</v>
      </c>
      <c r="F4" s="4" t="s">
        <v>11</v>
      </c>
      <c r="G4" s="3">
        <f>SUM(G7:G25)</f>
        <v>75</v>
      </c>
    </row>
    <row r="5" spans="1:7" x14ac:dyDescent="0.25">
      <c r="A5" t="s">
        <v>1</v>
      </c>
      <c r="B5" t="s">
        <v>56</v>
      </c>
      <c r="C5" t="s">
        <v>56</v>
      </c>
      <c r="D5" t="str">
        <f t="shared" si="0"/>
        <v>Sim</v>
      </c>
    </row>
    <row r="6" spans="1:7" x14ac:dyDescent="0.25">
      <c r="A6" t="s">
        <v>1</v>
      </c>
      <c r="B6" t="s">
        <v>56</v>
      </c>
      <c r="C6" t="s">
        <v>56</v>
      </c>
      <c r="D6" t="str">
        <f t="shared" si="0"/>
        <v>Sim</v>
      </c>
      <c r="F6" s="6" t="s">
        <v>3</v>
      </c>
      <c r="G6" s="1"/>
    </row>
    <row r="7" spans="1:7" x14ac:dyDescent="0.25">
      <c r="A7" t="s">
        <v>1</v>
      </c>
      <c r="B7" t="s">
        <v>65</v>
      </c>
      <c r="C7" t="s">
        <v>65</v>
      </c>
      <c r="D7" t="str">
        <f t="shared" si="0"/>
        <v>Sim</v>
      </c>
      <c r="F7" s="7" t="s">
        <v>1</v>
      </c>
      <c r="G7" s="2">
        <f>COUNTIF(A:A,F7)</f>
        <v>21</v>
      </c>
    </row>
    <row r="8" spans="1:7" x14ac:dyDescent="0.25">
      <c r="A8" t="s">
        <v>1</v>
      </c>
      <c r="B8" t="s">
        <v>65</v>
      </c>
      <c r="C8" t="s">
        <v>65</v>
      </c>
      <c r="D8" t="str">
        <f t="shared" si="0"/>
        <v>Sim</v>
      </c>
      <c r="F8" s="7" t="s">
        <v>17</v>
      </c>
      <c r="G8" s="2">
        <f t="shared" ref="G8:G12" si="1">COUNTIF(A:A,F8)</f>
        <v>20</v>
      </c>
    </row>
    <row r="9" spans="1:7" x14ac:dyDescent="0.25">
      <c r="A9" t="s">
        <v>1</v>
      </c>
      <c r="B9" t="s">
        <v>65</v>
      </c>
      <c r="C9" t="s">
        <v>65</v>
      </c>
      <c r="D9" t="str">
        <f t="shared" si="0"/>
        <v>Sim</v>
      </c>
      <c r="F9" s="7" t="s">
        <v>4</v>
      </c>
      <c r="G9" s="2">
        <f t="shared" si="1"/>
        <v>8</v>
      </c>
    </row>
    <row r="10" spans="1:7" x14ac:dyDescent="0.25">
      <c r="A10" t="s">
        <v>1</v>
      </c>
      <c r="B10" t="s">
        <v>38</v>
      </c>
      <c r="C10" t="s">
        <v>38</v>
      </c>
      <c r="D10" t="str">
        <f t="shared" si="0"/>
        <v>Sim</v>
      </c>
      <c r="F10" s="7" t="s">
        <v>72</v>
      </c>
      <c r="G10" s="2">
        <f t="shared" si="1"/>
        <v>9</v>
      </c>
    </row>
    <row r="11" spans="1:7" x14ac:dyDescent="0.25">
      <c r="A11" t="s">
        <v>1</v>
      </c>
      <c r="B11" t="s">
        <v>13</v>
      </c>
      <c r="C11" t="s">
        <v>13</v>
      </c>
      <c r="D11" t="str">
        <f t="shared" si="0"/>
        <v>Sim</v>
      </c>
      <c r="F11" s="7" t="s">
        <v>14</v>
      </c>
      <c r="G11" s="2">
        <f t="shared" si="1"/>
        <v>2</v>
      </c>
    </row>
    <row r="12" spans="1:7" x14ac:dyDescent="0.25">
      <c r="A12" t="s">
        <v>1</v>
      </c>
      <c r="B12" t="s">
        <v>13</v>
      </c>
      <c r="C12" t="s">
        <v>13</v>
      </c>
      <c r="D12" t="str">
        <f t="shared" si="0"/>
        <v>Sim</v>
      </c>
      <c r="F12" s="7" t="s">
        <v>57</v>
      </c>
      <c r="G12" s="2">
        <f t="shared" si="1"/>
        <v>15</v>
      </c>
    </row>
    <row r="13" spans="1:7" x14ac:dyDescent="0.25">
      <c r="A13" t="s">
        <v>1</v>
      </c>
      <c r="B13" t="s">
        <v>13</v>
      </c>
      <c r="C13" t="s">
        <v>13</v>
      </c>
      <c r="D13" t="str">
        <f t="shared" si="0"/>
        <v>Sim</v>
      </c>
      <c r="F13" s="7"/>
      <c r="G13" s="2"/>
    </row>
    <row r="14" spans="1:7" x14ac:dyDescent="0.25">
      <c r="A14" t="s">
        <v>1</v>
      </c>
      <c r="B14" t="s">
        <v>13</v>
      </c>
      <c r="C14" t="s">
        <v>13</v>
      </c>
      <c r="D14" t="str">
        <f t="shared" si="0"/>
        <v>Sim</v>
      </c>
      <c r="F14" s="7"/>
      <c r="G14" s="2"/>
    </row>
    <row r="15" spans="1:7" x14ac:dyDescent="0.25">
      <c r="A15" t="s">
        <v>1</v>
      </c>
      <c r="B15" t="s">
        <v>13</v>
      </c>
      <c r="C15" t="s">
        <v>13</v>
      </c>
      <c r="D15" t="str">
        <f t="shared" si="0"/>
        <v>Sim</v>
      </c>
      <c r="F15" s="4"/>
      <c r="G15" s="2"/>
    </row>
    <row r="16" spans="1:7" x14ac:dyDescent="0.25">
      <c r="A16" t="s">
        <v>1</v>
      </c>
      <c r="B16" t="s">
        <v>13</v>
      </c>
      <c r="C16" t="s">
        <v>13</v>
      </c>
      <c r="D16" t="str">
        <f t="shared" si="0"/>
        <v>Sim</v>
      </c>
      <c r="F16" s="4"/>
      <c r="G16" s="2"/>
    </row>
    <row r="17" spans="1:4" x14ac:dyDescent="0.25">
      <c r="A17" t="s">
        <v>1</v>
      </c>
      <c r="B17" t="s">
        <v>20</v>
      </c>
      <c r="C17" t="s">
        <v>20</v>
      </c>
      <c r="D17" t="str">
        <f t="shared" si="0"/>
        <v>Sim</v>
      </c>
    </row>
    <row r="18" spans="1:4" x14ac:dyDescent="0.25">
      <c r="A18" t="s">
        <v>1</v>
      </c>
      <c r="B18" t="s">
        <v>20</v>
      </c>
      <c r="C18" t="s">
        <v>20</v>
      </c>
      <c r="D18" t="str">
        <f t="shared" si="0"/>
        <v>Sim</v>
      </c>
    </row>
    <row r="19" spans="1:4" x14ac:dyDescent="0.25">
      <c r="A19" t="s">
        <v>1</v>
      </c>
      <c r="B19" t="s">
        <v>20</v>
      </c>
      <c r="C19" t="s">
        <v>20</v>
      </c>
      <c r="D19" t="str">
        <f t="shared" si="0"/>
        <v>Sim</v>
      </c>
    </row>
    <row r="20" spans="1:4" x14ac:dyDescent="0.25">
      <c r="A20" t="s">
        <v>1</v>
      </c>
      <c r="B20" t="s">
        <v>20</v>
      </c>
      <c r="C20" t="s">
        <v>20</v>
      </c>
      <c r="D20" t="str">
        <f t="shared" si="0"/>
        <v>Sim</v>
      </c>
    </row>
    <row r="21" spans="1:4" x14ac:dyDescent="0.25">
      <c r="A21" t="s">
        <v>1</v>
      </c>
      <c r="B21" t="s">
        <v>20</v>
      </c>
      <c r="C21" t="s">
        <v>20</v>
      </c>
      <c r="D21" t="str">
        <f t="shared" si="0"/>
        <v>Sim</v>
      </c>
    </row>
    <row r="22" spans="1:4" x14ac:dyDescent="0.25">
      <c r="A22" t="s">
        <v>1</v>
      </c>
      <c r="B22" t="s">
        <v>66</v>
      </c>
      <c r="C22" t="s">
        <v>66</v>
      </c>
      <c r="D22" t="str">
        <f t="shared" si="0"/>
        <v>Sim</v>
      </c>
    </row>
    <row r="23" spans="1:4" x14ac:dyDescent="0.25">
      <c r="A23" t="s">
        <v>1</v>
      </c>
      <c r="B23" t="s">
        <v>66</v>
      </c>
      <c r="C23" t="s">
        <v>66</v>
      </c>
      <c r="D23" t="str">
        <f t="shared" si="0"/>
        <v>Sim</v>
      </c>
    </row>
    <row r="24" spans="1:4" x14ac:dyDescent="0.25">
      <c r="A24" t="s">
        <v>17</v>
      </c>
      <c r="B24" t="s">
        <v>31</v>
      </c>
      <c r="C24" t="s">
        <v>31</v>
      </c>
      <c r="D24" t="str">
        <f t="shared" si="0"/>
        <v>Sim</v>
      </c>
    </row>
    <row r="25" spans="1:4" x14ac:dyDescent="0.25">
      <c r="A25" t="s">
        <v>17</v>
      </c>
      <c r="B25" t="s">
        <v>31</v>
      </c>
      <c r="C25" t="s">
        <v>31</v>
      </c>
      <c r="D25" t="str">
        <f t="shared" si="0"/>
        <v>Sim</v>
      </c>
    </row>
    <row r="26" spans="1:4" x14ac:dyDescent="0.25">
      <c r="A26" t="s">
        <v>17</v>
      </c>
      <c r="B26" t="s">
        <v>31</v>
      </c>
      <c r="C26" t="s">
        <v>31</v>
      </c>
      <c r="D26" t="str">
        <f t="shared" si="0"/>
        <v>Sim</v>
      </c>
    </row>
    <row r="27" spans="1:4" x14ac:dyDescent="0.25">
      <c r="A27" t="s">
        <v>17</v>
      </c>
      <c r="B27" t="s">
        <v>31</v>
      </c>
      <c r="C27" t="s">
        <v>31</v>
      </c>
      <c r="D27" t="str">
        <f t="shared" si="0"/>
        <v>Sim</v>
      </c>
    </row>
    <row r="28" spans="1:4" x14ac:dyDescent="0.25">
      <c r="A28" t="s">
        <v>17</v>
      </c>
      <c r="B28" t="s">
        <v>67</v>
      </c>
      <c r="C28" t="s">
        <v>67</v>
      </c>
      <c r="D28" t="str">
        <f t="shared" si="0"/>
        <v>Sim</v>
      </c>
    </row>
    <row r="29" spans="1:4" x14ac:dyDescent="0.25">
      <c r="A29" t="s">
        <v>17</v>
      </c>
      <c r="B29" t="s">
        <v>67</v>
      </c>
      <c r="C29" t="s">
        <v>67</v>
      </c>
      <c r="D29" t="str">
        <f t="shared" si="0"/>
        <v>Sim</v>
      </c>
    </row>
    <row r="30" spans="1:4" x14ac:dyDescent="0.25">
      <c r="A30" t="s">
        <v>17</v>
      </c>
      <c r="B30" t="s">
        <v>67</v>
      </c>
      <c r="C30" t="s">
        <v>67</v>
      </c>
      <c r="D30" t="str">
        <f t="shared" si="0"/>
        <v>Sim</v>
      </c>
    </row>
    <row r="31" spans="1:4" x14ac:dyDescent="0.25">
      <c r="A31" t="s">
        <v>17</v>
      </c>
      <c r="B31" t="s">
        <v>67</v>
      </c>
      <c r="C31" t="s">
        <v>67</v>
      </c>
      <c r="D31" t="str">
        <f t="shared" si="0"/>
        <v>Sim</v>
      </c>
    </row>
    <row r="32" spans="1:4" x14ac:dyDescent="0.25">
      <c r="A32" t="s">
        <v>17</v>
      </c>
      <c r="B32" t="s">
        <v>32</v>
      </c>
      <c r="C32" t="s">
        <v>32</v>
      </c>
      <c r="D32" t="str">
        <f t="shared" si="0"/>
        <v>Sim</v>
      </c>
    </row>
    <row r="33" spans="1:4" x14ac:dyDescent="0.25">
      <c r="A33" t="s">
        <v>17</v>
      </c>
      <c r="B33" t="s">
        <v>32</v>
      </c>
      <c r="C33" t="s">
        <v>32</v>
      </c>
      <c r="D33" t="str">
        <f t="shared" si="0"/>
        <v>Sim</v>
      </c>
    </row>
    <row r="34" spans="1:4" x14ac:dyDescent="0.25">
      <c r="A34" t="s">
        <v>17</v>
      </c>
      <c r="B34" t="s">
        <v>32</v>
      </c>
      <c r="C34" t="s">
        <v>32</v>
      </c>
      <c r="D34" t="str">
        <f t="shared" si="0"/>
        <v>Sim</v>
      </c>
    </row>
    <row r="35" spans="1:4" x14ac:dyDescent="0.25">
      <c r="A35" t="s">
        <v>17</v>
      </c>
      <c r="B35" t="s">
        <v>32</v>
      </c>
      <c r="C35" t="s">
        <v>32</v>
      </c>
      <c r="D35" t="str">
        <f t="shared" si="0"/>
        <v>Sim</v>
      </c>
    </row>
    <row r="36" spans="1:4" x14ac:dyDescent="0.25">
      <c r="A36" t="s">
        <v>17</v>
      </c>
      <c r="B36" t="s">
        <v>68</v>
      </c>
      <c r="C36" t="s">
        <v>68</v>
      </c>
      <c r="D36" t="str">
        <f t="shared" si="0"/>
        <v>Sim</v>
      </c>
    </row>
    <row r="37" spans="1:4" x14ac:dyDescent="0.25">
      <c r="A37" t="s">
        <v>17</v>
      </c>
      <c r="B37" t="s">
        <v>68</v>
      </c>
      <c r="C37" t="s">
        <v>68</v>
      </c>
      <c r="D37" t="str">
        <f t="shared" si="0"/>
        <v>Sim</v>
      </c>
    </row>
    <row r="38" spans="1:4" x14ac:dyDescent="0.25">
      <c r="A38" t="s">
        <v>17</v>
      </c>
      <c r="B38" t="s">
        <v>68</v>
      </c>
      <c r="C38" t="s">
        <v>68</v>
      </c>
      <c r="D38" t="str">
        <f t="shared" si="0"/>
        <v>Sim</v>
      </c>
    </row>
    <row r="39" spans="1:4" x14ac:dyDescent="0.25">
      <c r="A39" t="s">
        <v>17</v>
      </c>
      <c r="B39" t="s">
        <v>68</v>
      </c>
      <c r="C39" t="s">
        <v>68</v>
      </c>
      <c r="D39" t="str">
        <f t="shared" si="0"/>
        <v>Sim</v>
      </c>
    </row>
    <row r="40" spans="1:4" x14ac:dyDescent="0.25">
      <c r="A40" t="s">
        <v>17</v>
      </c>
      <c r="B40" t="s">
        <v>69</v>
      </c>
      <c r="C40" t="s">
        <v>69</v>
      </c>
      <c r="D40" t="str">
        <f t="shared" si="0"/>
        <v>Sim</v>
      </c>
    </row>
    <row r="41" spans="1:4" x14ac:dyDescent="0.25">
      <c r="A41" t="s">
        <v>17</v>
      </c>
      <c r="B41" t="s">
        <v>69</v>
      </c>
      <c r="C41" t="s">
        <v>69</v>
      </c>
      <c r="D41" t="str">
        <f t="shared" si="0"/>
        <v>Sim</v>
      </c>
    </row>
    <row r="42" spans="1:4" x14ac:dyDescent="0.25">
      <c r="A42" t="s">
        <v>17</v>
      </c>
      <c r="B42" t="s">
        <v>69</v>
      </c>
      <c r="C42" t="s">
        <v>69</v>
      </c>
      <c r="D42" t="str">
        <f t="shared" si="0"/>
        <v>Sim</v>
      </c>
    </row>
    <row r="43" spans="1:4" x14ac:dyDescent="0.25">
      <c r="A43" t="s">
        <v>17</v>
      </c>
      <c r="B43" t="s">
        <v>69</v>
      </c>
      <c r="C43" t="s">
        <v>69</v>
      </c>
      <c r="D43" t="str">
        <f t="shared" si="0"/>
        <v>Sim</v>
      </c>
    </row>
    <row r="44" spans="1:4" x14ac:dyDescent="0.25">
      <c r="A44" t="s">
        <v>4</v>
      </c>
      <c r="B44" t="s">
        <v>70</v>
      </c>
      <c r="C44" t="s">
        <v>70</v>
      </c>
      <c r="D44" t="str">
        <f t="shared" si="0"/>
        <v>Sim</v>
      </c>
    </row>
    <row r="45" spans="1:4" x14ac:dyDescent="0.25">
      <c r="A45" t="s">
        <v>4</v>
      </c>
      <c r="B45" t="s">
        <v>70</v>
      </c>
      <c r="C45" t="s">
        <v>70</v>
      </c>
      <c r="D45" t="str">
        <f t="shared" si="0"/>
        <v>Sim</v>
      </c>
    </row>
    <row r="46" spans="1:4" x14ac:dyDescent="0.25">
      <c r="A46" t="s">
        <v>4</v>
      </c>
      <c r="B46" t="s">
        <v>70</v>
      </c>
      <c r="C46" t="s">
        <v>70</v>
      </c>
      <c r="D46" t="str">
        <f t="shared" si="0"/>
        <v>Sim</v>
      </c>
    </row>
    <row r="47" spans="1:4" x14ac:dyDescent="0.25">
      <c r="A47" t="s">
        <v>4</v>
      </c>
      <c r="B47" t="s">
        <v>70</v>
      </c>
      <c r="C47" t="s">
        <v>70</v>
      </c>
      <c r="D47" t="str">
        <f t="shared" si="0"/>
        <v>Sim</v>
      </c>
    </row>
    <row r="48" spans="1:4" x14ac:dyDescent="0.25">
      <c r="A48" t="s">
        <v>4</v>
      </c>
      <c r="B48" t="s">
        <v>71</v>
      </c>
      <c r="C48" t="s">
        <v>71</v>
      </c>
      <c r="D48" t="str">
        <f t="shared" si="0"/>
        <v>Sim</v>
      </c>
    </row>
    <row r="49" spans="1:4" x14ac:dyDescent="0.25">
      <c r="A49" t="s">
        <v>4</v>
      </c>
      <c r="B49" t="s">
        <v>71</v>
      </c>
      <c r="C49" t="s">
        <v>71</v>
      </c>
      <c r="D49" t="str">
        <f t="shared" si="0"/>
        <v>Sim</v>
      </c>
    </row>
    <row r="50" spans="1:4" x14ac:dyDescent="0.25">
      <c r="A50" t="s">
        <v>4</v>
      </c>
      <c r="B50" t="s">
        <v>71</v>
      </c>
      <c r="C50" t="s">
        <v>71</v>
      </c>
      <c r="D50" t="str">
        <f t="shared" si="0"/>
        <v>Sim</v>
      </c>
    </row>
    <row r="51" spans="1:4" x14ac:dyDescent="0.25">
      <c r="A51" t="s">
        <v>4</v>
      </c>
      <c r="B51" t="s">
        <v>71</v>
      </c>
      <c r="C51" t="s">
        <v>71</v>
      </c>
      <c r="D51" t="str">
        <f t="shared" si="0"/>
        <v>Sim</v>
      </c>
    </row>
    <row r="52" spans="1:4" x14ac:dyDescent="0.25">
      <c r="A52" t="s">
        <v>72</v>
      </c>
      <c r="B52" t="s">
        <v>73</v>
      </c>
      <c r="C52" t="s">
        <v>73</v>
      </c>
      <c r="D52" t="str">
        <f t="shared" si="0"/>
        <v>Sim</v>
      </c>
    </row>
    <row r="53" spans="1:4" x14ac:dyDescent="0.25">
      <c r="A53" t="s">
        <v>72</v>
      </c>
      <c r="B53" t="s">
        <v>75</v>
      </c>
      <c r="C53" t="s">
        <v>74</v>
      </c>
      <c r="D53" t="str">
        <f t="shared" si="0"/>
        <v>Não</v>
      </c>
    </row>
    <row r="54" spans="1:4" x14ac:dyDescent="0.25">
      <c r="A54" t="s">
        <v>72</v>
      </c>
      <c r="B54" t="s">
        <v>74</v>
      </c>
      <c r="C54" t="s">
        <v>74</v>
      </c>
      <c r="D54" t="str">
        <f t="shared" si="0"/>
        <v>Sim</v>
      </c>
    </row>
    <row r="55" spans="1:4" x14ac:dyDescent="0.25">
      <c r="A55" t="s">
        <v>72</v>
      </c>
      <c r="B55" t="s">
        <v>74</v>
      </c>
      <c r="C55" t="s">
        <v>74</v>
      </c>
      <c r="D55" t="str">
        <f t="shared" si="0"/>
        <v>Sim</v>
      </c>
    </row>
    <row r="56" spans="1:4" x14ac:dyDescent="0.25">
      <c r="A56" t="s">
        <v>72</v>
      </c>
      <c r="B56" t="s">
        <v>74</v>
      </c>
      <c r="C56" t="s">
        <v>74</v>
      </c>
      <c r="D56" t="str">
        <f t="shared" si="0"/>
        <v>Sim</v>
      </c>
    </row>
    <row r="57" spans="1:4" x14ac:dyDescent="0.25">
      <c r="A57" t="s">
        <v>72</v>
      </c>
      <c r="B57" t="s">
        <v>76</v>
      </c>
      <c r="C57" t="s">
        <v>76</v>
      </c>
      <c r="D57" t="str">
        <f t="shared" si="0"/>
        <v>Sim</v>
      </c>
    </row>
    <row r="58" spans="1:4" x14ac:dyDescent="0.25">
      <c r="A58" t="s">
        <v>72</v>
      </c>
      <c r="B58" t="s">
        <v>76</v>
      </c>
      <c r="C58" t="s">
        <v>76</v>
      </c>
      <c r="D58" t="str">
        <f t="shared" si="0"/>
        <v>Sim</v>
      </c>
    </row>
    <row r="59" spans="1:4" x14ac:dyDescent="0.25">
      <c r="A59" t="s">
        <v>72</v>
      </c>
      <c r="B59" t="s">
        <v>76</v>
      </c>
      <c r="C59" t="s">
        <v>76</v>
      </c>
      <c r="D59" t="str">
        <f t="shared" si="0"/>
        <v>Sim</v>
      </c>
    </row>
    <row r="60" spans="1:4" x14ac:dyDescent="0.25">
      <c r="A60" t="s">
        <v>72</v>
      </c>
      <c r="B60" t="s">
        <v>76</v>
      </c>
      <c r="C60" t="s">
        <v>76</v>
      </c>
      <c r="D60" t="str">
        <f t="shared" si="0"/>
        <v>Sim</v>
      </c>
    </row>
    <row r="61" spans="1:4" x14ac:dyDescent="0.25">
      <c r="A61" t="s">
        <v>14</v>
      </c>
      <c r="B61" t="s">
        <v>39</v>
      </c>
      <c r="C61" t="s">
        <v>39</v>
      </c>
      <c r="D61" t="str">
        <f t="shared" si="0"/>
        <v>Sim</v>
      </c>
    </row>
    <row r="62" spans="1:4" x14ac:dyDescent="0.25">
      <c r="A62" t="s">
        <v>14</v>
      </c>
      <c r="B62" t="s">
        <v>39</v>
      </c>
      <c r="C62" t="s">
        <v>39</v>
      </c>
      <c r="D62" t="str">
        <f t="shared" si="0"/>
        <v>Sim</v>
      </c>
    </row>
    <row r="63" spans="1:4" x14ac:dyDescent="0.25">
      <c r="A63" t="s">
        <v>57</v>
      </c>
      <c r="C63" t="s">
        <v>39</v>
      </c>
      <c r="D63" t="str">
        <f t="shared" si="0"/>
        <v>Não</v>
      </c>
    </row>
    <row r="64" spans="1:4" x14ac:dyDescent="0.25">
      <c r="A64" t="s">
        <v>57</v>
      </c>
      <c r="C64" t="s">
        <v>39</v>
      </c>
      <c r="D64" t="str">
        <f t="shared" si="0"/>
        <v>Não</v>
      </c>
    </row>
    <row r="65" spans="1:4" x14ac:dyDescent="0.25">
      <c r="A65" t="s">
        <v>57</v>
      </c>
      <c r="C65" t="s">
        <v>77</v>
      </c>
      <c r="D65" t="str">
        <f t="shared" si="0"/>
        <v>Não</v>
      </c>
    </row>
    <row r="66" spans="1:4" x14ac:dyDescent="0.25">
      <c r="A66" t="s">
        <v>57</v>
      </c>
      <c r="C66" t="s">
        <v>77</v>
      </c>
      <c r="D66" t="str">
        <f t="shared" si="0"/>
        <v>Não</v>
      </c>
    </row>
    <row r="67" spans="1:4" x14ac:dyDescent="0.25">
      <c r="A67" t="s">
        <v>57</v>
      </c>
      <c r="B67" t="s">
        <v>78</v>
      </c>
      <c r="C67" t="s">
        <v>78</v>
      </c>
      <c r="D67" t="str">
        <f t="shared" si="0"/>
        <v>Sim</v>
      </c>
    </row>
    <row r="68" spans="1:4" x14ac:dyDescent="0.25">
      <c r="A68" t="s">
        <v>57</v>
      </c>
      <c r="C68" t="s">
        <v>78</v>
      </c>
      <c r="D68" t="str">
        <f t="shared" ref="D68:D77" si="2">IF(B68=C68, "Sim", "Não")</f>
        <v>Não</v>
      </c>
    </row>
    <row r="69" spans="1:4" x14ac:dyDescent="0.25">
      <c r="A69" t="s">
        <v>57</v>
      </c>
      <c r="C69" t="s">
        <v>78</v>
      </c>
      <c r="D69" t="str">
        <f t="shared" si="2"/>
        <v>Não</v>
      </c>
    </row>
    <row r="70" spans="1:4" x14ac:dyDescent="0.25">
      <c r="A70" t="s">
        <v>57</v>
      </c>
      <c r="C70" t="s">
        <v>79</v>
      </c>
      <c r="D70" t="str">
        <f t="shared" si="2"/>
        <v>Não</v>
      </c>
    </row>
    <row r="71" spans="1:4" x14ac:dyDescent="0.25">
      <c r="A71" t="s">
        <v>57</v>
      </c>
      <c r="C71" t="s">
        <v>79</v>
      </c>
      <c r="D71" t="str">
        <f t="shared" si="2"/>
        <v>Não</v>
      </c>
    </row>
    <row r="72" spans="1:4" x14ac:dyDescent="0.25">
      <c r="A72" t="s">
        <v>57</v>
      </c>
      <c r="C72" t="s">
        <v>79</v>
      </c>
      <c r="D72" t="str">
        <f t="shared" si="2"/>
        <v>Não</v>
      </c>
    </row>
    <row r="73" spans="1:4" x14ac:dyDescent="0.25">
      <c r="A73" t="s">
        <v>57</v>
      </c>
      <c r="C73" t="s">
        <v>80</v>
      </c>
      <c r="D73" t="str">
        <f t="shared" si="2"/>
        <v>Não</v>
      </c>
    </row>
    <row r="74" spans="1:4" x14ac:dyDescent="0.25">
      <c r="A74" t="s">
        <v>57</v>
      </c>
      <c r="C74" t="s">
        <v>80</v>
      </c>
      <c r="D74" t="str">
        <f t="shared" si="2"/>
        <v>Não</v>
      </c>
    </row>
    <row r="75" spans="1:4" x14ac:dyDescent="0.25">
      <c r="A75" t="s">
        <v>57</v>
      </c>
      <c r="C75" t="s">
        <v>81</v>
      </c>
      <c r="D75" t="str">
        <f t="shared" si="2"/>
        <v>Não</v>
      </c>
    </row>
    <row r="76" spans="1:4" x14ac:dyDescent="0.25">
      <c r="A76" t="s">
        <v>57</v>
      </c>
      <c r="C76" t="s">
        <v>81</v>
      </c>
      <c r="D76" t="str">
        <f t="shared" si="2"/>
        <v>Não</v>
      </c>
    </row>
    <row r="77" spans="1:4" x14ac:dyDescent="0.25">
      <c r="A77" t="s">
        <v>57</v>
      </c>
      <c r="C77" t="s">
        <v>81</v>
      </c>
      <c r="D77" t="str">
        <f t="shared" si="2"/>
        <v>Não</v>
      </c>
    </row>
    <row r="78" spans="1:4" x14ac:dyDescent="0.25">
      <c r="A78"/>
    </row>
    <row r="79" spans="1:4" x14ac:dyDescent="0.25">
      <c r="A79"/>
    </row>
    <row r="80" spans="1:4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A127-8540-42B0-83D4-7C25E267BB42}">
  <dimension ref="A1:G100"/>
  <sheetViews>
    <sheetView workbookViewId="0">
      <selection activeCell="C73" sqref="C73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8" t="s">
        <v>90</v>
      </c>
      <c r="B1" s="18"/>
      <c r="C1" s="18"/>
      <c r="D1" s="18"/>
      <c r="E1" s="18"/>
      <c r="F1" s="18"/>
      <c r="G1" s="18"/>
    </row>
    <row r="2" spans="1:7" x14ac:dyDescent="0.25">
      <c r="A2" s="4" t="s">
        <v>0</v>
      </c>
      <c r="B2" s="4" t="s">
        <v>8</v>
      </c>
      <c r="C2" s="4" t="s">
        <v>9</v>
      </c>
      <c r="D2" s="4" t="s">
        <v>7</v>
      </c>
    </row>
    <row r="3" spans="1:7" x14ac:dyDescent="0.25">
      <c r="A3" t="s">
        <v>1</v>
      </c>
      <c r="B3" t="s">
        <v>24</v>
      </c>
      <c r="C3" t="s">
        <v>24</v>
      </c>
      <c r="D3" t="str">
        <f>IF(B3=C3, "Sim", "Não")</f>
        <v>Sim</v>
      </c>
      <c r="F3" s="4" t="s">
        <v>10</v>
      </c>
      <c r="G3" s="3">
        <f>COUNTIF(D3:D105,"Não")</f>
        <v>13</v>
      </c>
    </row>
    <row r="4" spans="1:7" x14ac:dyDescent="0.25">
      <c r="A4" t="s">
        <v>1</v>
      </c>
      <c r="B4" t="s">
        <v>24</v>
      </c>
      <c r="C4" t="s">
        <v>24</v>
      </c>
      <c r="D4" t="str">
        <f t="shared" ref="D4:D67" si="0">IF(B4=C4, "Sim", "Não")</f>
        <v>Sim</v>
      </c>
      <c r="F4" s="4" t="s">
        <v>11</v>
      </c>
      <c r="G4" s="3">
        <f>SUM(G7:G25)</f>
        <v>73</v>
      </c>
    </row>
    <row r="5" spans="1:7" x14ac:dyDescent="0.25">
      <c r="A5" t="s">
        <v>1</v>
      </c>
      <c r="B5" t="s">
        <v>24</v>
      </c>
      <c r="C5" t="s">
        <v>24</v>
      </c>
      <c r="D5" t="str">
        <f t="shared" si="0"/>
        <v>Sim</v>
      </c>
    </row>
    <row r="6" spans="1:7" x14ac:dyDescent="0.25">
      <c r="A6" t="s">
        <v>1</v>
      </c>
      <c r="B6" t="s">
        <v>24</v>
      </c>
      <c r="C6" t="s">
        <v>24</v>
      </c>
      <c r="D6" t="str">
        <f t="shared" si="0"/>
        <v>Sim</v>
      </c>
      <c r="F6" s="6" t="s">
        <v>3</v>
      </c>
      <c r="G6" s="1"/>
    </row>
    <row r="7" spans="1:7" x14ac:dyDescent="0.25">
      <c r="A7" t="s">
        <v>1</v>
      </c>
      <c r="B7" t="s">
        <v>20</v>
      </c>
      <c r="C7" t="s">
        <v>16</v>
      </c>
      <c r="D7" t="str">
        <f t="shared" si="0"/>
        <v>Não</v>
      </c>
      <c r="F7" s="7" t="s">
        <v>1</v>
      </c>
      <c r="G7" s="2">
        <f>COUNTIF(A:A,F7)</f>
        <v>20</v>
      </c>
    </row>
    <row r="8" spans="1:7" x14ac:dyDescent="0.25">
      <c r="A8" t="s">
        <v>1</v>
      </c>
      <c r="B8" t="s">
        <v>12</v>
      </c>
      <c r="C8" t="s">
        <v>16</v>
      </c>
      <c r="D8" t="str">
        <f t="shared" si="0"/>
        <v>Não</v>
      </c>
      <c r="F8" s="7" t="s">
        <v>22</v>
      </c>
      <c r="G8" s="2">
        <f t="shared" ref="G8:G13" si="1">COUNTIF(A:A,F8)</f>
        <v>12</v>
      </c>
    </row>
    <row r="9" spans="1:7" x14ac:dyDescent="0.25">
      <c r="A9" t="s">
        <v>1</v>
      </c>
      <c r="B9" t="s">
        <v>38</v>
      </c>
      <c r="C9" t="s">
        <v>38</v>
      </c>
      <c r="D9" t="str">
        <f t="shared" si="0"/>
        <v>Sim</v>
      </c>
      <c r="F9" s="7" t="s">
        <v>23</v>
      </c>
      <c r="G9" s="2">
        <f t="shared" si="1"/>
        <v>10</v>
      </c>
    </row>
    <row r="10" spans="1:7" x14ac:dyDescent="0.25">
      <c r="A10" t="s">
        <v>1</v>
      </c>
      <c r="B10" t="s">
        <v>38</v>
      </c>
      <c r="C10" t="s">
        <v>38</v>
      </c>
      <c r="D10" t="str">
        <f t="shared" si="0"/>
        <v>Sim</v>
      </c>
      <c r="F10" s="7" t="s">
        <v>4</v>
      </c>
      <c r="G10" s="2">
        <f t="shared" si="1"/>
        <v>12</v>
      </c>
    </row>
    <row r="11" spans="1:7" x14ac:dyDescent="0.25">
      <c r="A11" t="s">
        <v>1</v>
      </c>
      <c r="B11" t="s">
        <v>38</v>
      </c>
      <c r="C11" t="s">
        <v>38</v>
      </c>
      <c r="D11" t="str">
        <f t="shared" si="0"/>
        <v>Sim</v>
      </c>
      <c r="F11" s="7" t="s">
        <v>18</v>
      </c>
      <c r="G11" s="2">
        <f t="shared" si="1"/>
        <v>4</v>
      </c>
    </row>
    <row r="12" spans="1:7" x14ac:dyDescent="0.25">
      <c r="A12" t="s">
        <v>1</v>
      </c>
      <c r="B12" t="s">
        <v>82</v>
      </c>
      <c r="C12" t="s">
        <v>82</v>
      </c>
      <c r="D12" t="str">
        <f t="shared" si="0"/>
        <v>Sim</v>
      </c>
      <c r="F12" s="7" t="s">
        <v>14</v>
      </c>
      <c r="G12" s="2">
        <f t="shared" si="1"/>
        <v>0</v>
      </c>
    </row>
    <row r="13" spans="1:7" x14ac:dyDescent="0.25">
      <c r="A13" t="s">
        <v>1</v>
      </c>
      <c r="B13" t="s">
        <v>82</v>
      </c>
      <c r="C13" t="s">
        <v>82</v>
      </c>
      <c r="D13" t="str">
        <f t="shared" si="0"/>
        <v>Sim</v>
      </c>
      <c r="F13" s="7" t="s">
        <v>57</v>
      </c>
      <c r="G13" s="2">
        <f t="shared" si="1"/>
        <v>15</v>
      </c>
    </row>
    <row r="14" spans="1:7" x14ac:dyDescent="0.25">
      <c r="A14" t="s">
        <v>1</v>
      </c>
      <c r="B14" t="s">
        <v>21</v>
      </c>
      <c r="C14" t="s">
        <v>21</v>
      </c>
      <c r="D14" t="str">
        <f t="shared" si="0"/>
        <v>Sim</v>
      </c>
      <c r="F14" s="7"/>
      <c r="G14" s="2"/>
    </row>
    <row r="15" spans="1:7" x14ac:dyDescent="0.25">
      <c r="A15" t="s">
        <v>1</v>
      </c>
      <c r="B15" t="s">
        <v>21</v>
      </c>
      <c r="C15" t="s">
        <v>21</v>
      </c>
      <c r="D15" t="str">
        <f t="shared" si="0"/>
        <v>Sim</v>
      </c>
      <c r="F15" s="4"/>
      <c r="G15" s="2"/>
    </row>
    <row r="16" spans="1:7" x14ac:dyDescent="0.25">
      <c r="A16" t="s">
        <v>1</v>
      </c>
      <c r="B16" t="s">
        <v>20</v>
      </c>
      <c r="C16" t="s">
        <v>20</v>
      </c>
      <c r="D16" t="str">
        <f t="shared" si="0"/>
        <v>Sim</v>
      </c>
      <c r="F16" s="4"/>
      <c r="G16" s="2"/>
    </row>
    <row r="17" spans="1:4" x14ac:dyDescent="0.25">
      <c r="A17" t="s">
        <v>1</v>
      </c>
      <c r="B17" t="s">
        <v>20</v>
      </c>
      <c r="C17" t="s">
        <v>20</v>
      </c>
      <c r="D17" t="str">
        <f t="shared" si="0"/>
        <v>Sim</v>
      </c>
    </row>
    <row r="18" spans="1:4" x14ac:dyDescent="0.25">
      <c r="A18" t="s">
        <v>1</v>
      </c>
      <c r="B18" t="s">
        <v>20</v>
      </c>
      <c r="C18" t="s">
        <v>20</v>
      </c>
      <c r="D18" t="str">
        <f t="shared" si="0"/>
        <v>Sim</v>
      </c>
    </row>
    <row r="19" spans="1:4" x14ac:dyDescent="0.25">
      <c r="A19" t="s">
        <v>1</v>
      </c>
      <c r="B19" t="s">
        <v>12</v>
      </c>
      <c r="C19" t="s">
        <v>12</v>
      </c>
      <c r="D19" t="str">
        <f t="shared" si="0"/>
        <v>Sim</v>
      </c>
    </row>
    <row r="20" spans="1:4" x14ac:dyDescent="0.25">
      <c r="A20" t="s">
        <v>1</v>
      </c>
      <c r="B20" t="s">
        <v>12</v>
      </c>
      <c r="C20" t="s">
        <v>12</v>
      </c>
      <c r="D20" t="str">
        <f t="shared" si="0"/>
        <v>Sim</v>
      </c>
    </row>
    <row r="21" spans="1:4" x14ac:dyDescent="0.25">
      <c r="A21" t="s">
        <v>1</v>
      </c>
      <c r="B21" t="s">
        <v>12</v>
      </c>
      <c r="C21" t="s">
        <v>12</v>
      </c>
      <c r="D21" t="str">
        <f t="shared" si="0"/>
        <v>Sim</v>
      </c>
    </row>
    <row r="22" spans="1:4" x14ac:dyDescent="0.25">
      <c r="A22" t="s">
        <v>1</v>
      </c>
      <c r="B22" t="s">
        <v>12</v>
      </c>
      <c r="C22" t="s">
        <v>12</v>
      </c>
      <c r="D22" t="str">
        <f t="shared" si="0"/>
        <v>Sim</v>
      </c>
    </row>
    <row r="23" spans="1:4" x14ac:dyDescent="0.25">
      <c r="A23" t="s">
        <v>22</v>
      </c>
      <c r="B23" t="s">
        <v>26</v>
      </c>
      <c r="C23" t="s">
        <v>26</v>
      </c>
      <c r="D23" t="str">
        <f t="shared" si="0"/>
        <v>Sim</v>
      </c>
    </row>
    <row r="24" spans="1:4" x14ac:dyDescent="0.25">
      <c r="A24" t="s">
        <v>22</v>
      </c>
      <c r="B24" t="s">
        <v>26</v>
      </c>
      <c r="C24" t="s">
        <v>26</v>
      </c>
      <c r="D24" t="str">
        <f t="shared" si="0"/>
        <v>Sim</v>
      </c>
    </row>
    <row r="25" spans="1:4" x14ac:dyDescent="0.25">
      <c r="A25" t="s">
        <v>22</v>
      </c>
      <c r="B25" t="s">
        <v>26</v>
      </c>
      <c r="C25" t="s">
        <v>26</v>
      </c>
      <c r="D25" t="str">
        <f t="shared" si="0"/>
        <v>Sim</v>
      </c>
    </row>
    <row r="26" spans="1:4" x14ac:dyDescent="0.25">
      <c r="A26" t="s">
        <v>22</v>
      </c>
      <c r="B26" t="s">
        <v>26</v>
      </c>
      <c r="C26" t="s">
        <v>26</v>
      </c>
      <c r="D26" t="str">
        <f t="shared" si="0"/>
        <v>Sim</v>
      </c>
    </row>
    <row r="27" spans="1:4" x14ac:dyDescent="0.25">
      <c r="A27" t="s">
        <v>22</v>
      </c>
      <c r="B27" t="s">
        <v>27</v>
      </c>
      <c r="C27" t="s">
        <v>27</v>
      </c>
      <c r="D27" t="str">
        <f t="shared" si="0"/>
        <v>Sim</v>
      </c>
    </row>
    <row r="28" spans="1:4" x14ac:dyDescent="0.25">
      <c r="A28" t="s">
        <v>22</v>
      </c>
      <c r="B28" t="s">
        <v>27</v>
      </c>
      <c r="C28" t="s">
        <v>27</v>
      </c>
      <c r="D28" t="str">
        <f t="shared" si="0"/>
        <v>Sim</v>
      </c>
    </row>
    <row r="29" spans="1:4" x14ac:dyDescent="0.25">
      <c r="A29" t="s">
        <v>22</v>
      </c>
      <c r="B29" t="s">
        <v>27</v>
      </c>
      <c r="C29" t="s">
        <v>27</v>
      </c>
      <c r="D29" t="str">
        <f t="shared" si="0"/>
        <v>Sim</v>
      </c>
    </row>
    <row r="30" spans="1:4" x14ac:dyDescent="0.25">
      <c r="A30" t="s">
        <v>22</v>
      </c>
      <c r="B30" t="s">
        <v>27</v>
      </c>
      <c r="C30" t="s">
        <v>27</v>
      </c>
      <c r="D30" t="str">
        <f t="shared" si="0"/>
        <v>Sim</v>
      </c>
    </row>
    <row r="31" spans="1:4" x14ac:dyDescent="0.25">
      <c r="A31" t="s">
        <v>22</v>
      </c>
      <c r="B31" t="s">
        <v>28</v>
      </c>
      <c r="C31" t="s">
        <v>28</v>
      </c>
      <c r="D31" t="str">
        <f t="shared" si="0"/>
        <v>Sim</v>
      </c>
    </row>
    <row r="32" spans="1:4" x14ac:dyDescent="0.25">
      <c r="A32" t="s">
        <v>22</v>
      </c>
      <c r="B32" t="s">
        <v>28</v>
      </c>
      <c r="C32" t="s">
        <v>28</v>
      </c>
      <c r="D32" t="str">
        <f t="shared" si="0"/>
        <v>Sim</v>
      </c>
    </row>
    <row r="33" spans="1:4" x14ac:dyDescent="0.25">
      <c r="A33" t="s">
        <v>22</v>
      </c>
      <c r="B33" t="s">
        <v>28</v>
      </c>
      <c r="C33" t="s">
        <v>28</v>
      </c>
      <c r="D33" t="str">
        <f t="shared" si="0"/>
        <v>Sim</v>
      </c>
    </row>
    <row r="34" spans="1:4" x14ac:dyDescent="0.25">
      <c r="A34" t="s">
        <v>22</v>
      </c>
      <c r="B34" t="s">
        <v>28</v>
      </c>
      <c r="C34" t="s">
        <v>28</v>
      </c>
      <c r="D34" t="str">
        <f t="shared" si="0"/>
        <v>Sim</v>
      </c>
    </row>
    <row r="35" spans="1:4" x14ac:dyDescent="0.25">
      <c r="A35" t="s">
        <v>4</v>
      </c>
      <c r="B35" t="s">
        <v>83</v>
      </c>
      <c r="C35" t="s">
        <v>170</v>
      </c>
      <c r="D35" t="str">
        <f t="shared" si="0"/>
        <v>Não</v>
      </c>
    </row>
    <row r="36" spans="1:4" x14ac:dyDescent="0.25">
      <c r="A36" t="s">
        <v>4</v>
      </c>
      <c r="B36" t="s">
        <v>83</v>
      </c>
      <c r="C36" t="s">
        <v>170</v>
      </c>
      <c r="D36" t="str">
        <f t="shared" si="0"/>
        <v>Não</v>
      </c>
    </row>
    <row r="37" spans="1:4" x14ac:dyDescent="0.25">
      <c r="A37" t="s">
        <v>4</v>
      </c>
      <c r="B37" t="s">
        <v>83</v>
      </c>
      <c r="C37" t="s">
        <v>170</v>
      </c>
      <c r="D37" t="str">
        <f t="shared" si="0"/>
        <v>Não</v>
      </c>
    </row>
    <row r="38" spans="1:4" x14ac:dyDescent="0.25">
      <c r="A38" t="s">
        <v>4</v>
      </c>
      <c r="B38" t="s">
        <v>83</v>
      </c>
      <c r="C38" t="s">
        <v>170</v>
      </c>
      <c r="D38" t="str">
        <f t="shared" si="0"/>
        <v>Não</v>
      </c>
    </row>
    <row r="39" spans="1:4" x14ac:dyDescent="0.25">
      <c r="A39" t="s">
        <v>4</v>
      </c>
      <c r="B39" t="s">
        <v>95</v>
      </c>
      <c r="C39" t="s">
        <v>95</v>
      </c>
      <c r="D39" t="str">
        <f t="shared" si="0"/>
        <v>Sim</v>
      </c>
    </row>
    <row r="40" spans="1:4" x14ac:dyDescent="0.25">
      <c r="A40" t="s">
        <v>4</v>
      </c>
      <c r="B40" t="s">
        <v>95</v>
      </c>
      <c r="C40" t="s">
        <v>95</v>
      </c>
      <c r="D40" t="str">
        <f t="shared" si="0"/>
        <v>Sim</v>
      </c>
    </row>
    <row r="41" spans="1:4" x14ac:dyDescent="0.25">
      <c r="A41" t="s">
        <v>4</v>
      </c>
      <c r="B41" t="s">
        <v>95</v>
      </c>
      <c r="C41" t="s">
        <v>95</v>
      </c>
      <c r="D41" t="str">
        <f t="shared" si="0"/>
        <v>Sim</v>
      </c>
    </row>
    <row r="42" spans="1:4" x14ac:dyDescent="0.25">
      <c r="A42" t="s">
        <v>4</v>
      </c>
      <c r="B42" t="s">
        <v>95</v>
      </c>
      <c r="C42" t="s">
        <v>95</v>
      </c>
      <c r="D42" t="str">
        <f t="shared" si="0"/>
        <v>Sim</v>
      </c>
    </row>
    <row r="43" spans="1:4" x14ac:dyDescent="0.25">
      <c r="A43" t="s">
        <v>4</v>
      </c>
      <c r="B43" t="s">
        <v>84</v>
      </c>
      <c r="C43" t="s">
        <v>84</v>
      </c>
      <c r="D43" t="str">
        <f t="shared" si="0"/>
        <v>Sim</v>
      </c>
    </row>
    <row r="44" spans="1:4" x14ac:dyDescent="0.25">
      <c r="A44" t="s">
        <v>4</v>
      </c>
      <c r="B44" t="s">
        <v>84</v>
      </c>
      <c r="C44" t="s">
        <v>84</v>
      </c>
      <c r="D44" t="str">
        <f t="shared" si="0"/>
        <v>Sim</v>
      </c>
    </row>
    <row r="45" spans="1:4" x14ac:dyDescent="0.25">
      <c r="A45" t="s">
        <v>4</v>
      </c>
      <c r="B45" t="s">
        <v>84</v>
      </c>
      <c r="C45" t="s">
        <v>84</v>
      </c>
      <c r="D45" t="str">
        <f t="shared" si="0"/>
        <v>Sim</v>
      </c>
    </row>
    <row r="46" spans="1:4" x14ac:dyDescent="0.25">
      <c r="A46" t="s">
        <v>4</v>
      </c>
      <c r="B46" t="s">
        <v>84</v>
      </c>
      <c r="C46" t="s">
        <v>84</v>
      </c>
      <c r="D46" t="str">
        <f t="shared" si="0"/>
        <v>Sim</v>
      </c>
    </row>
    <row r="47" spans="1:4" x14ac:dyDescent="0.25">
      <c r="A47" t="s">
        <v>23</v>
      </c>
      <c r="B47" t="s">
        <v>85</v>
      </c>
      <c r="C47" t="s">
        <v>85</v>
      </c>
      <c r="D47" t="str">
        <f t="shared" si="0"/>
        <v>Sim</v>
      </c>
    </row>
    <row r="48" spans="1:4" x14ac:dyDescent="0.25">
      <c r="A48" t="s">
        <v>23</v>
      </c>
      <c r="B48" t="s">
        <v>85</v>
      </c>
      <c r="C48" t="s">
        <v>85</v>
      </c>
      <c r="D48" t="str">
        <f t="shared" si="0"/>
        <v>Sim</v>
      </c>
    </row>
    <row r="49" spans="1:4" x14ac:dyDescent="0.25">
      <c r="A49" t="s">
        <v>23</v>
      </c>
      <c r="B49" t="s">
        <v>85</v>
      </c>
      <c r="C49" t="s">
        <v>85</v>
      </c>
      <c r="D49" t="str">
        <f t="shared" si="0"/>
        <v>Sim</v>
      </c>
    </row>
    <row r="50" spans="1:4" x14ac:dyDescent="0.25">
      <c r="A50" t="s">
        <v>23</v>
      </c>
      <c r="B50" t="s">
        <v>85</v>
      </c>
      <c r="C50" t="s">
        <v>85</v>
      </c>
      <c r="D50" t="str">
        <f t="shared" si="0"/>
        <v>Sim</v>
      </c>
    </row>
    <row r="51" spans="1:4" x14ac:dyDescent="0.25">
      <c r="A51" t="s">
        <v>23</v>
      </c>
      <c r="C51" t="s">
        <v>48</v>
      </c>
      <c r="D51" t="str">
        <f t="shared" si="0"/>
        <v>Não</v>
      </c>
    </row>
    <row r="52" spans="1:4" x14ac:dyDescent="0.25">
      <c r="A52" t="s">
        <v>23</v>
      </c>
      <c r="C52" t="s">
        <v>48</v>
      </c>
      <c r="D52" t="str">
        <f t="shared" si="0"/>
        <v>Não</v>
      </c>
    </row>
    <row r="53" spans="1:4" x14ac:dyDescent="0.25">
      <c r="A53" t="s">
        <v>23</v>
      </c>
      <c r="C53" t="s">
        <v>48</v>
      </c>
      <c r="D53" t="str">
        <f t="shared" si="0"/>
        <v>Não</v>
      </c>
    </row>
    <row r="54" spans="1:4" x14ac:dyDescent="0.25">
      <c r="A54" t="s">
        <v>23</v>
      </c>
      <c r="C54" t="s">
        <v>48</v>
      </c>
      <c r="D54" t="str">
        <f t="shared" si="0"/>
        <v>Não</v>
      </c>
    </row>
    <row r="55" spans="1:4" x14ac:dyDescent="0.25">
      <c r="A55" t="s">
        <v>23</v>
      </c>
      <c r="B55" t="s">
        <v>25</v>
      </c>
      <c r="C55" t="s">
        <v>25</v>
      </c>
      <c r="D55" t="str">
        <f t="shared" si="0"/>
        <v>Sim</v>
      </c>
    </row>
    <row r="56" spans="1:4" x14ac:dyDescent="0.25">
      <c r="A56" t="s">
        <v>23</v>
      </c>
      <c r="B56" t="s">
        <v>25</v>
      </c>
      <c r="C56" t="s">
        <v>25</v>
      </c>
      <c r="D56" t="str">
        <f t="shared" si="0"/>
        <v>Sim</v>
      </c>
    </row>
    <row r="57" spans="1:4" x14ac:dyDescent="0.25">
      <c r="A57" t="s">
        <v>18</v>
      </c>
      <c r="B57" t="s">
        <v>25</v>
      </c>
      <c r="C57" t="s">
        <v>86</v>
      </c>
      <c r="D57" t="str">
        <f t="shared" si="0"/>
        <v>Não</v>
      </c>
    </row>
    <row r="58" spans="1:4" x14ac:dyDescent="0.25">
      <c r="A58" t="s">
        <v>18</v>
      </c>
      <c r="B58" t="s">
        <v>86</v>
      </c>
      <c r="C58" t="s">
        <v>86</v>
      </c>
      <c r="D58" t="str">
        <f t="shared" si="0"/>
        <v>Sim</v>
      </c>
    </row>
    <row r="59" spans="1:4" x14ac:dyDescent="0.25">
      <c r="A59" t="s">
        <v>18</v>
      </c>
      <c r="B59" t="s">
        <v>86</v>
      </c>
      <c r="C59" t="s">
        <v>86</v>
      </c>
      <c r="D59" t="str">
        <f t="shared" si="0"/>
        <v>Sim</v>
      </c>
    </row>
    <row r="60" spans="1:4" x14ac:dyDescent="0.25">
      <c r="A60" t="s">
        <v>18</v>
      </c>
      <c r="B60" t="s">
        <v>86</v>
      </c>
      <c r="C60" t="s">
        <v>86</v>
      </c>
      <c r="D60" t="str">
        <f t="shared" si="0"/>
        <v>Sim</v>
      </c>
    </row>
    <row r="61" spans="1:4" x14ac:dyDescent="0.25">
      <c r="A61" t="s">
        <v>171</v>
      </c>
      <c r="B61" t="s">
        <v>135</v>
      </c>
      <c r="C61" t="s">
        <v>135</v>
      </c>
      <c r="D61" t="str">
        <f t="shared" si="0"/>
        <v>Sim</v>
      </c>
    </row>
    <row r="62" spans="1:4" x14ac:dyDescent="0.25">
      <c r="A62" t="s">
        <v>171</v>
      </c>
      <c r="B62" t="s">
        <v>135</v>
      </c>
      <c r="C62" t="s">
        <v>135</v>
      </c>
      <c r="D62" t="str">
        <f t="shared" si="0"/>
        <v>Sim</v>
      </c>
    </row>
    <row r="63" spans="1:4" x14ac:dyDescent="0.25">
      <c r="A63" t="s">
        <v>57</v>
      </c>
      <c r="B63" t="s">
        <v>176</v>
      </c>
      <c r="C63" t="s">
        <v>172</v>
      </c>
      <c r="D63" t="str">
        <f t="shared" si="0"/>
        <v>Não</v>
      </c>
    </row>
    <row r="64" spans="1:4" x14ac:dyDescent="0.25">
      <c r="A64" t="s">
        <v>57</v>
      </c>
      <c r="B64" t="s">
        <v>176</v>
      </c>
      <c r="C64" t="s">
        <v>172</v>
      </c>
      <c r="D64" t="str">
        <f t="shared" si="0"/>
        <v>Não</v>
      </c>
    </row>
    <row r="65" spans="1:4" x14ac:dyDescent="0.25">
      <c r="A65" t="s">
        <v>57</v>
      </c>
      <c r="B65" t="s">
        <v>135</v>
      </c>
      <c r="C65" t="s">
        <v>135</v>
      </c>
      <c r="D65" t="str">
        <f t="shared" si="0"/>
        <v>Sim</v>
      </c>
    </row>
    <row r="66" spans="1:4" x14ac:dyDescent="0.25">
      <c r="A66" t="s">
        <v>57</v>
      </c>
      <c r="B66" t="s">
        <v>58</v>
      </c>
      <c r="C66" t="s">
        <v>58</v>
      </c>
      <c r="D66" t="str">
        <f t="shared" si="0"/>
        <v>Sim</v>
      </c>
    </row>
    <row r="67" spans="1:4" x14ac:dyDescent="0.25">
      <c r="A67" t="s">
        <v>57</v>
      </c>
      <c r="B67" t="s">
        <v>174</v>
      </c>
      <c r="C67" t="s">
        <v>174</v>
      </c>
      <c r="D67" t="str">
        <f t="shared" si="0"/>
        <v>Sim</v>
      </c>
    </row>
    <row r="68" spans="1:4" x14ac:dyDescent="0.25">
      <c r="A68" t="s">
        <v>57</v>
      </c>
      <c r="B68" t="s">
        <v>174</v>
      </c>
      <c r="C68" t="s">
        <v>174</v>
      </c>
      <c r="D68" t="str">
        <f t="shared" ref="D68:D77" si="2">IF(B68=C68, "Sim", "Não")</f>
        <v>Sim</v>
      </c>
    </row>
    <row r="69" spans="1:4" x14ac:dyDescent="0.25">
      <c r="A69" t="s">
        <v>57</v>
      </c>
      <c r="B69" t="s">
        <v>59</v>
      </c>
      <c r="C69" t="s">
        <v>59</v>
      </c>
      <c r="D69" t="str">
        <f t="shared" si="2"/>
        <v>Sim</v>
      </c>
    </row>
    <row r="70" spans="1:4" x14ac:dyDescent="0.25">
      <c r="A70" t="s">
        <v>57</v>
      </c>
      <c r="B70" t="s">
        <v>59</v>
      </c>
      <c r="C70" t="s">
        <v>59</v>
      </c>
      <c r="D70" t="str">
        <f t="shared" si="2"/>
        <v>Sim</v>
      </c>
    </row>
    <row r="71" spans="1:4" x14ac:dyDescent="0.25">
      <c r="A71" t="s">
        <v>57</v>
      </c>
      <c r="B71" t="s">
        <v>59</v>
      </c>
      <c r="C71" t="s">
        <v>59</v>
      </c>
      <c r="D71" t="str">
        <f t="shared" si="2"/>
        <v>Sim</v>
      </c>
    </row>
    <row r="72" spans="1:4" x14ac:dyDescent="0.25">
      <c r="A72" t="s">
        <v>57</v>
      </c>
      <c r="B72" t="s">
        <v>59</v>
      </c>
      <c r="C72" t="s">
        <v>59</v>
      </c>
      <c r="D72" t="str">
        <f t="shared" si="2"/>
        <v>Sim</v>
      </c>
    </row>
    <row r="73" spans="1:4" x14ac:dyDescent="0.25">
      <c r="A73" t="s">
        <v>57</v>
      </c>
      <c r="B73" t="s">
        <v>173</v>
      </c>
      <c r="C73" t="s">
        <v>173</v>
      </c>
      <c r="D73" t="str">
        <f t="shared" si="2"/>
        <v>Sim</v>
      </c>
    </row>
    <row r="74" spans="1:4" x14ac:dyDescent="0.25">
      <c r="A74" t="s">
        <v>57</v>
      </c>
      <c r="B74" t="s">
        <v>173</v>
      </c>
      <c r="C74" t="s">
        <v>173</v>
      </c>
      <c r="D74" t="str">
        <f t="shared" si="2"/>
        <v>Sim</v>
      </c>
    </row>
    <row r="75" spans="1:4" x14ac:dyDescent="0.25">
      <c r="A75" t="s">
        <v>57</v>
      </c>
      <c r="B75" t="s">
        <v>116</v>
      </c>
      <c r="C75" t="s">
        <v>116</v>
      </c>
      <c r="D75" t="str">
        <f t="shared" si="2"/>
        <v>Sim</v>
      </c>
    </row>
    <row r="76" spans="1:4" x14ac:dyDescent="0.25">
      <c r="A76" t="s">
        <v>57</v>
      </c>
      <c r="B76" t="s">
        <v>116</v>
      </c>
      <c r="C76" t="s">
        <v>116</v>
      </c>
      <c r="D76" t="str">
        <f t="shared" si="2"/>
        <v>Sim</v>
      </c>
    </row>
    <row r="77" spans="1:4" x14ac:dyDescent="0.25">
      <c r="A77" t="s">
        <v>57</v>
      </c>
      <c r="B77" t="s">
        <v>175</v>
      </c>
      <c r="C77" t="s">
        <v>175</v>
      </c>
      <c r="D77" t="str">
        <f t="shared" si="2"/>
        <v>Sim</v>
      </c>
    </row>
    <row r="78" spans="1:4" x14ac:dyDescent="0.25">
      <c r="A78"/>
    </row>
    <row r="79" spans="1:4" x14ac:dyDescent="0.25">
      <c r="A79"/>
    </row>
    <row r="80" spans="1:4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6DD75-FF0C-4DFD-84F6-A0DF6943BB2A}">
  <dimension ref="A1:G100"/>
  <sheetViews>
    <sheetView workbookViewId="0">
      <selection activeCell="C15" sqref="C15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8" t="s">
        <v>115</v>
      </c>
      <c r="B1" s="18"/>
      <c r="C1" s="18"/>
      <c r="D1" s="18"/>
      <c r="E1" s="18"/>
      <c r="F1" s="18"/>
      <c r="G1" s="18"/>
    </row>
    <row r="2" spans="1:7" x14ac:dyDescent="0.25">
      <c r="A2" s="4" t="s">
        <v>0</v>
      </c>
      <c r="B2" s="4" t="s">
        <v>8</v>
      </c>
      <c r="C2" s="4" t="s">
        <v>9</v>
      </c>
      <c r="D2" s="4" t="s">
        <v>7</v>
      </c>
    </row>
    <row r="3" spans="1:7" x14ac:dyDescent="0.25">
      <c r="A3" t="s">
        <v>1</v>
      </c>
      <c r="B3" t="s">
        <v>96</v>
      </c>
      <c r="C3" t="s">
        <v>96</v>
      </c>
      <c r="D3" t="str">
        <f>IF(B3=C3, "Sim", "Não")</f>
        <v>Sim</v>
      </c>
      <c r="F3" s="4" t="s">
        <v>10</v>
      </c>
      <c r="G3" s="3">
        <f>COUNTIF(D3:D105,"Não")</f>
        <v>8</v>
      </c>
    </row>
    <row r="4" spans="1:7" x14ac:dyDescent="0.25">
      <c r="A4" t="s">
        <v>1</v>
      </c>
      <c r="B4" t="s">
        <v>96</v>
      </c>
      <c r="C4" t="s">
        <v>96</v>
      </c>
      <c r="D4" t="str">
        <f t="shared" ref="D4:D67" si="0">IF(B4=C4, "Sim", "Não")</f>
        <v>Sim</v>
      </c>
      <c r="F4" s="4" t="s">
        <v>11</v>
      </c>
      <c r="G4" s="3">
        <f>SUM(G7:G25)</f>
        <v>75</v>
      </c>
    </row>
    <row r="5" spans="1:7" x14ac:dyDescent="0.25">
      <c r="A5" t="s">
        <v>1</v>
      </c>
      <c r="B5" t="s">
        <v>96</v>
      </c>
      <c r="C5" t="s">
        <v>96</v>
      </c>
      <c r="D5" t="str">
        <f t="shared" si="0"/>
        <v>Sim</v>
      </c>
    </row>
    <row r="6" spans="1:7" x14ac:dyDescent="0.25">
      <c r="A6" t="s">
        <v>1</v>
      </c>
      <c r="B6" t="s">
        <v>96</v>
      </c>
      <c r="C6" t="s">
        <v>96</v>
      </c>
      <c r="D6" t="str">
        <f t="shared" si="0"/>
        <v>Sim</v>
      </c>
      <c r="F6" s="6" t="s">
        <v>3</v>
      </c>
      <c r="G6" s="1"/>
    </row>
    <row r="7" spans="1:7" x14ac:dyDescent="0.25">
      <c r="A7" t="s">
        <v>1</v>
      </c>
      <c r="B7" t="s">
        <v>50</v>
      </c>
      <c r="C7" t="s">
        <v>50</v>
      </c>
      <c r="D7" t="str">
        <f t="shared" si="0"/>
        <v>Sim</v>
      </c>
      <c r="F7" s="7" t="s">
        <v>1</v>
      </c>
      <c r="G7" s="2">
        <f t="shared" ref="G7:G12" si="1">COUNTIF(A:A,F7)</f>
        <v>19</v>
      </c>
    </row>
    <row r="8" spans="1:7" x14ac:dyDescent="0.25">
      <c r="A8" t="s">
        <v>1</v>
      </c>
      <c r="B8" t="s">
        <v>50</v>
      </c>
      <c r="C8" t="s">
        <v>50</v>
      </c>
      <c r="D8" t="str">
        <f t="shared" si="0"/>
        <v>Sim</v>
      </c>
      <c r="F8" s="7" t="s">
        <v>114</v>
      </c>
      <c r="G8" s="2">
        <f t="shared" si="1"/>
        <v>11</v>
      </c>
    </row>
    <row r="9" spans="1:7" x14ac:dyDescent="0.25">
      <c r="A9" t="s">
        <v>1</v>
      </c>
      <c r="B9" t="s">
        <v>50</v>
      </c>
      <c r="C9" t="s">
        <v>50</v>
      </c>
      <c r="D9" t="str">
        <f t="shared" si="0"/>
        <v>Sim</v>
      </c>
      <c r="F9" s="7" t="s">
        <v>23</v>
      </c>
      <c r="G9" s="2">
        <f t="shared" si="1"/>
        <v>4</v>
      </c>
    </row>
    <row r="10" spans="1:7" x14ac:dyDescent="0.25">
      <c r="A10" t="s">
        <v>1</v>
      </c>
      <c r="B10" t="s">
        <v>50</v>
      </c>
      <c r="C10" t="s">
        <v>50</v>
      </c>
      <c r="D10" t="str">
        <f t="shared" si="0"/>
        <v>Sim</v>
      </c>
      <c r="F10" s="7" t="s">
        <v>4</v>
      </c>
      <c r="G10" s="2">
        <f t="shared" si="1"/>
        <v>18</v>
      </c>
    </row>
    <row r="11" spans="1:7" x14ac:dyDescent="0.25">
      <c r="A11" t="s">
        <v>1</v>
      </c>
      <c r="B11" t="s">
        <v>49</v>
      </c>
      <c r="C11" t="s">
        <v>49</v>
      </c>
      <c r="D11" t="str">
        <f t="shared" si="0"/>
        <v>Sim</v>
      </c>
      <c r="F11" s="7" t="s">
        <v>14</v>
      </c>
      <c r="G11" s="2">
        <f t="shared" si="1"/>
        <v>8</v>
      </c>
    </row>
    <row r="12" spans="1:7" x14ac:dyDescent="0.25">
      <c r="A12" t="s">
        <v>1</v>
      </c>
      <c r="B12" t="s">
        <v>49</v>
      </c>
      <c r="C12" t="s">
        <v>49</v>
      </c>
      <c r="D12" t="str">
        <f t="shared" si="0"/>
        <v>Sim</v>
      </c>
      <c r="F12" s="7" t="s">
        <v>57</v>
      </c>
      <c r="G12" s="2">
        <f t="shared" si="1"/>
        <v>15</v>
      </c>
    </row>
    <row r="13" spans="1:7" x14ac:dyDescent="0.25">
      <c r="A13" t="s">
        <v>1</v>
      </c>
      <c r="B13" t="s">
        <v>2</v>
      </c>
      <c r="C13" t="s">
        <v>2</v>
      </c>
      <c r="D13" t="str">
        <f t="shared" si="0"/>
        <v>Sim</v>
      </c>
    </row>
    <row r="14" spans="1:7" x14ac:dyDescent="0.25">
      <c r="A14" t="s">
        <v>1</v>
      </c>
      <c r="B14" t="s">
        <v>2</v>
      </c>
      <c r="C14" t="s">
        <v>2</v>
      </c>
      <c r="D14" t="str">
        <f t="shared" si="0"/>
        <v>Sim</v>
      </c>
      <c r="F14" s="7"/>
      <c r="G14" s="2"/>
    </row>
    <row r="15" spans="1:7" x14ac:dyDescent="0.25">
      <c r="A15" t="s">
        <v>1</v>
      </c>
      <c r="B15" t="s">
        <v>2</v>
      </c>
      <c r="C15" t="s">
        <v>2</v>
      </c>
      <c r="D15" t="str">
        <f t="shared" si="0"/>
        <v>Sim</v>
      </c>
      <c r="F15" s="4"/>
      <c r="G15" s="2"/>
    </row>
    <row r="16" spans="1:7" x14ac:dyDescent="0.25">
      <c r="A16" t="s">
        <v>1</v>
      </c>
      <c r="B16" t="s">
        <v>2</v>
      </c>
      <c r="C16" t="s">
        <v>2</v>
      </c>
      <c r="D16" t="str">
        <f t="shared" si="0"/>
        <v>Sim</v>
      </c>
      <c r="F16" s="4"/>
      <c r="G16" s="2"/>
    </row>
    <row r="17" spans="1:4" x14ac:dyDescent="0.25">
      <c r="A17" t="s">
        <v>1</v>
      </c>
      <c r="B17" t="s">
        <v>2</v>
      </c>
      <c r="C17" t="s">
        <v>2</v>
      </c>
      <c r="D17" t="str">
        <f t="shared" si="0"/>
        <v>Sim</v>
      </c>
    </row>
    <row r="18" spans="1:4" x14ac:dyDescent="0.25">
      <c r="A18" t="s">
        <v>1</v>
      </c>
      <c r="B18" t="s">
        <v>2</v>
      </c>
      <c r="C18" t="s">
        <v>2</v>
      </c>
      <c r="D18" t="str">
        <f t="shared" si="0"/>
        <v>Sim</v>
      </c>
    </row>
    <row r="19" spans="1:4" x14ac:dyDescent="0.25">
      <c r="A19" t="s">
        <v>1</v>
      </c>
      <c r="B19" t="s">
        <v>2</v>
      </c>
      <c r="C19" t="s">
        <v>2</v>
      </c>
      <c r="D19" t="str">
        <f t="shared" si="0"/>
        <v>Sim</v>
      </c>
    </row>
    <row r="20" spans="1:4" x14ac:dyDescent="0.25">
      <c r="A20" t="s">
        <v>1</v>
      </c>
      <c r="B20" t="s">
        <v>5</v>
      </c>
      <c r="C20" t="s">
        <v>5</v>
      </c>
      <c r="D20" t="str">
        <f t="shared" si="0"/>
        <v>Sim</v>
      </c>
    </row>
    <row r="21" spans="1:4" x14ac:dyDescent="0.25">
      <c r="A21" t="s">
        <v>1</v>
      </c>
      <c r="B21" t="s">
        <v>20</v>
      </c>
      <c r="C21" t="s">
        <v>20</v>
      </c>
      <c r="D21" t="str">
        <f t="shared" si="0"/>
        <v>Sim</v>
      </c>
    </row>
    <row r="22" spans="1:4" x14ac:dyDescent="0.25">
      <c r="A22" t="s">
        <v>114</v>
      </c>
      <c r="B22" t="s">
        <v>141</v>
      </c>
      <c r="C22" t="s">
        <v>141</v>
      </c>
      <c r="D22" t="str">
        <f t="shared" si="0"/>
        <v>Sim</v>
      </c>
    </row>
    <row r="23" spans="1:4" x14ac:dyDescent="0.25">
      <c r="A23" t="s">
        <v>114</v>
      </c>
      <c r="B23" t="s">
        <v>141</v>
      </c>
      <c r="C23" t="s">
        <v>141</v>
      </c>
      <c r="D23" t="str">
        <f t="shared" si="0"/>
        <v>Sim</v>
      </c>
    </row>
    <row r="24" spans="1:4" x14ac:dyDescent="0.25">
      <c r="A24" t="s">
        <v>114</v>
      </c>
      <c r="B24" t="s">
        <v>116</v>
      </c>
      <c r="C24" t="s">
        <v>116</v>
      </c>
      <c r="D24" t="str">
        <f t="shared" si="0"/>
        <v>Sim</v>
      </c>
    </row>
    <row r="25" spans="1:4" x14ac:dyDescent="0.25">
      <c r="A25" t="s">
        <v>114</v>
      </c>
      <c r="B25" t="s">
        <v>117</v>
      </c>
      <c r="C25" t="s">
        <v>117</v>
      </c>
      <c r="D25" t="str">
        <f t="shared" si="0"/>
        <v>Sim</v>
      </c>
    </row>
    <row r="26" spans="1:4" x14ac:dyDescent="0.25">
      <c r="A26" t="s">
        <v>114</v>
      </c>
      <c r="B26" t="s">
        <v>117</v>
      </c>
      <c r="C26" t="s">
        <v>117</v>
      </c>
      <c r="D26" t="str">
        <f t="shared" si="0"/>
        <v>Sim</v>
      </c>
    </row>
    <row r="27" spans="1:4" x14ac:dyDescent="0.25">
      <c r="A27" t="s">
        <v>114</v>
      </c>
      <c r="B27" t="s">
        <v>117</v>
      </c>
      <c r="C27" t="s">
        <v>117</v>
      </c>
      <c r="D27" t="str">
        <f t="shared" si="0"/>
        <v>Sim</v>
      </c>
    </row>
    <row r="28" spans="1:4" x14ac:dyDescent="0.25">
      <c r="A28" t="s">
        <v>114</v>
      </c>
      <c r="B28" t="s">
        <v>117</v>
      </c>
      <c r="C28" t="s">
        <v>117</v>
      </c>
      <c r="D28" t="str">
        <f t="shared" si="0"/>
        <v>Sim</v>
      </c>
    </row>
    <row r="29" spans="1:4" x14ac:dyDescent="0.25">
      <c r="A29" t="s">
        <v>114</v>
      </c>
      <c r="B29" t="s">
        <v>118</v>
      </c>
      <c r="C29" t="s">
        <v>118</v>
      </c>
      <c r="D29" t="str">
        <f t="shared" si="0"/>
        <v>Sim</v>
      </c>
    </row>
    <row r="30" spans="1:4" x14ac:dyDescent="0.25">
      <c r="A30" t="s">
        <v>114</v>
      </c>
      <c r="B30" t="s">
        <v>118</v>
      </c>
      <c r="C30" t="s">
        <v>118</v>
      </c>
      <c r="D30" t="str">
        <f t="shared" si="0"/>
        <v>Sim</v>
      </c>
    </row>
    <row r="31" spans="1:4" x14ac:dyDescent="0.25">
      <c r="A31" t="s">
        <v>114</v>
      </c>
      <c r="B31" t="s">
        <v>118</v>
      </c>
      <c r="C31" t="s">
        <v>118</v>
      </c>
      <c r="D31" t="str">
        <f t="shared" si="0"/>
        <v>Sim</v>
      </c>
    </row>
    <row r="32" spans="1:4" x14ac:dyDescent="0.25">
      <c r="A32" t="s">
        <v>114</v>
      </c>
      <c r="B32" t="s">
        <v>119</v>
      </c>
      <c r="C32" t="s">
        <v>119</v>
      </c>
      <c r="D32" t="str">
        <f t="shared" si="0"/>
        <v>Sim</v>
      </c>
    </row>
    <row r="33" spans="1:4" x14ac:dyDescent="0.25">
      <c r="A33" t="s">
        <v>4</v>
      </c>
      <c r="B33" t="s">
        <v>40</v>
      </c>
      <c r="C33" t="s">
        <v>40</v>
      </c>
      <c r="D33" t="str">
        <f t="shared" si="0"/>
        <v>Sim</v>
      </c>
    </row>
    <row r="34" spans="1:4" x14ac:dyDescent="0.25">
      <c r="A34" t="s">
        <v>4</v>
      </c>
      <c r="B34" t="s">
        <v>40</v>
      </c>
      <c r="C34" t="s">
        <v>40</v>
      </c>
      <c r="D34" t="str">
        <f t="shared" si="0"/>
        <v>Sim</v>
      </c>
    </row>
    <row r="35" spans="1:4" x14ac:dyDescent="0.25">
      <c r="A35" t="s">
        <v>4</v>
      </c>
      <c r="B35" t="s">
        <v>40</v>
      </c>
      <c r="C35" t="s">
        <v>40</v>
      </c>
      <c r="D35" t="str">
        <f t="shared" ref="D35:D42" si="2">IF(B35=C35, "Sim", "Não")</f>
        <v>Sim</v>
      </c>
    </row>
    <row r="36" spans="1:4" x14ac:dyDescent="0.25">
      <c r="A36" t="s">
        <v>4</v>
      </c>
      <c r="B36" t="s">
        <v>40</v>
      </c>
      <c r="C36" t="s">
        <v>40</v>
      </c>
      <c r="D36" t="str">
        <f t="shared" si="2"/>
        <v>Sim</v>
      </c>
    </row>
    <row r="37" spans="1:4" x14ac:dyDescent="0.25">
      <c r="A37" t="s">
        <v>4</v>
      </c>
      <c r="B37" t="s">
        <v>166</v>
      </c>
      <c r="C37" t="s">
        <v>120</v>
      </c>
      <c r="D37" t="str">
        <f t="shared" si="2"/>
        <v>Não</v>
      </c>
    </row>
    <row r="38" spans="1:4" x14ac:dyDescent="0.25">
      <c r="A38" t="s">
        <v>4</v>
      </c>
      <c r="B38" t="s">
        <v>166</v>
      </c>
      <c r="C38" t="s">
        <v>120</v>
      </c>
      <c r="D38" t="str">
        <f t="shared" si="2"/>
        <v>Não</v>
      </c>
    </row>
    <row r="39" spans="1:4" x14ac:dyDescent="0.25">
      <c r="A39" t="s">
        <v>4</v>
      </c>
      <c r="B39" t="s">
        <v>166</v>
      </c>
      <c r="C39" t="s">
        <v>120</v>
      </c>
      <c r="D39" t="str">
        <f t="shared" si="2"/>
        <v>Não</v>
      </c>
    </row>
    <row r="40" spans="1:4" x14ac:dyDescent="0.25">
      <c r="A40" t="s">
        <v>4</v>
      </c>
      <c r="B40" t="s">
        <v>166</v>
      </c>
      <c r="C40" t="s">
        <v>120</v>
      </c>
      <c r="D40" t="str">
        <f t="shared" si="2"/>
        <v>Não</v>
      </c>
    </row>
    <row r="41" spans="1:4" x14ac:dyDescent="0.25">
      <c r="A41" t="s">
        <v>4</v>
      </c>
      <c r="B41" t="s">
        <v>121</v>
      </c>
      <c r="C41" t="s">
        <v>121</v>
      </c>
      <c r="D41" t="str">
        <f t="shared" si="2"/>
        <v>Sim</v>
      </c>
    </row>
    <row r="42" spans="1:4" x14ac:dyDescent="0.25">
      <c r="A42" t="s">
        <v>4</v>
      </c>
      <c r="B42" t="s">
        <v>121</v>
      </c>
      <c r="C42" t="s">
        <v>121</v>
      </c>
      <c r="D42" t="str">
        <f t="shared" si="2"/>
        <v>Sim</v>
      </c>
    </row>
    <row r="43" spans="1:4" x14ac:dyDescent="0.25">
      <c r="A43" t="s">
        <v>4</v>
      </c>
      <c r="B43" t="s">
        <v>121</v>
      </c>
      <c r="C43" t="s">
        <v>121</v>
      </c>
      <c r="D43" t="str">
        <f t="shared" si="0"/>
        <v>Sim</v>
      </c>
    </row>
    <row r="44" spans="1:4" x14ac:dyDescent="0.25">
      <c r="A44" t="s">
        <v>4</v>
      </c>
      <c r="B44" t="s">
        <v>169</v>
      </c>
      <c r="C44" t="s">
        <v>121</v>
      </c>
      <c r="D44" t="str">
        <f t="shared" si="0"/>
        <v>Não</v>
      </c>
    </row>
    <row r="45" spans="1:4" x14ac:dyDescent="0.25">
      <c r="A45" t="s">
        <v>4</v>
      </c>
      <c r="B45" t="s">
        <v>122</v>
      </c>
      <c r="C45" t="s">
        <v>122</v>
      </c>
      <c r="D45" t="str">
        <f t="shared" si="0"/>
        <v>Sim</v>
      </c>
    </row>
    <row r="46" spans="1:4" x14ac:dyDescent="0.25">
      <c r="A46" t="s">
        <v>4</v>
      </c>
      <c r="B46" t="s">
        <v>122</v>
      </c>
      <c r="C46" t="s">
        <v>122</v>
      </c>
      <c r="D46" t="str">
        <f t="shared" si="0"/>
        <v>Sim</v>
      </c>
    </row>
    <row r="47" spans="1:4" x14ac:dyDescent="0.25">
      <c r="A47" t="s">
        <v>4</v>
      </c>
      <c r="B47" t="s">
        <v>122</v>
      </c>
      <c r="C47" t="s">
        <v>122</v>
      </c>
      <c r="D47" t="str">
        <f t="shared" si="0"/>
        <v>Sim</v>
      </c>
    </row>
    <row r="48" spans="1:4" x14ac:dyDescent="0.25">
      <c r="A48" t="s">
        <v>4</v>
      </c>
      <c r="B48" t="s">
        <v>122</v>
      </c>
      <c r="C48" t="s">
        <v>122</v>
      </c>
      <c r="D48" t="str">
        <f t="shared" si="0"/>
        <v>Sim</v>
      </c>
    </row>
    <row r="49" spans="1:4" x14ac:dyDescent="0.25">
      <c r="A49" t="s">
        <v>4</v>
      </c>
      <c r="B49" t="s">
        <v>149</v>
      </c>
      <c r="C49" t="s">
        <v>149</v>
      </c>
      <c r="D49" t="str">
        <f>IF(B49=C49, "Sim", "Não")</f>
        <v>Sim</v>
      </c>
    </row>
    <row r="50" spans="1:4" x14ac:dyDescent="0.25">
      <c r="A50" t="s">
        <v>4</v>
      </c>
      <c r="B50" t="s">
        <v>119</v>
      </c>
      <c r="C50" t="s">
        <v>149</v>
      </c>
      <c r="D50" t="str">
        <f>IF(B50=C50, "Sim", "Não")</f>
        <v>Não</v>
      </c>
    </row>
    <row r="51" spans="1:4" x14ac:dyDescent="0.25">
      <c r="A51" t="s">
        <v>23</v>
      </c>
      <c r="B51" t="s">
        <v>48</v>
      </c>
      <c r="C51" t="s">
        <v>48</v>
      </c>
      <c r="D51" t="str">
        <f t="shared" si="0"/>
        <v>Sim</v>
      </c>
    </row>
    <row r="52" spans="1:4" x14ac:dyDescent="0.25">
      <c r="A52" t="s">
        <v>23</v>
      </c>
      <c r="B52" t="s">
        <v>48</v>
      </c>
      <c r="C52" t="s">
        <v>48</v>
      </c>
      <c r="D52" t="str">
        <f t="shared" si="0"/>
        <v>Sim</v>
      </c>
    </row>
    <row r="53" spans="1:4" x14ac:dyDescent="0.25">
      <c r="A53" t="s">
        <v>23</v>
      </c>
      <c r="B53" t="s">
        <v>48</v>
      </c>
      <c r="C53" t="s">
        <v>48</v>
      </c>
      <c r="D53" t="str">
        <f t="shared" si="0"/>
        <v>Sim</v>
      </c>
    </row>
    <row r="54" spans="1:4" x14ac:dyDescent="0.25">
      <c r="A54" t="s">
        <v>23</v>
      </c>
      <c r="B54" t="s">
        <v>48</v>
      </c>
      <c r="C54" t="s">
        <v>48</v>
      </c>
      <c r="D54" t="str">
        <f t="shared" si="0"/>
        <v>Sim</v>
      </c>
    </row>
    <row r="55" spans="1:4" x14ac:dyDescent="0.25">
      <c r="A55" t="s">
        <v>14</v>
      </c>
      <c r="B55" t="s">
        <v>6</v>
      </c>
      <c r="C55" t="s">
        <v>6</v>
      </c>
      <c r="D55" t="str">
        <f t="shared" si="0"/>
        <v>Sim</v>
      </c>
    </row>
    <row r="56" spans="1:4" x14ac:dyDescent="0.25">
      <c r="A56" t="s">
        <v>14</v>
      </c>
      <c r="B56" t="s">
        <v>6</v>
      </c>
      <c r="C56" t="s">
        <v>6</v>
      </c>
      <c r="D56" t="str">
        <f t="shared" si="0"/>
        <v>Sim</v>
      </c>
    </row>
    <row r="57" spans="1:4" x14ac:dyDescent="0.25">
      <c r="A57" t="s">
        <v>14</v>
      </c>
      <c r="B57" t="s">
        <v>6</v>
      </c>
      <c r="C57" t="s">
        <v>6</v>
      </c>
      <c r="D57" t="str">
        <f t="shared" si="0"/>
        <v>Sim</v>
      </c>
    </row>
    <row r="58" spans="1:4" x14ac:dyDescent="0.25">
      <c r="A58" t="s">
        <v>14</v>
      </c>
      <c r="B58" t="s">
        <v>6</v>
      </c>
      <c r="C58" t="s">
        <v>6</v>
      </c>
      <c r="D58" t="str">
        <f t="shared" si="0"/>
        <v>Sim</v>
      </c>
    </row>
    <row r="59" spans="1:4" x14ac:dyDescent="0.25">
      <c r="A59" t="s">
        <v>14</v>
      </c>
      <c r="B59" t="s">
        <v>92</v>
      </c>
      <c r="C59" t="s">
        <v>92</v>
      </c>
      <c r="D59" t="str">
        <f t="shared" si="0"/>
        <v>Sim</v>
      </c>
    </row>
    <row r="60" spans="1:4" x14ac:dyDescent="0.25">
      <c r="A60" t="s">
        <v>14</v>
      </c>
      <c r="B60" t="s">
        <v>92</v>
      </c>
      <c r="C60" t="s">
        <v>92</v>
      </c>
      <c r="D60" t="str">
        <f t="shared" si="0"/>
        <v>Sim</v>
      </c>
    </row>
    <row r="61" spans="1:4" x14ac:dyDescent="0.25">
      <c r="A61" t="s">
        <v>14</v>
      </c>
      <c r="B61" t="s">
        <v>92</v>
      </c>
      <c r="C61" t="s">
        <v>92</v>
      </c>
      <c r="D61" t="str">
        <f t="shared" si="0"/>
        <v>Sim</v>
      </c>
    </row>
    <row r="62" spans="1:4" x14ac:dyDescent="0.25">
      <c r="A62" t="s">
        <v>14</v>
      </c>
      <c r="B62" t="s">
        <v>92</v>
      </c>
      <c r="C62" t="s">
        <v>92</v>
      </c>
      <c r="D62" t="str">
        <f t="shared" si="0"/>
        <v>Sim</v>
      </c>
    </row>
    <row r="63" spans="1:4" x14ac:dyDescent="0.25">
      <c r="A63" t="s">
        <v>57</v>
      </c>
      <c r="B63" t="s">
        <v>93</v>
      </c>
      <c r="C63" t="s">
        <v>93</v>
      </c>
      <c r="D63" t="str">
        <f t="shared" si="0"/>
        <v>Sim</v>
      </c>
    </row>
    <row r="64" spans="1:4" x14ac:dyDescent="0.25">
      <c r="A64" t="s">
        <v>57</v>
      </c>
      <c r="B64" t="s">
        <v>93</v>
      </c>
      <c r="C64" t="s">
        <v>93</v>
      </c>
      <c r="D64" t="str">
        <f t="shared" si="0"/>
        <v>Sim</v>
      </c>
    </row>
    <row r="65" spans="1:4" x14ac:dyDescent="0.25">
      <c r="A65" t="s">
        <v>57</v>
      </c>
      <c r="B65" t="s">
        <v>123</v>
      </c>
      <c r="C65" t="s">
        <v>123</v>
      </c>
      <c r="D65" t="str">
        <f t="shared" si="0"/>
        <v>Sim</v>
      </c>
    </row>
    <row r="66" spans="1:4" x14ac:dyDescent="0.25">
      <c r="A66" t="s">
        <v>57</v>
      </c>
      <c r="B66" t="s">
        <v>123</v>
      </c>
      <c r="C66" t="s">
        <v>123</v>
      </c>
      <c r="D66" t="str">
        <f t="shared" si="0"/>
        <v>Sim</v>
      </c>
    </row>
    <row r="67" spans="1:4" x14ac:dyDescent="0.25">
      <c r="A67" t="s">
        <v>57</v>
      </c>
      <c r="B67" t="s">
        <v>167</v>
      </c>
      <c r="C67" t="s">
        <v>167</v>
      </c>
      <c r="D67" t="str">
        <f t="shared" si="0"/>
        <v>Sim</v>
      </c>
    </row>
    <row r="68" spans="1:4" x14ac:dyDescent="0.25">
      <c r="A68" t="s">
        <v>57</v>
      </c>
      <c r="B68" t="s">
        <v>167</v>
      </c>
      <c r="C68" t="s">
        <v>167</v>
      </c>
      <c r="D68" t="str">
        <f t="shared" ref="D68:D77" si="3">IF(B68=C68, "Sim", "Não")</f>
        <v>Sim</v>
      </c>
    </row>
    <row r="69" spans="1:4" x14ac:dyDescent="0.25">
      <c r="A69" t="s">
        <v>57</v>
      </c>
      <c r="B69" t="s">
        <v>124</v>
      </c>
      <c r="C69" t="s">
        <v>124</v>
      </c>
      <c r="D69" t="str">
        <f t="shared" si="3"/>
        <v>Sim</v>
      </c>
    </row>
    <row r="70" spans="1:4" x14ac:dyDescent="0.25">
      <c r="A70" t="s">
        <v>57</v>
      </c>
      <c r="B70" t="s">
        <v>124</v>
      </c>
      <c r="C70" t="s">
        <v>124</v>
      </c>
      <c r="D70" t="str">
        <f t="shared" si="3"/>
        <v>Sim</v>
      </c>
    </row>
    <row r="71" spans="1:4" x14ac:dyDescent="0.25">
      <c r="A71" t="s">
        <v>57</v>
      </c>
      <c r="B71" t="s">
        <v>125</v>
      </c>
      <c r="C71" t="s">
        <v>125</v>
      </c>
      <c r="D71" t="str">
        <f t="shared" si="3"/>
        <v>Sim</v>
      </c>
    </row>
    <row r="72" spans="1:4" x14ac:dyDescent="0.25">
      <c r="A72" t="s">
        <v>57</v>
      </c>
      <c r="B72" t="s">
        <v>125</v>
      </c>
      <c r="C72" t="s">
        <v>125</v>
      </c>
      <c r="D72" t="str">
        <f t="shared" si="3"/>
        <v>Sim</v>
      </c>
    </row>
    <row r="73" spans="1:4" x14ac:dyDescent="0.25">
      <c r="A73" t="s">
        <v>57</v>
      </c>
      <c r="B73" t="s">
        <v>168</v>
      </c>
      <c r="C73" t="s">
        <v>168</v>
      </c>
      <c r="D73" t="str">
        <f t="shared" si="3"/>
        <v>Sim</v>
      </c>
    </row>
    <row r="74" spans="1:4" x14ac:dyDescent="0.25">
      <c r="A74" t="s">
        <v>57</v>
      </c>
      <c r="B74" t="s">
        <v>168</v>
      </c>
      <c r="C74" t="s">
        <v>168</v>
      </c>
      <c r="D74" t="str">
        <f t="shared" si="3"/>
        <v>Sim</v>
      </c>
    </row>
    <row r="75" spans="1:4" x14ac:dyDescent="0.25">
      <c r="A75" t="s">
        <v>57</v>
      </c>
      <c r="B75" t="s">
        <v>93</v>
      </c>
      <c r="C75" t="s">
        <v>126</v>
      </c>
      <c r="D75" t="str">
        <f t="shared" si="3"/>
        <v>Não</v>
      </c>
    </row>
    <row r="76" spans="1:4" x14ac:dyDescent="0.25">
      <c r="A76" t="s">
        <v>57</v>
      </c>
      <c r="B76" t="s">
        <v>141</v>
      </c>
      <c r="C76" t="s">
        <v>126</v>
      </c>
      <c r="D76" t="str">
        <f t="shared" si="3"/>
        <v>Não</v>
      </c>
    </row>
    <row r="77" spans="1:4" x14ac:dyDescent="0.25">
      <c r="A77" t="s">
        <v>57</v>
      </c>
      <c r="B77" t="s">
        <v>127</v>
      </c>
      <c r="C77" t="s">
        <v>127</v>
      </c>
      <c r="D77" t="str">
        <f t="shared" si="3"/>
        <v>Sim</v>
      </c>
    </row>
    <row r="78" spans="1:4" x14ac:dyDescent="0.25">
      <c r="A78"/>
    </row>
    <row r="79" spans="1:4" x14ac:dyDescent="0.25">
      <c r="A79"/>
    </row>
    <row r="80" spans="1:4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48B88-9BB2-41CF-82EC-0F17CEC53FC8}">
  <dimension ref="A1:G100"/>
  <sheetViews>
    <sheetView workbookViewId="0">
      <selection activeCell="C40" sqref="C40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8" t="s">
        <v>115</v>
      </c>
      <c r="B1" s="18"/>
      <c r="C1" s="18"/>
      <c r="D1" s="18"/>
      <c r="E1" s="18"/>
      <c r="F1" s="18"/>
      <c r="G1" s="18"/>
    </row>
    <row r="2" spans="1:7" x14ac:dyDescent="0.25">
      <c r="A2" s="4" t="s">
        <v>0</v>
      </c>
      <c r="B2" s="4" t="s">
        <v>8</v>
      </c>
      <c r="C2" s="4" t="s">
        <v>9</v>
      </c>
      <c r="D2" s="4" t="s">
        <v>7</v>
      </c>
    </row>
    <row r="3" spans="1:7" x14ac:dyDescent="0.25">
      <c r="A3" t="s">
        <v>1</v>
      </c>
      <c r="B3" t="s">
        <v>49</v>
      </c>
      <c r="C3" t="s">
        <v>49</v>
      </c>
      <c r="D3" t="str">
        <f>IF(B3=C3, "Sim", "Não")</f>
        <v>Sim</v>
      </c>
      <c r="F3" s="4" t="s">
        <v>10</v>
      </c>
      <c r="G3" s="3">
        <f>COUNTIF(D3:D105,"Não")</f>
        <v>1</v>
      </c>
    </row>
    <row r="4" spans="1:7" x14ac:dyDescent="0.25">
      <c r="A4" t="s">
        <v>1</v>
      </c>
      <c r="B4" t="s">
        <v>49</v>
      </c>
      <c r="C4" t="s">
        <v>49</v>
      </c>
      <c r="D4" t="str">
        <f t="shared" ref="D4:D67" si="0">IF(B4=C4, "Sim", "Não")</f>
        <v>Sim</v>
      </c>
      <c r="F4" s="4" t="s">
        <v>11</v>
      </c>
      <c r="G4" s="3">
        <f>SUM(G7:G25)</f>
        <v>75</v>
      </c>
    </row>
    <row r="5" spans="1:7" x14ac:dyDescent="0.25">
      <c r="A5" t="s">
        <v>1</v>
      </c>
      <c r="B5" t="s">
        <v>49</v>
      </c>
      <c r="C5" t="s">
        <v>49</v>
      </c>
      <c r="D5" t="str">
        <f t="shared" si="0"/>
        <v>Sim</v>
      </c>
    </row>
    <row r="6" spans="1:7" x14ac:dyDescent="0.25">
      <c r="A6" t="s">
        <v>1</v>
      </c>
      <c r="B6" t="s">
        <v>49</v>
      </c>
      <c r="C6" t="s">
        <v>49</v>
      </c>
      <c r="D6" t="str">
        <f t="shared" si="0"/>
        <v>Sim</v>
      </c>
      <c r="F6" s="6" t="s">
        <v>3</v>
      </c>
      <c r="G6" s="1"/>
    </row>
    <row r="7" spans="1:7" x14ac:dyDescent="0.25">
      <c r="A7" t="s">
        <v>1</v>
      </c>
      <c r="B7" t="s">
        <v>144</v>
      </c>
      <c r="C7" t="s">
        <v>144</v>
      </c>
      <c r="D7" t="str">
        <f t="shared" si="0"/>
        <v>Sim</v>
      </c>
      <c r="F7" s="7" t="s">
        <v>1</v>
      </c>
      <c r="G7" s="2">
        <f>COUNTIF(A:A,F7)</f>
        <v>20</v>
      </c>
    </row>
    <row r="8" spans="1:7" x14ac:dyDescent="0.25">
      <c r="A8" t="s">
        <v>1</v>
      </c>
      <c r="B8" t="s">
        <v>144</v>
      </c>
      <c r="C8" t="s">
        <v>144</v>
      </c>
      <c r="D8" t="str">
        <f t="shared" si="0"/>
        <v>Sim</v>
      </c>
      <c r="F8" s="7" t="s">
        <v>62</v>
      </c>
      <c r="G8" s="2">
        <f t="shared" ref="G8:G10" si="1">COUNTIF(A:A,F8)</f>
        <v>20</v>
      </c>
    </row>
    <row r="9" spans="1:7" x14ac:dyDescent="0.25">
      <c r="A9" t="s">
        <v>1</v>
      </c>
      <c r="B9" t="s">
        <v>144</v>
      </c>
      <c r="C9" t="s">
        <v>144</v>
      </c>
      <c r="D9" t="str">
        <f t="shared" si="0"/>
        <v>Sim</v>
      </c>
      <c r="F9" s="7" t="s">
        <v>133</v>
      </c>
      <c r="G9" s="2">
        <f t="shared" si="1"/>
        <v>6</v>
      </c>
    </row>
    <row r="10" spans="1:7" x14ac:dyDescent="0.25">
      <c r="A10" t="s">
        <v>1</v>
      </c>
      <c r="B10" t="s">
        <v>144</v>
      </c>
      <c r="C10" t="s">
        <v>144</v>
      </c>
      <c r="D10" t="str">
        <f t="shared" si="0"/>
        <v>Sim</v>
      </c>
      <c r="F10" s="7" t="s">
        <v>4</v>
      </c>
      <c r="G10" s="2">
        <f t="shared" si="1"/>
        <v>10</v>
      </c>
    </row>
    <row r="11" spans="1:7" x14ac:dyDescent="0.25">
      <c r="A11" t="s">
        <v>1</v>
      </c>
      <c r="B11" t="s">
        <v>146</v>
      </c>
      <c r="C11" t="s">
        <v>146</v>
      </c>
      <c r="D11" t="str">
        <f t="shared" si="0"/>
        <v>Sim</v>
      </c>
      <c r="F11" s="7" t="s">
        <v>14</v>
      </c>
      <c r="G11" s="2">
        <f>COUNTIF(A:A,F11)</f>
        <v>2</v>
      </c>
    </row>
    <row r="12" spans="1:7" x14ac:dyDescent="0.25">
      <c r="A12" t="s">
        <v>1</v>
      </c>
      <c r="B12" t="s">
        <v>146</v>
      </c>
      <c r="C12" t="s">
        <v>146</v>
      </c>
      <c r="D12" t="str">
        <f t="shared" si="0"/>
        <v>Sim</v>
      </c>
      <c r="F12" s="7" t="s">
        <v>15</v>
      </c>
      <c r="G12" s="2">
        <f>COUNTIF(A:A,F12)</f>
        <v>2</v>
      </c>
    </row>
    <row r="13" spans="1:7" x14ac:dyDescent="0.25">
      <c r="A13" t="s">
        <v>1</v>
      </c>
      <c r="B13" t="s">
        <v>146</v>
      </c>
      <c r="C13" t="s">
        <v>146</v>
      </c>
      <c r="D13" t="str">
        <f t="shared" si="0"/>
        <v>Sim</v>
      </c>
      <c r="F13" s="3" t="s">
        <v>57</v>
      </c>
      <c r="G13" s="2">
        <f>COUNTIF(A:A,F13)</f>
        <v>15</v>
      </c>
    </row>
    <row r="14" spans="1:7" x14ac:dyDescent="0.25">
      <c r="A14" t="s">
        <v>1</v>
      </c>
      <c r="B14" t="s">
        <v>146</v>
      </c>
      <c r="C14" t="s">
        <v>146</v>
      </c>
      <c r="D14" t="str">
        <f t="shared" si="0"/>
        <v>Sim</v>
      </c>
      <c r="F14" s="7"/>
      <c r="G14" s="2"/>
    </row>
    <row r="15" spans="1:7" x14ac:dyDescent="0.25">
      <c r="A15" t="s">
        <v>1</v>
      </c>
      <c r="B15" t="s">
        <v>142</v>
      </c>
      <c r="C15" t="s">
        <v>142</v>
      </c>
      <c r="D15" t="str">
        <f t="shared" si="0"/>
        <v>Sim</v>
      </c>
      <c r="F15" s="4"/>
      <c r="G15" s="2"/>
    </row>
    <row r="16" spans="1:7" x14ac:dyDescent="0.25">
      <c r="A16" t="s">
        <v>1</v>
      </c>
      <c r="B16" t="s">
        <v>142</v>
      </c>
      <c r="C16" t="s">
        <v>142</v>
      </c>
      <c r="D16" t="str">
        <f t="shared" si="0"/>
        <v>Sim</v>
      </c>
      <c r="F16" s="4"/>
      <c r="G16" s="2"/>
    </row>
    <row r="17" spans="1:4" x14ac:dyDescent="0.25">
      <c r="A17" t="s">
        <v>1</v>
      </c>
      <c r="B17" t="s">
        <v>142</v>
      </c>
      <c r="C17" t="s">
        <v>142</v>
      </c>
      <c r="D17" t="str">
        <f t="shared" si="0"/>
        <v>Sim</v>
      </c>
    </row>
    <row r="18" spans="1:4" x14ac:dyDescent="0.25">
      <c r="A18" t="s">
        <v>1</v>
      </c>
      <c r="B18" t="s">
        <v>2</v>
      </c>
      <c r="C18" t="s">
        <v>2</v>
      </c>
      <c r="D18" t="str">
        <f t="shared" si="0"/>
        <v>Sim</v>
      </c>
    </row>
    <row r="19" spans="1:4" x14ac:dyDescent="0.25">
      <c r="A19" t="s">
        <v>1</v>
      </c>
      <c r="B19" t="s">
        <v>145</v>
      </c>
      <c r="C19" t="s">
        <v>145</v>
      </c>
      <c r="D19" t="str">
        <f t="shared" si="0"/>
        <v>Sim</v>
      </c>
    </row>
    <row r="20" spans="1:4" x14ac:dyDescent="0.25">
      <c r="A20" t="s">
        <v>1</v>
      </c>
      <c r="B20" t="s">
        <v>12</v>
      </c>
      <c r="C20" t="s">
        <v>12</v>
      </c>
      <c r="D20" t="str">
        <f t="shared" si="0"/>
        <v>Sim</v>
      </c>
    </row>
    <row r="21" spans="1:4" x14ac:dyDescent="0.25">
      <c r="A21" t="s">
        <v>1</v>
      </c>
      <c r="C21" t="s">
        <v>143</v>
      </c>
      <c r="D21" t="str">
        <f t="shared" si="0"/>
        <v>Não</v>
      </c>
    </row>
    <row r="22" spans="1:4" x14ac:dyDescent="0.25">
      <c r="A22" t="s">
        <v>1</v>
      </c>
      <c r="B22" t="s">
        <v>20</v>
      </c>
      <c r="C22" t="s">
        <v>20</v>
      </c>
      <c r="D22" t="str">
        <f t="shared" si="0"/>
        <v>Sim</v>
      </c>
    </row>
    <row r="23" spans="1:4" x14ac:dyDescent="0.25">
      <c r="A23" t="s">
        <v>62</v>
      </c>
      <c r="B23" t="s">
        <v>100</v>
      </c>
      <c r="C23" t="s">
        <v>100</v>
      </c>
      <c r="D23" t="str">
        <f t="shared" si="0"/>
        <v>Sim</v>
      </c>
    </row>
    <row r="24" spans="1:4" x14ac:dyDescent="0.25">
      <c r="A24" t="s">
        <v>62</v>
      </c>
      <c r="B24" t="s">
        <v>100</v>
      </c>
      <c r="C24" t="s">
        <v>100</v>
      </c>
      <c r="D24" t="str">
        <f t="shared" si="0"/>
        <v>Sim</v>
      </c>
    </row>
    <row r="25" spans="1:4" x14ac:dyDescent="0.25">
      <c r="A25" t="s">
        <v>62</v>
      </c>
      <c r="B25" t="s">
        <v>100</v>
      </c>
      <c r="C25" t="s">
        <v>100</v>
      </c>
      <c r="D25" t="str">
        <f t="shared" si="0"/>
        <v>Sim</v>
      </c>
    </row>
    <row r="26" spans="1:4" x14ac:dyDescent="0.25">
      <c r="A26" t="s">
        <v>62</v>
      </c>
      <c r="B26" t="s">
        <v>100</v>
      </c>
      <c r="C26" t="s">
        <v>100</v>
      </c>
      <c r="D26" t="str">
        <f t="shared" si="0"/>
        <v>Sim</v>
      </c>
    </row>
    <row r="27" spans="1:4" x14ac:dyDescent="0.25">
      <c r="A27" t="s">
        <v>62</v>
      </c>
      <c r="B27" t="s">
        <v>102</v>
      </c>
      <c r="C27" t="s">
        <v>102</v>
      </c>
      <c r="D27" t="str">
        <f t="shared" si="0"/>
        <v>Sim</v>
      </c>
    </row>
    <row r="28" spans="1:4" x14ac:dyDescent="0.25">
      <c r="A28" t="s">
        <v>62</v>
      </c>
      <c r="B28" t="s">
        <v>102</v>
      </c>
      <c r="C28" t="s">
        <v>102</v>
      </c>
      <c r="D28" t="str">
        <f t="shared" si="0"/>
        <v>Sim</v>
      </c>
    </row>
    <row r="29" spans="1:4" x14ac:dyDescent="0.25">
      <c r="A29" t="s">
        <v>62</v>
      </c>
      <c r="B29" t="s">
        <v>102</v>
      </c>
      <c r="C29" t="s">
        <v>102</v>
      </c>
      <c r="D29" t="str">
        <f t="shared" si="0"/>
        <v>Sim</v>
      </c>
    </row>
    <row r="30" spans="1:4" x14ac:dyDescent="0.25">
      <c r="A30" t="s">
        <v>62</v>
      </c>
      <c r="B30" t="s">
        <v>102</v>
      </c>
      <c r="C30" t="s">
        <v>102</v>
      </c>
      <c r="D30" t="str">
        <f t="shared" si="0"/>
        <v>Sim</v>
      </c>
    </row>
    <row r="31" spans="1:4" x14ac:dyDescent="0.25">
      <c r="A31" t="s">
        <v>62</v>
      </c>
      <c r="B31" t="s">
        <v>101</v>
      </c>
      <c r="C31" t="s">
        <v>101</v>
      </c>
      <c r="D31" t="str">
        <f t="shared" si="0"/>
        <v>Sim</v>
      </c>
    </row>
    <row r="32" spans="1:4" x14ac:dyDescent="0.25">
      <c r="A32" t="s">
        <v>62</v>
      </c>
      <c r="B32" t="s">
        <v>101</v>
      </c>
      <c r="C32" t="s">
        <v>101</v>
      </c>
      <c r="D32" t="str">
        <f t="shared" si="0"/>
        <v>Sim</v>
      </c>
    </row>
    <row r="33" spans="1:6" x14ac:dyDescent="0.25">
      <c r="A33" t="s">
        <v>62</v>
      </c>
      <c r="B33" t="s">
        <v>101</v>
      </c>
      <c r="C33" t="s">
        <v>101</v>
      </c>
      <c r="D33" t="str">
        <f t="shared" si="0"/>
        <v>Sim</v>
      </c>
    </row>
    <row r="34" spans="1:6" x14ac:dyDescent="0.25">
      <c r="A34" t="s">
        <v>62</v>
      </c>
      <c r="B34" t="s">
        <v>101</v>
      </c>
      <c r="C34" t="s">
        <v>101</v>
      </c>
      <c r="D34" t="str">
        <f t="shared" si="0"/>
        <v>Sim</v>
      </c>
    </row>
    <row r="35" spans="1:6" x14ac:dyDescent="0.25">
      <c r="A35" t="s">
        <v>62</v>
      </c>
      <c r="B35" t="s">
        <v>128</v>
      </c>
      <c r="C35" t="s">
        <v>128</v>
      </c>
      <c r="D35" t="str">
        <f t="shared" si="0"/>
        <v>Sim</v>
      </c>
      <c r="F35" s="3" t="s">
        <v>140</v>
      </c>
    </row>
    <row r="36" spans="1:6" x14ac:dyDescent="0.25">
      <c r="A36" t="s">
        <v>62</v>
      </c>
      <c r="B36" t="s">
        <v>128</v>
      </c>
      <c r="C36" t="s">
        <v>128</v>
      </c>
      <c r="D36" t="str">
        <f t="shared" si="0"/>
        <v>Sim</v>
      </c>
      <c r="F36" s="3" t="s">
        <v>129</v>
      </c>
    </row>
    <row r="37" spans="1:6" x14ac:dyDescent="0.25">
      <c r="A37" t="s">
        <v>62</v>
      </c>
      <c r="B37" t="s">
        <v>128</v>
      </c>
      <c r="C37" t="s">
        <v>128</v>
      </c>
      <c r="D37" t="str">
        <f t="shared" ref="D37:D44" si="2">IF(B37=C37, "Sim", "Não")</f>
        <v>Sim</v>
      </c>
      <c r="F37" s="3" t="s">
        <v>130</v>
      </c>
    </row>
    <row r="38" spans="1:6" x14ac:dyDescent="0.25">
      <c r="A38" t="s">
        <v>62</v>
      </c>
      <c r="B38" t="s">
        <v>128</v>
      </c>
      <c r="C38" t="s">
        <v>128</v>
      </c>
      <c r="D38" t="str">
        <f t="shared" si="2"/>
        <v>Sim</v>
      </c>
      <c r="F38" s="3" t="s">
        <v>131</v>
      </c>
    </row>
    <row r="39" spans="1:6" x14ac:dyDescent="0.25">
      <c r="A39" t="s">
        <v>62</v>
      </c>
      <c r="B39" t="s">
        <v>107</v>
      </c>
      <c r="C39" t="s">
        <v>107</v>
      </c>
      <c r="D39" t="str">
        <f t="shared" si="2"/>
        <v>Sim</v>
      </c>
      <c r="F39" s="3" t="s">
        <v>177</v>
      </c>
    </row>
    <row r="40" spans="1:6" x14ac:dyDescent="0.25">
      <c r="A40" t="s">
        <v>62</v>
      </c>
      <c r="B40" t="s">
        <v>107</v>
      </c>
      <c r="C40" t="s">
        <v>107</v>
      </c>
      <c r="D40" t="str">
        <f t="shared" si="2"/>
        <v>Sim</v>
      </c>
    </row>
    <row r="41" spans="1:6" x14ac:dyDescent="0.25">
      <c r="A41" t="s">
        <v>62</v>
      </c>
      <c r="B41" t="s">
        <v>107</v>
      </c>
      <c r="C41" t="s">
        <v>107</v>
      </c>
      <c r="D41" t="str">
        <f t="shared" si="2"/>
        <v>Sim</v>
      </c>
    </row>
    <row r="42" spans="1:6" x14ac:dyDescent="0.25">
      <c r="A42" t="s">
        <v>62</v>
      </c>
      <c r="B42" t="s">
        <v>107</v>
      </c>
      <c r="C42" t="s">
        <v>107</v>
      </c>
      <c r="D42" t="str">
        <f t="shared" si="2"/>
        <v>Sim</v>
      </c>
    </row>
    <row r="43" spans="1:6" x14ac:dyDescent="0.25">
      <c r="A43" t="s">
        <v>4</v>
      </c>
      <c r="B43" s="14" t="s">
        <v>132</v>
      </c>
      <c r="C43" s="14" t="s">
        <v>132</v>
      </c>
      <c r="D43" t="str">
        <f t="shared" si="2"/>
        <v>Sim</v>
      </c>
    </row>
    <row r="44" spans="1:6" x14ac:dyDescent="0.25">
      <c r="A44" t="s">
        <v>4</v>
      </c>
      <c r="B44" s="14" t="s">
        <v>132</v>
      </c>
      <c r="C44" s="14" t="s">
        <v>132</v>
      </c>
      <c r="D44" t="str">
        <f t="shared" si="2"/>
        <v>Sim</v>
      </c>
    </row>
    <row r="45" spans="1:6" x14ac:dyDescent="0.25">
      <c r="A45" t="s">
        <v>4</v>
      </c>
      <c r="B45" t="s">
        <v>132</v>
      </c>
      <c r="C45" t="s">
        <v>132</v>
      </c>
      <c r="D45" t="str">
        <f t="shared" si="0"/>
        <v>Sim</v>
      </c>
    </row>
    <row r="46" spans="1:6" x14ac:dyDescent="0.25">
      <c r="A46" t="s">
        <v>4</v>
      </c>
      <c r="B46" t="s">
        <v>132</v>
      </c>
      <c r="C46" t="s">
        <v>132</v>
      </c>
      <c r="D46" t="str">
        <f t="shared" si="0"/>
        <v>Sim</v>
      </c>
    </row>
    <row r="47" spans="1:6" x14ac:dyDescent="0.25">
      <c r="A47" t="s">
        <v>4</v>
      </c>
      <c r="B47" t="s">
        <v>52</v>
      </c>
      <c r="C47" t="s">
        <v>52</v>
      </c>
      <c r="D47" t="str">
        <f t="shared" si="0"/>
        <v>Sim</v>
      </c>
    </row>
    <row r="48" spans="1:6" x14ac:dyDescent="0.25">
      <c r="A48" t="s">
        <v>4</v>
      </c>
      <c r="B48" t="s">
        <v>52</v>
      </c>
      <c r="C48" t="s">
        <v>52</v>
      </c>
      <c r="D48" t="str">
        <f t="shared" si="0"/>
        <v>Sim</v>
      </c>
    </row>
    <row r="49" spans="1:6" x14ac:dyDescent="0.25">
      <c r="A49" t="s">
        <v>4</v>
      </c>
      <c r="B49" t="s">
        <v>64</v>
      </c>
      <c r="C49" t="s">
        <v>64</v>
      </c>
      <c r="D49" t="str">
        <f t="shared" si="0"/>
        <v>Sim</v>
      </c>
    </row>
    <row r="50" spans="1:6" x14ac:dyDescent="0.25">
      <c r="A50" t="s">
        <v>4</v>
      </c>
      <c r="B50" t="s">
        <v>64</v>
      </c>
      <c r="C50" t="s">
        <v>64</v>
      </c>
      <c r="D50" t="str">
        <f t="shared" si="0"/>
        <v>Sim</v>
      </c>
    </row>
    <row r="51" spans="1:6" x14ac:dyDescent="0.25">
      <c r="A51" t="s">
        <v>4</v>
      </c>
      <c r="B51" s="14" t="s">
        <v>64</v>
      </c>
      <c r="C51" s="14" t="s">
        <v>64</v>
      </c>
      <c r="D51" t="str">
        <f t="shared" si="0"/>
        <v>Sim</v>
      </c>
    </row>
    <row r="52" spans="1:6" x14ac:dyDescent="0.25">
      <c r="A52" t="s">
        <v>4</v>
      </c>
      <c r="B52" s="14" t="s">
        <v>64</v>
      </c>
      <c r="C52" s="14" t="s">
        <v>64</v>
      </c>
      <c r="D52" t="str">
        <f t="shared" si="0"/>
        <v>Sim</v>
      </c>
    </row>
    <row r="53" spans="1:6" x14ac:dyDescent="0.25">
      <c r="A53" t="s">
        <v>133</v>
      </c>
      <c r="B53" t="s">
        <v>134</v>
      </c>
      <c r="C53" t="s">
        <v>134</v>
      </c>
      <c r="D53" t="str">
        <f t="shared" si="0"/>
        <v>Sim</v>
      </c>
    </row>
    <row r="54" spans="1:6" x14ac:dyDescent="0.25">
      <c r="A54" t="s">
        <v>133</v>
      </c>
      <c r="B54" t="s">
        <v>134</v>
      </c>
      <c r="C54" t="s">
        <v>134</v>
      </c>
      <c r="D54" t="str">
        <f t="shared" si="0"/>
        <v>Sim</v>
      </c>
    </row>
    <row r="55" spans="1:6" x14ac:dyDescent="0.25">
      <c r="A55" t="s">
        <v>133</v>
      </c>
      <c r="B55" t="s">
        <v>134</v>
      </c>
      <c r="C55" t="s">
        <v>134</v>
      </c>
      <c r="D55" t="str">
        <f t="shared" si="0"/>
        <v>Sim</v>
      </c>
    </row>
    <row r="56" spans="1:6" x14ac:dyDescent="0.25">
      <c r="A56" t="s">
        <v>133</v>
      </c>
      <c r="B56" t="s">
        <v>134</v>
      </c>
      <c r="C56" t="s">
        <v>134</v>
      </c>
      <c r="D56" t="str">
        <f t="shared" si="0"/>
        <v>Sim</v>
      </c>
    </row>
    <row r="57" spans="1:6" x14ac:dyDescent="0.25">
      <c r="A57" t="s">
        <v>133</v>
      </c>
      <c r="B57" t="s">
        <v>136</v>
      </c>
      <c r="C57" t="s">
        <v>136</v>
      </c>
      <c r="D57" t="str">
        <f t="shared" si="0"/>
        <v>Sim</v>
      </c>
    </row>
    <row r="58" spans="1:6" x14ac:dyDescent="0.25">
      <c r="A58" t="s">
        <v>133</v>
      </c>
      <c r="B58" t="s">
        <v>136</v>
      </c>
      <c r="C58" t="s">
        <v>136</v>
      </c>
      <c r="D58" t="str">
        <f t="shared" si="0"/>
        <v>Sim</v>
      </c>
    </row>
    <row r="59" spans="1:6" x14ac:dyDescent="0.25">
      <c r="A59" t="s">
        <v>14</v>
      </c>
      <c r="B59" s="14" t="s">
        <v>135</v>
      </c>
      <c r="C59" s="14" t="s">
        <v>135</v>
      </c>
      <c r="D59" t="str">
        <f t="shared" si="0"/>
        <v>Sim</v>
      </c>
    </row>
    <row r="60" spans="1:6" x14ac:dyDescent="0.25">
      <c r="A60" t="s">
        <v>14</v>
      </c>
      <c r="B60" s="14" t="s">
        <v>135</v>
      </c>
      <c r="C60" s="14" t="s">
        <v>135</v>
      </c>
      <c r="D60" t="str">
        <f t="shared" si="0"/>
        <v>Sim</v>
      </c>
      <c r="F60" s="5"/>
    </row>
    <row r="61" spans="1:6" x14ac:dyDescent="0.25">
      <c r="A61" t="s">
        <v>15</v>
      </c>
      <c r="B61" t="s">
        <v>139</v>
      </c>
      <c r="C61" t="s">
        <v>139</v>
      </c>
      <c r="D61" t="str">
        <f t="shared" si="0"/>
        <v>Sim</v>
      </c>
      <c r="F61" s="5"/>
    </row>
    <row r="62" spans="1:6" x14ac:dyDescent="0.25">
      <c r="A62" t="s">
        <v>15</v>
      </c>
      <c r="B62" t="s">
        <v>139</v>
      </c>
      <c r="C62" t="s">
        <v>139</v>
      </c>
      <c r="D62" t="str">
        <f t="shared" si="0"/>
        <v>Sim</v>
      </c>
      <c r="F62" s="5"/>
    </row>
    <row r="63" spans="1:6" x14ac:dyDescent="0.25">
      <c r="A63" t="s">
        <v>57</v>
      </c>
      <c r="B63" s="5" t="s">
        <v>98</v>
      </c>
      <c r="C63" s="5" t="s">
        <v>98</v>
      </c>
      <c r="D63" t="str">
        <f t="shared" si="0"/>
        <v>Sim</v>
      </c>
      <c r="F63" s="5"/>
    </row>
    <row r="64" spans="1:6" x14ac:dyDescent="0.25">
      <c r="A64" t="s">
        <v>57</v>
      </c>
      <c r="B64" s="5" t="s">
        <v>98</v>
      </c>
      <c r="C64" s="5" t="s">
        <v>98</v>
      </c>
      <c r="D64" t="str">
        <f t="shared" si="0"/>
        <v>Sim</v>
      </c>
      <c r="F64" s="5"/>
    </row>
    <row r="65" spans="1:6" x14ac:dyDescent="0.25">
      <c r="A65" t="s">
        <v>57</v>
      </c>
      <c r="B65" s="5" t="s">
        <v>137</v>
      </c>
      <c r="C65" s="5" t="s">
        <v>137</v>
      </c>
      <c r="D65" t="str">
        <f t="shared" si="0"/>
        <v>Sim</v>
      </c>
      <c r="F65" s="5"/>
    </row>
    <row r="66" spans="1:6" x14ac:dyDescent="0.25">
      <c r="A66" t="s">
        <v>57</v>
      </c>
      <c r="B66" s="5" t="s">
        <v>137</v>
      </c>
      <c r="C66" s="5" t="s">
        <v>137</v>
      </c>
      <c r="D66" t="str">
        <f t="shared" si="0"/>
        <v>Sim</v>
      </c>
      <c r="F66" s="13" t="s">
        <v>138</v>
      </c>
    </row>
    <row r="67" spans="1:6" x14ac:dyDescent="0.25">
      <c r="A67" t="s">
        <v>57</v>
      </c>
      <c r="B67" s="14" t="s">
        <v>135</v>
      </c>
      <c r="C67" s="14" t="s">
        <v>135</v>
      </c>
      <c r="D67" t="str">
        <f t="shared" si="0"/>
        <v>Sim</v>
      </c>
      <c r="F67" s="5"/>
    </row>
    <row r="68" spans="1:6" x14ac:dyDescent="0.25">
      <c r="A68" t="s">
        <v>57</v>
      </c>
      <c r="B68" s="14" t="s">
        <v>135</v>
      </c>
      <c r="C68" s="14" t="s">
        <v>135</v>
      </c>
      <c r="D68" t="str">
        <f t="shared" ref="D68:D77" si="3">IF(B68=C68, "Sim", "Não")</f>
        <v>Sim</v>
      </c>
      <c r="F68" s="5"/>
    </row>
    <row r="69" spans="1:6" x14ac:dyDescent="0.25">
      <c r="A69" t="s">
        <v>57</v>
      </c>
      <c r="B69" t="s">
        <v>106</v>
      </c>
      <c r="C69" t="s">
        <v>106</v>
      </c>
      <c r="D69" t="str">
        <f t="shared" si="3"/>
        <v>Sim</v>
      </c>
      <c r="F69" s="5"/>
    </row>
    <row r="70" spans="1:6" x14ac:dyDescent="0.25">
      <c r="A70" t="s">
        <v>57</v>
      </c>
      <c r="B70" t="s">
        <v>106</v>
      </c>
      <c r="C70" t="s">
        <v>106</v>
      </c>
      <c r="D70" t="str">
        <f t="shared" si="3"/>
        <v>Sim</v>
      </c>
      <c r="F70" s="5"/>
    </row>
    <row r="71" spans="1:6" x14ac:dyDescent="0.25">
      <c r="A71" t="s">
        <v>57</v>
      </c>
      <c r="B71" t="s">
        <v>97</v>
      </c>
      <c r="C71" t="s">
        <v>97</v>
      </c>
      <c r="D71" t="str">
        <f t="shared" si="3"/>
        <v>Sim</v>
      </c>
      <c r="F71" s="5"/>
    </row>
    <row r="72" spans="1:6" x14ac:dyDescent="0.25">
      <c r="A72" t="s">
        <v>57</v>
      </c>
      <c r="B72" t="s">
        <v>97</v>
      </c>
      <c r="C72" t="s">
        <v>97</v>
      </c>
      <c r="D72" t="str">
        <f t="shared" si="3"/>
        <v>Sim</v>
      </c>
    </row>
    <row r="73" spans="1:6" x14ac:dyDescent="0.25">
      <c r="A73" t="s">
        <v>57</v>
      </c>
      <c r="B73" s="14" t="s">
        <v>97</v>
      </c>
      <c r="C73" s="14" t="s">
        <v>97</v>
      </c>
      <c r="D73" t="str">
        <f t="shared" si="3"/>
        <v>Sim</v>
      </c>
    </row>
    <row r="74" spans="1:6" x14ac:dyDescent="0.25">
      <c r="A74" t="s">
        <v>57</v>
      </c>
      <c r="B74" t="s">
        <v>124</v>
      </c>
      <c r="C74" t="s">
        <v>124</v>
      </c>
      <c r="D74" t="str">
        <f t="shared" si="3"/>
        <v>Sim</v>
      </c>
    </row>
    <row r="75" spans="1:6" x14ac:dyDescent="0.25">
      <c r="A75" t="s">
        <v>57</v>
      </c>
      <c r="B75" t="s">
        <v>124</v>
      </c>
      <c r="C75" t="s">
        <v>124</v>
      </c>
      <c r="D75" t="str">
        <f t="shared" si="3"/>
        <v>Sim</v>
      </c>
    </row>
    <row r="76" spans="1:6" x14ac:dyDescent="0.25">
      <c r="A76" t="s">
        <v>57</v>
      </c>
      <c r="B76" t="s">
        <v>150</v>
      </c>
      <c r="C76" t="s">
        <v>150</v>
      </c>
      <c r="D76" t="str">
        <f t="shared" si="3"/>
        <v>Sim</v>
      </c>
    </row>
    <row r="77" spans="1:6" x14ac:dyDescent="0.25">
      <c r="A77" t="s">
        <v>57</v>
      </c>
      <c r="B77" t="s">
        <v>150</v>
      </c>
      <c r="C77" t="s">
        <v>150</v>
      </c>
      <c r="D77" t="str">
        <f t="shared" si="3"/>
        <v>Sim</v>
      </c>
    </row>
    <row r="78" spans="1:6" x14ac:dyDescent="0.25">
      <c r="A78"/>
    </row>
    <row r="79" spans="1:6" x14ac:dyDescent="0.25">
      <c r="A79"/>
    </row>
    <row r="80" spans="1:6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1C087-581E-4F3B-896E-DD1E94293E2E}">
  <dimension ref="A1:G100"/>
  <sheetViews>
    <sheetView workbookViewId="0">
      <selection activeCell="I27" sqref="I27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8" t="s">
        <v>109</v>
      </c>
      <c r="B1" s="18"/>
      <c r="C1" s="18"/>
      <c r="D1" s="18"/>
      <c r="E1" s="18"/>
      <c r="F1" s="18"/>
      <c r="G1" s="18"/>
    </row>
    <row r="2" spans="1:7" x14ac:dyDescent="0.25">
      <c r="A2" s="4" t="s">
        <v>0</v>
      </c>
      <c r="B2" s="4" t="s">
        <v>8</v>
      </c>
      <c r="C2" s="4" t="s">
        <v>9</v>
      </c>
      <c r="D2" s="4" t="s">
        <v>7</v>
      </c>
    </row>
    <row r="3" spans="1:7" x14ac:dyDescent="0.25">
      <c r="A3" t="s">
        <v>1</v>
      </c>
      <c r="B3" t="s">
        <v>24</v>
      </c>
      <c r="C3" t="s">
        <v>24</v>
      </c>
      <c r="D3" t="str">
        <f>IF(B3=C3, "Sim", "Não")</f>
        <v>Sim</v>
      </c>
      <c r="F3" s="4" t="s">
        <v>10</v>
      </c>
      <c r="G3" s="3">
        <f>COUNTIF(D3:D105,"Não")</f>
        <v>36</v>
      </c>
    </row>
    <row r="4" spans="1:7" x14ac:dyDescent="0.25">
      <c r="A4" t="s">
        <v>1</v>
      </c>
      <c r="B4" t="s">
        <v>24</v>
      </c>
      <c r="C4" t="s">
        <v>24</v>
      </c>
      <c r="D4" t="str">
        <f t="shared" ref="D4:D67" si="0">IF(B4=C4, "Sim", "Não")</f>
        <v>Sim</v>
      </c>
      <c r="F4" s="4" t="s">
        <v>11</v>
      </c>
      <c r="G4" s="3">
        <f>SUM(G7:G25)</f>
        <v>75</v>
      </c>
    </row>
    <row r="5" spans="1:7" x14ac:dyDescent="0.25">
      <c r="A5" t="s">
        <v>1</v>
      </c>
      <c r="B5" t="s">
        <v>24</v>
      </c>
      <c r="C5" t="s">
        <v>24</v>
      </c>
      <c r="D5" t="str">
        <f t="shared" si="0"/>
        <v>Sim</v>
      </c>
    </row>
    <row r="6" spans="1:7" x14ac:dyDescent="0.25">
      <c r="A6" t="s">
        <v>1</v>
      </c>
      <c r="B6" t="s">
        <v>24</v>
      </c>
      <c r="C6" t="s">
        <v>56</v>
      </c>
      <c r="D6" t="str">
        <f t="shared" si="0"/>
        <v>Não</v>
      </c>
      <c r="F6" s="6" t="s">
        <v>3</v>
      </c>
      <c r="G6" s="1"/>
    </row>
    <row r="7" spans="1:7" x14ac:dyDescent="0.25">
      <c r="A7" t="s">
        <v>1</v>
      </c>
      <c r="B7" t="s">
        <v>12</v>
      </c>
      <c r="C7" t="s">
        <v>56</v>
      </c>
      <c r="D7" t="str">
        <f t="shared" si="0"/>
        <v>Não</v>
      </c>
      <c r="F7" s="7" t="s">
        <v>1</v>
      </c>
      <c r="G7" s="2">
        <f>COUNTIF(A:A,F7)</f>
        <v>20</v>
      </c>
    </row>
    <row r="8" spans="1:7" x14ac:dyDescent="0.25">
      <c r="A8" t="s">
        <v>1</v>
      </c>
      <c r="B8" t="s">
        <v>12</v>
      </c>
      <c r="C8" t="s">
        <v>56</v>
      </c>
      <c r="D8" t="str">
        <f t="shared" si="0"/>
        <v>Não</v>
      </c>
      <c r="F8" s="7" t="s">
        <v>88</v>
      </c>
      <c r="G8" s="2">
        <f t="shared" ref="G8:G12" si="1">COUNTIF(A:A,F8)</f>
        <v>24</v>
      </c>
    </row>
    <row r="9" spans="1:7" x14ac:dyDescent="0.25">
      <c r="A9" t="s">
        <v>1</v>
      </c>
      <c r="B9" t="s">
        <v>12</v>
      </c>
      <c r="C9" t="s">
        <v>56</v>
      </c>
      <c r="D9" t="str">
        <f t="shared" si="0"/>
        <v>Não</v>
      </c>
      <c r="F9" s="7" t="s">
        <v>18</v>
      </c>
      <c r="G9" s="2">
        <f t="shared" si="1"/>
        <v>4</v>
      </c>
    </row>
    <row r="10" spans="1:7" x14ac:dyDescent="0.25">
      <c r="A10" t="s">
        <v>1</v>
      </c>
      <c r="B10" t="s">
        <v>12</v>
      </c>
      <c r="C10" t="s">
        <v>112</v>
      </c>
      <c r="D10" t="str">
        <f t="shared" si="0"/>
        <v>Não</v>
      </c>
      <c r="F10" s="7" t="s">
        <v>4</v>
      </c>
      <c r="G10" s="2">
        <f t="shared" si="1"/>
        <v>8</v>
      </c>
    </row>
    <row r="11" spans="1:7" x14ac:dyDescent="0.25">
      <c r="A11" t="s">
        <v>1</v>
      </c>
      <c r="B11" t="s">
        <v>12</v>
      </c>
      <c r="C11" t="s">
        <v>112</v>
      </c>
      <c r="D11" t="str">
        <f t="shared" si="0"/>
        <v>Não</v>
      </c>
      <c r="F11" s="7" t="s">
        <v>23</v>
      </c>
      <c r="G11" s="2">
        <f t="shared" si="1"/>
        <v>4</v>
      </c>
    </row>
    <row r="12" spans="1:7" x14ac:dyDescent="0.25">
      <c r="A12" t="s">
        <v>1</v>
      </c>
      <c r="B12" t="s">
        <v>12</v>
      </c>
      <c r="C12" t="s">
        <v>112</v>
      </c>
      <c r="D12" t="str">
        <f t="shared" si="0"/>
        <v>Não</v>
      </c>
      <c r="F12" s="7" t="s">
        <v>57</v>
      </c>
      <c r="G12" s="2">
        <f t="shared" si="1"/>
        <v>15</v>
      </c>
    </row>
    <row r="13" spans="1:7" x14ac:dyDescent="0.25">
      <c r="A13" t="s">
        <v>1</v>
      </c>
      <c r="B13" t="s">
        <v>12</v>
      </c>
      <c r="C13" t="s">
        <v>94</v>
      </c>
      <c r="D13" t="str">
        <f t="shared" si="0"/>
        <v>Não</v>
      </c>
      <c r="F13" s="7"/>
      <c r="G13" s="2"/>
    </row>
    <row r="14" spans="1:7" x14ac:dyDescent="0.25">
      <c r="A14" t="s">
        <v>1</v>
      </c>
      <c r="B14" t="s">
        <v>12</v>
      </c>
      <c r="C14" t="s">
        <v>12</v>
      </c>
      <c r="D14" t="str">
        <f t="shared" si="0"/>
        <v>Sim</v>
      </c>
      <c r="F14" s="7"/>
      <c r="G14" s="2"/>
    </row>
    <row r="15" spans="1:7" x14ac:dyDescent="0.25">
      <c r="A15" t="s">
        <v>1</v>
      </c>
      <c r="B15" t="s">
        <v>20</v>
      </c>
      <c r="C15" t="s">
        <v>12</v>
      </c>
      <c r="D15" t="str">
        <f t="shared" si="0"/>
        <v>Não</v>
      </c>
      <c r="F15" s="4"/>
      <c r="G15" s="2"/>
    </row>
    <row r="16" spans="1:7" x14ac:dyDescent="0.25">
      <c r="A16" t="s">
        <v>1</v>
      </c>
      <c r="B16" t="s">
        <v>20</v>
      </c>
      <c r="C16" t="s">
        <v>12</v>
      </c>
      <c r="D16" t="str">
        <f t="shared" si="0"/>
        <v>Não</v>
      </c>
      <c r="F16" s="4"/>
      <c r="G16" s="2"/>
    </row>
    <row r="17" spans="1:4" x14ac:dyDescent="0.25">
      <c r="A17" t="s">
        <v>1</v>
      </c>
      <c r="B17" t="s">
        <v>20</v>
      </c>
      <c r="C17" t="s">
        <v>13</v>
      </c>
      <c r="D17" t="str">
        <f t="shared" si="0"/>
        <v>Não</v>
      </c>
    </row>
    <row r="18" spans="1:4" x14ac:dyDescent="0.25">
      <c r="A18" t="s">
        <v>1</v>
      </c>
      <c r="B18" t="s">
        <v>20</v>
      </c>
      <c r="C18" t="s">
        <v>13</v>
      </c>
      <c r="D18" t="str">
        <f t="shared" si="0"/>
        <v>Não</v>
      </c>
    </row>
    <row r="19" spans="1:4" x14ac:dyDescent="0.25">
      <c r="A19" t="s">
        <v>1</v>
      </c>
      <c r="B19" t="s">
        <v>20</v>
      </c>
      <c r="C19" t="s">
        <v>13</v>
      </c>
      <c r="D19" t="str">
        <f t="shared" si="0"/>
        <v>Não</v>
      </c>
    </row>
    <row r="20" spans="1:4" x14ac:dyDescent="0.25">
      <c r="A20" t="s">
        <v>1</v>
      </c>
      <c r="B20" t="s">
        <v>20</v>
      </c>
      <c r="C20" t="s">
        <v>20</v>
      </c>
      <c r="D20" t="str">
        <f t="shared" si="0"/>
        <v>Sim</v>
      </c>
    </row>
    <row r="21" spans="1:4" x14ac:dyDescent="0.25">
      <c r="A21" t="s">
        <v>1</v>
      </c>
      <c r="B21" t="s">
        <v>20</v>
      </c>
      <c r="C21" t="s">
        <v>20</v>
      </c>
      <c r="D21" t="str">
        <f t="shared" si="0"/>
        <v>Sim</v>
      </c>
    </row>
    <row r="22" spans="1:4" x14ac:dyDescent="0.25">
      <c r="A22" t="s">
        <v>1</v>
      </c>
      <c r="B22" t="s">
        <v>20</v>
      </c>
      <c r="C22" t="s">
        <v>20</v>
      </c>
      <c r="D22" t="str">
        <f t="shared" si="0"/>
        <v>Sim</v>
      </c>
    </row>
    <row r="23" spans="1:4" x14ac:dyDescent="0.25">
      <c r="A23" t="s">
        <v>88</v>
      </c>
      <c r="B23" t="s">
        <v>41</v>
      </c>
      <c r="C23" t="s">
        <v>41</v>
      </c>
      <c r="D23" t="str">
        <f t="shared" si="0"/>
        <v>Sim</v>
      </c>
    </row>
    <row r="24" spans="1:4" x14ac:dyDescent="0.25">
      <c r="A24" t="s">
        <v>88</v>
      </c>
      <c r="B24" t="s">
        <v>41</v>
      </c>
      <c r="C24" t="s">
        <v>41</v>
      </c>
      <c r="D24" t="str">
        <f t="shared" si="0"/>
        <v>Sim</v>
      </c>
    </row>
    <row r="25" spans="1:4" x14ac:dyDescent="0.25">
      <c r="A25" t="s">
        <v>88</v>
      </c>
      <c r="B25" t="s">
        <v>41</v>
      </c>
      <c r="C25" t="s">
        <v>41</v>
      </c>
      <c r="D25" t="str">
        <f t="shared" si="0"/>
        <v>Sim</v>
      </c>
    </row>
    <row r="26" spans="1:4" x14ac:dyDescent="0.25">
      <c r="A26" t="s">
        <v>88</v>
      </c>
      <c r="B26" t="s">
        <v>41</v>
      </c>
      <c r="C26" t="s">
        <v>41</v>
      </c>
      <c r="D26" t="str">
        <f t="shared" si="0"/>
        <v>Sim</v>
      </c>
    </row>
    <row r="27" spans="1:4" x14ac:dyDescent="0.25">
      <c r="A27" t="s">
        <v>88</v>
      </c>
      <c r="B27" t="s">
        <v>42</v>
      </c>
      <c r="C27" t="s">
        <v>42</v>
      </c>
      <c r="D27" t="str">
        <f t="shared" si="0"/>
        <v>Sim</v>
      </c>
    </row>
    <row r="28" spans="1:4" x14ac:dyDescent="0.25">
      <c r="A28" t="s">
        <v>88</v>
      </c>
      <c r="B28" t="s">
        <v>42</v>
      </c>
      <c r="C28" t="s">
        <v>42</v>
      </c>
      <c r="D28" t="str">
        <f t="shared" si="0"/>
        <v>Sim</v>
      </c>
    </row>
    <row r="29" spans="1:4" x14ac:dyDescent="0.25">
      <c r="A29" t="s">
        <v>88</v>
      </c>
      <c r="B29" t="s">
        <v>42</v>
      </c>
      <c r="C29" t="s">
        <v>42</v>
      </c>
      <c r="D29" t="str">
        <f t="shared" si="0"/>
        <v>Sim</v>
      </c>
    </row>
    <row r="30" spans="1:4" x14ac:dyDescent="0.25">
      <c r="A30" t="s">
        <v>88</v>
      </c>
      <c r="B30" t="s">
        <v>42</v>
      </c>
      <c r="C30" t="s">
        <v>42</v>
      </c>
      <c r="D30" t="str">
        <f t="shared" si="0"/>
        <v>Sim</v>
      </c>
    </row>
    <row r="31" spans="1:4" x14ac:dyDescent="0.25">
      <c r="A31" t="s">
        <v>88</v>
      </c>
      <c r="B31" t="s">
        <v>87</v>
      </c>
      <c r="C31" t="s">
        <v>87</v>
      </c>
      <c r="D31" t="str">
        <f t="shared" si="0"/>
        <v>Sim</v>
      </c>
    </row>
    <row r="32" spans="1:4" x14ac:dyDescent="0.25">
      <c r="A32" t="s">
        <v>88</v>
      </c>
      <c r="B32" t="s">
        <v>87</v>
      </c>
      <c r="C32" t="s">
        <v>87</v>
      </c>
      <c r="D32" t="str">
        <f t="shared" si="0"/>
        <v>Sim</v>
      </c>
    </row>
    <row r="33" spans="1:4" x14ac:dyDescent="0.25">
      <c r="A33" t="s">
        <v>88</v>
      </c>
      <c r="B33" t="s">
        <v>87</v>
      </c>
      <c r="C33" t="s">
        <v>87</v>
      </c>
      <c r="D33" t="str">
        <f t="shared" si="0"/>
        <v>Sim</v>
      </c>
    </row>
    <row r="34" spans="1:4" x14ac:dyDescent="0.25">
      <c r="A34" t="s">
        <v>88</v>
      </c>
      <c r="B34" t="s">
        <v>87</v>
      </c>
      <c r="C34" t="s">
        <v>87</v>
      </c>
      <c r="D34" t="str">
        <f t="shared" si="0"/>
        <v>Sim</v>
      </c>
    </row>
    <row r="35" spans="1:4" x14ac:dyDescent="0.25">
      <c r="A35" t="s">
        <v>88</v>
      </c>
      <c r="B35" t="s">
        <v>43</v>
      </c>
      <c r="C35" t="s">
        <v>43</v>
      </c>
      <c r="D35" t="str">
        <f t="shared" si="0"/>
        <v>Sim</v>
      </c>
    </row>
    <row r="36" spans="1:4" x14ac:dyDescent="0.25">
      <c r="A36" t="s">
        <v>88</v>
      </c>
      <c r="B36" t="s">
        <v>43</v>
      </c>
      <c r="C36" t="s">
        <v>43</v>
      </c>
      <c r="D36" t="str">
        <f t="shared" si="0"/>
        <v>Sim</v>
      </c>
    </row>
    <row r="37" spans="1:4" x14ac:dyDescent="0.25">
      <c r="A37" t="s">
        <v>88</v>
      </c>
      <c r="B37" t="s">
        <v>43</v>
      </c>
      <c r="C37" t="s">
        <v>43</v>
      </c>
      <c r="D37" t="str">
        <f t="shared" si="0"/>
        <v>Sim</v>
      </c>
    </row>
    <row r="38" spans="1:4" x14ac:dyDescent="0.25">
      <c r="A38" t="s">
        <v>88</v>
      </c>
      <c r="B38" t="s">
        <v>43</v>
      </c>
      <c r="C38" t="s">
        <v>43</v>
      </c>
      <c r="D38" t="str">
        <f t="shared" si="0"/>
        <v>Sim</v>
      </c>
    </row>
    <row r="39" spans="1:4" x14ac:dyDescent="0.25">
      <c r="A39" t="s">
        <v>88</v>
      </c>
      <c r="B39" t="s">
        <v>44</v>
      </c>
      <c r="C39" t="s">
        <v>113</v>
      </c>
      <c r="D39" t="str">
        <f t="shared" si="0"/>
        <v>Não</v>
      </c>
    </row>
    <row r="40" spans="1:4" x14ac:dyDescent="0.25">
      <c r="A40" t="s">
        <v>88</v>
      </c>
      <c r="B40" t="s">
        <v>44</v>
      </c>
      <c r="C40" t="s">
        <v>113</v>
      </c>
      <c r="D40" t="str">
        <f t="shared" si="0"/>
        <v>Não</v>
      </c>
    </row>
    <row r="41" spans="1:4" x14ac:dyDescent="0.25">
      <c r="A41" t="s">
        <v>88</v>
      </c>
      <c r="B41" t="s">
        <v>44</v>
      </c>
      <c r="C41" t="s">
        <v>113</v>
      </c>
      <c r="D41" t="str">
        <f t="shared" si="0"/>
        <v>Não</v>
      </c>
    </row>
    <row r="42" spans="1:4" x14ac:dyDescent="0.25">
      <c r="A42" t="s">
        <v>88</v>
      </c>
      <c r="B42" t="s">
        <v>44</v>
      </c>
      <c r="C42" t="s">
        <v>113</v>
      </c>
      <c r="D42" t="str">
        <f t="shared" si="0"/>
        <v>Não</v>
      </c>
    </row>
    <row r="43" spans="1:4" x14ac:dyDescent="0.25">
      <c r="A43" t="s">
        <v>88</v>
      </c>
      <c r="B43" t="s">
        <v>45</v>
      </c>
      <c r="C43" t="s">
        <v>111</v>
      </c>
      <c r="D43" t="str">
        <f t="shared" si="0"/>
        <v>Não</v>
      </c>
    </row>
    <row r="44" spans="1:4" x14ac:dyDescent="0.25">
      <c r="A44" t="s">
        <v>88</v>
      </c>
      <c r="B44" t="s">
        <v>45</v>
      </c>
      <c r="C44" t="s">
        <v>111</v>
      </c>
      <c r="D44" t="str">
        <f t="shared" si="0"/>
        <v>Não</v>
      </c>
    </row>
    <row r="45" spans="1:4" x14ac:dyDescent="0.25">
      <c r="A45" t="s">
        <v>88</v>
      </c>
      <c r="B45" t="s">
        <v>45</v>
      </c>
      <c r="C45" t="s">
        <v>111</v>
      </c>
      <c r="D45" t="str">
        <f t="shared" si="0"/>
        <v>Não</v>
      </c>
    </row>
    <row r="46" spans="1:4" x14ac:dyDescent="0.25">
      <c r="A46" t="s">
        <v>88</v>
      </c>
      <c r="B46" t="s">
        <v>45</v>
      </c>
      <c r="C46" t="s">
        <v>111</v>
      </c>
      <c r="D46" t="str">
        <f t="shared" si="0"/>
        <v>Não</v>
      </c>
    </row>
    <row r="47" spans="1:4" x14ac:dyDescent="0.25">
      <c r="A47" t="s">
        <v>18</v>
      </c>
      <c r="B47" t="s">
        <v>29</v>
      </c>
      <c r="C47" t="s">
        <v>110</v>
      </c>
      <c r="D47" t="str">
        <f t="shared" si="0"/>
        <v>Não</v>
      </c>
    </row>
    <row r="48" spans="1:4" x14ac:dyDescent="0.25">
      <c r="A48" t="s">
        <v>18</v>
      </c>
      <c r="B48" t="s">
        <v>29</v>
      </c>
      <c r="C48" t="s">
        <v>110</v>
      </c>
      <c r="D48" t="str">
        <f t="shared" si="0"/>
        <v>Não</v>
      </c>
    </row>
    <row r="49" spans="1:4" x14ac:dyDescent="0.25">
      <c r="A49" t="s">
        <v>18</v>
      </c>
      <c r="B49" t="s">
        <v>29</v>
      </c>
      <c r="C49" t="s">
        <v>110</v>
      </c>
      <c r="D49" t="str">
        <f t="shared" si="0"/>
        <v>Não</v>
      </c>
    </row>
    <row r="50" spans="1:4" x14ac:dyDescent="0.25">
      <c r="A50" t="s">
        <v>18</v>
      </c>
      <c r="B50" t="s">
        <v>29</v>
      </c>
      <c r="C50" t="s">
        <v>110</v>
      </c>
      <c r="D50" t="str">
        <f t="shared" si="0"/>
        <v>Não</v>
      </c>
    </row>
    <row r="51" spans="1:4" x14ac:dyDescent="0.25">
      <c r="A51" t="s">
        <v>4</v>
      </c>
      <c r="B51" t="s">
        <v>46</v>
      </c>
      <c r="C51" t="s">
        <v>46</v>
      </c>
      <c r="D51" t="str">
        <f t="shared" si="0"/>
        <v>Sim</v>
      </c>
    </row>
    <row r="52" spans="1:4" x14ac:dyDescent="0.25">
      <c r="A52" t="s">
        <v>4</v>
      </c>
      <c r="B52" t="s">
        <v>46</v>
      </c>
      <c r="C52" t="s">
        <v>46</v>
      </c>
      <c r="D52" t="str">
        <f t="shared" si="0"/>
        <v>Sim</v>
      </c>
    </row>
    <row r="53" spans="1:4" x14ac:dyDescent="0.25">
      <c r="A53" t="s">
        <v>4</v>
      </c>
      <c r="B53" t="s">
        <v>46</v>
      </c>
      <c r="C53" t="s">
        <v>46</v>
      </c>
      <c r="D53" t="str">
        <f t="shared" si="0"/>
        <v>Sim</v>
      </c>
    </row>
    <row r="54" spans="1:4" x14ac:dyDescent="0.25">
      <c r="A54" t="s">
        <v>4</v>
      </c>
      <c r="B54" t="s">
        <v>46</v>
      </c>
      <c r="C54" t="s">
        <v>46</v>
      </c>
      <c r="D54" t="str">
        <f t="shared" si="0"/>
        <v>Sim</v>
      </c>
    </row>
    <row r="55" spans="1:4" x14ac:dyDescent="0.25">
      <c r="A55" t="s">
        <v>4</v>
      </c>
      <c r="B55" t="s">
        <v>47</v>
      </c>
      <c r="C55" t="s">
        <v>47</v>
      </c>
      <c r="D55" t="str">
        <f t="shared" si="0"/>
        <v>Sim</v>
      </c>
    </row>
    <row r="56" spans="1:4" x14ac:dyDescent="0.25">
      <c r="A56" t="s">
        <v>4</v>
      </c>
      <c r="B56" t="s">
        <v>47</v>
      </c>
      <c r="C56" t="s">
        <v>47</v>
      </c>
      <c r="D56" t="str">
        <f t="shared" si="0"/>
        <v>Sim</v>
      </c>
    </row>
    <row r="57" spans="1:4" x14ac:dyDescent="0.25">
      <c r="A57" t="s">
        <v>4</v>
      </c>
      <c r="B57" t="s">
        <v>47</v>
      </c>
      <c r="C57" t="s">
        <v>47</v>
      </c>
      <c r="D57" t="str">
        <f t="shared" si="0"/>
        <v>Sim</v>
      </c>
    </row>
    <row r="58" spans="1:4" x14ac:dyDescent="0.25">
      <c r="A58" t="s">
        <v>4</v>
      </c>
      <c r="B58" t="s">
        <v>47</v>
      </c>
      <c r="C58" t="s">
        <v>47</v>
      </c>
      <c r="D58" t="str">
        <f t="shared" si="0"/>
        <v>Sim</v>
      </c>
    </row>
    <row r="59" spans="1:4" x14ac:dyDescent="0.25">
      <c r="A59" t="s">
        <v>23</v>
      </c>
      <c r="B59" t="s">
        <v>48</v>
      </c>
      <c r="C59" t="s">
        <v>48</v>
      </c>
      <c r="D59" t="str">
        <f t="shared" si="0"/>
        <v>Sim</v>
      </c>
    </row>
    <row r="60" spans="1:4" x14ac:dyDescent="0.25">
      <c r="A60" t="s">
        <v>23</v>
      </c>
      <c r="B60" t="s">
        <v>48</v>
      </c>
      <c r="C60" t="s">
        <v>48</v>
      </c>
      <c r="D60" t="str">
        <f t="shared" si="0"/>
        <v>Sim</v>
      </c>
    </row>
    <row r="61" spans="1:4" x14ac:dyDescent="0.25">
      <c r="A61" t="s">
        <v>23</v>
      </c>
      <c r="B61" t="s">
        <v>48</v>
      </c>
      <c r="C61" t="s">
        <v>48</v>
      </c>
      <c r="D61" t="str">
        <f t="shared" si="0"/>
        <v>Sim</v>
      </c>
    </row>
    <row r="62" spans="1:4" x14ac:dyDescent="0.25">
      <c r="A62" t="s">
        <v>23</v>
      </c>
      <c r="B62" t="s">
        <v>48</v>
      </c>
      <c r="C62" t="s">
        <v>48</v>
      </c>
      <c r="D62" t="str">
        <f t="shared" si="0"/>
        <v>Sim</v>
      </c>
    </row>
    <row r="63" spans="1:4" x14ac:dyDescent="0.25">
      <c r="A63" t="s">
        <v>57</v>
      </c>
      <c r="B63" t="s">
        <v>59</v>
      </c>
      <c r="C63" t="s">
        <v>59</v>
      </c>
      <c r="D63" t="str">
        <f t="shared" si="0"/>
        <v>Sim</v>
      </c>
    </row>
    <row r="64" spans="1:4" x14ac:dyDescent="0.25">
      <c r="A64" t="s">
        <v>57</v>
      </c>
      <c r="B64" t="s">
        <v>59</v>
      </c>
      <c r="C64" t="s">
        <v>59</v>
      </c>
      <c r="D64" t="str">
        <f t="shared" si="0"/>
        <v>Sim</v>
      </c>
    </row>
    <row r="65" spans="1:4" x14ac:dyDescent="0.25">
      <c r="A65" t="s">
        <v>57</v>
      </c>
      <c r="B65" t="s">
        <v>59</v>
      </c>
      <c r="C65" t="s">
        <v>59</v>
      </c>
      <c r="D65" t="str">
        <f t="shared" si="0"/>
        <v>Sim</v>
      </c>
    </row>
    <row r="66" spans="1:4" x14ac:dyDescent="0.25">
      <c r="A66" t="s">
        <v>57</v>
      </c>
      <c r="B66" t="s">
        <v>59</v>
      </c>
      <c r="C66" t="s">
        <v>59</v>
      </c>
      <c r="D66" t="str">
        <f t="shared" si="0"/>
        <v>Sim</v>
      </c>
    </row>
    <row r="67" spans="1:4" x14ac:dyDescent="0.25">
      <c r="A67" t="s">
        <v>57</v>
      </c>
      <c r="C67" t="s">
        <v>60</v>
      </c>
      <c r="D67" t="str">
        <f t="shared" si="0"/>
        <v>Não</v>
      </c>
    </row>
    <row r="68" spans="1:4" x14ac:dyDescent="0.25">
      <c r="A68" t="s">
        <v>57</v>
      </c>
      <c r="C68" t="s">
        <v>60</v>
      </c>
      <c r="D68" t="str">
        <f t="shared" ref="D68:D77" si="2">IF(B68=C68, "Sim", "Não")</f>
        <v>Não</v>
      </c>
    </row>
    <row r="69" spans="1:4" x14ac:dyDescent="0.25">
      <c r="A69" t="s">
        <v>57</v>
      </c>
      <c r="C69" t="s">
        <v>60</v>
      </c>
      <c r="D69" t="str">
        <f t="shared" si="2"/>
        <v>Não</v>
      </c>
    </row>
    <row r="70" spans="1:4" x14ac:dyDescent="0.25">
      <c r="A70" t="s">
        <v>57</v>
      </c>
      <c r="C70" t="s">
        <v>60</v>
      </c>
      <c r="D70" t="str">
        <f t="shared" si="2"/>
        <v>Não</v>
      </c>
    </row>
    <row r="71" spans="1:4" x14ac:dyDescent="0.25">
      <c r="A71" t="s">
        <v>57</v>
      </c>
      <c r="C71" t="s">
        <v>99</v>
      </c>
      <c r="D71" t="str">
        <f t="shared" si="2"/>
        <v>Não</v>
      </c>
    </row>
    <row r="72" spans="1:4" x14ac:dyDescent="0.25">
      <c r="A72" t="s">
        <v>57</v>
      </c>
      <c r="C72" t="s">
        <v>99</v>
      </c>
      <c r="D72" t="str">
        <f t="shared" si="2"/>
        <v>Não</v>
      </c>
    </row>
    <row r="73" spans="1:4" x14ac:dyDescent="0.25">
      <c r="A73" t="s">
        <v>57</v>
      </c>
      <c r="C73" t="s">
        <v>99</v>
      </c>
      <c r="D73" t="str">
        <f t="shared" si="2"/>
        <v>Não</v>
      </c>
    </row>
    <row r="74" spans="1:4" x14ac:dyDescent="0.25">
      <c r="A74" t="s">
        <v>57</v>
      </c>
      <c r="C74" t="s">
        <v>19</v>
      </c>
      <c r="D74" t="str">
        <f t="shared" si="2"/>
        <v>Não</v>
      </c>
    </row>
    <row r="75" spans="1:4" x14ac:dyDescent="0.25">
      <c r="A75" t="s">
        <v>57</v>
      </c>
      <c r="C75" t="s">
        <v>19</v>
      </c>
      <c r="D75" t="str">
        <f t="shared" si="2"/>
        <v>Não</v>
      </c>
    </row>
    <row r="76" spans="1:4" x14ac:dyDescent="0.25">
      <c r="A76" t="s">
        <v>57</v>
      </c>
      <c r="C76" t="s">
        <v>19</v>
      </c>
      <c r="D76" t="str">
        <f t="shared" si="2"/>
        <v>Não</v>
      </c>
    </row>
    <row r="77" spans="1:4" x14ac:dyDescent="0.25">
      <c r="A77" t="s">
        <v>57</v>
      </c>
      <c r="C77" t="s">
        <v>19</v>
      </c>
      <c r="D77" t="str">
        <f t="shared" si="2"/>
        <v>Não</v>
      </c>
    </row>
    <row r="78" spans="1:4" x14ac:dyDescent="0.25">
      <c r="A78"/>
    </row>
    <row r="79" spans="1:4" x14ac:dyDescent="0.25">
      <c r="A79"/>
    </row>
    <row r="80" spans="1:4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D79B5-77F3-4314-B8A8-C07772092E9D}">
  <dimension ref="A1:G100"/>
  <sheetViews>
    <sheetView workbookViewId="0">
      <selection activeCell="C66" sqref="C66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8" t="s">
        <v>152</v>
      </c>
      <c r="B1" s="18"/>
      <c r="C1" s="18"/>
      <c r="D1" s="18"/>
      <c r="E1" s="18"/>
      <c r="F1" s="18"/>
      <c r="G1" s="18"/>
    </row>
    <row r="2" spans="1:7" x14ac:dyDescent="0.25">
      <c r="A2" s="4" t="s">
        <v>0</v>
      </c>
      <c r="B2" s="4" t="s">
        <v>8</v>
      </c>
      <c r="C2" s="4" t="s">
        <v>9</v>
      </c>
      <c r="D2" s="4" t="s">
        <v>7</v>
      </c>
    </row>
    <row r="3" spans="1:7" x14ac:dyDescent="0.25">
      <c r="A3" t="s">
        <v>1</v>
      </c>
      <c r="B3" s="15" t="s">
        <v>50</v>
      </c>
      <c r="C3" s="15" t="s">
        <v>50</v>
      </c>
      <c r="D3" t="str">
        <f>IF(B3=C3, "Sim", "Não")</f>
        <v>Sim</v>
      </c>
      <c r="F3" s="4" t="s">
        <v>10</v>
      </c>
      <c r="G3" s="3">
        <f>COUNTIF(D3:D105,"Não")</f>
        <v>37</v>
      </c>
    </row>
    <row r="4" spans="1:7" x14ac:dyDescent="0.25">
      <c r="A4" t="s">
        <v>1</v>
      </c>
      <c r="B4" s="15" t="s">
        <v>50</v>
      </c>
      <c r="C4" s="15" t="s">
        <v>50</v>
      </c>
      <c r="D4" t="str">
        <f t="shared" ref="D4:D67" si="0">IF(B4=C4, "Sim", "Não")</f>
        <v>Sim</v>
      </c>
      <c r="F4" s="4" t="s">
        <v>11</v>
      </c>
      <c r="G4" s="3">
        <f>SUM(G7:G25)</f>
        <v>75</v>
      </c>
    </row>
    <row r="5" spans="1:7" x14ac:dyDescent="0.25">
      <c r="A5" t="s">
        <v>1</v>
      </c>
      <c r="B5" s="15" t="s">
        <v>50</v>
      </c>
      <c r="C5" s="15" t="s">
        <v>50</v>
      </c>
      <c r="D5" t="str">
        <f t="shared" si="0"/>
        <v>Sim</v>
      </c>
    </row>
    <row r="6" spans="1:7" x14ac:dyDescent="0.25">
      <c r="A6" t="s">
        <v>1</v>
      </c>
      <c r="B6" s="15" t="s">
        <v>50</v>
      </c>
      <c r="C6" s="15" t="s">
        <v>50</v>
      </c>
      <c r="D6" t="str">
        <f t="shared" si="0"/>
        <v>Sim</v>
      </c>
      <c r="F6" s="6" t="s">
        <v>3</v>
      </c>
      <c r="G6" s="1"/>
    </row>
    <row r="7" spans="1:7" x14ac:dyDescent="0.25">
      <c r="A7" t="s">
        <v>1</v>
      </c>
      <c r="B7" t="s">
        <v>49</v>
      </c>
      <c r="C7" t="s">
        <v>49</v>
      </c>
      <c r="D7" t="str">
        <f t="shared" si="0"/>
        <v>Sim</v>
      </c>
      <c r="E7">
        <v>3.9</v>
      </c>
      <c r="F7" s="7" t="s">
        <v>1</v>
      </c>
      <c r="G7" s="2">
        <f t="shared" ref="G7:G10" si="1">COUNTIF(A:A,F7)</f>
        <v>16</v>
      </c>
    </row>
    <row r="8" spans="1:7" x14ac:dyDescent="0.25">
      <c r="A8" t="s">
        <v>1</v>
      </c>
      <c r="B8" t="s">
        <v>49</v>
      </c>
      <c r="C8" t="s">
        <v>49</v>
      </c>
      <c r="D8" t="str">
        <f t="shared" si="0"/>
        <v>Sim</v>
      </c>
      <c r="E8">
        <v>3.9</v>
      </c>
      <c r="F8" s="7" t="s">
        <v>153</v>
      </c>
      <c r="G8" s="2">
        <f t="shared" si="1"/>
        <v>16</v>
      </c>
    </row>
    <row r="9" spans="1:7" x14ac:dyDescent="0.25">
      <c r="A9" t="s">
        <v>1</v>
      </c>
      <c r="B9" s="15" t="s">
        <v>96</v>
      </c>
      <c r="C9" s="15" t="s">
        <v>96</v>
      </c>
      <c r="D9" t="str">
        <f t="shared" si="0"/>
        <v>Sim</v>
      </c>
      <c r="E9">
        <v>4.9000000000000004</v>
      </c>
      <c r="F9" s="7" t="s">
        <v>4</v>
      </c>
      <c r="G9" s="2">
        <f t="shared" si="1"/>
        <v>12</v>
      </c>
    </row>
    <row r="10" spans="1:7" x14ac:dyDescent="0.25">
      <c r="A10" t="s">
        <v>1</v>
      </c>
      <c r="C10" t="s">
        <v>142</v>
      </c>
      <c r="D10" t="str">
        <f t="shared" si="0"/>
        <v>Não</v>
      </c>
      <c r="F10" s="7" t="s">
        <v>162</v>
      </c>
      <c r="G10" s="2">
        <f t="shared" si="1"/>
        <v>16</v>
      </c>
    </row>
    <row r="11" spans="1:7" x14ac:dyDescent="0.25">
      <c r="A11" t="s">
        <v>1</v>
      </c>
      <c r="C11" t="s">
        <v>142</v>
      </c>
      <c r="D11" t="str">
        <f t="shared" si="0"/>
        <v>Não</v>
      </c>
      <c r="F11" s="7" t="s">
        <v>57</v>
      </c>
      <c r="G11" s="2">
        <f t="shared" ref="G11" si="2">COUNTIF(A:A,F11)</f>
        <v>15</v>
      </c>
    </row>
    <row r="12" spans="1:7" x14ac:dyDescent="0.25">
      <c r="A12" t="s">
        <v>1</v>
      </c>
      <c r="C12" t="s">
        <v>163</v>
      </c>
      <c r="D12" t="str">
        <f t="shared" si="0"/>
        <v>Não</v>
      </c>
      <c r="F12" s="7"/>
      <c r="G12" s="2"/>
    </row>
    <row r="13" spans="1:7" x14ac:dyDescent="0.25">
      <c r="A13" t="s">
        <v>1</v>
      </c>
      <c r="C13" t="s">
        <v>163</v>
      </c>
      <c r="D13" t="str">
        <f t="shared" si="0"/>
        <v>Não</v>
      </c>
    </row>
    <row r="14" spans="1:7" x14ac:dyDescent="0.25">
      <c r="A14" t="s">
        <v>1</v>
      </c>
      <c r="C14" t="s">
        <v>163</v>
      </c>
      <c r="D14" t="str">
        <f t="shared" si="0"/>
        <v>Não</v>
      </c>
      <c r="F14" s="7"/>
      <c r="G14" s="2"/>
    </row>
    <row r="15" spans="1:7" x14ac:dyDescent="0.25">
      <c r="A15" t="s">
        <v>1</v>
      </c>
      <c r="C15" t="s">
        <v>143</v>
      </c>
      <c r="D15" t="str">
        <f t="shared" si="0"/>
        <v>Não</v>
      </c>
      <c r="F15" s="4"/>
      <c r="G15" s="2"/>
    </row>
    <row r="16" spans="1:7" x14ac:dyDescent="0.25">
      <c r="A16" t="s">
        <v>1</v>
      </c>
      <c r="C16" t="s">
        <v>143</v>
      </c>
      <c r="D16" t="str">
        <f t="shared" si="0"/>
        <v>Não</v>
      </c>
      <c r="F16" s="4"/>
      <c r="G16" s="2"/>
    </row>
    <row r="17" spans="1:4" x14ac:dyDescent="0.25">
      <c r="A17" t="s">
        <v>1</v>
      </c>
      <c r="C17" t="s">
        <v>143</v>
      </c>
      <c r="D17" t="str">
        <f t="shared" si="0"/>
        <v>Não</v>
      </c>
    </row>
    <row r="18" spans="1:4" x14ac:dyDescent="0.25">
      <c r="A18" t="s">
        <v>1</v>
      </c>
      <c r="C18" t="s">
        <v>143</v>
      </c>
      <c r="D18" t="str">
        <f t="shared" si="0"/>
        <v>Não</v>
      </c>
    </row>
    <row r="19" spans="1:4" x14ac:dyDescent="0.25">
      <c r="A19" t="s">
        <v>153</v>
      </c>
      <c r="B19" s="15" t="s">
        <v>154</v>
      </c>
      <c r="C19" s="15" t="s">
        <v>154</v>
      </c>
      <c r="D19" t="str">
        <f t="shared" si="0"/>
        <v>Sim</v>
      </c>
    </row>
    <row r="20" spans="1:4" x14ac:dyDescent="0.25">
      <c r="A20" t="s">
        <v>153</v>
      </c>
      <c r="B20" s="15" t="s">
        <v>154</v>
      </c>
      <c r="C20" s="15" t="s">
        <v>154</v>
      </c>
      <c r="D20" t="str">
        <f t="shared" si="0"/>
        <v>Sim</v>
      </c>
    </row>
    <row r="21" spans="1:4" x14ac:dyDescent="0.25">
      <c r="A21" t="s">
        <v>153</v>
      </c>
      <c r="B21" s="15" t="s">
        <v>154</v>
      </c>
      <c r="C21" s="15" t="s">
        <v>154</v>
      </c>
      <c r="D21" t="str">
        <f t="shared" si="0"/>
        <v>Sim</v>
      </c>
    </row>
    <row r="22" spans="1:4" x14ac:dyDescent="0.25">
      <c r="A22" t="s">
        <v>153</v>
      </c>
      <c r="B22" s="15" t="s">
        <v>154</v>
      </c>
      <c r="C22" s="15" t="s">
        <v>154</v>
      </c>
      <c r="D22" t="str">
        <f t="shared" si="0"/>
        <v>Sim</v>
      </c>
    </row>
    <row r="23" spans="1:4" x14ac:dyDescent="0.25">
      <c r="A23" t="s">
        <v>153</v>
      </c>
      <c r="B23" t="s">
        <v>155</v>
      </c>
      <c r="C23" t="s">
        <v>155</v>
      </c>
      <c r="D23" t="str">
        <f t="shared" si="0"/>
        <v>Sim</v>
      </c>
    </row>
    <row r="24" spans="1:4" x14ac:dyDescent="0.25">
      <c r="A24" t="s">
        <v>153</v>
      </c>
      <c r="B24" t="s">
        <v>155</v>
      </c>
      <c r="C24" t="s">
        <v>155</v>
      </c>
      <c r="D24" t="str">
        <f t="shared" si="0"/>
        <v>Sim</v>
      </c>
    </row>
    <row r="25" spans="1:4" x14ac:dyDescent="0.25">
      <c r="A25" t="s">
        <v>153</v>
      </c>
      <c r="B25" t="s">
        <v>155</v>
      </c>
      <c r="C25" t="s">
        <v>155</v>
      </c>
      <c r="D25" t="str">
        <f t="shared" si="0"/>
        <v>Sim</v>
      </c>
    </row>
    <row r="26" spans="1:4" x14ac:dyDescent="0.25">
      <c r="A26" t="s">
        <v>153</v>
      </c>
      <c r="B26" t="s">
        <v>155</v>
      </c>
      <c r="C26" t="s">
        <v>155</v>
      </c>
      <c r="D26" t="str">
        <f t="shared" si="0"/>
        <v>Sim</v>
      </c>
    </row>
    <row r="27" spans="1:4" x14ac:dyDescent="0.25">
      <c r="A27" t="s">
        <v>153</v>
      </c>
      <c r="B27" s="15" t="s">
        <v>156</v>
      </c>
      <c r="C27" s="15" t="s">
        <v>156</v>
      </c>
      <c r="D27" t="str">
        <f t="shared" si="0"/>
        <v>Sim</v>
      </c>
    </row>
    <row r="28" spans="1:4" x14ac:dyDescent="0.25">
      <c r="A28" t="s">
        <v>153</v>
      </c>
      <c r="B28" s="15" t="s">
        <v>156</v>
      </c>
      <c r="C28" s="15" t="s">
        <v>156</v>
      </c>
      <c r="D28" t="str">
        <f t="shared" si="0"/>
        <v>Sim</v>
      </c>
    </row>
    <row r="29" spans="1:4" x14ac:dyDescent="0.25">
      <c r="A29" t="s">
        <v>153</v>
      </c>
      <c r="C29" t="s">
        <v>156</v>
      </c>
      <c r="D29" t="str">
        <f t="shared" si="0"/>
        <v>Não</v>
      </c>
    </row>
    <row r="30" spans="1:4" x14ac:dyDescent="0.25">
      <c r="A30" t="s">
        <v>153</v>
      </c>
      <c r="C30" t="s">
        <v>156</v>
      </c>
      <c r="D30" t="str">
        <f t="shared" si="0"/>
        <v>Não</v>
      </c>
    </row>
    <row r="31" spans="1:4" x14ac:dyDescent="0.25">
      <c r="A31" t="s">
        <v>153</v>
      </c>
      <c r="B31" s="15" t="s">
        <v>157</v>
      </c>
      <c r="C31" s="15" t="s">
        <v>157</v>
      </c>
      <c r="D31" t="str">
        <f t="shared" si="0"/>
        <v>Sim</v>
      </c>
    </row>
    <row r="32" spans="1:4" x14ac:dyDescent="0.25">
      <c r="A32" t="s">
        <v>153</v>
      </c>
      <c r="B32" s="15" t="s">
        <v>157</v>
      </c>
      <c r="C32" s="15" t="s">
        <v>157</v>
      </c>
      <c r="D32" t="str">
        <f t="shared" si="0"/>
        <v>Sim</v>
      </c>
    </row>
    <row r="33" spans="1:4" x14ac:dyDescent="0.25">
      <c r="A33" t="s">
        <v>153</v>
      </c>
      <c r="C33" t="s">
        <v>157</v>
      </c>
      <c r="D33" t="str">
        <f t="shared" si="0"/>
        <v>Não</v>
      </c>
    </row>
    <row r="34" spans="1:4" x14ac:dyDescent="0.25">
      <c r="A34" t="s">
        <v>153</v>
      </c>
      <c r="C34" t="s">
        <v>157</v>
      </c>
      <c r="D34" t="str">
        <f t="shared" si="0"/>
        <v>Não</v>
      </c>
    </row>
    <row r="35" spans="1:4" x14ac:dyDescent="0.25">
      <c r="A35" t="s">
        <v>4</v>
      </c>
      <c r="B35" t="s">
        <v>84</v>
      </c>
      <c r="C35" t="s">
        <v>84</v>
      </c>
      <c r="D35" t="str">
        <f t="shared" si="0"/>
        <v>Sim</v>
      </c>
    </row>
    <row r="36" spans="1:4" x14ac:dyDescent="0.25">
      <c r="A36" t="s">
        <v>4</v>
      </c>
      <c r="B36" t="s">
        <v>84</v>
      </c>
      <c r="C36" t="s">
        <v>84</v>
      </c>
      <c r="D36" t="str">
        <f t="shared" si="0"/>
        <v>Sim</v>
      </c>
    </row>
    <row r="37" spans="1:4" x14ac:dyDescent="0.25">
      <c r="A37" t="s">
        <v>4</v>
      </c>
      <c r="B37" t="s">
        <v>84</v>
      </c>
      <c r="C37" t="s">
        <v>84</v>
      </c>
      <c r="D37" t="str">
        <f t="shared" si="0"/>
        <v>Sim</v>
      </c>
    </row>
    <row r="38" spans="1:4" x14ac:dyDescent="0.25">
      <c r="A38" t="s">
        <v>4</v>
      </c>
      <c r="B38" t="s">
        <v>84</v>
      </c>
      <c r="C38" t="s">
        <v>84</v>
      </c>
      <c r="D38" t="str">
        <f t="shared" si="0"/>
        <v>Sim</v>
      </c>
    </row>
    <row r="39" spans="1:4" x14ac:dyDescent="0.25">
      <c r="A39" t="s">
        <v>4</v>
      </c>
      <c r="B39" s="15" t="s">
        <v>64</v>
      </c>
      <c r="C39" s="15" t="s">
        <v>64</v>
      </c>
      <c r="D39" t="str">
        <f t="shared" si="0"/>
        <v>Sim</v>
      </c>
    </row>
    <row r="40" spans="1:4" x14ac:dyDescent="0.25">
      <c r="A40" t="s">
        <v>4</v>
      </c>
      <c r="B40" s="15" t="s">
        <v>64</v>
      </c>
      <c r="C40" s="15" t="s">
        <v>64</v>
      </c>
      <c r="D40" t="str">
        <f t="shared" si="0"/>
        <v>Sim</v>
      </c>
    </row>
    <row r="41" spans="1:4" x14ac:dyDescent="0.25">
      <c r="A41" t="s">
        <v>4</v>
      </c>
      <c r="B41" s="15" t="s">
        <v>64</v>
      </c>
      <c r="C41" s="15" t="s">
        <v>64</v>
      </c>
      <c r="D41" t="str">
        <f t="shared" si="0"/>
        <v>Sim</v>
      </c>
    </row>
    <row r="42" spans="1:4" x14ac:dyDescent="0.25">
      <c r="A42" t="s">
        <v>4</v>
      </c>
      <c r="B42" s="15" t="s">
        <v>64</v>
      </c>
      <c r="C42" s="15" t="s">
        <v>64</v>
      </c>
      <c r="D42" t="str">
        <f t="shared" si="0"/>
        <v>Sim</v>
      </c>
    </row>
    <row r="43" spans="1:4" x14ac:dyDescent="0.25">
      <c r="A43" t="s">
        <v>4</v>
      </c>
      <c r="C43" t="s">
        <v>160</v>
      </c>
      <c r="D43" t="str">
        <f t="shared" si="0"/>
        <v>Não</v>
      </c>
    </row>
    <row r="44" spans="1:4" x14ac:dyDescent="0.25">
      <c r="A44" t="s">
        <v>4</v>
      </c>
      <c r="C44" t="s">
        <v>160</v>
      </c>
      <c r="D44" t="str">
        <f t="shared" si="0"/>
        <v>Não</v>
      </c>
    </row>
    <row r="45" spans="1:4" x14ac:dyDescent="0.25">
      <c r="A45" t="s">
        <v>4</v>
      </c>
      <c r="C45" t="s">
        <v>160</v>
      </c>
      <c r="D45" t="str">
        <f t="shared" si="0"/>
        <v>Não</v>
      </c>
    </row>
    <row r="46" spans="1:4" x14ac:dyDescent="0.25">
      <c r="A46" t="s">
        <v>4</v>
      </c>
      <c r="C46" t="s">
        <v>160</v>
      </c>
      <c r="D46" t="str">
        <f t="shared" si="0"/>
        <v>Não</v>
      </c>
    </row>
    <row r="47" spans="1:4" x14ac:dyDescent="0.25">
      <c r="A47" t="s">
        <v>162</v>
      </c>
      <c r="C47" t="s">
        <v>158</v>
      </c>
      <c r="D47" t="str">
        <f t="shared" si="0"/>
        <v>Não</v>
      </c>
    </row>
    <row r="48" spans="1:4" x14ac:dyDescent="0.25">
      <c r="A48" t="s">
        <v>162</v>
      </c>
      <c r="C48" t="s">
        <v>158</v>
      </c>
      <c r="D48" t="str">
        <f t="shared" si="0"/>
        <v>Não</v>
      </c>
    </row>
    <row r="49" spans="1:4" x14ac:dyDescent="0.25">
      <c r="A49" t="s">
        <v>162</v>
      </c>
      <c r="C49" t="s">
        <v>158</v>
      </c>
      <c r="D49" t="str">
        <f>IF(B49=C49, "Sim", "Não")</f>
        <v>Não</v>
      </c>
    </row>
    <row r="50" spans="1:4" x14ac:dyDescent="0.25">
      <c r="A50" t="s">
        <v>162</v>
      </c>
      <c r="C50" t="s">
        <v>158</v>
      </c>
      <c r="D50" t="str">
        <f>IF(B50=C50, "Sim", "Não")</f>
        <v>Não</v>
      </c>
    </row>
    <row r="51" spans="1:4" x14ac:dyDescent="0.25">
      <c r="A51" t="s">
        <v>162</v>
      </c>
      <c r="C51" t="s">
        <v>159</v>
      </c>
      <c r="D51" t="str">
        <f t="shared" si="0"/>
        <v>Não</v>
      </c>
    </row>
    <row r="52" spans="1:4" x14ac:dyDescent="0.25">
      <c r="A52" t="s">
        <v>162</v>
      </c>
      <c r="C52" t="s">
        <v>159</v>
      </c>
      <c r="D52" t="str">
        <f t="shared" si="0"/>
        <v>Não</v>
      </c>
    </row>
    <row r="53" spans="1:4" x14ac:dyDescent="0.25">
      <c r="A53" t="s">
        <v>162</v>
      </c>
      <c r="C53" t="s">
        <v>159</v>
      </c>
      <c r="D53" t="str">
        <f t="shared" si="0"/>
        <v>Não</v>
      </c>
    </row>
    <row r="54" spans="1:4" x14ac:dyDescent="0.25">
      <c r="A54" t="s">
        <v>162</v>
      </c>
      <c r="C54" t="s">
        <v>159</v>
      </c>
      <c r="D54" t="str">
        <f t="shared" si="0"/>
        <v>Não</v>
      </c>
    </row>
    <row r="55" spans="1:4" x14ac:dyDescent="0.25">
      <c r="A55" t="s">
        <v>162</v>
      </c>
      <c r="B55" s="15" t="s">
        <v>51</v>
      </c>
      <c r="C55" s="15" t="s">
        <v>51</v>
      </c>
      <c r="D55" t="str">
        <f t="shared" si="0"/>
        <v>Sim</v>
      </c>
    </row>
    <row r="56" spans="1:4" x14ac:dyDescent="0.25">
      <c r="A56" t="s">
        <v>162</v>
      </c>
      <c r="B56" s="15" t="s">
        <v>51</v>
      </c>
      <c r="C56" s="15" t="s">
        <v>51</v>
      </c>
      <c r="D56" t="str">
        <f t="shared" si="0"/>
        <v>Sim</v>
      </c>
    </row>
    <row r="57" spans="1:4" x14ac:dyDescent="0.25">
      <c r="A57" t="s">
        <v>162</v>
      </c>
      <c r="B57" s="15" t="s">
        <v>51</v>
      </c>
      <c r="C57" s="15" t="s">
        <v>51</v>
      </c>
      <c r="D57" t="str">
        <f t="shared" si="0"/>
        <v>Sim</v>
      </c>
    </row>
    <row r="58" spans="1:4" x14ac:dyDescent="0.25">
      <c r="A58" t="s">
        <v>162</v>
      </c>
      <c r="B58" s="15" t="s">
        <v>51</v>
      </c>
      <c r="C58" s="15" t="s">
        <v>51</v>
      </c>
      <c r="D58" t="str">
        <f t="shared" si="0"/>
        <v>Sim</v>
      </c>
    </row>
    <row r="59" spans="1:4" x14ac:dyDescent="0.25">
      <c r="A59" t="s">
        <v>162</v>
      </c>
      <c r="B59" s="16" t="s">
        <v>161</v>
      </c>
      <c r="C59" s="16" t="s">
        <v>161</v>
      </c>
      <c r="D59" t="str">
        <f t="shared" si="0"/>
        <v>Sim</v>
      </c>
    </row>
    <row r="60" spans="1:4" x14ac:dyDescent="0.25">
      <c r="A60" t="s">
        <v>162</v>
      </c>
      <c r="B60" s="16" t="s">
        <v>161</v>
      </c>
      <c r="C60" s="16" t="s">
        <v>161</v>
      </c>
      <c r="D60" t="str">
        <f t="shared" si="0"/>
        <v>Sim</v>
      </c>
    </row>
    <row r="61" spans="1:4" x14ac:dyDescent="0.25">
      <c r="A61" t="s">
        <v>162</v>
      </c>
      <c r="B61" s="16" t="s">
        <v>161</v>
      </c>
      <c r="C61" s="16" t="s">
        <v>161</v>
      </c>
      <c r="D61" t="str">
        <f t="shared" si="0"/>
        <v>Sim</v>
      </c>
    </row>
    <row r="62" spans="1:4" x14ac:dyDescent="0.25">
      <c r="A62" t="s">
        <v>162</v>
      </c>
      <c r="B62" s="16" t="s">
        <v>161</v>
      </c>
      <c r="C62" s="16" t="s">
        <v>161</v>
      </c>
      <c r="D62" t="str">
        <f t="shared" si="0"/>
        <v>Sim</v>
      </c>
    </row>
    <row r="63" spans="1:4" x14ac:dyDescent="0.25">
      <c r="A63" t="s">
        <v>57</v>
      </c>
      <c r="C63" t="s">
        <v>150</v>
      </c>
      <c r="D63" t="str">
        <f t="shared" si="0"/>
        <v>Não</v>
      </c>
    </row>
    <row r="64" spans="1:4" x14ac:dyDescent="0.25">
      <c r="A64" t="s">
        <v>57</v>
      </c>
      <c r="C64" t="s">
        <v>150</v>
      </c>
      <c r="D64" t="str">
        <f t="shared" si="0"/>
        <v>Não</v>
      </c>
    </row>
    <row r="65" spans="1:4" x14ac:dyDescent="0.25">
      <c r="A65" t="s">
        <v>57</v>
      </c>
      <c r="C65" t="s">
        <v>78</v>
      </c>
      <c r="D65" t="str">
        <f t="shared" si="0"/>
        <v>Não</v>
      </c>
    </row>
    <row r="66" spans="1:4" x14ac:dyDescent="0.25">
      <c r="A66" t="s">
        <v>57</v>
      </c>
      <c r="C66" t="s">
        <v>78</v>
      </c>
      <c r="D66" t="str">
        <f t="shared" si="0"/>
        <v>Não</v>
      </c>
    </row>
    <row r="67" spans="1:4" x14ac:dyDescent="0.25">
      <c r="A67" t="s">
        <v>57</v>
      </c>
      <c r="C67" t="s">
        <v>78</v>
      </c>
      <c r="D67" t="str">
        <f t="shared" si="0"/>
        <v>Não</v>
      </c>
    </row>
    <row r="68" spans="1:4" x14ac:dyDescent="0.25">
      <c r="A68" t="s">
        <v>57</v>
      </c>
      <c r="C68" t="s">
        <v>78</v>
      </c>
      <c r="D68" t="str">
        <f t="shared" ref="D68:D77" si="3">IF(B68=C68, "Sim", "Não")</f>
        <v>Não</v>
      </c>
    </row>
    <row r="69" spans="1:4" x14ac:dyDescent="0.25">
      <c r="A69" t="s">
        <v>57</v>
      </c>
      <c r="C69" t="s">
        <v>81</v>
      </c>
      <c r="D69" t="str">
        <f t="shared" si="3"/>
        <v>Não</v>
      </c>
    </row>
    <row r="70" spans="1:4" x14ac:dyDescent="0.25">
      <c r="A70" t="s">
        <v>57</v>
      </c>
      <c r="C70" t="s">
        <v>81</v>
      </c>
      <c r="D70" t="str">
        <f t="shared" si="3"/>
        <v>Não</v>
      </c>
    </row>
    <row r="71" spans="1:4" x14ac:dyDescent="0.25">
      <c r="A71" t="s">
        <v>57</v>
      </c>
      <c r="C71" t="s">
        <v>164</v>
      </c>
      <c r="D71" t="str">
        <f t="shared" si="3"/>
        <v>Não</v>
      </c>
    </row>
    <row r="72" spans="1:4" x14ac:dyDescent="0.25">
      <c r="A72" t="s">
        <v>57</v>
      </c>
      <c r="C72" t="s">
        <v>164</v>
      </c>
      <c r="D72" t="str">
        <f t="shared" si="3"/>
        <v>Não</v>
      </c>
    </row>
    <row r="73" spans="1:4" x14ac:dyDescent="0.25">
      <c r="A73" t="s">
        <v>57</v>
      </c>
      <c r="C73" t="s">
        <v>165</v>
      </c>
      <c r="D73" t="str">
        <f t="shared" si="3"/>
        <v>Não</v>
      </c>
    </row>
    <row r="74" spans="1:4" x14ac:dyDescent="0.25">
      <c r="A74" t="s">
        <v>57</v>
      </c>
      <c r="C74" t="s">
        <v>165</v>
      </c>
      <c r="D74" t="str">
        <f t="shared" si="3"/>
        <v>Não</v>
      </c>
    </row>
    <row r="75" spans="1:4" x14ac:dyDescent="0.25">
      <c r="A75" t="s">
        <v>57</v>
      </c>
      <c r="B75" t="s">
        <v>151</v>
      </c>
      <c r="C75" t="s">
        <v>151</v>
      </c>
      <c r="D75" t="str">
        <f t="shared" si="3"/>
        <v>Sim</v>
      </c>
    </row>
    <row r="76" spans="1:4" x14ac:dyDescent="0.25">
      <c r="A76" t="s">
        <v>57</v>
      </c>
      <c r="B76" t="s">
        <v>151</v>
      </c>
      <c r="C76" t="s">
        <v>151</v>
      </c>
      <c r="D76" t="str">
        <f t="shared" si="3"/>
        <v>Sim</v>
      </c>
    </row>
    <row r="77" spans="1:4" x14ac:dyDescent="0.25">
      <c r="A77" t="s">
        <v>57</v>
      </c>
      <c r="B77" t="s">
        <v>151</v>
      </c>
      <c r="C77" t="s">
        <v>151</v>
      </c>
      <c r="D77" t="str">
        <f t="shared" si="3"/>
        <v>Sim</v>
      </c>
    </row>
    <row r="78" spans="1:4" x14ac:dyDescent="0.25">
      <c r="A78"/>
    </row>
    <row r="79" spans="1:4" x14ac:dyDescent="0.25">
      <c r="A79"/>
    </row>
    <row r="80" spans="1:4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COMPRAS</vt:lpstr>
      <vt:lpstr>RESUMO</vt:lpstr>
      <vt:lpstr>RESUMO (2)</vt:lpstr>
      <vt:lpstr>Fractius</vt:lpstr>
      <vt:lpstr>Life</vt:lpstr>
      <vt:lpstr>Flicker</vt:lpstr>
      <vt:lpstr>Modular</vt:lpstr>
      <vt:lpstr>WBGAllies</vt:lpstr>
      <vt:lpstr>WURAffinity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Scalvi</dc:creator>
  <cp:lastModifiedBy>Marcelo Scalvi</cp:lastModifiedBy>
  <dcterms:created xsi:type="dcterms:W3CDTF">2021-12-09T15:36:16Z</dcterms:created>
  <dcterms:modified xsi:type="dcterms:W3CDTF">2025-08-02T21:11:34Z</dcterms:modified>
</cp:coreProperties>
</file>